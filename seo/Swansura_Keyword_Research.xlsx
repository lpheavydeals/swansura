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Insights" sheetId="2" state="visible" r:id="rId4"/>
    <sheet name="VD Content" sheetId="3" state="visible" r:id="rId5"/>
    <sheet name="Products" sheetId="4" state="visible" r:id="rId6"/>
    <sheet name="Keyword List" sheetId="5" state="visible" r:id="rId7"/>
    <sheet name="Semrush Batches" sheetId="6" state="visible" r:id="rId8"/>
    <sheet name="Semrush Data" sheetId="7" state="visible" r:id="rId9"/>
    <sheet name="Google Autocomplete" sheetId="8" state="visible" r:id="rId10"/>
  </sheets>
  <definedNames>
    <definedName function="false" hidden="true" localSheetId="7" name="_xlnm._FilterDatabase" vbProcedure="false">'Google Autocomplete'!$A$1:$C$3729</definedName>
    <definedName function="false" hidden="true" localSheetId="4" name="_xlnm._FilterDatabase" vbProcedure="false">'Keyword List'!$A$1:$J$3842</definedName>
    <definedName function="false" hidden="true" localSheetId="3" name="_xlnm._FilterDatabase" vbProcedure="false">Products!$A$1:$AF$547</definedName>
    <definedName function="false" hidden="true" localSheetId="6" name="_xlnm._FilterDatabase" vbProcedure="false">'Semrush Data'!$A$1:$H$1143</definedName>
    <definedName function="false" hidden="true" localSheetId="2"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<sst xmlns="http://schemas.openxmlformats.org/spreadsheetml/2006/main" count="40637" uniqueCount="9851">
  <si>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</si>
  <si>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</si>
  <si>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</si>
  <si>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</si>
  <si>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</si>
  <si>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</si>
  <si>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</si>
  <si>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</si>
  <si>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</si>
  <si>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</si>
  <si>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</si>
  <si>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</si>
  <si>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</si>
  <si>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</si>
  <si>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</si>
  <si>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</si>
  <si>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</si>
  <si>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</si>
  <si>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</si>
  <si>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£50" and "100% authentic" from the current site; confirm before publishing.</t>
  </si>
  <si>
    <t xml:space="preserve">Semrush insights — UK, Tier 1 + focused Tier 2</t>
  </si>
  <si>
    <t xml:space="preserve">Figures are formulas over the "Semrush Data" tab (Semrush Keyword Overview, UK database: Tier 1 batches 1–9 and Tier 2 batches T2-1 to T2-3,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</si>
  <si>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</si>
  <si>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</si>
  <si>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</si>
  <si>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</si>
  <si>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</si>
  <si>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</si>
  <si>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</si>
  <si>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</si>
  <si>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</si>
  <si>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</si>
  <si>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</si>
  <si>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</si>
  <si>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</si>
  <si>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</si>
  <si>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</si>
  <si>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ID</t>
  </si>
  <si>
    <t xml:space="preserve">Product</t>
  </si>
  <si>
    <t xml:space="preserve">Primary keyword</t>
  </si>
  <si>
    <t xml:space="preserve">Volume</t>
  </si>
  <si>
    <t xml:space="preserve">KD</t>
  </si>
  <si>
    <t xml:space="preserve">CPC ($)</t>
  </si>
  <si>
    <t xml:space="preserve">Ease</t>
  </si>
  <si>
    <t xml:space="preserve">Where to use</t>
  </si>
  <si>
    <t xml:space="preserve">FR-115</t>
  </si>
  <si>
    <t xml:space="preserve">Dior Sauvage Eau de Parfum 100ml + 10ml Men's Gift Set</t>
  </si>
  <si>
    <t xml:space="preserve">H1 + meta title + first sentence; long-form description (premium rewrite)</t>
  </si>
  <si>
    <t xml:space="preserve">FR-378</t>
  </si>
  <si>
    <t xml:space="preserve">Tom Ford Black Orchid Parfum 100ml Unisex</t>
  </si>
  <si>
    <t xml:space="preserve">FR-375</t>
  </si>
  <si>
    <t xml:space="preserve">Tom Ford Oud Wood Eau de Parfum 50ml Unisex</t>
  </si>
  <si>
    <t xml:space="preserve">FR-269</t>
  </si>
  <si>
    <t xml:space="preserve">Joop! Homme Eau de Toilette 200ml – Men's Warm Spicy Long lasting Fragrance</t>
  </si>
  <si>
    <t xml:space="preserve">FR-379</t>
  </si>
  <si>
    <t xml:space="preserve">Tom Ford Noir Extreme Parfum 100ml for Men</t>
  </si>
  <si>
    <t xml:space="preserve">FR-220</t>
  </si>
  <si>
    <t xml:space="preserve">Gucci Intense Oud Eau de Parfum Spray 90ml – Long Lasting Luxury Unisex Oud Fragrance</t>
  </si>
  <si>
    <t xml:space="preserve">FR-292</t>
  </si>
  <si>
    <t xml:space="preserve">Marc Jacobs Perfect Eau de Parfum 50ml – Women's Floral Fragrance</t>
  </si>
  <si>
    <t xml:space="preserve">FR-077</t>
  </si>
  <si>
    <t xml:space="preserve">Calvin Klein Eternity Eau de Parfum – Women's Classic Floral Fragrance</t>
  </si>
  <si>
    <t xml:space="preserve">FR-257</t>
  </si>
  <si>
    <t xml:space="preserve">Hugo Boss Bottled Eau de Parfum 200ml for Men</t>
  </si>
  <si>
    <t xml:space="preserve">FR-217</t>
  </si>
  <si>
    <t xml:space="preserve">Gucci Flora Gorgeous Gardenia Eau de Parfum 50ml – Women's Floral Fragrance</t>
  </si>
  <si>
    <t xml:space="preserve">FR-374</t>
  </si>
  <si>
    <t xml:space="preserve">Tom Ford Neroli Portofino Eau de Parfum 50ml Unisex</t>
  </si>
  <si>
    <t xml:space="preserve">FR-095</t>
  </si>
  <si>
    <t xml:space="preserve">Chloé Nomade Eau de Parfum 50ml – Women's Floral Chypre Fragrance</t>
  </si>
  <si>
    <t xml:space="preserve">FR-304</t>
  </si>
  <si>
    <t xml:space="preserve">Paloma Picasso Eau de Toilette 100ml – Women's Chypre Floral Fragrance</t>
  </si>
  <si>
    <t xml:space="preserve">FR-015</t>
  </si>
  <si>
    <t xml:space="preserve">Al Haramain Amber Oud Eau de Parfum 60ml – Luxury Unisex Amber Woody Fragrance</t>
  </si>
  <si>
    <t xml:space="preserve">FR-291</t>
  </si>
  <si>
    <t xml:space="preserve">Marc Jacobs Honey Eau de Parfum 100ml – Women's Floral Fruity Fragrance</t>
  </si>
  <si>
    <t xml:space="preserve">FR-068</t>
  </si>
  <si>
    <t xml:space="preserve">Bvlgari Man in Black Eau de Parfum 100ml – Luxury Men's Fragrance</t>
  </si>
  <si>
    <t xml:space="preserve">FR-222</t>
  </si>
  <si>
    <t xml:space="preserve">Gucci Guilty Pour Homme Eau de Toilette 90ml – Men's Woody Aromatic Fragrance</t>
  </si>
  <si>
    <t xml:space="preserve">FR-184</t>
  </si>
  <si>
    <t xml:space="preserve">Game of Spades Full House Unisex Eau de Parfum 100ml</t>
  </si>
  <si>
    <t xml:space="preserve">FR-302</t>
  </si>
  <si>
    <t xml:space="preserve">Nina Ricci L'Air du Temps Eau de Toilette– Women's Floral Fragrance</t>
  </si>
  <si>
    <t xml:space="preserve">FR-058</t>
  </si>
  <si>
    <t xml:space="preserve">Bentley For Men Azure Eau de Toilette 100ml – Men's Fresh Aquatic Woody Fragrance</t>
  </si>
  <si>
    <t xml:space="preserve">FR-260</t>
  </si>
  <si>
    <t xml:space="preserve">Hugo Boss HUGO Man Eau de Toilette 125ml for Men</t>
  </si>
  <si>
    <t xml:space="preserve">FR-082</t>
  </si>
  <si>
    <t xml:space="preserve">Calvin Klein Defy Parfum – Men's Warm Woody Fragrance</t>
  </si>
  <si>
    <t xml:space="preserve">FR-112</t>
  </si>
  <si>
    <t xml:space="preserve">Davidoff The Game Eau de Toilette 100ml – Men's Woody Aromatic Fragrance</t>
  </si>
  <si>
    <t xml:space="preserve">FR-022</t>
  </si>
  <si>
    <t xml:space="preserve">Al Haramain L'Aventure Eau de Parfum 100ml – Men's Fresh Woody Longlasting Fragrance</t>
  </si>
  <si>
    <t xml:space="preserve">FR-377</t>
  </si>
  <si>
    <t xml:space="preserve">Tom Ford Ébène Fumé Eau de Parfum 50ml Unisex</t>
  </si>
  <si>
    <t xml:space="preserve">FR-193</t>
  </si>
  <si>
    <t xml:space="preserve">Game of Spades Wildcard Unisex Eau de Parfum 100ml</t>
  </si>
  <si>
    <t xml:space="preserve">FR-122</t>
  </si>
  <si>
    <t xml:space="preserve">Dolce &amp; Gabbana The One for Men Eau de Parfum 100ml – Luxury Men's Fragrance</t>
  </si>
  <si>
    <t xml:space="preserve">FR-335</t>
  </si>
  <si>
    <t xml:space="preserve">Acqua di Parma Zafferano EDP 20ml Unisex</t>
  </si>
  <si>
    <t xml:space="preserve">FR-365</t>
  </si>
  <si>
    <t xml:space="preserve">Kirke Extrait de Parfum 100ml – Luxury Unisex Fruity Niche Perfume</t>
  </si>
  <si>
    <t xml:space="preserve">FR-261</t>
  </si>
  <si>
    <t xml:space="preserve">Hugo Boss Alive Eau de Parfum 80ml + Body Lotion 75ml Gift Set for Women</t>
  </si>
  <si>
    <t xml:space="preserve">FR-016</t>
  </si>
  <si>
    <t xml:space="preserve">Al Haramain Amber Oud Gold Edition Eau de Parfum – Luxury Unisex Fruity Amber Fragrance</t>
  </si>
  <si>
    <t xml:space="preserve">FR-105</t>
  </si>
  <si>
    <t xml:space="preserve">Chopard Oud Malaki Eau de Parfum 80ml – Luxury Men's Oud Fragrance</t>
  </si>
  <si>
    <t xml:space="preserve">FR-232</t>
  </si>
  <si>
    <t xml:space="preserve">Guerlain Oud Essentiel Eau de Parfum 125ml – Luxury Unisex Oud Woody Fragrance</t>
  </si>
  <si>
    <t xml:space="preserve">FR-214</t>
  </si>
  <si>
    <t xml:space="preserve">Givenchy Amarige Eau de Toilette 100ml – Women's Floral Fragrance</t>
  </si>
  <si>
    <t xml:space="preserve">FR-008</t>
  </si>
  <si>
    <t xml:space="preserve">Acqua di Parma Sandalo EDP 20ml Unisex</t>
  </si>
  <si>
    <t xml:space="preserve">FR-018</t>
  </si>
  <si>
    <t xml:space="preserve">Al Haramain Amber Oud Tobacco Edition Eau de Parfum 60ml – Luxury Unisex Spicy Tobacco Fragrance</t>
  </si>
  <si>
    <t xml:space="preserve">FR-110</t>
  </si>
  <si>
    <t xml:space="preserve">Davidoff Champion Eau de Toilette 90ml – Men's Fresh Woody Aromatic Fragrance</t>
  </si>
  <si>
    <t xml:space="preserve">FR-146</t>
  </si>
  <si>
    <t xml:space="preserve">Elie Saab Elixir Eau de Parfum 50ml – Women's Floral Amber Fragrance</t>
  </si>
  <si>
    <t xml:space="preserve">FR-229</t>
  </si>
  <si>
    <t xml:space="preserve">Guerlain Habit Rouge Eau de Parfum 100ml – Luxury Men's Amber Woody Fragrance</t>
  </si>
  <si>
    <t xml:space="preserve">FR-233</t>
  </si>
  <si>
    <t xml:space="preserve">Guerlain Samsara Eau de Parfum 75ml – Luxury Women's Floral Woody Longlasting Fragrance</t>
  </si>
  <si>
    <t xml:space="preserve">FR-158</t>
  </si>
  <si>
    <t xml:space="preserve">Escada Magnetism Eau de Parfum 25ml – Women's Fruity Floral Fragrance</t>
  </si>
  <si>
    <t xml:space="preserve">FR-093</t>
  </si>
  <si>
    <t xml:space="preserve">Carolina Herrera 212 VIP Men Eau de Toilette 100ml – Men's Aromatic Woody Fragrance</t>
  </si>
  <si>
    <t xml:space="preserve">FR-117</t>
  </si>
  <si>
    <t xml:space="preserve">DKNY Be Tempted Eau de Parfum 100ml – Women's Fruity Floral Gourmand Fragrance</t>
  </si>
  <si>
    <t xml:space="preserve">FR-007</t>
  </si>
  <si>
    <t xml:space="preserve">Acqua di Parma Sakura EDP 20ml Unisex Perfume</t>
  </si>
  <si>
    <t xml:space="preserve">FR-088</t>
  </si>
  <si>
    <t xml:space="preserve">Carolina Herrera Bad Boy Extreme Eau de Parfum – Men's Warm Spicy Amber Fragrance</t>
  </si>
  <si>
    <t xml:space="preserve">FR-043</t>
  </si>
  <si>
    <t xml:space="preserve">Anna Sui Sky Eau de Toilette 30ml – Women's Fruity Floral Gourmand Fragrance</t>
  </si>
  <si>
    <t xml:space="preserve">FR-006</t>
  </si>
  <si>
    <t xml:space="preserve">Acqua di Parma Rosa Nobile EDP 20ml for Women</t>
  </si>
  <si>
    <t xml:space="preserve">FR-287</t>
  </si>
  <si>
    <t xml:space="preserve">Lancôme Idôle Nectar Eau de Parfum 25ml – Women's Floral Gourmand Fragrance</t>
  </si>
  <si>
    <t xml:space="preserve">FR-070</t>
  </si>
  <si>
    <t xml:space="preserve">Bvlgari Omnia Amethyste Eau de Toilette 25ml – Women's Floral Fragrance</t>
  </si>
  <si>
    <t xml:space="preserve">FR-094</t>
  </si>
  <si>
    <t xml:space="preserve">Carolina Herrera Very Good Girl Glam Parfum 50ml – Women's Floral Fruity Gourmand Fragrance</t>
  </si>
  <si>
    <t xml:space="preserve">Non-branded skincare &amp; haircare opportunities</t>
  </si>
  <si>
    <t xml:space="preserve">Category and concern searches: the main organic opportunity for Vilvah &amp; Deyga.</t>
  </si>
  <si>
    <t xml:space="preserve">Keyword</t>
  </si>
  <si>
    <t xml:space="preserve">Type</t>
  </si>
  <si>
    <t xml:space="preserve">moisturiser for dry skin</t>
  </si>
  <si>
    <t xml:space="preserve">Category / concern</t>
  </si>
  <si>
    <t xml:space="preserve">Concern collection page (H1 + intro + FAQ); product copy &amp; meta description</t>
  </si>
  <si>
    <t xml:space="preserve">hair mask for dry hair</t>
  </si>
  <si>
    <t xml:space="preserve">hair oil for dry hair</t>
  </si>
  <si>
    <t xml:space="preserve">face wash for dry skin</t>
  </si>
  <si>
    <t xml:space="preserve">face wash for oily skin</t>
  </si>
  <si>
    <t xml:space="preserve">shampoo for dandruff</t>
  </si>
  <si>
    <t xml:space="preserve">body lotion for dry skin</t>
  </si>
  <si>
    <t xml:space="preserve">hair serum for frizzy hair</t>
  </si>
  <si>
    <t xml:space="preserve">lip balm for dry lips</t>
  </si>
  <si>
    <t xml:space="preserve">hair treatment for dry hair</t>
  </si>
  <si>
    <t xml:space="preserve">natural sunscreen uk</t>
  </si>
  <si>
    <t xml:space="preserve">Category page H1 / intro; homepage section</t>
  </si>
  <si>
    <t xml:space="preserve">toner for dry skin</t>
  </si>
  <si>
    <t xml:space="preserve">natural shampoo uk</t>
  </si>
  <si>
    <t xml:space="preserve">natural skincare uk</t>
  </si>
  <si>
    <t xml:space="preserve">skincare for dull skin</t>
  </si>
  <si>
    <t xml:space="preserve">body butter for dry skin</t>
  </si>
  <si>
    <t xml:space="preserve">hair oil for hair loss</t>
  </si>
  <si>
    <t xml:space="preserve">face mask for oily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</si>
  <si>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</si>
  <si>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</si>
  <si>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</si>
  <si>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</si>
  <si>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</si>
  <si>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</si>
  <si>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</si>
  <si>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</si>
  <si>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</si>
  <si>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</si>
  <si>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</si>
  <si>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</si>
  <si>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</si>
  <si>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</si>
  <si>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vitamin c serum</t>
  </si>
  <si>
    <t xml:space="preserve">Generic product term</t>
  </si>
  <si>
    <t xml:space="preserve">New collection / keyword page + product copy</t>
  </si>
  <si>
    <t xml:space="preserve">face mask</t>
  </si>
  <si>
    <t xml:space="preserve">VD target keyword</t>
  </si>
  <si>
    <t xml:space="preserve">aloe vera gel</t>
  </si>
  <si>
    <t xml:space="preserve">niacinamide serum</t>
  </si>
  <si>
    <t xml:space="preserve">body scrub</t>
  </si>
  <si>
    <t xml:space="preserve">face serum</t>
  </si>
  <si>
    <t xml:space="preserve">sunscreen spf 50</t>
  </si>
  <si>
    <t xml:space="preserve">tinted sunscreen</t>
  </si>
  <si>
    <t xml:space="preserve">natural deodorant</t>
  </si>
  <si>
    <t xml:space="preserve">body butter</t>
  </si>
  <si>
    <t xml:space="preserve">lip scrub</t>
  </si>
  <si>
    <t xml:space="preserve">hair growth oil</t>
  </si>
  <si>
    <t xml:space="preserve">foot cream</t>
  </si>
  <si>
    <t xml:space="preserve">shampoo for hair loss</t>
  </si>
  <si>
    <t xml:space="preserve">spf lip balm</t>
  </si>
  <si>
    <t xml:space="preserve">natural sunscreen</t>
  </si>
  <si>
    <t xml:space="preserve">natural shampoo</t>
  </si>
  <si>
    <t xml:space="preserve">castor oil for hair</t>
  </si>
  <si>
    <t xml:space="preserve">henna hair dye</t>
  </si>
  <si>
    <t xml:space="preserve">night cream</t>
  </si>
  <si>
    <t xml:space="preserve">skincare gift set</t>
  </si>
  <si>
    <t xml:space="preserve">tinted lip balm</t>
  </si>
  <si>
    <t xml:space="preserve">under eye cream</t>
  </si>
  <si>
    <t xml:space="preserve">amla hair oil</t>
  </si>
  <si>
    <t xml:space="preserve">aluminium free deodorant</t>
  </si>
  <si>
    <t xml:space="preserve">natural hair dye</t>
  </si>
  <si>
    <t xml:space="preserve">moisturiser for oily skin</t>
  </si>
  <si>
    <t xml:space="preserve">tea tree face wash</t>
  </si>
  <si>
    <t xml:space="preserve">clay face mask</t>
  </si>
  <si>
    <t xml:space="preserve">natural skincare</t>
  </si>
  <si>
    <t xml:space="preserve">shampoo for dry hair</t>
  </si>
  <si>
    <t xml:space="preserve">face wash for sensitive skin</t>
  </si>
  <si>
    <t xml:space="preserve">natural body wash</t>
  </si>
  <si>
    <t xml:space="preserve">skincare for dry skin</t>
  </si>
  <si>
    <t xml:space="preserve">rice water shampoo</t>
  </si>
  <si>
    <t xml:space="preserve">natural lip balm</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</si>
  <si>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</si>
  <si>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</si>
  <si>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</si>
  <si>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</si>
  <si>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</si>
  <si>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</si>
  <si>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</si>
  <si>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</si>
  <si>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</si>
  <si>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Vilvah &amp; Deyga brand searches</t>
  </si>
  <si>
    <t xml:space="preserve">What people type about the two partner brands.</t>
  </si>
  <si>
    <t xml:space="preserve">vilvah</t>
  </si>
  <si>
    <t xml:space="preserve">Brand</t>
  </si>
  <si>
    <t xml:space="preserve">Brand page title + intro</t>
  </si>
  <si>
    <t xml:space="preserve">vilvah milk drops</t>
  </si>
  <si>
    <t xml:space="preserve">Google suggest (brand)</t>
  </si>
  <si>
    <t xml:space="preserve">Product page H1 / meta (matching product)</t>
  </si>
  <si>
    <t xml:space="preserve">deyga</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</si>
  <si>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</si>
  <si>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</si>
  <si>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</si>
  <si>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</si>
  <si>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</si>
  <si>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</si>
  <si>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</si>
  <si>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</si>
  <si>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</si>
  <si>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</si>
  <si>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</si>
  <si>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</si>
  <si>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</si>
  <si>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</si>
  <si>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</si>
  <si>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</si>
  <si>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</si>
  <si>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</si>
  <si>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</si>
  <si>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</si>
  <si>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</si>
  <si>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</si>
  <si>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</si>
  <si>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</si>
  <si>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</si>
  <si>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</si>
  <si>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</si>
  <si>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</si>
  <si>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</si>
  <si>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</si>
  <si>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</si>
  <si>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</si>
  <si>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</si>
  <si>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</si>
  <si>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</si>
  <si>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</si>
  <si>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</si>
  <si>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</si>
  <si>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</si>
  <si>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</si>
  <si>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</si>
  <si>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</si>
  <si>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</si>
  <si>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</si>
  <si>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</si>
  <si>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</si>
  <si>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</si>
  <si>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</si>
  <si>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</si>
  <si>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</si>
  <si>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</si>
  <si>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</si>
  <si>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</si>
  <si>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</si>
  <si>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</si>
  <si>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</si>
  <si>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</si>
  <si>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</si>
  <si>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</si>
  <si>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</si>
  <si>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</si>
  <si>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</si>
  <si>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</si>
  <si>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Title len</t>
  </si>
  <si>
    <t xml:space="preserve">Meta description</t>
  </si>
  <si>
    <t xml:space="preserve">Desc len</t>
  </si>
  <si>
    <t xml:space="preserve">Intro paragraph (first lines of product copy)</t>
  </si>
  <si>
    <t xml:space="preserve">FAQ ideas (Google autocomplete)</t>
  </si>
  <si>
    <t xml:space="preserve">Source description</t>
  </si>
  <si>
    <t xml:space="preserve">Claims check</t>
  </si>
  <si>
    <t xml:space="preserve">VD-001</t>
  </si>
  <si>
    <t xml:space="preserve">Vilvah</t>
  </si>
  <si>
    <t xml:space="preserve">Rosewater Facial Toner</t>
  </si>
  <si>
    <t xml:space="preserve">Toners</t>
  </si>
  <si>
    <t xml:space="preserve">Skin Nourishment</t>
  </si>
  <si>
    <t xml:space="preserve">/collections/toner-for-dry-skin</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</si>
  <si>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</si>
  <si>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</si>
  <si>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£50.</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</si>
  <si>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</si>
  <si>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</si>
  <si>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VD-002</t>
  </si>
  <si>
    <t xml:space="preserve">Hair growth oil</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</si>
  <si>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</si>
  <si>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</si>
  <si>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</si>
  <si>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</si>
  <si>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</si>
  <si>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Buy Vilvah Hair Growth Oil, a natural hair growth oil from Vilvah. Official UK partner: 100% authentic, shipped from the UK, free delivery over £50.</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</si>
  <si>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</si>
  <si>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</si>
  <si>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</si>
  <si>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VD-003</t>
  </si>
  <si>
    <t xml:space="preserve">Classic Goatmilk Soap</t>
  </si>
  <si>
    <t xml:space="preserve">Bath &amp; Body Wash</t>
  </si>
  <si>
    <t xml:space="preserve">Body Cleansing</t>
  </si>
  <si>
    <t xml:space="preserve">/collections/shower-gel-body-wash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</si>
  <si>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</si>
  <si>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</si>
  <si>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£50.</t>
  </si>
  <si>
    <t xml:space="preserve">Vilvah Classic Goatmilk Soap is a natural body wash from Vilvah. Swansura is an official UK partner of Vilvah, so every order is 100% authentic and ships from the UK.</t>
  </si>
  <si>
    <t xml:space="preserve">Not found – write from pack</t>
  </si>
  <si>
    <t xml:space="preserve">VD-004</t>
  </si>
  <si>
    <t xml:space="preserve">Deo Shot - Rose and Vanilla</t>
  </si>
  <si>
    <t xml:space="preserve">Deodorant</t>
  </si>
  <si>
    <t xml:space="preserve">Body Hydration</t>
  </si>
  <si>
    <t xml:space="preserve">/collections/deodorant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</si>
  <si>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</si>
  <si>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</si>
  <si>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£50.</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</si>
  <si>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</si>
  <si>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VD-005</t>
  </si>
  <si>
    <t xml:space="preserve">Skin finish Sunscreen SPF 50</t>
  </si>
  <si>
    <t xml:space="preserve">SPF for Face</t>
  </si>
  <si>
    <t xml:space="preserve">Sun Protection</t>
  </si>
  <si>
    <t xml:space="preserve">/collections/natural-sunscreen</t>
  </si>
  <si>
    <t xml:space="preserve">Vilvah Skin Finish Sunscreen SPF 50</t>
  </si>
  <si>
    <t xml:space="preserve">Vilvah Skin Finish Sunscreen SPF 50 | Natural Sunscreen</t>
  </si>
  <si>
    <t xml:space="preserve">Buy Vilvah Skin Finish Sunscreen SPF 50, a natural sunscreen from Vilvah. Official UK partner: 100% authentic, shipped from the UK, free delivery over £50.</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</si>
  <si>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</si>
  <si>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</si>
  <si>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VD-006</t>
  </si>
  <si>
    <t xml:space="preserve">Milk Powder Face Wash</t>
  </si>
  <si>
    <t xml:space="preserve">Cleansers</t>
  </si>
  <si>
    <t xml:space="preserve">/collections/face-wash-for-oily-skin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</si>
  <si>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</si>
  <si>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</si>
  <si>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£50.</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</si>
  <si>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</si>
  <si>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</si>
  <si>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VD-007</t>
  </si>
  <si>
    <t xml:space="preserve">Ultra Moisturising Cream</t>
  </si>
  <si>
    <t xml:space="preserve">Moisturisers</t>
  </si>
  <si>
    <t xml:space="preserve">Dry Skin</t>
  </si>
  <si>
    <t xml:space="preserve">/collections/moisturiser-for-dry-skin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</si>
  <si>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</si>
  <si>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</si>
  <si>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£50.</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</si>
  <si>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</si>
  <si>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</si>
  <si>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</si>
  <si>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</si>
  <si>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</si>
  <si>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£50.</t>
  </si>
  <si>
    <t xml:space="preserve">Vilvah Classic Rose Goatmilk Soap is a natural body wash from Vilvah. Swansura is an official UK partner of Vilvah, so every order is 100% authentic and ships from the UK.</t>
  </si>
  <si>
    <t xml:space="preserve">VD-009</t>
  </si>
  <si>
    <t xml:space="preserve">Goat Milk Body Wash</t>
  </si>
  <si>
    <t xml:space="preserve">Vilvah Goat Milk Body Wash</t>
  </si>
  <si>
    <t xml:space="preserve">Vilvah Goat Milk Body Wash – Natural Body Wash | Swansura</t>
  </si>
  <si>
    <t xml:space="preserve">Buy Vilvah Goat Milk Body Wash, a natural body wash from Vilvah. Official UK partner: 100% authentic, shipped from the UK, free delivery over £50.</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</si>
  <si>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</si>
  <si>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</si>
  <si>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VD-010</t>
  </si>
  <si>
    <t xml:space="preserve">Rose Milk Lip Balm</t>
  </si>
  <si>
    <t xml:space="preserve">Lip Care</t>
  </si>
  <si>
    <t xml:space="preserve">Dry Lips</t>
  </si>
  <si>
    <t xml:space="preserve">/collections/lip-balm-for-dry-lips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</si>
  <si>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</si>
  <si>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</si>
  <si>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£50.</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</si>
  <si>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</si>
  <si>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</si>
  <si>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</si>
  <si>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</si>
  <si>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</si>
  <si>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</si>
  <si>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£50.</t>
  </si>
  <si>
    <t xml:space="preserve">Vilvah Charcoal Goatmilk Soap is a natural body wash from Vilvah. Swansura is an official UK partner of Vilvah, so every order is 100% authentic and ships from the UK.</t>
  </si>
  <si>
    <t xml:space="preserve">VD-012</t>
  </si>
  <si>
    <t xml:space="preserve">Cream Conditioner</t>
  </si>
  <si>
    <t xml:space="preserve">Conditioner</t>
  </si>
  <si>
    <t xml:space="preserve">Hair Nourishment</t>
  </si>
  <si>
    <t xml:space="preserve">/collections/hair-mask-for-dry-hair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</si>
  <si>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</si>
  <si>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</si>
  <si>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£50.</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</si>
  <si>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</si>
  <si>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</si>
  <si>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VD-013</t>
  </si>
  <si>
    <t xml:space="preserve">Goat Milk Shampoo</t>
  </si>
  <si>
    <t xml:space="preserve">Shampoo</t>
  </si>
  <si>
    <t xml:space="preserve">/collections/natural-shampoo</t>
  </si>
  <si>
    <t xml:space="preserve">Vilvah Goat Milk Shampoo</t>
  </si>
  <si>
    <t xml:space="preserve">Vilvah Goat Milk Shampoo – Natural Shampoo | Swansura</t>
  </si>
  <si>
    <t xml:space="preserve">Buy Vilvah Goat Milk Shampoo, a natural shampoo from Vilvah. Official UK partner: 100% authentic, shipped from the UK, free delivery over £50.</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</si>
  <si>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</si>
  <si>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</si>
  <si>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</si>
  <si>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</si>
  <si>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</si>
  <si>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</si>
  <si>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£50.</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</si>
  <si>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</si>
  <si>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</si>
  <si>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</si>
  <si>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</si>
  <si>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</si>
  <si>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</si>
  <si>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£50.</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</si>
  <si>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</si>
  <si>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</si>
  <si>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VD-016</t>
  </si>
  <si>
    <t xml:space="preserve">Milk Body Lotion</t>
  </si>
  <si>
    <t xml:space="preserve">Body Cream &amp; Lotions</t>
  </si>
  <si>
    <t xml:space="preserve">/collections/body-lotion-for-dry-skin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</si>
  <si>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</si>
  <si>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</si>
  <si>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£50.</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</si>
  <si>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</si>
  <si>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</si>
  <si>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</si>
  <si>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</si>
  <si>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</si>
  <si>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</si>
  <si>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£50.</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</si>
  <si>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</si>
  <si>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</si>
  <si>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VD-018</t>
  </si>
  <si>
    <t xml:space="preserve">Milk Mud Mask</t>
  </si>
  <si>
    <t xml:space="preserve">Face Masks</t>
  </si>
  <si>
    <t xml:space="preserve">/collections/face-mask</t>
  </si>
  <si>
    <t xml:space="preserve">Vilvah Milk Mud Mask</t>
  </si>
  <si>
    <t xml:space="preserve">Vilvah Milk Mud Mask | Face Mask</t>
  </si>
  <si>
    <t xml:space="preserve">Buy Vilvah Milk Mud Mask, a natural face mask from Vilvah. Instantly brightens and rejuvenates dull, tanned skin. Free UK delivery over £50.</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</si>
  <si>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</si>
  <si>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</si>
  <si>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VD-019</t>
  </si>
  <si>
    <t xml:space="preserve">Wild Rose Facemask</t>
  </si>
  <si>
    <t xml:space="preserve">Vilvah Wild Rose Facemask</t>
  </si>
  <si>
    <t xml:space="preserve">Vilvah Wild Rose Facemask | Face Mask</t>
  </si>
  <si>
    <t xml:space="preserve">Buy Vilvah Wild Rose Facemask, a natural face mask from Vilvah. Official UK partner: 100% authentic, shipped from the UK, free delivery over £50.</t>
  </si>
  <si>
    <t xml:space="preserve">Vilvah Wild Rose Facemask is a natural face mask from Vilvah. Swansura is an official UK partner of Vilvah, so every order is 100% authentic and ships from the UK.</t>
  </si>
  <si>
    <t xml:space="preserve">VD-020</t>
  </si>
  <si>
    <t xml:space="preserve">Aloe Vera Gel</t>
  </si>
  <si>
    <t xml:space="preserve">Vilvah Aloe Vera Gel</t>
  </si>
  <si>
    <t xml:space="preserve">Vilvah Aloe Vera Gel | Aloe Vera Gel</t>
  </si>
  <si>
    <t xml:space="preserve">Buy Vilvah Aloe Vera Gel, a natural aloe vera gel from Vilvah. Official UK partner: 100% authentic, shipped from the UK, free delivery over £50.</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</si>
  <si>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</si>
  <si>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</si>
  <si>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VD-021</t>
  </si>
  <si>
    <t xml:space="preserve">Anti-dandruff Hair oil</t>
  </si>
  <si>
    <t xml:space="preserve">Anti-Dandruff</t>
  </si>
  <si>
    <t xml:space="preserve">Vilvah Anti-dandruff Hair Oil</t>
  </si>
  <si>
    <t xml:space="preserve">Vilvah Anti-dandruff Hair Oil – Hair Growth Oil | Swansura</t>
  </si>
  <si>
    <t xml:space="preserve">Buy Vilvah Anti-dandruff Hair Oil, a natural hair growth oil from Vilvah. Official UK partner: 100% authentic, shipped from the UK, free delivery over £50.</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</si>
  <si>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</si>
  <si>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</si>
  <si>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VD-022</t>
  </si>
  <si>
    <t xml:space="preserve">Anti-Frizz Hair Serum</t>
  </si>
  <si>
    <t xml:space="preserve">Hair Serums</t>
  </si>
  <si>
    <t xml:space="preserve">Frizzy Hair</t>
  </si>
  <si>
    <t xml:space="preserve">/collections/hair-serum-for-frizzy-hair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</si>
  <si>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</si>
  <si>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</si>
  <si>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£50.</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</si>
  <si>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</si>
  <si>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</si>
  <si>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VD-023</t>
  </si>
  <si>
    <t xml:space="preserve">Better Ageing Serum</t>
  </si>
  <si>
    <t xml:space="preserve">Serums</t>
  </si>
  <si>
    <t xml:space="preserve">Anti-Ageing</t>
  </si>
  <si>
    <t xml:space="preserve">/collections/face-serum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</si>
  <si>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</si>
  <si>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</si>
  <si>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£50.</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</si>
  <si>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</si>
  <si>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</si>
  <si>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VD-024</t>
  </si>
  <si>
    <t xml:space="preserve">Charcoal Facemask</t>
  </si>
  <si>
    <t xml:space="preserve">Oily Skin</t>
  </si>
  <si>
    <t xml:space="preserve">/collections/face-mask-for-oily-skin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</si>
  <si>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</si>
  <si>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</si>
  <si>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£50.</t>
  </si>
  <si>
    <t xml:space="preserve">Vilvah Charcoal Facemask is a natural face mask for oily skin from Vilvah. Swansura is an official UK partner of Vilvah, so every order is 100% authentic and ships from the UK.</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</si>
  <si>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</si>
  <si>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</si>
  <si>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</si>
  <si>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</si>
  <si>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£50.</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</si>
  <si>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</si>
  <si>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VD-026</t>
  </si>
  <si>
    <t xml:space="preserve">Cookie n Cream Body Polish</t>
  </si>
  <si>
    <t xml:space="preserve">Body Scrub &amp; Exfoliators</t>
  </si>
  <si>
    <t xml:space="preserve">Dull Skin</t>
  </si>
  <si>
    <t xml:space="preserve">/collections/body-scrub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</si>
  <si>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</si>
  <si>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</si>
  <si>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£50.</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</si>
  <si>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</si>
  <si>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VD-027</t>
  </si>
  <si>
    <t xml:space="preserve">Cream Face Wash (Fragrance free)</t>
  </si>
  <si>
    <t xml:space="preserve">/collections/face-wash-for-dry-skin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</si>
  <si>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</si>
  <si>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</si>
  <si>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£50.</t>
  </si>
  <si>
    <t xml:space="preserve">Vilvah Cream Face Wash (Fragrance Free) is a natural face wash for dry skin from Vilvah. Swansura is an official UK partner of Vilvah, so every order is 100% authentic and ships from the UK.</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</si>
  <si>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</si>
  <si>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</si>
  <si>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</si>
  <si>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</si>
  <si>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£50.</t>
  </si>
  <si>
    <t xml:space="preserve">Vilvah Cucumber, Curd &amp; Mint Soap is a natural body wash from Vilvah. Swansura is an official UK partner of Vilvah, so every order is 100% authentic and ships from the UK.</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</si>
  <si>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</si>
  <si>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</si>
  <si>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</si>
  <si>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</si>
  <si>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£50.</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</si>
  <si>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</si>
  <si>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VD-030</t>
  </si>
  <si>
    <t xml:space="preserve">Foot Cream</t>
  </si>
  <si>
    <t xml:space="preserve">Vilvah Foot Cream</t>
  </si>
  <si>
    <t xml:space="preserve">Vilvah Foot Cream | Foot Cream</t>
  </si>
  <si>
    <t xml:space="preserve">Buy Vilvah Foot Cream, a natural foot cream from Vilvah. Official UK partner: 100% authentic, shipped from the UK, free delivery over £50.</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</si>
  <si>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</si>
  <si>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</si>
  <si>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VD-031</t>
  </si>
  <si>
    <t xml:space="preserve">Goat Milk Hair Mask</t>
  </si>
  <si>
    <t xml:space="preserve">Hair Masks</t>
  </si>
  <si>
    <t xml:space="preserve">Dry Hair</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</si>
  <si>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</si>
  <si>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</si>
  <si>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£50.</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</si>
  <si>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</si>
  <si>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</si>
  <si>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VD-032</t>
  </si>
  <si>
    <t xml:space="preserve">VD-033</t>
  </si>
  <si>
    <t xml:space="preserve">VD-034</t>
  </si>
  <si>
    <t xml:space="preserve">Herbal Shampoo (Dandruff Control)</t>
  </si>
  <si>
    <t xml:space="preserve">/collections/shampoo-for-dandruff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</si>
  <si>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</si>
  <si>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</si>
  <si>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£50.</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</si>
  <si>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</si>
  <si>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</si>
  <si>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</si>
  <si>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</si>
  <si>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</si>
  <si>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</si>
  <si>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£50.</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</si>
  <si>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</si>
  <si>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</si>
  <si>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VD-036</t>
  </si>
  <si>
    <t xml:space="preserve">Lip Scrub</t>
  </si>
  <si>
    <t xml:space="preserve">Lip Exfoliation</t>
  </si>
  <si>
    <t xml:space="preserve">/collections/lip-scrub</t>
  </si>
  <si>
    <t xml:space="preserve">Vilvah Lip Scrub</t>
  </si>
  <si>
    <t xml:space="preserve">Vilvah Lip Scrub | Lip Scrub</t>
  </si>
  <si>
    <t xml:space="preserve">Buy Vilvah Lip Scrub, a natural lip scrub from Vilvah. Official UK partner: 100% authentic, shipped from the UK, free delivery over £50.</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</si>
  <si>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</si>
  <si>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</si>
  <si>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VD-037</t>
  </si>
  <si>
    <t xml:space="preserve">Men's Comb / Detangling Comb</t>
  </si>
  <si>
    <t xml:space="preserve">Hair Accessories</t>
  </si>
  <si>
    <t xml:space="preserve">/collections/natural-skincare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</si>
  <si>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</si>
  <si>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</si>
  <si>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£50.</t>
  </si>
  <si>
    <t xml:space="preserve">Vilvah Men's Comb / Detangling Comb is natural skincare from Vilvah. Swansura is an official UK partner of Vilvah, so every order is 100% authentic and ships from the UK.</t>
  </si>
  <si>
    <t xml:space="preserve">VD-038</t>
  </si>
  <si>
    <t xml:space="preserve">Milk Drops Brightening Serum 20ml</t>
  </si>
  <si>
    <t xml:space="preserve">/collections/dull-skin</t>
  </si>
  <si>
    <t xml:space="preserve">Vilvah Milk Drops Brightening Serum</t>
  </si>
  <si>
    <t xml:space="preserve">Vilvah Milk Drops Brightening Serum | Skincare for Dull Skin</t>
  </si>
  <si>
    <t xml:space="preserve">Buy Vilvah Milk Drops Brightening Serum, natural skincare for dull skin from Vilvah. Official UK partner, 100% authentic, free UK delivery over £50.</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</si>
  <si>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</si>
  <si>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</si>
  <si>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VD-039</t>
  </si>
  <si>
    <t xml:space="preserve">Milk Drops Brightening Serum 40ml</t>
  </si>
  <si>
    <t xml:space="preserve">VD-040</t>
  </si>
  <si>
    <t xml:space="preserve">Milk Lip Balm SPF 30 PA+++</t>
  </si>
  <si>
    <t xml:space="preserve">Vilvah Milk Lip Balm SPF 30 PA</t>
  </si>
  <si>
    <t xml:space="preserve">Vilvah Milk Lip Balm SPF 30 PA – Spf Lip Balm | Swansura</t>
  </si>
  <si>
    <t xml:space="preserve">Buy Vilvah Milk Lip Balm SPF 30 PA, a natural spf lip balm from Vilvah. Official UK partner: 100% authentic, shipped from the UK, free delivery over £50.</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</si>
  <si>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</si>
  <si>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</si>
  <si>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</si>
  <si>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</si>
  <si>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</si>
  <si>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£50.</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</si>
  <si>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</si>
  <si>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</si>
  <si>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</si>
  <si>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</si>
  <si>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</si>
  <si>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£50.</t>
  </si>
  <si>
    <t xml:space="preserve">Vilvah Neem Wood Comb(Fine and Wide Tooth) is natural skincare from Vilvah. Swansura is an official UK partner of Vilvah, so every order is 100% authentic and ships from the UK.</t>
  </si>
  <si>
    <t xml:space="preserve">VD-043</t>
  </si>
  <si>
    <t xml:space="preserve">Under Eye Cream (Dark Circles Control)</t>
  </si>
  <si>
    <t xml:space="preserve">Dark Circles</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</si>
  <si>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</si>
  <si>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</si>
  <si>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£50.</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</si>
  <si>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</si>
  <si>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</si>
  <si>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</si>
  <si>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</si>
  <si>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</si>
  <si>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</si>
  <si>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£50.</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</si>
  <si>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</si>
  <si>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</si>
  <si>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VD-045</t>
  </si>
  <si>
    <t xml:space="preserve">Mango Shake Lip Balm</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</si>
  <si>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</si>
  <si>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</si>
  <si>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£50.</t>
  </si>
  <si>
    <t xml:space="preserve">Vilvah Mango Shake Lip Balm is a natural lip balm for dry lips from Vilvah. Swansura is an official UK partner of Vilvah, so every order is 100% authentic and ships from the UK.</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</si>
  <si>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</si>
  <si>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</si>
  <si>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</si>
  <si>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</si>
  <si>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£50.</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</si>
  <si>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</si>
  <si>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</si>
  <si>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VD-047</t>
  </si>
  <si>
    <t xml:space="preserve">Vilvah Milk Body Kit</t>
  </si>
  <si>
    <t xml:space="preserve">Gift Sets &amp; Combos</t>
  </si>
  <si>
    <t xml:space="preserve">/collections/dry-skin</t>
  </si>
  <si>
    <t xml:space="preserve">Vilvah Milk Body Kit – Skincare for Dry Skin | Swansura</t>
  </si>
  <si>
    <t xml:space="preserve">Buy Vilvah Milk Body Kit, natural skincare for dry skin from Vilvah. Official UK partner: 100% authentic, shipped from the UK, free delivery over £50.</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</si>
  <si>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</si>
  <si>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</si>
  <si>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</si>
  <si>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</si>
  <si>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£50.</t>
  </si>
  <si>
    <t xml:space="preserve">Vilvah Foot Cream and Body Lotion Kit is natural skincare for dry skin from Vilvah. Swansura is an official UK partner of Vilvah, so every order is 100% authentic and ships from the UK.</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</si>
  <si>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</si>
  <si>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</si>
  <si>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</si>
  <si>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£50.</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</si>
  <si>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</si>
  <si>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</si>
  <si>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</si>
  <si>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</si>
  <si>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</si>
  <si>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£50.</t>
  </si>
  <si>
    <t xml:space="preserve">Vilvah Oil Control Kit is a natural face wash for oily skin from Vilvah. Swansura is an official UK partner of Vilvah, so every order is 100% authentic and ships from the UK.</t>
  </si>
  <si>
    <t xml:space="preserve">VD-051</t>
  </si>
  <si>
    <t xml:space="preserve">Vilvah Sensitive Skin Kit</t>
  </si>
  <si>
    <t xml:space="preserve">Sensitive Skin</t>
  </si>
  <si>
    <t xml:space="preserve">/collections/gifts-for-her</t>
  </si>
  <si>
    <t xml:space="preserve">Vilvah Sensitive Skin Kit – Skincare Gift Set | Swansura</t>
  </si>
  <si>
    <t xml:space="preserve">Buy Vilvah Sensitive Skin Kit, natural skincare gift set from Vilvah. Steam-distilled Rose Toner calms and balances sensitive skin. Free UK delivery over £50.</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</si>
  <si>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</si>
  <si>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VD-052</t>
  </si>
  <si>
    <t xml:space="preserve">Vilvah Anti‑Acne Kit</t>
  </si>
  <si>
    <t xml:space="preserve">Acne &amp; Blemishes</t>
  </si>
  <si>
    <t xml:space="preserve">Vilvah Anti‑Acne Kit – Face Wash for Oily Skin | Swansura</t>
  </si>
  <si>
    <t xml:space="preserve">Buy Vilvah Anti‑Acne Kit, a natural face wash for oily skin from Vilvah. Official UK partner: 100% authentic, shipped from the UK, free delivery over £50.</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</si>
  <si>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</si>
  <si>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</si>
  <si>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</si>
  <si>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</si>
  <si>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£50.</t>
  </si>
  <si>
    <t xml:space="preserve">Vilvah Anti‑Dandruff Haircare Kit is a natural shampoo for dandruff from Vilvah. Swansura is an official UK partner of Vilvah, so every order is 100% authentic and ships from the UK.</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</si>
  <si>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</si>
  <si>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</si>
  <si>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</si>
  <si>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£50.</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</si>
  <si>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</si>
  <si>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</si>
  <si>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</si>
  <si>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</si>
  <si>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£50.</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</si>
  <si>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</si>
  <si>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VD-056</t>
  </si>
  <si>
    <t xml:space="preserve">Vilvah Night Repair Kit</t>
  </si>
  <si>
    <t xml:space="preserve">Damaged Skin Barrier</t>
  </si>
  <si>
    <t xml:space="preserve">Vilvah Night Repair Kit – Skincare Gift Set | Swansura</t>
  </si>
  <si>
    <t xml:space="preserve">Buy Vilvah Night Repair Kit, natural skincare gift set from Vilvah. Official UK partner: 100% authentic, shipped from the UK, free delivery over £50.</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</si>
  <si>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</si>
  <si>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</si>
  <si>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</si>
  <si>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</si>
  <si>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£50.</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</si>
  <si>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</si>
  <si>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VD-058</t>
  </si>
  <si>
    <t xml:space="preserve">Vilvah Better Ageing Kit</t>
  </si>
  <si>
    <t xml:space="preserve">Vilvah Better Ageing Kit – Skincare Gift Set | Swansura</t>
  </si>
  <si>
    <t xml:space="preserve">Buy Vilvah Better Ageing Kit, natural skincare gift set from Vilvah. Official UK partner: 100% authentic, shipped from the UK, free delivery over £50.</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</si>
  <si>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</si>
  <si>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</si>
  <si>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</si>
  <si>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</si>
  <si>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</si>
  <si>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£50.</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</si>
  <si>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</si>
  <si>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</si>
  <si>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</si>
  <si>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</si>
  <si>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</si>
  <si>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£50.</t>
  </si>
  <si>
    <t xml:space="preserve">Vilvah Tan Protection Kit is a natural sunscreen from Vilvah. Swansura is an official UK partner of Vilvah, so every order is 100% authentic and ships from the UK.</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</si>
  <si>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</si>
  <si>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</si>
  <si>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</si>
  <si>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</si>
  <si>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£50.</t>
  </si>
  <si>
    <t xml:space="preserve">Vilvah Skin Radiance Kit is natural skincare for dull skin from Vilvah. Swansura is an official UK partner of Vilvah, so every order is 100% authentic and ships from the UK.</t>
  </si>
  <si>
    <t xml:space="preserve">VD-062</t>
  </si>
  <si>
    <t xml:space="preserve">Vilvah Pore Minimising Kit</t>
  </si>
  <si>
    <t xml:space="preserve">Blackheads &amp; Pores</t>
  </si>
  <si>
    <t xml:space="preserve">Vilvah Pore Minimising Kit – Skincare Gift Set | Swansura</t>
  </si>
  <si>
    <t xml:space="preserve">Buy Vilvah Pore Minimising Kit, natural skincare gift set from Vilvah. Official UK partner: 100% authentic, shipped from the UK, free delivery over £50.</t>
  </si>
  <si>
    <t xml:space="preserve">Vilvah Pore Minimising Kit is natural skincare gift set from Vilvah. Swansura is an official UK partner of Vilvah, so every order is 100% authentic and ships from the UK.</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</si>
  <si>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</si>
  <si>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</si>
  <si>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</si>
  <si>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£50.</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</si>
  <si>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</si>
  <si>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</si>
  <si>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</si>
  <si>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</si>
  <si>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£50.</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</si>
  <si>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</si>
  <si>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</si>
  <si>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</si>
  <si>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</si>
  <si>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</si>
  <si>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£50.</t>
  </si>
  <si>
    <t xml:space="preserve">Vilvah Budget Skincare Combo is natural skincare for dry skin from Vilvah. Swansura is an official UK partner of Vilvah, so every order is 100% authentic and ships from the UK.</t>
  </si>
  <si>
    <t xml:space="preserve">VD-066</t>
  </si>
  <si>
    <t xml:space="preserve">Vilvah Face Lift Kit</t>
  </si>
  <si>
    <t xml:space="preserve">Vilvah Face Lift Kit – Skincare Gift Set | Swansura</t>
  </si>
  <si>
    <t xml:space="preserve">Buy Vilvah Face Lift Kit, natural skincare gift set from Vilvah. Official UK partner: 100% authentic, shipped from the UK, free delivery over £50.</t>
  </si>
  <si>
    <t xml:space="preserve">Vilvah Face Lift Kit is natural skincare gift set from Vilvah. Swansura is an official UK partner of Vilvah, so every order is 100% authentic and ships from the UK.</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</si>
  <si>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</si>
  <si>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</si>
  <si>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</si>
  <si>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</si>
  <si>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£50.</t>
  </si>
  <si>
    <t xml:space="preserve">Vilvah X Annapoorna Gift Box is a natural body lotion for dry skin from Vilvah. Swansura is an official UK partner of Vilvah, so every order is 100% authentic and ships from the UK.</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</si>
  <si>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</si>
  <si>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</si>
  <si>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</si>
  <si>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</si>
  <si>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£50.</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</si>
  <si>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</si>
  <si>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</si>
  <si>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</si>
  <si>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</si>
  <si>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£50.</t>
  </si>
  <si>
    <t xml:space="preserve">Vilvah Store Frizz Free Hair Combo is a natural hair serum for frizzy hair from Vilvah. Swansura is an official UK partner of Vilvah, so every order is 100% authentic and ships from the UK.</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</si>
  <si>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</si>
  <si>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</si>
  <si>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</si>
  <si>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£50.</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</si>
  <si>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</si>
  <si>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</si>
  <si>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</si>
  <si>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</si>
  <si>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£50.</t>
  </si>
  <si>
    <t xml:space="preserve">Vilvah Shampoo and Hair Serum Kit is a natural hair mask for dry hair from Vilvah. Swansura is an official UK partner of Vilvah, so every order is 100% authentic and ships from the UK.</t>
  </si>
  <si>
    <t xml:space="preserve">VD-072</t>
  </si>
  <si>
    <t xml:space="preserve">Vilvah Hair Strengthening Kit</t>
  </si>
  <si>
    <t xml:space="preserve">Damaged Hair</t>
  </si>
  <si>
    <t xml:space="preserve">Vilvah Hair Strengthening Kit – Skincare Gift Set | Swansura</t>
  </si>
  <si>
    <t xml:space="preserve">Buy Vilvah Hair Strengthening Kit, natural skincare gift set from Vilvah. Official UK partner: 100% authentic, shipped from the UK, free delivery over £50.</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</si>
  <si>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</si>
  <si>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VD-073</t>
  </si>
  <si>
    <t xml:space="preserve">Vilvah Lip Lightening Kit</t>
  </si>
  <si>
    <t xml:space="preserve">Pigmentation</t>
  </si>
  <si>
    <t xml:space="preserve">Vilvah Lip Lightening Kit – Skincare Gift Set | Swansura</t>
  </si>
  <si>
    <t xml:space="preserve">Buy Vilvah Lip Lightening Kit, natural skincare gift set from Vilvah. Official UK partner: 100% authentic, shipped from the UK, free delivery over £50.</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</si>
  <si>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</si>
  <si>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</si>
  <si>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</si>
  <si>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</si>
  <si>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£50.</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</si>
  <si>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</si>
  <si>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</si>
  <si>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</si>
  <si>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</si>
  <si>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£50.</t>
  </si>
  <si>
    <t xml:space="preserve">Vilvah Anti Frizz Hair Kit is a natural hair serum for frizzy hair from Vilvah. Swansura is an official UK partner of Vilvah, so every order is 100% authentic and ships from the UK.</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</si>
  <si>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</si>
  <si>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</si>
  <si>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</si>
  <si>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£50.</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</si>
  <si>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</si>
  <si>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VD-077</t>
  </si>
  <si>
    <t xml:space="preserve">Vilvah Hairfall Control Kit</t>
  </si>
  <si>
    <t xml:space="preserve">/collections/hair-oil-for-hair-loss</t>
  </si>
  <si>
    <t xml:space="preserve">Vilvah Hairfall Control Kit | Hair Oil for Hair Loss</t>
  </si>
  <si>
    <t xml:space="preserve">Buy Vilvah Hairfall Control Kit, a natural hair oil for hair loss from Vilvah. Official UK partner: 100% authentic, shipped from the UK, free delivery over £50.</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</si>
  <si>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</si>
  <si>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</si>
  <si>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</si>
  <si>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</si>
  <si>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</si>
  <si>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£50.</t>
  </si>
  <si>
    <t xml:space="preserve">Vilvah Goat Milk Hair Kit is a natural hair mask for dry hair from Vilvah. Swansura is an official UK partner of Vilvah, so every order is 100% authentic and ships from the UK.</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</si>
  <si>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</si>
  <si>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</si>
  <si>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</si>
  <si>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£50.</t>
  </si>
  <si>
    <t xml:space="preserve">Vilvah Everyday Care Milk Kit is a natural body lotion for dry skin from Vilvah. Swansura is an official UK partner of Vilvah, so every order is 100% authentic and ships from the UK.</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</si>
  <si>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</si>
  <si>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</si>
  <si>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</si>
  <si>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£50.</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</si>
  <si>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</si>
  <si>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VD-082</t>
  </si>
  <si>
    <t xml:space="preserve">Deyga</t>
  </si>
  <si>
    <t xml:space="preserve">Chocolate Body Butter 100G</t>
  </si>
  <si>
    <t xml:space="preserve">Body Butters</t>
  </si>
  <si>
    <t xml:space="preserve">/collections/body-butter</t>
  </si>
  <si>
    <t xml:space="preserve">Deyga Chocolate Body Butter</t>
  </si>
  <si>
    <t xml:space="preserve">Deyga Chocolate Body Butter – Body Butter | Swansura</t>
  </si>
  <si>
    <t xml:space="preserve">Buy Deyga Chocolate Body Butter, a natural body butter from Deyga. Official UK partner: 100% authentic, shipped from the UK, free delivery over £50.</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</si>
  <si>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</si>
  <si>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VD-083</t>
  </si>
  <si>
    <t xml:space="preserve">Charcoal Detox Face Mask 100G</t>
  </si>
  <si>
    <t xml:space="preserve">Deyga Charcoal Detox Face Mask</t>
  </si>
  <si>
    <t xml:space="preserve">Deyga Charcoal Detox Face Mask – Face Mask | Swansura</t>
  </si>
  <si>
    <t xml:space="preserve">Buy Deyga Charcoal Detox Face Mask, a natural face mask from Deyga. Official UK partner: 100% authentic, shipped from the UK, free delivery over £50.</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</si>
  <si>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</si>
  <si>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VD-084</t>
  </si>
  <si>
    <t xml:space="preserve">Activated Charcoal Body Wash 220ML</t>
  </si>
  <si>
    <t xml:space="preserve">Deyga Activated Charcoal Body Wash</t>
  </si>
  <si>
    <t xml:space="preserve">Deyga Activated Charcoal Body Wash | Natural Body Wash</t>
  </si>
  <si>
    <t xml:space="preserve">Buy Deyga Activated Charcoal Body Wash, a natural body wash from Deyga. Official UK partner: 100% authentic, shipped from the UK, free delivery over £50.</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</si>
  <si>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</si>
  <si>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VD-085</t>
  </si>
  <si>
    <t xml:space="preserve">Body Scrub 100g</t>
  </si>
  <si>
    <t xml:space="preserve">Deyga Body Scrub</t>
  </si>
  <si>
    <t xml:space="preserve">Deyga Body Scrub | Body Scrub</t>
  </si>
  <si>
    <t xml:space="preserve">Buy Deyga Body Scrub, a natural body scrub from Deyga. Official UK partner: 100% authentic, shipped from the UK, free delivery over £50.</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</si>
  <si>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</si>
  <si>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</si>
  <si>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VD-086</t>
  </si>
  <si>
    <t xml:space="preserve">Deep Moisturising Face Cream 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</si>
  <si>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</si>
  <si>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</si>
  <si>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£50.</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</si>
  <si>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</si>
  <si>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VD-087</t>
  </si>
  <si>
    <t xml:space="preserve">2% Hyaluronic Acid Serum 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</si>
  <si>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</si>
  <si>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</si>
  <si>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£50.</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</si>
  <si>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</si>
  <si>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VD-088</t>
  </si>
  <si>
    <t xml:space="preserve">Orange &amp; Almond Face Pack Powder 100G</t>
  </si>
  <si>
    <t xml:space="preserve">Skincare Treatments</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</si>
  <si>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</si>
  <si>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</si>
  <si>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£50.</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</si>
  <si>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</si>
  <si>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VD-089</t>
  </si>
  <si>
    <t xml:space="preserve">Premature Greying Hair Oil 100ML</t>
  </si>
  <si>
    <t xml:space="preserve">Deyga Premature Greying Hair Oil</t>
  </si>
  <si>
    <t xml:space="preserve">Deyga Premature Greying Hair Oil | Hair Growth Oil</t>
  </si>
  <si>
    <t xml:space="preserve">Buy Deyga Premature Greying Hair Oil, a natural hair growth oil from Deyga. Official UK partner: 100% authentic, shipped from the UK, free delivery over £50.</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</si>
  <si>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</si>
  <si>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VD-090</t>
  </si>
  <si>
    <t xml:space="preserve">Anti-dandruff Oil</t>
  </si>
  <si>
    <t xml:space="preserve">Deyga Anti-dandruff Oil</t>
  </si>
  <si>
    <t xml:space="preserve">Deyga Anti-dandruff Oil – Hair Growth Oil | Swansura</t>
  </si>
  <si>
    <t xml:space="preserve">Buy Deyga Anti-dandruff Oil, a natural hair growth oil from Deyga. Official UK partner: 100% authentic, shipped from the UK, free delivery over £50.</t>
  </si>
  <si>
    <t xml:space="preserve">Deyga Anti-dandruff Oil is a natural hair growth oil from Deyga. Swansura is an official UK partner of Deyga, so every order is 100% authentic and ships from the UK.</t>
  </si>
  <si>
    <t xml:space="preserve">deyga anti dandruff oil · deyga anti dandruff oil review</t>
  </si>
  <si>
    <t xml:space="preserve">VD-091</t>
  </si>
  <si>
    <t xml:space="preserve">Rose &amp; Geranium Body Butter 40G</t>
  </si>
  <si>
    <t xml:space="preserve">Deyga Rose &amp; Geranium Body Butter</t>
  </si>
  <si>
    <t xml:space="preserve">Deyga Rose &amp; Geranium Body Butter – Body Butter | Swansura</t>
  </si>
  <si>
    <t xml:space="preserve">Buy Deyga Rose &amp; Geranium Body Butter, a natural body butter from Deyga. Official UK partner: 100% authentic, shipped from the UK, free delivery over £50.</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</si>
  <si>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</si>
  <si>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VD-092</t>
  </si>
  <si>
    <t xml:space="preserve">Rose Glow Serum 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</si>
  <si>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</si>
  <si>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</si>
  <si>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£50.</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</si>
  <si>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</si>
  <si>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</si>
  <si>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VD-093</t>
  </si>
  <si>
    <t xml:space="preserve">Light Moisturising Face Cream 30G</t>
  </si>
  <si>
    <t xml:space="preserve">/collections/moisturiser</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</si>
  <si>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</si>
  <si>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</si>
  <si>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£50.</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</si>
  <si>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</si>
  <si>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VD-094</t>
  </si>
  <si>
    <t xml:space="preserve">Foot Soak Powder 160G</t>
  </si>
  <si>
    <t xml:space="preserve">Body Care</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</si>
  <si>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</si>
  <si>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</si>
  <si>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£50.</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</si>
  <si>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</si>
  <si>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</si>
  <si>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</si>
  <si>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</si>
  <si>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</si>
  <si>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£50.</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</si>
  <si>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</si>
  <si>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</si>
  <si>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VD-096</t>
  </si>
  <si>
    <t xml:space="preserve">Wild Berry Body Wash 220ml</t>
  </si>
  <si>
    <t xml:space="preserve">Deyga Wild Berry Body Wash</t>
  </si>
  <si>
    <t xml:space="preserve">Deyga Wild Berry Body Wash – Natural Body Wash | Swansura</t>
  </si>
  <si>
    <t xml:space="preserve">Buy Deyga Wild Berry Body Wash, a natural body wash from Deyga. Official UK partner: 100% authentic, shipped from the UK, free delivery over £50.</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</si>
  <si>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</si>
  <si>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</si>
  <si>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VD-097</t>
  </si>
  <si>
    <t xml:space="preserve">Neem Seed Oil 30ML</t>
  </si>
  <si>
    <t xml:space="preserve">Body Oil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</si>
  <si>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</si>
  <si>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</si>
  <si>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£50.</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</si>
  <si>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</si>
  <si>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</si>
  <si>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VD-098</t>
  </si>
  <si>
    <t xml:space="preserve">Under Eye Mask 15G</t>
  </si>
  <si>
    <t xml:space="preserve">Deyga Under Eye Mask</t>
  </si>
  <si>
    <t xml:space="preserve">Deyga Under Eye Mask | Face Serum</t>
  </si>
  <si>
    <t xml:space="preserve">Buy Deyga Under Eye Mask, a natural face serum from Deyga. Official UK partner: 100% authentic, shipped from the UK, free delivery over £50.</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</si>
  <si>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</si>
  <si>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</si>
  <si>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VD-099</t>
  </si>
  <si>
    <t xml:space="preserve">Spirulina Matcha Face Pack 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</si>
  <si>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</si>
  <si>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</si>
  <si>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£50.</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</si>
  <si>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</si>
  <si>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</si>
  <si>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</si>
  <si>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</si>
  <si>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</si>
  <si>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£50.</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</si>
  <si>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</si>
  <si>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</si>
  <si>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</si>
  <si>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</si>
  <si>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</si>
  <si>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£50.</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</si>
  <si>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</si>
  <si>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VD-102</t>
  </si>
  <si>
    <t xml:space="preserve">Organic Loofah for Body Exfoliation</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</si>
  <si>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</si>
  <si>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</si>
  <si>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£50.</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</si>
  <si>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</si>
  <si>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</si>
  <si>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</si>
  <si>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</si>
  <si>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</si>
  <si>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£50.</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</si>
  <si>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</si>
  <si>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</si>
  <si>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</si>
  <si>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</si>
  <si>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</si>
  <si>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</si>
  <si>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£50.</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</si>
  <si>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</si>
  <si>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</si>
  <si>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VD-105</t>
  </si>
  <si>
    <t xml:space="preserve">Sunscreen 50ML</t>
  </si>
  <si>
    <t xml:space="preserve">Deyga Sunscreen</t>
  </si>
  <si>
    <t xml:space="preserve">Deyga Sunscreen | Natural Sunscreen</t>
  </si>
  <si>
    <t xml:space="preserve">Buy Deyga Sunscreen, a natural sunscreen from Deyga. Smooth, breathable texture that blends easily without leaving a white cast or. Free UK delivery over £50.</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</si>
  <si>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</si>
  <si>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</si>
  <si>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VD-106</t>
  </si>
  <si>
    <t xml:space="preserve">Natural Lip Balm 8G</t>
  </si>
  <si>
    <t xml:space="preserve">Deyga Natural Lip Balm</t>
  </si>
  <si>
    <t xml:space="preserve">Deyga Natural Lip Balm – Natural Lip Balm | Swansura</t>
  </si>
  <si>
    <t xml:space="preserve">Buy Deyga Natural Lip Balm, a natural lip balm from Deyga. Official UK partner: 100% authentic, shipped from the UK, free delivery over £50.</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</si>
  <si>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</si>
  <si>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</si>
  <si>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</si>
  <si>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</si>
  <si>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</si>
  <si>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</si>
  <si>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£50.</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</si>
  <si>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</si>
  <si>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</si>
  <si>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</si>
  <si>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</si>
  <si>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</si>
  <si>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£50.</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</si>
  <si>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</si>
  <si>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</si>
  <si>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</si>
  <si>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</si>
  <si>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</si>
  <si>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£50.</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</si>
  <si>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</si>
  <si>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</si>
  <si>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</si>
  <si>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</si>
  <si>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</si>
  <si>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£50.</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</si>
  <si>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</si>
  <si>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VD-111</t>
  </si>
  <si>
    <t xml:space="preserve">Mint Lip Scrub 16G</t>
  </si>
  <si>
    <t xml:space="preserve">Deyga Mint Lip Scrub</t>
  </si>
  <si>
    <t xml:space="preserve">Deyga Mint Lip Scrub | Lip Scrub</t>
  </si>
  <si>
    <t xml:space="preserve">Buy Deyga Mint Lip Scrub, a natural lip scrub from Deyga. Official UK partner: 100% authentic, shipped from the UK, free delivery over £50.</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</si>
  <si>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</si>
  <si>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VD-112</t>
  </si>
  <si>
    <t xml:space="preserve">Hair Removal Powder 100g</t>
  </si>
  <si>
    <t xml:space="preserve">Hair Treatments</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</si>
  <si>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</si>
  <si>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</si>
  <si>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£50.</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</si>
  <si>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</si>
  <si>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</si>
  <si>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</si>
  <si>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</si>
  <si>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</si>
  <si>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</si>
  <si>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£50.</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</si>
  <si>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</si>
  <si>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</si>
  <si>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</si>
  <si>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</si>
  <si>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</si>
  <si>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£50.</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</si>
  <si>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</si>
  <si>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</si>
  <si>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</si>
  <si>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</si>
  <si>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</si>
  <si>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£50.</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</si>
  <si>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</si>
  <si>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VD-116</t>
  </si>
  <si>
    <t xml:space="preserve">Rose &amp; Mulethi Skin Brightening Pack 50 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</si>
  <si>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</si>
  <si>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</si>
  <si>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£50.</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</si>
  <si>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</si>
  <si>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VD-117</t>
  </si>
  <si>
    <t xml:space="preserve">Beetroot Lip Balm Stick 5.5 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</si>
  <si>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</si>
  <si>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</si>
  <si>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£50.</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</si>
  <si>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</si>
  <si>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</si>
  <si>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</si>
  <si>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</si>
  <si>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</si>
  <si>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</si>
  <si>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£50.</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</si>
  <si>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</si>
  <si>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</si>
  <si>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</si>
  <si>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</si>
  <si>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</si>
  <si>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</si>
  <si>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</si>
  <si>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£50.</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</si>
  <si>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</si>
  <si>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</si>
  <si>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VD-121</t>
  </si>
  <si>
    <t xml:space="preserve">Charcoal Bath Bar 130 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</si>
  <si>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</si>
  <si>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</si>
  <si>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£50.</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</si>
  <si>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</si>
  <si>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</si>
  <si>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VD-122</t>
  </si>
  <si>
    <t xml:space="preserve">Hair Growth Oil 100 ml</t>
  </si>
  <si>
    <t xml:space="preserve">Deyga Hair Growth Oil</t>
  </si>
  <si>
    <t xml:space="preserve">Deyga Hair Growth Oil – Hair Growth Oil | Swansura</t>
  </si>
  <si>
    <t xml:space="preserve">Buy Deyga Hair Growth Oil, a natural hair growth oil from Deyga. Official UK partner: 100% authentic, shipped from the UK, free delivery over £50.</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</si>
  <si>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</si>
  <si>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</si>
  <si>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</si>
  <si>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</si>
  <si>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</si>
  <si>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</si>
  <si>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£50.</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</si>
  <si>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</si>
  <si>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</si>
  <si>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VD-124</t>
  </si>
  <si>
    <t xml:space="preserve">Pure Aloe Vera Gel 100 g</t>
  </si>
  <si>
    <t xml:space="preserve">Deyga Pure Aloe Vera Gel</t>
  </si>
  <si>
    <t xml:space="preserve">Deyga Pure Aloe Vera Gel – Aloe Vera Gel | Swansura</t>
  </si>
  <si>
    <t xml:space="preserve">Buy Deyga Pure Aloe Vera Gel, a natural aloe vera gel from Deyga. Official UK partner: 100% authentic, shipped from the UK, free delivery over £50.</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</si>
  <si>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</si>
  <si>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</si>
  <si>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</si>
  <si>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</si>
  <si>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</si>
  <si>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</si>
  <si>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£50.</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</si>
  <si>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</si>
  <si>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</si>
  <si>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VD-126</t>
  </si>
  <si>
    <t xml:space="preserve">Rice Water Shampoo</t>
  </si>
  <si>
    <t xml:space="preserve">Deyga Rice Water Shampoo</t>
  </si>
  <si>
    <t xml:space="preserve">Deyga Rice Water Shampoo – Natural Shampoo | Swansura</t>
  </si>
  <si>
    <t xml:space="preserve">Deyga Rice Water Shampoo: a natural shampoo from Deyga. Formulated with rice water extract to enhance hair texture and manageability. Free UK delivery over £50.</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</si>
  <si>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</si>
  <si>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</si>
  <si>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</si>
  <si>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</si>
  <si>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</si>
  <si>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</si>
  <si>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£50.</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</si>
  <si>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</si>
  <si>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</si>
  <si>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VD-128</t>
  </si>
  <si>
    <t xml:space="preserve">Foot Butter 40 g</t>
  </si>
  <si>
    <t xml:space="preserve">Deyga Foot Butter</t>
  </si>
  <si>
    <t xml:space="preserve">Deyga Foot Butter | Body Butter</t>
  </si>
  <si>
    <t xml:space="preserve">Deyga Foot Butter: a natural body butter from Deyga. Formulated with virgin coconut oil, olive oil, refined beeswax, vitamin E, and. Free UK delivery over £50.</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</si>
  <si>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</si>
  <si>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</si>
  <si>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VD-129</t>
  </si>
  <si>
    <t xml:space="preserve">Baby Bath Bar</t>
  </si>
  <si>
    <t xml:space="preserve">Deyga Baby Bath Bar</t>
  </si>
  <si>
    <t xml:space="preserve">Deyga Baby Bath Bar – Body Lotion for Dry Skin | Swansura</t>
  </si>
  <si>
    <t xml:space="preserve">Buy Deyga Baby Bath Bar, a natural body lotion for dry skin from Deyga. Official UK partner: 100% authentic, shipped from the UK, free delivery over £50.</t>
  </si>
  <si>
    <t xml:space="preserve">Deyga Baby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</si>
  <si>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VD-130</t>
  </si>
  <si>
    <t xml:space="preserve">Anti Dandruff Shampoo 220ml</t>
  </si>
  <si>
    <t xml:space="preserve">Deyga Anti Dandruff Shampoo</t>
  </si>
  <si>
    <t xml:space="preserve">Deyga Anti Dandruff Shampoo | Shampoo for Dandruff</t>
  </si>
  <si>
    <t xml:space="preserve">Buy Deyga Anti Dandruff Shampoo, a natural shampoo for dandruff from Deyga. Official UK partner: 100% authentic, shipped from the UK, free delivery over £50.</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</si>
  <si>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</si>
  <si>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</si>
  <si>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VD-131</t>
  </si>
  <si>
    <t xml:space="preserve">Strawberry Lip Scrub 16g</t>
  </si>
  <si>
    <t xml:space="preserve">Deyga Strawberry Lip Scrub</t>
  </si>
  <si>
    <t xml:space="preserve">Deyga Strawberry Lip Scrub | Lip Scrub</t>
  </si>
  <si>
    <t xml:space="preserve">Buy Deyga Strawberry Lip Scrub, a natural lip scrub from Deyga. Official UK partner: 100% authentic, shipped from the UK, free delivery over £50.</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</si>
  <si>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</si>
  <si>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</si>
  <si>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</si>
  <si>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</si>
  <si>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</si>
  <si>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£50.</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</si>
  <si>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</si>
  <si>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</si>
  <si>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VD-133</t>
  </si>
  <si>
    <t xml:space="preserve">Under Eye Cream 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</si>
  <si>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</si>
  <si>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</si>
  <si>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£50.</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</si>
  <si>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</si>
  <si>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</si>
  <si>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VD-134</t>
  </si>
  <si>
    <t xml:space="preserve">10% Vitamin C Face Serum 20ml</t>
  </si>
  <si>
    <t xml:space="preserve">/collections/vitamin-c-serum</t>
  </si>
  <si>
    <t xml:space="preserve">Deyga 10% Vitamin C Face Serum</t>
  </si>
  <si>
    <t xml:space="preserve">Deyga 10% Vitamin C Face Serum – Vitamin C Serum | Swansura</t>
  </si>
  <si>
    <t xml:space="preserve">Buy Deyga 10% Vitamin C Face Serum, a natural vitamin c serum from Deyga. Official UK partner: 100% authentic, shipped from the UK, free delivery over £50.</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</si>
  <si>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</si>
  <si>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</si>
  <si>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VD-135</t>
  </si>
  <si>
    <t xml:space="preserve">Natural Loose Setting Powder 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</si>
  <si>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</si>
  <si>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</si>
  <si>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£50.</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</si>
  <si>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</si>
  <si>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</si>
  <si>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</si>
  <si>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</si>
  <si>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</si>
  <si>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£50.</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</si>
  <si>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</si>
  <si>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</si>
  <si>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</si>
  <si>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</si>
  <si>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</si>
  <si>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£50.</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</si>
  <si>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</si>
  <si>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</si>
  <si>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</si>
  <si>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</si>
  <si>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</si>
  <si>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£50.</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</si>
  <si>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</si>
  <si>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</si>
  <si>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</si>
  <si>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</si>
  <si>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</si>
  <si>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£50.</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</si>
  <si>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</si>
  <si>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</si>
  <si>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</si>
  <si>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</si>
  <si>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</si>
  <si>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£50.</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</si>
  <si>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</si>
  <si>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</si>
  <si>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</si>
  <si>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</si>
  <si>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</si>
  <si>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£50.</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</si>
  <si>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</si>
  <si>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</si>
  <si>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</si>
  <si>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</si>
  <si>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</si>
  <si>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£50.</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</si>
  <si>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</si>
  <si>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</si>
  <si>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</si>
  <si>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</si>
  <si>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</si>
  <si>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£50.</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</si>
  <si>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</si>
  <si>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</si>
  <si>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</si>
  <si>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</si>
  <si>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</si>
  <si>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£50.</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</si>
  <si>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</si>
  <si>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</si>
  <si>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</si>
  <si>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</si>
  <si>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</si>
  <si>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£50.</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</si>
  <si>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</si>
  <si>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</si>
  <si>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</si>
  <si>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</si>
  <si>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</si>
  <si>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£50.</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</si>
  <si>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</si>
  <si>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</si>
  <si>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</si>
  <si>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</si>
  <si>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</si>
  <si>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£50.</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</si>
  <si>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</si>
  <si>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VD-148</t>
  </si>
  <si>
    <t xml:space="preserve">Sensitive Skin Kit</t>
  </si>
  <si>
    <t xml:space="preserve">Deyga Sensitive Skin Kit</t>
  </si>
  <si>
    <t xml:space="preserve">Deyga Sensitive Skin Kit – Skincare Gift Set | Swansura</t>
  </si>
  <si>
    <t xml:space="preserve">Buy Deyga Sensitive Skin Kit, natural skincare gift set from Deyga. Official UK partner: 100% authentic, shipped from the UK, free delivery over £50.</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</si>
  <si>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</si>
  <si>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</si>
  <si>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</si>
  <si>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</si>
  <si>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</si>
  <si>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£50.</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</si>
  <si>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</si>
  <si>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</si>
  <si>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</si>
  <si>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</si>
  <si>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</si>
  <si>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£50.</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</si>
  <si>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</si>
  <si>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</si>
  <si>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</si>
  <si>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</si>
  <si>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</si>
  <si>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£50.</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</si>
  <si>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</si>
  <si>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</si>
  <si>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</si>
  <si>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</si>
  <si>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</si>
  <si>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</si>
  <si>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£50.</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</si>
  <si>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</si>
  <si>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</si>
  <si>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</si>
  <si>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</si>
  <si>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</si>
  <si>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£50.</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</si>
  <si>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</si>
  <si>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</si>
  <si>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</si>
  <si>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</si>
  <si>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</si>
  <si>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£50.</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</si>
  <si>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</si>
  <si>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</si>
  <si>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</si>
  <si>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</si>
  <si>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</si>
  <si>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£50.</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</si>
  <si>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</si>
  <si>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</si>
  <si>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</si>
  <si>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</si>
  <si>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</si>
  <si>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£50.</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</si>
  <si>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</si>
  <si>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</si>
  <si>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</si>
  <si>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</si>
  <si>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</si>
  <si>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£50.</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</si>
  <si>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</si>
  <si>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</si>
  <si>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</si>
  <si>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</si>
  <si>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</si>
  <si>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£50.</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</si>
  <si>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</si>
  <si>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</si>
  <si>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</si>
  <si>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</si>
  <si>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</si>
  <si>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£50.</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</si>
  <si>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</si>
  <si>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</si>
  <si>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</si>
  <si>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</si>
  <si>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</si>
  <si>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</si>
  <si>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</si>
  <si>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Size</t>
  </si>
  <si>
    <t xml:space="preserve">MRP (£)</t>
  </si>
  <si>
    <t xml:space="preserve">Core keyword</t>
  </si>
  <si>
    <t xml:space="preserve">+ UK</t>
  </si>
  <si>
    <t xml:space="preserve">Buy online</t>
  </si>
  <si>
    <t xml:space="preserve">Price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</si>
  <si>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</si>
  <si>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</si>
  <si>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</si>
  <si>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</si>
  <si>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</si>
  <si>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</si>
  <si>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</si>
  <si>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KD</t>
  </si>
  <si>
    <t xml:space="preserve">Primary CPC ($)</t>
  </si>
  <si>
    <t xml:space="preserve">Category / brand keywords</t>
  </si>
  <si>
    <t xml:space="preserve">Google autocomplete phrases</t>
  </si>
  <si>
    <t xml:space="preserve">Draft H1</t>
  </si>
  <si>
    <t xml:space="preserve">Draft meta title</t>
  </si>
  <si>
    <t xml:space="preserve">Title length</t>
  </si>
  <si>
    <t xml:space="preserve">Draft meta description</t>
  </si>
  <si>
    <t xml:space="preserve">Description length</t>
  </si>
  <si>
    <t xml:space="preserve">Vilvah &amp; Deyga</t>
  </si>
  <si>
    <t xml:space="preserve">Skincare</t>
  </si>
  <si>
    <t xml:space="preserve">100 ml</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</si>
  <si>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</si>
  <si>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</si>
  <si>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</si>
  <si>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</si>
  <si>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</si>
  <si>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</si>
  <si>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£50.</t>
  </si>
  <si>
    <t xml:space="preserve">Haircare</t>
  </si>
  <si>
    <t xml:space="preserve">50 ml</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</si>
  <si>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</si>
  <si>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</si>
  <si>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</si>
  <si>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</si>
  <si>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</si>
  <si>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Vilvah Hair Growth Oil 50ml | Buy Online UK | Swansura</t>
  </si>
  <si>
    <t xml:space="preserve">Buy Vilvah Hair Growth Oil online at Swansura, official UK partner of Vilvah. A natural hair oil for thinning hair. 100% authentic, free UK delivery over £50.</t>
  </si>
  <si>
    <t xml:space="preserve">Bodycare</t>
  </si>
  <si>
    <t xml:space="preserve">115 g</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</si>
  <si>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</si>
  <si>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</si>
  <si>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</si>
  <si>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</si>
  <si>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</si>
  <si>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</si>
  <si>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£50.</t>
  </si>
  <si>
    <t xml:space="preserve">20 g</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</si>
  <si>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</si>
  <si>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</si>
  <si>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</si>
  <si>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</si>
  <si>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</si>
  <si>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</si>
  <si>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£50.</t>
  </si>
  <si>
    <t xml:space="preserve">50ml</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</si>
  <si>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</si>
  <si>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</si>
  <si>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</si>
  <si>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</si>
  <si>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</si>
  <si>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</si>
  <si>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£50.</t>
  </si>
  <si>
    <t xml:space="preserve">50 gm</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</si>
  <si>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</si>
  <si>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</si>
  <si>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</si>
  <si>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</si>
  <si>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</si>
  <si>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</si>
  <si>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£50.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</si>
  <si>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</si>
  <si>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</si>
  <si>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</si>
  <si>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</si>
  <si>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</si>
  <si>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</si>
  <si>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£50.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</si>
  <si>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</si>
  <si>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</si>
  <si>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</si>
  <si>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</si>
  <si>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</si>
  <si>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£50.</t>
  </si>
  <si>
    <t xml:space="preserve">200 ml</t>
  </si>
  <si>
    <t xml:space="preserve">vilvah goat milk body wash</t>
  </si>
  <si>
    <t xml:space="preserve">vilvah goat milk body wash uk</t>
  </si>
  <si>
    <t xml:space="preserve">buy vilvah goat milk body wash online</t>
  </si>
  <si>
    <t xml:space="preserve">vilvah goat milk body wash price</t>
  </si>
  <si>
    <t xml:space="preserve">Vilvah Goat Milk Body Wash | Buy Online UK | Swansura</t>
  </si>
  <si>
    <t xml:space="preserve">Buy Vilvah Goat Milk Body Wash online in the UK at Swansura, official UK partner of Vilvah. Natural body wash. 100% authentic, free UK delivery over £50.</t>
  </si>
  <si>
    <t xml:space="preserve">10 g</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</si>
  <si>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</si>
  <si>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</si>
  <si>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</si>
  <si>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</si>
  <si>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</si>
  <si>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</si>
  <si>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£50.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</si>
  <si>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</si>
  <si>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</si>
  <si>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</si>
  <si>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</si>
  <si>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</si>
  <si>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£50.</t>
  </si>
  <si>
    <t xml:space="preserve">250 ml</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</si>
  <si>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</si>
  <si>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</si>
  <si>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</si>
  <si>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</si>
  <si>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</si>
  <si>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</si>
  <si>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£50.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</si>
  <si>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</si>
  <si>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</si>
  <si>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</si>
  <si>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</si>
  <si>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</si>
  <si>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Vilvah Goat Milk Shampoo | Buy Online UK | Swansura</t>
  </si>
  <si>
    <t xml:space="preserve">Buy Vilvah Goat Milk Shampoo online at Swansura, official UK partner of Vilvah. Natural shampoo. 100% authentic, shipped from the UK, free delivery over £50.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</si>
  <si>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</si>
  <si>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</si>
  <si>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</si>
  <si>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</si>
  <si>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</si>
  <si>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£50.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</si>
  <si>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</si>
  <si>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</si>
  <si>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</si>
  <si>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</si>
  <si>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</si>
  <si>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£50.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</si>
  <si>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</si>
  <si>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</si>
  <si>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</si>
  <si>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</si>
  <si>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</si>
  <si>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</si>
  <si>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£50.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</si>
  <si>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</si>
  <si>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</si>
  <si>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</si>
  <si>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</si>
  <si>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</si>
  <si>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</si>
  <si>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£50.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</si>
  <si>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</si>
  <si>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</si>
  <si>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</si>
  <si>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</si>
  <si>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</si>
  <si>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</si>
  <si>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£50.</t>
  </si>
  <si>
    <t xml:space="preserve">100 g</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</si>
  <si>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</si>
  <si>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</si>
  <si>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</si>
  <si>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</si>
  <si>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</si>
  <si>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£50.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</si>
  <si>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</si>
  <si>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</si>
  <si>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</si>
  <si>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</si>
  <si>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</si>
  <si>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</si>
  <si>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£50.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</si>
  <si>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</si>
  <si>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</si>
  <si>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</si>
  <si>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</si>
  <si>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</si>
  <si>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</si>
  <si>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£50.</t>
  </si>
  <si>
    <t xml:space="preserve">30 ml</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</si>
  <si>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</si>
  <si>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</si>
  <si>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</si>
  <si>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</si>
  <si>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</si>
  <si>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</si>
  <si>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£50.</t>
  </si>
  <si>
    <t xml:space="preserve">20 ml</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</si>
  <si>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</si>
  <si>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</si>
  <si>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</si>
  <si>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</si>
  <si>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</si>
  <si>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</si>
  <si>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£50.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</si>
  <si>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</si>
  <si>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</si>
  <si>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</si>
  <si>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</si>
  <si>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</si>
  <si>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</si>
  <si>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£50.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</si>
  <si>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</si>
  <si>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</si>
  <si>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</si>
  <si>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</si>
  <si>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</si>
  <si>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£50.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</si>
  <si>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</si>
  <si>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</si>
  <si>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</si>
  <si>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</si>
  <si>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</si>
  <si>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</si>
  <si>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£50.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</si>
  <si>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</si>
  <si>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</si>
  <si>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</si>
  <si>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</si>
  <si>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£50.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</si>
  <si>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</si>
  <si>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</si>
  <si>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</si>
  <si>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</si>
  <si>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</si>
  <si>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£50.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</si>
  <si>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</si>
  <si>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</si>
  <si>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</si>
  <si>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</si>
  <si>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</si>
  <si>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£50.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</si>
  <si>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</si>
  <si>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</si>
  <si>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</si>
  <si>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</si>
  <si>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</si>
  <si>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£50.</t>
  </si>
  <si>
    <t xml:space="preserve">200 g</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</si>
  <si>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</si>
  <si>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</si>
  <si>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</si>
  <si>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</si>
  <si>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</si>
  <si>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</si>
  <si>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£50.</t>
  </si>
  <si>
    <t xml:space="preserve">Vilvah Hair Growth Oil 100ml | Buy Online UK | Swansura</t>
  </si>
  <si>
    <t xml:space="preserve">Vilvah Hair Growth Oil 200ml | Buy Online UK | Swansura</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</si>
  <si>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</si>
  <si>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</si>
  <si>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</si>
  <si>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</si>
  <si>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</si>
  <si>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£50.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</si>
  <si>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</si>
  <si>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</si>
  <si>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</si>
  <si>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</si>
  <si>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</si>
  <si>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£50.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</si>
  <si>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</si>
  <si>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</si>
  <si>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</si>
  <si>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</si>
  <si>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</si>
  <si>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</si>
  <si>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£50.</t>
  </si>
  <si>
    <t xml:space="preserve">1 Piece</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</si>
  <si>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</si>
  <si>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</si>
  <si>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</si>
  <si>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</si>
  <si>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</si>
  <si>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</si>
  <si>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£50.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</si>
  <si>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</si>
  <si>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</si>
  <si>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</si>
  <si>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</si>
  <si>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</si>
  <si>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</si>
  <si>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£50.</t>
  </si>
  <si>
    <t xml:space="preserve">40 ml</t>
  </si>
  <si>
    <t xml:space="preserve">4 g</t>
  </si>
  <si>
    <t xml:space="preserve">vilvah milk lip balm spf 30 pa+++</t>
  </si>
  <si>
    <t xml:space="preserve">vilvah milk lip balm spf 30 pa+++ uk</t>
  </si>
  <si>
    <t xml:space="preserve">buy vilvah milk lip balm spf 30 pa+++ online</t>
  </si>
  <si>
    <t xml:space="preserve">vilvah milk lip balm spf 30 pa+++ price</t>
  </si>
  <si>
    <t xml:space="preserve">Vilvah Milk Lip Balm SPF 30 PA | Buy Online UK | Swansura</t>
  </si>
  <si>
    <t xml:space="preserve">Buy Vilvah Milk Lip Balm SPF 30 PA online in the UK at Swansura, official UK partner of Vilvah. Natural lip care. 100% authentic, free UK delivery over £50.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</si>
  <si>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</si>
  <si>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</si>
  <si>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</si>
  <si>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</si>
  <si>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</si>
  <si>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</si>
  <si>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£50.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</si>
  <si>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</si>
  <si>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</si>
  <si>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</si>
  <si>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</si>
  <si>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£50.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</si>
  <si>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</si>
  <si>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</si>
  <si>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</si>
  <si>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</si>
  <si>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</si>
  <si>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£50.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</si>
  <si>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</si>
  <si>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</si>
  <si>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</si>
  <si>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</si>
  <si>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</si>
  <si>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£50.</t>
  </si>
  <si>
    <t xml:space="preserve">10g</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</si>
  <si>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</si>
  <si>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</si>
  <si>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</si>
  <si>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</si>
  <si>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</si>
  <si>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£50.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</si>
  <si>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</si>
  <si>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</si>
  <si>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</si>
  <si>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</si>
  <si>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</si>
  <si>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£50.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</si>
  <si>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</si>
  <si>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</si>
  <si>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</si>
  <si>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</si>
  <si>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</si>
  <si>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</si>
  <si>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</si>
  <si>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£50.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</si>
  <si>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</si>
  <si>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</si>
  <si>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</si>
  <si>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</si>
  <si>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</si>
  <si>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£50.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</si>
  <si>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</si>
  <si>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</si>
  <si>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</si>
  <si>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</si>
  <si>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</si>
  <si>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£50.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</si>
  <si>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</si>
  <si>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</si>
  <si>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</si>
  <si>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</si>
  <si>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</si>
  <si>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£50.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</si>
  <si>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</si>
  <si>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</si>
  <si>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</si>
  <si>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</si>
  <si>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</si>
  <si>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£50.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</si>
  <si>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</si>
  <si>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</si>
  <si>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</si>
  <si>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</si>
  <si>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</si>
  <si>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£50.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</si>
  <si>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</si>
  <si>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</si>
  <si>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</si>
  <si>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</si>
  <si>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</si>
  <si>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£50.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</si>
  <si>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</si>
  <si>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</si>
  <si>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</si>
  <si>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</si>
  <si>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</si>
  <si>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£50.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</si>
  <si>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</si>
  <si>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</si>
  <si>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</si>
  <si>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</si>
  <si>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</si>
  <si>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£50.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</si>
  <si>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</si>
  <si>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</si>
  <si>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</si>
  <si>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</si>
  <si>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</si>
  <si>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£50.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</si>
  <si>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</si>
  <si>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</si>
  <si>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</si>
  <si>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</si>
  <si>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</si>
  <si>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£50.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</si>
  <si>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</si>
  <si>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</si>
  <si>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</si>
  <si>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</si>
  <si>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</si>
  <si>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£50.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</si>
  <si>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</si>
  <si>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</si>
  <si>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</si>
  <si>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</si>
  <si>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</si>
  <si>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£50.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</si>
  <si>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</si>
  <si>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</si>
  <si>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</si>
  <si>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</si>
  <si>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</si>
  <si>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£50.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</si>
  <si>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</si>
  <si>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</si>
  <si>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</si>
  <si>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</si>
  <si>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</si>
  <si>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£50.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</si>
  <si>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</si>
  <si>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</si>
  <si>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</si>
  <si>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</si>
  <si>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</si>
  <si>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£50.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</si>
  <si>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</si>
  <si>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</si>
  <si>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</si>
  <si>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</si>
  <si>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</si>
  <si>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£50.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</si>
  <si>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</si>
  <si>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</si>
  <si>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</si>
  <si>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</si>
  <si>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</si>
  <si>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£50.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</si>
  <si>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</si>
  <si>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</si>
  <si>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</si>
  <si>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</si>
  <si>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</si>
  <si>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£50.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</si>
  <si>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</si>
  <si>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</si>
  <si>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</si>
  <si>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</si>
  <si>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</si>
  <si>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£50.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</si>
  <si>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</si>
  <si>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</si>
  <si>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</si>
  <si>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</si>
  <si>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</si>
  <si>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£50.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</si>
  <si>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</si>
  <si>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</si>
  <si>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</si>
  <si>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</si>
  <si>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</si>
  <si>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£50.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</si>
  <si>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</si>
  <si>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</si>
  <si>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</si>
  <si>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</si>
  <si>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</si>
  <si>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£50.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</si>
  <si>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</si>
  <si>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</si>
  <si>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</si>
  <si>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</si>
  <si>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</si>
  <si>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£50.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</si>
  <si>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</si>
  <si>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</si>
  <si>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</si>
  <si>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</si>
  <si>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</si>
  <si>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£50.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</si>
  <si>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</si>
  <si>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</si>
  <si>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</si>
  <si>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</si>
  <si>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</si>
  <si>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£50.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</si>
  <si>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</si>
  <si>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</si>
  <si>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</si>
  <si>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</si>
  <si>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</si>
  <si>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£50.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</si>
  <si>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</si>
  <si>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</si>
  <si>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</si>
  <si>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</si>
  <si>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</si>
  <si>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£50.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</si>
  <si>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</si>
  <si>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</si>
  <si>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</si>
  <si>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</si>
  <si>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</si>
  <si>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£50.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</si>
  <si>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</si>
  <si>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</si>
  <si>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</si>
  <si>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</si>
  <si>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</si>
  <si>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£50.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</si>
  <si>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</si>
  <si>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</si>
  <si>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</si>
  <si>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</si>
  <si>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</si>
  <si>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£50.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</si>
  <si>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</si>
  <si>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</si>
  <si>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</si>
  <si>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</si>
  <si>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</si>
  <si>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£50.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</si>
  <si>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</si>
  <si>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</si>
  <si>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</si>
  <si>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</si>
  <si>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</si>
  <si>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£50.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</si>
  <si>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</si>
  <si>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</si>
  <si>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</si>
  <si>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</si>
  <si>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</si>
  <si>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£50.</t>
  </si>
  <si>
    <t xml:space="preserve">100g</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</si>
  <si>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</si>
  <si>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</si>
  <si>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</si>
  <si>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</si>
  <si>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</si>
  <si>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Deyga Chocolate Body Butter | Buy Online UK | Swansura</t>
  </si>
  <si>
    <t xml:space="preserve">Buy Deyga Chocolate Body Butter online at Swansura, official UK partner of Deyga. A natural body butter for dry skin. 100% authentic, free UK delivery over £50.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</si>
  <si>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</si>
  <si>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</si>
  <si>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</si>
  <si>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</si>
  <si>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</si>
  <si>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Deyga Charcoal Detox Face Mask | Buy Online UK | Swansura</t>
  </si>
  <si>
    <t xml:space="preserve">Buy Deyga Charcoal Detox Face Mask online in the UK at Swansura, official UK partner of Deyga. A natural face mask for oily skin. Free UK delivery over £50.</t>
  </si>
  <si>
    <t xml:space="preserve">220ml</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</si>
  <si>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</si>
  <si>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</si>
  <si>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</si>
  <si>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</si>
  <si>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</si>
  <si>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</si>
  <si>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£50.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</si>
  <si>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</si>
  <si>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</si>
  <si>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</si>
  <si>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</si>
  <si>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</si>
  <si>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</si>
  <si>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£50.</t>
  </si>
  <si>
    <t xml:space="preserve">30g</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</si>
  <si>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</si>
  <si>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</si>
  <si>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</si>
  <si>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</si>
  <si>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</si>
  <si>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</si>
  <si>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£50.</t>
  </si>
  <si>
    <t xml:space="preserve">20ml</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</si>
  <si>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</si>
  <si>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</si>
  <si>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</si>
  <si>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</si>
  <si>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</si>
  <si>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</si>
  <si>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£50.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</si>
  <si>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</si>
  <si>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</si>
  <si>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</si>
  <si>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</si>
  <si>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</si>
  <si>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</si>
  <si>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£50.</t>
  </si>
  <si>
    <t xml:space="preserve">100ml</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</si>
  <si>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</si>
  <si>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</si>
  <si>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</si>
  <si>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</si>
  <si>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</si>
  <si>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</si>
  <si>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£50.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</si>
  <si>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</si>
  <si>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</si>
  <si>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</si>
  <si>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</si>
  <si>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</si>
  <si>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 | Buy Online UK | Swansura</t>
  </si>
  <si>
    <t xml:space="preserve">Buy Deyga Anti-dandruff Oil online in the UK at Swansura, official UK partner of Deyga. A natural hair oil for a flake-free scalp. Free UK delivery over £50.</t>
  </si>
  <si>
    <t xml:space="preserve">40g</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</si>
  <si>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</si>
  <si>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</si>
  <si>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</si>
  <si>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</si>
  <si>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Deyga Rose &amp; Geranium Body Butter | Buy Online UK | Swansura</t>
  </si>
  <si>
    <t xml:space="preserve">Buy Deyga Rose &amp; Geranium Body Butter online in the UK at Swansura, official UK partner of Deyga. A natural body butter for dry skin. Free UK delivery over £50.</t>
  </si>
  <si>
    <t xml:space="preserve">30ml</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</si>
  <si>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</si>
  <si>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</si>
  <si>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</si>
  <si>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</si>
  <si>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</si>
  <si>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£50.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</si>
  <si>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</si>
  <si>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</si>
  <si>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</si>
  <si>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</si>
  <si>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</si>
  <si>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£50.</t>
  </si>
  <si>
    <t xml:space="preserve">160g</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</si>
  <si>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</si>
  <si>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</si>
  <si>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</si>
  <si>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</si>
  <si>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</si>
  <si>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</si>
  <si>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£50.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</si>
  <si>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</si>
  <si>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</si>
  <si>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</si>
  <si>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</si>
  <si>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</si>
  <si>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</si>
  <si>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£50.</t>
  </si>
  <si>
    <t xml:space="preserve">deyga wild berry body wash</t>
  </si>
  <si>
    <t xml:space="preserve">deyga wild berry body wash uk</t>
  </si>
  <si>
    <t xml:space="preserve">buy deyga wild berry body wash online</t>
  </si>
  <si>
    <t xml:space="preserve">deyga wild berry body wash price</t>
  </si>
  <si>
    <t xml:space="preserve">Deyga Wild Berry Body Wash | Buy Online UK | Swansura</t>
  </si>
  <si>
    <t xml:space="preserve">Buy Deyga Wild Berry Body Wash online at Swansura, official UK partner of Deyga. Natural body wash. 100% authentic, shipped from the UK, free delivery over £50.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</si>
  <si>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</si>
  <si>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</si>
  <si>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</si>
  <si>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</si>
  <si>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</si>
  <si>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</si>
  <si>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£50.</t>
  </si>
  <si>
    <t xml:space="preserve">15g</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</si>
  <si>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</si>
  <si>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</si>
  <si>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</si>
  <si>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</si>
  <si>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</si>
  <si>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£50.</t>
  </si>
  <si>
    <t xml:space="preserve">150g</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</si>
  <si>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</si>
  <si>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</si>
  <si>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</si>
  <si>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</si>
  <si>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</si>
  <si>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£50.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</si>
  <si>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</si>
  <si>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</si>
  <si>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</si>
  <si>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</si>
  <si>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</si>
  <si>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</si>
  <si>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£50.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</si>
  <si>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</si>
  <si>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</si>
  <si>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</si>
  <si>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</si>
  <si>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</si>
  <si>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</si>
  <si>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</si>
  <si>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Pack of 1</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</si>
  <si>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</si>
  <si>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</si>
  <si>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</si>
  <si>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</si>
  <si>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£50.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</si>
  <si>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</si>
  <si>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</si>
  <si>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</si>
  <si>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</si>
  <si>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</si>
  <si>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£50.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</si>
  <si>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</si>
  <si>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</si>
  <si>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</si>
  <si>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</si>
  <si>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</si>
  <si>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£50.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</si>
  <si>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</si>
  <si>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</si>
  <si>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</si>
  <si>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</si>
  <si>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</si>
  <si>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</si>
  <si>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£50.</t>
  </si>
  <si>
    <t xml:space="preserve">8g</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</si>
  <si>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</si>
  <si>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</si>
  <si>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</si>
  <si>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</si>
  <si>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</si>
  <si>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</si>
  <si>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£50.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</si>
  <si>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</si>
  <si>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</si>
  <si>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</si>
  <si>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</si>
  <si>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</si>
  <si>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</si>
  <si>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£50.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</si>
  <si>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</si>
  <si>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</si>
  <si>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</si>
  <si>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</si>
  <si>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</si>
  <si>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£50.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</si>
  <si>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</si>
  <si>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</si>
  <si>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</si>
  <si>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</si>
  <si>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</si>
  <si>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£50.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</si>
  <si>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</si>
  <si>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</si>
  <si>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</si>
  <si>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</si>
  <si>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</si>
  <si>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£50.</t>
  </si>
  <si>
    <t xml:space="preserve">16g</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</si>
  <si>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</si>
  <si>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</si>
  <si>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</si>
  <si>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</si>
  <si>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</si>
  <si>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</si>
  <si>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£50.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</si>
  <si>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</si>
  <si>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</si>
  <si>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</si>
  <si>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</si>
  <si>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</si>
  <si>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</si>
  <si>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£50.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</si>
  <si>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</si>
  <si>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</si>
  <si>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</si>
  <si>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</si>
  <si>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</si>
  <si>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</si>
  <si>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£50.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</si>
  <si>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</si>
  <si>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</si>
  <si>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</si>
  <si>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</si>
  <si>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</si>
  <si>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</si>
  <si>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£50.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</si>
  <si>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</si>
  <si>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</si>
  <si>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</si>
  <si>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</si>
  <si>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</si>
  <si>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£50.</t>
  </si>
  <si>
    <t xml:space="preserve">50g</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</si>
  <si>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</si>
  <si>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</si>
  <si>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</si>
  <si>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</si>
  <si>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</si>
  <si>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£50.</t>
  </si>
  <si>
    <t xml:space="preserve">5.5g</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</si>
  <si>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</si>
  <si>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</si>
  <si>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</si>
  <si>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</si>
  <si>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</si>
  <si>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£50.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</si>
  <si>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</si>
  <si>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</si>
  <si>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</si>
  <si>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</si>
  <si>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</si>
  <si>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£50.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</si>
  <si>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</si>
  <si>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</si>
  <si>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</si>
  <si>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</si>
  <si>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</si>
  <si>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£50.</t>
  </si>
  <si>
    <t xml:space="preserve">130g</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</si>
  <si>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</si>
  <si>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</si>
  <si>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</si>
  <si>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</si>
  <si>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</si>
  <si>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£50.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</si>
  <si>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</si>
  <si>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</si>
  <si>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</si>
  <si>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</si>
  <si>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</si>
  <si>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</si>
  <si>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£50.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</si>
  <si>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</si>
  <si>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</si>
  <si>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</si>
  <si>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</si>
  <si>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</si>
  <si>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</si>
  <si>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£50.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</si>
  <si>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</si>
  <si>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</si>
  <si>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</si>
  <si>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</si>
  <si>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</si>
  <si>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Deyga Pure Aloe Vera Gel | Buy Online UK | Swansura</t>
  </si>
  <si>
    <t xml:space="preserve">Buy Deyga Pure Aloe Vera Gel online at Swansura, official UK partner of Deyga. Natural moisturiser. 100% authentic, shipped from the UK, free delivery over £50.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</si>
  <si>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</si>
  <si>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</si>
  <si>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</si>
  <si>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</si>
  <si>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</si>
  <si>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£50.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</si>
  <si>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</si>
  <si>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</si>
  <si>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</si>
  <si>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</si>
  <si>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</si>
  <si>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Deyga Rice Water Shampoo | Buy Online UK | Swansura</t>
  </si>
  <si>
    <t xml:space="preserve">Buy Deyga Rice Water Shampoo online at Swansura, official UK partner of Deyga. A natural shampoo for nourished hair. 100% authentic, free UK delivery over £50.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</si>
  <si>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</si>
  <si>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</si>
  <si>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</si>
  <si>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</si>
  <si>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</si>
  <si>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</si>
  <si>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£50.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</si>
  <si>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</si>
  <si>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</si>
  <si>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</si>
  <si>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</si>
  <si>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</si>
  <si>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£50.</t>
  </si>
  <si>
    <t xml:space="preserve">130 g</t>
  </si>
  <si>
    <t xml:space="preserve">deyga baby bath bar</t>
  </si>
  <si>
    <t xml:space="preserve">deyga baby bath bar uk</t>
  </si>
  <si>
    <t xml:space="preserve">buy deyga baby bath bar online</t>
  </si>
  <si>
    <t xml:space="preserve">deyga baby bath bar price</t>
  </si>
  <si>
    <t xml:space="preserve">Deyga Baby Bath Bar 130g | Buy Online UK | Swansura</t>
  </si>
  <si>
    <t xml:space="preserve">Buy Deyga Baby Bath Bar online in the UK at Swansura, official UK partner of Deyga. A natural body care for soft, hydrated skin. Free UK delivery over £50.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</si>
  <si>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</si>
  <si>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</si>
  <si>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</si>
  <si>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</si>
  <si>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</si>
  <si>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Deyga Anti Dandruff Shampoo | Buy Online UK | Swansura</t>
  </si>
  <si>
    <t xml:space="preserve">Buy Deyga Anti Dandruff Shampoo online in the UK at Swansura, official UK partner of Deyga. A natural shampoo for a flake-free scalp. Free UK delivery over £50.</t>
  </si>
  <si>
    <t xml:space="preserve">deyga strawberry lip scrub</t>
  </si>
  <si>
    <t xml:space="preserve">deyga strawberry lip scrub uk</t>
  </si>
  <si>
    <t xml:space="preserve">buy deyga strawberry lip scrub online</t>
  </si>
  <si>
    <t xml:space="preserve">deyga strawberry lip scrub price</t>
  </si>
  <si>
    <t xml:space="preserve">Deyga Strawberry Lip Scrub | Buy Online UK | Swansura</t>
  </si>
  <si>
    <t xml:space="preserve">Buy Deyga Strawberry Lip Scrub online at Swansura, official UK partner of Deyga. Natural lip care. 100% authentic, shipped from the UK, free delivery over £50.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</si>
  <si>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</si>
  <si>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</si>
  <si>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</si>
  <si>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</si>
  <si>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</si>
  <si>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£50.</t>
  </si>
  <si>
    <t xml:space="preserve">15 g</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</si>
  <si>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</si>
  <si>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</si>
  <si>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</si>
  <si>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</si>
  <si>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</si>
  <si>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£50.</t>
  </si>
  <si>
    <t xml:space="preserve">deyga 10% vitamin c face serum</t>
  </si>
  <si>
    <t xml:space="preserve">deyga 10% vitamin c face serum uk</t>
  </si>
  <si>
    <t xml:space="preserve">buy deyga 10% vitamin c face serum online</t>
  </si>
  <si>
    <t xml:space="preserve">deyga 10% vitamin c face serum price</t>
  </si>
  <si>
    <t xml:space="preserve">Deyga 10% Vitamin C Face Serum | Buy Online UK | Swansura</t>
  </si>
  <si>
    <t xml:space="preserve">Buy Deyga 10% Vitamin C Face Serum online at Swansura, official UK partner of Deyga. Natural serum. 100% authentic, shipped from the UK, free delivery over £50.</t>
  </si>
  <si>
    <t xml:space="preserve">15G</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</si>
  <si>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</si>
  <si>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</si>
  <si>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</si>
  <si>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</si>
  <si>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</si>
  <si>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£50.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</si>
  <si>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</si>
  <si>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</si>
  <si>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</si>
  <si>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</si>
  <si>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</si>
  <si>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</si>
  <si>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£50.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</si>
  <si>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</si>
  <si>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</si>
  <si>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</si>
  <si>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</si>
  <si>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</si>
  <si>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£50.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</si>
  <si>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</si>
  <si>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</si>
  <si>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</si>
  <si>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</si>
  <si>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</si>
  <si>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£50.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</si>
  <si>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</si>
  <si>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</si>
  <si>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</si>
  <si>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</si>
  <si>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</si>
  <si>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£50.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</si>
  <si>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</si>
  <si>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</si>
  <si>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</si>
  <si>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</si>
  <si>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</si>
  <si>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£50.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</si>
  <si>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</si>
  <si>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</si>
  <si>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</si>
  <si>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</si>
  <si>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</si>
  <si>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£50.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</si>
  <si>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</si>
  <si>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</si>
  <si>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</si>
  <si>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</si>
  <si>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</si>
  <si>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£50.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</si>
  <si>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</si>
  <si>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</si>
  <si>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</si>
  <si>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</si>
  <si>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</si>
  <si>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£50.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</si>
  <si>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</si>
  <si>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</si>
  <si>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</si>
  <si>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</si>
  <si>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</si>
  <si>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£50.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</si>
  <si>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</si>
  <si>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</si>
  <si>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</si>
  <si>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</si>
  <si>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£50.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</si>
  <si>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</si>
  <si>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</si>
  <si>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</si>
  <si>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</si>
  <si>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</si>
  <si>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£50.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</si>
  <si>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</si>
  <si>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</si>
  <si>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</si>
  <si>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</si>
  <si>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</si>
  <si>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£50.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</si>
  <si>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</si>
  <si>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</si>
  <si>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</si>
  <si>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</si>
  <si>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</si>
  <si>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£50.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</si>
  <si>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</si>
  <si>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</si>
  <si>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</si>
  <si>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</si>
  <si>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</si>
  <si>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£50.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</si>
  <si>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</si>
  <si>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</si>
  <si>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</si>
  <si>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</si>
  <si>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</si>
  <si>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£50.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</si>
  <si>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</si>
  <si>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</si>
  <si>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</si>
  <si>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</si>
  <si>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</si>
  <si>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£50.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</si>
  <si>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</si>
  <si>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</si>
  <si>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</si>
  <si>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</si>
  <si>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</si>
  <si>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£50.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</si>
  <si>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</si>
  <si>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</si>
  <si>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</si>
  <si>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</si>
  <si>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</si>
  <si>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£50.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</si>
  <si>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</si>
  <si>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</si>
  <si>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</si>
  <si>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</si>
  <si>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</si>
  <si>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£50.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</si>
  <si>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</si>
  <si>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</si>
  <si>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</si>
  <si>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</si>
  <si>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</si>
  <si>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£50.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</si>
  <si>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</si>
  <si>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</si>
  <si>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</si>
  <si>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</si>
  <si>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</si>
  <si>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£50.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</si>
  <si>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</si>
  <si>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</si>
  <si>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</si>
  <si>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</si>
  <si>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</si>
  <si>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£50.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</si>
  <si>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</si>
  <si>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</si>
  <si>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</si>
  <si>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</si>
  <si>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</si>
  <si>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£50.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</si>
  <si>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</si>
  <si>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</si>
  <si>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</si>
  <si>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</si>
  <si>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</si>
  <si>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£50.</t>
  </si>
  <si>
    <t xml:space="preserve">FR-001</t>
  </si>
  <si>
    <t xml:space="preserve">Fragrance Catalogue</t>
  </si>
  <si>
    <t xml:space="preserve">Abercrombie&amp; fitch</t>
  </si>
  <si>
    <t xml:space="preserve">Spelling: Abercrombie &amp; Fitch</t>
  </si>
  <si>
    <t xml:space="preserve">Fragrance</t>
  </si>
  <si>
    <t xml:space="preserve">Eau de Parfum (EDP)</t>
  </si>
  <si>
    <t xml:space="preserve">Floral · Women's Fragrance</t>
  </si>
  <si>
    <t xml:space="preserve">Abercrombie &amp; Fitch First Instinct Together Eau de Parfum 100ml – Women's Fruity Floral Fragrance</t>
  </si>
  <si>
    <t xml:space="preserve">abercrombie &amp; fitch first instinct together</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</si>
  <si>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</si>
  <si>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</si>
  <si>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</si>
  <si>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</si>
  <si>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</si>
  <si>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</si>
  <si>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Abercrombie &amp; Fitch First Instinct Together Eau de Parfum</t>
  </si>
  <si>
    <t xml:space="preserve">Abercrombie &amp; Fitch First Instinct Together | Swansura UK</t>
  </si>
  <si>
    <t xml:space="preserve">Buy Abercrombie &amp; Fitch First Instinct Together Eau de Parfum at Swansura UK. A floral women's eau de parfum, 100ml. 100% authentic, free UK delivery over £50.</t>
  </si>
  <si>
    <t xml:space="preserve">FR-002</t>
  </si>
  <si>
    <t xml:space="preserve">Abercrombie &amp; Fitch Naturally Fierce Eau de Parfum 50ml – Women's Floral Woody Fragrance</t>
  </si>
  <si>
    <t xml:space="preserve">abercrombie &amp; fitch naturally fierce</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</si>
  <si>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</si>
  <si>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</si>
  <si>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</si>
  <si>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</si>
  <si>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</si>
  <si>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Abercrombie &amp; Fitch Naturally Fierce Eau de Parfum</t>
  </si>
  <si>
    <t xml:space="preserve">Abercrombie &amp; Fitch Naturally Fierce EDP 50ml | Swansura UK</t>
  </si>
  <si>
    <t xml:space="preserve">Buy Abercrombie &amp; Fitch Naturally Fierce Eau de Parfum online in the UK at Swansura. A floral women's eau de parfum. 100% authentic, free UK delivery over £50.</t>
  </si>
  <si>
    <t xml:space="preserve">FR-003</t>
  </si>
  <si>
    <t xml:space="preserve">Acqua di Parma</t>
  </si>
  <si>
    <t xml:space="preserve">Eau de Cologne (EDC)</t>
  </si>
  <si>
    <t xml:space="preserve">Citrus · Unisex Fragrance</t>
  </si>
  <si>
    <t xml:space="preserve">Acqua di Parma Colonia Pura Eau de Cologne 20ml Unisex</t>
  </si>
  <si>
    <t xml:space="preserve">acqua di parma colonia pura</t>
  </si>
  <si>
    <t xml:space="preserve">acqua di parma colonia pura uk</t>
  </si>
  <si>
    <t xml:space="preserve">buy acqua di parma colonia pura online</t>
  </si>
  <si>
    <t xml:space="preserve">acqua di parma colonia pura price</t>
  </si>
  <si>
    <t xml:space="preserve">acqua di parma colonia pura eau de cologne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</si>
  <si>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</si>
  <si>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</si>
  <si>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Eau de Cologne Unisex</t>
  </si>
  <si>
    <t xml:space="preserve">Acqua di Parma Colonia Pura Unisex 20ml | Swansura UK</t>
  </si>
  <si>
    <t xml:space="preserve">Buy Acqua di Parma Colonia Pura Eau de Cologne Unisex online in the UK at Swansura. A citrus unisex fragrance, 20ml. 100% authentic, free UK delivery over £50.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</si>
  <si>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</si>
  <si>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</si>
  <si>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</si>
  <si>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</si>
  <si>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</si>
  <si>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</si>
  <si>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</si>
  <si>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</si>
  <si>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Acqua di Parma Colonia Essenza Deodorant Stick</t>
  </si>
  <si>
    <t xml:space="preserve">Acqua di Parma Colonia Essenza Deodorant Stick | Swansura UK</t>
  </si>
  <si>
    <t xml:space="preserve">Buy Acqua di Parma Colonia Essenza Deodorant Stick online in the UK at Swansura. A citrus unisex fragrance, 75ml. 100% authentic, free UK delivery over £50.</t>
  </si>
  <si>
    <t xml:space="preserve">FR-005</t>
  </si>
  <si>
    <t xml:space="preserve">Oud · Men's Fragrance</t>
  </si>
  <si>
    <t xml:space="preserve">Acqua di Parma Oud &amp; Spice EDP 20ml for Men</t>
  </si>
  <si>
    <t xml:space="preserve">acqua di parma oud &amp; spice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</si>
  <si>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</si>
  <si>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</si>
  <si>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</si>
  <si>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</si>
  <si>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</si>
  <si>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</si>
  <si>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t>
  </si>
  <si>
    <t xml:space="preserve">Acqua di Parma Oud &amp; Spice EDP for Men | Swansura UK</t>
  </si>
  <si>
    <t xml:space="preserve">Buy Acqua di Parma Oud &amp; Spice EDP for Men online in the UK at Swansura. An oud men's eau de parfum, 20ml. 100% authentic, fast UK delivery, free over £50.</t>
  </si>
  <si>
    <t xml:space="preserve">Woody · Women's Fragrance</t>
  </si>
  <si>
    <t xml:space="preserve">acqua di parma rosa nobile</t>
  </si>
  <si>
    <t xml:space="preserve">acqua di parma rosa nobile uk</t>
  </si>
  <si>
    <t xml:space="preserve">buy acqua di parma rosa nobile online</t>
  </si>
  <si>
    <t xml:space="preserve">acqua di parma rosa nobile price</t>
  </si>
  <si>
    <t xml:space="preserve">acqua di parma rosa nobile edp</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</si>
  <si>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</si>
  <si>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</si>
  <si>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t>
  </si>
  <si>
    <t xml:space="preserve">Acqua di Parma Rosa Nobile EDP for Women | Swansura UK</t>
  </si>
  <si>
    <t xml:space="preserve">Buy Acqua di Parma Rosa Nobile EDP for Women online in the UK at Swansura. A woody women's eau de parfum, 20ml. 100% authentic, fast UK delivery, free over £50.</t>
  </si>
  <si>
    <t xml:space="preserve">Floral · Unisex Fragrance</t>
  </si>
  <si>
    <t xml:space="preserve">acqua di parma sakura</t>
  </si>
  <si>
    <t xml:space="preserve">acqua di parma sakura uk</t>
  </si>
  <si>
    <t xml:space="preserve">buy acqua di parma sakura online</t>
  </si>
  <si>
    <t xml:space="preserve">acqua di parma sakura price</t>
  </si>
  <si>
    <t xml:space="preserve">acqua di parma sakura edp</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</si>
  <si>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</si>
  <si>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</si>
  <si>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t>
  </si>
  <si>
    <t xml:space="preserve">Acqua di Parma Sakura EDP Unisex Perfume | Swansura UK</t>
  </si>
  <si>
    <t xml:space="preserve">Buy Acqua di Parma Sakura EDP Unisex Perfume online in the UK at Swansura. A floral unisex eau de parfum, 20ml. 100% authentic, fast UK delivery, free over £50.</t>
  </si>
  <si>
    <t xml:space="preserve">Amber · Unisex Fragrance</t>
  </si>
  <si>
    <t xml:space="preserve">acqua di parma sandalo</t>
  </si>
  <si>
    <t xml:space="preserve">acqua di parma sandalo uk</t>
  </si>
  <si>
    <t xml:space="preserve">buy acqua di parma sandalo online</t>
  </si>
  <si>
    <t xml:space="preserve">acqua di parma sandalo price</t>
  </si>
  <si>
    <t xml:space="preserve">acqua di parma sandalo edp</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</si>
  <si>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</si>
  <si>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</si>
  <si>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Acqua di Parma Sandalo EDP Unisex</t>
  </si>
  <si>
    <t xml:space="preserve">Acqua di Parma Sandalo EDP Unisex | Buy Online UK | Swansura</t>
  </si>
  <si>
    <t xml:space="preserve">Buy Acqua di Parma Sandalo EDP Unisex online in the UK at Swansura. An amber unisex eau de parfum, 20ml. 100% authentic, fast UK delivery, free over £50.</t>
  </si>
  <si>
    <t xml:space="preserve">FR-009</t>
  </si>
  <si>
    <t xml:space="preserve">Fragrance Gift Set</t>
  </si>
  <si>
    <t xml:space="preserve">Acqua di Parma Blu Mediterraneo Discovery Set 3x12ml</t>
  </si>
  <si>
    <t xml:space="preserve">3x12ml</t>
  </si>
  <si>
    <t xml:space="preserve">acqua di parma blu mediterraneo discovery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</si>
  <si>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</si>
  <si>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</si>
  <si>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</si>
  <si>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</si>
  <si>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</si>
  <si>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£50.</t>
  </si>
  <si>
    <t xml:space="preserve">FR-010</t>
  </si>
  <si>
    <t xml:space="preserve">Acqua di Parma Holiday Discovery Set EDP 3x12ml</t>
  </si>
  <si>
    <t xml:space="preserve">Not specified</t>
  </si>
  <si>
    <t xml:space="preserve">acqua di parma holiday discovery set</t>
  </si>
  <si>
    <t xml:space="preserve">acqua di parma holiday discovery set uk</t>
  </si>
  <si>
    <t xml:space="preserve">buy acqua di parma holiday discovery set online</t>
  </si>
  <si>
    <t xml:space="preserve">acqua di parma holiday discovery set price</t>
  </si>
  <si>
    <t xml:space="preserve">Acqua di Parma Holiday Discovery Set 3x12ml | Swansura UK</t>
  </si>
  <si>
    <t xml:space="preserve">Buy Acqua di Parma Holiday Discovery Set EDP 3x12ml online in the UK at Swansura. An amber unisex eau de parfum. 100% authentic, free UK delivery over £50.</t>
  </si>
  <si>
    <t xml:space="preserve">FR-011</t>
  </si>
  <si>
    <t xml:space="preserve">Al Haramain</t>
  </si>
  <si>
    <t xml:space="preserve">Al Haramain Amber Musk Eau de Parfum 100ml – Luxury Unisex Amber Musk Fragrance</t>
  </si>
  <si>
    <t xml:space="preserve">al haramain amber musk</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</si>
  <si>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</si>
  <si>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</si>
  <si>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</si>
  <si>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</si>
  <si>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</si>
  <si>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</si>
  <si>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Eau de Parfum</t>
  </si>
  <si>
    <t xml:space="preserve">Al Haramain Amber Musk EDP 100ml | Buy Online UK | Swansura</t>
  </si>
  <si>
    <t xml:space="preserve">Buy Al Haramain Amber Musk Eau de Parfum online in the UK at Swansura. An amber unisex eau de parfum, 100ml. 100% authentic, fast UK delivery, free over £50.</t>
  </si>
  <si>
    <t xml:space="preserve">FR-012</t>
  </si>
  <si>
    <t xml:space="preserve">Woody · Unisex Fragrance</t>
  </si>
  <si>
    <t xml:space="preserve">Al Haramain Amber Oud Black Edition Eau de Parfum 100ml – Luxury Unisex Woody Amber Fragrance</t>
  </si>
  <si>
    <t xml:space="preserve">al haramain amber oud black edition</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</si>
  <si>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</si>
  <si>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</si>
  <si>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</si>
  <si>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</si>
  <si>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</si>
  <si>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</si>
  <si>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Al Haramain Amber Oud Black Edition Eau de Parfum</t>
  </si>
  <si>
    <t xml:space="preserve">Al Haramain Amber Oud Black Edition EDP 100ml | Swansura UK</t>
  </si>
  <si>
    <t xml:space="preserve">Buy Al Haramain Amber Oud Black Edition Eau de Parfum online in the UK at Swansura. A woody unisex eau de parfum. 100% authentic, free UK delivery over £50.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</si>
  <si>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</si>
  <si>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</si>
  <si>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</si>
  <si>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</si>
  <si>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uk</t>
  </si>
  <si>
    <t xml:space="preserve">buy al haramain amber oud bleu edition online</t>
  </si>
  <si>
    <t xml:space="preserve">al haramain amber oud bleu edition price</t>
  </si>
  <si>
    <t xml:space="preserve">al haramain amber oud bleu edition eau de parfum</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</si>
  <si>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</si>
  <si>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Al Haramain Amber Oud Bleu Edition Eau de Parfum</t>
  </si>
  <si>
    <t xml:space="preserve">Al Haramain Amber Oud Bleu Edition EDP 60ml | Swansura UK</t>
  </si>
  <si>
    <t xml:space="preserve">Buy Al Haramain Amber Oud Bleu Edition Eau de Parfum online in the UK at Swansura. A woody unisex eau de parfum. 100% authentic, free UK delivery over £50.</t>
  </si>
  <si>
    <t xml:space="preserve">FR-014</t>
  </si>
  <si>
    <t xml:space="preserve">Woody · Men's Fragrance</t>
  </si>
  <si>
    <t xml:space="preserve">Al Haramain Amber Oud Carbon Edition Eau de Parfum – Men's Fresh Woody Fragrance</t>
  </si>
  <si>
    <t xml:space="preserve">al haramain amber oud carbon edition</t>
  </si>
  <si>
    <t xml:space="preserve">al haramain amber oud carbon edition uk</t>
  </si>
  <si>
    <t xml:space="preserve">buy al haramain amber oud carbon edition online</t>
  </si>
  <si>
    <t xml:space="preserve">al haramain amber oud carbon edition price</t>
  </si>
  <si>
    <t xml:space="preserve">al haramain amber oud carbon edition eau de parfum</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</si>
  <si>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</si>
  <si>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</si>
  <si>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Al Haramain Amber Oud Carbon Edition Eau de Parfum</t>
  </si>
  <si>
    <t xml:space="preserve">Al Haramain Amber Oud Carbon Edition EDP 60ml | Swansura UK</t>
  </si>
  <si>
    <t xml:space="preserve">Buy Al Haramain Amber Oud Carbon Edition Eau de Parfum online in the UK at Swansura. A woody men's eau de parfum. 100% authentic, free UK delivery over £50.</t>
  </si>
  <si>
    <t xml:space="preserve">al haramain amber oud</t>
  </si>
  <si>
    <t xml:space="preserve">al haramain amber oud uk</t>
  </si>
  <si>
    <t xml:space="preserve">buy al haramain amber oud online</t>
  </si>
  <si>
    <t xml:space="preserve">al haramain amber oud price</t>
  </si>
  <si>
    <t xml:space="preserve">al haramain amber oud eau de parfum</t>
  </si>
  <si>
    <t xml:space="preserve">Al Haramain Amber Oud Eau de Parfum</t>
  </si>
  <si>
    <t xml:space="preserve">Al Haramain Amber Oud EDP 60ml | Buy Online UK | Swansura</t>
  </si>
  <si>
    <t xml:space="preserve">Buy Al Haramain Amber Oud Eau de Parfum online in the UK at Swansura. A woody unisex eau de parfum, 60ml. 100% authentic, fast UK delivery, free over £50.</t>
  </si>
  <si>
    <t xml:space="preserve">al haramain amber oud gold edition</t>
  </si>
  <si>
    <t xml:space="preserve">al haramain amber oud gold edition uk</t>
  </si>
  <si>
    <t xml:space="preserve">buy al haramain amber oud gold edition online</t>
  </si>
  <si>
    <t xml:space="preserve">al haramain amber oud gold edition price</t>
  </si>
  <si>
    <t xml:space="preserve">al haramain amber oud gold edition eau de parfum</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</si>
  <si>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</si>
  <si>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Al Haramain Amber Oud Gold Edition Eau de Parfum</t>
  </si>
  <si>
    <t xml:space="preserve">Al Haramain Amber Oud Gold Edition EDP 60ml | Swansura UK</t>
  </si>
  <si>
    <t xml:space="preserve">Buy Al Haramain Amber Oud Gold Edition Eau de Parfum online in the UK at Swansura. An amber unisex eau de parfum. 100% authentic, free UK delivery over £50.</t>
  </si>
  <si>
    <t xml:space="preserve">FR-017</t>
  </si>
  <si>
    <t xml:space="preserve">Al Haramain Amber Oud Ruby Edition Eau de Parfum – Luxury Unisex Amber Floral Fragrance</t>
  </si>
  <si>
    <t xml:space="preserve">al haramain amber oud ruby edition</t>
  </si>
  <si>
    <t xml:space="preserve">al haramain amber oud ruby edition uk</t>
  </si>
  <si>
    <t xml:space="preserve">buy al haramain amber oud ruby edition online</t>
  </si>
  <si>
    <t xml:space="preserve">al haramain amber oud ruby edition price</t>
  </si>
  <si>
    <t xml:space="preserve">al haramain amber oud ruby edition eau de parfum</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</si>
  <si>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</si>
  <si>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</si>
  <si>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Al Haramain Amber Oud Ruby Edition Eau de Parfum</t>
  </si>
  <si>
    <t xml:space="preserve">Al Haramain Amber Oud Ruby Edition EDP 60ml | Swansura UK</t>
  </si>
  <si>
    <t xml:space="preserve">Buy Al Haramain Amber Oud Ruby Edition Eau de Parfum online in the UK at Swansura. A floral unisex eau de parfum. 100% authentic, free UK delivery over £50.</t>
  </si>
  <si>
    <t xml:space="preserve">al haramain amber oud tobacco edition</t>
  </si>
  <si>
    <t xml:space="preserve">al haramain amber oud tobacco edition uk</t>
  </si>
  <si>
    <t xml:space="preserve">buy al haramain amber oud tobacco edition online</t>
  </si>
  <si>
    <t xml:space="preserve">al haramain amber oud tobacco edition price</t>
  </si>
  <si>
    <t xml:space="preserve">al haramain amber oud tobacco edition eau de parfum</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</si>
  <si>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</si>
  <si>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Al Haramain Amber Oud Tobacco Edition Eau de Parfum</t>
  </si>
  <si>
    <t xml:space="preserve">Al Haramain Amber Oud Tobacco Edition EDP 60ml | Swansura UK</t>
  </si>
  <si>
    <t xml:space="preserve">Buy Al Haramain Amber Oud Tobacco Edition Eau de Parfum online in the UK at Swansura. An amber unisex eau de parfum. 100% authentic, free UK delivery over £50.</t>
  </si>
  <si>
    <t xml:space="preserve">FR-019</t>
  </si>
  <si>
    <t xml:space="preserve">Al Haramain Amber Oud White Edition Eau de Parfum – Luxury Women's Floral Oriental Fragrance</t>
  </si>
  <si>
    <t xml:space="preserve">al haramain amber oud white edition</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</si>
  <si>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</si>
  <si>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</si>
  <si>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</si>
  <si>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</si>
  <si>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</si>
  <si>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</si>
  <si>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Al Haramain Amber Oud White Edition Eau de Parfum</t>
  </si>
  <si>
    <t xml:space="preserve">Al Haramain Amber Oud White Edition EDP 60ml | Swansura UK</t>
  </si>
  <si>
    <t xml:space="preserve">Buy Al Haramain Amber Oud White Edition Eau de Parfum online in the UK at Swansura. A floral women's eau de parfum. 100% authentic, free UK delivery over £50.</t>
  </si>
  <si>
    <t xml:space="preserve">FR-020</t>
  </si>
  <si>
    <t xml:space="preserve">Al Haramain Detour Noir Eau de Parfum 100ml – Luxury Unisex Amber Spicy Fragrance</t>
  </si>
  <si>
    <t xml:space="preserve">al haramain detour noir</t>
  </si>
  <si>
    <t xml:space="preserve">al haramain detour noir uk</t>
  </si>
  <si>
    <t xml:space="preserve">buy al haramain detour noir online</t>
  </si>
  <si>
    <t xml:space="preserve">al haramain detour noir price</t>
  </si>
  <si>
    <t xml:space="preserve">al haramain detour noir eau de parfum</t>
  </si>
  <si>
    <t xml:space="preserve">al haramain detour noir dupe of · al haramain detour noir eau de parfum</t>
  </si>
  <si>
    <t xml:space="preserve">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</si>
  <si>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</si>
  <si>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£50.</t>
  </si>
  <si>
    <t xml:space="preserve">FR-021</t>
  </si>
  <si>
    <t xml:space="preserve">Al Haramain L'Aventure Blanche Eau de Parfum 100ml – Fresh Floral Woody Fragrance</t>
  </si>
  <si>
    <t xml:space="preserve">al haramain l'aventure blanche</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</si>
  <si>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</si>
  <si>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</si>
  <si>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</si>
  <si>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</si>
  <si>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</si>
  <si>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t>
  </si>
  <si>
    <t xml:space="preserve">Al Haramain L'Aventure Blanche Eau de Parfum | Swansura UK</t>
  </si>
  <si>
    <t xml:space="preserve">Buy Al Haramain L'Aventure Blanche Eau de Parfum online in the UK at Swansura. A floral unisex eau de parfum, 100ml. 100% authentic, free UK delivery over £50.</t>
  </si>
  <si>
    <t xml:space="preserve">al haramain l'aventure</t>
  </si>
  <si>
    <t xml:space="preserve">al haramain l'aventure uk</t>
  </si>
  <si>
    <t xml:space="preserve">buy al haramain l'aventure online</t>
  </si>
  <si>
    <t xml:space="preserve">al haramain l'aventure price</t>
  </si>
  <si>
    <t xml:space="preserve">al haramain l'aventure eau de parfum</t>
  </si>
  <si>
    <t xml:space="preserve">al haramain l'aventure dupe of</t>
  </si>
  <si>
    <t xml:space="preserve">Al Haramain L'Aventure Eau de Parfum</t>
  </si>
  <si>
    <t xml:space="preserve">Al Haramain L'Aventure EDP 100ml | Buy Online UK | Swansura</t>
  </si>
  <si>
    <t xml:space="preserve">Buy Al Haramain L'Aventure Eau de Parfum online in the UK at Swansura. A woody men's eau de parfum, 100ml. 100% authentic, fast UK delivery, free over £50.</t>
  </si>
  <si>
    <t xml:space="preserve">FR-023</t>
  </si>
  <si>
    <t xml:space="preserve">Al Haramain L'Aventure Femme Eau de Parfum 100ml – Women's Fruity Floral Fragrance</t>
  </si>
  <si>
    <t xml:space="preserve">al haramain l'aventure femme</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</si>
  <si>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</si>
  <si>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</si>
  <si>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</si>
  <si>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</si>
  <si>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</si>
  <si>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t>
  </si>
  <si>
    <t xml:space="preserve">Al Haramain L'Aventure Femme Eau de Parfum | Swansura UK</t>
  </si>
  <si>
    <t xml:space="preserve">Buy Al Haramain L'Aventure Femme Eau de Parfum online in the UK at Swansura. A floral women's eau de parfum, 100ml. 100% authentic, free UK delivery over £50.</t>
  </si>
  <si>
    <t xml:space="preserve">FR-024</t>
  </si>
  <si>
    <t xml:space="preserve">Al Haramain L'Aventure Gold Eau de Parfum 100ml – Women's Floral Fruity Fragrance</t>
  </si>
  <si>
    <t xml:space="preserve">al haramain l'aventure gold</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</si>
  <si>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</si>
  <si>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</si>
  <si>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</si>
  <si>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</si>
  <si>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</si>
  <si>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</si>
  <si>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</si>
  <si>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£50.</t>
  </si>
  <si>
    <t xml:space="preserve">FR-025</t>
  </si>
  <si>
    <t xml:space="preserve">Al Haramain L'Aventure Intense Eau de Parfum 100ml – Men's Fresh Woody Fragrance</t>
  </si>
  <si>
    <t xml:space="preserve">al haramain l'aventure intense</t>
  </si>
  <si>
    <t xml:space="preserve">al haramain l'aventure intense uk</t>
  </si>
  <si>
    <t xml:space="preserve">buy al haramain l'aventure intense online</t>
  </si>
  <si>
    <t xml:space="preserve">al haramain l'aventure intense price</t>
  </si>
  <si>
    <t xml:space="preserve">al haramain l'aventure intense eau de parfum</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</si>
  <si>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</si>
  <si>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t>
  </si>
  <si>
    <t xml:space="preserve">Al Haramain L'Aventure Intense Eau de Parfum | Swansura UK</t>
  </si>
  <si>
    <t xml:space="preserve">Buy Al Haramain L'Aventure Intense Eau de Parfum online in the UK at Swansura. A woody men's eau de parfum, 100ml. 100% authentic, free UK delivery over £50.</t>
  </si>
  <si>
    <t xml:space="preserve">FR-026</t>
  </si>
  <si>
    <t xml:space="preserve">Extrait de Parfum</t>
  </si>
  <si>
    <t xml:space="preserve">Al Haramain Amber Oud Extreme Gold Edition Extrait de Parfum – Luxury Unisex Fruity Amber Fragrance</t>
  </si>
  <si>
    <t xml:space="preserve">al haramain amber oud extreme gold edition</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</si>
  <si>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</si>
  <si>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</si>
  <si>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</si>
  <si>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</si>
  <si>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</si>
  <si>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</si>
  <si>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</si>
  <si>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at Swansura UK. An amber unisex extrait de parfum. 100% authentic, free UK delivery over £50.</t>
  </si>
  <si>
    <t xml:space="preserve">FR-027</t>
  </si>
  <si>
    <t xml:space="preserve">anatomē</t>
  </si>
  <si>
    <t xml:space="preserve">Check brand</t>
  </si>
  <si>
    <t xml:space="preserve">Balance Eau de Parfum | Centre the Mind &amp; Restore Calm 100ml</t>
  </si>
  <si>
    <t xml:space="preserve">anatome balance</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</si>
  <si>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</si>
  <si>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</si>
  <si>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</si>
  <si>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</si>
  <si>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</si>
  <si>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</si>
  <si>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</si>
  <si>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</si>
  <si>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£50.</t>
  </si>
  <si>
    <t xml:space="preserve">FR-028</t>
  </si>
  <si>
    <t xml:space="preserve">FR-029</t>
  </si>
  <si>
    <t xml:space="preserve">FR-030</t>
  </si>
  <si>
    <t xml:space="preserve">Energy Eau de Parfum | Enhance Endurance &amp; Sharpen Clarity 100ml</t>
  </si>
  <si>
    <t xml:space="preserve">anatome energy</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</si>
  <si>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</si>
  <si>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</si>
  <si>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</si>
  <si>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</si>
  <si>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</si>
  <si>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</si>
  <si>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</si>
  <si>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£50.</t>
  </si>
  <si>
    <t xml:space="preserve">FR-031</t>
  </si>
  <si>
    <t xml:space="preserve">FR-032</t>
  </si>
  <si>
    <t xml:space="preserve">FR-033</t>
  </si>
  <si>
    <t xml:space="preserve">Expression Eau de Parfum | Open the Breath &amp; Support Expression 100ml</t>
  </si>
  <si>
    <t xml:space="preserve">anatome expression</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</si>
  <si>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</si>
  <si>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</si>
  <si>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</si>
  <si>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</si>
  <si>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</si>
  <si>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</si>
  <si>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£50.</t>
  </si>
  <si>
    <t xml:space="preserve">FR-034</t>
  </si>
  <si>
    <t xml:space="preserve">FR-035</t>
  </si>
  <si>
    <t xml:space="preserve">FR-036</t>
  </si>
  <si>
    <t xml:space="preserve">Focus Eau de Parfum | Sharpen Focus &amp; Awaken the Senses 100ml</t>
  </si>
  <si>
    <t xml:space="preserve">anatome focus</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</si>
  <si>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</si>
  <si>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</si>
  <si>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</si>
  <si>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</si>
  <si>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</si>
  <si>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</si>
  <si>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</si>
  <si>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£50.</t>
  </si>
  <si>
    <t xml:space="preserve">FR-037</t>
  </si>
  <si>
    <t xml:space="preserve">FR-038</t>
  </si>
  <si>
    <t xml:space="preserve">FR-039</t>
  </si>
  <si>
    <t xml:space="preserve">Support Eau de Parfum | Protective, herbaceous &amp; restorative</t>
  </si>
  <si>
    <t xml:space="preserve">anatome support</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</si>
  <si>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</si>
  <si>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</si>
  <si>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</si>
  <si>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</si>
  <si>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</si>
  <si>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</si>
  <si>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£50.</t>
  </si>
  <si>
    <t xml:space="preserve">FR-040</t>
  </si>
  <si>
    <t xml:space="preserve">FR-041</t>
  </si>
  <si>
    <t xml:space="preserve">FR-042</t>
  </si>
  <si>
    <t xml:space="preserve">Support Eau de Parfum | Travel 10ml</t>
  </si>
  <si>
    <t xml:space="preserve">10ml</t>
  </si>
  <si>
    <t xml:space="preserve">Support Eau de Parfum 10ml | Buy Online UK | Swansura</t>
  </si>
  <si>
    <t xml:space="preserve">Buy Support Eau de Parfum online in the UK at Swansura. An amber unisex eau de parfum, 10ml. 100% authentic, fast UK delivery, free over £50.</t>
  </si>
  <si>
    <t xml:space="preserve">anna sui</t>
  </si>
  <si>
    <t xml:space="preserve">Eau de Toilette (EDT)</t>
  </si>
  <si>
    <t xml:space="preserve">anna sui sky</t>
  </si>
  <si>
    <t xml:space="preserve">anna sui sky uk</t>
  </si>
  <si>
    <t xml:space="preserve">buy anna sui sky online</t>
  </si>
  <si>
    <t xml:space="preserve">anna sui sky price</t>
  </si>
  <si>
    <t xml:space="preserve">anna sui sky eau de toilette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</si>
  <si>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</si>
  <si>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</si>
  <si>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t>
  </si>
  <si>
    <t xml:space="preserve">Anna Sui Sky Eau de Toilette | Buy Online UK | Swansura</t>
  </si>
  <si>
    <t xml:space="preserve">Buy Anna Sui Sky Eau de Toilette online in the UK at Swansura. A floral women's eau de toilette, 30ml. 100% authentic, fast UK delivery, free over £50.</t>
  </si>
  <si>
    <t xml:space="preserve">FR-044</t>
  </si>
  <si>
    <t xml:space="preserve">antonio</t>
  </si>
  <si>
    <t xml:space="preserve">Spelling: Antonio Banderas</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</si>
  <si>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</si>
  <si>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</si>
  <si>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</si>
  <si>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</si>
  <si>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</si>
  <si>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</si>
  <si>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</si>
  <si>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</si>
  <si>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</si>
  <si>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</si>
  <si>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£50.</t>
  </si>
  <si>
    <t xml:space="preserve">FR-045</t>
  </si>
  <si>
    <t xml:space="preserve">Boucheron Rose d'Isparta Eau de Parfum 125ml – Luxury Unisex Rose Amber Fragrance</t>
  </si>
  <si>
    <t xml:space="preserve">antonio banderas boucheron rose d'isparta</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</si>
  <si>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</si>
  <si>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</si>
  <si>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</si>
  <si>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</si>
  <si>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</si>
  <si>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</si>
  <si>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</si>
  <si>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£50.</t>
  </si>
  <si>
    <t xml:space="preserve">FR-046</t>
  </si>
  <si>
    <t xml:space="preserve">Antonio Banderas Diavolo Eau de Toilette – Men's Warm Spicy Woody Fragrance</t>
  </si>
  <si>
    <t xml:space="preserve">antonio banderas diavolo</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</si>
  <si>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</si>
  <si>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</si>
  <si>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</si>
  <si>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</si>
  <si>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</si>
  <si>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</si>
  <si>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t>
  </si>
  <si>
    <t xml:space="preserve">Antonio Banderas Diavolo Eau de Toilette | Swansura UK</t>
  </si>
  <si>
    <t xml:space="preserve">Buy Antonio Banderas Diavolo Eau de Toilette online in the UK at Swansura. A woody men's eau de toilette, 100ml. 100% authentic, free UK delivery over £50.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</si>
  <si>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</si>
  <si>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</si>
  <si>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</si>
  <si>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</si>
  <si>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</si>
  <si>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</si>
  <si>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</si>
  <si>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</si>
  <si>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</si>
  <si>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</si>
  <si>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Antonio Banderas Her Secret Desire Eau de Toilette</t>
  </si>
  <si>
    <t xml:space="preserve">Antonio Banderas Her Secret Desire EDT 80ml | Swansura UK</t>
  </si>
  <si>
    <t xml:space="preserve">Buy Antonio Banderas Her Secret Desire Eau de Toilette at Swansura UK. A floral women's eau de toilette, 80ml. 100% authentic, fast UK delivery, free over £50.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</si>
  <si>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</si>
  <si>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</si>
  <si>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</si>
  <si>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</si>
  <si>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</si>
  <si>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</si>
  <si>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</si>
  <si>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</si>
  <si>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Eau de Toilette</t>
  </si>
  <si>
    <t xml:space="preserve">Antonio Banderas Her Secret Temptation 80ml | Swansura UK</t>
  </si>
  <si>
    <t xml:space="preserve">Buy Antonio Banderas Her Secret Temptation Eau de Toilette at Swansura UK. A floral women's eau de toilette, 80ml. 100% authentic, free UK delivery over £50.</t>
  </si>
  <si>
    <t xml:space="preserve">FR-049</t>
  </si>
  <si>
    <t xml:space="preserve">Fresh · Men's Fragrance</t>
  </si>
  <si>
    <t xml:space="preserve">Antonio Banderas Power of Seduction Eau de Toilette 50ml – Men's Fresh Aromatic Fragrance</t>
  </si>
  <si>
    <t xml:space="preserve">antonio banderas power of seduction</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</si>
  <si>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</si>
  <si>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</si>
  <si>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</si>
  <si>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</si>
  <si>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</si>
  <si>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</si>
  <si>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Antonio Banderas Power of Seduction Eau de Toilette</t>
  </si>
  <si>
    <t xml:space="preserve">Antonio Banderas Power of Seduction EDT 50ml | Swansura UK</t>
  </si>
  <si>
    <t xml:space="preserve">Buy Antonio Banderas Power of Seduction Eau de Toilette online in the UK at Swansura. A fresh men's eau de toilette. 100% authentic, free UK delivery over £50.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</si>
  <si>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</si>
  <si>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</si>
  <si>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</si>
  <si>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</si>
  <si>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</si>
  <si>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</si>
  <si>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</si>
  <si>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</si>
  <si>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</si>
  <si>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</si>
  <si>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t>
  </si>
  <si>
    <t xml:space="preserve">Ariana Grande Thank U, Next Eau de Parfum | Swansura UK</t>
  </si>
  <si>
    <t xml:space="preserve">Buy Ariana Grande Thank U, Next Eau de Parfum online in the UK at Swansura. A floral women's eau de parfum, 100ml. 100% authentic, free UK delivery over £50.</t>
  </si>
  <si>
    <t xml:space="preserve">FR-051</t>
  </si>
  <si>
    <t xml:space="preserve">Armaf</t>
  </si>
  <si>
    <t xml:space="preserve">Armaf Hunter Eau de Parfum 100ml – Men's Fresh Woody Aromatic Fragrance</t>
  </si>
  <si>
    <t xml:space="preserve">armaf hunter</t>
  </si>
  <si>
    <t xml:space="preserve">armaf hunter uk</t>
  </si>
  <si>
    <t xml:space="preserve">buy armaf hunter online</t>
  </si>
  <si>
    <t xml:space="preserve">armaf hunter price</t>
  </si>
  <si>
    <t xml:space="preserve">armaf hunter eau de parfum</t>
  </si>
  <si>
    <t xml:space="preserve">armaf perfume · armaf perfume for men · woody perfume for men uk</t>
  </si>
  <si>
    <t xml:space="preserve">armaf hunter dupe of · armaf hunter men · armaf hunter perfume</t>
  </si>
  <si>
    <t xml:space="preserve">Armaf Hunter Eau de Parfum</t>
  </si>
  <si>
    <t xml:space="preserve">Armaf Hunter Eau de Parfum | Buy Online UK | Swansura</t>
  </si>
  <si>
    <t xml:space="preserve">Buy Armaf Hunter Eau de Parfum online in the UK at Swansura. A woody men's eau de parfum, 100ml. 100% authentic, fast UK delivery, free over £50.</t>
  </si>
  <si>
    <t xml:space="preserve">FR-052</t>
  </si>
  <si>
    <t xml:space="preserve">Bentley</t>
  </si>
  <si>
    <t xml:space="preserve">Name says Azzaro, brand says Bentley</t>
  </si>
  <si>
    <t xml:space="preserve">Aromatic · Men's Fragrance</t>
  </si>
  <si>
    <t xml:space="preserve">Azzaro Pour Homme Deodorant Spray 150ml – Men's Aromatic Fragranced Deodorant</t>
  </si>
  <si>
    <t xml:space="preserve">150ml</t>
  </si>
  <si>
    <t xml:space="preserve">bentley azzaro pour homme deodorant</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</si>
  <si>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</si>
  <si>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</si>
  <si>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</si>
  <si>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</si>
  <si>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</si>
  <si>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</si>
  <si>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£50.</t>
  </si>
  <si>
    <t xml:space="preserve">FR-053</t>
  </si>
  <si>
    <t xml:space="preserve">Bentley Become Eau de Parfum 100ml – Men's Fresh Woody Aromatic Fragrance</t>
  </si>
  <si>
    <t xml:space="preserve">bentley become</t>
  </si>
  <si>
    <t xml:space="preserve">bentley become uk</t>
  </si>
  <si>
    <t xml:space="preserve">buy bentley become online</t>
  </si>
  <si>
    <t xml:space="preserve">bentley become price</t>
  </si>
  <si>
    <t xml:space="preserve">bentley become eau de parfum</t>
  </si>
  <si>
    <t xml:space="preserve">bentley perfume · bentley perfume for men · woody perfume for men uk</t>
  </si>
  <si>
    <t xml:space="preserve">bentley become perfume · bentley become perfume price · bentley become review · bentley become edp</t>
  </si>
  <si>
    <t xml:space="preserve">Bentley Become Eau de Parfum</t>
  </si>
  <si>
    <t xml:space="preserve">Bentley Become Eau de Parfum | Buy Online UK | Swansura</t>
  </si>
  <si>
    <t xml:space="preserve">Buy Bentley Become Eau de Parfum online in the UK at Swansura. A woody men's eau de parfum, 100ml. 100% authentic, fast UK delivery, free over £50.</t>
  </si>
  <si>
    <t xml:space="preserve">FR-054</t>
  </si>
  <si>
    <t xml:space="preserve">Bentley For Men Absolute Eau de Parfum 100ml – Men's Woody Spicy Fragrance</t>
  </si>
  <si>
    <t xml:space="preserve">bentley absolute</t>
  </si>
  <si>
    <t xml:space="preserve">bentley absolute uk</t>
  </si>
  <si>
    <t xml:space="preserve">buy bentley absolute online</t>
  </si>
  <si>
    <t xml:space="preserve">bentley absolute price</t>
  </si>
  <si>
    <t xml:space="preserve">bentley absolute eau de parfum</t>
  </si>
  <si>
    <t xml:space="preserve">bentley absolute for men · bentley absolute men edp · bentley absolute edp · bentley absolute eau de parfum · bentley absolute review · bentley absolute for men review</t>
  </si>
  <si>
    <t xml:space="preserve">Bentley For Men Absolute Eau de Parfum</t>
  </si>
  <si>
    <t xml:space="preserve">Bentley For Men Absolute Eau de Parfum | Swansura UK</t>
  </si>
  <si>
    <t xml:space="preserve">Buy Bentley For Men Absolute Eau de Parfum online in the UK at Swansura. A woody men's eau de parfum, 100ml. 100% authentic, fast UK delivery, free over £50.</t>
  </si>
  <si>
    <t xml:space="preserve">FR-055</t>
  </si>
  <si>
    <t xml:space="preserve">Bentley For Men Silverlake Eau de Parfum 100ml – Men's Fresh Aromatic Woody Fragrance</t>
  </si>
  <si>
    <t xml:space="preserve">bentley silverlake</t>
  </si>
  <si>
    <t xml:space="preserve">bentley silverlake uk</t>
  </si>
  <si>
    <t xml:space="preserve">buy bentley silverlake online</t>
  </si>
  <si>
    <t xml:space="preserve">bentley silverlake price</t>
  </si>
  <si>
    <t xml:space="preserve">bentley silverlake eau de parfum</t>
  </si>
  <si>
    <t xml:space="preserve">bentley silverlake perfume · bentley silverlake edp · bentley silverlake review · bentley silverlake price · bentley silverlake dupe of · bentley silverlake notes</t>
  </si>
  <si>
    <t xml:space="preserve">Bentley For Men Silverlake Eau de Parfum</t>
  </si>
  <si>
    <t xml:space="preserve">Bentley For Men Silverlake Eau de Parfum | Swansura UK</t>
  </si>
  <si>
    <t xml:space="preserve">Buy Bentley For Men Silverlake Eau de Parfum online in the UK at Swansura. A woody men's eau de parfum, 100ml. 100% authentic, fast UK delivery, free over £50.</t>
  </si>
  <si>
    <t xml:space="preserve">FR-056</t>
  </si>
  <si>
    <t xml:space="preserve">Azzaro Chrome Legend Eau de Toilette 125ml – Men's Fresh Aromatic Fragrance</t>
  </si>
  <si>
    <t xml:space="preserve">bentley azzaro chrome legend</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</si>
  <si>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</si>
  <si>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</si>
  <si>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</si>
  <si>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</si>
  <si>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</si>
  <si>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</si>
  <si>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</si>
  <si>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£50.</t>
  </si>
  <si>
    <t xml:space="preserve">FR-057</t>
  </si>
  <si>
    <t xml:space="preserve">Azzaro Chrome Legend Eau de Toilette 75ml – Men's Fresh Aromatic Fragrance</t>
  </si>
  <si>
    <t xml:space="preserve">Azzaro Chrome Legend EDT 75ml | Buy Online UK | Swansura</t>
  </si>
  <si>
    <t xml:space="preserve">Buy Azzaro Chrome Legend Eau de Toilette online in the UK at Swansura. A fresh men's eau de toilette, 75ml. 100% authentic, fast UK delivery, free over £50.</t>
  </si>
  <si>
    <t xml:space="preserve">bentley azure</t>
  </si>
  <si>
    <t xml:space="preserve">bentley azure uk</t>
  </si>
  <si>
    <t xml:space="preserve">buy bentley azure online</t>
  </si>
  <si>
    <t xml:space="preserve">bentley azure price</t>
  </si>
  <si>
    <t xml:space="preserve">bentley azure eau de toilette</t>
  </si>
  <si>
    <t xml:space="preserve">bentley azure for sale · bentley azure 2026 · bentley azure price · bentley azure perfume · bentley azure 2026 price · bentley azure for men</t>
  </si>
  <si>
    <t xml:space="preserve">Bentley For Men Azure Eau de Toilette</t>
  </si>
  <si>
    <t xml:space="preserve">Bentley For Men Azure EDT 100ml | Buy Online UK | Swansura</t>
  </si>
  <si>
    <t xml:space="preserve">Buy Bentley For Men Azure Eau de Toilette online in the UK at Swansura. A woody men's eau de toilette, 100ml. 100% authentic, fast UK delivery, free over £50.</t>
  </si>
  <si>
    <t xml:space="preserve">FR-059</t>
  </si>
  <si>
    <t xml:space="preserve">Bentley Infinite Eau de Toilette 100ml – Men's Fresh Woody Aromatic Fragrance</t>
  </si>
  <si>
    <t xml:space="preserve">bentley infinite</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</si>
  <si>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</si>
  <si>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</si>
  <si>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</si>
  <si>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</si>
  <si>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</si>
  <si>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Bentley Infinite Eau de Toilette</t>
  </si>
  <si>
    <t xml:space="preserve">Bentley Infinite Eau de Toilette | Buy Online UK | Swansura</t>
  </si>
  <si>
    <t xml:space="preserve">Buy Bentley Infinite Eau de Toilette online in the UK at Swansura. A woody men's eau de toilette, 100ml. 100% authentic, fast UK delivery, free over £50.</t>
  </si>
  <si>
    <t xml:space="preserve">FR-060</t>
  </si>
  <si>
    <t xml:space="preserve">Bentley Momentum Unlimited Eau de Toilette 100ml – Men's Fresh Woody Aromatic Fragrance</t>
  </si>
  <si>
    <t xml:space="preserve">bentley momentum unlimited</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</si>
  <si>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</si>
  <si>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</si>
  <si>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</si>
  <si>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</si>
  <si>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</si>
  <si>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t>
  </si>
  <si>
    <t xml:space="preserve">Bentley Momentum Unlimited Eau de Toilette | Swansura UK</t>
  </si>
  <si>
    <t xml:space="preserve">Buy Bentley Momentum Unlimited Eau de Toilette online in the UK at Swansura. A woody men's eau de toilette, 100ml. 100% authentic, free UK delivery over £50.</t>
  </si>
  <si>
    <t xml:space="preserve">FR-061</t>
  </si>
  <si>
    <t xml:space="preserve">Azzaro The Most Wanted Eau de Toilette Intense Gift Set 100ml + 2x10ml – Men's Fragrance Set</t>
  </si>
  <si>
    <t xml:space="preserve">bentley azzaro the most wanted intense gift set</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</si>
  <si>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</si>
  <si>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</si>
  <si>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</si>
  <si>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</si>
  <si>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</si>
  <si>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£50.</t>
  </si>
  <si>
    <t xml:space="preserve">FR-062</t>
  </si>
  <si>
    <t xml:space="preserve">Parfum</t>
  </si>
  <si>
    <t xml:space="preserve">Amber · Men's Fragrance</t>
  </si>
  <si>
    <t xml:space="preserve">Azzaro The Most Wanted Parfum 100ml – Men's Warm Spicy Amber Fragrance</t>
  </si>
  <si>
    <t xml:space="preserve">bentley azzaro the most wanted</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</si>
  <si>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</si>
  <si>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</si>
  <si>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</si>
  <si>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</si>
  <si>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</si>
  <si>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</si>
  <si>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</si>
  <si>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£50.</t>
  </si>
  <si>
    <t xml:space="preserve">FR-063</t>
  </si>
  <si>
    <t xml:space="preserve">Burberry</t>
  </si>
  <si>
    <t xml:space="preserve">Burberry My Burberry Eau de Parfum 50ml – Women's Floral Fragrance</t>
  </si>
  <si>
    <t xml:space="preserve">burberry my burberry</t>
  </si>
  <si>
    <t xml:space="preserve">burberry my burberry uk</t>
  </si>
  <si>
    <t xml:space="preserve">buy burberry my burberry online</t>
  </si>
  <si>
    <t xml:space="preserve">burberry my burberry price</t>
  </si>
  <si>
    <t xml:space="preserve">burberry my burberry eau de parfum</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</si>
  <si>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</si>
  <si>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</si>
  <si>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</si>
  <si>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</si>
  <si>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£50.</t>
  </si>
  <si>
    <t xml:space="preserve">FR-064</t>
  </si>
  <si>
    <t xml:space="preserve">Burberry My Burberry Eau de Parfum 90ml – Women's Floral Fragrance</t>
  </si>
  <si>
    <t xml:space="preserve">90ml</t>
  </si>
  <si>
    <t xml:space="preserve">Burberry My Burberry EDP 90ml | Buy Online UK | Swansura</t>
  </si>
  <si>
    <t xml:space="preserve">Buy Burberry My Burberry Eau de Parfum online in the UK at Swansura. A floral women's eau de parfum, 90ml. 100% authentic, fast UK delivery, free over £50.</t>
  </si>
  <si>
    <t xml:space="preserve">FR-065</t>
  </si>
  <si>
    <t xml:space="preserve">Burberry Women's Miniature Perfume Set 4x5ml – Her London Dream, Her EDT &amp; Her EDP</t>
  </si>
  <si>
    <t xml:space="preserve">4x5ml</t>
  </si>
  <si>
    <t xml:space="preserve">burberry miniature set</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</si>
  <si>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</si>
  <si>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</si>
  <si>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</si>
  <si>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</si>
  <si>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</si>
  <si>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Burberry Women's Miniature Perfume Set 4x5ml</t>
  </si>
  <si>
    <t xml:space="preserve">Burberry Women's Miniature Perfume Set 4x5ml | Swansura UK</t>
  </si>
  <si>
    <t xml:space="preserve">Buy Burberry Women's Miniature Perfume Set 4x5ml online in the UK at Swansura. A woody women's eau de parfum, 4x5ml. 100% authentic, free UK delivery over £50.</t>
  </si>
  <si>
    <t xml:space="preserve">FR-066</t>
  </si>
  <si>
    <t xml:space="preserve">Burberry My Burberry Black Parfum 50ml – Women's Rich Floral Amber Fragrance</t>
  </si>
  <si>
    <t xml:space="preserve">burberry my burberry black</t>
  </si>
  <si>
    <t xml:space="preserve">burberry my burberry black uk</t>
  </si>
  <si>
    <t xml:space="preserve">buy burberry my burberry black online</t>
  </si>
  <si>
    <t xml:space="preserve">burberry my burberry black price</t>
  </si>
  <si>
    <t xml:space="preserve">burberry my burberry black parfum</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</si>
  <si>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</si>
  <si>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</si>
  <si>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</si>
  <si>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£50.</t>
  </si>
  <si>
    <t xml:space="preserve">FR-067</t>
  </si>
  <si>
    <t xml:space="preserve">Burberry My Burberry Black Parfum 90ml – Women's Rich Floral Amber Fragrance</t>
  </si>
  <si>
    <t xml:space="preserve">Buy Burberry My Burberry Black Parfum online in the UK at Swansura. A floral women's parfum, 90ml. 100% authentic, fast UK delivery, free over £50.</t>
  </si>
  <si>
    <t xml:space="preserve">Bvlgari</t>
  </si>
  <si>
    <t xml:space="preserve">bvlgari man in black</t>
  </si>
  <si>
    <t xml:space="preserve">bvlgari man in black uk</t>
  </si>
  <si>
    <t xml:space="preserve">buy bvlgari man in black online</t>
  </si>
  <si>
    <t xml:space="preserve">bvlgari man in black price</t>
  </si>
  <si>
    <t xml:space="preserve">bvlgari man in black eau de parfum</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</si>
  <si>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</si>
  <si>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</si>
  <si>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Eau de Parfum</t>
  </si>
  <si>
    <t xml:space="preserve">Bvlgari Man in Black EDP 100ml | Buy Online UK | Swansura</t>
  </si>
  <si>
    <t xml:space="preserve">Buy Bvlgari Man in Black Eau de Parfum online in the UK at Swansura. A woody men's eau de parfum, 100ml. 100% authentic, fast UK delivery, free over £50.</t>
  </si>
  <si>
    <t xml:space="preserve">FR-069</t>
  </si>
  <si>
    <t xml:space="preserve">Bvlgari Splendida Tubereuse Mystique Eau de Parfum 100ml – Luxury Women's Floral Fragrance</t>
  </si>
  <si>
    <t xml:space="preserve">bvlgari splendida tubereuse mystique</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</si>
  <si>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</si>
  <si>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</si>
  <si>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</si>
  <si>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</si>
  <si>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</si>
  <si>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</si>
  <si>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Bvlgari Splendida Tubereuse Mystique Eau de Parfum</t>
  </si>
  <si>
    <t xml:space="preserve">Bvlgari Splendida Tubereuse Mystique EDP 100ml | Swansura UK</t>
  </si>
  <si>
    <t xml:space="preserve">Buy Bvlgari Splendida Tubereuse Mystique Eau de Parfum online in the UK at Swansura. A floral women's eau de parfum. 100% authentic, free UK delivery over £50.</t>
  </si>
  <si>
    <t xml:space="preserve">25ml</t>
  </si>
  <si>
    <t xml:space="preserve">bvlgari omnia amethyste</t>
  </si>
  <si>
    <t xml:space="preserve">bvlgari omnia amethyste uk</t>
  </si>
  <si>
    <t xml:space="preserve">buy bvlgari omnia amethyste online</t>
  </si>
  <si>
    <t xml:space="preserve">bvlgari omnia amethyste price</t>
  </si>
  <si>
    <t xml:space="preserve">bvlgari omnia amethyste eau de toilette</t>
  </si>
  <si>
    <t xml:space="preserve">bvlgari omnia amethyste price · bvlgari omnia amethyste notes · bvlgari omnia amethyste dupe · bvlgari omnia amethyste 100ml · bvlgari omnia amethyste edp · bvlgari omnia amethyste review</t>
  </si>
  <si>
    <t xml:space="preserve">Bvlgari Omnia Amethyste Eau de Toilette</t>
  </si>
  <si>
    <t xml:space="preserve">Bvlgari Omnia Amethyste EDT 25ml | Buy Online UK | Swansura</t>
  </si>
  <si>
    <t xml:space="preserve">Buy Bvlgari Omnia Amethyste Eau de Toilette online in the UK at Swansura. A floral women's eau de toilette, 25ml. 100% authentic, free UK delivery over £50.</t>
  </si>
  <si>
    <t xml:space="preserve">FR-071</t>
  </si>
  <si>
    <t xml:space="preserve">Bvlgari Man Glacial Essence EDP Gift Set 100ml + 15ml – Men's Fragrance Set</t>
  </si>
  <si>
    <t xml:space="preserve">bvlgari man glacial essence gift set</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</si>
  <si>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</si>
  <si>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</si>
  <si>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</si>
  <si>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</si>
  <si>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t>
  </si>
  <si>
    <t xml:space="preserve">Bvlgari Man Glacial Essence EDP Gift Set | Swansura UK</t>
  </si>
  <si>
    <t xml:space="preserve">Buy Bvlgari Man Glacial Essence EDP Gift Set online in the UK at Swansura. A woody men's eau de parfum, 100ml. 100% authentic, fast UK delivery, free over £50.</t>
  </si>
  <si>
    <t xml:space="preserve">FR-072</t>
  </si>
  <si>
    <t xml:space="preserve">Bvlgari Man Rain Essence Eau de Parfum Gift Set 100ml + 15ml – Luxury Men's Fragrance Set</t>
  </si>
  <si>
    <t xml:space="preserve">bvlgari man rain essence gift set</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</si>
  <si>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</si>
  <si>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</si>
  <si>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</si>
  <si>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</si>
  <si>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Bvlgari Man Rain Essence Eau de Parfum Gift Set</t>
  </si>
  <si>
    <t xml:space="preserve">Bvlgari Man Rain Essence Gift Set EDP 100ml | Swansura UK</t>
  </si>
  <si>
    <t xml:space="preserve">Buy Bvlgari Man Rain Essence Eau de Parfum Gift Set online in the UK at Swansura. A woody men's eau de parfum, 100ml. 100% authentic, free UK delivery over £50.</t>
  </si>
  <si>
    <t xml:space="preserve">FR-073</t>
  </si>
  <si>
    <t xml:space="preserve">Bvlgari Man Terrae Essence Eau de Parfum Gift Set 100ml + 15ml – New Pack Men's Fragrance Set</t>
  </si>
  <si>
    <t xml:space="preserve">bvlgari man terrae essence gift set</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</si>
  <si>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</si>
  <si>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</si>
  <si>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</si>
  <si>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</si>
  <si>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Bvlgari Man Terrae Essence Eau de Parfum Gift Set</t>
  </si>
  <si>
    <t xml:space="preserve">Bvlgari Man Terrae Essence Gift Set EDP 100ml | Swansura UK</t>
  </si>
  <si>
    <t xml:space="preserve">Buy Bvlgari Man Terrae Essence Eau de Parfum Gift Set online in the UK at Swansura. A woody men's eau de parfum. 100% authentic, free UK delivery over £50.</t>
  </si>
  <si>
    <t xml:space="preserve">FR-074</t>
  </si>
  <si>
    <t xml:space="preserve">Bvlgari Man Wood Essence Eau de Parfum Gift Set 100ml + 15ml – Soft Box Men's Fragrance Set</t>
  </si>
  <si>
    <t xml:space="preserve">bvlgari man wood essence gift set</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</si>
  <si>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</si>
  <si>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</si>
  <si>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</si>
  <si>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</si>
  <si>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Bvlgari Man Wood Essence Eau de Parfum Gift Set</t>
  </si>
  <si>
    <t xml:space="preserve">Bvlgari Man Wood Essence Gift Set EDP 100ml | Swansura UK</t>
  </si>
  <si>
    <t xml:space="preserve">Buy Bvlgari Man Wood Essence Eau de Parfum Gift Set online in the UK at Swansura. A woody men's eau de parfum, 100ml. 100% authentic, free UK delivery over £50.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</si>
  <si>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</si>
  <si>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</si>
  <si>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</si>
  <si>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</si>
  <si>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</si>
  <si>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</si>
  <si>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</si>
  <si>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Bvlgari Rose Goldea Blossom Delight Eau de Parfum Gift Set</t>
  </si>
  <si>
    <t xml:space="preserve">Bvlgari Rose Goldea Blossom Delight Gift Set | Swansura UK</t>
  </si>
  <si>
    <t xml:space="preserve">Buy Bvlgari Rose Goldea Blossom Delight Eau de Parfum Gift Set at Swansura UK. A floral women's eau de parfum, 75ml. 100% authentic, free UK delivery over £50.</t>
  </si>
  <si>
    <t xml:space="preserve">FR-076</t>
  </si>
  <si>
    <t xml:space="preserve">Calvin klein</t>
  </si>
  <si>
    <t xml:space="preserve">Calvin Klein Defy Eau de Parfum 10ml Miniature – Men's Fresh Woody Fragrance</t>
  </si>
  <si>
    <t xml:space="preserve">calvin klein defy miniature</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</si>
  <si>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</si>
  <si>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</si>
  <si>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</si>
  <si>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</si>
  <si>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</si>
  <si>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t>
  </si>
  <si>
    <t xml:space="preserve">Calvin Klein Defy Eau de Parfum Miniature | Swansura UK</t>
  </si>
  <si>
    <t xml:space="preserve">Buy Calvin Klein Defy Eau de Parfum Miniature online in the UK at Swansura. A woody men's eau de parfum, 10ml. 100% authentic, fast UK delivery, free over £50.</t>
  </si>
  <si>
    <t xml:space="preserve">calvin klein eternity</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</si>
  <si>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</si>
  <si>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</si>
  <si>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</si>
  <si>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</si>
  <si>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</si>
  <si>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</si>
  <si>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</si>
  <si>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</si>
  <si>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£50.</t>
  </si>
  <si>
    <t xml:space="preserve">FR-078</t>
  </si>
  <si>
    <t xml:space="preserve">Calvin Klein My Euphoria Eau de Parfum 10ml Miniature – Women's Floral Gourmand Fragrance</t>
  </si>
  <si>
    <t xml:space="preserve">calvin klein my euphoria miniature</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</si>
  <si>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</si>
  <si>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</si>
  <si>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</si>
  <si>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</si>
  <si>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Calvin Klein My Euphoria Eau de Parfum Miniature</t>
  </si>
  <si>
    <t xml:space="preserve">Calvin Klein My Euphoria Miniature EDP 10ml | Swansura UK</t>
  </si>
  <si>
    <t xml:space="preserve">Buy Calvin Klein My Euphoria Eau de Parfum Miniature online in the UK at Swansura. A floral women's eau de parfum. 100% authentic, free UK delivery over £50.</t>
  </si>
  <si>
    <t xml:space="preserve">FR-079</t>
  </si>
  <si>
    <t xml:space="preserve">Calvin Klein Eternity for Men Eau de Toilette 100ml – Men's Fresh Aromatic Fragrance</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</si>
  <si>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</si>
  <si>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</si>
  <si>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</si>
  <si>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</si>
  <si>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£50.</t>
  </si>
  <si>
    <t xml:space="preserve">FR-080</t>
  </si>
  <si>
    <t xml:space="preserve">Calvin Klein Women's Miniature Fragrance Set 4x15ml – Obsession, Eternity &amp; CK One</t>
  </si>
  <si>
    <t xml:space="preserve">4x15ml</t>
  </si>
  <si>
    <t xml:space="preserve">calvin klein miniature set</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</si>
  <si>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</si>
  <si>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</si>
  <si>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</si>
  <si>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</si>
  <si>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</si>
  <si>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4x15ml</t>
  </si>
  <si>
    <t xml:space="preserve">Calvin Klein Women's Miniature Fragrance Set | Swansura UK</t>
  </si>
  <si>
    <t xml:space="preserve">Buy Calvin Klein Women's Miniature Fragrance Set 4x15ml online in the UK at Swansura. A woody women's fragrance. 100% authentic, free UK delivery over £50.</t>
  </si>
  <si>
    <t xml:space="preserve">FR-081</t>
  </si>
  <si>
    <t xml:space="preserve">Calvin Klein Defy Parfum 10ml Miniature – Men's Warm Woody Fragrance</t>
  </si>
  <si>
    <t xml:space="preserve">calvin klein defy parfum miniature</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</si>
  <si>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</si>
  <si>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</si>
  <si>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</si>
  <si>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</si>
  <si>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Parfum Miniature</t>
  </si>
  <si>
    <t xml:space="preserve">Calvin Klein Defy Miniature Parfum 10ml | Swansura UK</t>
  </si>
  <si>
    <t xml:space="preserve">Buy Calvin Klein Defy Parfum Miniature online in the UK at Swansura. A woody men's parfum, 10ml. 100% authentic, fast UK delivery, free over £50.</t>
  </si>
  <si>
    <t xml:space="preserve">200ml</t>
  </si>
  <si>
    <t xml:space="preserve">calvin klein defy</t>
  </si>
  <si>
    <t xml:space="preserve">calvin klein defy uk</t>
  </si>
  <si>
    <t xml:space="preserve">buy calvin klein defy online</t>
  </si>
  <si>
    <t xml:space="preserve">calvin klein defy price</t>
  </si>
  <si>
    <t xml:space="preserve">calvin klein defy parfum</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</si>
  <si>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</si>
  <si>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</si>
  <si>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</si>
  <si>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£50.</t>
  </si>
  <si>
    <t xml:space="preserve">FR-083</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</si>
  <si>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</si>
  <si>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</si>
  <si>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</si>
  <si>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</si>
  <si>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</si>
  <si>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</si>
  <si>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</si>
  <si>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</si>
  <si>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</si>
  <si>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£50.</t>
  </si>
  <si>
    <t xml:space="preserve">FR-085</t>
  </si>
  <si>
    <t xml:space="preserve">Calvin Klein Eternity Aromatic Essence Parfum Intense 10ml Miniature – Women's Aromatic Floral Fragrance</t>
  </si>
  <si>
    <t xml:space="preserve">Buy Calvin Klein Eternity Aromatic Essence Parfum Intense Miniature at Swansura UK. A floral women's parfum, 10ml. 100% authentic, free UK delivery over £50.</t>
  </si>
  <si>
    <t xml:space="preserve">FR-086</t>
  </si>
  <si>
    <t xml:space="preserve">Calvin Klein Eternity Parfum 10ml Miniature – Men's Warm Aromatic Fragrance</t>
  </si>
  <si>
    <t xml:space="preserve">calvin klein eternity parfum miniature</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</si>
  <si>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</si>
  <si>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</si>
  <si>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</si>
  <si>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</si>
  <si>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</si>
  <si>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</si>
  <si>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t>
  </si>
  <si>
    <t xml:space="preserve">Calvin Klein Eternity Parfum Miniature | Swansura UK</t>
  </si>
  <si>
    <t xml:space="preserve">Buy Calvin Klein Eternity Parfum Miniature online in the UK at Swansura. An aromatic men's parfum, 10ml. 100% authentic, fast UK delivery, free over £50.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</si>
  <si>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</si>
  <si>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</si>
  <si>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</si>
  <si>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</si>
  <si>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uk</t>
  </si>
  <si>
    <t xml:space="preserve">buy carolina herrera 212 vip rose online</t>
  </si>
  <si>
    <t xml:space="preserve">carolina herrera 212 vip rose price</t>
  </si>
  <si>
    <t xml:space="preserve">carolina herrera 212 vip rose eau de parfum</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</si>
  <si>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</si>
  <si>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</si>
  <si>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t>
  </si>
  <si>
    <t xml:space="preserve">Carolina Herrera 212 VIP Rosé Eau de Parfum | Swansura UK</t>
  </si>
  <si>
    <t xml:space="preserve">Buy Carolina Herrera 212 VIP Rosé Eau de Parfum online in the UK at Swansura. A floral women's eau de parfum, 125ml. 100% authentic, free UK delivery over £50.</t>
  </si>
  <si>
    <t xml:space="preserve">carolina herrera bad boy extreme</t>
  </si>
  <si>
    <t xml:space="preserve">carolina herrera bad boy extreme uk</t>
  </si>
  <si>
    <t xml:space="preserve">buy carolina herrera bad boy extreme online</t>
  </si>
  <si>
    <t xml:space="preserve">carolina herrera bad boy extreme price</t>
  </si>
  <si>
    <t xml:space="preserve">carolina herrera bad boy extreme eau de parfum</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</si>
  <si>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</si>
  <si>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</si>
  <si>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</si>
  <si>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</si>
  <si>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£50.</t>
  </si>
  <si>
    <t xml:space="preserve">FR-089</t>
  </si>
  <si>
    <t xml:space="preserve">FR-090</t>
  </si>
  <si>
    <t xml:space="preserve">Carolina Herrera Bad Boy Le Parfum Eau de Parfum 10ml – Men's Woody Aromatic Fragrance</t>
  </si>
  <si>
    <t xml:space="preserve">carolina herrera bad boy le</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</si>
  <si>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</si>
  <si>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</si>
  <si>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</si>
  <si>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</si>
  <si>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</si>
  <si>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</si>
  <si>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</si>
  <si>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</si>
  <si>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£50.</t>
  </si>
  <si>
    <t xml:space="preserve">FR-091</t>
  </si>
  <si>
    <t xml:space="preserve">Carolina Herrera Bad Boy Le Parfum Eau de Parfum 150ml – Men's Woody Aromatic Fragrance</t>
  </si>
  <si>
    <t xml:space="preserve">Carolina Herrera Bad Boy Le EDP 150ml | Swansura UK</t>
  </si>
  <si>
    <t xml:space="preserve">Buy Carolina Herrera Bad Boy Le Parfum Eau de Parfum online in the UK at Swansura. A woody men's eau de parfum. 100% authentic, fast UK delivery, free over £50.</t>
  </si>
  <si>
    <t xml:space="preserve">FR-092</t>
  </si>
  <si>
    <t xml:space="preserve">Spicy · Men's Fragrance</t>
  </si>
  <si>
    <t xml:space="preserve">Carolina Herrera 212 Sexy Men Eau de Toilette 100ml – Men's Warm Spicy Fragrance</t>
  </si>
  <si>
    <t xml:space="preserve">carolina herrera 212 sexy men</t>
  </si>
  <si>
    <t xml:space="preserve">carolina herrera 212 sexy men uk</t>
  </si>
  <si>
    <t xml:space="preserve">buy carolina herrera 212 sexy men online</t>
  </si>
  <si>
    <t xml:space="preserve">carolina herrera 212 sexy men price</t>
  </si>
  <si>
    <t xml:space="preserve">carolina herrera 212 sexy men eau de toilette</t>
  </si>
  <si>
    <t xml:space="preserve">carolina herrera perfume · carolina herrera perfume for men · spicy perfume for men uk</t>
  </si>
  <si>
    <t xml:space="preserve">Carolina Herrera 212 Sexy Men Eau de Toilette</t>
  </si>
  <si>
    <t xml:space="preserve">Carolina Herrera 212 Sexy Men Eau de Toilette | Swansura UK</t>
  </si>
  <si>
    <t xml:space="preserve">Buy Carolina Herrera 212 Sexy Men Eau de Toilette online in the UK at Swansura. A spicy men's eau de toilette, 100ml. 100% authentic, free UK delivery over £50.</t>
  </si>
  <si>
    <t xml:space="preserve">carolina herrera 212 vip men</t>
  </si>
  <si>
    <t xml:space="preserve">carolina herrera 212 vip men uk</t>
  </si>
  <si>
    <t xml:space="preserve">buy carolina herrera 212 vip men online</t>
  </si>
  <si>
    <t xml:space="preserve">carolina herrera 212 vip men price</t>
  </si>
  <si>
    <t xml:space="preserve">carolina herrera 212 vip men eau de toilette</t>
  </si>
  <si>
    <t xml:space="preserve">carolina herrera 212 vip men edt · carolina herrera 212 vip men review · carolina herrera 212 vip men notes</t>
  </si>
  <si>
    <t xml:space="preserve">Carolina Herrera 212 VIP Men Eau de Toilette</t>
  </si>
  <si>
    <t xml:space="preserve">Carolina Herrera 212 VIP Men Eau de Toilette | Swansura UK</t>
  </si>
  <si>
    <t xml:space="preserve">Buy Carolina Herrera 212 VIP Men Eau de Toilette online in the UK at Swansura. A woody men's eau de toilette, 100ml. 100% authentic, free UK delivery over £50.</t>
  </si>
  <si>
    <t xml:space="preserve">carolina herrera very good girl glam</t>
  </si>
  <si>
    <t xml:space="preserve">carolina herrera very good girl glam uk</t>
  </si>
  <si>
    <t xml:space="preserve">buy carolina herrera very good girl glam online</t>
  </si>
  <si>
    <t xml:space="preserve">carolina herrera very good girl glam price</t>
  </si>
  <si>
    <t xml:space="preserve">carolina herrera very good girl glam parfum</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</si>
  <si>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</si>
  <si>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Carolina Herrera Very Good Girl Glam Parfum</t>
  </si>
  <si>
    <t xml:space="preserve">Carolina Herrera Very Good Girl Glam Parfum | Swansura UK</t>
  </si>
  <si>
    <t xml:space="preserve">Buy Carolina Herrera Very Good Girl Glam Parfum online in the UK at Swansura. A floral women's parfum, 50ml. 100% authentic, fast UK delivery, free over £50.</t>
  </si>
  <si>
    <t xml:space="preserve">Chloe</t>
  </si>
  <si>
    <t xml:space="preserve">Spelling: Chloé</t>
  </si>
  <si>
    <t xml:space="preserve">chloe nomade</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</si>
  <si>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</si>
  <si>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</si>
  <si>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</si>
  <si>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</si>
  <si>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</si>
  <si>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</si>
  <si>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t>
  </si>
  <si>
    <t xml:space="preserve">Chloé Nomade Eau de Parfum | Buy Online UK | Swansura</t>
  </si>
  <si>
    <t xml:space="preserve">Buy Chloé Nomade Eau de Parfum online in the UK at Swansura. A floral women's eau de parfum, 50ml. 100% authentic, fast UK delivery, free over £50.</t>
  </si>
  <si>
    <t xml:space="preserve">FR-096</t>
  </si>
  <si>
    <t xml:space="preserve">Chloé Nomade Jasmin Naturel Intense Eau de Parfum – Women's Floral Woody Fragrance</t>
  </si>
  <si>
    <t xml:space="preserve">chloe nomade jasmin naturel intense</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</si>
  <si>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</si>
  <si>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</si>
  <si>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</si>
  <si>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</si>
  <si>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</si>
  <si>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Chloé Nomade Jasmin Naturel Intense Eau de Parfum</t>
  </si>
  <si>
    <t xml:space="preserve">Chloé Nomade Jasmin Naturel Intense EDP 50ml | Swansura UK</t>
  </si>
  <si>
    <t xml:space="preserve">Buy Chloé Nomade Jasmin Naturel Intense Eau de Parfum online in the UK at Swansura. A floral women's eau de parfum. 100% authentic, free UK delivery over £50.</t>
  </si>
  <si>
    <t xml:space="preserve">FR-097</t>
  </si>
  <si>
    <t xml:space="preserve">Chloé Nomade Nuit d'Égypte Eau de Parfum 50ml – Women's Warm Spicy Floral Fragrance</t>
  </si>
  <si>
    <t xml:space="preserve">chloe nomade nuit d'egypte</t>
  </si>
  <si>
    <t xml:space="preserve">chloe nomade nuit d'egypte uk</t>
  </si>
  <si>
    <t xml:space="preserve">buy chloe nomade nuit d'egypte online</t>
  </si>
  <si>
    <t xml:space="preserve">chloe nomade nuit d'egypte price</t>
  </si>
  <si>
    <t xml:space="preserve">chloe nomade nuit d'egypte eau de parfum</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</si>
  <si>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</si>
  <si>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t>
  </si>
  <si>
    <t xml:space="preserve">Chloé Nomade Nuit D'Égypte Eau de Parfum | Swansura UK</t>
  </si>
  <si>
    <t xml:space="preserve">Buy Chloé Nomade Nuit D'Égypte Eau de Parfum online in the UK at Swansura. A floral women's eau de parfum, 50ml. 100% authentic, free UK delivery over £50.</t>
  </si>
  <si>
    <t xml:space="preserve">FR-098</t>
  </si>
  <si>
    <t xml:space="preserve">Chloé Rose Naturelle Intense Eau de Parfum 50ml – Women's Floral Woody Fragrance</t>
  </si>
  <si>
    <t xml:space="preserve">chloe rose naturelle intense</t>
  </si>
  <si>
    <t xml:space="preserve">chloe rose naturelle intense uk</t>
  </si>
  <si>
    <t xml:space="preserve">buy chloe rose naturelle intense online</t>
  </si>
  <si>
    <t xml:space="preserve">chloe rose naturelle intense price</t>
  </si>
  <si>
    <t xml:space="preserve">chloe rose naturelle intense eau de parfum</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</si>
  <si>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</si>
  <si>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t>
  </si>
  <si>
    <t xml:space="preserve">Chloé Rose Naturelle Intense Eau de Parfum | Swansura UK</t>
  </si>
  <si>
    <t xml:space="preserve">Buy Chloé Rose Naturelle Intense Eau de Parfum online in the UK at Swansura. A floral women's eau de parfum, 50ml. 100% authentic, free UK delivery over £50.</t>
  </si>
  <si>
    <t xml:space="preserve">FR-099</t>
  </si>
  <si>
    <t xml:space="preserve">Chloé Nomade Eau de Parfum Gift Set 75ml + 20ml Travel Spray – Women's Floral Chypre Fragrance Set</t>
  </si>
  <si>
    <t xml:space="preserve">chloe nomade gift set</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</si>
  <si>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</si>
  <si>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</si>
  <si>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</si>
  <si>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</si>
  <si>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Eau de Parfum Gift Set</t>
  </si>
  <si>
    <t xml:space="preserve">Chloé Nomade Gift Set EDP 75ml | Buy Online UK | Swansura</t>
  </si>
  <si>
    <t xml:space="preserve">Buy Chloé Nomade Eau de Parfum Gift Set online in the UK at Swansura. A floral women's eau de parfum, 75ml. 100% authentic, fast UK delivery, free over £50.</t>
  </si>
  <si>
    <t xml:space="preserve">FR-100</t>
  </si>
  <si>
    <t xml:space="preserve">Chloé Women's Miniature Eau de Parfum Gift Set – Chloé EDP 20ml + Nomade EDP 20ml</t>
  </si>
  <si>
    <t xml:space="preserve">chloe miniature gift set</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</si>
  <si>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</si>
  <si>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</si>
  <si>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</si>
  <si>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</si>
  <si>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</si>
  <si>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t>
  </si>
  <si>
    <t xml:space="preserve">Chloé Women's Miniature Eau de Parfum Gift Set | Swansura UK</t>
  </si>
  <si>
    <t xml:space="preserve">Buy Chloé Women's Miniature Eau de Parfum Gift Set online in the UK at Swansura. A woody women's eau de parfum, 20ml. 100% authentic, free UK delivery over £50.</t>
  </si>
  <si>
    <t xml:space="preserve">FR-101</t>
  </si>
  <si>
    <t xml:space="preserve">Chloé Women's Miniature Perfume Set 4x5ml – Nomade EDT, Rose Tangerine EDT, Chloé EDP &amp; Nomade EDP</t>
  </si>
  <si>
    <t xml:space="preserve">chloe miniature set</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</si>
  <si>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</si>
  <si>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</si>
  <si>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</si>
  <si>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</si>
  <si>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t>
  </si>
  <si>
    <t xml:space="preserve">Chloé Women's Miniature Perfume Set 4x5ml | Swansura UK</t>
  </si>
  <si>
    <t xml:space="preserve">Buy Chloé Women's Miniature Perfume Set 4x5ml online in the UK at Swansura. A floral women's eau de parfum, 4x5ml. 100% authentic, free UK delivery over £50.</t>
  </si>
  <si>
    <t xml:space="preserve">FR-102</t>
  </si>
  <si>
    <t xml:space="preserve">Chopard</t>
  </si>
  <si>
    <t xml:space="preserve">Chopard Amber Malaki Eau de Parfum 80ml – Luxury Unisex Amber Fragrance</t>
  </si>
  <si>
    <t xml:space="preserve">chopard amber malaki</t>
  </si>
  <si>
    <t xml:space="preserve">chopard amber malaki uk</t>
  </si>
  <si>
    <t xml:space="preserve">buy chopard amber malaki online</t>
  </si>
  <si>
    <t xml:space="preserve">chopard amber malaki price</t>
  </si>
  <si>
    <t xml:space="preserve">chopard amber malaki eau de parfum</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</si>
  <si>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</si>
  <si>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</si>
  <si>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Eau de Parfum</t>
  </si>
  <si>
    <t xml:space="preserve">Chopard Amber Malaki EDP 80ml | Buy Online UK | Swansura</t>
  </si>
  <si>
    <t xml:space="preserve">Buy Chopard Amber Malaki Eau de Parfum online in the UK at Swansura. An amber unisex eau de parfum, 80ml. 100% authentic, fast UK delivery, free over £50.</t>
  </si>
  <si>
    <t xml:space="preserve">FR-103</t>
  </si>
  <si>
    <t xml:space="preserve">Chopard Black Incense Malaki Eau de Parfum 80ml – Luxury Unisex Incense Fragrance</t>
  </si>
  <si>
    <t xml:space="preserve">chopard black incense malaki</t>
  </si>
  <si>
    <t xml:space="preserve">chopard black incense malaki uk</t>
  </si>
  <si>
    <t xml:space="preserve">buy chopard black incense malaki online</t>
  </si>
  <si>
    <t xml:space="preserve">chopard black incense malaki price</t>
  </si>
  <si>
    <t xml:space="preserve">chopard black incense malaki eau de parfum</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</si>
  <si>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</si>
  <si>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t>
  </si>
  <si>
    <t xml:space="preserve">Chopard Black Incense Malaki Eau de Parfum | Swansura UK</t>
  </si>
  <si>
    <t xml:space="preserve">Buy Chopard Black Incense Malaki Eau de Parfum online in the UK at Swansura. An amber unisex eau de parfum, 80ml. 100% authentic, free UK delivery over £50.</t>
  </si>
  <si>
    <t xml:space="preserve">FR-104</t>
  </si>
  <si>
    <t xml:space="preserve">Chopard Imperiale Iris Malika Eau de Parfum 100ml – Luxury Women's Floral Fragrance</t>
  </si>
  <si>
    <t xml:space="preserve">chopard imperiale iris malika</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</si>
  <si>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</si>
  <si>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</si>
  <si>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</si>
  <si>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</si>
  <si>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</si>
  <si>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</si>
  <si>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t>
  </si>
  <si>
    <t xml:space="preserve">Chopard Imperiale Iris Malika Eau de Parfum | Swansura UK</t>
  </si>
  <si>
    <t xml:space="preserve">Buy Chopard Imperiale Iris Malika Eau de Parfum online in the UK at Swansura. A floral women's eau de parfum, 100ml. 100% authentic, free UK delivery over £50.</t>
  </si>
  <si>
    <t xml:space="preserve">chopard oud malaki</t>
  </si>
  <si>
    <t xml:space="preserve">chopard oud malaki uk</t>
  </si>
  <si>
    <t xml:space="preserve">buy chopard oud malaki online</t>
  </si>
  <si>
    <t xml:space="preserve">chopard oud malaki price</t>
  </si>
  <si>
    <t xml:space="preserve">chopard oud malaki eau de parfum</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</si>
  <si>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</si>
  <si>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</si>
  <si>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Chopard Oud Malaki Eau de Parfum</t>
  </si>
  <si>
    <t xml:space="preserve">Chopard Oud Malaki Eau de Parfum | Buy Online UK | Swansura</t>
  </si>
  <si>
    <t xml:space="preserve">Buy Chopard Oud Malaki Eau de Parfum online in the UK at Swansura. An oud men's eau de parfum, 80ml. 100% authentic, fast UK delivery, free over £50.</t>
  </si>
  <si>
    <t xml:space="preserve">FR-106</t>
  </si>
  <si>
    <t xml:space="preserve">Chopard Gardens of Paradise Discovery Set 4x10ml – Luxury Unisex Eau de Parfum Gift Set</t>
  </si>
  <si>
    <t xml:space="preserve">chopard gardens of paradise discovery set</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</si>
  <si>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</si>
  <si>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</si>
  <si>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</si>
  <si>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4x10ml</t>
  </si>
  <si>
    <t xml:space="preserve">Chopard Gardens of Paradise Discovery Set | Swansura UK</t>
  </si>
  <si>
    <t xml:space="preserve">Buy Chopard Gardens of Paradise Discovery Set 4x10ml online in the UK at Swansura. An amber unisex eau de parfum. 100% authentic, free UK delivery over £50.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</si>
  <si>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</si>
  <si>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</si>
  <si>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</si>
  <si>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</si>
  <si>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</si>
  <si>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</si>
  <si>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</si>
  <si>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</si>
  <si>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</si>
  <si>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Chris Adams CA DX 77 Pour Homme EDP For Men</t>
  </si>
  <si>
    <t xml:space="preserve">Chris Adams CA DX 77 Pour Homme EDP For Men | Swansura UK</t>
  </si>
  <si>
    <t xml:space="preserve">Buy Chris Adams CA DX 77 Pour Homme EDP For Men online in the UK at Swansura. A woody men's eau de parfum, 100ml. 100% authentic, free UK delivery over £50.</t>
  </si>
  <si>
    <t xml:space="preserve">FR-108</t>
  </si>
  <si>
    <t xml:space="preserve">Chris Adams Perfume Black Shadow Eau De Toilette Pour Homme 100ml</t>
  </si>
  <si>
    <t xml:space="preserve">chris adams black shadow pour homme</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</si>
  <si>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</si>
  <si>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</si>
  <si>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</si>
  <si>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</si>
  <si>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Chris Adams Perfume Black Shadow Eau De Toilette Pour Homme</t>
  </si>
  <si>
    <t xml:space="preserve">Chris Adams Perfume Black Shadow Pour Homme | Swansura UK</t>
  </si>
  <si>
    <t xml:space="preserve">Buy Chris Adams Perfume Black Shadow Eau De Toilette Pour Homme at Swansura UK. A woody men's eau de toilette, 100ml. 100% authentic, free UK delivery over £50.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</si>
  <si>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</si>
  <si>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</si>
  <si>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</si>
  <si>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</si>
  <si>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</si>
  <si>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</si>
  <si>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</si>
  <si>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</si>
  <si>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</si>
  <si>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</si>
  <si>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Davidoff Cool Water Reborn Intense Eau de Parfum</t>
  </si>
  <si>
    <t xml:space="preserve">Davidoff Cool Water Reborn Intense EDP 50ml | Swansura UK</t>
  </si>
  <si>
    <t xml:space="preserve">Buy Davidoff Cool Water Reborn Intense Eau de Parfum online in the UK at Swansura. A floral women's eau de parfum. 100% authentic, free UK delivery over £50.</t>
  </si>
  <si>
    <t xml:space="preserve">davidoff champion</t>
  </si>
  <si>
    <t xml:space="preserve">davidoff champion uk</t>
  </si>
  <si>
    <t xml:space="preserve">buy davidoff champion online</t>
  </si>
  <si>
    <t xml:space="preserve">davidoff champion price</t>
  </si>
  <si>
    <t xml:space="preserve">davidoff champion eau de toilette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</si>
  <si>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</si>
  <si>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</si>
  <si>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Davidoff Champion Eau de Toilette</t>
  </si>
  <si>
    <t xml:space="preserve">Davidoff Champion Eau de Toilette | Buy Online UK | Swansura</t>
  </si>
  <si>
    <t xml:space="preserve">Buy Davidoff Champion Eau de Toilette online in the UK at Swansura. A woody men's eau de toilette, 90ml. 100% authentic, fast UK delivery, free over £50.</t>
  </si>
  <si>
    <t xml:space="preserve">FR-111</t>
  </si>
  <si>
    <t xml:space="preserve">Davidoff Indigo Eau de Toilette 110ml – Men's Aromatic Fougere Fragrance</t>
  </si>
  <si>
    <t xml:space="preserve">110ml</t>
  </si>
  <si>
    <t xml:space="preserve">davidoff indigo</t>
  </si>
  <si>
    <t xml:space="preserve">davidoff indigo uk</t>
  </si>
  <si>
    <t xml:space="preserve">buy davidoff indigo online</t>
  </si>
  <si>
    <t xml:space="preserve">davidoff indigo price</t>
  </si>
  <si>
    <t xml:space="preserve">davidoff indigo eau de toilette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</si>
  <si>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</si>
  <si>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</si>
  <si>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Davidoff Indigo Eau de Toilette</t>
  </si>
  <si>
    <t xml:space="preserve">Davidoff Indigo Eau de Toilette | Buy Online UK | Swansura</t>
  </si>
  <si>
    <t xml:space="preserve">Buy Davidoff Indigo Eau de Toilette online in the UK at Swansura. An aromatic men's eau de toilette, 110ml. 100% authentic, fast UK delivery, free over £50.</t>
  </si>
  <si>
    <t xml:space="preserve">davidoff the game</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</si>
  <si>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</si>
  <si>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</si>
  <si>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</si>
  <si>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</si>
  <si>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</si>
  <si>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Davidoff The Game Eau de Toilette</t>
  </si>
  <si>
    <t xml:space="preserve">Davidoff The Game Eau de Toilette | Buy Online UK | Swansura</t>
  </si>
  <si>
    <t xml:space="preserve">Buy Davidoff The Game Eau de Toilette online in the UK at Swansura. A woody men's eau de toilette, 100ml. 100% authentic, fast UK delivery, free over £50.</t>
  </si>
  <si>
    <t xml:space="preserve">FR-113</t>
  </si>
  <si>
    <t xml:space="preserve">dior</t>
  </si>
  <si>
    <t xml:space="preserve">Miss Dior Eau de Parfum Roller-Pearl 20ml for Women</t>
  </si>
  <si>
    <t xml:space="preserve">dior miss dior roller-pearl</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</si>
  <si>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</si>
  <si>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</si>
  <si>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</si>
  <si>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</si>
  <si>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</si>
  <si>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</si>
  <si>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t>
  </si>
  <si>
    <t xml:space="preserve">Miss Dior Eau de Parfum Roller-Pearl for Women | Swansura UK</t>
  </si>
  <si>
    <t xml:space="preserve">Buy Miss Dior Eau de Parfum Roller-Pearl for Women online in the UK at Swansura. A woody women's eau de parfum, 20ml. 100% authentic, free UK delivery over £50.</t>
  </si>
  <si>
    <t xml:space="preserve">FR-114</t>
  </si>
  <si>
    <t xml:space="preserve">Dior Iconics Mini Perfume Discovery Set 5 x 5ml</t>
  </si>
  <si>
    <t xml:space="preserve">5ml</t>
  </si>
  <si>
    <t xml:space="preserve">dior iconics mini discovery set</t>
  </si>
  <si>
    <t xml:space="preserve">dior iconics mini discovery set uk</t>
  </si>
  <si>
    <t xml:space="preserve">buy dior iconics mini discovery set online</t>
  </si>
  <si>
    <t xml:space="preserve">dior iconics mini discovery set price</t>
  </si>
  <si>
    <t xml:space="preserve">dior perfume · amber perfume uk</t>
  </si>
  <si>
    <t xml:space="preserve">Dior Iconics Mini Perfume Discovery Set 5 X</t>
  </si>
  <si>
    <t xml:space="preserve">Dior Iconics Mini Perfume Discovery Set 5 X | Swansura UK</t>
  </si>
  <si>
    <t xml:space="preserve">Buy Dior Iconics Mini Perfume Discovery Set 5 X online in the UK at Swansura. An amber unisex fragrance, 5ml. 100% authentic, fast UK delivery, free over £50.</t>
  </si>
  <si>
    <t xml:space="preserve">dior sauvage</t>
  </si>
  <si>
    <t xml:space="preserve">dior sauvage uk</t>
  </si>
  <si>
    <t xml:space="preserve">buy dior sauvage online</t>
  </si>
  <si>
    <t xml:space="preserve">dior sauvage price</t>
  </si>
  <si>
    <t xml:space="preserve">dior sauvage eau de parfum</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</si>
  <si>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</si>
  <si>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</si>
  <si>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t>
  </si>
  <si>
    <t xml:space="preserve">Dior Sauvage Eau de Parfum | Buy Online UK | Swansura</t>
  </si>
  <si>
    <t xml:space="preserve">Buy Dior Sauvage Eau de Parfum online in the UK at Swansura. A woody men's eau de parfum, 100ml. 100% authentic, fast UK delivery, free over £50.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</si>
  <si>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</si>
  <si>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</si>
  <si>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</si>
  <si>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</si>
  <si>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uk</t>
  </si>
  <si>
    <t xml:space="preserve">buy dkny be delicious orchard street online</t>
  </si>
  <si>
    <t xml:space="preserve">dkny be delicious orchard street price</t>
  </si>
  <si>
    <t xml:space="preserve">dkny be delicious orchard street eau de parfum</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</si>
  <si>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</si>
  <si>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</si>
  <si>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t>
  </si>
  <si>
    <t xml:space="preserve">DKNY Be Delicious Orchard Street Eau de Parfum | Swansura UK</t>
  </si>
  <si>
    <t xml:space="preserve">Buy DKNY Be Delicious Orchard Street Eau de Parfum online in the UK at Swansura. A floral women's eau de parfum. 100% authentic, free UK delivery over £50.</t>
  </si>
  <si>
    <t xml:space="preserve">dkny be tempted</t>
  </si>
  <si>
    <t xml:space="preserve">dkny be tempted uk</t>
  </si>
  <si>
    <t xml:space="preserve">buy dkny be tempted online</t>
  </si>
  <si>
    <t xml:space="preserve">dkny be tempted price</t>
  </si>
  <si>
    <t xml:space="preserve">dkny be tempted eau de parfum</t>
  </si>
  <si>
    <t xml:space="preserve">dkny be tempted perfume · dkny be tempted 100ml · dkny be tempted 50ml · dkny be tempted notes · dkny be tempted review · dkny be tempted eau de parfum</t>
  </si>
  <si>
    <t xml:space="preserve">DKNY Be Tempted Eau de Parfum</t>
  </si>
  <si>
    <t xml:space="preserve">DKNY Be Tempted Eau de Parfum | Buy Online UK | Swansura</t>
  </si>
  <si>
    <t xml:space="preserve">Buy DKNY Be Tempted Eau de Parfum online in the UK at Swansura. A floral women's eau de parfum, 100ml. 100% authentic, fast UK delivery, free over £50.</t>
  </si>
  <si>
    <t xml:space="preserve">FR-118</t>
  </si>
  <si>
    <t xml:space="preserve">Fresh · Women's Fragrance</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</si>
  <si>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</si>
  <si>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</si>
  <si>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</si>
  <si>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</si>
  <si>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</si>
  <si>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</si>
  <si>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</si>
  <si>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</si>
  <si>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Blossom Eau de Parfum Gift Set 2x30ml</t>
  </si>
  <si>
    <t xml:space="preserve">DKNY Be Delicious &amp; Be Delicious Fresh | Swansura UK</t>
  </si>
  <si>
    <t xml:space="preserve">Buy DKNY Be Delicious &amp; Be Delicious Fresh Blossom Eau de Parfum Gift Set 2x30ml at Swansura UK. Fresh eau de parfum. 100% authentic, free UK delivery over £50.</t>
  </si>
  <si>
    <t xml:space="preserve">FR-119</t>
  </si>
  <si>
    <t xml:space="preserve">DKNY Women's Miniature Eau de Parfum Set 4x7ml – Be Delicious, Golden Delicious, Be Extra Delicious 100%</t>
  </si>
  <si>
    <t xml:space="preserve">4x7ml</t>
  </si>
  <si>
    <t xml:space="preserve">dkny miniature set</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</si>
  <si>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</si>
  <si>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</si>
  <si>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</si>
  <si>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</si>
  <si>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</si>
  <si>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t>
  </si>
  <si>
    <t xml:space="preserve">DKNY Women's Miniature Eau de Parfum Set 4x7ml | Swansura UK</t>
  </si>
  <si>
    <t xml:space="preserve">Buy DKNY Women's Miniature Eau de Parfum Set 4x7ml online in the UK at Swansura. A woody women's eau de parfum. 100% authentic, fast UK delivery, free over £50.</t>
  </si>
  <si>
    <t xml:space="preserve">FR-120</t>
  </si>
  <si>
    <t xml:space="preserve">Dolce &amp; Gabbana</t>
  </si>
  <si>
    <t xml:space="preserve">Gourmand · Women's Fragrance</t>
  </si>
  <si>
    <t xml:space="preserve">Dolce &amp; Gabbana Devotion Eau de Parfum 100ml – Luxury Women's Gourmand Fragrance</t>
  </si>
  <si>
    <t xml:space="preserve">dolce &amp; gabbana devotion</t>
  </si>
  <si>
    <t xml:space="preserve">dolce &amp; gabbana devotion uk</t>
  </si>
  <si>
    <t xml:space="preserve">buy dolce &amp; gabbana devotion online</t>
  </si>
  <si>
    <t xml:space="preserve">dolce &amp; gabbana devotion price</t>
  </si>
  <si>
    <t xml:space="preserve">dolce &amp; gabbana devotion eau de parfum</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</si>
  <si>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</si>
  <si>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</si>
  <si>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t>
  </si>
  <si>
    <t xml:space="preserve">Dolce &amp; Gabbana Devotion Eau de Parfum | Swansura UK</t>
  </si>
  <si>
    <t xml:space="preserve">Buy Dolce &amp; Gabbana Devotion Eau de Parfum online in the UK at Swansura. A gourmand women's eau de parfum, 100ml. 100% authentic, free UK delivery over £50.</t>
  </si>
  <si>
    <t xml:space="preserve">FR-121</t>
  </si>
  <si>
    <t xml:space="preserve">Dolce &amp; Gabbana Q Eau de Parfum 100ml – Luxury Women's Fruity Floral Fragrance</t>
  </si>
  <si>
    <t xml:space="preserve">dolce &amp; gabbana q</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</si>
  <si>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</si>
  <si>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</si>
  <si>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</si>
  <si>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</si>
  <si>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</si>
  <si>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</si>
  <si>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Dolce &amp; Gabbana Q Eau de Parfum</t>
  </si>
  <si>
    <t xml:space="preserve">Dolce &amp; Gabbana Q Eau de Parfum | Buy Online UK | Swansura</t>
  </si>
  <si>
    <t xml:space="preserve">Buy Dolce &amp; Gabbana Q Eau de Parfum online in the UK at Swansura. A floral women's eau de parfum, 100ml. 100% authentic, fast UK delivery, free over £50.</t>
  </si>
  <si>
    <t xml:space="preserve">dolce &amp; gabbana the one</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</si>
  <si>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</si>
  <si>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</si>
  <si>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</si>
  <si>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</si>
  <si>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</si>
  <si>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</si>
  <si>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</si>
  <si>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</si>
  <si>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£50.</t>
  </si>
  <si>
    <t xml:space="preserve">FR-123</t>
  </si>
  <si>
    <t xml:space="preserve">Dolce &amp; Gabbana The One for Men Eau de Parfum 150ml – Luxury Men's Fragrance</t>
  </si>
  <si>
    <t xml:space="preserve">Buy Dolce &amp; Gabbana The One for Men Eau de Parfum online in the UK at Swansura. A woody men's eau de parfum, 150ml. 100% authentic, free UK delivery over £50.</t>
  </si>
  <si>
    <t xml:space="preserve">FR-124</t>
  </si>
  <si>
    <t xml:space="preserve">Dolce &amp; Gabbana The One for Men Eau de Parfum Intense 100ml – Luxury Men's Fragrance</t>
  </si>
  <si>
    <t xml:space="preserve">dolce &amp; gabbana the one intense</t>
  </si>
  <si>
    <t xml:space="preserve">dolce &amp; gabbana the one intense uk</t>
  </si>
  <si>
    <t xml:space="preserve">buy dolce &amp; gabbana the one intense online</t>
  </si>
  <si>
    <t xml:space="preserve">dolce &amp; gabbana the one intense price</t>
  </si>
  <si>
    <t xml:space="preserve">dolce &amp; gabbana the one intense eau de parfum</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</si>
  <si>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</si>
  <si>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Eau de Parfum Intense</t>
  </si>
  <si>
    <t xml:space="preserve">Dolce &amp; Gabbana The One for Men Intense 100ml | Swansura UK</t>
  </si>
  <si>
    <t xml:space="preserve">Buy Dolce &amp; Gabbana The One for Men Eau de Parfum Intense online in the UK at Swansura. A woody men's eau de parfum. 100% authentic, free UK delivery over £50.</t>
  </si>
  <si>
    <t xml:space="preserve">FR-125</t>
  </si>
  <si>
    <t xml:space="preserve">Dolce &amp; Gabbana The One Gold for Men Eau de Parfum Intense 100ml – Luxury Men's Fragrance</t>
  </si>
  <si>
    <t xml:space="preserve">dolce &amp; gabbana the one gold intense</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</si>
  <si>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</si>
  <si>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</si>
  <si>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</si>
  <si>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</si>
  <si>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</si>
  <si>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Dolce &amp; Gabbana The One Gold for Men Eau de Parfum Intense</t>
  </si>
  <si>
    <t xml:space="preserve">Dolce &amp; Gabbana The One Gold for Men Intense | Swansura UK</t>
  </si>
  <si>
    <t xml:space="preserve">Buy Dolce &amp; Gabbana The One Gold for Men Eau de Parfum Intense at Swansura UK. A woody men's eau de parfum, 100ml. 100% authentic, free UK delivery over £50.</t>
  </si>
  <si>
    <t xml:space="preserve">FR-126</t>
  </si>
  <si>
    <t xml:space="preserve">Dolce &amp; Gabbana L'Imperatrice Eau de Toilette 100ml – Women's Fruity Floral Fragrance</t>
  </si>
  <si>
    <t xml:space="preserve">dolce &amp; gabbana l'imperatrice</t>
  </si>
  <si>
    <t xml:space="preserve">dolce &amp; gabbana l'imperatrice uk</t>
  </si>
  <si>
    <t xml:space="preserve">buy dolce &amp; gabbana l'imperatrice online</t>
  </si>
  <si>
    <t xml:space="preserve">dolce &amp; gabbana l'imperatrice price</t>
  </si>
  <si>
    <t xml:space="preserve">dolce &amp; gabbana l'imperatrice eau de toilette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</si>
  <si>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</si>
  <si>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t>
  </si>
  <si>
    <t xml:space="preserve">Dolce &amp; Gabbana L'Imperatrice Eau de Toilette | Swansura UK</t>
  </si>
  <si>
    <t xml:space="preserve">Buy Dolce &amp; Gabbana L'Imperatrice Eau de Toilette online in the UK at Swansura. A floral women's eau de toilette. 100% authentic, free UK delivery over £50.</t>
  </si>
  <si>
    <t xml:space="preserve">FR-127</t>
  </si>
  <si>
    <t xml:space="preserve">Dolce &amp; Gabbana Devotion Eau de Parfum Gift Set 50ml + 10ml – Women's Fragrance Set</t>
  </si>
  <si>
    <t xml:space="preserve">dolce &amp; gabbana devotion gift set</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</si>
  <si>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</si>
  <si>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</si>
  <si>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</si>
  <si>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</si>
  <si>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</si>
  <si>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Dolce &amp; Gabbana Devotion Eau de Parfum Gift Set</t>
  </si>
  <si>
    <t xml:space="preserve">Dolce &amp; Gabbana Devotion Gift Set EDP 50ml | Swansura UK</t>
  </si>
  <si>
    <t xml:space="preserve">Buy Dolce &amp; Gabbana Devotion Eau de Parfum Gift Set online in the UK at Swansura. A woody women's eau de parfum. 100% authentic, free UK delivery over £50.</t>
  </si>
  <si>
    <t xml:space="preserve">FR-128</t>
  </si>
  <si>
    <t xml:space="preserve">Dolce &amp; Gabbana K Eau de Parfum Gift Set 50ml + 5ml – Men's Fragrance Set</t>
  </si>
  <si>
    <t xml:space="preserve">dolce &amp; gabbana k gift set</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</si>
  <si>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</si>
  <si>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</si>
  <si>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</si>
  <si>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</si>
  <si>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t>
  </si>
  <si>
    <t xml:space="preserve">Dolce &amp; Gabbana K Eau de Parfum Gift Set | Swansura UK</t>
  </si>
  <si>
    <t xml:space="preserve">Buy Dolce &amp; Gabbana K Eau de Parfum Gift Set online in the UK at Swansura. A woody men's eau de parfum, 50ml. 100% authentic, fast UK delivery, free over £50.</t>
  </si>
  <si>
    <t xml:space="preserve">FR-129</t>
  </si>
  <si>
    <t xml:space="preserve">Dolce &amp; Gabbana Men's Miniature Fragrance Set – Devotion, K EDT, K EDP, The One &amp; Light Blue Pour Homme</t>
  </si>
  <si>
    <t xml:space="preserve">dolce &amp; gabbana miniature set</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</si>
  <si>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</si>
  <si>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</si>
  <si>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</si>
  <si>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</si>
  <si>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</si>
  <si>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</si>
  <si>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</si>
  <si>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£50.</t>
  </si>
  <si>
    <t xml:space="preserve">FR-130</t>
  </si>
  <si>
    <t xml:space="preserve">Dolce &amp; Gabbana The One for Women Eau de Parfum Gift Set 50ml + 50ml – Luxury Women's Fragrance Set</t>
  </si>
  <si>
    <t xml:space="preserve">dolce &amp; gabbana the one gift set</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</si>
  <si>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</si>
  <si>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</si>
  <si>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</si>
  <si>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</si>
  <si>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Dolce &amp; Gabbana The One for Women Eau de Parfum Gift Set</t>
  </si>
  <si>
    <t xml:space="preserve">Dolce &amp; Gabbana The One for Women Gift Set | Swansura UK</t>
  </si>
  <si>
    <t xml:space="preserve">Buy Dolce &amp; Gabbana The One for Women Eau de Parfum Gift Set online in the UK at Swansura. Woody eau de parfum. 100% authentic, fast UK delivery, free over £50.</t>
  </si>
  <si>
    <t xml:space="preserve">FR-131</t>
  </si>
  <si>
    <t xml:space="preserve">Dolce &amp; Gabbana Women's Miniature Fragrance Set – Devotion, Q, Blue Jasmine, The One &amp; Light Blue</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</si>
  <si>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</si>
  <si>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</si>
  <si>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£50.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</si>
  <si>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</si>
  <si>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</si>
  <si>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</si>
  <si>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</si>
  <si>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</si>
  <si>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</si>
  <si>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</si>
  <si>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</si>
  <si>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</si>
  <si>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</si>
  <si>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Eau de Parfum</t>
  </si>
  <si>
    <t xml:space="preserve">Dunhill Signature Collection Agar Wood 100ml | Swansura UK</t>
  </si>
  <si>
    <t xml:space="preserve">Buy Dunhill Signature Collection Agar Wood Eau de Parfum online in the UK at Swansura. A woody men's eau de parfum. 100% authentic, free UK delivery over £50.</t>
  </si>
  <si>
    <t xml:space="preserve">FR-133</t>
  </si>
  <si>
    <t xml:space="preserve">Citrus · Men's Fragrance</t>
  </si>
  <si>
    <t xml:space="preserve">Dunhill Signature Collection Amalfi Citrus Eau de Parfum 100ml – Men's Citrus Aromatic Fragrance</t>
  </si>
  <si>
    <t xml:space="preserve">dunhill signature collection amalfi citrus</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</si>
  <si>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</si>
  <si>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</si>
  <si>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</si>
  <si>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</si>
  <si>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</si>
  <si>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</si>
  <si>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Dunhill Signature Collection Amalfi Citrus Eau de Parfum</t>
  </si>
  <si>
    <t xml:space="preserve">Dunhill Signature Collection Amalfi Citrus | Swansura UK</t>
  </si>
  <si>
    <t xml:space="preserve">Buy Dunhill Signature Collection Amalfi Citrus Eau de Parfum at Swansura UK. A citrus men's eau de parfum, 100ml. 100% authentic, free UK delivery over £50.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</si>
  <si>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</si>
  <si>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</si>
  <si>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</si>
  <si>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</si>
  <si>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</si>
  <si>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</si>
  <si>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</si>
  <si>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</si>
  <si>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Dunhill Signature Collection Arabian Desert Eau de Parfum</t>
  </si>
  <si>
    <t xml:space="preserve">Dunhill Signature Collection Arabian Desert | Swansura UK</t>
  </si>
  <si>
    <t xml:space="preserve">Buy Dunhill Signature Collection Arabian Desert Eau de Parfum at Swansura UK. A woody men's eau de parfum, 100ml. 100% authentic, free UK delivery over £50.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</si>
  <si>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</si>
  <si>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</si>
  <si>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</si>
  <si>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</si>
  <si>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</si>
  <si>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</si>
  <si>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</si>
  <si>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</si>
  <si>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Dunhill Signature Collection British Leather Eau de Parfum</t>
  </si>
  <si>
    <t xml:space="preserve">Dunhill Signature Collection British Leather | Swansura UK</t>
  </si>
  <si>
    <t xml:space="preserve">Buy Dunhill Signature Collection British Leather Eau de Parfum at Swansura UK. A woody men's eau de parfum, 100ml. 100% authentic, free UK delivery over £50.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</si>
  <si>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</si>
  <si>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</si>
  <si>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</si>
  <si>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</si>
  <si>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</si>
  <si>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</si>
  <si>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</si>
  <si>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</si>
  <si>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</si>
  <si>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Dunhill Signature Collection Egyptian Smoke Eau de Parfum</t>
  </si>
  <si>
    <t xml:space="preserve">Dunhill Signature Collection Egyptian Smoke | Swansura UK</t>
  </si>
  <si>
    <t xml:space="preserve">Buy Dunhill Signature Collection Egyptian Smoke Eau de Parfum at Swansura UK. An amber men's eau de parfum, 100ml. 100% authentic, free UK delivery over £50.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</si>
  <si>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</si>
  <si>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</si>
  <si>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</si>
  <si>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</si>
  <si>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</si>
  <si>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</si>
  <si>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</si>
  <si>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</si>
  <si>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Dunhill Signature Collection Indian Sandalwood Eau de Parfum</t>
  </si>
  <si>
    <t xml:space="preserve">Dunhill Signature Collection Indian Sandalwood | Swansura UK</t>
  </si>
  <si>
    <t xml:space="preserve">Buy Dunhill Signature Collection Indian Sandalwood Eau de Parfum at Swansura UK. A woody men's eau de parfum, 100ml. 100% authentic, free UK delivery over £50.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</si>
  <si>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</si>
  <si>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</si>
  <si>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</si>
  <si>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</si>
  <si>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</si>
  <si>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</si>
  <si>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</si>
  <si>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</si>
  <si>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Cashmere Eau de Parfum</t>
  </si>
  <si>
    <t xml:space="preserve">Dunhill Signature Collection Mongolian | Swansura UK</t>
  </si>
  <si>
    <t xml:space="preserve">Buy Dunhill Signature Collection Mongolian Cashmere Eau de Parfum at Swansura UK. A woody men's eau de parfum, 100ml. 100% authentic, free UK delivery over £50.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</si>
  <si>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</si>
  <si>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</si>
  <si>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</si>
  <si>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</si>
  <si>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</si>
  <si>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</si>
  <si>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</si>
  <si>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</si>
  <si>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Dunhill Signature Collection Moroccan Amber Eau de Parfum</t>
  </si>
  <si>
    <t xml:space="preserve">Dunhill Signature Collection Moroccan Amber | Swansura UK</t>
  </si>
  <si>
    <t xml:space="preserve">Buy Dunhill Signature Collection Moroccan Amber Eau de Parfum at Swansura UK. An amber men's eau de parfum, 100ml. 100% authentic, free UK delivery over £50.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</si>
  <si>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</si>
  <si>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</si>
  <si>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</si>
  <si>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</si>
  <si>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</si>
  <si>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</si>
  <si>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</si>
  <si>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</si>
  <si>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Dunhill Signature Collection Nordic Fougère Eau de Parfum</t>
  </si>
  <si>
    <t xml:space="preserve">Dunhill Signature Collection Nordic Fougère | Swansura UK</t>
  </si>
  <si>
    <t xml:space="preserve">Buy Dunhill Signature Collection Nordic Fougère Eau de Parfum at Swansura UK. A woody men's eau de parfum, 100ml. 100% authentic, free UK delivery over £50.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</si>
  <si>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</si>
  <si>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</si>
  <si>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</si>
  <si>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</si>
  <si>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</si>
  <si>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</si>
  <si>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</si>
  <si>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</si>
  <si>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</si>
  <si>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Lavender Eau de Parfum</t>
  </si>
  <si>
    <t xml:space="preserve">Dunhill Signature Collection Valensole | Swansura UK</t>
  </si>
  <si>
    <t xml:space="preserve">Buy Dunhill Signature Collection Valensole Lavender Eau de Parfum at Swansura UK. An aromatic men's eau de parfum. 100% authentic, free UK delivery over £50.</t>
  </si>
  <si>
    <t xml:space="preserve">FR-142</t>
  </si>
  <si>
    <t xml:space="preserve">Dunhill Desire Black Eau de Toilette 100ml – Men's Spicy Woody Fragrance</t>
  </si>
  <si>
    <t xml:space="preserve">dunhill desire black</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</si>
  <si>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</si>
  <si>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</si>
  <si>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</si>
  <si>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</si>
  <si>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</si>
  <si>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Eau de Toilette</t>
  </si>
  <si>
    <t xml:space="preserve">Dunhill Desire Black EDT 100ml | Buy Online UK | Swansura</t>
  </si>
  <si>
    <t xml:space="preserve">Buy Dunhill Desire Black Eau de Toilette online in the UK at Swansura. A woody men's eau de toilette, 100ml. 100% authentic, fast UK delivery, free over £50.</t>
  </si>
  <si>
    <t xml:space="preserve">FR-143</t>
  </si>
  <si>
    <t xml:space="preserve">Dunhill Desire Blue Eau de Toilette 100ml – Men's Fresh Aquatic Fragrance</t>
  </si>
  <si>
    <t xml:space="preserve">dunhill desire blue</t>
  </si>
  <si>
    <t xml:space="preserve">dunhill desire blue uk</t>
  </si>
  <si>
    <t xml:space="preserve">buy dunhill desire blue online</t>
  </si>
  <si>
    <t xml:space="preserve">dunhill desire blue price</t>
  </si>
  <si>
    <t xml:space="preserve">dunhill desire blue eau de toilette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</si>
  <si>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</si>
  <si>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</si>
  <si>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Eau de Toilette</t>
  </si>
  <si>
    <t xml:space="preserve">Dunhill Desire Blue EDT 100ml | Buy Online UK | Swansura</t>
  </si>
  <si>
    <t xml:space="preserve">Buy Dunhill Desire Blue Eau de Toilette online in the UK at Swansura. A fresh men's eau de toilette, 100ml. 100% authentic, fast UK delivery, free over £50.</t>
  </si>
  <si>
    <t xml:space="preserve">FR-144</t>
  </si>
  <si>
    <t xml:space="preserve">Dunhill Desire Gold Eau de Toilette 100ml – Men's Woody Spicy Fragrance</t>
  </si>
  <si>
    <t xml:space="preserve">dunhill desire gold</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</si>
  <si>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</si>
  <si>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</si>
  <si>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</si>
  <si>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</si>
  <si>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</si>
  <si>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Eau de Toilette</t>
  </si>
  <si>
    <t xml:space="preserve">Dunhill Desire Gold EDT 100ml | Buy Online UK | Swansura</t>
  </si>
  <si>
    <t xml:space="preserve">Buy Dunhill Desire Gold Eau de Toilette online in the UK at Swansura. A woody men's eau de toilette, 100ml. 100% authentic, fast UK delivery, free over £50.</t>
  </si>
  <si>
    <t xml:space="preserve">FR-145</t>
  </si>
  <si>
    <t xml:space="preserve">Dunhill Desire Silver Eau de Toilette 100ml – Men's Fresh Woody Fragrance</t>
  </si>
  <si>
    <t xml:space="preserve">dunhill desire silver</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</si>
  <si>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</si>
  <si>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</si>
  <si>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</si>
  <si>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</si>
  <si>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</si>
  <si>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Eau de Toilette</t>
  </si>
  <si>
    <t xml:space="preserve">Dunhill Desire Silver EDT 100ml | Buy Online UK | Swansura</t>
  </si>
  <si>
    <t xml:space="preserve">Buy Dunhill Desire Silver Eau de Toilette online in the UK at Swansura. A woody men's eau de toilette, 100ml. 100% authentic, fast UK delivery, free over £50.</t>
  </si>
  <si>
    <t xml:space="preserve">Elie Saab</t>
  </si>
  <si>
    <t xml:space="preserve">elie saab elixir</t>
  </si>
  <si>
    <t xml:space="preserve">elie saab elixir uk</t>
  </si>
  <si>
    <t xml:space="preserve">buy elie saab elixir online</t>
  </si>
  <si>
    <t xml:space="preserve">elie saab elixir price</t>
  </si>
  <si>
    <t xml:space="preserve">elie saab elixir eau de parfum</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</si>
  <si>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</si>
  <si>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</si>
  <si>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Elie Saab Elixir Eau de Parfum</t>
  </si>
  <si>
    <t xml:space="preserve">Elie Saab Elixir Eau de Parfum | Buy Online UK | Swansura</t>
  </si>
  <si>
    <t xml:space="preserve">Buy Elie Saab Elixir Eau de Parfum online in the UK at Swansura. A floral women's eau de parfum, 50ml. 100% authentic, fast UK delivery, free over £50.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</si>
  <si>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</si>
  <si>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</si>
  <si>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</si>
  <si>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</si>
  <si>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</si>
  <si>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</si>
  <si>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</si>
  <si>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</si>
  <si>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Rose Eau de Parfum</t>
  </si>
  <si>
    <t xml:space="preserve">Elie Saab La Collection des Essences No. 1 | Swansura UK</t>
  </si>
  <si>
    <t xml:space="preserve">Buy Elie Saab La Collection des Essences No. 1 Rose Eau de Parfum online in the UK at Swansura. A floral unisex eau de parfum, 100ml. Free UK delivery over £50.</t>
  </si>
  <si>
    <t xml:space="preserve">FR-148</t>
  </si>
  <si>
    <t xml:space="preserve">Oud · Unisex Fragrance</t>
  </si>
  <si>
    <t xml:space="preserve">Elie Saab La Collection des Essences No. 4 Oud Eau de Parfum 100ml – Luxury Unisex Oud Fragrance</t>
  </si>
  <si>
    <t xml:space="preserve">elie saab la collection des essences no. 4 oud</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</si>
  <si>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</si>
  <si>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</si>
  <si>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</si>
  <si>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</si>
  <si>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</si>
  <si>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Elie Saab La Collection des Essences No. 4 Oud Eau de Parfum</t>
  </si>
  <si>
    <t xml:space="preserve">Elie Saab La Collection des Essences No. 4 Oud | Swansura UK</t>
  </si>
  <si>
    <t xml:space="preserve">Buy Elie Saab La Collection des Essences No. 4 Oud Eau de Parfum at Swansura UK. An oud unisex eau de parfum, 100ml. 100% authentic, free UK delivery over £50.</t>
  </si>
  <si>
    <t xml:space="preserve">FR-149</t>
  </si>
  <si>
    <t xml:space="preserve">Elie Saab Le Parfum Bridal Eau de Parfum 90ml – Women's Floral Amber Fragrance</t>
  </si>
  <si>
    <t xml:space="preserve">elie saab le parfum bridal</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</si>
  <si>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</si>
  <si>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</si>
  <si>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</si>
  <si>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</si>
  <si>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</si>
  <si>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Parfum Bridal Eau de Parfum</t>
  </si>
  <si>
    <t xml:space="preserve">Elie Saab Le Bridal EDP 90ml | Buy Online UK | Swansura</t>
  </si>
  <si>
    <t xml:space="preserve">Buy Elie Saab Le Parfum Bridal Eau de Parfum online in the UK at Swansura. A floral women's eau de parfum, 90ml. 100% authentic, free UK delivery over £50.</t>
  </si>
  <si>
    <t xml:space="preserve">FR-150</t>
  </si>
  <si>
    <t xml:space="preserve">Elie Saab Le Parfum Eau de Parfum 50ml – Women's Floral Amber Fragrance</t>
  </si>
  <si>
    <t xml:space="preserve">elie saab le</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</si>
  <si>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</si>
  <si>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</si>
  <si>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</si>
  <si>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</si>
  <si>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</si>
  <si>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Elie Saab Le Parfum Eau de Parfum</t>
  </si>
  <si>
    <t xml:space="preserve">Elie Saab Le Parfum Eau de Parfum | Buy Online UK | Swansura</t>
  </si>
  <si>
    <t xml:space="preserve">Buy Elie Saab Le Parfum Eau de Parfum online in the UK at Swansura. A floral women's eau de parfum, 50ml. 100% authentic, fast UK delivery, free over £50.</t>
  </si>
  <si>
    <t xml:space="preserve">FR-151</t>
  </si>
  <si>
    <t xml:space="preserve">Elie Saab Le Parfum Eau de Parfum Intense 90ml – Women's Floral Amber Fragrance</t>
  </si>
  <si>
    <t xml:space="preserve">elie saab le parfum intense</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</si>
  <si>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</si>
  <si>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</si>
  <si>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</si>
  <si>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</si>
  <si>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</si>
  <si>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Parfum Eau de Parfum Intense</t>
  </si>
  <si>
    <t xml:space="preserve">Elie Saab Le Intense EDP 90ml | Buy Online UK | Swansura</t>
  </si>
  <si>
    <t xml:space="preserve">Buy Elie Saab Le Parfum Eau de Parfum Intense online in the UK at Swansura. A floral women's eau de parfum, 90ml. 100% authentic, free UK delivery over £50.</t>
  </si>
  <si>
    <t xml:space="preserve">FR-152</t>
  </si>
  <si>
    <t xml:space="preserve">Elie Saab Nuit Noor Eau de Parfum 90ml – Women's Amber Floral Fragrance</t>
  </si>
  <si>
    <t xml:space="preserve">elie saab nuit noor</t>
  </si>
  <si>
    <t xml:space="preserve">elie saab nuit noor uk</t>
  </si>
  <si>
    <t xml:space="preserve">buy elie saab nuit noor online</t>
  </si>
  <si>
    <t xml:space="preserve">elie saab nuit noor price</t>
  </si>
  <si>
    <t xml:space="preserve">elie saab nuit noor eau de parfum</t>
  </si>
  <si>
    <t xml:space="preserve">elie saab nuit noor eau de parfum · elie saab nuit noor notes · elie saab nuit noor edp 90ml · elie saab nuit noor perfume · elie saab nuit noor edp · elie saab nuit noor review</t>
  </si>
  <si>
    <t xml:space="preserve">Elie Saab Nuit Noor Eau de Parfum</t>
  </si>
  <si>
    <t xml:space="preserve">Elie Saab Nuit Noor Eau de Parfum | Buy Online UK | Swansura</t>
  </si>
  <si>
    <t xml:space="preserve">Buy Elie Saab Nuit Noor Eau de Parfum online in the UK at Swansura. A floral women's eau de parfum, 90ml. 100% authentic, fast UK delivery, free over £50.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</si>
  <si>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</si>
  <si>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</si>
  <si>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</si>
  <si>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</si>
  <si>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</si>
  <si>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</si>
  <si>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</si>
  <si>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</si>
  <si>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Elie Saab Girl of Now Lovely Eau de Parfum Gift Set</t>
  </si>
  <si>
    <t xml:space="preserve">Elie Saab Girl of Now Lovely Gift Set EDP 50ml | Swansura UK</t>
  </si>
  <si>
    <t xml:space="preserve">Buy Elie Saab Girl of Now Lovely Eau de Parfum Gift Set online in the UK at Swansura. A woody women's eau de parfum. 100% authentic, free UK delivery over £50.</t>
  </si>
  <si>
    <t xml:space="preserve">FR-154</t>
  </si>
  <si>
    <t xml:space="preserve">Elie Saab Le Parfum Eau de Parfum Gift Set 90ml + Body Lotion 75ml + Shower Gel 75ml – Women's Fragrance Set</t>
  </si>
  <si>
    <t xml:space="preserve">elie saab le parfum gift set</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</si>
  <si>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</si>
  <si>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</si>
  <si>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</si>
  <si>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</si>
  <si>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Parfum Eau de Parfum Gift Set</t>
  </si>
  <si>
    <t xml:space="preserve">Elie Saab Le Gift Set EDP 90ml | Buy Online UK | Swansura</t>
  </si>
  <si>
    <t xml:space="preserve">Buy Elie Saab Le Parfum Eau de Parfum Gift Set online in the UK at Swansura. A woody women's eau de parfum, 90ml. 100% authentic, free UK delivery over £50.</t>
  </si>
  <si>
    <t xml:space="preserve">FR-155</t>
  </si>
  <si>
    <t xml:space="preserve">Elie Saab Le Parfum Lumière Eau de Parfum Gift Set 90ml + 10ml + Body Lotion 75ml – Women's Fragrance Set</t>
  </si>
  <si>
    <t xml:space="preserve">elie saab le parfum lumiere gift set</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</si>
  <si>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</si>
  <si>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</si>
  <si>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</si>
  <si>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</si>
  <si>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Elie Saab Le Parfum Lumière Eau de Parfum Gift Set</t>
  </si>
  <si>
    <t xml:space="preserve">Elie Saab Le Lumière Gift Set EDP 90ml | Swansura UK</t>
  </si>
  <si>
    <t xml:space="preserve">Buy Elie Saab Le Parfum Lumière Eau de Parfum Gift Set online in the UK at Swansura. A woody women's eau de parfum. 100% authentic, free UK delivery over £50.</t>
  </si>
  <si>
    <t xml:space="preserve">FR-156</t>
  </si>
  <si>
    <t xml:space="preserve">Elizabeth Arden</t>
  </si>
  <si>
    <t xml:space="preserve">Elizabeth Arden Beauty Eau de Parfum 100ml – Women's Floral Green Fragrance</t>
  </si>
  <si>
    <t xml:space="preserve">elizabeth arden beauty</t>
  </si>
  <si>
    <t xml:space="preserve">elizabeth arden beauty uk</t>
  </si>
  <si>
    <t xml:space="preserve">buy elizabeth arden beauty online</t>
  </si>
  <si>
    <t xml:space="preserve">elizabeth arden beauty price</t>
  </si>
  <si>
    <t xml:space="preserve">elizabeth arden beauty eau de parfum</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</si>
  <si>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</si>
  <si>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</si>
  <si>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Eau de Parfum</t>
  </si>
  <si>
    <t xml:space="preserve">Elizabeth Arden Beauty EDP 100ml | Buy Online UK | Swansura</t>
  </si>
  <si>
    <t xml:space="preserve">Buy Elizabeth Arden Beauty Eau de Parfum online in the UK at Swansura. A floral women's eau de parfum, 100ml. 100% authentic, fast UK delivery, free over £50.</t>
  </si>
  <si>
    <t xml:space="preserve">FR-157</t>
  </si>
  <si>
    <t xml:space="preserve">Escada</t>
  </si>
  <si>
    <t xml:space="preserve">Escada Magnetic Dream Eau de Parfum 75ml – Women's Fruity Floral Fragrance</t>
  </si>
  <si>
    <t xml:space="preserve">escada magnetic dream</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</si>
  <si>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</si>
  <si>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</si>
  <si>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</si>
  <si>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</si>
  <si>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</si>
  <si>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</si>
  <si>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Eau de Parfum</t>
  </si>
  <si>
    <t xml:space="preserve">Escada Magnetic Dream EDP 75ml | Buy Online UK | Swansura</t>
  </si>
  <si>
    <t xml:space="preserve">Buy Escada Magnetic Dream Eau de Parfum online in the UK at Swansura. A floral women's eau de parfum, 75ml. 100% authentic, fast UK delivery, free over £50.</t>
  </si>
  <si>
    <t xml:space="preserve">escada magnetism</t>
  </si>
  <si>
    <t xml:space="preserve">escada magnetism uk</t>
  </si>
  <si>
    <t xml:space="preserve">buy escada magnetism online</t>
  </si>
  <si>
    <t xml:space="preserve">escada magnetism price</t>
  </si>
  <si>
    <t xml:space="preserve">escada magnetism eau de parfum</t>
  </si>
  <si>
    <t xml:space="preserve">escada magnetism perfume · escada magnetism men · escada magnetism notes · escada magnetism price · escada magnetism women · escada magnetism review</t>
  </si>
  <si>
    <t xml:space="preserve">Escada Magnetism Eau de Parfum</t>
  </si>
  <si>
    <t xml:space="preserve">Escada Magnetism Eau de Parfum | Buy Online UK | Swansura</t>
  </si>
  <si>
    <t xml:space="preserve">Buy Escada Magnetism Eau de Parfum online in the UK at Swansura. A floral women's eau de parfum, 25ml. 100% authentic, fast UK delivery, free over £50.</t>
  </si>
  <si>
    <t xml:space="preserve">FR-159</t>
  </si>
  <si>
    <t xml:space="preserve">Fruity · Women's Fragrance</t>
  </si>
  <si>
    <t xml:space="preserve">Escada Party Love Eau de Parfum 100ml – Women's Fruity Gourmand Fragrance</t>
  </si>
  <si>
    <t xml:space="preserve">escada party love</t>
  </si>
  <si>
    <t xml:space="preserve">escada party love uk</t>
  </si>
  <si>
    <t xml:space="preserve">buy escada party love online</t>
  </si>
  <si>
    <t xml:space="preserve">escada party love price</t>
  </si>
  <si>
    <t xml:space="preserve">escada party love eau de parfum</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</si>
  <si>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</si>
  <si>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</si>
  <si>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Escada Party Love Eau de Parfum</t>
  </si>
  <si>
    <t xml:space="preserve">Escada Party Love Eau de Parfum | Buy Online UK | Swansura</t>
  </si>
  <si>
    <t xml:space="preserve">Buy Escada Party Love Eau de Parfum online in the UK at Swansura. A fruity women's eau de parfum, 100ml. 100% authentic, fast UK delivery, free over £50.</t>
  </si>
  <si>
    <t xml:space="preserve">FR-160</t>
  </si>
  <si>
    <t xml:space="preserve">Estée Lauder</t>
  </si>
  <si>
    <t xml:space="preserve">Estée Lauder SpellBound Eau de Parfum 50ml – Women's Warm Spicy Floral Fragrance</t>
  </si>
  <si>
    <t xml:space="preserve">estee lauder spellbound</t>
  </si>
  <si>
    <t xml:space="preserve">estee lauder spellbound uk</t>
  </si>
  <si>
    <t xml:space="preserve">buy estee lauder spellbound online</t>
  </si>
  <si>
    <t xml:space="preserve">estee lauder spellbound price</t>
  </si>
  <si>
    <t xml:space="preserve">estee lauder spellbound eau de parfum</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</si>
  <si>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</si>
  <si>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</si>
  <si>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Eau de Parfum</t>
  </si>
  <si>
    <t xml:space="preserve">Estée Lauder SpellBound EDP 50ml | Buy Online UK | Swansura</t>
  </si>
  <si>
    <t xml:space="preserve">Buy Estée Lauder SpellBound Eau de Parfum online in the UK at Swansura. A floral women's eau de parfum, 50ml. 100% authentic, fast UK delivery, free over £50.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</si>
  <si>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</si>
  <si>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</si>
  <si>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</si>
  <si>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</si>
  <si>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</si>
  <si>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</si>
  <si>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</si>
  <si>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</si>
  <si>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</si>
  <si>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</si>
  <si>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Etienne Aigner First Class Explorer Eau de Toilette</t>
  </si>
  <si>
    <t xml:space="preserve">Etienne Aigner First Class Explorer EDT 100ml | Swansura UK</t>
  </si>
  <si>
    <t xml:space="preserve">Buy Etienne Aigner First Class Explorer Eau de Toilette online in the UK at Swansura. A woody men's eau de toilette. 100% authentic, free UK delivery over £50.</t>
  </si>
  <si>
    <t xml:space="preserve">FR-162</t>
  </si>
  <si>
    <t xml:space="preserve">Etienne Aigner No. 1 Intense Eau de Toilette 100ml – Men's Woody Spicy Fragrance</t>
  </si>
  <si>
    <t xml:space="preserve">etienne aigner no. 1 intense</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</si>
  <si>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</si>
  <si>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</si>
  <si>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</si>
  <si>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</si>
  <si>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</si>
  <si>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t>
  </si>
  <si>
    <t xml:space="preserve">Etienne Aigner No. 1 Intense Eau de Toilette | Swansura UK</t>
  </si>
  <si>
    <t xml:space="preserve">Buy Etienne Aigner No. 1 Intense Eau de Toilette online in the UK at Swansura. A woody men's eau de toilette, 100ml. 100% authentic, free UK delivery over £50.</t>
  </si>
  <si>
    <t xml:space="preserve">FR-163</t>
  </si>
  <si>
    <t xml:space="preserve">Fumeri</t>
  </si>
  <si>
    <t xml:space="preserve">Fumeri 540 Unisex Eau De Parfum 100ML</t>
  </si>
  <si>
    <t xml:space="preserve">fumeri 540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</si>
  <si>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</si>
  <si>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</si>
  <si>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</si>
  <si>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</si>
  <si>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</si>
  <si>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</si>
  <si>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Fumeri 540 Unisex Eau De Parfum</t>
  </si>
  <si>
    <t xml:space="preserve">Fumeri 540 Unisex Eau De Parfum | Buy Online UK | Swansura</t>
  </si>
  <si>
    <t xml:space="preserve">Buy Fumeri 540 Unisex Eau De Parfum online in the UK at Swansura. An amber unisex eau de parfum, 100ml. 100% authentic, fast UK delivery, free over £50.</t>
  </si>
  <si>
    <t xml:space="preserve">FR-164</t>
  </si>
  <si>
    <t xml:space="preserve">Fumeri Adore Unisex EDP 100ML</t>
  </si>
  <si>
    <t xml:space="preserve">fumeri adore</t>
  </si>
  <si>
    <t xml:space="preserve">fumeri adore uk</t>
  </si>
  <si>
    <t xml:space="preserve">buy fumeri adore online</t>
  </si>
  <si>
    <t xml:space="preserve">fumeri adore price</t>
  </si>
  <si>
    <t xml:space="preserve">fumeri adore edp</t>
  </si>
  <si>
    <t xml:space="preserve">fumeri adore perfume</t>
  </si>
  <si>
    <t xml:space="preserve">Fumeri Adore Unisex EDP</t>
  </si>
  <si>
    <t xml:space="preserve">Fumeri Adore Unisex EDP | Buy Online UK | Swansura</t>
  </si>
  <si>
    <t xml:space="preserve">Buy Fumeri Adore Unisex EDP online in the UK at Swansura. An amber unisex eau de parfum, 100ml. 100% authentic, fast UK delivery, free over £50.</t>
  </si>
  <si>
    <t xml:space="preserve">FR-165</t>
  </si>
  <si>
    <t xml:space="preserve">Fumeri Ambre Night Unisex EDP 100ML</t>
  </si>
  <si>
    <t xml:space="preserve">fumeri ambre night</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</si>
  <si>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</si>
  <si>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</si>
  <si>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</si>
  <si>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</si>
  <si>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</si>
  <si>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Fumeri Ambre Night Unisex EDP</t>
  </si>
  <si>
    <t xml:space="preserve">Fumeri Ambre Night Unisex EDP | Buy Online UK | Swansura</t>
  </si>
  <si>
    <t xml:space="preserve">Buy Fumeri Ambre Night Unisex EDP online in the UK at Swansura. An amber unisex eau de parfum, 100ml. 100% authentic, fast UK delivery, free over £50.</t>
  </si>
  <si>
    <t xml:space="preserve">FR-166</t>
  </si>
  <si>
    <t xml:space="preserve">Fumeri Angel For Women EDP 100ML</t>
  </si>
  <si>
    <t xml:space="preserve">fumeri angel</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</si>
  <si>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</si>
  <si>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</si>
  <si>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</si>
  <si>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</si>
  <si>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</si>
  <si>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</si>
  <si>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t>
  </si>
  <si>
    <t xml:space="preserve">Fumeri Angel For Women EDP | Buy Online UK | Swansura</t>
  </si>
  <si>
    <t xml:space="preserve">Buy Fumeri Angel For Women EDP online in the UK at Swansura. A woody women's eau de parfum, 100ml. 100% authentic, fast UK delivery, free over £50.</t>
  </si>
  <si>
    <t xml:space="preserve">FR-167</t>
  </si>
  <si>
    <t xml:space="preserve">Fumeri Blue For Men EDP 100ML</t>
  </si>
  <si>
    <t xml:space="preserve">fumeri blue</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</si>
  <si>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</si>
  <si>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</si>
  <si>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</si>
  <si>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</si>
  <si>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</si>
  <si>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</si>
  <si>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t>
  </si>
  <si>
    <t xml:space="preserve">Fumeri Blue For Men EDP | Buy Online UK | Swansura</t>
  </si>
  <si>
    <t xml:space="preserve">Buy Fumeri Blue For Men EDP online in the UK at Swansura. A fresh men's eau de parfum, 100ml. 100% authentic, fast UK delivery, free over £50.</t>
  </si>
  <si>
    <t xml:space="preserve">FR-168</t>
  </si>
  <si>
    <t xml:space="preserve">Fumeri Elixir Unisex EDP 100ML</t>
  </si>
  <si>
    <t xml:space="preserve">fumeri elixir</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</si>
  <si>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</si>
  <si>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</si>
  <si>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</si>
  <si>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</si>
  <si>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</si>
  <si>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t>
  </si>
  <si>
    <t xml:space="preserve">Fumeri Elixir Unisex EDP | Buy Online UK | Swansura</t>
  </si>
  <si>
    <t xml:space="preserve">Buy Fumeri Elixir Unisex EDP online in the UK at Swansura. An amber unisex eau de parfum, 100ml. 100% authentic, fast UK delivery, free over £50.</t>
  </si>
  <si>
    <t xml:space="preserve">FR-169</t>
  </si>
  <si>
    <t xml:space="preserve">Fumeri Flirt Eau de Parfum 100ML</t>
  </si>
  <si>
    <t xml:space="preserve">fumeri flirt</t>
  </si>
  <si>
    <t xml:space="preserve">fumeri flirt uk</t>
  </si>
  <si>
    <t xml:space="preserve">buy fumeri flirt online</t>
  </si>
  <si>
    <t xml:space="preserve">fumeri flirt price</t>
  </si>
  <si>
    <t xml:space="preserve">fumeri flirt eau de parfum</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</si>
  <si>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</si>
  <si>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</si>
  <si>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£50.</t>
  </si>
  <si>
    <t xml:space="preserve">FR-170</t>
  </si>
  <si>
    <t xml:space="preserve">Fumeri Gabriella Eau de Parfum 100ML</t>
  </si>
  <si>
    <t xml:space="preserve">fumeri gabriella</t>
  </si>
  <si>
    <t xml:space="preserve">fumeri gabriella uk</t>
  </si>
  <si>
    <t xml:space="preserve">buy fumeri gabriella online</t>
  </si>
  <si>
    <t xml:space="preserve">fumeri gabriella price</t>
  </si>
  <si>
    <t xml:space="preserve">fumeri gabriella eau de parfum</t>
  </si>
  <si>
    <t xml:space="preserve">Fumeri Gabriella Eau de Parfum</t>
  </si>
  <si>
    <t xml:space="preserve">Fumeri Gabriella Eau de Parfum | Buy Online UK | Swansura</t>
  </si>
  <si>
    <t xml:space="preserve">Buy Fumeri Gabriella Eau de Parfum online in the UK at Swansura. An amber unisex eau de parfum, 100ml. 100% authentic, fast UK delivery, free over £50.</t>
  </si>
  <si>
    <t xml:space="preserve">FR-171</t>
  </si>
  <si>
    <t xml:space="preserve">Fumeri Gris Unisex Eau De Parfum 100ML</t>
  </si>
  <si>
    <t xml:space="preserve">fumeri gris</t>
  </si>
  <si>
    <t xml:space="preserve">fumeri gris uk</t>
  </si>
  <si>
    <t xml:space="preserve">buy fumeri gris online</t>
  </si>
  <si>
    <t xml:space="preserve">fumeri gris price</t>
  </si>
  <si>
    <t xml:space="preserve">fumeri gris eau de parfum</t>
  </si>
  <si>
    <t xml:space="preserve">fumeri gris perfume</t>
  </si>
  <si>
    <t xml:space="preserve">Fumeri Gris Unisex Eau De Parfum</t>
  </si>
  <si>
    <t xml:space="preserve">Fumeri Gris Unisex Eau De Parfum | Buy Online UK | Swansura</t>
  </si>
  <si>
    <t xml:space="preserve">Buy Fumeri Gris Unisex Eau De Parfum online in the UK at Swansura. An amber unisex eau de parfum, 100ml. 100% authentic, fast UK delivery, free over £50.</t>
  </si>
  <si>
    <t xml:space="preserve">FR-172</t>
  </si>
  <si>
    <t xml:space="preserve">Fumeri Orchid Noir For Women Eau De Parfum 100ML</t>
  </si>
  <si>
    <t xml:space="preserve">fumeri orchid noir</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</si>
  <si>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</si>
  <si>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</si>
  <si>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</si>
  <si>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</si>
  <si>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</si>
  <si>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t>
  </si>
  <si>
    <t xml:space="preserve">Fumeri Orchid Noir For Women Eau De Parfum | Swansura UK</t>
  </si>
  <si>
    <t xml:space="preserve">Buy Fumeri Orchid Noir For Women Eau De Parfum online in the UK at Swansura. A woody women's eau de parfum, 100ml. 100% authentic, free UK delivery over £50.</t>
  </si>
  <si>
    <t xml:space="preserve">FR-173</t>
  </si>
  <si>
    <t xml:space="preserve">Fumeri Orpheon Unisex Eau De Parfum 100ML</t>
  </si>
  <si>
    <t xml:space="preserve">fumeri orpheon</t>
  </si>
  <si>
    <t xml:space="preserve">fumeri orpheon uk</t>
  </si>
  <si>
    <t xml:space="preserve">buy fumeri orpheon online</t>
  </si>
  <si>
    <t xml:space="preserve">fumeri orpheon price</t>
  </si>
  <si>
    <t xml:space="preserve">fumeri orpheon eau de parfum</t>
  </si>
  <si>
    <t xml:space="preserve">Fumeri Orpheon Unisex Eau De Parfum</t>
  </si>
  <si>
    <t xml:space="preserve">Fumeri Orpheon Unisex EDP 100ml | Buy Online UK | Swansura</t>
  </si>
  <si>
    <t xml:space="preserve">Buy Fumeri Orpheon Unisex Eau De Parfum online in the UK at Swansura. An amber unisex eau de parfum, 100ml. 100% authentic, fast UK delivery, free over £50.</t>
  </si>
  <si>
    <t xml:space="preserve">FR-174</t>
  </si>
  <si>
    <t xml:space="preserve">Fumeri Oud Saffron For Men Eau De Parfum 100ML</t>
  </si>
  <si>
    <t xml:space="preserve">fumeri oud saffron</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</si>
  <si>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</si>
  <si>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</si>
  <si>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</si>
  <si>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</si>
  <si>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</si>
  <si>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</si>
  <si>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t>
  </si>
  <si>
    <t xml:space="preserve">Fumeri Oud Saffron For Men Eau De Parfum | Swansura UK</t>
  </si>
  <si>
    <t xml:space="preserve">Buy Fumeri Oud Saffron For Men Eau De Parfum online in the UK at Swansura. An oud men's eau de parfum, 100ml. 100% authentic, fast UK delivery, free over £50.</t>
  </si>
  <si>
    <t xml:space="preserve">FR-175</t>
  </si>
  <si>
    <t xml:space="preserve">Fruity · Unisex Fragrance</t>
  </si>
  <si>
    <t xml:space="preserve">Fumeri Peach Unisex Eau De Parfum 100ML</t>
  </si>
  <si>
    <t xml:space="preserve">fumeri peach</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</si>
  <si>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</si>
  <si>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</si>
  <si>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</si>
  <si>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</si>
  <si>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</si>
  <si>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</si>
  <si>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Fumeri Peach Unisex Eau De Parfum</t>
  </si>
  <si>
    <t xml:space="preserve">Fumeri Peach Unisex Eau De Parfum | Buy Online UK | Swansura</t>
  </si>
  <si>
    <t xml:space="preserve">Buy Fumeri Peach Unisex Eau De Parfum online in the UK at Swansura. A fruity unisex eau de parfum, 100ml. 100% authentic, fast UK delivery, free over £50.</t>
  </si>
  <si>
    <t xml:space="preserve">FR-176</t>
  </si>
  <si>
    <t xml:space="preserve">Leather · Unisex Fragrance</t>
  </si>
  <si>
    <t xml:space="preserve">Fumeri Smokey Leather Unisex Eau De Parfum 100ML</t>
  </si>
  <si>
    <t xml:space="preserve">fumeri smokey leather</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</si>
  <si>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</si>
  <si>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</si>
  <si>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</si>
  <si>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</si>
  <si>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</si>
  <si>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t>
  </si>
  <si>
    <t xml:space="preserve">Fumeri Smokey Leather Unisex Eau De Parfum | Swansura UK</t>
  </si>
  <si>
    <t xml:space="preserve">Buy Fumeri Smokey Leather Unisex Eau De Parfum online in the UK at Swansura. A leather unisex eau de parfum, 100ml. 100% authentic, free UK delivery over £50.</t>
  </si>
  <si>
    <t xml:space="preserve">FR-177</t>
  </si>
  <si>
    <t xml:space="preserve">Fumeri Style 33 Unisex Eau De Parfum 100ML</t>
  </si>
  <si>
    <t xml:space="preserve">fumeri style 33</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</si>
  <si>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</si>
  <si>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</si>
  <si>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</si>
  <si>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</si>
  <si>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</si>
  <si>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Eau De Parfum</t>
  </si>
  <si>
    <t xml:space="preserve">Fumeri Style 33 Unisex EDP 100ml | Buy Online UK | Swansura</t>
  </si>
  <si>
    <t xml:space="preserve">Buy Fumeri Style 33 Unisex Eau De Parfum online in the UK at Swansura. An amber unisex eau de parfum, 100ml. 100% authentic, fast UK delivery, free over £50.</t>
  </si>
  <si>
    <t xml:space="preserve">FR-178</t>
  </si>
  <si>
    <t xml:space="preserve">Fumeri Victorious For Men Eau De Parfum 100ML</t>
  </si>
  <si>
    <t xml:space="preserve">fumeri victorious</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</si>
  <si>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</si>
  <si>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</si>
  <si>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</si>
  <si>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</si>
  <si>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</si>
  <si>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</si>
  <si>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t>
  </si>
  <si>
    <t xml:space="preserve">Fumeri Victorious For Men Eau De Parfum | Swansura UK</t>
  </si>
  <si>
    <t xml:space="preserve">Buy Fumeri Victorious For Men Eau De Parfum online in the UK at Swansura. A woody men's eau de parfum, 100ml. 100% authentic, fast UK delivery, free over £50.</t>
  </si>
  <si>
    <t xml:space="preserve">FR-179</t>
  </si>
  <si>
    <t xml:space="preserve">Fumeri Wild Unisex Eau De Parfum 100ML</t>
  </si>
  <si>
    <t xml:space="preserve">fumeri wild</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</si>
  <si>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</si>
  <si>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</si>
  <si>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</si>
  <si>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</si>
  <si>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</si>
  <si>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Fumeri Wild Unisex Eau De Parfum</t>
  </si>
  <si>
    <t xml:space="preserve">Fumeri Wild Unisex Eau De Parfum | Buy Online UK | Swansura</t>
  </si>
  <si>
    <t xml:space="preserve">Buy Fumeri Wild Unisex Eau De Parfum online in the UK at Swansura. An amber unisex eau de parfum, 100ml. 100% authentic, fast UK delivery, free over £50.</t>
  </si>
  <si>
    <t xml:space="preserve">FR-180</t>
  </si>
  <si>
    <t xml:space="preserve">Generic</t>
  </si>
  <si>
    <t xml:space="preserve">Real brand missing</t>
  </si>
  <si>
    <t xml:space="preserve">Game Of Spades Bid For Men | Eau De Parfum 100ml</t>
  </si>
  <si>
    <t xml:space="preserve">game of spades bid</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</si>
  <si>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</si>
  <si>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</si>
  <si>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</si>
  <si>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</si>
  <si>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</si>
  <si>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</si>
  <si>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t>
  </si>
  <si>
    <t xml:space="preserve">Game Of Spades Bid For Men | Buy Online UK | Swansura</t>
  </si>
  <si>
    <t xml:space="preserve">Buy Game Of Spades Bid For Men online in the UK at Swansura. A woody men's eau de parfum, 100ml. 100% authentic, fast UK delivery, free over £50.</t>
  </si>
  <si>
    <t xml:space="preserve">FR-181</t>
  </si>
  <si>
    <t xml:space="preserve">Game Of Spades Blind-Bid | Eau De Parfum 100ml | Long Lasting Luxury Unisex Perfume for Men &amp; Women</t>
  </si>
  <si>
    <t xml:space="preserve">game of spades blind-bid</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</si>
  <si>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</si>
  <si>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</si>
  <si>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</si>
  <si>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</si>
  <si>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</si>
  <si>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</si>
  <si>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t>
  </si>
  <si>
    <t xml:space="preserve">Game Of Spades Blind-Bid | Buy Online UK | Swansura</t>
  </si>
  <si>
    <t xml:space="preserve">Buy Game Of Spades Blind-Bid online in the UK at Swansura. A woody unisex eau de parfum, 100ml. 100% authentic, fast UK delivery, free over £50.</t>
  </si>
  <si>
    <t xml:space="preserve">FR-182</t>
  </si>
  <si>
    <t xml:space="preserve">Game Of Spades Boston For Men | Eau De Parfum 100ml</t>
  </si>
  <si>
    <t xml:space="preserve">game of spades boston</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</si>
  <si>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</si>
  <si>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</si>
  <si>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</si>
  <si>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</si>
  <si>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</si>
  <si>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Game Of Spades Boston For Men</t>
  </si>
  <si>
    <t xml:space="preserve">Game Of Spades Boston For Men | Buy Online UK | Swansura</t>
  </si>
  <si>
    <t xml:space="preserve">Buy Game Of Spades Boston For Men online in the UK at Swansura. A woody men's eau de parfum, 100ml. 100% authentic, fast UK delivery, free over £50.</t>
  </si>
  <si>
    <t xml:space="preserve">FR-183</t>
  </si>
  <si>
    <t xml:space="preserve">Game of Spades Diamond Eau de Parfum Spray 100ml | Luxury Long Lasting Perfume for Men</t>
  </si>
  <si>
    <t xml:space="preserve">game of spades diamond</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</si>
  <si>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</si>
  <si>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</si>
  <si>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</si>
  <si>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</si>
  <si>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</si>
  <si>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t>
  </si>
  <si>
    <t xml:space="preserve">Game of Spades Diamond Eau de Parfum Spray | Swansura UK</t>
  </si>
  <si>
    <t xml:space="preserve">Buy Game of Spades Diamond Eau de Parfum Spray online in the UK at Swansura. A woody men's eau de parfum, 100ml. 100% authentic, free UK delivery over £50.</t>
  </si>
  <si>
    <t xml:space="preserve">game of spades full house</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</si>
  <si>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</si>
  <si>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</si>
  <si>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</si>
  <si>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</si>
  <si>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</si>
  <si>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</si>
  <si>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t>
  </si>
  <si>
    <t xml:space="preserve">Game of Spades Full House Unisex Eau de Parfum | Swansura UK</t>
  </si>
  <si>
    <t xml:space="preserve">Buy Game of Spades Full House Unisex Eau de Parfum online in the UK at Swansura. An amber unisex eau de parfum. 100% authentic, fast UK delivery, free over £50.</t>
  </si>
  <si>
    <t xml:space="preserve">FR-185</t>
  </si>
  <si>
    <t xml:space="preserve">Game Of Spades High Roller Unisex Eau De Parfum 100ml</t>
  </si>
  <si>
    <t xml:space="preserve">game of spades high roller</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</si>
  <si>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</si>
  <si>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</si>
  <si>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</si>
  <si>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</si>
  <si>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</si>
  <si>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Game Of Spades High Roller Unisex Eau De Parfum</t>
  </si>
  <si>
    <t xml:space="preserve">Game Of Spades High Roller Unisex EDP 100ml | Swansura UK</t>
  </si>
  <si>
    <t xml:space="preserve">Buy Game Of Spades High Roller Unisex Eau De Parfum online in the UK at Swansura. An amber unisex eau de parfum. 100% authentic, free UK delivery over £50.</t>
  </si>
  <si>
    <t xml:space="preserve">FR-186</t>
  </si>
  <si>
    <t xml:space="preserve">Game Of Spades Jackpot | Eau De Parfum 100ml | Long Lasting Fragrance For Men and Women</t>
  </si>
  <si>
    <t xml:space="preserve">game of spades jackpot</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</si>
  <si>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</si>
  <si>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</si>
  <si>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</si>
  <si>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</si>
  <si>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</si>
  <si>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Game Of Spades Jackpot</t>
  </si>
  <si>
    <t xml:space="preserve">Game Of Spades Jackpot 100ml | Buy Online UK | Swansura</t>
  </si>
  <si>
    <t xml:space="preserve">Buy Game Of Spades Jackpot online in the UK at Swansura. A woody unisex eau de parfum, 100ml. 100% authentic, fast UK delivery, free over £50.</t>
  </si>
  <si>
    <t xml:space="preserve">FR-187</t>
  </si>
  <si>
    <t xml:space="preserve">Game Of Spades King Eau De Parfum 100ml | Perfume for Men and Women | Long Lasting Luxury Fragrance</t>
  </si>
  <si>
    <t xml:space="preserve">game of spades king</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</si>
  <si>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</si>
  <si>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</si>
  <si>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</si>
  <si>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</si>
  <si>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</si>
  <si>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Game Of Spades King Eau De Parfum</t>
  </si>
  <si>
    <t xml:space="preserve">Game Of Spades King Eau De Parfum | Buy Online UK | Swansura</t>
  </si>
  <si>
    <t xml:space="preserve">Buy Game Of Spades King Eau De Parfum online in the UK at Swansura. A woody unisex eau de parfum, 100ml. 100% authentic, fast UK delivery, free over £50.</t>
  </si>
  <si>
    <t xml:space="preserve">FR-188</t>
  </si>
  <si>
    <t xml:space="preserve">Game Of Spades Moon Unisex | Eau De Parfum 100ml | For Men &amp; Women</t>
  </si>
  <si>
    <t xml:space="preserve">game of spades moon</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</si>
  <si>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</si>
  <si>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</si>
  <si>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</si>
  <si>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</si>
  <si>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</si>
  <si>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t>
  </si>
  <si>
    <t xml:space="preserve">Game Of Spades Moon Unisex | Buy Online UK | Swansura</t>
  </si>
  <si>
    <t xml:space="preserve">Buy Game Of Spades Moon Unisex online in the UK at Swansura. A woody unisex eau de parfum, 100ml. 100% authentic, fast UK delivery, free over £50.</t>
  </si>
  <si>
    <t xml:space="preserve">FR-189</t>
  </si>
  <si>
    <t xml:space="preserve">Game Of Spades Opal Eau De Parfum Spray 100 ml | Long Lasting Unisex Luxury Perfume | Citrus-Floral and Woody Amber Fragrance</t>
  </si>
  <si>
    <t xml:space="preserve">game of spades opal</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</si>
  <si>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</si>
  <si>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</si>
  <si>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</si>
  <si>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</si>
  <si>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</si>
  <si>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</si>
  <si>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t>
  </si>
  <si>
    <t xml:space="preserve">Game Of Spades Opal Eau De Parfum Spray | Swansura UK</t>
  </si>
  <si>
    <t xml:space="preserve">Buy Game Of Spades Opal Eau De Parfum Spray online in the UK at Swansura. A floral unisex eau de parfum, 100ml. 100% authentic, fast UK delivery, free over £50.</t>
  </si>
  <si>
    <t xml:space="preserve">FR-190</t>
  </si>
  <si>
    <t xml:space="preserve">Game of Spades Rouge Unisex Eau de Parfum 100ml</t>
  </si>
  <si>
    <t xml:space="preserve">game of spades rouge</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</si>
  <si>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</si>
  <si>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</si>
  <si>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</si>
  <si>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</si>
  <si>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</si>
  <si>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t>
  </si>
  <si>
    <t xml:space="preserve">Game of Spades Rouge Unisex Eau de Parfum | Swansura UK</t>
  </si>
  <si>
    <t xml:space="preserve">Buy Game of Spades Rouge Unisex Eau de Parfum online in the UK at Swansura. An amber unisex eau de parfum, 100ml. 100% authentic, free UK delivery over £50.</t>
  </si>
  <si>
    <t xml:space="preserve">FR-191</t>
  </si>
  <si>
    <t xml:space="preserve">Game Of Spades Royale Unisex Eau De Parfum 100ml</t>
  </si>
  <si>
    <t xml:space="preserve">game of spades royale</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</si>
  <si>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</si>
  <si>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</si>
  <si>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</si>
  <si>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</si>
  <si>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</si>
  <si>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t>
  </si>
  <si>
    <t xml:space="preserve">Game Of Spades Royale Unisex Eau De Parfum | Swansura UK</t>
  </si>
  <si>
    <t xml:space="preserve">Buy Game Of Spades Royale Unisex Eau De Parfum online in the UK at Swansura. An amber unisex eau de parfum, 100ml. 100% authentic, free UK delivery over £50.</t>
  </si>
  <si>
    <t xml:space="preserve">FR-192</t>
  </si>
  <si>
    <t xml:space="preserve">Game of Spades Ruby Unisex Eau de Parfum 100ml</t>
  </si>
  <si>
    <t xml:space="preserve">game of spades ruby</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</si>
  <si>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</si>
  <si>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</si>
  <si>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</si>
  <si>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</si>
  <si>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</si>
  <si>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t>
  </si>
  <si>
    <t xml:space="preserve">Game of Spades Ruby Unisex Eau de Parfum | Swansura UK</t>
  </si>
  <si>
    <t xml:space="preserve">Buy Game of Spades Ruby Unisex Eau de Parfum online in the UK at Swansura. An amber unisex eau de parfum, 100ml. 100% authentic, free UK delivery over £50.</t>
  </si>
  <si>
    <t xml:space="preserve">game of spades wildcard</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</si>
  <si>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</si>
  <si>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</si>
  <si>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</si>
  <si>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</si>
  <si>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</si>
  <si>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t>
  </si>
  <si>
    <t xml:space="preserve">Game of Spades Wildcard Unisex Eau de Parfum | Swansura UK</t>
  </si>
  <si>
    <t xml:space="preserve">Buy Game of Spades Wildcard Unisex Eau de Parfum online in the UK at Swansura. An amber unisex eau de parfum, 100ml. 100% authentic, free UK delivery over £50.</t>
  </si>
  <si>
    <t xml:space="preserve">FR-194</t>
  </si>
  <si>
    <t xml:space="preserve">Game Of Spades Win | Eau De Parfum 100ml | Long-Lasting Luxury Perfume for Men &amp; Women</t>
  </si>
  <si>
    <t xml:space="preserve">game of spades win</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</si>
  <si>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</si>
  <si>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</si>
  <si>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</si>
  <si>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</si>
  <si>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</si>
  <si>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Game Of Spades Win</t>
  </si>
  <si>
    <t xml:space="preserve">Game Of Spades Win 100ml | Buy Online UK | Swansura</t>
  </si>
  <si>
    <t xml:space="preserve">Buy Game Of Spades Win online in the UK at Swansura. A woody men's eau de parfum, 100ml. 100% authentic, fast UK delivery, free over £50.</t>
  </si>
  <si>
    <t xml:space="preserve">FR-195</t>
  </si>
  <si>
    <t xml:space="preserve">Game of Spades Yellow Sapphire Unisex Eau de Parfum 100ml</t>
  </si>
  <si>
    <t xml:space="preserve">game of spades yellow sapphire</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</si>
  <si>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</si>
  <si>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</si>
  <si>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</si>
  <si>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</si>
  <si>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</si>
  <si>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Eau de Parfum</t>
  </si>
  <si>
    <t xml:space="preserve">Game of Spades Yellow Sapphire Unisex 100ml | Swansura UK</t>
  </si>
  <si>
    <t xml:space="preserve">Buy Game of Spades Yellow Sapphire Unisex Eau de Parfum online in the UK at Swansura. An amber unisex eau de parfum. 100% authentic, free UK delivery over £50.</t>
  </si>
  <si>
    <t xml:space="preserve">FR-196</t>
  </si>
  <si>
    <t xml:space="preserve">Maison de Milan Amalfi Bleu - Eau de Parfum for Men 100ml – Long Lasting Luxury Fragrance</t>
  </si>
  <si>
    <t xml:space="preserve">maison de milan amalfi bleu</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</si>
  <si>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</si>
  <si>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</si>
  <si>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</si>
  <si>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</si>
  <si>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t>
  </si>
  <si>
    <t xml:space="preserve">Maison de Milan Amalfi Bleu | Buy Online UK | Swansura</t>
  </si>
  <si>
    <t xml:space="preserve">Buy Maison de Milan Amalfi Bleu online in the UK at Swansura. A woody men's eau de parfum, 100ml. 100% authentic, fast UK delivery, free over £50.</t>
  </si>
  <si>
    <t xml:space="preserve">FR-197</t>
  </si>
  <si>
    <t xml:space="preserve">Maison De Milan Bliss Rouge - Eau de Parfum for Women 100ml – Long Lasting Luxury Fragrance</t>
  </si>
  <si>
    <t xml:space="preserve">maison de milan bliss rouge</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</si>
  <si>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</si>
  <si>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</si>
  <si>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</si>
  <si>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</si>
  <si>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</si>
  <si>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t>
  </si>
  <si>
    <t xml:space="preserve">Maison De Milan Bliss Rouge | Buy Online UK | Swansura</t>
  </si>
  <si>
    <t xml:space="preserve">Buy Maison De Milan Bliss Rouge online in the UK at Swansura. A woody women's eau de parfum, 100ml. 100% authentic, fast UK delivery, free over £50.</t>
  </si>
  <si>
    <t xml:space="preserve">FR-198</t>
  </si>
  <si>
    <t xml:space="preserve">Maison de Milan Brave Lad - Eau de Parfum for Men and Women 100ml – Long Lasting Luxury Fragrance</t>
  </si>
  <si>
    <t xml:space="preserve">maison de milan brave lad</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</si>
  <si>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</si>
  <si>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</si>
  <si>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</si>
  <si>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</si>
  <si>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t>
  </si>
  <si>
    <t xml:space="preserve">Maison de Milan Brave Lad | Buy Online UK | Swansura</t>
  </si>
  <si>
    <t xml:space="preserve">Buy Maison de Milan Brave Lad online in the UK at Swansura. A woody unisex eau de parfum, 100ml. 100% authentic, fast UK delivery, free over £50.</t>
  </si>
  <si>
    <t xml:space="preserve">FR-199</t>
  </si>
  <si>
    <t xml:space="preserve">Maison de Milan Delight Pour Femme - Eau de Parfum for Women 100ml – Long Lasting Luxury Fragrance</t>
  </si>
  <si>
    <t xml:space="preserve">maison de milan delight pour femme</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</si>
  <si>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</si>
  <si>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</si>
  <si>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</si>
  <si>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</si>
  <si>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t>
  </si>
  <si>
    <t xml:space="preserve">Maison de Milan Delight Pour Femme EDP 100ml | Swansura UK</t>
  </si>
  <si>
    <t xml:space="preserve">Buy Maison de Milan Delight Pour Femme online in the UK at Swansura. A woody women's eau de parfum, 100ml. 100% authentic, fast UK delivery, free over £50.</t>
  </si>
  <si>
    <t xml:space="preserve">FR-200</t>
  </si>
  <si>
    <t xml:space="preserve">Maison de Milan Elegance Pour Femme - Eau de Parfum for Women 100ml – Long Lasting Luxury Fragrance</t>
  </si>
  <si>
    <t xml:space="preserve">maison de milan elegance pour femme</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</si>
  <si>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</si>
  <si>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</si>
  <si>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</si>
  <si>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</si>
  <si>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t>
  </si>
  <si>
    <t xml:space="preserve">Maison de Milan Elegance Pour Femme EDP 100ml | Swansura UK</t>
  </si>
  <si>
    <t xml:space="preserve">Buy Maison de Milan Elegance Pour Femme online in the UK at Swansura. A woody women's eau de parfum, 100ml. 100% authentic, fast UK delivery, free over £50.</t>
  </si>
  <si>
    <t xml:space="preserve">FR-201</t>
  </si>
  <si>
    <t xml:space="preserve">Maison de Milan Gossip Pour Femme - Eau de Parfum for Women 100ml – Long Lasting Luxury Fragrance</t>
  </si>
  <si>
    <t xml:space="preserve">maison de milan gossip pour femme</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</si>
  <si>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</si>
  <si>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</si>
  <si>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</si>
  <si>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</si>
  <si>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Maison de Milan Gossip Pour Femme</t>
  </si>
  <si>
    <t xml:space="preserve">Maison de Milan Gossip Pour Femme | Buy Online UK | Swansura</t>
  </si>
  <si>
    <t xml:space="preserve">Buy Maison de Milan Gossip Pour Femme online in the UK at Swansura. A woody women's eau de parfum, 100ml. 100% authentic, fast UK delivery, free over £50.</t>
  </si>
  <si>
    <t xml:space="preserve">FR-202</t>
  </si>
  <si>
    <t xml:space="preserve">Maison de Milan Invincible - Eau de Parfum for Women 100ml – Long Lasting Luxury Fragrance</t>
  </si>
  <si>
    <t xml:space="preserve">maison de milan invincible</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</si>
  <si>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</si>
  <si>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</si>
  <si>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</si>
  <si>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</si>
  <si>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</si>
  <si>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t>
  </si>
  <si>
    <t xml:space="preserve">Maison de Milan Invincible | Buy Online UK | Swansura</t>
  </si>
  <si>
    <t xml:space="preserve">Buy Maison de Milan Invincible online in the UK at Swansura. A woody women's eau de parfum, 100ml. 100% authentic, fast UK delivery, free over £50.</t>
  </si>
  <si>
    <t xml:space="preserve">FR-203</t>
  </si>
  <si>
    <t xml:space="preserve">Maison de Milan L'Homme Suave - Eau de Parfum for Men 100ml – Long Lasting Luxury Fragrance</t>
  </si>
  <si>
    <t xml:space="preserve">maison de milan l'homme suave</t>
  </si>
  <si>
    <t xml:space="preserve">maison de milan l'homme suave uk</t>
  </si>
  <si>
    <t xml:space="preserve">buy maison de milan l'homme suave online</t>
  </si>
  <si>
    <t xml:space="preserve">maison de milan l'homme suave price</t>
  </si>
  <si>
    <t xml:space="preserve">maison de milan l'homme suave eau de parfum</t>
  </si>
  <si>
    <t xml:space="preserve">Maison de Milan L'Homme Suave</t>
  </si>
  <si>
    <t xml:space="preserve">Maison de Milan L'Homme Suave | Buy Online UK | Swansura</t>
  </si>
  <si>
    <t xml:space="preserve">Buy Maison de Milan L'Homme Suave online in the UK at Swansura. A woody men's eau de parfum, 100ml. 100% authentic, fast UK delivery, free over £50.</t>
  </si>
  <si>
    <t xml:space="preserve">FR-204</t>
  </si>
  <si>
    <t xml:space="preserve">Maison de Milan M - Eau de Parfum Unisex – Long Lasting Fragrance - 100 ml Spray for Men and Women</t>
  </si>
  <si>
    <t xml:space="preserve">maison de milan m</t>
  </si>
  <si>
    <t xml:space="preserve">maison de milan m uk</t>
  </si>
  <si>
    <t xml:space="preserve">buy maison de milan m online</t>
  </si>
  <si>
    <t xml:space="preserve">maison de milan m price</t>
  </si>
  <si>
    <t xml:space="preserve">maison de milan m eau de parfum</t>
  </si>
  <si>
    <t xml:space="preserve">Maison de Milan M</t>
  </si>
  <si>
    <t xml:space="preserve">Maison de Milan M 100ml | Buy Online UK | Swansura</t>
  </si>
  <si>
    <t xml:space="preserve">Buy Maison de Milan M online in the UK at Swansura. A woody unisex eau de parfum, 100ml. 100% authentic, fast UK delivery, free over £50.</t>
  </si>
  <si>
    <t xml:space="preserve">FR-205</t>
  </si>
  <si>
    <t xml:space="preserve">Maison De Milan Milano Girl Black – Eau de Parfum for Women – 100 ml Spray luxury fragrance</t>
  </si>
  <si>
    <t xml:space="preserve">maison de milan milano girl black</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</si>
  <si>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</si>
  <si>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</si>
  <si>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</si>
  <si>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</si>
  <si>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Maison De Milan Milano Girl Black</t>
  </si>
  <si>
    <t xml:space="preserve">Maison De Milan Milano Girl Black | Buy Online UK | Swansura</t>
  </si>
  <si>
    <t xml:space="preserve">Buy Maison De Milan Milano Girl Black online in the UK at Swansura. A woody women's eau de parfum, 100ml. 100% authentic, fast UK delivery, free over £50.</t>
  </si>
  <si>
    <t xml:space="preserve">FR-206</t>
  </si>
  <si>
    <t xml:space="preserve">Maison De Milan Milano Girl Red - Eau de Parfum for Women 100ml – Long Lasting Luxury Fragrance</t>
  </si>
  <si>
    <t xml:space="preserve">maison de milan milano girl red</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</si>
  <si>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</si>
  <si>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</si>
  <si>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</si>
  <si>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</si>
  <si>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Maison De Milan Milano Girl Red</t>
  </si>
  <si>
    <t xml:space="preserve">Maison De Milan Milano Girl Red | Buy Online UK | Swansura</t>
  </si>
  <si>
    <t xml:space="preserve">Buy Maison De Milan Milano Girl Red online in the UK at Swansura. A woody women's eau de parfum, 100ml. 100% authentic, fast UK delivery, free over £50.</t>
  </si>
  <si>
    <t xml:space="preserve">FR-207</t>
  </si>
  <si>
    <t xml:space="preserve">Maison De Milan Milano Girl White – Eau de Parfum for Women 100ml – Long Lasting Luxury Fragrance</t>
  </si>
  <si>
    <t xml:space="preserve">maison de milan milano girl white</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</si>
  <si>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</si>
  <si>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</si>
  <si>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</si>
  <si>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</si>
  <si>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Maison De Milan Milano Girl White</t>
  </si>
  <si>
    <t xml:space="preserve">Maison De Milan Milano Girl White | Buy Online UK | Swansura</t>
  </si>
  <si>
    <t xml:space="preserve">Buy Maison De Milan Milano Girl White online in the UK at Swansura. A woody women's eau de parfum, 100ml. 100% authentic, fast UK delivery, free over £50.</t>
  </si>
  <si>
    <t xml:space="preserve">FR-208</t>
  </si>
  <si>
    <t xml:space="preserve">Maison de Milan Opulent Gold - Eau de Parfum for Men and Women 100ml – Long Lasting Luxury Fragrance</t>
  </si>
  <si>
    <t xml:space="preserve">maison de milan opulent gold</t>
  </si>
  <si>
    <t xml:space="preserve">maison de milan opulent gold uk</t>
  </si>
  <si>
    <t xml:space="preserve">buy maison de milan opulent gold online</t>
  </si>
  <si>
    <t xml:space="preserve">maison de milan opulent gold price</t>
  </si>
  <si>
    <t xml:space="preserve">maison de milan opulent gold eau de parfum</t>
  </si>
  <si>
    <t xml:space="preserve">Maison de Milan Opulent Gold</t>
  </si>
  <si>
    <t xml:space="preserve">Maison de Milan Opulent Gold | Buy Online UK | Swansura</t>
  </si>
  <si>
    <t xml:space="preserve">Buy Maison de Milan Opulent Gold online in the UK at Swansura. A woody unisex eau de parfum, 100ml. 100% authentic, fast UK delivery, free over £50.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</si>
  <si>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</si>
  <si>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</si>
  <si>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</si>
  <si>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</si>
  <si>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</si>
  <si>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</si>
  <si>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</si>
  <si>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t>
  </si>
  <si>
    <t xml:space="preserve">Maison de Milan Valiant Pour Homme EDP 100ml | Swansura UK</t>
  </si>
  <si>
    <t xml:space="preserve">Buy Maison de Milan Valiant Pour Homme online in the UK at Swansura. A woody unisex eau de parfum, 100ml. 100% authentic, fast UK delivery, free over £50.</t>
  </si>
  <si>
    <t xml:space="preserve">FR-210</t>
  </si>
  <si>
    <t xml:space="preserve">Roll It 1 Unisex Eau de Parfum 100ml</t>
  </si>
  <si>
    <t xml:space="preserve">roll it 1</t>
  </si>
  <si>
    <t xml:space="preserve">roll it 1 uk</t>
  </si>
  <si>
    <t xml:space="preserve">buy roll it 1 online</t>
  </si>
  <si>
    <t xml:space="preserve">roll it 1 price</t>
  </si>
  <si>
    <t xml:space="preserve">roll it 1 eau de parfum</t>
  </si>
  <si>
    <t xml:space="preserve">roll it 18 · roll it 18 dupe of · roll it 1 dupe of</t>
  </si>
  <si>
    <t xml:space="preserve">Roll It 1 Unisex Eau de Parfum</t>
  </si>
  <si>
    <t xml:space="preserve">Roll It 1 Unisex Eau de Parfum | Buy Online UK | Swansura</t>
  </si>
  <si>
    <t xml:space="preserve">Buy Roll It 1 Unisex Eau de Parfum online in the UK at Swansura. An amber unisex eau de parfum, 100ml. 100% authentic, fast UK delivery, free over £50.</t>
  </si>
  <si>
    <t xml:space="preserve">FR-211</t>
  </si>
  <si>
    <t xml:space="preserve">Parfum / Extrait de Parfum</t>
  </si>
  <si>
    <t xml:space="preserve">Game Of Spades Rouge Extrait | Perfume for Men and Women | 100ml | Long Lasting Luxury Fragrance</t>
  </si>
  <si>
    <t xml:space="preserve">game of spades rouge extrait</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</si>
  <si>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</si>
  <si>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</si>
  <si>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</si>
  <si>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</si>
  <si>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Game Of Spades Rouge Extrait</t>
  </si>
  <si>
    <t xml:space="preserve">Game Of Spades Rouge Extrait | Buy Online UK | Swansura</t>
  </si>
  <si>
    <t xml:space="preserve">Buy Game Of Spades Rouge Extrait online in the UK at Swansura. A woody unisex fragrance, 100ml. 100% authentic, fast UK delivery, free over £50.</t>
  </si>
  <si>
    <t xml:space="preserve">FR-212</t>
  </si>
  <si>
    <t xml:space="preserve">Giorgia Armani</t>
  </si>
  <si>
    <t xml:space="preserve">Giorgio Armani Code EDT 125ml Refillable for Men</t>
  </si>
  <si>
    <t xml:space="preserve">giorgia armani giorgio armani code refillable</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</si>
  <si>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</si>
  <si>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</si>
  <si>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</si>
  <si>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</si>
  <si>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</si>
  <si>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</si>
  <si>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</si>
  <si>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£50.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</si>
  <si>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</si>
  <si>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</si>
  <si>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</si>
  <si>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</si>
  <si>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</si>
  <si>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</si>
  <si>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</si>
  <si>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</si>
  <si>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</si>
  <si>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</si>
  <si>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t>
  </si>
  <si>
    <t xml:space="preserve">Giorgio Armani Code Eau de Toilette Refillable | Swansura UK</t>
  </si>
  <si>
    <t xml:space="preserve">Buy Giorgio Armani Code Eau de Toilette Refillable online in the UK at Swansura. A woody men's eau de toilette. 100% authentic, fast UK delivery, free over £50.</t>
  </si>
  <si>
    <t xml:space="preserve">Givenchy</t>
  </si>
  <si>
    <t xml:space="preserve">givenchy amarige</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</si>
  <si>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</si>
  <si>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</si>
  <si>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</si>
  <si>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</si>
  <si>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</si>
  <si>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</si>
  <si>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Givenchy Amarige Eau de Toilette</t>
  </si>
  <si>
    <t xml:space="preserve">Givenchy Amarige Eau de Toilette | Buy Online UK | Swansura</t>
  </si>
  <si>
    <t xml:space="preserve">Buy Givenchy Amarige Eau de Toilette online in the UK at Swansura. A floral women's eau de toilette, 100ml. 100% authentic, fast UK delivery, free over £50.</t>
  </si>
  <si>
    <t xml:space="preserve">FR-215</t>
  </si>
  <si>
    <t xml:space="preserve">Givenchy Gentleman Originale Eau de Toilette 100ml – Men's Woody Aromatic Fragrance</t>
  </si>
  <si>
    <t xml:space="preserve">givenchy gentleman originale</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</si>
  <si>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</si>
  <si>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</si>
  <si>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</si>
  <si>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</si>
  <si>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</si>
  <si>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</si>
  <si>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t>
  </si>
  <si>
    <t xml:space="preserve">Givenchy Gentleman Originale Eau de Toilette | Swansura UK</t>
  </si>
  <si>
    <t xml:space="preserve">Buy Givenchy Gentleman Originale Eau de Toilette online in the UK at Swansura. A woody men's eau de toilette, 100ml. 100% authentic, free UK delivery over £50.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</si>
  <si>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</si>
  <si>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</si>
  <si>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</si>
  <si>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</si>
  <si>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</si>
  <si>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</si>
  <si>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</si>
  <si>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</si>
  <si>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</si>
  <si>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Eau de Parfum Pen Spray</t>
  </si>
  <si>
    <t xml:space="preserve">Gucci Bloom Profumo di Fiori Pen Spray 10ml | Swansura UK</t>
  </si>
  <si>
    <t xml:space="preserve">Buy Gucci Bloom Profumo di Fiori Eau de Parfum Pen Spray at Swansura UK. A floral women's eau de parfum, 10ml. 100% authentic, fast UK delivery, free over £50.</t>
  </si>
  <si>
    <t xml:space="preserve">gucci flora gorgeous gardenia</t>
  </si>
  <si>
    <t xml:space="preserve">gucci flora gorgeous gardenia uk</t>
  </si>
  <si>
    <t xml:space="preserve">buy gucci flora gorgeous gardenia online</t>
  </si>
  <si>
    <t xml:space="preserve">gucci flora gorgeous gardenia price</t>
  </si>
  <si>
    <t xml:space="preserve">gucci flora gorgeous gardenia eau de parfum</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</si>
  <si>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</si>
  <si>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t>
  </si>
  <si>
    <t xml:space="preserve">Gucci Flora Gorgeous Gardenia Eau de Parfum | Swansura UK</t>
  </si>
  <si>
    <t xml:space="preserve">Buy Gucci Flora Gorgeous Gardenia Eau de Parfum online in the UK at Swansura. A floral women's eau de parfum, 50ml. 100% authentic, free UK delivery over £50.</t>
  </si>
  <si>
    <t xml:space="preserve">FR-218</t>
  </si>
  <si>
    <t xml:space="preserve">Gucci Flora Gorgeous Orchid Eau de Parfum 10ml Miniature – Women's Floral Gourmand Fragrance</t>
  </si>
  <si>
    <t xml:space="preserve">gucci flora gorgeous orchid miniature</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</si>
  <si>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</si>
  <si>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</si>
  <si>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</si>
  <si>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</si>
  <si>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Gucci Flora Gorgeous Orchid Eau de Parfum Miniature</t>
  </si>
  <si>
    <t xml:space="preserve">Gucci Flora Gorgeous Orchid Miniature EDP 10ml | Swansura UK</t>
  </si>
  <si>
    <t xml:space="preserve">Buy Gucci Flora Gorgeous Orchid Eau de Parfum Miniature online in the UK at Swansura. A floral women's eau de parfum. 100% authentic, free UK delivery over £50.</t>
  </si>
  <si>
    <t xml:space="preserve">FR-219</t>
  </si>
  <si>
    <t xml:space="preserve">Gucci Guilty Pour Femme Eau de Parfum 10ml Miniature Perfume Spray – Women's Fragrance</t>
  </si>
  <si>
    <t xml:space="preserve">gucci guilty pour femme miniature</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</si>
  <si>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</si>
  <si>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</si>
  <si>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</si>
  <si>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</si>
  <si>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</si>
  <si>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</si>
  <si>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Eau de Parfum Miniature Perfume Spray</t>
  </si>
  <si>
    <t xml:space="preserve">Gucci Guilty Pour Femme Miniature Perfume | Swansura UK</t>
  </si>
  <si>
    <t xml:space="preserve">Buy Gucci Guilty Pour Femme Eau de Parfum Miniature Perfume Spray online in the UK at Swansura. A woody women's eau de parfum, 10ml. Free UK delivery over £50.</t>
  </si>
  <si>
    <t xml:space="preserve">gucci intense oud</t>
  </si>
  <si>
    <t xml:space="preserve">gucci intense oud uk</t>
  </si>
  <si>
    <t xml:space="preserve">buy gucci intense oud online</t>
  </si>
  <si>
    <t xml:space="preserve">gucci intense oud price</t>
  </si>
  <si>
    <t xml:space="preserve">gucci intense oud eau de parfum</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</si>
  <si>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</si>
  <si>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</si>
  <si>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Eau de Parfum Spray</t>
  </si>
  <si>
    <t xml:space="preserve">Gucci Intense Oud Spray EDP 90ml | Buy Online UK | Swansura</t>
  </si>
  <si>
    <t xml:space="preserve">Buy Gucci Intense Oud Eau de Parfum Spray online in the UK at Swansura. An oud unisex eau de parfum, 90ml. 100% authentic, fast UK delivery, free over £50.</t>
  </si>
  <si>
    <t xml:space="preserve">FR-221</t>
  </si>
  <si>
    <t xml:space="preserve">Gucci Bloom Eau de Toilette 10ml Miniature – Women's Floral Perfume Spray</t>
  </si>
  <si>
    <t xml:space="preserve">gucci bloom miniature</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</si>
  <si>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</si>
  <si>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</si>
  <si>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</si>
  <si>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</si>
  <si>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</si>
  <si>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Eau de Toilette Miniature</t>
  </si>
  <si>
    <t xml:space="preserve">Gucci Bloom Miniature EDT 10ml | Buy Online UK | Swansura</t>
  </si>
  <si>
    <t xml:space="preserve">Buy Gucci Bloom Eau de Toilette Miniature online in the UK at Swansura. A floral women's eau de toilette, 10ml. 100% authentic, fast UK delivery, free over £50.</t>
  </si>
  <si>
    <t xml:space="preserve">gucci guilty pour homme</t>
  </si>
  <si>
    <t xml:space="preserve">gucci guilty pour homme uk</t>
  </si>
  <si>
    <t xml:space="preserve">buy gucci guilty pour homme online</t>
  </si>
  <si>
    <t xml:space="preserve">gucci guilty pour homme price</t>
  </si>
  <si>
    <t xml:space="preserve">gucci guilty pour homme eau de toilette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</si>
  <si>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</si>
  <si>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</si>
  <si>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Eau de Toilette</t>
  </si>
  <si>
    <t xml:space="preserve">Gucci Guilty Pour Homme EDT 90ml | Buy Online UK | Swansura</t>
  </si>
  <si>
    <t xml:space="preserve">Buy Gucci Guilty Pour Homme Eau de Toilette online in the UK at Swansura. A woody men's eau de toilette, 90ml. 100% authentic, fast UK delivery, free over £50.</t>
  </si>
  <si>
    <t xml:space="preserve">FR-223</t>
  </si>
  <si>
    <t xml:space="preserve">Gucci Bloom Eau de Parfum Gift Set 100ml + 10ml + Body Lotion 100ml – Women's Fragrance Set</t>
  </si>
  <si>
    <t xml:space="preserve">gucci bloom gift set</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</si>
  <si>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</si>
  <si>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</si>
  <si>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</si>
  <si>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</si>
  <si>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Eau de Parfum Gift Set</t>
  </si>
  <si>
    <t xml:space="preserve">Gucci Bloom Gift Set EDP 100ml | Buy Online UK | Swansura</t>
  </si>
  <si>
    <t xml:space="preserve">Buy Gucci Bloom Eau de Parfum Gift Set online in the UK at Swansura. A woody women's eau de parfum, 100ml. 100% authentic, fast UK delivery, free over £50.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</si>
  <si>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</si>
  <si>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</si>
  <si>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</si>
  <si>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</si>
  <si>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</si>
  <si>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</si>
  <si>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</si>
  <si>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</si>
  <si>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</si>
  <si>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3x5ml</t>
  </si>
  <si>
    <t xml:space="preserve">Gucci Flora Gorgeous Miniature Perfume Set | Swansura UK</t>
  </si>
  <si>
    <t xml:space="preserve">Buy Gucci Flora Gorgeous Miniature Perfume Set 3x5ml online in the UK at Swansura. An amber unisex fragrance, 3x5ml. 100% authentic, free UK delivery over £50.</t>
  </si>
  <si>
    <t xml:space="preserve">FR-225</t>
  </si>
  <si>
    <t xml:space="preserve">Gucci Guilty Pour Femme Eau de Parfum Gift Set 50ml + Body Lotion 50ml – Women's Fragrance Set</t>
  </si>
  <si>
    <t xml:space="preserve">gucci guilty pour femme gift set</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</si>
  <si>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</si>
  <si>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</si>
  <si>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</si>
  <si>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</si>
  <si>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</si>
  <si>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</si>
  <si>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£50.</t>
  </si>
  <si>
    <t xml:space="preserve">FR-226</t>
  </si>
  <si>
    <t xml:space="preserve">Gucci Women's Miniature Perfume Set 4x5ml – Bloom EDP &amp; Flora Gorgeous Gardenia EDP</t>
  </si>
  <si>
    <t xml:space="preserve">gucci miniature set</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</si>
  <si>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</si>
  <si>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</si>
  <si>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</si>
  <si>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</si>
  <si>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t>
  </si>
  <si>
    <t xml:space="preserve">Gucci Women's Miniature Perfume Set 4x5ml | Swansura UK</t>
  </si>
  <si>
    <t xml:space="preserve">Buy Gucci Women's Miniature Perfume Set 4x5ml online in the UK at Swansura. A woody women's eau de parfum. 100% authentic, fast UK delivery, free over £50.</t>
  </si>
  <si>
    <t xml:space="preserve">FR-227</t>
  </si>
  <si>
    <t xml:space="preserve">Gucci Women's Perfume Set 4x5ml – Guilty EDT, Flora Gorgeous Orchid, Flora Gorgeous Gardenia &amp; Bloom</t>
  </si>
  <si>
    <t xml:space="preserve">gucci set</t>
  </si>
  <si>
    <t xml:space="preserve">gucci set uk</t>
  </si>
  <si>
    <t xml:space="preserve">buy gucci set online</t>
  </si>
  <si>
    <t xml:space="preserve">gucci set price</t>
  </si>
  <si>
    <t xml:space="preserve">gucci set women · gucci set perfume · gucci set perfume for women</t>
  </si>
  <si>
    <t xml:space="preserve">Gucci Women's Perfume Set 4x5ml</t>
  </si>
  <si>
    <t xml:space="preserve">Gucci Women's Perfume Set 4x5ml | Buy Online UK | Swansura</t>
  </si>
  <si>
    <t xml:space="preserve">Buy Gucci Women's Perfume Set 4x5ml online in the UK at Swansura. A woody women's eau de toilette, 4x5ml. 100% authentic, fast UK delivery, free over £50.</t>
  </si>
  <si>
    <t xml:space="preserve">FR-228</t>
  </si>
  <si>
    <t xml:space="preserve">Gucci Bloom Parfum 10ml Miniature Spray – Luxury Women's Floral Fragrance</t>
  </si>
  <si>
    <t xml:space="preserve">gucci bloom parfum miniature</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</si>
  <si>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</si>
  <si>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</si>
  <si>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</si>
  <si>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</si>
  <si>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</si>
  <si>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Parfum Miniature Spray</t>
  </si>
  <si>
    <t xml:space="preserve">Gucci Bloom Miniature Spray Parfum 10ml | Swansura UK</t>
  </si>
  <si>
    <t xml:space="preserve">Buy Gucci Bloom Parfum Miniature Spray online in the UK at Swansura. A floral women's parfum, 10ml. 100% authentic, fast UK delivery, free over £50.</t>
  </si>
  <si>
    <t xml:space="preserve">Guerlain</t>
  </si>
  <si>
    <t xml:space="preserve">guerlain habit rouge</t>
  </si>
  <si>
    <t xml:space="preserve">guerlain habit rouge uk</t>
  </si>
  <si>
    <t xml:space="preserve">buy guerlain habit rouge online</t>
  </si>
  <si>
    <t xml:space="preserve">guerlain habit rouge price</t>
  </si>
  <si>
    <t xml:space="preserve">guerlain habit rouge eau de parfum</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</si>
  <si>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</si>
  <si>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</si>
  <si>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Eau de Parfum</t>
  </si>
  <si>
    <t xml:space="preserve">Guerlain Habit Rouge EDP 100ml | Buy Online UK | Swansura</t>
  </si>
  <si>
    <t xml:space="preserve">Buy Guerlain Habit Rouge Eau de Parfum online in the UK at Swansura. A woody men's eau de parfum, 100ml. 100% authentic, fast UK delivery, free over £50.</t>
  </si>
  <si>
    <t xml:space="preserve">FR-230</t>
  </si>
  <si>
    <t xml:space="preserve">Guerlain L'Instant de Guerlain Eau de Parfum 75ml – Luxury Women's Floral Amber Fragrance</t>
  </si>
  <si>
    <t xml:space="preserve">guerlain l'instant de guerlain</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</si>
  <si>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</si>
  <si>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</si>
  <si>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</si>
  <si>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</si>
  <si>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</si>
  <si>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</si>
  <si>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t>
  </si>
  <si>
    <t xml:space="preserve">Guerlain L'Instant de Guerlain Eau de Parfum | Swansura UK</t>
  </si>
  <si>
    <t xml:space="preserve">Buy Guerlain L'Instant de Guerlain Eau de Parfum online in the UK at Swansura. A floral women's eau de parfum, 75ml. 100% authentic, free UK delivery over £50.</t>
  </si>
  <si>
    <t xml:space="preserve">FR-231</t>
  </si>
  <si>
    <t xml:space="preserve">Guerlain Musc Noble Eau de Parfum 125ml – Luxury Unisex Musky Woody Fragrance</t>
  </si>
  <si>
    <t xml:space="preserve">guerlain musc noble</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</si>
  <si>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</si>
  <si>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</si>
  <si>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</si>
  <si>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</si>
  <si>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</si>
  <si>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</si>
  <si>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Guerlain Musc Noble Eau de Parfum</t>
  </si>
  <si>
    <t xml:space="preserve">Guerlain Musc Noble Eau de Parfum | Buy Online UK | Swansura</t>
  </si>
  <si>
    <t xml:space="preserve">Buy Guerlain Musc Noble Eau de Parfum online in the UK at Swansura. A woody unisex eau de parfum, 125ml. 100% authentic, fast UK delivery, free over £50.</t>
  </si>
  <si>
    <t xml:space="preserve">guerlain oud essentiel</t>
  </si>
  <si>
    <t xml:space="preserve">guerlain oud essentiel uk</t>
  </si>
  <si>
    <t xml:space="preserve">buy guerlain oud essentiel online</t>
  </si>
  <si>
    <t xml:space="preserve">guerlain oud essentiel price</t>
  </si>
  <si>
    <t xml:space="preserve">guerlain oud essentiel eau de parfum</t>
  </si>
  <si>
    <t xml:space="preserve">guerlain oud essentiel eau de parfum · guerlain oud essentiel review · guerlain oud essentiel perfume · guerlain oud essentiel notes · guerlain oud essentiel price · guerlain oud essentiel edp</t>
  </si>
  <si>
    <t xml:space="preserve">Guerlain Oud Essentiel Eau de Parfum</t>
  </si>
  <si>
    <t xml:space="preserve">Guerlain Oud Essentiel EDP 125ml | Buy Online UK | Swansura</t>
  </si>
  <si>
    <t xml:space="preserve">Buy Guerlain Oud Essentiel Eau de Parfum online in the UK at Swansura. A woody unisex eau de parfum, 125ml. 100% authentic, fast UK delivery, free over £50.</t>
  </si>
  <si>
    <t xml:space="preserve">guerlain samsara</t>
  </si>
  <si>
    <t xml:space="preserve">guerlain samsara uk</t>
  </si>
  <si>
    <t xml:space="preserve">buy guerlain samsara online</t>
  </si>
  <si>
    <t xml:space="preserve">guerlain samsara price</t>
  </si>
  <si>
    <t xml:space="preserve">guerlain samsara eau de parfum</t>
  </si>
  <si>
    <t xml:space="preserve">guerlain samsara perfume · guerlain samsara eau de parfum · guerlain samsara edp · guerlain samsara edt · guerlain samsara original · guerlain samsara notes</t>
  </si>
  <si>
    <t xml:space="preserve">Guerlain Samsara Eau de Parfum</t>
  </si>
  <si>
    <t xml:space="preserve">Guerlain Samsara Eau de Parfum | Buy Online UK | Swansura</t>
  </si>
  <si>
    <t xml:space="preserve">Buy Guerlain Samsara Eau de Parfum online in the UK at Swansura. A floral women's eau de parfum, 75ml. 100% authentic, fast UK delivery, free over £50.</t>
  </si>
  <si>
    <t xml:space="preserve">FR-234</t>
  </si>
  <si>
    <t xml:space="preserve">Guerlain Épices Exquises Eau de Parfum 125ml – Luxury Unisex Spicy Woody Fragrance</t>
  </si>
  <si>
    <t xml:space="preserve">guerlain epices exquises</t>
  </si>
  <si>
    <t xml:space="preserve">guerlain epices exquises uk</t>
  </si>
  <si>
    <t xml:space="preserve">buy guerlain epices exquises online</t>
  </si>
  <si>
    <t xml:space="preserve">guerlain epices exquises price</t>
  </si>
  <si>
    <t xml:space="preserve">guerlain epices exquises eau de parfum</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</si>
  <si>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</si>
  <si>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t>
  </si>
  <si>
    <t xml:space="preserve">Guerlain Épices Exquises Eau de Parfum | Swansura UK</t>
  </si>
  <si>
    <t xml:space="preserve">Buy Guerlain Épices Exquises Eau de Parfum online in the UK at Swansura. A woody unisex eau de parfum, 125ml. 100% authentic, fast UK delivery, free over £50.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</si>
  <si>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</si>
  <si>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</si>
  <si>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</si>
  <si>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</si>
  <si>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</si>
  <si>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</si>
  <si>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</si>
  <si>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</si>
  <si>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Guerlain La Petite Robe Noire Ma Robe Cocktail Eau de Toilette</t>
  </si>
  <si>
    <t xml:space="preserve">Guerlain La Petite Robe Noire Ma Robe Cocktail | Swansura UK</t>
  </si>
  <si>
    <t xml:space="preserve">Buy Guerlain La Petite Robe Noire Ma Robe Cocktail Eau de Toilette at Swansura UK. A floral women's eau de toilette. 100% authentic, free UK delivery over £50.</t>
  </si>
  <si>
    <t xml:space="preserve">FR-236</t>
  </si>
  <si>
    <t xml:space="preserve">Guerlain Mon Guerlain Miniature Perfume Gift Set 4x5ml – Women's Fragrance Collection</t>
  </si>
  <si>
    <t xml:space="preserve">guerlain mon guerlain miniature gift set</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</si>
  <si>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</si>
  <si>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</si>
  <si>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</si>
  <si>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</si>
  <si>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Set 4x5ml</t>
  </si>
  <si>
    <t xml:space="preserve">Guerlain Mon Guerlain Miniature Perfume Gift | Swansura UK</t>
  </si>
  <si>
    <t xml:space="preserve">Buy Guerlain Mon Guerlain Miniature Perfume Gift Set 4x5ml online in the UK at Swansura. A woody women's fragrance. 100% authentic, free UK delivery over £50.</t>
  </si>
  <si>
    <t xml:space="preserve">FR-237</t>
  </si>
  <si>
    <t xml:space="preserve">Hemel</t>
  </si>
  <si>
    <t xml:space="preserve">Hemel Amethyst Dream Eau de Parfum 100ml – Luxury Unisex Floral Fruity Fragrance</t>
  </si>
  <si>
    <t xml:space="preserve">hemel amethyst dream</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</si>
  <si>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</si>
  <si>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</si>
  <si>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</si>
  <si>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</si>
  <si>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</si>
  <si>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</si>
  <si>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</si>
  <si>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£50.</t>
  </si>
  <si>
    <t xml:space="preserve">FR-238</t>
  </si>
  <si>
    <t xml:space="preserve">Hemel Amethyst Dream Unisex EDP 100ML</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</si>
  <si>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</si>
  <si>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</si>
  <si>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</si>
  <si>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</si>
  <si>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£50.</t>
  </si>
  <si>
    <t xml:space="preserve">FR-239</t>
  </si>
  <si>
    <t xml:space="preserve">Hemel Dorado Eau de Parfum 100ml – Luxury Unisex Leather Amber Fragrance</t>
  </si>
  <si>
    <t xml:space="preserve">hemel dorado</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</si>
  <si>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</si>
  <si>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</si>
  <si>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</si>
  <si>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</si>
  <si>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</si>
  <si>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t>
  </si>
  <si>
    <t xml:space="preserve">Hemel Dorado Eau de Parfum | Buy Online UK | Swansura</t>
  </si>
  <si>
    <t xml:space="preserve">Buy Hemel Dorado Eau de Parfum online in the UK at Swansura. An amber unisex eau de parfum, 100ml. 100% authentic, fast UK delivery, free over £50.</t>
  </si>
  <si>
    <t xml:space="preserve">FR-240</t>
  </si>
  <si>
    <t xml:space="preserve">Hemel Favourite Black Eau de Parfum 100ml – Luxury Unisex Leather Amber Fragrance</t>
  </si>
  <si>
    <t xml:space="preserve">hemel favourite black</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</si>
  <si>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</si>
  <si>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</si>
  <si>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</si>
  <si>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</si>
  <si>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</si>
  <si>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</si>
  <si>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£50.</t>
  </si>
  <si>
    <t xml:space="preserve">FR-241</t>
  </si>
  <si>
    <t xml:space="preserve">Hemel Favourite Black Unisex Eau De Parfum 100ML</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</si>
  <si>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</si>
  <si>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</si>
  <si>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£50.</t>
  </si>
  <si>
    <t xml:space="preserve">FR-242</t>
  </si>
  <si>
    <t xml:space="preserve">Hemel Fragrance Affair Eau de Parfum 100ml – Luxury Unisex Floral Spicy Fragrance</t>
  </si>
  <si>
    <t xml:space="preserve">hemel affair</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</si>
  <si>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</si>
  <si>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</si>
  <si>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</si>
  <si>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</si>
  <si>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</si>
  <si>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</si>
  <si>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£50.</t>
  </si>
  <si>
    <t xml:space="preserve">FR-243</t>
  </si>
  <si>
    <t xml:space="preserve">Hemel Fragrance Affair Unisex Eau De Parfum 100ML</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</si>
  <si>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</si>
  <si>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</si>
  <si>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£50.</t>
  </si>
  <si>
    <t xml:space="preserve">FR-244</t>
  </si>
  <si>
    <t xml:space="preserve">Hemel Gris Eau de Parfum 100ml – Luxury Unisex Citrus Woody Fragrance</t>
  </si>
  <si>
    <t xml:space="preserve">hemel gris</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</si>
  <si>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</si>
  <si>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</si>
  <si>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</si>
  <si>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</si>
  <si>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</si>
  <si>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</si>
  <si>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t>
  </si>
  <si>
    <t xml:space="preserve">Hemel Gris Eau de Parfum | Buy Online UK | Swansura</t>
  </si>
  <si>
    <t xml:space="preserve">Buy Hemel Gris Eau de Parfum online in the UK at Swansura. A woody unisex eau de parfum, 100ml. 100% authentic, fast UK delivery, free over £50.</t>
  </si>
  <si>
    <t xml:space="preserve">FR-245</t>
  </si>
  <si>
    <t xml:space="preserve">Hemel Paris Dorado EDP Unisex 100ML</t>
  </si>
  <si>
    <t xml:space="preserve">hemel paris dorado</t>
  </si>
  <si>
    <t xml:space="preserve">hemel paris dorado uk</t>
  </si>
  <si>
    <t xml:space="preserve">buy hemel paris dorado online</t>
  </si>
  <si>
    <t xml:space="preserve">hemel paris dorado price</t>
  </si>
  <si>
    <t xml:space="preserve">hemel paris dorado edp</t>
  </si>
  <si>
    <t xml:space="preserve">Hemel Paris Dorado EDP Unisex</t>
  </si>
  <si>
    <t xml:space="preserve">Hemel Paris Dorado EDP Unisex | Buy Online UK | Swansura</t>
  </si>
  <si>
    <t xml:space="preserve">Buy Hemel Paris Dorado EDP Unisex online in the UK at Swansura. An amber unisex eau de parfum, 100ml. 100% authentic, fast UK delivery, free over £50.</t>
  </si>
  <si>
    <t xml:space="preserve">FR-246</t>
  </si>
  <si>
    <t xml:space="preserve">Hemel Paris Gris Eau De Parfum for all 100ML</t>
  </si>
  <si>
    <t xml:space="preserve">hemel paris gris for all</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</si>
  <si>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</si>
  <si>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</si>
  <si>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</si>
  <si>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</si>
  <si>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t>
  </si>
  <si>
    <t xml:space="preserve">Hemel Paris Gris Eau De Parfum for All | Swansura UK</t>
  </si>
  <si>
    <t xml:space="preserve">Buy Hemel Paris Gris Eau De Parfum for All online in the UK at Swansura. An amber unisex eau de parfum, 100ml. 100% authentic, fast UK delivery, free over £50.</t>
  </si>
  <si>
    <t xml:space="preserve">FR-247</t>
  </si>
  <si>
    <t xml:space="preserve">Hemel Patchouli For All Eau De Parfum 100ML</t>
  </si>
  <si>
    <t xml:space="preserve">hemel patchouli for all</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</si>
  <si>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</si>
  <si>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</si>
  <si>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</si>
  <si>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</si>
  <si>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</si>
  <si>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</si>
  <si>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</si>
  <si>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£50.</t>
  </si>
  <si>
    <t xml:space="preserve">FR-248</t>
  </si>
  <si>
    <t xml:space="preserve">Hemel Patchouli For All Eau de Parfum 100ml – Luxury Unisex Woody Patchouli Fragrance</t>
  </si>
  <si>
    <t xml:space="preserve">Hemel Patchouli For All Eau de Parfum</t>
  </si>
  <si>
    <t xml:space="preserve">Buy Hemel Patchouli For All Eau de Parfum online in the UK at Swansura. A woody unisex eau de parfum, 100ml. 100% authentic, fast UK delivery, free over £50.</t>
  </si>
  <si>
    <t xml:space="preserve">FR-249</t>
  </si>
  <si>
    <t xml:space="preserve">Hemel Plateado Eau de Parfum 100ml – Luxury Unisex Spicy Woody Fragrance</t>
  </si>
  <si>
    <t xml:space="preserve">hemel plateado</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</si>
  <si>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</si>
  <si>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</si>
  <si>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</si>
  <si>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</si>
  <si>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</si>
  <si>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</si>
  <si>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£50.</t>
  </si>
  <si>
    <t xml:space="preserve">FR-250</t>
  </si>
  <si>
    <t xml:space="preserve">Hemel Plateado Eau De Parfum Unisex 100ML</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</si>
  <si>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</si>
  <si>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</si>
  <si>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£50.</t>
  </si>
  <si>
    <t xml:space="preserve">FR-251</t>
  </si>
  <si>
    <t xml:space="preserve">Hemel Rosado Eau de Parfum 100ml – Luxury Unisex Floral Amber Long lasting Fragrance</t>
  </si>
  <si>
    <t xml:space="preserve">hemel rosado</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</si>
  <si>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</si>
  <si>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</si>
  <si>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</si>
  <si>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</si>
  <si>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</si>
  <si>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</si>
  <si>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</si>
  <si>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£50.</t>
  </si>
  <si>
    <t xml:space="preserve">FR-252</t>
  </si>
  <si>
    <t xml:space="preserve">Hemel Rosado Eau De Parfum Unisex 100ML</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</si>
  <si>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</si>
  <si>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</si>
  <si>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£50.</t>
  </si>
  <si>
    <t xml:space="preserve">FR-253</t>
  </si>
  <si>
    <t xml:space="preserve">Hemel Valley of Diamond Eau de Parfum 100ml – Luxury Unisex Floral Woody Fragrance</t>
  </si>
  <si>
    <t xml:space="preserve">hemel valley of diamond</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</si>
  <si>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</si>
  <si>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</si>
  <si>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</si>
  <si>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</si>
  <si>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</si>
  <si>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</si>
  <si>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</si>
  <si>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£50.</t>
  </si>
  <si>
    <t xml:space="preserve">FR-254</t>
  </si>
  <si>
    <t xml:space="preserve">Hemel Valley Of Diamond Unisex Eau De Parfum 100ML</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</si>
  <si>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</si>
  <si>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</si>
  <si>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£50.</t>
  </si>
  <si>
    <t xml:space="preserve">FR-255</t>
  </si>
  <si>
    <t xml:space="preserve">Hermes</t>
  </si>
  <si>
    <t xml:space="preserve">Hermès Un Jardin à Cythère Unisex EDT 15ml Miniature</t>
  </si>
  <si>
    <t xml:space="preserve">15ml</t>
  </si>
  <si>
    <t xml:space="preserve">hermes hermes un jardin a cythere miniature</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</si>
  <si>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</si>
  <si>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</si>
  <si>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</si>
  <si>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</si>
  <si>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</si>
  <si>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Hermès Un Jardin À Cythère Unisex EDT Miniature</t>
  </si>
  <si>
    <t xml:space="preserve">Hermès Un Jardin À Cythère Unisex Miniature | Swansura UK</t>
  </si>
  <si>
    <t xml:space="preserve">Buy Hermès Un Jardin À Cythère Unisex EDT Miniature online in the UK at Swansura. An amber unisex eau de toilette. 100% authentic, free UK delivery over £50.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</si>
  <si>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</si>
  <si>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</si>
  <si>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</si>
  <si>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</si>
  <si>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</si>
  <si>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</si>
  <si>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</si>
  <si>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</si>
  <si>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</si>
  <si>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</si>
  <si>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Hollister Festival Vibes for Him Eau de Toilette</t>
  </si>
  <si>
    <t xml:space="preserve">Hollister Festival Vibes for Him EDT 100ml | Swansura UK</t>
  </si>
  <si>
    <t xml:space="preserve">Buy Hollister Festival Vibes for Him Eau de Toilette online in the UK at Swansura. An aromatic men's eau de toilette. 100% authentic, free UK delivery over £50.</t>
  </si>
  <si>
    <t xml:space="preserve">HugoBoss</t>
  </si>
  <si>
    <t xml:space="preserve">Spelling: Hugo Boss</t>
  </si>
  <si>
    <t xml:space="preserve">hugo boss bottled</t>
  </si>
  <si>
    <t xml:space="preserve">hugo boss bottled uk</t>
  </si>
  <si>
    <t xml:space="preserve">buy hugo boss bottled online</t>
  </si>
  <si>
    <t xml:space="preserve">hugo boss bottled price</t>
  </si>
  <si>
    <t xml:space="preserve">hugo boss bottled eau de parfum</t>
  </si>
  <si>
    <t xml:space="preserve">hugo boss perfume · hugo boss perfume for men · woody perfume for men uk</t>
  </si>
  <si>
    <t xml:space="preserve">Hugo Boss Bottled Eau de Parfum for Men</t>
  </si>
  <si>
    <t xml:space="preserve">Hugo Boss Bottled Eau de Parfum for Men | Swansura UK</t>
  </si>
  <si>
    <t xml:space="preserve">Buy Hugo Boss Bottled Eau de Parfum for Men online in the UK at Swansura. A woody men's eau de parfum, 200ml. 100% authentic, fast UK delivery, free over £50.</t>
  </si>
  <si>
    <t xml:space="preserve">FR-258</t>
  </si>
  <si>
    <t xml:space="preserve">Hugo Boss The Collection Confident Oud Eau de Parfum Intense 100ml for Men</t>
  </si>
  <si>
    <t xml:space="preserve">hugo boss the collection confident oud intense</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</si>
  <si>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</si>
  <si>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</si>
  <si>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</si>
  <si>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</si>
  <si>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</si>
  <si>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Eau de Parfum Intense for Men</t>
  </si>
  <si>
    <t xml:space="preserve">Hugo Boss The Collection Confident Oud | Swansura UK</t>
  </si>
  <si>
    <t xml:space="preserve">Buy Hugo Boss The Collection Confident Oud Eau de Parfum Intense for Men at Swansura UK. An oud men's eau de parfum. 100% authentic, free UK delivery over £50.</t>
  </si>
  <si>
    <t xml:space="preserve">FR-259</t>
  </si>
  <si>
    <t xml:space="preserve">Hugo Boss BOSS The Scent Eau de Toilette 100ml Tester – Men's Warm Spicy Fragrance</t>
  </si>
  <si>
    <t xml:space="preserve">hugo boss boss the scent tester</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</si>
  <si>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</si>
  <si>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</si>
  <si>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</si>
  <si>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</si>
  <si>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</si>
  <si>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Hugo Boss BOSS The Scent Eau de Toilette Tester</t>
  </si>
  <si>
    <t xml:space="preserve">Hugo Boss BOSS The Scent Tester EDT 100ml | Swansura UK</t>
  </si>
  <si>
    <t xml:space="preserve">Buy Hugo Boss BOSS The Scent Eau de Toilette Tester online in the UK at Swansura. A spicy men's eau de toilette. 100% authentic, free UK delivery over £50.</t>
  </si>
  <si>
    <t xml:space="preserve">hugo boss hugo man</t>
  </si>
  <si>
    <t xml:space="preserve">hugo boss hugo man uk</t>
  </si>
  <si>
    <t xml:space="preserve">buy hugo boss hugo man online</t>
  </si>
  <si>
    <t xml:space="preserve">hugo boss hugo man price</t>
  </si>
  <si>
    <t xml:space="preserve">hugo boss hugo man eau de toilette</t>
  </si>
  <si>
    <t xml:space="preserve">Hugo Boss HUGO Man Eau de Toilette for Men</t>
  </si>
  <si>
    <t xml:space="preserve">Hugo Boss HUGO Man Eau de Toilette for Men | Swansura UK</t>
  </si>
  <si>
    <t xml:space="preserve">Buy Hugo Boss HUGO Man Eau de Toilette for Men online in the UK at Swansura. A woody men's eau de toilette, 125ml. 100% authentic, free UK delivery over £50.</t>
  </si>
  <si>
    <t xml:space="preserve">80ml + 75ml</t>
  </si>
  <si>
    <t xml:space="preserve">hugo boss alive</t>
  </si>
  <si>
    <t xml:space="preserve">hugo boss alive uk</t>
  </si>
  <si>
    <t xml:space="preserve">buy hugo boss alive online</t>
  </si>
  <si>
    <t xml:space="preserve">hugo boss alive price</t>
  </si>
  <si>
    <t xml:space="preserve">hugo boss alive eau de parfum</t>
  </si>
  <si>
    <t xml:space="preserve">hugo boss perfume · hugo boss perfume for women · woody perfume for women uk</t>
  </si>
  <si>
    <t xml:space="preserve">Hugo Boss Alive Eau de Parfum</t>
  </si>
  <si>
    <t xml:space="preserve">Hugo Boss Alive Eau de Parfum | Buy Online UK | Swansura</t>
  </si>
  <si>
    <t xml:space="preserve">Buy Hugo Boss Alive Eau de Parfum online in the UK at Swansura. A woody women's eau de parfum, 80ml+75ml. 100% authentic, fast UK delivery, free over £50.</t>
  </si>
  <si>
    <t xml:space="preserve">FR-262</t>
  </si>
  <si>
    <t xml:space="preserve">Jean Paul</t>
  </si>
  <si>
    <t xml:space="preserve">Chypre · Women's Fragrance</t>
  </si>
  <si>
    <t xml:space="preserve">Jean Paul Gaultier Scandal Gold Eau de Parfum 80ml – Luxury Women's Chypre Fragrance</t>
  </si>
  <si>
    <t xml:space="preserve">jean paul gaultier scandal gold</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</si>
  <si>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</si>
  <si>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</si>
  <si>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</si>
  <si>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</si>
  <si>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</si>
  <si>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</si>
  <si>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t>
  </si>
  <si>
    <t xml:space="preserve">Jean Paul Gaultier Scandal Gold Eau de Parfum | Swansura UK</t>
  </si>
  <si>
    <t xml:space="preserve">Buy Jean Paul Gaultier Scandal Gold Eau de Parfum online in the UK at Swansura. A chypre women's eau de parfum, 80ml. 100% authentic, free UK delivery over £50.</t>
  </si>
  <si>
    <t xml:space="preserve">FR-263</t>
  </si>
  <si>
    <t xml:space="preserve">Perfumed Shower Gel</t>
  </si>
  <si>
    <t xml:space="preserve">Jean Paul Gaultier Classique Perfumed Shower Gel 200ml – Women's Body Wash</t>
  </si>
  <si>
    <t xml:space="preserve">jean paul gaultier classique 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</si>
  <si>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</si>
  <si>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</si>
  <si>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</si>
  <si>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</si>
  <si>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</si>
  <si>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Gel</t>
  </si>
  <si>
    <t xml:space="preserve">Jean Paul Gaultier Classique Perfumed Shower | Swansura UK</t>
  </si>
  <si>
    <t xml:space="preserve">Buy Jean Paul Gaultier Classique Perfumed Shower Gel online in the UK at Swansura. A woody women's fragrance, 200ml. 100% authentic, free UK delivery over £50.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</si>
  <si>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</si>
  <si>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</si>
  <si>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</si>
  <si>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</si>
  <si>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</si>
  <si>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</si>
  <si>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</si>
  <si>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</si>
  <si>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</si>
  <si>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</si>
  <si>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Eau de Parfum Miniature</t>
  </si>
  <si>
    <t xml:space="preserve">Jimmy Choo I Want Choo Forever Miniature 4.5ml | Swansura UK</t>
  </si>
  <si>
    <t xml:space="preserve">Buy Jimmy Choo I Want Choo Forever Eau de Parfum Miniature online in the UK at Swansura. Floral eau de parfum. 100% authentic, fast UK delivery, free over £50.</t>
  </si>
  <si>
    <t xml:space="preserve">FR-265</t>
  </si>
  <si>
    <t xml:space="preserve">Jimmy Choo Women's Miniature Fragrance Gift Set 5x4.5ml – 5 Piece Perfume Collection</t>
  </si>
  <si>
    <t xml:space="preserve">jimmy choo miniature gift set 5x4.</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</si>
  <si>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</si>
  <si>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</si>
  <si>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</si>
  <si>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</si>
  <si>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Set 5x4.</t>
  </si>
  <si>
    <t xml:space="preserve">Jimmy Choo Women's Miniature Fragrance Gift | Swansura UK</t>
  </si>
  <si>
    <t xml:space="preserve">Buy Jimmy Choo Women's Miniature Fragrance Gift Set 5x4. online in the UK at Swansura. A woody women's fragrance. 100% authentic, free UK delivery over £50.</t>
  </si>
  <si>
    <t xml:space="preserve">FR-266</t>
  </si>
  <si>
    <t xml:space="preserve">Jo Milano</t>
  </si>
  <si>
    <t xml:space="preserve">Perfume Spray</t>
  </si>
  <si>
    <t xml:space="preserve">Jo Milano Game Of Spades Queen for Unisex Perfume Spray 100 ml</t>
  </si>
  <si>
    <t xml:space="preserve">jo milano game of spades queen for</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</si>
  <si>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</si>
  <si>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</si>
  <si>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</si>
  <si>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</si>
  <si>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Perfume Spray</t>
  </si>
  <si>
    <t xml:space="preserve">Jo Milano Game Of Spades Queen for Unisex | Swansura UK</t>
  </si>
  <si>
    <t xml:space="preserve">Buy Jo Milano Game Of Spades Queen for Unisex Perfume Spray online in the UK at Swansura. An amber unisex fragrance. 100% authentic, free UK delivery over £50.</t>
  </si>
  <si>
    <t xml:space="preserve">FR-267</t>
  </si>
  <si>
    <t xml:space="preserve">Jo Milano Game Of Spades Wildcard for Unisex Parfum Spray, 3.4 Ounce</t>
  </si>
  <si>
    <t xml:space="preserve">jo milano game of spades wildcard for parfum , 3.4 ounce</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</si>
  <si>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</si>
  <si>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</si>
  <si>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</si>
  <si>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</si>
  <si>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</si>
  <si>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£50.</t>
  </si>
  <si>
    <t xml:space="preserve">FR-268</t>
  </si>
  <si>
    <t xml:space="preserve">john varvatos</t>
  </si>
  <si>
    <t xml:space="preserve">John Varvatos Artisan Eau de Toilette 75ml – Men's Citrus Woody Long lasting Fragrance</t>
  </si>
  <si>
    <t xml:space="preserve">john varvatos artisan</t>
  </si>
  <si>
    <t xml:space="preserve">john varvatos artisan uk</t>
  </si>
  <si>
    <t xml:space="preserve">buy john varvatos artisan online</t>
  </si>
  <si>
    <t xml:space="preserve">john varvatos artisan price</t>
  </si>
  <si>
    <t xml:space="preserve">john varvatos artisan eau de toilette</t>
  </si>
  <si>
    <t xml:space="preserve">john varvatos perfume · john varvatos perfume for men · woody perfume for men uk</t>
  </si>
  <si>
    <t xml:space="preserve">John Varvatos Artisan Eau de Toilette</t>
  </si>
  <si>
    <t xml:space="preserve">John Varvatos Artisan EDT 75ml | Buy Online UK | Swansura</t>
  </si>
  <si>
    <t xml:space="preserve">Buy John Varvatos Artisan Eau de Toilette online in the UK at Swansura. A woody men's eau de toilette, 75ml. 100% authentic, fast UK delivery, free over £50.</t>
  </si>
  <si>
    <t xml:space="preserve">joop homme</t>
  </si>
  <si>
    <t xml:space="preserve">joop! homme</t>
  </si>
  <si>
    <t xml:space="preserve">joop! homme uk</t>
  </si>
  <si>
    <t xml:space="preserve">buy joop! homme online</t>
  </si>
  <si>
    <t xml:space="preserve">joop! homme price</t>
  </si>
  <si>
    <t xml:space="preserve">joop! homme eau de toilette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</si>
  <si>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</si>
  <si>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</si>
  <si>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t>
  </si>
  <si>
    <t xml:space="preserve">Joop! Homme Eau de Toilette | Buy Online UK | Swansura</t>
  </si>
  <si>
    <t xml:space="preserve">Buy Joop! Homme Eau de Toilette online in the UK at Swansura. A spicy men's eau de toilette, 200ml. 100% authentic, fast UK delivery, free over £50.</t>
  </si>
  <si>
    <t xml:space="preserve">FR-270</t>
  </si>
  <si>
    <t xml:space="preserve">Joop! Homme Le Parfum 75ml – Men's Warm Spicy Amber Long lasting Fragrance</t>
  </si>
  <si>
    <t xml:space="preserve">joop! homme le</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</si>
  <si>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</si>
  <si>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</si>
  <si>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</si>
  <si>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</si>
  <si>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</si>
  <si>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</si>
  <si>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Joop! Homme Le Parfum</t>
  </si>
  <si>
    <t xml:space="preserve">Joop! Homme Le Parfum 75ml | Buy Online UK | Swansura</t>
  </si>
  <si>
    <t xml:space="preserve">Buy Joop! Homme Le Parfum online in the UK at Swansura. An amber men's parfum, 75ml. 100% authentic, fast UK delivery, free over £50.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</si>
  <si>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</si>
  <si>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</si>
  <si>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</si>
  <si>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</si>
  <si>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</si>
  <si>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</si>
  <si>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</si>
  <si>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</si>
  <si>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</si>
  <si>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</si>
  <si>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</si>
  <si>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</si>
  <si>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£50.</t>
  </si>
  <si>
    <t xml:space="preserve">FR-272</t>
  </si>
  <si>
    <t xml:space="preserve">Juicy Couture Viva La Juicy Rosé Eau de Parfum – Women's Floral Fruity Fragrance</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</si>
  <si>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</si>
  <si>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</si>
  <si>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</si>
  <si>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</si>
  <si>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</si>
  <si>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</si>
  <si>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</si>
  <si>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</si>
  <si>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</si>
  <si>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</si>
  <si>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</si>
  <si>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t>
  </si>
  <si>
    <t xml:space="preserve">Kenneth Cole Moonlight Blue Eau de Toilette | Swansura UK</t>
  </si>
  <si>
    <t xml:space="preserve">Buy Kenneth Cole Moonlight Blue Eau de Toilette online in the UK at Swansura. A woody men's eau de toilette, 100ml. 100% authentic, free UK delivery over £50.</t>
  </si>
  <si>
    <t xml:space="preserve">FR-275</t>
  </si>
  <si>
    <t xml:space="preserve">Korloff</t>
  </si>
  <si>
    <t xml:space="preserve">Korloff Cuir Mythique Eau De Parfum 100ML</t>
  </si>
  <si>
    <t xml:space="preserve">korloff cuir mythique</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</si>
  <si>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</si>
  <si>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</si>
  <si>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</si>
  <si>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</si>
  <si>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</si>
  <si>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</si>
  <si>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Eau De Parfum</t>
  </si>
  <si>
    <t xml:space="preserve">Korloff Cuir Mythique EDP 100ml | Buy Online UK | Swansura</t>
  </si>
  <si>
    <t xml:space="preserve">Buy Korloff Cuir Mythique Eau De Parfum online in the UK at Swansura. An amber unisex eau de parfum, 100ml. 100% authentic, fast UK delivery, free over £50.</t>
  </si>
  <si>
    <t xml:space="preserve">FR-276</t>
  </si>
  <si>
    <t xml:space="preserve">Korloff In Love Eau De Parfum 100ML</t>
  </si>
  <si>
    <t xml:space="preserve">100ML</t>
  </si>
  <si>
    <t xml:space="preserve">korloff in love</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</si>
  <si>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</si>
  <si>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</si>
  <si>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</si>
  <si>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</si>
  <si>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</si>
  <si>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Korloff In Love Eau De Parfum</t>
  </si>
  <si>
    <t xml:space="preserve">Korloff In Love Eau De Parfum | Buy Online UK | Swansura</t>
  </si>
  <si>
    <t xml:space="preserve">Buy Korloff In Love Eau De Parfum online in the UK at Swansura. An amber unisex eau de parfum, 100ML. 100% authentic, fast UK delivery, free over £50.</t>
  </si>
  <si>
    <t xml:space="preserve">FR-277</t>
  </si>
  <si>
    <t xml:space="preserve">Korloff Lady Intense Eau De Parfum 88ML</t>
  </si>
  <si>
    <t xml:space="preserve">88ML</t>
  </si>
  <si>
    <t xml:space="preserve">korloff lady intense</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</si>
  <si>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</si>
  <si>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</si>
  <si>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</si>
  <si>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</si>
  <si>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</si>
  <si>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Eau De Parfum</t>
  </si>
  <si>
    <t xml:space="preserve">Korloff Lady Intense EDP 88ML | Buy Online UK | Swansura</t>
  </si>
  <si>
    <t xml:space="preserve">Buy Korloff Lady Intense Eau De Parfum online in the UK at Swansura. An amber unisex eau de parfum, 88ML. 100% authentic, fast UK delivery, free over £50.</t>
  </si>
  <si>
    <t xml:space="preserve">FR-278</t>
  </si>
  <si>
    <t xml:space="preserve">Korloff Royal Rose Eau De Parfum 88ML</t>
  </si>
  <si>
    <t xml:space="preserve">88ml</t>
  </si>
  <si>
    <t xml:space="preserve">korloff royal rose</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</si>
  <si>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</si>
  <si>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</si>
  <si>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</si>
  <si>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</si>
  <si>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</si>
  <si>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</si>
  <si>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Korloff Royal Rose Eau De Parfum</t>
  </si>
  <si>
    <t xml:space="preserve">Korloff Royal Rose Eau De Parfum | Buy Online UK | Swansura</t>
  </si>
  <si>
    <t xml:space="preserve">Buy Korloff Royal Rose Eau De Parfum online in the UK at Swansura. A floral unisex eau de parfum, 88ml. 100% authentic, fast UK delivery, free over £50.</t>
  </si>
  <si>
    <t xml:space="preserve">FR-279</t>
  </si>
  <si>
    <t xml:space="preserve">Korloff Un Soir À Paris Eau De Parfum 100ML</t>
  </si>
  <si>
    <t xml:space="preserve">korloff un soir a paris</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</si>
  <si>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</si>
  <si>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</si>
  <si>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</si>
  <si>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</si>
  <si>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</si>
  <si>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Eau De Parfum</t>
  </si>
  <si>
    <t xml:space="preserve">Korloff Un Soir À Paris EDP 100ML | Buy Online UK | Swansura</t>
  </si>
  <si>
    <t xml:space="preserve">Buy Korloff Un Soir À Paris Eau De Parfum online in the UK at Swansura. An amber unisex eau de parfum, 100ML. 100% authentic, fast UK delivery, free over £50.</t>
  </si>
  <si>
    <t xml:space="preserve">FR-280</t>
  </si>
  <si>
    <t xml:space="preserve">Miss Korloff Eau De Parfum 88ML</t>
  </si>
  <si>
    <t xml:space="preserve">korloff miss korloff</t>
  </si>
  <si>
    <t xml:space="preserve">korloff miss korloff uk</t>
  </si>
  <si>
    <t xml:space="preserve">buy korloff miss korloff online</t>
  </si>
  <si>
    <t xml:space="preserve">korloff miss korloff price</t>
  </si>
  <si>
    <t xml:space="preserve">korloff miss korloff eau de parfum</t>
  </si>
  <si>
    <t xml:space="preserve">Miss Korloff Eau De Parfum</t>
  </si>
  <si>
    <t xml:space="preserve">Miss Korloff Eau De Parfum | Buy Online UK | Swansura</t>
  </si>
  <si>
    <t xml:space="preserve">Buy Miss Korloff Eau De Parfum online in the UK at Swansura. An amber unisex eau de parfum, 88ML. 100% authentic, fast UK delivery, free over £50.</t>
  </si>
  <si>
    <t xml:space="preserve">FR-281</t>
  </si>
  <si>
    <t xml:space="preserve">Royal Oud Korloff Paris Eau De Parfum 88ML</t>
  </si>
  <si>
    <t xml:space="preserve">korloff royal oud korloff paris</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</si>
  <si>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</si>
  <si>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</si>
  <si>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</si>
  <si>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</si>
  <si>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</si>
  <si>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</si>
  <si>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Eau De Parfum</t>
  </si>
  <si>
    <t xml:space="preserve">Royal Oud Korloff Paris EDP 88ML | Buy Online UK | Swansura</t>
  </si>
  <si>
    <t xml:space="preserve">Buy Royal Oud Korloff Paris Eau De Parfum online in the UK at Swansura. An oud unisex eau de parfum, 88ML. 100% authentic, fast UK delivery, free over £50.</t>
  </si>
  <si>
    <t xml:space="preserve">FR-282</t>
  </si>
  <si>
    <t xml:space="preserve">Korloff Paris Discovery Set Eau De Parfum 3x10ML</t>
  </si>
  <si>
    <t xml:space="preserve">3x10ml</t>
  </si>
  <si>
    <t xml:space="preserve">korloff paris discovery set</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</si>
  <si>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</si>
  <si>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</si>
  <si>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</si>
  <si>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</si>
  <si>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£50.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</si>
  <si>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</si>
  <si>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</si>
  <si>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</si>
  <si>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</si>
  <si>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</si>
  <si>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</si>
  <si>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</si>
  <si>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</si>
  <si>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</si>
  <si>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</si>
  <si>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La Maison de la Vanille Absolu de Vanille Eau de Parfum</t>
  </si>
  <si>
    <t xml:space="preserve">La Maison de la Vanille Absolu de Vanille | Swansura UK</t>
  </si>
  <si>
    <t xml:space="preserve">Buy La Maison de la Vanille Absolu de Vanille Eau de Parfum online in the UK at Swansura. Amber eau de parfum. 100% authentic, fast UK delivery, free over £50.</t>
  </si>
  <si>
    <t xml:space="preserve">FR-284</t>
  </si>
  <si>
    <t xml:space="preserve">La Maison de la Vanille Ambre Secret Eau de Parfum 100ml</t>
  </si>
  <si>
    <t xml:space="preserve">la maison de la vanille ambre secret</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</si>
  <si>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</si>
  <si>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</si>
  <si>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</si>
  <si>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</si>
  <si>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</si>
  <si>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La Maison de la Vanille Ambre Secret Eau de Parfum</t>
  </si>
  <si>
    <t xml:space="preserve">La Maison de la Vanille Ambre Secret EDP 100ml | Swansura UK</t>
  </si>
  <si>
    <t xml:space="preserve">Buy La Maison de la Vanille Ambre Secret Eau de Parfum online in the UK at Swansura. An amber unisex eau de parfum. 100% authentic, free UK delivery over £50.</t>
  </si>
  <si>
    <t xml:space="preserve">FR-285</t>
  </si>
  <si>
    <t xml:space="preserve">La Maison de la Vanille Royal Oud Eau de Parfum 100ml</t>
  </si>
  <si>
    <t xml:space="preserve">la maison de la vanille royal oud</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</si>
  <si>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</si>
  <si>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</si>
  <si>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</si>
  <si>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</si>
  <si>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</si>
  <si>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</si>
  <si>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La Maison de la Vanille Royal Oud Eau de Parfum</t>
  </si>
  <si>
    <t xml:space="preserve">La Maison de la Vanille Royal Oud EDP 100ml | Swansura UK</t>
  </si>
  <si>
    <t xml:space="preserve">Buy La Maison de la Vanille Royal Oud Eau de Parfum online in the UK at Swansura. An oud unisex eau de parfum, 100ml. 100% authentic, free UK delivery over £50.</t>
  </si>
  <si>
    <t xml:space="preserve">FR-286</t>
  </si>
  <si>
    <t xml:space="preserve">La Maison de la wooden coffret 5X30ML EDT - Vanilles Des Origines</t>
  </si>
  <si>
    <t xml:space="preserve">la maison de la wooden coffret</t>
  </si>
  <si>
    <t xml:space="preserve">la maison de la wooden coffret uk</t>
  </si>
  <si>
    <t xml:space="preserve">buy la maison de la wooden coffret online</t>
  </si>
  <si>
    <t xml:space="preserve">la maison de la wooden coffret price</t>
  </si>
  <si>
    <t xml:space="preserve">la maison de la wooden coffret edt</t>
  </si>
  <si>
    <t xml:space="preserve">La Maison de la Wooden Coffret 5X30ML EDT</t>
  </si>
  <si>
    <t xml:space="preserve">La Maison de la Wooden Coffret 5X30ML EDT | Swansura UK</t>
  </si>
  <si>
    <t xml:space="preserve">Buy La Maison de la Wooden Coffret 5X30ML EDT online in the UK at Swansura. An amber unisex eau de toilette. 100% authentic, fast UK delivery, free over £50.</t>
  </si>
  <si>
    <t xml:space="preserve">Lancôme</t>
  </si>
  <si>
    <t xml:space="preserve">lancome idole nectar</t>
  </si>
  <si>
    <t xml:space="preserve">lancome idole nectar uk</t>
  </si>
  <si>
    <t xml:space="preserve">buy lancome idole nectar online</t>
  </si>
  <si>
    <t xml:space="preserve">lancome idole nectar price</t>
  </si>
  <si>
    <t xml:space="preserve">lancome idole nectar eau de parfum</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</si>
  <si>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</si>
  <si>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</si>
  <si>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Eau de Parfum</t>
  </si>
  <si>
    <t xml:space="preserve">Lancôme Idôle Nectar EDP 25ml | Buy Online UK | Swansura</t>
  </si>
  <si>
    <t xml:space="preserve">Buy Lancôme Idôle Nectar Eau de Parfum online in the UK at Swansura. A floral women's eau de parfum, 25ml. 100% authentic, fast UK delivery, free over £50.</t>
  </si>
  <si>
    <t xml:space="preserve">FR-288</t>
  </si>
  <si>
    <t xml:space="preserve">Lancôme Idôle Now Eau de Parfum Florale 50ml – Women's Floral Fragrance</t>
  </si>
  <si>
    <t xml:space="preserve">lancome idole now florale</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</si>
  <si>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</si>
  <si>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</si>
  <si>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</si>
  <si>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</si>
  <si>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</si>
  <si>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t>
  </si>
  <si>
    <t xml:space="preserve">Lancôme Idôle Now Eau de Parfum Florale | Swansura UK</t>
  </si>
  <si>
    <t xml:space="preserve">Buy Lancôme Idôle Now Eau de Parfum Florale online in the UK at Swansura. A floral women's eau de parfum, 50ml. 100% authentic, fast UK delivery, free over £50.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</si>
  <si>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</si>
  <si>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</si>
  <si>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</si>
  <si>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</si>
  <si>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</si>
  <si>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</si>
  <si>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</si>
  <si>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</si>
  <si>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</si>
  <si>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</si>
  <si>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</si>
  <si>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Mancera Black Noir Eau de Parfum</t>
  </si>
  <si>
    <t xml:space="preserve">Mancera Black Noir Eau de Parfum | Buy Online UK | Swansura</t>
  </si>
  <si>
    <t xml:space="preserve">Buy Mancera Black Noir Eau de Parfum online in the UK at Swansura. An oud unisex eau de parfum, 120ml. 100% authentic, fast UK delivery, free over £50.</t>
  </si>
  <si>
    <t xml:space="preserve">FR-290</t>
  </si>
  <si>
    <t xml:space="preserve">Spicy · Unisex Fragrance</t>
  </si>
  <si>
    <t xml:space="preserve">Mancera Intense Red Tobacco Extrait de Parfum 120ml – Luxury Unisex Spicy Tobacco Fragrance</t>
  </si>
  <si>
    <t xml:space="preserve">mancera intense red tobacco</t>
  </si>
  <si>
    <t xml:space="preserve">mancera intense red tobacco uk</t>
  </si>
  <si>
    <t xml:space="preserve">buy mancera intense red tobacco online</t>
  </si>
  <si>
    <t xml:space="preserve">mancera intense red tobacco price</t>
  </si>
  <si>
    <t xml:space="preserve">mancera intense red tobacco extrait de parfum</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</si>
  <si>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</si>
  <si>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</si>
  <si>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t>
  </si>
  <si>
    <t xml:space="preserve">Mancera Intense Red Tobacco Extrait de Parfum | Swansura UK</t>
  </si>
  <si>
    <t xml:space="preserve">Buy Mancera Intense Red Tobacco Extrait de Parfum online in the UK at Swansura. A spicy unisex extrait de parfum. 100% authentic, free UK delivery over £50.</t>
  </si>
  <si>
    <t xml:space="preserve">Marc Jacobs</t>
  </si>
  <si>
    <t xml:space="preserve">marc jacobs honey</t>
  </si>
  <si>
    <t xml:space="preserve">marc jacobs honey uk</t>
  </si>
  <si>
    <t xml:space="preserve">buy marc jacobs honey online</t>
  </si>
  <si>
    <t xml:space="preserve">marc jacobs honey price</t>
  </si>
  <si>
    <t xml:space="preserve">marc jacobs honey eau de parfum</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</si>
  <si>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</si>
  <si>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</si>
  <si>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Marc Jacobs Honey Eau de Parfum</t>
  </si>
  <si>
    <t xml:space="preserve">Marc Jacobs Honey Eau de Parfum | Buy Online UK | Swansura</t>
  </si>
  <si>
    <t xml:space="preserve">Buy Marc Jacobs Honey Eau de Parfum online in the UK at Swansura. A floral women's eau de parfum, 100ml. 100% authentic, fast UK delivery, free over £50.</t>
  </si>
  <si>
    <t xml:space="preserve">marc jacobs perfect</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</si>
  <si>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</si>
  <si>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</si>
  <si>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</si>
  <si>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</si>
  <si>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</si>
  <si>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Marc Jacobs Perfect Eau de Parfum</t>
  </si>
  <si>
    <t xml:space="preserve">Marc Jacobs Perfect Eau de Parfum | Buy Online UK | Swansura</t>
  </si>
  <si>
    <t xml:space="preserve">Buy Marc Jacobs Perfect Eau de Parfum online in the UK at Swansura. A floral women's eau de parfum, 50ml. 100% authentic, fast UK delivery, free over £50.</t>
  </si>
  <si>
    <t xml:space="preserve">FR-293</t>
  </si>
  <si>
    <t xml:space="preserve">Marc Jacobs Perfect Elixir Eau de Parfum 10ml Miniature – Women's Floral Gourmand Fragrance</t>
  </si>
  <si>
    <t xml:space="preserve">marc jacobs perfect elixir miniature</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</si>
  <si>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</si>
  <si>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</si>
  <si>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</si>
  <si>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</si>
  <si>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Marc Jacobs Perfect Elixir Eau de Parfum Miniature</t>
  </si>
  <si>
    <t xml:space="preserve">Marc Jacobs Perfect Elixir Miniature EDP 10ml | Swansura UK</t>
  </si>
  <si>
    <t xml:space="preserve">Buy Marc Jacobs Perfect Elixir Eau de Parfum Miniature online in the UK at Swansura. A floral women's eau de parfum. 100% authentic, free UK delivery over £50.</t>
  </si>
  <si>
    <t xml:space="preserve">FR-294</t>
  </si>
  <si>
    <t xml:space="preserve">Marc Jacobs Daisy Love Eau de Toilette 10ml Miniature – Women's Floral Fruity Fragrance</t>
  </si>
  <si>
    <t xml:space="preserve">marc jacobs daisy love miniature</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</si>
  <si>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</si>
  <si>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</si>
  <si>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</si>
  <si>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</si>
  <si>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</si>
  <si>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Marc Jacobs Daisy Love Eau de Toilette Miniature</t>
  </si>
  <si>
    <t xml:space="preserve">Marc Jacobs Daisy Love Miniature EDT 10ml | Swansura UK</t>
  </si>
  <si>
    <t xml:space="preserve">Buy Marc Jacobs Daisy Love Eau de Toilette Miniature online in the UK at Swansura. A floral women's eau de toilette. 100% authentic, free UK delivery over £50.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</si>
  <si>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</si>
  <si>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</si>
  <si>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</si>
  <si>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</si>
  <si>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</si>
  <si>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</si>
  <si>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</si>
  <si>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</si>
  <si>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Marc Jacobs Daisy Love Glow Limited Edition Eau de Toilette</t>
  </si>
  <si>
    <t xml:space="preserve">Marc Jacobs Daisy Love Glow Limited Edition | Swansura UK</t>
  </si>
  <si>
    <t xml:space="preserve">Buy Marc Jacobs Daisy Love Glow Limited Edition Eau de Toilette online in the UK at Swansura. A floral women's eau de toilette, 50ml. Free UK delivery over £50.</t>
  </si>
  <si>
    <t xml:space="preserve">FR-296</t>
  </si>
  <si>
    <t xml:space="preserve">Marc Jacobs Perfect Eau de Toilette 10ml Miniature – Women's Floral Fragrance</t>
  </si>
  <si>
    <t xml:space="preserve">marc jacobs perfect miniature</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</si>
  <si>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</si>
  <si>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</si>
  <si>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</si>
  <si>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</si>
  <si>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t>
  </si>
  <si>
    <t xml:space="preserve">Marc Jacobs Perfect Eau de Toilette Miniature | Swansura UK</t>
  </si>
  <si>
    <t xml:space="preserve">Buy Marc Jacobs Perfect Eau de Toilette Miniature online in the UK at Swansura. A floral women's eau de toilette. 100% authentic, free UK delivery over £50.</t>
  </si>
  <si>
    <t xml:space="preserve">FR-297</t>
  </si>
  <si>
    <t xml:space="preserve">Marc Jacobs Women's Miniature Fragrance Gift Set 2025 – Daisy, Daisy Eau So Fresh, Perfect &amp; Daisy Wild</t>
  </si>
  <si>
    <t xml:space="preserve">marc jacobs miniature gift set 2025</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</si>
  <si>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</si>
  <si>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</si>
  <si>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</si>
  <si>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</si>
  <si>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Set 2025</t>
  </si>
  <si>
    <t xml:space="preserve">Marc Jacobs Women's Miniature Fragrance Gift | Swansura UK</t>
  </si>
  <si>
    <t xml:space="preserve">Buy Marc Jacobs Women's Miniature Fragrance Gift Set 2025 online in the UK at Swansura. A fresh women's fragrance. 100% authentic, free UK delivery over £50.</t>
  </si>
  <si>
    <t xml:space="preserve">FR-298</t>
  </si>
  <si>
    <t xml:space="preserve">Montale</t>
  </si>
  <si>
    <t xml:space="preserve">Oud · Women's Fragrance</t>
  </si>
  <si>
    <t xml:space="preserve">Montale Aoud Damascus Eau de Parfum 100ml – Women's Rose Oud Longlasting Fragrance</t>
  </si>
  <si>
    <t xml:space="preserve">montale aoud damascus</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</si>
  <si>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</si>
  <si>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</si>
  <si>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</si>
  <si>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</si>
  <si>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</si>
  <si>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</si>
  <si>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Eau de Parfum</t>
  </si>
  <si>
    <t xml:space="preserve">Montale Aoud Damascus EDP 100ml | Buy Online UK | Swansura</t>
  </si>
  <si>
    <t xml:space="preserve">Buy Montale Aoud Damascus Eau de Parfum online in the UK at Swansura. An oud women's eau de parfum, 100ml. 100% authentic, fast UK delivery, free over £50.</t>
  </si>
  <si>
    <t xml:space="preserve">FR-299</t>
  </si>
  <si>
    <t xml:space="preserve">Montale Aoud Safran Eau de Parfum 100ml – Luxury Unisex Saffron Oud Fragrance</t>
  </si>
  <si>
    <t xml:space="preserve">montale aoud safran</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</si>
  <si>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</si>
  <si>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</si>
  <si>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</si>
  <si>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</si>
  <si>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</si>
  <si>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</si>
  <si>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Montale Aoud Safran Eau de Parfum</t>
  </si>
  <si>
    <t xml:space="preserve">Montale Aoud Safran Eau de Parfum | Buy Online UK | Swansura</t>
  </si>
  <si>
    <t xml:space="preserve">Buy Montale Aoud Safran Eau de Parfum online in the UK at Swansura. An oud unisex eau de parfum, 100ml. 100% authentic, fast UK delivery, free over £50.</t>
  </si>
  <si>
    <t xml:space="preserve">FR-300</t>
  </si>
  <si>
    <t xml:space="preserve">Nina Ricci</t>
  </si>
  <si>
    <t xml:space="preserve">Nina Ricci Nina Illusion Eau de Parfum 50ml – Women's Floral Fruity Fragrance</t>
  </si>
  <si>
    <t xml:space="preserve">nina ricci nina illusion</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</si>
  <si>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</si>
  <si>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</si>
  <si>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</si>
  <si>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</si>
  <si>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</si>
  <si>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</si>
  <si>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Eau de Parfum</t>
  </si>
  <si>
    <t xml:space="preserve">Nina Ricci Nina Illusion EDP 50ml | Buy Online UK | Swansura</t>
  </si>
  <si>
    <t xml:space="preserve">Buy Nina Ricci Nina Illusion Eau de Parfum online in the UK at Swansura. A floral women's eau de parfum, 50ml. 100% authentic, fast UK delivery, free over £50.</t>
  </si>
  <si>
    <t xml:space="preserve">FR-301</t>
  </si>
  <si>
    <t xml:space="preserve">Nina Ricci Nina Precious Gold Eau de Parfum 50ml – Women's Floral Gourmand Fragrance</t>
  </si>
  <si>
    <t xml:space="preserve">nina ricci nina precious gold</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</si>
  <si>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</si>
  <si>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</si>
  <si>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</si>
  <si>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</si>
  <si>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</si>
  <si>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t>
  </si>
  <si>
    <t xml:space="preserve">Nina Ricci Nina Precious Gold Eau de Parfum | Swansura UK</t>
  </si>
  <si>
    <t xml:space="preserve">Buy Nina Ricci Nina Precious Gold Eau de Parfum online in the UK at Swansura. A floral women's eau de parfum, 50ml. 100% authentic, free UK delivery over £50.</t>
  </si>
  <si>
    <t xml:space="preserve">nina ricci l'air du temps</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</si>
  <si>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</si>
  <si>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</si>
  <si>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</si>
  <si>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</si>
  <si>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</si>
  <si>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</si>
  <si>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</si>
  <si>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£50.</t>
  </si>
  <si>
    <t xml:space="preserve">FR-303</t>
  </si>
  <si>
    <t xml:space="preserve">Paloma</t>
  </si>
  <si>
    <t xml:space="preserve">paloma picasso</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</si>
  <si>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</si>
  <si>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</si>
  <si>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</si>
  <si>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</si>
  <si>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</si>
  <si>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</si>
  <si>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Paloma Picasso Eau de Toilette</t>
  </si>
  <si>
    <t xml:space="preserve">Paloma Picasso Eau de Toilette | Buy Online UK | Swansura</t>
  </si>
  <si>
    <t xml:space="preserve">Buy Paloma Picasso Eau de Toilette online in the UK at Swansura. A floral women's eau de toilette, 100ml. 100% authentic, fast UK delivery, free over £50.</t>
  </si>
  <si>
    <t xml:space="preserve">FR-305</t>
  </si>
  <si>
    <t xml:space="preserve">phillip plein</t>
  </si>
  <si>
    <t xml:space="preserve">Spelling: Philipp Plein</t>
  </si>
  <si>
    <t xml:space="preserve">Philipp Plein No Limits Deodorant Stick 75g – Men's Fragranced Deodorant</t>
  </si>
  <si>
    <t xml:space="preserve">75g</t>
  </si>
  <si>
    <t xml:space="preserve">philipp plein no limits deodorant stick</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</si>
  <si>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</si>
  <si>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</si>
  <si>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</si>
  <si>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</si>
  <si>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t>
  </si>
  <si>
    <t xml:space="preserve">Philipp Plein No Limits Deodorant Stick | Swansura UK</t>
  </si>
  <si>
    <t xml:space="preserve">Buy Philipp Plein No Limits Deodorant Stick online in the UK at Swansura. A woody men's fragrance, 75g. 100% authentic, fast UK delivery, free over £50.</t>
  </si>
  <si>
    <t xml:space="preserve">FR-306</t>
  </si>
  <si>
    <t xml:space="preserve">Philipp Plein No Limits Super Fresh Eau de Toilette 50ml – Men's Fresh Woody Leather Fragrance</t>
  </si>
  <si>
    <t xml:space="preserve">philipp plein no limits super fresh</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</si>
  <si>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</si>
  <si>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</si>
  <si>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</si>
  <si>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</si>
  <si>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Philipp Plein No Limits Super Fresh Eau de Toilette</t>
  </si>
  <si>
    <t xml:space="preserve">Philipp Plein No Limits Super Fresh EDT 50ml | Swansura UK</t>
  </si>
  <si>
    <t xml:space="preserve">Buy Philipp Plein No Limits Super Fresh Eau de Toilette online in the UK at Swansura. A woody men's eau de toilette. 100% authentic, free UK delivery over £50.</t>
  </si>
  <si>
    <t xml:space="preserve">FR-307</t>
  </si>
  <si>
    <t xml:space="preserve">Aftershave Balm</t>
  </si>
  <si>
    <t xml:space="preserve">Philipp Plein No Limits After Shave Balm 150ml – Men's Grooming &amp; Fragrance Care</t>
  </si>
  <si>
    <t xml:space="preserve">philipp plein no limits after 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</si>
  <si>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</si>
  <si>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</si>
  <si>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</si>
  <si>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t>
  </si>
  <si>
    <t xml:space="preserve">Philipp Plein No Limits After Shave Balm | Swansura UK</t>
  </si>
  <si>
    <t xml:space="preserve">Buy Philipp Plein No Limits After Shave Balm online in the UK at Swansura. A woody men's fragrance, 150ml. 100% authentic, fast UK delivery, free over £50.</t>
  </si>
  <si>
    <t xml:space="preserve">FR-308</t>
  </si>
  <si>
    <t xml:space="preserve">Rihanah</t>
  </si>
  <si>
    <t xml:space="preserve">Rihanah Ajwaa Oud Eau De Parfum Spray (Unisex) 100ml</t>
  </si>
  <si>
    <t xml:space="preserve">rihanah ajwaa oud</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</si>
  <si>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</si>
  <si>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</si>
  <si>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</si>
  <si>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</si>
  <si>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</si>
  <si>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t>
  </si>
  <si>
    <t xml:space="preserve">Rihanah Ajwaa Oud Eau De Parfum Spray (Unisex) | Swansura UK</t>
  </si>
  <si>
    <t xml:space="preserve">Buy Rihanah Ajwaa Oud Eau De Parfum Spray (Unisex) online in the UK at Swansura. An oud unisex eau de parfum, 100ml. 100% authentic, free UK delivery over £50.</t>
  </si>
  <si>
    <t xml:space="preserve">FR-309</t>
  </si>
  <si>
    <t xml:space="preserve">S.T. Dupont</t>
  </si>
  <si>
    <t xml:space="preserve">S.T. Dupont Perfect Tobacco Eau de Parfum 100ml – Unisex Woody Spicy Tobacco Fragrance</t>
  </si>
  <si>
    <t xml:space="preserve">s.t. dupont perfect tobacco</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</si>
  <si>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</si>
  <si>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</si>
  <si>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</si>
  <si>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</si>
  <si>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</si>
  <si>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t>
  </si>
  <si>
    <t xml:space="preserve">S.T. Dupont Perfect Tobacco Eau de Parfum | Swansura UK</t>
  </si>
  <si>
    <t xml:space="preserve">Buy S.T. Dupont Perfect Tobacco Eau de Parfum online in the UK at Swansura. A woody unisex eau de parfum, 100ml. 100% authentic, free UK delivery over £50.</t>
  </si>
  <si>
    <t xml:space="preserve">FR-310</t>
  </si>
  <si>
    <t xml:space="preserve">S.T. Dupont Pure Bloom Eau de Parfum 100ml – Women's Floral Fruity Fragrance</t>
  </si>
  <si>
    <t xml:space="preserve">s.t. dupont pure bloom</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</si>
  <si>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</si>
  <si>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</si>
  <si>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</si>
  <si>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</si>
  <si>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</si>
  <si>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Eau de Parfum</t>
  </si>
  <si>
    <t xml:space="preserve">S.T. Dupont Pure Bloom EDP 100ml | Buy Online UK | Swansura</t>
  </si>
  <si>
    <t xml:space="preserve">Buy S.T. Dupont Pure Bloom Eau de Parfum online in the UK at Swansura. A floral women's eau de parfum, 100ml. 100% authentic, fast UK delivery, free over £50.</t>
  </si>
  <si>
    <t xml:space="preserve">FR-311</t>
  </si>
  <si>
    <t xml:space="preserve">S.T. Dupont Royal Amber Eau de Parfum 100ml – Unisex Amber Woody Fragrance</t>
  </si>
  <si>
    <t xml:space="preserve">s.t. dupont royal amber</t>
  </si>
  <si>
    <t xml:space="preserve">s.t. dupont royal amber uk</t>
  </si>
  <si>
    <t xml:space="preserve">buy s.t. dupont royal amber online</t>
  </si>
  <si>
    <t xml:space="preserve">s.t. dupont royal amber price</t>
  </si>
  <si>
    <t xml:space="preserve">s.t. dupont royal amber eau de parfum</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</si>
  <si>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</si>
  <si>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</si>
  <si>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£50.</t>
  </si>
  <si>
    <t xml:space="preserve">FR-312</t>
  </si>
  <si>
    <t xml:space="preserve">SAP</t>
  </si>
  <si>
    <t xml:space="preserve">Sap Le Roi Extrait De Parfum 100ML</t>
  </si>
  <si>
    <t xml:space="preserve">sap le roi</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</si>
  <si>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</si>
  <si>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</si>
  <si>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</si>
  <si>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</si>
  <si>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</si>
  <si>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</si>
  <si>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Sap Le Roi Extrait De Parfum</t>
  </si>
  <si>
    <t xml:space="preserve">Sap Le Roi Extrait De Parfum | Buy Online UK | Swansura</t>
  </si>
  <si>
    <t xml:space="preserve">Buy Sap Le Roi Extrait De Parfum online in the UK at Swansura. An amber unisex extrait de parfum, 100ml. 100% authentic, fast UK delivery, free over £50.</t>
  </si>
  <si>
    <t xml:space="preserve">FR-313</t>
  </si>
  <si>
    <t xml:space="preserve">Sap Oud Leopard FR Extrait De Parfum 100ML</t>
  </si>
  <si>
    <t xml:space="preserve">sap oud leopard fr</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</si>
  <si>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</si>
  <si>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</si>
  <si>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</si>
  <si>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</si>
  <si>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</si>
  <si>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De Parfum</t>
  </si>
  <si>
    <t xml:space="preserve">Sap Oud Leopard FR Extrait 100ml | Buy Online UK | Swansura</t>
  </si>
  <si>
    <t xml:space="preserve">Buy Sap Oud Leopard FR Extrait De Parfum online in the UK at Swansura. An oud unisex extrait de parfum, 100ml. 100% authentic, fast UK delivery, free over £50.</t>
  </si>
  <si>
    <t xml:space="preserve">FR-314</t>
  </si>
  <si>
    <t xml:space="preserve">Sap Patchouli Intense Extrait De Parfum 100ML</t>
  </si>
  <si>
    <t xml:space="preserve">sap patchouli intense</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</si>
  <si>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</si>
  <si>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</si>
  <si>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</si>
  <si>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</si>
  <si>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</si>
  <si>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</si>
  <si>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t>
  </si>
  <si>
    <t xml:space="preserve">Sap Patchouli Intense Extrait De Parfum | Swansura UK</t>
  </si>
  <si>
    <t xml:space="preserve">Buy Sap Patchouli Intense Extrait De Parfum online in the UK at Swansura. A woody unisex extrait de parfum, 100ml. 100% authentic, free UK delivery over £50.</t>
  </si>
  <si>
    <t xml:space="preserve">FR-315</t>
  </si>
  <si>
    <t xml:space="preserve">Sap Saffron Oud Extrait De Parfum 100ML</t>
  </si>
  <si>
    <t xml:space="preserve">sap saffron oud</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</si>
  <si>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</si>
  <si>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</si>
  <si>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</si>
  <si>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</si>
  <si>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</si>
  <si>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Sap Saffron Oud Extrait De Parfum</t>
  </si>
  <si>
    <t xml:space="preserve">Sap Saffron Oud Extrait De Parfum | Buy Online UK | Swansura</t>
  </si>
  <si>
    <t xml:space="preserve">Buy Sap Saffron Oud Extrait De Parfum online in the UK at Swansura. An oud unisex extrait de parfum, 100ml. 100% authentic, fast UK delivery, free over £50.</t>
  </si>
  <si>
    <t xml:space="preserve">FR-316</t>
  </si>
  <si>
    <t xml:space="preserve">Sap Vert Club Extrait De Parfum 100ML</t>
  </si>
  <si>
    <t xml:space="preserve">sap vert club</t>
  </si>
  <si>
    <t xml:space="preserve">sap vert club uk</t>
  </si>
  <si>
    <t xml:space="preserve">buy sap vert club online</t>
  </si>
  <si>
    <t xml:space="preserve">sap vert club price</t>
  </si>
  <si>
    <t xml:space="preserve">sap vert club extrait de parfum</t>
  </si>
  <si>
    <t xml:space="preserve">sap perfume vert club</t>
  </si>
  <si>
    <t xml:space="preserve">Sap Vert Club Extrait De Parfum</t>
  </si>
  <si>
    <t xml:space="preserve">Sap Vert Club Extrait De Parfum | Buy Online UK | Swansura</t>
  </si>
  <si>
    <t xml:space="preserve">Buy Sap Vert Club Extrait De Parfum online in the UK at Swansura. An amber unisex extrait de parfum, 100ml. 100% authentic, fast UK delivery, free over £50.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</si>
  <si>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</si>
  <si>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</si>
  <si>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</si>
  <si>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</si>
  <si>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</si>
  <si>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</si>
  <si>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</si>
  <si>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</si>
  <si>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</si>
  <si>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</si>
  <si>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t>
  </si>
  <si>
    <t xml:space="preserve">Serge Lutens La Fille de Berlin Eau de Parfum | Swansura UK</t>
  </si>
  <si>
    <t xml:space="preserve">Buy Serge Lutens La Fille de Berlin Eau de Parfum online in the UK at Swansura. A floral unisex eau de parfum, 50ml. 100% authentic, free UK delivery over £50.</t>
  </si>
  <si>
    <t xml:space="preserve">FR-318</t>
  </si>
  <si>
    <t xml:space="preserve">Shiseido</t>
  </si>
  <si>
    <t xml:space="preserve">Shiseido Zen Eau de Parfum 100ml – Women's Floral Woody Fragrance</t>
  </si>
  <si>
    <t xml:space="preserve">shiseido zen</t>
  </si>
  <si>
    <t xml:space="preserve">shiseido zen uk</t>
  </si>
  <si>
    <t xml:space="preserve">buy shiseido zen online</t>
  </si>
  <si>
    <t xml:space="preserve">shiseido zen price</t>
  </si>
  <si>
    <t xml:space="preserve">shiseido zen eau de parfum</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</si>
  <si>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</si>
  <si>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</si>
  <si>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t>
  </si>
  <si>
    <t xml:space="preserve">Shiseido Zen Eau de Parfum | Buy Online UK | Swansura</t>
  </si>
  <si>
    <t xml:space="preserve">Buy Shiseido Zen Eau de Parfum online in the UK at Swansura. A floral women's eau de parfum, 100ml. 100% authentic, fast UK delivery, free over £50.</t>
  </si>
  <si>
    <t xml:space="preserve">FR-319</t>
  </si>
  <si>
    <t xml:space="preserve">Signature D'orient</t>
  </si>
  <si>
    <t xml:space="preserve">Signature Ambre Eau De Parfum 100ml+15ml+Funnel (UNISEX)</t>
  </si>
  <si>
    <t xml:space="preserve">signature ambre</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</si>
  <si>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</si>
  <si>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</si>
  <si>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</si>
  <si>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</si>
  <si>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</si>
  <si>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</si>
  <si>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Signature Ambre Eau De Parfum</t>
  </si>
  <si>
    <t xml:space="preserve">Signature Ambre Eau De Parfum | Buy Online UK | Swansura</t>
  </si>
  <si>
    <t xml:space="preserve">Buy Signature Ambre Eau De Parfum online in the UK at Swansura. An amber unisex eau de parfum, 100ml. 100% authentic, fast UK delivery, free over £50.</t>
  </si>
  <si>
    <t xml:space="preserve">FR-320</t>
  </si>
  <si>
    <t xml:space="preserve">Signature Aura EDP 100ML+15ML Refillable Travel Spray</t>
  </si>
  <si>
    <t xml:space="preserve">signature aura</t>
  </si>
  <si>
    <t xml:space="preserve">signature aura uk</t>
  </si>
  <si>
    <t xml:space="preserve">buy signature aura online</t>
  </si>
  <si>
    <t xml:space="preserve">signature aura price</t>
  </si>
  <si>
    <t xml:space="preserve">signature aura edp</t>
  </si>
  <si>
    <t xml:space="preserve">signature aura perfume</t>
  </si>
  <si>
    <t xml:space="preserve">Signature Aura EDP</t>
  </si>
  <si>
    <t xml:space="preserve">Signature Aura EDP 100ml | Buy Online UK | Swansura</t>
  </si>
  <si>
    <t xml:space="preserve">Buy Signature Aura EDP online in the UK at Swansura. An amber unisex eau de parfum, 100ml. 100% authentic, fast UK delivery, free over £50.</t>
  </si>
  <si>
    <t xml:space="preserve">FR-321</t>
  </si>
  <si>
    <t xml:space="preserve">Signature Black Pour Homme 100ml EDP</t>
  </si>
  <si>
    <t xml:space="preserve">signature black pour homme</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</si>
  <si>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</si>
  <si>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</si>
  <si>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</si>
  <si>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</si>
  <si>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</si>
  <si>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</si>
  <si>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Signature Black Pour Homme EDP</t>
  </si>
  <si>
    <t xml:space="preserve">Signature Black Pour Homme EDP | Buy Online UK | Swansura</t>
  </si>
  <si>
    <t xml:space="preserve">Buy Signature Black Pour Homme EDP online in the UK at Swansura. A woody men's eau de parfum, 100ml. 100% authentic, fast UK delivery, free over £50.</t>
  </si>
  <si>
    <t xml:space="preserve">FR-322</t>
  </si>
  <si>
    <t xml:space="preserve">Signature Charm EDP 100ML+15ML Refillable Travel Spray</t>
  </si>
  <si>
    <t xml:space="preserve">signature charm</t>
  </si>
  <si>
    <t xml:space="preserve">signature charm uk</t>
  </si>
  <si>
    <t xml:space="preserve">buy signature charm online</t>
  </si>
  <si>
    <t xml:space="preserve">signature charm price</t>
  </si>
  <si>
    <t xml:space="preserve">signature charm edp</t>
  </si>
  <si>
    <t xml:space="preserve">signature charm perfume</t>
  </si>
  <si>
    <t xml:space="preserve">Signature Charm EDP</t>
  </si>
  <si>
    <t xml:space="preserve">Signature Charm EDP 100ml | Buy Online UK | Swansura</t>
  </si>
  <si>
    <t xml:space="preserve">Buy Signature Charm EDP online in the UK at Swansura. An amber unisex eau de parfum, 100ml. 100% authentic, fast UK delivery, free over £50.</t>
  </si>
  <si>
    <t xml:space="preserve">FR-323</t>
  </si>
  <si>
    <t xml:space="preserve">Signature Le Femme Gold 100ml EDP Spray</t>
  </si>
  <si>
    <t xml:space="preserve">signature le femme gold</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</si>
  <si>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</si>
  <si>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</si>
  <si>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</si>
  <si>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</si>
  <si>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</si>
  <si>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Signature Le Femme Gold EDP Spray</t>
  </si>
  <si>
    <t xml:space="preserve">Signature Le Femme Gold EDP Spray | Buy Online UK | Swansura</t>
  </si>
  <si>
    <t xml:space="preserve">Buy Signature Le Femme Gold EDP Spray online in the UK at Swansura. A floral women's eau de parfum, 100ml. 100% authentic, fast UK delivery, free over £50.</t>
  </si>
  <si>
    <t xml:space="preserve">FR-324</t>
  </si>
  <si>
    <t xml:space="preserve">Musk · Unisex Fragrance</t>
  </si>
  <si>
    <t xml:space="preserve">Signature Musk Eau De Parfum 100ml+15ml+Funnel (UNISEX)</t>
  </si>
  <si>
    <t xml:space="preserve">signature musk</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</si>
  <si>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</si>
  <si>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</si>
  <si>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</si>
  <si>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</si>
  <si>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</si>
  <si>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</si>
  <si>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Signature Musk Eau De Parfum</t>
  </si>
  <si>
    <t xml:space="preserve">Signature Musk Eau De Parfum | Buy Online UK | Swansura</t>
  </si>
  <si>
    <t xml:space="preserve">Buy Signature Musk Eau De Parfum online in the UK at Swansura. A musk unisex eau de parfum, 100ml. 100% authentic, fast UK delivery, free over £50.</t>
  </si>
  <si>
    <t xml:space="preserve">FR-325</t>
  </si>
  <si>
    <t xml:space="preserve">Signature Onyx Eau De Parfum 100ml+15ml+Funnel (UNISEX)</t>
  </si>
  <si>
    <t xml:space="preserve">signature onyx</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</si>
  <si>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</si>
  <si>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</si>
  <si>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</si>
  <si>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</si>
  <si>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</si>
  <si>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Signature Onyx Eau De Parfum</t>
  </si>
  <si>
    <t xml:space="preserve">Signature Onyx Eau De Parfum | Buy Online UK | Swansura</t>
  </si>
  <si>
    <t xml:space="preserve">Buy Signature Onyx Eau De Parfum online in the UK at Swansura. An amber unisex eau de parfum, 100ml. 100% authentic, fast UK delivery, free over £50.</t>
  </si>
  <si>
    <t xml:space="preserve">FR-326</t>
  </si>
  <si>
    <t xml:space="preserve">Signature Opal 100ml + 15ml Eau De Parfum</t>
  </si>
  <si>
    <t xml:space="preserve">signature opal</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</si>
  <si>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</si>
  <si>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</si>
  <si>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</si>
  <si>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</si>
  <si>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</si>
  <si>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t>
  </si>
  <si>
    <t xml:space="preserve">Signature Opal EDP 100ml | Buy Online UK | Swansura</t>
  </si>
  <si>
    <t xml:space="preserve">Buy Signature Opal online in the UK at Swansura. An amber unisex eau de parfum, 100ml. 100% authentic, fast UK delivery, free over £50.</t>
  </si>
  <si>
    <t xml:space="preserve">FR-327</t>
  </si>
  <si>
    <t xml:space="preserve">Signature Paradiso EDP 100ML+15ML Refillable Travel Spray</t>
  </si>
  <si>
    <t xml:space="preserve">signature paradiso</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</si>
  <si>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</si>
  <si>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</si>
  <si>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</si>
  <si>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</si>
  <si>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</si>
  <si>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Signature Paradiso EDP</t>
  </si>
  <si>
    <t xml:space="preserve">Signature Paradiso EDP 100ml | Buy Online UK | Swansura</t>
  </si>
  <si>
    <t xml:space="preserve">Buy Signature Paradiso EDP online in the UK at Swansura. An amber unisex eau de parfum, 100ml. 100% authentic, fast UK delivery, free over £50.</t>
  </si>
  <si>
    <t xml:space="preserve">FR-328</t>
  </si>
  <si>
    <t xml:space="preserve">Signature Santal Eau De Parfum 100ml+15ml (UNISEX)</t>
  </si>
  <si>
    <t xml:space="preserve">signature santal</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</si>
  <si>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</si>
  <si>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</si>
  <si>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</si>
  <si>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</si>
  <si>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</si>
  <si>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Signature Santal Eau De Parfum</t>
  </si>
  <si>
    <t xml:space="preserve">Signature Santal Eau De Parfum | Buy Online UK | Swansura</t>
  </si>
  <si>
    <t xml:space="preserve">Buy Signature Santal Eau De Parfum online in the UK at Swansura. An amber unisex eau de parfum, 100ml. 100% authentic, fast UK delivery, free over £50.</t>
  </si>
  <si>
    <t xml:space="preserve">FR-329</t>
  </si>
  <si>
    <t xml:space="preserve">Signature Sapphire Eau De Parfum 100ml+15ml+Funnel (UNISEX)</t>
  </si>
  <si>
    <t xml:space="preserve">signature sapphire</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</si>
  <si>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</si>
  <si>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</si>
  <si>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</si>
  <si>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</si>
  <si>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</si>
  <si>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Signature Sapphire Eau De Parfum</t>
  </si>
  <si>
    <t xml:space="preserve">Signature Sapphire Eau De Parfum | Buy Online UK | Swansura</t>
  </si>
  <si>
    <t xml:space="preserve">Buy Signature Sapphire Eau De Parfum online in the UK at Swansura. An amber unisex eau de parfum, 100ml. 100% authentic, fast UK delivery, free over £50.</t>
  </si>
  <si>
    <t xml:space="preserve">FR-330</t>
  </si>
  <si>
    <t xml:space="preserve">Signature Diamond 100ml +15ml Eau De Parfum Set</t>
  </si>
  <si>
    <t xml:space="preserve">signature diamond</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</si>
  <si>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</si>
  <si>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</si>
  <si>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</si>
  <si>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</si>
  <si>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</si>
  <si>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Signature Diamond</t>
  </si>
  <si>
    <t xml:space="preserve">Signature Diamond 100ml | Buy Online UK | Swansura</t>
  </si>
  <si>
    <t xml:space="preserve">Buy Signature Diamond online in the UK at Swansura. An amber unisex eau de parfum, 100ml. 100% authentic, fast UK delivery, free over £50.</t>
  </si>
  <si>
    <t xml:space="preserve">FR-331</t>
  </si>
  <si>
    <t xml:space="preserve">Signature Discovery Set 10x10ml</t>
  </si>
  <si>
    <t xml:space="preserve">10x10ml</t>
  </si>
  <si>
    <t xml:space="preserve">signature discovery set</t>
  </si>
  <si>
    <t xml:space="preserve">signature discovery set uk</t>
  </si>
  <si>
    <t xml:space="preserve">buy signature discovery set online</t>
  </si>
  <si>
    <t xml:space="preserve">signature discovery set price</t>
  </si>
  <si>
    <t xml:space="preserve">signature mini discovery set · signature parfum discovery set</t>
  </si>
  <si>
    <t xml:space="preserve">Signature Discovery Set 10x10ml | Buy Online UK | Swansura</t>
  </si>
  <si>
    <t xml:space="preserve">Buy Signature Discovery Set 10x10ml online in the UK at Swansura. An amber unisex fragrance, 10x10ml. 100% authentic, fast UK delivery, free over £50.</t>
  </si>
  <si>
    <t xml:space="preserve">FR-332</t>
  </si>
  <si>
    <t xml:space="preserve">Fresh · Unisex Fragrance</t>
  </si>
  <si>
    <t xml:space="preserve">Signature Blue 100ml Edp</t>
  </si>
  <si>
    <t xml:space="preserve">signature blue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</si>
  <si>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</si>
  <si>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</si>
  <si>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</si>
  <si>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</si>
  <si>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</si>
  <si>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</si>
  <si>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Signature Blue Edp</t>
  </si>
  <si>
    <t xml:space="preserve">Signature Blue Edp 100ml | Buy Online UK | Swansura</t>
  </si>
  <si>
    <t xml:space="preserve">Buy Signature Blue Edp online in the UK at Swansura. A fresh unisex eau de parfum, 100ml. 100% authentic, fast UK delivery, free over £50.</t>
  </si>
  <si>
    <t xml:space="preserve">FR-333</t>
  </si>
  <si>
    <t xml:space="preserve">Signature Jade 100ml Edp + 15ml Travel Spray</t>
  </si>
  <si>
    <t xml:space="preserve">signature jade</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</si>
  <si>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</si>
  <si>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</si>
  <si>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</si>
  <si>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</si>
  <si>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</si>
  <si>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Signature Jade Edp</t>
  </si>
  <si>
    <t xml:space="preserve">Signature Jade Edp 100ml | Buy Online UK | Swansura</t>
  </si>
  <si>
    <t xml:space="preserve">Buy Signature Jade Edp online in the UK at Swansura. An amber unisex eau de parfum, 100ml. 100% authentic, fast UK delivery, free over £50.</t>
  </si>
  <si>
    <t xml:space="preserve">FR-334</t>
  </si>
  <si>
    <t xml:space="preserve">Signature Rose 100ml Edp +15ml Travel Spray</t>
  </si>
  <si>
    <t xml:space="preserve">signature rose</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</si>
  <si>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</si>
  <si>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</si>
  <si>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</si>
  <si>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</si>
  <si>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</si>
  <si>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</si>
  <si>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Signature Rose Edp</t>
  </si>
  <si>
    <t xml:space="preserve">Signature Rose Edp 100ml | Buy Online UK | Swansura</t>
  </si>
  <si>
    <t xml:space="preserve">Buy Signature Rose Edp online in the UK at Swansura. A floral unisex eau de parfum, 100ml. 100% authentic, fast UK delivery, free over £50.</t>
  </si>
  <si>
    <t xml:space="preserve">Swansura - The Body Studio</t>
  </si>
  <si>
    <t xml:space="preserve">acqua di parma zafferano</t>
  </si>
  <si>
    <t xml:space="preserve">acqua di parma zafferano uk</t>
  </si>
  <si>
    <t xml:space="preserve">buy acqua di parma zafferano online</t>
  </si>
  <si>
    <t xml:space="preserve">acqua di parma zafferano price</t>
  </si>
  <si>
    <t xml:space="preserve">acqua di parma zafferano edp</t>
  </si>
  <si>
    <t xml:space="preserve">acqua di parma zafferano review · acqua di parma zafferano eau de parfum · acqua di parma zafferano 100ml · acqua di parma zafferano dupe · acqua di parma zafferano edp</t>
  </si>
  <si>
    <t xml:space="preserve">Acqua di Parma Zafferano EDP Unisex</t>
  </si>
  <si>
    <t xml:space="preserve">Acqua di Parma Zafferano Unisex EDP 20ml | Swansura UK</t>
  </si>
  <si>
    <t xml:space="preserve">Buy Acqua di Parma Zafferano EDP Unisex online in the UK at Swansura. An amber unisex eau de parfum, 20ml. 100% authentic, fast UK delivery, free over £50.</t>
  </si>
  <si>
    <t xml:space="preserve">FR-336</t>
  </si>
  <si>
    <t xml:space="preserve">Hermès Un Jardin en Méditerranée EDT 15ml Miniature Unisex Fragrance</t>
  </si>
  <si>
    <t xml:space="preserve">hermes un jardin en mediterranee miniature</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</si>
  <si>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</si>
  <si>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</si>
  <si>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</si>
  <si>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</si>
  <si>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EDT Miniature Unisex Fragrance</t>
  </si>
  <si>
    <t xml:space="preserve">Hermès Un Jardin En Méditerranée Miniature | Swansura UK</t>
  </si>
  <si>
    <t xml:space="preserve">Buy Hermès Un Jardin En Méditerranée EDT Miniature Unisex Fragrance at Swansura UK. An amber unisex eau de toilette. 100% authentic, free UK delivery over £50.</t>
  </si>
  <si>
    <t xml:space="preserve">FR-337</t>
  </si>
  <si>
    <t xml:space="preserve">Hermès Un Jardin Sur Le Toit Eau de Toilette 15ml Miniature Unisex Fragrance</t>
  </si>
  <si>
    <t xml:space="preserve">hermes un jardin sur le toit miniature</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</si>
  <si>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</si>
  <si>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</si>
  <si>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</si>
  <si>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</si>
  <si>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</si>
  <si>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Eau de Toilette Miniature Unisex Fragrance</t>
  </si>
  <si>
    <t xml:space="preserve">Hermès Un Jardin Sur Le Toit Miniature Unisex | Swansura UK</t>
  </si>
  <si>
    <t xml:space="preserve">Buy Hermès Un Jardin Sur Le Toit Eau de Toilette Miniature Unisex Fragrance at Swansura UK. An amber unisex eau de toilette, 15ml. Free UK delivery over £50.</t>
  </si>
  <si>
    <t xml:space="preserve">FR-338</t>
  </si>
  <si>
    <t xml:space="preserve">Hermès Un Jardin à Cythère Eau de Toilette 15ml Miniature Unisex Fragrance</t>
  </si>
  <si>
    <t xml:space="preserve">hermes un jardin a cythere miniature</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</si>
  <si>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</si>
  <si>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</si>
  <si>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</si>
  <si>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</si>
  <si>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Eau de Toilette Miniature Unisex Fragrance</t>
  </si>
  <si>
    <t xml:space="preserve">Hermès Un Jardin À Cythère Miniature Unisex | Swansura UK</t>
  </si>
  <si>
    <t xml:space="preserve">Buy Hermès Un Jardin À Cythère Eau de Toilette Miniature Unisex Fragrance at Swansura UK. An amber unisex eau de toilette, 15ml. Free UK delivery over £50.</t>
  </si>
  <si>
    <t xml:space="preserve">FR-339</t>
  </si>
  <si>
    <t xml:space="preserve">Korloff In White Eau De Toilette 88ML</t>
  </si>
  <si>
    <t xml:space="preserve">korloff in white</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</si>
  <si>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</si>
  <si>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</si>
  <si>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</si>
  <si>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</si>
  <si>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</si>
  <si>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Korloff In White Eau De Toilette</t>
  </si>
  <si>
    <t xml:space="preserve">Korloff In White Eau De Toilette | Buy Online UK | Swansura</t>
  </si>
  <si>
    <t xml:space="preserve">Buy Korloff In White Eau De Toilette online in the UK at Swansura. An amber unisex eau de toilette, 88ML. 100% authentic, fast UK delivery, free over £50.</t>
  </si>
  <si>
    <t xml:space="preserve">FR-340</t>
  </si>
  <si>
    <t xml:space="preserve">Hermès Miniature EDT Gift Set 4 x 7.5ml Unisex Fragrances</t>
  </si>
  <si>
    <t xml:space="preserve">7.5ml</t>
  </si>
  <si>
    <t xml:space="preserve">hermes miniature gift set 4 x fragrances</t>
  </si>
  <si>
    <t xml:space="preserve">hermes miniature gift set 4 x fragrances uk</t>
  </si>
  <si>
    <t xml:space="preserve">buy hermes miniature gift set 4 x fragrances online</t>
  </si>
  <si>
    <t xml:space="preserve">hermes miniature gift set 4 x fragrances price</t>
  </si>
  <si>
    <t xml:space="preserve">Hermès Miniature EDT Gift Set 4 X Unisex Fragrances</t>
  </si>
  <si>
    <t xml:space="preserve">Hermès Miniature Gift Set 4 X Unisex | Swansura UK</t>
  </si>
  <si>
    <t xml:space="preserve">Buy Hermès Miniature EDT Gift Set 4 X Unisex Fragrances at Swansura UK. An amber unisex eau de toilette, 7.5ml. 100% authentic, fast UK delivery, free over £50.</t>
  </si>
  <si>
    <t xml:space="preserve">FR-341</t>
  </si>
  <si>
    <t xml:space="preserve">Casanova Anniversary Extrait de Parfum 100ml – Unisex Luxury Niche Perfume</t>
  </si>
  <si>
    <t xml:space="preserve">casanova anniversary</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</si>
  <si>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</si>
  <si>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</si>
  <si>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</si>
  <si>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</si>
  <si>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</si>
  <si>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t>
  </si>
  <si>
    <t xml:space="preserve">Casanova Anniversary Extrait de Parfum | Swansura UK</t>
  </si>
  <si>
    <t xml:space="preserve">Buy Casanova Anniversary Extrait de Parfum online in the UK at Swansura. An amber unisex extrait de parfum, 100ml. 100% authentic, free UK delivery over £50.</t>
  </si>
  <si>
    <t xml:space="preserve">FR-342</t>
  </si>
  <si>
    <t xml:space="preserve">The Woods Collection</t>
  </si>
  <si>
    <t xml:space="preserve">The Woods Collection Azure Eau De Parfum 100ML</t>
  </si>
  <si>
    <t xml:space="preserve">the woods collection azure</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</si>
  <si>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</si>
  <si>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</si>
  <si>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</si>
  <si>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</si>
  <si>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</si>
  <si>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</si>
  <si>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t>
  </si>
  <si>
    <t xml:space="preserve">The Woods Collection Azure Eau De Parfum | Swansura UK</t>
  </si>
  <si>
    <t xml:space="preserve">Buy The Woods Collection Azure Eau De Parfum online in the UK at Swansura. An amber unisex eau de parfum, 100ml. 100% authentic, free UK delivery over £50.</t>
  </si>
  <si>
    <t xml:space="preserve">FR-343</t>
  </si>
  <si>
    <t xml:space="preserve">The Woods Collection Eden Eau De Parfum 100ML</t>
  </si>
  <si>
    <t xml:space="preserve">the woods collection eden</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</si>
  <si>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</si>
  <si>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</si>
  <si>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</si>
  <si>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</si>
  <si>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</si>
  <si>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t>
  </si>
  <si>
    <t xml:space="preserve">The Woods Collection Eden Eau De Parfum | Swansura UK</t>
  </si>
  <si>
    <t xml:space="preserve">Buy The Woods Collection Eden Eau De Parfum online in the UK at Swansura. An amber unisex eau de parfum, 100ml. 100% authentic, fast UK delivery, free over £50.</t>
  </si>
  <si>
    <t xml:space="preserve">FR-344</t>
  </si>
  <si>
    <t xml:space="preserve">The Woods Collection Elysian Eau De Parfum 100ML</t>
  </si>
  <si>
    <t xml:space="preserve">the woods collection elysian</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</si>
  <si>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</si>
  <si>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</si>
  <si>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</si>
  <si>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</si>
  <si>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</si>
  <si>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</si>
  <si>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£50.</t>
  </si>
  <si>
    <t xml:space="preserve">FR-345</t>
  </si>
  <si>
    <t xml:space="preserve">Green · Unisex Fragrance</t>
  </si>
  <si>
    <t xml:space="preserve">The Woods Collection Green Walk Eau De Parfum 100ML</t>
  </si>
  <si>
    <t xml:space="preserve">the woods collection green walk</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</si>
  <si>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</si>
  <si>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</si>
  <si>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</si>
  <si>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</si>
  <si>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</si>
  <si>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</si>
  <si>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t>
  </si>
  <si>
    <t xml:space="preserve">The Woods Collection Green Walk Eau De Parfum | Swansura UK</t>
  </si>
  <si>
    <t xml:space="preserve">Buy The Woods Collection Green Walk Eau De Parfum online in the UK at Swansura. A green unisex eau de parfum, 100ml. 100% authentic, free UK delivery over £50.</t>
  </si>
  <si>
    <t xml:space="preserve">FR-346</t>
  </si>
  <si>
    <t xml:space="preserve">The Woods Collection Mirage Eau De Parfum 100ML</t>
  </si>
  <si>
    <t xml:space="preserve">the woods collection mirage</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</si>
  <si>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</si>
  <si>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</si>
  <si>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</si>
  <si>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</si>
  <si>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</si>
  <si>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t>
  </si>
  <si>
    <t xml:space="preserve">The Woods Collection Mirage Eau De Parfum | Swansura UK</t>
  </si>
  <si>
    <t xml:space="preserve">Buy The Woods Collection Mirage Eau De Parfum online in the UK at Swansura. An amber unisex eau de parfum, 100ml. 100% authentic, free UK delivery over £50.</t>
  </si>
  <si>
    <t xml:space="preserve">FR-347</t>
  </si>
  <si>
    <t xml:space="preserve">The Woods Collection Pure Shine Eau De Parfum 100ML</t>
  </si>
  <si>
    <t xml:space="preserve">the woods collection pure shine</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</si>
  <si>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</si>
  <si>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</si>
  <si>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</si>
  <si>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</si>
  <si>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</si>
  <si>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t>
  </si>
  <si>
    <t xml:space="preserve">The Woods Collection Pure Shine Eau De Parfum | Swansura UK</t>
  </si>
  <si>
    <t xml:space="preserve">Buy The Woods Collection Pure Shine Eau De Parfum online in the UK at Swansura. An amber unisex eau de parfum, 100ml. 100% authentic, free UK delivery over £50.</t>
  </si>
  <si>
    <t xml:space="preserve">FR-348</t>
  </si>
  <si>
    <t xml:space="preserve">The Woods Collection Secret Source Eau De Parfum 100ML</t>
  </si>
  <si>
    <t xml:space="preserve">the woods collection secret source</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</si>
  <si>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</si>
  <si>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</si>
  <si>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</si>
  <si>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</si>
  <si>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</si>
  <si>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The Woods Collection Secret Source Eau De Parfum</t>
  </si>
  <si>
    <t xml:space="preserve">The Woods Collection Secret Source EDP 100ml | Swansura UK</t>
  </si>
  <si>
    <t xml:space="preserve">Buy The Woods Collection Secret Source Eau De Parfum online in the UK at Swansura. An amber unisex eau de parfum. 100% authentic, free UK delivery over £50.</t>
  </si>
  <si>
    <t xml:space="preserve">FR-349</t>
  </si>
  <si>
    <t xml:space="preserve">The Woods Collection Sunrise Eau De Parfum 100ML</t>
  </si>
  <si>
    <t xml:space="preserve">the woods collection sunrise</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</si>
  <si>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</si>
  <si>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</si>
  <si>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</si>
  <si>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</si>
  <si>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</si>
  <si>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t>
  </si>
  <si>
    <t xml:space="preserve">The Woods Collection Sunrise Eau De Parfum | Swansura UK</t>
  </si>
  <si>
    <t xml:space="preserve">Buy The Woods Collection Sunrise Eau De Parfum online in the UK at Swansura. An amber unisex eau de parfum, 100ml. 100% authentic, free UK delivery over £50.</t>
  </si>
  <si>
    <t xml:space="preserve">FR-350</t>
  </si>
  <si>
    <t xml:space="preserve">The Woods Collection Timeless Sands Eau De Parfum 100ML</t>
  </si>
  <si>
    <t xml:space="preserve">the woods collection timeless sands</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</si>
  <si>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</si>
  <si>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</si>
  <si>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</si>
  <si>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</si>
  <si>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</si>
  <si>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The Woods Collection Timeless Sands Eau De Parfum</t>
  </si>
  <si>
    <t xml:space="preserve">The Woods Collection Timeless Sands EDP 100ml | Swansura UK</t>
  </si>
  <si>
    <t xml:space="preserve">Buy The Woods Collection Timeless Sands Eau De Parfum online in the UK at Swansura. An amber unisex eau de parfum. 100% authentic, free UK delivery over £50.</t>
  </si>
  <si>
    <t xml:space="preserve">FR-351</t>
  </si>
  <si>
    <t xml:space="preserve">The Woods Collection Twilight Eau De Parfum 100ML</t>
  </si>
  <si>
    <t xml:space="preserve">the woods collection twilight</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</si>
  <si>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</si>
  <si>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</si>
  <si>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</si>
  <si>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</si>
  <si>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</si>
  <si>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t>
  </si>
  <si>
    <t xml:space="preserve">The Woods Collection Twilight Eau De Parfum | Swansura UK</t>
  </si>
  <si>
    <t xml:space="preserve">Buy The Woods Collection Twilight Eau De Parfum online in the UK at Swansura. An amber unisex eau de parfum, 100ml. 100% authentic, free UK delivery over £50.</t>
  </si>
  <si>
    <t xml:space="preserve">FR-352</t>
  </si>
  <si>
    <t xml:space="preserve">The Woods Collection Wild Roses Eau De Parfum 100ML</t>
  </si>
  <si>
    <t xml:space="preserve">the woods collection wild roses</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</si>
  <si>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</si>
  <si>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</si>
  <si>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</si>
  <si>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</si>
  <si>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</si>
  <si>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t>
  </si>
  <si>
    <t xml:space="preserve">The Woods Collection Wild Roses Eau De Parfum | Swansura UK</t>
  </si>
  <si>
    <t xml:space="preserve">Buy The Woods Collection Wild Roses Eau De Parfum online in the UK at Swansura. An amber unisex eau de parfum, 100ml. 100% authentic, free UK delivery over £50.</t>
  </si>
  <si>
    <t xml:space="preserve">FR-353</t>
  </si>
  <si>
    <t xml:space="preserve">Tiziana Terenzi</t>
  </si>
  <si>
    <t xml:space="preserve">Akragas Extrait de Parfum 100ml – Classic Collection Unisex Niche Perfume</t>
  </si>
  <si>
    <t xml:space="preserve">tiziana terenzi akragas</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</si>
  <si>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</si>
  <si>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</si>
  <si>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</si>
  <si>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</si>
  <si>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</si>
  <si>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</si>
  <si>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</si>
  <si>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</si>
  <si>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£50.</t>
  </si>
  <si>
    <t xml:space="preserve">FR-354</t>
  </si>
  <si>
    <t xml:space="preserve">Andromeda Extrait de Parfum 100ml – Unisex Luxury Niche Perfume</t>
  </si>
  <si>
    <t xml:space="preserve">tiziana terenzi andromeda</t>
  </si>
  <si>
    <t xml:space="preserve">tiziana terenzi andromeda uk</t>
  </si>
  <si>
    <t xml:space="preserve">buy tiziana terenzi andromeda online</t>
  </si>
  <si>
    <t xml:space="preserve">tiziana terenzi andromeda price</t>
  </si>
  <si>
    <t xml:space="preserve">tiziana terenzi andromeda extrait de parfum</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</si>
  <si>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</si>
  <si>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</si>
  <si>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</si>
  <si>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£50.</t>
  </si>
  <si>
    <t xml:space="preserve">FR-355</t>
  </si>
  <si>
    <t xml:space="preserve">Borelli Extrait de Parfum Linea TT 100ml – Comete Collection Luxury Unisex Perfume</t>
  </si>
  <si>
    <t xml:space="preserve">tiziana terenzi borelli linea tt</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</si>
  <si>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</si>
  <si>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</si>
  <si>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</si>
  <si>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</si>
  <si>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</si>
  <si>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</si>
  <si>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£50.</t>
  </si>
  <si>
    <t xml:space="preserve">FR-356</t>
  </si>
  <si>
    <t xml:space="preserve">Caput Mundi Extrait de Parfum 100ml – Luna Collection Luxury Unisex Perfume</t>
  </si>
  <si>
    <t xml:space="preserve">tiziana terenzi caput mundi</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</si>
  <si>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</si>
  <si>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</si>
  <si>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</si>
  <si>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</si>
  <si>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</si>
  <si>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</si>
  <si>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</si>
  <si>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£50.</t>
  </si>
  <si>
    <t xml:space="preserve">FR-357</t>
  </si>
  <si>
    <t xml:space="preserve">Caput Mundi Extrait de Parfum 100ml – Luxury Unisex Oud Perfume</t>
  </si>
  <si>
    <t xml:space="preserve">tiziana terenzi perfume · oud perfume uk</t>
  </si>
  <si>
    <t xml:space="preserve">Buy Caput Mundi Extrait de Parfum online in the UK at Swansura. An oud unisex extrait de parfum, 100ml. 100% authentic, fast UK delivery, free over £50.</t>
  </si>
  <si>
    <t xml:space="preserve">FR-358</t>
  </si>
  <si>
    <t xml:space="preserve">Chimaera Anniversary Extrait de Parfum 100ml – Unisex Luxury Niche Perfume</t>
  </si>
  <si>
    <t xml:space="preserve">tiziana terenzi chimaera anniversary</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</si>
  <si>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</si>
  <si>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</si>
  <si>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</si>
  <si>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</si>
  <si>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</si>
  <si>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</si>
  <si>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£50.</t>
  </si>
  <si>
    <t xml:space="preserve">FR-359</t>
  </si>
  <si>
    <t xml:space="preserve">Draconis Extrait de Parfum 100ml – Luxury Unisex Niche Perfume</t>
  </si>
  <si>
    <t xml:space="preserve">tiziana terenzi draconis</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</si>
  <si>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</si>
  <si>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</si>
  <si>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</si>
  <si>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</si>
  <si>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</si>
  <si>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</si>
  <si>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</si>
  <si>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£50.</t>
  </si>
  <si>
    <t xml:space="preserve">FR-360</t>
  </si>
  <si>
    <t xml:space="preserve">Dubhe Assoluto Extrait de Parfum 100ml – Luxury Unisex Niche Perfume</t>
  </si>
  <si>
    <t xml:space="preserve">tiziana terenzi dubhe assoluto</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</si>
  <si>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</si>
  <si>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</si>
  <si>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</si>
  <si>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</si>
  <si>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</si>
  <si>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</si>
  <si>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£50.</t>
  </si>
  <si>
    <t xml:space="preserve">FR-361</t>
  </si>
  <si>
    <t xml:space="preserve">Ecstasy Extrait de Parfum 100ml – Luxury Unisex Niche Perfume</t>
  </si>
  <si>
    <t xml:space="preserve">tiziana terenzi ecstasy</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</si>
  <si>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</si>
  <si>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</si>
  <si>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</si>
  <si>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</si>
  <si>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</si>
  <si>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</si>
  <si>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</si>
  <si>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£50.</t>
  </si>
  <si>
    <t xml:space="preserve">FR-362</t>
  </si>
  <si>
    <t xml:space="preserve">Gold Rose Oudh Extrait de Parfum 100ml – Luxury Unisex Oud Perfume</t>
  </si>
  <si>
    <t xml:space="preserve">tiziana terenzi gold rose oudh</t>
  </si>
  <si>
    <t xml:space="preserve">tiziana terenzi gold rose oudh uk</t>
  </si>
  <si>
    <t xml:space="preserve">buy tiziana terenzi gold rose oudh online</t>
  </si>
  <si>
    <t xml:space="preserve">tiziana terenzi gold rose oudh price</t>
  </si>
  <si>
    <t xml:space="preserve">tiziana terenzi gold rose oudh extrait de parfum</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</si>
  <si>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</si>
  <si>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</si>
  <si>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</si>
  <si>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£50.</t>
  </si>
  <si>
    <t xml:space="preserve">FR-363</t>
  </si>
  <si>
    <t xml:space="preserve">Gumin Extrait de Parfum 100ml – Luxury Unisex Niche Perfume</t>
  </si>
  <si>
    <t xml:space="preserve">tiziana terenzi gumin</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</si>
  <si>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</si>
  <si>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</si>
  <si>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</si>
  <si>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</si>
  <si>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</si>
  <si>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</si>
  <si>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</si>
  <si>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£50.</t>
  </si>
  <si>
    <t xml:space="preserve">FR-364</t>
  </si>
  <si>
    <t xml:space="preserve">Kaff Extrait de Parfum 100ml – Luxury Unisex Niche Perfume</t>
  </si>
  <si>
    <t xml:space="preserve">tiziana terenzi kaff</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</si>
  <si>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</si>
  <si>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</si>
  <si>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</si>
  <si>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</si>
  <si>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</si>
  <si>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</si>
  <si>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</si>
  <si>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£50.</t>
  </si>
  <si>
    <t xml:space="preserve">tiziana terenzi kirke</t>
  </si>
  <si>
    <t xml:space="preserve">tiziana terenzi kirke uk</t>
  </si>
  <si>
    <t xml:space="preserve">buy tiziana terenzi kirke online</t>
  </si>
  <si>
    <t xml:space="preserve">tiziana terenzi kirke price</t>
  </si>
  <si>
    <t xml:space="preserve">tiziana terenzi kirke extrait de parfum</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</si>
  <si>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</si>
  <si>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</si>
  <si>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</si>
  <si>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</si>
  <si>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£50.</t>
  </si>
  <si>
    <t xml:space="preserve">FR-366</t>
  </si>
  <si>
    <t xml:space="preserve">Leo Extrait de Parfum 100ml – Luna Collection Luxury Unisex Perfume</t>
  </si>
  <si>
    <t xml:space="preserve">tiziana terenzi leo</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</si>
  <si>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</si>
  <si>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</si>
  <si>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</si>
  <si>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</si>
  <si>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</si>
  <si>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</si>
  <si>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</si>
  <si>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£50.</t>
  </si>
  <si>
    <t xml:space="preserve">FR-367</t>
  </si>
  <si>
    <t xml:space="preserve">Moro di Venezia Extrait de Parfum 100ml – Luna Collection Luxury Unisex Perfume</t>
  </si>
  <si>
    <t xml:space="preserve">tiziana terenzi moro di venezia</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</si>
  <si>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</si>
  <si>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</si>
  <si>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</si>
  <si>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</si>
  <si>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</si>
  <si>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</si>
  <si>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</si>
  <si>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£50.</t>
  </si>
  <si>
    <t xml:space="preserve">FR-368</t>
  </si>
  <si>
    <t xml:space="preserve">Orion Extrait de Parfum 100ml – Luxury Unisex Niche Perfume</t>
  </si>
  <si>
    <t xml:space="preserve">tiziana terenzi orion</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</si>
  <si>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</si>
  <si>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</si>
  <si>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</si>
  <si>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</si>
  <si>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</si>
  <si>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</si>
  <si>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</si>
  <si>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£50.</t>
  </si>
  <si>
    <t xml:space="preserve">FR-369</t>
  </si>
  <si>
    <t xml:space="preserve">Orza Extrait de Parfum Linea TT 100ml – Luxury Unisex Niche Perfume</t>
  </si>
  <si>
    <t xml:space="preserve">tiziana terenzi orza linea tt</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</si>
  <si>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</si>
  <si>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</si>
  <si>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</si>
  <si>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</si>
  <si>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</si>
  <si>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</si>
  <si>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£50.</t>
  </si>
  <si>
    <t xml:space="preserve">FR-370</t>
  </si>
  <si>
    <t xml:space="preserve">Porpora Extrait de Parfum 100ml – Luna Collection Red Moon Luxury Perfume</t>
  </si>
  <si>
    <t xml:space="preserve">tiziana terenzi porpora</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</si>
  <si>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</si>
  <si>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</si>
  <si>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</si>
  <si>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</si>
  <si>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</si>
  <si>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</si>
  <si>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</si>
  <si>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£50.</t>
  </si>
  <si>
    <t xml:space="preserve">FR-371</t>
  </si>
  <si>
    <t xml:space="preserve">Saiph Extrait de Parfum 100ml – Luna Stars Gold Luxury Unisex Perfume</t>
  </si>
  <si>
    <t xml:space="preserve">tiziana terenzi saiph</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</si>
  <si>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</si>
  <si>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</si>
  <si>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</si>
  <si>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</si>
  <si>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</si>
  <si>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</si>
  <si>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</si>
  <si>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£50.</t>
  </si>
  <si>
    <t xml:space="preserve">FR-372</t>
  </si>
  <si>
    <t xml:space="preserve">Aquatic · Unisex Fragrance</t>
  </si>
  <si>
    <t xml:space="preserve">Sea Stars Collection Deriva Extrait De Parfum 100ML</t>
  </si>
  <si>
    <t xml:space="preserve">tiziana terenzi sea stars collection deriva</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</si>
  <si>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</si>
  <si>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</si>
  <si>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</si>
  <si>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</si>
  <si>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</si>
  <si>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</si>
  <si>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</si>
  <si>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£50.</t>
  </si>
  <si>
    <t xml:space="preserve">FR-373</t>
  </si>
  <si>
    <t xml:space="preserve">White Fire Extrait de Parfum 100ml – Luxury Unisex Niche Perfume</t>
  </si>
  <si>
    <t xml:space="preserve">tiziana terenzi white fire</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</si>
  <si>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</si>
  <si>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</si>
  <si>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</si>
  <si>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</si>
  <si>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</si>
  <si>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</si>
  <si>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</si>
  <si>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£50.</t>
  </si>
  <si>
    <t xml:space="preserve">Tomford</t>
  </si>
  <si>
    <t xml:space="preserve">Spelling: Tom Ford</t>
  </si>
  <si>
    <t xml:space="preserve">tom ford neroli portofino</t>
  </si>
  <si>
    <t xml:space="preserve">tom ford neroli portofino uk</t>
  </si>
  <si>
    <t xml:space="preserve">buy tom ford neroli portofino online</t>
  </si>
  <si>
    <t xml:space="preserve">tom ford neroli portofino price</t>
  </si>
  <si>
    <t xml:space="preserve">tom ford neroli portofino eau de parfum</t>
  </si>
  <si>
    <t xml:space="preserve">tom ford perfume · amber perfume uk</t>
  </si>
  <si>
    <t xml:space="preserve">Tom Ford Neroli Portofino Eau de Parfum Unisex</t>
  </si>
  <si>
    <t xml:space="preserve">Tom Ford Neroli Portofino Eau de Parfum Unisex | Swansura UK</t>
  </si>
  <si>
    <t xml:space="preserve">Buy Tom Ford Neroli Portofino Eau de Parfum Unisex online in the UK at Swansura. An amber unisex eau de parfum, 50ml. 100% authentic, free UK delivery over £50.</t>
  </si>
  <si>
    <t xml:space="preserve">tom ford oud wood</t>
  </si>
  <si>
    <t xml:space="preserve">tom ford oud wood uk</t>
  </si>
  <si>
    <t xml:space="preserve">buy tom ford oud wood online</t>
  </si>
  <si>
    <t xml:space="preserve">tom ford oud wood price</t>
  </si>
  <si>
    <t xml:space="preserve">tom ford oud wood eau de parfum</t>
  </si>
  <si>
    <t xml:space="preserve">tom ford perfume · oud perfume uk</t>
  </si>
  <si>
    <t xml:space="preserve">Tom Ford Oud Wood Eau de Parfum Unisex</t>
  </si>
  <si>
    <t xml:space="preserve">Tom Ford Oud Wood Unisex EDP 50ml | Buy Online UK | Swansura</t>
  </si>
  <si>
    <t xml:space="preserve">Buy Tom Ford Oud Wood Eau de Parfum Unisex online in the UK at Swansura. An oud unisex eau de parfum, 50ml. 100% authentic, fast UK delivery, free over £50.</t>
  </si>
  <si>
    <t xml:space="preserve">FR-376</t>
  </si>
  <si>
    <t xml:space="preserve">Tom Ford Oud Wood Eau de Parfum Unisex | Swansura UK</t>
  </si>
  <si>
    <t xml:space="preserve">Buy Tom Ford Oud Wood Eau de Parfum Unisex online in the UK at Swansura. An oud unisex eau de parfum, Notspecified. 100% authentic, free UK delivery over £50.</t>
  </si>
  <si>
    <t xml:space="preserve">tom ford ebene fume</t>
  </si>
  <si>
    <t xml:space="preserve">tom ford ebene fume uk</t>
  </si>
  <si>
    <t xml:space="preserve">buy tom ford ebene fume online</t>
  </si>
  <si>
    <t xml:space="preserve">tom ford ebene fume price</t>
  </si>
  <si>
    <t xml:space="preserve">tom ford ebene fume eau de parfum</t>
  </si>
  <si>
    <t xml:space="preserve">Tom Ford Ébène Fumé Eau de Parfum Unisex</t>
  </si>
  <si>
    <t xml:space="preserve">Tom Ford Ébène Fumé Eau de Parfum Unisex | Swansura UK</t>
  </si>
  <si>
    <t xml:space="preserve">Buy Tom Ford Ébène Fumé Eau de Parfum Unisex online in the UK at Swansura. An amber unisex eau de parfum, 50ml. 100% authentic, fast UK delivery, free over £50.</t>
  </si>
  <si>
    <t xml:space="preserve">tom ford black orchid</t>
  </si>
  <si>
    <t xml:space="preserve">tom ford black orchid uk</t>
  </si>
  <si>
    <t xml:space="preserve">buy tom ford black orchid online</t>
  </si>
  <si>
    <t xml:space="preserve">tom ford black orchid price</t>
  </si>
  <si>
    <t xml:space="preserve">tom ford black orchid parfum</t>
  </si>
  <si>
    <t xml:space="preserve">Tom Ford Black Orchid Parfum Unisex</t>
  </si>
  <si>
    <t xml:space="preserve">Tom Ford Black Orchid Unisex Parfum 100ml | Swansura UK</t>
  </si>
  <si>
    <t xml:space="preserve">Buy Tom Ford Black Orchid Parfum Unisex online in the UK at Swansura. An amber unisex parfum, 100ml. 100% authentic, fast UK delivery, free over £50.</t>
  </si>
  <si>
    <t xml:space="preserve">tom ford noir extreme</t>
  </si>
  <si>
    <t xml:space="preserve">tom ford noir extreme uk</t>
  </si>
  <si>
    <t xml:space="preserve">buy tom ford noir extreme online</t>
  </si>
  <si>
    <t xml:space="preserve">tom ford noir extreme price</t>
  </si>
  <si>
    <t xml:space="preserve">tom ford noir extreme parfum</t>
  </si>
  <si>
    <t xml:space="preserve">tom ford perfume · tom ford perfume for men · woody perfume for men uk</t>
  </si>
  <si>
    <t xml:space="preserve">Tom Ford Noir Extreme Parfum for Men</t>
  </si>
  <si>
    <t xml:space="preserve">Tom Ford Noir Extreme Parfum for Men | Swansura UK</t>
  </si>
  <si>
    <t xml:space="preserve">Buy Tom Ford Noir Extreme Parfum for Men online in the UK at Swansura. A woody men's parfum, 100ml. 100% authentic, fast UK delivery, free over £50.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</si>
  <si>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</si>
  <si>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</si>
  <si>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</si>
  <si>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</si>
  <si>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</si>
  <si>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</si>
  <si>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</si>
  <si>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</si>
  <si>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</si>
  <si>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</si>
  <si>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t>
  </si>
  <si>
    <t xml:space="preserve">Trussardi Pure Jasmine Eau de Parfum Miniature | Swansura UK</t>
  </si>
  <si>
    <t xml:space="preserve">Buy Trussardi Pure Jasmine Eau de Parfum Miniature online in the UK at Swansura. A floral women's eau de parfum, 7ml. 100% authentic, free UK delivery over £50.</t>
  </si>
  <si>
    <t xml:space="preserve">FR-381</t>
  </si>
  <si>
    <t xml:space="preserve">Trussardi Pure Jasmine Eau de Parfum 90ml – Women's Floral Fragrance</t>
  </si>
  <si>
    <t xml:space="preserve">trussardi pure jasmine</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</si>
  <si>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</si>
  <si>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</si>
  <si>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</si>
  <si>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</si>
  <si>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</si>
  <si>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Eau de Parfum</t>
  </si>
  <si>
    <t xml:space="preserve">Trussardi Pure Jasmine EDP 90ml | Buy Online UK | Swansura</t>
  </si>
  <si>
    <t xml:space="preserve">Buy Trussardi Pure Jasmine Eau de Parfum online in the UK at Swansura. A floral women's eau de parfum, 90ml. 100% authentic, fast UK delivery, free over £50.</t>
  </si>
  <si>
    <t xml:space="preserve">FR-382</t>
  </si>
  <si>
    <t xml:space="preserve">Trussardi Black Extreme Eau de Toilette 7ml Miniature – Men's Woody Leather Fragrance</t>
  </si>
  <si>
    <t xml:space="preserve">trussardi black extreme miniature</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</si>
  <si>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</si>
  <si>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</si>
  <si>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</si>
  <si>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</si>
  <si>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</si>
  <si>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Trussardi Black Extreme Eau de Toilette Miniature</t>
  </si>
  <si>
    <t xml:space="preserve">Trussardi Black Extreme Miniature EDT 7ml | Swansura UK</t>
  </si>
  <si>
    <t xml:space="preserve">Buy Trussardi Black Extreme Eau de Toilette Miniature online in the UK at Swansura. A woody men's eau de toilette. 100% authentic, free UK delivery over £50.</t>
  </si>
  <si>
    <t xml:space="preserve">FR-383</t>
  </si>
  <si>
    <t xml:space="preserve">Trussardi Delicate Rose Eau de Toilette – Women's Floral Fruity Fragrance</t>
  </si>
  <si>
    <t xml:space="preserve">trussardi delicate rose</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</si>
  <si>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</si>
  <si>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</si>
  <si>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</si>
  <si>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</si>
  <si>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</si>
  <si>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Eau de Toilette</t>
  </si>
  <si>
    <t xml:space="preserve">Trussardi Delicate Rose EDT 50ml | Buy Online UK | Swansura</t>
  </si>
  <si>
    <t xml:space="preserve">Buy Trussardi Delicate Rose Eau de Toilette online in the UK at Swansura. A floral women's eau de toilette, 50ml. 100% authentic, free UK delivery over £50.</t>
  </si>
  <si>
    <t xml:space="preserve">FR-384</t>
  </si>
  <si>
    <t xml:space="preserve">Trussardi Pure Jasmine Lifestyle Mini Gift Set – Eau de Parfum 60ml + 10ml + 7ml</t>
  </si>
  <si>
    <t xml:space="preserve">trussardi pure jasmine lifestyle mini gift set</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</si>
  <si>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</si>
  <si>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</si>
  <si>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</si>
  <si>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</si>
  <si>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Trussardi Pure Jasmine Lifestyle Mini Gift Set</t>
  </si>
  <si>
    <t xml:space="preserve">Trussardi Pure Jasmine Lifestyle Mini Gift Set | Swansura UK</t>
  </si>
  <si>
    <t xml:space="preserve">Buy Trussardi Pure Jasmine Lifestyle Mini Gift Set online in the UK at Swansura. A floral unisex eau de parfum, 60ml. 100% authentic, free UK delivery over £50.</t>
  </si>
  <si>
    <t xml:space="preserve">FR-385</t>
  </si>
  <si>
    <t xml:space="preserve">Trussardi Ruby Red Eau de Parfum Gift Set 60ml + Stardust Body Emulsion 125ml – Women's Fragrance Set</t>
  </si>
  <si>
    <t xml:space="preserve">trussardi ruby red gift set</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</si>
  <si>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</si>
  <si>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</si>
  <si>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</si>
  <si>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</si>
  <si>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</si>
  <si>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t>
  </si>
  <si>
    <t xml:space="preserve">Trussardi Ruby Red Eau de Parfum Gift Set | Swansura UK</t>
  </si>
  <si>
    <t xml:space="preserve">Buy Trussardi Ruby Red Eau de Parfum Gift Set online in the UK at Swansura. A woody women's eau de parfum, 60ml. 100% authentic, free UK delivery over £50.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</si>
  <si>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</si>
  <si>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</si>
  <si>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</si>
  <si>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</si>
  <si>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</si>
  <si>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</si>
  <si>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</si>
  <si>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</si>
  <si>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</si>
  <si>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Viktor &amp; Rolf Good Fortune Eau de Parfum Miniature</t>
  </si>
  <si>
    <t xml:space="preserve">Viktor &amp; Rolf Good Fortune Miniature EDP 10ml | Swansura UK</t>
  </si>
  <si>
    <t xml:space="preserve">Buy Viktor &amp; Rolf Good Fortune Eau de Parfum Miniature online in the UK at Swansura. A floral women's eau de parfum. 100% authentic, free UK delivery over £50.</t>
  </si>
  <si>
    <t xml:space="preserve">FR-387</t>
  </si>
  <si>
    <t xml:space="preserve">YSL</t>
  </si>
  <si>
    <t xml:space="preserve">Yves Saint Laurent Yvresse Eau de Toilette (W) 80ml</t>
  </si>
  <si>
    <t xml:space="preserve">ysl yves saint laurent yvresse w</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</si>
  <si>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</si>
  <si>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</si>
  <si>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</si>
  <si>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</si>
  <si>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</si>
  <si>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</si>
  <si>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</si>
  <si>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£50.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</si>
  <si>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</si>
  <si>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</si>
  <si>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</si>
  <si>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</si>
  <si>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</si>
  <si>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</si>
  <si>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</si>
  <si>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</si>
  <si>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</si>
  <si>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</si>
  <si>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</si>
  <si>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</si>
  <si>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</si>
  <si>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</si>
  <si>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</si>
  <si>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</si>
  <si>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</si>
  <si>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</si>
  <si>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</si>
  <si>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</si>
  <si>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</si>
  <si>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</si>
  <si>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</si>
  <si>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</si>
  <si>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</si>
  <si>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</si>
  <si>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</si>
  <si>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</si>
  <si>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</si>
  <si>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</si>
  <si>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</si>
  <si>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</si>
  <si>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</si>
  <si>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</si>
  <si>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</si>
  <si>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</si>
  <si>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</si>
  <si>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</si>
  <si>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</si>
  <si>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</si>
  <si>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</si>
  <si>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</si>
  <si>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</si>
  <si>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</si>
  <si>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</si>
  <si>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</si>
  <si>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</si>
  <si>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</si>
  <si>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</si>
  <si>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</si>
  <si>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</si>
  <si>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</si>
  <si>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</si>
  <si>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</si>
  <si>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</si>
  <si>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</si>
  <si>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</si>
  <si>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</si>
  <si>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</si>
  <si>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</si>
  <si>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</si>
  <si>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</si>
  <si>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</si>
  <si>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</si>
  <si>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</si>
  <si>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</si>
  <si>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</si>
  <si>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</si>
  <si>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</si>
  <si>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</si>
  <si>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</si>
  <si>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</si>
  <si>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</si>
  <si>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</si>
  <si>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</si>
  <si>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</si>
  <si>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</si>
  <si>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</si>
  <si>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</si>
  <si>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</si>
  <si>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</si>
  <si>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</si>
  <si>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</si>
  <si>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</si>
  <si>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</si>
  <si>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</si>
  <si>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</si>
  <si>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</si>
  <si>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</si>
  <si>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</si>
  <si>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</si>
  <si>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</si>
  <si>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</si>
  <si>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</si>
  <si>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</si>
  <si>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</si>
  <si>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</si>
  <si>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</si>
  <si>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</si>
  <si>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</si>
  <si>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</si>
  <si>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</si>
  <si>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</si>
  <si>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</si>
  <si>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</si>
  <si>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</si>
  <si>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</si>
  <si>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</si>
  <si>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</si>
  <si>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</si>
  <si>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</si>
  <si>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</si>
  <si>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</si>
  <si>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</si>
  <si>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</si>
  <si>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</si>
  <si>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</si>
  <si>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</si>
  <si>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</si>
  <si>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</si>
  <si>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</si>
  <si>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</si>
  <si>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</si>
  <si>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</si>
  <si>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</si>
  <si>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</si>
  <si>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</si>
  <si>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</si>
  <si>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</si>
  <si>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</si>
  <si>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</si>
  <si>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</si>
  <si>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</si>
  <si>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</si>
  <si>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</si>
  <si>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</si>
  <si>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</si>
  <si>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</si>
  <si>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</si>
  <si>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</si>
  <si>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</si>
  <si>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</si>
  <si>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</si>
  <si>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</si>
  <si>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</si>
  <si>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</si>
  <si>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</si>
  <si>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</si>
  <si>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</si>
  <si>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</si>
  <si>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</si>
  <si>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</si>
  <si>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</si>
  <si>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</si>
  <si>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</si>
  <si>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</si>
  <si>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</si>
  <si>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</si>
  <si>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</si>
  <si>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</si>
  <si>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</si>
  <si>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</si>
  <si>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</si>
  <si>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</si>
  <si>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</si>
  <si>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</si>
  <si>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</si>
  <si>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</si>
  <si>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</si>
  <si>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</si>
  <si>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</si>
  <si>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</si>
  <si>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</si>
  <si>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</si>
  <si>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</si>
  <si>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</si>
  <si>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</si>
  <si>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</si>
  <si>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</si>
  <si>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</si>
  <si>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</si>
  <si>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</si>
  <si>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</si>
  <si>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</si>
  <si>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</si>
  <si>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</si>
  <si>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</si>
  <si>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</si>
  <si>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</si>
  <si>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</si>
  <si>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</si>
  <si>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</si>
  <si>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</si>
  <si>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</si>
  <si>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</si>
  <si>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</si>
  <si>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</si>
  <si>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</si>
  <si>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</si>
  <si>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</si>
  <si>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</si>
  <si>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</si>
  <si>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</si>
  <si>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</si>
  <si>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</si>
  <si>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</si>
  <si>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</si>
  <si>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</si>
  <si>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</si>
  <si>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</si>
  <si>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</si>
  <si>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</si>
  <si>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</si>
  <si>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</si>
  <si>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</si>
  <si>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</si>
  <si>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</si>
  <si>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</si>
  <si>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</si>
  <si>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</si>
  <si>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</si>
  <si>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</si>
  <si>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</si>
  <si>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</si>
  <si>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</si>
  <si>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</si>
  <si>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</si>
  <si>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</si>
  <si>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</si>
  <si>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</si>
  <si>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</si>
  <si>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</si>
  <si>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</si>
  <si>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</si>
  <si>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</si>
  <si>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</si>
  <si>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</si>
  <si>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</si>
  <si>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</si>
  <si>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</si>
  <si>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</si>
  <si>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</si>
  <si>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</si>
  <si>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</si>
  <si>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</si>
  <si>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</si>
  <si>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</si>
  <si>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</si>
  <si>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</si>
  <si>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</si>
  <si>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</si>
  <si>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</si>
  <si>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</si>
  <si>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</si>
  <si>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</si>
  <si>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</si>
  <si>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</si>
  <si>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</si>
  <si>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</si>
  <si>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</si>
  <si>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</si>
  <si>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</si>
  <si>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</si>
  <si>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</si>
  <si>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</si>
  <si>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</si>
  <si>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</si>
  <si>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</si>
  <si>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</si>
  <si>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</si>
  <si>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</si>
  <si>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</si>
  <si>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</si>
  <si>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</si>
  <si>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</si>
  <si>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</si>
  <si>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</si>
  <si>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</si>
  <si>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</si>
  <si>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</si>
  <si>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</si>
  <si>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</si>
  <si>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</si>
  <si>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</si>
  <si>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</si>
  <si>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</si>
  <si>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</si>
  <si>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</si>
  <si>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</si>
  <si>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</si>
  <si>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</si>
  <si>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</si>
  <si>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</si>
  <si>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</si>
  <si>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</si>
  <si>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</si>
  <si>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</si>
  <si>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</si>
  <si>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</si>
  <si>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</si>
  <si>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</si>
  <si>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</si>
  <si>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</si>
  <si>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</si>
  <si>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</si>
  <si>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</si>
  <si>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</si>
  <si>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</si>
  <si>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</si>
  <si>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</si>
  <si>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</si>
  <si>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</si>
  <si>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</si>
  <si>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</si>
  <si>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</si>
  <si>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</si>
  <si>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</si>
  <si>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</si>
  <si>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</si>
  <si>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</si>
  <si>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</si>
  <si>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</si>
  <si>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</si>
  <si>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</si>
  <si>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</si>
  <si>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</si>
  <si>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</si>
  <si>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</si>
  <si>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</si>
  <si>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</si>
  <si>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</si>
  <si>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</si>
  <si>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</si>
  <si>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</si>
  <si>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</si>
  <si>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</si>
  <si>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</si>
  <si>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</si>
  <si>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</si>
  <si>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</si>
  <si>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</si>
  <si>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</si>
  <si>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</si>
  <si>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</si>
  <si>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</si>
  <si>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</si>
  <si>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</si>
  <si>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</si>
  <si>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</si>
  <si>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</si>
  <si>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</si>
  <si>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</si>
  <si>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</si>
  <si>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</si>
  <si>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</si>
  <si>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</si>
  <si>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</si>
  <si>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</si>
  <si>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</si>
  <si>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</si>
  <si>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</si>
  <si>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</si>
  <si>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</si>
  <si>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</si>
  <si>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</si>
  <si>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</si>
  <si>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</si>
  <si>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</si>
  <si>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</si>
  <si>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</si>
  <si>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</si>
  <si>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</si>
  <si>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</si>
  <si>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</si>
  <si>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</si>
  <si>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</si>
  <si>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</si>
  <si>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</si>
  <si>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</si>
  <si>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</si>
  <si>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</si>
  <si>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</si>
  <si>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T3-1</t>
  </si>
  <si>
    <t xml:space="preserve">abercrombie &amp; fitch first instinct together men</t>
  </si>
  <si>
    <t xml:space="preserve">Google suggest</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</si>
  <si>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</si>
  <si>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</si>
  <si>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</si>
  <si>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</si>
  <si>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</si>
  <si>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</si>
  <si>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</si>
  <si>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</si>
  <si>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</si>
  <si>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</si>
  <si>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</si>
  <si>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</si>
  <si>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</si>
  <si>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</si>
  <si>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</si>
  <si>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</si>
  <si>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</si>
  <si>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</si>
  <si>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</si>
  <si>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</si>
  <si>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</si>
  <si>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acqua di parma rosa nobile dupe</t>
  </si>
  <si>
    <t xml:space="preserve">T3-2</t>
  </si>
  <si>
    <t xml:space="preserve">acqua di parma rosa nobile eau de parfum</t>
  </si>
  <si>
    <t xml:space="preserve">acqua di parma rosa nobile notes</t>
  </si>
  <si>
    <t xml:space="preserve">acqua di parma rosa nobile review</t>
  </si>
  <si>
    <t xml:space="preserve">acqua di parma sakura 100ml</t>
  </si>
  <si>
    <t xml:space="preserve">acqua di parma sakura eau de parfum</t>
  </si>
  <si>
    <t xml:space="preserve">acqua di parma sakura notes</t>
  </si>
  <si>
    <t xml:space="preserve">acqua di parma sakura review</t>
  </si>
  <si>
    <t xml:space="preserve">acqua di parma sandalo 100ml</t>
  </si>
  <si>
    <t xml:space="preserve">acqua di parma sandalo 50ml</t>
  </si>
  <si>
    <t xml:space="preserve">acqua di parma sandalo dupe</t>
  </si>
  <si>
    <t xml:space="preserve">acqua di parma sandalo eau de parfum</t>
  </si>
  <si>
    <t xml:space="preserve">acqua di parma sandalo review</t>
  </si>
  <si>
    <t xml:space="preserve">acqua di parma zafferano 100ml</t>
  </si>
  <si>
    <t xml:space="preserve">acqua di parma zafferano dupe</t>
  </si>
  <si>
    <t xml:space="preserve">acqua di parma zafferano eau de parfum</t>
  </si>
  <si>
    <t xml:space="preserve">acqua di parma zafferano review</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</si>
  <si>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</si>
  <si>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</si>
  <si>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</si>
  <si>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</si>
  <si>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</si>
  <si>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</si>
  <si>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</si>
  <si>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</si>
  <si>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</si>
  <si>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</si>
  <si>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</si>
  <si>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</si>
  <si>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</si>
  <si>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</si>
  <si>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</si>
  <si>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</si>
  <si>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</si>
  <si>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</si>
  <si>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</si>
  <si>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</si>
  <si>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</si>
  <si>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</si>
  <si>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</si>
  <si>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</si>
  <si>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</si>
  <si>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</si>
  <si>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dupe of</t>
  </si>
  <si>
    <t xml:space="preserve">al haramain amber oud gold edition notes</t>
  </si>
  <si>
    <t xml:space="preserve">al haramain amber oud gold edition review</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</si>
  <si>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</si>
  <si>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</si>
  <si>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</si>
  <si>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</si>
  <si>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</si>
  <si>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</si>
  <si>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</si>
  <si>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dupe of</t>
  </si>
  <si>
    <t xml:space="preserve">al haramain amber oud tobacco edition notes</t>
  </si>
  <si>
    <t xml:space="preserve">al haramain amber oud tobacco edition review</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</si>
  <si>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</si>
  <si>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</si>
  <si>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</si>
  <si>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</si>
  <si>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</si>
  <si>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</si>
  <si>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</si>
  <si>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</si>
  <si>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</si>
  <si>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</si>
  <si>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</si>
  <si>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</si>
  <si>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</si>
  <si>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</si>
  <si>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</si>
  <si>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</si>
  <si>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</si>
  <si>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</si>
  <si>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</si>
  <si>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</si>
  <si>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</si>
  <si>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anna sui sky perfume review</t>
  </si>
  <si>
    <t xml:space="preserve">anna sui sky review</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</si>
  <si>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</si>
  <si>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</si>
  <si>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</si>
  <si>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</si>
  <si>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</si>
  <si>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</si>
  <si>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</si>
  <si>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</si>
  <si>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</si>
  <si>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</si>
  <si>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</si>
  <si>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</si>
  <si>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</si>
  <si>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</si>
  <si>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</si>
  <si>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</si>
  <si>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</si>
  <si>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</si>
  <si>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</si>
  <si>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</si>
  <si>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</si>
  <si>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</si>
  <si>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</si>
  <si>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</si>
  <si>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</si>
  <si>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</si>
  <si>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</si>
  <si>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</si>
  <si>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</si>
  <si>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</si>
  <si>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t>
  </si>
  <si>
    <t xml:space="preserve">bentley azure 2026 price</t>
  </si>
  <si>
    <t xml:space="preserve">bentley azure for men</t>
  </si>
  <si>
    <t xml:space="preserve">bentley azure for sale</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</si>
  <si>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</si>
  <si>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</si>
  <si>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</si>
  <si>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</si>
  <si>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</si>
  <si>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</si>
  <si>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</si>
  <si>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</si>
  <si>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</si>
  <si>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</si>
  <si>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</si>
  <si>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</si>
  <si>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</si>
  <si>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</si>
  <si>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</si>
  <si>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</si>
  <si>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</si>
  <si>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</si>
  <si>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</si>
  <si>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</si>
  <si>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</si>
  <si>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</si>
  <si>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</si>
  <si>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</si>
  <si>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</si>
  <si>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</si>
  <si>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</si>
  <si>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</si>
  <si>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</si>
  <si>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</si>
  <si>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</si>
  <si>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</si>
  <si>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</si>
  <si>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</si>
  <si>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</si>
  <si>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</si>
  <si>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</si>
  <si>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notes</t>
  </si>
  <si>
    <t xml:space="preserve">bvlgari man in black parfum</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</si>
  <si>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</si>
  <si>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</si>
  <si>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</si>
  <si>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</si>
  <si>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</si>
  <si>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</si>
  <si>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</si>
  <si>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</si>
  <si>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</si>
  <si>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</si>
  <si>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</si>
  <si>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</si>
  <si>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</si>
  <si>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</si>
  <si>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</si>
  <si>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</si>
  <si>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dupe</t>
  </si>
  <si>
    <t xml:space="preserve">bvlgari omnia amethyste edp</t>
  </si>
  <si>
    <t xml:space="preserve">bvlgari omnia amethyste notes</t>
  </si>
  <si>
    <t xml:space="preserve">bvlgari omnia amethyste review</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</si>
  <si>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</si>
  <si>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</si>
  <si>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</si>
  <si>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</si>
  <si>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</si>
  <si>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</si>
  <si>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</si>
  <si>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</si>
  <si>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</si>
  <si>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</si>
  <si>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</si>
  <si>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</si>
  <si>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t>
  </si>
  <si>
    <t xml:space="preserve">calvin klein defy perfume price</t>
  </si>
  <si>
    <t xml:space="preserve">calvin klein defy review</t>
  </si>
  <si>
    <t xml:space="preserve">calvin klein eternity for men</t>
  </si>
  <si>
    <t xml:space="preserve">calvin klein eternity for women</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</si>
  <si>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</si>
  <si>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</si>
  <si>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</si>
  <si>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</si>
  <si>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</si>
  <si>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</si>
  <si>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</si>
  <si>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notes</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</si>
  <si>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</si>
  <si>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</si>
  <si>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</si>
  <si>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</si>
  <si>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</si>
  <si>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</si>
  <si>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</si>
  <si>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</si>
  <si>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</si>
  <si>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</si>
  <si>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</si>
  <si>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</si>
  <si>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</si>
  <si>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</si>
  <si>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</si>
  <si>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</si>
  <si>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</si>
  <si>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</si>
  <si>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</si>
  <si>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</si>
  <si>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</si>
  <si>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</si>
  <si>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</si>
  <si>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</si>
  <si>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</si>
  <si>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</si>
  <si>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</si>
  <si>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</si>
  <si>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</si>
  <si>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</si>
  <si>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</si>
  <si>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</si>
  <si>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</si>
  <si>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</si>
  <si>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</si>
  <si>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</si>
  <si>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</si>
  <si>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</si>
  <si>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</si>
  <si>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</si>
  <si>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</si>
  <si>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</si>
  <si>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</si>
  <si>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</si>
  <si>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</si>
  <si>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</si>
  <si>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perfume</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</si>
  <si>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</si>
  <si>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</si>
  <si>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</si>
  <si>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</si>
  <si>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</si>
  <si>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</si>
  <si>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</si>
  <si>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</si>
  <si>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</si>
  <si>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</si>
  <si>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</si>
  <si>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</si>
  <si>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</si>
  <si>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</si>
  <si>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</si>
  <si>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</si>
  <si>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</si>
  <si>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</si>
  <si>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</si>
  <si>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</si>
  <si>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</si>
  <si>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</si>
  <si>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</si>
  <si>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</si>
  <si>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</si>
  <si>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</si>
  <si>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</si>
  <si>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</si>
  <si>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</si>
  <si>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</si>
  <si>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</si>
  <si>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</si>
  <si>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</si>
  <si>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</si>
  <si>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</si>
  <si>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</si>
  <si>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</si>
  <si>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</si>
  <si>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</si>
  <si>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</si>
  <si>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</si>
  <si>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</si>
  <si>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t>
  </si>
  <si>
    <t xml:space="preserve">davidoff the game perfume price</t>
  </si>
  <si>
    <t xml:space="preserve">davidoff the game review</t>
  </si>
  <si>
    <t xml:space="preserve">deyga 100 pure aloe vera gel</t>
  </si>
  <si>
    <t xml:space="preserve">deyga aloe vera gel review</t>
  </si>
  <si>
    <t xml:space="preserve">deyga anti dandruff oil</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</si>
  <si>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</si>
  <si>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</si>
  <si>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</si>
  <si>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</si>
  <si>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</si>
  <si>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</si>
  <si>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</si>
  <si>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</si>
  <si>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</si>
  <si>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</si>
  <si>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</si>
  <si>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</si>
  <si>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</si>
  <si>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</si>
  <si>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</si>
  <si>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</si>
  <si>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</si>
  <si>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</si>
  <si>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</si>
  <si>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</si>
  <si>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</si>
  <si>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</si>
  <si>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</si>
  <si>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</si>
  <si>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</si>
  <si>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</si>
  <si>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</si>
  <si>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</si>
  <si>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</si>
  <si>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</si>
  <si>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</si>
  <si>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</si>
  <si>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</si>
  <si>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</si>
  <si>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</si>
  <si>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</si>
  <si>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</si>
  <si>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</si>
  <si>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</si>
  <si>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</si>
  <si>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</si>
  <si>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</si>
  <si>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</si>
  <si>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</si>
  <si>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</si>
  <si>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</si>
  <si>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</si>
  <si>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</si>
  <si>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</si>
  <si>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</si>
  <si>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</si>
  <si>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</si>
  <si>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</si>
  <si>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</si>
  <si>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</si>
  <si>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</si>
  <si>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dior sauvage extrait</t>
  </si>
  <si>
    <t xml:space="preserve">dior sauvage parfum</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</si>
  <si>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</si>
  <si>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</si>
  <si>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</si>
  <si>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</si>
  <si>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</si>
  <si>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</si>
  <si>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</si>
  <si>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</si>
  <si>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</si>
  <si>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</si>
  <si>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</si>
  <si>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</si>
  <si>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</si>
  <si>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</si>
  <si>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</si>
  <si>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</si>
  <si>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</si>
  <si>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</si>
  <si>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</si>
  <si>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</si>
  <si>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</si>
  <si>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</si>
  <si>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</si>
  <si>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</si>
  <si>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</si>
  <si>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</si>
  <si>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</si>
  <si>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</si>
  <si>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</si>
  <si>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</si>
  <si>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</si>
  <si>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</si>
  <si>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edp</t>
  </si>
  <si>
    <t xml:space="preserve">dolce &amp; gabbana the one for men</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</si>
  <si>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</si>
  <si>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</si>
  <si>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</si>
  <si>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</si>
  <si>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</si>
  <si>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</si>
  <si>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</si>
  <si>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</si>
  <si>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</si>
  <si>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</si>
  <si>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</si>
  <si>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</si>
  <si>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</si>
  <si>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</si>
  <si>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</si>
  <si>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</si>
  <si>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</si>
  <si>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</si>
  <si>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</si>
  <si>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</si>
  <si>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</si>
  <si>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</si>
  <si>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</si>
  <si>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</si>
  <si>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</si>
  <si>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</si>
  <si>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</si>
  <si>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</si>
  <si>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</si>
  <si>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</si>
  <si>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</si>
  <si>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</si>
  <si>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</si>
  <si>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</si>
  <si>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</si>
  <si>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</si>
  <si>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</si>
  <si>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</si>
  <si>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</si>
  <si>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</si>
  <si>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</si>
  <si>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</si>
  <si>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</si>
  <si>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</si>
  <si>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</si>
  <si>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</si>
  <si>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</si>
  <si>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</si>
  <si>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</si>
  <si>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</si>
  <si>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</si>
  <si>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</si>
  <si>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</si>
  <si>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</si>
  <si>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</si>
  <si>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</si>
  <si>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</si>
  <si>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</si>
  <si>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</si>
  <si>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</si>
  <si>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</si>
  <si>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</si>
  <si>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</si>
  <si>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</si>
  <si>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</si>
  <si>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</si>
  <si>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</si>
  <si>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</si>
  <si>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</si>
  <si>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</si>
  <si>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</si>
  <si>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</si>
  <si>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</si>
  <si>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</si>
  <si>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</si>
  <si>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</si>
  <si>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</si>
  <si>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</si>
  <si>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</si>
  <si>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</si>
  <si>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</si>
  <si>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</si>
  <si>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</si>
  <si>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</si>
  <si>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</si>
  <si>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</si>
  <si>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</si>
  <si>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</si>
  <si>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</si>
  <si>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</si>
  <si>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</si>
  <si>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</si>
  <si>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</si>
  <si>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</si>
  <si>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</si>
  <si>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</si>
  <si>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</si>
  <si>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</si>
  <si>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</si>
  <si>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</si>
  <si>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</si>
  <si>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</si>
  <si>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</si>
  <si>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</si>
  <si>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</si>
  <si>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</si>
  <si>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</si>
  <si>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</si>
  <si>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</si>
  <si>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</si>
  <si>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</si>
  <si>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</si>
  <si>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</si>
  <si>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</si>
  <si>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</si>
  <si>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</si>
  <si>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</si>
  <si>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</si>
  <si>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</si>
  <si>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</si>
  <si>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</si>
  <si>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</si>
  <si>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</si>
  <si>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</si>
  <si>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</si>
  <si>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</si>
  <si>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</si>
  <si>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</si>
  <si>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</si>
  <si>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</si>
  <si>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</si>
  <si>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</si>
  <si>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</si>
  <si>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</si>
  <si>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</si>
  <si>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</si>
  <si>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</si>
  <si>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</si>
  <si>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</si>
  <si>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</si>
  <si>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</si>
  <si>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</si>
  <si>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</si>
  <si>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</si>
  <si>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</si>
  <si>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</si>
  <si>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</si>
  <si>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</si>
  <si>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</si>
  <si>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</si>
  <si>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</si>
  <si>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</si>
  <si>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</si>
  <si>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</si>
  <si>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</si>
  <si>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</si>
  <si>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</si>
  <si>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</si>
  <si>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</si>
  <si>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</si>
  <si>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</si>
  <si>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</si>
  <si>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</si>
  <si>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</si>
  <si>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</si>
  <si>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</si>
  <si>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</si>
  <si>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</si>
  <si>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</si>
  <si>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</si>
  <si>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</si>
  <si>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</si>
  <si>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</si>
  <si>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</si>
  <si>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</si>
  <si>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</si>
  <si>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full house review</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</si>
  <si>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</si>
  <si>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</si>
  <si>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</si>
  <si>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</si>
  <si>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</si>
  <si>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</si>
  <si>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</si>
  <si>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</si>
  <si>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</si>
  <si>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</si>
  <si>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</si>
  <si>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</si>
  <si>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</si>
  <si>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</si>
  <si>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</si>
  <si>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</si>
  <si>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</si>
  <si>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</si>
  <si>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</si>
  <si>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</si>
  <si>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</si>
  <si>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</si>
  <si>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</si>
  <si>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</si>
  <si>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</si>
  <si>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</si>
  <si>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</si>
  <si>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</si>
  <si>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</si>
  <si>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</si>
  <si>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</si>
  <si>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</si>
  <si>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</si>
  <si>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</si>
  <si>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</si>
  <si>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</si>
  <si>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</si>
  <si>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</si>
  <si>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</si>
  <si>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</si>
  <si>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</si>
  <si>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</si>
  <si>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wildcard review</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</si>
  <si>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</si>
  <si>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</si>
  <si>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</si>
  <si>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</si>
  <si>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</si>
  <si>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</si>
  <si>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</si>
  <si>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</si>
  <si>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</si>
  <si>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</si>
  <si>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</si>
  <si>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</si>
  <si>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</si>
  <si>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</si>
  <si>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</si>
  <si>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amarige perfume</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</si>
  <si>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</si>
  <si>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</si>
  <si>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</si>
  <si>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</si>
  <si>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</si>
  <si>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</si>
  <si>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</si>
  <si>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</si>
  <si>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</si>
  <si>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</si>
  <si>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</si>
  <si>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</si>
  <si>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</si>
  <si>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</si>
  <si>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</si>
  <si>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</si>
  <si>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</si>
  <si>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</si>
  <si>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</si>
  <si>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</si>
  <si>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dupe</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</si>
  <si>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</si>
  <si>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</si>
  <si>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</si>
  <si>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</si>
  <si>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</si>
  <si>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</si>
  <si>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</si>
  <si>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</si>
  <si>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</si>
  <si>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</si>
  <si>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</si>
  <si>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</si>
  <si>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</si>
  <si>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</si>
  <si>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</si>
  <si>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intense oud review</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</si>
  <si>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</si>
  <si>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</si>
  <si>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</si>
  <si>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</si>
  <si>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</si>
  <si>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</si>
  <si>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</si>
  <si>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</si>
  <si>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</si>
  <si>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</si>
  <si>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</si>
  <si>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</si>
  <si>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</si>
  <si>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</si>
  <si>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</si>
  <si>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</si>
  <si>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</si>
  <si>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</si>
  <si>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</si>
  <si>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</si>
  <si>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</si>
  <si>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</si>
  <si>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</si>
  <si>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</si>
  <si>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</si>
  <si>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</si>
  <si>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</si>
  <si>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</si>
  <si>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</si>
  <si>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</si>
  <si>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</si>
  <si>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</si>
  <si>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</si>
  <si>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</si>
  <si>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</si>
  <si>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</si>
  <si>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</si>
  <si>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</si>
  <si>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</si>
  <si>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</si>
  <si>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</si>
  <si>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</si>
  <si>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</si>
  <si>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</si>
  <si>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</si>
  <si>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</si>
  <si>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</si>
  <si>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</si>
  <si>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</si>
  <si>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</si>
  <si>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</si>
  <si>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</si>
  <si>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</si>
  <si>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</si>
  <si>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</si>
  <si>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</si>
  <si>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</si>
  <si>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</si>
  <si>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</si>
  <si>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</si>
  <si>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</si>
  <si>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</si>
  <si>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</si>
  <si>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</si>
  <si>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</si>
  <si>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</si>
  <si>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</si>
  <si>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</si>
  <si>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</si>
  <si>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joop homme notes</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</si>
  <si>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</si>
  <si>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</si>
  <si>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</si>
  <si>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</si>
  <si>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</si>
  <si>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</si>
  <si>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</si>
  <si>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</si>
  <si>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</si>
  <si>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</si>
  <si>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</si>
  <si>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</si>
  <si>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</si>
  <si>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</si>
  <si>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</si>
  <si>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</si>
  <si>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</si>
  <si>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</si>
  <si>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</si>
  <si>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</si>
  <si>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</si>
  <si>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</si>
  <si>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</si>
  <si>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</si>
  <si>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</si>
  <si>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</si>
  <si>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</si>
  <si>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</si>
  <si>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</si>
  <si>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</si>
  <si>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</si>
  <si>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</si>
  <si>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</si>
  <si>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</si>
  <si>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</si>
  <si>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</si>
  <si>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</si>
  <si>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</si>
  <si>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</si>
  <si>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</si>
  <si>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</si>
  <si>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</si>
  <si>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</si>
  <si>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</si>
  <si>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</si>
  <si>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</si>
  <si>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</si>
  <si>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</si>
  <si>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</si>
  <si>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</si>
  <si>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</si>
  <si>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</si>
  <si>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</si>
  <si>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notes</t>
  </si>
  <si>
    <t xml:space="preserve">marc jacobs honey perfume</t>
  </si>
  <si>
    <t xml:space="preserve">marc jacobs honey review</t>
  </si>
  <si>
    <t xml:space="preserve">marc jacobs perfect 100ml</t>
  </si>
  <si>
    <t xml:space="preserve">marc jacobs perfect edp</t>
  </si>
  <si>
    <t xml:space="preserve">marc jacobs perfect notes</t>
  </si>
  <si>
    <t xml:space="preserve">marc jacobs perfect perfume</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</si>
  <si>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</si>
  <si>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</si>
  <si>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</si>
  <si>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</si>
  <si>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</si>
  <si>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</si>
  <si>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</si>
  <si>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</si>
  <si>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</si>
  <si>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</si>
  <si>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</si>
  <si>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</si>
  <si>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</si>
  <si>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</si>
  <si>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l'air du temps perfume</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</si>
  <si>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</si>
  <si>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</si>
  <si>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</si>
  <si>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</si>
  <si>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</si>
  <si>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</si>
  <si>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</si>
  <si>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</si>
  <si>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</si>
  <si>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</si>
  <si>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</si>
  <si>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paloma picasso perfume</t>
  </si>
  <si>
    <t xml:space="preserve">paloma picasso perfume 100ml</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</si>
  <si>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</si>
  <si>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</si>
  <si>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</si>
  <si>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</si>
  <si>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</si>
  <si>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</si>
  <si>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</si>
  <si>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</si>
  <si>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</si>
  <si>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</si>
  <si>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</si>
  <si>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</si>
  <si>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</si>
  <si>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</si>
  <si>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</si>
  <si>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</si>
  <si>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</si>
  <si>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</si>
  <si>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</si>
  <si>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</si>
  <si>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</si>
  <si>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</si>
  <si>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</si>
  <si>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</si>
  <si>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</si>
  <si>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</si>
  <si>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</si>
  <si>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</si>
  <si>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</si>
  <si>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</si>
  <si>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</si>
  <si>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</si>
  <si>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</si>
  <si>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</si>
  <si>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</si>
  <si>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</si>
  <si>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</si>
  <si>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</si>
  <si>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</si>
  <si>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</si>
  <si>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</si>
  <si>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</si>
  <si>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</si>
  <si>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</si>
  <si>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</si>
  <si>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</si>
  <si>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</si>
  <si>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</si>
  <si>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</si>
  <si>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</si>
  <si>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</si>
  <si>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</si>
  <si>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</si>
  <si>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</si>
  <si>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</si>
  <si>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</si>
  <si>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</si>
  <si>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</si>
  <si>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</si>
  <si>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</si>
  <si>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</si>
  <si>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</si>
  <si>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</si>
  <si>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</si>
  <si>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</si>
  <si>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</si>
  <si>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</si>
  <si>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</si>
  <si>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</si>
  <si>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</si>
  <si>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</si>
  <si>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</si>
  <si>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</si>
  <si>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</si>
  <si>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</si>
  <si>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</si>
  <si>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</si>
  <si>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</si>
  <si>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</si>
  <si>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</si>
  <si>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</si>
  <si>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</si>
  <si>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</si>
  <si>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</si>
  <si>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</si>
  <si>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</si>
  <si>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</si>
  <si>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</si>
  <si>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</si>
  <si>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</si>
  <si>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</si>
  <si>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</si>
  <si>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</si>
  <si>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</si>
  <si>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</si>
  <si>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</si>
  <si>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</si>
  <si>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</si>
  <si>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</si>
  <si>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</si>
  <si>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</si>
  <si>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</si>
  <si>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</si>
  <si>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</si>
  <si>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</si>
  <si>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</si>
  <si>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</si>
  <si>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</si>
  <si>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</si>
  <si>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</si>
  <si>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</si>
  <si>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</si>
  <si>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</si>
  <si>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</si>
  <si>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</si>
  <si>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</si>
  <si>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</si>
  <si>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</si>
  <si>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</si>
  <si>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</si>
  <si>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</si>
  <si>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</si>
  <si>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</si>
  <si>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</si>
  <si>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</si>
  <si>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</si>
  <si>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</si>
  <si>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</si>
  <si>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</si>
  <si>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</si>
  <si>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</si>
  <si>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</si>
  <si>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</si>
  <si>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</si>
  <si>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</si>
  <si>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</si>
  <si>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</si>
  <si>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</si>
  <si>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</si>
  <si>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</si>
  <si>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</si>
  <si>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</si>
  <si>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</si>
  <si>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</si>
  <si>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</si>
  <si>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</si>
  <si>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</si>
  <si>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</si>
  <si>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</si>
  <si>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</si>
  <si>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</si>
  <si>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</si>
  <si>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</si>
  <si>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</si>
  <si>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</si>
  <si>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</si>
  <si>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</si>
  <si>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</si>
  <si>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</si>
  <si>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</si>
  <si>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</si>
  <si>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</si>
  <si>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</si>
  <si>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</si>
  <si>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</si>
  <si>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</si>
  <si>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</si>
  <si>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</si>
  <si>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</si>
  <si>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</si>
  <si>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</si>
  <si>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</si>
  <si>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</si>
  <si>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</si>
  <si>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</si>
  <si>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</si>
  <si>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</si>
  <si>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</si>
  <si>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</si>
  <si>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</si>
  <si>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</si>
  <si>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</si>
  <si>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</si>
  <si>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</si>
  <si>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</si>
  <si>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</si>
  <si>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</si>
  <si>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</si>
  <si>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</si>
  <si>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</si>
  <si>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</si>
  <si>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</si>
  <si>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</si>
  <si>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</si>
  <si>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</si>
  <si>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</si>
  <si>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</si>
  <si>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</si>
  <si>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</si>
  <si>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</si>
  <si>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</si>
  <si>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</si>
  <si>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</si>
  <si>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</si>
  <si>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</si>
  <si>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</si>
  <si>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</si>
  <si>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</si>
  <si>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</si>
  <si>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</si>
  <si>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</si>
  <si>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</si>
  <si>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</si>
  <si>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</si>
  <si>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</si>
  <si>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</si>
  <si>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</si>
  <si>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</si>
  <si>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</si>
  <si>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</si>
  <si>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</si>
  <si>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</si>
  <si>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</si>
  <si>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</si>
  <si>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</si>
  <si>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</si>
  <si>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</si>
  <si>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</si>
  <si>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</si>
  <si>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</si>
  <si>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</si>
  <si>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</si>
  <si>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</si>
  <si>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</si>
  <si>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</si>
  <si>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</si>
  <si>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</si>
  <si>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</si>
  <si>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</si>
  <si>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soap</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</si>
  <si>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</si>
  <si>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</si>
  <si>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</si>
  <si>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</si>
  <si>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</si>
  <si>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</si>
  <si>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</si>
  <si>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</si>
  <si>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</si>
  <si>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</si>
  <si>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</si>
  <si>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</si>
  <si>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</si>
  <si>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</si>
  <si>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</si>
  <si>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</si>
  <si>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</si>
  <si>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</si>
  <si>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</si>
  <si>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</si>
  <si>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</si>
  <si>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</si>
  <si>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</si>
  <si>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</si>
  <si>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</si>
  <si>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</si>
  <si>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</si>
  <si>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</si>
  <si>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</si>
  <si>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</si>
  <si>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</si>
  <si>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</si>
  <si>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</si>
  <si>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</si>
  <si>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</si>
  <si>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</si>
  <si>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</si>
  <si>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</si>
  <si>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</si>
  <si>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</si>
  <si>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</si>
  <si>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</si>
  <si>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</si>
  <si>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</si>
  <si>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</si>
  <si>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</si>
  <si>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</si>
  <si>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</si>
  <si>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</si>
  <si>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</si>
  <si>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</si>
  <si>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</si>
  <si>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</si>
  <si>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Tier 2</t>
  </si>
  <si>
    <t xml:space="preserve">Batch 11 · Tier 2</t>
  </si>
  <si>
    <t xml:space="preserve">Batch 12 · Tier 2</t>
  </si>
  <si>
    <t xml:space="preserve">Batch 13 · Tier 2</t>
  </si>
  <si>
    <t xml:space="preserve">Batch 14 · Tier 2</t>
  </si>
  <si>
    <t xml:space="preserve">Batch 15 · Tier 2</t>
  </si>
  <si>
    <t xml:space="preserve">Batch 16 · Tier 2</t>
  </si>
  <si>
    <t xml:space="preserve">Batch 17 · Tier 2/3</t>
  </si>
  <si>
    <t xml:space="preserve">Batch 18 · Tier 3</t>
  </si>
  <si>
    <t xml:space="preserve">Batch 19 · Tier 3</t>
  </si>
  <si>
    <t xml:space="preserve">Batch 20 · Tier 3</t>
  </si>
  <si>
    <t xml:space="preserve">Batch 21 · Tier 3</t>
  </si>
  <si>
    <t xml:space="preserve">Batch 22 · Tier 3</t>
  </si>
  <si>
    <t xml:space="preserve">Batch 23 · Tier 3</t>
  </si>
  <si>
    <t xml:space="preserve">Batch 24 · Tier 3</t>
  </si>
  <si>
    <t xml:space="preserve">Batch 25 · Tier 3</t>
  </si>
  <si>
    <t xml:space="preserve">Batch 26 · Tier 3</t>
  </si>
  <si>
    <t xml:space="preserve">Batch 27 · Tier 3</t>
  </si>
  <si>
    <t xml:space="preserve">Batch 28 · Tier 3</t>
  </si>
  <si>
    <t xml:space="preserve">Batch 29 · Tier 3</t>
  </si>
  <si>
    <t xml:space="preserve">Batch 30 · Tier 3</t>
  </si>
  <si>
    <t xml:space="preserve">Batch 31 · Tier 3</t>
  </si>
  <si>
    <t xml:space="preserve">Batch 32 · Tier 3</t>
  </si>
  <si>
    <t xml:space="preserve">Batch 33 · Tier 3</t>
  </si>
  <si>
    <t xml:space="preserve">Batch 34 · Tier 3</t>
  </si>
  <si>
    <t xml:space="preserve">Batch 35 · Tier 3</t>
  </si>
  <si>
    <t xml:space="preserve">Batch 36 · Tier 3</t>
  </si>
  <si>
    <t xml:space="preserve">Batch 37 · Tier 3</t>
  </si>
  <si>
    <t xml:space="preserve">Batch 38 · Tier 3</t>
  </si>
  <si>
    <t xml:space="preserve">T2 Batch 1</t>
  </si>
  <si>
    <t xml:space="preserve">T2 Batch 2</t>
  </si>
  <si>
    <t xml:space="preserve">T2 Batch 3</t>
  </si>
  <si>
    <t xml:space="preserve">T3 Batch 1</t>
  </si>
  <si>
    <t xml:space="preserve">T3 Batch 2</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</si>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</sst>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4">
    <numFmt numFmtId="164" formatCode="General"/>
    <numFmt numFmtId="165" formatCode="#,##0"/>
    <numFmt numFmtId="166" formatCode="\$0.00"/>
    <numFmt numFmtId="167"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10"/>
      <name val="Arial"/>
      <family val="0"/>
      <charset val="1"/>
    </font>
    <font>
      <b val="true"/>
      <sz val="10"/>
      <color rgb="FFFFFFFF"/>
      <name val="Arial"/>
      <family val="0"/>
      <charset val="1"/>
    </font>
    <font>
      <sz val="10"/>
      <color rgb="FF008000"/>
      <name val="Arial"/>
      <family val="0"/>
      <charset val="1"/>
    </font>
  </fonts>
  <fills count="5">
    <fill>
      <patternFill patternType="none"/>
    </fill>
    <fill>
      <patternFill patternType="gray125"/>
    </fill>
    <fill>
      <patternFill patternType="solid">
        <fgColor rgb="FF1F3B34"/>
        <bgColor rgb="FF3A2421"/>
      </patternFill>
    </fill>
    <fill>
      <patternFill patternType="solid">
        <fgColor rgb="FF9A7536"/>
        <bgColor rgb="FF808080"/>
      </patternFill>
    </fill>
    <fill>
      <patternFill patternType="solid">
        <fgColor rgb="FF3A2421"/>
        <bgColor rgb="FF1F3B34"/>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name val="Arial"/>
        <charset val="1"/>
        <family val="0"/>
        <b val="1"/>
        <color rgb="FF008000"/>
        <sz val="10"/>
      </font>
    </dxf>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A2421"/>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5" t="s">
        <v>20</v>
      </c>
    </row>
    <row r="2" customFormat="false" ht="15" hidden="false" customHeight="true" outlineLevel="0" collapsed="false">
      <c r="A2" s="6" t="s">
        <v>21</v>
      </c>
    </row>
    <row r="4" customFormat="false" ht="15.75" hidden="false" customHeight="true" outlineLevel="0" collapsed="false">
      <c r="A4" s="5" t="s">
        <v>22</v>
      </c>
    </row>
    <row r="5" customFormat="false" ht="15" hidden="false" customHeight="true" outlineLevel="0" collapsed="false">
      <c r="B5" s="7" t="s">
        <v>23</v>
      </c>
      <c r="D5" s="8" t="n">
        <f aca="false">COUNTA('Semrush Data'!A2:A5000)</f>
        <v>1142</v>
      </c>
    </row>
    <row r="6" customFormat="false" ht="15" hidden="false" customHeight="true" outlineLevel="0" collapsed="false">
      <c r="B6" s="7" t="s">
        <v>24</v>
      </c>
      <c r="D6" s="8" t="n">
        <f aca="false">COUNTIF('Semrush Data'!C2:C5000,"&gt;0")</f>
        <v>638</v>
      </c>
    </row>
    <row r="7" customFormat="false" ht="15" hidden="false" customHeight="true" outlineLevel="0" collapsed="false">
      <c r="B7" s="7" t="s">
        <v>25</v>
      </c>
      <c r="D7" s="8" t="n">
        <f aca="false">COUNTIF(Products!W2:W600,"&gt;0")</f>
        <v>265</v>
      </c>
    </row>
    <row r="8" customFormat="false" ht="15" hidden="false" customHeight="true" outlineLevel="0" collapsed="false">
      <c r="B8" s="7" t="s">
        <v>26</v>
      </c>
      <c r="D8" s="8" t="n">
        <f aca="false">COUNTIFS(Products!B2:B600,"Vilvah &amp; Deyga",Products!W2:W600,"&gt;0")</f>
        <v>18</v>
      </c>
    </row>
    <row r="9" customFormat="false" ht="15" hidden="false" customHeight="true" outlineLevel="0" collapsed="false">
      <c r="B9" s="7" t="s">
        <v>27</v>
      </c>
      <c r="D9" s="8" t="n">
        <f aca="false">COUNTIFS(Products!B2:B600,"Fragrance Catalogue",Products!W2:W600,"&gt;0")</f>
        <v>247</v>
      </c>
    </row>
    <row r="10" customFormat="false" ht="15" hidden="false" customHeight="true" outlineLevel="0" collapsed="false">
      <c r="B10" s="7" t="s">
        <v>28</v>
      </c>
      <c r="D10" s="8" t="n">
        <f aca="false">SUM(Products!W2:W600)</f>
        <v>221200</v>
      </c>
    </row>
    <row r="12" customFormat="false" ht="15.75" hidden="false" customHeight="true" outlineLevel="0" collapsed="false">
      <c r="A12" s="5" t="s">
        <v>29</v>
      </c>
    </row>
    <row r="13" customFormat="false" ht="30" hidden="false" customHeight="true" outlineLevel="0" collapsed="false">
      <c r="B13" s="9" t="s">
        <v>30</v>
      </c>
      <c r="C13" s="9"/>
      <c r="D13" s="9"/>
      <c r="E13" s="9"/>
      <c r="F13" s="9"/>
      <c r="G13" s="9"/>
      <c r="H13" s="9"/>
    </row>
    <row r="14" customFormat="false" ht="30" hidden="false" customHeight="true" outlineLevel="0" collapsed="false">
      <c r="B14" s="9" t="s">
        <v>31</v>
      </c>
      <c r="C14" s="9"/>
      <c r="D14" s="9"/>
      <c r="E14" s="9"/>
      <c r="F14" s="9"/>
      <c r="G14" s="9"/>
      <c r="H14" s="9"/>
    </row>
    <row r="15" customFormat="false" ht="30" hidden="false" customHeight="true" outlineLevel="0" collapsed="false">
      <c r="B15" s="9" t="s">
        <v>32</v>
      </c>
      <c r="C15" s="9"/>
      <c r="D15" s="9"/>
      <c r="E15" s="9"/>
      <c r="F15" s="9"/>
      <c r="G15" s="9"/>
      <c r="H15" s="9"/>
    </row>
    <row r="16" customFormat="false" ht="30" hidden="false" customHeight="true" outlineLevel="0" collapsed="false">
      <c r="B16" s="9" t="s">
        <v>33</v>
      </c>
      <c r="C16" s="9"/>
      <c r="D16" s="9"/>
      <c r="E16" s="9"/>
      <c r="F16" s="9"/>
      <c r="G16" s="9"/>
      <c r="H16" s="9"/>
    </row>
    <row r="17" customFormat="false" ht="30" hidden="false" customHeight="true" outlineLevel="0" collapsed="false">
      <c r="B17" s="9" t="s">
        <v>34</v>
      </c>
      <c r="C17" s="9"/>
      <c r="D17" s="9"/>
      <c r="E17" s="9"/>
      <c r="F17" s="9"/>
      <c r="G17" s="9"/>
      <c r="H17" s="9"/>
    </row>
    <row r="19" customFormat="false" ht="15.75" hidden="false" customHeight="true" outlineLevel="0" collapsed="false">
      <c r="A19" s="5" t="s">
        <v>35</v>
      </c>
    </row>
    <row r="20" customFormat="false" ht="15" hidden="false" customHeight="true" outlineLevel="0" collapsed="false">
      <c r="A20" s="6" t="s">
        <v>36</v>
      </c>
    </row>
    <row r="21" customFormat="false" ht="15" hidden="false" customHeight="true" outlineLevel="0" collapsed="false">
      <c r="A21" s="10" t="s">
        <v>37</v>
      </c>
      <c r="B21" s="10" t="s">
        <v>38</v>
      </c>
      <c r="C21" s="10" t="s">
        <v>39</v>
      </c>
      <c r="D21" s="10" t="s">
        <v>40</v>
      </c>
      <c r="E21" s="10" t="s">
        <v>41</v>
      </c>
      <c r="F21" s="10" t="s">
        <v>42</v>
      </c>
      <c r="G21" s="10" t="s">
        <v>43</v>
      </c>
      <c r="H21" s="10" t="s">
        <v>44</v>
      </c>
    </row>
    <row r="22" customFormat="false" ht="15" hidden="false" customHeight="true" outlineLevel="0" collapsed="false">
      <c r="A22" s="7" t="s">
        <v>45</v>
      </c>
      <c r="B22" s="7" t="s">
        <v>46</v>
      </c>
      <c r="C22" s="11" t="str">
        <f aca="false">INDEX(Products!$V$2:$V$600,MATCH(A22,Products!$A$2:$A$600,0))</f>
        <v>dior sauvage</v>
      </c>
      <c r="D22" s="12" t="n">
        <f aca="false">IFERROR(INDEX('Semrush Data'!$C$2:$C$5000,MATCH(C22,'Semrush Data'!$A$2:$A$5000,0)),"")</f>
        <v>60500</v>
      </c>
      <c r="E22" s="7" t="n">
        <f aca="false">IFERROR(INDEX('Semrush Data'!$D$2:$D$5000,MATCH(C22,'Semrush Data'!$A$2:$A$5000,0)),"")</f>
        <v>38</v>
      </c>
      <c r="F22" s="13" t="n">
        <f aca="false">IFERROR(INDEX('Semrush Data'!$E$2:$E$5000,MATCH(C22,'Semrush Data'!$A$2:$A$5000,0)),"")</f>
        <v>0.57</v>
      </c>
      <c r="G22" s="7" t="str">
        <f aca="false">IF(E22="","",IF(E22&lt;=20,"Easier",IF(E22&lt;=35,"Medium","Hard")))</f>
        <v>Hard</v>
      </c>
      <c r="H22" s="7" t="s">
        <v>47</v>
      </c>
    </row>
    <row r="23" customFormat="false" ht="15" hidden="false" customHeight="true" outlineLevel="0" collapsed="false">
      <c r="A23" s="7" t="s">
        <v>48</v>
      </c>
      <c r="B23" s="7" t="s">
        <v>49</v>
      </c>
      <c r="C23" s="11" t="str">
        <f aca="false">INDEX(Products!$V$2:$V$600,MATCH(A23,Products!$A$2:$A$600,0))</f>
        <v>tom ford black orchid</v>
      </c>
      <c r="D23" s="12" t="n">
        <f aca="false">IFERROR(INDEX('Semrush Data'!$C$2:$C$5000,MATCH(C23,'Semrush Data'!$A$2:$A$5000,0)),"")</f>
        <v>22200</v>
      </c>
      <c r="E23" s="7" t="n">
        <f aca="false">IFERROR(INDEX('Semrush Data'!$D$2:$D$5000,MATCH(C23,'Semrush Data'!$A$2:$A$5000,0)),"")</f>
        <v>22</v>
      </c>
      <c r="F23" s="13" t="n">
        <f aca="false">IFERROR(INDEX('Semrush Data'!$E$2:$E$5000,MATCH(C23,'Semrush Data'!$A$2:$A$5000,0)),"")</f>
        <v>0.49</v>
      </c>
      <c r="G23" s="7" t="str">
        <f aca="false">IF(E23="","",IF(E23&lt;=20,"Easier",IF(E23&lt;=35,"Medium","Hard")))</f>
        <v>Medium</v>
      </c>
      <c r="H23" s="7" t="s">
        <v>47</v>
      </c>
    </row>
    <row r="24" customFormat="false" ht="15" hidden="false" customHeight="true" outlineLevel="0" collapsed="false">
      <c r="A24" s="7" t="s">
        <v>50</v>
      </c>
      <c r="B24" s="7" t="s">
        <v>51</v>
      </c>
      <c r="C24" s="11" t="str">
        <f aca="false">INDEX(Products!$V$2:$V$600,MATCH(A24,Products!$A$2:$A$600,0))</f>
        <v>tom ford oud wood</v>
      </c>
      <c r="D24" s="12" t="n">
        <f aca="false">IFERROR(INDEX('Semrush Data'!$C$2:$C$5000,MATCH(C24,'Semrush Data'!$A$2:$A$5000,0)),"")</f>
        <v>18100</v>
      </c>
      <c r="E24" s="7" t="n">
        <f aca="false">IFERROR(INDEX('Semrush Data'!$D$2:$D$5000,MATCH(C24,'Semrush Data'!$A$2:$A$5000,0)),"")</f>
        <v>16</v>
      </c>
      <c r="F24" s="13" t="n">
        <f aca="false">IFERROR(INDEX('Semrush Data'!$E$2:$E$5000,MATCH(C24,'Semrush Data'!$A$2:$A$5000,0)),"")</f>
        <v>0.54</v>
      </c>
      <c r="G24" s="7" t="str">
        <f aca="false">IF(E24="","",IF(E24&lt;=20,"Easier",IF(E24&lt;=35,"Medium","Hard")))</f>
        <v>Easier</v>
      </c>
      <c r="H24" s="7" t="s">
        <v>47</v>
      </c>
    </row>
    <row r="25" customFormat="false" ht="15" hidden="false" customHeight="true" outlineLevel="0" collapsed="false">
      <c r="A25" s="7" t="s">
        <v>52</v>
      </c>
      <c r="B25" s="7" t="s">
        <v>53</v>
      </c>
      <c r="C25" s="11" t="str">
        <f aca="false">INDEX(Products!$V$2:$V$600,MATCH(A25,Products!$A$2:$A$600,0))</f>
        <v>joop! homme</v>
      </c>
      <c r="D25" s="12" t="n">
        <f aca="false">IFERROR(INDEX('Semrush Data'!$C$2:$C$5000,MATCH(C25,'Semrush Data'!$A$2:$A$5000,0)),"")</f>
        <v>9900</v>
      </c>
      <c r="E25" s="7" t="n">
        <f aca="false">IFERROR(INDEX('Semrush Data'!$D$2:$D$5000,MATCH(C25,'Semrush Data'!$A$2:$A$5000,0)),"")</f>
        <v>23</v>
      </c>
      <c r="F25" s="13" t="n">
        <f aca="false">IFERROR(INDEX('Semrush Data'!$E$2:$E$5000,MATCH(C25,'Semrush Data'!$A$2:$A$5000,0)),"")</f>
        <v>0.36</v>
      </c>
      <c r="G25" s="7" t="str">
        <f aca="false">IF(E25="","",IF(E25&lt;=20,"Easier",IF(E25&lt;=35,"Medium","Hard")))</f>
        <v>Medium</v>
      </c>
      <c r="H25" s="7" t="s">
        <v>47</v>
      </c>
    </row>
    <row r="26" customFormat="false" ht="15" hidden="false" customHeight="true" outlineLevel="0" collapsed="false">
      <c r="A26" s="7" t="s">
        <v>54</v>
      </c>
      <c r="B26" s="7" t="s">
        <v>55</v>
      </c>
      <c r="C26" s="11" t="str">
        <f aca="false">INDEX(Products!$V$2:$V$600,MATCH(A26,Products!$A$2:$A$600,0))</f>
        <v>tom ford noir extreme</v>
      </c>
      <c r="D26" s="12" t="n">
        <f aca="false">IFERROR(INDEX('Semrush Data'!$C$2:$C$5000,MATCH(C26,'Semrush Data'!$A$2:$A$5000,0)),"")</f>
        <v>8100</v>
      </c>
      <c r="E26" s="7" t="n">
        <f aca="false">IFERROR(INDEX('Semrush Data'!$D$2:$D$5000,MATCH(C26,'Semrush Data'!$A$2:$A$5000,0)),"")</f>
        <v>15</v>
      </c>
      <c r="F26" s="13" t="n">
        <f aca="false">IFERROR(INDEX('Semrush Data'!$E$2:$E$5000,MATCH(C26,'Semrush Data'!$A$2:$A$5000,0)),"")</f>
        <v>0.59</v>
      </c>
      <c r="G26" s="7" t="str">
        <f aca="false">IF(E26="","",IF(E26&lt;=20,"Easier",IF(E26&lt;=35,"Medium","Hard")))</f>
        <v>Easier</v>
      </c>
      <c r="H26" s="7" t="s">
        <v>47</v>
      </c>
    </row>
    <row r="27" customFormat="false" ht="15" hidden="false" customHeight="true" outlineLevel="0" collapsed="false">
      <c r="A27" s="7" t="s">
        <v>56</v>
      </c>
      <c r="B27" s="7" t="s">
        <v>57</v>
      </c>
      <c r="C27" s="11" t="str">
        <f aca="false">INDEX(Products!$V$2:$V$600,MATCH(A27,Products!$A$2:$A$600,0))</f>
        <v>gucci intense oud</v>
      </c>
      <c r="D27" s="12" t="n">
        <f aca="false">IFERROR(INDEX('Semrush Data'!$C$2:$C$5000,MATCH(C27,'Semrush Data'!$A$2:$A$5000,0)),"")</f>
        <v>6600</v>
      </c>
      <c r="E27" s="7" t="n">
        <f aca="false">IFERROR(INDEX('Semrush Data'!$D$2:$D$5000,MATCH(C27,'Semrush Data'!$A$2:$A$5000,0)),"")</f>
        <v>21</v>
      </c>
      <c r="F27" s="13" t="n">
        <f aca="false">IFERROR(INDEX('Semrush Data'!$E$2:$E$5000,MATCH(C27,'Semrush Data'!$A$2:$A$5000,0)),"")</f>
        <v>0.44</v>
      </c>
      <c r="G27" s="7" t="str">
        <f aca="false">IF(E27="","",IF(E27&lt;=20,"Easier",IF(E27&lt;=35,"Medium","Hard")))</f>
        <v>Medium</v>
      </c>
      <c r="H27" s="7" t="s">
        <v>47</v>
      </c>
    </row>
    <row r="28" customFormat="false" ht="15" hidden="false" customHeight="true" outlineLevel="0" collapsed="false">
      <c r="A28" s="7" t="s">
        <v>58</v>
      </c>
      <c r="B28" s="7" t="s">
        <v>59</v>
      </c>
      <c r="C28" s="11" t="str">
        <f aca="false">INDEX(Products!$V$2:$V$600,MATCH(A28,Products!$A$2:$A$600,0))</f>
        <v>marc jacobs perfect</v>
      </c>
      <c r="D28" s="12" t="n">
        <f aca="false">IFERROR(INDEX('Semrush Data'!$C$2:$C$5000,MATCH(C28,'Semrush Data'!$A$2:$A$5000,0)),"")</f>
        <v>6600</v>
      </c>
      <c r="E28" s="7" t="n">
        <f aca="false">IFERROR(INDEX('Semrush Data'!$D$2:$D$5000,MATCH(C28,'Semrush Data'!$A$2:$A$5000,0)),"")</f>
        <v>26</v>
      </c>
      <c r="F28" s="13" t="n">
        <f aca="false">IFERROR(INDEX('Semrush Data'!$E$2:$E$5000,MATCH(C28,'Semrush Data'!$A$2:$A$5000,0)),"")</f>
        <v>0.36</v>
      </c>
      <c r="G28" s="7" t="str">
        <f aca="false">IF(E28="","",IF(E28&lt;=20,"Easier",IF(E28&lt;=35,"Medium","Hard")))</f>
        <v>Medium</v>
      </c>
      <c r="H28" s="7" t="s">
        <v>47</v>
      </c>
    </row>
    <row r="29" customFormat="false" ht="15" hidden="false" customHeight="true" outlineLevel="0" collapsed="false">
      <c r="A29" s="7" t="s">
        <v>60</v>
      </c>
      <c r="B29" s="7" t="s">
        <v>61</v>
      </c>
      <c r="C29" s="11" t="str">
        <f aca="false">INDEX(Products!$V$2:$V$600,MATCH(A29,Products!$A$2:$A$600,0))</f>
        <v>calvin klein eternity</v>
      </c>
      <c r="D29" s="12" t="n">
        <f aca="false">IFERROR(INDEX('Semrush Data'!$C$2:$C$5000,MATCH(C29,'Semrush Data'!$A$2:$A$5000,0)),"")</f>
        <v>4400</v>
      </c>
      <c r="E29" s="7" t="n">
        <f aca="false">IFERROR(INDEX('Semrush Data'!$D$2:$D$5000,MATCH(C29,'Semrush Data'!$A$2:$A$5000,0)),"")</f>
        <v>21</v>
      </c>
      <c r="F29" s="13" t="n">
        <f aca="false">IFERROR(INDEX('Semrush Data'!$E$2:$E$5000,MATCH(C29,'Semrush Data'!$A$2:$A$5000,0)),"")</f>
        <v>0.37</v>
      </c>
      <c r="G29" s="7" t="str">
        <f aca="false">IF(E29="","",IF(E29&lt;=20,"Easier",IF(E29&lt;=35,"Medium","Hard")))</f>
        <v>Medium</v>
      </c>
      <c r="H29" s="7" t="s">
        <v>47</v>
      </c>
    </row>
    <row r="30" customFormat="false" ht="15" hidden="false" customHeight="true" outlineLevel="0" collapsed="false">
      <c r="A30" s="7" t="s">
        <v>62</v>
      </c>
      <c r="B30" s="7" t="s">
        <v>63</v>
      </c>
      <c r="C30" s="11" t="str">
        <f aca="false">INDEX(Products!$V$2:$V$600,MATCH(A30,Products!$A$2:$A$600,0))</f>
        <v>hugo boss bottled</v>
      </c>
      <c r="D30" s="12" t="n">
        <f aca="false">IFERROR(INDEX('Semrush Data'!$C$2:$C$5000,MATCH(C30,'Semrush Data'!$A$2:$A$5000,0)),"")</f>
        <v>4400</v>
      </c>
      <c r="E30" s="7" t="n">
        <f aca="false">IFERROR(INDEX('Semrush Data'!$D$2:$D$5000,MATCH(C30,'Semrush Data'!$A$2:$A$5000,0)),"")</f>
        <v>28</v>
      </c>
      <c r="F30" s="13" t="n">
        <f aca="false">IFERROR(INDEX('Semrush Data'!$E$2:$E$5000,MATCH(C30,'Semrush Data'!$A$2:$A$5000,0)),"")</f>
        <v>0.45</v>
      </c>
      <c r="G30" s="7" t="str">
        <f aca="false">IF(E30="","",IF(E30&lt;=20,"Easier",IF(E30&lt;=35,"Medium","Hard")))</f>
        <v>Medium</v>
      </c>
      <c r="H30" s="7" t="s">
        <v>47</v>
      </c>
    </row>
    <row r="31" customFormat="false" ht="15" hidden="false" customHeight="true" outlineLevel="0" collapsed="false">
      <c r="A31" s="7" t="s">
        <v>64</v>
      </c>
      <c r="B31" s="7" t="s">
        <v>65</v>
      </c>
      <c r="C31" s="11" t="str">
        <f aca="false">INDEX(Products!$V$2:$V$600,MATCH(A31,Products!$A$2:$A$600,0))</f>
        <v>gucci flora gorgeous gardenia</v>
      </c>
      <c r="D31" s="12" t="n">
        <f aca="false">IFERROR(INDEX('Semrush Data'!$C$2:$C$5000,MATCH(C31,'Semrush Data'!$A$2:$A$5000,0)),"")</f>
        <v>4400</v>
      </c>
      <c r="E31" s="7" t="n">
        <f aca="false">IFERROR(INDEX('Semrush Data'!$D$2:$D$5000,MATCH(C31,'Semrush Data'!$A$2:$A$5000,0)),"")</f>
        <v>29</v>
      </c>
      <c r="F31" s="13" t="n">
        <f aca="false">IFERROR(INDEX('Semrush Data'!$E$2:$E$5000,MATCH(C31,'Semrush Data'!$A$2:$A$5000,0)),"")</f>
        <v>0.43</v>
      </c>
      <c r="G31" s="7" t="str">
        <f aca="false">IF(E31="","",IF(E31&lt;=20,"Easier",IF(E31&lt;=35,"Medium","Hard")))</f>
        <v>Medium</v>
      </c>
      <c r="H31" s="7" t="s">
        <v>47</v>
      </c>
    </row>
    <row r="32" customFormat="false" ht="15" hidden="false" customHeight="true" outlineLevel="0" collapsed="false">
      <c r="A32" s="7" t="s">
        <v>66</v>
      </c>
      <c r="B32" s="7" t="s">
        <v>67</v>
      </c>
      <c r="C32" s="11" t="str">
        <f aca="false">INDEX(Products!$V$2:$V$600,MATCH(A32,Products!$A$2:$A$600,0))</f>
        <v>tom ford neroli portofino</v>
      </c>
      <c r="D32" s="12" t="n">
        <f aca="false">IFERROR(INDEX('Semrush Data'!$C$2:$C$5000,MATCH(C32,'Semrush Data'!$A$2:$A$5000,0)),"")</f>
        <v>3600</v>
      </c>
      <c r="E32" s="7" t="n">
        <f aca="false">IFERROR(INDEX('Semrush Data'!$D$2:$D$5000,MATCH(C32,'Semrush Data'!$A$2:$A$5000,0)),"")</f>
        <v>14</v>
      </c>
      <c r="F32" s="13" t="n">
        <f aca="false">IFERROR(INDEX('Semrush Data'!$E$2:$E$5000,MATCH(C32,'Semrush Data'!$A$2:$A$5000,0)),"")</f>
        <v>0.63</v>
      </c>
      <c r="G32" s="7" t="str">
        <f aca="false">IF(E32="","",IF(E32&lt;=20,"Easier",IF(E32&lt;=35,"Medium","Hard")))</f>
        <v>Easier</v>
      </c>
      <c r="H32" s="7" t="s">
        <v>47</v>
      </c>
    </row>
    <row r="33" customFormat="false" ht="15" hidden="false" customHeight="true" outlineLevel="0" collapsed="false">
      <c r="A33" s="7" t="s">
        <v>68</v>
      </c>
      <c r="B33" s="7" t="s">
        <v>69</v>
      </c>
      <c r="C33" s="11" t="str">
        <f aca="false">INDEX(Products!$V$2:$V$600,MATCH(A33,Products!$A$2:$A$600,0))</f>
        <v>chloe nomade</v>
      </c>
      <c r="D33" s="12" t="n">
        <f aca="false">IFERROR(INDEX('Semrush Data'!$C$2:$C$5000,MATCH(C33,'Semrush Data'!$A$2:$A$5000,0)),"")</f>
        <v>2900</v>
      </c>
      <c r="E33" s="7" t="n">
        <f aca="false">IFERROR(INDEX('Semrush Data'!$D$2:$D$5000,MATCH(C33,'Semrush Data'!$A$2:$A$5000,0)),"")</f>
        <v>22</v>
      </c>
      <c r="F33" s="13" t="n">
        <f aca="false">IFERROR(INDEX('Semrush Data'!$E$2:$E$5000,MATCH(C33,'Semrush Data'!$A$2:$A$5000,0)),"")</f>
        <v>0.47</v>
      </c>
      <c r="G33" s="7" t="str">
        <f aca="false">IF(E33="","",IF(E33&lt;=20,"Easier",IF(E33&lt;=35,"Medium","Hard")))</f>
        <v>Medium</v>
      </c>
      <c r="H33" s="7" t="s">
        <v>47</v>
      </c>
    </row>
    <row r="34" customFormat="false" ht="15" hidden="false" customHeight="true" outlineLevel="0" collapsed="false">
      <c r="A34" s="7" t="s">
        <v>70</v>
      </c>
      <c r="B34" s="7" t="s">
        <v>71</v>
      </c>
      <c r="C34" s="11" t="str">
        <f aca="false">INDEX(Products!$V$2:$V$600,MATCH(A34,Products!$A$2:$A$600,0))</f>
        <v>paloma picasso</v>
      </c>
      <c r="D34" s="12" t="n">
        <f aca="false">IFERROR(INDEX('Semrush Data'!$C$2:$C$5000,MATCH(C34,'Semrush Data'!$A$2:$A$5000,0)),"")</f>
        <v>2900</v>
      </c>
      <c r="E34" s="7" t="n">
        <f aca="false">IFERROR(INDEX('Semrush Data'!$D$2:$D$5000,MATCH(C34,'Semrush Data'!$A$2:$A$5000,0)),"")</f>
        <v>30</v>
      </c>
      <c r="F34" s="13" t="n">
        <f aca="false">IFERROR(INDEX('Semrush Data'!$E$2:$E$5000,MATCH(C34,'Semrush Data'!$A$2:$A$5000,0)),"")</f>
        <v>0.35</v>
      </c>
      <c r="G34" s="7" t="str">
        <f aca="false">IF(E34="","",IF(E34&lt;=20,"Easier",IF(E34&lt;=35,"Medium","Hard")))</f>
        <v>Medium</v>
      </c>
      <c r="H34" s="7" t="s">
        <v>47</v>
      </c>
    </row>
    <row r="35" customFormat="false" ht="15" hidden="false" customHeight="true" outlineLevel="0" collapsed="false">
      <c r="A35" s="7" t="s">
        <v>72</v>
      </c>
      <c r="B35" s="7" t="s">
        <v>73</v>
      </c>
      <c r="C35" s="11" t="str">
        <f aca="false">INDEX(Products!$V$2:$V$600,MATCH(A35,Products!$A$2:$A$600,0))</f>
        <v>al haramain amber oud</v>
      </c>
      <c r="D35" s="12" t="n">
        <f aca="false">IFERROR(INDEX('Semrush Data'!$C$2:$C$5000,MATCH(C35,'Semrush Data'!$A$2:$A$5000,0)),"")</f>
        <v>2400</v>
      </c>
      <c r="E35" s="7" t="n">
        <f aca="false">IFERROR(INDEX('Semrush Data'!$D$2:$D$5000,MATCH(C35,'Semrush Data'!$A$2:$A$5000,0)),"")</f>
        <v>16</v>
      </c>
      <c r="F35" s="13" t="n">
        <f aca="false">IFERROR(INDEX('Semrush Data'!$E$2:$E$5000,MATCH(C35,'Semrush Data'!$A$2:$A$5000,0)),"")</f>
        <v>0.27</v>
      </c>
      <c r="G35" s="7" t="str">
        <f aca="false">IF(E35="","",IF(E35&lt;=20,"Easier",IF(E35&lt;=35,"Medium","Hard")))</f>
        <v>Easier</v>
      </c>
      <c r="H35" s="7" t="s">
        <v>47</v>
      </c>
    </row>
    <row r="36" customFormat="false" ht="15" hidden="false" customHeight="true" outlineLevel="0" collapsed="false">
      <c r="A36" s="7" t="s">
        <v>74</v>
      </c>
      <c r="B36" s="7" t="s">
        <v>75</v>
      </c>
      <c r="C36" s="11" t="str">
        <f aca="false">INDEX(Products!$V$2:$V$600,MATCH(A36,Products!$A$2:$A$600,0))</f>
        <v>marc jacobs honey</v>
      </c>
      <c r="D36" s="12" t="n">
        <f aca="false">IFERROR(INDEX('Semrush Data'!$C$2:$C$5000,MATCH(C36,'Semrush Data'!$A$2:$A$5000,0)),"")</f>
        <v>2400</v>
      </c>
      <c r="E36" s="7" t="n">
        <f aca="false">IFERROR(INDEX('Semrush Data'!$D$2:$D$5000,MATCH(C36,'Semrush Data'!$A$2:$A$5000,0)),"")</f>
        <v>23</v>
      </c>
      <c r="F36" s="13" t="n">
        <f aca="false">IFERROR(INDEX('Semrush Data'!$E$2:$E$5000,MATCH(C36,'Semrush Data'!$A$2:$A$5000,0)),"")</f>
        <v>0.38</v>
      </c>
      <c r="G36" s="7" t="str">
        <f aca="false">IF(E36="","",IF(E36&lt;=20,"Easier",IF(E36&lt;=35,"Medium","Hard")))</f>
        <v>Medium</v>
      </c>
      <c r="H36" s="7" t="s">
        <v>47</v>
      </c>
    </row>
    <row r="37" customFormat="false" ht="15" hidden="false" customHeight="true" outlineLevel="0" collapsed="false">
      <c r="A37" s="7" t="s">
        <v>76</v>
      </c>
      <c r="B37" s="7" t="s">
        <v>77</v>
      </c>
      <c r="C37" s="11" t="str">
        <f aca="false">INDEX(Products!$V$2:$V$600,MATCH(A37,Products!$A$2:$A$600,0))</f>
        <v>bvlgari man in black</v>
      </c>
      <c r="D37" s="12" t="n">
        <f aca="false">IFERROR(INDEX('Semrush Data'!$C$2:$C$5000,MATCH(C37,'Semrush Data'!$A$2:$A$5000,0)),"")</f>
        <v>1900</v>
      </c>
      <c r="E37" s="7" t="n">
        <f aca="false">IFERROR(INDEX('Semrush Data'!$D$2:$D$5000,MATCH(C37,'Semrush Data'!$A$2:$A$5000,0)),"")</f>
        <v>16</v>
      </c>
      <c r="F37" s="13" t="n">
        <f aca="false">IFERROR(INDEX('Semrush Data'!$E$2:$E$5000,MATCH(C37,'Semrush Data'!$A$2:$A$5000,0)),"")</f>
        <v>0.41</v>
      </c>
      <c r="G37" s="7" t="str">
        <f aca="false">IF(E37="","",IF(E37&lt;=20,"Easier",IF(E37&lt;=35,"Medium","Hard")))</f>
        <v>Easier</v>
      </c>
      <c r="H37" s="7" t="s">
        <v>47</v>
      </c>
    </row>
    <row r="38" customFormat="false" ht="15" hidden="false" customHeight="true" outlineLevel="0" collapsed="false">
      <c r="A38" s="7" t="s">
        <v>78</v>
      </c>
      <c r="B38" s="7" t="s">
        <v>79</v>
      </c>
      <c r="C38" s="11" t="str">
        <f aca="false">INDEX(Products!$V$2:$V$600,MATCH(A38,Products!$A$2:$A$600,0))</f>
        <v>gucci guilty pour homme</v>
      </c>
      <c r="D38" s="12" t="n">
        <f aca="false">IFERROR(INDEX('Semrush Data'!$C$2:$C$5000,MATCH(C38,'Semrush Data'!$A$2:$A$5000,0)),"")</f>
        <v>1600</v>
      </c>
      <c r="E38" s="7" t="n">
        <f aca="false">IFERROR(INDEX('Semrush Data'!$D$2:$D$5000,MATCH(C38,'Semrush Data'!$A$2:$A$5000,0)),"")</f>
        <v>23</v>
      </c>
      <c r="F38" s="13" t="n">
        <f aca="false">IFERROR(INDEX('Semrush Data'!$E$2:$E$5000,MATCH(C38,'Semrush Data'!$A$2:$A$5000,0)),"")</f>
        <v>0.42</v>
      </c>
      <c r="G38" s="7" t="str">
        <f aca="false">IF(E38="","",IF(E38&lt;=20,"Easier",IF(E38&lt;=35,"Medium","Hard")))</f>
        <v>Medium</v>
      </c>
      <c r="H38" s="7" t="s">
        <v>47</v>
      </c>
    </row>
    <row r="39" customFormat="false" ht="15" hidden="false" customHeight="true" outlineLevel="0" collapsed="false">
      <c r="A39" s="7" t="s">
        <v>80</v>
      </c>
      <c r="B39" s="7" t="s">
        <v>81</v>
      </c>
      <c r="C39" s="11" t="str">
        <f aca="false">INDEX(Products!$V$2:$V$600,MATCH(A39,Products!$A$2:$A$600,0))</f>
        <v>game of spades full house</v>
      </c>
      <c r="D39" s="12" t="n">
        <f aca="false">IFERROR(INDEX('Semrush Data'!$C$2:$C$5000,MATCH(C39,'Semrush Data'!$A$2:$A$5000,0)),"")</f>
        <v>1600</v>
      </c>
      <c r="E39" s="7" t="n">
        <f aca="false">IFERROR(INDEX('Semrush Data'!$D$2:$D$5000,MATCH(C39,'Semrush Data'!$A$2:$A$5000,0)),"")</f>
        <v>29</v>
      </c>
      <c r="F39" s="13" t="n">
        <f aca="false">IFERROR(INDEX('Semrush Data'!$E$2:$E$5000,MATCH(C39,'Semrush Data'!$A$2:$A$5000,0)),"")</f>
        <v>0.55</v>
      </c>
      <c r="G39" s="7" t="str">
        <f aca="false">IF(E39="","",IF(E39&lt;=20,"Easier",IF(E39&lt;=35,"Medium","Hard")))</f>
        <v>Medium</v>
      </c>
      <c r="H39" s="7" t="s">
        <v>47</v>
      </c>
    </row>
    <row r="40" customFormat="false" ht="15" hidden="false" customHeight="true" outlineLevel="0" collapsed="false">
      <c r="A40" s="7" t="s">
        <v>82</v>
      </c>
      <c r="B40" s="7" t="s">
        <v>83</v>
      </c>
      <c r="C40" s="11" t="str">
        <f aca="false">INDEX(Products!$V$2:$V$600,MATCH(A40,Products!$A$2:$A$600,0))</f>
        <v>nina ricci l'air du temps</v>
      </c>
      <c r="D40" s="12" t="n">
        <f aca="false">IFERROR(INDEX('Semrush Data'!$C$2:$C$5000,MATCH(C40,'Semrush Data'!$A$2:$A$5000,0)),"")</f>
        <v>1300</v>
      </c>
      <c r="E40" s="7" t="n">
        <f aca="false">IFERROR(INDEX('Semrush Data'!$D$2:$D$5000,MATCH(C40,'Semrush Data'!$A$2:$A$5000,0)),"")</f>
        <v>13</v>
      </c>
      <c r="F40" s="13" t="n">
        <f aca="false">IFERROR(INDEX('Semrush Data'!$E$2:$E$5000,MATCH(C40,'Semrush Data'!$A$2:$A$5000,0)),"")</f>
        <v>0.33</v>
      </c>
      <c r="G40" s="7" t="str">
        <f aca="false">IF(E40="","",IF(E40&lt;=20,"Easier",IF(E40&lt;=35,"Medium","Hard")))</f>
        <v>Easier</v>
      </c>
      <c r="H40" s="7" t="s">
        <v>47</v>
      </c>
    </row>
    <row r="41" customFormat="false" ht="15" hidden="false" customHeight="true" outlineLevel="0" collapsed="false">
      <c r="A41" s="7" t="s">
        <v>84</v>
      </c>
      <c r="B41" s="7" t="s">
        <v>85</v>
      </c>
      <c r="C41" s="11" t="str">
        <f aca="false">INDEX(Products!$V$2:$V$600,MATCH(A41,Products!$A$2:$A$600,0))</f>
        <v>bentley azure</v>
      </c>
      <c r="D41" s="12" t="n">
        <f aca="false">IFERROR(INDEX('Semrush Data'!$C$2:$C$5000,MATCH(C41,'Semrush Data'!$A$2:$A$5000,0)),"")</f>
        <v>1300</v>
      </c>
      <c r="E41" s="7" t="n">
        <f aca="false">IFERROR(INDEX('Semrush Data'!$D$2:$D$5000,MATCH(C41,'Semrush Data'!$A$2:$A$5000,0)),"")</f>
        <v>19</v>
      </c>
      <c r="F41" s="13" t="n">
        <f aca="false">IFERROR(INDEX('Semrush Data'!$E$2:$E$5000,MATCH(C41,'Semrush Data'!$A$2:$A$5000,0)),"")</f>
        <v>0.34</v>
      </c>
      <c r="G41" s="7" t="str">
        <f aca="false">IF(E41="","",IF(E41&lt;=20,"Easier",IF(E41&lt;=35,"Medium","Hard")))</f>
        <v>Easier</v>
      </c>
      <c r="H41" s="7" t="s">
        <v>47</v>
      </c>
    </row>
    <row r="42" customFormat="false" ht="15" hidden="false" customHeight="true" outlineLevel="0" collapsed="false">
      <c r="A42" s="7" t="s">
        <v>86</v>
      </c>
      <c r="B42" s="7" t="s">
        <v>87</v>
      </c>
      <c r="C42" s="11" t="str">
        <f aca="false">INDEX(Products!$V$2:$V$600,MATCH(A42,Products!$A$2:$A$600,0))</f>
        <v>hugo boss hugo man</v>
      </c>
      <c r="D42" s="12" t="n">
        <f aca="false">IFERROR(INDEX('Semrush Data'!$C$2:$C$5000,MATCH(C42,'Semrush Data'!$A$2:$A$5000,0)),"")</f>
        <v>1300</v>
      </c>
      <c r="E42" s="7" t="n">
        <f aca="false">IFERROR(INDEX('Semrush Data'!$D$2:$D$5000,MATCH(C42,'Semrush Data'!$A$2:$A$5000,0)),"")</f>
        <v>23</v>
      </c>
      <c r="F42" s="13" t="n">
        <f aca="false">IFERROR(INDEX('Semrush Data'!$E$2:$E$5000,MATCH(C42,'Semrush Data'!$A$2:$A$5000,0)),"")</f>
        <v>0.58</v>
      </c>
      <c r="G42" s="7" t="str">
        <f aca="false">IF(E42="","",IF(E42&lt;=20,"Easier",IF(E42&lt;=35,"Medium","Hard")))</f>
        <v>Medium</v>
      </c>
      <c r="H42" s="7" t="s">
        <v>47</v>
      </c>
    </row>
    <row r="43" customFormat="false" ht="15" hidden="false" customHeight="true" outlineLevel="0" collapsed="false">
      <c r="A43" s="7" t="s">
        <v>88</v>
      </c>
      <c r="B43" s="7" t="s">
        <v>89</v>
      </c>
      <c r="C43" s="11" t="str">
        <f aca="false">INDEX(Products!$V$2:$V$600,MATCH(A43,Products!$A$2:$A$600,0))</f>
        <v>calvin klein defy</v>
      </c>
      <c r="D43" s="12" t="n">
        <f aca="false">IFERROR(INDEX('Semrush Data'!$C$2:$C$5000,MATCH(C43,'Semrush Data'!$A$2:$A$5000,0)),"")</f>
        <v>1000</v>
      </c>
      <c r="E43" s="7" t="n">
        <f aca="false">IFERROR(INDEX('Semrush Data'!$D$2:$D$5000,MATCH(C43,'Semrush Data'!$A$2:$A$5000,0)),"")</f>
        <v>18</v>
      </c>
      <c r="F43" s="13" t="n">
        <f aca="false">IFERROR(INDEX('Semrush Data'!$E$2:$E$5000,MATCH(C43,'Semrush Data'!$A$2:$A$5000,0)),"")</f>
        <v>0.42</v>
      </c>
      <c r="G43" s="7" t="str">
        <f aca="false">IF(E43="","",IF(E43&lt;=20,"Easier",IF(E43&lt;=35,"Medium","Hard")))</f>
        <v>Easier</v>
      </c>
      <c r="H43" s="7" t="s">
        <v>47</v>
      </c>
    </row>
    <row r="44" customFormat="false" ht="15" hidden="false" customHeight="true" outlineLevel="0" collapsed="false">
      <c r="A44" s="7" t="s">
        <v>90</v>
      </c>
      <c r="B44" s="7" t="s">
        <v>91</v>
      </c>
      <c r="C44" s="11" t="str">
        <f aca="false">INDEX(Products!$V$2:$V$600,MATCH(A44,Products!$A$2:$A$600,0))</f>
        <v>davidoff the game</v>
      </c>
      <c r="D44" s="12" t="n">
        <f aca="false">IFERROR(INDEX('Semrush Data'!$C$2:$C$5000,MATCH(C44,'Semrush Data'!$A$2:$A$5000,0)),"")</f>
        <v>880</v>
      </c>
      <c r="E44" s="7" t="n">
        <f aca="false">IFERROR(INDEX('Semrush Data'!$D$2:$D$5000,MATCH(C44,'Semrush Data'!$A$2:$A$5000,0)),"")</f>
        <v>16</v>
      </c>
      <c r="F44" s="13" t="n">
        <f aca="false">IFERROR(INDEX('Semrush Data'!$E$2:$E$5000,MATCH(C44,'Semrush Data'!$A$2:$A$5000,0)),"")</f>
        <v>0.42</v>
      </c>
      <c r="G44" s="7" t="str">
        <f aca="false">IF(E44="","",IF(E44&lt;=20,"Easier",IF(E44&lt;=35,"Medium","Hard")))</f>
        <v>Easier</v>
      </c>
      <c r="H44" s="7" t="s">
        <v>47</v>
      </c>
    </row>
    <row r="45" customFormat="false" ht="15" hidden="false" customHeight="true" outlineLevel="0" collapsed="false">
      <c r="A45" s="7" t="s">
        <v>92</v>
      </c>
      <c r="B45" s="7" t="s">
        <v>93</v>
      </c>
      <c r="C45" s="11" t="str">
        <f aca="false">INDEX(Products!$V$2:$V$600,MATCH(A45,Products!$A$2:$A$600,0))</f>
        <v>al haramain l'aventure</v>
      </c>
      <c r="D45" s="12" t="n">
        <f aca="false">IFERROR(INDEX('Semrush Data'!$C$2:$C$5000,MATCH(C45,'Semrush Data'!$A$2:$A$5000,0)),"")</f>
        <v>880</v>
      </c>
      <c r="E45" s="7" t="n">
        <f aca="false">IFERROR(INDEX('Semrush Data'!$D$2:$D$5000,MATCH(C45,'Semrush Data'!$A$2:$A$5000,0)),"")</f>
        <v>21</v>
      </c>
      <c r="F45" s="13" t="n">
        <f aca="false">IFERROR(INDEX('Semrush Data'!$E$2:$E$5000,MATCH(C45,'Semrush Data'!$A$2:$A$5000,0)),"")</f>
        <v>0.27</v>
      </c>
      <c r="G45" s="7" t="str">
        <f aca="false">IF(E45="","",IF(E45&lt;=20,"Easier",IF(E45&lt;=35,"Medium","Hard")))</f>
        <v>Medium</v>
      </c>
      <c r="H45" s="7" t="s">
        <v>47</v>
      </c>
    </row>
    <row r="46" customFormat="false" ht="15" hidden="false" customHeight="true" outlineLevel="0" collapsed="false">
      <c r="A46" s="7" t="s">
        <v>94</v>
      </c>
      <c r="B46" s="7" t="s">
        <v>95</v>
      </c>
      <c r="C46" s="11" t="str">
        <f aca="false">INDEX(Products!$V$2:$V$600,MATCH(A46,Products!$A$2:$A$600,0))</f>
        <v>tom ford ebene fume</v>
      </c>
      <c r="D46" s="12" t="n">
        <f aca="false">IFERROR(INDEX('Semrush Data'!$C$2:$C$5000,MATCH(C46,'Semrush Data'!$A$2:$A$5000,0)),"")</f>
        <v>880</v>
      </c>
      <c r="E46" s="7" t="n">
        <f aca="false">IFERROR(INDEX('Semrush Data'!$D$2:$D$5000,MATCH(C46,'Semrush Data'!$A$2:$A$5000,0)),"")</f>
        <v>22</v>
      </c>
      <c r="F46" s="13" t="n">
        <f aca="false">IFERROR(INDEX('Semrush Data'!$E$2:$E$5000,MATCH(C46,'Semrush Data'!$A$2:$A$5000,0)),"")</f>
        <v>0.59</v>
      </c>
      <c r="G46" s="7" t="str">
        <f aca="false">IF(E46="","",IF(E46&lt;=20,"Easier",IF(E46&lt;=35,"Medium","Hard")))</f>
        <v>Medium</v>
      </c>
      <c r="H46" s="7" t="s">
        <v>47</v>
      </c>
    </row>
    <row r="47" customFormat="false" ht="15" hidden="false" customHeight="true" outlineLevel="0" collapsed="false">
      <c r="A47" s="7" t="s">
        <v>96</v>
      </c>
      <c r="B47" s="7" t="s">
        <v>97</v>
      </c>
      <c r="C47" s="11" t="str">
        <f aca="false">INDEX(Products!$V$2:$V$600,MATCH(A47,Products!$A$2:$A$600,0))</f>
        <v>game of spades wildcard</v>
      </c>
      <c r="D47" s="12" t="n">
        <f aca="false">IFERROR(INDEX('Semrush Data'!$C$2:$C$5000,MATCH(C47,'Semrush Data'!$A$2:$A$5000,0)),"")</f>
        <v>880</v>
      </c>
      <c r="E47" s="7" t="n">
        <f aca="false">IFERROR(INDEX('Semrush Data'!$D$2:$D$5000,MATCH(C47,'Semrush Data'!$A$2:$A$5000,0)),"")</f>
        <v>29</v>
      </c>
      <c r="F47" s="13" t="n">
        <f aca="false">IFERROR(INDEX('Semrush Data'!$E$2:$E$5000,MATCH(C47,'Semrush Data'!$A$2:$A$5000,0)),"")</f>
        <v>0.56</v>
      </c>
      <c r="G47" s="7" t="str">
        <f aca="false">IF(E47="","",IF(E47&lt;=20,"Easier",IF(E47&lt;=35,"Medium","Hard")))</f>
        <v>Medium</v>
      </c>
      <c r="H47" s="7" t="s">
        <v>47</v>
      </c>
    </row>
    <row r="48" customFormat="false" ht="15" hidden="false" customHeight="true" outlineLevel="0" collapsed="false">
      <c r="A48" s="7" t="s">
        <v>98</v>
      </c>
      <c r="B48" s="7" t="s">
        <v>99</v>
      </c>
      <c r="C48" s="11" t="str">
        <f aca="false">INDEX(Products!$V$2:$V$600,MATCH(A48,Products!$A$2:$A$600,0))</f>
        <v>dolce &amp; gabbana the one</v>
      </c>
      <c r="D48" s="12" t="n">
        <f aca="false">IFERROR(INDEX('Semrush Data'!$C$2:$C$5000,MATCH(C48,'Semrush Data'!$A$2:$A$5000,0)),"")</f>
        <v>720</v>
      </c>
      <c r="E48" s="7" t="n">
        <f aca="false">IFERROR(INDEX('Semrush Data'!$D$2:$D$5000,MATCH(C48,'Semrush Data'!$A$2:$A$5000,0)),"")</f>
        <v>17</v>
      </c>
      <c r="F48" s="13" t="n">
        <f aca="false">IFERROR(INDEX('Semrush Data'!$E$2:$E$5000,MATCH(C48,'Semrush Data'!$A$2:$A$5000,0)),"")</f>
        <v>0.39</v>
      </c>
      <c r="G48" s="7" t="str">
        <f aca="false">IF(E48="","",IF(E48&lt;=20,"Easier",IF(E48&lt;=35,"Medium","Hard")))</f>
        <v>Easier</v>
      </c>
      <c r="H48" s="7" t="s">
        <v>47</v>
      </c>
    </row>
    <row r="49" customFormat="false" ht="15" hidden="false" customHeight="true" outlineLevel="0" collapsed="false">
      <c r="A49" s="7" t="s">
        <v>100</v>
      </c>
      <c r="B49" s="7" t="s">
        <v>101</v>
      </c>
      <c r="C49" s="11" t="str">
        <f aca="false">INDEX(Products!$V$2:$V$600,MATCH(A49,Products!$A$2:$A$600,0))</f>
        <v>acqua di parma zafferano</v>
      </c>
      <c r="D49" s="12" t="n">
        <f aca="false">IFERROR(INDEX('Semrush Data'!$C$2:$C$5000,MATCH(C49,'Semrush Data'!$A$2:$A$5000,0)),"")</f>
        <v>720</v>
      </c>
      <c r="E49" s="7" t="n">
        <f aca="false">IFERROR(INDEX('Semrush Data'!$D$2:$D$5000,MATCH(C49,'Semrush Data'!$A$2:$A$5000,0)),"")</f>
        <v>18</v>
      </c>
      <c r="F49" s="13" t="n">
        <f aca="false">IFERROR(INDEX('Semrush Data'!$E$2:$E$5000,MATCH(C49,'Semrush Data'!$A$2:$A$5000,0)),"")</f>
        <v>0.47</v>
      </c>
      <c r="G49" s="7" t="str">
        <f aca="false">IF(E49="","",IF(E49&lt;=20,"Easier",IF(E49&lt;=35,"Medium","Hard")))</f>
        <v>Easier</v>
      </c>
      <c r="H49" s="7" t="s">
        <v>47</v>
      </c>
    </row>
    <row r="50" customFormat="false" ht="15" hidden="false" customHeight="true" outlineLevel="0" collapsed="false">
      <c r="A50" s="7" t="s">
        <v>102</v>
      </c>
      <c r="B50" s="7" t="s">
        <v>103</v>
      </c>
      <c r="C50" s="11" t="str">
        <f aca="false">INDEX(Products!$V$2:$V$600,MATCH(A50,Products!$A$2:$A$600,0))</f>
        <v>tiziana terenzi kirke</v>
      </c>
      <c r="D50" s="12" t="n">
        <f aca="false">IFERROR(INDEX('Semrush Data'!$C$2:$C$5000,MATCH(C50,'Semrush Data'!$A$2:$A$5000,0)),"")</f>
        <v>720</v>
      </c>
      <c r="E50" s="7" t="n">
        <f aca="false">IFERROR(INDEX('Semrush Data'!$D$2:$D$5000,MATCH(C50,'Semrush Data'!$A$2:$A$5000,0)),"")</f>
        <v>19</v>
      </c>
      <c r="F50" s="13" t="n">
        <f aca="false">IFERROR(INDEX('Semrush Data'!$E$2:$E$5000,MATCH(C50,'Semrush Data'!$A$2:$A$5000,0)),"")</f>
        <v>0.52</v>
      </c>
      <c r="G50" s="7" t="str">
        <f aca="false">IF(E50="","",IF(E50&lt;=20,"Easier",IF(E50&lt;=35,"Medium","Hard")))</f>
        <v>Easier</v>
      </c>
      <c r="H50" s="7" t="s">
        <v>47</v>
      </c>
    </row>
    <row r="51" customFormat="false" ht="15" hidden="false" customHeight="true" outlineLevel="0" collapsed="false">
      <c r="A51" s="7" t="s">
        <v>104</v>
      </c>
      <c r="B51" s="7" t="s">
        <v>105</v>
      </c>
      <c r="C51" s="11" t="str">
        <f aca="false">INDEX(Products!$V$2:$V$600,MATCH(A51,Products!$A$2:$A$600,0))</f>
        <v>hugo boss alive</v>
      </c>
      <c r="D51" s="12" t="n">
        <f aca="false">IFERROR(INDEX('Semrush Data'!$C$2:$C$5000,MATCH(C51,'Semrush Data'!$A$2:$A$5000,0)),"")</f>
        <v>720</v>
      </c>
      <c r="E51" s="7" t="n">
        <f aca="false">IFERROR(INDEX('Semrush Data'!$D$2:$D$5000,MATCH(C51,'Semrush Data'!$A$2:$A$5000,0)),"")</f>
        <v>20</v>
      </c>
      <c r="F51" s="13" t="n">
        <f aca="false">IFERROR(INDEX('Semrush Data'!$E$2:$E$5000,MATCH(C51,'Semrush Data'!$A$2:$A$5000,0)),"")</f>
        <v>0.44</v>
      </c>
      <c r="G51" s="7" t="str">
        <f aca="false">IF(E51="","",IF(E51&lt;=20,"Easier",IF(E51&lt;=35,"Medium","Hard")))</f>
        <v>Easier</v>
      </c>
      <c r="H51" s="7" t="s">
        <v>47</v>
      </c>
    </row>
    <row r="52" customFormat="false" ht="15" hidden="false" customHeight="true" outlineLevel="0" collapsed="false">
      <c r="A52" s="7" t="s">
        <v>106</v>
      </c>
      <c r="B52" s="7" t="s">
        <v>107</v>
      </c>
      <c r="C52" s="11" t="str">
        <f aca="false">INDEX(Products!$V$2:$V$600,MATCH(A52,Products!$A$2:$A$600,0))</f>
        <v>al haramain amber oud gold edition</v>
      </c>
      <c r="D52" s="12" t="n">
        <f aca="false">IFERROR(INDEX('Semrush Data'!$C$2:$C$5000,MATCH(C52,'Semrush Data'!$A$2:$A$5000,0)),"")</f>
        <v>590</v>
      </c>
      <c r="E52" s="7" t="n">
        <f aca="false">IFERROR(INDEX('Semrush Data'!$D$2:$D$5000,MATCH(C52,'Semrush Data'!$A$2:$A$5000,0)),"")</f>
        <v>12</v>
      </c>
      <c r="F52" s="13" t="n">
        <f aca="false">IFERROR(INDEX('Semrush Data'!$E$2:$E$5000,MATCH(C52,'Semrush Data'!$A$2:$A$5000,0)),"")</f>
        <v>0.32</v>
      </c>
      <c r="G52" s="7" t="str">
        <f aca="false">IF(E52="","",IF(E52&lt;=20,"Easier",IF(E52&lt;=35,"Medium","Hard")))</f>
        <v>Easier</v>
      </c>
      <c r="H52" s="7" t="s">
        <v>47</v>
      </c>
    </row>
    <row r="53" customFormat="false" ht="15" hidden="false" customHeight="true" outlineLevel="0" collapsed="false">
      <c r="A53" s="7" t="s">
        <v>108</v>
      </c>
      <c r="B53" s="7" t="s">
        <v>109</v>
      </c>
      <c r="C53" s="11" t="str">
        <f aca="false">INDEX(Products!$V$2:$V$600,MATCH(A53,Products!$A$2:$A$600,0))</f>
        <v>chopard oud malaki</v>
      </c>
      <c r="D53" s="12" t="n">
        <f aca="false">IFERROR(INDEX('Semrush Data'!$C$2:$C$5000,MATCH(C53,'Semrush Data'!$A$2:$A$5000,0)),"")</f>
        <v>590</v>
      </c>
      <c r="E53" s="7" t="n">
        <f aca="false">IFERROR(INDEX('Semrush Data'!$D$2:$D$5000,MATCH(C53,'Semrush Data'!$A$2:$A$5000,0)),"")</f>
        <v>17</v>
      </c>
      <c r="F53" s="13" t="n">
        <f aca="false">IFERROR(INDEX('Semrush Data'!$E$2:$E$5000,MATCH(C53,'Semrush Data'!$A$2:$A$5000,0)),"")</f>
        <v>0.6</v>
      </c>
      <c r="G53" s="7" t="str">
        <f aca="false">IF(E53="","",IF(E53&lt;=20,"Easier",IF(E53&lt;=35,"Medium","Hard")))</f>
        <v>Easier</v>
      </c>
      <c r="H53" s="7" t="s">
        <v>47</v>
      </c>
    </row>
    <row r="54" customFormat="false" ht="15" hidden="false" customHeight="true" outlineLevel="0" collapsed="false">
      <c r="A54" s="7" t="s">
        <v>110</v>
      </c>
      <c r="B54" s="7" t="s">
        <v>111</v>
      </c>
      <c r="C54" s="11" t="str">
        <f aca="false">INDEX(Products!$V$2:$V$600,MATCH(A54,Products!$A$2:$A$600,0))</f>
        <v>guerlain oud essentiel</v>
      </c>
      <c r="D54" s="12" t="n">
        <f aca="false">IFERROR(INDEX('Semrush Data'!$C$2:$C$5000,MATCH(C54,'Semrush Data'!$A$2:$A$5000,0)),"")</f>
        <v>590</v>
      </c>
      <c r="E54" s="7" t="n">
        <f aca="false">IFERROR(INDEX('Semrush Data'!$D$2:$D$5000,MATCH(C54,'Semrush Data'!$A$2:$A$5000,0)),"")</f>
        <v>19</v>
      </c>
      <c r="F54" s="13" t="n">
        <f aca="false">IFERROR(INDEX('Semrush Data'!$E$2:$E$5000,MATCH(C54,'Semrush Data'!$A$2:$A$5000,0)),"")</f>
        <v>0.68</v>
      </c>
      <c r="G54" s="7" t="str">
        <f aca="false">IF(E54="","",IF(E54&lt;=20,"Easier",IF(E54&lt;=35,"Medium","Hard")))</f>
        <v>Easier</v>
      </c>
      <c r="H54" s="7" t="s">
        <v>47</v>
      </c>
    </row>
    <row r="55" customFormat="false" ht="15" hidden="false" customHeight="true" outlineLevel="0" collapsed="false">
      <c r="A55" s="7" t="s">
        <v>112</v>
      </c>
      <c r="B55" s="7" t="s">
        <v>113</v>
      </c>
      <c r="C55" s="11" t="str">
        <f aca="false">INDEX(Products!$V$2:$V$600,MATCH(A55,Products!$A$2:$A$600,0))</f>
        <v>givenchy amarige</v>
      </c>
      <c r="D55" s="12" t="n">
        <f aca="false">IFERROR(INDEX('Semrush Data'!$C$2:$C$5000,MATCH(C55,'Semrush Data'!$A$2:$A$5000,0)),"")</f>
        <v>590</v>
      </c>
      <c r="E55" s="7" t="n">
        <f aca="false">IFERROR(INDEX('Semrush Data'!$D$2:$D$5000,MATCH(C55,'Semrush Data'!$A$2:$A$5000,0)),"")</f>
        <v>28</v>
      </c>
      <c r="F55" s="13" t="n">
        <f aca="false">IFERROR(INDEX('Semrush Data'!$E$2:$E$5000,MATCH(C55,'Semrush Data'!$A$2:$A$5000,0)),"")</f>
        <v>0.51</v>
      </c>
      <c r="G55" s="7" t="str">
        <f aca="false">IF(E55="","",IF(E55&lt;=20,"Easier",IF(E55&lt;=35,"Medium","Hard")))</f>
        <v>Medium</v>
      </c>
      <c r="H55" s="7" t="s">
        <v>47</v>
      </c>
    </row>
    <row r="56" customFormat="false" ht="15" hidden="false" customHeight="true" outlineLevel="0" collapsed="false">
      <c r="A56" s="7" t="s">
        <v>114</v>
      </c>
      <c r="B56" s="7" t="s">
        <v>115</v>
      </c>
      <c r="C56" s="11" t="str">
        <f aca="false">INDEX(Products!$V$2:$V$600,MATCH(A56,Products!$A$2:$A$600,0))</f>
        <v>acqua di parma sandalo</v>
      </c>
      <c r="D56" s="12" t="n">
        <f aca="false">IFERROR(INDEX('Semrush Data'!$C$2:$C$5000,MATCH(C56,'Semrush Data'!$A$2:$A$5000,0)),"")</f>
        <v>480</v>
      </c>
      <c r="E56" s="7" t="n">
        <f aca="false">IFERROR(INDEX('Semrush Data'!$D$2:$D$5000,MATCH(C56,'Semrush Data'!$A$2:$A$5000,0)),"")</f>
        <v>13</v>
      </c>
      <c r="F56" s="13" t="n">
        <f aca="false">IFERROR(INDEX('Semrush Data'!$E$2:$E$5000,MATCH(C56,'Semrush Data'!$A$2:$A$5000,0)),"")</f>
        <v>0.55</v>
      </c>
      <c r="G56" s="7" t="str">
        <f aca="false">IF(E56="","",IF(E56&lt;=20,"Easier",IF(E56&lt;=35,"Medium","Hard")))</f>
        <v>Easier</v>
      </c>
      <c r="H56" s="7" t="s">
        <v>47</v>
      </c>
    </row>
    <row r="57" customFormat="false" ht="15" hidden="false" customHeight="true" outlineLevel="0" collapsed="false">
      <c r="A57" s="7" t="s">
        <v>116</v>
      </c>
      <c r="B57" s="7" t="s">
        <v>117</v>
      </c>
      <c r="C57" s="11" t="str">
        <f aca="false">INDEX(Products!$V$2:$V$600,MATCH(A57,Products!$A$2:$A$600,0))</f>
        <v>al haramain amber oud tobacco edition</v>
      </c>
      <c r="D57" s="12" t="n">
        <f aca="false">IFERROR(INDEX('Semrush Data'!$C$2:$C$5000,MATCH(C57,'Semrush Data'!$A$2:$A$5000,0)),"")</f>
        <v>480</v>
      </c>
      <c r="E57" s="7" t="n">
        <f aca="false">IFERROR(INDEX('Semrush Data'!$D$2:$D$5000,MATCH(C57,'Semrush Data'!$A$2:$A$5000,0)),"")</f>
        <v>15</v>
      </c>
      <c r="F57" s="13" t="n">
        <f aca="false">IFERROR(INDEX('Semrush Data'!$E$2:$E$5000,MATCH(C57,'Semrush Data'!$A$2:$A$5000,0)),"")</f>
        <v>0.33</v>
      </c>
      <c r="G57" s="7" t="str">
        <f aca="false">IF(E57="","",IF(E57&lt;=20,"Easier",IF(E57&lt;=35,"Medium","Hard")))</f>
        <v>Easier</v>
      </c>
      <c r="H57" s="7" t="s">
        <v>47</v>
      </c>
    </row>
    <row r="58" customFormat="false" ht="15" hidden="false" customHeight="true" outlineLevel="0" collapsed="false">
      <c r="A58" s="7" t="s">
        <v>118</v>
      </c>
      <c r="B58" s="7" t="s">
        <v>119</v>
      </c>
      <c r="C58" s="11" t="str">
        <f aca="false">INDEX(Products!$V$2:$V$600,MATCH(A58,Products!$A$2:$A$600,0))</f>
        <v>davidoff champion</v>
      </c>
      <c r="D58" s="12" t="n">
        <f aca="false">IFERROR(INDEX('Semrush Data'!$C$2:$C$5000,MATCH(C58,'Semrush Data'!$A$2:$A$5000,0)),"")</f>
        <v>480</v>
      </c>
      <c r="E58" s="7" t="n">
        <f aca="false">IFERROR(INDEX('Semrush Data'!$D$2:$D$5000,MATCH(C58,'Semrush Data'!$A$2:$A$5000,0)),"")</f>
        <v>20</v>
      </c>
      <c r="F58" s="13" t="n">
        <f aca="false">IFERROR(INDEX('Semrush Data'!$E$2:$E$5000,MATCH(C58,'Semrush Data'!$A$2:$A$5000,0)),"")</f>
        <v>0.46</v>
      </c>
      <c r="G58" s="7" t="str">
        <f aca="false">IF(E58="","",IF(E58&lt;=20,"Easier",IF(E58&lt;=35,"Medium","Hard")))</f>
        <v>Easier</v>
      </c>
      <c r="H58" s="7" t="s">
        <v>47</v>
      </c>
    </row>
    <row r="59" customFormat="false" ht="15" hidden="false" customHeight="true" outlineLevel="0" collapsed="false">
      <c r="A59" s="7" t="s">
        <v>120</v>
      </c>
      <c r="B59" s="7" t="s">
        <v>121</v>
      </c>
      <c r="C59" s="11" t="str">
        <f aca="false">INDEX(Products!$V$2:$V$600,MATCH(A59,Products!$A$2:$A$600,0))</f>
        <v>elie saab elixir</v>
      </c>
      <c r="D59" s="12" t="n">
        <f aca="false">IFERROR(INDEX('Semrush Data'!$C$2:$C$5000,MATCH(C59,'Semrush Data'!$A$2:$A$5000,0)),"")</f>
        <v>480</v>
      </c>
      <c r="E59" s="7" t="n">
        <f aca="false">IFERROR(INDEX('Semrush Data'!$D$2:$D$5000,MATCH(C59,'Semrush Data'!$A$2:$A$5000,0)),"")</f>
        <v>22</v>
      </c>
      <c r="F59" s="13" t="n">
        <f aca="false">IFERROR(INDEX('Semrush Data'!$E$2:$E$5000,MATCH(C59,'Semrush Data'!$A$2:$A$5000,0)),"")</f>
        <v>0.51</v>
      </c>
      <c r="G59" s="7" t="str">
        <f aca="false">IF(E59="","",IF(E59&lt;=20,"Easier",IF(E59&lt;=35,"Medium","Hard")))</f>
        <v>Medium</v>
      </c>
      <c r="H59" s="7" t="s">
        <v>47</v>
      </c>
    </row>
    <row r="60" customFormat="false" ht="15" hidden="false" customHeight="true" outlineLevel="0" collapsed="false">
      <c r="A60" s="7" t="s">
        <v>122</v>
      </c>
      <c r="B60" s="7" t="s">
        <v>123</v>
      </c>
      <c r="C60" s="11" t="str">
        <f aca="false">INDEX(Products!$V$2:$V$600,MATCH(A60,Products!$A$2:$A$600,0))</f>
        <v>guerlain habit rouge</v>
      </c>
      <c r="D60" s="12" t="n">
        <f aca="false">IFERROR(INDEX('Semrush Data'!$C$2:$C$5000,MATCH(C60,'Semrush Data'!$A$2:$A$5000,0)),"")</f>
        <v>480</v>
      </c>
      <c r="E60" s="7" t="n">
        <f aca="false">IFERROR(INDEX('Semrush Data'!$D$2:$D$5000,MATCH(C60,'Semrush Data'!$A$2:$A$5000,0)),"")</f>
        <v>23</v>
      </c>
      <c r="F60" s="13" t="n">
        <f aca="false">IFERROR(INDEX('Semrush Data'!$E$2:$E$5000,MATCH(C60,'Semrush Data'!$A$2:$A$5000,0)),"")</f>
        <v>0.9</v>
      </c>
      <c r="G60" s="7" t="str">
        <f aca="false">IF(E60="","",IF(E60&lt;=20,"Easier",IF(E60&lt;=35,"Medium","Hard")))</f>
        <v>Medium</v>
      </c>
      <c r="H60" s="7" t="s">
        <v>47</v>
      </c>
    </row>
    <row r="61" customFormat="false" ht="15" hidden="false" customHeight="true" outlineLevel="0" collapsed="false">
      <c r="A61" s="7" t="s">
        <v>124</v>
      </c>
      <c r="B61" s="7" t="s">
        <v>125</v>
      </c>
      <c r="C61" s="11" t="str">
        <f aca="false">INDEX(Products!$V$2:$V$600,MATCH(A61,Products!$A$2:$A$600,0))</f>
        <v>guerlain samsara</v>
      </c>
      <c r="D61" s="12" t="n">
        <f aca="false">IFERROR(INDEX('Semrush Data'!$C$2:$C$5000,MATCH(C61,'Semrush Data'!$A$2:$A$5000,0)),"")</f>
        <v>480</v>
      </c>
      <c r="E61" s="7" t="n">
        <f aca="false">IFERROR(INDEX('Semrush Data'!$D$2:$D$5000,MATCH(C61,'Semrush Data'!$A$2:$A$5000,0)),"")</f>
        <v>28</v>
      </c>
      <c r="F61" s="13" t="n">
        <f aca="false">IFERROR(INDEX('Semrush Data'!$E$2:$E$5000,MATCH(C61,'Semrush Data'!$A$2:$A$5000,0)),"")</f>
        <v>0.68</v>
      </c>
      <c r="G61" s="7" t="str">
        <f aca="false">IF(E61="","",IF(E61&lt;=20,"Easier",IF(E61&lt;=35,"Medium","Hard")))</f>
        <v>Medium</v>
      </c>
      <c r="H61" s="7" t="s">
        <v>47</v>
      </c>
    </row>
    <row r="62" customFormat="false" ht="15" hidden="false" customHeight="true" outlineLevel="0" collapsed="false">
      <c r="A62" s="7" t="s">
        <v>126</v>
      </c>
      <c r="B62" s="7" t="s">
        <v>127</v>
      </c>
      <c r="C62" s="11" t="str">
        <f aca="false">INDEX(Products!$V$2:$V$600,MATCH(A62,Products!$A$2:$A$600,0))</f>
        <v>escada magnetism</v>
      </c>
      <c r="D62" s="12" t="n">
        <f aca="false">IFERROR(INDEX('Semrush Data'!$C$2:$C$5000,MATCH(C62,'Semrush Data'!$A$2:$A$5000,0)),"")</f>
        <v>390</v>
      </c>
      <c r="E62" s="7" t="n">
        <f aca="false">IFERROR(INDEX('Semrush Data'!$D$2:$D$5000,MATCH(C62,'Semrush Data'!$A$2:$A$5000,0)),"")</f>
        <v>15</v>
      </c>
      <c r="F62" s="13" t="n">
        <f aca="false">IFERROR(INDEX('Semrush Data'!$E$2:$E$5000,MATCH(C62,'Semrush Data'!$A$2:$A$5000,0)),"")</f>
        <v>0.36</v>
      </c>
      <c r="G62" s="7" t="str">
        <f aca="false">IF(E62="","",IF(E62&lt;=20,"Easier",IF(E62&lt;=35,"Medium","Hard")))</f>
        <v>Easier</v>
      </c>
      <c r="H62" s="7" t="s">
        <v>47</v>
      </c>
    </row>
    <row r="63" customFormat="false" ht="15" hidden="false" customHeight="true" outlineLevel="0" collapsed="false">
      <c r="A63" s="7" t="s">
        <v>128</v>
      </c>
      <c r="B63" s="7" t="s">
        <v>129</v>
      </c>
      <c r="C63" s="11" t="str">
        <f aca="false">INDEX(Products!$V$2:$V$600,MATCH(A63,Products!$A$2:$A$600,0))</f>
        <v>carolina herrera 212 vip men</v>
      </c>
      <c r="D63" s="12" t="n">
        <f aca="false">IFERROR(INDEX('Semrush Data'!$C$2:$C$5000,MATCH(C63,'Semrush Data'!$A$2:$A$5000,0)),"")</f>
        <v>390</v>
      </c>
      <c r="E63" s="7" t="n">
        <f aca="false">IFERROR(INDEX('Semrush Data'!$D$2:$D$5000,MATCH(C63,'Semrush Data'!$A$2:$A$5000,0)),"")</f>
        <v>16</v>
      </c>
      <c r="F63" s="13" t="n">
        <f aca="false">IFERROR(INDEX('Semrush Data'!$E$2:$E$5000,MATCH(C63,'Semrush Data'!$A$2:$A$5000,0)),"")</f>
        <v>0.44</v>
      </c>
      <c r="G63" s="7" t="str">
        <f aca="false">IF(E63="","",IF(E63&lt;=20,"Easier",IF(E63&lt;=35,"Medium","Hard")))</f>
        <v>Easier</v>
      </c>
      <c r="H63" s="7" t="s">
        <v>47</v>
      </c>
    </row>
    <row r="64" customFormat="false" ht="15" hidden="false" customHeight="true" outlineLevel="0" collapsed="false">
      <c r="A64" s="7" t="s">
        <v>130</v>
      </c>
      <c r="B64" s="7" t="s">
        <v>131</v>
      </c>
      <c r="C64" s="11" t="str">
        <f aca="false">INDEX(Products!$V$2:$V$600,MATCH(A64,Products!$A$2:$A$600,0))</f>
        <v>dkny be tempted</v>
      </c>
      <c r="D64" s="12" t="n">
        <f aca="false">IFERROR(INDEX('Semrush Data'!$C$2:$C$5000,MATCH(C64,'Semrush Data'!$A$2:$A$5000,0)),"")</f>
        <v>390</v>
      </c>
      <c r="E64" s="7" t="n">
        <f aca="false">IFERROR(INDEX('Semrush Data'!$D$2:$D$5000,MATCH(C64,'Semrush Data'!$A$2:$A$5000,0)),"")</f>
        <v>16</v>
      </c>
      <c r="F64" s="13" t="n">
        <f aca="false">IFERROR(INDEX('Semrush Data'!$E$2:$E$5000,MATCH(C64,'Semrush Data'!$A$2:$A$5000,0)),"")</f>
        <v>0.47</v>
      </c>
      <c r="G64" s="7" t="str">
        <f aca="false">IF(E64="","",IF(E64&lt;=20,"Easier",IF(E64&lt;=35,"Medium","Hard")))</f>
        <v>Easier</v>
      </c>
      <c r="H64" s="7" t="s">
        <v>47</v>
      </c>
    </row>
    <row r="65" customFormat="false" ht="15" hidden="false" customHeight="true" outlineLevel="0" collapsed="false">
      <c r="A65" s="7" t="s">
        <v>132</v>
      </c>
      <c r="B65" s="7" t="s">
        <v>133</v>
      </c>
      <c r="C65" s="11" t="str">
        <f aca="false">INDEX(Products!$V$2:$V$600,MATCH(A65,Products!$A$2:$A$600,0))</f>
        <v>acqua di parma sakura</v>
      </c>
      <c r="D65" s="12" t="n">
        <f aca="false">IFERROR(INDEX('Semrush Data'!$C$2:$C$5000,MATCH(C65,'Semrush Data'!$A$2:$A$5000,0)),"")</f>
        <v>390</v>
      </c>
      <c r="E65" s="7" t="n">
        <f aca="false">IFERROR(INDEX('Semrush Data'!$D$2:$D$5000,MATCH(C65,'Semrush Data'!$A$2:$A$5000,0)),"")</f>
        <v>17</v>
      </c>
      <c r="F65" s="13" t="n">
        <f aca="false">IFERROR(INDEX('Semrush Data'!$E$2:$E$5000,MATCH(C65,'Semrush Data'!$A$2:$A$5000,0)),"")</f>
        <v>0.36</v>
      </c>
      <c r="G65" s="7" t="str">
        <f aca="false">IF(E65="","",IF(E65&lt;=20,"Easier",IF(E65&lt;=35,"Medium","Hard")))</f>
        <v>Easier</v>
      </c>
      <c r="H65" s="7" t="s">
        <v>47</v>
      </c>
    </row>
    <row r="66" customFormat="false" ht="15" hidden="false" customHeight="true" outlineLevel="0" collapsed="false">
      <c r="A66" s="7" t="s">
        <v>134</v>
      </c>
      <c r="B66" s="7" t="s">
        <v>135</v>
      </c>
      <c r="C66" s="11" t="str">
        <f aca="false">INDEX(Products!$V$2:$V$600,MATCH(A66,Products!$A$2:$A$600,0))</f>
        <v>carolina herrera bad boy extreme</v>
      </c>
      <c r="D66" s="12" t="n">
        <f aca="false">IFERROR(INDEX('Semrush Data'!$C$2:$C$5000,MATCH(C66,'Semrush Data'!$A$2:$A$5000,0)),"")</f>
        <v>390</v>
      </c>
      <c r="E66" s="7" t="n">
        <f aca="false">IFERROR(INDEX('Semrush Data'!$D$2:$D$5000,MATCH(C66,'Semrush Data'!$A$2:$A$5000,0)),"")</f>
        <v>17</v>
      </c>
      <c r="F66" s="13" t="n">
        <f aca="false">IFERROR(INDEX('Semrush Data'!$E$2:$E$5000,MATCH(C66,'Semrush Data'!$A$2:$A$5000,0)),"")</f>
        <v>0.62</v>
      </c>
      <c r="G66" s="7" t="str">
        <f aca="false">IF(E66="","",IF(E66&lt;=20,"Easier",IF(E66&lt;=35,"Medium","Hard")))</f>
        <v>Easier</v>
      </c>
      <c r="H66" s="7" t="s">
        <v>47</v>
      </c>
    </row>
    <row r="67" customFormat="false" ht="15" hidden="false" customHeight="true" outlineLevel="0" collapsed="false">
      <c r="A67" s="7" t="s">
        <v>136</v>
      </c>
      <c r="B67" s="7" t="s">
        <v>137</v>
      </c>
      <c r="C67" s="11" t="str">
        <f aca="false">INDEX(Products!$V$2:$V$600,MATCH(A67,Products!$A$2:$A$600,0))</f>
        <v>anna sui sky</v>
      </c>
      <c r="D67" s="12" t="n">
        <f aca="false">IFERROR(INDEX('Semrush Data'!$C$2:$C$5000,MATCH(C67,'Semrush Data'!$A$2:$A$5000,0)),"")</f>
        <v>390</v>
      </c>
      <c r="E67" s="7" t="n">
        <f aca="false">IFERROR(INDEX('Semrush Data'!$D$2:$D$5000,MATCH(C67,'Semrush Data'!$A$2:$A$5000,0)),"")</f>
        <v>19</v>
      </c>
      <c r="F67" s="13" t="n">
        <f aca="false">IFERROR(INDEX('Semrush Data'!$E$2:$E$5000,MATCH(C67,'Semrush Data'!$A$2:$A$5000,0)),"")</f>
        <v>0.33</v>
      </c>
      <c r="G67" s="7" t="str">
        <f aca="false">IF(E67="","",IF(E67&lt;=20,"Easier",IF(E67&lt;=35,"Medium","Hard")))</f>
        <v>Easier</v>
      </c>
      <c r="H67" s="7" t="s">
        <v>47</v>
      </c>
    </row>
    <row r="68" customFormat="false" ht="15" hidden="false" customHeight="true" outlineLevel="0" collapsed="false">
      <c r="A68" s="7" t="s">
        <v>138</v>
      </c>
      <c r="B68" s="7" t="s">
        <v>139</v>
      </c>
      <c r="C68" s="11" t="str">
        <f aca="false">INDEX(Products!$V$2:$V$600,MATCH(A68,Products!$A$2:$A$600,0))</f>
        <v>acqua di parma rosa nobile</v>
      </c>
      <c r="D68" s="12" t="n">
        <f aca="false">IFERROR(INDEX('Semrush Data'!$C$2:$C$5000,MATCH(C68,'Semrush Data'!$A$2:$A$5000,0)),"")</f>
        <v>320</v>
      </c>
      <c r="E68" s="7" t="n">
        <f aca="false">IFERROR(INDEX('Semrush Data'!$D$2:$D$5000,MATCH(C68,'Semrush Data'!$A$2:$A$5000,0)),"")</f>
        <v>11</v>
      </c>
      <c r="F68" s="13" t="n">
        <f aca="false">IFERROR(INDEX('Semrush Data'!$E$2:$E$5000,MATCH(C68,'Semrush Data'!$A$2:$A$5000,0)),"")</f>
        <v>0.45</v>
      </c>
      <c r="G68" s="7" t="str">
        <f aca="false">IF(E68="","",IF(E68&lt;=20,"Easier",IF(E68&lt;=35,"Medium","Hard")))</f>
        <v>Easier</v>
      </c>
      <c r="H68" s="7" t="s">
        <v>47</v>
      </c>
    </row>
    <row r="69" customFormat="false" ht="15" hidden="false" customHeight="true" outlineLevel="0" collapsed="false">
      <c r="A69" s="7" t="s">
        <v>140</v>
      </c>
      <c r="B69" s="7" t="s">
        <v>141</v>
      </c>
      <c r="C69" s="11" t="str">
        <f aca="false">INDEX(Products!$V$2:$V$600,MATCH(A69,Products!$A$2:$A$600,0))</f>
        <v>lancome idole nectar</v>
      </c>
      <c r="D69" s="12" t="n">
        <f aca="false">IFERROR(INDEX('Semrush Data'!$C$2:$C$5000,MATCH(C69,'Semrush Data'!$A$2:$A$5000,0)),"")</f>
        <v>320</v>
      </c>
      <c r="E69" s="7" t="n">
        <f aca="false">IFERROR(INDEX('Semrush Data'!$D$2:$D$5000,MATCH(C69,'Semrush Data'!$A$2:$A$5000,0)),"")</f>
        <v>16</v>
      </c>
      <c r="F69" s="13" t="n">
        <f aca="false">IFERROR(INDEX('Semrush Data'!$E$2:$E$5000,MATCH(C69,'Semrush Data'!$A$2:$A$5000,0)),"")</f>
        <v>0.63</v>
      </c>
      <c r="G69" s="7" t="str">
        <f aca="false">IF(E69="","",IF(E69&lt;=20,"Easier",IF(E69&lt;=35,"Medium","Hard")))</f>
        <v>Easier</v>
      </c>
      <c r="H69" s="7" t="s">
        <v>47</v>
      </c>
    </row>
    <row r="70" customFormat="false" ht="15" hidden="false" customHeight="true" outlineLevel="0" collapsed="false">
      <c r="A70" s="7" t="s">
        <v>142</v>
      </c>
      <c r="B70" s="7" t="s">
        <v>143</v>
      </c>
      <c r="C70" s="11" t="str">
        <f aca="false">INDEX(Products!$V$2:$V$600,MATCH(A70,Products!$A$2:$A$600,0))</f>
        <v>bvlgari omnia amethyste</v>
      </c>
      <c r="D70" s="12" t="n">
        <f aca="false">IFERROR(INDEX('Semrush Data'!$C$2:$C$5000,MATCH(C70,'Semrush Data'!$A$2:$A$5000,0)),"")</f>
        <v>320</v>
      </c>
      <c r="E70" s="7" t="n">
        <f aca="false">IFERROR(INDEX('Semrush Data'!$D$2:$D$5000,MATCH(C70,'Semrush Data'!$A$2:$A$5000,0)),"")</f>
        <v>18</v>
      </c>
      <c r="F70" s="13" t="n">
        <f aca="false">IFERROR(INDEX('Semrush Data'!$E$2:$E$5000,MATCH(C70,'Semrush Data'!$A$2:$A$5000,0)),"")</f>
        <v>0.41</v>
      </c>
      <c r="G70" s="7" t="str">
        <f aca="false">IF(E70="","",IF(E70&lt;=20,"Easier",IF(E70&lt;=35,"Medium","Hard")))</f>
        <v>Easier</v>
      </c>
      <c r="H70" s="7" t="s">
        <v>47</v>
      </c>
    </row>
    <row r="71" customFormat="false" ht="15" hidden="false" customHeight="true" outlineLevel="0" collapsed="false">
      <c r="A71" s="7" t="s">
        <v>144</v>
      </c>
      <c r="B71" s="7" t="s">
        <v>145</v>
      </c>
      <c r="C71" s="11" t="str">
        <f aca="false">INDEX(Products!$V$2:$V$600,MATCH(A71,Products!$A$2:$A$600,0))</f>
        <v>carolina herrera very good girl glam</v>
      </c>
      <c r="D71" s="12" t="n">
        <f aca="false">IFERROR(INDEX('Semrush Data'!$C$2:$C$5000,MATCH(C71,'Semrush Data'!$A$2:$A$5000,0)),"")</f>
        <v>320</v>
      </c>
      <c r="E71" s="7" t="n">
        <f aca="false">IFERROR(INDEX('Semrush Data'!$D$2:$D$5000,MATCH(C71,'Semrush Data'!$A$2:$A$5000,0)),"")</f>
        <v>20</v>
      </c>
      <c r="F71" s="13" t="n">
        <f aca="false">IFERROR(INDEX('Semrush Data'!$E$2:$E$5000,MATCH(C71,'Semrush Data'!$A$2:$A$5000,0)),"")</f>
        <v>0</v>
      </c>
      <c r="G71" s="7" t="str">
        <f aca="false">IF(E71="","",IF(E71&lt;=20,"Easier",IF(E71&lt;=35,"Medium","Hard")))</f>
        <v>Easier</v>
      </c>
      <c r="H71" s="7" t="s">
        <v>47</v>
      </c>
    </row>
    <row r="73" customFormat="false" ht="15.75" hidden="false" customHeight="true" outlineLevel="0" collapsed="false">
      <c r="A73" s="5" t="s">
        <v>146</v>
      </c>
    </row>
    <row r="74" customFormat="false" ht="15" hidden="false" customHeight="true" outlineLevel="0" collapsed="false">
      <c r="A74" s="6" t="s">
        <v>147</v>
      </c>
    </row>
    <row r="75" customFormat="false" ht="15" hidden="false" customHeight="true" outlineLevel="0" collapsed="false">
      <c r="A75" s="10"/>
      <c r="B75" s="10" t="s">
        <v>148</v>
      </c>
      <c r="C75" s="10" t="s">
        <v>149</v>
      </c>
      <c r="D75" s="10" t="s">
        <v>40</v>
      </c>
      <c r="E75" s="10" t="s">
        <v>41</v>
      </c>
      <c r="F75" s="10" t="s">
        <v>42</v>
      </c>
      <c r="G75" s="10" t="s">
        <v>43</v>
      </c>
      <c r="H75" s="10" t="s">
        <v>44</v>
      </c>
    </row>
    <row r="76" customFormat="false" ht="15" hidden="false" customHeight="true" outlineLevel="0" collapsed="false">
      <c r="B76" s="7" t="s">
        <v>150</v>
      </c>
      <c r="C76" s="7" t="s">
        <v>151</v>
      </c>
      <c r="D76" s="12" t="n">
        <f aca="false">IFERROR(INDEX('Semrush Data'!$C$2:$C$5000,MATCH(B76,'Semrush Data'!$A$2:$A$5000,0)),"")</f>
        <v>2900</v>
      </c>
      <c r="E76" s="7" t="n">
        <f aca="false">IFERROR(INDEX('Semrush Data'!$D$2:$D$5000,MATCH(B76,'Semrush Data'!$A$2:$A$5000,0)),"")</f>
        <v>29</v>
      </c>
      <c r="F76" s="13" t="n">
        <f aca="false">IFERROR(INDEX('Semrush Data'!$E$2:$E$5000,MATCH(B76,'Semrush Data'!$A$2:$A$5000,0)),"")</f>
        <v>0.91</v>
      </c>
      <c r="G76" s="7" t="str">
        <f aca="false">IF(E76="","",IF(E76&lt;=20,"Easier",IF(E76&lt;=35,"Medium","Hard")))</f>
        <v>Medium</v>
      </c>
      <c r="H76" s="7" t="s">
        <v>152</v>
      </c>
    </row>
    <row r="77" customFormat="false" ht="15" hidden="false" customHeight="true" outlineLevel="0" collapsed="false">
      <c r="B77" s="7" t="s">
        <v>153</v>
      </c>
      <c r="C77" s="7" t="s">
        <v>151</v>
      </c>
      <c r="D77" s="12" t="n">
        <f aca="false">IFERROR(INDEX('Semrush Data'!$C$2:$C$5000,MATCH(B77,'Semrush Data'!$A$2:$A$5000,0)),"")</f>
        <v>2400</v>
      </c>
      <c r="E77" s="7" t="n">
        <f aca="false">IFERROR(INDEX('Semrush Data'!$D$2:$D$5000,MATCH(B77,'Semrush Data'!$A$2:$A$5000,0)),"")</f>
        <v>13</v>
      </c>
      <c r="F77" s="13" t="n">
        <f aca="false">IFERROR(INDEX('Semrush Data'!$E$2:$E$5000,MATCH(B77,'Semrush Data'!$A$2:$A$5000,0)),"")</f>
        <v>0.75</v>
      </c>
      <c r="G77" s="7" t="str">
        <f aca="false">IF(E77="","",IF(E77&lt;=20,"Easier",IF(E77&lt;=35,"Medium","Hard")))</f>
        <v>Easier</v>
      </c>
      <c r="H77" s="7" t="s">
        <v>152</v>
      </c>
    </row>
    <row r="78" customFormat="false" ht="15" hidden="false" customHeight="true" outlineLevel="0" collapsed="false">
      <c r="B78" s="7" t="s">
        <v>154</v>
      </c>
      <c r="C78" s="7" t="s">
        <v>151</v>
      </c>
      <c r="D78" s="12" t="n">
        <f aca="false">IFERROR(INDEX('Semrush Data'!$C$2:$C$5000,MATCH(B78,'Semrush Data'!$A$2:$A$5000,0)),"")</f>
        <v>1900</v>
      </c>
      <c r="E78" s="7" t="n">
        <f aca="false">IFERROR(INDEX('Semrush Data'!$D$2:$D$5000,MATCH(B78,'Semrush Data'!$A$2:$A$5000,0)),"")</f>
        <v>30</v>
      </c>
      <c r="F78" s="13" t="n">
        <f aca="false">IFERROR(INDEX('Semrush Data'!$E$2:$E$5000,MATCH(B78,'Semrush Data'!$A$2:$A$5000,0)),"")</f>
        <v>0.82</v>
      </c>
      <c r="G78" s="7" t="str">
        <f aca="false">IF(E78="","",IF(E78&lt;=20,"Easier",IF(E78&lt;=35,"Medium","Hard")))</f>
        <v>Medium</v>
      </c>
      <c r="H78" s="7" t="s">
        <v>152</v>
      </c>
    </row>
    <row r="79" customFormat="false" ht="15" hidden="false" customHeight="true" outlineLevel="0" collapsed="false">
      <c r="B79" s="7" t="s">
        <v>155</v>
      </c>
      <c r="C79" s="7" t="s">
        <v>151</v>
      </c>
      <c r="D79" s="12" t="n">
        <f aca="false">IFERROR(INDEX('Semrush Data'!$C$2:$C$5000,MATCH(B79,'Semrush Data'!$A$2:$A$5000,0)),"")</f>
        <v>1600</v>
      </c>
      <c r="E79" s="7" t="n">
        <f aca="false">IFERROR(INDEX('Semrush Data'!$D$2:$D$5000,MATCH(B79,'Semrush Data'!$A$2:$A$5000,0)),"")</f>
        <v>29</v>
      </c>
      <c r="F79" s="13" t="n">
        <f aca="false">IFERROR(INDEX('Semrush Data'!$E$2:$E$5000,MATCH(B79,'Semrush Data'!$A$2:$A$5000,0)),"")</f>
        <v>0.85</v>
      </c>
      <c r="G79" s="7" t="str">
        <f aca="false">IF(E79="","",IF(E79&lt;=20,"Easier",IF(E79&lt;=35,"Medium","Hard")))</f>
        <v>Medium</v>
      </c>
      <c r="H79" s="7" t="s">
        <v>152</v>
      </c>
    </row>
    <row r="80" customFormat="false" ht="15" hidden="false" customHeight="true" outlineLevel="0" collapsed="false">
      <c r="B80" s="7" t="s">
        <v>156</v>
      </c>
      <c r="C80" s="7" t="s">
        <v>151</v>
      </c>
      <c r="D80" s="12" t="n">
        <f aca="false">IFERROR(INDEX('Semrush Data'!$C$2:$C$5000,MATCH(B80,'Semrush Data'!$A$2:$A$5000,0)),"")</f>
        <v>1600</v>
      </c>
      <c r="E80" s="7" t="n">
        <f aca="false">IFERROR(INDEX('Semrush Data'!$D$2:$D$5000,MATCH(B80,'Semrush Data'!$A$2:$A$5000,0)),"")</f>
        <v>33</v>
      </c>
      <c r="F80" s="13" t="n">
        <f aca="false">IFERROR(INDEX('Semrush Data'!$E$2:$E$5000,MATCH(B80,'Semrush Data'!$A$2:$A$5000,0)),"")</f>
        <v>1.19</v>
      </c>
      <c r="G80" s="7" t="str">
        <f aca="false">IF(E80="","",IF(E80&lt;=20,"Easier",IF(E80&lt;=35,"Medium","Hard")))</f>
        <v>Medium</v>
      </c>
      <c r="H80" s="7" t="s">
        <v>152</v>
      </c>
    </row>
    <row r="81" customFormat="false" ht="15" hidden="false" customHeight="true" outlineLevel="0" collapsed="false">
      <c r="B81" s="7" t="s">
        <v>157</v>
      </c>
      <c r="C81" s="7" t="s">
        <v>151</v>
      </c>
      <c r="D81" s="12" t="n">
        <f aca="false">IFERROR(INDEX('Semrush Data'!$C$2:$C$5000,MATCH(B81,'Semrush Data'!$A$2:$A$5000,0)),"")</f>
        <v>1600</v>
      </c>
      <c r="E81" s="7" t="n">
        <f aca="false">IFERROR(INDEX('Semrush Data'!$D$2:$D$5000,MATCH(B81,'Semrush Data'!$A$2:$A$5000,0)),"")</f>
        <v>31</v>
      </c>
      <c r="F81" s="13" t="n">
        <f aca="false">IFERROR(INDEX('Semrush Data'!$E$2:$E$5000,MATCH(B81,'Semrush Data'!$A$2:$A$5000,0)),"")</f>
        <v>1.05</v>
      </c>
      <c r="G81" s="7" t="str">
        <f aca="false">IF(E81="","",IF(E81&lt;=20,"Easier",IF(E81&lt;=35,"Medium","Hard")))</f>
        <v>Medium</v>
      </c>
      <c r="H81" s="7" t="s">
        <v>152</v>
      </c>
    </row>
    <row r="82" customFormat="false" ht="15" hidden="false" customHeight="true" outlineLevel="0" collapsed="false">
      <c r="B82" s="7" t="s">
        <v>158</v>
      </c>
      <c r="C82" s="7" t="s">
        <v>151</v>
      </c>
      <c r="D82" s="12" t="n">
        <f aca="false">IFERROR(INDEX('Semrush Data'!$C$2:$C$5000,MATCH(B82,'Semrush Data'!$A$2:$A$5000,0)),"")</f>
        <v>1300</v>
      </c>
      <c r="E82" s="7" t="n">
        <f aca="false">IFERROR(INDEX('Semrush Data'!$D$2:$D$5000,MATCH(B82,'Semrush Data'!$A$2:$A$5000,0)),"")</f>
        <v>11</v>
      </c>
      <c r="F82" s="13" t="n">
        <f aca="false">IFERROR(INDEX('Semrush Data'!$E$2:$E$5000,MATCH(B82,'Semrush Data'!$A$2:$A$5000,0)),"")</f>
        <v>0.77</v>
      </c>
      <c r="G82" s="7" t="str">
        <f aca="false">IF(E82="","",IF(E82&lt;=20,"Easier",IF(E82&lt;=35,"Medium","Hard")))</f>
        <v>Easier</v>
      </c>
      <c r="H82" s="7" t="s">
        <v>152</v>
      </c>
    </row>
    <row r="83" customFormat="false" ht="15" hidden="false" customHeight="true" outlineLevel="0" collapsed="false">
      <c r="B83" s="7" t="s">
        <v>159</v>
      </c>
      <c r="C83" s="7" t="s">
        <v>151</v>
      </c>
      <c r="D83" s="12" t="n">
        <f aca="false">IFERROR(INDEX('Semrush Data'!$C$2:$C$5000,MATCH(B83,'Semrush Data'!$A$2:$A$5000,0)),"")</f>
        <v>1000</v>
      </c>
      <c r="E83" s="7" t="n">
        <f aca="false">IFERROR(INDEX('Semrush Data'!$D$2:$D$5000,MATCH(B83,'Semrush Data'!$A$2:$A$5000,0)),"")</f>
        <v>27</v>
      </c>
      <c r="F83" s="13" t="n">
        <f aca="false">IFERROR(INDEX('Semrush Data'!$E$2:$E$5000,MATCH(B83,'Semrush Data'!$A$2:$A$5000,0)),"")</f>
        <v>0.72</v>
      </c>
      <c r="G83" s="7" t="str">
        <f aca="false">IF(E83="","",IF(E83&lt;=20,"Easier",IF(E83&lt;=35,"Medium","Hard")))</f>
        <v>Medium</v>
      </c>
      <c r="H83" s="7" t="s">
        <v>152</v>
      </c>
    </row>
    <row r="84" customFormat="false" ht="15" hidden="false" customHeight="true" outlineLevel="0" collapsed="false">
      <c r="B84" s="7" t="s">
        <v>160</v>
      </c>
      <c r="C84" s="7" t="s">
        <v>151</v>
      </c>
      <c r="D84" s="12" t="n">
        <f aca="false">IFERROR(INDEX('Semrush Data'!$C$2:$C$5000,MATCH(B84,'Semrush Data'!$A$2:$A$5000,0)),"")</f>
        <v>1000</v>
      </c>
      <c r="E84" s="7" t="n">
        <f aca="false">IFERROR(INDEX('Semrush Data'!$D$2:$D$5000,MATCH(B84,'Semrush Data'!$A$2:$A$5000,0)),"")</f>
        <v>41</v>
      </c>
      <c r="F84" s="13" t="n">
        <f aca="false">IFERROR(INDEX('Semrush Data'!$E$2:$E$5000,MATCH(B84,'Semrush Data'!$A$2:$A$5000,0)),"")</f>
        <v>0.76</v>
      </c>
      <c r="G84" s="7" t="str">
        <f aca="false">IF(E84="","",IF(E84&lt;=20,"Easier",IF(E84&lt;=35,"Medium","Hard")))</f>
        <v>Hard</v>
      </c>
      <c r="H84" s="7" t="s">
        <v>152</v>
      </c>
    </row>
    <row r="85" customFormat="false" ht="15" hidden="false" customHeight="true" outlineLevel="0" collapsed="false">
      <c r="B85" s="7" t="s">
        <v>161</v>
      </c>
      <c r="C85" s="7" t="s">
        <v>151</v>
      </c>
      <c r="D85" s="12" t="n">
        <f aca="false">IFERROR(INDEX('Semrush Data'!$C$2:$C$5000,MATCH(B85,'Semrush Data'!$A$2:$A$5000,0)),"")</f>
        <v>720</v>
      </c>
      <c r="E85" s="7" t="n">
        <f aca="false">IFERROR(INDEX('Semrush Data'!$D$2:$D$5000,MATCH(B85,'Semrush Data'!$A$2:$A$5000,0)),"")</f>
        <v>25</v>
      </c>
      <c r="F85" s="13" t="n">
        <f aca="false">IFERROR(INDEX('Semrush Data'!$E$2:$E$5000,MATCH(B85,'Semrush Data'!$A$2:$A$5000,0)),"")</f>
        <v>0.84</v>
      </c>
      <c r="G85" s="7" t="str">
        <f aca="false">IF(E85="","",IF(E85&lt;=20,"Easier",IF(E85&lt;=35,"Medium","Hard")))</f>
        <v>Medium</v>
      </c>
      <c r="H85" s="7" t="s">
        <v>152</v>
      </c>
    </row>
    <row r="86" customFormat="false" ht="15" hidden="false" customHeight="true" outlineLevel="0" collapsed="false">
      <c r="B86" s="7" t="s">
        <v>162</v>
      </c>
      <c r="C86" s="7" t="s">
        <v>151</v>
      </c>
      <c r="D86" s="12" t="n">
        <f aca="false">IFERROR(INDEX('Semrush Data'!$C$2:$C$5000,MATCH(B86,'Semrush Data'!$A$2:$A$5000,0)),"")</f>
        <v>720</v>
      </c>
      <c r="E86" s="7" t="n">
        <f aca="false">IFERROR(INDEX('Semrush Data'!$D$2:$D$5000,MATCH(B86,'Semrush Data'!$A$2:$A$5000,0)),"")</f>
        <v>20</v>
      </c>
      <c r="F86" s="13" t="n">
        <f aca="false">IFERROR(INDEX('Semrush Data'!$E$2:$E$5000,MATCH(B86,'Semrush Data'!$A$2:$A$5000,0)),"")</f>
        <v>0.57</v>
      </c>
      <c r="G86" s="7" t="str">
        <f aca="false">IF(E86="","",IF(E86&lt;=20,"Easier",IF(E86&lt;=35,"Medium","Hard")))</f>
        <v>Easier</v>
      </c>
      <c r="H86" s="7" t="s">
        <v>163</v>
      </c>
    </row>
    <row r="87" customFormat="false" ht="15" hidden="false" customHeight="true" outlineLevel="0" collapsed="false">
      <c r="B87" s="7" t="s">
        <v>164</v>
      </c>
      <c r="C87" s="7" t="s">
        <v>151</v>
      </c>
      <c r="D87" s="12" t="n">
        <f aca="false">IFERROR(INDEX('Semrush Data'!$C$2:$C$5000,MATCH(B87,'Semrush Data'!$A$2:$A$5000,0)),"")</f>
        <v>720</v>
      </c>
      <c r="E87" s="7" t="n">
        <f aca="false">IFERROR(INDEX('Semrush Data'!$D$2:$D$5000,MATCH(B87,'Semrush Data'!$A$2:$A$5000,0)),"")</f>
        <v>16</v>
      </c>
      <c r="F87" s="13" t="n">
        <f aca="false">IFERROR(INDEX('Semrush Data'!$E$2:$E$5000,MATCH(B87,'Semrush Data'!$A$2:$A$5000,0)),"")</f>
        <v>0.77</v>
      </c>
      <c r="G87" s="7" t="str">
        <f aca="false">IF(E87="","",IF(E87&lt;=20,"Easier",IF(E87&lt;=35,"Medium","Hard")))</f>
        <v>Easier</v>
      </c>
      <c r="H87" s="7" t="s">
        <v>152</v>
      </c>
    </row>
    <row r="88" customFormat="false" ht="15" hidden="false" customHeight="true" outlineLevel="0" collapsed="false">
      <c r="B88" s="7" t="s">
        <v>165</v>
      </c>
      <c r="C88" s="7" t="s">
        <v>151</v>
      </c>
      <c r="D88" s="12" t="n">
        <f aca="false">IFERROR(INDEX('Semrush Data'!$C$2:$C$5000,MATCH(B88,'Semrush Data'!$A$2:$A$5000,0)),"")</f>
        <v>480</v>
      </c>
      <c r="E88" s="7" t="n">
        <f aca="false">IFERROR(INDEX('Semrush Data'!$D$2:$D$5000,MATCH(B88,'Semrush Data'!$A$2:$A$5000,0)),"")</f>
        <v>21</v>
      </c>
      <c r="F88" s="13" t="n">
        <f aca="false">IFERROR(INDEX('Semrush Data'!$E$2:$E$5000,MATCH(B88,'Semrush Data'!$A$2:$A$5000,0)),"")</f>
        <v>1.16</v>
      </c>
      <c r="G88" s="7" t="str">
        <f aca="false">IF(E88="","",IF(E88&lt;=20,"Easier",IF(E88&lt;=35,"Medium","Hard")))</f>
        <v>Medium</v>
      </c>
      <c r="H88" s="7" t="s">
        <v>163</v>
      </c>
    </row>
    <row r="89" customFormat="false" ht="15" hidden="false" customHeight="true" outlineLevel="0" collapsed="false">
      <c r="B89" s="7" t="s">
        <v>166</v>
      </c>
      <c r="C89" s="7" t="s">
        <v>151</v>
      </c>
      <c r="D89" s="12" t="n">
        <f aca="false">IFERROR(INDEX('Semrush Data'!$C$2:$C$5000,MATCH(B89,'Semrush Data'!$A$2:$A$5000,0)),"")</f>
        <v>480</v>
      </c>
      <c r="E89" s="7" t="n">
        <f aca="false">IFERROR(INDEX('Semrush Data'!$D$2:$D$5000,MATCH(B89,'Semrush Data'!$A$2:$A$5000,0)),"")</f>
        <v>59</v>
      </c>
      <c r="F89" s="13" t="n">
        <f aca="false">IFERROR(INDEX('Semrush Data'!$E$2:$E$5000,MATCH(B89,'Semrush Data'!$A$2:$A$5000,0)),"")</f>
        <v>1.4</v>
      </c>
      <c r="G89" s="7" t="str">
        <f aca="false">IF(E89="","",IF(E89&lt;=20,"Easier",IF(E89&lt;=35,"Medium","Hard")))</f>
        <v>Hard</v>
      </c>
      <c r="H89" s="7" t="s">
        <v>163</v>
      </c>
    </row>
    <row r="90" customFormat="false" ht="15" hidden="false" customHeight="true" outlineLevel="0" collapsed="false">
      <c r="B90" s="7" t="s">
        <v>167</v>
      </c>
      <c r="C90" s="7" t="s">
        <v>151</v>
      </c>
      <c r="D90" s="12" t="n">
        <f aca="false">IFERROR(INDEX('Semrush Data'!$C$2:$C$5000,MATCH(B90,'Semrush Data'!$A$2:$A$5000,0)),"")</f>
        <v>320</v>
      </c>
      <c r="E90" s="7" t="n">
        <f aca="false">IFERROR(INDEX('Semrush Data'!$D$2:$D$5000,MATCH(B90,'Semrush Data'!$A$2:$A$5000,0)),"")</f>
        <v>10</v>
      </c>
      <c r="F90" s="13" t="n">
        <f aca="false">IFERROR(INDEX('Semrush Data'!$E$2:$E$5000,MATCH(B90,'Semrush Data'!$A$2:$A$5000,0)),"")</f>
        <v>1.92</v>
      </c>
      <c r="G90" s="7" t="str">
        <f aca="false">IF(E90="","",IF(E90&lt;=20,"Easier",IF(E90&lt;=35,"Medium","Hard")))</f>
        <v>Easier</v>
      </c>
      <c r="H90" s="7" t="s">
        <v>152</v>
      </c>
    </row>
    <row r="91" customFormat="false" ht="15" hidden="false" customHeight="true" outlineLevel="0" collapsed="false">
      <c r="B91" s="7" t="s">
        <v>168</v>
      </c>
      <c r="C91" s="7" t="s">
        <v>151</v>
      </c>
      <c r="D91" s="12" t="n">
        <f aca="false">IFERROR(INDEX('Semrush Data'!$C$2:$C$5000,MATCH(B91,'Semrush Data'!$A$2:$A$5000,0)),"")</f>
        <v>260</v>
      </c>
      <c r="E91" s="7" t="n">
        <f aca="false">IFERROR(INDEX('Semrush Data'!$D$2:$D$5000,MATCH(B91,'Semrush Data'!$A$2:$A$5000,0)),"")</f>
        <v>19</v>
      </c>
      <c r="F91" s="13" t="n">
        <f aca="false">IFERROR(INDEX('Semrush Data'!$E$2:$E$5000,MATCH(B91,'Semrush Data'!$A$2:$A$5000,0)),"")</f>
        <v>0.76</v>
      </c>
      <c r="G91" s="7" t="str">
        <f aca="false">IF(E91="","",IF(E91&lt;=20,"Easier",IF(E91&lt;=35,"Medium","Hard")))</f>
        <v>Easier</v>
      </c>
      <c r="H91" s="7" t="s">
        <v>152</v>
      </c>
    </row>
    <row r="92" customFormat="false" ht="15" hidden="false" customHeight="true" outlineLevel="0" collapsed="false">
      <c r="B92" s="7" t="s">
        <v>169</v>
      </c>
      <c r="C92" s="7" t="s">
        <v>151</v>
      </c>
      <c r="D92" s="12" t="n">
        <f aca="false">IFERROR(INDEX('Semrush Data'!$C$2:$C$5000,MATCH(B92,'Semrush Data'!$A$2:$A$5000,0)),"")</f>
        <v>260</v>
      </c>
      <c r="E92" s="7" t="n">
        <f aca="false">IFERROR(INDEX('Semrush Data'!$D$2:$D$5000,MATCH(B92,'Semrush Data'!$A$2:$A$5000,0)),"")</f>
        <v>22</v>
      </c>
      <c r="F92" s="13" t="n">
        <f aca="false">IFERROR(INDEX('Semrush Data'!$E$2:$E$5000,MATCH(B92,'Semrush Data'!$A$2:$A$5000,0)),"")</f>
        <v>1.43</v>
      </c>
      <c r="G92" s="7" t="str">
        <f aca="false">IF(E92="","",IF(E92&lt;=20,"Easier",IF(E92&lt;=35,"Medium","Hard")))</f>
        <v>Medium</v>
      </c>
      <c r="H92" s="7" t="s">
        <v>152</v>
      </c>
    </row>
    <row r="93" customFormat="false" ht="15" hidden="false" customHeight="true" outlineLevel="0" collapsed="false">
      <c r="B93" s="7" t="s">
        <v>170</v>
      </c>
      <c r="C93" s="7" t="s">
        <v>151</v>
      </c>
      <c r="D93" s="12" t="n">
        <f aca="false">IFERROR(INDEX('Semrush Data'!$C$2:$C$5000,MATCH(B93,'Semrush Data'!$A$2:$A$5000,0)),"")</f>
        <v>210</v>
      </c>
      <c r="E93" s="7" t="n">
        <f aca="false">IFERROR(INDEX('Semrush Data'!$D$2:$D$5000,MATCH(B93,'Semrush Data'!$A$2:$A$5000,0)),"")</f>
        <v>20</v>
      </c>
      <c r="F93" s="13" t="n">
        <f aca="false">IFERROR(INDEX('Semrush Data'!$E$2:$E$5000,MATCH(B93,'Semrush Data'!$A$2:$A$5000,0)),"")</f>
        <v>0.67</v>
      </c>
      <c r="G93" s="7" t="str">
        <f aca="false">IF(E93="","",IF(E93&lt;=20,"Easier",IF(E93&lt;=35,"Medium","Hard")))</f>
        <v>Easier</v>
      </c>
      <c r="H93" s="7" t="s">
        <v>152</v>
      </c>
    </row>
    <row r="94" customFormat="false" ht="15" hidden="false" customHeight="true" outlineLevel="0" collapsed="false">
      <c r="B94" s="7" t="s">
        <v>171</v>
      </c>
      <c r="C94" s="7" t="s">
        <v>151</v>
      </c>
      <c r="D94" s="12" t="n">
        <f aca="false">IFERROR(INDEX('Semrush Data'!$C$2:$C$5000,MATCH(B94,'Semrush Data'!$A$2:$A$5000,0)),"")</f>
        <v>210</v>
      </c>
      <c r="E94" s="7" t="n">
        <f aca="false">IFERROR(INDEX('Semrush Data'!$D$2:$D$5000,MATCH(B94,'Semrush Data'!$A$2:$A$5000,0)),"")</f>
        <v>16</v>
      </c>
      <c r="F94" s="13" t="n">
        <f aca="false">IFERROR(INDEX('Semrush Data'!$E$2:$E$5000,MATCH(B94,'Semrush Data'!$A$2:$A$5000,0)),"")</f>
        <v>1.02</v>
      </c>
      <c r="G94" s="7" t="str">
        <f aca="false">IF(E94="","",IF(E94&lt;=20,"Easier",IF(E94&lt;=35,"Medium","Hard")))</f>
        <v>Easier</v>
      </c>
      <c r="H94" s="7" t="s">
        <v>163</v>
      </c>
    </row>
    <row r="95" customFormat="false" ht="15" hidden="false" customHeight="true" outlineLevel="0" collapsed="false">
      <c r="B95" s="7" t="s">
        <v>172</v>
      </c>
      <c r="C95" s="7" t="s">
        <v>151</v>
      </c>
      <c r="D95" s="12" t="n">
        <f aca="false">IFERROR(INDEX('Semrush Data'!$C$2:$C$5000,MATCH(B95,'Semrush Data'!$A$2:$A$5000,0)),"")</f>
        <v>210</v>
      </c>
      <c r="E95" s="7" t="n">
        <f aca="false">IFERROR(INDEX('Semrush Data'!$D$2:$D$5000,MATCH(B95,'Semrush Data'!$A$2:$A$5000,0)),"")</f>
        <v>8</v>
      </c>
      <c r="F95" s="13" t="n">
        <f aca="false">IFERROR(INDEX('Semrush Data'!$E$2:$E$5000,MATCH(B95,'Semrush Data'!$A$2:$A$5000,0)),"")</f>
        <v>0.69</v>
      </c>
      <c r="G95" s="7" t="str">
        <f aca="false">IF(E95="","",IF(E95&lt;=20,"Easier",IF(E95&lt;=35,"Medium","Hard")))</f>
        <v>Easier</v>
      </c>
      <c r="H95" s="7" t="s">
        <v>163</v>
      </c>
    </row>
    <row r="96" customFormat="false" ht="15" hidden="false" customHeight="true" outlineLevel="0" collapsed="false">
      <c r="B96" s="7" t="s">
        <v>173</v>
      </c>
      <c r="C96" s="7" t="s">
        <v>151</v>
      </c>
      <c r="D96" s="12" t="n">
        <f aca="false">IFERROR(INDEX('Semrush Data'!$C$2:$C$5000,MATCH(B96,'Semrush Data'!$A$2:$A$5000,0)),"")</f>
        <v>140</v>
      </c>
      <c r="E96" s="7" t="n">
        <f aca="false">IFERROR(INDEX('Semrush Data'!$D$2:$D$5000,MATCH(B96,'Semrush Data'!$A$2:$A$5000,0)),"")</f>
        <v>22</v>
      </c>
      <c r="F96" s="13" t="n">
        <f aca="false">IFERROR(INDEX('Semrush Data'!$E$2:$E$5000,MATCH(B96,'Semrush Data'!$A$2:$A$5000,0)),"")</f>
        <v>0.94</v>
      </c>
      <c r="G96" s="7" t="str">
        <f aca="false">IF(E96="","",IF(E96&lt;=20,"Easier",IF(E96&lt;=35,"Medium","Hard")))</f>
        <v>Medium</v>
      </c>
      <c r="H96" s="7" t="s">
        <v>152</v>
      </c>
    </row>
    <row r="97" customFormat="false" ht="15" hidden="false" customHeight="true" outlineLevel="0" collapsed="false">
      <c r="B97" s="7" t="s">
        <v>174</v>
      </c>
      <c r="C97" s="7" t="s">
        <v>151</v>
      </c>
      <c r="D97" s="12" t="n">
        <f aca="false">IFERROR(INDEX('Semrush Data'!$C$2:$C$5000,MATCH(B97,'Semrush Data'!$A$2:$A$5000,0)),"")</f>
        <v>140</v>
      </c>
      <c r="E97" s="7" t="n">
        <f aca="false">IFERROR(INDEX('Semrush Data'!$D$2:$D$5000,MATCH(B97,'Semrush Data'!$A$2:$A$5000,0)),"")</f>
        <v>16</v>
      </c>
      <c r="F97" s="13" t="n">
        <f aca="false">IFERROR(INDEX('Semrush Data'!$E$2:$E$5000,MATCH(B97,'Semrush Data'!$A$2:$A$5000,0)),"")</f>
        <v>0.94</v>
      </c>
      <c r="G97" s="7" t="str">
        <f aca="false">IF(E97="","",IF(E97&lt;=20,"Easier",IF(E97&lt;=35,"Medium","Hard")))</f>
        <v>Easier</v>
      </c>
      <c r="H97" s="7" t="s">
        <v>163</v>
      </c>
    </row>
    <row r="98" customFormat="false" ht="15" hidden="false" customHeight="true" outlineLevel="0" collapsed="false">
      <c r="B98" s="7" t="s">
        <v>175</v>
      </c>
      <c r="C98" s="7" t="s">
        <v>151</v>
      </c>
      <c r="D98" s="12" t="n">
        <f aca="false">IFERROR(INDEX('Semrush Data'!$C$2:$C$5000,MATCH(B98,'Semrush Data'!$A$2:$A$5000,0)),"")</f>
        <v>90</v>
      </c>
      <c r="E98" s="7" t="n">
        <f aca="false">IFERROR(INDEX('Semrush Data'!$D$2:$D$5000,MATCH(B98,'Semrush Data'!$A$2:$A$5000,0)),"")</f>
        <v>16</v>
      </c>
      <c r="F98" s="13" t="n">
        <f aca="false">IFERROR(INDEX('Semrush Data'!$E$2:$E$5000,MATCH(B98,'Semrush Data'!$A$2:$A$5000,0)),"")</f>
        <v>0.68</v>
      </c>
      <c r="G98" s="7" t="str">
        <f aca="false">IF(E98="","",IF(E98&lt;=20,"Easier",IF(E98&lt;=35,"Medium","Hard")))</f>
        <v>Easier</v>
      </c>
      <c r="H98" s="7" t="s">
        <v>163</v>
      </c>
    </row>
    <row r="99" customFormat="false" ht="15" hidden="false" customHeight="true" outlineLevel="0" collapsed="false">
      <c r="B99" s="7" t="s">
        <v>176</v>
      </c>
      <c r="C99" s="7" t="s">
        <v>151</v>
      </c>
      <c r="D99" s="12" t="n">
        <f aca="false">IFERROR(INDEX('Semrush Data'!$C$2:$C$5000,MATCH(B99,'Semrush Data'!$A$2:$A$5000,0)),"")</f>
        <v>90</v>
      </c>
      <c r="E99" s="7" t="n">
        <f aca="false">IFERROR(INDEX('Semrush Data'!$D$2:$D$5000,MATCH(B99,'Semrush Data'!$A$2:$A$5000,0)),"")</f>
        <v>22</v>
      </c>
      <c r="F99" s="13" t="n">
        <f aca="false">IFERROR(INDEX('Semrush Data'!$E$2:$E$5000,MATCH(B99,'Semrush Data'!$A$2:$A$5000,0)),"")</f>
        <v>0.95</v>
      </c>
      <c r="G99" s="7" t="str">
        <f aca="false">IF(E99="","",IF(E99&lt;=20,"Easier",IF(E99&lt;=35,"Medium","Hard")))</f>
        <v>Medium</v>
      </c>
      <c r="H99" s="7" t="s">
        <v>152</v>
      </c>
    </row>
    <row r="100" customFormat="false" ht="15" hidden="false" customHeight="true" outlineLevel="0" collapsed="false">
      <c r="B100" s="7" t="s">
        <v>177</v>
      </c>
      <c r="C100" s="7" t="s">
        <v>151</v>
      </c>
      <c r="D100" s="12" t="n">
        <f aca="false">IFERROR(INDEX('Semrush Data'!$C$2:$C$5000,MATCH(B100,'Semrush Data'!$A$2:$A$5000,0)),"")</f>
        <v>70</v>
      </c>
      <c r="E100" s="7" t="n">
        <f aca="false">IFERROR(INDEX('Semrush Data'!$D$2:$D$5000,MATCH(B100,'Semrush Data'!$A$2:$A$5000,0)),"")</f>
        <v>36</v>
      </c>
      <c r="F100" s="13" t="n">
        <f aca="false">IFERROR(INDEX('Semrush Data'!$E$2:$E$5000,MATCH(B100,'Semrush Data'!$A$2:$A$5000,0)),"")</f>
        <v>0.49</v>
      </c>
      <c r="G100" s="7" t="str">
        <f aca="false">IF(E100="","",IF(E100&lt;=20,"Easier",IF(E100&lt;=35,"Medium","Hard")))</f>
        <v>Hard</v>
      </c>
      <c r="H100" s="7" t="s">
        <v>152</v>
      </c>
    </row>
    <row r="101" customFormat="false" ht="15" hidden="false" customHeight="true" outlineLevel="0" collapsed="false">
      <c r="B101" s="7" t="s">
        <v>178</v>
      </c>
      <c r="C101" s="7" t="s">
        <v>151</v>
      </c>
      <c r="D101" s="12" t="n">
        <f aca="false">IFERROR(INDEX('Semrush Data'!$C$2:$C$5000,MATCH(B101,'Semrush Data'!$A$2:$A$5000,0)),"")</f>
        <v>70</v>
      </c>
      <c r="E101" s="7" t="n">
        <f aca="false">IFERROR(INDEX('Semrush Data'!$D$2:$D$5000,MATCH(B101,'Semrush Data'!$A$2:$A$5000,0)),"")</f>
        <v>16</v>
      </c>
      <c r="F101" s="13" t="n">
        <f aca="false">IFERROR(INDEX('Semrush Data'!$E$2:$E$5000,MATCH(B101,'Semrush Data'!$A$2:$A$5000,0)),"")</f>
        <v>0.35</v>
      </c>
      <c r="G101" s="7" t="str">
        <f aca="false">IF(E101="","",IF(E101&lt;=20,"Easier",IF(E101&lt;=35,"Medium","Hard")))</f>
        <v>Easier</v>
      </c>
      <c r="H101" s="7" t="s">
        <v>163</v>
      </c>
    </row>
    <row r="102" customFormat="false" ht="15" hidden="false" customHeight="true" outlineLevel="0" collapsed="false">
      <c r="B102" s="7" t="s">
        <v>179</v>
      </c>
      <c r="C102" s="7" t="s">
        <v>151</v>
      </c>
      <c r="D102" s="12" t="n">
        <f aca="false">IFERROR(INDEX('Semrush Data'!$C$2:$C$5000,MATCH(B102,'Semrush Data'!$A$2:$A$5000,0)),"")</f>
        <v>40</v>
      </c>
      <c r="E102" s="7" t="n">
        <f aca="false">IFERROR(INDEX('Semrush Data'!$D$2:$D$5000,MATCH(B102,'Semrush Data'!$A$2:$A$5000,0)),"")</f>
        <v>7</v>
      </c>
      <c r="F102" s="13" t="n">
        <f aca="false">IFERROR(INDEX('Semrush Data'!$E$2:$E$5000,MATCH(B102,'Semrush Data'!$A$2:$A$5000,0)),"")</f>
        <v>1.16</v>
      </c>
      <c r="G102" s="7" t="str">
        <f aca="false">IF(E102="","",IF(E102&lt;=20,"Easier",IF(E102&lt;=35,"Medium","Hard")))</f>
        <v>Easier</v>
      </c>
      <c r="H102" s="7" t="s">
        <v>163</v>
      </c>
    </row>
    <row r="103" customFormat="false" ht="15" hidden="false" customHeight="true" outlineLevel="0" collapsed="false">
      <c r="B103" s="7" t="s">
        <v>180</v>
      </c>
      <c r="C103" s="7" t="s">
        <v>151</v>
      </c>
      <c r="D103" s="12" t="n">
        <f aca="false">IFERROR(INDEX('Semrush Data'!$C$2:$C$5000,MATCH(B103,'Semrush Data'!$A$2:$A$5000,0)),"")</f>
        <v>30</v>
      </c>
      <c r="E103" s="7" t="n">
        <f aca="false">IFERROR(INDEX('Semrush Data'!$D$2:$D$5000,MATCH(B103,'Semrush Data'!$A$2:$A$5000,0)),"")</f>
        <v>21</v>
      </c>
      <c r="F103" s="13" t="n">
        <f aca="false">IFERROR(INDEX('Semrush Data'!$E$2:$E$5000,MATCH(B103,'Semrush Data'!$A$2:$A$5000,0)),"")</f>
        <v>0</v>
      </c>
      <c r="G103" s="7" t="str">
        <f aca="false">IF(E103="","",IF(E103&lt;=20,"Easier",IF(E103&lt;=35,"Medium","Hard")))</f>
        <v>Medium</v>
      </c>
      <c r="H103" s="7" t="s">
        <v>163</v>
      </c>
    </row>
    <row r="104" customFormat="false" ht="15" hidden="false" customHeight="true" outlineLevel="0" collapsed="false">
      <c r="B104" s="7" t="s">
        <v>181</v>
      </c>
      <c r="C104" s="7" t="s">
        <v>151</v>
      </c>
      <c r="D104" s="12" t="n">
        <f aca="false">IFERROR(INDEX('Semrush Data'!$C$2:$C$5000,MATCH(B104,'Semrush Data'!$A$2:$A$5000,0)),"")</f>
        <v>30</v>
      </c>
      <c r="E104" s="7" t="n">
        <f aca="false">IFERROR(INDEX('Semrush Data'!$D$2:$D$5000,MATCH(B104,'Semrush Data'!$A$2:$A$5000,0)),"")</f>
        <v>25</v>
      </c>
      <c r="F104" s="13" t="n">
        <f aca="false">IFERROR(INDEX('Semrush Data'!$E$2:$E$5000,MATCH(B104,'Semrush Data'!$A$2:$A$5000,0)),"")</f>
        <v>0</v>
      </c>
      <c r="G104" s="7" t="str">
        <f aca="false">IF(E104="","",IF(E104&lt;=20,"Easier",IF(E104&lt;=35,"Medium","Hard")))</f>
        <v>Medium</v>
      </c>
      <c r="H104" s="7" t="s">
        <v>163</v>
      </c>
    </row>
    <row r="105" customFormat="false" ht="15" hidden="false" customHeight="true" outlineLevel="0" collapsed="false">
      <c r="B105" s="7" t="s">
        <v>182</v>
      </c>
      <c r="C105" s="7" t="s">
        <v>151</v>
      </c>
      <c r="D105" s="12" t="n">
        <f aca="false">IFERROR(INDEX('Semrush Data'!$C$2:$C$5000,MATCH(B105,'Semrush Data'!$A$2:$A$5000,0)),"")</f>
        <v>30</v>
      </c>
      <c r="E105" s="7" t="n">
        <f aca="false">IFERROR(INDEX('Semrush Data'!$D$2:$D$5000,MATCH(B105,'Semrush Data'!$A$2:$A$5000,0)),"")</f>
        <v>12</v>
      </c>
      <c r="F105" s="13" t="n">
        <f aca="false">IFERROR(INDEX('Semrush Data'!$E$2:$E$5000,MATCH(B105,'Semrush Data'!$A$2:$A$5000,0)),"")</f>
        <v>0</v>
      </c>
      <c r="G105" s="7" t="str">
        <f aca="false">IF(E105="","",IF(E105&lt;=20,"Easier",IF(E105&lt;=35,"Medium","Hard")))</f>
        <v>Easier</v>
      </c>
      <c r="H105" s="7" t="s">
        <v>163</v>
      </c>
    </row>
    <row r="107" customFormat="false" ht="15.75" hidden="false" customHeight="true" outlineLevel="0" collapsed="false">
      <c r="A107" s="5" t="s">
        <v>183</v>
      </c>
    </row>
    <row r="108" customFormat="false" ht="15" hidden="false" customHeight="true" outlineLevel="0" collapsed="false">
      <c r="A108" s="6" t="s">
        <v>184</v>
      </c>
    </row>
    <row r="109" customFormat="false" ht="15" hidden="false" customHeight="true" outlineLevel="0" collapsed="false">
      <c r="A109" s="10"/>
      <c r="B109" s="10" t="s">
        <v>148</v>
      </c>
      <c r="C109" s="10" t="s">
        <v>149</v>
      </c>
      <c r="D109" s="10" t="s">
        <v>40</v>
      </c>
      <c r="E109" s="10" t="s">
        <v>41</v>
      </c>
      <c r="F109" s="10" t="s">
        <v>42</v>
      </c>
      <c r="G109" s="10" t="s">
        <v>43</v>
      </c>
      <c r="H109" s="10" t="s">
        <v>44</v>
      </c>
    </row>
    <row r="110" customFormat="false" ht="15" hidden="false" customHeight="true" outlineLevel="0" collapsed="false">
      <c r="B110" s="7" t="s">
        <v>185</v>
      </c>
      <c r="C110" s="7" t="s">
        <v>186</v>
      </c>
      <c r="D110" s="12" t="n">
        <f aca="false">IFERROR(INDEX('Semrush Data'!$C$2:$C$5000,MATCH(B110,'Semrush Data'!$A$2:$A$5000,0)),"")</f>
        <v>33100</v>
      </c>
      <c r="E110" s="7" t="n">
        <f aca="false">IFERROR(INDEX('Semrush Data'!$D$2:$D$5000,MATCH(B110,'Semrush Data'!$A$2:$A$5000,0)),"")</f>
        <v>44</v>
      </c>
      <c r="F110" s="13" t="n">
        <f aca="false">IFERROR(INDEX('Semrush Data'!$E$2:$E$5000,MATCH(B110,'Semrush Data'!$A$2:$A$5000,0)),"")</f>
        <v>1.23</v>
      </c>
      <c r="G110" s="7" t="str">
        <f aca="false">IF(E110="","",IF(E110&lt;=20,"Easier",IF(E110&lt;=35,"Medium","Hard")))</f>
        <v>Hard</v>
      </c>
      <c r="H110" s="7" t="s">
        <v>187</v>
      </c>
    </row>
    <row r="111" customFormat="false" ht="15" hidden="false" customHeight="true" outlineLevel="0" collapsed="false">
      <c r="B111" s="7" t="s">
        <v>188</v>
      </c>
      <c r="C111" s="7" t="s">
        <v>189</v>
      </c>
      <c r="D111" s="12" t="n">
        <f aca="false">IFERROR(INDEX('Semrush Data'!$C$2:$C$5000,MATCH(B111,'Semrush Data'!$A$2:$A$5000,0)),"")</f>
        <v>22200</v>
      </c>
      <c r="E111" s="7" t="n">
        <f aca="false">IFERROR(INDEX('Semrush Data'!$D$2:$D$5000,MATCH(B111,'Semrush Data'!$A$2:$A$5000,0)),"")</f>
        <v>30</v>
      </c>
      <c r="F111" s="13" t="n">
        <f aca="false">IFERROR(INDEX('Semrush Data'!$E$2:$E$5000,MATCH(B111,'Semrush Data'!$A$2:$A$5000,0)),"")</f>
        <v>0.87</v>
      </c>
      <c r="G111" s="7" t="str">
        <f aca="false">IF(E111="","",IF(E111&lt;=20,"Easier",IF(E111&lt;=35,"Medium","Hard")))</f>
        <v>Medium</v>
      </c>
      <c r="H111" s="7" t="s">
        <v>187</v>
      </c>
    </row>
    <row r="112" customFormat="false" ht="15" hidden="false" customHeight="true" outlineLevel="0" collapsed="false">
      <c r="B112" s="7" t="s">
        <v>190</v>
      </c>
      <c r="C112" s="7" t="s">
        <v>186</v>
      </c>
      <c r="D112" s="12" t="n">
        <f aca="false">IFERROR(INDEX('Semrush Data'!$C$2:$C$5000,MATCH(B112,'Semrush Data'!$A$2:$A$5000,0)),"")</f>
        <v>18100</v>
      </c>
      <c r="E112" s="7" t="n">
        <f aca="false">IFERROR(INDEX('Semrush Data'!$D$2:$D$5000,MATCH(B112,'Semrush Data'!$A$2:$A$5000,0)),"")</f>
        <v>16</v>
      </c>
      <c r="F112" s="13" t="n">
        <f aca="false">IFERROR(INDEX('Semrush Data'!$E$2:$E$5000,MATCH(B112,'Semrush Data'!$A$2:$A$5000,0)),"")</f>
        <v>0.31</v>
      </c>
      <c r="G112" s="7" t="str">
        <f aca="false">IF(E112="","",IF(E112&lt;=20,"Easier",IF(E112&lt;=35,"Medium","Hard")))</f>
        <v>Easier</v>
      </c>
      <c r="H112" s="7" t="s">
        <v>187</v>
      </c>
    </row>
    <row r="113" customFormat="false" ht="15" hidden="false" customHeight="true" outlineLevel="0" collapsed="false">
      <c r="B113" s="7" t="s">
        <v>191</v>
      </c>
      <c r="C113" s="7" t="s">
        <v>186</v>
      </c>
      <c r="D113" s="12" t="n">
        <f aca="false">IFERROR(INDEX('Semrush Data'!$C$2:$C$5000,MATCH(B113,'Semrush Data'!$A$2:$A$5000,0)),"")</f>
        <v>14800</v>
      </c>
      <c r="E113" s="7" t="n">
        <f aca="false">IFERROR(INDEX('Semrush Data'!$D$2:$D$5000,MATCH(B113,'Semrush Data'!$A$2:$A$5000,0)),"")</f>
        <v>38</v>
      </c>
      <c r="F113" s="13" t="n">
        <f aca="false">IFERROR(INDEX('Semrush Data'!$E$2:$E$5000,MATCH(B113,'Semrush Data'!$A$2:$A$5000,0)),"")</f>
        <v>0.77</v>
      </c>
      <c r="G113" s="7" t="str">
        <f aca="false">IF(E113="","",IF(E113&lt;=20,"Easier",IF(E113&lt;=35,"Medium","Hard")))</f>
        <v>Hard</v>
      </c>
      <c r="H113" s="7" t="s">
        <v>187</v>
      </c>
    </row>
    <row r="114" customFormat="false" ht="15" hidden="false" customHeight="true" outlineLevel="0" collapsed="false">
      <c r="B114" s="7" t="s">
        <v>192</v>
      </c>
      <c r="C114" s="7" t="s">
        <v>189</v>
      </c>
      <c r="D114" s="12" t="n">
        <f aca="false">IFERROR(INDEX('Semrush Data'!$C$2:$C$5000,MATCH(B114,'Semrush Data'!$A$2:$A$5000,0)),"")</f>
        <v>12100</v>
      </c>
      <c r="E114" s="7" t="n">
        <f aca="false">IFERROR(INDEX('Semrush Data'!$D$2:$D$5000,MATCH(B114,'Semrush Data'!$A$2:$A$5000,0)),"")</f>
        <v>18</v>
      </c>
      <c r="F114" s="13" t="n">
        <f aca="false">IFERROR(INDEX('Semrush Data'!$E$2:$E$5000,MATCH(B114,'Semrush Data'!$A$2:$A$5000,0)),"")</f>
        <v>0.44</v>
      </c>
      <c r="G114" s="7" t="str">
        <f aca="false">IF(E114="","",IF(E114&lt;=20,"Easier",IF(E114&lt;=35,"Medium","Hard")))</f>
        <v>Easier</v>
      </c>
      <c r="H114" s="7" t="s">
        <v>187</v>
      </c>
    </row>
    <row r="115" customFormat="false" ht="15" hidden="false" customHeight="true" outlineLevel="0" collapsed="false">
      <c r="B115" s="7" t="s">
        <v>193</v>
      </c>
      <c r="C115" s="7" t="s">
        <v>189</v>
      </c>
      <c r="D115" s="12" t="n">
        <f aca="false">IFERROR(INDEX('Semrush Data'!$C$2:$C$5000,MATCH(B115,'Semrush Data'!$A$2:$A$5000,0)),"")</f>
        <v>9900</v>
      </c>
      <c r="E115" s="7" t="n">
        <f aca="false">IFERROR(INDEX('Semrush Data'!$D$2:$D$5000,MATCH(B115,'Semrush Data'!$A$2:$A$5000,0)),"")</f>
        <v>30</v>
      </c>
      <c r="F115" s="13" t="n">
        <f aca="false">IFERROR(INDEX('Semrush Data'!$E$2:$E$5000,MATCH(B115,'Semrush Data'!$A$2:$A$5000,0)),"")</f>
        <v>1.02</v>
      </c>
      <c r="G115" s="7" t="str">
        <f aca="false">IF(E115="","",IF(E115&lt;=20,"Easier",IF(E115&lt;=35,"Medium","Hard")))</f>
        <v>Medium</v>
      </c>
      <c r="H115" s="7" t="s">
        <v>187</v>
      </c>
    </row>
    <row r="116" customFormat="false" ht="15" hidden="false" customHeight="true" outlineLevel="0" collapsed="false">
      <c r="B116" s="7" t="s">
        <v>194</v>
      </c>
      <c r="C116" s="7" t="s">
        <v>186</v>
      </c>
      <c r="D116" s="12" t="n">
        <f aca="false">IFERROR(INDEX('Semrush Data'!$C$2:$C$5000,MATCH(B116,'Semrush Data'!$A$2:$A$5000,0)),"")</f>
        <v>9900</v>
      </c>
      <c r="E116" s="7" t="n">
        <f aca="false">IFERROR(INDEX('Semrush Data'!$D$2:$D$5000,MATCH(B116,'Semrush Data'!$A$2:$A$5000,0)),"")</f>
        <v>22</v>
      </c>
      <c r="F116" s="13" t="n">
        <f aca="false">IFERROR(INDEX('Semrush Data'!$E$2:$E$5000,MATCH(B116,'Semrush Data'!$A$2:$A$5000,0)),"")</f>
        <v>0.78</v>
      </c>
      <c r="G116" s="7" t="str">
        <f aca="false">IF(E116="","",IF(E116&lt;=20,"Easier",IF(E116&lt;=35,"Medium","Hard")))</f>
        <v>Medium</v>
      </c>
      <c r="H116" s="7" t="s">
        <v>187</v>
      </c>
    </row>
    <row r="117" customFormat="false" ht="15" hidden="false" customHeight="true" outlineLevel="0" collapsed="false">
      <c r="B117" s="7" t="s">
        <v>195</v>
      </c>
      <c r="C117" s="7" t="s">
        <v>186</v>
      </c>
      <c r="D117" s="12" t="n">
        <f aca="false">IFERROR(INDEX('Semrush Data'!$C$2:$C$5000,MATCH(B117,'Semrush Data'!$A$2:$A$5000,0)),"")</f>
        <v>8100</v>
      </c>
      <c r="E117" s="7" t="n">
        <f aca="false">IFERROR(INDEX('Semrush Data'!$D$2:$D$5000,MATCH(B117,'Semrush Data'!$A$2:$A$5000,0)),"")</f>
        <v>31</v>
      </c>
      <c r="F117" s="13" t="n">
        <f aca="false">IFERROR(INDEX('Semrush Data'!$E$2:$E$5000,MATCH(B117,'Semrush Data'!$A$2:$A$5000,0)),"")</f>
        <v>0.76</v>
      </c>
      <c r="G117" s="7" t="str">
        <f aca="false">IF(E117="","",IF(E117&lt;=20,"Easier",IF(E117&lt;=35,"Medium","Hard")))</f>
        <v>Medium</v>
      </c>
      <c r="H117" s="7" t="s">
        <v>187</v>
      </c>
    </row>
    <row r="118" customFormat="false" ht="15" hidden="false" customHeight="true" outlineLevel="0" collapsed="false">
      <c r="B118" s="7" t="s">
        <v>196</v>
      </c>
      <c r="C118" s="7" t="s">
        <v>189</v>
      </c>
      <c r="D118" s="12" t="n">
        <f aca="false">IFERROR(INDEX('Semrush Data'!$C$2:$C$5000,MATCH(B118,'Semrush Data'!$A$2:$A$5000,0)),"")</f>
        <v>6600</v>
      </c>
      <c r="E118" s="7" t="n">
        <f aca="false">IFERROR(INDEX('Semrush Data'!$D$2:$D$5000,MATCH(B118,'Semrush Data'!$A$2:$A$5000,0)),"")</f>
        <v>26</v>
      </c>
      <c r="F118" s="13" t="n">
        <f aca="false">IFERROR(INDEX('Semrush Data'!$E$2:$E$5000,MATCH(B118,'Semrush Data'!$A$2:$A$5000,0)),"")</f>
        <v>2.37</v>
      </c>
      <c r="G118" s="7" t="str">
        <f aca="false">IF(E118="","",IF(E118&lt;=20,"Easier",IF(E118&lt;=35,"Medium","Hard")))</f>
        <v>Medium</v>
      </c>
      <c r="H118" s="7" t="s">
        <v>187</v>
      </c>
    </row>
    <row r="119" customFormat="false" ht="15" hidden="false" customHeight="true" outlineLevel="0" collapsed="false">
      <c r="B119" s="7" t="s">
        <v>197</v>
      </c>
      <c r="C119" s="7" t="s">
        <v>186</v>
      </c>
      <c r="D119" s="12" t="n">
        <f aca="false">IFERROR(INDEX('Semrush Data'!$C$2:$C$5000,MATCH(B119,'Semrush Data'!$A$2:$A$5000,0)),"")</f>
        <v>6600</v>
      </c>
      <c r="E119" s="7" t="n">
        <f aca="false">IFERROR(INDEX('Semrush Data'!$D$2:$D$5000,MATCH(B119,'Semrush Data'!$A$2:$A$5000,0)),"")</f>
        <v>12</v>
      </c>
      <c r="F119" s="13" t="n">
        <f aca="false">IFERROR(INDEX('Semrush Data'!$E$2:$E$5000,MATCH(B119,'Semrush Data'!$A$2:$A$5000,0)),"")</f>
        <v>0.76</v>
      </c>
      <c r="G119" s="7" t="str">
        <f aca="false">IF(E119="","",IF(E119&lt;=20,"Easier",IF(E119&lt;=35,"Medium","Hard")))</f>
        <v>Easier</v>
      </c>
      <c r="H119" s="7" t="s">
        <v>187</v>
      </c>
    </row>
    <row r="120" customFormat="false" ht="15" hidden="false" customHeight="true" outlineLevel="0" collapsed="false">
      <c r="B120" s="7" t="s">
        <v>198</v>
      </c>
      <c r="C120" s="7" t="s">
        <v>186</v>
      </c>
      <c r="D120" s="12" t="n">
        <f aca="false">IFERROR(INDEX('Semrush Data'!$C$2:$C$5000,MATCH(B120,'Semrush Data'!$A$2:$A$5000,0)),"")</f>
        <v>5400</v>
      </c>
      <c r="E120" s="7" t="n">
        <f aca="false">IFERROR(INDEX('Semrush Data'!$D$2:$D$5000,MATCH(B120,'Semrush Data'!$A$2:$A$5000,0)),"")</f>
        <v>16</v>
      </c>
      <c r="F120" s="13" t="n">
        <f aca="false">IFERROR(INDEX('Semrush Data'!$E$2:$E$5000,MATCH(B120,'Semrush Data'!$A$2:$A$5000,0)),"")</f>
        <v>0.46</v>
      </c>
      <c r="G120" s="7" t="str">
        <f aca="false">IF(E120="","",IF(E120&lt;=20,"Easier",IF(E120&lt;=35,"Medium","Hard")))</f>
        <v>Easier</v>
      </c>
      <c r="H120" s="7" t="s">
        <v>187</v>
      </c>
    </row>
    <row r="121" customFormat="false" ht="15" hidden="false" customHeight="true" outlineLevel="0" collapsed="false">
      <c r="B121" s="7" t="s">
        <v>199</v>
      </c>
      <c r="C121" s="7" t="s">
        <v>186</v>
      </c>
      <c r="D121" s="12" t="n">
        <f aca="false">IFERROR(INDEX('Semrush Data'!$C$2:$C$5000,MATCH(B121,'Semrush Data'!$A$2:$A$5000,0)),"")</f>
        <v>5400</v>
      </c>
      <c r="E121" s="7" t="n">
        <f aca="false">IFERROR(INDEX('Semrush Data'!$D$2:$D$5000,MATCH(B121,'Semrush Data'!$A$2:$A$5000,0)),"")</f>
        <v>21</v>
      </c>
      <c r="F121" s="13" t="n">
        <f aca="false">IFERROR(INDEX('Semrush Data'!$E$2:$E$5000,MATCH(B121,'Semrush Data'!$A$2:$A$5000,0)),"")</f>
        <v>1.76</v>
      </c>
      <c r="G121" s="7" t="str">
        <f aca="false">IF(E121="","",IF(E121&lt;=20,"Easier",IF(E121&lt;=35,"Medium","Hard")))</f>
        <v>Medium</v>
      </c>
      <c r="H121" s="7" t="s">
        <v>187</v>
      </c>
    </row>
    <row r="122" customFormat="false" ht="15" hidden="false" customHeight="true" outlineLevel="0" collapsed="false">
      <c r="B122" s="7" t="s">
        <v>200</v>
      </c>
      <c r="C122" s="7" t="s">
        <v>186</v>
      </c>
      <c r="D122" s="12" t="n">
        <f aca="false">IFERROR(INDEX('Semrush Data'!$C$2:$C$5000,MATCH(B122,'Semrush Data'!$A$2:$A$5000,0)),"")</f>
        <v>5400</v>
      </c>
      <c r="E122" s="7" t="n">
        <f aca="false">IFERROR(INDEX('Semrush Data'!$D$2:$D$5000,MATCH(B122,'Semrush Data'!$A$2:$A$5000,0)),"")</f>
        <v>22</v>
      </c>
      <c r="F122" s="13" t="n">
        <f aca="false">IFERROR(INDEX('Semrush Data'!$E$2:$E$5000,MATCH(B122,'Semrush Data'!$A$2:$A$5000,0)),"")</f>
        <v>0.81</v>
      </c>
      <c r="G122" s="7" t="str">
        <f aca="false">IF(E122="","",IF(E122&lt;=20,"Easier",IF(E122&lt;=35,"Medium","Hard")))</f>
        <v>Medium</v>
      </c>
      <c r="H122" s="7" t="s">
        <v>187</v>
      </c>
    </row>
    <row r="123" customFormat="false" ht="15" hidden="false" customHeight="true" outlineLevel="0" collapsed="false">
      <c r="B123" s="7" t="s">
        <v>201</v>
      </c>
      <c r="C123" s="7" t="s">
        <v>186</v>
      </c>
      <c r="D123" s="12" t="n">
        <f aca="false">IFERROR(INDEX('Semrush Data'!$C$2:$C$5000,MATCH(B123,'Semrush Data'!$A$2:$A$5000,0)),"")</f>
        <v>5400</v>
      </c>
      <c r="E123" s="7" t="n">
        <f aca="false">IFERROR(INDEX('Semrush Data'!$D$2:$D$5000,MATCH(B123,'Semrush Data'!$A$2:$A$5000,0)),"")</f>
        <v>20</v>
      </c>
      <c r="F123" s="13" t="n">
        <f aca="false">IFERROR(INDEX('Semrush Data'!$E$2:$E$5000,MATCH(B123,'Semrush Data'!$A$2:$A$5000,0)),"")</f>
        <v>1.24</v>
      </c>
      <c r="G123" s="7" t="str">
        <f aca="false">IF(E123="","",IF(E123&lt;=20,"Easier",IF(E123&lt;=35,"Medium","Hard")))</f>
        <v>Easier</v>
      </c>
      <c r="H123" s="7" t="s">
        <v>187</v>
      </c>
    </row>
    <row r="124" customFormat="false" ht="15" hidden="false" customHeight="true" outlineLevel="0" collapsed="false">
      <c r="B124" s="7" t="s">
        <v>202</v>
      </c>
      <c r="C124" s="7" t="s">
        <v>186</v>
      </c>
      <c r="D124" s="12" t="n">
        <f aca="false">IFERROR(INDEX('Semrush Data'!$C$2:$C$5000,MATCH(B124,'Semrush Data'!$A$2:$A$5000,0)),"")</f>
        <v>4400</v>
      </c>
      <c r="E124" s="7" t="n">
        <f aca="false">IFERROR(INDEX('Semrush Data'!$D$2:$D$5000,MATCH(B124,'Semrush Data'!$A$2:$A$5000,0)),"")</f>
        <v>30</v>
      </c>
      <c r="F124" s="13" t="n">
        <f aca="false">IFERROR(INDEX('Semrush Data'!$E$2:$E$5000,MATCH(B124,'Semrush Data'!$A$2:$A$5000,0)),"")</f>
        <v>0.49</v>
      </c>
      <c r="G124" s="7" t="str">
        <f aca="false">IF(E124="","",IF(E124&lt;=20,"Easier",IF(E124&lt;=35,"Medium","Hard")))</f>
        <v>Medium</v>
      </c>
      <c r="H124" s="7" t="s">
        <v>187</v>
      </c>
    </row>
    <row r="125" customFormat="false" ht="15" hidden="false" customHeight="true" outlineLevel="0" collapsed="false">
      <c r="B125" s="7" t="s">
        <v>203</v>
      </c>
      <c r="C125" s="7" t="s">
        <v>189</v>
      </c>
      <c r="D125" s="12" t="n">
        <f aca="false">IFERROR(INDEX('Semrush Data'!$C$2:$C$5000,MATCH(B125,'Semrush Data'!$A$2:$A$5000,0)),"")</f>
        <v>3600</v>
      </c>
      <c r="E125" s="7" t="n">
        <f aca="false">IFERROR(INDEX('Semrush Data'!$D$2:$D$5000,MATCH(B125,'Semrush Data'!$A$2:$A$5000,0)),"")</f>
        <v>24</v>
      </c>
      <c r="F125" s="13" t="n">
        <f aca="false">IFERROR(INDEX('Semrush Data'!$E$2:$E$5000,MATCH(B125,'Semrush Data'!$A$2:$A$5000,0)),"")</f>
        <v>0.66</v>
      </c>
      <c r="G125" s="7" t="str">
        <f aca="false">IF(E125="","",IF(E125&lt;=20,"Easier",IF(E125&lt;=35,"Medium","Hard")))</f>
        <v>Medium</v>
      </c>
      <c r="H125" s="7" t="s">
        <v>187</v>
      </c>
    </row>
    <row r="126" customFormat="false" ht="15" hidden="false" customHeight="true" outlineLevel="0" collapsed="false">
      <c r="B126" s="7" t="s">
        <v>204</v>
      </c>
      <c r="C126" s="7" t="s">
        <v>189</v>
      </c>
      <c r="D126" s="12" t="n">
        <f aca="false">IFERROR(INDEX('Semrush Data'!$C$2:$C$5000,MATCH(B126,'Semrush Data'!$A$2:$A$5000,0)),"")</f>
        <v>3600</v>
      </c>
      <c r="E126" s="7" t="n">
        <f aca="false">IFERROR(INDEX('Semrush Data'!$D$2:$D$5000,MATCH(B126,'Semrush Data'!$A$2:$A$5000,0)),"")</f>
        <v>21</v>
      </c>
      <c r="F126" s="13" t="n">
        <f aca="false">IFERROR(INDEX('Semrush Data'!$E$2:$E$5000,MATCH(B126,'Semrush Data'!$A$2:$A$5000,0)),"")</f>
        <v>1.06</v>
      </c>
      <c r="G126" s="7" t="str">
        <f aca="false">IF(E126="","",IF(E126&lt;=20,"Easier",IF(E126&lt;=35,"Medium","Hard")))</f>
        <v>Medium</v>
      </c>
      <c r="H126" s="7" t="s">
        <v>187</v>
      </c>
    </row>
    <row r="127" customFormat="false" ht="15" hidden="false" customHeight="true" outlineLevel="0" collapsed="false">
      <c r="B127" s="7" t="s">
        <v>205</v>
      </c>
      <c r="C127" s="7" t="s">
        <v>186</v>
      </c>
      <c r="D127" s="12" t="n">
        <f aca="false">IFERROR(INDEX('Semrush Data'!$C$2:$C$5000,MATCH(B127,'Semrush Data'!$A$2:$A$5000,0)),"")</f>
        <v>3600</v>
      </c>
      <c r="E127" s="7" t="n">
        <f aca="false">IFERROR(INDEX('Semrush Data'!$D$2:$D$5000,MATCH(B127,'Semrush Data'!$A$2:$A$5000,0)),"")</f>
        <v>34</v>
      </c>
      <c r="F127" s="13" t="n">
        <f aca="false">IFERROR(INDEX('Semrush Data'!$E$2:$E$5000,MATCH(B127,'Semrush Data'!$A$2:$A$5000,0)),"")</f>
        <v>0.51</v>
      </c>
      <c r="G127" s="7" t="str">
        <f aca="false">IF(E127="","",IF(E127&lt;=20,"Easier",IF(E127&lt;=35,"Medium","Hard")))</f>
        <v>Medium</v>
      </c>
      <c r="H127" s="7" t="s">
        <v>187</v>
      </c>
    </row>
    <row r="128" customFormat="false" ht="15" hidden="false" customHeight="true" outlineLevel="0" collapsed="false">
      <c r="B128" s="7" t="s">
        <v>206</v>
      </c>
      <c r="C128" s="7" t="s">
        <v>186</v>
      </c>
      <c r="D128" s="12" t="n">
        <f aca="false">IFERROR(INDEX('Semrush Data'!$C$2:$C$5000,MATCH(B128,'Semrush Data'!$A$2:$A$5000,0)),"")</f>
        <v>3600</v>
      </c>
      <c r="E128" s="7" t="n">
        <f aca="false">IFERROR(INDEX('Semrush Data'!$D$2:$D$5000,MATCH(B128,'Semrush Data'!$A$2:$A$5000,0)),"")</f>
        <v>37</v>
      </c>
      <c r="F128" s="13" t="n">
        <f aca="false">IFERROR(INDEX('Semrush Data'!$E$2:$E$5000,MATCH(B128,'Semrush Data'!$A$2:$A$5000,0)),"")</f>
        <v>0.32</v>
      </c>
      <c r="G128" s="7" t="str">
        <f aca="false">IF(E128="","",IF(E128&lt;=20,"Easier",IF(E128&lt;=35,"Medium","Hard")))</f>
        <v>Hard</v>
      </c>
      <c r="H128" s="7" t="s">
        <v>187</v>
      </c>
    </row>
    <row r="129" customFormat="false" ht="15" hidden="false" customHeight="true" outlineLevel="0" collapsed="false">
      <c r="B129" s="7" t="s">
        <v>207</v>
      </c>
      <c r="C129" s="7" t="s">
        <v>186</v>
      </c>
      <c r="D129" s="12" t="n">
        <f aca="false">IFERROR(INDEX('Semrush Data'!$C$2:$C$5000,MATCH(B129,'Semrush Data'!$A$2:$A$5000,0)),"")</f>
        <v>3600</v>
      </c>
      <c r="E129" s="7" t="n">
        <f aca="false">IFERROR(INDEX('Semrush Data'!$D$2:$D$5000,MATCH(B129,'Semrush Data'!$A$2:$A$5000,0)),"")</f>
        <v>18</v>
      </c>
      <c r="F129" s="13" t="n">
        <f aca="false">IFERROR(INDEX('Semrush Data'!$E$2:$E$5000,MATCH(B129,'Semrush Data'!$A$2:$A$5000,0)),"")</f>
        <v>1.17</v>
      </c>
      <c r="G129" s="7" t="str">
        <f aca="false">IF(E129="","",IF(E129&lt;=20,"Easier",IF(E129&lt;=35,"Medium","Hard")))</f>
        <v>Easier</v>
      </c>
      <c r="H129" s="7" t="s">
        <v>187</v>
      </c>
    </row>
    <row r="130" customFormat="false" ht="15" hidden="false" customHeight="true" outlineLevel="0" collapsed="false">
      <c r="B130" s="7" t="s">
        <v>208</v>
      </c>
      <c r="C130" s="7" t="s">
        <v>186</v>
      </c>
      <c r="D130" s="12" t="n">
        <f aca="false">IFERROR(INDEX('Semrush Data'!$C$2:$C$5000,MATCH(B130,'Semrush Data'!$A$2:$A$5000,0)),"")</f>
        <v>3600</v>
      </c>
      <c r="E130" s="7" t="n">
        <f aca="false">IFERROR(INDEX('Semrush Data'!$D$2:$D$5000,MATCH(B130,'Semrush Data'!$A$2:$A$5000,0)),"")</f>
        <v>22</v>
      </c>
      <c r="F130" s="13" t="n">
        <f aca="false">IFERROR(INDEX('Semrush Data'!$E$2:$E$5000,MATCH(B130,'Semrush Data'!$A$2:$A$5000,0)),"")</f>
        <v>0.7</v>
      </c>
      <c r="G130" s="7" t="str">
        <f aca="false">IF(E130="","",IF(E130&lt;=20,"Easier",IF(E130&lt;=35,"Medium","Hard")))</f>
        <v>Medium</v>
      </c>
      <c r="H130" s="7" t="s">
        <v>187</v>
      </c>
    </row>
    <row r="131" customFormat="false" ht="15" hidden="false" customHeight="true" outlineLevel="0" collapsed="false">
      <c r="B131" s="7" t="s">
        <v>209</v>
      </c>
      <c r="C131" s="7" t="s">
        <v>186</v>
      </c>
      <c r="D131" s="12" t="n">
        <f aca="false">IFERROR(INDEX('Semrush Data'!$C$2:$C$5000,MATCH(B131,'Semrush Data'!$A$2:$A$5000,0)),"")</f>
        <v>2900</v>
      </c>
      <c r="E131" s="7" t="n">
        <f aca="false">IFERROR(INDEX('Semrush Data'!$D$2:$D$5000,MATCH(B131,'Semrush Data'!$A$2:$A$5000,0)),"")</f>
        <v>21</v>
      </c>
      <c r="F131" s="13" t="n">
        <f aca="false">IFERROR(INDEX('Semrush Data'!$E$2:$E$5000,MATCH(B131,'Semrush Data'!$A$2:$A$5000,0)),"")</f>
        <v>0.43</v>
      </c>
      <c r="G131" s="7" t="str">
        <f aca="false">IF(E131="","",IF(E131&lt;=20,"Easier",IF(E131&lt;=35,"Medium","Hard")))</f>
        <v>Medium</v>
      </c>
      <c r="H131" s="7" t="s">
        <v>187</v>
      </c>
    </row>
    <row r="132" customFormat="false" ht="15" hidden="false" customHeight="true" outlineLevel="0" collapsed="false">
      <c r="B132" s="7" t="s">
        <v>210</v>
      </c>
      <c r="C132" s="7" t="s">
        <v>186</v>
      </c>
      <c r="D132" s="12" t="n">
        <f aca="false">IFERROR(INDEX('Semrush Data'!$C$2:$C$5000,MATCH(B132,'Semrush Data'!$A$2:$A$5000,0)),"")</f>
        <v>2900</v>
      </c>
      <c r="E132" s="7" t="n">
        <f aca="false">IFERROR(INDEX('Semrush Data'!$D$2:$D$5000,MATCH(B132,'Semrush Data'!$A$2:$A$5000,0)),"")</f>
        <v>19</v>
      </c>
      <c r="F132" s="13" t="n">
        <f aca="false">IFERROR(INDEX('Semrush Data'!$E$2:$E$5000,MATCH(B132,'Semrush Data'!$A$2:$A$5000,0)),"")</f>
        <v>1.33</v>
      </c>
      <c r="G132" s="7" t="str">
        <f aca="false">IF(E132="","",IF(E132&lt;=20,"Easier",IF(E132&lt;=35,"Medium","Hard")))</f>
        <v>Easier</v>
      </c>
      <c r="H132" s="7" t="s">
        <v>187</v>
      </c>
    </row>
    <row r="133" customFormat="false" ht="15" hidden="false" customHeight="true" outlineLevel="0" collapsed="false">
      <c r="B133" s="7" t="s">
        <v>211</v>
      </c>
      <c r="C133" s="7" t="s">
        <v>186</v>
      </c>
      <c r="D133" s="12" t="n">
        <f aca="false">IFERROR(INDEX('Semrush Data'!$C$2:$C$5000,MATCH(B133,'Semrush Data'!$A$2:$A$5000,0)),"")</f>
        <v>2900</v>
      </c>
      <c r="E133" s="7" t="n">
        <f aca="false">IFERROR(INDEX('Semrush Data'!$D$2:$D$5000,MATCH(B133,'Semrush Data'!$A$2:$A$5000,0)),"")</f>
        <v>9</v>
      </c>
      <c r="F133" s="13" t="n">
        <f aca="false">IFERROR(INDEX('Semrush Data'!$E$2:$E$5000,MATCH(B133,'Semrush Data'!$A$2:$A$5000,0)),"")</f>
        <v>0.33</v>
      </c>
      <c r="G133" s="7" t="str">
        <f aca="false">IF(E133="","",IF(E133&lt;=20,"Easier",IF(E133&lt;=35,"Medium","Hard")))</f>
        <v>Easier</v>
      </c>
      <c r="H133" s="7" t="s">
        <v>187</v>
      </c>
    </row>
    <row r="134" customFormat="false" ht="15" hidden="false" customHeight="true" outlineLevel="0" collapsed="false">
      <c r="B134" s="7" t="s">
        <v>212</v>
      </c>
      <c r="C134" s="7" t="s">
        <v>186</v>
      </c>
      <c r="D134" s="12" t="n">
        <f aca="false">IFERROR(INDEX('Semrush Data'!$C$2:$C$5000,MATCH(B134,'Semrush Data'!$A$2:$A$5000,0)),"")</f>
        <v>2900</v>
      </c>
      <c r="E134" s="7" t="n">
        <f aca="false">IFERROR(INDEX('Semrush Data'!$D$2:$D$5000,MATCH(B134,'Semrush Data'!$A$2:$A$5000,0)),"")</f>
        <v>20</v>
      </c>
      <c r="F134" s="13" t="n">
        <f aca="false">IFERROR(INDEX('Semrush Data'!$E$2:$E$5000,MATCH(B134,'Semrush Data'!$A$2:$A$5000,0)),"")</f>
        <v>0.94</v>
      </c>
      <c r="G134" s="7" t="str">
        <f aca="false">IF(E134="","",IF(E134&lt;=20,"Easier",IF(E134&lt;=35,"Medium","Hard")))</f>
        <v>Easier</v>
      </c>
      <c r="H134" s="7" t="s">
        <v>187</v>
      </c>
    </row>
    <row r="135" customFormat="false" ht="15" hidden="false" customHeight="true" outlineLevel="0" collapsed="false">
      <c r="B135" s="7" t="s">
        <v>213</v>
      </c>
      <c r="C135" s="7" t="s">
        <v>186</v>
      </c>
      <c r="D135" s="12" t="n">
        <f aca="false">IFERROR(INDEX('Semrush Data'!$C$2:$C$5000,MATCH(B135,'Semrush Data'!$A$2:$A$5000,0)),"")</f>
        <v>2400</v>
      </c>
      <c r="E135" s="7" t="n">
        <f aca="false">IFERROR(INDEX('Semrush Data'!$D$2:$D$5000,MATCH(B135,'Semrush Data'!$A$2:$A$5000,0)),"")</f>
        <v>23</v>
      </c>
      <c r="F135" s="13" t="n">
        <f aca="false">IFERROR(INDEX('Semrush Data'!$E$2:$E$5000,MATCH(B135,'Semrush Data'!$A$2:$A$5000,0)),"")</f>
        <v>0.54</v>
      </c>
      <c r="G135" s="7" t="str">
        <f aca="false">IF(E135="","",IF(E135&lt;=20,"Easier",IF(E135&lt;=35,"Medium","Hard")))</f>
        <v>Medium</v>
      </c>
      <c r="H135" s="7" t="s">
        <v>187</v>
      </c>
    </row>
    <row r="136" customFormat="false" ht="15" hidden="false" customHeight="true" outlineLevel="0" collapsed="false">
      <c r="B136" s="7" t="s">
        <v>214</v>
      </c>
      <c r="C136" s="7" t="s">
        <v>189</v>
      </c>
      <c r="D136" s="12" t="n">
        <f aca="false">IFERROR(INDEX('Semrush Data'!$C$2:$C$5000,MATCH(B136,'Semrush Data'!$A$2:$A$5000,0)),"")</f>
        <v>1900</v>
      </c>
      <c r="E136" s="7" t="n">
        <f aca="false">IFERROR(INDEX('Semrush Data'!$D$2:$D$5000,MATCH(B136,'Semrush Data'!$A$2:$A$5000,0)),"")</f>
        <v>22</v>
      </c>
      <c r="F136" s="13" t="n">
        <f aca="false">IFERROR(INDEX('Semrush Data'!$E$2:$E$5000,MATCH(B136,'Semrush Data'!$A$2:$A$5000,0)),"")</f>
        <v>0.73</v>
      </c>
      <c r="G136" s="7" t="str">
        <f aca="false">IF(E136="","",IF(E136&lt;=20,"Easier",IF(E136&lt;=35,"Medium","Hard")))</f>
        <v>Medium</v>
      </c>
      <c r="H136" s="7" t="s">
        <v>187</v>
      </c>
    </row>
    <row r="137" customFormat="false" ht="15" hidden="false" customHeight="true" outlineLevel="0" collapsed="false">
      <c r="B137" s="7" t="s">
        <v>215</v>
      </c>
      <c r="C137" s="7" t="s">
        <v>186</v>
      </c>
      <c r="D137" s="12" t="n">
        <f aca="false">IFERROR(INDEX('Semrush Data'!$C$2:$C$5000,MATCH(B137,'Semrush Data'!$A$2:$A$5000,0)),"")</f>
        <v>1900</v>
      </c>
      <c r="E137" s="7" t="n">
        <f aca="false">IFERROR(INDEX('Semrush Data'!$D$2:$D$5000,MATCH(B137,'Semrush Data'!$A$2:$A$5000,0)),"")</f>
        <v>28</v>
      </c>
      <c r="F137" s="13" t="n">
        <f aca="false">IFERROR(INDEX('Semrush Data'!$E$2:$E$5000,MATCH(B137,'Semrush Data'!$A$2:$A$5000,0)),"")</f>
        <v>0.66</v>
      </c>
      <c r="G137" s="7" t="str">
        <f aca="false">IF(E137="","",IF(E137&lt;=20,"Easier",IF(E137&lt;=35,"Medium","Hard")))</f>
        <v>Medium</v>
      </c>
      <c r="H137" s="7" t="s">
        <v>187</v>
      </c>
    </row>
    <row r="138" customFormat="false" ht="15" hidden="false" customHeight="true" outlineLevel="0" collapsed="false">
      <c r="B138" s="7" t="s">
        <v>216</v>
      </c>
      <c r="C138" s="7" t="s">
        <v>186</v>
      </c>
      <c r="D138" s="12" t="n">
        <f aca="false">IFERROR(INDEX('Semrush Data'!$C$2:$C$5000,MATCH(B138,'Semrush Data'!$A$2:$A$5000,0)),"")</f>
        <v>1900</v>
      </c>
      <c r="E138" s="7" t="n">
        <f aca="false">IFERROR(INDEX('Semrush Data'!$D$2:$D$5000,MATCH(B138,'Semrush Data'!$A$2:$A$5000,0)),"")</f>
        <v>22</v>
      </c>
      <c r="F138" s="13" t="n">
        <f aca="false">IFERROR(INDEX('Semrush Data'!$E$2:$E$5000,MATCH(B138,'Semrush Data'!$A$2:$A$5000,0)),"")</f>
        <v>0.8</v>
      </c>
      <c r="G138" s="7" t="str">
        <f aca="false">IF(E138="","",IF(E138&lt;=20,"Easier",IF(E138&lt;=35,"Medium","Hard")))</f>
        <v>Medium</v>
      </c>
      <c r="H138" s="7" t="s">
        <v>187</v>
      </c>
    </row>
    <row r="139" customFormat="false" ht="15" hidden="false" customHeight="true" outlineLevel="0" collapsed="false">
      <c r="B139" s="7" t="s">
        <v>217</v>
      </c>
      <c r="C139" s="7" t="s">
        <v>189</v>
      </c>
      <c r="D139" s="12" t="n">
        <f aca="false">IFERROR(INDEX('Semrush Data'!$C$2:$C$5000,MATCH(B139,'Semrush Data'!$A$2:$A$5000,0)),"")</f>
        <v>1600</v>
      </c>
      <c r="E139" s="7" t="n">
        <f aca="false">IFERROR(INDEX('Semrush Data'!$D$2:$D$5000,MATCH(B139,'Semrush Data'!$A$2:$A$5000,0)),"")</f>
        <v>55</v>
      </c>
      <c r="F139" s="13" t="n">
        <f aca="false">IFERROR(INDEX('Semrush Data'!$E$2:$E$5000,MATCH(B139,'Semrush Data'!$A$2:$A$5000,0)),"")</f>
        <v>1.65</v>
      </c>
      <c r="G139" s="7" t="str">
        <f aca="false">IF(E139="","",IF(E139&lt;=20,"Easier",IF(E139&lt;=35,"Medium","Hard")))</f>
        <v>Hard</v>
      </c>
      <c r="H139" s="7" t="s">
        <v>187</v>
      </c>
    </row>
    <row r="140" customFormat="false" ht="15" hidden="false" customHeight="true" outlineLevel="0" collapsed="false">
      <c r="B140" s="7" t="s">
        <v>218</v>
      </c>
      <c r="C140" s="7" t="s">
        <v>186</v>
      </c>
      <c r="D140" s="12" t="n">
        <f aca="false">IFERROR(INDEX('Semrush Data'!$C$2:$C$5000,MATCH(B140,'Semrush Data'!$A$2:$A$5000,0)),"")</f>
        <v>1600</v>
      </c>
      <c r="E140" s="7" t="n">
        <f aca="false">IFERROR(INDEX('Semrush Data'!$D$2:$D$5000,MATCH(B140,'Semrush Data'!$A$2:$A$5000,0)),"")</f>
        <v>29</v>
      </c>
      <c r="F140" s="13" t="n">
        <f aca="false">IFERROR(INDEX('Semrush Data'!$E$2:$E$5000,MATCH(B140,'Semrush Data'!$A$2:$A$5000,0)),"")</f>
        <v>0.87</v>
      </c>
      <c r="G140" s="7" t="str">
        <f aca="false">IF(E140="","",IF(E140&lt;=20,"Easier",IF(E140&lt;=35,"Medium","Hard")))</f>
        <v>Medium</v>
      </c>
      <c r="H140" s="7" t="s">
        <v>187</v>
      </c>
    </row>
    <row r="141" customFormat="false" ht="15" hidden="false" customHeight="true" outlineLevel="0" collapsed="false">
      <c r="B141" s="7" t="s">
        <v>219</v>
      </c>
      <c r="C141" s="7" t="s">
        <v>186</v>
      </c>
      <c r="D141" s="12" t="n">
        <f aca="false">IFERROR(INDEX('Semrush Data'!$C$2:$C$5000,MATCH(B141,'Semrush Data'!$A$2:$A$5000,0)),"")</f>
        <v>1600</v>
      </c>
      <c r="E141" s="7" t="n">
        <f aca="false">IFERROR(INDEX('Semrush Data'!$D$2:$D$5000,MATCH(B141,'Semrush Data'!$A$2:$A$5000,0)),"")</f>
        <v>22</v>
      </c>
      <c r="F141" s="13" t="n">
        <f aca="false">IFERROR(INDEX('Semrush Data'!$E$2:$E$5000,MATCH(B141,'Semrush Data'!$A$2:$A$5000,0)),"")</f>
        <v>1.13</v>
      </c>
      <c r="G141" s="7" t="str">
        <f aca="false">IF(E141="","",IF(E141&lt;=20,"Easier",IF(E141&lt;=35,"Medium","Hard")))</f>
        <v>Medium</v>
      </c>
      <c r="H141" s="7" t="s">
        <v>187</v>
      </c>
    </row>
    <row r="142" customFormat="false" ht="15" hidden="false" customHeight="true" outlineLevel="0" collapsed="false">
      <c r="B142" s="7" t="s">
        <v>220</v>
      </c>
      <c r="C142" s="7" t="s">
        <v>189</v>
      </c>
      <c r="D142" s="12" t="n">
        <f aca="false">IFERROR(INDEX('Semrush Data'!$C$2:$C$5000,MATCH(B142,'Semrush Data'!$A$2:$A$5000,0)),"")</f>
        <v>1300</v>
      </c>
      <c r="E142" s="7" t="n">
        <f aca="false">IFERROR(INDEX('Semrush Data'!$D$2:$D$5000,MATCH(B142,'Semrush Data'!$A$2:$A$5000,0)),"")</f>
        <v>19</v>
      </c>
      <c r="F142" s="13" t="n">
        <f aca="false">IFERROR(INDEX('Semrush Data'!$E$2:$E$5000,MATCH(B142,'Semrush Data'!$A$2:$A$5000,0)),"")</f>
        <v>0.94</v>
      </c>
      <c r="G142" s="7" t="str">
        <f aca="false">IF(E142="","",IF(E142&lt;=20,"Easier",IF(E142&lt;=35,"Medium","Hard")))</f>
        <v>Easier</v>
      </c>
      <c r="H142" s="7" t="s">
        <v>187</v>
      </c>
    </row>
    <row r="143" customFormat="false" ht="15" hidden="false" customHeight="true" outlineLevel="0" collapsed="false">
      <c r="B143" s="7" t="s">
        <v>221</v>
      </c>
      <c r="C143" s="7" t="s">
        <v>189</v>
      </c>
      <c r="D143" s="12" t="n">
        <f aca="false">IFERROR(INDEX('Semrush Data'!$C$2:$C$5000,MATCH(B143,'Semrush Data'!$A$2:$A$5000,0)),"")</f>
        <v>1300</v>
      </c>
      <c r="E143" s="7" t="n">
        <f aca="false">IFERROR(INDEX('Semrush Data'!$D$2:$D$5000,MATCH(B143,'Semrush Data'!$A$2:$A$5000,0)),"")</f>
        <v>16</v>
      </c>
      <c r="F143" s="13" t="n">
        <f aca="false">IFERROR(INDEX('Semrush Data'!$E$2:$E$5000,MATCH(B143,'Semrush Data'!$A$2:$A$5000,0)),"")</f>
        <v>1.47</v>
      </c>
      <c r="G143" s="7" t="str">
        <f aca="false">IF(E143="","",IF(E143&lt;=20,"Easier",IF(E143&lt;=35,"Medium","Hard")))</f>
        <v>Easier</v>
      </c>
      <c r="H143" s="7" t="s">
        <v>187</v>
      </c>
    </row>
    <row r="144" customFormat="false" ht="15" hidden="false" customHeight="true" outlineLevel="0" collapsed="false">
      <c r="B144" s="7" t="s">
        <v>222</v>
      </c>
      <c r="C144" s="7" t="s">
        <v>186</v>
      </c>
      <c r="D144" s="12" t="n">
        <f aca="false">IFERROR(INDEX('Semrush Data'!$C$2:$C$5000,MATCH(B144,'Semrush Data'!$A$2:$A$5000,0)),"")</f>
        <v>1300</v>
      </c>
      <c r="E144" s="7" t="n">
        <f aca="false">IFERROR(INDEX('Semrush Data'!$D$2:$D$5000,MATCH(B144,'Semrush Data'!$A$2:$A$5000,0)),"")</f>
        <v>13</v>
      </c>
      <c r="F144" s="13" t="n">
        <f aca="false">IFERROR(INDEX('Semrush Data'!$E$2:$E$5000,MATCH(B144,'Semrush Data'!$A$2:$A$5000,0)),"")</f>
        <v>0.66</v>
      </c>
      <c r="G144" s="7" t="str">
        <f aca="false">IF(E144="","",IF(E144&lt;=20,"Easier",IF(E144&lt;=35,"Medium","Hard")))</f>
        <v>Easier</v>
      </c>
      <c r="H144" s="7" t="s">
        <v>187</v>
      </c>
    </row>
    <row r="145" customFormat="false" ht="15" hidden="false" customHeight="true" outlineLevel="0" collapsed="false">
      <c r="B145" s="7" t="s">
        <v>223</v>
      </c>
      <c r="C145" s="7" t="s">
        <v>186</v>
      </c>
      <c r="D145" s="12" t="n">
        <f aca="false">IFERROR(INDEX('Semrush Data'!$C$2:$C$5000,MATCH(B145,'Semrush Data'!$A$2:$A$5000,0)),"")</f>
        <v>1300</v>
      </c>
      <c r="E145" s="7" t="n">
        <f aca="false">IFERROR(INDEX('Semrush Data'!$D$2:$D$5000,MATCH(B145,'Semrush Data'!$A$2:$A$5000,0)),"")</f>
        <v>10</v>
      </c>
      <c r="F145" s="13" t="n">
        <f aca="false">IFERROR(INDEX('Semrush Data'!$E$2:$E$5000,MATCH(B145,'Semrush Data'!$A$2:$A$5000,0)),"")</f>
        <v>0.66</v>
      </c>
      <c r="G145" s="7" t="str">
        <f aca="false">IF(E145="","",IF(E145&lt;=20,"Easier",IF(E145&lt;=35,"Medium","Hard")))</f>
        <v>Easier</v>
      </c>
      <c r="H145" s="7" t="s">
        <v>187</v>
      </c>
    </row>
    <row r="146" customFormat="false" ht="15" hidden="false" customHeight="true" outlineLevel="0" collapsed="false">
      <c r="B146" s="7" t="s">
        <v>224</v>
      </c>
      <c r="C146" s="7" t="s">
        <v>186</v>
      </c>
      <c r="D146" s="12" t="n">
        <f aca="false">IFERROR(INDEX('Semrush Data'!$C$2:$C$5000,MATCH(B146,'Semrush Data'!$A$2:$A$5000,0)),"")</f>
        <v>1300</v>
      </c>
      <c r="E146" s="7" t="n">
        <f aca="false">IFERROR(INDEX('Semrush Data'!$D$2:$D$5000,MATCH(B146,'Semrush Data'!$A$2:$A$5000,0)),"")</f>
        <v>18</v>
      </c>
      <c r="F146" s="13" t="n">
        <f aca="false">IFERROR(INDEX('Semrush Data'!$E$2:$E$5000,MATCH(B146,'Semrush Data'!$A$2:$A$5000,0)),"")</f>
        <v>1.13</v>
      </c>
      <c r="G146" s="7" t="str">
        <f aca="false">IF(E146="","",IF(E146&lt;=20,"Easier",IF(E146&lt;=35,"Medium","Hard")))</f>
        <v>Easier</v>
      </c>
      <c r="H146" s="7" t="s">
        <v>187</v>
      </c>
    </row>
    <row r="147" customFormat="false" ht="15" hidden="false" customHeight="true" outlineLevel="0" collapsed="false">
      <c r="B147" s="7" t="s">
        <v>225</v>
      </c>
      <c r="C147" s="7" t="s">
        <v>186</v>
      </c>
      <c r="D147" s="12" t="n">
        <f aca="false">IFERROR(INDEX('Semrush Data'!$C$2:$C$5000,MATCH(B147,'Semrush Data'!$A$2:$A$5000,0)),"")</f>
        <v>1000</v>
      </c>
      <c r="E147" s="7" t="n">
        <f aca="false">IFERROR(INDEX('Semrush Data'!$D$2:$D$5000,MATCH(B147,'Semrush Data'!$A$2:$A$5000,0)),"")</f>
        <v>21</v>
      </c>
      <c r="F147" s="13" t="n">
        <f aca="false">IFERROR(INDEX('Semrush Data'!$E$2:$E$5000,MATCH(B147,'Semrush Data'!$A$2:$A$5000,0)),"")</f>
        <v>1.04</v>
      </c>
      <c r="G147" s="7" t="str">
        <f aca="false">IF(E147="","",IF(E147&lt;=20,"Easier",IF(E147&lt;=35,"Medium","Hard")))</f>
        <v>Medium</v>
      </c>
      <c r="H147" s="7" t="s">
        <v>187</v>
      </c>
    </row>
    <row r="148" customFormat="false" ht="15" hidden="false" customHeight="true" outlineLevel="0" collapsed="false">
      <c r="B148" s="7" t="s">
        <v>226</v>
      </c>
      <c r="C148" s="7" t="s">
        <v>186</v>
      </c>
      <c r="D148" s="12" t="n">
        <f aca="false">IFERROR(INDEX('Semrush Data'!$C$2:$C$5000,MATCH(B148,'Semrush Data'!$A$2:$A$5000,0)),"")</f>
        <v>1000</v>
      </c>
      <c r="E148" s="7" t="n">
        <f aca="false">IFERROR(INDEX('Semrush Data'!$D$2:$D$5000,MATCH(B148,'Semrush Data'!$A$2:$A$5000,0)),"")</f>
        <v>20</v>
      </c>
      <c r="F148" s="13" t="n">
        <f aca="false">IFERROR(INDEX('Semrush Data'!$E$2:$E$5000,MATCH(B148,'Semrush Data'!$A$2:$A$5000,0)),"")</f>
        <v>0.99</v>
      </c>
      <c r="G148" s="7" t="str">
        <f aca="false">IF(E148="","",IF(E148&lt;=20,"Easier",IF(E148&lt;=35,"Medium","Hard")))</f>
        <v>Easier</v>
      </c>
      <c r="H148" s="7" t="s">
        <v>187</v>
      </c>
    </row>
    <row r="149" customFormat="false" ht="15" hidden="false" customHeight="true" outlineLevel="0" collapsed="false">
      <c r="B149" s="7" t="s">
        <v>227</v>
      </c>
      <c r="C149" s="7" t="s">
        <v>186</v>
      </c>
      <c r="D149" s="12" t="n">
        <f aca="false">IFERROR(INDEX('Semrush Data'!$C$2:$C$5000,MATCH(B149,'Semrush Data'!$A$2:$A$5000,0)),"")</f>
        <v>1000</v>
      </c>
      <c r="E149" s="7" t="n">
        <f aca="false">IFERROR(INDEX('Semrush Data'!$D$2:$D$5000,MATCH(B149,'Semrush Data'!$A$2:$A$5000,0)),"")</f>
        <v>28</v>
      </c>
      <c r="F149" s="13" t="n">
        <f aca="false">IFERROR(INDEX('Semrush Data'!$E$2:$E$5000,MATCH(B149,'Semrush Data'!$A$2:$A$5000,0)),"")</f>
        <v>1.63</v>
      </c>
      <c r="G149" s="7" t="str">
        <f aca="false">IF(E149="","",IF(E149&lt;=20,"Easier",IF(E149&lt;=35,"Medium","Hard")))</f>
        <v>Medium</v>
      </c>
      <c r="H149" s="7" t="s">
        <v>187</v>
      </c>
    </row>
    <row r="150" customFormat="false" ht="15" hidden="false" customHeight="true" outlineLevel="0" collapsed="false">
      <c r="B150" s="7" t="s">
        <v>228</v>
      </c>
      <c r="C150" s="7" t="s">
        <v>186</v>
      </c>
      <c r="D150" s="12" t="n">
        <f aca="false">IFERROR(INDEX('Semrush Data'!$C$2:$C$5000,MATCH(B150,'Semrush Data'!$A$2:$A$5000,0)),"")</f>
        <v>1000</v>
      </c>
      <c r="E150" s="7" t="n">
        <f aca="false">IFERROR(INDEX('Semrush Data'!$D$2:$D$5000,MATCH(B150,'Semrush Data'!$A$2:$A$5000,0)),"")</f>
        <v>22</v>
      </c>
      <c r="F150" s="13" t="n">
        <f aca="false">IFERROR(INDEX('Semrush Data'!$E$2:$E$5000,MATCH(B150,'Semrush Data'!$A$2:$A$5000,0)),"")</f>
        <v>0.74</v>
      </c>
      <c r="G150" s="7" t="str">
        <f aca="false">IF(E150="","",IF(E150&lt;=20,"Easier",IF(E150&lt;=35,"Medium","Hard")))</f>
        <v>Medium</v>
      </c>
      <c r="H150" s="7" t="s">
        <v>187</v>
      </c>
    </row>
    <row r="151" customFormat="false" ht="15" hidden="false" customHeight="true" outlineLevel="0" collapsed="false">
      <c r="B151" s="7" t="s">
        <v>229</v>
      </c>
      <c r="C151" s="7" t="s">
        <v>186</v>
      </c>
      <c r="D151" s="12" t="n">
        <f aca="false">IFERROR(INDEX('Semrush Data'!$C$2:$C$5000,MATCH(B151,'Semrush Data'!$A$2:$A$5000,0)),"")</f>
        <v>1000</v>
      </c>
      <c r="E151" s="7" t="n">
        <f aca="false">IFERROR(INDEX('Semrush Data'!$D$2:$D$5000,MATCH(B151,'Semrush Data'!$A$2:$A$5000,0)),"")</f>
        <v>26</v>
      </c>
      <c r="F151" s="13" t="n">
        <f aca="false">IFERROR(INDEX('Semrush Data'!$E$2:$E$5000,MATCH(B151,'Semrush Data'!$A$2:$A$5000,0)),"")</f>
        <v>1.05</v>
      </c>
      <c r="G151" s="7" t="str">
        <f aca="false">IF(E151="","",IF(E151&lt;=20,"Easier",IF(E151&lt;=35,"Medium","Hard")))</f>
        <v>Medium</v>
      </c>
      <c r="H151" s="7" t="s">
        <v>187</v>
      </c>
    </row>
    <row r="152" customFormat="false" ht="15" hidden="false" customHeight="true" outlineLevel="0" collapsed="false">
      <c r="B152" s="7" t="s">
        <v>230</v>
      </c>
      <c r="C152" s="7" t="s">
        <v>186</v>
      </c>
      <c r="D152" s="12" t="n">
        <f aca="false">IFERROR(INDEX('Semrush Data'!$C$2:$C$5000,MATCH(B152,'Semrush Data'!$A$2:$A$5000,0)),"")</f>
        <v>1000</v>
      </c>
      <c r="E152" s="7" t="n">
        <f aca="false">IFERROR(INDEX('Semrush Data'!$D$2:$D$5000,MATCH(B152,'Semrush Data'!$A$2:$A$5000,0)),"")</f>
        <v>19</v>
      </c>
      <c r="F152" s="13" t="n">
        <f aca="false">IFERROR(INDEX('Semrush Data'!$E$2:$E$5000,MATCH(B152,'Semrush Data'!$A$2:$A$5000,0)),"")</f>
        <v>1.06</v>
      </c>
      <c r="G152" s="7" t="str">
        <f aca="false">IF(E152="","",IF(E152&lt;=20,"Easier",IF(E152&lt;=35,"Medium","Hard")))</f>
        <v>Easier</v>
      </c>
      <c r="H152" s="7" t="s">
        <v>187</v>
      </c>
    </row>
    <row r="153" customFormat="false" ht="15" hidden="false" customHeight="true" outlineLevel="0" collapsed="false">
      <c r="B153" s="7" t="s">
        <v>231</v>
      </c>
      <c r="C153" s="7" t="s">
        <v>186</v>
      </c>
      <c r="D153" s="12" t="n">
        <f aca="false">IFERROR(INDEX('Semrush Data'!$C$2:$C$5000,MATCH(B153,'Semrush Data'!$A$2:$A$5000,0)),"")</f>
        <v>1000</v>
      </c>
      <c r="E153" s="7" t="n">
        <f aca="false">IFERROR(INDEX('Semrush Data'!$D$2:$D$5000,MATCH(B153,'Semrush Data'!$A$2:$A$5000,0)),"")</f>
        <v>22</v>
      </c>
      <c r="F153" s="13" t="n">
        <f aca="false">IFERROR(INDEX('Semrush Data'!$E$2:$E$5000,MATCH(B153,'Semrush Data'!$A$2:$A$5000,0)),"")</f>
        <v>0.83</v>
      </c>
      <c r="G153" s="7" t="str">
        <f aca="false">IF(E153="","",IF(E153&lt;=20,"Easier",IF(E153&lt;=35,"Medium","Hard")))</f>
        <v>Medium</v>
      </c>
      <c r="H153" s="7" t="s">
        <v>187</v>
      </c>
    </row>
    <row r="154" customFormat="false" ht="15" hidden="false" customHeight="true" outlineLevel="0" collapsed="false">
      <c r="B154" s="7" t="s">
        <v>232</v>
      </c>
      <c r="C154" s="7" t="s">
        <v>186</v>
      </c>
      <c r="D154" s="12" t="n">
        <f aca="false">IFERROR(INDEX('Semrush Data'!$C$2:$C$5000,MATCH(B154,'Semrush Data'!$A$2:$A$5000,0)),"")</f>
        <v>1000</v>
      </c>
      <c r="E154" s="7" t="n">
        <f aca="false">IFERROR(INDEX('Semrush Data'!$D$2:$D$5000,MATCH(B154,'Semrush Data'!$A$2:$A$5000,0)),"")</f>
        <v>24</v>
      </c>
      <c r="F154" s="13" t="n">
        <f aca="false">IFERROR(INDEX('Semrush Data'!$E$2:$E$5000,MATCH(B154,'Semrush Data'!$A$2:$A$5000,0)),"")</f>
        <v>0.92</v>
      </c>
      <c r="G154" s="7" t="str">
        <f aca="false">IF(E154="","",IF(E154&lt;=20,"Easier",IF(E154&lt;=35,"Medium","Hard")))</f>
        <v>Medium</v>
      </c>
      <c r="H154" s="7" t="s">
        <v>187</v>
      </c>
    </row>
    <row r="156" customFormat="false" ht="15.75" hidden="false" customHeight="true" outlineLevel="0" collapsed="false">
      <c r="A156" s="5" t="s">
        <v>233</v>
      </c>
    </row>
    <row r="157" customFormat="false" ht="15" hidden="false" customHeight="true" outlineLevel="0" collapsed="false">
      <c r="A157" s="6" t="s">
        <v>234</v>
      </c>
    </row>
    <row r="158" customFormat="false" ht="15" hidden="false" customHeight="true" outlineLevel="0" collapsed="false">
      <c r="A158" s="10"/>
      <c r="B158" s="10" t="s">
        <v>148</v>
      </c>
      <c r="C158" s="10" t="s">
        <v>149</v>
      </c>
      <c r="D158" s="10" t="s">
        <v>40</v>
      </c>
      <c r="E158" s="10" t="s">
        <v>41</v>
      </c>
      <c r="F158" s="10" t="s">
        <v>42</v>
      </c>
      <c r="G158" s="10" t="s">
        <v>43</v>
      </c>
      <c r="H158" s="10" t="s">
        <v>44</v>
      </c>
    </row>
    <row r="159" customFormat="false" ht="15" hidden="false" customHeight="true" outlineLevel="0" collapsed="false">
      <c r="B159" s="7" t="s">
        <v>235</v>
      </c>
      <c r="C159" s="7" t="s">
        <v>236</v>
      </c>
      <c r="D159" s="12" t="n">
        <f aca="false">IFERROR(INDEX('Semrush Data'!$C$2:$C$5000,MATCH(B159,'Semrush Data'!$A$2:$A$5000,0)),"")</f>
        <v>480</v>
      </c>
      <c r="E159" s="7" t="n">
        <f aca="false">IFERROR(INDEX('Semrush Data'!$D$2:$D$5000,MATCH(B159,'Semrush Data'!$A$2:$A$5000,0)),"")</f>
        <v>12</v>
      </c>
      <c r="F159" s="13" t="n">
        <f aca="false">IFERROR(INDEX('Semrush Data'!$E$2:$E$5000,MATCH(B159,'Semrush Data'!$A$2:$A$5000,0)),"")</f>
        <v>1.03</v>
      </c>
      <c r="G159" s="7" t="str">
        <f aca="false">IF(E159="","",IF(E159&lt;=20,"Easier",IF(E159&lt;=35,"Medium","Hard")))</f>
        <v>Easier</v>
      </c>
      <c r="H159" s="7" t="s">
        <v>237</v>
      </c>
    </row>
    <row r="160" customFormat="false" ht="15" hidden="false" customHeight="true" outlineLevel="0" collapsed="false">
      <c r="B160" s="7" t="s">
        <v>238</v>
      </c>
      <c r="C160" s="7" t="s">
        <v>239</v>
      </c>
      <c r="D160" s="12" t="n">
        <f aca="false">IFERROR(INDEX('Semrush Data'!$C$2:$C$5000,MATCH(B160,'Semrush Data'!$A$2:$A$5000,0)),"")</f>
        <v>390</v>
      </c>
      <c r="E160" s="7" t="n">
        <f aca="false">IFERROR(INDEX('Semrush Data'!$D$2:$D$5000,MATCH(B160,'Semrush Data'!$A$2:$A$5000,0)),"")</f>
        <v>17</v>
      </c>
      <c r="F160" s="13" t="n">
        <f aca="false">IFERROR(INDEX('Semrush Data'!$E$2:$E$5000,MATCH(B160,'Semrush Data'!$A$2:$A$5000,0)),"")</f>
        <v>0.7</v>
      </c>
      <c r="G160" s="7" t="str">
        <f aca="false">IF(E160="","",IF(E160&lt;=20,"Easier",IF(E160&lt;=35,"Medium","Hard")))</f>
        <v>Easier</v>
      </c>
      <c r="H160" s="7" t="s">
        <v>240</v>
      </c>
    </row>
    <row r="161" customFormat="false" ht="15" hidden="false" customHeight="true" outlineLevel="0" collapsed="false">
      <c r="B161" s="7" t="s">
        <v>241</v>
      </c>
      <c r="C161" s="7" t="s">
        <v>236</v>
      </c>
      <c r="D161" s="12" t="n">
        <f aca="false">IFERROR(INDEX('Semrush Data'!$C$2:$C$5000,MATCH(B161,'Semrush Data'!$A$2:$A$5000,0)),"")</f>
        <v>140</v>
      </c>
      <c r="E161" s="7" t="n">
        <f aca="false">IFERROR(INDEX('Semrush Data'!$D$2:$D$5000,MATCH(B161,'Semrush Data'!$A$2:$A$5000,0)),"")</f>
        <v>28</v>
      </c>
      <c r="F161" s="13" t="n">
        <f aca="false">IFERROR(INDEX('Semrush Data'!$E$2:$E$5000,MATCH(B161,'Semrush Data'!$A$2:$A$5000,0)),"")</f>
        <v>0.3</v>
      </c>
      <c r="G161" s="7" t="str">
        <f aca="false">IF(E161="","",IF(E161&lt;=20,"Easier",IF(E161&lt;=35,"Medium","Hard")))</f>
        <v>Medium</v>
      </c>
      <c r="H161" s="7" t="s">
        <v>237</v>
      </c>
    </row>
    <row r="162" customFormat="false" ht="15" hidden="false" customHeight="true" outlineLevel="0" collapsed="false">
      <c r="B162" s="7" t="s">
        <v>242</v>
      </c>
      <c r="C162" s="7" t="s">
        <v>239</v>
      </c>
      <c r="D162" s="12" t="n">
        <f aca="false">IFERROR(INDEX('Semrush Data'!$C$2:$C$5000,MATCH(B162,'Semrush Data'!$A$2:$A$5000,0)),"")</f>
        <v>90</v>
      </c>
      <c r="E162" s="7" t="n">
        <f aca="false">IFERROR(INDEX('Semrush Data'!$D$2:$D$5000,MATCH(B162,'Semrush Data'!$A$2:$A$5000,0)),"")</f>
        <v>36</v>
      </c>
      <c r="F162" s="13" t="n">
        <f aca="false">IFERROR(INDEX('Semrush Data'!$E$2:$E$5000,MATCH(B162,'Semrush Data'!$A$2:$A$5000,0)),"")</f>
        <v>1.14</v>
      </c>
      <c r="G162" s="7" t="str">
        <f aca="false">IF(E162="","",IF(E162&lt;=20,"Easier",IF(E162&lt;=35,"Medium","Hard")))</f>
        <v>Hard</v>
      </c>
      <c r="H162" s="7" t="s">
        <v>237</v>
      </c>
    </row>
    <row r="163" customFormat="false" ht="15" hidden="false" customHeight="true" outlineLevel="0" collapsed="false">
      <c r="B163" s="7" t="s">
        <v>243</v>
      </c>
      <c r="C163" s="7" t="s">
        <v>239</v>
      </c>
      <c r="D163" s="12" t="n">
        <f aca="false">IFERROR(INDEX('Semrush Data'!$C$2:$C$5000,MATCH(B163,'Semrush Data'!$A$2:$A$5000,0)),"")</f>
        <v>70</v>
      </c>
      <c r="E163" s="7" t="n">
        <f aca="false">IFERROR(INDEX('Semrush Data'!$D$2:$D$5000,MATCH(B163,'Semrush Data'!$A$2:$A$5000,0)),"")</f>
        <v>29</v>
      </c>
      <c r="F163" s="13" t="n">
        <f aca="false">IFERROR(INDEX('Semrush Data'!$E$2:$E$5000,MATCH(B163,'Semrush Data'!$A$2:$A$5000,0)),"")</f>
        <v>0.62</v>
      </c>
      <c r="G163" s="7" t="str">
        <f aca="false">IF(E163="","",IF(E163&lt;=20,"Easier",IF(E163&lt;=35,"Medium","Hard")))</f>
        <v>Medium</v>
      </c>
      <c r="H163" s="7" t="s">
        <v>237</v>
      </c>
    </row>
    <row r="164" customFormat="false" ht="15" hidden="false" customHeight="true" outlineLevel="0" collapsed="false">
      <c r="B164" s="7" t="s">
        <v>244</v>
      </c>
      <c r="C164" s="7" t="s">
        <v>236</v>
      </c>
      <c r="D164" s="12" t="n">
        <f aca="false">IFERROR(INDEX('Semrush Data'!$C$2:$C$5000,MATCH(B164,'Semrush Data'!$A$2:$A$5000,0)),"")</f>
        <v>30</v>
      </c>
      <c r="E164" s="7" t="n">
        <f aca="false">IFERROR(INDEX('Semrush Data'!$D$2:$D$5000,MATCH(B164,'Semrush Data'!$A$2:$A$5000,0)),"")</f>
        <v>9</v>
      </c>
      <c r="F164" s="13" t="n">
        <f aca="false">IFERROR(INDEX('Semrush Data'!$E$2:$E$5000,MATCH(B164,'Semrush Data'!$A$2:$A$5000,0)),"")</f>
        <v>0.78</v>
      </c>
      <c r="G164" s="7" t="str">
        <f aca="false">IF(E164="","",IF(E164&lt;=20,"Easier",IF(E164&lt;=35,"Medium","Hard")))</f>
        <v>Easier</v>
      </c>
      <c r="H164" s="7" t="s">
        <v>237</v>
      </c>
    </row>
    <row r="165" customFormat="false" ht="15" hidden="false" customHeight="true" outlineLevel="0" collapsed="false">
      <c r="B165" s="7" t="s">
        <v>245</v>
      </c>
      <c r="C165" s="7" t="s">
        <v>239</v>
      </c>
      <c r="D165" s="12" t="n">
        <f aca="false">IFERROR(INDEX('Semrush Data'!$C$2:$C$5000,MATCH(B165,'Semrush Data'!$A$2:$A$5000,0)),"")</f>
        <v>30</v>
      </c>
      <c r="E165" s="7" t="n">
        <f aca="false">IFERROR(INDEX('Semrush Data'!$D$2:$D$5000,MATCH(B165,'Semrush Data'!$A$2:$A$5000,0)),"")</f>
        <v>24</v>
      </c>
      <c r="F165" s="13" t="n">
        <f aca="false">IFERROR(INDEX('Semrush Data'!$E$2:$E$5000,MATCH(B165,'Semrush Data'!$A$2:$A$5000,0)),"")</f>
        <v>0</v>
      </c>
      <c r="G165" s="7" t="str">
        <f aca="false">IF(E165="","",IF(E165&lt;=20,"Easier",IF(E165&lt;=35,"Medium","Hard")))</f>
        <v>Medium</v>
      </c>
      <c r="H165" s="7" t="s">
        <v>240</v>
      </c>
    </row>
    <row r="166" customFormat="false" ht="15" hidden="false" customHeight="true" outlineLevel="0" collapsed="false">
      <c r="B166" s="7" t="s">
        <v>246</v>
      </c>
      <c r="C166" s="7" t="s">
        <v>236</v>
      </c>
      <c r="D166" s="12" t="n">
        <f aca="false">IFERROR(INDEX('Semrush Data'!$C$2:$C$5000,MATCH(B166,'Semrush Data'!$A$2:$A$5000,0)),"")</f>
        <v>20</v>
      </c>
      <c r="E166" s="7" t="n">
        <f aca="false">IFERROR(INDEX('Semrush Data'!$D$2:$D$5000,MATCH(B166,'Semrush Data'!$A$2:$A$5000,0)),"")</f>
        <v>12</v>
      </c>
      <c r="F166" s="13" t="n">
        <f aca="false">IFERROR(INDEX('Semrush Data'!$E$2:$E$5000,MATCH(B166,'Semrush Data'!$A$2:$A$5000,0)),"")</f>
        <v>0</v>
      </c>
      <c r="G166" s="7" t="str">
        <f aca="false">IF(E166="","",IF(E166&lt;=20,"Easier",IF(E166&lt;=35,"Medium","Hard")))</f>
        <v>Easier</v>
      </c>
      <c r="H166" s="7" t="s">
        <v>237</v>
      </c>
    </row>
    <row r="167" customFormat="false" ht="15" hidden="false" customHeight="true" outlineLevel="0" collapsed="false">
      <c r="B167" s="7" t="s">
        <v>247</v>
      </c>
      <c r="C167" s="7" t="s">
        <v>236</v>
      </c>
      <c r="D167" s="12" t="n">
        <f aca="false">IFERROR(INDEX('Semrush Data'!$C$2:$C$5000,MATCH(B167,'Semrush Data'!$A$2:$A$5000,0)),"")</f>
        <v>20</v>
      </c>
      <c r="E167" s="7" t="n">
        <f aca="false">IFERROR(INDEX('Semrush Data'!$D$2:$D$5000,MATCH(B167,'Semrush Data'!$A$2:$A$5000,0)),"")</f>
        <v>33</v>
      </c>
      <c r="F167" s="13" t="n">
        <f aca="false">IFERROR(INDEX('Semrush Data'!$E$2:$E$5000,MATCH(B167,'Semrush Data'!$A$2:$A$5000,0)),"")</f>
        <v>0</v>
      </c>
      <c r="G167" s="7" t="str">
        <f aca="false">IF(E167="","",IF(E167&lt;=20,"Easier",IF(E167&lt;=35,"Medium","Hard")))</f>
        <v>Medium</v>
      </c>
      <c r="H167" s="7" t="s">
        <v>237</v>
      </c>
    </row>
    <row r="168" customFormat="false" ht="15" hidden="false" customHeight="true" outlineLevel="0" collapsed="false">
      <c r="B168" s="7" t="s">
        <v>248</v>
      </c>
      <c r="C168" s="7" t="s">
        <v>236</v>
      </c>
      <c r="D168" s="12" t="n">
        <f aca="false">IFERROR(INDEX('Semrush Data'!$C$2:$C$5000,MATCH(B168,'Semrush Data'!$A$2:$A$5000,0)),"")</f>
        <v>20</v>
      </c>
      <c r="E168" s="7" t="n">
        <f aca="false">IFERROR(INDEX('Semrush Data'!$D$2:$D$5000,MATCH(B168,'Semrush Data'!$A$2:$A$5000,0)),"")</f>
        <v>26</v>
      </c>
      <c r="F168" s="13" t="n">
        <f aca="false">IFERROR(INDEX('Semrush Data'!$E$2:$E$5000,MATCH(B168,'Semrush Data'!$A$2:$A$5000,0)),"")</f>
        <v>0.36</v>
      </c>
      <c r="G168" s="7" t="str">
        <f aca="false">IF(E168="","",IF(E168&lt;=20,"Easier",IF(E168&lt;=35,"Medium","Hard")))</f>
        <v>Medium</v>
      </c>
      <c r="H168" s="7" t="s">
        <v>237</v>
      </c>
    </row>
    <row r="169" customFormat="false" ht="15" hidden="false" customHeight="true" outlineLevel="0" collapsed="false">
      <c r="B169" s="7" t="s">
        <v>249</v>
      </c>
      <c r="C169" s="7" t="s">
        <v>239</v>
      </c>
      <c r="D169" s="12" t="n">
        <f aca="false">IFERROR(INDEX('Semrush Data'!$C$2:$C$5000,MATCH(B169,'Semrush Data'!$A$2:$A$5000,0)),"")</f>
        <v>20</v>
      </c>
      <c r="E169" s="7" t="n">
        <f aca="false">IFERROR(INDEX('Semrush Data'!$D$2:$D$5000,MATCH(B169,'Semrush Data'!$A$2:$A$5000,0)),"")</f>
        <v>14</v>
      </c>
      <c r="F169" s="13" t="n">
        <f aca="false">IFERROR(INDEX('Semrush Data'!$E$2:$E$5000,MATCH(B169,'Semrush Data'!$A$2:$A$5000,0)),"")</f>
        <v>0</v>
      </c>
      <c r="G169" s="7" t="str">
        <f aca="false">IF(E169="","",IF(E169&lt;=20,"Easier",IF(E169&lt;=35,"Medium","Hard")))</f>
        <v>Easier</v>
      </c>
      <c r="H169" s="7" t="s">
        <v>240</v>
      </c>
    </row>
    <row r="170" customFormat="false" ht="15" hidden="false" customHeight="true" outlineLevel="0" collapsed="false">
      <c r="B170" s="7" t="s">
        <v>250</v>
      </c>
      <c r="C170" s="7" t="s">
        <v>239</v>
      </c>
      <c r="D170" s="12" t="n">
        <f aca="false">IFERROR(INDEX('Semrush Data'!$C$2:$C$5000,MATCH(B170,'Semrush Data'!$A$2:$A$5000,0)),"")</f>
        <v>20</v>
      </c>
      <c r="E170" s="7" t="n">
        <f aca="false">IFERROR(INDEX('Semrush Data'!$D$2:$D$5000,MATCH(B170,'Semrush Data'!$A$2:$A$5000,0)),"")</f>
        <v>9</v>
      </c>
      <c r="F170" s="13" t="n">
        <f aca="false">IFERROR(INDEX('Semrush Data'!$E$2:$E$5000,MATCH(B170,'Semrush Data'!$A$2:$A$5000,0)),"")</f>
        <v>0</v>
      </c>
      <c r="G170" s="7" t="str">
        <f aca="false">IF(E170="","",IF(E170&lt;=20,"Easier",IF(E170&lt;=35,"Medium","Hard")))</f>
        <v>Easier</v>
      </c>
      <c r="H170" s="7" t="s">
        <v>240</v>
      </c>
    </row>
    <row r="171" customFormat="false" ht="15" hidden="false" customHeight="true" outlineLevel="0" collapsed="false">
      <c r="B171" s="7" t="s">
        <v>251</v>
      </c>
      <c r="C171" s="7" t="s">
        <v>239</v>
      </c>
      <c r="D171" s="12" t="n">
        <f aca="false">IFERROR(INDEX('Semrush Data'!$C$2:$C$5000,MATCH(B171,'Semrush Data'!$A$2:$A$5000,0)),"")</f>
        <v>20</v>
      </c>
      <c r="E171" s="7" t="n">
        <f aca="false">IFERROR(INDEX('Semrush Data'!$D$2:$D$5000,MATCH(B171,'Semrush Data'!$A$2:$A$5000,0)),"")</f>
        <v>26</v>
      </c>
      <c r="F171" s="13" t="n">
        <f aca="false">IFERROR(INDEX('Semrush Data'!$E$2:$E$5000,MATCH(B171,'Semrush Data'!$A$2:$A$5000,0)),"")</f>
        <v>0.42</v>
      </c>
      <c r="G171" s="7" t="str">
        <f aca="false">IF(E171="","",IF(E171&lt;=20,"Easier",IF(E171&lt;=35,"Medium","Hard")))</f>
        <v>Medium</v>
      </c>
      <c r="H171" s="7" t="s">
        <v>240</v>
      </c>
    </row>
    <row r="172" customFormat="false" ht="15" hidden="false" customHeight="true" outlineLevel="0" collapsed="false">
      <c r="B172" s="7" t="s">
        <v>252</v>
      </c>
      <c r="C172" s="7" t="s">
        <v>239</v>
      </c>
      <c r="D172" s="12" t="n">
        <f aca="false">IFERROR(INDEX('Semrush Data'!$C$2:$C$5000,MATCH(B172,'Semrush Data'!$A$2:$A$5000,0)),"")</f>
        <v>10</v>
      </c>
      <c r="E172" s="7" t="n">
        <f aca="false">IFERROR(INDEX('Semrush Data'!$D$2:$D$5000,MATCH(B172,'Semrush Data'!$A$2:$A$5000,0)),"")</f>
        <v>15</v>
      </c>
      <c r="F172" s="13" t="n">
        <f aca="false">IFERROR(INDEX('Semrush Data'!$E$2:$E$5000,MATCH(B172,'Semrush Data'!$A$2:$A$5000,0)),"")</f>
        <v>0</v>
      </c>
      <c r="G172" s="7" t="str">
        <f aca="false">IF(E172="","",IF(E172&lt;=20,"Easier",IF(E172&lt;=35,"Medium","Hard")))</f>
        <v>Easier</v>
      </c>
      <c r="H172" s="7" t="s">
        <v>240</v>
      </c>
    </row>
    <row r="174" customFormat="false" ht="15.75" hidden="false" customHeight="true" outlineLevel="0" collapsed="false">
      <c r="A174" s="5" t="s">
        <v>253</v>
      </c>
    </row>
    <row r="175" customFormat="false" ht="15" hidden="false" customHeight="true" outlineLevel="0" collapsed="false">
      <c r="A175" s="6" t="s">
        <v>254</v>
      </c>
    </row>
    <row r="176" customFormat="false" ht="15" hidden="false" customHeight="true" outlineLevel="0" collapsed="false">
      <c r="A176" s="10"/>
      <c r="B176" s="10" t="s">
        <v>148</v>
      </c>
      <c r="C176" s="10" t="s">
        <v>149</v>
      </c>
      <c r="D176" s="10" t="s">
        <v>40</v>
      </c>
      <c r="E176" s="10" t="s">
        <v>41</v>
      </c>
      <c r="F176" s="10" t="s">
        <v>42</v>
      </c>
      <c r="G176" s="10" t="s">
        <v>43</v>
      </c>
      <c r="H176" s="10" t="s">
        <v>44</v>
      </c>
    </row>
    <row r="177" customFormat="false" ht="15" hidden="false" customHeight="true" outlineLevel="0" collapsed="false">
      <c r="B177" s="7" t="s">
        <v>255</v>
      </c>
      <c r="C177" s="7" t="s">
        <v>256</v>
      </c>
      <c r="D177" s="12" t="n">
        <f aca="false">IFERROR(INDEX('Semrush Data'!$C$2:$C$5000,MATCH(B177,'Semrush Data'!$A$2:$A$5000,0)),"")</f>
        <v>40500</v>
      </c>
      <c r="E177" s="7" t="n">
        <f aca="false">IFERROR(INDEX('Semrush Data'!$D$2:$D$5000,MATCH(B177,'Semrush Data'!$A$2:$A$5000,0)),"")</f>
        <v>17</v>
      </c>
      <c r="F177" s="13" t="n">
        <f aca="false">IFERROR(INDEX('Semrush Data'!$E$2:$E$5000,MATCH(B177,'Semrush Data'!$A$2:$A$5000,0)),"")</f>
        <v>0.34</v>
      </c>
      <c r="G177" s="7" t="str">
        <f aca="false">IF(E177="","",IF(E177&lt;=20,"Easier",IF(E177&lt;=35,"Medium","Hard")))</f>
        <v>Easier</v>
      </c>
      <c r="H177" s="7" t="s">
        <v>237</v>
      </c>
    </row>
    <row r="178" customFormat="false" ht="15" hidden="false" customHeight="true" outlineLevel="0" collapsed="false">
      <c r="B178" s="7" t="s">
        <v>257</v>
      </c>
      <c r="C178" s="7" t="s">
        <v>256</v>
      </c>
      <c r="D178" s="12" t="n">
        <f aca="false">IFERROR(INDEX('Semrush Data'!$C$2:$C$5000,MATCH(B178,'Semrush Data'!$A$2:$A$5000,0)),"")</f>
        <v>40500</v>
      </c>
      <c r="E178" s="7" t="n">
        <f aca="false">IFERROR(INDEX('Semrush Data'!$D$2:$D$5000,MATCH(B178,'Semrush Data'!$A$2:$A$5000,0)),"")</f>
        <v>32</v>
      </c>
      <c r="F178" s="13" t="n">
        <f aca="false">IFERROR(INDEX('Semrush Data'!$E$2:$E$5000,MATCH(B178,'Semrush Data'!$A$2:$A$5000,0)),"")</f>
        <v>0.33</v>
      </c>
      <c r="G178" s="7" t="str">
        <f aca="false">IF(E178="","",IF(E178&lt;=20,"Easier",IF(E178&lt;=35,"Medium","Hard")))</f>
        <v>Medium</v>
      </c>
      <c r="H178" s="7" t="s">
        <v>237</v>
      </c>
    </row>
    <row r="179" customFormat="false" ht="15" hidden="false" customHeight="true" outlineLevel="0" collapsed="false">
      <c r="B179" s="7" t="s">
        <v>258</v>
      </c>
      <c r="C179" s="7" t="s">
        <v>256</v>
      </c>
      <c r="D179" s="12" t="n">
        <f aca="false">IFERROR(INDEX('Semrush Data'!$C$2:$C$5000,MATCH(B179,'Semrush Data'!$A$2:$A$5000,0)),"")</f>
        <v>40500</v>
      </c>
      <c r="E179" s="7" t="n">
        <f aca="false">IFERROR(INDEX('Semrush Data'!$D$2:$D$5000,MATCH(B179,'Semrush Data'!$A$2:$A$5000,0)),"")</f>
        <v>33</v>
      </c>
      <c r="F179" s="13" t="n">
        <f aca="false">IFERROR(INDEX('Semrush Data'!$E$2:$E$5000,MATCH(B179,'Semrush Data'!$A$2:$A$5000,0)),"")</f>
        <v>0.36</v>
      </c>
      <c r="G179" s="7" t="str">
        <f aca="false">IF(E179="","",IF(E179&lt;=20,"Easier",IF(E179&lt;=35,"Medium","Hard")))</f>
        <v>Medium</v>
      </c>
      <c r="H179" s="7" t="s">
        <v>237</v>
      </c>
    </row>
    <row r="180" customFormat="false" ht="15" hidden="false" customHeight="true" outlineLevel="0" collapsed="false">
      <c r="B180" s="7" t="s">
        <v>259</v>
      </c>
      <c r="C180" s="7" t="s">
        <v>256</v>
      </c>
      <c r="D180" s="12" t="n">
        <f aca="false">IFERROR(INDEX('Semrush Data'!$C$2:$C$5000,MATCH(B180,'Semrush Data'!$A$2:$A$5000,0)),"")</f>
        <v>33100</v>
      </c>
      <c r="E180" s="7" t="n">
        <f aca="false">IFERROR(INDEX('Semrush Data'!$D$2:$D$5000,MATCH(B180,'Semrush Data'!$A$2:$A$5000,0)),"")</f>
        <v>55</v>
      </c>
      <c r="F180" s="13" t="n">
        <f aca="false">IFERROR(INDEX('Semrush Data'!$E$2:$E$5000,MATCH(B180,'Semrush Data'!$A$2:$A$5000,0)),"")</f>
        <v>0.38</v>
      </c>
      <c r="G180" s="7" t="str">
        <f aca="false">IF(E180="","",IF(E180&lt;=20,"Easier",IF(E180&lt;=35,"Medium","Hard")))</f>
        <v>Hard</v>
      </c>
      <c r="H180" s="7" t="s">
        <v>237</v>
      </c>
    </row>
    <row r="181" customFormat="false" ht="15" hidden="false" customHeight="true" outlineLevel="0" collapsed="false">
      <c r="B181" s="7" t="s">
        <v>260</v>
      </c>
      <c r="C181" s="7" t="s">
        <v>256</v>
      </c>
      <c r="D181" s="12" t="n">
        <f aca="false">IFERROR(INDEX('Semrush Data'!$C$2:$C$5000,MATCH(B181,'Semrush Data'!$A$2:$A$5000,0)),"")</f>
        <v>27100</v>
      </c>
      <c r="E181" s="7" t="n">
        <f aca="false">IFERROR(INDEX('Semrush Data'!$D$2:$D$5000,MATCH(B181,'Semrush Data'!$A$2:$A$5000,0)),"")</f>
        <v>42</v>
      </c>
      <c r="F181" s="13" t="n">
        <f aca="false">IFERROR(INDEX('Semrush Data'!$E$2:$E$5000,MATCH(B181,'Semrush Data'!$A$2:$A$5000,0)),"")</f>
        <v>0.56</v>
      </c>
      <c r="G181" s="7" t="str">
        <f aca="false">IF(E181="","",IF(E181&lt;=20,"Easier",IF(E181&lt;=35,"Medium","Hard")))</f>
        <v>Hard</v>
      </c>
      <c r="H181" s="7" t="s">
        <v>237</v>
      </c>
    </row>
    <row r="182" customFormat="false" ht="15" hidden="false" customHeight="true" outlineLevel="0" collapsed="false">
      <c r="B182" s="7" t="s">
        <v>261</v>
      </c>
      <c r="C182" s="7" t="s">
        <v>256</v>
      </c>
      <c r="D182" s="12" t="n">
        <f aca="false">IFERROR(INDEX('Semrush Data'!$C$2:$C$5000,MATCH(B182,'Semrush Data'!$A$2:$A$5000,0)),"")</f>
        <v>27100</v>
      </c>
      <c r="E182" s="7" t="n">
        <f aca="false">IFERROR(INDEX('Semrush Data'!$D$2:$D$5000,MATCH(B182,'Semrush Data'!$A$2:$A$5000,0)),"")</f>
        <v>22</v>
      </c>
      <c r="F182" s="13" t="n">
        <f aca="false">IFERROR(INDEX('Semrush Data'!$E$2:$E$5000,MATCH(B182,'Semrush Data'!$A$2:$A$5000,0)),"")</f>
        <v>0.32</v>
      </c>
      <c r="G182" s="7" t="str">
        <f aca="false">IF(E182="","",IF(E182&lt;=20,"Easier",IF(E182&lt;=35,"Medium","Hard")))</f>
        <v>Medium</v>
      </c>
      <c r="H182" s="7" t="s">
        <v>237</v>
      </c>
    </row>
    <row r="183" customFormat="false" ht="15" hidden="false" customHeight="true" outlineLevel="0" collapsed="false">
      <c r="B183" s="7" t="s">
        <v>262</v>
      </c>
      <c r="C183" s="7" t="s">
        <v>256</v>
      </c>
      <c r="D183" s="12" t="n">
        <f aca="false">IFERROR(INDEX('Semrush Data'!$C$2:$C$5000,MATCH(B183,'Semrush Data'!$A$2:$A$5000,0)),"")</f>
        <v>22200</v>
      </c>
      <c r="E183" s="7" t="n">
        <f aca="false">IFERROR(INDEX('Semrush Data'!$D$2:$D$5000,MATCH(B183,'Semrush Data'!$A$2:$A$5000,0)),"")</f>
        <v>16</v>
      </c>
      <c r="F183" s="13" t="n">
        <f aca="false">IFERROR(INDEX('Semrush Data'!$E$2:$E$5000,MATCH(B183,'Semrush Data'!$A$2:$A$5000,0)),"")</f>
        <v>0.29</v>
      </c>
      <c r="G183" s="7" t="str">
        <f aca="false">IF(E183="","",IF(E183&lt;=20,"Easier",IF(E183&lt;=35,"Medium","Hard")))</f>
        <v>Easier</v>
      </c>
      <c r="H183" s="7" t="s">
        <v>237</v>
      </c>
    </row>
    <row r="184" customFormat="false" ht="15" hidden="false" customHeight="true" outlineLevel="0" collapsed="false">
      <c r="B184" s="7" t="s">
        <v>263</v>
      </c>
      <c r="C184" s="7" t="s">
        <v>256</v>
      </c>
      <c r="D184" s="12" t="n">
        <f aca="false">IFERROR(INDEX('Semrush Data'!$C$2:$C$5000,MATCH(B184,'Semrush Data'!$A$2:$A$5000,0)),"")</f>
        <v>22200</v>
      </c>
      <c r="E184" s="7" t="n">
        <f aca="false">IFERROR(INDEX('Semrush Data'!$D$2:$D$5000,MATCH(B184,'Semrush Data'!$A$2:$A$5000,0)),"")</f>
        <v>36</v>
      </c>
      <c r="F184" s="13" t="n">
        <f aca="false">IFERROR(INDEX('Semrush Data'!$E$2:$E$5000,MATCH(B184,'Semrush Data'!$A$2:$A$5000,0)),"")</f>
        <v>0.44</v>
      </c>
      <c r="G184" s="7" t="str">
        <f aca="false">IF(E184="","",IF(E184&lt;=20,"Easier",IF(E184&lt;=35,"Medium","Hard")))</f>
        <v>Hard</v>
      </c>
      <c r="H184" s="7" t="s">
        <v>237</v>
      </c>
    </row>
    <row r="185" customFormat="false" ht="15" hidden="false" customHeight="true" outlineLevel="0" collapsed="false">
      <c r="B185" s="7" t="s">
        <v>264</v>
      </c>
      <c r="C185" s="7" t="s">
        <v>256</v>
      </c>
      <c r="D185" s="12" t="n">
        <f aca="false">IFERROR(INDEX('Semrush Data'!$C$2:$C$5000,MATCH(B185,'Semrush Data'!$A$2:$A$5000,0)),"")</f>
        <v>18100</v>
      </c>
      <c r="E185" s="7" t="n">
        <f aca="false">IFERROR(INDEX('Semrush Data'!$D$2:$D$5000,MATCH(B185,'Semrush Data'!$A$2:$A$5000,0)),"")</f>
        <v>41</v>
      </c>
      <c r="F185" s="13" t="n">
        <f aca="false">IFERROR(INDEX('Semrush Data'!$E$2:$E$5000,MATCH(B185,'Semrush Data'!$A$2:$A$5000,0)),"")</f>
        <v>0.32</v>
      </c>
      <c r="G185" s="7" t="str">
        <f aca="false">IF(E185="","",IF(E185&lt;=20,"Easier",IF(E185&lt;=35,"Medium","Hard")))</f>
        <v>Hard</v>
      </c>
      <c r="H185" s="7" t="s">
        <v>237</v>
      </c>
    </row>
    <row r="186" customFormat="false" ht="15" hidden="false" customHeight="true" outlineLevel="0" collapsed="false">
      <c r="B186" s="7" t="s">
        <v>265</v>
      </c>
      <c r="C186" s="7" t="s">
        <v>256</v>
      </c>
      <c r="D186" s="12" t="n">
        <f aca="false">IFERROR(INDEX('Semrush Data'!$C$2:$C$5000,MATCH(B186,'Semrush Data'!$A$2:$A$5000,0)),"")</f>
        <v>14800</v>
      </c>
      <c r="E186" s="7" t="n">
        <f aca="false">IFERROR(INDEX('Semrush Data'!$D$2:$D$5000,MATCH(B186,'Semrush Data'!$A$2:$A$5000,0)),"")</f>
        <v>50</v>
      </c>
      <c r="F186" s="13" t="n">
        <f aca="false">IFERROR(INDEX('Semrush Data'!$E$2:$E$5000,MATCH(B186,'Semrush Data'!$A$2:$A$5000,0)),"")</f>
        <v>0.32</v>
      </c>
      <c r="G186" s="7" t="str">
        <f aca="false">IF(E186="","",IF(E186&lt;=20,"Easier",IF(E186&lt;=35,"Medium","Hard")))</f>
        <v>Hard</v>
      </c>
      <c r="H186" s="7" t="s">
        <v>237</v>
      </c>
    </row>
    <row r="187" customFormat="false" ht="15" hidden="false" customHeight="true" outlineLevel="0" collapsed="false">
      <c r="B187" s="7" t="s">
        <v>266</v>
      </c>
      <c r="C187" s="7" t="s">
        <v>256</v>
      </c>
      <c r="D187" s="12" t="n">
        <f aca="false">IFERROR(INDEX('Semrush Data'!$C$2:$C$5000,MATCH(B187,'Semrush Data'!$A$2:$A$5000,0)),"")</f>
        <v>14800</v>
      </c>
      <c r="E187" s="7" t="n">
        <f aca="false">IFERROR(INDEX('Semrush Data'!$D$2:$D$5000,MATCH(B187,'Semrush Data'!$A$2:$A$5000,0)),"")</f>
        <v>41</v>
      </c>
      <c r="F187" s="13" t="n">
        <f aca="false">IFERROR(INDEX('Semrush Data'!$E$2:$E$5000,MATCH(B187,'Semrush Data'!$A$2:$A$5000,0)),"")</f>
        <v>0.32</v>
      </c>
      <c r="G187" s="7" t="str">
        <f aca="false">IF(E187="","",IF(E187&lt;=20,"Easier",IF(E187&lt;=35,"Medium","Hard")))</f>
        <v>Hard</v>
      </c>
      <c r="H187" s="7" t="s">
        <v>237</v>
      </c>
    </row>
    <row r="188" customFormat="false" ht="15" hidden="false" customHeight="true" outlineLevel="0" collapsed="false">
      <c r="B188" s="7" t="s">
        <v>267</v>
      </c>
      <c r="C188" s="7" t="s">
        <v>256</v>
      </c>
      <c r="D188" s="12" t="n">
        <f aca="false">IFERROR(INDEX('Semrush Data'!$C$2:$C$5000,MATCH(B188,'Semrush Data'!$A$2:$A$5000,0)),"")</f>
        <v>12100</v>
      </c>
      <c r="E188" s="7" t="n">
        <f aca="false">IFERROR(INDEX('Semrush Data'!$D$2:$D$5000,MATCH(B188,'Semrush Data'!$A$2:$A$5000,0)),"")</f>
        <v>34</v>
      </c>
      <c r="F188" s="13" t="n">
        <f aca="false">IFERROR(INDEX('Semrush Data'!$E$2:$E$5000,MATCH(B188,'Semrush Data'!$A$2:$A$5000,0)),"")</f>
        <v>0.45</v>
      </c>
      <c r="G188" s="7" t="str">
        <f aca="false">IF(E188="","",IF(E188&lt;=20,"Easier",IF(E188&lt;=35,"Medium","Hard")))</f>
        <v>Medium</v>
      </c>
      <c r="H188" s="7" t="s">
        <v>237</v>
      </c>
    </row>
    <row r="189" customFormat="false" ht="15" hidden="false" customHeight="true" outlineLevel="0" collapsed="false">
      <c r="B189" s="7" t="s">
        <v>268</v>
      </c>
      <c r="C189" s="7" t="s">
        <v>256</v>
      </c>
      <c r="D189" s="12" t="n">
        <f aca="false">IFERROR(INDEX('Semrush Data'!$C$2:$C$5000,MATCH(B189,'Semrush Data'!$A$2:$A$5000,0)),"")</f>
        <v>12100</v>
      </c>
      <c r="E189" s="7" t="n">
        <f aca="false">IFERROR(INDEX('Semrush Data'!$D$2:$D$5000,MATCH(B189,'Semrush Data'!$A$2:$A$5000,0)),"")</f>
        <v>28</v>
      </c>
      <c r="F189" s="13" t="n">
        <f aca="false">IFERROR(INDEX('Semrush Data'!$E$2:$E$5000,MATCH(B189,'Semrush Data'!$A$2:$A$5000,0)),"")</f>
        <v>0.55</v>
      </c>
      <c r="G189" s="7" t="str">
        <f aca="false">IF(E189="","",IF(E189&lt;=20,"Easier",IF(E189&lt;=35,"Medium","Hard")))</f>
        <v>Medium</v>
      </c>
      <c r="H189" s="7" t="s">
        <v>237</v>
      </c>
    </row>
    <row r="190" customFormat="false" ht="15" hidden="false" customHeight="true" outlineLevel="0" collapsed="false">
      <c r="B190" s="7" t="s">
        <v>269</v>
      </c>
      <c r="C190" s="7" t="s">
        <v>256</v>
      </c>
      <c r="D190" s="12" t="n">
        <f aca="false">IFERROR(INDEX('Semrush Data'!$C$2:$C$5000,MATCH(B190,'Semrush Data'!$A$2:$A$5000,0)),"")</f>
        <v>9900</v>
      </c>
      <c r="E190" s="7" t="n">
        <f aca="false">IFERROR(INDEX('Semrush Data'!$D$2:$D$5000,MATCH(B190,'Semrush Data'!$A$2:$A$5000,0)),"")</f>
        <v>34</v>
      </c>
      <c r="F190" s="13" t="n">
        <f aca="false">IFERROR(INDEX('Semrush Data'!$E$2:$E$5000,MATCH(B190,'Semrush Data'!$A$2:$A$5000,0)),"")</f>
        <v>0.27</v>
      </c>
      <c r="G190" s="7" t="str">
        <f aca="false">IF(E190="","",IF(E190&lt;=20,"Easier",IF(E190&lt;=35,"Medium","Hard")))</f>
        <v>Medium</v>
      </c>
      <c r="H190" s="7" t="s">
        <v>237</v>
      </c>
    </row>
    <row r="191" customFormat="false" ht="15" hidden="false" customHeight="true" outlineLevel="0" collapsed="false">
      <c r="B191" s="7" t="s">
        <v>270</v>
      </c>
      <c r="C191" s="7" t="s">
        <v>256</v>
      </c>
      <c r="D191" s="12" t="n">
        <f aca="false">IFERROR(INDEX('Semrush Data'!$C$2:$C$5000,MATCH(B191,'Semrush Data'!$A$2:$A$5000,0)),"")</f>
        <v>9900</v>
      </c>
      <c r="E191" s="7" t="n">
        <f aca="false">IFERROR(INDEX('Semrush Data'!$D$2:$D$5000,MATCH(B191,'Semrush Data'!$A$2:$A$5000,0)),"")</f>
        <v>23</v>
      </c>
      <c r="F191" s="13" t="n">
        <f aca="false">IFERROR(INDEX('Semrush Data'!$E$2:$E$5000,MATCH(B191,'Semrush Data'!$A$2:$A$5000,0)),"")</f>
        <v>0.39</v>
      </c>
      <c r="G191" s="7" t="str">
        <f aca="false">IF(E191="","",IF(E191&lt;=20,"Easier",IF(E191&lt;=35,"Medium","Hard")))</f>
        <v>Medium</v>
      </c>
      <c r="H191" s="7" t="s">
        <v>237</v>
      </c>
    </row>
    <row r="192" customFormat="false" ht="15" hidden="false" customHeight="true" outlineLevel="0" collapsed="false">
      <c r="B192" s="7" t="s">
        <v>271</v>
      </c>
      <c r="C192" s="7" t="s">
        <v>256</v>
      </c>
      <c r="D192" s="12" t="n">
        <f aca="false">IFERROR(INDEX('Semrush Data'!$C$2:$C$5000,MATCH(B192,'Semrush Data'!$A$2:$A$5000,0)),"")</f>
        <v>8100</v>
      </c>
      <c r="E192" s="7" t="n">
        <f aca="false">IFERROR(INDEX('Semrush Data'!$D$2:$D$5000,MATCH(B192,'Semrush Data'!$A$2:$A$5000,0)),"")</f>
        <v>34</v>
      </c>
      <c r="F192" s="13" t="n">
        <f aca="false">IFERROR(INDEX('Semrush Data'!$E$2:$E$5000,MATCH(B192,'Semrush Data'!$A$2:$A$5000,0)),"")</f>
        <v>0.3</v>
      </c>
      <c r="G192" s="7" t="str">
        <f aca="false">IF(E192="","",IF(E192&lt;=20,"Easier",IF(E192&lt;=35,"Medium","Hard")))</f>
        <v>Medium</v>
      </c>
      <c r="H192" s="7" t="s">
        <v>237</v>
      </c>
    </row>
    <row r="193" customFormat="false" ht="15" hidden="false" customHeight="true" outlineLevel="0" collapsed="false">
      <c r="B193" s="7" t="s">
        <v>272</v>
      </c>
      <c r="C193" s="7" t="s">
        <v>256</v>
      </c>
      <c r="D193" s="12" t="n">
        <f aca="false">IFERROR(INDEX('Semrush Data'!$C$2:$C$5000,MATCH(B193,'Semrush Data'!$A$2:$A$5000,0)),"")</f>
        <v>8100</v>
      </c>
      <c r="E193" s="7" t="n">
        <f aca="false">IFERROR(INDEX('Semrush Data'!$D$2:$D$5000,MATCH(B193,'Semrush Data'!$A$2:$A$5000,0)),"")</f>
        <v>23</v>
      </c>
      <c r="F193" s="13" t="n">
        <f aca="false">IFERROR(INDEX('Semrush Data'!$E$2:$E$5000,MATCH(B193,'Semrush Data'!$A$2:$A$5000,0)),"")</f>
        <v>0.33</v>
      </c>
      <c r="G193" s="7" t="str">
        <f aca="false">IF(E193="","",IF(E193&lt;=20,"Easier",IF(E193&lt;=35,"Medium","Hard")))</f>
        <v>Medium</v>
      </c>
      <c r="H193" s="7" t="s">
        <v>237</v>
      </c>
    </row>
    <row r="194" customFormat="false" ht="15" hidden="false" customHeight="true" outlineLevel="0" collapsed="false">
      <c r="B194" s="7" t="s">
        <v>273</v>
      </c>
      <c r="C194" s="7" t="s">
        <v>256</v>
      </c>
      <c r="D194" s="12" t="n">
        <f aca="false">IFERROR(INDEX('Semrush Data'!$C$2:$C$5000,MATCH(B194,'Semrush Data'!$A$2:$A$5000,0)),"")</f>
        <v>8100</v>
      </c>
      <c r="E194" s="7" t="n">
        <f aca="false">IFERROR(INDEX('Semrush Data'!$D$2:$D$5000,MATCH(B194,'Semrush Data'!$A$2:$A$5000,0)),"")</f>
        <v>32</v>
      </c>
      <c r="F194" s="13" t="n">
        <f aca="false">IFERROR(INDEX('Semrush Data'!$E$2:$E$5000,MATCH(B194,'Semrush Data'!$A$2:$A$5000,0)),"")</f>
        <v>0.38</v>
      </c>
      <c r="G194" s="7" t="str">
        <f aca="false">IF(E194="","",IF(E194&lt;=20,"Easier",IF(E194&lt;=35,"Medium","Hard")))</f>
        <v>Medium</v>
      </c>
      <c r="H194" s="7" t="s">
        <v>237</v>
      </c>
    </row>
    <row r="195" customFormat="false" ht="15" hidden="false" customHeight="true" outlineLevel="0" collapsed="false">
      <c r="B195" s="7" t="s">
        <v>274</v>
      </c>
      <c r="C195" s="7" t="s">
        <v>256</v>
      </c>
      <c r="D195" s="12" t="n">
        <f aca="false">IFERROR(INDEX('Semrush Data'!$C$2:$C$5000,MATCH(B195,'Semrush Data'!$A$2:$A$5000,0)),"")</f>
        <v>6600</v>
      </c>
      <c r="E195" s="7" t="n">
        <f aca="false">IFERROR(INDEX('Semrush Data'!$D$2:$D$5000,MATCH(B195,'Semrush Data'!$A$2:$A$5000,0)),"")</f>
        <v>26</v>
      </c>
      <c r="F195" s="13" t="n">
        <f aca="false">IFERROR(INDEX('Semrush Data'!$E$2:$E$5000,MATCH(B195,'Semrush Data'!$A$2:$A$5000,0)),"")</f>
        <v>0.37</v>
      </c>
      <c r="G195" s="7" t="str">
        <f aca="false">IF(E195="","",IF(E195&lt;=20,"Easier",IF(E195&lt;=35,"Medium","Hard")))</f>
        <v>Medium</v>
      </c>
      <c r="H195" s="7" t="s">
        <v>237</v>
      </c>
    </row>
    <row r="196" customFormat="false" ht="15" hidden="false" customHeight="true" outlineLevel="0" collapsed="false">
      <c r="B196" s="7" t="s">
        <v>275</v>
      </c>
      <c r="C196" s="7" t="s">
        <v>256</v>
      </c>
      <c r="D196" s="12" t="n">
        <f aca="false">IFERROR(INDEX('Semrush Data'!$C$2:$C$5000,MATCH(B196,'Semrush Data'!$A$2:$A$5000,0)),"")</f>
        <v>5400</v>
      </c>
      <c r="E196" s="7" t="n">
        <f aca="false">IFERROR(INDEX('Semrush Data'!$D$2:$D$5000,MATCH(B196,'Semrush Data'!$A$2:$A$5000,0)),"")</f>
        <v>28</v>
      </c>
      <c r="F196" s="13" t="n">
        <f aca="false">IFERROR(INDEX('Semrush Data'!$E$2:$E$5000,MATCH(B196,'Semrush Data'!$A$2:$A$5000,0)),"")</f>
        <v>0.41</v>
      </c>
      <c r="G196" s="7" t="str">
        <f aca="false">IF(E196="","",IF(E196&lt;=20,"Easier",IF(E196&lt;=35,"Medium","Hard")))</f>
        <v>Medium</v>
      </c>
      <c r="H196" s="7" t="s">
        <v>237</v>
      </c>
    </row>
    <row r="197" customFormat="false" ht="15" hidden="false" customHeight="true" outlineLevel="0" collapsed="false">
      <c r="B197" s="7" t="s">
        <v>276</v>
      </c>
      <c r="C197" s="7" t="s">
        <v>256</v>
      </c>
      <c r="D197" s="12" t="n">
        <f aca="false">IFERROR(INDEX('Semrush Data'!$C$2:$C$5000,MATCH(B197,'Semrush Data'!$A$2:$A$5000,0)),"")</f>
        <v>5400</v>
      </c>
      <c r="E197" s="7" t="n">
        <f aca="false">IFERROR(INDEX('Semrush Data'!$D$2:$D$5000,MATCH(B197,'Semrush Data'!$A$2:$A$5000,0)),"")</f>
        <v>23</v>
      </c>
      <c r="F197" s="13" t="n">
        <f aca="false">IFERROR(INDEX('Semrush Data'!$E$2:$E$5000,MATCH(B197,'Semrush Data'!$A$2:$A$5000,0)),"")</f>
        <v>0.41</v>
      </c>
      <c r="G197" s="7" t="str">
        <f aca="false">IF(E197="","",IF(E197&lt;=20,"Easier",IF(E197&lt;=35,"Medium","Hard")))</f>
        <v>Medium</v>
      </c>
      <c r="H197" s="7" t="s">
        <v>237</v>
      </c>
    </row>
    <row r="198" customFormat="false" ht="15" hidden="false" customHeight="true" outlineLevel="0" collapsed="false">
      <c r="B198" s="7" t="s">
        <v>277</v>
      </c>
      <c r="C198" s="7" t="s">
        <v>256</v>
      </c>
      <c r="D198" s="12" t="n">
        <f aca="false">IFERROR(INDEX('Semrush Data'!$C$2:$C$5000,MATCH(B198,'Semrush Data'!$A$2:$A$5000,0)),"")</f>
        <v>5400</v>
      </c>
      <c r="E198" s="7" t="n">
        <f aca="false">IFERROR(INDEX('Semrush Data'!$D$2:$D$5000,MATCH(B198,'Semrush Data'!$A$2:$A$5000,0)),"")</f>
        <v>30</v>
      </c>
      <c r="F198" s="13" t="n">
        <f aca="false">IFERROR(INDEX('Semrush Data'!$E$2:$E$5000,MATCH(B198,'Semrush Data'!$A$2:$A$5000,0)),"")</f>
        <v>0.26</v>
      </c>
      <c r="G198" s="7" t="str">
        <f aca="false">IF(E198="","",IF(E198&lt;=20,"Easier",IF(E198&lt;=35,"Medium","Hard")))</f>
        <v>Medium</v>
      </c>
      <c r="H198" s="7" t="s">
        <v>237</v>
      </c>
    </row>
    <row r="199" customFormat="false" ht="15" hidden="false" customHeight="true" outlineLevel="0" collapsed="false">
      <c r="B199" s="7" t="s">
        <v>278</v>
      </c>
      <c r="C199" s="7" t="s">
        <v>256</v>
      </c>
      <c r="D199" s="12" t="n">
        <f aca="false">IFERROR(INDEX('Semrush Data'!$C$2:$C$5000,MATCH(B199,'Semrush Data'!$A$2:$A$5000,0)),"")</f>
        <v>5400</v>
      </c>
      <c r="E199" s="7" t="n">
        <f aca="false">IFERROR(INDEX('Semrush Data'!$D$2:$D$5000,MATCH(B199,'Semrush Data'!$A$2:$A$5000,0)),"")</f>
        <v>16</v>
      </c>
      <c r="F199" s="13" t="n">
        <f aca="false">IFERROR(INDEX('Semrush Data'!$E$2:$E$5000,MATCH(B199,'Semrush Data'!$A$2:$A$5000,0)),"")</f>
        <v>0.29</v>
      </c>
      <c r="G199" s="7" t="str">
        <f aca="false">IF(E199="","",IF(E199&lt;=20,"Easier",IF(E199&lt;=35,"Medium","Hard")))</f>
        <v>Easier</v>
      </c>
      <c r="H199" s="7" t="s">
        <v>237</v>
      </c>
    </row>
    <row r="200" customFormat="false" ht="15" hidden="false" customHeight="true" outlineLevel="0" collapsed="false">
      <c r="B200" s="7" t="s">
        <v>279</v>
      </c>
      <c r="C200" s="7" t="s">
        <v>256</v>
      </c>
      <c r="D200" s="12" t="n">
        <f aca="false">IFERROR(INDEX('Semrush Data'!$C$2:$C$5000,MATCH(B200,'Semrush Data'!$A$2:$A$5000,0)),"")</f>
        <v>5400</v>
      </c>
      <c r="E200" s="7" t="n">
        <f aca="false">IFERROR(INDEX('Semrush Data'!$D$2:$D$5000,MATCH(B200,'Semrush Data'!$A$2:$A$5000,0)),"")</f>
        <v>24</v>
      </c>
      <c r="F200" s="13" t="n">
        <f aca="false">IFERROR(INDEX('Semrush Data'!$E$2:$E$5000,MATCH(B200,'Semrush Data'!$A$2:$A$5000,0)),"")</f>
        <v>0.37</v>
      </c>
      <c r="G200" s="7" t="str">
        <f aca="false">IF(E200="","",IF(E200&lt;=20,"Easier",IF(E200&lt;=35,"Medium","Hard")))</f>
        <v>Medium</v>
      </c>
      <c r="H200" s="7" t="s">
        <v>237</v>
      </c>
    </row>
    <row r="201" customFormat="false" ht="15" hidden="false" customHeight="true" outlineLevel="0" collapsed="false">
      <c r="B201" s="7" t="s">
        <v>280</v>
      </c>
      <c r="C201" s="7" t="s">
        <v>256</v>
      </c>
      <c r="D201" s="12" t="n">
        <f aca="false">IFERROR(INDEX('Semrush Data'!$C$2:$C$5000,MATCH(B201,'Semrush Data'!$A$2:$A$5000,0)),"")</f>
        <v>3600</v>
      </c>
      <c r="E201" s="7" t="n">
        <f aca="false">IFERROR(INDEX('Semrush Data'!$D$2:$D$5000,MATCH(B201,'Semrush Data'!$A$2:$A$5000,0)),"")</f>
        <v>21</v>
      </c>
      <c r="F201" s="13" t="n">
        <f aca="false">IFERROR(INDEX('Semrush Data'!$E$2:$E$5000,MATCH(B201,'Semrush Data'!$A$2:$A$5000,0)),"")</f>
        <v>0.35</v>
      </c>
      <c r="G201" s="7" t="str">
        <f aca="false">IF(E201="","",IF(E201&lt;=20,"Easier",IF(E201&lt;=35,"Medium","Hard")))</f>
        <v>Medium</v>
      </c>
      <c r="H201" s="7" t="s">
        <v>237</v>
      </c>
    </row>
    <row r="202" customFormat="false" ht="15" hidden="false" customHeight="true" outlineLevel="0" collapsed="false">
      <c r="B202" s="7" t="s">
        <v>281</v>
      </c>
      <c r="C202" s="7" t="s">
        <v>256</v>
      </c>
      <c r="D202" s="12" t="n">
        <f aca="false">IFERROR(INDEX('Semrush Data'!$C$2:$C$5000,MATCH(B202,'Semrush Data'!$A$2:$A$5000,0)),"")</f>
        <v>3600</v>
      </c>
      <c r="E202" s="7" t="n">
        <f aca="false">IFERROR(INDEX('Semrush Data'!$D$2:$D$5000,MATCH(B202,'Semrush Data'!$A$2:$A$5000,0)),"")</f>
        <v>25</v>
      </c>
      <c r="F202" s="13" t="n">
        <f aca="false">IFERROR(INDEX('Semrush Data'!$E$2:$E$5000,MATCH(B202,'Semrush Data'!$A$2:$A$5000,0)),"")</f>
        <v>0.3</v>
      </c>
      <c r="G202" s="7" t="str">
        <f aca="false">IF(E202="","",IF(E202&lt;=20,"Easier",IF(E202&lt;=35,"Medium","Hard")))</f>
        <v>Medium</v>
      </c>
      <c r="H202" s="7" t="s">
        <v>237</v>
      </c>
    </row>
    <row r="203" customFormat="false" ht="15" hidden="false" customHeight="true" outlineLevel="0" collapsed="false">
      <c r="B203" s="7" t="s">
        <v>282</v>
      </c>
      <c r="C203" s="7" t="s">
        <v>256</v>
      </c>
      <c r="D203" s="12" t="n">
        <f aca="false">IFERROR(INDEX('Semrush Data'!$C$2:$C$5000,MATCH(B203,'Semrush Data'!$A$2:$A$5000,0)),"")</f>
        <v>2900</v>
      </c>
      <c r="E203" s="7" t="n">
        <f aca="false">IFERROR(INDEX('Semrush Data'!$D$2:$D$5000,MATCH(B203,'Semrush Data'!$A$2:$A$5000,0)),"")</f>
        <v>23</v>
      </c>
      <c r="F203" s="13" t="n">
        <f aca="false">IFERROR(INDEX('Semrush Data'!$E$2:$E$5000,MATCH(B203,'Semrush Data'!$A$2:$A$5000,0)),"")</f>
        <v>0.31</v>
      </c>
      <c r="G203" s="7" t="str">
        <f aca="false">IF(E203="","",IF(E203&lt;=20,"Easier",IF(E203&lt;=35,"Medium","Hard")))</f>
        <v>Medium</v>
      </c>
      <c r="H203" s="7" t="s">
        <v>237</v>
      </c>
    </row>
    <row r="204" customFormat="false" ht="15" hidden="false" customHeight="true" outlineLevel="0" collapsed="false">
      <c r="B204" s="7" t="s">
        <v>283</v>
      </c>
      <c r="C204" s="7" t="s">
        <v>256</v>
      </c>
      <c r="D204" s="12" t="n">
        <f aca="false">IFERROR(INDEX('Semrush Data'!$C$2:$C$5000,MATCH(B204,'Semrush Data'!$A$2:$A$5000,0)),"")</f>
        <v>1900</v>
      </c>
      <c r="E204" s="7" t="n">
        <f aca="false">IFERROR(INDEX('Semrush Data'!$D$2:$D$5000,MATCH(B204,'Semrush Data'!$A$2:$A$5000,0)),"")</f>
        <v>16</v>
      </c>
      <c r="F204" s="13" t="n">
        <f aca="false">IFERROR(INDEX('Semrush Data'!$E$2:$E$5000,MATCH(B204,'Semrush Data'!$A$2:$A$5000,0)),"")</f>
        <v>0.4</v>
      </c>
      <c r="G204" s="7" t="str">
        <f aca="false">IF(E204="","",IF(E204&lt;=20,"Easier",IF(E204&lt;=35,"Medium","Hard")))</f>
        <v>Easier</v>
      </c>
      <c r="H204" s="7" t="s">
        <v>237</v>
      </c>
    </row>
    <row r="205" customFormat="false" ht="15" hidden="false" customHeight="true" outlineLevel="0" collapsed="false">
      <c r="B205" s="7" t="s">
        <v>284</v>
      </c>
      <c r="C205" s="7" t="s">
        <v>256</v>
      </c>
      <c r="D205" s="12" t="n">
        <f aca="false">IFERROR(INDEX('Semrush Data'!$C$2:$C$5000,MATCH(B205,'Semrush Data'!$A$2:$A$5000,0)),"")</f>
        <v>1900</v>
      </c>
      <c r="E205" s="7" t="n">
        <f aca="false">IFERROR(INDEX('Semrush Data'!$D$2:$D$5000,MATCH(B205,'Semrush Data'!$A$2:$A$5000,0)),"")</f>
        <v>26</v>
      </c>
      <c r="F205" s="13" t="n">
        <f aca="false">IFERROR(INDEX('Semrush Data'!$E$2:$E$5000,MATCH(B205,'Semrush Data'!$A$2:$A$5000,0)),"")</f>
        <v>0.41</v>
      </c>
      <c r="G205" s="7" t="str">
        <f aca="false">IF(E205="","",IF(E205&lt;=20,"Easier",IF(E205&lt;=35,"Medium","Hard")))</f>
        <v>Medium</v>
      </c>
      <c r="H205" s="7" t="s">
        <v>237</v>
      </c>
    </row>
    <row r="206" customFormat="false" ht="15" hidden="false" customHeight="true" outlineLevel="0" collapsed="false">
      <c r="B206" s="7" t="s">
        <v>285</v>
      </c>
      <c r="C206" s="7" t="s">
        <v>256</v>
      </c>
      <c r="D206" s="12" t="n">
        <f aca="false">IFERROR(INDEX('Semrush Data'!$C$2:$C$5000,MATCH(B206,'Semrush Data'!$A$2:$A$5000,0)),"")</f>
        <v>1600</v>
      </c>
      <c r="E206" s="7" t="n">
        <f aca="false">IFERROR(INDEX('Semrush Data'!$D$2:$D$5000,MATCH(B206,'Semrush Data'!$A$2:$A$5000,0)),"")</f>
        <v>25</v>
      </c>
      <c r="F206" s="13" t="n">
        <f aca="false">IFERROR(INDEX('Semrush Data'!$E$2:$E$5000,MATCH(B206,'Semrush Data'!$A$2:$A$5000,0)),"")</f>
        <v>0.31</v>
      </c>
      <c r="G206" s="7" t="str">
        <f aca="false">IF(E206="","",IF(E206&lt;=20,"Easier",IF(E206&lt;=35,"Medium","Hard")))</f>
        <v>Medium</v>
      </c>
      <c r="H206" s="7" t="s">
        <v>237</v>
      </c>
    </row>
    <row r="207" customFormat="false" ht="15" hidden="false" customHeight="true" outlineLevel="0" collapsed="false">
      <c r="B207" s="7" t="s">
        <v>286</v>
      </c>
      <c r="C207" s="7" t="s">
        <v>256</v>
      </c>
      <c r="D207" s="12" t="n">
        <f aca="false">IFERROR(INDEX('Semrush Data'!$C$2:$C$5000,MATCH(B207,'Semrush Data'!$A$2:$A$5000,0)),"")</f>
        <v>1600</v>
      </c>
      <c r="E207" s="7" t="n">
        <f aca="false">IFERROR(INDEX('Semrush Data'!$D$2:$D$5000,MATCH(B207,'Semrush Data'!$A$2:$A$5000,0)),"")</f>
        <v>39</v>
      </c>
      <c r="F207" s="13" t="n">
        <f aca="false">IFERROR(INDEX('Semrush Data'!$E$2:$E$5000,MATCH(B207,'Semrush Data'!$A$2:$A$5000,0)),"")</f>
        <v>0.35</v>
      </c>
      <c r="G207" s="7" t="str">
        <f aca="false">IF(E207="","",IF(E207&lt;=20,"Easier",IF(E207&lt;=35,"Medium","Hard")))</f>
        <v>Hard</v>
      </c>
      <c r="H207" s="7" t="s">
        <v>237</v>
      </c>
    </row>
    <row r="208" customFormat="false" ht="15" hidden="false" customHeight="true" outlineLevel="0" collapsed="false">
      <c r="B208" s="7" t="s">
        <v>287</v>
      </c>
      <c r="C208" s="7" t="s">
        <v>256</v>
      </c>
      <c r="D208" s="12" t="n">
        <f aca="false">IFERROR(INDEX('Semrush Data'!$C$2:$C$5000,MATCH(B208,'Semrush Data'!$A$2:$A$5000,0)),"")</f>
        <v>1300</v>
      </c>
      <c r="E208" s="7" t="n">
        <f aca="false">IFERROR(INDEX('Semrush Data'!$D$2:$D$5000,MATCH(B208,'Semrush Data'!$A$2:$A$5000,0)),"")</f>
        <v>18</v>
      </c>
      <c r="F208" s="13" t="n">
        <f aca="false">IFERROR(INDEX('Semrush Data'!$E$2:$E$5000,MATCH(B208,'Semrush Data'!$A$2:$A$5000,0)),"")</f>
        <v>0.35</v>
      </c>
      <c r="G208" s="7" t="str">
        <f aca="false">IF(E208="","",IF(E208&lt;=20,"Easier",IF(E208&lt;=35,"Medium","Hard")))</f>
        <v>Easier</v>
      </c>
      <c r="H208" s="7" t="s">
        <v>237</v>
      </c>
    </row>
    <row r="209" customFormat="false" ht="15" hidden="false" customHeight="true" outlineLevel="0" collapsed="false">
      <c r="B209" s="7" t="s">
        <v>288</v>
      </c>
      <c r="C209" s="7" t="s">
        <v>256</v>
      </c>
      <c r="D209" s="12" t="n">
        <f aca="false">IFERROR(INDEX('Semrush Data'!$C$2:$C$5000,MATCH(B209,'Semrush Data'!$A$2:$A$5000,0)),"")</f>
        <v>1300</v>
      </c>
      <c r="E209" s="7" t="n">
        <f aca="false">IFERROR(INDEX('Semrush Data'!$D$2:$D$5000,MATCH(B209,'Semrush Data'!$A$2:$A$5000,0)),"")</f>
        <v>28</v>
      </c>
      <c r="F209" s="13" t="n">
        <f aca="false">IFERROR(INDEX('Semrush Data'!$E$2:$E$5000,MATCH(B209,'Semrush Data'!$A$2:$A$5000,0)),"")</f>
        <v>0.3</v>
      </c>
      <c r="G209" s="7" t="str">
        <f aca="false">IF(E209="","",IF(E209&lt;=20,"Easier",IF(E209&lt;=35,"Medium","Hard")))</f>
        <v>Medium</v>
      </c>
      <c r="H209" s="7" t="s">
        <v>237</v>
      </c>
    </row>
    <row r="210" customFormat="false" ht="15" hidden="false" customHeight="true" outlineLevel="0" collapsed="false">
      <c r="B210" s="7" t="s">
        <v>289</v>
      </c>
      <c r="C210" s="7" t="s">
        <v>256</v>
      </c>
      <c r="D210" s="12" t="n">
        <f aca="false">IFERROR(INDEX('Semrush Data'!$C$2:$C$5000,MATCH(B210,'Semrush Data'!$A$2:$A$5000,0)),"")</f>
        <v>1300</v>
      </c>
      <c r="E210" s="7" t="n">
        <f aca="false">IFERROR(INDEX('Semrush Data'!$D$2:$D$5000,MATCH(B210,'Semrush Data'!$A$2:$A$5000,0)),"")</f>
        <v>22</v>
      </c>
      <c r="F210" s="13" t="n">
        <f aca="false">IFERROR(INDEX('Semrush Data'!$E$2:$E$5000,MATCH(B210,'Semrush Data'!$A$2:$A$5000,0)),"")</f>
        <v>0.22</v>
      </c>
      <c r="G210" s="7" t="str">
        <f aca="false">IF(E210="","",IF(E210&lt;=20,"Easier",IF(E210&lt;=35,"Medium","Hard")))</f>
        <v>Medium</v>
      </c>
      <c r="H210" s="7" t="s">
        <v>237</v>
      </c>
    </row>
    <row r="211" customFormat="false" ht="15" hidden="false" customHeight="true" outlineLevel="0" collapsed="false">
      <c r="B211" s="7" t="s">
        <v>290</v>
      </c>
      <c r="C211" s="7" t="s">
        <v>256</v>
      </c>
      <c r="D211" s="12" t="n">
        <f aca="false">IFERROR(INDEX('Semrush Data'!$C$2:$C$5000,MATCH(B211,'Semrush Data'!$A$2:$A$5000,0)),"")</f>
        <v>1000</v>
      </c>
      <c r="E211" s="7" t="n">
        <f aca="false">IFERROR(INDEX('Semrush Data'!$D$2:$D$5000,MATCH(B211,'Semrush Data'!$A$2:$A$5000,0)),"")</f>
        <v>34</v>
      </c>
      <c r="F211" s="13" t="n">
        <f aca="false">IFERROR(INDEX('Semrush Data'!$E$2:$E$5000,MATCH(B211,'Semrush Data'!$A$2:$A$5000,0)),"")</f>
        <v>0.34</v>
      </c>
      <c r="G211" s="7" t="str">
        <f aca="false">IF(E211="","",IF(E211&lt;=20,"Easier",IF(E211&lt;=35,"Medium","Hard")))</f>
        <v>Medium</v>
      </c>
      <c r="H211" s="7" t="s">
        <v>237</v>
      </c>
    </row>
    <row r="212" customFormat="false" ht="15" hidden="false" customHeight="true" outlineLevel="0" collapsed="false">
      <c r="B212" s="7" t="s">
        <v>291</v>
      </c>
      <c r="C212" s="7" t="s">
        <v>256</v>
      </c>
      <c r="D212" s="12" t="n">
        <f aca="false">IFERROR(INDEX('Semrush Data'!$C$2:$C$5000,MATCH(B212,'Semrush Data'!$A$2:$A$5000,0)),"")</f>
        <v>1000</v>
      </c>
      <c r="E212" s="7" t="n">
        <f aca="false">IFERROR(INDEX('Semrush Data'!$D$2:$D$5000,MATCH(B212,'Semrush Data'!$A$2:$A$5000,0)),"")</f>
        <v>32</v>
      </c>
      <c r="F212" s="13" t="n">
        <f aca="false">IFERROR(INDEX('Semrush Data'!$E$2:$E$5000,MATCH(B212,'Semrush Data'!$A$2:$A$5000,0)),"")</f>
        <v>0.53</v>
      </c>
      <c r="G212" s="7" t="str">
        <f aca="false">IF(E212="","",IF(E212&lt;=20,"Easier",IF(E212&lt;=35,"Medium","Hard")))</f>
        <v>Medium</v>
      </c>
      <c r="H212" s="7" t="s">
        <v>237</v>
      </c>
    </row>
    <row r="213" customFormat="false" ht="15" hidden="false" customHeight="true" outlineLevel="0" collapsed="false">
      <c r="B213" s="7" t="s">
        <v>292</v>
      </c>
      <c r="C213" s="7" t="s">
        <v>256</v>
      </c>
      <c r="D213" s="12" t="n">
        <f aca="false">IFERROR(INDEX('Semrush Data'!$C$2:$C$5000,MATCH(B213,'Semrush Data'!$A$2:$A$5000,0)),"")</f>
        <v>1000</v>
      </c>
      <c r="E213" s="7" t="n">
        <f aca="false">IFERROR(INDEX('Semrush Data'!$D$2:$D$5000,MATCH(B213,'Semrush Data'!$A$2:$A$5000,0)),"")</f>
        <v>33</v>
      </c>
      <c r="F213" s="13" t="n">
        <f aca="false">IFERROR(INDEX('Semrush Data'!$E$2:$E$5000,MATCH(B213,'Semrush Data'!$A$2:$A$5000,0)),"")</f>
        <v>0.32</v>
      </c>
      <c r="G213" s="7" t="str">
        <f aca="false">IF(E213="","",IF(E213&lt;=20,"Easier",IF(E213&lt;=35,"Medium","Hard")))</f>
        <v>Medium</v>
      </c>
      <c r="H213" s="7" t="s">
        <v>237</v>
      </c>
    </row>
    <row r="214" customFormat="false" ht="15" hidden="false" customHeight="true" outlineLevel="0" collapsed="false">
      <c r="B214" s="7" t="s">
        <v>293</v>
      </c>
      <c r="C214" s="7" t="s">
        <v>256</v>
      </c>
      <c r="D214" s="12" t="n">
        <f aca="false">IFERROR(INDEX('Semrush Data'!$C$2:$C$5000,MATCH(B214,'Semrush Data'!$A$2:$A$5000,0)),"")</f>
        <v>1000</v>
      </c>
      <c r="E214" s="7" t="n">
        <f aca="false">IFERROR(INDEX('Semrush Data'!$D$2:$D$5000,MATCH(B214,'Semrush Data'!$A$2:$A$5000,0)),"")</f>
        <v>22</v>
      </c>
      <c r="F214" s="13" t="n">
        <f aca="false">IFERROR(INDEX('Semrush Data'!$E$2:$E$5000,MATCH(B214,'Semrush Data'!$A$2:$A$5000,0)),"")</f>
        <v>0.29</v>
      </c>
      <c r="G214" s="7" t="str">
        <f aca="false">IF(E214="","",IF(E214&lt;=20,"Easier",IF(E214&lt;=35,"Medium","Hard")))</f>
        <v>Medium</v>
      </c>
      <c r="H214" s="7" t="s">
        <v>237</v>
      </c>
    </row>
    <row r="215" customFormat="false" ht="15" hidden="false" customHeight="true" outlineLevel="0" collapsed="false">
      <c r="B215" s="7" t="s">
        <v>294</v>
      </c>
      <c r="C215" s="7" t="s">
        <v>256</v>
      </c>
      <c r="D215" s="12" t="n">
        <f aca="false">IFERROR(INDEX('Semrush Data'!$C$2:$C$5000,MATCH(B215,'Semrush Data'!$A$2:$A$5000,0)),"")</f>
        <v>880</v>
      </c>
      <c r="E215" s="7" t="n">
        <f aca="false">IFERROR(INDEX('Semrush Data'!$D$2:$D$5000,MATCH(B215,'Semrush Data'!$A$2:$A$5000,0)),"")</f>
        <v>31</v>
      </c>
      <c r="F215" s="13" t="n">
        <f aca="false">IFERROR(INDEX('Semrush Data'!$E$2:$E$5000,MATCH(B215,'Semrush Data'!$A$2:$A$5000,0)),"")</f>
        <v>0.36</v>
      </c>
      <c r="G215" s="7" t="str">
        <f aca="false">IF(E215="","",IF(E215&lt;=20,"Easier",IF(E215&lt;=35,"Medium","Hard")))</f>
        <v>Medium</v>
      </c>
      <c r="H215" s="7" t="s">
        <v>237</v>
      </c>
    </row>
    <row r="216" customFormat="false" ht="15" hidden="false" customHeight="true" outlineLevel="0" collapsed="false">
      <c r="B216" s="7" t="s">
        <v>295</v>
      </c>
      <c r="C216" s="7" t="s">
        <v>256</v>
      </c>
      <c r="D216" s="12" t="n">
        <f aca="false">IFERROR(INDEX('Semrush Data'!$C$2:$C$5000,MATCH(B216,'Semrush Data'!$A$2:$A$5000,0)),"")</f>
        <v>880</v>
      </c>
      <c r="E216" s="7" t="n">
        <f aca="false">IFERROR(INDEX('Semrush Data'!$D$2:$D$5000,MATCH(B216,'Semrush Data'!$A$2:$A$5000,0)),"")</f>
        <v>28</v>
      </c>
      <c r="F216" s="13" t="n">
        <f aca="false">IFERROR(INDEX('Semrush Data'!$E$2:$E$5000,MATCH(B216,'Semrush Data'!$A$2:$A$5000,0)),"")</f>
        <v>0.53</v>
      </c>
      <c r="G216" s="7" t="str">
        <f aca="false">IF(E216="","",IF(E216&lt;=20,"Easier",IF(E216&lt;=35,"Medium","Hard")))</f>
        <v>Medium</v>
      </c>
      <c r="H216" s="7" t="s">
        <v>237</v>
      </c>
    </row>
  </sheetData>
  <mergeCells count="5">
    <mergeCell ref="B13:H13"/>
    <mergeCell ref="B14:H14"/>
    <mergeCell ref="B15:H15"/>
    <mergeCell ref="B16:H16"/>
    <mergeCell ref="B17:H17"/>
  </mergeCells>
  <conditionalFormatting sqref="G22:G71">
    <cfRule type="expression" priority="2" aboveAverage="0" equalAverage="0" bottom="0" percent="0" rank="0" text="" dxfId="0">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34"/>
    <col collapsed="false" customWidth="true" hidden="false" outlineLevel="0" max="5" min="4" style="1" width="18"/>
    <col collapsed="false" customWidth="true" hidden="false" outlineLevel="0" max="6" min="6" style="1" width="28"/>
    <col collapsed="false" customWidth="true" hidden="false" outlineLevel="0" max="7" min="7" style="1" width="9"/>
    <col collapsed="false" customWidth="true" hidden="false" outlineLevel="0" max="8" min="8" style="1" width="8"/>
    <col collapsed="false" customWidth="true" hidden="false" outlineLevel="0" max="9" min="9" style="1" width="10"/>
    <col collapsed="false" customWidth="true" hidden="false" outlineLevel="0" max="10" min="10" style="1" width="9"/>
    <col collapsed="false" customWidth="true" hidden="false" outlineLevel="0" max="11" min="11" style="1" width="30"/>
    <col collapsed="false" customWidth="true" hidden="false" outlineLevel="0" max="12" min="12" style="1" width="34"/>
    <col collapsed="false" customWidth="true" hidden="false" outlineLevel="0" max="13" min="13" style="1" width="52"/>
    <col collapsed="false" customWidth="true" hidden="false" outlineLevel="0" max="14" min="14" style="1" width="7"/>
    <col collapsed="false" customWidth="true" hidden="false" outlineLevel="0" max="15" min="15" style="1" width="70"/>
    <col collapsed="false" customWidth="true" hidden="false" outlineLevel="0" max="16" min="16" style="1" width="7"/>
    <col collapsed="false" customWidth="true" hidden="false" outlineLevel="0" max="17" min="17" style="1" width="90"/>
    <col collapsed="false" customWidth="true" hidden="false" outlineLevel="0" max="18" min="18" style="1" width="44"/>
    <col collapsed="false" customWidth="true" hidden="false" outlineLevel="0" max="19" min="19" style="1" width="14"/>
    <col collapsed="false" customWidth="true" hidden="false" outlineLevel="0" max="20" min="20" style="1" width="30"/>
  </cols>
  <sheetData>
    <row r="1" customFormat="false" ht="31.5" hidden="false" customHeight="true" outlineLevel="0" collapsed="false">
      <c r="A1" s="14" t="s">
        <v>37</v>
      </c>
      <c r="B1" s="14" t="s">
        <v>236</v>
      </c>
      <c r="C1" s="14" t="s">
        <v>38</v>
      </c>
      <c r="D1" s="14" t="s">
        <v>149</v>
      </c>
      <c r="E1" s="14" t="s">
        <v>296</v>
      </c>
      <c r="F1" s="14" t="s">
        <v>297</v>
      </c>
      <c r="G1" s="15" t="s">
        <v>298</v>
      </c>
      <c r="H1" s="15" t="s">
        <v>299</v>
      </c>
      <c r="I1" s="14" t="s">
        <v>300</v>
      </c>
      <c r="J1" s="15" t="s">
        <v>301</v>
      </c>
      <c r="K1" s="14" t="s">
        <v>302</v>
      </c>
      <c r="L1" s="14" t="s">
        <v>303</v>
      </c>
      <c r="M1" s="14" t="s">
        <v>304</v>
      </c>
      <c r="N1" s="14" t="s">
        <v>305</v>
      </c>
      <c r="O1" s="14" t="s">
        <v>306</v>
      </c>
      <c r="P1" s="14" t="s">
        <v>307</v>
      </c>
      <c r="Q1" s="14" t="s">
        <v>308</v>
      </c>
      <c r="R1" s="14" t="s">
        <v>309</v>
      </c>
      <c r="S1" s="14" t="s">
        <v>310</v>
      </c>
      <c r="T1" s="14" t="s">
        <v>311</v>
      </c>
    </row>
    <row r="2" customFormat="false" ht="45.75" hidden="false" customHeight="true" outlineLevel="0" collapsed="false">
      <c r="A2" s="16" t="s">
        <v>312</v>
      </c>
      <c r="B2" s="16" t="s">
        <v>313</v>
      </c>
      <c r="C2" s="16" t="s">
        <v>314</v>
      </c>
      <c r="D2" s="16" t="s">
        <v>315</v>
      </c>
      <c r="E2" s="16" t="s">
        <v>316</v>
      </c>
      <c r="F2" s="17" t="s">
        <v>164</v>
      </c>
      <c r="G2" s="18" t="n">
        <f aca="false">IFERROR(INDEX('Semrush Data'!$C$2:$C$5000,MATCH(F2,'Semrush Data'!$A$2:$A$5000,0)),"")</f>
        <v>720</v>
      </c>
      <c r="H2" s="16" t="n">
        <f aca="false">IFERROR(INDEX('Semrush Data'!$D$2:$D$5000,MATCH(F2,'Semrush Data'!$A$2:$A$5000,0)),"")</f>
        <v>16</v>
      </c>
      <c r="I2" s="16" t="s">
        <v>235</v>
      </c>
      <c r="J2" s="18" t="n">
        <f aca="false">IFERROR(INDEX('Semrush Data'!$C$2:$C$5000,MATCH(I2,'Semrush Data'!$A$2:$A$5000,0)),"")</f>
        <v>480</v>
      </c>
      <c r="K2" s="16" t="s">
        <v>317</v>
      </c>
      <c r="L2" s="16" t="s">
        <v>318</v>
      </c>
      <c r="M2" s="16" t="s">
        <v>319</v>
      </c>
      <c r="N2" s="19" t="n">
        <f aca="false">LEN(M2)</f>
        <v>50</v>
      </c>
      <c r="O2" s="20" t="s">
        <v>320</v>
      </c>
      <c r="P2" s="19" t="n">
        <f aca="false">LEN(O2)</f>
        <v>158</v>
      </c>
      <c r="Q2" s="20" t="s">
        <v>321</v>
      </c>
      <c r="R2" s="20"/>
      <c r="S2" s="16" t="s">
        <v>322</v>
      </c>
      <c r="T2" s="20"/>
    </row>
    <row r="3" customFormat="false" ht="45.75" hidden="false" customHeight="true" outlineLevel="0" collapsed="false">
      <c r="A3" s="16" t="s">
        <v>323</v>
      </c>
      <c r="B3" s="16" t="s">
        <v>313</v>
      </c>
      <c r="C3" s="16" t="s">
        <v>324</v>
      </c>
      <c r="D3" s="16" t="s">
        <v>325</v>
      </c>
      <c r="E3" s="16" t="s">
        <v>326</v>
      </c>
      <c r="F3" s="17" t="s">
        <v>199</v>
      </c>
      <c r="G3" s="18" t="n">
        <f aca="false">IFERROR(INDEX('Semrush Data'!$C$2:$C$5000,MATCH(F3,'Semrush Data'!$A$2:$A$5000,0)),"")</f>
        <v>5400</v>
      </c>
      <c r="H3" s="16" t="n">
        <f aca="false">IFERROR(INDEX('Semrush Data'!$D$2:$D$5000,MATCH(F3,'Semrush Data'!$A$2:$A$5000,0)),"")</f>
        <v>21</v>
      </c>
      <c r="I3" s="16" t="s">
        <v>235</v>
      </c>
      <c r="J3" s="18" t="n">
        <f aca="false">IFERROR(INDEX('Semrush Data'!$C$2:$C$5000,MATCH(I3,'Semrush Data'!$A$2:$A$5000,0)),"")</f>
        <v>480</v>
      </c>
      <c r="K3" s="16" t="s">
        <v>327</v>
      </c>
      <c r="L3" s="16" t="s">
        <v>328</v>
      </c>
      <c r="M3" s="16" t="s">
        <v>329</v>
      </c>
      <c r="N3" s="19" t="n">
        <f aca="false">LEN(M3)</f>
        <v>51</v>
      </c>
      <c r="O3" s="20" t="s">
        <v>330</v>
      </c>
      <c r="P3" s="19" t="n">
        <f aca="false">LEN(O3)</f>
        <v>148</v>
      </c>
      <c r="Q3" s="20" t="s">
        <v>331</v>
      </c>
      <c r="R3" s="20" t="s">
        <v>332</v>
      </c>
      <c r="S3" s="16" t="s">
        <v>322</v>
      </c>
      <c r="T3" s="20" t="s">
        <v>333</v>
      </c>
    </row>
    <row r="4" customFormat="false" ht="23.25" hidden="false" customHeight="true" outlineLevel="0" collapsed="false">
      <c r="A4" s="16" t="s">
        <v>334</v>
      </c>
      <c r="B4" s="16" t="s">
        <v>313</v>
      </c>
      <c r="C4" s="16" t="s">
        <v>335</v>
      </c>
      <c r="D4" s="16" t="s">
        <v>336</v>
      </c>
      <c r="E4" s="16" t="s">
        <v>337</v>
      </c>
      <c r="F4" s="17" t="s">
        <v>220</v>
      </c>
      <c r="G4" s="18" t="n">
        <f aca="false">IFERROR(INDEX('Semrush Data'!$C$2:$C$5000,MATCH(F4,'Semrush Data'!$A$2:$A$5000,0)),"")</f>
        <v>1300</v>
      </c>
      <c r="H4" s="16" t="n">
        <f aca="false">IFERROR(INDEX('Semrush Data'!$D$2:$D$5000,MATCH(F4,'Semrush Data'!$A$2:$A$5000,0)),"")</f>
        <v>19</v>
      </c>
      <c r="I4" s="16" t="s">
        <v>235</v>
      </c>
      <c r="J4" s="18" t="n">
        <f aca="false">IFERROR(INDEX('Semrush Data'!$C$2:$C$5000,MATCH(I4,'Semrush Data'!$A$2:$A$5000,0)),"")</f>
        <v>480</v>
      </c>
      <c r="K4" s="16" t="s">
        <v>338</v>
      </c>
      <c r="L4" s="16" t="s">
        <v>339</v>
      </c>
      <c r="M4" s="16" t="s">
        <v>340</v>
      </c>
      <c r="N4" s="19" t="n">
        <f aca="false">LEN(M4)</f>
        <v>59</v>
      </c>
      <c r="O4" s="20" t="s">
        <v>341</v>
      </c>
      <c r="P4" s="19" t="n">
        <f aca="false">LEN(O4)</f>
        <v>148</v>
      </c>
      <c r="Q4" s="20" t="s">
        <v>342</v>
      </c>
      <c r="R4" s="20"/>
      <c r="S4" s="16" t="s">
        <v>343</v>
      </c>
      <c r="T4" s="20"/>
    </row>
    <row r="5" customFormat="false" ht="45.75" hidden="false" customHeight="true" outlineLevel="0" collapsed="false">
      <c r="A5" s="16" t="s">
        <v>344</v>
      </c>
      <c r="B5" s="16" t="s">
        <v>313</v>
      </c>
      <c r="C5" s="16" t="s">
        <v>345</v>
      </c>
      <c r="D5" s="16" t="s">
        <v>346</v>
      </c>
      <c r="E5" s="16" t="s">
        <v>347</v>
      </c>
      <c r="F5" s="17" t="s">
        <v>196</v>
      </c>
      <c r="G5" s="18" t="n">
        <f aca="false">IFERROR(INDEX('Semrush Data'!$C$2:$C$5000,MATCH(F5,'Semrush Data'!$A$2:$A$5000,0)),"")</f>
        <v>6600</v>
      </c>
      <c r="H5" s="16" t="n">
        <f aca="false">IFERROR(INDEX('Semrush Data'!$D$2:$D$5000,MATCH(F5,'Semrush Data'!$A$2:$A$5000,0)),"")</f>
        <v>26</v>
      </c>
      <c r="I5" s="16" t="s">
        <v>235</v>
      </c>
      <c r="J5" s="18" t="n">
        <f aca="false">IFERROR(INDEX('Semrush Data'!$C$2:$C$5000,MATCH(I5,'Semrush Data'!$A$2:$A$5000,0)),"")</f>
        <v>480</v>
      </c>
      <c r="K5" s="16" t="s">
        <v>348</v>
      </c>
      <c r="L5" s="16" t="s">
        <v>349</v>
      </c>
      <c r="M5" s="16" t="s">
        <v>350</v>
      </c>
      <c r="N5" s="19" t="n">
        <f aca="false">LEN(M5)</f>
        <v>54</v>
      </c>
      <c r="O5" s="20" t="s">
        <v>351</v>
      </c>
      <c r="P5" s="19" t="n">
        <f aca="false">LEN(O5)</f>
        <v>154</v>
      </c>
      <c r="Q5" s="20" t="s">
        <v>352</v>
      </c>
      <c r="R5" s="20"/>
      <c r="S5" s="16" t="s">
        <v>322</v>
      </c>
      <c r="T5" s="20"/>
    </row>
    <row r="6" customFormat="false" ht="23.25" hidden="false" customHeight="true" outlineLevel="0" collapsed="false">
      <c r="A6" s="16" t="s">
        <v>353</v>
      </c>
      <c r="B6" s="16" t="s">
        <v>313</v>
      </c>
      <c r="C6" s="16" t="s">
        <v>354</v>
      </c>
      <c r="D6" s="16" t="s">
        <v>355</v>
      </c>
      <c r="E6" s="16" t="s">
        <v>356</v>
      </c>
      <c r="F6" s="17" t="s">
        <v>203</v>
      </c>
      <c r="G6" s="18" t="n">
        <f aca="false">IFERROR(INDEX('Semrush Data'!$C$2:$C$5000,MATCH(F6,'Semrush Data'!$A$2:$A$5000,0)),"")</f>
        <v>3600</v>
      </c>
      <c r="H6" s="16" t="n">
        <f aca="false">IFERROR(INDEX('Semrush Data'!$D$2:$D$5000,MATCH(F6,'Semrush Data'!$A$2:$A$5000,0)),"")</f>
        <v>24</v>
      </c>
      <c r="I6" s="16" t="s">
        <v>235</v>
      </c>
      <c r="J6" s="18" t="n">
        <f aca="false">IFERROR(INDEX('Semrush Data'!$C$2:$C$5000,MATCH(I6,'Semrush Data'!$A$2:$A$5000,0)),"")</f>
        <v>480</v>
      </c>
      <c r="K6" s="16" t="s">
        <v>357</v>
      </c>
      <c r="L6" s="16" t="s">
        <v>358</v>
      </c>
      <c r="M6" s="16" t="s">
        <v>359</v>
      </c>
      <c r="N6" s="19" t="n">
        <f aca="false">LEN(M6)</f>
        <v>55</v>
      </c>
      <c r="O6" s="20" t="s">
        <v>360</v>
      </c>
      <c r="P6" s="19" t="n">
        <f aca="false">LEN(O6)</f>
        <v>155</v>
      </c>
      <c r="Q6" s="20" t="s">
        <v>361</v>
      </c>
      <c r="R6" s="20"/>
      <c r="S6" s="16" t="s">
        <v>362</v>
      </c>
      <c r="T6" s="20"/>
    </row>
    <row r="7" customFormat="false" ht="57" hidden="false" customHeight="true" outlineLevel="0" collapsed="false">
      <c r="A7" s="16" t="s">
        <v>363</v>
      </c>
      <c r="B7" s="16" t="s">
        <v>313</v>
      </c>
      <c r="C7" s="16" t="s">
        <v>364</v>
      </c>
      <c r="D7" s="16" t="s">
        <v>365</v>
      </c>
      <c r="E7" s="16" t="s">
        <v>316</v>
      </c>
      <c r="F7" s="17" t="s">
        <v>156</v>
      </c>
      <c r="G7" s="18" t="n">
        <f aca="false">IFERROR(INDEX('Semrush Data'!$C$2:$C$5000,MATCH(F7,'Semrush Data'!$A$2:$A$5000,0)),"")</f>
        <v>1600</v>
      </c>
      <c r="H7" s="16" t="n">
        <f aca="false">IFERROR(INDEX('Semrush Data'!$D$2:$D$5000,MATCH(F7,'Semrush Data'!$A$2:$A$5000,0)),"")</f>
        <v>33</v>
      </c>
      <c r="I7" s="16" t="s">
        <v>235</v>
      </c>
      <c r="J7" s="18" t="n">
        <f aca="false">IFERROR(INDEX('Semrush Data'!$C$2:$C$5000,MATCH(I7,'Semrush Data'!$A$2:$A$5000,0)),"")</f>
        <v>480</v>
      </c>
      <c r="K7" s="16" t="s">
        <v>366</v>
      </c>
      <c r="L7" s="16" t="s">
        <v>367</v>
      </c>
      <c r="M7" s="16" t="s">
        <v>368</v>
      </c>
      <c r="N7" s="19" t="n">
        <f aca="false">LEN(M7)</f>
        <v>54</v>
      </c>
      <c r="O7" s="20" t="s">
        <v>369</v>
      </c>
      <c r="P7" s="19" t="n">
        <f aca="false">LEN(O7)</f>
        <v>158</v>
      </c>
      <c r="Q7" s="20" t="s">
        <v>370</v>
      </c>
      <c r="R7" s="20" t="s">
        <v>371</v>
      </c>
      <c r="S7" s="16" t="s">
        <v>322</v>
      </c>
      <c r="T7" s="20"/>
    </row>
    <row r="8" customFormat="false" ht="45.75" hidden="false" customHeight="true" outlineLevel="0" collapsed="false">
      <c r="A8" s="16" t="s">
        <v>372</v>
      </c>
      <c r="B8" s="16" t="s">
        <v>313</v>
      </c>
      <c r="C8" s="16" t="s">
        <v>373</v>
      </c>
      <c r="D8" s="16" t="s">
        <v>374</v>
      </c>
      <c r="E8" s="16" t="s">
        <v>375</v>
      </c>
      <c r="F8" s="17" t="s">
        <v>150</v>
      </c>
      <c r="G8" s="18" t="n">
        <f aca="false">IFERROR(INDEX('Semrush Data'!$C$2:$C$5000,MATCH(F8,'Semrush Data'!$A$2:$A$5000,0)),"")</f>
        <v>2900</v>
      </c>
      <c r="H8" s="16" t="n">
        <f aca="false">IFERROR(INDEX('Semrush Data'!$D$2:$D$5000,MATCH(F8,'Semrush Data'!$A$2:$A$5000,0)),"")</f>
        <v>29</v>
      </c>
      <c r="I8" s="16" t="s">
        <v>235</v>
      </c>
      <c r="J8" s="18" t="n">
        <f aca="false">IFERROR(INDEX('Semrush Data'!$C$2:$C$5000,MATCH(I8,'Semrush Data'!$A$2:$A$5000,0)),"")</f>
        <v>480</v>
      </c>
      <c r="K8" s="16" t="s">
        <v>376</v>
      </c>
      <c r="L8" s="16" t="s">
        <v>377</v>
      </c>
      <c r="M8" s="16" t="s">
        <v>378</v>
      </c>
      <c r="N8" s="19" t="n">
        <f aca="false">LEN(M8)</f>
        <v>58</v>
      </c>
      <c r="O8" s="20" t="s">
        <v>379</v>
      </c>
      <c r="P8" s="19" t="n">
        <f aca="false">LEN(O8)</f>
        <v>148</v>
      </c>
      <c r="Q8" s="20" t="s">
        <v>380</v>
      </c>
      <c r="R8" s="20"/>
      <c r="S8" s="16" t="s">
        <v>322</v>
      </c>
      <c r="T8" s="20" t="s">
        <v>333</v>
      </c>
    </row>
    <row r="9" customFormat="false" ht="23.25" hidden="false" customHeight="true" outlineLevel="0" collapsed="false">
      <c r="A9" s="16" t="s">
        <v>381</v>
      </c>
      <c r="B9" s="16" t="s">
        <v>313</v>
      </c>
      <c r="C9" s="16" t="s">
        <v>382</v>
      </c>
      <c r="D9" s="16" t="s">
        <v>336</v>
      </c>
      <c r="E9" s="16" t="s">
        <v>337</v>
      </c>
      <c r="F9" s="17" t="s">
        <v>220</v>
      </c>
      <c r="G9" s="18" t="n">
        <f aca="false">IFERROR(INDEX('Semrush Data'!$C$2:$C$5000,MATCH(F9,'Semrush Data'!$A$2:$A$5000,0)),"")</f>
        <v>1300</v>
      </c>
      <c r="H9" s="16" t="n">
        <f aca="false">IFERROR(INDEX('Semrush Data'!$D$2:$D$5000,MATCH(F9,'Semrush Data'!$A$2:$A$5000,0)),"")</f>
        <v>19</v>
      </c>
      <c r="I9" s="16" t="s">
        <v>235</v>
      </c>
      <c r="J9" s="18" t="n">
        <f aca="false">IFERROR(INDEX('Semrush Data'!$C$2:$C$5000,MATCH(I9,'Semrush Data'!$A$2:$A$5000,0)),"")</f>
        <v>480</v>
      </c>
      <c r="K9" s="16" t="s">
        <v>338</v>
      </c>
      <c r="L9" s="16" t="s">
        <v>383</v>
      </c>
      <c r="M9" s="16" t="s">
        <v>384</v>
      </c>
      <c r="N9" s="19" t="n">
        <f aca="false">LEN(M9)</f>
        <v>53</v>
      </c>
      <c r="O9" s="20" t="s">
        <v>385</v>
      </c>
      <c r="P9" s="19" t="n">
        <f aca="false">LEN(O9)</f>
        <v>153</v>
      </c>
      <c r="Q9" s="20" t="s">
        <v>386</v>
      </c>
      <c r="R9" s="20"/>
      <c r="S9" s="16" t="s">
        <v>343</v>
      </c>
      <c r="T9" s="20"/>
    </row>
    <row r="10" customFormat="false" ht="45.75" hidden="false" customHeight="true" outlineLevel="0" collapsed="false">
      <c r="A10" s="16" t="s">
        <v>387</v>
      </c>
      <c r="B10" s="16" t="s">
        <v>313</v>
      </c>
      <c r="C10" s="16" t="s">
        <v>388</v>
      </c>
      <c r="D10" s="16" t="s">
        <v>336</v>
      </c>
      <c r="E10" s="16" t="s">
        <v>337</v>
      </c>
      <c r="F10" s="17" t="s">
        <v>220</v>
      </c>
      <c r="G10" s="18" t="n">
        <f aca="false">IFERROR(INDEX('Semrush Data'!$C$2:$C$5000,MATCH(F10,'Semrush Data'!$A$2:$A$5000,0)),"")</f>
        <v>1300</v>
      </c>
      <c r="H10" s="16" t="n">
        <f aca="false">IFERROR(INDEX('Semrush Data'!$D$2:$D$5000,MATCH(F10,'Semrush Data'!$A$2:$A$5000,0)),"")</f>
        <v>19</v>
      </c>
      <c r="I10" s="16" t="s">
        <v>235</v>
      </c>
      <c r="J10" s="18" t="n">
        <f aca="false">IFERROR(INDEX('Semrush Data'!$C$2:$C$5000,MATCH(I10,'Semrush Data'!$A$2:$A$5000,0)),"")</f>
        <v>480</v>
      </c>
      <c r="K10" s="16" t="s">
        <v>338</v>
      </c>
      <c r="L10" s="16" t="s">
        <v>389</v>
      </c>
      <c r="M10" s="16" t="s">
        <v>390</v>
      </c>
      <c r="N10" s="19" t="n">
        <f aca="false">LEN(M10)</f>
        <v>57</v>
      </c>
      <c r="O10" s="20" t="s">
        <v>391</v>
      </c>
      <c r="P10" s="19" t="n">
        <f aca="false">LEN(O10)</f>
        <v>146</v>
      </c>
      <c r="Q10" s="20" t="s">
        <v>392</v>
      </c>
      <c r="R10" s="20" t="s">
        <v>393</v>
      </c>
      <c r="S10" s="16" t="s">
        <v>322</v>
      </c>
      <c r="T10" s="20"/>
    </row>
    <row r="11" customFormat="false" ht="34.5" hidden="false" customHeight="true" outlineLevel="0" collapsed="false">
      <c r="A11" s="16" t="s">
        <v>394</v>
      </c>
      <c r="B11" s="16" t="s">
        <v>313</v>
      </c>
      <c r="C11" s="16" t="s">
        <v>395</v>
      </c>
      <c r="D11" s="16" t="s">
        <v>396</v>
      </c>
      <c r="E11" s="16" t="s">
        <v>397</v>
      </c>
      <c r="F11" s="17" t="s">
        <v>160</v>
      </c>
      <c r="G11" s="18" t="n">
        <f aca="false">IFERROR(INDEX('Semrush Data'!$C$2:$C$5000,MATCH(F11,'Semrush Data'!$A$2:$A$5000,0)),"")</f>
        <v>1000</v>
      </c>
      <c r="H11" s="16" t="n">
        <f aca="false">IFERROR(INDEX('Semrush Data'!$D$2:$D$5000,MATCH(F11,'Semrush Data'!$A$2:$A$5000,0)),"")</f>
        <v>41</v>
      </c>
      <c r="I11" s="16" t="s">
        <v>235</v>
      </c>
      <c r="J11" s="18" t="n">
        <f aca="false">IFERROR(INDEX('Semrush Data'!$C$2:$C$5000,MATCH(I11,'Semrush Data'!$A$2:$A$5000,0)),"")</f>
        <v>480</v>
      </c>
      <c r="K11" s="16" t="s">
        <v>398</v>
      </c>
      <c r="L11" s="16" t="s">
        <v>399</v>
      </c>
      <c r="M11" s="16" t="s">
        <v>400</v>
      </c>
      <c r="N11" s="19" t="n">
        <f aca="false">LEN(M11)</f>
        <v>60</v>
      </c>
      <c r="O11" s="20" t="s">
        <v>401</v>
      </c>
      <c r="P11" s="19" t="n">
        <f aca="false">LEN(O11)</f>
        <v>157</v>
      </c>
      <c r="Q11" s="20" t="s">
        <v>402</v>
      </c>
      <c r="R11" s="20" t="s">
        <v>403</v>
      </c>
      <c r="S11" s="16" t="s">
        <v>343</v>
      </c>
      <c r="T11" s="20"/>
    </row>
    <row r="12" customFormat="false" ht="23.25" hidden="false" customHeight="true" outlineLevel="0" collapsed="false">
      <c r="A12" s="16" t="s">
        <v>404</v>
      </c>
      <c r="B12" s="16" t="s">
        <v>313</v>
      </c>
      <c r="C12" s="16" t="s">
        <v>405</v>
      </c>
      <c r="D12" s="16" t="s">
        <v>336</v>
      </c>
      <c r="E12" s="16" t="s">
        <v>337</v>
      </c>
      <c r="F12" s="17" t="s">
        <v>220</v>
      </c>
      <c r="G12" s="18" t="n">
        <f aca="false">IFERROR(INDEX('Semrush Data'!$C$2:$C$5000,MATCH(F12,'Semrush Data'!$A$2:$A$5000,0)),"")</f>
        <v>1300</v>
      </c>
      <c r="H12" s="16" t="n">
        <f aca="false">IFERROR(INDEX('Semrush Data'!$D$2:$D$5000,MATCH(F12,'Semrush Data'!$A$2:$A$5000,0)),"")</f>
        <v>19</v>
      </c>
      <c r="I12" s="16" t="s">
        <v>235</v>
      </c>
      <c r="J12" s="18" t="n">
        <f aca="false">IFERROR(INDEX('Semrush Data'!$C$2:$C$5000,MATCH(I12,'Semrush Data'!$A$2:$A$5000,0)),"")</f>
        <v>480</v>
      </c>
      <c r="K12" s="16" t="s">
        <v>338</v>
      </c>
      <c r="L12" s="16" t="s">
        <v>406</v>
      </c>
      <c r="M12" s="16" t="s">
        <v>407</v>
      </c>
      <c r="N12" s="19" t="n">
        <f aca="false">LEN(M12)</f>
        <v>60</v>
      </c>
      <c r="O12" s="20" t="s">
        <v>408</v>
      </c>
      <c r="P12" s="19" t="n">
        <f aca="false">LEN(O12)</f>
        <v>149</v>
      </c>
      <c r="Q12" s="20" t="s">
        <v>409</v>
      </c>
      <c r="R12" s="20"/>
      <c r="S12" s="16" t="s">
        <v>343</v>
      </c>
      <c r="T12" s="20"/>
    </row>
    <row r="13" customFormat="false" ht="34.5" hidden="false" customHeight="true" outlineLevel="0" collapsed="false">
      <c r="A13" s="16" t="s">
        <v>410</v>
      </c>
      <c r="B13" s="16" t="s">
        <v>313</v>
      </c>
      <c r="C13" s="16" t="s">
        <v>411</v>
      </c>
      <c r="D13" s="16" t="s">
        <v>412</v>
      </c>
      <c r="E13" s="16" t="s">
        <v>413</v>
      </c>
      <c r="F13" s="17" t="s">
        <v>153</v>
      </c>
      <c r="G13" s="18" t="n">
        <f aca="false">IFERROR(INDEX('Semrush Data'!$C$2:$C$5000,MATCH(F13,'Semrush Data'!$A$2:$A$5000,0)),"")</f>
        <v>2400</v>
      </c>
      <c r="H13" s="16" t="n">
        <f aca="false">IFERROR(INDEX('Semrush Data'!$D$2:$D$5000,MATCH(F13,'Semrush Data'!$A$2:$A$5000,0)),"")</f>
        <v>13</v>
      </c>
      <c r="I13" s="16" t="s">
        <v>235</v>
      </c>
      <c r="J13" s="18" t="n">
        <f aca="false">IFERROR(INDEX('Semrush Data'!$C$2:$C$5000,MATCH(I13,'Semrush Data'!$A$2:$A$5000,0)),"")</f>
        <v>480</v>
      </c>
      <c r="K13" s="16" t="s">
        <v>414</v>
      </c>
      <c r="L13" s="16" t="s">
        <v>415</v>
      </c>
      <c r="M13" s="16" t="s">
        <v>416</v>
      </c>
      <c r="N13" s="19" t="n">
        <f aca="false">LEN(M13)</f>
        <v>60</v>
      </c>
      <c r="O13" s="20" t="s">
        <v>417</v>
      </c>
      <c r="P13" s="19" t="n">
        <f aca="false">LEN(O13)</f>
        <v>157</v>
      </c>
      <c r="Q13" s="20" t="s">
        <v>418</v>
      </c>
      <c r="R13" s="20" t="s">
        <v>419</v>
      </c>
      <c r="S13" s="16" t="s">
        <v>362</v>
      </c>
      <c r="T13" s="20" t="s">
        <v>333</v>
      </c>
    </row>
    <row r="14" customFormat="false" ht="34.5" hidden="false" customHeight="true" outlineLevel="0" collapsed="false">
      <c r="A14" s="16" t="s">
        <v>420</v>
      </c>
      <c r="B14" s="16" t="s">
        <v>313</v>
      </c>
      <c r="C14" s="16" t="s">
        <v>421</v>
      </c>
      <c r="D14" s="16" t="s">
        <v>422</v>
      </c>
      <c r="E14" s="16" t="s">
        <v>375</v>
      </c>
      <c r="F14" s="17" t="s">
        <v>204</v>
      </c>
      <c r="G14" s="18" t="n">
        <f aca="false">IFERROR(INDEX('Semrush Data'!$C$2:$C$5000,MATCH(F14,'Semrush Data'!$A$2:$A$5000,0)),"")</f>
        <v>3600</v>
      </c>
      <c r="H14" s="16" t="n">
        <f aca="false">IFERROR(INDEX('Semrush Data'!$D$2:$D$5000,MATCH(F14,'Semrush Data'!$A$2:$A$5000,0)),"")</f>
        <v>21</v>
      </c>
      <c r="I14" s="16" t="s">
        <v>235</v>
      </c>
      <c r="J14" s="18" t="n">
        <f aca="false">IFERROR(INDEX('Semrush Data'!$C$2:$C$5000,MATCH(I14,'Semrush Data'!$A$2:$A$5000,0)),"")</f>
        <v>480</v>
      </c>
      <c r="K14" s="16" t="s">
        <v>423</v>
      </c>
      <c r="L14" s="16" t="s">
        <v>424</v>
      </c>
      <c r="M14" s="16" t="s">
        <v>425</v>
      </c>
      <c r="N14" s="19" t="n">
        <f aca="false">LEN(M14)</f>
        <v>53</v>
      </c>
      <c r="O14" s="20" t="s">
        <v>426</v>
      </c>
      <c r="P14" s="19" t="n">
        <f aca="false">LEN(O14)</f>
        <v>142</v>
      </c>
      <c r="Q14" s="20" t="s">
        <v>427</v>
      </c>
      <c r="R14" s="20" t="s">
        <v>428</v>
      </c>
      <c r="S14" s="16" t="s">
        <v>322</v>
      </c>
      <c r="T14" s="20" t="s">
        <v>333</v>
      </c>
    </row>
    <row r="15" customFormat="false" ht="45.75" hidden="false" customHeight="true" outlineLevel="0" collapsed="false">
      <c r="A15" s="16" t="s">
        <v>429</v>
      </c>
      <c r="B15" s="16" t="s">
        <v>313</v>
      </c>
      <c r="C15" s="16" t="s">
        <v>430</v>
      </c>
      <c r="D15" s="16" t="s">
        <v>365</v>
      </c>
      <c r="E15" s="16" t="s">
        <v>316</v>
      </c>
      <c r="F15" s="17" t="s">
        <v>156</v>
      </c>
      <c r="G15" s="18" t="n">
        <f aca="false">IFERROR(INDEX('Semrush Data'!$C$2:$C$5000,MATCH(F15,'Semrush Data'!$A$2:$A$5000,0)),"")</f>
        <v>1600</v>
      </c>
      <c r="H15" s="16" t="n">
        <f aca="false">IFERROR(INDEX('Semrush Data'!$D$2:$D$5000,MATCH(F15,'Semrush Data'!$A$2:$A$5000,0)),"")</f>
        <v>33</v>
      </c>
      <c r="I15" s="16" t="s">
        <v>235</v>
      </c>
      <c r="J15" s="18" t="n">
        <f aca="false">IFERROR(INDEX('Semrush Data'!$C$2:$C$5000,MATCH(I15,'Semrush Data'!$A$2:$A$5000,0)),"")</f>
        <v>480</v>
      </c>
      <c r="K15" s="16" t="s">
        <v>366</v>
      </c>
      <c r="L15" s="16" t="s">
        <v>431</v>
      </c>
      <c r="M15" s="16" t="s">
        <v>432</v>
      </c>
      <c r="N15" s="19" t="n">
        <f aca="false">LEN(M15)</f>
        <v>52</v>
      </c>
      <c r="O15" s="20" t="s">
        <v>433</v>
      </c>
      <c r="P15" s="19" t="n">
        <f aca="false">LEN(O15)</f>
        <v>160</v>
      </c>
      <c r="Q15" s="20" t="s">
        <v>434</v>
      </c>
      <c r="R15" s="20" t="s">
        <v>435</v>
      </c>
      <c r="S15" s="16" t="s">
        <v>322</v>
      </c>
      <c r="T15" s="20"/>
    </row>
    <row r="16" customFormat="false" ht="45.75" hidden="false" customHeight="true" outlineLevel="0" collapsed="false">
      <c r="A16" s="16" t="s">
        <v>436</v>
      </c>
      <c r="B16" s="16" t="s">
        <v>313</v>
      </c>
      <c r="C16" s="16" t="s">
        <v>437</v>
      </c>
      <c r="D16" s="16" t="s">
        <v>396</v>
      </c>
      <c r="E16" s="16" t="s">
        <v>397</v>
      </c>
      <c r="F16" s="17" t="s">
        <v>160</v>
      </c>
      <c r="G16" s="18" t="n">
        <f aca="false">IFERROR(INDEX('Semrush Data'!$C$2:$C$5000,MATCH(F16,'Semrush Data'!$A$2:$A$5000,0)),"")</f>
        <v>1000</v>
      </c>
      <c r="H16" s="16" t="n">
        <f aca="false">IFERROR(INDEX('Semrush Data'!$D$2:$D$5000,MATCH(F16,'Semrush Data'!$A$2:$A$5000,0)),"")</f>
        <v>41</v>
      </c>
      <c r="I16" s="16" t="s">
        <v>235</v>
      </c>
      <c r="J16" s="18" t="n">
        <f aca="false">IFERROR(INDEX('Semrush Data'!$C$2:$C$5000,MATCH(I16,'Semrush Data'!$A$2:$A$5000,0)),"")</f>
        <v>480</v>
      </c>
      <c r="K16" s="16" t="s">
        <v>398</v>
      </c>
      <c r="L16" s="16" t="s">
        <v>438</v>
      </c>
      <c r="M16" s="16" t="s">
        <v>439</v>
      </c>
      <c r="N16" s="19" t="n">
        <f aca="false">LEN(M16)</f>
        <v>58</v>
      </c>
      <c r="O16" s="20" t="s">
        <v>440</v>
      </c>
      <c r="P16" s="19" t="n">
        <f aca="false">LEN(O16)</f>
        <v>155</v>
      </c>
      <c r="Q16" s="20" t="s">
        <v>441</v>
      </c>
      <c r="R16" s="20" t="s">
        <v>442</v>
      </c>
      <c r="S16" s="16" t="s">
        <v>322</v>
      </c>
      <c r="T16" s="20" t="s">
        <v>333</v>
      </c>
    </row>
    <row r="17" customFormat="false" ht="45.75" hidden="false" customHeight="true" outlineLevel="0" collapsed="false">
      <c r="A17" s="16" t="s">
        <v>443</v>
      </c>
      <c r="B17" s="16" t="s">
        <v>313</v>
      </c>
      <c r="C17" s="16" t="s">
        <v>444</v>
      </c>
      <c r="D17" s="16" t="s">
        <v>445</v>
      </c>
      <c r="E17" s="16" t="s">
        <v>375</v>
      </c>
      <c r="F17" s="17" t="s">
        <v>158</v>
      </c>
      <c r="G17" s="18" t="n">
        <f aca="false">IFERROR(INDEX('Semrush Data'!$C$2:$C$5000,MATCH(F17,'Semrush Data'!$A$2:$A$5000,0)),"")</f>
        <v>1300</v>
      </c>
      <c r="H17" s="16" t="n">
        <f aca="false">IFERROR(INDEX('Semrush Data'!$D$2:$D$5000,MATCH(F17,'Semrush Data'!$A$2:$A$5000,0)),"")</f>
        <v>11</v>
      </c>
      <c r="I17" s="16" t="s">
        <v>235</v>
      </c>
      <c r="J17" s="18" t="n">
        <f aca="false">IFERROR(INDEX('Semrush Data'!$C$2:$C$5000,MATCH(I17,'Semrush Data'!$A$2:$A$5000,0)),"")</f>
        <v>480</v>
      </c>
      <c r="K17" s="16" t="s">
        <v>446</v>
      </c>
      <c r="L17" s="16" t="s">
        <v>447</v>
      </c>
      <c r="M17" s="16" t="s">
        <v>448</v>
      </c>
      <c r="N17" s="19" t="n">
        <f aca="false">LEN(M17)</f>
        <v>50</v>
      </c>
      <c r="O17" s="20" t="s">
        <v>449</v>
      </c>
      <c r="P17" s="19" t="n">
        <f aca="false">LEN(O17)</f>
        <v>158</v>
      </c>
      <c r="Q17" s="20" t="s">
        <v>450</v>
      </c>
      <c r="R17" s="20" t="s">
        <v>451</v>
      </c>
      <c r="S17" s="16" t="s">
        <v>322</v>
      </c>
      <c r="T17" s="20"/>
    </row>
    <row r="18" customFormat="false" ht="45.75" hidden="false" customHeight="true" outlineLevel="0" collapsed="false">
      <c r="A18" s="16" t="s">
        <v>452</v>
      </c>
      <c r="B18" s="16" t="s">
        <v>313</v>
      </c>
      <c r="C18" s="16" t="s">
        <v>453</v>
      </c>
      <c r="D18" s="16" t="s">
        <v>315</v>
      </c>
      <c r="E18" s="16" t="s">
        <v>375</v>
      </c>
      <c r="F18" s="17" t="s">
        <v>164</v>
      </c>
      <c r="G18" s="18" t="n">
        <f aca="false">IFERROR(INDEX('Semrush Data'!$C$2:$C$5000,MATCH(F18,'Semrush Data'!$A$2:$A$5000,0)),"")</f>
        <v>720</v>
      </c>
      <c r="H18" s="16" t="n">
        <f aca="false">IFERROR(INDEX('Semrush Data'!$D$2:$D$5000,MATCH(F18,'Semrush Data'!$A$2:$A$5000,0)),"")</f>
        <v>16</v>
      </c>
      <c r="I18" s="16" t="s">
        <v>235</v>
      </c>
      <c r="J18" s="18" t="n">
        <f aca="false">IFERROR(INDEX('Semrush Data'!$C$2:$C$5000,MATCH(I18,'Semrush Data'!$A$2:$A$5000,0)),"")</f>
        <v>480</v>
      </c>
      <c r="K18" s="16" t="s">
        <v>317</v>
      </c>
      <c r="L18" s="16" t="s">
        <v>454</v>
      </c>
      <c r="M18" s="16" t="s">
        <v>455</v>
      </c>
      <c r="N18" s="19" t="n">
        <f aca="false">LEN(M18)</f>
        <v>54</v>
      </c>
      <c r="O18" s="20" t="s">
        <v>456</v>
      </c>
      <c r="P18" s="19" t="n">
        <f aca="false">LEN(O18)</f>
        <v>151</v>
      </c>
      <c r="Q18" s="20" t="s">
        <v>457</v>
      </c>
      <c r="R18" s="20" t="s">
        <v>458</v>
      </c>
      <c r="S18" s="16" t="s">
        <v>322</v>
      </c>
      <c r="T18" s="20" t="s">
        <v>333</v>
      </c>
    </row>
    <row r="19" customFormat="false" ht="45.75" hidden="false" customHeight="true" outlineLevel="0" collapsed="false">
      <c r="A19" s="16" t="s">
        <v>459</v>
      </c>
      <c r="B19" s="16" t="s">
        <v>313</v>
      </c>
      <c r="C19" s="16" t="s">
        <v>460</v>
      </c>
      <c r="D19" s="16" t="s">
        <v>461</v>
      </c>
      <c r="E19" s="16" t="s">
        <v>316</v>
      </c>
      <c r="F19" s="17" t="s">
        <v>188</v>
      </c>
      <c r="G19" s="18" t="n">
        <f aca="false">IFERROR(INDEX('Semrush Data'!$C$2:$C$5000,MATCH(F19,'Semrush Data'!$A$2:$A$5000,0)),"")</f>
        <v>22200</v>
      </c>
      <c r="H19" s="16" t="n">
        <f aca="false">IFERROR(INDEX('Semrush Data'!$D$2:$D$5000,MATCH(F19,'Semrush Data'!$A$2:$A$5000,0)),"")</f>
        <v>30</v>
      </c>
      <c r="I19" s="16" t="s">
        <v>235</v>
      </c>
      <c r="J19" s="18" t="n">
        <f aca="false">IFERROR(INDEX('Semrush Data'!$C$2:$C$5000,MATCH(I19,'Semrush Data'!$A$2:$A$5000,0)),"")</f>
        <v>480</v>
      </c>
      <c r="K19" s="16" t="s">
        <v>462</v>
      </c>
      <c r="L19" s="16" t="s">
        <v>463</v>
      </c>
      <c r="M19" s="16" t="s">
        <v>464</v>
      </c>
      <c r="N19" s="19" t="n">
        <f aca="false">LEN(M19)</f>
        <v>32</v>
      </c>
      <c r="O19" s="20" t="s">
        <v>465</v>
      </c>
      <c r="P19" s="19" t="n">
        <f aca="false">LEN(O19)</f>
        <v>140</v>
      </c>
      <c r="Q19" s="20" t="s">
        <v>466</v>
      </c>
      <c r="R19" s="20" t="s">
        <v>467</v>
      </c>
      <c r="S19" s="16" t="s">
        <v>322</v>
      </c>
      <c r="T19" s="20"/>
    </row>
    <row r="20" customFormat="false" ht="23.25" hidden="false" customHeight="true" outlineLevel="0" collapsed="false">
      <c r="A20" s="16" t="s">
        <v>468</v>
      </c>
      <c r="B20" s="16" t="s">
        <v>313</v>
      </c>
      <c r="C20" s="16" t="s">
        <v>469</v>
      </c>
      <c r="D20" s="16" t="s">
        <v>461</v>
      </c>
      <c r="E20" s="16" t="s">
        <v>316</v>
      </c>
      <c r="F20" s="17" t="s">
        <v>188</v>
      </c>
      <c r="G20" s="18" t="n">
        <f aca="false">IFERROR(INDEX('Semrush Data'!$C$2:$C$5000,MATCH(F20,'Semrush Data'!$A$2:$A$5000,0)),"")</f>
        <v>22200</v>
      </c>
      <c r="H20" s="16" t="n">
        <f aca="false">IFERROR(INDEX('Semrush Data'!$D$2:$D$5000,MATCH(F20,'Semrush Data'!$A$2:$A$5000,0)),"")</f>
        <v>30</v>
      </c>
      <c r="I20" s="16" t="s">
        <v>235</v>
      </c>
      <c r="J20" s="18" t="n">
        <f aca="false">IFERROR(INDEX('Semrush Data'!$C$2:$C$5000,MATCH(I20,'Semrush Data'!$A$2:$A$5000,0)),"")</f>
        <v>480</v>
      </c>
      <c r="K20" s="16" t="s">
        <v>462</v>
      </c>
      <c r="L20" s="16" t="s">
        <v>470</v>
      </c>
      <c r="M20" s="16" t="s">
        <v>471</v>
      </c>
      <c r="N20" s="19" t="n">
        <f aca="false">LEN(M20)</f>
        <v>37</v>
      </c>
      <c r="O20" s="20" t="s">
        <v>472</v>
      </c>
      <c r="P20" s="19" t="n">
        <f aca="false">LEN(O20)</f>
        <v>145</v>
      </c>
      <c r="Q20" s="20" t="s">
        <v>473</v>
      </c>
      <c r="R20" s="20"/>
      <c r="S20" s="16" t="s">
        <v>343</v>
      </c>
      <c r="T20" s="20"/>
    </row>
    <row r="21" customFormat="false" ht="45.75" hidden="false" customHeight="true" outlineLevel="0" collapsed="false">
      <c r="A21" s="16" t="s">
        <v>474</v>
      </c>
      <c r="B21" s="16" t="s">
        <v>313</v>
      </c>
      <c r="C21" s="16" t="s">
        <v>475</v>
      </c>
      <c r="D21" s="16" t="s">
        <v>374</v>
      </c>
      <c r="E21" s="16" t="s">
        <v>316</v>
      </c>
      <c r="F21" s="17" t="s">
        <v>190</v>
      </c>
      <c r="G21" s="18" t="n">
        <f aca="false">IFERROR(INDEX('Semrush Data'!$C$2:$C$5000,MATCH(F21,'Semrush Data'!$A$2:$A$5000,0)),"")</f>
        <v>18100</v>
      </c>
      <c r="H21" s="16" t="n">
        <f aca="false">IFERROR(INDEX('Semrush Data'!$D$2:$D$5000,MATCH(F21,'Semrush Data'!$A$2:$A$5000,0)),"")</f>
        <v>16</v>
      </c>
      <c r="I21" s="16" t="s">
        <v>235</v>
      </c>
      <c r="J21" s="18" t="n">
        <f aca="false">IFERROR(INDEX('Semrush Data'!$C$2:$C$5000,MATCH(I21,'Semrush Data'!$A$2:$A$5000,0)),"")</f>
        <v>480</v>
      </c>
      <c r="K21" s="16" t="s">
        <v>376</v>
      </c>
      <c r="L21" s="16" t="s">
        <v>476</v>
      </c>
      <c r="M21" s="16" t="s">
        <v>477</v>
      </c>
      <c r="N21" s="19" t="n">
        <f aca="false">LEN(M21)</f>
        <v>36</v>
      </c>
      <c r="O21" s="20" t="s">
        <v>478</v>
      </c>
      <c r="P21" s="19" t="n">
        <f aca="false">LEN(O21)</f>
        <v>144</v>
      </c>
      <c r="Q21" s="20" t="s">
        <v>479</v>
      </c>
      <c r="R21" s="20" t="s">
        <v>480</v>
      </c>
      <c r="S21" s="16" t="s">
        <v>322</v>
      </c>
      <c r="T21" s="20" t="s">
        <v>333</v>
      </c>
    </row>
    <row r="22" customFormat="false" ht="45.75" hidden="false" customHeight="true" outlineLevel="0" collapsed="false">
      <c r="A22" s="16" t="s">
        <v>481</v>
      </c>
      <c r="B22" s="16" t="s">
        <v>313</v>
      </c>
      <c r="C22" s="16" t="s">
        <v>482</v>
      </c>
      <c r="D22" s="16" t="s">
        <v>325</v>
      </c>
      <c r="E22" s="16" t="s">
        <v>483</v>
      </c>
      <c r="F22" s="17" t="s">
        <v>199</v>
      </c>
      <c r="G22" s="18" t="n">
        <f aca="false">IFERROR(INDEX('Semrush Data'!$C$2:$C$5000,MATCH(F22,'Semrush Data'!$A$2:$A$5000,0)),"")</f>
        <v>5400</v>
      </c>
      <c r="H22" s="16" t="n">
        <f aca="false">IFERROR(INDEX('Semrush Data'!$D$2:$D$5000,MATCH(F22,'Semrush Data'!$A$2:$A$5000,0)),"")</f>
        <v>21</v>
      </c>
      <c r="I22" s="16" t="s">
        <v>235</v>
      </c>
      <c r="J22" s="18" t="n">
        <f aca="false">IFERROR(INDEX('Semrush Data'!$C$2:$C$5000,MATCH(I22,'Semrush Data'!$A$2:$A$5000,0)),"")</f>
        <v>480</v>
      </c>
      <c r="K22" s="16" t="s">
        <v>327</v>
      </c>
      <c r="L22" s="16" t="s">
        <v>484</v>
      </c>
      <c r="M22" s="16" t="s">
        <v>485</v>
      </c>
      <c r="N22" s="19" t="n">
        <f aca="false">LEN(M22)</f>
        <v>58</v>
      </c>
      <c r="O22" s="20" t="s">
        <v>486</v>
      </c>
      <c r="P22" s="19" t="n">
        <f aca="false">LEN(O22)</f>
        <v>155</v>
      </c>
      <c r="Q22" s="20" t="s">
        <v>487</v>
      </c>
      <c r="R22" s="20" t="s">
        <v>488</v>
      </c>
      <c r="S22" s="16" t="s">
        <v>322</v>
      </c>
      <c r="T22" s="20" t="s">
        <v>333</v>
      </c>
    </row>
    <row r="23" customFormat="false" ht="45.75" hidden="false" customHeight="true" outlineLevel="0" collapsed="false">
      <c r="A23" s="16" t="s">
        <v>489</v>
      </c>
      <c r="B23" s="16" t="s">
        <v>313</v>
      </c>
      <c r="C23" s="16" t="s">
        <v>490</v>
      </c>
      <c r="D23" s="16" t="s">
        <v>491</v>
      </c>
      <c r="E23" s="16" t="s">
        <v>492</v>
      </c>
      <c r="F23" s="17" t="s">
        <v>159</v>
      </c>
      <c r="G23" s="18" t="n">
        <f aca="false">IFERROR(INDEX('Semrush Data'!$C$2:$C$5000,MATCH(F23,'Semrush Data'!$A$2:$A$5000,0)),"")</f>
        <v>1000</v>
      </c>
      <c r="H23" s="16" t="n">
        <f aca="false">IFERROR(INDEX('Semrush Data'!$D$2:$D$5000,MATCH(F23,'Semrush Data'!$A$2:$A$5000,0)),"")</f>
        <v>27</v>
      </c>
      <c r="I23" s="16" t="s">
        <v>235</v>
      </c>
      <c r="J23" s="18" t="n">
        <f aca="false">IFERROR(INDEX('Semrush Data'!$C$2:$C$5000,MATCH(I23,'Semrush Data'!$A$2:$A$5000,0)),"")</f>
        <v>480</v>
      </c>
      <c r="K23" s="16" t="s">
        <v>493</v>
      </c>
      <c r="L23" s="16" t="s">
        <v>494</v>
      </c>
      <c r="M23" s="16" t="s">
        <v>495</v>
      </c>
      <c r="N23" s="19" t="n">
        <f aca="false">LEN(M23)</f>
        <v>57</v>
      </c>
      <c r="O23" s="20" t="s">
        <v>496</v>
      </c>
      <c r="P23" s="19" t="n">
        <f aca="false">LEN(O23)</f>
        <v>147</v>
      </c>
      <c r="Q23" s="20" t="s">
        <v>497</v>
      </c>
      <c r="R23" s="20" t="s">
        <v>498</v>
      </c>
      <c r="S23" s="16" t="s">
        <v>322</v>
      </c>
      <c r="T23" s="20" t="s">
        <v>333</v>
      </c>
    </row>
    <row r="24" customFormat="false" ht="45.75" hidden="false" customHeight="true" outlineLevel="0" collapsed="false">
      <c r="A24" s="16" t="s">
        <v>499</v>
      </c>
      <c r="B24" s="16" t="s">
        <v>313</v>
      </c>
      <c r="C24" s="16" t="s">
        <v>500</v>
      </c>
      <c r="D24" s="16" t="s">
        <v>501</v>
      </c>
      <c r="E24" s="16" t="s">
        <v>502</v>
      </c>
      <c r="F24" s="17" t="s">
        <v>193</v>
      </c>
      <c r="G24" s="18" t="n">
        <f aca="false">IFERROR(INDEX('Semrush Data'!$C$2:$C$5000,MATCH(F24,'Semrush Data'!$A$2:$A$5000,0)),"")</f>
        <v>9900</v>
      </c>
      <c r="H24" s="16" t="n">
        <f aca="false">IFERROR(INDEX('Semrush Data'!$D$2:$D$5000,MATCH(F24,'Semrush Data'!$A$2:$A$5000,0)),"")</f>
        <v>30</v>
      </c>
      <c r="I24" s="16" t="s">
        <v>235</v>
      </c>
      <c r="J24" s="18" t="n">
        <f aca="false">IFERROR(INDEX('Semrush Data'!$C$2:$C$5000,MATCH(I24,'Semrush Data'!$A$2:$A$5000,0)),"")</f>
        <v>480</v>
      </c>
      <c r="K24" s="16" t="s">
        <v>503</v>
      </c>
      <c r="L24" s="16" t="s">
        <v>504</v>
      </c>
      <c r="M24" s="16" t="s">
        <v>505</v>
      </c>
      <c r="N24" s="19" t="n">
        <f aca="false">LEN(M24)</f>
        <v>50</v>
      </c>
      <c r="O24" s="20" t="s">
        <v>506</v>
      </c>
      <c r="P24" s="19" t="n">
        <f aca="false">LEN(O24)</f>
        <v>147</v>
      </c>
      <c r="Q24" s="20" t="s">
        <v>507</v>
      </c>
      <c r="R24" s="20" t="s">
        <v>508</v>
      </c>
      <c r="S24" s="16" t="s">
        <v>322</v>
      </c>
      <c r="T24" s="20"/>
    </row>
    <row r="25" customFormat="false" ht="23.25" hidden="false" customHeight="true" outlineLevel="0" collapsed="false">
      <c r="A25" s="16" t="s">
        <v>509</v>
      </c>
      <c r="B25" s="16" t="s">
        <v>313</v>
      </c>
      <c r="C25" s="16" t="s">
        <v>510</v>
      </c>
      <c r="D25" s="16" t="s">
        <v>461</v>
      </c>
      <c r="E25" s="16" t="s">
        <v>511</v>
      </c>
      <c r="F25" s="17" t="s">
        <v>170</v>
      </c>
      <c r="G25" s="18" t="n">
        <f aca="false">IFERROR(INDEX('Semrush Data'!$C$2:$C$5000,MATCH(F25,'Semrush Data'!$A$2:$A$5000,0)),"")</f>
        <v>210</v>
      </c>
      <c r="H25" s="16" t="n">
        <f aca="false">IFERROR(INDEX('Semrush Data'!$D$2:$D$5000,MATCH(F25,'Semrush Data'!$A$2:$A$5000,0)),"")</f>
        <v>20</v>
      </c>
      <c r="I25" s="16" t="s">
        <v>235</v>
      </c>
      <c r="J25" s="18" t="n">
        <f aca="false">IFERROR(INDEX('Semrush Data'!$C$2:$C$5000,MATCH(I25,'Semrush Data'!$A$2:$A$5000,0)),"")</f>
        <v>480</v>
      </c>
      <c r="K25" s="16" t="s">
        <v>512</v>
      </c>
      <c r="L25" s="16" t="s">
        <v>513</v>
      </c>
      <c r="M25" s="16" t="s">
        <v>514</v>
      </c>
      <c r="N25" s="19" t="n">
        <f aca="false">LEN(M25)</f>
        <v>50</v>
      </c>
      <c r="O25" s="20" t="s">
        <v>515</v>
      </c>
      <c r="P25" s="19" t="n">
        <f aca="false">LEN(O25)</f>
        <v>158</v>
      </c>
      <c r="Q25" s="20" t="s">
        <v>516</v>
      </c>
      <c r="R25" s="20"/>
      <c r="S25" s="16" t="s">
        <v>343</v>
      </c>
      <c r="T25" s="20"/>
    </row>
    <row r="26" customFormat="false" ht="45.75" hidden="false" customHeight="true" outlineLevel="0" collapsed="false">
      <c r="A26" s="16" t="s">
        <v>517</v>
      </c>
      <c r="B26" s="16" t="s">
        <v>313</v>
      </c>
      <c r="C26" s="16" t="s">
        <v>518</v>
      </c>
      <c r="D26" s="16" t="s">
        <v>445</v>
      </c>
      <c r="E26" s="16" t="s">
        <v>375</v>
      </c>
      <c r="F26" s="17" t="s">
        <v>158</v>
      </c>
      <c r="G26" s="18" t="n">
        <f aca="false">IFERROR(INDEX('Semrush Data'!$C$2:$C$5000,MATCH(F26,'Semrush Data'!$A$2:$A$5000,0)),"")</f>
        <v>1300</v>
      </c>
      <c r="H26" s="16" t="n">
        <f aca="false">IFERROR(INDEX('Semrush Data'!$D$2:$D$5000,MATCH(F26,'Semrush Data'!$A$2:$A$5000,0)),"")</f>
        <v>11</v>
      </c>
      <c r="I26" s="16" t="s">
        <v>235</v>
      </c>
      <c r="J26" s="18" t="n">
        <f aca="false">IFERROR(INDEX('Semrush Data'!$C$2:$C$5000,MATCH(I26,'Semrush Data'!$A$2:$A$5000,0)),"")</f>
        <v>480</v>
      </c>
      <c r="K26" s="16" t="s">
        <v>446</v>
      </c>
      <c r="L26" s="16" t="s">
        <v>519</v>
      </c>
      <c r="M26" s="16" t="s">
        <v>520</v>
      </c>
      <c r="N26" s="19" t="n">
        <f aca="false">LEN(M26)</f>
        <v>58</v>
      </c>
      <c r="O26" s="20" t="s">
        <v>521</v>
      </c>
      <c r="P26" s="19" t="n">
        <f aca="false">LEN(O26)</f>
        <v>148</v>
      </c>
      <c r="Q26" s="20" t="s">
        <v>522</v>
      </c>
      <c r="R26" s="20"/>
      <c r="S26" s="16" t="s">
        <v>322</v>
      </c>
      <c r="T26" s="20" t="s">
        <v>333</v>
      </c>
    </row>
    <row r="27" customFormat="false" ht="45.75" hidden="false" customHeight="true" outlineLevel="0" collapsed="false">
      <c r="A27" s="16" t="s">
        <v>523</v>
      </c>
      <c r="B27" s="16" t="s">
        <v>313</v>
      </c>
      <c r="C27" s="16" t="s">
        <v>524</v>
      </c>
      <c r="D27" s="16" t="s">
        <v>525</v>
      </c>
      <c r="E27" s="16" t="s">
        <v>526</v>
      </c>
      <c r="F27" s="17" t="s">
        <v>192</v>
      </c>
      <c r="G27" s="18" t="n">
        <f aca="false">IFERROR(INDEX('Semrush Data'!$C$2:$C$5000,MATCH(F27,'Semrush Data'!$A$2:$A$5000,0)),"")</f>
        <v>12100</v>
      </c>
      <c r="H27" s="16" t="n">
        <f aca="false">IFERROR(INDEX('Semrush Data'!$D$2:$D$5000,MATCH(F27,'Semrush Data'!$A$2:$A$5000,0)),"")</f>
        <v>18</v>
      </c>
      <c r="I27" s="16" t="s">
        <v>235</v>
      </c>
      <c r="J27" s="18" t="n">
        <f aca="false">IFERROR(INDEX('Semrush Data'!$C$2:$C$5000,MATCH(I27,'Semrush Data'!$A$2:$A$5000,0)),"")</f>
        <v>480</v>
      </c>
      <c r="K27" s="16" t="s">
        <v>527</v>
      </c>
      <c r="L27" s="16" t="s">
        <v>528</v>
      </c>
      <c r="M27" s="16" t="s">
        <v>529</v>
      </c>
      <c r="N27" s="19" t="n">
        <f aca="false">LEN(M27)</f>
        <v>57</v>
      </c>
      <c r="O27" s="20" t="s">
        <v>530</v>
      </c>
      <c r="P27" s="19" t="n">
        <f aca="false">LEN(O27)</f>
        <v>154</v>
      </c>
      <c r="Q27" s="20" t="s">
        <v>531</v>
      </c>
      <c r="R27" s="20"/>
      <c r="S27" s="16" t="s">
        <v>322</v>
      </c>
      <c r="T27" s="20" t="s">
        <v>333</v>
      </c>
    </row>
    <row r="28" customFormat="false" ht="23.25" hidden="false" customHeight="true" outlineLevel="0" collapsed="false">
      <c r="A28" s="16" t="s">
        <v>532</v>
      </c>
      <c r="B28" s="16" t="s">
        <v>313</v>
      </c>
      <c r="C28" s="16" t="s">
        <v>533</v>
      </c>
      <c r="D28" s="16" t="s">
        <v>365</v>
      </c>
      <c r="E28" s="16" t="s">
        <v>316</v>
      </c>
      <c r="F28" s="17" t="s">
        <v>155</v>
      </c>
      <c r="G28" s="18" t="n">
        <f aca="false">IFERROR(INDEX('Semrush Data'!$C$2:$C$5000,MATCH(F28,'Semrush Data'!$A$2:$A$5000,0)),"")</f>
        <v>1600</v>
      </c>
      <c r="H28" s="16" t="n">
        <f aca="false">IFERROR(INDEX('Semrush Data'!$D$2:$D$5000,MATCH(F28,'Semrush Data'!$A$2:$A$5000,0)),"")</f>
        <v>29</v>
      </c>
      <c r="I28" s="16" t="s">
        <v>235</v>
      </c>
      <c r="J28" s="18" t="n">
        <f aca="false">IFERROR(INDEX('Semrush Data'!$C$2:$C$5000,MATCH(I28,'Semrush Data'!$A$2:$A$5000,0)),"")</f>
        <v>480</v>
      </c>
      <c r="K28" s="16" t="s">
        <v>534</v>
      </c>
      <c r="L28" s="16" t="s">
        <v>535</v>
      </c>
      <c r="M28" s="16" t="s">
        <v>536</v>
      </c>
      <c r="N28" s="19" t="n">
        <f aca="false">LEN(M28)</f>
        <v>53</v>
      </c>
      <c r="O28" s="20" t="s">
        <v>537</v>
      </c>
      <c r="P28" s="19" t="n">
        <f aca="false">LEN(O28)</f>
        <v>154</v>
      </c>
      <c r="Q28" s="20" t="s">
        <v>538</v>
      </c>
      <c r="R28" s="20"/>
      <c r="S28" s="16" t="s">
        <v>343</v>
      </c>
      <c r="T28" s="20"/>
    </row>
    <row r="29" customFormat="false" ht="23.25" hidden="false" customHeight="true" outlineLevel="0" collapsed="false">
      <c r="A29" s="16" t="s">
        <v>539</v>
      </c>
      <c r="B29" s="16" t="s">
        <v>313</v>
      </c>
      <c r="C29" s="16" t="s">
        <v>540</v>
      </c>
      <c r="D29" s="16" t="s">
        <v>336</v>
      </c>
      <c r="E29" s="16" t="s">
        <v>337</v>
      </c>
      <c r="F29" s="17" t="s">
        <v>220</v>
      </c>
      <c r="G29" s="18" t="n">
        <f aca="false">IFERROR(INDEX('Semrush Data'!$C$2:$C$5000,MATCH(F29,'Semrush Data'!$A$2:$A$5000,0)),"")</f>
        <v>1300</v>
      </c>
      <c r="H29" s="16" t="n">
        <f aca="false">IFERROR(INDEX('Semrush Data'!$D$2:$D$5000,MATCH(F29,'Semrush Data'!$A$2:$A$5000,0)),"")</f>
        <v>19</v>
      </c>
      <c r="I29" s="16" t="s">
        <v>235</v>
      </c>
      <c r="J29" s="18" t="n">
        <f aca="false">IFERROR(INDEX('Semrush Data'!$C$2:$C$5000,MATCH(I29,'Semrush Data'!$A$2:$A$5000,0)),"")</f>
        <v>480</v>
      </c>
      <c r="K29" s="16" t="s">
        <v>338</v>
      </c>
      <c r="L29" s="16" t="s">
        <v>541</v>
      </c>
      <c r="M29" s="16" t="s">
        <v>542</v>
      </c>
      <c r="N29" s="19" t="n">
        <f aca="false">LEN(M29)</f>
        <v>53</v>
      </c>
      <c r="O29" s="20" t="s">
        <v>543</v>
      </c>
      <c r="P29" s="19" t="n">
        <f aca="false">LEN(O29)</f>
        <v>153</v>
      </c>
      <c r="Q29" s="20" t="s">
        <v>544</v>
      </c>
      <c r="R29" s="20"/>
      <c r="S29" s="16" t="s">
        <v>343</v>
      </c>
      <c r="T29" s="20"/>
    </row>
    <row r="30" customFormat="false" ht="45.75" hidden="false" customHeight="true" outlineLevel="0" collapsed="false">
      <c r="A30" s="16" t="s">
        <v>545</v>
      </c>
      <c r="B30" s="16" t="s">
        <v>313</v>
      </c>
      <c r="C30" s="16" t="s">
        <v>546</v>
      </c>
      <c r="D30" s="16" t="s">
        <v>346</v>
      </c>
      <c r="E30" s="16" t="s">
        <v>347</v>
      </c>
      <c r="F30" s="17" t="s">
        <v>196</v>
      </c>
      <c r="G30" s="18" t="n">
        <f aca="false">IFERROR(INDEX('Semrush Data'!$C$2:$C$5000,MATCH(F30,'Semrush Data'!$A$2:$A$5000,0)),"")</f>
        <v>6600</v>
      </c>
      <c r="H30" s="16" t="n">
        <f aca="false">IFERROR(INDEX('Semrush Data'!$D$2:$D$5000,MATCH(F30,'Semrush Data'!$A$2:$A$5000,0)),"")</f>
        <v>26</v>
      </c>
      <c r="I30" s="16" t="s">
        <v>235</v>
      </c>
      <c r="J30" s="18" t="n">
        <f aca="false">IFERROR(INDEX('Semrush Data'!$C$2:$C$5000,MATCH(I30,'Semrush Data'!$A$2:$A$5000,0)),"")</f>
        <v>480</v>
      </c>
      <c r="K30" s="16" t="s">
        <v>348</v>
      </c>
      <c r="L30" s="16" t="s">
        <v>547</v>
      </c>
      <c r="M30" s="16" t="s">
        <v>548</v>
      </c>
      <c r="N30" s="19" t="n">
        <f aca="false">LEN(M30)</f>
        <v>55</v>
      </c>
      <c r="O30" s="20" t="s">
        <v>549</v>
      </c>
      <c r="P30" s="19" t="n">
        <f aca="false">LEN(O30)</f>
        <v>155</v>
      </c>
      <c r="Q30" s="20" t="s">
        <v>550</v>
      </c>
      <c r="R30" s="20"/>
      <c r="S30" s="16" t="s">
        <v>322</v>
      </c>
      <c r="T30" s="20"/>
    </row>
    <row r="31" customFormat="false" ht="34.5" hidden="false" customHeight="true" outlineLevel="0" collapsed="false">
      <c r="A31" s="16" t="s">
        <v>551</v>
      </c>
      <c r="B31" s="16" t="s">
        <v>313</v>
      </c>
      <c r="C31" s="16" t="s">
        <v>552</v>
      </c>
      <c r="D31" s="16" t="s">
        <v>445</v>
      </c>
      <c r="E31" s="16" t="s">
        <v>375</v>
      </c>
      <c r="F31" s="17" t="s">
        <v>200</v>
      </c>
      <c r="G31" s="18" t="n">
        <f aca="false">IFERROR(INDEX('Semrush Data'!$C$2:$C$5000,MATCH(F31,'Semrush Data'!$A$2:$A$5000,0)),"")</f>
        <v>5400</v>
      </c>
      <c r="H31" s="16" t="n">
        <f aca="false">IFERROR(INDEX('Semrush Data'!$D$2:$D$5000,MATCH(F31,'Semrush Data'!$A$2:$A$5000,0)),"")</f>
        <v>22</v>
      </c>
      <c r="I31" s="16" t="s">
        <v>235</v>
      </c>
      <c r="J31" s="18" t="n">
        <f aca="false">IFERROR(INDEX('Semrush Data'!$C$2:$C$5000,MATCH(I31,'Semrush Data'!$A$2:$A$5000,0)),"")</f>
        <v>480</v>
      </c>
      <c r="K31" s="16" t="s">
        <v>446</v>
      </c>
      <c r="L31" s="16" t="s">
        <v>553</v>
      </c>
      <c r="M31" s="16" t="s">
        <v>554</v>
      </c>
      <c r="N31" s="19" t="n">
        <f aca="false">LEN(M31)</f>
        <v>30</v>
      </c>
      <c r="O31" s="20" t="s">
        <v>555</v>
      </c>
      <c r="P31" s="19" t="n">
        <f aca="false">LEN(O31)</f>
        <v>138</v>
      </c>
      <c r="Q31" s="20" t="s">
        <v>556</v>
      </c>
      <c r="R31" s="20" t="s">
        <v>557</v>
      </c>
      <c r="S31" s="16" t="s">
        <v>322</v>
      </c>
      <c r="T31" s="20" t="s">
        <v>333</v>
      </c>
    </row>
    <row r="32" customFormat="false" ht="45.75" hidden="false" customHeight="true" outlineLevel="0" collapsed="false">
      <c r="A32" s="16" t="s">
        <v>558</v>
      </c>
      <c r="B32" s="16" t="s">
        <v>313</v>
      </c>
      <c r="C32" s="16" t="s">
        <v>559</v>
      </c>
      <c r="D32" s="16" t="s">
        <v>560</v>
      </c>
      <c r="E32" s="16" t="s">
        <v>561</v>
      </c>
      <c r="F32" s="17" t="s">
        <v>153</v>
      </c>
      <c r="G32" s="18" t="n">
        <f aca="false">IFERROR(INDEX('Semrush Data'!$C$2:$C$5000,MATCH(F32,'Semrush Data'!$A$2:$A$5000,0)),"")</f>
        <v>2400</v>
      </c>
      <c r="H32" s="16" t="n">
        <f aca="false">IFERROR(INDEX('Semrush Data'!$D$2:$D$5000,MATCH(F32,'Semrush Data'!$A$2:$A$5000,0)),"")</f>
        <v>13</v>
      </c>
      <c r="I32" s="16" t="s">
        <v>235</v>
      </c>
      <c r="J32" s="18" t="n">
        <f aca="false">IFERROR(INDEX('Semrush Data'!$C$2:$C$5000,MATCH(I32,'Semrush Data'!$A$2:$A$5000,0)),"")</f>
        <v>480</v>
      </c>
      <c r="K32" s="16" t="s">
        <v>414</v>
      </c>
      <c r="L32" s="16" t="s">
        <v>562</v>
      </c>
      <c r="M32" s="16" t="s">
        <v>563</v>
      </c>
      <c r="N32" s="19" t="n">
        <f aca="false">LEN(M32)</f>
        <v>51</v>
      </c>
      <c r="O32" s="20" t="s">
        <v>564</v>
      </c>
      <c r="P32" s="19" t="n">
        <f aca="false">LEN(O32)</f>
        <v>159</v>
      </c>
      <c r="Q32" s="20" t="s">
        <v>565</v>
      </c>
      <c r="R32" s="20" t="s">
        <v>566</v>
      </c>
      <c r="S32" s="16" t="s">
        <v>322</v>
      </c>
      <c r="T32" s="20"/>
    </row>
    <row r="33" customFormat="false" ht="45.75" hidden="false" customHeight="true" outlineLevel="0" collapsed="false">
      <c r="A33" s="16" t="s">
        <v>567</v>
      </c>
      <c r="B33" s="16" t="s">
        <v>313</v>
      </c>
      <c r="C33" s="16" t="s">
        <v>324</v>
      </c>
      <c r="D33" s="16" t="s">
        <v>325</v>
      </c>
      <c r="E33" s="16" t="s">
        <v>326</v>
      </c>
      <c r="F33" s="17" t="s">
        <v>199</v>
      </c>
      <c r="G33" s="18" t="n">
        <f aca="false">IFERROR(INDEX('Semrush Data'!$C$2:$C$5000,MATCH(F33,'Semrush Data'!$A$2:$A$5000,0)),"")</f>
        <v>5400</v>
      </c>
      <c r="H33" s="16" t="n">
        <f aca="false">IFERROR(INDEX('Semrush Data'!$D$2:$D$5000,MATCH(F33,'Semrush Data'!$A$2:$A$5000,0)),"")</f>
        <v>21</v>
      </c>
      <c r="I33" s="16" t="s">
        <v>235</v>
      </c>
      <c r="J33" s="18" t="n">
        <f aca="false">IFERROR(INDEX('Semrush Data'!$C$2:$C$5000,MATCH(I33,'Semrush Data'!$A$2:$A$5000,0)),"")</f>
        <v>480</v>
      </c>
      <c r="K33" s="16" t="s">
        <v>327</v>
      </c>
      <c r="L33" s="16" t="s">
        <v>328</v>
      </c>
      <c r="M33" s="16" t="s">
        <v>329</v>
      </c>
      <c r="N33" s="19" t="n">
        <f aca="false">LEN(M33)</f>
        <v>51</v>
      </c>
      <c r="O33" s="20" t="s">
        <v>330</v>
      </c>
      <c r="P33" s="19" t="n">
        <f aca="false">LEN(O33)</f>
        <v>148</v>
      </c>
      <c r="Q33" s="20" t="s">
        <v>331</v>
      </c>
      <c r="R33" s="20" t="s">
        <v>332</v>
      </c>
      <c r="S33" s="16" t="s">
        <v>322</v>
      </c>
      <c r="T33" s="20" t="s">
        <v>333</v>
      </c>
    </row>
    <row r="34" customFormat="false" ht="45.75" hidden="false" customHeight="true" outlineLevel="0" collapsed="false">
      <c r="A34" s="16" t="s">
        <v>568</v>
      </c>
      <c r="B34" s="16" t="s">
        <v>313</v>
      </c>
      <c r="C34" s="16" t="s">
        <v>324</v>
      </c>
      <c r="D34" s="16" t="s">
        <v>325</v>
      </c>
      <c r="E34" s="16" t="s">
        <v>326</v>
      </c>
      <c r="F34" s="17" t="s">
        <v>199</v>
      </c>
      <c r="G34" s="18" t="n">
        <f aca="false">IFERROR(INDEX('Semrush Data'!$C$2:$C$5000,MATCH(F34,'Semrush Data'!$A$2:$A$5000,0)),"")</f>
        <v>5400</v>
      </c>
      <c r="H34" s="16" t="n">
        <f aca="false">IFERROR(INDEX('Semrush Data'!$D$2:$D$5000,MATCH(F34,'Semrush Data'!$A$2:$A$5000,0)),"")</f>
        <v>21</v>
      </c>
      <c r="I34" s="16" t="s">
        <v>235</v>
      </c>
      <c r="J34" s="18" t="n">
        <f aca="false">IFERROR(INDEX('Semrush Data'!$C$2:$C$5000,MATCH(I34,'Semrush Data'!$A$2:$A$5000,0)),"")</f>
        <v>480</v>
      </c>
      <c r="K34" s="16" t="s">
        <v>327</v>
      </c>
      <c r="L34" s="16" t="s">
        <v>328</v>
      </c>
      <c r="M34" s="16" t="s">
        <v>329</v>
      </c>
      <c r="N34" s="19" t="n">
        <f aca="false">LEN(M34)</f>
        <v>51</v>
      </c>
      <c r="O34" s="20" t="s">
        <v>330</v>
      </c>
      <c r="P34" s="19" t="n">
        <f aca="false">LEN(O34)</f>
        <v>148</v>
      </c>
      <c r="Q34" s="20" t="s">
        <v>331</v>
      </c>
      <c r="R34" s="20" t="s">
        <v>332</v>
      </c>
      <c r="S34" s="16" t="s">
        <v>322</v>
      </c>
      <c r="T34" s="20" t="s">
        <v>333</v>
      </c>
    </row>
    <row r="35" customFormat="false" ht="45.75" hidden="false" customHeight="true" outlineLevel="0" collapsed="false">
      <c r="A35" s="16" t="s">
        <v>569</v>
      </c>
      <c r="B35" s="16" t="s">
        <v>313</v>
      </c>
      <c r="C35" s="16" t="s">
        <v>570</v>
      </c>
      <c r="D35" s="16" t="s">
        <v>422</v>
      </c>
      <c r="E35" s="16" t="s">
        <v>483</v>
      </c>
      <c r="F35" s="17" t="s">
        <v>157</v>
      </c>
      <c r="G35" s="18" t="n">
        <f aca="false">IFERROR(INDEX('Semrush Data'!$C$2:$C$5000,MATCH(F35,'Semrush Data'!$A$2:$A$5000,0)),"")</f>
        <v>1600</v>
      </c>
      <c r="H35" s="16" t="n">
        <f aca="false">IFERROR(INDEX('Semrush Data'!$D$2:$D$5000,MATCH(F35,'Semrush Data'!$A$2:$A$5000,0)),"")</f>
        <v>31</v>
      </c>
      <c r="I35" s="16" t="s">
        <v>235</v>
      </c>
      <c r="J35" s="18" t="n">
        <f aca="false">IFERROR(INDEX('Semrush Data'!$C$2:$C$5000,MATCH(I35,'Semrush Data'!$A$2:$A$5000,0)),"")</f>
        <v>480</v>
      </c>
      <c r="K35" s="16" t="s">
        <v>571</v>
      </c>
      <c r="L35" s="16" t="s">
        <v>572</v>
      </c>
      <c r="M35" s="16" t="s">
        <v>573</v>
      </c>
      <c r="N35" s="19" t="n">
        <f aca="false">LEN(M35)</f>
        <v>54</v>
      </c>
      <c r="O35" s="20" t="s">
        <v>574</v>
      </c>
      <c r="P35" s="19" t="n">
        <f aca="false">LEN(O35)</f>
        <v>153</v>
      </c>
      <c r="Q35" s="20" t="s">
        <v>575</v>
      </c>
      <c r="R35" s="20" t="s">
        <v>576</v>
      </c>
      <c r="S35" s="16" t="s">
        <v>322</v>
      </c>
      <c r="T35" s="20" t="s">
        <v>333</v>
      </c>
    </row>
    <row r="36" customFormat="false" ht="45.75" hidden="false" customHeight="true" outlineLevel="0" collapsed="false">
      <c r="A36" s="16" t="s">
        <v>577</v>
      </c>
      <c r="B36" s="16" t="s">
        <v>313</v>
      </c>
      <c r="C36" s="16" t="s">
        <v>578</v>
      </c>
      <c r="D36" s="16" t="s">
        <v>396</v>
      </c>
      <c r="E36" s="16" t="s">
        <v>397</v>
      </c>
      <c r="F36" s="17" t="s">
        <v>160</v>
      </c>
      <c r="G36" s="18" t="n">
        <f aca="false">IFERROR(INDEX('Semrush Data'!$C$2:$C$5000,MATCH(F36,'Semrush Data'!$A$2:$A$5000,0)),"")</f>
        <v>1000</v>
      </c>
      <c r="H36" s="16" t="n">
        <f aca="false">IFERROR(INDEX('Semrush Data'!$D$2:$D$5000,MATCH(F36,'Semrush Data'!$A$2:$A$5000,0)),"")</f>
        <v>41</v>
      </c>
      <c r="I36" s="16" t="s">
        <v>235</v>
      </c>
      <c r="J36" s="18" t="n">
        <f aca="false">IFERROR(INDEX('Semrush Data'!$C$2:$C$5000,MATCH(I36,'Semrush Data'!$A$2:$A$5000,0)),"")</f>
        <v>480</v>
      </c>
      <c r="K36" s="16" t="s">
        <v>398</v>
      </c>
      <c r="L36" s="16" t="s">
        <v>579</v>
      </c>
      <c r="M36" s="16" t="s">
        <v>580</v>
      </c>
      <c r="N36" s="19" t="n">
        <f aca="false">LEN(M36)</f>
        <v>52</v>
      </c>
      <c r="O36" s="20" t="s">
        <v>581</v>
      </c>
      <c r="P36" s="19" t="n">
        <f aca="false">LEN(O36)</f>
        <v>160</v>
      </c>
      <c r="Q36" s="20" t="s">
        <v>582</v>
      </c>
      <c r="R36" s="20" t="s">
        <v>583</v>
      </c>
      <c r="S36" s="16" t="s">
        <v>343</v>
      </c>
      <c r="T36" s="20"/>
    </row>
    <row r="37" customFormat="false" ht="45.75" hidden="false" customHeight="true" outlineLevel="0" collapsed="false">
      <c r="A37" s="16" t="s">
        <v>584</v>
      </c>
      <c r="B37" s="16" t="s">
        <v>313</v>
      </c>
      <c r="C37" s="16" t="s">
        <v>585</v>
      </c>
      <c r="D37" s="16" t="s">
        <v>396</v>
      </c>
      <c r="E37" s="16" t="s">
        <v>586</v>
      </c>
      <c r="F37" s="17" t="s">
        <v>198</v>
      </c>
      <c r="G37" s="18" t="n">
        <f aca="false">IFERROR(INDEX('Semrush Data'!$C$2:$C$5000,MATCH(F37,'Semrush Data'!$A$2:$A$5000,0)),"")</f>
        <v>5400</v>
      </c>
      <c r="H37" s="16" t="n">
        <f aca="false">IFERROR(INDEX('Semrush Data'!$D$2:$D$5000,MATCH(F37,'Semrush Data'!$A$2:$A$5000,0)),"")</f>
        <v>16</v>
      </c>
      <c r="I37" s="16" t="s">
        <v>235</v>
      </c>
      <c r="J37" s="18" t="n">
        <f aca="false">IFERROR(INDEX('Semrush Data'!$C$2:$C$5000,MATCH(I37,'Semrush Data'!$A$2:$A$5000,0)),"")</f>
        <v>480</v>
      </c>
      <c r="K37" s="16" t="s">
        <v>587</v>
      </c>
      <c r="L37" s="16" t="s">
        <v>588</v>
      </c>
      <c r="M37" s="16" t="s">
        <v>589</v>
      </c>
      <c r="N37" s="19" t="n">
        <f aca="false">LEN(M37)</f>
        <v>28</v>
      </c>
      <c r="O37" s="20" t="s">
        <v>590</v>
      </c>
      <c r="P37" s="19" t="n">
        <f aca="false">LEN(O37)</f>
        <v>136</v>
      </c>
      <c r="Q37" s="20" t="s">
        <v>591</v>
      </c>
      <c r="R37" s="20" t="s">
        <v>592</v>
      </c>
      <c r="S37" s="16" t="s">
        <v>322</v>
      </c>
      <c r="T37" s="20" t="s">
        <v>333</v>
      </c>
    </row>
    <row r="38" customFormat="false" ht="23.25" hidden="false" customHeight="true" outlineLevel="0" collapsed="false">
      <c r="A38" s="16" t="s">
        <v>593</v>
      </c>
      <c r="B38" s="16" t="s">
        <v>313</v>
      </c>
      <c r="C38" s="16" t="s">
        <v>594</v>
      </c>
      <c r="D38" s="16" t="s">
        <v>595</v>
      </c>
      <c r="E38" s="16" t="s">
        <v>356</v>
      </c>
      <c r="F38" s="17" t="s">
        <v>217</v>
      </c>
      <c r="G38" s="18" t="n">
        <f aca="false">IFERROR(INDEX('Semrush Data'!$C$2:$C$5000,MATCH(F38,'Semrush Data'!$A$2:$A$5000,0)),"")</f>
        <v>1600</v>
      </c>
      <c r="H38" s="16" t="n">
        <f aca="false">IFERROR(INDEX('Semrush Data'!$D$2:$D$5000,MATCH(F38,'Semrush Data'!$A$2:$A$5000,0)),"")</f>
        <v>55</v>
      </c>
      <c r="I38" s="16" t="s">
        <v>235</v>
      </c>
      <c r="J38" s="18" t="n">
        <f aca="false">IFERROR(INDEX('Semrush Data'!$C$2:$C$5000,MATCH(I38,'Semrush Data'!$A$2:$A$5000,0)),"")</f>
        <v>480</v>
      </c>
      <c r="K38" s="16" t="s">
        <v>596</v>
      </c>
      <c r="L38" s="16" t="s">
        <v>597</v>
      </c>
      <c r="M38" s="16" t="s">
        <v>598</v>
      </c>
      <c r="N38" s="19" t="n">
        <f aca="false">LEN(M38)</f>
        <v>54</v>
      </c>
      <c r="O38" s="20" t="s">
        <v>599</v>
      </c>
      <c r="P38" s="19" t="n">
        <f aca="false">LEN(O38)</f>
        <v>152</v>
      </c>
      <c r="Q38" s="20" t="s">
        <v>600</v>
      </c>
      <c r="R38" s="20"/>
      <c r="S38" s="16" t="s">
        <v>343</v>
      </c>
      <c r="T38" s="20"/>
    </row>
    <row r="39" customFormat="false" ht="45.75" hidden="false" customHeight="true" outlineLevel="0" collapsed="false">
      <c r="A39" s="16" t="s">
        <v>601</v>
      </c>
      <c r="B39" s="16" t="s">
        <v>313</v>
      </c>
      <c r="C39" s="16" t="s">
        <v>602</v>
      </c>
      <c r="D39" s="16" t="s">
        <v>501</v>
      </c>
      <c r="E39" s="16" t="s">
        <v>526</v>
      </c>
      <c r="F39" s="17" t="s">
        <v>167</v>
      </c>
      <c r="G39" s="18" t="n">
        <f aca="false">IFERROR(INDEX('Semrush Data'!$C$2:$C$5000,MATCH(F39,'Semrush Data'!$A$2:$A$5000,0)),"")</f>
        <v>320</v>
      </c>
      <c r="H39" s="16" t="n">
        <f aca="false">IFERROR(INDEX('Semrush Data'!$D$2:$D$5000,MATCH(F39,'Semrush Data'!$A$2:$A$5000,0)),"")</f>
        <v>10</v>
      </c>
      <c r="I39" s="16" t="s">
        <v>235</v>
      </c>
      <c r="J39" s="18" t="n">
        <f aca="false">IFERROR(INDEX('Semrush Data'!$C$2:$C$5000,MATCH(I39,'Semrush Data'!$A$2:$A$5000,0)),"")</f>
        <v>480</v>
      </c>
      <c r="K39" s="16" t="s">
        <v>603</v>
      </c>
      <c r="L39" s="16" t="s">
        <v>604</v>
      </c>
      <c r="M39" s="16" t="s">
        <v>605</v>
      </c>
      <c r="N39" s="19" t="n">
        <f aca="false">LEN(M39)</f>
        <v>60</v>
      </c>
      <c r="O39" s="20" t="s">
        <v>606</v>
      </c>
      <c r="P39" s="19" t="n">
        <f aca="false">LEN(O39)</f>
        <v>148</v>
      </c>
      <c r="Q39" s="20" t="s">
        <v>607</v>
      </c>
      <c r="R39" s="20" t="s">
        <v>608</v>
      </c>
      <c r="S39" s="16" t="s">
        <v>362</v>
      </c>
      <c r="T39" s="20" t="s">
        <v>333</v>
      </c>
    </row>
    <row r="40" customFormat="false" ht="45.75" hidden="false" customHeight="true" outlineLevel="0" collapsed="false">
      <c r="A40" s="16" t="s">
        <v>609</v>
      </c>
      <c r="B40" s="16" t="s">
        <v>313</v>
      </c>
      <c r="C40" s="16" t="s">
        <v>610</v>
      </c>
      <c r="D40" s="16" t="s">
        <v>501</v>
      </c>
      <c r="E40" s="16" t="s">
        <v>526</v>
      </c>
      <c r="F40" s="17" t="s">
        <v>167</v>
      </c>
      <c r="G40" s="18" t="n">
        <f aca="false">IFERROR(INDEX('Semrush Data'!$C$2:$C$5000,MATCH(F40,'Semrush Data'!$A$2:$A$5000,0)),"")</f>
        <v>320</v>
      </c>
      <c r="H40" s="16" t="n">
        <f aca="false">IFERROR(INDEX('Semrush Data'!$D$2:$D$5000,MATCH(F40,'Semrush Data'!$A$2:$A$5000,0)),"")</f>
        <v>10</v>
      </c>
      <c r="I40" s="16" t="s">
        <v>235</v>
      </c>
      <c r="J40" s="18" t="n">
        <f aca="false">IFERROR(INDEX('Semrush Data'!$C$2:$C$5000,MATCH(I40,'Semrush Data'!$A$2:$A$5000,0)),"")</f>
        <v>480</v>
      </c>
      <c r="K40" s="16" t="s">
        <v>603</v>
      </c>
      <c r="L40" s="16" t="s">
        <v>604</v>
      </c>
      <c r="M40" s="16" t="s">
        <v>605</v>
      </c>
      <c r="N40" s="19" t="n">
        <f aca="false">LEN(M40)</f>
        <v>60</v>
      </c>
      <c r="O40" s="20" t="s">
        <v>606</v>
      </c>
      <c r="P40" s="19" t="n">
        <f aca="false">LEN(O40)</f>
        <v>148</v>
      </c>
      <c r="Q40" s="20" t="s">
        <v>607</v>
      </c>
      <c r="R40" s="20" t="s">
        <v>608</v>
      </c>
      <c r="S40" s="16" t="s">
        <v>362</v>
      </c>
      <c r="T40" s="20" t="s">
        <v>333</v>
      </c>
    </row>
    <row r="41" customFormat="false" ht="45.75" hidden="false" customHeight="true" outlineLevel="0" collapsed="false">
      <c r="A41" s="16" t="s">
        <v>611</v>
      </c>
      <c r="B41" s="16" t="s">
        <v>313</v>
      </c>
      <c r="C41" s="16" t="s">
        <v>612</v>
      </c>
      <c r="D41" s="16" t="s">
        <v>396</v>
      </c>
      <c r="E41" s="16" t="s">
        <v>397</v>
      </c>
      <c r="F41" s="17" t="s">
        <v>202</v>
      </c>
      <c r="G41" s="18" t="n">
        <f aca="false">IFERROR(INDEX('Semrush Data'!$C$2:$C$5000,MATCH(F41,'Semrush Data'!$A$2:$A$5000,0)),"")</f>
        <v>4400</v>
      </c>
      <c r="H41" s="16" t="n">
        <f aca="false">IFERROR(INDEX('Semrush Data'!$D$2:$D$5000,MATCH(F41,'Semrush Data'!$A$2:$A$5000,0)),"")</f>
        <v>30</v>
      </c>
      <c r="I41" s="16" t="s">
        <v>235</v>
      </c>
      <c r="J41" s="18" t="n">
        <f aca="false">IFERROR(INDEX('Semrush Data'!$C$2:$C$5000,MATCH(I41,'Semrush Data'!$A$2:$A$5000,0)),"")</f>
        <v>480</v>
      </c>
      <c r="K41" s="16" t="s">
        <v>398</v>
      </c>
      <c r="L41" s="16" t="s">
        <v>613</v>
      </c>
      <c r="M41" s="16" t="s">
        <v>614</v>
      </c>
      <c r="N41" s="19" t="n">
        <f aca="false">LEN(M41)</f>
        <v>56</v>
      </c>
      <c r="O41" s="20" t="s">
        <v>615</v>
      </c>
      <c r="P41" s="19" t="n">
        <f aca="false">LEN(O41)</f>
        <v>153</v>
      </c>
      <c r="Q41" s="20" t="s">
        <v>616</v>
      </c>
      <c r="R41" s="20"/>
      <c r="S41" s="16" t="s">
        <v>322</v>
      </c>
      <c r="T41" s="20" t="s">
        <v>333</v>
      </c>
    </row>
    <row r="42" customFormat="false" ht="57" hidden="false" customHeight="true" outlineLevel="0" collapsed="false">
      <c r="A42" s="16" t="s">
        <v>617</v>
      </c>
      <c r="B42" s="16" t="s">
        <v>313</v>
      </c>
      <c r="C42" s="16" t="s">
        <v>618</v>
      </c>
      <c r="D42" s="16" t="s">
        <v>595</v>
      </c>
      <c r="E42" s="16" t="s">
        <v>413</v>
      </c>
      <c r="F42" s="17" t="s">
        <v>217</v>
      </c>
      <c r="G42" s="18" t="n">
        <f aca="false">IFERROR(INDEX('Semrush Data'!$C$2:$C$5000,MATCH(F42,'Semrush Data'!$A$2:$A$5000,0)),"")</f>
        <v>1600</v>
      </c>
      <c r="H42" s="16" t="n">
        <f aca="false">IFERROR(INDEX('Semrush Data'!$D$2:$D$5000,MATCH(F42,'Semrush Data'!$A$2:$A$5000,0)),"")</f>
        <v>55</v>
      </c>
      <c r="I42" s="16" t="s">
        <v>235</v>
      </c>
      <c r="J42" s="18" t="n">
        <f aca="false">IFERROR(INDEX('Semrush Data'!$C$2:$C$5000,MATCH(I42,'Semrush Data'!$A$2:$A$5000,0)),"")</f>
        <v>480</v>
      </c>
      <c r="K42" s="16" t="s">
        <v>596</v>
      </c>
      <c r="L42" s="16" t="s">
        <v>619</v>
      </c>
      <c r="M42" s="16" t="s">
        <v>620</v>
      </c>
      <c r="N42" s="19" t="n">
        <f aca="false">LEN(M42)</f>
        <v>54</v>
      </c>
      <c r="O42" s="20" t="s">
        <v>621</v>
      </c>
      <c r="P42" s="19" t="n">
        <f aca="false">LEN(O42)</f>
        <v>152</v>
      </c>
      <c r="Q42" s="20" t="s">
        <v>622</v>
      </c>
      <c r="R42" s="20"/>
      <c r="S42" s="16" t="s">
        <v>322</v>
      </c>
      <c r="T42" s="20" t="s">
        <v>333</v>
      </c>
    </row>
    <row r="43" customFormat="false" ht="23.25" hidden="false" customHeight="true" outlineLevel="0" collapsed="false">
      <c r="A43" s="16" t="s">
        <v>623</v>
      </c>
      <c r="B43" s="16" t="s">
        <v>313</v>
      </c>
      <c r="C43" s="16" t="s">
        <v>624</v>
      </c>
      <c r="D43" s="16" t="s">
        <v>595</v>
      </c>
      <c r="E43" s="16" t="s">
        <v>413</v>
      </c>
      <c r="F43" s="17" t="s">
        <v>217</v>
      </c>
      <c r="G43" s="18" t="n">
        <f aca="false">IFERROR(INDEX('Semrush Data'!$C$2:$C$5000,MATCH(F43,'Semrush Data'!$A$2:$A$5000,0)),"")</f>
        <v>1600</v>
      </c>
      <c r="H43" s="16" t="n">
        <f aca="false">IFERROR(INDEX('Semrush Data'!$D$2:$D$5000,MATCH(F43,'Semrush Data'!$A$2:$A$5000,0)),"")</f>
        <v>55</v>
      </c>
      <c r="I43" s="16" t="s">
        <v>235</v>
      </c>
      <c r="J43" s="18" t="n">
        <f aca="false">IFERROR(INDEX('Semrush Data'!$C$2:$C$5000,MATCH(I43,'Semrush Data'!$A$2:$A$5000,0)),"")</f>
        <v>480</v>
      </c>
      <c r="K43" s="16" t="s">
        <v>596</v>
      </c>
      <c r="L43" s="16" t="s">
        <v>625</v>
      </c>
      <c r="M43" s="16" t="s">
        <v>626</v>
      </c>
      <c r="N43" s="19" t="n">
        <f aca="false">LEN(M43)</f>
        <v>56</v>
      </c>
      <c r="O43" s="20" t="s">
        <v>627</v>
      </c>
      <c r="P43" s="19" t="n">
        <f aca="false">LEN(O43)</f>
        <v>159</v>
      </c>
      <c r="Q43" s="20" t="s">
        <v>628</v>
      </c>
      <c r="R43" s="20"/>
      <c r="S43" s="16" t="s">
        <v>343</v>
      </c>
      <c r="T43" s="20"/>
    </row>
    <row r="44" customFormat="false" ht="23.25" hidden="false" customHeight="true" outlineLevel="0" collapsed="false">
      <c r="A44" s="16" t="s">
        <v>629</v>
      </c>
      <c r="B44" s="16" t="s">
        <v>313</v>
      </c>
      <c r="C44" s="16" t="s">
        <v>630</v>
      </c>
      <c r="D44" s="16" t="s">
        <v>374</v>
      </c>
      <c r="E44" s="16" t="s">
        <v>631</v>
      </c>
      <c r="F44" s="17" t="s">
        <v>150</v>
      </c>
      <c r="G44" s="18" t="n">
        <f aca="false">IFERROR(INDEX('Semrush Data'!$C$2:$C$5000,MATCH(F44,'Semrush Data'!$A$2:$A$5000,0)),"")</f>
        <v>2900</v>
      </c>
      <c r="H44" s="16" t="n">
        <f aca="false">IFERROR(INDEX('Semrush Data'!$D$2:$D$5000,MATCH(F44,'Semrush Data'!$A$2:$A$5000,0)),"")</f>
        <v>29</v>
      </c>
      <c r="I44" s="16" t="s">
        <v>235</v>
      </c>
      <c r="J44" s="18" t="n">
        <f aca="false">IFERROR(INDEX('Semrush Data'!$C$2:$C$5000,MATCH(I44,'Semrush Data'!$A$2:$A$5000,0)),"")</f>
        <v>480</v>
      </c>
      <c r="K44" s="16" t="s">
        <v>376</v>
      </c>
      <c r="L44" s="16" t="s">
        <v>632</v>
      </c>
      <c r="M44" s="16" t="s">
        <v>633</v>
      </c>
      <c r="N44" s="19" t="n">
        <f aca="false">LEN(M44)</f>
        <v>59</v>
      </c>
      <c r="O44" s="20" t="s">
        <v>634</v>
      </c>
      <c r="P44" s="19" t="n">
        <f aca="false">LEN(O44)</f>
        <v>159</v>
      </c>
      <c r="Q44" s="20" t="s">
        <v>635</v>
      </c>
      <c r="R44" s="20" t="s">
        <v>636</v>
      </c>
      <c r="S44" s="16" t="s">
        <v>343</v>
      </c>
      <c r="T44" s="20"/>
    </row>
    <row r="45" customFormat="false" ht="23.25" hidden="false" customHeight="true" outlineLevel="0" collapsed="false">
      <c r="A45" s="16" t="s">
        <v>637</v>
      </c>
      <c r="B45" s="16" t="s">
        <v>313</v>
      </c>
      <c r="C45" s="16" t="s">
        <v>638</v>
      </c>
      <c r="D45" s="16" t="s">
        <v>396</v>
      </c>
      <c r="E45" s="16" t="s">
        <v>397</v>
      </c>
      <c r="F45" s="17" t="s">
        <v>160</v>
      </c>
      <c r="G45" s="18" t="n">
        <f aca="false">IFERROR(INDEX('Semrush Data'!$C$2:$C$5000,MATCH(F45,'Semrush Data'!$A$2:$A$5000,0)),"")</f>
        <v>1000</v>
      </c>
      <c r="H45" s="16" t="n">
        <f aca="false">IFERROR(INDEX('Semrush Data'!$D$2:$D$5000,MATCH(F45,'Semrush Data'!$A$2:$A$5000,0)),"")</f>
        <v>41</v>
      </c>
      <c r="I45" s="16" t="s">
        <v>235</v>
      </c>
      <c r="J45" s="18" t="n">
        <f aca="false">IFERROR(INDEX('Semrush Data'!$C$2:$C$5000,MATCH(I45,'Semrush Data'!$A$2:$A$5000,0)),"")</f>
        <v>480</v>
      </c>
      <c r="K45" s="16" t="s">
        <v>398</v>
      </c>
      <c r="L45" s="16" t="s">
        <v>639</v>
      </c>
      <c r="M45" s="16" t="s">
        <v>640</v>
      </c>
      <c r="N45" s="19" t="n">
        <f aca="false">LEN(M45)</f>
        <v>52</v>
      </c>
      <c r="O45" s="20" t="s">
        <v>641</v>
      </c>
      <c r="P45" s="19" t="n">
        <f aca="false">LEN(O45)</f>
        <v>160</v>
      </c>
      <c r="Q45" s="20" t="s">
        <v>642</v>
      </c>
      <c r="R45" s="20" t="s">
        <v>643</v>
      </c>
      <c r="S45" s="16" t="s">
        <v>343</v>
      </c>
      <c r="T45" s="20"/>
    </row>
    <row r="46" customFormat="false" ht="23.25" hidden="false" customHeight="true" outlineLevel="0" collapsed="false">
      <c r="A46" s="16" t="s">
        <v>644</v>
      </c>
      <c r="B46" s="16" t="s">
        <v>313</v>
      </c>
      <c r="C46" s="16" t="s">
        <v>645</v>
      </c>
      <c r="D46" s="16" t="s">
        <v>396</v>
      </c>
      <c r="E46" s="16" t="s">
        <v>397</v>
      </c>
      <c r="F46" s="17" t="s">
        <v>160</v>
      </c>
      <c r="G46" s="18" t="n">
        <f aca="false">IFERROR(INDEX('Semrush Data'!$C$2:$C$5000,MATCH(F46,'Semrush Data'!$A$2:$A$5000,0)),"")</f>
        <v>1000</v>
      </c>
      <c r="H46" s="16" t="n">
        <f aca="false">IFERROR(INDEX('Semrush Data'!$D$2:$D$5000,MATCH(F46,'Semrush Data'!$A$2:$A$5000,0)),"")</f>
        <v>41</v>
      </c>
      <c r="I46" s="16" t="s">
        <v>235</v>
      </c>
      <c r="J46" s="18" t="n">
        <f aca="false">IFERROR(INDEX('Semrush Data'!$C$2:$C$5000,MATCH(I46,'Semrush Data'!$A$2:$A$5000,0)),"")</f>
        <v>480</v>
      </c>
      <c r="K46" s="16" t="s">
        <v>398</v>
      </c>
      <c r="L46" s="16" t="s">
        <v>646</v>
      </c>
      <c r="M46" s="16" t="s">
        <v>647</v>
      </c>
      <c r="N46" s="19" t="n">
        <f aca="false">LEN(M46)</f>
        <v>51</v>
      </c>
      <c r="O46" s="20" t="s">
        <v>648</v>
      </c>
      <c r="P46" s="19" t="n">
        <f aca="false">LEN(O46)</f>
        <v>159</v>
      </c>
      <c r="Q46" s="20" t="s">
        <v>649</v>
      </c>
      <c r="R46" s="20" t="s">
        <v>643</v>
      </c>
      <c r="S46" s="16" t="s">
        <v>343</v>
      </c>
      <c r="T46" s="20"/>
    </row>
    <row r="47" customFormat="false" ht="23.25" hidden="false" customHeight="true" outlineLevel="0" collapsed="false">
      <c r="A47" s="16" t="s">
        <v>650</v>
      </c>
      <c r="B47" s="16" t="s">
        <v>313</v>
      </c>
      <c r="C47" s="16" t="s">
        <v>651</v>
      </c>
      <c r="D47" s="16" t="s">
        <v>396</v>
      </c>
      <c r="E47" s="16" t="s">
        <v>397</v>
      </c>
      <c r="F47" s="17" t="s">
        <v>160</v>
      </c>
      <c r="G47" s="18" t="n">
        <f aca="false">IFERROR(INDEX('Semrush Data'!$C$2:$C$5000,MATCH(F47,'Semrush Data'!$A$2:$A$5000,0)),"")</f>
        <v>1000</v>
      </c>
      <c r="H47" s="16" t="n">
        <f aca="false">IFERROR(INDEX('Semrush Data'!$D$2:$D$5000,MATCH(F47,'Semrush Data'!$A$2:$A$5000,0)),"")</f>
        <v>41</v>
      </c>
      <c r="I47" s="16" t="s">
        <v>235</v>
      </c>
      <c r="J47" s="18" t="n">
        <f aca="false">IFERROR(INDEX('Semrush Data'!$C$2:$C$5000,MATCH(I47,'Semrush Data'!$A$2:$A$5000,0)),"")</f>
        <v>480</v>
      </c>
      <c r="K47" s="16" t="s">
        <v>398</v>
      </c>
      <c r="L47" s="16" t="s">
        <v>652</v>
      </c>
      <c r="M47" s="16" t="s">
        <v>653</v>
      </c>
      <c r="N47" s="19" t="n">
        <f aca="false">LEN(M47)</f>
        <v>60</v>
      </c>
      <c r="O47" s="20" t="s">
        <v>654</v>
      </c>
      <c r="P47" s="19" t="n">
        <f aca="false">LEN(O47)</f>
        <v>157</v>
      </c>
      <c r="Q47" s="20" t="s">
        <v>655</v>
      </c>
      <c r="R47" s="20" t="s">
        <v>656</v>
      </c>
      <c r="S47" s="16" t="s">
        <v>343</v>
      </c>
      <c r="T47" s="20"/>
    </row>
    <row r="48" customFormat="false" ht="34.5" hidden="false" customHeight="true" outlineLevel="0" collapsed="false">
      <c r="A48" s="16" t="s">
        <v>657</v>
      </c>
      <c r="B48" s="16" t="s">
        <v>313</v>
      </c>
      <c r="C48" s="16" t="s">
        <v>658</v>
      </c>
      <c r="D48" s="16" t="s">
        <v>659</v>
      </c>
      <c r="E48" s="16" t="s">
        <v>375</v>
      </c>
      <c r="F48" s="17" t="s">
        <v>221</v>
      </c>
      <c r="G48" s="18" t="n">
        <f aca="false">IFERROR(INDEX('Semrush Data'!$C$2:$C$5000,MATCH(F48,'Semrush Data'!$A$2:$A$5000,0)),"")</f>
        <v>1300</v>
      </c>
      <c r="H48" s="16" t="n">
        <f aca="false">IFERROR(INDEX('Semrush Data'!$D$2:$D$5000,MATCH(F48,'Semrush Data'!$A$2:$A$5000,0)),"")</f>
        <v>16</v>
      </c>
      <c r="I48" s="16" t="s">
        <v>235</v>
      </c>
      <c r="J48" s="18" t="n">
        <f aca="false">IFERROR(INDEX('Semrush Data'!$C$2:$C$5000,MATCH(I48,'Semrush Data'!$A$2:$A$5000,0)),"")</f>
        <v>480</v>
      </c>
      <c r="K48" s="16" t="s">
        <v>660</v>
      </c>
      <c r="L48" s="16" t="s">
        <v>658</v>
      </c>
      <c r="M48" s="16" t="s">
        <v>661</v>
      </c>
      <c r="N48" s="19" t="n">
        <f aca="false">LEN(M48)</f>
        <v>55</v>
      </c>
      <c r="O48" s="20" t="s">
        <v>662</v>
      </c>
      <c r="P48" s="19" t="n">
        <f aca="false">LEN(O48)</f>
        <v>150</v>
      </c>
      <c r="Q48" s="20" t="s">
        <v>663</v>
      </c>
      <c r="R48" s="20"/>
      <c r="S48" s="16" t="s">
        <v>322</v>
      </c>
      <c r="T48" s="20"/>
    </row>
    <row r="49" customFormat="false" ht="23.25" hidden="false" customHeight="true" outlineLevel="0" collapsed="false">
      <c r="A49" s="16" t="s">
        <v>664</v>
      </c>
      <c r="B49" s="16" t="s">
        <v>313</v>
      </c>
      <c r="C49" s="16" t="s">
        <v>665</v>
      </c>
      <c r="D49" s="16" t="s">
        <v>659</v>
      </c>
      <c r="E49" s="16" t="s">
        <v>375</v>
      </c>
      <c r="F49" s="17" t="s">
        <v>221</v>
      </c>
      <c r="G49" s="18" t="n">
        <f aca="false">IFERROR(INDEX('Semrush Data'!$C$2:$C$5000,MATCH(F49,'Semrush Data'!$A$2:$A$5000,0)),"")</f>
        <v>1300</v>
      </c>
      <c r="H49" s="16" t="n">
        <f aca="false">IFERROR(INDEX('Semrush Data'!$D$2:$D$5000,MATCH(F49,'Semrush Data'!$A$2:$A$5000,0)),"")</f>
        <v>16</v>
      </c>
      <c r="I49" s="16" t="s">
        <v>235</v>
      </c>
      <c r="J49" s="18" t="n">
        <f aca="false">IFERROR(INDEX('Semrush Data'!$C$2:$C$5000,MATCH(I49,'Semrush Data'!$A$2:$A$5000,0)),"")</f>
        <v>480</v>
      </c>
      <c r="K49" s="16" t="s">
        <v>660</v>
      </c>
      <c r="L49" s="16" t="s">
        <v>665</v>
      </c>
      <c r="M49" s="16" t="s">
        <v>666</v>
      </c>
      <c r="N49" s="19" t="n">
        <f aca="false">LEN(M49)</f>
        <v>60</v>
      </c>
      <c r="O49" s="20" t="s">
        <v>667</v>
      </c>
      <c r="P49" s="19" t="n">
        <f aca="false">LEN(O49)</f>
        <v>149</v>
      </c>
      <c r="Q49" s="20" t="s">
        <v>668</v>
      </c>
      <c r="R49" s="20"/>
      <c r="S49" s="16" t="s">
        <v>343</v>
      </c>
      <c r="T49" s="20"/>
    </row>
    <row r="50" customFormat="false" ht="34.5" hidden="false" customHeight="true" outlineLevel="0" collapsed="false">
      <c r="A50" s="16" t="s">
        <v>669</v>
      </c>
      <c r="B50" s="16" t="s">
        <v>313</v>
      </c>
      <c r="C50" s="16" t="s">
        <v>670</v>
      </c>
      <c r="D50" s="16" t="s">
        <v>659</v>
      </c>
      <c r="E50" s="16" t="s">
        <v>375</v>
      </c>
      <c r="F50" s="17" t="s">
        <v>221</v>
      </c>
      <c r="G50" s="18" t="n">
        <f aca="false">IFERROR(INDEX('Semrush Data'!$C$2:$C$5000,MATCH(F50,'Semrush Data'!$A$2:$A$5000,0)),"")</f>
        <v>1300</v>
      </c>
      <c r="H50" s="16" t="n">
        <f aca="false">IFERROR(INDEX('Semrush Data'!$D$2:$D$5000,MATCH(F50,'Semrush Data'!$A$2:$A$5000,0)),"")</f>
        <v>16</v>
      </c>
      <c r="I50" s="16" t="s">
        <v>235</v>
      </c>
      <c r="J50" s="18" t="n">
        <f aca="false">IFERROR(INDEX('Semrush Data'!$C$2:$C$5000,MATCH(I50,'Semrush Data'!$A$2:$A$5000,0)),"")</f>
        <v>480</v>
      </c>
      <c r="K50" s="16" t="s">
        <v>660</v>
      </c>
      <c r="L50" s="16" t="s">
        <v>670</v>
      </c>
      <c r="M50" s="16" t="s">
        <v>671</v>
      </c>
      <c r="N50" s="19" t="n">
        <f aca="false">LEN(M50)</f>
        <v>55</v>
      </c>
      <c r="O50" s="20" t="s">
        <v>672</v>
      </c>
      <c r="P50" s="19" t="n">
        <f aca="false">LEN(O50)</f>
        <v>151</v>
      </c>
      <c r="Q50" s="20" t="s">
        <v>673</v>
      </c>
      <c r="R50" s="20"/>
      <c r="S50" s="16" t="s">
        <v>322</v>
      </c>
      <c r="T50" s="20"/>
    </row>
    <row r="51" customFormat="false" ht="23.25" hidden="false" customHeight="true" outlineLevel="0" collapsed="false">
      <c r="A51" s="16" t="s">
        <v>674</v>
      </c>
      <c r="B51" s="16" t="s">
        <v>313</v>
      </c>
      <c r="C51" s="16" t="s">
        <v>675</v>
      </c>
      <c r="D51" s="16" t="s">
        <v>659</v>
      </c>
      <c r="E51" s="16" t="s">
        <v>511</v>
      </c>
      <c r="F51" s="17" t="s">
        <v>156</v>
      </c>
      <c r="G51" s="18" t="n">
        <f aca="false">IFERROR(INDEX('Semrush Data'!$C$2:$C$5000,MATCH(F51,'Semrush Data'!$A$2:$A$5000,0)),"")</f>
        <v>1600</v>
      </c>
      <c r="H51" s="16" t="n">
        <f aca="false">IFERROR(INDEX('Semrush Data'!$D$2:$D$5000,MATCH(F51,'Semrush Data'!$A$2:$A$5000,0)),"")</f>
        <v>33</v>
      </c>
      <c r="I51" s="16" t="s">
        <v>235</v>
      </c>
      <c r="J51" s="18" t="n">
        <f aca="false">IFERROR(INDEX('Semrush Data'!$C$2:$C$5000,MATCH(I51,'Semrush Data'!$A$2:$A$5000,0)),"")</f>
        <v>480</v>
      </c>
      <c r="K51" s="16" t="s">
        <v>366</v>
      </c>
      <c r="L51" s="16" t="s">
        <v>676</v>
      </c>
      <c r="M51" s="16" t="s">
        <v>677</v>
      </c>
      <c r="N51" s="19" t="n">
        <f aca="false">LEN(M51)</f>
        <v>59</v>
      </c>
      <c r="O51" s="20" t="s">
        <v>678</v>
      </c>
      <c r="P51" s="19" t="n">
        <f aca="false">LEN(O51)</f>
        <v>156</v>
      </c>
      <c r="Q51" s="20" t="s">
        <v>679</v>
      </c>
      <c r="R51" s="20"/>
      <c r="S51" s="16" t="s">
        <v>362</v>
      </c>
      <c r="T51" s="20" t="s">
        <v>333</v>
      </c>
    </row>
    <row r="52" customFormat="false" ht="34.5" hidden="false" customHeight="true" outlineLevel="0" collapsed="false">
      <c r="A52" s="16" t="s">
        <v>680</v>
      </c>
      <c r="B52" s="16" t="s">
        <v>313</v>
      </c>
      <c r="C52" s="16" t="s">
        <v>681</v>
      </c>
      <c r="D52" s="16" t="s">
        <v>659</v>
      </c>
      <c r="E52" s="16" t="s">
        <v>682</v>
      </c>
      <c r="F52" s="17" t="s">
        <v>208</v>
      </c>
      <c r="G52" s="18" t="n">
        <f aca="false">IFERROR(INDEX('Semrush Data'!$C$2:$C$5000,MATCH(F52,'Semrush Data'!$A$2:$A$5000,0)),"")</f>
        <v>3600</v>
      </c>
      <c r="H52" s="16" t="n">
        <f aca="false">IFERROR(INDEX('Semrush Data'!$D$2:$D$5000,MATCH(F52,'Semrush Data'!$A$2:$A$5000,0)),"")</f>
        <v>22</v>
      </c>
      <c r="I52" s="16" t="s">
        <v>235</v>
      </c>
      <c r="J52" s="18" t="n">
        <f aca="false">IFERROR(INDEX('Semrush Data'!$C$2:$C$5000,MATCH(I52,'Semrush Data'!$A$2:$A$5000,0)),"")</f>
        <v>480</v>
      </c>
      <c r="K52" s="16" t="s">
        <v>683</v>
      </c>
      <c r="L52" s="16" t="s">
        <v>681</v>
      </c>
      <c r="M52" s="16" t="s">
        <v>684</v>
      </c>
      <c r="N52" s="19" t="n">
        <f aca="false">LEN(M52)</f>
        <v>56</v>
      </c>
      <c r="O52" s="20" t="s">
        <v>685</v>
      </c>
      <c r="P52" s="19" t="n">
        <f aca="false">LEN(O52)</f>
        <v>158</v>
      </c>
      <c r="Q52" s="20" t="s">
        <v>686</v>
      </c>
      <c r="R52" s="20"/>
      <c r="S52" s="16" t="s">
        <v>322</v>
      </c>
      <c r="T52" s="20"/>
    </row>
    <row r="53" customFormat="false" ht="45.75" hidden="false" customHeight="true" outlineLevel="0" collapsed="false">
      <c r="A53" s="16" t="s">
        <v>687</v>
      </c>
      <c r="B53" s="16" t="s">
        <v>313</v>
      </c>
      <c r="C53" s="16" t="s">
        <v>688</v>
      </c>
      <c r="D53" s="16" t="s">
        <v>659</v>
      </c>
      <c r="E53" s="16" t="s">
        <v>689</v>
      </c>
      <c r="F53" s="17" t="s">
        <v>156</v>
      </c>
      <c r="G53" s="18" t="n">
        <f aca="false">IFERROR(INDEX('Semrush Data'!$C$2:$C$5000,MATCH(F53,'Semrush Data'!$A$2:$A$5000,0)),"")</f>
        <v>1600</v>
      </c>
      <c r="H53" s="16" t="n">
        <f aca="false">IFERROR(INDEX('Semrush Data'!$D$2:$D$5000,MATCH(F53,'Semrush Data'!$A$2:$A$5000,0)),"")</f>
        <v>33</v>
      </c>
      <c r="I53" s="16" t="s">
        <v>235</v>
      </c>
      <c r="J53" s="18" t="n">
        <f aca="false">IFERROR(INDEX('Semrush Data'!$C$2:$C$5000,MATCH(I53,'Semrush Data'!$A$2:$A$5000,0)),"")</f>
        <v>480</v>
      </c>
      <c r="K53" s="16" t="s">
        <v>366</v>
      </c>
      <c r="L53" s="16" t="s">
        <v>688</v>
      </c>
      <c r="M53" s="16" t="s">
        <v>690</v>
      </c>
      <c r="N53" s="19" t="n">
        <f aca="false">LEN(M53)</f>
        <v>57</v>
      </c>
      <c r="O53" s="20" t="s">
        <v>691</v>
      </c>
      <c r="P53" s="19" t="n">
        <f aca="false">LEN(O53)</f>
        <v>154</v>
      </c>
      <c r="Q53" s="20" t="s">
        <v>692</v>
      </c>
      <c r="R53" s="20"/>
      <c r="S53" s="16" t="s">
        <v>322</v>
      </c>
      <c r="T53" s="20" t="s">
        <v>333</v>
      </c>
    </row>
    <row r="54" customFormat="false" ht="23.25" hidden="false" customHeight="true" outlineLevel="0" collapsed="false">
      <c r="A54" s="16" t="s">
        <v>693</v>
      </c>
      <c r="B54" s="16" t="s">
        <v>313</v>
      </c>
      <c r="C54" s="16" t="s">
        <v>694</v>
      </c>
      <c r="D54" s="16" t="s">
        <v>659</v>
      </c>
      <c r="E54" s="16" t="s">
        <v>483</v>
      </c>
      <c r="F54" s="17" t="s">
        <v>157</v>
      </c>
      <c r="G54" s="18" t="n">
        <f aca="false">IFERROR(INDEX('Semrush Data'!$C$2:$C$5000,MATCH(F54,'Semrush Data'!$A$2:$A$5000,0)),"")</f>
        <v>1600</v>
      </c>
      <c r="H54" s="16" t="n">
        <f aca="false">IFERROR(INDEX('Semrush Data'!$D$2:$D$5000,MATCH(F54,'Semrush Data'!$A$2:$A$5000,0)),"")</f>
        <v>31</v>
      </c>
      <c r="I54" s="16" t="s">
        <v>235</v>
      </c>
      <c r="J54" s="18" t="n">
        <f aca="false">IFERROR(INDEX('Semrush Data'!$C$2:$C$5000,MATCH(I54,'Semrush Data'!$A$2:$A$5000,0)),"")</f>
        <v>480</v>
      </c>
      <c r="K54" s="16" t="s">
        <v>571</v>
      </c>
      <c r="L54" s="16" t="s">
        <v>694</v>
      </c>
      <c r="M54" s="16" t="s">
        <v>695</v>
      </c>
      <c r="N54" s="19" t="n">
        <f aca="false">LEN(M54)</f>
        <v>56</v>
      </c>
      <c r="O54" s="20" t="s">
        <v>696</v>
      </c>
      <c r="P54" s="19" t="n">
        <f aca="false">LEN(O54)</f>
        <v>160</v>
      </c>
      <c r="Q54" s="20" t="s">
        <v>697</v>
      </c>
      <c r="R54" s="20"/>
      <c r="S54" s="16" t="s">
        <v>362</v>
      </c>
      <c r="T54" s="20" t="s">
        <v>333</v>
      </c>
    </row>
    <row r="55" customFormat="false" ht="34.5" hidden="false" customHeight="true" outlineLevel="0" collapsed="false">
      <c r="A55" s="16" t="s">
        <v>698</v>
      </c>
      <c r="B55" s="16" t="s">
        <v>313</v>
      </c>
      <c r="C55" s="16" t="s">
        <v>699</v>
      </c>
      <c r="D55" s="16" t="s">
        <v>659</v>
      </c>
      <c r="E55" s="16" t="s">
        <v>356</v>
      </c>
      <c r="F55" s="17" t="s">
        <v>203</v>
      </c>
      <c r="G55" s="18" t="n">
        <f aca="false">IFERROR(INDEX('Semrush Data'!$C$2:$C$5000,MATCH(F55,'Semrush Data'!$A$2:$A$5000,0)),"")</f>
        <v>3600</v>
      </c>
      <c r="H55" s="16" t="n">
        <f aca="false">IFERROR(INDEX('Semrush Data'!$D$2:$D$5000,MATCH(F55,'Semrush Data'!$A$2:$A$5000,0)),"")</f>
        <v>24</v>
      </c>
      <c r="I55" s="16" t="s">
        <v>235</v>
      </c>
      <c r="J55" s="18" t="n">
        <f aca="false">IFERROR(INDEX('Semrush Data'!$C$2:$C$5000,MATCH(I55,'Semrush Data'!$A$2:$A$5000,0)),"")</f>
        <v>480</v>
      </c>
      <c r="K55" s="16" t="s">
        <v>357</v>
      </c>
      <c r="L55" s="16" t="s">
        <v>699</v>
      </c>
      <c r="M55" s="16" t="s">
        <v>700</v>
      </c>
      <c r="N55" s="19" t="n">
        <f aca="false">LEN(M55)</f>
        <v>56</v>
      </c>
      <c r="O55" s="20" t="s">
        <v>701</v>
      </c>
      <c r="P55" s="19" t="n">
        <f aca="false">LEN(O55)</f>
        <v>158</v>
      </c>
      <c r="Q55" s="20" t="s">
        <v>702</v>
      </c>
      <c r="R55" s="20"/>
      <c r="S55" s="16" t="s">
        <v>322</v>
      </c>
      <c r="T55" s="20"/>
    </row>
    <row r="56" customFormat="false" ht="45.75" hidden="false" customHeight="true" outlineLevel="0" collapsed="false">
      <c r="A56" s="16" t="s">
        <v>703</v>
      </c>
      <c r="B56" s="16" t="s">
        <v>313</v>
      </c>
      <c r="C56" s="16" t="s">
        <v>704</v>
      </c>
      <c r="D56" s="16" t="s">
        <v>659</v>
      </c>
      <c r="E56" s="16" t="s">
        <v>526</v>
      </c>
      <c r="F56" s="17" t="s">
        <v>167</v>
      </c>
      <c r="G56" s="18" t="n">
        <f aca="false">IFERROR(INDEX('Semrush Data'!$C$2:$C$5000,MATCH(F56,'Semrush Data'!$A$2:$A$5000,0)),"")</f>
        <v>320</v>
      </c>
      <c r="H56" s="16" t="n">
        <f aca="false">IFERROR(INDEX('Semrush Data'!$D$2:$D$5000,MATCH(F56,'Semrush Data'!$A$2:$A$5000,0)),"")</f>
        <v>10</v>
      </c>
      <c r="I56" s="16" t="s">
        <v>235</v>
      </c>
      <c r="J56" s="18" t="n">
        <f aca="false">IFERROR(INDEX('Semrush Data'!$C$2:$C$5000,MATCH(I56,'Semrush Data'!$A$2:$A$5000,0)),"")</f>
        <v>480</v>
      </c>
      <c r="K56" s="16" t="s">
        <v>603</v>
      </c>
      <c r="L56" s="16" t="s">
        <v>704</v>
      </c>
      <c r="M56" s="16" t="s">
        <v>705</v>
      </c>
      <c r="N56" s="19" t="n">
        <f aca="false">LEN(M56)</f>
        <v>52</v>
      </c>
      <c r="O56" s="20" t="s">
        <v>706</v>
      </c>
      <c r="P56" s="19" t="n">
        <f aca="false">LEN(O56)</f>
        <v>158</v>
      </c>
      <c r="Q56" s="20" t="s">
        <v>707</v>
      </c>
      <c r="R56" s="20"/>
      <c r="S56" s="16" t="s">
        <v>322</v>
      </c>
      <c r="T56" s="20" t="s">
        <v>333</v>
      </c>
    </row>
    <row r="57" customFormat="false" ht="45.75" hidden="false" customHeight="true" outlineLevel="0" collapsed="false">
      <c r="A57" s="16" t="s">
        <v>708</v>
      </c>
      <c r="B57" s="16" t="s">
        <v>313</v>
      </c>
      <c r="C57" s="16" t="s">
        <v>709</v>
      </c>
      <c r="D57" s="16" t="s">
        <v>659</v>
      </c>
      <c r="E57" s="16" t="s">
        <v>710</v>
      </c>
      <c r="F57" s="17" t="s">
        <v>208</v>
      </c>
      <c r="G57" s="18" t="n">
        <f aca="false">IFERROR(INDEX('Semrush Data'!$C$2:$C$5000,MATCH(F57,'Semrush Data'!$A$2:$A$5000,0)),"")</f>
        <v>3600</v>
      </c>
      <c r="H57" s="16" t="n">
        <f aca="false">IFERROR(INDEX('Semrush Data'!$D$2:$D$5000,MATCH(F57,'Semrush Data'!$A$2:$A$5000,0)),"")</f>
        <v>22</v>
      </c>
      <c r="I57" s="16" t="s">
        <v>235</v>
      </c>
      <c r="J57" s="18" t="n">
        <f aca="false">IFERROR(INDEX('Semrush Data'!$C$2:$C$5000,MATCH(I57,'Semrush Data'!$A$2:$A$5000,0)),"")</f>
        <v>480</v>
      </c>
      <c r="K57" s="16" t="s">
        <v>683</v>
      </c>
      <c r="L57" s="16" t="s">
        <v>709</v>
      </c>
      <c r="M57" s="16" t="s">
        <v>711</v>
      </c>
      <c r="N57" s="19" t="n">
        <f aca="false">LEN(M57)</f>
        <v>54</v>
      </c>
      <c r="O57" s="20" t="s">
        <v>712</v>
      </c>
      <c r="P57" s="19" t="n">
        <f aca="false">LEN(O57)</f>
        <v>149</v>
      </c>
      <c r="Q57" s="20" t="s">
        <v>713</v>
      </c>
      <c r="R57" s="20"/>
      <c r="S57" s="16" t="s">
        <v>322</v>
      </c>
      <c r="T57" s="20" t="s">
        <v>333</v>
      </c>
    </row>
    <row r="58" customFormat="false" ht="34.5" hidden="false" customHeight="true" outlineLevel="0" collapsed="false">
      <c r="A58" s="16" t="s">
        <v>714</v>
      </c>
      <c r="B58" s="16" t="s">
        <v>313</v>
      </c>
      <c r="C58" s="16" t="s">
        <v>715</v>
      </c>
      <c r="D58" s="16" t="s">
        <v>659</v>
      </c>
      <c r="E58" s="16" t="s">
        <v>526</v>
      </c>
      <c r="F58" s="17" t="s">
        <v>167</v>
      </c>
      <c r="G58" s="18" t="n">
        <f aca="false">IFERROR(INDEX('Semrush Data'!$C$2:$C$5000,MATCH(F58,'Semrush Data'!$A$2:$A$5000,0)),"")</f>
        <v>320</v>
      </c>
      <c r="H58" s="16" t="n">
        <f aca="false">IFERROR(INDEX('Semrush Data'!$D$2:$D$5000,MATCH(F58,'Semrush Data'!$A$2:$A$5000,0)),"")</f>
        <v>10</v>
      </c>
      <c r="I58" s="16" t="s">
        <v>235</v>
      </c>
      <c r="J58" s="18" t="n">
        <f aca="false">IFERROR(INDEX('Semrush Data'!$C$2:$C$5000,MATCH(I58,'Semrush Data'!$A$2:$A$5000,0)),"")</f>
        <v>480</v>
      </c>
      <c r="K58" s="16" t="s">
        <v>603</v>
      </c>
      <c r="L58" s="16" t="s">
        <v>715</v>
      </c>
      <c r="M58" s="16" t="s">
        <v>716</v>
      </c>
      <c r="N58" s="19" t="n">
        <f aca="false">LEN(M58)</f>
        <v>58</v>
      </c>
      <c r="O58" s="20" t="s">
        <v>717</v>
      </c>
      <c r="P58" s="19" t="n">
        <f aca="false">LEN(O58)</f>
        <v>153</v>
      </c>
      <c r="Q58" s="20" t="s">
        <v>718</v>
      </c>
      <c r="R58" s="20"/>
      <c r="S58" s="16" t="s">
        <v>322</v>
      </c>
      <c r="T58" s="20" t="s">
        <v>333</v>
      </c>
    </row>
    <row r="59" customFormat="false" ht="34.5" hidden="false" customHeight="true" outlineLevel="0" collapsed="false">
      <c r="A59" s="16" t="s">
        <v>719</v>
      </c>
      <c r="B59" s="16" t="s">
        <v>313</v>
      </c>
      <c r="C59" s="16" t="s">
        <v>720</v>
      </c>
      <c r="D59" s="16" t="s">
        <v>659</v>
      </c>
      <c r="E59" s="16" t="s">
        <v>502</v>
      </c>
      <c r="F59" s="17" t="s">
        <v>208</v>
      </c>
      <c r="G59" s="18" t="n">
        <f aca="false">IFERROR(INDEX('Semrush Data'!$C$2:$C$5000,MATCH(F59,'Semrush Data'!$A$2:$A$5000,0)),"")</f>
        <v>3600</v>
      </c>
      <c r="H59" s="16" t="n">
        <f aca="false">IFERROR(INDEX('Semrush Data'!$D$2:$D$5000,MATCH(F59,'Semrush Data'!$A$2:$A$5000,0)),"")</f>
        <v>22</v>
      </c>
      <c r="I59" s="16" t="s">
        <v>235</v>
      </c>
      <c r="J59" s="18" t="n">
        <f aca="false">IFERROR(INDEX('Semrush Data'!$C$2:$C$5000,MATCH(I59,'Semrush Data'!$A$2:$A$5000,0)),"")</f>
        <v>480</v>
      </c>
      <c r="K59" s="16" t="s">
        <v>683</v>
      </c>
      <c r="L59" s="16" t="s">
        <v>720</v>
      </c>
      <c r="M59" s="16" t="s">
        <v>721</v>
      </c>
      <c r="N59" s="19" t="n">
        <f aca="false">LEN(M59)</f>
        <v>55</v>
      </c>
      <c r="O59" s="20" t="s">
        <v>722</v>
      </c>
      <c r="P59" s="19" t="n">
        <f aca="false">LEN(O59)</f>
        <v>150</v>
      </c>
      <c r="Q59" s="20" t="s">
        <v>723</v>
      </c>
      <c r="R59" s="20"/>
      <c r="S59" s="16" t="s">
        <v>322</v>
      </c>
      <c r="T59" s="20"/>
    </row>
    <row r="60" customFormat="false" ht="34.5" hidden="false" customHeight="true" outlineLevel="0" collapsed="false">
      <c r="A60" s="16" t="s">
        <v>724</v>
      </c>
      <c r="B60" s="16" t="s">
        <v>313</v>
      </c>
      <c r="C60" s="16" t="s">
        <v>725</v>
      </c>
      <c r="D60" s="16" t="s">
        <v>659</v>
      </c>
      <c r="E60" s="16" t="s">
        <v>526</v>
      </c>
      <c r="F60" s="17" t="s">
        <v>167</v>
      </c>
      <c r="G60" s="18" t="n">
        <f aca="false">IFERROR(INDEX('Semrush Data'!$C$2:$C$5000,MATCH(F60,'Semrush Data'!$A$2:$A$5000,0)),"")</f>
        <v>320</v>
      </c>
      <c r="H60" s="16" t="n">
        <f aca="false">IFERROR(INDEX('Semrush Data'!$D$2:$D$5000,MATCH(F60,'Semrush Data'!$A$2:$A$5000,0)),"")</f>
        <v>10</v>
      </c>
      <c r="I60" s="16" t="s">
        <v>235</v>
      </c>
      <c r="J60" s="18" t="n">
        <f aca="false">IFERROR(INDEX('Semrush Data'!$C$2:$C$5000,MATCH(I60,'Semrush Data'!$A$2:$A$5000,0)),"")</f>
        <v>480</v>
      </c>
      <c r="K60" s="16" t="s">
        <v>603</v>
      </c>
      <c r="L60" s="16" t="s">
        <v>726</v>
      </c>
      <c r="M60" s="16" t="s">
        <v>727</v>
      </c>
      <c r="N60" s="19" t="n">
        <f aca="false">LEN(M60)</f>
        <v>50</v>
      </c>
      <c r="O60" s="20" t="s">
        <v>728</v>
      </c>
      <c r="P60" s="19" t="n">
        <f aca="false">LEN(O60)</f>
        <v>156</v>
      </c>
      <c r="Q60" s="20" t="s">
        <v>729</v>
      </c>
      <c r="R60" s="20"/>
      <c r="S60" s="16" t="s">
        <v>322</v>
      </c>
      <c r="T60" s="20" t="s">
        <v>333</v>
      </c>
    </row>
    <row r="61" customFormat="false" ht="23.25" hidden="false" customHeight="true" outlineLevel="0" collapsed="false">
      <c r="A61" s="16" t="s">
        <v>730</v>
      </c>
      <c r="B61" s="16" t="s">
        <v>313</v>
      </c>
      <c r="C61" s="16" t="s">
        <v>731</v>
      </c>
      <c r="D61" s="16" t="s">
        <v>659</v>
      </c>
      <c r="E61" s="16" t="s">
        <v>356</v>
      </c>
      <c r="F61" s="17" t="s">
        <v>203</v>
      </c>
      <c r="G61" s="18" t="n">
        <f aca="false">IFERROR(INDEX('Semrush Data'!$C$2:$C$5000,MATCH(F61,'Semrush Data'!$A$2:$A$5000,0)),"")</f>
        <v>3600</v>
      </c>
      <c r="H61" s="16" t="n">
        <f aca="false">IFERROR(INDEX('Semrush Data'!$D$2:$D$5000,MATCH(F61,'Semrush Data'!$A$2:$A$5000,0)),"")</f>
        <v>24</v>
      </c>
      <c r="I61" s="16" t="s">
        <v>235</v>
      </c>
      <c r="J61" s="18" t="n">
        <f aca="false">IFERROR(INDEX('Semrush Data'!$C$2:$C$5000,MATCH(I61,'Semrush Data'!$A$2:$A$5000,0)),"")</f>
        <v>480</v>
      </c>
      <c r="K61" s="16" t="s">
        <v>357</v>
      </c>
      <c r="L61" s="16" t="s">
        <v>732</v>
      </c>
      <c r="M61" s="16" t="s">
        <v>733</v>
      </c>
      <c r="N61" s="19" t="n">
        <f aca="false">LEN(M61)</f>
        <v>56</v>
      </c>
      <c r="O61" s="20" t="s">
        <v>734</v>
      </c>
      <c r="P61" s="19" t="n">
        <f aca="false">LEN(O61)</f>
        <v>145</v>
      </c>
      <c r="Q61" s="20" t="s">
        <v>735</v>
      </c>
      <c r="R61" s="20"/>
      <c r="S61" s="16" t="s">
        <v>362</v>
      </c>
      <c r="T61" s="20" t="s">
        <v>333</v>
      </c>
    </row>
    <row r="62" customFormat="false" ht="23.25" hidden="false" customHeight="true" outlineLevel="0" collapsed="false">
      <c r="A62" s="16" t="s">
        <v>736</v>
      </c>
      <c r="B62" s="16" t="s">
        <v>313</v>
      </c>
      <c r="C62" s="16" t="s">
        <v>737</v>
      </c>
      <c r="D62" s="16" t="s">
        <v>659</v>
      </c>
      <c r="E62" s="16" t="s">
        <v>526</v>
      </c>
      <c r="F62" s="17" t="s">
        <v>167</v>
      </c>
      <c r="G62" s="18" t="n">
        <f aca="false">IFERROR(INDEX('Semrush Data'!$C$2:$C$5000,MATCH(F62,'Semrush Data'!$A$2:$A$5000,0)),"")</f>
        <v>320</v>
      </c>
      <c r="H62" s="16" t="n">
        <f aca="false">IFERROR(INDEX('Semrush Data'!$D$2:$D$5000,MATCH(F62,'Semrush Data'!$A$2:$A$5000,0)),"")</f>
        <v>10</v>
      </c>
      <c r="I62" s="16" t="s">
        <v>235</v>
      </c>
      <c r="J62" s="18" t="n">
        <f aca="false">IFERROR(INDEX('Semrush Data'!$C$2:$C$5000,MATCH(I62,'Semrush Data'!$A$2:$A$5000,0)),"")</f>
        <v>480</v>
      </c>
      <c r="K62" s="16" t="s">
        <v>603</v>
      </c>
      <c r="L62" s="16" t="s">
        <v>738</v>
      </c>
      <c r="M62" s="16" t="s">
        <v>739</v>
      </c>
      <c r="N62" s="19" t="n">
        <f aca="false">LEN(M62)</f>
        <v>60</v>
      </c>
      <c r="O62" s="20" t="s">
        <v>740</v>
      </c>
      <c r="P62" s="19" t="n">
        <f aca="false">LEN(O62)</f>
        <v>155</v>
      </c>
      <c r="Q62" s="20" t="s">
        <v>741</v>
      </c>
      <c r="R62" s="20"/>
      <c r="S62" s="16" t="s">
        <v>362</v>
      </c>
      <c r="T62" s="20" t="s">
        <v>333</v>
      </c>
    </row>
    <row r="63" customFormat="false" ht="23.25" hidden="false" customHeight="true" outlineLevel="0" collapsed="false">
      <c r="A63" s="16" t="s">
        <v>742</v>
      </c>
      <c r="B63" s="16" t="s">
        <v>313</v>
      </c>
      <c r="C63" s="16" t="s">
        <v>743</v>
      </c>
      <c r="D63" s="16" t="s">
        <v>659</v>
      </c>
      <c r="E63" s="16" t="s">
        <v>744</v>
      </c>
      <c r="F63" s="17" t="s">
        <v>208</v>
      </c>
      <c r="G63" s="18" t="n">
        <f aca="false">IFERROR(INDEX('Semrush Data'!$C$2:$C$5000,MATCH(F63,'Semrush Data'!$A$2:$A$5000,0)),"")</f>
        <v>3600</v>
      </c>
      <c r="H63" s="16" t="n">
        <f aca="false">IFERROR(INDEX('Semrush Data'!$D$2:$D$5000,MATCH(F63,'Semrush Data'!$A$2:$A$5000,0)),"")</f>
        <v>22</v>
      </c>
      <c r="I63" s="16" t="s">
        <v>235</v>
      </c>
      <c r="J63" s="18" t="n">
        <f aca="false">IFERROR(INDEX('Semrush Data'!$C$2:$C$5000,MATCH(I63,'Semrush Data'!$A$2:$A$5000,0)),"")</f>
        <v>480</v>
      </c>
      <c r="K63" s="16" t="s">
        <v>683</v>
      </c>
      <c r="L63" s="16" t="s">
        <v>743</v>
      </c>
      <c r="M63" s="16" t="s">
        <v>745</v>
      </c>
      <c r="N63" s="19" t="n">
        <f aca="false">LEN(M63)</f>
        <v>57</v>
      </c>
      <c r="O63" s="20" t="s">
        <v>746</v>
      </c>
      <c r="P63" s="19" t="n">
        <f aca="false">LEN(O63)</f>
        <v>152</v>
      </c>
      <c r="Q63" s="20" t="s">
        <v>747</v>
      </c>
      <c r="R63" s="20"/>
      <c r="S63" s="16" t="s">
        <v>362</v>
      </c>
      <c r="T63" s="20" t="s">
        <v>333</v>
      </c>
    </row>
    <row r="64" customFormat="false" ht="45.75" hidden="false" customHeight="true" outlineLevel="0" collapsed="false">
      <c r="A64" s="16" t="s">
        <v>748</v>
      </c>
      <c r="B64" s="16" t="s">
        <v>313</v>
      </c>
      <c r="C64" s="16" t="s">
        <v>749</v>
      </c>
      <c r="D64" s="16" t="s">
        <v>659</v>
      </c>
      <c r="E64" s="16" t="s">
        <v>526</v>
      </c>
      <c r="F64" s="17" t="s">
        <v>167</v>
      </c>
      <c r="G64" s="18" t="n">
        <f aca="false">IFERROR(INDEX('Semrush Data'!$C$2:$C$5000,MATCH(F64,'Semrush Data'!$A$2:$A$5000,0)),"")</f>
        <v>320</v>
      </c>
      <c r="H64" s="16" t="n">
        <f aca="false">IFERROR(INDEX('Semrush Data'!$D$2:$D$5000,MATCH(F64,'Semrush Data'!$A$2:$A$5000,0)),"")</f>
        <v>10</v>
      </c>
      <c r="I64" s="16" t="s">
        <v>235</v>
      </c>
      <c r="J64" s="18" t="n">
        <f aca="false">IFERROR(INDEX('Semrush Data'!$C$2:$C$5000,MATCH(I64,'Semrush Data'!$A$2:$A$5000,0)),"")</f>
        <v>480</v>
      </c>
      <c r="K64" s="16" t="s">
        <v>603</v>
      </c>
      <c r="L64" s="16" t="s">
        <v>749</v>
      </c>
      <c r="M64" s="16" t="s">
        <v>750</v>
      </c>
      <c r="N64" s="19" t="n">
        <f aca="false">LEN(M64)</f>
        <v>58</v>
      </c>
      <c r="O64" s="20" t="s">
        <v>751</v>
      </c>
      <c r="P64" s="19" t="n">
        <f aca="false">LEN(O64)</f>
        <v>160</v>
      </c>
      <c r="Q64" s="20" t="s">
        <v>752</v>
      </c>
      <c r="R64" s="20"/>
      <c r="S64" s="16" t="s">
        <v>322</v>
      </c>
      <c r="T64" s="20" t="s">
        <v>333</v>
      </c>
    </row>
    <row r="65" customFormat="false" ht="45.75" hidden="false" customHeight="true" outlineLevel="0" collapsed="false">
      <c r="A65" s="16" t="s">
        <v>753</v>
      </c>
      <c r="B65" s="16" t="s">
        <v>313</v>
      </c>
      <c r="C65" s="16" t="s">
        <v>754</v>
      </c>
      <c r="D65" s="16" t="s">
        <v>659</v>
      </c>
      <c r="E65" s="16" t="s">
        <v>526</v>
      </c>
      <c r="F65" s="17" t="s">
        <v>167</v>
      </c>
      <c r="G65" s="18" t="n">
        <f aca="false">IFERROR(INDEX('Semrush Data'!$C$2:$C$5000,MATCH(F65,'Semrush Data'!$A$2:$A$5000,0)),"")</f>
        <v>320</v>
      </c>
      <c r="H65" s="16" t="n">
        <f aca="false">IFERROR(INDEX('Semrush Data'!$D$2:$D$5000,MATCH(F65,'Semrush Data'!$A$2:$A$5000,0)),"")</f>
        <v>10</v>
      </c>
      <c r="I65" s="16" t="s">
        <v>235</v>
      </c>
      <c r="J65" s="18" t="n">
        <f aca="false">IFERROR(INDEX('Semrush Data'!$C$2:$C$5000,MATCH(I65,'Semrush Data'!$A$2:$A$5000,0)),"")</f>
        <v>480</v>
      </c>
      <c r="K65" s="16" t="s">
        <v>603</v>
      </c>
      <c r="L65" s="16" t="s">
        <v>754</v>
      </c>
      <c r="M65" s="16" t="s">
        <v>755</v>
      </c>
      <c r="N65" s="19" t="n">
        <f aca="false">LEN(M65)</f>
        <v>52</v>
      </c>
      <c r="O65" s="20" t="s">
        <v>756</v>
      </c>
      <c r="P65" s="19" t="n">
        <f aca="false">LEN(O65)</f>
        <v>158</v>
      </c>
      <c r="Q65" s="20" t="s">
        <v>757</v>
      </c>
      <c r="R65" s="20"/>
      <c r="S65" s="16" t="s">
        <v>322</v>
      </c>
      <c r="T65" s="20" t="s">
        <v>333</v>
      </c>
    </row>
    <row r="66" customFormat="false" ht="23.25" hidden="false" customHeight="true" outlineLevel="0" collapsed="false">
      <c r="A66" s="16" t="s">
        <v>758</v>
      </c>
      <c r="B66" s="16" t="s">
        <v>313</v>
      </c>
      <c r="C66" s="16" t="s">
        <v>759</v>
      </c>
      <c r="D66" s="16" t="s">
        <v>659</v>
      </c>
      <c r="E66" s="16" t="s">
        <v>375</v>
      </c>
      <c r="F66" s="17" t="s">
        <v>221</v>
      </c>
      <c r="G66" s="18" t="n">
        <f aca="false">IFERROR(INDEX('Semrush Data'!$C$2:$C$5000,MATCH(F66,'Semrush Data'!$A$2:$A$5000,0)),"")</f>
        <v>1300</v>
      </c>
      <c r="H66" s="16" t="n">
        <f aca="false">IFERROR(INDEX('Semrush Data'!$D$2:$D$5000,MATCH(F66,'Semrush Data'!$A$2:$A$5000,0)),"")</f>
        <v>16</v>
      </c>
      <c r="I66" s="16" t="s">
        <v>235</v>
      </c>
      <c r="J66" s="18" t="n">
        <f aca="false">IFERROR(INDEX('Semrush Data'!$C$2:$C$5000,MATCH(I66,'Semrush Data'!$A$2:$A$5000,0)),"")</f>
        <v>480</v>
      </c>
      <c r="K66" s="16" t="s">
        <v>660</v>
      </c>
      <c r="L66" s="16" t="s">
        <v>760</v>
      </c>
      <c r="M66" s="16" t="s">
        <v>761</v>
      </c>
      <c r="N66" s="19" t="n">
        <f aca="false">LEN(M66)</f>
        <v>52</v>
      </c>
      <c r="O66" s="20" t="s">
        <v>762</v>
      </c>
      <c r="P66" s="19" t="n">
        <f aca="false">LEN(O66)</f>
        <v>158</v>
      </c>
      <c r="Q66" s="20" t="s">
        <v>763</v>
      </c>
      <c r="R66" s="20"/>
      <c r="S66" s="16" t="s">
        <v>343</v>
      </c>
      <c r="T66" s="20"/>
    </row>
    <row r="67" customFormat="false" ht="23.25" hidden="false" customHeight="true" outlineLevel="0" collapsed="false">
      <c r="A67" s="16" t="s">
        <v>764</v>
      </c>
      <c r="B67" s="16" t="s">
        <v>313</v>
      </c>
      <c r="C67" s="16" t="s">
        <v>765</v>
      </c>
      <c r="D67" s="16" t="s">
        <v>659</v>
      </c>
      <c r="E67" s="16" t="s">
        <v>502</v>
      </c>
      <c r="F67" s="17" t="s">
        <v>208</v>
      </c>
      <c r="G67" s="18" t="n">
        <f aca="false">IFERROR(INDEX('Semrush Data'!$C$2:$C$5000,MATCH(F67,'Semrush Data'!$A$2:$A$5000,0)),"")</f>
        <v>3600</v>
      </c>
      <c r="H67" s="16" t="n">
        <f aca="false">IFERROR(INDEX('Semrush Data'!$D$2:$D$5000,MATCH(F67,'Semrush Data'!$A$2:$A$5000,0)),"")</f>
        <v>22</v>
      </c>
      <c r="I67" s="16" t="s">
        <v>235</v>
      </c>
      <c r="J67" s="18" t="n">
        <f aca="false">IFERROR(INDEX('Semrush Data'!$C$2:$C$5000,MATCH(I67,'Semrush Data'!$A$2:$A$5000,0)),"")</f>
        <v>480</v>
      </c>
      <c r="K67" s="16" t="s">
        <v>683</v>
      </c>
      <c r="L67" s="16" t="s">
        <v>765</v>
      </c>
      <c r="M67" s="16" t="s">
        <v>766</v>
      </c>
      <c r="N67" s="19" t="n">
        <f aca="false">LEN(M67)</f>
        <v>51</v>
      </c>
      <c r="O67" s="20" t="s">
        <v>767</v>
      </c>
      <c r="P67" s="19" t="n">
        <f aca="false">LEN(O67)</f>
        <v>146</v>
      </c>
      <c r="Q67" s="20" t="s">
        <v>768</v>
      </c>
      <c r="R67" s="20"/>
      <c r="S67" s="16" t="s">
        <v>362</v>
      </c>
      <c r="T67" s="20" t="s">
        <v>333</v>
      </c>
    </row>
    <row r="68" customFormat="false" ht="23.25" hidden="false" customHeight="true" outlineLevel="0" collapsed="false">
      <c r="A68" s="16" t="s">
        <v>769</v>
      </c>
      <c r="B68" s="16" t="s">
        <v>313</v>
      </c>
      <c r="C68" s="16" t="s">
        <v>770</v>
      </c>
      <c r="D68" s="16" t="s">
        <v>659</v>
      </c>
      <c r="E68" s="16" t="s">
        <v>347</v>
      </c>
      <c r="F68" s="17" t="s">
        <v>158</v>
      </c>
      <c r="G68" s="18" t="n">
        <f aca="false">IFERROR(INDEX('Semrush Data'!$C$2:$C$5000,MATCH(F68,'Semrush Data'!$A$2:$A$5000,0)),"")</f>
        <v>1300</v>
      </c>
      <c r="H68" s="16" t="n">
        <f aca="false">IFERROR(INDEX('Semrush Data'!$D$2:$D$5000,MATCH(F68,'Semrush Data'!$A$2:$A$5000,0)),"")</f>
        <v>11</v>
      </c>
      <c r="I68" s="16" t="s">
        <v>235</v>
      </c>
      <c r="J68" s="18" t="n">
        <f aca="false">IFERROR(INDEX('Semrush Data'!$C$2:$C$5000,MATCH(I68,'Semrush Data'!$A$2:$A$5000,0)),"")</f>
        <v>480</v>
      </c>
      <c r="K68" s="16" t="s">
        <v>446</v>
      </c>
      <c r="L68" s="16" t="s">
        <v>771</v>
      </c>
      <c r="M68" s="16" t="s">
        <v>772</v>
      </c>
      <c r="N68" s="19" t="n">
        <f aca="false">LEN(M68)</f>
        <v>55</v>
      </c>
      <c r="O68" s="20" t="s">
        <v>773</v>
      </c>
      <c r="P68" s="19" t="n">
        <f aca="false">LEN(O68)</f>
        <v>159</v>
      </c>
      <c r="Q68" s="20" t="s">
        <v>774</v>
      </c>
      <c r="R68" s="20"/>
      <c r="S68" s="16" t="s">
        <v>343</v>
      </c>
      <c r="T68" s="20"/>
    </row>
    <row r="69" customFormat="false" ht="57" hidden="false" customHeight="true" outlineLevel="0" collapsed="false">
      <c r="A69" s="16" t="s">
        <v>775</v>
      </c>
      <c r="B69" s="16" t="s">
        <v>313</v>
      </c>
      <c r="C69" s="16" t="s">
        <v>776</v>
      </c>
      <c r="D69" s="16" t="s">
        <v>659</v>
      </c>
      <c r="E69" s="16" t="s">
        <v>397</v>
      </c>
      <c r="F69" s="17" t="s">
        <v>160</v>
      </c>
      <c r="G69" s="18" t="n">
        <f aca="false">IFERROR(INDEX('Semrush Data'!$C$2:$C$5000,MATCH(F69,'Semrush Data'!$A$2:$A$5000,0)),"")</f>
        <v>1000</v>
      </c>
      <c r="H69" s="16" t="n">
        <f aca="false">IFERROR(INDEX('Semrush Data'!$D$2:$D$5000,MATCH(F69,'Semrush Data'!$A$2:$A$5000,0)),"")</f>
        <v>41</v>
      </c>
      <c r="I69" s="16" t="s">
        <v>235</v>
      </c>
      <c r="J69" s="18" t="n">
        <f aca="false">IFERROR(INDEX('Semrush Data'!$C$2:$C$5000,MATCH(I69,'Semrush Data'!$A$2:$A$5000,0)),"")</f>
        <v>480</v>
      </c>
      <c r="K69" s="16" t="s">
        <v>398</v>
      </c>
      <c r="L69" s="16" t="s">
        <v>777</v>
      </c>
      <c r="M69" s="16" t="s">
        <v>778</v>
      </c>
      <c r="N69" s="19" t="n">
        <f aca="false">LEN(M69)</f>
        <v>50</v>
      </c>
      <c r="O69" s="20" t="s">
        <v>779</v>
      </c>
      <c r="P69" s="19" t="n">
        <f aca="false">LEN(O69)</f>
        <v>158</v>
      </c>
      <c r="Q69" s="20" t="s">
        <v>780</v>
      </c>
      <c r="R69" s="20"/>
      <c r="S69" s="16" t="s">
        <v>322</v>
      </c>
      <c r="T69" s="20" t="s">
        <v>333</v>
      </c>
    </row>
    <row r="70" customFormat="false" ht="23.25" hidden="false" customHeight="true" outlineLevel="0" collapsed="false">
      <c r="A70" s="16" t="s">
        <v>781</v>
      </c>
      <c r="B70" s="16" t="s">
        <v>313</v>
      </c>
      <c r="C70" s="16" t="s">
        <v>782</v>
      </c>
      <c r="D70" s="16" t="s">
        <v>659</v>
      </c>
      <c r="E70" s="16" t="s">
        <v>492</v>
      </c>
      <c r="F70" s="17" t="s">
        <v>159</v>
      </c>
      <c r="G70" s="18" t="n">
        <f aca="false">IFERROR(INDEX('Semrush Data'!$C$2:$C$5000,MATCH(F70,'Semrush Data'!$A$2:$A$5000,0)),"")</f>
        <v>1000</v>
      </c>
      <c r="H70" s="16" t="n">
        <f aca="false">IFERROR(INDEX('Semrush Data'!$D$2:$D$5000,MATCH(F70,'Semrush Data'!$A$2:$A$5000,0)),"")</f>
        <v>27</v>
      </c>
      <c r="I70" s="16" t="s">
        <v>235</v>
      </c>
      <c r="J70" s="18" t="n">
        <f aca="false">IFERROR(INDEX('Semrush Data'!$C$2:$C$5000,MATCH(I70,'Semrush Data'!$A$2:$A$5000,0)),"")</f>
        <v>480</v>
      </c>
      <c r="K70" s="16" t="s">
        <v>493</v>
      </c>
      <c r="L70" s="16" t="s">
        <v>782</v>
      </c>
      <c r="M70" s="16" t="s">
        <v>783</v>
      </c>
      <c r="N70" s="19" t="n">
        <f aca="false">LEN(M70)</f>
        <v>57</v>
      </c>
      <c r="O70" s="20" t="s">
        <v>784</v>
      </c>
      <c r="P70" s="19" t="n">
        <f aca="false">LEN(O70)</f>
        <v>153</v>
      </c>
      <c r="Q70" s="20" t="s">
        <v>785</v>
      </c>
      <c r="R70" s="20"/>
      <c r="S70" s="16" t="s">
        <v>343</v>
      </c>
      <c r="T70" s="20"/>
    </row>
    <row r="71" customFormat="false" ht="34.5" hidden="false" customHeight="true" outlineLevel="0" collapsed="false">
      <c r="A71" s="16" t="s">
        <v>786</v>
      </c>
      <c r="B71" s="16" t="s">
        <v>313</v>
      </c>
      <c r="C71" s="16" t="s">
        <v>787</v>
      </c>
      <c r="D71" s="16" t="s">
        <v>659</v>
      </c>
      <c r="E71" s="16" t="s">
        <v>561</v>
      </c>
      <c r="F71" s="17" t="s">
        <v>153</v>
      </c>
      <c r="G71" s="18" t="n">
        <f aca="false">IFERROR(INDEX('Semrush Data'!$C$2:$C$5000,MATCH(F71,'Semrush Data'!$A$2:$A$5000,0)),"")</f>
        <v>2400</v>
      </c>
      <c r="H71" s="16" t="n">
        <f aca="false">IFERROR(INDEX('Semrush Data'!$D$2:$D$5000,MATCH(F71,'Semrush Data'!$A$2:$A$5000,0)),"")</f>
        <v>13</v>
      </c>
      <c r="I71" s="16" t="s">
        <v>235</v>
      </c>
      <c r="J71" s="18" t="n">
        <f aca="false">IFERROR(INDEX('Semrush Data'!$C$2:$C$5000,MATCH(I71,'Semrush Data'!$A$2:$A$5000,0)),"")</f>
        <v>480</v>
      </c>
      <c r="K71" s="16" t="s">
        <v>414</v>
      </c>
      <c r="L71" s="16" t="s">
        <v>787</v>
      </c>
      <c r="M71" s="16" t="s">
        <v>788</v>
      </c>
      <c r="N71" s="19" t="n">
        <f aca="false">LEN(M71)</f>
        <v>51</v>
      </c>
      <c r="O71" s="20" t="s">
        <v>789</v>
      </c>
      <c r="P71" s="19" t="n">
        <f aca="false">LEN(O71)</f>
        <v>159</v>
      </c>
      <c r="Q71" s="20" t="s">
        <v>790</v>
      </c>
      <c r="R71" s="20"/>
      <c r="S71" s="16" t="s">
        <v>322</v>
      </c>
      <c r="T71" s="20" t="s">
        <v>333</v>
      </c>
    </row>
    <row r="72" customFormat="false" ht="23.25" hidden="false" customHeight="true" outlineLevel="0" collapsed="false">
      <c r="A72" s="16" t="s">
        <v>791</v>
      </c>
      <c r="B72" s="16" t="s">
        <v>313</v>
      </c>
      <c r="C72" s="16" t="s">
        <v>792</v>
      </c>
      <c r="D72" s="16" t="s">
        <v>659</v>
      </c>
      <c r="E72" s="16" t="s">
        <v>561</v>
      </c>
      <c r="F72" s="17" t="s">
        <v>153</v>
      </c>
      <c r="G72" s="18" t="n">
        <f aca="false">IFERROR(INDEX('Semrush Data'!$C$2:$C$5000,MATCH(F72,'Semrush Data'!$A$2:$A$5000,0)),"")</f>
        <v>2400</v>
      </c>
      <c r="H72" s="16" t="n">
        <f aca="false">IFERROR(INDEX('Semrush Data'!$D$2:$D$5000,MATCH(F72,'Semrush Data'!$A$2:$A$5000,0)),"")</f>
        <v>13</v>
      </c>
      <c r="I72" s="16" t="s">
        <v>235</v>
      </c>
      <c r="J72" s="18" t="n">
        <f aca="false">IFERROR(INDEX('Semrush Data'!$C$2:$C$5000,MATCH(I72,'Semrush Data'!$A$2:$A$5000,0)),"")</f>
        <v>480</v>
      </c>
      <c r="K72" s="16" t="s">
        <v>414</v>
      </c>
      <c r="L72" s="16" t="s">
        <v>792</v>
      </c>
      <c r="M72" s="16" t="s">
        <v>793</v>
      </c>
      <c r="N72" s="19" t="n">
        <f aca="false">LEN(M72)</f>
        <v>58</v>
      </c>
      <c r="O72" s="20" t="s">
        <v>794</v>
      </c>
      <c r="P72" s="19" t="n">
        <f aca="false">LEN(O72)</f>
        <v>148</v>
      </c>
      <c r="Q72" s="20" t="s">
        <v>795</v>
      </c>
      <c r="R72" s="20"/>
      <c r="S72" s="16" t="s">
        <v>362</v>
      </c>
      <c r="T72" s="20" t="s">
        <v>333</v>
      </c>
    </row>
    <row r="73" customFormat="false" ht="45.75" hidden="false" customHeight="true" outlineLevel="0" collapsed="false">
      <c r="A73" s="16" t="s">
        <v>796</v>
      </c>
      <c r="B73" s="16" t="s">
        <v>313</v>
      </c>
      <c r="C73" s="16" t="s">
        <v>797</v>
      </c>
      <c r="D73" s="16" t="s">
        <v>659</v>
      </c>
      <c r="E73" s="16" t="s">
        <v>798</v>
      </c>
      <c r="F73" s="17" t="s">
        <v>208</v>
      </c>
      <c r="G73" s="18" t="n">
        <f aca="false">IFERROR(INDEX('Semrush Data'!$C$2:$C$5000,MATCH(F73,'Semrush Data'!$A$2:$A$5000,0)),"")</f>
        <v>3600</v>
      </c>
      <c r="H73" s="16" t="n">
        <f aca="false">IFERROR(INDEX('Semrush Data'!$D$2:$D$5000,MATCH(F73,'Semrush Data'!$A$2:$A$5000,0)),"")</f>
        <v>22</v>
      </c>
      <c r="I73" s="16" t="s">
        <v>235</v>
      </c>
      <c r="J73" s="18" t="n">
        <f aca="false">IFERROR(INDEX('Semrush Data'!$C$2:$C$5000,MATCH(I73,'Semrush Data'!$A$2:$A$5000,0)),"")</f>
        <v>480</v>
      </c>
      <c r="K73" s="16" t="s">
        <v>683</v>
      </c>
      <c r="L73" s="16" t="s">
        <v>797</v>
      </c>
      <c r="M73" s="16" t="s">
        <v>799</v>
      </c>
      <c r="N73" s="19" t="n">
        <f aca="false">LEN(M73)</f>
        <v>60</v>
      </c>
      <c r="O73" s="20" t="s">
        <v>800</v>
      </c>
      <c r="P73" s="19" t="n">
        <f aca="false">LEN(O73)</f>
        <v>155</v>
      </c>
      <c r="Q73" s="20" t="s">
        <v>801</v>
      </c>
      <c r="R73" s="20"/>
      <c r="S73" s="16" t="s">
        <v>322</v>
      </c>
      <c r="T73" s="20"/>
    </row>
    <row r="74" customFormat="false" ht="34.5" hidden="false" customHeight="true" outlineLevel="0" collapsed="false">
      <c r="A74" s="16" t="s">
        <v>802</v>
      </c>
      <c r="B74" s="16" t="s">
        <v>313</v>
      </c>
      <c r="C74" s="16" t="s">
        <v>803</v>
      </c>
      <c r="D74" s="16" t="s">
        <v>659</v>
      </c>
      <c r="E74" s="16" t="s">
        <v>804</v>
      </c>
      <c r="F74" s="17" t="s">
        <v>208</v>
      </c>
      <c r="G74" s="18" t="n">
        <f aca="false">IFERROR(INDEX('Semrush Data'!$C$2:$C$5000,MATCH(F74,'Semrush Data'!$A$2:$A$5000,0)),"")</f>
        <v>3600</v>
      </c>
      <c r="H74" s="16" t="n">
        <f aca="false">IFERROR(INDEX('Semrush Data'!$D$2:$D$5000,MATCH(F74,'Semrush Data'!$A$2:$A$5000,0)),"")</f>
        <v>22</v>
      </c>
      <c r="I74" s="16" t="s">
        <v>235</v>
      </c>
      <c r="J74" s="18" t="n">
        <f aca="false">IFERROR(INDEX('Semrush Data'!$C$2:$C$5000,MATCH(I74,'Semrush Data'!$A$2:$A$5000,0)),"")</f>
        <v>480</v>
      </c>
      <c r="K74" s="16" t="s">
        <v>683</v>
      </c>
      <c r="L74" s="16" t="s">
        <v>803</v>
      </c>
      <c r="M74" s="16" t="s">
        <v>805</v>
      </c>
      <c r="N74" s="19" t="n">
        <f aca="false">LEN(M74)</f>
        <v>56</v>
      </c>
      <c r="O74" s="20" t="s">
        <v>806</v>
      </c>
      <c r="P74" s="19" t="n">
        <f aca="false">LEN(O74)</f>
        <v>151</v>
      </c>
      <c r="Q74" s="20" t="s">
        <v>807</v>
      </c>
      <c r="R74" s="20"/>
      <c r="S74" s="16" t="s">
        <v>322</v>
      </c>
      <c r="T74" s="20" t="s">
        <v>333</v>
      </c>
    </row>
    <row r="75" customFormat="false" ht="45.75" hidden="false" customHeight="true" outlineLevel="0" collapsed="false">
      <c r="A75" s="16" t="s">
        <v>808</v>
      </c>
      <c r="B75" s="16" t="s">
        <v>313</v>
      </c>
      <c r="C75" s="16" t="s">
        <v>809</v>
      </c>
      <c r="D75" s="16" t="s">
        <v>659</v>
      </c>
      <c r="E75" s="16" t="s">
        <v>375</v>
      </c>
      <c r="F75" s="17" t="s">
        <v>221</v>
      </c>
      <c r="G75" s="18" t="n">
        <f aca="false">IFERROR(INDEX('Semrush Data'!$C$2:$C$5000,MATCH(F75,'Semrush Data'!$A$2:$A$5000,0)),"")</f>
        <v>1300</v>
      </c>
      <c r="H75" s="16" t="n">
        <f aca="false">IFERROR(INDEX('Semrush Data'!$D$2:$D$5000,MATCH(F75,'Semrush Data'!$A$2:$A$5000,0)),"")</f>
        <v>16</v>
      </c>
      <c r="I75" s="16" t="s">
        <v>235</v>
      </c>
      <c r="J75" s="18" t="n">
        <f aca="false">IFERROR(INDEX('Semrush Data'!$C$2:$C$5000,MATCH(I75,'Semrush Data'!$A$2:$A$5000,0)),"")</f>
        <v>480</v>
      </c>
      <c r="K75" s="16" t="s">
        <v>660</v>
      </c>
      <c r="L75" s="16" t="s">
        <v>809</v>
      </c>
      <c r="M75" s="16" t="s">
        <v>810</v>
      </c>
      <c r="N75" s="19" t="n">
        <f aca="false">LEN(M75)</f>
        <v>60</v>
      </c>
      <c r="O75" s="20" t="s">
        <v>811</v>
      </c>
      <c r="P75" s="19" t="n">
        <f aca="false">LEN(O75)</f>
        <v>155</v>
      </c>
      <c r="Q75" s="20" t="s">
        <v>812</v>
      </c>
      <c r="R75" s="20"/>
      <c r="S75" s="16" t="s">
        <v>322</v>
      </c>
      <c r="T75" s="20" t="s">
        <v>333</v>
      </c>
    </row>
    <row r="76" customFormat="false" ht="23.25" hidden="false" customHeight="true" outlineLevel="0" collapsed="false">
      <c r="A76" s="16" t="s">
        <v>813</v>
      </c>
      <c r="B76" s="16" t="s">
        <v>313</v>
      </c>
      <c r="C76" s="16" t="s">
        <v>814</v>
      </c>
      <c r="D76" s="16" t="s">
        <v>659</v>
      </c>
      <c r="E76" s="16" t="s">
        <v>492</v>
      </c>
      <c r="F76" s="17" t="s">
        <v>159</v>
      </c>
      <c r="G76" s="18" t="n">
        <f aca="false">IFERROR(INDEX('Semrush Data'!$C$2:$C$5000,MATCH(F76,'Semrush Data'!$A$2:$A$5000,0)),"")</f>
        <v>1000</v>
      </c>
      <c r="H76" s="16" t="n">
        <f aca="false">IFERROR(INDEX('Semrush Data'!$D$2:$D$5000,MATCH(F76,'Semrush Data'!$A$2:$A$5000,0)),"")</f>
        <v>27</v>
      </c>
      <c r="I76" s="16" t="s">
        <v>235</v>
      </c>
      <c r="J76" s="18" t="n">
        <f aca="false">IFERROR(INDEX('Semrush Data'!$C$2:$C$5000,MATCH(I76,'Semrush Data'!$A$2:$A$5000,0)),"")</f>
        <v>480</v>
      </c>
      <c r="K76" s="16" t="s">
        <v>493</v>
      </c>
      <c r="L76" s="16" t="s">
        <v>814</v>
      </c>
      <c r="M76" s="16" t="s">
        <v>815</v>
      </c>
      <c r="N76" s="19" t="n">
        <f aca="false">LEN(M76)</f>
        <v>55</v>
      </c>
      <c r="O76" s="20" t="s">
        <v>816</v>
      </c>
      <c r="P76" s="19" t="n">
        <f aca="false">LEN(O76)</f>
        <v>159</v>
      </c>
      <c r="Q76" s="20" t="s">
        <v>817</v>
      </c>
      <c r="R76" s="20"/>
      <c r="S76" s="16" t="s">
        <v>362</v>
      </c>
      <c r="T76" s="20" t="s">
        <v>333</v>
      </c>
    </row>
    <row r="77" customFormat="false" ht="34.5" hidden="false" customHeight="true" outlineLevel="0" collapsed="false">
      <c r="A77" s="16" t="s">
        <v>818</v>
      </c>
      <c r="B77" s="16" t="s">
        <v>313</v>
      </c>
      <c r="C77" s="16" t="s">
        <v>819</v>
      </c>
      <c r="D77" s="16" t="s">
        <v>659</v>
      </c>
      <c r="E77" s="16" t="s">
        <v>526</v>
      </c>
      <c r="F77" s="17" t="s">
        <v>167</v>
      </c>
      <c r="G77" s="18" t="n">
        <f aca="false">IFERROR(INDEX('Semrush Data'!$C$2:$C$5000,MATCH(F77,'Semrush Data'!$A$2:$A$5000,0)),"")</f>
        <v>320</v>
      </c>
      <c r="H77" s="16" t="n">
        <f aca="false">IFERROR(INDEX('Semrush Data'!$D$2:$D$5000,MATCH(F77,'Semrush Data'!$A$2:$A$5000,0)),"")</f>
        <v>10</v>
      </c>
      <c r="I77" s="16" t="s">
        <v>235</v>
      </c>
      <c r="J77" s="18" t="n">
        <f aca="false">IFERROR(INDEX('Semrush Data'!$C$2:$C$5000,MATCH(I77,'Semrush Data'!$A$2:$A$5000,0)),"")</f>
        <v>480</v>
      </c>
      <c r="K77" s="16" t="s">
        <v>603</v>
      </c>
      <c r="L77" s="16" t="s">
        <v>819</v>
      </c>
      <c r="M77" s="16" t="s">
        <v>820</v>
      </c>
      <c r="N77" s="19" t="n">
        <f aca="false">LEN(M77)</f>
        <v>50</v>
      </c>
      <c r="O77" s="20" t="s">
        <v>821</v>
      </c>
      <c r="P77" s="19" t="n">
        <f aca="false">LEN(O77)</f>
        <v>160</v>
      </c>
      <c r="Q77" s="20" t="s">
        <v>822</v>
      </c>
      <c r="R77" s="20"/>
      <c r="S77" s="16" t="s">
        <v>322</v>
      </c>
      <c r="T77" s="20"/>
    </row>
    <row r="78" customFormat="false" ht="45.75" hidden="false" customHeight="true" outlineLevel="0" collapsed="false">
      <c r="A78" s="16" t="s">
        <v>823</v>
      </c>
      <c r="B78" s="16" t="s">
        <v>313</v>
      </c>
      <c r="C78" s="16" t="s">
        <v>824</v>
      </c>
      <c r="D78" s="16" t="s">
        <v>659</v>
      </c>
      <c r="E78" s="16" t="s">
        <v>326</v>
      </c>
      <c r="F78" s="17" t="s">
        <v>169</v>
      </c>
      <c r="G78" s="18" t="n">
        <f aca="false">IFERROR(INDEX('Semrush Data'!$C$2:$C$5000,MATCH(F78,'Semrush Data'!$A$2:$A$5000,0)),"")</f>
        <v>260</v>
      </c>
      <c r="H78" s="16" t="n">
        <f aca="false">IFERROR(INDEX('Semrush Data'!$D$2:$D$5000,MATCH(F78,'Semrush Data'!$A$2:$A$5000,0)),"")</f>
        <v>22</v>
      </c>
      <c r="I78" s="16" t="s">
        <v>235</v>
      </c>
      <c r="J78" s="18" t="n">
        <f aca="false">IFERROR(INDEX('Semrush Data'!$C$2:$C$5000,MATCH(I78,'Semrush Data'!$A$2:$A$5000,0)),"")</f>
        <v>480</v>
      </c>
      <c r="K78" s="16" t="s">
        <v>825</v>
      </c>
      <c r="L78" s="16" t="s">
        <v>824</v>
      </c>
      <c r="M78" s="16" t="s">
        <v>826</v>
      </c>
      <c r="N78" s="19" t="n">
        <f aca="false">LEN(M78)</f>
        <v>52</v>
      </c>
      <c r="O78" s="20" t="s">
        <v>827</v>
      </c>
      <c r="P78" s="19" t="n">
        <f aca="false">LEN(O78)</f>
        <v>160</v>
      </c>
      <c r="Q78" s="20" t="s">
        <v>828</v>
      </c>
      <c r="R78" s="20"/>
      <c r="S78" s="16" t="s">
        <v>322</v>
      </c>
      <c r="T78" s="20" t="s">
        <v>333</v>
      </c>
    </row>
    <row r="79" customFormat="false" ht="23.25" hidden="false" customHeight="true" outlineLevel="0" collapsed="false">
      <c r="A79" s="16" t="s">
        <v>829</v>
      </c>
      <c r="B79" s="16" t="s">
        <v>313</v>
      </c>
      <c r="C79" s="16" t="s">
        <v>694</v>
      </c>
      <c r="D79" s="16" t="s">
        <v>659</v>
      </c>
      <c r="E79" s="16" t="s">
        <v>483</v>
      </c>
      <c r="F79" s="17" t="s">
        <v>157</v>
      </c>
      <c r="G79" s="18" t="n">
        <f aca="false">IFERROR(INDEX('Semrush Data'!$C$2:$C$5000,MATCH(F79,'Semrush Data'!$A$2:$A$5000,0)),"")</f>
        <v>1600</v>
      </c>
      <c r="H79" s="16" t="n">
        <f aca="false">IFERROR(INDEX('Semrush Data'!$D$2:$D$5000,MATCH(F79,'Semrush Data'!$A$2:$A$5000,0)),"")</f>
        <v>31</v>
      </c>
      <c r="I79" s="16" t="s">
        <v>235</v>
      </c>
      <c r="J79" s="18" t="n">
        <f aca="false">IFERROR(INDEX('Semrush Data'!$C$2:$C$5000,MATCH(I79,'Semrush Data'!$A$2:$A$5000,0)),"")</f>
        <v>480</v>
      </c>
      <c r="K79" s="16" t="s">
        <v>571</v>
      </c>
      <c r="L79" s="16" t="s">
        <v>694</v>
      </c>
      <c r="M79" s="16" t="s">
        <v>695</v>
      </c>
      <c r="N79" s="19" t="n">
        <f aca="false">LEN(M79)</f>
        <v>56</v>
      </c>
      <c r="O79" s="20" t="s">
        <v>696</v>
      </c>
      <c r="P79" s="19" t="n">
        <f aca="false">LEN(O79)</f>
        <v>160</v>
      </c>
      <c r="Q79" s="20" t="s">
        <v>697</v>
      </c>
      <c r="R79" s="20"/>
      <c r="S79" s="16" t="s">
        <v>362</v>
      </c>
      <c r="T79" s="20" t="s">
        <v>333</v>
      </c>
    </row>
    <row r="80" customFormat="false" ht="23.25" hidden="false" customHeight="true" outlineLevel="0" collapsed="false">
      <c r="A80" s="16" t="s">
        <v>830</v>
      </c>
      <c r="B80" s="16" t="s">
        <v>313</v>
      </c>
      <c r="C80" s="16" t="s">
        <v>831</v>
      </c>
      <c r="D80" s="16" t="s">
        <v>659</v>
      </c>
      <c r="E80" s="16" t="s">
        <v>561</v>
      </c>
      <c r="F80" s="17" t="s">
        <v>153</v>
      </c>
      <c r="G80" s="18" t="n">
        <f aca="false">IFERROR(INDEX('Semrush Data'!$C$2:$C$5000,MATCH(F80,'Semrush Data'!$A$2:$A$5000,0)),"")</f>
        <v>2400</v>
      </c>
      <c r="H80" s="16" t="n">
        <f aca="false">IFERROR(INDEX('Semrush Data'!$D$2:$D$5000,MATCH(F80,'Semrush Data'!$A$2:$A$5000,0)),"")</f>
        <v>13</v>
      </c>
      <c r="I80" s="16" t="s">
        <v>235</v>
      </c>
      <c r="J80" s="18" t="n">
        <f aca="false">IFERROR(INDEX('Semrush Data'!$C$2:$C$5000,MATCH(I80,'Semrush Data'!$A$2:$A$5000,0)),"")</f>
        <v>480</v>
      </c>
      <c r="K80" s="16" t="s">
        <v>414</v>
      </c>
      <c r="L80" s="16" t="s">
        <v>831</v>
      </c>
      <c r="M80" s="16" t="s">
        <v>832</v>
      </c>
      <c r="N80" s="19" t="n">
        <f aca="false">LEN(M80)</f>
        <v>50</v>
      </c>
      <c r="O80" s="20" t="s">
        <v>833</v>
      </c>
      <c r="P80" s="19" t="n">
        <f aca="false">LEN(O80)</f>
        <v>158</v>
      </c>
      <c r="Q80" s="20" t="s">
        <v>834</v>
      </c>
      <c r="R80" s="20"/>
      <c r="S80" s="16" t="s">
        <v>362</v>
      </c>
      <c r="T80" s="20"/>
    </row>
    <row r="81" customFormat="false" ht="23.25" hidden="false" customHeight="true" outlineLevel="0" collapsed="false">
      <c r="A81" s="16" t="s">
        <v>835</v>
      </c>
      <c r="B81" s="16" t="s">
        <v>313</v>
      </c>
      <c r="C81" s="16" t="s">
        <v>836</v>
      </c>
      <c r="D81" s="16" t="s">
        <v>659</v>
      </c>
      <c r="E81" s="16" t="s">
        <v>347</v>
      </c>
      <c r="F81" s="17" t="s">
        <v>158</v>
      </c>
      <c r="G81" s="18" t="n">
        <f aca="false">IFERROR(INDEX('Semrush Data'!$C$2:$C$5000,MATCH(F81,'Semrush Data'!$A$2:$A$5000,0)),"")</f>
        <v>1300</v>
      </c>
      <c r="H81" s="16" t="n">
        <f aca="false">IFERROR(INDEX('Semrush Data'!$D$2:$D$5000,MATCH(F81,'Semrush Data'!$A$2:$A$5000,0)),"")</f>
        <v>11</v>
      </c>
      <c r="I81" s="16" t="s">
        <v>235</v>
      </c>
      <c r="J81" s="18" t="n">
        <f aca="false">IFERROR(INDEX('Semrush Data'!$C$2:$C$5000,MATCH(I81,'Semrush Data'!$A$2:$A$5000,0)),"")</f>
        <v>480</v>
      </c>
      <c r="K81" s="16" t="s">
        <v>446</v>
      </c>
      <c r="L81" s="16" t="s">
        <v>836</v>
      </c>
      <c r="M81" s="16" t="s">
        <v>837</v>
      </c>
      <c r="N81" s="19" t="n">
        <f aca="false">LEN(M81)</f>
        <v>56</v>
      </c>
      <c r="O81" s="20" t="s">
        <v>838</v>
      </c>
      <c r="P81" s="19" t="n">
        <f aca="false">LEN(O81)</f>
        <v>160</v>
      </c>
      <c r="Q81" s="20" t="s">
        <v>839</v>
      </c>
      <c r="R81" s="20"/>
      <c r="S81" s="16" t="s">
        <v>362</v>
      </c>
      <c r="T81" s="20" t="s">
        <v>333</v>
      </c>
    </row>
    <row r="82" customFormat="false" ht="34.5" hidden="false" customHeight="true" outlineLevel="0" collapsed="false">
      <c r="A82" s="16" t="s">
        <v>840</v>
      </c>
      <c r="B82" s="16" t="s">
        <v>313</v>
      </c>
      <c r="C82" s="16" t="s">
        <v>841</v>
      </c>
      <c r="D82" s="16" t="s">
        <v>659</v>
      </c>
      <c r="E82" s="16" t="s">
        <v>397</v>
      </c>
      <c r="F82" s="17" t="s">
        <v>160</v>
      </c>
      <c r="G82" s="18" t="n">
        <f aca="false">IFERROR(INDEX('Semrush Data'!$C$2:$C$5000,MATCH(F82,'Semrush Data'!$A$2:$A$5000,0)),"")</f>
        <v>1000</v>
      </c>
      <c r="H82" s="16" t="n">
        <f aca="false">IFERROR(INDEX('Semrush Data'!$D$2:$D$5000,MATCH(F82,'Semrush Data'!$A$2:$A$5000,0)),"")</f>
        <v>41</v>
      </c>
      <c r="I82" s="16" t="s">
        <v>235</v>
      </c>
      <c r="J82" s="18" t="n">
        <f aca="false">IFERROR(INDEX('Semrush Data'!$C$2:$C$5000,MATCH(I82,'Semrush Data'!$A$2:$A$5000,0)),"")</f>
        <v>480</v>
      </c>
      <c r="K82" s="16" t="s">
        <v>398</v>
      </c>
      <c r="L82" s="16" t="s">
        <v>841</v>
      </c>
      <c r="M82" s="16" t="s">
        <v>842</v>
      </c>
      <c r="N82" s="19" t="n">
        <f aca="false">LEN(M82)</f>
        <v>60</v>
      </c>
      <c r="O82" s="20" t="s">
        <v>843</v>
      </c>
      <c r="P82" s="19" t="n">
        <f aca="false">LEN(O82)</f>
        <v>157</v>
      </c>
      <c r="Q82" s="20" t="s">
        <v>844</v>
      </c>
      <c r="R82" s="20"/>
      <c r="S82" s="16" t="s">
        <v>322</v>
      </c>
      <c r="T82" s="20"/>
    </row>
    <row r="83" customFormat="false" ht="45.75" hidden="false" customHeight="true" outlineLevel="0" collapsed="false">
      <c r="A83" s="16" t="s">
        <v>845</v>
      </c>
      <c r="B83" s="16" t="s">
        <v>846</v>
      </c>
      <c r="C83" s="16" t="s">
        <v>847</v>
      </c>
      <c r="D83" s="16" t="s">
        <v>848</v>
      </c>
      <c r="E83" s="16" t="s">
        <v>375</v>
      </c>
      <c r="F83" s="17" t="s">
        <v>197</v>
      </c>
      <c r="G83" s="18" t="n">
        <f aca="false">IFERROR(INDEX('Semrush Data'!$C$2:$C$5000,MATCH(F83,'Semrush Data'!$A$2:$A$5000,0)),"")</f>
        <v>6600</v>
      </c>
      <c r="H83" s="16" t="n">
        <f aca="false">IFERROR(INDEX('Semrush Data'!$D$2:$D$5000,MATCH(F83,'Semrush Data'!$A$2:$A$5000,0)),"")</f>
        <v>12</v>
      </c>
      <c r="I83" s="16" t="s">
        <v>241</v>
      </c>
      <c r="J83" s="18" t="n">
        <f aca="false">IFERROR(INDEX('Semrush Data'!$C$2:$C$5000,MATCH(I83,'Semrush Data'!$A$2:$A$5000,0)),"")</f>
        <v>140</v>
      </c>
      <c r="K83" s="16" t="s">
        <v>849</v>
      </c>
      <c r="L83" s="16" t="s">
        <v>850</v>
      </c>
      <c r="M83" s="16" t="s">
        <v>851</v>
      </c>
      <c r="N83" s="19" t="n">
        <f aca="false">LEN(M83)</f>
        <v>52</v>
      </c>
      <c r="O83" s="20" t="s">
        <v>852</v>
      </c>
      <c r="P83" s="19" t="n">
        <f aca="false">LEN(O83)</f>
        <v>148</v>
      </c>
      <c r="Q83" s="20" t="s">
        <v>853</v>
      </c>
      <c r="R83" s="20"/>
      <c r="S83" s="16" t="s">
        <v>322</v>
      </c>
      <c r="T83" s="20"/>
    </row>
    <row r="84" customFormat="false" ht="45.75" hidden="false" customHeight="true" outlineLevel="0" collapsed="false">
      <c r="A84" s="16" t="s">
        <v>854</v>
      </c>
      <c r="B84" s="16" t="s">
        <v>846</v>
      </c>
      <c r="C84" s="16" t="s">
        <v>855</v>
      </c>
      <c r="D84" s="16" t="s">
        <v>461</v>
      </c>
      <c r="E84" s="16" t="s">
        <v>511</v>
      </c>
      <c r="F84" s="17" t="s">
        <v>188</v>
      </c>
      <c r="G84" s="18" t="n">
        <f aca="false">IFERROR(INDEX('Semrush Data'!$C$2:$C$5000,MATCH(F84,'Semrush Data'!$A$2:$A$5000,0)),"")</f>
        <v>22200</v>
      </c>
      <c r="H84" s="16" t="n">
        <f aca="false">IFERROR(INDEX('Semrush Data'!$D$2:$D$5000,MATCH(F84,'Semrush Data'!$A$2:$A$5000,0)),"")</f>
        <v>30</v>
      </c>
      <c r="I84" s="16" t="s">
        <v>241</v>
      </c>
      <c r="J84" s="18" t="n">
        <f aca="false">IFERROR(INDEX('Semrush Data'!$C$2:$C$5000,MATCH(I84,'Semrush Data'!$A$2:$A$5000,0)),"")</f>
        <v>140</v>
      </c>
      <c r="K84" s="16" t="s">
        <v>512</v>
      </c>
      <c r="L84" s="16" t="s">
        <v>856</v>
      </c>
      <c r="M84" s="16" t="s">
        <v>857</v>
      </c>
      <c r="N84" s="19" t="n">
        <f aca="false">LEN(M84)</f>
        <v>53</v>
      </c>
      <c r="O84" s="20" t="s">
        <v>858</v>
      </c>
      <c r="P84" s="19" t="n">
        <f aca="false">LEN(O84)</f>
        <v>149</v>
      </c>
      <c r="Q84" s="20" t="s">
        <v>859</v>
      </c>
      <c r="R84" s="20"/>
      <c r="S84" s="16" t="s">
        <v>322</v>
      </c>
      <c r="T84" s="20" t="s">
        <v>333</v>
      </c>
    </row>
    <row r="85" customFormat="false" ht="45.75" hidden="false" customHeight="true" outlineLevel="0" collapsed="false">
      <c r="A85" s="16" t="s">
        <v>860</v>
      </c>
      <c r="B85" s="16" t="s">
        <v>846</v>
      </c>
      <c r="C85" s="16" t="s">
        <v>861</v>
      </c>
      <c r="D85" s="16" t="s">
        <v>336</v>
      </c>
      <c r="E85" s="16" t="s">
        <v>337</v>
      </c>
      <c r="F85" s="17" t="s">
        <v>220</v>
      </c>
      <c r="G85" s="18" t="n">
        <f aca="false">IFERROR(INDEX('Semrush Data'!$C$2:$C$5000,MATCH(F85,'Semrush Data'!$A$2:$A$5000,0)),"")</f>
        <v>1300</v>
      </c>
      <c r="H85" s="16" t="n">
        <f aca="false">IFERROR(INDEX('Semrush Data'!$D$2:$D$5000,MATCH(F85,'Semrush Data'!$A$2:$A$5000,0)),"")</f>
        <v>19</v>
      </c>
      <c r="I85" s="16" t="s">
        <v>241</v>
      </c>
      <c r="J85" s="18" t="n">
        <f aca="false">IFERROR(INDEX('Semrush Data'!$C$2:$C$5000,MATCH(I85,'Semrush Data'!$A$2:$A$5000,0)),"")</f>
        <v>140</v>
      </c>
      <c r="K85" s="16" t="s">
        <v>338</v>
      </c>
      <c r="L85" s="16" t="s">
        <v>862</v>
      </c>
      <c r="M85" s="16" t="s">
        <v>863</v>
      </c>
      <c r="N85" s="19" t="n">
        <f aca="false">LEN(M85)</f>
        <v>54</v>
      </c>
      <c r="O85" s="20" t="s">
        <v>864</v>
      </c>
      <c r="P85" s="19" t="n">
        <f aca="false">LEN(O85)</f>
        <v>153</v>
      </c>
      <c r="Q85" s="20" t="s">
        <v>865</v>
      </c>
      <c r="R85" s="20"/>
      <c r="S85" s="16" t="s">
        <v>322</v>
      </c>
      <c r="T85" s="20" t="s">
        <v>333</v>
      </c>
    </row>
    <row r="86" customFormat="false" ht="45.75" hidden="false" customHeight="true" outlineLevel="0" collapsed="false">
      <c r="A86" s="16" t="s">
        <v>866</v>
      </c>
      <c r="B86" s="16" t="s">
        <v>846</v>
      </c>
      <c r="C86" s="16" t="s">
        <v>867</v>
      </c>
      <c r="D86" s="16" t="s">
        <v>525</v>
      </c>
      <c r="E86" s="16" t="s">
        <v>375</v>
      </c>
      <c r="F86" s="17" t="s">
        <v>192</v>
      </c>
      <c r="G86" s="18" t="n">
        <f aca="false">IFERROR(INDEX('Semrush Data'!$C$2:$C$5000,MATCH(F86,'Semrush Data'!$A$2:$A$5000,0)),"")</f>
        <v>12100</v>
      </c>
      <c r="H86" s="16" t="n">
        <f aca="false">IFERROR(INDEX('Semrush Data'!$D$2:$D$5000,MATCH(F86,'Semrush Data'!$A$2:$A$5000,0)),"")</f>
        <v>18</v>
      </c>
      <c r="I86" s="16" t="s">
        <v>241</v>
      </c>
      <c r="J86" s="18" t="n">
        <f aca="false">IFERROR(INDEX('Semrush Data'!$C$2:$C$5000,MATCH(I86,'Semrush Data'!$A$2:$A$5000,0)),"")</f>
        <v>140</v>
      </c>
      <c r="K86" s="16" t="s">
        <v>527</v>
      </c>
      <c r="L86" s="16" t="s">
        <v>868</v>
      </c>
      <c r="M86" s="16" t="s">
        <v>869</v>
      </c>
      <c r="N86" s="19" t="n">
        <f aca="false">LEN(M86)</f>
        <v>29</v>
      </c>
      <c r="O86" s="20" t="s">
        <v>870</v>
      </c>
      <c r="P86" s="19" t="n">
        <f aca="false">LEN(O86)</f>
        <v>136</v>
      </c>
      <c r="Q86" s="20" t="s">
        <v>871</v>
      </c>
      <c r="R86" s="20" t="s">
        <v>872</v>
      </c>
      <c r="S86" s="16" t="s">
        <v>322</v>
      </c>
      <c r="T86" s="20"/>
    </row>
    <row r="87" customFormat="false" ht="45.75" hidden="false" customHeight="true" outlineLevel="0" collapsed="false">
      <c r="A87" s="16" t="s">
        <v>873</v>
      </c>
      <c r="B87" s="16" t="s">
        <v>846</v>
      </c>
      <c r="C87" s="16" t="s">
        <v>874</v>
      </c>
      <c r="D87" s="16" t="s">
        <v>374</v>
      </c>
      <c r="E87" s="16" t="s">
        <v>375</v>
      </c>
      <c r="F87" s="17" t="s">
        <v>150</v>
      </c>
      <c r="G87" s="18" t="n">
        <f aca="false">IFERROR(INDEX('Semrush Data'!$C$2:$C$5000,MATCH(F87,'Semrush Data'!$A$2:$A$5000,0)),"")</f>
        <v>2900</v>
      </c>
      <c r="H87" s="16" t="n">
        <f aca="false">IFERROR(INDEX('Semrush Data'!$D$2:$D$5000,MATCH(F87,'Semrush Data'!$A$2:$A$5000,0)),"")</f>
        <v>29</v>
      </c>
      <c r="I87" s="16" t="s">
        <v>241</v>
      </c>
      <c r="J87" s="18" t="n">
        <f aca="false">IFERROR(INDEX('Semrush Data'!$C$2:$C$5000,MATCH(I87,'Semrush Data'!$A$2:$A$5000,0)),"")</f>
        <v>140</v>
      </c>
      <c r="K87" s="16" t="s">
        <v>376</v>
      </c>
      <c r="L87" s="16" t="s">
        <v>875</v>
      </c>
      <c r="M87" s="16" t="s">
        <v>876</v>
      </c>
      <c r="N87" s="19" t="n">
        <f aca="false">LEN(M87)</f>
        <v>56</v>
      </c>
      <c r="O87" s="20" t="s">
        <v>877</v>
      </c>
      <c r="P87" s="19" t="n">
        <f aca="false">LEN(O87)</f>
        <v>150</v>
      </c>
      <c r="Q87" s="20" t="s">
        <v>878</v>
      </c>
      <c r="R87" s="20"/>
      <c r="S87" s="16" t="s">
        <v>322</v>
      </c>
      <c r="T87" s="20" t="s">
        <v>333</v>
      </c>
    </row>
    <row r="88" customFormat="false" ht="57" hidden="false" customHeight="true" outlineLevel="0" collapsed="false">
      <c r="A88" s="16" t="s">
        <v>879</v>
      </c>
      <c r="B88" s="16" t="s">
        <v>846</v>
      </c>
      <c r="C88" s="16" t="s">
        <v>880</v>
      </c>
      <c r="D88" s="16" t="s">
        <v>501</v>
      </c>
      <c r="E88" s="16" t="s">
        <v>526</v>
      </c>
      <c r="F88" s="17" t="s">
        <v>167</v>
      </c>
      <c r="G88" s="18" t="n">
        <f aca="false">IFERROR(INDEX('Semrush Data'!$C$2:$C$5000,MATCH(F88,'Semrush Data'!$A$2:$A$5000,0)),"")</f>
        <v>320</v>
      </c>
      <c r="H88" s="16" t="n">
        <f aca="false">IFERROR(INDEX('Semrush Data'!$D$2:$D$5000,MATCH(F88,'Semrush Data'!$A$2:$A$5000,0)),"")</f>
        <v>10</v>
      </c>
      <c r="I88" s="16" t="s">
        <v>241</v>
      </c>
      <c r="J88" s="18" t="n">
        <f aca="false">IFERROR(INDEX('Semrush Data'!$C$2:$C$5000,MATCH(I88,'Semrush Data'!$A$2:$A$5000,0)),"")</f>
        <v>140</v>
      </c>
      <c r="K88" s="16" t="s">
        <v>603</v>
      </c>
      <c r="L88" s="16" t="s">
        <v>881</v>
      </c>
      <c r="M88" s="16" t="s">
        <v>882</v>
      </c>
      <c r="N88" s="19" t="n">
        <f aca="false">LEN(M88)</f>
        <v>55</v>
      </c>
      <c r="O88" s="20" t="s">
        <v>883</v>
      </c>
      <c r="P88" s="19" t="n">
        <f aca="false">LEN(O88)</f>
        <v>160</v>
      </c>
      <c r="Q88" s="20" t="s">
        <v>884</v>
      </c>
      <c r="R88" s="20"/>
      <c r="S88" s="16" t="s">
        <v>322</v>
      </c>
      <c r="T88" s="20"/>
    </row>
    <row r="89" customFormat="false" ht="57" hidden="false" customHeight="true" outlineLevel="0" collapsed="false">
      <c r="A89" s="16" t="s">
        <v>885</v>
      </c>
      <c r="B89" s="16" t="s">
        <v>846</v>
      </c>
      <c r="C89" s="16" t="s">
        <v>886</v>
      </c>
      <c r="D89" s="16" t="s">
        <v>887</v>
      </c>
      <c r="E89" s="16" t="s">
        <v>316</v>
      </c>
      <c r="F89" s="17" t="s">
        <v>193</v>
      </c>
      <c r="G89" s="18" t="n">
        <f aca="false">IFERROR(INDEX('Semrush Data'!$C$2:$C$5000,MATCH(F89,'Semrush Data'!$A$2:$A$5000,0)),"")</f>
        <v>9900</v>
      </c>
      <c r="H89" s="16" t="n">
        <f aca="false">IFERROR(INDEX('Semrush Data'!$D$2:$D$5000,MATCH(F89,'Semrush Data'!$A$2:$A$5000,0)),"")</f>
        <v>30</v>
      </c>
      <c r="I89" s="16" t="s">
        <v>241</v>
      </c>
      <c r="J89" s="18" t="n">
        <f aca="false">IFERROR(INDEX('Semrush Data'!$C$2:$C$5000,MATCH(I89,'Semrush Data'!$A$2:$A$5000,0)),"")</f>
        <v>140</v>
      </c>
      <c r="K89" s="16" t="s">
        <v>503</v>
      </c>
      <c r="L89" s="16" t="s">
        <v>888</v>
      </c>
      <c r="M89" s="16" t="s">
        <v>889</v>
      </c>
      <c r="N89" s="19" t="n">
        <f aca="false">LEN(M89)</f>
        <v>51</v>
      </c>
      <c r="O89" s="20" t="s">
        <v>890</v>
      </c>
      <c r="P89" s="19" t="n">
        <f aca="false">LEN(O89)</f>
        <v>158</v>
      </c>
      <c r="Q89" s="20" t="s">
        <v>891</v>
      </c>
      <c r="R89" s="20"/>
      <c r="S89" s="16" t="s">
        <v>322</v>
      </c>
      <c r="T89" s="20" t="s">
        <v>333</v>
      </c>
    </row>
    <row r="90" customFormat="false" ht="57" hidden="false" customHeight="true" outlineLevel="0" collapsed="false">
      <c r="A90" s="16" t="s">
        <v>892</v>
      </c>
      <c r="B90" s="16" t="s">
        <v>846</v>
      </c>
      <c r="C90" s="16" t="s">
        <v>893</v>
      </c>
      <c r="D90" s="16" t="s">
        <v>325</v>
      </c>
      <c r="E90" s="16" t="s">
        <v>561</v>
      </c>
      <c r="F90" s="17" t="s">
        <v>199</v>
      </c>
      <c r="G90" s="18" t="n">
        <f aca="false">IFERROR(INDEX('Semrush Data'!$C$2:$C$5000,MATCH(F90,'Semrush Data'!$A$2:$A$5000,0)),"")</f>
        <v>5400</v>
      </c>
      <c r="H90" s="16" t="n">
        <f aca="false">IFERROR(INDEX('Semrush Data'!$D$2:$D$5000,MATCH(F90,'Semrush Data'!$A$2:$A$5000,0)),"")</f>
        <v>21</v>
      </c>
      <c r="I90" s="16" t="s">
        <v>241</v>
      </c>
      <c r="J90" s="18" t="n">
        <f aca="false">IFERROR(INDEX('Semrush Data'!$C$2:$C$5000,MATCH(I90,'Semrush Data'!$A$2:$A$5000,0)),"")</f>
        <v>140</v>
      </c>
      <c r="K90" s="16" t="s">
        <v>327</v>
      </c>
      <c r="L90" s="16" t="s">
        <v>894</v>
      </c>
      <c r="M90" s="16" t="s">
        <v>895</v>
      </c>
      <c r="N90" s="19" t="n">
        <f aca="false">LEN(M90)</f>
        <v>50</v>
      </c>
      <c r="O90" s="20" t="s">
        <v>896</v>
      </c>
      <c r="P90" s="19" t="n">
        <f aca="false">LEN(O90)</f>
        <v>157</v>
      </c>
      <c r="Q90" s="20" t="s">
        <v>897</v>
      </c>
      <c r="R90" s="20"/>
      <c r="S90" s="16" t="s">
        <v>322</v>
      </c>
      <c r="T90" s="20" t="s">
        <v>333</v>
      </c>
    </row>
    <row r="91" customFormat="false" ht="23.25" hidden="false" customHeight="true" outlineLevel="0" collapsed="false">
      <c r="A91" s="16" t="s">
        <v>898</v>
      </c>
      <c r="B91" s="16" t="s">
        <v>846</v>
      </c>
      <c r="C91" s="16" t="s">
        <v>899</v>
      </c>
      <c r="D91" s="16" t="s">
        <v>325</v>
      </c>
      <c r="E91" s="16" t="s">
        <v>483</v>
      </c>
      <c r="F91" s="17" t="s">
        <v>199</v>
      </c>
      <c r="G91" s="18" t="n">
        <f aca="false">IFERROR(INDEX('Semrush Data'!$C$2:$C$5000,MATCH(F91,'Semrush Data'!$A$2:$A$5000,0)),"")</f>
        <v>5400</v>
      </c>
      <c r="H91" s="16" t="n">
        <f aca="false">IFERROR(INDEX('Semrush Data'!$D$2:$D$5000,MATCH(F91,'Semrush Data'!$A$2:$A$5000,0)),"")</f>
        <v>21</v>
      </c>
      <c r="I91" s="16" t="s">
        <v>241</v>
      </c>
      <c r="J91" s="18" t="n">
        <f aca="false">IFERROR(INDEX('Semrush Data'!$C$2:$C$5000,MATCH(I91,'Semrush Data'!$A$2:$A$5000,0)),"")</f>
        <v>140</v>
      </c>
      <c r="K91" s="16" t="s">
        <v>327</v>
      </c>
      <c r="L91" s="16" t="s">
        <v>900</v>
      </c>
      <c r="M91" s="16" t="s">
        <v>901</v>
      </c>
      <c r="N91" s="19" t="n">
        <f aca="false">LEN(M91)</f>
        <v>52</v>
      </c>
      <c r="O91" s="20" t="s">
        <v>902</v>
      </c>
      <c r="P91" s="19" t="n">
        <f aca="false">LEN(O91)</f>
        <v>148</v>
      </c>
      <c r="Q91" s="20" t="s">
        <v>903</v>
      </c>
      <c r="R91" s="20" t="s">
        <v>904</v>
      </c>
      <c r="S91" s="16" t="s">
        <v>343</v>
      </c>
      <c r="T91" s="20"/>
    </row>
    <row r="92" customFormat="false" ht="45.75" hidden="false" customHeight="true" outlineLevel="0" collapsed="false">
      <c r="A92" s="16" t="s">
        <v>905</v>
      </c>
      <c r="B92" s="16" t="s">
        <v>846</v>
      </c>
      <c r="C92" s="16" t="s">
        <v>906</v>
      </c>
      <c r="D92" s="16" t="s">
        <v>848</v>
      </c>
      <c r="E92" s="16" t="s">
        <v>375</v>
      </c>
      <c r="F92" s="17" t="s">
        <v>197</v>
      </c>
      <c r="G92" s="18" t="n">
        <f aca="false">IFERROR(INDEX('Semrush Data'!$C$2:$C$5000,MATCH(F92,'Semrush Data'!$A$2:$A$5000,0)),"")</f>
        <v>6600</v>
      </c>
      <c r="H92" s="16" t="n">
        <f aca="false">IFERROR(INDEX('Semrush Data'!$D$2:$D$5000,MATCH(F92,'Semrush Data'!$A$2:$A$5000,0)),"")</f>
        <v>12</v>
      </c>
      <c r="I92" s="16" t="s">
        <v>241</v>
      </c>
      <c r="J92" s="18" t="n">
        <f aca="false">IFERROR(INDEX('Semrush Data'!$C$2:$C$5000,MATCH(I92,'Semrush Data'!$A$2:$A$5000,0)),"")</f>
        <v>140</v>
      </c>
      <c r="K92" s="16" t="s">
        <v>849</v>
      </c>
      <c r="L92" s="16" t="s">
        <v>907</v>
      </c>
      <c r="M92" s="16" t="s">
        <v>908</v>
      </c>
      <c r="N92" s="19" t="n">
        <f aca="false">LEN(M92)</f>
        <v>58</v>
      </c>
      <c r="O92" s="20" t="s">
        <v>909</v>
      </c>
      <c r="P92" s="19" t="n">
        <f aca="false">LEN(O92)</f>
        <v>154</v>
      </c>
      <c r="Q92" s="20" t="s">
        <v>910</v>
      </c>
      <c r="R92" s="20"/>
      <c r="S92" s="16" t="s">
        <v>322</v>
      </c>
      <c r="T92" s="20" t="s">
        <v>333</v>
      </c>
    </row>
    <row r="93" customFormat="false" ht="34.5" hidden="false" customHeight="true" outlineLevel="0" collapsed="false">
      <c r="A93" s="16" t="s">
        <v>911</v>
      </c>
      <c r="B93" s="16" t="s">
        <v>846</v>
      </c>
      <c r="C93" s="16" t="s">
        <v>912</v>
      </c>
      <c r="D93" s="16" t="s">
        <v>501</v>
      </c>
      <c r="E93" s="16" t="s">
        <v>526</v>
      </c>
      <c r="F93" s="17" t="s">
        <v>167</v>
      </c>
      <c r="G93" s="18" t="n">
        <f aca="false">IFERROR(INDEX('Semrush Data'!$C$2:$C$5000,MATCH(F93,'Semrush Data'!$A$2:$A$5000,0)),"")</f>
        <v>320</v>
      </c>
      <c r="H93" s="16" t="n">
        <f aca="false">IFERROR(INDEX('Semrush Data'!$D$2:$D$5000,MATCH(F93,'Semrush Data'!$A$2:$A$5000,0)),"")</f>
        <v>10</v>
      </c>
      <c r="I93" s="16" t="s">
        <v>241</v>
      </c>
      <c r="J93" s="18" t="n">
        <f aca="false">IFERROR(INDEX('Semrush Data'!$C$2:$C$5000,MATCH(I93,'Semrush Data'!$A$2:$A$5000,0)),"")</f>
        <v>140</v>
      </c>
      <c r="K93" s="16" t="s">
        <v>603</v>
      </c>
      <c r="L93" s="16" t="s">
        <v>913</v>
      </c>
      <c r="M93" s="16" t="s">
        <v>914</v>
      </c>
      <c r="N93" s="19" t="n">
        <f aca="false">LEN(M93)</f>
        <v>57</v>
      </c>
      <c r="O93" s="20" t="s">
        <v>915</v>
      </c>
      <c r="P93" s="19" t="n">
        <f aca="false">LEN(O93)</f>
        <v>151</v>
      </c>
      <c r="Q93" s="20" t="s">
        <v>916</v>
      </c>
      <c r="R93" s="20" t="s">
        <v>917</v>
      </c>
      <c r="S93" s="16" t="s">
        <v>322</v>
      </c>
      <c r="T93" s="20" t="s">
        <v>333</v>
      </c>
    </row>
    <row r="94" customFormat="false" ht="45.75" hidden="false" customHeight="true" outlineLevel="0" collapsed="false">
      <c r="A94" s="16" t="s">
        <v>918</v>
      </c>
      <c r="B94" s="16" t="s">
        <v>846</v>
      </c>
      <c r="C94" s="16" t="s">
        <v>919</v>
      </c>
      <c r="D94" s="16" t="s">
        <v>374</v>
      </c>
      <c r="E94" s="16" t="s">
        <v>375</v>
      </c>
      <c r="F94" s="17" t="s">
        <v>214</v>
      </c>
      <c r="G94" s="18" t="n">
        <f aca="false">IFERROR(INDEX('Semrush Data'!$C$2:$C$5000,MATCH(F94,'Semrush Data'!$A$2:$A$5000,0)),"")</f>
        <v>1900</v>
      </c>
      <c r="H94" s="16" t="n">
        <f aca="false">IFERROR(INDEX('Semrush Data'!$D$2:$D$5000,MATCH(F94,'Semrush Data'!$A$2:$A$5000,0)),"")</f>
        <v>22</v>
      </c>
      <c r="I94" s="16" t="s">
        <v>241</v>
      </c>
      <c r="J94" s="18" t="n">
        <f aca="false">IFERROR(INDEX('Semrush Data'!$C$2:$C$5000,MATCH(I94,'Semrush Data'!$A$2:$A$5000,0)),"")</f>
        <v>140</v>
      </c>
      <c r="K94" s="16" t="s">
        <v>920</v>
      </c>
      <c r="L94" s="16" t="s">
        <v>921</v>
      </c>
      <c r="M94" s="16" t="s">
        <v>922</v>
      </c>
      <c r="N94" s="19" t="n">
        <f aca="false">LEN(M94)</f>
        <v>57</v>
      </c>
      <c r="O94" s="20" t="s">
        <v>923</v>
      </c>
      <c r="P94" s="19" t="n">
        <f aca="false">LEN(O94)</f>
        <v>152</v>
      </c>
      <c r="Q94" s="20" t="s">
        <v>924</v>
      </c>
      <c r="R94" s="20"/>
      <c r="S94" s="16" t="s">
        <v>322</v>
      </c>
      <c r="T94" s="20"/>
    </row>
    <row r="95" customFormat="false" ht="57" hidden="false" customHeight="true" outlineLevel="0" collapsed="false">
      <c r="A95" s="16" t="s">
        <v>925</v>
      </c>
      <c r="B95" s="16" t="s">
        <v>846</v>
      </c>
      <c r="C95" s="16" t="s">
        <v>926</v>
      </c>
      <c r="D95" s="16" t="s">
        <v>927</v>
      </c>
      <c r="E95" s="16" t="s">
        <v>375</v>
      </c>
      <c r="F95" s="17" t="s">
        <v>158</v>
      </c>
      <c r="G95" s="18" t="n">
        <f aca="false">IFERROR(INDEX('Semrush Data'!$C$2:$C$5000,MATCH(F95,'Semrush Data'!$A$2:$A$5000,0)),"")</f>
        <v>1300</v>
      </c>
      <c r="H95" s="16" t="n">
        <f aca="false">IFERROR(INDEX('Semrush Data'!$D$2:$D$5000,MATCH(F95,'Semrush Data'!$A$2:$A$5000,0)),"")</f>
        <v>11</v>
      </c>
      <c r="I95" s="16" t="s">
        <v>241</v>
      </c>
      <c r="J95" s="18" t="n">
        <f aca="false">IFERROR(INDEX('Semrush Data'!$C$2:$C$5000,MATCH(I95,'Semrush Data'!$A$2:$A$5000,0)),"")</f>
        <v>140</v>
      </c>
      <c r="K95" s="16" t="s">
        <v>446</v>
      </c>
      <c r="L95" s="16" t="s">
        <v>928</v>
      </c>
      <c r="M95" s="16" t="s">
        <v>929</v>
      </c>
      <c r="N95" s="19" t="n">
        <f aca="false">LEN(M95)</f>
        <v>60</v>
      </c>
      <c r="O95" s="20" t="s">
        <v>930</v>
      </c>
      <c r="P95" s="19" t="n">
        <f aca="false">LEN(O95)</f>
        <v>156</v>
      </c>
      <c r="Q95" s="20" t="s">
        <v>931</v>
      </c>
      <c r="R95" s="20"/>
      <c r="S95" s="16" t="s">
        <v>322</v>
      </c>
      <c r="T95" s="20"/>
    </row>
    <row r="96" customFormat="false" ht="57" hidden="false" customHeight="true" outlineLevel="0" collapsed="false">
      <c r="A96" s="16" t="s">
        <v>932</v>
      </c>
      <c r="B96" s="16" t="s">
        <v>846</v>
      </c>
      <c r="C96" s="16" t="s">
        <v>933</v>
      </c>
      <c r="D96" s="16" t="s">
        <v>365</v>
      </c>
      <c r="E96" s="16" t="s">
        <v>316</v>
      </c>
      <c r="F96" s="17" t="s">
        <v>156</v>
      </c>
      <c r="G96" s="18" t="n">
        <f aca="false">IFERROR(INDEX('Semrush Data'!$C$2:$C$5000,MATCH(F96,'Semrush Data'!$A$2:$A$5000,0)),"")</f>
        <v>1600</v>
      </c>
      <c r="H96" s="16" t="n">
        <f aca="false">IFERROR(INDEX('Semrush Data'!$D$2:$D$5000,MATCH(F96,'Semrush Data'!$A$2:$A$5000,0)),"")</f>
        <v>33</v>
      </c>
      <c r="I96" s="16" t="s">
        <v>241</v>
      </c>
      <c r="J96" s="18" t="n">
        <f aca="false">IFERROR(INDEX('Semrush Data'!$C$2:$C$5000,MATCH(I96,'Semrush Data'!$A$2:$A$5000,0)),"")</f>
        <v>140</v>
      </c>
      <c r="K96" s="16" t="s">
        <v>366</v>
      </c>
      <c r="L96" s="16" t="s">
        <v>934</v>
      </c>
      <c r="M96" s="16" t="s">
        <v>935</v>
      </c>
      <c r="N96" s="19" t="n">
        <f aca="false">LEN(M96)</f>
        <v>59</v>
      </c>
      <c r="O96" s="20" t="s">
        <v>936</v>
      </c>
      <c r="P96" s="19" t="n">
        <f aca="false">LEN(O96)</f>
        <v>148</v>
      </c>
      <c r="Q96" s="20" t="s">
        <v>937</v>
      </c>
      <c r="R96" s="20" t="s">
        <v>938</v>
      </c>
      <c r="S96" s="16" t="s">
        <v>322</v>
      </c>
      <c r="T96" s="20" t="s">
        <v>333</v>
      </c>
    </row>
    <row r="97" customFormat="false" ht="45.75" hidden="false" customHeight="true" outlineLevel="0" collapsed="false">
      <c r="A97" s="16" t="s">
        <v>939</v>
      </c>
      <c r="B97" s="16" t="s">
        <v>846</v>
      </c>
      <c r="C97" s="16" t="s">
        <v>940</v>
      </c>
      <c r="D97" s="16" t="s">
        <v>336</v>
      </c>
      <c r="E97" s="16" t="s">
        <v>337</v>
      </c>
      <c r="F97" s="17" t="s">
        <v>220</v>
      </c>
      <c r="G97" s="18" t="n">
        <f aca="false">IFERROR(INDEX('Semrush Data'!$C$2:$C$5000,MATCH(F97,'Semrush Data'!$A$2:$A$5000,0)),"")</f>
        <v>1300</v>
      </c>
      <c r="H97" s="16" t="n">
        <f aca="false">IFERROR(INDEX('Semrush Data'!$D$2:$D$5000,MATCH(F97,'Semrush Data'!$A$2:$A$5000,0)),"")</f>
        <v>19</v>
      </c>
      <c r="I97" s="16" t="s">
        <v>241</v>
      </c>
      <c r="J97" s="18" t="n">
        <f aca="false">IFERROR(INDEX('Semrush Data'!$C$2:$C$5000,MATCH(I97,'Semrush Data'!$A$2:$A$5000,0)),"")</f>
        <v>140</v>
      </c>
      <c r="K97" s="16" t="s">
        <v>338</v>
      </c>
      <c r="L97" s="16" t="s">
        <v>941</v>
      </c>
      <c r="M97" s="16" t="s">
        <v>942</v>
      </c>
      <c r="N97" s="19" t="n">
        <f aca="false">LEN(M97)</f>
        <v>57</v>
      </c>
      <c r="O97" s="20" t="s">
        <v>943</v>
      </c>
      <c r="P97" s="19" t="n">
        <f aca="false">LEN(O97)</f>
        <v>145</v>
      </c>
      <c r="Q97" s="20" t="s">
        <v>944</v>
      </c>
      <c r="R97" s="20" t="s">
        <v>945</v>
      </c>
      <c r="S97" s="16" t="s">
        <v>322</v>
      </c>
      <c r="T97" s="20" t="s">
        <v>333</v>
      </c>
    </row>
    <row r="98" customFormat="false" ht="57" hidden="false" customHeight="true" outlineLevel="0" collapsed="false">
      <c r="A98" s="16" t="s">
        <v>946</v>
      </c>
      <c r="B98" s="16" t="s">
        <v>846</v>
      </c>
      <c r="C98" s="16" t="s">
        <v>947</v>
      </c>
      <c r="D98" s="16" t="s">
        <v>948</v>
      </c>
      <c r="E98" s="16" t="s">
        <v>347</v>
      </c>
      <c r="F98" s="17" t="s">
        <v>158</v>
      </c>
      <c r="G98" s="18" t="n">
        <f aca="false">IFERROR(INDEX('Semrush Data'!$C$2:$C$5000,MATCH(F98,'Semrush Data'!$A$2:$A$5000,0)),"")</f>
        <v>1300</v>
      </c>
      <c r="H98" s="16" t="n">
        <f aca="false">IFERROR(INDEX('Semrush Data'!$D$2:$D$5000,MATCH(F98,'Semrush Data'!$A$2:$A$5000,0)),"")</f>
        <v>11</v>
      </c>
      <c r="I98" s="16" t="s">
        <v>241</v>
      </c>
      <c r="J98" s="18" t="n">
        <f aca="false">IFERROR(INDEX('Semrush Data'!$C$2:$C$5000,MATCH(I98,'Semrush Data'!$A$2:$A$5000,0)),"")</f>
        <v>140</v>
      </c>
      <c r="K98" s="16" t="s">
        <v>446</v>
      </c>
      <c r="L98" s="16" t="s">
        <v>949</v>
      </c>
      <c r="M98" s="16" t="s">
        <v>950</v>
      </c>
      <c r="N98" s="19" t="n">
        <f aca="false">LEN(M98)</f>
        <v>57</v>
      </c>
      <c r="O98" s="20" t="s">
        <v>951</v>
      </c>
      <c r="P98" s="19" t="n">
        <f aca="false">LEN(O98)</f>
        <v>157</v>
      </c>
      <c r="Q98" s="20" t="s">
        <v>952</v>
      </c>
      <c r="R98" s="20" t="s">
        <v>953</v>
      </c>
      <c r="S98" s="16" t="s">
        <v>322</v>
      </c>
      <c r="T98" s="20" t="s">
        <v>333</v>
      </c>
    </row>
    <row r="99" customFormat="false" ht="57" hidden="false" customHeight="true" outlineLevel="0" collapsed="false">
      <c r="A99" s="16" t="s">
        <v>954</v>
      </c>
      <c r="B99" s="16" t="s">
        <v>846</v>
      </c>
      <c r="C99" s="16" t="s">
        <v>955</v>
      </c>
      <c r="D99" s="16" t="s">
        <v>887</v>
      </c>
      <c r="E99" s="16" t="s">
        <v>316</v>
      </c>
      <c r="F99" s="17" t="s">
        <v>193</v>
      </c>
      <c r="G99" s="18" t="n">
        <f aca="false">IFERROR(INDEX('Semrush Data'!$C$2:$C$5000,MATCH(F99,'Semrush Data'!$A$2:$A$5000,0)),"")</f>
        <v>9900</v>
      </c>
      <c r="H99" s="16" t="n">
        <f aca="false">IFERROR(INDEX('Semrush Data'!$D$2:$D$5000,MATCH(F99,'Semrush Data'!$A$2:$A$5000,0)),"")</f>
        <v>30</v>
      </c>
      <c r="I99" s="16" t="s">
        <v>241</v>
      </c>
      <c r="J99" s="18" t="n">
        <f aca="false">IFERROR(INDEX('Semrush Data'!$C$2:$C$5000,MATCH(I99,'Semrush Data'!$A$2:$A$5000,0)),"")</f>
        <v>140</v>
      </c>
      <c r="K99" s="16" t="s">
        <v>503</v>
      </c>
      <c r="L99" s="16" t="s">
        <v>956</v>
      </c>
      <c r="M99" s="16" t="s">
        <v>957</v>
      </c>
      <c r="N99" s="19" t="n">
        <f aca="false">LEN(M99)</f>
        <v>33</v>
      </c>
      <c r="O99" s="20" t="s">
        <v>958</v>
      </c>
      <c r="P99" s="19" t="n">
        <f aca="false">LEN(O99)</f>
        <v>140</v>
      </c>
      <c r="Q99" s="20" t="s">
        <v>959</v>
      </c>
      <c r="R99" s="20" t="s">
        <v>960</v>
      </c>
      <c r="S99" s="16" t="s">
        <v>322</v>
      </c>
      <c r="T99" s="20" t="s">
        <v>333</v>
      </c>
    </row>
    <row r="100" customFormat="false" ht="45.75" hidden="false" customHeight="true" outlineLevel="0" collapsed="false">
      <c r="A100" s="16" t="s">
        <v>961</v>
      </c>
      <c r="B100" s="16" t="s">
        <v>846</v>
      </c>
      <c r="C100" s="16" t="s">
        <v>962</v>
      </c>
      <c r="D100" s="16" t="s">
        <v>887</v>
      </c>
      <c r="E100" s="16" t="s">
        <v>316</v>
      </c>
      <c r="F100" s="17" t="s">
        <v>193</v>
      </c>
      <c r="G100" s="18" t="n">
        <f aca="false">IFERROR(INDEX('Semrush Data'!$C$2:$C$5000,MATCH(F100,'Semrush Data'!$A$2:$A$5000,0)),"")</f>
        <v>9900</v>
      </c>
      <c r="H100" s="16" t="n">
        <f aca="false">IFERROR(INDEX('Semrush Data'!$D$2:$D$5000,MATCH(F100,'Semrush Data'!$A$2:$A$5000,0)),"")</f>
        <v>30</v>
      </c>
      <c r="I100" s="16" t="s">
        <v>241</v>
      </c>
      <c r="J100" s="18" t="n">
        <f aca="false">IFERROR(INDEX('Semrush Data'!$C$2:$C$5000,MATCH(I100,'Semrush Data'!$A$2:$A$5000,0)),"")</f>
        <v>140</v>
      </c>
      <c r="K100" s="16" t="s">
        <v>503</v>
      </c>
      <c r="L100" s="16" t="s">
        <v>963</v>
      </c>
      <c r="M100" s="16" t="s">
        <v>964</v>
      </c>
      <c r="N100" s="19" t="n">
        <f aca="false">LEN(M100)</f>
        <v>56</v>
      </c>
      <c r="O100" s="20" t="s">
        <v>965</v>
      </c>
      <c r="P100" s="19" t="n">
        <f aca="false">LEN(O100)</f>
        <v>152</v>
      </c>
      <c r="Q100" s="20" t="s">
        <v>966</v>
      </c>
      <c r="R100" s="20"/>
      <c r="S100" s="16" t="s">
        <v>322</v>
      </c>
      <c r="T100" s="20" t="s">
        <v>333</v>
      </c>
    </row>
    <row r="101" customFormat="false" ht="57" hidden="false" customHeight="true" outlineLevel="0" collapsed="false">
      <c r="A101" s="16" t="s">
        <v>967</v>
      </c>
      <c r="B101" s="16" t="s">
        <v>846</v>
      </c>
      <c r="C101" s="16" t="s">
        <v>968</v>
      </c>
      <c r="D101" s="16" t="s">
        <v>315</v>
      </c>
      <c r="E101" s="16" t="s">
        <v>316</v>
      </c>
      <c r="F101" s="17" t="s">
        <v>164</v>
      </c>
      <c r="G101" s="18" t="n">
        <f aca="false">IFERROR(INDEX('Semrush Data'!$C$2:$C$5000,MATCH(F101,'Semrush Data'!$A$2:$A$5000,0)),"")</f>
        <v>720</v>
      </c>
      <c r="H101" s="16" t="n">
        <f aca="false">IFERROR(INDEX('Semrush Data'!$D$2:$D$5000,MATCH(F101,'Semrush Data'!$A$2:$A$5000,0)),"")</f>
        <v>16</v>
      </c>
      <c r="I101" s="16" t="s">
        <v>241</v>
      </c>
      <c r="J101" s="18" t="n">
        <f aca="false">IFERROR(INDEX('Semrush Data'!$C$2:$C$5000,MATCH(I101,'Semrush Data'!$A$2:$A$5000,0)),"")</f>
        <v>140</v>
      </c>
      <c r="K101" s="16" t="s">
        <v>317</v>
      </c>
      <c r="L101" s="16" t="s">
        <v>969</v>
      </c>
      <c r="M101" s="16" t="s">
        <v>970</v>
      </c>
      <c r="N101" s="19" t="n">
        <f aca="false">LEN(M101)</f>
        <v>59</v>
      </c>
      <c r="O101" s="20" t="s">
        <v>971</v>
      </c>
      <c r="P101" s="19" t="n">
        <f aca="false">LEN(O101)</f>
        <v>155</v>
      </c>
      <c r="Q101" s="20" t="s">
        <v>972</v>
      </c>
      <c r="R101" s="20"/>
      <c r="S101" s="16" t="s">
        <v>322</v>
      </c>
      <c r="T101" s="20" t="s">
        <v>333</v>
      </c>
    </row>
    <row r="102" customFormat="false" ht="57" hidden="false" customHeight="true" outlineLevel="0" collapsed="false">
      <c r="A102" s="16" t="s">
        <v>973</v>
      </c>
      <c r="B102" s="16" t="s">
        <v>846</v>
      </c>
      <c r="C102" s="16" t="s">
        <v>974</v>
      </c>
      <c r="D102" s="16" t="s">
        <v>887</v>
      </c>
      <c r="E102" s="16" t="s">
        <v>356</v>
      </c>
      <c r="F102" s="17" t="s">
        <v>193</v>
      </c>
      <c r="G102" s="18" t="n">
        <f aca="false">IFERROR(INDEX('Semrush Data'!$C$2:$C$5000,MATCH(F102,'Semrush Data'!$A$2:$A$5000,0)),"")</f>
        <v>9900</v>
      </c>
      <c r="H102" s="16" t="n">
        <f aca="false">IFERROR(INDEX('Semrush Data'!$D$2:$D$5000,MATCH(F102,'Semrush Data'!$A$2:$A$5000,0)),"")</f>
        <v>30</v>
      </c>
      <c r="I102" s="16" t="s">
        <v>241</v>
      </c>
      <c r="J102" s="18" t="n">
        <f aca="false">IFERROR(INDEX('Semrush Data'!$C$2:$C$5000,MATCH(I102,'Semrush Data'!$A$2:$A$5000,0)),"")</f>
        <v>140</v>
      </c>
      <c r="K102" s="16" t="s">
        <v>503</v>
      </c>
      <c r="L102" s="16" t="s">
        <v>975</v>
      </c>
      <c r="M102" s="16" t="s">
        <v>976</v>
      </c>
      <c r="N102" s="19" t="n">
        <f aca="false">LEN(M102)</f>
        <v>58</v>
      </c>
      <c r="O102" s="20" t="s">
        <v>977</v>
      </c>
      <c r="P102" s="19" t="n">
        <f aca="false">LEN(O102)</f>
        <v>151</v>
      </c>
      <c r="Q102" s="20" t="s">
        <v>978</v>
      </c>
      <c r="R102" s="20"/>
      <c r="S102" s="16" t="s">
        <v>322</v>
      </c>
      <c r="T102" s="20"/>
    </row>
    <row r="103" customFormat="false" ht="45.75" hidden="false" customHeight="true" outlineLevel="0" collapsed="false">
      <c r="A103" s="16" t="s">
        <v>979</v>
      </c>
      <c r="B103" s="16" t="s">
        <v>846</v>
      </c>
      <c r="C103" s="16" t="s">
        <v>980</v>
      </c>
      <c r="D103" s="16" t="s">
        <v>927</v>
      </c>
      <c r="E103" s="16" t="s">
        <v>375</v>
      </c>
      <c r="F103" s="17" t="s">
        <v>158</v>
      </c>
      <c r="G103" s="18" t="n">
        <f aca="false">IFERROR(INDEX('Semrush Data'!$C$2:$C$5000,MATCH(F103,'Semrush Data'!$A$2:$A$5000,0)),"")</f>
        <v>1300</v>
      </c>
      <c r="H103" s="16" t="n">
        <f aca="false">IFERROR(INDEX('Semrush Data'!$D$2:$D$5000,MATCH(F103,'Semrush Data'!$A$2:$A$5000,0)),"")</f>
        <v>11</v>
      </c>
      <c r="I103" s="16" t="s">
        <v>241</v>
      </c>
      <c r="J103" s="18" t="n">
        <f aca="false">IFERROR(INDEX('Semrush Data'!$C$2:$C$5000,MATCH(I103,'Semrush Data'!$A$2:$A$5000,0)),"")</f>
        <v>140</v>
      </c>
      <c r="K103" s="16" t="s">
        <v>446</v>
      </c>
      <c r="L103" s="16" t="s">
        <v>981</v>
      </c>
      <c r="M103" s="16" t="s">
        <v>982</v>
      </c>
      <c r="N103" s="19" t="n">
        <f aca="false">LEN(M103)</f>
        <v>55</v>
      </c>
      <c r="O103" s="20" t="s">
        <v>983</v>
      </c>
      <c r="P103" s="19" t="n">
        <f aca="false">LEN(O103)</f>
        <v>157</v>
      </c>
      <c r="Q103" s="20" t="s">
        <v>984</v>
      </c>
      <c r="R103" s="20"/>
      <c r="S103" s="16" t="s">
        <v>322</v>
      </c>
      <c r="T103" s="20" t="s">
        <v>333</v>
      </c>
    </row>
    <row r="104" customFormat="false" ht="34.5" hidden="false" customHeight="true" outlineLevel="0" collapsed="false">
      <c r="A104" s="16" t="s">
        <v>985</v>
      </c>
      <c r="B104" s="16" t="s">
        <v>846</v>
      </c>
      <c r="C104" s="16" t="s">
        <v>986</v>
      </c>
      <c r="D104" s="16" t="s">
        <v>525</v>
      </c>
      <c r="E104" s="16" t="s">
        <v>375</v>
      </c>
      <c r="F104" s="17" t="s">
        <v>192</v>
      </c>
      <c r="G104" s="18" t="n">
        <f aca="false">IFERROR(INDEX('Semrush Data'!$C$2:$C$5000,MATCH(F104,'Semrush Data'!$A$2:$A$5000,0)),"")</f>
        <v>12100</v>
      </c>
      <c r="H104" s="16" t="n">
        <f aca="false">IFERROR(INDEX('Semrush Data'!$D$2:$D$5000,MATCH(F104,'Semrush Data'!$A$2:$A$5000,0)),"")</f>
        <v>18</v>
      </c>
      <c r="I104" s="16" t="s">
        <v>241</v>
      </c>
      <c r="J104" s="18" t="n">
        <f aca="false">IFERROR(INDEX('Semrush Data'!$C$2:$C$5000,MATCH(I104,'Semrush Data'!$A$2:$A$5000,0)),"")</f>
        <v>140</v>
      </c>
      <c r="K104" s="16" t="s">
        <v>527</v>
      </c>
      <c r="L104" s="16" t="s">
        <v>987</v>
      </c>
      <c r="M104" s="16" t="s">
        <v>988</v>
      </c>
      <c r="N104" s="19" t="n">
        <f aca="false">LEN(M104)</f>
        <v>29</v>
      </c>
      <c r="O104" s="20" t="s">
        <v>989</v>
      </c>
      <c r="P104" s="19" t="n">
        <f aca="false">LEN(O104)</f>
        <v>143</v>
      </c>
      <c r="Q104" s="20" t="s">
        <v>990</v>
      </c>
      <c r="R104" s="20" t="s">
        <v>991</v>
      </c>
      <c r="S104" s="16" t="s">
        <v>322</v>
      </c>
      <c r="T104" s="20" t="s">
        <v>333</v>
      </c>
    </row>
    <row r="105" customFormat="false" ht="57" hidden="false" customHeight="true" outlineLevel="0" collapsed="false">
      <c r="A105" s="16" t="s">
        <v>992</v>
      </c>
      <c r="B105" s="16" t="s">
        <v>846</v>
      </c>
      <c r="C105" s="16" t="s">
        <v>993</v>
      </c>
      <c r="D105" s="16" t="s">
        <v>887</v>
      </c>
      <c r="E105" s="16" t="s">
        <v>316</v>
      </c>
      <c r="F105" s="17" t="s">
        <v>193</v>
      </c>
      <c r="G105" s="18" t="n">
        <f aca="false">IFERROR(INDEX('Semrush Data'!$C$2:$C$5000,MATCH(F105,'Semrush Data'!$A$2:$A$5000,0)),"")</f>
        <v>9900</v>
      </c>
      <c r="H105" s="16" t="n">
        <f aca="false">IFERROR(INDEX('Semrush Data'!$D$2:$D$5000,MATCH(F105,'Semrush Data'!$A$2:$A$5000,0)),"")</f>
        <v>30</v>
      </c>
      <c r="I105" s="16" t="s">
        <v>241</v>
      </c>
      <c r="J105" s="18" t="n">
        <f aca="false">IFERROR(INDEX('Semrush Data'!$C$2:$C$5000,MATCH(I105,'Semrush Data'!$A$2:$A$5000,0)),"")</f>
        <v>140</v>
      </c>
      <c r="K105" s="16" t="s">
        <v>503</v>
      </c>
      <c r="L105" s="16" t="s">
        <v>994</v>
      </c>
      <c r="M105" s="16" t="s">
        <v>995</v>
      </c>
      <c r="N105" s="19" t="n">
        <f aca="false">LEN(M105)</f>
        <v>37</v>
      </c>
      <c r="O105" s="20" t="s">
        <v>996</v>
      </c>
      <c r="P105" s="19" t="n">
        <f aca="false">LEN(O105)</f>
        <v>144</v>
      </c>
      <c r="Q105" s="20" t="s">
        <v>997</v>
      </c>
      <c r="R105" s="20" t="s">
        <v>998</v>
      </c>
      <c r="S105" s="16" t="s">
        <v>322</v>
      </c>
      <c r="T105" s="20" t="s">
        <v>333</v>
      </c>
    </row>
    <row r="106" customFormat="false" ht="45.75" hidden="false" customHeight="true" outlineLevel="0" collapsed="false">
      <c r="A106" s="16" t="s">
        <v>999</v>
      </c>
      <c r="B106" s="16" t="s">
        <v>846</v>
      </c>
      <c r="C106" s="16" t="s">
        <v>1000</v>
      </c>
      <c r="D106" s="16" t="s">
        <v>355</v>
      </c>
      <c r="E106" s="16" t="s">
        <v>356</v>
      </c>
      <c r="F106" s="17" t="s">
        <v>203</v>
      </c>
      <c r="G106" s="18" t="n">
        <f aca="false">IFERROR(INDEX('Semrush Data'!$C$2:$C$5000,MATCH(F106,'Semrush Data'!$A$2:$A$5000,0)),"")</f>
        <v>3600</v>
      </c>
      <c r="H106" s="16" t="n">
        <f aca="false">IFERROR(INDEX('Semrush Data'!$D$2:$D$5000,MATCH(F106,'Semrush Data'!$A$2:$A$5000,0)),"")</f>
        <v>24</v>
      </c>
      <c r="I106" s="16" t="s">
        <v>241</v>
      </c>
      <c r="J106" s="18" t="n">
        <f aca="false">IFERROR(INDEX('Semrush Data'!$C$2:$C$5000,MATCH(I106,'Semrush Data'!$A$2:$A$5000,0)),"")</f>
        <v>140</v>
      </c>
      <c r="K106" s="16" t="s">
        <v>357</v>
      </c>
      <c r="L106" s="16" t="s">
        <v>1001</v>
      </c>
      <c r="M106" s="16" t="s">
        <v>1002</v>
      </c>
      <c r="N106" s="19" t="n">
        <f aca="false">LEN(M106)</f>
        <v>35</v>
      </c>
      <c r="O106" s="20" t="s">
        <v>1003</v>
      </c>
      <c r="P106" s="19" t="n">
        <f aca="false">LEN(O106)</f>
        <v>158</v>
      </c>
      <c r="Q106" s="20" t="s">
        <v>1004</v>
      </c>
      <c r="R106" s="20" t="s">
        <v>1005</v>
      </c>
      <c r="S106" s="16" t="s">
        <v>322</v>
      </c>
      <c r="T106" s="20" t="s">
        <v>333</v>
      </c>
    </row>
    <row r="107" customFormat="false" ht="45.75" hidden="false" customHeight="true" outlineLevel="0" collapsed="false">
      <c r="A107" s="16" t="s">
        <v>1006</v>
      </c>
      <c r="B107" s="16" t="s">
        <v>846</v>
      </c>
      <c r="C107" s="16" t="s">
        <v>1007</v>
      </c>
      <c r="D107" s="16" t="s">
        <v>396</v>
      </c>
      <c r="E107" s="16" t="s">
        <v>397</v>
      </c>
      <c r="F107" s="17" t="s">
        <v>223</v>
      </c>
      <c r="G107" s="18" t="n">
        <f aca="false">IFERROR(INDEX('Semrush Data'!$C$2:$C$5000,MATCH(F107,'Semrush Data'!$A$2:$A$5000,0)),"")</f>
        <v>1300</v>
      </c>
      <c r="H107" s="16" t="n">
        <f aca="false">IFERROR(INDEX('Semrush Data'!$D$2:$D$5000,MATCH(F107,'Semrush Data'!$A$2:$A$5000,0)),"")</f>
        <v>10</v>
      </c>
      <c r="I107" s="16" t="s">
        <v>241</v>
      </c>
      <c r="J107" s="18" t="n">
        <f aca="false">IFERROR(INDEX('Semrush Data'!$C$2:$C$5000,MATCH(I107,'Semrush Data'!$A$2:$A$5000,0)),"")</f>
        <v>140</v>
      </c>
      <c r="K107" s="16" t="s">
        <v>398</v>
      </c>
      <c r="L107" s="16" t="s">
        <v>1008</v>
      </c>
      <c r="M107" s="16" t="s">
        <v>1009</v>
      </c>
      <c r="N107" s="19" t="n">
        <f aca="false">LEN(M107)</f>
        <v>52</v>
      </c>
      <c r="O107" s="20" t="s">
        <v>1010</v>
      </c>
      <c r="P107" s="19" t="n">
        <f aca="false">LEN(O107)</f>
        <v>140</v>
      </c>
      <c r="Q107" s="20" t="s">
        <v>1011</v>
      </c>
      <c r="R107" s="20" t="s">
        <v>1012</v>
      </c>
      <c r="S107" s="16" t="s">
        <v>322</v>
      </c>
      <c r="T107" s="20" t="s">
        <v>333</v>
      </c>
    </row>
    <row r="108" customFormat="false" ht="45.75" hidden="false" customHeight="true" outlineLevel="0" collapsed="false">
      <c r="A108" s="16" t="s">
        <v>1013</v>
      </c>
      <c r="B108" s="16" t="s">
        <v>846</v>
      </c>
      <c r="C108" s="16" t="s">
        <v>1014</v>
      </c>
      <c r="D108" s="16" t="s">
        <v>927</v>
      </c>
      <c r="E108" s="16" t="s">
        <v>347</v>
      </c>
      <c r="F108" s="17" t="s">
        <v>158</v>
      </c>
      <c r="G108" s="18" t="n">
        <f aca="false">IFERROR(INDEX('Semrush Data'!$C$2:$C$5000,MATCH(F108,'Semrush Data'!$A$2:$A$5000,0)),"")</f>
        <v>1300</v>
      </c>
      <c r="H108" s="16" t="n">
        <f aca="false">IFERROR(INDEX('Semrush Data'!$D$2:$D$5000,MATCH(F108,'Semrush Data'!$A$2:$A$5000,0)),"")</f>
        <v>11</v>
      </c>
      <c r="I108" s="16" t="s">
        <v>241</v>
      </c>
      <c r="J108" s="18" t="n">
        <f aca="false">IFERROR(INDEX('Semrush Data'!$C$2:$C$5000,MATCH(I108,'Semrush Data'!$A$2:$A$5000,0)),"")</f>
        <v>140</v>
      </c>
      <c r="K108" s="16" t="s">
        <v>446</v>
      </c>
      <c r="L108" s="16" t="s">
        <v>1015</v>
      </c>
      <c r="M108" s="16" t="s">
        <v>1016</v>
      </c>
      <c r="N108" s="19" t="n">
        <f aca="false">LEN(M108)</f>
        <v>60</v>
      </c>
      <c r="O108" s="20" t="s">
        <v>1017</v>
      </c>
      <c r="P108" s="19" t="n">
        <f aca="false">LEN(O108)</f>
        <v>149</v>
      </c>
      <c r="Q108" s="20" t="s">
        <v>1018</v>
      </c>
      <c r="R108" s="20"/>
      <c r="S108" s="16" t="s">
        <v>322</v>
      </c>
      <c r="T108" s="20"/>
    </row>
    <row r="109" customFormat="false" ht="45.75" hidden="false" customHeight="true" outlineLevel="0" collapsed="false">
      <c r="A109" s="16" t="s">
        <v>1019</v>
      </c>
      <c r="B109" s="16" t="s">
        <v>846</v>
      </c>
      <c r="C109" s="16" t="s">
        <v>1020</v>
      </c>
      <c r="D109" s="16" t="s">
        <v>927</v>
      </c>
      <c r="E109" s="16" t="s">
        <v>347</v>
      </c>
      <c r="F109" s="17" t="s">
        <v>158</v>
      </c>
      <c r="G109" s="18" t="n">
        <f aca="false">IFERROR(INDEX('Semrush Data'!$C$2:$C$5000,MATCH(F109,'Semrush Data'!$A$2:$A$5000,0)),"")</f>
        <v>1300</v>
      </c>
      <c r="H109" s="16" t="n">
        <f aca="false">IFERROR(INDEX('Semrush Data'!$D$2:$D$5000,MATCH(F109,'Semrush Data'!$A$2:$A$5000,0)),"")</f>
        <v>11</v>
      </c>
      <c r="I109" s="16" t="s">
        <v>241</v>
      </c>
      <c r="J109" s="18" t="n">
        <f aca="false">IFERROR(INDEX('Semrush Data'!$C$2:$C$5000,MATCH(I109,'Semrush Data'!$A$2:$A$5000,0)),"")</f>
        <v>140</v>
      </c>
      <c r="K109" s="16" t="s">
        <v>446</v>
      </c>
      <c r="L109" s="16" t="s">
        <v>1021</v>
      </c>
      <c r="M109" s="16" t="s">
        <v>1022</v>
      </c>
      <c r="N109" s="19" t="n">
        <f aca="false">LEN(M109)</f>
        <v>54</v>
      </c>
      <c r="O109" s="20" t="s">
        <v>1023</v>
      </c>
      <c r="P109" s="19" t="n">
        <f aca="false">LEN(O109)</f>
        <v>157</v>
      </c>
      <c r="Q109" s="20" t="s">
        <v>1024</v>
      </c>
      <c r="R109" s="20"/>
      <c r="S109" s="16" t="s">
        <v>322</v>
      </c>
      <c r="T109" s="20"/>
    </row>
    <row r="110" customFormat="false" ht="45.75" hidden="false" customHeight="true" outlineLevel="0" collapsed="false">
      <c r="A110" s="16" t="s">
        <v>1025</v>
      </c>
      <c r="B110" s="16" t="s">
        <v>846</v>
      </c>
      <c r="C110" s="16" t="s">
        <v>1026</v>
      </c>
      <c r="D110" s="16" t="s">
        <v>927</v>
      </c>
      <c r="E110" s="16" t="s">
        <v>347</v>
      </c>
      <c r="F110" s="17" t="s">
        <v>158</v>
      </c>
      <c r="G110" s="18" t="n">
        <f aca="false">IFERROR(INDEX('Semrush Data'!$C$2:$C$5000,MATCH(F110,'Semrush Data'!$A$2:$A$5000,0)),"")</f>
        <v>1300</v>
      </c>
      <c r="H110" s="16" t="n">
        <f aca="false">IFERROR(INDEX('Semrush Data'!$D$2:$D$5000,MATCH(F110,'Semrush Data'!$A$2:$A$5000,0)),"")</f>
        <v>11</v>
      </c>
      <c r="I110" s="16" t="s">
        <v>241</v>
      </c>
      <c r="J110" s="18" t="n">
        <f aca="false">IFERROR(INDEX('Semrush Data'!$C$2:$C$5000,MATCH(I110,'Semrush Data'!$A$2:$A$5000,0)),"")</f>
        <v>140</v>
      </c>
      <c r="K110" s="16" t="s">
        <v>446</v>
      </c>
      <c r="L110" s="16" t="s">
        <v>1027</v>
      </c>
      <c r="M110" s="16" t="s">
        <v>1028</v>
      </c>
      <c r="N110" s="19" t="n">
        <f aca="false">LEN(M110)</f>
        <v>56</v>
      </c>
      <c r="O110" s="20" t="s">
        <v>1029</v>
      </c>
      <c r="P110" s="19" t="n">
        <f aca="false">LEN(O110)</f>
        <v>159</v>
      </c>
      <c r="Q110" s="20" t="s">
        <v>1030</v>
      </c>
      <c r="R110" s="20"/>
      <c r="S110" s="16" t="s">
        <v>322</v>
      </c>
      <c r="T110" s="20"/>
    </row>
    <row r="111" customFormat="false" ht="57" hidden="false" customHeight="true" outlineLevel="0" collapsed="false">
      <c r="A111" s="16" t="s">
        <v>1031</v>
      </c>
      <c r="B111" s="16" t="s">
        <v>846</v>
      </c>
      <c r="C111" s="16" t="s">
        <v>1032</v>
      </c>
      <c r="D111" s="16" t="s">
        <v>927</v>
      </c>
      <c r="E111" s="16" t="s">
        <v>347</v>
      </c>
      <c r="F111" s="17" t="s">
        <v>158</v>
      </c>
      <c r="G111" s="18" t="n">
        <f aca="false">IFERROR(INDEX('Semrush Data'!$C$2:$C$5000,MATCH(F111,'Semrush Data'!$A$2:$A$5000,0)),"")</f>
        <v>1300</v>
      </c>
      <c r="H111" s="16" t="n">
        <f aca="false">IFERROR(INDEX('Semrush Data'!$D$2:$D$5000,MATCH(F111,'Semrush Data'!$A$2:$A$5000,0)),"")</f>
        <v>11</v>
      </c>
      <c r="I111" s="16" t="s">
        <v>241</v>
      </c>
      <c r="J111" s="18" t="n">
        <f aca="false">IFERROR(INDEX('Semrush Data'!$C$2:$C$5000,MATCH(I111,'Semrush Data'!$A$2:$A$5000,0)),"")</f>
        <v>140</v>
      </c>
      <c r="K111" s="16" t="s">
        <v>446</v>
      </c>
      <c r="L111" s="16" t="s">
        <v>1033</v>
      </c>
      <c r="M111" s="16" t="s">
        <v>1034</v>
      </c>
      <c r="N111" s="19" t="n">
        <f aca="false">LEN(M111)</f>
        <v>57</v>
      </c>
      <c r="O111" s="20" t="s">
        <v>1035</v>
      </c>
      <c r="P111" s="19" t="n">
        <f aca="false">LEN(O111)</f>
        <v>160</v>
      </c>
      <c r="Q111" s="20" t="s">
        <v>1036</v>
      </c>
      <c r="R111" s="20"/>
      <c r="S111" s="16" t="s">
        <v>322</v>
      </c>
      <c r="T111" s="20" t="s">
        <v>333</v>
      </c>
    </row>
    <row r="112" customFormat="false" ht="57" hidden="false" customHeight="true" outlineLevel="0" collapsed="false">
      <c r="A112" s="16" t="s">
        <v>1037</v>
      </c>
      <c r="B112" s="16" t="s">
        <v>846</v>
      </c>
      <c r="C112" s="16" t="s">
        <v>1038</v>
      </c>
      <c r="D112" s="16" t="s">
        <v>396</v>
      </c>
      <c r="E112" s="16" t="s">
        <v>586</v>
      </c>
      <c r="F112" s="17" t="s">
        <v>198</v>
      </c>
      <c r="G112" s="18" t="n">
        <f aca="false">IFERROR(INDEX('Semrush Data'!$C$2:$C$5000,MATCH(F112,'Semrush Data'!$A$2:$A$5000,0)),"")</f>
        <v>5400</v>
      </c>
      <c r="H112" s="16" t="n">
        <f aca="false">IFERROR(INDEX('Semrush Data'!$D$2:$D$5000,MATCH(F112,'Semrush Data'!$A$2:$A$5000,0)),"")</f>
        <v>16</v>
      </c>
      <c r="I112" s="16" t="s">
        <v>241</v>
      </c>
      <c r="J112" s="18" t="n">
        <f aca="false">IFERROR(INDEX('Semrush Data'!$C$2:$C$5000,MATCH(I112,'Semrush Data'!$A$2:$A$5000,0)),"")</f>
        <v>140</v>
      </c>
      <c r="K112" s="16" t="s">
        <v>587</v>
      </c>
      <c r="L112" s="16" t="s">
        <v>1039</v>
      </c>
      <c r="M112" s="16" t="s">
        <v>1040</v>
      </c>
      <c r="N112" s="19" t="n">
        <f aca="false">LEN(M112)</f>
        <v>32</v>
      </c>
      <c r="O112" s="20" t="s">
        <v>1041</v>
      </c>
      <c r="P112" s="19" t="n">
        <f aca="false">LEN(O112)</f>
        <v>139</v>
      </c>
      <c r="Q112" s="20" t="s">
        <v>1042</v>
      </c>
      <c r="R112" s="20"/>
      <c r="S112" s="16" t="s">
        <v>322</v>
      </c>
      <c r="T112" s="20" t="s">
        <v>333</v>
      </c>
    </row>
    <row r="113" customFormat="false" ht="57" hidden="false" customHeight="true" outlineLevel="0" collapsed="false">
      <c r="A113" s="16" t="s">
        <v>1043</v>
      </c>
      <c r="B113" s="16" t="s">
        <v>846</v>
      </c>
      <c r="C113" s="16" t="s">
        <v>1044</v>
      </c>
      <c r="D113" s="16" t="s">
        <v>1045</v>
      </c>
      <c r="E113" s="16" t="s">
        <v>561</v>
      </c>
      <c r="F113" s="17" t="s">
        <v>153</v>
      </c>
      <c r="G113" s="18" t="n">
        <f aca="false">IFERROR(INDEX('Semrush Data'!$C$2:$C$5000,MATCH(F113,'Semrush Data'!$A$2:$A$5000,0)),"")</f>
        <v>2400</v>
      </c>
      <c r="H113" s="16" t="n">
        <f aca="false">IFERROR(INDEX('Semrush Data'!$D$2:$D$5000,MATCH(F113,'Semrush Data'!$A$2:$A$5000,0)),"")</f>
        <v>13</v>
      </c>
      <c r="I113" s="16" t="s">
        <v>241</v>
      </c>
      <c r="J113" s="18" t="n">
        <f aca="false">IFERROR(INDEX('Semrush Data'!$C$2:$C$5000,MATCH(I113,'Semrush Data'!$A$2:$A$5000,0)),"")</f>
        <v>140</v>
      </c>
      <c r="K113" s="16" t="s">
        <v>414</v>
      </c>
      <c r="L113" s="16" t="s">
        <v>1046</v>
      </c>
      <c r="M113" s="16" t="s">
        <v>1047</v>
      </c>
      <c r="N113" s="19" t="n">
        <f aca="false">LEN(M113)</f>
        <v>50</v>
      </c>
      <c r="O113" s="20" t="s">
        <v>1048</v>
      </c>
      <c r="P113" s="19" t="n">
        <f aca="false">LEN(O113)</f>
        <v>157</v>
      </c>
      <c r="Q113" s="20" t="s">
        <v>1049</v>
      </c>
      <c r="R113" s="20" t="s">
        <v>1050</v>
      </c>
      <c r="S113" s="16" t="s">
        <v>322</v>
      </c>
      <c r="T113" s="20"/>
    </row>
    <row r="114" customFormat="false" ht="45.75" hidden="false" customHeight="true" outlineLevel="0" collapsed="false">
      <c r="A114" s="16" t="s">
        <v>1051</v>
      </c>
      <c r="B114" s="16" t="s">
        <v>846</v>
      </c>
      <c r="C114" s="16" t="s">
        <v>1052</v>
      </c>
      <c r="D114" s="16" t="s">
        <v>365</v>
      </c>
      <c r="E114" s="16" t="s">
        <v>375</v>
      </c>
      <c r="F114" s="17" t="s">
        <v>155</v>
      </c>
      <c r="G114" s="18" t="n">
        <f aca="false">IFERROR(INDEX('Semrush Data'!$C$2:$C$5000,MATCH(F114,'Semrush Data'!$A$2:$A$5000,0)),"")</f>
        <v>1600</v>
      </c>
      <c r="H114" s="16" t="n">
        <f aca="false">IFERROR(INDEX('Semrush Data'!$D$2:$D$5000,MATCH(F114,'Semrush Data'!$A$2:$A$5000,0)),"")</f>
        <v>29</v>
      </c>
      <c r="I114" s="16" t="s">
        <v>241</v>
      </c>
      <c r="J114" s="18" t="n">
        <f aca="false">IFERROR(INDEX('Semrush Data'!$C$2:$C$5000,MATCH(I114,'Semrush Data'!$A$2:$A$5000,0)),"")</f>
        <v>140</v>
      </c>
      <c r="K114" s="16" t="s">
        <v>534</v>
      </c>
      <c r="L114" s="16" t="s">
        <v>1053</v>
      </c>
      <c r="M114" s="16" t="s">
        <v>1054</v>
      </c>
      <c r="N114" s="19" t="n">
        <f aca="false">LEN(M114)</f>
        <v>60</v>
      </c>
      <c r="O114" s="20" t="s">
        <v>1055</v>
      </c>
      <c r="P114" s="19" t="n">
        <f aca="false">LEN(O114)</f>
        <v>156</v>
      </c>
      <c r="Q114" s="20" t="s">
        <v>1056</v>
      </c>
      <c r="R114" s="20"/>
      <c r="S114" s="16" t="s">
        <v>322</v>
      </c>
      <c r="T114" s="20"/>
    </row>
    <row r="115" customFormat="false" ht="45.75" hidden="false" customHeight="true" outlineLevel="0" collapsed="false">
      <c r="A115" s="16" t="s">
        <v>1057</v>
      </c>
      <c r="B115" s="16" t="s">
        <v>846</v>
      </c>
      <c r="C115" s="16" t="s">
        <v>1058</v>
      </c>
      <c r="D115" s="16" t="s">
        <v>445</v>
      </c>
      <c r="E115" s="16" t="s">
        <v>375</v>
      </c>
      <c r="F115" s="17" t="s">
        <v>158</v>
      </c>
      <c r="G115" s="18" t="n">
        <f aca="false">IFERROR(INDEX('Semrush Data'!$C$2:$C$5000,MATCH(F115,'Semrush Data'!$A$2:$A$5000,0)),"")</f>
        <v>1300</v>
      </c>
      <c r="H115" s="16" t="n">
        <f aca="false">IFERROR(INDEX('Semrush Data'!$D$2:$D$5000,MATCH(F115,'Semrush Data'!$A$2:$A$5000,0)),"")</f>
        <v>11</v>
      </c>
      <c r="I115" s="16" t="s">
        <v>241</v>
      </c>
      <c r="J115" s="18" t="n">
        <f aca="false">IFERROR(INDEX('Semrush Data'!$C$2:$C$5000,MATCH(I115,'Semrush Data'!$A$2:$A$5000,0)),"")</f>
        <v>140</v>
      </c>
      <c r="K115" s="16" t="s">
        <v>446</v>
      </c>
      <c r="L115" s="16" t="s">
        <v>1059</v>
      </c>
      <c r="M115" s="16" t="s">
        <v>1060</v>
      </c>
      <c r="N115" s="19" t="n">
        <f aca="false">LEN(M115)</f>
        <v>56</v>
      </c>
      <c r="O115" s="20" t="s">
        <v>1061</v>
      </c>
      <c r="P115" s="19" t="n">
        <f aca="false">LEN(O115)</f>
        <v>159</v>
      </c>
      <c r="Q115" s="20" t="s">
        <v>1062</v>
      </c>
      <c r="R115" s="20"/>
      <c r="S115" s="16" t="s">
        <v>322</v>
      </c>
      <c r="T115" s="20"/>
    </row>
    <row r="116" customFormat="false" ht="45.75" hidden="false" customHeight="true" outlineLevel="0" collapsed="false">
      <c r="A116" s="16" t="s">
        <v>1063</v>
      </c>
      <c r="B116" s="16" t="s">
        <v>846</v>
      </c>
      <c r="C116" s="16" t="s">
        <v>1064</v>
      </c>
      <c r="D116" s="16" t="s">
        <v>315</v>
      </c>
      <c r="E116" s="16" t="s">
        <v>316</v>
      </c>
      <c r="F116" s="17" t="s">
        <v>164</v>
      </c>
      <c r="G116" s="18" t="n">
        <f aca="false">IFERROR(INDEX('Semrush Data'!$C$2:$C$5000,MATCH(F116,'Semrush Data'!$A$2:$A$5000,0)),"")</f>
        <v>720</v>
      </c>
      <c r="H116" s="16" t="n">
        <f aca="false">IFERROR(INDEX('Semrush Data'!$D$2:$D$5000,MATCH(F116,'Semrush Data'!$A$2:$A$5000,0)),"")</f>
        <v>16</v>
      </c>
      <c r="I116" s="16" t="s">
        <v>241</v>
      </c>
      <c r="J116" s="18" t="n">
        <f aca="false">IFERROR(INDEX('Semrush Data'!$C$2:$C$5000,MATCH(I116,'Semrush Data'!$A$2:$A$5000,0)),"")</f>
        <v>140</v>
      </c>
      <c r="K116" s="16" t="s">
        <v>317</v>
      </c>
      <c r="L116" s="16" t="s">
        <v>1065</v>
      </c>
      <c r="M116" s="16" t="s">
        <v>1066</v>
      </c>
      <c r="N116" s="19" t="n">
        <f aca="false">LEN(M116)</f>
        <v>59</v>
      </c>
      <c r="O116" s="20" t="s">
        <v>1067</v>
      </c>
      <c r="P116" s="19" t="n">
        <f aca="false">LEN(O116)</f>
        <v>155</v>
      </c>
      <c r="Q116" s="20" t="s">
        <v>1068</v>
      </c>
      <c r="R116" s="20"/>
      <c r="S116" s="16" t="s">
        <v>322</v>
      </c>
      <c r="T116" s="20" t="s">
        <v>333</v>
      </c>
    </row>
    <row r="117" customFormat="false" ht="45.75" hidden="false" customHeight="true" outlineLevel="0" collapsed="false">
      <c r="A117" s="16" t="s">
        <v>1069</v>
      </c>
      <c r="B117" s="16" t="s">
        <v>846</v>
      </c>
      <c r="C117" s="16" t="s">
        <v>1070</v>
      </c>
      <c r="D117" s="16" t="s">
        <v>887</v>
      </c>
      <c r="E117" s="16" t="s">
        <v>526</v>
      </c>
      <c r="F117" s="17" t="s">
        <v>167</v>
      </c>
      <c r="G117" s="18" t="n">
        <f aca="false">IFERROR(INDEX('Semrush Data'!$C$2:$C$5000,MATCH(F117,'Semrush Data'!$A$2:$A$5000,0)),"")</f>
        <v>320</v>
      </c>
      <c r="H117" s="16" t="n">
        <f aca="false">IFERROR(INDEX('Semrush Data'!$D$2:$D$5000,MATCH(F117,'Semrush Data'!$A$2:$A$5000,0)),"")</f>
        <v>10</v>
      </c>
      <c r="I117" s="16" t="s">
        <v>241</v>
      </c>
      <c r="J117" s="18" t="n">
        <f aca="false">IFERROR(INDEX('Semrush Data'!$C$2:$C$5000,MATCH(I117,'Semrush Data'!$A$2:$A$5000,0)),"")</f>
        <v>140</v>
      </c>
      <c r="K117" s="16" t="s">
        <v>603</v>
      </c>
      <c r="L117" s="16" t="s">
        <v>1071</v>
      </c>
      <c r="M117" s="16" t="s">
        <v>1072</v>
      </c>
      <c r="N117" s="19" t="n">
        <f aca="false">LEN(M117)</f>
        <v>56</v>
      </c>
      <c r="O117" s="20" t="s">
        <v>1073</v>
      </c>
      <c r="P117" s="19" t="n">
        <f aca="false">LEN(O117)</f>
        <v>154</v>
      </c>
      <c r="Q117" s="20" t="s">
        <v>1074</v>
      </c>
      <c r="R117" s="20"/>
      <c r="S117" s="16" t="s">
        <v>322</v>
      </c>
      <c r="T117" s="20"/>
    </row>
    <row r="118" customFormat="false" ht="45.75" hidden="false" customHeight="true" outlineLevel="0" collapsed="false">
      <c r="A118" s="16" t="s">
        <v>1075</v>
      </c>
      <c r="B118" s="16" t="s">
        <v>846</v>
      </c>
      <c r="C118" s="16" t="s">
        <v>1076</v>
      </c>
      <c r="D118" s="16" t="s">
        <v>396</v>
      </c>
      <c r="E118" s="16" t="s">
        <v>397</v>
      </c>
      <c r="F118" s="17" t="s">
        <v>160</v>
      </c>
      <c r="G118" s="18" t="n">
        <f aca="false">IFERROR(INDEX('Semrush Data'!$C$2:$C$5000,MATCH(F118,'Semrush Data'!$A$2:$A$5000,0)),"")</f>
        <v>1000</v>
      </c>
      <c r="H118" s="16" t="n">
        <f aca="false">IFERROR(INDEX('Semrush Data'!$D$2:$D$5000,MATCH(F118,'Semrush Data'!$A$2:$A$5000,0)),"")</f>
        <v>41</v>
      </c>
      <c r="I118" s="16" t="s">
        <v>241</v>
      </c>
      <c r="J118" s="18" t="n">
        <f aca="false">IFERROR(INDEX('Semrush Data'!$C$2:$C$5000,MATCH(I118,'Semrush Data'!$A$2:$A$5000,0)),"")</f>
        <v>140</v>
      </c>
      <c r="K118" s="16" t="s">
        <v>398</v>
      </c>
      <c r="L118" s="16" t="s">
        <v>1077</v>
      </c>
      <c r="M118" s="16" t="s">
        <v>1078</v>
      </c>
      <c r="N118" s="19" t="n">
        <f aca="false">LEN(M118)</f>
        <v>53</v>
      </c>
      <c r="O118" s="20" t="s">
        <v>1079</v>
      </c>
      <c r="P118" s="19" t="n">
        <f aca="false">LEN(O118)</f>
        <v>160</v>
      </c>
      <c r="Q118" s="20" t="s">
        <v>1080</v>
      </c>
      <c r="R118" s="20" t="s">
        <v>1081</v>
      </c>
      <c r="S118" s="16" t="s">
        <v>322</v>
      </c>
      <c r="T118" s="20"/>
    </row>
    <row r="119" customFormat="false" ht="45.75" hidden="false" customHeight="true" outlineLevel="0" collapsed="false">
      <c r="A119" s="16" t="s">
        <v>1082</v>
      </c>
      <c r="B119" s="16" t="s">
        <v>846</v>
      </c>
      <c r="C119" s="16" t="s">
        <v>1083</v>
      </c>
      <c r="D119" s="16" t="s">
        <v>927</v>
      </c>
      <c r="E119" s="16" t="s">
        <v>375</v>
      </c>
      <c r="F119" s="17" t="s">
        <v>158</v>
      </c>
      <c r="G119" s="18" t="n">
        <f aca="false">IFERROR(INDEX('Semrush Data'!$C$2:$C$5000,MATCH(F119,'Semrush Data'!$A$2:$A$5000,0)),"")</f>
        <v>1300</v>
      </c>
      <c r="H119" s="16" t="n">
        <f aca="false">IFERROR(INDEX('Semrush Data'!$D$2:$D$5000,MATCH(F119,'Semrush Data'!$A$2:$A$5000,0)),"")</f>
        <v>11</v>
      </c>
      <c r="I119" s="16" t="s">
        <v>241</v>
      </c>
      <c r="J119" s="18" t="n">
        <f aca="false">IFERROR(INDEX('Semrush Data'!$C$2:$C$5000,MATCH(I119,'Semrush Data'!$A$2:$A$5000,0)),"")</f>
        <v>140</v>
      </c>
      <c r="K119" s="16" t="s">
        <v>446</v>
      </c>
      <c r="L119" s="16" t="s">
        <v>1084</v>
      </c>
      <c r="M119" s="16" t="s">
        <v>1085</v>
      </c>
      <c r="N119" s="19" t="n">
        <f aca="false">LEN(M119)</f>
        <v>57</v>
      </c>
      <c r="O119" s="20" t="s">
        <v>1086</v>
      </c>
      <c r="P119" s="19" t="n">
        <f aca="false">LEN(O119)</f>
        <v>151</v>
      </c>
      <c r="Q119" s="20" t="s">
        <v>1087</v>
      </c>
      <c r="R119" s="20"/>
      <c r="S119" s="16" t="s">
        <v>322</v>
      </c>
      <c r="T119" s="20"/>
    </row>
    <row r="120" customFormat="false" ht="45.75" hidden="false" customHeight="true" outlineLevel="0" collapsed="false">
      <c r="A120" s="16" t="s">
        <v>1088</v>
      </c>
      <c r="B120" s="16" t="s">
        <v>846</v>
      </c>
      <c r="C120" s="16" t="s">
        <v>1089</v>
      </c>
      <c r="D120" s="16" t="s">
        <v>887</v>
      </c>
      <c r="E120" s="16" t="s">
        <v>526</v>
      </c>
      <c r="F120" s="17" t="s">
        <v>167</v>
      </c>
      <c r="G120" s="18" t="n">
        <f aca="false">IFERROR(INDEX('Semrush Data'!$C$2:$C$5000,MATCH(F120,'Semrush Data'!$A$2:$A$5000,0)),"")</f>
        <v>320</v>
      </c>
      <c r="H120" s="16" t="n">
        <f aca="false">IFERROR(INDEX('Semrush Data'!$D$2:$D$5000,MATCH(F120,'Semrush Data'!$A$2:$A$5000,0)),"")</f>
        <v>10</v>
      </c>
      <c r="I120" s="16" t="s">
        <v>241</v>
      </c>
      <c r="J120" s="18" t="n">
        <f aca="false">IFERROR(INDEX('Semrush Data'!$C$2:$C$5000,MATCH(I120,'Semrush Data'!$A$2:$A$5000,0)),"")</f>
        <v>140</v>
      </c>
      <c r="K120" s="16" t="s">
        <v>603</v>
      </c>
      <c r="L120" s="16" t="s">
        <v>1071</v>
      </c>
      <c r="M120" s="16" t="s">
        <v>1072</v>
      </c>
      <c r="N120" s="19" t="n">
        <f aca="false">LEN(M120)</f>
        <v>56</v>
      </c>
      <c r="O120" s="20" t="s">
        <v>1073</v>
      </c>
      <c r="P120" s="19" t="n">
        <f aca="false">LEN(O120)</f>
        <v>154</v>
      </c>
      <c r="Q120" s="20" t="s">
        <v>1074</v>
      </c>
      <c r="R120" s="20"/>
      <c r="S120" s="16" t="s">
        <v>322</v>
      </c>
      <c r="T120" s="20"/>
    </row>
    <row r="121" customFormat="false" ht="45.75" hidden="false" customHeight="true" outlineLevel="0" collapsed="false">
      <c r="A121" s="16" t="s">
        <v>1090</v>
      </c>
      <c r="B121" s="16" t="s">
        <v>846</v>
      </c>
      <c r="C121" s="16" t="s">
        <v>1091</v>
      </c>
      <c r="D121" s="16" t="s">
        <v>501</v>
      </c>
      <c r="E121" s="16" t="s">
        <v>526</v>
      </c>
      <c r="F121" s="17" t="s">
        <v>167</v>
      </c>
      <c r="G121" s="18" t="n">
        <f aca="false">IFERROR(INDEX('Semrush Data'!$C$2:$C$5000,MATCH(F121,'Semrush Data'!$A$2:$A$5000,0)),"")</f>
        <v>320</v>
      </c>
      <c r="H121" s="16" t="n">
        <f aca="false">IFERROR(INDEX('Semrush Data'!$D$2:$D$5000,MATCH(F121,'Semrush Data'!$A$2:$A$5000,0)),"")</f>
        <v>10</v>
      </c>
      <c r="I121" s="16" t="s">
        <v>241</v>
      </c>
      <c r="J121" s="18" t="n">
        <f aca="false">IFERROR(INDEX('Semrush Data'!$C$2:$C$5000,MATCH(I121,'Semrush Data'!$A$2:$A$5000,0)),"")</f>
        <v>140</v>
      </c>
      <c r="K121" s="16" t="s">
        <v>603</v>
      </c>
      <c r="L121" s="16" t="s">
        <v>1092</v>
      </c>
      <c r="M121" s="16" t="s">
        <v>1093</v>
      </c>
      <c r="N121" s="19" t="n">
        <f aca="false">LEN(M121)</f>
        <v>59</v>
      </c>
      <c r="O121" s="20" t="s">
        <v>1094</v>
      </c>
      <c r="P121" s="19" t="n">
        <f aca="false">LEN(O121)</f>
        <v>153</v>
      </c>
      <c r="Q121" s="20" t="s">
        <v>1095</v>
      </c>
      <c r="R121" s="20" t="s">
        <v>1096</v>
      </c>
      <c r="S121" s="16" t="s">
        <v>322</v>
      </c>
      <c r="T121" s="20" t="s">
        <v>333</v>
      </c>
    </row>
    <row r="122" customFormat="false" ht="45.75" hidden="false" customHeight="true" outlineLevel="0" collapsed="false">
      <c r="A122" s="16" t="s">
        <v>1097</v>
      </c>
      <c r="B122" s="16" t="s">
        <v>846</v>
      </c>
      <c r="C122" s="16" t="s">
        <v>1098</v>
      </c>
      <c r="D122" s="16" t="s">
        <v>927</v>
      </c>
      <c r="E122" s="16" t="s">
        <v>347</v>
      </c>
      <c r="F122" s="17" t="s">
        <v>158</v>
      </c>
      <c r="G122" s="18" t="n">
        <f aca="false">IFERROR(INDEX('Semrush Data'!$C$2:$C$5000,MATCH(F122,'Semrush Data'!$A$2:$A$5000,0)),"")</f>
        <v>1300</v>
      </c>
      <c r="H122" s="16" t="n">
        <f aca="false">IFERROR(INDEX('Semrush Data'!$D$2:$D$5000,MATCH(F122,'Semrush Data'!$A$2:$A$5000,0)),"")</f>
        <v>11</v>
      </c>
      <c r="I122" s="16" t="s">
        <v>241</v>
      </c>
      <c r="J122" s="18" t="n">
        <f aca="false">IFERROR(INDEX('Semrush Data'!$C$2:$C$5000,MATCH(I122,'Semrush Data'!$A$2:$A$5000,0)),"")</f>
        <v>140</v>
      </c>
      <c r="K122" s="16" t="s">
        <v>446</v>
      </c>
      <c r="L122" s="16" t="s">
        <v>1099</v>
      </c>
      <c r="M122" s="16" t="s">
        <v>1100</v>
      </c>
      <c r="N122" s="19" t="n">
        <f aca="false">LEN(M122)</f>
        <v>50</v>
      </c>
      <c r="O122" s="20" t="s">
        <v>1101</v>
      </c>
      <c r="P122" s="19" t="n">
        <f aca="false">LEN(O122)</f>
        <v>157</v>
      </c>
      <c r="Q122" s="20" t="s">
        <v>1102</v>
      </c>
      <c r="R122" s="20" t="s">
        <v>1103</v>
      </c>
      <c r="S122" s="16" t="s">
        <v>322</v>
      </c>
      <c r="T122" s="20"/>
    </row>
    <row r="123" customFormat="false" ht="45.75" hidden="false" customHeight="true" outlineLevel="0" collapsed="false">
      <c r="A123" s="16" t="s">
        <v>1104</v>
      </c>
      <c r="B123" s="16" t="s">
        <v>846</v>
      </c>
      <c r="C123" s="16" t="s">
        <v>1105</v>
      </c>
      <c r="D123" s="16" t="s">
        <v>325</v>
      </c>
      <c r="E123" s="16" t="s">
        <v>326</v>
      </c>
      <c r="F123" s="17" t="s">
        <v>199</v>
      </c>
      <c r="G123" s="18" t="n">
        <f aca="false">IFERROR(INDEX('Semrush Data'!$C$2:$C$5000,MATCH(F123,'Semrush Data'!$A$2:$A$5000,0)),"")</f>
        <v>5400</v>
      </c>
      <c r="H123" s="16" t="n">
        <f aca="false">IFERROR(INDEX('Semrush Data'!$D$2:$D$5000,MATCH(F123,'Semrush Data'!$A$2:$A$5000,0)),"")</f>
        <v>21</v>
      </c>
      <c r="I123" s="16" t="s">
        <v>241</v>
      </c>
      <c r="J123" s="18" t="n">
        <f aca="false">IFERROR(INDEX('Semrush Data'!$C$2:$C$5000,MATCH(I123,'Semrush Data'!$A$2:$A$5000,0)),"")</f>
        <v>140</v>
      </c>
      <c r="K123" s="16" t="s">
        <v>327</v>
      </c>
      <c r="L123" s="16" t="s">
        <v>1106</v>
      </c>
      <c r="M123" s="16" t="s">
        <v>1107</v>
      </c>
      <c r="N123" s="19" t="n">
        <f aca="false">LEN(M123)</f>
        <v>50</v>
      </c>
      <c r="O123" s="20" t="s">
        <v>1108</v>
      </c>
      <c r="P123" s="19" t="n">
        <f aca="false">LEN(O123)</f>
        <v>146</v>
      </c>
      <c r="Q123" s="20" t="s">
        <v>1109</v>
      </c>
      <c r="R123" s="20" t="s">
        <v>1110</v>
      </c>
      <c r="S123" s="16" t="s">
        <v>322</v>
      </c>
      <c r="T123" s="20"/>
    </row>
    <row r="124" customFormat="false" ht="57" hidden="false" customHeight="true" outlineLevel="0" collapsed="false">
      <c r="A124" s="16" t="s">
        <v>1111</v>
      </c>
      <c r="B124" s="16" t="s">
        <v>846</v>
      </c>
      <c r="C124" s="16" t="s">
        <v>1112</v>
      </c>
      <c r="D124" s="16" t="s">
        <v>365</v>
      </c>
      <c r="E124" s="16" t="s">
        <v>511</v>
      </c>
      <c r="F124" s="17" t="s">
        <v>156</v>
      </c>
      <c r="G124" s="18" t="n">
        <f aca="false">IFERROR(INDEX('Semrush Data'!$C$2:$C$5000,MATCH(F124,'Semrush Data'!$A$2:$A$5000,0)),"")</f>
        <v>1600</v>
      </c>
      <c r="H124" s="16" t="n">
        <f aca="false">IFERROR(INDEX('Semrush Data'!$D$2:$D$5000,MATCH(F124,'Semrush Data'!$A$2:$A$5000,0)),"")</f>
        <v>33</v>
      </c>
      <c r="I124" s="16" t="s">
        <v>241</v>
      </c>
      <c r="J124" s="18" t="n">
        <f aca="false">IFERROR(INDEX('Semrush Data'!$C$2:$C$5000,MATCH(I124,'Semrush Data'!$A$2:$A$5000,0)),"")</f>
        <v>140</v>
      </c>
      <c r="K124" s="16" t="s">
        <v>366</v>
      </c>
      <c r="L124" s="16" t="s">
        <v>1113</v>
      </c>
      <c r="M124" s="16" t="s">
        <v>1114</v>
      </c>
      <c r="N124" s="19" t="n">
        <f aca="false">LEN(M124)</f>
        <v>50</v>
      </c>
      <c r="O124" s="20" t="s">
        <v>1115</v>
      </c>
      <c r="P124" s="19" t="n">
        <f aca="false">LEN(O124)</f>
        <v>157</v>
      </c>
      <c r="Q124" s="20" t="s">
        <v>1116</v>
      </c>
      <c r="R124" s="20" t="s">
        <v>1117</v>
      </c>
      <c r="S124" s="16" t="s">
        <v>322</v>
      </c>
      <c r="T124" s="20"/>
    </row>
    <row r="125" customFormat="false" ht="45.75" hidden="false" customHeight="true" outlineLevel="0" collapsed="false">
      <c r="A125" s="16" t="s">
        <v>1118</v>
      </c>
      <c r="B125" s="16" t="s">
        <v>846</v>
      </c>
      <c r="C125" s="16" t="s">
        <v>1119</v>
      </c>
      <c r="D125" s="16" t="s">
        <v>374</v>
      </c>
      <c r="E125" s="16" t="s">
        <v>316</v>
      </c>
      <c r="F125" s="17" t="s">
        <v>190</v>
      </c>
      <c r="G125" s="18" t="n">
        <f aca="false">IFERROR(INDEX('Semrush Data'!$C$2:$C$5000,MATCH(F125,'Semrush Data'!$A$2:$A$5000,0)),"")</f>
        <v>18100</v>
      </c>
      <c r="H125" s="16" t="n">
        <f aca="false">IFERROR(INDEX('Semrush Data'!$D$2:$D$5000,MATCH(F125,'Semrush Data'!$A$2:$A$5000,0)),"")</f>
        <v>16</v>
      </c>
      <c r="I125" s="16" t="s">
        <v>241</v>
      </c>
      <c r="J125" s="18" t="n">
        <f aca="false">IFERROR(INDEX('Semrush Data'!$C$2:$C$5000,MATCH(I125,'Semrush Data'!$A$2:$A$5000,0)),"")</f>
        <v>140</v>
      </c>
      <c r="K125" s="16" t="s">
        <v>376</v>
      </c>
      <c r="L125" s="16" t="s">
        <v>1120</v>
      </c>
      <c r="M125" s="16" t="s">
        <v>1121</v>
      </c>
      <c r="N125" s="19" t="n">
        <f aca="false">LEN(M125)</f>
        <v>51</v>
      </c>
      <c r="O125" s="20" t="s">
        <v>1122</v>
      </c>
      <c r="P125" s="19" t="n">
        <f aca="false">LEN(O125)</f>
        <v>147</v>
      </c>
      <c r="Q125" s="20" t="s">
        <v>1123</v>
      </c>
      <c r="R125" s="20" t="s">
        <v>1124</v>
      </c>
      <c r="S125" s="16" t="s">
        <v>322</v>
      </c>
      <c r="T125" s="20"/>
    </row>
    <row r="126" customFormat="false" ht="45.75" hidden="false" customHeight="true" outlineLevel="0" collapsed="false">
      <c r="A126" s="16" t="s">
        <v>1125</v>
      </c>
      <c r="B126" s="16" t="s">
        <v>846</v>
      </c>
      <c r="C126" s="16" t="s">
        <v>1126</v>
      </c>
      <c r="D126" s="16" t="s">
        <v>1045</v>
      </c>
      <c r="E126" s="16" t="s">
        <v>561</v>
      </c>
      <c r="F126" s="17" t="s">
        <v>153</v>
      </c>
      <c r="G126" s="18" t="n">
        <f aca="false">IFERROR(INDEX('Semrush Data'!$C$2:$C$5000,MATCH(F126,'Semrush Data'!$A$2:$A$5000,0)),"")</f>
        <v>2400</v>
      </c>
      <c r="H126" s="16" t="n">
        <f aca="false">IFERROR(INDEX('Semrush Data'!$D$2:$D$5000,MATCH(F126,'Semrush Data'!$A$2:$A$5000,0)),"")</f>
        <v>13</v>
      </c>
      <c r="I126" s="16" t="s">
        <v>241</v>
      </c>
      <c r="J126" s="18" t="n">
        <f aca="false">IFERROR(INDEX('Semrush Data'!$C$2:$C$5000,MATCH(I126,'Semrush Data'!$A$2:$A$5000,0)),"")</f>
        <v>140</v>
      </c>
      <c r="K126" s="16" t="s">
        <v>414</v>
      </c>
      <c r="L126" s="16" t="s">
        <v>1127</v>
      </c>
      <c r="M126" s="16" t="s">
        <v>1128</v>
      </c>
      <c r="N126" s="19" t="n">
        <f aca="false">LEN(M126)</f>
        <v>53</v>
      </c>
      <c r="O126" s="20" t="s">
        <v>1129</v>
      </c>
      <c r="P126" s="19" t="n">
        <f aca="false">LEN(O126)</f>
        <v>160</v>
      </c>
      <c r="Q126" s="20" t="s">
        <v>1130</v>
      </c>
      <c r="R126" s="20" t="s">
        <v>1131</v>
      </c>
      <c r="S126" s="16" t="s">
        <v>322</v>
      </c>
      <c r="T126" s="20"/>
    </row>
    <row r="127" customFormat="false" ht="45.75" hidden="false" customHeight="true" outlineLevel="0" collapsed="false">
      <c r="A127" s="16" t="s">
        <v>1132</v>
      </c>
      <c r="B127" s="16" t="s">
        <v>846</v>
      </c>
      <c r="C127" s="16" t="s">
        <v>1133</v>
      </c>
      <c r="D127" s="16" t="s">
        <v>422</v>
      </c>
      <c r="E127" s="16" t="s">
        <v>413</v>
      </c>
      <c r="F127" s="17" t="s">
        <v>204</v>
      </c>
      <c r="G127" s="18" t="n">
        <f aca="false">IFERROR(INDEX('Semrush Data'!$C$2:$C$5000,MATCH(F127,'Semrush Data'!$A$2:$A$5000,0)),"")</f>
        <v>3600</v>
      </c>
      <c r="H127" s="16" t="n">
        <f aca="false">IFERROR(INDEX('Semrush Data'!$D$2:$D$5000,MATCH(F127,'Semrush Data'!$A$2:$A$5000,0)),"")</f>
        <v>21</v>
      </c>
      <c r="I127" s="16" t="s">
        <v>241</v>
      </c>
      <c r="J127" s="18" t="n">
        <f aca="false">IFERROR(INDEX('Semrush Data'!$C$2:$C$5000,MATCH(I127,'Semrush Data'!$A$2:$A$5000,0)),"")</f>
        <v>140</v>
      </c>
      <c r="K127" s="16" t="s">
        <v>423</v>
      </c>
      <c r="L127" s="16" t="s">
        <v>1134</v>
      </c>
      <c r="M127" s="16" t="s">
        <v>1135</v>
      </c>
      <c r="N127" s="19" t="n">
        <f aca="false">LEN(M127)</f>
        <v>53</v>
      </c>
      <c r="O127" s="20" t="s">
        <v>1136</v>
      </c>
      <c r="P127" s="19" t="n">
        <f aca="false">LEN(O127)</f>
        <v>160</v>
      </c>
      <c r="Q127" s="20" t="s">
        <v>1137</v>
      </c>
      <c r="R127" s="20" t="s">
        <v>1138</v>
      </c>
      <c r="S127" s="16" t="s">
        <v>322</v>
      </c>
      <c r="T127" s="20"/>
    </row>
    <row r="128" customFormat="false" ht="45.75" hidden="false" customHeight="true" outlineLevel="0" collapsed="false">
      <c r="A128" s="16" t="s">
        <v>1139</v>
      </c>
      <c r="B128" s="16" t="s">
        <v>846</v>
      </c>
      <c r="C128" s="16" t="s">
        <v>1140</v>
      </c>
      <c r="D128" s="16" t="s">
        <v>412</v>
      </c>
      <c r="E128" s="16" t="s">
        <v>413</v>
      </c>
      <c r="F128" s="17" t="s">
        <v>153</v>
      </c>
      <c r="G128" s="18" t="n">
        <f aca="false">IFERROR(INDEX('Semrush Data'!$C$2:$C$5000,MATCH(F128,'Semrush Data'!$A$2:$A$5000,0)),"")</f>
        <v>2400</v>
      </c>
      <c r="H128" s="16" t="n">
        <f aca="false">IFERROR(INDEX('Semrush Data'!$D$2:$D$5000,MATCH(F128,'Semrush Data'!$A$2:$A$5000,0)),"")</f>
        <v>13</v>
      </c>
      <c r="I128" s="16" t="s">
        <v>241</v>
      </c>
      <c r="J128" s="18" t="n">
        <f aca="false">IFERROR(INDEX('Semrush Data'!$C$2:$C$5000,MATCH(I128,'Semrush Data'!$A$2:$A$5000,0)),"")</f>
        <v>140</v>
      </c>
      <c r="K128" s="16" t="s">
        <v>414</v>
      </c>
      <c r="L128" s="16" t="s">
        <v>1141</v>
      </c>
      <c r="M128" s="16" t="s">
        <v>1142</v>
      </c>
      <c r="N128" s="19" t="n">
        <f aca="false">LEN(M128)</f>
        <v>51</v>
      </c>
      <c r="O128" s="20" t="s">
        <v>1143</v>
      </c>
      <c r="P128" s="19" t="n">
        <f aca="false">LEN(O128)</f>
        <v>158</v>
      </c>
      <c r="Q128" s="20" t="s">
        <v>1144</v>
      </c>
      <c r="R128" s="20" t="s">
        <v>1145</v>
      </c>
      <c r="S128" s="16" t="s">
        <v>322</v>
      </c>
      <c r="T128" s="20"/>
    </row>
    <row r="129" customFormat="false" ht="45.75" hidden="false" customHeight="true" outlineLevel="0" collapsed="false">
      <c r="A129" s="16" t="s">
        <v>1146</v>
      </c>
      <c r="B129" s="16" t="s">
        <v>846</v>
      </c>
      <c r="C129" s="16" t="s">
        <v>1147</v>
      </c>
      <c r="D129" s="16" t="s">
        <v>848</v>
      </c>
      <c r="E129" s="16" t="s">
        <v>375</v>
      </c>
      <c r="F129" s="17" t="s">
        <v>197</v>
      </c>
      <c r="G129" s="18" t="n">
        <f aca="false">IFERROR(INDEX('Semrush Data'!$C$2:$C$5000,MATCH(F129,'Semrush Data'!$A$2:$A$5000,0)),"")</f>
        <v>6600</v>
      </c>
      <c r="H129" s="16" t="n">
        <f aca="false">IFERROR(INDEX('Semrush Data'!$D$2:$D$5000,MATCH(F129,'Semrush Data'!$A$2:$A$5000,0)),"")</f>
        <v>12</v>
      </c>
      <c r="I129" s="16" t="s">
        <v>241</v>
      </c>
      <c r="J129" s="18" t="n">
        <f aca="false">IFERROR(INDEX('Semrush Data'!$C$2:$C$5000,MATCH(I129,'Semrush Data'!$A$2:$A$5000,0)),"")</f>
        <v>140</v>
      </c>
      <c r="K129" s="16" t="s">
        <v>849</v>
      </c>
      <c r="L129" s="16" t="s">
        <v>1148</v>
      </c>
      <c r="M129" s="16" t="s">
        <v>1149</v>
      </c>
      <c r="N129" s="19" t="n">
        <f aca="false">LEN(M129)</f>
        <v>31</v>
      </c>
      <c r="O129" s="20" t="s">
        <v>1150</v>
      </c>
      <c r="P129" s="19" t="n">
        <f aca="false">LEN(O129)</f>
        <v>159</v>
      </c>
      <c r="Q129" s="20" t="s">
        <v>1151</v>
      </c>
      <c r="R129" s="20" t="s">
        <v>1152</v>
      </c>
      <c r="S129" s="16" t="s">
        <v>322</v>
      </c>
      <c r="T129" s="20"/>
    </row>
    <row r="130" customFormat="false" ht="45.75" hidden="false" customHeight="true" outlineLevel="0" collapsed="false">
      <c r="A130" s="16" t="s">
        <v>1153</v>
      </c>
      <c r="B130" s="16" t="s">
        <v>846</v>
      </c>
      <c r="C130" s="16" t="s">
        <v>1154</v>
      </c>
      <c r="D130" s="16" t="s">
        <v>927</v>
      </c>
      <c r="E130" s="16" t="s">
        <v>347</v>
      </c>
      <c r="F130" s="17" t="s">
        <v>158</v>
      </c>
      <c r="G130" s="18" t="n">
        <f aca="false">IFERROR(INDEX('Semrush Data'!$C$2:$C$5000,MATCH(F130,'Semrush Data'!$A$2:$A$5000,0)),"")</f>
        <v>1300</v>
      </c>
      <c r="H130" s="16" t="n">
        <f aca="false">IFERROR(INDEX('Semrush Data'!$D$2:$D$5000,MATCH(F130,'Semrush Data'!$A$2:$A$5000,0)),"")</f>
        <v>11</v>
      </c>
      <c r="I130" s="16" t="s">
        <v>241</v>
      </c>
      <c r="J130" s="18" t="n">
        <f aca="false">IFERROR(INDEX('Semrush Data'!$C$2:$C$5000,MATCH(I130,'Semrush Data'!$A$2:$A$5000,0)),"")</f>
        <v>140</v>
      </c>
      <c r="K130" s="16" t="s">
        <v>446</v>
      </c>
      <c r="L130" s="16" t="s">
        <v>1155</v>
      </c>
      <c r="M130" s="16" t="s">
        <v>1156</v>
      </c>
      <c r="N130" s="19" t="n">
        <f aca="false">LEN(M130)</f>
        <v>57</v>
      </c>
      <c r="O130" s="20" t="s">
        <v>1157</v>
      </c>
      <c r="P130" s="19" t="n">
        <f aca="false">LEN(O130)</f>
        <v>153</v>
      </c>
      <c r="Q130" s="20" t="s">
        <v>1158</v>
      </c>
      <c r="R130" s="20"/>
      <c r="S130" s="16" t="s">
        <v>322</v>
      </c>
      <c r="T130" s="20"/>
    </row>
    <row r="131" customFormat="false" ht="45.75" hidden="false" customHeight="true" outlineLevel="0" collapsed="false">
      <c r="A131" s="16" t="s">
        <v>1159</v>
      </c>
      <c r="B131" s="16" t="s">
        <v>846</v>
      </c>
      <c r="C131" s="16" t="s">
        <v>1160</v>
      </c>
      <c r="D131" s="16" t="s">
        <v>422</v>
      </c>
      <c r="E131" s="16" t="s">
        <v>483</v>
      </c>
      <c r="F131" s="17" t="s">
        <v>157</v>
      </c>
      <c r="G131" s="18" t="n">
        <f aca="false">IFERROR(INDEX('Semrush Data'!$C$2:$C$5000,MATCH(F131,'Semrush Data'!$A$2:$A$5000,0)),"")</f>
        <v>1600</v>
      </c>
      <c r="H131" s="16" t="n">
        <f aca="false">IFERROR(INDEX('Semrush Data'!$D$2:$D$5000,MATCH(F131,'Semrush Data'!$A$2:$A$5000,0)),"")</f>
        <v>31</v>
      </c>
      <c r="I131" s="16" t="s">
        <v>241</v>
      </c>
      <c r="J131" s="18" t="n">
        <f aca="false">IFERROR(INDEX('Semrush Data'!$C$2:$C$5000,MATCH(I131,'Semrush Data'!$A$2:$A$5000,0)),"")</f>
        <v>140</v>
      </c>
      <c r="K131" s="16" t="s">
        <v>571</v>
      </c>
      <c r="L131" s="16" t="s">
        <v>1161</v>
      </c>
      <c r="M131" s="16" t="s">
        <v>1162</v>
      </c>
      <c r="N131" s="19" t="n">
        <f aca="false">LEN(M131)</f>
        <v>50</v>
      </c>
      <c r="O131" s="20" t="s">
        <v>1163</v>
      </c>
      <c r="P131" s="19" t="n">
        <f aca="false">LEN(O131)</f>
        <v>157</v>
      </c>
      <c r="Q131" s="20" t="s">
        <v>1164</v>
      </c>
      <c r="R131" s="20" t="s">
        <v>1165</v>
      </c>
      <c r="S131" s="16" t="s">
        <v>322</v>
      </c>
      <c r="T131" s="20"/>
    </row>
    <row r="132" customFormat="false" ht="34.5" hidden="false" customHeight="true" outlineLevel="0" collapsed="false">
      <c r="A132" s="16" t="s">
        <v>1166</v>
      </c>
      <c r="B132" s="16" t="s">
        <v>846</v>
      </c>
      <c r="C132" s="16" t="s">
        <v>1167</v>
      </c>
      <c r="D132" s="16" t="s">
        <v>396</v>
      </c>
      <c r="E132" s="16" t="s">
        <v>586</v>
      </c>
      <c r="F132" s="17" t="s">
        <v>198</v>
      </c>
      <c r="G132" s="18" t="n">
        <f aca="false">IFERROR(INDEX('Semrush Data'!$C$2:$C$5000,MATCH(F132,'Semrush Data'!$A$2:$A$5000,0)),"")</f>
        <v>5400</v>
      </c>
      <c r="H132" s="16" t="n">
        <f aca="false">IFERROR(INDEX('Semrush Data'!$D$2:$D$5000,MATCH(F132,'Semrush Data'!$A$2:$A$5000,0)),"")</f>
        <v>16</v>
      </c>
      <c r="I132" s="16" t="s">
        <v>241</v>
      </c>
      <c r="J132" s="18" t="n">
        <f aca="false">IFERROR(INDEX('Semrush Data'!$C$2:$C$5000,MATCH(I132,'Semrush Data'!$A$2:$A$5000,0)),"")</f>
        <v>140</v>
      </c>
      <c r="K132" s="16" t="s">
        <v>587</v>
      </c>
      <c r="L132" s="16" t="s">
        <v>1168</v>
      </c>
      <c r="M132" s="16" t="s">
        <v>1169</v>
      </c>
      <c r="N132" s="19" t="n">
        <f aca="false">LEN(M132)</f>
        <v>38</v>
      </c>
      <c r="O132" s="20" t="s">
        <v>1170</v>
      </c>
      <c r="P132" s="19" t="n">
        <f aca="false">LEN(O132)</f>
        <v>145</v>
      </c>
      <c r="Q132" s="20" t="s">
        <v>1171</v>
      </c>
      <c r="R132" s="20"/>
      <c r="S132" s="16" t="s">
        <v>322</v>
      </c>
      <c r="T132" s="20"/>
    </row>
    <row r="133" customFormat="false" ht="45.75" hidden="false" customHeight="true" outlineLevel="0" collapsed="false">
      <c r="A133" s="16" t="s">
        <v>1172</v>
      </c>
      <c r="B133" s="16" t="s">
        <v>846</v>
      </c>
      <c r="C133" s="16" t="s">
        <v>1173</v>
      </c>
      <c r="D133" s="16" t="s">
        <v>396</v>
      </c>
      <c r="E133" s="16" t="s">
        <v>397</v>
      </c>
      <c r="F133" s="17" t="s">
        <v>160</v>
      </c>
      <c r="G133" s="18" t="n">
        <f aca="false">IFERROR(INDEX('Semrush Data'!$C$2:$C$5000,MATCH(F133,'Semrush Data'!$A$2:$A$5000,0)),"")</f>
        <v>1000</v>
      </c>
      <c r="H133" s="16" t="n">
        <f aca="false">IFERROR(INDEX('Semrush Data'!$D$2:$D$5000,MATCH(F133,'Semrush Data'!$A$2:$A$5000,0)),"")</f>
        <v>41</v>
      </c>
      <c r="I133" s="16" t="s">
        <v>241</v>
      </c>
      <c r="J133" s="18" t="n">
        <f aca="false">IFERROR(INDEX('Semrush Data'!$C$2:$C$5000,MATCH(I133,'Semrush Data'!$A$2:$A$5000,0)),"")</f>
        <v>140</v>
      </c>
      <c r="K133" s="16" t="s">
        <v>398</v>
      </c>
      <c r="L133" s="16" t="s">
        <v>1174</v>
      </c>
      <c r="M133" s="16" t="s">
        <v>1175</v>
      </c>
      <c r="N133" s="19" t="n">
        <f aca="false">LEN(M133)</f>
        <v>55</v>
      </c>
      <c r="O133" s="20" t="s">
        <v>1176</v>
      </c>
      <c r="P133" s="19" t="n">
        <f aca="false">LEN(O133)</f>
        <v>158</v>
      </c>
      <c r="Q133" s="20" t="s">
        <v>1177</v>
      </c>
      <c r="R133" s="20" t="s">
        <v>1178</v>
      </c>
      <c r="S133" s="16" t="s">
        <v>322</v>
      </c>
      <c r="T133" s="20"/>
    </row>
    <row r="134" customFormat="false" ht="45.75" hidden="false" customHeight="true" outlineLevel="0" collapsed="false">
      <c r="A134" s="16" t="s">
        <v>1179</v>
      </c>
      <c r="B134" s="16" t="s">
        <v>846</v>
      </c>
      <c r="C134" s="16" t="s">
        <v>1180</v>
      </c>
      <c r="D134" s="16" t="s">
        <v>374</v>
      </c>
      <c r="E134" s="16" t="s">
        <v>316</v>
      </c>
      <c r="F134" s="17" t="s">
        <v>150</v>
      </c>
      <c r="G134" s="18" t="n">
        <f aca="false">IFERROR(INDEX('Semrush Data'!$C$2:$C$5000,MATCH(F134,'Semrush Data'!$A$2:$A$5000,0)),"")</f>
        <v>2900</v>
      </c>
      <c r="H134" s="16" t="n">
        <f aca="false">IFERROR(INDEX('Semrush Data'!$D$2:$D$5000,MATCH(F134,'Semrush Data'!$A$2:$A$5000,0)),"")</f>
        <v>29</v>
      </c>
      <c r="I134" s="16" t="s">
        <v>241</v>
      </c>
      <c r="J134" s="18" t="n">
        <f aca="false">IFERROR(INDEX('Semrush Data'!$C$2:$C$5000,MATCH(I134,'Semrush Data'!$A$2:$A$5000,0)),"")</f>
        <v>140</v>
      </c>
      <c r="K134" s="16" t="s">
        <v>376</v>
      </c>
      <c r="L134" s="16" t="s">
        <v>1181</v>
      </c>
      <c r="M134" s="16" t="s">
        <v>1182</v>
      </c>
      <c r="N134" s="19" t="n">
        <f aca="false">LEN(M134)</f>
        <v>59</v>
      </c>
      <c r="O134" s="20" t="s">
        <v>1183</v>
      </c>
      <c r="P134" s="19" t="n">
        <f aca="false">LEN(O134)</f>
        <v>155</v>
      </c>
      <c r="Q134" s="20" t="s">
        <v>1184</v>
      </c>
      <c r="R134" s="20" t="s">
        <v>1185</v>
      </c>
      <c r="S134" s="16" t="s">
        <v>322</v>
      </c>
      <c r="T134" s="20"/>
    </row>
    <row r="135" customFormat="false" ht="34.5" hidden="false" customHeight="true" outlineLevel="0" collapsed="false">
      <c r="A135" s="16" t="s">
        <v>1186</v>
      </c>
      <c r="B135" s="16" t="s">
        <v>846</v>
      </c>
      <c r="C135" s="16" t="s">
        <v>1187</v>
      </c>
      <c r="D135" s="16" t="s">
        <v>501</v>
      </c>
      <c r="E135" s="16" t="s">
        <v>526</v>
      </c>
      <c r="F135" s="17" t="s">
        <v>185</v>
      </c>
      <c r="G135" s="18" t="n">
        <f aca="false">IFERROR(INDEX('Semrush Data'!$C$2:$C$5000,MATCH(F135,'Semrush Data'!$A$2:$A$5000,0)),"")</f>
        <v>33100</v>
      </c>
      <c r="H135" s="16" t="n">
        <f aca="false">IFERROR(INDEX('Semrush Data'!$D$2:$D$5000,MATCH(F135,'Semrush Data'!$A$2:$A$5000,0)),"")</f>
        <v>44</v>
      </c>
      <c r="I135" s="16" t="s">
        <v>241</v>
      </c>
      <c r="J135" s="18" t="n">
        <f aca="false">IFERROR(INDEX('Semrush Data'!$C$2:$C$5000,MATCH(I135,'Semrush Data'!$A$2:$A$5000,0)),"")</f>
        <v>140</v>
      </c>
      <c r="K135" s="16" t="s">
        <v>1188</v>
      </c>
      <c r="L135" s="16" t="s">
        <v>1189</v>
      </c>
      <c r="M135" s="16" t="s">
        <v>1190</v>
      </c>
      <c r="N135" s="19" t="n">
        <f aca="false">LEN(M135)</f>
        <v>59</v>
      </c>
      <c r="O135" s="20" t="s">
        <v>1191</v>
      </c>
      <c r="P135" s="19" t="n">
        <f aca="false">LEN(O135)</f>
        <v>155</v>
      </c>
      <c r="Q135" s="20" t="s">
        <v>1192</v>
      </c>
      <c r="R135" s="20" t="s">
        <v>1193</v>
      </c>
      <c r="S135" s="16" t="s">
        <v>322</v>
      </c>
      <c r="T135" s="20" t="s">
        <v>333</v>
      </c>
    </row>
    <row r="136" customFormat="false" ht="57" hidden="false" customHeight="true" outlineLevel="0" collapsed="false">
      <c r="A136" s="16" t="s">
        <v>1194</v>
      </c>
      <c r="B136" s="16" t="s">
        <v>846</v>
      </c>
      <c r="C136" s="16" t="s">
        <v>1195</v>
      </c>
      <c r="D136" s="16" t="s">
        <v>887</v>
      </c>
      <c r="E136" s="16" t="s">
        <v>316</v>
      </c>
      <c r="F136" s="17" t="s">
        <v>193</v>
      </c>
      <c r="G136" s="18" t="n">
        <f aca="false">IFERROR(INDEX('Semrush Data'!$C$2:$C$5000,MATCH(F136,'Semrush Data'!$A$2:$A$5000,0)),"")</f>
        <v>9900</v>
      </c>
      <c r="H136" s="16" t="n">
        <f aca="false">IFERROR(INDEX('Semrush Data'!$D$2:$D$5000,MATCH(F136,'Semrush Data'!$A$2:$A$5000,0)),"")</f>
        <v>30</v>
      </c>
      <c r="I136" s="16" t="s">
        <v>241</v>
      </c>
      <c r="J136" s="18" t="n">
        <f aca="false">IFERROR(INDEX('Semrush Data'!$C$2:$C$5000,MATCH(I136,'Semrush Data'!$A$2:$A$5000,0)),"")</f>
        <v>140</v>
      </c>
      <c r="K136" s="16" t="s">
        <v>503</v>
      </c>
      <c r="L136" s="16" t="s">
        <v>1196</v>
      </c>
      <c r="M136" s="16" t="s">
        <v>1197</v>
      </c>
      <c r="N136" s="19" t="n">
        <f aca="false">LEN(M136)</f>
        <v>58</v>
      </c>
      <c r="O136" s="20" t="s">
        <v>1198</v>
      </c>
      <c r="P136" s="19" t="n">
        <f aca="false">LEN(O136)</f>
        <v>154</v>
      </c>
      <c r="Q136" s="20" t="s">
        <v>1199</v>
      </c>
      <c r="R136" s="20"/>
      <c r="S136" s="16" t="s">
        <v>322</v>
      </c>
      <c r="T136" s="20" t="s">
        <v>333</v>
      </c>
    </row>
    <row r="137" customFormat="false" ht="45.75" hidden="false" customHeight="true" outlineLevel="0" collapsed="false">
      <c r="A137" s="16" t="s">
        <v>1200</v>
      </c>
      <c r="B137" s="16" t="s">
        <v>846</v>
      </c>
      <c r="C137" s="16" t="s">
        <v>1201</v>
      </c>
      <c r="D137" s="16" t="s">
        <v>659</v>
      </c>
      <c r="E137" s="16" t="s">
        <v>397</v>
      </c>
      <c r="F137" s="17" t="s">
        <v>160</v>
      </c>
      <c r="G137" s="18" t="n">
        <f aca="false">IFERROR(INDEX('Semrush Data'!$C$2:$C$5000,MATCH(F137,'Semrush Data'!$A$2:$A$5000,0)),"")</f>
        <v>1000</v>
      </c>
      <c r="H137" s="16" t="n">
        <f aca="false">IFERROR(INDEX('Semrush Data'!$D$2:$D$5000,MATCH(F137,'Semrush Data'!$A$2:$A$5000,0)),"")</f>
        <v>41</v>
      </c>
      <c r="I137" s="16" t="s">
        <v>241</v>
      </c>
      <c r="J137" s="18" t="n">
        <f aca="false">IFERROR(INDEX('Semrush Data'!$C$2:$C$5000,MATCH(I137,'Semrush Data'!$A$2:$A$5000,0)),"")</f>
        <v>140</v>
      </c>
      <c r="K137" s="16" t="s">
        <v>398</v>
      </c>
      <c r="L137" s="16" t="s">
        <v>1202</v>
      </c>
      <c r="M137" s="16" t="s">
        <v>1203</v>
      </c>
      <c r="N137" s="19" t="n">
        <f aca="false">LEN(M137)</f>
        <v>55</v>
      </c>
      <c r="O137" s="20" t="s">
        <v>1204</v>
      </c>
      <c r="P137" s="19" t="n">
        <f aca="false">LEN(O137)</f>
        <v>151</v>
      </c>
      <c r="Q137" s="20" t="s">
        <v>1205</v>
      </c>
      <c r="R137" s="20"/>
      <c r="S137" s="16" t="s">
        <v>322</v>
      </c>
      <c r="T137" s="20" t="s">
        <v>333</v>
      </c>
    </row>
    <row r="138" customFormat="false" ht="45.75" hidden="false" customHeight="true" outlineLevel="0" collapsed="false">
      <c r="A138" s="16" t="s">
        <v>1206</v>
      </c>
      <c r="B138" s="16" t="s">
        <v>846</v>
      </c>
      <c r="C138" s="16" t="s">
        <v>1207</v>
      </c>
      <c r="D138" s="16" t="s">
        <v>659</v>
      </c>
      <c r="E138" s="16" t="s">
        <v>347</v>
      </c>
      <c r="F138" s="17" t="s">
        <v>158</v>
      </c>
      <c r="G138" s="18" t="n">
        <f aca="false">IFERROR(INDEX('Semrush Data'!$C$2:$C$5000,MATCH(F138,'Semrush Data'!$A$2:$A$5000,0)),"")</f>
        <v>1300</v>
      </c>
      <c r="H138" s="16" t="n">
        <f aca="false">IFERROR(INDEX('Semrush Data'!$D$2:$D$5000,MATCH(F138,'Semrush Data'!$A$2:$A$5000,0)),"")</f>
        <v>11</v>
      </c>
      <c r="I138" s="16" t="s">
        <v>241</v>
      </c>
      <c r="J138" s="18" t="n">
        <f aca="false">IFERROR(INDEX('Semrush Data'!$C$2:$C$5000,MATCH(I138,'Semrush Data'!$A$2:$A$5000,0)),"")</f>
        <v>140</v>
      </c>
      <c r="K138" s="16" t="s">
        <v>446</v>
      </c>
      <c r="L138" s="16" t="s">
        <v>1208</v>
      </c>
      <c r="M138" s="16" t="s">
        <v>1209</v>
      </c>
      <c r="N138" s="19" t="n">
        <f aca="false">LEN(M138)</f>
        <v>59</v>
      </c>
      <c r="O138" s="20" t="s">
        <v>1210</v>
      </c>
      <c r="P138" s="19" t="n">
        <f aca="false">LEN(O138)</f>
        <v>148</v>
      </c>
      <c r="Q138" s="20" t="s">
        <v>1211</v>
      </c>
      <c r="R138" s="20"/>
      <c r="S138" s="16" t="s">
        <v>322</v>
      </c>
      <c r="T138" s="20" t="s">
        <v>333</v>
      </c>
    </row>
    <row r="139" customFormat="false" ht="57" hidden="false" customHeight="true" outlineLevel="0" collapsed="false">
      <c r="A139" s="16" t="s">
        <v>1212</v>
      </c>
      <c r="B139" s="16" t="s">
        <v>846</v>
      </c>
      <c r="C139" s="16" t="s">
        <v>1213</v>
      </c>
      <c r="D139" s="16" t="s">
        <v>659</v>
      </c>
      <c r="E139" s="16" t="s">
        <v>689</v>
      </c>
      <c r="F139" s="17" t="s">
        <v>156</v>
      </c>
      <c r="G139" s="18" t="n">
        <f aca="false">IFERROR(INDEX('Semrush Data'!$C$2:$C$5000,MATCH(F139,'Semrush Data'!$A$2:$A$5000,0)),"")</f>
        <v>1600</v>
      </c>
      <c r="H139" s="16" t="n">
        <f aca="false">IFERROR(INDEX('Semrush Data'!$D$2:$D$5000,MATCH(F139,'Semrush Data'!$A$2:$A$5000,0)),"")</f>
        <v>33</v>
      </c>
      <c r="I139" s="16" t="s">
        <v>241</v>
      </c>
      <c r="J139" s="18" t="n">
        <f aca="false">IFERROR(INDEX('Semrush Data'!$C$2:$C$5000,MATCH(I139,'Semrush Data'!$A$2:$A$5000,0)),"")</f>
        <v>140</v>
      </c>
      <c r="K139" s="16" t="s">
        <v>366</v>
      </c>
      <c r="L139" s="16" t="s">
        <v>1214</v>
      </c>
      <c r="M139" s="16" t="s">
        <v>1215</v>
      </c>
      <c r="N139" s="19" t="n">
        <f aca="false">LEN(M139)</f>
        <v>60</v>
      </c>
      <c r="O139" s="20" t="s">
        <v>1216</v>
      </c>
      <c r="P139" s="19" t="n">
        <f aca="false">LEN(O139)</f>
        <v>156</v>
      </c>
      <c r="Q139" s="20" t="s">
        <v>1217</v>
      </c>
      <c r="R139" s="20"/>
      <c r="S139" s="16" t="s">
        <v>322</v>
      </c>
      <c r="T139" s="20" t="s">
        <v>333</v>
      </c>
    </row>
    <row r="140" customFormat="false" ht="57" hidden="false" customHeight="true" outlineLevel="0" collapsed="false">
      <c r="A140" s="16" t="s">
        <v>1218</v>
      </c>
      <c r="B140" s="16" t="s">
        <v>846</v>
      </c>
      <c r="C140" s="16" t="s">
        <v>1219</v>
      </c>
      <c r="D140" s="16" t="s">
        <v>659</v>
      </c>
      <c r="E140" s="16" t="s">
        <v>689</v>
      </c>
      <c r="F140" s="17" t="s">
        <v>156</v>
      </c>
      <c r="G140" s="18" t="n">
        <f aca="false">IFERROR(INDEX('Semrush Data'!$C$2:$C$5000,MATCH(F140,'Semrush Data'!$A$2:$A$5000,0)),"")</f>
        <v>1600</v>
      </c>
      <c r="H140" s="16" t="n">
        <f aca="false">IFERROR(INDEX('Semrush Data'!$D$2:$D$5000,MATCH(F140,'Semrush Data'!$A$2:$A$5000,0)),"")</f>
        <v>33</v>
      </c>
      <c r="I140" s="16" t="s">
        <v>241</v>
      </c>
      <c r="J140" s="18" t="n">
        <f aca="false">IFERROR(INDEX('Semrush Data'!$C$2:$C$5000,MATCH(I140,'Semrush Data'!$A$2:$A$5000,0)),"")</f>
        <v>140</v>
      </c>
      <c r="K140" s="16" t="s">
        <v>366</v>
      </c>
      <c r="L140" s="16" t="s">
        <v>1220</v>
      </c>
      <c r="M140" s="16" t="s">
        <v>1221</v>
      </c>
      <c r="N140" s="19" t="n">
        <f aca="false">LEN(M140)</f>
        <v>52</v>
      </c>
      <c r="O140" s="20" t="s">
        <v>1222</v>
      </c>
      <c r="P140" s="19" t="n">
        <f aca="false">LEN(O140)</f>
        <v>159</v>
      </c>
      <c r="Q140" s="20" t="s">
        <v>1223</v>
      </c>
      <c r="R140" s="20"/>
      <c r="S140" s="16" t="s">
        <v>322</v>
      </c>
      <c r="T140" s="20"/>
    </row>
    <row r="141" customFormat="false" ht="45.75" hidden="false" customHeight="true" outlineLevel="0" collapsed="false">
      <c r="A141" s="16" t="s">
        <v>1224</v>
      </c>
      <c r="B141" s="16" t="s">
        <v>846</v>
      </c>
      <c r="C141" s="16" t="s">
        <v>1225</v>
      </c>
      <c r="D141" s="16" t="s">
        <v>659</v>
      </c>
      <c r="E141" s="16" t="s">
        <v>375</v>
      </c>
      <c r="F141" s="17" t="s">
        <v>221</v>
      </c>
      <c r="G141" s="18" t="n">
        <f aca="false">IFERROR(INDEX('Semrush Data'!$C$2:$C$5000,MATCH(F141,'Semrush Data'!$A$2:$A$5000,0)),"")</f>
        <v>1300</v>
      </c>
      <c r="H141" s="16" t="n">
        <f aca="false">IFERROR(INDEX('Semrush Data'!$D$2:$D$5000,MATCH(F141,'Semrush Data'!$A$2:$A$5000,0)),"")</f>
        <v>16</v>
      </c>
      <c r="I141" s="16" t="s">
        <v>241</v>
      </c>
      <c r="J141" s="18" t="n">
        <f aca="false">IFERROR(INDEX('Semrush Data'!$C$2:$C$5000,MATCH(I141,'Semrush Data'!$A$2:$A$5000,0)),"")</f>
        <v>140</v>
      </c>
      <c r="K141" s="16" t="s">
        <v>660</v>
      </c>
      <c r="L141" s="16" t="s">
        <v>1226</v>
      </c>
      <c r="M141" s="16" t="s">
        <v>1227</v>
      </c>
      <c r="N141" s="19" t="n">
        <f aca="false">LEN(M141)</f>
        <v>60</v>
      </c>
      <c r="O141" s="20" t="s">
        <v>1228</v>
      </c>
      <c r="P141" s="19" t="n">
        <f aca="false">LEN(O141)</f>
        <v>154</v>
      </c>
      <c r="Q141" s="20" t="s">
        <v>1229</v>
      </c>
      <c r="R141" s="20"/>
      <c r="S141" s="16" t="s">
        <v>322</v>
      </c>
      <c r="T141" s="20"/>
    </row>
    <row r="142" customFormat="false" ht="45.75" hidden="false" customHeight="true" outlineLevel="0" collapsed="false">
      <c r="A142" s="16" t="s">
        <v>1230</v>
      </c>
      <c r="B142" s="16" t="s">
        <v>846</v>
      </c>
      <c r="C142" s="16" t="s">
        <v>1231</v>
      </c>
      <c r="D142" s="16" t="s">
        <v>659</v>
      </c>
      <c r="E142" s="16" t="s">
        <v>347</v>
      </c>
      <c r="F142" s="17" t="s">
        <v>158</v>
      </c>
      <c r="G142" s="18" t="n">
        <f aca="false">IFERROR(INDEX('Semrush Data'!$C$2:$C$5000,MATCH(F142,'Semrush Data'!$A$2:$A$5000,0)),"")</f>
        <v>1300</v>
      </c>
      <c r="H142" s="16" t="n">
        <f aca="false">IFERROR(INDEX('Semrush Data'!$D$2:$D$5000,MATCH(F142,'Semrush Data'!$A$2:$A$5000,0)),"")</f>
        <v>11</v>
      </c>
      <c r="I142" s="16" t="s">
        <v>241</v>
      </c>
      <c r="J142" s="18" t="n">
        <f aca="false">IFERROR(INDEX('Semrush Data'!$C$2:$C$5000,MATCH(I142,'Semrush Data'!$A$2:$A$5000,0)),"")</f>
        <v>140</v>
      </c>
      <c r="K142" s="16" t="s">
        <v>446</v>
      </c>
      <c r="L142" s="16" t="s">
        <v>1232</v>
      </c>
      <c r="M142" s="16" t="s">
        <v>1233</v>
      </c>
      <c r="N142" s="19" t="n">
        <f aca="false">LEN(M142)</f>
        <v>52</v>
      </c>
      <c r="O142" s="20" t="s">
        <v>1234</v>
      </c>
      <c r="P142" s="19" t="n">
        <f aca="false">LEN(O142)</f>
        <v>159</v>
      </c>
      <c r="Q142" s="20" t="s">
        <v>1235</v>
      </c>
      <c r="R142" s="20"/>
      <c r="S142" s="16" t="s">
        <v>322</v>
      </c>
      <c r="T142" s="20"/>
    </row>
    <row r="143" customFormat="false" ht="45.75" hidden="false" customHeight="true" outlineLevel="0" collapsed="false">
      <c r="A143" s="16" t="s">
        <v>1236</v>
      </c>
      <c r="B143" s="16" t="s">
        <v>846</v>
      </c>
      <c r="C143" s="16" t="s">
        <v>1237</v>
      </c>
      <c r="D143" s="16" t="s">
        <v>659</v>
      </c>
      <c r="E143" s="16" t="s">
        <v>375</v>
      </c>
      <c r="F143" s="17" t="s">
        <v>221</v>
      </c>
      <c r="G143" s="18" t="n">
        <f aca="false">IFERROR(INDEX('Semrush Data'!$C$2:$C$5000,MATCH(F143,'Semrush Data'!$A$2:$A$5000,0)),"")</f>
        <v>1300</v>
      </c>
      <c r="H143" s="16" t="n">
        <f aca="false">IFERROR(INDEX('Semrush Data'!$D$2:$D$5000,MATCH(F143,'Semrush Data'!$A$2:$A$5000,0)),"")</f>
        <v>16</v>
      </c>
      <c r="I143" s="16" t="s">
        <v>241</v>
      </c>
      <c r="J143" s="18" t="n">
        <f aca="false">IFERROR(INDEX('Semrush Data'!$C$2:$C$5000,MATCH(I143,'Semrush Data'!$A$2:$A$5000,0)),"")</f>
        <v>140</v>
      </c>
      <c r="K143" s="16" t="s">
        <v>660</v>
      </c>
      <c r="L143" s="16" t="s">
        <v>1238</v>
      </c>
      <c r="M143" s="16" t="s">
        <v>1239</v>
      </c>
      <c r="N143" s="19" t="n">
        <f aca="false">LEN(M143)</f>
        <v>55</v>
      </c>
      <c r="O143" s="20" t="s">
        <v>1240</v>
      </c>
      <c r="P143" s="19" t="n">
        <f aca="false">LEN(O143)</f>
        <v>149</v>
      </c>
      <c r="Q143" s="20" t="s">
        <v>1241</v>
      </c>
      <c r="R143" s="20"/>
      <c r="S143" s="16" t="s">
        <v>322</v>
      </c>
      <c r="T143" s="20"/>
    </row>
    <row r="144" customFormat="false" ht="45.75" hidden="false" customHeight="true" outlineLevel="0" collapsed="false">
      <c r="A144" s="16" t="s">
        <v>1242</v>
      </c>
      <c r="B144" s="16" t="s">
        <v>846</v>
      </c>
      <c r="C144" s="16" t="s">
        <v>1243</v>
      </c>
      <c r="D144" s="16" t="s">
        <v>659</v>
      </c>
      <c r="E144" s="16" t="s">
        <v>347</v>
      </c>
      <c r="F144" s="17" t="s">
        <v>158</v>
      </c>
      <c r="G144" s="18" t="n">
        <f aca="false">IFERROR(INDEX('Semrush Data'!$C$2:$C$5000,MATCH(F144,'Semrush Data'!$A$2:$A$5000,0)),"")</f>
        <v>1300</v>
      </c>
      <c r="H144" s="16" t="n">
        <f aca="false">IFERROR(INDEX('Semrush Data'!$D$2:$D$5000,MATCH(F144,'Semrush Data'!$A$2:$A$5000,0)),"")</f>
        <v>11</v>
      </c>
      <c r="I144" s="16" t="s">
        <v>241</v>
      </c>
      <c r="J144" s="18" t="n">
        <f aca="false">IFERROR(INDEX('Semrush Data'!$C$2:$C$5000,MATCH(I144,'Semrush Data'!$A$2:$A$5000,0)),"")</f>
        <v>140</v>
      </c>
      <c r="K144" s="16" t="s">
        <v>446</v>
      </c>
      <c r="L144" s="16" t="s">
        <v>1244</v>
      </c>
      <c r="M144" s="16" t="s">
        <v>1245</v>
      </c>
      <c r="N144" s="19" t="n">
        <f aca="false">LEN(M144)</f>
        <v>59</v>
      </c>
      <c r="O144" s="20" t="s">
        <v>1246</v>
      </c>
      <c r="P144" s="19" t="n">
        <f aca="false">LEN(O144)</f>
        <v>148</v>
      </c>
      <c r="Q144" s="20" t="s">
        <v>1247</v>
      </c>
      <c r="R144" s="20"/>
      <c r="S144" s="16" t="s">
        <v>322</v>
      </c>
      <c r="T144" s="20" t="s">
        <v>333</v>
      </c>
    </row>
    <row r="145" customFormat="false" ht="45.75" hidden="false" customHeight="true" outlineLevel="0" collapsed="false">
      <c r="A145" s="16" t="s">
        <v>1248</v>
      </c>
      <c r="B145" s="16" t="s">
        <v>846</v>
      </c>
      <c r="C145" s="16" t="s">
        <v>1249</v>
      </c>
      <c r="D145" s="16" t="s">
        <v>659</v>
      </c>
      <c r="E145" s="16" t="s">
        <v>561</v>
      </c>
      <c r="F145" s="17" t="s">
        <v>153</v>
      </c>
      <c r="G145" s="18" t="n">
        <f aca="false">IFERROR(INDEX('Semrush Data'!$C$2:$C$5000,MATCH(F145,'Semrush Data'!$A$2:$A$5000,0)),"")</f>
        <v>2400</v>
      </c>
      <c r="H145" s="16" t="n">
        <f aca="false">IFERROR(INDEX('Semrush Data'!$D$2:$D$5000,MATCH(F145,'Semrush Data'!$A$2:$A$5000,0)),"")</f>
        <v>13</v>
      </c>
      <c r="I145" s="16" t="s">
        <v>241</v>
      </c>
      <c r="J145" s="18" t="n">
        <f aca="false">IFERROR(INDEX('Semrush Data'!$C$2:$C$5000,MATCH(I145,'Semrush Data'!$A$2:$A$5000,0)),"")</f>
        <v>140</v>
      </c>
      <c r="K145" s="16" t="s">
        <v>414</v>
      </c>
      <c r="L145" s="16" t="s">
        <v>1250</v>
      </c>
      <c r="M145" s="16" t="s">
        <v>1251</v>
      </c>
      <c r="N145" s="19" t="n">
        <f aca="false">LEN(M145)</f>
        <v>55</v>
      </c>
      <c r="O145" s="20" t="s">
        <v>1252</v>
      </c>
      <c r="P145" s="19" t="n">
        <f aca="false">LEN(O145)</f>
        <v>158</v>
      </c>
      <c r="Q145" s="20" t="s">
        <v>1253</v>
      </c>
      <c r="R145" s="20"/>
      <c r="S145" s="16" t="s">
        <v>322</v>
      </c>
      <c r="T145" s="20"/>
    </row>
    <row r="146" customFormat="false" ht="45.75" hidden="false" customHeight="true" outlineLevel="0" collapsed="false">
      <c r="A146" s="16" t="s">
        <v>1254</v>
      </c>
      <c r="B146" s="16" t="s">
        <v>846</v>
      </c>
      <c r="C146" s="16" t="s">
        <v>1255</v>
      </c>
      <c r="D146" s="16" t="s">
        <v>659</v>
      </c>
      <c r="E146" s="16" t="s">
        <v>561</v>
      </c>
      <c r="F146" s="17" t="s">
        <v>153</v>
      </c>
      <c r="G146" s="18" t="n">
        <f aca="false">IFERROR(INDEX('Semrush Data'!$C$2:$C$5000,MATCH(F146,'Semrush Data'!$A$2:$A$5000,0)),"")</f>
        <v>2400</v>
      </c>
      <c r="H146" s="16" t="n">
        <f aca="false">IFERROR(INDEX('Semrush Data'!$D$2:$D$5000,MATCH(F146,'Semrush Data'!$A$2:$A$5000,0)),"")</f>
        <v>13</v>
      </c>
      <c r="I146" s="16" t="s">
        <v>241</v>
      </c>
      <c r="J146" s="18" t="n">
        <f aca="false">IFERROR(INDEX('Semrush Data'!$C$2:$C$5000,MATCH(I146,'Semrush Data'!$A$2:$A$5000,0)),"")</f>
        <v>140</v>
      </c>
      <c r="K146" s="16" t="s">
        <v>414</v>
      </c>
      <c r="L146" s="16" t="s">
        <v>1256</v>
      </c>
      <c r="M146" s="16" t="s">
        <v>1257</v>
      </c>
      <c r="N146" s="19" t="n">
        <f aca="false">LEN(M146)</f>
        <v>55</v>
      </c>
      <c r="O146" s="20" t="s">
        <v>1258</v>
      </c>
      <c r="P146" s="19" t="n">
        <f aca="false">LEN(O146)</f>
        <v>155</v>
      </c>
      <c r="Q146" s="20" t="s">
        <v>1259</v>
      </c>
      <c r="R146" s="20"/>
      <c r="S146" s="16" t="s">
        <v>322</v>
      </c>
      <c r="T146" s="20"/>
    </row>
    <row r="147" customFormat="false" ht="45.75" hidden="false" customHeight="true" outlineLevel="0" collapsed="false">
      <c r="A147" s="16" t="s">
        <v>1260</v>
      </c>
      <c r="B147" s="16" t="s">
        <v>846</v>
      </c>
      <c r="C147" s="16" t="s">
        <v>1261</v>
      </c>
      <c r="D147" s="16" t="s">
        <v>659</v>
      </c>
      <c r="E147" s="16" t="s">
        <v>347</v>
      </c>
      <c r="F147" s="17" t="s">
        <v>158</v>
      </c>
      <c r="G147" s="18" t="n">
        <f aca="false">IFERROR(INDEX('Semrush Data'!$C$2:$C$5000,MATCH(F147,'Semrush Data'!$A$2:$A$5000,0)),"")</f>
        <v>1300</v>
      </c>
      <c r="H147" s="16" t="n">
        <f aca="false">IFERROR(INDEX('Semrush Data'!$D$2:$D$5000,MATCH(F147,'Semrush Data'!$A$2:$A$5000,0)),"")</f>
        <v>11</v>
      </c>
      <c r="I147" s="16" t="s">
        <v>241</v>
      </c>
      <c r="J147" s="18" t="n">
        <f aca="false">IFERROR(INDEX('Semrush Data'!$C$2:$C$5000,MATCH(I147,'Semrush Data'!$A$2:$A$5000,0)),"")</f>
        <v>140</v>
      </c>
      <c r="K147" s="16" t="s">
        <v>446</v>
      </c>
      <c r="L147" s="16" t="s">
        <v>1262</v>
      </c>
      <c r="M147" s="16" t="s">
        <v>1263</v>
      </c>
      <c r="N147" s="19" t="n">
        <f aca="false">LEN(M147)</f>
        <v>60</v>
      </c>
      <c r="O147" s="20" t="s">
        <v>1264</v>
      </c>
      <c r="P147" s="19" t="n">
        <f aca="false">LEN(O147)</f>
        <v>156</v>
      </c>
      <c r="Q147" s="20" t="s">
        <v>1265</v>
      </c>
      <c r="R147" s="20"/>
      <c r="S147" s="16" t="s">
        <v>322</v>
      </c>
      <c r="T147" s="20"/>
    </row>
    <row r="148" customFormat="false" ht="45.75" hidden="false" customHeight="true" outlineLevel="0" collapsed="false">
      <c r="A148" s="16" t="s">
        <v>1266</v>
      </c>
      <c r="B148" s="16" t="s">
        <v>846</v>
      </c>
      <c r="C148" s="16" t="s">
        <v>1267</v>
      </c>
      <c r="D148" s="16" t="s">
        <v>659</v>
      </c>
      <c r="E148" s="16" t="s">
        <v>561</v>
      </c>
      <c r="F148" s="17" t="s">
        <v>153</v>
      </c>
      <c r="G148" s="18" t="n">
        <f aca="false">IFERROR(INDEX('Semrush Data'!$C$2:$C$5000,MATCH(F148,'Semrush Data'!$A$2:$A$5000,0)),"")</f>
        <v>2400</v>
      </c>
      <c r="H148" s="16" t="n">
        <f aca="false">IFERROR(INDEX('Semrush Data'!$D$2:$D$5000,MATCH(F148,'Semrush Data'!$A$2:$A$5000,0)),"")</f>
        <v>13</v>
      </c>
      <c r="I148" s="16" t="s">
        <v>241</v>
      </c>
      <c r="J148" s="18" t="n">
        <f aca="false">IFERROR(INDEX('Semrush Data'!$C$2:$C$5000,MATCH(I148,'Semrush Data'!$A$2:$A$5000,0)),"")</f>
        <v>140</v>
      </c>
      <c r="K148" s="16" t="s">
        <v>414</v>
      </c>
      <c r="L148" s="16" t="s">
        <v>1268</v>
      </c>
      <c r="M148" s="16" t="s">
        <v>1269</v>
      </c>
      <c r="N148" s="19" t="n">
        <f aca="false">LEN(M148)</f>
        <v>51</v>
      </c>
      <c r="O148" s="20" t="s">
        <v>1270</v>
      </c>
      <c r="P148" s="19" t="n">
        <f aca="false">LEN(O148)</f>
        <v>158</v>
      </c>
      <c r="Q148" s="20" t="s">
        <v>1271</v>
      </c>
      <c r="R148" s="20"/>
      <c r="S148" s="16" t="s">
        <v>322</v>
      </c>
      <c r="T148" s="20"/>
    </row>
    <row r="149" customFormat="false" ht="45.75" hidden="false" customHeight="true" outlineLevel="0" collapsed="false">
      <c r="A149" s="16" t="s">
        <v>1272</v>
      </c>
      <c r="B149" s="16" t="s">
        <v>846</v>
      </c>
      <c r="C149" s="16" t="s">
        <v>1273</v>
      </c>
      <c r="D149" s="16" t="s">
        <v>659</v>
      </c>
      <c r="E149" s="16" t="s">
        <v>682</v>
      </c>
      <c r="F149" s="17" t="s">
        <v>208</v>
      </c>
      <c r="G149" s="18" t="n">
        <f aca="false">IFERROR(INDEX('Semrush Data'!$C$2:$C$5000,MATCH(F149,'Semrush Data'!$A$2:$A$5000,0)),"")</f>
        <v>3600</v>
      </c>
      <c r="H149" s="16" t="n">
        <f aca="false">IFERROR(INDEX('Semrush Data'!$D$2:$D$5000,MATCH(F149,'Semrush Data'!$A$2:$A$5000,0)),"")</f>
        <v>22</v>
      </c>
      <c r="I149" s="16" t="s">
        <v>241</v>
      </c>
      <c r="J149" s="18" t="n">
        <f aca="false">IFERROR(INDEX('Semrush Data'!$C$2:$C$5000,MATCH(I149,'Semrush Data'!$A$2:$A$5000,0)),"")</f>
        <v>140</v>
      </c>
      <c r="K149" s="16" t="s">
        <v>683</v>
      </c>
      <c r="L149" s="16" t="s">
        <v>1274</v>
      </c>
      <c r="M149" s="16" t="s">
        <v>1275</v>
      </c>
      <c r="N149" s="19" t="n">
        <f aca="false">LEN(M149)</f>
        <v>55</v>
      </c>
      <c r="O149" s="20" t="s">
        <v>1276</v>
      </c>
      <c r="P149" s="19" t="n">
        <f aca="false">LEN(O149)</f>
        <v>149</v>
      </c>
      <c r="Q149" s="20" t="s">
        <v>1277</v>
      </c>
      <c r="R149" s="20"/>
      <c r="S149" s="16" t="s">
        <v>322</v>
      </c>
      <c r="T149" s="20"/>
    </row>
    <row r="150" customFormat="false" ht="45.75" hidden="false" customHeight="true" outlineLevel="0" collapsed="false">
      <c r="A150" s="16" t="s">
        <v>1278</v>
      </c>
      <c r="B150" s="16" t="s">
        <v>846</v>
      </c>
      <c r="C150" s="16" t="s">
        <v>1279</v>
      </c>
      <c r="D150" s="16" t="s">
        <v>659</v>
      </c>
      <c r="E150" s="16" t="s">
        <v>347</v>
      </c>
      <c r="F150" s="17" t="s">
        <v>158</v>
      </c>
      <c r="G150" s="18" t="n">
        <f aca="false">IFERROR(INDEX('Semrush Data'!$C$2:$C$5000,MATCH(F150,'Semrush Data'!$A$2:$A$5000,0)),"")</f>
        <v>1300</v>
      </c>
      <c r="H150" s="16" t="n">
        <f aca="false">IFERROR(INDEX('Semrush Data'!$D$2:$D$5000,MATCH(F150,'Semrush Data'!$A$2:$A$5000,0)),"")</f>
        <v>11</v>
      </c>
      <c r="I150" s="16" t="s">
        <v>241</v>
      </c>
      <c r="J150" s="18" t="n">
        <f aca="false">IFERROR(INDEX('Semrush Data'!$C$2:$C$5000,MATCH(I150,'Semrush Data'!$A$2:$A$5000,0)),"")</f>
        <v>140</v>
      </c>
      <c r="K150" s="16" t="s">
        <v>446</v>
      </c>
      <c r="L150" s="16" t="s">
        <v>1280</v>
      </c>
      <c r="M150" s="16" t="s">
        <v>1281</v>
      </c>
      <c r="N150" s="19" t="n">
        <f aca="false">LEN(M150)</f>
        <v>51</v>
      </c>
      <c r="O150" s="20" t="s">
        <v>1282</v>
      </c>
      <c r="P150" s="19" t="n">
        <f aca="false">LEN(O150)</f>
        <v>158</v>
      </c>
      <c r="Q150" s="20" t="s">
        <v>1283</v>
      </c>
      <c r="R150" s="20"/>
      <c r="S150" s="16" t="s">
        <v>322</v>
      </c>
      <c r="T150" s="20"/>
    </row>
    <row r="151" customFormat="false" ht="45.75" hidden="false" customHeight="true" outlineLevel="0" collapsed="false">
      <c r="A151" s="16" t="s">
        <v>1284</v>
      </c>
      <c r="B151" s="16" t="s">
        <v>846</v>
      </c>
      <c r="C151" s="16" t="s">
        <v>1285</v>
      </c>
      <c r="D151" s="16" t="s">
        <v>659</v>
      </c>
      <c r="E151" s="16" t="s">
        <v>375</v>
      </c>
      <c r="F151" s="17" t="s">
        <v>221</v>
      </c>
      <c r="G151" s="18" t="n">
        <f aca="false">IFERROR(INDEX('Semrush Data'!$C$2:$C$5000,MATCH(F151,'Semrush Data'!$A$2:$A$5000,0)),"")</f>
        <v>1300</v>
      </c>
      <c r="H151" s="16" t="n">
        <f aca="false">IFERROR(INDEX('Semrush Data'!$D$2:$D$5000,MATCH(F151,'Semrush Data'!$A$2:$A$5000,0)),"")</f>
        <v>16</v>
      </c>
      <c r="I151" s="16" t="s">
        <v>241</v>
      </c>
      <c r="J151" s="18" t="n">
        <f aca="false">IFERROR(INDEX('Semrush Data'!$C$2:$C$5000,MATCH(I151,'Semrush Data'!$A$2:$A$5000,0)),"")</f>
        <v>140</v>
      </c>
      <c r="K151" s="16" t="s">
        <v>660</v>
      </c>
      <c r="L151" s="16" t="s">
        <v>1286</v>
      </c>
      <c r="M151" s="16" t="s">
        <v>1287</v>
      </c>
      <c r="N151" s="19" t="n">
        <f aca="false">LEN(M151)</f>
        <v>58</v>
      </c>
      <c r="O151" s="20" t="s">
        <v>1288</v>
      </c>
      <c r="P151" s="19" t="n">
        <f aca="false">LEN(O151)</f>
        <v>159</v>
      </c>
      <c r="Q151" s="20" t="s">
        <v>1289</v>
      </c>
      <c r="R151" s="20"/>
      <c r="S151" s="16" t="s">
        <v>322</v>
      </c>
      <c r="T151" s="20"/>
    </row>
    <row r="152" customFormat="false" ht="45.75" hidden="false" customHeight="true" outlineLevel="0" collapsed="false">
      <c r="A152" s="16" t="s">
        <v>1290</v>
      </c>
      <c r="B152" s="16" t="s">
        <v>846</v>
      </c>
      <c r="C152" s="16" t="s">
        <v>1291</v>
      </c>
      <c r="D152" s="16" t="s">
        <v>659</v>
      </c>
      <c r="E152" s="16" t="s">
        <v>561</v>
      </c>
      <c r="F152" s="17" t="s">
        <v>153</v>
      </c>
      <c r="G152" s="18" t="n">
        <f aca="false">IFERROR(INDEX('Semrush Data'!$C$2:$C$5000,MATCH(F152,'Semrush Data'!$A$2:$A$5000,0)),"")</f>
        <v>2400</v>
      </c>
      <c r="H152" s="16" t="n">
        <f aca="false">IFERROR(INDEX('Semrush Data'!$D$2:$D$5000,MATCH(F152,'Semrush Data'!$A$2:$A$5000,0)),"")</f>
        <v>13</v>
      </c>
      <c r="I152" s="16" t="s">
        <v>241</v>
      </c>
      <c r="J152" s="18" t="n">
        <f aca="false">IFERROR(INDEX('Semrush Data'!$C$2:$C$5000,MATCH(I152,'Semrush Data'!$A$2:$A$5000,0)),"")</f>
        <v>140</v>
      </c>
      <c r="K152" s="16" t="s">
        <v>414</v>
      </c>
      <c r="L152" s="16" t="s">
        <v>1292</v>
      </c>
      <c r="M152" s="16" t="s">
        <v>1293</v>
      </c>
      <c r="N152" s="19" t="n">
        <f aca="false">LEN(M152)</f>
        <v>55</v>
      </c>
      <c r="O152" s="20" t="s">
        <v>1294</v>
      </c>
      <c r="P152" s="19" t="n">
        <f aca="false">LEN(O152)</f>
        <v>151</v>
      </c>
      <c r="Q152" s="20" t="s">
        <v>1295</v>
      </c>
      <c r="R152" s="20" t="s">
        <v>1296</v>
      </c>
      <c r="S152" s="16" t="s">
        <v>322</v>
      </c>
      <c r="T152" s="20" t="s">
        <v>333</v>
      </c>
    </row>
    <row r="153" customFormat="false" ht="45.75" hidden="false" customHeight="true" outlineLevel="0" collapsed="false">
      <c r="A153" s="16" t="s">
        <v>1297</v>
      </c>
      <c r="B153" s="16" t="s">
        <v>846</v>
      </c>
      <c r="C153" s="16" t="s">
        <v>1298</v>
      </c>
      <c r="D153" s="16" t="s">
        <v>659</v>
      </c>
      <c r="E153" s="16" t="s">
        <v>798</v>
      </c>
      <c r="F153" s="17" t="s">
        <v>208</v>
      </c>
      <c r="G153" s="18" t="n">
        <f aca="false">IFERROR(INDEX('Semrush Data'!$C$2:$C$5000,MATCH(F153,'Semrush Data'!$A$2:$A$5000,0)),"")</f>
        <v>3600</v>
      </c>
      <c r="H153" s="16" t="n">
        <f aca="false">IFERROR(INDEX('Semrush Data'!$D$2:$D$5000,MATCH(F153,'Semrush Data'!$A$2:$A$5000,0)),"")</f>
        <v>22</v>
      </c>
      <c r="I153" s="16" t="s">
        <v>241</v>
      </c>
      <c r="J153" s="18" t="n">
        <f aca="false">IFERROR(INDEX('Semrush Data'!$C$2:$C$5000,MATCH(I153,'Semrush Data'!$A$2:$A$5000,0)),"")</f>
        <v>140</v>
      </c>
      <c r="K153" s="16" t="s">
        <v>683</v>
      </c>
      <c r="L153" s="16" t="s">
        <v>1299</v>
      </c>
      <c r="M153" s="16" t="s">
        <v>1300</v>
      </c>
      <c r="N153" s="19" t="n">
        <f aca="false">LEN(M153)</f>
        <v>59</v>
      </c>
      <c r="O153" s="20" t="s">
        <v>1301</v>
      </c>
      <c r="P153" s="19" t="n">
        <f aca="false">LEN(O153)</f>
        <v>153</v>
      </c>
      <c r="Q153" s="20" t="s">
        <v>1302</v>
      </c>
      <c r="R153" s="20"/>
      <c r="S153" s="16" t="s">
        <v>322</v>
      </c>
      <c r="T153" s="20"/>
    </row>
    <row r="154" customFormat="false" ht="45.75" hidden="false" customHeight="true" outlineLevel="0" collapsed="false">
      <c r="A154" s="16" t="s">
        <v>1303</v>
      </c>
      <c r="B154" s="16" t="s">
        <v>846</v>
      </c>
      <c r="C154" s="16" t="s">
        <v>1304</v>
      </c>
      <c r="D154" s="16" t="s">
        <v>659</v>
      </c>
      <c r="E154" s="16" t="s">
        <v>397</v>
      </c>
      <c r="F154" s="17" t="s">
        <v>160</v>
      </c>
      <c r="G154" s="18" t="n">
        <f aca="false">IFERROR(INDEX('Semrush Data'!$C$2:$C$5000,MATCH(F154,'Semrush Data'!$A$2:$A$5000,0)),"")</f>
        <v>1000</v>
      </c>
      <c r="H154" s="16" t="n">
        <f aca="false">IFERROR(INDEX('Semrush Data'!$D$2:$D$5000,MATCH(F154,'Semrush Data'!$A$2:$A$5000,0)),"")</f>
        <v>41</v>
      </c>
      <c r="I154" s="16" t="s">
        <v>241</v>
      </c>
      <c r="J154" s="18" t="n">
        <f aca="false">IFERROR(INDEX('Semrush Data'!$C$2:$C$5000,MATCH(I154,'Semrush Data'!$A$2:$A$5000,0)),"")</f>
        <v>140</v>
      </c>
      <c r="K154" s="16" t="s">
        <v>398</v>
      </c>
      <c r="L154" s="16" t="s">
        <v>1305</v>
      </c>
      <c r="M154" s="16" t="s">
        <v>1306</v>
      </c>
      <c r="N154" s="19" t="n">
        <f aca="false">LEN(M154)</f>
        <v>52</v>
      </c>
      <c r="O154" s="20" t="s">
        <v>1307</v>
      </c>
      <c r="P154" s="19" t="n">
        <f aca="false">LEN(O154)</f>
        <v>159</v>
      </c>
      <c r="Q154" s="20" t="s">
        <v>1308</v>
      </c>
      <c r="R154" s="20"/>
      <c r="S154" s="16" t="s">
        <v>322</v>
      </c>
      <c r="T154" s="20" t="s">
        <v>333</v>
      </c>
    </row>
    <row r="155" customFormat="false" ht="45.75" hidden="false" customHeight="true" outlineLevel="0" collapsed="false">
      <c r="A155" s="16" t="s">
        <v>1309</v>
      </c>
      <c r="B155" s="16" t="s">
        <v>846</v>
      </c>
      <c r="C155" s="16" t="s">
        <v>1310</v>
      </c>
      <c r="D155" s="16" t="s">
        <v>659</v>
      </c>
      <c r="E155" s="16" t="s">
        <v>561</v>
      </c>
      <c r="F155" s="17" t="s">
        <v>153</v>
      </c>
      <c r="G155" s="18" t="n">
        <f aca="false">IFERROR(INDEX('Semrush Data'!$C$2:$C$5000,MATCH(F155,'Semrush Data'!$A$2:$A$5000,0)),"")</f>
        <v>2400</v>
      </c>
      <c r="H155" s="16" t="n">
        <f aca="false">IFERROR(INDEX('Semrush Data'!$D$2:$D$5000,MATCH(F155,'Semrush Data'!$A$2:$A$5000,0)),"")</f>
        <v>13</v>
      </c>
      <c r="I155" s="16" t="s">
        <v>241</v>
      </c>
      <c r="J155" s="18" t="n">
        <f aca="false">IFERROR(INDEX('Semrush Data'!$C$2:$C$5000,MATCH(I155,'Semrush Data'!$A$2:$A$5000,0)),"")</f>
        <v>140</v>
      </c>
      <c r="K155" s="16" t="s">
        <v>414</v>
      </c>
      <c r="L155" s="16" t="s">
        <v>1311</v>
      </c>
      <c r="M155" s="16" t="s">
        <v>1312</v>
      </c>
      <c r="N155" s="19" t="n">
        <f aca="false">LEN(M155)</f>
        <v>52</v>
      </c>
      <c r="O155" s="20" t="s">
        <v>1313</v>
      </c>
      <c r="P155" s="19" t="n">
        <f aca="false">LEN(O155)</f>
        <v>159</v>
      </c>
      <c r="Q155" s="20" t="s">
        <v>1314</v>
      </c>
      <c r="R155" s="20"/>
      <c r="S155" s="16" t="s">
        <v>322</v>
      </c>
      <c r="T155" s="20" t="s">
        <v>333</v>
      </c>
    </row>
    <row r="156" customFormat="false" ht="45.75" hidden="false" customHeight="true" outlineLevel="0" collapsed="false">
      <c r="A156" s="16" t="s">
        <v>1315</v>
      </c>
      <c r="B156" s="16" t="s">
        <v>846</v>
      </c>
      <c r="C156" s="16" t="s">
        <v>1316</v>
      </c>
      <c r="D156" s="16" t="s">
        <v>659</v>
      </c>
      <c r="E156" s="16" t="s">
        <v>375</v>
      </c>
      <c r="F156" s="17" t="s">
        <v>221</v>
      </c>
      <c r="G156" s="18" t="n">
        <f aca="false">IFERROR(INDEX('Semrush Data'!$C$2:$C$5000,MATCH(F156,'Semrush Data'!$A$2:$A$5000,0)),"")</f>
        <v>1300</v>
      </c>
      <c r="H156" s="16" t="n">
        <f aca="false">IFERROR(INDEX('Semrush Data'!$D$2:$D$5000,MATCH(F156,'Semrush Data'!$A$2:$A$5000,0)),"")</f>
        <v>16</v>
      </c>
      <c r="I156" s="16" t="s">
        <v>241</v>
      </c>
      <c r="J156" s="18" t="n">
        <f aca="false">IFERROR(INDEX('Semrush Data'!$C$2:$C$5000,MATCH(I156,'Semrush Data'!$A$2:$A$5000,0)),"")</f>
        <v>140</v>
      </c>
      <c r="K156" s="16" t="s">
        <v>660</v>
      </c>
      <c r="L156" s="16" t="s">
        <v>1317</v>
      </c>
      <c r="M156" s="16" t="s">
        <v>1318</v>
      </c>
      <c r="N156" s="19" t="n">
        <f aca="false">LEN(M156)</f>
        <v>50</v>
      </c>
      <c r="O156" s="20" t="s">
        <v>1319</v>
      </c>
      <c r="P156" s="19" t="n">
        <f aca="false">LEN(O156)</f>
        <v>155</v>
      </c>
      <c r="Q156" s="20" t="s">
        <v>1320</v>
      </c>
      <c r="R156" s="20"/>
      <c r="S156" s="16" t="s">
        <v>322</v>
      </c>
      <c r="T156" s="20"/>
    </row>
    <row r="157" customFormat="false" ht="45.75" hidden="false" customHeight="true" outlineLevel="0" collapsed="false">
      <c r="A157" s="16" t="s">
        <v>1321</v>
      </c>
      <c r="B157" s="16" t="s">
        <v>846</v>
      </c>
      <c r="C157" s="16" t="s">
        <v>1322</v>
      </c>
      <c r="D157" s="16" t="s">
        <v>659</v>
      </c>
      <c r="E157" s="16" t="s">
        <v>397</v>
      </c>
      <c r="F157" s="17" t="s">
        <v>160</v>
      </c>
      <c r="G157" s="18" t="n">
        <f aca="false">IFERROR(INDEX('Semrush Data'!$C$2:$C$5000,MATCH(F157,'Semrush Data'!$A$2:$A$5000,0)),"")</f>
        <v>1000</v>
      </c>
      <c r="H157" s="16" t="n">
        <f aca="false">IFERROR(INDEX('Semrush Data'!$D$2:$D$5000,MATCH(F157,'Semrush Data'!$A$2:$A$5000,0)),"")</f>
        <v>41</v>
      </c>
      <c r="I157" s="16" t="s">
        <v>241</v>
      </c>
      <c r="J157" s="18" t="n">
        <f aca="false">IFERROR(INDEX('Semrush Data'!$C$2:$C$5000,MATCH(I157,'Semrush Data'!$A$2:$A$5000,0)),"")</f>
        <v>140</v>
      </c>
      <c r="K157" s="16" t="s">
        <v>398</v>
      </c>
      <c r="L157" s="16" t="s">
        <v>1323</v>
      </c>
      <c r="M157" s="16" t="s">
        <v>1324</v>
      </c>
      <c r="N157" s="19" t="n">
        <f aca="false">LEN(M157)</f>
        <v>54</v>
      </c>
      <c r="O157" s="20" t="s">
        <v>1325</v>
      </c>
      <c r="P157" s="19" t="n">
        <f aca="false">LEN(O157)</f>
        <v>157</v>
      </c>
      <c r="Q157" s="20" t="s">
        <v>1326</v>
      </c>
      <c r="R157" s="20"/>
      <c r="S157" s="16" t="s">
        <v>322</v>
      </c>
      <c r="T157" s="20"/>
    </row>
    <row r="158" customFormat="false" ht="45.75" hidden="false" customHeight="true" outlineLevel="0" collapsed="false">
      <c r="A158" s="16" t="s">
        <v>1327</v>
      </c>
      <c r="B158" s="16" t="s">
        <v>846</v>
      </c>
      <c r="C158" s="16" t="s">
        <v>1328</v>
      </c>
      <c r="D158" s="16" t="s">
        <v>659</v>
      </c>
      <c r="E158" s="16" t="s">
        <v>356</v>
      </c>
      <c r="F158" s="17" t="s">
        <v>203</v>
      </c>
      <c r="G158" s="18" t="n">
        <f aca="false">IFERROR(INDEX('Semrush Data'!$C$2:$C$5000,MATCH(F158,'Semrush Data'!$A$2:$A$5000,0)),"")</f>
        <v>3600</v>
      </c>
      <c r="H158" s="16" t="n">
        <f aca="false">IFERROR(INDEX('Semrush Data'!$D$2:$D$5000,MATCH(F158,'Semrush Data'!$A$2:$A$5000,0)),"")</f>
        <v>24</v>
      </c>
      <c r="I158" s="16" t="s">
        <v>241</v>
      </c>
      <c r="J158" s="18" t="n">
        <f aca="false">IFERROR(INDEX('Semrush Data'!$C$2:$C$5000,MATCH(I158,'Semrush Data'!$A$2:$A$5000,0)),"")</f>
        <v>140</v>
      </c>
      <c r="K158" s="16" t="s">
        <v>357</v>
      </c>
      <c r="L158" s="16" t="s">
        <v>1329</v>
      </c>
      <c r="M158" s="16" t="s">
        <v>1330</v>
      </c>
      <c r="N158" s="19" t="n">
        <f aca="false">LEN(M158)</f>
        <v>52</v>
      </c>
      <c r="O158" s="20" t="s">
        <v>1331</v>
      </c>
      <c r="P158" s="19" t="n">
        <f aca="false">LEN(O158)</f>
        <v>151</v>
      </c>
      <c r="Q158" s="20" t="s">
        <v>1332</v>
      </c>
      <c r="R158" s="20"/>
      <c r="S158" s="16" t="s">
        <v>322</v>
      </c>
      <c r="T158" s="20"/>
    </row>
    <row r="159" customFormat="false" ht="45.75" hidden="false" customHeight="true" outlineLevel="0" collapsed="false">
      <c r="A159" s="16" t="s">
        <v>1333</v>
      </c>
      <c r="B159" s="16" t="s">
        <v>846</v>
      </c>
      <c r="C159" s="16" t="s">
        <v>1334</v>
      </c>
      <c r="D159" s="16" t="s">
        <v>659</v>
      </c>
      <c r="E159" s="16" t="s">
        <v>347</v>
      </c>
      <c r="F159" s="17" t="s">
        <v>158</v>
      </c>
      <c r="G159" s="18" t="n">
        <f aca="false">IFERROR(INDEX('Semrush Data'!$C$2:$C$5000,MATCH(F159,'Semrush Data'!$A$2:$A$5000,0)),"")</f>
        <v>1300</v>
      </c>
      <c r="H159" s="16" t="n">
        <f aca="false">IFERROR(INDEX('Semrush Data'!$D$2:$D$5000,MATCH(F159,'Semrush Data'!$A$2:$A$5000,0)),"")</f>
        <v>11</v>
      </c>
      <c r="I159" s="16" t="s">
        <v>241</v>
      </c>
      <c r="J159" s="18" t="n">
        <f aca="false">IFERROR(INDEX('Semrush Data'!$C$2:$C$5000,MATCH(I159,'Semrush Data'!$A$2:$A$5000,0)),"")</f>
        <v>140</v>
      </c>
      <c r="K159" s="16" t="s">
        <v>446</v>
      </c>
      <c r="L159" s="16" t="s">
        <v>1335</v>
      </c>
      <c r="M159" s="16" t="s">
        <v>1336</v>
      </c>
      <c r="N159" s="19" t="n">
        <f aca="false">LEN(M159)</f>
        <v>59</v>
      </c>
      <c r="O159" s="20" t="s">
        <v>1337</v>
      </c>
      <c r="P159" s="19" t="n">
        <f aca="false">LEN(O159)</f>
        <v>148</v>
      </c>
      <c r="Q159" s="20" t="s">
        <v>1338</v>
      </c>
      <c r="R159" s="20"/>
      <c r="S159" s="16" t="s">
        <v>322</v>
      </c>
      <c r="T159" s="20"/>
    </row>
    <row r="160" customFormat="false" ht="45.75" hidden="false" customHeight="true" outlineLevel="0" collapsed="false">
      <c r="A160" s="16" t="s">
        <v>1339</v>
      </c>
      <c r="B160" s="16" t="s">
        <v>846</v>
      </c>
      <c r="C160" s="16" t="s">
        <v>1340</v>
      </c>
      <c r="D160" s="16" t="s">
        <v>659</v>
      </c>
      <c r="E160" s="16" t="s">
        <v>561</v>
      </c>
      <c r="F160" s="17" t="s">
        <v>153</v>
      </c>
      <c r="G160" s="18" t="n">
        <f aca="false">IFERROR(INDEX('Semrush Data'!$C$2:$C$5000,MATCH(F160,'Semrush Data'!$A$2:$A$5000,0)),"")</f>
        <v>2400</v>
      </c>
      <c r="H160" s="16" t="n">
        <f aca="false">IFERROR(INDEX('Semrush Data'!$D$2:$D$5000,MATCH(F160,'Semrush Data'!$A$2:$A$5000,0)),"")</f>
        <v>13</v>
      </c>
      <c r="I160" s="16" t="s">
        <v>241</v>
      </c>
      <c r="J160" s="18" t="n">
        <f aca="false">IFERROR(INDEX('Semrush Data'!$C$2:$C$5000,MATCH(I160,'Semrush Data'!$A$2:$A$5000,0)),"")</f>
        <v>140</v>
      </c>
      <c r="K160" s="16" t="s">
        <v>414</v>
      </c>
      <c r="L160" s="16" t="s">
        <v>1341</v>
      </c>
      <c r="M160" s="16" t="s">
        <v>1342</v>
      </c>
      <c r="N160" s="19" t="n">
        <f aca="false">LEN(M160)</f>
        <v>57</v>
      </c>
      <c r="O160" s="20" t="s">
        <v>1343</v>
      </c>
      <c r="P160" s="19" t="n">
        <f aca="false">LEN(O160)</f>
        <v>160</v>
      </c>
      <c r="Q160" s="20" t="s">
        <v>1344</v>
      </c>
      <c r="R160" s="20"/>
      <c r="S160" s="16" t="s">
        <v>322</v>
      </c>
      <c r="T160" s="20"/>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8">
      <formula>T2&lt;&gt;""</formula>
    </cfRule>
  </conditionalFormatting>
  <conditionalFormatting sqref="S2:S160">
    <cfRule type="expression" priority="5" aboveAverage="0" equalAverage="0" bottom="0" percent="0" rank="0" text="" dxfId="8">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14" t="s">
        <v>37</v>
      </c>
      <c r="B1" s="14" t="s">
        <v>1345</v>
      </c>
      <c r="C1" s="14" t="s">
        <v>1346</v>
      </c>
      <c r="D1" s="14" t="s">
        <v>236</v>
      </c>
      <c r="E1" s="14" t="s">
        <v>1347</v>
      </c>
      <c r="F1" s="14" t="s">
        <v>1348</v>
      </c>
      <c r="G1" s="14" t="s">
        <v>149</v>
      </c>
      <c r="H1" s="14" t="s">
        <v>1349</v>
      </c>
      <c r="I1" s="14" t="s">
        <v>1350</v>
      </c>
      <c r="J1" s="14" t="s">
        <v>1351</v>
      </c>
      <c r="K1" s="14" t="s">
        <v>1352</v>
      </c>
      <c r="L1" s="14" t="s">
        <v>1353</v>
      </c>
      <c r="M1" s="14" t="s">
        <v>1354</v>
      </c>
      <c r="N1" s="14" t="s">
        <v>1355</v>
      </c>
      <c r="O1" s="14" t="s">
        <v>1356</v>
      </c>
      <c r="P1" s="14" t="s">
        <v>1357</v>
      </c>
      <c r="Q1" s="15" t="s">
        <v>1358</v>
      </c>
      <c r="R1" s="15" t="s">
        <v>1359</v>
      </c>
      <c r="S1" s="15" t="s">
        <v>1360</v>
      </c>
      <c r="T1" s="15" t="s">
        <v>1361</v>
      </c>
      <c r="U1" s="15" t="s">
        <v>1362</v>
      </c>
      <c r="V1" s="15" t="s">
        <v>39</v>
      </c>
      <c r="W1" s="15" t="s">
        <v>1363</v>
      </c>
      <c r="X1" s="15" t="s">
        <v>1364</v>
      </c>
      <c r="Y1" s="15" t="s">
        <v>1365</v>
      </c>
      <c r="Z1" s="14" t="s">
        <v>1366</v>
      </c>
      <c r="AA1" s="14" t="s">
        <v>1367</v>
      </c>
      <c r="AB1" s="14" t="s">
        <v>1368</v>
      </c>
      <c r="AC1" s="14" t="s">
        <v>1369</v>
      </c>
      <c r="AD1" s="14" t="s">
        <v>1370</v>
      </c>
      <c r="AE1" s="14" t="s">
        <v>1371</v>
      </c>
      <c r="AF1" s="14" t="s">
        <v>1372</v>
      </c>
    </row>
    <row r="2" customFormat="false" ht="15" hidden="false" customHeight="true" outlineLevel="0" collapsed="false">
      <c r="A2" s="21" t="s">
        <v>312</v>
      </c>
      <c r="B2" s="21" t="s">
        <v>1373</v>
      </c>
      <c r="C2" s="21" t="n">
        <v>1</v>
      </c>
      <c r="D2" s="21" t="s">
        <v>313</v>
      </c>
      <c r="E2" s="21"/>
      <c r="F2" s="21" t="s">
        <v>1374</v>
      </c>
      <c r="G2" s="21" t="s">
        <v>315</v>
      </c>
      <c r="H2" s="21" t="s">
        <v>316</v>
      </c>
      <c r="I2" s="21" t="s">
        <v>314</v>
      </c>
      <c r="J2" s="21" t="s">
        <v>1375</v>
      </c>
      <c r="K2" s="21" t="n">
        <v>16.99</v>
      </c>
      <c r="L2" s="21" t="s">
        <v>1376</v>
      </c>
      <c r="M2" s="21" t="s">
        <v>1377</v>
      </c>
      <c r="N2" s="21" t="s">
        <v>1378</v>
      </c>
      <c r="O2" s="21" t="s">
        <v>1379</v>
      </c>
      <c r="P2" s="21"/>
      <c r="Q2" s="22" t="n">
        <f aca="false">IF(L2="","",IFERROR(INDEX('Semrush Data'!$A$1:$Z$20000,MATCH(L2,'Semrush Data'!$A$1:$A$20000,0),MATCH("Volume",'Semrush Data'!$A$1:$Z$1,0)),""))</f>
        <v>0</v>
      </c>
      <c r="R2" s="22" t="str">
        <f aca="false">IF(M2="","",IFERROR(INDEX('Semrush Data'!$A$1:$Z$20000,MATCH(M2,'Semrush Data'!$A$1:$A$20000,0),MATCH("Volume",'Semrush Data'!$A$1:$Z$1,0)),""))</f>
        <v/>
      </c>
      <c r="S2" s="22" t="str">
        <f aca="false">IF(N2="","",IFERROR(INDEX('Semrush Data'!$A$1:$Z$20000,MATCH(N2,'Semrush Data'!$A$1:$A$20000,0),MATCH("Volume",'Semrush Data'!$A$1:$Z$1,0)),""))</f>
        <v/>
      </c>
      <c r="T2" s="22" t="str">
        <f aca="false">IF(O2="","",IFERROR(INDEX('Semrush Data'!$A$1:$Z$20000,MATCH(O2,'Semrush Data'!$A$1:$A$20000,0),MATCH("Volume",'Semrush Data'!$A$1:$Z$1,0)),""))</f>
        <v/>
      </c>
      <c r="U2" s="22" t="str">
        <f aca="false">IF(P2="","",IFERROR(INDEX('Semrush Data'!$A$1:$Z$20000,MATCH(P2,'Semrush Data'!$A$1:$A$20000,0),MATCH("Volume",'Semrush Data'!$A$1:$Z$1,0)),""))</f>
        <v/>
      </c>
      <c r="V2" s="23" t="str">
        <f aca="false">IF(COUNT(Q2:U2)=0,L2,IF(MAX(Q2:U2)=0,L2,INDEX(L2:P2,MATCH(MAX(Q2:U2),Q2:U2,0))))</f>
        <v>vilvah rosewater facial toner</v>
      </c>
      <c r="W2" s="22" t="n">
        <f aca="false">IFERROR(INDEX('Semrush Data'!$A$1:$Z$20000,MATCH(V2,'Semrush Data'!$A$1:$A$20000,0),MATCH("Volume",'Semrush Data'!$A$1:$Z$1,0)),"")</f>
        <v>0</v>
      </c>
      <c r="X2" s="22" t="n">
        <f aca="false">IFERROR(INDEX('Semrush Data'!$A$1:$Z$20000,MATCH(V2,'Semrush Data'!$A$1:$A$20000,0),MATCH("Keyword Difficulty*",'Semrush Data'!$A$1:$Z$1,0)),"")</f>
        <v>16</v>
      </c>
      <c r="Y2" s="24" t="n">
        <f aca="false">IFERROR(INDEX('Semrush Data'!$A$1:$Z$20000,MATCH(V2,'Semrush Data'!$A$1:$A$20000,0),MATCH("CPC*",'Semrush Data'!$A$1:$Z$1,0)),"")</f>
        <v>0</v>
      </c>
      <c r="Z2" s="21" t="s">
        <v>1380</v>
      </c>
      <c r="AA2" s="21"/>
      <c r="AB2" s="21" t="s">
        <v>318</v>
      </c>
      <c r="AC2" s="21" t="s">
        <v>1381</v>
      </c>
      <c r="AD2" s="25" t="n">
        <f aca="false">LEN(AC2)</f>
        <v>56</v>
      </c>
      <c r="AE2" s="21" t="s">
        <v>1382</v>
      </c>
      <c r="AF2" s="25" t="n">
        <f aca="false">LEN(AE2)</f>
        <v>160</v>
      </c>
    </row>
    <row r="3" customFormat="false" ht="15" hidden="false" customHeight="true" outlineLevel="0" collapsed="false">
      <c r="A3" s="21" t="s">
        <v>323</v>
      </c>
      <c r="B3" s="21" t="s">
        <v>1373</v>
      </c>
      <c r="C3" s="21" t="n">
        <v>2</v>
      </c>
      <c r="D3" s="21" t="s">
        <v>313</v>
      </c>
      <c r="E3" s="21"/>
      <c r="F3" s="21" t="s">
        <v>1383</v>
      </c>
      <c r="G3" s="21" t="s">
        <v>325</v>
      </c>
      <c r="H3" s="21" t="s">
        <v>326</v>
      </c>
      <c r="I3" s="21" t="s">
        <v>324</v>
      </c>
      <c r="J3" s="21" t="s">
        <v>1384</v>
      </c>
      <c r="K3" s="21" t="n">
        <v>9.99</v>
      </c>
      <c r="L3" s="21" t="s">
        <v>1385</v>
      </c>
      <c r="M3" s="21" t="s">
        <v>1386</v>
      </c>
      <c r="N3" s="21" t="s">
        <v>1387</v>
      </c>
      <c r="O3" s="21" t="s">
        <v>1388</v>
      </c>
      <c r="P3" s="21"/>
      <c r="Q3" s="22" t="n">
        <f aca="false">IF(L3="","",IFERROR(INDEX('Semrush Data'!$A$1:$Z$20000,MATCH(L3,'Semrush Data'!$A$1:$A$20000,0),MATCH("Volume",'Semrush Data'!$A$1:$Z$1,0)),""))</f>
        <v>20</v>
      </c>
      <c r="R3" s="22" t="str">
        <f aca="false">IF(M3="","",IFERROR(INDEX('Semrush Data'!$A$1:$Z$20000,MATCH(M3,'Semrush Data'!$A$1:$A$20000,0),MATCH("Volume",'Semrush Data'!$A$1:$Z$1,0)),""))</f>
        <v/>
      </c>
      <c r="S3" s="22" t="str">
        <f aca="false">IF(N3="","",IFERROR(INDEX('Semrush Data'!$A$1:$Z$20000,MATCH(N3,'Semrush Data'!$A$1:$A$20000,0),MATCH("Volume",'Semrush Data'!$A$1:$Z$1,0)),""))</f>
        <v/>
      </c>
      <c r="T3" s="22" t="str">
        <f aca="false">IF(O3="","",IFERROR(INDEX('Semrush Data'!$A$1:$Z$20000,MATCH(O3,'Semrush Data'!$A$1:$A$20000,0),MATCH("Volume",'Semrush Data'!$A$1:$Z$1,0)),""))</f>
        <v/>
      </c>
      <c r="U3" s="22" t="str">
        <f aca="false">IF(P3="","",IFERROR(INDEX('Semrush Data'!$A$1:$Z$20000,MATCH(P3,'Semrush Data'!$A$1:$A$20000,0),MATCH("Volume",'Semrush Data'!$A$1:$Z$1,0)),""))</f>
        <v/>
      </c>
      <c r="V3" s="23" t="str">
        <f aca="false">IF(COUNT(Q3:U3)=0,L3,IF(MAX(Q3:U3)=0,L3,INDEX(L3:P3,MATCH(MAX(Q3:U3),Q3:U3,0))))</f>
        <v>vilvah hair growth oil</v>
      </c>
      <c r="W3" s="22" t="n">
        <f aca="false">IFERROR(INDEX('Semrush Data'!$A$1:$Z$20000,MATCH(V3,'Semrush Data'!$A$1:$A$20000,0),MATCH("Volume",'Semrush Data'!$A$1:$Z$1,0)),"")</f>
        <v>20</v>
      </c>
      <c r="X3" s="22" t="n">
        <f aca="false">IFERROR(INDEX('Semrush Data'!$A$1:$Z$20000,MATCH(V3,'Semrush Data'!$A$1:$A$20000,0),MATCH("Keyword Difficulty*",'Semrush Data'!$A$1:$Z$1,0)),"")</f>
        <v>26</v>
      </c>
      <c r="Y3" s="24" t="n">
        <f aca="false">IFERROR(INDEX('Semrush Data'!$A$1:$Z$20000,MATCH(V3,'Semrush Data'!$A$1:$A$20000,0),MATCH("CPC*",'Semrush Data'!$A$1:$Z$1,0)),"")</f>
        <v>0.55</v>
      </c>
      <c r="Z3" s="21" t="s">
        <v>1389</v>
      </c>
      <c r="AA3" s="21" t="s">
        <v>332</v>
      </c>
      <c r="AB3" s="21" t="s">
        <v>328</v>
      </c>
      <c r="AC3" s="21" t="s">
        <v>1390</v>
      </c>
      <c r="AD3" s="25" t="n">
        <f aca="false">LEN(AC3)</f>
        <v>54</v>
      </c>
      <c r="AE3" s="21" t="s">
        <v>1391</v>
      </c>
      <c r="AF3" s="25" t="n">
        <f aca="false">LEN(AE3)</f>
        <v>158</v>
      </c>
    </row>
    <row r="4" customFormat="false" ht="15" hidden="false" customHeight="true" outlineLevel="0" collapsed="false">
      <c r="A4" s="21" t="s">
        <v>334</v>
      </c>
      <c r="B4" s="21" t="s">
        <v>1373</v>
      </c>
      <c r="C4" s="21" t="n">
        <v>3</v>
      </c>
      <c r="D4" s="21" t="s">
        <v>313</v>
      </c>
      <c r="E4" s="21"/>
      <c r="F4" s="21" t="s">
        <v>1392</v>
      </c>
      <c r="G4" s="21" t="s">
        <v>336</v>
      </c>
      <c r="H4" s="21" t="s">
        <v>337</v>
      </c>
      <c r="I4" s="21" t="s">
        <v>335</v>
      </c>
      <c r="J4" s="21" t="s">
        <v>1393</v>
      </c>
      <c r="K4" s="21" t="n">
        <v>9.99</v>
      </c>
      <c r="L4" s="21" t="s">
        <v>1394</v>
      </c>
      <c r="M4" s="21" t="s">
        <v>1395</v>
      </c>
      <c r="N4" s="21" t="s">
        <v>1396</v>
      </c>
      <c r="O4" s="21" t="s">
        <v>1397</v>
      </c>
      <c r="P4" s="21"/>
      <c r="Q4" s="22" t="n">
        <f aca="false">IF(L4="","",IFERROR(INDEX('Semrush Data'!$A$1:$Z$20000,MATCH(L4,'Semrush Data'!$A$1:$A$20000,0),MATCH("Volume",'Semrush Data'!$A$1:$Z$1,0)),""))</f>
        <v>0</v>
      </c>
      <c r="R4" s="22" t="str">
        <f aca="false">IF(M4="","",IFERROR(INDEX('Semrush Data'!$A$1:$Z$20000,MATCH(M4,'Semrush Data'!$A$1:$A$20000,0),MATCH("Volume",'Semrush Data'!$A$1:$Z$1,0)),""))</f>
        <v/>
      </c>
      <c r="S4" s="22" t="str">
        <f aca="false">IF(N4="","",IFERROR(INDEX('Semrush Data'!$A$1:$Z$20000,MATCH(N4,'Semrush Data'!$A$1:$A$20000,0),MATCH("Volume",'Semrush Data'!$A$1:$Z$1,0)),""))</f>
        <v/>
      </c>
      <c r="T4" s="22" t="str">
        <f aca="false">IF(O4="","",IFERROR(INDEX('Semrush Data'!$A$1:$Z$20000,MATCH(O4,'Semrush Data'!$A$1:$A$20000,0),MATCH("Volume",'Semrush Data'!$A$1:$Z$1,0)),""))</f>
        <v/>
      </c>
      <c r="U4" s="22" t="str">
        <f aca="false">IF(P4="","",IFERROR(INDEX('Semrush Data'!$A$1:$Z$20000,MATCH(P4,'Semrush Data'!$A$1:$A$20000,0),MATCH("Volume",'Semrush Data'!$A$1:$Z$1,0)),""))</f>
        <v/>
      </c>
      <c r="V4" s="23" t="str">
        <f aca="false">IF(COUNT(Q4:U4)=0,L4,IF(MAX(Q4:U4)=0,L4,INDEX(L4:P4,MATCH(MAX(Q4:U4),Q4:U4,0))))</f>
        <v>vilvah classic goatmilk soap</v>
      </c>
      <c r="W4" s="22" t="n">
        <f aca="false">IFERROR(INDEX('Semrush Data'!$A$1:$Z$20000,MATCH(V4,'Semrush Data'!$A$1:$A$20000,0),MATCH("Volume",'Semrush Data'!$A$1:$Z$1,0)),"")</f>
        <v>0</v>
      </c>
      <c r="X4" s="22" t="n">
        <f aca="false">IFERROR(INDEX('Semrush Data'!$A$1:$Z$20000,MATCH(V4,'Semrush Data'!$A$1:$A$20000,0),MATCH("Keyword Difficulty*",'Semrush Data'!$A$1:$Z$1,0)),"")</f>
        <v>20</v>
      </c>
      <c r="Y4" s="24" t="n">
        <f aca="false">IFERROR(INDEX('Semrush Data'!$A$1:$Z$20000,MATCH(V4,'Semrush Data'!$A$1:$A$20000,0),MATCH("CPC*",'Semrush Data'!$A$1:$Z$1,0)),"")</f>
        <v>0</v>
      </c>
      <c r="Z4" s="21" t="s">
        <v>1398</v>
      </c>
      <c r="AA4" s="21"/>
      <c r="AB4" s="21" t="s">
        <v>339</v>
      </c>
      <c r="AC4" s="21" t="s">
        <v>1399</v>
      </c>
      <c r="AD4" s="25" t="n">
        <f aca="false">LEN(AC4)</f>
        <v>55</v>
      </c>
      <c r="AE4" s="21" t="s">
        <v>1400</v>
      </c>
      <c r="AF4" s="25" t="n">
        <f aca="false">LEN(AE4)</f>
        <v>155</v>
      </c>
    </row>
    <row r="5" customFormat="false" ht="15" hidden="false" customHeight="true" outlineLevel="0" collapsed="false">
      <c r="A5" s="21" t="s">
        <v>344</v>
      </c>
      <c r="B5" s="21" t="s">
        <v>1373</v>
      </c>
      <c r="C5" s="21" t="n">
        <v>4</v>
      </c>
      <c r="D5" s="21" t="s">
        <v>313</v>
      </c>
      <c r="E5" s="21"/>
      <c r="F5" s="21" t="s">
        <v>1392</v>
      </c>
      <c r="G5" s="21" t="s">
        <v>346</v>
      </c>
      <c r="H5" s="21" t="s">
        <v>347</v>
      </c>
      <c r="I5" s="21" t="s">
        <v>345</v>
      </c>
      <c r="J5" s="21" t="s">
        <v>1401</v>
      </c>
      <c r="K5" s="21" t="n">
        <v>9.99</v>
      </c>
      <c r="L5" s="21" t="s">
        <v>1402</v>
      </c>
      <c r="M5" s="21" t="s">
        <v>1403</v>
      </c>
      <c r="N5" s="21" t="s">
        <v>1404</v>
      </c>
      <c r="O5" s="21" t="s">
        <v>1405</v>
      </c>
      <c r="P5" s="21"/>
      <c r="Q5" s="22" t="n">
        <f aca="false">IF(L5="","",IFERROR(INDEX('Semrush Data'!$A$1:$Z$20000,MATCH(L5,'Semrush Data'!$A$1:$A$20000,0),MATCH("Volume",'Semrush Data'!$A$1:$Z$1,0)),""))</f>
        <v>0</v>
      </c>
      <c r="R5" s="22" t="str">
        <f aca="false">IF(M5="","",IFERROR(INDEX('Semrush Data'!$A$1:$Z$20000,MATCH(M5,'Semrush Data'!$A$1:$A$20000,0),MATCH("Volume",'Semrush Data'!$A$1:$Z$1,0)),""))</f>
        <v/>
      </c>
      <c r="S5" s="22" t="str">
        <f aca="false">IF(N5="","",IFERROR(INDEX('Semrush Data'!$A$1:$Z$20000,MATCH(N5,'Semrush Data'!$A$1:$A$20000,0),MATCH("Volume",'Semrush Data'!$A$1:$Z$1,0)),""))</f>
        <v/>
      </c>
      <c r="T5" s="22" t="str">
        <f aca="false">IF(O5="","",IFERROR(INDEX('Semrush Data'!$A$1:$Z$20000,MATCH(O5,'Semrush Data'!$A$1:$A$20000,0),MATCH("Volume",'Semrush Data'!$A$1:$Z$1,0)),""))</f>
        <v/>
      </c>
      <c r="U5" s="22" t="str">
        <f aca="false">IF(P5="","",IFERROR(INDEX('Semrush Data'!$A$1:$Z$20000,MATCH(P5,'Semrush Data'!$A$1:$A$20000,0),MATCH("Volume",'Semrush Data'!$A$1:$Z$1,0)),""))</f>
        <v/>
      </c>
      <c r="V5" s="23" t="str">
        <f aca="false">IF(COUNT(Q5:U5)=0,L5,IF(MAX(Q5:U5)=0,L5,INDEX(L5:P5,MATCH(MAX(Q5:U5),Q5:U5,0))))</f>
        <v>vilvah deo shot - rose and vanilla</v>
      </c>
      <c r="W5" s="22" t="n">
        <f aca="false">IFERROR(INDEX('Semrush Data'!$A$1:$Z$20000,MATCH(V5,'Semrush Data'!$A$1:$A$20000,0),MATCH("Volume",'Semrush Data'!$A$1:$Z$1,0)),"")</f>
        <v>0</v>
      </c>
      <c r="X5" s="22" t="n">
        <f aca="false">IFERROR(INDEX('Semrush Data'!$A$1:$Z$20000,MATCH(V5,'Semrush Data'!$A$1:$A$20000,0),MATCH("Keyword Difficulty*",'Semrush Data'!$A$1:$Z$1,0)),"")</f>
        <v>18</v>
      </c>
      <c r="Y5" s="24" t="n">
        <f aca="false">IFERROR(INDEX('Semrush Data'!$A$1:$Z$20000,MATCH(V5,'Semrush Data'!$A$1:$A$20000,0),MATCH("CPC*",'Semrush Data'!$A$1:$Z$1,0)),"")</f>
        <v>0</v>
      </c>
      <c r="Z5" s="21" t="s">
        <v>1406</v>
      </c>
      <c r="AA5" s="21"/>
      <c r="AB5" s="21" t="s">
        <v>349</v>
      </c>
      <c r="AC5" s="21" t="s">
        <v>1407</v>
      </c>
      <c r="AD5" s="25" t="n">
        <f aca="false">LEN(AC5)</f>
        <v>48</v>
      </c>
      <c r="AE5" s="21" t="s">
        <v>1408</v>
      </c>
      <c r="AF5" s="25" t="n">
        <f aca="false">LEN(AE5)</f>
        <v>160</v>
      </c>
    </row>
    <row r="6" customFormat="false" ht="15" hidden="false" customHeight="true" outlineLevel="0" collapsed="false">
      <c r="A6" s="21" t="s">
        <v>353</v>
      </c>
      <c r="B6" s="21" t="s">
        <v>1373</v>
      </c>
      <c r="C6" s="21" t="n">
        <v>5</v>
      </c>
      <c r="D6" s="21" t="s">
        <v>313</v>
      </c>
      <c r="E6" s="21"/>
      <c r="F6" s="21" t="s">
        <v>1374</v>
      </c>
      <c r="G6" s="21" t="s">
        <v>355</v>
      </c>
      <c r="H6" s="21" t="s">
        <v>356</v>
      </c>
      <c r="I6" s="21" t="s">
        <v>354</v>
      </c>
      <c r="J6" s="21" t="s">
        <v>1409</v>
      </c>
      <c r="K6" s="21" t="n">
        <v>17.99</v>
      </c>
      <c r="L6" s="21" t="s">
        <v>1410</v>
      </c>
      <c r="M6" s="21" t="s">
        <v>1411</v>
      </c>
      <c r="N6" s="21" t="s">
        <v>1412</v>
      </c>
      <c r="O6" s="21" t="s">
        <v>1413</v>
      </c>
      <c r="P6" s="21"/>
      <c r="Q6" s="22" t="n">
        <f aca="false">IF(L6="","",IFERROR(INDEX('Semrush Data'!$A$1:$Z$20000,MATCH(L6,'Semrush Data'!$A$1:$A$20000,0),MATCH("Volume",'Semrush Data'!$A$1:$Z$1,0)),""))</f>
        <v>0</v>
      </c>
      <c r="R6" s="22" t="str">
        <f aca="false">IF(M6="","",IFERROR(INDEX('Semrush Data'!$A$1:$Z$20000,MATCH(M6,'Semrush Data'!$A$1:$A$20000,0),MATCH("Volume",'Semrush Data'!$A$1:$Z$1,0)),""))</f>
        <v/>
      </c>
      <c r="S6" s="22" t="str">
        <f aca="false">IF(N6="","",IFERROR(INDEX('Semrush Data'!$A$1:$Z$20000,MATCH(N6,'Semrush Data'!$A$1:$A$20000,0),MATCH("Volume",'Semrush Data'!$A$1:$Z$1,0)),""))</f>
        <v/>
      </c>
      <c r="T6" s="22" t="str">
        <f aca="false">IF(O6="","",IFERROR(INDEX('Semrush Data'!$A$1:$Z$20000,MATCH(O6,'Semrush Data'!$A$1:$A$20000,0),MATCH("Volume",'Semrush Data'!$A$1:$Z$1,0)),""))</f>
        <v/>
      </c>
      <c r="U6" s="22" t="str">
        <f aca="false">IF(P6="","",IFERROR(INDEX('Semrush Data'!$A$1:$Z$20000,MATCH(P6,'Semrush Data'!$A$1:$A$20000,0),MATCH("Volume",'Semrush Data'!$A$1:$Z$1,0)),""))</f>
        <v/>
      </c>
      <c r="V6" s="23" t="str">
        <f aca="false">IF(COUNT(Q6:U6)=0,L6,IF(MAX(Q6:U6)=0,L6,INDEX(L6:P6,MATCH(MAX(Q6:U6),Q6:U6,0))))</f>
        <v>vilvah skin finish sunscreen spf 50</v>
      </c>
      <c r="W6" s="22" t="n">
        <f aca="false">IFERROR(INDEX('Semrush Data'!$A$1:$Z$20000,MATCH(V6,'Semrush Data'!$A$1:$A$20000,0),MATCH("Volume",'Semrush Data'!$A$1:$Z$1,0)),"")</f>
        <v>0</v>
      </c>
      <c r="X6" s="22" t="n">
        <f aca="false">IFERROR(INDEX('Semrush Data'!$A$1:$Z$20000,MATCH(V6,'Semrush Data'!$A$1:$A$20000,0),MATCH("Keyword Difficulty*",'Semrush Data'!$A$1:$Z$1,0)),"")</f>
        <v>25</v>
      </c>
      <c r="Y6" s="24" t="n">
        <f aca="false">IFERROR(INDEX('Semrush Data'!$A$1:$Z$20000,MATCH(V6,'Semrush Data'!$A$1:$A$20000,0),MATCH("CPC*",'Semrush Data'!$A$1:$Z$1,0)),"")</f>
        <v>0</v>
      </c>
      <c r="Z6" s="21" t="s">
        <v>1414</v>
      </c>
      <c r="AA6" s="21"/>
      <c r="AB6" s="21" t="s">
        <v>358</v>
      </c>
      <c r="AC6" s="21" t="s">
        <v>1415</v>
      </c>
      <c r="AD6" s="25" t="n">
        <f aca="false">LEN(AC6)</f>
        <v>49</v>
      </c>
      <c r="AE6" s="21" t="s">
        <v>1416</v>
      </c>
      <c r="AF6" s="25" t="n">
        <f aca="false">LEN(AE6)</f>
        <v>152</v>
      </c>
    </row>
    <row r="7" customFormat="false" ht="15" hidden="false" customHeight="true" outlineLevel="0" collapsed="false">
      <c r="A7" s="21" t="s">
        <v>363</v>
      </c>
      <c r="B7" s="21" t="s">
        <v>1373</v>
      </c>
      <c r="C7" s="21" t="n">
        <v>6</v>
      </c>
      <c r="D7" s="21" t="s">
        <v>313</v>
      </c>
      <c r="E7" s="21"/>
      <c r="F7" s="21" t="s">
        <v>1374</v>
      </c>
      <c r="G7" s="21" t="s">
        <v>365</v>
      </c>
      <c r="H7" s="21" t="s">
        <v>316</v>
      </c>
      <c r="I7" s="21" t="s">
        <v>364</v>
      </c>
      <c r="J7" s="21" t="s">
        <v>1417</v>
      </c>
      <c r="K7" s="21" t="n">
        <v>13.99</v>
      </c>
      <c r="L7" s="21" t="s">
        <v>1418</v>
      </c>
      <c r="M7" s="21" t="s">
        <v>1419</v>
      </c>
      <c r="N7" s="21" t="s">
        <v>1420</v>
      </c>
      <c r="O7" s="21" t="s">
        <v>1421</v>
      </c>
      <c r="P7" s="21"/>
      <c r="Q7" s="22" t="n">
        <f aca="false">IF(L7="","",IFERROR(INDEX('Semrush Data'!$A$1:$Z$20000,MATCH(L7,'Semrush Data'!$A$1:$A$20000,0),MATCH("Volume",'Semrush Data'!$A$1:$Z$1,0)),""))</f>
        <v>20</v>
      </c>
      <c r="R7" s="22" t="str">
        <f aca="false">IF(M7="","",IFERROR(INDEX('Semrush Data'!$A$1:$Z$20000,MATCH(M7,'Semrush Data'!$A$1:$A$20000,0),MATCH("Volume",'Semrush Data'!$A$1:$Z$1,0)),""))</f>
        <v/>
      </c>
      <c r="S7" s="22" t="str">
        <f aca="false">IF(N7="","",IFERROR(INDEX('Semrush Data'!$A$1:$Z$20000,MATCH(N7,'Semrush Data'!$A$1:$A$20000,0),MATCH("Volume",'Semrush Data'!$A$1:$Z$1,0)),""))</f>
        <v/>
      </c>
      <c r="T7" s="22" t="str">
        <f aca="false">IF(O7="","",IFERROR(INDEX('Semrush Data'!$A$1:$Z$20000,MATCH(O7,'Semrush Data'!$A$1:$A$20000,0),MATCH("Volume",'Semrush Data'!$A$1:$Z$1,0)),""))</f>
        <v/>
      </c>
      <c r="U7" s="22" t="str">
        <f aca="false">IF(P7="","",IFERROR(INDEX('Semrush Data'!$A$1:$Z$20000,MATCH(P7,'Semrush Data'!$A$1:$A$20000,0),MATCH("Volume",'Semrush Data'!$A$1:$Z$1,0)),""))</f>
        <v/>
      </c>
      <c r="V7" s="23" t="str">
        <f aca="false">IF(COUNT(Q7:U7)=0,L7,IF(MAX(Q7:U7)=0,L7,INDEX(L7:P7,MATCH(MAX(Q7:U7),Q7:U7,0))))</f>
        <v>vilvah milk powder face wash</v>
      </c>
      <c r="W7" s="22" t="n">
        <f aca="false">IFERROR(INDEX('Semrush Data'!$A$1:$Z$20000,MATCH(V7,'Semrush Data'!$A$1:$A$20000,0),MATCH("Volume",'Semrush Data'!$A$1:$Z$1,0)),"")</f>
        <v>20</v>
      </c>
      <c r="X7" s="22" t="n">
        <f aca="false">IFERROR(INDEX('Semrush Data'!$A$1:$Z$20000,MATCH(V7,'Semrush Data'!$A$1:$A$20000,0),MATCH("Keyword Difficulty*",'Semrush Data'!$A$1:$Z$1,0)),"")</f>
        <v>17</v>
      </c>
      <c r="Y7" s="24" t="n">
        <f aca="false">IFERROR(INDEX('Semrush Data'!$A$1:$Z$20000,MATCH(V7,'Semrush Data'!$A$1:$A$20000,0),MATCH("CPC*",'Semrush Data'!$A$1:$Z$1,0)),"")</f>
        <v>0.34</v>
      </c>
      <c r="Z7" s="21" t="s">
        <v>1422</v>
      </c>
      <c r="AA7" s="21" t="s">
        <v>371</v>
      </c>
      <c r="AB7" s="21" t="s">
        <v>367</v>
      </c>
      <c r="AC7" s="21" t="s">
        <v>1423</v>
      </c>
      <c r="AD7" s="25" t="n">
        <f aca="false">LEN(AC7)</f>
        <v>55</v>
      </c>
      <c r="AE7" s="21" t="s">
        <v>1424</v>
      </c>
      <c r="AF7" s="25" t="n">
        <f aca="false">LEN(AE7)</f>
        <v>160</v>
      </c>
    </row>
    <row r="8" customFormat="false" ht="15" hidden="false" customHeight="true" outlineLevel="0" collapsed="false">
      <c r="A8" s="21" t="s">
        <v>372</v>
      </c>
      <c r="B8" s="21" t="s">
        <v>1373</v>
      </c>
      <c r="C8" s="21" t="n">
        <v>7</v>
      </c>
      <c r="D8" s="21" t="s">
        <v>313</v>
      </c>
      <c r="E8" s="21"/>
      <c r="F8" s="21" t="s">
        <v>1374</v>
      </c>
      <c r="G8" s="21" t="s">
        <v>374</v>
      </c>
      <c r="H8" s="21" t="s">
        <v>375</v>
      </c>
      <c r="I8" s="21" t="s">
        <v>373</v>
      </c>
      <c r="J8" s="21" t="s">
        <v>1384</v>
      </c>
      <c r="K8" s="21" t="n">
        <v>25.99</v>
      </c>
      <c r="L8" s="21" t="s">
        <v>1425</v>
      </c>
      <c r="M8" s="21" t="s">
        <v>1426</v>
      </c>
      <c r="N8" s="21" t="s">
        <v>1427</v>
      </c>
      <c r="O8" s="21" t="s">
        <v>1428</v>
      </c>
      <c r="P8" s="21"/>
      <c r="Q8" s="22" t="n">
        <f aca="false">IF(L8="","",IFERROR(INDEX('Semrush Data'!$A$1:$Z$20000,MATCH(L8,'Semrush Data'!$A$1:$A$20000,0),MATCH("Volume",'Semrush Data'!$A$1:$Z$1,0)),""))</f>
        <v>0</v>
      </c>
      <c r="R8" s="22" t="str">
        <f aca="false">IF(M8="","",IFERROR(INDEX('Semrush Data'!$A$1:$Z$20000,MATCH(M8,'Semrush Data'!$A$1:$A$20000,0),MATCH("Volume",'Semrush Data'!$A$1:$Z$1,0)),""))</f>
        <v/>
      </c>
      <c r="S8" s="22" t="str">
        <f aca="false">IF(N8="","",IFERROR(INDEX('Semrush Data'!$A$1:$Z$20000,MATCH(N8,'Semrush Data'!$A$1:$A$20000,0),MATCH("Volume",'Semrush Data'!$A$1:$Z$1,0)),""))</f>
        <v/>
      </c>
      <c r="T8" s="22" t="str">
        <f aca="false">IF(O8="","",IFERROR(INDEX('Semrush Data'!$A$1:$Z$20000,MATCH(O8,'Semrush Data'!$A$1:$A$20000,0),MATCH("Volume",'Semrush Data'!$A$1:$Z$1,0)),""))</f>
        <v/>
      </c>
      <c r="U8" s="22" t="str">
        <f aca="false">IF(P8="","",IFERROR(INDEX('Semrush Data'!$A$1:$Z$20000,MATCH(P8,'Semrush Data'!$A$1:$A$20000,0),MATCH("Volume",'Semrush Data'!$A$1:$Z$1,0)),""))</f>
        <v/>
      </c>
      <c r="V8" s="23" t="str">
        <f aca="false">IF(COUNT(Q8:U8)=0,L8,IF(MAX(Q8:U8)=0,L8,INDEX(L8:P8,MATCH(MAX(Q8:U8),Q8:U8,0))))</f>
        <v>vilvah ultra moisturising cream</v>
      </c>
      <c r="W8" s="22" t="n">
        <f aca="false">IFERROR(INDEX('Semrush Data'!$A$1:$Z$20000,MATCH(V8,'Semrush Data'!$A$1:$A$20000,0),MATCH("Volume",'Semrush Data'!$A$1:$Z$1,0)),"")</f>
        <v>0</v>
      </c>
      <c r="X8" s="22" t="n">
        <f aca="false">IFERROR(INDEX('Semrush Data'!$A$1:$Z$20000,MATCH(V8,'Semrush Data'!$A$1:$A$20000,0),MATCH("Keyword Difficulty*",'Semrush Data'!$A$1:$Z$1,0)),"")</f>
        <v>20</v>
      </c>
      <c r="Y8" s="24" t="n">
        <f aca="false">IFERROR(INDEX('Semrush Data'!$A$1:$Z$20000,MATCH(V8,'Semrush Data'!$A$1:$A$20000,0),MATCH("CPC*",'Semrush Data'!$A$1:$Z$1,0)),"")</f>
        <v>0</v>
      </c>
      <c r="Z8" s="21" t="s">
        <v>1429</v>
      </c>
      <c r="AA8" s="21"/>
      <c r="AB8" s="21" t="s">
        <v>377</v>
      </c>
      <c r="AC8" s="21" t="s">
        <v>1430</v>
      </c>
      <c r="AD8" s="25" t="n">
        <f aca="false">LEN(AC8)</f>
        <v>58</v>
      </c>
      <c r="AE8" s="21" t="s">
        <v>1431</v>
      </c>
      <c r="AF8" s="25" t="n">
        <f aca="false">LEN(AE8)</f>
        <v>160</v>
      </c>
    </row>
    <row r="9" customFormat="false" ht="15" hidden="false" customHeight="true" outlineLevel="0" collapsed="false">
      <c r="A9" s="21" t="s">
        <v>381</v>
      </c>
      <c r="B9" s="21" t="s">
        <v>1373</v>
      </c>
      <c r="C9" s="21" t="n">
        <v>8</v>
      </c>
      <c r="D9" s="21" t="s">
        <v>313</v>
      </c>
      <c r="E9" s="21"/>
      <c r="F9" s="21" t="s">
        <v>1392</v>
      </c>
      <c r="G9" s="21" t="s">
        <v>336</v>
      </c>
      <c r="H9" s="21" t="s">
        <v>337</v>
      </c>
      <c r="I9" s="21" t="s">
        <v>382</v>
      </c>
      <c r="J9" s="21" t="s">
        <v>1393</v>
      </c>
      <c r="K9" s="21" t="n">
        <v>9.99</v>
      </c>
      <c r="L9" s="21" t="s">
        <v>1432</v>
      </c>
      <c r="M9" s="21" t="s">
        <v>1433</v>
      </c>
      <c r="N9" s="21" t="s">
        <v>1434</v>
      </c>
      <c r="O9" s="21" t="s">
        <v>1435</v>
      </c>
      <c r="P9" s="21"/>
      <c r="Q9" s="22" t="n">
        <f aca="false">IF(L9="","",IFERROR(INDEX('Semrush Data'!$A$1:$Z$20000,MATCH(L9,'Semrush Data'!$A$1:$A$20000,0),MATCH("Volume",'Semrush Data'!$A$1:$Z$1,0)),""))</f>
        <v>0</v>
      </c>
      <c r="R9" s="22" t="str">
        <f aca="false">IF(M9="","",IFERROR(INDEX('Semrush Data'!$A$1:$Z$20000,MATCH(M9,'Semrush Data'!$A$1:$A$20000,0),MATCH("Volume",'Semrush Data'!$A$1:$Z$1,0)),""))</f>
        <v/>
      </c>
      <c r="S9" s="22" t="str">
        <f aca="false">IF(N9="","",IFERROR(INDEX('Semrush Data'!$A$1:$Z$20000,MATCH(N9,'Semrush Data'!$A$1:$A$20000,0),MATCH("Volume",'Semrush Data'!$A$1:$Z$1,0)),""))</f>
        <v/>
      </c>
      <c r="T9" s="22" t="str">
        <f aca="false">IF(O9="","",IFERROR(INDEX('Semrush Data'!$A$1:$Z$20000,MATCH(O9,'Semrush Data'!$A$1:$A$20000,0),MATCH("Volume",'Semrush Data'!$A$1:$Z$1,0)),""))</f>
        <v/>
      </c>
      <c r="U9" s="22" t="str">
        <f aca="false">IF(P9="","",IFERROR(INDEX('Semrush Data'!$A$1:$Z$20000,MATCH(P9,'Semrush Data'!$A$1:$A$20000,0),MATCH("Volume",'Semrush Data'!$A$1:$Z$1,0)),""))</f>
        <v/>
      </c>
      <c r="V9" s="23" t="str">
        <f aca="false">IF(COUNT(Q9:U9)=0,L9,IF(MAX(Q9:U9)=0,L9,INDEX(L9:P9,MATCH(MAX(Q9:U9),Q9:U9,0))))</f>
        <v>vilvah classic rose goatmilk soap</v>
      </c>
      <c r="W9" s="22" t="n">
        <f aca="false">IFERROR(INDEX('Semrush Data'!$A$1:$Z$20000,MATCH(V9,'Semrush Data'!$A$1:$A$20000,0),MATCH("Volume",'Semrush Data'!$A$1:$Z$1,0)),"")</f>
        <v>0</v>
      </c>
      <c r="X9" s="22" t="n">
        <f aca="false">IFERROR(INDEX('Semrush Data'!$A$1:$Z$20000,MATCH(V9,'Semrush Data'!$A$1:$A$20000,0),MATCH("Keyword Difficulty*",'Semrush Data'!$A$1:$Z$1,0)),"")</f>
        <v>12</v>
      </c>
      <c r="Y9" s="24" t="n">
        <f aca="false">IFERROR(INDEX('Semrush Data'!$A$1:$Z$20000,MATCH(V9,'Semrush Data'!$A$1:$A$20000,0),MATCH("CPC*",'Semrush Data'!$A$1:$Z$1,0)),"")</f>
        <v>0</v>
      </c>
      <c r="Z9" s="21" t="s">
        <v>1398</v>
      </c>
      <c r="AA9" s="21"/>
      <c r="AB9" s="21" t="s">
        <v>383</v>
      </c>
      <c r="AC9" s="21" t="s">
        <v>1436</v>
      </c>
      <c r="AD9" s="25" t="n">
        <f aca="false">LEN(AC9)</f>
        <v>60</v>
      </c>
      <c r="AE9" s="21" t="s">
        <v>1437</v>
      </c>
      <c r="AF9" s="25" t="n">
        <f aca="false">LEN(AE9)</f>
        <v>160</v>
      </c>
    </row>
    <row r="10" customFormat="false" ht="15" hidden="false" customHeight="true" outlineLevel="0" collapsed="false">
      <c r="A10" s="21" t="s">
        <v>387</v>
      </c>
      <c r="B10" s="21" t="s">
        <v>1373</v>
      </c>
      <c r="C10" s="21" t="n">
        <v>9</v>
      </c>
      <c r="D10" s="21" t="s">
        <v>313</v>
      </c>
      <c r="E10" s="21"/>
      <c r="F10" s="21" t="s">
        <v>1392</v>
      </c>
      <c r="G10" s="21" t="s">
        <v>336</v>
      </c>
      <c r="H10" s="21" t="s">
        <v>337</v>
      </c>
      <c r="I10" s="21" t="s">
        <v>388</v>
      </c>
      <c r="J10" s="21" t="s">
        <v>1438</v>
      </c>
      <c r="K10" s="21" t="n">
        <v>15.99</v>
      </c>
      <c r="L10" s="21" t="s">
        <v>1439</v>
      </c>
      <c r="M10" s="21" t="s">
        <v>1440</v>
      </c>
      <c r="N10" s="21" t="s">
        <v>1441</v>
      </c>
      <c r="O10" s="21" t="s">
        <v>1442</v>
      </c>
      <c r="P10" s="21"/>
      <c r="Q10" s="22" t="n">
        <f aca="false">IF(L10="","",IFERROR(INDEX('Semrush Data'!$A$1:$Z$20000,MATCH(L10,'Semrush Data'!$A$1:$A$20000,0),MATCH("Volume",'Semrush Data'!$A$1:$Z$1,0)),""))</f>
        <v>0</v>
      </c>
      <c r="R10" s="22" t="str">
        <f aca="false">IF(M10="","",IFERROR(INDEX('Semrush Data'!$A$1:$Z$20000,MATCH(M10,'Semrush Data'!$A$1:$A$20000,0),MATCH("Volume",'Semrush Data'!$A$1:$Z$1,0)),""))</f>
        <v/>
      </c>
      <c r="S10" s="22" t="str">
        <f aca="false">IF(N10="","",IFERROR(INDEX('Semrush Data'!$A$1:$Z$20000,MATCH(N10,'Semrush Data'!$A$1:$A$20000,0),MATCH("Volume",'Semrush Data'!$A$1:$Z$1,0)),""))</f>
        <v/>
      </c>
      <c r="T10" s="22" t="str">
        <f aca="false">IF(O10="","",IFERROR(INDEX('Semrush Data'!$A$1:$Z$20000,MATCH(O10,'Semrush Data'!$A$1:$A$20000,0),MATCH("Volume",'Semrush Data'!$A$1:$Z$1,0)),""))</f>
        <v/>
      </c>
      <c r="U10" s="22" t="str">
        <f aca="false">IF(P10="","",IFERROR(INDEX('Semrush Data'!$A$1:$Z$20000,MATCH(P10,'Semrush Data'!$A$1:$A$20000,0),MATCH("Volume",'Semrush Data'!$A$1:$Z$1,0)),""))</f>
        <v/>
      </c>
      <c r="V10" s="23" t="str">
        <f aca="false">IF(COUNT(Q10:U10)=0,L10,IF(MAX(Q10:U10)=0,L10,INDEX(L10:P10,MATCH(MAX(Q10:U10),Q10:U10,0))))</f>
        <v>vilvah goat milk body wash</v>
      </c>
      <c r="W10" s="22" t="n">
        <f aca="false">IFERROR(INDEX('Semrush Data'!$A$1:$Z$20000,MATCH(V10,'Semrush Data'!$A$1:$A$20000,0),MATCH("Volume",'Semrush Data'!$A$1:$Z$1,0)),"")</f>
        <v>0</v>
      </c>
      <c r="X10" s="22" t="n">
        <f aca="false">IFERROR(INDEX('Semrush Data'!$A$1:$Z$20000,MATCH(V10,'Semrush Data'!$A$1:$A$20000,0),MATCH("Keyword Difficulty*",'Semrush Data'!$A$1:$Z$1,0)),"")</f>
        <v>11</v>
      </c>
      <c r="Y10" s="24" t="n">
        <f aca="false">IFERROR(INDEX('Semrush Data'!$A$1:$Z$20000,MATCH(V10,'Semrush Data'!$A$1:$A$20000,0),MATCH("CPC*",'Semrush Data'!$A$1:$Z$1,0)),"")</f>
        <v>0</v>
      </c>
      <c r="Z10" s="21" t="s">
        <v>1398</v>
      </c>
      <c r="AA10" s="21" t="s">
        <v>393</v>
      </c>
      <c r="AB10" s="21" t="s">
        <v>389</v>
      </c>
      <c r="AC10" s="21" t="s">
        <v>1443</v>
      </c>
      <c r="AD10" s="25" t="n">
        <f aca="false">LEN(AC10)</f>
        <v>53</v>
      </c>
      <c r="AE10" s="21" t="s">
        <v>1444</v>
      </c>
      <c r="AF10" s="25" t="n">
        <f aca="false">LEN(AE10)</f>
        <v>153</v>
      </c>
    </row>
    <row r="11" customFormat="false" ht="15" hidden="false" customHeight="true" outlineLevel="0" collapsed="false">
      <c r="A11" s="21" t="s">
        <v>394</v>
      </c>
      <c r="B11" s="21" t="s">
        <v>1373</v>
      </c>
      <c r="C11" s="21" t="n">
        <v>10</v>
      </c>
      <c r="D11" s="21" t="s">
        <v>313</v>
      </c>
      <c r="E11" s="21"/>
      <c r="F11" s="21" t="s">
        <v>1374</v>
      </c>
      <c r="G11" s="21" t="s">
        <v>396</v>
      </c>
      <c r="H11" s="21" t="s">
        <v>397</v>
      </c>
      <c r="I11" s="21" t="s">
        <v>395</v>
      </c>
      <c r="J11" s="21" t="s">
        <v>1445</v>
      </c>
      <c r="K11" s="21" t="n">
        <v>9.99</v>
      </c>
      <c r="L11" s="21" t="s">
        <v>1446</v>
      </c>
      <c r="M11" s="21" t="s">
        <v>1447</v>
      </c>
      <c r="N11" s="21" t="s">
        <v>1448</v>
      </c>
      <c r="O11" s="21" t="s">
        <v>1449</v>
      </c>
      <c r="P11" s="21"/>
      <c r="Q11" s="22" t="n">
        <f aca="false">IF(L11="","",IFERROR(INDEX('Semrush Data'!$A$1:$Z$20000,MATCH(L11,'Semrush Data'!$A$1:$A$20000,0),MATCH("Volume",'Semrush Data'!$A$1:$Z$1,0)),""))</f>
        <v>0</v>
      </c>
      <c r="R11" s="22" t="str">
        <f aca="false">IF(M11="","",IFERROR(INDEX('Semrush Data'!$A$1:$Z$20000,MATCH(M11,'Semrush Data'!$A$1:$A$20000,0),MATCH("Volume",'Semrush Data'!$A$1:$Z$1,0)),""))</f>
        <v/>
      </c>
      <c r="S11" s="22" t="str">
        <f aca="false">IF(N11="","",IFERROR(INDEX('Semrush Data'!$A$1:$Z$20000,MATCH(N11,'Semrush Data'!$A$1:$A$20000,0),MATCH("Volume",'Semrush Data'!$A$1:$Z$1,0)),""))</f>
        <v/>
      </c>
      <c r="T11" s="22" t="str">
        <f aca="false">IF(O11="","",IFERROR(INDEX('Semrush Data'!$A$1:$Z$20000,MATCH(O11,'Semrush Data'!$A$1:$A$20000,0),MATCH("Volume",'Semrush Data'!$A$1:$Z$1,0)),""))</f>
        <v/>
      </c>
      <c r="U11" s="22" t="str">
        <f aca="false">IF(P11="","",IFERROR(INDEX('Semrush Data'!$A$1:$Z$20000,MATCH(P11,'Semrush Data'!$A$1:$A$20000,0),MATCH("Volume",'Semrush Data'!$A$1:$Z$1,0)),""))</f>
        <v/>
      </c>
      <c r="V11" s="23" t="str">
        <f aca="false">IF(COUNT(Q11:U11)=0,L11,IF(MAX(Q11:U11)=0,L11,INDEX(L11:P11,MATCH(MAX(Q11:U11),Q11:U11,0))))</f>
        <v>vilvah rose milk lip balm</v>
      </c>
      <c r="W11" s="22" t="n">
        <f aca="false">IFERROR(INDEX('Semrush Data'!$A$1:$Z$20000,MATCH(V11,'Semrush Data'!$A$1:$A$20000,0),MATCH("Volume",'Semrush Data'!$A$1:$Z$1,0)),"")</f>
        <v>0</v>
      </c>
      <c r="X11" s="22" t="n">
        <f aca="false">IFERROR(INDEX('Semrush Data'!$A$1:$Z$20000,MATCH(V11,'Semrush Data'!$A$1:$A$20000,0),MATCH("Keyword Difficulty*",'Semrush Data'!$A$1:$Z$1,0)),"")</f>
        <v>22</v>
      </c>
      <c r="Y11" s="24" t="n">
        <f aca="false">IFERROR(INDEX('Semrush Data'!$A$1:$Z$20000,MATCH(V11,'Semrush Data'!$A$1:$A$20000,0),MATCH("CPC*",'Semrush Data'!$A$1:$Z$1,0)),"")</f>
        <v>0</v>
      </c>
      <c r="Z11" s="21" t="s">
        <v>1450</v>
      </c>
      <c r="AA11" s="21" t="s">
        <v>403</v>
      </c>
      <c r="AB11" s="21" t="s">
        <v>399</v>
      </c>
      <c r="AC11" s="21" t="s">
        <v>1451</v>
      </c>
      <c r="AD11" s="25" t="n">
        <f aca="false">LEN(AC11)</f>
        <v>52</v>
      </c>
      <c r="AE11" s="21" t="s">
        <v>1452</v>
      </c>
      <c r="AF11" s="25" t="n">
        <f aca="false">LEN(AE11)</f>
        <v>159</v>
      </c>
    </row>
    <row r="12" customFormat="false" ht="15" hidden="false" customHeight="true" outlineLevel="0" collapsed="false">
      <c r="A12" s="21" t="s">
        <v>404</v>
      </c>
      <c r="B12" s="21" t="s">
        <v>1373</v>
      </c>
      <c r="C12" s="21" t="n">
        <v>11</v>
      </c>
      <c r="D12" s="21" t="s">
        <v>313</v>
      </c>
      <c r="E12" s="21"/>
      <c r="F12" s="21" t="s">
        <v>1392</v>
      </c>
      <c r="G12" s="21" t="s">
        <v>336</v>
      </c>
      <c r="H12" s="21" t="s">
        <v>337</v>
      </c>
      <c r="I12" s="21" t="s">
        <v>405</v>
      </c>
      <c r="J12" s="21" t="s">
        <v>1393</v>
      </c>
      <c r="K12" s="21" t="n">
        <v>9.99</v>
      </c>
      <c r="L12" s="21" t="s">
        <v>1453</v>
      </c>
      <c r="M12" s="21" t="s">
        <v>1454</v>
      </c>
      <c r="N12" s="21" t="s">
        <v>1455</v>
      </c>
      <c r="O12" s="21" t="s">
        <v>1456</v>
      </c>
      <c r="P12" s="21"/>
      <c r="Q12" s="22" t="n">
        <f aca="false">IF(L12="","",IFERROR(INDEX('Semrush Data'!$A$1:$Z$20000,MATCH(L12,'Semrush Data'!$A$1:$A$20000,0),MATCH("Volume",'Semrush Data'!$A$1:$Z$1,0)),""))</f>
        <v>0</v>
      </c>
      <c r="R12" s="22" t="str">
        <f aca="false">IF(M12="","",IFERROR(INDEX('Semrush Data'!$A$1:$Z$20000,MATCH(M12,'Semrush Data'!$A$1:$A$20000,0),MATCH("Volume",'Semrush Data'!$A$1:$Z$1,0)),""))</f>
        <v/>
      </c>
      <c r="S12" s="22" t="str">
        <f aca="false">IF(N12="","",IFERROR(INDEX('Semrush Data'!$A$1:$Z$20000,MATCH(N12,'Semrush Data'!$A$1:$A$20000,0),MATCH("Volume",'Semrush Data'!$A$1:$Z$1,0)),""))</f>
        <v/>
      </c>
      <c r="T12" s="22" t="str">
        <f aca="false">IF(O12="","",IFERROR(INDEX('Semrush Data'!$A$1:$Z$20000,MATCH(O12,'Semrush Data'!$A$1:$A$20000,0),MATCH("Volume",'Semrush Data'!$A$1:$Z$1,0)),""))</f>
        <v/>
      </c>
      <c r="U12" s="22" t="str">
        <f aca="false">IF(P12="","",IFERROR(INDEX('Semrush Data'!$A$1:$Z$20000,MATCH(P12,'Semrush Data'!$A$1:$A$20000,0),MATCH("Volume",'Semrush Data'!$A$1:$Z$1,0)),""))</f>
        <v/>
      </c>
      <c r="V12" s="23" t="str">
        <f aca="false">IF(COUNT(Q12:U12)=0,L12,IF(MAX(Q12:U12)=0,L12,INDEX(L12:P12,MATCH(MAX(Q12:U12),Q12:U12,0))))</f>
        <v>vilvah charcoal goatmilk soap</v>
      </c>
      <c r="W12" s="22" t="n">
        <f aca="false">IFERROR(INDEX('Semrush Data'!$A$1:$Z$20000,MATCH(V12,'Semrush Data'!$A$1:$A$20000,0),MATCH("Volume",'Semrush Data'!$A$1:$Z$1,0)),"")</f>
        <v>0</v>
      </c>
      <c r="X12" s="22" t="n">
        <f aca="false">IFERROR(INDEX('Semrush Data'!$A$1:$Z$20000,MATCH(V12,'Semrush Data'!$A$1:$A$20000,0),MATCH("Keyword Difficulty*",'Semrush Data'!$A$1:$Z$1,0)),"")</f>
        <v>20</v>
      </c>
      <c r="Y12" s="24" t="n">
        <f aca="false">IFERROR(INDEX('Semrush Data'!$A$1:$Z$20000,MATCH(V12,'Semrush Data'!$A$1:$A$20000,0),MATCH("CPC*",'Semrush Data'!$A$1:$Z$1,0)),"")</f>
        <v>0</v>
      </c>
      <c r="Z12" s="21" t="s">
        <v>1398</v>
      </c>
      <c r="AA12" s="21"/>
      <c r="AB12" s="21" t="s">
        <v>406</v>
      </c>
      <c r="AC12" s="21" t="s">
        <v>1457</v>
      </c>
      <c r="AD12" s="25" t="n">
        <f aca="false">LEN(AC12)</f>
        <v>56</v>
      </c>
      <c r="AE12" s="21" t="s">
        <v>1458</v>
      </c>
      <c r="AF12" s="25" t="n">
        <f aca="false">LEN(AE12)</f>
        <v>156</v>
      </c>
    </row>
    <row r="13" customFormat="false" ht="15" hidden="false" customHeight="true" outlineLevel="0" collapsed="false">
      <c r="A13" s="21" t="s">
        <v>410</v>
      </c>
      <c r="B13" s="21" t="s">
        <v>1373</v>
      </c>
      <c r="C13" s="21" t="n">
        <v>12</v>
      </c>
      <c r="D13" s="21" t="s">
        <v>313</v>
      </c>
      <c r="E13" s="21"/>
      <c r="F13" s="21" t="s">
        <v>1383</v>
      </c>
      <c r="G13" s="21" t="s">
        <v>412</v>
      </c>
      <c r="H13" s="21" t="s">
        <v>413</v>
      </c>
      <c r="I13" s="21" t="s">
        <v>411</v>
      </c>
      <c r="J13" s="21" t="s">
        <v>1459</v>
      </c>
      <c r="K13" s="21" t="n">
        <v>15.99</v>
      </c>
      <c r="L13" s="21" t="s">
        <v>1460</v>
      </c>
      <c r="M13" s="21" t="s">
        <v>1461</v>
      </c>
      <c r="N13" s="21" t="s">
        <v>1462</v>
      </c>
      <c r="O13" s="21" t="s">
        <v>1463</v>
      </c>
      <c r="P13" s="21"/>
      <c r="Q13" s="22" t="n">
        <f aca="false">IF(L13="","",IFERROR(INDEX('Semrush Data'!$A$1:$Z$20000,MATCH(L13,'Semrush Data'!$A$1:$A$20000,0),MATCH("Volume",'Semrush Data'!$A$1:$Z$1,0)),""))</f>
        <v>10</v>
      </c>
      <c r="R13" s="22" t="str">
        <f aca="false">IF(M13="","",IFERROR(INDEX('Semrush Data'!$A$1:$Z$20000,MATCH(M13,'Semrush Data'!$A$1:$A$20000,0),MATCH("Volume",'Semrush Data'!$A$1:$Z$1,0)),""))</f>
        <v/>
      </c>
      <c r="S13" s="22" t="str">
        <f aca="false">IF(N13="","",IFERROR(INDEX('Semrush Data'!$A$1:$Z$20000,MATCH(N13,'Semrush Data'!$A$1:$A$20000,0),MATCH("Volume",'Semrush Data'!$A$1:$Z$1,0)),""))</f>
        <v/>
      </c>
      <c r="T13" s="22" t="str">
        <f aca="false">IF(O13="","",IFERROR(INDEX('Semrush Data'!$A$1:$Z$20000,MATCH(O13,'Semrush Data'!$A$1:$A$20000,0),MATCH("Volume",'Semrush Data'!$A$1:$Z$1,0)),""))</f>
        <v/>
      </c>
      <c r="U13" s="22" t="str">
        <f aca="false">IF(P13="","",IFERROR(INDEX('Semrush Data'!$A$1:$Z$20000,MATCH(P13,'Semrush Data'!$A$1:$A$20000,0),MATCH("Volume",'Semrush Data'!$A$1:$Z$1,0)),""))</f>
        <v/>
      </c>
      <c r="V13" s="23" t="str">
        <f aca="false">IF(COUNT(Q13:U13)=0,L13,IF(MAX(Q13:U13)=0,L13,INDEX(L13:P13,MATCH(MAX(Q13:U13),Q13:U13,0))))</f>
        <v>vilvah cream conditioner</v>
      </c>
      <c r="W13" s="22" t="n">
        <f aca="false">IFERROR(INDEX('Semrush Data'!$A$1:$Z$20000,MATCH(V13,'Semrush Data'!$A$1:$A$20000,0),MATCH("Volume",'Semrush Data'!$A$1:$Z$1,0)),"")</f>
        <v>10</v>
      </c>
      <c r="X13" s="22" t="n">
        <f aca="false">IFERROR(INDEX('Semrush Data'!$A$1:$Z$20000,MATCH(V13,'Semrush Data'!$A$1:$A$20000,0),MATCH("Keyword Difficulty*",'Semrush Data'!$A$1:$Z$1,0)),"")</f>
        <v>16</v>
      </c>
      <c r="Y13" s="24" t="n">
        <f aca="false">IFERROR(INDEX('Semrush Data'!$A$1:$Z$20000,MATCH(V13,'Semrush Data'!$A$1:$A$20000,0),MATCH("CPC*",'Semrush Data'!$A$1:$Z$1,0)),"")</f>
        <v>0</v>
      </c>
      <c r="Z13" s="21" t="s">
        <v>1464</v>
      </c>
      <c r="AA13" s="21" t="s">
        <v>419</v>
      </c>
      <c r="AB13" s="21" t="s">
        <v>415</v>
      </c>
      <c r="AC13" s="21" t="s">
        <v>1465</v>
      </c>
      <c r="AD13" s="25" t="n">
        <f aca="false">LEN(AC13)</f>
        <v>51</v>
      </c>
      <c r="AE13" s="21" t="s">
        <v>1466</v>
      </c>
      <c r="AF13" s="25" t="n">
        <f aca="false">LEN(AE13)</f>
        <v>158</v>
      </c>
    </row>
    <row r="14" customFormat="false" ht="15" hidden="false" customHeight="true" outlineLevel="0" collapsed="false">
      <c r="A14" s="21" t="s">
        <v>420</v>
      </c>
      <c r="B14" s="21" t="s">
        <v>1373</v>
      </c>
      <c r="C14" s="21" t="n">
        <v>13</v>
      </c>
      <c r="D14" s="21" t="s">
        <v>313</v>
      </c>
      <c r="E14" s="21"/>
      <c r="F14" s="21" t="s">
        <v>1383</v>
      </c>
      <c r="G14" s="21" t="s">
        <v>422</v>
      </c>
      <c r="H14" s="21" t="s">
        <v>375</v>
      </c>
      <c r="I14" s="21" t="s">
        <v>421</v>
      </c>
      <c r="J14" s="21" t="s">
        <v>1459</v>
      </c>
      <c r="K14" s="21" t="n">
        <v>15.99</v>
      </c>
      <c r="L14" s="21" t="s">
        <v>1467</v>
      </c>
      <c r="M14" s="21" t="s">
        <v>1468</v>
      </c>
      <c r="N14" s="21" t="s">
        <v>1469</v>
      </c>
      <c r="O14" s="21" t="s">
        <v>1470</v>
      </c>
      <c r="P14" s="21"/>
      <c r="Q14" s="22" t="n">
        <f aca="false">IF(L14="","",IFERROR(INDEX('Semrush Data'!$A$1:$Z$20000,MATCH(L14,'Semrush Data'!$A$1:$A$20000,0),MATCH("Volume",'Semrush Data'!$A$1:$Z$1,0)),""))</f>
        <v>20</v>
      </c>
      <c r="R14" s="22" t="str">
        <f aca="false">IF(M14="","",IFERROR(INDEX('Semrush Data'!$A$1:$Z$20000,MATCH(M14,'Semrush Data'!$A$1:$A$20000,0),MATCH("Volume",'Semrush Data'!$A$1:$Z$1,0)),""))</f>
        <v/>
      </c>
      <c r="S14" s="22" t="str">
        <f aca="false">IF(N14="","",IFERROR(INDEX('Semrush Data'!$A$1:$Z$20000,MATCH(N14,'Semrush Data'!$A$1:$A$20000,0),MATCH("Volume",'Semrush Data'!$A$1:$Z$1,0)),""))</f>
        <v/>
      </c>
      <c r="T14" s="22" t="str">
        <f aca="false">IF(O14="","",IFERROR(INDEX('Semrush Data'!$A$1:$Z$20000,MATCH(O14,'Semrush Data'!$A$1:$A$20000,0),MATCH("Volume",'Semrush Data'!$A$1:$Z$1,0)),""))</f>
        <v/>
      </c>
      <c r="U14" s="22" t="str">
        <f aca="false">IF(P14="","",IFERROR(INDEX('Semrush Data'!$A$1:$Z$20000,MATCH(P14,'Semrush Data'!$A$1:$A$20000,0),MATCH("Volume",'Semrush Data'!$A$1:$Z$1,0)),""))</f>
        <v/>
      </c>
      <c r="V14" s="23" t="str">
        <f aca="false">IF(COUNT(Q14:U14)=0,L14,IF(MAX(Q14:U14)=0,L14,INDEX(L14:P14,MATCH(MAX(Q14:U14),Q14:U14,0))))</f>
        <v>vilvah goat milk shampoo</v>
      </c>
      <c r="W14" s="22" t="n">
        <f aca="false">IFERROR(INDEX('Semrush Data'!$A$1:$Z$20000,MATCH(V14,'Semrush Data'!$A$1:$A$20000,0),MATCH("Volume",'Semrush Data'!$A$1:$Z$1,0)),"")</f>
        <v>20</v>
      </c>
      <c r="X14" s="22" t="n">
        <f aca="false">IFERROR(INDEX('Semrush Data'!$A$1:$Z$20000,MATCH(V14,'Semrush Data'!$A$1:$A$20000,0),MATCH("Keyword Difficulty*",'Semrush Data'!$A$1:$Z$1,0)),"")</f>
        <v>9</v>
      </c>
      <c r="Y14" s="24" t="n">
        <f aca="false">IFERROR(INDEX('Semrush Data'!$A$1:$Z$20000,MATCH(V14,'Semrush Data'!$A$1:$A$20000,0),MATCH("CPC*",'Semrush Data'!$A$1:$Z$1,0)),"")</f>
        <v>0.3</v>
      </c>
      <c r="Z14" s="21" t="s">
        <v>1471</v>
      </c>
      <c r="AA14" s="21" t="s">
        <v>428</v>
      </c>
      <c r="AB14" s="21" t="s">
        <v>424</v>
      </c>
      <c r="AC14" s="21" t="s">
        <v>1472</v>
      </c>
      <c r="AD14" s="25" t="n">
        <f aca="false">LEN(AC14)</f>
        <v>51</v>
      </c>
      <c r="AE14" s="21" t="s">
        <v>1473</v>
      </c>
      <c r="AF14" s="25" t="n">
        <f aca="false">LEN(AE14)</f>
        <v>157</v>
      </c>
    </row>
    <row r="15" customFormat="false" ht="15" hidden="false" customHeight="true" outlineLevel="0" collapsed="false">
      <c r="A15" s="21" t="s">
        <v>429</v>
      </c>
      <c r="B15" s="21" t="s">
        <v>1373</v>
      </c>
      <c r="C15" s="21" t="n">
        <v>14</v>
      </c>
      <c r="D15" s="21" t="s">
        <v>313</v>
      </c>
      <c r="E15" s="21"/>
      <c r="F15" s="21" t="s">
        <v>1374</v>
      </c>
      <c r="G15" s="21" t="s">
        <v>365</v>
      </c>
      <c r="H15" s="21" t="s">
        <v>316</v>
      </c>
      <c r="I15" s="21" t="s">
        <v>430</v>
      </c>
      <c r="J15" s="21" t="s">
        <v>1375</v>
      </c>
      <c r="K15" s="21" t="n">
        <v>12.99</v>
      </c>
      <c r="L15" s="21" t="s">
        <v>1474</v>
      </c>
      <c r="M15" s="21" t="s">
        <v>1475</v>
      </c>
      <c r="N15" s="21" t="s">
        <v>1476</v>
      </c>
      <c r="O15" s="21" t="s">
        <v>1477</v>
      </c>
      <c r="P15" s="21"/>
      <c r="Q15" s="22" t="n">
        <f aca="false">IF(L15="","",IFERROR(INDEX('Semrush Data'!$A$1:$Z$20000,MATCH(L15,'Semrush Data'!$A$1:$A$20000,0),MATCH("Volume",'Semrush Data'!$A$1:$Z$1,0)),""))</f>
        <v>0</v>
      </c>
      <c r="R15" s="22" t="str">
        <f aca="false">IF(M15="","",IFERROR(INDEX('Semrush Data'!$A$1:$Z$20000,MATCH(M15,'Semrush Data'!$A$1:$A$20000,0),MATCH("Volume",'Semrush Data'!$A$1:$Z$1,0)),""))</f>
        <v/>
      </c>
      <c r="S15" s="22" t="str">
        <f aca="false">IF(N15="","",IFERROR(INDEX('Semrush Data'!$A$1:$Z$20000,MATCH(N15,'Semrush Data'!$A$1:$A$20000,0),MATCH("Volume",'Semrush Data'!$A$1:$Z$1,0)),""))</f>
        <v/>
      </c>
      <c r="T15" s="22" t="str">
        <f aca="false">IF(O15="","",IFERROR(INDEX('Semrush Data'!$A$1:$Z$20000,MATCH(O15,'Semrush Data'!$A$1:$A$20000,0),MATCH("Volume",'Semrush Data'!$A$1:$Z$1,0)),""))</f>
        <v/>
      </c>
      <c r="U15" s="22" t="str">
        <f aca="false">IF(P15="","",IFERROR(INDEX('Semrush Data'!$A$1:$Z$20000,MATCH(P15,'Semrush Data'!$A$1:$A$20000,0),MATCH("Volume",'Semrush Data'!$A$1:$Z$1,0)),""))</f>
        <v/>
      </c>
      <c r="V15" s="23" t="str">
        <f aca="false">IF(COUNT(Q15:U15)=0,L15,IF(MAX(Q15:U15)=0,L15,INDEX(L15:P15,MATCH(MAX(Q15:U15),Q15:U15,0))))</f>
        <v>vilvah honey fix face wash</v>
      </c>
      <c r="W15" s="22" t="n">
        <f aca="false">IFERROR(INDEX('Semrush Data'!$A$1:$Z$20000,MATCH(V15,'Semrush Data'!$A$1:$A$20000,0),MATCH("Volume",'Semrush Data'!$A$1:$Z$1,0)),"")</f>
        <v>0</v>
      </c>
      <c r="X15" s="22" t="n">
        <f aca="false">IFERROR(INDEX('Semrush Data'!$A$1:$Z$20000,MATCH(V15,'Semrush Data'!$A$1:$A$20000,0),MATCH("Keyword Difficulty*",'Semrush Data'!$A$1:$Z$1,0)),"")</f>
        <v>23</v>
      </c>
      <c r="Y15" s="24" t="n">
        <f aca="false">IFERROR(INDEX('Semrush Data'!$A$1:$Z$20000,MATCH(V15,'Semrush Data'!$A$1:$A$20000,0),MATCH("CPC*",'Semrush Data'!$A$1:$Z$1,0)),"")</f>
        <v>0</v>
      </c>
      <c r="Z15" s="21" t="s">
        <v>1422</v>
      </c>
      <c r="AA15" s="21" t="s">
        <v>435</v>
      </c>
      <c r="AB15" s="21" t="s">
        <v>431</v>
      </c>
      <c r="AC15" s="21" t="s">
        <v>1478</v>
      </c>
      <c r="AD15" s="25" t="n">
        <f aca="false">LEN(AC15)</f>
        <v>53</v>
      </c>
      <c r="AE15" s="21" t="s">
        <v>1479</v>
      </c>
      <c r="AF15" s="25" t="n">
        <f aca="false">LEN(AE15)</f>
        <v>158</v>
      </c>
    </row>
    <row r="16" customFormat="false" ht="15" hidden="false" customHeight="true" outlineLevel="0" collapsed="false">
      <c r="A16" s="21" t="s">
        <v>436</v>
      </c>
      <c r="B16" s="21" t="s">
        <v>1373</v>
      </c>
      <c r="C16" s="21" t="n">
        <v>15</v>
      </c>
      <c r="D16" s="21" t="s">
        <v>313</v>
      </c>
      <c r="E16" s="21"/>
      <c r="F16" s="21" t="s">
        <v>1374</v>
      </c>
      <c r="G16" s="21" t="s">
        <v>396</v>
      </c>
      <c r="H16" s="21" t="s">
        <v>397</v>
      </c>
      <c r="I16" s="21" t="s">
        <v>437</v>
      </c>
      <c r="J16" s="21" t="s">
        <v>1445</v>
      </c>
      <c r="K16" s="21" t="n">
        <v>6.99</v>
      </c>
      <c r="L16" s="21" t="s">
        <v>1480</v>
      </c>
      <c r="M16" s="21" t="s">
        <v>1481</v>
      </c>
      <c r="N16" s="21" t="s">
        <v>1482</v>
      </c>
      <c r="O16" s="21" t="s">
        <v>1483</v>
      </c>
      <c r="P16" s="21"/>
      <c r="Q16" s="22" t="n">
        <f aca="false">IF(L16="","",IFERROR(INDEX('Semrush Data'!$A$1:$Z$20000,MATCH(L16,'Semrush Data'!$A$1:$A$20000,0),MATCH("Volume",'Semrush Data'!$A$1:$Z$1,0)),""))</f>
        <v>0</v>
      </c>
      <c r="R16" s="22" t="str">
        <f aca="false">IF(M16="","",IFERROR(INDEX('Semrush Data'!$A$1:$Z$20000,MATCH(M16,'Semrush Data'!$A$1:$A$20000,0),MATCH("Volume",'Semrush Data'!$A$1:$Z$1,0)),""))</f>
        <v/>
      </c>
      <c r="S16" s="22" t="str">
        <f aca="false">IF(N16="","",IFERROR(INDEX('Semrush Data'!$A$1:$Z$20000,MATCH(N16,'Semrush Data'!$A$1:$A$20000,0),MATCH("Volume",'Semrush Data'!$A$1:$Z$1,0)),""))</f>
        <v/>
      </c>
      <c r="T16" s="22" t="str">
        <f aca="false">IF(O16="","",IFERROR(INDEX('Semrush Data'!$A$1:$Z$20000,MATCH(O16,'Semrush Data'!$A$1:$A$20000,0),MATCH("Volume",'Semrush Data'!$A$1:$Z$1,0)),""))</f>
        <v/>
      </c>
      <c r="U16" s="22" t="str">
        <f aca="false">IF(P16="","",IFERROR(INDEX('Semrush Data'!$A$1:$Z$20000,MATCH(P16,'Semrush Data'!$A$1:$A$20000,0),MATCH("Volume",'Semrush Data'!$A$1:$Z$1,0)),""))</f>
        <v/>
      </c>
      <c r="V16" s="23" t="str">
        <f aca="false">IF(COUNT(Q16:U16)=0,L16,IF(MAX(Q16:U16)=0,L16,INDEX(L16:P16,MATCH(MAX(Q16:U16),Q16:U16,0))))</f>
        <v>vilvah lip balm - lemon</v>
      </c>
      <c r="W16" s="22" t="n">
        <f aca="false">IFERROR(INDEX('Semrush Data'!$A$1:$Z$20000,MATCH(V16,'Semrush Data'!$A$1:$A$20000,0),MATCH("Volume",'Semrush Data'!$A$1:$Z$1,0)),"")</f>
        <v>0</v>
      </c>
      <c r="X16" s="22" t="n">
        <f aca="false">IFERROR(INDEX('Semrush Data'!$A$1:$Z$20000,MATCH(V16,'Semrush Data'!$A$1:$A$20000,0),MATCH("Keyword Difficulty*",'Semrush Data'!$A$1:$Z$1,0)),"")</f>
        <v>28</v>
      </c>
      <c r="Y16" s="24" t="n">
        <f aca="false">IFERROR(INDEX('Semrush Data'!$A$1:$Z$20000,MATCH(V16,'Semrush Data'!$A$1:$A$20000,0),MATCH("CPC*",'Semrush Data'!$A$1:$Z$1,0)),"")</f>
        <v>0</v>
      </c>
      <c r="Z16" s="21" t="s">
        <v>1450</v>
      </c>
      <c r="AA16" s="21" t="s">
        <v>442</v>
      </c>
      <c r="AB16" s="21" t="s">
        <v>438</v>
      </c>
      <c r="AC16" s="21" t="s">
        <v>1484</v>
      </c>
      <c r="AD16" s="25" t="n">
        <f aca="false">LEN(AC16)</f>
        <v>50</v>
      </c>
      <c r="AE16" s="21" t="s">
        <v>1485</v>
      </c>
      <c r="AF16" s="25" t="n">
        <f aca="false">LEN(AE16)</f>
        <v>157</v>
      </c>
    </row>
    <row r="17" customFormat="false" ht="15" hidden="false" customHeight="true" outlineLevel="0" collapsed="false">
      <c r="A17" s="21" t="s">
        <v>443</v>
      </c>
      <c r="B17" s="21" t="s">
        <v>1373</v>
      </c>
      <c r="C17" s="21" t="n">
        <v>16</v>
      </c>
      <c r="D17" s="21" t="s">
        <v>313</v>
      </c>
      <c r="E17" s="21"/>
      <c r="F17" s="21" t="s">
        <v>1392</v>
      </c>
      <c r="G17" s="21" t="s">
        <v>445</v>
      </c>
      <c r="H17" s="21" t="s">
        <v>375</v>
      </c>
      <c r="I17" s="21" t="s">
        <v>444</v>
      </c>
      <c r="J17" s="21" t="s">
        <v>1459</v>
      </c>
      <c r="K17" s="21" t="n">
        <v>25.99</v>
      </c>
      <c r="L17" s="21" t="s">
        <v>1486</v>
      </c>
      <c r="M17" s="21" t="s">
        <v>1487</v>
      </c>
      <c r="N17" s="21" t="s">
        <v>1488</v>
      </c>
      <c r="O17" s="21" t="s">
        <v>1489</v>
      </c>
      <c r="P17" s="21"/>
      <c r="Q17" s="22" t="n">
        <f aca="false">IF(L17="","",IFERROR(INDEX('Semrush Data'!$A$1:$Z$20000,MATCH(L17,'Semrush Data'!$A$1:$A$20000,0),MATCH("Volume",'Semrush Data'!$A$1:$Z$1,0)),""))</f>
        <v>10</v>
      </c>
      <c r="R17" s="22" t="str">
        <f aca="false">IF(M17="","",IFERROR(INDEX('Semrush Data'!$A$1:$Z$20000,MATCH(M17,'Semrush Data'!$A$1:$A$20000,0),MATCH("Volume",'Semrush Data'!$A$1:$Z$1,0)),""))</f>
        <v/>
      </c>
      <c r="S17" s="22" t="str">
        <f aca="false">IF(N17="","",IFERROR(INDEX('Semrush Data'!$A$1:$Z$20000,MATCH(N17,'Semrush Data'!$A$1:$A$20000,0),MATCH("Volume",'Semrush Data'!$A$1:$Z$1,0)),""))</f>
        <v/>
      </c>
      <c r="T17" s="22" t="str">
        <f aca="false">IF(O17="","",IFERROR(INDEX('Semrush Data'!$A$1:$Z$20000,MATCH(O17,'Semrush Data'!$A$1:$A$20000,0),MATCH("Volume",'Semrush Data'!$A$1:$Z$1,0)),""))</f>
        <v/>
      </c>
      <c r="U17" s="22" t="str">
        <f aca="false">IF(P17="","",IFERROR(INDEX('Semrush Data'!$A$1:$Z$20000,MATCH(P17,'Semrush Data'!$A$1:$A$20000,0),MATCH("Volume",'Semrush Data'!$A$1:$Z$1,0)),""))</f>
        <v/>
      </c>
      <c r="V17" s="23" t="str">
        <f aca="false">IF(COUNT(Q17:U17)=0,L17,IF(MAX(Q17:U17)=0,L17,INDEX(L17:P17,MATCH(MAX(Q17:U17),Q17:U17,0))))</f>
        <v>vilvah milk body lotion</v>
      </c>
      <c r="W17" s="22" t="n">
        <f aca="false">IFERROR(INDEX('Semrush Data'!$A$1:$Z$20000,MATCH(V17,'Semrush Data'!$A$1:$A$20000,0),MATCH("Volume",'Semrush Data'!$A$1:$Z$1,0)),"")</f>
        <v>10</v>
      </c>
      <c r="X17" s="22" t="n">
        <f aca="false">IFERROR(INDEX('Semrush Data'!$A$1:$Z$20000,MATCH(V17,'Semrush Data'!$A$1:$A$20000,0),MATCH("Keyword Difficulty*",'Semrush Data'!$A$1:$Z$1,0)),"")</f>
        <v>7</v>
      </c>
      <c r="Y17" s="24" t="n">
        <f aca="false">IFERROR(INDEX('Semrush Data'!$A$1:$Z$20000,MATCH(V17,'Semrush Data'!$A$1:$A$20000,0),MATCH("CPC*",'Semrush Data'!$A$1:$Z$1,0)),"")</f>
        <v>0</v>
      </c>
      <c r="Z17" s="21" t="s">
        <v>1490</v>
      </c>
      <c r="AA17" s="21" t="s">
        <v>451</v>
      </c>
      <c r="AB17" s="21" t="s">
        <v>447</v>
      </c>
      <c r="AC17" s="21" t="s">
        <v>1491</v>
      </c>
      <c r="AD17" s="25" t="n">
        <f aca="false">LEN(AC17)</f>
        <v>50</v>
      </c>
      <c r="AE17" s="21" t="s">
        <v>1492</v>
      </c>
      <c r="AF17" s="25" t="n">
        <f aca="false">LEN(AE17)</f>
        <v>160</v>
      </c>
    </row>
    <row r="18" customFormat="false" ht="15" hidden="false" customHeight="true" outlineLevel="0" collapsed="false">
      <c r="A18" s="21" t="s">
        <v>452</v>
      </c>
      <c r="B18" s="21" t="s">
        <v>1373</v>
      </c>
      <c r="C18" s="21" t="n">
        <v>17</v>
      </c>
      <c r="D18" s="21" t="s">
        <v>313</v>
      </c>
      <c r="E18" s="21"/>
      <c r="F18" s="21" t="s">
        <v>1374</v>
      </c>
      <c r="G18" s="21" t="s">
        <v>315</v>
      </c>
      <c r="H18" s="21" t="s">
        <v>375</v>
      </c>
      <c r="I18" s="21" t="s">
        <v>453</v>
      </c>
      <c r="J18" s="21" t="s">
        <v>1375</v>
      </c>
      <c r="K18" s="21" t="n">
        <v>19.99</v>
      </c>
      <c r="L18" s="21" t="s">
        <v>1493</v>
      </c>
      <c r="M18" s="21" t="s">
        <v>1494</v>
      </c>
      <c r="N18" s="21" t="s">
        <v>1495</v>
      </c>
      <c r="O18" s="21" t="s">
        <v>1496</v>
      </c>
      <c r="P18" s="21"/>
      <c r="Q18" s="22" t="n">
        <f aca="false">IF(L18="","",IFERROR(INDEX('Semrush Data'!$A$1:$Z$20000,MATCH(L18,'Semrush Data'!$A$1:$A$20000,0),MATCH("Volume",'Semrush Data'!$A$1:$Z$1,0)),""))</f>
        <v>0</v>
      </c>
      <c r="R18" s="22" t="str">
        <f aca="false">IF(M18="","",IFERROR(INDEX('Semrush Data'!$A$1:$Z$20000,MATCH(M18,'Semrush Data'!$A$1:$A$20000,0),MATCH("Volume",'Semrush Data'!$A$1:$Z$1,0)),""))</f>
        <v/>
      </c>
      <c r="S18" s="22" t="str">
        <f aca="false">IF(N18="","",IFERROR(INDEX('Semrush Data'!$A$1:$Z$20000,MATCH(N18,'Semrush Data'!$A$1:$A$20000,0),MATCH("Volume",'Semrush Data'!$A$1:$Z$1,0)),""))</f>
        <v/>
      </c>
      <c r="T18" s="22" t="str">
        <f aca="false">IF(O18="","",IFERROR(INDEX('Semrush Data'!$A$1:$Z$20000,MATCH(O18,'Semrush Data'!$A$1:$A$20000,0),MATCH("Volume",'Semrush Data'!$A$1:$Z$1,0)),""))</f>
        <v/>
      </c>
      <c r="U18" s="22" t="str">
        <f aca="false">IF(P18="","",IFERROR(INDEX('Semrush Data'!$A$1:$Z$20000,MATCH(P18,'Semrush Data'!$A$1:$A$20000,0),MATCH("Volume",'Semrush Data'!$A$1:$Z$1,0)),""))</f>
        <v/>
      </c>
      <c r="V18" s="23" t="str">
        <f aca="false">IF(COUNT(Q18:U18)=0,L18,IF(MAX(Q18:U18)=0,L18,INDEX(L18:P18,MATCH(MAX(Q18:U18),Q18:U18,0))))</f>
        <v>vilvah milk face toner</v>
      </c>
      <c r="W18" s="22" t="n">
        <f aca="false">IFERROR(INDEX('Semrush Data'!$A$1:$Z$20000,MATCH(V18,'Semrush Data'!$A$1:$A$20000,0),MATCH("Volume",'Semrush Data'!$A$1:$Z$1,0)),"")</f>
        <v>0</v>
      </c>
      <c r="X18" s="22" t="n">
        <f aca="false">IFERROR(INDEX('Semrush Data'!$A$1:$Z$20000,MATCH(V18,'Semrush Data'!$A$1:$A$20000,0),MATCH("Keyword Difficulty*",'Semrush Data'!$A$1:$Z$1,0)),"")</f>
        <v>20</v>
      </c>
      <c r="Y18" s="24" t="n">
        <f aca="false">IFERROR(INDEX('Semrush Data'!$A$1:$Z$20000,MATCH(V18,'Semrush Data'!$A$1:$A$20000,0),MATCH("CPC*",'Semrush Data'!$A$1:$Z$1,0)),"")</f>
        <v>0</v>
      </c>
      <c r="Z18" s="21" t="s">
        <v>1497</v>
      </c>
      <c r="AA18" s="21" t="s">
        <v>458</v>
      </c>
      <c r="AB18" s="21" t="s">
        <v>454</v>
      </c>
      <c r="AC18" s="21" t="s">
        <v>1498</v>
      </c>
      <c r="AD18" s="25" t="n">
        <f aca="false">LEN(AC18)</f>
        <v>55</v>
      </c>
      <c r="AE18" s="21" t="s">
        <v>1499</v>
      </c>
      <c r="AF18" s="25" t="n">
        <f aca="false">LEN(AE18)</f>
        <v>160</v>
      </c>
    </row>
    <row r="19" customFormat="false" ht="15" hidden="false" customHeight="true" outlineLevel="0" collapsed="false">
      <c r="A19" s="21" t="s">
        <v>459</v>
      </c>
      <c r="B19" s="21" t="s">
        <v>1373</v>
      </c>
      <c r="C19" s="21" t="n">
        <v>18</v>
      </c>
      <c r="D19" s="21" t="s">
        <v>313</v>
      </c>
      <c r="E19" s="21"/>
      <c r="F19" s="21" t="s">
        <v>1374</v>
      </c>
      <c r="G19" s="21" t="s">
        <v>461</v>
      </c>
      <c r="H19" s="21" t="s">
        <v>316</v>
      </c>
      <c r="I19" s="21" t="s">
        <v>460</v>
      </c>
      <c r="J19" s="21" t="s">
        <v>1384</v>
      </c>
      <c r="K19" s="21" t="n">
        <v>19.99</v>
      </c>
      <c r="L19" s="21" t="s">
        <v>1500</v>
      </c>
      <c r="M19" s="21" t="s">
        <v>1501</v>
      </c>
      <c r="N19" s="21" t="s">
        <v>1502</v>
      </c>
      <c r="O19" s="21" t="s">
        <v>1503</v>
      </c>
      <c r="P19" s="21"/>
      <c r="Q19" s="22" t="n">
        <f aca="false">IF(L19="","",IFERROR(INDEX('Semrush Data'!$A$1:$Z$20000,MATCH(L19,'Semrush Data'!$A$1:$A$20000,0),MATCH("Volume",'Semrush Data'!$A$1:$Z$1,0)),""))</f>
        <v>20</v>
      </c>
      <c r="R19" s="22" t="str">
        <f aca="false">IF(M19="","",IFERROR(INDEX('Semrush Data'!$A$1:$Z$20000,MATCH(M19,'Semrush Data'!$A$1:$A$20000,0),MATCH("Volume",'Semrush Data'!$A$1:$Z$1,0)),""))</f>
        <v/>
      </c>
      <c r="S19" s="22" t="str">
        <f aca="false">IF(N19="","",IFERROR(INDEX('Semrush Data'!$A$1:$Z$20000,MATCH(N19,'Semrush Data'!$A$1:$A$20000,0),MATCH("Volume",'Semrush Data'!$A$1:$Z$1,0)),""))</f>
        <v/>
      </c>
      <c r="T19" s="22" t="str">
        <f aca="false">IF(O19="","",IFERROR(INDEX('Semrush Data'!$A$1:$Z$20000,MATCH(O19,'Semrush Data'!$A$1:$A$20000,0),MATCH("Volume",'Semrush Data'!$A$1:$Z$1,0)),""))</f>
        <v/>
      </c>
      <c r="U19" s="22" t="str">
        <f aca="false">IF(P19="","",IFERROR(INDEX('Semrush Data'!$A$1:$Z$20000,MATCH(P19,'Semrush Data'!$A$1:$A$20000,0),MATCH("Volume",'Semrush Data'!$A$1:$Z$1,0)),""))</f>
        <v/>
      </c>
      <c r="V19" s="23" t="str">
        <f aca="false">IF(COUNT(Q19:U19)=0,L19,IF(MAX(Q19:U19)=0,L19,INDEX(L19:P19,MATCH(MAX(Q19:U19),Q19:U19,0))))</f>
        <v>vilvah milk mud mask</v>
      </c>
      <c r="W19" s="22" t="n">
        <f aca="false">IFERROR(INDEX('Semrush Data'!$A$1:$Z$20000,MATCH(V19,'Semrush Data'!$A$1:$A$20000,0),MATCH("Volume",'Semrush Data'!$A$1:$Z$1,0)),"")</f>
        <v>20</v>
      </c>
      <c r="X19" s="22" t="n">
        <f aca="false">IFERROR(INDEX('Semrush Data'!$A$1:$Z$20000,MATCH(V19,'Semrush Data'!$A$1:$A$20000,0),MATCH("Keyword Difficulty*",'Semrush Data'!$A$1:$Z$1,0)),"")</f>
        <v>10</v>
      </c>
      <c r="Y19" s="24" t="n">
        <f aca="false">IFERROR(INDEX('Semrush Data'!$A$1:$Z$20000,MATCH(V19,'Semrush Data'!$A$1:$A$20000,0),MATCH("CPC*",'Semrush Data'!$A$1:$Z$1,0)),"")</f>
        <v>0</v>
      </c>
      <c r="Z19" s="21" t="s">
        <v>1504</v>
      </c>
      <c r="AA19" s="21" t="s">
        <v>467</v>
      </c>
      <c r="AB19" s="21" t="s">
        <v>463</v>
      </c>
      <c r="AC19" s="21" t="s">
        <v>1505</v>
      </c>
      <c r="AD19" s="25" t="n">
        <f aca="false">LEN(AC19)</f>
        <v>52</v>
      </c>
      <c r="AE19" s="21" t="s">
        <v>1506</v>
      </c>
      <c r="AF19" s="25" t="n">
        <f aca="false">LEN(AE19)</f>
        <v>158</v>
      </c>
    </row>
    <row r="20" customFormat="false" ht="15" hidden="false" customHeight="true" outlineLevel="0" collapsed="false">
      <c r="A20" s="21" t="s">
        <v>468</v>
      </c>
      <c r="B20" s="21" t="s">
        <v>1373</v>
      </c>
      <c r="C20" s="21" t="n">
        <v>19</v>
      </c>
      <c r="D20" s="21" t="s">
        <v>313</v>
      </c>
      <c r="E20" s="21"/>
      <c r="F20" s="21" t="s">
        <v>1374</v>
      </c>
      <c r="G20" s="21" t="s">
        <v>461</v>
      </c>
      <c r="H20" s="21" t="s">
        <v>316</v>
      </c>
      <c r="I20" s="21" t="s">
        <v>469</v>
      </c>
      <c r="J20" s="21" t="s">
        <v>1507</v>
      </c>
      <c r="K20" s="21" t="n">
        <v>11.99</v>
      </c>
      <c r="L20" s="21" t="s">
        <v>1508</v>
      </c>
      <c r="M20" s="21" t="s">
        <v>1509</v>
      </c>
      <c r="N20" s="21" t="s">
        <v>1510</v>
      </c>
      <c r="O20" s="21" t="s">
        <v>1511</v>
      </c>
      <c r="P20" s="21"/>
      <c r="Q20" s="22" t="n">
        <f aca="false">IF(L20="","",IFERROR(INDEX('Semrush Data'!$A$1:$Z$20000,MATCH(L20,'Semrush Data'!$A$1:$A$20000,0),MATCH("Volume",'Semrush Data'!$A$1:$Z$1,0)),""))</f>
        <v>0</v>
      </c>
      <c r="R20" s="22" t="str">
        <f aca="false">IF(M20="","",IFERROR(INDEX('Semrush Data'!$A$1:$Z$20000,MATCH(M20,'Semrush Data'!$A$1:$A$20000,0),MATCH("Volume",'Semrush Data'!$A$1:$Z$1,0)),""))</f>
        <v/>
      </c>
      <c r="S20" s="22" t="str">
        <f aca="false">IF(N20="","",IFERROR(INDEX('Semrush Data'!$A$1:$Z$20000,MATCH(N20,'Semrush Data'!$A$1:$A$20000,0),MATCH("Volume",'Semrush Data'!$A$1:$Z$1,0)),""))</f>
        <v/>
      </c>
      <c r="T20" s="22" t="str">
        <f aca="false">IF(O20="","",IFERROR(INDEX('Semrush Data'!$A$1:$Z$20000,MATCH(O20,'Semrush Data'!$A$1:$A$20000,0),MATCH("Volume",'Semrush Data'!$A$1:$Z$1,0)),""))</f>
        <v/>
      </c>
      <c r="U20" s="22" t="str">
        <f aca="false">IF(P20="","",IFERROR(INDEX('Semrush Data'!$A$1:$Z$20000,MATCH(P20,'Semrush Data'!$A$1:$A$20000,0),MATCH("Volume",'Semrush Data'!$A$1:$Z$1,0)),""))</f>
        <v/>
      </c>
      <c r="V20" s="23" t="str">
        <f aca="false">IF(COUNT(Q20:U20)=0,L20,IF(MAX(Q20:U20)=0,L20,INDEX(L20:P20,MATCH(MAX(Q20:U20),Q20:U20,0))))</f>
        <v>vilvah wild rose facemask</v>
      </c>
      <c r="W20" s="22" t="n">
        <f aca="false">IFERROR(INDEX('Semrush Data'!$A$1:$Z$20000,MATCH(V20,'Semrush Data'!$A$1:$A$20000,0),MATCH("Volume",'Semrush Data'!$A$1:$Z$1,0)),"")</f>
        <v>0</v>
      </c>
      <c r="X20" s="22" t="n">
        <f aca="false">IFERROR(INDEX('Semrush Data'!$A$1:$Z$20000,MATCH(V20,'Semrush Data'!$A$1:$A$20000,0),MATCH("Keyword Difficulty*",'Semrush Data'!$A$1:$Z$1,0)),"")</f>
        <v>20</v>
      </c>
      <c r="Y20" s="24" t="n">
        <f aca="false">IFERROR(INDEX('Semrush Data'!$A$1:$Z$20000,MATCH(V20,'Semrush Data'!$A$1:$A$20000,0),MATCH("CPC*",'Semrush Data'!$A$1:$Z$1,0)),"")</f>
        <v>0</v>
      </c>
      <c r="Z20" s="21" t="s">
        <v>1504</v>
      </c>
      <c r="AA20" s="21"/>
      <c r="AB20" s="21" t="s">
        <v>470</v>
      </c>
      <c r="AC20" s="21" t="s">
        <v>1512</v>
      </c>
      <c r="AD20" s="25" t="n">
        <f aca="false">LEN(AC20)</f>
        <v>52</v>
      </c>
      <c r="AE20" s="21" t="s">
        <v>1513</v>
      </c>
      <c r="AF20" s="25" t="n">
        <f aca="false">LEN(AE20)</f>
        <v>160</v>
      </c>
    </row>
    <row r="21" customFormat="false" ht="15" hidden="false" customHeight="true" outlineLevel="0" collapsed="false">
      <c r="A21" s="21" t="s">
        <v>474</v>
      </c>
      <c r="B21" s="21" t="s">
        <v>1373</v>
      </c>
      <c r="C21" s="21" t="n">
        <v>20</v>
      </c>
      <c r="D21" s="21" t="s">
        <v>313</v>
      </c>
      <c r="E21" s="21"/>
      <c r="F21" s="21" t="s">
        <v>1374</v>
      </c>
      <c r="G21" s="21" t="s">
        <v>374</v>
      </c>
      <c r="H21" s="21" t="s">
        <v>316</v>
      </c>
      <c r="I21" s="21" t="s">
        <v>475</v>
      </c>
      <c r="J21" s="21" t="s">
        <v>1375</v>
      </c>
      <c r="K21" s="21" t="n">
        <v>9.99</v>
      </c>
      <c r="L21" s="21" t="s">
        <v>1514</v>
      </c>
      <c r="M21" s="21" t="s">
        <v>1515</v>
      </c>
      <c r="N21" s="21" t="s">
        <v>1516</v>
      </c>
      <c r="O21" s="21" t="s">
        <v>1517</v>
      </c>
      <c r="P21" s="21"/>
      <c r="Q21" s="22" t="n">
        <f aca="false">IF(L21="","",IFERROR(INDEX('Semrush Data'!$A$1:$Z$20000,MATCH(L21,'Semrush Data'!$A$1:$A$20000,0),MATCH("Volume",'Semrush Data'!$A$1:$Z$1,0)),""))</f>
        <v>20</v>
      </c>
      <c r="R21" s="22" t="str">
        <f aca="false">IF(M21="","",IFERROR(INDEX('Semrush Data'!$A$1:$Z$20000,MATCH(M21,'Semrush Data'!$A$1:$A$20000,0),MATCH("Volume",'Semrush Data'!$A$1:$Z$1,0)),""))</f>
        <v/>
      </c>
      <c r="S21" s="22" t="str">
        <f aca="false">IF(N21="","",IFERROR(INDEX('Semrush Data'!$A$1:$Z$20000,MATCH(N21,'Semrush Data'!$A$1:$A$20000,0),MATCH("Volume",'Semrush Data'!$A$1:$Z$1,0)),""))</f>
        <v/>
      </c>
      <c r="T21" s="22" t="str">
        <f aca="false">IF(O21="","",IFERROR(INDEX('Semrush Data'!$A$1:$Z$20000,MATCH(O21,'Semrush Data'!$A$1:$A$20000,0),MATCH("Volume",'Semrush Data'!$A$1:$Z$1,0)),""))</f>
        <v/>
      </c>
      <c r="U21" s="22" t="str">
        <f aca="false">IF(P21="","",IFERROR(INDEX('Semrush Data'!$A$1:$Z$20000,MATCH(P21,'Semrush Data'!$A$1:$A$20000,0),MATCH("Volume",'Semrush Data'!$A$1:$Z$1,0)),""))</f>
        <v/>
      </c>
      <c r="V21" s="23" t="str">
        <f aca="false">IF(COUNT(Q21:U21)=0,L21,IF(MAX(Q21:U21)=0,L21,INDEX(L21:P21,MATCH(MAX(Q21:U21),Q21:U21,0))))</f>
        <v>vilvah aloe vera gel</v>
      </c>
      <c r="W21" s="22" t="n">
        <f aca="false">IFERROR(INDEX('Semrush Data'!$A$1:$Z$20000,MATCH(V21,'Semrush Data'!$A$1:$A$20000,0),MATCH("Volume",'Semrush Data'!$A$1:$Z$1,0)),"")</f>
        <v>20</v>
      </c>
      <c r="X21" s="22" t="n">
        <f aca="false">IFERROR(INDEX('Semrush Data'!$A$1:$Z$20000,MATCH(V21,'Semrush Data'!$A$1:$A$20000,0),MATCH("Keyword Difficulty*",'Semrush Data'!$A$1:$Z$1,0)),"")</f>
        <v>22</v>
      </c>
      <c r="Y21" s="24" t="n">
        <f aca="false">IFERROR(INDEX('Semrush Data'!$A$1:$Z$20000,MATCH(V21,'Semrush Data'!$A$1:$A$20000,0),MATCH("CPC*",'Semrush Data'!$A$1:$Z$1,0)),"")</f>
        <v>0</v>
      </c>
      <c r="Z21" s="21" t="s">
        <v>1518</v>
      </c>
      <c r="AA21" s="21" t="s">
        <v>480</v>
      </c>
      <c r="AB21" s="21" t="s">
        <v>476</v>
      </c>
      <c r="AC21" s="21" t="s">
        <v>1519</v>
      </c>
      <c r="AD21" s="25" t="n">
        <f aca="false">LEN(AC21)</f>
        <v>53</v>
      </c>
      <c r="AE21" s="21" t="s">
        <v>1520</v>
      </c>
      <c r="AF21" s="25" t="n">
        <f aca="false">LEN(AE21)</f>
        <v>160</v>
      </c>
    </row>
    <row r="22" customFormat="false" ht="15" hidden="false" customHeight="true" outlineLevel="0" collapsed="false">
      <c r="A22" s="21" t="s">
        <v>481</v>
      </c>
      <c r="B22" s="21" t="s">
        <v>1373</v>
      </c>
      <c r="C22" s="21" t="n">
        <v>21</v>
      </c>
      <c r="D22" s="21" t="s">
        <v>313</v>
      </c>
      <c r="E22" s="21"/>
      <c r="F22" s="21" t="s">
        <v>1383</v>
      </c>
      <c r="G22" s="21" t="s">
        <v>325</v>
      </c>
      <c r="H22" s="21" t="s">
        <v>483</v>
      </c>
      <c r="I22" s="21" t="s">
        <v>482</v>
      </c>
      <c r="J22" s="21" t="s">
        <v>1375</v>
      </c>
      <c r="K22" s="21" t="n">
        <v>19.99</v>
      </c>
      <c r="L22" s="21" t="s">
        <v>1521</v>
      </c>
      <c r="M22" s="21" t="s">
        <v>1522</v>
      </c>
      <c r="N22" s="21" t="s">
        <v>1523</v>
      </c>
      <c r="O22" s="21" t="s">
        <v>1524</v>
      </c>
      <c r="P22" s="21"/>
      <c r="Q22" s="22" t="n">
        <f aca="false">IF(L22="","",IFERROR(INDEX('Semrush Data'!$A$1:$Z$20000,MATCH(L22,'Semrush Data'!$A$1:$A$20000,0),MATCH("Volume",'Semrush Data'!$A$1:$Z$1,0)),""))</f>
        <v>0</v>
      </c>
      <c r="R22" s="22" t="str">
        <f aca="false">IF(M22="","",IFERROR(INDEX('Semrush Data'!$A$1:$Z$20000,MATCH(M22,'Semrush Data'!$A$1:$A$20000,0),MATCH("Volume",'Semrush Data'!$A$1:$Z$1,0)),""))</f>
        <v/>
      </c>
      <c r="S22" s="22" t="str">
        <f aca="false">IF(N22="","",IFERROR(INDEX('Semrush Data'!$A$1:$Z$20000,MATCH(N22,'Semrush Data'!$A$1:$A$20000,0),MATCH("Volume",'Semrush Data'!$A$1:$Z$1,0)),""))</f>
        <v/>
      </c>
      <c r="T22" s="22" t="str">
        <f aca="false">IF(O22="","",IFERROR(INDEX('Semrush Data'!$A$1:$Z$20000,MATCH(O22,'Semrush Data'!$A$1:$A$20000,0),MATCH("Volume",'Semrush Data'!$A$1:$Z$1,0)),""))</f>
        <v/>
      </c>
      <c r="U22" s="22" t="str">
        <f aca="false">IF(P22="","",IFERROR(INDEX('Semrush Data'!$A$1:$Z$20000,MATCH(P22,'Semrush Data'!$A$1:$A$20000,0),MATCH("Volume",'Semrush Data'!$A$1:$Z$1,0)),""))</f>
        <v/>
      </c>
      <c r="V22" s="23" t="str">
        <f aca="false">IF(COUNT(Q22:U22)=0,L22,IF(MAX(Q22:U22)=0,L22,INDEX(L22:P22,MATCH(MAX(Q22:U22),Q22:U22,0))))</f>
        <v>vilvah anti-dandruff hair oil</v>
      </c>
      <c r="W22" s="22" t="n">
        <f aca="false">IFERROR(INDEX('Semrush Data'!$A$1:$Z$20000,MATCH(V22,'Semrush Data'!$A$1:$A$20000,0),MATCH("Volume",'Semrush Data'!$A$1:$Z$1,0)),"")</f>
        <v>0</v>
      </c>
      <c r="X22" s="22" t="n">
        <f aca="false">IFERROR(INDEX('Semrush Data'!$A$1:$Z$20000,MATCH(V22,'Semrush Data'!$A$1:$A$20000,0),MATCH("Keyword Difficulty*",'Semrush Data'!$A$1:$Z$1,0)),"")</f>
        <v>24</v>
      </c>
      <c r="Y22" s="24" t="n">
        <f aca="false">IFERROR(INDEX('Semrush Data'!$A$1:$Z$20000,MATCH(V22,'Semrush Data'!$A$1:$A$20000,0),MATCH("CPC*",'Semrush Data'!$A$1:$Z$1,0)),"")</f>
        <v>0</v>
      </c>
      <c r="Z22" s="21" t="s">
        <v>1525</v>
      </c>
      <c r="AA22" s="21" t="s">
        <v>488</v>
      </c>
      <c r="AB22" s="21" t="s">
        <v>484</v>
      </c>
      <c r="AC22" s="21" t="s">
        <v>1526</v>
      </c>
      <c r="AD22" s="25" t="n">
        <f aca="false">LEN(AC22)</f>
        <v>56</v>
      </c>
      <c r="AE22" s="21" t="s">
        <v>1527</v>
      </c>
      <c r="AF22" s="25" t="n">
        <f aca="false">LEN(AE22)</f>
        <v>155</v>
      </c>
    </row>
    <row r="23" customFormat="false" ht="15" hidden="false" customHeight="true" outlineLevel="0" collapsed="false">
      <c r="A23" s="21" t="s">
        <v>489</v>
      </c>
      <c r="B23" s="21" t="s">
        <v>1373</v>
      </c>
      <c r="C23" s="21" t="n">
        <v>22</v>
      </c>
      <c r="D23" s="21" t="s">
        <v>313</v>
      </c>
      <c r="E23" s="21"/>
      <c r="F23" s="21" t="s">
        <v>1383</v>
      </c>
      <c r="G23" s="21" t="s">
        <v>491</v>
      </c>
      <c r="H23" s="21" t="s">
        <v>492</v>
      </c>
      <c r="I23" s="21" t="s">
        <v>490</v>
      </c>
      <c r="J23" s="21" t="s">
        <v>1528</v>
      </c>
      <c r="K23" s="21" t="n">
        <v>29.99</v>
      </c>
      <c r="L23" s="21" t="s">
        <v>1529</v>
      </c>
      <c r="M23" s="21" t="s">
        <v>1530</v>
      </c>
      <c r="N23" s="21" t="s">
        <v>1531</v>
      </c>
      <c r="O23" s="21" t="s">
        <v>1532</v>
      </c>
      <c r="P23" s="21"/>
      <c r="Q23" s="22" t="n">
        <f aca="false">IF(L23="","",IFERROR(INDEX('Semrush Data'!$A$1:$Z$20000,MATCH(L23,'Semrush Data'!$A$1:$A$20000,0),MATCH("Volume",'Semrush Data'!$A$1:$Z$1,0)),""))</f>
        <v>0</v>
      </c>
      <c r="R23" s="22" t="str">
        <f aca="false">IF(M23="","",IFERROR(INDEX('Semrush Data'!$A$1:$Z$20000,MATCH(M23,'Semrush Data'!$A$1:$A$20000,0),MATCH("Volume",'Semrush Data'!$A$1:$Z$1,0)),""))</f>
        <v/>
      </c>
      <c r="S23" s="22" t="str">
        <f aca="false">IF(N23="","",IFERROR(INDEX('Semrush Data'!$A$1:$Z$20000,MATCH(N23,'Semrush Data'!$A$1:$A$20000,0),MATCH("Volume",'Semrush Data'!$A$1:$Z$1,0)),""))</f>
        <v/>
      </c>
      <c r="T23" s="22" t="str">
        <f aca="false">IF(O23="","",IFERROR(INDEX('Semrush Data'!$A$1:$Z$20000,MATCH(O23,'Semrush Data'!$A$1:$A$20000,0),MATCH("Volume",'Semrush Data'!$A$1:$Z$1,0)),""))</f>
        <v/>
      </c>
      <c r="U23" s="22" t="str">
        <f aca="false">IF(P23="","",IFERROR(INDEX('Semrush Data'!$A$1:$Z$20000,MATCH(P23,'Semrush Data'!$A$1:$A$20000,0),MATCH("Volume",'Semrush Data'!$A$1:$Z$1,0)),""))</f>
        <v/>
      </c>
      <c r="V23" s="23" t="str">
        <f aca="false">IF(COUNT(Q23:U23)=0,L23,IF(MAX(Q23:U23)=0,L23,INDEX(L23:P23,MATCH(MAX(Q23:U23),Q23:U23,0))))</f>
        <v>vilvah anti-frizz hair serum</v>
      </c>
      <c r="W23" s="22" t="n">
        <f aca="false">IFERROR(INDEX('Semrush Data'!$A$1:$Z$20000,MATCH(V23,'Semrush Data'!$A$1:$A$20000,0),MATCH("Volume",'Semrush Data'!$A$1:$Z$1,0)),"")</f>
        <v>0</v>
      </c>
      <c r="X23" s="22" t="n">
        <f aca="false">IFERROR(INDEX('Semrush Data'!$A$1:$Z$20000,MATCH(V23,'Semrush Data'!$A$1:$A$20000,0),MATCH("Keyword Difficulty*",'Semrush Data'!$A$1:$Z$1,0)),"")</f>
        <v>11</v>
      </c>
      <c r="Y23" s="24" t="n">
        <f aca="false">IFERROR(INDEX('Semrush Data'!$A$1:$Z$20000,MATCH(V23,'Semrush Data'!$A$1:$A$20000,0),MATCH("CPC*",'Semrush Data'!$A$1:$Z$1,0)),"")</f>
        <v>0</v>
      </c>
      <c r="Z23" s="21" t="s">
        <v>1533</v>
      </c>
      <c r="AA23" s="21" t="s">
        <v>498</v>
      </c>
      <c r="AB23" s="21" t="s">
        <v>494</v>
      </c>
      <c r="AC23" s="21" t="s">
        <v>1534</v>
      </c>
      <c r="AD23" s="25" t="n">
        <f aca="false">LEN(AC23)</f>
        <v>55</v>
      </c>
      <c r="AE23" s="21" t="s">
        <v>1535</v>
      </c>
      <c r="AF23" s="25" t="n">
        <f aca="false">LEN(AE23)</f>
        <v>158</v>
      </c>
    </row>
    <row r="24" customFormat="false" ht="15" hidden="false" customHeight="true" outlineLevel="0" collapsed="false">
      <c r="A24" s="21" t="s">
        <v>499</v>
      </c>
      <c r="B24" s="21" t="s">
        <v>1373</v>
      </c>
      <c r="C24" s="21" t="n">
        <v>23</v>
      </c>
      <c r="D24" s="21" t="s">
        <v>313</v>
      </c>
      <c r="E24" s="21"/>
      <c r="F24" s="21" t="s">
        <v>1374</v>
      </c>
      <c r="G24" s="21" t="s">
        <v>501</v>
      </c>
      <c r="H24" s="21" t="s">
        <v>502</v>
      </c>
      <c r="I24" s="21" t="s">
        <v>500</v>
      </c>
      <c r="J24" s="21" t="s">
        <v>1536</v>
      </c>
      <c r="K24" s="21" t="n">
        <v>28.99</v>
      </c>
      <c r="L24" s="21" t="s">
        <v>1537</v>
      </c>
      <c r="M24" s="21" t="s">
        <v>1538</v>
      </c>
      <c r="N24" s="21" t="s">
        <v>1539</v>
      </c>
      <c r="O24" s="21" t="s">
        <v>1540</v>
      </c>
      <c r="P24" s="21"/>
      <c r="Q24" s="22" t="n">
        <f aca="false">IF(L24="","",IFERROR(INDEX('Semrush Data'!$A$1:$Z$20000,MATCH(L24,'Semrush Data'!$A$1:$A$20000,0),MATCH("Volume",'Semrush Data'!$A$1:$Z$1,0)),""))</f>
        <v>20</v>
      </c>
      <c r="R24" s="22" t="str">
        <f aca="false">IF(M24="","",IFERROR(INDEX('Semrush Data'!$A$1:$Z$20000,MATCH(M24,'Semrush Data'!$A$1:$A$20000,0),MATCH("Volume",'Semrush Data'!$A$1:$Z$1,0)),""))</f>
        <v/>
      </c>
      <c r="S24" s="22" t="str">
        <f aca="false">IF(N24="","",IFERROR(INDEX('Semrush Data'!$A$1:$Z$20000,MATCH(N24,'Semrush Data'!$A$1:$A$20000,0),MATCH("Volume",'Semrush Data'!$A$1:$Z$1,0)),""))</f>
        <v/>
      </c>
      <c r="T24" s="22" t="str">
        <f aca="false">IF(O24="","",IFERROR(INDEX('Semrush Data'!$A$1:$Z$20000,MATCH(O24,'Semrush Data'!$A$1:$A$20000,0),MATCH("Volume",'Semrush Data'!$A$1:$Z$1,0)),""))</f>
        <v/>
      </c>
      <c r="U24" s="22" t="str">
        <f aca="false">IF(P24="","",IFERROR(INDEX('Semrush Data'!$A$1:$Z$20000,MATCH(P24,'Semrush Data'!$A$1:$A$20000,0),MATCH("Volume",'Semrush Data'!$A$1:$Z$1,0)),""))</f>
        <v/>
      </c>
      <c r="V24" s="23" t="str">
        <f aca="false">IF(COUNT(Q24:U24)=0,L24,IF(MAX(Q24:U24)=0,L24,INDEX(L24:P24,MATCH(MAX(Q24:U24),Q24:U24,0))))</f>
        <v>vilvah better ageing serum</v>
      </c>
      <c r="W24" s="22" t="n">
        <f aca="false">IFERROR(INDEX('Semrush Data'!$A$1:$Z$20000,MATCH(V24,'Semrush Data'!$A$1:$A$20000,0),MATCH("Volume",'Semrush Data'!$A$1:$Z$1,0)),"")</f>
        <v>20</v>
      </c>
      <c r="X24" s="22" t="n">
        <f aca="false">IFERROR(INDEX('Semrush Data'!$A$1:$Z$20000,MATCH(V24,'Semrush Data'!$A$1:$A$20000,0),MATCH("Keyword Difficulty*",'Semrush Data'!$A$1:$Z$1,0)),"")</f>
        <v>14</v>
      </c>
      <c r="Y24" s="24" t="n">
        <f aca="false">IFERROR(INDEX('Semrush Data'!$A$1:$Z$20000,MATCH(V24,'Semrush Data'!$A$1:$A$20000,0),MATCH("CPC*",'Semrush Data'!$A$1:$Z$1,0)),"")</f>
        <v>0</v>
      </c>
      <c r="Z24" s="21" t="s">
        <v>1541</v>
      </c>
      <c r="AA24" s="21" t="s">
        <v>508</v>
      </c>
      <c r="AB24" s="21" t="s">
        <v>504</v>
      </c>
      <c r="AC24" s="21" t="s">
        <v>1542</v>
      </c>
      <c r="AD24" s="25" t="n">
        <f aca="false">LEN(AC24)</f>
        <v>53</v>
      </c>
      <c r="AE24" s="21" t="s">
        <v>1543</v>
      </c>
      <c r="AF24" s="25" t="n">
        <f aca="false">LEN(AE24)</f>
        <v>157</v>
      </c>
    </row>
    <row r="25" customFormat="false" ht="15" hidden="false" customHeight="true" outlineLevel="0" collapsed="false">
      <c r="A25" s="21" t="s">
        <v>509</v>
      </c>
      <c r="B25" s="21" t="s">
        <v>1373</v>
      </c>
      <c r="C25" s="21" t="n">
        <v>24</v>
      </c>
      <c r="D25" s="21" t="s">
        <v>313</v>
      </c>
      <c r="E25" s="21"/>
      <c r="F25" s="21" t="s">
        <v>1374</v>
      </c>
      <c r="G25" s="21" t="s">
        <v>461</v>
      </c>
      <c r="H25" s="21" t="s">
        <v>511</v>
      </c>
      <c r="I25" s="21" t="s">
        <v>510</v>
      </c>
      <c r="J25" s="21" t="s">
        <v>1375</v>
      </c>
      <c r="K25" s="21" t="n">
        <v>12.99</v>
      </c>
      <c r="L25" s="21" t="s">
        <v>1544</v>
      </c>
      <c r="M25" s="21" t="s">
        <v>1545</v>
      </c>
      <c r="N25" s="21" t="s">
        <v>1546</v>
      </c>
      <c r="O25" s="21" t="s">
        <v>1547</v>
      </c>
      <c r="P25" s="21"/>
      <c r="Q25" s="22" t="n">
        <f aca="false">IF(L25="","",IFERROR(INDEX('Semrush Data'!$A$1:$Z$20000,MATCH(L25,'Semrush Data'!$A$1:$A$20000,0),MATCH("Volume",'Semrush Data'!$A$1:$Z$1,0)),""))</f>
        <v>0</v>
      </c>
      <c r="R25" s="22" t="str">
        <f aca="false">IF(M25="","",IFERROR(INDEX('Semrush Data'!$A$1:$Z$20000,MATCH(M25,'Semrush Data'!$A$1:$A$20000,0),MATCH("Volume",'Semrush Data'!$A$1:$Z$1,0)),""))</f>
        <v/>
      </c>
      <c r="S25" s="22" t="str">
        <f aca="false">IF(N25="","",IFERROR(INDEX('Semrush Data'!$A$1:$Z$20000,MATCH(N25,'Semrush Data'!$A$1:$A$20000,0),MATCH("Volume",'Semrush Data'!$A$1:$Z$1,0)),""))</f>
        <v/>
      </c>
      <c r="T25" s="22" t="str">
        <f aca="false">IF(O25="","",IFERROR(INDEX('Semrush Data'!$A$1:$Z$20000,MATCH(O25,'Semrush Data'!$A$1:$A$20000,0),MATCH("Volume",'Semrush Data'!$A$1:$Z$1,0)),""))</f>
        <v/>
      </c>
      <c r="U25" s="22" t="str">
        <f aca="false">IF(P25="","",IFERROR(INDEX('Semrush Data'!$A$1:$Z$20000,MATCH(P25,'Semrush Data'!$A$1:$A$20000,0),MATCH("Volume",'Semrush Data'!$A$1:$Z$1,0)),""))</f>
        <v/>
      </c>
      <c r="V25" s="23" t="str">
        <f aca="false">IF(COUNT(Q25:U25)=0,L25,IF(MAX(Q25:U25)=0,L25,INDEX(L25:P25,MATCH(MAX(Q25:U25),Q25:U25,0))))</f>
        <v>vilvah charcoal facemask</v>
      </c>
      <c r="W25" s="22" t="n">
        <f aca="false">IFERROR(INDEX('Semrush Data'!$A$1:$Z$20000,MATCH(V25,'Semrush Data'!$A$1:$A$20000,0),MATCH("Volume",'Semrush Data'!$A$1:$Z$1,0)),"")</f>
        <v>0</v>
      </c>
      <c r="X25" s="22" t="n">
        <f aca="false">IFERROR(INDEX('Semrush Data'!$A$1:$Z$20000,MATCH(V25,'Semrush Data'!$A$1:$A$20000,0),MATCH("Keyword Difficulty*",'Semrush Data'!$A$1:$Z$1,0)),"")</f>
        <v>31</v>
      </c>
      <c r="Y25" s="24" t="n">
        <f aca="false">IFERROR(INDEX('Semrush Data'!$A$1:$Z$20000,MATCH(V25,'Semrush Data'!$A$1:$A$20000,0),MATCH("CPC*",'Semrush Data'!$A$1:$Z$1,0)),"")</f>
        <v>0</v>
      </c>
      <c r="Z25" s="21" t="s">
        <v>1548</v>
      </c>
      <c r="AA25" s="21"/>
      <c r="AB25" s="21" t="s">
        <v>513</v>
      </c>
      <c r="AC25" s="21" t="s">
        <v>1549</v>
      </c>
      <c r="AD25" s="25" t="n">
        <f aca="false">LEN(AC25)</f>
        <v>51</v>
      </c>
      <c r="AE25" s="21" t="s">
        <v>1550</v>
      </c>
      <c r="AF25" s="25" t="n">
        <f aca="false">LEN(AE25)</f>
        <v>159</v>
      </c>
    </row>
    <row r="26" customFormat="false" ht="15" hidden="false" customHeight="true" outlineLevel="0" collapsed="false">
      <c r="A26" s="21" t="s">
        <v>517</v>
      </c>
      <c r="B26" s="21" t="s">
        <v>1373</v>
      </c>
      <c r="C26" s="21" t="n">
        <v>25</v>
      </c>
      <c r="D26" s="21" t="s">
        <v>313</v>
      </c>
      <c r="E26" s="21"/>
      <c r="F26" s="21" t="s">
        <v>1392</v>
      </c>
      <c r="G26" s="21" t="s">
        <v>445</v>
      </c>
      <c r="H26" s="21" t="s">
        <v>375</v>
      </c>
      <c r="I26" s="21" t="s">
        <v>518</v>
      </c>
      <c r="J26" s="21" t="s">
        <v>1438</v>
      </c>
      <c r="K26" s="21" t="n">
        <v>22.99</v>
      </c>
      <c r="L26" s="21" t="s">
        <v>1551</v>
      </c>
      <c r="M26" s="21" t="s">
        <v>1552</v>
      </c>
      <c r="N26" s="21" t="s">
        <v>1553</v>
      </c>
      <c r="O26" s="21" t="s">
        <v>1554</v>
      </c>
      <c r="P26" s="21"/>
      <c r="Q26" s="22" t="n">
        <f aca="false">IF(L26="","",IFERROR(INDEX('Semrush Data'!$A$1:$Z$20000,MATCH(L26,'Semrush Data'!$A$1:$A$20000,0),MATCH("Volume",'Semrush Data'!$A$1:$Z$1,0)),""))</f>
        <v>0</v>
      </c>
      <c r="R26" s="22" t="str">
        <f aca="false">IF(M26="","",IFERROR(INDEX('Semrush Data'!$A$1:$Z$20000,MATCH(M26,'Semrush Data'!$A$1:$A$20000,0),MATCH("Volume",'Semrush Data'!$A$1:$Z$1,0)),""))</f>
        <v/>
      </c>
      <c r="S26" s="22" t="str">
        <f aca="false">IF(N26="","",IFERROR(INDEX('Semrush Data'!$A$1:$Z$20000,MATCH(N26,'Semrush Data'!$A$1:$A$20000,0),MATCH("Volume",'Semrush Data'!$A$1:$Z$1,0)),""))</f>
        <v/>
      </c>
      <c r="T26" s="22" t="str">
        <f aca="false">IF(O26="","",IFERROR(INDEX('Semrush Data'!$A$1:$Z$20000,MATCH(O26,'Semrush Data'!$A$1:$A$20000,0),MATCH("Volume",'Semrush Data'!$A$1:$Z$1,0)),""))</f>
        <v/>
      </c>
      <c r="U26" s="22" t="str">
        <f aca="false">IF(P26="","",IFERROR(INDEX('Semrush Data'!$A$1:$Z$20000,MATCH(P26,'Semrush Data'!$A$1:$A$20000,0),MATCH("Volume",'Semrush Data'!$A$1:$Z$1,0)),""))</f>
        <v/>
      </c>
      <c r="V26" s="23" t="str">
        <f aca="false">IF(COUNT(Q26:U26)=0,L26,IF(MAX(Q26:U26)=0,L26,INDEX(L26:P26,MATCH(MAX(Q26:U26),Q26:U26,0))))</f>
        <v>vilvah cookie n cream body mask</v>
      </c>
      <c r="W26" s="22" t="n">
        <f aca="false">IFERROR(INDEX('Semrush Data'!$A$1:$Z$20000,MATCH(V26,'Semrush Data'!$A$1:$A$20000,0),MATCH("Volume",'Semrush Data'!$A$1:$Z$1,0)),"")</f>
        <v>0</v>
      </c>
      <c r="X26" s="22" t="n">
        <f aca="false">IFERROR(INDEX('Semrush Data'!$A$1:$Z$20000,MATCH(V26,'Semrush Data'!$A$1:$A$20000,0),MATCH("Keyword Difficulty*",'Semrush Data'!$A$1:$Z$1,0)),"")</f>
        <v>18</v>
      </c>
      <c r="Y26" s="24" t="n">
        <f aca="false">IFERROR(INDEX('Semrush Data'!$A$1:$Z$20000,MATCH(V26,'Semrush Data'!$A$1:$A$20000,0),MATCH("CPC*",'Semrush Data'!$A$1:$Z$1,0)),"")</f>
        <v>0</v>
      </c>
      <c r="Z26" s="21" t="s">
        <v>1490</v>
      </c>
      <c r="AA26" s="21"/>
      <c r="AB26" s="21" t="s">
        <v>519</v>
      </c>
      <c r="AC26" s="21" t="s">
        <v>1555</v>
      </c>
      <c r="AD26" s="25" t="n">
        <f aca="false">LEN(AC26)</f>
        <v>58</v>
      </c>
      <c r="AE26" s="21" t="s">
        <v>1556</v>
      </c>
      <c r="AF26" s="25" t="n">
        <f aca="false">LEN(AE26)</f>
        <v>160</v>
      </c>
    </row>
    <row r="27" customFormat="false" ht="15" hidden="false" customHeight="true" outlineLevel="0" collapsed="false">
      <c r="A27" s="21" t="s">
        <v>523</v>
      </c>
      <c r="B27" s="21" t="s">
        <v>1373</v>
      </c>
      <c r="C27" s="21" t="n">
        <v>26</v>
      </c>
      <c r="D27" s="21" t="s">
        <v>313</v>
      </c>
      <c r="E27" s="21"/>
      <c r="F27" s="21" t="s">
        <v>1392</v>
      </c>
      <c r="G27" s="21" t="s">
        <v>525</v>
      </c>
      <c r="H27" s="21" t="s">
        <v>526</v>
      </c>
      <c r="I27" s="21" t="s">
        <v>524</v>
      </c>
      <c r="J27" s="21" t="s">
        <v>1438</v>
      </c>
      <c r="K27" s="21" t="n">
        <v>22.99</v>
      </c>
      <c r="L27" s="21" t="s">
        <v>1557</v>
      </c>
      <c r="M27" s="21" t="s">
        <v>1558</v>
      </c>
      <c r="N27" s="21" t="s">
        <v>1559</v>
      </c>
      <c r="O27" s="21" t="s">
        <v>1560</v>
      </c>
      <c r="P27" s="21"/>
      <c r="Q27" s="22" t="n">
        <f aca="false">IF(L27="","",IFERROR(INDEX('Semrush Data'!$A$1:$Z$20000,MATCH(L27,'Semrush Data'!$A$1:$A$20000,0),MATCH("Volume",'Semrush Data'!$A$1:$Z$1,0)),""))</f>
        <v>0</v>
      </c>
      <c r="R27" s="22" t="str">
        <f aca="false">IF(M27="","",IFERROR(INDEX('Semrush Data'!$A$1:$Z$20000,MATCH(M27,'Semrush Data'!$A$1:$A$20000,0),MATCH("Volume",'Semrush Data'!$A$1:$Z$1,0)),""))</f>
        <v/>
      </c>
      <c r="S27" s="22" t="str">
        <f aca="false">IF(N27="","",IFERROR(INDEX('Semrush Data'!$A$1:$Z$20000,MATCH(N27,'Semrush Data'!$A$1:$A$20000,0),MATCH("Volume",'Semrush Data'!$A$1:$Z$1,0)),""))</f>
        <v/>
      </c>
      <c r="T27" s="22" t="str">
        <f aca="false">IF(O27="","",IFERROR(INDEX('Semrush Data'!$A$1:$Z$20000,MATCH(O27,'Semrush Data'!$A$1:$A$20000,0),MATCH("Volume",'Semrush Data'!$A$1:$Z$1,0)),""))</f>
        <v/>
      </c>
      <c r="U27" s="22" t="str">
        <f aca="false">IF(P27="","",IFERROR(INDEX('Semrush Data'!$A$1:$Z$20000,MATCH(P27,'Semrush Data'!$A$1:$A$20000,0),MATCH("Volume",'Semrush Data'!$A$1:$Z$1,0)),""))</f>
        <v/>
      </c>
      <c r="V27" s="23" t="str">
        <f aca="false">IF(COUNT(Q27:U27)=0,L27,IF(MAX(Q27:U27)=0,L27,INDEX(L27:P27,MATCH(MAX(Q27:U27),Q27:U27,0))))</f>
        <v>vilvah cookie n cream body polish</v>
      </c>
      <c r="W27" s="22" t="n">
        <f aca="false">IFERROR(INDEX('Semrush Data'!$A$1:$Z$20000,MATCH(V27,'Semrush Data'!$A$1:$A$20000,0),MATCH("Volume",'Semrush Data'!$A$1:$Z$1,0)),"")</f>
        <v>0</v>
      </c>
      <c r="X27" s="22" t="n">
        <f aca="false">IFERROR(INDEX('Semrush Data'!$A$1:$Z$20000,MATCH(V27,'Semrush Data'!$A$1:$A$20000,0),MATCH("Keyword Difficulty*",'Semrush Data'!$A$1:$Z$1,0)),"")</f>
        <v>11</v>
      </c>
      <c r="Y27" s="24" t="n">
        <f aca="false">IFERROR(INDEX('Semrush Data'!$A$1:$Z$20000,MATCH(V27,'Semrush Data'!$A$1:$A$20000,0),MATCH("CPC*",'Semrush Data'!$A$1:$Z$1,0)),"")</f>
        <v>0</v>
      </c>
      <c r="Z27" s="21" t="s">
        <v>1561</v>
      </c>
      <c r="AA27" s="21"/>
      <c r="AB27" s="21" t="s">
        <v>528</v>
      </c>
      <c r="AC27" s="21" t="s">
        <v>1562</v>
      </c>
      <c r="AD27" s="25" t="n">
        <f aca="false">LEN(AC27)</f>
        <v>60</v>
      </c>
      <c r="AE27" s="21" t="s">
        <v>1563</v>
      </c>
      <c r="AF27" s="25" t="n">
        <f aca="false">LEN(AE27)</f>
        <v>159</v>
      </c>
    </row>
    <row r="28" customFormat="false" ht="15" hidden="false" customHeight="true" outlineLevel="0" collapsed="false">
      <c r="A28" s="21" t="s">
        <v>532</v>
      </c>
      <c r="B28" s="21" t="s">
        <v>1373</v>
      </c>
      <c r="C28" s="21" t="n">
        <v>27</v>
      </c>
      <c r="D28" s="21" t="s">
        <v>313</v>
      </c>
      <c r="E28" s="21"/>
      <c r="F28" s="21" t="s">
        <v>1374</v>
      </c>
      <c r="G28" s="21" t="s">
        <v>365</v>
      </c>
      <c r="H28" s="21" t="s">
        <v>316</v>
      </c>
      <c r="I28" s="21" t="s">
        <v>533</v>
      </c>
      <c r="J28" s="21" t="s">
        <v>1375</v>
      </c>
      <c r="K28" s="21" t="n">
        <v>9.99</v>
      </c>
      <c r="L28" s="21" t="s">
        <v>1564</v>
      </c>
      <c r="M28" s="21" t="s">
        <v>1565</v>
      </c>
      <c r="N28" s="21" t="s">
        <v>1566</v>
      </c>
      <c r="O28" s="21" t="s">
        <v>1567</v>
      </c>
      <c r="P28" s="21"/>
      <c r="Q28" s="22" t="n">
        <f aca="false">IF(L28="","",IFERROR(INDEX('Semrush Data'!$A$1:$Z$20000,MATCH(L28,'Semrush Data'!$A$1:$A$20000,0),MATCH("Volume",'Semrush Data'!$A$1:$Z$1,0)),""))</f>
        <v>0</v>
      </c>
      <c r="R28" s="22" t="str">
        <f aca="false">IF(M28="","",IFERROR(INDEX('Semrush Data'!$A$1:$Z$20000,MATCH(M28,'Semrush Data'!$A$1:$A$20000,0),MATCH("Volume",'Semrush Data'!$A$1:$Z$1,0)),""))</f>
        <v/>
      </c>
      <c r="S28" s="22" t="str">
        <f aca="false">IF(N28="","",IFERROR(INDEX('Semrush Data'!$A$1:$Z$20000,MATCH(N28,'Semrush Data'!$A$1:$A$20000,0),MATCH("Volume",'Semrush Data'!$A$1:$Z$1,0)),""))</f>
        <v/>
      </c>
      <c r="T28" s="22" t="str">
        <f aca="false">IF(O28="","",IFERROR(INDEX('Semrush Data'!$A$1:$Z$20000,MATCH(O28,'Semrush Data'!$A$1:$A$20000,0),MATCH("Volume",'Semrush Data'!$A$1:$Z$1,0)),""))</f>
        <v/>
      </c>
      <c r="U28" s="22" t="str">
        <f aca="false">IF(P28="","",IFERROR(INDEX('Semrush Data'!$A$1:$Z$20000,MATCH(P28,'Semrush Data'!$A$1:$A$20000,0),MATCH("Volume",'Semrush Data'!$A$1:$Z$1,0)),""))</f>
        <v/>
      </c>
      <c r="V28" s="23" t="str">
        <f aca="false">IF(COUNT(Q28:U28)=0,L28,IF(MAX(Q28:U28)=0,L28,INDEX(L28:P28,MATCH(MAX(Q28:U28),Q28:U28,0))))</f>
        <v>vilvah cream face wash (fragrance free)</v>
      </c>
      <c r="W28" s="22" t="n">
        <f aca="false">IFERROR(INDEX('Semrush Data'!$A$1:$Z$20000,MATCH(V28,'Semrush Data'!$A$1:$A$20000,0),MATCH("Volume",'Semrush Data'!$A$1:$Z$1,0)),"")</f>
        <v>0</v>
      </c>
      <c r="X28" s="22" t="n">
        <f aca="false">IFERROR(INDEX('Semrush Data'!$A$1:$Z$20000,MATCH(V28,'Semrush Data'!$A$1:$A$20000,0),MATCH("Keyword Difficulty*",'Semrush Data'!$A$1:$Z$1,0)),"")</f>
        <v>11</v>
      </c>
      <c r="Y28" s="24" t="n">
        <f aca="false">IFERROR(INDEX('Semrush Data'!$A$1:$Z$20000,MATCH(V28,'Semrush Data'!$A$1:$A$20000,0),MATCH("CPC*",'Semrush Data'!$A$1:$Z$1,0)),"")</f>
        <v>0</v>
      </c>
      <c r="Z28" s="21" t="s">
        <v>1422</v>
      </c>
      <c r="AA28" s="21"/>
      <c r="AB28" s="21" t="s">
        <v>535</v>
      </c>
      <c r="AC28" s="21" t="s">
        <v>536</v>
      </c>
      <c r="AD28" s="25" t="n">
        <f aca="false">LEN(AC28)</f>
        <v>53</v>
      </c>
      <c r="AE28" s="21" t="s">
        <v>1568</v>
      </c>
      <c r="AF28" s="25" t="n">
        <f aca="false">LEN(AE28)</f>
        <v>156</v>
      </c>
    </row>
    <row r="29" customFormat="false" ht="15" hidden="false" customHeight="true" outlineLevel="0" collapsed="false">
      <c r="A29" s="21" t="s">
        <v>539</v>
      </c>
      <c r="B29" s="21" t="s">
        <v>1373</v>
      </c>
      <c r="C29" s="21" t="n">
        <v>28</v>
      </c>
      <c r="D29" s="21" t="s">
        <v>313</v>
      </c>
      <c r="E29" s="21"/>
      <c r="F29" s="21" t="s">
        <v>1392</v>
      </c>
      <c r="G29" s="21" t="s">
        <v>336</v>
      </c>
      <c r="H29" s="21" t="s">
        <v>337</v>
      </c>
      <c r="I29" s="21" t="s">
        <v>540</v>
      </c>
      <c r="J29" s="21" t="s">
        <v>1393</v>
      </c>
      <c r="K29" s="21" t="n">
        <v>9.99</v>
      </c>
      <c r="L29" s="21" t="s">
        <v>1569</v>
      </c>
      <c r="M29" s="21" t="s">
        <v>1570</v>
      </c>
      <c r="N29" s="21" t="s">
        <v>1571</v>
      </c>
      <c r="O29" s="21" t="s">
        <v>1572</v>
      </c>
      <c r="P29" s="21"/>
      <c r="Q29" s="22" t="n">
        <f aca="false">IF(L29="","",IFERROR(INDEX('Semrush Data'!$A$1:$Z$20000,MATCH(L29,'Semrush Data'!$A$1:$A$20000,0),MATCH("Volume",'Semrush Data'!$A$1:$Z$1,0)),""))</f>
        <v>0</v>
      </c>
      <c r="R29" s="22" t="str">
        <f aca="false">IF(M29="","",IFERROR(INDEX('Semrush Data'!$A$1:$Z$20000,MATCH(M29,'Semrush Data'!$A$1:$A$20000,0),MATCH("Volume",'Semrush Data'!$A$1:$Z$1,0)),""))</f>
        <v/>
      </c>
      <c r="S29" s="22" t="str">
        <f aca="false">IF(N29="","",IFERROR(INDEX('Semrush Data'!$A$1:$Z$20000,MATCH(N29,'Semrush Data'!$A$1:$A$20000,0),MATCH("Volume",'Semrush Data'!$A$1:$Z$1,0)),""))</f>
        <v/>
      </c>
      <c r="T29" s="22" t="str">
        <f aca="false">IF(O29="","",IFERROR(INDEX('Semrush Data'!$A$1:$Z$20000,MATCH(O29,'Semrush Data'!$A$1:$A$20000,0),MATCH("Volume",'Semrush Data'!$A$1:$Z$1,0)),""))</f>
        <v/>
      </c>
      <c r="U29" s="22" t="str">
        <f aca="false">IF(P29="","",IFERROR(INDEX('Semrush Data'!$A$1:$Z$20000,MATCH(P29,'Semrush Data'!$A$1:$A$20000,0),MATCH("Volume",'Semrush Data'!$A$1:$Z$1,0)),""))</f>
        <v/>
      </c>
      <c r="V29" s="23" t="str">
        <f aca="false">IF(COUNT(Q29:U29)=0,L29,IF(MAX(Q29:U29)=0,L29,INDEX(L29:P29,MATCH(MAX(Q29:U29),Q29:U29,0))))</f>
        <v>vilvah cucumber, curd &amp; mint soap</v>
      </c>
      <c r="W29" s="22" t="n">
        <f aca="false">IFERROR(INDEX('Semrush Data'!$A$1:$Z$20000,MATCH(V29,'Semrush Data'!$A$1:$A$20000,0),MATCH("Volume",'Semrush Data'!$A$1:$Z$1,0)),"")</f>
        <v>0</v>
      </c>
      <c r="X29" s="22" t="n">
        <f aca="false">IFERROR(INDEX('Semrush Data'!$A$1:$Z$20000,MATCH(V29,'Semrush Data'!$A$1:$A$20000,0),MATCH("Keyword Difficulty*",'Semrush Data'!$A$1:$Z$1,0)),"")</f>
        <v>21</v>
      </c>
      <c r="Y29" s="24" t="n">
        <f aca="false">IFERROR(INDEX('Semrush Data'!$A$1:$Z$20000,MATCH(V29,'Semrush Data'!$A$1:$A$20000,0),MATCH("CPC*",'Semrush Data'!$A$1:$Z$1,0)),"")</f>
        <v>0</v>
      </c>
      <c r="Z29" s="21" t="s">
        <v>1398</v>
      </c>
      <c r="AA29" s="21"/>
      <c r="AB29" s="21" t="s">
        <v>541</v>
      </c>
      <c r="AC29" s="21" t="s">
        <v>1573</v>
      </c>
      <c r="AD29" s="25" t="n">
        <f aca="false">LEN(AC29)</f>
        <v>60</v>
      </c>
      <c r="AE29" s="21" t="s">
        <v>1574</v>
      </c>
      <c r="AF29" s="25" t="n">
        <f aca="false">LEN(AE29)</f>
        <v>160</v>
      </c>
    </row>
    <row r="30" customFormat="false" ht="15" hidden="false" customHeight="true" outlineLevel="0" collapsed="false">
      <c r="A30" s="21" t="s">
        <v>545</v>
      </c>
      <c r="B30" s="21" t="s">
        <v>1373</v>
      </c>
      <c r="C30" s="21" t="n">
        <v>29</v>
      </c>
      <c r="D30" s="21" t="s">
        <v>313</v>
      </c>
      <c r="E30" s="21"/>
      <c r="F30" s="21" t="s">
        <v>1392</v>
      </c>
      <c r="G30" s="21" t="s">
        <v>346</v>
      </c>
      <c r="H30" s="21" t="s">
        <v>347</v>
      </c>
      <c r="I30" s="21" t="s">
        <v>546</v>
      </c>
      <c r="J30" s="21" t="s">
        <v>1401</v>
      </c>
      <c r="K30" s="21" t="n">
        <v>9.99</v>
      </c>
      <c r="L30" s="21" t="s">
        <v>1575</v>
      </c>
      <c r="M30" s="21" t="s">
        <v>1576</v>
      </c>
      <c r="N30" s="21" t="s">
        <v>1577</v>
      </c>
      <c r="O30" s="21" t="s">
        <v>1578</v>
      </c>
      <c r="P30" s="21"/>
      <c r="Q30" s="22" t="n">
        <f aca="false">IF(L30="","",IFERROR(INDEX('Semrush Data'!$A$1:$Z$20000,MATCH(L30,'Semrush Data'!$A$1:$A$20000,0),MATCH("Volume",'Semrush Data'!$A$1:$Z$1,0)),""))</f>
        <v>0</v>
      </c>
      <c r="R30" s="22" t="str">
        <f aca="false">IF(M30="","",IFERROR(INDEX('Semrush Data'!$A$1:$Z$20000,MATCH(M30,'Semrush Data'!$A$1:$A$20000,0),MATCH("Volume",'Semrush Data'!$A$1:$Z$1,0)),""))</f>
        <v/>
      </c>
      <c r="S30" s="22" t="str">
        <f aca="false">IF(N30="","",IFERROR(INDEX('Semrush Data'!$A$1:$Z$20000,MATCH(N30,'Semrush Data'!$A$1:$A$20000,0),MATCH("Volume",'Semrush Data'!$A$1:$Z$1,0)),""))</f>
        <v/>
      </c>
      <c r="T30" s="22" t="str">
        <f aca="false">IF(O30="","",IFERROR(INDEX('Semrush Data'!$A$1:$Z$20000,MATCH(O30,'Semrush Data'!$A$1:$A$20000,0),MATCH("Volume",'Semrush Data'!$A$1:$Z$1,0)),""))</f>
        <v/>
      </c>
      <c r="U30" s="22" t="str">
        <f aca="false">IF(P30="","",IFERROR(INDEX('Semrush Data'!$A$1:$Z$20000,MATCH(P30,'Semrush Data'!$A$1:$A$20000,0),MATCH("Volume",'Semrush Data'!$A$1:$Z$1,0)),""))</f>
        <v/>
      </c>
      <c r="V30" s="23" t="str">
        <f aca="false">IF(COUNT(Q30:U30)=0,L30,IF(MAX(Q30:U30)=0,L30,INDEX(L30:P30,MATCH(MAX(Q30:U30),Q30:U30,0))))</f>
        <v>vilvah deo shot - lavender and sage</v>
      </c>
      <c r="W30" s="22" t="n">
        <f aca="false">IFERROR(INDEX('Semrush Data'!$A$1:$Z$20000,MATCH(V30,'Semrush Data'!$A$1:$A$20000,0),MATCH("Volume",'Semrush Data'!$A$1:$Z$1,0)),"")</f>
        <v>0</v>
      </c>
      <c r="X30" s="22" t="n">
        <f aca="false">IFERROR(INDEX('Semrush Data'!$A$1:$Z$20000,MATCH(V30,'Semrush Data'!$A$1:$A$20000,0),MATCH("Keyword Difficulty*",'Semrush Data'!$A$1:$Z$1,0)),"")</f>
        <v>18</v>
      </c>
      <c r="Y30" s="24" t="n">
        <f aca="false">IFERROR(INDEX('Semrush Data'!$A$1:$Z$20000,MATCH(V30,'Semrush Data'!$A$1:$A$20000,0),MATCH("CPC*",'Semrush Data'!$A$1:$Z$1,0)),"")</f>
        <v>0</v>
      </c>
      <c r="Z30" s="21" t="s">
        <v>1406</v>
      </c>
      <c r="AA30" s="21"/>
      <c r="AB30" s="21" t="s">
        <v>547</v>
      </c>
      <c r="AC30" s="21" t="s">
        <v>1579</v>
      </c>
      <c r="AD30" s="25" t="n">
        <f aca="false">LEN(AC30)</f>
        <v>49</v>
      </c>
      <c r="AE30" s="21" t="s">
        <v>1580</v>
      </c>
      <c r="AF30" s="25" t="n">
        <f aca="false">LEN(AE30)</f>
        <v>152</v>
      </c>
    </row>
    <row r="31" customFormat="false" ht="15" hidden="false" customHeight="true" outlineLevel="0" collapsed="false">
      <c r="A31" s="21" t="s">
        <v>551</v>
      </c>
      <c r="B31" s="21" t="s">
        <v>1373</v>
      </c>
      <c r="C31" s="21" t="n">
        <v>30</v>
      </c>
      <c r="D31" s="21" t="s">
        <v>313</v>
      </c>
      <c r="E31" s="21"/>
      <c r="F31" s="21" t="s">
        <v>1392</v>
      </c>
      <c r="G31" s="21" t="s">
        <v>445</v>
      </c>
      <c r="H31" s="21" t="s">
        <v>375</v>
      </c>
      <c r="I31" s="21" t="s">
        <v>552</v>
      </c>
      <c r="J31" s="21" t="s">
        <v>1375</v>
      </c>
      <c r="K31" s="21" t="n">
        <v>15.99</v>
      </c>
      <c r="L31" s="21" t="s">
        <v>1581</v>
      </c>
      <c r="M31" s="21" t="s">
        <v>1582</v>
      </c>
      <c r="N31" s="21" t="s">
        <v>1583</v>
      </c>
      <c r="O31" s="21" t="s">
        <v>1584</v>
      </c>
      <c r="P31" s="21"/>
      <c r="Q31" s="22" t="n">
        <f aca="false">IF(L31="","",IFERROR(INDEX('Semrush Data'!$A$1:$Z$20000,MATCH(L31,'Semrush Data'!$A$1:$A$20000,0),MATCH("Volume",'Semrush Data'!$A$1:$Z$1,0)),""))</f>
        <v>0</v>
      </c>
      <c r="R31" s="22" t="str">
        <f aca="false">IF(M31="","",IFERROR(INDEX('Semrush Data'!$A$1:$Z$20000,MATCH(M31,'Semrush Data'!$A$1:$A$20000,0),MATCH("Volume",'Semrush Data'!$A$1:$Z$1,0)),""))</f>
        <v/>
      </c>
      <c r="S31" s="22" t="str">
        <f aca="false">IF(N31="","",IFERROR(INDEX('Semrush Data'!$A$1:$Z$20000,MATCH(N31,'Semrush Data'!$A$1:$A$20000,0),MATCH("Volume",'Semrush Data'!$A$1:$Z$1,0)),""))</f>
        <v/>
      </c>
      <c r="T31" s="22" t="str">
        <f aca="false">IF(O31="","",IFERROR(INDEX('Semrush Data'!$A$1:$Z$20000,MATCH(O31,'Semrush Data'!$A$1:$A$20000,0),MATCH("Volume",'Semrush Data'!$A$1:$Z$1,0)),""))</f>
        <v/>
      </c>
      <c r="U31" s="22" t="str">
        <f aca="false">IF(P31="","",IFERROR(INDEX('Semrush Data'!$A$1:$Z$20000,MATCH(P31,'Semrush Data'!$A$1:$A$20000,0),MATCH("Volume",'Semrush Data'!$A$1:$Z$1,0)),""))</f>
        <v/>
      </c>
      <c r="V31" s="23" t="str">
        <f aca="false">IF(COUNT(Q31:U31)=0,L31,IF(MAX(Q31:U31)=0,L31,INDEX(L31:P31,MATCH(MAX(Q31:U31),Q31:U31,0))))</f>
        <v>vilvah foot cream</v>
      </c>
      <c r="W31" s="22" t="n">
        <f aca="false">IFERROR(INDEX('Semrush Data'!$A$1:$Z$20000,MATCH(V31,'Semrush Data'!$A$1:$A$20000,0),MATCH("Volume",'Semrush Data'!$A$1:$Z$1,0)),"")</f>
        <v>0</v>
      </c>
      <c r="X31" s="22" t="n">
        <f aca="false">IFERROR(INDEX('Semrush Data'!$A$1:$Z$20000,MATCH(V31,'Semrush Data'!$A$1:$A$20000,0),MATCH("Keyword Difficulty*",'Semrush Data'!$A$1:$Z$1,0)),"")</f>
        <v>33</v>
      </c>
      <c r="Y31" s="24" t="n">
        <f aca="false">IFERROR(INDEX('Semrush Data'!$A$1:$Z$20000,MATCH(V31,'Semrush Data'!$A$1:$A$20000,0),MATCH("CPC*",'Semrush Data'!$A$1:$Z$1,0)),"")</f>
        <v>0</v>
      </c>
      <c r="Z31" s="21" t="s">
        <v>1490</v>
      </c>
      <c r="AA31" s="21" t="s">
        <v>557</v>
      </c>
      <c r="AB31" s="21" t="s">
        <v>553</v>
      </c>
      <c r="AC31" s="21" t="s">
        <v>1585</v>
      </c>
      <c r="AD31" s="25" t="n">
        <f aca="false">LEN(AC31)</f>
        <v>50</v>
      </c>
      <c r="AE31" s="21" t="s">
        <v>1586</v>
      </c>
      <c r="AF31" s="25" t="n">
        <f aca="false">LEN(AE31)</f>
        <v>154</v>
      </c>
    </row>
    <row r="32" customFormat="false" ht="15" hidden="false" customHeight="true" outlineLevel="0" collapsed="false">
      <c r="A32" s="21" t="s">
        <v>558</v>
      </c>
      <c r="B32" s="21" t="s">
        <v>1373</v>
      </c>
      <c r="C32" s="21" t="n">
        <v>31</v>
      </c>
      <c r="D32" s="21" t="s">
        <v>313</v>
      </c>
      <c r="E32" s="21"/>
      <c r="F32" s="21" t="s">
        <v>1383</v>
      </c>
      <c r="G32" s="21" t="s">
        <v>560</v>
      </c>
      <c r="H32" s="21" t="s">
        <v>561</v>
      </c>
      <c r="I32" s="21" t="s">
        <v>559</v>
      </c>
      <c r="J32" s="21" t="s">
        <v>1587</v>
      </c>
      <c r="K32" s="21" t="n">
        <v>31.99</v>
      </c>
      <c r="L32" s="21" t="s">
        <v>1588</v>
      </c>
      <c r="M32" s="21" t="s">
        <v>1589</v>
      </c>
      <c r="N32" s="21" t="s">
        <v>1590</v>
      </c>
      <c r="O32" s="21" t="s">
        <v>1591</v>
      </c>
      <c r="P32" s="21"/>
      <c r="Q32" s="22" t="n">
        <f aca="false">IF(L32="","",IFERROR(INDEX('Semrush Data'!$A$1:$Z$20000,MATCH(L32,'Semrush Data'!$A$1:$A$20000,0),MATCH("Volume",'Semrush Data'!$A$1:$Z$1,0)),""))</f>
        <v>0</v>
      </c>
      <c r="R32" s="22" t="str">
        <f aca="false">IF(M32="","",IFERROR(INDEX('Semrush Data'!$A$1:$Z$20000,MATCH(M32,'Semrush Data'!$A$1:$A$20000,0),MATCH("Volume",'Semrush Data'!$A$1:$Z$1,0)),""))</f>
        <v/>
      </c>
      <c r="S32" s="22" t="str">
        <f aca="false">IF(N32="","",IFERROR(INDEX('Semrush Data'!$A$1:$Z$20000,MATCH(N32,'Semrush Data'!$A$1:$A$20000,0),MATCH("Volume",'Semrush Data'!$A$1:$Z$1,0)),""))</f>
        <v/>
      </c>
      <c r="T32" s="22" t="str">
        <f aca="false">IF(O32="","",IFERROR(INDEX('Semrush Data'!$A$1:$Z$20000,MATCH(O32,'Semrush Data'!$A$1:$A$20000,0),MATCH("Volume",'Semrush Data'!$A$1:$Z$1,0)),""))</f>
        <v/>
      </c>
      <c r="U32" s="22" t="str">
        <f aca="false">IF(P32="","",IFERROR(INDEX('Semrush Data'!$A$1:$Z$20000,MATCH(P32,'Semrush Data'!$A$1:$A$20000,0),MATCH("Volume",'Semrush Data'!$A$1:$Z$1,0)),""))</f>
        <v/>
      </c>
      <c r="V32" s="23" t="str">
        <f aca="false">IF(COUNT(Q32:U32)=0,L32,IF(MAX(Q32:U32)=0,L32,INDEX(L32:P32,MATCH(MAX(Q32:U32),Q32:U32,0))))</f>
        <v>vilvah goat milk hair mask</v>
      </c>
      <c r="W32" s="22" t="n">
        <f aca="false">IFERROR(INDEX('Semrush Data'!$A$1:$Z$20000,MATCH(V32,'Semrush Data'!$A$1:$A$20000,0),MATCH("Volume",'Semrush Data'!$A$1:$Z$1,0)),"")</f>
        <v>0</v>
      </c>
      <c r="X32" s="22" t="n">
        <f aca="false">IFERROR(INDEX('Semrush Data'!$A$1:$Z$20000,MATCH(V32,'Semrush Data'!$A$1:$A$20000,0),MATCH("Keyword Difficulty*",'Semrush Data'!$A$1:$Z$1,0)),"")</f>
        <v>35</v>
      </c>
      <c r="Y32" s="24" t="n">
        <f aca="false">IFERROR(INDEX('Semrush Data'!$A$1:$Z$20000,MATCH(V32,'Semrush Data'!$A$1:$A$20000,0),MATCH("CPC*",'Semrush Data'!$A$1:$Z$1,0)),"")</f>
        <v>0</v>
      </c>
      <c r="Z32" s="21" t="s">
        <v>1592</v>
      </c>
      <c r="AA32" s="21" t="s">
        <v>566</v>
      </c>
      <c r="AB32" s="21" t="s">
        <v>562</v>
      </c>
      <c r="AC32" s="21" t="s">
        <v>1593</v>
      </c>
      <c r="AD32" s="25" t="n">
        <f aca="false">LEN(AC32)</f>
        <v>53</v>
      </c>
      <c r="AE32" s="21" t="s">
        <v>1594</v>
      </c>
      <c r="AF32" s="25" t="n">
        <f aca="false">LEN(AE32)</f>
        <v>153</v>
      </c>
    </row>
    <row r="33" customFormat="false" ht="15" hidden="false" customHeight="true" outlineLevel="0" collapsed="false">
      <c r="A33" s="21" t="s">
        <v>567</v>
      </c>
      <c r="B33" s="21" t="s">
        <v>1373</v>
      </c>
      <c r="C33" s="21" t="n">
        <v>32</v>
      </c>
      <c r="D33" s="21" t="s">
        <v>313</v>
      </c>
      <c r="E33" s="21"/>
      <c r="F33" s="21" t="s">
        <v>1383</v>
      </c>
      <c r="G33" s="21" t="s">
        <v>325</v>
      </c>
      <c r="H33" s="21" t="s">
        <v>326</v>
      </c>
      <c r="I33" s="21" t="s">
        <v>324</v>
      </c>
      <c r="J33" s="21" t="s">
        <v>1375</v>
      </c>
      <c r="K33" s="21" t="n">
        <v>19.99</v>
      </c>
      <c r="L33" s="21" t="s">
        <v>1385</v>
      </c>
      <c r="M33" s="21" t="s">
        <v>1386</v>
      </c>
      <c r="N33" s="21" t="s">
        <v>1387</v>
      </c>
      <c r="O33" s="21" t="s">
        <v>1388</v>
      </c>
      <c r="P33" s="21"/>
      <c r="Q33" s="22" t="n">
        <f aca="false">IF(L33="","",IFERROR(INDEX('Semrush Data'!$A$1:$Z$20000,MATCH(L33,'Semrush Data'!$A$1:$A$20000,0),MATCH("Volume",'Semrush Data'!$A$1:$Z$1,0)),""))</f>
        <v>20</v>
      </c>
      <c r="R33" s="22" t="str">
        <f aca="false">IF(M33="","",IFERROR(INDEX('Semrush Data'!$A$1:$Z$20000,MATCH(M33,'Semrush Data'!$A$1:$A$20000,0),MATCH("Volume",'Semrush Data'!$A$1:$Z$1,0)),""))</f>
        <v/>
      </c>
      <c r="S33" s="22" t="str">
        <f aca="false">IF(N33="","",IFERROR(INDEX('Semrush Data'!$A$1:$Z$20000,MATCH(N33,'Semrush Data'!$A$1:$A$20000,0),MATCH("Volume",'Semrush Data'!$A$1:$Z$1,0)),""))</f>
        <v/>
      </c>
      <c r="T33" s="22" t="str">
        <f aca="false">IF(O33="","",IFERROR(INDEX('Semrush Data'!$A$1:$Z$20000,MATCH(O33,'Semrush Data'!$A$1:$A$20000,0),MATCH("Volume",'Semrush Data'!$A$1:$Z$1,0)),""))</f>
        <v/>
      </c>
      <c r="U33" s="22" t="str">
        <f aca="false">IF(P33="","",IFERROR(INDEX('Semrush Data'!$A$1:$Z$20000,MATCH(P33,'Semrush Data'!$A$1:$A$20000,0),MATCH("Volume",'Semrush Data'!$A$1:$Z$1,0)),""))</f>
        <v/>
      </c>
      <c r="V33" s="23" t="str">
        <f aca="false">IF(COUNT(Q33:U33)=0,L33,IF(MAX(Q33:U33)=0,L33,INDEX(L33:P33,MATCH(MAX(Q33:U33),Q33:U33,0))))</f>
        <v>vilvah hair growth oil</v>
      </c>
      <c r="W33" s="22" t="n">
        <f aca="false">IFERROR(INDEX('Semrush Data'!$A$1:$Z$20000,MATCH(V33,'Semrush Data'!$A$1:$A$20000,0),MATCH("Volume",'Semrush Data'!$A$1:$Z$1,0)),"")</f>
        <v>20</v>
      </c>
      <c r="X33" s="22" t="n">
        <f aca="false">IFERROR(INDEX('Semrush Data'!$A$1:$Z$20000,MATCH(V33,'Semrush Data'!$A$1:$A$20000,0),MATCH("Keyword Difficulty*",'Semrush Data'!$A$1:$Z$1,0)),"")</f>
        <v>26</v>
      </c>
      <c r="Y33" s="24" t="n">
        <f aca="false">IFERROR(INDEX('Semrush Data'!$A$1:$Z$20000,MATCH(V33,'Semrush Data'!$A$1:$A$20000,0),MATCH("CPC*",'Semrush Data'!$A$1:$Z$1,0)),"")</f>
        <v>0.55</v>
      </c>
      <c r="Z33" s="21" t="s">
        <v>1389</v>
      </c>
      <c r="AA33" s="21" t="s">
        <v>332</v>
      </c>
      <c r="AB33" s="21" t="s">
        <v>328</v>
      </c>
      <c r="AC33" s="21" t="s">
        <v>1595</v>
      </c>
      <c r="AD33" s="25" t="n">
        <f aca="false">LEN(AC33)</f>
        <v>55</v>
      </c>
      <c r="AE33" s="21" t="s">
        <v>1391</v>
      </c>
      <c r="AF33" s="25" t="n">
        <f aca="false">LEN(AE33)</f>
        <v>158</v>
      </c>
    </row>
    <row r="34" customFormat="false" ht="15" hidden="false" customHeight="true" outlineLevel="0" collapsed="false">
      <c r="A34" s="21" t="s">
        <v>568</v>
      </c>
      <c r="B34" s="21" t="s">
        <v>1373</v>
      </c>
      <c r="C34" s="21" t="n">
        <v>33</v>
      </c>
      <c r="D34" s="21" t="s">
        <v>313</v>
      </c>
      <c r="E34" s="21"/>
      <c r="F34" s="21" t="s">
        <v>1383</v>
      </c>
      <c r="G34" s="21" t="s">
        <v>325</v>
      </c>
      <c r="H34" s="21" t="s">
        <v>326</v>
      </c>
      <c r="I34" s="21" t="s">
        <v>324</v>
      </c>
      <c r="J34" s="21" t="s">
        <v>1438</v>
      </c>
      <c r="K34" s="21" t="n">
        <v>31.99</v>
      </c>
      <c r="L34" s="21" t="s">
        <v>1385</v>
      </c>
      <c r="M34" s="21" t="s">
        <v>1386</v>
      </c>
      <c r="N34" s="21" t="s">
        <v>1387</v>
      </c>
      <c r="O34" s="21" t="s">
        <v>1388</v>
      </c>
      <c r="P34" s="21"/>
      <c r="Q34" s="22" t="n">
        <f aca="false">IF(L34="","",IFERROR(INDEX('Semrush Data'!$A$1:$Z$20000,MATCH(L34,'Semrush Data'!$A$1:$A$20000,0),MATCH("Volume",'Semrush Data'!$A$1:$Z$1,0)),""))</f>
        <v>20</v>
      </c>
      <c r="R34" s="22" t="str">
        <f aca="false">IF(M34="","",IFERROR(INDEX('Semrush Data'!$A$1:$Z$20000,MATCH(M34,'Semrush Data'!$A$1:$A$20000,0),MATCH("Volume",'Semrush Data'!$A$1:$Z$1,0)),""))</f>
        <v/>
      </c>
      <c r="S34" s="22" t="str">
        <f aca="false">IF(N34="","",IFERROR(INDEX('Semrush Data'!$A$1:$Z$20000,MATCH(N34,'Semrush Data'!$A$1:$A$20000,0),MATCH("Volume",'Semrush Data'!$A$1:$Z$1,0)),""))</f>
        <v/>
      </c>
      <c r="T34" s="22" t="str">
        <f aca="false">IF(O34="","",IFERROR(INDEX('Semrush Data'!$A$1:$Z$20000,MATCH(O34,'Semrush Data'!$A$1:$A$20000,0),MATCH("Volume",'Semrush Data'!$A$1:$Z$1,0)),""))</f>
        <v/>
      </c>
      <c r="U34" s="22" t="str">
        <f aca="false">IF(P34="","",IFERROR(INDEX('Semrush Data'!$A$1:$Z$20000,MATCH(P34,'Semrush Data'!$A$1:$A$20000,0),MATCH("Volume",'Semrush Data'!$A$1:$Z$1,0)),""))</f>
        <v/>
      </c>
      <c r="V34" s="23" t="str">
        <f aca="false">IF(COUNT(Q34:U34)=0,L34,IF(MAX(Q34:U34)=0,L34,INDEX(L34:P34,MATCH(MAX(Q34:U34),Q34:U34,0))))</f>
        <v>vilvah hair growth oil</v>
      </c>
      <c r="W34" s="22" t="n">
        <f aca="false">IFERROR(INDEX('Semrush Data'!$A$1:$Z$20000,MATCH(V34,'Semrush Data'!$A$1:$A$20000,0),MATCH("Volume",'Semrush Data'!$A$1:$Z$1,0)),"")</f>
        <v>20</v>
      </c>
      <c r="X34" s="22" t="n">
        <f aca="false">IFERROR(INDEX('Semrush Data'!$A$1:$Z$20000,MATCH(V34,'Semrush Data'!$A$1:$A$20000,0),MATCH("Keyword Difficulty*",'Semrush Data'!$A$1:$Z$1,0)),"")</f>
        <v>26</v>
      </c>
      <c r="Y34" s="24" t="n">
        <f aca="false">IFERROR(INDEX('Semrush Data'!$A$1:$Z$20000,MATCH(V34,'Semrush Data'!$A$1:$A$20000,0),MATCH("CPC*",'Semrush Data'!$A$1:$Z$1,0)),"")</f>
        <v>0.55</v>
      </c>
      <c r="Z34" s="21" t="s">
        <v>1389</v>
      </c>
      <c r="AA34" s="21" t="s">
        <v>332</v>
      </c>
      <c r="AB34" s="21" t="s">
        <v>328</v>
      </c>
      <c r="AC34" s="21" t="s">
        <v>1596</v>
      </c>
      <c r="AD34" s="25" t="n">
        <f aca="false">LEN(AC34)</f>
        <v>55</v>
      </c>
      <c r="AE34" s="21" t="s">
        <v>1391</v>
      </c>
      <c r="AF34" s="25" t="n">
        <f aca="false">LEN(AE34)</f>
        <v>158</v>
      </c>
    </row>
    <row r="35" customFormat="false" ht="15" hidden="false" customHeight="true" outlineLevel="0" collapsed="false">
      <c r="A35" s="21" t="s">
        <v>569</v>
      </c>
      <c r="B35" s="21" t="s">
        <v>1373</v>
      </c>
      <c r="C35" s="21" t="n">
        <v>34</v>
      </c>
      <c r="D35" s="21" t="s">
        <v>313</v>
      </c>
      <c r="E35" s="21"/>
      <c r="F35" s="21" t="s">
        <v>1383</v>
      </c>
      <c r="G35" s="21" t="s">
        <v>422</v>
      </c>
      <c r="H35" s="21" t="s">
        <v>483</v>
      </c>
      <c r="I35" s="21" t="s">
        <v>570</v>
      </c>
      <c r="J35" s="21" t="s">
        <v>1459</v>
      </c>
      <c r="K35" s="21" t="n">
        <v>15.99</v>
      </c>
      <c r="L35" s="21" t="s">
        <v>1597</v>
      </c>
      <c r="M35" s="21" t="s">
        <v>1598</v>
      </c>
      <c r="N35" s="21" t="s">
        <v>1599</v>
      </c>
      <c r="O35" s="21" t="s">
        <v>1600</v>
      </c>
      <c r="P35" s="21"/>
      <c r="Q35" s="22" t="n">
        <f aca="false">IF(L35="","",IFERROR(INDEX('Semrush Data'!$A$1:$Z$20000,MATCH(L35,'Semrush Data'!$A$1:$A$20000,0),MATCH("Volume",'Semrush Data'!$A$1:$Z$1,0)),""))</f>
        <v>0</v>
      </c>
      <c r="R35" s="22" t="str">
        <f aca="false">IF(M35="","",IFERROR(INDEX('Semrush Data'!$A$1:$Z$20000,MATCH(M35,'Semrush Data'!$A$1:$A$20000,0),MATCH("Volume",'Semrush Data'!$A$1:$Z$1,0)),""))</f>
        <v/>
      </c>
      <c r="S35" s="22" t="str">
        <f aca="false">IF(N35="","",IFERROR(INDEX('Semrush Data'!$A$1:$Z$20000,MATCH(N35,'Semrush Data'!$A$1:$A$20000,0),MATCH("Volume",'Semrush Data'!$A$1:$Z$1,0)),""))</f>
        <v/>
      </c>
      <c r="T35" s="22" t="str">
        <f aca="false">IF(O35="","",IFERROR(INDEX('Semrush Data'!$A$1:$Z$20000,MATCH(O35,'Semrush Data'!$A$1:$A$20000,0),MATCH("Volume",'Semrush Data'!$A$1:$Z$1,0)),""))</f>
        <v/>
      </c>
      <c r="U35" s="22" t="str">
        <f aca="false">IF(P35="","",IFERROR(INDEX('Semrush Data'!$A$1:$Z$20000,MATCH(P35,'Semrush Data'!$A$1:$A$20000,0),MATCH("Volume",'Semrush Data'!$A$1:$Z$1,0)),""))</f>
        <v/>
      </c>
      <c r="V35" s="23" t="str">
        <f aca="false">IF(COUNT(Q35:U35)=0,L35,IF(MAX(Q35:U35)=0,L35,INDEX(L35:P35,MATCH(MAX(Q35:U35),Q35:U35,0))))</f>
        <v>vilvah herbal shampoo (dandruff control)</v>
      </c>
      <c r="W35" s="22" t="n">
        <f aca="false">IFERROR(INDEX('Semrush Data'!$A$1:$Z$20000,MATCH(V35,'Semrush Data'!$A$1:$A$20000,0),MATCH("Volume",'Semrush Data'!$A$1:$Z$1,0)),"")</f>
        <v>0</v>
      </c>
      <c r="X35" s="22" t="n">
        <f aca="false">IFERROR(INDEX('Semrush Data'!$A$1:$Z$20000,MATCH(V35,'Semrush Data'!$A$1:$A$20000,0),MATCH("Keyword Difficulty*",'Semrush Data'!$A$1:$Z$1,0)),"")</f>
        <v>12</v>
      </c>
      <c r="Y35" s="24" t="n">
        <f aca="false">IFERROR(INDEX('Semrush Data'!$A$1:$Z$20000,MATCH(V35,'Semrush Data'!$A$1:$A$20000,0),MATCH("CPC*",'Semrush Data'!$A$1:$Z$1,0)),"")</f>
        <v>0</v>
      </c>
      <c r="Z35" s="21" t="s">
        <v>1601</v>
      </c>
      <c r="AA35" s="21" t="s">
        <v>576</v>
      </c>
      <c r="AB35" s="21" t="s">
        <v>572</v>
      </c>
      <c r="AC35" s="21" t="s">
        <v>573</v>
      </c>
      <c r="AD35" s="25" t="n">
        <f aca="false">LEN(AC35)</f>
        <v>54</v>
      </c>
      <c r="AE35" s="21" t="s">
        <v>1602</v>
      </c>
      <c r="AF35" s="25" t="n">
        <f aca="false">LEN(AE35)</f>
        <v>156</v>
      </c>
    </row>
    <row r="36" customFormat="false" ht="15" hidden="false" customHeight="true" outlineLevel="0" collapsed="false">
      <c r="A36" s="21" t="s">
        <v>577</v>
      </c>
      <c r="B36" s="21" t="s">
        <v>1373</v>
      </c>
      <c r="C36" s="21" t="n">
        <v>35</v>
      </c>
      <c r="D36" s="21" t="s">
        <v>313</v>
      </c>
      <c r="E36" s="21"/>
      <c r="F36" s="21" t="s">
        <v>1374</v>
      </c>
      <c r="G36" s="21" t="s">
        <v>396</v>
      </c>
      <c r="H36" s="21" t="s">
        <v>397</v>
      </c>
      <c r="I36" s="21" t="s">
        <v>578</v>
      </c>
      <c r="J36" s="21" t="s">
        <v>1445</v>
      </c>
      <c r="K36" s="21" t="n">
        <v>6.99</v>
      </c>
      <c r="L36" s="21" t="s">
        <v>1603</v>
      </c>
      <c r="M36" s="21" t="s">
        <v>1604</v>
      </c>
      <c r="N36" s="21" t="s">
        <v>1605</v>
      </c>
      <c r="O36" s="21" t="s">
        <v>1606</v>
      </c>
      <c r="P36" s="21"/>
      <c r="Q36" s="22" t="n">
        <f aca="false">IF(L36="","",IFERROR(INDEX('Semrush Data'!$A$1:$Z$20000,MATCH(L36,'Semrush Data'!$A$1:$A$20000,0),MATCH("Volume",'Semrush Data'!$A$1:$Z$1,0)),""))</f>
        <v>0</v>
      </c>
      <c r="R36" s="22" t="str">
        <f aca="false">IF(M36="","",IFERROR(INDEX('Semrush Data'!$A$1:$Z$20000,MATCH(M36,'Semrush Data'!$A$1:$A$20000,0),MATCH("Volume",'Semrush Data'!$A$1:$Z$1,0)),""))</f>
        <v/>
      </c>
      <c r="S36" s="22" t="str">
        <f aca="false">IF(N36="","",IFERROR(INDEX('Semrush Data'!$A$1:$Z$20000,MATCH(N36,'Semrush Data'!$A$1:$A$20000,0),MATCH("Volume",'Semrush Data'!$A$1:$Z$1,0)),""))</f>
        <v/>
      </c>
      <c r="T36" s="22" t="str">
        <f aca="false">IF(O36="","",IFERROR(INDEX('Semrush Data'!$A$1:$Z$20000,MATCH(O36,'Semrush Data'!$A$1:$A$20000,0),MATCH("Volume",'Semrush Data'!$A$1:$Z$1,0)),""))</f>
        <v/>
      </c>
      <c r="U36" s="22" t="str">
        <f aca="false">IF(P36="","",IFERROR(INDEX('Semrush Data'!$A$1:$Z$20000,MATCH(P36,'Semrush Data'!$A$1:$A$20000,0),MATCH("Volume",'Semrush Data'!$A$1:$Z$1,0)),""))</f>
        <v/>
      </c>
      <c r="V36" s="23" t="str">
        <f aca="false">IF(COUNT(Q36:U36)=0,L36,IF(MAX(Q36:U36)=0,L36,INDEX(L36:P36,MATCH(MAX(Q36:U36),Q36:U36,0))))</f>
        <v>vilvah lip balm - grapefruit</v>
      </c>
      <c r="W36" s="22" t="n">
        <f aca="false">IFERROR(INDEX('Semrush Data'!$A$1:$Z$20000,MATCH(V36,'Semrush Data'!$A$1:$A$20000,0),MATCH("Volume",'Semrush Data'!$A$1:$Z$1,0)),"")</f>
        <v>0</v>
      </c>
      <c r="X36" s="22" t="n">
        <f aca="false">IFERROR(INDEX('Semrush Data'!$A$1:$Z$20000,MATCH(V36,'Semrush Data'!$A$1:$A$20000,0),MATCH("Keyword Difficulty*",'Semrush Data'!$A$1:$Z$1,0)),"")</f>
        <v>30</v>
      </c>
      <c r="Y36" s="24" t="n">
        <f aca="false">IFERROR(INDEX('Semrush Data'!$A$1:$Z$20000,MATCH(V36,'Semrush Data'!$A$1:$A$20000,0),MATCH("CPC*",'Semrush Data'!$A$1:$Z$1,0)),"")</f>
        <v>0</v>
      </c>
      <c r="Z36" s="21" t="s">
        <v>1450</v>
      </c>
      <c r="AA36" s="21" t="s">
        <v>583</v>
      </c>
      <c r="AB36" s="21" t="s">
        <v>579</v>
      </c>
      <c r="AC36" s="21" t="s">
        <v>1607</v>
      </c>
      <c r="AD36" s="25" t="n">
        <f aca="false">LEN(AC36)</f>
        <v>55</v>
      </c>
      <c r="AE36" s="21" t="s">
        <v>1608</v>
      </c>
      <c r="AF36" s="25" t="n">
        <f aca="false">LEN(AE36)</f>
        <v>159</v>
      </c>
    </row>
    <row r="37" customFormat="false" ht="15" hidden="false" customHeight="true" outlineLevel="0" collapsed="false">
      <c r="A37" s="21" t="s">
        <v>584</v>
      </c>
      <c r="B37" s="21" t="s">
        <v>1373</v>
      </c>
      <c r="C37" s="21" t="n">
        <v>36</v>
      </c>
      <c r="D37" s="21" t="s">
        <v>313</v>
      </c>
      <c r="E37" s="21"/>
      <c r="F37" s="21" t="s">
        <v>1374</v>
      </c>
      <c r="G37" s="21" t="s">
        <v>396</v>
      </c>
      <c r="H37" s="21" t="s">
        <v>586</v>
      </c>
      <c r="I37" s="21" t="s">
        <v>585</v>
      </c>
      <c r="J37" s="21" t="s">
        <v>1445</v>
      </c>
      <c r="K37" s="21" t="n">
        <v>6.99</v>
      </c>
      <c r="L37" s="21" t="s">
        <v>1609</v>
      </c>
      <c r="M37" s="21" t="s">
        <v>1610</v>
      </c>
      <c r="N37" s="21" t="s">
        <v>1611</v>
      </c>
      <c r="O37" s="21" t="s">
        <v>1612</v>
      </c>
      <c r="P37" s="21"/>
      <c r="Q37" s="22" t="n">
        <f aca="false">IF(L37="","",IFERROR(INDEX('Semrush Data'!$A$1:$Z$20000,MATCH(L37,'Semrush Data'!$A$1:$A$20000,0),MATCH("Volume",'Semrush Data'!$A$1:$Z$1,0)),""))</f>
        <v>0</v>
      </c>
      <c r="R37" s="22" t="str">
        <f aca="false">IF(M37="","",IFERROR(INDEX('Semrush Data'!$A$1:$Z$20000,MATCH(M37,'Semrush Data'!$A$1:$A$20000,0),MATCH("Volume",'Semrush Data'!$A$1:$Z$1,0)),""))</f>
        <v/>
      </c>
      <c r="S37" s="22" t="str">
        <f aca="false">IF(N37="","",IFERROR(INDEX('Semrush Data'!$A$1:$Z$20000,MATCH(N37,'Semrush Data'!$A$1:$A$20000,0),MATCH("Volume",'Semrush Data'!$A$1:$Z$1,0)),""))</f>
        <v/>
      </c>
      <c r="T37" s="22" t="str">
        <f aca="false">IF(O37="","",IFERROR(INDEX('Semrush Data'!$A$1:$Z$20000,MATCH(O37,'Semrush Data'!$A$1:$A$20000,0),MATCH("Volume",'Semrush Data'!$A$1:$Z$1,0)),""))</f>
        <v/>
      </c>
      <c r="U37" s="22" t="str">
        <f aca="false">IF(P37="","",IFERROR(INDEX('Semrush Data'!$A$1:$Z$20000,MATCH(P37,'Semrush Data'!$A$1:$A$20000,0),MATCH("Volume",'Semrush Data'!$A$1:$Z$1,0)),""))</f>
        <v/>
      </c>
      <c r="V37" s="23" t="str">
        <f aca="false">IF(COUNT(Q37:U37)=0,L37,IF(MAX(Q37:U37)=0,L37,INDEX(L37:P37,MATCH(MAX(Q37:U37),Q37:U37,0))))</f>
        <v>vilvah lip scrub</v>
      </c>
      <c r="W37" s="22" t="n">
        <f aca="false">IFERROR(INDEX('Semrush Data'!$A$1:$Z$20000,MATCH(V37,'Semrush Data'!$A$1:$A$20000,0),MATCH("Volume",'Semrush Data'!$A$1:$Z$1,0)),"")</f>
        <v>0</v>
      </c>
      <c r="X37" s="22" t="n">
        <f aca="false">IFERROR(INDEX('Semrush Data'!$A$1:$Z$20000,MATCH(V37,'Semrush Data'!$A$1:$A$20000,0),MATCH("Keyword Difficulty*",'Semrush Data'!$A$1:$Z$1,0)),"")</f>
        <v>5</v>
      </c>
      <c r="Y37" s="24" t="n">
        <f aca="false">IFERROR(INDEX('Semrush Data'!$A$1:$Z$20000,MATCH(V37,'Semrush Data'!$A$1:$A$20000,0),MATCH("CPC*",'Semrush Data'!$A$1:$Z$1,0)),"")</f>
        <v>0</v>
      </c>
      <c r="Z37" s="21" t="s">
        <v>1613</v>
      </c>
      <c r="AA37" s="21" t="s">
        <v>592</v>
      </c>
      <c r="AB37" s="21" t="s">
        <v>588</v>
      </c>
      <c r="AC37" s="21" t="s">
        <v>1614</v>
      </c>
      <c r="AD37" s="25" t="n">
        <f aca="false">LEN(AC37)</f>
        <v>49</v>
      </c>
      <c r="AE37" s="21" t="s">
        <v>1615</v>
      </c>
      <c r="AF37" s="25" t="n">
        <f aca="false">LEN(AE37)</f>
        <v>160</v>
      </c>
    </row>
    <row r="38" customFormat="false" ht="15" hidden="false" customHeight="true" outlineLevel="0" collapsed="false">
      <c r="A38" s="21" t="s">
        <v>593</v>
      </c>
      <c r="B38" s="21" t="s">
        <v>1373</v>
      </c>
      <c r="C38" s="21" t="n">
        <v>37</v>
      </c>
      <c r="D38" s="21" t="s">
        <v>313</v>
      </c>
      <c r="E38" s="21"/>
      <c r="F38" s="21" t="s">
        <v>1383</v>
      </c>
      <c r="G38" s="21" t="s">
        <v>595</v>
      </c>
      <c r="H38" s="21" t="s">
        <v>356</v>
      </c>
      <c r="I38" s="21" t="s">
        <v>594</v>
      </c>
      <c r="J38" s="21" t="s">
        <v>1616</v>
      </c>
      <c r="K38" s="21" t="n">
        <v>9.99</v>
      </c>
      <c r="L38" s="21" t="s">
        <v>1617</v>
      </c>
      <c r="M38" s="21" t="s">
        <v>1618</v>
      </c>
      <c r="N38" s="21" t="s">
        <v>1619</v>
      </c>
      <c r="O38" s="21" t="s">
        <v>1620</v>
      </c>
      <c r="P38" s="21"/>
      <c r="Q38" s="22" t="n">
        <f aca="false">IF(L38="","",IFERROR(INDEX('Semrush Data'!$A$1:$Z$20000,MATCH(L38,'Semrush Data'!$A$1:$A$20000,0),MATCH("Volume",'Semrush Data'!$A$1:$Z$1,0)),""))</f>
        <v>0</v>
      </c>
      <c r="R38" s="22" t="str">
        <f aca="false">IF(M38="","",IFERROR(INDEX('Semrush Data'!$A$1:$Z$20000,MATCH(M38,'Semrush Data'!$A$1:$A$20000,0),MATCH("Volume",'Semrush Data'!$A$1:$Z$1,0)),""))</f>
        <v/>
      </c>
      <c r="S38" s="22" t="str">
        <f aca="false">IF(N38="","",IFERROR(INDEX('Semrush Data'!$A$1:$Z$20000,MATCH(N38,'Semrush Data'!$A$1:$A$20000,0),MATCH("Volume",'Semrush Data'!$A$1:$Z$1,0)),""))</f>
        <v/>
      </c>
      <c r="T38" s="22" t="str">
        <f aca="false">IF(O38="","",IFERROR(INDEX('Semrush Data'!$A$1:$Z$20000,MATCH(O38,'Semrush Data'!$A$1:$A$20000,0),MATCH("Volume",'Semrush Data'!$A$1:$Z$1,0)),""))</f>
        <v/>
      </c>
      <c r="U38" s="22" t="str">
        <f aca="false">IF(P38="","",IFERROR(INDEX('Semrush Data'!$A$1:$Z$20000,MATCH(P38,'Semrush Data'!$A$1:$A$20000,0),MATCH("Volume",'Semrush Data'!$A$1:$Z$1,0)),""))</f>
        <v/>
      </c>
      <c r="V38" s="23" t="str">
        <f aca="false">IF(COUNT(Q38:U38)=0,L38,IF(MAX(Q38:U38)=0,L38,INDEX(L38:P38,MATCH(MAX(Q38:U38),Q38:U38,0))))</f>
        <v>vilvah men's comb / detangling comb</v>
      </c>
      <c r="W38" s="22" t="n">
        <f aca="false">IFERROR(INDEX('Semrush Data'!$A$1:$Z$20000,MATCH(V38,'Semrush Data'!$A$1:$A$20000,0),MATCH("Volume",'Semrush Data'!$A$1:$Z$1,0)),"")</f>
        <v>0</v>
      </c>
      <c r="X38" s="22" t="n">
        <f aca="false">IFERROR(INDEX('Semrush Data'!$A$1:$Z$20000,MATCH(V38,'Semrush Data'!$A$1:$A$20000,0),MATCH("Keyword Difficulty*",'Semrush Data'!$A$1:$Z$1,0)),"")</f>
        <v>20</v>
      </c>
      <c r="Y38" s="24" t="n">
        <f aca="false">IFERROR(INDEX('Semrush Data'!$A$1:$Z$20000,MATCH(V38,'Semrush Data'!$A$1:$A$20000,0),MATCH("CPC*",'Semrush Data'!$A$1:$Z$1,0)),"")</f>
        <v>0</v>
      </c>
      <c r="Z38" s="21" t="s">
        <v>1621</v>
      </c>
      <c r="AA38" s="21"/>
      <c r="AB38" s="21" t="s">
        <v>597</v>
      </c>
      <c r="AC38" s="21" t="s">
        <v>1622</v>
      </c>
      <c r="AD38" s="25" t="n">
        <f aca="false">LEN(AC38)</f>
        <v>49</v>
      </c>
      <c r="AE38" s="21" t="s">
        <v>1623</v>
      </c>
      <c r="AF38" s="25" t="n">
        <f aca="false">LEN(AE38)</f>
        <v>159</v>
      </c>
    </row>
    <row r="39" customFormat="false" ht="15" hidden="false" customHeight="true" outlineLevel="0" collapsed="false">
      <c r="A39" s="21" t="s">
        <v>601</v>
      </c>
      <c r="B39" s="21" t="s">
        <v>1373</v>
      </c>
      <c r="C39" s="21" t="n">
        <v>38</v>
      </c>
      <c r="D39" s="21" t="s">
        <v>313</v>
      </c>
      <c r="E39" s="21"/>
      <c r="F39" s="21" t="s">
        <v>1374</v>
      </c>
      <c r="G39" s="21" t="s">
        <v>501</v>
      </c>
      <c r="H39" s="21" t="s">
        <v>526</v>
      </c>
      <c r="I39" s="21" t="s">
        <v>602</v>
      </c>
      <c r="J39" s="21" t="s">
        <v>1536</v>
      </c>
      <c r="K39" s="21" t="n">
        <v>20.99</v>
      </c>
      <c r="L39" s="21" t="s">
        <v>1624</v>
      </c>
      <c r="M39" s="21" t="s">
        <v>1625</v>
      </c>
      <c r="N39" s="21" t="s">
        <v>1626</v>
      </c>
      <c r="O39" s="21" t="s">
        <v>1627</v>
      </c>
      <c r="P39" s="21"/>
      <c r="Q39" s="22" t="n">
        <f aca="false">IF(L39="","",IFERROR(INDEX('Semrush Data'!$A$1:$Z$20000,MATCH(L39,'Semrush Data'!$A$1:$A$20000,0),MATCH("Volume",'Semrush Data'!$A$1:$Z$1,0)),""))</f>
        <v>0</v>
      </c>
      <c r="R39" s="22" t="str">
        <f aca="false">IF(M39="","",IFERROR(INDEX('Semrush Data'!$A$1:$Z$20000,MATCH(M39,'Semrush Data'!$A$1:$A$20000,0),MATCH("Volume",'Semrush Data'!$A$1:$Z$1,0)),""))</f>
        <v/>
      </c>
      <c r="S39" s="22" t="str">
        <f aca="false">IF(N39="","",IFERROR(INDEX('Semrush Data'!$A$1:$Z$20000,MATCH(N39,'Semrush Data'!$A$1:$A$20000,0),MATCH("Volume",'Semrush Data'!$A$1:$Z$1,0)),""))</f>
        <v/>
      </c>
      <c r="T39" s="22" t="str">
        <f aca="false">IF(O39="","",IFERROR(INDEX('Semrush Data'!$A$1:$Z$20000,MATCH(O39,'Semrush Data'!$A$1:$A$20000,0),MATCH("Volume",'Semrush Data'!$A$1:$Z$1,0)),""))</f>
        <v/>
      </c>
      <c r="U39" s="22" t="str">
        <f aca="false">IF(P39="","",IFERROR(INDEX('Semrush Data'!$A$1:$Z$20000,MATCH(P39,'Semrush Data'!$A$1:$A$20000,0),MATCH("Volume",'Semrush Data'!$A$1:$Z$1,0)),""))</f>
        <v/>
      </c>
      <c r="V39" s="23" t="str">
        <f aca="false">IF(COUNT(Q39:U39)=0,L39,IF(MAX(Q39:U39)=0,L39,INDEX(L39:P39,MATCH(MAX(Q39:U39),Q39:U39,0))))</f>
        <v>vilvah milk drops brightening serum</v>
      </c>
      <c r="W39" s="22" t="n">
        <f aca="false">IFERROR(INDEX('Semrush Data'!$A$1:$Z$20000,MATCH(V39,'Semrush Data'!$A$1:$A$20000,0),MATCH("Volume",'Semrush Data'!$A$1:$Z$1,0)),"")</f>
        <v>0</v>
      </c>
      <c r="X39" s="22" t="n">
        <f aca="false">IFERROR(INDEX('Semrush Data'!$A$1:$Z$20000,MATCH(V39,'Semrush Data'!$A$1:$A$20000,0),MATCH("Keyword Difficulty*",'Semrush Data'!$A$1:$Z$1,0)),"")</f>
        <v>22</v>
      </c>
      <c r="Y39" s="24" t="n">
        <f aca="false">IFERROR(INDEX('Semrush Data'!$A$1:$Z$20000,MATCH(V39,'Semrush Data'!$A$1:$A$20000,0),MATCH("CPC*",'Semrush Data'!$A$1:$Z$1,0)),"")</f>
        <v>0</v>
      </c>
      <c r="Z39" s="21" t="s">
        <v>1628</v>
      </c>
      <c r="AA39" s="21" t="s">
        <v>608</v>
      </c>
      <c r="AB39" s="21" t="s">
        <v>604</v>
      </c>
      <c r="AC39" s="21" t="s">
        <v>1629</v>
      </c>
      <c r="AD39" s="25" t="n">
        <f aca="false">LEN(AC39)</f>
        <v>49</v>
      </c>
      <c r="AE39" s="21" t="s">
        <v>1630</v>
      </c>
      <c r="AF39" s="25" t="n">
        <f aca="false">LEN(AE39)</f>
        <v>158</v>
      </c>
    </row>
    <row r="40" customFormat="false" ht="15" hidden="false" customHeight="true" outlineLevel="0" collapsed="false">
      <c r="A40" s="21" t="s">
        <v>609</v>
      </c>
      <c r="B40" s="21" t="s">
        <v>1373</v>
      </c>
      <c r="C40" s="21" t="n">
        <v>39</v>
      </c>
      <c r="D40" s="21" t="s">
        <v>313</v>
      </c>
      <c r="E40" s="21"/>
      <c r="F40" s="21" t="s">
        <v>1374</v>
      </c>
      <c r="G40" s="21" t="s">
        <v>501</v>
      </c>
      <c r="H40" s="21" t="s">
        <v>526</v>
      </c>
      <c r="I40" s="21" t="s">
        <v>610</v>
      </c>
      <c r="J40" s="21" t="s">
        <v>1631</v>
      </c>
      <c r="K40" s="21" t="n">
        <v>29.99</v>
      </c>
      <c r="L40" s="21" t="s">
        <v>1624</v>
      </c>
      <c r="M40" s="21" t="s">
        <v>1625</v>
      </c>
      <c r="N40" s="21" t="s">
        <v>1626</v>
      </c>
      <c r="O40" s="21" t="s">
        <v>1627</v>
      </c>
      <c r="P40" s="21"/>
      <c r="Q40" s="22" t="n">
        <f aca="false">IF(L40="","",IFERROR(INDEX('Semrush Data'!$A$1:$Z$20000,MATCH(L40,'Semrush Data'!$A$1:$A$20000,0),MATCH("Volume",'Semrush Data'!$A$1:$Z$1,0)),""))</f>
        <v>0</v>
      </c>
      <c r="R40" s="22" t="str">
        <f aca="false">IF(M40="","",IFERROR(INDEX('Semrush Data'!$A$1:$Z$20000,MATCH(M40,'Semrush Data'!$A$1:$A$20000,0),MATCH("Volume",'Semrush Data'!$A$1:$Z$1,0)),""))</f>
        <v/>
      </c>
      <c r="S40" s="22" t="str">
        <f aca="false">IF(N40="","",IFERROR(INDEX('Semrush Data'!$A$1:$Z$20000,MATCH(N40,'Semrush Data'!$A$1:$A$20000,0),MATCH("Volume",'Semrush Data'!$A$1:$Z$1,0)),""))</f>
        <v/>
      </c>
      <c r="T40" s="22" t="str">
        <f aca="false">IF(O40="","",IFERROR(INDEX('Semrush Data'!$A$1:$Z$20000,MATCH(O40,'Semrush Data'!$A$1:$A$20000,0),MATCH("Volume",'Semrush Data'!$A$1:$Z$1,0)),""))</f>
        <v/>
      </c>
      <c r="U40" s="22" t="str">
        <f aca="false">IF(P40="","",IFERROR(INDEX('Semrush Data'!$A$1:$Z$20000,MATCH(P40,'Semrush Data'!$A$1:$A$20000,0),MATCH("Volume",'Semrush Data'!$A$1:$Z$1,0)),""))</f>
        <v/>
      </c>
      <c r="V40" s="23" t="str">
        <f aca="false">IF(COUNT(Q40:U40)=0,L40,IF(MAX(Q40:U40)=0,L40,INDEX(L40:P40,MATCH(MAX(Q40:U40),Q40:U40,0))))</f>
        <v>vilvah milk drops brightening serum</v>
      </c>
      <c r="W40" s="22" t="n">
        <f aca="false">IFERROR(INDEX('Semrush Data'!$A$1:$Z$20000,MATCH(V40,'Semrush Data'!$A$1:$A$20000,0),MATCH("Volume",'Semrush Data'!$A$1:$Z$1,0)),"")</f>
        <v>0</v>
      </c>
      <c r="X40" s="22" t="n">
        <f aca="false">IFERROR(INDEX('Semrush Data'!$A$1:$Z$20000,MATCH(V40,'Semrush Data'!$A$1:$A$20000,0),MATCH("Keyword Difficulty*",'Semrush Data'!$A$1:$Z$1,0)),"")</f>
        <v>22</v>
      </c>
      <c r="Y40" s="24" t="n">
        <f aca="false">IFERROR(INDEX('Semrush Data'!$A$1:$Z$20000,MATCH(V40,'Semrush Data'!$A$1:$A$20000,0),MATCH("CPC*",'Semrush Data'!$A$1:$Z$1,0)),"")</f>
        <v>0</v>
      </c>
      <c r="Z40" s="21" t="s">
        <v>1628</v>
      </c>
      <c r="AA40" s="21" t="s">
        <v>608</v>
      </c>
      <c r="AB40" s="21" t="s">
        <v>604</v>
      </c>
      <c r="AC40" s="21" t="s">
        <v>1629</v>
      </c>
      <c r="AD40" s="25" t="n">
        <f aca="false">LEN(AC40)</f>
        <v>49</v>
      </c>
      <c r="AE40" s="21" t="s">
        <v>1630</v>
      </c>
      <c r="AF40" s="25" t="n">
        <f aca="false">LEN(AE40)</f>
        <v>158</v>
      </c>
    </row>
    <row r="41" customFormat="false" ht="15" hidden="false" customHeight="true" outlineLevel="0" collapsed="false">
      <c r="A41" s="21" t="s">
        <v>611</v>
      </c>
      <c r="B41" s="21" t="s">
        <v>1373</v>
      </c>
      <c r="C41" s="21" t="n">
        <v>40</v>
      </c>
      <c r="D41" s="21" t="s">
        <v>313</v>
      </c>
      <c r="E41" s="21"/>
      <c r="F41" s="21" t="s">
        <v>1374</v>
      </c>
      <c r="G41" s="21" t="s">
        <v>396</v>
      </c>
      <c r="H41" s="21" t="s">
        <v>397</v>
      </c>
      <c r="I41" s="21" t="s">
        <v>612</v>
      </c>
      <c r="J41" s="21" t="s">
        <v>1632</v>
      </c>
      <c r="K41" s="21" t="n">
        <v>9.99</v>
      </c>
      <c r="L41" s="21" t="s">
        <v>1633</v>
      </c>
      <c r="M41" s="21" t="s">
        <v>1634</v>
      </c>
      <c r="N41" s="21" t="s">
        <v>1635</v>
      </c>
      <c r="O41" s="21" t="s">
        <v>1636</v>
      </c>
      <c r="P41" s="21"/>
      <c r="Q41" s="22" t="n">
        <f aca="false">IF(L41="","",IFERROR(INDEX('Semrush Data'!$A$1:$Z$20000,MATCH(L41,'Semrush Data'!$A$1:$A$20000,0),MATCH("Volume",'Semrush Data'!$A$1:$Z$1,0)),""))</f>
        <v>0</v>
      </c>
      <c r="R41" s="22" t="str">
        <f aca="false">IF(M41="","",IFERROR(INDEX('Semrush Data'!$A$1:$Z$20000,MATCH(M41,'Semrush Data'!$A$1:$A$20000,0),MATCH("Volume",'Semrush Data'!$A$1:$Z$1,0)),""))</f>
        <v/>
      </c>
      <c r="S41" s="22" t="str">
        <f aca="false">IF(N41="","",IFERROR(INDEX('Semrush Data'!$A$1:$Z$20000,MATCH(N41,'Semrush Data'!$A$1:$A$20000,0),MATCH("Volume",'Semrush Data'!$A$1:$Z$1,0)),""))</f>
        <v/>
      </c>
      <c r="T41" s="22" t="str">
        <f aca="false">IF(O41="","",IFERROR(INDEX('Semrush Data'!$A$1:$Z$20000,MATCH(O41,'Semrush Data'!$A$1:$A$20000,0),MATCH("Volume",'Semrush Data'!$A$1:$Z$1,0)),""))</f>
        <v/>
      </c>
      <c r="U41" s="22" t="str">
        <f aca="false">IF(P41="","",IFERROR(INDEX('Semrush Data'!$A$1:$Z$20000,MATCH(P41,'Semrush Data'!$A$1:$A$20000,0),MATCH("Volume",'Semrush Data'!$A$1:$Z$1,0)),""))</f>
        <v/>
      </c>
      <c r="V41" s="23" t="str">
        <f aca="false">IF(COUNT(Q41:U41)=0,L41,IF(MAX(Q41:U41)=0,L41,INDEX(L41:P41,MATCH(MAX(Q41:U41),Q41:U41,0))))</f>
        <v>vilvah milk lip balm spf 30 pa+++</v>
      </c>
      <c r="W41" s="22" t="n">
        <f aca="false">IFERROR(INDEX('Semrush Data'!$A$1:$Z$20000,MATCH(V41,'Semrush Data'!$A$1:$A$20000,0),MATCH("Volume",'Semrush Data'!$A$1:$Z$1,0)),"")</f>
        <v>0</v>
      </c>
      <c r="X41" s="22" t="n">
        <f aca="false">IFERROR(INDEX('Semrush Data'!$A$1:$Z$20000,MATCH(V41,'Semrush Data'!$A$1:$A$20000,0),MATCH("Keyword Difficulty*",'Semrush Data'!$A$1:$Z$1,0)),"")</f>
        <v>22</v>
      </c>
      <c r="Y41" s="24" t="n">
        <f aca="false">IFERROR(INDEX('Semrush Data'!$A$1:$Z$20000,MATCH(V41,'Semrush Data'!$A$1:$A$20000,0),MATCH("CPC*",'Semrush Data'!$A$1:$Z$1,0)),"")</f>
        <v>0</v>
      </c>
      <c r="Z41" s="21" t="s">
        <v>1450</v>
      </c>
      <c r="AA41" s="21"/>
      <c r="AB41" s="21" t="s">
        <v>613</v>
      </c>
      <c r="AC41" s="21" t="s">
        <v>1637</v>
      </c>
      <c r="AD41" s="25" t="n">
        <f aca="false">LEN(AC41)</f>
        <v>57</v>
      </c>
      <c r="AE41" s="21" t="s">
        <v>1638</v>
      </c>
      <c r="AF41" s="25" t="n">
        <f aca="false">LEN(AE41)</f>
        <v>156</v>
      </c>
    </row>
    <row r="42" customFormat="false" ht="15" hidden="false" customHeight="true" outlineLevel="0" collapsed="false">
      <c r="A42" s="21" t="s">
        <v>617</v>
      </c>
      <c r="B42" s="21" t="s">
        <v>1373</v>
      </c>
      <c r="C42" s="21" t="n">
        <v>41</v>
      </c>
      <c r="D42" s="21" t="s">
        <v>313</v>
      </c>
      <c r="E42" s="21"/>
      <c r="F42" s="21" t="s">
        <v>1383</v>
      </c>
      <c r="G42" s="21" t="s">
        <v>595</v>
      </c>
      <c r="H42" s="21" t="s">
        <v>413</v>
      </c>
      <c r="I42" s="21" t="s">
        <v>618</v>
      </c>
      <c r="J42" s="21" t="s">
        <v>1616</v>
      </c>
      <c r="K42" s="21" t="n">
        <v>9.99</v>
      </c>
      <c r="L42" s="21" t="s">
        <v>1639</v>
      </c>
      <c r="M42" s="21" t="s">
        <v>1640</v>
      </c>
      <c r="N42" s="21" t="s">
        <v>1641</v>
      </c>
      <c r="O42" s="21" t="s">
        <v>1642</v>
      </c>
      <c r="P42" s="21"/>
      <c r="Q42" s="22" t="n">
        <f aca="false">IF(L42="","",IFERROR(INDEX('Semrush Data'!$A$1:$Z$20000,MATCH(L42,'Semrush Data'!$A$1:$A$20000,0),MATCH("Volume",'Semrush Data'!$A$1:$Z$1,0)),""))</f>
        <v>0</v>
      </c>
      <c r="R42" s="22" t="str">
        <f aca="false">IF(M42="","",IFERROR(INDEX('Semrush Data'!$A$1:$Z$20000,MATCH(M42,'Semrush Data'!$A$1:$A$20000,0),MATCH("Volume",'Semrush Data'!$A$1:$Z$1,0)),""))</f>
        <v/>
      </c>
      <c r="S42" s="22" t="str">
        <f aca="false">IF(N42="","",IFERROR(INDEX('Semrush Data'!$A$1:$Z$20000,MATCH(N42,'Semrush Data'!$A$1:$A$20000,0),MATCH("Volume",'Semrush Data'!$A$1:$Z$1,0)),""))</f>
        <v/>
      </c>
      <c r="T42" s="22" t="str">
        <f aca="false">IF(O42="","",IFERROR(INDEX('Semrush Data'!$A$1:$Z$20000,MATCH(O42,'Semrush Data'!$A$1:$A$20000,0),MATCH("Volume",'Semrush Data'!$A$1:$Z$1,0)),""))</f>
        <v/>
      </c>
      <c r="U42" s="22" t="str">
        <f aca="false">IF(P42="","",IFERROR(INDEX('Semrush Data'!$A$1:$Z$20000,MATCH(P42,'Semrush Data'!$A$1:$A$20000,0),MATCH("Volume",'Semrush Data'!$A$1:$Z$1,0)),""))</f>
        <v/>
      </c>
      <c r="V42" s="23" t="str">
        <f aca="false">IF(COUNT(Q42:U42)=0,L42,IF(MAX(Q42:U42)=0,L42,INDEX(L42:P42,MATCH(MAX(Q42:U42),Q42:U42,0))))</f>
        <v>vilvah neem wood comb (with handle)</v>
      </c>
      <c r="W42" s="22" t="n">
        <f aca="false">IFERROR(INDEX('Semrush Data'!$A$1:$Z$20000,MATCH(V42,'Semrush Data'!$A$1:$A$20000,0),MATCH("Volume",'Semrush Data'!$A$1:$Z$1,0)),"")</f>
        <v>0</v>
      </c>
      <c r="X42" s="22" t="n">
        <f aca="false">IFERROR(INDEX('Semrush Data'!$A$1:$Z$20000,MATCH(V42,'Semrush Data'!$A$1:$A$20000,0),MATCH("Keyword Difficulty*",'Semrush Data'!$A$1:$Z$1,0)),"")</f>
        <v>27</v>
      </c>
      <c r="Y42" s="24" t="n">
        <f aca="false">IFERROR(INDEX('Semrush Data'!$A$1:$Z$20000,MATCH(V42,'Semrush Data'!$A$1:$A$20000,0),MATCH("CPC*",'Semrush Data'!$A$1:$Z$1,0)),"")</f>
        <v>0</v>
      </c>
      <c r="Z42" s="21" t="s">
        <v>1643</v>
      </c>
      <c r="AA42" s="21"/>
      <c r="AB42" s="21" t="s">
        <v>619</v>
      </c>
      <c r="AC42" s="21" t="s">
        <v>1644</v>
      </c>
      <c r="AD42" s="25" t="n">
        <f aca="false">LEN(AC42)</f>
        <v>49</v>
      </c>
      <c r="AE42" s="21" t="s">
        <v>1645</v>
      </c>
      <c r="AF42" s="25" t="n">
        <f aca="false">LEN(AE42)</f>
        <v>159</v>
      </c>
    </row>
    <row r="43" customFormat="false" ht="15" hidden="false" customHeight="true" outlineLevel="0" collapsed="false">
      <c r="A43" s="21" t="s">
        <v>623</v>
      </c>
      <c r="B43" s="21" t="s">
        <v>1373</v>
      </c>
      <c r="C43" s="21" t="n">
        <v>42</v>
      </c>
      <c r="D43" s="21" t="s">
        <v>313</v>
      </c>
      <c r="E43" s="21"/>
      <c r="F43" s="21" t="s">
        <v>1383</v>
      </c>
      <c r="G43" s="21" t="s">
        <v>595</v>
      </c>
      <c r="H43" s="21" t="s">
        <v>413</v>
      </c>
      <c r="I43" s="21" t="s">
        <v>624</v>
      </c>
      <c r="J43" s="21" t="s">
        <v>1616</v>
      </c>
      <c r="K43" s="21" t="n">
        <v>9.99</v>
      </c>
      <c r="L43" s="21" t="s">
        <v>1646</v>
      </c>
      <c r="M43" s="21" t="s">
        <v>1647</v>
      </c>
      <c r="N43" s="21" t="s">
        <v>1648</v>
      </c>
      <c r="O43" s="21" t="s">
        <v>1649</v>
      </c>
      <c r="P43" s="21"/>
      <c r="Q43" s="22" t="n">
        <f aca="false">IF(L43="","",IFERROR(INDEX('Semrush Data'!$A$1:$Z$20000,MATCH(L43,'Semrush Data'!$A$1:$A$20000,0),MATCH("Volume",'Semrush Data'!$A$1:$Z$1,0)),""))</f>
        <v>0</v>
      </c>
      <c r="R43" s="22" t="str">
        <f aca="false">IF(M43="","",IFERROR(INDEX('Semrush Data'!$A$1:$Z$20000,MATCH(M43,'Semrush Data'!$A$1:$A$20000,0),MATCH("Volume",'Semrush Data'!$A$1:$Z$1,0)),""))</f>
        <v/>
      </c>
      <c r="S43" s="22" t="str">
        <f aca="false">IF(N43="","",IFERROR(INDEX('Semrush Data'!$A$1:$Z$20000,MATCH(N43,'Semrush Data'!$A$1:$A$20000,0),MATCH("Volume",'Semrush Data'!$A$1:$Z$1,0)),""))</f>
        <v/>
      </c>
      <c r="T43" s="22" t="str">
        <f aca="false">IF(O43="","",IFERROR(INDEX('Semrush Data'!$A$1:$Z$20000,MATCH(O43,'Semrush Data'!$A$1:$A$20000,0),MATCH("Volume",'Semrush Data'!$A$1:$Z$1,0)),""))</f>
        <v/>
      </c>
      <c r="U43" s="22" t="str">
        <f aca="false">IF(P43="","",IFERROR(INDEX('Semrush Data'!$A$1:$Z$20000,MATCH(P43,'Semrush Data'!$A$1:$A$20000,0),MATCH("Volume",'Semrush Data'!$A$1:$Z$1,0)),""))</f>
        <v/>
      </c>
      <c r="V43" s="23" t="str">
        <f aca="false">IF(COUNT(Q43:U43)=0,L43,IF(MAX(Q43:U43)=0,L43,INDEX(L43:P43,MATCH(MAX(Q43:U43),Q43:U43,0))))</f>
        <v>vilvah neem wood comb(fine and wide tooth)</v>
      </c>
      <c r="W43" s="22" t="n">
        <f aca="false">IFERROR(INDEX('Semrush Data'!$A$1:$Z$20000,MATCH(V43,'Semrush Data'!$A$1:$A$20000,0),MATCH("Volume",'Semrush Data'!$A$1:$Z$1,0)),"")</f>
        <v>0</v>
      </c>
      <c r="X43" s="22" t="n">
        <f aca="false">IFERROR(INDEX('Semrush Data'!$A$1:$Z$20000,MATCH(V43,'Semrush Data'!$A$1:$A$20000,0),MATCH("Keyword Difficulty*",'Semrush Data'!$A$1:$Z$1,0)),"")</f>
        <v>10</v>
      </c>
      <c r="Y43" s="24" t="n">
        <f aca="false">IFERROR(INDEX('Semrush Data'!$A$1:$Z$20000,MATCH(V43,'Semrush Data'!$A$1:$A$20000,0),MATCH("CPC*",'Semrush Data'!$A$1:$Z$1,0)),"")</f>
        <v>0</v>
      </c>
      <c r="Z43" s="21" t="s">
        <v>1643</v>
      </c>
      <c r="AA43" s="21"/>
      <c r="AB43" s="21" t="s">
        <v>625</v>
      </c>
      <c r="AC43" s="21" t="s">
        <v>626</v>
      </c>
      <c r="AD43" s="25" t="n">
        <f aca="false">LEN(AC43)</f>
        <v>56</v>
      </c>
      <c r="AE43" s="21" t="s">
        <v>1650</v>
      </c>
      <c r="AF43" s="25" t="n">
        <f aca="false">LEN(AE43)</f>
        <v>160</v>
      </c>
    </row>
    <row r="44" customFormat="false" ht="15" hidden="false" customHeight="true" outlineLevel="0" collapsed="false">
      <c r="A44" s="21" t="s">
        <v>629</v>
      </c>
      <c r="B44" s="21" t="s">
        <v>1373</v>
      </c>
      <c r="C44" s="21" t="n">
        <v>43</v>
      </c>
      <c r="D44" s="21" t="s">
        <v>313</v>
      </c>
      <c r="E44" s="21"/>
      <c r="F44" s="21" t="s">
        <v>1374</v>
      </c>
      <c r="G44" s="21" t="s">
        <v>374</v>
      </c>
      <c r="H44" s="21" t="s">
        <v>631</v>
      </c>
      <c r="I44" s="21" t="s">
        <v>630</v>
      </c>
      <c r="J44" s="21" t="s">
        <v>1536</v>
      </c>
      <c r="K44" s="21" t="n">
        <v>19.99</v>
      </c>
      <c r="L44" s="21" t="s">
        <v>1651</v>
      </c>
      <c r="M44" s="21" t="s">
        <v>1652</v>
      </c>
      <c r="N44" s="21" t="s">
        <v>1653</v>
      </c>
      <c r="O44" s="21" t="s">
        <v>1654</v>
      </c>
      <c r="P44" s="21"/>
      <c r="Q44" s="22" t="n">
        <f aca="false">IF(L44="","",IFERROR(INDEX('Semrush Data'!$A$1:$Z$20000,MATCH(L44,'Semrush Data'!$A$1:$A$20000,0),MATCH("Volume",'Semrush Data'!$A$1:$Z$1,0)),""))</f>
        <v>0</v>
      </c>
      <c r="R44" s="22" t="str">
        <f aca="false">IF(M44="","",IFERROR(INDEX('Semrush Data'!$A$1:$Z$20000,MATCH(M44,'Semrush Data'!$A$1:$A$20000,0),MATCH("Volume",'Semrush Data'!$A$1:$Z$1,0)),""))</f>
        <v/>
      </c>
      <c r="S44" s="22" t="str">
        <f aca="false">IF(N44="","",IFERROR(INDEX('Semrush Data'!$A$1:$Z$20000,MATCH(N44,'Semrush Data'!$A$1:$A$20000,0),MATCH("Volume",'Semrush Data'!$A$1:$Z$1,0)),""))</f>
        <v/>
      </c>
      <c r="T44" s="22" t="str">
        <f aca="false">IF(O44="","",IFERROR(INDEX('Semrush Data'!$A$1:$Z$20000,MATCH(O44,'Semrush Data'!$A$1:$A$20000,0),MATCH("Volume",'Semrush Data'!$A$1:$Z$1,0)),""))</f>
        <v/>
      </c>
      <c r="U44" s="22" t="str">
        <f aca="false">IF(P44="","",IFERROR(INDEX('Semrush Data'!$A$1:$Z$20000,MATCH(P44,'Semrush Data'!$A$1:$A$20000,0),MATCH("Volume",'Semrush Data'!$A$1:$Z$1,0)),""))</f>
        <v/>
      </c>
      <c r="V44" s="23" t="str">
        <f aca="false">IF(COUNT(Q44:U44)=0,L44,IF(MAX(Q44:U44)=0,L44,INDEX(L44:P44,MATCH(MAX(Q44:U44),Q44:U44,0))))</f>
        <v>vilvah under eye cream (dark circles control)</v>
      </c>
      <c r="W44" s="22" t="n">
        <f aca="false">IFERROR(INDEX('Semrush Data'!$A$1:$Z$20000,MATCH(V44,'Semrush Data'!$A$1:$A$20000,0),MATCH("Volume",'Semrush Data'!$A$1:$Z$1,0)),"")</f>
        <v>0</v>
      </c>
      <c r="X44" s="22" t="n">
        <f aca="false">IFERROR(INDEX('Semrush Data'!$A$1:$Z$20000,MATCH(V44,'Semrush Data'!$A$1:$A$20000,0),MATCH("Keyword Difficulty*",'Semrush Data'!$A$1:$Z$1,0)),"")</f>
        <v>32</v>
      </c>
      <c r="Y44" s="24" t="n">
        <f aca="false">IFERROR(INDEX('Semrush Data'!$A$1:$Z$20000,MATCH(V44,'Semrush Data'!$A$1:$A$20000,0),MATCH("CPC*",'Semrush Data'!$A$1:$Z$1,0)),"")</f>
        <v>0</v>
      </c>
      <c r="Z44" s="21" t="s">
        <v>1655</v>
      </c>
      <c r="AA44" s="21" t="s">
        <v>636</v>
      </c>
      <c r="AB44" s="21" t="s">
        <v>632</v>
      </c>
      <c r="AC44" s="21" t="s">
        <v>633</v>
      </c>
      <c r="AD44" s="25" t="n">
        <f aca="false">LEN(AC44)</f>
        <v>59</v>
      </c>
      <c r="AE44" s="21" t="s">
        <v>1656</v>
      </c>
      <c r="AF44" s="25" t="n">
        <f aca="false">LEN(AE44)</f>
        <v>158</v>
      </c>
    </row>
    <row r="45" customFormat="false" ht="15" hidden="false" customHeight="true" outlineLevel="0" collapsed="false">
      <c r="A45" s="21" t="s">
        <v>637</v>
      </c>
      <c r="B45" s="21" t="s">
        <v>1373</v>
      </c>
      <c r="C45" s="21" t="n">
        <v>44</v>
      </c>
      <c r="D45" s="21" t="s">
        <v>313</v>
      </c>
      <c r="E45" s="21"/>
      <c r="F45" s="21" t="s">
        <v>1374</v>
      </c>
      <c r="G45" s="21" t="s">
        <v>396</v>
      </c>
      <c r="H45" s="21" t="s">
        <v>397</v>
      </c>
      <c r="I45" s="21" t="s">
        <v>638</v>
      </c>
      <c r="J45" s="21" t="s">
        <v>1445</v>
      </c>
      <c r="K45" s="21" t="n">
        <v>9.99</v>
      </c>
      <c r="L45" s="21" t="s">
        <v>1657</v>
      </c>
      <c r="M45" s="21" t="s">
        <v>1658</v>
      </c>
      <c r="N45" s="21" t="s">
        <v>1659</v>
      </c>
      <c r="O45" s="21" t="s">
        <v>1660</v>
      </c>
      <c r="P45" s="21"/>
      <c r="Q45" s="22" t="n">
        <f aca="false">IF(L45="","",IFERROR(INDEX('Semrush Data'!$A$1:$Z$20000,MATCH(L45,'Semrush Data'!$A$1:$A$20000,0),MATCH("Volume",'Semrush Data'!$A$1:$Z$1,0)),""))</f>
        <v>0</v>
      </c>
      <c r="R45" s="22" t="str">
        <f aca="false">IF(M45="","",IFERROR(INDEX('Semrush Data'!$A$1:$Z$20000,MATCH(M45,'Semrush Data'!$A$1:$A$20000,0),MATCH("Volume",'Semrush Data'!$A$1:$Z$1,0)),""))</f>
        <v/>
      </c>
      <c r="S45" s="22" t="str">
        <f aca="false">IF(N45="","",IFERROR(INDEX('Semrush Data'!$A$1:$Z$20000,MATCH(N45,'Semrush Data'!$A$1:$A$20000,0),MATCH("Volume",'Semrush Data'!$A$1:$Z$1,0)),""))</f>
        <v/>
      </c>
      <c r="T45" s="22" t="str">
        <f aca="false">IF(O45="","",IFERROR(INDEX('Semrush Data'!$A$1:$Z$20000,MATCH(O45,'Semrush Data'!$A$1:$A$20000,0),MATCH("Volume",'Semrush Data'!$A$1:$Z$1,0)),""))</f>
        <v/>
      </c>
      <c r="U45" s="22" t="str">
        <f aca="false">IF(P45="","",IFERROR(INDEX('Semrush Data'!$A$1:$Z$20000,MATCH(P45,'Semrush Data'!$A$1:$A$20000,0),MATCH("Volume",'Semrush Data'!$A$1:$Z$1,0)),""))</f>
        <v/>
      </c>
      <c r="V45" s="23" t="str">
        <f aca="false">IF(COUNT(Q45:U45)=0,L45,IF(MAX(Q45:U45)=0,L45,INDEX(L45:P45,MATCH(MAX(Q45:U45),Q45:U45,0))))</f>
        <v>vilvah filter kaapi lip balm</v>
      </c>
      <c r="W45" s="22" t="n">
        <f aca="false">IFERROR(INDEX('Semrush Data'!$A$1:$Z$20000,MATCH(V45,'Semrush Data'!$A$1:$A$20000,0),MATCH("Volume",'Semrush Data'!$A$1:$Z$1,0)),"")</f>
        <v>0</v>
      </c>
      <c r="X45" s="22" t="n">
        <f aca="false">IFERROR(INDEX('Semrush Data'!$A$1:$Z$20000,MATCH(V45,'Semrush Data'!$A$1:$A$20000,0),MATCH("Keyword Difficulty*",'Semrush Data'!$A$1:$Z$1,0)),"")</f>
        <v>23</v>
      </c>
      <c r="Y45" s="24" t="n">
        <f aca="false">IFERROR(INDEX('Semrush Data'!$A$1:$Z$20000,MATCH(V45,'Semrush Data'!$A$1:$A$20000,0),MATCH("CPC*",'Semrush Data'!$A$1:$Z$1,0)),"")</f>
        <v>0</v>
      </c>
      <c r="Z45" s="21" t="s">
        <v>1450</v>
      </c>
      <c r="AA45" s="21" t="s">
        <v>643</v>
      </c>
      <c r="AB45" s="21" t="s">
        <v>639</v>
      </c>
      <c r="AC45" s="21" t="s">
        <v>1661</v>
      </c>
      <c r="AD45" s="25" t="n">
        <f aca="false">LEN(AC45)</f>
        <v>55</v>
      </c>
      <c r="AE45" s="21" t="s">
        <v>1662</v>
      </c>
      <c r="AF45" s="25" t="n">
        <f aca="false">LEN(AE45)</f>
        <v>159</v>
      </c>
    </row>
    <row r="46" customFormat="false" ht="15" hidden="false" customHeight="true" outlineLevel="0" collapsed="false">
      <c r="A46" s="21" t="s">
        <v>644</v>
      </c>
      <c r="B46" s="21" t="s">
        <v>1373</v>
      </c>
      <c r="C46" s="21" t="n">
        <v>45</v>
      </c>
      <c r="D46" s="21" t="s">
        <v>313</v>
      </c>
      <c r="E46" s="21"/>
      <c r="F46" s="21" t="s">
        <v>1374</v>
      </c>
      <c r="G46" s="21" t="s">
        <v>396</v>
      </c>
      <c r="H46" s="21" t="s">
        <v>397</v>
      </c>
      <c r="I46" s="21" t="s">
        <v>645</v>
      </c>
      <c r="J46" s="21" t="s">
        <v>1663</v>
      </c>
      <c r="K46" s="21" t="n">
        <v>9.99</v>
      </c>
      <c r="L46" s="21" t="s">
        <v>1664</v>
      </c>
      <c r="M46" s="21" t="s">
        <v>1665</v>
      </c>
      <c r="N46" s="21" t="s">
        <v>1666</v>
      </c>
      <c r="O46" s="21" t="s">
        <v>1667</v>
      </c>
      <c r="P46" s="21"/>
      <c r="Q46" s="22" t="n">
        <f aca="false">IF(L46="","",IFERROR(INDEX('Semrush Data'!$A$1:$Z$20000,MATCH(L46,'Semrush Data'!$A$1:$A$20000,0),MATCH("Volume",'Semrush Data'!$A$1:$Z$1,0)),""))</f>
        <v>0</v>
      </c>
      <c r="R46" s="22" t="str">
        <f aca="false">IF(M46="","",IFERROR(INDEX('Semrush Data'!$A$1:$Z$20000,MATCH(M46,'Semrush Data'!$A$1:$A$20000,0),MATCH("Volume",'Semrush Data'!$A$1:$Z$1,0)),""))</f>
        <v/>
      </c>
      <c r="S46" s="22" t="str">
        <f aca="false">IF(N46="","",IFERROR(INDEX('Semrush Data'!$A$1:$Z$20000,MATCH(N46,'Semrush Data'!$A$1:$A$20000,0),MATCH("Volume",'Semrush Data'!$A$1:$Z$1,0)),""))</f>
        <v/>
      </c>
      <c r="T46" s="22" t="str">
        <f aca="false">IF(O46="","",IFERROR(INDEX('Semrush Data'!$A$1:$Z$20000,MATCH(O46,'Semrush Data'!$A$1:$A$20000,0),MATCH("Volume",'Semrush Data'!$A$1:$Z$1,0)),""))</f>
        <v/>
      </c>
      <c r="U46" s="22" t="str">
        <f aca="false">IF(P46="","",IFERROR(INDEX('Semrush Data'!$A$1:$Z$20000,MATCH(P46,'Semrush Data'!$A$1:$A$20000,0),MATCH("Volume",'Semrush Data'!$A$1:$Z$1,0)),""))</f>
        <v/>
      </c>
      <c r="V46" s="23" t="str">
        <f aca="false">IF(COUNT(Q46:U46)=0,L46,IF(MAX(Q46:U46)=0,L46,INDEX(L46:P46,MATCH(MAX(Q46:U46),Q46:U46,0))))</f>
        <v>vilvah mango shake lip balm</v>
      </c>
      <c r="W46" s="22" t="n">
        <f aca="false">IFERROR(INDEX('Semrush Data'!$A$1:$Z$20000,MATCH(V46,'Semrush Data'!$A$1:$A$20000,0),MATCH("Volume",'Semrush Data'!$A$1:$Z$1,0)),"")</f>
        <v>0</v>
      </c>
      <c r="X46" s="22" t="n">
        <f aca="false">IFERROR(INDEX('Semrush Data'!$A$1:$Z$20000,MATCH(V46,'Semrush Data'!$A$1:$A$20000,0),MATCH("Keyword Difficulty*",'Semrush Data'!$A$1:$Z$1,0)),"")</f>
        <v>17</v>
      </c>
      <c r="Y46" s="24" t="n">
        <f aca="false">IFERROR(INDEX('Semrush Data'!$A$1:$Z$20000,MATCH(V46,'Semrush Data'!$A$1:$A$20000,0),MATCH("CPC*",'Semrush Data'!$A$1:$Z$1,0)),"")</f>
        <v>0</v>
      </c>
      <c r="Z46" s="21" t="s">
        <v>1450</v>
      </c>
      <c r="AA46" s="21" t="s">
        <v>643</v>
      </c>
      <c r="AB46" s="21" t="s">
        <v>646</v>
      </c>
      <c r="AC46" s="21" t="s">
        <v>1668</v>
      </c>
      <c r="AD46" s="25" t="n">
        <f aca="false">LEN(AC46)</f>
        <v>54</v>
      </c>
      <c r="AE46" s="21" t="s">
        <v>1669</v>
      </c>
      <c r="AF46" s="25" t="n">
        <f aca="false">LEN(AE46)</f>
        <v>158</v>
      </c>
    </row>
    <row r="47" customFormat="false" ht="15" hidden="false" customHeight="true" outlineLevel="0" collapsed="false">
      <c r="A47" s="21" t="s">
        <v>650</v>
      </c>
      <c r="B47" s="21" t="s">
        <v>1373</v>
      </c>
      <c r="C47" s="21" t="n">
        <v>46</v>
      </c>
      <c r="D47" s="21" t="s">
        <v>313</v>
      </c>
      <c r="E47" s="21"/>
      <c r="F47" s="21" t="s">
        <v>1374</v>
      </c>
      <c r="G47" s="21" t="s">
        <v>396</v>
      </c>
      <c r="H47" s="21" t="s">
        <v>397</v>
      </c>
      <c r="I47" s="21" t="s">
        <v>651</v>
      </c>
      <c r="J47" s="21" t="s">
        <v>1663</v>
      </c>
      <c r="K47" s="21" t="n">
        <v>9.99</v>
      </c>
      <c r="L47" s="21" t="s">
        <v>1670</v>
      </c>
      <c r="M47" s="21" t="s">
        <v>1671</v>
      </c>
      <c r="N47" s="21" t="s">
        <v>1672</v>
      </c>
      <c r="O47" s="21" t="s">
        <v>1673</v>
      </c>
      <c r="P47" s="21"/>
      <c r="Q47" s="22" t="n">
        <f aca="false">IF(L47="","",IFERROR(INDEX('Semrush Data'!$A$1:$Z$20000,MATCH(L47,'Semrush Data'!$A$1:$A$20000,0),MATCH("Volume",'Semrush Data'!$A$1:$Z$1,0)),""))</f>
        <v>0</v>
      </c>
      <c r="R47" s="22" t="str">
        <f aca="false">IF(M47="","",IFERROR(INDEX('Semrush Data'!$A$1:$Z$20000,MATCH(M47,'Semrush Data'!$A$1:$A$20000,0),MATCH("Volume",'Semrush Data'!$A$1:$Z$1,0)),""))</f>
        <v/>
      </c>
      <c r="S47" s="22" t="str">
        <f aca="false">IF(N47="","",IFERROR(INDEX('Semrush Data'!$A$1:$Z$20000,MATCH(N47,'Semrush Data'!$A$1:$A$20000,0),MATCH("Volume",'Semrush Data'!$A$1:$Z$1,0)),""))</f>
        <v/>
      </c>
      <c r="T47" s="22" t="str">
        <f aca="false">IF(O47="","",IFERROR(INDEX('Semrush Data'!$A$1:$Z$20000,MATCH(O47,'Semrush Data'!$A$1:$A$20000,0),MATCH("Volume",'Semrush Data'!$A$1:$Z$1,0)),""))</f>
        <v/>
      </c>
      <c r="U47" s="22" t="str">
        <f aca="false">IF(P47="","",IFERROR(INDEX('Semrush Data'!$A$1:$Z$20000,MATCH(P47,'Semrush Data'!$A$1:$A$20000,0),MATCH("Volume",'Semrush Data'!$A$1:$Z$1,0)),""))</f>
        <v/>
      </c>
      <c r="V47" s="23" t="str">
        <f aca="false">IF(COUNT(Q47:U47)=0,L47,IF(MAX(Q47:U47)=0,L47,INDEX(L47:P47,MATCH(MAX(Q47:U47),Q47:U47,0))))</f>
        <v>vilvah cream bun lip balm</v>
      </c>
      <c r="W47" s="22" t="n">
        <f aca="false">IFERROR(INDEX('Semrush Data'!$A$1:$Z$20000,MATCH(V47,'Semrush Data'!$A$1:$A$20000,0),MATCH("Volume",'Semrush Data'!$A$1:$Z$1,0)),"")</f>
        <v>0</v>
      </c>
      <c r="X47" s="22" t="n">
        <f aca="false">IFERROR(INDEX('Semrush Data'!$A$1:$Z$20000,MATCH(V47,'Semrush Data'!$A$1:$A$20000,0),MATCH("Keyword Difficulty*",'Semrush Data'!$A$1:$Z$1,0)),"")</f>
        <v>19</v>
      </c>
      <c r="Y47" s="24" t="n">
        <f aca="false">IFERROR(INDEX('Semrush Data'!$A$1:$Z$20000,MATCH(V47,'Semrush Data'!$A$1:$A$20000,0),MATCH("CPC*",'Semrush Data'!$A$1:$Z$1,0)),"")</f>
        <v>0</v>
      </c>
      <c r="Z47" s="21" t="s">
        <v>1450</v>
      </c>
      <c r="AA47" s="21" t="s">
        <v>656</v>
      </c>
      <c r="AB47" s="21" t="s">
        <v>652</v>
      </c>
      <c r="AC47" s="21" t="s">
        <v>1674</v>
      </c>
      <c r="AD47" s="25" t="n">
        <f aca="false">LEN(AC47)</f>
        <v>52</v>
      </c>
      <c r="AE47" s="21" t="s">
        <v>1675</v>
      </c>
      <c r="AF47" s="25" t="n">
        <f aca="false">LEN(AE47)</f>
        <v>159</v>
      </c>
    </row>
    <row r="48" customFormat="false" ht="15" hidden="false" customHeight="true" outlineLevel="0" collapsed="false">
      <c r="A48" s="21" t="s">
        <v>657</v>
      </c>
      <c r="B48" s="21" t="s">
        <v>1373</v>
      </c>
      <c r="C48" s="21" t="n">
        <v>47</v>
      </c>
      <c r="D48" s="21" t="s">
        <v>313</v>
      </c>
      <c r="E48" s="21"/>
      <c r="F48" s="21" t="s">
        <v>1676</v>
      </c>
      <c r="G48" s="21" t="s">
        <v>659</v>
      </c>
      <c r="H48" s="21" t="s">
        <v>375</v>
      </c>
      <c r="I48" s="21" t="s">
        <v>658</v>
      </c>
      <c r="J48" s="21"/>
      <c r="K48" s="21" t="n">
        <v>44.99</v>
      </c>
      <c r="L48" s="21" t="s">
        <v>1677</v>
      </c>
      <c r="M48" s="21" t="s">
        <v>1678</v>
      </c>
      <c r="N48" s="21" t="s">
        <v>1679</v>
      </c>
      <c r="O48" s="21" t="s">
        <v>1680</v>
      </c>
      <c r="P48" s="21"/>
      <c r="Q48" s="22" t="n">
        <f aca="false">IF(L48="","",IFERROR(INDEX('Semrush Data'!$A$1:$Z$20000,MATCH(L48,'Semrush Data'!$A$1:$A$20000,0),MATCH("Volume",'Semrush Data'!$A$1:$Z$1,0)),""))</f>
        <v>0</v>
      </c>
      <c r="R48" s="22" t="str">
        <f aca="false">IF(M48="","",IFERROR(INDEX('Semrush Data'!$A$1:$Z$20000,MATCH(M48,'Semrush Data'!$A$1:$A$20000,0),MATCH("Volume",'Semrush Data'!$A$1:$Z$1,0)),""))</f>
        <v/>
      </c>
      <c r="S48" s="22" t="str">
        <f aca="false">IF(N48="","",IFERROR(INDEX('Semrush Data'!$A$1:$Z$20000,MATCH(N48,'Semrush Data'!$A$1:$A$20000,0),MATCH("Volume",'Semrush Data'!$A$1:$Z$1,0)),""))</f>
        <v/>
      </c>
      <c r="T48" s="22" t="str">
        <f aca="false">IF(O48="","",IFERROR(INDEX('Semrush Data'!$A$1:$Z$20000,MATCH(O48,'Semrush Data'!$A$1:$A$20000,0),MATCH("Volume",'Semrush Data'!$A$1:$Z$1,0)),""))</f>
        <v/>
      </c>
      <c r="U48" s="22" t="str">
        <f aca="false">IF(P48="","",IFERROR(INDEX('Semrush Data'!$A$1:$Z$20000,MATCH(P48,'Semrush Data'!$A$1:$A$20000,0),MATCH("Volume",'Semrush Data'!$A$1:$Z$1,0)),""))</f>
        <v/>
      </c>
      <c r="V48" s="23" t="str">
        <f aca="false">IF(COUNT(Q48:U48)=0,L48,IF(MAX(Q48:U48)=0,L48,INDEX(L48:P48,MATCH(MAX(Q48:U48),Q48:U48,0))))</f>
        <v>vilvah milk body kit</v>
      </c>
      <c r="W48" s="22" t="n">
        <f aca="false">IFERROR(INDEX('Semrush Data'!$A$1:$Z$20000,MATCH(V48,'Semrush Data'!$A$1:$A$20000,0),MATCH("Volume",'Semrush Data'!$A$1:$Z$1,0)),"")</f>
        <v>0</v>
      </c>
      <c r="X48" s="22" t="n">
        <f aca="false">IFERROR(INDEX('Semrush Data'!$A$1:$Z$20000,MATCH(V48,'Semrush Data'!$A$1:$A$20000,0),MATCH("Keyword Difficulty*",'Semrush Data'!$A$1:$Z$1,0)),"")</f>
        <v>30</v>
      </c>
      <c r="Y48" s="24" t="n">
        <f aca="false">IFERROR(INDEX('Semrush Data'!$A$1:$Z$20000,MATCH(V48,'Semrush Data'!$A$1:$A$20000,0),MATCH("CPC*",'Semrush Data'!$A$1:$Z$1,0)),"")</f>
        <v>0</v>
      </c>
      <c r="Z48" s="21" t="s">
        <v>1681</v>
      </c>
      <c r="AA48" s="21"/>
      <c r="AB48" s="21" t="s">
        <v>658</v>
      </c>
      <c r="AC48" s="21" t="s">
        <v>1682</v>
      </c>
      <c r="AD48" s="25" t="n">
        <f aca="false">LEN(AC48)</f>
        <v>53</v>
      </c>
      <c r="AE48" s="21" t="s">
        <v>1683</v>
      </c>
      <c r="AF48" s="25" t="n">
        <f aca="false">LEN(AE48)</f>
        <v>154</v>
      </c>
    </row>
    <row r="49" customFormat="false" ht="15" hidden="false" customHeight="true" outlineLevel="0" collapsed="false">
      <c r="A49" s="21" t="s">
        <v>664</v>
      </c>
      <c r="B49" s="21" t="s">
        <v>1373</v>
      </c>
      <c r="C49" s="21" t="n">
        <v>48</v>
      </c>
      <c r="D49" s="21" t="s">
        <v>313</v>
      </c>
      <c r="E49" s="21"/>
      <c r="F49" s="21" t="s">
        <v>1676</v>
      </c>
      <c r="G49" s="21" t="s">
        <v>659</v>
      </c>
      <c r="H49" s="21" t="s">
        <v>375</v>
      </c>
      <c r="I49" s="21" t="s">
        <v>665</v>
      </c>
      <c r="J49" s="21"/>
      <c r="K49" s="21" t="n">
        <v>39.99</v>
      </c>
      <c r="L49" s="21" t="s">
        <v>1684</v>
      </c>
      <c r="M49" s="21" t="s">
        <v>1685</v>
      </c>
      <c r="N49" s="21" t="s">
        <v>1686</v>
      </c>
      <c r="O49" s="21" t="s">
        <v>1687</v>
      </c>
      <c r="P49" s="21"/>
      <c r="Q49" s="22" t="n">
        <f aca="false">IF(L49="","",IFERROR(INDEX('Semrush Data'!$A$1:$Z$20000,MATCH(L49,'Semrush Data'!$A$1:$A$20000,0),MATCH("Volume",'Semrush Data'!$A$1:$Z$1,0)),""))</f>
        <v>0</v>
      </c>
      <c r="R49" s="22" t="str">
        <f aca="false">IF(M49="","",IFERROR(INDEX('Semrush Data'!$A$1:$Z$20000,MATCH(M49,'Semrush Data'!$A$1:$A$20000,0),MATCH("Volume",'Semrush Data'!$A$1:$Z$1,0)),""))</f>
        <v/>
      </c>
      <c r="S49" s="22" t="str">
        <f aca="false">IF(N49="","",IFERROR(INDEX('Semrush Data'!$A$1:$Z$20000,MATCH(N49,'Semrush Data'!$A$1:$A$20000,0),MATCH("Volume",'Semrush Data'!$A$1:$Z$1,0)),""))</f>
        <v/>
      </c>
      <c r="T49" s="22" t="str">
        <f aca="false">IF(O49="","",IFERROR(INDEX('Semrush Data'!$A$1:$Z$20000,MATCH(O49,'Semrush Data'!$A$1:$A$20000,0),MATCH("Volume",'Semrush Data'!$A$1:$Z$1,0)),""))</f>
        <v/>
      </c>
      <c r="U49" s="22" t="str">
        <f aca="false">IF(P49="","",IFERROR(INDEX('Semrush Data'!$A$1:$Z$20000,MATCH(P49,'Semrush Data'!$A$1:$A$20000,0),MATCH("Volume",'Semrush Data'!$A$1:$Z$1,0)),""))</f>
        <v/>
      </c>
      <c r="V49" s="23" t="str">
        <f aca="false">IF(COUNT(Q49:U49)=0,L49,IF(MAX(Q49:U49)=0,L49,INDEX(L49:P49,MATCH(MAX(Q49:U49),Q49:U49,0))))</f>
        <v>vilvah foot cream and body lotion kit</v>
      </c>
      <c r="W49" s="22" t="n">
        <f aca="false">IFERROR(INDEX('Semrush Data'!$A$1:$Z$20000,MATCH(V49,'Semrush Data'!$A$1:$A$20000,0),MATCH("Volume",'Semrush Data'!$A$1:$Z$1,0)),"")</f>
        <v>0</v>
      </c>
      <c r="X49" s="22" t="n">
        <f aca="false">IFERROR(INDEX('Semrush Data'!$A$1:$Z$20000,MATCH(V49,'Semrush Data'!$A$1:$A$20000,0),MATCH("Keyword Difficulty*",'Semrush Data'!$A$1:$Z$1,0)),"")</f>
        <v>18</v>
      </c>
      <c r="Y49" s="24" t="n">
        <f aca="false">IFERROR(INDEX('Semrush Data'!$A$1:$Z$20000,MATCH(V49,'Semrush Data'!$A$1:$A$20000,0),MATCH("CPC*",'Semrush Data'!$A$1:$Z$1,0)),"")</f>
        <v>0</v>
      </c>
      <c r="Z49" s="21" t="s">
        <v>1681</v>
      </c>
      <c r="AA49" s="21"/>
      <c r="AB49" s="21" t="s">
        <v>665</v>
      </c>
      <c r="AC49" s="21" t="s">
        <v>1688</v>
      </c>
      <c r="AD49" s="25" t="n">
        <f aca="false">LEN(AC49)</f>
        <v>51</v>
      </c>
      <c r="AE49" s="21" t="s">
        <v>1689</v>
      </c>
      <c r="AF49" s="25" t="n">
        <f aca="false">LEN(AE49)</f>
        <v>153</v>
      </c>
    </row>
    <row r="50" customFormat="false" ht="15" hidden="false" customHeight="true" outlineLevel="0" collapsed="false">
      <c r="A50" s="21" t="s">
        <v>669</v>
      </c>
      <c r="B50" s="21" t="s">
        <v>1373</v>
      </c>
      <c r="C50" s="21" t="n">
        <v>49</v>
      </c>
      <c r="D50" s="21" t="s">
        <v>313</v>
      </c>
      <c r="E50" s="21"/>
      <c r="F50" s="21" t="s">
        <v>1676</v>
      </c>
      <c r="G50" s="21" t="s">
        <v>659</v>
      </c>
      <c r="H50" s="21" t="s">
        <v>375</v>
      </c>
      <c r="I50" s="21" t="s">
        <v>670</v>
      </c>
      <c r="J50" s="21"/>
      <c r="K50" s="21" t="n">
        <v>45.99</v>
      </c>
      <c r="L50" s="21" t="s">
        <v>1690</v>
      </c>
      <c r="M50" s="21" t="s">
        <v>1691</v>
      </c>
      <c r="N50" s="21" t="s">
        <v>1692</v>
      </c>
      <c r="O50" s="21" t="s">
        <v>1693</v>
      </c>
      <c r="P50" s="21"/>
      <c r="Q50" s="22" t="n">
        <f aca="false">IF(L50="","",IFERROR(INDEX('Semrush Data'!$A$1:$Z$20000,MATCH(L50,'Semrush Data'!$A$1:$A$20000,0),MATCH("Volume",'Semrush Data'!$A$1:$Z$1,0)),""))</f>
        <v>0</v>
      </c>
      <c r="R50" s="22" t="str">
        <f aca="false">IF(M50="","",IFERROR(INDEX('Semrush Data'!$A$1:$Z$20000,MATCH(M50,'Semrush Data'!$A$1:$A$20000,0),MATCH("Volume",'Semrush Data'!$A$1:$Z$1,0)),""))</f>
        <v/>
      </c>
      <c r="S50" s="22" t="str">
        <f aca="false">IF(N50="","",IFERROR(INDEX('Semrush Data'!$A$1:$Z$20000,MATCH(N50,'Semrush Data'!$A$1:$A$20000,0),MATCH("Volume",'Semrush Data'!$A$1:$Z$1,0)),""))</f>
        <v/>
      </c>
      <c r="T50" s="22" t="str">
        <f aca="false">IF(O50="","",IFERROR(INDEX('Semrush Data'!$A$1:$Z$20000,MATCH(O50,'Semrush Data'!$A$1:$A$20000,0),MATCH("Volume",'Semrush Data'!$A$1:$Z$1,0)),""))</f>
        <v/>
      </c>
      <c r="U50" s="22" t="str">
        <f aca="false">IF(P50="","",IFERROR(INDEX('Semrush Data'!$A$1:$Z$20000,MATCH(P50,'Semrush Data'!$A$1:$A$20000,0),MATCH("Volume",'Semrush Data'!$A$1:$Z$1,0)),""))</f>
        <v/>
      </c>
      <c r="V50" s="23" t="str">
        <f aca="false">IF(COUNT(Q50:U50)=0,L50,IF(MAX(Q50:U50)=0,L50,INDEX(L50:P50,MATCH(MAX(Q50:U50),Q50:U50,0))))</f>
        <v>vilvah milk face kit</v>
      </c>
      <c r="W50" s="22" t="n">
        <f aca="false">IFERROR(INDEX('Semrush Data'!$A$1:$Z$20000,MATCH(V50,'Semrush Data'!$A$1:$A$20000,0),MATCH("Volume",'Semrush Data'!$A$1:$Z$1,0)),"")</f>
        <v>0</v>
      </c>
      <c r="X50" s="22" t="n">
        <f aca="false">IFERROR(INDEX('Semrush Data'!$A$1:$Z$20000,MATCH(V50,'Semrush Data'!$A$1:$A$20000,0),MATCH("Keyword Difficulty*",'Semrush Data'!$A$1:$Z$1,0)),"")</f>
        <v>14</v>
      </c>
      <c r="Y50" s="24" t="n">
        <f aca="false">IFERROR(INDEX('Semrush Data'!$A$1:$Z$20000,MATCH(V50,'Semrush Data'!$A$1:$A$20000,0),MATCH("CPC*",'Semrush Data'!$A$1:$Z$1,0)),"")</f>
        <v>0</v>
      </c>
      <c r="Z50" s="21" t="s">
        <v>1681</v>
      </c>
      <c r="AA50" s="21"/>
      <c r="AB50" s="21" t="s">
        <v>670</v>
      </c>
      <c r="AC50" s="21" t="s">
        <v>1694</v>
      </c>
      <c r="AD50" s="25" t="n">
        <f aca="false">LEN(AC50)</f>
        <v>53</v>
      </c>
      <c r="AE50" s="21" t="s">
        <v>1695</v>
      </c>
      <c r="AF50" s="25" t="n">
        <f aca="false">LEN(AE50)</f>
        <v>154</v>
      </c>
    </row>
    <row r="51" customFormat="false" ht="15" hidden="false" customHeight="true" outlineLevel="0" collapsed="false">
      <c r="A51" s="21" t="s">
        <v>674</v>
      </c>
      <c r="B51" s="21" t="s">
        <v>1373</v>
      </c>
      <c r="C51" s="21" t="n">
        <v>50</v>
      </c>
      <c r="D51" s="21" t="s">
        <v>313</v>
      </c>
      <c r="E51" s="21"/>
      <c r="F51" s="21" t="s">
        <v>1676</v>
      </c>
      <c r="G51" s="21" t="s">
        <v>659</v>
      </c>
      <c r="H51" s="21" t="s">
        <v>511</v>
      </c>
      <c r="I51" s="21" t="s">
        <v>675</v>
      </c>
      <c r="J51" s="21"/>
      <c r="K51" s="21" t="n">
        <v>32.99</v>
      </c>
      <c r="L51" s="21" t="s">
        <v>1696</v>
      </c>
      <c r="M51" s="21" t="s">
        <v>1697</v>
      </c>
      <c r="N51" s="21" t="s">
        <v>1698</v>
      </c>
      <c r="O51" s="21" t="s">
        <v>1699</v>
      </c>
      <c r="P51" s="21"/>
      <c r="Q51" s="22" t="n">
        <f aca="false">IF(L51="","",IFERROR(INDEX('Semrush Data'!$A$1:$Z$20000,MATCH(L51,'Semrush Data'!$A$1:$A$20000,0),MATCH("Volume",'Semrush Data'!$A$1:$Z$1,0)),""))</f>
        <v>0</v>
      </c>
      <c r="R51" s="22" t="str">
        <f aca="false">IF(M51="","",IFERROR(INDEX('Semrush Data'!$A$1:$Z$20000,MATCH(M51,'Semrush Data'!$A$1:$A$20000,0),MATCH("Volume",'Semrush Data'!$A$1:$Z$1,0)),""))</f>
        <v/>
      </c>
      <c r="S51" s="22" t="str">
        <f aca="false">IF(N51="","",IFERROR(INDEX('Semrush Data'!$A$1:$Z$20000,MATCH(N51,'Semrush Data'!$A$1:$A$20000,0),MATCH("Volume",'Semrush Data'!$A$1:$Z$1,0)),""))</f>
        <v/>
      </c>
      <c r="T51" s="22" t="str">
        <f aca="false">IF(O51="","",IFERROR(INDEX('Semrush Data'!$A$1:$Z$20000,MATCH(O51,'Semrush Data'!$A$1:$A$20000,0),MATCH("Volume",'Semrush Data'!$A$1:$Z$1,0)),""))</f>
        <v/>
      </c>
      <c r="U51" s="22" t="str">
        <f aca="false">IF(P51="","",IFERROR(INDEX('Semrush Data'!$A$1:$Z$20000,MATCH(P51,'Semrush Data'!$A$1:$A$20000,0),MATCH("Volume",'Semrush Data'!$A$1:$Z$1,0)),""))</f>
        <v/>
      </c>
      <c r="V51" s="23" t="str">
        <f aca="false">IF(COUNT(Q51:U51)=0,L51,IF(MAX(Q51:U51)=0,L51,INDEX(L51:P51,MATCH(MAX(Q51:U51),Q51:U51,0))))</f>
        <v>vilvah oil control kit</v>
      </c>
      <c r="W51" s="22" t="n">
        <f aca="false">IFERROR(INDEX('Semrush Data'!$A$1:$Z$20000,MATCH(V51,'Semrush Data'!$A$1:$A$20000,0),MATCH("Volume",'Semrush Data'!$A$1:$Z$1,0)),"")</f>
        <v>0</v>
      </c>
      <c r="X51" s="22" t="n">
        <f aca="false">IFERROR(INDEX('Semrush Data'!$A$1:$Z$20000,MATCH(V51,'Semrush Data'!$A$1:$A$20000,0),MATCH("Keyword Difficulty*",'Semrush Data'!$A$1:$Z$1,0)),"")</f>
        <v>12</v>
      </c>
      <c r="Y51" s="24" t="n">
        <f aca="false">IFERROR(INDEX('Semrush Data'!$A$1:$Z$20000,MATCH(V51,'Semrush Data'!$A$1:$A$20000,0),MATCH("CPC*",'Semrush Data'!$A$1:$Z$1,0)),"")</f>
        <v>0</v>
      </c>
      <c r="Z51" s="21" t="s">
        <v>1681</v>
      </c>
      <c r="AA51" s="21"/>
      <c r="AB51" s="21" t="s">
        <v>676</v>
      </c>
      <c r="AC51" s="21" t="s">
        <v>1700</v>
      </c>
      <c r="AD51" s="25" t="n">
        <f aca="false">LEN(AC51)</f>
        <v>55</v>
      </c>
      <c r="AE51" s="21" t="s">
        <v>1701</v>
      </c>
      <c r="AF51" s="25" t="n">
        <f aca="false">LEN(AE51)</f>
        <v>156</v>
      </c>
    </row>
    <row r="52" customFormat="false" ht="15" hidden="false" customHeight="true" outlineLevel="0" collapsed="false">
      <c r="A52" s="21" t="s">
        <v>680</v>
      </c>
      <c r="B52" s="21" t="s">
        <v>1373</v>
      </c>
      <c r="C52" s="21" t="n">
        <v>51</v>
      </c>
      <c r="D52" s="21" t="s">
        <v>313</v>
      </c>
      <c r="E52" s="21"/>
      <c r="F52" s="21" t="s">
        <v>1676</v>
      </c>
      <c r="G52" s="21" t="s">
        <v>659</v>
      </c>
      <c r="H52" s="21" t="s">
        <v>682</v>
      </c>
      <c r="I52" s="21" t="s">
        <v>681</v>
      </c>
      <c r="J52" s="21"/>
      <c r="K52" s="21" t="n">
        <v>24.99</v>
      </c>
      <c r="L52" s="21" t="s">
        <v>1702</v>
      </c>
      <c r="M52" s="21" t="s">
        <v>1703</v>
      </c>
      <c r="N52" s="21" t="s">
        <v>1704</v>
      </c>
      <c r="O52" s="21" t="s">
        <v>1705</v>
      </c>
      <c r="P52" s="21"/>
      <c r="Q52" s="22" t="n">
        <f aca="false">IF(L52="","",IFERROR(INDEX('Semrush Data'!$A$1:$Z$20000,MATCH(L52,'Semrush Data'!$A$1:$A$20000,0),MATCH("Volume",'Semrush Data'!$A$1:$Z$1,0)),""))</f>
        <v>0</v>
      </c>
      <c r="R52" s="22" t="str">
        <f aca="false">IF(M52="","",IFERROR(INDEX('Semrush Data'!$A$1:$Z$20000,MATCH(M52,'Semrush Data'!$A$1:$A$20000,0),MATCH("Volume",'Semrush Data'!$A$1:$Z$1,0)),""))</f>
        <v/>
      </c>
      <c r="S52" s="22" t="str">
        <f aca="false">IF(N52="","",IFERROR(INDEX('Semrush Data'!$A$1:$Z$20000,MATCH(N52,'Semrush Data'!$A$1:$A$20000,0),MATCH("Volume",'Semrush Data'!$A$1:$Z$1,0)),""))</f>
        <v/>
      </c>
      <c r="T52" s="22" t="str">
        <f aca="false">IF(O52="","",IFERROR(INDEX('Semrush Data'!$A$1:$Z$20000,MATCH(O52,'Semrush Data'!$A$1:$A$20000,0),MATCH("Volume",'Semrush Data'!$A$1:$Z$1,0)),""))</f>
        <v/>
      </c>
      <c r="U52" s="22" t="str">
        <f aca="false">IF(P52="","",IFERROR(INDEX('Semrush Data'!$A$1:$Z$20000,MATCH(P52,'Semrush Data'!$A$1:$A$20000,0),MATCH("Volume",'Semrush Data'!$A$1:$Z$1,0)),""))</f>
        <v/>
      </c>
      <c r="V52" s="23" t="str">
        <f aca="false">IF(COUNT(Q52:U52)=0,L52,IF(MAX(Q52:U52)=0,L52,INDEX(L52:P52,MATCH(MAX(Q52:U52),Q52:U52,0))))</f>
        <v>vilvah sensitive skin kit</v>
      </c>
      <c r="W52" s="22" t="n">
        <f aca="false">IFERROR(INDEX('Semrush Data'!$A$1:$Z$20000,MATCH(V52,'Semrush Data'!$A$1:$A$20000,0),MATCH("Volume",'Semrush Data'!$A$1:$Z$1,0)),"")</f>
        <v>0</v>
      </c>
      <c r="X52" s="22" t="n">
        <f aca="false">IFERROR(INDEX('Semrush Data'!$A$1:$Z$20000,MATCH(V52,'Semrush Data'!$A$1:$A$20000,0),MATCH("Keyword Difficulty*",'Semrush Data'!$A$1:$Z$1,0)),"")</f>
        <v>12</v>
      </c>
      <c r="Y52" s="24" t="n">
        <f aca="false">IFERROR(INDEX('Semrush Data'!$A$1:$Z$20000,MATCH(V52,'Semrush Data'!$A$1:$A$20000,0),MATCH("CPC*",'Semrush Data'!$A$1:$Z$1,0)),"")</f>
        <v>0</v>
      </c>
      <c r="Z52" s="21" t="s">
        <v>1681</v>
      </c>
      <c r="AA52" s="21"/>
      <c r="AB52" s="21" t="s">
        <v>681</v>
      </c>
      <c r="AC52" s="21" t="s">
        <v>1706</v>
      </c>
      <c r="AD52" s="25" t="n">
        <f aca="false">LEN(AC52)</f>
        <v>52</v>
      </c>
      <c r="AE52" s="21" t="s">
        <v>1707</v>
      </c>
      <c r="AF52" s="25" t="n">
        <f aca="false">LEN(AE52)</f>
        <v>159</v>
      </c>
    </row>
    <row r="53" customFormat="false" ht="15" hidden="false" customHeight="true" outlineLevel="0" collapsed="false">
      <c r="A53" s="21" t="s">
        <v>687</v>
      </c>
      <c r="B53" s="21" t="s">
        <v>1373</v>
      </c>
      <c r="C53" s="21" t="n">
        <v>52</v>
      </c>
      <c r="D53" s="21" t="s">
        <v>313</v>
      </c>
      <c r="E53" s="21"/>
      <c r="F53" s="21" t="s">
        <v>1676</v>
      </c>
      <c r="G53" s="21" t="s">
        <v>659</v>
      </c>
      <c r="H53" s="21" t="s">
        <v>689</v>
      </c>
      <c r="I53" s="21" t="s">
        <v>688</v>
      </c>
      <c r="J53" s="21"/>
      <c r="K53" s="21" t="n">
        <v>26.99</v>
      </c>
      <c r="L53" s="21" t="s">
        <v>1708</v>
      </c>
      <c r="M53" s="21" t="s">
        <v>1709</v>
      </c>
      <c r="N53" s="21" t="s">
        <v>1710</v>
      </c>
      <c r="O53" s="21" t="s">
        <v>1711</v>
      </c>
      <c r="P53" s="21"/>
      <c r="Q53" s="22" t="n">
        <f aca="false">IF(L53="","",IFERROR(INDEX('Semrush Data'!$A$1:$Z$20000,MATCH(L53,'Semrush Data'!$A$1:$A$20000,0),MATCH("Volume",'Semrush Data'!$A$1:$Z$1,0)),""))</f>
        <v>0</v>
      </c>
      <c r="R53" s="22" t="str">
        <f aca="false">IF(M53="","",IFERROR(INDEX('Semrush Data'!$A$1:$Z$20000,MATCH(M53,'Semrush Data'!$A$1:$A$20000,0),MATCH("Volume",'Semrush Data'!$A$1:$Z$1,0)),""))</f>
        <v/>
      </c>
      <c r="S53" s="22" t="str">
        <f aca="false">IF(N53="","",IFERROR(INDEX('Semrush Data'!$A$1:$Z$20000,MATCH(N53,'Semrush Data'!$A$1:$A$20000,0),MATCH("Volume",'Semrush Data'!$A$1:$Z$1,0)),""))</f>
        <v/>
      </c>
      <c r="T53" s="22" t="str">
        <f aca="false">IF(O53="","",IFERROR(INDEX('Semrush Data'!$A$1:$Z$20000,MATCH(O53,'Semrush Data'!$A$1:$A$20000,0),MATCH("Volume",'Semrush Data'!$A$1:$Z$1,0)),""))</f>
        <v/>
      </c>
      <c r="U53" s="22" t="str">
        <f aca="false">IF(P53="","",IFERROR(INDEX('Semrush Data'!$A$1:$Z$20000,MATCH(P53,'Semrush Data'!$A$1:$A$20000,0),MATCH("Volume",'Semrush Data'!$A$1:$Z$1,0)),""))</f>
        <v/>
      </c>
      <c r="V53" s="23" t="str">
        <f aca="false">IF(COUNT(Q53:U53)=0,L53,IF(MAX(Q53:U53)=0,L53,INDEX(L53:P53,MATCH(MAX(Q53:U53),Q53:U53,0))))</f>
        <v>vilvah anti‑acne kit</v>
      </c>
      <c r="W53" s="22" t="n">
        <f aca="false">IFERROR(INDEX('Semrush Data'!$A$1:$Z$20000,MATCH(V53,'Semrush Data'!$A$1:$A$20000,0),MATCH("Volume",'Semrush Data'!$A$1:$Z$1,0)),"")</f>
        <v>0</v>
      </c>
      <c r="X53" s="22" t="n">
        <f aca="false">IFERROR(INDEX('Semrush Data'!$A$1:$Z$20000,MATCH(V53,'Semrush Data'!$A$1:$A$20000,0),MATCH("Keyword Difficulty*",'Semrush Data'!$A$1:$Z$1,0)),"")</f>
        <v>29</v>
      </c>
      <c r="Y53" s="24" t="n">
        <f aca="false">IFERROR(INDEX('Semrush Data'!$A$1:$Z$20000,MATCH(V53,'Semrush Data'!$A$1:$A$20000,0),MATCH("CPC*",'Semrush Data'!$A$1:$Z$1,0)),"")</f>
        <v>0</v>
      </c>
      <c r="Z53" s="21" t="s">
        <v>1681</v>
      </c>
      <c r="AA53" s="21"/>
      <c r="AB53" s="21" t="s">
        <v>688</v>
      </c>
      <c r="AC53" s="21" t="s">
        <v>1712</v>
      </c>
      <c r="AD53" s="25" t="n">
        <f aca="false">LEN(AC53)</f>
        <v>53</v>
      </c>
      <c r="AE53" s="21" t="s">
        <v>1713</v>
      </c>
      <c r="AF53" s="25" t="n">
        <f aca="false">LEN(AE53)</f>
        <v>155</v>
      </c>
    </row>
    <row r="54" customFormat="false" ht="15" hidden="false" customHeight="true" outlineLevel="0" collapsed="false">
      <c r="A54" s="21" t="s">
        <v>693</v>
      </c>
      <c r="B54" s="21" t="s">
        <v>1373</v>
      </c>
      <c r="C54" s="21" t="n">
        <v>53</v>
      </c>
      <c r="D54" s="21" t="s">
        <v>313</v>
      </c>
      <c r="E54" s="21"/>
      <c r="F54" s="21" t="s">
        <v>1676</v>
      </c>
      <c r="G54" s="21" t="s">
        <v>659</v>
      </c>
      <c r="H54" s="21" t="s">
        <v>483</v>
      </c>
      <c r="I54" s="21" t="s">
        <v>694</v>
      </c>
      <c r="J54" s="21"/>
      <c r="K54" s="21" t="n">
        <v>27.99</v>
      </c>
      <c r="L54" s="21" t="s">
        <v>1714</v>
      </c>
      <c r="M54" s="21" t="s">
        <v>1715</v>
      </c>
      <c r="N54" s="21" t="s">
        <v>1716</v>
      </c>
      <c r="O54" s="21" t="s">
        <v>1717</v>
      </c>
      <c r="P54" s="21"/>
      <c r="Q54" s="22" t="n">
        <f aca="false">IF(L54="","",IFERROR(INDEX('Semrush Data'!$A$1:$Z$20000,MATCH(L54,'Semrush Data'!$A$1:$A$20000,0),MATCH("Volume",'Semrush Data'!$A$1:$Z$1,0)),""))</f>
        <v>0</v>
      </c>
      <c r="R54" s="22" t="str">
        <f aca="false">IF(M54="","",IFERROR(INDEX('Semrush Data'!$A$1:$Z$20000,MATCH(M54,'Semrush Data'!$A$1:$A$20000,0),MATCH("Volume",'Semrush Data'!$A$1:$Z$1,0)),""))</f>
        <v/>
      </c>
      <c r="S54" s="22" t="str">
        <f aca="false">IF(N54="","",IFERROR(INDEX('Semrush Data'!$A$1:$Z$20000,MATCH(N54,'Semrush Data'!$A$1:$A$20000,0),MATCH("Volume",'Semrush Data'!$A$1:$Z$1,0)),""))</f>
        <v/>
      </c>
      <c r="T54" s="22" t="str">
        <f aca="false">IF(O54="","",IFERROR(INDEX('Semrush Data'!$A$1:$Z$20000,MATCH(O54,'Semrush Data'!$A$1:$A$20000,0),MATCH("Volume",'Semrush Data'!$A$1:$Z$1,0)),""))</f>
        <v/>
      </c>
      <c r="U54" s="22" t="str">
        <f aca="false">IF(P54="","",IFERROR(INDEX('Semrush Data'!$A$1:$Z$20000,MATCH(P54,'Semrush Data'!$A$1:$A$20000,0),MATCH("Volume",'Semrush Data'!$A$1:$Z$1,0)),""))</f>
        <v/>
      </c>
      <c r="V54" s="23" t="str">
        <f aca="false">IF(COUNT(Q54:U54)=0,L54,IF(MAX(Q54:U54)=0,L54,INDEX(L54:P54,MATCH(MAX(Q54:U54),Q54:U54,0))))</f>
        <v>vilvah anti‑dandruff haircare kit</v>
      </c>
      <c r="W54" s="22" t="n">
        <f aca="false">IFERROR(INDEX('Semrush Data'!$A$1:$Z$20000,MATCH(V54,'Semrush Data'!$A$1:$A$20000,0),MATCH("Volume",'Semrush Data'!$A$1:$Z$1,0)),"")</f>
        <v>0</v>
      </c>
      <c r="X54" s="22" t="n">
        <f aca="false">IFERROR(INDEX('Semrush Data'!$A$1:$Z$20000,MATCH(V54,'Semrush Data'!$A$1:$A$20000,0),MATCH("Keyword Difficulty*",'Semrush Data'!$A$1:$Z$1,0)),"")</f>
        <v>12</v>
      </c>
      <c r="Y54" s="24" t="n">
        <f aca="false">IFERROR(INDEX('Semrush Data'!$A$1:$Z$20000,MATCH(V54,'Semrush Data'!$A$1:$A$20000,0),MATCH("CPC*",'Semrush Data'!$A$1:$Z$1,0)),"")</f>
        <v>0</v>
      </c>
      <c r="Z54" s="21" t="s">
        <v>1681</v>
      </c>
      <c r="AA54" s="21"/>
      <c r="AB54" s="21" t="s">
        <v>694</v>
      </c>
      <c r="AC54" s="21" t="s">
        <v>1718</v>
      </c>
      <c r="AD54" s="25" t="n">
        <f aca="false">LEN(AC54)</f>
        <v>60</v>
      </c>
      <c r="AE54" s="21" t="s">
        <v>1719</v>
      </c>
      <c r="AF54" s="25" t="n">
        <f aca="false">LEN(AE54)</f>
        <v>159</v>
      </c>
    </row>
    <row r="55" customFormat="false" ht="15" hidden="false" customHeight="true" outlineLevel="0" collapsed="false">
      <c r="A55" s="21" t="s">
        <v>698</v>
      </c>
      <c r="B55" s="21" t="s">
        <v>1373</v>
      </c>
      <c r="C55" s="21" t="n">
        <v>54</v>
      </c>
      <c r="D55" s="21" t="s">
        <v>313</v>
      </c>
      <c r="E55" s="21"/>
      <c r="F55" s="21" t="s">
        <v>1676</v>
      </c>
      <c r="G55" s="21" t="s">
        <v>659</v>
      </c>
      <c r="H55" s="21" t="s">
        <v>356</v>
      </c>
      <c r="I55" s="21" t="s">
        <v>699</v>
      </c>
      <c r="J55" s="21"/>
      <c r="K55" s="21" t="n">
        <v>34.99</v>
      </c>
      <c r="L55" s="21" t="s">
        <v>1720</v>
      </c>
      <c r="M55" s="21" t="s">
        <v>1721</v>
      </c>
      <c r="N55" s="21" t="s">
        <v>1722</v>
      </c>
      <c r="O55" s="21" t="s">
        <v>1723</v>
      </c>
      <c r="P55" s="21"/>
      <c r="Q55" s="22" t="n">
        <f aca="false">IF(L55="","",IFERROR(INDEX('Semrush Data'!$A$1:$Z$20000,MATCH(L55,'Semrush Data'!$A$1:$A$20000,0),MATCH("Volume",'Semrush Data'!$A$1:$Z$1,0)),""))</f>
        <v>0</v>
      </c>
      <c r="R55" s="22" t="str">
        <f aca="false">IF(M55="","",IFERROR(INDEX('Semrush Data'!$A$1:$Z$20000,MATCH(M55,'Semrush Data'!$A$1:$A$20000,0),MATCH("Volume",'Semrush Data'!$A$1:$Z$1,0)),""))</f>
        <v/>
      </c>
      <c r="S55" s="22" t="str">
        <f aca="false">IF(N55="","",IFERROR(INDEX('Semrush Data'!$A$1:$Z$20000,MATCH(N55,'Semrush Data'!$A$1:$A$20000,0),MATCH("Volume",'Semrush Data'!$A$1:$Z$1,0)),""))</f>
        <v/>
      </c>
      <c r="T55" s="22" t="str">
        <f aca="false">IF(O55="","",IFERROR(INDEX('Semrush Data'!$A$1:$Z$20000,MATCH(O55,'Semrush Data'!$A$1:$A$20000,0),MATCH("Volume",'Semrush Data'!$A$1:$Z$1,0)),""))</f>
        <v/>
      </c>
      <c r="U55" s="22" t="str">
        <f aca="false">IF(P55="","",IFERROR(INDEX('Semrush Data'!$A$1:$Z$20000,MATCH(P55,'Semrush Data'!$A$1:$A$20000,0),MATCH("Volume",'Semrush Data'!$A$1:$Z$1,0)),""))</f>
        <v/>
      </c>
      <c r="V55" s="23" t="str">
        <f aca="false">IF(COUNT(Q55:U55)=0,L55,IF(MAX(Q55:U55)=0,L55,INDEX(L55:P55,MATCH(MAX(Q55:U55),Q55:U55,0))))</f>
        <v>vilvah sun protection kit</v>
      </c>
      <c r="W55" s="22" t="n">
        <f aca="false">IFERROR(INDEX('Semrush Data'!$A$1:$Z$20000,MATCH(V55,'Semrush Data'!$A$1:$A$20000,0),MATCH("Volume",'Semrush Data'!$A$1:$Z$1,0)),"")</f>
        <v>0</v>
      </c>
      <c r="X55" s="22" t="n">
        <f aca="false">IFERROR(INDEX('Semrush Data'!$A$1:$Z$20000,MATCH(V55,'Semrush Data'!$A$1:$A$20000,0),MATCH("Keyword Difficulty*",'Semrush Data'!$A$1:$Z$1,0)),"")</f>
        <v>12</v>
      </c>
      <c r="Y55" s="24" t="n">
        <f aca="false">IFERROR(INDEX('Semrush Data'!$A$1:$Z$20000,MATCH(V55,'Semrush Data'!$A$1:$A$20000,0),MATCH("CPC*",'Semrush Data'!$A$1:$Z$1,0)),"")</f>
        <v>0</v>
      </c>
      <c r="Z55" s="21" t="s">
        <v>1681</v>
      </c>
      <c r="AA55" s="21"/>
      <c r="AB55" s="21" t="s">
        <v>699</v>
      </c>
      <c r="AC55" s="21" t="s">
        <v>1724</v>
      </c>
      <c r="AD55" s="25" t="n">
        <f aca="false">LEN(AC55)</f>
        <v>52</v>
      </c>
      <c r="AE55" s="21" t="s">
        <v>1725</v>
      </c>
      <c r="AF55" s="25" t="n">
        <f aca="false">LEN(AE55)</f>
        <v>159</v>
      </c>
    </row>
    <row r="56" customFormat="false" ht="15" hidden="false" customHeight="true" outlineLevel="0" collapsed="false">
      <c r="A56" s="21" t="s">
        <v>703</v>
      </c>
      <c r="B56" s="21" t="s">
        <v>1373</v>
      </c>
      <c r="C56" s="21" t="n">
        <v>55</v>
      </c>
      <c r="D56" s="21" t="s">
        <v>313</v>
      </c>
      <c r="E56" s="21"/>
      <c r="F56" s="21" t="s">
        <v>1676</v>
      </c>
      <c r="G56" s="21" t="s">
        <v>659</v>
      </c>
      <c r="H56" s="21" t="s">
        <v>526</v>
      </c>
      <c r="I56" s="21" t="s">
        <v>704</v>
      </c>
      <c r="J56" s="21"/>
      <c r="K56" s="21" t="n">
        <v>29.99</v>
      </c>
      <c r="L56" s="21" t="s">
        <v>1726</v>
      </c>
      <c r="M56" s="21" t="s">
        <v>1727</v>
      </c>
      <c r="N56" s="21" t="s">
        <v>1728</v>
      </c>
      <c r="O56" s="21" t="s">
        <v>1729</v>
      </c>
      <c r="P56" s="21"/>
      <c r="Q56" s="22" t="n">
        <f aca="false">IF(L56="","",IFERROR(INDEX('Semrush Data'!$A$1:$Z$20000,MATCH(L56,'Semrush Data'!$A$1:$A$20000,0),MATCH("Volume",'Semrush Data'!$A$1:$Z$1,0)),""))</f>
        <v>0</v>
      </c>
      <c r="R56" s="22" t="str">
        <f aca="false">IF(M56="","",IFERROR(INDEX('Semrush Data'!$A$1:$Z$20000,MATCH(M56,'Semrush Data'!$A$1:$A$20000,0),MATCH("Volume",'Semrush Data'!$A$1:$Z$1,0)),""))</f>
        <v/>
      </c>
      <c r="S56" s="22" t="str">
        <f aca="false">IF(N56="","",IFERROR(INDEX('Semrush Data'!$A$1:$Z$20000,MATCH(N56,'Semrush Data'!$A$1:$A$20000,0),MATCH("Volume",'Semrush Data'!$A$1:$Z$1,0)),""))</f>
        <v/>
      </c>
      <c r="T56" s="22" t="str">
        <f aca="false">IF(O56="","",IFERROR(INDEX('Semrush Data'!$A$1:$Z$20000,MATCH(O56,'Semrush Data'!$A$1:$A$20000,0),MATCH("Volume",'Semrush Data'!$A$1:$Z$1,0)),""))</f>
        <v/>
      </c>
      <c r="U56" s="22" t="str">
        <f aca="false">IF(P56="","",IFERROR(INDEX('Semrush Data'!$A$1:$Z$20000,MATCH(P56,'Semrush Data'!$A$1:$A$20000,0),MATCH("Volume",'Semrush Data'!$A$1:$Z$1,0)),""))</f>
        <v/>
      </c>
      <c r="V56" s="23" t="str">
        <f aca="false">IF(COUNT(Q56:U56)=0,L56,IF(MAX(Q56:U56)=0,L56,INDEX(L56:P56,MATCH(MAX(Q56:U56),Q56:U56,0))))</f>
        <v>vilvah skin brightening kit</v>
      </c>
      <c r="W56" s="22" t="n">
        <f aca="false">IFERROR(INDEX('Semrush Data'!$A$1:$Z$20000,MATCH(V56,'Semrush Data'!$A$1:$A$20000,0),MATCH("Volume",'Semrush Data'!$A$1:$Z$1,0)),"")</f>
        <v>0</v>
      </c>
      <c r="X56" s="22" t="n">
        <f aca="false">IFERROR(INDEX('Semrush Data'!$A$1:$Z$20000,MATCH(V56,'Semrush Data'!$A$1:$A$20000,0),MATCH("Keyword Difficulty*",'Semrush Data'!$A$1:$Z$1,0)),"")</f>
        <v>30</v>
      </c>
      <c r="Y56" s="24" t="n">
        <f aca="false">IFERROR(INDEX('Semrush Data'!$A$1:$Z$20000,MATCH(V56,'Semrush Data'!$A$1:$A$20000,0),MATCH("CPC*",'Semrush Data'!$A$1:$Z$1,0)),"")</f>
        <v>0</v>
      </c>
      <c r="Z56" s="21" t="s">
        <v>1681</v>
      </c>
      <c r="AA56" s="21"/>
      <c r="AB56" s="21" t="s">
        <v>704</v>
      </c>
      <c r="AC56" s="21" t="s">
        <v>1730</v>
      </c>
      <c r="AD56" s="25" t="n">
        <f aca="false">LEN(AC56)</f>
        <v>54</v>
      </c>
      <c r="AE56" s="21" t="s">
        <v>1731</v>
      </c>
      <c r="AF56" s="25" t="n">
        <f aca="false">LEN(AE56)</f>
        <v>159</v>
      </c>
    </row>
    <row r="57" customFormat="false" ht="15" hidden="false" customHeight="true" outlineLevel="0" collapsed="false">
      <c r="A57" s="21" t="s">
        <v>708</v>
      </c>
      <c r="B57" s="21" t="s">
        <v>1373</v>
      </c>
      <c r="C57" s="21" t="n">
        <v>56</v>
      </c>
      <c r="D57" s="21" t="s">
        <v>313</v>
      </c>
      <c r="E57" s="21"/>
      <c r="F57" s="21" t="s">
        <v>1676</v>
      </c>
      <c r="G57" s="21" t="s">
        <v>659</v>
      </c>
      <c r="H57" s="21" t="s">
        <v>710</v>
      </c>
      <c r="I57" s="21" t="s">
        <v>709</v>
      </c>
      <c r="J57" s="21"/>
      <c r="K57" s="21" t="n">
        <v>39.99</v>
      </c>
      <c r="L57" s="21" t="s">
        <v>1732</v>
      </c>
      <c r="M57" s="21" t="s">
        <v>1733</v>
      </c>
      <c r="N57" s="21" t="s">
        <v>1734</v>
      </c>
      <c r="O57" s="21" t="s">
        <v>1735</v>
      </c>
      <c r="P57" s="21"/>
      <c r="Q57" s="22" t="n">
        <f aca="false">IF(L57="","",IFERROR(INDEX('Semrush Data'!$A$1:$Z$20000,MATCH(L57,'Semrush Data'!$A$1:$A$20000,0),MATCH("Volume",'Semrush Data'!$A$1:$Z$1,0)),""))</f>
        <v>0</v>
      </c>
      <c r="R57" s="22" t="str">
        <f aca="false">IF(M57="","",IFERROR(INDEX('Semrush Data'!$A$1:$Z$20000,MATCH(M57,'Semrush Data'!$A$1:$A$20000,0),MATCH("Volume",'Semrush Data'!$A$1:$Z$1,0)),""))</f>
        <v/>
      </c>
      <c r="S57" s="22" t="str">
        <f aca="false">IF(N57="","",IFERROR(INDEX('Semrush Data'!$A$1:$Z$20000,MATCH(N57,'Semrush Data'!$A$1:$A$20000,0),MATCH("Volume",'Semrush Data'!$A$1:$Z$1,0)),""))</f>
        <v/>
      </c>
      <c r="T57" s="22" t="str">
        <f aca="false">IF(O57="","",IFERROR(INDEX('Semrush Data'!$A$1:$Z$20000,MATCH(O57,'Semrush Data'!$A$1:$A$20000,0),MATCH("Volume",'Semrush Data'!$A$1:$Z$1,0)),""))</f>
        <v/>
      </c>
      <c r="U57" s="22" t="str">
        <f aca="false">IF(P57="","",IFERROR(INDEX('Semrush Data'!$A$1:$Z$20000,MATCH(P57,'Semrush Data'!$A$1:$A$20000,0),MATCH("Volume",'Semrush Data'!$A$1:$Z$1,0)),""))</f>
        <v/>
      </c>
      <c r="V57" s="23" t="str">
        <f aca="false">IF(COUNT(Q57:U57)=0,L57,IF(MAX(Q57:U57)=0,L57,INDEX(L57:P57,MATCH(MAX(Q57:U57),Q57:U57,0))))</f>
        <v>vilvah night repair kit</v>
      </c>
      <c r="W57" s="22" t="n">
        <f aca="false">IFERROR(INDEX('Semrush Data'!$A$1:$Z$20000,MATCH(V57,'Semrush Data'!$A$1:$A$20000,0),MATCH("Volume",'Semrush Data'!$A$1:$Z$1,0)),"")</f>
        <v>0</v>
      </c>
      <c r="X57" s="22" t="n">
        <f aca="false">IFERROR(INDEX('Semrush Data'!$A$1:$Z$20000,MATCH(V57,'Semrush Data'!$A$1:$A$20000,0),MATCH("Keyword Difficulty*",'Semrush Data'!$A$1:$Z$1,0)),"")</f>
        <v>12</v>
      </c>
      <c r="Y57" s="24" t="n">
        <f aca="false">IFERROR(INDEX('Semrush Data'!$A$1:$Z$20000,MATCH(V57,'Semrush Data'!$A$1:$A$20000,0),MATCH("CPC*",'Semrush Data'!$A$1:$Z$1,0)),"")</f>
        <v>0</v>
      </c>
      <c r="Z57" s="21" t="s">
        <v>1681</v>
      </c>
      <c r="AA57" s="21"/>
      <c r="AB57" s="21" t="s">
        <v>709</v>
      </c>
      <c r="AC57" s="21" t="s">
        <v>1736</v>
      </c>
      <c r="AD57" s="25" t="n">
        <f aca="false">LEN(AC57)</f>
        <v>50</v>
      </c>
      <c r="AE57" s="21" t="s">
        <v>1737</v>
      </c>
      <c r="AF57" s="25" t="n">
        <f aca="false">LEN(AE57)</f>
        <v>157</v>
      </c>
    </row>
    <row r="58" customFormat="false" ht="15" hidden="false" customHeight="true" outlineLevel="0" collapsed="false">
      <c r="A58" s="21" t="s">
        <v>714</v>
      </c>
      <c r="B58" s="21" t="s">
        <v>1373</v>
      </c>
      <c r="C58" s="21" t="n">
        <v>57</v>
      </c>
      <c r="D58" s="21" t="s">
        <v>313</v>
      </c>
      <c r="E58" s="21"/>
      <c r="F58" s="21" t="s">
        <v>1676</v>
      </c>
      <c r="G58" s="21" t="s">
        <v>659</v>
      </c>
      <c r="H58" s="21" t="s">
        <v>526</v>
      </c>
      <c r="I58" s="21" t="s">
        <v>715</v>
      </c>
      <c r="J58" s="21"/>
      <c r="K58" s="21" t="n">
        <v>47.99</v>
      </c>
      <c r="L58" s="21" t="s">
        <v>1738</v>
      </c>
      <c r="M58" s="21" t="s">
        <v>1739</v>
      </c>
      <c r="N58" s="21" t="s">
        <v>1740</v>
      </c>
      <c r="O58" s="21" t="s">
        <v>1741</v>
      </c>
      <c r="P58" s="21"/>
      <c r="Q58" s="22" t="n">
        <f aca="false">IF(L58="","",IFERROR(INDEX('Semrush Data'!$A$1:$Z$20000,MATCH(L58,'Semrush Data'!$A$1:$A$20000,0),MATCH("Volume",'Semrush Data'!$A$1:$Z$1,0)),""))</f>
        <v>0</v>
      </c>
      <c r="R58" s="22" t="str">
        <f aca="false">IF(M58="","",IFERROR(INDEX('Semrush Data'!$A$1:$Z$20000,MATCH(M58,'Semrush Data'!$A$1:$A$20000,0),MATCH("Volume",'Semrush Data'!$A$1:$Z$1,0)),""))</f>
        <v/>
      </c>
      <c r="S58" s="22" t="str">
        <f aca="false">IF(N58="","",IFERROR(INDEX('Semrush Data'!$A$1:$Z$20000,MATCH(N58,'Semrush Data'!$A$1:$A$20000,0),MATCH("Volume",'Semrush Data'!$A$1:$Z$1,0)),""))</f>
        <v/>
      </c>
      <c r="T58" s="22" t="str">
        <f aca="false">IF(O58="","",IFERROR(INDEX('Semrush Data'!$A$1:$Z$20000,MATCH(O58,'Semrush Data'!$A$1:$A$20000,0),MATCH("Volume",'Semrush Data'!$A$1:$Z$1,0)),""))</f>
        <v/>
      </c>
      <c r="U58" s="22" t="str">
        <f aca="false">IF(P58="","",IFERROR(INDEX('Semrush Data'!$A$1:$Z$20000,MATCH(P58,'Semrush Data'!$A$1:$A$20000,0),MATCH("Volume",'Semrush Data'!$A$1:$Z$1,0)),""))</f>
        <v/>
      </c>
      <c r="V58" s="23" t="str">
        <f aca="false">IF(COUNT(Q58:U58)=0,L58,IF(MAX(Q58:U58)=0,L58,INDEX(L58:P58,MATCH(MAX(Q58:U58),Q58:U58,0))))</f>
        <v>vilvah am pm serum kit</v>
      </c>
      <c r="W58" s="22" t="n">
        <f aca="false">IFERROR(INDEX('Semrush Data'!$A$1:$Z$20000,MATCH(V58,'Semrush Data'!$A$1:$A$20000,0),MATCH("Volume",'Semrush Data'!$A$1:$Z$1,0)),"")</f>
        <v>0</v>
      </c>
      <c r="X58" s="22" t="n">
        <f aca="false">IFERROR(INDEX('Semrush Data'!$A$1:$Z$20000,MATCH(V58,'Semrush Data'!$A$1:$A$20000,0),MATCH("Keyword Difficulty*",'Semrush Data'!$A$1:$Z$1,0)),"")</f>
        <v>19</v>
      </c>
      <c r="Y58" s="24" t="n">
        <f aca="false">IFERROR(INDEX('Semrush Data'!$A$1:$Z$20000,MATCH(V58,'Semrush Data'!$A$1:$A$20000,0),MATCH("CPC*",'Semrush Data'!$A$1:$Z$1,0)),"")</f>
        <v>0</v>
      </c>
      <c r="Z58" s="21" t="s">
        <v>1681</v>
      </c>
      <c r="AA58" s="21"/>
      <c r="AB58" s="21" t="s">
        <v>715</v>
      </c>
      <c r="AC58" s="21" t="s">
        <v>1742</v>
      </c>
      <c r="AD58" s="25" t="n">
        <f aca="false">LEN(AC58)</f>
        <v>55</v>
      </c>
      <c r="AE58" s="21" t="s">
        <v>1743</v>
      </c>
      <c r="AF58" s="25" t="n">
        <f aca="false">LEN(AE58)</f>
        <v>156</v>
      </c>
    </row>
    <row r="59" customFormat="false" ht="15" hidden="false" customHeight="true" outlineLevel="0" collapsed="false">
      <c r="A59" s="21" t="s">
        <v>719</v>
      </c>
      <c r="B59" s="21" t="s">
        <v>1373</v>
      </c>
      <c r="C59" s="21" t="n">
        <v>58</v>
      </c>
      <c r="D59" s="21" t="s">
        <v>313</v>
      </c>
      <c r="E59" s="21"/>
      <c r="F59" s="21" t="s">
        <v>1676</v>
      </c>
      <c r="G59" s="21" t="s">
        <v>659</v>
      </c>
      <c r="H59" s="21" t="s">
        <v>502</v>
      </c>
      <c r="I59" s="21" t="s">
        <v>720</v>
      </c>
      <c r="J59" s="21"/>
      <c r="K59" s="21" t="n">
        <v>49.99</v>
      </c>
      <c r="L59" s="21" t="s">
        <v>1744</v>
      </c>
      <c r="M59" s="21" t="s">
        <v>1745</v>
      </c>
      <c r="N59" s="21" t="s">
        <v>1746</v>
      </c>
      <c r="O59" s="21" t="s">
        <v>1747</v>
      </c>
      <c r="P59" s="21"/>
      <c r="Q59" s="22" t="n">
        <f aca="false">IF(L59="","",IFERROR(INDEX('Semrush Data'!$A$1:$Z$20000,MATCH(L59,'Semrush Data'!$A$1:$A$20000,0),MATCH("Volume",'Semrush Data'!$A$1:$Z$1,0)),""))</f>
        <v>0</v>
      </c>
      <c r="R59" s="22" t="str">
        <f aca="false">IF(M59="","",IFERROR(INDEX('Semrush Data'!$A$1:$Z$20000,MATCH(M59,'Semrush Data'!$A$1:$A$20000,0),MATCH("Volume",'Semrush Data'!$A$1:$Z$1,0)),""))</f>
        <v/>
      </c>
      <c r="S59" s="22" t="str">
        <f aca="false">IF(N59="","",IFERROR(INDEX('Semrush Data'!$A$1:$Z$20000,MATCH(N59,'Semrush Data'!$A$1:$A$20000,0),MATCH("Volume",'Semrush Data'!$A$1:$Z$1,0)),""))</f>
        <v/>
      </c>
      <c r="T59" s="22" t="str">
        <f aca="false">IF(O59="","",IFERROR(INDEX('Semrush Data'!$A$1:$Z$20000,MATCH(O59,'Semrush Data'!$A$1:$A$20000,0),MATCH("Volume",'Semrush Data'!$A$1:$Z$1,0)),""))</f>
        <v/>
      </c>
      <c r="U59" s="22" t="str">
        <f aca="false">IF(P59="","",IFERROR(INDEX('Semrush Data'!$A$1:$Z$20000,MATCH(P59,'Semrush Data'!$A$1:$A$20000,0),MATCH("Volume",'Semrush Data'!$A$1:$Z$1,0)),""))</f>
        <v/>
      </c>
      <c r="V59" s="23" t="str">
        <f aca="false">IF(COUNT(Q59:U59)=0,L59,IF(MAX(Q59:U59)=0,L59,INDEX(L59:P59,MATCH(MAX(Q59:U59),Q59:U59,0))))</f>
        <v>vilvah better ageing kit</v>
      </c>
      <c r="W59" s="22" t="n">
        <f aca="false">IFERROR(INDEX('Semrush Data'!$A$1:$Z$20000,MATCH(V59,'Semrush Data'!$A$1:$A$20000,0),MATCH("Volume",'Semrush Data'!$A$1:$Z$1,0)),"")</f>
        <v>0</v>
      </c>
      <c r="X59" s="22" t="n">
        <f aca="false">IFERROR(INDEX('Semrush Data'!$A$1:$Z$20000,MATCH(V59,'Semrush Data'!$A$1:$A$20000,0),MATCH("Keyword Difficulty*",'Semrush Data'!$A$1:$Z$1,0)),"")</f>
        <v>15</v>
      </c>
      <c r="Y59" s="24" t="n">
        <f aca="false">IFERROR(INDEX('Semrush Data'!$A$1:$Z$20000,MATCH(V59,'Semrush Data'!$A$1:$A$20000,0),MATCH("CPC*",'Semrush Data'!$A$1:$Z$1,0)),"")</f>
        <v>0</v>
      </c>
      <c r="Z59" s="21" t="s">
        <v>1681</v>
      </c>
      <c r="AA59" s="21"/>
      <c r="AB59" s="21" t="s">
        <v>720</v>
      </c>
      <c r="AC59" s="21" t="s">
        <v>1748</v>
      </c>
      <c r="AD59" s="25" t="n">
        <f aca="false">LEN(AC59)</f>
        <v>51</v>
      </c>
      <c r="AE59" s="21" t="s">
        <v>1749</v>
      </c>
      <c r="AF59" s="25" t="n">
        <f aca="false">LEN(AE59)</f>
        <v>158</v>
      </c>
    </row>
    <row r="60" customFormat="false" ht="15" hidden="false" customHeight="true" outlineLevel="0" collapsed="false">
      <c r="A60" s="21" t="s">
        <v>724</v>
      </c>
      <c r="B60" s="21" t="s">
        <v>1373</v>
      </c>
      <c r="C60" s="21" t="n">
        <v>59</v>
      </c>
      <c r="D60" s="21" t="s">
        <v>313</v>
      </c>
      <c r="E60" s="21"/>
      <c r="F60" s="21" t="s">
        <v>1676</v>
      </c>
      <c r="G60" s="21" t="s">
        <v>659</v>
      </c>
      <c r="H60" s="21" t="s">
        <v>526</v>
      </c>
      <c r="I60" s="21" t="s">
        <v>725</v>
      </c>
      <c r="J60" s="21"/>
      <c r="K60" s="21" t="n">
        <v>44.99</v>
      </c>
      <c r="L60" s="21" t="s">
        <v>1750</v>
      </c>
      <c r="M60" s="21" t="s">
        <v>1751</v>
      </c>
      <c r="N60" s="21" t="s">
        <v>1752</v>
      </c>
      <c r="O60" s="21" t="s">
        <v>1753</v>
      </c>
      <c r="P60" s="21"/>
      <c r="Q60" s="22" t="n">
        <f aca="false">IF(L60="","",IFERROR(INDEX('Semrush Data'!$A$1:$Z$20000,MATCH(L60,'Semrush Data'!$A$1:$A$20000,0),MATCH("Volume",'Semrush Data'!$A$1:$Z$1,0)),""))</f>
        <v>0</v>
      </c>
      <c r="R60" s="22" t="str">
        <f aca="false">IF(M60="","",IFERROR(INDEX('Semrush Data'!$A$1:$Z$20000,MATCH(M60,'Semrush Data'!$A$1:$A$20000,0),MATCH("Volume",'Semrush Data'!$A$1:$Z$1,0)),""))</f>
        <v/>
      </c>
      <c r="S60" s="22" t="str">
        <f aca="false">IF(N60="","",IFERROR(INDEX('Semrush Data'!$A$1:$Z$20000,MATCH(N60,'Semrush Data'!$A$1:$A$20000,0),MATCH("Volume",'Semrush Data'!$A$1:$Z$1,0)),""))</f>
        <v/>
      </c>
      <c r="T60" s="22" t="str">
        <f aca="false">IF(O60="","",IFERROR(INDEX('Semrush Data'!$A$1:$Z$20000,MATCH(O60,'Semrush Data'!$A$1:$A$20000,0),MATCH("Volume",'Semrush Data'!$A$1:$Z$1,0)),""))</f>
        <v/>
      </c>
      <c r="U60" s="22" t="str">
        <f aca="false">IF(P60="","",IFERROR(INDEX('Semrush Data'!$A$1:$Z$20000,MATCH(P60,'Semrush Data'!$A$1:$A$20000,0),MATCH("Volume",'Semrush Data'!$A$1:$Z$1,0)),""))</f>
        <v/>
      </c>
      <c r="V60" s="23" t="str">
        <f aca="false">IF(COUNT(Q60:U60)=0,L60,IF(MAX(Q60:U60)=0,L60,INDEX(L60:P60,MATCH(MAX(Q60:U60),Q60:U60,0))))</f>
        <v>vilvah am brightening kit</v>
      </c>
      <c r="W60" s="22" t="n">
        <f aca="false">IFERROR(INDEX('Semrush Data'!$A$1:$Z$20000,MATCH(V60,'Semrush Data'!$A$1:$A$20000,0),MATCH("Volume",'Semrush Data'!$A$1:$Z$1,0)),"")</f>
        <v>0</v>
      </c>
      <c r="X60" s="22" t="n">
        <f aca="false">IFERROR(INDEX('Semrush Data'!$A$1:$Z$20000,MATCH(V60,'Semrush Data'!$A$1:$A$20000,0),MATCH("Keyword Difficulty*",'Semrush Data'!$A$1:$Z$1,0)),"")</f>
        <v>18</v>
      </c>
      <c r="Y60" s="24" t="n">
        <f aca="false">IFERROR(INDEX('Semrush Data'!$A$1:$Z$20000,MATCH(V60,'Semrush Data'!$A$1:$A$20000,0),MATCH("CPC*",'Semrush Data'!$A$1:$Z$1,0)),"")</f>
        <v>0</v>
      </c>
      <c r="Z60" s="21" t="s">
        <v>1681</v>
      </c>
      <c r="AA60" s="21"/>
      <c r="AB60" s="21" t="s">
        <v>726</v>
      </c>
      <c r="AC60" s="21" t="s">
        <v>1754</v>
      </c>
      <c r="AD60" s="25" t="n">
        <f aca="false">LEN(AC60)</f>
        <v>52</v>
      </c>
      <c r="AE60" s="21" t="s">
        <v>1755</v>
      </c>
      <c r="AF60" s="25" t="n">
        <f aca="false">LEN(AE60)</f>
        <v>159</v>
      </c>
    </row>
    <row r="61" customFormat="false" ht="15" hidden="false" customHeight="true" outlineLevel="0" collapsed="false">
      <c r="A61" s="21" t="s">
        <v>730</v>
      </c>
      <c r="B61" s="21" t="s">
        <v>1373</v>
      </c>
      <c r="C61" s="21" t="n">
        <v>60</v>
      </c>
      <c r="D61" s="21" t="s">
        <v>313</v>
      </c>
      <c r="E61" s="21"/>
      <c r="F61" s="21" t="s">
        <v>1676</v>
      </c>
      <c r="G61" s="21" t="s">
        <v>659</v>
      </c>
      <c r="H61" s="21" t="s">
        <v>356</v>
      </c>
      <c r="I61" s="21" t="s">
        <v>731</v>
      </c>
      <c r="J61" s="21"/>
      <c r="K61" s="21" t="n">
        <v>38.99</v>
      </c>
      <c r="L61" s="21" t="s">
        <v>1756</v>
      </c>
      <c r="M61" s="21" t="s">
        <v>1757</v>
      </c>
      <c r="N61" s="21" t="s">
        <v>1758</v>
      </c>
      <c r="O61" s="21" t="s">
        <v>1759</v>
      </c>
      <c r="P61" s="21"/>
      <c r="Q61" s="22" t="n">
        <f aca="false">IF(L61="","",IFERROR(INDEX('Semrush Data'!$A$1:$Z$20000,MATCH(L61,'Semrush Data'!$A$1:$A$20000,0),MATCH("Volume",'Semrush Data'!$A$1:$Z$1,0)),""))</f>
        <v>0</v>
      </c>
      <c r="R61" s="22" t="str">
        <f aca="false">IF(M61="","",IFERROR(INDEX('Semrush Data'!$A$1:$Z$20000,MATCH(M61,'Semrush Data'!$A$1:$A$20000,0),MATCH("Volume",'Semrush Data'!$A$1:$Z$1,0)),""))</f>
        <v/>
      </c>
      <c r="S61" s="22" t="str">
        <f aca="false">IF(N61="","",IFERROR(INDEX('Semrush Data'!$A$1:$Z$20000,MATCH(N61,'Semrush Data'!$A$1:$A$20000,0),MATCH("Volume",'Semrush Data'!$A$1:$Z$1,0)),""))</f>
        <v/>
      </c>
      <c r="T61" s="22" t="str">
        <f aca="false">IF(O61="","",IFERROR(INDEX('Semrush Data'!$A$1:$Z$20000,MATCH(O61,'Semrush Data'!$A$1:$A$20000,0),MATCH("Volume",'Semrush Data'!$A$1:$Z$1,0)),""))</f>
        <v/>
      </c>
      <c r="U61" s="22" t="str">
        <f aca="false">IF(P61="","",IFERROR(INDEX('Semrush Data'!$A$1:$Z$20000,MATCH(P61,'Semrush Data'!$A$1:$A$20000,0),MATCH("Volume",'Semrush Data'!$A$1:$Z$1,0)),""))</f>
        <v/>
      </c>
      <c r="V61" s="23" t="str">
        <f aca="false">IF(COUNT(Q61:U61)=0,L61,IF(MAX(Q61:U61)=0,L61,INDEX(L61:P61,MATCH(MAX(Q61:U61),Q61:U61,0))))</f>
        <v>vilvah tan protection kit</v>
      </c>
      <c r="W61" s="22" t="n">
        <f aca="false">IFERROR(INDEX('Semrush Data'!$A$1:$Z$20000,MATCH(V61,'Semrush Data'!$A$1:$A$20000,0),MATCH("Volume",'Semrush Data'!$A$1:$Z$1,0)),"")</f>
        <v>0</v>
      </c>
      <c r="X61" s="22" t="n">
        <f aca="false">IFERROR(INDEX('Semrush Data'!$A$1:$Z$20000,MATCH(V61,'Semrush Data'!$A$1:$A$20000,0),MATCH("Keyword Difficulty*",'Semrush Data'!$A$1:$Z$1,0)),"")</f>
        <v>12</v>
      </c>
      <c r="Y61" s="24" t="n">
        <f aca="false">IFERROR(INDEX('Semrush Data'!$A$1:$Z$20000,MATCH(V61,'Semrush Data'!$A$1:$A$20000,0),MATCH("CPC*",'Semrush Data'!$A$1:$Z$1,0)),"")</f>
        <v>0</v>
      </c>
      <c r="Z61" s="21" t="s">
        <v>1681</v>
      </c>
      <c r="AA61" s="21"/>
      <c r="AB61" s="21" t="s">
        <v>732</v>
      </c>
      <c r="AC61" s="21" t="s">
        <v>1760</v>
      </c>
      <c r="AD61" s="25" t="n">
        <f aca="false">LEN(AC61)</f>
        <v>52</v>
      </c>
      <c r="AE61" s="21" t="s">
        <v>1761</v>
      </c>
      <c r="AF61" s="25" t="n">
        <f aca="false">LEN(AE61)</f>
        <v>159</v>
      </c>
    </row>
    <row r="62" customFormat="false" ht="15" hidden="false" customHeight="true" outlineLevel="0" collapsed="false">
      <c r="A62" s="21" t="s">
        <v>736</v>
      </c>
      <c r="B62" s="21" t="s">
        <v>1373</v>
      </c>
      <c r="C62" s="21" t="n">
        <v>61</v>
      </c>
      <c r="D62" s="21" t="s">
        <v>313</v>
      </c>
      <c r="E62" s="21"/>
      <c r="F62" s="21" t="s">
        <v>1676</v>
      </c>
      <c r="G62" s="21" t="s">
        <v>659</v>
      </c>
      <c r="H62" s="21" t="s">
        <v>526</v>
      </c>
      <c r="I62" s="21" t="s">
        <v>737</v>
      </c>
      <c r="J62" s="21"/>
      <c r="K62" s="21" t="n">
        <v>44.99</v>
      </c>
      <c r="L62" s="21" t="s">
        <v>1762</v>
      </c>
      <c r="M62" s="21" t="s">
        <v>1763</v>
      </c>
      <c r="N62" s="21" t="s">
        <v>1764</v>
      </c>
      <c r="O62" s="21" t="s">
        <v>1765</v>
      </c>
      <c r="P62" s="21"/>
      <c r="Q62" s="22" t="n">
        <f aca="false">IF(L62="","",IFERROR(INDEX('Semrush Data'!$A$1:$Z$20000,MATCH(L62,'Semrush Data'!$A$1:$A$20000,0),MATCH("Volume",'Semrush Data'!$A$1:$Z$1,0)),""))</f>
        <v>0</v>
      </c>
      <c r="R62" s="22" t="str">
        <f aca="false">IF(M62="","",IFERROR(INDEX('Semrush Data'!$A$1:$Z$20000,MATCH(M62,'Semrush Data'!$A$1:$A$20000,0),MATCH("Volume",'Semrush Data'!$A$1:$Z$1,0)),""))</f>
        <v/>
      </c>
      <c r="S62" s="22" t="str">
        <f aca="false">IF(N62="","",IFERROR(INDEX('Semrush Data'!$A$1:$Z$20000,MATCH(N62,'Semrush Data'!$A$1:$A$20000,0),MATCH("Volume",'Semrush Data'!$A$1:$Z$1,0)),""))</f>
        <v/>
      </c>
      <c r="T62" s="22" t="str">
        <f aca="false">IF(O62="","",IFERROR(INDEX('Semrush Data'!$A$1:$Z$20000,MATCH(O62,'Semrush Data'!$A$1:$A$20000,0),MATCH("Volume",'Semrush Data'!$A$1:$Z$1,0)),""))</f>
        <v/>
      </c>
      <c r="U62" s="22" t="str">
        <f aca="false">IF(P62="","",IFERROR(INDEX('Semrush Data'!$A$1:$Z$20000,MATCH(P62,'Semrush Data'!$A$1:$A$20000,0),MATCH("Volume",'Semrush Data'!$A$1:$Z$1,0)),""))</f>
        <v/>
      </c>
      <c r="V62" s="23" t="str">
        <f aca="false">IF(COUNT(Q62:U62)=0,L62,IF(MAX(Q62:U62)=0,L62,INDEX(L62:P62,MATCH(MAX(Q62:U62),Q62:U62,0))))</f>
        <v>vilvah skin radiance kit</v>
      </c>
      <c r="W62" s="22" t="n">
        <f aca="false">IFERROR(INDEX('Semrush Data'!$A$1:$Z$20000,MATCH(V62,'Semrush Data'!$A$1:$A$20000,0),MATCH("Volume",'Semrush Data'!$A$1:$Z$1,0)),"")</f>
        <v>0</v>
      </c>
      <c r="X62" s="22" t="n">
        <f aca="false">IFERROR(INDEX('Semrush Data'!$A$1:$Z$20000,MATCH(V62,'Semrush Data'!$A$1:$A$20000,0),MATCH("Keyword Difficulty*",'Semrush Data'!$A$1:$Z$1,0)),"")</f>
        <v>14</v>
      </c>
      <c r="Y62" s="24" t="n">
        <f aca="false">IFERROR(INDEX('Semrush Data'!$A$1:$Z$20000,MATCH(V62,'Semrush Data'!$A$1:$A$20000,0),MATCH("CPC*",'Semrush Data'!$A$1:$Z$1,0)),"")</f>
        <v>0</v>
      </c>
      <c r="Z62" s="21" t="s">
        <v>1681</v>
      </c>
      <c r="AA62" s="21"/>
      <c r="AB62" s="21" t="s">
        <v>738</v>
      </c>
      <c r="AC62" s="21" t="s">
        <v>1766</v>
      </c>
      <c r="AD62" s="25" t="n">
        <f aca="false">LEN(AC62)</f>
        <v>51</v>
      </c>
      <c r="AE62" s="21" t="s">
        <v>1767</v>
      </c>
      <c r="AF62" s="25" t="n">
        <f aca="false">LEN(AE62)</f>
        <v>158</v>
      </c>
    </row>
    <row r="63" customFormat="false" ht="15" hidden="false" customHeight="true" outlineLevel="0" collapsed="false">
      <c r="A63" s="21" t="s">
        <v>742</v>
      </c>
      <c r="B63" s="21" t="s">
        <v>1373</v>
      </c>
      <c r="C63" s="21" t="n">
        <v>62</v>
      </c>
      <c r="D63" s="21" t="s">
        <v>313</v>
      </c>
      <c r="E63" s="21"/>
      <c r="F63" s="21" t="s">
        <v>1676</v>
      </c>
      <c r="G63" s="21" t="s">
        <v>659</v>
      </c>
      <c r="H63" s="21" t="s">
        <v>744</v>
      </c>
      <c r="I63" s="21" t="s">
        <v>743</v>
      </c>
      <c r="J63" s="21"/>
      <c r="K63" s="21" t="n">
        <v>32.99</v>
      </c>
      <c r="L63" s="21" t="s">
        <v>1768</v>
      </c>
      <c r="M63" s="21" t="s">
        <v>1769</v>
      </c>
      <c r="N63" s="21" t="s">
        <v>1770</v>
      </c>
      <c r="O63" s="21" t="s">
        <v>1771</v>
      </c>
      <c r="P63" s="21"/>
      <c r="Q63" s="22" t="n">
        <f aca="false">IF(L63="","",IFERROR(INDEX('Semrush Data'!$A$1:$Z$20000,MATCH(L63,'Semrush Data'!$A$1:$A$20000,0),MATCH("Volume",'Semrush Data'!$A$1:$Z$1,0)),""))</f>
        <v>0</v>
      </c>
      <c r="R63" s="22" t="str">
        <f aca="false">IF(M63="","",IFERROR(INDEX('Semrush Data'!$A$1:$Z$20000,MATCH(M63,'Semrush Data'!$A$1:$A$20000,0),MATCH("Volume",'Semrush Data'!$A$1:$Z$1,0)),""))</f>
        <v/>
      </c>
      <c r="S63" s="22" t="str">
        <f aca="false">IF(N63="","",IFERROR(INDEX('Semrush Data'!$A$1:$Z$20000,MATCH(N63,'Semrush Data'!$A$1:$A$20000,0),MATCH("Volume",'Semrush Data'!$A$1:$Z$1,0)),""))</f>
        <v/>
      </c>
      <c r="T63" s="22" t="str">
        <f aca="false">IF(O63="","",IFERROR(INDEX('Semrush Data'!$A$1:$Z$20000,MATCH(O63,'Semrush Data'!$A$1:$A$20000,0),MATCH("Volume",'Semrush Data'!$A$1:$Z$1,0)),""))</f>
        <v/>
      </c>
      <c r="U63" s="22" t="str">
        <f aca="false">IF(P63="","",IFERROR(INDEX('Semrush Data'!$A$1:$Z$20000,MATCH(P63,'Semrush Data'!$A$1:$A$20000,0),MATCH("Volume",'Semrush Data'!$A$1:$Z$1,0)),""))</f>
        <v/>
      </c>
      <c r="V63" s="23" t="str">
        <f aca="false">IF(COUNT(Q63:U63)=0,L63,IF(MAX(Q63:U63)=0,L63,INDEX(L63:P63,MATCH(MAX(Q63:U63),Q63:U63,0))))</f>
        <v>vilvah pore minimising kit</v>
      </c>
      <c r="W63" s="22" t="n">
        <f aca="false">IFERROR(INDEX('Semrush Data'!$A$1:$Z$20000,MATCH(V63,'Semrush Data'!$A$1:$A$20000,0),MATCH("Volume",'Semrush Data'!$A$1:$Z$1,0)),"")</f>
        <v>0</v>
      </c>
      <c r="X63" s="22" t="n">
        <f aca="false">IFERROR(INDEX('Semrush Data'!$A$1:$Z$20000,MATCH(V63,'Semrush Data'!$A$1:$A$20000,0),MATCH("Keyword Difficulty*",'Semrush Data'!$A$1:$Z$1,0)),"")</f>
        <v>12</v>
      </c>
      <c r="Y63" s="24" t="n">
        <f aca="false">IFERROR(INDEX('Semrush Data'!$A$1:$Z$20000,MATCH(V63,'Semrush Data'!$A$1:$A$20000,0),MATCH("CPC*",'Semrush Data'!$A$1:$Z$1,0)),"")</f>
        <v>0</v>
      </c>
      <c r="Z63" s="21" t="s">
        <v>1681</v>
      </c>
      <c r="AA63" s="21"/>
      <c r="AB63" s="21" t="s">
        <v>743</v>
      </c>
      <c r="AC63" s="21" t="s">
        <v>1772</v>
      </c>
      <c r="AD63" s="25" t="n">
        <f aca="false">LEN(AC63)</f>
        <v>53</v>
      </c>
      <c r="AE63" s="21" t="s">
        <v>1773</v>
      </c>
      <c r="AF63" s="25" t="n">
        <f aca="false">LEN(AE63)</f>
        <v>160</v>
      </c>
    </row>
    <row r="64" customFormat="false" ht="15" hidden="false" customHeight="true" outlineLevel="0" collapsed="false">
      <c r="A64" s="21" t="s">
        <v>748</v>
      </c>
      <c r="B64" s="21" t="s">
        <v>1373</v>
      </c>
      <c r="C64" s="21" t="n">
        <v>63</v>
      </c>
      <c r="D64" s="21" t="s">
        <v>313</v>
      </c>
      <c r="E64" s="21"/>
      <c r="F64" s="21" t="s">
        <v>1676</v>
      </c>
      <c r="G64" s="21" t="s">
        <v>659</v>
      </c>
      <c r="H64" s="21" t="s">
        <v>526</v>
      </c>
      <c r="I64" s="21" t="s">
        <v>749</v>
      </c>
      <c r="J64" s="21"/>
      <c r="K64" s="21" t="n">
        <v>42.99</v>
      </c>
      <c r="L64" s="21" t="s">
        <v>1774</v>
      </c>
      <c r="M64" s="21" t="s">
        <v>1775</v>
      </c>
      <c r="N64" s="21" t="s">
        <v>1776</v>
      </c>
      <c r="O64" s="21" t="s">
        <v>1777</v>
      </c>
      <c r="P64" s="21"/>
      <c r="Q64" s="22" t="n">
        <f aca="false">IF(L64="","",IFERROR(INDEX('Semrush Data'!$A$1:$Z$20000,MATCH(L64,'Semrush Data'!$A$1:$A$20000,0),MATCH("Volume",'Semrush Data'!$A$1:$Z$1,0)),""))</f>
        <v>0</v>
      </c>
      <c r="R64" s="22" t="str">
        <f aca="false">IF(M64="","",IFERROR(INDEX('Semrush Data'!$A$1:$Z$20000,MATCH(M64,'Semrush Data'!$A$1:$A$20000,0),MATCH("Volume",'Semrush Data'!$A$1:$Z$1,0)),""))</f>
        <v/>
      </c>
      <c r="S64" s="22" t="str">
        <f aca="false">IF(N64="","",IFERROR(INDEX('Semrush Data'!$A$1:$Z$20000,MATCH(N64,'Semrush Data'!$A$1:$A$20000,0),MATCH("Volume",'Semrush Data'!$A$1:$Z$1,0)),""))</f>
        <v/>
      </c>
      <c r="T64" s="22" t="str">
        <f aca="false">IF(O64="","",IFERROR(INDEX('Semrush Data'!$A$1:$Z$20000,MATCH(O64,'Semrush Data'!$A$1:$A$20000,0),MATCH("Volume",'Semrush Data'!$A$1:$Z$1,0)),""))</f>
        <v/>
      </c>
      <c r="U64" s="22" t="str">
        <f aca="false">IF(P64="","",IFERROR(INDEX('Semrush Data'!$A$1:$Z$20000,MATCH(P64,'Semrush Data'!$A$1:$A$20000,0),MATCH("Volume",'Semrush Data'!$A$1:$Z$1,0)),""))</f>
        <v/>
      </c>
      <c r="V64" s="23" t="str">
        <f aca="false">IF(COUNT(Q64:U64)=0,L64,IF(MAX(Q64:U64)=0,L64,INDEX(L64:P64,MATCH(MAX(Q64:U64),Q64:U64,0))))</f>
        <v>vilvah face brightening kit large</v>
      </c>
      <c r="W64" s="22" t="n">
        <f aca="false">IFERROR(INDEX('Semrush Data'!$A$1:$Z$20000,MATCH(V64,'Semrush Data'!$A$1:$A$20000,0),MATCH("Volume",'Semrush Data'!$A$1:$Z$1,0)),"")</f>
        <v>0</v>
      </c>
      <c r="X64" s="22" t="n">
        <f aca="false">IFERROR(INDEX('Semrush Data'!$A$1:$Z$20000,MATCH(V64,'Semrush Data'!$A$1:$A$20000,0),MATCH("Keyword Difficulty*",'Semrush Data'!$A$1:$Z$1,0)),"")</f>
        <v>12</v>
      </c>
      <c r="Y64" s="24" t="n">
        <f aca="false">IFERROR(INDEX('Semrush Data'!$A$1:$Z$20000,MATCH(V64,'Semrush Data'!$A$1:$A$20000,0),MATCH("CPC*",'Semrush Data'!$A$1:$Z$1,0)),"")</f>
        <v>0</v>
      </c>
      <c r="Z64" s="21" t="s">
        <v>1681</v>
      </c>
      <c r="AA64" s="21"/>
      <c r="AB64" s="21" t="s">
        <v>749</v>
      </c>
      <c r="AC64" s="21" t="s">
        <v>1778</v>
      </c>
      <c r="AD64" s="25" t="n">
        <f aca="false">LEN(AC64)</f>
        <v>60</v>
      </c>
      <c r="AE64" s="21" t="s">
        <v>1779</v>
      </c>
      <c r="AF64" s="25" t="n">
        <f aca="false">LEN(AE64)</f>
        <v>159</v>
      </c>
    </row>
    <row r="65" customFormat="false" ht="15" hidden="false" customHeight="true" outlineLevel="0" collapsed="false">
      <c r="A65" s="21" t="s">
        <v>753</v>
      </c>
      <c r="B65" s="21" t="s">
        <v>1373</v>
      </c>
      <c r="C65" s="21" t="n">
        <v>64</v>
      </c>
      <c r="D65" s="21" t="s">
        <v>313</v>
      </c>
      <c r="E65" s="21"/>
      <c r="F65" s="21" t="s">
        <v>1676</v>
      </c>
      <c r="G65" s="21" t="s">
        <v>659</v>
      </c>
      <c r="H65" s="21" t="s">
        <v>526</v>
      </c>
      <c r="I65" s="21" t="s">
        <v>754</v>
      </c>
      <c r="J65" s="21"/>
      <c r="K65" s="21" t="n">
        <v>37.99</v>
      </c>
      <c r="L65" s="21" t="s">
        <v>1780</v>
      </c>
      <c r="M65" s="21" t="s">
        <v>1781</v>
      </c>
      <c r="N65" s="21" t="s">
        <v>1782</v>
      </c>
      <c r="O65" s="21" t="s">
        <v>1783</v>
      </c>
      <c r="P65" s="21"/>
      <c r="Q65" s="22" t="n">
        <f aca="false">IF(L65="","",IFERROR(INDEX('Semrush Data'!$A$1:$Z$20000,MATCH(L65,'Semrush Data'!$A$1:$A$20000,0),MATCH("Volume",'Semrush Data'!$A$1:$Z$1,0)),""))</f>
        <v>0</v>
      </c>
      <c r="R65" s="22" t="str">
        <f aca="false">IF(M65="","",IFERROR(INDEX('Semrush Data'!$A$1:$Z$20000,MATCH(M65,'Semrush Data'!$A$1:$A$20000,0),MATCH("Volume",'Semrush Data'!$A$1:$Z$1,0)),""))</f>
        <v/>
      </c>
      <c r="S65" s="22" t="str">
        <f aca="false">IF(N65="","",IFERROR(INDEX('Semrush Data'!$A$1:$Z$20000,MATCH(N65,'Semrush Data'!$A$1:$A$20000,0),MATCH("Volume",'Semrush Data'!$A$1:$Z$1,0)),""))</f>
        <v/>
      </c>
      <c r="T65" s="22" t="str">
        <f aca="false">IF(O65="","",IFERROR(INDEX('Semrush Data'!$A$1:$Z$20000,MATCH(O65,'Semrush Data'!$A$1:$A$20000,0),MATCH("Volume",'Semrush Data'!$A$1:$Z$1,0)),""))</f>
        <v/>
      </c>
      <c r="U65" s="22" t="str">
        <f aca="false">IF(P65="","",IFERROR(INDEX('Semrush Data'!$A$1:$Z$20000,MATCH(P65,'Semrush Data'!$A$1:$A$20000,0),MATCH("Volume",'Semrush Data'!$A$1:$Z$1,0)),""))</f>
        <v/>
      </c>
      <c r="V65" s="23" t="str">
        <f aca="false">IF(COUNT(Q65:U65)=0,L65,IF(MAX(Q65:U65)=0,L65,INDEX(L65:P65,MATCH(MAX(Q65:U65),Q65:U65,0))))</f>
        <v>vilvah face brightening kit</v>
      </c>
      <c r="W65" s="22" t="n">
        <f aca="false">IFERROR(INDEX('Semrush Data'!$A$1:$Z$20000,MATCH(V65,'Semrush Data'!$A$1:$A$20000,0),MATCH("Volume",'Semrush Data'!$A$1:$Z$1,0)),"")</f>
        <v>0</v>
      </c>
      <c r="X65" s="22" t="n">
        <f aca="false">IFERROR(INDEX('Semrush Data'!$A$1:$Z$20000,MATCH(V65,'Semrush Data'!$A$1:$A$20000,0),MATCH("Keyword Difficulty*",'Semrush Data'!$A$1:$Z$1,0)),"")</f>
        <v>20</v>
      </c>
      <c r="Y65" s="24" t="n">
        <f aca="false">IFERROR(INDEX('Semrush Data'!$A$1:$Z$20000,MATCH(V65,'Semrush Data'!$A$1:$A$20000,0),MATCH("CPC*",'Semrush Data'!$A$1:$Z$1,0)),"")</f>
        <v>0</v>
      </c>
      <c r="Z65" s="21" t="s">
        <v>1681</v>
      </c>
      <c r="AA65" s="21"/>
      <c r="AB65" s="21" t="s">
        <v>754</v>
      </c>
      <c r="AC65" s="21" t="s">
        <v>1784</v>
      </c>
      <c r="AD65" s="25" t="n">
        <f aca="false">LEN(AC65)</f>
        <v>54</v>
      </c>
      <c r="AE65" s="21" t="s">
        <v>1785</v>
      </c>
      <c r="AF65" s="25" t="n">
        <f aca="false">LEN(AE65)</f>
        <v>159</v>
      </c>
    </row>
    <row r="66" customFormat="false" ht="15" hidden="false" customHeight="true" outlineLevel="0" collapsed="false">
      <c r="A66" s="21" t="s">
        <v>758</v>
      </c>
      <c r="B66" s="21" t="s">
        <v>1373</v>
      </c>
      <c r="C66" s="21" t="n">
        <v>65</v>
      </c>
      <c r="D66" s="21" t="s">
        <v>313</v>
      </c>
      <c r="E66" s="21"/>
      <c r="F66" s="21" t="s">
        <v>1676</v>
      </c>
      <c r="G66" s="21" t="s">
        <v>659</v>
      </c>
      <c r="H66" s="21" t="s">
        <v>375</v>
      </c>
      <c r="I66" s="21" t="s">
        <v>759</v>
      </c>
      <c r="J66" s="21"/>
      <c r="K66" s="21" t="n">
        <v>21.99</v>
      </c>
      <c r="L66" s="21" t="s">
        <v>1786</v>
      </c>
      <c r="M66" s="21" t="s">
        <v>1787</v>
      </c>
      <c r="N66" s="21" t="s">
        <v>1788</v>
      </c>
      <c r="O66" s="21" t="s">
        <v>1789</v>
      </c>
      <c r="P66" s="21"/>
      <c r="Q66" s="22" t="n">
        <f aca="false">IF(L66="","",IFERROR(INDEX('Semrush Data'!$A$1:$Z$20000,MATCH(L66,'Semrush Data'!$A$1:$A$20000,0),MATCH("Volume",'Semrush Data'!$A$1:$Z$1,0)),""))</f>
        <v>0</v>
      </c>
      <c r="R66" s="22" t="str">
        <f aca="false">IF(M66="","",IFERROR(INDEX('Semrush Data'!$A$1:$Z$20000,MATCH(M66,'Semrush Data'!$A$1:$A$20000,0),MATCH("Volume",'Semrush Data'!$A$1:$Z$1,0)),""))</f>
        <v/>
      </c>
      <c r="S66" s="22" t="str">
        <f aca="false">IF(N66="","",IFERROR(INDEX('Semrush Data'!$A$1:$Z$20000,MATCH(N66,'Semrush Data'!$A$1:$A$20000,0),MATCH("Volume",'Semrush Data'!$A$1:$Z$1,0)),""))</f>
        <v/>
      </c>
      <c r="T66" s="22" t="str">
        <f aca="false">IF(O66="","",IFERROR(INDEX('Semrush Data'!$A$1:$Z$20000,MATCH(O66,'Semrush Data'!$A$1:$A$20000,0),MATCH("Volume",'Semrush Data'!$A$1:$Z$1,0)),""))</f>
        <v/>
      </c>
      <c r="U66" s="22" t="str">
        <f aca="false">IF(P66="","",IFERROR(INDEX('Semrush Data'!$A$1:$Z$20000,MATCH(P66,'Semrush Data'!$A$1:$A$20000,0),MATCH("Volume",'Semrush Data'!$A$1:$Z$1,0)),""))</f>
        <v/>
      </c>
      <c r="V66" s="23" t="str">
        <f aca="false">IF(COUNT(Q66:U66)=0,L66,IF(MAX(Q66:U66)=0,L66,INDEX(L66:P66,MATCH(MAX(Q66:U66),Q66:U66,0))))</f>
        <v>vilvah budget skincare combo</v>
      </c>
      <c r="W66" s="22" t="n">
        <f aca="false">IFERROR(INDEX('Semrush Data'!$A$1:$Z$20000,MATCH(V66,'Semrush Data'!$A$1:$A$20000,0),MATCH("Volume",'Semrush Data'!$A$1:$Z$1,0)),"")</f>
        <v>0</v>
      </c>
      <c r="X66" s="22" t="n">
        <f aca="false">IFERROR(INDEX('Semrush Data'!$A$1:$Z$20000,MATCH(V66,'Semrush Data'!$A$1:$A$20000,0),MATCH("Keyword Difficulty*",'Semrush Data'!$A$1:$Z$1,0)),"")</f>
        <v>14</v>
      </c>
      <c r="Y66" s="24" t="n">
        <f aca="false">IFERROR(INDEX('Semrush Data'!$A$1:$Z$20000,MATCH(V66,'Semrush Data'!$A$1:$A$20000,0),MATCH("CPC*",'Semrush Data'!$A$1:$Z$1,0)),"")</f>
        <v>0</v>
      </c>
      <c r="Z66" s="21" t="s">
        <v>1681</v>
      </c>
      <c r="AA66" s="21"/>
      <c r="AB66" s="21" t="s">
        <v>760</v>
      </c>
      <c r="AC66" s="21" t="s">
        <v>1790</v>
      </c>
      <c r="AD66" s="25" t="n">
        <f aca="false">LEN(AC66)</f>
        <v>55</v>
      </c>
      <c r="AE66" s="21" t="s">
        <v>1791</v>
      </c>
      <c r="AF66" s="25" t="n">
        <f aca="false">LEN(AE66)</f>
        <v>159</v>
      </c>
    </row>
    <row r="67" customFormat="false" ht="15" hidden="false" customHeight="true" outlineLevel="0" collapsed="false">
      <c r="A67" s="21" t="s">
        <v>764</v>
      </c>
      <c r="B67" s="21" t="s">
        <v>1373</v>
      </c>
      <c r="C67" s="21" t="n">
        <v>66</v>
      </c>
      <c r="D67" s="21" t="s">
        <v>313</v>
      </c>
      <c r="E67" s="21"/>
      <c r="F67" s="21" t="s">
        <v>1676</v>
      </c>
      <c r="G67" s="21" t="s">
        <v>659</v>
      </c>
      <c r="H67" s="21" t="s">
        <v>502</v>
      </c>
      <c r="I67" s="21" t="s">
        <v>765</v>
      </c>
      <c r="J67" s="21"/>
      <c r="K67" s="21" t="n">
        <v>35.99</v>
      </c>
      <c r="L67" s="21" t="s">
        <v>1792</v>
      </c>
      <c r="M67" s="21" t="s">
        <v>1793</v>
      </c>
      <c r="N67" s="21" t="s">
        <v>1794</v>
      </c>
      <c r="O67" s="21" t="s">
        <v>1795</v>
      </c>
      <c r="P67" s="21"/>
      <c r="Q67" s="22" t="n">
        <f aca="false">IF(L67="","",IFERROR(INDEX('Semrush Data'!$A$1:$Z$20000,MATCH(L67,'Semrush Data'!$A$1:$A$20000,0),MATCH("Volume",'Semrush Data'!$A$1:$Z$1,0)),""))</f>
        <v>0</v>
      </c>
      <c r="R67" s="22" t="str">
        <f aca="false">IF(M67="","",IFERROR(INDEX('Semrush Data'!$A$1:$Z$20000,MATCH(M67,'Semrush Data'!$A$1:$A$20000,0),MATCH("Volume",'Semrush Data'!$A$1:$Z$1,0)),""))</f>
        <v/>
      </c>
      <c r="S67" s="22" t="str">
        <f aca="false">IF(N67="","",IFERROR(INDEX('Semrush Data'!$A$1:$Z$20000,MATCH(N67,'Semrush Data'!$A$1:$A$20000,0),MATCH("Volume",'Semrush Data'!$A$1:$Z$1,0)),""))</f>
        <v/>
      </c>
      <c r="T67" s="22" t="str">
        <f aca="false">IF(O67="","",IFERROR(INDEX('Semrush Data'!$A$1:$Z$20000,MATCH(O67,'Semrush Data'!$A$1:$A$20000,0),MATCH("Volume",'Semrush Data'!$A$1:$Z$1,0)),""))</f>
        <v/>
      </c>
      <c r="U67" s="22" t="str">
        <f aca="false">IF(P67="","",IFERROR(INDEX('Semrush Data'!$A$1:$Z$20000,MATCH(P67,'Semrush Data'!$A$1:$A$20000,0),MATCH("Volume",'Semrush Data'!$A$1:$Z$1,0)),""))</f>
        <v/>
      </c>
      <c r="V67" s="23" t="str">
        <f aca="false">IF(COUNT(Q67:U67)=0,L67,IF(MAX(Q67:U67)=0,L67,INDEX(L67:P67,MATCH(MAX(Q67:U67),Q67:U67,0))))</f>
        <v>vilvah face lift kit</v>
      </c>
      <c r="W67" s="22" t="n">
        <f aca="false">IFERROR(INDEX('Semrush Data'!$A$1:$Z$20000,MATCH(V67,'Semrush Data'!$A$1:$A$20000,0),MATCH("Volume",'Semrush Data'!$A$1:$Z$1,0)),"")</f>
        <v>0</v>
      </c>
      <c r="X67" s="22" t="n">
        <f aca="false">IFERROR(INDEX('Semrush Data'!$A$1:$Z$20000,MATCH(V67,'Semrush Data'!$A$1:$A$20000,0),MATCH("Keyword Difficulty*",'Semrush Data'!$A$1:$Z$1,0)),"")</f>
        <v>14</v>
      </c>
      <c r="Y67" s="24" t="n">
        <f aca="false">IFERROR(INDEX('Semrush Data'!$A$1:$Z$20000,MATCH(V67,'Semrush Data'!$A$1:$A$20000,0),MATCH("CPC*",'Semrush Data'!$A$1:$Z$1,0)),"")</f>
        <v>0</v>
      </c>
      <c r="Z67" s="21" t="s">
        <v>1681</v>
      </c>
      <c r="AA67" s="21"/>
      <c r="AB67" s="21" t="s">
        <v>765</v>
      </c>
      <c r="AC67" s="21" t="s">
        <v>1796</v>
      </c>
      <c r="AD67" s="25" t="n">
        <f aca="false">LEN(AC67)</f>
        <v>53</v>
      </c>
      <c r="AE67" s="21" t="s">
        <v>1797</v>
      </c>
      <c r="AF67" s="25" t="n">
        <f aca="false">LEN(AE67)</f>
        <v>154</v>
      </c>
    </row>
    <row r="68" customFormat="false" ht="15" hidden="false" customHeight="true" outlineLevel="0" collapsed="false">
      <c r="A68" s="21" t="s">
        <v>769</v>
      </c>
      <c r="B68" s="21" t="s">
        <v>1373</v>
      </c>
      <c r="C68" s="21" t="n">
        <v>67</v>
      </c>
      <c r="D68" s="21" t="s">
        <v>313</v>
      </c>
      <c r="E68" s="21"/>
      <c r="F68" s="21" t="s">
        <v>1676</v>
      </c>
      <c r="G68" s="21" t="s">
        <v>659</v>
      </c>
      <c r="H68" s="21" t="s">
        <v>347</v>
      </c>
      <c r="I68" s="21" t="s">
        <v>770</v>
      </c>
      <c r="J68" s="21"/>
      <c r="K68" s="21" t="n">
        <v>20.99</v>
      </c>
      <c r="L68" s="21" t="s">
        <v>1798</v>
      </c>
      <c r="M68" s="21" t="s">
        <v>1799</v>
      </c>
      <c r="N68" s="21" t="s">
        <v>1800</v>
      </c>
      <c r="O68" s="21" t="s">
        <v>1801</v>
      </c>
      <c r="P68" s="21"/>
      <c r="Q68" s="22" t="n">
        <f aca="false">IF(L68="","",IFERROR(INDEX('Semrush Data'!$A$1:$Z$20000,MATCH(L68,'Semrush Data'!$A$1:$A$20000,0),MATCH("Volume",'Semrush Data'!$A$1:$Z$1,0)),""))</f>
        <v>0</v>
      </c>
      <c r="R68" s="22" t="str">
        <f aca="false">IF(M68="","",IFERROR(INDEX('Semrush Data'!$A$1:$Z$20000,MATCH(M68,'Semrush Data'!$A$1:$A$20000,0),MATCH("Volume",'Semrush Data'!$A$1:$Z$1,0)),""))</f>
        <v/>
      </c>
      <c r="S68" s="22" t="str">
        <f aca="false">IF(N68="","",IFERROR(INDEX('Semrush Data'!$A$1:$Z$20000,MATCH(N68,'Semrush Data'!$A$1:$A$20000,0),MATCH("Volume",'Semrush Data'!$A$1:$Z$1,0)),""))</f>
        <v/>
      </c>
      <c r="T68" s="22" t="str">
        <f aca="false">IF(O68="","",IFERROR(INDEX('Semrush Data'!$A$1:$Z$20000,MATCH(O68,'Semrush Data'!$A$1:$A$20000,0),MATCH("Volume",'Semrush Data'!$A$1:$Z$1,0)),""))</f>
        <v/>
      </c>
      <c r="U68" s="22" t="str">
        <f aca="false">IF(P68="","",IFERROR(INDEX('Semrush Data'!$A$1:$Z$20000,MATCH(P68,'Semrush Data'!$A$1:$A$20000,0),MATCH("Volume",'Semrush Data'!$A$1:$Z$1,0)),""))</f>
        <v/>
      </c>
      <c r="V68" s="23" t="str">
        <f aca="false">IF(COUNT(Q68:U68)=0,L68,IF(MAX(Q68:U68)=0,L68,INDEX(L68:P68,MATCH(MAX(Q68:U68),Q68:U68,0))))</f>
        <v>vilvah x annapoorna gift box</v>
      </c>
      <c r="W68" s="22" t="n">
        <f aca="false">IFERROR(INDEX('Semrush Data'!$A$1:$Z$20000,MATCH(V68,'Semrush Data'!$A$1:$A$20000,0),MATCH("Volume",'Semrush Data'!$A$1:$Z$1,0)),"")</f>
        <v>0</v>
      </c>
      <c r="X68" s="22" t="n">
        <f aca="false">IFERROR(INDEX('Semrush Data'!$A$1:$Z$20000,MATCH(V68,'Semrush Data'!$A$1:$A$20000,0),MATCH("Keyword Difficulty*",'Semrush Data'!$A$1:$Z$1,0)),"")</f>
        <v>12</v>
      </c>
      <c r="Y68" s="24" t="n">
        <f aca="false">IFERROR(INDEX('Semrush Data'!$A$1:$Z$20000,MATCH(V68,'Semrush Data'!$A$1:$A$20000,0),MATCH("CPC*",'Semrush Data'!$A$1:$Z$1,0)),"")</f>
        <v>0</v>
      </c>
      <c r="Z68" s="21" t="s">
        <v>1681</v>
      </c>
      <c r="AA68" s="21"/>
      <c r="AB68" s="21" t="s">
        <v>771</v>
      </c>
      <c r="AC68" s="21" t="s">
        <v>1802</v>
      </c>
      <c r="AD68" s="25" t="n">
        <f aca="false">LEN(AC68)</f>
        <v>55</v>
      </c>
      <c r="AE68" s="21" t="s">
        <v>1803</v>
      </c>
      <c r="AF68" s="25" t="n">
        <f aca="false">LEN(AE68)</f>
        <v>154</v>
      </c>
    </row>
    <row r="69" customFormat="false" ht="15" hidden="false" customHeight="true" outlineLevel="0" collapsed="false">
      <c r="A69" s="21" t="s">
        <v>775</v>
      </c>
      <c r="B69" s="21" t="s">
        <v>1373</v>
      </c>
      <c r="C69" s="21" t="n">
        <v>68</v>
      </c>
      <c r="D69" s="21" t="s">
        <v>313</v>
      </c>
      <c r="E69" s="21"/>
      <c r="F69" s="21" t="s">
        <v>1676</v>
      </c>
      <c r="G69" s="21" t="s">
        <v>659</v>
      </c>
      <c r="H69" s="21" t="s">
        <v>397</v>
      </c>
      <c r="I69" s="21" t="s">
        <v>776</v>
      </c>
      <c r="J69" s="21"/>
      <c r="K69" s="21" t="n">
        <v>16.99</v>
      </c>
      <c r="L69" s="21" t="s">
        <v>1804</v>
      </c>
      <c r="M69" s="21" t="s">
        <v>1805</v>
      </c>
      <c r="N69" s="21" t="s">
        <v>1806</v>
      </c>
      <c r="O69" s="21" t="s">
        <v>1807</v>
      </c>
      <c r="P69" s="21"/>
      <c r="Q69" s="22" t="n">
        <f aca="false">IF(L69="","",IFERROR(INDEX('Semrush Data'!$A$1:$Z$20000,MATCH(L69,'Semrush Data'!$A$1:$A$20000,0),MATCH("Volume",'Semrush Data'!$A$1:$Z$1,0)),""))</f>
        <v>0</v>
      </c>
      <c r="R69" s="22" t="str">
        <f aca="false">IF(M69="","",IFERROR(INDEX('Semrush Data'!$A$1:$Z$20000,MATCH(M69,'Semrush Data'!$A$1:$A$20000,0),MATCH("Volume",'Semrush Data'!$A$1:$Z$1,0)),""))</f>
        <v/>
      </c>
      <c r="S69" s="22" t="str">
        <f aca="false">IF(N69="","",IFERROR(INDEX('Semrush Data'!$A$1:$Z$20000,MATCH(N69,'Semrush Data'!$A$1:$A$20000,0),MATCH("Volume",'Semrush Data'!$A$1:$Z$1,0)),""))</f>
        <v/>
      </c>
      <c r="T69" s="22" t="str">
        <f aca="false">IF(O69="","",IFERROR(INDEX('Semrush Data'!$A$1:$Z$20000,MATCH(O69,'Semrush Data'!$A$1:$A$20000,0),MATCH("Volume",'Semrush Data'!$A$1:$Z$1,0)),""))</f>
        <v/>
      </c>
      <c r="U69" s="22" t="str">
        <f aca="false">IF(P69="","",IFERROR(INDEX('Semrush Data'!$A$1:$Z$20000,MATCH(P69,'Semrush Data'!$A$1:$A$20000,0),MATCH("Volume",'Semrush Data'!$A$1:$Z$1,0)),""))</f>
        <v/>
      </c>
      <c r="V69" s="23" t="str">
        <f aca="false">IF(COUNT(Q69:U69)=0,L69,IF(MAX(Q69:U69)=0,L69,INDEX(L69:P69,MATCH(MAX(Q69:U69),Q69:U69,0))))</f>
        <v>vilvah tinted lip balm kit</v>
      </c>
      <c r="W69" s="22" t="n">
        <f aca="false">IFERROR(INDEX('Semrush Data'!$A$1:$Z$20000,MATCH(V69,'Semrush Data'!$A$1:$A$20000,0),MATCH("Volume",'Semrush Data'!$A$1:$Z$1,0)),"")</f>
        <v>0</v>
      </c>
      <c r="X69" s="22" t="n">
        <f aca="false">IFERROR(INDEX('Semrush Data'!$A$1:$Z$20000,MATCH(V69,'Semrush Data'!$A$1:$A$20000,0),MATCH("Keyword Difficulty*",'Semrush Data'!$A$1:$Z$1,0)),"")</f>
        <v>17</v>
      </c>
      <c r="Y69" s="24" t="n">
        <f aca="false">IFERROR(INDEX('Semrush Data'!$A$1:$Z$20000,MATCH(V69,'Semrush Data'!$A$1:$A$20000,0),MATCH("CPC*",'Semrush Data'!$A$1:$Z$1,0)),"")</f>
        <v>0</v>
      </c>
      <c r="Z69" s="21" t="s">
        <v>1681</v>
      </c>
      <c r="AA69" s="21"/>
      <c r="AB69" s="21" t="s">
        <v>777</v>
      </c>
      <c r="AC69" s="21" t="s">
        <v>1808</v>
      </c>
      <c r="AD69" s="25" t="n">
        <f aca="false">LEN(AC69)</f>
        <v>53</v>
      </c>
      <c r="AE69" s="21" t="s">
        <v>1809</v>
      </c>
      <c r="AF69" s="25" t="n">
        <f aca="false">LEN(AE69)</f>
        <v>160</v>
      </c>
    </row>
    <row r="70" customFormat="false" ht="15" hidden="false" customHeight="true" outlineLevel="0" collapsed="false">
      <c r="A70" s="21" t="s">
        <v>781</v>
      </c>
      <c r="B70" s="21" t="s">
        <v>1373</v>
      </c>
      <c r="C70" s="21" t="n">
        <v>69</v>
      </c>
      <c r="D70" s="21" t="s">
        <v>313</v>
      </c>
      <c r="E70" s="21"/>
      <c r="F70" s="21" t="s">
        <v>1676</v>
      </c>
      <c r="G70" s="21" t="s">
        <v>659</v>
      </c>
      <c r="H70" s="21" t="s">
        <v>492</v>
      </c>
      <c r="I70" s="21" t="s">
        <v>782</v>
      </c>
      <c r="J70" s="21"/>
      <c r="K70" s="21" t="n">
        <v>35.99</v>
      </c>
      <c r="L70" s="21" t="s">
        <v>1810</v>
      </c>
      <c r="M70" s="21" t="s">
        <v>1811</v>
      </c>
      <c r="N70" s="21" t="s">
        <v>1812</v>
      </c>
      <c r="O70" s="21" t="s">
        <v>1813</v>
      </c>
      <c r="P70" s="21"/>
      <c r="Q70" s="22" t="n">
        <f aca="false">IF(L70="","",IFERROR(INDEX('Semrush Data'!$A$1:$Z$20000,MATCH(L70,'Semrush Data'!$A$1:$A$20000,0),MATCH("Volume",'Semrush Data'!$A$1:$Z$1,0)),""))</f>
        <v>0</v>
      </c>
      <c r="R70" s="22" t="str">
        <f aca="false">IF(M70="","",IFERROR(INDEX('Semrush Data'!$A$1:$Z$20000,MATCH(M70,'Semrush Data'!$A$1:$A$20000,0),MATCH("Volume",'Semrush Data'!$A$1:$Z$1,0)),""))</f>
        <v/>
      </c>
      <c r="S70" s="22" t="str">
        <f aca="false">IF(N70="","",IFERROR(INDEX('Semrush Data'!$A$1:$Z$20000,MATCH(N70,'Semrush Data'!$A$1:$A$20000,0),MATCH("Volume",'Semrush Data'!$A$1:$Z$1,0)),""))</f>
        <v/>
      </c>
      <c r="T70" s="22" t="str">
        <f aca="false">IF(O70="","",IFERROR(INDEX('Semrush Data'!$A$1:$Z$20000,MATCH(O70,'Semrush Data'!$A$1:$A$20000,0),MATCH("Volume",'Semrush Data'!$A$1:$Z$1,0)),""))</f>
        <v/>
      </c>
      <c r="U70" s="22" t="str">
        <f aca="false">IF(P70="","",IFERROR(INDEX('Semrush Data'!$A$1:$Z$20000,MATCH(P70,'Semrush Data'!$A$1:$A$20000,0),MATCH("Volume",'Semrush Data'!$A$1:$Z$1,0)),""))</f>
        <v/>
      </c>
      <c r="V70" s="23" t="str">
        <f aca="false">IF(COUNT(Q70:U70)=0,L70,IF(MAX(Q70:U70)=0,L70,INDEX(L70:P70,MATCH(MAX(Q70:U70),Q70:U70,0))))</f>
        <v>vilvah store frizz free hair combo</v>
      </c>
      <c r="W70" s="22" t="n">
        <f aca="false">IFERROR(INDEX('Semrush Data'!$A$1:$Z$20000,MATCH(V70,'Semrush Data'!$A$1:$A$20000,0),MATCH("Volume",'Semrush Data'!$A$1:$Z$1,0)),"")</f>
        <v>0</v>
      </c>
      <c r="X70" s="22" t="n">
        <f aca="false">IFERROR(INDEX('Semrush Data'!$A$1:$Z$20000,MATCH(V70,'Semrush Data'!$A$1:$A$20000,0),MATCH("Keyword Difficulty*",'Semrush Data'!$A$1:$Z$1,0)),"")</f>
        <v>11</v>
      </c>
      <c r="Y70" s="24" t="n">
        <f aca="false">IFERROR(INDEX('Semrush Data'!$A$1:$Z$20000,MATCH(V70,'Semrush Data'!$A$1:$A$20000,0),MATCH("CPC*",'Semrush Data'!$A$1:$Z$1,0)),"")</f>
        <v>0</v>
      </c>
      <c r="Z70" s="21" t="s">
        <v>1681</v>
      </c>
      <c r="AA70" s="21"/>
      <c r="AB70" s="21" t="s">
        <v>782</v>
      </c>
      <c r="AC70" s="21" t="s">
        <v>1814</v>
      </c>
      <c r="AD70" s="25" t="n">
        <f aca="false">LEN(AC70)</f>
        <v>48</v>
      </c>
      <c r="AE70" s="21" t="s">
        <v>1815</v>
      </c>
      <c r="AF70" s="25" t="n">
        <f aca="false">LEN(AE70)</f>
        <v>160</v>
      </c>
    </row>
    <row r="71" customFormat="false" ht="15" hidden="false" customHeight="true" outlineLevel="0" collapsed="false">
      <c r="A71" s="21" t="s">
        <v>786</v>
      </c>
      <c r="B71" s="21" t="s">
        <v>1373</v>
      </c>
      <c r="C71" s="21" t="n">
        <v>70</v>
      </c>
      <c r="D71" s="21" t="s">
        <v>313</v>
      </c>
      <c r="E71" s="21"/>
      <c r="F71" s="21" t="s">
        <v>1676</v>
      </c>
      <c r="G71" s="21" t="s">
        <v>659</v>
      </c>
      <c r="H71" s="21" t="s">
        <v>561</v>
      </c>
      <c r="I71" s="21" t="s">
        <v>787</v>
      </c>
      <c r="J71" s="21"/>
      <c r="K71" s="21" t="n">
        <v>27.99</v>
      </c>
      <c r="L71" s="21" t="s">
        <v>1816</v>
      </c>
      <c r="M71" s="21" t="s">
        <v>1817</v>
      </c>
      <c r="N71" s="21" t="s">
        <v>1818</v>
      </c>
      <c r="O71" s="21" t="s">
        <v>1819</v>
      </c>
      <c r="P71" s="21"/>
      <c r="Q71" s="22" t="n">
        <f aca="false">IF(L71="","",IFERROR(INDEX('Semrush Data'!$A$1:$Z$20000,MATCH(L71,'Semrush Data'!$A$1:$A$20000,0),MATCH("Volume",'Semrush Data'!$A$1:$Z$1,0)),""))</f>
        <v>0</v>
      </c>
      <c r="R71" s="22" t="str">
        <f aca="false">IF(M71="","",IFERROR(INDEX('Semrush Data'!$A$1:$Z$20000,MATCH(M71,'Semrush Data'!$A$1:$A$20000,0),MATCH("Volume",'Semrush Data'!$A$1:$Z$1,0)),""))</f>
        <v/>
      </c>
      <c r="S71" s="22" t="str">
        <f aca="false">IF(N71="","",IFERROR(INDEX('Semrush Data'!$A$1:$Z$20000,MATCH(N71,'Semrush Data'!$A$1:$A$20000,0),MATCH("Volume",'Semrush Data'!$A$1:$Z$1,0)),""))</f>
        <v/>
      </c>
      <c r="T71" s="22" t="str">
        <f aca="false">IF(O71="","",IFERROR(INDEX('Semrush Data'!$A$1:$Z$20000,MATCH(O71,'Semrush Data'!$A$1:$A$20000,0),MATCH("Volume",'Semrush Data'!$A$1:$Z$1,0)),""))</f>
        <v/>
      </c>
      <c r="U71" s="22" t="str">
        <f aca="false">IF(P71="","",IFERROR(INDEX('Semrush Data'!$A$1:$Z$20000,MATCH(P71,'Semrush Data'!$A$1:$A$20000,0),MATCH("Volume",'Semrush Data'!$A$1:$Z$1,0)),""))</f>
        <v/>
      </c>
      <c r="V71" s="23" t="str">
        <f aca="false">IF(COUNT(Q71:U71)=0,L71,IF(MAX(Q71:U71)=0,L71,INDEX(L71:P71,MATCH(MAX(Q71:U71),Q71:U71,0))))</f>
        <v>vilvah bestseller hair kit</v>
      </c>
      <c r="W71" s="22" t="n">
        <f aca="false">IFERROR(INDEX('Semrush Data'!$A$1:$Z$20000,MATCH(V71,'Semrush Data'!$A$1:$A$20000,0),MATCH("Volume",'Semrush Data'!$A$1:$Z$1,0)),"")</f>
        <v>0</v>
      </c>
      <c r="X71" s="22" t="n">
        <f aca="false">IFERROR(INDEX('Semrush Data'!$A$1:$Z$20000,MATCH(V71,'Semrush Data'!$A$1:$A$20000,0),MATCH("Keyword Difficulty*",'Semrush Data'!$A$1:$Z$1,0)),"")</f>
        <v>19</v>
      </c>
      <c r="Y71" s="24" t="n">
        <f aca="false">IFERROR(INDEX('Semrush Data'!$A$1:$Z$20000,MATCH(V71,'Semrush Data'!$A$1:$A$20000,0),MATCH("CPC*",'Semrush Data'!$A$1:$Z$1,0)),"")</f>
        <v>0</v>
      </c>
      <c r="Z71" s="21" t="s">
        <v>1681</v>
      </c>
      <c r="AA71" s="21"/>
      <c r="AB71" s="21" t="s">
        <v>787</v>
      </c>
      <c r="AC71" s="21" t="s">
        <v>1820</v>
      </c>
      <c r="AD71" s="25" t="n">
        <f aca="false">LEN(AC71)</f>
        <v>53</v>
      </c>
      <c r="AE71" s="21" t="s">
        <v>1821</v>
      </c>
      <c r="AF71" s="25" t="n">
        <f aca="false">LEN(AE71)</f>
        <v>160</v>
      </c>
    </row>
    <row r="72" customFormat="false" ht="15" hidden="false" customHeight="true" outlineLevel="0" collapsed="false">
      <c r="A72" s="21" t="s">
        <v>791</v>
      </c>
      <c r="B72" s="21" t="s">
        <v>1373</v>
      </c>
      <c r="C72" s="21" t="n">
        <v>71</v>
      </c>
      <c r="D72" s="21" t="s">
        <v>313</v>
      </c>
      <c r="E72" s="21"/>
      <c r="F72" s="21" t="s">
        <v>1676</v>
      </c>
      <c r="G72" s="21" t="s">
        <v>659</v>
      </c>
      <c r="H72" s="21" t="s">
        <v>561</v>
      </c>
      <c r="I72" s="21" t="s">
        <v>792</v>
      </c>
      <c r="J72" s="21"/>
      <c r="K72" s="21" t="n">
        <v>25.99</v>
      </c>
      <c r="L72" s="21" t="s">
        <v>1822</v>
      </c>
      <c r="M72" s="21" t="s">
        <v>1823</v>
      </c>
      <c r="N72" s="21" t="s">
        <v>1824</v>
      </c>
      <c r="O72" s="21" t="s">
        <v>1825</v>
      </c>
      <c r="P72" s="21"/>
      <c r="Q72" s="22" t="n">
        <f aca="false">IF(L72="","",IFERROR(INDEX('Semrush Data'!$A$1:$Z$20000,MATCH(L72,'Semrush Data'!$A$1:$A$20000,0),MATCH("Volume",'Semrush Data'!$A$1:$Z$1,0)),""))</f>
        <v>0</v>
      </c>
      <c r="R72" s="22" t="str">
        <f aca="false">IF(M72="","",IFERROR(INDEX('Semrush Data'!$A$1:$Z$20000,MATCH(M72,'Semrush Data'!$A$1:$A$20000,0),MATCH("Volume",'Semrush Data'!$A$1:$Z$1,0)),""))</f>
        <v/>
      </c>
      <c r="S72" s="22" t="str">
        <f aca="false">IF(N72="","",IFERROR(INDEX('Semrush Data'!$A$1:$Z$20000,MATCH(N72,'Semrush Data'!$A$1:$A$20000,0),MATCH("Volume",'Semrush Data'!$A$1:$Z$1,0)),""))</f>
        <v/>
      </c>
      <c r="T72" s="22" t="str">
        <f aca="false">IF(O72="","",IFERROR(INDEX('Semrush Data'!$A$1:$Z$20000,MATCH(O72,'Semrush Data'!$A$1:$A$20000,0),MATCH("Volume",'Semrush Data'!$A$1:$Z$1,0)),""))</f>
        <v/>
      </c>
      <c r="U72" s="22" t="str">
        <f aca="false">IF(P72="","",IFERROR(INDEX('Semrush Data'!$A$1:$Z$20000,MATCH(P72,'Semrush Data'!$A$1:$A$20000,0),MATCH("Volume",'Semrush Data'!$A$1:$Z$1,0)),""))</f>
        <v/>
      </c>
      <c r="V72" s="23" t="str">
        <f aca="false">IF(COUNT(Q72:U72)=0,L72,IF(MAX(Q72:U72)=0,L72,INDEX(L72:P72,MATCH(MAX(Q72:U72),Q72:U72,0))))</f>
        <v>vilvah shampoo and hair serum kit</v>
      </c>
      <c r="W72" s="22" t="n">
        <f aca="false">IFERROR(INDEX('Semrush Data'!$A$1:$Z$20000,MATCH(V72,'Semrush Data'!$A$1:$A$20000,0),MATCH("Volume",'Semrush Data'!$A$1:$Z$1,0)),"")</f>
        <v>0</v>
      </c>
      <c r="X72" s="22" t="n">
        <f aca="false">IFERROR(INDEX('Semrush Data'!$A$1:$Z$20000,MATCH(V72,'Semrush Data'!$A$1:$A$20000,0),MATCH("Keyword Difficulty*",'Semrush Data'!$A$1:$Z$1,0)),"")</f>
        <v>15</v>
      </c>
      <c r="Y72" s="24" t="n">
        <f aca="false">IFERROR(INDEX('Semrush Data'!$A$1:$Z$20000,MATCH(V72,'Semrush Data'!$A$1:$A$20000,0),MATCH("CPC*",'Semrush Data'!$A$1:$Z$1,0)),"")</f>
        <v>0</v>
      </c>
      <c r="Z72" s="21" t="s">
        <v>1681</v>
      </c>
      <c r="AA72" s="21"/>
      <c r="AB72" s="21" t="s">
        <v>792</v>
      </c>
      <c r="AC72" s="21" t="s">
        <v>1826</v>
      </c>
      <c r="AD72" s="25" t="n">
        <f aca="false">LEN(AC72)</f>
        <v>60</v>
      </c>
      <c r="AE72" s="21" t="s">
        <v>1827</v>
      </c>
      <c r="AF72" s="25" t="n">
        <f aca="false">LEN(AE72)</f>
        <v>159</v>
      </c>
    </row>
    <row r="73" customFormat="false" ht="15" hidden="false" customHeight="true" outlineLevel="0" collapsed="false">
      <c r="A73" s="21" t="s">
        <v>796</v>
      </c>
      <c r="B73" s="21" t="s">
        <v>1373</v>
      </c>
      <c r="C73" s="21" t="n">
        <v>72</v>
      </c>
      <c r="D73" s="21" t="s">
        <v>313</v>
      </c>
      <c r="E73" s="21"/>
      <c r="F73" s="21" t="s">
        <v>1676</v>
      </c>
      <c r="G73" s="21" t="s">
        <v>659</v>
      </c>
      <c r="H73" s="21" t="s">
        <v>798</v>
      </c>
      <c r="I73" s="21" t="s">
        <v>797</v>
      </c>
      <c r="J73" s="21"/>
      <c r="K73" s="21" t="n">
        <v>34.99</v>
      </c>
      <c r="L73" s="21" t="s">
        <v>1828</v>
      </c>
      <c r="M73" s="21" t="s">
        <v>1829</v>
      </c>
      <c r="N73" s="21" t="s">
        <v>1830</v>
      </c>
      <c r="O73" s="21" t="s">
        <v>1831</v>
      </c>
      <c r="P73" s="21"/>
      <c r="Q73" s="22" t="n">
        <f aca="false">IF(L73="","",IFERROR(INDEX('Semrush Data'!$A$1:$Z$20000,MATCH(L73,'Semrush Data'!$A$1:$A$20000,0),MATCH("Volume",'Semrush Data'!$A$1:$Z$1,0)),""))</f>
        <v>0</v>
      </c>
      <c r="R73" s="22" t="str">
        <f aca="false">IF(M73="","",IFERROR(INDEX('Semrush Data'!$A$1:$Z$20000,MATCH(M73,'Semrush Data'!$A$1:$A$20000,0),MATCH("Volume",'Semrush Data'!$A$1:$Z$1,0)),""))</f>
        <v/>
      </c>
      <c r="S73" s="22" t="str">
        <f aca="false">IF(N73="","",IFERROR(INDEX('Semrush Data'!$A$1:$Z$20000,MATCH(N73,'Semrush Data'!$A$1:$A$20000,0),MATCH("Volume",'Semrush Data'!$A$1:$Z$1,0)),""))</f>
        <v/>
      </c>
      <c r="T73" s="22" t="str">
        <f aca="false">IF(O73="","",IFERROR(INDEX('Semrush Data'!$A$1:$Z$20000,MATCH(O73,'Semrush Data'!$A$1:$A$20000,0),MATCH("Volume",'Semrush Data'!$A$1:$Z$1,0)),""))</f>
        <v/>
      </c>
      <c r="U73" s="22" t="str">
        <f aca="false">IF(P73="","",IFERROR(INDEX('Semrush Data'!$A$1:$Z$20000,MATCH(P73,'Semrush Data'!$A$1:$A$20000,0),MATCH("Volume",'Semrush Data'!$A$1:$Z$1,0)),""))</f>
        <v/>
      </c>
      <c r="V73" s="23" t="str">
        <f aca="false">IF(COUNT(Q73:U73)=0,L73,IF(MAX(Q73:U73)=0,L73,INDEX(L73:P73,MATCH(MAX(Q73:U73),Q73:U73,0))))</f>
        <v>vilvah hair strengthening kit</v>
      </c>
      <c r="W73" s="22" t="n">
        <f aca="false">IFERROR(INDEX('Semrush Data'!$A$1:$Z$20000,MATCH(V73,'Semrush Data'!$A$1:$A$20000,0),MATCH("Volume",'Semrush Data'!$A$1:$Z$1,0)),"")</f>
        <v>0</v>
      </c>
      <c r="X73" s="22" t="n">
        <f aca="false">IFERROR(INDEX('Semrush Data'!$A$1:$Z$20000,MATCH(V73,'Semrush Data'!$A$1:$A$20000,0),MATCH("Keyword Difficulty*",'Semrush Data'!$A$1:$Z$1,0)),"")</f>
        <v>20</v>
      </c>
      <c r="Y73" s="24" t="n">
        <f aca="false">IFERROR(INDEX('Semrush Data'!$A$1:$Z$20000,MATCH(V73,'Semrush Data'!$A$1:$A$20000,0),MATCH("CPC*",'Semrush Data'!$A$1:$Z$1,0)),"")</f>
        <v>0</v>
      </c>
      <c r="Z73" s="21" t="s">
        <v>1681</v>
      </c>
      <c r="AA73" s="21"/>
      <c r="AB73" s="21" t="s">
        <v>797</v>
      </c>
      <c r="AC73" s="21" t="s">
        <v>1832</v>
      </c>
      <c r="AD73" s="25" t="n">
        <f aca="false">LEN(AC73)</f>
        <v>56</v>
      </c>
      <c r="AE73" s="21" t="s">
        <v>1833</v>
      </c>
      <c r="AF73" s="25" t="n">
        <f aca="false">LEN(AE73)</f>
        <v>155</v>
      </c>
    </row>
    <row r="74" customFormat="false" ht="15" hidden="false" customHeight="true" outlineLevel="0" collapsed="false">
      <c r="A74" s="21" t="s">
        <v>802</v>
      </c>
      <c r="B74" s="21" t="s">
        <v>1373</v>
      </c>
      <c r="C74" s="21" t="n">
        <v>73</v>
      </c>
      <c r="D74" s="21" t="s">
        <v>313</v>
      </c>
      <c r="E74" s="21"/>
      <c r="F74" s="21" t="s">
        <v>1676</v>
      </c>
      <c r="G74" s="21" t="s">
        <v>659</v>
      </c>
      <c r="H74" s="21" t="s">
        <v>804</v>
      </c>
      <c r="I74" s="21" t="s">
        <v>803</v>
      </c>
      <c r="J74" s="21"/>
      <c r="K74" s="21" t="n">
        <v>12.99</v>
      </c>
      <c r="L74" s="21" t="s">
        <v>1834</v>
      </c>
      <c r="M74" s="21" t="s">
        <v>1835</v>
      </c>
      <c r="N74" s="21" t="s">
        <v>1836</v>
      </c>
      <c r="O74" s="21" t="s">
        <v>1837</v>
      </c>
      <c r="P74" s="21"/>
      <c r="Q74" s="22" t="n">
        <f aca="false">IF(L74="","",IFERROR(INDEX('Semrush Data'!$A$1:$Z$20000,MATCH(L74,'Semrush Data'!$A$1:$A$20000,0),MATCH("Volume",'Semrush Data'!$A$1:$Z$1,0)),""))</f>
        <v>0</v>
      </c>
      <c r="R74" s="22" t="str">
        <f aca="false">IF(M74="","",IFERROR(INDEX('Semrush Data'!$A$1:$Z$20000,MATCH(M74,'Semrush Data'!$A$1:$A$20000,0),MATCH("Volume",'Semrush Data'!$A$1:$Z$1,0)),""))</f>
        <v/>
      </c>
      <c r="S74" s="22" t="str">
        <f aca="false">IF(N74="","",IFERROR(INDEX('Semrush Data'!$A$1:$Z$20000,MATCH(N74,'Semrush Data'!$A$1:$A$20000,0),MATCH("Volume",'Semrush Data'!$A$1:$Z$1,0)),""))</f>
        <v/>
      </c>
      <c r="T74" s="22" t="str">
        <f aca="false">IF(O74="","",IFERROR(INDEX('Semrush Data'!$A$1:$Z$20000,MATCH(O74,'Semrush Data'!$A$1:$A$20000,0),MATCH("Volume",'Semrush Data'!$A$1:$Z$1,0)),""))</f>
        <v/>
      </c>
      <c r="U74" s="22" t="str">
        <f aca="false">IF(P74="","",IFERROR(INDEX('Semrush Data'!$A$1:$Z$20000,MATCH(P74,'Semrush Data'!$A$1:$A$20000,0),MATCH("Volume",'Semrush Data'!$A$1:$Z$1,0)),""))</f>
        <v/>
      </c>
      <c r="V74" s="23" t="str">
        <f aca="false">IF(COUNT(Q74:U74)=0,L74,IF(MAX(Q74:U74)=0,L74,INDEX(L74:P74,MATCH(MAX(Q74:U74),Q74:U74,0))))</f>
        <v>vilvah lip lightening kit</v>
      </c>
      <c r="W74" s="22" t="n">
        <f aca="false">IFERROR(INDEX('Semrush Data'!$A$1:$Z$20000,MATCH(V74,'Semrush Data'!$A$1:$A$20000,0),MATCH("Volume",'Semrush Data'!$A$1:$Z$1,0)),"")</f>
        <v>0</v>
      </c>
      <c r="X74" s="22" t="n">
        <f aca="false">IFERROR(INDEX('Semrush Data'!$A$1:$Z$20000,MATCH(V74,'Semrush Data'!$A$1:$A$20000,0),MATCH("Keyword Difficulty*",'Semrush Data'!$A$1:$Z$1,0)),"")</f>
        <v>14</v>
      </c>
      <c r="Y74" s="24" t="n">
        <f aca="false">IFERROR(INDEX('Semrush Data'!$A$1:$Z$20000,MATCH(V74,'Semrush Data'!$A$1:$A$20000,0),MATCH("CPC*",'Semrush Data'!$A$1:$Z$1,0)),"")</f>
        <v>0</v>
      </c>
      <c r="Z74" s="21" t="s">
        <v>1681</v>
      </c>
      <c r="AA74" s="21"/>
      <c r="AB74" s="21" t="s">
        <v>803</v>
      </c>
      <c r="AC74" s="21" t="s">
        <v>1838</v>
      </c>
      <c r="AD74" s="25" t="n">
        <f aca="false">LEN(AC74)</f>
        <v>52</v>
      </c>
      <c r="AE74" s="21" t="s">
        <v>1839</v>
      </c>
      <c r="AF74" s="25" t="n">
        <f aca="false">LEN(AE74)</f>
        <v>159</v>
      </c>
    </row>
    <row r="75" customFormat="false" ht="15" hidden="false" customHeight="true" outlineLevel="0" collapsed="false">
      <c r="A75" s="21" t="s">
        <v>808</v>
      </c>
      <c r="B75" s="21" t="s">
        <v>1373</v>
      </c>
      <c r="C75" s="21" t="n">
        <v>74</v>
      </c>
      <c r="D75" s="21" t="s">
        <v>313</v>
      </c>
      <c r="E75" s="21"/>
      <c r="F75" s="21" t="s">
        <v>1676</v>
      </c>
      <c r="G75" s="21" t="s">
        <v>659</v>
      </c>
      <c r="H75" s="21" t="s">
        <v>375</v>
      </c>
      <c r="I75" s="21" t="s">
        <v>809</v>
      </c>
      <c r="J75" s="21"/>
      <c r="K75" s="21" t="n">
        <v>45.99</v>
      </c>
      <c r="L75" s="21" t="s">
        <v>1840</v>
      </c>
      <c r="M75" s="21" t="s">
        <v>1841</v>
      </c>
      <c r="N75" s="21" t="s">
        <v>1842</v>
      </c>
      <c r="O75" s="21" t="s">
        <v>1843</v>
      </c>
      <c r="P75" s="21"/>
      <c r="Q75" s="22" t="n">
        <f aca="false">IF(L75="","",IFERROR(INDEX('Semrush Data'!$A$1:$Z$20000,MATCH(L75,'Semrush Data'!$A$1:$A$20000,0),MATCH("Volume",'Semrush Data'!$A$1:$Z$1,0)),""))</f>
        <v>0</v>
      </c>
      <c r="R75" s="22" t="str">
        <f aca="false">IF(M75="","",IFERROR(INDEX('Semrush Data'!$A$1:$Z$20000,MATCH(M75,'Semrush Data'!$A$1:$A$20000,0),MATCH("Volume",'Semrush Data'!$A$1:$Z$1,0)),""))</f>
        <v/>
      </c>
      <c r="S75" s="22" t="str">
        <f aca="false">IF(N75="","",IFERROR(INDEX('Semrush Data'!$A$1:$Z$20000,MATCH(N75,'Semrush Data'!$A$1:$A$20000,0),MATCH("Volume",'Semrush Data'!$A$1:$Z$1,0)),""))</f>
        <v/>
      </c>
      <c r="T75" s="22" t="str">
        <f aca="false">IF(O75="","",IFERROR(INDEX('Semrush Data'!$A$1:$Z$20000,MATCH(O75,'Semrush Data'!$A$1:$A$20000,0),MATCH("Volume",'Semrush Data'!$A$1:$Z$1,0)),""))</f>
        <v/>
      </c>
      <c r="U75" s="22" t="str">
        <f aca="false">IF(P75="","",IFERROR(INDEX('Semrush Data'!$A$1:$Z$20000,MATCH(P75,'Semrush Data'!$A$1:$A$20000,0),MATCH("Volume",'Semrush Data'!$A$1:$Z$1,0)),""))</f>
        <v/>
      </c>
      <c r="V75" s="23" t="str">
        <f aca="false">IF(COUNT(Q75:U75)=0,L75,IF(MAX(Q75:U75)=0,L75,INDEX(L75:P75,MATCH(MAX(Q75:U75),Q75:U75,0))))</f>
        <v>vilvah skin hydration kit</v>
      </c>
      <c r="W75" s="22" t="n">
        <f aca="false">IFERROR(INDEX('Semrush Data'!$A$1:$Z$20000,MATCH(V75,'Semrush Data'!$A$1:$A$20000,0),MATCH("Volume",'Semrush Data'!$A$1:$Z$1,0)),"")</f>
        <v>0</v>
      </c>
      <c r="X75" s="22" t="n">
        <f aca="false">IFERROR(INDEX('Semrush Data'!$A$1:$Z$20000,MATCH(V75,'Semrush Data'!$A$1:$A$20000,0),MATCH("Keyword Difficulty*",'Semrush Data'!$A$1:$Z$1,0)),"")</f>
        <v>12</v>
      </c>
      <c r="Y75" s="24" t="n">
        <f aca="false">IFERROR(INDEX('Semrush Data'!$A$1:$Z$20000,MATCH(V75,'Semrush Data'!$A$1:$A$20000,0),MATCH("CPC*",'Semrush Data'!$A$1:$Z$1,0)),"")</f>
        <v>0</v>
      </c>
      <c r="Z75" s="21" t="s">
        <v>1681</v>
      </c>
      <c r="AA75" s="21"/>
      <c r="AB75" s="21" t="s">
        <v>809</v>
      </c>
      <c r="AC75" s="21" t="s">
        <v>1844</v>
      </c>
      <c r="AD75" s="25" t="n">
        <f aca="false">LEN(AC75)</f>
        <v>52</v>
      </c>
      <c r="AE75" s="21" t="s">
        <v>1845</v>
      </c>
      <c r="AF75" s="25" t="n">
        <f aca="false">LEN(AE75)</f>
        <v>159</v>
      </c>
    </row>
    <row r="76" customFormat="false" ht="15" hidden="false" customHeight="true" outlineLevel="0" collapsed="false">
      <c r="A76" s="21" t="s">
        <v>813</v>
      </c>
      <c r="B76" s="21" t="s">
        <v>1373</v>
      </c>
      <c r="C76" s="21" t="n">
        <v>75</v>
      </c>
      <c r="D76" s="21" t="s">
        <v>313</v>
      </c>
      <c r="E76" s="21"/>
      <c r="F76" s="21" t="s">
        <v>1676</v>
      </c>
      <c r="G76" s="21" t="s">
        <v>659</v>
      </c>
      <c r="H76" s="21" t="s">
        <v>492</v>
      </c>
      <c r="I76" s="21" t="s">
        <v>814</v>
      </c>
      <c r="J76" s="21"/>
      <c r="K76" s="21" t="n">
        <v>35.99</v>
      </c>
      <c r="L76" s="21" t="s">
        <v>1846</v>
      </c>
      <c r="M76" s="21" t="s">
        <v>1847</v>
      </c>
      <c r="N76" s="21" t="s">
        <v>1848</v>
      </c>
      <c r="O76" s="21" t="s">
        <v>1849</v>
      </c>
      <c r="P76" s="21"/>
      <c r="Q76" s="22" t="n">
        <f aca="false">IF(L76="","",IFERROR(INDEX('Semrush Data'!$A$1:$Z$20000,MATCH(L76,'Semrush Data'!$A$1:$A$20000,0),MATCH("Volume",'Semrush Data'!$A$1:$Z$1,0)),""))</f>
        <v>0</v>
      </c>
      <c r="R76" s="22" t="str">
        <f aca="false">IF(M76="","",IFERROR(INDEX('Semrush Data'!$A$1:$Z$20000,MATCH(M76,'Semrush Data'!$A$1:$A$20000,0),MATCH("Volume",'Semrush Data'!$A$1:$Z$1,0)),""))</f>
        <v/>
      </c>
      <c r="S76" s="22" t="str">
        <f aca="false">IF(N76="","",IFERROR(INDEX('Semrush Data'!$A$1:$Z$20000,MATCH(N76,'Semrush Data'!$A$1:$A$20000,0),MATCH("Volume",'Semrush Data'!$A$1:$Z$1,0)),""))</f>
        <v/>
      </c>
      <c r="T76" s="22" t="str">
        <f aca="false">IF(O76="","",IFERROR(INDEX('Semrush Data'!$A$1:$Z$20000,MATCH(O76,'Semrush Data'!$A$1:$A$20000,0),MATCH("Volume",'Semrush Data'!$A$1:$Z$1,0)),""))</f>
        <v/>
      </c>
      <c r="U76" s="22" t="str">
        <f aca="false">IF(P76="","",IFERROR(INDEX('Semrush Data'!$A$1:$Z$20000,MATCH(P76,'Semrush Data'!$A$1:$A$20000,0),MATCH("Volume",'Semrush Data'!$A$1:$Z$1,0)),""))</f>
        <v/>
      </c>
      <c r="V76" s="23" t="str">
        <f aca="false">IF(COUNT(Q76:U76)=0,L76,IF(MAX(Q76:U76)=0,L76,INDEX(L76:P76,MATCH(MAX(Q76:U76),Q76:U76,0))))</f>
        <v>vilvah anti frizz hair kit</v>
      </c>
      <c r="W76" s="22" t="n">
        <f aca="false">IFERROR(INDEX('Semrush Data'!$A$1:$Z$20000,MATCH(V76,'Semrush Data'!$A$1:$A$20000,0),MATCH("Volume",'Semrush Data'!$A$1:$Z$1,0)),"")</f>
        <v>0</v>
      </c>
      <c r="X76" s="22" t="n">
        <f aca="false">IFERROR(INDEX('Semrush Data'!$A$1:$Z$20000,MATCH(V76,'Semrush Data'!$A$1:$A$20000,0),MATCH("Keyword Difficulty*",'Semrush Data'!$A$1:$Z$1,0)),"")</f>
        <v>16</v>
      </c>
      <c r="Y76" s="24" t="n">
        <f aca="false">IFERROR(INDEX('Semrush Data'!$A$1:$Z$20000,MATCH(V76,'Semrush Data'!$A$1:$A$20000,0),MATCH("CPC*",'Semrush Data'!$A$1:$Z$1,0)),"")</f>
        <v>0</v>
      </c>
      <c r="Z76" s="21" t="s">
        <v>1681</v>
      </c>
      <c r="AA76" s="21"/>
      <c r="AB76" s="21" t="s">
        <v>814</v>
      </c>
      <c r="AC76" s="21" t="s">
        <v>1850</v>
      </c>
      <c r="AD76" s="25" t="n">
        <f aca="false">LEN(AC76)</f>
        <v>53</v>
      </c>
      <c r="AE76" s="21" t="s">
        <v>1851</v>
      </c>
      <c r="AF76" s="25" t="n">
        <f aca="false">LEN(AE76)</f>
        <v>160</v>
      </c>
    </row>
    <row r="77" customFormat="false" ht="15" hidden="false" customHeight="true" outlineLevel="0" collapsed="false">
      <c r="A77" s="21" t="s">
        <v>818</v>
      </c>
      <c r="B77" s="21" t="s">
        <v>1373</v>
      </c>
      <c r="C77" s="21" t="n">
        <v>76</v>
      </c>
      <c r="D77" s="21" t="s">
        <v>313</v>
      </c>
      <c r="E77" s="21"/>
      <c r="F77" s="21" t="s">
        <v>1676</v>
      </c>
      <c r="G77" s="21" t="s">
        <v>659</v>
      </c>
      <c r="H77" s="21" t="s">
        <v>526</v>
      </c>
      <c r="I77" s="21" t="s">
        <v>819</v>
      </c>
      <c r="J77" s="21"/>
      <c r="K77" s="21" t="n">
        <v>48.99</v>
      </c>
      <c r="L77" s="21" t="s">
        <v>1852</v>
      </c>
      <c r="M77" s="21" t="s">
        <v>1853</v>
      </c>
      <c r="N77" s="21" t="s">
        <v>1854</v>
      </c>
      <c r="O77" s="21" t="s">
        <v>1855</v>
      </c>
      <c r="P77" s="21"/>
      <c r="Q77" s="22" t="n">
        <f aca="false">IF(L77="","",IFERROR(INDEX('Semrush Data'!$A$1:$Z$20000,MATCH(L77,'Semrush Data'!$A$1:$A$20000,0),MATCH("Volume",'Semrush Data'!$A$1:$Z$1,0)),""))</f>
        <v>0</v>
      </c>
      <c r="R77" s="22" t="str">
        <f aca="false">IF(M77="","",IFERROR(INDEX('Semrush Data'!$A$1:$Z$20000,MATCH(M77,'Semrush Data'!$A$1:$A$20000,0),MATCH("Volume",'Semrush Data'!$A$1:$Z$1,0)),""))</f>
        <v/>
      </c>
      <c r="S77" s="22" t="str">
        <f aca="false">IF(N77="","",IFERROR(INDEX('Semrush Data'!$A$1:$Z$20000,MATCH(N77,'Semrush Data'!$A$1:$A$20000,0),MATCH("Volume",'Semrush Data'!$A$1:$Z$1,0)),""))</f>
        <v/>
      </c>
      <c r="T77" s="22" t="str">
        <f aca="false">IF(O77="","",IFERROR(INDEX('Semrush Data'!$A$1:$Z$20000,MATCH(O77,'Semrush Data'!$A$1:$A$20000,0),MATCH("Volume",'Semrush Data'!$A$1:$Z$1,0)),""))</f>
        <v/>
      </c>
      <c r="U77" s="22" t="str">
        <f aca="false">IF(P77="","",IFERROR(INDEX('Semrush Data'!$A$1:$Z$20000,MATCH(P77,'Semrush Data'!$A$1:$A$20000,0),MATCH("Volume",'Semrush Data'!$A$1:$Z$1,0)),""))</f>
        <v/>
      </c>
      <c r="V77" s="23" t="str">
        <f aca="false">IF(COUNT(Q77:U77)=0,L77,IF(MAX(Q77:U77)=0,L77,INDEX(L77:P77,MATCH(MAX(Q77:U77),Q77:U77,0))))</f>
        <v>vilvah body polishing kit</v>
      </c>
      <c r="W77" s="22" t="n">
        <f aca="false">IFERROR(INDEX('Semrush Data'!$A$1:$Z$20000,MATCH(V77,'Semrush Data'!$A$1:$A$20000,0),MATCH("Volume",'Semrush Data'!$A$1:$Z$1,0)),"")</f>
        <v>0</v>
      </c>
      <c r="X77" s="22" t="n">
        <f aca="false">IFERROR(INDEX('Semrush Data'!$A$1:$Z$20000,MATCH(V77,'Semrush Data'!$A$1:$A$20000,0),MATCH("Keyword Difficulty*",'Semrush Data'!$A$1:$Z$1,0)),"")</f>
        <v>22</v>
      </c>
      <c r="Y77" s="24" t="n">
        <f aca="false">IFERROR(INDEX('Semrush Data'!$A$1:$Z$20000,MATCH(V77,'Semrush Data'!$A$1:$A$20000,0),MATCH("CPC*",'Semrush Data'!$A$1:$Z$1,0)),"")</f>
        <v>0</v>
      </c>
      <c r="Z77" s="21" t="s">
        <v>1681</v>
      </c>
      <c r="AA77" s="21"/>
      <c r="AB77" s="21" t="s">
        <v>819</v>
      </c>
      <c r="AC77" s="21" t="s">
        <v>1856</v>
      </c>
      <c r="AD77" s="25" t="n">
        <f aca="false">LEN(AC77)</f>
        <v>52</v>
      </c>
      <c r="AE77" s="21" t="s">
        <v>1857</v>
      </c>
      <c r="AF77" s="25" t="n">
        <f aca="false">LEN(AE77)</f>
        <v>159</v>
      </c>
    </row>
    <row r="78" customFormat="false" ht="15" hidden="false" customHeight="true" outlineLevel="0" collapsed="false">
      <c r="A78" s="21" t="s">
        <v>823</v>
      </c>
      <c r="B78" s="21" t="s">
        <v>1373</v>
      </c>
      <c r="C78" s="21" t="n">
        <v>77</v>
      </c>
      <c r="D78" s="21" t="s">
        <v>313</v>
      </c>
      <c r="E78" s="21"/>
      <c r="F78" s="21" t="s">
        <v>1676</v>
      </c>
      <c r="G78" s="21" t="s">
        <v>659</v>
      </c>
      <c r="H78" s="21" t="s">
        <v>326</v>
      </c>
      <c r="I78" s="21" t="s">
        <v>824</v>
      </c>
      <c r="J78" s="21"/>
      <c r="K78" s="21" t="n">
        <v>34.99</v>
      </c>
      <c r="L78" s="21" t="s">
        <v>1858</v>
      </c>
      <c r="M78" s="21" t="s">
        <v>1859</v>
      </c>
      <c r="N78" s="21" t="s">
        <v>1860</v>
      </c>
      <c r="O78" s="21" t="s">
        <v>1861</v>
      </c>
      <c r="P78" s="21"/>
      <c r="Q78" s="22" t="n">
        <f aca="false">IF(L78="","",IFERROR(INDEX('Semrush Data'!$A$1:$Z$20000,MATCH(L78,'Semrush Data'!$A$1:$A$20000,0),MATCH("Volume",'Semrush Data'!$A$1:$Z$1,0)),""))</f>
        <v>0</v>
      </c>
      <c r="R78" s="22" t="str">
        <f aca="false">IF(M78="","",IFERROR(INDEX('Semrush Data'!$A$1:$Z$20000,MATCH(M78,'Semrush Data'!$A$1:$A$20000,0),MATCH("Volume",'Semrush Data'!$A$1:$Z$1,0)),""))</f>
        <v/>
      </c>
      <c r="S78" s="22" t="str">
        <f aca="false">IF(N78="","",IFERROR(INDEX('Semrush Data'!$A$1:$Z$20000,MATCH(N78,'Semrush Data'!$A$1:$A$20000,0),MATCH("Volume",'Semrush Data'!$A$1:$Z$1,0)),""))</f>
        <v/>
      </c>
      <c r="T78" s="22" t="str">
        <f aca="false">IF(O78="","",IFERROR(INDEX('Semrush Data'!$A$1:$Z$20000,MATCH(O78,'Semrush Data'!$A$1:$A$20000,0),MATCH("Volume",'Semrush Data'!$A$1:$Z$1,0)),""))</f>
        <v/>
      </c>
      <c r="U78" s="22" t="str">
        <f aca="false">IF(P78="","",IFERROR(INDEX('Semrush Data'!$A$1:$Z$20000,MATCH(P78,'Semrush Data'!$A$1:$A$20000,0),MATCH("Volume",'Semrush Data'!$A$1:$Z$1,0)),""))</f>
        <v/>
      </c>
      <c r="V78" s="23" t="str">
        <f aca="false">IF(COUNT(Q78:U78)=0,L78,IF(MAX(Q78:U78)=0,L78,INDEX(L78:P78,MATCH(MAX(Q78:U78),Q78:U78,0))))</f>
        <v>vilvah hairfall control kit</v>
      </c>
      <c r="W78" s="22" t="n">
        <f aca="false">IFERROR(INDEX('Semrush Data'!$A$1:$Z$20000,MATCH(V78,'Semrush Data'!$A$1:$A$20000,0),MATCH("Volume",'Semrush Data'!$A$1:$Z$1,0)),"")</f>
        <v>0</v>
      </c>
      <c r="X78" s="22" t="n">
        <f aca="false">IFERROR(INDEX('Semrush Data'!$A$1:$Z$20000,MATCH(V78,'Semrush Data'!$A$1:$A$20000,0),MATCH("Keyword Difficulty*",'Semrush Data'!$A$1:$Z$1,0)),"")</f>
        <v>14</v>
      </c>
      <c r="Y78" s="24" t="n">
        <f aca="false">IFERROR(INDEX('Semrush Data'!$A$1:$Z$20000,MATCH(V78,'Semrush Data'!$A$1:$A$20000,0),MATCH("CPC*",'Semrush Data'!$A$1:$Z$1,0)),"")</f>
        <v>0</v>
      </c>
      <c r="Z78" s="21" t="s">
        <v>1681</v>
      </c>
      <c r="AA78" s="21"/>
      <c r="AB78" s="21" t="s">
        <v>824</v>
      </c>
      <c r="AC78" s="21" t="s">
        <v>1862</v>
      </c>
      <c r="AD78" s="25" t="n">
        <f aca="false">LEN(AC78)</f>
        <v>54</v>
      </c>
      <c r="AE78" s="21" t="s">
        <v>1863</v>
      </c>
      <c r="AF78" s="25" t="n">
        <f aca="false">LEN(AE78)</f>
        <v>157</v>
      </c>
    </row>
    <row r="79" customFormat="false" ht="15" hidden="false" customHeight="true" outlineLevel="0" collapsed="false">
      <c r="A79" s="21" t="s">
        <v>829</v>
      </c>
      <c r="B79" s="21" t="s">
        <v>1373</v>
      </c>
      <c r="C79" s="21" t="n">
        <v>78</v>
      </c>
      <c r="D79" s="21" t="s">
        <v>313</v>
      </c>
      <c r="E79" s="21"/>
      <c r="F79" s="21" t="s">
        <v>1676</v>
      </c>
      <c r="G79" s="21" t="s">
        <v>659</v>
      </c>
      <c r="H79" s="21" t="s">
        <v>483</v>
      </c>
      <c r="I79" s="21" t="s">
        <v>694</v>
      </c>
      <c r="J79" s="21"/>
      <c r="K79" s="21" t="n">
        <v>27.99</v>
      </c>
      <c r="L79" s="21" t="s">
        <v>1714</v>
      </c>
      <c r="M79" s="21" t="s">
        <v>1715</v>
      </c>
      <c r="N79" s="21" t="s">
        <v>1716</v>
      </c>
      <c r="O79" s="21" t="s">
        <v>1717</v>
      </c>
      <c r="P79" s="21"/>
      <c r="Q79" s="22" t="n">
        <f aca="false">IF(L79="","",IFERROR(INDEX('Semrush Data'!$A$1:$Z$20000,MATCH(L79,'Semrush Data'!$A$1:$A$20000,0),MATCH("Volume",'Semrush Data'!$A$1:$Z$1,0)),""))</f>
        <v>0</v>
      </c>
      <c r="R79" s="22" t="str">
        <f aca="false">IF(M79="","",IFERROR(INDEX('Semrush Data'!$A$1:$Z$20000,MATCH(M79,'Semrush Data'!$A$1:$A$20000,0),MATCH("Volume",'Semrush Data'!$A$1:$Z$1,0)),""))</f>
        <v/>
      </c>
      <c r="S79" s="22" t="str">
        <f aca="false">IF(N79="","",IFERROR(INDEX('Semrush Data'!$A$1:$Z$20000,MATCH(N79,'Semrush Data'!$A$1:$A$20000,0),MATCH("Volume",'Semrush Data'!$A$1:$Z$1,0)),""))</f>
        <v/>
      </c>
      <c r="T79" s="22" t="str">
        <f aca="false">IF(O79="","",IFERROR(INDEX('Semrush Data'!$A$1:$Z$20000,MATCH(O79,'Semrush Data'!$A$1:$A$20000,0),MATCH("Volume",'Semrush Data'!$A$1:$Z$1,0)),""))</f>
        <v/>
      </c>
      <c r="U79" s="22" t="str">
        <f aca="false">IF(P79="","",IFERROR(INDEX('Semrush Data'!$A$1:$Z$20000,MATCH(P79,'Semrush Data'!$A$1:$A$20000,0),MATCH("Volume",'Semrush Data'!$A$1:$Z$1,0)),""))</f>
        <v/>
      </c>
      <c r="V79" s="23" t="str">
        <f aca="false">IF(COUNT(Q79:U79)=0,L79,IF(MAX(Q79:U79)=0,L79,INDEX(L79:P79,MATCH(MAX(Q79:U79),Q79:U79,0))))</f>
        <v>vilvah anti‑dandruff haircare kit</v>
      </c>
      <c r="W79" s="22" t="n">
        <f aca="false">IFERROR(INDEX('Semrush Data'!$A$1:$Z$20000,MATCH(V79,'Semrush Data'!$A$1:$A$20000,0),MATCH("Volume",'Semrush Data'!$A$1:$Z$1,0)),"")</f>
        <v>0</v>
      </c>
      <c r="X79" s="22" t="n">
        <f aca="false">IFERROR(INDEX('Semrush Data'!$A$1:$Z$20000,MATCH(V79,'Semrush Data'!$A$1:$A$20000,0),MATCH("Keyword Difficulty*",'Semrush Data'!$A$1:$Z$1,0)),"")</f>
        <v>12</v>
      </c>
      <c r="Y79" s="24" t="n">
        <f aca="false">IFERROR(INDEX('Semrush Data'!$A$1:$Z$20000,MATCH(V79,'Semrush Data'!$A$1:$A$20000,0),MATCH("CPC*",'Semrush Data'!$A$1:$Z$1,0)),"")</f>
        <v>0</v>
      </c>
      <c r="Z79" s="21" t="s">
        <v>1681</v>
      </c>
      <c r="AA79" s="21"/>
      <c r="AB79" s="21" t="s">
        <v>694</v>
      </c>
      <c r="AC79" s="21" t="s">
        <v>1718</v>
      </c>
      <c r="AD79" s="25" t="n">
        <f aca="false">LEN(AC79)</f>
        <v>60</v>
      </c>
      <c r="AE79" s="21" t="s">
        <v>1719</v>
      </c>
      <c r="AF79" s="25" t="n">
        <f aca="false">LEN(AE79)</f>
        <v>159</v>
      </c>
    </row>
    <row r="80" customFormat="false" ht="15" hidden="false" customHeight="true" outlineLevel="0" collapsed="false">
      <c r="A80" s="21" t="s">
        <v>830</v>
      </c>
      <c r="B80" s="21" t="s">
        <v>1373</v>
      </c>
      <c r="C80" s="21" t="n">
        <v>79</v>
      </c>
      <c r="D80" s="21" t="s">
        <v>313</v>
      </c>
      <c r="E80" s="21"/>
      <c r="F80" s="21" t="s">
        <v>1676</v>
      </c>
      <c r="G80" s="21" t="s">
        <v>659</v>
      </c>
      <c r="H80" s="21" t="s">
        <v>561</v>
      </c>
      <c r="I80" s="21" t="s">
        <v>831</v>
      </c>
      <c r="J80" s="21"/>
      <c r="K80" s="21" t="n">
        <v>34.99</v>
      </c>
      <c r="L80" s="21" t="s">
        <v>1864</v>
      </c>
      <c r="M80" s="21" t="s">
        <v>1865</v>
      </c>
      <c r="N80" s="21" t="s">
        <v>1866</v>
      </c>
      <c r="O80" s="21" t="s">
        <v>1867</v>
      </c>
      <c r="P80" s="21"/>
      <c r="Q80" s="22" t="n">
        <f aca="false">IF(L80="","",IFERROR(INDEX('Semrush Data'!$A$1:$Z$20000,MATCH(L80,'Semrush Data'!$A$1:$A$20000,0),MATCH("Volume",'Semrush Data'!$A$1:$Z$1,0)),""))</f>
        <v>0</v>
      </c>
      <c r="R80" s="22" t="str">
        <f aca="false">IF(M80="","",IFERROR(INDEX('Semrush Data'!$A$1:$Z$20000,MATCH(M80,'Semrush Data'!$A$1:$A$20000,0),MATCH("Volume",'Semrush Data'!$A$1:$Z$1,0)),""))</f>
        <v/>
      </c>
      <c r="S80" s="22" t="str">
        <f aca="false">IF(N80="","",IFERROR(INDEX('Semrush Data'!$A$1:$Z$20000,MATCH(N80,'Semrush Data'!$A$1:$A$20000,0),MATCH("Volume",'Semrush Data'!$A$1:$Z$1,0)),""))</f>
        <v/>
      </c>
      <c r="T80" s="22" t="str">
        <f aca="false">IF(O80="","",IFERROR(INDEX('Semrush Data'!$A$1:$Z$20000,MATCH(O80,'Semrush Data'!$A$1:$A$20000,0),MATCH("Volume",'Semrush Data'!$A$1:$Z$1,0)),""))</f>
        <v/>
      </c>
      <c r="U80" s="22" t="str">
        <f aca="false">IF(P80="","",IFERROR(INDEX('Semrush Data'!$A$1:$Z$20000,MATCH(P80,'Semrush Data'!$A$1:$A$20000,0),MATCH("Volume",'Semrush Data'!$A$1:$Z$1,0)),""))</f>
        <v/>
      </c>
      <c r="V80" s="23" t="str">
        <f aca="false">IF(COUNT(Q80:U80)=0,L80,IF(MAX(Q80:U80)=0,L80,INDEX(L80:P80,MATCH(MAX(Q80:U80),Q80:U80,0))))</f>
        <v>vilvah goat milk hair kit</v>
      </c>
      <c r="W80" s="22" t="n">
        <f aca="false">IFERROR(INDEX('Semrush Data'!$A$1:$Z$20000,MATCH(V80,'Semrush Data'!$A$1:$A$20000,0),MATCH("Volume",'Semrush Data'!$A$1:$Z$1,0)),"")</f>
        <v>0</v>
      </c>
      <c r="X80" s="22" t="n">
        <f aca="false">IFERROR(INDEX('Semrush Data'!$A$1:$Z$20000,MATCH(V80,'Semrush Data'!$A$1:$A$20000,0),MATCH("Keyword Difficulty*",'Semrush Data'!$A$1:$Z$1,0)),"")</f>
        <v>19</v>
      </c>
      <c r="Y80" s="24" t="n">
        <f aca="false">IFERROR(INDEX('Semrush Data'!$A$1:$Z$20000,MATCH(V80,'Semrush Data'!$A$1:$A$20000,0),MATCH("CPC*",'Semrush Data'!$A$1:$Z$1,0)),"")</f>
        <v>0</v>
      </c>
      <c r="Z80" s="21" t="s">
        <v>1681</v>
      </c>
      <c r="AA80" s="21"/>
      <c r="AB80" s="21" t="s">
        <v>831</v>
      </c>
      <c r="AC80" s="21" t="s">
        <v>1868</v>
      </c>
      <c r="AD80" s="25" t="n">
        <f aca="false">LEN(AC80)</f>
        <v>52</v>
      </c>
      <c r="AE80" s="21" t="s">
        <v>1869</v>
      </c>
      <c r="AF80" s="25" t="n">
        <f aca="false">LEN(AE80)</f>
        <v>159</v>
      </c>
    </row>
    <row r="81" customFormat="false" ht="15" hidden="false" customHeight="true" outlineLevel="0" collapsed="false">
      <c r="A81" s="21" t="s">
        <v>835</v>
      </c>
      <c r="B81" s="21" t="s">
        <v>1373</v>
      </c>
      <c r="C81" s="21" t="n">
        <v>80</v>
      </c>
      <c r="D81" s="21" t="s">
        <v>313</v>
      </c>
      <c r="E81" s="21"/>
      <c r="F81" s="21" t="s">
        <v>1676</v>
      </c>
      <c r="G81" s="21" t="s">
        <v>659</v>
      </c>
      <c r="H81" s="21" t="s">
        <v>347</v>
      </c>
      <c r="I81" s="21" t="s">
        <v>836</v>
      </c>
      <c r="J81" s="21"/>
      <c r="K81" s="21" t="n">
        <v>48.99</v>
      </c>
      <c r="L81" s="21" t="s">
        <v>1870</v>
      </c>
      <c r="M81" s="21" t="s">
        <v>1871</v>
      </c>
      <c r="N81" s="21" t="s">
        <v>1872</v>
      </c>
      <c r="O81" s="21" t="s">
        <v>1873</v>
      </c>
      <c r="P81" s="21"/>
      <c r="Q81" s="22" t="n">
        <f aca="false">IF(L81="","",IFERROR(INDEX('Semrush Data'!$A$1:$Z$20000,MATCH(L81,'Semrush Data'!$A$1:$A$20000,0),MATCH("Volume",'Semrush Data'!$A$1:$Z$1,0)),""))</f>
        <v>0</v>
      </c>
      <c r="R81" s="22" t="str">
        <f aca="false">IF(M81="","",IFERROR(INDEX('Semrush Data'!$A$1:$Z$20000,MATCH(M81,'Semrush Data'!$A$1:$A$20000,0),MATCH("Volume",'Semrush Data'!$A$1:$Z$1,0)),""))</f>
        <v/>
      </c>
      <c r="S81" s="22" t="str">
        <f aca="false">IF(N81="","",IFERROR(INDEX('Semrush Data'!$A$1:$Z$20000,MATCH(N81,'Semrush Data'!$A$1:$A$20000,0),MATCH("Volume",'Semrush Data'!$A$1:$Z$1,0)),""))</f>
        <v/>
      </c>
      <c r="T81" s="22" t="str">
        <f aca="false">IF(O81="","",IFERROR(INDEX('Semrush Data'!$A$1:$Z$20000,MATCH(O81,'Semrush Data'!$A$1:$A$20000,0),MATCH("Volume",'Semrush Data'!$A$1:$Z$1,0)),""))</f>
        <v/>
      </c>
      <c r="U81" s="22" t="str">
        <f aca="false">IF(P81="","",IFERROR(INDEX('Semrush Data'!$A$1:$Z$20000,MATCH(P81,'Semrush Data'!$A$1:$A$20000,0),MATCH("Volume",'Semrush Data'!$A$1:$Z$1,0)),""))</f>
        <v/>
      </c>
      <c r="V81" s="23" t="str">
        <f aca="false">IF(COUNT(Q81:U81)=0,L81,IF(MAX(Q81:U81)=0,L81,INDEX(L81:P81,MATCH(MAX(Q81:U81),Q81:U81,0))))</f>
        <v>vilvah everyday care milk kit</v>
      </c>
      <c r="W81" s="22" t="n">
        <f aca="false">IFERROR(INDEX('Semrush Data'!$A$1:$Z$20000,MATCH(V81,'Semrush Data'!$A$1:$A$20000,0),MATCH("Volume",'Semrush Data'!$A$1:$Z$1,0)),"")</f>
        <v>0</v>
      </c>
      <c r="X81" s="22" t="n">
        <f aca="false">IFERROR(INDEX('Semrush Data'!$A$1:$Z$20000,MATCH(V81,'Semrush Data'!$A$1:$A$20000,0),MATCH("Keyword Difficulty*",'Semrush Data'!$A$1:$Z$1,0)),"")</f>
        <v>13</v>
      </c>
      <c r="Y81" s="24" t="n">
        <f aca="false">IFERROR(INDEX('Semrush Data'!$A$1:$Z$20000,MATCH(V81,'Semrush Data'!$A$1:$A$20000,0),MATCH("CPC*",'Semrush Data'!$A$1:$Z$1,0)),"")</f>
        <v>0</v>
      </c>
      <c r="Z81" s="21" t="s">
        <v>1681</v>
      </c>
      <c r="AA81" s="21"/>
      <c r="AB81" s="21" t="s">
        <v>836</v>
      </c>
      <c r="AC81" s="21" t="s">
        <v>1874</v>
      </c>
      <c r="AD81" s="25" t="n">
        <f aca="false">LEN(AC81)</f>
        <v>56</v>
      </c>
      <c r="AE81" s="21" t="s">
        <v>1875</v>
      </c>
      <c r="AF81" s="25" t="n">
        <f aca="false">LEN(AE81)</f>
        <v>155</v>
      </c>
    </row>
    <row r="82" customFormat="false" ht="15" hidden="false" customHeight="true" outlineLevel="0" collapsed="false">
      <c r="A82" s="21" t="s">
        <v>840</v>
      </c>
      <c r="B82" s="21" t="s">
        <v>1373</v>
      </c>
      <c r="C82" s="21" t="n">
        <v>81</v>
      </c>
      <c r="D82" s="21" t="s">
        <v>313</v>
      </c>
      <c r="E82" s="21"/>
      <c r="F82" s="21" t="s">
        <v>1676</v>
      </c>
      <c r="G82" s="21" t="s">
        <v>659</v>
      </c>
      <c r="H82" s="21" t="s">
        <v>397</v>
      </c>
      <c r="I82" s="21" t="s">
        <v>841</v>
      </c>
      <c r="J82" s="21"/>
      <c r="K82" s="21" t="n">
        <v>13.99</v>
      </c>
      <c r="L82" s="21" t="s">
        <v>1876</v>
      </c>
      <c r="M82" s="21" t="s">
        <v>1877</v>
      </c>
      <c r="N82" s="21" t="s">
        <v>1878</v>
      </c>
      <c r="O82" s="21" t="s">
        <v>1879</v>
      </c>
      <c r="P82" s="21"/>
      <c r="Q82" s="22" t="n">
        <f aca="false">IF(L82="","",IFERROR(INDEX('Semrush Data'!$A$1:$Z$20000,MATCH(L82,'Semrush Data'!$A$1:$A$20000,0),MATCH("Volume",'Semrush Data'!$A$1:$Z$1,0)),""))</f>
        <v>0</v>
      </c>
      <c r="R82" s="22" t="str">
        <f aca="false">IF(M82="","",IFERROR(INDEX('Semrush Data'!$A$1:$Z$20000,MATCH(M82,'Semrush Data'!$A$1:$A$20000,0),MATCH("Volume",'Semrush Data'!$A$1:$Z$1,0)),""))</f>
        <v/>
      </c>
      <c r="S82" s="22" t="str">
        <f aca="false">IF(N82="","",IFERROR(INDEX('Semrush Data'!$A$1:$Z$20000,MATCH(N82,'Semrush Data'!$A$1:$A$20000,0),MATCH("Volume",'Semrush Data'!$A$1:$Z$1,0)),""))</f>
        <v/>
      </c>
      <c r="T82" s="22" t="str">
        <f aca="false">IF(O82="","",IFERROR(INDEX('Semrush Data'!$A$1:$Z$20000,MATCH(O82,'Semrush Data'!$A$1:$A$20000,0),MATCH("Volume",'Semrush Data'!$A$1:$Z$1,0)),""))</f>
        <v/>
      </c>
      <c r="U82" s="22" t="str">
        <f aca="false">IF(P82="","",IFERROR(INDEX('Semrush Data'!$A$1:$Z$20000,MATCH(P82,'Semrush Data'!$A$1:$A$20000,0),MATCH("Volume",'Semrush Data'!$A$1:$Z$1,0)),""))</f>
        <v/>
      </c>
      <c r="V82" s="23" t="str">
        <f aca="false">IF(COUNT(Q82:U82)=0,L82,IF(MAX(Q82:U82)=0,L82,INDEX(L82:P82,MATCH(MAX(Q82:U82),Q82:U82,0))))</f>
        <v>vilvah lip nourishing kit</v>
      </c>
      <c r="W82" s="22" t="n">
        <f aca="false">IFERROR(INDEX('Semrush Data'!$A$1:$Z$20000,MATCH(V82,'Semrush Data'!$A$1:$A$20000,0),MATCH("Volume",'Semrush Data'!$A$1:$Z$1,0)),"")</f>
        <v>0</v>
      </c>
      <c r="X82" s="22" t="n">
        <f aca="false">IFERROR(INDEX('Semrush Data'!$A$1:$Z$20000,MATCH(V82,'Semrush Data'!$A$1:$A$20000,0),MATCH("Keyword Difficulty*",'Semrush Data'!$A$1:$Z$1,0)),"")</f>
        <v>12</v>
      </c>
      <c r="Y82" s="24" t="n">
        <f aca="false">IFERROR(INDEX('Semrush Data'!$A$1:$Z$20000,MATCH(V82,'Semrush Data'!$A$1:$A$20000,0),MATCH("CPC*",'Semrush Data'!$A$1:$Z$1,0)),"")</f>
        <v>0</v>
      </c>
      <c r="Z82" s="21" t="s">
        <v>1681</v>
      </c>
      <c r="AA82" s="21"/>
      <c r="AB82" s="21" t="s">
        <v>841</v>
      </c>
      <c r="AC82" s="21" t="s">
        <v>1880</v>
      </c>
      <c r="AD82" s="25" t="n">
        <f aca="false">LEN(AC82)</f>
        <v>52</v>
      </c>
      <c r="AE82" s="21" t="s">
        <v>1881</v>
      </c>
      <c r="AF82" s="25" t="n">
        <f aca="false">LEN(AE82)</f>
        <v>159</v>
      </c>
    </row>
    <row r="83" customFormat="false" ht="15" hidden="false" customHeight="true" outlineLevel="0" collapsed="false">
      <c r="A83" s="21" t="s">
        <v>845</v>
      </c>
      <c r="B83" s="21" t="s">
        <v>1373</v>
      </c>
      <c r="C83" s="21" t="n">
        <v>82</v>
      </c>
      <c r="D83" s="21" t="s">
        <v>846</v>
      </c>
      <c r="E83" s="21"/>
      <c r="F83" s="21" t="s">
        <v>1392</v>
      </c>
      <c r="G83" s="21" t="s">
        <v>848</v>
      </c>
      <c r="H83" s="21" t="s">
        <v>375</v>
      </c>
      <c r="I83" s="21" t="s">
        <v>847</v>
      </c>
      <c r="J83" s="21" t="s">
        <v>1882</v>
      </c>
      <c r="K83" s="21" t="n">
        <v>15.99</v>
      </c>
      <c r="L83" s="21" t="s">
        <v>1883</v>
      </c>
      <c r="M83" s="21" t="s">
        <v>1884</v>
      </c>
      <c r="N83" s="21" t="s">
        <v>1885</v>
      </c>
      <c r="O83" s="21" t="s">
        <v>1886</v>
      </c>
      <c r="P83" s="21"/>
      <c r="Q83" s="22" t="n">
        <f aca="false">IF(L83="","",IFERROR(INDEX('Semrush Data'!$A$1:$Z$20000,MATCH(L83,'Semrush Data'!$A$1:$A$20000,0),MATCH("Volume",'Semrush Data'!$A$1:$Z$1,0)),""))</f>
        <v>0</v>
      </c>
      <c r="R83" s="22" t="str">
        <f aca="false">IF(M83="","",IFERROR(INDEX('Semrush Data'!$A$1:$Z$20000,MATCH(M83,'Semrush Data'!$A$1:$A$20000,0),MATCH("Volume",'Semrush Data'!$A$1:$Z$1,0)),""))</f>
        <v/>
      </c>
      <c r="S83" s="22" t="str">
        <f aca="false">IF(N83="","",IFERROR(INDEX('Semrush Data'!$A$1:$Z$20000,MATCH(N83,'Semrush Data'!$A$1:$A$20000,0),MATCH("Volume",'Semrush Data'!$A$1:$Z$1,0)),""))</f>
        <v/>
      </c>
      <c r="T83" s="22" t="str">
        <f aca="false">IF(O83="","",IFERROR(INDEX('Semrush Data'!$A$1:$Z$20000,MATCH(O83,'Semrush Data'!$A$1:$A$20000,0),MATCH("Volume",'Semrush Data'!$A$1:$Z$1,0)),""))</f>
        <v/>
      </c>
      <c r="U83" s="22" t="str">
        <f aca="false">IF(P83="","",IFERROR(INDEX('Semrush Data'!$A$1:$Z$20000,MATCH(P83,'Semrush Data'!$A$1:$A$20000,0),MATCH("Volume",'Semrush Data'!$A$1:$Z$1,0)),""))</f>
        <v/>
      </c>
      <c r="V83" s="23" t="str">
        <f aca="false">IF(COUNT(Q83:U83)=0,L83,IF(MAX(Q83:U83)=0,L83,INDEX(L83:P83,MATCH(MAX(Q83:U83),Q83:U83,0))))</f>
        <v>deyga chocolate body butter</v>
      </c>
      <c r="W83" s="22" t="n">
        <f aca="false">IFERROR(INDEX('Semrush Data'!$A$1:$Z$20000,MATCH(V83,'Semrush Data'!$A$1:$A$20000,0),MATCH("Volume",'Semrush Data'!$A$1:$Z$1,0)),"")</f>
        <v>0</v>
      </c>
      <c r="X83" s="22" t="n">
        <f aca="false">IFERROR(INDEX('Semrush Data'!$A$1:$Z$20000,MATCH(V83,'Semrush Data'!$A$1:$A$20000,0),MATCH("Keyword Difficulty*",'Semrush Data'!$A$1:$Z$1,0)),"")</f>
        <v>14</v>
      </c>
      <c r="Y83" s="24" t="n">
        <f aca="false">IFERROR(INDEX('Semrush Data'!$A$1:$Z$20000,MATCH(V83,'Semrush Data'!$A$1:$A$20000,0),MATCH("CPC*",'Semrush Data'!$A$1:$Z$1,0)),"")</f>
        <v>0</v>
      </c>
      <c r="Z83" s="21" t="s">
        <v>1887</v>
      </c>
      <c r="AA83" s="21"/>
      <c r="AB83" s="21" t="s">
        <v>850</v>
      </c>
      <c r="AC83" s="21" t="s">
        <v>1888</v>
      </c>
      <c r="AD83" s="25" t="n">
        <f aca="false">LEN(AC83)</f>
        <v>54</v>
      </c>
      <c r="AE83" s="21" t="s">
        <v>1889</v>
      </c>
      <c r="AF83" s="25" t="n">
        <f aca="false">LEN(AE83)</f>
        <v>160</v>
      </c>
    </row>
    <row r="84" customFormat="false" ht="15" hidden="false" customHeight="true" outlineLevel="0" collapsed="false">
      <c r="A84" s="21" t="s">
        <v>854</v>
      </c>
      <c r="B84" s="21" t="s">
        <v>1373</v>
      </c>
      <c r="C84" s="21" t="n">
        <v>83</v>
      </c>
      <c r="D84" s="21" t="s">
        <v>846</v>
      </c>
      <c r="E84" s="21"/>
      <c r="F84" s="21" t="s">
        <v>1374</v>
      </c>
      <c r="G84" s="21" t="s">
        <v>461</v>
      </c>
      <c r="H84" s="21" t="s">
        <v>511</v>
      </c>
      <c r="I84" s="21" t="s">
        <v>855</v>
      </c>
      <c r="J84" s="21" t="s">
        <v>1882</v>
      </c>
      <c r="K84" s="21" t="n">
        <v>15.99</v>
      </c>
      <c r="L84" s="21" t="s">
        <v>1890</v>
      </c>
      <c r="M84" s="21" t="s">
        <v>1891</v>
      </c>
      <c r="N84" s="21" t="s">
        <v>1892</v>
      </c>
      <c r="O84" s="21" t="s">
        <v>1893</v>
      </c>
      <c r="P84" s="21"/>
      <c r="Q84" s="22" t="n">
        <f aca="false">IF(L84="","",IFERROR(INDEX('Semrush Data'!$A$1:$Z$20000,MATCH(L84,'Semrush Data'!$A$1:$A$20000,0),MATCH("Volume",'Semrush Data'!$A$1:$Z$1,0)),""))</f>
        <v>0</v>
      </c>
      <c r="R84" s="22" t="str">
        <f aca="false">IF(M84="","",IFERROR(INDEX('Semrush Data'!$A$1:$Z$20000,MATCH(M84,'Semrush Data'!$A$1:$A$20000,0),MATCH("Volume",'Semrush Data'!$A$1:$Z$1,0)),""))</f>
        <v/>
      </c>
      <c r="S84" s="22" t="str">
        <f aca="false">IF(N84="","",IFERROR(INDEX('Semrush Data'!$A$1:$Z$20000,MATCH(N84,'Semrush Data'!$A$1:$A$20000,0),MATCH("Volume",'Semrush Data'!$A$1:$Z$1,0)),""))</f>
        <v/>
      </c>
      <c r="T84" s="22" t="str">
        <f aca="false">IF(O84="","",IFERROR(INDEX('Semrush Data'!$A$1:$Z$20000,MATCH(O84,'Semrush Data'!$A$1:$A$20000,0),MATCH("Volume",'Semrush Data'!$A$1:$Z$1,0)),""))</f>
        <v/>
      </c>
      <c r="U84" s="22" t="str">
        <f aca="false">IF(P84="","",IFERROR(INDEX('Semrush Data'!$A$1:$Z$20000,MATCH(P84,'Semrush Data'!$A$1:$A$20000,0),MATCH("Volume",'Semrush Data'!$A$1:$Z$1,0)),""))</f>
        <v/>
      </c>
      <c r="V84" s="23" t="str">
        <f aca="false">IF(COUNT(Q84:U84)=0,L84,IF(MAX(Q84:U84)=0,L84,INDEX(L84:P84,MATCH(MAX(Q84:U84),Q84:U84,0))))</f>
        <v>deyga charcoal detox face mask</v>
      </c>
      <c r="W84" s="22" t="n">
        <f aca="false">IFERROR(INDEX('Semrush Data'!$A$1:$Z$20000,MATCH(V84,'Semrush Data'!$A$1:$A$20000,0),MATCH("Volume",'Semrush Data'!$A$1:$Z$1,0)),"")</f>
        <v>0</v>
      </c>
      <c r="X84" s="22" t="n">
        <f aca="false">IFERROR(INDEX('Semrush Data'!$A$1:$Z$20000,MATCH(V84,'Semrush Data'!$A$1:$A$20000,0),MATCH("Keyword Difficulty*",'Semrush Data'!$A$1:$Z$1,0)),"")</f>
        <v>15</v>
      </c>
      <c r="Y84" s="24" t="n">
        <f aca="false">IFERROR(INDEX('Semrush Data'!$A$1:$Z$20000,MATCH(V84,'Semrush Data'!$A$1:$A$20000,0),MATCH("CPC*",'Semrush Data'!$A$1:$Z$1,0)),"")</f>
        <v>0</v>
      </c>
      <c r="Z84" s="21" t="s">
        <v>1894</v>
      </c>
      <c r="AA84" s="21"/>
      <c r="AB84" s="21" t="s">
        <v>856</v>
      </c>
      <c r="AC84" s="21" t="s">
        <v>1895</v>
      </c>
      <c r="AD84" s="25" t="n">
        <f aca="false">LEN(AC84)</f>
        <v>57</v>
      </c>
      <c r="AE84" s="21" t="s">
        <v>1896</v>
      </c>
      <c r="AF84" s="25" t="n">
        <f aca="false">LEN(AE84)</f>
        <v>156</v>
      </c>
    </row>
    <row r="85" customFormat="false" ht="15" hidden="false" customHeight="true" outlineLevel="0" collapsed="false">
      <c r="A85" s="21" t="s">
        <v>860</v>
      </c>
      <c r="B85" s="21" t="s">
        <v>1373</v>
      </c>
      <c r="C85" s="21" t="n">
        <v>84</v>
      </c>
      <c r="D85" s="21" t="s">
        <v>846</v>
      </c>
      <c r="E85" s="21"/>
      <c r="F85" s="21" t="s">
        <v>1392</v>
      </c>
      <c r="G85" s="21" t="s">
        <v>336</v>
      </c>
      <c r="H85" s="21" t="s">
        <v>337</v>
      </c>
      <c r="I85" s="21" t="s">
        <v>861</v>
      </c>
      <c r="J85" s="21" t="s">
        <v>1897</v>
      </c>
      <c r="K85" s="21" t="n">
        <v>15.99</v>
      </c>
      <c r="L85" s="21" t="s">
        <v>1898</v>
      </c>
      <c r="M85" s="21" t="s">
        <v>1899</v>
      </c>
      <c r="N85" s="21" t="s">
        <v>1900</v>
      </c>
      <c r="O85" s="21" t="s">
        <v>1901</v>
      </c>
      <c r="P85" s="21"/>
      <c r="Q85" s="22" t="n">
        <f aca="false">IF(L85="","",IFERROR(INDEX('Semrush Data'!$A$1:$Z$20000,MATCH(L85,'Semrush Data'!$A$1:$A$20000,0),MATCH("Volume",'Semrush Data'!$A$1:$Z$1,0)),""))</f>
        <v>0</v>
      </c>
      <c r="R85" s="22" t="str">
        <f aca="false">IF(M85="","",IFERROR(INDEX('Semrush Data'!$A$1:$Z$20000,MATCH(M85,'Semrush Data'!$A$1:$A$20000,0),MATCH("Volume",'Semrush Data'!$A$1:$Z$1,0)),""))</f>
        <v/>
      </c>
      <c r="S85" s="22" t="str">
        <f aca="false">IF(N85="","",IFERROR(INDEX('Semrush Data'!$A$1:$Z$20000,MATCH(N85,'Semrush Data'!$A$1:$A$20000,0),MATCH("Volume",'Semrush Data'!$A$1:$Z$1,0)),""))</f>
        <v/>
      </c>
      <c r="T85" s="22" t="str">
        <f aca="false">IF(O85="","",IFERROR(INDEX('Semrush Data'!$A$1:$Z$20000,MATCH(O85,'Semrush Data'!$A$1:$A$20000,0),MATCH("Volume",'Semrush Data'!$A$1:$Z$1,0)),""))</f>
        <v/>
      </c>
      <c r="U85" s="22" t="str">
        <f aca="false">IF(P85="","",IFERROR(INDEX('Semrush Data'!$A$1:$Z$20000,MATCH(P85,'Semrush Data'!$A$1:$A$20000,0),MATCH("Volume",'Semrush Data'!$A$1:$Z$1,0)),""))</f>
        <v/>
      </c>
      <c r="V85" s="23" t="str">
        <f aca="false">IF(COUNT(Q85:U85)=0,L85,IF(MAX(Q85:U85)=0,L85,INDEX(L85:P85,MATCH(MAX(Q85:U85),Q85:U85,0))))</f>
        <v>deyga activated charcoal body wash</v>
      </c>
      <c r="W85" s="22" t="n">
        <f aca="false">IFERROR(INDEX('Semrush Data'!$A$1:$Z$20000,MATCH(V85,'Semrush Data'!$A$1:$A$20000,0),MATCH("Volume",'Semrush Data'!$A$1:$Z$1,0)),"")</f>
        <v>0</v>
      </c>
      <c r="X85" s="22" t="n">
        <f aca="false">IFERROR(INDEX('Semrush Data'!$A$1:$Z$20000,MATCH(V85,'Semrush Data'!$A$1:$A$20000,0),MATCH("Keyword Difficulty*",'Semrush Data'!$A$1:$Z$1,0)),"")</f>
        <v>13</v>
      </c>
      <c r="Y85" s="24" t="n">
        <f aca="false">IFERROR(INDEX('Semrush Data'!$A$1:$Z$20000,MATCH(V85,'Semrush Data'!$A$1:$A$20000,0),MATCH("CPC*",'Semrush Data'!$A$1:$Z$1,0)),"")</f>
        <v>0</v>
      </c>
      <c r="Z85" s="21" t="s">
        <v>1902</v>
      </c>
      <c r="AA85" s="21"/>
      <c r="AB85" s="21" t="s">
        <v>862</v>
      </c>
      <c r="AC85" s="21" t="s">
        <v>1903</v>
      </c>
      <c r="AD85" s="25" t="n">
        <f aca="false">LEN(AC85)</f>
        <v>48</v>
      </c>
      <c r="AE85" s="21" t="s">
        <v>1904</v>
      </c>
      <c r="AF85" s="25" t="n">
        <f aca="false">LEN(AE85)</f>
        <v>160</v>
      </c>
    </row>
    <row r="86" customFormat="false" ht="15" hidden="false" customHeight="true" outlineLevel="0" collapsed="false">
      <c r="A86" s="21" t="s">
        <v>866</v>
      </c>
      <c r="B86" s="21" t="s">
        <v>1373</v>
      </c>
      <c r="C86" s="21" t="n">
        <v>85</v>
      </c>
      <c r="D86" s="21" t="s">
        <v>846</v>
      </c>
      <c r="E86" s="21"/>
      <c r="F86" s="21" t="s">
        <v>1392</v>
      </c>
      <c r="G86" s="21" t="s">
        <v>525</v>
      </c>
      <c r="H86" s="21" t="s">
        <v>375</v>
      </c>
      <c r="I86" s="21" t="s">
        <v>867</v>
      </c>
      <c r="J86" s="21" t="s">
        <v>1882</v>
      </c>
      <c r="K86" s="21" t="n">
        <v>16.99</v>
      </c>
      <c r="L86" s="21" t="s">
        <v>1905</v>
      </c>
      <c r="M86" s="21" t="s">
        <v>1906</v>
      </c>
      <c r="N86" s="21" t="s">
        <v>1907</v>
      </c>
      <c r="O86" s="21" t="s">
        <v>1908</v>
      </c>
      <c r="P86" s="21"/>
      <c r="Q86" s="22" t="n">
        <f aca="false">IF(L86="","",IFERROR(INDEX('Semrush Data'!$A$1:$Z$20000,MATCH(L86,'Semrush Data'!$A$1:$A$20000,0),MATCH("Volume",'Semrush Data'!$A$1:$Z$1,0)),""))</f>
        <v>0</v>
      </c>
      <c r="R86" s="22" t="str">
        <f aca="false">IF(M86="","",IFERROR(INDEX('Semrush Data'!$A$1:$Z$20000,MATCH(M86,'Semrush Data'!$A$1:$A$20000,0),MATCH("Volume",'Semrush Data'!$A$1:$Z$1,0)),""))</f>
        <v/>
      </c>
      <c r="S86" s="22" t="str">
        <f aca="false">IF(N86="","",IFERROR(INDEX('Semrush Data'!$A$1:$Z$20000,MATCH(N86,'Semrush Data'!$A$1:$A$20000,0),MATCH("Volume",'Semrush Data'!$A$1:$Z$1,0)),""))</f>
        <v/>
      </c>
      <c r="T86" s="22" t="str">
        <f aca="false">IF(O86="","",IFERROR(INDEX('Semrush Data'!$A$1:$Z$20000,MATCH(O86,'Semrush Data'!$A$1:$A$20000,0),MATCH("Volume",'Semrush Data'!$A$1:$Z$1,0)),""))</f>
        <v/>
      </c>
      <c r="U86" s="22" t="str">
        <f aca="false">IF(P86="","",IFERROR(INDEX('Semrush Data'!$A$1:$Z$20000,MATCH(P86,'Semrush Data'!$A$1:$A$20000,0),MATCH("Volume",'Semrush Data'!$A$1:$Z$1,0)),""))</f>
        <v/>
      </c>
      <c r="V86" s="23" t="str">
        <f aca="false">IF(COUNT(Q86:U86)=0,L86,IF(MAX(Q86:U86)=0,L86,INDEX(L86:P86,MATCH(MAX(Q86:U86),Q86:U86,0))))</f>
        <v>deyga body scrub</v>
      </c>
      <c r="W86" s="22" t="n">
        <f aca="false">IFERROR(INDEX('Semrush Data'!$A$1:$Z$20000,MATCH(V86,'Semrush Data'!$A$1:$A$20000,0),MATCH("Volume",'Semrush Data'!$A$1:$Z$1,0)),"")</f>
        <v>0</v>
      </c>
      <c r="X86" s="22" t="n">
        <f aca="false">IFERROR(INDEX('Semrush Data'!$A$1:$Z$20000,MATCH(V86,'Semrush Data'!$A$1:$A$20000,0),MATCH("Keyword Difficulty*",'Semrush Data'!$A$1:$Z$1,0)),"")</f>
        <v>14</v>
      </c>
      <c r="Y86" s="24" t="n">
        <f aca="false">IFERROR(INDEX('Semrush Data'!$A$1:$Z$20000,MATCH(V86,'Semrush Data'!$A$1:$A$20000,0),MATCH("CPC*",'Semrush Data'!$A$1:$Z$1,0)),"")</f>
        <v>0</v>
      </c>
      <c r="Z86" s="21" t="s">
        <v>1909</v>
      </c>
      <c r="AA86" s="21" t="s">
        <v>872</v>
      </c>
      <c r="AB86" s="21" t="s">
        <v>868</v>
      </c>
      <c r="AC86" s="21" t="s">
        <v>1910</v>
      </c>
      <c r="AD86" s="25" t="n">
        <f aca="false">LEN(AC86)</f>
        <v>49</v>
      </c>
      <c r="AE86" s="21" t="s">
        <v>1911</v>
      </c>
      <c r="AF86" s="25" t="n">
        <f aca="false">LEN(AE86)</f>
        <v>158</v>
      </c>
    </row>
    <row r="87" customFormat="false" ht="15" hidden="false" customHeight="true" outlineLevel="0" collapsed="false">
      <c r="A87" s="21" t="s">
        <v>873</v>
      </c>
      <c r="B87" s="21" t="s">
        <v>1373</v>
      </c>
      <c r="C87" s="21" t="n">
        <v>86</v>
      </c>
      <c r="D87" s="21" t="s">
        <v>846</v>
      </c>
      <c r="E87" s="21"/>
      <c r="F87" s="21" t="s">
        <v>1374</v>
      </c>
      <c r="G87" s="21" t="s">
        <v>374</v>
      </c>
      <c r="H87" s="21" t="s">
        <v>375</v>
      </c>
      <c r="I87" s="21" t="s">
        <v>874</v>
      </c>
      <c r="J87" s="21" t="s">
        <v>1912</v>
      </c>
      <c r="K87" s="21" t="n">
        <v>18.99</v>
      </c>
      <c r="L87" s="21" t="s">
        <v>1913</v>
      </c>
      <c r="M87" s="21" t="s">
        <v>1914</v>
      </c>
      <c r="N87" s="21" t="s">
        <v>1915</v>
      </c>
      <c r="O87" s="21" t="s">
        <v>1916</v>
      </c>
      <c r="P87" s="21"/>
      <c r="Q87" s="22" t="n">
        <f aca="false">IF(L87="","",IFERROR(INDEX('Semrush Data'!$A$1:$Z$20000,MATCH(L87,'Semrush Data'!$A$1:$A$20000,0),MATCH("Volume",'Semrush Data'!$A$1:$Z$1,0)),""))</f>
        <v>0</v>
      </c>
      <c r="R87" s="22" t="str">
        <f aca="false">IF(M87="","",IFERROR(INDEX('Semrush Data'!$A$1:$Z$20000,MATCH(M87,'Semrush Data'!$A$1:$A$20000,0),MATCH("Volume",'Semrush Data'!$A$1:$Z$1,0)),""))</f>
        <v/>
      </c>
      <c r="S87" s="22" t="str">
        <f aca="false">IF(N87="","",IFERROR(INDEX('Semrush Data'!$A$1:$Z$20000,MATCH(N87,'Semrush Data'!$A$1:$A$20000,0),MATCH("Volume",'Semrush Data'!$A$1:$Z$1,0)),""))</f>
        <v/>
      </c>
      <c r="T87" s="22" t="str">
        <f aca="false">IF(O87="","",IFERROR(INDEX('Semrush Data'!$A$1:$Z$20000,MATCH(O87,'Semrush Data'!$A$1:$A$20000,0),MATCH("Volume",'Semrush Data'!$A$1:$Z$1,0)),""))</f>
        <v/>
      </c>
      <c r="U87" s="22" t="str">
        <f aca="false">IF(P87="","",IFERROR(INDEX('Semrush Data'!$A$1:$Z$20000,MATCH(P87,'Semrush Data'!$A$1:$A$20000,0),MATCH("Volume",'Semrush Data'!$A$1:$Z$1,0)),""))</f>
        <v/>
      </c>
      <c r="V87" s="23" t="str">
        <f aca="false">IF(COUNT(Q87:U87)=0,L87,IF(MAX(Q87:U87)=0,L87,INDEX(L87:P87,MATCH(MAX(Q87:U87),Q87:U87,0))))</f>
        <v>deyga deep moisturising face cream</v>
      </c>
      <c r="W87" s="22" t="n">
        <f aca="false">IFERROR(INDEX('Semrush Data'!$A$1:$Z$20000,MATCH(V87,'Semrush Data'!$A$1:$A$20000,0),MATCH("Volume",'Semrush Data'!$A$1:$Z$1,0)),"")</f>
        <v>0</v>
      </c>
      <c r="X87" s="22" t="n">
        <f aca="false">IFERROR(INDEX('Semrush Data'!$A$1:$Z$20000,MATCH(V87,'Semrush Data'!$A$1:$A$20000,0),MATCH("Keyword Difficulty*",'Semrush Data'!$A$1:$Z$1,0)),"")</f>
        <v>19</v>
      </c>
      <c r="Y87" s="24" t="n">
        <f aca="false">IFERROR(INDEX('Semrush Data'!$A$1:$Z$20000,MATCH(V87,'Semrush Data'!$A$1:$A$20000,0),MATCH("CPC*",'Semrush Data'!$A$1:$Z$1,0)),"")</f>
        <v>0</v>
      </c>
      <c r="Z87" s="21" t="s">
        <v>1917</v>
      </c>
      <c r="AA87" s="21"/>
      <c r="AB87" s="21" t="s">
        <v>875</v>
      </c>
      <c r="AC87" s="21" t="s">
        <v>1918</v>
      </c>
      <c r="AD87" s="25" t="n">
        <f aca="false">LEN(AC87)</f>
        <v>48</v>
      </c>
      <c r="AE87" s="21" t="s">
        <v>1919</v>
      </c>
      <c r="AF87" s="25" t="n">
        <f aca="false">LEN(AE87)</f>
        <v>159</v>
      </c>
    </row>
    <row r="88" customFormat="false" ht="15" hidden="false" customHeight="true" outlineLevel="0" collapsed="false">
      <c r="A88" s="21" t="s">
        <v>879</v>
      </c>
      <c r="B88" s="21" t="s">
        <v>1373</v>
      </c>
      <c r="C88" s="21" t="n">
        <v>87</v>
      </c>
      <c r="D88" s="21" t="s">
        <v>846</v>
      </c>
      <c r="E88" s="21"/>
      <c r="F88" s="21" t="s">
        <v>1374</v>
      </c>
      <c r="G88" s="21" t="s">
        <v>501</v>
      </c>
      <c r="H88" s="21" t="s">
        <v>526</v>
      </c>
      <c r="I88" s="21" t="s">
        <v>880</v>
      </c>
      <c r="J88" s="21" t="s">
        <v>1920</v>
      </c>
      <c r="K88" s="21" t="n">
        <v>22.99</v>
      </c>
      <c r="L88" s="21" t="s">
        <v>1921</v>
      </c>
      <c r="M88" s="21" t="s">
        <v>1922</v>
      </c>
      <c r="N88" s="21" t="s">
        <v>1923</v>
      </c>
      <c r="O88" s="21" t="s">
        <v>1924</v>
      </c>
      <c r="P88" s="21"/>
      <c r="Q88" s="22" t="n">
        <f aca="false">IF(L88="","",IFERROR(INDEX('Semrush Data'!$A$1:$Z$20000,MATCH(L88,'Semrush Data'!$A$1:$A$20000,0),MATCH("Volume",'Semrush Data'!$A$1:$Z$1,0)),""))</f>
        <v>0</v>
      </c>
      <c r="R88" s="22" t="n">
        <f aca="false">IF(M88="","",IFERROR(INDEX('Semrush Data'!$A$1:$Z$20000,MATCH(M88,'Semrush Data'!$A$1:$A$20000,0),MATCH("Volume",'Semrush Data'!$A$1:$Z$1,0)),""))</f>
        <v>0</v>
      </c>
      <c r="S88" s="22" t="str">
        <f aca="false">IF(N88="","",IFERROR(INDEX('Semrush Data'!$A$1:$Z$20000,MATCH(N88,'Semrush Data'!$A$1:$A$20000,0),MATCH("Volume",'Semrush Data'!$A$1:$Z$1,0)),""))</f>
        <v/>
      </c>
      <c r="T88" s="22" t="str">
        <f aca="false">IF(O88="","",IFERROR(INDEX('Semrush Data'!$A$1:$Z$20000,MATCH(O88,'Semrush Data'!$A$1:$A$20000,0),MATCH("Volume",'Semrush Data'!$A$1:$Z$1,0)),""))</f>
        <v/>
      </c>
      <c r="U88" s="22" t="str">
        <f aca="false">IF(P88="","",IFERROR(INDEX('Semrush Data'!$A$1:$Z$20000,MATCH(P88,'Semrush Data'!$A$1:$A$20000,0),MATCH("Volume",'Semrush Data'!$A$1:$Z$1,0)),""))</f>
        <v/>
      </c>
      <c r="V88" s="23" t="str">
        <f aca="false">IF(COUNT(Q88:U88)=0,L88,IF(MAX(Q88:U88)=0,L88,INDEX(L88:P88,MATCH(MAX(Q88:U88),Q88:U88,0))))</f>
        <v>deyga 2% hyaluronic acid serum</v>
      </c>
      <c r="W88" s="22" t="n">
        <f aca="false">IFERROR(INDEX('Semrush Data'!$A$1:$Z$20000,MATCH(V88,'Semrush Data'!$A$1:$A$20000,0),MATCH("Volume",'Semrush Data'!$A$1:$Z$1,0)),"")</f>
        <v>0</v>
      </c>
      <c r="X88" s="22" t="n">
        <f aca="false">IFERROR(INDEX('Semrush Data'!$A$1:$Z$20000,MATCH(V88,'Semrush Data'!$A$1:$A$20000,0),MATCH("Keyword Difficulty*",'Semrush Data'!$A$1:$Z$1,0)),"")</f>
        <v>18</v>
      </c>
      <c r="Y88" s="24" t="n">
        <f aca="false">IFERROR(INDEX('Semrush Data'!$A$1:$Z$20000,MATCH(V88,'Semrush Data'!$A$1:$A$20000,0),MATCH("CPC*",'Semrush Data'!$A$1:$Z$1,0)),"")</f>
        <v>0</v>
      </c>
      <c r="Z88" s="21" t="s">
        <v>1925</v>
      </c>
      <c r="AA88" s="21"/>
      <c r="AB88" s="21" t="s">
        <v>881</v>
      </c>
      <c r="AC88" s="21" t="s">
        <v>1926</v>
      </c>
      <c r="AD88" s="25" t="n">
        <f aca="false">LEN(AC88)</f>
        <v>57</v>
      </c>
      <c r="AE88" s="21" t="s">
        <v>1927</v>
      </c>
      <c r="AF88" s="25" t="n">
        <f aca="false">LEN(AE88)</f>
        <v>160</v>
      </c>
    </row>
    <row r="89" customFormat="false" ht="15" hidden="false" customHeight="true" outlineLevel="0" collapsed="false">
      <c r="A89" s="21" t="s">
        <v>885</v>
      </c>
      <c r="B89" s="21" t="s">
        <v>1373</v>
      </c>
      <c r="C89" s="21" t="n">
        <v>88</v>
      </c>
      <c r="D89" s="21" t="s">
        <v>846</v>
      </c>
      <c r="E89" s="21"/>
      <c r="F89" s="21" t="s">
        <v>1374</v>
      </c>
      <c r="G89" s="21" t="s">
        <v>887</v>
      </c>
      <c r="H89" s="21" t="s">
        <v>316</v>
      </c>
      <c r="I89" s="21" t="s">
        <v>886</v>
      </c>
      <c r="J89" s="21" t="s">
        <v>1882</v>
      </c>
      <c r="K89" s="21" t="n">
        <v>19.99</v>
      </c>
      <c r="L89" s="21" t="s">
        <v>1928</v>
      </c>
      <c r="M89" s="21" t="s">
        <v>1929</v>
      </c>
      <c r="N89" s="21" t="s">
        <v>1930</v>
      </c>
      <c r="O89" s="21" t="s">
        <v>1931</v>
      </c>
      <c r="P89" s="21"/>
      <c r="Q89" s="22" t="n">
        <f aca="false">IF(L89="","",IFERROR(INDEX('Semrush Data'!$A$1:$Z$20000,MATCH(L89,'Semrush Data'!$A$1:$A$20000,0),MATCH("Volume",'Semrush Data'!$A$1:$Z$1,0)),""))</f>
        <v>0</v>
      </c>
      <c r="R89" s="22" t="str">
        <f aca="false">IF(M89="","",IFERROR(INDEX('Semrush Data'!$A$1:$Z$20000,MATCH(M89,'Semrush Data'!$A$1:$A$20000,0),MATCH("Volume",'Semrush Data'!$A$1:$Z$1,0)),""))</f>
        <v/>
      </c>
      <c r="S89" s="22" t="str">
        <f aca="false">IF(N89="","",IFERROR(INDEX('Semrush Data'!$A$1:$Z$20000,MATCH(N89,'Semrush Data'!$A$1:$A$20000,0),MATCH("Volume",'Semrush Data'!$A$1:$Z$1,0)),""))</f>
        <v/>
      </c>
      <c r="T89" s="22" t="str">
        <f aca="false">IF(O89="","",IFERROR(INDEX('Semrush Data'!$A$1:$Z$20000,MATCH(O89,'Semrush Data'!$A$1:$A$20000,0),MATCH("Volume",'Semrush Data'!$A$1:$Z$1,0)),""))</f>
        <v/>
      </c>
      <c r="U89" s="22" t="str">
        <f aca="false">IF(P89="","",IFERROR(INDEX('Semrush Data'!$A$1:$Z$20000,MATCH(P89,'Semrush Data'!$A$1:$A$20000,0),MATCH("Volume",'Semrush Data'!$A$1:$Z$1,0)),""))</f>
        <v/>
      </c>
      <c r="V89" s="23" t="str">
        <f aca="false">IF(COUNT(Q89:U89)=0,L89,IF(MAX(Q89:U89)=0,L89,INDEX(L89:P89,MATCH(MAX(Q89:U89),Q89:U89,0))))</f>
        <v>deyga orange &amp; almond face pack powder</v>
      </c>
      <c r="W89" s="22" t="n">
        <f aca="false">IFERROR(INDEX('Semrush Data'!$A$1:$Z$20000,MATCH(V89,'Semrush Data'!$A$1:$A$20000,0),MATCH("Volume",'Semrush Data'!$A$1:$Z$1,0)),"")</f>
        <v>0</v>
      </c>
      <c r="X89" s="22" t="n">
        <f aca="false">IFERROR(INDEX('Semrush Data'!$A$1:$Z$20000,MATCH(V89,'Semrush Data'!$A$1:$A$20000,0),MATCH("Keyword Difficulty*",'Semrush Data'!$A$1:$Z$1,0)),"")</f>
        <v>13</v>
      </c>
      <c r="Y89" s="24" t="n">
        <f aca="false">IFERROR(INDEX('Semrush Data'!$A$1:$Z$20000,MATCH(V89,'Semrush Data'!$A$1:$A$20000,0),MATCH("CPC*",'Semrush Data'!$A$1:$Z$1,0)),"")</f>
        <v>0</v>
      </c>
      <c r="Z89" s="21" t="s">
        <v>1932</v>
      </c>
      <c r="AA89" s="21"/>
      <c r="AB89" s="21" t="s">
        <v>888</v>
      </c>
      <c r="AC89" s="21" t="s">
        <v>1933</v>
      </c>
      <c r="AD89" s="25" t="n">
        <f aca="false">LEN(AC89)</f>
        <v>52</v>
      </c>
      <c r="AE89" s="21" t="s">
        <v>1934</v>
      </c>
      <c r="AF89" s="25" t="n">
        <f aca="false">LEN(AE89)</f>
        <v>157</v>
      </c>
    </row>
    <row r="90" customFormat="false" ht="15" hidden="false" customHeight="true" outlineLevel="0" collapsed="false">
      <c r="A90" s="21" t="s">
        <v>892</v>
      </c>
      <c r="B90" s="21" t="s">
        <v>1373</v>
      </c>
      <c r="C90" s="21" t="n">
        <v>89</v>
      </c>
      <c r="D90" s="21" t="s">
        <v>846</v>
      </c>
      <c r="E90" s="21"/>
      <c r="F90" s="21" t="s">
        <v>1383</v>
      </c>
      <c r="G90" s="21" t="s">
        <v>325</v>
      </c>
      <c r="H90" s="21" t="s">
        <v>561</v>
      </c>
      <c r="I90" s="21" t="s">
        <v>893</v>
      </c>
      <c r="J90" s="21" t="s">
        <v>1935</v>
      </c>
      <c r="K90" s="21" t="n">
        <v>18.99</v>
      </c>
      <c r="L90" s="21" t="s">
        <v>1936</v>
      </c>
      <c r="M90" s="21" t="s">
        <v>1937</v>
      </c>
      <c r="N90" s="21" t="s">
        <v>1938</v>
      </c>
      <c r="O90" s="21" t="s">
        <v>1939</v>
      </c>
      <c r="P90" s="21"/>
      <c r="Q90" s="22" t="n">
        <f aca="false">IF(L90="","",IFERROR(INDEX('Semrush Data'!$A$1:$Z$20000,MATCH(L90,'Semrush Data'!$A$1:$A$20000,0),MATCH("Volume",'Semrush Data'!$A$1:$Z$1,0)),""))</f>
        <v>0</v>
      </c>
      <c r="R90" s="22" t="str">
        <f aca="false">IF(M90="","",IFERROR(INDEX('Semrush Data'!$A$1:$Z$20000,MATCH(M90,'Semrush Data'!$A$1:$A$20000,0),MATCH("Volume",'Semrush Data'!$A$1:$Z$1,0)),""))</f>
        <v/>
      </c>
      <c r="S90" s="22" t="str">
        <f aca="false">IF(N90="","",IFERROR(INDEX('Semrush Data'!$A$1:$Z$20000,MATCH(N90,'Semrush Data'!$A$1:$A$20000,0),MATCH("Volume",'Semrush Data'!$A$1:$Z$1,0)),""))</f>
        <v/>
      </c>
      <c r="T90" s="22" t="str">
        <f aca="false">IF(O90="","",IFERROR(INDEX('Semrush Data'!$A$1:$Z$20000,MATCH(O90,'Semrush Data'!$A$1:$A$20000,0),MATCH("Volume",'Semrush Data'!$A$1:$Z$1,0)),""))</f>
        <v/>
      </c>
      <c r="U90" s="22" t="str">
        <f aca="false">IF(P90="","",IFERROR(INDEX('Semrush Data'!$A$1:$Z$20000,MATCH(P90,'Semrush Data'!$A$1:$A$20000,0),MATCH("Volume",'Semrush Data'!$A$1:$Z$1,0)),""))</f>
        <v/>
      </c>
      <c r="V90" s="23" t="str">
        <f aca="false">IF(COUNT(Q90:U90)=0,L90,IF(MAX(Q90:U90)=0,L90,INDEX(L90:P90,MATCH(MAX(Q90:U90),Q90:U90,0))))</f>
        <v>deyga premature greying hair oil</v>
      </c>
      <c r="W90" s="22" t="n">
        <f aca="false">IFERROR(INDEX('Semrush Data'!$A$1:$Z$20000,MATCH(V90,'Semrush Data'!$A$1:$A$20000,0),MATCH("Volume",'Semrush Data'!$A$1:$Z$1,0)),"")</f>
        <v>0</v>
      </c>
      <c r="X90" s="22" t="n">
        <f aca="false">IFERROR(INDEX('Semrush Data'!$A$1:$Z$20000,MATCH(V90,'Semrush Data'!$A$1:$A$20000,0),MATCH("Keyword Difficulty*",'Semrush Data'!$A$1:$Z$1,0)),"")</f>
        <v>13</v>
      </c>
      <c r="Y90" s="24" t="n">
        <f aca="false">IFERROR(INDEX('Semrush Data'!$A$1:$Z$20000,MATCH(V90,'Semrush Data'!$A$1:$A$20000,0),MATCH("CPC*",'Semrush Data'!$A$1:$Z$1,0)),"")</f>
        <v>0</v>
      </c>
      <c r="Z90" s="21" t="s">
        <v>1940</v>
      </c>
      <c r="AA90" s="21"/>
      <c r="AB90" s="21" t="s">
        <v>894</v>
      </c>
      <c r="AC90" s="21" t="s">
        <v>1941</v>
      </c>
      <c r="AD90" s="25" t="n">
        <f aca="false">LEN(AC90)</f>
        <v>59</v>
      </c>
      <c r="AE90" s="21" t="s">
        <v>1942</v>
      </c>
      <c r="AF90" s="25" t="n">
        <f aca="false">LEN(AE90)</f>
        <v>157</v>
      </c>
    </row>
    <row r="91" customFormat="false" ht="15" hidden="false" customHeight="true" outlineLevel="0" collapsed="false">
      <c r="A91" s="21" t="s">
        <v>898</v>
      </c>
      <c r="B91" s="21" t="s">
        <v>1373</v>
      </c>
      <c r="C91" s="21" t="n">
        <v>90</v>
      </c>
      <c r="D91" s="21" t="s">
        <v>846</v>
      </c>
      <c r="E91" s="21"/>
      <c r="F91" s="21" t="s">
        <v>1383</v>
      </c>
      <c r="G91" s="21" t="s">
        <v>325</v>
      </c>
      <c r="H91" s="21" t="s">
        <v>483</v>
      </c>
      <c r="I91" s="21" t="s">
        <v>899</v>
      </c>
      <c r="J91" s="21" t="s">
        <v>1935</v>
      </c>
      <c r="K91" s="21"/>
      <c r="L91" s="21" t="s">
        <v>1943</v>
      </c>
      <c r="M91" s="21" t="s">
        <v>1944</v>
      </c>
      <c r="N91" s="21" t="s">
        <v>1945</v>
      </c>
      <c r="O91" s="21" t="s">
        <v>1946</v>
      </c>
      <c r="P91" s="21"/>
      <c r="Q91" s="22" t="n">
        <f aca="false">IF(L91="","",IFERROR(INDEX('Semrush Data'!$A$1:$Z$20000,MATCH(L91,'Semrush Data'!$A$1:$A$20000,0),MATCH("Volume",'Semrush Data'!$A$1:$Z$1,0)),""))</f>
        <v>0</v>
      </c>
      <c r="R91" s="22" t="str">
        <f aca="false">IF(M91="","",IFERROR(INDEX('Semrush Data'!$A$1:$Z$20000,MATCH(M91,'Semrush Data'!$A$1:$A$20000,0),MATCH("Volume",'Semrush Data'!$A$1:$Z$1,0)),""))</f>
        <v/>
      </c>
      <c r="S91" s="22" t="str">
        <f aca="false">IF(N91="","",IFERROR(INDEX('Semrush Data'!$A$1:$Z$20000,MATCH(N91,'Semrush Data'!$A$1:$A$20000,0),MATCH("Volume",'Semrush Data'!$A$1:$Z$1,0)),""))</f>
        <v/>
      </c>
      <c r="T91" s="22" t="str">
        <f aca="false">IF(O91="","",IFERROR(INDEX('Semrush Data'!$A$1:$Z$20000,MATCH(O91,'Semrush Data'!$A$1:$A$20000,0),MATCH("Volume",'Semrush Data'!$A$1:$Z$1,0)),""))</f>
        <v/>
      </c>
      <c r="U91" s="22" t="str">
        <f aca="false">IF(P91="","",IFERROR(INDEX('Semrush Data'!$A$1:$Z$20000,MATCH(P91,'Semrush Data'!$A$1:$A$20000,0),MATCH("Volume",'Semrush Data'!$A$1:$Z$1,0)),""))</f>
        <v/>
      </c>
      <c r="V91" s="23" t="str">
        <f aca="false">IF(COUNT(Q91:U91)=0,L91,IF(MAX(Q91:U91)=0,L91,INDEX(L91:P91,MATCH(MAX(Q91:U91),Q91:U91,0))))</f>
        <v>deyga anti-dandruff oil</v>
      </c>
      <c r="W91" s="22" t="n">
        <f aca="false">IFERROR(INDEX('Semrush Data'!$A$1:$Z$20000,MATCH(V91,'Semrush Data'!$A$1:$A$20000,0),MATCH("Volume",'Semrush Data'!$A$1:$Z$1,0)),"")</f>
        <v>0</v>
      </c>
      <c r="X91" s="22" t="n">
        <f aca="false">IFERROR(INDEX('Semrush Data'!$A$1:$Z$20000,MATCH(V91,'Semrush Data'!$A$1:$A$20000,0),MATCH("Keyword Difficulty*",'Semrush Data'!$A$1:$Z$1,0)),"")</f>
        <v>14</v>
      </c>
      <c r="Y91" s="24" t="n">
        <f aca="false">IFERROR(INDEX('Semrush Data'!$A$1:$Z$20000,MATCH(V91,'Semrush Data'!$A$1:$A$20000,0),MATCH("CPC*",'Semrush Data'!$A$1:$Z$1,0)),"")</f>
        <v>0</v>
      </c>
      <c r="Z91" s="21" t="s">
        <v>1947</v>
      </c>
      <c r="AA91" s="21" t="s">
        <v>904</v>
      </c>
      <c r="AB91" s="21" t="s">
        <v>900</v>
      </c>
      <c r="AC91" s="21" t="s">
        <v>1948</v>
      </c>
      <c r="AD91" s="25" t="n">
        <f aca="false">LEN(AC91)</f>
        <v>50</v>
      </c>
      <c r="AE91" s="21" t="s">
        <v>1949</v>
      </c>
      <c r="AF91" s="25" t="n">
        <f aca="false">LEN(AE91)</f>
        <v>157</v>
      </c>
    </row>
    <row r="92" customFormat="false" ht="15" hidden="false" customHeight="true" outlineLevel="0" collapsed="false">
      <c r="A92" s="21" t="s">
        <v>905</v>
      </c>
      <c r="B92" s="21" t="s">
        <v>1373</v>
      </c>
      <c r="C92" s="21" t="n">
        <v>91</v>
      </c>
      <c r="D92" s="21" t="s">
        <v>846</v>
      </c>
      <c r="E92" s="21"/>
      <c r="F92" s="21" t="s">
        <v>1392</v>
      </c>
      <c r="G92" s="21" t="s">
        <v>848</v>
      </c>
      <c r="H92" s="21" t="s">
        <v>375</v>
      </c>
      <c r="I92" s="21" t="s">
        <v>906</v>
      </c>
      <c r="J92" s="21" t="s">
        <v>1950</v>
      </c>
      <c r="K92" s="21" t="n">
        <v>15.99</v>
      </c>
      <c r="L92" s="21" t="s">
        <v>1951</v>
      </c>
      <c r="M92" s="21" t="s">
        <v>1952</v>
      </c>
      <c r="N92" s="21" t="s">
        <v>1953</v>
      </c>
      <c r="O92" s="21" t="s">
        <v>1954</v>
      </c>
      <c r="P92" s="21"/>
      <c r="Q92" s="22" t="n">
        <f aca="false">IF(L92="","",IFERROR(INDEX('Semrush Data'!$A$1:$Z$20000,MATCH(L92,'Semrush Data'!$A$1:$A$20000,0),MATCH("Volume",'Semrush Data'!$A$1:$Z$1,0)),""))</f>
        <v>0</v>
      </c>
      <c r="R92" s="22" t="str">
        <f aca="false">IF(M92="","",IFERROR(INDEX('Semrush Data'!$A$1:$Z$20000,MATCH(M92,'Semrush Data'!$A$1:$A$20000,0),MATCH("Volume",'Semrush Data'!$A$1:$Z$1,0)),""))</f>
        <v/>
      </c>
      <c r="S92" s="22" t="str">
        <f aca="false">IF(N92="","",IFERROR(INDEX('Semrush Data'!$A$1:$Z$20000,MATCH(N92,'Semrush Data'!$A$1:$A$20000,0),MATCH("Volume",'Semrush Data'!$A$1:$Z$1,0)),""))</f>
        <v/>
      </c>
      <c r="T92" s="22" t="str">
        <f aca="false">IF(O92="","",IFERROR(INDEX('Semrush Data'!$A$1:$Z$20000,MATCH(O92,'Semrush Data'!$A$1:$A$20000,0),MATCH("Volume",'Semrush Data'!$A$1:$Z$1,0)),""))</f>
        <v/>
      </c>
      <c r="U92" s="22" t="str">
        <f aca="false">IF(P92="","",IFERROR(INDEX('Semrush Data'!$A$1:$Z$20000,MATCH(P92,'Semrush Data'!$A$1:$A$20000,0),MATCH("Volume",'Semrush Data'!$A$1:$Z$1,0)),""))</f>
        <v/>
      </c>
      <c r="V92" s="23" t="str">
        <f aca="false">IF(COUNT(Q92:U92)=0,L92,IF(MAX(Q92:U92)=0,L92,INDEX(L92:P92,MATCH(MAX(Q92:U92),Q92:U92,0))))</f>
        <v>deyga rose &amp; geranium body butter</v>
      </c>
      <c r="W92" s="22" t="n">
        <f aca="false">IFERROR(INDEX('Semrush Data'!$A$1:$Z$20000,MATCH(V92,'Semrush Data'!$A$1:$A$20000,0),MATCH("Volume",'Semrush Data'!$A$1:$Z$1,0)),"")</f>
        <v>0</v>
      </c>
      <c r="X92" s="22" t="n">
        <f aca="false">IFERROR(INDEX('Semrush Data'!$A$1:$Z$20000,MATCH(V92,'Semrush Data'!$A$1:$A$20000,0),MATCH("Keyword Difficulty*",'Semrush Data'!$A$1:$Z$1,0)),"")</f>
        <v>12</v>
      </c>
      <c r="Y92" s="24" t="n">
        <f aca="false">IFERROR(INDEX('Semrush Data'!$A$1:$Z$20000,MATCH(V92,'Semrush Data'!$A$1:$A$20000,0),MATCH("CPC*",'Semrush Data'!$A$1:$Z$1,0)),"")</f>
        <v>0</v>
      </c>
      <c r="Z92" s="21" t="s">
        <v>1887</v>
      </c>
      <c r="AA92" s="21"/>
      <c r="AB92" s="21" t="s">
        <v>907</v>
      </c>
      <c r="AC92" s="21" t="s">
        <v>1955</v>
      </c>
      <c r="AD92" s="25" t="n">
        <f aca="false">LEN(AC92)</f>
        <v>60</v>
      </c>
      <c r="AE92" s="21" t="s">
        <v>1956</v>
      </c>
      <c r="AF92" s="25" t="n">
        <f aca="false">LEN(AE92)</f>
        <v>160</v>
      </c>
    </row>
    <row r="93" customFormat="false" ht="15" hidden="false" customHeight="true" outlineLevel="0" collapsed="false">
      <c r="A93" s="21" t="s">
        <v>911</v>
      </c>
      <c r="B93" s="21" t="s">
        <v>1373</v>
      </c>
      <c r="C93" s="21" t="n">
        <v>92</v>
      </c>
      <c r="D93" s="21" t="s">
        <v>846</v>
      </c>
      <c r="E93" s="21"/>
      <c r="F93" s="21" t="s">
        <v>1374</v>
      </c>
      <c r="G93" s="21" t="s">
        <v>501</v>
      </c>
      <c r="H93" s="21" t="s">
        <v>526</v>
      </c>
      <c r="I93" s="21" t="s">
        <v>912</v>
      </c>
      <c r="J93" s="21" t="s">
        <v>1957</v>
      </c>
      <c r="K93" s="21" t="n">
        <v>17.99</v>
      </c>
      <c r="L93" s="21" t="s">
        <v>1958</v>
      </c>
      <c r="M93" s="21" t="s">
        <v>1959</v>
      </c>
      <c r="N93" s="21" t="s">
        <v>1960</v>
      </c>
      <c r="O93" s="21" t="s">
        <v>1961</v>
      </c>
      <c r="P93" s="21"/>
      <c r="Q93" s="22" t="n">
        <f aca="false">IF(L93="","",IFERROR(INDEX('Semrush Data'!$A$1:$Z$20000,MATCH(L93,'Semrush Data'!$A$1:$A$20000,0),MATCH("Volume",'Semrush Data'!$A$1:$Z$1,0)),""))</f>
        <v>0</v>
      </c>
      <c r="R93" s="22" t="str">
        <f aca="false">IF(M93="","",IFERROR(INDEX('Semrush Data'!$A$1:$Z$20000,MATCH(M93,'Semrush Data'!$A$1:$A$20000,0),MATCH("Volume",'Semrush Data'!$A$1:$Z$1,0)),""))</f>
        <v/>
      </c>
      <c r="S93" s="22" t="str">
        <f aca="false">IF(N93="","",IFERROR(INDEX('Semrush Data'!$A$1:$Z$20000,MATCH(N93,'Semrush Data'!$A$1:$A$20000,0),MATCH("Volume",'Semrush Data'!$A$1:$Z$1,0)),""))</f>
        <v/>
      </c>
      <c r="T93" s="22" t="str">
        <f aca="false">IF(O93="","",IFERROR(INDEX('Semrush Data'!$A$1:$Z$20000,MATCH(O93,'Semrush Data'!$A$1:$A$20000,0),MATCH("Volume",'Semrush Data'!$A$1:$Z$1,0)),""))</f>
        <v/>
      </c>
      <c r="U93" s="22" t="str">
        <f aca="false">IF(P93="","",IFERROR(INDEX('Semrush Data'!$A$1:$Z$20000,MATCH(P93,'Semrush Data'!$A$1:$A$20000,0),MATCH("Volume",'Semrush Data'!$A$1:$Z$1,0)),""))</f>
        <v/>
      </c>
      <c r="V93" s="23" t="str">
        <f aca="false">IF(COUNT(Q93:U93)=0,L93,IF(MAX(Q93:U93)=0,L93,INDEX(L93:P93,MATCH(MAX(Q93:U93),Q93:U93,0))))</f>
        <v>deyga rose glow serum</v>
      </c>
      <c r="W93" s="22" t="n">
        <f aca="false">IFERROR(INDEX('Semrush Data'!$A$1:$Z$20000,MATCH(V93,'Semrush Data'!$A$1:$A$20000,0),MATCH("Volume",'Semrush Data'!$A$1:$Z$1,0)),"")</f>
        <v>0</v>
      </c>
      <c r="X93" s="22" t="n">
        <f aca="false">IFERROR(INDEX('Semrush Data'!$A$1:$Z$20000,MATCH(V93,'Semrush Data'!$A$1:$A$20000,0),MATCH("Keyword Difficulty*",'Semrush Data'!$A$1:$Z$1,0)),"")</f>
        <v>13</v>
      </c>
      <c r="Y93" s="24" t="n">
        <f aca="false">IFERROR(INDEX('Semrush Data'!$A$1:$Z$20000,MATCH(V93,'Semrush Data'!$A$1:$A$20000,0),MATCH("CPC*",'Semrush Data'!$A$1:$Z$1,0)),"")</f>
        <v>0</v>
      </c>
      <c r="Z93" s="21" t="s">
        <v>1925</v>
      </c>
      <c r="AA93" s="21" t="s">
        <v>917</v>
      </c>
      <c r="AB93" s="21" t="s">
        <v>913</v>
      </c>
      <c r="AC93" s="21" t="s">
        <v>1962</v>
      </c>
      <c r="AD93" s="25" t="n">
        <f aca="false">LEN(AC93)</f>
        <v>53</v>
      </c>
      <c r="AE93" s="21" t="s">
        <v>1963</v>
      </c>
      <c r="AF93" s="25" t="n">
        <f aca="false">LEN(AE93)</f>
        <v>159</v>
      </c>
    </row>
    <row r="94" customFormat="false" ht="15" hidden="false" customHeight="true" outlineLevel="0" collapsed="false">
      <c r="A94" s="21" t="s">
        <v>918</v>
      </c>
      <c r="B94" s="21" t="s">
        <v>1373</v>
      </c>
      <c r="C94" s="21" t="n">
        <v>93</v>
      </c>
      <c r="D94" s="21" t="s">
        <v>846</v>
      </c>
      <c r="E94" s="21"/>
      <c r="F94" s="21" t="s">
        <v>1374</v>
      </c>
      <c r="G94" s="21" t="s">
        <v>374</v>
      </c>
      <c r="H94" s="21" t="s">
        <v>375</v>
      </c>
      <c r="I94" s="21" t="s">
        <v>919</v>
      </c>
      <c r="J94" s="21" t="s">
        <v>1912</v>
      </c>
      <c r="K94" s="21" t="n">
        <v>18.99</v>
      </c>
      <c r="L94" s="21" t="s">
        <v>1964</v>
      </c>
      <c r="M94" s="21" t="s">
        <v>1965</v>
      </c>
      <c r="N94" s="21" t="s">
        <v>1966</v>
      </c>
      <c r="O94" s="21" t="s">
        <v>1967</v>
      </c>
      <c r="P94" s="21"/>
      <c r="Q94" s="22" t="n">
        <f aca="false">IF(L94="","",IFERROR(INDEX('Semrush Data'!$A$1:$Z$20000,MATCH(L94,'Semrush Data'!$A$1:$A$20000,0),MATCH("Volume",'Semrush Data'!$A$1:$Z$1,0)),""))</f>
        <v>0</v>
      </c>
      <c r="R94" s="22" t="str">
        <f aca="false">IF(M94="","",IFERROR(INDEX('Semrush Data'!$A$1:$Z$20000,MATCH(M94,'Semrush Data'!$A$1:$A$20000,0),MATCH("Volume",'Semrush Data'!$A$1:$Z$1,0)),""))</f>
        <v/>
      </c>
      <c r="S94" s="22" t="str">
        <f aca="false">IF(N94="","",IFERROR(INDEX('Semrush Data'!$A$1:$Z$20000,MATCH(N94,'Semrush Data'!$A$1:$A$20000,0),MATCH("Volume",'Semrush Data'!$A$1:$Z$1,0)),""))</f>
        <v/>
      </c>
      <c r="T94" s="22" t="str">
        <f aca="false">IF(O94="","",IFERROR(INDEX('Semrush Data'!$A$1:$Z$20000,MATCH(O94,'Semrush Data'!$A$1:$A$20000,0),MATCH("Volume",'Semrush Data'!$A$1:$Z$1,0)),""))</f>
        <v/>
      </c>
      <c r="U94" s="22" t="str">
        <f aca="false">IF(P94="","",IFERROR(INDEX('Semrush Data'!$A$1:$Z$20000,MATCH(P94,'Semrush Data'!$A$1:$A$20000,0),MATCH("Volume",'Semrush Data'!$A$1:$Z$1,0)),""))</f>
        <v/>
      </c>
      <c r="V94" s="23" t="str">
        <f aca="false">IF(COUNT(Q94:U94)=0,L94,IF(MAX(Q94:U94)=0,L94,INDEX(L94:P94,MATCH(MAX(Q94:U94),Q94:U94,0))))</f>
        <v>deyga light moisturising face cream</v>
      </c>
      <c r="W94" s="22" t="n">
        <f aca="false">IFERROR(INDEX('Semrush Data'!$A$1:$Z$20000,MATCH(V94,'Semrush Data'!$A$1:$A$20000,0),MATCH("Volume",'Semrush Data'!$A$1:$Z$1,0)),"")</f>
        <v>0</v>
      </c>
      <c r="X94" s="22" t="n">
        <f aca="false">IFERROR(INDEX('Semrush Data'!$A$1:$Z$20000,MATCH(V94,'Semrush Data'!$A$1:$A$20000,0),MATCH("Keyword Difficulty*",'Semrush Data'!$A$1:$Z$1,0)),"")</f>
        <v>22</v>
      </c>
      <c r="Y94" s="24" t="n">
        <f aca="false">IFERROR(INDEX('Semrush Data'!$A$1:$Z$20000,MATCH(V94,'Semrush Data'!$A$1:$A$20000,0),MATCH("CPC*",'Semrush Data'!$A$1:$Z$1,0)),"")</f>
        <v>0</v>
      </c>
      <c r="Z94" s="21" t="s">
        <v>1917</v>
      </c>
      <c r="AA94" s="21"/>
      <c r="AB94" s="21" t="s">
        <v>921</v>
      </c>
      <c r="AC94" s="21" t="s">
        <v>1968</v>
      </c>
      <c r="AD94" s="25" t="n">
        <f aca="false">LEN(AC94)</f>
        <v>49</v>
      </c>
      <c r="AE94" s="21" t="s">
        <v>1969</v>
      </c>
      <c r="AF94" s="25" t="n">
        <f aca="false">LEN(AE94)</f>
        <v>160</v>
      </c>
    </row>
    <row r="95" customFormat="false" ht="15" hidden="false" customHeight="true" outlineLevel="0" collapsed="false">
      <c r="A95" s="21" t="s">
        <v>925</v>
      </c>
      <c r="B95" s="21" t="s">
        <v>1373</v>
      </c>
      <c r="C95" s="21" t="n">
        <v>94</v>
      </c>
      <c r="D95" s="21" t="s">
        <v>846</v>
      </c>
      <c r="E95" s="21"/>
      <c r="F95" s="21" t="s">
        <v>1392</v>
      </c>
      <c r="G95" s="21" t="s">
        <v>927</v>
      </c>
      <c r="H95" s="21" t="s">
        <v>375</v>
      </c>
      <c r="I95" s="21" t="s">
        <v>926</v>
      </c>
      <c r="J95" s="21" t="s">
        <v>1970</v>
      </c>
      <c r="K95" s="21" t="n">
        <v>16.99</v>
      </c>
      <c r="L95" s="21" t="s">
        <v>1971</v>
      </c>
      <c r="M95" s="21" t="s">
        <v>1972</v>
      </c>
      <c r="N95" s="21" t="s">
        <v>1973</v>
      </c>
      <c r="O95" s="21" t="s">
        <v>1974</v>
      </c>
      <c r="P95" s="21"/>
      <c r="Q95" s="22" t="n">
        <f aca="false">IF(L95="","",IFERROR(INDEX('Semrush Data'!$A$1:$Z$20000,MATCH(L95,'Semrush Data'!$A$1:$A$20000,0),MATCH("Volume",'Semrush Data'!$A$1:$Z$1,0)),""))</f>
        <v>0</v>
      </c>
      <c r="R95" s="22" t="str">
        <f aca="false">IF(M95="","",IFERROR(INDEX('Semrush Data'!$A$1:$Z$20000,MATCH(M95,'Semrush Data'!$A$1:$A$20000,0),MATCH("Volume",'Semrush Data'!$A$1:$Z$1,0)),""))</f>
        <v/>
      </c>
      <c r="S95" s="22" t="str">
        <f aca="false">IF(N95="","",IFERROR(INDEX('Semrush Data'!$A$1:$Z$20000,MATCH(N95,'Semrush Data'!$A$1:$A$20000,0),MATCH("Volume",'Semrush Data'!$A$1:$Z$1,0)),""))</f>
        <v/>
      </c>
      <c r="T95" s="22" t="str">
        <f aca="false">IF(O95="","",IFERROR(INDEX('Semrush Data'!$A$1:$Z$20000,MATCH(O95,'Semrush Data'!$A$1:$A$20000,0),MATCH("Volume",'Semrush Data'!$A$1:$Z$1,0)),""))</f>
        <v/>
      </c>
      <c r="U95" s="22" t="str">
        <f aca="false">IF(P95="","",IFERROR(INDEX('Semrush Data'!$A$1:$Z$20000,MATCH(P95,'Semrush Data'!$A$1:$A$20000,0),MATCH("Volume",'Semrush Data'!$A$1:$Z$1,0)),""))</f>
        <v/>
      </c>
      <c r="V95" s="23" t="str">
        <f aca="false">IF(COUNT(Q95:U95)=0,L95,IF(MAX(Q95:U95)=0,L95,INDEX(L95:P95,MATCH(MAX(Q95:U95),Q95:U95,0))))</f>
        <v>deyga foot soak powder</v>
      </c>
      <c r="W95" s="22" t="n">
        <f aca="false">IFERROR(INDEX('Semrush Data'!$A$1:$Z$20000,MATCH(V95,'Semrush Data'!$A$1:$A$20000,0),MATCH("Volume",'Semrush Data'!$A$1:$Z$1,0)),"")</f>
        <v>0</v>
      </c>
      <c r="X95" s="22" t="n">
        <f aca="false">IFERROR(INDEX('Semrush Data'!$A$1:$Z$20000,MATCH(V95,'Semrush Data'!$A$1:$A$20000,0),MATCH("Keyword Difficulty*",'Semrush Data'!$A$1:$Z$1,0)),"")</f>
        <v>14</v>
      </c>
      <c r="Y95" s="24" t="n">
        <f aca="false">IFERROR(INDEX('Semrush Data'!$A$1:$Z$20000,MATCH(V95,'Semrush Data'!$A$1:$A$20000,0),MATCH("CPC*",'Semrush Data'!$A$1:$Z$1,0)),"")</f>
        <v>0</v>
      </c>
      <c r="Z95" s="21" t="s">
        <v>1975</v>
      </c>
      <c r="AA95" s="21"/>
      <c r="AB95" s="21" t="s">
        <v>928</v>
      </c>
      <c r="AC95" s="21" t="s">
        <v>1976</v>
      </c>
      <c r="AD95" s="25" t="n">
        <f aca="false">LEN(AC95)</f>
        <v>54</v>
      </c>
      <c r="AE95" s="21" t="s">
        <v>1977</v>
      </c>
      <c r="AF95" s="25" t="n">
        <f aca="false">LEN(AE95)</f>
        <v>156</v>
      </c>
    </row>
    <row r="96" customFormat="false" ht="15" hidden="false" customHeight="true" outlineLevel="0" collapsed="false">
      <c r="A96" s="21" t="s">
        <v>932</v>
      </c>
      <c r="B96" s="21" t="s">
        <v>1373</v>
      </c>
      <c r="C96" s="21" t="n">
        <v>95</v>
      </c>
      <c r="D96" s="21" t="s">
        <v>846</v>
      </c>
      <c r="E96" s="21"/>
      <c r="F96" s="21" t="s">
        <v>1374</v>
      </c>
      <c r="G96" s="21" t="s">
        <v>365</v>
      </c>
      <c r="H96" s="21" t="s">
        <v>316</v>
      </c>
      <c r="I96" s="21" t="s">
        <v>933</v>
      </c>
      <c r="J96" s="21" t="s">
        <v>1935</v>
      </c>
      <c r="K96" s="21" t="n">
        <v>15.99</v>
      </c>
      <c r="L96" s="21" t="s">
        <v>1978</v>
      </c>
      <c r="M96" s="21" t="s">
        <v>1979</v>
      </c>
      <c r="N96" s="21" t="s">
        <v>1980</v>
      </c>
      <c r="O96" s="21" t="s">
        <v>1981</v>
      </c>
      <c r="P96" s="21"/>
      <c r="Q96" s="22" t="n">
        <f aca="false">IF(L96="","",IFERROR(INDEX('Semrush Data'!$A$1:$Z$20000,MATCH(L96,'Semrush Data'!$A$1:$A$20000,0),MATCH("Volume",'Semrush Data'!$A$1:$Z$1,0)),""))</f>
        <v>0</v>
      </c>
      <c r="R96" s="22" t="str">
        <f aca="false">IF(M96="","",IFERROR(INDEX('Semrush Data'!$A$1:$Z$20000,MATCH(M96,'Semrush Data'!$A$1:$A$20000,0),MATCH("Volume",'Semrush Data'!$A$1:$Z$1,0)),""))</f>
        <v/>
      </c>
      <c r="S96" s="22" t="str">
        <f aca="false">IF(N96="","",IFERROR(INDEX('Semrush Data'!$A$1:$Z$20000,MATCH(N96,'Semrush Data'!$A$1:$A$20000,0),MATCH("Volume",'Semrush Data'!$A$1:$Z$1,0)),""))</f>
        <v/>
      </c>
      <c r="T96" s="22" t="str">
        <f aca="false">IF(O96="","",IFERROR(INDEX('Semrush Data'!$A$1:$Z$20000,MATCH(O96,'Semrush Data'!$A$1:$A$20000,0),MATCH("Volume",'Semrush Data'!$A$1:$Z$1,0)),""))</f>
        <v/>
      </c>
      <c r="U96" s="22" t="str">
        <f aca="false">IF(P96="","",IFERROR(INDEX('Semrush Data'!$A$1:$Z$20000,MATCH(P96,'Semrush Data'!$A$1:$A$20000,0),MATCH("Volume",'Semrush Data'!$A$1:$Z$1,0)),""))</f>
        <v/>
      </c>
      <c r="V96" s="23" t="str">
        <f aca="false">IF(COUNT(Q96:U96)=0,L96,IF(MAX(Q96:U96)=0,L96,INDEX(L96:P96,MATCH(MAX(Q96:U96),Q96:U96,0))))</f>
        <v>deyga vitamin c foaming face wash</v>
      </c>
      <c r="W96" s="22" t="n">
        <f aca="false">IFERROR(INDEX('Semrush Data'!$A$1:$Z$20000,MATCH(V96,'Semrush Data'!$A$1:$A$20000,0),MATCH("Volume",'Semrush Data'!$A$1:$Z$1,0)),"")</f>
        <v>0</v>
      </c>
      <c r="X96" s="22" t="n">
        <f aca="false">IFERROR(INDEX('Semrush Data'!$A$1:$Z$20000,MATCH(V96,'Semrush Data'!$A$1:$A$20000,0),MATCH("Keyword Difficulty*",'Semrush Data'!$A$1:$Z$1,0)),"")</f>
        <v>15</v>
      </c>
      <c r="Y96" s="24" t="n">
        <f aca="false">IFERROR(INDEX('Semrush Data'!$A$1:$Z$20000,MATCH(V96,'Semrush Data'!$A$1:$A$20000,0),MATCH("CPC*",'Semrush Data'!$A$1:$Z$1,0)),"")</f>
        <v>0</v>
      </c>
      <c r="Z96" s="21" t="s">
        <v>1982</v>
      </c>
      <c r="AA96" s="21" t="s">
        <v>938</v>
      </c>
      <c r="AB96" s="21" t="s">
        <v>934</v>
      </c>
      <c r="AC96" s="21" t="s">
        <v>1983</v>
      </c>
      <c r="AD96" s="25" t="n">
        <f aca="false">LEN(AC96)</f>
        <v>60</v>
      </c>
      <c r="AE96" s="21" t="s">
        <v>1984</v>
      </c>
      <c r="AF96" s="25" t="n">
        <f aca="false">LEN(AE96)</f>
        <v>159</v>
      </c>
    </row>
    <row r="97" customFormat="false" ht="15" hidden="false" customHeight="true" outlineLevel="0" collapsed="false">
      <c r="A97" s="21" t="s">
        <v>939</v>
      </c>
      <c r="B97" s="21" t="s">
        <v>1373</v>
      </c>
      <c r="C97" s="21" t="n">
        <v>96</v>
      </c>
      <c r="D97" s="21" t="s">
        <v>846</v>
      </c>
      <c r="E97" s="21"/>
      <c r="F97" s="21" t="s">
        <v>1392</v>
      </c>
      <c r="G97" s="21" t="s">
        <v>336</v>
      </c>
      <c r="H97" s="21" t="s">
        <v>337</v>
      </c>
      <c r="I97" s="21" t="s">
        <v>940</v>
      </c>
      <c r="J97" s="21" t="s">
        <v>1897</v>
      </c>
      <c r="K97" s="21" t="n">
        <v>16.99</v>
      </c>
      <c r="L97" s="21" t="s">
        <v>1985</v>
      </c>
      <c r="M97" s="21" t="s">
        <v>1986</v>
      </c>
      <c r="N97" s="21" t="s">
        <v>1987</v>
      </c>
      <c r="O97" s="21" t="s">
        <v>1988</v>
      </c>
      <c r="P97" s="21"/>
      <c r="Q97" s="22" t="n">
        <f aca="false">IF(L97="","",IFERROR(INDEX('Semrush Data'!$A$1:$Z$20000,MATCH(L97,'Semrush Data'!$A$1:$A$20000,0),MATCH("Volume",'Semrush Data'!$A$1:$Z$1,0)),""))</f>
        <v>0</v>
      </c>
      <c r="R97" s="22" t="str">
        <f aca="false">IF(M97="","",IFERROR(INDEX('Semrush Data'!$A$1:$Z$20000,MATCH(M97,'Semrush Data'!$A$1:$A$20000,0),MATCH("Volume",'Semrush Data'!$A$1:$Z$1,0)),""))</f>
        <v/>
      </c>
      <c r="S97" s="22" t="str">
        <f aca="false">IF(N97="","",IFERROR(INDEX('Semrush Data'!$A$1:$Z$20000,MATCH(N97,'Semrush Data'!$A$1:$A$20000,0),MATCH("Volume",'Semrush Data'!$A$1:$Z$1,0)),""))</f>
        <v/>
      </c>
      <c r="T97" s="22" t="str">
        <f aca="false">IF(O97="","",IFERROR(INDEX('Semrush Data'!$A$1:$Z$20000,MATCH(O97,'Semrush Data'!$A$1:$A$20000,0),MATCH("Volume",'Semrush Data'!$A$1:$Z$1,0)),""))</f>
        <v/>
      </c>
      <c r="U97" s="22" t="str">
        <f aca="false">IF(P97="","",IFERROR(INDEX('Semrush Data'!$A$1:$Z$20000,MATCH(P97,'Semrush Data'!$A$1:$A$20000,0),MATCH("Volume",'Semrush Data'!$A$1:$Z$1,0)),""))</f>
        <v/>
      </c>
      <c r="V97" s="23" t="str">
        <f aca="false">IF(COUNT(Q97:U97)=0,L97,IF(MAX(Q97:U97)=0,L97,INDEX(L97:P97,MATCH(MAX(Q97:U97),Q97:U97,0))))</f>
        <v>deyga wild berry body wash</v>
      </c>
      <c r="W97" s="22" t="n">
        <f aca="false">IFERROR(INDEX('Semrush Data'!$A$1:$Z$20000,MATCH(V97,'Semrush Data'!$A$1:$A$20000,0),MATCH("Volume",'Semrush Data'!$A$1:$Z$1,0)),"")</f>
        <v>0</v>
      </c>
      <c r="X97" s="22" t="n">
        <f aca="false">IFERROR(INDEX('Semrush Data'!$A$1:$Z$20000,MATCH(V97,'Semrush Data'!$A$1:$A$20000,0),MATCH("Keyword Difficulty*",'Semrush Data'!$A$1:$Z$1,0)),"")</f>
        <v>16</v>
      </c>
      <c r="Y97" s="24" t="n">
        <f aca="false">IFERROR(INDEX('Semrush Data'!$A$1:$Z$20000,MATCH(V97,'Semrush Data'!$A$1:$A$20000,0),MATCH("CPC*",'Semrush Data'!$A$1:$Z$1,0)),"")</f>
        <v>0</v>
      </c>
      <c r="Z97" s="21" t="s">
        <v>1902</v>
      </c>
      <c r="AA97" s="21" t="s">
        <v>945</v>
      </c>
      <c r="AB97" s="21" t="s">
        <v>941</v>
      </c>
      <c r="AC97" s="21" t="s">
        <v>1989</v>
      </c>
      <c r="AD97" s="25" t="n">
        <f aca="false">LEN(AC97)</f>
        <v>53</v>
      </c>
      <c r="AE97" s="21" t="s">
        <v>1990</v>
      </c>
      <c r="AF97" s="25" t="n">
        <f aca="false">LEN(AE97)</f>
        <v>160</v>
      </c>
    </row>
    <row r="98" customFormat="false" ht="15" hidden="false" customHeight="true" outlineLevel="0" collapsed="false">
      <c r="A98" s="21" t="s">
        <v>946</v>
      </c>
      <c r="B98" s="21" t="s">
        <v>1373</v>
      </c>
      <c r="C98" s="21" t="n">
        <v>97</v>
      </c>
      <c r="D98" s="21" t="s">
        <v>846</v>
      </c>
      <c r="E98" s="21"/>
      <c r="F98" s="21" t="s">
        <v>1392</v>
      </c>
      <c r="G98" s="21" t="s">
        <v>948</v>
      </c>
      <c r="H98" s="21" t="s">
        <v>347</v>
      </c>
      <c r="I98" s="21" t="s">
        <v>947</v>
      </c>
      <c r="J98" s="21" t="s">
        <v>1957</v>
      </c>
      <c r="K98" s="21" t="n">
        <v>14.99</v>
      </c>
      <c r="L98" s="21" t="s">
        <v>1991</v>
      </c>
      <c r="M98" s="21" t="s">
        <v>1992</v>
      </c>
      <c r="N98" s="21" t="s">
        <v>1993</v>
      </c>
      <c r="O98" s="21" t="s">
        <v>1994</v>
      </c>
      <c r="P98" s="21"/>
      <c r="Q98" s="22" t="n">
        <f aca="false">IF(L98="","",IFERROR(INDEX('Semrush Data'!$A$1:$Z$20000,MATCH(L98,'Semrush Data'!$A$1:$A$20000,0),MATCH("Volume",'Semrush Data'!$A$1:$Z$1,0)),""))</f>
        <v>0</v>
      </c>
      <c r="R98" s="22" t="str">
        <f aca="false">IF(M98="","",IFERROR(INDEX('Semrush Data'!$A$1:$Z$20000,MATCH(M98,'Semrush Data'!$A$1:$A$20000,0),MATCH("Volume",'Semrush Data'!$A$1:$Z$1,0)),""))</f>
        <v/>
      </c>
      <c r="S98" s="22" t="str">
        <f aca="false">IF(N98="","",IFERROR(INDEX('Semrush Data'!$A$1:$Z$20000,MATCH(N98,'Semrush Data'!$A$1:$A$20000,0),MATCH("Volume",'Semrush Data'!$A$1:$Z$1,0)),""))</f>
        <v/>
      </c>
      <c r="T98" s="22" t="str">
        <f aca="false">IF(O98="","",IFERROR(INDEX('Semrush Data'!$A$1:$Z$20000,MATCH(O98,'Semrush Data'!$A$1:$A$20000,0),MATCH("Volume",'Semrush Data'!$A$1:$Z$1,0)),""))</f>
        <v/>
      </c>
      <c r="U98" s="22" t="str">
        <f aca="false">IF(P98="","",IFERROR(INDEX('Semrush Data'!$A$1:$Z$20000,MATCH(P98,'Semrush Data'!$A$1:$A$20000,0),MATCH("Volume",'Semrush Data'!$A$1:$Z$1,0)),""))</f>
        <v/>
      </c>
      <c r="V98" s="23" t="str">
        <f aca="false">IF(COUNT(Q98:U98)=0,L98,IF(MAX(Q98:U98)=0,L98,INDEX(L98:P98,MATCH(MAX(Q98:U98),Q98:U98,0))))</f>
        <v>deyga neem seed oil</v>
      </c>
      <c r="W98" s="22" t="n">
        <f aca="false">IFERROR(INDEX('Semrush Data'!$A$1:$Z$20000,MATCH(V98,'Semrush Data'!$A$1:$A$20000,0),MATCH("Volume",'Semrush Data'!$A$1:$Z$1,0)),"")</f>
        <v>0</v>
      </c>
      <c r="X98" s="22" t="n">
        <f aca="false">IFERROR(INDEX('Semrush Data'!$A$1:$Z$20000,MATCH(V98,'Semrush Data'!$A$1:$A$20000,0),MATCH("Keyword Difficulty*",'Semrush Data'!$A$1:$Z$1,0)),"")</f>
        <v>16</v>
      </c>
      <c r="Y98" s="24" t="n">
        <f aca="false">IFERROR(INDEX('Semrush Data'!$A$1:$Z$20000,MATCH(V98,'Semrush Data'!$A$1:$A$20000,0),MATCH("CPC*",'Semrush Data'!$A$1:$Z$1,0)),"")</f>
        <v>0</v>
      </c>
      <c r="Z98" s="21" t="s">
        <v>1995</v>
      </c>
      <c r="AA98" s="21" t="s">
        <v>953</v>
      </c>
      <c r="AB98" s="21" t="s">
        <v>949</v>
      </c>
      <c r="AC98" s="21" t="s">
        <v>1996</v>
      </c>
      <c r="AD98" s="25" t="n">
        <f aca="false">LEN(AC98)</f>
        <v>51</v>
      </c>
      <c r="AE98" s="21" t="s">
        <v>1997</v>
      </c>
      <c r="AF98" s="25" t="n">
        <f aca="false">LEN(AE98)</f>
        <v>160</v>
      </c>
    </row>
    <row r="99" customFormat="false" ht="15" hidden="false" customHeight="true" outlineLevel="0" collapsed="false">
      <c r="A99" s="21" t="s">
        <v>954</v>
      </c>
      <c r="B99" s="21" t="s">
        <v>1373</v>
      </c>
      <c r="C99" s="21" t="n">
        <v>98</v>
      </c>
      <c r="D99" s="21" t="s">
        <v>846</v>
      </c>
      <c r="E99" s="21"/>
      <c r="F99" s="21" t="s">
        <v>1374</v>
      </c>
      <c r="G99" s="21" t="s">
        <v>887</v>
      </c>
      <c r="H99" s="21" t="s">
        <v>316</v>
      </c>
      <c r="I99" s="21" t="s">
        <v>955</v>
      </c>
      <c r="J99" s="21" t="s">
        <v>1998</v>
      </c>
      <c r="K99" s="21" t="n">
        <v>15.99</v>
      </c>
      <c r="L99" s="21" t="s">
        <v>1999</v>
      </c>
      <c r="M99" s="21" t="s">
        <v>2000</v>
      </c>
      <c r="N99" s="21" t="s">
        <v>2001</v>
      </c>
      <c r="O99" s="21" t="s">
        <v>2002</v>
      </c>
      <c r="P99" s="21"/>
      <c r="Q99" s="22" t="n">
        <f aca="false">IF(L99="","",IFERROR(INDEX('Semrush Data'!$A$1:$Z$20000,MATCH(L99,'Semrush Data'!$A$1:$A$20000,0),MATCH("Volume",'Semrush Data'!$A$1:$Z$1,0)),""))</f>
        <v>0</v>
      </c>
      <c r="R99" s="22" t="str">
        <f aca="false">IF(M99="","",IFERROR(INDEX('Semrush Data'!$A$1:$Z$20000,MATCH(M99,'Semrush Data'!$A$1:$A$20000,0),MATCH("Volume",'Semrush Data'!$A$1:$Z$1,0)),""))</f>
        <v/>
      </c>
      <c r="S99" s="22" t="str">
        <f aca="false">IF(N99="","",IFERROR(INDEX('Semrush Data'!$A$1:$Z$20000,MATCH(N99,'Semrush Data'!$A$1:$A$20000,0),MATCH("Volume",'Semrush Data'!$A$1:$Z$1,0)),""))</f>
        <v/>
      </c>
      <c r="T99" s="22" t="str">
        <f aca="false">IF(O99="","",IFERROR(INDEX('Semrush Data'!$A$1:$Z$20000,MATCH(O99,'Semrush Data'!$A$1:$A$20000,0),MATCH("Volume",'Semrush Data'!$A$1:$Z$1,0)),""))</f>
        <v/>
      </c>
      <c r="U99" s="22" t="str">
        <f aca="false">IF(P99="","",IFERROR(INDEX('Semrush Data'!$A$1:$Z$20000,MATCH(P99,'Semrush Data'!$A$1:$A$20000,0),MATCH("Volume",'Semrush Data'!$A$1:$Z$1,0)),""))</f>
        <v/>
      </c>
      <c r="V99" s="23" t="str">
        <f aca="false">IF(COUNT(Q99:U99)=0,L99,IF(MAX(Q99:U99)=0,L99,INDEX(L99:P99,MATCH(MAX(Q99:U99),Q99:U99,0))))</f>
        <v>deyga under eye mask</v>
      </c>
      <c r="W99" s="22" t="n">
        <f aca="false">IFERROR(INDEX('Semrush Data'!$A$1:$Z$20000,MATCH(V99,'Semrush Data'!$A$1:$A$20000,0),MATCH("Volume",'Semrush Data'!$A$1:$Z$1,0)),"")</f>
        <v>0</v>
      </c>
      <c r="X99" s="22" t="n">
        <f aca="false">IFERROR(INDEX('Semrush Data'!$A$1:$Z$20000,MATCH(V99,'Semrush Data'!$A$1:$A$20000,0),MATCH("Keyword Difficulty*",'Semrush Data'!$A$1:$Z$1,0)),"")</f>
        <v>19</v>
      </c>
      <c r="Y99" s="24" t="n">
        <f aca="false">IFERROR(INDEX('Semrush Data'!$A$1:$Z$20000,MATCH(V99,'Semrush Data'!$A$1:$A$20000,0),MATCH("CPC*",'Semrush Data'!$A$1:$Z$1,0)),"")</f>
        <v>0</v>
      </c>
      <c r="Z99" s="21" t="s">
        <v>1932</v>
      </c>
      <c r="AA99" s="21" t="s">
        <v>960</v>
      </c>
      <c r="AB99" s="21" t="s">
        <v>956</v>
      </c>
      <c r="AC99" s="21" t="s">
        <v>2003</v>
      </c>
      <c r="AD99" s="25" t="n">
        <f aca="false">LEN(AC99)</f>
        <v>51</v>
      </c>
      <c r="AE99" s="21" t="s">
        <v>2004</v>
      </c>
      <c r="AF99" s="25" t="n">
        <f aca="false">LEN(AE99)</f>
        <v>160</v>
      </c>
    </row>
    <row r="100" customFormat="false" ht="15" hidden="false" customHeight="true" outlineLevel="0" collapsed="false">
      <c r="A100" s="21" t="s">
        <v>961</v>
      </c>
      <c r="B100" s="21" t="s">
        <v>1373</v>
      </c>
      <c r="C100" s="21" t="n">
        <v>99</v>
      </c>
      <c r="D100" s="21" t="s">
        <v>846</v>
      </c>
      <c r="E100" s="21"/>
      <c r="F100" s="21" t="s">
        <v>1374</v>
      </c>
      <c r="G100" s="21" t="s">
        <v>887</v>
      </c>
      <c r="H100" s="21" t="s">
        <v>316</v>
      </c>
      <c r="I100" s="21" t="s">
        <v>962</v>
      </c>
      <c r="J100" s="21" t="s">
        <v>2005</v>
      </c>
      <c r="K100" s="21" t="n">
        <v>17.99</v>
      </c>
      <c r="L100" s="21" t="s">
        <v>2006</v>
      </c>
      <c r="M100" s="21" t="s">
        <v>2007</v>
      </c>
      <c r="N100" s="21" t="s">
        <v>2008</v>
      </c>
      <c r="O100" s="21" t="s">
        <v>2009</v>
      </c>
      <c r="P100" s="21"/>
      <c r="Q100" s="22" t="n">
        <f aca="false">IF(L100="","",IFERROR(INDEX('Semrush Data'!$A$1:$Z$20000,MATCH(L100,'Semrush Data'!$A$1:$A$20000,0),MATCH("Volume",'Semrush Data'!$A$1:$Z$1,0)),""))</f>
        <v>0</v>
      </c>
      <c r="R100" s="22" t="str">
        <f aca="false">IF(M100="","",IFERROR(INDEX('Semrush Data'!$A$1:$Z$20000,MATCH(M100,'Semrush Data'!$A$1:$A$20000,0),MATCH("Volume",'Semrush Data'!$A$1:$Z$1,0)),""))</f>
        <v/>
      </c>
      <c r="S100" s="22" t="str">
        <f aca="false">IF(N100="","",IFERROR(INDEX('Semrush Data'!$A$1:$Z$20000,MATCH(N100,'Semrush Data'!$A$1:$A$20000,0),MATCH("Volume",'Semrush Data'!$A$1:$Z$1,0)),""))</f>
        <v/>
      </c>
      <c r="T100" s="22" t="str">
        <f aca="false">IF(O100="","",IFERROR(INDEX('Semrush Data'!$A$1:$Z$20000,MATCH(O100,'Semrush Data'!$A$1:$A$20000,0),MATCH("Volume",'Semrush Data'!$A$1:$Z$1,0)),""))</f>
        <v/>
      </c>
      <c r="U100" s="22" t="str">
        <f aca="false">IF(P100="","",IFERROR(INDEX('Semrush Data'!$A$1:$Z$20000,MATCH(P100,'Semrush Data'!$A$1:$A$20000,0),MATCH("Volume",'Semrush Data'!$A$1:$Z$1,0)),""))</f>
        <v/>
      </c>
      <c r="V100" s="23" t="str">
        <f aca="false">IF(COUNT(Q100:U100)=0,L100,IF(MAX(Q100:U100)=0,L100,INDEX(L100:P100,MATCH(MAX(Q100:U100),Q100:U100,0))))</f>
        <v>deyga spirulina matcha face pack</v>
      </c>
      <c r="W100" s="22" t="n">
        <f aca="false">IFERROR(INDEX('Semrush Data'!$A$1:$Z$20000,MATCH(V100,'Semrush Data'!$A$1:$A$20000,0),MATCH("Volume",'Semrush Data'!$A$1:$Z$1,0)),"")</f>
        <v>0</v>
      </c>
      <c r="X100" s="22" t="n">
        <f aca="false">IFERROR(INDEX('Semrush Data'!$A$1:$Z$20000,MATCH(V100,'Semrush Data'!$A$1:$A$20000,0),MATCH("Keyword Difficulty*",'Semrush Data'!$A$1:$Z$1,0)),"")</f>
        <v>20</v>
      </c>
      <c r="Y100" s="24" t="n">
        <f aca="false">IFERROR(INDEX('Semrush Data'!$A$1:$Z$20000,MATCH(V100,'Semrush Data'!$A$1:$A$20000,0),MATCH("CPC*",'Semrush Data'!$A$1:$Z$1,0)),"")</f>
        <v>0</v>
      </c>
      <c r="Z100" s="21" t="s">
        <v>1932</v>
      </c>
      <c r="AA100" s="21"/>
      <c r="AB100" s="21" t="s">
        <v>963</v>
      </c>
      <c r="AC100" s="21" t="s">
        <v>2010</v>
      </c>
      <c r="AD100" s="25" t="n">
        <f aca="false">LEN(AC100)</f>
        <v>59</v>
      </c>
      <c r="AE100" s="21" t="s">
        <v>2011</v>
      </c>
      <c r="AF100" s="25" t="n">
        <f aca="false">LEN(AE100)</f>
        <v>157</v>
      </c>
    </row>
    <row r="101" customFormat="false" ht="15" hidden="false" customHeight="true" outlineLevel="0" collapsed="false">
      <c r="A101" s="21" t="s">
        <v>967</v>
      </c>
      <c r="B101" s="21" t="s">
        <v>1373</v>
      </c>
      <c r="C101" s="21" t="n">
        <v>100</v>
      </c>
      <c r="D101" s="21" t="s">
        <v>846</v>
      </c>
      <c r="E101" s="21"/>
      <c r="F101" s="21" t="s">
        <v>1374</v>
      </c>
      <c r="G101" s="21" t="s">
        <v>315</v>
      </c>
      <c r="H101" s="21" t="s">
        <v>316</v>
      </c>
      <c r="I101" s="21" t="s">
        <v>968</v>
      </c>
      <c r="J101" s="21" t="s">
        <v>1935</v>
      </c>
      <c r="K101" s="21" t="n">
        <v>14.99</v>
      </c>
      <c r="L101" s="21" t="s">
        <v>2012</v>
      </c>
      <c r="M101" s="21" t="s">
        <v>2013</v>
      </c>
      <c r="N101" s="21" t="s">
        <v>2014</v>
      </c>
      <c r="O101" s="21" t="s">
        <v>2015</v>
      </c>
      <c r="P101" s="21"/>
      <c r="Q101" s="22" t="n">
        <f aca="false">IF(L101="","",IFERROR(INDEX('Semrush Data'!$A$1:$Z$20000,MATCH(L101,'Semrush Data'!$A$1:$A$20000,0),MATCH("Volume",'Semrush Data'!$A$1:$Z$1,0)),""))</f>
        <v>0</v>
      </c>
      <c r="R101" s="22" t="str">
        <f aca="false">IF(M101="","",IFERROR(INDEX('Semrush Data'!$A$1:$Z$20000,MATCH(M101,'Semrush Data'!$A$1:$A$20000,0),MATCH("Volume",'Semrush Data'!$A$1:$Z$1,0)),""))</f>
        <v/>
      </c>
      <c r="S101" s="22" t="str">
        <f aca="false">IF(N101="","",IFERROR(INDEX('Semrush Data'!$A$1:$Z$20000,MATCH(N101,'Semrush Data'!$A$1:$A$20000,0),MATCH("Volume",'Semrush Data'!$A$1:$Z$1,0)),""))</f>
        <v/>
      </c>
      <c r="T101" s="22" t="str">
        <f aca="false">IF(O101="","",IFERROR(INDEX('Semrush Data'!$A$1:$Z$20000,MATCH(O101,'Semrush Data'!$A$1:$A$20000,0),MATCH("Volume",'Semrush Data'!$A$1:$Z$1,0)),""))</f>
        <v/>
      </c>
      <c r="U101" s="22" t="str">
        <f aca="false">IF(P101="","",IFERROR(INDEX('Semrush Data'!$A$1:$Z$20000,MATCH(P101,'Semrush Data'!$A$1:$A$20000,0),MATCH("Volume",'Semrush Data'!$A$1:$Z$1,0)),""))</f>
        <v/>
      </c>
      <c r="V101" s="23" t="str">
        <f aca="false">IF(COUNT(Q101:U101)=0,L101,IF(MAX(Q101:U101)=0,L101,INDEX(L101:P101,MATCH(MAX(Q101:U101),Q101:U101,0))))</f>
        <v>deyga tea tree facial toner</v>
      </c>
      <c r="W101" s="22" t="n">
        <f aca="false">IFERROR(INDEX('Semrush Data'!$A$1:$Z$20000,MATCH(V101,'Semrush Data'!$A$1:$A$20000,0),MATCH("Volume",'Semrush Data'!$A$1:$Z$1,0)),"")</f>
        <v>0</v>
      </c>
      <c r="X101" s="22" t="n">
        <f aca="false">IFERROR(INDEX('Semrush Data'!$A$1:$Z$20000,MATCH(V101,'Semrush Data'!$A$1:$A$20000,0),MATCH("Keyword Difficulty*",'Semrush Data'!$A$1:$Z$1,0)),"")</f>
        <v>13</v>
      </c>
      <c r="Y101" s="24" t="n">
        <f aca="false">IFERROR(INDEX('Semrush Data'!$A$1:$Z$20000,MATCH(V101,'Semrush Data'!$A$1:$A$20000,0),MATCH("CPC*",'Semrush Data'!$A$1:$Z$1,0)),"")</f>
        <v>0</v>
      </c>
      <c r="Z101" s="21" t="s">
        <v>2016</v>
      </c>
      <c r="AA101" s="21"/>
      <c r="AB101" s="21" t="s">
        <v>969</v>
      </c>
      <c r="AC101" s="21" t="s">
        <v>2017</v>
      </c>
      <c r="AD101" s="25" t="n">
        <f aca="false">LEN(AC101)</f>
        <v>54</v>
      </c>
      <c r="AE101" s="21" t="s">
        <v>2018</v>
      </c>
      <c r="AF101" s="25" t="n">
        <f aca="false">LEN(AE101)</f>
        <v>160</v>
      </c>
    </row>
    <row r="102" customFormat="false" ht="15" hidden="false" customHeight="true" outlineLevel="0" collapsed="false">
      <c r="A102" s="21" t="s">
        <v>973</v>
      </c>
      <c r="B102" s="21" t="s">
        <v>1373</v>
      </c>
      <c r="C102" s="21" t="n">
        <v>101</v>
      </c>
      <c r="D102" s="21" t="s">
        <v>846</v>
      </c>
      <c r="E102" s="21"/>
      <c r="F102" s="21" t="s">
        <v>1374</v>
      </c>
      <c r="G102" s="21" t="s">
        <v>887</v>
      </c>
      <c r="H102" s="21" t="s">
        <v>356</v>
      </c>
      <c r="I102" s="21" t="s">
        <v>974</v>
      </c>
      <c r="J102" s="21" t="s">
        <v>1912</v>
      </c>
      <c r="K102" s="21" t="n">
        <v>15.99</v>
      </c>
      <c r="L102" s="21" t="s">
        <v>2019</v>
      </c>
      <c r="M102" s="21" t="s">
        <v>2020</v>
      </c>
      <c r="N102" s="21" t="s">
        <v>2021</v>
      </c>
      <c r="O102" s="21" t="s">
        <v>2022</v>
      </c>
      <c r="P102" s="21"/>
      <c r="Q102" s="22" t="n">
        <f aca="false">IF(L102="","",IFERROR(INDEX('Semrush Data'!$A$1:$Z$20000,MATCH(L102,'Semrush Data'!$A$1:$A$20000,0),MATCH("Volume",'Semrush Data'!$A$1:$Z$1,0)),""))</f>
        <v>0</v>
      </c>
      <c r="R102" s="22" t="str">
        <f aca="false">IF(M102="","",IFERROR(INDEX('Semrush Data'!$A$1:$Z$20000,MATCH(M102,'Semrush Data'!$A$1:$A$20000,0),MATCH("Volume",'Semrush Data'!$A$1:$Z$1,0)),""))</f>
        <v/>
      </c>
      <c r="S102" s="22" t="str">
        <f aca="false">IF(N102="","",IFERROR(INDEX('Semrush Data'!$A$1:$Z$20000,MATCH(N102,'Semrush Data'!$A$1:$A$20000,0),MATCH("Volume",'Semrush Data'!$A$1:$Z$1,0)),""))</f>
        <v/>
      </c>
      <c r="T102" s="22" t="str">
        <f aca="false">IF(O102="","",IFERROR(INDEX('Semrush Data'!$A$1:$Z$20000,MATCH(O102,'Semrush Data'!$A$1:$A$20000,0),MATCH("Volume",'Semrush Data'!$A$1:$Z$1,0)),""))</f>
        <v/>
      </c>
      <c r="U102" s="22" t="str">
        <f aca="false">IF(P102="","",IFERROR(INDEX('Semrush Data'!$A$1:$Z$20000,MATCH(P102,'Semrush Data'!$A$1:$A$20000,0),MATCH("Volume",'Semrush Data'!$A$1:$Z$1,0)),""))</f>
        <v/>
      </c>
      <c r="V102" s="23" t="str">
        <f aca="false">IF(COUNT(Q102:U102)=0,L102,IF(MAX(Q102:U102)=0,L102,INDEX(L102:P102,MATCH(MAX(Q102:U102),Q102:U102,0))))</f>
        <v>deyga tangerine cleansing balm for makeup removal</v>
      </c>
      <c r="W102" s="22" t="n">
        <f aca="false">IFERROR(INDEX('Semrush Data'!$A$1:$Z$20000,MATCH(V102,'Semrush Data'!$A$1:$A$20000,0),MATCH("Volume",'Semrush Data'!$A$1:$Z$1,0)),"")</f>
        <v>0</v>
      </c>
      <c r="X102" s="22" t="n">
        <f aca="false">IFERROR(INDEX('Semrush Data'!$A$1:$Z$20000,MATCH(V102,'Semrush Data'!$A$1:$A$20000,0),MATCH("Keyword Difficulty*",'Semrush Data'!$A$1:$Z$1,0)),"")</f>
        <v>12</v>
      </c>
      <c r="Y102" s="24" t="n">
        <f aca="false">IFERROR(INDEX('Semrush Data'!$A$1:$Z$20000,MATCH(V102,'Semrush Data'!$A$1:$A$20000,0),MATCH("CPC*",'Semrush Data'!$A$1:$Z$1,0)),"")</f>
        <v>0</v>
      </c>
      <c r="Z102" s="21" t="s">
        <v>2023</v>
      </c>
      <c r="AA102" s="21"/>
      <c r="AB102" s="21" t="s">
        <v>975</v>
      </c>
      <c r="AC102" s="21" t="s">
        <v>2024</v>
      </c>
      <c r="AD102" s="25" t="n">
        <f aca="false">LEN(AC102)</f>
        <v>55</v>
      </c>
      <c r="AE102" s="21" t="s">
        <v>2025</v>
      </c>
      <c r="AF102" s="25" t="n">
        <f aca="false">LEN(AE102)</f>
        <v>158</v>
      </c>
    </row>
    <row r="103" customFormat="false" ht="15" hidden="false" customHeight="true" outlineLevel="0" collapsed="false">
      <c r="A103" s="21" t="s">
        <v>979</v>
      </c>
      <c r="B103" s="21" t="s">
        <v>1373</v>
      </c>
      <c r="C103" s="21" t="n">
        <v>102</v>
      </c>
      <c r="D103" s="21" t="s">
        <v>846</v>
      </c>
      <c r="E103" s="21"/>
      <c r="F103" s="21" t="s">
        <v>1392</v>
      </c>
      <c r="G103" s="21" t="s">
        <v>927</v>
      </c>
      <c r="H103" s="21" t="s">
        <v>375</v>
      </c>
      <c r="I103" s="21" t="s">
        <v>980</v>
      </c>
      <c r="J103" s="21" t="s">
        <v>2026</v>
      </c>
      <c r="K103" s="21" t="n">
        <v>12.99</v>
      </c>
      <c r="L103" s="21" t="s">
        <v>2027</v>
      </c>
      <c r="M103" s="21" t="s">
        <v>2028</v>
      </c>
      <c r="N103" s="21" t="s">
        <v>2029</v>
      </c>
      <c r="O103" s="21" t="s">
        <v>2030</v>
      </c>
      <c r="P103" s="21"/>
      <c r="Q103" s="22" t="n">
        <f aca="false">IF(L103="","",IFERROR(INDEX('Semrush Data'!$A$1:$Z$20000,MATCH(L103,'Semrush Data'!$A$1:$A$20000,0),MATCH("Volume",'Semrush Data'!$A$1:$Z$1,0)),""))</f>
        <v>0</v>
      </c>
      <c r="R103" s="22" t="str">
        <f aca="false">IF(M103="","",IFERROR(INDEX('Semrush Data'!$A$1:$Z$20000,MATCH(M103,'Semrush Data'!$A$1:$A$20000,0),MATCH("Volume",'Semrush Data'!$A$1:$Z$1,0)),""))</f>
        <v/>
      </c>
      <c r="S103" s="22" t="str">
        <f aca="false">IF(N103="","",IFERROR(INDEX('Semrush Data'!$A$1:$Z$20000,MATCH(N103,'Semrush Data'!$A$1:$A$20000,0),MATCH("Volume",'Semrush Data'!$A$1:$Z$1,0)),""))</f>
        <v/>
      </c>
      <c r="T103" s="22" t="str">
        <f aca="false">IF(O103="","",IFERROR(INDEX('Semrush Data'!$A$1:$Z$20000,MATCH(O103,'Semrush Data'!$A$1:$A$20000,0),MATCH("Volume",'Semrush Data'!$A$1:$Z$1,0)),""))</f>
        <v/>
      </c>
      <c r="U103" s="22" t="str">
        <f aca="false">IF(P103="","",IFERROR(INDEX('Semrush Data'!$A$1:$Z$20000,MATCH(P103,'Semrush Data'!$A$1:$A$20000,0),MATCH("Volume",'Semrush Data'!$A$1:$Z$1,0)),""))</f>
        <v/>
      </c>
      <c r="V103" s="23" t="str">
        <f aca="false">IF(COUNT(Q103:U103)=0,L103,IF(MAX(Q103:U103)=0,L103,INDEX(L103:P103,MATCH(MAX(Q103:U103),Q103:U103,0))))</f>
        <v>deyga organic loofah for body exfoliation</v>
      </c>
      <c r="W103" s="22" t="n">
        <f aca="false">IFERROR(INDEX('Semrush Data'!$A$1:$Z$20000,MATCH(V103,'Semrush Data'!$A$1:$A$20000,0),MATCH("Volume",'Semrush Data'!$A$1:$Z$1,0)),"")</f>
        <v>0</v>
      </c>
      <c r="X103" s="22" t="n">
        <f aca="false">IFERROR(INDEX('Semrush Data'!$A$1:$Z$20000,MATCH(V103,'Semrush Data'!$A$1:$A$20000,0),MATCH("Keyword Difficulty*",'Semrush Data'!$A$1:$Z$1,0)),"")</f>
        <v>12</v>
      </c>
      <c r="Y103" s="24" t="n">
        <f aca="false">IFERROR(INDEX('Semrush Data'!$A$1:$Z$20000,MATCH(V103,'Semrush Data'!$A$1:$A$20000,0),MATCH("CPC*",'Semrush Data'!$A$1:$Z$1,0)),"")</f>
        <v>0</v>
      </c>
      <c r="Z103" s="21" t="s">
        <v>1975</v>
      </c>
      <c r="AA103" s="21"/>
      <c r="AB103" s="21" t="s">
        <v>981</v>
      </c>
      <c r="AC103" s="21" t="s">
        <v>982</v>
      </c>
      <c r="AD103" s="25" t="n">
        <f aca="false">LEN(AC103)</f>
        <v>55</v>
      </c>
      <c r="AE103" s="21" t="s">
        <v>2031</v>
      </c>
      <c r="AF103" s="25" t="n">
        <f aca="false">LEN(AE103)</f>
        <v>157</v>
      </c>
    </row>
    <row r="104" customFormat="false" ht="15" hidden="false" customHeight="true" outlineLevel="0" collapsed="false">
      <c r="A104" s="21" t="s">
        <v>985</v>
      </c>
      <c r="B104" s="21" t="s">
        <v>1373</v>
      </c>
      <c r="C104" s="21" t="n">
        <v>103</v>
      </c>
      <c r="D104" s="21" t="s">
        <v>846</v>
      </c>
      <c r="E104" s="21"/>
      <c r="F104" s="21" t="s">
        <v>1392</v>
      </c>
      <c r="G104" s="21" t="s">
        <v>525</v>
      </c>
      <c r="H104" s="21" t="s">
        <v>375</v>
      </c>
      <c r="I104" s="21" t="s">
        <v>986</v>
      </c>
      <c r="J104" s="21" t="s">
        <v>1882</v>
      </c>
      <c r="K104" s="21" t="n">
        <v>17.99</v>
      </c>
      <c r="L104" s="21" t="s">
        <v>2032</v>
      </c>
      <c r="M104" s="21" t="s">
        <v>2033</v>
      </c>
      <c r="N104" s="21" t="s">
        <v>2034</v>
      </c>
      <c r="O104" s="21" t="s">
        <v>2035</v>
      </c>
      <c r="P104" s="21"/>
      <c r="Q104" s="22" t="n">
        <f aca="false">IF(L104="","",IFERROR(INDEX('Semrush Data'!$A$1:$Z$20000,MATCH(L104,'Semrush Data'!$A$1:$A$20000,0),MATCH("Volume",'Semrush Data'!$A$1:$Z$1,0)),""))</f>
        <v>0</v>
      </c>
      <c r="R104" s="22" t="str">
        <f aca="false">IF(M104="","",IFERROR(INDEX('Semrush Data'!$A$1:$Z$20000,MATCH(M104,'Semrush Data'!$A$1:$A$20000,0),MATCH("Volume",'Semrush Data'!$A$1:$Z$1,0)),""))</f>
        <v/>
      </c>
      <c r="S104" s="22" t="str">
        <f aca="false">IF(N104="","",IFERROR(INDEX('Semrush Data'!$A$1:$Z$20000,MATCH(N104,'Semrush Data'!$A$1:$A$20000,0),MATCH("Volume",'Semrush Data'!$A$1:$Z$1,0)),""))</f>
        <v/>
      </c>
      <c r="T104" s="22" t="str">
        <f aca="false">IF(O104="","",IFERROR(INDEX('Semrush Data'!$A$1:$Z$20000,MATCH(O104,'Semrush Data'!$A$1:$A$20000,0),MATCH("Volume",'Semrush Data'!$A$1:$Z$1,0)),""))</f>
        <v/>
      </c>
      <c r="U104" s="22" t="str">
        <f aca="false">IF(P104="","",IFERROR(INDEX('Semrush Data'!$A$1:$Z$20000,MATCH(P104,'Semrush Data'!$A$1:$A$20000,0),MATCH("Volume",'Semrush Data'!$A$1:$Z$1,0)),""))</f>
        <v/>
      </c>
      <c r="V104" s="23" t="str">
        <f aca="false">IF(COUNT(Q104:U104)=0,L104,IF(MAX(Q104:U104)=0,L104,INDEX(L104:P104,MATCH(MAX(Q104:U104),Q104:U104,0))))</f>
        <v>deyga foot scrub</v>
      </c>
      <c r="W104" s="22" t="n">
        <f aca="false">IFERROR(INDEX('Semrush Data'!$A$1:$Z$20000,MATCH(V104,'Semrush Data'!$A$1:$A$20000,0),MATCH("Volume",'Semrush Data'!$A$1:$Z$1,0)),"")</f>
        <v>0</v>
      </c>
      <c r="X104" s="22" t="n">
        <f aca="false">IFERROR(INDEX('Semrush Data'!$A$1:$Z$20000,MATCH(V104,'Semrush Data'!$A$1:$A$20000,0),MATCH("Keyword Difficulty*",'Semrush Data'!$A$1:$Z$1,0)),"")</f>
        <v>16</v>
      </c>
      <c r="Y104" s="24" t="n">
        <f aca="false">IFERROR(INDEX('Semrush Data'!$A$1:$Z$20000,MATCH(V104,'Semrush Data'!$A$1:$A$20000,0),MATCH("CPC*",'Semrush Data'!$A$1:$Z$1,0)),"")</f>
        <v>0</v>
      </c>
      <c r="Z104" s="21" t="s">
        <v>1909</v>
      </c>
      <c r="AA104" s="21" t="s">
        <v>991</v>
      </c>
      <c r="AB104" s="21" t="s">
        <v>987</v>
      </c>
      <c r="AC104" s="21" t="s">
        <v>2036</v>
      </c>
      <c r="AD104" s="25" t="n">
        <f aca="false">LEN(AC104)</f>
        <v>49</v>
      </c>
      <c r="AE104" s="21" t="s">
        <v>2037</v>
      </c>
      <c r="AF104" s="25" t="n">
        <f aca="false">LEN(AE104)</f>
        <v>158</v>
      </c>
    </row>
    <row r="105" customFormat="false" ht="15" hidden="false" customHeight="true" outlineLevel="0" collapsed="false">
      <c r="A105" s="21" t="s">
        <v>992</v>
      </c>
      <c r="B105" s="21" t="s">
        <v>1373</v>
      </c>
      <c r="C105" s="21" t="n">
        <v>104</v>
      </c>
      <c r="D105" s="21" t="s">
        <v>846</v>
      </c>
      <c r="E105" s="21"/>
      <c r="F105" s="21" t="s">
        <v>1374</v>
      </c>
      <c r="G105" s="21" t="s">
        <v>887</v>
      </c>
      <c r="H105" s="21" t="s">
        <v>316</v>
      </c>
      <c r="I105" s="21" t="s">
        <v>993</v>
      </c>
      <c r="J105" s="21" t="s">
        <v>1957</v>
      </c>
      <c r="K105" s="21" t="n">
        <v>22.99</v>
      </c>
      <c r="L105" s="21" t="s">
        <v>2038</v>
      </c>
      <c r="M105" s="21" t="s">
        <v>2039</v>
      </c>
      <c r="N105" s="21" t="s">
        <v>2040</v>
      </c>
      <c r="O105" s="21" t="s">
        <v>2041</v>
      </c>
      <c r="P105" s="21"/>
      <c r="Q105" s="22" t="n">
        <f aca="false">IF(L105="","",IFERROR(INDEX('Semrush Data'!$A$1:$Z$20000,MATCH(L105,'Semrush Data'!$A$1:$A$20000,0),MATCH("Volume",'Semrush Data'!$A$1:$Z$1,0)),""))</f>
        <v>0</v>
      </c>
      <c r="R105" s="22" t="str">
        <f aca="false">IF(M105="","",IFERROR(INDEX('Semrush Data'!$A$1:$Z$20000,MATCH(M105,'Semrush Data'!$A$1:$A$20000,0),MATCH("Volume",'Semrush Data'!$A$1:$Z$1,0)),""))</f>
        <v/>
      </c>
      <c r="S105" s="22" t="str">
        <f aca="false">IF(N105="","",IFERROR(INDEX('Semrush Data'!$A$1:$Z$20000,MATCH(N105,'Semrush Data'!$A$1:$A$20000,0),MATCH("Volume",'Semrush Data'!$A$1:$Z$1,0)),""))</f>
        <v/>
      </c>
      <c r="T105" s="22" t="str">
        <f aca="false">IF(O105="","",IFERROR(INDEX('Semrush Data'!$A$1:$Z$20000,MATCH(O105,'Semrush Data'!$A$1:$A$20000,0),MATCH("Volume",'Semrush Data'!$A$1:$Z$1,0)),""))</f>
        <v/>
      </c>
      <c r="U105" s="22" t="str">
        <f aca="false">IF(P105="","",IFERROR(INDEX('Semrush Data'!$A$1:$Z$20000,MATCH(P105,'Semrush Data'!$A$1:$A$20000,0),MATCH("Volume",'Semrush Data'!$A$1:$Z$1,0)),""))</f>
        <v/>
      </c>
      <c r="V105" s="23" t="str">
        <f aca="false">IF(COUNT(Q105:U105)=0,L105,IF(MAX(Q105:U105)=0,L105,INDEX(L105:P105,MATCH(MAX(Q105:U105),Q105:U105,0))))</f>
        <v>deyga eyebrow growth oil</v>
      </c>
      <c r="W105" s="22" t="n">
        <f aca="false">IFERROR(INDEX('Semrush Data'!$A$1:$Z$20000,MATCH(V105,'Semrush Data'!$A$1:$A$20000,0),MATCH("Volume",'Semrush Data'!$A$1:$Z$1,0)),"")</f>
        <v>0</v>
      </c>
      <c r="X105" s="22" t="n">
        <f aca="false">IFERROR(INDEX('Semrush Data'!$A$1:$Z$20000,MATCH(V105,'Semrush Data'!$A$1:$A$20000,0),MATCH("Keyword Difficulty*",'Semrush Data'!$A$1:$Z$1,0)),"")</f>
        <v>6</v>
      </c>
      <c r="Y105" s="24" t="n">
        <f aca="false">IFERROR(INDEX('Semrush Data'!$A$1:$Z$20000,MATCH(V105,'Semrush Data'!$A$1:$A$20000,0),MATCH("CPC*",'Semrush Data'!$A$1:$Z$1,0)),"")</f>
        <v>0</v>
      </c>
      <c r="Z105" s="21" t="s">
        <v>1932</v>
      </c>
      <c r="AA105" s="21" t="s">
        <v>998</v>
      </c>
      <c r="AB105" s="21" t="s">
        <v>994</v>
      </c>
      <c r="AC105" s="21" t="s">
        <v>2042</v>
      </c>
      <c r="AD105" s="25" t="n">
        <f aca="false">LEN(AC105)</f>
        <v>51</v>
      </c>
      <c r="AE105" s="21" t="s">
        <v>2043</v>
      </c>
      <c r="AF105" s="25" t="n">
        <f aca="false">LEN(AE105)</f>
        <v>159</v>
      </c>
    </row>
    <row r="106" customFormat="false" ht="15" hidden="false" customHeight="true" outlineLevel="0" collapsed="false">
      <c r="A106" s="21" t="s">
        <v>999</v>
      </c>
      <c r="B106" s="21" t="s">
        <v>1373</v>
      </c>
      <c r="C106" s="21" t="n">
        <v>105</v>
      </c>
      <c r="D106" s="21" t="s">
        <v>846</v>
      </c>
      <c r="E106" s="21"/>
      <c r="F106" s="21" t="s">
        <v>1374</v>
      </c>
      <c r="G106" s="21" t="s">
        <v>355</v>
      </c>
      <c r="H106" s="21" t="s">
        <v>356</v>
      </c>
      <c r="I106" s="21" t="s">
        <v>1000</v>
      </c>
      <c r="J106" s="21" t="s">
        <v>1409</v>
      </c>
      <c r="K106" s="21" t="n">
        <v>16.99</v>
      </c>
      <c r="L106" s="21" t="s">
        <v>2044</v>
      </c>
      <c r="M106" s="21" t="s">
        <v>2045</v>
      </c>
      <c r="N106" s="21" t="s">
        <v>2046</v>
      </c>
      <c r="O106" s="21" t="s">
        <v>2047</v>
      </c>
      <c r="P106" s="21"/>
      <c r="Q106" s="22" t="n">
        <f aca="false">IF(L106="","",IFERROR(INDEX('Semrush Data'!$A$1:$Z$20000,MATCH(L106,'Semrush Data'!$A$1:$A$20000,0),MATCH("Volume",'Semrush Data'!$A$1:$Z$1,0)),""))</f>
        <v>10</v>
      </c>
      <c r="R106" s="22" t="str">
        <f aca="false">IF(M106="","",IFERROR(INDEX('Semrush Data'!$A$1:$Z$20000,MATCH(M106,'Semrush Data'!$A$1:$A$20000,0),MATCH("Volume",'Semrush Data'!$A$1:$Z$1,0)),""))</f>
        <v/>
      </c>
      <c r="S106" s="22" t="str">
        <f aca="false">IF(N106="","",IFERROR(INDEX('Semrush Data'!$A$1:$Z$20000,MATCH(N106,'Semrush Data'!$A$1:$A$20000,0),MATCH("Volume",'Semrush Data'!$A$1:$Z$1,0)),""))</f>
        <v/>
      </c>
      <c r="T106" s="22" t="str">
        <f aca="false">IF(O106="","",IFERROR(INDEX('Semrush Data'!$A$1:$Z$20000,MATCH(O106,'Semrush Data'!$A$1:$A$20000,0),MATCH("Volume",'Semrush Data'!$A$1:$Z$1,0)),""))</f>
        <v/>
      </c>
      <c r="U106" s="22" t="str">
        <f aca="false">IF(P106="","",IFERROR(INDEX('Semrush Data'!$A$1:$Z$20000,MATCH(P106,'Semrush Data'!$A$1:$A$20000,0),MATCH("Volume",'Semrush Data'!$A$1:$Z$1,0)),""))</f>
        <v/>
      </c>
      <c r="V106" s="23" t="str">
        <f aca="false">IF(COUNT(Q106:U106)=0,L106,IF(MAX(Q106:U106)=0,L106,INDEX(L106:P106,MATCH(MAX(Q106:U106),Q106:U106,0))))</f>
        <v>deyga sunscreen</v>
      </c>
      <c r="W106" s="22" t="n">
        <f aca="false">IFERROR(INDEX('Semrush Data'!$A$1:$Z$20000,MATCH(V106,'Semrush Data'!$A$1:$A$20000,0),MATCH("Volume",'Semrush Data'!$A$1:$Z$1,0)),"")</f>
        <v>10</v>
      </c>
      <c r="X106" s="22" t="n">
        <f aca="false">IFERROR(INDEX('Semrush Data'!$A$1:$Z$20000,MATCH(V106,'Semrush Data'!$A$1:$A$20000,0),MATCH("Keyword Difficulty*",'Semrush Data'!$A$1:$Z$1,0)),"")</f>
        <v>9</v>
      </c>
      <c r="Y106" s="24" t="n">
        <f aca="false">IFERROR(INDEX('Semrush Data'!$A$1:$Z$20000,MATCH(V106,'Semrush Data'!$A$1:$A$20000,0),MATCH("CPC*",'Semrush Data'!$A$1:$Z$1,0)),"")</f>
        <v>0</v>
      </c>
      <c r="Z106" s="21" t="s">
        <v>2048</v>
      </c>
      <c r="AA106" s="21" t="s">
        <v>1005</v>
      </c>
      <c r="AB106" s="21" t="s">
        <v>1001</v>
      </c>
      <c r="AC106" s="21" t="s">
        <v>2049</v>
      </c>
      <c r="AD106" s="25" t="n">
        <f aca="false">LEN(AC106)</f>
        <v>48</v>
      </c>
      <c r="AE106" s="21" t="s">
        <v>2050</v>
      </c>
      <c r="AF106" s="25" t="n">
        <f aca="false">LEN(AE106)</f>
        <v>159</v>
      </c>
    </row>
    <row r="107" customFormat="false" ht="15" hidden="false" customHeight="true" outlineLevel="0" collapsed="false">
      <c r="A107" s="21" t="s">
        <v>1006</v>
      </c>
      <c r="B107" s="21" t="s">
        <v>1373</v>
      </c>
      <c r="C107" s="21" t="n">
        <v>106</v>
      </c>
      <c r="D107" s="21" t="s">
        <v>846</v>
      </c>
      <c r="E107" s="21"/>
      <c r="F107" s="21" t="s">
        <v>1374</v>
      </c>
      <c r="G107" s="21" t="s">
        <v>396</v>
      </c>
      <c r="H107" s="21" t="s">
        <v>397</v>
      </c>
      <c r="I107" s="21" t="s">
        <v>1007</v>
      </c>
      <c r="J107" s="21" t="s">
        <v>2051</v>
      </c>
      <c r="K107" s="21" t="n">
        <v>9.99</v>
      </c>
      <c r="L107" s="21" t="s">
        <v>2052</v>
      </c>
      <c r="M107" s="21" t="s">
        <v>2053</v>
      </c>
      <c r="N107" s="21" t="s">
        <v>2054</v>
      </c>
      <c r="O107" s="21" t="s">
        <v>2055</v>
      </c>
      <c r="P107" s="21"/>
      <c r="Q107" s="22" t="n">
        <f aca="false">IF(L107="","",IFERROR(INDEX('Semrush Data'!$A$1:$Z$20000,MATCH(L107,'Semrush Data'!$A$1:$A$20000,0),MATCH("Volume",'Semrush Data'!$A$1:$Z$1,0)),""))</f>
        <v>0</v>
      </c>
      <c r="R107" s="22" t="str">
        <f aca="false">IF(M107="","",IFERROR(INDEX('Semrush Data'!$A$1:$Z$20000,MATCH(M107,'Semrush Data'!$A$1:$A$20000,0),MATCH("Volume",'Semrush Data'!$A$1:$Z$1,0)),""))</f>
        <v/>
      </c>
      <c r="S107" s="22" t="str">
        <f aca="false">IF(N107="","",IFERROR(INDEX('Semrush Data'!$A$1:$Z$20000,MATCH(N107,'Semrush Data'!$A$1:$A$20000,0),MATCH("Volume",'Semrush Data'!$A$1:$Z$1,0)),""))</f>
        <v/>
      </c>
      <c r="T107" s="22" t="str">
        <f aca="false">IF(O107="","",IFERROR(INDEX('Semrush Data'!$A$1:$Z$20000,MATCH(O107,'Semrush Data'!$A$1:$A$20000,0),MATCH("Volume",'Semrush Data'!$A$1:$Z$1,0)),""))</f>
        <v/>
      </c>
      <c r="U107" s="22" t="str">
        <f aca="false">IF(P107="","",IFERROR(INDEX('Semrush Data'!$A$1:$Z$20000,MATCH(P107,'Semrush Data'!$A$1:$A$20000,0),MATCH("Volume",'Semrush Data'!$A$1:$Z$1,0)),""))</f>
        <v/>
      </c>
      <c r="V107" s="23" t="str">
        <f aca="false">IF(COUNT(Q107:U107)=0,L107,IF(MAX(Q107:U107)=0,L107,INDEX(L107:P107,MATCH(MAX(Q107:U107),Q107:U107,0))))</f>
        <v>deyga natural lip balm</v>
      </c>
      <c r="W107" s="22" t="n">
        <f aca="false">IFERROR(INDEX('Semrush Data'!$A$1:$Z$20000,MATCH(V107,'Semrush Data'!$A$1:$A$20000,0),MATCH("Volume",'Semrush Data'!$A$1:$Z$1,0)),"")</f>
        <v>0</v>
      </c>
      <c r="X107" s="22" t="n">
        <f aca="false">IFERROR(INDEX('Semrush Data'!$A$1:$Z$20000,MATCH(V107,'Semrush Data'!$A$1:$A$20000,0),MATCH("Keyword Difficulty*",'Semrush Data'!$A$1:$Z$1,0)),"")</f>
        <v>18</v>
      </c>
      <c r="Y107" s="24" t="n">
        <f aca="false">IFERROR(INDEX('Semrush Data'!$A$1:$Z$20000,MATCH(V107,'Semrush Data'!$A$1:$A$20000,0),MATCH("CPC*",'Semrush Data'!$A$1:$Z$1,0)),"")</f>
        <v>0</v>
      </c>
      <c r="Z107" s="21" t="s">
        <v>2056</v>
      </c>
      <c r="AA107" s="21" t="s">
        <v>1012</v>
      </c>
      <c r="AB107" s="21" t="s">
        <v>1008</v>
      </c>
      <c r="AC107" s="21" t="s">
        <v>2057</v>
      </c>
      <c r="AD107" s="25" t="n">
        <f aca="false">LEN(AC107)</f>
        <v>52</v>
      </c>
      <c r="AE107" s="21" t="s">
        <v>2058</v>
      </c>
      <c r="AF107" s="25" t="n">
        <f aca="false">LEN(AE107)</f>
        <v>155</v>
      </c>
    </row>
    <row r="108" customFormat="false" ht="15" hidden="false" customHeight="true" outlineLevel="0" collapsed="false">
      <c r="A108" s="21" t="s">
        <v>1013</v>
      </c>
      <c r="B108" s="21" t="s">
        <v>1373</v>
      </c>
      <c r="C108" s="21" t="n">
        <v>107</v>
      </c>
      <c r="D108" s="21" t="s">
        <v>846</v>
      </c>
      <c r="E108" s="21"/>
      <c r="F108" s="21" t="s">
        <v>1392</v>
      </c>
      <c r="G108" s="21" t="s">
        <v>927</v>
      </c>
      <c r="H108" s="21" t="s">
        <v>347</v>
      </c>
      <c r="I108" s="21" t="s">
        <v>1014</v>
      </c>
      <c r="J108" s="21" t="s">
        <v>1882</v>
      </c>
      <c r="K108" s="21" t="n">
        <v>14.99</v>
      </c>
      <c r="L108" s="21" t="s">
        <v>2059</v>
      </c>
      <c r="M108" s="21" t="s">
        <v>2060</v>
      </c>
      <c r="N108" s="21" t="s">
        <v>2061</v>
      </c>
      <c r="O108" s="21" t="s">
        <v>2062</v>
      </c>
      <c r="P108" s="21"/>
      <c r="Q108" s="22" t="n">
        <f aca="false">IF(L108="","",IFERROR(INDEX('Semrush Data'!$A$1:$Z$20000,MATCH(L108,'Semrush Data'!$A$1:$A$20000,0),MATCH("Volume",'Semrush Data'!$A$1:$Z$1,0)),""))</f>
        <v>0</v>
      </c>
      <c r="R108" s="22" t="str">
        <f aca="false">IF(M108="","",IFERROR(INDEX('Semrush Data'!$A$1:$Z$20000,MATCH(M108,'Semrush Data'!$A$1:$A$20000,0),MATCH("Volume",'Semrush Data'!$A$1:$Z$1,0)),""))</f>
        <v/>
      </c>
      <c r="S108" s="22" t="str">
        <f aca="false">IF(N108="","",IFERROR(INDEX('Semrush Data'!$A$1:$Z$20000,MATCH(N108,'Semrush Data'!$A$1:$A$20000,0),MATCH("Volume",'Semrush Data'!$A$1:$Z$1,0)),""))</f>
        <v/>
      </c>
      <c r="T108" s="22" t="str">
        <f aca="false">IF(O108="","",IFERROR(INDEX('Semrush Data'!$A$1:$Z$20000,MATCH(O108,'Semrush Data'!$A$1:$A$20000,0),MATCH("Volume",'Semrush Data'!$A$1:$Z$1,0)),""))</f>
        <v/>
      </c>
      <c r="U108" s="22" t="str">
        <f aca="false">IF(P108="","",IFERROR(INDEX('Semrush Data'!$A$1:$Z$20000,MATCH(P108,'Semrush Data'!$A$1:$A$20000,0),MATCH("Volume",'Semrush Data'!$A$1:$Z$1,0)),""))</f>
        <v/>
      </c>
      <c r="V108" s="23" t="str">
        <f aca="false">IF(COUNT(Q108:U108)=0,L108,IF(MAX(Q108:U108)=0,L108,INDEX(L108:P108,MATCH(MAX(Q108:U108),Q108:U108,0))))</f>
        <v>deyga spinach &amp; cucumber bath bar</v>
      </c>
      <c r="W108" s="22" t="n">
        <f aca="false">IFERROR(INDEX('Semrush Data'!$A$1:$Z$20000,MATCH(V108,'Semrush Data'!$A$1:$A$20000,0),MATCH("Volume",'Semrush Data'!$A$1:$Z$1,0)),"")</f>
        <v>0</v>
      </c>
      <c r="X108" s="22" t="n">
        <f aca="false">IFERROR(INDEX('Semrush Data'!$A$1:$Z$20000,MATCH(V108,'Semrush Data'!$A$1:$A$20000,0),MATCH("Keyword Difficulty*",'Semrush Data'!$A$1:$Z$1,0)),"")</f>
        <v>12</v>
      </c>
      <c r="Y108" s="24" t="n">
        <f aca="false">IFERROR(INDEX('Semrush Data'!$A$1:$Z$20000,MATCH(V108,'Semrush Data'!$A$1:$A$20000,0),MATCH("CPC*",'Semrush Data'!$A$1:$Z$1,0)),"")</f>
        <v>0</v>
      </c>
      <c r="Z108" s="21" t="s">
        <v>2063</v>
      </c>
      <c r="AA108" s="21"/>
      <c r="AB108" s="21" t="s">
        <v>1015</v>
      </c>
      <c r="AC108" s="21" t="s">
        <v>2064</v>
      </c>
      <c r="AD108" s="25" t="n">
        <f aca="false">LEN(AC108)</f>
        <v>60</v>
      </c>
      <c r="AE108" s="21" t="s">
        <v>2065</v>
      </c>
      <c r="AF108" s="25" t="n">
        <f aca="false">LEN(AE108)</f>
        <v>159</v>
      </c>
    </row>
    <row r="109" customFormat="false" ht="15" hidden="false" customHeight="true" outlineLevel="0" collapsed="false">
      <c r="A109" s="21" t="s">
        <v>1019</v>
      </c>
      <c r="B109" s="21" t="s">
        <v>1373</v>
      </c>
      <c r="C109" s="21" t="n">
        <v>108</v>
      </c>
      <c r="D109" s="21" t="s">
        <v>846</v>
      </c>
      <c r="E109" s="21"/>
      <c r="F109" s="21" t="s">
        <v>1392</v>
      </c>
      <c r="G109" s="21" t="s">
        <v>927</v>
      </c>
      <c r="H109" s="21" t="s">
        <v>347</v>
      </c>
      <c r="I109" s="21" t="s">
        <v>1020</v>
      </c>
      <c r="J109" s="21" t="s">
        <v>1882</v>
      </c>
      <c r="K109" s="21" t="n">
        <v>15.99</v>
      </c>
      <c r="L109" s="21" t="s">
        <v>2066</v>
      </c>
      <c r="M109" s="21" t="s">
        <v>2067</v>
      </c>
      <c r="N109" s="21" t="s">
        <v>2068</v>
      </c>
      <c r="O109" s="21" t="s">
        <v>2069</v>
      </c>
      <c r="P109" s="21"/>
      <c r="Q109" s="22" t="n">
        <f aca="false">IF(L109="","",IFERROR(INDEX('Semrush Data'!$A$1:$Z$20000,MATCH(L109,'Semrush Data'!$A$1:$A$20000,0),MATCH("Volume",'Semrush Data'!$A$1:$Z$1,0)),""))</f>
        <v>0</v>
      </c>
      <c r="R109" s="22" t="str">
        <f aca="false">IF(M109="","",IFERROR(INDEX('Semrush Data'!$A$1:$Z$20000,MATCH(M109,'Semrush Data'!$A$1:$A$20000,0),MATCH("Volume",'Semrush Data'!$A$1:$Z$1,0)),""))</f>
        <v/>
      </c>
      <c r="S109" s="22" t="str">
        <f aca="false">IF(N109="","",IFERROR(INDEX('Semrush Data'!$A$1:$Z$20000,MATCH(N109,'Semrush Data'!$A$1:$A$20000,0),MATCH("Volume",'Semrush Data'!$A$1:$Z$1,0)),""))</f>
        <v/>
      </c>
      <c r="T109" s="22" t="str">
        <f aca="false">IF(O109="","",IFERROR(INDEX('Semrush Data'!$A$1:$Z$20000,MATCH(O109,'Semrush Data'!$A$1:$A$20000,0),MATCH("Volume",'Semrush Data'!$A$1:$Z$1,0)),""))</f>
        <v/>
      </c>
      <c r="U109" s="22" t="str">
        <f aca="false">IF(P109="","",IFERROR(INDEX('Semrush Data'!$A$1:$Z$20000,MATCH(P109,'Semrush Data'!$A$1:$A$20000,0),MATCH("Volume",'Semrush Data'!$A$1:$Z$1,0)),""))</f>
        <v/>
      </c>
      <c r="V109" s="23" t="str">
        <f aca="false">IF(COUNT(Q109:U109)=0,L109,IF(MAX(Q109:U109)=0,L109,INDEX(L109:P109,MATCH(MAX(Q109:U109),Q109:U109,0))))</f>
        <v>deyga shea saffron bath bar</v>
      </c>
      <c r="W109" s="22" t="n">
        <f aca="false">IFERROR(INDEX('Semrush Data'!$A$1:$Z$20000,MATCH(V109,'Semrush Data'!$A$1:$A$20000,0),MATCH("Volume",'Semrush Data'!$A$1:$Z$1,0)),"")</f>
        <v>0</v>
      </c>
      <c r="X109" s="22" t="n">
        <f aca="false">IFERROR(INDEX('Semrush Data'!$A$1:$Z$20000,MATCH(V109,'Semrush Data'!$A$1:$A$20000,0),MATCH("Keyword Difficulty*",'Semrush Data'!$A$1:$Z$1,0)),"")</f>
        <v>22</v>
      </c>
      <c r="Y109" s="24" t="n">
        <f aca="false">IFERROR(INDEX('Semrush Data'!$A$1:$Z$20000,MATCH(V109,'Semrush Data'!$A$1:$A$20000,0),MATCH("CPC*",'Semrush Data'!$A$1:$Z$1,0)),"")</f>
        <v>0</v>
      </c>
      <c r="Z109" s="21" t="s">
        <v>2063</v>
      </c>
      <c r="AA109" s="21"/>
      <c r="AB109" s="21" t="s">
        <v>1021</v>
      </c>
      <c r="AC109" s="21" t="s">
        <v>2070</v>
      </c>
      <c r="AD109" s="25" t="n">
        <f aca="false">LEN(AC109)</f>
        <v>54</v>
      </c>
      <c r="AE109" s="21" t="s">
        <v>2071</v>
      </c>
      <c r="AF109" s="25" t="n">
        <f aca="false">LEN(AE109)</f>
        <v>153</v>
      </c>
    </row>
    <row r="110" customFormat="false" ht="15" hidden="false" customHeight="true" outlineLevel="0" collapsed="false">
      <c r="A110" s="21" t="s">
        <v>1025</v>
      </c>
      <c r="B110" s="21" t="s">
        <v>1373</v>
      </c>
      <c r="C110" s="21" t="n">
        <v>109</v>
      </c>
      <c r="D110" s="21" t="s">
        <v>846</v>
      </c>
      <c r="E110" s="21"/>
      <c r="F110" s="21" t="s">
        <v>1392</v>
      </c>
      <c r="G110" s="21" t="s">
        <v>927</v>
      </c>
      <c r="H110" s="21" t="s">
        <v>347</v>
      </c>
      <c r="I110" s="21" t="s">
        <v>1026</v>
      </c>
      <c r="J110" s="21" t="s">
        <v>1882</v>
      </c>
      <c r="K110" s="21" t="n">
        <v>14.99</v>
      </c>
      <c r="L110" s="21" t="s">
        <v>2072</v>
      </c>
      <c r="M110" s="21" t="s">
        <v>2073</v>
      </c>
      <c r="N110" s="21" t="s">
        <v>2074</v>
      </c>
      <c r="O110" s="21" t="s">
        <v>2075</v>
      </c>
      <c r="P110" s="21"/>
      <c r="Q110" s="22" t="n">
        <f aca="false">IF(L110="","",IFERROR(INDEX('Semrush Data'!$A$1:$Z$20000,MATCH(L110,'Semrush Data'!$A$1:$A$20000,0),MATCH("Volume",'Semrush Data'!$A$1:$Z$1,0)),""))</f>
        <v>0</v>
      </c>
      <c r="R110" s="22" t="str">
        <f aca="false">IF(M110="","",IFERROR(INDEX('Semrush Data'!$A$1:$Z$20000,MATCH(M110,'Semrush Data'!$A$1:$A$20000,0),MATCH("Volume",'Semrush Data'!$A$1:$Z$1,0)),""))</f>
        <v/>
      </c>
      <c r="S110" s="22" t="str">
        <f aca="false">IF(N110="","",IFERROR(INDEX('Semrush Data'!$A$1:$Z$20000,MATCH(N110,'Semrush Data'!$A$1:$A$20000,0),MATCH("Volume",'Semrush Data'!$A$1:$Z$1,0)),""))</f>
        <v/>
      </c>
      <c r="T110" s="22" t="str">
        <f aca="false">IF(O110="","",IFERROR(INDEX('Semrush Data'!$A$1:$Z$20000,MATCH(O110,'Semrush Data'!$A$1:$A$20000,0),MATCH("Volume",'Semrush Data'!$A$1:$Z$1,0)),""))</f>
        <v/>
      </c>
      <c r="U110" s="22" t="str">
        <f aca="false">IF(P110="","",IFERROR(INDEX('Semrush Data'!$A$1:$Z$20000,MATCH(P110,'Semrush Data'!$A$1:$A$20000,0),MATCH("Volume",'Semrush Data'!$A$1:$Z$1,0)),""))</f>
        <v/>
      </c>
      <c r="V110" s="23" t="str">
        <f aca="false">IF(COUNT(Q110:U110)=0,L110,IF(MAX(Q110:U110)=0,L110,INDEX(L110:P110,MATCH(MAX(Q110:U110),Q110:U110,0))))</f>
        <v>deyga rose pink clay bath bar</v>
      </c>
      <c r="W110" s="22" t="n">
        <f aca="false">IFERROR(INDEX('Semrush Data'!$A$1:$Z$20000,MATCH(V110,'Semrush Data'!$A$1:$A$20000,0),MATCH("Volume",'Semrush Data'!$A$1:$Z$1,0)),"")</f>
        <v>0</v>
      </c>
      <c r="X110" s="22" t="n">
        <f aca="false">IFERROR(INDEX('Semrush Data'!$A$1:$Z$20000,MATCH(V110,'Semrush Data'!$A$1:$A$20000,0),MATCH("Keyword Difficulty*",'Semrush Data'!$A$1:$Z$1,0)),"")</f>
        <v>12</v>
      </c>
      <c r="Y110" s="24" t="n">
        <f aca="false">IFERROR(INDEX('Semrush Data'!$A$1:$Z$20000,MATCH(V110,'Semrush Data'!$A$1:$A$20000,0),MATCH("CPC*",'Semrush Data'!$A$1:$Z$1,0)),"")</f>
        <v>0</v>
      </c>
      <c r="Z110" s="21" t="s">
        <v>2063</v>
      </c>
      <c r="AA110" s="21"/>
      <c r="AB110" s="21" t="s">
        <v>1027</v>
      </c>
      <c r="AC110" s="21" t="s">
        <v>2076</v>
      </c>
      <c r="AD110" s="25" t="n">
        <f aca="false">LEN(AC110)</f>
        <v>56</v>
      </c>
      <c r="AE110" s="21" t="s">
        <v>2077</v>
      </c>
      <c r="AF110" s="25" t="n">
        <f aca="false">LEN(AE110)</f>
        <v>155</v>
      </c>
    </row>
    <row r="111" customFormat="false" ht="15" hidden="false" customHeight="true" outlineLevel="0" collapsed="false">
      <c r="A111" s="21" t="s">
        <v>1031</v>
      </c>
      <c r="B111" s="21" t="s">
        <v>1373</v>
      </c>
      <c r="C111" s="21" t="n">
        <v>110</v>
      </c>
      <c r="D111" s="21" t="s">
        <v>846</v>
      </c>
      <c r="E111" s="21"/>
      <c r="F111" s="21" t="s">
        <v>1392</v>
      </c>
      <c r="G111" s="21" t="s">
        <v>927</v>
      </c>
      <c r="H111" s="21" t="s">
        <v>347</v>
      </c>
      <c r="I111" s="21" t="s">
        <v>1032</v>
      </c>
      <c r="J111" s="21" t="s">
        <v>1882</v>
      </c>
      <c r="K111" s="21" t="n">
        <v>14.99</v>
      </c>
      <c r="L111" s="21" t="s">
        <v>2078</v>
      </c>
      <c r="M111" s="21" t="s">
        <v>2079</v>
      </c>
      <c r="N111" s="21" t="s">
        <v>2080</v>
      </c>
      <c r="O111" s="21" t="s">
        <v>2081</v>
      </c>
      <c r="P111" s="21"/>
      <c r="Q111" s="22" t="n">
        <f aca="false">IF(L111="","",IFERROR(INDEX('Semrush Data'!$A$1:$Z$20000,MATCH(L111,'Semrush Data'!$A$1:$A$20000,0),MATCH("Volume",'Semrush Data'!$A$1:$Z$1,0)),""))</f>
        <v>0</v>
      </c>
      <c r="R111" s="22" t="str">
        <f aca="false">IF(M111="","",IFERROR(INDEX('Semrush Data'!$A$1:$Z$20000,MATCH(M111,'Semrush Data'!$A$1:$A$20000,0),MATCH("Volume",'Semrush Data'!$A$1:$Z$1,0)),""))</f>
        <v/>
      </c>
      <c r="S111" s="22" t="str">
        <f aca="false">IF(N111="","",IFERROR(INDEX('Semrush Data'!$A$1:$Z$20000,MATCH(N111,'Semrush Data'!$A$1:$A$20000,0),MATCH("Volume",'Semrush Data'!$A$1:$Z$1,0)),""))</f>
        <v/>
      </c>
      <c r="T111" s="22" t="str">
        <f aca="false">IF(O111="","",IFERROR(INDEX('Semrush Data'!$A$1:$Z$20000,MATCH(O111,'Semrush Data'!$A$1:$A$20000,0),MATCH("Volume",'Semrush Data'!$A$1:$Z$1,0)),""))</f>
        <v/>
      </c>
      <c r="U111" s="22" t="str">
        <f aca="false">IF(P111="","",IFERROR(INDEX('Semrush Data'!$A$1:$Z$20000,MATCH(P111,'Semrush Data'!$A$1:$A$20000,0),MATCH("Volume",'Semrush Data'!$A$1:$Z$1,0)),""))</f>
        <v/>
      </c>
      <c r="V111" s="23" t="str">
        <f aca="false">IF(COUNT(Q111:U111)=0,L111,IF(MAX(Q111:U111)=0,L111,INDEX(L111:P111,MATCH(MAX(Q111:U111),Q111:U111,0))))</f>
        <v>deyga neem &amp; turmeric bath bar</v>
      </c>
      <c r="W111" s="22" t="n">
        <f aca="false">IFERROR(INDEX('Semrush Data'!$A$1:$Z$20000,MATCH(V111,'Semrush Data'!$A$1:$A$20000,0),MATCH("Volume",'Semrush Data'!$A$1:$Z$1,0)),"")</f>
        <v>0</v>
      </c>
      <c r="X111" s="22" t="n">
        <f aca="false">IFERROR(INDEX('Semrush Data'!$A$1:$Z$20000,MATCH(V111,'Semrush Data'!$A$1:$A$20000,0),MATCH("Keyword Difficulty*",'Semrush Data'!$A$1:$Z$1,0)),"")</f>
        <v>13</v>
      </c>
      <c r="Y111" s="24" t="n">
        <f aca="false">IFERROR(INDEX('Semrush Data'!$A$1:$Z$20000,MATCH(V111,'Semrush Data'!$A$1:$A$20000,0),MATCH("CPC*",'Semrush Data'!$A$1:$Z$1,0)),"")</f>
        <v>0</v>
      </c>
      <c r="Z111" s="21" t="s">
        <v>2063</v>
      </c>
      <c r="AA111" s="21"/>
      <c r="AB111" s="21" t="s">
        <v>1033</v>
      </c>
      <c r="AC111" s="21" t="s">
        <v>2082</v>
      </c>
      <c r="AD111" s="25" t="n">
        <f aca="false">LEN(AC111)</f>
        <v>57</v>
      </c>
      <c r="AE111" s="21" t="s">
        <v>2083</v>
      </c>
      <c r="AF111" s="25" t="n">
        <f aca="false">LEN(AE111)</f>
        <v>156</v>
      </c>
    </row>
    <row r="112" customFormat="false" ht="15" hidden="false" customHeight="true" outlineLevel="0" collapsed="false">
      <c r="A112" s="21" t="s">
        <v>1037</v>
      </c>
      <c r="B112" s="21" t="s">
        <v>1373</v>
      </c>
      <c r="C112" s="21" t="n">
        <v>111</v>
      </c>
      <c r="D112" s="21" t="s">
        <v>846</v>
      </c>
      <c r="E112" s="21"/>
      <c r="F112" s="21" t="s">
        <v>1374</v>
      </c>
      <c r="G112" s="21" t="s">
        <v>396</v>
      </c>
      <c r="H112" s="21" t="s">
        <v>586</v>
      </c>
      <c r="I112" s="21" t="s">
        <v>1038</v>
      </c>
      <c r="J112" s="21" t="s">
        <v>2084</v>
      </c>
      <c r="K112" s="21" t="n">
        <v>12.99</v>
      </c>
      <c r="L112" s="21" t="s">
        <v>2085</v>
      </c>
      <c r="M112" s="21" t="s">
        <v>2086</v>
      </c>
      <c r="N112" s="21" t="s">
        <v>2087</v>
      </c>
      <c r="O112" s="21" t="s">
        <v>2088</v>
      </c>
      <c r="P112" s="21"/>
      <c r="Q112" s="22" t="n">
        <f aca="false">IF(L112="","",IFERROR(INDEX('Semrush Data'!$A$1:$Z$20000,MATCH(L112,'Semrush Data'!$A$1:$A$20000,0),MATCH("Volume",'Semrush Data'!$A$1:$Z$1,0)),""))</f>
        <v>0</v>
      </c>
      <c r="R112" s="22" t="str">
        <f aca="false">IF(M112="","",IFERROR(INDEX('Semrush Data'!$A$1:$Z$20000,MATCH(M112,'Semrush Data'!$A$1:$A$20000,0),MATCH("Volume",'Semrush Data'!$A$1:$Z$1,0)),""))</f>
        <v/>
      </c>
      <c r="S112" s="22" t="str">
        <f aca="false">IF(N112="","",IFERROR(INDEX('Semrush Data'!$A$1:$Z$20000,MATCH(N112,'Semrush Data'!$A$1:$A$20000,0),MATCH("Volume",'Semrush Data'!$A$1:$Z$1,0)),""))</f>
        <v/>
      </c>
      <c r="T112" s="22" t="str">
        <f aca="false">IF(O112="","",IFERROR(INDEX('Semrush Data'!$A$1:$Z$20000,MATCH(O112,'Semrush Data'!$A$1:$A$20000,0),MATCH("Volume",'Semrush Data'!$A$1:$Z$1,0)),""))</f>
        <v/>
      </c>
      <c r="U112" s="22" t="str">
        <f aca="false">IF(P112="","",IFERROR(INDEX('Semrush Data'!$A$1:$Z$20000,MATCH(P112,'Semrush Data'!$A$1:$A$20000,0),MATCH("Volume",'Semrush Data'!$A$1:$Z$1,0)),""))</f>
        <v/>
      </c>
      <c r="V112" s="23" t="str">
        <f aca="false">IF(COUNT(Q112:U112)=0,L112,IF(MAX(Q112:U112)=0,L112,INDEX(L112:P112,MATCH(MAX(Q112:U112),Q112:U112,0))))</f>
        <v>deyga mint lip scrub</v>
      </c>
      <c r="W112" s="22" t="n">
        <f aca="false">IFERROR(INDEX('Semrush Data'!$A$1:$Z$20000,MATCH(V112,'Semrush Data'!$A$1:$A$20000,0),MATCH("Volume",'Semrush Data'!$A$1:$Z$1,0)),"")</f>
        <v>0</v>
      </c>
      <c r="X112" s="22" t="n">
        <f aca="false">IFERROR(INDEX('Semrush Data'!$A$1:$Z$20000,MATCH(V112,'Semrush Data'!$A$1:$A$20000,0),MATCH("Keyword Difficulty*",'Semrush Data'!$A$1:$Z$1,0)),"")</f>
        <v>18</v>
      </c>
      <c r="Y112" s="24" t="n">
        <f aca="false">IFERROR(INDEX('Semrush Data'!$A$1:$Z$20000,MATCH(V112,'Semrush Data'!$A$1:$A$20000,0),MATCH("CPC*",'Semrush Data'!$A$1:$Z$1,0)),"")</f>
        <v>0</v>
      </c>
      <c r="Z112" s="21" t="s">
        <v>2089</v>
      </c>
      <c r="AA112" s="21"/>
      <c r="AB112" s="21" t="s">
        <v>1039</v>
      </c>
      <c r="AC112" s="21" t="s">
        <v>2090</v>
      </c>
      <c r="AD112" s="25" t="n">
        <f aca="false">LEN(AC112)</f>
        <v>51</v>
      </c>
      <c r="AE112" s="21" t="s">
        <v>2091</v>
      </c>
      <c r="AF112" s="25" t="n">
        <f aca="false">LEN(AE112)</f>
        <v>153</v>
      </c>
    </row>
    <row r="113" customFormat="false" ht="15" hidden="false" customHeight="true" outlineLevel="0" collapsed="false">
      <c r="A113" s="21" t="s">
        <v>1043</v>
      </c>
      <c r="B113" s="21" t="s">
        <v>1373</v>
      </c>
      <c r="C113" s="21" t="n">
        <v>112</v>
      </c>
      <c r="D113" s="21" t="s">
        <v>846</v>
      </c>
      <c r="E113" s="21"/>
      <c r="F113" s="21" t="s">
        <v>1383</v>
      </c>
      <c r="G113" s="21" t="s">
        <v>1045</v>
      </c>
      <c r="H113" s="21" t="s">
        <v>561</v>
      </c>
      <c r="I113" s="21" t="s">
        <v>1044</v>
      </c>
      <c r="J113" s="21" t="s">
        <v>1882</v>
      </c>
      <c r="K113" s="21" t="n">
        <v>13.99</v>
      </c>
      <c r="L113" s="21" t="s">
        <v>2092</v>
      </c>
      <c r="M113" s="21" t="s">
        <v>2093</v>
      </c>
      <c r="N113" s="21" t="s">
        <v>2094</v>
      </c>
      <c r="O113" s="21" t="s">
        <v>2095</v>
      </c>
      <c r="P113" s="21"/>
      <c r="Q113" s="22" t="n">
        <f aca="false">IF(L113="","",IFERROR(INDEX('Semrush Data'!$A$1:$Z$20000,MATCH(L113,'Semrush Data'!$A$1:$A$20000,0),MATCH("Volume",'Semrush Data'!$A$1:$Z$1,0)),""))</f>
        <v>20</v>
      </c>
      <c r="R113" s="22" t="str">
        <f aca="false">IF(M113="","",IFERROR(INDEX('Semrush Data'!$A$1:$Z$20000,MATCH(M113,'Semrush Data'!$A$1:$A$20000,0),MATCH("Volume",'Semrush Data'!$A$1:$Z$1,0)),""))</f>
        <v/>
      </c>
      <c r="S113" s="22" t="str">
        <f aca="false">IF(N113="","",IFERROR(INDEX('Semrush Data'!$A$1:$Z$20000,MATCH(N113,'Semrush Data'!$A$1:$A$20000,0),MATCH("Volume",'Semrush Data'!$A$1:$Z$1,0)),""))</f>
        <v/>
      </c>
      <c r="T113" s="22" t="str">
        <f aca="false">IF(O113="","",IFERROR(INDEX('Semrush Data'!$A$1:$Z$20000,MATCH(O113,'Semrush Data'!$A$1:$A$20000,0),MATCH("Volume",'Semrush Data'!$A$1:$Z$1,0)),""))</f>
        <v/>
      </c>
      <c r="U113" s="22" t="str">
        <f aca="false">IF(P113="","",IFERROR(INDEX('Semrush Data'!$A$1:$Z$20000,MATCH(P113,'Semrush Data'!$A$1:$A$20000,0),MATCH("Volume",'Semrush Data'!$A$1:$Z$1,0)),""))</f>
        <v/>
      </c>
      <c r="V113" s="23" t="str">
        <f aca="false">IF(COUNT(Q113:U113)=0,L113,IF(MAX(Q113:U113)=0,L113,INDEX(L113:P113,MATCH(MAX(Q113:U113),Q113:U113,0))))</f>
        <v>deyga hair removal powder</v>
      </c>
      <c r="W113" s="22" t="n">
        <f aca="false">IFERROR(INDEX('Semrush Data'!$A$1:$Z$20000,MATCH(V113,'Semrush Data'!$A$1:$A$20000,0),MATCH("Volume",'Semrush Data'!$A$1:$Z$1,0)),"")</f>
        <v>20</v>
      </c>
      <c r="X113" s="22" t="n">
        <f aca="false">IFERROR(INDEX('Semrush Data'!$A$1:$Z$20000,MATCH(V113,'Semrush Data'!$A$1:$A$20000,0),MATCH("Keyword Difficulty*",'Semrush Data'!$A$1:$Z$1,0)),"")</f>
        <v>16</v>
      </c>
      <c r="Y113" s="24" t="n">
        <f aca="false">IFERROR(INDEX('Semrush Data'!$A$1:$Z$20000,MATCH(V113,'Semrush Data'!$A$1:$A$20000,0),MATCH("CPC*",'Semrush Data'!$A$1:$Z$1,0)),"")</f>
        <v>0</v>
      </c>
      <c r="Z113" s="21" t="s">
        <v>2096</v>
      </c>
      <c r="AA113" s="21" t="s">
        <v>1050</v>
      </c>
      <c r="AB113" s="21" t="s">
        <v>1046</v>
      </c>
      <c r="AC113" s="21" t="s">
        <v>2097</v>
      </c>
      <c r="AD113" s="25" t="n">
        <f aca="false">LEN(AC113)</f>
        <v>52</v>
      </c>
      <c r="AE113" s="21" t="s">
        <v>2098</v>
      </c>
      <c r="AF113" s="25" t="n">
        <f aca="false">LEN(AE113)</f>
        <v>156</v>
      </c>
    </row>
    <row r="114" customFormat="false" ht="15" hidden="false" customHeight="true" outlineLevel="0" collapsed="false">
      <c r="A114" s="21" t="s">
        <v>1051</v>
      </c>
      <c r="B114" s="21" t="s">
        <v>1373</v>
      </c>
      <c r="C114" s="21" t="n">
        <v>113</v>
      </c>
      <c r="D114" s="21" t="s">
        <v>846</v>
      </c>
      <c r="E114" s="21"/>
      <c r="F114" s="21" t="s">
        <v>1374</v>
      </c>
      <c r="G114" s="21" t="s">
        <v>365</v>
      </c>
      <c r="H114" s="21" t="s">
        <v>375</v>
      </c>
      <c r="I114" s="21" t="s">
        <v>1052</v>
      </c>
      <c r="J114" s="21" t="s">
        <v>1935</v>
      </c>
      <c r="K114" s="21" t="n">
        <v>12.99</v>
      </c>
      <c r="L114" s="21" t="s">
        <v>2099</v>
      </c>
      <c r="M114" s="21" t="s">
        <v>2100</v>
      </c>
      <c r="N114" s="21" t="s">
        <v>2101</v>
      </c>
      <c r="O114" s="21" t="s">
        <v>2102</v>
      </c>
      <c r="P114" s="21"/>
      <c r="Q114" s="22" t="n">
        <f aca="false">IF(L114="","",IFERROR(INDEX('Semrush Data'!$A$1:$Z$20000,MATCH(L114,'Semrush Data'!$A$1:$A$20000,0),MATCH("Volume",'Semrush Data'!$A$1:$Z$1,0)),""))</f>
        <v>10</v>
      </c>
      <c r="R114" s="22" t="str">
        <f aca="false">IF(M114="","",IFERROR(INDEX('Semrush Data'!$A$1:$Z$20000,MATCH(M114,'Semrush Data'!$A$1:$A$20000,0),MATCH("Volume",'Semrush Data'!$A$1:$Z$1,0)),""))</f>
        <v/>
      </c>
      <c r="S114" s="22" t="str">
        <f aca="false">IF(N114="","",IFERROR(INDEX('Semrush Data'!$A$1:$Z$20000,MATCH(N114,'Semrush Data'!$A$1:$A$20000,0),MATCH("Volume",'Semrush Data'!$A$1:$Z$1,0)),""))</f>
        <v/>
      </c>
      <c r="T114" s="22" t="str">
        <f aca="false">IF(O114="","",IFERROR(INDEX('Semrush Data'!$A$1:$Z$20000,MATCH(O114,'Semrush Data'!$A$1:$A$20000,0),MATCH("Volume",'Semrush Data'!$A$1:$Z$1,0)),""))</f>
        <v/>
      </c>
      <c r="U114" s="22" t="str">
        <f aca="false">IF(P114="","",IFERROR(INDEX('Semrush Data'!$A$1:$Z$20000,MATCH(P114,'Semrush Data'!$A$1:$A$20000,0),MATCH("Volume",'Semrush Data'!$A$1:$Z$1,0)),""))</f>
        <v/>
      </c>
      <c r="V114" s="23" t="str">
        <f aca="false">IF(COUNT(Q114:U114)=0,L114,IF(MAX(Q114:U114)=0,L114,INDEX(L114:P114,MATCH(MAX(Q114:U114),Q114:U114,0))))</f>
        <v>deyga oat milk face wash</v>
      </c>
      <c r="W114" s="22" t="n">
        <f aca="false">IFERROR(INDEX('Semrush Data'!$A$1:$Z$20000,MATCH(V114,'Semrush Data'!$A$1:$A$20000,0),MATCH("Volume",'Semrush Data'!$A$1:$Z$1,0)),"")</f>
        <v>10</v>
      </c>
      <c r="X114" s="22" t="n">
        <f aca="false">IFERROR(INDEX('Semrush Data'!$A$1:$Z$20000,MATCH(V114,'Semrush Data'!$A$1:$A$20000,0),MATCH("Keyword Difficulty*",'Semrush Data'!$A$1:$Z$1,0)),"")</f>
        <v>22</v>
      </c>
      <c r="Y114" s="24" t="n">
        <f aca="false">IFERROR(INDEX('Semrush Data'!$A$1:$Z$20000,MATCH(V114,'Semrush Data'!$A$1:$A$20000,0),MATCH("CPC*",'Semrush Data'!$A$1:$Z$1,0)),"")</f>
        <v>0</v>
      </c>
      <c r="Z114" s="21" t="s">
        <v>2103</v>
      </c>
      <c r="AA114" s="21"/>
      <c r="AB114" s="21" t="s">
        <v>1053</v>
      </c>
      <c r="AC114" s="21" t="s">
        <v>2104</v>
      </c>
      <c r="AD114" s="25" t="n">
        <f aca="false">LEN(AC114)</f>
        <v>51</v>
      </c>
      <c r="AE114" s="21" t="s">
        <v>2105</v>
      </c>
      <c r="AF114" s="25" t="n">
        <f aca="false">LEN(AE114)</f>
        <v>158</v>
      </c>
    </row>
    <row r="115" customFormat="false" ht="15" hidden="false" customHeight="true" outlineLevel="0" collapsed="false">
      <c r="A115" s="21" t="s">
        <v>1057</v>
      </c>
      <c r="B115" s="21" t="s">
        <v>1373</v>
      </c>
      <c r="C115" s="21" t="n">
        <v>114</v>
      </c>
      <c r="D115" s="21" t="s">
        <v>846</v>
      </c>
      <c r="E115" s="21"/>
      <c r="F115" s="21" t="s">
        <v>1392</v>
      </c>
      <c r="G115" s="21" t="s">
        <v>445</v>
      </c>
      <c r="H115" s="21" t="s">
        <v>375</v>
      </c>
      <c r="I115" s="21" t="s">
        <v>1058</v>
      </c>
      <c r="J115" s="21" t="s">
        <v>1935</v>
      </c>
      <c r="K115" s="21" t="n">
        <v>14.99</v>
      </c>
      <c r="L115" s="21" t="s">
        <v>2106</v>
      </c>
      <c r="M115" s="21" t="s">
        <v>2107</v>
      </c>
      <c r="N115" s="21" t="s">
        <v>2108</v>
      </c>
      <c r="O115" s="21" t="s">
        <v>2109</v>
      </c>
      <c r="P115" s="21"/>
      <c r="Q115" s="22" t="n">
        <f aca="false">IF(L115="","",IFERROR(INDEX('Semrush Data'!$A$1:$Z$20000,MATCH(L115,'Semrush Data'!$A$1:$A$20000,0),MATCH("Volume",'Semrush Data'!$A$1:$Z$1,0)),""))</f>
        <v>0</v>
      </c>
      <c r="R115" s="22" t="str">
        <f aca="false">IF(M115="","",IFERROR(INDEX('Semrush Data'!$A$1:$Z$20000,MATCH(M115,'Semrush Data'!$A$1:$A$20000,0),MATCH("Volume",'Semrush Data'!$A$1:$Z$1,0)),""))</f>
        <v/>
      </c>
      <c r="S115" s="22" t="str">
        <f aca="false">IF(N115="","",IFERROR(INDEX('Semrush Data'!$A$1:$Z$20000,MATCH(N115,'Semrush Data'!$A$1:$A$20000,0),MATCH("Volume",'Semrush Data'!$A$1:$Z$1,0)),""))</f>
        <v/>
      </c>
      <c r="T115" s="22" t="str">
        <f aca="false">IF(O115="","",IFERROR(INDEX('Semrush Data'!$A$1:$Z$20000,MATCH(O115,'Semrush Data'!$A$1:$A$20000,0),MATCH("Volume",'Semrush Data'!$A$1:$Z$1,0)),""))</f>
        <v/>
      </c>
      <c r="U115" s="22" t="str">
        <f aca="false">IF(P115="","",IFERROR(INDEX('Semrush Data'!$A$1:$Z$20000,MATCH(P115,'Semrush Data'!$A$1:$A$20000,0),MATCH("Volume",'Semrush Data'!$A$1:$Z$1,0)),""))</f>
        <v/>
      </c>
      <c r="V115" s="23" t="str">
        <f aca="false">IF(COUNT(Q115:U115)=0,L115,IF(MAX(Q115:U115)=0,L115,INDEX(L115:P115,MATCH(MAX(Q115:U115),Q115:U115,0))))</f>
        <v>deyga almond milk body lotion</v>
      </c>
      <c r="W115" s="22" t="n">
        <f aca="false">IFERROR(INDEX('Semrush Data'!$A$1:$Z$20000,MATCH(V115,'Semrush Data'!$A$1:$A$20000,0),MATCH("Volume",'Semrush Data'!$A$1:$Z$1,0)),"")</f>
        <v>0</v>
      </c>
      <c r="X115" s="22" t="n">
        <f aca="false">IFERROR(INDEX('Semrush Data'!$A$1:$Z$20000,MATCH(V115,'Semrush Data'!$A$1:$A$20000,0),MATCH("Keyword Difficulty*",'Semrush Data'!$A$1:$Z$1,0)),"")</f>
        <v>15</v>
      </c>
      <c r="Y115" s="24" t="n">
        <f aca="false">IFERROR(INDEX('Semrush Data'!$A$1:$Z$20000,MATCH(V115,'Semrush Data'!$A$1:$A$20000,0),MATCH("CPC*",'Semrush Data'!$A$1:$Z$1,0)),"")</f>
        <v>0</v>
      </c>
      <c r="Z115" s="21" t="s">
        <v>2110</v>
      </c>
      <c r="AA115" s="21"/>
      <c r="AB115" s="21" t="s">
        <v>1059</v>
      </c>
      <c r="AC115" s="21" t="s">
        <v>2111</v>
      </c>
      <c r="AD115" s="25" t="n">
        <f aca="false">LEN(AC115)</f>
        <v>56</v>
      </c>
      <c r="AE115" s="21" t="s">
        <v>2112</v>
      </c>
      <c r="AF115" s="25" t="n">
        <f aca="false">LEN(AE115)</f>
        <v>157</v>
      </c>
    </row>
    <row r="116" customFormat="false" ht="15" hidden="false" customHeight="true" outlineLevel="0" collapsed="false">
      <c r="A116" s="21" t="s">
        <v>1063</v>
      </c>
      <c r="B116" s="21" t="s">
        <v>1373</v>
      </c>
      <c r="C116" s="21" t="n">
        <v>115</v>
      </c>
      <c r="D116" s="21" t="s">
        <v>846</v>
      </c>
      <c r="E116" s="21"/>
      <c r="F116" s="21" t="s">
        <v>1374</v>
      </c>
      <c r="G116" s="21" t="s">
        <v>315</v>
      </c>
      <c r="H116" s="21" t="s">
        <v>316</v>
      </c>
      <c r="I116" s="21" t="s">
        <v>1064</v>
      </c>
      <c r="J116" s="21" t="s">
        <v>1935</v>
      </c>
      <c r="K116" s="21" t="n">
        <v>11.99</v>
      </c>
      <c r="L116" s="21" t="s">
        <v>2113</v>
      </c>
      <c r="M116" s="21" t="s">
        <v>2114</v>
      </c>
      <c r="N116" s="21" t="s">
        <v>2115</v>
      </c>
      <c r="O116" s="21" t="s">
        <v>2116</v>
      </c>
      <c r="P116" s="21"/>
      <c r="Q116" s="22" t="n">
        <f aca="false">IF(L116="","",IFERROR(INDEX('Semrush Data'!$A$1:$Z$20000,MATCH(L116,'Semrush Data'!$A$1:$A$20000,0),MATCH("Volume",'Semrush Data'!$A$1:$Z$1,0)),""))</f>
        <v>0</v>
      </c>
      <c r="R116" s="22" t="str">
        <f aca="false">IF(M116="","",IFERROR(INDEX('Semrush Data'!$A$1:$Z$20000,MATCH(M116,'Semrush Data'!$A$1:$A$20000,0),MATCH("Volume",'Semrush Data'!$A$1:$Z$1,0)),""))</f>
        <v/>
      </c>
      <c r="S116" s="22" t="str">
        <f aca="false">IF(N116="","",IFERROR(INDEX('Semrush Data'!$A$1:$Z$20000,MATCH(N116,'Semrush Data'!$A$1:$A$20000,0),MATCH("Volume",'Semrush Data'!$A$1:$Z$1,0)),""))</f>
        <v/>
      </c>
      <c r="T116" s="22" t="str">
        <f aca="false">IF(O116="","",IFERROR(INDEX('Semrush Data'!$A$1:$Z$20000,MATCH(O116,'Semrush Data'!$A$1:$A$20000,0),MATCH("Volume",'Semrush Data'!$A$1:$Z$1,0)),""))</f>
        <v/>
      </c>
      <c r="U116" s="22" t="str">
        <f aca="false">IF(P116="","",IFERROR(INDEX('Semrush Data'!$A$1:$Z$20000,MATCH(P116,'Semrush Data'!$A$1:$A$20000,0),MATCH("Volume",'Semrush Data'!$A$1:$Z$1,0)),""))</f>
        <v/>
      </c>
      <c r="V116" s="23" t="str">
        <f aca="false">IF(COUNT(Q116:U116)=0,L116,IF(MAX(Q116:U116)=0,L116,INDEX(L116:P116,MATCH(MAX(Q116:U116),Q116:U116,0))))</f>
        <v>deyga pure rose water toner</v>
      </c>
      <c r="W116" s="22" t="n">
        <f aca="false">IFERROR(INDEX('Semrush Data'!$A$1:$Z$20000,MATCH(V116,'Semrush Data'!$A$1:$A$20000,0),MATCH("Volume",'Semrush Data'!$A$1:$Z$1,0)),"")</f>
        <v>0</v>
      </c>
      <c r="X116" s="22" t="n">
        <f aca="false">IFERROR(INDEX('Semrush Data'!$A$1:$Z$20000,MATCH(V116,'Semrush Data'!$A$1:$A$20000,0),MATCH("Keyword Difficulty*",'Semrush Data'!$A$1:$Z$1,0)),"")</f>
        <v>13</v>
      </c>
      <c r="Y116" s="24" t="n">
        <f aca="false">IFERROR(INDEX('Semrush Data'!$A$1:$Z$20000,MATCH(V116,'Semrush Data'!$A$1:$A$20000,0),MATCH("CPC*",'Semrush Data'!$A$1:$Z$1,0)),"")</f>
        <v>0</v>
      </c>
      <c r="Z116" s="21" t="s">
        <v>2016</v>
      </c>
      <c r="AA116" s="21"/>
      <c r="AB116" s="21" t="s">
        <v>1065</v>
      </c>
      <c r="AC116" s="21" t="s">
        <v>2117</v>
      </c>
      <c r="AD116" s="25" t="n">
        <f aca="false">LEN(AC116)</f>
        <v>54</v>
      </c>
      <c r="AE116" s="21" t="s">
        <v>2118</v>
      </c>
      <c r="AF116" s="25" t="n">
        <f aca="false">LEN(AE116)</f>
        <v>160</v>
      </c>
    </row>
    <row r="117" customFormat="false" ht="15" hidden="false" customHeight="true" outlineLevel="0" collapsed="false">
      <c r="A117" s="21" t="s">
        <v>1069</v>
      </c>
      <c r="B117" s="21" t="s">
        <v>1373</v>
      </c>
      <c r="C117" s="21" t="n">
        <v>116</v>
      </c>
      <c r="D117" s="21" t="s">
        <v>846</v>
      </c>
      <c r="E117" s="21"/>
      <c r="F117" s="21" t="s">
        <v>1374</v>
      </c>
      <c r="G117" s="21" t="s">
        <v>887</v>
      </c>
      <c r="H117" s="21" t="s">
        <v>526</v>
      </c>
      <c r="I117" s="21" t="s">
        <v>1070</v>
      </c>
      <c r="J117" s="21" t="s">
        <v>2119</v>
      </c>
      <c r="K117" s="21" t="n">
        <v>15.99</v>
      </c>
      <c r="L117" s="21" t="s">
        <v>2120</v>
      </c>
      <c r="M117" s="21" t="s">
        <v>2121</v>
      </c>
      <c r="N117" s="21" t="s">
        <v>2122</v>
      </c>
      <c r="O117" s="21" t="s">
        <v>2123</v>
      </c>
      <c r="P117" s="21"/>
      <c r="Q117" s="22" t="n">
        <f aca="false">IF(L117="","",IFERROR(INDEX('Semrush Data'!$A$1:$Z$20000,MATCH(L117,'Semrush Data'!$A$1:$A$20000,0),MATCH("Volume",'Semrush Data'!$A$1:$Z$1,0)),""))</f>
        <v>0</v>
      </c>
      <c r="R117" s="22" t="str">
        <f aca="false">IF(M117="","",IFERROR(INDEX('Semrush Data'!$A$1:$Z$20000,MATCH(M117,'Semrush Data'!$A$1:$A$20000,0),MATCH("Volume",'Semrush Data'!$A$1:$Z$1,0)),""))</f>
        <v/>
      </c>
      <c r="S117" s="22" t="str">
        <f aca="false">IF(N117="","",IFERROR(INDEX('Semrush Data'!$A$1:$Z$20000,MATCH(N117,'Semrush Data'!$A$1:$A$20000,0),MATCH("Volume",'Semrush Data'!$A$1:$Z$1,0)),""))</f>
        <v/>
      </c>
      <c r="T117" s="22" t="str">
        <f aca="false">IF(O117="","",IFERROR(INDEX('Semrush Data'!$A$1:$Z$20000,MATCH(O117,'Semrush Data'!$A$1:$A$20000,0),MATCH("Volume",'Semrush Data'!$A$1:$Z$1,0)),""))</f>
        <v/>
      </c>
      <c r="U117" s="22" t="str">
        <f aca="false">IF(P117="","",IFERROR(INDEX('Semrush Data'!$A$1:$Z$20000,MATCH(P117,'Semrush Data'!$A$1:$A$20000,0),MATCH("Volume",'Semrush Data'!$A$1:$Z$1,0)),""))</f>
        <v/>
      </c>
      <c r="V117" s="23" t="str">
        <f aca="false">IF(COUNT(Q117:U117)=0,L117,IF(MAX(Q117:U117)=0,L117,INDEX(L117:P117,MATCH(MAX(Q117:U117),Q117:U117,0))))</f>
        <v>deyga rose &amp; mulethi skin brightening pack</v>
      </c>
      <c r="W117" s="22" t="n">
        <f aca="false">IFERROR(INDEX('Semrush Data'!$A$1:$Z$20000,MATCH(V117,'Semrush Data'!$A$1:$A$20000,0),MATCH("Volume",'Semrush Data'!$A$1:$Z$1,0)),"")</f>
        <v>0</v>
      </c>
      <c r="X117" s="22" t="n">
        <f aca="false">IFERROR(INDEX('Semrush Data'!$A$1:$Z$20000,MATCH(V117,'Semrush Data'!$A$1:$A$20000,0),MATCH("Keyword Difficulty*",'Semrush Data'!$A$1:$Z$1,0)),"")</f>
        <v>15</v>
      </c>
      <c r="Y117" s="24" t="n">
        <f aca="false">IFERROR(INDEX('Semrush Data'!$A$1:$Z$20000,MATCH(V117,'Semrush Data'!$A$1:$A$20000,0),MATCH("CPC*",'Semrush Data'!$A$1:$Z$1,0)),"")</f>
        <v>0</v>
      </c>
      <c r="Z117" s="21" t="s">
        <v>2124</v>
      </c>
      <c r="AA117" s="21"/>
      <c r="AB117" s="21" t="s">
        <v>1071</v>
      </c>
      <c r="AC117" s="21" t="s">
        <v>1072</v>
      </c>
      <c r="AD117" s="25" t="n">
        <f aca="false">LEN(AC117)</f>
        <v>56</v>
      </c>
      <c r="AE117" s="21" t="s">
        <v>2125</v>
      </c>
      <c r="AF117" s="25" t="n">
        <f aca="false">LEN(AE117)</f>
        <v>157</v>
      </c>
    </row>
    <row r="118" customFormat="false" ht="15" hidden="false" customHeight="true" outlineLevel="0" collapsed="false">
      <c r="A118" s="21" t="s">
        <v>1075</v>
      </c>
      <c r="B118" s="21" t="s">
        <v>1373</v>
      </c>
      <c r="C118" s="21" t="n">
        <v>117</v>
      </c>
      <c r="D118" s="21" t="s">
        <v>846</v>
      </c>
      <c r="E118" s="21"/>
      <c r="F118" s="21" t="s">
        <v>1374</v>
      </c>
      <c r="G118" s="21" t="s">
        <v>396</v>
      </c>
      <c r="H118" s="21" t="s">
        <v>397</v>
      </c>
      <c r="I118" s="21" t="s">
        <v>1076</v>
      </c>
      <c r="J118" s="21" t="s">
        <v>2126</v>
      </c>
      <c r="K118" s="21" t="n">
        <v>26.99</v>
      </c>
      <c r="L118" s="21" t="s">
        <v>2127</v>
      </c>
      <c r="M118" s="21" t="s">
        <v>2128</v>
      </c>
      <c r="N118" s="21" t="s">
        <v>2129</v>
      </c>
      <c r="O118" s="21" t="s">
        <v>2130</v>
      </c>
      <c r="P118" s="21"/>
      <c r="Q118" s="22" t="n">
        <f aca="false">IF(L118="","",IFERROR(INDEX('Semrush Data'!$A$1:$Z$20000,MATCH(L118,'Semrush Data'!$A$1:$A$20000,0),MATCH("Volume",'Semrush Data'!$A$1:$Z$1,0)),""))</f>
        <v>0</v>
      </c>
      <c r="R118" s="22" t="str">
        <f aca="false">IF(M118="","",IFERROR(INDEX('Semrush Data'!$A$1:$Z$20000,MATCH(M118,'Semrush Data'!$A$1:$A$20000,0),MATCH("Volume",'Semrush Data'!$A$1:$Z$1,0)),""))</f>
        <v/>
      </c>
      <c r="S118" s="22" t="str">
        <f aca="false">IF(N118="","",IFERROR(INDEX('Semrush Data'!$A$1:$Z$20000,MATCH(N118,'Semrush Data'!$A$1:$A$20000,0),MATCH("Volume",'Semrush Data'!$A$1:$Z$1,0)),""))</f>
        <v/>
      </c>
      <c r="T118" s="22" t="str">
        <f aca="false">IF(O118="","",IFERROR(INDEX('Semrush Data'!$A$1:$Z$20000,MATCH(O118,'Semrush Data'!$A$1:$A$20000,0),MATCH("Volume",'Semrush Data'!$A$1:$Z$1,0)),""))</f>
        <v/>
      </c>
      <c r="U118" s="22" t="str">
        <f aca="false">IF(P118="","",IFERROR(INDEX('Semrush Data'!$A$1:$Z$20000,MATCH(P118,'Semrush Data'!$A$1:$A$20000,0),MATCH("Volume",'Semrush Data'!$A$1:$Z$1,0)),""))</f>
        <v/>
      </c>
      <c r="V118" s="23" t="str">
        <f aca="false">IF(COUNT(Q118:U118)=0,L118,IF(MAX(Q118:U118)=0,L118,INDEX(L118:P118,MATCH(MAX(Q118:U118),Q118:U118,0))))</f>
        <v>deyga beetroot lip balm stick</v>
      </c>
      <c r="W118" s="22" t="n">
        <f aca="false">IFERROR(INDEX('Semrush Data'!$A$1:$Z$20000,MATCH(V118,'Semrush Data'!$A$1:$A$20000,0),MATCH("Volume",'Semrush Data'!$A$1:$Z$1,0)),"")</f>
        <v>0</v>
      </c>
      <c r="X118" s="22" t="n">
        <f aca="false">IFERROR(INDEX('Semrush Data'!$A$1:$Z$20000,MATCH(V118,'Semrush Data'!$A$1:$A$20000,0),MATCH("Keyword Difficulty*",'Semrush Data'!$A$1:$Z$1,0)),"")</f>
        <v>18</v>
      </c>
      <c r="Y118" s="24" t="n">
        <f aca="false">IFERROR(INDEX('Semrush Data'!$A$1:$Z$20000,MATCH(V118,'Semrush Data'!$A$1:$A$20000,0),MATCH("CPC*",'Semrush Data'!$A$1:$Z$1,0)),"")</f>
        <v>0</v>
      </c>
      <c r="Z118" s="21" t="s">
        <v>2056</v>
      </c>
      <c r="AA118" s="21" t="s">
        <v>1081</v>
      </c>
      <c r="AB118" s="21" t="s">
        <v>1077</v>
      </c>
      <c r="AC118" s="21" t="s">
        <v>2131</v>
      </c>
      <c r="AD118" s="25" t="n">
        <f aca="false">LEN(AC118)</f>
        <v>56</v>
      </c>
      <c r="AE118" s="21" t="s">
        <v>2132</v>
      </c>
      <c r="AF118" s="25" t="n">
        <f aca="false">LEN(AE118)</f>
        <v>159</v>
      </c>
    </row>
    <row r="119" customFormat="false" ht="15" hidden="false" customHeight="true" outlineLevel="0" collapsed="false">
      <c r="A119" s="21" t="s">
        <v>1082</v>
      </c>
      <c r="B119" s="21" t="s">
        <v>1373</v>
      </c>
      <c r="C119" s="21" t="n">
        <v>118</v>
      </c>
      <c r="D119" s="21" t="s">
        <v>846</v>
      </c>
      <c r="E119" s="21"/>
      <c r="F119" s="21" t="s">
        <v>1392</v>
      </c>
      <c r="G119" s="21" t="s">
        <v>927</v>
      </c>
      <c r="H119" s="21" t="s">
        <v>375</v>
      </c>
      <c r="I119" s="21" t="s">
        <v>1083</v>
      </c>
      <c r="J119" s="21" t="s">
        <v>2119</v>
      </c>
      <c r="K119" s="21" t="n">
        <v>15.99</v>
      </c>
      <c r="L119" s="21" t="s">
        <v>2133</v>
      </c>
      <c r="M119" s="21" t="s">
        <v>2134</v>
      </c>
      <c r="N119" s="21" t="s">
        <v>2135</v>
      </c>
      <c r="O119" s="21" t="s">
        <v>2136</v>
      </c>
      <c r="P119" s="21"/>
      <c r="Q119" s="22" t="n">
        <f aca="false">IF(L119="","",IFERROR(INDEX('Semrush Data'!$A$1:$Z$20000,MATCH(L119,'Semrush Data'!$A$1:$A$20000,0),MATCH("Volume",'Semrush Data'!$A$1:$Z$1,0)),""))</f>
        <v>0</v>
      </c>
      <c r="R119" s="22" t="str">
        <f aca="false">IF(M119="","",IFERROR(INDEX('Semrush Data'!$A$1:$Z$20000,MATCH(M119,'Semrush Data'!$A$1:$A$20000,0),MATCH("Volume",'Semrush Data'!$A$1:$Z$1,0)),""))</f>
        <v/>
      </c>
      <c r="S119" s="22" t="str">
        <f aca="false">IF(N119="","",IFERROR(INDEX('Semrush Data'!$A$1:$Z$20000,MATCH(N119,'Semrush Data'!$A$1:$A$20000,0),MATCH("Volume",'Semrush Data'!$A$1:$Z$1,0)),""))</f>
        <v/>
      </c>
      <c r="T119" s="22" t="str">
        <f aca="false">IF(O119="","",IFERROR(INDEX('Semrush Data'!$A$1:$Z$20000,MATCH(O119,'Semrush Data'!$A$1:$A$20000,0),MATCH("Volume",'Semrush Data'!$A$1:$Z$1,0)),""))</f>
        <v/>
      </c>
      <c r="U119" s="22" t="str">
        <f aca="false">IF(P119="","",IFERROR(INDEX('Semrush Data'!$A$1:$Z$20000,MATCH(P119,'Semrush Data'!$A$1:$A$20000,0),MATCH("Volume",'Semrush Data'!$A$1:$Z$1,0)),""))</f>
        <v/>
      </c>
      <c r="V119" s="23" t="str">
        <f aca="false">IF(COUNT(Q119:U119)=0,L119,IF(MAX(Q119:U119)=0,L119,INDEX(L119:P119,MATCH(MAX(Q119:U119),Q119:U119,0))))</f>
        <v>deyga face &amp; body exfoliator powder</v>
      </c>
      <c r="W119" s="22" t="n">
        <f aca="false">IFERROR(INDEX('Semrush Data'!$A$1:$Z$20000,MATCH(V119,'Semrush Data'!$A$1:$A$20000,0),MATCH("Volume",'Semrush Data'!$A$1:$Z$1,0)),"")</f>
        <v>0</v>
      </c>
      <c r="X119" s="22" t="n">
        <f aca="false">IFERROR(INDEX('Semrush Data'!$A$1:$Z$20000,MATCH(V119,'Semrush Data'!$A$1:$A$20000,0),MATCH("Keyword Difficulty*",'Semrush Data'!$A$1:$Z$1,0)),"")</f>
        <v>13</v>
      </c>
      <c r="Y119" s="24" t="n">
        <f aca="false">IFERROR(INDEX('Semrush Data'!$A$1:$Z$20000,MATCH(V119,'Semrush Data'!$A$1:$A$20000,0),MATCH("CPC*",'Semrush Data'!$A$1:$Z$1,0)),"")</f>
        <v>0</v>
      </c>
      <c r="Z119" s="21" t="s">
        <v>1975</v>
      </c>
      <c r="AA119" s="21"/>
      <c r="AB119" s="21" t="s">
        <v>1084</v>
      </c>
      <c r="AC119" s="21" t="s">
        <v>2137</v>
      </c>
      <c r="AD119" s="25" t="n">
        <f aca="false">LEN(AC119)</f>
        <v>49</v>
      </c>
      <c r="AE119" s="21" t="s">
        <v>2138</v>
      </c>
      <c r="AF119" s="25" t="n">
        <f aca="false">LEN(AE119)</f>
        <v>160</v>
      </c>
    </row>
    <row r="120" customFormat="false" ht="15" hidden="false" customHeight="true" outlineLevel="0" collapsed="false">
      <c r="A120" s="21" t="s">
        <v>1088</v>
      </c>
      <c r="B120" s="21" t="s">
        <v>1373</v>
      </c>
      <c r="C120" s="21" t="n">
        <v>119</v>
      </c>
      <c r="D120" s="21" t="s">
        <v>846</v>
      </c>
      <c r="E120" s="21"/>
      <c r="F120" s="21" t="s">
        <v>1374</v>
      </c>
      <c r="G120" s="21" t="s">
        <v>887</v>
      </c>
      <c r="H120" s="21" t="s">
        <v>526</v>
      </c>
      <c r="I120" s="21" t="s">
        <v>1089</v>
      </c>
      <c r="J120" s="21" t="s">
        <v>2119</v>
      </c>
      <c r="K120" s="21" t="n">
        <v>21.99</v>
      </c>
      <c r="L120" s="21" t="s">
        <v>2120</v>
      </c>
      <c r="M120" s="21" t="s">
        <v>2121</v>
      </c>
      <c r="N120" s="21" t="s">
        <v>2122</v>
      </c>
      <c r="O120" s="21" t="s">
        <v>2123</v>
      </c>
      <c r="P120" s="21"/>
      <c r="Q120" s="22" t="n">
        <f aca="false">IF(L120="","",IFERROR(INDEX('Semrush Data'!$A$1:$Z$20000,MATCH(L120,'Semrush Data'!$A$1:$A$20000,0),MATCH("Volume",'Semrush Data'!$A$1:$Z$1,0)),""))</f>
        <v>0</v>
      </c>
      <c r="R120" s="22" t="str">
        <f aca="false">IF(M120="","",IFERROR(INDEX('Semrush Data'!$A$1:$Z$20000,MATCH(M120,'Semrush Data'!$A$1:$A$20000,0),MATCH("Volume",'Semrush Data'!$A$1:$Z$1,0)),""))</f>
        <v/>
      </c>
      <c r="S120" s="22" t="str">
        <f aca="false">IF(N120="","",IFERROR(INDEX('Semrush Data'!$A$1:$Z$20000,MATCH(N120,'Semrush Data'!$A$1:$A$20000,0),MATCH("Volume",'Semrush Data'!$A$1:$Z$1,0)),""))</f>
        <v/>
      </c>
      <c r="T120" s="22" t="str">
        <f aca="false">IF(O120="","",IFERROR(INDEX('Semrush Data'!$A$1:$Z$20000,MATCH(O120,'Semrush Data'!$A$1:$A$20000,0),MATCH("Volume",'Semrush Data'!$A$1:$Z$1,0)),""))</f>
        <v/>
      </c>
      <c r="U120" s="22" t="str">
        <f aca="false">IF(P120="","",IFERROR(INDEX('Semrush Data'!$A$1:$Z$20000,MATCH(P120,'Semrush Data'!$A$1:$A$20000,0),MATCH("Volume",'Semrush Data'!$A$1:$Z$1,0)),""))</f>
        <v/>
      </c>
      <c r="V120" s="23" t="str">
        <f aca="false">IF(COUNT(Q120:U120)=0,L120,IF(MAX(Q120:U120)=0,L120,INDEX(L120:P120,MATCH(MAX(Q120:U120),Q120:U120,0))))</f>
        <v>deyga rose &amp; mulethi skin brightening pack</v>
      </c>
      <c r="W120" s="22" t="n">
        <f aca="false">IFERROR(INDEX('Semrush Data'!$A$1:$Z$20000,MATCH(V120,'Semrush Data'!$A$1:$A$20000,0),MATCH("Volume",'Semrush Data'!$A$1:$Z$1,0)),"")</f>
        <v>0</v>
      </c>
      <c r="X120" s="22" t="n">
        <f aca="false">IFERROR(INDEX('Semrush Data'!$A$1:$Z$20000,MATCH(V120,'Semrush Data'!$A$1:$A$20000,0),MATCH("Keyword Difficulty*",'Semrush Data'!$A$1:$Z$1,0)),"")</f>
        <v>15</v>
      </c>
      <c r="Y120" s="24" t="n">
        <f aca="false">IFERROR(INDEX('Semrush Data'!$A$1:$Z$20000,MATCH(V120,'Semrush Data'!$A$1:$A$20000,0),MATCH("CPC*",'Semrush Data'!$A$1:$Z$1,0)),"")</f>
        <v>0</v>
      </c>
      <c r="Z120" s="21" t="s">
        <v>2124</v>
      </c>
      <c r="AA120" s="21"/>
      <c r="AB120" s="21" t="s">
        <v>1071</v>
      </c>
      <c r="AC120" s="21" t="s">
        <v>1072</v>
      </c>
      <c r="AD120" s="25" t="n">
        <f aca="false">LEN(AC120)</f>
        <v>56</v>
      </c>
      <c r="AE120" s="21" t="s">
        <v>2125</v>
      </c>
      <c r="AF120" s="25" t="n">
        <f aca="false">LEN(AE120)</f>
        <v>157</v>
      </c>
    </row>
    <row r="121" customFormat="false" ht="15" hidden="false" customHeight="true" outlineLevel="0" collapsed="false">
      <c r="A121" s="21" t="s">
        <v>1090</v>
      </c>
      <c r="B121" s="21" t="s">
        <v>1373</v>
      </c>
      <c r="C121" s="21" t="n">
        <v>120</v>
      </c>
      <c r="D121" s="21" t="s">
        <v>846</v>
      </c>
      <c r="E121" s="21"/>
      <c r="F121" s="21" t="s">
        <v>1374</v>
      </c>
      <c r="G121" s="21" t="s">
        <v>501</v>
      </c>
      <c r="H121" s="21" t="s">
        <v>526</v>
      </c>
      <c r="I121" s="21" t="s">
        <v>1091</v>
      </c>
      <c r="J121" s="21" t="s">
        <v>1957</v>
      </c>
      <c r="K121" s="21" t="n">
        <v>17.99</v>
      </c>
      <c r="L121" s="21" t="s">
        <v>2139</v>
      </c>
      <c r="M121" s="21" t="s">
        <v>2140</v>
      </c>
      <c r="N121" s="21" t="s">
        <v>2141</v>
      </c>
      <c r="O121" s="21" t="s">
        <v>2142</v>
      </c>
      <c r="P121" s="21"/>
      <c r="Q121" s="22" t="n">
        <f aca="false">IF(L121="","",IFERROR(INDEX('Semrush Data'!$A$1:$Z$20000,MATCH(L121,'Semrush Data'!$A$1:$A$20000,0),MATCH("Volume",'Semrush Data'!$A$1:$Z$1,0)),""))</f>
        <v>0</v>
      </c>
      <c r="R121" s="22" t="str">
        <f aca="false">IF(M121="","",IFERROR(INDEX('Semrush Data'!$A$1:$Z$20000,MATCH(M121,'Semrush Data'!$A$1:$A$20000,0),MATCH("Volume",'Semrush Data'!$A$1:$Z$1,0)),""))</f>
        <v/>
      </c>
      <c r="S121" s="22" t="str">
        <f aca="false">IF(N121="","",IFERROR(INDEX('Semrush Data'!$A$1:$Z$20000,MATCH(N121,'Semrush Data'!$A$1:$A$20000,0),MATCH("Volume",'Semrush Data'!$A$1:$Z$1,0)),""))</f>
        <v/>
      </c>
      <c r="T121" s="22" t="str">
        <f aca="false">IF(O121="","",IFERROR(INDEX('Semrush Data'!$A$1:$Z$20000,MATCH(O121,'Semrush Data'!$A$1:$A$20000,0),MATCH("Volume",'Semrush Data'!$A$1:$Z$1,0)),""))</f>
        <v/>
      </c>
      <c r="U121" s="22" t="str">
        <f aca="false">IF(P121="","",IFERROR(INDEX('Semrush Data'!$A$1:$Z$20000,MATCH(P121,'Semrush Data'!$A$1:$A$20000,0),MATCH("Volume",'Semrush Data'!$A$1:$Z$1,0)),""))</f>
        <v/>
      </c>
      <c r="V121" s="23" t="str">
        <f aca="false">IF(COUNT(Q121:U121)=0,L121,IF(MAX(Q121:U121)=0,L121,INDEX(L121:P121,MATCH(MAX(Q121:U121),Q121:U121,0))))</f>
        <v>deyga beautifying serum</v>
      </c>
      <c r="W121" s="22" t="n">
        <f aca="false">IFERROR(INDEX('Semrush Data'!$A$1:$Z$20000,MATCH(V121,'Semrush Data'!$A$1:$A$20000,0),MATCH("Volume",'Semrush Data'!$A$1:$Z$1,0)),"")</f>
        <v>0</v>
      </c>
      <c r="X121" s="22" t="n">
        <f aca="false">IFERROR(INDEX('Semrush Data'!$A$1:$Z$20000,MATCH(V121,'Semrush Data'!$A$1:$A$20000,0),MATCH("Keyword Difficulty*",'Semrush Data'!$A$1:$Z$1,0)),"")</f>
        <v>16</v>
      </c>
      <c r="Y121" s="24" t="n">
        <f aca="false">IFERROR(INDEX('Semrush Data'!$A$1:$Z$20000,MATCH(V121,'Semrush Data'!$A$1:$A$20000,0),MATCH("CPC*",'Semrush Data'!$A$1:$Z$1,0)),"")</f>
        <v>0</v>
      </c>
      <c r="Z121" s="21" t="s">
        <v>1925</v>
      </c>
      <c r="AA121" s="21" t="s">
        <v>1096</v>
      </c>
      <c r="AB121" s="21" t="s">
        <v>1092</v>
      </c>
      <c r="AC121" s="21" t="s">
        <v>2143</v>
      </c>
      <c r="AD121" s="25" t="n">
        <f aca="false">LEN(AC121)</f>
        <v>50</v>
      </c>
      <c r="AE121" s="21" t="s">
        <v>2144</v>
      </c>
      <c r="AF121" s="25" t="n">
        <f aca="false">LEN(AE121)</f>
        <v>153</v>
      </c>
    </row>
    <row r="122" customFormat="false" ht="15" hidden="false" customHeight="true" outlineLevel="0" collapsed="false">
      <c r="A122" s="21" t="s">
        <v>1097</v>
      </c>
      <c r="B122" s="21" t="s">
        <v>1373</v>
      </c>
      <c r="C122" s="21" t="n">
        <v>121</v>
      </c>
      <c r="D122" s="21" t="s">
        <v>846</v>
      </c>
      <c r="E122" s="21"/>
      <c r="F122" s="21" t="s">
        <v>1392</v>
      </c>
      <c r="G122" s="21" t="s">
        <v>927</v>
      </c>
      <c r="H122" s="21" t="s">
        <v>347</v>
      </c>
      <c r="I122" s="21" t="s">
        <v>1098</v>
      </c>
      <c r="J122" s="21" t="s">
        <v>2145</v>
      </c>
      <c r="K122" s="21" t="n">
        <v>10.99</v>
      </c>
      <c r="L122" s="21" t="s">
        <v>2146</v>
      </c>
      <c r="M122" s="21" t="s">
        <v>2147</v>
      </c>
      <c r="N122" s="21" t="s">
        <v>2148</v>
      </c>
      <c r="O122" s="21" t="s">
        <v>2149</v>
      </c>
      <c r="P122" s="21"/>
      <c r="Q122" s="22" t="n">
        <f aca="false">IF(L122="","",IFERROR(INDEX('Semrush Data'!$A$1:$Z$20000,MATCH(L122,'Semrush Data'!$A$1:$A$20000,0),MATCH("Volume",'Semrush Data'!$A$1:$Z$1,0)),""))</f>
        <v>0</v>
      </c>
      <c r="R122" s="22" t="str">
        <f aca="false">IF(M122="","",IFERROR(INDEX('Semrush Data'!$A$1:$Z$20000,MATCH(M122,'Semrush Data'!$A$1:$A$20000,0),MATCH("Volume",'Semrush Data'!$A$1:$Z$1,0)),""))</f>
        <v/>
      </c>
      <c r="S122" s="22" t="str">
        <f aca="false">IF(N122="","",IFERROR(INDEX('Semrush Data'!$A$1:$Z$20000,MATCH(N122,'Semrush Data'!$A$1:$A$20000,0),MATCH("Volume",'Semrush Data'!$A$1:$Z$1,0)),""))</f>
        <v/>
      </c>
      <c r="T122" s="22" t="str">
        <f aca="false">IF(O122="","",IFERROR(INDEX('Semrush Data'!$A$1:$Z$20000,MATCH(O122,'Semrush Data'!$A$1:$A$20000,0),MATCH("Volume",'Semrush Data'!$A$1:$Z$1,0)),""))</f>
        <v/>
      </c>
      <c r="U122" s="22" t="str">
        <f aca="false">IF(P122="","",IFERROR(INDEX('Semrush Data'!$A$1:$Z$20000,MATCH(P122,'Semrush Data'!$A$1:$A$20000,0),MATCH("Volume",'Semrush Data'!$A$1:$Z$1,0)),""))</f>
        <v/>
      </c>
      <c r="V122" s="23" t="str">
        <f aca="false">IF(COUNT(Q122:U122)=0,L122,IF(MAX(Q122:U122)=0,L122,INDEX(L122:P122,MATCH(MAX(Q122:U122),Q122:U122,0))))</f>
        <v>deyga charcoal bath bar</v>
      </c>
      <c r="W122" s="22" t="n">
        <f aca="false">IFERROR(INDEX('Semrush Data'!$A$1:$Z$20000,MATCH(V122,'Semrush Data'!$A$1:$A$20000,0),MATCH("Volume",'Semrush Data'!$A$1:$Z$1,0)),"")</f>
        <v>0</v>
      </c>
      <c r="X122" s="22" t="n">
        <f aca="false">IFERROR(INDEX('Semrush Data'!$A$1:$Z$20000,MATCH(V122,'Semrush Data'!$A$1:$A$20000,0),MATCH("Keyword Difficulty*",'Semrush Data'!$A$1:$Z$1,0)),"")</f>
        <v>22</v>
      </c>
      <c r="Y122" s="24" t="n">
        <f aca="false">IFERROR(INDEX('Semrush Data'!$A$1:$Z$20000,MATCH(V122,'Semrush Data'!$A$1:$A$20000,0),MATCH("CPC*",'Semrush Data'!$A$1:$Z$1,0)),"")</f>
        <v>0</v>
      </c>
      <c r="Z122" s="21" t="s">
        <v>2063</v>
      </c>
      <c r="AA122" s="21" t="s">
        <v>1103</v>
      </c>
      <c r="AB122" s="21" t="s">
        <v>1099</v>
      </c>
      <c r="AC122" s="21" t="s">
        <v>2150</v>
      </c>
      <c r="AD122" s="25" t="n">
        <f aca="false">LEN(AC122)</f>
        <v>50</v>
      </c>
      <c r="AE122" s="21" t="s">
        <v>2151</v>
      </c>
      <c r="AF122" s="25" t="n">
        <f aca="false">LEN(AE122)</f>
        <v>159</v>
      </c>
    </row>
    <row r="123" customFormat="false" ht="15" hidden="false" customHeight="true" outlineLevel="0" collapsed="false">
      <c r="A123" s="21" t="s">
        <v>1104</v>
      </c>
      <c r="B123" s="21" t="s">
        <v>1373</v>
      </c>
      <c r="C123" s="21" t="n">
        <v>122</v>
      </c>
      <c r="D123" s="21" t="s">
        <v>846</v>
      </c>
      <c r="E123" s="21"/>
      <c r="F123" s="21" t="s">
        <v>1383</v>
      </c>
      <c r="G123" s="21" t="s">
        <v>325</v>
      </c>
      <c r="H123" s="21" t="s">
        <v>326</v>
      </c>
      <c r="I123" s="21" t="s">
        <v>1105</v>
      </c>
      <c r="J123" s="21" t="s">
        <v>1935</v>
      </c>
      <c r="K123" s="21" t="n">
        <v>14.99</v>
      </c>
      <c r="L123" s="21" t="s">
        <v>2152</v>
      </c>
      <c r="M123" s="21" t="s">
        <v>2153</v>
      </c>
      <c r="N123" s="21" t="s">
        <v>2154</v>
      </c>
      <c r="O123" s="21" t="s">
        <v>2155</v>
      </c>
      <c r="P123" s="21"/>
      <c r="Q123" s="22" t="n">
        <f aca="false">IF(L123="","",IFERROR(INDEX('Semrush Data'!$A$1:$Z$20000,MATCH(L123,'Semrush Data'!$A$1:$A$20000,0),MATCH("Volume",'Semrush Data'!$A$1:$Z$1,0)),""))</f>
        <v>20</v>
      </c>
      <c r="R123" s="22" t="str">
        <f aca="false">IF(M123="","",IFERROR(INDEX('Semrush Data'!$A$1:$Z$20000,MATCH(M123,'Semrush Data'!$A$1:$A$20000,0),MATCH("Volume",'Semrush Data'!$A$1:$Z$1,0)),""))</f>
        <v/>
      </c>
      <c r="S123" s="22" t="str">
        <f aca="false">IF(N123="","",IFERROR(INDEX('Semrush Data'!$A$1:$Z$20000,MATCH(N123,'Semrush Data'!$A$1:$A$20000,0),MATCH("Volume",'Semrush Data'!$A$1:$Z$1,0)),""))</f>
        <v/>
      </c>
      <c r="T123" s="22" t="str">
        <f aca="false">IF(O123="","",IFERROR(INDEX('Semrush Data'!$A$1:$Z$20000,MATCH(O123,'Semrush Data'!$A$1:$A$20000,0),MATCH("Volume",'Semrush Data'!$A$1:$Z$1,0)),""))</f>
        <v/>
      </c>
      <c r="U123" s="22" t="str">
        <f aca="false">IF(P123="","",IFERROR(INDEX('Semrush Data'!$A$1:$Z$20000,MATCH(P123,'Semrush Data'!$A$1:$A$20000,0),MATCH("Volume",'Semrush Data'!$A$1:$Z$1,0)),""))</f>
        <v/>
      </c>
      <c r="V123" s="23" t="str">
        <f aca="false">IF(COUNT(Q123:U123)=0,L123,IF(MAX(Q123:U123)=0,L123,INDEX(L123:P123,MATCH(MAX(Q123:U123),Q123:U123,0))))</f>
        <v>deyga hair growth oil</v>
      </c>
      <c r="W123" s="22" t="n">
        <f aca="false">IFERROR(INDEX('Semrush Data'!$A$1:$Z$20000,MATCH(V123,'Semrush Data'!$A$1:$A$20000,0),MATCH("Volume",'Semrush Data'!$A$1:$Z$1,0)),"")</f>
        <v>20</v>
      </c>
      <c r="X123" s="22" t="n">
        <f aca="false">IFERROR(INDEX('Semrush Data'!$A$1:$Z$20000,MATCH(V123,'Semrush Data'!$A$1:$A$20000,0),MATCH("Keyword Difficulty*",'Semrush Data'!$A$1:$Z$1,0)),"")</f>
        <v>9</v>
      </c>
      <c r="Y123" s="24" t="n">
        <f aca="false">IFERROR(INDEX('Semrush Data'!$A$1:$Z$20000,MATCH(V123,'Semrush Data'!$A$1:$A$20000,0),MATCH("CPC*",'Semrush Data'!$A$1:$Z$1,0)),"")</f>
        <v>0</v>
      </c>
      <c r="Z123" s="21" t="s">
        <v>2156</v>
      </c>
      <c r="AA123" s="21" t="s">
        <v>1110</v>
      </c>
      <c r="AB123" s="21" t="s">
        <v>1106</v>
      </c>
      <c r="AC123" s="21" t="s">
        <v>2157</v>
      </c>
      <c r="AD123" s="25" t="n">
        <f aca="false">LEN(AC123)</f>
        <v>54</v>
      </c>
      <c r="AE123" s="21" t="s">
        <v>2158</v>
      </c>
      <c r="AF123" s="25" t="n">
        <f aca="false">LEN(AE123)</f>
        <v>156</v>
      </c>
    </row>
    <row r="124" customFormat="false" ht="15" hidden="false" customHeight="true" outlineLevel="0" collapsed="false">
      <c r="A124" s="21" t="s">
        <v>1111</v>
      </c>
      <c r="B124" s="21" t="s">
        <v>1373</v>
      </c>
      <c r="C124" s="21" t="n">
        <v>123</v>
      </c>
      <c r="D124" s="21" t="s">
        <v>846</v>
      </c>
      <c r="E124" s="21"/>
      <c r="F124" s="21" t="s">
        <v>1374</v>
      </c>
      <c r="G124" s="21" t="s">
        <v>365</v>
      </c>
      <c r="H124" s="21" t="s">
        <v>511</v>
      </c>
      <c r="I124" s="21" t="s">
        <v>1112</v>
      </c>
      <c r="J124" s="21" t="s">
        <v>1935</v>
      </c>
      <c r="K124" s="21" t="n">
        <v>25.99</v>
      </c>
      <c r="L124" s="21" t="s">
        <v>2159</v>
      </c>
      <c r="M124" s="21" t="s">
        <v>2160</v>
      </c>
      <c r="N124" s="21" t="s">
        <v>2161</v>
      </c>
      <c r="O124" s="21" t="s">
        <v>2162</v>
      </c>
      <c r="P124" s="21"/>
      <c r="Q124" s="22" t="n">
        <f aca="false">IF(L124="","",IFERROR(INDEX('Semrush Data'!$A$1:$Z$20000,MATCH(L124,'Semrush Data'!$A$1:$A$20000,0),MATCH("Volume",'Semrush Data'!$A$1:$Z$1,0)),""))</f>
        <v>10</v>
      </c>
      <c r="R124" s="22" t="str">
        <f aca="false">IF(M124="","",IFERROR(INDEX('Semrush Data'!$A$1:$Z$20000,MATCH(M124,'Semrush Data'!$A$1:$A$20000,0),MATCH("Volume",'Semrush Data'!$A$1:$Z$1,0)),""))</f>
        <v/>
      </c>
      <c r="S124" s="22" t="str">
        <f aca="false">IF(N124="","",IFERROR(INDEX('Semrush Data'!$A$1:$Z$20000,MATCH(N124,'Semrush Data'!$A$1:$A$20000,0),MATCH("Volume",'Semrush Data'!$A$1:$Z$1,0)),""))</f>
        <v/>
      </c>
      <c r="T124" s="22" t="str">
        <f aca="false">IF(O124="","",IFERROR(INDEX('Semrush Data'!$A$1:$Z$20000,MATCH(O124,'Semrush Data'!$A$1:$A$20000,0),MATCH("Volume",'Semrush Data'!$A$1:$Z$1,0)),""))</f>
        <v/>
      </c>
      <c r="U124" s="22" t="str">
        <f aca="false">IF(P124="","",IFERROR(INDEX('Semrush Data'!$A$1:$Z$20000,MATCH(P124,'Semrush Data'!$A$1:$A$20000,0),MATCH("Volume",'Semrush Data'!$A$1:$Z$1,0)),""))</f>
        <v/>
      </c>
      <c r="V124" s="23" t="str">
        <f aca="false">IF(COUNT(Q124:U124)=0,L124,IF(MAX(Q124:U124)=0,L124,INDEX(L124:P124,MATCH(MAX(Q124:U124),Q124:U124,0))))</f>
        <v>deyga charcoal face wash</v>
      </c>
      <c r="W124" s="22" t="n">
        <f aca="false">IFERROR(INDEX('Semrush Data'!$A$1:$Z$20000,MATCH(V124,'Semrush Data'!$A$1:$A$20000,0),MATCH("Volume",'Semrush Data'!$A$1:$Z$1,0)),"")</f>
        <v>10</v>
      </c>
      <c r="X124" s="22" t="n">
        <f aca="false">IFERROR(INDEX('Semrush Data'!$A$1:$Z$20000,MATCH(V124,'Semrush Data'!$A$1:$A$20000,0),MATCH("Keyword Difficulty*",'Semrush Data'!$A$1:$Z$1,0)),"")</f>
        <v>8</v>
      </c>
      <c r="Y124" s="24" t="n">
        <f aca="false">IFERROR(INDEX('Semrush Data'!$A$1:$Z$20000,MATCH(V124,'Semrush Data'!$A$1:$A$20000,0),MATCH("CPC*",'Semrush Data'!$A$1:$Z$1,0)),"")</f>
        <v>0</v>
      </c>
      <c r="Z124" s="21" t="s">
        <v>2163</v>
      </c>
      <c r="AA124" s="21" t="s">
        <v>1117</v>
      </c>
      <c r="AB124" s="21" t="s">
        <v>1113</v>
      </c>
      <c r="AC124" s="21" t="s">
        <v>2164</v>
      </c>
      <c r="AD124" s="25" t="n">
        <f aca="false">LEN(AC124)</f>
        <v>51</v>
      </c>
      <c r="AE124" s="21" t="s">
        <v>2165</v>
      </c>
      <c r="AF124" s="25" t="n">
        <f aca="false">LEN(AE124)</f>
        <v>158</v>
      </c>
    </row>
    <row r="125" customFormat="false" ht="15" hidden="false" customHeight="true" outlineLevel="0" collapsed="false">
      <c r="A125" s="21" t="s">
        <v>1118</v>
      </c>
      <c r="B125" s="21" t="s">
        <v>1373</v>
      </c>
      <c r="C125" s="21" t="n">
        <v>124</v>
      </c>
      <c r="D125" s="21" t="s">
        <v>846</v>
      </c>
      <c r="E125" s="21"/>
      <c r="F125" s="21" t="s">
        <v>1374</v>
      </c>
      <c r="G125" s="21" t="s">
        <v>374</v>
      </c>
      <c r="H125" s="21" t="s">
        <v>316</v>
      </c>
      <c r="I125" s="21" t="s">
        <v>1119</v>
      </c>
      <c r="J125" s="21" t="s">
        <v>1882</v>
      </c>
      <c r="K125" s="21" t="n">
        <v>22.99</v>
      </c>
      <c r="L125" s="21" t="s">
        <v>2166</v>
      </c>
      <c r="M125" s="21" t="s">
        <v>2167</v>
      </c>
      <c r="N125" s="21" t="s">
        <v>2168</v>
      </c>
      <c r="O125" s="21" t="s">
        <v>2169</v>
      </c>
      <c r="P125" s="21"/>
      <c r="Q125" s="22" t="n">
        <f aca="false">IF(L125="","",IFERROR(INDEX('Semrush Data'!$A$1:$Z$20000,MATCH(L125,'Semrush Data'!$A$1:$A$20000,0),MATCH("Volume",'Semrush Data'!$A$1:$Z$1,0)),""))</f>
        <v>0</v>
      </c>
      <c r="R125" s="22" t="str">
        <f aca="false">IF(M125="","",IFERROR(INDEX('Semrush Data'!$A$1:$Z$20000,MATCH(M125,'Semrush Data'!$A$1:$A$20000,0),MATCH("Volume",'Semrush Data'!$A$1:$Z$1,0)),""))</f>
        <v/>
      </c>
      <c r="S125" s="22" t="str">
        <f aca="false">IF(N125="","",IFERROR(INDEX('Semrush Data'!$A$1:$Z$20000,MATCH(N125,'Semrush Data'!$A$1:$A$20000,0),MATCH("Volume",'Semrush Data'!$A$1:$Z$1,0)),""))</f>
        <v/>
      </c>
      <c r="T125" s="22" t="str">
        <f aca="false">IF(O125="","",IFERROR(INDEX('Semrush Data'!$A$1:$Z$20000,MATCH(O125,'Semrush Data'!$A$1:$A$20000,0),MATCH("Volume",'Semrush Data'!$A$1:$Z$1,0)),""))</f>
        <v/>
      </c>
      <c r="U125" s="22" t="str">
        <f aca="false">IF(P125="","",IFERROR(INDEX('Semrush Data'!$A$1:$Z$20000,MATCH(P125,'Semrush Data'!$A$1:$A$20000,0),MATCH("Volume",'Semrush Data'!$A$1:$Z$1,0)),""))</f>
        <v/>
      </c>
      <c r="V125" s="23" t="str">
        <f aca="false">IF(COUNT(Q125:U125)=0,L125,IF(MAX(Q125:U125)=0,L125,INDEX(L125:P125,MATCH(MAX(Q125:U125),Q125:U125,0))))</f>
        <v>deyga pure aloe vera gel</v>
      </c>
      <c r="W125" s="22" t="n">
        <f aca="false">IFERROR(INDEX('Semrush Data'!$A$1:$Z$20000,MATCH(V125,'Semrush Data'!$A$1:$A$20000,0),MATCH("Volume",'Semrush Data'!$A$1:$Z$1,0)),"")</f>
        <v>0</v>
      </c>
      <c r="X125" s="22" t="n">
        <f aca="false">IFERROR(INDEX('Semrush Data'!$A$1:$Z$20000,MATCH(V125,'Semrush Data'!$A$1:$A$20000,0),MATCH("Keyword Difficulty*",'Semrush Data'!$A$1:$Z$1,0)),"")</f>
        <v>22</v>
      </c>
      <c r="Y125" s="24" t="n">
        <f aca="false">IFERROR(INDEX('Semrush Data'!$A$1:$Z$20000,MATCH(V125,'Semrush Data'!$A$1:$A$20000,0),MATCH("CPC*",'Semrush Data'!$A$1:$Z$1,0)),"")</f>
        <v>0</v>
      </c>
      <c r="Z125" s="21" t="s">
        <v>2170</v>
      </c>
      <c r="AA125" s="21" t="s">
        <v>1124</v>
      </c>
      <c r="AB125" s="21" t="s">
        <v>1120</v>
      </c>
      <c r="AC125" s="21" t="s">
        <v>2171</v>
      </c>
      <c r="AD125" s="25" t="n">
        <f aca="false">LEN(AC125)</f>
        <v>51</v>
      </c>
      <c r="AE125" s="21" t="s">
        <v>2172</v>
      </c>
      <c r="AF125" s="25" t="n">
        <f aca="false">LEN(AE125)</f>
        <v>160</v>
      </c>
    </row>
    <row r="126" customFormat="false" ht="15" hidden="false" customHeight="true" outlineLevel="0" collapsed="false">
      <c r="A126" s="21" t="s">
        <v>1125</v>
      </c>
      <c r="B126" s="21" t="s">
        <v>1373</v>
      </c>
      <c r="C126" s="21" t="n">
        <v>125</v>
      </c>
      <c r="D126" s="21" t="s">
        <v>846</v>
      </c>
      <c r="E126" s="21"/>
      <c r="F126" s="21" t="s">
        <v>1383</v>
      </c>
      <c r="G126" s="21" t="s">
        <v>1045</v>
      </c>
      <c r="H126" s="21" t="s">
        <v>561</v>
      </c>
      <c r="I126" s="21" t="s">
        <v>1126</v>
      </c>
      <c r="J126" s="21" t="s">
        <v>2026</v>
      </c>
      <c r="K126" s="21" t="n">
        <v>16.99</v>
      </c>
      <c r="L126" s="21" t="s">
        <v>2173</v>
      </c>
      <c r="M126" s="21" t="s">
        <v>2174</v>
      </c>
      <c r="N126" s="21" t="s">
        <v>2175</v>
      </c>
      <c r="O126" s="21" t="s">
        <v>2176</v>
      </c>
      <c r="P126" s="21"/>
      <c r="Q126" s="22" t="n">
        <f aca="false">IF(L126="","",IFERROR(INDEX('Semrush Data'!$A$1:$Z$20000,MATCH(L126,'Semrush Data'!$A$1:$A$20000,0),MATCH("Volume",'Semrush Data'!$A$1:$Z$1,0)),""))</f>
        <v>0</v>
      </c>
      <c r="R126" s="22" t="str">
        <f aca="false">IF(M126="","",IFERROR(INDEX('Semrush Data'!$A$1:$Z$20000,MATCH(M126,'Semrush Data'!$A$1:$A$20000,0),MATCH("Volume",'Semrush Data'!$A$1:$Z$1,0)),""))</f>
        <v/>
      </c>
      <c r="S126" s="22" t="str">
        <f aca="false">IF(N126="","",IFERROR(INDEX('Semrush Data'!$A$1:$Z$20000,MATCH(N126,'Semrush Data'!$A$1:$A$20000,0),MATCH("Volume",'Semrush Data'!$A$1:$Z$1,0)),""))</f>
        <v/>
      </c>
      <c r="T126" s="22" t="str">
        <f aca="false">IF(O126="","",IFERROR(INDEX('Semrush Data'!$A$1:$Z$20000,MATCH(O126,'Semrush Data'!$A$1:$A$20000,0),MATCH("Volume",'Semrush Data'!$A$1:$Z$1,0)),""))</f>
        <v/>
      </c>
      <c r="U126" s="22" t="str">
        <f aca="false">IF(P126="","",IFERROR(INDEX('Semrush Data'!$A$1:$Z$20000,MATCH(P126,'Semrush Data'!$A$1:$A$20000,0),MATCH("Volume",'Semrush Data'!$A$1:$Z$1,0)),""))</f>
        <v/>
      </c>
      <c r="V126" s="23" t="str">
        <f aca="false">IF(COUNT(Q126:U126)=0,L126,IF(MAX(Q126:U126)=0,L126,INDEX(L126:P126,MATCH(MAX(Q126:U126),Q126:U126,0))))</f>
        <v>deyga plant based hair color – black</v>
      </c>
      <c r="W126" s="22" t="n">
        <f aca="false">IFERROR(INDEX('Semrush Data'!$A$1:$Z$20000,MATCH(V126,'Semrush Data'!$A$1:$A$20000,0),MATCH("Volume",'Semrush Data'!$A$1:$Z$1,0)),"")</f>
        <v>0</v>
      </c>
      <c r="X126" s="22" t="n">
        <f aca="false">IFERROR(INDEX('Semrush Data'!$A$1:$Z$20000,MATCH(V126,'Semrush Data'!$A$1:$A$20000,0),MATCH("Keyword Difficulty*",'Semrush Data'!$A$1:$Z$1,0)),"")</f>
        <v>14</v>
      </c>
      <c r="Y126" s="24" t="n">
        <f aca="false">IFERROR(INDEX('Semrush Data'!$A$1:$Z$20000,MATCH(V126,'Semrush Data'!$A$1:$A$20000,0),MATCH("CPC*",'Semrush Data'!$A$1:$Z$1,0)),"")</f>
        <v>0</v>
      </c>
      <c r="Z126" s="21" t="s">
        <v>2096</v>
      </c>
      <c r="AA126" s="21" t="s">
        <v>1131</v>
      </c>
      <c r="AB126" s="21" t="s">
        <v>1127</v>
      </c>
      <c r="AC126" s="21" t="s">
        <v>2177</v>
      </c>
      <c r="AD126" s="25" t="n">
        <f aca="false">LEN(AC126)</f>
        <v>55</v>
      </c>
      <c r="AE126" s="21" t="s">
        <v>2178</v>
      </c>
      <c r="AF126" s="25" t="n">
        <f aca="false">LEN(AE126)</f>
        <v>159</v>
      </c>
    </row>
    <row r="127" customFormat="false" ht="15" hidden="false" customHeight="true" outlineLevel="0" collapsed="false">
      <c r="A127" s="21" t="s">
        <v>1132</v>
      </c>
      <c r="B127" s="21" t="s">
        <v>1373</v>
      </c>
      <c r="C127" s="21" t="n">
        <v>126</v>
      </c>
      <c r="D127" s="21" t="s">
        <v>846</v>
      </c>
      <c r="E127" s="21"/>
      <c r="F127" s="21" t="s">
        <v>1383</v>
      </c>
      <c r="G127" s="21" t="s">
        <v>422</v>
      </c>
      <c r="H127" s="21" t="s">
        <v>413</v>
      </c>
      <c r="I127" s="21" t="s">
        <v>1133</v>
      </c>
      <c r="J127" s="21" t="s">
        <v>1897</v>
      </c>
      <c r="K127" s="21" t="n">
        <v>13.99</v>
      </c>
      <c r="L127" s="21" t="s">
        <v>2179</v>
      </c>
      <c r="M127" s="21" t="s">
        <v>2180</v>
      </c>
      <c r="N127" s="21" t="s">
        <v>2181</v>
      </c>
      <c r="O127" s="21" t="s">
        <v>2182</v>
      </c>
      <c r="P127" s="21"/>
      <c r="Q127" s="22" t="n">
        <f aca="false">IF(L127="","",IFERROR(INDEX('Semrush Data'!$A$1:$Z$20000,MATCH(L127,'Semrush Data'!$A$1:$A$20000,0),MATCH("Volume",'Semrush Data'!$A$1:$Z$1,0)),""))</f>
        <v>30</v>
      </c>
      <c r="R127" s="22" t="str">
        <f aca="false">IF(M127="","",IFERROR(INDEX('Semrush Data'!$A$1:$Z$20000,MATCH(M127,'Semrush Data'!$A$1:$A$20000,0),MATCH("Volume",'Semrush Data'!$A$1:$Z$1,0)),""))</f>
        <v/>
      </c>
      <c r="S127" s="22" t="str">
        <f aca="false">IF(N127="","",IFERROR(INDEX('Semrush Data'!$A$1:$Z$20000,MATCH(N127,'Semrush Data'!$A$1:$A$20000,0),MATCH("Volume",'Semrush Data'!$A$1:$Z$1,0)),""))</f>
        <v/>
      </c>
      <c r="T127" s="22" t="str">
        <f aca="false">IF(O127="","",IFERROR(INDEX('Semrush Data'!$A$1:$Z$20000,MATCH(O127,'Semrush Data'!$A$1:$A$20000,0),MATCH("Volume",'Semrush Data'!$A$1:$Z$1,0)),""))</f>
        <v/>
      </c>
      <c r="U127" s="22" t="str">
        <f aca="false">IF(P127="","",IFERROR(INDEX('Semrush Data'!$A$1:$Z$20000,MATCH(P127,'Semrush Data'!$A$1:$A$20000,0),MATCH("Volume",'Semrush Data'!$A$1:$Z$1,0)),""))</f>
        <v/>
      </c>
      <c r="V127" s="23" t="str">
        <f aca="false">IF(COUNT(Q127:U127)=0,L127,IF(MAX(Q127:U127)=0,L127,INDEX(L127:P127,MATCH(MAX(Q127:U127),Q127:U127,0))))</f>
        <v>deyga rice water shampoo</v>
      </c>
      <c r="W127" s="22" t="n">
        <f aca="false">IFERROR(INDEX('Semrush Data'!$A$1:$Z$20000,MATCH(V127,'Semrush Data'!$A$1:$A$20000,0),MATCH("Volume",'Semrush Data'!$A$1:$Z$1,0)),"")</f>
        <v>30</v>
      </c>
      <c r="X127" s="22" t="n">
        <f aca="false">IFERROR(INDEX('Semrush Data'!$A$1:$Z$20000,MATCH(V127,'Semrush Data'!$A$1:$A$20000,0),MATCH("Keyword Difficulty*",'Semrush Data'!$A$1:$Z$1,0)),"")</f>
        <v>18</v>
      </c>
      <c r="Y127" s="24" t="n">
        <f aca="false">IFERROR(INDEX('Semrush Data'!$A$1:$Z$20000,MATCH(V127,'Semrush Data'!$A$1:$A$20000,0),MATCH("CPC*",'Semrush Data'!$A$1:$Z$1,0)),"")</f>
        <v>0</v>
      </c>
      <c r="Z127" s="21" t="s">
        <v>2183</v>
      </c>
      <c r="AA127" s="21" t="s">
        <v>1138</v>
      </c>
      <c r="AB127" s="21" t="s">
        <v>1134</v>
      </c>
      <c r="AC127" s="21" t="s">
        <v>2184</v>
      </c>
      <c r="AD127" s="25" t="n">
        <f aca="false">LEN(AC127)</f>
        <v>51</v>
      </c>
      <c r="AE127" s="21" t="s">
        <v>2185</v>
      </c>
      <c r="AF127" s="25" t="n">
        <f aca="false">LEN(AE127)</f>
        <v>159</v>
      </c>
    </row>
    <row r="128" customFormat="false" ht="15" hidden="false" customHeight="true" outlineLevel="0" collapsed="false">
      <c r="A128" s="21" t="s">
        <v>1139</v>
      </c>
      <c r="B128" s="21" t="s">
        <v>1373</v>
      </c>
      <c r="C128" s="21" t="n">
        <v>127</v>
      </c>
      <c r="D128" s="21" t="s">
        <v>846</v>
      </c>
      <c r="E128" s="21"/>
      <c r="F128" s="21" t="s">
        <v>1383</v>
      </c>
      <c r="G128" s="21" t="s">
        <v>412</v>
      </c>
      <c r="H128" s="21" t="s">
        <v>413</v>
      </c>
      <c r="I128" s="21" t="s">
        <v>1140</v>
      </c>
      <c r="J128" s="21" t="s">
        <v>1897</v>
      </c>
      <c r="K128" s="21" t="n">
        <v>14.99</v>
      </c>
      <c r="L128" s="21" t="s">
        <v>2186</v>
      </c>
      <c r="M128" s="21" t="s">
        <v>2187</v>
      </c>
      <c r="N128" s="21" t="s">
        <v>2188</v>
      </c>
      <c r="O128" s="21" t="s">
        <v>2189</v>
      </c>
      <c r="P128" s="21"/>
      <c r="Q128" s="22" t="n">
        <f aca="false">IF(L128="","",IFERROR(INDEX('Semrush Data'!$A$1:$Z$20000,MATCH(L128,'Semrush Data'!$A$1:$A$20000,0),MATCH("Volume",'Semrush Data'!$A$1:$Z$1,0)),""))</f>
        <v>0</v>
      </c>
      <c r="R128" s="22" t="str">
        <f aca="false">IF(M128="","",IFERROR(INDEX('Semrush Data'!$A$1:$Z$20000,MATCH(M128,'Semrush Data'!$A$1:$A$20000,0),MATCH("Volume",'Semrush Data'!$A$1:$Z$1,0)),""))</f>
        <v/>
      </c>
      <c r="S128" s="22" t="str">
        <f aca="false">IF(N128="","",IFERROR(INDEX('Semrush Data'!$A$1:$Z$20000,MATCH(N128,'Semrush Data'!$A$1:$A$20000,0),MATCH("Volume",'Semrush Data'!$A$1:$Z$1,0)),""))</f>
        <v/>
      </c>
      <c r="T128" s="22" t="str">
        <f aca="false">IF(O128="","",IFERROR(INDEX('Semrush Data'!$A$1:$Z$20000,MATCH(O128,'Semrush Data'!$A$1:$A$20000,0),MATCH("Volume",'Semrush Data'!$A$1:$Z$1,0)),""))</f>
        <v/>
      </c>
      <c r="U128" s="22" t="str">
        <f aca="false">IF(P128="","",IFERROR(INDEX('Semrush Data'!$A$1:$Z$20000,MATCH(P128,'Semrush Data'!$A$1:$A$20000,0),MATCH("Volume",'Semrush Data'!$A$1:$Z$1,0)),""))</f>
        <v/>
      </c>
      <c r="V128" s="23" t="str">
        <f aca="false">IF(COUNT(Q128:U128)=0,L128,IF(MAX(Q128:U128)=0,L128,INDEX(L128:P128,MATCH(MAX(Q128:U128),Q128:U128,0))))</f>
        <v>deyga soy milk conditioner</v>
      </c>
      <c r="W128" s="22" t="n">
        <f aca="false">IFERROR(INDEX('Semrush Data'!$A$1:$Z$20000,MATCH(V128,'Semrush Data'!$A$1:$A$20000,0),MATCH("Volume",'Semrush Data'!$A$1:$Z$1,0)),"")</f>
        <v>0</v>
      </c>
      <c r="X128" s="22" t="n">
        <f aca="false">IFERROR(INDEX('Semrush Data'!$A$1:$Z$20000,MATCH(V128,'Semrush Data'!$A$1:$A$20000,0),MATCH("Keyword Difficulty*",'Semrush Data'!$A$1:$Z$1,0)),"")</f>
        <v>29</v>
      </c>
      <c r="Y128" s="24" t="n">
        <f aca="false">IFERROR(INDEX('Semrush Data'!$A$1:$Z$20000,MATCH(V128,'Semrush Data'!$A$1:$A$20000,0),MATCH("CPC*",'Semrush Data'!$A$1:$Z$1,0)),"")</f>
        <v>0</v>
      </c>
      <c r="Z128" s="21" t="s">
        <v>2190</v>
      </c>
      <c r="AA128" s="21" t="s">
        <v>1145</v>
      </c>
      <c r="AB128" s="21" t="s">
        <v>1141</v>
      </c>
      <c r="AC128" s="21" t="s">
        <v>2191</v>
      </c>
      <c r="AD128" s="25" t="n">
        <f aca="false">LEN(AC128)</f>
        <v>53</v>
      </c>
      <c r="AE128" s="21" t="s">
        <v>2192</v>
      </c>
      <c r="AF128" s="25" t="n">
        <f aca="false">LEN(AE128)</f>
        <v>159</v>
      </c>
    </row>
    <row r="129" customFormat="false" ht="15" hidden="false" customHeight="true" outlineLevel="0" collapsed="false">
      <c r="A129" s="21" t="s">
        <v>1146</v>
      </c>
      <c r="B129" s="21" t="s">
        <v>1373</v>
      </c>
      <c r="C129" s="21" t="n">
        <v>128</v>
      </c>
      <c r="D129" s="21" t="s">
        <v>846</v>
      </c>
      <c r="E129" s="21"/>
      <c r="F129" s="21" t="s">
        <v>1392</v>
      </c>
      <c r="G129" s="21" t="s">
        <v>848</v>
      </c>
      <c r="H129" s="21" t="s">
        <v>375</v>
      </c>
      <c r="I129" s="21" t="s">
        <v>1147</v>
      </c>
      <c r="J129" s="21" t="s">
        <v>1950</v>
      </c>
      <c r="K129" s="21" t="n">
        <v>12.99</v>
      </c>
      <c r="L129" s="21" t="s">
        <v>2193</v>
      </c>
      <c r="M129" s="21" t="s">
        <v>2194</v>
      </c>
      <c r="N129" s="21" t="s">
        <v>2195</v>
      </c>
      <c r="O129" s="21" t="s">
        <v>2196</v>
      </c>
      <c r="P129" s="21"/>
      <c r="Q129" s="22" t="n">
        <f aca="false">IF(L129="","",IFERROR(INDEX('Semrush Data'!$A$1:$Z$20000,MATCH(L129,'Semrush Data'!$A$1:$A$20000,0),MATCH("Volume",'Semrush Data'!$A$1:$Z$1,0)),""))</f>
        <v>0</v>
      </c>
      <c r="R129" s="22" t="str">
        <f aca="false">IF(M129="","",IFERROR(INDEX('Semrush Data'!$A$1:$Z$20000,MATCH(M129,'Semrush Data'!$A$1:$A$20000,0),MATCH("Volume",'Semrush Data'!$A$1:$Z$1,0)),""))</f>
        <v/>
      </c>
      <c r="S129" s="22" t="str">
        <f aca="false">IF(N129="","",IFERROR(INDEX('Semrush Data'!$A$1:$Z$20000,MATCH(N129,'Semrush Data'!$A$1:$A$20000,0),MATCH("Volume",'Semrush Data'!$A$1:$Z$1,0)),""))</f>
        <v/>
      </c>
      <c r="T129" s="22" t="str">
        <f aca="false">IF(O129="","",IFERROR(INDEX('Semrush Data'!$A$1:$Z$20000,MATCH(O129,'Semrush Data'!$A$1:$A$20000,0),MATCH("Volume",'Semrush Data'!$A$1:$Z$1,0)),""))</f>
        <v/>
      </c>
      <c r="U129" s="22" t="str">
        <f aca="false">IF(P129="","",IFERROR(INDEX('Semrush Data'!$A$1:$Z$20000,MATCH(P129,'Semrush Data'!$A$1:$A$20000,0),MATCH("Volume",'Semrush Data'!$A$1:$Z$1,0)),""))</f>
        <v/>
      </c>
      <c r="V129" s="23" t="str">
        <f aca="false">IF(COUNT(Q129:U129)=0,L129,IF(MAX(Q129:U129)=0,L129,INDEX(L129:P129,MATCH(MAX(Q129:U129),Q129:U129,0))))</f>
        <v>deyga foot butter</v>
      </c>
      <c r="W129" s="22" t="n">
        <f aca="false">IFERROR(INDEX('Semrush Data'!$A$1:$Z$20000,MATCH(V129,'Semrush Data'!$A$1:$A$20000,0),MATCH("Volume",'Semrush Data'!$A$1:$Z$1,0)),"")</f>
        <v>0</v>
      </c>
      <c r="X129" s="22" t="n">
        <f aca="false">IFERROR(INDEX('Semrush Data'!$A$1:$Z$20000,MATCH(V129,'Semrush Data'!$A$1:$A$20000,0),MATCH("Keyword Difficulty*",'Semrush Data'!$A$1:$Z$1,0)),"")</f>
        <v>13</v>
      </c>
      <c r="Y129" s="24" t="n">
        <f aca="false">IFERROR(INDEX('Semrush Data'!$A$1:$Z$20000,MATCH(V129,'Semrush Data'!$A$1:$A$20000,0),MATCH("CPC*",'Semrush Data'!$A$1:$Z$1,0)),"")</f>
        <v>0</v>
      </c>
      <c r="Z129" s="21" t="s">
        <v>1887</v>
      </c>
      <c r="AA129" s="21" t="s">
        <v>1152</v>
      </c>
      <c r="AB129" s="21" t="s">
        <v>1148</v>
      </c>
      <c r="AC129" s="21" t="s">
        <v>2197</v>
      </c>
      <c r="AD129" s="25" t="n">
        <f aca="false">LEN(AC129)</f>
        <v>50</v>
      </c>
      <c r="AE129" s="21" t="s">
        <v>2198</v>
      </c>
      <c r="AF129" s="25" t="n">
        <f aca="false">LEN(AE129)</f>
        <v>160</v>
      </c>
    </row>
    <row r="130" customFormat="false" ht="15" hidden="false" customHeight="true" outlineLevel="0" collapsed="false">
      <c r="A130" s="21" t="s">
        <v>1153</v>
      </c>
      <c r="B130" s="21" t="s">
        <v>1373</v>
      </c>
      <c r="C130" s="21" t="n">
        <v>129</v>
      </c>
      <c r="D130" s="21" t="s">
        <v>846</v>
      </c>
      <c r="E130" s="21"/>
      <c r="F130" s="21" t="s">
        <v>1392</v>
      </c>
      <c r="G130" s="21" t="s">
        <v>927</v>
      </c>
      <c r="H130" s="21" t="s">
        <v>347</v>
      </c>
      <c r="I130" s="21" t="s">
        <v>1154</v>
      </c>
      <c r="J130" s="21" t="s">
        <v>2199</v>
      </c>
      <c r="K130" s="21"/>
      <c r="L130" s="21" t="s">
        <v>2200</v>
      </c>
      <c r="M130" s="21" t="s">
        <v>2201</v>
      </c>
      <c r="N130" s="21" t="s">
        <v>2202</v>
      </c>
      <c r="O130" s="21" t="s">
        <v>2203</v>
      </c>
      <c r="P130" s="21"/>
      <c r="Q130" s="22" t="n">
        <f aca="false">IF(L130="","",IFERROR(INDEX('Semrush Data'!$A$1:$Z$20000,MATCH(L130,'Semrush Data'!$A$1:$A$20000,0),MATCH("Volume",'Semrush Data'!$A$1:$Z$1,0)),""))</f>
        <v>0</v>
      </c>
      <c r="R130" s="22" t="str">
        <f aca="false">IF(M130="","",IFERROR(INDEX('Semrush Data'!$A$1:$Z$20000,MATCH(M130,'Semrush Data'!$A$1:$A$20000,0),MATCH("Volume",'Semrush Data'!$A$1:$Z$1,0)),""))</f>
        <v/>
      </c>
      <c r="S130" s="22" t="str">
        <f aca="false">IF(N130="","",IFERROR(INDEX('Semrush Data'!$A$1:$Z$20000,MATCH(N130,'Semrush Data'!$A$1:$A$20000,0),MATCH("Volume",'Semrush Data'!$A$1:$Z$1,0)),""))</f>
        <v/>
      </c>
      <c r="T130" s="22" t="str">
        <f aca="false">IF(O130="","",IFERROR(INDEX('Semrush Data'!$A$1:$Z$20000,MATCH(O130,'Semrush Data'!$A$1:$A$20000,0),MATCH("Volume",'Semrush Data'!$A$1:$Z$1,0)),""))</f>
        <v/>
      </c>
      <c r="U130" s="22" t="str">
        <f aca="false">IF(P130="","",IFERROR(INDEX('Semrush Data'!$A$1:$Z$20000,MATCH(P130,'Semrush Data'!$A$1:$A$20000,0),MATCH("Volume",'Semrush Data'!$A$1:$Z$1,0)),""))</f>
        <v/>
      </c>
      <c r="V130" s="23" t="str">
        <f aca="false">IF(COUNT(Q130:U130)=0,L130,IF(MAX(Q130:U130)=0,L130,INDEX(L130:P130,MATCH(MAX(Q130:U130),Q130:U130,0))))</f>
        <v>deyga baby bath bar</v>
      </c>
      <c r="W130" s="22" t="n">
        <f aca="false">IFERROR(INDEX('Semrush Data'!$A$1:$Z$20000,MATCH(V130,'Semrush Data'!$A$1:$A$20000,0),MATCH("Volume",'Semrush Data'!$A$1:$Z$1,0)),"")</f>
        <v>0</v>
      </c>
      <c r="X130" s="22" t="n">
        <f aca="false">IFERROR(INDEX('Semrush Data'!$A$1:$Z$20000,MATCH(V130,'Semrush Data'!$A$1:$A$20000,0),MATCH("Keyword Difficulty*",'Semrush Data'!$A$1:$Z$1,0)),"")</f>
        <v>14</v>
      </c>
      <c r="Y130" s="24" t="n">
        <f aca="false">IFERROR(INDEX('Semrush Data'!$A$1:$Z$20000,MATCH(V130,'Semrush Data'!$A$1:$A$20000,0),MATCH("CPC*",'Semrush Data'!$A$1:$Z$1,0)),"")</f>
        <v>0</v>
      </c>
      <c r="Z130" s="21" t="s">
        <v>2063</v>
      </c>
      <c r="AA130" s="21"/>
      <c r="AB130" s="21" t="s">
        <v>1155</v>
      </c>
      <c r="AC130" s="21" t="s">
        <v>2204</v>
      </c>
      <c r="AD130" s="25" t="n">
        <f aca="false">LEN(AC130)</f>
        <v>51</v>
      </c>
      <c r="AE130" s="21" t="s">
        <v>2205</v>
      </c>
      <c r="AF130" s="25" t="n">
        <f aca="false">LEN(AE130)</f>
        <v>155</v>
      </c>
    </row>
    <row r="131" customFormat="false" ht="15" hidden="false" customHeight="true" outlineLevel="0" collapsed="false">
      <c r="A131" s="21" t="s">
        <v>1159</v>
      </c>
      <c r="B131" s="21" t="s">
        <v>1373</v>
      </c>
      <c r="C131" s="21" t="n">
        <v>130</v>
      </c>
      <c r="D131" s="21" t="s">
        <v>846</v>
      </c>
      <c r="E131" s="21"/>
      <c r="F131" s="21" t="s">
        <v>1383</v>
      </c>
      <c r="G131" s="21" t="s">
        <v>422</v>
      </c>
      <c r="H131" s="21" t="s">
        <v>483</v>
      </c>
      <c r="I131" s="21" t="s">
        <v>1160</v>
      </c>
      <c r="J131" s="21" t="s">
        <v>1897</v>
      </c>
      <c r="K131" s="21" t="n">
        <v>14.99</v>
      </c>
      <c r="L131" s="21" t="s">
        <v>2206</v>
      </c>
      <c r="M131" s="21" t="s">
        <v>2207</v>
      </c>
      <c r="N131" s="21" t="s">
        <v>2208</v>
      </c>
      <c r="O131" s="21" t="s">
        <v>2209</v>
      </c>
      <c r="P131" s="21"/>
      <c r="Q131" s="22" t="n">
        <f aca="false">IF(L131="","",IFERROR(INDEX('Semrush Data'!$A$1:$Z$20000,MATCH(L131,'Semrush Data'!$A$1:$A$20000,0),MATCH("Volume",'Semrush Data'!$A$1:$Z$1,0)),""))</f>
        <v>20</v>
      </c>
      <c r="R131" s="22" t="str">
        <f aca="false">IF(M131="","",IFERROR(INDEX('Semrush Data'!$A$1:$Z$20000,MATCH(M131,'Semrush Data'!$A$1:$A$20000,0),MATCH("Volume",'Semrush Data'!$A$1:$Z$1,0)),""))</f>
        <v/>
      </c>
      <c r="S131" s="22" t="str">
        <f aca="false">IF(N131="","",IFERROR(INDEX('Semrush Data'!$A$1:$Z$20000,MATCH(N131,'Semrush Data'!$A$1:$A$20000,0),MATCH("Volume",'Semrush Data'!$A$1:$Z$1,0)),""))</f>
        <v/>
      </c>
      <c r="T131" s="22" t="str">
        <f aca="false">IF(O131="","",IFERROR(INDEX('Semrush Data'!$A$1:$Z$20000,MATCH(O131,'Semrush Data'!$A$1:$A$20000,0),MATCH("Volume",'Semrush Data'!$A$1:$Z$1,0)),""))</f>
        <v/>
      </c>
      <c r="U131" s="22" t="str">
        <f aca="false">IF(P131="","",IFERROR(INDEX('Semrush Data'!$A$1:$Z$20000,MATCH(P131,'Semrush Data'!$A$1:$A$20000,0),MATCH("Volume",'Semrush Data'!$A$1:$Z$1,0)),""))</f>
        <v/>
      </c>
      <c r="V131" s="23" t="str">
        <f aca="false">IF(COUNT(Q131:U131)=0,L131,IF(MAX(Q131:U131)=0,L131,INDEX(L131:P131,MATCH(MAX(Q131:U131),Q131:U131,0))))</f>
        <v>deyga anti dandruff shampoo</v>
      </c>
      <c r="W131" s="22" t="n">
        <f aca="false">IFERROR(INDEX('Semrush Data'!$A$1:$Z$20000,MATCH(V131,'Semrush Data'!$A$1:$A$20000,0),MATCH("Volume",'Semrush Data'!$A$1:$Z$1,0)),"")</f>
        <v>20</v>
      </c>
      <c r="X131" s="22" t="n">
        <f aca="false">IFERROR(INDEX('Semrush Data'!$A$1:$Z$20000,MATCH(V131,'Semrush Data'!$A$1:$A$20000,0),MATCH("Keyword Difficulty*",'Semrush Data'!$A$1:$Z$1,0)),"")</f>
        <v>9</v>
      </c>
      <c r="Y131" s="24" t="n">
        <f aca="false">IFERROR(INDEX('Semrush Data'!$A$1:$Z$20000,MATCH(V131,'Semrush Data'!$A$1:$A$20000,0),MATCH("CPC*",'Semrush Data'!$A$1:$Z$1,0)),"")</f>
        <v>0</v>
      </c>
      <c r="Z131" s="21" t="s">
        <v>2210</v>
      </c>
      <c r="AA131" s="21" t="s">
        <v>1165</v>
      </c>
      <c r="AB131" s="21" t="s">
        <v>1161</v>
      </c>
      <c r="AC131" s="21" t="s">
        <v>2211</v>
      </c>
      <c r="AD131" s="25" t="n">
        <f aca="false">LEN(AC131)</f>
        <v>54</v>
      </c>
      <c r="AE131" s="21" t="s">
        <v>2212</v>
      </c>
      <c r="AF131" s="25" t="n">
        <f aca="false">LEN(AE131)</f>
        <v>160</v>
      </c>
    </row>
    <row r="132" customFormat="false" ht="15" hidden="false" customHeight="true" outlineLevel="0" collapsed="false">
      <c r="A132" s="21" t="s">
        <v>1166</v>
      </c>
      <c r="B132" s="21" t="s">
        <v>1373</v>
      </c>
      <c r="C132" s="21" t="n">
        <v>131</v>
      </c>
      <c r="D132" s="21" t="s">
        <v>846</v>
      </c>
      <c r="E132" s="21"/>
      <c r="F132" s="21" t="s">
        <v>1374</v>
      </c>
      <c r="G132" s="21" t="s">
        <v>396</v>
      </c>
      <c r="H132" s="21" t="s">
        <v>586</v>
      </c>
      <c r="I132" s="21" t="s">
        <v>1167</v>
      </c>
      <c r="J132" s="21" t="s">
        <v>2084</v>
      </c>
      <c r="K132" s="21" t="n">
        <v>10.99</v>
      </c>
      <c r="L132" s="21" t="s">
        <v>2213</v>
      </c>
      <c r="M132" s="21" t="s">
        <v>2214</v>
      </c>
      <c r="N132" s="21" t="s">
        <v>2215</v>
      </c>
      <c r="O132" s="21" t="s">
        <v>2216</v>
      </c>
      <c r="P132" s="21"/>
      <c r="Q132" s="22" t="n">
        <f aca="false">IF(L132="","",IFERROR(INDEX('Semrush Data'!$A$1:$Z$20000,MATCH(L132,'Semrush Data'!$A$1:$A$20000,0),MATCH("Volume",'Semrush Data'!$A$1:$Z$1,0)),""))</f>
        <v>0</v>
      </c>
      <c r="R132" s="22" t="str">
        <f aca="false">IF(M132="","",IFERROR(INDEX('Semrush Data'!$A$1:$Z$20000,MATCH(M132,'Semrush Data'!$A$1:$A$20000,0),MATCH("Volume",'Semrush Data'!$A$1:$Z$1,0)),""))</f>
        <v/>
      </c>
      <c r="S132" s="22" t="str">
        <f aca="false">IF(N132="","",IFERROR(INDEX('Semrush Data'!$A$1:$Z$20000,MATCH(N132,'Semrush Data'!$A$1:$A$20000,0),MATCH("Volume",'Semrush Data'!$A$1:$Z$1,0)),""))</f>
        <v/>
      </c>
      <c r="T132" s="22" t="str">
        <f aca="false">IF(O132="","",IFERROR(INDEX('Semrush Data'!$A$1:$Z$20000,MATCH(O132,'Semrush Data'!$A$1:$A$20000,0),MATCH("Volume",'Semrush Data'!$A$1:$Z$1,0)),""))</f>
        <v/>
      </c>
      <c r="U132" s="22" t="str">
        <f aca="false">IF(P132="","",IFERROR(INDEX('Semrush Data'!$A$1:$Z$20000,MATCH(P132,'Semrush Data'!$A$1:$A$20000,0),MATCH("Volume",'Semrush Data'!$A$1:$Z$1,0)),""))</f>
        <v/>
      </c>
      <c r="V132" s="23" t="str">
        <f aca="false">IF(COUNT(Q132:U132)=0,L132,IF(MAX(Q132:U132)=0,L132,INDEX(L132:P132,MATCH(MAX(Q132:U132),Q132:U132,0))))</f>
        <v>deyga strawberry lip scrub</v>
      </c>
      <c r="W132" s="22" t="n">
        <f aca="false">IFERROR(INDEX('Semrush Data'!$A$1:$Z$20000,MATCH(V132,'Semrush Data'!$A$1:$A$20000,0),MATCH("Volume",'Semrush Data'!$A$1:$Z$1,0)),"")</f>
        <v>0</v>
      </c>
      <c r="X132" s="22" t="n">
        <f aca="false">IFERROR(INDEX('Semrush Data'!$A$1:$Z$20000,MATCH(V132,'Semrush Data'!$A$1:$A$20000,0),MATCH("Keyword Difficulty*",'Semrush Data'!$A$1:$Z$1,0)),"")</f>
        <v>6</v>
      </c>
      <c r="Y132" s="24" t="n">
        <f aca="false">IFERROR(INDEX('Semrush Data'!$A$1:$Z$20000,MATCH(V132,'Semrush Data'!$A$1:$A$20000,0),MATCH("CPC*",'Semrush Data'!$A$1:$Z$1,0)),"")</f>
        <v>0</v>
      </c>
      <c r="Z132" s="21" t="s">
        <v>2089</v>
      </c>
      <c r="AA132" s="21"/>
      <c r="AB132" s="21" t="s">
        <v>1168</v>
      </c>
      <c r="AC132" s="21" t="s">
        <v>2217</v>
      </c>
      <c r="AD132" s="25" t="n">
        <f aca="false">LEN(AC132)</f>
        <v>53</v>
      </c>
      <c r="AE132" s="21" t="s">
        <v>2218</v>
      </c>
      <c r="AF132" s="25" t="n">
        <f aca="false">LEN(AE132)</f>
        <v>159</v>
      </c>
    </row>
    <row r="133" customFormat="false" ht="15" hidden="false" customHeight="true" outlineLevel="0" collapsed="false">
      <c r="A133" s="21" t="s">
        <v>1172</v>
      </c>
      <c r="B133" s="21" t="s">
        <v>1373</v>
      </c>
      <c r="C133" s="21" t="n">
        <v>132</v>
      </c>
      <c r="D133" s="21" t="s">
        <v>846</v>
      </c>
      <c r="E133" s="21"/>
      <c r="F133" s="21" t="s">
        <v>1374</v>
      </c>
      <c r="G133" s="21" t="s">
        <v>396</v>
      </c>
      <c r="H133" s="21" t="s">
        <v>397</v>
      </c>
      <c r="I133" s="21" t="s">
        <v>1173</v>
      </c>
      <c r="J133" s="21" t="s">
        <v>1663</v>
      </c>
      <c r="K133" s="21" t="n">
        <v>10.99</v>
      </c>
      <c r="L133" s="21" t="s">
        <v>2219</v>
      </c>
      <c r="M133" s="21" t="s">
        <v>2220</v>
      </c>
      <c r="N133" s="21" t="s">
        <v>2221</v>
      </c>
      <c r="O133" s="21" t="s">
        <v>2222</v>
      </c>
      <c r="P133" s="21"/>
      <c r="Q133" s="22" t="n">
        <f aca="false">IF(L133="","",IFERROR(INDEX('Semrush Data'!$A$1:$Z$20000,MATCH(L133,'Semrush Data'!$A$1:$A$20000,0),MATCH("Volume",'Semrush Data'!$A$1:$Z$1,0)),""))</f>
        <v>0</v>
      </c>
      <c r="R133" s="22" t="str">
        <f aca="false">IF(M133="","",IFERROR(INDEX('Semrush Data'!$A$1:$Z$20000,MATCH(M133,'Semrush Data'!$A$1:$A$20000,0),MATCH("Volume",'Semrush Data'!$A$1:$Z$1,0)),""))</f>
        <v/>
      </c>
      <c r="S133" s="22" t="str">
        <f aca="false">IF(N133="","",IFERROR(INDEX('Semrush Data'!$A$1:$Z$20000,MATCH(N133,'Semrush Data'!$A$1:$A$20000,0),MATCH("Volume",'Semrush Data'!$A$1:$Z$1,0)),""))</f>
        <v/>
      </c>
      <c r="T133" s="22" t="str">
        <f aca="false">IF(O133="","",IFERROR(INDEX('Semrush Data'!$A$1:$Z$20000,MATCH(O133,'Semrush Data'!$A$1:$A$20000,0),MATCH("Volume",'Semrush Data'!$A$1:$Z$1,0)),""))</f>
        <v/>
      </c>
      <c r="U133" s="22" t="str">
        <f aca="false">IF(P133="","",IFERROR(INDEX('Semrush Data'!$A$1:$Z$20000,MATCH(P133,'Semrush Data'!$A$1:$A$20000,0),MATCH("Volume",'Semrush Data'!$A$1:$Z$1,0)),""))</f>
        <v/>
      </c>
      <c r="V133" s="23" t="str">
        <f aca="false">IF(COUNT(Q133:U133)=0,L133,IF(MAX(Q133:U133)=0,L133,INDEX(L133:P133,MATCH(MAX(Q133:U133),Q133:U133,0))))</f>
        <v>deyga beetroot lip balm classic</v>
      </c>
      <c r="W133" s="22" t="n">
        <f aca="false">IFERROR(INDEX('Semrush Data'!$A$1:$Z$20000,MATCH(V133,'Semrush Data'!$A$1:$A$20000,0),MATCH("Volume",'Semrush Data'!$A$1:$Z$1,0)),"")</f>
        <v>0</v>
      </c>
      <c r="X133" s="22" t="n">
        <f aca="false">IFERROR(INDEX('Semrush Data'!$A$1:$Z$20000,MATCH(V133,'Semrush Data'!$A$1:$A$20000,0),MATCH("Keyword Difficulty*",'Semrush Data'!$A$1:$Z$1,0)),"")</f>
        <v>22</v>
      </c>
      <c r="Y133" s="24" t="n">
        <f aca="false">IFERROR(INDEX('Semrush Data'!$A$1:$Z$20000,MATCH(V133,'Semrush Data'!$A$1:$A$20000,0),MATCH("CPC*",'Semrush Data'!$A$1:$Z$1,0)),"")</f>
        <v>0</v>
      </c>
      <c r="Z133" s="21" t="s">
        <v>2056</v>
      </c>
      <c r="AA133" s="21" t="s">
        <v>1178</v>
      </c>
      <c r="AB133" s="21" t="s">
        <v>1174</v>
      </c>
      <c r="AC133" s="21" t="s">
        <v>2223</v>
      </c>
      <c r="AD133" s="25" t="n">
        <f aca="false">LEN(AC133)</f>
        <v>58</v>
      </c>
      <c r="AE133" s="21" t="s">
        <v>2224</v>
      </c>
      <c r="AF133" s="25" t="n">
        <f aca="false">LEN(AE133)</f>
        <v>156</v>
      </c>
    </row>
    <row r="134" customFormat="false" ht="15" hidden="false" customHeight="true" outlineLevel="0" collapsed="false">
      <c r="A134" s="21" t="s">
        <v>1179</v>
      </c>
      <c r="B134" s="21" t="s">
        <v>1373</v>
      </c>
      <c r="C134" s="21" t="n">
        <v>133</v>
      </c>
      <c r="D134" s="21" t="s">
        <v>846</v>
      </c>
      <c r="E134" s="21"/>
      <c r="F134" s="21" t="s">
        <v>1374</v>
      </c>
      <c r="G134" s="21" t="s">
        <v>374</v>
      </c>
      <c r="H134" s="21" t="s">
        <v>316</v>
      </c>
      <c r="I134" s="21" t="s">
        <v>1180</v>
      </c>
      <c r="J134" s="21" t="s">
        <v>2225</v>
      </c>
      <c r="K134" s="21" t="n">
        <v>45.98</v>
      </c>
      <c r="L134" s="21" t="s">
        <v>2226</v>
      </c>
      <c r="M134" s="21" t="s">
        <v>2227</v>
      </c>
      <c r="N134" s="21" t="s">
        <v>2228</v>
      </c>
      <c r="O134" s="21" t="s">
        <v>2229</v>
      </c>
      <c r="P134" s="21"/>
      <c r="Q134" s="22" t="n">
        <f aca="false">IF(L134="","",IFERROR(INDEX('Semrush Data'!$A$1:$Z$20000,MATCH(L134,'Semrush Data'!$A$1:$A$20000,0),MATCH("Volume",'Semrush Data'!$A$1:$Z$1,0)),""))</f>
        <v>20</v>
      </c>
      <c r="R134" s="22" t="str">
        <f aca="false">IF(M134="","",IFERROR(INDEX('Semrush Data'!$A$1:$Z$20000,MATCH(M134,'Semrush Data'!$A$1:$A$20000,0),MATCH("Volume",'Semrush Data'!$A$1:$Z$1,0)),""))</f>
        <v/>
      </c>
      <c r="S134" s="22" t="str">
        <f aca="false">IF(N134="","",IFERROR(INDEX('Semrush Data'!$A$1:$Z$20000,MATCH(N134,'Semrush Data'!$A$1:$A$20000,0),MATCH("Volume",'Semrush Data'!$A$1:$Z$1,0)),""))</f>
        <v/>
      </c>
      <c r="T134" s="22" t="str">
        <f aca="false">IF(O134="","",IFERROR(INDEX('Semrush Data'!$A$1:$Z$20000,MATCH(O134,'Semrush Data'!$A$1:$A$20000,0),MATCH("Volume",'Semrush Data'!$A$1:$Z$1,0)),""))</f>
        <v/>
      </c>
      <c r="U134" s="22" t="str">
        <f aca="false">IF(P134="","",IFERROR(INDEX('Semrush Data'!$A$1:$Z$20000,MATCH(P134,'Semrush Data'!$A$1:$A$20000,0),MATCH("Volume",'Semrush Data'!$A$1:$Z$1,0)),""))</f>
        <v/>
      </c>
      <c r="V134" s="23" t="str">
        <f aca="false">IF(COUNT(Q134:U134)=0,L134,IF(MAX(Q134:U134)=0,L134,INDEX(L134:P134,MATCH(MAX(Q134:U134),Q134:U134,0))))</f>
        <v>deyga under eye cream</v>
      </c>
      <c r="W134" s="22" t="n">
        <f aca="false">IFERROR(INDEX('Semrush Data'!$A$1:$Z$20000,MATCH(V134,'Semrush Data'!$A$1:$A$20000,0),MATCH("Volume",'Semrush Data'!$A$1:$Z$1,0)),"")</f>
        <v>20</v>
      </c>
      <c r="X134" s="22" t="n">
        <f aca="false">IFERROR(INDEX('Semrush Data'!$A$1:$Z$20000,MATCH(V134,'Semrush Data'!$A$1:$A$20000,0),MATCH("Keyword Difficulty*",'Semrush Data'!$A$1:$Z$1,0)),"")</f>
        <v>14</v>
      </c>
      <c r="Y134" s="24" t="n">
        <f aca="false">IFERROR(INDEX('Semrush Data'!$A$1:$Z$20000,MATCH(V134,'Semrush Data'!$A$1:$A$20000,0),MATCH("CPC*",'Semrush Data'!$A$1:$Z$1,0)),"")</f>
        <v>0</v>
      </c>
      <c r="Z134" s="21" t="s">
        <v>2170</v>
      </c>
      <c r="AA134" s="21" t="s">
        <v>1185</v>
      </c>
      <c r="AB134" s="21" t="s">
        <v>1181</v>
      </c>
      <c r="AC134" s="21" t="s">
        <v>2230</v>
      </c>
      <c r="AD134" s="25" t="n">
        <f aca="false">LEN(AC134)</f>
        <v>52</v>
      </c>
      <c r="AE134" s="21" t="s">
        <v>2231</v>
      </c>
      <c r="AF134" s="25" t="n">
        <f aca="false">LEN(AE134)</f>
        <v>160</v>
      </c>
    </row>
    <row r="135" customFormat="false" ht="15" hidden="false" customHeight="true" outlineLevel="0" collapsed="false">
      <c r="A135" s="21" t="s">
        <v>1186</v>
      </c>
      <c r="B135" s="21" t="s">
        <v>1373</v>
      </c>
      <c r="C135" s="21" t="n">
        <v>134</v>
      </c>
      <c r="D135" s="21" t="s">
        <v>846</v>
      </c>
      <c r="E135" s="21"/>
      <c r="F135" s="21" t="s">
        <v>1374</v>
      </c>
      <c r="G135" s="21" t="s">
        <v>501</v>
      </c>
      <c r="H135" s="21" t="s">
        <v>526</v>
      </c>
      <c r="I135" s="21" t="s">
        <v>1187</v>
      </c>
      <c r="J135" s="21" t="s">
        <v>1920</v>
      </c>
      <c r="K135" s="21" t="n">
        <v>50.99</v>
      </c>
      <c r="L135" s="21" t="s">
        <v>2232</v>
      </c>
      <c r="M135" s="21" t="s">
        <v>2233</v>
      </c>
      <c r="N135" s="21" t="s">
        <v>2234</v>
      </c>
      <c r="O135" s="21" t="s">
        <v>2235</v>
      </c>
      <c r="P135" s="21"/>
      <c r="Q135" s="22" t="n">
        <f aca="false">IF(L135="","",IFERROR(INDEX('Semrush Data'!$A$1:$Z$20000,MATCH(L135,'Semrush Data'!$A$1:$A$20000,0),MATCH("Volume",'Semrush Data'!$A$1:$Z$1,0)),""))</f>
        <v>0</v>
      </c>
      <c r="R135" s="22" t="n">
        <f aca="false">IF(M135="","",IFERROR(INDEX('Semrush Data'!$A$1:$Z$20000,MATCH(M135,'Semrush Data'!$A$1:$A$20000,0),MATCH("Volume",'Semrush Data'!$A$1:$Z$1,0)),""))</f>
        <v>0</v>
      </c>
      <c r="S135" s="22" t="str">
        <f aca="false">IF(N135="","",IFERROR(INDEX('Semrush Data'!$A$1:$Z$20000,MATCH(N135,'Semrush Data'!$A$1:$A$20000,0),MATCH("Volume",'Semrush Data'!$A$1:$Z$1,0)),""))</f>
        <v/>
      </c>
      <c r="T135" s="22" t="str">
        <f aca="false">IF(O135="","",IFERROR(INDEX('Semrush Data'!$A$1:$Z$20000,MATCH(O135,'Semrush Data'!$A$1:$A$20000,0),MATCH("Volume",'Semrush Data'!$A$1:$Z$1,0)),""))</f>
        <v/>
      </c>
      <c r="U135" s="22" t="str">
        <f aca="false">IF(P135="","",IFERROR(INDEX('Semrush Data'!$A$1:$Z$20000,MATCH(P135,'Semrush Data'!$A$1:$A$20000,0),MATCH("Volume",'Semrush Data'!$A$1:$Z$1,0)),""))</f>
        <v/>
      </c>
      <c r="V135" s="23" t="str">
        <f aca="false">IF(COUNT(Q135:U135)=0,L135,IF(MAX(Q135:U135)=0,L135,INDEX(L135:P135,MATCH(MAX(Q135:U135),Q135:U135,0))))</f>
        <v>deyga 10% vitamin c face serum</v>
      </c>
      <c r="W135" s="22" t="n">
        <f aca="false">IFERROR(INDEX('Semrush Data'!$A$1:$Z$20000,MATCH(V135,'Semrush Data'!$A$1:$A$20000,0),MATCH("Volume",'Semrush Data'!$A$1:$Z$1,0)),"")</f>
        <v>0</v>
      </c>
      <c r="X135" s="22" t="n">
        <f aca="false">IFERROR(INDEX('Semrush Data'!$A$1:$Z$20000,MATCH(V135,'Semrush Data'!$A$1:$A$20000,0),MATCH("Keyword Difficulty*",'Semrush Data'!$A$1:$Z$1,0)),"")</f>
        <v>14</v>
      </c>
      <c r="Y135" s="24" t="n">
        <f aca="false">IFERROR(INDEX('Semrush Data'!$A$1:$Z$20000,MATCH(V135,'Semrush Data'!$A$1:$A$20000,0),MATCH("CPC*",'Semrush Data'!$A$1:$Z$1,0)),"")</f>
        <v>0</v>
      </c>
      <c r="Z135" s="21" t="s">
        <v>1925</v>
      </c>
      <c r="AA135" s="21" t="s">
        <v>1193</v>
      </c>
      <c r="AB135" s="21" t="s">
        <v>1189</v>
      </c>
      <c r="AC135" s="21" t="s">
        <v>2236</v>
      </c>
      <c r="AD135" s="25" t="n">
        <f aca="false">LEN(AC135)</f>
        <v>57</v>
      </c>
      <c r="AE135" s="21" t="s">
        <v>2237</v>
      </c>
      <c r="AF135" s="25" t="n">
        <f aca="false">LEN(AE135)</f>
        <v>160</v>
      </c>
    </row>
    <row r="136" customFormat="false" ht="15" hidden="false" customHeight="true" outlineLevel="0" collapsed="false">
      <c r="A136" s="21" t="s">
        <v>1194</v>
      </c>
      <c r="B136" s="21" t="s">
        <v>1373</v>
      </c>
      <c r="C136" s="21" t="n">
        <v>135</v>
      </c>
      <c r="D136" s="21" t="s">
        <v>846</v>
      </c>
      <c r="E136" s="21"/>
      <c r="F136" s="21" t="s">
        <v>1374</v>
      </c>
      <c r="G136" s="21" t="s">
        <v>887</v>
      </c>
      <c r="H136" s="21" t="s">
        <v>316</v>
      </c>
      <c r="I136" s="21" t="s">
        <v>1195</v>
      </c>
      <c r="J136" s="21" t="s">
        <v>2238</v>
      </c>
      <c r="K136" s="21" t="n">
        <v>19.99</v>
      </c>
      <c r="L136" s="21" t="s">
        <v>2239</v>
      </c>
      <c r="M136" s="21" t="s">
        <v>2240</v>
      </c>
      <c r="N136" s="21" t="s">
        <v>2241</v>
      </c>
      <c r="O136" s="21" t="s">
        <v>2242</v>
      </c>
      <c r="P136" s="21"/>
      <c r="Q136" s="22" t="n">
        <f aca="false">IF(L136="","",IFERROR(INDEX('Semrush Data'!$A$1:$Z$20000,MATCH(L136,'Semrush Data'!$A$1:$A$20000,0),MATCH("Volume",'Semrush Data'!$A$1:$Z$1,0)),""))</f>
        <v>0</v>
      </c>
      <c r="R136" s="22" t="str">
        <f aca="false">IF(M136="","",IFERROR(INDEX('Semrush Data'!$A$1:$Z$20000,MATCH(M136,'Semrush Data'!$A$1:$A$20000,0),MATCH("Volume",'Semrush Data'!$A$1:$Z$1,0)),""))</f>
        <v/>
      </c>
      <c r="S136" s="22" t="str">
        <f aca="false">IF(N136="","",IFERROR(INDEX('Semrush Data'!$A$1:$Z$20000,MATCH(N136,'Semrush Data'!$A$1:$A$20000,0),MATCH("Volume",'Semrush Data'!$A$1:$Z$1,0)),""))</f>
        <v/>
      </c>
      <c r="T136" s="22" t="str">
        <f aca="false">IF(O136="","",IFERROR(INDEX('Semrush Data'!$A$1:$Z$20000,MATCH(O136,'Semrush Data'!$A$1:$A$20000,0),MATCH("Volume",'Semrush Data'!$A$1:$Z$1,0)),""))</f>
        <v/>
      </c>
      <c r="U136" s="22" t="str">
        <f aca="false">IF(P136="","",IFERROR(INDEX('Semrush Data'!$A$1:$Z$20000,MATCH(P136,'Semrush Data'!$A$1:$A$20000,0),MATCH("Volume",'Semrush Data'!$A$1:$Z$1,0)),""))</f>
        <v/>
      </c>
      <c r="V136" s="23" t="str">
        <f aca="false">IF(COUNT(Q136:U136)=0,L136,IF(MAX(Q136:U136)=0,L136,INDEX(L136:P136,MATCH(MAX(Q136:U136),Q136:U136,0))))</f>
        <v>deyga natural loose setting powder</v>
      </c>
      <c r="W136" s="22" t="n">
        <f aca="false">IFERROR(INDEX('Semrush Data'!$A$1:$Z$20000,MATCH(V136,'Semrush Data'!$A$1:$A$20000,0),MATCH("Volume",'Semrush Data'!$A$1:$Z$1,0)),"")</f>
        <v>0</v>
      </c>
      <c r="X136" s="22" t="n">
        <f aca="false">IFERROR(INDEX('Semrush Data'!$A$1:$Z$20000,MATCH(V136,'Semrush Data'!$A$1:$A$20000,0),MATCH("Keyword Difficulty*",'Semrush Data'!$A$1:$Z$1,0)),"")</f>
        <v>13</v>
      </c>
      <c r="Y136" s="24" t="n">
        <f aca="false">IFERROR(INDEX('Semrush Data'!$A$1:$Z$20000,MATCH(V136,'Semrush Data'!$A$1:$A$20000,0),MATCH("CPC*",'Semrush Data'!$A$1:$Z$1,0)),"")</f>
        <v>0</v>
      </c>
      <c r="Z136" s="21" t="s">
        <v>1932</v>
      </c>
      <c r="AA136" s="21"/>
      <c r="AB136" s="21" t="s">
        <v>1196</v>
      </c>
      <c r="AC136" s="21" t="s">
        <v>2243</v>
      </c>
      <c r="AD136" s="25" t="n">
        <f aca="false">LEN(AC136)</f>
        <v>48</v>
      </c>
      <c r="AE136" s="21" t="s">
        <v>2244</v>
      </c>
      <c r="AF136" s="25" t="n">
        <f aca="false">LEN(AE136)</f>
        <v>159</v>
      </c>
    </row>
    <row r="137" customFormat="false" ht="15" hidden="false" customHeight="true" outlineLevel="0" collapsed="false">
      <c r="A137" s="21" t="s">
        <v>1200</v>
      </c>
      <c r="B137" s="21" t="s">
        <v>1373</v>
      </c>
      <c r="C137" s="21" t="n">
        <v>136</v>
      </c>
      <c r="D137" s="21" t="s">
        <v>846</v>
      </c>
      <c r="E137" s="21"/>
      <c r="F137" s="21" t="s">
        <v>1676</v>
      </c>
      <c r="G137" s="21" t="s">
        <v>659</v>
      </c>
      <c r="H137" s="21" t="s">
        <v>397</v>
      </c>
      <c r="I137" s="21" t="s">
        <v>1201</v>
      </c>
      <c r="J137" s="21"/>
      <c r="K137" s="21" t="n">
        <v>17.99</v>
      </c>
      <c r="L137" s="21" t="s">
        <v>2245</v>
      </c>
      <c r="M137" s="21" t="s">
        <v>2246</v>
      </c>
      <c r="N137" s="21" t="s">
        <v>2247</v>
      </c>
      <c r="O137" s="21" t="s">
        <v>2248</v>
      </c>
      <c r="P137" s="21"/>
      <c r="Q137" s="22" t="n">
        <f aca="false">IF(L137="","",IFERROR(INDEX('Semrush Data'!$A$1:$Z$20000,MATCH(L137,'Semrush Data'!$A$1:$A$20000,0),MATCH("Volume",'Semrush Data'!$A$1:$Z$1,0)),""))</f>
        <v>0</v>
      </c>
      <c r="R137" s="22" t="str">
        <f aca="false">IF(M137="","",IFERROR(INDEX('Semrush Data'!$A$1:$Z$20000,MATCH(M137,'Semrush Data'!$A$1:$A$20000,0),MATCH("Volume",'Semrush Data'!$A$1:$Z$1,0)),""))</f>
        <v/>
      </c>
      <c r="S137" s="22" t="str">
        <f aca="false">IF(N137="","",IFERROR(INDEX('Semrush Data'!$A$1:$Z$20000,MATCH(N137,'Semrush Data'!$A$1:$A$20000,0),MATCH("Volume",'Semrush Data'!$A$1:$Z$1,0)),""))</f>
        <v/>
      </c>
      <c r="T137" s="22" t="str">
        <f aca="false">IF(O137="","",IFERROR(INDEX('Semrush Data'!$A$1:$Z$20000,MATCH(O137,'Semrush Data'!$A$1:$A$20000,0),MATCH("Volume",'Semrush Data'!$A$1:$Z$1,0)),""))</f>
        <v/>
      </c>
      <c r="U137" s="22" t="str">
        <f aca="false">IF(P137="","",IFERROR(INDEX('Semrush Data'!$A$1:$Z$20000,MATCH(P137,'Semrush Data'!$A$1:$A$20000,0),MATCH("Volume",'Semrush Data'!$A$1:$Z$1,0)),""))</f>
        <v/>
      </c>
      <c r="V137" s="23" t="str">
        <f aca="false">IF(COUNT(Q137:U137)=0,L137,IF(MAX(Q137:U137)=0,L137,INDEX(L137:P137,MATCH(MAX(Q137:U137),Q137:U137,0))))</f>
        <v>deyga soft lip combo</v>
      </c>
      <c r="W137" s="22" t="n">
        <f aca="false">IFERROR(INDEX('Semrush Data'!$A$1:$Z$20000,MATCH(V137,'Semrush Data'!$A$1:$A$20000,0),MATCH("Volume",'Semrush Data'!$A$1:$Z$1,0)),"")</f>
        <v>0</v>
      </c>
      <c r="X137" s="22" t="n">
        <f aca="false">IFERROR(INDEX('Semrush Data'!$A$1:$Z$20000,MATCH(V137,'Semrush Data'!$A$1:$A$20000,0),MATCH("Keyword Difficulty*",'Semrush Data'!$A$1:$Z$1,0)),"")</f>
        <v>14</v>
      </c>
      <c r="Y137" s="24" t="n">
        <f aca="false">IFERROR(INDEX('Semrush Data'!$A$1:$Z$20000,MATCH(V137,'Semrush Data'!$A$1:$A$20000,0),MATCH("CPC*",'Semrush Data'!$A$1:$Z$1,0)),"")</f>
        <v>0</v>
      </c>
      <c r="Z137" s="21" t="s">
        <v>2249</v>
      </c>
      <c r="AA137" s="21"/>
      <c r="AB137" s="21" t="s">
        <v>1202</v>
      </c>
      <c r="AC137" s="21" t="s">
        <v>2250</v>
      </c>
      <c r="AD137" s="25" t="n">
        <f aca="false">LEN(AC137)</f>
        <v>53</v>
      </c>
      <c r="AE137" s="21" t="s">
        <v>2251</v>
      </c>
      <c r="AF137" s="25" t="n">
        <f aca="false">LEN(AE137)</f>
        <v>160</v>
      </c>
    </row>
    <row r="138" customFormat="false" ht="15" hidden="false" customHeight="true" outlineLevel="0" collapsed="false">
      <c r="A138" s="21" t="s">
        <v>1206</v>
      </c>
      <c r="B138" s="21" t="s">
        <v>1373</v>
      </c>
      <c r="C138" s="21" t="n">
        <v>137</v>
      </c>
      <c r="D138" s="21" t="s">
        <v>846</v>
      </c>
      <c r="E138" s="21"/>
      <c r="F138" s="21" t="s">
        <v>1676</v>
      </c>
      <c r="G138" s="21" t="s">
        <v>659</v>
      </c>
      <c r="H138" s="21" t="s">
        <v>347</v>
      </c>
      <c r="I138" s="21" t="s">
        <v>1207</v>
      </c>
      <c r="J138" s="21"/>
      <c r="K138" s="21" t="n">
        <v>30.99</v>
      </c>
      <c r="L138" s="21" t="s">
        <v>2252</v>
      </c>
      <c r="M138" s="21" t="s">
        <v>2253</v>
      </c>
      <c r="N138" s="21" t="s">
        <v>2254</v>
      </c>
      <c r="O138" s="21" t="s">
        <v>2255</v>
      </c>
      <c r="P138" s="21"/>
      <c r="Q138" s="22" t="n">
        <f aca="false">IF(L138="","",IFERROR(INDEX('Semrush Data'!$A$1:$Z$20000,MATCH(L138,'Semrush Data'!$A$1:$A$20000,0),MATCH("Volume",'Semrush Data'!$A$1:$Z$1,0)),""))</f>
        <v>0</v>
      </c>
      <c r="R138" s="22" t="str">
        <f aca="false">IF(M138="","",IFERROR(INDEX('Semrush Data'!$A$1:$Z$20000,MATCH(M138,'Semrush Data'!$A$1:$A$20000,0),MATCH("Volume",'Semrush Data'!$A$1:$Z$1,0)),""))</f>
        <v/>
      </c>
      <c r="S138" s="22" t="str">
        <f aca="false">IF(N138="","",IFERROR(INDEX('Semrush Data'!$A$1:$Z$20000,MATCH(N138,'Semrush Data'!$A$1:$A$20000,0),MATCH("Volume",'Semrush Data'!$A$1:$Z$1,0)),""))</f>
        <v/>
      </c>
      <c r="T138" s="22" t="str">
        <f aca="false">IF(O138="","",IFERROR(INDEX('Semrush Data'!$A$1:$Z$20000,MATCH(O138,'Semrush Data'!$A$1:$A$20000,0),MATCH("Volume",'Semrush Data'!$A$1:$Z$1,0)),""))</f>
        <v/>
      </c>
      <c r="U138" s="22" t="str">
        <f aca="false">IF(P138="","",IFERROR(INDEX('Semrush Data'!$A$1:$Z$20000,MATCH(P138,'Semrush Data'!$A$1:$A$20000,0),MATCH("Volume",'Semrush Data'!$A$1:$Z$1,0)),""))</f>
        <v/>
      </c>
      <c r="V138" s="23" t="str">
        <f aca="false">IF(COUNT(Q138:U138)=0,L138,IF(MAX(Q138:U138)=0,L138,INDEX(L138:P138,MATCH(MAX(Q138:U138),Q138:U138,0))))</f>
        <v>deyga vitamin c daily glow combo</v>
      </c>
      <c r="W138" s="22" t="n">
        <f aca="false">IFERROR(INDEX('Semrush Data'!$A$1:$Z$20000,MATCH(V138,'Semrush Data'!$A$1:$A$20000,0),MATCH("Volume",'Semrush Data'!$A$1:$Z$1,0)),"")</f>
        <v>0</v>
      </c>
      <c r="X138" s="22" t="n">
        <f aca="false">IFERROR(INDEX('Semrush Data'!$A$1:$Z$20000,MATCH(V138,'Semrush Data'!$A$1:$A$20000,0),MATCH("Keyword Difficulty*",'Semrush Data'!$A$1:$Z$1,0)),"")</f>
        <v>28</v>
      </c>
      <c r="Y138" s="24" t="n">
        <f aca="false">IFERROR(INDEX('Semrush Data'!$A$1:$Z$20000,MATCH(V138,'Semrush Data'!$A$1:$A$20000,0),MATCH("CPC*",'Semrush Data'!$A$1:$Z$1,0)),"")</f>
        <v>0</v>
      </c>
      <c r="Z138" s="21" t="s">
        <v>2249</v>
      </c>
      <c r="AA138" s="21"/>
      <c r="AB138" s="21" t="s">
        <v>1208</v>
      </c>
      <c r="AC138" s="21" t="s">
        <v>2256</v>
      </c>
      <c r="AD138" s="25" t="n">
        <f aca="false">LEN(AC138)</f>
        <v>59</v>
      </c>
      <c r="AE138" s="21" t="s">
        <v>2257</v>
      </c>
      <c r="AF138" s="25" t="n">
        <f aca="false">LEN(AE138)</f>
        <v>157</v>
      </c>
    </row>
    <row r="139" customFormat="false" ht="15" hidden="false" customHeight="true" outlineLevel="0" collapsed="false">
      <c r="A139" s="21" t="s">
        <v>1212</v>
      </c>
      <c r="B139" s="21" t="s">
        <v>1373</v>
      </c>
      <c r="C139" s="21" t="n">
        <v>138</v>
      </c>
      <c r="D139" s="21" t="s">
        <v>846</v>
      </c>
      <c r="E139" s="21"/>
      <c r="F139" s="21" t="s">
        <v>1676</v>
      </c>
      <c r="G139" s="21" t="s">
        <v>659</v>
      </c>
      <c r="H139" s="21" t="s">
        <v>689</v>
      </c>
      <c r="I139" s="21" t="s">
        <v>1213</v>
      </c>
      <c r="J139" s="21"/>
      <c r="K139" s="21" t="n">
        <v>29.99</v>
      </c>
      <c r="L139" s="21" t="s">
        <v>2258</v>
      </c>
      <c r="M139" s="21" t="s">
        <v>2259</v>
      </c>
      <c r="N139" s="21" t="s">
        <v>2260</v>
      </c>
      <c r="O139" s="21" t="s">
        <v>2261</v>
      </c>
      <c r="P139" s="21"/>
      <c r="Q139" s="22" t="n">
        <f aca="false">IF(L139="","",IFERROR(INDEX('Semrush Data'!$A$1:$Z$20000,MATCH(L139,'Semrush Data'!$A$1:$A$20000,0),MATCH("Volume",'Semrush Data'!$A$1:$Z$1,0)),""))</f>
        <v>0</v>
      </c>
      <c r="R139" s="22" t="str">
        <f aca="false">IF(M139="","",IFERROR(INDEX('Semrush Data'!$A$1:$Z$20000,MATCH(M139,'Semrush Data'!$A$1:$A$20000,0),MATCH("Volume",'Semrush Data'!$A$1:$Z$1,0)),""))</f>
        <v/>
      </c>
      <c r="S139" s="22" t="str">
        <f aca="false">IF(N139="","",IFERROR(INDEX('Semrush Data'!$A$1:$Z$20000,MATCH(N139,'Semrush Data'!$A$1:$A$20000,0),MATCH("Volume",'Semrush Data'!$A$1:$Z$1,0)),""))</f>
        <v/>
      </c>
      <c r="T139" s="22" t="str">
        <f aca="false">IF(O139="","",IFERROR(INDEX('Semrush Data'!$A$1:$Z$20000,MATCH(O139,'Semrush Data'!$A$1:$A$20000,0),MATCH("Volume",'Semrush Data'!$A$1:$Z$1,0)),""))</f>
        <v/>
      </c>
      <c r="U139" s="22" t="str">
        <f aca="false">IF(P139="","",IFERROR(INDEX('Semrush Data'!$A$1:$Z$20000,MATCH(P139,'Semrush Data'!$A$1:$A$20000,0),MATCH("Volume",'Semrush Data'!$A$1:$Z$1,0)),""))</f>
        <v/>
      </c>
      <c r="V139" s="23" t="str">
        <f aca="false">IF(COUNT(Q139:U139)=0,L139,IF(MAX(Q139:U139)=0,L139,INDEX(L139:P139,MATCH(MAX(Q139:U139),Q139:U139,0))))</f>
        <v>deyga acne relief combo</v>
      </c>
      <c r="W139" s="22" t="n">
        <f aca="false">IFERROR(INDEX('Semrush Data'!$A$1:$Z$20000,MATCH(V139,'Semrush Data'!$A$1:$A$20000,0),MATCH("Volume",'Semrush Data'!$A$1:$Z$1,0)),"")</f>
        <v>0</v>
      </c>
      <c r="X139" s="22" t="n">
        <f aca="false">IFERROR(INDEX('Semrush Data'!$A$1:$Z$20000,MATCH(V139,'Semrush Data'!$A$1:$A$20000,0),MATCH("Keyword Difficulty*",'Semrush Data'!$A$1:$Z$1,0)),"")</f>
        <v>14</v>
      </c>
      <c r="Y139" s="24" t="n">
        <f aca="false">IFERROR(INDEX('Semrush Data'!$A$1:$Z$20000,MATCH(V139,'Semrush Data'!$A$1:$A$20000,0),MATCH("CPC*",'Semrush Data'!$A$1:$Z$1,0)),"")</f>
        <v>0</v>
      </c>
      <c r="Z139" s="21" t="s">
        <v>2249</v>
      </c>
      <c r="AA139" s="21"/>
      <c r="AB139" s="21" t="s">
        <v>1214</v>
      </c>
      <c r="AC139" s="21" t="s">
        <v>2262</v>
      </c>
      <c r="AD139" s="25" t="n">
        <f aca="false">LEN(AC139)</f>
        <v>50</v>
      </c>
      <c r="AE139" s="21" t="s">
        <v>2263</v>
      </c>
      <c r="AF139" s="25" t="n">
        <f aca="false">LEN(AE139)</f>
        <v>157</v>
      </c>
    </row>
    <row r="140" customFormat="false" ht="15" hidden="false" customHeight="true" outlineLevel="0" collapsed="false">
      <c r="A140" s="21" t="s">
        <v>1218</v>
      </c>
      <c r="B140" s="21" t="s">
        <v>1373</v>
      </c>
      <c r="C140" s="21" t="n">
        <v>139</v>
      </c>
      <c r="D140" s="21" t="s">
        <v>846</v>
      </c>
      <c r="E140" s="21"/>
      <c r="F140" s="21" t="s">
        <v>1676</v>
      </c>
      <c r="G140" s="21" t="s">
        <v>659</v>
      </c>
      <c r="H140" s="21" t="s">
        <v>689</v>
      </c>
      <c r="I140" s="21" t="s">
        <v>1219</v>
      </c>
      <c r="J140" s="21"/>
      <c r="K140" s="21" t="n">
        <v>34.99</v>
      </c>
      <c r="L140" s="21" t="s">
        <v>2264</v>
      </c>
      <c r="M140" s="21" t="s">
        <v>2265</v>
      </c>
      <c r="N140" s="21" t="s">
        <v>2266</v>
      </c>
      <c r="O140" s="21" t="s">
        <v>2267</v>
      </c>
      <c r="P140" s="21"/>
      <c r="Q140" s="22" t="n">
        <f aca="false">IF(L140="","",IFERROR(INDEX('Semrush Data'!$A$1:$Z$20000,MATCH(L140,'Semrush Data'!$A$1:$A$20000,0),MATCH("Volume",'Semrush Data'!$A$1:$Z$1,0)),""))</f>
        <v>0</v>
      </c>
      <c r="R140" s="22" t="str">
        <f aca="false">IF(M140="","",IFERROR(INDEX('Semrush Data'!$A$1:$Z$20000,MATCH(M140,'Semrush Data'!$A$1:$A$20000,0),MATCH("Volume",'Semrush Data'!$A$1:$Z$1,0)),""))</f>
        <v/>
      </c>
      <c r="S140" s="22" t="str">
        <f aca="false">IF(N140="","",IFERROR(INDEX('Semrush Data'!$A$1:$Z$20000,MATCH(N140,'Semrush Data'!$A$1:$A$20000,0),MATCH("Volume",'Semrush Data'!$A$1:$Z$1,0)),""))</f>
        <v/>
      </c>
      <c r="T140" s="22" t="str">
        <f aca="false">IF(O140="","",IFERROR(INDEX('Semrush Data'!$A$1:$Z$20000,MATCH(O140,'Semrush Data'!$A$1:$A$20000,0),MATCH("Volume",'Semrush Data'!$A$1:$Z$1,0)),""))</f>
        <v/>
      </c>
      <c r="U140" s="22" t="str">
        <f aca="false">IF(P140="","",IFERROR(INDEX('Semrush Data'!$A$1:$Z$20000,MATCH(P140,'Semrush Data'!$A$1:$A$20000,0),MATCH("Volume",'Semrush Data'!$A$1:$Z$1,0)),""))</f>
        <v/>
      </c>
      <c r="V140" s="23" t="str">
        <f aca="false">IF(COUNT(Q140:U140)=0,L140,IF(MAX(Q140:U140)=0,L140,INDEX(L140:P140,MATCH(MAX(Q140:U140),Q140:U140,0))))</f>
        <v>deyga acne vanishing combo</v>
      </c>
      <c r="W140" s="22" t="n">
        <f aca="false">IFERROR(INDEX('Semrush Data'!$A$1:$Z$20000,MATCH(V140,'Semrush Data'!$A$1:$A$20000,0),MATCH("Volume",'Semrush Data'!$A$1:$Z$1,0)),"")</f>
        <v>0</v>
      </c>
      <c r="X140" s="22" t="n">
        <f aca="false">IFERROR(INDEX('Semrush Data'!$A$1:$Z$20000,MATCH(V140,'Semrush Data'!$A$1:$A$20000,0),MATCH("Keyword Difficulty*",'Semrush Data'!$A$1:$Z$1,0)),"")</f>
        <v>14</v>
      </c>
      <c r="Y140" s="24" t="n">
        <f aca="false">IFERROR(INDEX('Semrush Data'!$A$1:$Z$20000,MATCH(V140,'Semrush Data'!$A$1:$A$20000,0),MATCH("CPC*",'Semrush Data'!$A$1:$Z$1,0)),"")</f>
        <v>0</v>
      </c>
      <c r="Z140" s="21" t="s">
        <v>2249</v>
      </c>
      <c r="AA140" s="21"/>
      <c r="AB140" s="21" t="s">
        <v>1220</v>
      </c>
      <c r="AC140" s="21" t="s">
        <v>2268</v>
      </c>
      <c r="AD140" s="25" t="n">
        <f aca="false">LEN(AC140)</f>
        <v>53</v>
      </c>
      <c r="AE140" s="21" t="s">
        <v>2269</v>
      </c>
      <c r="AF140" s="25" t="n">
        <f aca="false">LEN(AE140)</f>
        <v>160</v>
      </c>
    </row>
    <row r="141" customFormat="false" ht="15" hidden="false" customHeight="true" outlineLevel="0" collapsed="false">
      <c r="A141" s="21" t="s">
        <v>1224</v>
      </c>
      <c r="B141" s="21" t="s">
        <v>1373</v>
      </c>
      <c r="C141" s="21" t="n">
        <v>140</v>
      </c>
      <c r="D141" s="21" t="s">
        <v>846</v>
      </c>
      <c r="E141" s="21"/>
      <c r="F141" s="21" t="s">
        <v>1676</v>
      </c>
      <c r="G141" s="21" t="s">
        <v>659</v>
      </c>
      <c r="H141" s="21" t="s">
        <v>375</v>
      </c>
      <c r="I141" s="21" t="s">
        <v>1225</v>
      </c>
      <c r="J141" s="21"/>
      <c r="K141" s="21" t="n">
        <v>37.99</v>
      </c>
      <c r="L141" s="21" t="s">
        <v>2270</v>
      </c>
      <c r="M141" s="21" t="s">
        <v>2271</v>
      </c>
      <c r="N141" s="21" t="s">
        <v>2272</v>
      </c>
      <c r="O141" s="21" t="s">
        <v>2273</v>
      </c>
      <c r="P141" s="21"/>
      <c r="Q141" s="22" t="n">
        <f aca="false">IF(L141="","",IFERROR(INDEX('Semrush Data'!$A$1:$Z$20000,MATCH(L141,'Semrush Data'!$A$1:$A$20000,0),MATCH("Volume",'Semrush Data'!$A$1:$Z$1,0)),""))</f>
        <v>0</v>
      </c>
      <c r="R141" s="22" t="str">
        <f aca="false">IF(M141="","",IFERROR(INDEX('Semrush Data'!$A$1:$Z$20000,MATCH(M141,'Semrush Data'!$A$1:$A$20000,0),MATCH("Volume",'Semrush Data'!$A$1:$Z$1,0)),""))</f>
        <v/>
      </c>
      <c r="S141" s="22" t="str">
        <f aca="false">IF(N141="","",IFERROR(INDEX('Semrush Data'!$A$1:$Z$20000,MATCH(N141,'Semrush Data'!$A$1:$A$20000,0),MATCH("Volume",'Semrush Data'!$A$1:$Z$1,0)),""))</f>
        <v/>
      </c>
      <c r="T141" s="22" t="str">
        <f aca="false">IF(O141="","",IFERROR(INDEX('Semrush Data'!$A$1:$Z$20000,MATCH(O141,'Semrush Data'!$A$1:$A$20000,0),MATCH("Volume",'Semrush Data'!$A$1:$Z$1,0)),""))</f>
        <v/>
      </c>
      <c r="U141" s="22" t="str">
        <f aca="false">IF(P141="","",IFERROR(INDEX('Semrush Data'!$A$1:$Z$20000,MATCH(P141,'Semrush Data'!$A$1:$A$20000,0),MATCH("Volume",'Semrush Data'!$A$1:$Z$1,0)),""))</f>
        <v/>
      </c>
      <c r="V141" s="23" t="str">
        <f aca="false">IF(COUNT(Q141:U141)=0,L141,IF(MAX(Q141:U141)=0,L141,INDEX(L141:P141,MATCH(MAX(Q141:U141),Q141:U141,0))))</f>
        <v>deyga mini foot spa combo</v>
      </c>
      <c r="W141" s="22" t="n">
        <f aca="false">IFERROR(INDEX('Semrush Data'!$A$1:$Z$20000,MATCH(V141,'Semrush Data'!$A$1:$A$20000,0),MATCH("Volume",'Semrush Data'!$A$1:$Z$1,0)),"")</f>
        <v>0</v>
      </c>
      <c r="X141" s="22" t="n">
        <f aca="false">IFERROR(INDEX('Semrush Data'!$A$1:$Z$20000,MATCH(V141,'Semrush Data'!$A$1:$A$20000,0),MATCH("Keyword Difficulty*",'Semrush Data'!$A$1:$Z$1,0)),"")</f>
        <v>13</v>
      </c>
      <c r="Y141" s="24" t="n">
        <f aca="false">IFERROR(INDEX('Semrush Data'!$A$1:$Z$20000,MATCH(V141,'Semrush Data'!$A$1:$A$20000,0),MATCH("CPC*",'Semrush Data'!$A$1:$Z$1,0)),"")</f>
        <v>0</v>
      </c>
      <c r="Z141" s="21" t="s">
        <v>2249</v>
      </c>
      <c r="AA141" s="21"/>
      <c r="AB141" s="21" t="s">
        <v>1226</v>
      </c>
      <c r="AC141" s="21" t="s">
        <v>2274</v>
      </c>
      <c r="AD141" s="25" t="n">
        <f aca="false">LEN(AC141)</f>
        <v>52</v>
      </c>
      <c r="AE141" s="21" t="s">
        <v>2275</v>
      </c>
      <c r="AF141" s="25" t="n">
        <f aca="false">LEN(AE141)</f>
        <v>158</v>
      </c>
    </row>
    <row r="142" customFormat="false" ht="15" hidden="false" customHeight="true" outlineLevel="0" collapsed="false">
      <c r="A142" s="21" t="s">
        <v>1230</v>
      </c>
      <c r="B142" s="21" t="s">
        <v>1373</v>
      </c>
      <c r="C142" s="21" t="n">
        <v>141</v>
      </c>
      <c r="D142" s="21" t="s">
        <v>846</v>
      </c>
      <c r="E142" s="21"/>
      <c r="F142" s="21" t="s">
        <v>1676</v>
      </c>
      <c r="G142" s="21" t="s">
        <v>659</v>
      </c>
      <c r="H142" s="21" t="s">
        <v>347</v>
      </c>
      <c r="I142" s="21" t="s">
        <v>1231</v>
      </c>
      <c r="J142" s="21"/>
      <c r="K142" s="21" t="n">
        <v>14.99</v>
      </c>
      <c r="L142" s="21" t="s">
        <v>2276</v>
      </c>
      <c r="M142" s="21" t="s">
        <v>2277</v>
      </c>
      <c r="N142" s="21" t="s">
        <v>2278</v>
      </c>
      <c r="O142" s="21" t="s">
        <v>2279</v>
      </c>
      <c r="P142" s="21"/>
      <c r="Q142" s="22" t="n">
        <f aca="false">IF(L142="","",IFERROR(INDEX('Semrush Data'!$A$1:$Z$20000,MATCH(L142,'Semrush Data'!$A$1:$A$20000,0),MATCH("Volume",'Semrush Data'!$A$1:$Z$1,0)),""))</f>
        <v>0</v>
      </c>
      <c r="R142" s="22" t="str">
        <f aca="false">IF(M142="","",IFERROR(INDEX('Semrush Data'!$A$1:$Z$20000,MATCH(M142,'Semrush Data'!$A$1:$A$20000,0),MATCH("Volume",'Semrush Data'!$A$1:$Z$1,0)),""))</f>
        <v/>
      </c>
      <c r="S142" s="22" t="str">
        <f aca="false">IF(N142="","",IFERROR(INDEX('Semrush Data'!$A$1:$Z$20000,MATCH(N142,'Semrush Data'!$A$1:$A$20000,0),MATCH("Volume",'Semrush Data'!$A$1:$Z$1,0)),""))</f>
        <v/>
      </c>
      <c r="T142" s="22" t="str">
        <f aca="false">IF(O142="","",IFERROR(INDEX('Semrush Data'!$A$1:$Z$20000,MATCH(O142,'Semrush Data'!$A$1:$A$20000,0),MATCH("Volume",'Semrush Data'!$A$1:$Z$1,0)),""))</f>
        <v/>
      </c>
      <c r="U142" s="22" t="str">
        <f aca="false">IF(P142="","",IFERROR(INDEX('Semrush Data'!$A$1:$Z$20000,MATCH(P142,'Semrush Data'!$A$1:$A$20000,0),MATCH("Volume",'Semrush Data'!$A$1:$Z$1,0)),""))</f>
        <v/>
      </c>
      <c r="V142" s="23" t="str">
        <f aca="false">IF(COUNT(Q142:U142)=0,L142,IF(MAX(Q142:U142)=0,L142,INDEX(L142:P142,MATCH(MAX(Q142:U142),Q142:U142,0))))</f>
        <v>deyga daily essential kit</v>
      </c>
      <c r="W142" s="22" t="n">
        <f aca="false">IFERROR(INDEX('Semrush Data'!$A$1:$Z$20000,MATCH(V142,'Semrush Data'!$A$1:$A$20000,0),MATCH("Volume",'Semrush Data'!$A$1:$Z$1,0)),"")</f>
        <v>0</v>
      </c>
      <c r="X142" s="22" t="n">
        <f aca="false">IFERROR(INDEX('Semrush Data'!$A$1:$Z$20000,MATCH(V142,'Semrush Data'!$A$1:$A$20000,0),MATCH("Keyword Difficulty*",'Semrush Data'!$A$1:$Z$1,0)),"")</f>
        <v>15</v>
      </c>
      <c r="Y142" s="24" t="n">
        <f aca="false">IFERROR(INDEX('Semrush Data'!$A$1:$Z$20000,MATCH(V142,'Semrush Data'!$A$1:$A$20000,0),MATCH("CPC*",'Semrush Data'!$A$1:$Z$1,0)),"")</f>
        <v>0</v>
      </c>
      <c r="Z142" s="21" t="s">
        <v>2249</v>
      </c>
      <c r="AA142" s="21"/>
      <c r="AB142" s="21" t="s">
        <v>1232</v>
      </c>
      <c r="AC142" s="21" t="s">
        <v>2280</v>
      </c>
      <c r="AD142" s="25" t="n">
        <f aca="false">LEN(AC142)</f>
        <v>52</v>
      </c>
      <c r="AE142" s="21" t="s">
        <v>2281</v>
      </c>
      <c r="AF142" s="25" t="n">
        <f aca="false">LEN(AE142)</f>
        <v>160</v>
      </c>
    </row>
    <row r="143" customFormat="false" ht="15" hidden="false" customHeight="true" outlineLevel="0" collapsed="false">
      <c r="A143" s="21" t="s">
        <v>1236</v>
      </c>
      <c r="B143" s="21" t="s">
        <v>1373</v>
      </c>
      <c r="C143" s="21" t="n">
        <v>142</v>
      </c>
      <c r="D143" s="21" t="s">
        <v>846</v>
      </c>
      <c r="E143" s="21"/>
      <c r="F143" s="21" t="s">
        <v>1676</v>
      </c>
      <c r="G143" s="21" t="s">
        <v>659</v>
      </c>
      <c r="H143" s="21" t="s">
        <v>375</v>
      </c>
      <c r="I143" s="21" t="s">
        <v>1237</v>
      </c>
      <c r="J143" s="21"/>
      <c r="K143" s="21" t="n">
        <v>14.99</v>
      </c>
      <c r="L143" s="21" t="s">
        <v>2282</v>
      </c>
      <c r="M143" s="21" t="s">
        <v>2283</v>
      </c>
      <c r="N143" s="21" t="s">
        <v>2284</v>
      </c>
      <c r="O143" s="21" t="s">
        <v>2285</v>
      </c>
      <c r="P143" s="21"/>
      <c r="Q143" s="22" t="n">
        <f aca="false">IF(L143="","",IFERROR(INDEX('Semrush Data'!$A$1:$Z$20000,MATCH(L143,'Semrush Data'!$A$1:$A$20000,0),MATCH("Volume",'Semrush Data'!$A$1:$Z$1,0)),""))</f>
        <v>0</v>
      </c>
      <c r="R143" s="22" t="str">
        <f aca="false">IF(M143="","",IFERROR(INDEX('Semrush Data'!$A$1:$Z$20000,MATCH(M143,'Semrush Data'!$A$1:$A$20000,0),MATCH("Volume",'Semrush Data'!$A$1:$Z$1,0)),""))</f>
        <v/>
      </c>
      <c r="S143" s="22" t="str">
        <f aca="false">IF(N143="","",IFERROR(INDEX('Semrush Data'!$A$1:$Z$20000,MATCH(N143,'Semrush Data'!$A$1:$A$20000,0),MATCH("Volume",'Semrush Data'!$A$1:$Z$1,0)),""))</f>
        <v/>
      </c>
      <c r="T143" s="22" t="str">
        <f aca="false">IF(O143="","",IFERROR(INDEX('Semrush Data'!$A$1:$Z$20000,MATCH(O143,'Semrush Data'!$A$1:$A$20000,0),MATCH("Volume",'Semrush Data'!$A$1:$Z$1,0)),""))</f>
        <v/>
      </c>
      <c r="U143" s="22" t="str">
        <f aca="false">IF(P143="","",IFERROR(INDEX('Semrush Data'!$A$1:$Z$20000,MATCH(P143,'Semrush Data'!$A$1:$A$20000,0),MATCH("Volume",'Semrush Data'!$A$1:$Z$1,0)),""))</f>
        <v/>
      </c>
      <c r="V143" s="23" t="str">
        <f aca="false">IF(COUNT(Q143:U143)=0,L143,IF(MAX(Q143:U143)=0,L143,INDEX(L143:P143,MATCH(MAX(Q143:U143),Q143:U143,0))))</f>
        <v>deyga clear skin kit</v>
      </c>
      <c r="W143" s="22" t="n">
        <f aca="false">IFERROR(INDEX('Semrush Data'!$A$1:$Z$20000,MATCH(V143,'Semrush Data'!$A$1:$A$20000,0),MATCH("Volume",'Semrush Data'!$A$1:$Z$1,0)),"")</f>
        <v>0</v>
      </c>
      <c r="X143" s="22" t="n">
        <f aca="false">IFERROR(INDEX('Semrush Data'!$A$1:$Z$20000,MATCH(V143,'Semrush Data'!$A$1:$A$20000,0),MATCH("Keyword Difficulty*",'Semrush Data'!$A$1:$Z$1,0)),"")</f>
        <v>18</v>
      </c>
      <c r="Y143" s="24" t="n">
        <f aca="false">IFERROR(INDEX('Semrush Data'!$A$1:$Z$20000,MATCH(V143,'Semrush Data'!$A$1:$A$20000,0),MATCH("CPC*",'Semrush Data'!$A$1:$Z$1,0)),"")</f>
        <v>0</v>
      </c>
      <c r="Z143" s="21" t="s">
        <v>2249</v>
      </c>
      <c r="AA143" s="21"/>
      <c r="AB143" s="21" t="s">
        <v>1238</v>
      </c>
      <c r="AC143" s="21" t="s">
        <v>2286</v>
      </c>
      <c r="AD143" s="25" t="n">
        <f aca="false">LEN(AC143)</f>
        <v>53</v>
      </c>
      <c r="AE143" s="21" t="s">
        <v>2287</v>
      </c>
      <c r="AF143" s="25" t="n">
        <f aca="false">LEN(AE143)</f>
        <v>160</v>
      </c>
    </row>
    <row r="144" customFormat="false" ht="15" hidden="false" customHeight="true" outlineLevel="0" collapsed="false">
      <c r="A144" s="21" t="s">
        <v>1242</v>
      </c>
      <c r="B144" s="21" t="s">
        <v>1373</v>
      </c>
      <c r="C144" s="21" t="n">
        <v>143</v>
      </c>
      <c r="D144" s="21" t="s">
        <v>846</v>
      </c>
      <c r="E144" s="21"/>
      <c r="F144" s="21" t="s">
        <v>1676</v>
      </c>
      <c r="G144" s="21" t="s">
        <v>659</v>
      </c>
      <c r="H144" s="21" t="s">
        <v>347</v>
      </c>
      <c r="I144" s="21" t="s">
        <v>1243</v>
      </c>
      <c r="J144" s="21"/>
      <c r="K144" s="21" t="n">
        <v>28.99</v>
      </c>
      <c r="L144" s="21" t="s">
        <v>2288</v>
      </c>
      <c r="M144" s="21" t="s">
        <v>2289</v>
      </c>
      <c r="N144" s="21" t="s">
        <v>2290</v>
      </c>
      <c r="O144" s="21" t="s">
        <v>2291</v>
      </c>
      <c r="P144" s="21"/>
      <c r="Q144" s="22" t="n">
        <f aca="false">IF(L144="","",IFERROR(INDEX('Semrush Data'!$A$1:$Z$20000,MATCH(L144,'Semrush Data'!$A$1:$A$20000,0),MATCH("Volume",'Semrush Data'!$A$1:$Z$1,0)),""))</f>
        <v>0</v>
      </c>
      <c r="R144" s="22" t="str">
        <f aca="false">IF(M144="","",IFERROR(INDEX('Semrush Data'!$A$1:$Z$20000,MATCH(M144,'Semrush Data'!$A$1:$A$20000,0),MATCH("Volume",'Semrush Data'!$A$1:$Z$1,0)),""))</f>
        <v/>
      </c>
      <c r="S144" s="22" t="str">
        <f aca="false">IF(N144="","",IFERROR(INDEX('Semrush Data'!$A$1:$Z$20000,MATCH(N144,'Semrush Data'!$A$1:$A$20000,0),MATCH("Volume",'Semrush Data'!$A$1:$Z$1,0)),""))</f>
        <v/>
      </c>
      <c r="T144" s="22" t="str">
        <f aca="false">IF(O144="","",IFERROR(INDEX('Semrush Data'!$A$1:$Z$20000,MATCH(O144,'Semrush Data'!$A$1:$A$20000,0),MATCH("Volume",'Semrush Data'!$A$1:$Z$1,0)),""))</f>
        <v/>
      </c>
      <c r="U144" s="22" t="str">
        <f aca="false">IF(P144="","",IFERROR(INDEX('Semrush Data'!$A$1:$Z$20000,MATCH(P144,'Semrush Data'!$A$1:$A$20000,0),MATCH("Volume",'Semrush Data'!$A$1:$Z$1,0)),""))</f>
        <v/>
      </c>
      <c r="V144" s="23" t="str">
        <f aca="false">IF(COUNT(Q144:U144)=0,L144,IF(MAX(Q144:U144)=0,L144,INDEX(L144:P144,MATCH(MAX(Q144:U144),Q144:U144,0))))</f>
        <v>deyga best selling face care kit</v>
      </c>
      <c r="W144" s="22" t="n">
        <f aca="false">IFERROR(INDEX('Semrush Data'!$A$1:$Z$20000,MATCH(V144,'Semrush Data'!$A$1:$A$20000,0),MATCH("Volume",'Semrush Data'!$A$1:$Z$1,0)),"")</f>
        <v>0</v>
      </c>
      <c r="X144" s="22" t="n">
        <f aca="false">IFERROR(INDEX('Semrush Data'!$A$1:$Z$20000,MATCH(V144,'Semrush Data'!$A$1:$A$20000,0),MATCH("Keyword Difficulty*",'Semrush Data'!$A$1:$Z$1,0)),"")</f>
        <v>15</v>
      </c>
      <c r="Y144" s="24" t="n">
        <f aca="false">IFERROR(INDEX('Semrush Data'!$A$1:$Z$20000,MATCH(V144,'Semrush Data'!$A$1:$A$20000,0),MATCH("CPC*",'Semrush Data'!$A$1:$Z$1,0)),"")</f>
        <v>0</v>
      </c>
      <c r="Z144" s="21" t="s">
        <v>2249</v>
      </c>
      <c r="AA144" s="21"/>
      <c r="AB144" s="21" t="s">
        <v>1244</v>
      </c>
      <c r="AC144" s="21" t="s">
        <v>2292</v>
      </c>
      <c r="AD144" s="25" t="n">
        <f aca="false">LEN(AC144)</f>
        <v>59</v>
      </c>
      <c r="AE144" s="21" t="s">
        <v>2293</v>
      </c>
      <c r="AF144" s="25" t="n">
        <f aca="false">LEN(AE144)</f>
        <v>157</v>
      </c>
    </row>
    <row r="145" customFormat="false" ht="15" hidden="false" customHeight="true" outlineLevel="0" collapsed="false">
      <c r="A145" s="21" t="s">
        <v>1248</v>
      </c>
      <c r="B145" s="21" t="s">
        <v>1373</v>
      </c>
      <c r="C145" s="21" t="n">
        <v>144</v>
      </c>
      <c r="D145" s="21" t="s">
        <v>846</v>
      </c>
      <c r="E145" s="21"/>
      <c r="F145" s="21" t="s">
        <v>1676</v>
      </c>
      <c r="G145" s="21" t="s">
        <v>659</v>
      </c>
      <c r="H145" s="21" t="s">
        <v>561</v>
      </c>
      <c r="I145" s="21" t="s">
        <v>1249</v>
      </c>
      <c r="J145" s="21"/>
      <c r="K145" s="21" t="n">
        <v>16.99</v>
      </c>
      <c r="L145" s="21" t="s">
        <v>2294</v>
      </c>
      <c r="M145" s="21" t="s">
        <v>2295</v>
      </c>
      <c r="N145" s="21" t="s">
        <v>2296</v>
      </c>
      <c r="O145" s="21" t="s">
        <v>2297</v>
      </c>
      <c r="P145" s="21"/>
      <c r="Q145" s="22" t="n">
        <f aca="false">IF(L145="","",IFERROR(INDEX('Semrush Data'!$A$1:$Z$20000,MATCH(L145,'Semrush Data'!$A$1:$A$20000,0),MATCH("Volume",'Semrush Data'!$A$1:$Z$1,0)),""))</f>
        <v>0</v>
      </c>
      <c r="R145" s="22" t="str">
        <f aca="false">IF(M145="","",IFERROR(INDEX('Semrush Data'!$A$1:$Z$20000,MATCH(M145,'Semrush Data'!$A$1:$A$20000,0),MATCH("Volume",'Semrush Data'!$A$1:$Z$1,0)),""))</f>
        <v/>
      </c>
      <c r="S145" s="22" t="str">
        <f aca="false">IF(N145="","",IFERROR(INDEX('Semrush Data'!$A$1:$Z$20000,MATCH(N145,'Semrush Data'!$A$1:$A$20000,0),MATCH("Volume",'Semrush Data'!$A$1:$Z$1,0)),""))</f>
        <v/>
      </c>
      <c r="T145" s="22" t="str">
        <f aca="false">IF(O145="","",IFERROR(INDEX('Semrush Data'!$A$1:$Z$20000,MATCH(O145,'Semrush Data'!$A$1:$A$20000,0),MATCH("Volume",'Semrush Data'!$A$1:$Z$1,0)),""))</f>
        <v/>
      </c>
      <c r="U145" s="22" t="str">
        <f aca="false">IF(P145="","",IFERROR(INDEX('Semrush Data'!$A$1:$Z$20000,MATCH(P145,'Semrush Data'!$A$1:$A$20000,0),MATCH("Volume",'Semrush Data'!$A$1:$Z$1,0)),""))</f>
        <v/>
      </c>
      <c r="V145" s="23" t="str">
        <f aca="false">IF(COUNT(Q145:U145)=0,L145,IF(MAX(Q145:U145)=0,L145,INDEX(L145:P145,MATCH(MAX(Q145:U145),Q145:U145,0))))</f>
        <v>deyga instant hair removal kit</v>
      </c>
      <c r="W145" s="22" t="n">
        <f aca="false">IFERROR(INDEX('Semrush Data'!$A$1:$Z$20000,MATCH(V145,'Semrush Data'!$A$1:$A$20000,0),MATCH("Volume",'Semrush Data'!$A$1:$Z$1,0)),"")</f>
        <v>0</v>
      </c>
      <c r="X145" s="22" t="n">
        <f aca="false">IFERROR(INDEX('Semrush Data'!$A$1:$Z$20000,MATCH(V145,'Semrush Data'!$A$1:$A$20000,0),MATCH("Keyword Difficulty*",'Semrush Data'!$A$1:$Z$1,0)),"")</f>
        <v>20</v>
      </c>
      <c r="Y145" s="24" t="n">
        <f aca="false">IFERROR(INDEX('Semrush Data'!$A$1:$Z$20000,MATCH(V145,'Semrush Data'!$A$1:$A$20000,0),MATCH("CPC*",'Semrush Data'!$A$1:$Z$1,0)),"")</f>
        <v>0</v>
      </c>
      <c r="Z145" s="21" t="s">
        <v>2249</v>
      </c>
      <c r="AA145" s="21"/>
      <c r="AB145" s="21" t="s">
        <v>1250</v>
      </c>
      <c r="AC145" s="21" t="s">
        <v>2298</v>
      </c>
      <c r="AD145" s="25" t="n">
        <f aca="false">LEN(AC145)</f>
        <v>57</v>
      </c>
      <c r="AE145" s="21" t="s">
        <v>2299</v>
      </c>
      <c r="AF145" s="25" t="n">
        <f aca="false">LEN(AE145)</f>
        <v>155</v>
      </c>
    </row>
    <row r="146" customFormat="false" ht="15" hidden="false" customHeight="true" outlineLevel="0" collapsed="false">
      <c r="A146" s="21" t="s">
        <v>1254</v>
      </c>
      <c r="B146" s="21" t="s">
        <v>1373</v>
      </c>
      <c r="C146" s="21" t="n">
        <v>145</v>
      </c>
      <c r="D146" s="21" t="s">
        <v>846</v>
      </c>
      <c r="E146" s="21"/>
      <c r="F146" s="21" t="s">
        <v>1676</v>
      </c>
      <c r="G146" s="21" t="s">
        <v>659</v>
      </c>
      <c r="H146" s="21" t="s">
        <v>561</v>
      </c>
      <c r="I146" s="21" t="s">
        <v>1255</v>
      </c>
      <c r="J146" s="21"/>
      <c r="K146" s="21" t="n">
        <v>22.99</v>
      </c>
      <c r="L146" s="21" t="s">
        <v>2300</v>
      </c>
      <c r="M146" s="21" t="s">
        <v>2301</v>
      </c>
      <c r="N146" s="21" t="s">
        <v>2302</v>
      </c>
      <c r="O146" s="21" t="s">
        <v>2303</v>
      </c>
      <c r="P146" s="21"/>
      <c r="Q146" s="22" t="n">
        <f aca="false">IF(L146="","",IFERROR(INDEX('Semrush Data'!$A$1:$Z$20000,MATCH(L146,'Semrush Data'!$A$1:$A$20000,0),MATCH("Volume",'Semrush Data'!$A$1:$Z$1,0)),""))</f>
        <v>0</v>
      </c>
      <c r="R146" s="22" t="str">
        <f aca="false">IF(M146="","",IFERROR(INDEX('Semrush Data'!$A$1:$Z$20000,MATCH(M146,'Semrush Data'!$A$1:$A$20000,0),MATCH("Volume",'Semrush Data'!$A$1:$Z$1,0)),""))</f>
        <v/>
      </c>
      <c r="S146" s="22" t="str">
        <f aca="false">IF(N146="","",IFERROR(INDEX('Semrush Data'!$A$1:$Z$20000,MATCH(N146,'Semrush Data'!$A$1:$A$20000,0),MATCH("Volume",'Semrush Data'!$A$1:$Z$1,0)),""))</f>
        <v/>
      </c>
      <c r="T146" s="22" t="str">
        <f aca="false">IF(O146="","",IFERROR(INDEX('Semrush Data'!$A$1:$Z$20000,MATCH(O146,'Semrush Data'!$A$1:$A$20000,0),MATCH("Volume",'Semrush Data'!$A$1:$Z$1,0)),""))</f>
        <v/>
      </c>
      <c r="U146" s="22" t="str">
        <f aca="false">IF(P146="","",IFERROR(INDEX('Semrush Data'!$A$1:$Z$20000,MATCH(P146,'Semrush Data'!$A$1:$A$20000,0),MATCH("Volume",'Semrush Data'!$A$1:$Z$1,0)),""))</f>
        <v/>
      </c>
      <c r="V146" s="23" t="str">
        <f aca="false">IF(COUNT(Q146:U146)=0,L146,IF(MAX(Q146:U146)=0,L146,INDEX(L146:P146,MATCH(MAX(Q146:U146),Q146:U146,0))))</f>
        <v>deyga instant hair removal kit with toner</v>
      </c>
      <c r="W146" s="22" t="n">
        <f aca="false">IFERROR(INDEX('Semrush Data'!$A$1:$Z$20000,MATCH(V146,'Semrush Data'!$A$1:$A$20000,0),MATCH("Volume",'Semrush Data'!$A$1:$Z$1,0)),"")</f>
        <v>0</v>
      </c>
      <c r="X146" s="22" t="n">
        <f aca="false">IFERROR(INDEX('Semrush Data'!$A$1:$Z$20000,MATCH(V146,'Semrush Data'!$A$1:$A$20000,0),MATCH("Keyword Difficulty*",'Semrush Data'!$A$1:$Z$1,0)),"")</f>
        <v>27</v>
      </c>
      <c r="Y146" s="24" t="n">
        <f aca="false">IFERROR(INDEX('Semrush Data'!$A$1:$Z$20000,MATCH(V146,'Semrush Data'!$A$1:$A$20000,0),MATCH("CPC*",'Semrush Data'!$A$1:$Z$1,0)),"")</f>
        <v>0</v>
      </c>
      <c r="Z146" s="21" t="s">
        <v>2249</v>
      </c>
      <c r="AA146" s="21"/>
      <c r="AB146" s="21" t="s">
        <v>1256</v>
      </c>
      <c r="AC146" s="21" t="s">
        <v>1257</v>
      </c>
      <c r="AD146" s="25" t="n">
        <f aca="false">LEN(AC146)</f>
        <v>55</v>
      </c>
      <c r="AE146" s="21" t="s">
        <v>2304</v>
      </c>
      <c r="AF146" s="25" t="n">
        <f aca="false">LEN(AE146)</f>
        <v>156</v>
      </c>
    </row>
    <row r="147" customFormat="false" ht="15" hidden="false" customHeight="true" outlineLevel="0" collapsed="false">
      <c r="A147" s="21" t="s">
        <v>1260</v>
      </c>
      <c r="B147" s="21" t="s">
        <v>1373</v>
      </c>
      <c r="C147" s="21" t="n">
        <v>146</v>
      </c>
      <c r="D147" s="21" t="s">
        <v>846</v>
      </c>
      <c r="E147" s="21"/>
      <c r="F147" s="21" t="s">
        <v>1676</v>
      </c>
      <c r="G147" s="21" t="s">
        <v>659</v>
      </c>
      <c r="H147" s="21" t="s">
        <v>347</v>
      </c>
      <c r="I147" s="21" t="s">
        <v>1261</v>
      </c>
      <c r="J147" s="21"/>
      <c r="K147" s="21" t="n">
        <v>19.99</v>
      </c>
      <c r="L147" s="21" t="s">
        <v>2305</v>
      </c>
      <c r="M147" s="21" t="s">
        <v>2306</v>
      </c>
      <c r="N147" s="21" t="s">
        <v>2307</v>
      </c>
      <c r="O147" s="21" t="s">
        <v>2308</v>
      </c>
      <c r="P147" s="21"/>
      <c r="Q147" s="22" t="n">
        <f aca="false">IF(L147="","",IFERROR(INDEX('Semrush Data'!$A$1:$Z$20000,MATCH(L147,'Semrush Data'!$A$1:$A$20000,0),MATCH("Volume",'Semrush Data'!$A$1:$Z$1,0)),""))</f>
        <v>0</v>
      </c>
      <c r="R147" s="22" t="str">
        <f aca="false">IF(M147="","",IFERROR(INDEX('Semrush Data'!$A$1:$Z$20000,MATCH(M147,'Semrush Data'!$A$1:$A$20000,0),MATCH("Volume",'Semrush Data'!$A$1:$Z$1,0)),""))</f>
        <v/>
      </c>
      <c r="S147" s="22" t="str">
        <f aca="false">IF(N147="","",IFERROR(INDEX('Semrush Data'!$A$1:$Z$20000,MATCH(N147,'Semrush Data'!$A$1:$A$20000,0),MATCH("Volume",'Semrush Data'!$A$1:$Z$1,0)),""))</f>
        <v/>
      </c>
      <c r="T147" s="22" t="str">
        <f aca="false">IF(O147="","",IFERROR(INDEX('Semrush Data'!$A$1:$Z$20000,MATCH(O147,'Semrush Data'!$A$1:$A$20000,0),MATCH("Volume",'Semrush Data'!$A$1:$Z$1,0)),""))</f>
        <v/>
      </c>
      <c r="U147" s="22" t="str">
        <f aca="false">IF(P147="","",IFERROR(INDEX('Semrush Data'!$A$1:$Z$20000,MATCH(P147,'Semrush Data'!$A$1:$A$20000,0),MATCH("Volume",'Semrush Data'!$A$1:$Z$1,0)),""))</f>
        <v/>
      </c>
      <c r="V147" s="23" t="str">
        <f aca="false">IF(COUNT(Q147:U147)=0,L147,IF(MAX(Q147:U147)=0,L147,INDEX(L147:P147,MATCH(MAX(Q147:U147),Q147:U147,0))))</f>
        <v>deyga healthy glow kit</v>
      </c>
      <c r="W147" s="22" t="n">
        <f aca="false">IFERROR(INDEX('Semrush Data'!$A$1:$Z$20000,MATCH(V147,'Semrush Data'!$A$1:$A$20000,0),MATCH("Volume",'Semrush Data'!$A$1:$Z$1,0)),"")</f>
        <v>0</v>
      </c>
      <c r="X147" s="22" t="n">
        <f aca="false">IFERROR(INDEX('Semrush Data'!$A$1:$Z$20000,MATCH(V147,'Semrush Data'!$A$1:$A$20000,0),MATCH("Keyword Difficulty*",'Semrush Data'!$A$1:$Z$1,0)),"")</f>
        <v>14</v>
      </c>
      <c r="Y147" s="24" t="n">
        <f aca="false">IFERROR(INDEX('Semrush Data'!$A$1:$Z$20000,MATCH(V147,'Semrush Data'!$A$1:$A$20000,0),MATCH("CPC*",'Semrush Data'!$A$1:$Z$1,0)),"")</f>
        <v>0</v>
      </c>
      <c r="Z147" s="21" t="s">
        <v>2249</v>
      </c>
      <c r="AA147" s="21"/>
      <c r="AB147" s="21" t="s">
        <v>1262</v>
      </c>
      <c r="AC147" s="21" t="s">
        <v>2309</v>
      </c>
      <c r="AD147" s="25" t="n">
        <f aca="false">LEN(AC147)</f>
        <v>55</v>
      </c>
      <c r="AE147" s="21" t="s">
        <v>2310</v>
      </c>
      <c r="AF147" s="25" t="n">
        <f aca="false">LEN(AE147)</f>
        <v>157</v>
      </c>
    </row>
    <row r="148" customFormat="false" ht="15" hidden="false" customHeight="true" outlineLevel="0" collapsed="false">
      <c r="A148" s="21" t="s">
        <v>1266</v>
      </c>
      <c r="B148" s="21" t="s">
        <v>1373</v>
      </c>
      <c r="C148" s="21" t="n">
        <v>147</v>
      </c>
      <c r="D148" s="21" t="s">
        <v>846</v>
      </c>
      <c r="E148" s="21"/>
      <c r="F148" s="21" t="s">
        <v>1676</v>
      </c>
      <c r="G148" s="21" t="s">
        <v>659</v>
      </c>
      <c r="H148" s="21" t="s">
        <v>561</v>
      </c>
      <c r="I148" s="21" t="s">
        <v>1267</v>
      </c>
      <c r="J148" s="21"/>
      <c r="K148" s="21" t="n">
        <v>25.99</v>
      </c>
      <c r="L148" s="21" t="s">
        <v>2311</v>
      </c>
      <c r="M148" s="21" t="s">
        <v>2312</v>
      </c>
      <c r="N148" s="21" t="s">
        <v>2313</v>
      </c>
      <c r="O148" s="21" t="s">
        <v>2314</v>
      </c>
      <c r="P148" s="21"/>
      <c r="Q148" s="22" t="n">
        <f aca="false">IF(L148="","",IFERROR(INDEX('Semrush Data'!$A$1:$Z$20000,MATCH(L148,'Semrush Data'!$A$1:$A$20000,0),MATCH("Volume",'Semrush Data'!$A$1:$Z$1,0)),""))</f>
        <v>0</v>
      </c>
      <c r="R148" s="22" t="str">
        <f aca="false">IF(M148="","",IFERROR(INDEX('Semrush Data'!$A$1:$Z$20000,MATCH(M148,'Semrush Data'!$A$1:$A$20000,0),MATCH("Volume",'Semrush Data'!$A$1:$Z$1,0)),""))</f>
        <v/>
      </c>
      <c r="S148" s="22" t="str">
        <f aca="false">IF(N148="","",IFERROR(INDEX('Semrush Data'!$A$1:$Z$20000,MATCH(N148,'Semrush Data'!$A$1:$A$20000,0),MATCH("Volume",'Semrush Data'!$A$1:$Z$1,0)),""))</f>
        <v/>
      </c>
      <c r="T148" s="22" t="str">
        <f aca="false">IF(O148="","",IFERROR(INDEX('Semrush Data'!$A$1:$Z$20000,MATCH(O148,'Semrush Data'!$A$1:$A$20000,0),MATCH("Volume",'Semrush Data'!$A$1:$Z$1,0)),""))</f>
        <v/>
      </c>
      <c r="U148" s="22" t="str">
        <f aca="false">IF(P148="","",IFERROR(INDEX('Semrush Data'!$A$1:$Z$20000,MATCH(P148,'Semrush Data'!$A$1:$A$20000,0),MATCH("Volume",'Semrush Data'!$A$1:$Z$1,0)),""))</f>
        <v/>
      </c>
      <c r="V148" s="23" t="str">
        <f aca="false">IF(COUNT(Q148:U148)=0,L148,IF(MAX(Q148:U148)=0,L148,INDEX(L148:P148,MATCH(MAX(Q148:U148),Q148:U148,0))))</f>
        <v>deyga hair nourishment kit</v>
      </c>
      <c r="W148" s="22" t="n">
        <f aca="false">IFERROR(INDEX('Semrush Data'!$A$1:$Z$20000,MATCH(V148,'Semrush Data'!$A$1:$A$20000,0),MATCH("Volume",'Semrush Data'!$A$1:$Z$1,0)),"")</f>
        <v>0</v>
      </c>
      <c r="X148" s="22" t="n">
        <f aca="false">IFERROR(INDEX('Semrush Data'!$A$1:$Z$20000,MATCH(V148,'Semrush Data'!$A$1:$A$20000,0),MATCH("Keyword Difficulty*",'Semrush Data'!$A$1:$Z$1,0)),"")</f>
        <v>16</v>
      </c>
      <c r="Y148" s="24" t="n">
        <f aca="false">IFERROR(INDEX('Semrush Data'!$A$1:$Z$20000,MATCH(V148,'Semrush Data'!$A$1:$A$20000,0),MATCH("CPC*",'Semrush Data'!$A$1:$Z$1,0)),"")</f>
        <v>0</v>
      </c>
      <c r="Z148" s="21" t="s">
        <v>2249</v>
      </c>
      <c r="AA148" s="21"/>
      <c r="AB148" s="21" t="s">
        <v>1268</v>
      </c>
      <c r="AC148" s="21" t="s">
        <v>2315</v>
      </c>
      <c r="AD148" s="25" t="n">
        <f aca="false">LEN(AC148)</f>
        <v>53</v>
      </c>
      <c r="AE148" s="21" t="s">
        <v>2316</v>
      </c>
      <c r="AF148" s="25" t="n">
        <f aca="false">LEN(AE148)</f>
        <v>159</v>
      </c>
    </row>
    <row r="149" customFormat="false" ht="15" hidden="false" customHeight="true" outlineLevel="0" collapsed="false">
      <c r="A149" s="21" t="s">
        <v>1272</v>
      </c>
      <c r="B149" s="21" t="s">
        <v>1373</v>
      </c>
      <c r="C149" s="21" t="n">
        <v>148</v>
      </c>
      <c r="D149" s="21" t="s">
        <v>846</v>
      </c>
      <c r="E149" s="21"/>
      <c r="F149" s="21" t="s">
        <v>1676</v>
      </c>
      <c r="G149" s="21" t="s">
        <v>659</v>
      </c>
      <c r="H149" s="21" t="s">
        <v>682</v>
      </c>
      <c r="I149" s="21" t="s">
        <v>1273</v>
      </c>
      <c r="J149" s="21"/>
      <c r="K149" s="21" t="n">
        <v>16.99</v>
      </c>
      <c r="L149" s="21" t="s">
        <v>2317</v>
      </c>
      <c r="M149" s="21" t="s">
        <v>2318</v>
      </c>
      <c r="N149" s="21" t="s">
        <v>2319</v>
      </c>
      <c r="O149" s="21" t="s">
        <v>2320</v>
      </c>
      <c r="P149" s="21"/>
      <c r="Q149" s="22" t="n">
        <f aca="false">IF(L149="","",IFERROR(INDEX('Semrush Data'!$A$1:$Z$20000,MATCH(L149,'Semrush Data'!$A$1:$A$20000,0),MATCH("Volume",'Semrush Data'!$A$1:$Z$1,0)),""))</f>
        <v>0</v>
      </c>
      <c r="R149" s="22" t="str">
        <f aca="false">IF(M149="","",IFERROR(INDEX('Semrush Data'!$A$1:$Z$20000,MATCH(M149,'Semrush Data'!$A$1:$A$20000,0),MATCH("Volume",'Semrush Data'!$A$1:$Z$1,0)),""))</f>
        <v/>
      </c>
      <c r="S149" s="22" t="str">
        <f aca="false">IF(N149="","",IFERROR(INDEX('Semrush Data'!$A$1:$Z$20000,MATCH(N149,'Semrush Data'!$A$1:$A$20000,0),MATCH("Volume",'Semrush Data'!$A$1:$Z$1,0)),""))</f>
        <v/>
      </c>
      <c r="T149" s="22" t="str">
        <f aca="false">IF(O149="","",IFERROR(INDEX('Semrush Data'!$A$1:$Z$20000,MATCH(O149,'Semrush Data'!$A$1:$A$20000,0),MATCH("Volume",'Semrush Data'!$A$1:$Z$1,0)),""))</f>
        <v/>
      </c>
      <c r="U149" s="22" t="str">
        <f aca="false">IF(P149="","",IFERROR(INDEX('Semrush Data'!$A$1:$Z$20000,MATCH(P149,'Semrush Data'!$A$1:$A$20000,0),MATCH("Volume",'Semrush Data'!$A$1:$Z$1,0)),""))</f>
        <v/>
      </c>
      <c r="V149" s="23" t="str">
        <f aca="false">IF(COUNT(Q149:U149)=0,L149,IF(MAX(Q149:U149)=0,L149,INDEX(L149:P149,MATCH(MAX(Q149:U149),Q149:U149,0))))</f>
        <v>deyga sensitive skin kit</v>
      </c>
      <c r="W149" s="22" t="n">
        <f aca="false">IFERROR(INDEX('Semrush Data'!$A$1:$Z$20000,MATCH(V149,'Semrush Data'!$A$1:$A$20000,0),MATCH("Volume",'Semrush Data'!$A$1:$Z$1,0)),"")</f>
        <v>0</v>
      </c>
      <c r="X149" s="22" t="n">
        <f aca="false">IFERROR(INDEX('Semrush Data'!$A$1:$Z$20000,MATCH(V149,'Semrush Data'!$A$1:$A$20000,0),MATCH("Keyword Difficulty*",'Semrush Data'!$A$1:$Z$1,0)),"")</f>
        <v>14</v>
      </c>
      <c r="Y149" s="24" t="n">
        <f aca="false">IFERROR(INDEX('Semrush Data'!$A$1:$Z$20000,MATCH(V149,'Semrush Data'!$A$1:$A$20000,0),MATCH("CPC*",'Semrush Data'!$A$1:$Z$1,0)),"")</f>
        <v>0</v>
      </c>
      <c r="Z149" s="21" t="s">
        <v>2249</v>
      </c>
      <c r="AA149" s="21"/>
      <c r="AB149" s="21" t="s">
        <v>1274</v>
      </c>
      <c r="AC149" s="21" t="s">
        <v>2321</v>
      </c>
      <c r="AD149" s="25" t="n">
        <f aca="false">LEN(AC149)</f>
        <v>51</v>
      </c>
      <c r="AE149" s="21" t="s">
        <v>2322</v>
      </c>
      <c r="AF149" s="25" t="n">
        <f aca="false">LEN(AE149)</f>
        <v>157</v>
      </c>
    </row>
    <row r="150" customFormat="false" ht="15" hidden="false" customHeight="true" outlineLevel="0" collapsed="false">
      <c r="A150" s="21" t="s">
        <v>1278</v>
      </c>
      <c r="B150" s="21" t="s">
        <v>1373</v>
      </c>
      <c r="C150" s="21" t="n">
        <v>149</v>
      </c>
      <c r="D150" s="21" t="s">
        <v>846</v>
      </c>
      <c r="E150" s="21"/>
      <c r="F150" s="21" t="s">
        <v>1676</v>
      </c>
      <c r="G150" s="21" t="s">
        <v>659</v>
      </c>
      <c r="H150" s="21" t="s">
        <v>347</v>
      </c>
      <c r="I150" s="21" t="s">
        <v>1279</v>
      </c>
      <c r="J150" s="21"/>
      <c r="K150" s="21" t="n">
        <v>22.99</v>
      </c>
      <c r="L150" s="21" t="s">
        <v>2323</v>
      </c>
      <c r="M150" s="21" t="s">
        <v>2324</v>
      </c>
      <c r="N150" s="21" t="s">
        <v>2325</v>
      </c>
      <c r="O150" s="21" t="s">
        <v>2326</v>
      </c>
      <c r="P150" s="21"/>
      <c r="Q150" s="22" t="n">
        <f aca="false">IF(L150="","",IFERROR(INDEX('Semrush Data'!$A$1:$Z$20000,MATCH(L150,'Semrush Data'!$A$1:$A$20000,0),MATCH("Volume",'Semrush Data'!$A$1:$Z$1,0)),""))</f>
        <v>0</v>
      </c>
      <c r="R150" s="22" t="str">
        <f aca="false">IF(M150="","",IFERROR(INDEX('Semrush Data'!$A$1:$Z$20000,MATCH(M150,'Semrush Data'!$A$1:$A$20000,0),MATCH("Volume",'Semrush Data'!$A$1:$Z$1,0)),""))</f>
        <v/>
      </c>
      <c r="S150" s="22" t="str">
        <f aca="false">IF(N150="","",IFERROR(INDEX('Semrush Data'!$A$1:$Z$20000,MATCH(N150,'Semrush Data'!$A$1:$A$20000,0),MATCH("Volume",'Semrush Data'!$A$1:$Z$1,0)),""))</f>
        <v/>
      </c>
      <c r="T150" s="22" t="str">
        <f aca="false">IF(O150="","",IFERROR(INDEX('Semrush Data'!$A$1:$Z$20000,MATCH(O150,'Semrush Data'!$A$1:$A$20000,0),MATCH("Volume",'Semrush Data'!$A$1:$Z$1,0)),""))</f>
        <v/>
      </c>
      <c r="U150" s="22" t="str">
        <f aca="false">IF(P150="","",IFERROR(INDEX('Semrush Data'!$A$1:$Z$20000,MATCH(P150,'Semrush Data'!$A$1:$A$20000,0),MATCH("Volume",'Semrush Data'!$A$1:$Z$1,0)),""))</f>
        <v/>
      </c>
      <c r="V150" s="23" t="str">
        <f aca="false">IF(COUNT(Q150:U150)=0,L150,IF(MAX(Q150:U150)=0,L150,INDEX(L150:P150,MATCH(MAX(Q150:U150),Q150:U150,0))))</f>
        <v>deyga abc kit</v>
      </c>
      <c r="W150" s="22" t="n">
        <f aca="false">IFERROR(INDEX('Semrush Data'!$A$1:$Z$20000,MATCH(V150,'Semrush Data'!$A$1:$A$20000,0),MATCH("Volume",'Semrush Data'!$A$1:$Z$1,0)),"")</f>
        <v>0</v>
      </c>
      <c r="X150" s="22" t="n">
        <f aca="false">IFERROR(INDEX('Semrush Data'!$A$1:$Z$20000,MATCH(V150,'Semrush Data'!$A$1:$A$20000,0),MATCH("Keyword Difficulty*",'Semrush Data'!$A$1:$Z$1,0)),"")</f>
        <v>14</v>
      </c>
      <c r="Y150" s="24" t="n">
        <f aca="false">IFERROR(INDEX('Semrush Data'!$A$1:$Z$20000,MATCH(V150,'Semrush Data'!$A$1:$A$20000,0),MATCH("CPC*",'Semrush Data'!$A$1:$Z$1,0)),"")</f>
        <v>0</v>
      </c>
      <c r="Z150" s="21" t="s">
        <v>2249</v>
      </c>
      <c r="AA150" s="21"/>
      <c r="AB150" s="21" t="s">
        <v>1280</v>
      </c>
      <c r="AC150" s="21" t="s">
        <v>2327</v>
      </c>
      <c r="AD150" s="25" t="n">
        <f aca="false">LEN(AC150)</f>
        <v>46</v>
      </c>
      <c r="AE150" s="21" t="s">
        <v>2328</v>
      </c>
      <c r="AF150" s="25" t="n">
        <f aca="false">LEN(AE150)</f>
        <v>156</v>
      </c>
    </row>
    <row r="151" customFormat="false" ht="15" hidden="false" customHeight="true" outlineLevel="0" collapsed="false">
      <c r="A151" s="21" t="s">
        <v>1284</v>
      </c>
      <c r="B151" s="21" t="s">
        <v>1373</v>
      </c>
      <c r="C151" s="21" t="n">
        <v>150</v>
      </c>
      <c r="D151" s="21" t="s">
        <v>846</v>
      </c>
      <c r="E151" s="21"/>
      <c r="F151" s="21" t="s">
        <v>1676</v>
      </c>
      <c r="G151" s="21" t="s">
        <v>659</v>
      </c>
      <c r="H151" s="21" t="s">
        <v>375</v>
      </c>
      <c r="I151" s="21" t="s">
        <v>1285</v>
      </c>
      <c r="J151" s="21"/>
      <c r="K151" s="21" t="n">
        <v>14.99</v>
      </c>
      <c r="L151" s="21" t="s">
        <v>2329</v>
      </c>
      <c r="M151" s="21" t="s">
        <v>2330</v>
      </c>
      <c r="N151" s="21" t="s">
        <v>2331</v>
      </c>
      <c r="O151" s="21" t="s">
        <v>2332</v>
      </c>
      <c r="P151" s="21"/>
      <c r="Q151" s="22" t="n">
        <f aca="false">IF(L151="","",IFERROR(INDEX('Semrush Data'!$A$1:$Z$20000,MATCH(L151,'Semrush Data'!$A$1:$A$20000,0),MATCH("Volume",'Semrush Data'!$A$1:$Z$1,0)),""))</f>
        <v>0</v>
      </c>
      <c r="R151" s="22" t="str">
        <f aca="false">IF(M151="","",IFERROR(INDEX('Semrush Data'!$A$1:$Z$20000,MATCH(M151,'Semrush Data'!$A$1:$A$20000,0),MATCH("Volume",'Semrush Data'!$A$1:$Z$1,0)),""))</f>
        <v/>
      </c>
      <c r="S151" s="22" t="str">
        <f aca="false">IF(N151="","",IFERROR(INDEX('Semrush Data'!$A$1:$Z$20000,MATCH(N151,'Semrush Data'!$A$1:$A$20000,0),MATCH("Volume",'Semrush Data'!$A$1:$Z$1,0)),""))</f>
        <v/>
      </c>
      <c r="T151" s="22" t="str">
        <f aca="false">IF(O151="","",IFERROR(INDEX('Semrush Data'!$A$1:$Z$20000,MATCH(O151,'Semrush Data'!$A$1:$A$20000,0),MATCH("Volume",'Semrush Data'!$A$1:$Z$1,0)),""))</f>
        <v/>
      </c>
      <c r="U151" s="22" t="str">
        <f aca="false">IF(P151="","",IFERROR(INDEX('Semrush Data'!$A$1:$Z$20000,MATCH(P151,'Semrush Data'!$A$1:$A$20000,0),MATCH("Volume",'Semrush Data'!$A$1:$Z$1,0)),""))</f>
        <v/>
      </c>
      <c r="V151" s="23" t="str">
        <f aca="false">IF(COUNT(Q151:U151)=0,L151,IF(MAX(Q151:U151)=0,L151,INDEX(L151:P151,MATCH(MAX(Q151:U151),Q151:U151,0))))</f>
        <v>deyga hydro boosting skin care kit</v>
      </c>
      <c r="W151" s="22" t="n">
        <f aca="false">IFERROR(INDEX('Semrush Data'!$A$1:$Z$20000,MATCH(V151,'Semrush Data'!$A$1:$A$20000,0),MATCH("Volume",'Semrush Data'!$A$1:$Z$1,0)),"")</f>
        <v>0</v>
      </c>
      <c r="X151" s="22" t="n">
        <f aca="false">IFERROR(INDEX('Semrush Data'!$A$1:$Z$20000,MATCH(V151,'Semrush Data'!$A$1:$A$20000,0),MATCH("Keyword Difficulty*",'Semrush Data'!$A$1:$Z$1,0)),"")</f>
        <v>14</v>
      </c>
      <c r="Y151" s="24" t="n">
        <f aca="false">IFERROR(INDEX('Semrush Data'!$A$1:$Z$20000,MATCH(V151,'Semrush Data'!$A$1:$A$20000,0),MATCH("CPC*",'Semrush Data'!$A$1:$Z$1,0)),"")</f>
        <v>0</v>
      </c>
      <c r="Z151" s="21" t="s">
        <v>2249</v>
      </c>
      <c r="AA151" s="21"/>
      <c r="AB151" s="21" t="s">
        <v>1286</v>
      </c>
      <c r="AC151" s="21" t="s">
        <v>2333</v>
      </c>
      <c r="AD151" s="25" t="n">
        <f aca="false">LEN(AC151)</f>
        <v>48</v>
      </c>
      <c r="AE151" s="21" t="s">
        <v>2334</v>
      </c>
      <c r="AF151" s="25" t="n">
        <f aca="false">LEN(AE151)</f>
        <v>159</v>
      </c>
    </row>
    <row r="152" customFormat="false" ht="15" hidden="false" customHeight="true" outlineLevel="0" collapsed="false">
      <c r="A152" s="21" t="s">
        <v>1290</v>
      </c>
      <c r="B152" s="21" t="s">
        <v>1373</v>
      </c>
      <c r="C152" s="21" t="n">
        <v>151</v>
      </c>
      <c r="D152" s="21" t="s">
        <v>846</v>
      </c>
      <c r="E152" s="21"/>
      <c r="F152" s="21" t="s">
        <v>1676</v>
      </c>
      <c r="G152" s="21" t="s">
        <v>659</v>
      </c>
      <c r="H152" s="21" t="s">
        <v>561</v>
      </c>
      <c r="I152" s="21" t="s">
        <v>1291</v>
      </c>
      <c r="J152" s="21"/>
      <c r="K152" s="21" t="n">
        <v>18.99</v>
      </c>
      <c r="L152" s="21" t="s">
        <v>2335</v>
      </c>
      <c r="M152" s="21" t="s">
        <v>2336</v>
      </c>
      <c r="N152" s="21" t="s">
        <v>2337</v>
      </c>
      <c r="O152" s="21" t="s">
        <v>2338</v>
      </c>
      <c r="P152" s="21"/>
      <c r="Q152" s="22" t="n">
        <f aca="false">IF(L152="","",IFERROR(INDEX('Semrush Data'!$A$1:$Z$20000,MATCH(L152,'Semrush Data'!$A$1:$A$20000,0),MATCH("Volume",'Semrush Data'!$A$1:$Z$1,0)),""))</f>
        <v>0</v>
      </c>
      <c r="R152" s="22" t="str">
        <f aca="false">IF(M152="","",IFERROR(INDEX('Semrush Data'!$A$1:$Z$20000,MATCH(M152,'Semrush Data'!$A$1:$A$20000,0),MATCH("Volume",'Semrush Data'!$A$1:$Z$1,0)),""))</f>
        <v/>
      </c>
      <c r="S152" s="22" t="str">
        <f aca="false">IF(N152="","",IFERROR(INDEX('Semrush Data'!$A$1:$Z$20000,MATCH(N152,'Semrush Data'!$A$1:$A$20000,0),MATCH("Volume",'Semrush Data'!$A$1:$Z$1,0)),""))</f>
        <v/>
      </c>
      <c r="T152" s="22" t="str">
        <f aca="false">IF(O152="","",IFERROR(INDEX('Semrush Data'!$A$1:$Z$20000,MATCH(O152,'Semrush Data'!$A$1:$A$20000,0),MATCH("Volume",'Semrush Data'!$A$1:$Z$1,0)),""))</f>
        <v/>
      </c>
      <c r="U152" s="22" t="str">
        <f aca="false">IF(P152="","",IFERROR(INDEX('Semrush Data'!$A$1:$Z$20000,MATCH(P152,'Semrush Data'!$A$1:$A$20000,0),MATCH("Volume",'Semrush Data'!$A$1:$Z$1,0)),""))</f>
        <v/>
      </c>
      <c r="V152" s="23" t="str">
        <f aca="false">IF(COUNT(Q152:U152)=0,L152,IF(MAX(Q152:U152)=0,L152,INDEX(L152:P152,MATCH(MAX(Q152:U152),Q152:U152,0))))</f>
        <v>deyga hair care kit</v>
      </c>
      <c r="W152" s="22" t="n">
        <f aca="false">IFERROR(INDEX('Semrush Data'!$A$1:$Z$20000,MATCH(V152,'Semrush Data'!$A$1:$A$20000,0),MATCH("Volume",'Semrush Data'!$A$1:$Z$1,0)),"")</f>
        <v>0</v>
      </c>
      <c r="X152" s="22" t="n">
        <f aca="false">IFERROR(INDEX('Semrush Data'!$A$1:$Z$20000,MATCH(V152,'Semrush Data'!$A$1:$A$20000,0),MATCH("Keyword Difficulty*",'Semrush Data'!$A$1:$Z$1,0)),"")</f>
        <v>12</v>
      </c>
      <c r="Y152" s="24" t="n">
        <f aca="false">IFERROR(INDEX('Semrush Data'!$A$1:$Z$20000,MATCH(V152,'Semrush Data'!$A$1:$A$20000,0),MATCH("CPC*",'Semrush Data'!$A$1:$Z$1,0)),"")</f>
        <v>0</v>
      </c>
      <c r="Z152" s="21" t="s">
        <v>2249</v>
      </c>
      <c r="AA152" s="21" t="s">
        <v>1296</v>
      </c>
      <c r="AB152" s="21" t="s">
        <v>1292</v>
      </c>
      <c r="AC152" s="21" t="s">
        <v>2339</v>
      </c>
      <c r="AD152" s="25" t="n">
        <f aca="false">LEN(AC152)</f>
        <v>52</v>
      </c>
      <c r="AE152" s="21" t="s">
        <v>2340</v>
      </c>
      <c r="AF152" s="25" t="n">
        <f aca="false">LEN(AE152)</f>
        <v>152</v>
      </c>
    </row>
    <row r="153" customFormat="false" ht="15" hidden="false" customHeight="true" outlineLevel="0" collapsed="false">
      <c r="A153" s="21" t="s">
        <v>1297</v>
      </c>
      <c r="B153" s="21" t="s">
        <v>1373</v>
      </c>
      <c r="C153" s="21" t="n">
        <v>152</v>
      </c>
      <c r="D153" s="21" t="s">
        <v>846</v>
      </c>
      <c r="E153" s="21"/>
      <c r="F153" s="21" t="s">
        <v>1676</v>
      </c>
      <c r="G153" s="21" t="s">
        <v>659</v>
      </c>
      <c r="H153" s="21" t="s">
        <v>798</v>
      </c>
      <c r="I153" s="21" t="s">
        <v>1298</v>
      </c>
      <c r="J153" s="21"/>
      <c r="K153" s="21" t="n">
        <v>48.99</v>
      </c>
      <c r="L153" s="21" t="s">
        <v>2341</v>
      </c>
      <c r="M153" s="21" t="s">
        <v>2342</v>
      </c>
      <c r="N153" s="21" t="s">
        <v>2343</v>
      </c>
      <c r="O153" s="21" t="s">
        <v>2344</v>
      </c>
      <c r="P153" s="21"/>
      <c r="Q153" s="22" t="n">
        <f aca="false">IF(L153="","",IFERROR(INDEX('Semrush Data'!$A$1:$Z$20000,MATCH(L153,'Semrush Data'!$A$1:$A$20000,0),MATCH("Volume",'Semrush Data'!$A$1:$Z$1,0)),""))</f>
        <v>0</v>
      </c>
      <c r="R153" s="22" t="str">
        <f aca="false">IF(M153="","",IFERROR(INDEX('Semrush Data'!$A$1:$Z$20000,MATCH(M153,'Semrush Data'!$A$1:$A$20000,0),MATCH("Volume",'Semrush Data'!$A$1:$Z$1,0)),""))</f>
        <v/>
      </c>
      <c r="S153" s="22" t="str">
        <f aca="false">IF(N153="","",IFERROR(INDEX('Semrush Data'!$A$1:$Z$20000,MATCH(N153,'Semrush Data'!$A$1:$A$20000,0),MATCH("Volume",'Semrush Data'!$A$1:$Z$1,0)),""))</f>
        <v/>
      </c>
      <c r="T153" s="22" t="str">
        <f aca="false">IF(O153="","",IFERROR(INDEX('Semrush Data'!$A$1:$Z$20000,MATCH(O153,'Semrush Data'!$A$1:$A$20000,0),MATCH("Volume",'Semrush Data'!$A$1:$Z$1,0)),""))</f>
        <v/>
      </c>
      <c r="U153" s="22" t="str">
        <f aca="false">IF(P153="","",IFERROR(INDEX('Semrush Data'!$A$1:$Z$20000,MATCH(P153,'Semrush Data'!$A$1:$A$20000,0),MATCH("Volume",'Semrush Data'!$A$1:$Z$1,0)),""))</f>
        <v/>
      </c>
      <c r="V153" s="23" t="str">
        <f aca="false">IF(COUNT(Q153:U153)=0,L153,IF(MAX(Q153:U153)=0,L153,INDEX(L153:P153,MATCH(MAX(Q153:U153),Q153:U153,0))))</f>
        <v>deyga hair strengthening kit</v>
      </c>
      <c r="W153" s="22" t="n">
        <f aca="false">IFERROR(INDEX('Semrush Data'!$A$1:$Z$20000,MATCH(V153,'Semrush Data'!$A$1:$A$20000,0),MATCH("Volume",'Semrush Data'!$A$1:$Z$1,0)),"")</f>
        <v>0</v>
      </c>
      <c r="X153" s="22" t="n">
        <f aca="false">IFERROR(INDEX('Semrush Data'!$A$1:$Z$20000,MATCH(V153,'Semrush Data'!$A$1:$A$20000,0),MATCH("Keyword Difficulty*",'Semrush Data'!$A$1:$Z$1,0)),"")</f>
        <v>20</v>
      </c>
      <c r="Y153" s="24" t="n">
        <f aca="false">IFERROR(INDEX('Semrush Data'!$A$1:$Z$20000,MATCH(V153,'Semrush Data'!$A$1:$A$20000,0),MATCH("CPC*",'Semrush Data'!$A$1:$Z$1,0)),"")</f>
        <v>0</v>
      </c>
      <c r="Z153" s="21" t="s">
        <v>2249</v>
      </c>
      <c r="AA153" s="21"/>
      <c r="AB153" s="21" t="s">
        <v>1299</v>
      </c>
      <c r="AC153" s="21" t="s">
        <v>2345</v>
      </c>
      <c r="AD153" s="25" t="n">
        <f aca="false">LEN(AC153)</f>
        <v>55</v>
      </c>
      <c r="AE153" s="21" t="s">
        <v>2346</v>
      </c>
      <c r="AF153" s="25" t="n">
        <f aca="false">LEN(AE153)</f>
        <v>153</v>
      </c>
    </row>
    <row r="154" customFormat="false" ht="15" hidden="false" customHeight="true" outlineLevel="0" collapsed="false">
      <c r="A154" s="21" t="s">
        <v>1303</v>
      </c>
      <c r="B154" s="21" t="s">
        <v>1373</v>
      </c>
      <c r="C154" s="21" t="n">
        <v>153</v>
      </c>
      <c r="D154" s="21" t="s">
        <v>846</v>
      </c>
      <c r="E154" s="21"/>
      <c r="F154" s="21" t="s">
        <v>1676</v>
      </c>
      <c r="G154" s="21" t="s">
        <v>659</v>
      </c>
      <c r="H154" s="21" t="s">
        <v>397</v>
      </c>
      <c r="I154" s="21" t="s">
        <v>1304</v>
      </c>
      <c r="J154" s="21"/>
      <c r="K154" s="21" t="n">
        <v>25.99</v>
      </c>
      <c r="L154" s="21" t="s">
        <v>2347</v>
      </c>
      <c r="M154" s="21" t="s">
        <v>2348</v>
      </c>
      <c r="N154" s="21" t="s">
        <v>2349</v>
      </c>
      <c r="O154" s="21" t="s">
        <v>2350</v>
      </c>
      <c r="P154" s="21"/>
      <c r="Q154" s="22" t="n">
        <f aca="false">IF(L154="","",IFERROR(INDEX('Semrush Data'!$A$1:$Z$20000,MATCH(L154,'Semrush Data'!$A$1:$A$20000,0),MATCH("Volume",'Semrush Data'!$A$1:$Z$1,0)),""))</f>
        <v>0</v>
      </c>
      <c r="R154" s="22" t="str">
        <f aca="false">IF(M154="","",IFERROR(INDEX('Semrush Data'!$A$1:$Z$20000,MATCH(M154,'Semrush Data'!$A$1:$A$20000,0),MATCH("Volume",'Semrush Data'!$A$1:$Z$1,0)),""))</f>
        <v/>
      </c>
      <c r="S154" s="22" t="str">
        <f aca="false">IF(N154="","",IFERROR(INDEX('Semrush Data'!$A$1:$Z$20000,MATCH(N154,'Semrush Data'!$A$1:$A$20000,0),MATCH("Volume",'Semrush Data'!$A$1:$Z$1,0)),""))</f>
        <v/>
      </c>
      <c r="T154" s="22" t="str">
        <f aca="false">IF(O154="","",IFERROR(INDEX('Semrush Data'!$A$1:$Z$20000,MATCH(O154,'Semrush Data'!$A$1:$A$20000,0),MATCH("Volume",'Semrush Data'!$A$1:$Z$1,0)),""))</f>
        <v/>
      </c>
      <c r="U154" s="22" t="str">
        <f aca="false">IF(P154="","",IFERROR(INDEX('Semrush Data'!$A$1:$Z$20000,MATCH(P154,'Semrush Data'!$A$1:$A$20000,0),MATCH("Volume",'Semrush Data'!$A$1:$Z$1,0)),""))</f>
        <v/>
      </c>
      <c r="V154" s="23" t="str">
        <f aca="false">IF(COUNT(Q154:U154)=0,L154,IF(MAX(Q154:U154)=0,L154,INDEX(L154:P154,MATCH(MAX(Q154:U154),Q154:U154,0))))</f>
        <v>deyga nourished lip care kit</v>
      </c>
      <c r="W154" s="22" t="n">
        <f aca="false">IFERROR(INDEX('Semrush Data'!$A$1:$Z$20000,MATCH(V154,'Semrush Data'!$A$1:$A$20000,0),MATCH("Volume",'Semrush Data'!$A$1:$Z$1,0)),"")</f>
        <v>0</v>
      </c>
      <c r="X154" s="22" t="n">
        <f aca="false">IFERROR(INDEX('Semrush Data'!$A$1:$Z$20000,MATCH(V154,'Semrush Data'!$A$1:$A$20000,0),MATCH("Keyword Difficulty*",'Semrush Data'!$A$1:$Z$1,0)),"")</f>
        <v>17</v>
      </c>
      <c r="Y154" s="24" t="n">
        <f aca="false">IFERROR(INDEX('Semrush Data'!$A$1:$Z$20000,MATCH(V154,'Semrush Data'!$A$1:$A$20000,0),MATCH("CPC*",'Semrush Data'!$A$1:$Z$1,0)),"")</f>
        <v>0</v>
      </c>
      <c r="Z154" s="21" t="s">
        <v>2249</v>
      </c>
      <c r="AA154" s="21"/>
      <c r="AB154" s="21" t="s">
        <v>1305</v>
      </c>
      <c r="AC154" s="21" t="s">
        <v>2351</v>
      </c>
      <c r="AD154" s="25" t="n">
        <f aca="false">LEN(AC154)</f>
        <v>55</v>
      </c>
      <c r="AE154" s="21" t="s">
        <v>2352</v>
      </c>
      <c r="AF154" s="25" t="n">
        <f aca="false">LEN(AE154)</f>
        <v>158</v>
      </c>
    </row>
    <row r="155" customFormat="false" ht="15" hidden="false" customHeight="true" outlineLevel="0" collapsed="false">
      <c r="A155" s="21" t="s">
        <v>1309</v>
      </c>
      <c r="B155" s="21" t="s">
        <v>1373</v>
      </c>
      <c r="C155" s="21" t="n">
        <v>154</v>
      </c>
      <c r="D155" s="21" t="s">
        <v>846</v>
      </c>
      <c r="E155" s="21"/>
      <c r="F155" s="21" t="s">
        <v>1676</v>
      </c>
      <c r="G155" s="21" t="s">
        <v>659</v>
      </c>
      <c r="H155" s="21" t="s">
        <v>561</v>
      </c>
      <c r="I155" s="21" t="s">
        <v>1310</v>
      </c>
      <c r="J155" s="21"/>
      <c r="K155" s="21" t="n">
        <v>24.99</v>
      </c>
      <c r="L155" s="21" t="s">
        <v>2353</v>
      </c>
      <c r="M155" s="21" t="s">
        <v>2354</v>
      </c>
      <c r="N155" s="21" t="s">
        <v>2355</v>
      </c>
      <c r="O155" s="21" t="s">
        <v>2356</v>
      </c>
      <c r="P155" s="21"/>
      <c r="Q155" s="22" t="n">
        <f aca="false">IF(L155="","",IFERROR(INDEX('Semrush Data'!$A$1:$Z$20000,MATCH(L155,'Semrush Data'!$A$1:$A$20000,0),MATCH("Volume",'Semrush Data'!$A$1:$Z$1,0)),""))</f>
        <v>0</v>
      </c>
      <c r="R155" s="22" t="str">
        <f aca="false">IF(M155="","",IFERROR(INDEX('Semrush Data'!$A$1:$Z$20000,MATCH(M155,'Semrush Data'!$A$1:$A$20000,0),MATCH("Volume",'Semrush Data'!$A$1:$Z$1,0)),""))</f>
        <v/>
      </c>
      <c r="S155" s="22" t="str">
        <f aca="false">IF(N155="","",IFERROR(INDEX('Semrush Data'!$A$1:$Z$20000,MATCH(N155,'Semrush Data'!$A$1:$A$20000,0),MATCH("Volume",'Semrush Data'!$A$1:$Z$1,0)),""))</f>
        <v/>
      </c>
      <c r="T155" s="22" t="str">
        <f aca="false">IF(O155="","",IFERROR(INDEX('Semrush Data'!$A$1:$Z$20000,MATCH(O155,'Semrush Data'!$A$1:$A$20000,0),MATCH("Volume",'Semrush Data'!$A$1:$Z$1,0)),""))</f>
        <v/>
      </c>
      <c r="U155" s="22" t="str">
        <f aca="false">IF(P155="","",IFERROR(INDEX('Semrush Data'!$A$1:$Z$20000,MATCH(P155,'Semrush Data'!$A$1:$A$20000,0),MATCH("Volume",'Semrush Data'!$A$1:$Z$1,0)),""))</f>
        <v/>
      </c>
      <c r="V155" s="23" t="str">
        <f aca="false">IF(COUNT(Q155:U155)=0,L155,IF(MAX(Q155:U155)=0,L155,INDEX(L155:P155,MATCH(MAX(Q155:U155),Q155:U155,0))))</f>
        <v>deyga natural hair care kit</v>
      </c>
      <c r="W155" s="22" t="n">
        <f aca="false">IFERROR(INDEX('Semrush Data'!$A$1:$Z$20000,MATCH(V155,'Semrush Data'!$A$1:$A$20000,0),MATCH("Volume",'Semrush Data'!$A$1:$Z$1,0)),"")</f>
        <v>0</v>
      </c>
      <c r="X155" s="22" t="n">
        <f aca="false">IFERROR(INDEX('Semrush Data'!$A$1:$Z$20000,MATCH(V155,'Semrush Data'!$A$1:$A$20000,0),MATCH("Keyword Difficulty*",'Semrush Data'!$A$1:$Z$1,0)),"")</f>
        <v>21</v>
      </c>
      <c r="Y155" s="24" t="n">
        <f aca="false">IFERROR(INDEX('Semrush Data'!$A$1:$Z$20000,MATCH(V155,'Semrush Data'!$A$1:$A$20000,0),MATCH("CPC*",'Semrush Data'!$A$1:$Z$1,0)),"")</f>
        <v>0</v>
      </c>
      <c r="Z155" s="21" t="s">
        <v>2249</v>
      </c>
      <c r="AA155" s="21"/>
      <c r="AB155" s="21" t="s">
        <v>1311</v>
      </c>
      <c r="AC155" s="21" t="s">
        <v>2357</v>
      </c>
      <c r="AD155" s="25" t="n">
        <f aca="false">LEN(AC155)</f>
        <v>54</v>
      </c>
      <c r="AE155" s="21" t="s">
        <v>2358</v>
      </c>
      <c r="AF155" s="25" t="n">
        <f aca="false">LEN(AE155)</f>
        <v>160</v>
      </c>
    </row>
    <row r="156" customFormat="false" ht="15" hidden="false" customHeight="true" outlineLevel="0" collapsed="false">
      <c r="A156" s="21" t="s">
        <v>1315</v>
      </c>
      <c r="B156" s="21" t="s">
        <v>1373</v>
      </c>
      <c r="C156" s="21" t="n">
        <v>155</v>
      </c>
      <c r="D156" s="21" t="s">
        <v>846</v>
      </c>
      <c r="E156" s="21"/>
      <c r="F156" s="21" t="s">
        <v>1676</v>
      </c>
      <c r="G156" s="21" t="s">
        <v>659</v>
      </c>
      <c r="H156" s="21" t="s">
        <v>375</v>
      </c>
      <c r="I156" s="21" t="s">
        <v>1316</v>
      </c>
      <c r="J156" s="21"/>
      <c r="K156" s="21" t="n">
        <v>14.99</v>
      </c>
      <c r="L156" s="21" t="s">
        <v>2359</v>
      </c>
      <c r="M156" s="21" t="s">
        <v>2360</v>
      </c>
      <c r="N156" s="21" t="s">
        <v>2361</v>
      </c>
      <c r="O156" s="21" t="s">
        <v>2362</v>
      </c>
      <c r="P156" s="21"/>
      <c r="Q156" s="22" t="n">
        <f aca="false">IF(L156="","",IFERROR(INDEX('Semrush Data'!$A$1:$Z$20000,MATCH(L156,'Semrush Data'!$A$1:$A$20000,0),MATCH("Volume",'Semrush Data'!$A$1:$Z$1,0)),""))</f>
        <v>0</v>
      </c>
      <c r="R156" s="22" t="str">
        <f aca="false">IF(M156="","",IFERROR(INDEX('Semrush Data'!$A$1:$Z$20000,MATCH(M156,'Semrush Data'!$A$1:$A$20000,0),MATCH("Volume",'Semrush Data'!$A$1:$Z$1,0)),""))</f>
        <v/>
      </c>
      <c r="S156" s="22" t="str">
        <f aca="false">IF(N156="","",IFERROR(INDEX('Semrush Data'!$A$1:$Z$20000,MATCH(N156,'Semrush Data'!$A$1:$A$20000,0),MATCH("Volume",'Semrush Data'!$A$1:$Z$1,0)),""))</f>
        <v/>
      </c>
      <c r="T156" s="22" t="str">
        <f aca="false">IF(O156="","",IFERROR(INDEX('Semrush Data'!$A$1:$Z$20000,MATCH(O156,'Semrush Data'!$A$1:$A$20000,0),MATCH("Volume",'Semrush Data'!$A$1:$Z$1,0)),""))</f>
        <v/>
      </c>
      <c r="U156" s="22" t="str">
        <f aca="false">IF(P156="","",IFERROR(INDEX('Semrush Data'!$A$1:$Z$20000,MATCH(P156,'Semrush Data'!$A$1:$A$20000,0),MATCH("Volume",'Semrush Data'!$A$1:$Z$1,0)),""))</f>
        <v/>
      </c>
      <c r="V156" s="23" t="str">
        <f aca="false">IF(COUNT(Q156:U156)=0,L156,IF(MAX(Q156:U156)=0,L156,INDEX(L156:P156,MATCH(MAX(Q156:U156),Q156:U156,0))))</f>
        <v>deyga double hydration kit</v>
      </c>
      <c r="W156" s="22" t="n">
        <f aca="false">IFERROR(INDEX('Semrush Data'!$A$1:$Z$20000,MATCH(V156,'Semrush Data'!$A$1:$A$20000,0),MATCH("Volume",'Semrush Data'!$A$1:$Z$1,0)),"")</f>
        <v>0</v>
      </c>
      <c r="X156" s="22" t="n">
        <f aca="false">IFERROR(INDEX('Semrush Data'!$A$1:$Z$20000,MATCH(V156,'Semrush Data'!$A$1:$A$20000,0),MATCH("Keyword Difficulty*",'Semrush Data'!$A$1:$Z$1,0)),"")</f>
        <v>14</v>
      </c>
      <c r="Y156" s="24" t="n">
        <f aca="false">IFERROR(INDEX('Semrush Data'!$A$1:$Z$20000,MATCH(V156,'Semrush Data'!$A$1:$A$20000,0),MATCH("CPC*",'Semrush Data'!$A$1:$Z$1,0)),"")</f>
        <v>0</v>
      </c>
      <c r="Z156" s="21" t="s">
        <v>2249</v>
      </c>
      <c r="AA156" s="21"/>
      <c r="AB156" s="21" t="s">
        <v>1317</v>
      </c>
      <c r="AC156" s="21" t="s">
        <v>2363</v>
      </c>
      <c r="AD156" s="25" t="n">
        <f aca="false">LEN(AC156)</f>
        <v>53</v>
      </c>
      <c r="AE156" s="21" t="s">
        <v>2364</v>
      </c>
      <c r="AF156" s="25" t="n">
        <f aca="false">LEN(AE156)</f>
        <v>159</v>
      </c>
    </row>
    <row r="157" customFormat="false" ht="15" hidden="false" customHeight="true" outlineLevel="0" collapsed="false">
      <c r="A157" s="21" t="s">
        <v>1321</v>
      </c>
      <c r="B157" s="21" t="s">
        <v>1373</v>
      </c>
      <c r="C157" s="21" t="n">
        <v>156</v>
      </c>
      <c r="D157" s="21" t="s">
        <v>846</v>
      </c>
      <c r="E157" s="21"/>
      <c r="F157" s="21" t="s">
        <v>1676</v>
      </c>
      <c r="G157" s="21" t="s">
        <v>659</v>
      </c>
      <c r="H157" s="21" t="s">
        <v>397</v>
      </c>
      <c r="I157" s="21" t="s">
        <v>1322</v>
      </c>
      <c r="J157" s="21"/>
      <c r="K157" s="21" t="n">
        <v>27.99</v>
      </c>
      <c r="L157" s="21" t="s">
        <v>2365</v>
      </c>
      <c r="M157" s="21" t="s">
        <v>2366</v>
      </c>
      <c r="N157" s="21" t="s">
        <v>2367</v>
      </c>
      <c r="O157" s="21" t="s">
        <v>2368</v>
      </c>
      <c r="P157" s="21"/>
      <c r="Q157" s="22" t="n">
        <f aca="false">IF(L157="","",IFERROR(INDEX('Semrush Data'!$A$1:$Z$20000,MATCH(L157,'Semrush Data'!$A$1:$A$20000,0),MATCH("Volume",'Semrush Data'!$A$1:$Z$1,0)),""))</f>
        <v>0</v>
      </c>
      <c r="R157" s="22" t="str">
        <f aca="false">IF(M157="","",IFERROR(INDEX('Semrush Data'!$A$1:$Z$20000,MATCH(M157,'Semrush Data'!$A$1:$A$20000,0),MATCH("Volume",'Semrush Data'!$A$1:$Z$1,0)),""))</f>
        <v/>
      </c>
      <c r="S157" s="22" t="str">
        <f aca="false">IF(N157="","",IFERROR(INDEX('Semrush Data'!$A$1:$Z$20000,MATCH(N157,'Semrush Data'!$A$1:$A$20000,0),MATCH("Volume",'Semrush Data'!$A$1:$Z$1,0)),""))</f>
        <v/>
      </c>
      <c r="T157" s="22" t="str">
        <f aca="false">IF(O157="","",IFERROR(INDEX('Semrush Data'!$A$1:$Z$20000,MATCH(O157,'Semrush Data'!$A$1:$A$20000,0),MATCH("Volume",'Semrush Data'!$A$1:$Z$1,0)),""))</f>
        <v/>
      </c>
      <c r="U157" s="22" t="str">
        <f aca="false">IF(P157="","",IFERROR(INDEX('Semrush Data'!$A$1:$Z$20000,MATCH(P157,'Semrush Data'!$A$1:$A$20000,0),MATCH("Volume",'Semrush Data'!$A$1:$Z$1,0)),""))</f>
        <v/>
      </c>
      <c r="V157" s="23" t="str">
        <f aca="false">IF(COUNT(Q157:U157)=0,L157,IF(MAX(Q157:U157)=0,L157,INDEX(L157:P157,MATCH(MAX(Q157:U157),Q157:U157,0))))</f>
        <v>deyga nourished lips stick kit</v>
      </c>
      <c r="W157" s="22" t="n">
        <f aca="false">IFERROR(INDEX('Semrush Data'!$A$1:$Z$20000,MATCH(V157,'Semrush Data'!$A$1:$A$20000,0),MATCH("Volume",'Semrush Data'!$A$1:$Z$1,0)),"")</f>
        <v>0</v>
      </c>
      <c r="X157" s="22" t="n">
        <f aca="false">IFERROR(INDEX('Semrush Data'!$A$1:$Z$20000,MATCH(V157,'Semrush Data'!$A$1:$A$20000,0),MATCH("Keyword Difficulty*",'Semrush Data'!$A$1:$Z$1,0)),"")</f>
        <v>14</v>
      </c>
      <c r="Y157" s="24" t="n">
        <f aca="false">IFERROR(INDEX('Semrush Data'!$A$1:$Z$20000,MATCH(V157,'Semrush Data'!$A$1:$A$20000,0),MATCH("CPC*",'Semrush Data'!$A$1:$Z$1,0)),"")</f>
        <v>0</v>
      </c>
      <c r="Z157" s="21" t="s">
        <v>2249</v>
      </c>
      <c r="AA157" s="21"/>
      <c r="AB157" s="21" t="s">
        <v>1323</v>
      </c>
      <c r="AC157" s="21" t="s">
        <v>2369</v>
      </c>
      <c r="AD157" s="25" t="n">
        <f aca="false">LEN(AC157)</f>
        <v>57</v>
      </c>
      <c r="AE157" s="21" t="s">
        <v>2370</v>
      </c>
      <c r="AF157" s="25" t="n">
        <f aca="false">LEN(AE157)</f>
        <v>160</v>
      </c>
    </row>
    <row r="158" customFormat="false" ht="15" hidden="false" customHeight="true" outlineLevel="0" collapsed="false">
      <c r="A158" s="21" t="s">
        <v>1327</v>
      </c>
      <c r="B158" s="21" t="s">
        <v>1373</v>
      </c>
      <c r="C158" s="21" t="n">
        <v>157</v>
      </c>
      <c r="D158" s="21" t="s">
        <v>846</v>
      </c>
      <c r="E158" s="21"/>
      <c r="F158" s="21" t="s">
        <v>1676</v>
      </c>
      <c r="G158" s="21" t="s">
        <v>659</v>
      </c>
      <c r="H158" s="21" t="s">
        <v>356</v>
      </c>
      <c r="I158" s="21" t="s">
        <v>1328</v>
      </c>
      <c r="J158" s="21"/>
      <c r="K158" s="21" t="n">
        <v>34.99</v>
      </c>
      <c r="L158" s="21" t="s">
        <v>2371</v>
      </c>
      <c r="M158" s="21" t="s">
        <v>2372</v>
      </c>
      <c r="N158" s="21" t="s">
        <v>2373</v>
      </c>
      <c r="O158" s="21" t="s">
        <v>2374</v>
      </c>
      <c r="P158" s="21"/>
      <c r="Q158" s="22" t="n">
        <f aca="false">IF(L158="","",IFERROR(INDEX('Semrush Data'!$A$1:$Z$20000,MATCH(L158,'Semrush Data'!$A$1:$A$20000,0),MATCH("Volume",'Semrush Data'!$A$1:$Z$1,0)),""))</f>
        <v>0</v>
      </c>
      <c r="R158" s="22" t="str">
        <f aca="false">IF(M158="","",IFERROR(INDEX('Semrush Data'!$A$1:$Z$20000,MATCH(M158,'Semrush Data'!$A$1:$A$20000,0),MATCH("Volume",'Semrush Data'!$A$1:$Z$1,0)),""))</f>
        <v/>
      </c>
      <c r="S158" s="22" t="str">
        <f aca="false">IF(N158="","",IFERROR(INDEX('Semrush Data'!$A$1:$Z$20000,MATCH(N158,'Semrush Data'!$A$1:$A$20000,0),MATCH("Volume",'Semrush Data'!$A$1:$Z$1,0)),""))</f>
        <v/>
      </c>
      <c r="T158" s="22" t="str">
        <f aca="false">IF(O158="","",IFERROR(INDEX('Semrush Data'!$A$1:$Z$20000,MATCH(O158,'Semrush Data'!$A$1:$A$20000,0),MATCH("Volume",'Semrush Data'!$A$1:$Z$1,0)),""))</f>
        <v/>
      </c>
      <c r="U158" s="22" t="str">
        <f aca="false">IF(P158="","",IFERROR(INDEX('Semrush Data'!$A$1:$Z$20000,MATCH(P158,'Semrush Data'!$A$1:$A$20000,0),MATCH("Volume",'Semrush Data'!$A$1:$Z$1,0)),""))</f>
        <v/>
      </c>
      <c r="V158" s="23" t="str">
        <f aca="false">IF(COUNT(Q158:U158)=0,L158,IF(MAX(Q158:U158)=0,L158,INDEX(L158:P158,MATCH(MAX(Q158:U158),Q158:U158,0))))</f>
        <v>deyga de- tan &amp; pigmentation kit</v>
      </c>
      <c r="W158" s="22" t="n">
        <f aca="false">IFERROR(INDEX('Semrush Data'!$A$1:$Z$20000,MATCH(V158,'Semrush Data'!$A$1:$A$20000,0),MATCH("Volume",'Semrush Data'!$A$1:$Z$1,0)),"")</f>
        <v>0</v>
      </c>
      <c r="X158" s="22" t="n">
        <f aca="false">IFERROR(INDEX('Semrush Data'!$A$1:$Z$20000,MATCH(V158,'Semrush Data'!$A$1:$A$20000,0),MATCH("Keyword Difficulty*",'Semrush Data'!$A$1:$Z$1,0)),"")</f>
        <v>20</v>
      </c>
      <c r="Y158" s="24" t="n">
        <f aca="false">IFERROR(INDEX('Semrush Data'!$A$1:$Z$20000,MATCH(V158,'Semrush Data'!$A$1:$A$20000,0),MATCH("CPC*",'Semrush Data'!$A$1:$Z$1,0)),"")</f>
        <v>0</v>
      </c>
      <c r="Z158" s="21" t="s">
        <v>2249</v>
      </c>
      <c r="AA158" s="21"/>
      <c r="AB158" s="21" t="s">
        <v>1329</v>
      </c>
      <c r="AC158" s="21" t="s">
        <v>2375</v>
      </c>
      <c r="AD158" s="25" t="n">
        <f aca="false">LEN(AC158)</f>
        <v>59</v>
      </c>
      <c r="AE158" s="21" t="s">
        <v>2376</v>
      </c>
      <c r="AF158" s="25" t="n">
        <f aca="false">LEN(AE158)</f>
        <v>158</v>
      </c>
    </row>
    <row r="159" customFormat="false" ht="15" hidden="false" customHeight="true" outlineLevel="0" collapsed="false">
      <c r="A159" s="21" t="s">
        <v>1333</v>
      </c>
      <c r="B159" s="21" t="s">
        <v>1373</v>
      </c>
      <c r="C159" s="21" t="n">
        <v>158</v>
      </c>
      <c r="D159" s="21" t="s">
        <v>846</v>
      </c>
      <c r="E159" s="21"/>
      <c r="F159" s="21" t="s">
        <v>1676</v>
      </c>
      <c r="G159" s="21" t="s">
        <v>659</v>
      </c>
      <c r="H159" s="21" t="s">
        <v>347</v>
      </c>
      <c r="I159" s="21" t="s">
        <v>1334</v>
      </c>
      <c r="J159" s="21"/>
      <c r="K159" s="21" t="n">
        <v>16.99</v>
      </c>
      <c r="L159" s="21" t="s">
        <v>2377</v>
      </c>
      <c r="M159" s="21" t="s">
        <v>2378</v>
      </c>
      <c r="N159" s="21" t="s">
        <v>2379</v>
      </c>
      <c r="O159" s="21" t="s">
        <v>2380</v>
      </c>
      <c r="P159" s="21"/>
      <c r="Q159" s="22" t="n">
        <f aca="false">IF(L159="","",IFERROR(INDEX('Semrush Data'!$A$1:$Z$20000,MATCH(L159,'Semrush Data'!$A$1:$A$20000,0),MATCH("Volume",'Semrush Data'!$A$1:$Z$1,0)),""))</f>
        <v>0</v>
      </c>
      <c r="R159" s="22" t="str">
        <f aca="false">IF(M159="","",IFERROR(INDEX('Semrush Data'!$A$1:$Z$20000,MATCH(M159,'Semrush Data'!$A$1:$A$20000,0),MATCH("Volume",'Semrush Data'!$A$1:$Z$1,0)),""))</f>
        <v/>
      </c>
      <c r="S159" s="22" t="str">
        <f aca="false">IF(N159="","",IFERROR(INDEX('Semrush Data'!$A$1:$Z$20000,MATCH(N159,'Semrush Data'!$A$1:$A$20000,0),MATCH("Volume",'Semrush Data'!$A$1:$Z$1,0)),""))</f>
        <v/>
      </c>
      <c r="T159" s="22" t="str">
        <f aca="false">IF(O159="","",IFERROR(INDEX('Semrush Data'!$A$1:$Z$20000,MATCH(O159,'Semrush Data'!$A$1:$A$20000,0),MATCH("Volume",'Semrush Data'!$A$1:$Z$1,0)),""))</f>
        <v/>
      </c>
      <c r="U159" s="22" t="str">
        <f aca="false">IF(P159="","",IFERROR(INDEX('Semrush Data'!$A$1:$Z$20000,MATCH(P159,'Semrush Data'!$A$1:$A$20000,0),MATCH("Volume",'Semrush Data'!$A$1:$Z$1,0)),""))</f>
        <v/>
      </c>
      <c r="V159" s="23" t="str">
        <f aca="false">IF(COUNT(Q159:U159)=0,L159,IF(MAX(Q159:U159)=0,L159,INDEX(L159:P159,MATCH(MAX(Q159:U159),Q159:U159,0))))</f>
        <v>deyga game changer face care kit</v>
      </c>
      <c r="W159" s="22" t="n">
        <f aca="false">IFERROR(INDEX('Semrush Data'!$A$1:$Z$20000,MATCH(V159,'Semrush Data'!$A$1:$A$20000,0),MATCH("Volume",'Semrush Data'!$A$1:$Z$1,0)),"")</f>
        <v>0</v>
      </c>
      <c r="X159" s="22" t="n">
        <f aca="false">IFERROR(INDEX('Semrush Data'!$A$1:$Z$20000,MATCH(V159,'Semrush Data'!$A$1:$A$20000,0),MATCH("Keyword Difficulty*",'Semrush Data'!$A$1:$Z$1,0)),"")</f>
        <v>27</v>
      </c>
      <c r="Y159" s="24" t="n">
        <f aca="false">IFERROR(INDEX('Semrush Data'!$A$1:$Z$20000,MATCH(V159,'Semrush Data'!$A$1:$A$20000,0),MATCH("CPC*",'Semrush Data'!$A$1:$Z$1,0)),"")</f>
        <v>0</v>
      </c>
      <c r="Z159" s="21" t="s">
        <v>2249</v>
      </c>
      <c r="AA159" s="21"/>
      <c r="AB159" s="21" t="s">
        <v>1335</v>
      </c>
      <c r="AC159" s="21" t="s">
        <v>2381</v>
      </c>
      <c r="AD159" s="25" t="n">
        <f aca="false">LEN(AC159)</f>
        <v>59</v>
      </c>
      <c r="AE159" s="21" t="s">
        <v>2382</v>
      </c>
      <c r="AF159" s="25" t="n">
        <f aca="false">LEN(AE159)</f>
        <v>157</v>
      </c>
    </row>
    <row r="160" customFormat="false" ht="15" hidden="false" customHeight="true" outlineLevel="0" collapsed="false">
      <c r="A160" s="21" t="s">
        <v>1339</v>
      </c>
      <c r="B160" s="21" t="s">
        <v>1373</v>
      </c>
      <c r="C160" s="21" t="n">
        <v>159</v>
      </c>
      <c r="D160" s="21" t="s">
        <v>846</v>
      </c>
      <c r="E160" s="21"/>
      <c r="F160" s="21" t="s">
        <v>1676</v>
      </c>
      <c r="G160" s="21" t="s">
        <v>659</v>
      </c>
      <c r="H160" s="21" t="s">
        <v>561</v>
      </c>
      <c r="I160" s="21" t="s">
        <v>1340</v>
      </c>
      <c r="J160" s="21"/>
      <c r="K160" s="21" t="n">
        <v>11.99</v>
      </c>
      <c r="L160" s="21" t="s">
        <v>2383</v>
      </c>
      <c r="M160" s="21" t="s">
        <v>2384</v>
      </c>
      <c r="N160" s="21" t="s">
        <v>2385</v>
      </c>
      <c r="O160" s="21" t="s">
        <v>2386</v>
      </c>
      <c r="P160" s="21"/>
      <c r="Q160" s="22" t="n">
        <f aca="false">IF(L160="","",IFERROR(INDEX('Semrush Data'!$A$1:$Z$20000,MATCH(L160,'Semrush Data'!$A$1:$A$20000,0),MATCH("Volume",'Semrush Data'!$A$1:$Z$1,0)),""))</f>
        <v>0</v>
      </c>
      <c r="R160" s="22" t="str">
        <f aca="false">IF(M160="","",IFERROR(INDEX('Semrush Data'!$A$1:$Z$20000,MATCH(M160,'Semrush Data'!$A$1:$A$20000,0),MATCH("Volume",'Semrush Data'!$A$1:$Z$1,0)),""))</f>
        <v/>
      </c>
      <c r="S160" s="22" t="str">
        <f aca="false">IF(N160="","",IFERROR(INDEX('Semrush Data'!$A$1:$Z$20000,MATCH(N160,'Semrush Data'!$A$1:$A$20000,0),MATCH("Volume",'Semrush Data'!$A$1:$Z$1,0)),""))</f>
        <v/>
      </c>
      <c r="T160" s="22" t="str">
        <f aca="false">IF(O160="","",IFERROR(INDEX('Semrush Data'!$A$1:$Z$20000,MATCH(O160,'Semrush Data'!$A$1:$A$20000,0),MATCH("Volume",'Semrush Data'!$A$1:$Z$1,0)),""))</f>
        <v/>
      </c>
      <c r="U160" s="22" t="str">
        <f aca="false">IF(P160="","",IFERROR(INDEX('Semrush Data'!$A$1:$Z$20000,MATCH(P160,'Semrush Data'!$A$1:$A$20000,0),MATCH("Volume",'Semrush Data'!$A$1:$Z$1,0)),""))</f>
        <v/>
      </c>
      <c r="V160" s="23" t="str">
        <f aca="false">IF(COUNT(Q160:U160)=0,L160,IF(MAX(Q160:U160)=0,L160,INDEX(L160:P160,MATCH(MAX(Q160:U160),Q160:U160,0))))</f>
        <v>deyga daily use healthy hair kit</v>
      </c>
      <c r="W160" s="22" t="n">
        <f aca="false">IFERROR(INDEX('Semrush Data'!$A$1:$Z$20000,MATCH(V160,'Semrush Data'!$A$1:$A$20000,0),MATCH("Volume",'Semrush Data'!$A$1:$Z$1,0)),"")</f>
        <v>0</v>
      </c>
      <c r="X160" s="22" t="n">
        <f aca="false">IFERROR(INDEX('Semrush Data'!$A$1:$Z$20000,MATCH(V160,'Semrush Data'!$A$1:$A$20000,0),MATCH("Keyword Difficulty*",'Semrush Data'!$A$1:$Z$1,0)),"")</f>
        <v>12</v>
      </c>
      <c r="Y160" s="24" t="n">
        <f aca="false">IFERROR(INDEX('Semrush Data'!$A$1:$Z$20000,MATCH(V160,'Semrush Data'!$A$1:$A$20000,0),MATCH("CPC*",'Semrush Data'!$A$1:$Z$1,0)),"")</f>
        <v>0</v>
      </c>
      <c r="Z160" s="21" t="s">
        <v>2249</v>
      </c>
      <c r="AA160" s="21"/>
      <c r="AB160" s="21" t="s">
        <v>1341</v>
      </c>
      <c r="AC160" s="21" t="s">
        <v>2387</v>
      </c>
      <c r="AD160" s="25" t="n">
        <f aca="false">LEN(AC160)</f>
        <v>59</v>
      </c>
      <c r="AE160" s="21" t="s">
        <v>2388</v>
      </c>
      <c r="AF160" s="25" t="n">
        <f aca="false">LEN(AE160)</f>
        <v>157</v>
      </c>
    </row>
    <row r="161" customFormat="false" ht="15" hidden="false" customHeight="true" outlineLevel="0" collapsed="false">
      <c r="A161" s="21" t="s">
        <v>2389</v>
      </c>
      <c r="B161" s="21" t="s">
        <v>2390</v>
      </c>
      <c r="C161" s="21" t="n">
        <v>1</v>
      </c>
      <c r="D161" s="21" t="s">
        <v>2391</v>
      </c>
      <c r="E161" s="21" t="s">
        <v>2392</v>
      </c>
      <c r="F161" s="21" t="s">
        <v>2393</v>
      </c>
      <c r="G161" s="21" t="s">
        <v>2394</v>
      </c>
      <c r="H161" s="21" t="s">
        <v>2395</v>
      </c>
      <c r="I161" s="21" t="s">
        <v>2396</v>
      </c>
      <c r="J161" s="21" t="s">
        <v>1935</v>
      </c>
      <c r="K161" s="21" t="n">
        <v>24.99</v>
      </c>
      <c r="L161" s="21" t="s">
        <v>2397</v>
      </c>
      <c r="M161" s="21" t="s">
        <v>2398</v>
      </c>
      <c r="N161" s="21" t="s">
        <v>2399</v>
      </c>
      <c r="O161" s="21" t="s">
        <v>2400</v>
      </c>
      <c r="P161" s="21" t="s">
        <v>2401</v>
      </c>
      <c r="Q161" s="22" t="n">
        <f aca="false">IF(L161="","",IFERROR(INDEX('Semrush Data'!$A$1:$Z$20000,MATCH(L161,'Semrush Data'!$A$1:$A$20000,0),MATCH("Volume",'Semrush Data'!$A$1:$Z$1,0)),""))</f>
        <v>20</v>
      </c>
      <c r="R161" s="22" t="n">
        <f aca="false">IF(M161="","",IFERROR(INDEX('Semrush Data'!$A$1:$Z$20000,MATCH(M161,'Semrush Data'!$A$1:$A$20000,0),MATCH("Volume",'Semrush Data'!$A$1:$Z$1,0)),""))</f>
        <v>0</v>
      </c>
      <c r="S161" s="22" t="str">
        <f aca="false">IF(N161="","",IFERROR(INDEX('Semrush Data'!$A$1:$Z$20000,MATCH(N161,'Semrush Data'!$A$1:$A$20000,0),MATCH("Volume",'Semrush Data'!$A$1:$Z$1,0)),""))</f>
        <v/>
      </c>
      <c r="T161" s="22" t="str">
        <f aca="false">IF(O161="","",IFERROR(INDEX('Semrush Data'!$A$1:$Z$20000,MATCH(O161,'Semrush Data'!$A$1:$A$20000,0),MATCH("Volume",'Semrush Data'!$A$1:$Z$1,0)),""))</f>
        <v/>
      </c>
      <c r="U161" s="22" t="str">
        <f aca="false">IF(P161="","",IFERROR(INDEX('Semrush Data'!$A$1:$Z$20000,MATCH(P161,'Semrush Data'!$A$1:$A$20000,0),MATCH("Volume",'Semrush Data'!$A$1:$Z$1,0)),""))</f>
        <v/>
      </c>
      <c r="V161" s="23" t="str">
        <f aca="false">IF(COUNT(Q161:U161)=0,L161,IF(MAX(Q161:U161)=0,L161,INDEX(L161:P161,MATCH(MAX(Q161:U161),Q161:U161,0))))</f>
        <v>abercrombie &amp; fitch first instinct together</v>
      </c>
      <c r="W161" s="22" t="n">
        <f aca="false">IFERROR(INDEX('Semrush Data'!$A$1:$Z$20000,MATCH(V161,'Semrush Data'!$A$1:$A$20000,0),MATCH("Volume",'Semrush Data'!$A$1:$Z$1,0)),"")</f>
        <v>20</v>
      </c>
      <c r="X161" s="22" t="n">
        <f aca="false">IFERROR(INDEX('Semrush Data'!$A$1:$Z$20000,MATCH(V161,'Semrush Data'!$A$1:$A$20000,0),MATCH("Keyword Difficulty*",'Semrush Data'!$A$1:$Z$1,0)),"")</f>
        <v>19</v>
      </c>
      <c r="Y161" s="24" t="n">
        <f aca="false">IFERROR(INDEX('Semrush Data'!$A$1:$Z$20000,MATCH(V161,'Semrush Data'!$A$1:$A$20000,0),MATCH("CPC*",'Semrush Data'!$A$1:$Z$1,0)),"")</f>
        <v>0</v>
      </c>
      <c r="Z161" s="21" t="s">
        <v>2402</v>
      </c>
      <c r="AA161" s="21" t="s">
        <v>2403</v>
      </c>
      <c r="AB161" s="21" t="s">
        <v>2404</v>
      </c>
      <c r="AC161" s="21" t="s">
        <v>2405</v>
      </c>
      <c r="AD161" s="25" t="n">
        <f aca="false">LEN(AC161)</f>
        <v>57</v>
      </c>
      <c r="AE161" s="21" t="s">
        <v>2406</v>
      </c>
      <c r="AF161" s="25" t="n">
        <f aca="false">LEN(AE161)</f>
        <v>159</v>
      </c>
    </row>
    <row r="162" customFormat="false" ht="15" hidden="false" customHeight="true" outlineLevel="0" collapsed="false">
      <c r="A162" s="21" t="s">
        <v>2407</v>
      </c>
      <c r="B162" s="21" t="s">
        <v>2390</v>
      </c>
      <c r="C162" s="21" t="n">
        <v>2</v>
      </c>
      <c r="D162" s="21" t="s">
        <v>2391</v>
      </c>
      <c r="E162" s="21" t="s">
        <v>2392</v>
      </c>
      <c r="F162" s="21" t="s">
        <v>2393</v>
      </c>
      <c r="G162" s="21" t="s">
        <v>2394</v>
      </c>
      <c r="H162" s="21" t="s">
        <v>2395</v>
      </c>
      <c r="I162" s="21" t="s">
        <v>2408</v>
      </c>
      <c r="J162" s="21" t="s">
        <v>1409</v>
      </c>
      <c r="K162" s="21" t="n">
        <v>19.99</v>
      </c>
      <c r="L162" s="21" t="s">
        <v>2409</v>
      </c>
      <c r="M162" s="21" t="s">
        <v>2410</v>
      </c>
      <c r="N162" s="21" t="s">
        <v>2411</v>
      </c>
      <c r="O162" s="21" t="s">
        <v>2412</v>
      </c>
      <c r="P162" s="21" t="s">
        <v>2413</v>
      </c>
      <c r="Q162" s="22" t="n">
        <f aca="false">IF(L162="","",IFERROR(INDEX('Semrush Data'!$A$1:$Z$20000,MATCH(L162,'Semrush Data'!$A$1:$A$20000,0),MATCH("Volume",'Semrush Data'!$A$1:$Z$1,0)),""))</f>
        <v>20</v>
      </c>
      <c r="R162" s="22" t="n">
        <f aca="false">IF(M162="","",IFERROR(INDEX('Semrush Data'!$A$1:$Z$20000,MATCH(M162,'Semrush Data'!$A$1:$A$20000,0),MATCH("Volume",'Semrush Data'!$A$1:$Z$1,0)),""))</f>
        <v>0</v>
      </c>
      <c r="S162" s="22" t="str">
        <f aca="false">IF(N162="","",IFERROR(INDEX('Semrush Data'!$A$1:$Z$20000,MATCH(N162,'Semrush Data'!$A$1:$A$20000,0),MATCH("Volume",'Semrush Data'!$A$1:$Z$1,0)),""))</f>
        <v/>
      </c>
      <c r="T162" s="22" t="str">
        <f aca="false">IF(O162="","",IFERROR(INDEX('Semrush Data'!$A$1:$Z$20000,MATCH(O162,'Semrush Data'!$A$1:$A$20000,0),MATCH("Volume",'Semrush Data'!$A$1:$Z$1,0)),""))</f>
        <v/>
      </c>
      <c r="U162" s="22" t="str">
        <f aca="false">IF(P162="","",IFERROR(INDEX('Semrush Data'!$A$1:$Z$20000,MATCH(P162,'Semrush Data'!$A$1:$A$20000,0),MATCH("Volume",'Semrush Data'!$A$1:$Z$1,0)),""))</f>
        <v/>
      </c>
      <c r="V162" s="23" t="str">
        <f aca="false">IF(COUNT(Q162:U162)=0,L162,IF(MAX(Q162:U162)=0,L162,INDEX(L162:P162,MATCH(MAX(Q162:U162),Q162:U162,0))))</f>
        <v>abercrombie &amp; fitch naturally fierce</v>
      </c>
      <c r="W162" s="22" t="n">
        <f aca="false">IFERROR(INDEX('Semrush Data'!$A$1:$Z$20000,MATCH(V162,'Semrush Data'!$A$1:$A$20000,0),MATCH("Volume",'Semrush Data'!$A$1:$Z$1,0)),"")</f>
        <v>20</v>
      </c>
      <c r="X162" s="22" t="n">
        <f aca="false">IFERROR(INDEX('Semrush Data'!$A$1:$Z$20000,MATCH(V162,'Semrush Data'!$A$1:$A$20000,0),MATCH("Keyword Difficulty*",'Semrush Data'!$A$1:$Z$1,0)),"")</f>
        <v>16</v>
      </c>
      <c r="Y162" s="24" t="n">
        <f aca="false">IFERROR(INDEX('Semrush Data'!$A$1:$Z$20000,MATCH(V162,'Semrush Data'!$A$1:$A$20000,0),MATCH("CPC*",'Semrush Data'!$A$1:$Z$1,0)),"")</f>
        <v>0</v>
      </c>
      <c r="Z162" s="21" t="s">
        <v>2402</v>
      </c>
      <c r="AA162" s="21" t="s">
        <v>2414</v>
      </c>
      <c r="AB162" s="21" t="s">
        <v>2415</v>
      </c>
      <c r="AC162" s="21" t="s">
        <v>2416</v>
      </c>
      <c r="AD162" s="25" t="n">
        <f aca="false">LEN(AC162)</f>
        <v>59</v>
      </c>
      <c r="AE162" s="21" t="s">
        <v>2417</v>
      </c>
      <c r="AF162" s="25" t="n">
        <f aca="false">LEN(AE162)</f>
        <v>159</v>
      </c>
    </row>
    <row r="163" customFormat="false" ht="15" hidden="false" customHeight="true" outlineLevel="0" collapsed="false">
      <c r="A163" s="21" t="s">
        <v>2418</v>
      </c>
      <c r="B163" s="21" t="s">
        <v>2390</v>
      </c>
      <c r="C163" s="21" t="n">
        <v>3</v>
      </c>
      <c r="D163" s="21" t="s">
        <v>2419</v>
      </c>
      <c r="E163" s="21"/>
      <c r="F163" s="21" t="s">
        <v>2393</v>
      </c>
      <c r="G163" s="21" t="s">
        <v>2420</v>
      </c>
      <c r="H163" s="21" t="s">
        <v>2421</v>
      </c>
      <c r="I163" s="21" t="s">
        <v>2422</v>
      </c>
      <c r="J163" s="21" t="s">
        <v>1920</v>
      </c>
      <c r="K163" s="21" t="n">
        <v>32.99</v>
      </c>
      <c r="L163" s="21" t="s">
        <v>2423</v>
      </c>
      <c r="M163" s="21" t="s">
        <v>2424</v>
      </c>
      <c r="N163" s="21" t="s">
        <v>2425</v>
      </c>
      <c r="O163" s="21" t="s">
        <v>2426</v>
      </c>
      <c r="P163" s="21" t="s">
        <v>2427</v>
      </c>
      <c r="Q163" s="22" t="n">
        <f aca="false">IF(L163="","",IFERROR(INDEX('Semrush Data'!$A$1:$Z$20000,MATCH(L163,'Semrush Data'!$A$1:$A$20000,0),MATCH("Volume",'Semrush Data'!$A$1:$Z$1,0)),""))</f>
        <v>260</v>
      </c>
      <c r="R163" s="22" t="n">
        <f aca="false">IF(M163="","",IFERROR(INDEX('Semrush Data'!$A$1:$Z$20000,MATCH(M163,'Semrush Data'!$A$1:$A$20000,0),MATCH("Volume",'Semrush Data'!$A$1:$Z$1,0)),""))</f>
        <v>10</v>
      </c>
      <c r="S163" s="22" t="str">
        <f aca="false">IF(N163="","",IFERROR(INDEX('Semrush Data'!$A$1:$Z$20000,MATCH(N163,'Semrush Data'!$A$1:$A$20000,0),MATCH("Volume",'Semrush Data'!$A$1:$Z$1,0)),""))</f>
        <v/>
      </c>
      <c r="T163" s="22" t="str">
        <f aca="false">IF(O163="","",IFERROR(INDEX('Semrush Data'!$A$1:$Z$20000,MATCH(O163,'Semrush Data'!$A$1:$A$20000,0),MATCH("Volume",'Semrush Data'!$A$1:$Z$1,0)),""))</f>
        <v/>
      </c>
      <c r="U163" s="22" t="n">
        <f aca="false">IF(P163="","",IFERROR(INDEX('Semrush Data'!$A$1:$Z$20000,MATCH(P163,'Semrush Data'!$A$1:$A$20000,0),MATCH("Volume",'Semrush Data'!$A$1:$Z$1,0)),""))</f>
        <v>30</v>
      </c>
      <c r="V163" s="23" t="str">
        <f aca="false">IF(COUNT(Q163:U163)=0,L163,IF(MAX(Q163:U163)=0,L163,INDEX(L163:P163,MATCH(MAX(Q163:U163),Q163:U163,0))))</f>
        <v>acqua di parma colonia pura</v>
      </c>
      <c r="W163" s="22" t="n">
        <f aca="false">IFERROR(INDEX('Semrush Data'!$A$1:$Z$20000,MATCH(V163,'Semrush Data'!$A$1:$A$20000,0),MATCH("Volume",'Semrush Data'!$A$1:$Z$1,0)),"")</f>
        <v>260</v>
      </c>
      <c r="X163" s="22" t="n">
        <f aca="false">IFERROR(INDEX('Semrush Data'!$A$1:$Z$20000,MATCH(V163,'Semrush Data'!$A$1:$A$20000,0),MATCH("Keyword Difficulty*",'Semrush Data'!$A$1:$Z$1,0)),"")</f>
        <v>12</v>
      </c>
      <c r="Y163" s="24" t="n">
        <f aca="false">IFERROR(INDEX('Semrush Data'!$A$1:$Z$20000,MATCH(V163,'Semrush Data'!$A$1:$A$20000,0),MATCH("CPC*",'Semrush Data'!$A$1:$Z$1,0)),"")</f>
        <v>0.48</v>
      </c>
      <c r="Z163" s="21" t="s">
        <v>2428</v>
      </c>
      <c r="AA163" s="21" t="s">
        <v>2429</v>
      </c>
      <c r="AB163" s="21" t="s">
        <v>2430</v>
      </c>
      <c r="AC163" s="21" t="s">
        <v>2431</v>
      </c>
      <c r="AD163" s="25" t="n">
        <f aca="false">LEN(AC163)</f>
        <v>53</v>
      </c>
      <c r="AE163" s="21" t="s">
        <v>2432</v>
      </c>
      <c r="AF163" s="25" t="n">
        <f aca="false">LEN(AE163)</f>
        <v>159</v>
      </c>
    </row>
    <row r="164" customFormat="false" ht="15" hidden="false" customHeight="true" outlineLevel="0" collapsed="false">
      <c r="A164" s="21" t="s">
        <v>2433</v>
      </c>
      <c r="B164" s="21" t="s">
        <v>2390</v>
      </c>
      <c r="C164" s="21" t="n">
        <v>4</v>
      </c>
      <c r="D164" s="21" t="s">
        <v>2419</v>
      </c>
      <c r="E164" s="21"/>
      <c r="F164" s="21" t="s">
        <v>2393</v>
      </c>
      <c r="G164" s="21" t="s">
        <v>346</v>
      </c>
      <c r="H164" s="21" t="s">
        <v>2421</v>
      </c>
      <c r="I164" s="21" t="s">
        <v>2434</v>
      </c>
      <c r="J164" s="21" t="s">
        <v>2435</v>
      </c>
      <c r="K164" s="21" t="n">
        <v>32.99</v>
      </c>
      <c r="L164" s="21" t="s">
        <v>2436</v>
      </c>
      <c r="M164" s="21" t="s">
        <v>2437</v>
      </c>
      <c r="N164" s="21" t="s">
        <v>2438</v>
      </c>
      <c r="O164" s="21" t="s">
        <v>2439</v>
      </c>
      <c r="P164" s="21"/>
      <c r="Q164" s="22" t="n">
        <f aca="false">IF(L164="","",IFERROR(INDEX('Semrush Data'!$A$1:$Z$20000,MATCH(L164,'Semrush Data'!$A$1:$A$20000,0),MATCH("Volume",'Semrush Data'!$A$1:$Z$1,0)),""))</f>
        <v>20</v>
      </c>
      <c r="R164" s="22" t="n">
        <f aca="false">IF(M164="","",IFERROR(INDEX('Semrush Data'!$A$1:$Z$20000,MATCH(M164,'Semrush Data'!$A$1:$A$20000,0),MATCH("Volume",'Semrush Data'!$A$1:$Z$1,0)),""))</f>
        <v>0</v>
      </c>
      <c r="S164" s="22" t="str">
        <f aca="false">IF(N164="","",IFERROR(INDEX('Semrush Data'!$A$1:$Z$20000,MATCH(N164,'Semrush Data'!$A$1:$A$20000,0),MATCH("Volume",'Semrush Data'!$A$1:$Z$1,0)),""))</f>
        <v/>
      </c>
      <c r="T164" s="22" t="str">
        <f aca="false">IF(O164="","",IFERROR(INDEX('Semrush Data'!$A$1:$Z$20000,MATCH(O164,'Semrush Data'!$A$1:$A$20000,0),MATCH("Volume",'Semrush Data'!$A$1:$Z$1,0)),""))</f>
        <v/>
      </c>
      <c r="U164" s="22" t="str">
        <f aca="false">IF(P164="","",IFERROR(INDEX('Semrush Data'!$A$1:$Z$20000,MATCH(P164,'Semrush Data'!$A$1:$A$20000,0),MATCH("Volume",'Semrush Data'!$A$1:$Z$1,0)),""))</f>
        <v/>
      </c>
      <c r="V164" s="23" t="str">
        <f aca="false">IF(COUNT(Q164:U164)=0,L164,IF(MAX(Q164:U164)=0,L164,INDEX(L164:P164,MATCH(MAX(Q164:U164),Q164:U164,0))))</f>
        <v>acqua di parma colonia essenza deodorant stick</v>
      </c>
      <c r="W164" s="22" t="n">
        <f aca="false">IFERROR(INDEX('Semrush Data'!$A$1:$Z$20000,MATCH(V164,'Semrush Data'!$A$1:$A$20000,0),MATCH("Volume",'Semrush Data'!$A$1:$Z$1,0)),"")</f>
        <v>20</v>
      </c>
      <c r="X164" s="22" t="n">
        <f aca="false">IFERROR(INDEX('Semrush Data'!$A$1:$Z$20000,MATCH(V164,'Semrush Data'!$A$1:$A$20000,0),MATCH("Keyword Difficulty*",'Semrush Data'!$A$1:$Z$1,0)),"")</f>
        <v>15</v>
      </c>
      <c r="Y164" s="24" t="n">
        <f aca="false">IFERROR(INDEX('Semrush Data'!$A$1:$Z$20000,MATCH(V164,'Semrush Data'!$A$1:$A$20000,0),MATCH("CPC*",'Semrush Data'!$A$1:$Z$1,0)),"")</f>
        <v>0</v>
      </c>
      <c r="Z164" s="21" t="s">
        <v>2428</v>
      </c>
      <c r="AA164" s="21" t="s">
        <v>2440</v>
      </c>
      <c r="AB164" s="21" t="s">
        <v>2441</v>
      </c>
      <c r="AC164" s="21" t="s">
        <v>2442</v>
      </c>
      <c r="AD164" s="25" t="n">
        <f aca="false">LEN(AC164)</f>
        <v>60</v>
      </c>
      <c r="AE164" s="21" t="s">
        <v>2443</v>
      </c>
      <c r="AF164" s="25" t="n">
        <f aca="false">LEN(AE164)</f>
        <v>156</v>
      </c>
    </row>
    <row r="165" customFormat="false" ht="15" hidden="false" customHeight="true" outlineLevel="0" collapsed="false">
      <c r="A165" s="21" t="s">
        <v>2444</v>
      </c>
      <c r="B165" s="21" t="s">
        <v>2390</v>
      </c>
      <c r="C165" s="21" t="n">
        <v>5</v>
      </c>
      <c r="D165" s="21" t="s">
        <v>2419</v>
      </c>
      <c r="E165" s="21"/>
      <c r="F165" s="21" t="s">
        <v>2393</v>
      </c>
      <c r="G165" s="21" t="s">
        <v>2394</v>
      </c>
      <c r="H165" s="21" t="s">
        <v>2445</v>
      </c>
      <c r="I165" s="21" t="s">
        <v>2446</v>
      </c>
      <c r="J165" s="21" t="s">
        <v>1920</v>
      </c>
      <c r="K165" s="21" t="n">
        <v>40.99</v>
      </c>
      <c r="L165" s="21" t="s">
        <v>2447</v>
      </c>
      <c r="M165" s="21" t="s">
        <v>2448</v>
      </c>
      <c r="N165" s="21" t="s">
        <v>2449</v>
      </c>
      <c r="O165" s="21" t="s">
        <v>2450</v>
      </c>
      <c r="P165" s="21" t="s">
        <v>2451</v>
      </c>
      <c r="Q165" s="22" t="n">
        <f aca="false">IF(L165="","",IFERROR(INDEX('Semrush Data'!$A$1:$Z$20000,MATCH(L165,'Semrush Data'!$A$1:$A$20000,0),MATCH("Volume",'Semrush Data'!$A$1:$Z$1,0)),""))</f>
        <v>70</v>
      </c>
      <c r="R165" s="22" t="n">
        <f aca="false">IF(M165="","",IFERROR(INDEX('Semrush Data'!$A$1:$Z$20000,MATCH(M165,'Semrush Data'!$A$1:$A$20000,0),MATCH("Volume",'Semrush Data'!$A$1:$Z$1,0)),""))</f>
        <v>0</v>
      </c>
      <c r="S165" s="22" t="str">
        <f aca="false">IF(N165="","",IFERROR(INDEX('Semrush Data'!$A$1:$Z$20000,MATCH(N165,'Semrush Data'!$A$1:$A$20000,0),MATCH("Volume",'Semrush Data'!$A$1:$Z$1,0)),""))</f>
        <v/>
      </c>
      <c r="T165" s="22" t="str">
        <f aca="false">IF(O165="","",IFERROR(INDEX('Semrush Data'!$A$1:$Z$20000,MATCH(O165,'Semrush Data'!$A$1:$A$20000,0),MATCH("Volume",'Semrush Data'!$A$1:$Z$1,0)),""))</f>
        <v/>
      </c>
      <c r="U165" s="22" t="n">
        <f aca="false">IF(P165="","",IFERROR(INDEX('Semrush Data'!$A$1:$Z$20000,MATCH(P165,'Semrush Data'!$A$1:$A$20000,0),MATCH("Volume",'Semrush Data'!$A$1:$Z$1,0)),""))</f>
        <v>0</v>
      </c>
      <c r="V165" s="23" t="str">
        <f aca="false">IF(COUNT(Q165:U165)=0,L165,IF(MAX(Q165:U165)=0,L165,INDEX(L165:P165,MATCH(MAX(Q165:U165),Q165:U165,0))))</f>
        <v>acqua di parma oud &amp; spice</v>
      </c>
      <c r="W165" s="22" t="n">
        <f aca="false">IFERROR(INDEX('Semrush Data'!$A$1:$Z$20000,MATCH(V165,'Semrush Data'!$A$1:$A$20000,0),MATCH("Volume",'Semrush Data'!$A$1:$Z$1,0)),"")</f>
        <v>70</v>
      </c>
      <c r="X165" s="22" t="n">
        <f aca="false">IFERROR(INDEX('Semrush Data'!$A$1:$Z$20000,MATCH(V165,'Semrush Data'!$A$1:$A$20000,0),MATCH("Keyword Difficulty*",'Semrush Data'!$A$1:$Z$1,0)),"")</f>
        <v>13</v>
      </c>
      <c r="Y165" s="24" t="n">
        <f aca="false">IFERROR(INDEX('Semrush Data'!$A$1:$Z$20000,MATCH(V165,'Semrush Data'!$A$1:$A$20000,0),MATCH("CPC*",'Semrush Data'!$A$1:$Z$1,0)),"")</f>
        <v>0.5</v>
      </c>
      <c r="Z165" s="21" t="s">
        <v>2452</v>
      </c>
      <c r="AA165" s="21" t="s">
        <v>2453</v>
      </c>
      <c r="AB165" s="21" t="s">
        <v>2454</v>
      </c>
      <c r="AC165" s="21" t="s">
        <v>2455</v>
      </c>
      <c r="AD165" s="25" t="n">
        <f aca="false">LEN(AC165)</f>
        <v>52</v>
      </c>
      <c r="AE165" s="21" t="s">
        <v>2456</v>
      </c>
      <c r="AF165" s="25" t="n">
        <f aca="false">LEN(AE165)</f>
        <v>155</v>
      </c>
    </row>
    <row r="166" customFormat="false" ht="15" hidden="false" customHeight="true" outlineLevel="0" collapsed="false">
      <c r="A166" s="21" t="s">
        <v>138</v>
      </c>
      <c r="B166" s="21" t="s">
        <v>2390</v>
      </c>
      <c r="C166" s="21" t="n">
        <v>6</v>
      </c>
      <c r="D166" s="21" t="s">
        <v>2419</v>
      </c>
      <c r="E166" s="21"/>
      <c r="F166" s="21" t="s">
        <v>2393</v>
      </c>
      <c r="G166" s="21" t="s">
        <v>2394</v>
      </c>
      <c r="H166" s="21" t="s">
        <v>2457</v>
      </c>
      <c r="I166" s="21" t="s">
        <v>139</v>
      </c>
      <c r="J166" s="21" t="s">
        <v>1920</v>
      </c>
      <c r="K166" s="21" t="n">
        <v>40.99</v>
      </c>
      <c r="L166" s="21" t="s">
        <v>2458</v>
      </c>
      <c r="M166" s="21" t="s">
        <v>2459</v>
      </c>
      <c r="N166" s="21" t="s">
        <v>2460</v>
      </c>
      <c r="O166" s="21" t="s">
        <v>2461</v>
      </c>
      <c r="P166" s="21" t="s">
        <v>2462</v>
      </c>
      <c r="Q166" s="22" t="n">
        <f aca="false">IF(L166="","",IFERROR(INDEX('Semrush Data'!$A$1:$Z$20000,MATCH(L166,'Semrush Data'!$A$1:$A$20000,0),MATCH("Volume",'Semrush Data'!$A$1:$Z$1,0)),""))</f>
        <v>320</v>
      </c>
      <c r="R166" s="22" t="n">
        <f aca="false">IF(M166="","",IFERROR(INDEX('Semrush Data'!$A$1:$Z$20000,MATCH(M166,'Semrush Data'!$A$1:$A$20000,0),MATCH("Volume",'Semrush Data'!$A$1:$Z$1,0)),""))</f>
        <v>20</v>
      </c>
      <c r="S166" s="22" t="str">
        <f aca="false">IF(N166="","",IFERROR(INDEX('Semrush Data'!$A$1:$Z$20000,MATCH(N166,'Semrush Data'!$A$1:$A$20000,0),MATCH("Volume",'Semrush Data'!$A$1:$Z$1,0)),""))</f>
        <v/>
      </c>
      <c r="T166" s="22" t="str">
        <f aca="false">IF(O166="","",IFERROR(INDEX('Semrush Data'!$A$1:$Z$20000,MATCH(O166,'Semrush Data'!$A$1:$A$20000,0),MATCH("Volume",'Semrush Data'!$A$1:$Z$1,0)),""))</f>
        <v/>
      </c>
      <c r="U166" s="22" t="n">
        <f aca="false">IF(P166="","",IFERROR(INDEX('Semrush Data'!$A$1:$Z$20000,MATCH(P166,'Semrush Data'!$A$1:$A$20000,0),MATCH("Volume",'Semrush Data'!$A$1:$Z$1,0)),""))</f>
        <v>20</v>
      </c>
      <c r="V166" s="23" t="str">
        <f aca="false">IF(COUNT(Q166:U166)=0,L166,IF(MAX(Q166:U166)=0,L166,INDEX(L166:P166,MATCH(MAX(Q166:U166),Q166:U166,0))))</f>
        <v>acqua di parma rosa nobile</v>
      </c>
      <c r="W166" s="22" t="n">
        <f aca="false">IFERROR(INDEX('Semrush Data'!$A$1:$Z$20000,MATCH(V166,'Semrush Data'!$A$1:$A$20000,0),MATCH("Volume",'Semrush Data'!$A$1:$Z$1,0)),"")</f>
        <v>320</v>
      </c>
      <c r="X166" s="22" t="n">
        <f aca="false">IFERROR(INDEX('Semrush Data'!$A$1:$Z$20000,MATCH(V166,'Semrush Data'!$A$1:$A$20000,0),MATCH("Keyword Difficulty*",'Semrush Data'!$A$1:$Z$1,0)),"")</f>
        <v>11</v>
      </c>
      <c r="Y166" s="24" t="n">
        <f aca="false">IFERROR(INDEX('Semrush Data'!$A$1:$Z$20000,MATCH(V166,'Semrush Data'!$A$1:$A$20000,0),MATCH("CPC*",'Semrush Data'!$A$1:$Z$1,0)),"")</f>
        <v>0.45</v>
      </c>
      <c r="Z166" s="21" t="s">
        <v>2463</v>
      </c>
      <c r="AA166" s="21" t="s">
        <v>2464</v>
      </c>
      <c r="AB166" s="21" t="s">
        <v>2465</v>
      </c>
      <c r="AC166" s="21" t="s">
        <v>2466</v>
      </c>
      <c r="AD166" s="25" t="n">
        <f aca="false">LEN(AC166)</f>
        <v>54</v>
      </c>
      <c r="AE166" s="21" t="s">
        <v>2467</v>
      </c>
      <c r="AF166" s="25" t="n">
        <f aca="false">LEN(AE166)</f>
        <v>160</v>
      </c>
    </row>
    <row r="167" customFormat="false" ht="15" hidden="false" customHeight="true" outlineLevel="0" collapsed="false">
      <c r="A167" s="21" t="s">
        <v>132</v>
      </c>
      <c r="B167" s="21" t="s">
        <v>2390</v>
      </c>
      <c r="C167" s="21" t="n">
        <v>7</v>
      </c>
      <c r="D167" s="21" t="s">
        <v>2419</v>
      </c>
      <c r="E167" s="21"/>
      <c r="F167" s="21" t="s">
        <v>2393</v>
      </c>
      <c r="G167" s="21" t="s">
        <v>2394</v>
      </c>
      <c r="H167" s="21" t="s">
        <v>2468</v>
      </c>
      <c r="I167" s="21" t="s">
        <v>133</v>
      </c>
      <c r="J167" s="21" t="s">
        <v>1920</v>
      </c>
      <c r="K167" s="21" t="n">
        <v>40.99</v>
      </c>
      <c r="L167" s="21" t="s">
        <v>2469</v>
      </c>
      <c r="M167" s="21" t="s">
        <v>2470</v>
      </c>
      <c r="N167" s="21" t="s">
        <v>2471</v>
      </c>
      <c r="O167" s="21" t="s">
        <v>2472</v>
      </c>
      <c r="P167" s="21" t="s">
        <v>2473</v>
      </c>
      <c r="Q167" s="22" t="n">
        <f aca="false">IF(L167="","",IFERROR(INDEX('Semrush Data'!$A$1:$Z$20000,MATCH(L167,'Semrush Data'!$A$1:$A$20000,0),MATCH("Volume",'Semrush Data'!$A$1:$Z$1,0)),""))</f>
        <v>390</v>
      </c>
      <c r="R167" s="22" t="n">
        <f aca="false">IF(M167="","",IFERROR(INDEX('Semrush Data'!$A$1:$Z$20000,MATCH(M167,'Semrush Data'!$A$1:$A$20000,0),MATCH("Volume",'Semrush Data'!$A$1:$Z$1,0)),""))</f>
        <v>0</v>
      </c>
      <c r="S167" s="22" t="str">
        <f aca="false">IF(N167="","",IFERROR(INDEX('Semrush Data'!$A$1:$Z$20000,MATCH(N167,'Semrush Data'!$A$1:$A$20000,0),MATCH("Volume",'Semrush Data'!$A$1:$Z$1,0)),""))</f>
        <v/>
      </c>
      <c r="T167" s="22" t="str">
        <f aca="false">IF(O167="","",IFERROR(INDEX('Semrush Data'!$A$1:$Z$20000,MATCH(O167,'Semrush Data'!$A$1:$A$20000,0),MATCH("Volume",'Semrush Data'!$A$1:$Z$1,0)),""))</f>
        <v/>
      </c>
      <c r="U167" s="22" t="n">
        <f aca="false">IF(P167="","",IFERROR(INDEX('Semrush Data'!$A$1:$Z$20000,MATCH(P167,'Semrush Data'!$A$1:$A$20000,0),MATCH("Volume",'Semrush Data'!$A$1:$Z$1,0)),""))</f>
        <v>20</v>
      </c>
      <c r="V167" s="23" t="str">
        <f aca="false">IF(COUNT(Q167:U167)=0,L167,IF(MAX(Q167:U167)=0,L167,INDEX(L167:P167,MATCH(MAX(Q167:U167),Q167:U167,0))))</f>
        <v>acqua di parma sakura</v>
      </c>
      <c r="W167" s="22" t="n">
        <f aca="false">IFERROR(INDEX('Semrush Data'!$A$1:$Z$20000,MATCH(V167,'Semrush Data'!$A$1:$A$20000,0),MATCH("Volume",'Semrush Data'!$A$1:$Z$1,0)),"")</f>
        <v>390</v>
      </c>
      <c r="X167" s="22" t="n">
        <f aca="false">IFERROR(INDEX('Semrush Data'!$A$1:$Z$20000,MATCH(V167,'Semrush Data'!$A$1:$A$20000,0),MATCH("Keyword Difficulty*",'Semrush Data'!$A$1:$Z$1,0)),"")</f>
        <v>17</v>
      </c>
      <c r="Y167" s="24" t="n">
        <f aca="false">IFERROR(INDEX('Semrush Data'!$A$1:$Z$20000,MATCH(V167,'Semrush Data'!$A$1:$A$20000,0),MATCH("CPC*",'Semrush Data'!$A$1:$Z$1,0)),"")</f>
        <v>0.36</v>
      </c>
      <c r="Z167" s="21" t="s">
        <v>2474</v>
      </c>
      <c r="AA167" s="21" t="s">
        <v>2475</v>
      </c>
      <c r="AB167" s="21" t="s">
        <v>2476</v>
      </c>
      <c r="AC167" s="21" t="s">
        <v>2477</v>
      </c>
      <c r="AD167" s="25" t="n">
        <f aca="false">LEN(AC167)</f>
        <v>54</v>
      </c>
      <c r="AE167" s="21" t="s">
        <v>2478</v>
      </c>
      <c r="AF167" s="25" t="n">
        <f aca="false">LEN(AE167)</f>
        <v>160</v>
      </c>
    </row>
    <row r="168" customFormat="false" ht="15" hidden="false" customHeight="true" outlineLevel="0" collapsed="false">
      <c r="A168" s="21" t="s">
        <v>114</v>
      </c>
      <c r="B168" s="21" t="s">
        <v>2390</v>
      </c>
      <c r="C168" s="21" t="n">
        <v>8</v>
      </c>
      <c r="D168" s="21" t="s">
        <v>2419</v>
      </c>
      <c r="E168" s="21"/>
      <c r="F168" s="21" t="s">
        <v>2393</v>
      </c>
      <c r="G168" s="21" t="s">
        <v>2394</v>
      </c>
      <c r="H168" s="21" t="s">
        <v>2479</v>
      </c>
      <c r="I168" s="21" t="s">
        <v>115</v>
      </c>
      <c r="J168" s="21" t="s">
        <v>1920</v>
      </c>
      <c r="K168" s="21" t="n">
        <v>40.99</v>
      </c>
      <c r="L168" s="21" t="s">
        <v>2480</v>
      </c>
      <c r="M168" s="21" t="s">
        <v>2481</v>
      </c>
      <c r="N168" s="21" t="s">
        <v>2482</v>
      </c>
      <c r="O168" s="21" t="s">
        <v>2483</v>
      </c>
      <c r="P168" s="21" t="s">
        <v>2484</v>
      </c>
      <c r="Q168" s="22" t="n">
        <f aca="false">IF(L168="","",IFERROR(INDEX('Semrush Data'!$A$1:$Z$20000,MATCH(L168,'Semrush Data'!$A$1:$A$20000,0),MATCH("Volume",'Semrush Data'!$A$1:$Z$1,0)),""))</f>
        <v>480</v>
      </c>
      <c r="R168" s="22" t="n">
        <f aca="false">IF(M168="","",IFERROR(INDEX('Semrush Data'!$A$1:$Z$20000,MATCH(M168,'Semrush Data'!$A$1:$A$20000,0),MATCH("Volume",'Semrush Data'!$A$1:$Z$1,0)),""))</f>
        <v>20</v>
      </c>
      <c r="S168" s="22" t="str">
        <f aca="false">IF(N168="","",IFERROR(INDEX('Semrush Data'!$A$1:$Z$20000,MATCH(N168,'Semrush Data'!$A$1:$A$20000,0),MATCH("Volume",'Semrush Data'!$A$1:$Z$1,0)),""))</f>
        <v/>
      </c>
      <c r="T168" s="22" t="str">
        <f aca="false">IF(O168="","",IFERROR(INDEX('Semrush Data'!$A$1:$Z$20000,MATCH(O168,'Semrush Data'!$A$1:$A$20000,0),MATCH("Volume",'Semrush Data'!$A$1:$Z$1,0)),""))</f>
        <v/>
      </c>
      <c r="U168" s="22" t="n">
        <f aca="false">IF(P168="","",IFERROR(INDEX('Semrush Data'!$A$1:$Z$20000,MATCH(P168,'Semrush Data'!$A$1:$A$20000,0),MATCH("Volume",'Semrush Data'!$A$1:$Z$1,0)),""))</f>
        <v>20</v>
      </c>
      <c r="V168" s="23" t="str">
        <f aca="false">IF(COUNT(Q168:U168)=0,L168,IF(MAX(Q168:U168)=0,L168,INDEX(L168:P168,MATCH(MAX(Q168:U168),Q168:U168,0))))</f>
        <v>acqua di parma sandalo</v>
      </c>
      <c r="W168" s="22" t="n">
        <f aca="false">IFERROR(INDEX('Semrush Data'!$A$1:$Z$20000,MATCH(V168,'Semrush Data'!$A$1:$A$20000,0),MATCH("Volume",'Semrush Data'!$A$1:$Z$1,0)),"")</f>
        <v>480</v>
      </c>
      <c r="X168" s="22" t="n">
        <f aca="false">IFERROR(INDEX('Semrush Data'!$A$1:$Z$20000,MATCH(V168,'Semrush Data'!$A$1:$A$20000,0),MATCH("Keyword Difficulty*",'Semrush Data'!$A$1:$Z$1,0)),"")</f>
        <v>13</v>
      </c>
      <c r="Y168" s="24" t="n">
        <f aca="false">IFERROR(INDEX('Semrush Data'!$A$1:$Z$20000,MATCH(V168,'Semrush Data'!$A$1:$A$20000,0),MATCH("CPC*",'Semrush Data'!$A$1:$Z$1,0)),"")</f>
        <v>0.55</v>
      </c>
      <c r="Z168" s="21" t="s">
        <v>2485</v>
      </c>
      <c r="AA168" s="21" t="s">
        <v>2486</v>
      </c>
      <c r="AB168" s="21" t="s">
        <v>2487</v>
      </c>
      <c r="AC168" s="21" t="s">
        <v>2488</v>
      </c>
      <c r="AD168" s="25" t="n">
        <f aca="false">LEN(AC168)</f>
        <v>60</v>
      </c>
      <c r="AE168" s="21" t="s">
        <v>2489</v>
      </c>
      <c r="AF168" s="25" t="n">
        <f aca="false">LEN(AE168)</f>
        <v>153</v>
      </c>
    </row>
    <row r="169" customFormat="false" ht="15" hidden="false" customHeight="true" outlineLevel="0" collapsed="false">
      <c r="A169" s="21" t="s">
        <v>2490</v>
      </c>
      <c r="B169" s="21" t="s">
        <v>2390</v>
      </c>
      <c r="C169" s="21" t="n">
        <v>9</v>
      </c>
      <c r="D169" s="21" t="s">
        <v>2419</v>
      </c>
      <c r="E169" s="21"/>
      <c r="F169" s="21" t="s">
        <v>1676</v>
      </c>
      <c r="G169" s="21" t="s">
        <v>2491</v>
      </c>
      <c r="H169" s="21" t="s">
        <v>2479</v>
      </c>
      <c r="I169" s="21" t="s">
        <v>2492</v>
      </c>
      <c r="J169" s="21" t="s">
        <v>2493</v>
      </c>
      <c r="K169" s="21" t="n">
        <v>44.99</v>
      </c>
      <c r="L169" s="21" t="s">
        <v>2494</v>
      </c>
      <c r="M169" s="21" t="s">
        <v>2495</v>
      </c>
      <c r="N169" s="21" t="s">
        <v>2496</v>
      </c>
      <c r="O169" s="21" t="s">
        <v>2497</v>
      </c>
      <c r="P169" s="21"/>
      <c r="Q169" s="22" t="n">
        <f aca="false">IF(L169="","",IFERROR(INDEX('Semrush Data'!$A$1:$Z$20000,MATCH(L169,'Semrush Data'!$A$1:$A$20000,0),MATCH("Volume",'Semrush Data'!$A$1:$Z$1,0)),""))</f>
        <v>20</v>
      </c>
      <c r="R169" s="22" t="n">
        <f aca="false">IF(M169="","",IFERROR(INDEX('Semrush Data'!$A$1:$Z$20000,MATCH(M169,'Semrush Data'!$A$1:$A$20000,0),MATCH("Volume",'Semrush Data'!$A$1:$Z$1,0)),""))</f>
        <v>0</v>
      </c>
      <c r="S169" s="22" t="str">
        <f aca="false">IF(N169="","",IFERROR(INDEX('Semrush Data'!$A$1:$Z$20000,MATCH(N169,'Semrush Data'!$A$1:$A$20000,0),MATCH("Volume",'Semrush Data'!$A$1:$Z$1,0)),""))</f>
        <v/>
      </c>
      <c r="T169" s="22" t="str">
        <f aca="false">IF(O169="","",IFERROR(INDEX('Semrush Data'!$A$1:$Z$20000,MATCH(O169,'Semrush Data'!$A$1:$A$20000,0),MATCH("Volume",'Semrush Data'!$A$1:$Z$1,0)),""))</f>
        <v/>
      </c>
      <c r="U169" s="22" t="str">
        <f aca="false">IF(P169="","",IFERROR(INDEX('Semrush Data'!$A$1:$Z$20000,MATCH(P169,'Semrush Data'!$A$1:$A$20000,0),MATCH("Volume",'Semrush Data'!$A$1:$Z$1,0)),""))</f>
        <v/>
      </c>
      <c r="V169" s="23" t="str">
        <f aca="false">IF(COUNT(Q169:U169)=0,L169,IF(MAX(Q169:U169)=0,L169,INDEX(L169:P169,MATCH(MAX(Q169:U169),Q169:U169,0))))</f>
        <v>acqua di parma blu mediterraneo discovery set</v>
      </c>
      <c r="W169" s="22" t="n">
        <f aca="false">IFERROR(INDEX('Semrush Data'!$A$1:$Z$20000,MATCH(V169,'Semrush Data'!$A$1:$A$20000,0),MATCH("Volume",'Semrush Data'!$A$1:$Z$1,0)),"")</f>
        <v>20</v>
      </c>
      <c r="X169" s="22" t="n">
        <f aca="false">IFERROR(INDEX('Semrush Data'!$A$1:$Z$20000,MATCH(V169,'Semrush Data'!$A$1:$A$20000,0),MATCH("Keyword Difficulty*",'Semrush Data'!$A$1:$Z$1,0)),"")</f>
        <v>12</v>
      </c>
      <c r="Y169" s="24" t="n">
        <f aca="false">IFERROR(INDEX('Semrush Data'!$A$1:$Z$20000,MATCH(V169,'Semrush Data'!$A$1:$A$20000,0),MATCH("CPC*",'Semrush Data'!$A$1:$Z$1,0)),"")</f>
        <v>0</v>
      </c>
      <c r="Z169" s="21" t="s">
        <v>2485</v>
      </c>
      <c r="AA169" s="21" t="s">
        <v>2498</v>
      </c>
      <c r="AB169" s="21" t="s">
        <v>2492</v>
      </c>
      <c r="AC169" s="21" t="s">
        <v>2499</v>
      </c>
      <c r="AD169" s="25" t="n">
        <f aca="false">LEN(AC169)</f>
        <v>59</v>
      </c>
      <c r="AE169" s="21" t="s">
        <v>2500</v>
      </c>
      <c r="AF169" s="25" t="n">
        <f aca="false">LEN(AE169)</f>
        <v>156</v>
      </c>
    </row>
    <row r="170" customFormat="false" ht="15" hidden="false" customHeight="true" outlineLevel="0" collapsed="false">
      <c r="A170" s="21" t="s">
        <v>2501</v>
      </c>
      <c r="B170" s="21" t="s">
        <v>2390</v>
      </c>
      <c r="C170" s="21" t="n">
        <v>10</v>
      </c>
      <c r="D170" s="21" t="s">
        <v>2419</v>
      </c>
      <c r="E170" s="21"/>
      <c r="F170" s="21" t="s">
        <v>1676</v>
      </c>
      <c r="G170" s="21" t="s">
        <v>2394</v>
      </c>
      <c r="H170" s="21" t="s">
        <v>2479</v>
      </c>
      <c r="I170" s="21" t="s">
        <v>2502</v>
      </c>
      <c r="J170" s="21" t="s">
        <v>2503</v>
      </c>
      <c r="K170" s="21" t="n">
        <v>65.99</v>
      </c>
      <c r="L170" s="21" t="s">
        <v>2504</v>
      </c>
      <c r="M170" s="21" t="s">
        <v>2505</v>
      </c>
      <c r="N170" s="21" t="s">
        <v>2506</v>
      </c>
      <c r="O170" s="21" t="s">
        <v>2507</v>
      </c>
      <c r="P170" s="21"/>
      <c r="Q170" s="22" t="n">
        <f aca="false">IF(L170="","",IFERROR(INDEX('Semrush Data'!$A$1:$Z$20000,MATCH(L170,'Semrush Data'!$A$1:$A$20000,0),MATCH("Volume",'Semrush Data'!$A$1:$Z$1,0)),""))</f>
        <v>10</v>
      </c>
      <c r="R170" s="22" t="n">
        <f aca="false">IF(M170="","",IFERROR(INDEX('Semrush Data'!$A$1:$Z$20000,MATCH(M170,'Semrush Data'!$A$1:$A$20000,0),MATCH("Volume",'Semrush Data'!$A$1:$Z$1,0)),""))</f>
        <v>0</v>
      </c>
      <c r="S170" s="22" t="str">
        <f aca="false">IF(N170="","",IFERROR(INDEX('Semrush Data'!$A$1:$Z$20000,MATCH(N170,'Semrush Data'!$A$1:$A$20000,0),MATCH("Volume",'Semrush Data'!$A$1:$Z$1,0)),""))</f>
        <v/>
      </c>
      <c r="T170" s="22" t="str">
        <f aca="false">IF(O170="","",IFERROR(INDEX('Semrush Data'!$A$1:$Z$20000,MATCH(O170,'Semrush Data'!$A$1:$A$20000,0),MATCH("Volume",'Semrush Data'!$A$1:$Z$1,0)),""))</f>
        <v/>
      </c>
      <c r="U170" s="22" t="str">
        <f aca="false">IF(P170="","",IFERROR(INDEX('Semrush Data'!$A$1:$Z$20000,MATCH(P170,'Semrush Data'!$A$1:$A$20000,0),MATCH("Volume",'Semrush Data'!$A$1:$Z$1,0)),""))</f>
        <v/>
      </c>
      <c r="V170" s="23" t="str">
        <f aca="false">IF(COUNT(Q170:U170)=0,L170,IF(MAX(Q170:U170)=0,L170,INDEX(L170:P170,MATCH(MAX(Q170:U170),Q170:U170,0))))</f>
        <v>acqua di parma holiday discovery set</v>
      </c>
      <c r="W170" s="22" t="n">
        <f aca="false">IFERROR(INDEX('Semrush Data'!$A$1:$Z$20000,MATCH(V170,'Semrush Data'!$A$1:$A$20000,0),MATCH("Volume",'Semrush Data'!$A$1:$Z$1,0)),"")</f>
        <v>10</v>
      </c>
      <c r="X170" s="22" t="n">
        <f aca="false">IFERROR(INDEX('Semrush Data'!$A$1:$Z$20000,MATCH(V170,'Semrush Data'!$A$1:$A$20000,0),MATCH("Keyword Difficulty*",'Semrush Data'!$A$1:$Z$1,0)),"")</f>
        <v>9</v>
      </c>
      <c r="Y170" s="24" t="n">
        <f aca="false">IFERROR(INDEX('Semrush Data'!$A$1:$Z$20000,MATCH(V170,'Semrush Data'!$A$1:$A$20000,0),MATCH("CPC*",'Semrush Data'!$A$1:$Z$1,0)),"")</f>
        <v>0</v>
      </c>
      <c r="Z170" s="21" t="s">
        <v>2485</v>
      </c>
      <c r="AA170" s="21"/>
      <c r="AB170" s="21" t="s">
        <v>2502</v>
      </c>
      <c r="AC170" s="21" t="s">
        <v>2508</v>
      </c>
      <c r="AD170" s="25" t="n">
        <f aca="false">LEN(AC170)</f>
        <v>57</v>
      </c>
      <c r="AE170" s="21" t="s">
        <v>2509</v>
      </c>
      <c r="AF170" s="25" t="n">
        <f aca="false">LEN(AE170)</f>
        <v>155</v>
      </c>
    </row>
    <row r="171" customFormat="false" ht="15" hidden="false" customHeight="true" outlineLevel="0" collapsed="false">
      <c r="A171" s="21" t="s">
        <v>2510</v>
      </c>
      <c r="B171" s="21" t="s">
        <v>2390</v>
      </c>
      <c r="C171" s="21" t="n">
        <v>11</v>
      </c>
      <c r="D171" s="21" t="s">
        <v>2511</v>
      </c>
      <c r="E171" s="21"/>
      <c r="F171" s="21" t="s">
        <v>2393</v>
      </c>
      <c r="G171" s="21" t="s">
        <v>2394</v>
      </c>
      <c r="H171" s="21" t="s">
        <v>2479</v>
      </c>
      <c r="I171" s="21" t="s">
        <v>2512</v>
      </c>
      <c r="J171" s="21" t="s">
        <v>1935</v>
      </c>
      <c r="K171" s="21" t="n">
        <v>39.99</v>
      </c>
      <c r="L171" s="21" t="s">
        <v>2513</v>
      </c>
      <c r="M171" s="21" t="s">
        <v>2514</v>
      </c>
      <c r="N171" s="21" t="s">
        <v>2515</v>
      </c>
      <c r="O171" s="21" t="s">
        <v>2516</v>
      </c>
      <c r="P171" s="21" t="s">
        <v>2517</v>
      </c>
      <c r="Q171" s="22" t="n">
        <f aca="false">IF(L171="","",IFERROR(INDEX('Semrush Data'!$A$1:$Z$20000,MATCH(L171,'Semrush Data'!$A$1:$A$20000,0),MATCH("Volume",'Semrush Data'!$A$1:$Z$1,0)),""))</f>
        <v>20</v>
      </c>
      <c r="R171" s="22" t="n">
        <f aca="false">IF(M171="","",IFERROR(INDEX('Semrush Data'!$A$1:$Z$20000,MATCH(M171,'Semrush Data'!$A$1:$A$20000,0),MATCH("Volume",'Semrush Data'!$A$1:$Z$1,0)),""))</f>
        <v>0</v>
      </c>
      <c r="S171" s="22" t="str">
        <f aca="false">IF(N171="","",IFERROR(INDEX('Semrush Data'!$A$1:$Z$20000,MATCH(N171,'Semrush Data'!$A$1:$A$20000,0),MATCH("Volume",'Semrush Data'!$A$1:$Z$1,0)),""))</f>
        <v/>
      </c>
      <c r="T171" s="22" t="str">
        <f aca="false">IF(O171="","",IFERROR(INDEX('Semrush Data'!$A$1:$Z$20000,MATCH(O171,'Semrush Data'!$A$1:$A$20000,0),MATCH("Volume",'Semrush Data'!$A$1:$Z$1,0)),""))</f>
        <v/>
      </c>
      <c r="U171" s="22" t="str">
        <f aca="false">IF(P171="","",IFERROR(INDEX('Semrush Data'!$A$1:$Z$20000,MATCH(P171,'Semrush Data'!$A$1:$A$20000,0),MATCH("Volume",'Semrush Data'!$A$1:$Z$1,0)),""))</f>
        <v/>
      </c>
      <c r="V171" s="23" t="str">
        <f aca="false">IF(COUNT(Q171:U171)=0,L171,IF(MAX(Q171:U171)=0,L171,INDEX(L171:P171,MATCH(MAX(Q171:U171),Q171:U171,0))))</f>
        <v>al haramain amber musk</v>
      </c>
      <c r="W171" s="22" t="n">
        <f aca="false">IFERROR(INDEX('Semrush Data'!$A$1:$Z$20000,MATCH(V171,'Semrush Data'!$A$1:$A$20000,0),MATCH("Volume",'Semrush Data'!$A$1:$Z$1,0)),"")</f>
        <v>20</v>
      </c>
      <c r="X171" s="22" t="n">
        <f aca="false">IFERROR(INDEX('Semrush Data'!$A$1:$Z$20000,MATCH(V171,'Semrush Data'!$A$1:$A$20000,0),MATCH("Keyword Difficulty*",'Semrush Data'!$A$1:$Z$1,0)),"")</f>
        <v>5</v>
      </c>
      <c r="Y171" s="24" t="n">
        <f aca="false">IFERROR(INDEX('Semrush Data'!$A$1:$Z$20000,MATCH(V171,'Semrush Data'!$A$1:$A$20000,0),MATCH("CPC*",'Semrush Data'!$A$1:$Z$1,0)),"")</f>
        <v>0</v>
      </c>
      <c r="Z171" s="21" t="s">
        <v>2518</v>
      </c>
      <c r="AA171" s="21" t="s">
        <v>2519</v>
      </c>
      <c r="AB171" s="21" t="s">
        <v>2520</v>
      </c>
      <c r="AC171" s="21" t="s">
        <v>2521</v>
      </c>
      <c r="AD171" s="25" t="n">
        <f aca="false">LEN(AC171)</f>
        <v>59</v>
      </c>
      <c r="AE171" s="21" t="s">
        <v>2522</v>
      </c>
      <c r="AF171" s="25" t="n">
        <f aca="false">LEN(AE171)</f>
        <v>157</v>
      </c>
    </row>
    <row r="172" customFormat="false" ht="15" hidden="false" customHeight="true" outlineLevel="0" collapsed="false">
      <c r="A172" s="21" t="s">
        <v>2523</v>
      </c>
      <c r="B172" s="21" t="s">
        <v>2390</v>
      </c>
      <c r="C172" s="21" t="n">
        <v>12</v>
      </c>
      <c r="D172" s="21" t="s">
        <v>2511</v>
      </c>
      <c r="E172" s="21"/>
      <c r="F172" s="21" t="s">
        <v>2393</v>
      </c>
      <c r="G172" s="21" t="s">
        <v>2394</v>
      </c>
      <c r="H172" s="21" t="s">
        <v>2524</v>
      </c>
      <c r="I172" s="21" t="s">
        <v>2525</v>
      </c>
      <c r="J172" s="21" t="s">
        <v>1935</v>
      </c>
      <c r="K172" s="21" t="n">
        <v>41.99</v>
      </c>
      <c r="L172" s="21" t="s">
        <v>2526</v>
      </c>
      <c r="M172" s="21" t="s">
        <v>2527</v>
      </c>
      <c r="N172" s="21" t="s">
        <v>2528</v>
      </c>
      <c r="O172" s="21" t="s">
        <v>2529</v>
      </c>
      <c r="P172" s="21" t="s">
        <v>2530</v>
      </c>
      <c r="Q172" s="22" t="n">
        <f aca="false">IF(L172="","",IFERROR(INDEX('Semrush Data'!$A$1:$Z$20000,MATCH(L172,'Semrush Data'!$A$1:$A$20000,0),MATCH("Volume",'Semrush Data'!$A$1:$Z$1,0)),""))</f>
        <v>20</v>
      </c>
      <c r="R172" s="22" t="n">
        <f aca="false">IF(M172="","",IFERROR(INDEX('Semrush Data'!$A$1:$Z$20000,MATCH(M172,'Semrush Data'!$A$1:$A$20000,0),MATCH("Volume",'Semrush Data'!$A$1:$Z$1,0)),""))</f>
        <v>0</v>
      </c>
      <c r="S172" s="22" t="str">
        <f aca="false">IF(N172="","",IFERROR(INDEX('Semrush Data'!$A$1:$Z$20000,MATCH(N172,'Semrush Data'!$A$1:$A$20000,0),MATCH("Volume",'Semrush Data'!$A$1:$Z$1,0)),""))</f>
        <v/>
      </c>
      <c r="T172" s="22" t="str">
        <f aca="false">IF(O172="","",IFERROR(INDEX('Semrush Data'!$A$1:$Z$20000,MATCH(O172,'Semrush Data'!$A$1:$A$20000,0),MATCH("Volume",'Semrush Data'!$A$1:$Z$1,0)),""))</f>
        <v/>
      </c>
      <c r="U172" s="22" t="str">
        <f aca="false">IF(P172="","",IFERROR(INDEX('Semrush Data'!$A$1:$Z$20000,MATCH(P172,'Semrush Data'!$A$1:$A$20000,0),MATCH("Volume",'Semrush Data'!$A$1:$Z$1,0)),""))</f>
        <v/>
      </c>
      <c r="V172" s="23" t="str">
        <f aca="false">IF(COUNT(Q172:U172)=0,L172,IF(MAX(Q172:U172)=0,L172,INDEX(L172:P172,MATCH(MAX(Q172:U172),Q172:U172,0))))</f>
        <v>al haramain amber oud black edition</v>
      </c>
      <c r="W172" s="22" t="n">
        <f aca="false">IFERROR(INDEX('Semrush Data'!$A$1:$Z$20000,MATCH(V172,'Semrush Data'!$A$1:$A$20000,0),MATCH("Volume",'Semrush Data'!$A$1:$Z$1,0)),"")</f>
        <v>20</v>
      </c>
      <c r="X172" s="22" t="n">
        <f aca="false">IFERROR(INDEX('Semrush Data'!$A$1:$Z$20000,MATCH(V172,'Semrush Data'!$A$1:$A$20000,0),MATCH("Keyword Difficulty*",'Semrush Data'!$A$1:$Z$1,0)),"")</f>
        <v>12</v>
      </c>
      <c r="Y172" s="24" t="n">
        <f aca="false">IFERROR(INDEX('Semrush Data'!$A$1:$Z$20000,MATCH(V172,'Semrush Data'!$A$1:$A$20000,0),MATCH("CPC*",'Semrush Data'!$A$1:$Z$1,0)),"")</f>
        <v>0</v>
      </c>
      <c r="Z172" s="21" t="s">
        <v>2531</v>
      </c>
      <c r="AA172" s="21" t="s">
        <v>2532</v>
      </c>
      <c r="AB172" s="21" t="s">
        <v>2533</v>
      </c>
      <c r="AC172" s="21" t="s">
        <v>2534</v>
      </c>
      <c r="AD172" s="25" t="n">
        <f aca="false">LEN(AC172)</f>
        <v>59</v>
      </c>
      <c r="AE172" s="21" t="s">
        <v>2535</v>
      </c>
      <c r="AF172" s="25" t="n">
        <f aca="false">LEN(AE172)</f>
        <v>156</v>
      </c>
    </row>
    <row r="173" customFormat="false" ht="15" hidden="false" customHeight="true" outlineLevel="0" collapsed="false">
      <c r="A173" s="21" t="s">
        <v>2536</v>
      </c>
      <c r="B173" s="21" t="s">
        <v>2390</v>
      </c>
      <c r="C173" s="21" t="n">
        <v>13</v>
      </c>
      <c r="D173" s="21" t="s">
        <v>2511</v>
      </c>
      <c r="E173" s="21"/>
      <c r="F173" s="21" t="s">
        <v>2393</v>
      </c>
      <c r="G173" s="21" t="s">
        <v>2394</v>
      </c>
      <c r="H173" s="21" t="s">
        <v>2524</v>
      </c>
      <c r="I173" s="21" t="s">
        <v>2537</v>
      </c>
      <c r="J173" s="21" t="s">
        <v>2538</v>
      </c>
      <c r="K173" s="21" t="n">
        <v>35.99</v>
      </c>
      <c r="L173" s="21" t="s">
        <v>2539</v>
      </c>
      <c r="M173" s="21" t="s">
        <v>2540</v>
      </c>
      <c r="N173" s="21" t="s">
        <v>2541</v>
      </c>
      <c r="O173" s="21" t="s">
        <v>2542</v>
      </c>
      <c r="P173" s="21" t="s">
        <v>2543</v>
      </c>
      <c r="Q173" s="22" t="n">
        <f aca="false">IF(L173="","",IFERROR(INDEX('Semrush Data'!$A$1:$Z$20000,MATCH(L173,'Semrush Data'!$A$1:$A$20000,0),MATCH("Volume",'Semrush Data'!$A$1:$Z$1,0)),""))</f>
        <v>110</v>
      </c>
      <c r="R173" s="22" t="n">
        <f aca="false">IF(M173="","",IFERROR(INDEX('Semrush Data'!$A$1:$Z$20000,MATCH(M173,'Semrush Data'!$A$1:$A$20000,0),MATCH("Volume",'Semrush Data'!$A$1:$Z$1,0)),""))</f>
        <v>0</v>
      </c>
      <c r="S173" s="22" t="str">
        <f aca="false">IF(N173="","",IFERROR(INDEX('Semrush Data'!$A$1:$Z$20000,MATCH(N173,'Semrush Data'!$A$1:$A$20000,0),MATCH("Volume",'Semrush Data'!$A$1:$Z$1,0)),""))</f>
        <v/>
      </c>
      <c r="T173" s="22" t="str">
        <f aca="false">IF(O173="","",IFERROR(INDEX('Semrush Data'!$A$1:$Z$20000,MATCH(O173,'Semrush Data'!$A$1:$A$20000,0),MATCH("Volume",'Semrush Data'!$A$1:$Z$1,0)),""))</f>
        <v/>
      </c>
      <c r="U173" s="22" t="n">
        <f aca="false">IF(P173="","",IFERROR(INDEX('Semrush Data'!$A$1:$Z$20000,MATCH(P173,'Semrush Data'!$A$1:$A$20000,0),MATCH("Volume",'Semrush Data'!$A$1:$Z$1,0)),""))</f>
        <v>20</v>
      </c>
      <c r="V173" s="23" t="str">
        <f aca="false">IF(COUNT(Q173:U173)=0,L173,IF(MAX(Q173:U173)=0,L173,INDEX(L173:P173,MATCH(MAX(Q173:U173),Q173:U173,0))))</f>
        <v>al haramain amber oud bleu edition</v>
      </c>
      <c r="W173" s="22" t="n">
        <f aca="false">IFERROR(INDEX('Semrush Data'!$A$1:$Z$20000,MATCH(V173,'Semrush Data'!$A$1:$A$20000,0),MATCH("Volume",'Semrush Data'!$A$1:$Z$1,0)),"")</f>
        <v>110</v>
      </c>
      <c r="X173" s="22" t="n">
        <f aca="false">IFERROR(INDEX('Semrush Data'!$A$1:$Z$20000,MATCH(V173,'Semrush Data'!$A$1:$A$20000,0),MATCH("Keyword Difficulty*",'Semrush Data'!$A$1:$Z$1,0)),"")</f>
        <v>19</v>
      </c>
      <c r="Y173" s="24" t="n">
        <f aca="false">IFERROR(INDEX('Semrush Data'!$A$1:$Z$20000,MATCH(V173,'Semrush Data'!$A$1:$A$20000,0),MATCH("CPC*",'Semrush Data'!$A$1:$Z$1,0)),"")</f>
        <v>0</v>
      </c>
      <c r="Z173" s="21" t="s">
        <v>2531</v>
      </c>
      <c r="AA173" s="21" t="s">
        <v>2544</v>
      </c>
      <c r="AB173" s="21" t="s">
        <v>2545</v>
      </c>
      <c r="AC173" s="21" t="s">
        <v>2546</v>
      </c>
      <c r="AD173" s="25" t="n">
        <f aca="false">LEN(AC173)</f>
        <v>57</v>
      </c>
      <c r="AE173" s="21" t="s">
        <v>2547</v>
      </c>
      <c r="AF173" s="25" t="n">
        <f aca="false">LEN(AE173)</f>
        <v>155</v>
      </c>
    </row>
    <row r="174" customFormat="false" ht="15" hidden="false" customHeight="true" outlineLevel="0" collapsed="false">
      <c r="A174" s="21" t="s">
        <v>2548</v>
      </c>
      <c r="B174" s="21" t="s">
        <v>2390</v>
      </c>
      <c r="C174" s="21" t="n">
        <v>14</v>
      </c>
      <c r="D174" s="21" t="s">
        <v>2511</v>
      </c>
      <c r="E174" s="21"/>
      <c r="F174" s="21" t="s">
        <v>2393</v>
      </c>
      <c r="G174" s="21" t="s">
        <v>2394</v>
      </c>
      <c r="H174" s="21" t="s">
        <v>2549</v>
      </c>
      <c r="I174" s="21" t="s">
        <v>2550</v>
      </c>
      <c r="J174" s="21" t="s">
        <v>2538</v>
      </c>
      <c r="K174" s="21" t="n">
        <v>34.99</v>
      </c>
      <c r="L174" s="21" t="s">
        <v>2551</v>
      </c>
      <c r="M174" s="21" t="s">
        <v>2552</v>
      </c>
      <c r="N174" s="21" t="s">
        <v>2553</v>
      </c>
      <c r="O174" s="21" t="s">
        <v>2554</v>
      </c>
      <c r="P174" s="21" t="s">
        <v>2555</v>
      </c>
      <c r="Q174" s="22" t="n">
        <f aca="false">IF(L174="","",IFERROR(INDEX('Semrush Data'!$A$1:$Z$20000,MATCH(L174,'Semrush Data'!$A$1:$A$20000,0),MATCH("Volume",'Semrush Data'!$A$1:$Z$1,0)),""))</f>
        <v>110</v>
      </c>
      <c r="R174" s="22" t="n">
        <f aca="false">IF(M174="","",IFERROR(INDEX('Semrush Data'!$A$1:$Z$20000,MATCH(M174,'Semrush Data'!$A$1:$A$20000,0),MATCH("Volume",'Semrush Data'!$A$1:$Z$1,0)),""))</f>
        <v>0</v>
      </c>
      <c r="S174" s="22" t="str">
        <f aca="false">IF(N174="","",IFERROR(INDEX('Semrush Data'!$A$1:$Z$20000,MATCH(N174,'Semrush Data'!$A$1:$A$20000,0),MATCH("Volume",'Semrush Data'!$A$1:$Z$1,0)),""))</f>
        <v/>
      </c>
      <c r="T174" s="22" t="str">
        <f aca="false">IF(O174="","",IFERROR(INDEX('Semrush Data'!$A$1:$Z$20000,MATCH(O174,'Semrush Data'!$A$1:$A$20000,0),MATCH("Volume",'Semrush Data'!$A$1:$Z$1,0)),""))</f>
        <v/>
      </c>
      <c r="U174" s="22" t="n">
        <f aca="false">IF(P174="","",IFERROR(INDEX('Semrush Data'!$A$1:$Z$20000,MATCH(P174,'Semrush Data'!$A$1:$A$20000,0),MATCH("Volume",'Semrush Data'!$A$1:$Z$1,0)),""))</f>
        <v>20</v>
      </c>
      <c r="V174" s="23" t="str">
        <f aca="false">IF(COUNT(Q174:U174)=0,L174,IF(MAX(Q174:U174)=0,L174,INDEX(L174:P174,MATCH(MAX(Q174:U174),Q174:U174,0))))</f>
        <v>al haramain amber oud carbon edition</v>
      </c>
      <c r="W174" s="22" t="n">
        <f aca="false">IFERROR(INDEX('Semrush Data'!$A$1:$Z$20000,MATCH(V174,'Semrush Data'!$A$1:$A$20000,0),MATCH("Volume",'Semrush Data'!$A$1:$Z$1,0)),"")</f>
        <v>110</v>
      </c>
      <c r="X174" s="22" t="n">
        <f aca="false">IFERROR(INDEX('Semrush Data'!$A$1:$Z$20000,MATCH(V174,'Semrush Data'!$A$1:$A$20000,0),MATCH("Keyword Difficulty*",'Semrush Data'!$A$1:$Z$1,0)),"")</f>
        <v>9</v>
      </c>
      <c r="Y174" s="24" t="n">
        <f aca="false">IFERROR(INDEX('Semrush Data'!$A$1:$Z$20000,MATCH(V174,'Semrush Data'!$A$1:$A$20000,0),MATCH("CPC*",'Semrush Data'!$A$1:$Z$1,0)),"")</f>
        <v>0</v>
      </c>
      <c r="Z174" s="21" t="s">
        <v>2556</v>
      </c>
      <c r="AA174" s="21" t="s">
        <v>2557</v>
      </c>
      <c r="AB174" s="21" t="s">
        <v>2558</v>
      </c>
      <c r="AC174" s="21" t="s">
        <v>2559</v>
      </c>
      <c r="AD174" s="25" t="n">
        <f aca="false">LEN(AC174)</f>
        <v>59</v>
      </c>
      <c r="AE174" s="21" t="s">
        <v>2560</v>
      </c>
      <c r="AF174" s="25" t="n">
        <f aca="false">LEN(AE174)</f>
        <v>156</v>
      </c>
    </row>
    <row r="175" customFormat="false" ht="15" hidden="false" customHeight="true" outlineLevel="0" collapsed="false">
      <c r="A175" s="21" t="s">
        <v>72</v>
      </c>
      <c r="B175" s="21" t="s">
        <v>2390</v>
      </c>
      <c r="C175" s="21" t="n">
        <v>15</v>
      </c>
      <c r="D175" s="21" t="s">
        <v>2511</v>
      </c>
      <c r="E175" s="21"/>
      <c r="F175" s="21" t="s">
        <v>2393</v>
      </c>
      <c r="G175" s="21" t="s">
        <v>2394</v>
      </c>
      <c r="H175" s="21" t="s">
        <v>2524</v>
      </c>
      <c r="I175" s="21" t="s">
        <v>73</v>
      </c>
      <c r="J175" s="21" t="s">
        <v>2538</v>
      </c>
      <c r="K175" s="21" t="n">
        <v>34.99</v>
      </c>
      <c r="L175" s="21" t="s">
        <v>2561</v>
      </c>
      <c r="M175" s="21" t="s">
        <v>2562</v>
      </c>
      <c r="N175" s="21" t="s">
        <v>2563</v>
      </c>
      <c r="O175" s="21" t="s">
        <v>2564</v>
      </c>
      <c r="P175" s="21" t="s">
        <v>2565</v>
      </c>
      <c r="Q175" s="22" t="n">
        <f aca="false">IF(L175="","",IFERROR(INDEX('Semrush Data'!$A$1:$Z$20000,MATCH(L175,'Semrush Data'!$A$1:$A$20000,0),MATCH("Volume",'Semrush Data'!$A$1:$Z$1,0)),""))</f>
        <v>2400</v>
      </c>
      <c r="R175" s="22" t="n">
        <f aca="false">IF(M175="","",IFERROR(INDEX('Semrush Data'!$A$1:$Z$20000,MATCH(M175,'Semrush Data'!$A$1:$A$20000,0),MATCH("Volume",'Semrush Data'!$A$1:$Z$1,0)),""))</f>
        <v>20</v>
      </c>
      <c r="S175" s="22" t="str">
        <f aca="false">IF(N175="","",IFERROR(INDEX('Semrush Data'!$A$1:$Z$20000,MATCH(N175,'Semrush Data'!$A$1:$A$20000,0),MATCH("Volume",'Semrush Data'!$A$1:$Z$1,0)),""))</f>
        <v/>
      </c>
      <c r="T175" s="22" t="str">
        <f aca="false">IF(O175="","",IFERROR(INDEX('Semrush Data'!$A$1:$Z$20000,MATCH(O175,'Semrush Data'!$A$1:$A$20000,0),MATCH("Volume",'Semrush Data'!$A$1:$Z$1,0)),""))</f>
        <v/>
      </c>
      <c r="U175" s="22" t="n">
        <f aca="false">IF(P175="","",IFERROR(INDEX('Semrush Data'!$A$1:$Z$20000,MATCH(P175,'Semrush Data'!$A$1:$A$20000,0),MATCH("Volume",'Semrush Data'!$A$1:$Z$1,0)),""))</f>
        <v>20</v>
      </c>
      <c r="V175" s="23" t="str">
        <f aca="false">IF(COUNT(Q175:U175)=0,L175,IF(MAX(Q175:U175)=0,L175,INDEX(L175:P175,MATCH(MAX(Q175:U175),Q175:U175,0))))</f>
        <v>al haramain amber oud</v>
      </c>
      <c r="W175" s="22" t="n">
        <f aca="false">IFERROR(INDEX('Semrush Data'!$A$1:$Z$20000,MATCH(V175,'Semrush Data'!$A$1:$A$20000,0),MATCH("Volume",'Semrush Data'!$A$1:$Z$1,0)),"")</f>
        <v>2400</v>
      </c>
      <c r="X175" s="22" t="n">
        <f aca="false">IFERROR(INDEX('Semrush Data'!$A$1:$Z$20000,MATCH(V175,'Semrush Data'!$A$1:$A$20000,0),MATCH("Keyword Difficulty*",'Semrush Data'!$A$1:$Z$1,0)),"")</f>
        <v>16</v>
      </c>
      <c r="Y175" s="24" t="n">
        <f aca="false">IFERROR(INDEX('Semrush Data'!$A$1:$Z$20000,MATCH(V175,'Semrush Data'!$A$1:$A$20000,0),MATCH("CPC*",'Semrush Data'!$A$1:$Z$1,0)),"")</f>
        <v>0.27</v>
      </c>
      <c r="Z175" s="21" t="s">
        <v>2531</v>
      </c>
      <c r="AA175" s="21"/>
      <c r="AB175" s="21" t="s">
        <v>2566</v>
      </c>
      <c r="AC175" s="21" t="s">
        <v>2567</v>
      </c>
      <c r="AD175" s="25" t="n">
        <f aca="false">LEN(AC175)</f>
        <v>57</v>
      </c>
      <c r="AE175" s="21" t="s">
        <v>2568</v>
      </c>
      <c r="AF175" s="25" t="n">
        <f aca="false">LEN(AE175)</f>
        <v>154</v>
      </c>
    </row>
    <row r="176" customFormat="false" ht="15" hidden="false" customHeight="true" outlineLevel="0" collapsed="false">
      <c r="A176" s="21" t="s">
        <v>106</v>
      </c>
      <c r="B176" s="21" t="s">
        <v>2390</v>
      </c>
      <c r="C176" s="21" t="n">
        <v>16</v>
      </c>
      <c r="D176" s="21" t="s">
        <v>2511</v>
      </c>
      <c r="E176" s="21"/>
      <c r="F176" s="21" t="s">
        <v>2393</v>
      </c>
      <c r="G176" s="21" t="s">
        <v>2394</v>
      </c>
      <c r="H176" s="21" t="s">
        <v>2479</v>
      </c>
      <c r="I176" s="21" t="s">
        <v>107</v>
      </c>
      <c r="J176" s="21" t="s">
        <v>2538</v>
      </c>
      <c r="K176" s="21" t="n">
        <v>29.99</v>
      </c>
      <c r="L176" s="21" t="s">
        <v>2569</v>
      </c>
      <c r="M176" s="21" t="s">
        <v>2570</v>
      </c>
      <c r="N176" s="21" t="s">
        <v>2571</v>
      </c>
      <c r="O176" s="21" t="s">
        <v>2572</v>
      </c>
      <c r="P176" s="21" t="s">
        <v>2573</v>
      </c>
      <c r="Q176" s="22" t="n">
        <f aca="false">IF(L176="","",IFERROR(INDEX('Semrush Data'!$A$1:$Z$20000,MATCH(L176,'Semrush Data'!$A$1:$A$20000,0),MATCH("Volume",'Semrush Data'!$A$1:$Z$1,0)),""))</f>
        <v>590</v>
      </c>
      <c r="R176" s="22" t="n">
        <f aca="false">IF(M176="","",IFERROR(INDEX('Semrush Data'!$A$1:$Z$20000,MATCH(M176,'Semrush Data'!$A$1:$A$20000,0),MATCH("Volume",'Semrush Data'!$A$1:$Z$1,0)),""))</f>
        <v>20</v>
      </c>
      <c r="S176" s="22" t="str">
        <f aca="false">IF(N176="","",IFERROR(INDEX('Semrush Data'!$A$1:$Z$20000,MATCH(N176,'Semrush Data'!$A$1:$A$20000,0),MATCH("Volume",'Semrush Data'!$A$1:$Z$1,0)),""))</f>
        <v/>
      </c>
      <c r="T176" s="22" t="str">
        <f aca="false">IF(O176="","",IFERROR(INDEX('Semrush Data'!$A$1:$Z$20000,MATCH(O176,'Semrush Data'!$A$1:$A$20000,0),MATCH("Volume",'Semrush Data'!$A$1:$Z$1,0)),""))</f>
        <v/>
      </c>
      <c r="U176" s="22" t="n">
        <f aca="false">IF(P176="","",IFERROR(INDEX('Semrush Data'!$A$1:$Z$20000,MATCH(P176,'Semrush Data'!$A$1:$A$20000,0),MATCH("Volume",'Semrush Data'!$A$1:$Z$1,0)),""))</f>
        <v>20</v>
      </c>
      <c r="V176" s="23" t="str">
        <f aca="false">IF(COUNT(Q176:U176)=0,L176,IF(MAX(Q176:U176)=0,L176,INDEX(L176:P176,MATCH(MAX(Q176:U176),Q176:U176,0))))</f>
        <v>al haramain amber oud gold edition</v>
      </c>
      <c r="W176" s="22" t="n">
        <f aca="false">IFERROR(INDEX('Semrush Data'!$A$1:$Z$20000,MATCH(V176,'Semrush Data'!$A$1:$A$20000,0),MATCH("Volume",'Semrush Data'!$A$1:$Z$1,0)),"")</f>
        <v>590</v>
      </c>
      <c r="X176" s="22" t="n">
        <f aca="false">IFERROR(INDEX('Semrush Data'!$A$1:$Z$20000,MATCH(V176,'Semrush Data'!$A$1:$A$20000,0),MATCH("Keyword Difficulty*",'Semrush Data'!$A$1:$Z$1,0)),"")</f>
        <v>12</v>
      </c>
      <c r="Y176" s="24" t="n">
        <f aca="false">IFERROR(INDEX('Semrush Data'!$A$1:$Z$20000,MATCH(V176,'Semrush Data'!$A$1:$A$20000,0),MATCH("CPC*",'Semrush Data'!$A$1:$Z$1,0)),"")</f>
        <v>0.32</v>
      </c>
      <c r="Z176" s="21" t="s">
        <v>2518</v>
      </c>
      <c r="AA176" s="21" t="s">
        <v>2574</v>
      </c>
      <c r="AB176" s="21" t="s">
        <v>2575</v>
      </c>
      <c r="AC176" s="21" t="s">
        <v>2576</v>
      </c>
      <c r="AD176" s="25" t="n">
        <f aca="false">LEN(AC176)</f>
        <v>57</v>
      </c>
      <c r="AE176" s="21" t="s">
        <v>2577</v>
      </c>
      <c r="AF176" s="25" t="n">
        <f aca="false">LEN(AE176)</f>
        <v>156</v>
      </c>
    </row>
    <row r="177" customFormat="false" ht="15" hidden="false" customHeight="true" outlineLevel="0" collapsed="false">
      <c r="A177" s="21" t="s">
        <v>2578</v>
      </c>
      <c r="B177" s="21" t="s">
        <v>2390</v>
      </c>
      <c r="C177" s="21" t="n">
        <v>17</v>
      </c>
      <c r="D177" s="21" t="s">
        <v>2511</v>
      </c>
      <c r="E177" s="21"/>
      <c r="F177" s="21" t="s">
        <v>2393</v>
      </c>
      <c r="G177" s="21" t="s">
        <v>2394</v>
      </c>
      <c r="H177" s="21" t="s">
        <v>2468</v>
      </c>
      <c r="I177" s="21" t="s">
        <v>2579</v>
      </c>
      <c r="J177" s="21" t="s">
        <v>2538</v>
      </c>
      <c r="K177" s="21" t="n">
        <v>41.99</v>
      </c>
      <c r="L177" s="21" t="s">
        <v>2580</v>
      </c>
      <c r="M177" s="21" t="s">
        <v>2581</v>
      </c>
      <c r="N177" s="21" t="s">
        <v>2582</v>
      </c>
      <c r="O177" s="21" t="s">
        <v>2583</v>
      </c>
      <c r="P177" s="21" t="s">
        <v>2584</v>
      </c>
      <c r="Q177" s="22" t="n">
        <f aca="false">IF(L177="","",IFERROR(INDEX('Semrush Data'!$A$1:$Z$20000,MATCH(L177,'Semrush Data'!$A$1:$A$20000,0),MATCH("Volume",'Semrush Data'!$A$1:$Z$1,0)),""))</f>
        <v>140</v>
      </c>
      <c r="R177" s="22" t="n">
        <f aca="false">IF(M177="","",IFERROR(INDEX('Semrush Data'!$A$1:$Z$20000,MATCH(M177,'Semrush Data'!$A$1:$A$20000,0),MATCH("Volume",'Semrush Data'!$A$1:$Z$1,0)),""))</f>
        <v>0</v>
      </c>
      <c r="S177" s="22" t="str">
        <f aca="false">IF(N177="","",IFERROR(INDEX('Semrush Data'!$A$1:$Z$20000,MATCH(N177,'Semrush Data'!$A$1:$A$20000,0),MATCH("Volume",'Semrush Data'!$A$1:$Z$1,0)),""))</f>
        <v/>
      </c>
      <c r="T177" s="22" t="str">
        <f aca="false">IF(O177="","",IFERROR(INDEX('Semrush Data'!$A$1:$Z$20000,MATCH(O177,'Semrush Data'!$A$1:$A$20000,0),MATCH("Volume",'Semrush Data'!$A$1:$Z$1,0)),""))</f>
        <v/>
      </c>
      <c r="U177" s="22" t="n">
        <f aca="false">IF(P177="","",IFERROR(INDEX('Semrush Data'!$A$1:$Z$20000,MATCH(P177,'Semrush Data'!$A$1:$A$20000,0),MATCH("Volume",'Semrush Data'!$A$1:$Z$1,0)),""))</f>
        <v>20</v>
      </c>
      <c r="V177" s="23" t="str">
        <f aca="false">IF(COUNT(Q177:U177)=0,L177,IF(MAX(Q177:U177)=0,L177,INDEX(L177:P177,MATCH(MAX(Q177:U177),Q177:U177,0))))</f>
        <v>al haramain amber oud ruby edition</v>
      </c>
      <c r="W177" s="22" t="n">
        <f aca="false">IFERROR(INDEX('Semrush Data'!$A$1:$Z$20000,MATCH(V177,'Semrush Data'!$A$1:$A$20000,0),MATCH("Volume",'Semrush Data'!$A$1:$Z$1,0)),"")</f>
        <v>140</v>
      </c>
      <c r="X177" s="22" t="n">
        <f aca="false">IFERROR(INDEX('Semrush Data'!$A$1:$Z$20000,MATCH(V177,'Semrush Data'!$A$1:$A$20000,0),MATCH("Keyword Difficulty*",'Semrush Data'!$A$1:$Z$1,0)),"")</f>
        <v>10</v>
      </c>
      <c r="Y177" s="24" t="n">
        <f aca="false">IFERROR(INDEX('Semrush Data'!$A$1:$Z$20000,MATCH(V177,'Semrush Data'!$A$1:$A$20000,0),MATCH("CPC*",'Semrush Data'!$A$1:$Z$1,0)),"")</f>
        <v>0.61</v>
      </c>
      <c r="Z177" s="21" t="s">
        <v>2585</v>
      </c>
      <c r="AA177" s="21" t="s">
        <v>2586</v>
      </c>
      <c r="AB177" s="21" t="s">
        <v>2587</v>
      </c>
      <c r="AC177" s="21" t="s">
        <v>2588</v>
      </c>
      <c r="AD177" s="25" t="n">
        <f aca="false">LEN(AC177)</f>
        <v>57</v>
      </c>
      <c r="AE177" s="21" t="s">
        <v>2589</v>
      </c>
      <c r="AF177" s="25" t="n">
        <f aca="false">LEN(AE177)</f>
        <v>156</v>
      </c>
    </row>
    <row r="178" customFormat="false" ht="15" hidden="false" customHeight="true" outlineLevel="0" collapsed="false">
      <c r="A178" s="21" t="s">
        <v>116</v>
      </c>
      <c r="B178" s="21" t="s">
        <v>2390</v>
      </c>
      <c r="C178" s="21" t="n">
        <v>18</v>
      </c>
      <c r="D178" s="21" t="s">
        <v>2511</v>
      </c>
      <c r="E178" s="21"/>
      <c r="F178" s="21" t="s">
        <v>2393</v>
      </c>
      <c r="G178" s="21" t="s">
        <v>2394</v>
      </c>
      <c r="H178" s="21" t="s">
        <v>2479</v>
      </c>
      <c r="I178" s="21" t="s">
        <v>117</v>
      </c>
      <c r="J178" s="21" t="s">
        <v>2538</v>
      </c>
      <c r="K178" s="21" t="n">
        <v>34.99</v>
      </c>
      <c r="L178" s="21" t="s">
        <v>2590</v>
      </c>
      <c r="M178" s="21" t="s">
        <v>2591</v>
      </c>
      <c r="N178" s="21" t="s">
        <v>2592</v>
      </c>
      <c r="O178" s="21" t="s">
        <v>2593</v>
      </c>
      <c r="P178" s="21" t="s">
        <v>2594</v>
      </c>
      <c r="Q178" s="22" t="n">
        <f aca="false">IF(L178="","",IFERROR(INDEX('Semrush Data'!$A$1:$Z$20000,MATCH(L178,'Semrush Data'!$A$1:$A$20000,0),MATCH("Volume",'Semrush Data'!$A$1:$Z$1,0)),""))</f>
        <v>480</v>
      </c>
      <c r="R178" s="22" t="n">
        <f aca="false">IF(M178="","",IFERROR(INDEX('Semrush Data'!$A$1:$Z$20000,MATCH(M178,'Semrush Data'!$A$1:$A$20000,0),MATCH("Volume",'Semrush Data'!$A$1:$Z$1,0)),""))</f>
        <v>20</v>
      </c>
      <c r="S178" s="22" t="str">
        <f aca="false">IF(N178="","",IFERROR(INDEX('Semrush Data'!$A$1:$Z$20000,MATCH(N178,'Semrush Data'!$A$1:$A$20000,0),MATCH("Volume",'Semrush Data'!$A$1:$Z$1,0)),""))</f>
        <v/>
      </c>
      <c r="T178" s="22" t="str">
        <f aca="false">IF(O178="","",IFERROR(INDEX('Semrush Data'!$A$1:$Z$20000,MATCH(O178,'Semrush Data'!$A$1:$A$20000,0),MATCH("Volume",'Semrush Data'!$A$1:$Z$1,0)),""))</f>
        <v/>
      </c>
      <c r="U178" s="22" t="n">
        <f aca="false">IF(P178="","",IFERROR(INDEX('Semrush Data'!$A$1:$Z$20000,MATCH(P178,'Semrush Data'!$A$1:$A$20000,0),MATCH("Volume",'Semrush Data'!$A$1:$Z$1,0)),""))</f>
        <v>20</v>
      </c>
      <c r="V178" s="23" t="str">
        <f aca="false">IF(COUNT(Q178:U178)=0,L178,IF(MAX(Q178:U178)=0,L178,INDEX(L178:P178,MATCH(MAX(Q178:U178),Q178:U178,0))))</f>
        <v>al haramain amber oud tobacco edition</v>
      </c>
      <c r="W178" s="22" t="n">
        <f aca="false">IFERROR(INDEX('Semrush Data'!$A$1:$Z$20000,MATCH(V178,'Semrush Data'!$A$1:$A$20000,0),MATCH("Volume",'Semrush Data'!$A$1:$Z$1,0)),"")</f>
        <v>480</v>
      </c>
      <c r="X178" s="22" t="n">
        <f aca="false">IFERROR(INDEX('Semrush Data'!$A$1:$Z$20000,MATCH(V178,'Semrush Data'!$A$1:$A$20000,0),MATCH("Keyword Difficulty*",'Semrush Data'!$A$1:$Z$1,0)),"")</f>
        <v>15</v>
      </c>
      <c r="Y178" s="24" t="n">
        <f aca="false">IFERROR(INDEX('Semrush Data'!$A$1:$Z$20000,MATCH(V178,'Semrush Data'!$A$1:$A$20000,0),MATCH("CPC*",'Semrush Data'!$A$1:$Z$1,0)),"")</f>
        <v>0.33</v>
      </c>
      <c r="Z178" s="21" t="s">
        <v>2518</v>
      </c>
      <c r="AA178" s="21" t="s">
        <v>2595</v>
      </c>
      <c r="AB178" s="21" t="s">
        <v>2596</v>
      </c>
      <c r="AC178" s="21" t="s">
        <v>2597</v>
      </c>
      <c r="AD178" s="25" t="n">
        <f aca="false">LEN(AC178)</f>
        <v>60</v>
      </c>
      <c r="AE178" s="21" t="s">
        <v>2598</v>
      </c>
      <c r="AF178" s="25" t="n">
        <f aca="false">LEN(AE178)</f>
        <v>159</v>
      </c>
    </row>
    <row r="179" customFormat="false" ht="15" hidden="false" customHeight="true" outlineLevel="0" collapsed="false">
      <c r="A179" s="21" t="s">
        <v>2599</v>
      </c>
      <c r="B179" s="21" t="s">
        <v>2390</v>
      </c>
      <c r="C179" s="21" t="n">
        <v>19</v>
      </c>
      <c r="D179" s="21" t="s">
        <v>2511</v>
      </c>
      <c r="E179" s="21"/>
      <c r="F179" s="21" t="s">
        <v>2393</v>
      </c>
      <c r="G179" s="21" t="s">
        <v>2394</v>
      </c>
      <c r="H179" s="21" t="s">
        <v>2395</v>
      </c>
      <c r="I179" s="21" t="s">
        <v>2600</v>
      </c>
      <c r="J179" s="21" t="s">
        <v>2538</v>
      </c>
      <c r="K179" s="21" t="n">
        <v>34.99</v>
      </c>
      <c r="L179" s="21" t="s">
        <v>2601</v>
      </c>
      <c r="M179" s="21" t="s">
        <v>2602</v>
      </c>
      <c r="N179" s="21" t="s">
        <v>2603</v>
      </c>
      <c r="O179" s="21" t="s">
        <v>2604</v>
      </c>
      <c r="P179" s="21" t="s">
        <v>2605</v>
      </c>
      <c r="Q179" s="22" t="n">
        <f aca="false">IF(L179="","",IFERROR(INDEX('Semrush Data'!$A$1:$Z$20000,MATCH(L179,'Semrush Data'!$A$1:$A$20000,0),MATCH("Volume",'Semrush Data'!$A$1:$Z$1,0)),""))</f>
        <v>20</v>
      </c>
      <c r="R179" s="22" t="n">
        <f aca="false">IF(M179="","",IFERROR(INDEX('Semrush Data'!$A$1:$Z$20000,MATCH(M179,'Semrush Data'!$A$1:$A$20000,0),MATCH("Volume",'Semrush Data'!$A$1:$Z$1,0)),""))</f>
        <v>0</v>
      </c>
      <c r="S179" s="22" t="str">
        <f aca="false">IF(N179="","",IFERROR(INDEX('Semrush Data'!$A$1:$Z$20000,MATCH(N179,'Semrush Data'!$A$1:$A$20000,0),MATCH("Volume",'Semrush Data'!$A$1:$Z$1,0)),""))</f>
        <v/>
      </c>
      <c r="T179" s="22" t="str">
        <f aca="false">IF(O179="","",IFERROR(INDEX('Semrush Data'!$A$1:$Z$20000,MATCH(O179,'Semrush Data'!$A$1:$A$20000,0),MATCH("Volume",'Semrush Data'!$A$1:$Z$1,0)),""))</f>
        <v/>
      </c>
      <c r="U179" s="22" t="str">
        <f aca="false">IF(P179="","",IFERROR(INDEX('Semrush Data'!$A$1:$Z$20000,MATCH(P179,'Semrush Data'!$A$1:$A$20000,0),MATCH("Volume",'Semrush Data'!$A$1:$Z$1,0)),""))</f>
        <v/>
      </c>
      <c r="V179" s="23" t="str">
        <f aca="false">IF(COUNT(Q179:U179)=0,L179,IF(MAX(Q179:U179)=0,L179,INDEX(L179:P179,MATCH(MAX(Q179:U179),Q179:U179,0))))</f>
        <v>al haramain amber oud white edition</v>
      </c>
      <c r="W179" s="22" t="n">
        <f aca="false">IFERROR(INDEX('Semrush Data'!$A$1:$Z$20000,MATCH(V179,'Semrush Data'!$A$1:$A$20000,0),MATCH("Volume",'Semrush Data'!$A$1:$Z$1,0)),"")</f>
        <v>20</v>
      </c>
      <c r="X179" s="22" t="n">
        <f aca="false">IFERROR(INDEX('Semrush Data'!$A$1:$Z$20000,MATCH(V179,'Semrush Data'!$A$1:$A$20000,0),MATCH("Keyword Difficulty*",'Semrush Data'!$A$1:$Z$1,0)),"")</f>
        <v>17</v>
      </c>
      <c r="Y179" s="24" t="n">
        <f aca="false">IFERROR(INDEX('Semrush Data'!$A$1:$Z$20000,MATCH(V179,'Semrush Data'!$A$1:$A$20000,0),MATCH("CPC*",'Semrush Data'!$A$1:$Z$1,0)),"")</f>
        <v>0</v>
      </c>
      <c r="Z179" s="21" t="s">
        <v>2606</v>
      </c>
      <c r="AA179" s="21" t="s">
        <v>2607</v>
      </c>
      <c r="AB179" s="21" t="s">
        <v>2608</v>
      </c>
      <c r="AC179" s="21" t="s">
        <v>2609</v>
      </c>
      <c r="AD179" s="25" t="n">
        <f aca="false">LEN(AC179)</f>
        <v>58</v>
      </c>
      <c r="AE179" s="21" t="s">
        <v>2610</v>
      </c>
      <c r="AF179" s="25" t="n">
        <f aca="false">LEN(AE179)</f>
        <v>158</v>
      </c>
    </row>
    <row r="180" customFormat="false" ht="15" hidden="false" customHeight="true" outlineLevel="0" collapsed="false">
      <c r="A180" s="21" t="s">
        <v>2611</v>
      </c>
      <c r="B180" s="21" t="s">
        <v>2390</v>
      </c>
      <c r="C180" s="21" t="n">
        <v>20</v>
      </c>
      <c r="D180" s="21" t="s">
        <v>2511</v>
      </c>
      <c r="E180" s="21"/>
      <c r="F180" s="21" t="s">
        <v>2393</v>
      </c>
      <c r="G180" s="21" t="s">
        <v>2394</v>
      </c>
      <c r="H180" s="21" t="s">
        <v>2479</v>
      </c>
      <c r="I180" s="21" t="s">
        <v>2612</v>
      </c>
      <c r="J180" s="21" t="s">
        <v>1935</v>
      </c>
      <c r="K180" s="21" t="n">
        <v>19.99</v>
      </c>
      <c r="L180" s="21" t="s">
        <v>2613</v>
      </c>
      <c r="M180" s="21" t="s">
        <v>2614</v>
      </c>
      <c r="N180" s="21" t="s">
        <v>2615</v>
      </c>
      <c r="O180" s="21" t="s">
        <v>2616</v>
      </c>
      <c r="P180" s="21" t="s">
        <v>2617</v>
      </c>
      <c r="Q180" s="22" t="n">
        <f aca="false">IF(L180="","",IFERROR(INDEX('Semrush Data'!$A$1:$Z$20000,MATCH(L180,'Semrush Data'!$A$1:$A$20000,0),MATCH("Volume",'Semrush Data'!$A$1:$Z$1,0)),""))</f>
        <v>320</v>
      </c>
      <c r="R180" s="22" t="n">
        <f aca="false">IF(M180="","",IFERROR(INDEX('Semrush Data'!$A$1:$Z$20000,MATCH(M180,'Semrush Data'!$A$1:$A$20000,0),MATCH("Volume",'Semrush Data'!$A$1:$Z$1,0)),""))</f>
        <v>20</v>
      </c>
      <c r="S180" s="22" t="str">
        <f aca="false">IF(N180="","",IFERROR(INDEX('Semrush Data'!$A$1:$Z$20000,MATCH(N180,'Semrush Data'!$A$1:$A$20000,0),MATCH("Volume",'Semrush Data'!$A$1:$Z$1,0)),""))</f>
        <v/>
      </c>
      <c r="T180" s="22" t="str">
        <f aca="false">IF(O180="","",IFERROR(INDEX('Semrush Data'!$A$1:$Z$20000,MATCH(O180,'Semrush Data'!$A$1:$A$20000,0),MATCH("Volume",'Semrush Data'!$A$1:$Z$1,0)),""))</f>
        <v/>
      </c>
      <c r="U180" s="22" t="n">
        <f aca="false">IF(P180="","",IFERROR(INDEX('Semrush Data'!$A$1:$Z$20000,MATCH(P180,'Semrush Data'!$A$1:$A$20000,0),MATCH("Volume",'Semrush Data'!$A$1:$Z$1,0)),""))</f>
        <v>30</v>
      </c>
      <c r="V180" s="23" t="str">
        <f aca="false">IF(COUNT(Q180:U180)=0,L180,IF(MAX(Q180:U180)=0,L180,INDEX(L180:P180,MATCH(MAX(Q180:U180),Q180:U180,0))))</f>
        <v>al haramain detour noir</v>
      </c>
      <c r="W180" s="22" t="n">
        <f aca="false">IFERROR(INDEX('Semrush Data'!$A$1:$Z$20000,MATCH(V180,'Semrush Data'!$A$1:$A$20000,0),MATCH("Volume",'Semrush Data'!$A$1:$Z$1,0)),"")</f>
        <v>320</v>
      </c>
      <c r="X180" s="22" t="n">
        <f aca="false">IFERROR(INDEX('Semrush Data'!$A$1:$Z$20000,MATCH(V180,'Semrush Data'!$A$1:$A$20000,0),MATCH("Keyword Difficulty*",'Semrush Data'!$A$1:$Z$1,0)),"")</f>
        <v>25</v>
      </c>
      <c r="Y180" s="24" t="n">
        <f aca="false">IFERROR(INDEX('Semrush Data'!$A$1:$Z$20000,MATCH(V180,'Semrush Data'!$A$1:$A$20000,0),MATCH("CPC*",'Semrush Data'!$A$1:$Z$1,0)),"")</f>
        <v>0.28</v>
      </c>
      <c r="Z180" s="21" t="s">
        <v>2518</v>
      </c>
      <c r="AA180" s="21" t="s">
        <v>2618</v>
      </c>
      <c r="AB180" s="21" t="s">
        <v>2619</v>
      </c>
      <c r="AC180" s="21" t="s">
        <v>2620</v>
      </c>
      <c r="AD180" s="25" t="n">
        <f aca="false">LEN(AC180)</f>
        <v>60</v>
      </c>
      <c r="AE180" s="21" t="s">
        <v>2621</v>
      </c>
      <c r="AF180" s="25" t="n">
        <f aca="false">LEN(AE180)</f>
        <v>158</v>
      </c>
    </row>
    <row r="181" customFormat="false" ht="15" hidden="false" customHeight="true" outlineLevel="0" collapsed="false">
      <c r="A181" s="21" t="s">
        <v>2622</v>
      </c>
      <c r="B181" s="21" t="s">
        <v>2390</v>
      </c>
      <c r="C181" s="21" t="n">
        <v>21</v>
      </c>
      <c r="D181" s="21" t="s">
        <v>2511</v>
      </c>
      <c r="E181" s="21"/>
      <c r="F181" s="21" t="s">
        <v>2393</v>
      </c>
      <c r="G181" s="21" t="s">
        <v>2394</v>
      </c>
      <c r="H181" s="21" t="s">
        <v>2468</v>
      </c>
      <c r="I181" s="21" t="s">
        <v>2623</v>
      </c>
      <c r="J181" s="21" t="s">
        <v>1935</v>
      </c>
      <c r="K181" s="21" t="n">
        <v>24.99</v>
      </c>
      <c r="L181" s="21" t="s">
        <v>2624</v>
      </c>
      <c r="M181" s="21" t="s">
        <v>2625</v>
      </c>
      <c r="N181" s="21" t="s">
        <v>2626</v>
      </c>
      <c r="O181" s="21" t="s">
        <v>2627</v>
      </c>
      <c r="P181" s="21" t="s">
        <v>2628</v>
      </c>
      <c r="Q181" s="22" t="n">
        <f aca="false">IF(L181="","",IFERROR(INDEX('Semrush Data'!$A$1:$Z$20000,MATCH(L181,'Semrush Data'!$A$1:$A$20000,0),MATCH("Volume",'Semrush Data'!$A$1:$Z$1,0)),""))</f>
        <v>10</v>
      </c>
      <c r="R181" s="22" t="n">
        <f aca="false">IF(M181="","",IFERROR(INDEX('Semrush Data'!$A$1:$Z$20000,MATCH(M181,'Semrush Data'!$A$1:$A$20000,0),MATCH("Volume",'Semrush Data'!$A$1:$Z$1,0)),""))</f>
        <v>0</v>
      </c>
      <c r="S181" s="22" t="str">
        <f aca="false">IF(N181="","",IFERROR(INDEX('Semrush Data'!$A$1:$Z$20000,MATCH(N181,'Semrush Data'!$A$1:$A$20000,0),MATCH("Volume",'Semrush Data'!$A$1:$Z$1,0)),""))</f>
        <v/>
      </c>
      <c r="T181" s="22" t="str">
        <f aca="false">IF(O181="","",IFERROR(INDEX('Semrush Data'!$A$1:$Z$20000,MATCH(O181,'Semrush Data'!$A$1:$A$20000,0),MATCH("Volume",'Semrush Data'!$A$1:$Z$1,0)),""))</f>
        <v/>
      </c>
      <c r="U181" s="22" t="str">
        <f aca="false">IF(P181="","",IFERROR(INDEX('Semrush Data'!$A$1:$Z$20000,MATCH(P181,'Semrush Data'!$A$1:$A$20000,0),MATCH("Volume",'Semrush Data'!$A$1:$Z$1,0)),""))</f>
        <v/>
      </c>
      <c r="V181" s="23" t="str">
        <f aca="false">IF(COUNT(Q181:U181)=0,L181,IF(MAX(Q181:U181)=0,L181,INDEX(L181:P181,MATCH(MAX(Q181:U181),Q181:U181,0))))</f>
        <v>al haramain l'aventure blanche</v>
      </c>
      <c r="W181" s="22" t="n">
        <f aca="false">IFERROR(INDEX('Semrush Data'!$A$1:$Z$20000,MATCH(V181,'Semrush Data'!$A$1:$A$20000,0),MATCH("Volume",'Semrush Data'!$A$1:$Z$1,0)),"")</f>
        <v>10</v>
      </c>
      <c r="X181" s="22" t="n">
        <f aca="false">IFERROR(INDEX('Semrush Data'!$A$1:$Z$20000,MATCH(V181,'Semrush Data'!$A$1:$A$20000,0),MATCH("Keyword Difficulty*",'Semrush Data'!$A$1:$Z$1,0)),"")</f>
        <v>7</v>
      </c>
      <c r="Y181" s="24" t="n">
        <f aca="false">IFERROR(INDEX('Semrush Data'!$A$1:$Z$20000,MATCH(V181,'Semrush Data'!$A$1:$A$20000,0),MATCH("CPC*",'Semrush Data'!$A$1:$Z$1,0)),"")</f>
        <v>0</v>
      </c>
      <c r="Z181" s="21" t="s">
        <v>2585</v>
      </c>
      <c r="AA181" s="21" t="s">
        <v>2629</v>
      </c>
      <c r="AB181" s="21" t="s">
        <v>2630</v>
      </c>
      <c r="AC181" s="21" t="s">
        <v>2631</v>
      </c>
      <c r="AD181" s="25" t="n">
        <f aca="false">LEN(AC181)</f>
        <v>58</v>
      </c>
      <c r="AE181" s="21" t="s">
        <v>2632</v>
      </c>
      <c r="AF181" s="25" t="n">
        <f aca="false">LEN(AE181)</f>
        <v>159</v>
      </c>
    </row>
    <row r="182" customFormat="false" ht="15" hidden="false" customHeight="true" outlineLevel="0" collapsed="false">
      <c r="A182" s="21" t="s">
        <v>92</v>
      </c>
      <c r="B182" s="21" t="s">
        <v>2390</v>
      </c>
      <c r="C182" s="21" t="n">
        <v>22</v>
      </c>
      <c r="D182" s="21" t="s">
        <v>2511</v>
      </c>
      <c r="E182" s="21"/>
      <c r="F182" s="21" t="s">
        <v>2393</v>
      </c>
      <c r="G182" s="21" t="s">
        <v>2394</v>
      </c>
      <c r="H182" s="21" t="s">
        <v>2549</v>
      </c>
      <c r="I182" s="21" t="s">
        <v>93</v>
      </c>
      <c r="J182" s="21" t="s">
        <v>1935</v>
      </c>
      <c r="K182" s="21" t="n">
        <v>27.99</v>
      </c>
      <c r="L182" s="21" t="s">
        <v>2633</v>
      </c>
      <c r="M182" s="21" t="s">
        <v>2634</v>
      </c>
      <c r="N182" s="21" t="s">
        <v>2635</v>
      </c>
      <c r="O182" s="21" t="s">
        <v>2636</v>
      </c>
      <c r="P182" s="21" t="s">
        <v>2637</v>
      </c>
      <c r="Q182" s="22" t="n">
        <f aca="false">IF(L182="","",IFERROR(INDEX('Semrush Data'!$A$1:$Z$20000,MATCH(L182,'Semrush Data'!$A$1:$A$20000,0),MATCH("Volume",'Semrush Data'!$A$1:$Z$1,0)),""))</f>
        <v>880</v>
      </c>
      <c r="R182" s="22" t="n">
        <f aca="false">IF(M182="","",IFERROR(INDEX('Semrush Data'!$A$1:$Z$20000,MATCH(M182,'Semrush Data'!$A$1:$A$20000,0),MATCH("Volume",'Semrush Data'!$A$1:$Z$1,0)),""))</f>
        <v>10</v>
      </c>
      <c r="S182" s="22" t="str">
        <f aca="false">IF(N182="","",IFERROR(INDEX('Semrush Data'!$A$1:$Z$20000,MATCH(N182,'Semrush Data'!$A$1:$A$20000,0),MATCH("Volume",'Semrush Data'!$A$1:$Z$1,0)),""))</f>
        <v/>
      </c>
      <c r="T182" s="22" t="str">
        <f aca="false">IF(O182="","",IFERROR(INDEX('Semrush Data'!$A$1:$Z$20000,MATCH(O182,'Semrush Data'!$A$1:$A$20000,0),MATCH("Volume",'Semrush Data'!$A$1:$Z$1,0)),""))</f>
        <v/>
      </c>
      <c r="U182" s="22" t="n">
        <f aca="false">IF(P182="","",IFERROR(INDEX('Semrush Data'!$A$1:$Z$20000,MATCH(P182,'Semrush Data'!$A$1:$A$20000,0),MATCH("Volume",'Semrush Data'!$A$1:$Z$1,0)),""))</f>
        <v>10</v>
      </c>
      <c r="V182" s="23" t="str">
        <f aca="false">IF(COUNT(Q182:U182)=0,L182,IF(MAX(Q182:U182)=0,L182,INDEX(L182:P182,MATCH(MAX(Q182:U182),Q182:U182,0))))</f>
        <v>al haramain l'aventure</v>
      </c>
      <c r="W182" s="22" t="n">
        <f aca="false">IFERROR(INDEX('Semrush Data'!$A$1:$Z$20000,MATCH(V182,'Semrush Data'!$A$1:$A$20000,0),MATCH("Volume",'Semrush Data'!$A$1:$Z$1,0)),"")</f>
        <v>880</v>
      </c>
      <c r="X182" s="22" t="n">
        <f aca="false">IFERROR(INDEX('Semrush Data'!$A$1:$Z$20000,MATCH(V182,'Semrush Data'!$A$1:$A$20000,0),MATCH("Keyword Difficulty*",'Semrush Data'!$A$1:$Z$1,0)),"")</f>
        <v>21</v>
      </c>
      <c r="Y182" s="24" t="n">
        <f aca="false">IFERROR(INDEX('Semrush Data'!$A$1:$Z$20000,MATCH(V182,'Semrush Data'!$A$1:$A$20000,0),MATCH("CPC*",'Semrush Data'!$A$1:$Z$1,0)),"")</f>
        <v>0.27</v>
      </c>
      <c r="Z182" s="21" t="s">
        <v>2556</v>
      </c>
      <c r="AA182" s="21" t="s">
        <v>2638</v>
      </c>
      <c r="AB182" s="21" t="s">
        <v>2639</v>
      </c>
      <c r="AC182" s="21" t="s">
        <v>2640</v>
      </c>
      <c r="AD182" s="25" t="n">
        <f aca="false">LEN(AC182)</f>
        <v>59</v>
      </c>
      <c r="AE182" s="21" t="s">
        <v>2641</v>
      </c>
      <c r="AF182" s="25" t="n">
        <f aca="false">LEN(AE182)</f>
        <v>155</v>
      </c>
    </row>
    <row r="183" customFormat="false" ht="15" hidden="false" customHeight="true" outlineLevel="0" collapsed="false">
      <c r="A183" s="21" t="s">
        <v>2642</v>
      </c>
      <c r="B183" s="21" t="s">
        <v>2390</v>
      </c>
      <c r="C183" s="21" t="n">
        <v>23</v>
      </c>
      <c r="D183" s="21" t="s">
        <v>2511</v>
      </c>
      <c r="E183" s="21"/>
      <c r="F183" s="21" t="s">
        <v>2393</v>
      </c>
      <c r="G183" s="21" t="s">
        <v>2394</v>
      </c>
      <c r="H183" s="21" t="s">
        <v>2395</v>
      </c>
      <c r="I183" s="21" t="s">
        <v>2643</v>
      </c>
      <c r="J183" s="21" t="s">
        <v>1935</v>
      </c>
      <c r="K183" s="21" t="n">
        <v>28.99</v>
      </c>
      <c r="L183" s="21" t="s">
        <v>2644</v>
      </c>
      <c r="M183" s="21" t="s">
        <v>2645</v>
      </c>
      <c r="N183" s="21" t="s">
        <v>2646</v>
      </c>
      <c r="O183" s="21" t="s">
        <v>2647</v>
      </c>
      <c r="P183" s="21" t="s">
        <v>2648</v>
      </c>
      <c r="Q183" s="22" t="n">
        <f aca="false">IF(L183="","",IFERROR(INDEX('Semrush Data'!$A$1:$Z$20000,MATCH(L183,'Semrush Data'!$A$1:$A$20000,0),MATCH("Volume",'Semrush Data'!$A$1:$Z$1,0)),""))</f>
        <v>70</v>
      </c>
      <c r="R183" s="22" t="n">
        <f aca="false">IF(M183="","",IFERROR(INDEX('Semrush Data'!$A$1:$Z$20000,MATCH(M183,'Semrush Data'!$A$1:$A$20000,0),MATCH("Volume",'Semrush Data'!$A$1:$Z$1,0)),""))</f>
        <v>0</v>
      </c>
      <c r="S183" s="22" t="str">
        <f aca="false">IF(N183="","",IFERROR(INDEX('Semrush Data'!$A$1:$Z$20000,MATCH(N183,'Semrush Data'!$A$1:$A$20000,0),MATCH("Volume",'Semrush Data'!$A$1:$Z$1,0)),""))</f>
        <v/>
      </c>
      <c r="T183" s="22" t="str">
        <f aca="false">IF(O183="","",IFERROR(INDEX('Semrush Data'!$A$1:$Z$20000,MATCH(O183,'Semrush Data'!$A$1:$A$20000,0),MATCH("Volume",'Semrush Data'!$A$1:$Z$1,0)),""))</f>
        <v/>
      </c>
      <c r="U183" s="22" t="n">
        <f aca="false">IF(P183="","",IFERROR(INDEX('Semrush Data'!$A$1:$Z$20000,MATCH(P183,'Semrush Data'!$A$1:$A$20000,0),MATCH("Volume",'Semrush Data'!$A$1:$Z$1,0)),""))</f>
        <v>0</v>
      </c>
      <c r="V183" s="23" t="str">
        <f aca="false">IF(COUNT(Q183:U183)=0,L183,IF(MAX(Q183:U183)=0,L183,INDEX(L183:P183,MATCH(MAX(Q183:U183),Q183:U183,0))))</f>
        <v>al haramain l'aventure femme</v>
      </c>
      <c r="W183" s="22" t="n">
        <f aca="false">IFERROR(INDEX('Semrush Data'!$A$1:$Z$20000,MATCH(V183,'Semrush Data'!$A$1:$A$20000,0),MATCH("Volume",'Semrush Data'!$A$1:$Z$1,0)),"")</f>
        <v>70</v>
      </c>
      <c r="X183" s="22" t="n">
        <f aca="false">IFERROR(INDEX('Semrush Data'!$A$1:$Z$20000,MATCH(V183,'Semrush Data'!$A$1:$A$20000,0),MATCH("Keyword Difficulty*",'Semrush Data'!$A$1:$Z$1,0)),"")</f>
        <v>19</v>
      </c>
      <c r="Y183" s="24" t="n">
        <f aca="false">IFERROR(INDEX('Semrush Data'!$A$1:$Z$20000,MATCH(V183,'Semrush Data'!$A$1:$A$20000,0),MATCH("CPC*",'Semrush Data'!$A$1:$Z$1,0)),"")</f>
        <v>0</v>
      </c>
      <c r="Z183" s="21" t="s">
        <v>2606</v>
      </c>
      <c r="AA183" s="21" t="s">
        <v>2649</v>
      </c>
      <c r="AB183" s="21" t="s">
        <v>2650</v>
      </c>
      <c r="AC183" s="21" t="s">
        <v>2651</v>
      </c>
      <c r="AD183" s="25" t="n">
        <f aca="false">LEN(AC183)</f>
        <v>56</v>
      </c>
      <c r="AE183" s="21" t="s">
        <v>2652</v>
      </c>
      <c r="AF183" s="25" t="n">
        <f aca="false">LEN(AE183)</f>
        <v>158</v>
      </c>
    </row>
    <row r="184" customFormat="false" ht="15" hidden="false" customHeight="true" outlineLevel="0" collapsed="false">
      <c r="A184" s="21" t="s">
        <v>2653</v>
      </c>
      <c r="B184" s="21" t="s">
        <v>2390</v>
      </c>
      <c r="C184" s="21" t="n">
        <v>24</v>
      </c>
      <c r="D184" s="21" t="s">
        <v>2511</v>
      </c>
      <c r="E184" s="21"/>
      <c r="F184" s="21" t="s">
        <v>2393</v>
      </c>
      <c r="G184" s="21" t="s">
        <v>2394</v>
      </c>
      <c r="H184" s="21" t="s">
        <v>2395</v>
      </c>
      <c r="I184" s="21" t="s">
        <v>2654</v>
      </c>
      <c r="J184" s="21" t="s">
        <v>1935</v>
      </c>
      <c r="K184" s="21" t="n">
        <v>28.99</v>
      </c>
      <c r="L184" s="21" t="s">
        <v>2655</v>
      </c>
      <c r="M184" s="21" t="s">
        <v>2656</v>
      </c>
      <c r="N184" s="21" t="s">
        <v>2657</v>
      </c>
      <c r="O184" s="21" t="s">
        <v>2658</v>
      </c>
      <c r="P184" s="21" t="s">
        <v>2659</v>
      </c>
      <c r="Q184" s="22" t="n">
        <f aca="false">IF(L184="","",IFERROR(INDEX('Semrush Data'!$A$1:$Z$20000,MATCH(L184,'Semrush Data'!$A$1:$A$20000,0),MATCH("Volume",'Semrush Data'!$A$1:$Z$1,0)),""))</f>
        <v>20</v>
      </c>
      <c r="R184" s="22" t="n">
        <f aca="false">IF(M184="","",IFERROR(INDEX('Semrush Data'!$A$1:$Z$20000,MATCH(M184,'Semrush Data'!$A$1:$A$20000,0),MATCH("Volume",'Semrush Data'!$A$1:$Z$1,0)),""))</f>
        <v>0</v>
      </c>
      <c r="S184" s="22" t="str">
        <f aca="false">IF(N184="","",IFERROR(INDEX('Semrush Data'!$A$1:$Z$20000,MATCH(N184,'Semrush Data'!$A$1:$A$20000,0),MATCH("Volume",'Semrush Data'!$A$1:$Z$1,0)),""))</f>
        <v/>
      </c>
      <c r="T184" s="22" t="str">
        <f aca="false">IF(O184="","",IFERROR(INDEX('Semrush Data'!$A$1:$Z$20000,MATCH(O184,'Semrush Data'!$A$1:$A$20000,0),MATCH("Volume",'Semrush Data'!$A$1:$Z$1,0)),""))</f>
        <v/>
      </c>
      <c r="U184" s="22" t="str">
        <f aca="false">IF(P184="","",IFERROR(INDEX('Semrush Data'!$A$1:$Z$20000,MATCH(P184,'Semrush Data'!$A$1:$A$20000,0),MATCH("Volume",'Semrush Data'!$A$1:$Z$1,0)),""))</f>
        <v/>
      </c>
      <c r="V184" s="23" t="str">
        <f aca="false">IF(COUNT(Q184:U184)=0,L184,IF(MAX(Q184:U184)=0,L184,INDEX(L184:P184,MATCH(MAX(Q184:U184),Q184:U184,0))))</f>
        <v>al haramain l'aventure gold</v>
      </c>
      <c r="W184" s="22" t="n">
        <f aca="false">IFERROR(INDEX('Semrush Data'!$A$1:$Z$20000,MATCH(V184,'Semrush Data'!$A$1:$A$20000,0),MATCH("Volume",'Semrush Data'!$A$1:$Z$1,0)),"")</f>
        <v>20</v>
      </c>
      <c r="X184" s="22" t="n">
        <f aca="false">IFERROR(INDEX('Semrush Data'!$A$1:$Z$20000,MATCH(V184,'Semrush Data'!$A$1:$A$20000,0),MATCH("Keyword Difficulty*",'Semrush Data'!$A$1:$Z$1,0)),"")</f>
        <v>6</v>
      </c>
      <c r="Y184" s="24" t="n">
        <f aca="false">IFERROR(INDEX('Semrush Data'!$A$1:$Z$20000,MATCH(V184,'Semrush Data'!$A$1:$A$20000,0),MATCH("CPC*",'Semrush Data'!$A$1:$Z$1,0)),"")</f>
        <v>0</v>
      </c>
      <c r="Z184" s="21" t="s">
        <v>2606</v>
      </c>
      <c r="AA184" s="21" t="s">
        <v>2660</v>
      </c>
      <c r="AB184" s="21" t="s">
        <v>2661</v>
      </c>
      <c r="AC184" s="21" t="s">
        <v>2662</v>
      </c>
      <c r="AD184" s="25" t="n">
        <f aca="false">LEN(AC184)</f>
        <v>55</v>
      </c>
      <c r="AE184" s="21" t="s">
        <v>2663</v>
      </c>
      <c r="AF184" s="25" t="n">
        <f aca="false">LEN(AE184)</f>
        <v>157</v>
      </c>
    </row>
    <row r="185" customFormat="false" ht="15" hidden="false" customHeight="true" outlineLevel="0" collapsed="false">
      <c r="A185" s="21" t="s">
        <v>2664</v>
      </c>
      <c r="B185" s="21" t="s">
        <v>2390</v>
      </c>
      <c r="C185" s="21" t="n">
        <v>25</v>
      </c>
      <c r="D185" s="21" t="s">
        <v>2511</v>
      </c>
      <c r="E185" s="21"/>
      <c r="F185" s="21" t="s">
        <v>2393</v>
      </c>
      <c r="G185" s="21" t="s">
        <v>2394</v>
      </c>
      <c r="H185" s="21" t="s">
        <v>2549</v>
      </c>
      <c r="I185" s="21" t="s">
        <v>2665</v>
      </c>
      <c r="J185" s="21" t="s">
        <v>1935</v>
      </c>
      <c r="K185" s="21" t="n">
        <v>30.99</v>
      </c>
      <c r="L185" s="21" t="s">
        <v>2666</v>
      </c>
      <c r="M185" s="21" t="s">
        <v>2667</v>
      </c>
      <c r="N185" s="21" t="s">
        <v>2668</v>
      </c>
      <c r="O185" s="21" t="s">
        <v>2669</v>
      </c>
      <c r="P185" s="21" t="s">
        <v>2670</v>
      </c>
      <c r="Q185" s="22" t="n">
        <f aca="false">IF(L185="","",IFERROR(INDEX('Semrush Data'!$A$1:$Z$20000,MATCH(L185,'Semrush Data'!$A$1:$A$20000,0),MATCH("Volume",'Semrush Data'!$A$1:$Z$1,0)),""))</f>
        <v>110</v>
      </c>
      <c r="R185" s="22" t="n">
        <f aca="false">IF(M185="","",IFERROR(INDEX('Semrush Data'!$A$1:$Z$20000,MATCH(M185,'Semrush Data'!$A$1:$A$20000,0),MATCH("Volume",'Semrush Data'!$A$1:$Z$1,0)),""))</f>
        <v>10</v>
      </c>
      <c r="S185" s="22" t="str">
        <f aca="false">IF(N185="","",IFERROR(INDEX('Semrush Data'!$A$1:$Z$20000,MATCH(N185,'Semrush Data'!$A$1:$A$20000,0),MATCH("Volume",'Semrush Data'!$A$1:$Z$1,0)),""))</f>
        <v/>
      </c>
      <c r="T185" s="22" t="str">
        <f aca="false">IF(O185="","",IFERROR(INDEX('Semrush Data'!$A$1:$Z$20000,MATCH(O185,'Semrush Data'!$A$1:$A$20000,0),MATCH("Volume",'Semrush Data'!$A$1:$Z$1,0)),""))</f>
        <v/>
      </c>
      <c r="U185" s="22" t="n">
        <f aca="false">IF(P185="","",IFERROR(INDEX('Semrush Data'!$A$1:$Z$20000,MATCH(P185,'Semrush Data'!$A$1:$A$20000,0),MATCH("Volume",'Semrush Data'!$A$1:$Z$1,0)),""))</f>
        <v>10</v>
      </c>
      <c r="V185" s="23" t="str">
        <f aca="false">IF(COUNT(Q185:U185)=0,L185,IF(MAX(Q185:U185)=0,L185,INDEX(L185:P185,MATCH(MAX(Q185:U185),Q185:U185,0))))</f>
        <v>al haramain l'aventure intense</v>
      </c>
      <c r="W185" s="22" t="n">
        <f aca="false">IFERROR(INDEX('Semrush Data'!$A$1:$Z$20000,MATCH(V185,'Semrush Data'!$A$1:$A$20000,0),MATCH("Volume",'Semrush Data'!$A$1:$Z$1,0)),"")</f>
        <v>110</v>
      </c>
      <c r="X185" s="22" t="n">
        <f aca="false">IFERROR(INDEX('Semrush Data'!$A$1:$Z$20000,MATCH(V185,'Semrush Data'!$A$1:$A$20000,0),MATCH("Keyword Difficulty*",'Semrush Data'!$A$1:$Z$1,0)),"")</f>
        <v>22</v>
      </c>
      <c r="Y185" s="24" t="n">
        <f aca="false">IFERROR(INDEX('Semrush Data'!$A$1:$Z$20000,MATCH(V185,'Semrush Data'!$A$1:$A$20000,0),MATCH("CPC*",'Semrush Data'!$A$1:$Z$1,0)),"")</f>
        <v>0.41</v>
      </c>
      <c r="Z185" s="21" t="s">
        <v>2556</v>
      </c>
      <c r="AA185" s="21" t="s">
        <v>2671</v>
      </c>
      <c r="AB185" s="21" t="s">
        <v>2672</v>
      </c>
      <c r="AC185" s="21" t="s">
        <v>2673</v>
      </c>
      <c r="AD185" s="25" t="n">
        <f aca="false">LEN(AC185)</f>
        <v>58</v>
      </c>
      <c r="AE185" s="21" t="s">
        <v>2674</v>
      </c>
      <c r="AF185" s="25" t="n">
        <f aca="false">LEN(AE185)</f>
        <v>157</v>
      </c>
    </row>
    <row r="186" customFormat="false" ht="15" hidden="false" customHeight="true" outlineLevel="0" collapsed="false">
      <c r="A186" s="21" t="s">
        <v>2675</v>
      </c>
      <c r="B186" s="21" t="s">
        <v>2390</v>
      </c>
      <c r="C186" s="21" t="n">
        <v>26</v>
      </c>
      <c r="D186" s="21" t="s">
        <v>2511</v>
      </c>
      <c r="E186" s="21"/>
      <c r="F186" s="21" t="s">
        <v>2393</v>
      </c>
      <c r="G186" s="21" t="s">
        <v>2676</v>
      </c>
      <c r="H186" s="21" t="s">
        <v>2479</v>
      </c>
      <c r="I186" s="21" t="s">
        <v>2677</v>
      </c>
      <c r="J186" s="21" t="s">
        <v>2538</v>
      </c>
      <c r="K186" s="21" t="n">
        <v>37.99</v>
      </c>
      <c r="L186" s="21" t="s">
        <v>2678</v>
      </c>
      <c r="M186" s="21" t="s">
        <v>2679</v>
      </c>
      <c r="N186" s="21" t="s">
        <v>2680</v>
      </c>
      <c r="O186" s="21" t="s">
        <v>2681</v>
      </c>
      <c r="P186" s="21" t="s">
        <v>2682</v>
      </c>
      <c r="Q186" s="22" t="n">
        <f aca="false">IF(L186="","",IFERROR(INDEX('Semrush Data'!$A$1:$Z$20000,MATCH(L186,'Semrush Data'!$A$1:$A$20000,0),MATCH("Volume",'Semrush Data'!$A$1:$Z$1,0)),""))</f>
        <v>20</v>
      </c>
      <c r="R186" s="22" t="n">
        <f aca="false">IF(M186="","",IFERROR(INDEX('Semrush Data'!$A$1:$Z$20000,MATCH(M186,'Semrush Data'!$A$1:$A$20000,0),MATCH("Volume",'Semrush Data'!$A$1:$Z$1,0)),""))</f>
        <v>0</v>
      </c>
      <c r="S186" s="22" t="str">
        <f aca="false">IF(N186="","",IFERROR(INDEX('Semrush Data'!$A$1:$Z$20000,MATCH(N186,'Semrush Data'!$A$1:$A$20000,0),MATCH("Volume",'Semrush Data'!$A$1:$Z$1,0)),""))</f>
        <v/>
      </c>
      <c r="T186" s="22" t="str">
        <f aca="false">IF(O186="","",IFERROR(INDEX('Semrush Data'!$A$1:$Z$20000,MATCH(O186,'Semrush Data'!$A$1:$A$20000,0),MATCH("Volume",'Semrush Data'!$A$1:$Z$1,0)),""))</f>
        <v/>
      </c>
      <c r="U186" s="22" t="str">
        <f aca="false">IF(P186="","",IFERROR(INDEX('Semrush Data'!$A$1:$Z$20000,MATCH(P186,'Semrush Data'!$A$1:$A$20000,0),MATCH("Volume",'Semrush Data'!$A$1:$Z$1,0)),""))</f>
        <v/>
      </c>
      <c r="V186" s="23" t="str">
        <f aca="false">IF(COUNT(Q186:U186)=0,L186,IF(MAX(Q186:U186)=0,L186,INDEX(L186:P186,MATCH(MAX(Q186:U186),Q186:U186,0))))</f>
        <v>al haramain amber oud extreme gold edition</v>
      </c>
      <c r="W186" s="22" t="n">
        <f aca="false">IFERROR(INDEX('Semrush Data'!$A$1:$Z$20000,MATCH(V186,'Semrush Data'!$A$1:$A$20000,0),MATCH("Volume",'Semrush Data'!$A$1:$Z$1,0)),"")</f>
        <v>20</v>
      </c>
      <c r="X186" s="22" t="n">
        <f aca="false">IFERROR(INDEX('Semrush Data'!$A$1:$Z$20000,MATCH(V186,'Semrush Data'!$A$1:$A$20000,0),MATCH("Keyword Difficulty*",'Semrush Data'!$A$1:$Z$1,0)),"")</f>
        <v>13</v>
      </c>
      <c r="Y186" s="24" t="n">
        <f aca="false">IFERROR(INDEX('Semrush Data'!$A$1:$Z$20000,MATCH(V186,'Semrush Data'!$A$1:$A$20000,0),MATCH("CPC*",'Semrush Data'!$A$1:$Z$1,0)),"")</f>
        <v>0</v>
      </c>
      <c r="Z186" s="21" t="s">
        <v>2518</v>
      </c>
      <c r="AA186" s="21" t="s">
        <v>2683</v>
      </c>
      <c r="AB186" s="21" t="s">
        <v>2684</v>
      </c>
      <c r="AC186" s="21" t="s">
        <v>2685</v>
      </c>
      <c r="AD186" s="25" t="n">
        <f aca="false">LEN(AC186)</f>
        <v>56</v>
      </c>
      <c r="AE186" s="21" t="s">
        <v>2686</v>
      </c>
      <c r="AF186" s="25" t="n">
        <f aca="false">LEN(AE186)</f>
        <v>158</v>
      </c>
    </row>
    <row r="187" customFormat="false" ht="15" hidden="false" customHeight="true" outlineLevel="0" collapsed="false">
      <c r="A187" s="21" t="s">
        <v>2687</v>
      </c>
      <c r="B187" s="21" t="s">
        <v>2390</v>
      </c>
      <c r="C187" s="21" t="n">
        <v>27</v>
      </c>
      <c r="D187" s="21" t="s">
        <v>2688</v>
      </c>
      <c r="E187" s="21" t="s">
        <v>2689</v>
      </c>
      <c r="F187" s="21" t="s">
        <v>2393</v>
      </c>
      <c r="G187" s="21" t="s">
        <v>2394</v>
      </c>
      <c r="H187" s="21" t="s">
        <v>2479</v>
      </c>
      <c r="I187" s="21" t="s">
        <v>2690</v>
      </c>
      <c r="J187" s="21" t="s">
        <v>1935</v>
      </c>
      <c r="K187" s="21" t="n">
        <v>125</v>
      </c>
      <c r="L187" s="21" t="s">
        <v>2691</v>
      </c>
      <c r="M187" s="21" t="s">
        <v>2692</v>
      </c>
      <c r="N187" s="21" t="s">
        <v>2693</v>
      </c>
      <c r="O187" s="21" t="s">
        <v>2694</v>
      </c>
      <c r="P187" s="21" t="s">
        <v>2695</v>
      </c>
      <c r="Q187" s="22" t="n">
        <f aca="false">IF(L187="","",IFERROR(INDEX('Semrush Data'!$A$1:$Z$20000,MATCH(L187,'Semrush Data'!$A$1:$A$20000,0),MATCH("Volume",'Semrush Data'!$A$1:$Z$1,0)),""))</f>
        <v>0</v>
      </c>
      <c r="R187" s="22" t="n">
        <f aca="false">IF(M187="","",IFERROR(INDEX('Semrush Data'!$A$1:$Z$20000,MATCH(M187,'Semrush Data'!$A$1:$A$20000,0),MATCH("Volume",'Semrush Data'!$A$1:$Z$1,0)),""))</f>
        <v>0</v>
      </c>
      <c r="S187" s="22" t="str">
        <f aca="false">IF(N187="","",IFERROR(INDEX('Semrush Data'!$A$1:$Z$20000,MATCH(N187,'Semrush Data'!$A$1:$A$20000,0),MATCH("Volume",'Semrush Data'!$A$1:$Z$1,0)),""))</f>
        <v/>
      </c>
      <c r="T187" s="22" t="str">
        <f aca="false">IF(O187="","",IFERROR(INDEX('Semrush Data'!$A$1:$Z$20000,MATCH(O187,'Semrush Data'!$A$1:$A$20000,0),MATCH("Volume",'Semrush Data'!$A$1:$Z$1,0)),""))</f>
        <v/>
      </c>
      <c r="U187" s="22" t="str">
        <f aca="false">IF(P187="","",IFERROR(INDEX('Semrush Data'!$A$1:$Z$20000,MATCH(P187,'Semrush Data'!$A$1:$A$20000,0),MATCH("Volume",'Semrush Data'!$A$1:$Z$1,0)),""))</f>
        <v/>
      </c>
      <c r="V187" s="23" t="str">
        <f aca="false">IF(COUNT(Q187:U187)=0,L187,IF(MAX(Q187:U187)=0,L187,INDEX(L187:P187,MATCH(MAX(Q187:U187),Q187:U187,0))))</f>
        <v>anatome balance</v>
      </c>
      <c r="W187" s="22" t="n">
        <f aca="false">IFERROR(INDEX('Semrush Data'!$A$1:$Z$20000,MATCH(V187,'Semrush Data'!$A$1:$A$20000,0),MATCH("Volume",'Semrush Data'!$A$1:$Z$1,0)),"")</f>
        <v>0</v>
      </c>
      <c r="X187" s="22" t="n">
        <f aca="false">IFERROR(INDEX('Semrush Data'!$A$1:$Z$20000,MATCH(V187,'Semrush Data'!$A$1:$A$20000,0),MATCH("Keyword Difficulty*",'Semrush Data'!$A$1:$Z$1,0)),"")</f>
        <v>17</v>
      </c>
      <c r="Y187" s="24" t="n">
        <f aca="false">IFERROR(INDEX('Semrush Data'!$A$1:$Z$20000,MATCH(V187,'Semrush Data'!$A$1:$A$20000,0),MATCH("CPC*",'Semrush Data'!$A$1:$Z$1,0)),"")</f>
        <v>0</v>
      </c>
      <c r="Z187" s="21" t="s">
        <v>2696</v>
      </c>
      <c r="AA187" s="21" t="s">
        <v>2697</v>
      </c>
      <c r="AB187" s="21" t="s">
        <v>2698</v>
      </c>
      <c r="AC187" s="21" t="s">
        <v>2699</v>
      </c>
      <c r="AD187" s="25" t="n">
        <f aca="false">LEN(AC187)</f>
        <v>54</v>
      </c>
      <c r="AE187" s="21" t="s">
        <v>2700</v>
      </c>
      <c r="AF187" s="25" t="n">
        <f aca="false">LEN(AE187)</f>
        <v>142</v>
      </c>
    </row>
    <row r="188" customFormat="false" ht="15" hidden="false" customHeight="true" outlineLevel="0" collapsed="false">
      <c r="A188" s="21" t="s">
        <v>2701</v>
      </c>
      <c r="B188" s="21" t="s">
        <v>2390</v>
      </c>
      <c r="C188" s="21" t="n">
        <v>28</v>
      </c>
      <c r="D188" s="21" t="s">
        <v>2688</v>
      </c>
      <c r="E188" s="21" t="s">
        <v>2689</v>
      </c>
      <c r="F188" s="21" t="s">
        <v>2393</v>
      </c>
      <c r="G188" s="21" t="s">
        <v>2394</v>
      </c>
      <c r="H188" s="21" t="s">
        <v>2479</v>
      </c>
      <c r="I188" s="21" t="s">
        <v>2690</v>
      </c>
      <c r="J188" s="21" t="s">
        <v>1935</v>
      </c>
      <c r="K188" s="21" t="n">
        <v>28</v>
      </c>
      <c r="L188" s="21" t="s">
        <v>2691</v>
      </c>
      <c r="M188" s="21" t="s">
        <v>2692</v>
      </c>
      <c r="N188" s="21" t="s">
        <v>2693</v>
      </c>
      <c r="O188" s="21" t="s">
        <v>2694</v>
      </c>
      <c r="P188" s="21" t="s">
        <v>2695</v>
      </c>
      <c r="Q188" s="22" t="n">
        <f aca="false">IF(L188="","",IFERROR(INDEX('Semrush Data'!$A$1:$Z$20000,MATCH(L188,'Semrush Data'!$A$1:$A$20000,0),MATCH("Volume",'Semrush Data'!$A$1:$Z$1,0)),""))</f>
        <v>0</v>
      </c>
      <c r="R188" s="22" t="n">
        <f aca="false">IF(M188="","",IFERROR(INDEX('Semrush Data'!$A$1:$Z$20000,MATCH(M188,'Semrush Data'!$A$1:$A$20000,0),MATCH("Volume",'Semrush Data'!$A$1:$Z$1,0)),""))</f>
        <v>0</v>
      </c>
      <c r="S188" s="22" t="str">
        <f aca="false">IF(N188="","",IFERROR(INDEX('Semrush Data'!$A$1:$Z$20000,MATCH(N188,'Semrush Data'!$A$1:$A$20000,0),MATCH("Volume",'Semrush Data'!$A$1:$Z$1,0)),""))</f>
        <v/>
      </c>
      <c r="T188" s="22" t="str">
        <f aca="false">IF(O188="","",IFERROR(INDEX('Semrush Data'!$A$1:$Z$20000,MATCH(O188,'Semrush Data'!$A$1:$A$20000,0),MATCH("Volume",'Semrush Data'!$A$1:$Z$1,0)),""))</f>
        <v/>
      </c>
      <c r="U188" s="22" t="str">
        <f aca="false">IF(P188="","",IFERROR(INDEX('Semrush Data'!$A$1:$Z$20000,MATCH(P188,'Semrush Data'!$A$1:$A$20000,0),MATCH("Volume",'Semrush Data'!$A$1:$Z$1,0)),""))</f>
        <v/>
      </c>
      <c r="V188" s="23" t="str">
        <f aca="false">IF(COUNT(Q188:U188)=0,L188,IF(MAX(Q188:U188)=0,L188,INDEX(L188:P188,MATCH(MAX(Q188:U188),Q188:U188,0))))</f>
        <v>anatome balance</v>
      </c>
      <c r="W188" s="22" t="n">
        <f aca="false">IFERROR(INDEX('Semrush Data'!$A$1:$Z$20000,MATCH(V188,'Semrush Data'!$A$1:$A$20000,0),MATCH("Volume",'Semrush Data'!$A$1:$Z$1,0)),"")</f>
        <v>0</v>
      </c>
      <c r="X188" s="22" t="n">
        <f aca="false">IFERROR(INDEX('Semrush Data'!$A$1:$Z$20000,MATCH(V188,'Semrush Data'!$A$1:$A$20000,0),MATCH("Keyword Difficulty*",'Semrush Data'!$A$1:$Z$1,0)),"")</f>
        <v>17</v>
      </c>
      <c r="Y188" s="24" t="n">
        <f aca="false">IFERROR(INDEX('Semrush Data'!$A$1:$Z$20000,MATCH(V188,'Semrush Data'!$A$1:$A$20000,0),MATCH("CPC*",'Semrush Data'!$A$1:$Z$1,0)),"")</f>
        <v>0</v>
      </c>
      <c r="Z188" s="21" t="s">
        <v>2696</v>
      </c>
      <c r="AA188" s="21" t="s">
        <v>2697</v>
      </c>
      <c r="AB188" s="21" t="s">
        <v>2698</v>
      </c>
      <c r="AC188" s="21" t="s">
        <v>2699</v>
      </c>
      <c r="AD188" s="25" t="n">
        <f aca="false">LEN(AC188)</f>
        <v>54</v>
      </c>
      <c r="AE188" s="21" t="s">
        <v>2700</v>
      </c>
      <c r="AF188" s="25" t="n">
        <f aca="false">LEN(AE188)</f>
        <v>142</v>
      </c>
    </row>
    <row r="189" customFormat="false" ht="15" hidden="false" customHeight="true" outlineLevel="0" collapsed="false">
      <c r="A189" s="21" t="s">
        <v>2702</v>
      </c>
      <c r="B189" s="21" t="s">
        <v>2390</v>
      </c>
      <c r="C189" s="21" t="n">
        <v>29</v>
      </c>
      <c r="D189" s="21" t="s">
        <v>2688</v>
      </c>
      <c r="E189" s="21" t="s">
        <v>2689</v>
      </c>
      <c r="F189" s="21" t="s">
        <v>2393</v>
      </c>
      <c r="G189" s="21" t="s">
        <v>2394</v>
      </c>
      <c r="H189" s="21" t="s">
        <v>2479</v>
      </c>
      <c r="I189" s="21" t="s">
        <v>2690</v>
      </c>
      <c r="J189" s="21" t="s">
        <v>1935</v>
      </c>
      <c r="K189" s="21" t="n">
        <v>68</v>
      </c>
      <c r="L189" s="21" t="s">
        <v>2691</v>
      </c>
      <c r="M189" s="21" t="s">
        <v>2692</v>
      </c>
      <c r="N189" s="21" t="s">
        <v>2693</v>
      </c>
      <c r="O189" s="21" t="s">
        <v>2694</v>
      </c>
      <c r="P189" s="21" t="s">
        <v>2695</v>
      </c>
      <c r="Q189" s="22" t="n">
        <f aca="false">IF(L189="","",IFERROR(INDEX('Semrush Data'!$A$1:$Z$20000,MATCH(L189,'Semrush Data'!$A$1:$A$20000,0),MATCH("Volume",'Semrush Data'!$A$1:$Z$1,0)),""))</f>
        <v>0</v>
      </c>
      <c r="R189" s="22" t="n">
        <f aca="false">IF(M189="","",IFERROR(INDEX('Semrush Data'!$A$1:$Z$20000,MATCH(M189,'Semrush Data'!$A$1:$A$20000,0),MATCH("Volume",'Semrush Data'!$A$1:$Z$1,0)),""))</f>
        <v>0</v>
      </c>
      <c r="S189" s="22" t="str">
        <f aca="false">IF(N189="","",IFERROR(INDEX('Semrush Data'!$A$1:$Z$20000,MATCH(N189,'Semrush Data'!$A$1:$A$20000,0),MATCH("Volume",'Semrush Data'!$A$1:$Z$1,0)),""))</f>
        <v/>
      </c>
      <c r="T189" s="22" t="str">
        <f aca="false">IF(O189="","",IFERROR(INDEX('Semrush Data'!$A$1:$Z$20000,MATCH(O189,'Semrush Data'!$A$1:$A$20000,0),MATCH("Volume",'Semrush Data'!$A$1:$Z$1,0)),""))</f>
        <v/>
      </c>
      <c r="U189" s="22" t="str">
        <f aca="false">IF(P189="","",IFERROR(INDEX('Semrush Data'!$A$1:$Z$20000,MATCH(P189,'Semrush Data'!$A$1:$A$20000,0),MATCH("Volume",'Semrush Data'!$A$1:$Z$1,0)),""))</f>
        <v/>
      </c>
      <c r="V189" s="23" t="str">
        <f aca="false">IF(COUNT(Q189:U189)=0,L189,IF(MAX(Q189:U189)=0,L189,INDEX(L189:P189,MATCH(MAX(Q189:U189),Q189:U189,0))))</f>
        <v>anatome balance</v>
      </c>
      <c r="W189" s="22" t="n">
        <f aca="false">IFERROR(INDEX('Semrush Data'!$A$1:$Z$20000,MATCH(V189,'Semrush Data'!$A$1:$A$20000,0),MATCH("Volume",'Semrush Data'!$A$1:$Z$1,0)),"")</f>
        <v>0</v>
      </c>
      <c r="X189" s="22" t="n">
        <f aca="false">IFERROR(INDEX('Semrush Data'!$A$1:$Z$20000,MATCH(V189,'Semrush Data'!$A$1:$A$20000,0),MATCH("Keyword Difficulty*",'Semrush Data'!$A$1:$Z$1,0)),"")</f>
        <v>17</v>
      </c>
      <c r="Y189" s="24" t="n">
        <f aca="false">IFERROR(INDEX('Semrush Data'!$A$1:$Z$20000,MATCH(V189,'Semrush Data'!$A$1:$A$20000,0),MATCH("CPC*",'Semrush Data'!$A$1:$Z$1,0)),"")</f>
        <v>0</v>
      </c>
      <c r="Z189" s="21" t="s">
        <v>2696</v>
      </c>
      <c r="AA189" s="21" t="s">
        <v>2697</v>
      </c>
      <c r="AB189" s="21" t="s">
        <v>2698</v>
      </c>
      <c r="AC189" s="21" t="s">
        <v>2699</v>
      </c>
      <c r="AD189" s="25" t="n">
        <f aca="false">LEN(AC189)</f>
        <v>54</v>
      </c>
      <c r="AE189" s="21" t="s">
        <v>2700</v>
      </c>
      <c r="AF189" s="25" t="n">
        <f aca="false">LEN(AE189)</f>
        <v>142</v>
      </c>
    </row>
    <row r="190" customFormat="false" ht="15" hidden="false" customHeight="true" outlineLevel="0" collapsed="false">
      <c r="A190" s="21" t="s">
        <v>2703</v>
      </c>
      <c r="B190" s="21" t="s">
        <v>2390</v>
      </c>
      <c r="C190" s="21" t="n">
        <v>30</v>
      </c>
      <c r="D190" s="21" t="s">
        <v>2688</v>
      </c>
      <c r="E190" s="21" t="s">
        <v>2689</v>
      </c>
      <c r="F190" s="21" t="s">
        <v>2393</v>
      </c>
      <c r="G190" s="21" t="s">
        <v>2394</v>
      </c>
      <c r="H190" s="21" t="s">
        <v>2479</v>
      </c>
      <c r="I190" s="21" t="s">
        <v>2704</v>
      </c>
      <c r="J190" s="21" t="s">
        <v>1935</v>
      </c>
      <c r="K190" s="21" t="n">
        <v>125</v>
      </c>
      <c r="L190" s="21" t="s">
        <v>2705</v>
      </c>
      <c r="M190" s="21" t="s">
        <v>2706</v>
      </c>
      <c r="N190" s="21" t="s">
        <v>2707</v>
      </c>
      <c r="O190" s="21" t="s">
        <v>2708</v>
      </c>
      <c r="P190" s="21" t="s">
        <v>2709</v>
      </c>
      <c r="Q190" s="22" t="n">
        <f aca="false">IF(L190="","",IFERROR(INDEX('Semrush Data'!$A$1:$Z$20000,MATCH(L190,'Semrush Data'!$A$1:$A$20000,0),MATCH("Volume",'Semrush Data'!$A$1:$Z$1,0)),""))</f>
        <v>0</v>
      </c>
      <c r="R190" s="22" t="n">
        <f aca="false">IF(M190="","",IFERROR(INDEX('Semrush Data'!$A$1:$Z$20000,MATCH(M190,'Semrush Data'!$A$1:$A$20000,0),MATCH("Volume",'Semrush Data'!$A$1:$Z$1,0)),""))</f>
        <v>0</v>
      </c>
      <c r="S190" s="22" t="str">
        <f aca="false">IF(N190="","",IFERROR(INDEX('Semrush Data'!$A$1:$Z$20000,MATCH(N190,'Semrush Data'!$A$1:$A$20000,0),MATCH("Volume",'Semrush Data'!$A$1:$Z$1,0)),""))</f>
        <v/>
      </c>
      <c r="T190" s="22" t="str">
        <f aca="false">IF(O190="","",IFERROR(INDEX('Semrush Data'!$A$1:$Z$20000,MATCH(O190,'Semrush Data'!$A$1:$A$20000,0),MATCH("Volume",'Semrush Data'!$A$1:$Z$1,0)),""))</f>
        <v/>
      </c>
      <c r="U190" s="22" t="str">
        <f aca="false">IF(P190="","",IFERROR(INDEX('Semrush Data'!$A$1:$Z$20000,MATCH(P190,'Semrush Data'!$A$1:$A$20000,0),MATCH("Volume",'Semrush Data'!$A$1:$Z$1,0)),""))</f>
        <v/>
      </c>
      <c r="V190" s="23" t="str">
        <f aca="false">IF(COUNT(Q190:U190)=0,L190,IF(MAX(Q190:U190)=0,L190,INDEX(L190:P190,MATCH(MAX(Q190:U190),Q190:U190,0))))</f>
        <v>anatome energy</v>
      </c>
      <c r="W190" s="22" t="n">
        <f aca="false">IFERROR(INDEX('Semrush Data'!$A$1:$Z$20000,MATCH(V190,'Semrush Data'!$A$1:$A$20000,0),MATCH("Volume",'Semrush Data'!$A$1:$Z$1,0)),"")</f>
        <v>0</v>
      </c>
      <c r="X190" s="22" t="n">
        <f aca="false">IFERROR(INDEX('Semrush Data'!$A$1:$Z$20000,MATCH(V190,'Semrush Data'!$A$1:$A$20000,0),MATCH("Keyword Difficulty*",'Semrush Data'!$A$1:$Z$1,0)),"")</f>
        <v>12</v>
      </c>
      <c r="Y190" s="24" t="n">
        <f aca="false">IFERROR(INDEX('Semrush Data'!$A$1:$Z$20000,MATCH(V190,'Semrush Data'!$A$1:$A$20000,0),MATCH("CPC*",'Semrush Data'!$A$1:$Z$1,0)),"")</f>
        <v>0</v>
      </c>
      <c r="Z190" s="21" t="s">
        <v>2696</v>
      </c>
      <c r="AA190" s="21" t="s">
        <v>2710</v>
      </c>
      <c r="AB190" s="21" t="s">
        <v>2711</v>
      </c>
      <c r="AC190" s="21" t="s">
        <v>2712</v>
      </c>
      <c r="AD190" s="25" t="n">
        <f aca="false">LEN(AC190)</f>
        <v>53</v>
      </c>
      <c r="AE190" s="21" t="s">
        <v>2713</v>
      </c>
      <c r="AF190" s="25" t="n">
        <f aca="false">LEN(AE190)</f>
        <v>141</v>
      </c>
    </row>
    <row r="191" customFormat="false" ht="15" hidden="false" customHeight="true" outlineLevel="0" collapsed="false">
      <c r="A191" s="21" t="s">
        <v>2714</v>
      </c>
      <c r="B191" s="21" t="s">
        <v>2390</v>
      </c>
      <c r="C191" s="21" t="n">
        <v>31</v>
      </c>
      <c r="D191" s="21" t="s">
        <v>2688</v>
      </c>
      <c r="E191" s="21" t="s">
        <v>2689</v>
      </c>
      <c r="F191" s="21" t="s">
        <v>2393</v>
      </c>
      <c r="G191" s="21" t="s">
        <v>2394</v>
      </c>
      <c r="H191" s="21" t="s">
        <v>2479</v>
      </c>
      <c r="I191" s="21" t="s">
        <v>2704</v>
      </c>
      <c r="J191" s="21" t="s">
        <v>1935</v>
      </c>
      <c r="K191" s="21" t="n">
        <v>28</v>
      </c>
      <c r="L191" s="21" t="s">
        <v>2705</v>
      </c>
      <c r="M191" s="21" t="s">
        <v>2706</v>
      </c>
      <c r="N191" s="21" t="s">
        <v>2707</v>
      </c>
      <c r="O191" s="21" t="s">
        <v>2708</v>
      </c>
      <c r="P191" s="21" t="s">
        <v>2709</v>
      </c>
      <c r="Q191" s="22" t="n">
        <f aca="false">IF(L191="","",IFERROR(INDEX('Semrush Data'!$A$1:$Z$20000,MATCH(L191,'Semrush Data'!$A$1:$A$20000,0),MATCH("Volume",'Semrush Data'!$A$1:$Z$1,0)),""))</f>
        <v>0</v>
      </c>
      <c r="R191" s="22" t="n">
        <f aca="false">IF(M191="","",IFERROR(INDEX('Semrush Data'!$A$1:$Z$20000,MATCH(M191,'Semrush Data'!$A$1:$A$20000,0),MATCH("Volume",'Semrush Data'!$A$1:$Z$1,0)),""))</f>
        <v>0</v>
      </c>
      <c r="S191" s="22" t="str">
        <f aca="false">IF(N191="","",IFERROR(INDEX('Semrush Data'!$A$1:$Z$20000,MATCH(N191,'Semrush Data'!$A$1:$A$20000,0),MATCH("Volume",'Semrush Data'!$A$1:$Z$1,0)),""))</f>
        <v/>
      </c>
      <c r="T191" s="22" t="str">
        <f aca="false">IF(O191="","",IFERROR(INDEX('Semrush Data'!$A$1:$Z$20000,MATCH(O191,'Semrush Data'!$A$1:$A$20000,0),MATCH("Volume",'Semrush Data'!$A$1:$Z$1,0)),""))</f>
        <v/>
      </c>
      <c r="U191" s="22" t="str">
        <f aca="false">IF(P191="","",IFERROR(INDEX('Semrush Data'!$A$1:$Z$20000,MATCH(P191,'Semrush Data'!$A$1:$A$20000,0),MATCH("Volume",'Semrush Data'!$A$1:$Z$1,0)),""))</f>
        <v/>
      </c>
      <c r="V191" s="23" t="str">
        <f aca="false">IF(COUNT(Q191:U191)=0,L191,IF(MAX(Q191:U191)=0,L191,INDEX(L191:P191,MATCH(MAX(Q191:U191),Q191:U191,0))))</f>
        <v>anatome energy</v>
      </c>
      <c r="W191" s="22" t="n">
        <f aca="false">IFERROR(INDEX('Semrush Data'!$A$1:$Z$20000,MATCH(V191,'Semrush Data'!$A$1:$A$20000,0),MATCH("Volume",'Semrush Data'!$A$1:$Z$1,0)),"")</f>
        <v>0</v>
      </c>
      <c r="X191" s="22" t="n">
        <f aca="false">IFERROR(INDEX('Semrush Data'!$A$1:$Z$20000,MATCH(V191,'Semrush Data'!$A$1:$A$20000,0),MATCH("Keyword Difficulty*",'Semrush Data'!$A$1:$Z$1,0)),"")</f>
        <v>12</v>
      </c>
      <c r="Y191" s="24" t="n">
        <f aca="false">IFERROR(INDEX('Semrush Data'!$A$1:$Z$20000,MATCH(V191,'Semrush Data'!$A$1:$A$20000,0),MATCH("CPC*",'Semrush Data'!$A$1:$Z$1,0)),"")</f>
        <v>0</v>
      </c>
      <c r="Z191" s="21" t="s">
        <v>2696</v>
      </c>
      <c r="AA191" s="21" t="s">
        <v>2710</v>
      </c>
      <c r="AB191" s="21" t="s">
        <v>2711</v>
      </c>
      <c r="AC191" s="21" t="s">
        <v>2712</v>
      </c>
      <c r="AD191" s="25" t="n">
        <f aca="false">LEN(AC191)</f>
        <v>53</v>
      </c>
      <c r="AE191" s="21" t="s">
        <v>2713</v>
      </c>
      <c r="AF191" s="25" t="n">
        <f aca="false">LEN(AE191)</f>
        <v>141</v>
      </c>
    </row>
    <row r="192" customFormat="false" ht="15" hidden="false" customHeight="true" outlineLevel="0" collapsed="false">
      <c r="A192" s="21" t="s">
        <v>2715</v>
      </c>
      <c r="B192" s="21" t="s">
        <v>2390</v>
      </c>
      <c r="C192" s="21" t="n">
        <v>32</v>
      </c>
      <c r="D192" s="21" t="s">
        <v>2688</v>
      </c>
      <c r="E192" s="21" t="s">
        <v>2689</v>
      </c>
      <c r="F192" s="21" t="s">
        <v>2393</v>
      </c>
      <c r="G192" s="21" t="s">
        <v>2394</v>
      </c>
      <c r="H192" s="21" t="s">
        <v>2479</v>
      </c>
      <c r="I192" s="21" t="s">
        <v>2704</v>
      </c>
      <c r="J192" s="21" t="s">
        <v>1935</v>
      </c>
      <c r="K192" s="21" t="n">
        <v>68</v>
      </c>
      <c r="L192" s="21" t="s">
        <v>2705</v>
      </c>
      <c r="M192" s="21" t="s">
        <v>2706</v>
      </c>
      <c r="N192" s="21" t="s">
        <v>2707</v>
      </c>
      <c r="O192" s="21" t="s">
        <v>2708</v>
      </c>
      <c r="P192" s="21" t="s">
        <v>2709</v>
      </c>
      <c r="Q192" s="22" t="n">
        <f aca="false">IF(L192="","",IFERROR(INDEX('Semrush Data'!$A$1:$Z$20000,MATCH(L192,'Semrush Data'!$A$1:$A$20000,0),MATCH("Volume",'Semrush Data'!$A$1:$Z$1,0)),""))</f>
        <v>0</v>
      </c>
      <c r="R192" s="22" t="n">
        <f aca="false">IF(M192="","",IFERROR(INDEX('Semrush Data'!$A$1:$Z$20000,MATCH(M192,'Semrush Data'!$A$1:$A$20000,0),MATCH("Volume",'Semrush Data'!$A$1:$Z$1,0)),""))</f>
        <v>0</v>
      </c>
      <c r="S192" s="22" t="str">
        <f aca="false">IF(N192="","",IFERROR(INDEX('Semrush Data'!$A$1:$Z$20000,MATCH(N192,'Semrush Data'!$A$1:$A$20000,0),MATCH("Volume",'Semrush Data'!$A$1:$Z$1,0)),""))</f>
        <v/>
      </c>
      <c r="T192" s="22" t="str">
        <f aca="false">IF(O192="","",IFERROR(INDEX('Semrush Data'!$A$1:$Z$20000,MATCH(O192,'Semrush Data'!$A$1:$A$20000,0),MATCH("Volume",'Semrush Data'!$A$1:$Z$1,0)),""))</f>
        <v/>
      </c>
      <c r="U192" s="22" t="str">
        <f aca="false">IF(P192="","",IFERROR(INDEX('Semrush Data'!$A$1:$Z$20000,MATCH(P192,'Semrush Data'!$A$1:$A$20000,0),MATCH("Volume",'Semrush Data'!$A$1:$Z$1,0)),""))</f>
        <v/>
      </c>
      <c r="V192" s="23" t="str">
        <f aca="false">IF(COUNT(Q192:U192)=0,L192,IF(MAX(Q192:U192)=0,L192,INDEX(L192:P192,MATCH(MAX(Q192:U192),Q192:U192,0))))</f>
        <v>anatome energy</v>
      </c>
      <c r="W192" s="22" t="n">
        <f aca="false">IFERROR(INDEX('Semrush Data'!$A$1:$Z$20000,MATCH(V192,'Semrush Data'!$A$1:$A$20000,0),MATCH("Volume",'Semrush Data'!$A$1:$Z$1,0)),"")</f>
        <v>0</v>
      </c>
      <c r="X192" s="22" t="n">
        <f aca="false">IFERROR(INDEX('Semrush Data'!$A$1:$Z$20000,MATCH(V192,'Semrush Data'!$A$1:$A$20000,0),MATCH("Keyword Difficulty*",'Semrush Data'!$A$1:$Z$1,0)),"")</f>
        <v>12</v>
      </c>
      <c r="Y192" s="24" t="n">
        <f aca="false">IFERROR(INDEX('Semrush Data'!$A$1:$Z$20000,MATCH(V192,'Semrush Data'!$A$1:$A$20000,0),MATCH("CPC*",'Semrush Data'!$A$1:$Z$1,0)),"")</f>
        <v>0</v>
      </c>
      <c r="Z192" s="21" t="s">
        <v>2696</v>
      </c>
      <c r="AA192" s="21" t="s">
        <v>2710</v>
      </c>
      <c r="AB192" s="21" t="s">
        <v>2711</v>
      </c>
      <c r="AC192" s="21" t="s">
        <v>2712</v>
      </c>
      <c r="AD192" s="25" t="n">
        <f aca="false">LEN(AC192)</f>
        <v>53</v>
      </c>
      <c r="AE192" s="21" t="s">
        <v>2713</v>
      </c>
      <c r="AF192" s="25" t="n">
        <f aca="false">LEN(AE192)</f>
        <v>141</v>
      </c>
    </row>
    <row r="193" customFormat="false" ht="15" hidden="false" customHeight="true" outlineLevel="0" collapsed="false">
      <c r="A193" s="21" t="s">
        <v>2716</v>
      </c>
      <c r="B193" s="21" t="s">
        <v>2390</v>
      </c>
      <c r="C193" s="21" t="n">
        <v>33</v>
      </c>
      <c r="D193" s="21" t="s">
        <v>2688</v>
      </c>
      <c r="E193" s="21" t="s">
        <v>2689</v>
      </c>
      <c r="F193" s="21" t="s">
        <v>2393</v>
      </c>
      <c r="G193" s="21" t="s">
        <v>2394</v>
      </c>
      <c r="H193" s="21" t="s">
        <v>2479</v>
      </c>
      <c r="I193" s="21" t="s">
        <v>2717</v>
      </c>
      <c r="J193" s="21" t="s">
        <v>1935</v>
      </c>
      <c r="K193" s="21" t="n">
        <v>125</v>
      </c>
      <c r="L193" s="21" t="s">
        <v>2718</v>
      </c>
      <c r="M193" s="21" t="s">
        <v>2719</v>
      </c>
      <c r="N193" s="21" t="s">
        <v>2720</v>
      </c>
      <c r="O193" s="21" t="s">
        <v>2721</v>
      </c>
      <c r="P193" s="21" t="s">
        <v>2722</v>
      </c>
      <c r="Q193" s="22" t="n">
        <f aca="false">IF(L193="","",IFERROR(INDEX('Semrush Data'!$A$1:$Z$20000,MATCH(L193,'Semrush Data'!$A$1:$A$20000,0),MATCH("Volume",'Semrush Data'!$A$1:$Z$1,0)),""))</f>
        <v>0</v>
      </c>
      <c r="R193" s="22" t="n">
        <f aca="false">IF(M193="","",IFERROR(INDEX('Semrush Data'!$A$1:$Z$20000,MATCH(M193,'Semrush Data'!$A$1:$A$20000,0),MATCH("Volume",'Semrush Data'!$A$1:$Z$1,0)),""))</f>
        <v>0</v>
      </c>
      <c r="S193" s="22" t="str">
        <f aca="false">IF(N193="","",IFERROR(INDEX('Semrush Data'!$A$1:$Z$20000,MATCH(N193,'Semrush Data'!$A$1:$A$20000,0),MATCH("Volume",'Semrush Data'!$A$1:$Z$1,0)),""))</f>
        <v/>
      </c>
      <c r="T193" s="22" t="str">
        <f aca="false">IF(O193="","",IFERROR(INDEX('Semrush Data'!$A$1:$Z$20000,MATCH(O193,'Semrush Data'!$A$1:$A$20000,0),MATCH("Volume",'Semrush Data'!$A$1:$Z$1,0)),""))</f>
        <v/>
      </c>
      <c r="U193" s="22" t="str">
        <f aca="false">IF(P193="","",IFERROR(INDEX('Semrush Data'!$A$1:$Z$20000,MATCH(P193,'Semrush Data'!$A$1:$A$20000,0),MATCH("Volume",'Semrush Data'!$A$1:$Z$1,0)),""))</f>
        <v/>
      </c>
      <c r="V193" s="23" t="str">
        <f aca="false">IF(COUNT(Q193:U193)=0,L193,IF(MAX(Q193:U193)=0,L193,INDEX(L193:P193,MATCH(MAX(Q193:U193),Q193:U193,0))))</f>
        <v>anatome expression</v>
      </c>
      <c r="W193" s="22" t="n">
        <f aca="false">IFERROR(INDEX('Semrush Data'!$A$1:$Z$20000,MATCH(V193,'Semrush Data'!$A$1:$A$20000,0),MATCH("Volume",'Semrush Data'!$A$1:$Z$1,0)),"")</f>
        <v>0</v>
      </c>
      <c r="X193" s="22" t="n">
        <f aca="false">IFERROR(INDEX('Semrush Data'!$A$1:$Z$20000,MATCH(V193,'Semrush Data'!$A$1:$A$20000,0),MATCH("Keyword Difficulty*",'Semrush Data'!$A$1:$Z$1,0)),"")</f>
        <v>3</v>
      </c>
      <c r="Y193" s="24" t="n">
        <f aca="false">IFERROR(INDEX('Semrush Data'!$A$1:$Z$20000,MATCH(V193,'Semrush Data'!$A$1:$A$20000,0),MATCH("CPC*",'Semrush Data'!$A$1:$Z$1,0)),"")</f>
        <v>0</v>
      </c>
      <c r="Z193" s="21" t="s">
        <v>2696</v>
      </c>
      <c r="AA193" s="21"/>
      <c r="AB193" s="21" t="s">
        <v>2723</v>
      </c>
      <c r="AC193" s="21" t="s">
        <v>2724</v>
      </c>
      <c r="AD193" s="25" t="n">
        <f aca="false">LEN(AC193)</f>
        <v>51</v>
      </c>
      <c r="AE193" s="21" t="s">
        <v>2725</v>
      </c>
      <c r="AF193" s="25" t="n">
        <f aca="false">LEN(AE193)</f>
        <v>145</v>
      </c>
    </row>
    <row r="194" customFormat="false" ht="15" hidden="false" customHeight="true" outlineLevel="0" collapsed="false">
      <c r="A194" s="21" t="s">
        <v>2726</v>
      </c>
      <c r="B194" s="21" t="s">
        <v>2390</v>
      </c>
      <c r="C194" s="21" t="n">
        <v>34</v>
      </c>
      <c r="D194" s="21" t="s">
        <v>2688</v>
      </c>
      <c r="E194" s="21" t="s">
        <v>2689</v>
      </c>
      <c r="F194" s="21" t="s">
        <v>2393</v>
      </c>
      <c r="G194" s="21" t="s">
        <v>2394</v>
      </c>
      <c r="H194" s="21" t="s">
        <v>2479</v>
      </c>
      <c r="I194" s="21" t="s">
        <v>2717</v>
      </c>
      <c r="J194" s="21" t="s">
        <v>1935</v>
      </c>
      <c r="K194" s="21" t="n">
        <v>28</v>
      </c>
      <c r="L194" s="21" t="s">
        <v>2718</v>
      </c>
      <c r="M194" s="21" t="s">
        <v>2719</v>
      </c>
      <c r="N194" s="21" t="s">
        <v>2720</v>
      </c>
      <c r="O194" s="21" t="s">
        <v>2721</v>
      </c>
      <c r="P194" s="21" t="s">
        <v>2722</v>
      </c>
      <c r="Q194" s="22" t="n">
        <f aca="false">IF(L194="","",IFERROR(INDEX('Semrush Data'!$A$1:$Z$20000,MATCH(L194,'Semrush Data'!$A$1:$A$20000,0),MATCH("Volume",'Semrush Data'!$A$1:$Z$1,0)),""))</f>
        <v>0</v>
      </c>
      <c r="R194" s="22" t="n">
        <f aca="false">IF(M194="","",IFERROR(INDEX('Semrush Data'!$A$1:$Z$20000,MATCH(M194,'Semrush Data'!$A$1:$A$20000,0),MATCH("Volume",'Semrush Data'!$A$1:$Z$1,0)),""))</f>
        <v>0</v>
      </c>
      <c r="S194" s="22" t="str">
        <f aca="false">IF(N194="","",IFERROR(INDEX('Semrush Data'!$A$1:$Z$20000,MATCH(N194,'Semrush Data'!$A$1:$A$20000,0),MATCH("Volume",'Semrush Data'!$A$1:$Z$1,0)),""))</f>
        <v/>
      </c>
      <c r="T194" s="22" t="str">
        <f aca="false">IF(O194="","",IFERROR(INDEX('Semrush Data'!$A$1:$Z$20000,MATCH(O194,'Semrush Data'!$A$1:$A$20000,0),MATCH("Volume",'Semrush Data'!$A$1:$Z$1,0)),""))</f>
        <v/>
      </c>
      <c r="U194" s="22" t="str">
        <f aca="false">IF(P194="","",IFERROR(INDEX('Semrush Data'!$A$1:$Z$20000,MATCH(P194,'Semrush Data'!$A$1:$A$20000,0),MATCH("Volume",'Semrush Data'!$A$1:$Z$1,0)),""))</f>
        <v/>
      </c>
      <c r="V194" s="23" t="str">
        <f aca="false">IF(COUNT(Q194:U194)=0,L194,IF(MAX(Q194:U194)=0,L194,INDEX(L194:P194,MATCH(MAX(Q194:U194),Q194:U194,0))))</f>
        <v>anatome expression</v>
      </c>
      <c r="W194" s="22" t="n">
        <f aca="false">IFERROR(INDEX('Semrush Data'!$A$1:$Z$20000,MATCH(V194,'Semrush Data'!$A$1:$A$20000,0),MATCH("Volume",'Semrush Data'!$A$1:$Z$1,0)),"")</f>
        <v>0</v>
      </c>
      <c r="X194" s="22" t="n">
        <f aca="false">IFERROR(INDEX('Semrush Data'!$A$1:$Z$20000,MATCH(V194,'Semrush Data'!$A$1:$A$20000,0),MATCH("Keyword Difficulty*",'Semrush Data'!$A$1:$Z$1,0)),"")</f>
        <v>3</v>
      </c>
      <c r="Y194" s="24" t="n">
        <f aca="false">IFERROR(INDEX('Semrush Data'!$A$1:$Z$20000,MATCH(V194,'Semrush Data'!$A$1:$A$20000,0),MATCH("CPC*",'Semrush Data'!$A$1:$Z$1,0)),"")</f>
        <v>0</v>
      </c>
      <c r="Z194" s="21" t="s">
        <v>2696</v>
      </c>
      <c r="AA194" s="21"/>
      <c r="AB194" s="21" t="s">
        <v>2723</v>
      </c>
      <c r="AC194" s="21" t="s">
        <v>2724</v>
      </c>
      <c r="AD194" s="25" t="n">
        <f aca="false">LEN(AC194)</f>
        <v>51</v>
      </c>
      <c r="AE194" s="21" t="s">
        <v>2725</v>
      </c>
      <c r="AF194" s="25" t="n">
        <f aca="false">LEN(AE194)</f>
        <v>145</v>
      </c>
    </row>
    <row r="195" customFormat="false" ht="15" hidden="false" customHeight="true" outlineLevel="0" collapsed="false">
      <c r="A195" s="21" t="s">
        <v>2727</v>
      </c>
      <c r="B195" s="21" t="s">
        <v>2390</v>
      </c>
      <c r="C195" s="21" t="n">
        <v>35</v>
      </c>
      <c r="D195" s="21" t="s">
        <v>2688</v>
      </c>
      <c r="E195" s="21" t="s">
        <v>2689</v>
      </c>
      <c r="F195" s="21" t="s">
        <v>2393</v>
      </c>
      <c r="G195" s="21" t="s">
        <v>2394</v>
      </c>
      <c r="H195" s="21" t="s">
        <v>2479</v>
      </c>
      <c r="I195" s="21" t="s">
        <v>2717</v>
      </c>
      <c r="J195" s="21" t="s">
        <v>1935</v>
      </c>
      <c r="K195" s="21" t="n">
        <v>68</v>
      </c>
      <c r="L195" s="21" t="s">
        <v>2718</v>
      </c>
      <c r="M195" s="21" t="s">
        <v>2719</v>
      </c>
      <c r="N195" s="21" t="s">
        <v>2720</v>
      </c>
      <c r="O195" s="21" t="s">
        <v>2721</v>
      </c>
      <c r="P195" s="21" t="s">
        <v>2722</v>
      </c>
      <c r="Q195" s="22" t="n">
        <f aca="false">IF(L195="","",IFERROR(INDEX('Semrush Data'!$A$1:$Z$20000,MATCH(L195,'Semrush Data'!$A$1:$A$20000,0),MATCH("Volume",'Semrush Data'!$A$1:$Z$1,0)),""))</f>
        <v>0</v>
      </c>
      <c r="R195" s="22" t="n">
        <f aca="false">IF(M195="","",IFERROR(INDEX('Semrush Data'!$A$1:$Z$20000,MATCH(M195,'Semrush Data'!$A$1:$A$20000,0),MATCH("Volume",'Semrush Data'!$A$1:$Z$1,0)),""))</f>
        <v>0</v>
      </c>
      <c r="S195" s="22" t="str">
        <f aca="false">IF(N195="","",IFERROR(INDEX('Semrush Data'!$A$1:$Z$20000,MATCH(N195,'Semrush Data'!$A$1:$A$20000,0),MATCH("Volume",'Semrush Data'!$A$1:$Z$1,0)),""))</f>
        <v/>
      </c>
      <c r="T195" s="22" t="str">
        <f aca="false">IF(O195="","",IFERROR(INDEX('Semrush Data'!$A$1:$Z$20000,MATCH(O195,'Semrush Data'!$A$1:$A$20000,0),MATCH("Volume",'Semrush Data'!$A$1:$Z$1,0)),""))</f>
        <v/>
      </c>
      <c r="U195" s="22" t="str">
        <f aca="false">IF(P195="","",IFERROR(INDEX('Semrush Data'!$A$1:$Z$20000,MATCH(P195,'Semrush Data'!$A$1:$A$20000,0),MATCH("Volume",'Semrush Data'!$A$1:$Z$1,0)),""))</f>
        <v/>
      </c>
      <c r="V195" s="23" t="str">
        <f aca="false">IF(COUNT(Q195:U195)=0,L195,IF(MAX(Q195:U195)=0,L195,INDEX(L195:P195,MATCH(MAX(Q195:U195),Q195:U195,0))))</f>
        <v>anatome expression</v>
      </c>
      <c r="W195" s="22" t="n">
        <f aca="false">IFERROR(INDEX('Semrush Data'!$A$1:$Z$20000,MATCH(V195,'Semrush Data'!$A$1:$A$20000,0),MATCH("Volume",'Semrush Data'!$A$1:$Z$1,0)),"")</f>
        <v>0</v>
      </c>
      <c r="X195" s="22" t="n">
        <f aca="false">IFERROR(INDEX('Semrush Data'!$A$1:$Z$20000,MATCH(V195,'Semrush Data'!$A$1:$A$20000,0),MATCH("Keyword Difficulty*",'Semrush Data'!$A$1:$Z$1,0)),"")</f>
        <v>3</v>
      </c>
      <c r="Y195" s="24" t="n">
        <f aca="false">IFERROR(INDEX('Semrush Data'!$A$1:$Z$20000,MATCH(V195,'Semrush Data'!$A$1:$A$20000,0),MATCH("CPC*",'Semrush Data'!$A$1:$Z$1,0)),"")</f>
        <v>0</v>
      </c>
      <c r="Z195" s="21" t="s">
        <v>2696</v>
      </c>
      <c r="AA195" s="21"/>
      <c r="AB195" s="21" t="s">
        <v>2723</v>
      </c>
      <c r="AC195" s="21" t="s">
        <v>2724</v>
      </c>
      <c r="AD195" s="25" t="n">
        <f aca="false">LEN(AC195)</f>
        <v>51</v>
      </c>
      <c r="AE195" s="21" t="s">
        <v>2725</v>
      </c>
      <c r="AF195" s="25" t="n">
        <f aca="false">LEN(AE195)</f>
        <v>145</v>
      </c>
    </row>
    <row r="196" customFormat="false" ht="15" hidden="false" customHeight="true" outlineLevel="0" collapsed="false">
      <c r="A196" s="21" t="s">
        <v>2728</v>
      </c>
      <c r="B196" s="21" t="s">
        <v>2390</v>
      </c>
      <c r="C196" s="21" t="n">
        <v>36</v>
      </c>
      <c r="D196" s="21" t="s">
        <v>2688</v>
      </c>
      <c r="E196" s="21" t="s">
        <v>2689</v>
      </c>
      <c r="F196" s="21" t="s">
        <v>2393</v>
      </c>
      <c r="G196" s="21" t="s">
        <v>2394</v>
      </c>
      <c r="H196" s="21" t="s">
        <v>2479</v>
      </c>
      <c r="I196" s="21" t="s">
        <v>2729</v>
      </c>
      <c r="J196" s="21" t="s">
        <v>1935</v>
      </c>
      <c r="K196" s="21" t="n">
        <v>125</v>
      </c>
      <c r="L196" s="21" t="s">
        <v>2730</v>
      </c>
      <c r="M196" s="21" t="s">
        <v>2731</v>
      </c>
      <c r="N196" s="21" t="s">
        <v>2732</v>
      </c>
      <c r="O196" s="21" t="s">
        <v>2733</v>
      </c>
      <c r="P196" s="21" t="s">
        <v>2734</v>
      </c>
      <c r="Q196" s="22" t="n">
        <f aca="false">IF(L196="","",IFERROR(INDEX('Semrush Data'!$A$1:$Z$20000,MATCH(L196,'Semrush Data'!$A$1:$A$20000,0),MATCH("Volume",'Semrush Data'!$A$1:$Z$1,0)),""))</f>
        <v>0</v>
      </c>
      <c r="R196" s="22" t="n">
        <f aca="false">IF(M196="","",IFERROR(INDEX('Semrush Data'!$A$1:$Z$20000,MATCH(M196,'Semrush Data'!$A$1:$A$20000,0),MATCH("Volume",'Semrush Data'!$A$1:$Z$1,0)),""))</f>
        <v>0</v>
      </c>
      <c r="S196" s="22" t="str">
        <f aca="false">IF(N196="","",IFERROR(INDEX('Semrush Data'!$A$1:$Z$20000,MATCH(N196,'Semrush Data'!$A$1:$A$20000,0),MATCH("Volume",'Semrush Data'!$A$1:$Z$1,0)),""))</f>
        <v/>
      </c>
      <c r="T196" s="22" t="str">
        <f aca="false">IF(O196="","",IFERROR(INDEX('Semrush Data'!$A$1:$Z$20000,MATCH(O196,'Semrush Data'!$A$1:$A$20000,0),MATCH("Volume",'Semrush Data'!$A$1:$Z$1,0)),""))</f>
        <v/>
      </c>
      <c r="U196" s="22" t="str">
        <f aca="false">IF(P196="","",IFERROR(INDEX('Semrush Data'!$A$1:$Z$20000,MATCH(P196,'Semrush Data'!$A$1:$A$20000,0),MATCH("Volume",'Semrush Data'!$A$1:$Z$1,0)),""))</f>
        <v/>
      </c>
      <c r="V196" s="23" t="str">
        <f aca="false">IF(COUNT(Q196:U196)=0,L196,IF(MAX(Q196:U196)=0,L196,INDEX(L196:P196,MATCH(MAX(Q196:U196),Q196:U196,0))))</f>
        <v>anatome focus</v>
      </c>
      <c r="W196" s="22" t="n">
        <f aca="false">IFERROR(INDEX('Semrush Data'!$A$1:$Z$20000,MATCH(V196,'Semrush Data'!$A$1:$A$20000,0),MATCH("Volume",'Semrush Data'!$A$1:$Z$1,0)),"")</f>
        <v>0</v>
      </c>
      <c r="X196" s="22" t="n">
        <f aca="false">IFERROR(INDEX('Semrush Data'!$A$1:$Z$20000,MATCH(V196,'Semrush Data'!$A$1:$A$20000,0),MATCH("Keyword Difficulty*",'Semrush Data'!$A$1:$Z$1,0)),"")</f>
        <v>12</v>
      </c>
      <c r="Y196" s="24" t="n">
        <f aca="false">IFERROR(INDEX('Semrush Data'!$A$1:$Z$20000,MATCH(V196,'Semrush Data'!$A$1:$A$20000,0),MATCH("CPC*",'Semrush Data'!$A$1:$Z$1,0)),"")</f>
        <v>0</v>
      </c>
      <c r="Z196" s="21" t="s">
        <v>2696</v>
      </c>
      <c r="AA196" s="21" t="s">
        <v>2735</v>
      </c>
      <c r="AB196" s="21" t="s">
        <v>2736</v>
      </c>
      <c r="AC196" s="21" t="s">
        <v>2737</v>
      </c>
      <c r="AD196" s="25" t="n">
        <f aca="false">LEN(AC196)</f>
        <v>52</v>
      </c>
      <c r="AE196" s="21" t="s">
        <v>2738</v>
      </c>
      <c r="AF196" s="25" t="n">
        <f aca="false">LEN(AE196)</f>
        <v>140</v>
      </c>
    </row>
    <row r="197" customFormat="false" ht="15" hidden="false" customHeight="true" outlineLevel="0" collapsed="false">
      <c r="A197" s="21" t="s">
        <v>2739</v>
      </c>
      <c r="B197" s="21" t="s">
        <v>2390</v>
      </c>
      <c r="C197" s="21" t="n">
        <v>37</v>
      </c>
      <c r="D197" s="21" t="s">
        <v>2688</v>
      </c>
      <c r="E197" s="21" t="s">
        <v>2689</v>
      </c>
      <c r="F197" s="21" t="s">
        <v>2393</v>
      </c>
      <c r="G197" s="21" t="s">
        <v>2394</v>
      </c>
      <c r="H197" s="21" t="s">
        <v>2479</v>
      </c>
      <c r="I197" s="21" t="s">
        <v>2729</v>
      </c>
      <c r="J197" s="21" t="s">
        <v>1935</v>
      </c>
      <c r="K197" s="21" t="n">
        <v>28</v>
      </c>
      <c r="L197" s="21" t="s">
        <v>2730</v>
      </c>
      <c r="M197" s="21" t="s">
        <v>2731</v>
      </c>
      <c r="N197" s="21" t="s">
        <v>2732</v>
      </c>
      <c r="O197" s="21" t="s">
        <v>2733</v>
      </c>
      <c r="P197" s="21" t="s">
        <v>2734</v>
      </c>
      <c r="Q197" s="22" t="n">
        <f aca="false">IF(L197="","",IFERROR(INDEX('Semrush Data'!$A$1:$Z$20000,MATCH(L197,'Semrush Data'!$A$1:$A$20000,0),MATCH("Volume",'Semrush Data'!$A$1:$Z$1,0)),""))</f>
        <v>0</v>
      </c>
      <c r="R197" s="22" t="n">
        <f aca="false">IF(M197="","",IFERROR(INDEX('Semrush Data'!$A$1:$Z$20000,MATCH(M197,'Semrush Data'!$A$1:$A$20000,0),MATCH("Volume",'Semrush Data'!$A$1:$Z$1,0)),""))</f>
        <v>0</v>
      </c>
      <c r="S197" s="22" t="str">
        <f aca="false">IF(N197="","",IFERROR(INDEX('Semrush Data'!$A$1:$Z$20000,MATCH(N197,'Semrush Data'!$A$1:$A$20000,0),MATCH("Volume",'Semrush Data'!$A$1:$Z$1,0)),""))</f>
        <v/>
      </c>
      <c r="T197" s="22" t="str">
        <f aca="false">IF(O197="","",IFERROR(INDEX('Semrush Data'!$A$1:$Z$20000,MATCH(O197,'Semrush Data'!$A$1:$A$20000,0),MATCH("Volume",'Semrush Data'!$A$1:$Z$1,0)),""))</f>
        <v/>
      </c>
      <c r="U197" s="22" t="str">
        <f aca="false">IF(P197="","",IFERROR(INDEX('Semrush Data'!$A$1:$Z$20000,MATCH(P197,'Semrush Data'!$A$1:$A$20000,0),MATCH("Volume",'Semrush Data'!$A$1:$Z$1,0)),""))</f>
        <v/>
      </c>
      <c r="V197" s="23" t="str">
        <f aca="false">IF(COUNT(Q197:U197)=0,L197,IF(MAX(Q197:U197)=0,L197,INDEX(L197:P197,MATCH(MAX(Q197:U197),Q197:U197,0))))</f>
        <v>anatome focus</v>
      </c>
      <c r="W197" s="22" t="n">
        <f aca="false">IFERROR(INDEX('Semrush Data'!$A$1:$Z$20000,MATCH(V197,'Semrush Data'!$A$1:$A$20000,0),MATCH("Volume",'Semrush Data'!$A$1:$Z$1,0)),"")</f>
        <v>0</v>
      </c>
      <c r="X197" s="22" t="n">
        <f aca="false">IFERROR(INDEX('Semrush Data'!$A$1:$Z$20000,MATCH(V197,'Semrush Data'!$A$1:$A$20000,0),MATCH("Keyword Difficulty*",'Semrush Data'!$A$1:$Z$1,0)),"")</f>
        <v>12</v>
      </c>
      <c r="Y197" s="24" t="n">
        <f aca="false">IFERROR(INDEX('Semrush Data'!$A$1:$Z$20000,MATCH(V197,'Semrush Data'!$A$1:$A$20000,0),MATCH("CPC*",'Semrush Data'!$A$1:$Z$1,0)),"")</f>
        <v>0</v>
      </c>
      <c r="Z197" s="21" t="s">
        <v>2696</v>
      </c>
      <c r="AA197" s="21" t="s">
        <v>2735</v>
      </c>
      <c r="AB197" s="21" t="s">
        <v>2736</v>
      </c>
      <c r="AC197" s="21" t="s">
        <v>2737</v>
      </c>
      <c r="AD197" s="25" t="n">
        <f aca="false">LEN(AC197)</f>
        <v>52</v>
      </c>
      <c r="AE197" s="21" t="s">
        <v>2738</v>
      </c>
      <c r="AF197" s="25" t="n">
        <f aca="false">LEN(AE197)</f>
        <v>140</v>
      </c>
    </row>
    <row r="198" customFormat="false" ht="15" hidden="false" customHeight="true" outlineLevel="0" collapsed="false">
      <c r="A198" s="21" t="s">
        <v>2740</v>
      </c>
      <c r="B198" s="21" t="s">
        <v>2390</v>
      </c>
      <c r="C198" s="21" t="n">
        <v>38</v>
      </c>
      <c r="D198" s="21" t="s">
        <v>2688</v>
      </c>
      <c r="E198" s="21" t="s">
        <v>2689</v>
      </c>
      <c r="F198" s="21" t="s">
        <v>2393</v>
      </c>
      <c r="G198" s="21" t="s">
        <v>2394</v>
      </c>
      <c r="H198" s="21" t="s">
        <v>2479</v>
      </c>
      <c r="I198" s="21" t="s">
        <v>2729</v>
      </c>
      <c r="J198" s="21" t="s">
        <v>1935</v>
      </c>
      <c r="K198" s="21" t="n">
        <v>68</v>
      </c>
      <c r="L198" s="21" t="s">
        <v>2730</v>
      </c>
      <c r="M198" s="21" t="s">
        <v>2731</v>
      </c>
      <c r="N198" s="21" t="s">
        <v>2732</v>
      </c>
      <c r="O198" s="21" t="s">
        <v>2733</v>
      </c>
      <c r="P198" s="21" t="s">
        <v>2734</v>
      </c>
      <c r="Q198" s="22" t="n">
        <f aca="false">IF(L198="","",IFERROR(INDEX('Semrush Data'!$A$1:$Z$20000,MATCH(L198,'Semrush Data'!$A$1:$A$20000,0),MATCH("Volume",'Semrush Data'!$A$1:$Z$1,0)),""))</f>
        <v>0</v>
      </c>
      <c r="R198" s="22" t="n">
        <f aca="false">IF(M198="","",IFERROR(INDEX('Semrush Data'!$A$1:$Z$20000,MATCH(M198,'Semrush Data'!$A$1:$A$20000,0),MATCH("Volume",'Semrush Data'!$A$1:$Z$1,0)),""))</f>
        <v>0</v>
      </c>
      <c r="S198" s="22" t="str">
        <f aca="false">IF(N198="","",IFERROR(INDEX('Semrush Data'!$A$1:$Z$20000,MATCH(N198,'Semrush Data'!$A$1:$A$20000,0),MATCH("Volume",'Semrush Data'!$A$1:$Z$1,0)),""))</f>
        <v/>
      </c>
      <c r="T198" s="22" t="str">
        <f aca="false">IF(O198="","",IFERROR(INDEX('Semrush Data'!$A$1:$Z$20000,MATCH(O198,'Semrush Data'!$A$1:$A$20000,0),MATCH("Volume",'Semrush Data'!$A$1:$Z$1,0)),""))</f>
        <v/>
      </c>
      <c r="U198" s="22" t="str">
        <f aca="false">IF(P198="","",IFERROR(INDEX('Semrush Data'!$A$1:$Z$20000,MATCH(P198,'Semrush Data'!$A$1:$A$20000,0),MATCH("Volume",'Semrush Data'!$A$1:$Z$1,0)),""))</f>
        <v/>
      </c>
      <c r="V198" s="23" t="str">
        <f aca="false">IF(COUNT(Q198:U198)=0,L198,IF(MAX(Q198:U198)=0,L198,INDEX(L198:P198,MATCH(MAX(Q198:U198),Q198:U198,0))))</f>
        <v>anatome focus</v>
      </c>
      <c r="W198" s="22" t="n">
        <f aca="false">IFERROR(INDEX('Semrush Data'!$A$1:$Z$20000,MATCH(V198,'Semrush Data'!$A$1:$A$20000,0),MATCH("Volume",'Semrush Data'!$A$1:$Z$1,0)),"")</f>
        <v>0</v>
      </c>
      <c r="X198" s="22" t="n">
        <f aca="false">IFERROR(INDEX('Semrush Data'!$A$1:$Z$20000,MATCH(V198,'Semrush Data'!$A$1:$A$20000,0),MATCH("Keyword Difficulty*",'Semrush Data'!$A$1:$Z$1,0)),"")</f>
        <v>12</v>
      </c>
      <c r="Y198" s="24" t="n">
        <f aca="false">IFERROR(INDEX('Semrush Data'!$A$1:$Z$20000,MATCH(V198,'Semrush Data'!$A$1:$A$20000,0),MATCH("CPC*",'Semrush Data'!$A$1:$Z$1,0)),"")</f>
        <v>0</v>
      </c>
      <c r="Z198" s="21" t="s">
        <v>2696</v>
      </c>
      <c r="AA198" s="21" t="s">
        <v>2735</v>
      </c>
      <c r="AB198" s="21" t="s">
        <v>2736</v>
      </c>
      <c r="AC198" s="21" t="s">
        <v>2737</v>
      </c>
      <c r="AD198" s="25" t="n">
        <f aca="false">LEN(AC198)</f>
        <v>52</v>
      </c>
      <c r="AE198" s="21" t="s">
        <v>2738</v>
      </c>
      <c r="AF198" s="25" t="n">
        <f aca="false">LEN(AE198)</f>
        <v>140</v>
      </c>
    </row>
    <row r="199" customFormat="false" ht="15" hidden="false" customHeight="true" outlineLevel="0" collapsed="false">
      <c r="A199" s="21" t="s">
        <v>2741</v>
      </c>
      <c r="B199" s="21" t="s">
        <v>2390</v>
      </c>
      <c r="C199" s="21" t="n">
        <v>39</v>
      </c>
      <c r="D199" s="21" t="s">
        <v>2688</v>
      </c>
      <c r="E199" s="21" t="s">
        <v>2689</v>
      </c>
      <c r="F199" s="21" t="s">
        <v>2393</v>
      </c>
      <c r="G199" s="21" t="s">
        <v>2394</v>
      </c>
      <c r="H199" s="21" t="s">
        <v>2479</v>
      </c>
      <c r="I199" s="21" t="s">
        <v>2742</v>
      </c>
      <c r="J199" s="21" t="s">
        <v>2503</v>
      </c>
      <c r="K199" s="21" t="n">
        <v>125</v>
      </c>
      <c r="L199" s="21" t="s">
        <v>2743</v>
      </c>
      <c r="M199" s="21" t="s">
        <v>2744</v>
      </c>
      <c r="N199" s="21" t="s">
        <v>2745</v>
      </c>
      <c r="O199" s="21" t="s">
        <v>2746</v>
      </c>
      <c r="P199" s="21" t="s">
        <v>2747</v>
      </c>
      <c r="Q199" s="22" t="n">
        <f aca="false">IF(L199="","",IFERROR(INDEX('Semrush Data'!$A$1:$Z$20000,MATCH(L199,'Semrush Data'!$A$1:$A$20000,0),MATCH("Volume",'Semrush Data'!$A$1:$Z$1,0)),""))</f>
        <v>0</v>
      </c>
      <c r="R199" s="22" t="n">
        <f aca="false">IF(M199="","",IFERROR(INDEX('Semrush Data'!$A$1:$Z$20000,MATCH(M199,'Semrush Data'!$A$1:$A$20000,0),MATCH("Volume",'Semrush Data'!$A$1:$Z$1,0)),""))</f>
        <v>0</v>
      </c>
      <c r="S199" s="22" t="str">
        <f aca="false">IF(N199="","",IFERROR(INDEX('Semrush Data'!$A$1:$Z$20000,MATCH(N199,'Semrush Data'!$A$1:$A$20000,0),MATCH("Volume",'Semrush Data'!$A$1:$Z$1,0)),""))</f>
        <v/>
      </c>
      <c r="T199" s="22" t="str">
        <f aca="false">IF(O199="","",IFERROR(INDEX('Semrush Data'!$A$1:$Z$20000,MATCH(O199,'Semrush Data'!$A$1:$A$20000,0),MATCH("Volume",'Semrush Data'!$A$1:$Z$1,0)),""))</f>
        <v/>
      </c>
      <c r="U199" s="22" t="str">
        <f aca="false">IF(P199="","",IFERROR(INDEX('Semrush Data'!$A$1:$Z$20000,MATCH(P199,'Semrush Data'!$A$1:$A$20000,0),MATCH("Volume",'Semrush Data'!$A$1:$Z$1,0)),""))</f>
        <v/>
      </c>
      <c r="V199" s="23" t="str">
        <f aca="false">IF(COUNT(Q199:U199)=0,L199,IF(MAX(Q199:U199)=0,L199,INDEX(L199:P199,MATCH(MAX(Q199:U199),Q199:U199,0))))</f>
        <v>anatome support</v>
      </c>
      <c r="W199" s="22" t="n">
        <f aca="false">IFERROR(INDEX('Semrush Data'!$A$1:$Z$20000,MATCH(V199,'Semrush Data'!$A$1:$A$20000,0),MATCH("Volume",'Semrush Data'!$A$1:$Z$1,0)),"")</f>
        <v>0</v>
      </c>
      <c r="X199" s="22" t="n">
        <f aca="false">IFERROR(INDEX('Semrush Data'!$A$1:$Z$20000,MATCH(V199,'Semrush Data'!$A$1:$A$20000,0),MATCH("Keyword Difficulty*",'Semrush Data'!$A$1:$Z$1,0)),"")</f>
        <v>12</v>
      </c>
      <c r="Y199" s="24" t="n">
        <f aca="false">IFERROR(INDEX('Semrush Data'!$A$1:$Z$20000,MATCH(V199,'Semrush Data'!$A$1:$A$20000,0),MATCH("CPC*",'Semrush Data'!$A$1:$Z$1,0)),"")</f>
        <v>0</v>
      </c>
      <c r="Z199" s="21" t="s">
        <v>2696</v>
      </c>
      <c r="AA199" s="21"/>
      <c r="AB199" s="21" t="s">
        <v>2748</v>
      </c>
      <c r="AC199" s="21" t="s">
        <v>2749</v>
      </c>
      <c r="AD199" s="25" t="n">
        <f aca="false">LEN(AC199)</f>
        <v>51</v>
      </c>
      <c r="AE199" s="21" t="s">
        <v>2750</v>
      </c>
      <c r="AF199" s="25" t="n">
        <f aca="false">LEN(AE199)</f>
        <v>149</v>
      </c>
    </row>
    <row r="200" customFormat="false" ht="15" hidden="false" customHeight="true" outlineLevel="0" collapsed="false">
      <c r="A200" s="21" t="s">
        <v>2751</v>
      </c>
      <c r="B200" s="21" t="s">
        <v>2390</v>
      </c>
      <c r="C200" s="21" t="n">
        <v>40</v>
      </c>
      <c r="D200" s="21" t="s">
        <v>2688</v>
      </c>
      <c r="E200" s="21" t="s">
        <v>2689</v>
      </c>
      <c r="F200" s="21" t="s">
        <v>2393</v>
      </c>
      <c r="G200" s="21" t="s">
        <v>2394</v>
      </c>
      <c r="H200" s="21" t="s">
        <v>2479</v>
      </c>
      <c r="I200" s="21" t="s">
        <v>2742</v>
      </c>
      <c r="J200" s="21" t="s">
        <v>2503</v>
      </c>
      <c r="K200" s="21" t="n">
        <v>28</v>
      </c>
      <c r="L200" s="21" t="s">
        <v>2743</v>
      </c>
      <c r="M200" s="21" t="s">
        <v>2744</v>
      </c>
      <c r="N200" s="21" t="s">
        <v>2745</v>
      </c>
      <c r="O200" s="21" t="s">
        <v>2746</v>
      </c>
      <c r="P200" s="21" t="s">
        <v>2747</v>
      </c>
      <c r="Q200" s="22" t="n">
        <f aca="false">IF(L200="","",IFERROR(INDEX('Semrush Data'!$A$1:$Z$20000,MATCH(L200,'Semrush Data'!$A$1:$A$20000,0),MATCH("Volume",'Semrush Data'!$A$1:$Z$1,0)),""))</f>
        <v>0</v>
      </c>
      <c r="R200" s="22" t="n">
        <f aca="false">IF(M200="","",IFERROR(INDEX('Semrush Data'!$A$1:$Z$20000,MATCH(M200,'Semrush Data'!$A$1:$A$20000,0),MATCH("Volume",'Semrush Data'!$A$1:$Z$1,0)),""))</f>
        <v>0</v>
      </c>
      <c r="S200" s="22" t="str">
        <f aca="false">IF(N200="","",IFERROR(INDEX('Semrush Data'!$A$1:$Z$20000,MATCH(N200,'Semrush Data'!$A$1:$A$20000,0),MATCH("Volume",'Semrush Data'!$A$1:$Z$1,0)),""))</f>
        <v/>
      </c>
      <c r="T200" s="22" t="str">
        <f aca="false">IF(O200="","",IFERROR(INDEX('Semrush Data'!$A$1:$Z$20000,MATCH(O200,'Semrush Data'!$A$1:$A$20000,0),MATCH("Volume",'Semrush Data'!$A$1:$Z$1,0)),""))</f>
        <v/>
      </c>
      <c r="U200" s="22" t="str">
        <f aca="false">IF(P200="","",IFERROR(INDEX('Semrush Data'!$A$1:$Z$20000,MATCH(P200,'Semrush Data'!$A$1:$A$20000,0),MATCH("Volume",'Semrush Data'!$A$1:$Z$1,0)),""))</f>
        <v/>
      </c>
      <c r="V200" s="23" t="str">
        <f aca="false">IF(COUNT(Q200:U200)=0,L200,IF(MAX(Q200:U200)=0,L200,INDEX(L200:P200,MATCH(MAX(Q200:U200),Q200:U200,0))))</f>
        <v>anatome support</v>
      </c>
      <c r="W200" s="22" t="n">
        <f aca="false">IFERROR(INDEX('Semrush Data'!$A$1:$Z$20000,MATCH(V200,'Semrush Data'!$A$1:$A$20000,0),MATCH("Volume",'Semrush Data'!$A$1:$Z$1,0)),"")</f>
        <v>0</v>
      </c>
      <c r="X200" s="22" t="n">
        <f aca="false">IFERROR(INDEX('Semrush Data'!$A$1:$Z$20000,MATCH(V200,'Semrush Data'!$A$1:$A$20000,0),MATCH("Keyword Difficulty*",'Semrush Data'!$A$1:$Z$1,0)),"")</f>
        <v>12</v>
      </c>
      <c r="Y200" s="24" t="n">
        <f aca="false">IFERROR(INDEX('Semrush Data'!$A$1:$Z$20000,MATCH(V200,'Semrush Data'!$A$1:$A$20000,0),MATCH("CPC*",'Semrush Data'!$A$1:$Z$1,0)),"")</f>
        <v>0</v>
      </c>
      <c r="Z200" s="21" t="s">
        <v>2696</v>
      </c>
      <c r="AA200" s="21"/>
      <c r="AB200" s="21" t="s">
        <v>2748</v>
      </c>
      <c r="AC200" s="21" t="s">
        <v>2749</v>
      </c>
      <c r="AD200" s="25" t="n">
        <f aca="false">LEN(AC200)</f>
        <v>51</v>
      </c>
      <c r="AE200" s="21" t="s">
        <v>2750</v>
      </c>
      <c r="AF200" s="25" t="n">
        <f aca="false">LEN(AE200)</f>
        <v>149</v>
      </c>
    </row>
    <row r="201" customFormat="false" ht="15" hidden="false" customHeight="true" outlineLevel="0" collapsed="false">
      <c r="A201" s="21" t="s">
        <v>2752</v>
      </c>
      <c r="B201" s="21" t="s">
        <v>2390</v>
      </c>
      <c r="C201" s="21" t="n">
        <v>41</v>
      </c>
      <c r="D201" s="21" t="s">
        <v>2688</v>
      </c>
      <c r="E201" s="21" t="s">
        <v>2689</v>
      </c>
      <c r="F201" s="21" t="s">
        <v>2393</v>
      </c>
      <c r="G201" s="21" t="s">
        <v>2394</v>
      </c>
      <c r="H201" s="21" t="s">
        <v>2479</v>
      </c>
      <c r="I201" s="21" t="s">
        <v>2742</v>
      </c>
      <c r="J201" s="21" t="s">
        <v>2503</v>
      </c>
      <c r="K201" s="21" t="n">
        <v>68</v>
      </c>
      <c r="L201" s="21" t="s">
        <v>2743</v>
      </c>
      <c r="M201" s="21" t="s">
        <v>2744</v>
      </c>
      <c r="N201" s="21" t="s">
        <v>2745</v>
      </c>
      <c r="O201" s="21" t="s">
        <v>2746</v>
      </c>
      <c r="P201" s="21" t="s">
        <v>2747</v>
      </c>
      <c r="Q201" s="22" t="n">
        <f aca="false">IF(L201="","",IFERROR(INDEX('Semrush Data'!$A$1:$Z$20000,MATCH(L201,'Semrush Data'!$A$1:$A$20000,0),MATCH("Volume",'Semrush Data'!$A$1:$Z$1,0)),""))</f>
        <v>0</v>
      </c>
      <c r="R201" s="22" t="n">
        <f aca="false">IF(M201="","",IFERROR(INDEX('Semrush Data'!$A$1:$Z$20000,MATCH(M201,'Semrush Data'!$A$1:$A$20000,0),MATCH("Volume",'Semrush Data'!$A$1:$Z$1,0)),""))</f>
        <v>0</v>
      </c>
      <c r="S201" s="22" t="str">
        <f aca="false">IF(N201="","",IFERROR(INDEX('Semrush Data'!$A$1:$Z$20000,MATCH(N201,'Semrush Data'!$A$1:$A$20000,0),MATCH("Volume",'Semrush Data'!$A$1:$Z$1,0)),""))</f>
        <v/>
      </c>
      <c r="T201" s="22" t="str">
        <f aca="false">IF(O201="","",IFERROR(INDEX('Semrush Data'!$A$1:$Z$20000,MATCH(O201,'Semrush Data'!$A$1:$A$20000,0),MATCH("Volume",'Semrush Data'!$A$1:$Z$1,0)),""))</f>
        <v/>
      </c>
      <c r="U201" s="22" t="str">
        <f aca="false">IF(P201="","",IFERROR(INDEX('Semrush Data'!$A$1:$Z$20000,MATCH(P201,'Semrush Data'!$A$1:$A$20000,0),MATCH("Volume",'Semrush Data'!$A$1:$Z$1,0)),""))</f>
        <v/>
      </c>
      <c r="V201" s="23" t="str">
        <f aca="false">IF(COUNT(Q201:U201)=0,L201,IF(MAX(Q201:U201)=0,L201,INDEX(L201:P201,MATCH(MAX(Q201:U201),Q201:U201,0))))</f>
        <v>anatome support</v>
      </c>
      <c r="W201" s="22" t="n">
        <f aca="false">IFERROR(INDEX('Semrush Data'!$A$1:$Z$20000,MATCH(V201,'Semrush Data'!$A$1:$A$20000,0),MATCH("Volume",'Semrush Data'!$A$1:$Z$1,0)),"")</f>
        <v>0</v>
      </c>
      <c r="X201" s="22" t="n">
        <f aca="false">IFERROR(INDEX('Semrush Data'!$A$1:$Z$20000,MATCH(V201,'Semrush Data'!$A$1:$A$20000,0),MATCH("Keyword Difficulty*",'Semrush Data'!$A$1:$Z$1,0)),"")</f>
        <v>12</v>
      </c>
      <c r="Y201" s="24" t="n">
        <f aca="false">IFERROR(INDEX('Semrush Data'!$A$1:$Z$20000,MATCH(V201,'Semrush Data'!$A$1:$A$20000,0),MATCH("CPC*",'Semrush Data'!$A$1:$Z$1,0)),"")</f>
        <v>0</v>
      </c>
      <c r="Z201" s="21" t="s">
        <v>2696</v>
      </c>
      <c r="AA201" s="21"/>
      <c r="AB201" s="21" t="s">
        <v>2748</v>
      </c>
      <c r="AC201" s="21" t="s">
        <v>2749</v>
      </c>
      <c r="AD201" s="25" t="n">
        <f aca="false">LEN(AC201)</f>
        <v>51</v>
      </c>
      <c r="AE201" s="21" t="s">
        <v>2750</v>
      </c>
      <c r="AF201" s="25" t="n">
        <f aca="false">LEN(AE201)</f>
        <v>149</v>
      </c>
    </row>
    <row r="202" customFormat="false" ht="15" hidden="false" customHeight="true" outlineLevel="0" collapsed="false">
      <c r="A202" s="21" t="s">
        <v>2753</v>
      </c>
      <c r="B202" s="21" t="s">
        <v>2390</v>
      </c>
      <c r="C202" s="21" t="n">
        <v>42</v>
      </c>
      <c r="D202" s="21" t="s">
        <v>2688</v>
      </c>
      <c r="E202" s="21" t="s">
        <v>2689</v>
      </c>
      <c r="F202" s="21" t="s">
        <v>2393</v>
      </c>
      <c r="G202" s="21" t="s">
        <v>2394</v>
      </c>
      <c r="H202" s="21" t="s">
        <v>2479</v>
      </c>
      <c r="I202" s="21" t="s">
        <v>2754</v>
      </c>
      <c r="J202" s="21" t="s">
        <v>2755</v>
      </c>
      <c r="K202" s="21" t="n">
        <v>28</v>
      </c>
      <c r="L202" s="21" t="s">
        <v>2743</v>
      </c>
      <c r="M202" s="21" t="s">
        <v>2744</v>
      </c>
      <c r="N202" s="21" t="s">
        <v>2745</v>
      </c>
      <c r="O202" s="21" t="s">
        <v>2746</v>
      </c>
      <c r="P202" s="21" t="s">
        <v>2747</v>
      </c>
      <c r="Q202" s="22" t="n">
        <f aca="false">IF(L202="","",IFERROR(INDEX('Semrush Data'!$A$1:$Z$20000,MATCH(L202,'Semrush Data'!$A$1:$A$20000,0),MATCH("Volume",'Semrush Data'!$A$1:$Z$1,0)),""))</f>
        <v>0</v>
      </c>
      <c r="R202" s="22" t="n">
        <f aca="false">IF(M202="","",IFERROR(INDEX('Semrush Data'!$A$1:$Z$20000,MATCH(M202,'Semrush Data'!$A$1:$A$20000,0),MATCH("Volume",'Semrush Data'!$A$1:$Z$1,0)),""))</f>
        <v>0</v>
      </c>
      <c r="S202" s="22" t="str">
        <f aca="false">IF(N202="","",IFERROR(INDEX('Semrush Data'!$A$1:$Z$20000,MATCH(N202,'Semrush Data'!$A$1:$A$20000,0),MATCH("Volume",'Semrush Data'!$A$1:$Z$1,0)),""))</f>
        <v/>
      </c>
      <c r="T202" s="22" t="str">
        <f aca="false">IF(O202="","",IFERROR(INDEX('Semrush Data'!$A$1:$Z$20000,MATCH(O202,'Semrush Data'!$A$1:$A$20000,0),MATCH("Volume",'Semrush Data'!$A$1:$Z$1,0)),""))</f>
        <v/>
      </c>
      <c r="U202" s="22" t="str">
        <f aca="false">IF(P202="","",IFERROR(INDEX('Semrush Data'!$A$1:$Z$20000,MATCH(P202,'Semrush Data'!$A$1:$A$20000,0),MATCH("Volume",'Semrush Data'!$A$1:$Z$1,0)),""))</f>
        <v/>
      </c>
      <c r="V202" s="23" t="str">
        <f aca="false">IF(COUNT(Q202:U202)=0,L202,IF(MAX(Q202:U202)=0,L202,INDEX(L202:P202,MATCH(MAX(Q202:U202),Q202:U202,0))))</f>
        <v>anatome support</v>
      </c>
      <c r="W202" s="22" t="n">
        <f aca="false">IFERROR(INDEX('Semrush Data'!$A$1:$Z$20000,MATCH(V202,'Semrush Data'!$A$1:$A$20000,0),MATCH("Volume",'Semrush Data'!$A$1:$Z$1,0)),"")</f>
        <v>0</v>
      </c>
      <c r="X202" s="22" t="n">
        <f aca="false">IFERROR(INDEX('Semrush Data'!$A$1:$Z$20000,MATCH(V202,'Semrush Data'!$A$1:$A$20000,0),MATCH("Keyword Difficulty*",'Semrush Data'!$A$1:$Z$1,0)),"")</f>
        <v>12</v>
      </c>
      <c r="Y202" s="24" t="n">
        <f aca="false">IFERROR(INDEX('Semrush Data'!$A$1:$Z$20000,MATCH(V202,'Semrush Data'!$A$1:$A$20000,0),MATCH("CPC*",'Semrush Data'!$A$1:$Z$1,0)),"")</f>
        <v>0</v>
      </c>
      <c r="Z202" s="21" t="s">
        <v>2696</v>
      </c>
      <c r="AA202" s="21"/>
      <c r="AB202" s="21" t="s">
        <v>2748</v>
      </c>
      <c r="AC202" s="21" t="s">
        <v>2756</v>
      </c>
      <c r="AD202" s="25" t="n">
        <f aca="false">LEN(AC202)</f>
        <v>53</v>
      </c>
      <c r="AE202" s="21" t="s">
        <v>2757</v>
      </c>
      <c r="AF202" s="25" t="n">
        <f aca="false">LEN(AE202)</f>
        <v>141</v>
      </c>
    </row>
    <row r="203" customFormat="false" ht="15" hidden="false" customHeight="true" outlineLevel="0" collapsed="false">
      <c r="A203" s="21" t="s">
        <v>136</v>
      </c>
      <c r="B203" s="21" t="s">
        <v>2390</v>
      </c>
      <c r="C203" s="21" t="n">
        <v>43</v>
      </c>
      <c r="D203" s="21" t="s">
        <v>2758</v>
      </c>
      <c r="E203" s="21"/>
      <c r="F203" s="21" t="s">
        <v>2393</v>
      </c>
      <c r="G203" s="21" t="s">
        <v>2759</v>
      </c>
      <c r="H203" s="21" t="s">
        <v>2395</v>
      </c>
      <c r="I203" s="21" t="s">
        <v>137</v>
      </c>
      <c r="J203" s="21" t="s">
        <v>1957</v>
      </c>
      <c r="K203" s="21" t="n">
        <v>18.99</v>
      </c>
      <c r="L203" s="21" t="s">
        <v>2760</v>
      </c>
      <c r="M203" s="21" t="s">
        <v>2761</v>
      </c>
      <c r="N203" s="21" t="s">
        <v>2762</v>
      </c>
      <c r="O203" s="21" t="s">
        <v>2763</v>
      </c>
      <c r="P203" s="21" t="s">
        <v>2764</v>
      </c>
      <c r="Q203" s="22" t="n">
        <f aca="false">IF(L203="","",IFERROR(INDEX('Semrush Data'!$A$1:$Z$20000,MATCH(L203,'Semrush Data'!$A$1:$A$20000,0),MATCH("Volume",'Semrush Data'!$A$1:$Z$1,0)),""))</f>
        <v>390</v>
      </c>
      <c r="R203" s="22" t="n">
        <f aca="false">IF(M203="","",IFERROR(INDEX('Semrush Data'!$A$1:$Z$20000,MATCH(M203,'Semrush Data'!$A$1:$A$20000,0),MATCH("Volume",'Semrush Data'!$A$1:$Z$1,0)),""))</f>
        <v>0</v>
      </c>
      <c r="S203" s="22" t="str">
        <f aca="false">IF(N203="","",IFERROR(INDEX('Semrush Data'!$A$1:$Z$20000,MATCH(N203,'Semrush Data'!$A$1:$A$20000,0),MATCH("Volume",'Semrush Data'!$A$1:$Z$1,0)),""))</f>
        <v/>
      </c>
      <c r="T203" s="22" t="str">
        <f aca="false">IF(O203="","",IFERROR(INDEX('Semrush Data'!$A$1:$Z$20000,MATCH(O203,'Semrush Data'!$A$1:$A$20000,0),MATCH("Volume",'Semrush Data'!$A$1:$Z$1,0)),""))</f>
        <v/>
      </c>
      <c r="U203" s="22" t="n">
        <f aca="false">IF(P203="","",IFERROR(INDEX('Semrush Data'!$A$1:$Z$20000,MATCH(P203,'Semrush Data'!$A$1:$A$20000,0),MATCH("Volume",'Semrush Data'!$A$1:$Z$1,0)),""))</f>
        <v>20</v>
      </c>
      <c r="V203" s="23" t="str">
        <f aca="false">IF(COUNT(Q203:U203)=0,L203,IF(MAX(Q203:U203)=0,L203,INDEX(L203:P203,MATCH(MAX(Q203:U203),Q203:U203,0))))</f>
        <v>anna sui sky</v>
      </c>
      <c r="W203" s="22" t="n">
        <f aca="false">IFERROR(INDEX('Semrush Data'!$A$1:$Z$20000,MATCH(V203,'Semrush Data'!$A$1:$A$20000,0),MATCH("Volume",'Semrush Data'!$A$1:$Z$1,0)),"")</f>
        <v>390</v>
      </c>
      <c r="X203" s="22" t="n">
        <f aca="false">IFERROR(INDEX('Semrush Data'!$A$1:$Z$20000,MATCH(V203,'Semrush Data'!$A$1:$A$20000,0),MATCH("Keyword Difficulty*",'Semrush Data'!$A$1:$Z$1,0)),"")</f>
        <v>19</v>
      </c>
      <c r="Y203" s="24" t="n">
        <f aca="false">IFERROR(INDEX('Semrush Data'!$A$1:$Z$20000,MATCH(V203,'Semrush Data'!$A$1:$A$20000,0),MATCH("CPC*",'Semrush Data'!$A$1:$Z$1,0)),"")</f>
        <v>0.33</v>
      </c>
      <c r="Z203" s="21" t="s">
        <v>2765</v>
      </c>
      <c r="AA203" s="21" t="s">
        <v>2766</v>
      </c>
      <c r="AB203" s="21" t="s">
        <v>2767</v>
      </c>
      <c r="AC203" s="21" t="s">
        <v>2768</v>
      </c>
      <c r="AD203" s="25" t="n">
        <f aca="false">LEN(AC203)</f>
        <v>55</v>
      </c>
      <c r="AE203" s="21" t="s">
        <v>2769</v>
      </c>
      <c r="AF203" s="25" t="n">
        <f aca="false">LEN(AE203)</f>
        <v>151</v>
      </c>
    </row>
    <row r="204" customFormat="false" ht="15" hidden="false" customHeight="true" outlineLevel="0" collapsed="false">
      <c r="A204" s="21" t="s">
        <v>2770</v>
      </c>
      <c r="B204" s="21" t="s">
        <v>2390</v>
      </c>
      <c r="C204" s="21" t="n">
        <v>44</v>
      </c>
      <c r="D204" s="21" t="s">
        <v>2771</v>
      </c>
      <c r="E204" s="21" t="s">
        <v>2772</v>
      </c>
      <c r="F204" s="21" t="s">
        <v>2393</v>
      </c>
      <c r="G204" s="21" t="s">
        <v>2394</v>
      </c>
      <c r="H204" s="21" t="s">
        <v>2524</v>
      </c>
      <c r="I204" s="21" t="s">
        <v>2773</v>
      </c>
      <c r="J204" s="21" t="s">
        <v>2774</v>
      </c>
      <c r="K204" s="21" t="n">
        <v>63.99</v>
      </c>
      <c r="L204" s="21" t="s">
        <v>2775</v>
      </c>
      <c r="M204" s="21" t="s">
        <v>2776</v>
      </c>
      <c r="N204" s="21" t="s">
        <v>2777</v>
      </c>
      <c r="O204" s="21" t="s">
        <v>2778</v>
      </c>
      <c r="P204" s="21" t="s">
        <v>2779</v>
      </c>
      <c r="Q204" s="22" t="n">
        <f aca="false">IF(L204="","",IFERROR(INDEX('Semrush Data'!$A$1:$Z$20000,MATCH(L204,'Semrush Data'!$A$1:$A$20000,0),MATCH("Volume",'Semrush Data'!$A$1:$Z$1,0)),""))</f>
        <v>0</v>
      </c>
      <c r="R204" s="22" t="n">
        <f aca="false">IF(M204="","",IFERROR(INDEX('Semrush Data'!$A$1:$Z$20000,MATCH(M204,'Semrush Data'!$A$1:$A$20000,0),MATCH("Volume",'Semrush Data'!$A$1:$Z$1,0)),""))</f>
        <v>0</v>
      </c>
      <c r="S204" s="22" t="str">
        <f aca="false">IF(N204="","",IFERROR(INDEX('Semrush Data'!$A$1:$Z$20000,MATCH(N204,'Semrush Data'!$A$1:$A$20000,0),MATCH("Volume",'Semrush Data'!$A$1:$Z$1,0)),""))</f>
        <v/>
      </c>
      <c r="T204" s="22" t="str">
        <f aca="false">IF(O204="","",IFERROR(INDEX('Semrush Data'!$A$1:$Z$20000,MATCH(O204,'Semrush Data'!$A$1:$A$20000,0),MATCH("Volume",'Semrush Data'!$A$1:$Z$1,0)),""))</f>
        <v/>
      </c>
      <c r="U204" s="22" t="str">
        <f aca="false">IF(P204="","",IFERROR(INDEX('Semrush Data'!$A$1:$Z$20000,MATCH(P204,'Semrush Data'!$A$1:$A$20000,0),MATCH("Volume",'Semrush Data'!$A$1:$Z$1,0)),""))</f>
        <v/>
      </c>
      <c r="V204" s="23" t="str">
        <f aca="false">IF(COUNT(Q204:U204)=0,L204,IF(MAX(Q204:U204)=0,L204,INDEX(L204:P204,MATCH(MAX(Q204:U204),Q204:U204,0))))</f>
        <v>antonio banderas boucheron patchouli d'angkor</v>
      </c>
      <c r="W204" s="22" t="n">
        <f aca="false">IFERROR(INDEX('Semrush Data'!$A$1:$Z$20000,MATCH(V204,'Semrush Data'!$A$1:$A$20000,0),MATCH("Volume",'Semrush Data'!$A$1:$Z$1,0)),"")</f>
        <v>0</v>
      </c>
      <c r="X204" s="22" t="n">
        <f aca="false">IFERROR(INDEX('Semrush Data'!$A$1:$Z$20000,MATCH(V204,'Semrush Data'!$A$1:$A$20000,0),MATCH("Keyword Difficulty*",'Semrush Data'!$A$1:$Z$1,0)),"")</f>
        <v>9</v>
      </c>
      <c r="Y204" s="24" t="n">
        <f aca="false">IFERROR(INDEX('Semrush Data'!$A$1:$Z$20000,MATCH(V204,'Semrush Data'!$A$1:$A$20000,0),MATCH("CPC*",'Semrush Data'!$A$1:$Z$1,0)),"")</f>
        <v>0</v>
      </c>
      <c r="Z204" s="21" t="s">
        <v>2780</v>
      </c>
      <c r="AA204" s="21"/>
      <c r="AB204" s="21" t="s">
        <v>2781</v>
      </c>
      <c r="AC204" s="21" t="s">
        <v>2782</v>
      </c>
      <c r="AD204" s="25" t="n">
        <f aca="false">LEN(AC204)</f>
        <v>56</v>
      </c>
      <c r="AE204" s="21" t="s">
        <v>2783</v>
      </c>
      <c r="AF204" s="25" t="n">
        <f aca="false">LEN(AE204)</f>
        <v>156</v>
      </c>
    </row>
    <row r="205" customFormat="false" ht="15" hidden="false" customHeight="true" outlineLevel="0" collapsed="false">
      <c r="A205" s="21" t="s">
        <v>2784</v>
      </c>
      <c r="B205" s="21" t="s">
        <v>2390</v>
      </c>
      <c r="C205" s="21" t="n">
        <v>45</v>
      </c>
      <c r="D205" s="21" t="s">
        <v>2771</v>
      </c>
      <c r="E205" s="21" t="s">
        <v>2772</v>
      </c>
      <c r="F205" s="21" t="s">
        <v>2393</v>
      </c>
      <c r="G205" s="21" t="s">
        <v>2394</v>
      </c>
      <c r="H205" s="21" t="s">
        <v>2479</v>
      </c>
      <c r="I205" s="21" t="s">
        <v>2785</v>
      </c>
      <c r="J205" s="21" t="s">
        <v>2774</v>
      </c>
      <c r="K205" s="21" t="n">
        <v>63.99</v>
      </c>
      <c r="L205" s="21" t="s">
        <v>2786</v>
      </c>
      <c r="M205" s="21" t="s">
        <v>2787</v>
      </c>
      <c r="N205" s="21" t="s">
        <v>2788</v>
      </c>
      <c r="O205" s="21" t="s">
        <v>2789</v>
      </c>
      <c r="P205" s="21" t="s">
        <v>2790</v>
      </c>
      <c r="Q205" s="22" t="n">
        <f aca="false">IF(L205="","",IFERROR(INDEX('Semrush Data'!$A$1:$Z$20000,MATCH(L205,'Semrush Data'!$A$1:$A$20000,0),MATCH("Volume",'Semrush Data'!$A$1:$Z$1,0)),""))</f>
        <v>0</v>
      </c>
      <c r="R205" s="22" t="n">
        <f aca="false">IF(M205="","",IFERROR(INDEX('Semrush Data'!$A$1:$Z$20000,MATCH(M205,'Semrush Data'!$A$1:$A$20000,0),MATCH("Volume",'Semrush Data'!$A$1:$Z$1,0)),""))</f>
        <v>0</v>
      </c>
      <c r="S205" s="22" t="str">
        <f aca="false">IF(N205="","",IFERROR(INDEX('Semrush Data'!$A$1:$Z$20000,MATCH(N205,'Semrush Data'!$A$1:$A$20000,0),MATCH("Volume",'Semrush Data'!$A$1:$Z$1,0)),""))</f>
        <v/>
      </c>
      <c r="T205" s="22" t="str">
        <f aca="false">IF(O205="","",IFERROR(INDEX('Semrush Data'!$A$1:$Z$20000,MATCH(O205,'Semrush Data'!$A$1:$A$20000,0),MATCH("Volume",'Semrush Data'!$A$1:$Z$1,0)),""))</f>
        <v/>
      </c>
      <c r="U205" s="22" t="str">
        <f aca="false">IF(P205="","",IFERROR(INDEX('Semrush Data'!$A$1:$Z$20000,MATCH(P205,'Semrush Data'!$A$1:$A$20000,0),MATCH("Volume",'Semrush Data'!$A$1:$Z$1,0)),""))</f>
        <v/>
      </c>
      <c r="V205" s="23" t="str">
        <f aca="false">IF(COUNT(Q205:U205)=0,L205,IF(MAX(Q205:U205)=0,L205,INDEX(L205:P205,MATCH(MAX(Q205:U205),Q205:U205,0))))</f>
        <v>antonio banderas boucheron rose d'isparta</v>
      </c>
      <c r="W205" s="22" t="n">
        <f aca="false">IFERROR(INDEX('Semrush Data'!$A$1:$Z$20000,MATCH(V205,'Semrush Data'!$A$1:$A$20000,0),MATCH("Volume",'Semrush Data'!$A$1:$Z$1,0)),"")</f>
        <v>0</v>
      </c>
      <c r="X205" s="22" t="n">
        <f aca="false">IFERROR(INDEX('Semrush Data'!$A$1:$Z$20000,MATCH(V205,'Semrush Data'!$A$1:$A$20000,0),MATCH("Keyword Difficulty*",'Semrush Data'!$A$1:$Z$1,0)),"")</f>
        <v>17</v>
      </c>
      <c r="Y205" s="24" t="n">
        <f aca="false">IFERROR(INDEX('Semrush Data'!$A$1:$Z$20000,MATCH(V205,'Semrush Data'!$A$1:$A$20000,0),MATCH("CPC*",'Semrush Data'!$A$1:$Z$1,0)),"")</f>
        <v>0</v>
      </c>
      <c r="Z205" s="21" t="s">
        <v>2791</v>
      </c>
      <c r="AA205" s="21"/>
      <c r="AB205" s="21" t="s">
        <v>2792</v>
      </c>
      <c r="AC205" s="21" t="s">
        <v>2793</v>
      </c>
      <c r="AD205" s="25" t="n">
        <f aca="false">LEN(AC205)</f>
        <v>52</v>
      </c>
      <c r="AE205" s="21" t="s">
        <v>2794</v>
      </c>
      <c r="AF205" s="25" t="n">
        <f aca="false">LEN(AE205)</f>
        <v>159</v>
      </c>
    </row>
    <row r="206" customFormat="false" ht="15" hidden="false" customHeight="true" outlineLevel="0" collapsed="false">
      <c r="A206" s="21" t="s">
        <v>2795</v>
      </c>
      <c r="B206" s="21" t="s">
        <v>2390</v>
      </c>
      <c r="C206" s="21" t="n">
        <v>46</v>
      </c>
      <c r="D206" s="21" t="s">
        <v>2771</v>
      </c>
      <c r="E206" s="21" t="s">
        <v>2772</v>
      </c>
      <c r="F206" s="21" t="s">
        <v>2393</v>
      </c>
      <c r="G206" s="21" t="s">
        <v>2759</v>
      </c>
      <c r="H206" s="21" t="s">
        <v>2549</v>
      </c>
      <c r="I206" s="21" t="s">
        <v>2796</v>
      </c>
      <c r="J206" s="21" t="s">
        <v>1935</v>
      </c>
      <c r="K206" s="21" t="n">
        <v>19.99</v>
      </c>
      <c r="L206" s="21" t="s">
        <v>2797</v>
      </c>
      <c r="M206" s="21" t="s">
        <v>2798</v>
      </c>
      <c r="N206" s="21" t="s">
        <v>2799</v>
      </c>
      <c r="O206" s="21" t="s">
        <v>2800</v>
      </c>
      <c r="P206" s="21" t="s">
        <v>2801</v>
      </c>
      <c r="Q206" s="22" t="n">
        <f aca="false">IF(L206="","",IFERROR(INDEX('Semrush Data'!$A$1:$Z$20000,MATCH(L206,'Semrush Data'!$A$1:$A$20000,0),MATCH("Volume",'Semrush Data'!$A$1:$Z$1,0)),""))</f>
        <v>20</v>
      </c>
      <c r="R206" s="22" t="n">
        <f aca="false">IF(M206="","",IFERROR(INDEX('Semrush Data'!$A$1:$Z$20000,MATCH(M206,'Semrush Data'!$A$1:$A$20000,0),MATCH("Volume",'Semrush Data'!$A$1:$Z$1,0)),""))</f>
        <v>0</v>
      </c>
      <c r="S206" s="22" t="str">
        <f aca="false">IF(N206="","",IFERROR(INDEX('Semrush Data'!$A$1:$Z$20000,MATCH(N206,'Semrush Data'!$A$1:$A$20000,0),MATCH("Volume",'Semrush Data'!$A$1:$Z$1,0)),""))</f>
        <v/>
      </c>
      <c r="T206" s="22" t="str">
        <f aca="false">IF(O206="","",IFERROR(INDEX('Semrush Data'!$A$1:$Z$20000,MATCH(O206,'Semrush Data'!$A$1:$A$20000,0),MATCH("Volume",'Semrush Data'!$A$1:$Z$1,0)),""))</f>
        <v/>
      </c>
      <c r="U206" s="22" t="str">
        <f aca="false">IF(P206="","",IFERROR(INDEX('Semrush Data'!$A$1:$Z$20000,MATCH(P206,'Semrush Data'!$A$1:$A$20000,0),MATCH("Volume",'Semrush Data'!$A$1:$Z$1,0)),""))</f>
        <v/>
      </c>
      <c r="V206" s="23" t="str">
        <f aca="false">IF(COUNT(Q206:U206)=0,L206,IF(MAX(Q206:U206)=0,L206,INDEX(L206:P206,MATCH(MAX(Q206:U206),Q206:U206,0))))</f>
        <v>antonio banderas diavolo</v>
      </c>
      <c r="W206" s="22" t="n">
        <f aca="false">IFERROR(INDEX('Semrush Data'!$A$1:$Z$20000,MATCH(V206,'Semrush Data'!$A$1:$A$20000,0),MATCH("Volume",'Semrush Data'!$A$1:$Z$1,0)),"")</f>
        <v>20</v>
      </c>
      <c r="X206" s="22" t="n">
        <f aca="false">IFERROR(INDEX('Semrush Data'!$A$1:$Z$20000,MATCH(V206,'Semrush Data'!$A$1:$A$20000,0),MATCH("Keyword Difficulty*",'Semrush Data'!$A$1:$Z$1,0)),"")</f>
        <v>7</v>
      </c>
      <c r="Y206" s="24" t="n">
        <f aca="false">IFERROR(INDEX('Semrush Data'!$A$1:$Z$20000,MATCH(V206,'Semrush Data'!$A$1:$A$20000,0),MATCH("CPC*",'Semrush Data'!$A$1:$Z$1,0)),"")</f>
        <v>0</v>
      </c>
      <c r="Z206" s="21" t="s">
        <v>2802</v>
      </c>
      <c r="AA206" s="21" t="s">
        <v>2803</v>
      </c>
      <c r="AB206" s="21" t="s">
        <v>2804</v>
      </c>
      <c r="AC206" s="21" t="s">
        <v>2805</v>
      </c>
      <c r="AD206" s="25" t="n">
        <f aca="false">LEN(AC206)</f>
        <v>54</v>
      </c>
      <c r="AE206" s="21" t="s">
        <v>2806</v>
      </c>
      <c r="AF206" s="25" t="n">
        <f aca="false">LEN(AE206)</f>
        <v>155</v>
      </c>
    </row>
    <row r="207" customFormat="false" ht="15" hidden="false" customHeight="true" outlineLevel="0" collapsed="false">
      <c r="A207" s="21" t="s">
        <v>2807</v>
      </c>
      <c r="B207" s="21" t="s">
        <v>2390</v>
      </c>
      <c r="C207" s="21" t="n">
        <v>47</v>
      </c>
      <c r="D207" s="21" t="s">
        <v>2771</v>
      </c>
      <c r="E207" s="21" t="s">
        <v>2772</v>
      </c>
      <c r="F207" s="21" t="s">
        <v>2393</v>
      </c>
      <c r="G207" s="21" t="s">
        <v>2759</v>
      </c>
      <c r="H207" s="21" t="s">
        <v>2395</v>
      </c>
      <c r="I207" s="21" t="s">
        <v>2808</v>
      </c>
      <c r="J207" s="21" t="s">
        <v>2809</v>
      </c>
      <c r="K207" s="21" t="n">
        <v>20.99</v>
      </c>
      <c r="L207" s="21" t="s">
        <v>2810</v>
      </c>
      <c r="M207" s="21" t="s">
        <v>2811</v>
      </c>
      <c r="N207" s="21" t="s">
        <v>2812</v>
      </c>
      <c r="O207" s="21" t="s">
        <v>2813</v>
      </c>
      <c r="P207" s="21" t="s">
        <v>2814</v>
      </c>
      <c r="Q207" s="22" t="n">
        <f aca="false">IF(L207="","",IFERROR(INDEX('Semrush Data'!$A$1:$Z$20000,MATCH(L207,'Semrush Data'!$A$1:$A$20000,0),MATCH("Volume",'Semrush Data'!$A$1:$Z$1,0)),""))</f>
        <v>20</v>
      </c>
      <c r="R207" s="22" t="n">
        <f aca="false">IF(M207="","",IFERROR(INDEX('Semrush Data'!$A$1:$Z$20000,MATCH(M207,'Semrush Data'!$A$1:$A$20000,0),MATCH("Volume",'Semrush Data'!$A$1:$Z$1,0)),""))</f>
        <v>0</v>
      </c>
      <c r="S207" s="22" t="str">
        <f aca="false">IF(N207="","",IFERROR(INDEX('Semrush Data'!$A$1:$Z$20000,MATCH(N207,'Semrush Data'!$A$1:$A$20000,0),MATCH("Volume",'Semrush Data'!$A$1:$Z$1,0)),""))</f>
        <v/>
      </c>
      <c r="T207" s="22" t="str">
        <f aca="false">IF(O207="","",IFERROR(INDEX('Semrush Data'!$A$1:$Z$20000,MATCH(O207,'Semrush Data'!$A$1:$A$20000,0),MATCH("Volume",'Semrush Data'!$A$1:$Z$1,0)),""))</f>
        <v/>
      </c>
      <c r="U207" s="22" t="str">
        <f aca="false">IF(P207="","",IFERROR(INDEX('Semrush Data'!$A$1:$Z$20000,MATCH(P207,'Semrush Data'!$A$1:$A$20000,0),MATCH("Volume",'Semrush Data'!$A$1:$Z$1,0)),""))</f>
        <v/>
      </c>
      <c r="V207" s="23" t="str">
        <f aca="false">IF(COUNT(Q207:U207)=0,L207,IF(MAX(Q207:U207)=0,L207,INDEX(L207:P207,MATCH(MAX(Q207:U207),Q207:U207,0))))</f>
        <v>antonio banderas her secret desire</v>
      </c>
      <c r="W207" s="22" t="n">
        <f aca="false">IFERROR(INDEX('Semrush Data'!$A$1:$Z$20000,MATCH(V207,'Semrush Data'!$A$1:$A$20000,0),MATCH("Volume",'Semrush Data'!$A$1:$Z$1,0)),"")</f>
        <v>20</v>
      </c>
      <c r="X207" s="22" t="n">
        <f aca="false">IFERROR(INDEX('Semrush Data'!$A$1:$Z$20000,MATCH(V207,'Semrush Data'!$A$1:$A$20000,0),MATCH("Keyword Difficulty*",'Semrush Data'!$A$1:$Z$1,0)),"")</f>
        <v>16</v>
      </c>
      <c r="Y207" s="24" t="n">
        <f aca="false">IFERROR(INDEX('Semrush Data'!$A$1:$Z$20000,MATCH(V207,'Semrush Data'!$A$1:$A$20000,0),MATCH("CPC*",'Semrush Data'!$A$1:$Z$1,0)),"")</f>
        <v>0</v>
      </c>
      <c r="Z207" s="21" t="s">
        <v>2815</v>
      </c>
      <c r="AA207" s="21" t="s">
        <v>2816</v>
      </c>
      <c r="AB207" s="21" t="s">
        <v>2817</v>
      </c>
      <c r="AC207" s="21" t="s">
        <v>2818</v>
      </c>
      <c r="AD207" s="25" t="n">
        <f aca="false">LEN(AC207)</f>
        <v>57</v>
      </c>
      <c r="AE207" s="21" t="s">
        <v>2819</v>
      </c>
      <c r="AF207" s="25" t="n">
        <f aca="false">LEN(AE207)</f>
        <v>159</v>
      </c>
    </row>
    <row r="208" customFormat="false" ht="15" hidden="false" customHeight="true" outlineLevel="0" collapsed="false">
      <c r="A208" s="21" t="s">
        <v>2820</v>
      </c>
      <c r="B208" s="21" t="s">
        <v>2390</v>
      </c>
      <c r="C208" s="21" t="n">
        <v>48</v>
      </c>
      <c r="D208" s="21" t="s">
        <v>2771</v>
      </c>
      <c r="E208" s="21" t="s">
        <v>2772</v>
      </c>
      <c r="F208" s="21" t="s">
        <v>2393</v>
      </c>
      <c r="G208" s="21" t="s">
        <v>2759</v>
      </c>
      <c r="H208" s="21" t="s">
        <v>2395</v>
      </c>
      <c r="I208" s="21" t="s">
        <v>2821</v>
      </c>
      <c r="J208" s="21" t="s">
        <v>2809</v>
      </c>
      <c r="K208" s="21" t="n">
        <v>20.99</v>
      </c>
      <c r="L208" s="21" t="s">
        <v>2822</v>
      </c>
      <c r="M208" s="21" t="s">
        <v>2823</v>
      </c>
      <c r="N208" s="21" t="s">
        <v>2824</v>
      </c>
      <c r="O208" s="21" t="s">
        <v>2825</v>
      </c>
      <c r="P208" s="21" t="s">
        <v>2826</v>
      </c>
      <c r="Q208" s="22" t="n">
        <f aca="false">IF(L208="","",IFERROR(INDEX('Semrush Data'!$A$1:$Z$20000,MATCH(L208,'Semrush Data'!$A$1:$A$20000,0),MATCH("Volume",'Semrush Data'!$A$1:$Z$1,0)),""))</f>
        <v>20</v>
      </c>
      <c r="R208" s="22" t="n">
        <f aca="false">IF(M208="","",IFERROR(INDEX('Semrush Data'!$A$1:$Z$20000,MATCH(M208,'Semrush Data'!$A$1:$A$20000,0),MATCH("Volume",'Semrush Data'!$A$1:$Z$1,0)),""))</f>
        <v>0</v>
      </c>
      <c r="S208" s="22" t="str">
        <f aca="false">IF(N208="","",IFERROR(INDEX('Semrush Data'!$A$1:$Z$20000,MATCH(N208,'Semrush Data'!$A$1:$A$20000,0),MATCH("Volume",'Semrush Data'!$A$1:$Z$1,0)),""))</f>
        <v/>
      </c>
      <c r="T208" s="22" t="str">
        <f aca="false">IF(O208="","",IFERROR(INDEX('Semrush Data'!$A$1:$Z$20000,MATCH(O208,'Semrush Data'!$A$1:$A$20000,0),MATCH("Volume",'Semrush Data'!$A$1:$Z$1,0)),""))</f>
        <v/>
      </c>
      <c r="U208" s="22" t="str">
        <f aca="false">IF(P208="","",IFERROR(INDEX('Semrush Data'!$A$1:$Z$20000,MATCH(P208,'Semrush Data'!$A$1:$A$20000,0),MATCH("Volume",'Semrush Data'!$A$1:$Z$1,0)),""))</f>
        <v/>
      </c>
      <c r="V208" s="23" t="str">
        <f aca="false">IF(COUNT(Q208:U208)=0,L208,IF(MAX(Q208:U208)=0,L208,INDEX(L208:P208,MATCH(MAX(Q208:U208),Q208:U208,0))))</f>
        <v>antonio banderas her secret temptation</v>
      </c>
      <c r="W208" s="22" t="n">
        <f aca="false">IFERROR(INDEX('Semrush Data'!$A$1:$Z$20000,MATCH(V208,'Semrush Data'!$A$1:$A$20000,0),MATCH("Volume",'Semrush Data'!$A$1:$Z$1,0)),"")</f>
        <v>20</v>
      </c>
      <c r="X208" s="22" t="n">
        <f aca="false">IFERROR(INDEX('Semrush Data'!$A$1:$Z$20000,MATCH(V208,'Semrush Data'!$A$1:$A$20000,0),MATCH("Keyword Difficulty*",'Semrush Data'!$A$1:$Z$1,0)),"")</f>
        <v>9</v>
      </c>
      <c r="Y208" s="24" t="n">
        <f aca="false">IFERROR(INDEX('Semrush Data'!$A$1:$Z$20000,MATCH(V208,'Semrush Data'!$A$1:$A$20000,0),MATCH("CPC*",'Semrush Data'!$A$1:$Z$1,0)),"")</f>
        <v>0</v>
      </c>
      <c r="Z208" s="21" t="s">
        <v>2815</v>
      </c>
      <c r="AA208" s="21" t="s">
        <v>2827</v>
      </c>
      <c r="AB208" s="21" t="s">
        <v>2828</v>
      </c>
      <c r="AC208" s="21" t="s">
        <v>2829</v>
      </c>
      <c r="AD208" s="25" t="n">
        <f aca="false">LEN(AC208)</f>
        <v>57</v>
      </c>
      <c r="AE208" s="21" t="s">
        <v>2830</v>
      </c>
      <c r="AF208" s="25" t="n">
        <f aca="false">LEN(AE208)</f>
        <v>157</v>
      </c>
    </row>
    <row r="209" customFormat="false" ht="15" hidden="false" customHeight="true" outlineLevel="0" collapsed="false">
      <c r="A209" s="21" t="s">
        <v>2831</v>
      </c>
      <c r="B209" s="21" t="s">
        <v>2390</v>
      </c>
      <c r="C209" s="21" t="n">
        <v>49</v>
      </c>
      <c r="D209" s="21" t="s">
        <v>2771</v>
      </c>
      <c r="E209" s="21" t="s">
        <v>2772</v>
      </c>
      <c r="F209" s="21" t="s">
        <v>2393</v>
      </c>
      <c r="G209" s="21" t="s">
        <v>2759</v>
      </c>
      <c r="H209" s="21" t="s">
        <v>2832</v>
      </c>
      <c r="I209" s="21" t="s">
        <v>2833</v>
      </c>
      <c r="J209" s="21" t="s">
        <v>1409</v>
      </c>
      <c r="K209" s="21" t="n">
        <v>16.99</v>
      </c>
      <c r="L209" s="21" t="s">
        <v>2834</v>
      </c>
      <c r="M209" s="21" t="s">
        <v>2835</v>
      </c>
      <c r="N209" s="21" t="s">
        <v>2836</v>
      </c>
      <c r="O209" s="21" t="s">
        <v>2837</v>
      </c>
      <c r="P209" s="21" t="s">
        <v>2838</v>
      </c>
      <c r="Q209" s="22" t="n">
        <f aca="false">IF(L209="","",IFERROR(INDEX('Semrush Data'!$A$1:$Z$20000,MATCH(L209,'Semrush Data'!$A$1:$A$20000,0),MATCH("Volume",'Semrush Data'!$A$1:$Z$1,0)),""))</f>
        <v>20</v>
      </c>
      <c r="R209" s="22" t="n">
        <f aca="false">IF(M209="","",IFERROR(INDEX('Semrush Data'!$A$1:$Z$20000,MATCH(M209,'Semrush Data'!$A$1:$A$20000,0),MATCH("Volume",'Semrush Data'!$A$1:$Z$1,0)),""))</f>
        <v>0</v>
      </c>
      <c r="S209" s="22" t="str">
        <f aca="false">IF(N209="","",IFERROR(INDEX('Semrush Data'!$A$1:$Z$20000,MATCH(N209,'Semrush Data'!$A$1:$A$20000,0),MATCH("Volume",'Semrush Data'!$A$1:$Z$1,0)),""))</f>
        <v/>
      </c>
      <c r="T209" s="22" t="str">
        <f aca="false">IF(O209="","",IFERROR(INDEX('Semrush Data'!$A$1:$Z$20000,MATCH(O209,'Semrush Data'!$A$1:$A$20000,0),MATCH("Volume",'Semrush Data'!$A$1:$Z$1,0)),""))</f>
        <v/>
      </c>
      <c r="U209" s="22" t="str">
        <f aca="false">IF(P209="","",IFERROR(INDEX('Semrush Data'!$A$1:$Z$20000,MATCH(P209,'Semrush Data'!$A$1:$A$20000,0),MATCH("Volume",'Semrush Data'!$A$1:$Z$1,0)),""))</f>
        <v/>
      </c>
      <c r="V209" s="23" t="str">
        <f aca="false">IF(COUNT(Q209:U209)=0,L209,IF(MAX(Q209:U209)=0,L209,INDEX(L209:P209,MATCH(MAX(Q209:U209),Q209:U209,0))))</f>
        <v>antonio banderas power of seduction</v>
      </c>
      <c r="W209" s="22" t="n">
        <f aca="false">IFERROR(INDEX('Semrush Data'!$A$1:$Z$20000,MATCH(V209,'Semrush Data'!$A$1:$A$20000,0),MATCH("Volume",'Semrush Data'!$A$1:$Z$1,0)),"")</f>
        <v>20</v>
      </c>
      <c r="X209" s="22" t="n">
        <f aca="false">IFERROR(INDEX('Semrush Data'!$A$1:$Z$20000,MATCH(V209,'Semrush Data'!$A$1:$A$20000,0),MATCH("Keyword Difficulty*",'Semrush Data'!$A$1:$Z$1,0)),"")</f>
        <v>9</v>
      </c>
      <c r="Y209" s="24" t="n">
        <f aca="false">IFERROR(INDEX('Semrush Data'!$A$1:$Z$20000,MATCH(V209,'Semrush Data'!$A$1:$A$20000,0),MATCH("CPC*",'Semrush Data'!$A$1:$Z$1,0)),"")</f>
        <v>0</v>
      </c>
      <c r="Z209" s="21" t="s">
        <v>2839</v>
      </c>
      <c r="AA209" s="21" t="s">
        <v>2840</v>
      </c>
      <c r="AB209" s="21" t="s">
        <v>2841</v>
      </c>
      <c r="AC209" s="21" t="s">
        <v>2842</v>
      </c>
      <c r="AD209" s="25" t="n">
        <f aca="false">LEN(AC209)</f>
        <v>58</v>
      </c>
      <c r="AE209" s="21" t="s">
        <v>2843</v>
      </c>
      <c r="AF209" s="25" t="n">
        <f aca="false">LEN(AE209)</f>
        <v>159</v>
      </c>
    </row>
    <row r="210" customFormat="false" ht="15" hidden="false" customHeight="true" outlineLevel="0" collapsed="false">
      <c r="A210" s="21" t="s">
        <v>2844</v>
      </c>
      <c r="B210" s="21" t="s">
        <v>2390</v>
      </c>
      <c r="C210" s="21" t="n">
        <v>50</v>
      </c>
      <c r="D210" s="21" t="s">
        <v>2845</v>
      </c>
      <c r="E210" s="21"/>
      <c r="F210" s="21" t="s">
        <v>2393</v>
      </c>
      <c r="G210" s="21" t="s">
        <v>2394</v>
      </c>
      <c r="H210" s="21" t="s">
        <v>2395</v>
      </c>
      <c r="I210" s="21" t="s">
        <v>2846</v>
      </c>
      <c r="J210" s="21" t="s">
        <v>1935</v>
      </c>
      <c r="K210" s="21" t="n">
        <v>43.99</v>
      </c>
      <c r="L210" s="21" t="s">
        <v>2847</v>
      </c>
      <c r="M210" s="21" t="s">
        <v>2848</v>
      </c>
      <c r="N210" s="21" t="s">
        <v>2849</v>
      </c>
      <c r="O210" s="21" t="s">
        <v>2850</v>
      </c>
      <c r="P210" s="21" t="s">
        <v>2851</v>
      </c>
      <c r="Q210" s="22" t="n">
        <f aca="false">IF(L210="","",IFERROR(INDEX('Semrush Data'!$A$1:$Z$20000,MATCH(L210,'Semrush Data'!$A$1:$A$20000,0),MATCH("Volume",'Semrush Data'!$A$1:$Z$1,0)),""))</f>
        <v>30</v>
      </c>
      <c r="R210" s="22" t="n">
        <f aca="false">IF(M210="","",IFERROR(INDEX('Semrush Data'!$A$1:$Z$20000,MATCH(M210,'Semrush Data'!$A$1:$A$20000,0),MATCH("Volume",'Semrush Data'!$A$1:$Z$1,0)),""))</f>
        <v>30</v>
      </c>
      <c r="S210" s="22" t="str">
        <f aca="false">IF(N210="","",IFERROR(INDEX('Semrush Data'!$A$1:$Z$20000,MATCH(N210,'Semrush Data'!$A$1:$A$20000,0),MATCH("Volume",'Semrush Data'!$A$1:$Z$1,0)),""))</f>
        <v/>
      </c>
      <c r="T210" s="22" t="str">
        <f aca="false">IF(O210="","",IFERROR(INDEX('Semrush Data'!$A$1:$Z$20000,MATCH(O210,'Semrush Data'!$A$1:$A$20000,0),MATCH("Volume",'Semrush Data'!$A$1:$Z$1,0)),""))</f>
        <v/>
      </c>
      <c r="U210" s="22" t="str">
        <f aca="false">IF(P210="","",IFERROR(INDEX('Semrush Data'!$A$1:$Z$20000,MATCH(P210,'Semrush Data'!$A$1:$A$20000,0),MATCH("Volume",'Semrush Data'!$A$1:$Z$1,0)),""))</f>
        <v/>
      </c>
      <c r="V210" s="23" t="str">
        <f aca="false">IF(COUNT(Q210:U210)=0,L210,IF(MAX(Q210:U210)=0,L210,INDEX(L210:P210,MATCH(MAX(Q210:U210),Q210:U210,0))))</f>
        <v>ariana grande thank u, next</v>
      </c>
      <c r="W210" s="22" t="n">
        <f aca="false">IFERROR(INDEX('Semrush Data'!$A$1:$Z$20000,MATCH(V210,'Semrush Data'!$A$1:$A$20000,0),MATCH("Volume",'Semrush Data'!$A$1:$Z$1,0)),"")</f>
        <v>30</v>
      </c>
      <c r="X210" s="22" t="n">
        <f aca="false">IFERROR(INDEX('Semrush Data'!$A$1:$Z$20000,MATCH(V210,'Semrush Data'!$A$1:$A$20000,0),MATCH("Keyword Difficulty*",'Semrush Data'!$A$1:$Z$1,0)),"")</f>
        <v>47</v>
      </c>
      <c r="Y210" s="24" t="n">
        <f aca="false">IFERROR(INDEX('Semrush Data'!$A$1:$Z$20000,MATCH(V210,'Semrush Data'!$A$1:$A$20000,0),MATCH("CPC*",'Semrush Data'!$A$1:$Z$1,0)),"")</f>
        <v>0</v>
      </c>
      <c r="Z210" s="21" t="s">
        <v>2852</v>
      </c>
      <c r="AA210" s="21" t="s">
        <v>2853</v>
      </c>
      <c r="AB210" s="21" t="s">
        <v>2854</v>
      </c>
      <c r="AC210" s="21" t="s">
        <v>2855</v>
      </c>
      <c r="AD210" s="25" t="n">
        <f aca="false">LEN(AC210)</f>
        <v>55</v>
      </c>
      <c r="AE210" s="21" t="s">
        <v>2856</v>
      </c>
      <c r="AF210" s="25" t="n">
        <f aca="false">LEN(AE210)</f>
        <v>157</v>
      </c>
    </row>
    <row r="211" customFormat="false" ht="15" hidden="false" customHeight="true" outlineLevel="0" collapsed="false">
      <c r="A211" s="21" t="s">
        <v>2857</v>
      </c>
      <c r="B211" s="21" t="s">
        <v>2390</v>
      </c>
      <c r="C211" s="21" t="n">
        <v>51</v>
      </c>
      <c r="D211" s="21" t="s">
        <v>2858</v>
      </c>
      <c r="E211" s="21"/>
      <c r="F211" s="21" t="s">
        <v>2393</v>
      </c>
      <c r="G211" s="21" t="s">
        <v>2394</v>
      </c>
      <c r="H211" s="21" t="s">
        <v>2549</v>
      </c>
      <c r="I211" s="21" t="s">
        <v>2859</v>
      </c>
      <c r="J211" s="21" t="s">
        <v>1935</v>
      </c>
      <c r="K211" s="21" t="n">
        <v>22.99</v>
      </c>
      <c r="L211" s="21" t="s">
        <v>2860</v>
      </c>
      <c r="M211" s="21" t="s">
        <v>2861</v>
      </c>
      <c r="N211" s="21" t="s">
        <v>2862</v>
      </c>
      <c r="O211" s="21" t="s">
        <v>2863</v>
      </c>
      <c r="P211" s="21" t="s">
        <v>2864</v>
      </c>
      <c r="Q211" s="22" t="n">
        <f aca="false">IF(L211="","",IFERROR(INDEX('Semrush Data'!$A$1:$Z$20000,MATCH(L211,'Semrush Data'!$A$1:$A$20000,0),MATCH("Volume",'Semrush Data'!$A$1:$Z$1,0)),""))</f>
        <v>90</v>
      </c>
      <c r="R211" s="22" t="n">
        <f aca="false">IF(M211="","",IFERROR(INDEX('Semrush Data'!$A$1:$Z$20000,MATCH(M211,'Semrush Data'!$A$1:$A$20000,0),MATCH("Volume",'Semrush Data'!$A$1:$Z$1,0)),""))</f>
        <v>0</v>
      </c>
      <c r="S211" s="22" t="str">
        <f aca="false">IF(N211="","",IFERROR(INDEX('Semrush Data'!$A$1:$Z$20000,MATCH(N211,'Semrush Data'!$A$1:$A$20000,0),MATCH("Volume",'Semrush Data'!$A$1:$Z$1,0)),""))</f>
        <v/>
      </c>
      <c r="T211" s="22" t="str">
        <f aca="false">IF(O211="","",IFERROR(INDEX('Semrush Data'!$A$1:$Z$20000,MATCH(O211,'Semrush Data'!$A$1:$A$20000,0),MATCH("Volume",'Semrush Data'!$A$1:$Z$1,0)),""))</f>
        <v/>
      </c>
      <c r="U211" s="22" t="n">
        <f aca="false">IF(P211="","",IFERROR(INDEX('Semrush Data'!$A$1:$Z$20000,MATCH(P211,'Semrush Data'!$A$1:$A$20000,0),MATCH("Volume",'Semrush Data'!$A$1:$Z$1,0)),""))</f>
        <v>20</v>
      </c>
      <c r="V211" s="23" t="str">
        <f aca="false">IF(COUNT(Q211:U211)=0,L211,IF(MAX(Q211:U211)=0,L211,INDEX(L211:P211,MATCH(MAX(Q211:U211),Q211:U211,0))))</f>
        <v>armaf hunter</v>
      </c>
      <c r="W211" s="22" t="n">
        <f aca="false">IFERROR(INDEX('Semrush Data'!$A$1:$Z$20000,MATCH(V211,'Semrush Data'!$A$1:$A$20000,0),MATCH("Volume",'Semrush Data'!$A$1:$Z$1,0)),"")</f>
        <v>90</v>
      </c>
      <c r="X211" s="22" t="n">
        <f aca="false">IFERROR(INDEX('Semrush Data'!$A$1:$Z$20000,MATCH(V211,'Semrush Data'!$A$1:$A$20000,0),MATCH("Keyword Difficulty*",'Semrush Data'!$A$1:$Z$1,0)),"")</f>
        <v>10</v>
      </c>
      <c r="Y211" s="24" t="n">
        <f aca="false">IFERROR(INDEX('Semrush Data'!$A$1:$Z$20000,MATCH(V211,'Semrush Data'!$A$1:$A$20000,0),MATCH("CPC*",'Semrush Data'!$A$1:$Z$1,0)),"")</f>
        <v>0</v>
      </c>
      <c r="Z211" s="21" t="s">
        <v>2865</v>
      </c>
      <c r="AA211" s="21" t="s">
        <v>2866</v>
      </c>
      <c r="AB211" s="21" t="s">
        <v>2867</v>
      </c>
      <c r="AC211" s="21" t="s">
        <v>2868</v>
      </c>
      <c r="AD211" s="25" t="n">
        <f aca="false">LEN(AC211)</f>
        <v>53</v>
      </c>
      <c r="AE211" s="21" t="s">
        <v>2869</v>
      </c>
      <c r="AF211" s="25" t="n">
        <f aca="false">LEN(AE211)</f>
        <v>145</v>
      </c>
    </row>
    <row r="212" customFormat="false" ht="15" hidden="false" customHeight="true" outlineLevel="0" collapsed="false">
      <c r="A212" s="21" t="s">
        <v>2870</v>
      </c>
      <c r="B212" s="21" t="s">
        <v>2390</v>
      </c>
      <c r="C212" s="21" t="n">
        <v>52</v>
      </c>
      <c r="D212" s="21" t="s">
        <v>2871</v>
      </c>
      <c r="E212" s="21" t="s">
        <v>2872</v>
      </c>
      <c r="F212" s="21" t="s">
        <v>2393</v>
      </c>
      <c r="G212" s="21" t="s">
        <v>346</v>
      </c>
      <c r="H212" s="21" t="s">
        <v>2873</v>
      </c>
      <c r="I212" s="21" t="s">
        <v>2874</v>
      </c>
      <c r="J212" s="21" t="s">
        <v>2875</v>
      </c>
      <c r="K212" s="21" t="n">
        <v>22.99</v>
      </c>
      <c r="L212" s="21" t="s">
        <v>2876</v>
      </c>
      <c r="M212" s="21" t="s">
        <v>2877</v>
      </c>
      <c r="N212" s="21" t="s">
        <v>2878</v>
      </c>
      <c r="O212" s="21" t="s">
        <v>2879</v>
      </c>
      <c r="P212" s="21"/>
      <c r="Q212" s="22" t="n">
        <f aca="false">IF(L212="","",IFERROR(INDEX('Semrush Data'!$A$1:$Z$20000,MATCH(L212,'Semrush Data'!$A$1:$A$20000,0),MATCH("Volume",'Semrush Data'!$A$1:$Z$1,0)),""))</f>
        <v>0</v>
      </c>
      <c r="R212" s="22" t="n">
        <f aca="false">IF(M212="","",IFERROR(INDEX('Semrush Data'!$A$1:$Z$20000,MATCH(M212,'Semrush Data'!$A$1:$A$20000,0),MATCH("Volume",'Semrush Data'!$A$1:$Z$1,0)),""))</f>
        <v>0</v>
      </c>
      <c r="S212" s="22" t="str">
        <f aca="false">IF(N212="","",IFERROR(INDEX('Semrush Data'!$A$1:$Z$20000,MATCH(N212,'Semrush Data'!$A$1:$A$20000,0),MATCH("Volume",'Semrush Data'!$A$1:$Z$1,0)),""))</f>
        <v/>
      </c>
      <c r="T212" s="22" t="str">
        <f aca="false">IF(O212="","",IFERROR(INDEX('Semrush Data'!$A$1:$Z$20000,MATCH(O212,'Semrush Data'!$A$1:$A$20000,0),MATCH("Volume",'Semrush Data'!$A$1:$Z$1,0)),""))</f>
        <v/>
      </c>
      <c r="U212" s="22" t="str">
        <f aca="false">IF(P212="","",IFERROR(INDEX('Semrush Data'!$A$1:$Z$20000,MATCH(P212,'Semrush Data'!$A$1:$A$20000,0),MATCH("Volume",'Semrush Data'!$A$1:$Z$1,0)),""))</f>
        <v/>
      </c>
      <c r="V212" s="23" t="str">
        <f aca="false">IF(COUNT(Q212:U212)=0,L212,IF(MAX(Q212:U212)=0,L212,INDEX(L212:P212,MATCH(MAX(Q212:U212),Q212:U212,0))))</f>
        <v>bentley azzaro pour homme deodorant</v>
      </c>
      <c r="W212" s="22" t="n">
        <f aca="false">IFERROR(INDEX('Semrush Data'!$A$1:$Z$20000,MATCH(V212,'Semrush Data'!$A$1:$A$20000,0),MATCH("Volume",'Semrush Data'!$A$1:$Z$1,0)),"")</f>
        <v>0</v>
      </c>
      <c r="X212" s="22" t="n">
        <f aca="false">IFERROR(INDEX('Semrush Data'!$A$1:$Z$20000,MATCH(V212,'Semrush Data'!$A$1:$A$20000,0),MATCH("Keyword Difficulty*",'Semrush Data'!$A$1:$Z$1,0)),"")</f>
        <v>13</v>
      </c>
      <c r="Y212" s="24" t="n">
        <f aca="false">IFERROR(INDEX('Semrush Data'!$A$1:$Z$20000,MATCH(V212,'Semrush Data'!$A$1:$A$20000,0),MATCH("CPC*",'Semrush Data'!$A$1:$Z$1,0)),"")</f>
        <v>0</v>
      </c>
      <c r="Z212" s="21" t="s">
        <v>2880</v>
      </c>
      <c r="AA212" s="21"/>
      <c r="AB212" s="21" t="s">
        <v>2881</v>
      </c>
      <c r="AC212" s="21" t="s">
        <v>2882</v>
      </c>
      <c r="AD212" s="25" t="n">
        <f aca="false">LEN(AC212)</f>
        <v>60</v>
      </c>
      <c r="AE212" s="21" t="s">
        <v>2883</v>
      </c>
      <c r="AF212" s="25" t="n">
        <f aca="false">LEN(AE212)</f>
        <v>152</v>
      </c>
    </row>
    <row r="213" customFormat="false" ht="15" hidden="false" customHeight="true" outlineLevel="0" collapsed="false">
      <c r="A213" s="21" t="s">
        <v>2884</v>
      </c>
      <c r="B213" s="21" t="s">
        <v>2390</v>
      </c>
      <c r="C213" s="21" t="n">
        <v>53</v>
      </c>
      <c r="D213" s="21" t="s">
        <v>2871</v>
      </c>
      <c r="E213" s="21"/>
      <c r="F213" s="21" t="s">
        <v>2393</v>
      </c>
      <c r="G213" s="21" t="s">
        <v>2394</v>
      </c>
      <c r="H213" s="21" t="s">
        <v>2549</v>
      </c>
      <c r="I213" s="21" t="s">
        <v>2885</v>
      </c>
      <c r="J213" s="21" t="s">
        <v>1935</v>
      </c>
      <c r="K213" s="21" t="n">
        <v>40.99</v>
      </c>
      <c r="L213" s="21" t="s">
        <v>2886</v>
      </c>
      <c r="M213" s="21" t="s">
        <v>2887</v>
      </c>
      <c r="N213" s="21" t="s">
        <v>2888</v>
      </c>
      <c r="O213" s="21" t="s">
        <v>2889</v>
      </c>
      <c r="P213" s="21" t="s">
        <v>2890</v>
      </c>
      <c r="Q213" s="22" t="n">
        <f aca="false">IF(L213="","",IFERROR(INDEX('Semrush Data'!$A$1:$Z$20000,MATCH(L213,'Semrush Data'!$A$1:$A$20000,0),MATCH("Volume",'Semrush Data'!$A$1:$Z$1,0)),""))</f>
        <v>50</v>
      </c>
      <c r="R213" s="22" t="n">
        <f aca="false">IF(M213="","",IFERROR(INDEX('Semrush Data'!$A$1:$Z$20000,MATCH(M213,'Semrush Data'!$A$1:$A$20000,0),MATCH("Volume",'Semrush Data'!$A$1:$Z$1,0)),""))</f>
        <v>0</v>
      </c>
      <c r="S213" s="22" t="str">
        <f aca="false">IF(N213="","",IFERROR(INDEX('Semrush Data'!$A$1:$Z$20000,MATCH(N213,'Semrush Data'!$A$1:$A$20000,0),MATCH("Volume",'Semrush Data'!$A$1:$Z$1,0)),""))</f>
        <v/>
      </c>
      <c r="T213" s="22" t="str">
        <f aca="false">IF(O213="","",IFERROR(INDEX('Semrush Data'!$A$1:$Z$20000,MATCH(O213,'Semrush Data'!$A$1:$A$20000,0),MATCH("Volume",'Semrush Data'!$A$1:$Z$1,0)),""))</f>
        <v/>
      </c>
      <c r="U213" s="22" t="n">
        <f aca="false">IF(P213="","",IFERROR(INDEX('Semrush Data'!$A$1:$Z$20000,MATCH(P213,'Semrush Data'!$A$1:$A$20000,0),MATCH("Volume",'Semrush Data'!$A$1:$Z$1,0)),""))</f>
        <v>20</v>
      </c>
      <c r="V213" s="23" t="str">
        <f aca="false">IF(COUNT(Q213:U213)=0,L213,IF(MAX(Q213:U213)=0,L213,INDEX(L213:P213,MATCH(MAX(Q213:U213),Q213:U213,0))))</f>
        <v>bentley become</v>
      </c>
      <c r="W213" s="22" t="n">
        <f aca="false">IFERROR(INDEX('Semrush Data'!$A$1:$Z$20000,MATCH(V213,'Semrush Data'!$A$1:$A$20000,0),MATCH("Volume",'Semrush Data'!$A$1:$Z$1,0)),"")</f>
        <v>50</v>
      </c>
      <c r="X213" s="22" t="n">
        <f aca="false">IFERROR(INDEX('Semrush Data'!$A$1:$Z$20000,MATCH(V213,'Semrush Data'!$A$1:$A$20000,0),MATCH("Keyword Difficulty*",'Semrush Data'!$A$1:$Z$1,0)),"")</f>
        <v>15</v>
      </c>
      <c r="Y213" s="24" t="n">
        <f aca="false">IFERROR(INDEX('Semrush Data'!$A$1:$Z$20000,MATCH(V213,'Semrush Data'!$A$1:$A$20000,0),MATCH("CPC*",'Semrush Data'!$A$1:$Z$1,0)),"")</f>
        <v>0</v>
      </c>
      <c r="Z213" s="21" t="s">
        <v>2891</v>
      </c>
      <c r="AA213" s="21" t="s">
        <v>2892</v>
      </c>
      <c r="AB213" s="21" t="s">
        <v>2893</v>
      </c>
      <c r="AC213" s="21" t="s">
        <v>2894</v>
      </c>
      <c r="AD213" s="25" t="n">
        <f aca="false">LEN(AC213)</f>
        <v>55</v>
      </c>
      <c r="AE213" s="21" t="s">
        <v>2895</v>
      </c>
      <c r="AF213" s="25" t="n">
        <f aca="false">LEN(AE213)</f>
        <v>147</v>
      </c>
    </row>
    <row r="214" customFormat="false" ht="15" hidden="false" customHeight="true" outlineLevel="0" collapsed="false">
      <c r="A214" s="21" t="s">
        <v>2896</v>
      </c>
      <c r="B214" s="21" t="s">
        <v>2390</v>
      </c>
      <c r="C214" s="21" t="n">
        <v>54</v>
      </c>
      <c r="D214" s="21" t="s">
        <v>2871</v>
      </c>
      <c r="E214" s="21"/>
      <c r="F214" s="21" t="s">
        <v>2393</v>
      </c>
      <c r="G214" s="21" t="s">
        <v>2394</v>
      </c>
      <c r="H214" s="21" t="s">
        <v>2549</v>
      </c>
      <c r="I214" s="21" t="s">
        <v>2897</v>
      </c>
      <c r="J214" s="21" t="s">
        <v>1935</v>
      </c>
      <c r="K214" s="21" t="n">
        <v>31.99</v>
      </c>
      <c r="L214" s="21" t="s">
        <v>2898</v>
      </c>
      <c r="M214" s="21" t="s">
        <v>2899</v>
      </c>
      <c r="N214" s="21" t="s">
        <v>2900</v>
      </c>
      <c r="O214" s="21" t="s">
        <v>2901</v>
      </c>
      <c r="P214" s="21" t="s">
        <v>2902</v>
      </c>
      <c r="Q214" s="22" t="n">
        <f aca="false">IF(L214="","",IFERROR(INDEX('Semrush Data'!$A$1:$Z$20000,MATCH(L214,'Semrush Data'!$A$1:$A$20000,0),MATCH("Volume",'Semrush Data'!$A$1:$Z$1,0)),""))</f>
        <v>140</v>
      </c>
      <c r="R214" s="22" t="n">
        <f aca="false">IF(M214="","",IFERROR(INDEX('Semrush Data'!$A$1:$Z$20000,MATCH(M214,'Semrush Data'!$A$1:$A$20000,0),MATCH("Volume",'Semrush Data'!$A$1:$Z$1,0)),""))</f>
        <v>0</v>
      </c>
      <c r="S214" s="22" t="str">
        <f aca="false">IF(N214="","",IFERROR(INDEX('Semrush Data'!$A$1:$Z$20000,MATCH(N214,'Semrush Data'!$A$1:$A$20000,0),MATCH("Volume",'Semrush Data'!$A$1:$Z$1,0)),""))</f>
        <v/>
      </c>
      <c r="T214" s="22" t="str">
        <f aca="false">IF(O214="","",IFERROR(INDEX('Semrush Data'!$A$1:$Z$20000,MATCH(O214,'Semrush Data'!$A$1:$A$20000,0),MATCH("Volume",'Semrush Data'!$A$1:$Z$1,0)),""))</f>
        <v/>
      </c>
      <c r="U214" s="22" t="n">
        <f aca="false">IF(P214="","",IFERROR(INDEX('Semrush Data'!$A$1:$Z$20000,MATCH(P214,'Semrush Data'!$A$1:$A$20000,0),MATCH("Volume",'Semrush Data'!$A$1:$Z$1,0)),""))</f>
        <v>20</v>
      </c>
      <c r="V214" s="23" t="str">
        <f aca="false">IF(COUNT(Q214:U214)=0,L214,IF(MAX(Q214:U214)=0,L214,INDEX(L214:P214,MATCH(MAX(Q214:U214),Q214:U214,0))))</f>
        <v>bentley absolute</v>
      </c>
      <c r="W214" s="22" t="n">
        <f aca="false">IFERROR(INDEX('Semrush Data'!$A$1:$Z$20000,MATCH(V214,'Semrush Data'!$A$1:$A$20000,0),MATCH("Volume",'Semrush Data'!$A$1:$Z$1,0)),"")</f>
        <v>140</v>
      </c>
      <c r="X214" s="22" t="n">
        <f aca="false">IFERROR(INDEX('Semrush Data'!$A$1:$Z$20000,MATCH(V214,'Semrush Data'!$A$1:$A$20000,0),MATCH("Keyword Difficulty*",'Semrush Data'!$A$1:$Z$1,0)),"")</f>
        <v>29</v>
      </c>
      <c r="Y214" s="24" t="n">
        <f aca="false">IFERROR(INDEX('Semrush Data'!$A$1:$Z$20000,MATCH(V214,'Semrush Data'!$A$1:$A$20000,0),MATCH("CPC*",'Semrush Data'!$A$1:$Z$1,0)),"")</f>
        <v>0</v>
      </c>
      <c r="Z214" s="21" t="s">
        <v>2891</v>
      </c>
      <c r="AA214" s="21" t="s">
        <v>2903</v>
      </c>
      <c r="AB214" s="21" t="s">
        <v>2904</v>
      </c>
      <c r="AC214" s="21" t="s">
        <v>2905</v>
      </c>
      <c r="AD214" s="25" t="n">
        <f aca="false">LEN(AC214)</f>
        <v>52</v>
      </c>
      <c r="AE214" s="21" t="s">
        <v>2906</v>
      </c>
      <c r="AF214" s="25" t="n">
        <f aca="false">LEN(AE214)</f>
        <v>157</v>
      </c>
    </row>
    <row r="215" customFormat="false" ht="15" hidden="false" customHeight="true" outlineLevel="0" collapsed="false">
      <c r="A215" s="21" t="s">
        <v>2907</v>
      </c>
      <c r="B215" s="21" t="s">
        <v>2390</v>
      </c>
      <c r="C215" s="21" t="n">
        <v>55</v>
      </c>
      <c r="D215" s="21" t="s">
        <v>2871</v>
      </c>
      <c r="E215" s="21"/>
      <c r="F215" s="21" t="s">
        <v>2393</v>
      </c>
      <c r="G215" s="21" t="s">
        <v>2394</v>
      </c>
      <c r="H215" s="21" t="s">
        <v>2549</v>
      </c>
      <c r="I215" s="21" t="s">
        <v>2908</v>
      </c>
      <c r="J215" s="21" t="s">
        <v>1935</v>
      </c>
      <c r="K215" s="21" t="n">
        <v>32.99</v>
      </c>
      <c r="L215" s="21" t="s">
        <v>2909</v>
      </c>
      <c r="M215" s="21" t="s">
        <v>2910</v>
      </c>
      <c r="N215" s="21" t="s">
        <v>2911</v>
      </c>
      <c r="O215" s="21" t="s">
        <v>2912</v>
      </c>
      <c r="P215" s="21" t="s">
        <v>2913</v>
      </c>
      <c r="Q215" s="22" t="n">
        <f aca="false">IF(L215="","",IFERROR(INDEX('Semrush Data'!$A$1:$Z$20000,MATCH(L215,'Semrush Data'!$A$1:$A$20000,0),MATCH("Volume",'Semrush Data'!$A$1:$Z$1,0)),""))</f>
        <v>260</v>
      </c>
      <c r="R215" s="22" t="n">
        <f aca="false">IF(M215="","",IFERROR(INDEX('Semrush Data'!$A$1:$Z$20000,MATCH(M215,'Semrush Data'!$A$1:$A$20000,0),MATCH("Volume",'Semrush Data'!$A$1:$Z$1,0)),""))</f>
        <v>20</v>
      </c>
      <c r="S215" s="22" t="str">
        <f aca="false">IF(N215="","",IFERROR(INDEX('Semrush Data'!$A$1:$Z$20000,MATCH(N215,'Semrush Data'!$A$1:$A$20000,0),MATCH("Volume",'Semrush Data'!$A$1:$Z$1,0)),""))</f>
        <v/>
      </c>
      <c r="T215" s="22" t="str">
        <f aca="false">IF(O215="","",IFERROR(INDEX('Semrush Data'!$A$1:$Z$20000,MATCH(O215,'Semrush Data'!$A$1:$A$20000,0),MATCH("Volume",'Semrush Data'!$A$1:$Z$1,0)),""))</f>
        <v/>
      </c>
      <c r="U215" s="22" t="n">
        <f aca="false">IF(P215="","",IFERROR(INDEX('Semrush Data'!$A$1:$Z$20000,MATCH(P215,'Semrush Data'!$A$1:$A$20000,0),MATCH("Volume",'Semrush Data'!$A$1:$Z$1,0)),""))</f>
        <v>20</v>
      </c>
      <c r="V215" s="23" t="str">
        <f aca="false">IF(COUNT(Q215:U215)=0,L215,IF(MAX(Q215:U215)=0,L215,INDEX(L215:P215,MATCH(MAX(Q215:U215),Q215:U215,0))))</f>
        <v>bentley silverlake</v>
      </c>
      <c r="W215" s="22" t="n">
        <f aca="false">IFERROR(INDEX('Semrush Data'!$A$1:$Z$20000,MATCH(V215,'Semrush Data'!$A$1:$A$20000,0),MATCH("Volume",'Semrush Data'!$A$1:$Z$1,0)),"")</f>
        <v>260</v>
      </c>
      <c r="X215" s="22" t="n">
        <f aca="false">IFERROR(INDEX('Semrush Data'!$A$1:$Z$20000,MATCH(V215,'Semrush Data'!$A$1:$A$20000,0),MATCH("Keyword Difficulty*",'Semrush Data'!$A$1:$Z$1,0)),"")</f>
        <v>16</v>
      </c>
      <c r="Y215" s="24" t="n">
        <f aca="false">IFERROR(INDEX('Semrush Data'!$A$1:$Z$20000,MATCH(V215,'Semrush Data'!$A$1:$A$20000,0),MATCH("CPC*",'Semrush Data'!$A$1:$Z$1,0)),"")</f>
        <v>0.99</v>
      </c>
      <c r="Z215" s="21" t="s">
        <v>2891</v>
      </c>
      <c r="AA215" s="21" t="s">
        <v>2914</v>
      </c>
      <c r="AB215" s="21" t="s">
        <v>2915</v>
      </c>
      <c r="AC215" s="21" t="s">
        <v>2916</v>
      </c>
      <c r="AD215" s="25" t="n">
        <f aca="false">LEN(AC215)</f>
        <v>54</v>
      </c>
      <c r="AE215" s="21" t="s">
        <v>2917</v>
      </c>
      <c r="AF215" s="25" t="n">
        <f aca="false">LEN(AE215)</f>
        <v>159</v>
      </c>
    </row>
    <row r="216" customFormat="false" ht="15" hidden="false" customHeight="true" outlineLevel="0" collapsed="false">
      <c r="A216" s="21" t="s">
        <v>2918</v>
      </c>
      <c r="B216" s="21" t="s">
        <v>2390</v>
      </c>
      <c r="C216" s="21" t="n">
        <v>56</v>
      </c>
      <c r="D216" s="21" t="s">
        <v>2871</v>
      </c>
      <c r="E216" s="21" t="s">
        <v>2872</v>
      </c>
      <c r="F216" s="21" t="s">
        <v>2393</v>
      </c>
      <c r="G216" s="21" t="s">
        <v>2759</v>
      </c>
      <c r="H216" s="21" t="s">
        <v>2832</v>
      </c>
      <c r="I216" s="21" t="s">
        <v>2919</v>
      </c>
      <c r="J216" s="21" t="s">
        <v>2774</v>
      </c>
      <c r="K216" s="21" t="n">
        <v>33.99</v>
      </c>
      <c r="L216" s="21" t="s">
        <v>2920</v>
      </c>
      <c r="M216" s="21" t="s">
        <v>2921</v>
      </c>
      <c r="N216" s="21" t="s">
        <v>2922</v>
      </c>
      <c r="O216" s="21" t="s">
        <v>2923</v>
      </c>
      <c r="P216" s="21" t="s">
        <v>2924</v>
      </c>
      <c r="Q216" s="22" t="n">
        <f aca="false">IF(L216="","",IFERROR(INDEX('Semrush Data'!$A$1:$Z$20000,MATCH(L216,'Semrush Data'!$A$1:$A$20000,0),MATCH("Volume",'Semrush Data'!$A$1:$Z$1,0)),""))</f>
        <v>0</v>
      </c>
      <c r="R216" s="22" t="n">
        <f aca="false">IF(M216="","",IFERROR(INDEX('Semrush Data'!$A$1:$Z$20000,MATCH(M216,'Semrush Data'!$A$1:$A$20000,0),MATCH("Volume",'Semrush Data'!$A$1:$Z$1,0)),""))</f>
        <v>0</v>
      </c>
      <c r="S216" s="22" t="str">
        <f aca="false">IF(N216="","",IFERROR(INDEX('Semrush Data'!$A$1:$Z$20000,MATCH(N216,'Semrush Data'!$A$1:$A$20000,0),MATCH("Volume",'Semrush Data'!$A$1:$Z$1,0)),""))</f>
        <v/>
      </c>
      <c r="T216" s="22" t="str">
        <f aca="false">IF(O216="","",IFERROR(INDEX('Semrush Data'!$A$1:$Z$20000,MATCH(O216,'Semrush Data'!$A$1:$A$20000,0),MATCH("Volume",'Semrush Data'!$A$1:$Z$1,0)),""))</f>
        <v/>
      </c>
      <c r="U216" s="22" t="str">
        <f aca="false">IF(P216="","",IFERROR(INDEX('Semrush Data'!$A$1:$Z$20000,MATCH(P216,'Semrush Data'!$A$1:$A$20000,0),MATCH("Volume",'Semrush Data'!$A$1:$Z$1,0)),""))</f>
        <v/>
      </c>
      <c r="V216" s="23" t="str">
        <f aca="false">IF(COUNT(Q216:U216)=0,L216,IF(MAX(Q216:U216)=0,L216,INDEX(L216:P216,MATCH(MAX(Q216:U216),Q216:U216,0))))</f>
        <v>bentley azzaro chrome legend</v>
      </c>
      <c r="W216" s="22" t="n">
        <f aca="false">IFERROR(INDEX('Semrush Data'!$A$1:$Z$20000,MATCH(V216,'Semrush Data'!$A$1:$A$20000,0),MATCH("Volume",'Semrush Data'!$A$1:$Z$1,0)),"")</f>
        <v>0</v>
      </c>
      <c r="X216" s="22" t="n">
        <f aca="false">IFERROR(INDEX('Semrush Data'!$A$1:$Z$20000,MATCH(V216,'Semrush Data'!$A$1:$A$20000,0),MATCH("Keyword Difficulty*",'Semrush Data'!$A$1:$Z$1,0)),"")</f>
        <v>23</v>
      </c>
      <c r="Y216" s="24" t="n">
        <f aca="false">IFERROR(INDEX('Semrush Data'!$A$1:$Z$20000,MATCH(V216,'Semrush Data'!$A$1:$A$20000,0),MATCH("CPC*",'Semrush Data'!$A$1:$Z$1,0)),"")</f>
        <v>0</v>
      </c>
      <c r="Z216" s="21" t="s">
        <v>2925</v>
      </c>
      <c r="AA216" s="21"/>
      <c r="AB216" s="21" t="s">
        <v>2926</v>
      </c>
      <c r="AC216" s="21" t="s">
        <v>2927</v>
      </c>
      <c r="AD216" s="25" t="n">
        <f aca="false">LEN(AC216)</f>
        <v>57</v>
      </c>
      <c r="AE216" s="21" t="s">
        <v>2928</v>
      </c>
      <c r="AF216" s="25" t="n">
        <f aca="false">LEN(AE216)</f>
        <v>157</v>
      </c>
    </row>
    <row r="217" customFormat="false" ht="15" hidden="false" customHeight="true" outlineLevel="0" collapsed="false">
      <c r="A217" s="21" t="s">
        <v>2929</v>
      </c>
      <c r="B217" s="21" t="s">
        <v>2390</v>
      </c>
      <c r="C217" s="21" t="n">
        <v>57</v>
      </c>
      <c r="D217" s="21" t="s">
        <v>2871</v>
      </c>
      <c r="E217" s="21" t="s">
        <v>2872</v>
      </c>
      <c r="F217" s="21" t="s">
        <v>2393</v>
      </c>
      <c r="G217" s="21" t="s">
        <v>2759</v>
      </c>
      <c r="H217" s="21" t="s">
        <v>2832</v>
      </c>
      <c r="I217" s="21" t="s">
        <v>2930</v>
      </c>
      <c r="J217" s="21" t="s">
        <v>2435</v>
      </c>
      <c r="K217" s="21" t="n">
        <v>27.99</v>
      </c>
      <c r="L217" s="21" t="s">
        <v>2920</v>
      </c>
      <c r="M217" s="21" t="s">
        <v>2921</v>
      </c>
      <c r="N217" s="21" t="s">
        <v>2922</v>
      </c>
      <c r="O217" s="21" t="s">
        <v>2923</v>
      </c>
      <c r="P217" s="21" t="s">
        <v>2924</v>
      </c>
      <c r="Q217" s="22" t="n">
        <f aca="false">IF(L217="","",IFERROR(INDEX('Semrush Data'!$A$1:$Z$20000,MATCH(L217,'Semrush Data'!$A$1:$A$20000,0),MATCH("Volume",'Semrush Data'!$A$1:$Z$1,0)),""))</f>
        <v>0</v>
      </c>
      <c r="R217" s="22" t="n">
        <f aca="false">IF(M217="","",IFERROR(INDEX('Semrush Data'!$A$1:$Z$20000,MATCH(M217,'Semrush Data'!$A$1:$A$20000,0),MATCH("Volume",'Semrush Data'!$A$1:$Z$1,0)),""))</f>
        <v>0</v>
      </c>
      <c r="S217" s="22" t="str">
        <f aca="false">IF(N217="","",IFERROR(INDEX('Semrush Data'!$A$1:$Z$20000,MATCH(N217,'Semrush Data'!$A$1:$A$20000,0),MATCH("Volume",'Semrush Data'!$A$1:$Z$1,0)),""))</f>
        <v/>
      </c>
      <c r="T217" s="22" t="str">
        <f aca="false">IF(O217="","",IFERROR(INDEX('Semrush Data'!$A$1:$Z$20000,MATCH(O217,'Semrush Data'!$A$1:$A$20000,0),MATCH("Volume",'Semrush Data'!$A$1:$Z$1,0)),""))</f>
        <v/>
      </c>
      <c r="U217" s="22" t="str">
        <f aca="false">IF(P217="","",IFERROR(INDEX('Semrush Data'!$A$1:$Z$20000,MATCH(P217,'Semrush Data'!$A$1:$A$20000,0),MATCH("Volume",'Semrush Data'!$A$1:$Z$1,0)),""))</f>
        <v/>
      </c>
      <c r="V217" s="23" t="str">
        <f aca="false">IF(COUNT(Q217:U217)=0,L217,IF(MAX(Q217:U217)=0,L217,INDEX(L217:P217,MATCH(MAX(Q217:U217),Q217:U217,0))))</f>
        <v>bentley azzaro chrome legend</v>
      </c>
      <c r="W217" s="22" t="n">
        <f aca="false">IFERROR(INDEX('Semrush Data'!$A$1:$Z$20000,MATCH(V217,'Semrush Data'!$A$1:$A$20000,0),MATCH("Volume",'Semrush Data'!$A$1:$Z$1,0)),"")</f>
        <v>0</v>
      </c>
      <c r="X217" s="22" t="n">
        <f aca="false">IFERROR(INDEX('Semrush Data'!$A$1:$Z$20000,MATCH(V217,'Semrush Data'!$A$1:$A$20000,0),MATCH("Keyword Difficulty*",'Semrush Data'!$A$1:$Z$1,0)),"")</f>
        <v>23</v>
      </c>
      <c r="Y217" s="24" t="n">
        <f aca="false">IFERROR(INDEX('Semrush Data'!$A$1:$Z$20000,MATCH(V217,'Semrush Data'!$A$1:$A$20000,0),MATCH("CPC*",'Semrush Data'!$A$1:$Z$1,0)),"")</f>
        <v>0</v>
      </c>
      <c r="Z217" s="21" t="s">
        <v>2925</v>
      </c>
      <c r="AA217" s="21"/>
      <c r="AB217" s="21" t="s">
        <v>2926</v>
      </c>
      <c r="AC217" s="21" t="s">
        <v>2931</v>
      </c>
      <c r="AD217" s="25" t="n">
        <f aca="false">LEN(AC217)</f>
        <v>56</v>
      </c>
      <c r="AE217" s="21" t="s">
        <v>2932</v>
      </c>
      <c r="AF217" s="25" t="n">
        <f aca="false">LEN(AE217)</f>
        <v>156</v>
      </c>
    </row>
    <row r="218" customFormat="false" ht="15" hidden="false" customHeight="true" outlineLevel="0" collapsed="false">
      <c r="A218" s="21" t="s">
        <v>84</v>
      </c>
      <c r="B218" s="21" t="s">
        <v>2390</v>
      </c>
      <c r="C218" s="21" t="n">
        <v>58</v>
      </c>
      <c r="D218" s="21" t="s">
        <v>2871</v>
      </c>
      <c r="E218" s="21"/>
      <c r="F218" s="21" t="s">
        <v>2393</v>
      </c>
      <c r="G218" s="21" t="s">
        <v>2759</v>
      </c>
      <c r="H218" s="21" t="s">
        <v>2549</v>
      </c>
      <c r="I218" s="21" t="s">
        <v>85</v>
      </c>
      <c r="J218" s="21" t="s">
        <v>1935</v>
      </c>
      <c r="K218" s="21" t="n">
        <v>31.99</v>
      </c>
      <c r="L218" s="21" t="s">
        <v>2933</v>
      </c>
      <c r="M218" s="21" t="s">
        <v>2934</v>
      </c>
      <c r="N218" s="21" t="s">
        <v>2935</v>
      </c>
      <c r="O218" s="21" t="s">
        <v>2936</v>
      </c>
      <c r="P218" s="21" t="s">
        <v>2937</v>
      </c>
      <c r="Q218" s="22" t="n">
        <f aca="false">IF(L218="","",IFERROR(INDEX('Semrush Data'!$A$1:$Z$20000,MATCH(L218,'Semrush Data'!$A$1:$A$20000,0),MATCH("Volume",'Semrush Data'!$A$1:$Z$1,0)),""))</f>
        <v>1300</v>
      </c>
      <c r="R218" s="22" t="n">
        <f aca="false">IF(M218="","",IFERROR(INDEX('Semrush Data'!$A$1:$Z$20000,MATCH(M218,'Semrush Data'!$A$1:$A$20000,0),MATCH("Volume",'Semrush Data'!$A$1:$Z$1,0)),""))</f>
        <v>0</v>
      </c>
      <c r="S218" s="22" t="str">
        <f aca="false">IF(N218="","",IFERROR(INDEX('Semrush Data'!$A$1:$Z$20000,MATCH(N218,'Semrush Data'!$A$1:$A$20000,0),MATCH("Volume",'Semrush Data'!$A$1:$Z$1,0)),""))</f>
        <v/>
      </c>
      <c r="T218" s="22" t="str">
        <f aca="false">IF(O218="","",IFERROR(INDEX('Semrush Data'!$A$1:$Z$20000,MATCH(O218,'Semrush Data'!$A$1:$A$20000,0),MATCH("Volume",'Semrush Data'!$A$1:$Z$1,0)),""))</f>
        <v/>
      </c>
      <c r="U218" s="22" t="n">
        <f aca="false">IF(P218="","",IFERROR(INDEX('Semrush Data'!$A$1:$Z$20000,MATCH(P218,'Semrush Data'!$A$1:$A$20000,0),MATCH("Volume",'Semrush Data'!$A$1:$Z$1,0)),""))</f>
        <v>20</v>
      </c>
      <c r="V218" s="23" t="str">
        <f aca="false">IF(COUNT(Q218:U218)=0,L218,IF(MAX(Q218:U218)=0,L218,INDEX(L218:P218,MATCH(MAX(Q218:U218),Q218:U218,0))))</f>
        <v>bentley azure</v>
      </c>
      <c r="W218" s="22" t="n">
        <f aca="false">IFERROR(INDEX('Semrush Data'!$A$1:$Z$20000,MATCH(V218,'Semrush Data'!$A$1:$A$20000,0),MATCH("Volume",'Semrush Data'!$A$1:$Z$1,0)),"")</f>
        <v>1300</v>
      </c>
      <c r="X218" s="22" t="n">
        <f aca="false">IFERROR(INDEX('Semrush Data'!$A$1:$Z$20000,MATCH(V218,'Semrush Data'!$A$1:$A$20000,0),MATCH("Keyword Difficulty*",'Semrush Data'!$A$1:$Z$1,0)),"")</f>
        <v>19</v>
      </c>
      <c r="Y218" s="24" t="n">
        <f aca="false">IFERROR(INDEX('Semrush Data'!$A$1:$Z$20000,MATCH(V218,'Semrush Data'!$A$1:$A$20000,0),MATCH("CPC*",'Semrush Data'!$A$1:$Z$1,0)),"")</f>
        <v>0.34</v>
      </c>
      <c r="Z218" s="21" t="s">
        <v>2891</v>
      </c>
      <c r="AA218" s="21" t="s">
        <v>2938</v>
      </c>
      <c r="AB218" s="21" t="s">
        <v>2939</v>
      </c>
      <c r="AC218" s="21" t="s">
        <v>2940</v>
      </c>
      <c r="AD218" s="25" t="n">
        <f aca="false">LEN(AC218)</f>
        <v>58</v>
      </c>
      <c r="AE218" s="21" t="s">
        <v>2941</v>
      </c>
      <c r="AF218" s="25" t="n">
        <f aca="false">LEN(AE218)</f>
        <v>158</v>
      </c>
    </row>
    <row r="219" customFormat="false" ht="15" hidden="false" customHeight="true" outlineLevel="0" collapsed="false">
      <c r="A219" s="21" t="s">
        <v>2942</v>
      </c>
      <c r="B219" s="21" t="s">
        <v>2390</v>
      </c>
      <c r="C219" s="21" t="n">
        <v>59</v>
      </c>
      <c r="D219" s="21" t="s">
        <v>2871</v>
      </c>
      <c r="E219" s="21"/>
      <c r="F219" s="21" t="s">
        <v>2393</v>
      </c>
      <c r="G219" s="21" t="s">
        <v>2759</v>
      </c>
      <c r="H219" s="21" t="s">
        <v>2549</v>
      </c>
      <c r="I219" s="21" t="s">
        <v>2943</v>
      </c>
      <c r="J219" s="21" t="s">
        <v>1935</v>
      </c>
      <c r="K219" s="21" t="n">
        <v>30.99</v>
      </c>
      <c r="L219" s="21" t="s">
        <v>2944</v>
      </c>
      <c r="M219" s="21" t="s">
        <v>2945</v>
      </c>
      <c r="N219" s="21" t="s">
        <v>2946</v>
      </c>
      <c r="O219" s="21" t="s">
        <v>2947</v>
      </c>
      <c r="P219" s="21" t="s">
        <v>2948</v>
      </c>
      <c r="Q219" s="22" t="n">
        <f aca="false">IF(L219="","",IFERROR(INDEX('Semrush Data'!$A$1:$Z$20000,MATCH(L219,'Semrush Data'!$A$1:$A$20000,0),MATCH("Volume",'Semrush Data'!$A$1:$Z$1,0)),""))</f>
        <v>30</v>
      </c>
      <c r="R219" s="22" t="n">
        <f aca="false">IF(M219="","",IFERROR(INDEX('Semrush Data'!$A$1:$Z$20000,MATCH(M219,'Semrush Data'!$A$1:$A$20000,0),MATCH("Volume",'Semrush Data'!$A$1:$Z$1,0)),""))</f>
        <v>0</v>
      </c>
      <c r="S219" s="22" t="str">
        <f aca="false">IF(N219="","",IFERROR(INDEX('Semrush Data'!$A$1:$Z$20000,MATCH(N219,'Semrush Data'!$A$1:$A$20000,0),MATCH("Volume",'Semrush Data'!$A$1:$Z$1,0)),""))</f>
        <v/>
      </c>
      <c r="T219" s="22" t="str">
        <f aca="false">IF(O219="","",IFERROR(INDEX('Semrush Data'!$A$1:$Z$20000,MATCH(O219,'Semrush Data'!$A$1:$A$20000,0),MATCH("Volume",'Semrush Data'!$A$1:$Z$1,0)),""))</f>
        <v/>
      </c>
      <c r="U219" s="22" t="str">
        <f aca="false">IF(P219="","",IFERROR(INDEX('Semrush Data'!$A$1:$Z$20000,MATCH(P219,'Semrush Data'!$A$1:$A$20000,0),MATCH("Volume",'Semrush Data'!$A$1:$Z$1,0)),""))</f>
        <v/>
      </c>
      <c r="V219" s="23" t="str">
        <f aca="false">IF(COUNT(Q219:U219)=0,L219,IF(MAX(Q219:U219)=0,L219,INDEX(L219:P219,MATCH(MAX(Q219:U219),Q219:U219,0))))</f>
        <v>bentley infinite</v>
      </c>
      <c r="W219" s="22" t="n">
        <f aca="false">IFERROR(INDEX('Semrush Data'!$A$1:$Z$20000,MATCH(V219,'Semrush Data'!$A$1:$A$20000,0),MATCH("Volume",'Semrush Data'!$A$1:$Z$1,0)),"")</f>
        <v>30</v>
      </c>
      <c r="X219" s="22" t="n">
        <f aca="false">IFERROR(INDEX('Semrush Data'!$A$1:$Z$20000,MATCH(V219,'Semrush Data'!$A$1:$A$20000,0),MATCH("Keyword Difficulty*",'Semrush Data'!$A$1:$Z$1,0)),"")</f>
        <v>9</v>
      </c>
      <c r="Y219" s="24" t="n">
        <f aca="false">IFERROR(INDEX('Semrush Data'!$A$1:$Z$20000,MATCH(V219,'Semrush Data'!$A$1:$A$20000,0),MATCH("CPC*",'Semrush Data'!$A$1:$Z$1,0)),"")</f>
        <v>0.59</v>
      </c>
      <c r="Z219" s="21" t="s">
        <v>2891</v>
      </c>
      <c r="AA219" s="21" t="s">
        <v>2949</v>
      </c>
      <c r="AB219" s="21" t="s">
        <v>2950</v>
      </c>
      <c r="AC219" s="21" t="s">
        <v>2951</v>
      </c>
      <c r="AD219" s="25" t="n">
        <f aca="false">LEN(AC219)</f>
        <v>59</v>
      </c>
      <c r="AE219" s="21" t="s">
        <v>2952</v>
      </c>
      <c r="AF219" s="25" t="n">
        <f aca="false">LEN(AE219)</f>
        <v>153</v>
      </c>
    </row>
    <row r="220" customFormat="false" ht="15" hidden="false" customHeight="true" outlineLevel="0" collapsed="false">
      <c r="A220" s="21" t="s">
        <v>2953</v>
      </c>
      <c r="B220" s="21" t="s">
        <v>2390</v>
      </c>
      <c r="C220" s="21" t="n">
        <v>60</v>
      </c>
      <c r="D220" s="21" t="s">
        <v>2871</v>
      </c>
      <c r="E220" s="21"/>
      <c r="F220" s="21" t="s">
        <v>2393</v>
      </c>
      <c r="G220" s="21" t="s">
        <v>2759</v>
      </c>
      <c r="H220" s="21" t="s">
        <v>2549</v>
      </c>
      <c r="I220" s="21" t="s">
        <v>2954</v>
      </c>
      <c r="J220" s="21" t="s">
        <v>1935</v>
      </c>
      <c r="K220" s="21" t="n">
        <v>31.99</v>
      </c>
      <c r="L220" s="21" t="s">
        <v>2955</v>
      </c>
      <c r="M220" s="21" t="s">
        <v>2956</v>
      </c>
      <c r="N220" s="21" t="s">
        <v>2957</v>
      </c>
      <c r="O220" s="21" t="s">
        <v>2958</v>
      </c>
      <c r="P220" s="21" t="s">
        <v>2959</v>
      </c>
      <c r="Q220" s="22" t="n">
        <f aca="false">IF(L220="","",IFERROR(INDEX('Semrush Data'!$A$1:$Z$20000,MATCH(L220,'Semrush Data'!$A$1:$A$20000,0),MATCH("Volume",'Semrush Data'!$A$1:$Z$1,0)),""))</f>
        <v>30</v>
      </c>
      <c r="R220" s="22" t="n">
        <f aca="false">IF(M220="","",IFERROR(INDEX('Semrush Data'!$A$1:$Z$20000,MATCH(M220,'Semrush Data'!$A$1:$A$20000,0),MATCH("Volume",'Semrush Data'!$A$1:$Z$1,0)),""))</f>
        <v>0</v>
      </c>
      <c r="S220" s="22" t="str">
        <f aca="false">IF(N220="","",IFERROR(INDEX('Semrush Data'!$A$1:$Z$20000,MATCH(N220,'Semrush Data'!$A$1:$A$20000,0),MATCH("Volume",'Semrush Data'!$A$1:$Z$1,0)),""))</f>
        <v/>
      </c>
      <c r="T220" s="22" t="str">
        <f aca="false">IF(O220="","",IFERROR(INDEX('Semrush Data'!$A$1:$Z$20000,MATCH(O220,'Semrush Data'!$A$1:$A$20000,0),MATCH("Volume",'Semrush Data'!$A$1:$Z$1,0)),""))</f>
        <v/>
      </c>
      <c r="U220" s="22" t="str">
        <f aca="false">IF(P220="","",IFERROR(INDEX('Semrush Data'!$A$1:$Z$20000,MATCH(P220,'Semrush Data'!$A$1:$A$20000,0),MATCH("Volume",'Semrush Data'!$A$1:$Z$1,0)),""))</f>
        <v/>
      </c>
      <c r="V220" s="23" t="str">
        <f aca="false">IF(COUNT(Q220:U220)=0,L220,IF(MAX(Q220:U220)=0,L220,INDEX(L220:P220,MATCH(MAX(Q220:U220),Q220:U220,0))))</f>
        <v>bentley momentum unlimited</v>
      </c>
      <c r="W220" s="22" t="n">
        <f aca="false">IFERROR(INDEX('Semrush Data'!$A$1:$Z$20000,MATCH(V220,'Semrush Data'!$A$1:$A$20000,0),MATCH("Volume",'Semrush Data'!$A$1:$Z$1,0)),"")</f>
        <v>30</v>
      </c>
      <c r="X220" s="22" t="n">
        <f aca="false">IFERROR(INDEX('Semrush Data'!$A$1:$Z$20000,MATCH(V220,'Semrush Data'!$A$1:$A$20000,0),MATCH("Keyword Difficulty*",'Semrush Data'!$A$1:$Z$1,0)),"")</f>
        <v>19</v>
      </c>
      <c r="Y220" s="24" t="n">
        <f aca="false">IFERROR(INDEX('Semrush Data'!$A$1:$Z$20000,MATCH(V220,'Semrush Data'!$A$1:$A$20000,0),MATCH("CPC*",'Semrush Data'!$A$1:$Z$1,0)),"")</f>
        <v>0</v>
      </c>
      <c r="Z220" s="21" t="s">
        <v>2891</v>
      </c>
      <c r="AA220" s="21" t="s">
        <v>2960</v>
      </c>
      <c r="AB220" s="21" t="s">
        <v>2961</v>
      </c>
      <c r="AC220" s="21" t="s">
        <v>2962</v>
      </c>
      <c r="AD220" s="25" t="n">
        <f aca="false">LEN(AC220)</f>
        <v>56</v>
      </c>
      <c r="AE220" s="21" t="s">
        <v>2963</v>
      </c>
      <c r="AF220" s="25" t="n">
        <f aca="false">LEN(AE220)</f>
        <v>157</v>
      </c>
    </row>
    <row r="221" customFormat="false" ht="15" hidden="false" customHeight="true" outlineLevel="0" collapsed="false">
      <c r="A221" s="21" t="s">
        <v>2964</v>
      </c>
      <c r="B221" s="21" t="s">
        <v>2390</v>
      </c>
      <c r="C221" s="21" t="n">
        <v>61</v>
      </c>
      <c r="D221" s="21" t="s">
        <v>2871</v>
      </c>
      <c r="E221" s="21" t="s">
        <v>2872</v>
      </c>
      <c r="F221" s="21" t="s">
        <v>1676</v>
      </c>
      <c r="G221" s="21" t="s">
        <v>2759</v>
      </c>
      <c r="H221" s="21" t="s">
        <v>2549</v>
      </c>
      <c r="I221" s="21" t="s">
        <v>2965</v>
      </c>
      <c r="J221" s="21" t="s">
        <v>1935</v>
      </c>
      <c r="K221" s="21" t="n">
        <v>68.99</v>
      </c>
      <c r="L221" s="21" t="s">
        <v>2966</v>
      </c>
      <c r="M221" s="21" t="s">
        <v>2967</v>
      </c>
      <c r="N221" s="21" t="s">
        <v>2968</v>
      </c>
      <c r="O221" s="21" t="s">
        <v>2969</v>
      </c>
      <c r="P221" s="21"/>
      <c r="Q221" s="22" t="n">
        <f aca="false">IF(L221="","",IFERROR(INDEX('Semrush Data'!$A$1:$Z$20000,MATCH(L221,'Semrush Data'!$A$1:$A$20000,0),MATCH("Volume",'Semrush Data'!$A$1:$Z$1,0)),""))</f>
        <v>0</v>
      </c>
      <c r="R221" s="22" t="n">
        <f aca="false">IF(M221="","",IFERROR(INDEX('Semrush Data'!$A$1:$Z$20000,MATCH(M221,'Semrush Data'!$A$1:$A$20000,0),MATCH("Volume",'Semrush Data'!$A$1:$Z$1,0)),""))</f>
        <v>0</v>
      </c>
      <c r="S221" s="22" t="str">
        <f aca="false">IF(N221="","",IFERROR(INDEX('Semrush Data'!$A$1:$Z$20000,MATCH(N221,'Semrush Data'!$A$1:$A$20000,0),MATCH("Volume",'Semrush Data'!$A$1:$Z$1,0)),""))</f>
        <v/>
      </c>
      <c r="T221" s="22" t="str">
        <f aca="false">IF(O221="","",IFERROR(INDEX('Semrush Data'!$A$1:$Z$20000,MATCH(O221,'Semrush Data'!$A$1:$A$20000,0),MATCH("Volume",'Semrush Data'!$A$1:$Z$1,0)),""))</f>
        <v/>
      </c>
      <c r="U221" s="22" t="str">
        <f aca="false">IF(P221="","",IFERROR(INDEX('Semrush Data'!$A$1:$Z$20000,MATCH(P221,'Semrush Data'!$A$1:$A$20000,0),MATCH("Volume",'Semrush Data'!$A$1:$Z$1,0)),""))</f>
        <v/>
      </c>
      <c r="V221" s="23" t="str">
        <f aca="false">IF(COUNT(Q221:U221)=0,L221,IF(MAX(Q221:U221)=0,L221,INDEX(L221:P221,MATCH(MAX(Q221:U221),Q221:U221,0))))</f>
        <v>bentley azzaro the most wanted intense gift set</v>
      </c>
      <c r="W221" s="22" t="n">
        <f aca="false">IFERROR(INDEX('Semrush Data'!$A$1:$Z$20000,MATCH(V221,'Semrush Data'!$A$1:$A$20000,0),MATCH("Volume",'Semrush Data'!$A$1:$Z$1,0)),"")</f>
        <v>0</v>
      </c>
      <c r="X221" s="22" t="n">
        <f aca="false">IFERROR(INDEX('Semrush Data'!$A$1:$Z$20000,MATCH(V221,'Semrush Data'!$A$1:$A$20000,0),MATCH("Keyword Difficulty*",'Semrush Data'!$A$1:$Z$1,0)),"")</f>
        <v>13</v>
      </c>
      <c r="Y221" s="24" t="n">
        <f aca="false">IFERROR(INDEX('Semrush Data'!$A$1:$Z$20000,MATCH(V221,'Semrush Data'!$A$1:$A$20000,0),MATCH("CPC*",'Semrush Data'!$A$1:$Z$1,0)),"")</f>
        <v>0</v>
      </c>
      <c r="Z221" s="21" t="s">
        <v>2891</v>
      </c>
      <c r="AA221" s="21"/>
      <c r="AB221" s="21" t="s">
        <v>2970</v>
      </c>
      <c r="AC221" s="21" t="s">
        <v>2971</v>
      </c>
      <c r="AD221" s="25" t="n">
        <f aca="false">LEN(AC221)</f>
        <v>59</v>
      </c>
      <c r="AE221" s="21" t="s">
        <v>2972</v>
      </c>
      <c r="AF221" s="25" t="n">
        <f aca="false">LEN(AE221)</f>
        <v>156</v>
      </c>
    </row>
    <row r="222" customFormat="false" ht="15" hidden="false" customHeight="true" outlineLevel="0" collapsed="false">
      <c r="A222" s="21" t="s">
        <v>2973</v>
      </c>
      <c r="B222" s="21" t="s">
        <v>2390</v>
      </c>
      <c r="C222" s="21" t="n">
        <v>62</v>
      </c>
      <c r="D222" s="21" t="s">
        <v>2871</v>
      </c>
      <c r="E222" s="21" t="s">
        <v>2872</v>
      </c>
      <c r="F222" s="21" t="s">
        <v>2393</v>
      </c>
      <c r="G222" s="21" t="s">
        <v>2974</v>
      </c>
      <c r="H222" s="21" t="s">
        <v>2975</v>
      </c>
      <c r="I222" s="21" t="s">
        <v>2976</v>
      </c>
      <c r="J222" s="21" t="s">
        <v>1935</v>
      </c>
      <c r="K222" s="21" t="n">
        <v>60.99</v>
      </c>
      <c r="L222" s="21" t="s">
        <v>2977</v>
      </c>
      <c r="M222" s="21" t="s">
        <v>2978</v>
      </c>
      <c r="N222" s="21" t="s">
        <v>2979</v>
      </c>
      <c r="O222" s="21" t="s">
        <v>2980</v>
      </c>
      <c r="P222" s="21" t="s">
        <v>2981</v>
      </c>
      <c r="Q222" s="22" t="n">
        <f aca="false">IF(L222="","",IFERROR(INDEX('Semrush Data'!$A$1:$Z$20000,MATCH(L222,'Semrush Data'!$A$1:$A$20000,0),MATCH("Volume",'Semrush Data'!$A$1:$Z$1,0)),""))</f>
        <v>0</v>
      </c>
      <c r="R222" s="22" t="n">
        <f aca="false">IF(M222="","",IFERROR(INDEX('Semrush Data'!$A$1:$Z$20000,MATCH(M222,'Semrush Data'!$A$1:$A$20000,0),MATCH("Volume",'Semrush Data'!$A$1:$Z$1,0)),""))</f>
        <v>0</v>
      </c>
      <c r="S222" s="22" t="str">
        <f aca="false">IF(N222="","",IFERROR(INDEX('Semrush Data'!$A$1:$Z$20000,MATCH(N222,'Semrush Data'!$A$1:$A$20000,0),MATCH("Volume",'Semrush Data'!$A$1:$Z$1,0)),""))</f>
        <v/>
      </c>
      <c r="T222" s="22" t="str">
        <f aca="false">IF(O222="","",IFERROR(INDEX('Semrush Data'!$A$1:$Z$20000,MATCH(O222,'Semrush Data'!$A$1:$A$20000,0),MATCH("Volume",'Semrush Data'!$A$1:$Z$1,0)),""))</f>
        <v/>
      </c>
      <c r="U222" s="22" t="str">
        <f aca="false">IF(P222="","",IFERROR(INDEX('Semrush Data'!$A$1:$Z$20000,MATCH(P222,'Semrush Data'!$A$1:$A$20000,0),MATCH("Volume",'Semrush Data'!$A$1:$Z$1,0)),""))</f>
        <v/>
      </c>
      <c r="V222" s="23" t="str">
        <f aca="false">IF(COUNT(Q222:U222)=0,L222,IF(MAX(Q222:U222)=0,L222,INDEX(L222:P222,MATCH(MAX(Q222:U222),Q222:U222,0))))</f>
        <v>bentley azzaro the most wanted</v>
      </c>
      <c r="W222" s="22" t="n">
        <f aca="false">IFERROR(INDEX('Semrush Data'!$A$1:$Z$20000,MATCH(V222,'Semrush Data'!$A$1:$A$20000,0),MATCH("Volume",'Semrush Data'!$A$1:$Z$1,0)),"")</f>
        <v>0</v>
      </c>
      <c r="X222" s="22" t="n">
        <f aca="false">IFERROR(INDEX('Semrush Data'!$A$1:$Z$20000,MATCH(V222,'Semrush Data'!$A$1:$A$20000,0),MATCH("Keyword Difficulty*",'Semrush Data'!$A$1:$Z$1,0)),"")</f>
        <v>13</v>
      </c>
      <c r="Y222" s="24" t="n">
        <f aca="false">IFERROR(INDEX('Semrush Data'!$A$1:$Z$20000,MATCH(V222,'Semrush Data'!$A$1:$A$20000,0),MATCH("CPC*",'Semrush Data'!$A$1:$Z$1,0)),"")</f>
        <v>0</v>
      </c>
      <c r="Z222" s="21" t="s">
        <v>2982</v>
      </c>
      <c r="AA222" s="21"/>
      <c r="AB222" s="21" t="s">
        <v>2983</v>
      </c>
      <c r="AC222" s="21" t="s">
        <v>2984</v>
      </c>
      <c r="AD222" s="25" t="n">
        <f aca="false">LEN(AC222)</f>
        <v>56</v>
      </c>
      <c r="AE222" s="21" t="s">
        <v>2985</v>
      </c>
      <c r="AF222" s="25" t="n">
        <f aca="false">LEN(AE222)</f>
        <v>142</v>
      </c>
    </row>
    <row r="223" customFormat="false" ht="15" hidden="false" customHeight="true" outlineLevel="0" collapsed="false">
      <c r="A223" s="21" t="s">
        <v>2986</v>
      </c>
      <c r="B223" s="21" t="s">
        <v>2390</v>
      </c>
      <c r="C223" s="21" t="n">
        <v>63</v>
      </c>
      <c r="D223" s="21" t="s">
        <v>2987</v>
      </c>
      <c r="E223" s="21"/>
      <c r="F223" s="21" t="s">
        <v>2393</v>
      </c>
      <c r="G223" s="21" t="s">
        <v>2394</v>
      </c>
      <c r="H223" s="21" t="s">
        <v>2395</v>
      </c>
      <c r="I223" s="21" t="s">
        <v>2988</v>
      </c>
      <c r="J223" s="21" t="s">
        <v>1409</v>
      </c>
      <c r="K223" s="21" t="n">
        <v>48.99</v>
      </c>
      <c r="L223" s="21" t="s">
        <v>2989</v>
      </c>
      <c r="M223" s="21" t="s">
        <v>2990</v>
      </c>
      <c r="N223" s="21" t="s">
        <v>2991</v>
      </c>
      <c r="O223" s="21" t="s">
        <v>2992</v>
      </c>
      <c r="P223" s="21" t="s">
        <v>2993</v>
      </c>
      <c r="Q223" s="22" t="n">
        <f aca="false">IF(L223="","",IFERROR(INDEX('Semrush Data'!$A$1:$Z$20000,MATCH(L223,'Semrush Data'!$A$1:$A$20000,0),MATCH("Volume",'Semrush Data'!$A$1:$Z$1,0)),""))</f>
        <v>170</v>
      </c>
      <c r="R223" s="22" t="n">
        <f aca="false">IF(M223="","",IFERROR(INDEX('Semrush Data'!$A$1:$Z$20000,MATCH(M223,'Semrush Data'!$A$1:$A$20000,0),MATCH("Volume",'Semrush Data'!$A$1:$Z$1,0)),""))</f>
        <v>0</v>
      </c>
      <c r="S223" s="22" t="str">
        <f aca="false">IF(N223="","",IFERROR(INDEX('Semrush Data'!$A$1:$Z$20000,MATCH(N223,'Semrush Data'!$A$1:$A$20000,0),MATCH("Volume",'Semrush Data'!$A$1:$Z$1,0)),""))</f>
        <v/>
      </c>
      <c r="T223" s="22" t="str">
        <f aca="false">IF(O223="","",IFERROR(INDEX('Semrush Data'!$A$1:$Z$20000,MATCH(O223,'Semrush Data'!$A$1:$A$20000,0),MATCH("Volume",'Semrush Data'!$A$1:$Z$1,0)),""))</f>
        <v/>
      </c>
      <c r="U223" s="22" t="n">
        <f aca="false">IF(P223="","",IFERROR(INDEX('Semrush Data'!$A$1:$Z$20000,MATCH(P223,'Semrush Data'!$A$1:$A$20000,0),MATCH("Volume",'Semrush Data'!$A$1:$Z$1,0)),""))</f>
        <v>30</v>
      </c>
      <c r="V223" s="23" t="str">
        <f aca="false">IF(COUNT(Q223:U223)=0,L223,IF(MAX(Q223:U223)=0,L223,INDEX(L223:P223,MATCH(MAX(Q223:U223),Q223:U223,0))))</f>
        <v>burberry my burberry</v>
      </c>
      <c r="W223" s="22" t="n">
        <f aca="false">IFERROR(INDEX('Semrush Data'!$A$1:$Z$20000,MATCH(V223,'Semrush Data'!$A$1:$A$20000,0),MATCH("Volume",'Semrush Data'!$A$1:$Z$1,0)),"")</f>
        <v>170</v>
      </c>
      <c r="X223" s="22" t="n">
        <f aca="false">IFERROR(INDEX('Semrush Data'!$A$1:$Z$20000,MATCH(V223,'Semrush Data'!$A$1:$A$20000,0),MATCH("Keyword Difficulty*",'Semrush Data'!$A$1:$Z$1,0)),"")</f>
        <v>24</v>
      </c>
      <c r="Y223" s="24" t="n">
        <f aca="false">IFERROR(INDEX('Semrush Data'!$A$1:$Z$20000,MATCH(V223,'Semrush Data'!$A$1:$A$20000,0),MATCH("CPC*",'Semrush Data'!$A$1:$Z$1,0)),"")</f>
        <v>0.62</v>
      </c>
      <c r="Z223" s="21" t="s">
        <v>2994</v>
      </c>
      <c r="AA223" s="21" t="s">
        <v>2995</v>
      </c>
      <c r="AB223" s="21" t="s">
        <v>2996</v>
      </c>
      <c r="AC223" s="21" t="s">
        <v>2997</v>
      </c>
      <c r="AD223" s="25" t="n">
        <f aca="false">LEN(AC223)</f>
        <v>56</v>
      </c>
      <c r="AE223" s="21" t="s">
        <v>2998</v>
      </c>
      <c r="AF223" s="25" t="n">
        <f aca="false">LEN(AE223)</f>
        <v>155</v>
      </c>
    </row>
    <row r="224" customFormat="false" ht="15" hidden="false" customHeight="true" outlineLevel="0" collapsed="false">
      <c r="A224" s="21" t="s">
        <v>2999</v>
      </c>
      <c r="B224" s="21" t="s">
        <v>2390</v>
      </c>
      <c r="C224" s="21" t="n">
        <v>64</v>
      </c>
      <c r="D224" s="21" t="s">
        <v>2987</v>
      </c>
      <c r="E224" s="21"/>
      <c r="F224" s="21" t="s">
        <v>2393</v>
      </c>
      <c r="G224" s="21" t="s">
        <v>2394</v>
      </c>
      <c r="H224" s="21" t="s">
        <v>2395</v>
      </c>
      <c r="I224" s="21" t="s">
        <v>3000</v>
      </c>
      <c r="J224" s="21" t="s">
        <v>3001</v>
      </c>
      <c r="K224" s="21" t="n">
        <v>58.99</v>
      </c>
      <c r="L224" s="21" t="s">
        <v>2989</v>
      </c>
      <c r="M224" s="21" t="s">
        <v>2990</v>
      </c>
      <c r="N224" s="21" t="s">
        <v>2991</v>
      </c>
      <c r="O224" s="21" t="s">
        <v>2992</v>
      </c>
      <c r="P224" s="21" t="s">
        <v>2993</v>
      </c>
      <c r="Q224" s="22" t="n">
        <f aca="false">IF(L224="","",IFERROR(INDEX('Semrush Data'!$A$1:$Z$20000,MATCH(L224,'Semrush Data'!$A$1:$A$20000,0),MATCH("Volume",'Semrush Data'!$A$1:$Z$1,0)),""))</f>
        <v>170</v>
      </c>
      <c r="R224" s="22" t="n">
        <f aca="false">IF(M224="","",IFERROR(INDEX('Semrush Data'!$A$1:$Z$20000,MATCH(M224,'Semrush Data'!$A$1:$A$20000,0),MATCH("Volume",'Semrush Data'!$A$1:$Z$1,0)),""))</f>
        <v>0</v>
      </c>
      <c r="S224" s="22" t="str">
        <f aca="false">IF(N224="","",IFERROR(INDEX('Semrush Data'!$A$1:$Z$20000,MATCH(N224,'Semrush Data'!$A$1:$A$20000,0),MATCH("Volume",'Semrush Data'!$A$1:$Z$1,0)),""))</f>
        <v/>
      </c>
      <c r="T224" s="22" t="str">
        <f aca="false">IF(O224="","",IFERROR(INDEX('Semrush Data'!$A$1:$Z$20000,MATCH(O224,'Semrush Data'!$A$1:$A$20000,0),MATCH("Volume",'Semrush Data'!$A$1:$Z$1,0)),""))</f>
        <v/>
      </c>
      <c r="U224" s="22" t="n">
        <f aca="false">IF(P224="","",IFERROR(INDEX('Semrush Data'!$A$1:$Z$20000,MATCH(P224,'Semrush Data'!$A$1:$A$20000,0),MATCH("Volume",'Semrush Data'!$A$1:$Z$1,0)),""))</f>
        <v>30</v>
      </c>
      <c r="V224" s="23" t="str">
        <f aca="false">IF(COUNT(Q224:U224)=0,L224,IF(MAX(Q224:U224)=0,L224,INDEX(L224:P224,MATCH(MAX(Q224:U224),Q224:U224,0))))</f>
        <v>burberry my burberry</v>
      </c>
      <c r="W224" s="22" t="n">
        <f aca="false">IFERROR(INDEX('Semrush Data'!$A$1:$Z$20000,MATCH(V224,'Semrush Data'!$A$1:$A$20000,0),MATCH("Volume",'Semrush Data'!$A$1:$Z$1,0)),"")</f>
        <v>170</v>
      </c>
      <c r="X224" s="22" t="n">
        <f aca="false">IFERROR(INDEX('Semrush Data'!$A$1:$Z$20000,MATCH(V224,'Semrush Data'!$A$1:$A$20000,0),MATCH("Keyword Difficulty*",'Semrush Data'!$A$1:$Z$1,0)),"")</f>
        <v>24</v>
      </c>
      <c r="Y224" s="24" t="n">
        <f aca="false">IFERROR(INDEX('Semrush Data'!$A$1:$Z$20000,MATCH(V224,'Semrush Data'!$A$1:$A$20000,0),MATCH("CPC*",'Semrush Data'!$A$1:$Z$1,0)),"")</f>
        <v>0.62</v>
      </c>
      <c r="Z224" s="21" t="s">
        <v>2994</v>
      </c>
      <c r="AA224" s="21" t="s">
        <v>2995</v>
      </c>
      <c r="AB224" s="21" t="s">
        <v>2996</v>
      </c>
      <c r="AC224" s="21" t="s">
        <v>3002</v>
      </c>
      <c r="AD224" s="25" t="n">
        <f aca="false">LEN(AC224)</f>
        <v>56</v>
      </c>
      <c r="AE224" s="21" t="s">
        <v>3003</v>
      </c>
      <c r="AF224" s="25" t="n">
        <f aca="false">LEN(AE224)</f>
        <v>155</v>
      </c>
    </row>
    <row r="225" customFormat="false" ht="15" hidden="false" customHeight="true" outlineLevel="0" collapsed="false">
      <c r="A225" s="21" t="s">
        <v>3004</v>
      </c>
      <c r="B225" s="21" t="s">
        <v>2390</v>
      </c>
      <c r="C225" s="21" t="n">
        <v>65</v>
      </c>
      <c r="D225" s="21" t="s">
        <v>2987</v>
      </c>
      <c r="E225" s="21"/>
      <c r="F225" s="21" t="s">
        <v>1676</v>
      </c>
      <c r="G225" s="21" t="s">
        <v>2394</v>
      </c>
      <c r="H225" s="21" t="s">
        <v>2457</v>
      </c>
      <c r="I225" s="21" t="s">
        <v>3005</v>
      </c>
      <c r="J225" s="21" t="s">
        <v>3006</v>
      </c>
      <c r="K225" s="21" t="n">
        <v>45.99</v>
      </c>
      <c r="L225" s="21" t="s">
        <v>3007</v>
      </c>
      <c r="M225" s="21" t="s">
        <v>3008</v>
      </c>
      <c r="N225" s="21" t="s">
        <v>3009</v>
      </c>
      <c r="O225" s="21" t="s">
        <v>3010</v>
      </c>
      <c r="P225" s="21"/>
      <c r="Q225" s="22" t="n">
        <f aca="false">IF(L225="","",IFERROR(INDEX('Semrush Data'!$A$1:$Z$20000,MATCH(L225,'Semrush Data'!$A$1:$A$20000,0),MATCH("Volume",'Semrush Data'!$A$1:$Z$1,0)),""))</f>
        <v>20</v>
      </c>
      <c r="R225" s="22" t="n">
        <f aca="false">IF(M225="","",IFERROR(INDEX('Semrush Data'!$A$1:$Z$20000,MATCH(M225,'Semrush Data'!$A$1:$A$20000,0),MATCH("Volume",'Semrush Data'!$A$1:$Z$1,0)),""))</f>
        <v>0</v>
      </c>
      <c r="S225" s="22" t="str">
        <f aca="false">IF(N225="","",IFERROR(INDEX('Semrush Data'!$A$1:$Z$20000,MATCH(N225,'Semrush Data'!$A$1:$A$20000,0),MATCH("Volume",'Semrush Data'!$A$1:$Z$1,0)),""))</f>
        <v/>
      </c>
      <c r="T225" s="22" t="str">
        <f aca="false">IF(O225="","",IFERROR(INDEX('Semrush Data'!$A$1:$Z$20000,MATCH(O225,'Semrush Data'!$A$1:$A$20000,0),MATCH("Volume",'Semrush Data'!$A$1:$Z$1,0)),""))</f>
        <v/>
      </c>
      <c r="U225" s="22" t="str">
        <f aca="false">IF(P225="","",IFERROR(INDEX('Semrush Data'!$A$1:$Z$20000,MATCH(P225,'Semrush Data'!$A$1:$A$20000,0),MATCH("Volume",'Semrush Data'!$A$1:$Z$1,0)),""))</f>
        <v/>
      </c>
      <c r="V225" s="23" t="str">
        <f aca="false">IF(COUNT(Q225:U225)=0,L225,IF(MAX(Q225:U225)=0,L225,INDEX(L225:P225,MATCH(MAX(Q225:U225),Q225:U225,0))))</f>
        <v>burberry miniature set</v>
      </c>
      <c r="W225" s="22" t="n">
        <f aca="false">IFERROR(INDEX('Semrush Data'!$A$1:$Z$20000,MATCH(V225,'Semrush Data'!$A$1:$A$20000,0),MATCH("Volume",'Semrush Data'!$A$1:$Z$1,0)),"")</f>
        <v>20</v>
      </c>
      <c r="X225" s="22" t="n">
        <f aca="false">IFERROR(INDEX('Semrush Data'!$A$1:$Z$20000,MATCH(V225,'Semrush Data'!$A$1:$A$20000,0),MATCH("Keyword Difficulty*",'Semrush Data'!$A$1:$Z$1,0)),"")</f>
        <v>20</v>
      </c>
      <c r="Y225" s="24" t="n">
        <f aca="false">IFERROR(INDEX('Semrush Data'!$A$1:$Z$20000,MATCH(V225,'Semrush Data'!$A$1:$A$20000,0),MATCH("CPC*",'Semrush Data'!$A$1:$Z$1,0)),"")</f>
        <v>0</v>
      </c>
      <c r="Z225" s="21" t="s">
        <v>3011</v>
      </c>
      <c r="AA225" s="21" t="s">
        <v>3012</v>
      </c>
      <c r="AB225" s="21" t="s">
        <v>3013</v>
      </c>
      <c r="AC225" s="21" t="s">
        <v>3014</v>
      </c>
      <c r="AD225" s="25" t="n">
        <f aca="false">LEN(AC225)</f>
        <v>58</v>
      </c>
      <c r="AE225" s="21" t="s">
        <v>3015</v>
      </c>
      <c r="AF225" s="25" t="n">
        <f aca="false">LEN(AE225)</f>
        <v>159</v>
      </c>
    </row>
    <row r="226" customFormat="false" ht="15" hidden="false" customHeight="true" outlineLevel="0" collapsed="false">
      <c r="A226" s="21" t="s">
        <v>3016</v>
      </c>
      <c r="B226" s="21" t="s">
        <v>2390</v>
      </c>
      <c r="C226" s="21" t="n">
        <v>66</v>
      </c>
      <c r="D226" s="21" t="s">
        <v>2987</v>
      </c>
      <c r="E226" s="21"/>
      <c r="F226" s="21" t="s">
        <v>2393</v>
      </c>
      <c r="G226" s="21" t="s">
        <v>2974</v>
      </c>
      <c r="H226" s="21" t="s">
        <v>2395</v>
      </c>
      <c r="I226" s="21" t="s">
        <v>3017</v>
      </c>
      <c r="J226" s="21" t="s">
        <v>1409</v>
      </c>
      <c r="K226" s="21" t="n">
        <v>48.99</v>
      </c>
      <c r="L226" s="21" t="s">
        <v>3018</v>
      </c>
      <c r="M226" s="21" t="s">
        <v>3019</v>
      </c>
      <c r="N226" s="21" t="s">
        <v>3020</v>
      </c>
      <c r="O226" s="21" t="s">
        <v>3021</v>
      </c>
      <c r="P226" s="21" t="s">
        <v>3022</v>
      </c>
      <c r="Q226" s="22" t="n">
        <f aca="false">IF(L226="","",IFERROR(INDEX('Semrush Data'!$A$1:$Z$20000,MATCH(L226,'Semrush Data'!$A$1:$A$20000,0),MATCH("Volume",'Semrush Data'!$A$1:$Z$1,0)),""))</f>
        <v>210</v>
      </c>
      <c r="R226" s="22" t="n">
        <f aca="false">IF(M226="","",IFERROR(INDEX('Semrush Data'!$A$1:$Z$20000,MATCH(M226,'Semrush Data'!$A$1:$A$20000,0),MATCH("Volume",'Semrush Data'!$A$1:$Z$1,0)),""))</f>
        <v>0</v>
      </c>
      <c r="S226" s="22" t="str">
        <f aca="false">IF(N226="","",IFERROR(INDEX('Semrush Data'!$A$1:$Z$20000,MATCH(N226,'Semrush Data'!$A$1:$A$20000,0),MATCH("Volume",'Semrush Data'!$A$1:$Z$1,0)),""))</f>
        <v/>
      </c>
      <c r="T226" s="22" t="str">
        <f aca="false">IF(O226="","",IFERROR(INDEX('Semrush Data'!$A$1:$Z$20000,MATCH(O226,'Semrush Data'!$A$1:$A$20000,0),MATCH("Volume",'Semrush Data'!$A$1:$Z$1,0)),""))</f>
        <v/>
      </c>
      <c r="U226" s="22" t="n">
        <f aca="false">IF(P226="","",IFERROR(INDEX('Semrush Data'!$A$1:$Z$20000,MATCH(P226,'Semrush Data'!$A$1:$A$20000,0),MATCH("Volume",'Semrush Data'!$A$1:$Z$1,0)),""))</f>
        <v>140</v>
      </c>
      <c r="V226" s="23" t="str">
        <f aca="false">IF(COUNT(Q226:U226)=0,L226,IF(MAX(Q226:U226)=0,L226,INDEX(L226:P226,MATCH(MAX(Q226:U226),Q226:U226,0))))</f>
        <v>burberry my burberry black</v>
      </c>
      <c r="W226" s="22" t="n">
        <f aca="false">IFERROR(INDEX('Semrush Data'!$A$1:$Z$20000,MATCH(V226,'Semrush Data'!$A$1:$A$20000,0),MATCH("Volume",'Semrush Data'!$A$1:$Z$1,0)),"")</f>
        <v>210</v>
      </c>
      <c r="X226" s="22" t="n">
        <f aca="false">IFERROR(INDEX('Semrush Data'!$A$1:$Z$20000,MATCH(V226,'Semrush Data'!$A$1:$A$20000,0),MATCH("Keyword Difficulty*",'Semrush Data'!$A$1:$Z$1,0)),"")</f>
        <v>18</v>
      </c>
      <c r="Y226" s="24" t="n">
        <f aca="false">IFERROR(INDEX('Semrush Data'!$A$1:$Z$20000,MATCH(V226,'Semrush Data'!$A$1:$A$20000,0),MATCH("CPC*",'Semrush Data'!$A$1:$Z$1,0)),"")</f>
        <v>1.28</v>
      </c>
      <c r="Z226" s="21" t="s">
        <v>2994</v>
      </c>
      <c r="AA226" s="21" t="s">
        <v>3023</v>
      </c>
      <c r="AB226" s="21" t="s">
        <v>3024</v>
      </c>
      <c r="AC226" s="21" t="s">
        <v>3025</v>
      </c>
      <c r="AD226" s="25" t="n">
        <f aca="false">LEN(AC226)</f>
        <v>60</v>
      </c>
      <c r="AE226" s="21" t="s">
        <v>3026</v>
      </c>
      <c r="AF226" s="25" t="n">
        <f aca="false">LEN(AE226)</f>
        <v>147</v>
      </c>
    </row>
    <row r="227" customFormat="false" ht="15" hidden="false" customHeight="true" outlineLevel="0" collapsed="false">
      <c r="A227" s="21" t="s">
        <v>3027</v>
      </c>
      <c r="B227" s="21" t="s">
        <v>2390</v>
      </c>
      <c r="C227" s="21" t="n">
        <v>67</v>
      </c>
      <c r="D227" s="21" t="s">
        <v>2987</v>
      </c>
      <c r="E227" s="21"/>
      <c r="F227" s="21" t="s">
        <v>2393</v>
      </c>
      <c r="G227" s="21" t="s">
        <v>2974</v>
      </c>
      <c r="H227" s="21" t="s">
        <v>2395</v>
      </c>
      <c r="I227" s="21" t="s">
        <v>3028</v>
      </c>
      <c r="J227" s="21" t="s">
        <v>3001</v>
      </c>
      <c r="K227" s="21" t="n">
        <v>58.99</v>
      </c>
      <c r="L227" s="21" t="s">
        <v>3018</v>
      </c>
      <c r="M227" s="21" t="s">
        <v>3019</v>
      </c>
      <c r="N227" s="21" t="s">
        <v>3020</v>
      </c>
      <c r="O227" s="21" t="s">
        <v>3021</v>
      </c>
      <c r="P227" s="21" t="s">
        <v>3022</v>
      </c>
      <c r="Q227" s="22" t="n">
        <f aca="false">IF(L227="","",IFERROR(INDEX('Semrush Data'!$A$1:$Z$20000,MATCH(L227,'Semrush Data'!$A$1:$A$20000,0),MATCH("Volume",'Semrush Data'!$A$1:$Z$1,0)),""))</f>
        <v>210</v>
      </c>
      <c r="R227" s="22" t="n">
        <f aca="false">IF(M227="","",IFERROR(INDEX('Semrush Data'!$A$1:$Z$20000,MATCH(M227,'Semrush Data'!$A$1:$A$20000,0),MATCH("Volume",'Semrush Data'!$A$1:$Z$1,0)),""))</f>
        <v>0</v>
      </c>
      <c r="S227" s="22" t="str">
        <f aca="false">IF(N227="","",IFERROR(INDEX('Semrush Data'!$A$1:$Z$20000,MATCH(N227,'Semrush Data'!$A$1:$A$20000,0),MATCH("Volume",'Semrush Data'!$A$1:$Z$1,0)),""))</f>
        <v/>
      </c>
      <c r="T227" s="22" t="str">
        <f aca="false">IF(O227="","",IFERROR(INDEX('Semrush Data'!$A$1:$Z$20000,MATCH(O227,'Semrush Data'!$A$1:$A$20000,0),MATCH("Volume",'Semrush Data'!$A$1:$Z$1,0)),""))</f>
        <v/>
      </c>
      <c r="U227" s="22" t="n">
        <f aca="false">IF(P227="","",IFERROR(INDEX('Semrush Data'!$A$1:$Z$20000,MATCH(P227,'Semrush Data'!$A$1:$A$20000,0),MATCH("Volume",'Semrush Data'!$A$1:$Z$1,0)),""))</f>
        <v>140</v>
      </c>
      <c r="V227" s="23" t="str">
        <f aca="false">IF(COUNT(Q227:U227)=0,L227,IF(MAX(Q227:U227)=0,L227,INDEX(L227:P227,MATCH(MAX(Q227:U227),Q227:U227,0))))</f>
        <v>burberry my burberry black</v>
      </c>
      <c r="W227" s="22" t="n">
        <f aca="false">IFERROR(INDEX('Semrush Data'!$A$1:$Z$20000,MATCH(V227,'Semrush Data'!$A$1:$A$20000,0),MATCH("Volume",'Semrush Data'!$A$1:$Z$1,0)),"")</f>
        <v>210</v>
      </c>
      <c r="X227" s="22" t="n">
        <f aca="false">IFERROR(INDEX('Semrush Data'!$A$1:$Z$20000,MATCH(V227,'Semrush Data'!$A$1:$A$20000,0),MATCH("Keyword Difficulty*",'Semrush Data'!$A$1:$Z$1,0)),"")</f>
        <v>18</v>
      </c>
      <c r="Y227" s="24" t="n">
        <f aca="false">IFERROR(INDEX('Semrush Data'!$A$1:$Z$20000,MATCH(V227,'Semrush Data'!$A$1:$A$20000,0),MATCH("CPC*",'Semrush Data'!$A$1:$Z$1,0)),"")</f>
        <v>1.28</v>
      </c>
      <c r="Z227" s="21" t="s">
        <v>2994</v>
      </c>
      <c r="AA227" s="21" t="s">
        <v>3023</v>
      </c>
      <c r="AB227" s="21" t="s">
        <v>3024</v>
      </c>
      <c r="AC227" s="21" t="s">
        <v>3025</v>
      </c>
      <c r="AD227" s="25" t="n">
        <f aca="false">LEN(AC227)</f>
        <v>60</v>
      </c>
      <c r="AE227" s="21" t="s">
        <v>3029</v>
      </c>
      <c r="AF227" s="25" t="n">
        <f aca="false">LEN(AE227)</f>
        <v>147</v>
      </c>
    </row>
    <row r="228" customFormat="false" ht="15" hidden="false" customHeight="true" outlineLevel="0" collapsed="false">
      <c r="A228" s="21" t="s">
        <v>76</v>
      </c>
      <c r="B228" s="21" t="s">
        <v>2390</v>
      </c>
      <c r="C228" s="21" t="n">
        <v>68</v>
      </c>
      <c r="D228" s="21" t="s">
        <v>3030</v>
      </c>
      <c r="E228" s="21"/>
      <c r="F228" s="21" t="s">
        <v>2393</v>
      </c>
      <c r="G228" s="21" t="s">
        <v>2394</v>
      </c>
      <c r="H228" s="21" t="s">
        <v>2549</v>
      </c>
      <c r="I228" s="21" t="s">
        <v>77</v>
      </c>
      <c r="J228" s="21" t="s">
        <v>1935</v>
      </c>
      <c r="K228" s="21" t="n">
        <v>64.99</v>
      </c>
      <c r="L228" s="21" t="s">
        <v>3031</v>
      </c>
      <c r="M228" s="21" t="s">
        <v>3032</v>
      </c>
      <c r="N228" s="21" t="s">
        <v>3033</v>
      </c>
      <c r="O228" s="21" t="s">
        <v>3034</v>
      </c>
      <c r="P228" s="21" t="s">
        <v>3035</v>
      </c>
      <c r="Q228" s="22" t="n">
        <f aca="false">IF(L228="","",IFERROR(INDEX('Semrush Data'!$A$1:$Z$20000,MATCH(L228,'Semrush Data'!$A$1:$A$20000,0),MATCH("Volume",'Semrush Data'!$A$1:$Z$1,0)),""))</f>
        <v>1900</v>
      </c>
      <c r="R228" s="22" t="n">
        <f aca="false">IF(M228="","",IFERROR(INDEX('Semrush Data'!$A$1:$Z$20000,MATCH(M228,'Semrush Data'!$A$1:$A$20000,0),MATCH("Volume",'Semrush Data'!$A$1:$Z$1,0)),""))</f>
        <v>20</v>
      </c>
      <c r="S228" s="22" t="str">
        <f aca="false">IF(N228="","",IFERROR(INDEX('Semrush Data'!$A$1:$Z$20000,MATCH(N228,'Semrush Data'!$A$1:$A$20000,0),MATCH("Volume",'Semrush Data'!$A$1:$Z$1,0)),""))</f>
        <v/>
      </c>
      <c r="T228" s="22" t="str">
        <f aca="false">IF(O228="","",IFERROR(INDEX('Semrush Data'!$A$1:$Z$20000,MATCH(O228,'Semrush Data'!$A$1:$A$20000,0),MATCH("Volume",'Semrush Data'!$A$1:$Z$1,0)),""))</f>
        <v/>
      </c>
      <c r="U228" s="22" t="n">
        <f aca="false">IF(P228="","",IFERROR(INDEX('Semrush Data'!$A$1:$Z$20000,MATCH(P228,'Semrush Data'!$A$1:$A$20000,0),MATCH("Volume",'Semrush Data'!$A$1:$Z$1,0)),""))</f>
        <v>110</v>
      </c>
      <c r="V228" s="23" t="str">
        <f aca="false">IF(COUNT(Q228:U228)=0,L228,IF(MAX(Q228:U228)=0,L228,INDEX(L228:P228,MATCH(MAX(Q228:U228),Q228:U228,0))))</f>
        <v>bvlgari man in black</v>
      </c>
      <c r="W228" s="22" t="n">
        <f aca="false">IFERROR(INDEX('Semrush Data'!$A$1:$Z$20000,MATCH(V228,'Semrush Data'!$A$1:$A$20000,0),MATCH("Volume",'Semrush Data'!$A$1:$Z$1,0)),"")</f>
        <v>1900</v>
      </c>
      <c r="X228" s="22" t="n">
        <f aca="false">IFERROR(INDEX('Semrush Data'!$A$1:$Z$20000,MATCH(V228,'Semrush Data'!$A$1:$A$20000,0),MATCH("Keyword Difficulty*",'Semrush Data'!$A$1:$Z$1,0)),"")</f>
        <v>16</v>
      </c>
      <c r="Y228" s="24" t="n">
        <f aca="false">IFERROR(INDEX('Semrush Data'!$A$1:$Z$20000,MATCH(V228,'Semrush Data'!$A$1:$A$20000,0),MATCH("CPC*",'Semrush Data'!$A$1:$Z$1,0)),"")</f>
        <v>0.41</v>
      </c>
      <c r="Z228" s="21" t="s">
        <v>3036</v>
      </c>
      <c r="AA228" s="21" t="s">
        <v>3037</v>
      </c>
      <c r="AB228" s="21" t="s">
        <v>3038</v>
      </c>
      <c r="AC228" s="21" t="s">
        <v>3039</v>
      </c>
      <c r="AD228" s="25" t="n">
        <f aca="false">LEN(AC228)</f>
        <v>57</v>
      </c>
      <c r="AE228" s="21" t="s">
        <v>3040</v>
      </c>
      <c r="AF228" s="25" t="n">
        <f aca="false">LEN(AE228)</f>
        <v>153</v>
      </c>
    </row>
    <row r="229" customFormat="false" ht="15" hidden="false" customHeight="true" outlineLevel="0" collapsed="false">
      <c r="A229" s="21" t="s">
        <v>3041</v>
      </c>
      <c r="B229" s="21" t="s">
        <v>2390</v>
      </c>
      <c r="C229" s="21" t="n">
        <v>69</v>
      </c>
      <c r="D229" s="21" t="s">
        <v>3030</v>
      </c>
      <c r="E229" s="21"/>
      <c r="F229" s="21" t="s">
        <v>2393</v>
      </c>
      <c r="G229" s="21" t="s">
        <v>2394</v>
      </c>
      <c r="H229" s="21" t="s">
        <v>2395</v>
      </c>
      <c r="I229" s="21" t="s">
        <v>3042</v>
      </c>
      <c r="J229" s="21" t="s">
        <v>1935</v>
      </c>
      <c r="K229" s="21" t="n">
        <v>54.99</v>
      </c>
      <c r="L229" s="21" t="s">
        <v>3043</v>
      </c>
      <c r="M229" s="21" t="s">
        <v>3044</v>
      </c>
      <c r="N229" s="21" t="s">
        <v>3045</v>
      </c>
      <c r="O229" s="21" t="s">
        <v>3046</v>
      </c>
      <c r="P229" s="21" t="s">
        <v>3047</v>
      </c>
      <c r="Q229" s="22" t="n">
        <f aca="false">IF(L229="","",IFERROR(INDEX('Semrush Data'!$A$1:$Z$20000,MATCH(L229,'Semrush Data'!$A$1:$A$20000,0),MATCH("Volume",'Semrush Data'!$A$1:$Z$1,0)),""))</f>
        <v>30</v>
      </c>
      <c r="R229" s="22" t="n">
        <f aca="false">IF(M229="","",IFERROR(INDEX('Semrush Data'!$A$1:$Z$20000,MATCH(M229,'Semrush Data'!$A$1:$A$20000,0),MATCH("Volume",'Semrush Data'!$A$1:$Z$1,0)),""))</f>
        <v>0</v>
      </c>
      <c r="S229" s="22" t="str">
        <f aca="false">IF(N229="","",IFERROR(INDEX('Semrush Data'!$A$1:$Z$20000,MATCH(N229,'Semrush Data'!$A$1:$A$20000,0),MATCH("Volume",'Semrush Data'!$A$1:$Z$1,0)),""))</f>
        <v/>
      </c>
      <c r="T229" s="22" t="str">
        <f aca="false">IF(O229="","",IFERROR(INDEX('Semrush Data'!$A$1:$Z$20000,MATCH(O229,'Semrush Data'!$A$1:$A$20000,0),MATCH("Volume",'Semrush Data'!$A$1:$Z$1,0)),""))</f>
        <v/>
      </c>
      <c r="U229" s="22" t="str">
        <f aca="false">IF(P229="","",IFERROR(INDEX('Semrush Data'!$A$1:$Z$20000,MATCH(P229,'Semrush Data'!$A$1:$A$20000,0),MATCH("Volume",'Semrush Data'!$A$1:$Z$1,0)),""))</f>
        <v/>
      </c>
      <c r="V229" s="23" t="str">
        <f aca="false">IF(COUNT(Q229:U229)=0,L229,IF(MAX(Q229:U229)=0,L229,INDEX(L229:P229,MATCH(MAX(Q229:U229),Q229:U229,0))))</f>
        <v>bvlgari splendida tubereuse mystique</v>
      </c>
      <c r="W229" s="22" t="n">
        <f aca="false">IFERROR(INDEX('Semrush Data'!$A$1:$Z$20000,MATCH(V229,'Semrush Data'!$A$1:$A$20000,0),MATCH("Volume",'Semrush Data'!$A$1:$Z$1,0)),"")</f>
        <v>30</v>
      </c>
      <c r="X229" s="22" t="n">
        <f aca="false">IFERROR(INDEX('Semrush Data'!$A$1:$Z$20000,MATCH(V229,'Semrush Data'!$A$1:$A$20000,0),MATCH("Keyword Difficulty*",'Semrush Data'!$A$1:$Z$1,0)),"")</f>
        <v>20</v>
      </c>
      <c r="Y229" s="24" t="n">
        <f aca="false">IFERROR(INDEX('Semrush Data'!$A$1:$Z$20000,MATCH(V229,'Semrush Data'!$A$1:$A$20000,0),MATCH("CPC*",'Semrush Data'!$A$1:$Z$1,0)),"")</f>
        <v>0</v>
      </c>
      <c r="Z229" s="21" t="s">
        <v>3048</v>
      </c>
      <c r="AA229" s="21" t="s">
        <v>3049</v>
      </c>
      <c r="AB229" s="21" t="s">
        <v>3050</v>
      </c>
      <c r="AC229" s="21" t="s">
        <v>3051</v>
      </c>
      <c r="AD229" s="25" t="n">
        <f aca="false">LEN(AC229)</f>
        <v>60</v>
      </c>
      <c r="AE229" s="21" t="s">
        <v>3052</v>
      </c>
      <c r="AF229" s="25" t="n">
        <f aca="false">LEN(AE229)</f>
        <v>159</v>
      </c>
    </row>
    <row r="230" customFormat="false" ht="15" hidden="false" customHeight="true" outlineLevel="0" collapsed="false">
      <c r="A230" s="21" t="s">
        <v>142</v>
      </c>
      <c r="B230" s="21" t="s">
        <v>2390</v>
      </c>
      <c r="C230" s="21" t="n">
        <v>70</v>
      </c>
      <c r="D230" s="21" t="s">
        <v>3030</v>
      </c>
      <c r="E230" s="21"/>
      <c r="F230" s="21" t="s">
        <v>2393</v>
      </c>
      <c r="G230" s="21" t="s">
        <v>2759</v>
      </c>
      <c r="H230" s="21" t="s">
        <v>2395</v>
      </c>
      <c r="I230" s="21" t="s">
        <v>143</v>
      </c>
      <c r="J230" s="21" t="s">
        <v>3053</v>
      </c>
      <c r="K230" s="21" t="n">
        <v>34.99</v>
      </c>
      <c r="L230" s="21" t="s">
        <v>3054</v>
      </c>
      <c r="M230" s="21" t="s">
        <v>3055</v>
      </c>
      <c r="N230" s="21" t="s">
        <v>3056</v>
      </c>
      <c r="O230" s="21" t="s">
        <v>3057</v>
      </c>
      <c r="P230" s="21" t="s">
        <v>3058</v>
      </c>
      <c r="Q230" s="22" t="n">
        <f aca="false">IF(L230="","",IFERROR(INDEX('Semrush Data'!$A$1:$Z$20000,MATCH(L230,'Semrush Data'!$A$1:$A$20000,0),MATCH("Volume",'Semrush Data'!$A$1:$Z$1,0)),""))</f>
        <v>320</v>
      </c>
      <c r="R230" s="22" t="n">
        <f aca="false">IF(M230="","",IFERROR(INDEX('Semrush Data'!$A$1:$Z$20000,MATCH(M230,'Semrush Data'!$A$1:$A$20000,0),MATCH("Volume",'Semrush Data'!$A$1:$Z$1,0)),""))</f>
        <v>20</v>
      </c>
      <c r="S230" s="22" t="str">
        <f aca="false">IF(N230="","",IFERROR(INDEX('Semrush Data'!$A$1:$Z$20000,MATCH(N230,'Semrush Data'!$A$1:$A$20000,0),MATCH("Volume",'Semrush Data'!$A$1:$Z$1,0)),""))</f>
        <v/>
      </c>
      <c r="T230" s="22" t="str">
        <f aca="false">IF(O230="","",IFERROR(INDEX('Semrush Data'!$A$1:$Z$20000,MATCH(O230,'Semrush Data'!$A$1:$A$20000,0),MATCH("Volume",'Semrush Data'!$A$1:$Z$1,0)),""))</f>
        <v/>
      </c>
      <c r="U230" s="22" t="n">
        <f aca="false">IF(P230="","",IFERROR(INDEX('Semrush Data'!$A$1:$Z$20000,MATCH(P230,'Semrush Data'!$A$1:$A$20000,0),MATCH("Volume",'Semrush Data'!$A$1:$Z$1,0)),""))</f>
        <v>10</v>
      </c>
      <c r="V230" s="23" t="str">
        <f aca="false">IF(COUNT(Q230:U230)=0,L230,IF(MAX(Q230:U230)=0,L230,INDEX(L230:P230,MATCH(MAX(Q230:U230),Q230:U230,0))))</f>
        <v>bvlgari omnia amethyste</v>
      </c>
      <c r="W230" s="22" t="n">
        <f aca="false">IFERROR(INDEX('Semrush Data'!$A$1:$Z$20000,MATCH(V230,'Semrush Data'!$A$1:$A$20000,0),MATCH("Volume",'Semrush Data'!$A$1:$Z$1,0)),"")</f>
        <v>320</v>
      </c>
      <c r="X230" s="22" t="n">
        <f aca="false">IFERROR(INDEX('Semrush Data'!$A$1:$Z$20000,MATCH(V230,'Semrush Data'!$A$1:$A$20000,0),MATCH("Keyword Difficulty*",'Semrush Data'!$A$1:$Z$1,0)),"")</f>
        <v>18</v>
      </c>
      <c r="Y230" s="24" t="n">
        <f aca="false">IFERROR(INDEX('Semrush Data'!$A$1:$Z$20000,MATCH(V230,'Semrush Data'!$A$1:$A$20000,0),MATCH("CPC*",'Semrush Data'!$A$1:$Z$1,0)),"")</f>
        <v>0.41</v>
      </c>
      <c r="Z230" s="21" t="s">
        <v>3048</v>
      </c>
      <c r="AA230" s="21" t="s">
        <v>3059</v>
      </c>
      <c r="AB230" s="21" t="s">
        <v>3060</v>
      </c>
      <c r="AC230" s="21" t="s">
        <v>3061</v>
      </c>
      <c r="AD230" s="25" t="n">
        <f aca="false">LEN(AC230)</f>
        <v>59</v>
      </c>
      <c r="AE230" s="21" t="s">
        <v>3062</v>
      </c>
      <c r="AF230" s="25" t="n">
        <f aca="false">LEN(AE230)</f>
        <v>156</v>
      </c>
    </row>
    <row r="231" customFormat="false" ht="15" hidden="false" customHeight="true" outlineLevel="0" collapsed="false">
      <c r="A231" s="21" t="s">
        <v>3063</v>
      </c>
      <c r="B231" s="21" t="s">
        <v>2390</v>
      </c>
      <c r="C231" s="21" t="n">
        <v>71</v>
      </c>
      <c r="D231" s="21" t="s">
        <v>3030</v>
      </c>
      <c r="E231" s="21"/>
      <c r="F231" s="21" t="s">
        <v>1676</v>
      </c>
      <c r="G231" s="21" t="s">
        <v>2394</v>
      </c>
      <c r="H231" s="21" t="s">
        <v>2549</v>
      </c>
      <c r="I231" s="21" t="s">
        <v>3064</v>
      </c>
      <c r="J231" s="21" t="s">
        <v>1935</v>
      </c>
      <c r="K231" s="21" t="n">
        <v>69.99</v>
      </c>
      <c r="L231" s="21" t="s">
        <v>3065</v>
      </c>
      <c r="M231" s="21" t="s">
        <v>3066</v>
      </c>
      <c r="N231" s="21" t="s">
        <v>3067</v>
      </c>
      <c r="O231" s="21" t="s">
        <v>3068</v>
      </c>
      <c r="P231" s="21"/>
      <c r="Q231" s="22" t="n">
        <f aca="false">IF(L231="","",IFERROR(INDEX('Semrush Data'!$A$1:$Z$20000,MATCH(L231,'Semrush Data'!$A$1:$A$20000,0),MATCH("Volume",'Semrush Data'!$A$1:$Z$1,0)),""))</f>
        <v>20</v>
      </c>
      <c r="R231" s="22" t="n">
        <f aca="false">IF(M231="","",IFERROR(INDEX('Semrush Data'!$A$1:$Z$20000,MATCH(M231,'Semrush Data'!$A$1:$A$20000,0),MATCH("Volume",'Semrush Data'!$A$1:$Z$1,0)),""))</f>
        <v>0</v>
      </c>
      <c r="S231" s="22" t="str">
        <f aca="false">IF(N231="","",IFERROR(INDEX('Semrush Data'!$A$1:$Z$20000,MATCH(N231,'Semrush Data'!$A$1:$A$20000,0),MATCH("Volume",'Semrush Data'!$A$1:$Z$1,0)),""))</f>
        <v/>
      </c>
      <c r="T231" s="22" t="str">
        <f aca="false">IF(O231="","",IFERROR(INDEX('Semrush Data'!$A$1:$Z$20000,MATCH(O231,'Semrush Data'!$A$1:$A$20000,0),MATCH("Volume",'Semrush Data'!$A$1:$Z$1,0)),""))</f>
        <v/>
      </c>
      <c r="U231" s="22" t="str">
        <f aca="false">IF(P231="","",IFERROR(INDEX('Semrush Data'!$A$1:$Z$20000,MATCH(P231,'Semrush Data'!$A$1:$A$20000,0),MATCH("Volume",'Semrush Data'!$A$1:$Z$1,0)),""))</f>
        <v/>
      </c>
      <c r="V231" s="23" t="str">
        <f aca="false">IF(COUNT(Q231:U231)=0,L231,IF(MAX(Q231:U231)=0,L231,INDEX(L231:P231,MATCH(MAX(Q231:U231),Q231:U231,0))))</f>
        <v>bvlgari man glacial essence gift set</v>
      </c>
      <c r="W231" s="22" t="n">
        <f aca="false">IFERROR(INDEX('Semrush Data'!$A$1:$Z$20000,MATCH(V231,'Semrush Data'!$A$1:$A$20000,0),MATCH("Volume",'Semrush Data'!$A$1:$Z$1,0)),"")</f>
        <v>20</v>
      </c>
      <c r="X231" s="22" t="n">
        <f aca="false">IFERROR(INDEX('Semrush Data'!$A$1:$Z$20000,MATCH(V231,'Semrush Data'!$A$1:$A$20000,0),MATCH("Keyword Difficulty*",'Semrush Data'!$A$1:$Z$1,0)),"")</f>
        <v>12</v>
      </c>
      <c r="Y231" s="24" t="n">
        <f aca="false">IFERROR(INDEX('Semrush Data'!$A$1:$Z$20000,MATCH(V231,'Semrush Data'!$A$1:$A$20000,0),MATCH("CPC*",'Semrush Data'!$A$1:$Z$1,0)),"")</f>
        <v>0</v>
      </c>
      <c r="Z231" s="21" t="s">
        <v>3036</v>
      </c>
      <c r="AA231" s="21" t="s">
        <v>3069</v>
      </c>
      <c r="AB231" s="21" t="s">
        <v>3070</v>
      </c>
      <c r="AC231" s="21" t="s">
        <v>3071</v>
      </c>
      <c r="AD231" s="25" t="n">
        <f aca="false">LEN(AC231)</f>
        <v>54</v>
      </c>
      <c r="AE231" s="21" t="s">
        <v>3072</v>
      </c>
      <c r="AF231" s="25" t="n">
        <f aca="false">LEN(AE231)</f>
        <v>159</v>
      </c>
    </row>
    <row r="232" customFormat="false" ht="15" hidden="false" customHeight="true" outlineLevel="0" collapsed="false">
      <c r="A232" s="21" t="s">
        <v>3073</v>
      </c>
      <c r="B232" s="21" t="s">
        <v>2390</v>
      </c>
      <c r="C232" s="21" t="n">
        <v>72</v>
      </c>
      <c r="D232" s="21" t="s">
        <v>3030</v>
      </c>
      <c r="E232" s="21"/>
      <c r="F232" s="21" t="s">
        <v>1676</v>
      </c>
      <c r="G232" s="21" t="s">
        <v>2394</v>
      </c>
      <c r="H232" s="21" t="s">
        <v>2549</v>
      </c>
      <c r="I232" s="21" t="s">
        <v>3074</v>
      </c>
      <c r="J232" s="21" t="s">
        <v>1935</v>
      </c>
      <c r="K232" s="21" t="n">
        <v>54.99</v>
      </c>
      <c r="L232" s="21" t="s">
        <v>3075</v>
      </c>
      <c r="M232" s="21" t="s">
        <v>3076</v>
      </c>
      <c r="N232" s="21" t="s">
        <v>3077</v>
      </c>
      <c r="O232" s="21" t="s">
        <v>3078</v>
      </c>
      <c r="P232" s="21"/>
      <c r="Q232" s="22" t="n">
        <f aca="false">IF(L232="","",IFERROR(INDEX('Semrush Data'!$A$1:$Z$20000,MATCH(L232,'Semrush Data'!$A$1:$A$20000,0),MATCH("Volume",'Semrush Data'!$A$1:$Z$1,0)),""))</f>
        <v>20</v>
      </c>
      <c r="R232" s="22" t="n">
        <f aca="false">IF(M232="","",IFERROR(INDEX('Semrush Data'!$A$1:$Z$20000,MATCH(M232,'Semrush Data'!$A$1:$A$20000,0),MATCH("Volume",'Semrush Data'!$A$1:$Z$1,0)),""))</f>
        <v>0</v>
      </c>
      <c r="S232" s="22" t="str">
        <f aca="false">IF(N232="","",IFERROR(INDEX('Semrush Data'!$A$1:$Z$20000,MATCH(N232,'Semrush Data'!$A$1:$A$20000,0),MATCH("Volume",'Semrush Data'!$A$1:$Z$1,0)),""))</f>
        <v/>
      </c>
      <c r="T232" s="22" t="str">
        <f aca="false">IF(O232="","",IFERROR(INDEX('Semrush Data'!$A$1:$Z$20000,MATCH(O232,'Semrush Data'!$A$1:$A$20000,0),MATCH("Volume",'Semrush Data'!$A$1:$Z$1,0)),""))</f>
        <v/>
      </c>
      <c r="U232" s="22" t="str">
        <f aca="false">IF(P232="","",IFERROR(INDEX('Semrush Data'!$A$1:$Z$20000,MATCH(P232,'Semrush Data'!$A$1:$A$20000,0),MATCH("Volume",'Semrush Data'!$A$1:$Z$1,0)),""))</f>
        <v/>
      </c>
      <c r="V232" s="23" t="str">
        <f aca="false">IF(COUNT(Q232:U232)=0,L232,IF(MAX(Q232:U232)=0,L232,INDEX(L232:P232,MATCH(MAX(Q232:U232),Q232:U232,0))))</f>
        <v>bvlgari man rain essence gift set</v>
      </c>
      <c r="W232" s="22" t="n">
        <f aca="false">IFERROR(INDEX('Semrush Data'!$A$1:$Z$20000,MATCH(V232,'Semrush Data'!$A$1:$A$20000,0),MATCH("Volume",'Semrush Data'!$A$1:$Z$1,0)),"")</f>
        <v>20</v>
      </c>
      <c r="X232" s="22" t="n">
        <f aca="false">IFERROR(INDEX('Semrush Data'!$A$1:$Z$20000,MATCH(V232,'Semrush Data'!$A$1:$A$20000,0),MATCH("Keyword Difficulty*",'Semrush Data'!$A$1:$Z$1,0)),"")</f>
        <v>16</v>
      </c>
      <c r="Y232" s="24" t="n">
        <f aca="false">IFERROR(INDEX('Semrush Data'!$A$1:$Z$20000,MATCH(V232,'Semrush Data'!$A$1:$A$20000,0),MATCH("CPC*",'Semrush Data'!$A$1:$Z$1,0)),"")</f>
        <v>0</v>
      </c>
      <c r="Z232" s="21" t="s">
        <v>3036</v>
      </c>
      <c r="AA232" s="21" t="s">
        <v>3079</v>
      </c>
      <c r="AB232" s="21" t="s">
        <v>3080</v>
      </c>
      <c r="AC232" s="21" t="s">
        <v>3081</v>
      </c>
      <c r="AD232" s="25" t="n">
        <f aca="false">LEN(AC232)</f>
        <v>57</v>
      </c>
      <c r="AE232" s="21" t="s">
        <v>3082</v>
      </c>
      <c r="AF232" s="25" t="n">
        <f aca="false">LEN(AE232)</f>
        <v>160</v>
      </c>
    </row>
    <row r="233" customFormat="false" ht="15" hidden="false" customHeight="true" outlineLevel="0" collapsed="false">
      <c r="A233" s="21" t="s">
        <v>3083</v>
      </c>
      <c r="B233" s="21" t="s">
        <v>2390</v>
      </c>
      <c r="C233" s="21" t="n">
        <v>73</v>
      </c>
      <c r="D233" s="21" t="s">
        <v>3030</v>
      </c>
      <c r="E233" s="21"/>
      <c r="F233" s="21" t="s">
        <v>1676</v>
      </c>
      <c r="G233" s="21" t="s">
        <v>2394</v>
      </c>
      <c r="H233" s="21" t="s">
        <v>2549</v>
      </c>
      <c r="I233" s="21" t="s">
        <v>3084</v>
      </c>
      <c r="J233" s="21" t="s">
        <v>1935</v>
      </c>
      <c r="K233" s="21" t="n">
        <v>69.99</v>
      </c>
      <c r="L233" s="21" t="s">
        <v>3085</v>
      </c>
      <c r="M233" s="21" t="s">
        <v>3086</v>
      </c>
      <c r="N233" s="21" t="s">
        <v>3087</v>
      </c>
      <c r="O233" s="21" t="s">
        <v>3088</v>
      </c>
      <c r="P233" s="21"/>
      <c r="Q233" s="22" t="n">
        <f aca="false">IF(L233="","",IFERROR(INDEX('Semrush Data'!$A$1:$Z$20000,MATCH(L233,'Semrush Data'!$A$1:$A$20000,0),MATCH("Volume",'Semrush Data'!$A$1:$Z$1,0)),""))</f>
        <v>20</v>
      </c>
      <c r="R233" s="22" t="n">
        <f aca="false">IF(M233="","",IFERROR(INDEX('Semrush Data'!$A$1:$Z$20000,MATCH(M233,'Semrush Data'!$A$1:$A$20000,0),MATCH("Volume",'Semrush Data'!$A$1:$Z$1,0)),""))</f>
        <v>0</v>
      </c>
      <c r="S233" s="22" t="str">
        <f aca="false">IF(N233="","",IFERROR(INDEX('Semrush Data'!$A$1:$Z$20000,MATCH(N233,'Semrush Data'!$A$1:$A$20000,0),MATCH("Volume",'Semrush Data'!$A$1:$Z$1,0)),""))</f>
        <v/>
      </c>
      <c r="T233" s="22" t="str">
        <f aca="false">IF(O233="","",IFERROR(INDEX('Semrush Data'!$A$1:$Z$20000,MATCH(O233,'Semrush Data'!$A$1:$A$20000,0),MATCH("Volume",'Semrush Data'!$A$1:$Z$1,0)),""))</f>
        <v/>
      </c>
      <c r="U233" s="22" t="str">
        <f aca="false">IF(P233="","",IFERROR(INDEX('Semrush Data'!$A$1:$Z$20000,MATCH(P233,'Semrush Data'!$A$1:$A$20000,0),MATCH("Volume",'Semrush Data'!$A$1:$Z$1,0)),""))</f>
        <v/>
      </c>
      <c r="V233" s="23" t="str">
        <f aca="false">IF(COUNT(Q233:U233)=0,L233,IF(MAX(Q233:U233)=0,L233,INDEX(L233:P233,MATCH(MAX(Q233:U233),Q233:U233,0))))</f>
        <v>bvlgari man terrae essence gift set</v>
      </c>
      <c r="W233" s="22" t="n">
        <f aca="false">IFERROR(INDEX('Semrush Data'!$A$1:$Z$20000,MATCH(V233,'Semrush Data'!$A$1:$A$20000,0),MATCH("Volume",'Semrush Data'!$A$1:$Z$1,0)),"")</f>
        <v>20</v>
      </c>
      <c r="X233" s="22" t="n">
        <f aca="false">IFERROR(INDEX('Semrush Data'!$A$1:$Z$20000,MATCH(V233,'Semrush Data'!$A$1:$A$20000,0),MATCH("Keyword Difficulty*",'Semrush Data'!$A$1:$Z$1,0)),"")</f>
        <v>11</v>
      </c>
      <c r="Y233" s="24" t="n">
        <f aca="false">IFERROR(INDEX('Semrush Data'!$A$1:$Z$20000,MATCH(V233,'Semrush Data'!$A$1:$A$20000,0),MATCH("CPC*",'Semrush Data'!$A$1:$Z$1,0)),"")</f>
        <v>0</v>
      </c>
      <c r="Z233" s="21" t="s">
        <v>3036</v>
      </c>
      <c r="AA233" s="21" t="s">
        <v>3089</v>
      </c>
      <c r="AB233" s="21" t="s">
        <v>3090</v>
      </c>
      <c r="AC233" s="21" t="s">
        <v>3091</v>
      </c>
      <c r="AD233" s="25" t="n">
        <f aca="false">LEN(AC233)</f>
        <v>59</v>
      </c>
      <c r="AE233" s="21" t="s">
        <v>3092</v>
      </c>
      <c r="AF233" s="25" t="n">
        <f aca="false">LEN(AE233)</f>
        <v>155</v>
      </c>
    </row>
    <row r="234" customFormat="false" ht="15" hidden="false" customHeight="true" outlineLevel="0" collapsed="false">
      <c r="A234" s="21" t="s">
        <v>3093</v>
      </c>
      <c r="B234" s="21" t="s">
        <v>2390</v>
      </c>
      <c r="C234" s="21" t="n">
        <v>74</v>
      </c>
      <c r="D234" s="21" t="s">
        <v>3030</v>
      </c>
      <c r="E234" s="21"/>
      <c r="F234" s="21" t="s">
        <v>1676</v>
      </c>
      <c r="G234" s="21" t="s">
        <v>2394</v>
      </c>
      <c r="H234" s="21" t="s">
        <v>2549</v>
      </c>
      <c r="I234" s="21" t="s">
        <v>3094</v>
      </c>
      <c r="J234" s="21" t="s">
        <v>1935</v>
      </c>
      <c r="K234" s="21" t="n">
        <v>64.99</v>
      </c>
      <c r="L234" s="21" t="s">
        <v>3095</v>
      </c>
      <c r="M234" s="21" t="s">
        <v>3096</v>
      </c>
      <c r="N234" s="21" t="s">
        <v>3097</v>
      </c>
      <c r="O234" s="21" t="s">
        <v>3098</v>
      </c>
      <c r="P234" s="21"/>
      <c r="Q234" s="22" t="n">
        <f aca="false">IF(L234="","",IFERROR(INDEX('Semrush Data'!$A$1:$Z$20000,MATCH(L234,'Semrush Data'!$A$1:$A$20000,0),MATCH("Volume",'Semrush Data'!$A$1:$Z$1,0)),""))</f>
        <v>20</v>
      </c>
      <c r="R234" s="22" t="n">
        <f aca="false">IF(M234="","",IFERROR(INDEX('Semrush Data'!$A$1:$Z$20000,MATCH(M234,'Semrush Data'!$A$1:$A$20000,0),MATCH("Volume",'Semrush Data'!$A$1:$Z$1,0)),""))</f>
        <v>0</v>
      </c>
      <c r="S234" s="22" t="str">
        <f aca="false">IF(N234="","",IFERROR(INDEX('Semrush Data'!$A$1:$Z$20000,MATCH(N234,'Semrush Data'!$A$1:$A$20000,0),MATCH("Volume",'Semrush Data'!$A$1:$Z$1,0)),""))</f>
        <v/>
      </c>
      <c r="T234" s="22" t="str">
        <f aca="false">IF(O234="","",IFERROR(INDEX('Semrush Data'!$A$1:$Z$20000,MATCH(O234,'Semrush Data'!$A$1:$A$20000,0),MATCH("Volume",'Semrush Data'!$A$1:$Z$1,0)),""))</f>
        <v/>
      </c>
      <c r="U234" s="22" t="str">
        <f aca="false">IF(P234="","",IFERROR(INDEX('Semrush Data'!$A$1:$Z$20000,MATCH(P234,'Semrush Data'!$A$1:$A$20000,0),MATCH("Volume",'Semrush Data'!$A$1:$Z$1,0)),""))</f>
        <v/>
      </c>
      <c r="V234" s="23" t="str">
        <f aca="false">IF(COUNT(Q234:U234)=0,L234,IF(MAX(Q234:U234)=0,L234,INDEX(L234:P234,MATCH(MAX(Q234:U234),Q234:U234,0))))</f>
        <v>bvlgari man wood essence gift set</v>
      </c>
      <c r="W234" s="22" t="n">
        <f aca="false">IFERROR(INDEX('Semrush Data'!$A$1:$Z$20000,MATCH(V234,'Semrush Data'!$A$1:$A$20000,0),MATCH("Volume",'Semrush Data'!$A$1:$Z$1,0)),"")</f>
        <v>20</v>
      </c>
      <c r="X234" s="22" t="n">
        <f aca="false">IFERROR(INDEX('Semrush Data'!$A$1:$Z$20000,MATCH(V234,'Semrush Data'!$A$1:$A$20000,0),MATCH("Keyword Difficulty*",'Semrush Data'!$A$1:$Z$1,0)),"")</f>
        <v>14</v>
      </c>
      <c r="Y234" s="24" t="n">
        <f aca="false">IFERROR(INDEX('Semrush Data'!$A$1:$Z$20000,MATCH(V234,'Semrush Data'!$A$1:$A$20000,0),MATCH("CPC*",'Semrush Data'!$A$1:$Z$1,0)),"")</f>
        <v>0.48</v>
      </c>
      <c r="Z234" s="21" t="s">
        <v>3036</v>
      </c>
      <c r="AA234" s="21" t="s">
        <v>3099</v>
      </c>
      <c r="AB234" s="21" t="s">
        <v>3100</v>
      </c>
      <c r="AC234" s="21" t="s">
        <v>3101</v>
      </c>
      <c r="AD234" s="25" t="n">
        <f aca="false">LEN(AC234)</f>
        <v>57</v>
      </c>
      <c r="AE234" s="21" t="s">
        <v>3102</v>
      </c>
      <c r="AF234" s="25" t="n">
        <f aca="false">LEN(AE234)</f>
        <v>160</v>
      </c>
    </row>
    <row r="235" customFormat="false" ht="15" hidden="false" customHeight="true" outlineLevel="0" collapsed="false">
      <c r="A235" s="21" t="s">
        <v>3103</v>
      </c>
      <c r="B235" s="21" t="s">
        <v>2390</v>
      </c>
      <c r="C235" s="21" t="n">
        <v>75</v>
      </c>
      <c r="D235" s="21" t="s">
        <v>3030</v>
      </c>
      <c r="E235" s="21"/>
      <c r="F235" s="21" t="s">
        <v>1676</v>
      </c>
      <c r="G235" s="21" t="s">
        <v>2394</v>
      </c>
      <c r="H235" s="21" t="s">
        <v>2395</v>
      </c>
      <c r="I235" s="21" t="s">
        <v>3104</v>
      </c>
      <c r="J235" s="21" t="s">
        <v>2435</v>
      </c>
      <c r="K235" s="21" t="n">
        <v>79.99</v>
      </c>
      <c r="L235" s="21" t="s">
        <v>3105</v>
      </c>
      <c r="M235" s="21" t="s">
        <v>3106</v>
      </c>
      <c r="N235" s="21" t="s">
        <v>3107</v>
      </c>
      <c r="O235" s="21" t="s">
        <v>3108</v>
      </c>
      <c r="P235" s="21"/>
      <c r="Q235" s="22" t="n">
        <f aca="false">IF(L235="","",IFERROR(INDEX('Semrush Data'!$A$1:$Z$20000,MATCH(L235,'Semrush Data'!$A$1:$A$20000,0),MATCH("Volume",'Semrush Data'!$A$1:$Z$1,0)),""))</f>
        <v>20</v>
      </c>
      <c r="R235" s="22" t="n">
        <f aca="false">IF(M235="","",IFERROR(INDEX('Semrush Data'!$A$1:$Z$20000,MATCH(M235,'Semrush Data'!$A$1:$A$20000,0),MATCH("Volume",'Semrush Data'!$A$1:$Z$1,0)),""))</f>
        <v>0</v>
      </c>
      <c r="S235" s="22" t="str">
        <f aca="false">IF(N235="","",IFERROR(INDEX('Semrush Data'!$A$1:$Z$20000,MATCH(N235,'Semrush Data'!$A$1:$A$20000,0),MATCH("Volume",'Semrush Data'!$A$1:$Z$1,0)),""))</f>
        <v/>
      </c>
      <c r="T235" s="22" t="str">
        <f aca="false">IF(O235="","",IFERROR(INDEX('Semrush Data'!$A$1:$Z$20000,MATCH(O235,'Semrush Data'!$A$1:$A$20000,0),MATCH("Volume",'Semrush Data'!$A$1:$Z$1,0)),""))</f>
        <v/>
      </c>
      <c r="U235" s="22" t="str">
        <f aca="false">IF(P235="","",IFERROR(INDEX('Semrush Data'!$A$1:$Z$20000,MATCH(P235,'Semrush Data'!$A$1:$A$20000,0),MATCH("Volume",'Semrush Data'!$A$1:$Z$1,0)),""))</f>
        <v/>
      </c>
      <c r="V235" s="23" t="str">
        <f aca="false">IF(COUNT(Q235:U235)=0,L235,IF(MAX(Q235:U235)=0,L235,INDEX(L235:P235,MATCH(MAX(Q235:U235),Q235:U235,0))))</f>
        <v>bvlgari rose goldea blossom delight gift set</v>
      </c>
      <c r="W235" s="22" t="n">
        <f aca="false">IFERROR(INDEX('Semrush Data'!$A$1:$Z$20000,MATCH(V235,'Semrush Data'!$A$1:$A$20000,0),MATCH("Volume",'Semrush Data'!$A$1:$Z$1,0)),"")</f>
        <v>20</v>
      </c>
      <c r="X235" s="22" t="n">
        <f aca="false">IFERROR(INDEX('Semrush Data'!$A$1:$Z$20000,MATCH(V235,'Semrush Data'!$A$1:$A$20000,0),MATCH("Keyword Difficulty*",'Semrush Data'!$A$1:$Z$1,0)),"")</f>
        <v>12</v>
      </c>
      <c r="Y235" s="24" t="n">
        <f aca="false">IFERROR(INDEX('Semrush Data'!$A$1:$Z$20000,MATCH(V235,'Semrush Data'!$A$1:$A$20000,0),MATCH("CPC*",'Semrush Data'!$A$1:$Z$1,0)),"")</f>
        <v>0</v>
      </c>
      <c r="Z235" s="21" t="s">
        <v>3048</v>
      </c>
      <c r="AA235" s="21" t="s">
        <v>3109</v>
      </c>
      <c r="AB235" s="21" t="s">
        <v>3110</v>
      </c>
      <c r="AC235" s="21" t="s">
        <v>3111</v>
      </c>
      <c r="AD235" s="25" t="n">
        <f aca="false">LEN(AC235)</f>
        <v>58</v>
      </c>
      <c r="AE235" s="21" t="s">
        <v>3112</v>
      </c>
      <c r="AF235" s="25" t="n">
        <f aca="false">LEN(AE235)</f>
        <v>159</v>
      </c>
    </row>
    <row r="236" customFormat="false" ht="15" hidden="false" customHeight="true" outlineLevel="0" collapsed="false">
      <c r="A236" s="21" t="s">
        <v>3113</v>
      </c>
      <c r="B236" s="21" t="s">
        <v>2390</v>
      </c>
      <c r="C236" s="21" t="n">
        <v>76</v>
      </c>
      <c r="D236" s="21" t="s">
        <v>3114</v>
      </c>
      <c r="E236" s="21"/>
      <c r="F236" s="21" t="s">
        <v>2393</v>
      </c>
      <c r="G236" s="21" t="s">
        <v>2394</v>
      </c>
      <c r="H236" s="21" t="s">
        <v>2549</v>
      </c>
      <c r="I236" s="21" t="s">
        <v>3115</v>
      </c>
      <c r="J236" s="21" t="s">
        <v>2755</v>
      </c>
      <c r="K236" s="21" t="n">
        <v>18.99</v>
      </c>
      <c r="L236" s="21" t="s">
        <v>3116</v>
      </c>
      <c r="M236" s="21" t="s">
        <v>3117</v>
      </c>
      <c r="N236" s="21" t="s">
        <v>3118</v>
      </c>
      <c r="O236" s="21" t="s">
        <v>3119</v>
      </c>
      <c r="P236" s="21" t="s">
        <v>3120</v>
      </c>
      <c r="Q236" s="22" t="n">
        <f aca="false">IF(L236="","",IFERROR(INDEX('Semrush Data'!$A$1:$Z$20000,MATCH(L236,'Semrush Data'!$A$1:$A$20000,0),MATCH("Volume",'Semrush Data'!$A$1:$Z$1,0)),""))</f>
        <v>0</v>
      </c>
      <c r="R236" s="22" t="n">
        <f aca="false">IF(M236="","",IFERROR(INDEX('Semrush Data'!$A$1:$Z$20000,MATCH(M236,'Semrush Data'!$A$1:$A$20000,0),MATCH("Volume",'Semrush Data'!$A$1:$Z$1,0)),""))</f>
        <v>0</v>
      </c>
      <c r="S236" s="22" t="str">
        <f aca="false">IF(N236="","",IFERROR(INDEX('Semrush Data'!$A$1:$Z$20000,MATCH(N236,'Semrush Data'!$A$1:$A$20000,0),MATCH("Volume",'Semrush Data'!$A$1:$Z$1,0)),""))</f>
        <v/>
      </c>
      <c r="T236" s="22" t="str">
        <f aca="false">IF(O236="","",IFERROR(INDEX('Semrush Data'!$A$1:$Z$20000,MATCH(O236,'Semrush Data'!$A$1:$A$20000,0),MATCH("Volume",'Semrush Data'!$A$1:$Z$1,0)),""))</f>
        <v/>
      </c>
      <c r="U236" s="22" t="str">
        <f aca="false">IF(P236="","",IFERROR(INDEX('Semrush Data'!$A$1:$Z$20000,MATCH(P236,'Semrush Data'!$A$1:$A$20000,0),MATCH("Volume",'Semrush Data'!$A$1:$Z$1,0)),""))</f>
        <v/>
      </c>
      <c r="V236" s="23" t="str">
        <f aca="false">IF(COUNT(Q236:U236)=0,L236,IF(MAX(Q236:U236)=0,L236,INDEX(L236:P236,MATCH(MAX(Q236:U236),Q236:U236,0))))</f>
        <v>calvin klein defy miniature</v>
      </c>
      <c r="W236" s="22" t="n">
        <f aca="false">IFERROR(INDEX('Semrush Data'!$A$1:$Z$20000,MATCH(V236,'Semrush Data'!$A$1:$A$20000,0),MATCH("Volume",'Semrush Data'!$A$1:$Z$1,0)),"")</f>
        <v>0</v>
      </c>
      <c r="X236" s="22" t="n">
        <f aca="false">IFERROR(INDEX('Semrush Data'!$A$1:$Z$20000,MATCH(V236,'Semrush Data'!$A$1:$A$20000,0),MATCH("Keyword Difficulty*",'Semrush Data'!$A$1:$Z$1,0)),"")</f>
        <v>19</v>
      </c>
      <c r="Y236" s="24" t="n">
        <f aca="false">IFERROR(INDEX('Semrush Data'!$A$1:$Z$20000,MATCH(V236,'Semrush Data'!$A$1:$A$20000,0),MATCH("CPC*",'Semrush Data'!$A$1:$Z$1,0)),"")</f>
        <v>0</v>
      </c>
      <c r="Z236" s="21" t="s">
        <v>3121</v>
      </c>
      <c r="AA236" s="21"/>
      <c r="AB236" s="21" t="s">
        <v>3122</v>
      </c>
      <c r="AC236" s="21" t="s">
        <v>3123</v>
      </c>
      <c r="AD236" s="25" t="n">
        <f aca="false">LEN(AC236)</f>
        <v>55</v>
      </c>
      <c r="AE236" s="21" t="s">
        <v>3124</v>
      </c>
      <c r="AF236" s="25" t="n">
        <f aca="false">LEN(AE236)</f>
        <v>159</v>
      </c>
    </row>
    <row r="237" customFormat="false" ht="15" hidden="false" customHeight="true" outlineLevel="0" collapsed="false">
      <c r="A237" s="21" t="s">
        <v>60</v>
      </c>
      <c r="B237" s="21" t="s">
        <v>2390</v>
      </c>
      <c r="C237" s="21" t="n">
        <v>77</v>
      </c>
      <c r="D237" s="21" t="s">
        <v>3114</v>
      </c>
      <c r="E237" s="21"/>
      <c r="F237" s="21" t="s">
        <v>2393</v>
      </c>
      <c r="G237" s="21" t="s">
        <v>2394</v>
      </c>
      <c r="H237" s="21" t="s">
        <v>2395</v>
      </c>
      <c r="I237" s="21" t="s">
        <v>61</v>
      </c>
      <c r="J237" s="21" t="s">
        <v>1957</v>
      </c>
      <c r="K237" s="21" t="n">
        <v>28.99</v>
      </c>
      <c r="L237" s="21" t="s">
        <v>3125</v>
      </c>
      <c r="M237" s="21" t="s">
        <v>3126</v>
      </c>
      <c r="N237" s="21" t="s">
        <v>3127</v>
      </c>
      <c r="O237" s="21" t="s">
        <v>3128</v>
      </c>
      <c r="P237" s="21" t="s">
        <v>3129</v>
      </c>
      <c r="Q237" s="22" t="n">
        <f aca="false">IF(L237="","",IFERROR(INDEX('Semrush Data'!$A$1:$Z$20000,MATCH(L237,'Semrush Data'!$A$1:$A$20000,0),MATCH("Volume",'Semrush Data'!$A$1:$Z$1,0)),""))</f>
        <v>4400</v>
      </c>
      <c r="R237" s="22" t="n">
        <f aca="false">IF(M237="","",IFERROR(INDEX('Semrush Data'!$A$1:$Z$20000,MATCH(M237,'Semrush Data'!$A$1:$A$20000,0),MATCH("Volume",'Semrush Data'!$A$1:$Z$1,0)),""))</f>
        <v>20</v>
      </c>
      <c r="S237" s="22" t="str">
        <f aca="false">IF(N237="","",IFERROR(INDEX('Semrush Data'!$A$1:$Z$20000,MATCH(N237,'Semrush Data'!$A$1:$A$20000,0),MATCH("Volume",'Semrush Data'!$A$1:$Z$1,0)),""))</f>
        <v/>
      </c>
      <c r="T237" s="22" t="str">
        <f aca="false">IF(O237="","",IFERROR(INDEX('Semrush Data'!$A$1:$Z$20000,MATCH(O237,'Semrush Data'!$A$1:$A$20000,0),MATCH("Volume",'Semrush Data'!$A$1:$Z$1,0)),""))</f>
        <v/>
      </c>
      <c r="U237" s="22" t="n">
        <f aca="false">IF(P237="","",IFERROR(INDEX('Semrush Data'!$A$1:$Z$20000,MATCH(P237,'Semrush Data'!$A$1:$A$20000,0),MATCH("Volume",'Semrush Data'!$A$1:$Z$1,0)),""))</f>
        <v>210</v>
      </c>
      <c r="V237" s="23" t="str">
        <f aca="false">IF(COUNT(Q237:U237)=0,L237,IF(MAX(Q237:U237)=0,L237,INDEX(L237:P237,MATCH(MAX(Q237:U237),Q237:U237,0))))</f>
        <v>calvin klein eternity</v>
      </c>
      <c r="W237" s="22" t="n">
        <f aca="false">IFERROR(INDEX('Semrush Data'!$A$1:$Z$20000,MATCH(V237,'Semrush Data'!$A$1:$A$20000,0),MATCH("Volume",'Semrush Data'!$A$1:$Z$1,0)),"")</f>
        <v>4400</v>
      </c>
      <c r="X237" s="22" t="n">
        <f aca="false">IFERROR(INDEX('Semrush Data'!$A$1:$Z$20000,MATCH(V237,'Semrush Data'!$A$1:$A$20000,0),MATCH("Keyword Difficulty*",'Semrush Data'!$A$1:$Z$1,0)),"")</f>
        <v>21</v>
      </c>
      <c r="Y237" s="24" t="n">
        <f aca="false">IFERROR(INDEX('Semrush Data'!$A$1:$Z$20000,MATCH(V237,'Semrush Data'!$A$1:$A$20000,0),MATCH("CPC*",'Semrush Data'!$A$1:$Z$1,0)),"")</f>
        <v>0.37</v>
      </c>
      <c r="Z237" s="21" t="s">
        <v>3130</v>
      </c>
      <c r="AA237" s="21" t="s">
        <v>3131</v>
      </c>
      <c r="AB237" s="21" t="s">
        <v>3132</v>
      </c>
      <c r="AC237" s="21" t="s">
        <v>3133</v>
      </c>
      <c r="AD237" s="25" t="n">
        <f aca="false">LEN(AC237)</f>
        <v>57</v>
      </c>
      <c r="AE237" s="21" t="s">
        <v>3134</v>
      </c>
      <c r="AF237" s="25" t="n">
        <f aca="false">LEN(AE237)</f>
        <v>156</v>
      </c>
    </row>
    <row r="238" customFormat="false" ht="15" hidden="false" customHeight="true" outlineLevel="0" collapsed="false">
      <c r="A238" s="21" t="s">
        <v>3135</v>
      </c>
      <c r="B238" s="21" t="s">
        <v>2390</v>
      </c>
      <c r="C238" s="21" t="n">
        <v>78</v>
      </c>
      <c r="D238" s="21" t="s">
        <v>3114</v>
      </c>
      <c r="E238" s="21"/>
      <c r="F238" s="21" t="s">
        <v>2393</v>
      </c>
      <c r="G238" s="21" t="s">
        <v>2394</v>
      </c>
      <c r="H238" s="21" t="s">
        <v>2395</v>
      </c>
      <c r="I238" s="21" t="s">
        <v>3136</v>
      </c>
      <c r="J238" s="21" t="s">
        <v>2755</v>
      </c>
      <c r="K238" s="21" t="n">
        <v>18.99</v>
      </c>
      <c r="L238" s="21" t="s">
        <v>3137</v>
      </c>
      <c r="M238" s="21" t="s">
        <v>3138</v>
      </c>
      <c r="N238" s="21" t="s">
        <v>3139</v>
      </c>
      <c r="O238" s="21" t="s">
        <v>3140</v>
      </c>
      <c r="P238" s="21" t="s">
        <v>3141</v>
      </c>
      <c r="Q238" s="22" t="n">
        <f aca="false">IF(L238="","",IFERROR(INDEX('Semrush Data'!$A$1:$Z$20000,MATCH(L238,'Semrush Data'!$A$1:$A$20000,0),MATCH("Volume",'Semrush Data'!$A$1:$Z$1,0)),""))</f>
        <v>0</v>
      </c>
      <c r="R238" s="22" t="n">
        <f aca="false">IF(M238="","",IFERROR(INDEX('Semrush Data'!$A$1:$Z$20000,MATCH(M238,'Semrush Data'!$A$1:$A$20000,0),MATCH("Volume",'Semrush Data'!$A$1:$Z$1,0)),""))</f>
        <v>0</v>
      </c>
      <c r="S238" s="22" t="str">
        <f aca="false">IF(N238="","",IFERROR(INDEX('Semrush Data'!$A$1:$Z$20000,MATCH(N238,'Semrush Data'!$A$1:$A$20000,0),MATCH("Volume",'Semrush Data'!$A$1:$Z$1,0)),""))</f>
        <v/>
      </c>
      <c r="T238" s="22" t="str">
        <f aca="false">IF(O238="","",IFERROR(INDEX('Semrush Data'!$A$1:$Z$20000,MATCH(O238,'Semrush Data'!$A$1:$A$20000,0),MATCH("Volume",'Semrush Data'!$A$1:$Z$1,0)),""))</f>
        <v/>
      </c>
      <c r="U238" s="22" t="str">
        <f aca="false">IF(P238="","",IFERROR(INDEX('Semrush Data'!$A$1:$Z$20000,MATCH(P238,'Semrush Data'!$A$1:$A$20000,0),MATCH("Volume",'Semrush Data'!$A$1:$Z$1,0)),""))</f>
        <v/>
      </c>
      <c r="V238" s="23" t="str">
        <f aca="false">IF(COUNT(Q238:U238)=0,L238,IF(MAX(Q238:U238)=0,L238,INDEX(L238:P238,MATCH(MAX(Q238:U238),Q238:U238,0))))</f>
        <v>calvin klein my euphoria miniature</v>
      </c>
      <c r="W238" s="22" t="n">
        <f aca="false">IFERROR(INDEX('Semrush Data'!$A$1:$Z$20000,MATCH(V238,'Semrush Data'!$A$1:$A$20000,0),MATCH("Volume",'Semrush Data'!$A$1:$Z$1,0)),"")</f>
        <v>0</v>
      </c>
      <c r="X238" s="22" t="n">
        <f aca="false">IFERROR(INDEX('Semrush Data'!$A$1:$Z$20000,MATCH(V238,'Semrush Data'!$A$1:$A$20000,0),MATCH("Keyword Difficulty*",'Semrush Data'!$A$1:$Z$1,0)),"")</f>
        <v>17</v>
      </c>
      <c r="Y238" s="24" t="n">
        <f aca="false">IFERROR(INDEX('Semrush Data'!$A$1:$Z$20000,MATCH(V238,'Semrush Data'!$A$1:$A$20000,0),MATCH("CPC*",'Semrush Data'!$A$1:$Z$1,0)),"")</f>
        <v>0</v>
      </c>
      <c r="Z238" s="21" t="s">
        <v>3130</v>
      </c>
      <c r="AA238" s="21"/>
      <c r="AB238" s="21" t="s">
        <v>3142</v>
      </c>
      <c r="AC238" s="21" t="s">
        <v>3143</v>
      </c>
      <c r="AD238" s="25" t="n">
        <f aca="false">LEN(AC238)</f>
        <v>57</v>
      </c>
      <c r="AE238" s="21" t="s">
        <v>3144</v>
      </c>
      <c r="AF238" s="25" t="n">
        <f aca="false">LEN(AE238)</f>
        <v>157</v>
      </c>
    </row>
    <row r="239" customFormat="false" ht="15" hidden="false" customHeight="true" outlineLevel="0" collapsed="false">
      <c r="A239" s="21" t="s">
        <v>3145</v>
      </c>
      <c r="B239" s="21" t="s">
        <v>2390</v>
      </c>
      <c r="C239" s="21" t="n">
        <v>79</v>
      </c>
      <c r="D239" s="21" t="s">
        <v>3114</v>
      </c>
      <c r="E239" s="21"/>
      <c r="F239" s="21" t="s">
        <v>2393</v>
      </c>
      <c r="G239" s="21" t="s">
        <v>2759</v>
      </c>
      <c r="H239" s="21" t="s">
        <v>2832</v>
      </c>
      <c r="I239" s="21" t="s">
        <v>3146</v>
      </c>
      <c r="J239" s="21" t="s">
        <v>1935</v>
      </c>
      <c r="K239" s="21" t="n">
        <v>38.99</v>
      </c>
      <c r="L239" s="21" t="s">
        <v>3125</v>
      </c>
      <c r="M239" s="21" t="s">
        <v>3126</v>
      </c>
      <c r="N239" s="21" t="s">
        <v>3127</v>
      </c>
      <c r="O239" s="21" t="s">
        <v>3128</v>
      </c>
      <c r="P239" s="21" t="s">
        <v>3147</v>
      </c>
      <c r="Q239" s="22" t="n">
        <f aca="false">IF(L239="","",IFERROR(INDEX('Semrush Data'!$A$1:$Z$20000,MATCH(L239,'Semrush Data'!$A$1:$A$20000,0),MATCH("Volume",'Semrush Data'!$A$1:$Z$1,0)),""))</f>
        <v>4400</v>
      </c>
      <c r="R239" s="22" t="n">
        <f aca="false">IF(M239="","",IFERROR(INDEX('Semrush Data'!$A$1:$Z$20000,MATCH(M239,'Semrush Data'!$A$1:$A$20000,0),MATCH("Volume",'Semrush Data'!$A$1:$Z$1,0)),""))</f>
        <v>20</v>
      </c>
      <c r="S239" s="22" t="str">
        <f aca="false">IF(N239="","",IFERROR(INDEX('Semrush Data'!$A$1:$Z$20000,MATCH(N239,'Semrush Data'!$A$1:$A$20000,0),MATCH("Volume",'Semrush Data'!$A$1:$Z$1,0)),""))</f>
        <v/>
      </c>
      <c r="T239" s="22" t="str">
        <f aca="false">IF(O239="","",IFERROR(INDEX('Semrush Data'!$A$1:$Z$20000,MATCH(O239,'Semrush Data'!$A$1:$A$20000,0),MATCH("Volume",'Semrush Data'!$A$1:$Z$1,0)),""))</f>
        <v/>
      </c>
      <c r="U239" s="22" t="str">
        <f aca="false">IF(P239="","",IFERROR(INDEX('Semrush Data'!$A$1:$Z$20000,MATCH(P239,'Semrush Data'!$A$1:$A$20000,0),MATCH("Volume",'Semrush Data'!$A$1:$Z$1,0)),""))</f>
        <v/>
      </c>
      <c r="V239" s="23" t="str">
        <f aca="false">IF(COUNT(Q239:U239)=0,L239,IF(MAX(Q239:U239)=0,L239,INDEX(L239:P239,MATCH(MAX(Q239:U239),Q239:U239,0))))</f>
        <v>calvin klein eternity</v>
      </c>
      <c r="W239" s="22" t="n">
        <f aca="false">IFERROR(INDEX('Semrush Data'!$A$1:$Z$20000,MATCH(V239,'Semrush Data'!$A$1:$A$20000,0),MATCH("Volume",'Semrush Data'!$A$1:$Z$1,0)),"")</f>
        <v>4400</v>
      </c>
      <c r="X239" s="22" t="n">
        <f aca="false">IFERROR(INDEX('Semrush Data'!$A$1:$Z$20000,MATCH(V239,'Semrush Data'!$A$1:$A$20000,0),MATCH("Keyword Difficulty*",'Semrush Data'!$A$1:$Z$1,0)),"")</f>
        <v>21</v>
      </c>
      <c r="Y239" s="24" t="n">
        <f aca="false">IFERROR(INDEX('Semrush Data'!$A$1:$Z$20000,MATCH(V239,'Semrush Data'!$A$1:$A$20000,0),MATCH("CPC*",'Semrush Data'!$A$1:$Z$1,0)),"")</f>
        <v>0.37</v>
      </c>
      <c r="Z239" s="21" t="s">
        <v>3148</v>
      </c>
      <c r="AA239" s="21" t="s">
        <v>3131</v>
      </c>
      <c r="AB239" s="21" t="s">
        <v>3149</v>
      </c>
      <c r="AC239" s="21" t="s">
        <v>3150</v>
      </c>
      <c r="AD239" s="25" t="n">
        <f aca="false">LEN(AC239)</f>
        <v>59</v>
      </c>
      <c r="AE239" s="21" t="s">
        <v>3151</v>
      </c>
      <c r="AF239" s="25" t="n">
        <f aca="false">LEN(AE239)</f>
        <v>160</v>
      </c>
    </row>
    <row r="240" customFormat="false" ht="15" hidden="false" customHeight="true" outlineLevel="0" collapsed="false">
      <c r="A240" s="21" t="s">
        <v>3152</v>
      </c>
      <c r="B240" s="21" t="s">
        <v>2390</v>
      </c>
      <c r="C240" s="21" t="n">
        <v>80</v>
      </c>
      <c r="D240" s="21" t="s">
        <v>3114</v>
      </c>
      <c r="E240" s="21"/>
      <c r="F240" s="21" t="s">
        <v>1676</v>
      </c>
      <c r="G240" s="21" t="s">
        <v>2491</v>
      </c>
      <c r="H240" s="21" t="s">
        <v>2457</v>
      </c>
      <c r="I240" s="21" t="s">
        <v>3153</v>
      </c>
      <c r="J240" s="21" t="s">
        <v>3154</v>
      </c>
      <c r="K240" s="21" t="n">
        <v>33.99</v>
      </c>
      <c r="L240" s="21" t="s">
        <v>3155</v>
      </c>
      <c r="M240" s="21" t="s">
        <v>3156</v>
      </c>
      <c r="N240" s="21" t="s">
        <v>3157</v>
      </c>
      <c r="O240" s="21" t="s">
        <v>3158</v>
      </c>
      <c r="P240" s="21"/>
      <c r="Q240" s="22" t="n">
        <f aca="false">IF(L240="","",IFERROR(INDEX('Semrush Data'!$A$1:$Z$20000,MATCH(L240,'Semrush Data'!$A$1:$A$20000,0),MATCH("Volume",'Semrush Data'!$A$1:$Z$1,0)),""))</f>
        <v>20</v>
      </c>
      <c r="R240" s="22" t="n">
        <f aca="false">IF(M240="","",IFERROR(INDEX('Semrush Data'!$A$1:$Z$20000,MATCH(M240,'Semrush Data'!$A$1:$A$20000,0),MATCH("Volume",'Semrush Data'!$A$1:$Z$1,0)),""))</f>
        <v>0</v>
      </c>
      <c r="S240" s="22" t="str">
        <f aca="false">IF(N240="","",IFERROR(INDEX('Semrush Data'!$A$1:$Z$20000,MATCH(N240,'Semrush Data'!$A$1:$A$20000,0),MATCH("Volume",'Semrush Data'!$A$1:$Z$1,0)),""))</f>
        <v/>
      </c>
      <c r="T240" s="22" t="str">
        <f aca="false">IF(O240="","",IFERROR(INDEX('Semrush Data'!$A$1:$Z$20000,MATCH(O240,'Semrush Data'!$A$1:$A$20000,0),MATCH("Volume",'Semrush Data'!$A$1:$Z$1,0)),""))</f>
        <v/>
      </c>
      <c r="U240" s="22" t="str">
        <f aca="false">IF(P240="","",IFERROR(INDEX('Semrush Data'!$A$1:$Z$20000,MATCH(P240,'Semrush Data'!$A$1:$A$20000,0),MATCH("Volume",'Semrush Data'!$A$1:$Z$1,0)),""))</f>
        <v/>
      </c>
      <c r="V240" s="23" t="str">
        <f aca="false">IF(COUNT(Q240:U240)=0,L240,IF(MAX(Q240:U240)=0,L240,INDEX(L240:P240,MATCH(MAX(Q240:U240),Q240:U240,0))))</f>
        <v>calvin klein miniature set</v>
      </c>
      <c r="W240" s="22" t="n">
        <f aca="false">IFERROR(INDEX('Semrush Data'!$A$1:$Z$20000,MATCH(V240,'Semrush Data'!$A$1:$A$20000,0),MATCH("Volume",'Semrush Data'!$A$1:$Z$1,0)),"")</f>
        <v>20</v>
      </c>
      <c r="X240" s="22" t="n">
        <f aca="false">IFERROR(INDEX('Semrush Data'!$A$1:$Z$20000,MATCH(V240,'Semrush Data'!$A$1:$A$20000,0),MATCH("Keyword Difficulty*",'Semrush Data'!$A$1:$Z$1,0)),"")</f>
        <v>13</v>
      </c>
      <c r="Y240" s="24" t="n">
        <f aca="false">IFERROR(INDEX('Semrush Data'!$A$1:$Z$20000,MATCH(V240,'Semrush Data'!$A$1:$A$20000,0),MATCH("CPC*",'Semrush Data'!$A$1:$Z$1,0)),"")</f>
        <v>0</v>
      </c>
      <c r="Z240" s="21" t="s">
        <v>3159</v>
      </c>
      <c r="AA240" s="21" t="s">
        <v>3160</v>
      </c>
      <c r="AB240" s="21" t="s">
        <v>3161</v>
      </c>
      <c r="AC240" s="21" t="s">
        <v>3162</v>
      </c>
      <c r="AD240" s="25" t="n">
        <f aca="false">LEN(AC240)</f>
        <v>58</v>
      </c>
      <c r="AE240" s="21" t="s">
        <v>3163</v>
      </c>
      <c r="AF240" s="25" t="n">
        <f aca="false">LEN(AE240)</f>
        <v>155</v>
      </c>
    </row>
    <row r="241" customFormat="false" ht="15" hidden="false" customHeight="true" outlineLevel="0" collapsed="false">
      <c r="A241" s="21" t="s">
        <v>3164</v>
      </c>
      <c r="B241" s="21" t="s">
        <v>2390</v>
      </c>
      <c r="C241" s="21" t="n">
        <v>81</v>
      </c>
      <c r="D241" s="21" t="s">
        <v>3114</v>
      </c>
      <c r="E241" s="21"/>
      <c r="F241" s="21" t="s">
        <v>2393</v>
      </c>
      <c r="G241" s="21" t="s">
        <v>2974</v>
      </c>
      <c r="H241" s="21" t="s">
        <v>2549</v>
      </c>
      <c r="I241" s="21" t="s">
        <v>3165</v>
      </c>
      <c r="J241" s="21" t="s">
        <v>2755</v>
      </c>
      <c r="K241" s="21" t="n">
        <v>18.99</v>
      </c>
      <c r="L241" s="21" t="s">
        <v>3166</v>
      </c>
      <c r="M241" s="21" t="s">
        <v>3167</v>
      </c>
      <c r="N241" s="21" t="s">
        <v>3168</v>
      </c>
      <c r="O241" s="21" t="s">
        <v>3169</v>
      </c>
      <c r="P241" s="21" t="s">
        <v>3170</v>
      </c>
      <c r="Q241" s="22" t="n">
        <f aca="false">IF(L241="","",IFERROR(INDEX('Semrush Data'!$A$1:$Z$20000,MATCH(L241,'Semrush Data'!$A$1:$A$20000,0),MATCH("Volume",'Semrush Data'!$A$1:$Z$1,0)),""))</f>
        <v>0</v>
      </c>
      <c r="R241" s="22" t="n">
        <f aca="false">IF(M241="","",IFERROR(INDEX('Semrush Data'!$A$1:$Z$20000,MATCH(M241,'Semrush Data'!$A$1:$A$20000,0),MATCH("Volume",'Semrush Data'!$A$1:$Z$1,0)),""))</f>
        <v>0</v>
      </c>
      <c r="S241" s="22" t="str">
        <f aca="false">IF(N241="","",IFERROR(INDEX('Semrush Data'!$A$1:$Z$20000,MATCH(N241,'Semrush Data'!$A$1:$A$20000,0),MATCH("Volume",'Semrush Data'!$A$1:$Z$1,0)),""))</f>
        <v/>
      </c>
      <c r="T241" s="22" t="str">
        <f aca="false">IF(O241="","",IFERROR(INDEX('Semrush Data'!$A$1:$Z$20000,MATCH(O241,'Semrush Data'!$A$1:$A$20000,0),MATCH("Volume",'Semrush Data'!$A$1:$Z$1,0)),""))</f>
        <v/>
      </c>
      <c r="U241" s="22" t="str">
        <f aca="false">IF(P241="","",IFERROR(INDEX('Semrush Data'!$A$1:$Z$20000,MATCH(P241,'Semrush Data'!$A$1:$A$20000,0),MATCH("Volume",'Semrush Data'!$A$1:$Z$1,0)),""))</f>
        <v/>
      </c>
      <c r="V241" s="23" t="str">
        <f aca="false">IF(COUNT(Q241:U241)=0,L241,IF(MAX(Q241:U241)=0,L241,INDEX(L241:P241,MATCH(MAX(Q241:U241),Q241:U241,0))))</f>
        <v>calvin klein defy parfum miniature</v>
      </c>
      <c r="W241" s="22" t="n">
        <f aca="false">IFERROR(INDEX('Semrush Data'!$A$1:$Z$20000,MATCH(V241,'Semrush Data'!$A$1:$A$20000,0),MATCH("Volume",'Semrush Data'!$A$1:$Z$1,0)),"")</f>
        <v>0</v>
      </c>
      <c r="X241" s="22" t="n">
        <f aca="false">IFERROR(INDEX('Semrush Data'!$A$1:$Z$20000,MATCH(V241,'Semrush Data'!$A$1:$A$20000,0),MATCH("Keyword Difficulty*",'Semrush Data'!$A$1:$Z$1,0)),"")</f>
        <v>22</v>
      </c>
      <c r="Y241" s="24" t="n">
        <f aca="false">IFERROR(INDEX('Semrush Data'!$A$1:$Z$20000,MATCH(V241,'Semrush Data'!$A$1:$A$20000,0),MATCH("CPC*",'Semrush Data'!$A$1:$Z$1,0)),"")</f>
        <v>0</v>
      </c>
      <c r="Z241" s="21" t="s">
        <v>3121</v>
      </c>
      <c r="AA241" s="21"/>
      <c r="AB241" s="21" t="s">
        <v>3171</v>
      </c>
      <c r="AC241" s="21" t="s">
        <v>3172</v>
      </c>
      <c r="AD241" s="25" t="n">
        <f aca="false">LEN(AC241)</f>
        <v>53</v>
      </c>
      <c r="AE241" s="21" t="s">
        <v>3173</v>
      </c>
      <c r="AF241" s="25" t="n">
        <f aca="false">LEN(AE241)</f>
        <v>145</v>
      </c>
    </row>
    <row r="242" customFormat="false" ht="15" hidden="false" customHeight="true" outlineLevel="0" collapsed="false">
      <c r="A242" s="21" t="s">
        <v>88</v>
      </c>
      <c r="B242" s="21" t="s">
        <v>2390</v>
      </c>
      <c r="C242" s="21" t="n">
        <v>82</v>
      </c>
      <c r="D242" s="21" t="s">
        <v>3114</v>
      </c>
      <c r="E242" s="21"/>
      <c r="F242" s="21" t="s">
        <v>2393</v>
      </c>
      <c r="G242" s="21" t="s">
        <v>2974</v>
      </c>
      <c r="H242" s="21" t="s">
        <v>2549</v>
      </c>
      <c r="I242" s="21" t="s">
        <v>89</v>
      </c>
      <c r="J242" s="21" t="s">
        <v>3174</v>
      </c>
      <c r="K242" s="21" t="n">
        <v>22.99</v>
      </c>
      <c r="L242" s="21" t="s">
        <v>3175</v>
      </c>
      <c r="M242" s="21" t="s">
        <v>3176</v>
      </c>
      <c r="N242" s="21" t="s">
        <v>3177</v>
      </c>
      <c r="O242" s="21" t="s">
        <v>3178</v>
      </c>
      <c r="P242" s="21" t="s">
        <v>3179</v>
      </c>
      <c r="Q242" s="22" t="n">
        <f aca="false">IF(L242="","",IFERROR(INDEX('Semrush Data'!$A$1:$Z$20000,MATCH(L242,'Semrush Data'!$A$1:$A$20000,0),MATCH("Volume",'Semrush Data'!$A$1:$Z$1,0)),""))</f>
        <v>1000</v>
      </c>
      <c r="R242" s="22" t="n">
        <f aca="false">IF(M242="","",IFERROR(INDEX('Semrush Data'!$A$1:$Z$20000,MATCH(M242,'Semrush Data'!$A$1:$A$20000,0),MATCH("Volume",'Semrush Data'!$A$1:$Z$1,0)),""))</f>
        <v>20</v>
      </c>
      <c r="S242" s="22" t="str">
        <f aca="false">IF(N242="","",IFERROR(INDEX('Semrush Data'!$A$1:$Z$20000,MATCH(N242,'Semrush Data'!$A$1:$A$20000,0),MATCH("Volume",'Semrush Data'!$A$1:$Z$1,0)),""))</f>
        <v/>
      </c>
      <c r="T242" s="22" t="str">
        <f aca="false">IF(O242="","",IFERROR(INDEX('Semrush Data'!$A$1:$Z$20000,MATCH(O242,'Semrush Data'!$A$1:$A$20000,0),MATCH("Volume",'Semrush Data'!$A$1:$Z$1,0)),""))</f>
        <v/>
      </c>
      <c r="U242" s="22" t="n">
        <f aca="false">IF(P242="","",IFERROR(INDEX('Semrush Data'!$A$1:$Z$20000,MATCH(P242,'Semrush Data'!$A$1:$A$20000,0),MATCH("Volume",'Semrush Data'!$A$1:$Z$1,0)),""))</f>
        <v>210</v>
      </c>
      <c r="V242" s="23" t="str">
        <f aca="false">IF(COUNT(Q242:U242)=0,L242,IF(MAX(Q242:U242)=0,L242,INDEX(L242:P242,MATCH(MAX(Q242:U242),Q242:U242,0))))</f>
        <v>calvin klein defy</v>
      </c>
      <c r="W242" s="22" t="n">
        <f aca="false">IFERROR(INDEX('Semrush Data'!$A$1:$Z$20000,MATCH(V242,'Semrush Data'!$A$1:$A$20000,0),MATCH("Volume",'Semrush Data'!$A$1:$Z$1,0)),"")</f>
        <v>1000</v>
      </c>
      <c r="X242" s="22" t="n">
        <f aca="false">IFERROR(INDEX('Semrush Data'!$A$1:$Z$20000,MATCH(V242,'Semrush Data'!$A$1:$A$20000,0),MATCH("Keyword Difficulty*",'Semrush Data'!$A$1:$Z$1,0)),"")</f>
        <v>18</v>
      </c>
      <c r="Y242" s="24" t="n">
        <f aca="false">IFERROR(INDEX('Semrush Data'!$A$1:$Z$20000,MATCH(V242,'Semrush Data'!$A$1:$A$20000,0),MATCH("CPC*",'Semrush Data'!$A$1:$Z$1,0)),"")</f>
        <v>0.42</v>
      </c>
      <c r="Z242" s="21" t="s">
        <v>3121</v>
      </c>
      <c r="AA242" s="21" t="s">
        <v>3180</v>
      </c>
      <c r="AB242" s="21" t="s">
        <v>3181</v>
      </c>
      <c r="AC242" s="21" t="s">
        <v>3182</v>
      </c>
      <c r="AD242" s="25" t="n">
        <f aca="false">LEN(AC242)</f>
        <v>51</v>
      </c>
      <c r="AE242" s="21" t="s">
        <v>3183</v>
      </c>
      <c r="AF242" s="25" t="n">
        <f aca="false">LEN(AE242)</f>
        <v>136</v>
      </c>
    </row>
    <row r="243" customFormat="false" ht="15" hidden="false" customHeight="true" outlineLevel="0" collapsed="false">
      <c r="A243" s="21" t="s">
        <v>3184</v>
      </c>
      <c r="B243" s="21" t="s">
        <v>2390</v>
      </c>
      <c r="C243" s="21" t="n">
        <v>83</v>
      </c>
      <c r="D243" s="21" t="s">
        <v>3114</v>
      </c>
      <c r="E243" s="21"/>
      <c r="F243" s="21" t="s">
        <v>2393</v>
      </c>
      <c r="G243" s="21" t="s">
        <v>2974</v>
      </c>
      <c r="H243" s="21" t="s">
        <v>2549</v>
      </c>
      <c r="I243" s="21" t="s">
        <v>89</v>
      </c>
      <c r="J243" s="21" t="s">
        <v>3174</v>
      </c>
      <c r="K243" s="21" t="n">
        <v>34.99</v>
      </c>
      <c r="L243" s="21" t="s">
        <v>3175</v>
      </c>
      <c r="M243" s="21" t="s">
        <v>3176</v>
      </c>
      <c r="N243" s="21" t="s">
        <v>3177</v>
      </c>
      <c r="O243" s="21" t="s">
        <v>3178</v>
      </c>
      <c r="P243" s="21" t="s">
        <v>3179</v>
      </c>
      <c r="Q243" s="22" t="n">
        <f aca="false">IF(L243="","",IFERROR(INDEX('Semrush Data'!$A$1:$Z$20000,MATCH(L243,'Semrush Data'!$A$1:$A$20000,0),MATCH("Volume",'Semrush Data'!$A$1:$Z$1,0)),""))</f>
        <v>1000</v>
      </c>
      <c r="R243" s="22" t="n">
        <f aca="false">IF(M243="","",IFERROR(INDEX('Semrush Data'!$A$1:$Z$20000,MATCH(M243,'Semrush Data'!$A$1:$A$20000,0),MATCH("Volume",'Semrush Data'!$A$1:$Z$1,0)),""))</f>
        <v>20</v>
      </c>
      <c r="S243" s="22" t="str">
        <f aca="false">IF(N243="","",IFERROR(INDEX('Semrush Data'!$A$1:$Z$20000,MATCH(N243,'Semrush Data'!$A$1:$A$20000,0),MATCH("Volume",'Semrush Data'!$A$1:$Z$1,0)),""))</f>
        <v/>
      </c>
      <c r="T243" s="22" t="str">
        <f aca="false">IF(O243="","",IFERROR(INDEX('Semrush Data'!$A$1:$Z$20000,MATCH(O243,'Semrush Data'!$A$1:$A$20000,0),MATCH("Volume",'Semrush Data'!$A$1:$Z$1,0)),""))</f>
        <v/>
      </c>
      <c r="U243" s="22" t="n">
        <f aca="false">IF(P243="","",IFERROR(INDEX('Semrush Data'!$A$1:$Z$20000,MATCH(P243,'Semrush Data'!$A$1:$A$20000,0),MATCH("Volume",'Semrush Data'!$A$1:$Z$1,0)),""))</f>
        <v>210</v>
      </c>
      <c r="V243" s="23" t="str">
        <f aca="false">IF(COUNT(Q243:U243)=0,L243,IF(MAX(Q243:U243)=0,L243,INDEX(L243:P243,MATCH(MAX(Q243:U243),Q243:U243,0))))</f>
        <v>calvin klein defy</v>
      </c>
      <c r="W243" s="22" t="n">
        <f aca="false">IFERROR(INDEX('Semrush Data'!$A$1:$Z$20000,MATCH(V243,'Semrush Data'!$A$1:$A$20000,0),MATCH("Volume",'Semrush Data'!$A$1:$Z$1,0)),"")</f>
        <v>1000</v>
      </c>
      <c r="X243" s="22" t="n">
        <f aca="false">IFERROR(INDEX('Semrush Data'!$A$1:$Z$20000,MATCH(V243,'Semrush Data'!$A$1:$A$20000,0),MATCH("Keyword Difficulty*",'Semrush Data'!$A$1:$Z$1,0)),"")</f>
        <v>18</v>
      </c>
      <c r="Y243" s="24" t="n">
        <f aca="false">IFERROR(INDEX('Semrush Data'!$A$1:$Z$20000,MATCH(V243,'Semrush Data'!$A$1:$A$20000,0),MATCH("CPC*",'Semrush Data'!$A$1:$Z$1,0)),"")</f>
        <v>0.42</v>
      </c>
      <c r="Z243" s="21" t="s">
        <v>3121</v>
      </c>
      <c r="AA243" s="21" t="s">
        <v>3180</v>
      </c>
      <c r="AB243" s="21" t="s">
        <v>3181</v>
      </c>
      <c r="AC243" s="21" t="s">
        <v>3182</v>
      </c>
      <c r="AD243" s="25" t="n">
        <f aca="false">LEN(AC243)</f>
        <v>51</v>
      </c>
      <c r="AE243" s="21" t="s">
        <v>3183</v>
      </c>
      <c r="AF243" s="25" t="n">
        <f aca="false">LEN(AE243)</f>
        <v>136</v>
      </c>
    </row>
    <row r="244" customFormat="false" ht="15" hidden="false" customHeight="true" outlineLevel="0" collapsed="false">
      <c r="A244" s="21" t="s">
        <v>3185</v>
      </c>
      <c r="B244" s="21" t="s">
        <v>2390</v>
      </c>
      <c r="C244" s="21" t="n">
        <v>84</v>
      </c>
      <c r="D244" s="21" t="s">
        <v>3114</v>
      </c>
      <c r="E244" s="21"/>
      <c r="F244" s="21" t="s">
        <v>2393</v>
      </c>
      <c r="G244" s="21" t="s">
        <v>2974</v>
      </c>
      <c r="H244" s="21" t="s">
        <v>2549</v>
      </c>
      <c r="I244" s="21" t="s">
        <v>3186</v>
      </c>
      <c r="J244" s="21" t="s">
        <v>2755</v>
      </c>
      <c r="K244" s="21" t="n">
        <v>18.99</v>
      </c>
      <c r="L244" s="21" t="s">
        <v>3187</v>
      </c>
      <c r="M244" s="21" t="s">
        <v>3188</v>
      </c>
      <c r="N244" s="21" t="s">
        <v>3189</v>
      </c>
      <c r="O244" s="21" t="s">
        <v>3190</v>
      </c>
      <c r="P244" s="21" t="s">
        <v>3191</v>
      </c>
      <c r="Q244" s="22" t="n">
        <f aca="false">IF(L244="","",IFERROR(INDEX('Semrush Data'!$A$1:$Z$20000,MATCH(L244,'Semrush Data'!$A$1:$A$20000,0),MATCH("Volume",'Semrush Data'!$A$1:$Z$1,0)),""))</f>
        <v>0</v>
      </c>
      <c r="R244" s="22" t="n">
        <f aca="false">IF(M244="","",IFERROR(INDEX('Semrush Data'!$A$1:$Z$20000,MATCH(M244,'Semrush Data'!$A$1:$A$20000,0),MATCH("Volume",'Semrush Data'!$A$1:$Z$1,0)),""))</f>
        <v>0</v>
      </c>
      <c r="S244" s="22" t="str">
        <f aca="false">IF(N244="","",IFERROR(INDEX('Semrush Data'!$A$1:$Z$20000,MATCH(N244,'Semrush Data'!$A$1:$A$20000,0),MATCH("Volume",'Semrush Data'!$A$1:$Z$1,0)),""))</f>
        <v/>
      </c>
      <c r="T244" s="22" t="str">
        <f aca="false">IF(O244="","",IFERROR(INDEX('Semrush Data'!$A$1:$Z$20000,MATCH(O244,'Semrush Data'!$A$1:$A$20000,0),MATCH("Volume",'Semrush Data'!$A$1:$Z$1,0)),""))</f>
        <v/>
      </c>
      <c r="U244" s="22" t="str">
        <f aca="false">IF(P244="","",IFERROR(INDEX('Semrush Data'!$A$1:$Z$20000,MATCH(P244,'Semrush Data'!$A$1:$A$20000,0),MATCH("Volume",'Semrush Data'!$A$1:$Z$1,0)),""))</f>
        <v/>
      </c>
      <c r="V244" s="23" t="str">
        <f aca="false">IF(COUNT(Q244:U244)=0,L244,IF(MAX(Q244:U244)=0,L244,INDEX(L244:P244,MATCH(MAX(Q244:U244),Q244:U244,0))))</f>
        <v>calvin klein eternity aromatic essence parfum intense miniature</v>
      </c>
      <c r="W244" s="22" t="n">
        <f aca="false">IFERROR(INDEX('Semrush Data'!$A$1:$Z$20000,MATCH(V244,'Semrush Data'!$A$1:$A$20000,0),MATCH("Volume",'Semrush Data'!$A$1:$Z$1,0)),"")</f>
        <v>0</v>
      </c>
      <c r="X244" s="22" t="n">
        <f aca="false">IFERROR(INDEX('Semrush Data'!$A$1:$Z$20000,MATCH(V244,'Semrush Data'!$A$1:$A$20000,0),MATCH("Keyword Difficulty*",'Semrush Data'!$A$1:$Z$1,0)),"")</f>
        <v>17</v>
      </c>
      <c r="Y244" s="24" t="n">
        <f aca="false">IFERROR(INDEX('Semrush Data'!$A$1:$Z$20000,MATCH(V244,'Semrush Data'!$A$1:$A$20000,0),MATCH("CPC*",'Semrush Data'!$A$1:$Z$1,0)),"")</f>
        <v>0</v>
      </c>
      <c r="Z244" s="21" t="s">
        <v>3121</v>
      </c>
      <c r="AA244" s="21"/>
      <c r="AB244" s="21" t="s">
        <v>3192</v>
      </c>
      <c r="AC244" s="21" t="s">
        <v>3193</v>
      </c>
      <c r="AD244" s="25" t="n">
        <f aca="false">LEN(AC244)</f>
        <v>52</v>
      </c>
      <c r="AE244" s="21" t="s">
        <v>3194</v>
      </c>
      <c r="AF244" s="25" t="n">
        <f aca="false">LEN(AE244)</f>
        <v>160</v>
      </c>
    </row>
    <row r="245" customFormat="false" ht="15" hidden="false" customHeight="true" outlineLevel="0" collapsed="false">
      <c r="A245" s="21" t="s">
        <v>3195</v>
      </c>
      <c r="B245" s="21" t="s">
        <v>2390</v>
      </c>
      <c r="C245" s="21" t="n">
        <v>85</v>
      </c>
      <c r="D245" s="21" t="s">
        <v>3114</v>
      </c>
      <c r="E245" s="21"/>
      <c r="F245" s="21" t="s">
        <v>2393</v>
      </c>
      <c r="G245" s="21" t="s">
        <v>2974</v>
      </c>
      <c r="H245" s="21" t="s">
        <v>2395</v>
      </c>
      <c r="I245" s="21" t="s">
        <v>3196</v>
      </c>
      <c r="J245" s="21" t="s">
        <v>2755</v>
      </c>
      <c r="K245" s="21" t="n">
        <v>18.99</v>
      </c>
      <c r="L245" s="21" t="s">
        <v>3187</v>
      </c>
      <c r="M245" s="21" t="s">
        <v>3188</v>
      </c>
      <c r="N245" s="21" t="s">
        <v>3189</v>
      </c>
      <c r="O245" s="21" t="s">
        <v>3190</v>
      </c>
      <c r="P245" s="21" t="s">
        <v>3191</v>
      </c>
      <c r="Q245" s="22" t="n">
        <f aca="false">IF(L245="","",IFERROR(INDEX('Semrush Data'!$A$1:$Z$20000,MATCH(L245,'Semrush Data'!$A$1:$A$20000,0),MATCH("Volume",'Semrush Data'!$A$1:$Z$1,0)),""))</f>
        <v>0</v>
      </c>
      <c r="R245" s="22" t="n">
        <f aca="false">IF(M245="","",IFERROR(INDEX('Semrush Data'!$A$1:$Z$20000,MATCH(M245,'Semrush Data'!$A$1:$A$20000,0),MATCH("Volume",'Semrush Data'!$A$1:$Z$1,0)),""))</f>
        <v>0</v>
      </c>
      <c r="S245" s="22" t="str">
        <f aca="false">IF(N245="","",IFERROR(INDEX('Semrush Data'!$A$1:$Z$20000,MATCH(N245,'Semrush Data'!$A$1:$A$20000,0),MATCH("Volume",'Semrush Data'!$A$1:$Z$1,0)),""))</f>
        <v/>
      </c>
      <c r="T245" s="22" t="str">
        <f aca="false">IF(O245="","",IFERROR(INDEX('Semrush Data'!$A$1:$Z$20000,MATCH(O245,'Semrush Data'!$A$1:$A$20000,0),MATCH("Volume",'Semrush Data'!$A$1:$Z$1,0)),""))</f>
        <v/>
      </c>
      <c r="U245" s="22" t="str">
        <f aca="false">IF(P245="","",IFERROR(INDEX('Semrush Data'!$A$1:$Z$20000,MATCH(P245,'Semrush Data'!$A$1:$A$20000,0),MATCH("Volume",'Semrush Data'!$A$1:$Z$1,0)),""))</f>
        <v/>
      </c>
      <c r="V245" s="23" t="str">
        <f aca="false">IF(COUNT(Q245:U245)=0,L245,IF(MAX(Q245:U245)=0,L245,INDEX(L245:P245,MATCH(MAX(Q245:U245),Q245:U245,0))))</f>
        <v>calvin klein eternity aromatic essence parfum intense miniature</v>
      </c>
      <c r="W245" s="22" t="n">
        <f aca="false">IFERROR(INDEX('Semrush Data'!$A$1:$Z$20000,MATCH(V245,'Semrush Data'!$A$1:$A$20000,0),MATCH("Volume",'Semrush Data'!$A$1:$Z$1,0)),"")</f>
        <v>0</v>
      </c>
      <c r="X245" s="22" t="n">
        <f aca="false">IFERROR(INDEX('Semrush Data'!$A$1:$Z$20000,MATCH(V245,'Semrush Data'!$A$1:$A$20000,0),MATCH("Keyword Difficulty*",'Semrush Data'!$A$1:$Z$1,0)),"")</f>
        <v>17</v>
      </c>
      <c r="Y245" s="24" t="n">
        <f aca="false">IFERROR(INDEX('Semrush Data'!$A$1:$Z$20000,MATCH(V245,'Semrush Data'!$A$1:$A$20000,0),MATCH("CPC*",'Semrush Data'!$A$1:$Z$1,0)),"")</f>
        <v>0</v>
      </c>
      <c r="Z245" s="21" t="s">
        <v>3130</v>
      </c>
      <c r="AA245" s="21"/>
      <c r="AB245" s="21" t="s">
        <v>3192</v>
      </c>
      <c r="AC245" s="21" t="s">
        <v>3193</v>
      </c>
      <c r="AD245" s="25" t="n">
        <f aca="false">LEN(AC245)</f>
        <v>52</v>
      </c>
      <c r="AE245" s="21" t="s">
        <v>3197</v>
      </c>
      <c r="AF245" s="25" t="n">
        <f aca="false">LEN(AE245)</f>
        <v>157</v>
      </c>
    </row>
    <row r="246" customFormat="false" ht="15" hidden="false" customHeight="true" outlineLevel="0" collapsed="false">
      <c r="A246" s="21" t="s">
        <v>3198</v>
      </c>
      <c r="B246" s="21" t="s">
        <v>2390</v>
      </c>
      <c r="C246" s="21" t="n">
        <v>86</v>
      </c>
      <c r="D246" s="21" t="s">
        <v>3114</v>
      </c>
      <c r="E246" s="21"/>
      <c r="F246" s="21" t="s">
        <v>2393</v>
      </c>
      <c r="G246" s="21" t="s">
        <v>2974</v>
      </c>
      <c r="H246" s="21" t="s">
        <v>2873</v>
      </c>
      <c r="I246" s="21" t="s">
        <v>3199</v>
      </c>
      <c r="J246" s="21" t="s">
        <v>2755</v>
      </c>
      <c r="K246" s="21" t="n">
        <v>18.99</v>
      </c>
      <c r="L246" s="21" t="s">
        <v>3200</v>
      </c>
      <c r="M246" s="21" t="s">
        <v>3201</v>
      </c>
      <c r="N246" s="21" t="s">
        <v>3202</v>
      </c>
      <c r="O246" s="21" t="s">
        <v>3203</v>
      </c>
      <c r="P246" s="21" t="s">
        <v>3204</v>
      </c>
      <c r="Q246" s="22" t="n">
        <f aca="false">IF(L246="","",IFERROR(INDEX('Semrush Data'!$A$1:$Z$20000,MATCH(L246,'Semrush Data'!$A$1:$A$20000,0),MATCH("Volume",'Semrush Data'!$A$1:$Z$1,0)),""))</f>
        <v>0</v>
      </c>
      <c r="R246" s="22" t="n">
        <f aca="false">IF(M246="","",IFERROR(INDEX('Semrush Data'!$A$1:$Z$20000,MATCH(M246,'Semrush Data'!$A$1:$A$20000,0),MATCH("Volume",'Semrush Data'!$A$1:$Z$1,0)),""))</f>
        <v>0</v>
      </c>
      <c r="S246" s="22" t="str">
        <f aca="false">IF(N246="","",IFERROR(INDEX('Semrush Data'!$A$1:$Z$20000,MATCH(N246,'Semrush Data'!$A$1:$A$20000,0),MATCH("Volume",'Semrush Data'!$A$1:$Z$1,0)),""))</f>
        <v/>
      </c>
      <c r="T246" s="22" t="str">
        <f aca="false">IF(O246="","",IFERROR(INDEX('Semrush Data'!$A$1:$Z$20000,MATCH(O246,'Semrush Data'!$A$1:$A$20000,0),MATCH("Volume",'Semrush Data'!$A$1:$Z$1,0)),""))</f>
        <v/>
      </c>
      <c r="U246" s="22" t="str">
        <f aca="false">IF(P246="","",IFERROR(INDEX('Semrush Data'!$A$1:$Z$20000,MATCH(P246,'Semrush Data'!$A$1:$A$20000,0),MATCH("Volume",'Semrush Data'!$A$1:$Z$1,0)),""))</f>
        <v/>
      </c>
      <c r="V246" s="23" t="str">
        <f aca="false">IF(COUNT(Q246:U246)=0,L246,IF(MAX(Q246:U246)=0,L246,INDEX(L246:P246,MATCH(MAX(Q246:U246),Q246:U246,0))))</f>
        <v>calvin klein eternity parfum miniature</v>
      </c>
      <c r="W246" s="22" t="n">
        <f aca="false">IFERROR(INDEX('Semrush Data'!$A$1:$Z$20000,MATCH(V246,'Semrush Data'!$A$1:$A$20000,0),MATCH("Volume",'Semrush Data'!$A$1:$Z$1,0)),"")</f>
        <v>0</v>
      </c>
      <c r="X246" s="22" t="n">
        <f aca="false">IFERROR(INDEX('Semrush Data'!$A$1:$Z$20000,MATCH(V246,'Semrush Data'!$A$1:$A$20000,0),MATCH("Keyword Difficulty*",'Semrush Data'!$A$1:$Z$1,0)),"")</f>
        <v>16</v>
      </c>
      <c r="Y246" s="24" t="n">
        <f aca="false">IFERROR(INDEX('Semrush Data'!$A$1:$Z$20000,MATCH(V246,'Semrush Data'!$A$1:$A$20000,0),MATCH("CPC*",'Semrush Data'!$A$1:$Z$1,0)),"")</f>
        <v>0</v>
      </c>
      <c r="Z246" s="21" t="s">
        <v>3205</v>
      </c>
      <c r="AA246" s="21" t="s">
        <v>3206</v>
      </c>
      <c r="AB246" s="21" t="s">
        <v>3207</v>
      </c>
      <c r="AC246" s="21" t="s">
        <v>3208</v>
      </c>
      <c r="AD246" s="25" t="n">
        <f aca="false">LEN(AC246)</f>
        <v>52</v>
      </c>
      <c r="AE246" s="21" t="s">
        <v>3209</v>
      </c>
      <c r="AF246" s="25" t="n">
        <f aca="false">LEN(AE246)</f>
        <v>153</v>
      </c>
    </row>
    <row r="247" customFormat="false" ht="15" hidden="false" customHeight="true" outlineLevel="0" collapsed="false">
      <c r="A247" s="21" t="s">
        <v>3210</v>
      </c>
      <c r="B247" s="21" t="s">
        <v>2390</v>
      </c>
      <c r="C247" s="21" t="n">
        <v>87</v>
      </c>
      <c r="D247" s="21" t="s">
        <v>3211</v>
      </c>
      <c r="E247" s="21"/>
      <c r="F247" s="21" t="s">
        <v>2393</v>
      </c>
      <c r="G247" s="21" t="s">
        <v>2394</v>
      </c>
      <c r="H247" s="21" t="s">
        <v>2395</v>
      </c>
      <c r="I247" s="21" t="s">
        <v>3212</v>
      </c>
      <c r="J247" s="21" t="s">
        <v>2774</v>
      </c>
      <c r="K247" s="21" t="n">
        <v>74.99</v>
      </c>
      <c r="L247" s="21" t="s">
        <v>3213</v>
      </c>
      <c r="M247" s="21" t="s">
        <v>3214</v>
      </c>
      <c r="N247" s="21" t="s">
        <v>3215</v>
      </c>
      <c r="O247" s="21" t="s">
        <v>3216</v>
      </c>
      <c r="P247" s="21" t="s">
        <v>3217</v>
      </c>
      <c r="Q247" s="22" t="n">
        <f aca="false">IF(L247="","",IFERROR(INDEX('Semrush Data'!$A$1:$Z$20000,MATCH(L247,'Semrush Data'!$A$1:$A$20000,0),MATCH("Volume",'Semrush Data'!$A$1:$Z$1,0)),""))</f>
        <v>260</v>
      </c>
      <c r="R247" s="22" t="n">
        <f aca="false">IF(M247="","",IFERROR(INDEX('Semrush Data'!$A$1:$Z$20000,MATCH(M247,'Semrush Data'!$A$1:$A$20000,0),MATCH("Volume",'Semrush Data'!$A$1:$Z$1,0)),""))</f>
        <v>0</v>
      </c>
      <c r="S247" s="22" t="str">
        <f aca="false">IF(N247="","",IFERROR(INDEX('Semrush Data'!$A$1:$Z$20000,MATCH(N247,'Semrush Data'!$A$1:$A$20000,0),MATCH("Volume",'Semrush Data'!$A$1:$Z$1,0)),""))</f>
        <v/>
      </c>
      <c r="T247" s="22" t="str">
        <f aca="false">IF(O247="","",IFERROR(INDEX('Semrush Data'!$A$1:$Z$20000,MATCH(O247,'Semrush Data'!$A$1:$A$20000,0),MATCH("Volume",'Semrush Data'!$A$1:$Z$1,0)),""))</f>
        <v/>
      </c>
      <c r="U247" s="22" t="n">
        <f aca="false">IF(P247="","",IFERROR(INDEX('Semrush Data'!$A$1:$Z$20000,MATCH(P247,'Semrush Data'!$A$1:$A$20000,0),MATCH("Volume",'Semrush Data'!$A$1:$Z$1,0)),""))</f>
        <v>20</v>
      </c>
      <c r="V247" s="23" t="str">
        <f aca="false">IF(COUNT(Q247:U247)=0,L247,IF(MAX(Q247:U247)=0,L247,INDEX(L247:P247,MATCH(MAX(Q247:U247),Q247:U247,0))))</f>
        <v>carolina herrera 212 vip rose</v>
      </c>
      <c r="W247" s="22" t="n">
        <f aca="false">IFERROR(INDEX('Semrush Data'!$A$1:$Z$20000,MATCH(V247,'Semrush Data'!$A$1:$A$20000,0),MATCH("Volume",'Semrush Data'!$A$1:$Z$1,0)),"")</f>
        <v>260</v>
      </c>
      <c r="X247" s="22" t="n">
        <f aca="false">IFERROR(INDEX('Semrush Data'!$A$1:$Z$20000,MATCH(V247,'Semrush Data'!$A$1:$A$20000,0),MATCH("Keyword Difficulty*",'Semrush Data'!$A$1:$Z$1,0)),"")</f>
        <v>16</v>
      </c>
      <c r="Y247" s="24" t="n">
        <f aca="false">IFERROR(INDEX('Semrush Data'!$A$1:$Z$20000,MATCH(V247,'Semrush Data'!$A$1:$A$20000,0),MATCH("CPC*",'Semrush Data'!$A$1:$Z$1,0)),"")</f>
        <v>0.39</v>
      </c>
      <c r="Z247" s="21" t="s">
        <v>3218</v>
      </c>
      <c r="AA247" s="21" t="s">
        <v>3219</v>
      </c>
      <c r="AB247" s="21" t="s">
        <v>3220</v>
      </c>
      <c r="AC247" s="21" t="s">
        <v>3221</v>
      </c>
      <c r="AD247" s="25" t="n">
        <f aca="false">LEN(AC247)</f>
        <v>57</v>
      </c>
      <c r="AE247" s="21" t="s">
        <v>3222</v>
      </c>
      <c r="AF247" s="25" t="n">
        <f aca="false">LEN(AE247)</f>
        <v>159</v>
      </c>
    </row>
    <row r="248" customFormat="false" ht="15" hidden="false" customHeight="true" outlineLevel="0" collapsed="false">
      <c r="A248" s="21" t="s">
        <v>134</v>
      </c>
      <c r="B248" s="21" t="s">
        <v>2390</v>
      </c>
      <c r="C248" s="21" t="n">
        <v>88</v>
      </c>
      <c r="D248" s="21" t="s">
        <v>3211</v>
      </c>
      <c r="E248" s="21"/>
      <c r="F248" s="21" t="s">
        <v>2393</v>
      </c>
      <c r="G248" s="21" t="s">
        <v>2394</v>
      </c>
      <c r="H248" s="21" t="s">
        <v>2975</v>
      </c>
      <c r="I248" s="21" t="s">
        <v>135</v>
      </c>
      <c r="J248" s="21" t="s">
        <v>1409</v>
      </c>
      <c r="K248" s="21" t="n">
        <v>19.99</v>
      </c>
      <c r="L248" s="21" t="s">
        <v>3223</v>
      </c>
      <c r="M248" s="21" t="s">
        <v>3224</v>
      </c>
      <c r="N248" s="21" t="s">
        <v>3225</v>
      </c>
      <c r="O248" s="21" t="s">
        <v>3226</v>
      </c>
      <c r="P248" s="21" t="s">
        <v>3227</v>
      </c>
      <c r="Q248" s="22" t="n">
        <f aca="false">IF(L248="","",IFERROR(INDEX('Semrush Data'!$A$1:$Z$20000,MATCH(L248,'Semrush Data'!$A$1:$A$20000,0),MATCH("Volume",'Semrush Data'!$A$1:$Z$1,0)),""))</f>
        <v>390</v>
      </c>
      <c r="R248" s="22" t="n">
        <f aca="false">IF(M248="","",IFERROR(INDEX('Semrush Data'!$A$1:$Z$20000,MATCH(M248,'Semrush Data'!$A$1:$A$20000,0),MATCH("Volume",'Semrush Data'!$A$1:$Z$1,0)),""))</f>
        <v>0</v>
      </c>
      <c r="S248" s="22" t="str">
        <f aca="false">IF(N248="","",IFERROR(INDEX('Semrush Data'!$A$1:$Z$20000,MATCH(N248,'Semrush Data'!$A$1:$A$20000,0),MATCH("Volume",'Semrush Data'!$A$1:$Z$1,0)),""))</f>
        <v/>
      </c>
      <c r="T248" s="22" t="str">
        <f aca="false">IF(O248="","",IFERROR(INDEX('Semrush Data'!$A$1:$Z$20000,MATCH(O248,'Semrush Data'!$A$1:$A$20000,0),MATCH("Volume",'Semrush Data'!$A$1:$Z$1,0)),""))</f>
        <v/>
      </c>
      <c r="U248" s="22" t="n">
        <f aca="false">IF(P248="","",IFERROR(INDEX('Semrush Data'!$A$1:$Z$20000,MATCH(P248,'Semrush Data'!$A$1:$A$20000,0),MATCH("Volume",'Semrush Data'!$A$1:$Z$1,0)),""))</f>
        <v>20</v>
      </c>
      <c r="V248" s="23" t="str">
        <f aca="false">IF(COUNT(Q248:U248)=0,L248,IF(MAX(Q248:U248)=0,L248,INDEX(L248:P248,MATCH(MAX(Q248:U248),Q248:U248,0))))</f>
        <v>carolina herrera bad boy extreme</v>
      </c>
      <c r="W248" s="22" t="n">
        <f aca="false">IFERROR(INDEX('Semrush Data'!$A$1:$Z$20000,MATCH(V248,'Semrush Data'!$A$1:$A$20000,0),MATCH("Volume",'Semrush Data'!$A$1:$Z$1,0)),"")</f>
        <v>390</v>
      </c>
      <c r="X248" s="22" t="n">
        <f aca="false">IFERROR(INDEX('Semrush Data'!$A$1:$Z$20000,MATCH(V248,'Semrush Data'!$A$1:$A$20000,0),MATCH("Keyword Difficulty*",'Semrush Data'!$A$1:$Z$1,0)),"")</f>
        <v>17</v>
      </c>
      <c r="Y248" s="24" t="n">
        <f aca="false">IFERROR(INDEX('Semrush Data'!$A$1:$Z$20000,MATCH(V248,'Semrush Data'!$A$1:$A$20000,0),MATCH("CPC*",'Semrush Data'!$A$1:$Z$1,0)),"")</f>
        <v>0.62</v>
      </c>
      <c r="Z248" s="21" t="s">
        <v>3228</v>
      </c>
      <c r="AA248" s="21" t="s">
        <v>3229</v>
      </c>
      <c r="AB248" s="21" t="s">
        <v>3230</v>
      </c>
      <c r="AC248" s="21" t="s">
        <v>3231</v>
      </c>
      <c r="AD248" s="25" t="n">
        <f aca="false">LEN(AC248)</f>
        <v>60</v>
      </c>
      <c r="AE248" s="21" t="s">
        <v>3232</v>
      </c>
      <c r="AF248" s="25" t="n">
        <f aca="false">LEN(AE248)</f>
        <v>159</v>
      </c>
    </row>
    <row r="249" customFormat="false" ht="15" hidden="false" customHeight="true" outlineLevel="0" collapsed="false">
      <c r="A249" s="21" t="s">
        <v>3233</v>
      </c>
      <c r="B249" s="21" t="s">
        <v>2390</v>
      </c>
      <c r="C249" s="21" t="n">
        <v>89</v>
      </c>
      <c r="D249" s="21" t="s">
        <v>3211</v>
      </c>
      <c r="E249" s="21"/>
      <c r="F249" s="21" t="s">
        <v>2393</v>
      </c>
      <c r="G249" s="21" t="s">
        <v>2394</v>
      </c>
      <c r="H249" s="21" t="s">
        <v>2975</v>
      </c>
      <c r="I249" s="21" t="s">
        <v>135</v>
      </c>
      <c r="J249" s="21" t="s">
        <v>1409</v>
      </c>
      <c r="K249" s="21" t="n">
        <v>50.99</v>
      </c>
      <c r="L249" s="21" t="s">
        <v>3223</v>
      </c>
      <c r="M249" s="21" t="s">
        <v>3224</v>
      </c>
      <c r="N249" s="21" t="s">
        <v>3225</v>
      </c>
      <c r="O249" s="21" t="s">
        <v>3226</v>
      </c>
      <c r="P249" s="21" t="s">
        <v>3227</v>
      </c>
      <c r="Q249" s="22" t="n">
        <f aca="false">IF(L249="","",IFERROR(INDEX('Semrush Data'!$A$1:$Z$20000,MATCH(L249,'Semrush Data'!$A$1:$A$20000,0),MATCH("Volume",'Semrush Data'!$A$1:$Z$1,0)),""))</f>
        <v>390</v>
      </c>
      <c r="R249" s="22" t="n">
        <f aca="false">IF(M249="","",IFERROR(INDEX('Semrush Data'!$A$1:$Z$20000,MATCH(M249,'Semrush Data'!$A$1:$A$20000,0),MATCH("Volume",'Semrush Data'!$A$1:$Z$1,0)),""))</f>
        <v>0</v>
      </c>
      <c r="S249" s="22" t="str">
        <f aca="false">IF(N249="","",IFERROR(INDEX('Semrush Data'!$A$1:$Z$20000,MATCH(N249,'Semrush Data'!$A$1:$A$20000,0),MATCH("Volume",'Semrush Data'!$A$1:$Z$1,0)),""))</f>
        <v/>
      </c>
      <c r="T249" s="22" t="str">
        <f aca="false">IF(O249="","",IFERROR(INDEX('Semrush Data'!$A$1:$Z$20000,MATCH(O249,'Semrush Data'!$A$1:$A$20000,0),MATCH("Volume",'Semrush Data'!$A$1:$Z$1,0)),""))</f>
        <v/>
      </c>
      <c r="U249" s="22" t="n">
        <f aca="false">IF(P249="","",IFERROR(INDEX('Semrush Data'!$A$1:$Z$20000,MATCH(P249,'Semrush Data'!$A$1:$A$20000,0),MATCH("Volume",'Semrush Data'!$A$1:$Z$1,0)),""))</f>
        <v>20</v>
      </c>
      <c r="V249" s="23" t="str">
        <f aca="false">IF(COUNT(Q249:U249)=0,L249,IF(MAX(Q249:U249)=0,L249,INDEX(L249:P249,MATCH(MAX(Q249:U249),Q249:U249,0))))</f>
        <v>carolina herrera bad boy extreme</v>
      </c>
      <c r="W249" s="22" t="n">
        <f aca="false">IFERROR(INDEX('Semrush Data'!$A$1:$Z$20000,MATCH(V249,'Semrush Data'!$A$1:$A$20000,0),MATCH("Volume",'Semrush Data'!$A$1:$Z$1,0)),"")</f>
        <v>390</v>
      </c>
      <c r="X249" s="22" t="n">
        <f aca="false">IFERROR(INDEX('Semrush Data'!$A$1:$Z$20000,MATCH(V249,'Semrush Data'!$A$1:$A$20000,0),MATCH("Keyword Difficulty*",'Semrush Data'!$A$1:$Z$1,0)),"")</f>
        <v>17</v>
      </c>
      <c r="Y249" s="24" t="n">
        <f aca="false">IFERROR(INDEX('Semrush Data'!$A$1:$Z$20000,MATCH(V249,'Semrush Data'!$A$1:$A$20000,0),MATCH("CPC*",'Semrush Data'!$A$1:$Z$1,0)),"")</f>
        <v>0.62</v>
      </c>
      <c r="Z249" s="21" t="s">
        <v>3228</v>
      </c>
      <c r="AA249" s="21" t="s">
        <v>3229</v>
      </c>
      <c r="AB249" s="21" t="s">
        <v>3230</v>
      </c>
      <c r="AC249" s="21" t="s">
        <v>3231</v>
      </c>
      <c r="AD249" s="25" t="n">
        <f aca="false">LEN(AC249)</f>
        <v>60</v>
      </c>
      <c r="AE249" s="21" t="s">
        <v>3232</v>
      </c>
      <c r="AF249" s="25" t="n">
        <f aca="false">LEN(AE249)</f>
        <v>159</v>
      </c>
    </row>
    <row r="250" customFormat="false" ht="15" hidden="false" customHeight="true" outlineLevel="0" collapsed="false">
      <c r="A250" s="21" t="s">
        <v>3234</v>
      </c>
      <c r="B250" s="21" t="s">
        <v>2390</v>
      </c>
      <c r="C250" s="21" t="n">
        <v>90</v>
      </c>
      <c r="D250" s="21" t="s">
        <v>3211</v>
      </c>
      <c r="E250" s="21"/>
      <c r="F250" s="21" t="s">
        <v>2393</v>
      </c>
      <c r="G250" s="21" t="s">
        <v>2394</v>
      </c>
      <c r="H250" s="21" t="s">
        <v>2549</v>
      </c>
      <c r="I250" s="21" t="s">
        <v>3235</v>
      </c>
      <c r="J250" s="21" t="s">
        <v>2755</v>
      </c>
      <c r="K250" s="21" t="n">
        <v>19.99</v>
      </c>
      <c r="L250" s="21" t="s">
        <v>3236</v>
      </c>
      <c r="M250" s="21" t="s">
        <v>3237</v>
      </c>
      <c r="N250" s="21" t="s">
        <v>3238</v>
      </c>
      <c r="O250" s="21" t="s">
        <v>3239</v>
      </c>
      <c r="P250" s="21" t="s">
        <v>3240</v>
      </c>
      <c r="Q250" s="22" t="n">
        <f aca="false">IF(L250="","",IFERROR(INDEX('Semrush Data'!$A$1:$Z$20000,MATCH(L250,'Semrush Data'!$A$1:$A$20000,0),MATCH("Volume",'Semrush Data'!$A$1:$Z$1,0)),""))</f>
        <v>0</v>
      </c>
      <c r="R250" s="22" t="n">
        <f aca="false">IF(M250="","",IFERROR(INDEX('Semrush Data'!$A$1:$Z$20000,MATCH(M250,'Semrush Data'!$A$1:$A$20000,0),MATCH("Volume",'Semrush Data'!$A$1:$Z$1,0)),""))</f>
        <v>0</v>
      </c>
      <c r="S250" s="22" t="str">
        <f aca="false">IF(N250="","",IFERROR(INDEX('Semrush Data'!$A$1:$Z$20000,MATCH(N250,'Semrush Data'!$A$1:$A$20000,0),MATCH("Volume",'Semrush Data'!$A$1:$Z$1,0)),""))</f>
        <v/>
      </c>
      <c r="T250" s="22" t="str">
        <f aca="false">IF(O250="","",IFERROR(INDEX('Semrush Data'!$A$1:$Z$20000,MATCH(O250,'Semrush Data'!$A$1:$A$20000,0),MATCH("Volume",'Semrush Data'!$A$1:$Z$1,0)),""))</f>
        <v/>
      </c>
      <c r="U250" s="22" t="str">
        <f aca="false">IF(P250="","",IFERROR(INDEX('Semrush Data'!$A$1:$Z$20000,MATCH(P250,'Semrush Data'!$A$1:$A$20000,0),MATCH("Volume",'Semrush Data'!$A$1:$Z$1,0)),""))</f>
        <v/>
      </c>
      <c r="V250" s="23" t="str">
        <f aca="false">IF(COUNT(Q250:U250)=0,L250,IF(MAX(Q250:U250)=0,L250,INDEX(L250:P250,MATCH(MAX(Q250:U250),Q250:U250,0))))</f>
        <v>carolina herrera bad boy le</v>
      </c>
      <c r="W250" s="22" t="n">
        <f aca="false">IFERROR(INDEX('Semrush Data'!$A$1:$Z$20000,MATCH(V250,'Semrush Data'!$A$1:$A$20000,0),MATCH("Volume",'Semrush Data'!$A$1:$Z$1,0)),"")</f>
        <v>0</v>
      </c>
      <c r="X250" s="22" t="n">
        <f aca="false">IFERROR(INDEX('Semrush Data'!$A$1:$Z$20000,MATCH(V250,'Semrush Data'!$A$1:$A$20000,0),MATCH("Keyword Difficulty*",'Semrush Data'!$A$1:$Z$1,0)),"")</f>
        <v>9</v>
      </c>
      <c r="Y250" s="24" t="n">
        <f aca="false">IFERROR(INDEX('Semrush Data'!$A$1:$Z$20000,MATCH(V250,'Semrush Data'!$A$1:$A$20000,0),MATCH("CPC*",'Semrush Data'!$A$1:$Z$1,0)),"")</f>
        <v>0</v>
      </c>
      <c r="Z250" s="21" t="s">
        <v>3241</v>
      </c>
      <c r="AA250" s="21" t="s">
        <v>3242</v>
      </c>
      <c r="AB250" s="21" t="s">
        <v>3243</v>
      </c>
      <c r="AC250" s="21" t="s">
        <v>3244</v>
      </c>
      <c r="AD250" s="25" t="n">
        <f aca="false">LEN(AC250)</f>
        <v>50</v>
      </c>
      <c r="AE250" s="21" t="s">
        <v>3245</v>
      </c>
      <c r="AF250" s="25" t="n">
        <f aca="false">LEN(AE250)</f>
        <v>160</v>
      </c>
    </row>
    <row r="251" customFormat="false" ht="15" hidden="false" customHeight="true" outlineLevel="0" collapsed="false">
      <c r="A251" s="21" t="s">
        <v>3246</v>
      </c>
      <c r="B251" s="21" t="s">
        <v>2390</v>
      </c>
      <c r="C251" s="21" t="n">
        <v>91</v>
      </c>
      <c r="D251" s="21" t="s">
        <v>3211</v>
      </c>
      <c r="E251" s="21"/>
      <c r="F251" s="21" t="s">
        <v>2393</v>
      </c>
      <c r="G251" s="21" t="s">
        <v>2394</v>
      </c>
      <c r="H251" s="21" t="s">
        <v>2549</v>
      </c>
      <c r="I251" s="21" t="s">
        <v>3247</v>
      </c>
      <c r="J251" s="21" t="s">
        <v>2875</v>
      </c>
      <c r="K251" s="21" t="n">
        <v>76.99</v>
      </c>
      <c r="L251" s="21" t="s">
        <v>3236</v>
      </c>
      <c r="M251" s="21" t="s">
        <v>3237</v>
      </c>
      <c r="N251" s="21" t="s">
        <v>3238</v>
      </c>
      <c r="O251" s="21" t="s">
        <v>3239</v>
      </c>
      <c r="P251" s="21" t="s">
        <v>3240</v>
      </c>
      <c r="Q251" s="22" t="n">
        <f aca="false">IF(L251="","",IFERROR(INDEX('Semrush Data'!$A$1:$Z$20000,MATCH(L251,'Semrush Data'!$A$1:$A$20000,0),MATCH("Volume",'Semrush Data'!$A$1:$Z$1,0)),""))</f>
        <v>0</v>
      </c>
      <c r="R251" s="22" t="n">
        <f aca="false">IF(M251="","",IFERROR(INDEX('Semrush Data'!$A$1:$Z$20000,MATCH(M251,'Semrush Data'!$A$1:$A$20000,0),MATCH("Volume",'Semrush Data'!$A$1:$Z$1,0)),""))</f>
        <v>0</v>
      </c>
      <c r="S251" s="22" t="str">
        <f aca="false">IF(N251="","",IFERROR(INDEX('Semrush Data'!$A$1:$Z$20000,MATCH(N251,'Semrush Data'!$A$1:$A$20000,0),MATCH("Volume",'Semrush Data'!$A$1:$Z$1,0)),""))</f>
        <v/>
      </c>
      <c r="T251" s="22" t="str">
        <f aca="false">IF(O251="","",IFERROR(INDEX('Semrush Data'!$A$1:$Z$20000,MATCH(O251,'Semrush Data'!$A$1:$A$20000,0),MATCH("Volume",'Semrush Data'!$A$1:$Z$1,0)),""))</f>
        <v/>
      </c>
      <c r="U251" s="22" t="str">
        <f aca="false">IF(P251="","",IFERROR(INDEX('Semrush Data'!$A$1:$Z$20000,MATCH(P251,'Semrush Data'!$A$1:$A$20000,0),MATCH("Volume",'Semrush Data'!$A$1:$Z$1,0)),""))</f>
        <v/>
      </c>
      <c r="V251" s="23" t="str">
        <f aca="false">IF(COUNT(Q251:U251)=0,L251,IF(MAX(Q251:U251)=0,L251,INDEX(L251:P251,MATCH(MAX(Q251:U251),Q251:U251,0))))</f>
        <v>carolina herrera bad boy le</v>
      </c>
      <c r="W251" s="22" t="n">
        <f aca="false">IFERROR(INDEX('Semrush Data'!$A$1:$Z$20000,MATCH(V251,'Semrush Data'!$A$1:$A$20000,0),MATCH("Volume",'Semrush Data'!$A$1:$Z$1,0)),"")</f>
        <v>0</v>
      </c>
      <c r="X251" s="22" t="n">
        <f aca="false">IFERROR(INDEX('Semrush Data'!$A$1:$Z$20000,MATCH(V251,'Semrush Data'!$A$1:$A$20000,0),MATCH("Keyword Difficulty*",'Semrush Data'!$A$1:$Z$1,0)),"")</f>
        <v>9</v>
      </c>
      <c r="Y251" s="24" t="n">
        <f aca="false">IFERROR(INDEX('Semrush Data'!$A$1:$Z$20000,MATCH(V251,'Semrush Data'!$A$1:$A$20000,0),MATCH("CPC*",'Semrush Data'!$A$1:$Z$1,0)),"")</f>
        <v>0</v>
      </c>
      <c r="Z251" s="21" t="s">
        <v>3241</v>
      </c>
      <c r="AA251" s="21" t="s">
        <v>3242</v>
      </c>
      <c r="AB251" s="21" t="s">
        <v>3243</v>
      </c>
      <c r="AC251" s="21" t="s">
        <v>3248</v>
      </c>
      <c r="AD251" s="25" t="n">
        <f aca="false">LEN(AC251)</f>
        <v>51</v>
      </c>
      <c r="AE251" s="21" t="s">
        <v>3249</v>
      </c>
      <c r="AF251" s="25" t="n">
        <f aca="false">LEN(AE251)</f>
        <v>160</v>
      </c>
    </row>
    <row r="252" customFormat="false" ht="15" hidden="false" customHeight="true" outlineLevel="0" collapsed="false">
      <c r="A252" s="21" t="s">
        <v>3250</v>
      </c>
      <c r="B252" s="21" t="s">
        <v>2390</v>
      </c>
      <c r="C252" s="21" t="n">
        <v>92</v>
      </c>
      <c r="D252" s="21" t="s">
        <v>3211</v>
      </c>
      <c r="E252" s="21"/>
      <c r="F252" s="21" t="s">
        <v>2393</v>
      </c>
      <c r="G252" s="21" t="s">
        <v>2759</v>
      </c>
      <c r="H252" s="21" t="s">
        <v>3251</v>
      </c>
      <c r="I252" s="21" t="s">
        <v>3252</v>
      </c>
      <c r="J252" s="21" t="s">
        <v>1935</v>
      </c>
      <c r="K252" s="21" t="n">
        <v>54.99</v>
      </c>
      <c r="L252" s="21" t="s">
        <v>3253</v>
      </c>
      <c r="M252" s="21" t="s">
        <v>3254</v>
      </c>
      <c r="N252" s="21" t="s">
        <v>3255</v>
      </c>
      <c r="O252" s="21" t="s">
        <v>3256</v>
      </c>
      <c r="P252" s="21" t="s">
        <v>3257</v>
      </c>
      <c r="Q252" s="22" t="n">
        <f aca="false">IF(L252="","",IFERROR(INDEX('Semrush Data'!$A$1:$Z$20000,MATCH(L252,'Semrush Data'!$A$1:$A$20000,0),MATCH("Volume",'Semrush Data'!$A$1:$Z$1,0)),""))</f>
        <v>210</v>
      </c>
      <c r="R252" s="22" t="n">
        <f aca="false">IF(M252="","",IFERROR(INDEX('Semrush Data'!$A$1:$Z$20000,MATCH(M252,'Semrush Data'!$A$1:$A$20000,0),MATCH("Volume",'Semrush Data'!$A$1:$Z$1,0)),""))</f>
        <v>0</v>
      </c>
      <c r="S252" s="22" t="str">
        <f aca="false">IF(N252="","",IFERROR(INDEX('Semrush Data'!$A$1:$Z$20000,MATCH(N252,'Semrush Data'!$A$1:$A$20000,0),MATCH("Volume",'Semrush Data'!$A$1:$Z$1,0)),""))</f>
        <v/>
      </c>
      <c r="T252" s="22" t="str">
        <f aca="false">IF(O252="","",IFERROR(INDEX('Semrush Data'!$A$1:$Z$20000,MATCH(O252,'Semrush Data'!$A$1:$A$20000,0),MATCH("Volume",'Semrush Data'!$A$1:$Z$1,0)),""))</f>
        <v/>
      </c>
      <c r="U252" s="22" t="n">
        <f aca="false">IF(P252="","",IFERROR(INDEX('Semrush Data'!$A$1:$Z$20000,MATCH(P252,'Semrush Data'!$A$1:$A$20000,0),MATCH("Volume",'Semrush Data'!$A$1:$Z$1,0)),""))</f>
        <v>20</v>
      </c>
      <c r="V252" s="23" t="str">
        <f aca="false">IF(COUNT(Q252:U252)=0,L252,IF(MAX(Q252:U252)=0,L252,INDEX(L252:P252,MATCH(MAX(Q252:U252),Q252:U252,0))))</f>
        <v>carolina herrera 212 sexy men</v>
      </c>
      <c r="W252" s="22" t="n">
        <f aca="false">IFERROR(INDEX('Semrush Data'!$A$1:$Z$20000,MATCH(V252,'Semrush Data'!$A$1:$A$20000,0),MATCH("Volume",'Semrush Data'!$A$1:$Z$1,0)),"")</f>
        <v>210</v>
      </c>
      <c r="X252" s="22" t="n">
        <f aca="false">IFERROR(INDEX('Semrush Data'!$A$1:$Z$20000,MATCH(V252,'Semrush Data'!$A$1:$A$20000,0),MATCH("Keyword Difficulty*",'Semrush Data'!$A$1:$Z$1,0)),"")</f>
        <v>14</v>
      </c>
      <c r="Y252" s="24" t="n">
        <f aca="false">IFERROR(INDEX('Semrush Data'!$A$1:$Z$20000,MATCH(V252,'Semrush Data'!$A$1:$A$20000,0),MATCH("CPC*",'Semrush Data'!$A$1:$Z$1,0)),"")</f>
        <v>0.45</v>
      </c>
      <c r="Z252" s="21" t="s">
        <v>3258</v>
      </c>
      <c r="AA252" s="21"/>
      <c r="AB252" s="21" t="s">
        <v>3259</v>
      </c>
      <c r="AC252" s="21" t="s">
        <v>3260</v>
      </c>
      <c r="AD252" s="25" t="n">
        <f aca="false">LEN(AC252)</f>
        <v>59</v>
      </c>
      <c r="AE252" s="21" t="s">
        <v>3261</v>
      </c>
      <c r="AF252" s="25" t="n">
        <f aca="false">LEN(AE252)</f>
        <v>160</v>
      </c>
    </row>
    <row r="253" customFormat="false" ht="15" hidden="false" customHeight="true" outlineLevel="0" collapsed="false">
      <c r="A253" s="21" t="s">
        <v>128</v>
      </c>
      <c r="B253" s="21" t="s">
        <v>2390</v>
      </c>
      <c r="C253" s="21" t="n">
        <v>93</v>
      </c>
      <c r="D253" s="21" t="s">
        <v>3211</v>
      </c>
      <c r="E253" s="21"/>
      <c r="F253" s="21" t="s">
        <v>2393</v>
      </c>
      <c r="G253" s="21" t="s">
        <v>2759</v>
      </c>
      <c r="H253" s="21" t="s">
        <v>2549</v>
      </c>
      <c r="I253" s="21" t="s">
        <v>129</v>
      </c>
      <c r="J253" s="21" t="s">
        <v>1935</v>
      </c>
      <c r="K253" s="21" t="n">
        <v>55.99</v>
      </c>
      <c r="L253" s="21" t="s">
        <v>3262</v>
      </c>
      <c r="M253" s="21" t="s">
        <v>3263</v>
      </c>
      <c r="N253" s="21" t="s">
        <v>3264</v>
      </c>
      <c r="O253" s="21" t="s">
        <v>3265</v>
      </c>
      <c r="P253" s="21" t="s">
        <v>3266</v>
      </c>
      <c r="Q253" s="22" t="n">
        <f aca="false">IF(L253="","",IFERROR(INDEX('Semrush Data'!$A$1:$Z$20000,MATCH(L253,'Semrush Data'!$A$1:$A$20000,0),MATCH("Volume",'Semrush Data'!$A$1:$Z$1,0)),""))</f>
        <v>390</v>
      </c>
      <c r="R253" s="22" t="n">
        <f aca="false">IF(M253="","",IFERROR(INDEX('Semrush Data'!$A$1:$Z$20000,MATCH(M253,'Semrush Data'!$A$1:$A$20000,0),MATCH("Volume",'Semrush Data'!$A$1:$Z$1,0)),""))</f>
        <v>0</v>
      </c>
      <c r="S253" s="22" t="str">
        <f aca="false">IF(N253="","",IFERROR(INDEX('Semrush Data'!$A$1:$Z$20000,MATCH(N253,'Semrush Data'!$A$1:$A$20000,0),MATCH("Volume",'Semrush Data'!$A$1:$Z$1,0)),""))</f>
        <v/>
      </c>
      <c r="T253" s="22" t="str">
        <f aca="false">IF(O253="","",IFERROR(INDEX('Semrush Data'!$A$1:$Z$20000,MATCH(O253,'Semrush Data'!$A$1:$A$20000,0),MATCH("Volume",'Semrush Data'!$A$1:$Z$1,0)),""))</f>
        <v/>
      </c>
      <c r="U253" s="22" t="n">
        <f aca="false">IF(P253="","",IFERROR(INDEX('Semrush Data'!$A$1:$Z$20000,MATCH(P253,'Semrush Data'!$A$1:$A$20000,0),MATCH("Volume",'Semrush Data'!$A$1:$Z$1,0)),""))</f>
        <v>20</v>
      </c>
      <c r="V253" s="23" t="str">
        <f aca="false">IF(COUNT(Q253:U253)=0,L253,IF(MAX(Q253:U253)=0,L253,INDEX(L253:P253,MATCH(MAX(Q253:U253),Q253:U253,0))))</f>
        <v>carolina herrera 212 vip men</v>
      </c>
      <c r="W253" s="22" t="n">
        <f aca="false">IFERROR(INDEX('Semrush Data'!$A$1:$Z$20000,MATCH(V253,'Semrush Data'!$A$1:$A$20000,0),MATCH("Volume",'Semrush Data'!$A$1:$Z$1,0)),"")</f>
        <v>390</v>
      </c>
      <c r="X253" s="22" t="n">
        <f aca="false">IFERROR(INDEX('Semrush Data'!$A$1:$Z$20000,MATCH(V253,'Semrush Data'!$A$1:$A$20000,0),MATCH("Keyword Difficulty*",'Semrush Data'!$A$1:$Z$1,0)),"")</f>
        <v>16</v>
      </c>
      <c r="Y253" s="24" t="n">
        <f aca="false">IFERROR(INDEX('Semrush Data'!$A$1:$Z$20000,MATCH(V253,'Semrush Data'!$A$1:$A$20000,0),MATCH("CPC*",'Semrush Data'!$A$1:$Z$1,0)),"")</f>
        <v>0.44</v>
      </c>
      <c r="Z253" s="21" t="s">
        <v>3241</v>
      </c>
      <c r="AA253" s="21" t="s">
        <v>3267</v>
      </c>
      <c r="AB253" s="21" t="s">
        <v>3268</v>
      </c>
      <c r="AC253" s="21" t="s">
        <v>3269</v>
      </c>
      <c r="AD253" s="25" t="n">
        <f aca="false">LEN(AC253)</f>
        <v>58</v>
      </c>
      <c r="AE253" s="21" t="s">
        <v>3270</v>
      </c>
      <c r="AF253" s="25" t="n">
        <f aca="false">LEN(AE253)</f>
        <v>159</v>
      </c>
    </row>
    <row r="254" customFormat="false" ht="15" hidden="false" customHeight="true" outlineLevel="0" collapsed="false">
      <c r="A254" s="21" t="s">
        <v>144</v>
      </c>
      <c r="B254" s="21" t="s">
        <v>2390</v>
      </c>
      <c r="C254" s="21" t="n">
        <v>94</v>
      </c>
      <c r="D254" s="21" t="s">
        <v>3211</v>
      </c>
      <c r="E254" s="21"/>
      <c r="F254" s="21" t="s">
        <v>2393</v>
      </c>
      <c r="G254" s="21" t="s">
        <v>2974</v>
      </c>
      <c r="H254" s="21" t="s">
        <v>2395</v>
      </c>
      <c r="I254" s="21" t="s">
        <v>145</v>
      </c>
      <c r="J254" s="21" t="s">
        <v>1409</v>
      </c>
      <c r="K254" s="21" t="n">
        <v>62.99</v>
      </c>
      <c r="L254" s="21" t="s">
        <v>3271</v>
      </c>
      <c r="M254" s="21" t="s">
        <v>3272</v>
      </c>
      <c r="N254" s="21" t="s">
        <v>3273</v>
      </c>
      <c r="O254" s="21" t="s">
        <v>3274</v>
      </c>
      <c r="P254" s="21" t="s">
        <v>3275</v>
      </c>
      <c r="Q254" s="22" t="n">
        <f aca="false">IF(L254="","",IFERROR(INDEX('Semrush Data'!$A$1:$Z$20000,MATCH(L254,'Semrush Data'!$A$1:$A$20000,0),MATCH("Volume",'Semrush Data'!$A$1:$Z$1,0)),""))</f>
        <v>320</v>
      </c>
      <c r="R254" s="22" t="n">
        <f aca="false">IF(M254="","",IFERROR(INDEX('Semrush Data'!$A$1:$Z$20000,MATCH(M254,'Semrush Data'!$A$1:$A$20000,0),MATCH("Volume",'Semrush Data'!$A$1:$Z$1,0)),""))</f>
        <v>0</v>
      </c>
      <c r="S254" s="22" t="str">
        <f aca="false">IF(N254="","",IFERROR(INDEX('Semrush Data'!$A$1:$Z$20000,MATCH(N254,'Semrush Data'!$A$1:$A$20000,0),MATCH("Volume",'Semrush Data'!$A$1:$Z$1,0)),""))</f>
        <v/>
      </c>
      <c r="T254" s="22" t="str">
        <f aca="false">IF(O254="","",IFERROR(INDEX('Semrush Data'!$A$1:$Z$20000,MATCH(O254,'Semrush Data'!$A$1:$A$20000,0),MATCH("Volume",'Semrush Data'!$A$1:$Z$1,0)),""))</f>
        <v/>
      </c>
      <c r="U254" s="22" t="n">
        <f aca="false">IF(P254="","",IFERROR(INDEX('Semrush Data'!$A$1:$Z$20000,MATCH(P254,'Semrush Data'!$A$1:$A$20000,0),MATCH("Volume",'Semrush Data'!$A$1:$Z$1,0)),""))</f>
        <v>10</v>
      </c>
      <c r="V254" s="23" t="str">
        <f aca="false">IF(COUNT(Q254:U254)=0,L254,IF(MAX(Q254:U254)=0,L254,INDEX(L254:P254,MATCH(MAX(Q254:U254),Q254:U254,0))))</f>
        <v>carolina herrera very good girl glam</v>
      </c>
      <c r="W254" s="22" t="n">
        <f aca="false">IFERROR(INDEX('Semrush Data'!$A$1:$Z$20000,MATCH(V254,'Semrush Data'!$A$1:$A$20000,0),MATCH("Volume",'Semrush Data'!$A$1:$Z$1,0)),"")</f>
        <v>320</v>
      </c>
      <c r="X254" s="22" t="n">
        <f aca="false">IFERROR(INDEX('Semrush Data'!$A$1:$Z$20000,MATCH(V254,'Semrush Data'!$A$1:$A$20000,0),MATCH("Keyword Difficulty*",'Semrush Data'!$A$1:$Z$1,0)),"")</f>
        <v>20</v>
      </c>
      <c r="Y254" s="24" t="n">
        <f aca="false">IFERROR(INDEX('Semrush Data'!$A$1:$Z$20000,MATCH(V254,'Semrush Data'!$A$1:$A$20000,0),MATCH("CPC*",'Semrush Data'!$A$1:$Z$1,0)),"")</f>
        <v>0</v>
      </c>
      <c r="Z254" s="21" t="s">
        <v>3218</v>
      </c>
      <c r="AA254" s="21" t="s">
        <v>3276</v>
      </c>
      <c r="AB254" s="21" t="s">
        <v>3277</v>
      </c>
      <c r="AC254" s="21" t="s">
        <v>3278</v>
      </c>
      <c r="AD254" s="25" t="n">
        <f aca="false">LEN(AC254)</f>
        <v>57</v>
      </c>
      <c r="AE254" s="21" t="s">
        <v>3279</v>
      </c>
      <c r="AF254" s="25" t="n">
        <f aca="false">LEN(AE254)</f>
        <v>157</v>
      </c>
    </row>
    <row r="255" customFormat="false" ht="15" hidden="false" customHeight="true" outlineLevel="0" collapsed="false">
      <c r="A255" s="21" t="s">
        <v>68</v>
      </c>
      <c r="B255" s="21" t="s">
        <v>2390</v>
      </c>
      <c r="C255" s="21" t="n">
        <v>95</v>
      </c>
      <c r="D255" s="21" t="s">
        <v>3280</v>
      </c>
      <c r="E255" s="21" t="s">
        <v>3281</v>
      </c>
      <c r="F255" s="21" t="s">
        <v>2393</v>
      </c>
      <c r="G255" s="21" t="s">
        <v>2394</v>
      </c>
      <c r="H255" s="21" t="s">
        <v>2395</v>
      </c>
      <c r="I255" s="21" t="s">
        <v>69</v>
      </c>
      <c r="J255" s="21" t="s">
        <v>1409</v>
      </c>
      <c r="K255" s="21" t="n">
        <v>51.99</v>
      </c>
      <c r="L255" s="21" t="s">
        <v>3282</v>
      </c>
      <c r="M255" s="21" t="s">
        <v>3283</v>
      </c>
      <c r="N255" s="21" t="s">
        <v>3284</v>
      </c>
      <c r="O255" s="21" t="s">
        <v>3285</v>
      </c>
      <c r="P255" s="21" t="s">
        <v>3286</v>
      </c>
      <c r="Q255" s="22" t="n">
        <f aca="false">IF(L255="","",IFERROR(INDEX('Semrush Data'!$A$1:$Z$20000,MATCH(L255,'Semrush Data'!$A$1:$A$20000,0),MATCH("Volume",'Semrush Data'!$A$1:$Z$1,0)),""))</f>
        <v>2900</v>
      </c>
      <c r="R255" s="22" t="n">
        <f aca="false">IF(M255="","",IFERROR(INDEX('Semrush Data'!$A$1:$Z$20000,MATCH(M255,'Semrush Data'!$A$1:$A$20000,0),MATCH("Volume",'Semrush Data'!$A$1:$Z$1,0)),""))</f>
        <v>20</v>
      </c>
      <c r="S255" s="22" t="str">
        <f aca="false">IF(N255="","",IFERROR(INDEX('Semrush Data'!$A$1:$Z$20000,MATCH(N255,'Semrush Data'!$A$1:$A$20000,0),MATCH("Volume",'Semrush Data'!$A$1:$Z$1,0)),""))</f>
        <v/>
      </c>
      <c r="T255" s="22" t="str">
        <f aca="false">IF(O255="","",IFERROR(INDEX('Semrush Data'!$A$1:$Z$20000,MATCH(O255,'Semrush Data'!$A$1:$A$20000,0),MATCH("Volume",'Semrush Data'!$A$1:$Z$1,0)),""))</f>
        <v/>
      </c>
      <c r="U255" s="22" t="n">
        <f aca="false">IF(P255="","",IFERROR(INDEX('Semrush Data'!$A$1:$Z$20000,MATCH(P255,'Semrush Data'!$A$1:$A$20000,0),MATCH("Volume",'Semrush Data'!$A$1:$Z$1,0)),""))</f>
        <v>170</v>
      </c>
      <c r="V255" s="23" t="str">
        <f aca="false">IF(COUNT(Q255:U255)=0,L255,IF(MAX(Q255:U255)=0,L255,INDEX(L255:P255,MATCH(MAX(Q255:U255),Q255:U255,0))))</f>
        <v>chloe nomade</v>
      </c>
      <c r="W255" s="22" t="n">
        <f aca="false">IFERROR(INDEX('Semrush Data'!$A$1:$Z$20000,MATCH(V255,'Semrush Data'!$A$1:$A$20000,0),MATCH("Volume",'Semrush Data'!$A$1:$Z$1,0)),"")</f>
        <v>2900</v>
      </c>
      <c r="X255" s="22" t="n">
        <f aca="false">IFERROR(INDEX('Semrush Data'!$A$1:$Z$20000,MATCH(V255,'Semrush Data'!$A$1:$A$20000,0),MATCH("Keyword Difficulty*",'Semrush Data'!$A$1:$Z$1,0)),"")</f>
        <v>22</v>
      </c>
      <c r="Y255" s="24" t="n">
        <f aca="false">IFERROR(INDEX('Semrush Data'!$A$1:$Z$20000,MATCH(V255,'Semrush Data'!$A$1:$A$20000,0),MATCH("CPC*",'Semrush Data'!$A$1:$Z$1,0)),"")</f>
        <v>0.47</v>
      </c>
      <c r="Z255" s="21" t="s">
        <v>3287</v>
      </c>
      <c r="AA255" s="21" t="s">
        <v>3288</v>
      </c>
      <c r="AB255" s="21" t="s">
        <v>3289</v>
      </c>
      <c r="AC255" s="21" t="s">
        <v>3290</v>
      </c>
      <c r="AD255" s="25" t="n">
        <f aca="false">LEN(AC255)</f>
        <v>53</v>
      </c>
      <c r="AE255" s="21" t="s">
        <v>3291</v>
      </c>
      <c r="AF255" s="25" t="n">
        <f aca="false">LEN(AE255)</f>
        <v>147</v>
      </c>
    </row>
    <row r="256" customFormat="false" ht="15" hidden="false" customHeight="true" outlineLevel="0" collapsed="false">
      <c r="A256" s="21" t="s">
        <v>3292</v>
      </c>
      <c r="B256" s="21" t="s">
        <v>2390</v>
      </c>
      <c r="C256" s="21" t="n">
        <v>96</v>
      </c>
      <c r="D256" s="21" t="s">
        <v>3280</v>
      </c>
      <c r="E256" s="21" t="s">
        <v>3281</v>
      </c>
      <c r="F256" s="21" t="s">
        <v>2393</v>
      </c>
      <c r="G256" s="21" t="s">
        <v>2394</v>
      </c>
      <c r="H256" s="21" t="s">
        <v>2395</v>
      </c>
      <c r="I256" s="21" t="s">
        <v>3293</v>
      </c>
      <c r="J256" s="21" t="s">
        <v>1409</v>
      </c>
      <c r="K256" s="21" t="n">
        <v>43.99</v>
      </c>
      <c r="L256" s="21" t="s">
        <v>3294</v>
      </c>
      <c r="M256" s="21" t="s">
        <v>3295</v>
      </c>
      <c r="N256" s="21" t="s">
        <v>3296</v>
      </c>
      <c r="O256" s="21" t="s">
        <v>3297</v>
      </c>
      <c r="P256" s="21" t="s">
        <v>3298</v>
      </c>
      <c r="Q256" s="22" t="n">
        <f aca="false">IF(L256="","",IFERROR(INDEX('Semrush Data'!$A$1:$Z$20000,MATCH(L256,'Semrush Data'!$A$1:$A$20000,0),MATCH("Volume",'Semrush Data'!$A$1:$Z$1,0)),""))</f>
        <v>50</v>
      </c>
      <c r="R256" s="22" t="n">
        <f aca="false">IF(M256="","",IFERROR(INDEX('Semrush Data'!$A$1:$Z$20000,MATCH(M256,'Semrush Data'!$A$1:$A$20000,0),MATCH("Volume",'Semrush Data'!$A$1:$Z$1,0)),""))</f>
        <v>0</v>
      </c>
      <c r="S256" s="22" t="str">
        <f aca="false">IF(N256="","",IFERROR(INDEX('Semrush Data'!$A$1:$Z$20000,MATCH(N256,'Semrush Data'!$A$1:$A$20000,0),MATCH("Volume",'Semrush Data'!$A$1:$Z$1,0)),""))</f>
        <v/>
      </c>
      <c r="T256" s="22" t="str">
        <f aca="false">IF(O256="","",IFERROR(INDEX('Semrush Data'!$A$1:$Z$20000,MATCH(O256,'Semrush Data'!$A$1:$A$20000,0),MATCH("Volume",'Semrush Data'!$A$1:$Z$1,0)),""))</f>
        <v/>
      </c>
      <c r="U256" s="22" t="n">
        <f aca="false">IF(P256="","",IFERROR(INDEX('Semrush Data'!$A$1:$Z$20000,MATCH(P256,'Semrush Data'!$A$1:$A$20000,0),MATCH("Volume",'Semrush Data'!$A$1:$Z$1,0)),""))</f>
        <v>0</v>
      </c>
      <c r="V256" s="23" t="str">
        <f aca="false">IF(COUNT(Q256:U256)=0,L256,IF(MAX(Q256:U256)=0,L256,INDEX(L256:P256,MATCH(MAX(Q256:U256),Q256:U256,0))))</f>
        <v>chloe nomade jasmin naturel intense</v>
      </c>
      <c r="W256" s="22" t="n">
        <f aca="false">IFERROR(INDEX('Semrush Data'!$A$1:$Z$20000,MATCH(V256,'Semrush Data'!$A$1:$A$20000,0),MATCH("Volume",'Semrush Data'!$A$1:$Z$1,0)),"")</f>
        <v>50</v>
      </c>
      <c r="X256" s="22" t="n">
        <f aca="false">IFERROR(INDEX('Semrush Data'!$A$1:$Z$20000,MATCH(V256,'Semrush Data'!$A$1:$A$20000,0),MATCH("Keyword Difficulty*",'Semrush Data'!$A$1:$Z$1,0)),"")</f>
        <v>14</v>
      </c>
      <c r="Y256" s="24" t="n">
        <f aca="false">IFERROR(INDEX('Semrush Data'!$A$1:$Z$20000,MATCH(V256,'Semrush Data'!$A$1:$A$20000,0),MATCH("CPC*",'Semrush Data'!$A$1:$Z$1,0)),"")</f>
        <v>0.4</v>
      </c>
      <c r="Z256" s="21" t="s">
        <v>3287</v>
      </c>
      <c r="AA256" s="21" t="s">
        <v>3299</v>
      </c>
      <c r="AB256" s="21" t="s">
        <v>3300</v>
      </c>
      <c r="AC256" s="21" t="s">
        <v>3301</v>
      </c>
      <c r="AD256" s="25" t="n">
        <f aca="false">LEN(AC256)</f>
        <v>58</v>
      </c>
      <c r="AE256" s="21" t="s">
        <v>3302</v>
      </c>
      <c r="AF256" s="25" t="n">
        <f aca="false">LEN(AE256)</f>
        <v>158</v>
      </c>
    </row>
    <row r="257" customFormat="false" ht="15" hidden="false" customHeight="true" outlineLevel="0" collapsed="false">
      <c r="A257" s="21" t="s">
        <v>3303</v>
      </c>
      <c r="B257" s="21" t="s">
        <v>2390</v>
      </c>
      <c r="C257" s="21" t="n">
        <v>97</v>
      </c>
      <c r="D257" s="21" t="s">
        <v>3280</v>
      </c>
      <c r="E257" s="21" t="s">
        <v>3281</v>
      </c>
      <c r="F257" s="21" t="s">
        <v>2393</v>
      </c>
      <c r="G257" s="21" t="s">
        <v>2394</v>
      </c>
      <c r="H257" s="21" t="s">
        <v>2395</v>
      </c>
      <c r="I257" s="21" t="s">
        <v>3304</v>
      </c>
      <c r="J257" s="21" t="s">
        <v>1409</v>
      </c>
      <c r="K257" s="21" t="n">
        <v>55.99</v>
      </c>
      <c r="L257" s="21" t="s">
        <v>3305</v>
      </c>
      <c r="M257" s="21" t="s">
        <v>3306</v>
      </c>
      <c r="N257" s="21" t="s">
        <v>3307</v>
      </c>
      <c r="O257" s="21" t="s">
        <v>3308</v>
      </c>
      <c r="P257" s="21" t="s">
        <v>3309</v>
      </c>
      <c r="Q257" s="22" t="n">
        <f aca="false">IF(L257="","",IFERROR(INDEX('Semrush Data'!$A$1:$Z$20000,MATCH(L257,'Semrush Data'!$A$1:$A$20000,0),MATCH("Volume",'Semrush Data'!$A$1:$Z$1,0)),""))</f>
        <v>320</v>
      </c>
      <c r="R257" s="22" t="n">
        <f aca="false">IF(M257="","",IFERROR(INDEX('Semrush Data'!$A$1:$Z$20000,MATCH(M257,'Semrush Data'!$A$1:$A$20000,0),MATCH("Volume",'Semrush Data'!$A$1:$Z$1,0)),""))</f>
        <v>0</v>
      </c>
      <c r="S257" s="22" t="str">
        <f aca="false">IF(N257="","",IFERROR(INDEX('Semrush Data'!$A$1:$Z$20000,MATCH(N257,'Semrush Data'!$A$1:$A$20000,0),MATCH("Volume",'Semrush Data'!$A$1:$Z$1,0)),""))</f>
        <v/>
      </c>
      <c r="T257" s="22" t="str">
        <f aca="false">IF(O257="","",IFERROR(INDEX('Semrush Data'!$A$1:$Z$20000,MATCH(O257,'Semrush Data'!$A$1:$A$20000,0),MATCH("Volume",'Semrush Data'!$A$1:$Z$1,0)),""))</f>
        <v/>
      </c>
      <c r="U257" s="22" t="n">
        <f aca="false">IF(P257="","",IFERROR(INDEX('Semrush Data'!$A$1:$Z$20000,MATCH(P257,'Semrush Data'!$A$1:$A$20000,0),MATCH("Volume",'Semrush Data'!$A$1:$Z$1,0)),""))</f>
        <v>10</v>
      </c>
      <c r="V257" s="23" t="str">
        <f aca="false">IF(COUNT(Q257:U257)=0,L257,IF(MAX(Q257:U257)=0,L257,INDEX(L257:P257,MATCH(MAX(Q257:U257),Q257:U257,0))))</f>
        <v>chloe nomade nuit d'egypte</v>
      </c>
      <c r="W257" s="22" t="n">
        <f aca="false">IFERROR(INDEX('Semrush Data'!$A$1:$Z$20000,MATCH(V257,'Semrush Data'!$A$1:$A$20000,0),MATCH("Volume",'Semrush Data'!$A$1:$Z$1,0)),"")</f>
        <v>320</v>
      </c>
      <c r="X257" s="22" t="n">
        <f aca="false">IFERROR(INDEX('Semrush Data'!$A$1:$Z$20000,MATCH(V257,'Semrush Data'!$A$1:$A$20000,0),MATCH("Keyword Difficulty*",'Semrush Data'!$A$1:$Z$1,0)),"")</f>
        <v>21</v>
      </c>
      <c r="Y257" s="24" t="n">
        <f aca="false">IFERROR(INDEX('Semrush Data'!$A$1:$Z$20000,MATCH(V257,'Semrush Data'!$A$1:$A$20000,0),MATCH("CPC*",'Semrush Data'!$A$1:$Z$1,0)),"")</f>
        <v>0.55</v>
      </c>
      <c r="Z257" s="21" t="s">
        <v>3287</v>
      </c>
      <c r="AA257" s="21" t="s">
        <v>3310</v>
      </c>
      <c r="AB257" s="21" t="s">
        <v>3311</v>
      </c>
      <c r="AC257" s="21" t="s">
        <v>3312</v>
      </c>
      <c r="AD257" s="25" t="n">
        <f aca="false">LEN(AC257)</f>
        <v>54</v>
      </c>
      <c r="AE257" s="21" t="s">
        <v>3313</v>
      </c>
      <c r="AF257" s="25" t="n">
        <f aca="false">LEN(AE257)</f>
        <v>155</v>
      </c>
    </row>
    <row r="258" customFormat="false" ht="15" hidden="false" customHeight="true" outlineLevel="0" collapsed="false">
      <c r="A258" s="21" t="s">
        <v>3314</v>
      </c>
      <c r="B258" s="21" t="s">
        <v>2390</v>
      </c>
      <c r="C258" s="21" t="n">
        <v>98</v>
      </c>
      <c r="D258" s="21" t="s">
        <v>3280</v>
      </c>
      <c r="E258" s="21" t="s">
        <v>3281</v>
      </c>
      <c r="F258" s="21" t="s">
        <v>2393</v>
      </c>
      <c r="G258" s="21" t="s">
        <v>2394</v>
      </c>
      <c r="H258" s="21" t="s">
        <v>2395</v>
      </c>
      <c r="I258" s="21" t="s">
        <v>3315</v>
      </c>
      <c r="J258" s="21" t="s">
        <v>1409</v>
      </c>
      <c r="K258" s="21" t="n">
        <v>43.99</v>
      </c>
      <c r="L258" s="21" t="s">
        <v>3316</v>
      </c>
      <c r="M258" s="21" t="s">
        <v>3317</v>
      </c>
      <c r="N258" s="21" t="s">
        <v>3318</v>
      </c>
      <c r="O258" s="21" t="s">
        <v>3319</v>
      </c>
      <c r="P258" s="21" t="s">
        <v>3320</v>
      </c>
      <c r="Q258" s="22" t="n">
        <f aca="false">IF(L258="","",IFERROR(INDEX('Semrush Data'!$A$1:$Z$20000,MATCH(L258,'Semrush Data'!$A$1:$A$20000,0),MATCH("Volume",'Semrush Data'!$A$1:$Z$1,0)),""))</f>
        <v>70</v>
      </c>
      <c r="R258" s="22" t="n">
        <f aca="false">IF(M258="","",IFERROR(INDEX('Semrush Data'!$A$1:$Z$20000,MATCH(M258,'Semrush Data'!$A$1:$A$20000,0),MATCH("Volume",'Semrush Data'!$A$1:$Z$1,0)),""))</f>
        <v>0</v>
      </c>
      <c r="S258" s="22" t="str">
        <f aca="false">IF(N258="","",IFERROR(INDEX('Semrush Data'!$A$1:$Z$20000,MATCH(N258,'Semrush Data'!$A$1:$A$20000,0),MATCH("Volume",'Semrush Data'!$A$1:$Z$1,0)),""))</f>
        <v/>
      </c>
      <c r="T258" s="22" t="str">
        <f aca="false">IF(O258="","",IFERROR(INDEX('Semrush Data'!$A$1:$Z$20000,MATCH(O258,'Semrush Data'!$A$1:$A$20000,0),MATCH("Volume",'Semrush Data'!$A$1:$Z$1,0)),""))</f>
        <v/>
      </c>
      <c r="U258" s="22" t="n">
        <f aca="false">IF(P258="","",IFERROR(INDEX('Semrush Data'!$A$1:$Z$20000,MATCH(P258,'Semrush Data'!$A$1:$A$20000,0),MATCH("Volume",'Semrush Data'!$A$1:$Z$1,0)),""))</f>
        <v>10</v>
      </c>
      <c r="V258" s="23" t="str">
        <f aca="false">IF(COUNT(Q258:U258)=0,L258,IF(MAX(Q258:U258)=0,L258,INDEX(L258:P258,MATCH(MAX(Q258:U258),Q258:U258,0))))</f>
        <v>chloe rose naturelle intense</v>
      </c>
      <c r="W258" s="22" t="n">
        <f aca="false">IFERROR(INDEX('Semrush Data'!$A$1:$Z$20000,MATCH(V258,'Semrush Data'!$A$1:$A$20000,0),MATCH("Volume",'Semrush Data'!$A$1:$Z$1,0)),"")</f>
        <v>70</v>
      </c>
      <c r="X258" s="22" t="n">
        <f aca="false">IFERROR(INDEX('Semrush Data'!$A$1:$Z$20000,MATCH(V258,'Semrush Data'!$A$1:$A$20000,0),MATCH("Keyword Difficulty*",'Semrush Data'!$A$1:$Z$1,0)),"")</f>
        <v>19</v>
      </c>
      <c r="Y258" s="24" t="n">
        <f aca="false">IFERROR(INDEX('Semrush Data'!$A$1:$Z$20000,MATCH(V258,'Semrush Data'!$A$1:$A$20000,0),MATCH("CPC*",'Semrush Data'!$A$1:$Z$1,0)),"")</f>
        <v>0.34</v>
      </c>
      <c r="Z258" s="21" t="s">
        <v>3287</v>
      </c>
      <c r="AA258" s="21" t="s">
        <v>3321</v>
      </c>
      <c r="AB258" s="21" t="s">
        <v>3322</v>
      </c>
      <c r="AC258" s="21" t="s">
        <v>3323</v>
      </c>
      <c r="AD258" s="25" t="n">
        <f aca="false">LEN(AC258)</f>
        <v>56</v>
      </c>
      <c r="AE258" s="21" t="s">
        <v>3324</v>
      </c>
      <c r="AF258" s="25" t="n">
        <f aca="false">LEN(AE258)</f>
        <v>157</v>
      </c>
    </row>
    <row r="259" customFormat="false" ht="15" hidden="false" customHeight="true" outlineLevel="0" collapsed="false">
      <c r="A259" s="21" t="s">
        <v>3325</v>
      </c>
      <c r="B259" s="21" t="s">
        <v>2390</v>
      </c>
      <c r="C259" s="21" t="n">
        <v>99</v>
      </c>
      <c r="D259" s="21" t="s">
        <v>3280</v>
      </c>
      <c r="E259" s="21" t="s">
        <v>3281</v>
      </c>
      <c r="F259" s="21" t="s">
        <v>1676</v>
      </c>
      <c r="G259" s="21" t="s">
        <v>2394</v>
      </c>
      <c r="H259" s="21" t="s">
        <v>2395</v>
      </c>
      <c r="I259" s="21" t="s">
        <v>3326</v>
      </c>
      <c r="J259" s="21" t="s">
        <v>2435</v>
      </c>
      <c r="K259" s="21" t="n">
        <v>66.99</v>
      </c>
      <c r="L259" s="21" t="s">
        <v>3327</v>
      </c>
      <c r="M259" s="21" t="s">
        <v>3328</v>
      </c>
      <c r="N259" s="21" t="s">
        <v>3329</v>
      </c>
      <c r="O259" s="21" t="s">
        <v>3330</v>
      </c>
      <c r="P259" s="21"/>
      <c r="Q259" s="22" t="n">
        <f aca="false">IF(L259="","",IFERROR(INDEX('Semrush Data'!$A$1:$Z$20000,MATCH(L259,'Semrush Data'!$A$1:$A$20000,0),MATCH("Volume",'Semrush Data'!$A$1:$Z$1,0)),""))</f>
        <v>110</v>
      </c>
      <c r="R259" s="22" t="n">
        <f aca="false">IF(M259="","",IFERROR(INDEX('Semrush Data'!$A$1:$Z$20000,MATCH(M259,'Semrush Data'!$A$1:$A$20000,0),MATCH("Volume",'Semrush Data'!$A$1:$Z$1,0)),""))</f>
        <v>0</v>
      </c>
      <c r="S259" s="22" t="str">
        <f aca="false">IF(N259="","",IFERROR(INDEX('Semrush Data'!$A$1:$Z$20000,MATCH(N259,'Semrush Data'!$A$1:$A$20000,0),MATCH("Volume",'Semrush Data'!$A$1:$Z$1,0)),""))</f>
        <v/>
      </c>
      <c r="T259" s="22" t="str">
        <f aca="false">IF(O259="","",IFERROR(INDEX('Semrush Data'!$A$1:$Z$20000,MATCH(O259,'Semrush Data'!$A$1:$A$20000,0),MATCH("Volume",'Semrush Data'!$A$1:$Z$1,0)),""))</f>
        <v/>
      </c>
      <c r="U259" s="22" t="str">
        <f aca="false">IF(P259="","",IFERROR(INDEX('Semrush Data'!$A$1:$Z$20000,MATCH(P259,'Semrush Data'!$A$1:$A$20000,0),MATCH("Volume",'Semrush Data'!$A$1:$Z$1,0)),""))</f>
        <v/>
      </c>
      <c r="V259" s="23" t="str">
        <f aca="false">IF(COUNT(Q259:U259)=0,L259,IF(MAX(Q259:U259)=0,L259,INDEX(L259:P259,MATCH(MAX(Q259:U259),Q259:U259,0))))</f>
        <v>chloe nomade gift set</v>
      </c>
      <c r="W259" s="22" t="n">
        <f aca="false">IFERROR(INDEX('Semrush Data'!$A$1:$Z$20000,MATCH(V259,'Semrush Data'!$A$1:$A$20000,0),MATCH("Volume",'Semrush Data'!$A$1:$Z$1,0)),"")</f>
        <v>110</v>
      </c>
      <c r="X259" s="22" t="n">
        <f aca="false">IFERROR(INDEX('Semrush Data'!$A$1:$Z$20000,MATCH(V259,'Semrush Data'!$A$1:$A$20000,0),MATCH("Keyword Difficulty*",'Semrush Data'!$A$1:$Z$1,0)),"")</f>
        <v>13</v>
      </c>
      <c r="Y259" s="24" t="n">
        <f aca="false">IFERROR(INDEX('Semrush Data'!$A$1:$Z$20000,MATCH(V259,'Semrush Data'!$A$1:$A$20000,0),MATCH("CPC*",'Semrush Data'!$A$1:$Z$1,0)),"")</f>
        <v>0.5</v>
      </c>
      <c r="Z259" s="21" t="s">
        <v>3287</v>
      </c>
      <c r="AA259" s="21" t="s">
        <v>3331</v>
      </c>
      <c r="AB259" s="21" t="s">
        <v>3332</v>
      </c>
      <c r="AC259" s="21" t="s">
        <v>3333</v>
      </c>
      <c r="AD259" s="25" t="n">
        <f aca="false">LEN(AC259)</f>
        <v>57</v>
      </c>
      <c r="AE259" s="21" t="s">
        <v>3334</v>
      </c>
      <c r="AF259" s="25" t="n">
        <f aca="false">LEN(AE259)</f>
        <v>156</v>
      </c>
    </row>
    <row r="260" customFormat="false" ht="15" hidden="false" customHeight="true" outlineLevel="0" collapsed="false">
      <c r="A260" s="21" t="s">
        <v>3335</v>
      </c>
      <c r="B260" s="21" t="s">
        <v>2390</v>
      </c>
      <c r="C260" s="21" t="n">
        <v>100</v>
      </c>
      <c r="D260" s="21" t="s">
        <v>3280</v>
      </c>
      <c r="E260" s="21" t="s">
        <v>3281</v>
      </c>
      <c r="F260" s="21" t="s">
        <v>1676</v>
      </c>
      <c r="G260" s="21" t="s">
        <v>2394</v>
      </c>
      <c r="H260" s="21" t="s">
        <v>2457</v>
      </c>
      <c r="I260" s="21" t="s">
        <v>3336</v>
      </c>
      <c r="J260" s="21" t="s">
        <v>1920</v>
      </c>
      <c r="K260" s="21" t="n">
        <v>48.99</v>
      </c>
      <c r="L260" s="21" t="s">
        <v>3337</v>
      </c>
      <c r="M260" s="21" t="s">
        <v>3338</v>
      </c>
      <c r="N260" s="21" t="s">
        <v>3339</v>
      </c>
      <c r="O260" s="21" t="s">
        <v>3340</v>
      </c>
      <c r="P260" s="21"/>
      <c r="Q260" s="22" t="n">
        <f aca="false">IF(L260="","",IFERROR(INDEX('Semrush Data'!$A$1:$Z$20000,MATCH(L260,'Semrush Data'!$A$1:$A$20000,0),MATCH("Volume",'Semrush Data'!$A$1:$Z$1,0)),""))</f>
        <v>0</v>
      </c>
      <c r="R260" s="22" t="n">
        <f aca="false">IF(M260="","",IFERROR(INDEX('Semrush Data'!$A$1:$Z$20000,MATCH(M260,'Semrush Data'!$A$1:$A$20000,0),MATCH("Volume",'Semrush Data'!$A$1:$Z$1,0)),""))</f>
        <v>0</v>
      </c>
      <c r="S260" s="22" t="str">
        <f aca="false">IF(N260="","",IFERROR(INDEX('Semrush Data'!$A$1:$Z$20000,MATCH(N260,'Semrush Data'!$A$1:$A$20000,0),MATCH("Volume",'Semrush Data'!$A$1:$Z$1,0)),""))</f>
        <v/>
      </c>
      <c r="T260" s="22" t="str">
        <f aca="false">IF(O260="","",IFERROR(INDEX('Semrush Data'!$A$1:$Z$20000,MATCH(O260,'Semrush Data'!$A$1:$A$20000,0),MATCH("Volume",'Semrush Data'!$A$1:$Z$1,0)),""))</f>
        <v/>
      </c>
      <c r="U260" s="22" t="str">
        <f aca="false">IF(P260="","",IFERROR(INDEX('Semrush Data'!$A$1:$Z$20000,MATCH(P260,'Semrush Data'!$A$1:$A$20000,0),MATCH("Volume",'Semrush Data'!$A$1:$Z$1,0)),""))</f>
        <v/>
      </c>
      <c r="V260" s="23" t="str">
        <f aca="false">IF(COUNT(Q260:U260)=0,L260,IF(MAX(Q260:U260)=0,L260,INDEX(L260:P260,MATCH(MAX(Q260:U260),Q260:U260,0))))</f>
        <v>chloe miniature gift set</v>
      </c>
      <c r="W260" s="22" t="n">
        <f aca="false">IFERROR(INDEX('Semrush Data'!$A$1:$Z$20000,MATCH(V260,'Semrush Data'!$A$1:$A$20000,0),MATCH("Volume",'Semrush Data'!$A$1:$Z$1,0)),"")</f>
        <v>0</v>
      </c>
      <c r="X260" s="22" t="n">
        <f aca="false">IFERROR(INDEX('Semrush Data'!$A$1:$Z$20000,MATCH(V260,'Semrush Data'!$A$1:$A$20000,0),MATCH("Keyword Difficulty*",'Semrush Data'!$A$1:$Z$1,0)),"")</f>
        <v>18</v>
      </c>
      <c r="Y260" s="24" t="n">
        <f aca="false">IFERROR(INDEX('Semrush Data'!$A$1:$Z$20000,MATCH(V260,'Semrush Data'!$A$1:$A$20000,0),MATCH("CPC*",'Semrush Data'!$A$1:$Z$1,0)),"")</f>
        <v>0</v>
      </c>
      <c r="Z260" s="21" t="s">
        <v>3341</v>
      </c>
      <c r="AA260" s="21" t="s">
        <v>3342</v>
      </c>
      <c r="AB260" s="21" t="s">
        <v>3343</v>
      </c>
      <c r="AC260" s="21" t="s">
        <v>3344</v>
      </c>
      <c r="AD260" s="25" t="n">
        <f aca="false">LEN(AC260)</f>
        <v>60</v>
      </c>
      <c r="AE260" s="21" t="s">
        <v>3345</v>
      </c>
      <c r="AF260" s="25" t="n">
        <f aca="false">LEN(AE260)</f>
        <v>160</v>
      </c>
    </row>
    <row r="261" customFormat="false" ht="15" hidden="false" customHeight="true" outlineLevel="0" collapsed="false">
      <c r="A261" s="21" t="s">
        <v>3346</v>
      </c>
      <c r="B261" s="21" t="s">
        <v>2390</v>
      </c>
      <c r="C261" s="21" t="n">
        <v>101</v>
      </c>
      <c r="D261" s="21" t="s">
        <v>3280</v>
      </c>
      <c r="E261" s="21" t="s">
        <v>3281</v>
      </c>
      <c r="F261" s="21" t="s">
        <v>1676</v>
      </c>
      <c r="G261" s="21" t="s">
        <v>2394</v>
      </c>
      <c r="H261" s="21" t="s">
        <v>2395</v>
      </c>
      <c r="I261" s="21" t="s">
        <v>3347</v>
      </c>
      <c r="J261" s="21" t="s">
        <v>3006</v>
      </c>
      <c r="K261" s="21" t="n">
        <v>45.99</v>
      </c>
      <c r="L261" s="21" t="s">
        <v>3348</v>
      </c>
      <c r="M261" s="21" t="s">
        <v>3349</v>
      </c>
      <c r="N261" s="21" t="s">
        <v>3350</v>
      </c>
      <c r="O261" s="21" t="s">
        <v>3351</v>
      </c>
      <c r="P261" s="21"/>
      <c r="Q261" s="22" t="n">
        <f aca="false">IF(L261="","",IFERROR(INDEX('Semrush Data'!$A$1:$Z$20000,MATCH(L261,'Semrush Data'!$A$1:$A$20000,0),MATCH("Volume",'Semrush Data'!$A$1:$Z$1,0)),""))</f>
        <v>30</v>
      </c>
      <c r="R261" s="22" t="n">
        <f aca="false">IF(M261="","",IFERROR(INDEX('Semrush Data'!$A$1:$Z$20000,MATCH(M261,'Semrush Data'!$A$1:$A$20000,0),MATCH("Volume",'Semrush Data'!$A$1:$Z$1,0)),""))</f>
        <v>0</v>
      </c>
      <c r="S261" s="22" t="str">
        <f aca="false">IF(N261="","",IFERROR(INDEX('Semrush Data'!$A$1:$Z$20000,MATCH(N261,'Semrush Data'!$A$1:$A$20000,0),MATCH("Volume",'Semrush Data'!$A$1:$Z$1,0)),""))</f>
        <v/>
      </c>
      <c r="T261" s="22" t="str">
        <f aca="false">IF(O261="","",IFERROR(INDEX('Semrush Data'!$A$1:$Z$20000,MATCH(O261,'Semrush Data'!$A$1:$A$20000,0),MATCH("Volume",'Semrush Data'!$A$1:$Z$1,0)),""))</f>
        <v/>
      </c>
      <c r="U261" s="22" t="str">
        <f aca="false">IF(P261="","",IFERROR(INDEX('Semrush Data'!$A$1:$Z$20000,MATCH(P261,'Semrush Data'!$A$1:$A$20000,0),MATCH("Volume",'Semrush Data'!$A$1:$Z$1,0)),""))</f>
        <v/>
      </c>
      <c r="V261" s="23" t="str">
        <f aca="false">IF(COUNT(Q261:U261)=0,L261,IF(MAX(Q261:U261)=0,L261,INDEX(L261:P261,MATCH(MAX(Q261:U261),Q261:U261,0))))</f>
        <v>chloe miniature set</v>
      </c>
      <c r="W261" s="22" t="n">
        <f aca="false">IFERROR(INDEX('Semrush Data'!$A$1:$Z$20000,MATCH(V261,'Semrush Data'!$A$1:$A$20000,0),MATCH("Volume",'Semrush Data'!$A$1:$Z$1,0)),"")</f>
        <v>30</v>
      </c>
      <c r="X261" s="22" t="n">
        <f aca="false">IFERROR(INDEX('Semrush Data'!$A$1:$Z$20000,MATCH(V261,'Semrush Data'!$A$1:$A$20000,0),MATCH("Keyword Difficulty*",'Semrush Data'!$A$1:$Z$1,0)),"")</f>
        <v>12</v>
      </c>
      <c r="Y261" s="24" t="n">
        <f aca="false">IFERROR(INDEX('Semrush Data'!$A$1:$Z$20000,MATCH(V261,'Semrush Data'!$A$1:$A$20000,0),MATCH("CPC*",'Semrush Data'!$A$1:$Z$1,0)),"")</f>
        <v>0</v>
      </c>
      <c r="Z261" s="21" t="s">
        <v>3287</v>
      </c>
      <c r="AA261" s="21" t="s">
        <v>3352</v>
      </c>
      <c r="AB261" s="21" t="s">
        <v>3353</v>
      </c>
      <c r="AC261" s="21" t="s">
        <v>3354</v>
      </c>
      <c r="AD261" s="25" t="n">
        <f aca="false">LEN(AC261)</f>
        <v>55</v>
      </c>
      <c r="AE261" s="21" t="s">
        <v>3355</v>
      </c>
      <c r="AF261" s="25" t="n">
        <f aca="false">LEN(AE261)</f>
        <v>157</v>
      </c>
    </row>
    <row r="262" customFormat="false" ht="15" hidden="false" customHeight="true" outlineLevel="0" collapsed="false">
      <c r="A262" s="21" t="s">
        <v>3356</v>
      </c>
      <c r="B262" s="21" t="s">
        <v>2390</v>
      </c>
      <c r="C262" s="21" t="n">
        <v>102</v>
      </c>
      <c r="D262" s="21" t="s">
        <v>3357</v>
      </c>
      <c r="E262" s="21"/>
      <c r="F262" s="21" t="s">
        <v>2393</v>
      </c>
      <c r="G262" s="21" t="s">
        <v>2394</v>
      </c>
      <c r="H262" s="21" t="s">
        <v>2479</v>
      </c>
      <c r="I262" s="21" t="s">
        <v>3358</v>
      </c>
      <c r="J262" s="21" t="s">
        <v>2809</v>
      </c>
      <c r="K262" s="21" t="n">
        <v>49.99</v>
      </c>
      <c r="L262" s="21" t="s">
        <v>3359</v>
      </c>
      <c r="M262" s="21" t="s">
        <v>3360</v>
      </c>
      <c r="N262" s="21" t="s">
        <v>3361</v>
      </c>
      <c r="O262" s="21" t="s">
        <v>3362</v>
      </c>
      <c r="P262" s="21" t="s">
        <v>3363</v>
      </c>
      <c r="Q262" s="22" t="n">
        <f aca="false">IF(L262="","",IFERROR(INDEX('Semrush Data'!$A$1:$Z$20000,MATCH(L262,'Semrush Data'!$A$1:$A$20000,0),MATCH("Volume",'Semrush Data'!$A$1:$Z$1,0)),""))</f>
        <v>50</v>
      </c>
      <c r="R262" s="22" t="n">
        <f aca="false">IF(M262="","",IFERROR(INDEX('Semrush Data'!$A$1:$Z$20000,MATCH(M262,'Semrush Data'!$A$1:$A$20000,0),MATCH("Volume",'Semrush Data'!$A$1:$Z$1,0)),""))</f>
        <v>0</v>
      </c>
      <c r="S262" s="22" t="str">
        <f aca="false">IF(N262="","",IFERROR(INDEX('Semrush Data'!$A$1:$Z$20000,MATCH(N262,'Semrush Data'!$A$1:$A$20000,0),MATCH("Volume",'Semrush Data'!$A$1:$Z$1,0)),""))</f>
        <v/>
      </c>
      <c r="T262" s="22" t="str">
        <f aca="false">IF(O262="","",IFERROR(INDEX('Semrush Data'!$A$1:$Z$20000,MATCH(O262,'Semrush Data'!$A$1:$A$20000,0),MATCH("Volume",'Semrush Data'!$A$1:$Z$1,0)),""))</f>
        <v/>
      </c>
      <c r="U262" s="22" t="n">
        <f aca="false">IF(P262="","",IFERROR(INDEX('Semrush Data'!$A$1:$Z$20000,MATCH(P262,'Semrush Data'!$A$1:$A$20000,0),MATCH("Volume",'Semrush Data'!$A$1:$Z$1,0)),""))</f>
        <v>20</v>
      </c>
      <c r="V262" s="23" t="str">
        <f aca="false">IF(COUNT(Q262:U262)=0,L262,IF(MAX(Q262:U262)=0,L262,INDEX(L262:P262,MATCH(MAX(Q262:U262),Q262:U262,0))))</f>
        <v>chopard amber malaki</v>
      </c>
      <c r="W262" s="22" t="n">
        <f aca="false">IFERROR(INDEX('Semrush Data'!$A$1:$Z$20000,MATCH(V262,'Semrush Data'!$A$1:$A$20000,0),MATCH("Volume",'Semrush Data'!$A$1:$Z$1,0)),"")</f>
        <v>50</v>
      </c>
      <c r="X262" s="22" t="n">
        <f aca="false">IFERROR(INDEX('Semrush Data'!$A$1:$Z$20000,MATCH(V262,'Semrush Data'!$A$1:$A$20000,0),MATCH("Keyword Difficulty*",'Semrush Data'!$A$1:$Z$1,0)),"")</f>
        <v>15</v>
      </c>
      <c r="Y262" s="24" t="n">
        <f aca="false">IFERROR(INDEX('Semrush Data'!$A$1:$Z$20000,MATCH(V262,'Semrush Data'!$A$1:$A$20000,0),MATCH("CPC*",'Semrush Data'!$A$1:$Z$1,0)),"")</f>
        <v>0</v>
      </c>
      <c r="Z262" s="21" t="s">
        <v>3364</v>
      </c>
      <c r="AA262" s="21" t="s">
        <v>3365</v>
      </c>
      <c r="AB262" s="21" t="s">
        <v>3366</v>
      </c>
      <c r="AC262" s="21" t="s">
        <v>3367</v>
      </c>
      <c r="AD262" s="25" t="n">
        <f aca="false">LEN(AC262)</f>
        <v>56</v>
      </c>
      <c r="AE262" s="21" t="s">
        <v>3368</v>
      </c>
      <c r="AF262" s="25" t="n">
        <f aca="false">LEN(AE262)</f>
        <v>154</v>
      </c>
    </row>
    <row r="263" customFormat="false" ht="15" hidden="false" customHeight="true" outlineLevel="0" collapsed="false">
      <c r="A263" s="21" t="s">
        <v>3369</v>
      </c>
      <c r="B263" s="21" t="s">
        <v>2390</v>
      </c>
      <c r="C263" s="21" t="n">
        <v>103</v>
      </c>
      <c r="D263" s="21" t="s">
        <v>3357</v>
      </c>
      <c r="E263" s="21"/>
      <c r="F263" s="21" t="s">
        <v>2393</v>
      </c>
      <c r="G263" s="21" t="s">
        <v>2394</v>
      </c>
      <c r="H263" s="21" t="s">
        <v>2479</v>
      </c>
      <c r="I263" s="21" t="s">
        <v>3370</v>
      </c>
      <c r="J263" s="21" t="s">
        <v>2809</v>
      </c>
      <c r="K263" s="21" t="n">
        <v>42.99</v>
      </c>
      <c r="L263" s="21" t="s">
        <v>3371</v>
      </c>
      <c r="M263" s="21" t="s">
        <v>3372</v>
      </c>
      <c r="N263" s="21" t="s">
        <v>3373</v>
      </c>
      <c r="O263" s="21" t="s">
        <v>3374</v>
      </c>
      <c r="P263" s="21" t="s">
        <v>3375</v>
      </c>
      <c r="Q263" s="22" t="n">
        <f aca="false">IF(L263="","",IFERROR(INDEX('Semrush Data'!$A$1:$Z$20000,MATCH(L263,'Semrush Data'!$A$1:$A$20000,0),MATCH("Volume",'Semrush Data'!$A$1:$Z$1,0)),""))</f>
        <v>110</v>
      </c>
      <c r="R263" s="22" t="n">
        <f aca="false">IF(M263="","",IFERROR(INDEX('Semrush Data'!$A$1:$Z$20000,MATCH(M263,'Semrush Data'!$A$1:$A$20000,0),MATCH("Volume",'Semrush Data'!$A$1:$Z$1,0)),""))</f>
        <v>0</v>
      </c>
      <c r="S263" s="22" t="str">
        <f aca="false">IF(N263="","",IFERROR(INDEX('Semrush Data'!$A$1:$Z$20000,MATCH(N263,'Semrush Data'!$A$1:$A$20000,0),MATCH("Volume",'Semrush Data'!$A$1:$Z$1,0)),""))</f>
        <v/>
      </c>
      <c r="T263" s="22" t="str">
        <f aca="false">IF(O263="","",IFERROR(INDEX('Semrush Data'!$A$1:$Z$20000,MATCH(O263,'Semrush Data'!$A$1:$A$20000,0),MATCH("Volume",'Semrush Data'!$A$1:$Z$1,0)),""))</f>
        <v/>
      </c>
      <c r="U263" s="22" t="n">
        <f aca="false">IF(P263="","",IFERROR(INDEX('Semrush Data'!$A$1:$Z$20000,MATCH(P263,'Semrush Data'!$A$1:$A$20000,0),MATCH("Volume",'Semrush Data'!$A$1:$Z$1,0)),""))</f>
        <v>20</v>
      </c>
      <c r="V263" s="23" t="str">
        <f aca="false">IF(COUNT(Q263:U263)=0,L263,IF(MAX(Q263:U263)=0,L263,INDEX(L263:P263,MATCH(MAX(Q263:U263),Q263:U263,0))))</f>
        <v>chopard black incense malaki</v>
      </c>
      <c r="W263" s="22" t="n">
        <f aca="false">IFERROR(INDEX('Semrush Data'!$A$1:$Z$20000,MATCH(V263,'Semrush Data'!$A$1:$A$20000,0),MATCH("Volume",'Semrush Data'!$A$1:$Z$1,0)),"")</f>
        <v>110</v>
      </c>
      <c r="X263" s="22" t="n">
        <f aca="false">IFERROR(INDEX('Semrush Data'!$A$1:$Z$20000,MATCH(V263,'Semrush Data'!$A$1:$A$20000,0),MATCH("Keyword Difficulty*",'Semrush Data'!$A$1:$Z$1,0)),"")</f>
        <v>20</v>
      </c>
      <c r="Y263" s="24" t="n">
        <f aca="false">IFERROR(INDEX('Semrush Data'!$A$1:$Z$20000,MATCH(V263,'Semrush Data'!$A$1:$A$20000,0),MATCH("CPC*",'Semrush Data'!$A$1:$Z$1,0)),"")</f>
        <v>0.6</v>
      </c>
      <c r="Z263" s="21" t="s">
        <v>3364</v>
      </c>
      <c r="AA263" s="21" t="s">
        <v>3376</v>
      </c>
      <c r="AB263" s="21" t="s">
        <v>3377</v>
      </c>
      <c r="AC263" s="21" t="s">
        <v>3378</v>
      </c>
      <c r="AD263" s="25" t="n">
        <f aca="false">LEN(AC263)</f>
        <v>56</v>
      </c>
      <c r="AE263" s="21" t="s">
        <v>3379</v>
      </c>
      <c r="AF263" s="25" t="n">
        <f aca="false">LEN(AE263)</f>
        <v>156</v>
      </c>
    </row>
    <row r="264" customFormat="false" ht="15" hidden="false" customHeight="true" outlineLevel="0" collapsed="false">
      <c r="A264" s="21" t="s">
        <v>3380</v>
      </c>
      <c r="B264" s="21" t="s">
        <v>2390</v>
      </c>
      <c r="C264" s="21" t="n">
        <v>104</v>
      </c>
      <c r="D264" s="21" t="s">
        <v>3357</v>
      </c>
      <c r="E264" s="21"/>
      <c r="F264" s="21" t="s">
        <v>2393</v>
      </c>
      <c r="G264" s="21" t="s">
        <v>2394</v>
      </c>
      <c r="H264" s="21" t="s">
        <v>2395</v>
      </c>
      <c r="I264" s="21" t="s">
        <v>3381</v>
      </c>
      <c r="J264" s="21" t="s">
        <v>1935</v>
      </c>
      <c r="K264" s="21" t="n">
        <v>42.99</v>
      </c>
      <c r="L264" s="21" t="s">
        <v>3382</v>
      </c>
      <c r="M264" s="21" t="s">
        <v>3383</v>
      </c>
      <c r="N264" s="21" t="s">
        <v>3384</v>
      </c>
      <c r="O264" s="21" t="s">
        <v>3385</v>
      </c>
      <c r="P264" s="21" t="s">
        <v>3386</v>
      </c>
      <c r="Q264" s="22" t="n">
        <f aca="false">IF(L264="","",IFERROR(INDEX('Semrush Data'!$A$1:$Z$20000,MATCH(L264,'Semrush Data'!$A$1:$A$20000,0),MATCH("Volume",'Semrush Data'!$A$1:$Z$1,0)),""))</f>
        <v>20</v>
      </c>
      <c r="R264" s="22" t="n">
        <f aca="false">IF(M264="","",IFERROR(INDEX('Semrush Data'!$A$1:$Z$20000,MATCH(M264,'Semrush Data'!$A$1:$A$20000,0),MATCH("Volume",'Semrush Data'!$A$1:$Z$1,0)),""))</f>
        <v>0</v>
      </c>
      <c r="S264" s="22" t="str">
        <f aca="false">IF(N264="","",IFERROR(INDEX('Semrush Data'!$A$1:$Z$20000,MATCH(N264,'Semrush Data'!$A$1:$A$20000,0),MATCH("Volume",'Semrush Data'!$A$1:$Z$1,0)),""))</f>
        <v/>
      </c>
      <c r="T264" s="22" t="str">
        <f aca="false">IF(O264="","",IFERROR(INDEX('Semrush Data'!$A$1:$Z$20000,MATCH(O264,'Semrush Data'!$A$1:$A$20000,0),MATCH("Volume",'Semrush Data'!$A$1:$Z$1,0)),""))</f>
        <v/>
      </c>
      <c r="U264" s="22" t="str">
        <f aca="false">IF(P264="","",IFERROR(INDEX('Semrush Data'!$A$1:$Z$20000,MATCH(P264,'Semrush Data'!$A$1:$A$20000,0),MATCH("Volume",'Semrush Data'!$A$1:$Z$1,0)),""))</f>
        <v/>
      </c>
      <c r="V264" s="23" t="str">
        <f aca="false">IF(COUNT(Q264:U264)=0,L264,IF(MAX(Q264:U264)=0,L264,INDEX(L264:P264,MATCH(MAX(Q264:U264),Q264:U264,0))))</f>
        <v>chopard imperiale iris malika</v>
      </c>
      <c r="W264" s="22" t="n">
        <f aca="false">IFERROR(INDEX('Semrush Data'!$A$1:$Z$20000,MATCH(V264,'Semrush Data'!$A$1:$A$20000,0),MATCH("Volume",'Semrush Data'!$A$1:$Z$1,0)),"")</f>
        <v>20</v>
      </c>
      <c r="X264" s="22" t="n">
        <f aca="false">IFERROR(INDEX('Semrush Data'!$A$1:$Z$20000,MATCH(V264,'Semrush Data'!$A$1:$A$20000,0),MATCH("Keyword Difficulty*",'Semrush Data'!$A$1:$Z$1,0)),"")</f>
        <v>16</v>
      </c>
      <c r="Y264" s="24" t="n">
        <f aca="false">IFERROR(INDEX('Semrush Data'!$A$1:$Z$20000,MATCH(V264,'Semrush Data'!$A$1:$A$20000,0),MATCH("CPC*",'Semrush Data'!$A$1:$Z$1,0)),"")</f>
        <v>0</v>
      </c>
      <c r="Z264" s="21" t="s">
        <v>3387</v>
      </c>
      <c r="AA264" s="21" t="s">
        <v>3388</v>
      </c>
      <c r="AB264" s="21" t="s">
        <v>3389</v>
      </c>
      <c r="AC264" s="21" t="s">
        <v>3390</v>
      </c>
      <c r="AD264" s="25" t="n">
        <f aca="false">LEN(AC264)</f>
        <v>57</v>
      </c>
      <c r="AE264" s="21" t="s">
        <v>3391</v>
      </c>
      <c r="AF264" s="25" t="n">
        <f aca="false">LEN(AE264)</f>
        <v>159</v>
      </c>
    </row>
    <row r="265" customFormat="false" ht="15" hidden="false" customHeight="true" outlineLevel="0" collapsed="false">
      <c r="A265" s="21" t="s">
        <v>108</v>
      </c>
      <c r="B265" s="21" t="s">
        <v>2390</v>
      </c>
      <c r="C265" s="21" t="n">
        <v>105</v>
      </c>
      <c r="D265" s="21" t="s">
        <v>3357</v>
      </c>
      <c r="E265" s="21"/>
      <c r="F265" s="21" t="s">
        <v>2393</v>
      </c>
      <c r="G265" s="21" t="s">
        <v>2394</v>
      </c>
      <c r="H265" s="21" t="s">
        <v>2445</v>
      </c>
      <c r="I265" s="21" t="s">
        <v>109</v>
      </c>
      <c r="J265" s="21" t="s">
        <v>2809</v>
      </c>
      <c r="K265" s="21" t="n">
        <v>48.99</v>
      </c>
      <c r="L265" s="21" t="s">
        <v>3392</v>
      </c>
      <c r="M265" s="21" t="s">
        <v>3393</v>
      </c>
      <c r="N265" s="21" t="s">
        <v>3394</v>
      </c>
      <c r="O265" s="21" t="s">
        <v>3395</v>
      </c>
      <c r="P265" s="21" t="s">
        <v>3396</v>
      </c>
      <c r="Q265" s="22" t="n">
        <f aca="false">IF(L265="","",IFERROR(INDEX('Semrush Data'!$A$1:$Z$20000,MATCH(L265,'Semrush Data'!$A$1:$A$20000,0),MATCH("Volume",'Semrush Data'!$A$1:$Z$1,0)),""))</f>
        <v>590</v>
      </c>
      <c r="R265" s="22" t="n">
        <f aca="false">IF(M265="","",IFERROR(INDEX('Semrush Data'!$A$1:$Z$20000,MATCH(M265,'Semrush Data'!$A$1:$A$20000,0),MATCH("Volume",'Semrush Data'!$A$1:$Z$1,0)),""))</f>
        <v>20</v>
      </c>
      <c r="S265" s="22" t="str">
        <f aca="false">IF(N265="","",IFERROR(INDEX('Semrush Data'!$A$1:$Z$20000,MATCH(N265,'Semrush Data'!$A$1:$A$20000,0),MATCH("Volume",'Semrush Data'!$A$1:$Z$1,0)),""))</f>
        <v/>
      </c>
      <c r="T265" s="22" t="str">
        <f aca="false">IF(O265="","",IFERROR(INDEX('Semrush Data'!$A$1:$Z$20000,MATCH(O265,'Semrush Data'!$A$1:$A$20000,0),MATCH("Volume",'Semrush Data'!$A$1:$Z$1,0)),""))</f>
        <v/>
      </c>
      <c r="U265" s="22" t="n">
        <f aca="false">IF(P265="","",IFERROR(INDEX('Semrush Data'!$A$1:$Z$20000,MATCH(P265,'Semrush Data'!$A$1:$A$20000,0),MATCH("Volume",'Semrush Data'!$A$1:$Z$1,0)),""))</f>
        <v>20</v>
      </c>
      <c r="V265" s="23" t="str">
        <f aca="false">IF(COUNT(Q265:U265)=0,L265,IF(MAX(Q265:U265)=0,L265,INDEX(L265:P265,MATCH(MAX(Q265:U265),Q265:U265,0))))</f>
        <v>chopard oud malaki</v>
      </c>
      <c r="W265" s="22" t="n">
        <f aca="false">IFERROR(INDEX('Semrush Data'!$A$1:$Z$20000,MATCH(V265,'Semrush Data'!$A$1:$A$20000,0),MATCH("Volume",'Semrush Data'!$A$1:$Z$1,0)),"")</f>
        <v>590</v>
      </c>
      <c r="X265" s="22" t="n">
        <f aca="false">IFERROR(INDEX('Semrush Data'!$A$1:$Z$20000,MATCH(V265,'Semrush Data'!$A$1:$A$20000,0),MATCH("Keyword Difficulty*",'Semrush Data'!$A$1:$Z$1,0)),"")</f>
        <v>17</v>
      </c>
      <c r="Y265" s="24" t="n">
        <f aca="false">IFERROR(INDEX('Semrush Data'!$A$1:$Z$20000,MATCH(V265,'Semrush Data'!$A$1:$A$20000,0),MATCH("CPC*",'Semrush Data'!$A$1:$Z$1,0)),"")</f>
        <v>0.6</v>
      </c>
      <c r="Z265" s="21" t="s">
        <v>3397</v>
      </c>
      <c r="AA265" s="21" t="s">
        <v>3398</v>
      </c>
      <c r="AB265" s="21" t="s">
        <v>3399</v>
      </c>
      <c r="AC265" s="21" t="s">
        <v>3400</v>
      </c>
      <c r="AD265" s="25" t="n">
        <f aca="false">LEN(AC265)</f>
        <v>59</v>
      </c>
      <c r="AE265" s="21" t="s">
        <v>3401</v>
      </c>
      <c r="AF265" s="25" t="n">
        <f aca="false">LEN(AE265)</f>
        <v>149</v>
      </c>
    </row>
    <row r="266" customFormat="false" ht="15" hidden="false" customHeight="true" outlineLevel="0" collapsed="false">
      <c r="A266" s="21" t="s">
        <v>3402</v>
      </c>
      <c r="B266" s="21" t="s">
        <v>2390</v>
      </c>
      <c r="C266" s="21" t="n">
        <v>106</v>
      </c>
      <c r="D266" s="21" t="s">
        <v>3357</v>
      </c>
      <c r="E266" s="21"/>
      <c r="F266" s="21" t="s">
        <v>1676</v>
      </c>
      <c r="G266" s="21" t="s">
        <v>2394</v>
      </c>
      <c r="H266" s="21" t="s">
        <v>2479</v>
      </c>
      <c r="I266" s="21" t="s">
        <v>3403</v>
      </c>
      <c r="J266" s="21" t="s">
        <v>2503</v>
      </c>
      <c r="K266" s="21" t="n">
        <v>59.99</v>
      </c>
      <c r="L266" s="21" t="s">
        <v>3404</v>
      </c>
      <c r="M266" s="21" t="s">
        <v>3405</v>
      </c>
      <c r="N266" s="21" t="s">
        <v>3406</v>
      </c>
      <c r="O266" s="21" t="s">
        <v>3407</v>
      </c>
      <c r="P266" s="21"/>
      <c r="Q266" s="22" t="n">
        <f aca="false">IF(L266="","",IFERROR(INDEX('Semrush Data'!$A$1:$Z$20000,MATCH(L266,'Semrush Data'!$A$1:$A$20000,0),MATCH("Volume",'Semrush Data'!$A$1:$Z$1,0)),""))</f>
        <v>0</v>
      </c>
      <c r="R266" s="22" t="n">
        <f aca="false">IF(M266="","",IFERROR(INDEX('Semrush Data'!$A$1:$Z$20000,MATCH(M266,'Semrush Data'!$A$1:$A$20000,0),MATCH("Volume",'Semrush Data'!$A$1:$Z$1,0)),""))</f>
        <v>0</v>
      </c>
      <c r="S266" s="22" t="str">
        <f aca="false">IF(N266="","",IFERROR(INDEX('Semrush Data'!$A$1:$Z$20000,MATCH(N266,'Semrush Data'!$A$1:$A$20000,0),MATCH("Volume",'Semrush Data'!$A$1:$Z$1,0)),""))</f>
        <v/>
      </c>
      <c r="T266" s="22" t="str">
        <f aca="false">IF(O266="","",IFERROR(INDEX('Semrush Data'!$A$1:$Z$20000,MATCH(O266,'Semrush Data'!$A$1:$A$20000,0),MATCH("Volume",'Semrush Data'!$A$1:$Z$1,0)),""))</f>
        <v/>
      </c>
      <c r="U266" s="22" t="str">
        <f aca="false">IF(P266="","",IFERROR(INDEX('Semrush Data'!$A$1:$Z$20000,MATCH(P266,'Semrush Data'!$A$1:$A$20000,0),MATCH("Volume",'Semrush Data'!$A$1:$Z$1,0)),""))</f>
        <v/>
      </c>
      <c r="V266" s="23" t="str">
        <f aca="false">IF(COUNT(Q266:U266)=0,L266,IF(MAX(Q266:U266)=0,L266,INDEX(L266:P266,MATCH(MAX(Q266:U266),Q266:U266,0))))</f>
        <v>chopard gardens of paradise discovery set</v>
      </c>
      <c r="W266" s="22" t="n">
        <f aca="false">IFERROR(INDEX('Semrush Data'!$A$1:$Z$20000,MATCH(V266,'Semrush Data'!$A$1:$A$20000,0),MATCH("Volume",'Semrush Data'!$A$1:$Z$1,0)),"")</f>
        <v>0</v>
      </c>
      <c r="X266" s="22" t="n">
        <f aca="false">IFERROR(INDEX('Semrush Data'!$A$1:$Z$20000,MATCH(V266,'Semrush Data'!$A$1:$A$20000,0),MATCH("Keyword Difficulty*",'Semrush Data'!$A$1:$Z$1,0)),"")</f>
        <v>8</v>
      </c>
      <c r="Y266" s="24" t="n">
        <f aca="false">IFERROR(INDEX('Semrush Data'!$A$1:$Z$20000,MATCH(V266,'Semrush Data'!$A$1:$A$20000,0),MATCH("CPC*",'Semrush Data'!$A$1:$Z$1,0)),"")</f>
        <v>0</v>
      </c>
      <c r="Z266" s="21" t="s">
        <v>3364</v>
      </c>
      <c r="AA266" s="21"/>
      <c r="AB266" s="21" t="s">
        <v>3408</v>
      </c>
      <c r="AC266" s="21" t="s">
        <v>3409</v>
      </c>
      <c r="AD266" s="25" t="n">
        <f aca="false">LEN(AC266)</f>
        <v>55</v>
      </c>
      <c r="AE266" s="21" t="s">
        <v>3410</v>
      </c>
      <c r="AF266" s="25" t="n">
        <f aca="false">LEN(AE266)</f>
        <v>156</v>
      </c>
    </row>
    <row r="267" customFormat="false" ht="15" hidden="false" customHeight="true" outlineLevel="0" collapsed="false">
      <c r="A267" s="21" t="s">
        <v>3411</v>
      </c>
      <c r="B267" s="21" t="s">
        <v>2390</v>
      </c>
      <c r="C267" s="21" t="n">
        <v>107</v>
      </c>
      <c r="D267" s="21" t="s">
        <v>3412</v>
      </c>
      <c r="E267" s="21"/>
      <c r="F267" s="21" t="s">
        <v>2393</v>
      </c>
      <c r="G267" s="21" t="s">
        <v>2394</v>
      </c>
      <c r="H267" s="21" t="s">
        <v>2549</v>
      </c>
      <c r="I267" s="21" t="s">
        <v>3413</v>
      </c>
      <c r="J267" s="21" t="s">
        <v>1935</v>
      </c>
      <c r="K267" s="21" t="n">
        <v>14.5</v>
      </c>
      <c r="L267" s="21" t="s">
        <v>3414</v>
      </c>
      <c r="M267" s="21" t="s">
        <v>3415</v>
      </c>
      <c r="N267" s="21" t="s">
        <v>3416</v>
      </c>
      <c r="O267" s="21" t="s">
        <v>3417</v>
      </c>
      <c r="P267" s="21" t="s">
        <v>3418</v>
      </c>
      <c r="Q267" s="22" t="n">
        <f aca="false">IF(L267="","",IFERROR(INDEX('Semrush Data'!$A$1:$Z$20000,MATCH(L267,'Semrush Data'!$A$1:$A$20000,0),MATCH("Volume",'Semrush Data'!$A$1:$Z$1,0)),""))</f>
        <v>0</v>
      </c>
      <c r="R267" s="22" t="n">
        <f aca="false">IF(M267="","",IFERROR(INDEX('Semrush Data'!$A$1:$Z$20000,MATCH(M267,'Semrush Data'!$A$1:$A$20000,0),MATCH("Volume",'Semrush Data'!$A$1:$Z$1,0)),""))</f>
        <v>0</v>
      </c>
      <c r="S267" s="22" t="str">
        <f aca="false">IF(N267="","",IFERROR(INDEX('Semrush Data'!$A$1:$Z$20000,MATCH(N267,'Semrush Data'!$A$1:$A$20000,0),MATCH("Volume",'Semrush Data'!$A$1:$Z$1,0)),""))</f>
        <v/>
      </c>
      <c r="T267" s="22" t="str">
        <f aca="false">IF(O267="","",IFERROR(INDEX('Semrush Data'!$A$1:$Z$20000,MATCH(O267,'Semrush Data'!$A$1:$A$20000,0),MATCH("Volume",'Semrush Data'!$A$1:$Z$1,0)),""))</f>
        <v/>
      </c>
      <c r="U267" s="22" t="str">
        <f aca="false">IF(P267="","",IFERROR(INDEX('Semrush Data'!$A$1:$Z$20000,MATCH(P267,'Semrush Data'!$A$1:$A$20000,0),MATCH("Volume",'Semrush Data'!$A$1:$Z$1,0)),""))</f>
        <v/>
      </c>
      <c r="V267" s="23" t="str">
        <f aca="false">IF(COUNT(Q267:U267)=0,L267,IF(MAX(Q267:U267)=0,L267,INDEX(L267:P267,MATCH(MAX(Q267:U267),Q267:U267,0))))</f>
        <v>chris adams ca dx 77 pour homme</v>
      </c>
      <c r="W267" s="22" t="n">
        <f aca="false">IFERROR(INDEX('Semrush Data'!$A$1:$Z$20000,MATCH(V267,'Semrush Data'!$A$1:$A$20000,0),MATCH("Volume",'Semrush Data'!$A$1:$Z$1,0)),"")</f>
        <v>0</v>
      </c>
      <c r="X267" s="22" t="n">
        <f aca="false">IFERROR(INDEX('Semrush Data'!$A$1:$Z$20000,MATCH(V267,'Semrush Data'!$A$1:$A$20000,0),MATCH("Keyword Difficulty*",'Semrush Data'!$A$1:$Z$1,0)),"")</f>
        <v>28</v>
      </c>
      <c r="Y267" s="24" t="n">
        <f aca="false">IFERROR(INDEX('Semrush Data'!$A$1:$Z$20000,MATCH(V267,'Semrush Data'!$A$1:$A$20000,0),MATCH("CPC*",'Semrush Data'!$A$1:$Z$1,0)),"")</f>
        <v>0</v>
      </c>
      <c r="Z267" s="21" t="s">
        <v>3419</v>
      </c>
      <c r="AA267" s="21"/>
      <c r="AB267" s="21" t="s">
        <v>3420</v>
      </c>
      <c r="AC267" s="21" t="s">
        <v>3421</v>
      </c>
      <c r="AD267" s="25" t="n">
        <f aca="false">LEN(AC267)</f>
        <v>57</v>
      </c>
      <c r="AE267" s="21" t="s">
        <v>3422</v>
      </c>
      <c r="AF267" s="25" t="n">
        <f aca="false">LEN(AE267)</f>
        <v>156</v>
      </c>
    </row>
    <row r="268" customFormat="false" ht="15" hidden="false" customHeight="true" outlineLevel="0" collapsed="false">
      <c r="A268" s="21" t="s">
        <v>3423</v>
      </c>
      <c r="B268" s="21" t="s">
        <v>2390</v>
      </c>
      <c r="C268" s="21" t="n">
        <v>108</v>
      </c>
      <c r="D268" s="21" t="s">
        <v>3412</v>
      </c>
      <c r="E268" s="21"/>
      <c r="F268" s="21" t="s">
        <v>2393</v>
      </c>
      <c r="G268" s="21" t="s">
        <v>2759</v>
      </c>
      <c r="H268" s="21" t="s">
        <v>2549</v>
      </c>
      <c r="I268" s="21" t="s">
        <v>3424</v>
      </c>
      <c r="J268" s="21" t="s">
        <v>1935</v>
      </c>
      <c r="K268" s="21" t="n">
        <v>11.94</v>
      </c>
      <c r="L268" s="21" t="s">
        <v>3425</v>
      </c>
      <c r="M268" s="21" t="s">
        <v>3426</v>
      </c>
      <c r="N268" s="21" t="s">
        <v>3427</v>
      </c>
      <c r="O268" s="21" t="s">
        <v>3428</v>
      </c>
      <c r="P268" s="21" t="s">
        <v>3429</v>
      </c>
      <c r="Q268" s="22" t="n">
        <f aca="false">IF(L268="","",IFERROR(INDEX('Semrush Data'!$A$1:$Z$20000,MATCH(L268,'Semrush Data'!$A$1:$A$20000,0),MATCH("Volume",'Semrush Data'!$A$1:$Z$1,0)),""))</f>
        <v>0</v>
      </c>
      <c r="R268" s="22" t="n">
        <f aca="false">IF(M268="","",IFERROR(INDEX('Semrush Data'!$A$1:$Z$20000,MATCH(M268,'Semrush Data'!$A$1:$A$20000,0),MATCH("Volume",'Semrush Data'!$A$1:$Z$1,0)),""))</f>
        <v>0</v>
      </c>
      <c r="S268" s="22" t="str">
        <f aca="false">IF(N268="","",IFERROR(INDEX('Semrush Data'!$A$1:$Z$20000,MATCH(N268,'Semrush Data'!$A$1:$A$20000,0),MATCH("Volume",'Semrush Data'!$A$1:$Z$1,0)),""))</f>
        <v/>
      </c>
      <c r="T268" s="22" t="str">
        <f aca="false">IF(O268="","",IFERROR(INDEX('Semrush Data'!$A$1:$Z$20000,MATCH(O268,'Semrush Data'!$A$1:$A$20000,0),MATCH("Volume",'Semrush Data'!$A$1:$Z$1,0)),""))</f>
        <v/>
      </c>
      <c r="U268" s="22" t="str">
        <f aca="false">IF(P268="","",IFERROR(INDEX('Semrush Data'!$A$1:$Z$20000,MATCH(P268,'Semrush Data'!$A$1:$A$20000,0),MATCH("Volume",'Semrush Data'!$A$1:$Z$1,0)),""))</f>
        <v/>
      </c>
      <c r="V268" s="23" t="str">
        <f aca="false">IF(COUNT(Q268:U268)=0,L268,IF(MAX(Q268:U268)=0,L268,INDEX(L268:P268,MATCH(MAX(Q268:U268),Q268:U268,0))))</f>
        <v>chris adams black shadow pour homme</v>
      </c>
      <c r="W268" s="22" t="n">
        <f aca="false">IFERROR(INDEX('Semrush Data'!$A$1:$Z$20000,MATCH(V268,'Semrush Data'!$A$1:$A$20000,0),MATCH("Volume",'Semrush Data'!$A$1:$Z$1,0)),"")</f>
        <v>0</v>
      </c>
      <c r="X268" s="22" t="n">
        <f aca="false">IFERROR(INDEX('Semrush Data'!$A$1:$Z$20000,MATCH(V268,'Semrush Data'!$A$1:$A$20000,0),MATCH("Keyword Difficulty*",'Semrush Data'!$A$1:$Z$1,0)),"")</f>
        <v>10</v>
      </c>
      <c r="Y268" s="24" t="n">
        <f aca="false">IFERROR(INDEX('Semrush Data'!$A$1:$Z$20000,MATCH(V268,'Semrush Data'!$A$1:$A$20000,0),MATCH("CPC*",'Semrush Data'!$A$1:$Z$1,0)),"")</f>
        <v>0</v>
      </c>
      <c r="Z268" s="21" t="s">
        <v>3419</v>
      </c>
      <c r="AA268" s="21"/>
      <c r="AB268" s="21" t="s">
        <v>3430</v>
      </c>
      <c r="AC268" s="21" t="s">
        <v>3431</v>
      </c>
      <c r="AD268" s="25" t="n">
        <f aca="false">LEN(AC268)</f>
        <v>57</v>
      </c>
      <c r="AE268" s="21" t="s">
        <v>3432</v>
      </c>
      <c r="AF268" s="25" t="n">
        <f aca="false">LEN(AE268)</f>
        <v>160</v>
      </c>
    </row>
    <row r="269" customFormat="false" ht="15" hidden="false" customHeight="true" outlineLevel="0" collapsed="false">
      <c r="A269" s="21" t="s">
        <v>3433</v>
      </c>
      <c r="B269" s="21" t="s">
        <v>2390</v>
      </c>
      <c r="C269" s="21" t="n">
        <v>109</v>
      </c>
      <c r="D269" s="21" t="s">
        <v>3434</v>
      </c>
      <c r="E269" s="21"/>
      <c r="F269" s="21" t="s">
        <v>2393</v>
      </c>
      <c r="G269" s="21" t="s">
        <v>2394</v>
      </c>
      <c r="H269" s="21" t="s">
        <v>2395</v>
      </c>
      <c r="I269" s="21" t="s">
        <v>3435</v>
      </c>
      <c r="J269" s="21" t="s">
        <v>1409</v>
      </c>
      <c r="K269" s="21" t="n">
        <v>18.99</v>
      </c>
      <c r="L269" s="21" t="s">
        <v>3436</v>
      </c>
      <c r="M269" s="21" t="s">
        <v>3437</v>
      </c>
      <c r="N269" s="21" t="s">
        <v>3438</v>
      </c>
      <c r="O269" s="21" t="s">
        <v>3439</v>
      </c>
      <c r="P269" s="21" t="s">
        <v>3440</v>
      </c>
      <c r="Q269" s="22" t="n">
        <f aca="false">IF(L269="","",IFERROR(INDEX('Semrush Data'!$A$1:$Z$20000,MATCH(L269,'Semrush Data'!$A$1:$A$20000,0),MATCH("Volume",'Semrush Data'!$A$1:$Z$1,0)),""))</f>
        <v>20</v>
      </c>
      <c r="R269" s="22" t="n">
        <f aca="false">IF(M269="","",IFERROR(INDEX('Semrush Data'!$A$1:$Z$20000,MATCH(M269,'Semrush Data'!$A$1:$A$20000,0),MATCH("Volume",'Semrush Data'!$A$1:$Z$1,0)),""))</f>
        <v>0</v>
      </c>
      <c r="S269" s="22" t="str">
        <f aca="false">IF(N269="","",IFERROR(INDEX('Semrush Data'!$A$1:$Z$20000,MATCH(N269,'Semrush Data'!$A$1:$A$20000,0),MATCH("Volume",'Semrush Data'!$A$1:$Z$1,0)),""))</f>
        <v/>
      </c>
      <c r="T269" s="22" t="str">
        <f aca="false">IF(O269="","",IFERROR(INDEX('Semrush Data'!$A$1:$Z$20000,MATCH(O269,'Semrush Data'!$A$1:$A$20000,0),MATCH("Volume",'Semrush Data'!$A$1:$Z$1,0)),""))</f>
        <v/>
      </c>
      <c r="U269" s="22" t="str">
        <f aca="false">IF(P269="","",IFERROR(INDEX('Semrush Data'!$A$1:$Z$20000,MATCH(P269,'Semrush Data'!$A$1:$A$20000,0),MATCH("Volume",'Semrush Data'!$A$1:$Z$1,0)),""))</f>
        <v/>
      </c>
      <c r="V269" s="23" t="str">
        <f aca="false">IF(COUNT(Q269:U269)=0,L269,IF(MAX(Q269:U269)=0,L269,INDEX(L269:P269,MATCH(MAX(Q269:U269),Q269:U269,0))))</f>
        <v>davidoff cool water reborn intense</v>
      </c>
      <c r="W269" s="22" t="n">
        <f aca="false">IFERROR(INDEX('Semrush Data'!$A$1:$Z$20000,MATCH(V269,'Semrush Data'!$A$1:$A$20000,0),MATCH("Volume",'Semrush Data'!$A$1:$Z$1,0)),"")</f>
        <v>20</v>
      </c>
      <c r="X269" s="22" t="n">
        <f aca="false">IFERROR(INDEX('Semrush Data'!$A$1:$Z$20000,MATCH(V269,'Semrush Data'!$A$1:$A$20000,0),MATCH("Keyword Difficulty*",'Semrush Data'!$A$1:$Z$1,0)),"")</f>
        <v>9</v>
      </c>
      <c r="Y269" s="24" t="n">
        <f aca="false">IFERROR(INDEX('Semrush Data'!$A$1:$Z$20000,MATCH(V269,'Semrush Data'!$A$1:$A$20000,0),MATCH("CPC*",'Semrush Data'!$A$1:$Z$1,0)),"")</f>
        <v>0.38</v>
      </c>
      <c r="Z269" s="21" t="s">
        <v>3441</v>
      </c>
      <c r="AA269" s="21" t="s">
        <v>3442</v>
      </c>
      <c r="AB269" s="21" t="s">
        <v>3443</v>
      </c>
      <c r="AC269" s="21" t="s">
        <v>3444</v>
      </c>
      <c r="AD269" s="25" t="n">
        <f aca="false">LEN(AC269)</f>
        <v>57</v>
      </c>
      <c r="AE269" s="21" t="s">
        <v>3445</v>
      </c>
      <c r="AF269" s="25" t="n">
        <f aca="false">LEN(AE269)</f>
        <v>157</v>
      </c>
    </row>
    <row r="270" customFormat="false" ht="15" hidden="false" customHeight="true" outlineLevel="0" collapsed="false">
      <c r="A270" s="21" t="s">
        <v>118</v>
      </c>
      <c r="B270" s="21" t="s">
        <v>2390</v>
      </c>
      <c r="C270" s="21" t="n">
        <v>110</v>
      </c>
      <c r="D270" s="21" t="s">
        <v>3434</v>
      </c>
      <c r="E270" s="21"/>
      <c r="F270" s="21" t="s">
        <v>2393</v>
      </c>
      <c r="G270" s="21" t="s">
        <v>2759</v>
      </c>
      <c r="H270" s="21" t="s">
        <v>2549</v>
      </c>
      <c r="I270" s="21" t="s">
        <v>119</v>
      </c>
      <c r="J270" s="21" t="s">
        <v>3001</v>
      </c>
      <c r="K270" s="21" t="n">
        <v>23.99</v>
      </c>
      <c r="L270" s="21" t="s">
        <v>3446</v>
      </c>
      <c r="M270" s="21" t="s">
        <v>3447</v>
      </c>
      <c r="N270" s="21" t="s">
        <v>3448</v>
      </c>
      <c r="O270" s="21" t="s">
        <v>3449</v>
      </c>
      <c r="P270" s="21" t="s">
        <v>3450</v>
      </c>
      <c r="Q270" s="22" t="n">
        <f aca="false">IF(L270="","",IFERROR(INDEX('Semrush Data'!$A$1:$Z$20000,MATCH(L270,'Semrush Data'!$A$1:$A$20000,0),MATCH("Volume",'Semrush Data'!$A$1:$Z$1,0)),""))</f>
        <v>480</v>
      </c>
      <c r="R270" s="22" t="n">
        <f aca="false">IF(M270="","",IFERROR(INDEX('Semrush Data'!$A$1:$Z$20000,MATCH(M270,'Semrush Data'!$A$1:$A$20000,0),MATCH("Volume",'Semrush Data'!$A$1:$Z$1,0)),""))</f>
        <v>10</v>
      </c>
      <c r="S270" s="22" t="str">
        <f aca="false">IF(N270="","",IFERROR(INDEX('Semrush Data'!$A$1:$Z$20000,MATCH(N270,'Semrush Data'!$A$1:$A$20000,0),MATCH("Volume",'Semrush Data'!$A$1:$Z$1,0)),""))</f>
        <v/>
      </c>
      <c r="T270" s="22" t="str">
        <f aca="false">IF(O270="","",IFERROR(INDEX('Semrush Data'!$A$1:$Z$20000,MATCH(O270,'Semrush Data'!$A$1:$A$20000,0),MATCH("Volume",'Semrush Data'!$A$1:$Z$1,0)),""))</f>
        <v/>
      </c>
      <c r="U270" s="22" t="n">
        <f aca="false">IF(P270="","",IFERROR(INDEX('Semrush Data'!$A$1:$Z$20000,MATCH(P270,'Semrush Data'!$A$1:$A$20000,0),MATCH("Volume",'Semrush Data'!$A$1:$Z$1,0)),""))</f>
        <v>20</v>
      </c>
      <c r="V270" s="23" t="str">
        <f aca="false">IF(COUNT(Q270:U270)=0,L270,IF(MAX(Q270:U270)=0,L270,INDEX(L270:P270,MATCH(MAX(Q270:U270),Q270:U270,0))))</f>
        <v>davidoff champion</v>
      </c>
      <c r="W270" s="22" t="n">
        <f aca="false">IFERROR(INDEX('Semrush Data'!$A$1:$Z$20000,MATCH(V270,'Semrush Data'!$A$1:$A$20000,0),MATCH("Volume",'Semrush Data'!$A$1:$Z$1,0)),"")</f>
        <v>480</v>
      </c>
      <c r="X270" s="22" t="n">
        <f aca="false">IFERROR(INDEX('Semrush Data'!$A$1:$Z$20000,MATCH(V270,'Semrush Data'!$A$1:$A$20000,0),MATCH("Keyword Difficulty*",'Semrush Data'!$A$1:$Z$1,0)),"")</f>
        <v>20</v>
      </c>
      <c r="Y270" s="24" t="n">
        <f aca="false">IFERROR(INDEX('Semrush Data'!$A$1:$Z$20000,MATCH(V270,'Semrush Data'!$A$1:$A$20000,0),MATCH("CPC*",'Semrush Data'!$A$1:$Z$1,0)),"")</f>
        <v>0.46</v>
      </c>
      <c r="Z270" s="21" t="s">
        <v>3451</v>
      </c>
      <c r="AA270" s="21" t="s">
        <v>3452</v>
      </c>
      <c r="AB270" s="21" t="s">
        <v>3453</v>
      </c>
      <c r="AC270" s="21" t="s">
        <v>3454</v>
      </c>
      <c r="AD270" s="25" t="n">
        <f aca="false">LEN(AC270)</f>
        <v>60</v>
      </c>
      <c r="AE270" s="21" t="s">
        <v>3455</v>
      </c>
      <c r="AF270" s="25" t="n">
        <f aca="false">LEN(AE270)</f>
        <v>153</v>
      </c>
    </row>
    <row r="271" customFormat="false" ht="15" hidden="false" customHeight="true" outlineLevel="0" collapsed="false">
      <c r="A271" s="21" t="s">
        <v>3456</v>
      </c>
      <c r="B271" s="21" t="s">
        <v>2390</v>
      </c>
      <c r="C271" s="21" t="n">
        <v>111</v>
      </c>
      <c r="D271" s="21" t="s">
        <v>3434</v>
      </c>
      <c r="E271" s="21"/>
      <c r="F271" s="21" t="s">
        <v>2393</v>
      </c>
      <c r="G271" s="21" t="s">
        <v>2759</v>
      </c>
      <c r="H271" s="21" t="s">
        <v>2873</v>
      </c>
      <c r="I271" s="21" t="s">
        <v>3457</v>
      </c>
      <c r="J271" s="21" t="s">
        <v>3458</v>
      </c>
      <c r="K271" s="21" t="n">
        <v>21.99</v>
      </c>
      <c r="L271" s="21" t="s">
        <v>3459</v>
      </c>
      <c r="M271" s="21" t="s">
        <v>3460</v>
      </c>
      <c r="N271" s="21" t="s">
        <v>3461</v>
      </c>
      <c r="O271" s="21" t="s">
        <v>3462</v>
      </c>
      <c r="P271" s="21" t="s">
        <v>3463</v>
      </c>
      <c r="Q271" s="22" t="n">
        <f aca="false">IF(L271="","",IFERROR(INDEX('Semrush Data'!$A$1:$Z$20000,MATCH(L271,'Semrush Data'!$A$1:$A$20000,0),MATCH("Volume",'Semrush Data'!$A$1:$Z$1,0)),""))</f>
        <v>260</v>
      </c>
      <c r="R271" s="22" t="n">
        <f aca="false">IF(M271="","",IFERROR(INDEX('Semrush Data'!$A$1:$Z$20000,MATCH(M271,'Semrush Data'!$A$1:$A$20000,0),MATCH("Volume",'Semrush Data'!$A$1:$Z$1,0)),""))</f>
        <v>20</v>
      </c>
      <c r="S271" s="22" t="str">
        <f aca="false">IF(N271="","",IFERROR(INDEX('Semrush Data'!$A$1:$Z$20000,MATCH(N271,'Semrush Data'!$A$1:$A$20000,0),MATCH("Volume",'Semrush Data'!$A$1:$Z$1,0)),""))</f>
        <v/>
      </c>
      <c r="T271" s="22" t="str">
        <f aca="false">IF(O271="","",IFERROR(INDEX('Semrush Data'!$A$1:$Z$20000,MATCH(O271,'Semrush Data'!$A$1:$A$20000,0),MATCH("Volume",'Semrush Data'!$A$1:$Z$1,0)),""))</f>
        <v/>
      </c>
      <c r="U271" s="22" t="n">
        <f aca="false">IF(P271="","",IFERROR(INDEX('Semrush Data'!$A$1:$Z$20000,MATCH(P271,'Semrush Data'!$A$1:$A$20000,0),MATCH("Volume",'Semrush Data'!$A$1:$Z$1,0)),""))</f>
        <v>10</v>
      </c>
      <c r="V271" s="23" t="str">
        <f aca="false">IF(COUNT(Q271:U271)=0,L271,IF(MAX(Q271:U271)=0,L271,INDEX(L271:P271,MATCH(MAX(Q271:U271),Q271:U271,0))))</f>
        <v>davidoff indigo</v>
      </c>
      <c r="W271" s="22" t="n">
        <f aca="false">IFERROR(INDEX('Semrush Data'!$A$1:$Z$20000,MATCH(V271,'Semrush Data'!$A$1:$A$20000,0),MATCH("Volume",'Semrush Data'!$A$1:$Z$1,0)),"")</f>
        <v>260</v>
      </c>
      <c r="X271" s="22" t="n">
        <f aca="false">IFERROR(INDEX('Semrush Data'!$A$1:$Z$20000,MATCH(V271,'Semrush Data'!$A$1:$A$20000,0),MATCH("Keyword Difficulty*",'Semrush Data'!$A$1:$Z$1,0)),"")</f>
        <v>9</v>
      </c>
      <c r="Y271" s="24" t="n">
        <f aca="false">IFERROR(INDEX('Semrush Data'!$A$1:$Z$20000,MATCH(V271,'Semrush Data'!$A$1:$A$20000,0),MATCH("CPC*",'Semrush Data'!$A$1:$Z$1,0)),"")</f>
        <v>0</v>
      </c>
      <c r="Z271" s="21" t="s">
        <v>3464</v>
      </c>
      <c r="AA271" s="21" t="s">
        <v>3465</v>
      </c>
      <c r="AB271" s="21" t="s">
        <v>3466</v>
      </c>
      <c r="AC271" s="21" t="s">
        <v>3467</v>
      </c>
      <c r="AD271" s="25" t="n">
        <f aca="false">LEN(AC271)</f>
        <v>58</v>
      </c>
      <c r="AE271" s="21" t="s">
        <v>3468</v>
      </c>
      <c r="AF271" s="25" t="n">
        <f aca="false">LEN(AE271)</f>
        <v>156</v>
      </c>
    </row>
    <row r="272" customFormat="false" ht="15" hidden="false" customHeight="true" outlineLevel="0" collapsed="false">
      <c r="A272" s="21" t="s">
        <v>90</v>
      </c>
      <c r="B272" s="21" t="s">
        <v>2390</v>
      </c>
      <c r="C272" s="21" t="n">
        <v>112</v>
      </c>
      <c r="D272" s="21" t="s">
        <v>3434</v>
      </c>
      <c r="E272" s="21"/>
      <c r="F272" s="21" t="s">
        <v>2393</v>
      </c>
      <c r="G272" s="21" t="s">
        <v>2759</v>
      </c>
      <c r="H272" s="21" t="s">
        <v>2549</v>
      </c>
      <c r="I272" s="21" t="s">
        <v>91</v>
      </c>
      <c r="J272" s="21" t="s">
        <v>1935</v>
      </c>
      <c r="K272" s="21" t="n">
        <v>27.99</v>
      </c>
      <c r="L272" s="21" t="s">
        <v>3469</v>
      </c>
      <c r="M272" s="21" t="s">
        <v>3470</v>
      </c>
      <c r="N272" s="21" t="s">
        <v>3471</v>
      </c>
      <c r="O272" s="21" t="s">
        <v>3472</v>
      </c>
      <c r="P272" s="21" t="s">
        <v>3473</v>
      </c>
      <c r="Q272" s="22" t="n">
        <f aca="false">IF(L272="","",IFERROR(INDEX('Semrush Data'!$A$1:$Z$20000,MATCH(L272,'Semrush Data'!$A$1:$A$20000,0),MATCH("Volume",'Semrush Data'!$A$1:$Z$1,0)),""))</f>
        <v>880</v>
      </c>
      <c r="R272" s="22" t="n">
        <f aca="false">IF(M272="","",IFERROR(INDEX('Semrush Data'!$A$1:$Z$20000,MATCH(M272,'Semrush Data'!$A$1:$A$20000,0),MATCH("Volume",'Semrush Data'!$A$1:$Z$1,0)),""))</f>
        <v>0</v>
      </c>
      <c r="S272" s="22" t="str">
        <f aca="false">IF(N272="","",IFERROR(INDEX('Semrush Data'!$A$1:$Z$20000,MATCH(N272,'Semrush Data'!$A$1:$A$20000,0),MATCH("Volume",'Semrush Data'!$A$1:$Z$1,0)),""))</f>
        <v/>
      </c>
      <c r="T272" s="22" t="str">
        <f aca="false">IF(O272="","",IFERROR(INDEX('Semrush Data'!$A$1:$Z$20000,MATCH(O272,'Semrush Data'!$A$1:$A$20000,0),MATCH("Volume",'Semrush Data'!$A$1:$Z$1,0)),""))</f>
        <v/>
      </c>
      <c r="U272" s="22" t="n">
        <f aca="false">IF(P272="","",IFERROR(INDEX('Semrush Data'!$A$1:$Z$20000,MATCH(P272,'Semrush Data'!$A$1:$A$20000,0),MATCH("Volume",'Semrush Data'!$A$1:$Z$1,0)),""))</f>
        <v>20</v>
      </c>
      <c r="V272" s="23" t="str">
        <f aca="false">IF(COUNT(Q272:U272)=0,L272,IF(MAX(Q272:U272)=0,L272,INDEX(L272:P272,MATCH(MAX(Q272:U272),Q272:U272,0))))</f>
        <v>davidoff the game</v>
      </c>
      <c r="W272" s="22" t="n">
        <f aca="false">IFERROR(INDEX('Semrush Data'!$A$1:$Z$20000,MATCH(V272,'Semrush Data'!$A$1:$A$20000,0),MATCH("Volume",'Semrush Data'!$A$1:$Z$1,0)),"")</f>
        <v>880</v>
      </c>
      <c r="X272" s="22" t="n">
        <f aca="false">IFERROR(INDEX('Semrush Data'!$A$1:$Z$20000,MATCH(V272,'Semrush Data'!$A$1:$A$20000,0),MATCH("Keyword Difficulty*",'Semrush Data'!$A$1:$Z$1,0)),"")</f>
        <v>16</v>
      </c>
      <c r="Y272" s="24" t="n">
        <f aca="false">IFERROR(INDEX('Semrush Data'!$A$1:$Z$20000,MATCH(V272,'Semrush Data'!$A$1:$A$20000,0),MATCH("CPC*",'Semrush Data'!$A$1:$Z$1,0)),"")</f>
        <v>0.42</v>
      </c>
      <c r="Z272" s="21" t="s">
        <v>3451</v>
      </c>
      <c r="AA272" s="21" t="s">
        <v>3474</v>
      </c>
      <c r="AB272" s="21" t="s">
        <v>3475</v>
      </c>
      <c r="AC272" s="21" t="s">
        <v>3476</v>
      </c>
      <c r="AD272" s="25" t="n">
        <f aca="false">LEN(AC272)</f>
        <v>60</v>
      </c>
      <c r="AE272" s="21" t="s">
        <v>3477</v>
      </c>
      <c r="AF272" s="25" t="n">
        <f aca="false">LEN(AE272)</f>
        <v>154</v>
      </c>
    </row>
    <row r="273" customFormat="false" ht="15" hidden="false" customHeight="true" outlineLevel="0" collapsed="false">
      <c r="A273" s="21" t="s">
        <v>3478</v>
      </c>
      <c r="B273" s="21" t="s">
        <v>2390</v>
      </c>
      <c r="C273" s="21" t="n">
        <v>113</v>
      </c>
      <c r="D273" s="21" t="s">
        <v>3479</v>
      </c>
      <c r="E273" s="21"/>
      <c r="F273" s="21" t="s">
        <v>2393</v>
      </c>
      <c r="G273" s="21" t="s">
        <v>2394</v>
      </c>
      <c r="H273" s="21" t="s">
        <v>2457</v>
      </c>
      <c r="I273" s="21" t="s">
        <v>3480</v>
      </c>
      <c r="J273" s="21" t="s">
        <v>1920</v>
      </c>
      <c r="K273" s="21" t="n">
        <v>51.99</v>
      </c>
      <c r="L273" s="21" t="s">
        <v>3481</v>
      </c>
      <c r="M273" s="21" t="s">
        <v>3482</v>
      </c>
      <c r="N273" s="21" t="s">
        <v>3483</v>
      </c>
      <c r="O273" s="21" t="s">
        <v>3484</v>
      </c>
      <c r="P273" s="21" t="s">
        <v>3485</v>
      </c>
      <c r="Q273" s="22" t="n">
        <f aca="false">IF(L273="","",IFERROR(INDEX('Semrush Data'!$A$1:$Z$20000,MATCH(L273,'Semrush Data'!$A$1:$A$20000,0),MATCH("Volume",'Semrush Data'!$A$1:$Z$1,0)),""))</f>
        <v>20</v>
      </c>
      <c r="R273" s="22" t="str">
        <f aca="false">IF(M273="","",IFERROR(INDEX('Semrush Data'!$A$1:$Z$20000,MATCH(M273,'Semrush Data'!$A$1:$A$20000,0),MATCH("Volume",'Semrush Data'!$A$1:$Z$1,0)),""))</f>
        <v/>
      </c>
      <c r="S273" s="22" t="str">
        <f aca="false">IF(N273="","",IFERROR(INDEX('Semrush Data'!$A$1:$Z$20000,MATCH(N273,'Semrush Data'!$A$1:$A$20000,0),MATCH("Volume",'Semrush Data'!$A$1:$Z$1,0)),""))</f>
        <v/>
      </c>
      <c r="T273" s="22" t="str">
        <f aca="false">IF(O273="","",IFERROR(INDEX('Semrush Data'!$A$1:$Z$20000,MATCH(O273,'Semrush Data'!$A$1:$A$20000,0),MATCH("Volume",'Semrush Data'!$A$1:$Z$1,0)),""))</f>
        <v/>
      </c>
      <c r="U273" s="22" t="str">
        <f aca="false">IF(P273="","",IFERROR(INDEX('Semrush Data'!$A$1:$Z$20000,MATCH(P273,'Semrush Data'!$A$1:$A$20000,0),MATCH("Volume",'Semrush Data'!$A$1:$Z$1,0)),""))</f>
        <v/>
      </c>
      <c r="V273" s="23" t="str">
        <f aca="false">IF(COUNT(Q273:U273)=0,L273,IF(MAX(Q273:U273)=0,L273,INDEX(L273:P273,MATCH(MAX(Q273:U273),Q273:U273,0))))</f>
        <v>dior miss dior roller-pearl</v>
      </c>
      <c r="W273" s="22" t="n">
        <f aca="false">IFERROR(INDEX('Semrush Data'!$A$1:$Z$20000,MATCH(V273,'Semrush Data'!$A$1:$A$20000,0),MATCH("Volume",'Semrush Data'!$A$1:$Z$1,0)),"")</f>
        <v>20</v>
      </c>
      <c r="X273" s="22" t="n">
        <f aca="false">IFERROR(INDEX('Semrush Data'!$A$1:$Z$20000,MATCH(V273,'Semrush Data'!$A$1:$A$20000,0),MATCH("Keyword Difficulty*",'Semrush Data'!$A$1:$Z$1,0)),"")</f>
        <v>15</v>
      </c>
      <c r="Y273" s="24" t="n">
        <f aca="false">IFERROR(INDEX('Semrush Data'!$A$1:$Z$20000,MATCH(V273,'Semrush Data'!$A$1:$A$20000,0),MATCH("CPC*",'Semrush Data'!$A$1:$Z$1,0)),"")</f>
        <v>0</v>
      </c>
      <c r="Z273" s="21" t="s">
        <v>3486</v>
      </c>
      <c r="AA273" s="21" t="s">
        <v>3487</v>
      </c>
      <c r="AB273" s="21" t="s">
        <v>3488</v>
      </c>
      <c r="AC273" s="21" t="s">
        <v>3489</v>
      </c>
      <c r="AD273" s="25" t="n">
        <f aca="false">LEN(AC273)</f>
        <v>60</v>
      </c>
      <c r="AE273" s="21" t="s">
        <v>3490</v>
      </c>
      <c r="AF273" s="25" t="n">
        <f aca="false">LEN(AE273)</f>
        <v>160</v>
      </c>
    </row>
    <row r="274" customFormat="false" ht="15" hidden="false" customHeight="true" outlineLevel="0" collapsed="false">
      <c r="A274" s="21" t="s">
        <v>3491</v>
      </c>
      <c r="B274" s="21" t="s">
        <v>2390</v>
      </c>
      <c r="C274" s="21" t="n">
        <v>114</v>
      </c>
      <c r="D274" s="21" t="s">
        <v>3479</v>
      </c>
      <c r="E274" s="21"/>
      <c r="F274" s="21" t="s">
        <v>1676</v>
      </c>
      <c r="G274" s="21" t="s">
        <v>2491</v>
      </c>
      <c r="H274" s="21" t="s">
        <v>2479</v>
      </c>
      <c r="I274" s="21" t="s">
        <v>3492</v>
      </c>
      <c r="J274" s="21" t="s">
        <v>3493</v>
      </c>
      <c r="K274" s="21" t="n">
        <v>92.99</v>
      </c>
      <c r="L274" s="21" t="s">
        <v>3494</v>
      </c>
      <c r="M274" s="21" t="s">
        <v>3495</v>
      </c>
      <c r="N274" s="21" t="s">
        <v>3496</v>
      </c>
      <c r="O274" s="21" t="s">
        <v>3497</v>
      </c>
      <c r="P274" s="21"/>
      <c r="Q274" s="22" t="n">
        <f aca="false">IF(L274="","",IFERROR(INDEX('Semrush Data'!$A$1:$Z$20000,MATCH(L274,'Semrush Data'!$A$1:$A$20000,0),MATCH("Volume",'Semrush Data'!$A$1:$Z$1,0)),""))</f>
        <v>0</v>
      </c>
      <c r="R274" s="22" t="str">
        <f aca="false">IF(M274="","",IFERROR(INDEX('Semrush Data'!$A$1:$Z$20000,MATCH(M274,'Semrush Data'!$A$1:$A$20000,0),MATCH("Volume",'Semrush Data'!$A$1:$Z$1,0)),""))</f>
        <v/>
      </c>
      <c r="S274" s="22" t="str">
        <f aca="false">IF(N274="","",IFERROR(INDEX('Semrush Data'!$A$1:$Z$20000,MATCH(N274,'Semrush Data'!$A$1:$A$20000,0),MATCH("Volume",'Semrush Data'!$A$1:$Z$1,0)),""))</f>
        <v/>
      </c>
      <c r="T274" s="22" t="str">
        <f aca="false">IF(O274="","",IFERROR(INDEX('Semrush Data'!$A$1:$Z$20000,MATCH(O274,'Semrush Data'!$A$1:$A$20000,0),MATCH("Volume",'Semrush Data'!$A$1:$Z$1,0)),""))</f>
        <v/>
      </c>
      <c r="U274" s="22" t="str">
        <f aca="false">IF(P274="","",IFERROR(INDEX('Semrush Data'!$A$1:$Z$20000,MATCH(P274,'Semrush Data'!$A$1:$A$20000,0),MATCH("Volume",'Semrush Data'!$A$1:$Z$1,0)),""))</f>
        <v/>
      </c>
      <c r="V274" s="23" t="str">
        <f aca="false">IF(COUNT(Q274:U274)=0,L274,IF(MAX(Q274:U274)=0,L274,INDEX(L274:P274,MATCH(MAX(Q274:U274),Q274:U274,0))))</f>
        <v>dior iconics mini discovery set</v>
      </c>
      <c r="W274" s="22" t="n">
        <f aca="false">IFERROR(INDEX('Semrush Data'!$A$1:$Z$20000,MATCH(V274,'Semrush Data'!$A$1:$A$20000,0),MATCH("Volume",'Semrush Data'!$A$1:$Z$1,0)),"")</f>
        <v>0</v>
      </c>
      <c r="X274" s="22" t="n">
        <f aca="false">IFERROR(INDEX('Semrush Data'!$A$1:$Z$20000,MATCH(V274,'Semrush Data'!$A$1:$A$20000,0),MATCH("Keyword Difficulty*",'Semrush Data'!$A$1:$Z$1,0)),"")</f>
        <v>24</v>
      </c>
      <c r="Y274" s="24" t="n">
        <f aca="false">IFERROR(INDEX('Semrush Data'!$A$1:$Z$20000,MATCH(V274,'Semrush Data'!$A$1:$A$20000,0),MATCH("CPC*",'Semrush Data'!$A$1:$Z$1,0)),"")</f>
        <v>0</v>
      </c>
      <c r="Z274" s="21" t="s">
        <v>3498</v>
      </c>
      <c r="AA274" s="21"/>
      <c r="AB274" s="21" t="s">
        <v>3499</v>
      </c>
      <c r="AC274" s="21" t="s">
        <v>3500</v>
      </c>
      <c r="AD274" s="25" t="n">
        <f aca="false">LEN(AC274)</f>
        <v>57</v>
      </c>
      <c r="AE274" s="21" t="s">
        <v>3501</v>
      </c>
      <c r="AF274" s="25" t="n">
        <f aca="false">LEN(AE274)</f>
        <v>158</v>
      </c>
    </row>
    <row r="275" customFormat="false" ht="15" hidden="false" customHeight="true" outlineLevel="0" collapsed="false">
      <c r="A275" s="21" t="s">
        <v>45</v>
      </c>
      <c r="B275" s="21" t="s">
        <v>2390</v>
      </c>
      <c r="C275" s="21" t="n">
        <v>115</v>
      </c>
      <c r="D275" s="21" t="s">
        <v>3479</v>
      </c>
      <c r="E275" s="21"/>
      <c r="F275" s="21" t="s">
        <v>1676</v>
      </c>
      <c r="G275" s="21" t="s">
        <v>2394</v>
      </c>
      <c r="H275" s="21" t="s">
        <v>2549</v>
      </c>
      <c r="I275" s="21" t="s">
        <v>46</v>
      </c>
      <c r="J275" s="21" t="s">
        <v>1935</v>
      </c>
      <c r="K275" s="21" t="n">
        <v>144</v>
      </c>
      <c r="L275" s="21" t="s">
        <v>3502</v>
      </c>
      <c r="M275" s="21" t="s">
        <v>3503</v>
      </c>
      <c r="N275" s="21" t="s">
        <v>3504</v>
      </c>
      <c r="O275" s="21" t="s">
        <v>3505</v>
      </c>
      <c r="P275" s="21" t="s">
        <v>3506</v>
      </c>
      <c r="Q275" s="22" t="n">
        <f aca="false">IF(L275="","",IFERROR(INDEX('Semrush Data'!$A$1:$Z$20000,MATCH(L275,'Semrush Data'!$A$1:$A$20000,0),MATCH("Volume",'Semrush Data'!$A$1:$Z$1,0)),""))</f>
        <v>60500</v>
      </c>
      <c r="R275" s="22" t="n">
        <f aca="false">IF(M275="","",IFERROR(INDEX('Semrush Data'!$A$1:$Z$20000,MATCH(M275,'Semrush Data'!$A$1:$A$20000,0),MATCH("Volume",'Semrush Data'!$A$1:$Z$1,0)),""))</f>
        <v>170</v>
      </c>
      <c r="S275" s="22" t="str">
        <f aca="false">IF(N275="","",IFERROR(INDEX('Semrush Data'!$A$1:$Z$20000,MATCH(N275,'Semrush Data'!$A$1:$A$20000,0),MATCH("Volume",'Semrush Data'!$A$1:$Z$1,0)),""))</f>
        <v/>
      </c>
      <c r="T275" s="22" t="str">
        <f aca="false">IF(O275="","",IFERROR(INDEX('Semrush Data'!$A$1:$Z$20000,MATCH(O275,'Semrush Data'!$A$1:$A$20000,0),MATCH("Volume",'Semrush Data'!$A$1:$Z$1,0)),""))</f>
        <v/>
      </c>
      <c r="U275" s="22" t="n">
        <f aca="false">IF(P275="","",IFERROR(INDEX('Semrush Data'!$A$1:$Z$20000,MATCH(P275,'Semrush Data'!$A$1:$A$20000,0),MATCH("Volume",'Semrush Data'!$A$1:$Z$1,0)),""))</f>
        <v>4400</v>
      </c>
      <c r="V275" s="23" t="str">
        <f aca="false">IF(COUNT(Q275:U275)=0,L275,IF(MAX(Q275:U275)=0,L275,INDEX(L275:P275,MATCH(MAX(Q275:U275),Q275:U275,0))))</f>
        <v>dior sauvage</v>
      </c>
      <c r="W275" s="22" t="n">
        <f aca="false">IFERROR(INDEX('Semrush Data'!$A$1:$Z$20000,MATCH(V275,'Semrush Data'!$A$1:$A$20000,0),MATCH("Volume",'Semrush Data'!$A$1:$Z$1,0)),"")</f>
        <v>60500</v>
      </c>
      <c r="X275" s="22" t="n">
        <f aca="false">IFERROR(INDEX('Semrush Data'!$A$1:$Z$20000,MATCH(V275,'Semrush Data'!$A$1:$A$20000,0),MATCH("Keyword Difficulty*",'Semrush Data'!$A$1:$Z$1,0)),"")</f>
        <v>38</v>
      </c>
      <c r="Y275" s="24" t="n">
        <f aca="false">IFERROR(INDEX('Semrush Data'!$A$1:$Z$20000,MATCH(V275,'Semrush Data'!$A$1:$A$20000,0),MATCH("CPC*",'Semrush Data'!$A$1:$Z$1,0)),"")</f>
        <v>0.57</v>
      </c>
      <c r="Z275" s="21" t="s">
        <v>3507</v>
      </c>
      <c r="AA275" s="21" t="s">
        <v>3508</v>
      </c>
      <c r="AB275" s="21" t="s">
        <v>3509</v>
      </c>
      <c r="AC275" s="21" t="s">
        <v>3510</v>
      </c>
      <c r="AD275" s="25" t="n">
        <f aca="false">LEN(AC275)</f>
        <v>53</v>
      </c>
      <c r="AE275" s="21" t="s">
        <v>3511</v>
      </c>
      <c r="AF275" s="25" t="n">
        <f aca="false">LEN(AE275)</f>
        <v>145</v>
      </c>
    </row>
    <row r="276" customFormat="false" ht="15" hidden="false" customHeight="true" outlineLevel="0" collapsed="false">
      <c r="A276" s="21" t="s">
        <v>3512</v>
      </c>
      <c r="B276" s="21" t="s">
        <v>2390</v>
      </c>
      <c r="C276" s="21" t="n">
        <v>116</v>
      </c>
      <c r="D276" s="21" t="s">
        <v>3513</v>
      </c>
      <c r="E276" s="21"/>
      <c r="F276" s="21" t="s">
        <v>2393</v>
      </c>
      <c r="G276" s="21" t="s">
        <v>2394</v>
      </c>
      <c r="H276" s="21" t="s">
        <v>2395</v>
      </c>
      <c r="I276" s="21" t="s">
        <v>3514</v>
      </c>
      <c r="J276" s="21" t="s">
        <v>1935</v>
      </c>
      <c r="K276" s="21" t="n">
        <v>28.99</v>
      </c>
      <c r="L276" s="21" t="s">
        <v>3515</v>
      </c>
      <c r="M276" s="21" t="s">
        <v>3516</v>
      </c>
      <c r="N276" s="21" t="s">
        <v>3517</v>
      </c>
      <c r="O276" s="21" t="s">
        <v>3518</v>
      </c>
      <c r="P276" s="21" t="s">
        <v>3519</v>
      </c>
      <c r="Q276" s="22" t="n">
        <f aca="false">IF(L276="","",IFERROR(INDEX('Semrush Data'!$A$1:$Z$20000,MATCH(L276,'Semrush Data'!$A$1:$A$20000,0),MATCH("Volume",'Semrush Data'!$A$1:$Z$1,0)),""))</f>
        <v>50</v>
      </c>
      <c r="R276" s="22" t="n">
        <f aca="false">IF(M276="","",IFERROR(INDEX('Semrush Data'!$A$1:$Z$20000,MATCH(M276,'Semrush Data'!$A$1:$A$20000,0),MATCH("Volume",'Semrush Data'!$A$1:$Z$1,0)),""))</f>
        <v>0</v>
      </c>
      <c r="S276" s="22" t="str">
        <f aca="false">IF(N276="","",IFERROR(INDEX('Semrush Data'!$A$1:$Z$20000,MATCH(N276,'Semrush Data'!$A$1:$A$20000,0),MATCH("Volume",'Semrush Data'!$A$1:$Z$1,0)),""))</f>
        <v/>
      </c>
      <c r="T276" s="22" t="str">
        <f aca="false">IF(O276="","",IFERROR(INDEX('Semrush Data'!$A$1:$Z$20000,MATCH(O276,'Semrush Data'!$A$1:$A$20000,0),MATCH("Volume",'Semrush Data'!$A$1:$Z$1,0)),""))</f>
        <v/>
      </c>
      <c r="U276" s="22" t="n">
        <f aca="false">IF(P276="","",IFERROR(INDEX('Semrush Data'!$A$1:$Z$20000,MATCH(P276,'Semrush Data'!$A$1:$A$20000,0),MATCH("Volume",'Semrush Data'!$A$1:$Z$1,0)),""))</f>
        <v>30</v>
      </c>
      <c r="V276" s="23" t="str">
        <f aca="false">IF(COUNT(Q276:U276)=0,L276,IF(MAX(Q276:U276)=0,L276,INDEX(L276:P276,MATCH(MAX(Q276:U276),Q276:U276,0))))</f>
        <v>dkny be delicious orchard street</v>
      </c>
      <c r="W276" s="22" t="n">
        <f aca="false">IFERROR(INDEX('Semrush Data'!$A$1:$Z$20000,MATCH(V276,'Semrush Data'!$A$1:$A$20000,0),MATCH("Volume",'Semrush Data'!$A$1:$Z$1,0)),"")</f>
        <v>50</v>
      </c>
      <c r="X276" s="22" t="n">
        <f aca="false">IFERROR(INDEX('Semrush Data'!$A$1:$Z$20000,MATCH(V276,'Semrush Data'!$A$1:$A$20000,0),MATCH("Keyword Difficulty*",'Semrush Data'!$A$1:$Z$1,0)),"")</f>
        <v>15</v>
      </c>
      <c r="Y276" s="24" t="n">
        <f aca="false">IFERROR(INDEX('Semrush Data'!$A$1:$Z$20000,MATCH(V276,'Semrush Data'!$A$1:$A$20000,0),MATCH("CPC*",'Semrush Data'!$A$1:$Z$1,0)),"")</f>
        <v>0.33</v>
      </c>
      <c r="Z276" s="21" t="s">
        <v>3520</v>
      </c>
      <c r="AA276" s="21" t="s">
        <v>3521</v>
      </c>
      <c r="AB276" s="21" t="s">
        <v>3522</v>
      </c>
      <c r="AC276" s="21" t="s">
        <v>3523</v>
      </c>
      <c r="AD276" s="25" t="n">
        <f aca="false">LEN(AC276)</f>
        <v>60</v>
      </c>
      <c r="AE276" s="21" t="s">
        <v>3524</v>
      </c>
      <c r="AF276" s="25" t="n">
        <f aca="false">LEN(AE276)</f>
        <v>155</v>
      </c>
    </row>
    <row r="277" customFormat="false" ht="15" hidden="false" customHeight="true" outlineLevel="0" collapsed="false">
      <c r="A277" s="21" t="s">
        <v>130</v>
      </c>
      <c r="B277" s="21" t="s">
        <v>2390</v>
      </c>
      <c r="C277" s="21" t="n">
        <v>117</v>
      </c>
      <c r="D277" s="21" t="s">
        <v>3513</v>
      </c>
      <c r="E277" s="21"/>
      <c r="F277" s="21" t="s">
        <v>2393</v>
      </c>
      <c r="G277" s="21" t="s">
        <v>2394</v>
      </c>
      <c r="H277" s="21" t="s">
        <v>2395</v>
      </c>
      <c r="I277" s="21" t="s">
        <v>131</v>
      </c>
      <c r="J277" s="21" t="s">
        <v>1935</v>
      </c>
      <c r="K277" s="21" t="n">
        <v>39.99</v>
      </c>
      <c r="L277" s="21" t="s">
        <v>3525</v>
      </c>
      <c r="M277" s="21" t="s">
        <v>3526</v>
      </c>
      <c r="N277" s="21" t="s">
        <v>3527</v>
      </c>
      <c r="O277" s="21" t="s">
        <v>3528</v>
      </c>
      <c r="P277" s="21" t="s">
        <v>3529</v>
      </c>
      <c r="Q277" s="22" t="n">
        <f aca="false">IF(L277="","",IFERROR(INDEX('Semrush Data'!$A$1:$Z$20000,MATCH(L277,'Semrush Data'!$A$1:$A$20000,0),MATCH("Volume",'Semrush Data'!$A$1:$Z$1,0)),""))</f>
        <v>390</v>
      </c>
      <c r="R277" s="22" t="n">
        <f aca="false">IF(M277="","",IFERROR(INDEX('Semrush Data'!$A$1:$Z$20000,MATCH(M277,'Semrush Data'!$A$1:$A$20000,0),MATCH("Volume",'Semrush Data'!$A$1:$Z$1,0)),""))</f>
        <v>0</v>
      </c>
      <c r="S277" s="22" t="str">
        <f aca="false">IF(N277="","",IFERROR(INDEX('Semrush Data'!$A$1:$Z$20000,MATCH(N277,'Semrush Data'!$A$1:$A$20000,0),MATCH("Volume",'Semrush Data'!$A$1:$Z$1,0)),""))</f>
        <v/>
      </c>
      <c r="T277" s="22" t="str">
        <f aca="false">IF(O277="","",IFERROR(INDEX('Semrush Data'!$A$1:$Z$20000,MATCH(O277,'Semrush Data'!$A$1:$A$20000,0),MATCH("Volume",'Semrush Data'!$A$1:$Z$1,0)),""))</f>
        <v/>
      </c>
      <c r="U277" s="22" t="n">
        <f aca="false">IF(P277="","",IFERROR(INDEX('Semrush Data'!$A$1:$Z$20000,MATCH(P277,'Semrush Data'!$A$1:$A$20000,0),MATCH("Volume",'Semrush Data'!$A$1:$Z$1,0)),""))</f>
        <v>20</v>
      </c>
      <c r="V277" s="23" t="str">
        <f aca="false">IF(COUNT(Q277:U277)=0,L277,IF(MAX(Q277:U277)=0,L277,INDEX(L277:P277,MATCH(MAX(Q277:U277),Q277:U277,0))))</f>
        <v>dkny be tempted</v>
      </c>
      <c r="W277" s="22" t="n">
        <f aca="false">IFERROR(INDEX('Semrush Data'!$A$1:$Z$20000,MATCH(V277,'Semrush Data'!$A$1:$A$20000,0),MATCH("Volume",'Semrush Data'!$A$1:$Z$1,0)),"")</f>
        <v>390</v>
      </c>
      <c r="X277" s="22" t="n">
        <f aca="false">IFERROR(INDEX('Semrush Data'!$A$1:$Z$20000,MATCH(V277,'Semrush Data'!$A$1:$A$20000,0),MATCH("Keyword Difficulty*",'Semrush Data'!$A$1:$Z$1,0)),"")</f>
        <v>16</v>
      </c>
      <c r="Y277" s="24" t="n">
        <f aca="false">IFERROR(INDEX('Semrush Data'!$A$1:$Z$20000,MATCH(V277,'Semrush Data'!$A$1:$A$20000,0),MATCH("CPC*",'Semrush Data'!$A$1:$Z$1,0)),"")</f>
        <v>0.47</v>
      </c>
      <c r="Z277" s="21" t="s">
        <v>3520</v>
      </c>
      <c r="AA277" s="21" t="s">
        <v>3530</v>
      </c>
      <c r="AB277" s="21" t="s">
        <v>3531</v>
      </c>
      <c r="AC277" s="21" t="s">
        <v>3532</v>
      </c>
      <c r="AD277" s="25" t="n">
        <f aca="false">LEN(AC277)</f>
        <v>56</v>
      </c>
      <c r="AE277" s="21" t="s">
        <v>3533</v>
      </c>
      <c r="AF277" s="25" t="n">
        <f aca="false">LEN(AE277)</f>
        <v>151</v>
      </c>
    </row>
    <row r="278" customFormat="false" ht="15" hidden="false" customHeight="true" outlineLevel="0" collapsed="false">
      <c r="A278" s="21" t="s">
        <v>3534</v>
      </c>
      <c r="B278" s="21" t="s">
        <v>2390</v>
      </c>
      <c r="C278" s="21" t="n">
        <v>118</v>
      </c>
      <c r="D278" s="21" t="s">
        <v>3513</v>
      </c>
      <c r="E278" s="21"/>
      <c r="F278" s="21" t="s">
        <v>1676</v>
      </c>
      <c r="G278" s="21" t="s">
        <v>2394</v>
      </c>
      <c r="H278" s="21" t="s">
        <v>3535</v>
      </c>
      <c r="I278" s="21" t="s">
        <v>3536</v>
      </c>
      <c r="J278" s="21" t="s">
        <v>3537</v>
      </c>
      <c r="K278" s="21" t="n">
        <v>41.99</v>
      </c>
      <c r="L278" s="21" t="s">
        <v>3538</v>
      </c>
      <c r="M278" s="21" t="s">
        <v>3539</v>
      </c>
      <c r="N278" s="21" t="s">
        <v>3540</v>
      </c>
      <c r="O278" s="21" t="s">
        <v>3541</v>
      </c>
      <c r="P278" s="21"/>
      <c r="Q278" s="22" t="n">
        <f aca="false">IF(L278="","",IFERROR(INDEX('Semrush Data'!$A$1:$Z$20000,MATCH(L278,'Semrush Data'!$A$1:$A$20000,0),MATCH("Volume",'Semrush Data'!$A$1:$Z$1,0)),""))</f>
        <v>0</v>
      </c>
      <c r="R278" s="22" t="str">
        <f aca="false">IF(M278="","",IFERROR(INDEX('Semrush Data'!$A$1:$Z$20000,MATCH(M278,'Semrush Data'!$A$1:$A$20000,0),MATCH("Volume",'Semrush Data'!$A$1:$Z$1,0)),""))</f>
        <v/>
      </c>
      <c r="S278" s="22" t="str">
        <f aca="false">IF(N278="","",IFERROR(INDEX('Semrush Data'!$A$1:$Z$20000,MATCH(N278,'Semrush Data'!$A$1:$A$20000,0),MATCH("Volume",'Semrush Data'!$A$1:$Z$1,0)),""))</f>
        <v/>
      </c>
      <c r="T278" s="22" t="str">
        <f aca="false">IF(O278="","",IFERROR(INDEX('Semrush Data'!$A$1:$Z$20000,MATCH(O278,'Semrush Data'!$A$1:$A$20000,0),MATCH("Volume",'Semrush Data'!$A$1:$Z$1,0)),""))</f>
        <v/>
      </c>
      <c r="U278" s="22" t="str">
        <f aca="false">IF(P278="","",IFERROR(INDEX('Semrush Data'!$A$1:$Z$20000,MATCH(P278,'Semrush Data'!$A$1:$A$20000,0),MATCH("Volume",'Semrush Data'!$A$1:$Z$1,0)),""))</f>
        <v/>
      </c>
      <c r="V278" s="23" t="str">
        <f aca="false">IF(COUNT(Q278:U278)=0,L278,IF(MAX(Q278:U278)=0,L278,INDEX(L278:P278,MATCH(MAX(Q278:U278),Q278:U278,0))))</f>
        <v>dkny be delicious &amp; be delicious fresh blossom gift set</v>
      </c>
      <c r="W278" s="22" t="n">
        <f aca="false">IFERROR(INDEX('Semrush Data'!$A$1:$Z$20000,MATCH(V278,'Semrush Data'!$A$1:$A$20000,0),MATCH("Volume",'Semrush Data'!$A$1:$Z$1,0)),"")</f>
        <v>0</v>
      </c>
      <c r="X278" s="22" t="n">
        <f aca="false">IFERROR(INDEX('Semrush Data'!$A$1:$Z$20000,MATCH(V278,'Semrush Data'!$A$1:$A$20000,0),MATCH("Keyword Difficulty*",'Semrush Data'!$A$1:$Z$1,0)),"")</f>
        <v>14</v>
      </c>
      <c r="Y278" s="24" t="n">
        <f aca="false">IFERROR(INDEX('Semrush Data'!$A$1:$Z$20000,MATCH(V278,'Semrush Data'!$A$1:$A$20000,0),MATCH("CPC*",'Semrush Data'!$A$1:$Z$1,0)),"")</f>
        <v>0</v>
      </c>
      <c r="Z278" s="21" t="s">
        <v>3542</v>
      </c>
      <c r="AA278" s="21" t="s">
        <v>3543</v>
      </c>
      <c r="AB278" s="21" t="s">
        <v>3544</v>
      </c>
      <c r="AC278" s="21" t="s">
        <v>3545</v>
      </c>
      <c r="AD278" s="25" t="n">
        <f aca="false">LEN(AC278)</f>
        <v>52</v>
      </c>
      <c r="AE278" s="21" t="s">
        <v>3546</v>
      </c>
      <c r="AF278" s="25" t="n">
        <f aca="false">LEN(AE278)</f>
        <v>160</v>
      </c>
    </row>
    <row r="279" customFormat="false" ht="15" hidden="false" customHeight="true" outlineLevel="0" collapsed="false">
      <c r="A279" s="21" t="s">
        <v>3547</v>
      </c>
      <c r="B279" s="21" t="s">
        <v>2390</v>
      </c>
      <c r="C279" s="21" t="n">
        <v>119</v>
      </c>
      <c r="D279" s="21" t="s">
        <v>3513</v>
      </c>
      <c r="E279" s="21"/>
      <c r="F279" s="21" t="s">
        <v>1676</v>
      </c>
      <c r="G279" s="21" t="s">
        <v>2394</v>
      </c>
      <c r="H279" s="21" t="s">
        <v>2457</v>
      </c>
      <c r="I279" s="21" t="s">
        <v>3548</v>
      </c>
      <c r="J279" s="21" t="s">
        <v>3549</v>
      </c>
      <c r="K279" s="21" t="n">
        <v>35.99</v>
      </c>
      <c r="L279" s="21" t="s">
        <v>3550</v>
      </c>
      <c r="M279" s="21" t="s">
        <v>3551</v>
      </c>
      <c r="N279" s="21" t="s">
        <v>3552</v>
      </c>
      <c r="O279" s="21" t="s">
        <v>3553</v>
      </c>
      <c r="P279" s="21"/>
      <c r="Q279" s="22" t="n">
        <f aca="false">IF(L279="","",IFERROR(INDEX('Semrush Data'!$A$1:$Z$20000,MATCH(L279,'Semrush Data'!$A$1:$A$20000,0),MATCH("Volume",'Semrush Data'!$A$1:$Z$1,0)),""))</f>
        <v>30</v>
      </c>
      <c r="R279" s="22" t="str">
        <f aca="false">IF(M279="","",IFERROR(INDEX('Semrush Data'!$A$1:$Z$20000,MATCH(M279,'Semrush Data'!$A$1:$A$20000,0),MATCH("Volume",'Semrush Data'!$A$1:$Z$1,0)),""))</f>
        <v/>
      </c>
      <c r="S279" s="22" t="str">
        <f aca="false">IF(N279="","",IFERROR(INDEX('Semrush Data'!$A$1:$Z$20000,MATCH(N279,'Semrush Data'!$A$1:$A$20000,0),MATCH("Volume",'Semrush Data'!$A$1:$Z$1,0)),""))</f>
        <v/>
      </c>
      <c r="T279" s="22" t="str">
        <f aca="false">IF(O279="","",IFERROR(INDEX('Semrush Data'!$A$1:$Z$20000,MATCH(O279,'Semrush Data'!$A$1:$A$20000,0),MATCH("Volume",'Semrush Data'!$A$1:$Z$1,0)),""))</f>
        <v/>
      </c>
      <c r="U279" s="22" t="str">
        <f aca="false">IF(P279="","",IFERROR(INDEX('Semrush Data'!$A$1:$Z$20000,MATCH(P279,'Semrush Data'!$A$1:$A$20000,0),MATCH("Volume",'Semrush Data'!$A$1:$Z$1,0)),""))</f>
        <v/>
      </c>
      <c r="V279" s="23" t="str">
        <f aca="false">IF(COUNT(Q279:U279)=0,L279,IF(MAX(Q279:U279)=0,L279,INDEX(L279:P279,MATCH(MAX(Q279:U279),Q279:U279,0))))</f>
        <v>dkny miniature set</v>
      </c>
      <c r="W279" s="22" t="n">
        <f aca="false">IFERROR(INDEX('Semrush Data'!$A$1:$Z$20000,MATCH(V279,'Semrush Data'!$A$1:$A$20000,0),MATCH("Volume",'Semrush Data'!$A$1:$Z$1,0)),"")</f>
        <v>30</v>
      </c>
      <c r="X279" s="22" t="n">
        <f aca="false">IFERROR(INDEX('Semrush Data'!$A$1:$Z$20000,MATCH(V279,'Semrush Data'!$A$1:$A$20000,0),MATCH("Keyword Difficulty*",'Semrush Data'!$A$1:$Z$1,0)),"")</f>
        <v>10</v>
      </c>
      <c r="Y279" s="24" t="n">
        <f aca="false">IFERROR(INDEX('Semrush Data'!$A$1:$Z$20000,MATCH(V279,'Semrush Data'!$A$1:$A$20000,0),MATCH("CPC*",'Semrush Data'!$A$1:$Z$1,0)),"")</f>
        <v>0</v>
      </c>
      <c r="Z279" s="21" t="s">
        <v>3554</v>
      </c>
      <c r="AA279" s="21" t="s">
        <v>3555</v>
      </c>
      <c r="AB279" s="21" t="s">
        <v>3556</v>
      </c>
      <c r="AC279" s="21" t="s">
        <v>3557</v>
      </c>
      <c r="AD279" s="25" t="n">
        <f aca="false">LEN(AC279)</f>
        <v>60</v>
      </c>
      <c r="AE279" s="21" t="s">
        <v>3558</v>
      </c>
      <c r="AF279" s="25" t="n">
        <f aca="false">LEN(AE279)</f>
        <v>160</v>
      </c>
    </row>
    <row r="280" customFormat="false" ht="15" hidden="false" customHeight="true" outlineLevel="0" collapsed="false">
      <c r="A280" s="21" t="s">
        <v>3559</v>
      </c>
      <c r="B280" s="21" t="s">
        <v>2390</v>
      </c>
      <c r="C280" s="21" t="n">
        <v>120</v>
      </c>
      <c r="D280" s="21" t="s">
        <v>3560</v>
      </c>
      <c r="E280" s="21"/>
      <c r="F280" s="21" t="s">
        <v>2393</v>
      </c>
      <c r="G280" s="21" t="s">
        <v>2394</v>
      </c>
      <c r="H280" s="21" t="s">
        <v>3561</v>
      </c>
      <c r="I280" s="21" t="s">
        <v>3562</v>
      </c>
      <c r="J280" s="21" t="s">
        <v>1935</v>
      </c>
      <c r="K280" s="21" t="n">
        <v>54.99</v>
      </c>
      <c r="L280" s="21" t="s">
        <v>3563</v>
      </c>
      <c r="M280" s="21" t="s">
        <v>3564</v>
      </c>
      <c r="N280" s="21" t="s">
        <v>3565</v>
      </c>
      <c r="O280" s="21" t="s">
        <v>3566</v>
      </c>
      <c r="P280" s="21" t="s">
        <v>3567</v>
      </c>
      <c r="Q280" s="22" t="n">
        <f aca="false">IF(L280="","",IFERROR(INDEX('Semrush Data'!$A$1:$Z$20000,MATCH(L280,'Semrush Data'!$A$1:$A$20000,0),MATCH("Volume",'Semrush Data'!$A$1:$Z$1,0)),""))</f>
        <v>260</v>
      </c>
      <c r="R280" s="22" t="n">
        <f aca="false">IF(M280="","",IFERROR(INDEX('Semrush Data'!$A$1:$Z$20000,MATCH(M280,'Semrush Data'!$A$1:$A$20000,0),MATCH("Volume",'Semrush Data'!$A$1:$Z$1,0)),""))</f>
        <v>20</v>
      </c>
      <c r="S280" s="22" t="str">
        <f aca="false">IF(N280="","",IFERROR(INDEX('Semrush Data'!$A$1:$Z$20000,MATCH(N280,'Semrush Data'!$A$1:$A$20000,0),MATCH("Volume",'Semrush Data'!$A$1:$Z$1,0)),""))</f>
        <v/>
      </c>
      <c r="T280" s="22" t="str">
        <f aca="false">IF(O280="","",IFERROR(INDEX('Semrush Data'!$A$1:$Z$20000,MATCH(O280,'Semrush Data'!$A$1:$A$20000,0),MATCH("Volume",'Semrush Data'!$A$1:$Z$1,0)),""))</f>
        <v/>
      </c>
      <c r="U280" s="22" t="n">
        <f aca="false">IF(P280="","",IFERROR(INDEX('Semrush Data'!$A$1:$Z$20000,MATCH(P280,'Semrush Data'!$A$1:$A$20000,0),MATCH("Volume",'Semrush Data'!$A$1:$Z$1,0)),""))</f>
        <v>110</v>
      </c>
      <c r="V280" s="23" t="str">
        <f aca="false">IF(COUNT(Q280:U280)=0,L280,IF(MAX(Q280:U280)=0,L280,INDEX(L280:P280,MATCH(MAX(Q280:U280),Q280:U280,0))))</f>
        <v>dolce &amp; gabbana devotion</v>
      </c>
      <c r="W280" s="22" t="n">
        <f aca="false">IFERROR(INDEX('Semrush Data'!$A$1:$Z$20000,MATCH(V280,'Semrush Data'!$A$1:$A$20000,0),MATCH("Volume",'Semrush Data'!$A$1:$Z$1,0)),"")</f>
        <v>260</v>
      </c>
      <c r="X280" s="22" t="n">
        <f aca="false">IFERROR(INDEX('Semrush Data'!$A$1:$Z$20000,MATCH(V280,'Semrush Data'!$A$1:$A$20000,0),MATCH("Keyword Difficulty*",'Semrush Data'!$A$1:$Z$1,0)),"")</f>
        <v>17</v>
      </c>
      <c r="Y280" s="24" t="n">
        <f aca="false">IFERROR(INDEX('Semrush Data'!$A$1:$Z$20000,MATCH(V280,'Semrush Data'!$A$1:$A$20000,0),MATCH("CPC*",'Semrush Data'!$A$1:$Z$1,0)),"")</f>
        <v>0.39</v>
      </c>
      <c r="Z280" s="21" t="s">
        <v>3568</v>
      </c>
      <c r="AA280" s="21" t="s">
        <v>3569</v>
      </c>
      <c r="AB280" s="21" t="s">
        <v>3570</v>
      </c>
      <c r="AC280" s="21" t="s">
        <v>3571</v>
      </c>
      <c r="AD280" s="25" t="n">
        <f aca="false">LEN(AC280)</f>
        <v>52</v>
      </c>
      <c r="AE280" s="21" t="s">
        <v>3572</v>
      </c>
      <c r="AF280" s="25" t="n">
        <f aca="false">LEN(AE280)</f>
        <v>156</v>
      </c>
    </row>
    <row r="281" customFormat="false" ht="15" hidden="false" customHeight="true" outlineLevel="0" collapsed="false">
      <c r="A281" s="21" t="s">
        <v>3573</v>
      </c>
      <c r="B281" s="21" t="s">
        <v>2390</v>
      </c>
      <c r="C281" s="21" t="n">
        <v>121</v>
      </c>
      <c r="D281" s="21" t="s">
        <v>3560</v>
      </c>
      <c r="E281" s="21"/>
      <c r="F281" s="21" t="s">
        <v>2393</v>
      </c>
      <c r="G281" s="21" t="s">
        <v>2394</v>
      </c>
      <c r="H281" s="21" t="s">
        <v>2395</v>
      </c>
      <c r="I281" s="21" t="s">
        <v>3574</v>
      </c>
      <c r="J281" s="21" t="s">
        <v>1935</v>
      </c>
      <c r="K281" s="21" t="n">
        <v>53.99</v>
      </c>
      <c r="L281" s="21" t="s">
        <v>3575</v>
      </c>
      <c r="M281" s="21" t="s">
        <v>3576</v>
      </c>
      <c r="N281" s="21" t="s">
        <v>3577</v>
      </c>
      <c r="O281" s="21" t="s">
        <v>3578</v>
      </c>
      <c r="P281" s="21" t="s">
        <v>3579</v>
      </c>
      <c r="Q281" s="22" t="n">
        <f aca="false">IF(L281="","",IFERROR(INDEX('Semrush Data'!$A$1:$Z$20000,MATCH(L281,'Semrush Data'!$A$1:$A$20000,0),MATCH("Volume",'Semrush Data'!$A$1:$Z$1,0)),""))</f>
        <v>20</v>
      </c>
      <c r="R281" s="22" t="str">
        <f aca="false">IF(M281="","",IFERROR(INDEX('Semrush Data'!$A$1:$Z$20000,MATCH(M281,'Semrush Data'!$A$1:$A$20000,0),MATCH("Volume",'Semrush Data'!$A$1:$Z$1,0)),""))</f>
        <v/>
      </c>
      <c r="S281" s="22" t="str">
        <f aca="false">IF(N281="","",IFERROR(INDEX('Semrush Data'!$A$1:$Z$20000,MATCH(N281,'Semrush Data'!$A$1:$A$20000,0),MATCH("Volume",'Semrush Data'!$A$1:$Z$1,0)),""))</f>
        <v/>
      </c>
      <c r="T281" s="22" t="str">
        <f aca="false">IF(O281="","",IFERROR(INDEX('Semrush Data'!$A$1:$Z$20000,MATCH(O281,'Semrush Data'!$A$1:$A$20000,0),MATCH("Volume",'Semrush Data'!$A$1:$Z$1,0)),""))</f>
        <v/>
      </c>
      <c r="U281" s="22" t="str">
        <f aca="false">IF(P281="","",IFERROR(INDEX('Semrush Data'!$A$1:$Z$20000,MATCH(P281,'Semrush Data'!$A$1:$A$20000,0),MATCH("Volume",'Semrush Data'!$A$1:$Z$1,0)),""))</f>
        <v/>
      </c>
      <c r="V281" s="23" t="str">
        <f aca="false">IF(COUNT(Q281:U281)=0,L281,IF(MAX(Q281:U281)=0,L281,INDEX(L281:P281,MATCH(MAX(Q281:U281),Q281:U281,0))))</f>
        <v>dolce &amp; gabbana q</v>
      </c>
      <c r="W281" s="22" t="n">
        <f aca="false">IFERROR(INDEX('Semrush Data'!$A$1:$Z$20000,MATCH(V281,'Semrush Data'!$A$1:$A$20000,0),MATCH("Volume",'Semrush Data'!$A$1:$Z$1,0)),"")</f>
        <v>20</v>
      </c>
      <c r="X281" s="22" t="n">
        <f aca="false">IFERROR(INDEX('Semrush Data'!$A$1:$Z$20000,MATCH(V281,'Semrush Data'!$A$1:$A$20000,0),MATCH("Keyword Difficulty*",'Semrush Data'!$A$1:$Z$1,0)),"")</f>
        <v>19</v>
      </c>
      <c r="Y281" s="24" t="n">
        <f aca="false">IFERROR(INDEX('Semrush Data'!$A$1:$Z$20000,MATCH(V281,'Semrush Data'!$A$1:$A$20000,0),MATCH("CPC*",'Semrush Data'!$A$1:$Z$1,0)),"")</f>
        <v>0.45</v>
      </c>
      <c r="Z281" s="21" t="s">
        <v>3580</v>
      </c>
      <c r="AA281" s="21" t="s">
        <v>3581</v>
      </c>
      <c r="AB281" s="21" t="s">
        <v>3582</v>
      </c>
      <c r="AC281" s="21" t="s">
        <v>3583</v>
      </c>
      <c r="AD281" s="25" t="n">
        <f aca="false">LEN(AC281)</f>
        <v>58</v>
      </c>
      <c r="AE281" s="21" t="s">
        <v>3584</v>
      </c>
      <c r="AF281" s="25" t="n">
        <f aca="false">LEN(AE281)</f>
        <v>153</v>
      </c>
    </row>
    <row r="282" customFormat="false" ht="15" hidden="false" customHeight="true" outlineLevel="0" collapsed="false">
      <c r="A282" s="21" t="s">
        <v>98</v>
      </c>
      <c r="B282" s="21" t="s">
        <v>2390</v>
      </c>
      <c r="C282" s="21" t="n">
        <v>122</v>
      </c>
      <c r="D282" s="21" t="s">
        <v>3560</v>
      </c>
      <c r="E282" s="21"/>
      <c r="F282" s="21" t="s">
        <v>2393</v>
      </c>
      <c r="G282" s="21" t="s">
        <v>2394</v>
      </c>
      <c r="H282" s="21" t="s">
        <v>2549</v>
      </c>
      <c r="I282" s="21" t="s">
        <v>99</v>
      </c>
      <c r="J282" s="21" t="s">
        <v>1935</v>
      </c>
      <c r="K282" s="21" t="n">
        <v>54.99</v>
      </c>
      <c r="L282" s="21" t="s">
        <v>3585</v>
      </c>
      <c r="M282" s="21" t="s">
        <v>3586</v>
      </c>
      <c r="N282" s="21" t="s">
        <v>3587</v>
      </c>
      <c r="O282" s="21" t="s">
        <v>3588</v>
      </c>
      <c r="P282" s="21" t="s">
        <v>3589</v>
      </c>
      <c r="Q282" s="22" t="n">
        <f aca="false">IF(L282="","",IFERROR(INDEX('Semrush Data'!$A$1:$Z$20000,MATCH(L282,'Semrush Data'!$A$1:$A$20000,0),MATCH("Volume",'Semrush Data'!$A$1:$Z$1,0)),""))</f>
        <v>720</v>
      </c>
      <c r="R282" s="22" t="n">
        <f aca="false">IF(M282="","",IFERROR(INDEX('Semrush Data'!$A$1:$Z$20000,MATCH(M282,'Semrush Data'!$A$1:$A$20000,0),MATCH("Volume",'Semrush Data'!$A$1:$Z$1,0)),""))</f>
        <v>20</v>
      </c>
      <c r="S282" s="22" t="str">
        <f aca="false">IF(N282="","",IFERROR(INDEX('Semrush Data'!$A$1:$Z$20000,MATCH(N282,'Semrush Data'!$A$1:$A$20000,0),MATCH("Volume",'Semrush Data'!$A$1:$Z$1,0)),""))</f>
        <v/>
      </c>
      <c r="T282" s="22" t="str">
        <f aca="false">IF(O282="","",IFERROR(INDEX('Semrush Data'!$A$1:$Z$20000,MATCH(O282,'Semrush Data'!$A$1:$A$20000,0),MATCH("Volume",'Semrush Data'!$A$1:$Z$1,0)),""))</f>
        <v/>
      </c>
      <c r="U282" s="22" t="n">
        <f aca="false">IF(P282="","",IFERROR(INDEX('Semrush Data'!$A$1:$Z$20000,MATCH(P282,'Semrush Data'!$A$1:$A$20000,0),MATCH("Volume",'Semrush Data'!$A$1:$Z$1,0)),""))</f>
        <v>140</v>
      </c>
      <c r="V282" s="23" t="str">
        <f aca="false">IF(COUNT(Q282:U282)=0,L282,IF(MAX(Q282:U282)=0,L282,INDEX(L282:P282,MATCH(MAX(Q282:U282),Q282:U282,0))))</f>
        <v>dolce &amp; gabbana the one</v>
      </c>
      <c r="W282" s="22" t="n">
        <f aca="false">IFERROR(INDEX('Semrush Data'!$A$1:$Z$20000,MATCH(V282,'Semrush Data'!$A$1:$A$20000,0),MATCH("Volume",'Semrush Data'!$A$1:$Z$1,0)),"")</f>
        <v>720</v>
      </c>
      <c r="X282" s="22" t="n">
        <f aca="false">IFERROR(INDEX('Semrush Data'!$A$1:$Z$20000,MATCH(V282,'Semrush Data'!$A$1:$A$20000,0),MATCH("Keyword Difficulty*",'Semrush Data'!$A$1:$Z$1,0)),"")</f>
        <v>17</v>
      </c>
      <c r="Y282" s="24" t="n">
        <f aca="false">IFERROR(INDEX('Semrush Data'!$A$1:$Z$20000,MATCH(V282,'Semrush Data'!$A$1:$A$20000,0),MATCH("CPC*",'Semrush Data'!$A$1:$Z$1,0)),"")</f>
        <v>0.39</v>
      </c>
      <c r="Z282" s="21" t="s">
        <v>3590</v>
      </c>
      <c r="AA282" s="21" t="s">
        <v>3591</v>
      </c>
      <c r="AB282" s="21" t="s">
        <v>3592</v>
      </c>
      <c r="AC282" s="21" t="s">
        <v>3593</v>
      </c>
      <c r="AD282" s="25" t="n">
        <f aca="false">LEN(AC282)</f>
        <v>59</v>
      </c>
      <c r="AE282" s="21" t="s">
        <v>3594</v>
      </c>
      <c r="AF282" s="25" t="n">
        <f aca="false">LEN(AE282)</f>
        <v>158</v>
      </c>
    </row>
    <row r="283" customFormat="false" ht="15" hidden="false" customHeight="true" outlineLevel="0" collapsed="false">
      <c r="A283" s="21" t="s">
        <v>3595</v>
      </c>
      <c r="B283" s="21" t="s">
        <v>2390</v>
      </c>
      <c r="C283" s="21" t="n">
        <v>123</v>
      </c>
      <c r="D283" s="21" t="s">
        <v>3560</v>
      </c>
      <c r="E283" s="21"/>
      <c r="F283" s="21" t="s">
        <v>2393</v>
      </c>
      <c r="G283" s="21" t="s">
        <v>2394</v>
      </c>
      <c r="H283" s="21" t="s">
        <v>2549</v>
      </c>
      <c r="I283" s="21" t="s">
        <v>3596</v>
      </c>
      <c r="J283" s="21" t="s">
        <v>2875</v>
      </c>
      <c r="K283" s="21" t="n">
        <v>69.99</v>
      </c>
      <c r="L283" s="21" t="s">
        <v>3585</v>
      </c>
      <c r="M283" s="21" t="s">
        <v>3586</v>
      </c>
      <c r="N283" s="21" t="s">
        <v>3587</v>
      </c>
      <c r="O283" s="21" t="s">
        <v>3588</v>
      </c>
      <c r="P283" s="21" t="s">
        <v>3589</v>
      </c>
      <c r="Q283" s="22" t="n">
        <f aca="false">IF(L283="","",IFERROR(INDEX('Semrush Data'!$A$1:$Z$20000,MATCH(L283,'Semrush Data'!$A$1:$A$20000,0),MATCH("Volume",'Semrush Data'!$A$1:$Z$1,0)),""))</f>
        <v>720</v>
      </c>
      <c r="R283" s="22" t="n">
        <f aca="false">IF(M283="","",IFERROR(INDEX('Semrush Data'!$A$1:$Z$20000,MATCH(M283,'Semrush Data'!$A$1:$A$20000,0),MATCH("Volume",'Semrush Data'!$A$1:$Z$1,0)),""))</f>
        <v>20</v>
      </c>
      <c r="S283" s="22" t="str">
        <f aca="false">IF(N283="","",IFERROR(INDEX('Semrush Data'!$A$1:$Z$20000,MATCH(N283,'Semrush Data'!$A$1:$A$20000,0),MATCH("Volume",'Semrush Data'!$A$1:$Z$1,0)),""))</f>
        <v/>
      </c>
      <c r="T283" s="22" t="str">
        <f aca="false">IF(O283="","",IFERROR(INDEX('Semrush Data'!$A$1:$Z$20000,MATCH(O283,'Semrush Data'!$A$1:$A$20000,0),MATCH("Volume",'Semrush Data'!$A$1:$Z$1,0)),""))</f>
        <v/>
      </c>
      <c r="U283" s="22" t="n">
        <f aca="false">IF(P283="","",IFERROR(INDEX('Semrush Data'!$A$1:$Z$20000,MATCH(P283,'Semrush Data'!$A$1:$A$20000,0),MATCH("Volume",'Semrush Data'!$A$1:$Z$1,0)),""))</f>
        <v>140</v>
      </c>
      <c r="V283" s="23" t="str">
        <f aca="false">IF(COUNT(Q283:U283)=0,L283,IF(MAX(Q283:U283)=0,L283,INDEX(L283:P283,MATCH(MAX(Q283:U283),Q283:U283,0))))</f>
        <v>dolce &amp; gabbana the one</v>
      </c>
      <c r="W283" s="22" t="n">
        <f aca="false">IFERROR(INDEX('Semrush Data'!$A$1:$Z$20000,MATCH(V283,'Semrush Data'!$A$1:$A$20000,0),MATCH("Volume",'Semrush Data'!$A$1:$Z$1,0)),"")</f>
        <v>720</v>
      </c>
      <c r="X283" s="22" t="n">
        <f aca="false">IFERROR(INDEX('Semrush Data'!$A$1:$Z$20000,MATCH(V283,'Semrush Data'!$A$1:$A$20000,0),MATCH("Keyword Difficulty*",'Semrush Data'!$A$1:$Z$1,0)),"")</f>
        <v>17</v>
      </c>
      <c r="Y283" s="24" t="n">
        <f aca="false">IFERROR(INDEX('Semrush Data'!$A$1:$Z$20000,MATCH(V283,'Semrush Data'!$A$1:$A$20000,0),MATCH("CPC*",'Semrush Data'!$A$1:$Z$1,0)),"")</f>
        <v>0.39</v>
      </c>
      <c r="Z283" s="21" t="s">
        <v>3590</v>
      </c>
      <c r="AA283" s="21" t="s">
        <v>3591</v>
      </c>
      <c r="AB283" s="21" t="s">
        <v>3592</v>
      </c>
      <c r="AC283" s="21" t="s">
        <v>3593</v>
      </c>
      <c r="AD283" s="25" t="n">
        <f aca="false">LEN(AC283)</f>
        <v>59</v>
      </c>
      <c r="AE283" s="21" t="s">
        <v>3597</v>
      </c>
      <c r="AF283" s="25" t="n">
        <f aca="false">LEN(AE283)</f>
        <v>158</v>
      </c>
    </row>
    <row r="284" customFormat="false" ht="15" hidden="false" customHeight="true" outlineLevel="0" collapsed="false">
      <c r="A284" s="21" t="s">
        <v>3598</v>
      </c>
      <c r="B284" s="21" t="s">
        <v>2390</v>
      </c>
      <c r="C284" s="21" t="n">
        <v>124</v>
      </c>
      <c r="D284" s="21" t="s">
        <v>3560</v>
      </c>
      <c r="E284" s="21"/>
      <c r="F284" s="21" t="s">
        <v>2393</v>
      </c>
      <c r="G284" s="21" t="s">
        <v>2394</v>
      </c>
      <c r="H284" s="21" t="s">
        <v>2549</v>
      </c>
      <c r="I284" s="21" t="s">
        <v>3599</v>
      </c>
      <c r="J284" s="21" t="s">
        <v>1935</v>
      </c>
      <c r="K284" s="21" t="n">
        <v>54.99</v>
      </c>
      <c r="L284" s="21" t="s">
        <v>3600</v>
      </c>
      <c r="M284" s="21" t="s">
        <v>3601</v>
      </c>
      <c r="N284" s="21" t="s">
        <v>3602</v>
      </c>
      <c r="O284" s="21" t="s">
        <v>3603</v>
      </c>
      <c r="P284" s="21" t="s">
        <v>3604</v>
      </c>
      <c r="Q284" s="22" t="n">
        <f aca="false">IF(L284="","",IFERROR(INDEX('Semrush Data'!$A$1:$Z$20000,MATCH(L284,'Semrush Data'!$A$1:$A$20000,0),MATCH("Volume",'Semrush Data'!$A$1:$Z$1,0)),""))</f>
        <v>70</v>
      </c>
      <c r="R284" s="22" t="n">
        <f aca="false">IF(M284="","",IFERROR(INDEX('Semrush Data'!$A$1:$Z$20000,MATCH(M284,'Semrush Data'!$A$1:$A$20000,0),MATCH("Volume",'Semrush Data'!$A$1:$Z$1,0)),""))</f>
        <v>0</v>
      </c>
      <c r="S284" s="22" t="str">
        <f aca="false">IF(N284="","",IFERROR(INDEX('Semrush Data'!$A$1:$Z$20000,MATCH(N284,'Semrush Data'!$A$1:$A$20000,0),MATCH("Volume",'Semrush Data'!$A$1:$Z$1,0)),""))</f>
        <v/>
      </c>
      <c r="T284" s="22" t="str">
        <f aca="false">IF(O284="","",IFERROR(INDEX('Semrush Data'!$A$1:$Z$20000,MATCH(O284,'Semrush Data'!$A$1:$A$20000,0),MATCH("Volume",'Semrush Data'!$A$1:$Z$1,0)),""))</f>
        <v/>
      </c>
      <c r="U284" s="22" t="n">
        <f aca="false">IF(P284="","",IFERROR(INDEX('Semrush Data'!$A$1:$Z$20000,MATCH(P284,'Semrush Data'!$A$1:$A$20000,0),MATCH("Volume",'Semrush Data'!$A$1:$Z$1,0)),""))</f>
        <v>20</v>
      </c>
      <c r="V284" s="23" t="str">
        <f aca="false">IF(COUNT(Q284:U284)=0,L284,IF(MAX(Q284:U284)=0,L284,INDEX(L284:P284,MATCH(MAX(Q284:U284),Q284:U284,0))))</f>
        <v>dolce &amp; gabbana the one intense</v>
      </c>
      <c r="W284" s="22" t="n">
        <f aca="false">IFERROR(INDEX('Semrush Data'!$A$1:$Z$20000,MATCH(V284,'Semrush Data'!$A$1:$A$20000,0),MATCH("Volume",'Semrush Data'!$A$1:$Z$1,0)),"")</f>
        <v>70</v>
      </c>
      <c r="X284" s="22" t="n">
        <f aca="false">IFERROR(INDEX('Semrush Data'!$A$1:$Z$20000,MATCH(V284,'Semrush Data'!$A$1:$A$20000,0),MATCH("Keyword Difficulty*",'Semrush Data'!$A$1:$Z$1,0)),"")</f>
        <v>21</v>
      </c>
      <c r="Y284" s="24" t="n">
        <f aca="false">IFERROR(INDEX('Semrush Data'!$A$1:$Z$20000,MATCH(V284,'Semrush Data'!$A$1:$A$20000,0),MATCH("CPC*",'Semrush Data'!$A$1:$Z$1,0)),"")</f>
        <v>0</v>
      </c>
      <c r="Z284" s="21" t="s">
        <v>3590</v>
      </c>
      <c r="AA284" s="21" t="s">
        <v>3605</v>
      </c>
      <c r="AB284" s="21" t="s">
        <v>3606</v>
      </c>
      <c r="AC284" s="21" t="s">
        <v>3607</v>
      </c>
      <c r="AD284" s="25" t="n">
        <f aca="false">LEN(AC284)</f>
        <v>59</v>
      </c>
      <c r="AE284" s="21" t="s">
        <v>3608</v>
      </c>
      <c r="AF284" s="25" t="n">
        <f aca="false">LEN(AE284)</f>
        <v>159</v>
      </c>
    </row>
    <row r="285" customFormat="false" ht="15" hidden="false" customHeight="true" outlineLevel="0" collapsed="false">
      <c r="A285" s="21" t="s">
        <v>3609</v>
      </c>
      <c r="B285" s="21" t="s">
        <v>2390</v>
      </c>
      <c r="C285" s="21" t="n">
        <v>125</v>
      </c>
      <c r="D285" s="21" t="s">
        <v>3560</v>
      </c>
      <c r="E285" s="21"/>
      <c r="F285" s="21" t="s">
        <v>2393</v>
      </c>
      <c r="G285" s="21" t="s">
        <v>2394</v>
      </c>
      <c r="H285" s="21" t="s">
        <v>2549</v>
      </c>
      <c r="I285" s="21" t="s">
        <v>3610</v>
      </c>
      <c r="J285" s="21" t="s">
        <v>1935</v>
      </c>
      <c r="K285" s="21" t="n">
        <v>54.99</v>
      </c>
      <c r="L285" s="21" t="s">
        <v>3611</v>
      </c>
      <c r="M285" s="21" t="s">
        <v>3612</v>
      </c>
      <c r="N285" s="21" t="s">
        <v>3613</v>
      </c>
      <c r="O285" s="21" t="s">
        <v>3614</v>
      </c>
      <c r="P285" s="21" t="s">
        <v>3615</v>
      </c>
      <c r="Q285" s="22" t="n">
        <f aca="false">IF(L285="","",IFERROR(INDEX('Semrush Data'!$A$1:$Z$20000,MATCH(L285,'Semrush Data'!$A$1:$A$20000,0),MATCH("Volume",'Semrush Data'!$A$1:$Z$1,0)),""))</f>
        <v>0</v>
      </c>
      <c r="R285" s="22" t="str">
        <f aca="false">IF(M285="","",IFERROR(INDEX('Semrush Data'!$A$1:$Z$20000,MATCH(M285,'Semrush Data'!$A$1:$A$20000,0),MATCH("Volume",'Semrush Data'!$A$1:$Z$1,0)),""))</f>
        <v/>
      </c>
      <c r="S285" s="22" t="str">
        <f aca="false">IF(N285="","",IFERROR(INDEX('Semrush Data'!$A$1:$Z$20000,MATCH(N285,'Semrush Data'!$A$1:$A$20000,0),MATCH("Volume",'Semrush Data'!$A$1:$Z$1,0)),""))</f>
        <v/>
      </c>
      <c r="T285" s="22" t="str">
        <f aca="false">IF(O285="","",IFERROR(INDEX('Semrush Data'!$A$1:$Z$20000,MATCH(O285,'Semrush Data'!$A$1:$A$20000,0),MATCH("Volume",'Semrush Data'!$A$1:$Z$1,0)),""))</f>
        <v/>
      </c>
      <c r="U285" s="22" t="str">
        <f aca="false">IF(P285="","",IFERROR(INDEX('Semrush Data'!$A$1:$Z$20000,MATCH(P285,'Semrush Data'!$A$1:$A$20000,0),MATCH("Volume",'Semrush Data'!$A$1:$Z$1,0)),""))</f>
        <v/>
      </c>
      <c r="V285" s="23" t="str">
        <f aca="false">IF(COUNT(Q285:U285)=0,L285,IF(MAX(Q285:U285)=0,L285,INDEX(L285:P285,MATCH(MAX(Q285:U285),Q285:U285,0))))</f>
        <v>dolce &amp; gabbana the one gold intense</v>
      </c>
      <c r="W285" s="22" t="n">
        <f aca="false">IFERROR(INDEX('Semrush Data'!$A$1:$Z$20000,MATCH(V285,'Semrush Data'!$A$1:$A$20000,0),MATCH("Volume",'Semrush Data'!$A$1:$Z$1,0)),"")</f>
        <v>0</v>
      </c>
      <c r="X285" s="22" t="n">
        <f aca="false">IFERROR(INDEX('Semrush Data'!$A$1:$Z$20000,MATCH(V285,'Semrush Data'!$A$1:$A$20000,0),MATCH("Keyword Difficulty*",'Semrush Data'!$A$1:$Z$1,0)),"")</f>
        <v>11</v>
      </c>
      <c r="Y285" s="24" t="n">
        <f aca="false">IFERROR(INDEX('Semrush Data'!$A$1:$Z$20000,MATCH(V285,'Semrush Data'!$A$1:$A$20000,0),MATCH("CPC*",'Semrush Data'!$A$1:$Z$1,0)),"")</f>
        <v>0</v>
      </c>
      <c r="Z285" s="21" t="s">
        <v>3590</v>
      </c>
      <c r="AA285" s="21" t="s">
        <v>3616</v>
      </c>
      <c r="AB285" s="21" t="s">
        <v>3617</v>
      </c>
      <c r="AC285" s="21" t="s">
        <v>3618</v>
      </c>
      <c r="AD285" s="25" t="n">
        <f aca="false">LEN(AC285)</f>
        <v>58</v>
      </c>
      <c r="AE285" s="21" t="s">
        <v>3619</v>
      </c>
      <c r="AF285" s="25" t="n">
        <f aca="false">LEN(AE285)</f>
        <v>157</v>
      </c>
    </row>
    <row r="286" customFormat="false" ht="15" hidden="false" customHeight="true" outlineLevel="0" collapsed="false">
      <c r="A286" s="21" t="s">
        <v>3620</v>
      </c>
      <c r="B286" s="21" t="s">
        <v>2390</v>
      </c>
      <c r="C286" s="21" t="n">
        <v>126</v>
      </c>
      <c r="D286" s="21" t="s">
        <v>3560</v>
      </c>
      <c r="E286" s="21"/>
      <c r="F286" s="21" t="s">
        <v>2393</v>
      </c>
      <c r="G286" s="21" t="s">
        <v>2759</v>
      </c>
      <c r="H286" s="21" t="s">
        <v>2395</v>
      </c>
      <c r="I286" s="21" t="s">
        <v>3621</v>
      </c>
      <c r="J286" s="21" t="s">
        <v>1935</v>
      </c>
      <c r="K286" s="21" t="n">
        <v>34.99</v>
      </c>
      <c r="L286" s="21" t="s">
        <v>3622</v>
      </c>
      <c r="M286" s="21" t="s">
        <v>3623</v>
      </c>
      <c r="N286" s="21" t="s">
        <v>3624</v>
      </c>
      <c r="O286" s="21" t="s">
        <v>3625</v>
      </c>
      <c r="P286" s="21" t="s">
        <v>3626</v>
      </c>
      <c r="Q286" s="22" t="n">
        <f aca="false">IF(L286="","",IFERROR(INDEX('Semrush Data'!$A$1:$Z$20000,MATCH(L286,'Semrush Data'!$A$1:$A$20000,0),MATCH("Volume",'Semrush Data'!$A$1:$Z$1,0)),""))</f>
        <v>170</v>
      </c>
      <c r="R286" s="22" t="n">
        <f aca="false">IF(M286="","",IFERROR(INDEX('Semrush Data'!$A$1:$Z$20000,MATCH(M286,'Semrush Data'!$A$1:$A$20000,0),MATCH("Volume",'Semrush Data'!$A$1:$Z$1,0)),""))</f>
        <v>0</v>
      </c>
      <c r="S286" s="22" t="str">
        <f aca="false">IF(N286="","",IFERROR(INDEX('Semrush Data'!$A$1:$Z$20000,MATCH(N286,'Semrush Data'!$A$1:$A$20000,0),MATCH("Volume",'Semrush Data'!$A$1:$Z$1,0)),""))</f>
        <v/>
      </c>
      <c r="T286" s="22" t="str">
        <f aca="false">IF(O286="","",IFERROR(INDEX('Semrush Data'!$A$1:$Z$20000,MATCH(O286,'Semrush Data'!$A$1:$A$20000,0),MATCH("Volume",'Semrush Data'!$A$1:$Z$1,0)),""))</f>
        <v/>
      </c>
      <c r="U286" s="22" t="n">
        <f aca="false">IF(P286="","",IFERROR(INDEX('Semrush Data'!$A$1:$Z$20000,MATCH(P286,'Semrush Data'!$A$1:$A$20000,0),MATCH("Volume",'Semrush Data'!$A$1:$Z$1,0)),""))</f>
        <v>40</v>
      </c>
      <c r="V286" s="23" t="str">
        <f aca="false">IF(COUNT(Q286:U286)=0,L286,IF(MAX(Q286:U286)=0,L286,INDEX(L286:P286,MATCH(MAX(Q286:U286),Q286:U286,0))))</f>
        <v>dolce &amp; gabbana l'imperatrice</v>
      </c>
      <c r="W286" s="22" t="n">
        <f aca="false">IFERROR(INDEX('Semrush Data'!$A$1:$Z$20000,MATCH(V286,'Semrush Data'!$A$1:$A$20000,0),MATCH("Volume",'Semrush Data'!$A$1:$Z$1,0)),"")</f>
        <v>170</v>
      </c>
      <c r="X286" s="22" t="n">
        <f aca="false">IFERROR(INDEX('Semrush Data'!$A$1:$Z$20000,MATCH(V286,'Semrush Data'!$A$1:$A$20000,0),MATCH("Keyword Difficulty*",'Semrush Data'!$A$1:$Z$1,0)),"")</f>
        <v>22</v>
      </c>
      <c r="Y286" s="24" t="n">
        <f aca="false">IFERROR(INDEX('Semrush Data'!$A$1:$Z$20000,MATCH(V286,'Semrush Data'!$A$1:$A$20000,0),MATCH("CPC*",'Semrush Data'!$A$1:$Z$1,0)),"")</f>
        <v>0.5</v>
      </c>
      <c r="Z286" s="21" t="s">
        <v>3580</v>
      </c>
      <c r="AA286" s="21" t="s">
        <v>3627</v>
      </c>
      <c r="AB286" s="21" t="s">
        <v>3628</v>
      </c>
      <c r="AC286" s="21" t="s">
        <v>3629</v>
      </c>
      <c r="AD286" s="25" t="n">
        <f aca="false">LEN(AC286)</f>
        <v>59</v>
      </c>
      <c r="AE286" s="21" t="s">
        <v>3630</v>
      </c>
      <c r="AF286" s="25" t="n">
        <f aca="false">LEN(AE286)</f>
        <v>156</v>
      </c>
    </row>
    <row r="287" customFormat="false" ht="15" hidden="false" customHeight="true" outlineLevel="0" collapsed="false">
      <c r="A287" s="21" t="s">
        <v>3631</v>
      </c>
      <c r="B287" s="21" t="s">
        <v>2390</v>
      </c>
      <c r="C287" s="21" t="n">
        <v>127</v>
      </c>
      <c r="D287" s="21" t="s">
        <v>3560</v>
      </c>
      <c r="E287" s="21"/>
      <c r="F287" s="21" t="s">
        <v>1676</v>
      </c>
      <c r="G287" s="21" t="s">
        <v>2394</v>
      </c>
      <c r="H287" s="21" t="s">
        <v>2457</v>
      </c>
      <c r="I287" s="21" t="s">
        <v>3632</v>
      </c>
      <c r="J287" s="21" t="s">
        <v>1409</v>
      </c>
      <c r="K287" s="21" t="n">
        <v>54.99</v>
      </c>
      <c r="L287" s="21" t="s">
        <v>3633</v>
      </c>
      <c r="M287" s="21" t="s">
        <v>3634</v>
      </c>
      <c r="N287" s="21" t="s">
        <v>3635</v>
      </c>
      <c r="O287" s="21" t="s">
        <v>3636</v>
      </c>
      <c r="P287" s="21"/>
      <c r="Q287" s="22" t="n">
        <f aca="false">IF(L287="","",IFERROR(INDEX('Semrush Data'!$A$1:$Z$20000,MATCH(L287,'Semrush Data'!$A$1:$A$20000,0),MATCH("Volume",'Semrush Data'!$A$1:$Z$1,0)),""))</f>
        <v>10</v>
      </c>
      <c r="R287" s="22" t="str">
        <f aca="false">IF(M287="","",IFERROR(INDEX('Semrush Data'!$A$1:$Z$20000,MATCH(M287,'Semrush Data'!$A$1:$A$20000,0),MATCH("Volume",'Semrush Data'!$A$1:$Z$1,0)),""))</f>
        <v/>
      </c>
      <c r="S287" s="22" t="str">
        <f aca="false">IF(N287="","",IFERROR(INDEX('Semrush Data'!$A$1:$Z$20000,MATCH(N287,'Semrush Data'!$A$1:$A$20000,0),MATCH("Volume",'Semrush Data'!$A$1:$Z$1,0)),""))</f>
        <v/>
      </c>
      <c r="T287" s="22" t="str">
        <f aca="false">IF(O287="","",IFERROR(INDEX('Semrush Data'!$A$1:$Z$20000,MATCH(O287,'Semrush Data'!$A$1:$A$20000,0),MATCH("Volume",'Semrush Data'!$A$1:$Z$1,0)),""))</f>
        <v/>
      </c>
      <c r="U287" s="22" t="str">
        <f aca="false">IF(P287="","",IFERROR(INDEX('Semrush Data'!$A$1:$Z$20000,MATCH(P287,'Semrush Data'!$A$1:$A$20000,0),MATCH("Volume",'Semrush Data'!$A$1:$Z$1,0)),""))</f>
        <v/>
      </c>
      <c r="V287" s="23" t="str">
        <f aca="false">IF(COUNT(Q287:U287)=0,L287,IF(MAX(Q287:U287)=0,L287,INDEX(L287:P287,MATCH(MAX(Q287:U287),Q287:U287,0))))</f>
        <v>dolce &amp; gabbana devotion gift set</v>
      </c>
      <c r="W287" s="22" t="n">
        <f aca="false">IFERROR(INDEX('Semrush Data'!$A$1:$Z$20000,MATCH(V287,'Semrush Data'!$A$1:$A$20000,0),MATCH("Volume",'Semrush Data'!$A$1:$Z$1,0)),"")</f>
        <v>10</v>
      </c>
      <c r="X287" s="22" t="n">
        <f aca="false">IFERROR(INDEX('Semrush Data'!$A$1:$Z$20000,MATCH(V287,'Semrush Data'!$A$1:$A$20000,0),MATCH("Keyword Difficulty*",'Semrush Data'!$A$1:$Z$1,0)),"")</f>
        <v>11</v>
      </c>
      <c r="Y287" s="24" t="n">
        <f aca="false">IFERROR(INDEX('Semrush Data'!$A$1:$Z$20000,MATCH(V287,'Semrush Data'!$A$1:$A$20000,0),MATCH("CPC*",'Semrush Data'!$A$1:$Z$1,0)),"")</f>
        <v>0</v>
      </c>
      <c r="Z287" s="21" t="s">
        <v>3637</v>
      </c>
      <c r="AA287" s="21" t="s">
        <v>3638</v>
      </c>
      <c r="AB287" s="21" t="s">
        <v>3639</v>
      </c>
      <c r="AC287" s="21" t="s">
        <v>3640</v>
      </c>
      <c r="AD287" s="25" t="n">
        <f aca="false">LEN(AC287)</f>
        <v>56</v>
      </c>
      <c r="AE287" s="21" t="s">
        <v>3641</v>
      </c>
      <c r="AF287" s="25" t="n">
        <f aca="false">LEN(AE287)</f>
        <v>155</v>
      </c>
    </row>
    <row r="288" customFormat="false" ht="15" hidden="false" customHeight="true" outlineLevel="0" collapsed="false">
      <c r="A288" s="21" t="s">
        <v>3642</v>
      </c>
      <c r="B288" s="21" t="s">
        <v>2390</v>
      </c>
      <c r="C288" s="21" t="n">
        <v>128</v>
      </c>
      <c r="D288" s="21" t="s">
        <v>3560</v>
      </c>
      <c r="E288" s="21"/>
      <c r="F288" s="21" t="s">
        <v>1676</v>
      </c>
      <c r="G288" s="21" t="s">
        <v>2394</v>
      </c>
      <c r="H288" s="21" t="s">
        <v>2549</v>
      </c>
      <c r="I288" s="21" t="s">
        <v>3643</v>
      </c>
      <c r="J288" s="21" t="s">
        <v>1409</v>
      </c>
      <c r="K288" s="21" t="n">
        <v>54.99</v>
      </c>
      <c r="L288" s="21" t="s">
        <v>3644</v>
      </c>
      <c r="M288" s="21" t="s">
        <v>3645</v>
      </c>
      <c r="N288" s="21" t="s">
        <v>3646</v>
      </c>
      <c r="O288" s="21" t="s">
        <v>3647</v>
      </c>
      <c r="P288" s="21"/>
      <c r="Q288" s="22" t="n">
        <f aca="false">IF(L288="","",IFERROR(INDEX('Semrush Data'!$A$1:$Z$20000,MATCH(L288,'Semrush Data'!$A$1:$A$20000,0),MATCH("Volume",'Semrush Data'!$A$1:$Z$1,0)),""))</f>
        <v>30</v>
      </c>
      <c r="R288" s="22" t="str">
        <f aca="false">IF(M288="","",IFERROR(INDEX('Semrush Data'!$A$1:$Z$20000,MATCH(M288,'Semrush Data'!$A$1:$A$20000,0),MATCH("Volume",'Semrush Data'!$A$1:$Z$1,0)),""))</f>
        <v/>
      </c>
      <c r="S288" s="22" t="str">
        <f aca="false">IF(N288="","",IFERROR(INDEX('Semrush Data'!$A$1:$Z$20000,MATCH(N288,'Semrush Data'!$A$1:$A$20000,0),MATCH("Volume",'Semrush Data'!$A$1:$Z$1,0)),""))</f>
        <v/>
      </c>
      <c r="T288" s="22" t="str">
        <f aca="false">IF(O288="","",IFERROR(INDEX('Semrush Data'!$A$1:$Z$20000,MATCH(O288,'Semrush Data'!$A$1:$A$20000,0),MATCH("Volume",'Semrush Data'!$A$1:$Z$1,0)),""))</f>
        <v/>
      </c>
      <c r="U288" s="22" t="str">
        <f aca="false">IF(P288="","",IFERROR(INDEX('Semrush Data'!$A$1:$Z$20000,MATCH(P288,'Semrush Data'!$A$1:$A$20000,0),MATCH("Volume",'Semrush Data'!$A$1:$Z$1,0)),""))</f>
        <v/>
      </c>
      <c r="V288" s="23" t="str">
        <f aca="false">IF(COUNT(Q288:U288)=0,L288,IF(MAX(Q288:U288)=0,L288,INDEX(L288:P288,MATCH(MAX(Q288:U288),Q288:U288,0))))</f>
        <v>dolce &amp; gabbana k gift set</v>
      </c>
      <c r="W288" s="22" t="n">
        <f aca="false">IFERROR(INDEX('Semrush Data'!$A$1:$Z$20000,MATCH(V288,'Semrush Data'!$A$1:$A$20000,0),MATCH("Volume",'Semrush Data'!$A$1:$Z$1,0)),"")</f>
        <v>30</v>
      </c>
      <c r="X288" s="22" t="n">
        <f aca="false">IFERROR(INDEX('Semrush Data'!$A$1:$Z$20000,MATCH(V288,'Semrush Data'!$A$1:$A$20000,0),MATCH("Keyword Difficulty*",'Semrush Data'!$A$1:$Z$1,0)),"")</f>
        <v>12</v>
      </c>
      <c r="Y288" s="24" t="n">
        <f aca="false">IFERROR(INDEX('Semrush Data'!$A$1:$Z$20000,MATCH(V288,'Semrush Data'!$A$1:$A$20000,0),MATCH("CPC*",'Semrush Data'!$A$1:$Z$1,0)),"")</f>
        <v>0</v>
      </c>
      <c r="Z288" s="21" t="s">
        <v>3590</v>
      </c>
      <c r="AA288" s="21" t="s">
        <v>3648</v>
      </c>
      <c r="AB288" s="21" t="s">
        <v>3649</v>
      </c>
      <c r="AC288" s="21" t="s">
        <v>3650</v>
      </c>
      <c r="AD288" s="25" t="n">
        <f aca="false">LEN(AC288)</f>
        <v>54</v>
      </c>
      <c r="AE288" s="21" t="s">
        <v>3651</v>
      </c>
      <c r="AF288" s="25" t="n">
        <f aca="false">LEN(AE288)</f>
        <v>158</v>
      </c>
    </row>
    <row r="289" customFormat="false" ht="15" hidden="false" customHeight="true" outlineLevel="0" collapsed="false">
      <c r="A289" s="21" t="s">
        <v>3652</v>
      </c>
      <c r="B289" s="21" t="s">
        <v>2390</v>
      </c>
      <c r="C289" s="21" t="n">
        <v>129</v>
      </c>
      <c r="D289" s="21" t="s">
        <v>3560</v>
      </c>
      <c r="E289" s="21"/>
      <c r="F289" s="21" t="s">
        <v>1676</v>
      </c>
      <c r="G289" s="21" t="s">
        <v>2394</v>
      </c>
      <c r="H289" s="21" t="s">
        <v>2832</v>
      </c>
      <c r="I289" s="21" t="s">
        <v>3653</v>
      </c>
      <c r="J289" s="21" t="s">
        <v>3006</v>
      </c>
      <c r="K289" s="21" t="n">
        <v>34.99</v>
      </c>
      <c r="L289" s="21" t="s">
        <v>3654</v>
      </c>
      <c r="M289" s="21" t="s">
        <v>3655</v>
      </c>
      <c r="N289" s="21" t="s">
        <v>3656</v>
      </c>
      <c r="O289" s="21" t="s">
        <v>3657</v>
      </c>
      <c r="P289" s="21"/>
      <c r="Q289" s="22" t="n">
        <f aca="false">IF(L289="","",IFERROR(INDEX('Semrush Data'!$A$1:$Z$20000,MATCH(L289,'Semrush Data'!$A$1:$A$20000,0),MATCH("Volume",'Semrush Data'!$A$1:$Z$1,0)),""))</f>
        <v>20</v>
      </c>
      <c r="R289" s="22" t="str">
        <f aca="false">IF(M289="","",IFERROR(INDEX('Semrush Data'!$A$1:$Z$20000,MATCH(M289,'Semrush Data'!$A$1:$A$20000,0),MATCH("Volume",'Semrush Data'!$A$1:$Z$1,0)),""))</f>
        <v/>
      </c>
      <c r="S289" s="22" t="str">
        <f aca="false">IF(N289="","",IFERROR(INDEX('Semrush Data'!$A$1:$Z$20000,MATCH(N289,'Semrush Data'!$A$1:$A$20000,0),MATCH("Volume",'Semrush Data'!$A$1:$Z$1,0)),""))</f>
        <v/>
      </c>
      <c r="T289" s="22" t="str">
        <f aca="false">IF(O289="","",IFERROR(INDEX('Semrush Data'!$A$1:$Z$20000,MATCH(O289,'Semrush Data'!$A$1:$A$20000,0),MATCH("Volume",'Semrush Data'!$A$1:$Z$1,0)),""))</f>
        <v/>
      </c>
      <c r="U289" s="22" t="str">
        <f aca="false">IF(P289="","",IFERROR(INDEX('Semrush Data'!$A$1:$Z$20000,MATCH(P289,'Semrush Data'!$A$1:$A$20000,0),MATCH("Volume",'Semrush Data'!$A$1:$Z$1,0)),""))</f>
        <v/>
      </c>
      <c r="V289" s="23" t="str">
        <f aca="false">IF(COUNT(Q289:U289)=0,L289,IF(MAX(Q289:U289)=0,L289,INDEX(L289:P289,MATCH(MAX(Q289:U289),Q289:U289,0))))</f>
        <v>dolce &amp; gabbana miniature set</v>
      </c>
      <c r="W289" s="22" t="n">
        <f aca="false">IFERROR(INDEX('Semrush Data'!$A$1:$Z$20000,MATCH(V289,'Semrush Data'!$A$1:$A$20000,0),MATCH("Volume",'Semrush Data'!$A$1:$Z$1,0)),"")</f>
        <v>20</v>
      </c>
      <c r="X289" s="22" t="n">
        <f aca="false">IFERROR(INDEX('Semrush Data'!$A$1:$Z$20000,MATCH(V289,'Semrush Data'!$A$1:$A$20000,0),MATCH("Keyword Difficulty*",'Semrush Data'!$A$1:$Z$1,0)),"")</f>
        <v>13</v>
      </c>
      <c r="Y289" s="24" t="n">
        <f aca="false">IFERROR(INDEX('Semrush Data'!$A$1:$Z$20000,MATCH(V289,'Semrush Data'!$A$1:$A$20000,0),MATCH("CPC*",'Semrush Data'!$A$1:$Z$1,0)),"")</f>
        <v>0</v>
      </c>
      <c r="Z289" s="21" t="s">
        <v>3658</v>
      </c>
      <c r="AA289" s="21" t="s">
        <v>3659</v>
      </c>
      <c r="AB289" s="21" t="s">
        <v>3660</v>
      </c>
      <c r="AC289" s="21" t="s">
        <v>3661</v>
      </c>
      <c r="AD289" s="25" t="n">
        <f aca="false">LEN(AC289)</f>
        <v>59</v>
      </c>
      <c r="AE289" s="21" t="s">
        <v>3662</v>
      </c>
      <c r="AF289" s="25" t="n">
        <f aca="false">LEN(AE289)</f>
        <v>158</v>
      </c>
    </row>
    <row r="290" customFormat="false" ht="15" hidden="false" customHeight="true" outlineLevel="0" collapsed="false">
      <c r="A290" s="21" t="s">
        <v>3663</v>
      </c>
      <c r="B290" s="21" t="s">
        <v>2390</v>
      </c>
      <c r="C290" s="21" t="n">
        <v>130</v>
      </c>
      <c r="D290" s="21" t="s">
        <v>3560</v>
      </c>
      <c r="E290" s="21"/>
      <c r="F290" s="21" t="s">
        <v>1676</v>
      </c>
      <c r="G290" s="21" t="s">
        <v>2394</v>
      </c>
      <c r="H290" s="21" t="s">
        <v>2457</v>
      </c>
      <c r="I290" s="21" t="s">
        <v>3664</v>
      </c>
      <c r="J290" s="21" t="s">
        <v>1409</v>
      </c>
      <c r="K290" s="21" t="n">
        <v>64.99</v>
      </c>
      <c r="L290" s="21" t="s">
        <v>3665</v>
      </c>
      <c r="M290" s="21" t="s">
        <v>3666</v>
      </c>
      <c r="N290" s="21" t="s">
        <v>3667</v>
      </c>
      <c r="O290" s="21" t="s">
        <v>3668</v>
      </c>
      <c r="P290" s="21"/>
      <c r="Q290" s="22" t="n">
        <f aca="false">IF(L290="","",IFERROR(INDEX('Semrush Data'!$A$1:$Z$20000,MATCH(L290,'Semrush Data'!$A$1:$A$20000,0),MATCH("Volume",'Semrush Data'!$A$1:$Z$1,0)),""))</f>
        <v>50</v>
      </c>
      <c r="R290" s="22" t="n">
        <f aca="false">IF(M290="","",IFERROR(INDEX('Semrush Data'!$A$1:$Z$20000,MATCH(M290,'Semrush Data'!$A$1:$A$20000,0),MATCH("Volume",'Semrush Data'!$A$1:$Z$1,0)),""))</f>
        <v>0</v>
      </c>
      <c r="S290" s="22" t="str">
        <f aca="false">IF(N290="","",IFERROR(INDEX('Semrush Data'!$A$1:$Z$20000,MATCH(N290,'Semrush Data'!$A$1:$A$20000,0),MATCH("Volume",'Semrush Data'!$A$1:$Z$1,0)),""))</f>
        <v/>
      </c>
      <c r="T290" s="22" t="str">
        <f aca="false">IF(O290="","",IFERROR(INDEX('Semrush Data'!$A$1:$Z$20000,MATCH(O290,'Semrush Data'!$A$1:$A$20000,0),MATCH("Volume",'Semrush Data'!$A$1:$Z$1,0)),""))</f>
        <v/>
      </c>
      <c r="U290" s="22" t="str">
        <f aca="false">IF(P290="","",IFERROR(INDEX('Semrush Data'!$A$1:$Z$20000,MATCH(P290,'Semrush Data'!$A$1:$A$20000,0),MATCH("Volume",'Semrush Data'!$A$1:$Z$1,0)),""))</f>
        <v/>
      </c>
      <c r="V290" s="23" t="str">
        <f aca="false">IF(COUNT(Q290:U290)=0,L290,IF(MAX(Q290:U290)=0,L290,INDEX(L290:P290,MATCH(MAX(Q290:U290),Q290:U290,0))))</f>
        <v>dolce &amp; gabbana the one gift set</v>
      </c>
      <c r="W290" s="22" t="n">
        <f aca="false">IFERROR(INDEX('Semrush Data'!$A$1:$Z$20000,MATCH(V290,'Semrush Data'!$A$1:$A$20000,0),MATCH("Volume",'Semrush Data'!$A$1:$Z$1,0)),"")</f>
        <v>50</v>
      </c>
      <c r="X290" s="22" t="n">
        <f aca="false">IFERROR(INDEX('Semrush Data'!$A$1:$Z$20000,MATCH(V290,'Semrush Data'!$A$1:$A$20000,0),MATCH("Keyword Difficulty*",'Semrush Data'!$A$1:$Z$1,0)),"")</f>
        <v>14</v>
      </c>
      <c r="Y290" s="24" t="n">
        <f aca="false">IFERROR(INDEX('Semrush Data'!$A$1:$Z$20000,MATCH(V290,'Semrush Data'!$A$1:$A$20000,0),MATCH("CPC*",'Semrush Data'!$A$1:$Z$1,0)),"")</f>
        <v>0.44</v>
      </c>
      <c r="Z290" s="21" t="s">
        <v>3637</v>
      </c>
      <c r="AA290" s="21" t="s">
        <v>3669</v>
      </c>
      <c r="AB290" s="21" t="s">
        <v>3670</v>
      </c>
      <c r="AC290" s="21" t="s">
        <v>3671</v>
      </c>
      <c r="AD290" s="25" t="n">
        <f aca="false">LEN(AC290)</f>
        <v>56</v>
      </c>
      <c r="AE290" s="21" t="s">
        <v>3672</v>
      </c>
      <c r="AF290" s="25" t="n">
        <f aca="false">LEN(AE290)</f>
        <v>160</v>
      </c>
    </row>
    <row r="291" customFormat="false" ht="15" hidden="false" customHeight="true" outlineLevel="0" collapsed="false">
      <c r="A291" s="21" t="s">
        <v>3673</v>
      </c>
      <c r="B291" s="21" t="s">
        <v>2390</v>
      </c>
      <c r="C291" s="21" t="n">
        <v>131</v>
      </c>
      <c r="D291" s="21" t="s">
        <v>3560</v>
      </c>
      <c r="E291" s="21"/>
      <c r="F291" s="21" t="s">
        <v>1676</v>
      </c>
      <c r="G291" s="21" t="s">
        <v>2491</v>
      </c>
      <c r="H291" s="21" t="s">
        <v>2395</v>
      </c>
      <c r="I291" s="21" t="s">
        <v>3674</v>
      </c>
      <c r="J291" s="21" t="s">
        <v>3006</v>
      </c>
      <c r="K291" s="21" t="n">
        <v>39.99</v>
      </c>
      <c r="L291" s="21" t="s">
        <v>3654</v>
      </c>
      <c r="M291" s="21" t="s">
        <v>3655</v>
      </c>
      <c r="N291" s="21" t="s">
        <v>3656</v>
      </c>
      <c r="O291" s="21" t="s">
        <v>3657</v>
      </c>
      <c r="P291" s="21"/>
      <c r="Q291" s="22" t="n">
        <f aca="false">IF(L291="","",IFERROR(INDEX('Semrush Data'!$A$1:$Z$20000,MATCH(L291,'Semrush Data'!$A$1:$A$20000,0),MATCH("Volume",'Semrush Data'!$A$1:$Z$1,0)),""))</f>
        <v>20</v>
      </c>
      <c r="R291" s="22" t="str">
        <f aca="false">IF(M291="","",IFERROR(INDEX('Semrush Data'!$A$1:$Z$20000,MATCH(M291,'Semrush Data'!$A$1:$A$20000,0),MATCH("Volume",'Semrush Data'!$A$1:$Z$1,0)),""))</f>
        <v/>
      </c>
      <c r="S291" s="22" t="str">
        <f aca="false">IF(N291="","",IFERROR(INDEX('Semrush Data'!$A$1:$Z$20000,MATCH(N291,'Semrush Data'!$A$1:$A$20000,0),MATCH("Volume",'Semrush Data'!$A$1:$Z$1,0)),""))</f>
        <v/>
      </c>
      <c r="T291" s="22" t="str">
        <f aca="false">IF(O291="","",IFERROR(INDEX('Semrush Data'!$A$1:$Z$20000,MATCH(O291,'Semrush Data'!$A$1:$A$20000,0),MATCH("Volume",'Semrush Data'!$A$1:$Z$1,0)),""))</f>
        <v/>
      </c>
      <c r="U291" s="22" t="str">
        <f aca="false">IF(P291="","",IFERROR(INDEX('Semrush Data'!$A$1:$Z$20000,MATCH(P291,'Semrush Data'!$A$1:$A$20000,0),MATCH("Volume",'Semrush Data'!$A$1:$Z$1,0)),""))</f>
        <v/>
      </c>
      <c r="V291" s="23" t="str">
        <f aca="false">IF(COUNT(Q291:U291)=0,L291,IF(MAX(Q291:U291)=0,L291,INDEX(L291:P291,MATCH(MAX(Q291:U291),Q291:U291,0))))</f>
        <v>dolce &amp; gabbana miniature set</v>
      </c>
      <c r="W291" s="22" t="n">
        <f aca="false">IFERROR(INDEX('Semrush Data'!$A$1:$Z$20000,MATCH(V291,'Semrush Data'!$A$1:$A$20000,0),MATCH("Volume",'Semrush Data'!$A$1:$Z$1,0)),"")</f>
        <v>20</v>
      </c>
      <c r="X291" s="22" t="n">
        <f aca="false">IFERROR(INDEX('Semrush Data'!$A$1:$Z$20000,MATCH(V291,'Semrush Data'!$A$1:$A$20000,0),MATCH("Keyword Difficulty*",'Semrush Data'!$A$1:$Z$1,0)),"")</f>
        <v>13</v>
      </c>
      <c r="Y291" s="24" t="n">
        <f aca="false">IFERROR(INDEX('Semrush Data'!$A$1:$Z$20000,MATCH(V291,'Semrush Data'!$A$1:$A$20000,0),MATCH("CPC*",'Semrush Data'!$A$1:$Z$1,0)),"")</f>
        <v>0</v>
      </c>
      <c r="Z291" s="21" t="s">
        <v>3580</v>
      </c>
      <c r="AA291" s="21" t="s">
        <v>3659</v>
      </c>
      <c r="AB291" s="21" t="s">
        <v>3675</v>
      </c>
      <c r="AC291" s="21" t="s">
        <v>3676</v>
      </c>
      <c r="AD291" s="25" t="n">
        <f aca="false">LEN(AC291)</f>
        <v>57</v>
      </c>
      <c r="AE291" s="21" t="s">
        <v>3677</v>
      </c>
      <c r="AF291" s="25" t="n">
        <f aca="false">LEN(AE291)</f>
        <v>159</v>
      </c>
    </row>
    <row r="292" customFormat="false" ht="15" hidden="false" customHeight="true" outlineLevel="0" collapsed="false">
      <c r="A292" s="21" t="s">
        <v>3678</v>
      </c>
      <c r="B292" s="21" t="s">
        <v>2390</v>
      </c>
      <c r="C292" s="21" t="n">
        <v>132</v>
      </c>
      <c r="D292" s="21" t="s">
        <v>3679</v>
      </c>
      <c r="E292" s="21"/>
      <c r="F292" s="21" t="s">
        <v>2393</v>
      </c>
      <c r="G292" s="21" t="s">
        <v>2394</v>
      </c>
      <c r="H292" s="21" t="s">
        <v>2549</v>
      </c>
      <c r="I292" s="21" t="s">
        <v>3680</v>
      </c>
      <c r="J292" s="21" t="s">
        <v>1935</v>
      </c>
      <c r="K292" s="21" t="n">
        <v>45.99</v>
      </c>
      <c r="L292" s="21" t="s">
        <v>3681</v>
      </c>
      <c r="M292" s="21" t="s">
        <v>3682</v>
      </c>
      <c r="N292" s="21" t="s">
        <v>3683</v>
      </c>
      <c r="O292" s="21" t="s">
        <v>3684</v>
      </c>
      <c r="P292" s="21" t="s">
        <v>3685</v>
      </c>
      <c r="Q292" s="22" t="n">
        <f aca="false">IF(L292="","",IFERROR(INDEX('Semrush Data'!$A$1:$Z$20000,MATCH(L292,'Semrush Data'!$A$1:$A$20000,0),MATCH("Volume",'Semrush Data'!$A$1:$Z$1,0)),""))</f>
        <v>20</v>
      </c>
      <c r="R292" s="22" t="str">
        <f aca="false">IF(M292="","",IFERROR(INDEX('Semrush Data'!$A$1:$Z$20000,MATCH(M292,'Semrush Data'!$A$1:$A$20000,0),MATCH("Volume",'Semrush Data'!$A$1:$Z$1,0)),""))</f>
        <v/>
      </c>
      <c r="S292" s="22" t="str">
        <f aca="false">IF(N292="","",IFERROR(INDEX('Semrush Data'!$A$1:$Z$20000,MATCH(N292,'Semrush Data'!$A$1:$A$20000,0),MATCH("Volume",'Semrush Data'!$A$1:$Z$1,0)),""))</f>
        <v/>
      </c>
      <c r="T292" s="22" t="str">
        <f aca="false">IF(O292="","",IFERROR(INDEX('Semrush Data'!$A$1:$Z$20000,MATCH(O292,'Semrush Data'!$A$1:$A$20000,0),MATCH("Volume",'Semrush Data'!$A$1:$Z$1,0)),""))</f>
        <v/>
      </c>
      <c r="U292" s="22" t="str">
        <f aca="false">IF(P292="","",IFERROR(INDEX('Semrush Data'!$A$1:$Z$20000,MATCH(P292,'Semrush Data'!$A$1:$A$20000,0),MATCH("Volume",'Semrush Data'!$A$1:$Z$1,0)),""))</f>
        <v/>
      </c>
      <c r="V292" s="23" t="str">
        <f aca="false">IF(COUNT(Q292:U292)=0,L292,IF(MAX(Q292:U292)=0,L292,INDEX(L292:P292,MATCH(MAX(Q292:U292),Q292:U292,0))))</f>
        <v>dunhill signature collection agar wood</v>
      </c>
      <c r="W292" s="22" t="n">
        <f aca="false">IFERROR(INDEX('Semrush Data'!$A$1:$Z$20000,MATCH(V292,'Semrush Data'!$A$1:$A$20000,0),MATCH("Volume",'Semrush Data'!$A$1:$Z$1,0)),"")</f>
        <v>20</v>
      </c>
      <c r="X292" s="22" t="n">
        <f aca="false">IFERROR(INDEX('Semrush Data'!$A$1:$Z$20000,MATCH(V292,'Semrush Data'!$A$1:$A$20000,0),MATCH("Keyword Difficulty*",'Semrush Data'!$A$1:$Z$1,0)),"")</f>
        <v>16</v>
      </c>
      <c r="Y292" s="24" t="n">
        <f aca="false">IFERROR(INDEX('Semrush Data'!$A$1:$Z$20000,MATCH(V292,'Semrush Data'!$A$1:$A$20000,0),MATCH("CPC*",'Semrush Data'!$A$1:$Z$1,0)),"")</f>
        <v>0</v>
      </c>
      <c r="Z292" s="21" t="s">
        <v>3686</v>
      </c>
      <c r="AA292" s="21" t="s">
        <v>3687</v>
      </c>
      <c r="AB292" s="21" t="s">
        <v>3688</v>
      </c>
      <c r="AC292" s="21" t="s">
        <v>3689</v>
      </c>
      <c r="AD292" s="25" t="n">
        <f aca="false">LEN(AC292)</f>
        <v>58</v>
      </c>
      <c r="AE292" s="21" t="s">
        <v>3690</v>
      </c>
      <c r="AF292" s="25" t="n">
        <f aca="false">LEN(AE292)</f>
        <v>158</v>
      </c>
    </row>
    <row r="293" customFormat="false" ht="15" hidden="false" customHeight="true" outlineLevel="0" collapsed="false">
      <c r="A293" s="21" t="s">
        <v>3691</v>
      </c>
      <c r="B293" s="21" t="s">
        <v>2390</v>
      </c>
      <c r="C293" s="21" t="n">
        <v>133</v>
      </c>
      <c r="D293" s="21" t="s">
        <v>3679</v>
      </c>
      <c r="E293" s="21"/>
      <c r="F293" s="21" t="s">
        <v>2393</v>
      </c>
      <c r="G293" s="21" t="s">
        <v>2394</v>
      </c>
      <c r="H293" s="21" t="s">
        <v>3692</v>
      </c>
      <c r="I293" s="21" t="s">
        <v>3693</v>
      </c>
      <c r="J293" s="21" t="s">
        <v>1935</v>
      </c>
      <c r="K293" s="21" t="n">
        <v>45.99</v>
      </c>
      <c r="L293" s="21" t="s">
        <v>3694</v>
      </c>
      <c r="M293" s="21" t="s">
        <v>3695</v>
      </c>
      <c r="N293" s="21" t="s">
        <v>3696</v>
      </c>
      <c r="O293" s="21" t="s">
        <v>3697</v>
      </c>
      <c r="P293" s="21" t="s">
        <v>3698</v>
      </c>
      <c r="Q293" s="22" t="n">
        <f aca="false">IF(L293="","",IFERROR(INDEX('Semrush Data'!$A$1:$Z$20000,MATCH(L293,'Semrush Data'!$A$1:$A$20000,0),MATCH("Volume",'Semrush Data'!$A$1:$Z$1,0)),""))</f>
        <v>20</v>
      </c>
      <c r="R293" s="22" t="str">
        <f aca="false">IF(M293="","",IFERROR(INDEX('Semrush Data'!$A$1:$Z$20000,MATCH(M293,'Semrush Data'!$A$1:$A$20000,0),MATCH("Volume",'Semrush Data'!$A$1:$Z$1,0)),""))</f>
        <v/>
      </c>
      <c r="S293" s="22" t="str">
        <f aca="false">IF(N293="","",IFERROR(INDEX('Semrush Data'!$A$1:$Z$20000,MATCH(N293,'Semrush Data'!$A$1:$A$20000,0),MATCH("Volume",'Semrush Data'!$A$1:$Z$1,0)),""))</f>
        <v/>
      </c>
      <c r="T293" s="22" t="str">
        <f aca="false">IF(O293="","",IFERROR(INDEX('Semrush Data'!$A$1:$Z$20000,MATCH(O293,'Semrush Data'!$A$1:$A$20000,0),MATCH("Volume",'Semrush Data'!$A$1:$Z$1,0)),""))</f>
        <v/>
      </c>
      <c r="U293" s="22" t="str">
        <f aca="false">IF(P293="","",IFERROR(INDEX('Semrush Data'!$A$1:$Z$20000,MATCH(P293,'Semrush Data'!$A$1:$A$20000,0),MATCH("Volume",'Semrush Data'!$A$1:$Z$1,0)),""))</f>
        <v/>
      </c>
      <c r="V293" s="23" t="str">
        <f aca="false">IF(COUNT(Q293:U293)=0,L293,IF(MAX(Q293:U293)=0,L293,INDEX(L293:P293,MATCH(MAX(Q293:U293),Q293:U293,0))))</f>
        <v>dunhill signature collection amalfi citrus</v>
      </c>
      <c r="W293" s="22" t="n">
        <f aca="false">IFERROR(INDEX('Semrush Data'!$A$1:$Z$20000,MATCH(V293,'Semrush Data'!$A$1:$A$20000,0),MATCH("Volume",'Semrush Data'!$A$1:$Z$1,0)),"")</f>
        <v>20</v>
      </c>
      <c r="X293" s="22" t="n">
        <f aca="false">IFERROR(INDEX('Semrush Data'!$A$1:$Z$20000,MATCH(V293,'Semrush Data'!$A$1:$A$20000,0),MATCH("Keyword Difficulty*",'Semrush Data'!$A$1:$Z$1,0)),"")</f>
        <v>22</v>
      </c>
      <c r="Y293" s="24" t="n">
        <f aca="false">IFERROR(INDEX('Semrush Data'!$A$1:$Z$20000,MATCH(V293,'Semrush Data'!$A$1:$A$20000,0),MATCH("CPC*",'Semrush Data'!$A$1:$Z$1,0)),"")</f>
        <v>0</v>
      </c>
      <c r="Z293" s="21" t="s">
        <v>3699</v>
      </c>
      <c r="AA293" s="21" t="s">
        <v>3700</v>
      </c>
      <c r="AB293" s="21" t="s">
        <v>3701</v>
      </c>
      <c r="AC293" s="21" t="s">
        <v>3702</v>
      </c>
      <c r="AD293" s="25" t="n">
        <f aca="false">LEN(AC293)</f>
        <v>56</v>
      </c>
      <c r="AE293" s="21" t="s">
        <v>3703</v>
      </c>
      <c r="AF293" s="25" t="n">
        <f aca="false">LEN(AE293)</f>
        <v>156</v>
      </c>
    </row>
    <row r="294" customFormat="false" ht="15" hidden="false" customHeight="true" outlineLevel="0" collapsed="false">
      <c r="A294" s="21" t="s">
        <v>3704</v>
      </c>
      <c r="B294" s="21" t="s">
        <v>2390</v>
      </c>
      <c r="C294" s="21" t="n">
        <v>134</v>
      </c>
      <c r="D294" s="21" t="s">
        <v>3679</v>
      </c>
      <c r="E294" s="21"/>
      <c r="F294" s="21" t="s">
        <v>2393</v>
      </c>
      <c r="G294" s="21" t="s">
        <v>2394</v>
      </c>
      <c r="H294" s="21" t="s">
        <v>2549</v>
      </c>
      <c r="I294" s="21" t="s">
        <v>3705</v>
      </c>
      <c r="J294" s="21" t="s">
        <v>1935</v>
      </c>
      <c r="K294" s="21" t="n">
        <v>45.99</v>
      </c>
      <c r="L294" s="21" t="s">
        <v>3706</v>
      </c>
      <c r="M294" s="21" t="s">
        <v>3707</v>
      </c>
      <c r="N294" s="21" t="s">
        <v>3708</v>
      </c>
      <c r="O294" s="21" t="s">
        <v>3709</v>
      </c>
      <c r="P294" s="21" t="s">
        <v>3710</v>
      </c>
      <c r="Q294" s="22" t="n">
        <f aca="false">IF(L294="","",IFERROR(INDEX('Semrush Data'!$A$1:$Z$20000,MATCH(L294,'Semrush Data'!$A$1:$A$20000,0),MATCH("Volume",'Semrush Data'!$A$1:$Z$1,0)),""))</f>
        <v>20</v>
      </c>
      <c r="R294" s="22" t="str">
        <f aca="false">IF(M294="","",IFERROR(INDEX('Semrush Data'!$A$1:$Z$20000,MATCH(M294,'Semrush Data'!$A$1:$A$20000,0),MATCH("Volume",'Semrush Data'!$A$1:$Z$1,0)),""))</f>
        <v/>
      </c>
      <c r="S294" s="22" t="str">
        <f aca="false">IF(N294="","",IFERROR(INDEX('Semrush Data'!$A$1:$Z$20000,MATCH(N294,'Semrush Data'!$A$1:$A$20000,0),MATCH("Volume",'Semrush Data'!$A$1:$Z$1,0)),""))</f>
        <v/>
      </c>
      <c r="T294" s="22" t="str">
        <f aca="false">IF(O294="","",IFERROR(INDEX('Semrush Data'!$A$1:$Z$20000,MATCH(O294,'Semrush Data'!$A$1:$A$20000,0),MATCH("Volume",'Semrush Data'!$A$1:$Z$1,0)),""))</f>
        <v/>
      </c>
      <c r="U294" s="22" t="str">
        <f aca="false">IF(P294="","",IFERROR(INDEX('Semrush Data'!$A$1:$Z$20000,MATCH(P294,'Semrush Data'!$A$1:$A$20000,0),MATCH("Volume",'Semrush Data'!$A$1:$Z$1,0)),""))</f>
        <v/>
      </c>
      <c r="V294" s="23" t="str">
        <f aca="false">IF(COUNT(Q294:U294)=0,L294,IF(MAX(Q294:U294)=0,L294,INDEX(L294:P294,MATCH(MAX(Q294:U294),Q294:U294,0))))</f>
        <v>dunhill signature collection arabian desert</v>
      </c>
      <c r="W294" s="22" t="n">
        <f aca="false">IFERROR(INDEX('Semrush Data'!$A$1:$Z$20000,MATCH(V294,'Semrush Data'!$A$1:$A$20000,0),MATCH("Volume",'Semrush Data'!$A$1:$Z$1,0)),"")</f>
        <v>20</v>
      </c>
      <c r="X294" s="22" t="n">
        <f aca="false">IFERROR(INDEX('Semrush Data'!$A$1:$Z$20000,MATCH(V294,'Semrush Data'!$A$1:$A$20000,0),MATCH("Keyword Difficulty*",'Semrush Data'!$A$1:$Z$1,0)),"")</f>
        <v>16</v>
      </c>
      <c r="Y294" s="24" t="n">
        <f aca="false">IFERROR(INDEX('Semrush Data'!$A$1:$Z$20000,MATCH(V294,'Semrush Data'!$A$1:$A$20000,0),MATCH("CPC*",'Semrush Data'!$A$1:$Z$1,0)),"")</f>
        <v>0</v>
      </c>
      <c r="Z294" s="21" t="s">
        <v>3686</v>
      </c>
      <c r="AA294" s="21" t="s">
        <v>3711</v>
      </c>
      <c r="AB294" s="21" t="s">
        <v>3712</v>
      </c>
      <c r="AC294" s="21" t="s">
        <v>3713</v>
      </c>
      <c r="AD294" s="25" t="n">
        <f aca="false">LEN(AC294)</f>
        <v>57</v>
      </c>
      <c r="AE294" s="21" t="s">
        <v>3714</v>
      </c>
      <c r="AF294" s="25" t="n">
        <f aca="false">LEN(AE294)</f>
        <v>156</v>
      </c>
    </row>
    <row r="295" customFormat="false" ht="15" hidden="false" customHeight="true" outlineLevel="0" collapsed="false">
      <c r="A295" s="21" t="s">
        <v>3715</v>
      </c>
      <c r="B295" s="21" t="s">
        <v>2390</v>
      </c>
      <c r="C295" s="21" t="n">
        <v>135</v>
      </c>
      <c r="D295" s="21" t="s">
        <v>3679</v>
      </c>
      <c r="E295" s="21"/>
      <c r="F295" s="21" t="s">
        <v>2393</v>
      </c>
      <c r="G295" s="21" t="s">
        <v>2394</v>
      </c>
      <c r="H295" s="21" t="s">
        <v>2549</v>
      </c>
      <c r="I295" s="21" t="s">
        <v>3716</v>
      </c>
      <c r="J295" s="21" t="s">
        <v>1935</v>
      </c>
      <c r="K295" s="21" t="n">
        <v>45.99</v>
      </c>
      <c r="L295" s="21" t="s">
        <v>3717</v>
      </c>
      <c r="M295" s="21" t="s">
        <v>3718</v>
      </c>
      <c r="N295" s="21" t="s">
        <v>3719</v>
      </c>
      <c r="O295" s="21" t="s">
        <v>3720</v>
      </c>
      <c r="P295" s="21" t="s">
        <v>3721</v>
      </c>
      <c r="Q295" s="22" t="n">
        <f aca="false">IF(L295="","",IFERROR(INDEX('Semrush Data'!$A$1:$Z$20000,MATCH(L295,'Semrush Data'!$A$1:$A$20000,0),MATCH("Volume",'Semrush Data'!$A$1:$Z$1,0)),""))</f>
        <v>20</v>
      </c>
      <c r="R295" s="22" t="str">
        <f aca="false">IF(M295="","",IFERROR(INDEX('Semrush Data'!$A$1:$Z$20000,MATCH(M295,'Semrush Data'!$A$1:$A$20000,0),MATCH("Volume",'Semrush Data'!$A$1:$Z$1,0)),""))</f>
        <v/>
      </c>
      <c r="S295" s="22" t="str">
        <f aca="false">IF(N295="","",IFERROR(INDEX('Semrush Data'!$A$1:$Z$20000,MATCH(N295,'Semrush Data'!$A$1:$A$20000,0),MATCH("Volume",'Semrush Data'!$A$1:$Z$1,0)),""))</f>
        <v/>
      </c>
      <c r="T295" s="22" t="str">
        <f aca="false">IF(O295="","",IFERROR(INDEX('Semrush Data'!$A$1:$Z$20000,MATCH(O295,'Semrush Data'!$A$1:$A$20000,0),MATCH("Volume",'Semrush Data'!$A$1:$Z$1,0)),""))</f>
        <v/>
      </c>
      <c r="U295" s="22" t="str">
        <f aca="false">IF(P295="","",IFERROR(INDEX('Semrush Data'!$A$1:$Z$20000,MATCH(P295,'Semrush Data'!$A$1:$A$20000,0),MATCH("Volume",'Semrush Data'!$A$1:$Z$1,0)),""))</f>
        <v/>
      </c>
      <c r="V295" s="23" t="str">
        <f aca="false">IF(COUNT(Q295:U295)=0,L295,IF(MAX(Q295:U295)=0,L295,INDEX(L295:P295,MATCH(MAX(Q295:U295),Q295:U295,0))))</f>
        <v>dunhill signature collection british leather</v>
      </c>
      <c r="W295" s="22" t="n">
        <f aca="false">IFERROR(INDEX('Semrush Data'!$A$1:$Z$20000,MATCH(V295,'Semrush Data'!$A$1:$A$20000,0),MATCH("Volume",'Semrush Data'!$A$1:$Z$1,0)),"")</f>
        <v>20</v>
      </c>
      <c r="X295" s="22" t="n">
        <f aca="false">IFERROR(INDEX('Semrush Data'!$A$1:$Z$20000,MATCH(V295,'Semrush Data'!$A$1:$A$20000,0),MATCH("Keyword Difficulty*",'Semrush Data'!$A$1:$Z$1,0)),"")</f>
        <v>9</v>
      </c>
      <c r="Y295" s="24" t="n">
        <f aca="false">IFERROR(INDEX('Semrush Data'!$A$1:$Z$20000,MATCH(V295,'Semrush Data'!$A$1:$A$20000,0),MATCH("CPC*",'Semrush Data'!$A$1:$Z$1,0)),"")</f>
        <v>0</v>
      </c>
      <c r="Z295" s="21" t="s">
        <v>3686</v>
      </c>
      <c r="AA295" s="21" t="s">
        <v>3722</v>
      </c>
      <c r="AB295" s="21" t="s">
        <v>3723</v>
      </c>
      <c r="AC295" s="21" t="s">
        <v>3724</v>
      </c>
      <c r="AD295" s="25" t="n">
        <f aca="false">LEN(AC295)</f>
        <v>58</v>
      </c>
      <c r="AE295" s="21" t="s">
        <v>3725</v>
      </c>
      <c r="AF295" s="25" t="n">
        <f aca="false">LEN(AE295)</f>
        <v>157</v>
      </c>
    </row>
    <row r="296" customFormat="false" ht="15" hidden="false" customHeight="true" outlineLevel="0" collapsed="false">
      <c r="A296" s="21" t="s">
        <v>3726</v>
      </c>
      <c r="B296" s="21" t="s">
        <v>2390</v>
      </c>
      <c r="C296" s="21" t="n">
        <v>136</v>
      </c>
      <c r="D296" s="21" t="s">
        <v>3679</v>
      </c>
      <c r="E296" s="21"/>
      <c r="F296" s="21" t="s">
        <v>2393</v>
      </c>
      <c r="G296" s="21" t="s">
        <v>2394</v>
      </c>
      <c r="H296" s="21" t="s">
        <v>2975</v>
      </c>
      <c r="I296" s="21" t="s">
        <v>3727</v>
      </c>
      <c r="J296" s="21" t="s">
        <v>1935</v>
      </c>
      <c r="K296" s="21" t="n">
        <v>45.99</v>
      </c>
      <c r="L296" s="21" t="s">
        <v>3728</v>
      </c>
      <c r="M296" s="21" t="s">
        <v>3729</v>
      </c>
      <c r="N296" s="21" t="s">
        <v>3730</v>
      </c>
      <c r="O296" s="21" t="s">
        <v>3731</v>
      </c>
      <c r="P296" s="21" t="s">
        <v>3732</v>
      </c>
      <c r="Q296" s="22" t="n">
        <f aca="false">IF(L296="","",IFERROR(INDEX('Semrush Data'!$A$1:$Z$20000,MATCH(L296,'Semrush Data'!$A$1:$A$20000,0),MATCH("Volume",'Semrush Data'!$A$1:$Z$1,0)),""))</f>
        <v>20</v>
      </c>
      <c r="R296" s="22" t="str">
        <f aca="false">IF(M296="","",IFERROR(INDEX('Semrush Data'!$A$1:$Z$20000,MATCH(M296,'Semrush Data'!$A$1:$A$20000,0),MATCH("Volume",'Semrush Data'!$A$1:$Z$1,0)),""))</f>
        <v/>
      </c>
      <c r="S296" s="22" t="str">
        <f aca="false">IF(N296="","",IFERROR(INDEX('Semrush Data'!$A$1:$Z$20000,MATCH(N296,'Semrush Data'!$A$1:$A$20000,0),MATCH("Volume",'Semrush Data'!$A$1:$Z$1,0)),""))</f>
        <v/>
      </c>
      <c r="T296" s="22" t="str">
        <f aca="false">IF(O296="","",IFERROR(INDEX('Semrush Data'!$A$1:$Z$20000,MATCH(O296,'Semrush Data'!$A$1:$A$20000,0),MATCH("Volume",'Semrush Data'!$A$1:$Z$1,0)),""))</f>
        <v/>
      </c>
      <c r="U296" s="22" t="str">
        <f aca="false">IF(P296="","",IFERROR(INDEX('Semrush Data'!$A$1:$Z$20000,MATCH(P296,'Semrush Data'!$A$1:$A$20000,0),MATCH("Volume",'Semrush Data'!$A$1:$Z$1,0)),""))</f>
        <v/>
      </c>
      <c r="V296" s="23" t="str">
        <f aca="false">IF(COUNT(Q296:U296)=0,L296,IF(MAX(Q296:U296)=0,L296,INDEX(L296:P296,MATCH(MAX(Q296:U296),Q296:U296,0))))</f>
        <v>dunhill signature collection egyptian smoke</v>
      </c>
      <c r="W296" s="22" t="n">
        <f aca="false">IFERROR(INDEX('Semrush Data'!$A$1:$Z$20000,MATCH(V296,'Semrush Data'!$A$1:$A$20000,0),MATCH("Volume",'Semrush Data'!$A$1:$Z$1,0)),"")</f>
        <v>20</v>
      </c>
      <c r="X296" s="22" t="n">
        <f aca="false">IFERROR(INDEX('Semrush Data'!$A$1:$Z$20000,MATCH(V296,'Semrush Data'!$A$1:$A$20000,0),MATCH("Keyword Difficulty*",'Semrush Data'!$A$1:$Z$1,0)),"")</f>
        <v>22</v>
      </c>
      <c r="Y296" s="24" t="n">
        <f aca="false">IFERROR(INDEX('Semrush Data'!$A$1:$Z$20000,MATCH(V296,'Semrush Data'!$A$1:$A$20000,0),MATCH("CPC*",'Semrush Data'!$A$1:$Z$1,0)),"")</f>
        <v>0</v>
      </c>
      <c r="Z296" s="21" t="s">
        <v>3733</v>
      </c>
      <c r="AA296" s="21" t="s">
        <v>3734</v>
      </c>
      <c r="AB296" s="21" t="s">
        <v>3735</v>
      </c>
      <c r="AC296" s="21" t="s">
        <v>3736</v>
      </c>
      <c r="AD296" s="25" t="n">
        <f aca="false">LEN(AC296)</f>
        <v>57</v>
      </c>
      <c r="AE296" s="21" t="s">
        <v>3737</v>
      </c>
      <c r="AF296" s="25" t="n">
        <f aca="false">LEN(AE296)</f>
        <v>157</v>
      </c>
    </row>
    <row r="297" customFormat="false" ht="15" hidden="false" customHeight="true" outlineLevel="0" collapsed="false">
      <c r="A297" s="21" t="s">
        <v>3738</v>
      </c>
      <c r="B297" s="21" t="s">
        <v>2390</v>
      </c>
      <c r="C297" s="21" t="n">
        <v>137</v>
      </c>
      <c r="D297" s="21" t="s">
        <v>3679</v>
      </c>
      <c r="E297" s="21"/>
      <c r="F297" s="21" t="s">
        <v>2393</v>
      </c>
      <c r="G297" s="21" t="s">
        <v>2394</v>
      </c>
      <c r="H297" s="21" t="s">
        <v>2549</v>
      </c>
      <c r="I297" s="21" t="s">
        <v>3739</v>
      </c>
      <c r="J297" s="21" t="s">
        <v>1935</v>
      </c>
      <c r="K297" s="21" t="n">
        <v>45.99</v>
      </c>
      <c r="L297" s="21" t="s">
        <v>3740</v>
      </c>
      <c r="M297" s="21" t="s">
        <v>3741</v>
      </c>
      <c r="N297" s="21" t="s">
        <v>3742</v>
      </c>
      <c r="O297" s="21" t="s">
        <v>3743</v>
      </c>
      <c r="P297" s="21" t="s">
        <v>3744</v>
      </c>
      <c r="Q297" s="22" t="n">
        <f aca="false">IF(L297="","",IFERROR(INDEX('Semrush Data'!$A$1:$Z$20000,MATCH(L297,'Semrush Data'!$A$1:$A$20000,0),MATCH("Volume",'Semrush Data'!$A$1:$Z$1,0)),""))</f>
        <v>20</v>
      </c>
      <c r="R297" s="22" t="str">
        <f aca="false">IF(M297="","",IFERROR(INDEX('Semrush Data'!$A$1:$Z$20000,MATCH(M297,'Semrush Data'!$A$1:$A$20000,0),MATCH("Volume",'Semrush Data'!$A$1:$Z$1,0)),""))</f>
        <v/>
      </c>
      <c r="S297" s="22" t="str">
        <f aca="false">IF(N297="","",IFERROR(INDEX('Semrush Data'!$A$1:$Z$20000,MATCH(N297,'Semrush Data'!$A$1:$A$20000,0),MATCH("Volume",'Semrush Data'!$A$1:$Z$1,0)),""))</f>
        <v/>
      </c>
      <c r="T297" s="22" t="str">
        <f aca="false">IF(O297="","",IFERROR(INDEX('Semrush Data'!$A$1:$Z$20000,MATCH(O297,'Semrush Data'!$A$1:$A$20000,0),MATCH("Volume",'Semrush Data'!$A$1:$Z$1,0)),""))</f>
        <v/>
      </c>
      <c r="U297" s="22" t="str">
        <f aca="false">IF(P297="","",IFERROR(INDEX('Semrush Data'!$A$1:$Z$20000,MATCH(P297,'Semrush Data'!$A$1:$A$20000,0),MATCH("Volume",'Semrush Data'!$A$1:$Z$1,0)),""))</f>
        <v/>
      </c>
      <c r="V297" s="23" t="str">
        <f aca="false">IF(COUNT(Q297:U297)=0,L297,IF(MAX(Q297:U297)=0,L297,INDEX(L297:P297,MATCH(MAX(Q297:U297),Q297:U297,0))))</f>
        <v>dunhill signature collection indian sandalwood</v>
      </c>
      <c r="W297" s="22" t="n">
        <f aca="false">IFERROR(INDEX('Semrush Data'!$A$1:$Z$20000,MATCH(V297,'Semrush Data'!$A$1:$A$20000,0),MATCH("Volume",'Semrush Data'!$A$1:$Z$1,0)),"")</f>
        <v>20</v>
      </c>
      <c r="X297" s="22" t="n">
        <f aca="false">IFERROR(INDEX('Semrush Data'!$A$1:$Z$20000,MATCH(V297,'Semrush Data'!$A$1:$A$20000,0),MATCH("Keyword Difficulty*",'Semrush Data'!$A$1:$Z$1,0)),"")</f>
        <v>16</v>
      </c>
      <c r="Y297" s="24" t="n">
        <f aca="false">IFERROR(INDEX('Semrush Data'!$A$1:$Z$20000,MATCH(V297,'Semrush Data'!$A$1:$A$20000,0),MATCH("CPC*",'Semrush Data'!$A$1:$Z$1,0)),"")</f>
        <v>0</v>
      </c>
      <c r="Z297" s="21" t="s">
        <v>3686</v>
      </c>
      <c r="AA297" s="21" t="s">
        <v>3745</v>
      </c>
      <c r="AB297" s="21" t="s">
        <v>3746</v>
      </c>
      <c r="AC297" s="21" t="s">
        <v>3747</v>
      </c>
      <c r="AD297" s="25" t="n">
        <f aca="false">LEN(AC297)</f>
        <v>60</v>
      </c>
      <c r="AE297" s="21" t="s">
        <v>3748</v>
      </c>
      <c r="AF297" s="25" t="n">
        <f aca="false">LEN(AE297)</f>
        <v>159</v>
      </c>
    </row>
    <row r="298" customFormat="false" ht="15" hidden="false" customHeight="true" outlineLevel="0" collapsed="false">
      <c r="A298" s="21" t="s">
        <v>3749</v>
      </c>
      <c r="B298" s="21" t="s">
        <v>2390</v>
      </c>
      <c r="C298" s="21" t="n">
        <v>138</v>
      </c>
      <c r="D298" s="21" t="s">
        <v>3679</v>
      </c>
      <c r="E298" s="21"/>
      <c r="F298" s="21" t="s">
        <v>2393</v>
      </c>
      <c r="G298" s="21" t="s">
        <v>2394</v>
      </c>
      <c r="H298" s="21" t="s">
        <v>2549</v>
      </c>
      <c r="I298" s="21" t="s">
        <v>3750</v>
      </c>
      <c r="J298" s="21" t="s">
        <v>1935</v>
      </c>
      <c r="K298" s="21" t="n">
        <v>45.99</v>
      </c>
      <c r="L298" s="21" t="s">
        <v>3751</v>
      </c>
      <c r="M298" s="21" t="s">
        <v>3752</v>
      </c>
      <c r="N298" s="21" t="s">
        <v>3753</v>
      </c>
      <c r="O298" s="21" t="s">
        <v>3754</v>
      </c>
      <c r="P298" s="21" t="s">
        <v>3755</v>
      </c>
      <c r="Q298" s="22" t="n">
        <f aca="false">IF(L298="","",IFERROR(INDEX('Semrush Data'!$A$1:$Z$20000,MATCH(L298,'Semrush Data'!$A$1:$A$20000,0),MATCH("Volume",'Semrush Data'!$A$1:$Z$1,0)),""))</f>
        <v>20</v>
      </c>
      <c r="R298" s="22" t="str">
        <f aca="false">IF(M298="","",IFERROR(INDEX('Semrush Data'!$A$1:$Z$20000,MATCH(M298,'Semrush Data'!$A$1:$A$20000,0),MATCH("Volume",'Semrush Data'!$A$1:$Z$1,0)),""))</f>
        <v/>
      </c>
      <c r="S298" s="22" t="str">
        <f aca="false">IF(N298="","",IFERROR(INDEX('Semrush Data'!$A$1:$Z$20000,MATCH(N298,'Semrush Data'!$A$1:$A$20000,0),MATCH("Volume",'Semrush Data'!$A$1:$Z$1,0)),""))</f>
        <v/>
      </c>
      <c r="T298" s="22" t="str">
        <f aca="false">IF(O298="","",IFERROR(INDEX('Semrush Data'!$A$1:$Z$20000,MATCH(O298,'Semrush Data'!$A$1:$A$20000,0),MATCH("Volume",'Semrush Data'!$A$1:$Z$1,0)),""))</f>
        <v/>
      </c>
      <c r="U298" s="22" t="str">
        <f aca="false">IF(P298="","",IFERROR(INDEX('Semrush Data'!$A$1:$Z$20000,MATCH(P298,'Semrush Data'!$A$1:$A$20000,0),MATCH("Volume",'Semrush Data'!$A$1:$Z$1,0)),""))</f>
        <v/>
      </c>
      <c r="V298" s="23" t="str">
        <f aca="false">IF(COUNT(Q298:U298)=0,L298,IF(MAX(Q298:U298)=0,L298,INDEX(L298:P298,MATCH(MAX(Q298:U298),Q298:U298,0))))</f>
        <v>dunhill signature collection mongolian cashmere</v>
      </c>
      <c r="W298" s="22" t="n">
        <f aca="false">IFERROR(INDEX('Semrush Data'!$A$1:$Z$20000,MATCH(V298,'Semrush Data'!$A$1:$A$20000,0),MATCH("Volume",'Semrush Data'!$A$1:$Z$1,0)),"")</f>
        <v>20</v>
      </c>
      <c r="X298" s="22" t="n">
        <f aca="false">IFERROR(INDEX('Semrush Data'!$A$1:$Z$20000,MATCH(V298,'Semrush Data'!$A$1:$A$20000,0),MATCH("Keyword Difficulty*",'Semrush Data'!$A$1:$Z$1,0)),"")</f>
        <v>14</v>
      </c>
      <c r="Y298" s="24" t="n">
        <f aca="false">IFERROR(INDEX('Semrush Data'!$A$1:$Z$20000,MATCH(V298,'Semrush Data'!$A$1:$A$20000,0),MATCH("CPC*",'Semrush Data'!$A$1:$Z$1,0)),"")</f>
        <v>0</v>
      </c>
      <c r="Z298" s="21" t="s">
        <v>3686</v>
      </c>
      <c r="AA298" s="21" t="s">
        <v>3756</v>
      </c>
      <c r="AB298" s="21" t="s">
        <v>3757</v>
      </c>
      <c r="AC298" s="21" t="s">
        <v>3758</v>
      </c>
      <c r="AD298" s="25" t="n">
        <f aca="false">LEN(AC298)</f>
        <v>52</v>
      </c>
      <c r="AE298" s="21" t="s">
        <v>3759</v>
      </c>
      <c r="AF298" s="25" t="n">
        <f aca="false">LEN(AE298)</f>
        <v>160</v>
      </c>
    </row>
    <row r="299" customFormat="false" ht="15" hidden="false" customHeight="true" outlineLevel="0" collapsed="false">
      <c r="A299" s="21" t="s">
        <v>3760</v>
      </c>
      <c r="B299" s="21" t="s">
        <v>2390</v>
      </c>
      <c r="C299" s="21" t="n">
        <v>139</v>
      </c>
      <c r="D299" s="21" t="s">
        <v>3679</v>
      </c>
      <c r="E299" s="21"/>
      <c r="F299" s="21" t="s">
        <v>2393</v>
      </c>
      <c r="G299" s="21" t="s">
        <v>2394</v>
      </c>
      <c r="H299" s="21" t="s">
        <v>2975</v>
      </c>
      <c r="I299" s="21" t="s">
        <v>3761</v>
      </c>
      <c r="J299" s="21" t="s">
        <v>1935</v>
      </c>
      <c r="K299" s="21" t="n">
        <v>45.99</v>
      </c>
      <c r="L299" s="21" t="s">
        <v>3762</v>
      </c>
      <c r="M299" s="21" t="s">
        <v>3763</v>
      </c>
      <c r="N299" s="21" t="s">
        <v>3764</v>
      </c>
      <c r="O299" s="21" t="s">
        <v>3765</v>
      </c>
      <c r="P299" s="21" t="s">
        <v>3766</v>
      </c>
      <c r="Q299" s="22" t="n">
        <f aca="false">IF(L299="","",IFERROR(INDEX('Semrush Data'!$A$1:$Z$20000,MATCH(L299,'Semrush Data'!$A$1:$A$20000,0),MATCH("Volume",'Semrush Data'!$A$1:$Z$1,0)),""))</f>
        <v>20</v>
      </c>
      <c r="R299" s="22" t="str">
        <f aca="false">IF(M299="","",IFERROR(INDEX('Semrush Data'!$A$1:$Z$20000,MATCH(M299,'Semrush Data'!$A$1:$A$20000,0),MATCH("Volume",'Semrush Data'!$A$1:$Z$1,0)),""))</f>
        <v/>
      </c>
      <c r="S299" s="22" t="str">
        <f aca="false">IF(N299="","",IFERROR(INDEX('Semrush Data'!$A$1:$Z$20000,MATCH(N299,'Semrush Data'!$A$1:$A$20000,0),MATCH("Volume",'Semrush Data'!$A$1:$Z$1,0)),""))</f>
        <v/>
      </c>
      <c r="T299" s="22" t="str">
        <f aca="false">IF(O299="","",IFERROR(INDEX('Semrush Data'!$A$1:$Z$20000,MATCH(O299,'Semrush Data'!$A$1:$A$20000,0),MATCH("Volume",'Semrush Data'!$A$1:$Z$1,0)),""))</f>
        <v/>
      </c>
      <c r="U299" s="22" t="str">
        <f aca="false">IF(P299="","",IFERROR(INDEX('Semrush Data'!$A$1:$Z$20000,MATCH(P299,'Semrush Data'!$A$1:$A$20000,0),MATCH("Volume",'Semrush Data'!$A$1:$Z$1,0)),""))</f>
        <v/>
      </c>
      <c r="V299" s="23" t="str">
        <f aca="false">IF(COUNT(Q299:U299)=0,L299,IF(MAX(Q299:U299)=0,L299,INDEX(L299:P299,MATCH(MAX(Q299:U299),Q299:U299,0))))</f>
        <v>dunhill signature collection moroccan amber</v>
      </c>
      <c r="W299" s="22" t="n">
        <f aca="false">IFERROR(INDEX('Semrush Data'!$A$1:$Z$20000,MATCH(V299,'Semrush Data'!$A$1:$A$20000,0),MATCH("Volume",'Semrush Data'!$A$1:$Z$1,0)),"")</f>
        <v>20</v>
      </c>
      <c r="X299" s="22" t="n">
        <f aca="false">IFERROR(INDEX('Semrush Data'!$A$1:$Z$20000,MATCH(V299,'Semrush Data'!$A$1:$A$20000,0),MATCH("Keyword Difficulty*",'Semrush Data'!$A$1:$Z$1,0)),"")</f>
        <v>14</v>
      </c>
      <c r="Y299" s="24" t="n">
        <f aca="false">IFERROR(INDEX('Semrush Data'!$A$1:$Z$20000,MATCH(V299,'Semrush Data'!$A$1:$A$20000,0),MATCH("CPC*",'Semrush Data'!$A$1:$Z$1,0)),"")</f>
        <v>0</v>
      </c>
      <c r="Z299" s="21" t="s">
        <v>3733</v>
      </c>
      <c r="AA299" s="21" t="s">
        <v>3767</v>
      </c>
      <c r="AB299" s="21" t="s">
        <v>3768</v>
      </c>
      <c r="AC299" s="21" t="s">
        <v>3769</v>
      </c>
      <c r="AD299" s="25" t="n">
        <f aca="false">LEN(AC299)</f>
        <v>57</v>
      </c>
      <c r="AE299" s="21" t="s">
        <v>3770</v>
      </c>
      <c r="AF299" s="25" t="n">
        <f aca="false">LEN(AE299)</f>
        <v>157</v>
      </c>
    </row>
    <row r="300" customFormat="false" ht="15" hidden="false" customHeight="true" outlineLevel="0" collapsed="false">
      <c r="A300" s="21" t="s">
        <v>3771</v>
      </c>
      <c r="B300" s="21" t="s">
        <v>2390</v>
      </c>
      <c r="C300" s="21" t="n">
        <v>140</v>
      </c>
      <c r="D300" s="21" t="s">
        <v>3679</v>
      </c>
      <c r="E300" s="21"/>
      <c r="F300" s="21" t="s">
        <v>2393</v>
      </c>
      <c r="G300" s="21" t="s">
        <v>2394</v>
      </c>
      <c r="H300" s="21" t="s">
        <v>2549</v>
      </c>
      <c r="I300" s="21" t="s">
        <v>3772</v>
      </c>
      <c r="J300" s="21" t="s">
        <v>1935</v>
      </c>
      <c r="K300" s="21" t="n">
        <v>45.99</v>
      </c>
      <c r="L300" s="21" t="s">
        <v>3773</v>
      </c>
      <c r="M300" s="21" t="s">
        <v>3774</v>
      </c>
      <c r="N300" s="21" t="s">
        <v>3775</v>
      </c>
      <c r="O300" s="21" t="s">
        <v>3776</v>
      </c>
      <c r="P300" s="21" t="s">
        <v>3777</v>
      </c>
      <c r="Q300" s="22" t="n">
        <f aca="false">IF(L300="","",IFERROR(INDEX('Semrush Data'!$A$1:$Z$20000,MATCH(L300,'Semrush Data'!$A$1:$A$20000,0),MATCH("Volume",'Semrush Data'!$A$1:$Z$1,0)),""))</f>
        <v>20</v>
      </c>
      <c r="R300" s="22" t="str">
        <f aca="false">IF(M300="","",IFERROR(INDEX('Semrush Data'!$A$1:$Z$20000,MATCH(M300,'Semrush Data'!$A$1:$A$20000,0),MATCH("Volume",'Semrush Data'!$A$1:$Z$1,0)),""))</f>
        <v/>
      </c>
      <c r="S300" s="22" t="str">
        <f aca="false">IF(N300="","",IFERROR(INDEX('Semrush Data'!$A$1:$Z$20000,MATCH(N300,'Semrush Data'!$A$1:$A$20000,0),MATCH("Volume",'Semrush Data'!$A$1:$Z$1,0)),""))</f>
        <v/>
      </c>
      <c r="T300" s="22" t="str">
        <f aca="false">IF(O300="","",IFERROR(INDEX('Semrush Data'!$A$1:$Z$20000,MATCH(O300,'Semrush Data'!$A$1:$A$20000,0),MATCH("Volume",'Semrush Data'!$A$1:$Z$1,0)),""))</f>
        <v/>
      </c>
      <c r="U300" s="22" t="str">
        <f aca="false">IF(P300="","",IFERROR(INDEX('Semrush Data'!$A$1:$Z$20000,MATCH(P300,'Semrush Data'!$A$1:$A$20000,0),MATCH("Volume",'Semrush Data'!$A$1:$Z$1,0)),""))</f>
        <v/>
      </c>
      <c r="V300" s="23" t="str">
        <f aca="false">IF(COUNT(Q300:U300)=0,L300,IF(MAX(Q300:U300)=0,L300,INDEX(L300:P300,MATCH(MAX(Q300:U300),Q300:U300,0))))</f>
        <v>dunhill signature collection nordic fougere</v>
      </c>
      <c r="W300" s="22" t="n">
        <f aca="false">IFERROR(INDEX('Semrush Data'!$A$1:$Z$20000,MATCH(V300,'Semrush Data'!$A$1:$A$20000,0),MATCH("Volume",'Semrush Data'!$A$1:$Z$1,0)),"")</f>
        <v>20</v>
      </c>
      <c r="X300" s="22" t="n">
        <f aca="false">IFERROR(INDEX('Semrush Data'!$A$1:$Z$20000,MATCH(V300,'Semrush Data'!$A$1:$A$20000,0),MATCH("Keyword Difficulty*",'Semrush Data'!$A$1:$Z$1,0)),"")</f>
        <v>18</v>
      </c>
      <c r="Y300" s="24" t="n">
        <f aca="false">IFERROR(INDEX('Semrush Data'!$A$1:$Z$20000,MATCH(V300,'Semrush Data'!$A$1:$A$20000,0),MATCH("CPC*",'Semrush Data'!$A$1:$Z$1,0)),"")</f>
        <v>0</v>
      </c>
      <c r="Z300" s="21" t="s">
        <v>3686</v>
      </c>
      <c r="AA300" s="21" t="s">
        <v>3778</v>
      </c>
      <c r="AB300" s="21" t="s">
        <v>3779</v>
      </c>
      <c r="AC300" s="21" t="s">
        <v>3780</v>
      </c>
      <c r="AD300" s="25" t="n">
        <f aca="false">LEN(AC300)</f>
        <v>57</v>
      </c>
      <c r="AE300" s="21" t="s">
        <v>3781</v>
      </c>
      <c r="AF300" s="25" t="n">
        <f aca="false">LEN(AE300)</f>
        <v>156</v>
      </c>
    </row>
    <row r="301" customFormat="false" ht="15" hidden="false" customHeight="true" outlineLevel="0" collapsed="false">
      <c r="A301" s="21" t="s">
        <v>3782</v>
      </c>
      <c r="B301" s="21" t="s">
        <v>2390</v>
      </c>
      <c r="C301" s="21" t="n">
        <v>141</v>
      </c>
      <c r="D301" s="21" t="s">
        <v>3679</v>
      </c>
      <c r="E301" s="21"/>
      <c r="F301" s="21" t="s">
        <v>2393</v>
      </c>
      <c r="G301" s="21" t="s">
        <v>2394</v>
      </c>
      <c r="H301" s="21" t="s">
        <v>2873</v>
      </c>
      <c r="I301" s="21" t="s">
        <v>3783</v>
      </c>
      <c r="J301" s="21" t="s">
        <v>1935</v>
      </c>
      <c r="K301" s="21" t="n">
        <v>45.99</v>
      </c>
      <c r="L301" s="21" t="s">
        <v>3784</v>
      </c>
      <c r="M301" s="21" t="s">
        <v>3785</v>
      </c>
      <c r="N301" s="21" t="s">
        <v>3786</v>
      </c>
      <c r="O301" s="21" t="s">
        <v>3787</v>
      </c>
      <c r="P301" s="21" t="s">
        <v>3788</v>
      </c>
      <c r="Q301" s="22" t="n">
        <f aca="false">IF(L301="","",IFERROR(INDEX('Semrush Data'!$A$1:$Z$20000,MATCH(L301,'Semrush Data'!$A$1:$A$20000,0),MATCH("Volume",'Semrush Data'!$A$1:$Z$1,0)),""))</f>
        <v>20</v>
      </c>
      <c r="R301" s="22" t="str">
        <f aca="false">IF(M301="","",IFERROR(INDEX('Semrush Data'!$A$1:$Z$20000,MATCH(M301,'Semrush Data'!$A$1:$A$20000,0),MATCH("Volume",'Semrush Data'!$A$1:$Z$1,0)),""))</f>
        <v/>
      </c>
      <c r="S301" s="22" t="str">
        <f aca="false">IF(N301="","",IFERROR(INDEX('Semrush Data'!$A$1:$Z$20000,MATCH(N301,'Semrush Data'!$A$1:$A$20000,0),MATCH("Volume",'Semrush Data'!$A$1:$Z$1,0)),""))</f>
        <v/>
      </c>
      <c r="T301" s="22" t="str">
        <f aca="false">IF(O301="","",IFERROR(INDEX('Semrush Data'!$A$1:$Z$20000,MATCH(O301,'Semrush Data'!$A$1:$A$20000,0),MATCH("Volume",'Semrush Data'!$A$1:$Z$1,0)),""))</f>
        <v/>
      </c>
      <c r="U301" s="22" t="str">
        <f aca="false">IF(P301="","",IFERROR(INDEX('Semrush Data'!$A$1:$Z$20000,MATCH(P301,'Semrush Data'!$A$1:$A$20000,0),MATCH("Volume",'Semrush Data'!$A$1:$Z$1,0)),""))</f>
        <v/>
      </c>
      <c r="V301" s="23" t="str">
        <f aca="false">IF(COUNT(Q301:U301)=0,L301,IF(MAX(Q301:U301)=0,L301,INDEX(L301:P301,MATCH(MAX(Q301:U301),Q301:U301,0))))</f>
        <v>dunhill signature collection valensole lavender</v>
      </c>
      <c r="W301" s="22" t="n">
        <f aca="false">IFERROR(INDEX('Semrush Data'!$A$1:$Z$20000,MATCH(V301,'Semrush Data'!$A$1:$A$20000,0),MATCH("Volume",'Semrush Data'!$A$1:$Z$1,0)),"")</f>
        <v>20</v>
      </c>
      <c r="X301" s="22" t="n">
        <f aca="false">IFERROR(INDEX('Semrush Data'!$A$1:$Z$20000,MATCH(V301,'Semrush Data'!$A$1:$A$20000,0),MATCH("Keyword Difficulty*",'Semrush Data'!$A$1:$Z$1,0)),"")</f>
        <v>13</v>
      </c>
      <c r="Y301" s="24" t="n">
        <f aca="false">IFERROR(INDEX('Semrush Data'!$A$1:$Z$20000,MATCH(V301,'Semrush Data'!$A$1:$A$20000,0),MATCH("CPC*",'Semrush Data'!$A$1:$Z$1,0)),"")</f>
        <v>0</v>
      </c>
      <c r="Z301" s="21" t="s">
        <v>3789</v>
      </c>
      <c r="AA301" s="21" t="s">
        <v>3790</v>
      </c>
      <c r="AB301" s="21" t="s">
        <v>3791</v>
      </c>
      <c r="AC301" s="21" t="s">
        <v>3792</v>
      </c>
      <c r="AD301" s="25" t="n">
        <f aca="false">LEN(AC301)</f>
        <v>52</v>
      </c>
      <c r="AE301" s="21" t="s">
        <v>3793</v>
      </c>
      <c r="AF301" s="25" t="n">
        <f aca="false">LEN(AE301)</f>
        <v>157</v>
      </c>
    </row>
    <row r="302" customFormat="false" ht="15" hidden="false" customHeight="true" outlineLevel="0" collapsed="false">
      <c r="A302" s="21" t="s">
        <v>3794</v>
      </c>
      <c r="B302" s="21" t="s">
        <v>2390</v>
      </c>
      <c r="C302" s="21" t="n">
        <v>142</v>
      </c>
      <c r="D302" s="21" t="s">
        <v>3679</v>
      </c>
      <c r="E302" s="21"/>
      <c r="F302" s="21" t="s">
        <v>2393</v>
      </c>
      <c r="G302" s="21" t="s">
        <v>2759</v>
      </c>
      <c r="H302" s="21" t="s">
        <v>2549</v>
      </c>
      <c r="I302" s="21" t="s">
        <v>3795</v>
      </c>
      <c r="J302" s="21" t="s">
        <v>1935</v>
      </c>
      <c r="K302" s="21" t="n">
        <v>28.99</v>
      </c>
      <c r="L302" s="21" t="s">
        <v>3796</v>
      </c>
      <c r="M302" s="21" t="s">
        <v>3797</v>
      </c>
      <c r="N302" s="21" t="s">
        <v>3798</v>
      </c>
      <c r="O302" s="21" t="s">
        <v>3799</v>
      </c>
      <c r="P302" s="21" t="s">
        <v>3800</v>
      </c>
      <c r="Q302" s="22" t="n">
        <f aca="false">IF(L302="","",IFERROR(INDEX('Semrush Data'!$A$1:$Z$20000,MATCH(L302,'Semrush Data'!$A$1:$A$20000,0),MATCH("Volume",'Semrush Data'!$A$1:$Z$1,0)),""))</f>
        <v>40</v>
      </c>
      <c r="R302" s="22" t="str">
        <f aca="false">IF(M302="","",IFERROR(INDEX('Semrush Data'!$A$1:$Z$20000,MATCH(M302,'Semrush Data'!$A$1:$A$20000,0),MATCH("Volume",'Semrush Data'!$A$1:$Z$1,0)),""))</f>
        <v/>
      </c>
      <c r="S302" s="22" t="str">
        <f aca="false">IF(N302="","",IFERROR(INDEX('Semrush Data'!$A$1:$Z$20000,MATCH(N302,'Semrush Data'!$A$1:$A$20000,0),MATCH("Volume",'Semrush Data'!$A$1:$Z$1,0)),""))</f>
        <v/>
      </c>
      <c r="T302" s="22" t="str">
        <f aca="false">IF(O302="","",IFERROR(INDEX('Semrush Data'!$A$1:$Z$20000,MATCH(O302,'Semrush Data'!$A$1:$A$20000,0),MATCH("Volume",'Semrush Data'!$A$1:$Z$1,0)),""))</f>
        <v/>
      </c>
      <c r="U302" s="22" t="str">
        <f aca="false">IF(P302="","",IFERROR(INDEX('Semrush Data'!$A$1:$Z$20000,MATCH(P302,'Semrush Data'!$A$1:$A$20000,0),MATCH("Volume",'Semrush Data'!$A$1:$Z$1,0)),""))</f>
        <v/>
      </c>
      <c r="V302" s="23" t="str">
        <f aca="false">IF(COUNT(Q302:U302)=0,L302,IF(MAX(Q302:U302)=0,L302,INDEX(L302:P302,MATCH(MAX(Q302:U302),Q302:U302,0))))</f>
        <v>dunhill desire black</v>
      </c>
      <c r="W302" s="22" t="n">
        <f aca="false">IFERROR(INDEX('Semrush Data'!$A$1:$Z$20000,MATCH(V302,'Semrush Data'!$A$1:$A$20000,0),MATCH("Volume",'Semrush Data'!$A$1:$Z$1,0)),"")</f>
        <v>40</v>
      </c>
      <c r="X302" s="22" t="n">
        <f aca="false">IFERROR(INDEX('Semrush Data'!$A$1:$Z$20000,MATCH(V302,'Semrush Data'!$A$1:$A$20000,0),MATCH("Keyword Difficulty*",'Semrush Data'!$A$1:$Z$1,0)),"")</f>
        <v>9</v>
      </c>
      <c r="Y302" s="24" t="n">
        <f aca="false">IFERROR(INDEX('Semrush Data'!$A$1:$Z$20000,MATCH(V302,'Semrush Data'!$A$1:$A$20000,0),MATCH("CPC*",'Semrush Data'!$A$1:$Z$1,0)),"")</f>
        <v>0</v>
      </c>
      <c r="Z302" s="21" t="s">
        <v>3686</v>
      </c>
      <c r="AA302" s="21" t="s">
        <v>3801</v>
      </c>
      <c r="AB302" s="21" t="s">
        <v>3802</v>
      </c>
      <c r="AC302" s="21" t="s">
        <v>3803</v>
      </c>
      <c r="AD302" s="25" t="n">
        <f aca="false">LEN(AC302)</f>
        <v>57</v>
      </c>
      <c r="AE302" s="21" t="s">
        <v>3804</v>
      </c>
      <c r="AF302" s="25" t="n">
        <f aca="false">LEN(AE302)</f>
        <v>157</v>
      </c>
    </row>
    <row r="303" customFormat="false" ht="15" hidden="false" customHeight="true" outlineLevel="0" collapsed="false">
      <c r="A303" s="21" t="s">
        <v>3805</v>
      </c>
      <c r="B303" s="21" t="s">
        <v>2390</v>
      </c>
      <c r="C303" s="21" t="n">
        <v>143</v>
      </c>
      <c r="D303" s="21" t="s">
        <v>3679</v>
      </c>
      <c r="E303" s="21"/>
      <c r="F303" s="21" t="s">
        <v>2393</v>
      </c>
      <c r="G303" s="21" t="s">
        <v>2759</v>
      </c>
      <c r="H303" s="21" t="s">
        <v>2832</v>
      </c>
      <c r="I303" s="21" t="s">
        <v>3806</v>
      </c>
      <c r="J303" s="21" t="s">
        <v>1935</v>
      </c>
      <c r="K303" s="21" t="n">
        <v>28.99</v>
      </c>
      <c r="L303" s="21" t="s">
        <v>3807</v>
      </c>
      <c r="M303" s="21" t="s">
        <v>3808</v>
      </c>
      <c r="N303" s="21" t="s">
        <v>3809</v>
      </c>
      <c r="O303" s="21" t="s">
        <v>3810</v>
      </c>
      <c r="P303" s="21" t="s">
        <v>3811</v>
      </c>
      <c r="Q303" s="22" t="n">
        <f aca="false">IF(L303="","",IFERROR(INDEX('Semrush Data'!$A$1:$Z$20000,MATCH(L303,'Semrush Data'!$A$1:$A$20000,0),MATCH("Volume",'Semrush Data'!$A$1:$Z$1,0)),""))</f>
        <v>140</v>
      </c>
      <c r="R303" s="22" t="n">
        <f aca="false">IF(M303="","",IFERROR(INDEX('Semrush Data'!$A$1:$Z$20000,MATCH(M303,'Semrush Data'!$A$1:$A$20000,0),MATCH("Volume",'Semrush Data'!$A$1:$Z$1,0)),""))</f>
        <v>20</v>
      </c>
      <c r="S303" s="22" t="str">
        <f aca="false">IF(N303="","",IFERROR(INDEX('Semrush Data'!$A$1:$Z$20000,MATCH(N303,'Semrush Data'!$A$1:$A$20000,0),MATCH("Volume",'Semrush Data'!$A$1:$Z$1,0)),""))</f>
        <v/>
      </c>
      <c r="T303" s="22" t="str">
        <f aca="false">IF(O303="","",IFERROR(INDEX('Semrush Data'!$A$1:$Z$20000,MATCH(O303,'Semrush Data'!$A$1:$A$20000,0),MATCH("Volume",'Semrush Data'!$A$1:$Z$1,0)),""))</f>
        <v/>
      </c>
      <c r="U303" s="22" t="n">
        <f aca="false">IF(P303="","",IFERROR(INDEX('Semrush Data'!$A$1:$Z$20000,MATCH(P303,'Semrush Data'!$A$1:$A$20000,0),MATCH("Volume",'Semrush Data'!$A$1:$Z$1,0)),""))</f>
        <v>20</v>
      </c>
      <c r="V303" s="23" t="str">
        <f aca="false">IF(COUNT(Q303:U303)=0,L303,IF(MAX(Q303:U303)=0,L303,INDEX(L303:P303,MATCH(MAX(Q303:U303),Q303:U303,0))))</f>
        <v>dunhill desire blue</v>
      </c>
      <c r="W303" s="22" t="n">
        <f aca="false">IFERROR(INDEX('Semrush Data'!$A$1:$Z$20000,MATCH(V303,'Semrush Data'!$A$1:$A$20000,0),MATCH("Volume",'Semrush Data'!$A$1:$Z$1,0)),"")</f>
        <v>140</v>
      </c>
      <c r="X303" s="22" t="n">
        <f aca="false">IFERROR(INDEX('Semrush Data'!$A$1:$Z$20000,MATCH(V303,'Semrush Data'!$A$1:$A$20000,0),MATCH("Keyword Difficulty*",'Semrush Data'!$A$1:$Z$1,0)),"")</f>
        <v>19</v>
      </c>
      <c r="Y303" s="24" t="n">
        <f aca="false">IFERROR(INDEX('Semrush Data'!$A$1:$Z$20000,MATCH(V303,'Semrush Data'!$A$1:$A$20000,0),MATCH("CPC*",'Semrush Data'!$A$1:$Z$1,0)),"")</f>
        <v>0.34</v>
      </c>
      <c r="Z303" s="21" t="s">
        <v>3812</v>
      </c>
      <c r="AA303" s="21" t="s">
        <v>3813</v>
      </c>
      <c r="AB303" s="21" t="s">
        <v>3814</v>
      </c>
      <c r="AC303" s="21" t="s">
        <v>3815</v>
      </c>
      <c r="AD303" s="25" t="n">
        <f aca="false">LEN(AC303)</f>
        <v>56</v>
      </c>
      <c r="AE303" s="21" t="s">
        <v>3816</v>
      </c>
      <c r="AF303" s="25" t="n">
        <f aca="false">LEN(AE303)</f>
        <v>156</v>
      </c>
    </row>
    <row r="304" customFormat="false" ht="15" hidden="false" customHeight="true" outlineLevel="0" collapsed="false">
      <c r="A304" s="21" t="s">
        <v>3817</v>
      </c>
      <c r="B304" s="21" t="s">
        <v>2390</v>
      </c>
      <c r="C304" s="21" t="n">
        <v>144</v>
      </c>
      <c r="D304" s="21" t="s">
        <v>3679</v>
      </c>
      <c r="E304" s="21"/>
      <c r="F304" s="21" t="s">
        <v>2393</v>
      </c>
      <c r="G304" s="21" t="s">
        <v>2759</v>
      </c>
      <c r="H304" s="21" t="s">
        <v>2549</v>
      </c>
      <c r="I304" s="21" t="s">
        <v>3818</v>
      </c>
      <c r="J304" s="21" t="s">
        <v>1935</v>
      </c>
      <c r="K304" s="21" t="n">
        <v>28.99</v>
      </c>
      <c r="L304" s="21" t="s">
        <v>3819</v>
      </c>
      <c r="M304" s="21" t="s">
        <v>3820</v>
      </c>
      <c r="N304" s="21" t="s">
        <v>3821</v>
      </c>
      <c r="O304" s="21" t="s">
        <v>3822</v>
      </c>
      <c r="P304" s="21" t="s">
        <v>3823</v>
      </c>
      <c r="Q304" s="22" t="n">
        <f aca="false">IF(L304="","",IFERROR(INDEX('Semrush Data'!$A$1:$Z$20000,MATCH(L304,'Semrush Data'!$A$1:$A$20000,0),MATCH("Volume",'Semrush Data'!$A$1:$Z$1,0)),""))</f>
        <v>20</v>
      </c>
      <c r="R304" s="22" t="str">
        <f aca="false">IF(M304="","",IFERROR(INDEX('Semrush Data'!$A$1:$Z$20000,MATCH(M304,'Semrush Data'!$A$1:$A$20000,0),MATCH("Volume",'Semrush Data'!$A$1:$Z$1,0)),""))</f>
        <v/>
      </c>
      <c r="S304" s="22" t="str">
        <f aca="false">IF(N304="","",IFERROR(INDEX('Semrush Data'!$A$1:$Z$20000,MATCH(N304,'Semrush Data'!$A$1:$A$20000,0),MATCH("Volume",'Semrush Data'!$A$1:$Z$1,0)),""))</f>
        <v/>
      </c>
      <c r="T304" s="22" t="str">
        <f aca="false">IF(O304="","",IFERROR(INDEX('Semrush Data'!$A$1:$Z$20000,MATCH(O304,'Semrush Data'!$A$1:$A$20000,0),MATCH("Volume",'Semrush Data'!$A$1:$Z$1,0)),""))</f>
        <v/>
      </c>
      <c r="U304" s="22" t="str">
        <f aca="false">IF(P304="","",IFERROR(INDEX('Semrush Data'!$A$1:$Z$20000,MATCH(P304,'Semrush Data'!$A$1:$A$20000,0),MATCH("Volume",'Semrush Data'!$A$1:$Z$1,0)),""))</f>
        <v/>
      </c>
      <c r="V304" s="23" t="str">
        <f aca="false">IF(COUNT(Q304:U304)=0,L304,IF(MAX(Q304:U304)=0,L304,INDEX(L304:P304,MATCH(MAX(Q304:U304),Q304:U304,0))))</f>
        <v>dunhill desire gold</v>
      </c>
      <c r="W304" s="22" t="n">
        <f aca="false">IFERROR(INDEX('Semrush Data'!$A$1:$Z$20000,MATCH(V304,'Semrush Data'!$A$1:$A$20000,0),MATCH("Volume",'Semrush Data'!$A$1:$Z$1,0)),"")</f>
        <v>20</v>
      </c>
      <c r="X304" s="22" t="n">
        <f aca="false">IFERROR(INDEX('Semrush Data'!$A$1:$Z$20000,MATCH(V304,'Semrush Data'!$A$1:$A$20000,0),MATCH("Keyword Difficulty*",'Semrush Data'!$A$1:$Z$1,0)),"")</f>
        <v>17</v>
      </c>
      <c r="Y304" s="24" t="n">
        <f aca="false">IFERROR(INDEX('Semrush Data'!$A$1:$Z$20000,MATCH(V304,'Semrush Data'!$A$1:$A$20000,0),MATCH("CPC*",'Semrush Data'!$A$1:$Z$1,0)),"")</f>
        <v>0</v>
      </c>
      <c r="Z304" s="21" t="s">
        <v>3686</v>
      </c>
      <c r="AA304" s="21" t="s">
        <v>3824</v>
      </c>
      <c r="AB304" s="21" t="s">
        <v>3825</v>
      </c>
      <c r="AC304" s="21" t="s">
        <v>3826</v>
      </c>
      <c r="AD304" s="25" t="n">
        <f aca="false">LEN(AC304)</f>
        <v>56</v>
      </c>
      <c r="AE304" s="21" t="s">
        <v>3827</v>
      </c>
      <c r="AF304" s="25" t="n">
        <f aca="false">LEN(AE304)</f>
        <v>156</v>
      </c>
    </row>
    <row r="305" customFormat="false" ht="15" hidden="false" customHeight="true" outlineLevel="0" collapsed="false">
      <c r="A305" s="21" t="s">
        <v>3828</v>
      </c>
      <c r="B305" s="21" t="s">
        <v>2390</v>
      </c>
      <c r="C305" s="21" t="n">
        <v>145</v>
      </c>
      <c r="D305" s="21" t="s">
        <v>3679</v>
      </c>
      <c r="E305" s="21"/>
      <c r="F305" s="21" t="s">
        <v>2393</v>
      </c>
      <c r="G305" s="21" t="s">
        <v>2759</v>
      </c>
      <c r="H305" s="21" t="s">
        <v>2549</v>
      </c>
      <c r="I305" s="21" t="s">
        <v>3829</v>
      </c>
      <c r="J305" s="21" t="s">
        <v>1935</v>
      </c>
      <c r="K305" s="21" t="n">
        <v>28.99</v>
      </c>
      <c r="L305" s="21" t="s">
        <v>3830</v>
      </c>
      <c r="M305" s="21" t="s">
        <v>3831</v>
      </c>
      <c r="N305" s="21" t="s">
        <v>3832</v>
      </c>
      <c r="O305" s="21" t="s">
        <v>3833</v>
      </c>
      <c r="P305" s="21" t="s">
        <v>3834</v>
      </c>
      <c r="Q305" s="22" t="n">
        <f aca="false">IF(L305="","",IFERROR(INDEX('Semrush Data'!$A$1:$Z$20000,MATCH(L305,'Semrush Data'!$A$1:$A$20000,0),MATCH("Volume",'Semrush Data'!$A$1:$Z$1,0)),""))</f>
        <v>20</v>
      </c>
      <c r="R305" s="22" t="str">
        <f aca="false">IF(M305="","",IFERROR(INDEX('Semrush Data'!$A$1:$Z$20000,MATCH(M305,'Semrush Data'!$A$1:$A$20000,0),MATCH("Volume",'Semrush Data'!$A$1:$Z$1,0)),""))</f>
        <v/>
      </c>
      <c r="S305" s="22" t="str">
        <f aca="false">IF(N305="","",IFERROR(INDEX('Semrush Data'!$A$1:$Z$20000,MATCH(N305,'Semrush Data'!$A$1:$A$20000,0),MATCH("Volume",'Semrush Data'!$A$1:$Z$1,0)),""))</f>
        <v/>
      </c>
      <c r="T305" s="22" t="str">
        <f aca="false">IF(O305="","",IFERROR(INDEX('Semrush Data'!$A$1:$Z$20000,MATCH(O305,'Semrush Data'!$A$1:$A$20000,0),MATCH("Volume",'Semrush Data'!$A$1:$Z$1,0)),""))</f>
        <v/>
      </c>
      <c r="U305" s="22" t="str">
        <f aca="false">IF(P305="","",IFERROR(INDEX('Semrush Data'!$A$1:$Z$20000,MATCH(P305,'Semrush Data'!$A$1:$A$20000,0),MATCH("Volume",'Semrush Data'!$A$1:$Z$1,0)),""))</f>
        <v/>
      </c>
      <c r="V305" s="23" t="str">
        <f aca="false">IF(COUNT(Q305:U305)=0,L305,IF(MAX(Q305:U305)=0,L305,INDEX(L305:P305,MATCH(MAX(Q305:U305),Q305:U305,0))))</f>
        <v>dunhill desire silver</v>
      </c>
      <c r="W305" s="22" t="n">
        <f aca="false">IFERROR(INDEX('Semrush Data'!$A$1:$Z$20000,MATCH(V305,'Semrush Data'!$A$1:$A$20000,0),MATCH("Volume",'Semrush Data'!$A$1:$Z$1,0)),"")</f>
        <v>20</v>
      </c>
      <c r="X305" s="22" t="n">
        <f aca="false">IFERROR(INDEX('Semrush Data'!$A$1:$Z$20000,MATCH(V305,'Semrush Data'!$A$1:$A$20000,0),MATCH("Keyword Difficulty*",'Semrush Data'!$A$1:$Z$1,0)),"")</f>
        <v>17</v>
      </c>
      <c r="Y305" s="24" t="n">
        <f aca="false">IFERROR(INDEX('Semrush Data'!$A$1:$Z$20000,MATCH(V305,'Semrush Data'!$A$1:$A$20000,0),MATCH("CPC*",'Semrush Data'!$A$1:$Z$1,0)),"")</f>
        <v>0</v>
      </c>
      <c r="Z305" s="21" t="s">
        <v>3686</v>
      </c>
      <c r="AA305" s="21" t="s">
        <v>3835</v>
      </c>
      <c r="AB305" s="21" t="s">
        <v>3836</v>
      </c>
      <c r="AC305" s="21" t="s">
        <v>3837</v>
      </c>
      <c r="AD305" s="25" t="n">
        <f aca="false">LEN(AC305)</f>
        <v>58</v>
      </c>
      <c r="AE305" s="21" t="s">
        <v>3838</v>
      </c>
      <c r="AF305" s="25" t="n">
        <f aca="false">LEN(AE305)</f>
        <v>158</v>
      </c>
    </row>
    <row r="306" customFormat="false" ht="15" hidden="false" customHeight="true" outlineLevel="0" collapsed="false">
      <c r="A306" s="21" t="s">
        <v>120</v>
      </c>
      <c r="B306" s="21" t="s">
        <v>2390</v>
      </c>
      <c r="C306" s="21" t="n">
        <v>146</v>
      </c>
      <c r="D306" s="21" t="s">
        <v>3839</v>
      </c>
      <c r="E306" s="21"/>
      <c r="F306" s="21" t="s">
        <v>2393</v>
      </c>
      <c r="G306" s="21" t="s">
        <v>2394</v>
      </c>
      <c r="H306" s="21" t="s">
        <v>2395</v>
      </c>
      <c r="I306" s="21" t="s">
        <v>121</v>
      </c>
      <c r="J306" s="21" t="s">
        <v>1409</v>
      </c>
      <c r="K306" s="21" t="n">
        <v>31.99</v>
      </c>
      <c r="L306" s="21" t="s">
        <v>3840</v>
      </c>
      <c r="M306" s="21" t="s">
        <v>3841</v>
      </c>
      <c r="N306" s="21" t="s">
        <v>3842</v>
      </c>
      <c r="O306" s="21" t="s">
        <v>3843</v>
      </c>
      <c r="P306" s="21" t="s">
        <v>3844</v>
      </c>
      <c r="Q306" s="22" t="n">
        <f aca="false">IF(L306="","",IFERROR(INDEX('Semrush Data'!$A$1:$Z$20000,MATCH(L306,'Semrush Data'!$A$1:$A$20000,0),MATCH("Volume",'Semrush Data'!$A$1:$Z$1,0)),""))</f>
        <v>480</v>
      </c>
      <c r="R306" s="22" t="n">
        <f aca="false">IF(M306="","",IFERROR(INDEX('Semrush Data'!$A$1:$Z$20000,MATCH(M306,'Semrush Data'!$A$1:$A$20000,0),MATCH("Volume",'Semrush Data'!$A$1:$Z$1,0)),""))</f>
        <v>0</v>
      </c>
      <c r="S306" s="22" t="str">
        <f aca="false">IF(N306="","",IFERROR(INDEX('Semrush Data'!$A$1:$Z$20000,MATCH(N306,'Semrush Data'!$A$1:$A$20000,0),MATCH("Volume",'Semrush Data'!$A$1:$Z$1,0)),""))</f>
        <v/>
      </c>
      <c r="T306" s="22" t="str">
        <f aca="false">IF(O306="","",IFERROR(INDEX('Semrush Data'!$A$1:$Z$20000,MATCH(O306,'Semrush Data'!$A$1:$A$20000,0),MATCH("Volume",'Semrush Data'!$A$1:$Z$1,0)),""))</f>
        <v/>
      </c>
      <c r="U306" s="22" t="n">
        <f aca="false">IF(P306="","",IFERROR(INDEX('Semrush Data'!$A$1:$Z$20000,MATCH(P306,'Semrush Data'!$A$1:$A$20000,0),MATCH("Volume",'Semrush Data'!$A$1:$Z$1,0)),""))</f>
        <v>20</v>
      </c>
      <c r="V306" s="23" t="str">
        <f aca="false">IF(COUNT(Q306:U306)=0,L306,IF(MAX(Q306:U306)=0,L306,INDEX(L306:P306,MATCH(MAX(Q306:U306),Q306:U306,0))))</f>
        <v>elie saab elixir</v>
      </c>
      <c r="W306" s="22" t="n">
        <f aca="false">IFERROR(INDEX('Semrush Data'!$A$1:$Z$20000,MATCH(V306,'Semrush Data'!$A$1:$A$20000,0),MATCH("Volume",'Semrush Data'!$A$1:$Z$1,0)),"")</f>
        <v>480</v>
      </c>
      <c r="X306" s="22" t="n">
        <f aca="false">IFERROR(INDEX('Semrush Data'!$A$1:$Z$20000,MATCH(V306,'Semrush Data'!$A$1:$A$20000,0),MATCH("Keyword Difficulty*",'Semrush Data'!$A$1:$Z$1,0)),"")</f>
        <v>22</v>
      </c>
      <c r="Y306" s="24" t="n">
        <f aca="false">IFERROR(INDEX('Semrush Data'!$A$1:$Z$20000,MATCH(V306,'Semrush Data'!$A$1:$A$20000,0),MATCH("CPC*",'Semrush Data'!$A$1:$Z$1,0)),"")</f>
        <v>0.51</v>
      </c>
      <c r="Z306" s="21" t="s">
        <v>3845</v>
      </c>
      <c r="AA306" s="21" t="s">
        <v>3846</v>
      </c>
      <c r="AB306" s="21" t="s">
        <v>3847</v>
      </c>
      <c r="AC306" s="21" t="s">
        <v>3848</v>
      </c>
      <c r="AD306" s="25" t="n">
        <f aca="false">LEN(AC306)</f>
        <v>57</v>
      </c>
      <c r="AE306" s="21" t="s">
        <v>3849</v>
      </c>
      <c r="AF306" s="25" t="n">
        <f aca="false">LEN(AE306)</f>
        <v>151</v>
      </c>
    </row>
    <row r="307" customFormat="false" ht="15" hidden="false" customHeight="true" outlineLevel="0" collapsed="false">
      <c r="A307" s="21" t="s">
        <v>3850</v>
      </c>
      <c r="B307" s="21" t="s">
        <v>2390</v>
      </c>
      <c r="C307" s="21" t="n">
        <v>147</v>
      </c>
      <c r="D307" s="21" t="s">
        <v>3839</v>
      </c>
      <c r="E307" s="21"/>
      <c r="F307" s="21" t="s">
        <v>2393</v>
      </c>
      <c r="G307" s="21" t="s">
        <v>2394</v>
      </c>
      <c r="H307" s="21" t="s">
        <v>2468</v>
      </c>
      <c r="I307" s="21" t="s">
        <v>3851</v>
      </c>
      <c r="J307" s="21" t="s">
        <v>1935</v>
      </c>
      <c r="K307" s="21" t="n">
        <v>45.99</v>
      </c>
      <c r="L307" s="21" t="s">
        <v>3852</v>
      </c>
      <c r="M307" s="21" t="s">
        <v>3853</v>
      </c>
      <c r="N307" s="21" t="s">
        <v>3854</v>
      </c>
      <c r="O307" s="21" t="s">
        <v>3855</v>
      </c>
      <c r="P307" s="21" t="s">
        <v>3856</v>
      </c>
      <c r="Q307" s="22" t="n">
        <f aca="false">IF(L307="","",IFERROR(INDEX('Semrush Data'!$A$1:$Z$20000,MATCH(L307,'Semrush Data'!$A$1:$A$20000,0),MATCH("Volume",'Semrush Data'!$A$1:$Z$1,0)),""))</f>
        <v>0</v>
      </c>
      <c r="R307" s="22" t="str">
        <f aca="false">IF(M307="","",IFERROR(INDEX('Semrush Data'!$A$1:$Z$20000,MATCH(M307,'Semrush Data'!$A$1:$A$20000,0),MATCH("Volume",'Semrush Data'!$A$1:$Z$1,0)),""))</f>
        <v/>
      </c>
      <c r="S307" s="22" t="str">
        <f aca="false">IF(N307="","",IFERROR(INDEX('Semrush Data'!$A$1:$Z$20000,MATCH(N307,'Semrush Data'!$A$1:$A$20000,0),MATCH("Volume",'Semrush Data'!$A$1:$Z$1,0)),""))</f>
        <v/>
      </c>
      <c r="T307" s="22" t="str">
        <f aca="false">IF(O307="","",IFERROR(INDEX('Semrush Data'!$A$1:$Z$20000,MATCH(O307,'Semrush Data'!$A$1:$A$20000,0),MATCH("Volume",'Semrush Data'!$A$1:$Z$1,0)),""))</f>
        <v/>
      </c>
      <c r="U307" s="22" t="str">
        <f aca="false">IF(P307="","",IFERROR(INDEX('Semrush Data'!$A$1:$Z$20000,MATCH(P307,'Semrush Data'!$A$1:$A$20000,0),MATCH("Volume",'Semrush Data'!$A$1:$Z$1,0)),""))</f>
        <v/>
      </c>
      <c r="V307" s="23" t="str">
        <f aca="false">IF(COUNT(Q307:U307)=0,L307,IF(MAX(Q307:U307)=0,L307,INDEX(L307:P307,MATCH(MAX(Q307:U307),Q307:U307,0))))</f>
        <v>elie saab la collection des essences no. 1 rose</v>
      </c>
      <c r="W307" s="22" t="n">
        <f aca="false">IFERROR(INDEX('Semrush Data'!$A$1:$Z$20000,MATCH(V307,'Semrush Data'!$A$1:$A$20000,0),MATCH("Volume",'Semrush Data'!$A$1:$Z$1,0)),"")</f>
        <v>0</v>
      </c>
      <c r="X307" s="22" t="n">
        <f aca="false">IFERROR(INDEX('Semrush Data'!$A$1:$Z$20000,MATCH(V307,'Semrush Data'!$A$1:$A$20000,0),MATCH("Keyword Difficulty*",'Semrush Data'!$A$1:$Z$1,0)),"")</f>
        <v>12</v>
      </c>
      <c r="Y307" s="24" t="n">
        <f aca="false">IFERROR(INDEX('Semrush Data'!$A$1:$Z$20000,MATCH(V307,'Semrush Data'!$A$1:$A$20000,0),MATCH("CPC*",'Semrush Data'!$A$1:$Z$1,0)),"")</f>
        <v>0</v>
      </c>
      <c r="Z307" s="21" t="s">
        <v>3857</v>
      </c>
      <c r="AA307" s="21"/>
      <c r="AB307" s="21" t="s">
        <v>3858</v>
      </c>
      <c r="AC307" s="21" t="s">
        <v>3859</v>
      </c>
      <c r="AD307" s="25" t="n">
        <f aca="false">LEN(AC307)</f>
        <v>56</v>
      </c>
      <c r="AE307" s="21" t="s">
        <v>3860</v>
      </c>
      <c r="AF307" s="25" t="n">
        <f aca="false">LEN(AE307)</f>
        <v>160</v>
      </c>
    </row>
    <row r="308" customFormat="false" ht="15" hidden="false" customHeight="true" outlineLevel="0" collapsed="false">
      <c r="A308" s="21" t="s">
        <v>3861</v>
      </c>
      <c r="B308" s="21" t="s">
        <v>2390</v>
      </c>
      <c r="C308" s="21" t="n">
        <v>148</v>
      </c>
      <c r="D308" s="21" t="s">
        <v>3839</v>
      </c>
      <c r="E308" s="21"/>
      <c r="F308" s="21" t="s">
        <v>2393</v>
      </c>
      <c r="G308" s="21" t="s">
        <v>2394</v>
      </c>
      <c r="H308" s="21" t="s">
        <v>3862</v>
      </c>
      <c r="I308" s="21" t="s">
        <v>3863</v>
      </c>
      <c r="J308" s="21" t="s">
        <v>1935</v>
      </c>
      <c r="K308" s="21" t="n">
        <v>51.99</v>
      </c>
      <c r="L308" s="21" t="s">
        <v>3864</v>
      </c>
      <c r="M308" s="21" t="s">
        <v>3865</v>
      </c>
      <c r="N308" s="21" t="s">
        <v>3866</v>
      </c>
      <c r="O308" s="21" t="s">
        <v>3867</v>
      </c>
      <c r="P308" s="21" t="s">
        <v>3868</v>
      </c>
      <c r="Q308" s="22" t="n">
        <f aca="false">IF(L308="","",IFERROR(INDEX('Semrush Data'!$A$1:$Z$20000,MATCH(L308,'Semrush Data'!$A$1:$A$20000,0),MATCH("Volume",'Semrush Data'!$A$1:$Z$1,0)),""))</f>
        <v>0</v>
      </c>
      <c r="R308" s="22" t="str">
        <f aca="false">IF(M308="","",IFERROR(INDEX('Semrush Data'!$A$1:$Z$20000,MATCH(M308,'Semrush Data'!$A$1:$A$20000,0),MATCH("Volume",'Semrush Data'!$A$1:$Z$1,0)),""))</f>
        <v/>
      </c>
      <c r="S308" s="22" t="str">
        <f aca="false">IF(N308="","",IFERROR(INDEX('Semrush Data'!$A$1:$Z$20000,MATCH(N308,'Semrush Data'!$A$1:$A$20000,0),MATCH("Volume",'Semrush Data'!$A$1:$Z$1,0)),""))</f>
        <v/>
      </c>
      <c r="T308" s="22" t="str">
        <f aca="false">IF(O308="","",IFERROR(INDEX('Semrush Data'!$A$1:$Z$20000,MATCH(O308,'Semrush Data'!$A$1:$A$20000,0),MATCH("Volume",'Semrush Data'!$A$1:$Z$1,0)),""))</f>
        <v/>
      </c>
      <c r="U308" s="22" t="str">
        <f aca="false">IF(P308="","",IFERROR(INDEX('Semrush Data'!$A$1:$Z$20000,MATCH(P308,'Semrush Data'!$A$1:$A$20000,0),MATCH("Volume",'Semrush Data'!$A$1:$Z$1,0)),""))</f>
        <v/>
      </c>
      <c r="V308" s="23" t="str">
        <f aca="false">IF(COUNT(Q308:U308)=0,L308,IF(MAX(Q308:U308)=0,L308,INDEX(L308:P308,MATCH(MAX(Q308:U308),Q308:U308,0))))</f>
        <v>elie saab la collection des essences no. 4 oud</v>
      </c>
      <c r="W308" s="22" t="n">
        <f aca="false">IFERROR(INDEX('Semrush Data'!$A$1:$Z$20000,MATCH(V308,'Semrush Data'!$A$1:$A$20000,0),MATCH("Volume",'Semrush Data'!$A$1:$Z$1,0)),"")</f>
        <v>0</v>
      </c>
      <c r="X308" s="22" t="n">
        <f aca="false">IFERROR(INDEX('Semrush Data'!$A$1:$Z$20000,MATCH(V308,'Semrush Data'!$A$1:$A$20000,0),MATCH("Keyword Difficulty*",'Semrush Data'!$A$1:$Z$1,0)),"")</f>
        <v>17</v>
      </c>
      <c r="Y308" s="24" t="n">
        <f aca="false">IFERROR(INDEX('Semrush Data'!$A$1:$Z$20000,MATCH(V308,'Semrush Data'!$A$1:$A$20000,0),MATCH("CPC*",'Semrush Data'!$A$1:$Z$1,0)),"")</f>
        <v>0</v>
      </c>
      <c r="Z308" s="21" t="s">
        <v>3869</v>
      </c>
      <c r="AA308" s="21"/>
      <c r="AB308" s="21" t="s">
        <v>3870</v>
      </c>
      <c r="AC308" s="21" t="s">
        <v>3871</v>
      </c>
      <c r="AD308" s="25" t="n">
        <f aca="false">LEN(AC308)</f>
        <v>60</v>
      </c>
      <c r="AE308" s="21" t="s">
        <v>3872</v>
      </c>
      <c r="AF308" s="25" t="n">
        <f aca="false">LEN(AE308)</f>
        <v>159</v>
      </c>
    </row>
    <row r="309" customFormat="false" ht="15" hidden="false" customHeight="true" outlineLevel="0" collapsed="false">
      <c r="A309" s="21" t="s">
        <v>3873</v>
      </c>
      <c r="B309" s="21" t="s">
        <v>2390</v>
      </c>
      <c r="C309" s="21" t="n">
        <v>149</v>
      </c>
      <c r="D309" s="21" t="s">
        <v>3839</v>
      </c>
      <c r="E309" s="21"/>
      <c r="F309" s="21" t="s">
        <v>2393</v>
      </c>
      <c r="G309" s="21" t="s">
        <v>2394</v>
      </c>
      <c r="H309" s="21" t="s">
        <v>2395</v>
      </c>
      <c r="I309" s="21" t="s">
        <v>3874</v>
      </c>
      <c r="J309" s="21" t="s">
        <v>3001</v>
      </c>
      <c r="K309" s="21" t="n">
        <v>44.99</v>
      </c>
      <c r="L309" s="21" t="s">
        <v>3875</v>
      </c>
      <c r="M309" s="21" t="s">
        <v>3876</v>
      </c>
      <c r="N309" s="21" t="s">
        <v>3877</v>
      </c>
      <c r="O309" s="21" t="s">
        <v>3878</v>
      </c>
      <c r="P309" s="21" t="s">
        <v>3879</v>
      </c>
      <c r="Q309" s="22" t="n">
        <f aca="false">IF(L309="","",IFERROR(INDEX('Semrush Data'!$A$1:$Z$20000,MATCH(L309,'Semrush Data'!$A$1:$A$20000,0),MATCH("Volume",'Semrush Data'!$A$1:$Z$1,0)),""))</f>
        <v>40</v>
      </c>
      <c r="R309" s="22" t="str">
        <f aca="false">IF(M309="","",IFERROR(INDEX('Semrush Data'!$A$1:$Z$20000,MATCH(M309,'Semrush Data'!$A$1:$A$20000,0),MATCH("Volume",'Semrush Data'!$A$1:$Z$1,0)),""))</f>
        <v/>
      </c>
      <c r="S309" s="22" t="str">
        <f aca="false">IF(N309="","",IFERROR(INDEX('Semrush Data'!$A$1:$Z$20000,MATCH(N309,'Semrush Data'!$A$1:$A$20000,0),MATCH("Volume",'Semrush Data'!$A$1:$Z$1,0)),""))</f>
        <v/>
      </c>
      <c r="T309" s="22" t="str">
        <f aca="false">IF(O309="","",IFERROR(INDEX('Semrush Data'!$A$1:$Z$20000,MATCH(O309,'Semrush Data'!$A$1:$A$20000,0),MATCH("Volume",'Semrush Data'!$A$1:$Z$1,0)),""))</f>
        <v/>
      </c>
      <c r="U309" s="22" t="str">
        <f aca="false">IF(P309="","",IFERROR(INDEX('Semrush Data'!$A$1:$Z$20000,MATCH(P309,'Semrush Data'!$A$1:$A$20000,0),MATCH("Volume",'Semrush Data'!$A$1:$Z$1,0)),""))</f>
        <v/>
      </c>
      <c r="V309" s="23" t="str">
        <f aca="false">IF(COUNT(Q309:U309)=0,L309,IF(MAX(Q309:U309)=0,L309,INDEX(L309:P309,MATCH(MAX(Q309:U309),Q309:U309,0))))</f>
        <v>elie saab le parfum bridal</v>
      </c>
      <c r="W309" s="22" t="n">
        <f aca="false">IFERROR(INDEX('Semrush Data'!$A$1:$Z$20000,MATCH(V309,'Semrush Data'!$A$1:$A$20000,0),MATCH("Volume",'Semrush Data'!$A$1:$Z$1,0)),"")</f>
        <v>40</v>
      </c>
      <c r="X309" s="22" t="n">
        <f aca="false">IFERROR(INDEX('Semrush Data'!$A$1:$Z$20000,MATCH(V309,'Semrush Data'!$A$1:$A$20000,0),MATCH("Keyword Difficulty*",'Semrush Data'!$A$1:$Z$1,0)),"")</f>
        <v>19</v>
      </c>
      <c r="Y309" s="24" t="n">
        <f aca="false">IFERROR(INDEX('Semrush Data'!$A$1:$Z$20000,MATCH(V309,'Semrush Data'!$A$1:$A$20000,0),MATCH("CPC*",'Semrush Data'!$A$1:$Z$1,0)),"")</f>
        <v>0.52</v>
      </c>
      <c r="Z309" s="21" t="s">
        <v>3845</v>
      </c>
      <c r="AA309" s="21" t="s">
        <v>3880</v>
      </c>
      <c r="AB309" s="21" t="s">
        <v>3881</v>
      </c>
      <c r="AC309" s="21" t="s">
        <v>3882</v>
      </c>
      <c r="AD309" s="25" t="n">
        <f aca="false">LEN(AC309)</f>
        <v>55</v>
      </c>
      <c r="AE309" s="21" t="s">
        <v>3883</v>
      </c>
      <c r="AF309" s="25" t="n">
        <f aca="false">LEN(AE309)</f>
        <v>155</v>
      </c>
    </row>
    <row r="310" customFormat="false" ht="15" hidden="false" customHeight="true" outlineLevel="0" collapsed="false">
      <c r="A310" s="21" t="s">
        <v>3884</v>
      </c>
      <c r="B310" s="21" t="s">
        <v>2390</v>
      </c>
      <c r="C310" s="21" t="n">
        <v>150</v>
      </c>
      <c r="D310" s="21" t="s">
        <v>3839</v>
      </c>
      <c r="E310" s="21"/>
      <c r="F310" s="21" t="s">
        <v>2393</v>
      </c>
      <c r="G310" s="21" t="s">
        <v>2394</v>
      </c>
      <c r="H310" s="21" t="s">
        <v>2395</v>
      </c>
      <c r="I310" s="21" t="s">
        <v>3885</v>
      </c>
      <c r="J310" s="21" t="s">
        <v>1409</v>
      </c>
      <c r="K310" s="21" t="n">
        <v>45.99</v>
      </c>
      <c r="L310" s="21" t="s">
        <v>3886</v>
      </c>
      <c r="M310" s="21" t="s">
        <v>3887</v>
      </c>
      <c r="N310" s="21" t="s">
        <v>3888</v>
      </c>
      <c r="O310" s="21" t="s">
        <v>3889</v>
      </c>
      <c r="P310" s="21" t="s">
        <v>3890</v>
      </c>
      <c r="Q310" s="22" t="n">
        <f aca="false">IF(L310="","",IFERROR(INDEX('Semrush Data'!$A$1:$Z$20000,MATCH(L310,'Semrush Data'!$A$1:$A$20000,0),MATCH("Volume",'Semrush Data'!$A$1:$Z$1,0)),""))</f>
        <v>20</v>
      </c>
      <c r="R310" s="22" t="str">
        <f aca="false">IF(M310="","",IFERROR(INDEX('Semrush Data'!$A$1:$Z$20000,MATCH(M310,'Semrush Data'!$A$1:$A$20000,0),MATCH("Volume",'Semrush Data'!$A$1:$Z$1,0)),""))</f>
        <v/>
      </c>
      <c r="S310" s="22" t="str">
        <f aca="false">IF(N310="","",IFERROR(INDEX('Semrush Data'!$A$1:$Z$20000,MATCH(N310,'Semrush Data'!$A$1:$A$20000,0),MATCH("Volume",'Semrush Data'!$A$1:$Z$1,0)),""))</f>
        <v/>
      </c>
      <c r="T310" s="22" t="str">
        <f aca="false">IF(O310="","",IFERROR(INDEX('Semrush Data'!$A$1:$Z$20000,MATCH(O310,'Semrush Data'!$A$1:$A$20000,0),MATCH("Volume",'Semrush Data'!$A$1:$Z$1,0)),""))</f>
        <v/>
      </c>
      <c r="U310" s="22" t="str">
        <f aca="false">IF(P310="","",IFERROR(INDEX('Semrush Data'!$A$1:$Z$20000,MATCH(P310,'Semrush Data'!$A$1:$A$20000,0),MATCH("Volume",'Semrush Data'!$A$1:$Z$1,0)),""))</f>
        <v/>
      </c>
      <c r="V310" s="23" t="str">
        <f aca="false">IF(COUNT(Q310:U310)=0,L310,IF(MAX(Q310:U310)=0,L310,INDEX(L310:P310,MATCH(MAX(Q310:U310),Q310:U310,0))))</f>
        <v>elie saab le</v>
      </c>
      <c r="W310" s="22" t="n">
        <f aca="false">IFERROR(INDEX('Semrush Data'!$A$1:$Z$20000,MATCH(V310,'Semrush Data'!$A$1:$A$20000,0),MATCH("Volume",'Semrush Data'!$A$1:$Z$1,0)),"")</f>
        <v>20</v>
      </c>
      <c r="X310" s="22" t="n">
        <f aca="false">IFERROR(INDEX('Semrush Data'!$A$1:$Z$20000,MATCH(V310,'Semrush Data'!$A$1:$A$20000,0),MATCH("Keyword Difficulty*",'Semrush Data'!$A$1:$Z$1,0)),"")</f>
        <v>12</v>
      </c>
      <c r="Y310" s="24" t="n">
        <f aca="false">IFERROR(INDEX('Semrush Data'!$A$1:$Z$20000,MATCH(V310,'Semrush Data'!$A$1:$A$20000,0),MATCH("CPC*",'Semrush Data'!$A$1:$Z$1,0)),"")</f>
        <v>0</v>
      </c>
      <c r="Z310" s="21" t="s">
        <v>3845</v>
      </c>
      <c r="AA310" s="21" t="s">
        <v>3891</v>
      </c>
      <c r="AB310" s="21" t="s">
        <v>3892</v>
      </c>
      <c r="AC310" s="21" t="s">
        <v>3893</v>
      </c>
      <c r="AD310" s="25" t="n">
        <f aca="false">LEN(AC310)</f>
        <v>60</v>
      </c>
      <c r="AE310" s="21" t="s">
        <v>3894</v>
      </c>
      <c r="AF310" s="25" t="n">
        <f aca="false">LEN(AE310)</f>
        <v>154</v>
      </c>
    </row>
    <row r="311" customFormat="false" ht="15" hidden="false" customHeight="true" outlineLevel="0" collapsed="false">
      <c r="A311" s="21" t="s">
        <v>3895</v>
      </c>
      <c r="B311" s="21" t="s">
        <v>2390</v>
      </c>
      <c r="C311" s="21" t="n">
        <v>151</v>
      </c>
      <c r="D311" s="21" t="s">
        <v>3839</v>
      </c>
      <c r="E311" s="21"/>
      <c r="F311" s="21" t="s">
        <v>2393</v>
      </c>
      <c r="G311" s="21" t="s">
        <v>2394</v>
      </c>
      <c r="H311" s="21" t="s">
        <v>2395</v>
      </c>
      <c r="I311" s="21" t="s">
        <v>3896</v>
      </c>
      <c r="J311" s="21" t="s">
        <v>3001</v>
      </c>
      <c r="K311" s="21" t="n">
        <v>49.99</v>
      </c>
      <c r="L311" s="21" t="s">
        <v>3897</v>
      </c>
      <c r="M311" s="21" t="s">
        <v>3898</v>
      </c>
      <c r="N311" s="21" t="s">
        <v>3899</v>
      </c>
      <c r="O311" s="21" t="s">
        <v>3900</v>
      </c>
      <c r="P311" s="21" t="s">
        <v>3901</v>
      </c>
      <c r="Q311" s="22" t="n">
        <f aca="false">IF(L311="","",IFERROR(INDEX('Semrush Data'!$A$1:$Z$20000,MATCH(L311,'Semrush Data'!$A$1:$A$20000,0),MATCH("Volume",'Semrush Data'!$A$1:$Z$1,0)),""))</f>
        <v>30</v>
      </c>
      <c r="R311" s="22" t="str">
        <f aca="false">IF(M311="","",IFERROR(INDEX('Semrush Data'!$A$1:$Z$20000,MATCH(M311,'Semrush Data'!$A$1:$A$20000,0),MATCH("Volume",'Semrush Data'!$A$1:$Z$1,0)),""))</f>
        <v/>
      </c>
      <c r="S311" s="22" t="str">
        <f aca="false">IF(N311="","",IFERROR(INDEX('Semrush Data'!$A$1:$Z$20000,MATCH(N311,'Semrush Data'!$A$1:$A$20000,0),MATCH("Volume",'Semrush Data'!$A$1:$Z$1,0)),""))</f>
        <v/>
      </c>
      <c r="T311" s="22" t="str">
        <f aca="false">IF(O311="","",IFERROR(INDEX('Semrush Data'!$A$1:$Z$20000,MATCH(O311,'Semrush Data'!$A$1:$A$20000,0),MATCH("Volume",'Semrush Data'!$A$1:$Z$1,0)),""))</f>
        <v/>
      </c>
      <c r="U311" s="22" t="str">
        <f aca="false">IF(P311="","",IFERROR(INDEX('Semrush Data'!$A$1:$Z$20000,MATCH(P311,'Semrush Data'!$A$1:$A$20000,0),MATCH("Volume",'Semrush Data'!$A$1:$Z$1,0)),""))</f>
        <v/>
      </c>
      <c r="V311" s="23" t="str">
        <f aca="false">IF(COUNT(Q311:U311)=0,L311,IF(MAX(Q311:U311)=0,L311,INDEX(L311:P311,MATCH(MAX(Q311:U311),Q311:U311,0))))</f>
        <v>elie saab le parfum intense</v>
      </c>
      <c r="W311" s="22" t="n">
        <f aca="false">IFERROR(INDEX('Semrush Data'!$A$1:$Z$20000,MATCH(V311,'Semrush Data'!$A$1:$A$20000,0),MATCH("Volume",'Semrush Data'!$A$1:$Z$1,0)),"")</f>
        <v>30</v>
      </c>
      <c r="X311" s="22" t="n">
        <f aca="false">IFERROR(INDEX('Semrush Data'!$A$1:$Z$20000,MATCH(V311,'Semrush Data'!$A$1:$A$20000,0),MATCH("Keyword Difficulty*",'Semrush Data'!$A$1:$Z$1,0)),"")</f>
        <v>7</v>
      </c>
      <c r="Y311" s="24" t="n">
        <f aca="false">IFERROR(INDEX('Semrush Data'!$A$1:$Z$20000,MATCH(V311,'Semrush Data'!$A$1:$A$20000,0),MATCH("CPC*",'Semrush Data'!$A$1:$Z$1,0)),"")</f>
        <v>0</v>
      </c>
      <c r="Z311" s="21" t="s">
        <v>3845</v>
      </c>
      <c r="AA311" s="21" t="s">
        <v>3902</v>
      </c>
      <c r="AB311" s="21" t="s">
        <v>3903</v>
      </c>
      <c r="AC311" s="21" t="s">
        <v>3904</v>
      </c>
      <c r="AD311" s="25" t="n">
        <f aca="false">LEN(AC311)</f>
        <v>56</v>
      </c>
      <c r="AE311" s="21" t="s">
        <v>3905</v>
      </c>
      <c r="AF311" s="25" t="n">
        <f aca="false">LEN(AE311)</f>
        <v>156</v>
      </c>
    </row>
    <row r="312" customFormat="false" ht="15" hidden="false" customHeight="true" outlineLevel="0" collapsed="false">
      <c r="A312" s="21" t="s">
        <v>3906</v>
      </c>
      <c r="B312" s="21" t="s">
        <v>2390</v>
      </c>
      <c r="C312" s="21" t="n">
        <v>152</v>
      </c>
      <c r="D312" s="21" t="s">
        <v>3839</v>
      </c>
      <c r="E312" s="21"/>
      <c r="F312" s="21" t="s">
        <v>2393</v>
      </c>
      <c r="G312" s="21" t="s">
        <v>2394</v>
      </c>
      <c r="H312" s="21" t="s">
        <v>2395</v>
      </c>
      <c r="I312" s="21" t="s">
        <v>3907</v>
      </c>
      <c r="J312" s="21" t="s">
        <v>3001</v>
      </c>
      <c r="K312" s="21" t="n">
        <v>37.99</v>
      </c>
      <c r="L312" s="21" t="s">
        <v>3908</v>
      </c>
      <c r="M312" s="21" t="s">
        <v>3909</v>
      </c>
      <c r="N312" s="21" t="s">
        <v>3910</v>
      </c>
      <c r="O312" s="21" t="s">
        <v>3911</v>
      </c>
      <c r="P312" s="21" t="s">
        <v>3912</v>
      </c>
      <c r="Q312" s="22" t="n">
        <f aca="false">IF(L312="","",IFERROR(INDEX('Semrush Data'!$A$1:$Z$20000,MATCH(L312,'Semrush Data'!$A$1:$A$20000,0),MATCH("Volume",'Semrush Data'!$A$1:$Z$1,0)),""))</f>
        <v>50</v>
      </c>
      <c r="R312" s="22" t="n">
        <f aca="false">IF(M312="","",IFERROR(INDEX('Semrush Data'!$A$1:$Z$20000,MATCH(M312,'Semrush Data'!$A$1:$A$20000,0),MATCH("Volume",'Semrush Data'!$A$1:$Z$1,0)),""))</f>
        <v>20</v>
      </c>
      <c r="S312" s="22" t="str">
        <f aca="false">IF(N312="","",IFERROR(INDEX('Semrush Data'!$A$1:$Z$20000,MATCH(N312,'Semrush Data'!$A$1:$A$20000,0),MATCH("Volume",'Semrush Data'!$A$1:$Z$1,0)),""))</f>
        <v/>
      </c>
      <c r="T312" s="22" t="str">
        <f aca="false">IF(O312="","",IFERROR(INDEX('Semrush Data'!$A$1:$Z$20000,MATCH(O312,'Semrush Data'!$A$1:$A$20000,0),MATCH("Volume",'Semrush Data'!$A$1:$Z$1,0)),""))</f>
        <v/>
      </c>
      <c r="U312" s="22" t="n">
        <f aca="false">IF(P312="","",IFERROR(INDEX('Semrush Data'!$A$1:$Z$20000,MATCH(P312,'Semrush Data'!$A$1:$A$20000,0),MATCH("Volume",'Semrush Data'!$A$1:$Z$1,0)),""))</f>
        <v>20</v>
      </c>
      <c r="V312" s="23" t="str">
        <f aca="false">IF(COUNT(Q312:U312)=0,L312,IF(MAX(Q312:U312)=0,L312,INDEX(L312:P312,MATCH(MAX(Q312:U312),Q312:U312,0))))</f>
        <v>elie saab nuit noor</v>
      </c>
      <c r="W312" s="22" t="n">
        <f aca="false">IFERROR(INDEX('Semrush Data'!$A$1:$Z$20000,MATCH(V312,'Semrush Data'!$A$1:$A$20000,0),MATCH("Volume",'Semrush Data'!$A$1:$Z$1,0)),"")</f>
        <v>50</v>
      </c>
      <c r="X312" s="22" t="n">
        <f aca="false">IFERROR(INDEX('Semrush Data'!$A$1:$Z$20000,MATCH(V312,'Semrush Data'!$A$1:$A$20000,0),MATCH("Keyword Difficulty*",'Semrush Data'!$A$1:$Z$1,0)),"")</f>
        <v>9</v>
      </c>
      <c r="Y312" s="24" t="n">
        <f aca="false">IFERROR(INDEX('Semrush Data'!$A$1:$Z$20000,MATCH(V312,'Semrush Data'!$A$1:$A$20000,0),MATCH("CPC*",'Semrush Data'!$A$1:$Z$1,0)),"")</f>
        <v>0.48</v>
      </c>
      <c r="Z312" s="21" t="s">
        <v>3845</v>
      </c>
      <c r="AA312" s="21" t="s">
        <v>3913</v>
      </c>
      <c r="AB312" s="21" t="s">
        <v>3914</v>
      </c>
      <c r="AC312" s="21" t="s">
        <v>3915</v>
      </c>
      <c r="AD312" s="25" t="n">
        <f aca="false">LEN(AC312)</f>
        <v>60</v>
      </c>
      <c r="AE312" s="21" t="s">
        <v>3916</v>
      </c>
      <c r="AF312" s="25" t="n">
        <f aca="false">LEN(AE312)</f>
        <v>154</v>
      </c>
    </row>
    <row r="313" customFormat="false" ht="15" hidden="false" customHeight="true" outlineLevel="0" collapsed="false">
      <c r="A313" s="21" t="s">
        <v>3917</v>
      </c>
      <c r="B313" s="21" t="s">
        <v>2390</v>
      </c>
      <c r="C313" s="21" t="n">
        <v>153</v>
      </c>
      <c r="D313" s="21" t="s">
        <v>3839</v>
      </c>
      <c r="E313" s="21"/>
      <c r="F313" s="21" t="s">
        <v>1676</v>
      </c>
      <c r="G313" s="21" t="s">
        <v>2394</v>
      </c>
      <c r="H313" s="21" t="s">
        <v>2457</v>
      </c>
      <c r="I313" s="21" t="s">
        <v>3918</v>
      </c>
      <c r="J313" s="21" t="s">
        <v>1409</v>
      </c>
      <c r="K313" s="21" t="n">
        <v>38.99</v>
      </c>
      <c r="L313" s="21" t="s">
        <v>3919</v>
      </c>
      <c r="M313" s="21" t="s">
        <v>3920</v>
      </c>
      <c r="N313" s="21" t="s">
        <v>3921</v>
      </c>
      <c r="O313" s="21" t="s">
        <v>3922</v>
      </c>
      <c r="P313" s="21"/>
      <c r="Q313" s="22" t="n">
        <f aca="false">IF(L313="","",IFERROR(INDEX('Semrush Data'!$A$1:$Z$20000,MATCH(L313,'Semrush Data'!$A$1:$A$20000,0),MATCH("Volume",'Semrush Data'!$A$1:$Z$1,0)),""))</f>
        <v>0</v>
      </c>
      <c r="R313" s="22" t="str">
        <f aca="false">IF(M313="","",IFERROR(INDEX('Semrush Data'!$A$1:$Z$20000,MATCH(M313,'Semrush Data'!$A$1:$A$20000,0),MATCH("Volume",'Semrush Data'!$A$1:$Z$1,0)),""))</f>
        <v/>
      </c>
      <c r="S313" s="22" t="str">
        <f aca="false">IF(N313="","",IFERROR(INDEX('Semrush Data'!$A$1:$Z$20000,MATCH(N313,'Semrush Data'!$A$1:$A$20000,0),MATCH("Volume",'Semrush Data'!$A$1:$Z$1,0)),""))</f>
        <v/>
      </c>
      <c r="T313" s="22" t="str">
        <f aca="false">IF(O313="","",IFERROR(INDEX('Semrush Data'!$A$1:$Z$20000,MATCH(O313,'Semrush Data'!$A$1:$A$20000,0),MATCH("Volume",'Semrush Data'!$A$1:$Z$1,0)),""))</f>
        <v/>
      </c>
      <c r="U313" s="22" t="str">
        <f aca="false">IF(P313="","",IFERROR(INDEX('Semrush Data'!$A$1:$Z$20000,MATCH(P313,'Semrush Data'!$A$1:$A$20000,0),MATCH("Volume",'Semrush Data'!$A$1:$Z$1,0)),""))</f>
        <v/>
      </c>
      <c r="V313" s="23" t="str">
        <f aca="false">IF(COUNT(Q313:U313)=0,L313,IF(MAX(Q313:U313)=0,L313,INDEX(L313:P313,MATCH(MAX(Q313:U313),Q313:U313,0))))</f>
        <v>elie saab girl of now lovely gift set</v>
      </c>
      <c r="W313" s="22" t="n">
        <f aca="false">IFERROR(INDEX('Semrush Data'!$A$1:$Z$20000,MATCH(V313,'Semrush Data'!$A$1:$A$20000,0),MATCH("Volume",'Semrush Data'!$A$1:$Z$1,0)),"")</f>
        <v>0</v>
      </c>
      <c r="X313" s="22" t="n">
        <f aca="false">IFERROR(INDEX('Semrush Data'!$A$1:$Z$20000,MATCH(V313,'Semrush Data'!$A$1:$A$20000,0),MATCH("Keyword Difficulty*",'Semrush Data'!$A$1:$Z$1,0)),"")</f>
        <v>9</v>
      </c>
      <c r="Y313" s="24" t="n">
        <f aca="false">IFERROR(INDEX('Semrush Data'!$A$1:$Z$20000,MATCH(V313,'Semrush Data'!$A$1:$A$20000,0),MATCH("CPC*",'Semrush Data'!$A$1:$Z$1,0)),"")</f>
        <v>0</v>
      </c>
      <c r="Z313" s="21" t="s">
        <v>3923</v>
      </c>
      <c r="AA313" s="21" t="s">
        <v>3924</v>
      </c>
      <c r="AB313" s="21" t="s">
        <v>3925</v>
      </c>
      <c r="AC313" s="21" t="s">
        <v>3926</v>
      </c>
      <c r="AD313" s="25" t="n">
        <f aca="false">LEN(AC313)</f>
        <v>60</v>
      </c>
      <c r="AE313" s="21" t="s">
        <v>3927</v>
      </c>
      <c r="AF313" s="25" t="n">
        <f aca="false">LEN(AE313)</f>
        <v>159</v>
      </c>
    </row>
    <row r="314" customFormat="false" ht="15" hidden="false" customHeight="true" outlineLevel="0" collapsed="false">
      <c r="A314" s="21" t="s">
        <v>3928</v>
      </c>
      <c r="B314" s="21" t="s">
        <v>2390</v>
      </c>
      <c r="C314" s="21" t="n">
        <v>154</v>
      </c>
      <c r="D314" s="21" t="s">
        <v>3839</v>
      </c>
      <c r="E314" s="21"/>
      <c r="F314" s="21" t="s">
        <v>1676</v>
      </c>
      <c r="G314" s="21" t="s">
        <v>2394</v>
      </c>
      <c r="H314" s="21" t="s">
        <v>2457</v>
      </c>
      <c r="I314" s="21" t="s">
        <v>3929</v>
      </c>
      <c r="J314" s="21" t="s">
        <v>3001</v>
      </c>
      <c r="K314" s="21" t="n">
        <v>52.99</v>
      </c>
      <c r="L314" s="21" t="s">
        <v>3930</v>
      </c>
      <c r="M314" s="21" t="s">
        <v>3931</v>
      </c>
      <c r="N314" s="21" t="s">
        <v>3932</v>
      </c>
      <c r="O314" s="21" t="s">
        <v>3933</v>
      </c>
      <c r="P314" s="21"/>
      <c r="Q314" s="22" t="n">
        <f aca="false">IF(L314="","",IFERROR(INDEX('Semrush Data'!$A$1:$Z$20000,MATCH(L314,'Semrush Data'!$A$1:$A$20000,0),MATCH("Volume",'Semrush Data'!$A$1:$Z$1,0)),""))</f>
        <v>30</v>
      </c>
      <c r="R314" s="22" t="str">
        <f aca="false">IF(M314="","",IFERROR(INDEX('Semrush Data'!$A$1:$Z$20000,MATCH(M314,'Semrush Data'!$A$1:$A$20000,0),MATCH("Volume",'Semrush Data'!$A$1:$Z$1,0)),""))</f>
        <v/>
      </c>
      <c r="S314" s="22" t="str">
        <f aca="false">IF(N314="","",IFERROR(INDEX('Semrush Data'!$A$1:$Z$20000,MATCH(N314,'Semrush Data'!$A$1:$A$20000,0),MATCH("Volume",'Semrush Data'!$A$1:$Z$1,0)),""))</f>
        <v/>
      </c>
      <c r="T314" s="22" t="str">
        <f aca="false">IF(O314="","",IFERROR(INDEX('Semrush Data'!$A$1:$Z$20000,MATCH(O314,'Semrush Data'!$A$1:$A$20000,0),MATCH("Volume",'Semrush Data'!$A$1:$Z$1,0)),""))</f>
        <v/>
      </c>
      <c r="U314" s="22" t="str">
        <f aca="false">IF(P314="","",IFERROR(INDEX('Semrush Data'!$A$1:$Z$20000,MATCH(P314,'Semrush Data'!$A$1:$A$20000,0),MATCH("Volume",'Semrush Data'!$A$1:$Z$1,0)),""))</f>
        <v/>
      </c>
      <c r="V314" s="23" t="str">
        <f aca="false">IF(COUNT(Q314:U314)=0,L314,IF(MAX(Q314:U314)=0,L314,INDEX(L314:P314,MATCH(MAX(Q314:U314),Q314:U314,0))))</f>
        <v>elie saab le parfum gift set</v>
      </c>
      <c r="W314" s="22" t="n">
        <f aca="false">IFERROR(INDEX('Semrush Data'!$A$1:$Z$20000,MATCH(V314,'Semrush Data'!$A$1:$A$20000,0),MATCH("Volume",'Semrush Data'!$A$1:$Z$1,0)),"")</f>
        <v>30</v>
      </c>
      <c r="X314" s="22" t="n">
        <f aca="false">IFERROR(INDEX('Semrush Data'!$A$1:$Z$20000,MATCH(V314,'Semrush Data'!$A$1:$A$20000,0),MATCH("Keyword Difficulty*",'Semrush Data'!$A$1:$Z$1,0)),"")</f>
        <v>11</v>
      </c>
      <c r="Y314" s="24" t="n">
        <f aca="false">IFERROR(INDEX('Semrush Data'!$A$1:$Z$20000,MATCH(V314,'Semrush Data'!$A$1:$A$20000,0),MATCH("CPC*",'Semrush Data'!$A$1:$Z$1,0)),"")</f>
        <v>0.34</v>
      </c>
      <c r="Z314" s="21" t="s">
        <v>3923</v>
      </c>
      <c r="AA314" s="21" t="s">
        <v>3934</v>
      </c>
      <c r="AB314" s="21" t="s">
        <v>3935</v>
      </c>
      <c r="AC314" s="21" t="s">
        <v>3936</v>
      </c>
      <c r="AD314" s="25" t="n">
        <f aca="false">LEN(AC314)</f>
        <v>57</v>
      </c>
      <c r="AE314" s="21" t="s">
        <v>3937</v>
      </c>
      <c r="AF314" s="25" t="n">
        <f aca="false">LEN(AE314)</f>
        <v>156</v>
      </c>
    </row>
    <row r="315" customFormat="false" ht="15" hidden="false" customHeight="true" outlineLevel="0" collapsed="false">
      <c r="A315" s="21" t="s">
        <v>3938</v>
      </c>
      <c r="B315" s="21" t="s">
        <v>2390</v>
      </c>
      <c r="C315" s="21" t="n">
        <v>155</v>
      </c>
      <c r="D315" s="21" t="s">
        <v>3839</v>
      </c>
      <c r="E315" s="21"/>
      <c r="F315" s="21" t="s">
        <v>1676</v>
      </c>
      <c r="G315" s="21" t="s">
        <v>2394</v>
      </c>
      <c r="H315" s="21" t="s">
        <v>2457</v>
      </c>
      <c r="I315" s="21" t="s">
        <v>3939</v>
      </c>
      <c r="J315" s="21" t="s">
        <v>3001</v>
      </c>
      <c r="K315" s="21" t="n">
        <v>48.99</v>
      </c>
      <c r="L315" s="21" t="s">
        <v>3940</v>
      </c>
      <c r="M315" s="21" t="s">
        <v>3941</v>
      </c>
      <c r="N315" s="21" t="s">
        <v>3942</v>
      </c>
      <c r="O315" s="21" t="s">
        <v>3943</v>
      </c>
      <c r="P315" s="21"/>
      <c r="Q315" s="22" t="n">
        <f aca="false">IF(L315="","",IFERROR(INDEX('Semrush Data'!$A$1:$Z$20000,MATCH(L315,'Semrush Data'!$A$1:$A$20000,0),MATCH("Volume",'Semrush Data'!$A$1:$Z$1,0)),""))</f>
        <v>20</v>
      </c>
      <c r="R315" s="22" t="str">
        <f aca="false">IF(M315="","",IFERROR(INDEX('Semrush Data'!$A$1:$Z$20000,MATCH(M315,'Semrush Data'!$A$1:$A$20000,0),MATCH("Volume",'Semrush Data'!$A$1:$Z$1,0)),""))</f>
        <v/>
      </c>
      <c r="S315" s="22" t="str">
        <f aca="false">IF(N315="","",IFERROR(INDEX('Semrush Data'!$A$1:$Z$20000,MATCH(N315,'Semrush Data'!$A$1:$A$20000,0),MATCH("Volume",'Semrush Data'!$A$1:$Z$1,0)),""))</f>
        <v/>
      </c>
      <c r="T315" s="22" t="str">
        <f aca="false">IF(O315="","",IFERROR(INDEX('Semrush Data'!$A$1:$Z$20000,MATCH(O315,'Semrush Data'!$A$1:$A$20000,0),MATCH("Volume",'Semrush Data'!$A$1:$Z$1,0)),""))</f>
        <v/>
      </c>
      <c r="U315" s="22" t="str">
        <f aca="false">IF(P315="","",IFERROR(INDEX('Semrush Data'!$A$1:$Z$20000,MATCH(P315,'Semrush Data'!$A$1:$A$20000,0),MATCH("Volume",'Semrush Data'!$A$1:$Z$1,0)),""))</f>
        <v/>
      </c>
      <c r="V315" s="23" t="str">
        <f aca="false">IF(COUNT(Q315:U315)=0,L315,IF(MAX(Q315:U315)=0,L315,INDEX(L315:P315,MATCH(MAX(Q315:U315),Q315:U315,0))))</f>
        <v>elie saab le parfum lumiere gift set</v>
      </c>
      <c r="W315" s="22" t="n">
        <f aca="false">IFERROR(INDEX('Semrush Data'!$A$1:$Z$20000,MATCH(V315,'Semrush Data'!$A$1:$A$20000,0),MATCH("Volume",'Semrush Data'!$A$1:$Z$1,0)),"")</f>
        <v>20</v>
      </c>
      <c r="X315" s="22" t="n">
        <f aca="false">IFERROR(INDEX('Semrush Data'!$A$1:$Z$20000,MATCH(V315,'Semrush Data'!$A$1:$A$20000,0),MATCH("Keyword Difficulty*",'Semrush Data'!$A$1:$Z$1,0)),"")</f>
        <v>12</v>
      </c>
      <c r="Y315" s="24" t="n">
        <f aca="false">IFERROR(INDEX('Semrush Data'!$A$1:$Z$20000,MATCH(V315,'Semrush Data'!$A$1:$A$20000,0),MATCH("CPC*",'Semrush Data'!$A$1:$Z$1,0)),"")</f>
        <v>0</v>
      </c>
      <c r="Z315" s="21" t="s">
        <v>3923</v>
      </c>
      <c r="AA315" s="21" t="s">
        <v>3944</v>
      </c>
      <c r="AB315" s="21" t="s">
        <v>3945</v>
      </c>
      <c r="AC315" s="21" t="s">
        <v>3946</v>
      </c>
      <c r="AD315" s="25" t="n">
        <f aca="false">LEN(AC315)</f>
        <v>52</v>
      </c>
      <c r="AE315" s="21" t="s">
        <v>3947</v>
      </c>
      <c r="AF315" s="25" t="n">
        <f aca="false">LEN(AE315)</f>
        <v>158</v>
      </c>
    </row>
    <row r="316" customFormat="false" ht="15" hidden="false" customHeight="true" outlineLevel="0" collapsed="false">
      <c r="A316" s="21" t="s">
        <v>3948</v>
      </c>
      <c r="B316" s="21" t="s">
        <v>2390</v>
      </c>
      <c r="C316" s="21" t="n">
        <v>156</v>
      </c>
      <c r="D316" s="21" t="s">
        <v>3949</v>
      </c>
      <c r="E316" s="21"/>
      <c r="F316" s="21" t="s">
        <v>2393</v>
      </c>
      <c r="G316" s="21" t="s">
        <v>2394</v>
      </c>
      <c r="H316" s="21" t="s">
        <v>2395</v>
      </c>
      <c r="I316" s="21" t="s">
        <v>3950</v>
      </c>
      <c r="J316" s="21" t="s">
        <v>1935</v>
      </c>
      <c r="K316" s="21" t="n">
        <v>16.99</v>
      </c>
      <c r="L316" s="21" t="s">
        <v>3951</v>
      </c>
      <c r="M316" s="21" t="s">
        <v>3952</v>
      </c>
      <c r="N316" s="21" t="s">
        <v>3953</v>
      </c>
      <c r="O316" s="21" t="s">
        <v>3954</v>
      </c>
      <c r="P316" s="21" t="s">
        <v>3955</v>
      </c>
      <c r="Q316" s="22" t="n">
        <f aca="false">IF(L316="","",IFERROR(INDEX('Semrush Data'!$A$1:$Z$20000,MATCH(L316,'Semrush Data'!$A$1:$A$20000,0),MATCH("Volume",'Semrush Data'!$A$1:$Z$1,0)),""))</f>
        <v>170</v>
      </c>
      <c r="R316" s="22" t="n">
        <f aca="false">IF(M316="","",IFERROR(INDEX('Semrush Data'!$A$1:$Z$20000,MATCH(M316,'Semrush Data'!$A$1:$A$20000,0),MATCH("Volume",'Semrush Data'!$A$1:$Z$1,0)),""))</f>
        <v>0</v>
      </c>
      <c r="S316" s="22" t="str">
        <f aca="false">IF(N316="","",IFERROR(INDEX('Semrush Data'!$A$1:$Z$20000,MATCH(N316,'Semrush Data'!$A$1:$A$20000,0),MATCH("Volume",'Semrush Data'!$A$1:$Z$1,0)),""))</f>
        <v/>
      </c>
      <c r="T316" s="22" t="str">
        <f aca="false">IF(O316="","",IFERROR(INDEX('Semrush Data'!$A$1:$Z$20000,MATCH(O316,'Semrush Data'!$A$1:$A$20000,0),MATCH("Volume",'Semrush Data'!$A$1:$Z$1,0)),""))</f>
        <v/>
      </c>
      <c r="U316" s="22" t="n">
        <f aca="false">IF(P316="","",IFERROR(INDEX('Semrush Data'!$A$1:$Z$20000,MATCH(P316,'Semrush Data'!$A$1:$A$20000,0),MATCH("Volume",'Semrush Data'!$A$1:$Z$1,0)),""))</f>
        <v>20</v>
      </c>
      <c r="V316" s="23" t="str">
        <f aca="false">IF(COUNT(Q316:U316)=0,L316,IF(MAX(Q316:U316)=0,L316,INDEX(L316:P316,MATCH(MAX(Q316:U316),Q316:U316,0))))</f>
        <v>elizabeth arden beauty</v>
      </c>
      <c r="W316" s="22" t="n">
        <f aca="false">IFERROR(INDEX('Semrush Data'!$A$1:$Z$20000,MATCH(V316,'Semrush Data'!$A$1:$A$20000,0),MATCH("Volume",'Semrush Data'!$A$1:$Z$1,0)),"")</f>
        <v>170</v>
      </c>
      <c r="X316" s="22" t="n">
        <f aca="false">IFERROR(INDEX('Semrush Data'!$A$1:$Z$20000,MATCH(V316,'Semrush Data'!$A$1:$A$20000,0),MATCH("Keyword Difficulty*",'Semrush Data'!$A$1:$Z$1,0)),"")</f>
        <v>21</v>
      </c>
      <c r="Y316" s="24" t="n">
        <f aca="false">IFERROR(INDEX('Semrush Data'!$A$1:$Z$20000,MATCH(V316,'Semrush Data'!$A$1:$A$20000,0),MATCH("CPC*",'Semrush Data'!$A$1:$Z$1,0)),"")</f>
        <v>0.55</v>
      </c>
      <c r="Z316" s="21" t="s">
        <v>3956</v>
      </c>
      <c r="AA316" s="21" t="s">
        <v>3957</v>
      </c>
      <c r="AB316" s="21" t="s">
        <v>3958</v>
      </c>
      <c r="AC316" s="21" t="s">
        <v>3959</v>
      </c>
      <c r="AD316" s="25" t="n">
        <f aca="false">LEN(AC316)</f>
        <v>59</v>
      </c>
      <c r="AE316" s="21" t="s">
        <v>3960</v>
      </c>
      <c r="AF316" s="25" t="n">
        <f aca="false">LEN(AE316)</f>
        <v>158</v>
      </c>
    </row>
    <row r="317" customFormat="false" ht="15" hidden="false" customHeight="true" outlineLevel="0" collapsed="false">
      <c r="A317" s="21" t="s">
        <v>3961</v>
      </c>
      <c r="B317" s="21" t="s">
        <v>2390</v>
      </c>
      <c r="C317" s="21" t="n">
        <v>157</v>
      </c>
      <c r="D317" s="21" t="s">
        <v>3962</v>
      </c>
      <c r="E317" s="21"/>
      <c r="F317" s="21" t="s">
        <v>2393</v>
      </c>
      <c r="G317" s="21" t="s">
        <v>2394</v>
      </c>
      <c r="H317" s="21" t="s">
        <v>2395</v>
      </c>
      <c r="I317" s="21" t="s">
        <v>3963</v>
      </c>
      <c r="J317" s="21" t="s">
        <v>2435</v>
      </c>
      <c r="K317" s="21" t="n">
        <v>32.99</v>
      </c>
      <c r="L317" s="21" t="s">
        <v>3964</v>
      </c>
      <c r="M317" s="21" t="s">
        <v>3965</v>
      </c>
      <c r="N317" s="21" t="s">
        <v>3966</v>
      </c>
      <c r="O317" s="21" t="s">
        <v>3967</v>
      </c>
      <c r="P317" s="21" t="s">
        <v>3968</v>
      </c>
      <c r="Q317" s="22" t="n">
        <f aca="false">IF(L317="","",IFERROR(INDEX('Semrush Data'!$A$1:$Z$20000,MATCH(L317,'Semrush Data'!$A$1:$A$20000,0),MATCH("Volume",'Semrush Data'!$A$1:$Z$1,0)),""))</f>
        <v>10</v>
      </c>
      <c r="R317" s="22" t="str">
        <f aca="false">IF(M317="","",IFERROR(INDEX('Semrush Data'!$A$1:$Z$20000,MATCH(M317,'Semrush Data'!$A$1:$A$20000,0),MATCH("Volume",'Semrush Data'!$A$1:$Z$1,0)),""))</f>
        <v/>
      </c>
      <c r="S317" s="22" t="str">
        <f aca="false">IF(N317="","",IFERROR(INDEX('Semrush Data'!$A$1:$Z$20000,MATCH(N317,'Semrush Data'!$A$1:$A$20000,0),MATCH("Volume",'Semrush Data'!$A$1:$Z$1,0)),""))</f>
        <v/>
      </c>
      <c r="T317" s="22" t="str">
        <f aca="false">IF(O317="","",IFERROR(INDEX('Semrush Data'!$A$1:$Z$20000,MATCH(O317,'Semrush Data'!$A$1:$A$20000,0),MATCH("Volume",'Semrush Data'!$A$1:$Z$1,0)),""))</f>
        <v/>
      </c>
      <c r="U317" s="22" t="str">
        <f aca="false">IF(P317="","",IFERROR(INDEX('Semrush Data'!$A$1:$Z$20000,MATCH(P317,'Semrush Data'!$A$1:$A$20000,0),MATCH("Volume",'Semrush Data'!$A$1:$Z$1,0)),""))</f>
        <v/>
      </c>
      <c r="V317" s="23" t="str">
        <f aca="false">IF(COUNT(Q317:U317)=0,L317,IF(MAX(Q317:U317)=0,L317,INDEX(L317:P317,MATCH(MAX(Q317:U317),Q317:U317,0))))</f>
        <v>escada magnetic dream</v>
      </c>
      <c r="W317" s="22" t="n">
        <f aca="false">IFERROR(INDEX('Semrush Data'!$A$1:$Z$20000,MATCH(V317,'Semrush Data'!$A$1:$A$20000,0),MATCH("Volume",'Semrush Data'!$A$1:$Z$1,0)),"")</f>
        <v>10</v>
      </c>
      <c r="X317" s="22" t="n">
        <f aca="false">IFERROR(INDEX('Semrush Data'!$A$1:$Z$20000,MATCH(V317,'Semrush Data'!$A$1:$A$20000,0),MATCH("Keyword Difficulty*",'Semrush Data'!$A$1:$Z$1,0)),"")</f>
        <v>12</v>
      </c>
      <c r="Y317" s="24" t="n">
        <f aca="false">IFERROR(INDEX('Semrush Data'!$A$1:$Z$20000,MATCH(V317,'Semrush Data'!$A$1:$A$20000,0),MATCH("CPC*",'Semrush Data'!$A$1:$Z$1,0)),"")</f>
        <v>0</v>
      </c>
      <c r="Z317" s="21" t="s">
        <v>3969</v>
      </c>
      <c r="AA317" s="21" t="s">
        <v>3970</v>
      </c>
      <c r="AB317" s="21" t="s">
        <v>3971</v>
      </c>
      <c r="AC317" s="21" t="s">
        <v>3972</v>
      </c>
      <c r="AD317" s="25" t="n">
        <f aca="false">LEN(AC317)</f>
        <v>57</v>
      </c>
      <c r="AE317" s="21" t="s">
        <v>3973</v>
      </c>
      <c r="AF317" s="25" t="n">
        <f aca="false">LEN(AE317)</f>
        <v>156</v>
      </c>
    </row>
    <row r="318" customFormat="false" ht="15" hidden="false" customHeight="true" outlineLevel="0" collapsed="false">
      <c r="A318" s="21" t="s">
        <v>126</v>
      </c>
      <c r="B318" s="21" t="s">
        <v>2390</v>
      </c>
      <c r="C318" s="21" t="n">
        <v>158</v>
      </c>
      <c r="D318" s="21" t="s">
        <v>3962</v>
      </c>
      <c r="E318" s="21"/>
      <c r="F318" s="21" t="s">
        <v>2393</v>
      </c>
      <c r="G318" s="21" t="s">
        <v>2394</v>
      </c>
      <c r="H318" s="21" t="s">
        <v>2395</v>
      </c>
      <c r="I318" s="21" t="s">
        <v>127</v>
      </c>
      <c r="J318" s="21" t="s">
        <v>3053</v>
      </c>
      <c r="K318" s="21" t="n">
        <v>17.99</v>
      </c>
      <c r="L318" s="21" t="s">
        <v>3974</v>
      </c>
      <c r="M318" s="21" t="s">
        <v>3975</v>
      </c>
      <c r="N318" s="21" t="s">
        <v>3976</v>
      </c>
      <c r="O318" s="21" t="s">
        <v>3977</v>
      </c>
      <c r="P318" s="21" t="s">
        <v>3978</v>
      </c>
      <c r="Q318" s="22" t="n">
        <f aca="false">IF(L318="","",IFERROR(INDEX('Semrush Data'!$A$1:$Z$20000,MATCH(L318,'Semrush Data'!$A$1:$A$20000,0),MATCH("Volume",'Semrush Data'!$A$1:$Z$1,0)),""))</f>
        <v>390</v>
      </c>
      <c r="R318" s="22" t="n">
        <f aca="false">IF(M318="","",IFERROR(INDEX('Semrush Data'!$A$1:$Z$20000,MATCH(M318,'Semrush Data'!$A$1:$A$20000,0),MATCH("Volume",'Semrush Data'!$A$1:$Z$1,0)),""))</f>
        <v>20</v>
      </c>
      <c r="S318" s="22" t="str">
        <f aca="false">IF(N318="","",IFERROR(INDEX('Semrush Data'!$A$1:$Z$20000,MATCH(N318,'Semrush Data'!$A$1:$A$20000,0),MATCH("Volume",'Semrush Data'!$A$1:$Z$1,0)),""))</f>
        <v/>
      </c>
      <c r="T318" s="22" t="str">
        <f aca="false">IF(O318="","",IFERROR(INDEX('Semrush Data'!$A$1:$Z$20000,MATCH(O318,'Semrush Data'!$A$1:$A$20000,0),MATCH("Volume",'Semrush Data'!$A$1:$Z$1,0)),""))</f>
        <v/>
      </c>
      <c r="U318" s="22" t="n">
        <f aca="false">IF(P318="","",IFERROR(INDEX('Semrush Data'!$A$1:$Z$20000,MATCH(P318,'Semrush Data'!$A$1:$A$20000,0),MATCH("Volume",'Semrush Data'!$A$1:$Z$1,0)),""))</f>
        <v>20</v>
      </c>
      <c r="V318" s="23" t="str">
        <f aca="false">IF(COUNT(Q318:U318)=0,L318,IF(MAX(Q318:U318)=0,L318,INDEX(L318:P318,MATCH(MAX(Q318:U318),Q318:U318,0))))</f>
        <v>escada magnetism</v>
      </c>
      <c r="W318" s="22" t="n">
        <f aca="false">IFERROR(INDEX('Semrush Data'!$A$1:$Z$20000,MATCH(V318,'Semrush Data'!$A$1:$A$20000,0),MATCH("Volume",'Semrush Data'!$A$1:$Z$1,0)),"")</f>
        <v>390</v>
      </c>
      <c r="X318" s="22" t="n">
        <f aca="false">IFERROR(INDEX('Semrush Data'!$A$1:$Z$20000,MATCH(V318,'Semrush Data'!$A$1:$A$20000,0),MATCH("Keyword Difficulty*",'Semrush Data'!$A$1:$Z$1,0)),"")</f>
        <v>15</v>
      </c>
      <c r="Y318" s="24" t="n">
        <f aca="false">IFERROR(INDEX('Semrush Data'!$A$1:$Z$20000,MATCH(V318,'Semrush Data'!$A$1:$A$20000,0),MATCH("CPC*",'Semrush Data'!$A$1:$Z$1,0)),"")</f>
        <v>0.36</v>
      </c>
      <c r="Z318" s="21" t="s">
        <v>3969</v>
      </c>
      <c r="AA318" s="21" t="s">
        <v>3979</v>
      </c>
      <c r="AB318" s="21" t="s">
        <v>3980</v>
      </c>
      <c r="AC318" s="21" t="s">
        <v>3981</v>
      </c>
      <c r="AD318" s="25" t="n">
        <f aca="false">LEN(AC318)</f>
        <v>57</v>
      </c>
      <c r="AE318" s="21" t="s">
        <v>3982</v>
      </c>
      <c r="AF318" s="25" t="n">
        <f aca="false">LEN(AE318)</f>
        <v>151</v>
      </c>
    </row>
    <row r="319" customFormat="false" ht="15" hidden="false" customHeight="true" outlineLevel="0" collapsed="false">
      <c r="A319" s="21" t="s">
        <v>3983</v>
      </c>
      <c r="B319" s="21" t="s">
        <v>2390</v>
      </c>
      <c r="C319" s="21" t="n">
        <v>159</v>
      </c>
      <c r="D319" s="21" t="s">
        <v>3962</v>
      </c>
      <c r="E319" s="21"/>
      <c r="F319" s="21" t="s">
        <v>2393</v>
      </c>
      <c r="G319" s="21" t="s">
        <v>2394</v>
      </c>
      <c r="H319" s="21" t="s">
        <v>3984</v>
      </c>
      <c r="I319" s="21" t="s">
        <v>3985</v>
      </c>
      <c r="J319" s="21" t="s">
        <v>1935</v>
      </c>
      <c r="K319" s="21" t="n">
        <v>23.99</v>
      </c>
      <c r="L319" s="21" t="s">
        <v>3986</v>
      </c>
      <c r="M319" s="21" t="s">
        <v>3987</v>
      </c>
      <c r="N319" s="21" t="s">
        <v>3988</v>
      </c>
      <c r="O319" s="21" t="s">
        <v>3989</v>
      </c>
      <c r="P319" s="21" t="s">
        <v>3990</v>
      </c>
      <c r="Q319" s="22" t="n">
        <f aca="false">IF(L319="","",IFERROR(INDEX('Semrush Data'!$A$1:$Z$20000,MATCH(L319,'Semrush Data'!$A$1:$A$20000,0),MATCH("Volume",'Semrush Data'!$A$1:$Z$1,0)),""))</f>
        <v>70</v>
      </c>
      <c r="R319" s="22" t="n">
        <f aca="false">IF(M319="","",IFERROR(INDEX('Semrush Data'!$A$1:$Z$20000,MATCH(M319,'Semrush Data'!$A$1:$A$20000,0),MATCH("Volume",'Semrush Data'!$A$1:$Z$1,0)),""))</f>
        <v>0</v>
      </c>
      <c r="S319" s="22" t="str">
        <f aca="false">IF(N319="","",IFERROR(INDEX('Semrush Data'!$A$1:$Z$20000,MATCH(N319,'Semrush Data'!$A$1:$A$20000,0),MATCH("Volume",'Semrush Data'!$A$1:$Z$1,0)),""))</f>
        <v/>
      </c>
      <c r="T319" s="22" t="str">
        <f aca="false">IF(O319="","",IFERROR(INDEX('Semrush Data'!$A$1:$Z$20000,MATCH(O319,'Semrush Data'!$A$1:$A$20000,0),MATCH("Volume",'Semrush Data'!$A$1:$Z$1,0)),""))</f>
        <v/>
      </c>
      <c r="U319" s="22" t="n">
        <f aca="false">IF(P319="","",IFERROR(INDEX('Semrush Data'!$A$1:$Z$20000,MATCH(P319,'Semrush Data'!$A$1:$A$20000,0),MATCH("Volume",'Semrush Data'!$A$1:$Z$1,0)),""))</f>
        <v>20</v>
      </c>
      <c r="V319" s="23" t="str">
        <f aca="false">IF(COUNT(Q319:U319)=0,L319,IF(MAX(Q319:U319)=0,L319,INDEX(L319:P319,MATCH(MAX(Q319:U319),Q319:U319,0))))</f>
        <v>escada party love</v>
      </c>
      <c r="W319" s="22" t="n">
        <f aca="false">IFERROR(INDEX('Semrush Data'!$A$1:$Z$20000,MATCH(V319,'Semrush Data'!$A$1:$A$20000,0),MATCH("Volume",'Semrush Data'!$A$1:$Z$1,0)),"")</f>
        <v>70</v>
      </c>
      <c r="X319" s="22" t="n">
        <f aca="false">IFERROR(INDEX('Semrush Data'!$A$1:$Z$20000,MATCH(V319,'Semrush Data'!$A$1:$A$20000,0),MATCH("Keyword Difficulty*",'Semrush Data'!$A$1:$Z$1,0)),"")</f>
        <v>20</v>
      </c>
      <c r="Y319" s="24" t="n">
        <f aca="false">IFERROR(INDEX('Semrush Data'!$A$1:$Z$20000,MATCH(V319,'Semrush Data'!$A$1:$A$20000,0),MATCH("CPC*",'Semrush Data'!$A$1:$Z$1,0)),"")</f>
        <v>0.44</v>
      </c>
      <c r="Z319" s="21" t="s">
        <v>3991</v>
      </c>
      <c r="AA319" s="21" t="s">
        <v>3992</v>
      </c>
      <c r="AB319" s="21" t="s">
        <v>3993</v>
      </c>
      <c r="AC319" s="21" t="s">
        <v>3994</v>
      </c>
      <c r="AD319" s="25" t="n">
        <f aca="false">LEN(AC319)</f>
        <v>58</v>
      </c>
      <c r="AE319" s="21" t="s">
        <v>3995</v>
      </c>
      <c r="AF319" s="25" t="n">
        <f aca="false">LEN(AE319)</f>
        <v>153</v>
      </c>
    </row>
    <row r="320" customFormat="false" ht="15" hidden="false" customHeight="true" outlineLevel="0" collapsed="false">
      <c r="A320" s="21" t="s">
        <v>3996</v>
      </c>
      <c r="B320" s="21" t="s">
        <v>2390</v>
      </c>
      <c r="C320" s="21" t="n">
        <v>160</v>
      </c>
      <c r="D320" s="21" t="s">
        <v>3997</v>
      </c>
      <c r="E320" s="21"/>
      <c r="F320" s="21" t="s">
        <v>2393</v>
      </c>
      <c r="G320" s="21" t="s">
        <v>2394</v>
      </c>
      <c r="H320" s="21" t="s">
        <v>2395</v>
      </c>
      <c r="I320" s="21" t="s">
        <v>3998</v>
      </c>
      <c r="J320" s="21" t="s">
        <v>1409</v>
      </c>
      <c r="K320" s="21" t="n">
        <v>49.99</v>
      </c>
      <c r="L320" s="21" t="s">
        <v>3999</v>
      </c>
      <c r="M320" s="21" t="s">
        <v>4000</v>
      </c>
      <c r="N320" s="21" t="s">
        <v>4001</v>
      </c>
      <c r="O320" s="21" t="s">
        <v>4002</v>
      </c>
      <c r="P320" s="21" t="s">
        <v>4003</v>
      </c>
      <c r="Q320" s="22" t="n">
        <f aca="false">IF(L320="","",IFERROR(INDEX('Semrush Data'!$A$1:$Z$20000,MATCH(L320,'Semrush Data'!$A$1:$A$20000,0),MATCH("Volume",'Semrush Data'!$A$1:$Z$1,0)),""))</f>
        <v>320</v>
      </c>
      <c r="R320" s="22" t="n">
        <f aca="false">IF(M320="","",IFERROR(INDEX('Semrush Data'!$A$1:$Z$20000,MATCH(M320,'Semrush Data'!$A$1:$A$20000,0),MATCH("Volume",'Semrush Data'!$A$1:$Z$1,0)),""))</f>
        <v>0</v>
      </c>
      <c r="S320" s="22" t="str">
        <f aca="false">IF(N320="","",IFERROR(INDEX('Semrush Data'!$A$1:$Z$20000,MATCH(N320,'Semrush Data'!$A$1:$A$20000,0),MATCH("Volume",'Semrush Data'!$A$1:$Z$1,0)),""))</f>
        <v/>
      </c>
      <c r="T320" s="22" t="str">
        <f aca="false">IF(O320="","",IFERROR(INDEX('Semrush Data'!$A$1:$Z$20000,MATCH(O320,'Semrush Data'!$A$1:$A$20000,0),MATCH("Volume",'Semrush Data'!$A$1:$Z$1,0)),""))</f>
        <v/>
      </c>
      <c r="U320" s="22" t="n">
        <f aca="false">IF(P320="","",IFERROR(INDEX('Semrush Data'!$A$1:$Z$20000,MATCH(P320,'Semrush Data'!$A$1:$A$20000,0),MATCH("Volume",'Semrush Data'!$A$1:$Z$1,0)),""))</f>
        <v>20</v>
      </c>
      <c r="V320" s="23" t="str">
        <f aca="false">IF(COUNT(Q320:U320)=0,L320,IF(MAX(Q320:U320)=0,L320,INDEX(L320:P320,MATCH(MAX(Q320:U320),Q320:U320,0))))</f>
        <v>estee lauder spellbound</v>
      </c>
      <c r="W320" s="22" t="n">
        <f aca="false">IFERROR(INDEX('Semrush Data'!$A$1:$Z$20000,MATCH(V320,'Semrush Data'!$A$1:$A$20000,0),MATCH("Volume",'Semrush Data'!$A$1:$Z$1,0)),"")</f>
        <v>320</v>
      </c>
      <c r="X320" s="22" t="n">
        <f aca="false">IFERROR(INDEX('Semrush Data'!$A$1:$Z$20000,MATCH(V320,'Semrush Data'!$A$1:$A$20000,0),MATCH("Keyword Difficulty*",'Semrush Data'!$A$1:$Z$1,0)),"")</f>
        <v>25</v>
      </c>
      <c r="Y320" s="24" t="n">
        <f aca="false">IFERROR(INDEX('Semrush Data'!$A$1:$Z$20000,MATCH(V320,'Semrush Data'!$A$1:$A$20000,0),MATCH("CPC*",'Semrush Data'!$A$1:$Z$1,0)),"")</f>
        <v>0.63</v>
      </c>
      <c r="Z320" s="21" t="s">
        <v>4004</v>
      </c>
      <c r="AA320" s="21" t="s">
        <v>4005</v>
      </c>
      <c r="AB320" s="21" t="s">
        <v>4006</v>
      </c>
      <c r="AC320" s="21" t="s">
        <v>4007</v>
      </c>
      <c r="AD320" s="25" t="n">
        <f aca="false">LEN(AC320)</f>
        <v>59</v>
      </c>
      <c r="AE320" s="21" t="s">
        <v>4008</v>
      </c>
      <c r="AF320" s="25" t="n">
        <f aca="false">LEN(AE320)</f>
        <v>158</v>
      </c>
    </row>
    <row r="321" customFormat="false" ht="15" hidden="false" customHeight="true" outlineLevel="0" collapsed="false">
      <c r="A321" s="21" t="s">
        <v>4009</v>
      </c>
      <c r="B321" s="21" t="s">
        <v>2390</v>
      </c>
      <c r="C321" s="21" t="n">
        <v>161</v>
      </c>
      <c r="D321" s="21" t="s">
        <v>4010</v>
      </c>
      <c r="E321" s="21"/>
      <c r="F321" s="21" t="s">
        <v>2393</v>
      </c>
      <c r="G321" s="21" t="s">
        <v>2759</v>
      </c>
      <c r="H321" s="21" t="s">
        <v>2549</v>
      </c>
      <c r="I321" s="21" t="s">
        <v>4011</v>
      </c>
      <c r="J321" s="21" t="s">
        <v>1935</v>
      </c>
      <c r="K321" s="21" t="n">
        <v>32.99</v>
      </c>
      <c r="L321" s="21" t="s">
        <v>4012</v>
      </c>
      <c r="M321" s="21" t="s">
        <v>4013</v>
      </c>
      <c r="N321" s="21" t="s">
        <v>4014</v>
      </c>
      <c r="O321" s="21" t="s">
        <v>4015</v>
      </c>
      <c r="P321" s="21" t="s">
        <v>4016</v>
      </c>
      <c r="Q321" s="22" t="n">
        <f aca="false">IF(L321="","",IFERROR(INDEX('Semrush Data'!$A$1:$Z$20000,MATCH(L321,'Semrush Data'!$A$1:$A$20000,0),MATCH("Volume",'Semrush Data'!$A$1:$Z$1,0)),""))</f>
        <v>0</v>
      </c>
      <c r="R321" s="22" t="str">
        <f aca="false">IF(M321="","",IFERROR(INDEX('Semrush Data'!$A$1:$Z$20000,MATCH(M321,'Semrush Data'!$A$1:$A$20000,0),MATCH("Volume",'Semrush Data'!$A$1:$Z$1,0)),""))</f>
        <v/>
      </c>
      <c r="S321" s="22" t="str">
        <f aca="false">IF(N321="","",IFERROR(INDEX('Semrush Data'!$A$1:$Z$20000,MATCH(N321,'Semrush Data'!$A$1:$A$20000,0),MATCH("Volume",'Semrush Data'!$A$1:$Z$1,0)),""))</f>
        <v/>
      </c>
      <c r="T321" s="22" t="str">
        <f aca="false">IF(O321="","",IFERROR(INDEX('Semrush Data'!$A$1:$Z$20000,MATCH(O321,'Semrush Data'!$A$1:$A$20000,0),MATCH("Volume",'Semrush Data'!$A$1:$Z$1,0)),""))</f>
        <v/>
      </c>
      <c r="U321" s="22" t="str">
        <f aca="false">IF(P321="","",IFERROR(INDEX('Semrush Data'!$A$1:$Z$20000,MATCH(P321,'Semrush Data'!$A$1:$A$20000,0),MATCH("Volume",'Semrush Data'!$A$1:$Z$1,0)),""))</f>
        <v/>
      </c>
      <c r="V321" s="23" t="str">
        <f aca="false">IF(COUNT(Q321:U321)=0,L321,IF(MAX(Q321:U321)=0,L321,INDEX(L321:P321,MATCH(MAX(Q321:U321),Q321:U321,0))))</f>
        <v>etienne aigner first class explorer</v>
      </c>
      <c r="W321" s="22" t="n">
        <f aca="false">IFERROR(INDEX('Semrush Data'!$A$1:$Z$20000,MATCH(V321,'Semrush Data'!$A$1:$A$20000,0),MATCH("Volume",'Semrush Data'!$A$1:$Z$1,0)),"")</f>
        <v>0</v>
      </c>
      <c r="X321" s="22" t="n">
        <f aca="false">IFERROR(INDEX('Semrush Data'!$A$1:$Z$20000,MATCH(V321,'Semrush Data'!$A$1:$A$20000,0),MATCH("Keyword Difficulty*",'Semrush Data'!$A$1:$Z$1,0)),"")</f>
        <v>13</v>
      </c>
      <c r="Y321" s="24" t="n">
        <f aca="false">IFERROR(INDEX('Semrush Data'!$A$1:$Z$20000,MATCH(V321,'Semrush Data'!$A$1:$A$20000,0),MATCH("CPC*",'Semrush Data'!$A$1:$Z$1,0)),"")</f>
        <v>0</v>
      </c>
      <c r="Z321" s="21" t="s">
        <v>4017</v>
      </c>
      <c r="AA321" s="21" t="s">
        <v>4018</v>
      </c>
      <c r="AB321" s="21" t="s">
        <v>4019</v>
      </c>
      <c r="AC321" s="21" t="s">
        <v>4020</v>
      </c>
      <c r="AD321" s="25" t="n">
        <f aca="false">LEN(AC321)</f>
        <v>59</v>
      </c>
      <c r="AE321" s="21" t="s">
        <v>4021</v>
      </c>
      <c r="AF321" s="25" t="n">
        <f aca="false">LEN(AE321)</f>
        <v>159</v>
      </c>
    </row>
    <row r="322" customFormat="false" ht="15" hidden="false" customHeight="true" outlineLevel="0" collapsed="false">
      <c r="A322" s="21" t="s">
        <v>4022</v>
      </c>
      <c r="B322" s="21" t="s">
        <v>2390</v>
      </c>
      <c r="C322" s="21" t="n">
        <v>162</v>
      </c>
      <c r="D322" s="21" t="s">
        <v>4010</v>
      </c>
      <c r="E322" s="21"/>
      <c r="F322" s="21" t="s">
        <v>2393</v>
      </c>
      <c r="G322" s="21" t="s">
        <v>2759</v>
      </c>
      <c r="H322" s="21" t="s">
        <v>2549</v>
      </c>
      <c r="I322" s="21" t="s">
        <v>4023</v>
      </c>
      <c r="J322" s="21" t="s">
        <v>1935</v>
      </c>
      <c r="K322" s="21" t="n">
        <v>27.99</v>
      </c>
      <c r="L322" s="21" t="s">
        <v>4024</v>
      </c>
      <c r="M322" s="21" t="s">
        <v>4025</v>
      </c>
      <c r="N322" s="21" t="s">
        <v>4026</v>
      </c>
      <c r="O322" s="21" t="s">
        <v>4027</v>
      </c>
      <c r="P322" s="21" t="s">
        <v>4028</v>
      </c>
      <c r="Q322" s="22" t="n">
        <f aca="false">IF(L322="","",IFERROR(INDEX('Semrush Data'!$A$1:$Z$20000,MATCH(L322,'Semrush Data'!$A$1:$A$20000,0),MATCH("Volume",'Semrush Data'!$A$1:$Z$1,0)),""))</f>
        <v>20</v>
      </c>
      <c r="R322" s="22" t="str">
        <f aca="false">IF(M322="","",IFERROR(INDEX('Semrush Data'!$A$1:$Z$20000,MATCH(M322,'Semrush Data'!$A$1:$A$20000,0),MATCH("Volume",'Semrush Data'!$A$1:$Z$1,0)),""))</f>
        <v/>
      </c>
      <c r="S322" s="22" t="str">
        <f aca="false">IF(N322="","",IFERROR(INDEX('Semrush Data'!$A$1:$Z$20000,MATCH(N322,'Semrush Data'!$A$1:$A$20000,0),MATCH("Volume",'Semrush Data'!$A$1:$Z$1,0)),""))</f>
        <v/>
      </c>
      <c r="T322" s="22" t="str">
        <f aca="false">IF(O322="","",IFERROR(INDEX('Semrush Data'!$A$1:$Z$20000,MATCH(O322,'Semrush Data'!$A$1:$A$20000,0),MATCH("Volume",'Semrush Data'!$A$1:$Z$1,0)),""))</f>
        <v/>
      </c>
      <c r="U322" s="22" t="str">
        <f aca="false">IF(P322="","",IFERROR(INDEX('Semrush Data'!$A$1:$Z$20000,MATCH(P322,'Semrush Data'!$A$1:$A$20000,0),MATCH("Volume",'Semrush Data'!$A$1:$Z$1,0)),""))</f>
        <v/>
      </c>
      <c r="V322" s="23" t="str">
        <f aca="false">IF(COUNT(Q322:U322)=0,L322,IF(MAX(Q322:U322)=0,L322,INDEX(L322:P322,MATCH(MAX(Q322:U322),Q322:U322,0))))</f>
        <v>etienne aigner no. 1 intense</v>
      </c>
      <c r="W322" s="22" t="n">
        <f aca="false">IFERROR(INDEX('Semrush Data'!$A$1:$Z$20000,MATCH(V322,'Semrush Data'!$A$1:$A$20000,0),MATCH("Volume",'Semrush Data'!$A$1:$Z$1,0)),"")</f>
        <v>20</v>
      </c>
      <c r="X322" s="22" t="n">
        <f aca="false">IFERROR(INDEX('Semrush Data'!$A$1:$Z$20000,MATCH(V322,'Semrush Data'!$A$1:$A$20000,0),MATCH("Keyword Difficulty*",'Semrush Data'!$A$1:$Z$1,0)),"")</f>
        <v>9</v>
      </c>
      <c r="Y322" s="24" t="n">
        <f aca="false">IFERROR(INDEX('Semrush Data'!$A$1:$Z$20000,MATCH(V322,'Semrush Data'!$A$1:$A$20000,0),MATCH("CPC*",'Semrush Data'!$A$1:$Z$1,0)),"")</f>
        <v>0</v>
      </c>
      <c r="Z322" s="21" t="s">
        <v>4017</v>
      </c>
      <c r="AA322" s="21" t="s">
        <v>4029</v>
      </c>
      <c r="AB322" s="21" t="s">
        <v>4030</v>
      </c>
      <c r="AC322" s="21" t="s">
        <v>4031</v>
      </c>
      <c r="AD322" s="25" t="n">
        <f aca="false">LEN(AC322)</f>
        <v>58</v>
      </c>
      <c r="AE322" s="21" t="s">
        <v>4032</v>
      </c>
      <c r="AF322" s="25" t="n">
        <f aca="false">LEN(AE322)</f>
        <v>159</v>
      </c>
    </row>
    <row r="323" customFormat="false" ht="15" hidden="false" customHeight="true" outlineLevel="0" collapsed="false">
      <c r="A323" s="21" t="s">
        <v>4033</v>
      </c>
      <c r="B323" s="21" t="s">
        <v>2390</v>
      </c>
      <c r="C323" s="21" t="n">
        <v>163</v>
      </c>
      <c r="D323" s="21" t="s">
        <v>4034</v>
      </c>
      <c r="E323" s="21"/>
      <c r="F323" s="21" t="s">
        <v>2393</v>
      </c>
      <c r="G323" s="21" t="s">
        <v>2394</v>
      </c>
      <c r="H323" s="21" t="s">
        <v>2479</v>
      </c>
      <c r="I323" s="21" t="s">
        <v>4035</v>
      </c>
      <c r="J323" s="21" t="s">
        <v>1935</v>
      </c>
      <c r="K323" s="21" t="n">
        <v>23</v>
      </c>
      <c r="L323" s="21" t="s">
        <v>4036</v>
      </c>
      <c r="M323" s="21" t="s">
        <v>4037</v>
      </c>
      <c r="N323" s="21" t="s">
        <v>4038</v>
      </c>
      <c r="O323" s="21" t="s">
        <v>4039</v>
      </c>
      <c r="P323" s="21" t="s">
        <v>4040</v>
      </c>
      <c r="Q323" s="22" t="n">
        <f aca="false">IF(L323="","",IFERROR(INDEX('Semrush Data'!$A$1:$Z$20000,MATCH(L323,'Semrush Data'!$A$1:$A$20000,0),MATCH("Volume",'Semrush Data'!$A$1:$Z$1,0)),""))</f>
        <v>0</v>
      </c>
      <c r="R323" s="22" t="str">
        <f aca="false">IF(M323="","",IFERROR(INDEX('Semrush Data'!$A$1:$Z$20000,MATCH(M323,'Semrush Data'!$A$1:$A$20000,0),MATCH("Volume",'Semrush Data'!$A$1:$Z$1,0)),""))</f>
        <v/>
      </c>
      <c r="S323" s="22" t="str">
        <f aca="false">IF(N323="","",IFERROR(INDEX('Semrush Data'!$A$1:$Z$20000,MATCH(N323,'Semrush Data'!$A$1:$A$20000,0),MATCH("Volume",'Semrush Data'!$A$1:$Z$1,0)),""))</f>
        <v/>
      </c>
      <c r="T323" s="22" t="str">
        <f aca="false">IF(O323="","",IFERROR(INDEX('Semrush Data'!$A$1:$Z$20000,MATCH(O323,'Semrush Data'!$A$1:$A$20000,0),MATCH("Volume",'Semrush Data'!$A$1:$Z$1,0)),""))</f>
        <v/>
      </c>
      <c r="U323" s="22" t="str">
        <f aca="false">IF(P323="","",IFERROR(INDEX('Semrush Data'!$A$1:$Z$20000,MATCH(P323,'Semrush Data'!$A$1:$A$20000,0),MATCH("Volume",'Semrush Data'!$A$1:$Z$1,0)),""))</f>
        <v/>
      </c>
      <c r="V323" s="23" t="str">
        <f aca="false">IF(COUNT(Q323:U323)=0,L323,IF(MAX(Q323:U323)=0,L323,INDEX(L323:P323,MATCH(MAX(Q323:U323),Q323:U323,0))))</f>
        <v>fumeri 540</v>
      </c>
      <c r="W323" s="22" t="n">
        <f aca="false">IFERROR(INDEX('Semrush Data'!$A$1:$Z$20000,MATCH(V323,'Semrush Data'!$A$1:$A$20000,0),MATCH("Volume",'Semrush Data'!$A$1:$Z$1,0)),"")</f>
        <v>0</v>
      </c>
      <c r="X323" s="22" t="n">
        <f aca="false">IFERROR(INDEX('Semrush Data'!$A$1:$Z$20000,MATCH(V323,'Semrush Data'!$A$1:$A$20000,0),MATCH("Keyword Difficulty*",'Semrush Data'!$A$1:$Z$1,0)),"")</f>
        <v>15</v>
      </c>
      <c r="Y323" s="24" t="n">
        <f aca="false">IFERROR(INDEX('Semrush Data'!$A$1:$Z$20000,MATCH(V323,'Semrush Data'!$A$1:$A$20000,0),MATCH("CPC*",'Semrush Data'!$A$1:$Z$1,0)),"")</f>
        <v>0</v>
      </c>
      <c r="Z323" s="21" t="s">
        <v>4041</v>
      </c>
      <c r="AA323" s="21" t="s">
        <v>4042</v>
      </c>
      <c r="AB323" s="21" t="s">
        <v>4043</v>
      </c>
      <c r="AC323" s="21" t="s">
        <v>4044</v>
      </c>
      <c r="AD323" s="25" t="n">
        <f aca="false">LEN(AC323)</f>
        <v>58</v>
      </c>
      <c r="AE323" s="21" t="s">
        <v>4045</v>
      </c>
      <c r="AF323" s="25" t="n">
        <f aca="false">LEN(AE323)</f>
        <v>152</v>
      </c>
    </row>
    <row r="324" customFormat="false" ht="15" hidden="false" customHeight="true" outlineLevel="0" collapsed="false">
      <c r="A324" s="21" t="s">
        <v>4046</v>
      </c>
      <c r="B324" s="21" t="s">
        <v>2390</v>
      </c>
      <c r="C324" s="21" t="n">
        <v>164</v>
      </c>
      <c r="D324" s="21" t="s">
        <v>4034</v>
      </c>
      <c r="E324" s="21"/>
      <c r="F324" s="21" t="s">
        <v>2393</v>
      </c>
      <c r="G324" s="21" t="s">
        <v>2394</v>
      </c>
      <c r="H324" s="21" t="s">
        <v>2479</v>
      </c>
      <c r="I324" s="21" t="s">
        <v>4047</v>
      </c>
      <c r="J324" s="21" t="s">
        <v>1935</v>
      </c>
      <c r="K324" s="21" t="n">
        <v>37.95</v>
      </c>
      <c r="L324" s="21" t="s">
        <v>4048</v>
      </c>
      <c r="M324" s="21" t="s">
        <v>4049</v>
      </c>
      <c r="N324" s="21" t="s">
        <v>4050</v>
      </c>
      <c r="O324" s="21" t="s">
        <v>4051</v>
      </c>
      <c r="P324" s="21" t="s">
        <v>4052</v>
      </c>
      <c r="Q324" s="22" t="n">
        <f aca="false">IF(L324="","",IFERROR(INDEX('Semrush Data'!$A$1:$Z$20000,MATCH(L324,'Semrush Data'!$A$1:$A$20000,0),MATCH("Volume",'Semrush Data'!$A$1:$Z$1,0)),""))</f>
        <v>0</v>
      </c>
      <c r="R324" s="22" t="str">
        <f aca="false">IF(M324="","",IFERROR(INDEX('Semrush Data'!$A$1:$Z$20000,MATCH(M324,'Semrush Data'!$A$1:$A$20000,0),MATCH("Volume",'Semrush Data'!$A$1:$Z$1,0)),""))</f>
        <v/>
      </c>
      <c r="S324" s="22" t="str">
        <f aca="false">IF(N324="","",IFERROR(INDEX('Semrush Data'!$A$1:$Z$20000,MATCH(N324,'Semrush Data'!$A$1:$A$20000,0),MATCH("Volume",'Semrush Data'!$A$1:$Z$1,0)),""))</f>
        <v/>
      </c>
      <c r="T324" s="22" t="str">
        <f aca="false">IF(O324="","",IFERROR(INDEX('Semrush Data'!$A$1:$Z$20000,MATCH(O324,'Semrush Data'!$A$1:$A$20000,0),MATCH("Volume",'Semrush Data'!$A$1:$Z$1,0)),""))</f>
        <v/>
      </c>
      <c r="U324" s="22" t="str">
        <f aca="false">IF(P324="","",IFERROR(INDEX('Semrush Data'!$A$1:$Z$20000,MATCH(P324,'Semrush Data'!$A$1:$A$20000,0),MATCH("Volume",'Semrush Data'!$A$1:$Z$1,0)),""))</f>
        <v/>
      </c>
      <c r="V324" s="23" t="str">
        <f aca="false">IF(COUNT(Q324:U324)=0,L324,IF(MAX(Q324:U324)=0,L324,INDEX(L324:P324,MATCH(MAX(Q324:U324),Q324:U324,0))))</f>
        <v>fumeri adore</v>
      </c>
      <c r="W324" s="22" t="n">
        <f aca="false">IFERROR(INDEX('Semrush Data'!$A$1:$Z$20000,MATCH(V324,'Semrush Data'!$A$1:$A$20000,0),MATCH("Volume",'Semrush Data'!$A$1:$Z$1,0)),"")</f>
        <v>0</v>
      </c>
      <c r="X324" s="22" t="n">
        <f aca="false">IFERROR(INDEX('Semrush Data'!$A$1:$Z$20000,MATCH(V324,'Semrush Data'!$A$1:$A$20000,0),MATCH("Keyword Difficulty*",'Semrush Data'!$A$1:$Z$1,0)),"")</f>
        <v>16</v>
      </c>
      <c r="Y324" s="24" t="n">
        <f aca="false">IFERROR(INDEX('Semrush Data'!$A$1:$Z$20000,MATCH(V324,'Semrush Data'!$A$1:$A$20000,0),MATCH("CPC*",'Semrush Data'!$A$1:$Z$1,0)),"")</f>
        <v>0</v>
      </c>
      <c r="Z324" s="21" t="s">
        <v>4041</v>
      </c>
      <c r="AA324" s="21" t="s">
        <v>4053</v>
      </c>
      <c r="AB324" s="21" t="s">
        <v>4054</v>
      </c>
      <c r="AC324" s="21" t="s">
        <v>4055</v>
      </c>
      <c r="AD324" s="25" t="n">
        <f aca="false">LEN(AC324)</f>
        <v>50</v>
      </c>
      <c r="AE324" s="21" t="s">
        <v>4056</v>
      </c>
      <c r="AF324" s="25" t="n">
        <f aca="false">LEN(AE324)</f>
        <v>144</v>
      </c>
    </row>
    <row r="325" customFormat="false" ht="15" hidden="false" customHeight="true" outlineLevel="0" collapsed="false">
      <c r="A325" s="21" t="s">
        <v>4057</v>
      </c>
      <c r="B325" s="21" t="s">
        <v>2390</v>
      </c>
      <c r="C325" s="21" t="n">
        <v>165</v>
      </c>
      <c r="D325" s="21" t="s">
        <v>4034</v>
      </c>
      <c r="E325" s="21"/>
      <c r="F325" s="21" t="s">
        <v>2393</v>
      </c>
      <c r="G325" s="21" t="s">
        <v>2394</v>
      </c>
      <c r="H325" s="21" t="s">
        <v>2479</v>
      </c>
      <c r="I325" s="21" t="s">
        <v>4058</v>
      </c>
      <c r="J325" s="21" t="s">
        <v>1935</v>
      </c>
      <c r="K325" s="21" t="n">
        <v>23.95</v>
      </c>
      <c r="L325" s="21" t="s">
        <v>4059</v>
      </c>
      <c r="M325" s="21" t="s">
        <v>4060</v>
      </c>
      <c r="N325" s="21" t="s">
        <v>4061</v>
      </c>
      <c r="O325" s="21" t="s">
        <v>4062</v>
      </c>
      <c r="P325" s="21" t="s">
        <v>4063</v>
      </c>
      <c r="Q325" s="22" t="n">
        <f aca="false">IF(L325="","",IFERROR(INDEX('Semrush Data'!$A$1:$Z$20000,MATCH(L325,'Semrush Data'!$A$1:$A$20000,0),MATCH("Volume",'Semrush Data'!$A$1:$Z$1,0)),""))</f>
        <v>10</v>
      </c>
      <c r="R325" s="22" t="str">
        <f aca="false">IF(M325="","",IFERROR(INDEX('Semrush Data'!$A$1:$Z$20000,MATCH(M325,'Semrush Data'!$A$1:$A$20000,0),MATCH("Volume",'Semrush Data'!$A$1:$Z$1,0)),""))</f>
        <v/>
      </c>
      <c r="S325" s="22" t="str">
        <f aca="false">IF(N325="","",IFERROR(INDEX('Semrush Data'!$A$1:$Z$20000,MATCH(N325,'Semrush Data'!$A$1:$A$20000,0),MATCH("Volume",'Semrush Data'!$A$1:$Z$1,0)),""))</f>
        <v/>
      </c>
      <c r="T325" s="22" t="str">
        <f aca="false">IF(O325="","",IFERROR(INDEX('Semrush Data'!$A$1:$Z$20000,MATCH(O325,'Semrush Data'!$A$1:$A$20000,0),MATCH("Volume",'Semrush Data'!$A$1:$Z$1,0)),""))</f>
        <v/>
      </c>
      <c r="U325" s="22" t="str">
        <f aca="false">IF(P325="","",IFERROR(INDEX('Semrush Data'!$A$1:$Z$20000,MATCH(P325,'Semrush Data'!$A$1:$A$20000,0),MATCH("Volume",'Semrush Data'!$A$1:$Z$1,0)),""))</f>
        <v/>
      </c>
      <c r="V325" s="23" t="str">
        <f aca="false">IF(COUNT(Q325:U325)=0,L325,IF(MAX(Q325:U325)=0,L325,INDEX(L325:P325,MATCH(MAX(Q325:U325),Q325:U325,0))))</f>
        <v>fumeri ambre night</v>
      </c>
      <c r="W325" s="22" t="n">
        <f aca="false">IFERROR(INDEX('Semrush Data'!$A$1:$Z$20000,MATCH(V325,'Semrush Data'!$A$1:$A$20000,0),MATCH("Volume",'Semrush Data'!$A$1:$Z$1,0)),"")</f>
        <v>10</v>
      </c>
      <c r="X325" s="22" t="n">
        <f aca="false">IFERROR(INDEX('Semrush Data'!$A$1:$Z$20000,MATCH(V325,'Semrush Data'!$A$1:$A$20000,0),MATCH("Keyword Difficulty*",'Semrush Data'!$A$1:$Z$1,0)),"")</f>
        <v>25</v>
      </c>
      <c r="Y325" s="24" t="n">
        <f aca="false">IFERROR(INDEX('Semrush Data'!$A$1:$Z$20000,MATCH(V325,'Semrush Data'!$A$1:$A$20000,0),MATCH("CPC*",'Semrush Data'!$A$1:$Z$1,0)),"")</f>
        <v>0</v>
      </c>
      <c r="Z325" s="21" t="s">
        <v>4041</v>
      </c>
      <c r="AA325" s="21" t="s">
        <v>4064</v>
      </c>
      <c r="AB325" s="21" t="s">
        <v>4065</v>
      </c>
      <c r="AC325" s="21" t="s">
        <v>4066</v>
      </c>
      <c r="AD325" s="25" t="n">
        <f aca="false">LEN(AC325)</f>
        <v>56</v>
      </c>
      <c r="AE325" s="21" t="s">
        <v>4067</v>
      </c>
      <c r="AF325" s="25" t="n">
        <f aca="false">LEN(AE325)</f>
        <v>150</v>
      </c>
    </row>
    <row r="326" customFormat="false" ht="15" hidden="false" customHeight="true" outlineLevel="0" collapsed="false">
      <c r="A326" s="21" t="s">
        <v>4068</v>
      </c>
      <c r="B326" s="21" t="s">
        <v>2390</v>
      </c>
      <c r="C326" s="21" t="n">
        <v>166</v>
      </c>
      <c r="D326" s="21" t="s">
        <v>4034</v>
      </c>
      <c r="E326" s="21"/>
      <c r="F326" s="21" t="s">
        <v>2393</v>
      </c>
      <c r="G326" s="21" t="s">
        <v>2394</v>
      </c>
      <c r="H326" s="21" t="s">
        <v>2457</v>
      </c>
      <c r="I326" s="21" t="s">
        <v>4069</v>
      </c>
      <c r="J326" s="21" t="s">
        <v>1935</v>
      </c>
      <c r="K326" s="21" t="n">
        <v>37.95</v>
      </c>
      <c r="L326" s="21" t="s">
        <v>4070</v>
      </c>
      <c r="M326" s="21" t="s">
        <v>4071</v>
      </c>
      <c r="N326" s="21" t="s">
        <v>4072</v>
      </c>
      <c r="O326" s="21" t="s">
        <v>4073</v>
      </c>
      <c r="P326" s="21" t="s">
        <v>4074</v>
      </c>
      <c r="Q326" s="22" t="n">
        <f aca="false">IF(L326="","",IFERROR(INDEX('Semrush Data'!$A$1:$Z$20000,MATCH(L326,'Semrush Data'!$A$1:$A$20000,0),MATCH("Volume",'Semrush Data'!$A$1:$Z$1,0)),""))</f>
        <v>0</v>
      </c>
      <c r="R326" s="22" t="str">
        <f aca="false">IF(M326="","",IFERROR(INDEX('Semrush Data'!$A$1:$Z$20000,MATCH(M326,'Semrush Data'!$A$1:$A$20000,0),MATCH("Volume",'Semrush Data'!$A$1:$Z$1,0)),""))</f>
        <v/>
      </c>
      <c r="S326" s="22" t="str">
        <f aca="false">IF(N326="","",IFERROR(INDEX('Semrush Data'!$A$1:$Z$20000,MATCH(N326,'Semrush Data'!$A$1:$A$20000,0),MATCH("Volume",'Semrush Data'!$A$1:$Z$1,0)),""))</f>
        <v/>
      </c>
      <c r="T326" s="22" t="str">
        <f aca="false">IF(O326="","",IFERROR(INDEX('Semrush Data'!$A$1:$Z$20000,MATCH(O326,'Semrush Data'!$A$1:$A$20000,0),MATCH("Volume",'Semrush Data'!$A$1:$Z$1,0)),""))</f>
        <v/>
      </c>
      <c r="U326" s="22" t="str">
        <f aca="false">IF(P326="","",IFERROR(INDEX('Semrush Data'!$A$1:$Z$20000,MATCH(P326,'Semrush Data'!$A$1:$A$20000,0),MATCH("Volume",'Semrush Data'!$A$1:$Z$1,0)),""))</f>
        <v/>
      </c>
      <c r="V326" s="23" t="str">
        <f aca="false">IF(COUNT(Q326:U326)=0,L326,IF(MAX(Q326:U326)=0,L326,INDEX(L326:P326,MATCH(MAX(Q326:U326),Q326:U326,0))))</f>
        <v>fumeri angel</v>
      </c>
      <c r="W326" s="22" t="n">
        <f aca="false">IFERROR(INDEX('Semrush Data'!$A$1:$Z$20000,MATCH(V326,'Semrush Data'!$A$1:$A$20000,0),MATCH("Volume",'Semrush Data'!$A$1:$Z$1,0)),"")</f>
        <v>0</v>
      </c>
      <c r="X326" s="22" t="n">
        <f aca="false">IFERROR(INDEX('Semrush Data'!$A$1:$Z$20000,MATCH(V326,'Semrush Data'!$A$1:$A$20000,0),MATCH("Keyword Difficulty*",'Semrush Data'!$A$1:$Z$1,0)),"")</f>
        <v>14</v>
      </c>
      <c r="Y326" s="24" t="n">
        <f aca="false">IFERROR(INDEX('Semrush Data'!$A$1:$Z$20000,MATCH(V326,'Semrush Data'!$A$1:$A$20000,0),MATCH("CPC*",'Semrush Data'!$A$1:$Z$1,0)),"")</f>
        <v>0</v>
      </c>
      <c r="Z326" s="21" t="s">
        <v>4075</v>
      </c>
      <c r="AA326" s="21" t="s">
        <v>4076</v>
      </c>
      <c r="AB326" s="21" t="s">
        <v>4077</v>
      </c>
      <c r="AC326" s="21" t="s">
        <v>4078</v>
      </c>
      <c r="AD326" s="25" t="n">
        <f aca="false">LEN(AC326)</f>
        <v>53</v>
      </c>
      <c r="AE326" s="21" t="s">
        <v>4079</v>
      </c>
      <c r="AF326" s="25" t="n">
        <f aca="false">LEN(AE326)</f>
        <v>147</v>
      </c>
    </row>
    <row r="327" customFormat="false" ht="15" hidden="false" customHeight="true" outlineLevel="0" collapsed="false">
      <c r="A327" s="21" t="s">
        <v>4080</v>
      </c>
      <c r="B327" s="21" t="s">
        <v>2390</v>
      </c>
      <c r="C327" s="21" t="n">
        <v>167</v>
      </c>
      <c r="D327" s="21" t="s">
        <v>4034</v>
      </c>
      <c r="E327" s="21"/>
      <c r="F327" s="21" t="s">
        <v>2393</v>
      </c>
      <c r="G327" s="21" t="s">
        <v>2394</v>
      </c>
      <c r="H327" s="21" t="s">
        <v>2832</v>
      </c>
      <c r="I327" s="21" t="s">
        <v>4081</v>
      </c>
      <c r="J327" s="21" t="s">
        <v>1935</v>
      </c>
      <c r="K327" s="21" t="n">
        <v>23.95</v>
      </c>
      <c r="L327" s="21" t="s">
        <v>4082</v>
      </c>
      <c r="M327" s="21" t="s">
        <v>4083</v>
      </c>
      <c r="N327" s="21" t="s">
        <v>4084</v>
      </c>
      <c r="O327" s="21" t="s">
        <v>4085</v>
      </c>
      <c r="P327" s="21" t="s">
        <v>4086</v>
      </c>
      <c r="Q327" s="22" t="n">
        <f aca="false">IF(L327="","",IFERROR(INDEX('Semrush Data'!$A$1:$Z$20000,MATCH(L327,'Semrush Data'!$A$1:$A$20000,0),MATCH("Volume",'Semrush Data'!$A$1:$Z$1,0)),""))</f>
        <v>0</v>
      </c>
      <c r="R327" s="22" t="str">
        <f aca="false">IF(M327="","",IFERROR(INDEX('Semrush Data'!$A$1:$Z$20000,MATCH(M327,'Semrush Data'!$A$1:$A$20000,0),MATCH("Volume",'Semrush Data'!$A$1:$Z$1,0)),""))</f>
        <v/>
      </c>
      <c r="S327" s="22" t="str">
        <f aca="false">IF(N327="","",IFERROR(INDEX('Semrush Data'!$A$1:$Z$20000,MATCH(N327,'Semrush Data'!$A$1:$A$20000,0),MATCH("Volume",'Semrush Data'!$A$1:$Z$1,0)),""))</f>
        <v/>
      </c>
      <c r="T327" s="22" t="str">
        <f aca="false">IF(O327="","",IFERROR(INDEX('Semrush Data'!$A$1:$Z$20000,MATCH(O327,'Semrush Data'!$A$1:$A$20000,0),MATCH("Volume",'Semrush Data'!$A$1:$Z$1,0)),""))</f>
        <v/>
      </c>
      <c r="U327" s="22" t="str">
        <f aca="false">IF(P327="","",IFERROR(INDEX('Semrush Data'!$A$1:$Z$20000,MATCH(P327,'Semrush Data'!$A$1:$A$20000,0),MATCH("Volume",'Semrush Data'!$A$1:$Z$1,0)),""))</f>
        <v/>
      </c>
      <c r="V327" s="23" t="str">
        <f aca="false">IF(COUNT(Q327:U327)=0,L327,IF(MAX(Q327:U327)=0,L327,INDEX(L327:P327,MATCH(MAX(Q327:U327),Q327:U327,0))))</f>
        <v>fumeri blue</v>
      </c>
      <c r="W327" s="22" t="n">
        <f aca="false">IFERROR(INDEX('Semrush Data'!$A$1:$Z$20000,MATCH(V327,'Semrush Data'!$A$1:$A$20000,0),MATCH("Volume",'Semrush Data'!$A$1:$Z$1,0)),"")</f>
        <v>0</v>
      </c>
      <c r="X327" s="22" t="n">
        <f aca="false">IFERROR(INDEX('Semrush Data'!$A$1:$Z$20000,MATCH(V327,'Semrush Data'!$A$1:$A$20000,0),MATCH("Keyword Difficulty*",'Semrush Data'!$A$1:$Z$1,0)),"")</f>
        <v>19</v>
      </c>
      <c r="Y327" s="24" t="n">
        <f aca="false">IFERROR(INDEX('Semrush Data'!$A$1:$Z$20000,MATCH(V327,'Semrush Data'!$A$1:$A$20000,0),MATCH("CPC*",'Semrush Data'!$A$1:$Z$1,0)),"")</f>
        <v>0</v>
      </c>
      <c r="Z327" s="21" t="s">
        <v>4087</v>
      </c>
      <c r="AA327" s="21" t="s">
        <v>4088</v>
      </c>
      <c r="AB327" s="21" t="s">
        <v>4089</v>
      </c>
      <c r="AC327" s="21" t="s">
        <v>4090</v>
      </c>
      <c r="AD327" s="25" t="n">
        <f aca="false">LEN(AC327)</f>
        <v>50</v>
      </c>
      <c r="AE327" s="21" t="s">
        <v>4091</v>
      </c>
      <c r="AF327" s="25" t="n">
        <f aca="false">LEN(AE327)</f>
        <v>142</v>
      </c>
    </row>
    <row r="328" customFormat="false" ht="15" hidden="false" customHeight="true" outlineLevel="0" collapsed="false">
      <c r="A328" s="21" t="s">
        <v>4092</v>
      </c>
      <c r="B328" s="21" t="s">
        <v>2390</v>
      </c>
      <c r="C328" s="21" t="n">
        <v>168</v>
      </c>
      <c r="D328" s="21" t="s">
        <v>4034</v>
      </c>
      <c r="E328" s="21"/>
      <c r="F328" s="21" t="s">
        <v>2393</v>
      </c>
      <c r="G328" s="21" t="s">
        <v>2394</v>
      </c>
      <c r="H328" s="21" t="s">
        <v>2479</v>
      </c>
      <c r="I328" s="21" t="s">
        <v>4093</v>
      </c>
      <c r="J328" s="21" t="s">
        <v>1935</v>
      </c>
      <c r="K328" s="21" t="n">
        <v>37.95</v>
      </c>
      <c r="L328" s="21" t="s">
        <v>4094</v>
      </c>
      <c r="M328" s="21" t="s">
        <v>4095</v>
      </c>
      <c r="N328" s="21" t="s">
        <v>4096</v>
      </c>
      <c r="O328" s="21" t="s">
        <v>4097</v>
      </c>
      <c r="P328" s="21" t="s">
        <v>4098</v>
      </c>
      <c r="Q328" s="22" t="n">
        <f aca="false">IF(L328="","",IFERROR(INDEX('Semrush Data'!$A$1:$Z$20000,MATCH(L328,'Semrush Data'!$A$1:$A$20000,0),MATCH("Volume",'Semrush Data'!$A$1:$Z$1,0)),""))</f>
        <v>0</v>
      </c>
      <c r="R328" s="22" t="str">
        <f aca="false">IF(M328="","",IFERROR(INDEX('Semrush Data'!$A$1:$Z$20000,MATCH(M328,'Semrush Data'!$A$1:$A$20000,0),MATCH("Volume",'Semrush Data'!$A$1:$Z$1,0)),""))</f>
        <v/>
      </c>
      <c r="S328" s="22" t="str">
        <f aca="false">IF(N328="","",IFERROR(INDEX('Semrush Data'!$A$1:$Z$20000,MATCH(N328,'Semrush Data'!$A$1:$A$20000,0),MATCH("Volume",'Semrush Data'!$A$1:$Z$1,0)),""))</f>
        <v/>
      </c>
      <c r="T328" s="22" t="str">
        <f aca="false">IF(O328="","",IFERROR(INDEX('Semrush Data'!$A$1:$Z$20000,MATCH(O328,'Semrush Data'!$A$1:$A$20000,0),MATCH("Volume",'Semrush Data'!$A$1:$Z$1,0)),""))</f>
        <v/>
      </c>
      <c r="U328" s="22" t="str">
        <f aca="false">IF(P328="","",IFERROR(INDEX('Semrush Data'!$A$1:$Z$20000,MATCH(P328,'Semrush Data'!$A$1:$A$20000,0),MATCH("Volume",'Semrush Data'!$A$1:$Z$1,0)),""))</f>
        <v/>
      </c>
      <c r="V328" s="23" t="str">
        <f aca="false">IF(COUNT(Q328:U328)=0,L328,IF(MAX(Q328:U328)=0,L328,INDEX(L328:P328,MATCH(MAX(Q328:U328),Q328:U328,0))))</f>
        <v>fumeri elixir</v>
      </c>
      <c r="W328" s="22" t="n">
        <f aca="false">IFERROR(INDEX('Semrush Data'!$A$1:$Z$20000,MATCH(V328,'Semrush Data'!$A$1:$A$20000,0),MATCH("Volume",'Semrush Data'!$A$1:$Z$1,0)),"")</f>
        <v>0</v>
      </c>
      <c r="X328" s="22" t="n">
        <f aca="false">IFERROR(INDEX('Semrush Data'!$A$1:$Z$20000,MATCH(V328,'Semrush Data'!$A$1:$A$20000,0),MATCH("Keyword Difficulty*",'Semrush Data'!$A$1:$Z$1,0)),"")</f>
        <v>21</v>
      </c>
      <c r="Y328" s="24" t="n">
        <f aca="false">IFERROR(INDEX('Semrush Data'!$A$1:$Z$20000,MATCH(V328,'Semrush Data'!$A$1:$A$20000,0),MATCH("CPC*",'Semrush Data'!$A$1:$Z$1,0)),"")</f>
        <v>0</v>
      </c>
      <c r="Z328" s="21" t="s">
        <v>4041</v>
      </c>
      <c r="AA328" s="21" t="s">
        <v>4099</v>
      </c>
      <c r="AB328" s="21" t="s">
        <v>4100</v>
      </c>
      <c r="AC328" s="21" t="s">
        <v>4101</v>
      </c>
      <c r="AD328" s="25" t="n">
        <f aca="false">LEN(AC328)</f>
        <v>51</v>
      </c>
      <c r="AE328" s="21" t="s">
        <v>4102</v>
      </c>
      <c r="AF328" s="25" t="n">
        <f aca="false">LEN(AE328)</f>
        <v>145</v>
      </c>
    </row>
    <row r="329" customFormat="false" ht="15" hidden="false" customHeight="true" outlineLevel="0" collapsed="false">
      <c r="A329" s="21" t="s">
        <v>4103</v>
      </c>
      <c r="B329" s="21" t="s">
        <v>2390</v>
      </c>
      <c r="C329" s="21" t="n">
        <v>169</v>
      </c>
      <c r="D329" s="21" t="s">
        <v>4034</v>
      </c>
      <c r="E329" s="21"/>
      <c r="F329" s="21" t="s">
        <v>2393</v>
      </c>
      <c r="G329" s="21" t="s">
        <v>2394</v>
      </c>
      <c r="H329" s="21" t="s">
        <v>2479</v>
      </c>
      <c r="I329" s="21" t="s">
        <v>4104</v>
      </c>
      <c r="J329" s="21" t="s">
        <v>1935</v>
      </c>
      <c r="K329" s="21" t="n">
        <v>37.95</v>
      </c>
      <c r="L329" s="21" t="s">
        <v>4105</v>
      </c>
      <c r="M329" s="21" t="s">
        <v>4106</v>
      </c>
      <c r="N329" s="21" t="s">
        <v>4107</v>
      </c>
      <c r="O329" s="21" t="s">
        <v>4108</v>
      </c>
      <c r="P329" s="21" t="s">
        <v>4109</v>
      </c>
      <c r="Q329" s="22" t="n">
        <f aca="false">IF(L329="","",IFERROR(INDEX('Semrush Data'!$A$1:$Z$20000,MATCH(L329,'Semrush Data'!$A$1:$A$20000,0),MATCH("Volume",'Semrush Data'!$A$1:$Z$1,0)),""))</f>
        <v>0</v>
      </c>
      <c r="R329" s="22" t="str">
        <f aca="false">IF(M329="","",IFERROR(INDEX('Semrush Data'!$A$1:$Z$20000,MATCH(M329,'Semrush Data'!$A$1:$A$20000,0),MATCH("Volume",'Semrush Data'!$A$1:$Z$1,0)),""))</f>
        <v/>
      </c>
      <c r="S329" s="22" t="str">
        <f aca="false">IF(N329="","",IFERROR(INDEX('Semrush Data'!$A$1:$Z$20000,MATCH(N329,'Semrush Data'!$A$1:$A$20000,0),MATCH("Volume",'Semrush Data'!$A$1:$Z$1,0)),""))</f>
        <v/>
      </c>
      <c r="T329" s="22" t="str">
        <f aca="false">IF(O329="","",IFERROR(INDEX('Semrush Data'!$A$1:$Z$20000,MATCH(O329,'Semrush Data'!$A$1:$A$20000,0),MATCH("Volume",'Semrush Data'!$A$1:$Z$1,0)),""))</f>
        <v/>
      </c>
      <c r="U329" s="22" t="str">
        <f aca="false">IF(P329="","",IFERROR(INDEX('Semrush Data'!$A$1:$Z$20000,MATCH(P329,'Semrush Data'!$A$1:$A$20000,0),MATCH("Volume",'Semrush Data'!$A$1:$Z$1,0)),""))</f>
        <v/>
      </c>
      <c r="V329" s="23" t="str">
        <f aca="false">IF(COUNT(Q329:U329)=0,L329,IF(MAX(Q329:U329)=0,L329,INDEX(L329:P329,MATCH(MAX(Q329:U329),Q329:U329,0))))</f>
        <v>fumeri flirt</v>
      </c>
      <c r="W329" s="22" t="n">
        <f aca="false">IFERROR(INDEX('Semrush Data'!$A$1:$Z$20000,MATCH(V329,'Semrush Data'!$A$1:$A$20000,0),MATCH("Volume",'Semrush Data'!$A$1:$Z$1,0)),"")</f>
        <v>0</v>
      </c>
      <c r="X329" s="22" t="n">
        <f aca="false">IFERROR(INDEX('Semrush Data'!$A$1:$Z$20000,MATCH(V329,'Semrush Data'!$A$1:$A$20000,0),MATCH("Keyword Difficulty*",'Semrush Data'!$A$1:$Z$1,0)),"")</f>
        <v>9</v>
      </c>
      <c r="Y329" s="24" t="n">
        <f aca="false">IFERROR(INDEX('Semrush Data'!$A$1:$Z$20000,MATCH(V329,'Semrush Data'!$A$1:$A$20000,0),MATCH("CPC*",'Semrush Data'!$A$1:$Z$1,0)),"")</f>
        <v>0</v>
      </c>
      <c r="Z329" s="21" t="s">
        <v>4041</v>
      </c>
      <c r="AA329" s="21"/>
      <c r="AB329" s="21" t="s">
        <v>4110</v>
      </c>
      <c r="AC329" s="21" t="s">
        <v>4111</v>
      </c>
      <c r="AD329" s="25" t="n">
        <f aca="false">LEN(AC329)</f>
        <v>53</v>
      </c>
      <c r="AE329" s="21" t="s">
        <v>4112</v>
      </c>
      <c r="AF329" s="25" t="n">
        <f aca="false">LEN(AE329)</f>
        <v>147</v>
      </c>
    </row>
    <row r="330" customFormat="false" ht="15" hidden="false" customHeight="true" outlineLevel="0" collapsed="false">
      <c r="A330" s="21" t="s">
        <v>4113</v>
      </c>
      <c r="B330" s="21" t="s">
        <v>2390</v>
      </c>
      <c r="C330" s="21" t="n">
        <v>170</v>
      </c>
      <c r="D330" s="21" t="s">
        <v>4034</v>
      </c>
      <c r="E330" s="21"/>
      <c r="F330" s="21" t="s">
        <v>2393</v>
      </c>
      <c r="G330" s="21" t="s">
        <v>2394</v>
      </c>
      <c r="H330" s="21" t="s">
        <v>2479</v>
      </c>
      <c r="I330" s="21" t="s">
        <v>4114</v>
      </c>
      <c r="J330" s="21" t="s">
        <v>1935</v>
      </c>
      <c r="K330" s="21" t="n">
        <v>37.95</v>
      </c>
      <c r="L330" s="21" t="s">
        <v>4115</v>
      </c>
      <c r="M330" s="21" t="s">
        <v>4116</v>
      </c>
      <c r="N330" s="21" t="s">
        <v>4117</v>
      </c>
      <c r="O330" s="21" t="s">
        <v>4118</v>
      </c>
      <c r="P330" s="21" t="s">
        <v>4119</v>
      </c>
      <c r="Q330" s="22" t="n">
        <f aca="false">IF(L330="","",IFERROR(INDEX('Semrush Data'!$A$1:$Z$20000,MATCH(L330,'Semrush Data'!$A$1:$A$20000,0),MATCH("Volume",'Semrush Data'!$A$1:$Z$1,0)),""))</f>
        <v>0</v>
      </c>
      <c r="R330" s="22" t="str">
        <f aca="false">IF(M330="","",IFERROR(INDEX('Semrush Data'!$A$1:$Z$20000,MATCH(M330,'Semrush Data'!$A$1:$A$20000,0),MATCH("Volume",'Semrush Data'!$A$1:$Z$1,0)),""))</f>
        <v/>
      </c>
      <c r="S330" s="22" t="str">
        <f aca="false">IF(N330="","",IFERROR(INDEX('Semrush Data'!$A$1:$Z$20000,MATCH(N330,'Semrush Data'!$A$1:$A$20000,0),MATCH("Volume",'Semrush Data'!$A$1:$Z$1,0)),""))</f>
        <v/>
      </c>
      <c r="T330" s="22" t="str">
        <f aca="false">IF(O330="","",IFERROR(INDEX('Semrush Data'!$A$1:$Z$20000,MATCH(O330,'Semrush Data'!$A$1:$A$20000,0),MATCH("Volume",'Semrush Data'!$A$1:$Z$1,0)),""))</f>
        <v/>
      </c>
      <c r="U330" s="22" t="str">
        <f aca="false">IF(P330="","",IFERROR(INDEX('Semrush Data'!$A$1:$Z$20000,MATCH(P330,'Semrush Data'!$A$1:$A$20000,0),MATCH("Volume",'Semrush Data'!$A$1:$Z$1,0)),""))</f>
        <v/>
      </c>
      <c r="V330" s="23" t="str">
        <f aca="false">IF(COUNT(Q330:U330)=0,L330,IF(MAX(Q330:U330)=0,L330,INDEX(L330:P330,MATCH(MAX(Q330:U330),Q330:U330,0))))</f>
        <v>fumeri gabriella</v>
      </c>
      <c r="W330" s="22" t="n">
        <f aca="false">IFERROR(INDEX('Semrush Data'!$A$1:$Z$20000,MATCH(V330,'Semrush Data'!$A$1:$A$20000,0),MATCH("Volume",'Semrush Data'!$A$1:$Z$1,0)),"")</f>
        <v>0</v>
      </c>
      <c r="X330" s="22" t="n">
        <f aca="false">IFERROR(INDEX('Semrush Data'!$A$1:$Z$20000,MATCH(V330,'Semrush Data'!$A$1:$A$20000,0),MATCH("Keyword Difficulty*",'Semrush Data'!$A$1:$Z$1,0)),"")</f>
        <v>19</v>
      </c>
      <c r="Y330" s="24" t="n">
        <f aca="false">IFERROR(INDEX('Semrush Data'!$A$1:$Z$20000,MATCH(V330,'Semrush Data'!$A$1:$A$20000,0),MATCH("CPC*",'Semrush Data'!$A$1:$Z$1,0)),"")</f>
        <v>0</v>
      </c>
      <c r="Z330" s="21" t="s">
        <v>4041</v>
      </c>
      <c r="AA330" s="21"/>
      <c r="AB330" s="21" t="s">
        <v>4120</v>
      </c>
      <c r="AC330" s="21" t="s">
        <v>4121</v>
      </c>
      <c r="AD330" s="25" t="n">
        <f aca="false">LEN(AC330)</f>
        <v>57</v>
      </c>
      <c r="AE330" s="21" t="s">
        <v>4122</v>
      </c>
      <c r="AF330" s="25" t="n">
        <f aca="false">LEN(AE330)</f>
        <v>151</v>
      </c>
    </row>
    <row r="331" customFormat="false" ht="15" hidden="false" customHeight="true" outlineLevel="0" collapsed="false">
      <c r="A331" s="21" t="s">
        <v>4123</v>
      </c>
      <c r="B331" s="21" t="s">
        <v>2390</v>
      </c>
      <c r="C331" s="21" t="n">
        <v>171</v>
      </c>
      <c r="D331" s="21" t="s">
        <v>4034</v>
      </c>
      <c r="E331" s="21"/>
      <c r="F331" s="21" t="s">
        <v>2393</v>
      </c>
      <c r="G331" s="21" t="s">
        <v>2394</v>
      </c>
      <c r="H331" s="21" t="s">
        <v>2479</v>
      </c>
      <c r="I331" s="21" t="s">
        <v>4124</v>
      </c>
      <c r="J331" s="21" t="s">
        <v>1935</v>
      </c>
      <c r="K331" s="21" t="n">
        <v>37.95</v>
      </c>
      <c r="L331" s="21" t="s">
        <v>4125</v>
      </c>
      <c r="M331" s="21" t="s">
        <v>4126</v>
      </c>
      <c r="N331" s="21" t="s">
        <v>4127</v>
      </c>
      <c r="O331" s="21" t="s">
        <v>4128</v>
      </c>
      <c r="P331" s="21" t="s">
        <v>4129</v>
      </c>
      <c r="Q331" s="22" t="n">
        <f aca="false">IF(L331="","",IFERROR(INDEX('Semrush Data'!$A$1:$Z$20000,MATCH(L331,'Semrush Data'!$A$1:$A$20000,0),MATCH("Volume",'Semrush Data'!$A$1:$Z$1,0)),""))</f>
        <v>0</v>
      </c>
      <c r="R331" s="22" t="str">
        <f aca="false">IF(M331="","",IFERROR(INDEX('Semrush Data'!$A$1:$Z$20000,MATCH(M331,'Semrush Data'!$A$1:$A$20000,0),MATCH("Volume",'Semrush Data'!$A$1:$Z$1,0)),""))</f>
        <v/>
      </c>
      <c r="S331" s="22" t="str">
        <f aca="false">IF(N331="","",IFERROR(INDEX('Semrush Data'!$A$1:$Z$20000,MATCH(N331,'Semrush Data'!$A$1:$A$20000,0),MATCH("Volume",'Semrush Data'!$A$1:$Z$1,0)),""))</f>
        <v/>
      </c>
      <c r="T331" s="22" t="str">
        <f aca="false">IF(O331="","",IFERROR(INDEX('Semrush Data'!$A$1:$Z$20000,MATCH(O331,'Semrush Data'!$A$1:$A$20000,0),MATCH("Volume",'Semrush Data'!$A$1:$Z$1,0)),""))</f>
        <v/>
      </c>
      <c r="U331" s="22" t="str">
        <f aca="false">IF(P331="","",IFERROR(INDEX('Semrush Data'!$A$1:$Z$20000,MATCH(P331,'Semrush Data'!$A$1:$A$20000,0),MATCH("Volume",'Semrush Data'!$A$1:$Z$1,0)),""))</f>
        <v/>
      </c>
      <c r="V331" s="23" t="str">
        <f aca="false">IF(COUNT(Q331:U331)=0,L331,IF(MAX(Q331:U331)=0,L331,INDEX(L331:P331,MATCH(MAX(Q331:U331),Q331:U331,0))))</f>
        <v>fumeri gris</v>
      </c>
      <c r="W331" s="22" t="n">
        <f aca="false">IFERROR(INDEX('Semrush Data'!$A$1:$Z$20000,MATCH(V331,'Semrush Data'!$A$1:$A$20000,0),MATCH("Volume",'Semrush Data'!$A$1:$Z$1,0)),"")</f>
        <v>0</v>
      </c>
      <c r="X331" s="22" t="n">
        <f aca="false">IFERROR(INDEX('Semrush Data'!$A$1:$Z$20000,MATCH(V331,'Semrush Data'!$A$1:$A$20000,0),MATCH("Keyword Difficulty*",'Semrush Data'!$A$1:$Z$1,0)),"")</f>
        <v>13</v>
      </c>
      <c r="Y331" s="24" t="n">
        <f aca="false">IFERROR(INDEX('Semrush Data'!$A$1:$Z$20000,MATCH(V331,'Semrush Data'!$A$1:$A$20000,0),MATCH("CPC*",'Semrush Data'!$A$1:$Z$1,0)),"")</f>
        <v>0</v>
      </c>
      <c r="Z331" s="21" t="s">
        <v>4041</v>
      </c>
      <c r="AA331" s="21" t="s">
        <v>4130</v>
      </c>
      <c r="AB331" s="21" t="s">
        <v>4131</v>
      </c>
      <c r="AC331" s="21" t="s">
        <v>4132</v>
      </c>
      <c r="AD331" s="25" t="n">
        <f aca="false">LEN(AC331)</f>
        <v>59</v>
      </c>
      <c r="AE331" s="21" t="s">
        <v>4133</v>
      </c>
      <c r="AF331" s="25" t="n">
        <f aca="false">LEN(AE331)</f>
        <v>153</v>
      </c>
    </row>
    <row r="332" customFormat="false" ht="15" hidden="false" customHeight="true" outlineLevel="0" collapsed="false">
      <c r="A332" s="21" t="s">
        <v>4134</v>
      </c>
      <c r="B332" s="21" t="s">
        <v>2390</v>
      </c>
      <c r="C332" s="21" t="n">
        <v>172</v>
      </c>
      <c r="D332" s="21" t="s">
        <v>4034</v>
      </c>
      <c r="E332" s="21"/>
      <c r="F332" s="21" t="s">
        <v>2393</v>
      </c>
      <c r="G332" s="21" t="s">
        <v>2394</v>
      </c>
      <c r="H332" s="21" t="s">
        <v>2457</v>
      </c>
      <c r="I332" s="21" t="s">
        <v>4135</v>
      </c>
      <c r="J332" s="21" t="s">
        <v>1935</v>
      </c>
      <c r="K332" s="21" t="n">
        <v>23.95</v>
      </c>
      <c r="L332" s="21" t="s">
        <v>4136</v>
      </c>
      <c r="M332" s="21" t="s">
        <v>4137</v>
      </c>
      <c r="N332" s="21" t="s">
        <v>4138</v>
      </c>
      <c r="O332" s="21" t="s">
        <v>4139</v>
      </c>
      <c r="P332" s="21" t="s">
        <v>4140</v>
      </c>
      <c r="Q332" s="22" t="n">
        <f aca="false">IF(L332="","",IFERROR(INDEX('Semrush Data'!$A$1:$Z$20000,MATCH(L332,'Semrush Data'!$A$1:$A$20000,0),MATCH("Volume",'Semrush Data'!$A$1:$Z$1,0)),""))</f>
        <v>0</v>
      </c>
      <c r="R332" s="22" t="str">
        <f aca="false">IF(M332="","",IFERROR(INDEX('Semrush Data'!$A$1:$Z$20000,MATCH(M332,'Semrush Data'!$A$1:$A$20000,0),MATCH("Volume",'Semrush Data'!$A$1:$Z$1,0)),""))</f>
        <v/>
      </c>
      <c r="S332" s="22" t="str">
        <f aca="false">IF(N332="","",IFERROR(INDEX('Semrush Data'!$A$1:$Z$20000,MATCH(N332,'Semrush Data'!$A$1:$A$20000,0),MATCH("Volume",'Semrush Data'!$A$1:$Z$1,0)),""))</f>
        <v/>
      </c>
      <c r="T332" s="22" t="str">
        <f aca="false">IF(O332="","",IFERROR(INDEX('Semrush Data'!$A$1:$Z$20000,MATCH(O332,'Semrush Data'!$A$1:$A$20000,0),MATCH("Volume",'Semrush Data'!$A$1:$Z$1,0)),""))</f>
        <v/>
      </c>
      <c r="U332" s="22" t="str">
        <f aca="false">IF(P332="","",IFERROR(INDEX('Semrush Data'!$A$1:$Z$20000,MATCH(P332,'Semrush Data'!$A$1:$A$20000,0),MATCH("Volume",'Semrush Data'!$A$1:$Z$1,0)),""))</f>
        <v/>
      </c>
      <c r="V332" s="23" t="str">
        <f aca="false">IF(COUNT(Q332:U332)=0,L332,IF(MAX(Q332:U332)=0,L332,INDEX(L332:P332,MATCH(MAX(Q332:U332),Q332:U332,0))))</f>
        <v>fumeri orchid noir</v>
      </c>
      <c r="W332" s="22" t="n">
        <f aca="false">IFERROR(INDEX('Semrush Data'!$A$1:$Z$20000,MATCH(V332,'Semrush Data'!$A$1:$A$20000,0),MATCH("Volume",'Semrush Data'!$A$1:$Z$1,0)),"")</f>
        <v>0</v>
      </c>
      <c r="X332" s="22" t="n">
        <f aca="false">IFERROR(INDEX('Semrush Data'!$A$1:$Z$20000,MATCH(V332,'Semrush Data'!$A$1:$A$20000,0),MATCH("Keyword Difficulty*",'Semrush Data'!$A$1:$Z$1,0)),"")</f>
        <v>5</v>
      </c>
      <c r="Y332" s="24" t="n">
        <f aca="false">IFERROR(INDEX('Semrush Data'!$A$1:$Z$20000,MATCH(V332,'Semrush Data'!$A$1:$A$20000,0),MATCH("CPC*",'Semrush Data'!$A$1:$Z$1,0)),"")</f>
        <v>0</v>
      </c>
      <c r="Z332" s="21" t="s">
        <v>4075</v>
      </c>
      <c r="AA332" s="21" t="s">
        <v>4141</v>
      </c>
      <c r="AB332" s="21" t="s">
        <v>4142</v>
      </c>
      <c r="AC332" s="21" t="s">
        <v>4143</v>
      </c>
      <c r="AD332" s="25" t="n">
        <f aca="false">LEN(AC332)</f>
        <v>56</v>
      </c>
      <c r="AE332" s="21" t="s">
        <v>4144</v>
      </c>
      <c r="AF332" s="25" t="n">
        <f aca="false">LEN(AE332)</f>
        <v>157</v>
      </c>
    </row>
    <row r="333" customFormat="false" ht="15" hidden="false" customHeight="true" outlineLevel="0" collapsed="false">
      <c r="A333" s="21" t="s">
        <v>4145</v>
      </c>
      <c r="B333" s="21" t="s">
        <v>2390</v>
      </c>
      <c r="C333" s="21" t="n">
        <v>173</v>
      </c>
      <c r="D333" s="21" t="s">
        <v>4034</v>
      </c>
      <c r="E333" s="21"/>
      <c r="F333" s="21" t="s">
        <v>2393</v>
      </c>
      <c r="G333" s="21" t="s">
        <v>2394</v>
      </c>
      <c r="H333" s="21" t="s">
        <v>2479</v>
      </c>
      <c r="I333" s="21" t="s">
        <v>4146</v>
      </c>
      <c r="J333" s="21" t="s">
        <v>1935</v>
      </c>
      <c r="K333" s="21" t="n">
        <v>37.95</v>
      </c>
      <c r="L333" s="21" t="s">
        <v>4147</v>
      </c>
      <c r="M333" s="21" t="s">
        <v>4148</v>
      </c>
      <c r="N333" s="21" t="s">
        <v>4149</v>
      </c>
      <c r="O333" s="21" t="s">
        <v>4150</v>
      </c>
      <c r="P333" s="21" t="s">
        <v>4151</v>
      </c>
      <c r="Q333" s="22" t="n">
        <f aca="false">IF(L333="","",IFERROR(INDEX('Semrush Data'!$A$1:$Z$20000,MATCH(L333,'Semrush Data'!$A$1:$A$20000,0),MATCH("Volume",'Semrush Data'!$A$1:$Z$1,0)),""))</f>
        <v>0</v>
      </c>
      <c r="R333" s="22" t="str">
        <f aca="false">IF(M333="","",IFERROR(INDEX('Semrush Data'!$A$1:$Z$20000,MATCH(M333,'Semrush Data'!$A$1:$A$20000,0),MATCH("Volume",'Semrush Data'!$A$1:$Z$1,0)),""))</f>
        <v/>
      </c>
      <c r="S333" s="22" t="str">
        <f aca="false">IF(N333="","",IFERROR(INDEX('Semrush Data'!$A$1:$Z$20000,MATCH(N333,'Semrush Data'!$A$1:$A$20000,0),MATCH("Volume",'Semrush Data'!$A$1:$Z$1,0)),""))</f>
        <v/>
      </c>
      <c r="T333" s="22" t="str">
        <f aca="false">IF(O333="","",IFERROR(INDEX('Semrush Data'!$A$1:$Z$20000,MATCH(O333,'Semrush Data'!$A$1:$A$20000,0),MATCH("Volume",'Semrush Data'!$A$1:$Z$1,0)),""))</f>
        <v/>
      </c>
      <c r="U333" s="22" t="str">
        <f aca="false">IF(P333="","",IFERROR(INDEX('Semrush Data'!$A$1:$Z$20000,MATCH(P333,'Semrush Data'!$A$1:$A$20000,0),MATCH("Volume",'Semrush Data'!$A$1:$Z$1,0)),""))</f>
        <v/>
      </c>
      <c r="V333" s="23" t="str">
        <f aca="false">IF(COUNT(Q333:U333)=0,L333,IF(MAX(Q333:U333)=0,L333,INDEX(L333:P333,MATCH(MAX(Q333:U333),Q333:U333,0))))</f>
        <v>fumeri orpheon</v>
      </c>
      <c r="W333" s="22" t="n">
        <f aca="false">IFERROR(INDEX('Semrush Data'!$A$1:$Z$20000,MATCH(V333,'Semrush Data'!$A$1:$A$20000,0),MATCH("Volume",'Semrush Data'!$A$1:$Z$1,0)),"")</f>
        <v>0</v>
      </c>
      <c r="X333" s="22" t="n">
        <f aca="false">IFERROR(INDEX('Semrush Data'!$A$1:$Z$20000,MATCH(V333,'Semrush Data'!$A$1:$A$20000,0),MATCH("Keyword Difficulty*",'Semrush Data'!$A$1:$Z$1,0)),"")</f>
        <v>10</v>
      </c>
      <c r="Y333" s="24" t="n">
        <f aca="false">IFERROR(INDEX('Semrush Data'!$A$1:$Z$20000,MATCH(V333,'Semrush Data'!$A$1:$A$20000,0),MATCH("CPC*",'Semrush Data'!$A$1:$Z$1,0)),"")</f>
        <v>0</v>
      </c>
      <c r="Z333" s="21" t="s">
        <v>4041</v>
      </c>
      <c r="AA333" s="21"/>
      <c r="AB333" s="21" t="s">
        <v>4152</v>
      </c>
      <c r="AC333" s="21" t="s">
        <v>4153</v>
      </c>
      <c r="AD333" s="25" t="n">
        <f aca="false">LEN(AC333)</f>
        <v>58</v>
      </c>
      <c r="AE333" s="21" t="s">
        <v>4154</v>
      </c>
      <c r="AF333" s="25" t="n">
        <f aca="false">LEN(AE333)</f>
        <v>156</v>
      </c>
    </row>
    <row r="334" customFormat="false" ht="15" hidden="false" customHeight="true" outlineLevel="0" collapsed="false">
      <c r="A334" s="21" t="s">
        <v>4155</v>
      </c>
      <c r="B334" s="21" t="s">
        <v>2390</v>
      </c>
      <c r="C334" s="21" t="n">
        <v>174</v>
      </c>
      <c r="D334" s="21" t="s">
        <v>4034</v>
      </c>
      <c r="E334" s="21"/>
      <c r="F334" s="21" t="s">
        <v>2393</v>
      </c>
      <c r="G334" s="21" t="s">
        <v>2394</v>
      </c>
      <c r="H334" s="21" t="s">
        <v>2445</v>
      </c>
      <c r="I334" s="21" t="s">
        <v>4156</v>
      </c>
      <c r="J334" s="21" t="s">
        <v>1935</v>
      </c>
      <c r="K334" s="21" t="n">
        <v>23.95</v>
      </c>
      <c r="L334" s="21" t="s">
        <v>4157</v>
      </c>
      <c r="M334" s="21" t="s">
        <v>4158</v>
      </c>
      <c r="N334" s="21" t="s">
        <v>4159</v>
      </c>
      <c r="O334" s="21" t="s">
        <v>4160</v>
      </c>
      <c r="P334" s="21" t="s">
        <v>4161</v>
      </c>
      <c r="Q334" s="22" t="n">
        <f aca="false">IF(L334="","",IFERROR(INDEX('Semrush Data'!$A$1:$Z$20000,MATCH(L334,'Semrush Data'!$A$1:$A$20000,0),MATCH("Volume",'Semrush Data'!$A$1:$Z$1,0)),""))</f>
        <v>0</v>
      </c>
      <c r="R334" s="22" t="str">
        <f aca="false">IF(M334="","",IFERROR(INDEX('Semrush Data'!$A$1:$Z$20000,MATCH(M334,'Semrush Data'!$A$1:$A$20000,0),MATCH("Volume",'Semrush Data'!$A$1:$Z$1,0)),""))</f>
        <v/>
      </c>
      <c r="S334" s="22" t="str">
        <f aca="false">IF(N334="","",IFERROR(INDEX('Semrush Data'!$A$1:$Z$20000,MATCH(N334,'Semrush Data'!$A$1:$A$20000,0),MATCH("Volume",'Semrush Data'!$A$1:$Z$1,0)),""))</f>
        <v/>
      </c>
      <c r="T334" s="22" t="str">
        <f aca="false">IF(O334="","",IFERROR(INDEX('Semrush Data'!$A$1:$Z$20000,MATCH(O334,'Semrush Data'!$A$1:$A$20000,0),MATCH("Volume",'Semrush Data'!$A$1:$Z$1,0)),""))</f>
        <v/>
      </c>
      <c r="U334" s="22" t="str">
        <f aca="false">IF(P334="","",IFERROR(INDEX('Semrush Data'!$A$1:$Z$20000,MATCH(P334,'Semrush Data'!$A$1:$A$20000,0),MATCH("Volume",'Semrush Data'!$A$1:$Z$1,0)),""))</f>
        <v/>
      </c>
      <c r="V334" s="23" t="str">
        <f aca="false">IF(COUNT(Q334:U334)=0,L334,IF(MAX(Q334:U334)=0,L334,INDEX(L334:P334,MATCH(MAX(Q334:U334),Q334:U334,0))))</f>
        <v>fumeri oud saffron</v>
      </c>
      <c r="W334" s="22" t="n">
        <f aca="false">IFERROR(INDEX('Semrush Data'!$A$1:$Z$20000,MATCH(V334,'Semrush Data'!$A$1:$A$20000,0),MATCH("Volume",'Semrush Data'!$A$1:$Z$1,0)),"")</f>
        <v>0</v>
      </c>
      <c r="X334" s="22" t="n">
        <f aca="false">IFERROR(INDEX('Semrush Data'!$A$1:$Z$20000,MATCH(V334,'Semrush Data'!$A$1:$A$20000,0),MATCH("Keyword Difficulty*",'Semrush Data'!$A$1:$Z$1,0)),"")</f>
        <v>18</v>
      </c>
      <c r="Y334" s="24" t="n">
        <f aca="false">IFERROR(INDEX('Semrush Data'!$A$1:$Z$20000,MATCH(V334,'Semrush Data'!$A$1:$A$20000,0),MATCH("CPC*",'Semrush Data'!$A$1:$Z$1,0)),"")</f>
        <v>0</v>
      </c>
      <c r="Z334" s="21" t="s">
        <v>4162</v>
      </c>
      <c r="AA334" s="21" t="s">
        <v>4163</v>
      </c>
      <c r="AB334" s="21" t="s">
        <v>4164</v>
      </c>
      <c r="AC334" s="21" t="s">
        <v>4165</v>
      </c>
      <c r="AD334" s="25" t="n">
        <f aca="false">LEN(AC334)</f>
        <v>54</v>
      </c>
      <c r="AE334" s="21" t="s">
        <v>4166</v>
      </c>
      <c r="AF334" s="25" t="n">
        <f aca="false">LEN(AE334)</f>
        <v>158</v>
      </c>
    </row>
    <row r="335" customFormat="false" ht="15" hidden="false" customHeight="true" outlineLevel="0" collapsed="false">
      <c r="A335" s="21" t="s">
        <v>4167</v>
      </c>
      <c r="B335" s="21" t="s">
        <v>2390</v>
      </c>
      <c r="C335" s="21" t="n">
        <v>175</v>
      </c>
      <c r="D335" s="21" t="s">
        <v>4034</v>
      </c>
      <c r="E335" s="21"/>
      <c r="F335" s="21" t="s">
        <v>2393</v>
      </c>
      <c r="G335" s="21" t="s">
        <v>2394</v>
      </c>
      <c r="H335" s="21" t="s">
        <v>4168</v>
      </c>
      <c r="I335" s="21" t="s">
        <v>4169</v>
      </c>
      <c r="J335" s="21" t="s">
        <v>1935</v>
      </c>
      <c r="K335" s="21" t="n">
        <v>37.95</v>
      </c>
      <c r="L335" s="21" t="s">
        <v>4170</v>
      </c>
      <c r="M335" s="21" t="s">
        <v>4171</v>
      </c>
      <c r="N335" s="21" t="s">
        <v>4172</v>
      </c>
      <c r="O335" s="21" t="s">
        <v>4173</v>
      </c>
      <c r="P335" s="21" t="s">
        <v>4174</v>
      </c>
      <c r="Q335" s="22" t="n">
        <f aca="false">IF(L335="","",IFERROR(INDEX('Semrush Data'!$A$1:$Z$20000,MATCH(L335,'Semrush Data'!$A$1:$A$20000,0),MATCH("Volume",'Semrush Data'!$A$1:$Z$1,0)),""))</f>
        <v>0</v>
      </c>
      <c r="R335" s="22" t="str">
        <f aca="false">IF(M335="","",IFERROR(INDEX('Semrush Data'!$A$1:$Z$20000,MATCH(M335,'Semrush Data'!$A$1:$A$20000,0),MATCH("Volume",'Semrush Data'!$A$1:$Z$1,0)),""))</f>
        <v/>
      </c>
      <c r="S335" s="22" t="str">
        <f aca="false">IF(N335="","",IFERROR(INDEX('Semrush Data'!$A$1:$Z$20000,MATCH(N335,'Semrush Data'!$A$1:$A$20000,0),MATCH("Volume",'Semrush Data'!$A$1:$Z$1,0)),""))</f>
        <v/>
      </c>
      <c r="T335" s="22" t="str">
        <f aca="false">IF(O335="","",IFERROR(INDEX('Semrush Data'!$A$1:$Z$20000,MATCH(O335,'Semrush Data'!$A$1:$A$20000,0),MATCH("Volume",'Semrush Data'!$A$1:$Z$1,0)),""))</f>
        <v/>
      </c>
      <c r="U335" s="22" t="str">
        <f aca="false">IF(P335="","",IFERROR(INDEX('Semrush Data'!$A$1:$Z$20000,MATCH(P335,'Semrush Data'!$A$1:$A$20000,0),MATCH("Volume",'Semrush Data'!$A$1:$Z$1,0)),""))</f>
        <v/>
      </c>
      <c r="V335" s="23" t="str">
        <f aca="false">IF(COUNT(Q335:U335)=0,L335,IF(MAX(Q335:U335)=0,L335,INDEX(L335:P335,MATCH(MAX(Q335:U335),Q335:U335,0))))</f>
        <v>fumeri peach</v>
      </c>
      <c r="W335" s="22" t="n">
        <f aca="false">IFERROR(INDEX('Semrush Data'!$A$1:$Z$20000,MATCH(V335,'Semrush Data'!$A$1:$A$20000,0),MATCH("Volume",'Semrush Data'!$A$1:$Z$1,0)),"")</f>
        <v>0</v>
      </c>
      <c r="X335" s="22" t="n">
        <f aca="false">IFERROR(INDEX('Semrush Data'!$A$1:$Z$20000,MATCH(V335,'Semrush Data'!$A$1:$A$20000,0),MATCH("Keyword Difficulty*",'Semrush Data'!$A$1:$Z$1,0)),"")</f>
        <v>18</v>
      </c>
      <c r="Y335" s="24" t="n">
        <f aca="false">IFERROR(INDEX('Semrush Data'!$A$1:$Z$20000,MATCH(V335,'Semrush Data'!$A$1:$A$20000,0),MATCH("CPC*",'Semrush Data'!$A$1:$Z$1,0)),"")</f>
        <v>0</v>
      </c>
      <c r="Z335" s="21" t="s">
        <v>4175</v>
      </c>
      <c r="AA335" s="21" t="s">
        <v>4176</v>
      </c>
      <c r="AB335" s="21" t="s">
        <v>4177</v>
      </c>
      <c r="AC335" s="21" t="s">
        <v>4178</v>
      </c>
      <c r="AD335" s="25" t="n">
        <f aca="false">LEN(AC335)</f>
        <v>60</v>
      </c>
      <c r="AE335" s="21" t="s">
        <v>4179</v>
      </c>
      <c r="AF335" s="25" t="n">
        <f aca="false">LEN(AE335)</f>
        <v>154</v>
      </c>
    </row>
    <row r="336" customFormat="false" ht="15" hidden="false" customHeight="true" outlineLevel="0" collapsed="false">
      <c r="A336" s="21" t="s">
        <v>4180</v>
      </c>
      <c r="B336" s="21" t="s">
        <v>2390</v>
      </c>
      <c r="C336" s="21" t="n">
        <v>176</v>
      </c>
      <c r="D336" s="21" t="s">
        <v>4034</v>
      </c>
      <c r="E336" s="21"/>
      <c r="F336" s="21" t="s">
        <v>2393</v>
      </c>
      <c r="G336" s="21" t="s">
        <v>2394</v>
      </c>
      <c r="H336" s="21" t="s">
        <v>4181</v>
      </c>
      <c r="I336" s="21" t="s">
        <v>4182</v>
      </c>
      <c r="J336" s="21" t="s">
        <v>1935</v>
      </c>
      <c r="K336" s="21" t="n">
        <v>23.95</v>
      </c>
      <c r="L336" s="21" t="s">
        <v>4183</v>
      </c>
      <c r="M336" s="21" t="s">
        <v>4184</v>
      </c>
      <c r="N336" s="21" t="s">
        <v>4185</v>
      </c>
      <c r="O336" s="21" t="s">
        <v>4186</v>
      </c>
      <c r="P336" s="21" t="s">
        <v>4187</v>
      </c>
      <c r="Q336" s="22" t="n">
        <f aca="false">IF(L336="","",IFERROR(INDEX('Semrush Data'!$A$1:$Z$20000,MATCH(L336,'Semrush Data'!$A$1:$A$20000,0),MATCH("Volume",'Semrush Data'!$A$1:$Z$1,0)),""))</f>
        <v>0</v>
      </c>
      <c r="R336" s="22" t="str">
        <f aca="false">IF(M336="","",IFERROR(INDEX('Semrush Data'!$A$1:$Z$20000,MATCH(M336,'Semrush Data'!$A$1:$A$20000,0),MATCH("Volume",'Semrush Data'!$A$1:$Z$1,0)),""))</f>
        <v/>
      </c>
      <c r="S336" s="22" t="str">
        <f aca="false">IF(N336="","",IFERROR(INDEX('Semrush Data'!$A$1:$Z$20000,MATCH(N336,'Semrush Data'!$A$1:$A$20000,0),MATCH("Volume",'Semrush Data'!$A$1:$Z$1,0)),""))</f>
        <v/>
      </c>
      <c r="T336" s="22" t="str">
        <f aca="false">IF(O336="","",IFERROR(INDEX('Semrush Data'!$A$1:$Z$20000,MATCH(O336,'Semrush Data'!$A$1:$A$20000,0),MATCH("Volume",'Semrush Data'!$A$1:$Z$1,0)),""))</f>
        <v/>
      </c>
      <c r="U336" s="22" t="str">
        <f aca="false">IF(P336="","",IFERROR(INDEX('Semrush Data'!$A$1:$Z$20000,MATCH(P336,'Semrush Data'!$A$1:$A$20000,0),MATCH("Volume",'Semrush Data'!$A$1:$Z$1,0)),""))</f>
        <v/>
      </c>
      <c r="V336" s="23" t="str">
        <f aca="false">IF(COUNT(Q336:U336)=0,L336,IF(MAX(Q336:U336)=0,L336,INDEX(L336:P336,MATCH(MAX(Q336:U336),Q336:U336,0))))</f>
        <v>fumeri smokey leather</v>
      </c>
      <c r="W336" s="22" t="n">
        <f aca="false">IFERROR(INDEX('Semrush Data'!$A$1:$Z$20000,MATCH(V336,'Semrush Data'!$A$1:$A$20000,0),MATCH("Volume",'Semrush Data'!$A$1:$Z$1,0)),"")</f>
        <v>0</v>
      </c>
      <c r="X336" s="22" t="n">
        <f aca="false">IFERROR(INDEX('Semrush Data'!$A$1:$Z$20000,MATCH(V336,'Semrush Data'!$A$1:$A$20000,0),MATCH("Keyword Difficulty*",'Semrush Data'!$A$1:$Z$1,0)),"")</f>
        <v>19</v>
      </c>
      <c r="Y336" s="24" t="n">
        <f aca="false">IFERROR(INDEX('Semrush Data'!$A$1:$Z$20000,MATCH(V336,'Semrush Data'!$A$1:$A$20000,0),MATCH("CPC*",'Semrush Data'!$A$1:$Z$1,0)),"")</f>
        <v>0</v>
      </c>
      <c r="Z336" s="21" t="s">
        <v>4188</v>
      </c>
      <c r="AA336" s="21"/>
      <c r="AB336" s="21" t="s">
        <v>4189</v>
      </c>
      <c r="AC336" s="21" t="s">
        <v>4190</v>
      </c>
      <c r="AD336" s="25" t="n">
        <f aca="false">LEN(AC336)</f>
        <v>56</v>
      </c>
      <c r="AE336" s="21" t="s">
        <v>4191</v>
      </c>
      <c r="AF336" s="25" t="n">
        <f aca="false">LEN(AE336)</f>
        <v>158</v>
      </c>
    </row>
    <row r="337" customFormat="false" ht="15" hidden="false" customHeight="true" outlineLevel="0" collapsed="false">
      <c r="A337" s="21" t="s">
        <v>4192</v>
      </c>
      <c r="B337" s="21" t="s">
        <v>2390</v>
      </c>
      <c r="C337" s="21" t="n">
        <v>177</v>
      </c>
      <c r="D337" s="21" t="s">
        <v>4034</v>
      </c>
      <c r="E337" s="21"/>
      <c r="F337" s="21" t="s">
        <v>2393</v>
      </c>
      <c r="G337" s="21" t="s">
        <v>2394</v>
      </c>
      <c r="H337" s="21" t="s">
        <v>2479</v>
      </c>
      <c r="I337" s="21" t="s">
        <v>4193</v>
      </c>
      <c r="J337" s="21" t="s">
        <v>1935</v>
      </c>
      <c r="K337" s="21" t="n">
        <v>37.95</v>
      </c>
      <c r="L337" s="21" t="s">
        <v>4194</v>
      </c>
      <c r="M337" s="21" t="s">
        <v>4195</v>
      </c>
      <c r="N337" s="21" t="s">
        <v>4196</v>
      </c>
      <c r="O337" s="21" t="s">
        <v>4197</v>
      </c>
      <c r="P337" s="21" t="s">
        <v>4198</v>
      </c>
      <c r="Q337" s="22" t="n">
        <f aca="false">IF(L337="","",IFERROR(INDEX('Semrush Data'!$A$1:$Z$20000,MATCH(L337,'Semrush Data'!$A$1:$A$20000,0),MATCH("Volume",'Semrush Data'!$A$1:$Z$1,0)),""))</f>
        <v>10</v>
      </c>
      <c r="R337" s="22" t="str">
        <f aca="false">IF(M337="","",IFERROR(INDEX('Semrush Data'!$A$1:$Z$20000,MATCH(M337,'Semrush Data'!$A$1:$A$20000,0),MATCH("Volume",'Semrush Data'!$A$1:$Z$1,0)),""))</f>
        <v/>
      </c>
      <c r="S337" s="22" t="str">
        <f aca="false">IF(N337="","",IFERROR(INDEX('Semrush Data'!$A$1:$Z$20000,MATCH(N337,'Semrush Data'!$A$1:$A$20000,0),MATCH("Volume",'Semrush Data'!$A$1:$Z$1,0)),""))</f>
        <v/>
      </c>
      <c r="T337" s="22" t="str">
        <f aca="false">IF(O337="","",IFERROR(INDEX('Semrush Data'!$A$1:$Z$20000,MATCH(O337,'Semrush Data'!$A$1:$A$20000,0),MATCH("Volume",'Semrush Data'!$A$1:$Z$1,0)),""))</f>
        <v/>
      </c>
      <c r="U337" s="22" t="str">
        <f aca="false">IF(P337="","",IFERROR(INDEX('Semrush Data'!$A$1:$Z$20000,MATCH(P337,'Semrush Data'!$A$1:$A$20000,0),MATCH("Volume",'Semrush Data'!$A$1:$Z$1,0)),""))</f>
        <v/>
      </c>
      <c r="V337" s="23" t="str">
        <f aca="false">IF(COUNT(Q337:U337)=0,L337,IF(MAX(Q337:U337)=0,L337,INDEX(L337:P337,MATCH(MAX(Q337:U337),Q337:U337,0))))</f>
        <v>fumeri style 33</v>
      </c>
      <c r="W337" s="22" t="n">
        <f aca="false">IFERROR(INDEX('Semrush Data'!$A$1:$Z$20000,MATCH(V337,'Semrush Data'!$A$1:$A$20000,0),MATCH("Volume",'Semrush Data'!$A$1:$Z$1,0)),"")</f>
        <v>10</v>
      </c>
      <c r="X337" s="22" t="n">
        <f aca="false">IFERROR(INDEX('Semrush Data'!$A$1:$Z$20000,MATCH(V337,'Semrush Data'!$A$1:$A$20000,0),MATCH("Keyword Difficulty*",'Semrush Data'!$A$1:$Z$1,0)),"")</f>
        <v>1</v>
      </c>
      <c r="Y337" s="24" t="n">
        <f aca="false">IFERROR(INDEX('Semrush Data'!$A$1:$Z$20000,MATCH(V337,'Semrush Data'!$A$1:$A$20000,0),MATCH("CPC*",'Semrush Data'!$A$1:$Z$1,0)),"")</f>
        <v>0</v>
      </c>
      <c r="Z337" s="21" t="s">
        <v>4041</v>
      </c>
      <c r="AA337" s="21" t="s">
        <v>4199</v>
      </c>
      <c r="AB337" s="21" t="s">
        <v>4200</v>
      </c>
      <c r="AC337" s="21" t="s">
        <v>4201</v>
      </c>
      <c r="AD337" s="25" t="n">
        <f aca="false">LEN(AC337)</f>
        <v>59</v>
      </c>
      <c r="AE337" s="21" t="s">
        <v>4202</v>
      </c>
      <c r="AF337" s="25" t="n">
        <f aca="false">LEN(AE337)</f>
        <v>157</v>
      </c>
    </row>
    <row r="338" customFormat="false" ht="15" hidden="false" customHeight="true" outlineLevel="0" collapsed="false">
      <c r="A338" s="21" t="s">
        <v>4203</v>
      </c>
      <c r="B338" s="21" t="s">
        <v>2390</v>
      </c>
      <c r="C338" s="21" t="n">
        <v>178</v>
      </c>
      <c r="D338" s="21" t="s">
        <v>4034</v>
      </c>
      <c r="E338" s="21"/>
      <c r="F338" s="21" t="s">
        <v>2393</v>
      </c>
      <c r="G338" s="21" t="s">
        <v>2394</v>
      </c>
      <c r="H338" s="21" t="s">
        <v>2549</v>
      </c>
      <c r="I338" s="21" t="s">
        <v>4204</v>
      </c>
      <c r="J338" s="21" t="s">
        <v>1935</v>
      </c>
      <c r="K338" s="21" t="n">
        <v>23.95</v>
      </c>
      <c r="L338" s="21" t="s">
        <v>4205</v>
      </c>
      <c r="M338" s="21" t="s">
        <v>4206</v>
      </c>
      <c r="N338" s="21" t="s">
        <v>4207</v>
      </c>
      <c r="O338" s="21" t="s">
        <v>4208</v>
      </c>
      <c r="P338" s="21" t="s">
        <v>4209</v>
      </c>
      <c r="Q338" s="22" t="n">
        <f aca="false">IF(L338="","",IFERROR(INDEX('Semrush Data'!$A$1:$Z$20000,MATCH(L338,'Semrush Data'!$A$1:$A$20000,0),MATCH("Volume",'Semrush Data'!$A$1:$Z$1,0)),""))</f>
        <v>0</v>
      </c>
      <c r="R338" s="22" t="str">
        <f aca="false">IF(M338="","",IFERROR(INDEX('Semrush Data'!$A$1:$Z$20000,MATCH(M338,'Semrush Data'!$A$1:$A$20000,0),MATCH("Volume",'Semrush Data'!$A$1:$Z$1,0)),""))</f>
        <v/>
      </c>
      <c r="S338" s="22" t="str">
        <f aca="false">IF(N338="","",IFERROR(INDEX('Semrush Data'!$A$1:$Z$20000,MATCH(N338,'Semrush Data'!$A$1:$A$20000,0),MATCH("Volume",'Semrush Data'!$A$1:$Z$1,0)),""))</f>
        <v/>
      </c>
      <c r="T338" s="22" t="str">
        <f aca="false">IF(O338="","",IFERROR(INDEX('Semrush Data'!$A$1:$Z$20000,MATCH(O338,'Semrush Data'!$A$1:$A$20000,0),MATCH("Volume",'Semrush Data'!$A$1:$Z$1,0)),""))</f>
        <v/>
      </c>
      <c r="U338" s="22" t="str">
        <f aca="false">IF(P338="","",IFERROR(INDEX('Semrush Data'!$A$1:$Z$20000,MATCH(P338,'Semrush Data'!$A$1:$A$20000,0),MATCH("Volume",'Semrush Data'!$A$1:$Z$1,0)),""))</f>
        <v/>
      </c>
      <c r="V338" s="23" t="str">
        <f aca="false">IF(COUNT(Q338:U338)=0,L338,IF(MAX(Q338:U338)=0,L338,INDEX(L338:P338,MATCH(MAX(Q338:U338),Q338:U338,0))))</f>
        <v>fumeri victorious</v>
      </c>
      <c r="W338" s="22" t="n">
        <f aca="false">IFERROR(INDEX('Semrush Data'!$A$1:$Z$20000,MATCH(V338,'Semrush Data'!$A$1:$A$20000,0),MATCH("Volume",'Semrush Data'!$A$1:$Z$1,0)),"")</f>
        <v>0</v>
      </c>
      <c r="X338" s="22" t="n">
        <f aca="false">IFERROR(INDEX('Semrush Data'!$A$1:$Z$20000,MATCH(V338,'Semrush Data'!$A$1:$A$20000,0),MATCH("Keyword Difficulty*",'Semrush Data'!$A$1:$Z$1,0)),"")</f>
        <v>15</v>
      </c>
      <c r="Y338" s="24" t="n">
        <f aca="false">IFERROR(INDEX('Semrush Data'!$A$1:$Z$20000,MATCH(V338,'Semrush Data'!$A$1:$A$20000,0),MATCH("CPC*",'Semrush Data'!$A$1:$Z$1,0)),"")</f>
        <v>0</v>
      </c>
      <c r="Z338" s="21" t="s">
        <v>4210</v>
      </c>
      <c r="AA338" s="21" t="s">
        <v>4211</v>
      </c>
      <c r="AB338" s="21" t="s">
        <v>4212</v>
      </c>
      <c r="AC338" s="21" t="s">
        <v>4213</v>
      </c>
      <c r="AD338" s="25" t="n">
        <f aca="false">LEN(AC338)</f>
        <v>53</v>
      </c>
      <c r="AE338" s="21" t="s">
        <v>4214</v>
      </c>
      <c r="AF338" s="25" t="n">
        <f aca="false">LEN(AE338)</f>
        <v>158</v>
      </c>
    </row>
    <row r="339" customFormat="false" ht="15" hidden="false" customHeight="true" outlineLevel="0" collapsed="false">
      <c r="A339" s="21" t="s">
        <v>4215</v>
      </c>
      <c r="B339" s="21" t="s">
        <v>2390</v>
      </c>
      <c r="C339" s="21" t="n">
        <v>179</v>
      </c>
      <c r="D339" s="21" t="s">
        <v>4034</v>
      </c>
      <c r="E339" s="21"/>
      <c r="F339" s="21" t="s">
        <v>2393</v>
      </c>
      <c r="G339" s="21" t="s">
        <v>2394</v>
      </c>
      <c r="H339" s="21" t="s">
        <v>2479</v>
      </c>
      <c r="I339" s="21" t="s">
        <v>4216</v>
      </c>
      <c r="J339" s="21" t="s">
        <v>1935</v>
      </c>
      <c r="K339" s="21" t="n">
        <v>37.95</v>
      </c>
      <c r="L339" s="21" t="s">
        <v>4217</v>
      </c>
      <c r="M339" s="21" t="s">
        <v>4218</v>
      </c>
      <c r="N339" s="21" t="s">
        <v>4219</v>
      </c>
      <c r="O339" s="21" t="s">
        <v>4220</v>
      </c>
      <c r="P339" s="21" t="s">
        <v>4221</v>
      </c>
      <c r="Q339" s="22" t="n">
        <f aca="false">IF(L339="","",IFERROR(INDEX('Semrush Data'!$A$1:$Z$20000,MATCH(L339,'Semrush Data'!$A$1:$A$20000,0),MATCH("Volume",'Semrush Data'!$A$1:$Z$1,0)),""))</f>
        <v>0</v>
      </c>
      <c r="R339" s="22" t="str">
        <f aca="false">IF(M339="","",IFERROR(INDEX('Semrush Data'!$A$1:$Z$20000,MATCH(M339,'Semrush Data'!$A$1:$A$20000,0),MATCH("Volume",'Semrush Data'!$A$1:$Z$1,0)),""))</f>
        <v/>
      </c>
      <c r="S339" s="22" t="str">
        <f aca="false">IF(N339="","",IFERROR(INDEX('Semrush Data'!$A$1:$Z$20000,MATCH(N339,'Semrush Data'!$A$1:$A$20000,0),MATCH("Volume",'Semrush Data'!$A$1:$Z$1,0)),""))</f>
        <v/>
      </c>
      <c r="T339" s="22" t="str">
        <f aca="false">IF(O339="","",IFERROR(INDEX('Semrush Data'!$A$1:$Z$20000,MATCH(O339,'Semrush Data'!$A$1:$A$20000,0),MATCH("Volume",'Semrush Data'!$A$1:$Z$1,0)),""))</f>
        <v/>
      </c>
      <c r="U339" s="22" t="str">
        <f aca="false">IF(P339="","",IFERROR(INDEX('Semrush Data'!$A$1:$Z$20000,MATCH(P339,'Semrush Data'!$A$1:$A$20000,0),MATCH("Volume",'Semrush Data'!$A$1:$Z$1,0)),""))</f>
        <v/>
      </c>
      <c r="V339" s="23" t="str">
        <f aca="false">IF(COUNT(Q339:U339)=0,L339,IF(MAX(Q339:U339)=0,L339,INDEX(L339:P339,MATCH(MAX(Q339:U339),Q339:U339,0))))</f>
        <v>fumeri wild</v>
      </c>
      <c r="W339" s="22" t="n">
        <f aca="false">IFERROR(INDEX('Semrush Data'!$A$1:$Z$20000,MATCH(V339,'Semrush Data'!$A$1:$A$20000,0),MATCH("Volume",'Semrush Data'!$A$1:$Z$1,0)),"")</f>
        <v>0</v>
      </c>
      <c r="X339" s="22" t="n">
        <f aca="false">IFERROR(INDEX('Semrush Data'!$A$1:$Z$20000,MATCH(V339,'Semrush Data'!$A$1:$A$20000,0),MATCH("Keyword Difficulty*",'Semrush Data'!$A$1:$Z$1,0)),"")</f>
        <v>16</v>
      </c>
      <c r="Y339" s="24" t="n">
        <f aca="false">IFERROR(INDEX('Semrush Data'!$A$1:$Z$20000,MATCH(V339,'Semrush Data'!$A$1:$A$20000,0),MATCH("CPC*",'Semrush Data'!$A$1:$Z$1,0)),"")</f>
        <v>0</v>
      </c>
      <c r="Z339" s="21" t="s">
        <v>4041</v>
      </c>
      <c r="AA339" s="21" t="s">
        <v>4222</v>
      </c>
      <c r="AB339" s="21" t="s">
        <v>4223</v>
      </c>
      <c r="AC339" s="21" t="s">
        <v>4224</v>
      </c>
      <c r="AD339" s="25" t="n">
        <f aca="false">LEN(AC339)</f>
        <v>59</v>
      </c>
      <c r="AE339" s="21" t="s">
        <v>4225</v>
      </c>
      <c r="AF339" s="25" t="n">
        <f aca="false">LEN(AE339)</f>
        <v>153</v>
      </c>
    </row>
    <row r="340" customFormat="false" ht="15" hidden="false" customHeight="true" outlineLevel="0" collapsed="false">
      <c r="A340" s="21" t="s">
        <v>4226</v>
      </c>
      <c r="B340" s="21" t="s">
        <v>2390</v>
      </c>
      <c r="C340" s="21" t="n">
        <v>180</v>
      </c>
      <c r="D340" s="21" t="s">
        <v>4227</v>
      </c>
      <c r="E340" s="21" t="s">
        <v>4228</v>
      </c>
      <c r="F340" s="21" t="s">
        <v>2393</v>
      </c>
      <c r="G340" s="21" t="s">
        <v>2394</v>
      </c>
      <c r="H340" s="21" t="s">
        <v>2549</v>
      </c>
      <c r="I340" s="21" t="s">
        <v>4229</v>
      </c>
      <c r="J340" s="21" t="s">
        <v>1935</v>
      </c>
      <c r="K340" s="21" t="n">
        <v>84.99</v>
      </c>
      <c r="L340" s="21" t="s">
        <v>4230</v>
      </c>
      <c r="M340" s="21" t="s">
        <v>4231</v>
      </c>
      <c r="N340" s="21" t="s">
        <v>4232</v>
      </c>
      <c r="O340" s="21" t="s">
        <v>4233</v>
      </c>
      <c r="P340" s="21" t="s">
        <v>4234</v>
      </c>
      <c r="Q340" s="22" t="n">
        <f aca="false">IF(L340="","",IFERROR(INDEX('Semrush Data'!$A$1:$Z$20000,MATCH(L340,'Semrush Data'!$A$1:$A$20000,0),MATCH("Volume",'Semrush Data'!$A$1:$Z$1,0)),""))</f>
        <v>170</v>
      </c>
      <c r="R340" s="22" t="n">
        <f aca="false">IF(M340="","",IFERROR(INDEX('Semrush Data'!$A$1:$Z$20000,MATCH(M340,'Semrush Data'!$A$1:$A$20000,0),MATCH("Volume",'Semrush Data'!$A$1:$Z$1,0)),""))</f>
        <v>0</v>
      </c>
      <c r="S340" s="22" t="str">
        <f aca="false">IF(N340="","",IFERROR(INDEX('Semrush Data'!$A$1:$Z$20000,MATCH(N340,'Semrush Data'!$A$1:$A$20000,0),MATCH("Volume",'Semrush Data'!$A$1:$Z$1,0)),""))</f>
        <v/>
      </c>
      <c r="T340" s="22" t="str">
        <f aca="false">IF(O340="","",IFERROR(INDEX('Semrush Data'!$A$1:$Z$20000,MATCH(O340,'Semrush Data'!$A$1:$A$20000,0),MATCH("Volume",'Semrush Data'!$A$1:$Z$1,0)),""))</f>
        <v/>
      </c>
      <c r="U340" s="22" t="n">
        <f aca="false">IF(P340="","",IFERROR(INDEX('Semrush Data'!$A$1:$Z$20000,MATCH(P340,'Semrush Data'!$A$1:$A$20000,0),MATCH("Volume",'Semrush Data'!$A$1:$Z$1,0)),""))</f>
        <v>0</v>
      </c>
      <c r="V340" s="23" t="str">
        <f aca="false">IF(COUNT(Q340:U340)=0,L340,IF(MAX(Q340:U340)=0,L340,INDEX(L340:P340,MATCH(MAX(Q340:U340),Q340:U340,0))))</f>
        <v>game of spades bid</v>
      </c>
      <c r="W340" s="22" t="n">
        <f aca="false">IFERROR(INDEX('Semrush Data'!$A$1:$Z$20000,MATCH(V340,'Semrush Data'!$A$1:$A$20000,0),MATCH("Volume",'Semrush Data'!$A$1:$Z$1,0)),"")</f>
        <v>170</v>
      </c>
      <c r="X340" s="22" t="n">
        <f aca="false">IFERROR(INDEX('Semrush Data'!$A$1:$Z$20000,MATCH(V340,'Semrush Data'!$A$1:$A$20000,0),MATCH("Keyword Difficulty*",'Semrush Data'!$A$1:$Z$1,0)),"")</f>
        <v>17</v>
      </c>
      <c r="Y340" s="24" t="n">
        <f aca="false">IFERROR(INDEX('Semrush Data'!$A$1:$Z$20000,MATCH(V340,'Semrush Data'!$A$1:$A$20000,0),MATCH("CPC*",'Semrush Data'!$A$1:$Z$1,0)),"")</f>
        <v>0</v>
      </c>
      <c r="Z340" s="21" t="s">
        <v>4235</v>
      </c>
      <c r="AA340" s="21" t="s">
        <v>4236</v>
      </c>
      <c r="AB340" s="21" t="s">
        <v>4237</v>
      </c>
      <c r="AC340" s="21" t="s">
        <v>4238</v>
      </c>
      <c r="AD340" s="25" t="n">
        <f aca="false">LEN(AC340)</f>
        <v>53</v>
      </c>
      <c r="AE340" s="21" t="s">
        <v>4239</v>
      </c>
      <c r="AF340" s="25" t="n">
        <f aca="false">LEN(AE340)</f>
        <v>145</v>
      </c>
    </row>
    <row r="341" customFormat="false" ht="15" hidden="false" customHeight="true" outlineLevel="0" collapsed="false">
      <c r="A341" s="21" t="s">
        <v>4240</v>
      </c>
      <c r="B341" s="21" t="s">
        <v>2390</v>
      </c>
      <c r="C341" s="21" t="n">
        <v>181</v>
      </c>
      <c r="D341" s="21" t="s">
        <v>4227</v>
      </c>
      <c r="E341" s="21" t="s">
        <v>4228</v>
      </c>
      <c r="F341" s="21" t="s">
        <v>2393</v>
      </c>
      <c r="G341" s="21" t="s">
        <v>2394</v>
      </c>
      <c r="H341" s="21" t="s">
        <v>2524</v>
      </c>
      <c r="I341" s="21" t="s">
        <v>4241</v>
      </c>
      <c r="J341" s="21" t="s">
        <v>1935</v>
      </c>
      <c r="K341" s="21" t="n">
        <v>89.99</v>
      </c>
      <c r="L341" s="21" t="s">
        <v>4242</v>
      </c>
      <c r="M341" s="21" t="s">
        <v>4243</v>
      </c>
      <c r="N341" s="21" t="s">
        <v>4244</v>
      </c>
      <c r="O341" s="21" t="s">
        <v>4245</v>
      </c>
      <c r="P341" s="21" t="s">
        <v>4246</v>
      </c>
      <c r="Q341" s="22" t="n">
        <f aca="false">IF(L341="","",IFERROR(INDEX('Semrush Data'!$A$1:$Z$20000,MATCH(L341,'Semrush Data'!$A$1:$A$20000,0),MATCH("Volume",'Semrush Data'!$A$1:$Z$1,0)),""))</f>
        <v>10</v>
      </c>
      <c r="R341" s="22" t="str">
        <f aca="false">IF(M341="","",IFERROR(INDEX('Semrush Data'!$A$1:$Z$20000,MATCH(M341,'Semrush Data'!$A$1:$A$20000,0),MATCH("Volume",'Semrush Data'!$A$1:$Z$1,0)),""))</f>
        <v/>
      </c>
      <c r="S341" s="22" t="str">
        <f aca="false">IF(N341="","",IFERROR(INDEX('Semrush Data'!$A$1:$Z$20000,MATCH(N341,'Semrush Data'!$A$1:$A$20000,0),MATCH("Volume",'Semrush Data'!$A$1:$Z$1,0)),""))</f>
        <v/>
      </c>
      <c r="T341" s="22" t="str">
        <f aca="false">IF(O341="","",IFERROR(INDEX('Semrush Data'!$A$1:$Z$20000,MATCH(O341,'Semrush Data'!$A$1:$A$20000,0),MATCH("Volume",'Semrush Data'!$A$1:$Z$1,0)),""))</f>
        <v/>
      </c>
      <c r="U341" s="22" t="str">
        <f aca="false">IF(P341="","",IFERROR(INDEX('Semrush Data'!$A$1:$Z$20000,MATCH(P341,'Semrush Data'!$A$1:$A$20000,0),MATCH("Volume",'Semrush Data'!$A$1:$Z$1,0)),""))</f>
        <v/>
      </c>
      <c r="V341" s="23" t="str">
        <f aca="false">IF(COUNT(Q341:U341)=0,L341,IF(MAX(Q341:U341)=0,L341,INDEX(L341:P341,MATCH(MAX(Q341:U341),Q341:U341,0))))</f>
        <v>game of spades blind-bid</v>
      </c>
      <c r="W341" s="22" t="n">
        <f aca="false">IFERROR(INDEX('Semrush Data'!$A$1:$Z$20000,MATCH(V341,'Semrush Data'!$A$1:$A$20000,0),MATCH("Volume",'Semrush Data'!$A$1:$Z$1,0)),"")</f>
        <v>10</v>
      </c>
      <c r="X341" s="22" t="n">
        <f aca="false">IFERROR(INDEX('Semrush Data'!$A$1:$Z$20000,MATCH(V341,'Semrush Data'!$A$1:$A$20000,0),MATCH("Keyword Difficulty*",'Semrush Data'!$A$1:$Z$1,0)),"")</f>
        <v>22</v>
      </c>
      <c r="Y341" s="24" t="n">
        <f aca="false">IFERROR(INDEX('Semrush Data'!$A$1:$Z$20000,MATCH(V341,'Semrush Data'!$A$1:$A$20000,0),MATCH("CPC*",'Semrush Data'!$A$1:$Z$1,0)),"")</f>
        <v>0</v>
      </c>
      <c r="Z341" s="21" t="s">
        <v>4247</v>
      </c>
      <c r="AA341" s="21" t="s">
        <v>4248</v>
      </c>
      <c r="AB341" s="21" t="s">
        <v>4249</v>
      </c>
      <c r="AC341" s="21" t="s">
        <v>4250</v>
      </c>
      <c r="AD341" s="25" t="n">
        <f aca="false">LEN(AC341)</f>
        <v>51</v>
      </c>
      <c r="AE341" s="21" t="s">
        <v>4251</v>
      </c>
      <c r="AF341" s="25" t="n">
        <f aca="false">LEN(AE341)</f>
        <v>144</v>
      </c>
    </row>
    <row r="342" customFormat="false" ht="15" hidden="false" customHeight="true" outlineLevel="0" collapsed="false">
      <c r="A342" s="21" t="s">
        <v>4252</v>
      </c>
      <c r="B342" s="21" t="s">
        <v>2390</v>
      </c>
      <c r="C342" s="21" t="n">
        <v>182</v>
      </c>
      <c r="D342" s="21" t="s">
        <v>4227</v>
      </c>
      <c r="E342" s="21" t="s">
        <v>4228</v>
      </c>
      <c r="F342" s="21" t="s">
        <v>2393</v>
      </c>
      <c r="G342" s="21" t="s">
        <v>2394</v>
      </c>
      <c r="H342" s="21" t="s">
        <v>2549</v>
      </c>
      <c r="I342" s="21" t="s">
        <v>4253</v>
      </c>
      <c r="J342" s="21" t="s">
        <v>1935</v>
      </c>
      <c r="K342" s="21" t="n">
        <v>89.99</v>
      </c>
      <c r="L342" s="21" t="s">
        <v>4254</v>
      </c>
      <c r="M342" s="21" t="s">
        <v>4255</v>
      </c>
      <c r="N342" s="21" t="s">
        <v>4256</v>
      </c>
      <c r="O342" s="21" t="s">
        <v>4257</v>
      </c>
      <c r="P342" s="21" t="s">
        <v>4258</v>
      </c>
      <c r="Q342" s="22" t="n">
        <f aca="false">IF(L342="","",IFERROR(INDEX('Semrush Data'!$A$1:$Z$20000,MATCH(L342,'Semrush Data'!$A$1:$A$20000,0),MATCH("Volume",'Semrush Data'!$A$1:$Z$1,0)),""))</f>
        <v>40</v>
      </c>
      <c r="R342" s="22" t="str">
        <f aca="false">IF(M342="","",IFERROR(INDEX('Semrush Data'!$A$1:$Z$20000,MATCH(M342,'Semrush Data'!$A$1:$A$20000,0),MATCH("Volume",'Semrush Data'!$A$1:$Z$1,0)),""))</f>
        <v/>
      </c>
      <c r="S342" s="22" t="str">
        <f aca="false">IF(N342="","",IFERROR(INDEX('Semrush Data'!$A$1:$Z$20000,MATCH(N342,'Semrush Data'!$A$1:$A$20000,0),MATCH("Volume",'Semrush Data'!$A$1:$Z$1,0)),""))</f>
        <v/>
      </c>
      <c r="T342" s="22" t="str">
        <f aca="false">IF(O342="","",IFERROR(INDEX('Semrush Data'!$A$1:$Z$20000,MATCH(O342,'Semrush Data'!$A$1:$A$20000,0),MATCH("Volume",'Semrush Data'!$A$1:$Z$1,0)),""))</f>
        <v/>
      </c>
      <c r="U342" s="22" t="str">
        <f aca="false">IF(P342="","",IFERROR(INDEX('Semrush Data'!$A$1:$Z$20000,MATCH(P342,'Semrush Data'!$A$1:$A$20000,0),MATCH("Volume",'Semrush Data'!$A$1:$Z$1,0)),""))</f>
        <v/>
      </c>
      <c r="V342" s="23" t="str">
        <f aca="false">IF(COUNT(Q342:U342)=0,L342,IF(MAX(Q342:U342)=0,L342,INDEX(L342:P342,MATCH(MAX(Q342:U342),Q342:U342,0))))</f>
        <v>game of spades boston</v>
      </c>
      <c r="W342" s="22" t="n">
        <f aca="false">IFERROR(INDEX('Semrush Data'!$A$1:$Z$20000,MATCH(V342,'Semrush Data'!$A$1:$A$20000,0),MATCH("Volume",'Semrush Data'!$A$1:$Z$1,0)),"")</f>
        <v>40</v>
      </c>
      <c r="X342" s="22" t="n">
        <f aca="false">IFERROR(INDEX('Semrush Data'!$A$1:$Z$20000,MATCH(V342,'Semrush Data'!$A$1:$A$20000,0),MATCH("Keyword Difficulty*",'Semrush Data'!$A$1:$Z$1,0)),"")</f>
        <v>22</v>
      </c>
      <c r="Y342" s="24" t="n">
        <f aca="false">IFERROR(INDEX('Semrush Data'!$A$1:$Z$20000,MATCH(V342,'Semrush Data'!$A$1:$A$20000,0),MATCH("CPC*",'Semrush Data'!$A$1:$Z$1,0)),"")</f>
        <v>0</v>
      </c>
      <c r="Z342" s="21" t="s">
        <v>4235</v>
      </c>
      <c r="AA342" s="21" t="s">
        <v>4259</v>
      </c>
      <c r="AB342" s="21" t="s">
        <v>4260</v>
      </c>
      <c r="AC342" s="21" t="s">
        <v>4261</v>
      </c>
      <c r="AD342" s="25" t="n">
        <f aca="false">LEN(AC342)</f>
        <v>56</v>
      </c>
      <c r="AE342" s="21" t="s">
        <v>4262</v>
      </c>
      <c r="AF342" s="25" t="n">
        <f aca="false">LEN(AE342)</f>
        <v>148</v>
      </c>
    </row>
    <row r="343" customFormat="false" ht="15" hidden="false" customHeight="true" outlineLevel="0" collapsed="false">
      <c r="A343" s="21" t="s">
        <v>4263</v>
      </c>
      <c r="B343" s="21" t="s">
        <v>2390</v>
      </c>
      <c r="C343" s="21" t="n">
        <v>183</v>
      </c>
      <c r="D343" s="21" t="s">
        <v>4227</v>
      </c>
      <c r="E343" s="21" t="s">
        <v>4228</v>
      </c>
      <c r="F343" s="21" t="s">
        <v>2393</v>
      </c>
      <c r="G343" s="21" t="s">
        <v>2394</v>
      </c>
      <c r="H343" s="21" t="s">
        <v>2549</v>
      </c>
      <c r="I343" s="21" t="s">
        <v>4264</v>
      </c>
      <c r="J343" s="21" t="s">
        <v>1935</v>
      </c>
      <c r="K343" s="21" t="n">
        <v>85.99</v>
      </c>
      <c r="L343" s="21" t="s">
        <v>4265</v>
      </c>
      <c r="M343" s="21" t="s">
        <v>4266</v>
      </c>
      <c r="N343" s="21" t="s">
        <v>4267</v>
      </c>
      <c r="O343" s="21" t="s">
        <v>4268</v>
      </c>
      <c r="P343" s="21" t="s">
        <v>4269</v>
      </c>
      <c r="Q343" s="22" t="n">
        <f aca="false">IF(L343="","",IFERROR(INDEX('Semrush Data'!$A$1:$Z$20000,MATCH(L343,'Semrush Data'!$A$1:$A$20000,0),MATCH("Volume",'Semrush Data'!$A$1:$Z$1,0)),""))</f>
        <v>30</v>
      </c>
      <c r="R343" s="22" t="str">
        <f aca="false">IF(M343="","",IFERROR(INDEX('Semrush Data'!$A$1:$Z$20000,MATCH(M343,'Semrush Data'!$A$1:$A$20000,0),MATCH("Volume",'Semrush Data'!$A$1:$Z$1,0)),""))</f>
        <v/>
      </c>
      <c r="S343" s="22" t="str">
        <f aca="false">IF(N343="","",IFERROR(INDEX('Semrush Data'!$A$1:$Z$20000,MATCH(N343,'Semrush Data'!$A$1:$A$20000,0),MATCH("Volume",'Semrush Data'!$A$1:$Z$1,0)),""))</f>
        <v/>
      </c>
      <c r="T343" s="22" t="str">
        <f aca="false">IF(O343="","",IFERROR(INDEX('Semrush Data'!$A$1:$Z$20000,MATCH(O343,'Semrush Data'!$A$1:$A$20000,0),MATCH("Volume",'Semrush Data'!$A$1:$Z$1,0)),""))</f>
        <v/>
      </c>
      <c r="U343" s="22" t="str">
        <f aca="false">IF(P343="","",IFERROR(INDEX('Semrush Data'!$A$1:$Z$20000,MATCH(P343,'Semrush Data'!$A$1:$A$20000,0),MATCH("Volume",'Semrush Data'!$A$1:$Z$1,0)),""))</f>
        <v/>
      </c>
      <c r="V343" s="23" t="str">
        <f aca="false">IF(COUNT(Q343:U343)=0,L343,IF(MAX(Q343:U343)=0,L343,INDEX(L343:P343,MATCH(MAX(Q343:U343),Q343:U343,0))))</f>
        <v>game of spades diamond</v>
      </c>
      <c r="W343" s="22" t="n">
        <f aca="false">IFERROR(INDEX('Semrush Data'!$A$1:$Z$20000,MATCH(V343,'Semrush Data'!$A$1:$A$20000,0),MATCH("Volume",'Semrush Data'!$A$1:$Z$1,0)),"")</f>
        <v>30</v>
      </c>
      <c r="X343" s="22" t="n">
        <f aca="false">IFERROR(INDEX('Semrush Data'!$A$1:$Z$20000,MATCH(V343,'Semrush Data'!$A$1:$A$20000,0),MATCH("Keyword Difficulty*",'Semrush Data'!$A$1:$Z$1,0)),"")</f>
        <v>12</v>
      </c>
      <c r="Y343" s="24" t="n">
        <f aca="false">IFERROR(INDEX('Semrush Data'!$A$1:$Z$20000,MATCH(V343,'Semrush Data'!$A$1:$A$20000,0),MATCH("CPC*",'Semrush Data'!$A$1:$Z$1,0)),"")</f>
        <v>0</v>
      </c>
      <c r="Z343" s="21" t="s">
        <v>4235</v>
      </c>
      <c r="AA343" s="21" t="s">
        <v>4270</v>
      </c>
      <c r="AB343" s="21" t="s">
        <v>4271</v>
      </c>
      <c r="AC343" s="21" t="s">
        <v>4272</v>
      </c>
      <c r="AD343" s="25" t="n">
        <f aca="false">LEN(AC343)</f>
        <v>56</v>
      </c>
      <c r="AE343" s="21" t="s">
        <v>4273</v>
      </c>
      <c r="AF343" s="25" t="n">
        <f aca="false">LEN(AE343)</f>
        <v>155</v>
      </c>
    </row>
    <row r="344" customFormat="false" ht="15" hidden="false" customHeight="true" outlineLevel="0" collapsed="false">
      <c r="A344" s="21" t="s">
        <v>80</v>
      </c>
      <c r="B344" s="21" t="s">
        <v>2390</v>
      </c>
      <c r="C344" s="21" t="n">
        <v>184</v>
      </c>
      <c r="D344" s="21" t="s">
        <v>4227</v>
      </c>
      <c r="E344" s="21" t="s">
        <v>4228</v>
      </c>
      <c r="F344" s="21" t="s">
        <v>2393</v>
      </c>
      <c r="G344" s="21" t="s">
        <v>2394</v>
      </c>
      <c r="H344" s="21" t="s">
        <v>2479</v>
      </c>
      <c r="I344" s="21" t="s">
        <v>81</v>
      </c>
      <c r="J344" s="21" t="s">
        <v>1935</v>
      </c>
      <c r="K344" s="21" t="n">
        <v>92.99</v>
      </c>
      <c r="L344" s="21" t="s">
        <v>4274</v>
      </c>
      <c r="M344" s="21" t="s">
        <v>4275</v>
      </c>
      <c r="N344" s="21" t="s">
        <v>4276</v>
      </c>
      <c r="O344" s="21" t="s">
        <v>4277</v>
      </c>
      <c r="P344" s="21" t="s">
        <v>4278</v>
      </c>
      <c r="Q344" s="22" t="n">
        <f aca="false">IF(L344="","",IFERROR(INDEX('Semrush Data'!$A$1:$Z$20000,MATCH(L344,'Semrush Data'!$A$1:$A$20000,0),MATCH("Volume",'Semrush Data'!$A$1:$Z$1,0)),""))</f>
        <v>1600</v>
      </c>
      <c r="R344" s="22" t="n">
        <f aca="false">IF(M344="","",IFERROR(INDEX('Semrush Data'!$A$1:$Z$20000,MATCH(M344,'Semrush Data'!$A$1:$A$20000,0),MATCH("Volume",'Semrush Data'!$A$1:$Z$1,0)),""))</f>
        <v>110</v>
      </c>
      <c r="S344" s="22" t="str">
        <f aca="false">IF(N344="","",IFERROR(INDEX('Semrush Data'!$A$1:$Z$20000,MATCH(N344,'Semrush Data'!$A$1:$A$20000,0),MATCH("Volume",'Semrush Data'!$A$1:$Z$1,0)),""))</f>
        <v/>
      </c>
      <c r="T344" s="22" t="str">
        <f aca="false">IF(O344="","",IFERROR(INDEX('Semrush Data'!$A$1:$Z$20000,MATCH(O344,'Semrush Data'!$A$1:$A$20000,0),MATCH("Volume",'Semrush Data'!$A$1:$Z$1,0)),""))</f>
        <v/>
      </c>
      <c r="U344" s="22" t="n">
        <f aca="false">IF(P344="","",IFERROR(INDEX('Semrush Data'!$A$1:$Z$20000,MATCH(P344,'Semrush Data'!$A$1:$A$20000,0),MATCH("Volume",'Semrush Data'!$A$1:$Z$1,0)),""))</f>
        <v>0</v>
      </c>
      <c r="V344" s="23" t="str">
        <f aca="false">IF(COUNT(Q344:U344)=0,L344,IF(MAX(Q344:U344)=0,L344,INDEX(L344:P344,MATCH(MAX(Q344:U344),Q344:U344,0))))</f>
        <v>game of spades full house</v>
      </c>
      <c r="W344" s="22" t="n">
        <f aca="false">IFERROR(INDEX('Semrush Data'!$A$1:$Z$20000,MATCH(V344,'Semrush Data'!$A$1:$A$20000,0),MATCH("Volume",'Semrush Data'!$A$1:$Z$1,0)),"")</f>
        <v>1600</v>
      </c>
      <c r="X344" s="22" t="n">
        <f aca="false">IFERROR(INDEX('Semrush Data'!$A$1:$Z$20000,MATCH(V344,'Semrush Data'!$A$1:$A$20000,0),MATCH("Keyword Difficulty*",'Semrush Data'!$A$1:$Z$1,0)),"")</f>
        <v>29</v>
      </c>
      <c r="Y344" s="24" t="n">
        <f aca="false">IFERROR(INDEX('Semrush Data'!$A$1:$Z$20000,MATCH(V344,'Semrush Data'!$A$1:$A$20000,0),MATCH("CPC*",'Semrush Data'!$A$1:$Z$1,0)),"")</f>
        <v>0.55</v>
      </c>
      <c r="Z344" s="21" t="s">
        <v>4279</v>
      </c>
      <c r="AA344" s="21" t="s">
        <v>4280</v>
      </c>
      <c r="AB344" s="21" t="s">
        <v>4281</v>
      </c>
      <c r="AC344" s="21" t="s">
        <v>4282</v>
      </c>
      <c r="AD344" s="25" t="n">
        <f aca="false">LEN(AC344)</f>
        <v>60</v>
      </c>
      <c r="AE344" s="21" t="s">
        <v>4283</v>
      </c>
      <c r="AF344" s="25" t="n">
        <f aca="false">LEN(AE344)</f>
        <v>160</v>
      </c>
    </row>
    <row r="345" customFormat="false" ht="15" hidden="false" customHeight="true" outlineLevel="0" collapsed="false">
      <c r="A345" s="21" t="s">
        <v>4284</v>
      </c>
      <c r="B345" s="21" t="s">
        <v>2390</v>
      </c>
      <c r="C345" s="21" t="n">
        <v>185</v>
      </c>
      <c r="D345" s="21" t="s">
        <v>4227</v>
      </c>
      <c r="E345" s="21" t="s">
        <v>4228</v>
      </c>
      <c r="F345" s="21" t="s">
        <v>2393</v>
      </c>
      <c r="G345" s="21" t="s">
        <v>2394</v>
      </c>
      <c r="H345" s="21" t="s">
        <v>2479</v>
      </c>
      <c r="I345" s="21" t="s">
        <v>4285</v>
      </c>
      <c r="J345" s="21" t="s">
        <v>1935</v>
      </c>
      <c r="K345" s="21" t="n">
        <v>109.99</v>
      </c>
      <c r="L345" s="21" t="s">
        <v>4286</v>
      </c>
      <c r="M345" s="21" t="s">
        <v>4287</v>
      </c>
      <c r="N345" s="21" t="s">
        <v>4288</v>
      </c>
      <c r="O345" s="21" t="s">
        <v>4289</v>
      </c>
      <c r="P345" s="21" t="s">
        <v>4290</v>
      </c>
      <c r="Q345" s="22" t="n">
        <f aca="false">IF(L345="","",IFERROR(INDEX('Semrush Data'!$A$1:$Z$20000,MATCH(L345,'Semrush Data'!$A$1:$A$20000,0),MATCH("Volume",'Semrush Data'!$A$1:$Z$1,0)),""))</f>
        <v>20</v>
      </c>
      <c r="R345" s="22" t="str">
        <f aca="false">IF(M345="","",IFERROR(INDEX('Semrush Data'!$A$1:$Z$20000,MATCH(M345,'Semrush Data'!$A$1:$A$20000,0),MATCH("Volume",'Semrush Data'!$A$1:$Z$1,0)),""))</f>
        <v/>
      </c>
      <c r="S345" s="22" t="str">
        <f aca="false">IF(N345="","",IFERROR(INDEX('Semrush Data'!$A$1:$Z$20000,MATCH(N345,'Semrush Data'!$A$1:$A$20000,0),MATCH("Volume",'Semrush Data'!$A$1:$Z$1,0)),""))</f>
        <v/>
      </c>
      <c r="T345" s="22" t="str">
        <f aca="false">IF(O345="","",IFERROR(INDEX('Semrush Data'!$A$1:$Z$20000,MATCH(O345,'Semrush Data'!$A$1:$A$20000,0),MATCH("Volume",'Semrush Data'!$A$1:$Z$1,0)),""))</f>
        <v/>
      </c>
      <c r="U345" s="22" t="str">
        <f aca="false">IF(P345="","",IFERROR(INDEX('Semrush Data'!$A$1:$Z$20000,MATCH(P345,'Semrush Data'!$A$1:$A$20000,0),MATCH("Volume",'Semrush Data'!$A$1:$Z$1,0)),""))</f>
        <v/>
      </c>
      <c r="V345" s="23" t="str">
        <f aca="false">IF(COUNT(Q345:U345)=0,L345,IF(MAX(Q345:U345)=0,L345,INDEX(L345:P345,MATCH(MAX(Q345:U345),Q345:U345,0))))</f>
        <v>game of spades high roller</v>
      </c>
      <c r="W345" s="22" t="n">
        <f aca="false">IFERROR(INDEX('Semrush Data'!$A$1:$Z$20000,MATCH(V345,'Semrush Data'!$A$1:$A$20000,0),MATCH("Volume",'Semrush Data'!$A$1:$Z$1,0)),"")</f>
        <v>20</v>
      </c>
      <c r="X345" s="22" t="n">
        <f aca="false">IFERROR(INDEX('Semrush Data'!$A$1:$Z$20000,MATCH(V345,'Semrush Data'!$A$1:$A$20000,0),MATCH("Keyword Difficulty*",'Semrush Data'!$A$1:$Z$1,0)),"")</f>
        <v>25</v>
      </c>
      <c r="Y345" s="24" t="n">
        <f aca="false">IFERROR(INDEX('Semrush Data'!$A$1:$Z$20000,MATCH(V345,'Semrush Data'!$A$1:$A$20000,0),MATCH("CPC*",'Semrush Data'!$A$1:$Z$1,0)),"")</f>
        <v>0</v>
      </c>
      <c r="Z345" s="21" t="s">
        <v>4279</v>
      </c>
      <c r="AA345" s="21" t="s">
        <v>4291</v>
      </c>
      <c r="AB345" s="21" t="s">
        <v>4292</v>
      </c>
      <c r="AC345" s="21" t="s">
        <v>4293</v>
      </c>
      <c r="AD345" s="25" t="n">
        <f aca="false">LEN(AC345)</f>
        <v>57</v>
      </c>
      <c r="AE345" s="21" t="s">
        <v>4294</v>
      </c>
      <c r="AF345" s="25" t="n">
        <f aca="false">LEN(AE345)</f>
        <v>155</v>
      </c>
    </row>
    <row r="346" customFormat="false" ht="15" hidden="false" customHeight="true" outlineLevel="0" collapsed="false">
      <c r="A346" s="21" t="s">
        <v>4295</v>
      </c>
      <c r="B346" s="21" t="s">
        <v>2390</v>
      </c>
      <c r="C346" s="21" t="n">
        <v>186</v>
      </c>
      <c r="D346" s="21" t="s">
        <v>4227</v>
      </c>
      <c r="E346" s="21" t="s">
        <v>4228</v>
      </c>
      <c r="F346" s="21" t="s">
        <v>2393</v>
      </c>
      <c r="G346" s="21" t="s">
        <v>2394</v>
      </c>
      <c r="H346" s="21" t="s">
        <v>2524</v>
      </c>
      <c r="I346" s="21" t="s">
        <v>4296</v>
      </c>
      <c r="J346" s="21" t="s">
        <v>1935</v>
      </c>
      <c r="K346" s="21" t="n">
        <v>79.99</v>
      </c>
      <c r="L346" s="21" t="s">
        <v>4297</v>
      </c>
      <c r="M346" s="21" t="s">
        <v>4298</v>
      </c>
      <c r="N346" s="21" t="s">
        <v>4299</v>
      </c>
      <c r="O346" s="21" t="s">
        <v>4300</v>
      </c>
      <c r="P346" s="21" t="s">
        <v>4301</v>
      </c>
      <c r="Q346" s="22" t="n">
        <f aca="false">IF(L346="","",IFERROR(INDEX('Semrush Data'!$A$1:$Z$20000,MATCH(L346,'Semrush Data'!$A$1:$A$20000,0),MATCH("Volume",'Semrush Data'!$A$1:$Z$1,0)),""))</f>
        <v>20</v>
      </c>
      <c r="R346" s="22" t="str">
        <f aca="false">IF(M346="","",IFERROR(INDEX('Semrush Data'!$A$1:$Z$20000,MATCH(M346,'Semrush Data'!$A$1:$A$20000,0),MATCH("Volume",'Semrush Data'!$A$1:$Z$1,0)),""))</f>
        <v/>
      </c>
      <c r="S346" s="22" t="str">
        <f aca="false">IF(N346="","",IFERROR(INDEX('Semrush Data'!$A$1:$Z$20000,MATCH(N346,'Semrush Data'!$A$1:$A$20000,0),MATCH("Volume",'Semrush Data'!$A$1:$Z$1,0)),""))</f>
        <v/>
      </c>
      <c r="T346" s="22" t="str">
        <f aca="false">IF(O346="","",IFERROR(INDEX('Semrush Data'!$A$1:$Z$20000,MATCH(O346,'Semrush Data'!$A$1:$A$20000,0),MATCH("Volume",'Semrush Data'!$A$1:$Z$1,0)),""))</f>
        <v/>
      </c>
      <c r="U346" s="22" t="str">
        <f aca="false">IF(P346="","",IFERROR(INDEX('Semrush Data'!$A$1:$Z$20000,MATCH(P346,'Semrush Data'!$A$1:$A$20000,0),MATCH("Volume",'Semrush Data'!$A$1:$Z$1,0)),""))</f>
        <v/>
      </c>
      <c r="V346" s="23" t="str">
        <f aca="false">IF(COUNT(Q346:U346)=0,L346,IF(MAX(Q346:U346)=0,L346,INDEX(L346:P346,MATCH(MAX(Q346:U346),Q346:U346,0))))</f>
        <v>game of spades jackpot</v>
      </c>
      <c r="W346" s="22" t="n">
        <f aca="false">IFERROR(INDEX('Semrush Data'!$A$1:$Z$20000,MATCH(V346,'Semrush Data'!$A$1:$A$20000,0),MATCH("Volume",'Semrush Data'!$A$1:$Z$1,0)),"")</f>
        <v>20</v>
      </c>
      <c r="X346" s="22" t="n">
        <f aca="false">IFERROR(INDEX('Semrush Data'!$A$1:$Z$20000,MATCH(V346,'Semrush Data'!$A$1:$A$20000,0),MATCH("Keyword Difficulty*",'Semrush Data'!$A$1:$Z$1,0)),"")</f>
        <v>15</v>
      </c>
      <c r="Y346" s="24" t="n">
        <f aca="false">IFERROR(INDEX('Semrush Data'!$A$1:$Z$20000,MATCH(V346,'Semrush Data'!$A$1:$A$20000,0),MATCH("CPC*",'Semrush Data'!$A$1:$Z$1,0)),"")</f>
        <v>0</v>
      </c>
      <c r="Z346" s="21" t="s">
        <v>4247</v>
      </c>
      <c r="AA346" s="21" t="s">
        <v>4302</v>
      </c>
      <c r="AB346" s="21" t="s">
        <v>4303</v>
      </c>
      <c r="AC346" s="21" t="s">
        <v>4304</v>
      </c>
      <c r="AD346" s="25" t="n">
        <f aca="false">LEN(AC346)</f>
        <v>55</v>
      </c>
      <c r="AE346" s="21" t="s">
        <v>4305</v>
      </c>
      <c r="AF346" s="25" t="n">
        <f aca="false">LEN(AE346)</f>
        <v>142</v>
      </c>
    </row>
    <row r="347" customFormat="false" ht="15" hidden="false" customHeight="true" outlineLevel="0" collapsed="false">
      <c r="A347" s="21" t="s">
        <v>4306</v>
      </c>
      <c r="B347" s="21" t="s">
        <v>2390</v>
      </c>
      <c r="C347" s="21" t="n">
        <v>187</v>
      </c>
      <c r="D347" s="21" t="s">
        <v>4227</v>
      </c>
      <c r="E347" s="21" t="s">
        <v>4228</v>
      </c>
      <c r="F347" s="21" t="s">
        <v>2393</v>
      </c>
      <c r="G347" s="21" t="s">
        <v>2394</v>
      </c>
      <c r="H347" s="21" t="s">
        <v>2524</v>
      </c>
      <c r="I347" s="21" t="s">
        <v>4307</v>
      </c>
      <c r="J347" s="21" t="s">
        <v>1935</v>
      </c>
      <c r="K347" s="21" t="n">
        <v>73.99</v>
      </c>
      <c r="L347" s="21" t="s">
        <v>4308</v>
      </c>
      <c r="M347" s="21" t="s">
        <v>4309</v>
      </c>
      <c r="N347" s="21" t="s">
        <v>4310</v>
      </c>
      <c r="O347" s="21" t="s">
        <v>4311</v>
      </c>
      <c r="P347" s="21" t="s">
        <v>4312</v>
      </c>
      <c r="Q347" s="22" t="n">
        <f aca="false">IF(L347="","",IFERROR(INDEX('Semrush Data'!$A$1:$Z$20000,MATCH(L347,'Semrush Data'!$A$1:$A$20000,0),MATCH("Volume",'Semrush Data'!$A$1:$Z$1,0)),""))</f>
        <v>10</v>
      </c>
      <c r="R347" s="22" t="str">
        <f aca="false">IF(M347="","",IFERROR(INDEX('Semrush Data'!$A$1:$Z$20000,MATCH(M347,'Semrush Data'!$A$1:$A$20000,0),MATCH("Volume",'Semrush Data'!$A$1:$Z$1,0)),""))</f>
        <v/>
      </c>
      <c r="S347" s="22" t="str">
        <f aca="false">IF(N347="","",IFERROR(INDEX('Semrush Data'!$A$1:$Z$20000,MATCH(N347,'Semrush Data'!$A$1:$A$20000,0),MATCH("Volume",'Semrush Data'!$A$1:$Z$1,0)),""))</f>
        <v/>
      </c>
      <c r="T347" s="22" t="str">
        <f aca="false">IF(O347="","",IFERROR(INDEX('Semrush Data'!$A$1:$Z$20000,MATCH(O347,'Semrush Data'!$A$1:$A$20000,0),MATCH("Volume",'Semrush Data'!$A$1:$Z$1,0)),""))</f>
        <v/>
      </c>
      <c r="U347" s="22" t="str">
        <f aca="false">IF(P347="","",IFERROR(INDEX('Semrush Data'!$A$1:$Z$20000,MATCH(P347,'Semrush Data'!$A$1:$A$20000,0),MATCH("Volume",'Semrush Data'!$A$1:$Z$1,0)),""))</f>
        <v/>
      </c>
      <c r="V347" s="23" t="str">
        <f aca="false">IF(COUNT(Q347:U347)=0,L347,IF(MAX(Q347:U347)=0,L347,INDEX(L347:P347,MATCH(MAX(Q347:U347),Q347:U347,0))))</f>
        <v>game of spades king</v>
      </c>
      <c r="W347" s="22" t="n">
        <f aca="false">IFERROR(INDEX('Semrush Data'!$A$1:$Z$20000,MATCH(V347,'Semrush Data'!$A$1:$A$20000,0),MATCH("Volume",'Semrush Data'!$A$1:$Z$1,0)),"")</f>
        <v>10</v>
      </c>
      <c r="X347" s="22" t="n">
        <f aca="false">IFERROR(INDEX('Semrush Data'!$A$1:$Z$20000,MATCH(V347,'Semrush Data'!$A$1:$A$20000,0),MATCH("Keyword Difficulty*",'Semrush Data'!$A$1:$Z$1,0)),"")</f>
        <v>14</v>
      </c>
      <c r="Y347" s="24" t="n">
        <f aca="false">IFERROR(INDEX('Semrush Data'!$A$1:$Z$20000,MATCH(V347,'Semrush Data'!$A$1:$A$20000,0),MATCH("CPC*",'Semrush Data'!$A$1:$Z$1,0)),"")</f>
        <v>0</v>
      </c>
      <c r="Z347" s="21" t="s">
        <v>4247</v>
      </c>
      <c r="AA347" s="21" t="s">
        <v>4313</v>
      </c>
      <c r="AB347" s="21" t="s">
        <v>4314</v>
      </c>
      <c r="AC347" s="21" t="s">
        <v>4315</v>
      </c>
      <c r="AD347" s="25" t="n">
        <f aca="false">LEN(AC347)</f>
        <v>60</v>
      </c>
      <c r="AE347" s="21" t="s">
        <v>4316</v>
      </c>
      <c r="AF347" s="25" t="n">
        <f aca="false">LEN(AE347)</f>
        <v>153</v>
      </c>
    </row>
    <row r="348" customFormat="false" ht="15" hidden="false" customHeight="true" outlineLevel="0" collapsed="false">
      <c r="A348" s="21" t="s">
        <v>4317</v>
      </c>
      <c r="B348" s="21" t="s">
        <v>2390</v>
      </c>
      <c r="C348" s="21" t="n">
        <v>188</v>
      </c>
      <c r="D348" s="21" t="s">
        <v>4227</v>
      </c>
      <c r="E348" s="21" t="s">
        <v>4228</v>
      </c>
      <c r="F348" s="21" t="s">
        <v>2393</v>
      </c>
      <c r="G348" s="21" t="s">
        <v>2394</v>
      </c>
      <c r="H348" s="21" t="s">
        <v>2524</v>
      </c>
      <c r="I348" s="21" t="s">
        <v>4318</v>
      </c>
      <c r="J348" s="21" t="s">
        <v>1935</v>
      </c>
      <c r="K348" s="21" t="n">
        <v>85.99</v>
      </c>
      <c r="L348" s="21" t="s">
        <v>4319</v>
      </c>
      <c r="M348" s="21" t="s">
        <v>4320</v>
      </c>
      <c r="N348" s="21" t="s">
        <v>4321</v>
      </c>
      <c r="O348" s="21" t="s">
        <v>4322</v>
      </c>
      <c r="P348" s="21" t="s">
        <v>4323</v>
      </c>
      <c r="Q348" s="22" t="n">
        <f aca="false">IF(L348="","",IFERROR(INDEX('Semrush Data'!$A$1:$Z$20000,MATCH(L348,'Semrush Data'!$A$1:$A$20000,0),MATCH("Volume",'Semrush Data'!$A$1:$Z$1,0)),""))</f>
        <v>210</v>
      </c>
      <c r="R348" s="22" t="n">
        <f aca="false">IF(M348="","",IFERROR(INDEX('Semrush Data'!$A$1:$Z$20000,MATCH(M348,'Semrush Data'!$A$1:$A$20000,0),MATCH("Volume",'Semrush Data'!$A$1:$Z$1,0)),""))</f>
        <v>0</v>
      </c>
      <c r="S348" s="22" t="str">
        <f aca="false">IF(N348="","",IFERROR(INDEX('Semrush Data'!$A$1:$Z$20000,MATCH(N348,'Semrush Data'!$A$1:$A$20000,0),MATCH("Volume",'Semrush Data'!$A$1:$Z$1,0)),""))</f>
        <v/>
      </c>
      <c r="T348" s="22" t="str">
        <f aca="false">IF(O348="","",IFERROR(INDEX('Semrush Data'!$A$1:$Z$20000,MATCH(O348,'Semrush Data'!$A$1:$A$20000,0),MATCH("Volume",'Semrush Data'!$A$1:$Z$1,0)),""))</f>
        <v/>
      </c>
      <c r="U348" s="22" t="n">
        <f aca="false">IF(P348="","",IFERROR(INDEX('Semrush Data'!$A$1:$Z$20000,MATCH(P348,'Semrush Data'!$A$1:$A$20000,0),MATCH("Volume",'Semrush Data'!$A$1:$Z$1,0)),""))</f>
        <v>0</v>
      </c>
      <c r="V348" s="23" t="str">
        <f aca="false">IF(COUNT(Q348:U348)=0,L348,IF(MAX(Q348:U348)=0,L348,INDEX(L348:P348,MATCH(MAX(Q348:U348),Q348:U348,0))))</f>
        <v>game of spades moon</v>
      </c>
      <c r="W348" s="22" t="n">
        <f aca="false">IFERROR(INDEX('Semrush Data'!$A$1:$Z$20000,MATCH(V348,'Semrush Data'!$A$1:$A$20000,0),MATCH("Volume",'Semrush Data'!$A$1:$Z$1,0)),"")</f>
        <v>210</v>
      </c>
      <c r="X348" s="22" t="n">
        <f aca="false">IFERROR(INDEX('Semrush Data'!$A$1:$Z$20000,MATCH(V348,'Semrush Data'!$A$1:$A$20000,0),MATCH("Keyword Difficulty*",'Semrush Data'!$A$1:$Z$1,0)),"")</f>
        <v>28</v>
      </c>
      <c r="Y348" s="24" t="n">
        <f aca="false">IFERROR(INDEX('Semrush Data'!$A$1:$Z$20000,MATCH(V348,'Semrush Data'!$A$1:$A$20000,0),MATCH("CPC*",'Semrush Data'!$A$1:$Z$1,0)),"")</f>
        <v>0</v>
      </c>
      <c r="Z348" s="21" t="s">
        <v>4247</v>
      </c>
      <c r="AA348" s="21" t="s">
        <v>4324</v>
      </c>
      <c r="AB348" s="21" t="s">
        <v>4325</v>
      </c>
      <c r="AC348" s="21" t="s">
        <v>4326</v>
      </c>
      <c r="AD348" s="25" t="n">
        <f aca="false">LEN(AC348)</f>
        <v>53</v>
      </c>
      <c r="AE348" s="21" t="s">
        <v>4327</v>
      </c>
      <c r="AF348" s="25" t="n">
        <f aca="false">LEN(AE348)</f>
        <v>146</v>
      </c>
    </row>
    <row r="349" customFormat="false" ht="15" hidden="false" customHeight="true" outlineLevel="0" collapsed="false">
      <c r="A349" s="21" t="s">
        <v>4328</v>
      </c>
      <c r="B349" s="21" t="s">
        <v>2390</v>
      </c>
      <c r="C349" s="21" t="n">
        <v>189</v>
      </c>
      <c r="D349" s="21" t="s">
        <v>4227</v>
      </c>
      <c r="E349" s="21" t="s">
        <v>4228</v>
      </c>
      <c r="F349" s="21" t="s">
        <v>2393</v>
      </c>
      <c r="G349" s="21" t="s">
        <v>2394</v>
      </c>
      <c r="H349" s="21" t="s">
        <v>2468</v>
      </c>
      <c r="I349" s="21" t="s">
        <v>4329</v>
      </c>
      <c r="J349" s="21" t="s">
        <v>1375</v>
      </c>
      <c r="K349" s="21" t="n">
        <v>109.99</v>
      </c>
      <c r="L349" s="21" t="s">
        <v>4330</v>
      </c>
      <c r="M349" s="21" t="s">
        <v>4331</v>
      </c>
      <c r="N349" s="21" t="s">
        <v>4332</v>
      </c>
      <c r="O349" s="21" t="s">
        <v>4333</v>
      </c>
      <c r="P349" s="21" t="s">
        <v>4334</v>
      </c>
      <c r="Q349" s="22" t="n">
        <f aca="false">IF(L349="","",IFERROR(INDEX('Semrush Data'!$A$1:$Z$20000,MATCH(L349,'Semrush Data'!$A$1:$A$20000,0),MATCH("Volume",'Semrush Data'!$A$1:$Z$1,0)),""))</f>
        <v>50</v>
      </c>
      <c r="R349" s="22" t="n">
        <f aca="false">IF(M349="","",IFERROR(INDEX('Semrush Data'!$A$1:$Z$20000,MATCH(M349,'Semrush Data'!$A$1:$A$20000,0),MATCH("Volume",'Semrush Data'!$A$1:$Z$1,0)),""))</f>
        <v>0</v>
      </c>
      <c r="S349" s="22" t="str">
        <f aca="false">IF(N349="","",IFERROR(INDEX('Semrush Data'!$A$1:$Z$20000,MATCH(N349,'Semrush Data'!$A$1:$A$20000,0),MATCH("Volume",'Semrush Data'!$A$1:$Z$1,0)),""))</f>
        <v/>
      </c>
      <c r="T349" s="22" t="str">
        <f aca="false">IF(O349="","",IFERROR(INDEX('Semrush Data'!$A$1:$Z$20000,MATCH(O349,'Semrush Data'!$A$1:$A$20000,0),MATCH("Volume",'Semrush Data'!$A$1:$Z$1,0)),""))</f>
        <v/>
      </c>
      <c r="U349" s="22" t="n">
        <f aca="false">IF(P349="","",IFERROR(INDEX('Semrush Data'!$A$1:$Z$20000,MATCH(P349,'Semrush Data'!$A$1:$A$20000,0),MATCH("Volume",'Semrush Data'!$A$1:$Z$1,0)),""))</f>
        <v>0</v>
      </c>
      <c r="V349" s="23" t="str">
        <f aca="false">IF(COUNT(Q349:U349)=0,L349,IF(MAX(Q349:U349)=0,L349,INDEX(L349:P349,MATCH(MAX(Q349:U349),Q349:U349,0))))</f>
        <v>game of spades opal</v>
      </c>
      <c r="W349" s="22" t="n">
        <f aca="false">IFERROR(INDEX('Semrush Data'!$A$1:$Z$20000,MATCH(V349,'Semrush Data'!$A$1:$A$20000,0),MATCH("Volume",'Semrush Data'!$A$1:$Z$1,0)),"")</f>
        <v>50</v>
      </c>
      <c r="X349" s="22" t="n">
        <f aca="false">IFERROR(INDEX('Semrush Data'!$A$1:$Z$20000,MATCH(V349,'Semrush Data'!$A$1:$A$20000,0),MATCH("Keyword Difficulty*",'Semrush Data'!$A$1:$Z$1,0)),"")</f>
        <v>17</v>
      </c>
      <c r="Y349" s="24" t="n">
        <f aca="false">IFERROR(INDEX('Semrush Data'!$A$1:$Z$20000,MATCH(V349,'Semrush Data'!$A$1:$A$20000,0),MATCH("CPC*",'Semrush Data'!$A$1:$Z$1,0)),"")</f>
        <v>0</v>
      </c>
      <c r="Z349" s="21" t="s">
        <v>4335</v>
      </c>
      <c r="AA349" s="21" t="s">
        <v>4336</v>
      </c>
      <c r="AB349" s="21" t="s">
        <v>4337</v>
      </c>
      <c r="AC349" s="21" t="s">
        <v>4338</v>
      </c>
      <c r="AD349" s="25" t="n">
        <f aca="false">LEN(AC349)</f>
        <v>53</v>
      </c>
      <c r="AE349" s="21" t="s">
        <v>4339</v>
      </c>
      <c r="AF349" s="25" t="n">
        <f aca="false">LEN(AE349)</f>
        <v>160</v>
      </c>
    </row>
    <row r="350" customFormat="false" ht="15" hidden="false" customHeight="true" outlineLevel="0" collapsed="false">
      <c r="A350" s="21" t="s">
        <v>4340</v>
      </c>
      <c r="B350" s="21" t="s">
        <v>2390</v>
      </c>
      <c r="C350" s="21" t="n">
        <v>190</v>
      </c>
      <c r="D350" s="21" t="s">
        <v>4227</v>
      </c>
      <c r="E350" s="21" t="s">
        <v>4228</v>
      </c>
      <c r="F350" s="21" t="s">
        <v>2393</v>
      </c>
      <c r="G350" s="21" t="s">
        <v>2394</v>
      </c>
      <c r="H350" s="21" t="s">
        <v>2479</v>
      </c>
      <c r="I350" s="21" t="s">
        <v>4341</v>
      </c>
      <c r="J350" s="21" t="s">
        <v>1935</v>
      </c>
      <c r="K350" s="21" t="n">
        <v>85.99</v>
      </c>
      <c r="L350" s="21" t="s">
        <v>4342</v>
      </c>
      <c r="M350" s="21" t="s">
        <v>4343</v>
      </c>
      <c r="N350" s="21" t="s">
        <v>4344</v>
      </c>
      <c r="O350" s="21" t="s">
        <v>4345</v>
      </c>
      <c r="P350" s="21" t="s">
        <v>4346</v>
      </c>
      <c r="Q350" s="22" t="n">
        <f aca="false">IF(L350="","",IFERROR(INDEX('Semrush Data'!$A$1:$Z$20000,MATCH(L350,'Semrush Data'!$A$1:$A$20000,0),MATCH("Volume",'Semrush Data'!$A$1:$Z$1,0)),""))</f>
        <v>50</v>
      </c>
      <c r="R350" s="22" t="n">
        <f aca="false">IF(M350="","",IFERROR(INDEX('Semrush Data'!$A$1:$Z$20000,MATCH(M350,'Semrush Data'!$A$1:$A$20000,0),MATCH("Volume",'Semrush Data'!$A$1:$Z$1,0)),""))</f>
        <v>0</v>
      </c>
      <c r="S350" s="22" t="str">
        <f aca="false">IF(N350="","",IFERROR(INDEX('Semrush Data'!$A$1:$Z$20000,MATCH(N350,'Semrush Data'!$A$1:$A$20000,0),MATCH("Volume",'Semrush Data'!$A$1:$Z$1,0)),""))</f>
        <v/>
      </c>
      <c r="T350" s="22" t="str">
        <f aca="false">IF(O350="","",IFERROR(INDEX('Semrush Data'!$A$1:$Z$20000,MATCH(O350,'Semrush Data'!$A$1:$A$20000,0),MATCH("Volume",'Semrush Data'!$A$1:$Z$1,0)),""))</f>
        <v/>
      </c>
      <c r="U350" s="22" t="n">
        <f aca="false">IF(P350="","",IFERROR(INDEX('Semrush Data'!$A$1:$Z$20000,MATCH(P350,'Semrush Data'!$A$1:$A$20000,0),MATCH("Volume",'Semrush Data'!$A$1:$Z$1,0)),""))</f>
        <v>0</v>
      </c>
      <c r="V350" s="23" t="str">
        <f aca="false">IF(COUNT(Q350:U350)=0,L350,IF(MAX(Q350:U350)=0,L350,INDEX(L350:P350,MATCH(MAX(Q350:U350),Q350:U350,0))))</f>
        <v>game of spades rouge</v>
      </c>
      <c r="W350" s="22" t="n">
        <f aca="false">IFERROR(INDEX('Semrush Data'!$A$1:$Z$20000,MATCH(V350,'Semrush Data'!$A$1:$A$20000,0),MATCH("Volume",'Semrush Data'!$A$1:$Z$1,0)),"")</f>
        <v>50</v>
      </c>
      <c r="X350" s="22" t="n">
        <f aca="false">IFERROR(INDEX('Semrush Data'!$A$1:$Z$20000,MATCH(V350,'Semrush Data'!$A$1:$A$20000,0),MATCH("Keyword Difficulty*",'Semrush Data'!$A$1:$Z$1,0)),"")</f>
        <v>23</v>
      </c>
      <c r="Y350" s="24" t="n">
        <f aca="false">IFERROR(INDEX('Semrush Data'!$A$1:$Z$20000,MATCH(V350,'Semrush Data'!$A$1:$A$20000,0),MATCH("CPC*",'Semrush Data'!$A$1:$Z$1,0)),"")</f>
        <v>0</v>
      </c>
      <c r="Z350" s="21" t="s">
        <v>4279</v>
      </c>
      <c r="AA350" s="21" t="s">
        <v>4347</v>
      </c>
      <c r="AB350" s="21" t="s">
        <v>4348</v>
      </c>
      <c r="AC350" s="21" t="s">
        <v>4349</v>
      </c>
      <c r="AD350" s="25" t="n">
        <f aca="false">LEN(AC350)</f>
        <v>55</v>
      </c>
      <c r="AE350" s="21" t="s">
        <v>4350</v>
      </c>
      <c r="AF350" s="25" t="n">
        <f aca="false">LEN(AE350)</f>
        <v>156</v>
      </c>
    </row>
    <row r="351" customFormat="false" ht="15" hidden="false" customHeight="true" outlineLevel="0" collapsed="false">
      <c r="A351" s="21" t="s">
        <v>4351</v>
      </c>
      <c r="B351" s="21" t="s">
        <v>2390</v>
      </c>
      <c r="C351" s="21" t="n">
        <v>191</v>
      </c>
      <c r="D351" s="21" t="s">
        <v>4227</v>
      </c>
      <c r="E351" s="21" t="s">
        <v>4228</v>
      </c>
      <c r="F351" s="21" t="s">
        <v>2393</v>
      </c>
      <c r="G351" s="21" t="s">
        <v>2394</v>
      </c>
      <c r="H351" s="21" t="s">
        <v>2479</v>
      </c>
      <c r="I351" s="21" t="s">
        <v>4352</v>
      </c>
      <c r="J351" s="21" t="s">
        <v>1935</v>
      </c>
      <c r="K351" s="21" t="n">
        <v>85.99</v>
      </c>
      <c r="L351" s="21" t="s">
        <v>4353</v>
      </c>
      <c r="M351" s="21" t="s">
        <v>4354</v>
      </c>
      <c r="N351" s="21" t="s">
        <v>4355</v>
      </c>
      <c r="O351" s="21" t="s">
        <v>4356</v>
      </c>
      <c r="P351" s="21" t="s">
        <v>4357</v>
      </c>
      <c r="Q351" s="22" t="n">
        <f aca="false">IF(L351="","",IFERROR(INDEX('Semrush Data'!$A$1:$Z$20000,MATCH(L351,'Semrush Data'!$A$1:$A$20000,0),MATCH("Volume",'Semrush Data'!$A$1:$Z$1,0)),""))</f>
        <v>70</v>
      </c>
      <c r="R351" s="22" t="n">
        <f aca="false">IF(M351="","",IFERROR(INDEX('Semrush Data'!$A$1:$Z$20000,MATCH(M351,'Semrush Data'!$A$1:$A$20000,0),MATCH("Volume",'Semrush Data'!$A$1:$Z$1,0)),""))</f>
        <v>0</v>
      </c>
      <c r="S351" s="22" t="str">
        <f aca="false">IF(N351="","",IFERROR(INDEX('Semrush Data'!$A$1:$Z$20000,MATCH(N351,'Semrush Data'!$A$1:$A$20000,0),MATCH("Volume",'Semrush Data'!$A$1:$Z$1,0)),""))</f>
        <v/>
      </c>
      <c r="T351" s="22" t="str">
        <f aca="false">IF(O351="","",IFERROR(INDEX('Semrush Data'!$A$1:$Z$20000,MATCH(O351,'Semrush Data'!$A$1:$A$20000,0),MATCH("Volume",'Semrush Data'!$A$1:$Z$1,0)),""))</f>
        <v/>
      </c>
      <c r="U351" s="22" t="n">
        <f aca="false">IF(P351="","",IFERROR(INDEX('Semrush Data'!$A$1:$Z$20000,MATCH(P351,'Semrush Data'!$A$1:$A$20000,0),MATCH("Volume",'Semrush Data'!$A$1:$Z$1,0)),""))</f>
        <v>0</v>
      </c>
      <c r="V351" s="23" t="str">
        <f aca="false">IF(COUNT(Q351:U351)=0,L351,IF(MAX(Q351:U351)=0,L351,INDEX(L351:P351,MATCH(MAX(Q351:U351),Q351:U351,0))))</f>
        <v>game of spades royale</v>
      </c>
      <c r="W351" s="22" t="n">
        <f aca="false">IFERROR(INDEX('Semrush Data'!$A$1:$Z$20000,MATCH(V351,'Semrush Data'!$A$1:$A$20000,0),MATCH("Volume",'Semrush Data'!$A$1:$Z$1,0)),"")</f>
        <v>70</v>
      </c>
      <c r="X351" s="22" t="n">
        <f aca="false">IFERROR(INDEX('Semrush Data'!$A$1:$Z$20000,MATCH(V351,'Semrush Data'!$A$1:$A$20000,0),MATCH("Keyword Difficulty*",'Semrush Data'!$A$1:$Z$1,0)),"")</f>
        <v>27</v>
      </c>
      <c r="Y351" s="24" t="n">
        <f aca="false">IFERROR(INDEX('Semrush Data'!$A$1:$Z$20000,MATCH(V351,'Semrush Data'!$A$1:$A$20000,0),MATCH("CPC*",'Semrush Data'!$A$1:$Z$1,0)),"")</f>
        <v>0</v>
      </c>
      <c r="Z351" s="21" t="s">
        <v>4279</v>
      </c>
      <c r="AA351" s="21" t="s">
        <v>4358</v>
      </c>
      <c r="AB351" s="21" t="s">
        <v>4359</v>
      </c>
      <c r="AC351" s="21" t="s">
        <v>4360</v>
      </c>
      <c r="AD351" s="25" t="n">
        <f aca="false">LEN(AC351)</f>
        <v>56</v>
      </c>
      <c r="AE351" s="21" t="s">
        <v>4361</v>
      </c>
      <c r="AF351" s="25" t="n">
        <f aca="false">LEN(AE351)</f>
        <v>157</v>
      </c>
    </row>
    <row r="352" customFormat="false" ht="15" hidden="false" customHeight="true" outlineLevel="0" collapsed="false">
      <c r="A352" s="21" t="s">
        <v>4362</v>
      </c>
      <c r="B352" s="21" t="s">
        <v>2390</v>
      </c>
      <c r="C352" s="21" t="n">
        <v>192</v>
      </c>
      <c r="D352" s="21" t="s">
        <v>4227</v>
      </c>
      <c r="E352" s="21" t="s">
        <v>4228</v>
      </c>
      <c r="F352" s="21" t="s">
        <v>2393</v>
      </c>
      <c r="G352" s="21" t="s">
        <v>2394</v>
      </c>
      <c r="H352" s="21" t="s">
        <v>2479</v>
      </c>
      <c r="I352" s="21" t="s">
        <v>4363</v>
      </c>
      <c r="J352" s="21" t="s">
        <v>1935</v>
      </c>
      <c r="K352" s="21" t="n">
        <v>89.99</v>
      </c>
      <c r="L352" s="21" t="s">
        <v>4364</v>
      </c>
      <c r="M352" s="21" t="s">
        <v>4365</v>
      </c>
      <c r="N352" s="21" t="s">
        <v>4366</v>
      </c>
      <c r="O352" s="21" t="s">
        <v>4367</v>
      </c>
      <c r="P352" s="21" t="s">
        <v>4368</v>
      </c>
      <c r="Q352" s="22" t="n">
        <f aca="false">IF(L352="","",IFERROR(INDEX('Semrush Data'!$A$1:$Z$20000,MATCH(L352,'Semrush Data'!$A$1:$A$20000,0),MATCH("Volume",'Semrush Data'!$A$1:$Z$1,0)),""))</f>
        <v>20</v>
      </c>
      <c r="R352" s="22" t="str">
        <f aca="false">IF(M352="","",IFERROR(INDEX('Semrush Data'!$A$1:$Z$20000,MATCH(M352,'Semrush Data'!$A$1:$A$20000,0),MATCH("Volume",'Semrush Data'!$A$1:$Z$1,0)),""))</f>
        <v/>
      </c>
      <c r="S352" s="22" t="str">
        <f aca="false">IF(N352="","",IFERROR(INDEX('Semrush Data'!$A$1:$Z$20000,MATCH(N352,'Semrush Data'!$A$1:$A$20000,0),MATCH("Volume",'Semrush Data'!$A$1:$Z$1,0)),""))</f>
        <v/>
      </c>
      <c r="T352" s="22" t="str">
        <f aca="false">IF(O352="","",IFERROR(INDEX('Semrush Data'!$A$1:$Z$20000,MATCH(O352,'Semrush Data'!$A$1:$A$20000,0),MATCH("Volume",'Semrush Data'!$A$1:$Z$1,0)),""))</f>
        <v/>
      </c>
      <c r="U352" s="22" t="str">
        <f aca="false">IF(P352="","",IFERROR(INDEX('Semrush Data'!$A$1:$Z$20000,MATCH(P352,'Semrush Data'!$A$1:$A$20000,0),MATCH("Volume",'Semrush Data'!$A$1:$Z$1,0)),""))</f>
        <v/>
      </c>
      <c r="V352" s="23" t="str">
        <f aca="false">IF(COUNT(Q352:U352)=0,L352,IF(MAX(Q352:U352)=0,L352,INDEX(L352:P352,MATCH(MAX(Q352:U352),Q352:U352,0))))</f>
        <v>game of spades ruby</v>
      </c>
      <c r="W352" s="22" t="n">
        <f aca="false">IFERROR(INDEX('Semrush Data'!$A$1:$Z$20000,MATCH(V352,'Semrush Data'!$A$1:$A$20000,0),MATCH("Volume",'Semrush Data'!$A$1:$Z$1,0)),"")</f>
        <v>20</v>
      </c>
      <c r="X352" s="22" t="n">
        <f aca="false">IFERROR(INDEX('Semrush Data'!$A$1:$Z$20000,MATCH(V352,'Semrush Data'!$A$1:$A$20000,0),MATCH("Keyword Difficulty*",'Semrush Data'!$A$1:$Z$1,0)),"")</f>
        <v>21</v>
      </c>
      <c r="Y352" s="24" t="n">
        <f aca="false">IFERROR(INDEX('Semrush Data'!$A$1:$Z$20000,MATCH(V352,'Semrush Data'!$A$1:$A$20000,0),MATCH("CPC*",'Semrush Data'!$A$1:$Z$1,0)),"")</f>
        <v>0</v>
      </c>
      <c r="Z352" s="21" t="s">
        <v>4279</v>
      </c>
      <c r="AA352" s="21" t="s">
        <v>4369</v>
      </c>
      <c r="AB352" s="21" t="s">
        <v>4370</v>
      </c>
      <c r="AC352" s="21" t="s">
        <v>4371</v>
      </c>
      <c r="AD352" s="25" t="n">
        <f aca="false">LEN(AC352)</f>
        <v>54</v>
      </c>
      <c r="AE352" s="21" t="s">
        <v>4372</v>
      </c>
      <c r="AF352" s="25" t="n">
        <f aca="false">LEN(AE352)</f>
        <v>155</v>
      </c>
    </row>
    <row r="353" customFormat="false" ht="15" hidden="false" customHeight="true" outlineLevel="0" collapsed="false">
      <c r="A353" s="21" t="s">
        <v>96</v>
      </c>
      <c r="B353" s="21" t="s">
        <v>2390</v>
      </c>
      <c r="C353" s="21" t="n">
        <v>193</v>
      </c>
      <c r="D353" s="21" t="s">
        <v>4227</v>
      </c>
      <c r="E353" s="21" t="s">
        <v>4228</v>
      </c>
      <c r="F353" s="21" t="s">
        <v>2393</v>
      </c>
      <c r="G353" s="21" t="s">
        <v>2394</v>
      </c>
      <c r="H353" s="21" t="s">
        <v>2479</v>
      </c>
      <c r="I353" s="21" t="s">
        <v>97</v>
      </c>
      <c r="J353" s="21" t="s">
        <v>1935</v>
      </c>
      <c r="K353" s="21" t="n">
        <v>94.99</v>
      </c>
      <c r="L353" s="21" t="s">
        <v>4373</v>
      </c>
      <c r="M353" s="21" t="s">
        <v>4374</v>
      </c>
      <c r="N353" s="21" t="s">
        <v>4375</v>
      </c>
      <c r="O353" s="21" t="s">
        <v>4376</v>
      </c>
      <c r="P353" s="21" t="s">
        <v>4377</v>
      </c>
      <c r="Q353" s="22" t="n">
        <f aca="false">IF(L353="","",IFERROR(INDEX('Semrush Data'!$A$1:$Z$20000,MATCH(L353,'Semrush Data'!$A$1:$A$20000,0),MATCH("Volume",'Semrush Data'!$A$1:$Z$1,0)),""))</f>
        <v>880</v>
      </c>
      <c r="R353" s="22" t="n">
        <f aca="false">IF(M353="","",IFERROR(INDEX('Semrush Data'!$A$1:$Z$20000,MATCH(M353,'Semrush Data'!$A$1:$A$20000,0),MATCH("Volume",'Semrush Data'!$A$1:$Z$1,0)),""))</f>
        <v>20</v>
      </c>
      <c r="S353" s="22" t="str">
        <f aca="false">IF(N353="","",IFERROR(INDEX('Semrush Data'!$A$1:$Z$20000,MATCH(N353,'Semrush Data'!$A$1:$A$20000,0),MATCH("Volume",'Semrush Data'!$A$1:$Z$1,0)),""))</f>
        <v/>
      </c>
      <c r="T353" s="22" t="str">
        <f aca="false">IF(O353="","",IFERROR(INDEX('Semrush Data'!$A$1:$Z$20000,MATCH(O353,'Semrush Data'!$A$1:$A$20000,0),MATCH("Volume",'Semrush Data'!$A$1:$Z$1,0)),""))</f>
        <v/>
      </c>
      <c r="U353" s="22" t="n">
        <f aca="false">IF(P353="","",IFERROR(INDEX('Semrush Data'!$A$1:$Z$20000,MATCH(P353,'Semrush Data'!$A$1:$A$20000,0),MATCH("Volume",'Semrush Data'!$A$1:$Z$1,0)),""))</f>
        <v>0</v>
      </c>
      <c r="V353" s="23" t="str">
        <f aca="false">IF(COUNT(Q353:U353)=0,L353,IF(MAX(Q353:U353)=0,L353,INDEX(L353:P353,MATCH(MAX(Q353:U353),Q353:U353,0))))</f>
        <v>game of spades wildcard</v>
      </c>
      <c r="W353" s="22" t="n">
        <f aca="false">IFERROR(INDEX('Semrush Data'!$A$1:$Z$20000,MATCH(V353,'Semrush Data'!$A$1:$A$20000,0),MATCH("Volume",'Semrush Data'!$A$1:$Z$1,0)),"")</f>
        <v>880</v>
      </c>
      <c r="X353" s="22" t="n">
        <f aca="false">IFERROR(INDEX('Semrush Data'!$A$1:$Z$20000,MATCH(V353,'Semrush Data'!$A$1:$A$20000,0),MATCH("Keyword Difficulty*",'Semrush Data'!$A$1:$Z$1,0)),"")</f>
        <v>29</v>
      </c>
      <c r="Y353" s="24" t="n">
        <f aca="false">IFERROR(INDEX('Semrush Data'!$A$1:$Z$20000,MATCH(V353,'Semrush Data'!$A$1:$A$20000,0),MATCH("CPC*",'Semrush Data'!$A$1:$Z$1,0)),"")</f>
        <v>0.56</v>
      </c>
      <c r="Z353" s="21" t="s">
        <v>4279</v>
      </c>
      <c r="AA353" s="21" t="s">
        <v>4378</v>
      </c>
      <c r="AB353" s="21" t="s">
        <v>4379</v>
      </c>
      <c r="AC353" s="21" t="s">
        <v>4380</v>
      </c>
      <c r="AD353" s="25" t="n">
        <f aca="false">LEN(AC353)</f>
        <v>58</v>
      </c>
      <c r="AE353" s="21" t="s">
        <v>4381</v>
      </c>
      <c r="AF353" s="25" t="n">
        <f aca="false">LEN(AE353)</f>
        <v>159</v>
      </c>
    </row>
    <row r="354" customFormat="false" ht="15" hidden="false" customHeight="true" outlineLevel="0" collapsed="false">
      <c r="A354" s="21" t="s">
        <v>4382</v>
      </c>
      <c r="B354" s="21" t="s">
        <v>2390</v>
      </c>
      <c r="C354" s="21" t="n">
        <v>194</v>
      </c>
      <c r="D354" s="21" t="s">
        <v>4227</v>
      </c>
      <c r="E354" s="21" t="s">
        <v>4228</v>
      </c>
      <c r="F354" s="21" t="s">
        <v>2393</v>
      </c>
      <c r="G354" s="21" t="s">
        <v>2394</v>
      </c>
      <c r="H354" s="21" t="s">
        <v>2549</v>
      </c>
      <c r="I354" s="21" t="s">
        <v>4383</v>
      </c>
      <c r="J354" s="21" t="s">
        <v>1935</v>
      </c>
      <c r="K354" s="21" t="n">
        <v>79.99</v>
      </c>
      <c r="L354" s="21" t="s">
        <v>4384</v>
      </c>
      <c r="M354" s="21" t="s">
        <v>4385</v>
      </c>
      <c r="N354" s="21" t="s">
        <v>4386</v>
      </c>
      <c r="O354" s="21" t="s">
        <v>4387</v>
      </c>
      <c r="P354" s="21" t="s">
        <v>4388</v>
      </c>
      <c r="Q354" s="22" t="n">
        <f aca="false">IF(L354="","",IFERROR(INDEX('Semrush Data'!$A$1:$Z$20000,MATCH(L354,'Semrush Data'!$A$1:$A$20000,0),MATCH("Volume",'Semrush Data'!$A$1:$Z$1,0)),""))</f>
        <v>110</v>
      </c>
      <c r="R354" s="22" t="n">
        <f aca="false">IF(M354="","",IFERROR(INDEX('Semrush Data'!$A$1:$Z$20000,MATCH(M354,'Semrush Data'!$A$1:$A$20000,0),MATCH("Volume",'Semrush Data'!$A$1:$Z$1,0)),""))</f>
        <v>0</v>
      </c>
      <c r="S354" s="22" t="str">
        <f aca="false">IF(N354="","",IFERROR(INDEX('Semrush Data'!$A$1:$Z$20000,MATCH(N354,'Semrush Data'!$A$1:$A$20000,0),MATCH("Volume",'Semrush Data'!$A$1:$Z$1,0)),""))</f>
        <v/>
      </c>
      <c r="T354" s="22" t="str">
        <f aca="false">IF(O354="","",IFERROR(INDEX('Semrush Data'!$A$1:$Z$20000,MATCH(O354,'Semrush Data'!$A$1:$A$20000,0),MATCH("Volume",'Semrush Data'!$A$1:$Z$1,0)),""))</f>
        <v/>
      </c>
      <c r="U354" s="22" t="n">
        <f aca="false">IF(P354="","",IFERROR(INDEX('Semrush Data'!$A$1:$Z$20000,MATCH(P354,'Semrush Data'!$A$1:$A$20000,0),MATCH("Volume",'Semrush Data'!$A$1:$Z$1,0)),""))</f>
        <v>0</v>
      </c>
      <c r="V354" s="23" t="str">
        <f aca="false">IF(COUNT(Q354:U354)=0,L354,IF(MAX(Q354:U354)=0,L354,INDEX(L354:P354,MATCH(MAX(Q354:U354),Q354:U354,0))))</f>
        <v>game of spades win</v>
      </c>
      <c r="W354" s="22" t="n">
        <f aca="false">IFERROR(INDEX('Semrush Data'!$A$1:$Z$20000,MATCH(V354,'Semrush Data'!$A$1:$A$20000,0),MATCH("Volume",'Semrush Data'!$A$1:$Z$1,0)),"")</f>
        <v>110</v>
      </c>
      <c r="X354" s="22" t="n">
        <f aca="false">IFERROR(INDEX('Semrush Data'!$A$1:$Z$20000,MATCH(V354,'Semrush Data'!$A$1:$A$20000,0),MATCH("Keyword Difficulty*",'Semrush Data'!$A$1:$Z$1,0)),"")</f>
        <v>25</v>
      </c>
      <c r="Y354" s="24" t="n">
        <f aca="false">IFERROR(INDEX('Semrush Data'!$A$1:$Z$20000,MATCH(V354,'Semrush Data'!$A$1:$A$20000,0),MATCH("CPC*",'Semrush Data'!$A$1:$Z$1,0)),"")</f>
        <v>0</v>
      </c>
      <c r="Z354" s="21" t="s">
        <v>4235</v>
      </c>
      <c r="AA354" s="21" t="s">
        <v>4389</v>
      </c>
      <c r="AB354" s="21" t="s">
        <v>4390</v>
      </c>
      <c r="AC354" s="21" t="s">
        <v>4391</v>
      </c>
      <c r="AD354" s="25" t="n">
        <f aca="false">LEN(AC354)</f>
        <v>51</v>
      </c>
      <c r="AE354" s="21" t="s">
        <v>4392</v>
      </c>
      <c r="AF354" s="25" t="n">
        <f aca="false">LEN(AE354)</f>
        <v>137</v>
      </c>
    </row>
    <row r="355" customFormat="false" ht="15" hidden="false" customHeight="true" outlineLevel="0" collapsed="false">
      <c r="A355" s="21" t="s">
        <v>4393</v>
      </c>
      <c r="B355" s="21" t="s">
        <v>2390</v>
      </c>
      <c r="C355" s="21" t="n">
        <v>195</v>
      </c>
      <c r="D355" s="21" t="s">
        <v>4227</v>
      </c>
      <c r="E355" s="21" t="s">
        <v>4228</v>
      </c>
      <c r="F355" s="21" t="s">
        <v>2393</v>
      </c>
      <c r="G355" s="21" t="s">
        <v>2394</v>
      </c>
      <c r="H355" s="21" t="s">
        <v>2479</v>
      </c>
      <c r="I355" s="21" t="s">
        <v>4394</v>
      </c>
      <c r="J355" s="21" t="s">
        <v>1935</v>
      </c>
      <c r="K355" s="21" t="n">
        <v>76.99</v>
      </c>
      <c r="L355" s="21" t="s">
        <v>4395</v>
      </c>
      <c r="M355" s="21" t="s">
        <v>4396</v>
      </c>
      <c r="N355" s="21" t="s">
        <v>4397</v>
      </c>
      <c r="O355" s="21" t="s">
        <v>4398</v>
      </c>
      <c r="P355" s="21" t="s">
        <v>4399</v>
      </c>
      <c r="Q355" s="22" t="n">
        <f aca="false">IF(L355="","",IFERROR(INDEX('Semrush Data'!$A$1:$Z$20000,MATCH(L355,'Semrush Data'!$A$1:$A$20000,0),MATCH("Volume",'Semrush Data'!$A$1:$Z$1,0)),""))</f>
        <v>20</v>
      </c>
      <c r="R355" s="22" t="str">
        <f aca="false">IF(M355="","",IFERROR(INDEX('Semrush Data'!$A$1:$Z$20000,MATCH(M355,'Semrush Data'!$A$1:$A$20000,0),MATCH("Volume",'Semrush Data'!$A$1:$Z$1,0)),""))</f>
        <v/>
      </c>
      <c r="S355" s="22" t="str">
        <f aca="false">IF(N355="","",IFERROR(INDEX('Semrush Data'!$A$1:$Z$20000,MATCH(N355,'Semrush Data'!$A$1:$A$20000,0),MATCH("Volume",'Semrush Data'!$A$1:$Z$1,0)),""))</f>
        <v/>
      </c>
      <c r="T355" s="22" t="str">
        <f aca="false">IF(O355="","",IFERROR(INDEX('Semrush Data'!$A$1:$Z$20000,MATCH(O355,'Semrush Data'!$A$1:$A$20000,0),MATCH("Volume",'Semrush Data'!$A$1:$Z$1,0)),""))</f>
        <v/>
      </c>
      <c r="U355" s="22" t="str">
        <f aca="false">IF(P355="","",IFERROR(INDEX('Semrush Data'!$A$1:$Z$20000,MATCH(P355,'Semrush Data'!$A$1:$A$20000,0),MATCH("Volume",'Semrush Data'!$A$1:$Z$1,0)),""))</f>
        <v/>
      </c>
      <c r="V355" s="23" t="str">
        <f aca="false">IF(COUNT(Q355:U355)=0,L355,IF(MAX(Q355:U355)=0,L355,INDEX(L355:P355,MATCH(MAX(Q355:U355),Q355:U355,0))))</f>
        <v>game of spades yellow sapphire</v>
      </c>
      <c r="W355" s="22" t="n">
        <f aca="false">IFERROR(INDEX('Semrush Data'!$A$1:$Z$20000,MATCH(V355,'Semrush Data'!$A$1:$A$20000,0),MATCH("Volume",'Semrush Data'!$A$1:$Z$1,0)),"")</f>
        <v>20</v>
      </c>
      <c r="X355" s="22" t="n">
        <f aca="false">IFERROR(INDEX('Semrush Data'!$A$1:$Z$20000,MATCH(V355,'Semrush Data'!$A$1:$A$20000,0),MATCH("Keyword Difficulty*",'Semrush Data'!$A$1:$Z$1,0)),"")</f>
        <v>22</v>
      </c>
      <c r="Y355" s="24" t="n">
        <f aca="false">IFERROR(INDEX('Semrush Data'!$A$1:$Z$20000,MATCH(V355,'Semrush Data'!$A$1:$A$20000,0),MATCH("CPC*",'Semrush Data'!$A$1:$Z$1,0)),"")</f>
        <v>0</v>
      </c>
      <c r="Z355" s="21" t="s">
        <v>4279</v>
      </c>
      <c r="AA355" s="21" t="s">
        <v>4400</v>
      </c>
      <c r="AB355" s="21" t="s">
        <v>4401</v>
      </c>
      <c r="AC355" s="21" t="s">
        <v>4402</v>
      </c>
      <c r="AD355" s="25" t="n">
        <f aca="false">LEN(AC355)</f>
        <v>57</v>
      </c>
      <c r="AE355" s="21" t="s">
        <v>4403</v>
      </c>
      <c r="AF355" s="25" t="n">
        <f aca="false">LEN(AE355)</f>
        <v>159</v>
      </c>
    </row>
    <row r="356" customFormat="false" ht="15" hidden="false" customHeight="true" outlineLevel="0" collapsed="false">
      <c r="A356" s="21" t="s">
        <v>4404</v>
      </c>
      <c r="B356" s="21" t="s">
        <v>2390</v>
      </c>
      <c r="C356" s="21" t="n">
        <v>196</v>
      </c>
      <c r="D356" s="21" t="s">
        <v>4227</v>
      </c>
      <c r="E356" s="21" t="s">
        <v>4228</v>
      </c>
      <c r="F356" s="21" t="s">
        <v>2393</v>
      </c>
      <c r="G356" s="21" t="s">
        <v>2394</v>
      </c>
      <c r="H356" s="21" t="s">
        <v>2549</v>
      </c>
      <c r="I356" s="21" t="s">
        <v>4405</v>
      </c>
      <c r="J356" s="21" t="s">
        <v>1935</v>
      </c>
      <c r="K356" s="21" t="n">
        <v>17.99</v>
      </c>
      <c r="L356" s="21" t="s">
        <v>4406</v>
      </c>
      <c r="M356" s="21" t="s">
        <v>4407</v>
      </c>
      <c r="N356" s="21" t="s">
        <v>4408</v>
      </c>
      <c r="O356" s="21" t="s">
        <v>4409</v>
      </c>
      <c r="P356" s="21" t="s">
        <v>4410</v>
      </c>
      <c r="Q356" s="22" t="n">
        <f aca="false">IF(L356="","",IFERROR(INDEX('Semrush Data'!$A$1:$Z$20000,MATCH(L356,'Semrush Data'!$A$1:$A$20000,0),MATCH("Volume",'Semrush Data'!$A$1:$Z$1,0)),""))</f>
        <v>0</v>
      </c>
      <c r="R356" s="22" t="str">
        <f aca="false">IF(M356="","",IFERROR(INDEX('Semrush Data'!$A$1:$Z$20000,MATCH(M356,'Semrush Data'!$A$1:$A$20000,0),MATCH("Volume",'Semrush Data'!$A$1:$Z$1,0)),""))</f>
        <v/>
      </c>
      <c r="S356" s="22" t="str">
        <f aca="false">IF(N356="","",IFERROR(INDEX('Semrush Data'!$A$1:$Z$20000,MATCH(N356,'Semrush Data'!$A$1:$A$20000,0),MATCH("Volume",'Semrush Data'!$A$1:$Z$1,0)),""))</f>
        <v/>
      </c>
      <c r="T356" s="22" t="str">
        <f aca="false">IF(O356="","",IFERROR(INDEX('Semrush Data'!$A$1:$Z$20000,MATCH(O356,'Semrush Data'!$A$1:$A$20000,0),MATCH("Volume",'Semrush Data'!$A$1:$Z$1,0)),""))</f>
        <v/>
      </c>
      <c r="U356" s="22" t="str">
        <f aca="false">IF(P356="","",IFERROR(INDEX('Semrush Data'!$A$1:$Z$20000,MATCH(P356,'Semrush Data'!$A$1:$A$20000,0),MATCH("Volume",'Semrush Data'!$A$1:$Z$1,0)),""))</f>
        <v/>
      </c>
      <c r="V356" s="23" t="str">
        <f aca="false">IF(COUNT(Q356:U356)=0,L356,IF(MAX(Q356:U356)=0,L356,INDEX(L356:P356,MATCH(MAX(Q356:U356),Q356:U356,0))))</f>
        <v>maison de milan amalfi bleu</v>
      </c>
      <c r="W356" s="22" t="n">
        <f aca="false">IFERROR(INDEX('Semrush Data'!$A$1:$Z$20000,MATCH(V356,'Semrush Data'!$A$1:$A$20000,0),MATCH("Volume",'Semrush Data'!$A$1:$Z$1,0)),"")</f>
        <v>0</v>
      </c>
      <c r="X356" s="22" t="n">
        <f aca="false">IFERROR(INDEX('Semrush Data'!$A$1:$Z$20000,MATCH(V356,'Semrush Data'!$A$1:$A$20000,0),MATCH("Keyword Difficulty*",'Semrush Data'!$A$1:$Z$1,0)),"")</f>
        <v>27</v>
      </c>
      <c r="Y356" s="24" t="n">
        <f aca="false">IFERROR(INDEX('Semrush Data'!$A$1:$Z$20000,MATCH(V356,'Semrush Data'!$A$1:$A$20000,0),MATCH("CPC*",'Semrush Data'!$A$1:$Z$1,0)),"")</f>
        <v>0</v>
      </c>
      <c r="Z356" s="21" t="s">
        <v>4235</v>
      </c>
      <c r="AA356" s="21"/>
      <c r="AB356" s="21" t="s">
        <v>4411</v>
      </c>
      <c r="AC356" s="21" t="s">
        <v>4412</v>
      </c>
      <c r="AD356" s="25" t="n">
        <f aca="false">LEN(AC356)</f>
        <v>54</v>
      </c>
      <c r="AE356" s="21" t="s">
        <v>4413</v>
      </c>
      <c r="AF356" s="25" t="n">
        <f aca="false">LEN(AE356)</f>
        <v>146</v>
      </c>
    </row>
    <row r="357" customFormat="false" ht="15" hidden="false" customHeight="true" outlineLevel="0" collapsed="false">
      <c r="A357" s="21" t="s">
        <v>4414</v>
      </c>
      <c r="B357" s="21" t="s">
        <v>2390</v>
      </c>
      <c r="C357" s="21" t="n">
        <v>197</v>
      </c>
      <c r="D357" s="21" t="s">
        <v>4227</v>
      </c>
      <c r="E357" s="21" t="s">
        <v>4228</v>
      </c>
      <c r="F357" s="21" t="s">
        <v>2393</v>
      </c>
      <c r="G357" s="21" t="s">
        <v>2394</v>
      </c>
      <c r="H357" s="21" t="s">
        <v>2457</v>
      </c>
      <c r="I357" s="21" t="s">
        <v>4415</v>
      </c>
      <c r="J357" s="21" t="s">
        <v>1935</v>
      </c>
      <c r="K357" s="21" t="n">
        <v>17.99</v>
      </c>
      <c r="L357" s="21" t="s">
        <v>4416</v>
      </c>
      <c r="M357" s="21" t="s">
        <v>4417</v>
      </c>
      <c r="N357" s="21" t="s">
        <v>4418</v>
      </c>
      <c r="O357" s="21" t="s">
        <v>4419</v>
      </c>
      <c r="P357" s="21" t="s">
        <v>4420</v>
      </c>
      <c r="Q357" s="22" t="n">
        <f aca="false">IF(L357="","",IFERROR(INDEX('Semrush Data'!$A$1:$Z$20000,MATCH(L357,'Semrush Data'!$A$1:$A$20000,0),MATCH("Volume",'Semrush Data'!$A$1:$Z$1,0)),""))</f>
        <v>0</v>
      </c>
      <c r="R357" s="22" t="str">
        <f aca="false">IF(M357="","",IFERROR(INDEX('Semrush Data'!$A$1:$Z$20000,MATCH(M357,'Semrush Data'!$A$1:$A$20000,0),MATCH("Volume",'Semrush Data'!$A$1:$Z$1,0)),""))</f>
        <v/>
      </c>
      <c r="S357" s="22" t="str">
        <f aca="false">IF(N357="","",IFERROR(INDEX('Semrush Data'!$A$1:$Z$20000,MATCH(N357,'Semrush Data'!$A$1:$A$20000,0),MATCH("Volume",'Semrush Data'!$A$1:$Z$1,0)),""))</f>
        <v/>
      </c>
      <c r="T357" s="22" t="str">
        <f aca="false">IF(O357="","",IFERROR(INDEX('Semrush Data'!$A$1:$Z$20000,MATCH(O357,'Semrush Data'!$A$1:$A$20000,0),MATCH("Volume",'Semrush Data'!$A$1:$Z$1,0)),""))</f>
        <v/>
      </c>
      <c r="U357" s="22" t="str">
        <f aca="false">IF(P357="","",IFERROR(INDEX('Semrush Data'!$A$1:$Z$20000,MATCH(P357,'Semrush Data'!$A$1:$A$20000,0),MATCH("Volume",'Semrush Data'!$A$1:$Z$1,0)),""))</f>
        <v/>
      </c>
      <c r="V357" s="23" t="str">
        <f aca="false">IF(COUNT(Q357:U357)=0,L357,IF(MAX(Q357:U357)=0,L357,INDEX(L357:P357,MATCH(MAX(Q357:U357),Q357:U357,0))))</f>
        <v>maison de milan bliss rouge</v>
      </c>
      <c r="W357" s="22" t="n">
        <f aca="false">IFERROR(INDEX('Semrush Data'!$A$1:$Z$20000,MATCH(V357,'Semrush Data'!$A$1:$A$20000,0),MATCH("Volume",'Semrush Data'!$A$1:$Z$1,0)),"")</f>
        <v>0</v>
      </c>
      <c r="X357" s="22" t="n">
        <f aca="false">IFERROR(INDEX('Semrush Data'!$A$1:$Z$20000,MATCH(V357,'Semrush Data'!$A$1:$A$20000,0),MATCH("Keyword Difficulty*",'Semrush Data'!$A$1:$Z$1,0)),"")</f>
        <v>14</v>
      </c>
      <c r="Y357" s="24" t="n">
        <f aca="false">IFERROR(INDEX('Semrush Data'!$A$1:$Z$20000,MATCH(V357,'Semrush Data'!$A$1:$A$20000,0),MATCH("CPC*",'Semrush Data'!$A$1:$Z$1,0)),"")</f>
        <v>0</v>
      </c>
      <c r="Z357" s="21" t="s">
        <v>4421</v>
      </c>
      <c r="AA357" s="21"/>
      <c r="AB357" s="21" t="s">
        <v>4422</v>
      </c>
      <c r="AC357" s="21" t="s">
        <v>4423</v>
      </c>
      <c r="AD357" s="25" t="n">
        <f aca="false">LEN(AC357)</f>
        <v>54</v>
      </c>
      <c r="AE357" s="21" t="s">
        <v>4424</v>
      </c>
      <c r="AF357" s="25" t="n">
        <f aca="false">LEN(AE357)</f>
        <v>148</v>
      </c>
    </row>
    <row r="358" customFormat="false" ht="15" hidden="false" customHeight="true" outlineLevel="0" collapsed="false">
      <c r="A358" s="21" t="s">
        <v>4425</v>
      </c>
      <c r="B358" s="21" t="s">
        <v>2390</v>
      </c>
      <c r="C358" s="21" t="n">
        <v>198</v>
      </c>
      <c r="D358" s="21" t="s">
        <v>4227</v>
      </c>
      <c r="E358" s="21" t="s">
        <v>4228</v>
      </c>
      <c r="F358" s="21" t="s">
        <v>2393</v>
      </c>
      <c r="G358" s="21" t="s">
        <v>2394</v>
      </c>
      <c r="H358" s="21" t="s">
        <v>2524</v>
      </c>
      <c r="I358" s="21" t="s">
        <v>4426</v>
      </c>
      <c r="J358" s="21" t="s">
        <v>1935</v>
      </c>
      <c r="K358" s="21" t="n">
        <v>17.99</v>
      </c>
      <c r="L358" s="21" t="s">
        <v>4427</v>
      </c>
      <c r="M358" s="21" t="s">
        <v>4428</v>
      </c>
      <c r="N358" s="21" t="s">
        <v>4429</v>
      </c>
      <c r="O358" s="21" t="s">
        <v>4430</v>
      </c>
      <c r="P358" s="21" t="s">
        <v>4431</v>
      </c>
      <c r="Q358" s="22" t="n">
        <f aca="false">IF(L358="","",IFERROR(INDEX('Semrush Data'!$A$1:$Z$20000,MATCH(L358,'Semrush Data'!$A$1:$A$20000,0),MATCH("Volume",'Semrush Data'!$A$1:$Z$1,0)),""))</f>
        <v>0</v>
      </c>
      <c r="R358" s="22" t="str">
        <f aca="false">IF(M358="","",IFERROR(INDEX('Semrush Data'!$A$1:$Z$20000,MATCH(M358,'Semrush Data'!$A$1:$A$20000,0),MATCH("Volume",'Semrush Data'!$A$1:$Z$1,0)),""))</f>
        <v/>
      </c>
      <c r="S358" s="22" t="str">
        <f aca="false">IF(N358="","",IFERROR(INDEX('Semrush Data'!$A$1:$Z$20000,MATCH(N358,'Semrush Data'!$A$1:$A$20000,0),MATCH("Volume",'Semrush Data'!$A$1:$Z$1,0)),""))</f>
        <v/>
      </c>
      <c r="T358" s="22" t="str">
        <f aca="false">IF(O358="","",IFERROR(INDEX('Semrush Data'!$A$1:$Z$20000,MATCH(O358,'Semrush Data'!$A$1:$A$20000,0),MATCH("Volume",'Semrush Data'!$A$1:$Z$1,0)),""))</f>
        <v/>
      </c>
      <c r="U358" s="22" t="str">
        <f aca="false">IF(P358="","",IFERROR(INDEX('Semrush Data'!$A$1:$Z$20000,MATCH(P358,'Semrush Data'!$A$1:$A$20000,0),MATCH("Volume",'Semrush Data'!$A$1:$Z$1,0)),""))</f>
        <v/>
      </c>
      <c r="V358" s="23" t="str">
        <f aca="false">IF(COUNT(Q358:U358)=0,L358,IF(MAX(Q358:U358)=0,L358,INDEX(L358:P358,MATCH(MAX(Q358:U358),Q358:U358,0))))</f>
        <v>maison de milan brave lad</v>
      </c>
      <c r="W358" s="22" t="n">
        <f aca="false">IFERROR(INDEX('Semrush Data'!$A$1:$Z$20000,MATCH(V358,'Semrush Data'!$A$1:$A$20000,0),MATCH("Volume",'Semrush Data'!$A$1:$Z$1,0)),"")</f>
        <v>0</v>
      </c>
      <c r="X358" s="22" t="n">
        <f aca="false">IFERROR(INDEX('Semrush Data'!$A$1:$Z$20000,MATCH(V358,'Semrush Data'!$A$1:$A$20000,0),MATCH("Keyword Difficulty*",'Semrush Data'!$A$1:$Z$1,0)),"")</f>
        <v>22</v>
      </c>
      <c r="Y358" s="24" t="n">
        <f aca="false">IFERROR(INDEX('Semrush Data'!$A$1:$Z$20000,MATCH(V358,'Semrush Data'!$A$1:$A$20000,0),MATCH("CPC*",'Semrush Data'!$A$1:$Z$1,0)),"")</f>
        <v>0</v>
      </c>
      <c r="Z358" s="21" t="s">
        <v>4247</v>
      </c>
      <c r="AA358" s="21"/>
      <c r="AB358" s="21" t="s">
        <v>4432</v>
      </c>
      <c r="AC358" s="21" t="s">
        <v>4433</v>
      </c>
      <c r="AD358" s="25" t="n">
        <f aca="false">LEN(AC358)</f>
        <v>52</v>
      </c>
      <c r="AE358" s="21" t="s">
        <v>4434</v>
      </c>
      <c r="AF358" s="25" t="n">
        <f aca="false">LEN(AE358)</f>
        <v>145</v>
      </c>
    </row>
    <row r="359" customFormat="false" ht="15" hidden="false" customHeight="true" outlineLevel="0" collapsed="false">
      <c r="A359" s="21" t="s">
        <v>4435</v>
      </c>
      <c r="B359" s="21" t="s">
        <v>2390</v>
      </c>
      <c r="C359" s="21" t="n">
        <v>199</v>
      </c>
      <c r="D359" s="21" t="s">
        <v>4227</v>
      </c>
      <c r="E359" s="21" t="s">
        <v>4228</v>
      </c>
      <c r="F359" s="21" t="s">
        <v>2393</v>
      </c>
      <c r="G359" s="21" t="s">
        <v>2394</v>
      </c>
      <c r="H359" s="21" t="s">
        <v>2457</v>
      </c>
      <c r="I359" s="21" t="s">
        <v>4436</v>
      </c>
      <c r="J359" s="21" t="s">
        <v>1935</v>
      </c>
      <c r="K359" s="21" t="n">
        <v>17.99</v>
      </c>
      <c r="L359" s="21" t="s">
        <v>4437</v>
      </c>
      <c r="M359" s="21" t="s">
        <v>4438</v>
      </c>
      <c r="N359" s="21" t="s">
        <v>4439</v>
      </c>
      <c r="O359" s="21" t="s">
        <v>4440</v>
      </c>
      <c r="P359" s="21" t="s">
        <v>4441</v>
      </c>
      <c r="Q359" s="22" t="n">
        <f aca="false">IF(L359="","",IFERROR(INDEX('Semrush Data'!$A$1:$Z$20000,MATCH(L359,'Semrush Data'!$A$1:$A$20000,0),MATCH("Volume",'Semrush Data'!$A$1:$Z$1,0)),""))</f>
        <v>0</v>
      </c>
      <c r="R359" s="22" t="str">
        <f aca="false">IF(M359="","",IFERROR(INDEX('Semrush Data'!$A$1:$Z$20000,MATCH(M359,'Semrush Data'!$A$1:$A$20000,0),MATCH("Volume",'Semrush Data'!$A$1:$Z$1,0)),""))</f>
        <v/>
      </c>
      <c r="S359" s="22" t="str">
        <f aca="false">IF(N359="","",IFERROR(INDEX('Semrush Data'!$A$1:$Z$20000,MATCH(N359,'Semrush Data'!$A$1:$A$20000,0),MATCH("Volume",'Semrush Data'!$A$1:$Z$1,0)),""))</f>
        <v/>
      </c>
      <c r="T359" s="22" t="str">
        <f aca="false">IF(O359="","",IFERROR(INDEX('Semrush Data'!$A$1:$Z$20000,MATCH(O359,'Semrush Data'!$A$1:$A$20000,0),MATCH("Volume",'Semrush Data'!$A$1:$Z$1,0)),""))</f>
        <v/>
      </c>
      <c r="U359" s="22" t="str">
        <f aca="false">IF(P359="","",IFERROR(INDEX('Semrush Data'!$A$1:$Z$20000,MATCH(P359,'Semrush Data'!$A$1:$A$20000,0),MATCH("Volume",'Semrush Data'!$A$1:$Z$1,0)),""))</f>
        <v/>
      </c>
      <c r="V359" s="23" t="str">
        <f aca="false">IF(COUNT(Q359:U359)=0,L359,IF(MAX(Q359:U359)=0,L359,INDEX(L359:P359,MATCH(MAX(Q359:U359),Q359:U359,0))))</f>
        <v>maison de milan delight pour femme</v>
      </c>
      <c r="W359" s="22" t="n">
        <f aca="false">IFERROR(INDEX('Semrush Data'!$A$1:$Z$20000,MATCH(V359,'Semrush Data'!$A$1:$A$20000,0),MATCH("Volume",'Semrush Data'!$A$1:$Z$1,0)),"")</f>
        <v>0</v>
      </c>
      <c r="X359" s="22" t="n">
        <f aca="false">IFERROR(INDEX('Semrush Data'!$A$1:$Z$20000,MATCH(V359,'Semrush Data'!$A$1:$A$20000,0),MATCH("Keyword Difficulty*",'Semrush Data'!$A$1:$Z$1,0)),"")</f>
        <v>24</v>
      </c>
      <c r="Y359" s="24" t="n">
        <f aca="false">IFERROR(INDEX('Semrush Data'!$A$1:$Z$20000,MATCH(V359,'Semrush Data'!$A$1:$A$20000,0),MATCH("CPC*",'Semrush Data'!$A$1:$Z$1,0)),"")</f>
        <v>0</v>
      </c>
      <c r="Z359" s="21" t="s">
        <v>4421</v>
      </c>
      <c r="AA359" s="21"/>
      <c r="AB359" s="21" t="s">
        <v>4442</v>
      </c>
      <c r="AC359" s="21" t="s">
        <v>4443</v>
      </c>
      <c r="AD359" s="25" t="n">
        <f aca="false">LEN(AC359)</f>
        <v>58</v>
      </c>
      <c r="AE359" s="21" t="s">
        <v>4444</v>
      </c>
      <c r="AF359" s="25" t="n">
        <f aca="false">LEN(AE359)</f>
        <v>155</v>
      </c>
    </row>
    <row r="360" customFormat="false" ht="15" hidden="false" customHeight="true" outlineLevel="0" collapsed="false">
      <c r="A360" s="21" t="s">
        <v>4445</v>
      </c>
      <c r="B360" s="21" t="s">
        <v>2390</v>
      </c>
      <c r="C360" s="21" t="n">
        <v>200</v>
      </c>
      <c r="D360" s="21" t="s">
        <v>4227</v>
      </c>
      <c r="E360" s="21" t="s">
        <v>4228</v>
      </c>
      <c r="F360" s="21" t="s">
        <v>2393</v>
      </c>
      <c r="G360" s="21" t="s">
        <v>2394</v>
      </c>
      <c r="H360" s="21" t="s">
        <v>2457</v>
      </c>
      <c r="I360" s="21" t="s">
        <v>4446</v>
      </c>
      <c r="J360" s="21" t="s">
        <v>1935</v>
      </c>
      <c r="K360" s="21" t="n">
        <v>17.99</v>
      </c>
      <c r="L360" s="21" t="s">
        <v>4447</v>
      </c>
      <c r="M360" s="21" t="s">
        <v>4448</v>
      </c>
      <c r="N360" s="21" t="s">
        <v>4449</v>
      </c>
      <c r="O360" s="21" t="s">
        <v>4450</v>
      </c>
      <c r="P360" s="21" t="s">
        <v>4451</v>
      </c>
      <c r="Q360" s="22" t="n">
        <f aca="false">IF(L360="","",IFERROR(INDEX('Semrush Data'!$A$1:$Z$20000,MATCH(L360,'Semrush Data'!$A$1:$A$20000,0),MATCH("Volume",'Semrush Data'!$A$1:$Z$1,0)),""))</f>
        <v>0</v>
      </c>
      <c r="R360" s="22" t="str">
        <f aca="false">IF(M360="","",IFERROR(INDEX('Semrush Data'!$A$1:$Z$20000,MATCH(M360,'Semrush Data'!$A$1:$A$20000,0),MATCH("Volume",'Semrush Data'!$A$1:$Z$1,0)),""))</f>
        <v/>
      </c>
      <c r="S360" s="22" t="str">
        <f aca="false">IF(N360="","",IFERROR(INDEX('Semrush Data'!$A$1:$Z$20000,MATCH(N360,'Semrush Data'!$A$1:$A$20000,0),MATCH("Volume",'Semrush Data'!$A$1:$Z$1,0)),""))</f>
        <v/>
      </c>
      <c r="T360" s="22" t="str">
        <f aca="false">IF(O360="","",IFERROR(INDEX('Semrush Data'!$A$1:$Z$20000,MATCH(O360,'Semrush Data'!$A$1:$A$20000,0),MATCH("Volume",'Semrush Data'!$A$1:$Z$1,0)),""))</f>
        <v/>
      </c>
      <c r="U360" s="22" t="str">
        <f aca="false">IF(P360="","",IFERROR(INDEX('Semrush Data'!$A$1:$Z$20000,MATCH(P360,'Semrush Data'!$A$1:$A$20000,0),MATCH("Volume",'Semrush Data'!$A$1:$Z$1,0)),""))</f>
        <v/>
      </c>
      <c r="V360" s="23" t="str">
        <f aca="false">IF(COUNT(Q360:U360)=0,L360,IF(MAX(Q360:U360)=0,L360,INDEX(L360:P360,MATCH(MAX(Q360:U360),Q360:U360,0))))</f>
        <v>maison de milan elegance pour femme</v>
      </c>
      <c r="W360" s="22" t="n">
        <f aca="false">IFERROR(INDEX('Semrush Data'!$A$1:$Z$20000,MATCH(V360,'Semrush Data'!$A$1:$A$20000,0),MATCH("Volume",'Semrush Data'!$A$1:$Z$1,0)),"")</f>
        <v>0</v>
      </c>
      <c r="X360" s="22" t="n">
        <f aca="false">IFERROR(INDEX('Semrush Data'!$A$1:$Z$20000,MATCH(V360,'Semrush Data'!$A$1:$A$20000,0),MATCH("Keyword Difficulty*",'Semrush Data'!$A$1:$Z$1,0)),"")</f>
        <v>28</v>
      </c>
      <c r="Y360" s="24" t="n">
        <f aca="false">IFERROR(INDEX('Semrush Data'!$A$1:$Z$20000,MATCH(V360,'Semrush Data'!$A$1:$A$20000,0),MATCH("CPC*",'Semrush Data'!$A$1:$Z$1,0)),"")</f>
        <v>0</v>
      </c>
      <c r="Z360" s="21" t="s">
        <v>4421</v>
      </c>
      <c r="AA360" s="21"/>
      <c r="AB360" s="21" t="s">
        <v>4452</v>
      </c>
      <c r="AC360" s="21" t="s">
        <v>4453</v>
      </c>
      <c r="AD360" s="25" t="n">
        <f aca="false">LEN(AC360)</f>
        <v>59</v>
      </c>
      <c r="AE360" s="21" t="s">
        <v>4454</v>
      </c>
      <c r="AF360" s="25" t="n">
        <f aca="false">LEN(AE360)</f>
        <v>156</v>
      </c>
    </row>
    <row r="361" customFormat="false" ht="15" hidden="false" customHeight="true" outlineLevel="0" collapsed="false">
      <c r="A361" s="21" t="s">
        <v>4455</v>
      </c>
      <c r="B361" s="21" t="s">
        <v>2390</v>
      </c>
      <c r="C361" s="21" t="n">
        <v>201</v>
      </c>
      <c r="D361" s="21" t="s">
        <v>4227</v>
      </c>
      <c r="E361" s="21" t="s">
        <v>4228</v>
      </c>
      <c r="F361" s="21" t="s">
        <v>2393</v>
      </c>
      <c r="G361" s="21" t="s">
        <v>2394</v>
      </c>
      <c r="H361" s="21" t="s">
        <v>2457</v>
      </c>
      <c r="I361" s="21" t="s">
        <v>4456</v>
      </c>
      <c r="J361" s="21" t="s">
        <v>1935</v>
      </c>
      <c r="K361" s="21" t="n">
        <v>17.99</v>
      </c>
      <c r="L361" s="21" t="s">
        <v>4457</v>
      </c>
      <c r="M361" s="21" t="s">
        <v>4458</v>
      </c>
      <c r="N361" s="21" t="s">
        <v>4459</v>
      </c>
      <c r="O361" s="21" t="s">
        <v>4460</v>
      </c>
      <c r="P361" s="21" t="s">
        <v>4461</v>
      </c>
      <c r="Q361" s="22" t="n">
        <f aca="false">IF(L361="","",IFERROR(INDEX('Semrush Data'!$A$1:$Z$20000,MATCH(L361,'Semrush Data'!$A$1:$A$20000,0),MATCH("Volume",'Semrush Data'!$A$1:$Z$1,0)),""))</f>
        <v>0</v>
      </c>
      <c r="R361" s="22" t="str">
        <f aca="false">IF(M361="","",IFERROR(INDEX('Semrush Data'!$A$1:$Z$20000,MATCH(M361,'Semrush Data'!$A$1:$A$20000,0),MATCH("Volume",'Semrush Data'!$A$1:$Z$1,0)),""))</f>
        <v/>
      </c>
      <c r="S361" s="22" t="str">
        <f aca="false">IF(N361="","",IFERROR(INDEX('Semrush Data'!$A$1:$Z$20000,MATCH(N361,'Semrush Data'!$A$1:$A$20000,0),MATCH("Volume",'Semrush Data'!$A$1:$Z$1,0)),""))</f>
        <v/>
      </c>
      <c r="T361" s="22" t="str">
        <f aca="false">IF(O361="","",IFERROR(INDEX('Semrush Data'!$A$1:$Z$20000,MATCH(O361,'Semrush Data'!$A$1:$A$20000,0),MATCH("Volume",'Semrush Data'!$A$1:$Z$1,0)),""))</f>
        <v/>
      </c>
      <c r="U361" s="22" t="str">
        <f aca="false">IF(P361="","",IFERROR(INDEX('Semrush Data'!$A$1:$Z$20000,MATCH(P361,'Semrush Data'!$A$1:$A$20000,0),MATCH("Volume",'Semrush Data'!$A$1:$Z$1,0)),""))</f>
        <v/>
      </c>
      <c r="V361" s="23" t="str">
        <f aca="false">IF(COUNT(Q361:U361)=0,L361,IF(MAX(Q361:U361)=0,L361,INDEX(L361:P361,MATCH(MAX(Q361:U361),Q361:U361,0))))</f>
        <v>maison de milan gossip pour femme</v>
      </c>
      <c r="W361" s="22" t="n">
        <f aca="false">IFERROR(INDEX('Semrush Data'!$A$1:$Z$20000,MATCH(V361,'Semrush Data'!$A$1:$A$20000,0),MATCH("Volume",'Semrush Data'!$A$1:$Z$1,0)),"")</f>
        <v>0</v>
      </c>
      <c r="X361" s="22" t="n">
        <f aca="false">IFERROR(INDEX('Semrush Data'!$A$1:$Z$20000,MATCH(V361,'Semrush Data'!$A$1:$A$20000,0),MATCH("Keyword Difficulty*",'Semrush Data'!$A$1:$Z$1,0)),"")</f>
        <v>24</v>
      </c>
      <c r="Y361" s="24" t="n">
        <f aca="false">IFERROR(INDEX('Semrush Data'!$A$1:$Z$20000,MATCH(V361,'Semrush Data'!$A$1:$A$20000,0),MATCH("CPC*",'Semrush Data'!$A$1:$Z$1,0)),"")</f>
        <v>0</v>
      </c>
      <c r="Z361" s="21" t="s">
        <v>4421</v>
      </c>
      <c r="AA361" s="21"/>
      <c r="AB361" s="21" t="s">
        <v>4462</v>
      </c>
      <c r="AC361" s="21" t="s">
        <v>4463</v>
      </c>
      <c r="AD361" s="25" t="n">
        <f aca="false">LEN(AC361)</f>
        <v>60</v>
      </c>
      <c r="AE361" s="21" t="s">
        <v>4464</v>
      </c>
      <c r="AF361" s="25" t="n">
        <f aca="false">LEN(AE361)</f>
        <v>154</v>
      </c>
    </row>
    <row r="362" customFormat="false" ht="15" hidden="false" customHeight="true" outlineLevel="0" collapsed="false">
      <c r="A362" s="21" t="s">
        <v>4465</v>
      </c>
      <c r="B362" s="21" t="s">
        <v>2390</v>
      </c>
      <c r="C362" s="21" t="n">
        <v>202</v>
      </c>
      <c r="D362" s="21" t="s">
        <v>4227</v>
      </c>
      <c r="E362" s="21" t="s">
        <v>4228</v>
      </c>
      <c r="F362" s="21" t="s">
        <v>2393</v>
      </c>
      <c r="G362" s="21" t="s">
        <v>2394</v>
      </c>
      <c r="H362" s="21" t="s">
        <v>2457</v>
      </c>
      <c r="I362" s="21" t="s">
        <v>4466</v>
      </c>
      <c r="J362" s="21" t="s">
        <v>1935</v>
      </c>
      <c r="K362" s="21" t="n">
        <v>17.99</v>
      </c>
      <c r="L362" s="21" t="s">
        <v>4467</v>
      </c>
      <c r="M362" s="21" t="s">
        <v>4468</v>
      </c>
      <c r="N362" s="21" t="s">
        <v>4469</v>
      </c>
      <c r="O362" s="21" t="s">
        <v>4470</v>
      </c>
      <c r="P362" s="21" t="s">
        <v>4471</v>
      </c>
      <c r="Q362" s="22" t="n">
        <f aca="false">IF(L362="","",IFERROR(INDEX('Semrush Data'!$A$1:$Z$20000,MATCH(L362,'Semrush Data'!$A$1:$A$20000,0),MATCH("Volume",'Semrush Data'!$A$1:$Z$1,0)),""))</f>
        <v>0</v>
      </c>
      <c r="R362" s="22" t="str">
        <f aca="false">IF(M362="","",IFERROR(INDEX('Semrush Data'!$A$1:$Z$20000,MATCH(M362,'Semrush Data'!$A$1:$A$20000,0),MATCH("Volume",'Semrush Data'!$A$1:$Z$1,0)),""))</f>
        <v/>
      </c>
      <c r="S362" s="22" t="str">
        <f aca="false">IF(N362="","",IFERROR(INDEX('Semrush Data'!$A$1:$Z$20000,MATCH(N362,'Semrush Data'!$A$1:$A$20000,0),MATCH("Volume",'Semrush Data'!$A$1:$Z$1,0)),""))</f>
        <v/>
      </c>
      <c r="T362" s="22" t="str">
        <f aca="false">IF(O362="","",IFERROR(INDEX('Semrush Data'!$A$1:$Z$20000,MATCH(O362,'Semrush Data'!$A$1:$A$20000,0),MATCH("Volume",'Semrush Data'!$A$1:$Z$1,0)),""))</f>
        <v/>
      </c>
      <c r="U362" s="22" t="str">
        <f aca="false">IF(P362="","",IFERROR(INDEX('Semrush Data'!$A$1:$Z$20000,MATCH(P362,'Semrush Data'!$A$1:$A$20000,0),MATCH("Volume",'Semrush Data'!$A$1:$Z$1,0)),""))</f>
        <v/>
      </c>
      <c r="V362" s="23" t="str">
        <f aca="false">IF(COUNT(Q362:U362)=0,L362,IF(MAX(Q362:U362)=0,L362,INDEX(L362:P362,MATCH(MAX(Q362:U362),Q362:U362,0))))</f>
        <v>maison de milan invincible</v>
      </c>
      <c r="W362" s="22" t="n">
        <f aca="false">IFERROR(INDEX('Semrush Data'!$A$1:$Z$20000,MATCH(V362,'Semrush Data'!$A$1:$A$20000,0),MATCH("Volume",'Semrush Data'!$A$1:$Z$1,0)),"")</f>
        <v>0</v>
      </c>
      <c r="X362" s="22" t="n">
        <f aca="false">IFERROR(INDEX('Semrush Data'!$A$1:$Z$20000,MATCH(V362,'Semrush Data'!$A$1:$A$20000,0),MATCH("Keyword Difficulty*",'Semrush Data'!$A$1:$Z$1,0)),"")</f>
        <v>35</v>
      </c>
      <c r="Y362" s="24" t="n">
        <f aca="false">IFERROR(INDEX('Semrush Data'!$A$1:$Z$20000,MATCH(V362,'Semrush Data'!$A$1:$A$20000,0),MATCH("CPC*",'Semrush Data'!$A$1:$Z$1,0)),"")</f>
        <v>0</v>
      </c>
      <c r="Z362" s="21" t="s">
        <v>4421</v>
      </c>
      <c r="AA362" s="21" t="s">
        <v>4472</v>
      </c>
      <c r="AB362" s="21" t="s">
        <v>4473</v>
      </c>
      <c r="AC362" s="21" t="s">
        <v>4474</v>
      </c>
      <c r="AD362" s="25" t="n">
        <f aca="false">LEN(AC362)</f>
        <v>53</v>
      </c>
      <c r="AE362" s="21" t="s">
        <v>4475</v>
      </c>
      <c r="AF362" s="25" t="n">
        <f aca="false">LEN(AE362)</f>
        <v>147</v>
      </c>
    </row>
    <row r="363" customFormat="false" ht="15" hidden="false" customHeight="true" outlineLevel="0" collapsed="false">
      <c r="A363" s="21" t="s">
        <v>4476</v>
      </c>
      <c r="B363" s="21" t="s">
        <v>2390</v>
      </c>
      <c r="C363" s="21" t="n">
        <v>203</v>
      </c>
      <c r="D363" s="21" t="s">
        <v>4227</v>
      </c>
      <c r="E363" s="21" t="s">
        <v>4228</v>
      </c>
      <c r="F363" s="21" t="s">
        <v>2393</v>
      </c>
      <c r="G363" s="21" t="s">
        <v>2394</v>
      </c>
      <c r="H363" s="21" t="s">
        <v>2549</v>
      </c>
      <c r="I363" s="21" t="s">
        <v>4477</v>
      </c>
      <c r="J363" s="21" t="s">
        <v>1935</v>
      </c>
      <c r="K363" s="21" t="n">
        <v>17.99</v>
      </c>
      <c r="L363" s="21" t="s">
        <v>4478</v>
      </c>
      <c r="M363" s="21" t="s">
        <v>4479</v>
      </c>
      <c r="N363" s="21" t="s">
        <v>4480</v>
      </c>
      <c r="O363" s="21" t="s">
        <v>4481</v>
      </c>
      <c r="P363" s="21" t="s">
        <v>4482</v>
      </c>
      <c r="Q363" s="22" t="n">
        <f aca="false">IF(L363="","",IFERROR(INDEX('Semrush Data'!$A$1:$Z$20000,MATCH(L363,'Semrush Data'!$A$1:$A$20000,0),MATCH("Volume",'Semrush Data'!$A$1:$Z$1,0)),""))</f>
        <v>0</v>
      </c>
      <c r="R363" s="22" t="str">
        <f aca="false">IF(M363="","",IFERROR(INDEX('Semrush Data'!$A$1:$Z$20000,MATCH(M363,'Semrush Data'!$A$1:$A$20000,0),MATCH("Volume",'Semrush Data'!$A$1:$Z$1,0)),""))</f>
        <v/>
      </c>
      <c r="S363" s="22" t="str">
        <f aca="false">IF(N363="","",IFERROR(INDEX('Semrush Data'!$A$1:$Z$20000,MATCH(N363,'Semrush Data'!$A$1:$A$20000,0),MATCH("Volume",'Semrush Data'!$A$1:$Z$1,0)),""))</f>
        <v/>
      </c>
      <c r="T363" s="22" t="str">
        <f aca="false">IF(O363="","",IFERROR(INDEX('Semrush Data'!$A$1:$Z$20000,MATCH(O363,'Semrush Data'!$A$1:$A$20000,0),MATCH("Volume",'Semrush Data'!$A$1:$Z$1,0)),""))</f>
        <v/>
      </c>
      <c r="U363" s="22" t="str">
        <f aca="false">IF(P363="","",IFERROR(INDEX('Semrush Data'!$A$1:$Z$20000,MATCH(P363,'Semrush Data'!$A$1:$A$20000,0),MATCH("Volume",'Semrush Data'!$A$1:$Z$1,0)),""))</f>
        <v/>
      </c>
      <c r="V363" s="23" t="str">
        <f aca="false">IF(COUNT(Q363:U363)=0,L363,IF(MAX(Q363:U363)=0,L363,INDEX(L363:P363,MATCH(MAX(Q363:U363),Q363:U363,0))))</f>
        <v>maison de milan l'homme suave</v>
      </c>
      <c r="W363" s="22" t="n">
        <f aca="false">IFERROR(INDEX('Semrush Data'!$A$1:$Z$20000,MATCH(V363,'Semrush Data'!$A$1:$A$20000,0),MATCH("Volume",'Semrush Data'!$A$1:$Z$1,0)),"")</f>
        <v>0</v>
      </c>
      <c r="X363" s="22" t="n">
        <f aca="false">IFERROR(INDEX('Semrush Data'!$A$1:$Z$20000,MATCH(V363,'Semrush Data'!$A$1:$A$20000,0),MATCH("Keyword Difficulty*",'Semrush Data'!$A$1:$Z$1,0)),"")</f>
        <v>34</v>
      </c>
      <c r="Y363" s="24" t="n">
        <f aca="false">IFERROR(INDEX('Semrush Data'!$A$1:$Z$20000,MATCH(V363,'Semrush Data'!$A$1:$A$20000,0),MATCH("CPC*",'Semrush Data'!$A$1:$Z$1,0)),"")</f>
        <v>0</v>
      </c>
      <c r="Z363" s="21" t="s">
        <v>4235</v>
      </c>
      <c r="AA363" s="21"/>
      <c r="AB363" s="21" t="s">
        <v>4483</v>
      </c>
      <c r="AC363" s="21" t="s">
        <v>4484</v>
      </c>
      <c r="AD363" s="25" t="n">
        <f aca="false">LEN(AC363)</f>
        <v>56</v>
      </c>
      <c r="AE363" s="21" t="s">
        <v>4485</v>
      </c>
      <c r="AF363" s="25" t="n">
        <f aca="false">LEN(AE363)</f>
        <v>148</v>
      </c>
    </row>
    <row r="364" customFormat="false" ht="15" hidden="false" customHeight="true" outlineLevel="0" collapsed="false">
      <c r="A364" s="21" t="s">
        <v>4486</v>
      </c>
      <c r="B364" s="21" t="s">
        <v>2390</v>
      </c>
      <c r="C364" s="21" t="n">
        <v>204</v>
      </c>
      <c r="D364" s="21" t="s">
        <v>4227</v>
      </c>
      <c r="E364" s="21" t="s">
        <v>4228</v>
      </c>
      <c r="F364" s="21" t="s">
        <v>2393</v>
      </c>
      <c r="G364" s="21" t="s">
        <v>2394</v>
      </c>
      <c r="H364" s="21" t="s">
        <v>2524</v>
      </c>
      <c r="I364" s="21" t="s">
        <v>4487</v>
      </c>
      <c r="J364" s="21" t="s">
        <v>1375</v>
      </c>
      <c r="K364" s="21" t="n">
        <v>17.99</v>
      </c>
      <c r="L364" s="21" t="s">
        <v>4488</v>
      </c>
      <c r="M364" s="21" t="s">
        <v>4489</v>
      </c>
      <c r="N364" s="21" t="s">
        <v>4490</v>
      </c>
      <c r="O364" s="21" t="s">
        <v>4491</v>
      </c>
      <c r="P364" s="21" t="s">
        <v>4492</v>
      </c>
      <c r="Q364" s="22" t="n">
        <f aca="false">IF(L364="","",IFERROR(INDEX('Semrush Data'!$A$1:$Z$20000,MATCH(L364,'Semrush Data'!$A$1:$A$20000,0),MATCH("Volume",'Semrush Data'!$A$1:$Z$1,0)),""))</f>
        <v>0</v>
      </c>
      <c r="R364" s="22" t="str">
        <f aca="false">IF(M364="","",IFERROR(INDEX('Semrush Data'!$A$1:$Z$20000,MATCH(M364,'Semrush Data'!$A$1:$A$20000,0),MATCH("Volume",'Semrush Data'!$A$1:$Z$1,0)),""))</f>
        <v/>
      </c>
      <c r="S364" s="22" t="str">
        <f aca="false">IF(N364="","",IFERROR(INDEX('Semrush Data'!$A$1:$Z$20000,MATCH(N364,'Semrush Data'!$A$1:$A$20000,0),MATCH("Volume",'Semrush Data'!$A$1:$Z$1,0)),""))</f>
        <v/>
      </c>
      <c r="T364" s="22" t="str">
        <f aca="false">IF(O364="","",IFERROR(INDEX('Semrush Data'!$A$1:$Z$20000,MATCH(O364,'Semrush Data'!$A$1:$A$20000,0),MATCH("Volume",'Semrush Data'!$A$1:$Z$1,0)),""))</f>
        <v/>
      </c>
      <c r="U364" s="22" t="str">
        <f aca="false">IF(P364="","",IFERROR(INDEX('Semrush Data'!$A$1:$Z$20000,MATCH(P364,'Semrush Data'!$A$1:$A$20000,0),MATCH("Volume",'Semrush Data'!$A$1:$Z$1,0)),""))</f>
        <v/>
      </c>
      <c r="V364" s="23" t="str">
        <f aca="false">IF(COUNT(Q364:U364)=0,L364,IF(MAX(Q364:U364)=0,L364,INDEX(L364:P364,MATCH(MAX(Q364:U364),Q364:U364,0))))</f>
        <v>maison de milan m</v>
      </c>
      <c r="W364" s="22" t="n">
        <f aca="false">IFERROR(INDEX('Semrush Data'!$A$1:$Z$20000,MATCH(V364,'Semrush Data'!$A$1:$A$20000,0),MATCH("Volume",'Semrush Data'!$A$1:$Z$1,0)),"")</f>
        <v>0</v>
      </c>
      <c r="X364" s="22" t="n">
        <f aca="false">IFERROR(INDEX('Semrush Data'!$A$1:$Z$20000,MATCH(V364,'Semrush Data'!$A$1:$A$20000,0),MATCH("Keyword Difficulty*",'Semrush Data'!$A$1:$Z$1,0)),"")</f>
        <v>28</v>
      </c>
      <c r="Y364" s="24" t="n">
        <f aca="false">IFERROR(INDEX('Semrush Data'!$A$1:$Z$20000,MATCH(V364,'Semrush Data'!$A$1:$A$20000,0),MATCH("CPC*",'Semrush Data'!$A$1:$Z$1,0)),"")</f>
        <v>0</v>
      </c>
      <c r="Z364" s="21" t="s">
        <v>4247</v>
      </c>
      <c r="AA364" s="21"/>
      <c r="AB364" s="21" t="s">
        <v>4493</v>
      </c>
      <c r="AC364" s="21" t="s">
        <v>4494</v>
      </c>
      <c r="AD364" s="25" t="n">
        <f aca="false">LEN(AC364)</f>
        <v>50</v>
      </c>
      <c r="AE364" s="21" t="s">
        <v>4495</v>
      </c>
      <c r="AF364" s="25" t="n">
        <f aca="false">LEN(AE364)</f>
        <v>137</v>
      </c>
    </row>
    <row r="365" customFormat="false" ht="15" hidden="false" customHeight="true" outlineLevel="0" collapsed="false">
      <c r="A365" s="21" t="s">
        <v>4496</v>
      </c>
      <c r="B365" s="21" t="s">
        <v>2390</v>
      </c>
      <c r="C365" s="21" t="n">
        <v>205</v>
      </c>
      <c r="D365" s="21" t="s">
        <v>4227</v>
      </c>
      <c r="E365" s="21" t="s">
        <v>4228</v>
      </c>
      <c r="F365" s="21" t="s">
        <v>2393</v>
      </c>
      <c r="G365" s="21" t="s">
        <v>2394</v>
      </c>
      <c r="H365" s="21" t="s">
        <v>2457</v>
      </c>
      <c r="I365" s="21" t="s">
        <v>4497</v>
      </c>
      <c r="J365" s="21" t="s">
        <v>1375</v>
      </c>
      <c r="K365" s="21" t="n">
        <v>17.99</v>
      </c>
      <c r="L365" s="21" t="s">
        <v>4498</v>
      </c>
      <c r="M365" s="21" t="s">
        <v>4499</v>
      </c>
      <c r="N365" s="21" t="s">
        <v>4500</v>
      </c>
      <c r="O365" s="21" t="s">
        <v>4501</v>
      </c>
      <c r="P365" s="21" t="s">
        <v>4502</v>
      </c>
      <c r="Q365" s="22" t="n">
        <f aca="false">IF(L365="","",IFERROR(INDEX('Semrush Data'!$A$1:$Z$20000,MATCH(L365,'Semrush Data'!$A$1:$A$20000,0),MATCH("Volume",'Semrush Data'!$A$1:$Z$1,0)),""))</f>
        <v>0</v>
      </c>
      <c r="R365" s="22" t="str">
        <f aca="false">IF(M365="","",IFERROR(INDEX('Semrush Data'!$A$1:$Z$20000,MATCH(M365,'Semrush Data'!$A$1:$A$20000,0),MATCH("Volume",'Semrush Data'!$A$1:$Z$1,0)),""))</f>
        <v/>
      </c>
      <c r="S365" s="22" t="str">
        <f aca="false">IF(N365="","",IFERROR(INDEX('Semrush Data'!$A$1:$Z$20000,MATCH(N365,'Semrush Data'!$A$1:$A$20000,0),MATCH("Volume",'Semrush Data'!$A$1:$Z$1,0)),""))</f>
        <v/>
      </c>
      <c r="T365" s="22" t="str">
        <f aca="false">IF(O365="","",IFERROR(INDEX('Semrush Data'!$A$1:$Z$20000,MATCH(O365,'Semrush Data'!$A$1:$A$20000,0),MATCH("Volume",'Semrush Data'!$A$1:$Z$1,0)),""))</f>
        <v/>
      </c>
      <c r="U365" s="22" t="str">
        <f aca="false">IF(P365="","",IFERROR(INDEX('Semrush Data'!$A$1:$Z$20000,MATCH(P365,'Semrush Data'!$A$1:$A$20000,0),MATCH("Volume",'Semrush Data'!$A$1:$Z$1,0)),""))</f>
        <v/>
      </c>
      <c r="V365" s="23" t="str">
        <f aca="false">IF(COUNT(Q365:U365)=0,L365,IF(MAX(Q365:U365)=0,L365,INDEX(L365:P365,MATCH(MAX(Q365:U365),Q365:U365,0))))</f>
        <v>maison de milan milano girl black</v>
      </c>
      <c r="W365" s="22" t="n">
        <f aca="false">IFERROR(INDEX('Semrush Data'!$A$1:$Z$20000,MATCH(V365,'Semrush Data'!$A$1:$A$20000,0),MATCH("Volume",'Semrush Data'!$A$1:$Z$1,0)),"")</f>
        <v>0</v>
      </c>
      <c r="X365" s="22" t="n">
        <f aca="false">IFERROR(INDEX('Semrush Data'!$A$1:$Z$20000,MATCH(V365,'Semrush Data'!$A$1:$A$20000,0),MATCH("Keyword Difficulty*",'Semrush Data'!$A$1:$Z$1,0)),"")</f>
        <v>10</v>
      </c>
      <c r="Y365" s="24" t="n">
        <f aca="false">IFERROR(INDEX('Semrush Data'!$A$1:$Z$20000,MATCH(V365,'Semrush Data'!$A$1:$A$20000,0),MATCH("CPC*",'Semrush Data'!$A$1:$Z$1,0)),"")</f>
        <v>0</v>
      </c>
      <c r="Z365" s="21" t="s">
        <v>4421</v>
      </c>
      <c r="AA365" s="21"/>
      <c r="AB365" s="21" t="s">
        <v>4503</v>
      </c>
      <c r="AC365" s="21" t="s">
        <v>4504</v>
      </c>
      <c r="AD365" s="25" t="n">
        <f aca="false">LEN(AC365)</f>
        <v>60</v>
      </c>
      <c r="AE365" s="21" t="s">
        <v>4505</v>
      </c>
      <c r="AF365" s="25" t="n">
        <f aca="false">LEN(AE365)</f>
        <v>154</v>
      </c>
    </row>
    <row r="366" customFormat="false" ht="15" hidden="false" customHeight="true" outlineLevel="0" collapsed="false">
      <c r="A366" s="21" t="s">
        <v>4506</v>
      </c>
      <c r="B366" s="21" t="s">
        <v>2390</v>
      </c>
      <c r="C366" s="21" t="n">
        <v>206</v>
      </c>
      <c r="D366" s="21" t="s">
        <v>4227</v>
      </c>
      <c r="E366" s="21" t="s">
        <v>4228</v>
      </c>
      <c r="F366" s="21" t="s">
        <v>2393</v>
      </c>
      <c r="G366" s="21" t="s">
        <v>2394</v>
      </c>
      <c r="H366" s="21" t="s">
        <v>2457</v>
      </c>
      <c r="I366" s="21" t="s">
        <v>4507</v>
      </c>
      <c r="J366" s="21" t="s">
        <v>1935</v>
      </c>
      <c r="K366" s="21" t="n">
        <v>19.99</v>
      </c>
      <c r="L366" s="21" t="s">
        <v>4508</v>
      </c>
      <c r="M366" s="21" t="s">
        <v>4509</v>
      </c>
      <c r="N366" s="21" t="s">
        <v>4510</v>
      </c>
      <c r="O366" s="21" t="s">
        <v>4511</v>
      </c>
      <c r="P366" s="21" t="s">
        <v>4512</v>
      </c>
      <c r="Q366" s="22" t="n">
        <f aca="false">IF(L366="","",IFERROR(INDEX('Semrush Data'!$A$1:$Z$20000,MATCH(L366,'Semrush Data'!$A$1:$A$20000,0),MATCH("Volume",'Semrush Data'!$A$1:$Z$1,0)),""))</f>
        <v>0</v>
      </c>
      <c r="R366" s="22" t="str">
        <f aca="false">IF(M366="","",IFERROR(INDEX('Semrush Data'!$A$1:$Z$20000,MATCH(M366,'Semrush Data'!$A$1:$A$20000,0),MATCH("Volume",'Semrush Data'!$A$1:$Z$1,0)),""))</f>
        <v/>
      </c>
      <c r="S366" s="22" t="str">
        <f aca="false">IF(N366="","",IFERROR(INDEX('Semrush Data'!$A$1:$Z$20000,MATCH(N366,'Semrush Data'!$A$1:$A$20000,0),MATCH("Volume",'Semrush Data'!$A$1:$Z$1,0)),""))</f>
        <v/>
      </c>
      <c r="T366" s="22" t="str">
        <f aca="false">IF(O366="","",IFERROR(INDEX('Semrush Data'!$A$1:$Z$20000,MATCH(O366,'Semrush Data'!$A$1:$A$20000,0),MATCH("Volume",'Semrush Data'!$A$1:$Z$1,0)),""))</f>
        <v/>
      </c>
      <c r="U366" s="22" t="str">
        <f aca="false">IF(P366="","",IFERROR(INDEX('Semrush Data'!$A$1:$Z$20000,MATCH(P366,'Semrush Data'!$A$1:$A$20000,0),MATCH("Volume",'Semrush Data'!$A$1:$Z$1,0)),""))</f>
        <v/>
      </c>
      <c r="V366" s="23" t="str">
        <f aca="false">IF(COUNT(Q366:U366)=0,L366,IF(MAX(Q366:U366)=0,L366,INDEX(L366:P366,MATCH(MAX(Q366:U366),Q366:U366,0))))</f>
        <v>maison de milan milano girl red</v>
      </c>
      <c r="W366" s="22" t="n">
        <f aca="false">IFERROR(INDEX('Semrush Data'!$A$1:$Z$20000,MATCH(V366,'Semrush Data'!$A$1:$A$20000,0),MATCH("Volume",'Semrush Data'!$A$1:$Z$1,0)),"")</f>
        <v>0</v>
      </c>
      <c r="X366" s="22" t="n">
        <f aca="false">IFERROR(INDEX('Semrush Data'!$A$1:$Z$20000,MATCH(V366,'Semrush Data'!$A$1:$A$20000,0),MATCH("Keyword Difficulty*",'Semrush Data'!$A$1:$Z$1,0)),"")</f>
        <v>24</v>
      </c>
      <c r="Y366" s="24" t="n">
        <f aca="false">IFERROR(INDEX('Semrush Data'!$A$1:$Z$20000,MATCH(V366,'Semrush Data'!$A$1:$A$20000,0),MATCH("CPC*",'Semrush Data'!$A$1:$Z$1,0)),"")</f>
        <v>0</v>
      </c>
      <c r="Z366" s="21" t="s">
        <v>4421</v>
      </c>
      <c r="AA366" s="21"/>
      <c r="AB366" s="21" t="s">
        <v>4513</v>
      </c>
      <c r="AC366" s="21" t="s">
        <v>4514</v>
      </c>
      <c r="AD366" s="25" t="n">
        <f aca="false">LEN(AC366)</f>
        <v>58</v>
      </c>
      <c r="AE366" s="21" t="s">
        <v>4515</v>
      </c>
      <c r="AF366" s="25" t="n">
        <f aca="false">LEN(AE366)</f>
        <v>152</v>
      </c>
    </row>
    <row r="367" customFormat="false" ht="15" hidden="false" customHeight="true" outlineLevel="0" collapsed="false">
      <c r="A367" s="21" t="s">
        <v>4516</v>
      </c>
      <c r="B367" s="21" t="s">
        <v>2390</v>
      </c>
      <c r="C367" s="21" t="n">
        <v>207</v>
      </c>
      <c r="D367" s="21" t="s">
        <v>4227</v>
      </c>
      <c r="E367" s="21" t="s">
        <v>4228</v>
      </c>
      <c r="F367" s="21" t="s">
        <v>2393</v>
      </c>
      <c r="G367" s="21" t="s">
        <v>2394</v>
      </c>
      <c r="H367" s="21" t="s">
        <v>2457</v>
      </c>
      <c r="I367" s="21" t="s">
        <v>4517</v>
      </c>
      <c r="J367" s="21" t="s">
        <v>1935</v>
      </c>
      <c r="K367" s="21" t="n">
        <v>19.99</v>
      </c>
      <c r="L367" s="21" t="s">
        <v>4518</v>
      </c>
      <c r="M367" s="21" t="s">
        <v>4519</v>
      </c>
      <c r="N367" s="21" t="s">
        <v>4520</v>
      </c>
      <c r="O367" s="21" t="s">
        <v>4521</v>
      </c>
      <c r="P367" s="21" t="s">
        <v>4522</v>
      </c>
      <c r="Q367" s="22" t="n">
        <f aca="false">IF(L367="","",IFERROR(INDEX('Semrush Data'!$A$1:$Z$20000,MATCH(L367,'Semrush Data'!$A$1:$A$20000,0),MATCH("Volume",'Semrush Data'!$A$1:$Z$1,0)),""))</f>
        <v>0</v>
      </c>
      <c r="R367" s="22" t="str">
        <f aca="false">IF(M367="","",IFERROR(INDEX('Semrush Data'!$A$1:$Z$20000,MATCH(M367,'Semrush Data'!$A$1:$A$20000,0),MATCH("Volume",'Semrush Data'!$A$1:$Z$1,0)),""))</f>
        <v/>
      </c>
      <c r="S367" s="22" t="str">
        <f aca="false">IF(N367="","",IFERROR(INDEX('Semrush Data'!$A$1:$Z$20000,MATCH(N367,'Semrush Data'!$A$1:$A$20000,0),MATCH("Volume",'Semrush Data'!$A$1:$Z$1,0)),""))</f>
        <v/>
      </c>
      <c r="T367" s="22" t="str">
        <f aca="false">IF(O367="","",IFERROR(INDEX('Semrush Data'!$A$1:$Z$20000,MATCH(O367,'Semrush Data'!$A$1:$A$20000,0),MATCH("Volume",'Semrush Data'!$A$1:$Z$1,0)),""))</f>
        <v/>
      </c>
      <c r="U367" s="22" t="str">
        <f aca="false">IF(P367="","",IFERROR(INDEX('Semrush Data'!$A$1:$Z$20000,MATCH(P367,'Semrush Data'!$A$1:$A$20000,0),MATCH("Volume",'Semrush Data'!$A$1:$Z$1,0)),""))</f>
        <v/>
      </c>
      <c r="V367" s="23" t="str">
        <f aca="false">IF(COUNT(Q367:U367)=0,L367,IF(MAX(Q367:U367)=0,L367,INDEX(L367:P367,MATCH(MAX(Q367:U367),Q367:U367,0))))</f>
        <v>maison de milan milano girl white</v>
      </c>
      <c r="W367" s="22" t="n">
        <f aca="false">IFERROR(INDEX('Semrush Data'!$A$1:$Z$20000,MATCH(V367,'Semrush Data'!$A$1:$A$20000,0),MATCH("Volume",'Semrush Data'!$A$1:$Z$1,0)),"")</f>
        <v>0</v>
      </c>
      <c r="X367" s="22" t="n">
        <f aca="false">IFERROR(INDEX('Semrush Data'!$A$1:$Z$20000,MATCH(V367,'Semrush Data'!$A$1:$A$20000,0),MATCH("Keyword Difficulty*",'Semrush Data'!$A$1:$Z$1,0)),"")</f>
        <v>24</v>
      </c>
      <c r="Y367" s="24" t="n">
        <f aca="false">IFERROR(INDEX('Semrush Data'!$A$1:$Z$20000,MATCH(V367,'Semrush Data'!$A$1:$A$20000,0),MATCH("CPC*",'Semrush Data'!$A$1:$Z$1,0)),"")</f>
        <v>0</v>
      </c>
      <c r="Z367" s="21" t="s">
        <v>4421</v>
      </c>
      <c r="AA367" s="21"/>
      <c r="AB367" s="21" t="s">
        <v>4523</v>
      </c>
      <c r="AC367" s="21" t="s">
        <v>4524</v>
      </c>
      <c r="AD367" s="25" t="n">
        <f aca="false">LEN(AC367)</f>
        <v>60</v>
      </c>
      <c r="AE367" s="21" t="s">
        <v>4525</v>
      </c>
      <c r="AF367" s="25" t="n">
        <f aca="false">LEN(AE367)</f>
        <v>154</v>
      </c>
    </row>
    <row r="368" customFormat="false" ht="15" hidden="false" customHeight="true" outlineLevel="0" collapsed="false">
      <c r="A368" s="21" t="s">
        <v>4526</v>
      </c>
      <c r="B368" s="21" t="s">
        <v>2390</v>
      </c>
      <c r="C368" s="21" t="n">
        <v>208</v>
      </c>
      <c r="D368" s="21" t="s">
        <v>4227</v>
      </c>
      <c r="E368" s="21" t="s">
        <v>4228</v>
      </c>
      <c r="F368" s="21" t="s">
        <v>2393</v>
      </c>
      <c r="G368" s="21" t="s">
        <v>2394</v>
      </c>
      <c r="H368" s="21" t="s">
        <v>2524</v>
      </c>
      <c r="I368" s="21" t="s">
        <v>4527</v>
      </c>
      <c r="J368" s="21" t="s">
        <v>1935</v>
      </c>
      <c r="K368" s="21" t="n">
        <v>17.99</v>
      </c>
      <c r="L368" s="21" t="s">
        <v>4528</v>
      </c>
      <c r="M368" s="21" t="s">
        <v>4529</v>
      </c>
      <c r="N368" s="21" t="s">
        <v>4530</v>
      </c>
      <c r="O368" s="21" t="s">
        <v>4531</v>
      </c>
      <c r="P368" s="21" t="s">
        <v>4532</v>
      </c>
      <c r="Q368" s="22" t="n">
        <f aca="false">IF(L368="","",IFERROR(INDEX('Semrush Data'!$A$1:$Z$20000,MATCH(L368,'Semrush Data'!$A$1:$A$20000,0),MATCH("Volume",'Semrush Data'!$A$1:$Z$1,0)),""))</f>
        <v>0</v>
      </c>
      <c r="R368" s="22" t="str">
        <f aca="false">IF(M368="","",IFERROR(INDEX('Semrush Data'!$A$1:$Z$20000,MATCH(M368,'Semrush Data'!$A$1:$A$20000,0),MATCH("Volume",'Semrush Data'!$A$1:$Z$1,0)),""))</f>
        <v/>
      </c>
      <c r="S368" s="22" t="str">
        <f aca="false">IF(N368="","",IFERROR(INDEX('Semrush Data'!$A$1:$Z$20000,MATCH(N368,'Semrush Data'!$A$1:$A$20000,0),MATCH("Volume",'Semrush Data'!$A$1:$Z$1,0)),""))</f>
        <v/>
      </c>
      <c r="T368" s="22" t="str">
        <f aca="false">IF(O368="","",IFERROR(INDEX('Semrush Data'!$A$1:$Z$20000,MATCH(O368,'Semrush Data'!$A$1:$A$20000,0),MATCH("Volume",'Semrush Data'!$A$1:$Z$1,0)),""))</f>
        <v/>
      </c>
      <c r="U368" s="22" t="str">
        <f aca="false">IF(P368="","",IFERROR(INDEX('Semrush Data'!$A$1:$Z$20000,MATCH(P368,'Semrush Data'!$A$1:$A$20000,0),MATCH("Volume",'Semrush Data'!$A$1:$Z$1,0)),""))</f>
        <v/>
      </c>
      <c r="V368" s="23" t="str">
        <f aca="false">IF(COUNT(Q368:U368)=0,L368,IF(MAX(Q368:U368)=0,L368,INDEX(L368:P368,MATCH(MAX(Q368:U368),Q368:U368,0))))</f>
        <v>maison de milan opulent gold</v>
      </c>
      <c r="W368" s="22" t="n">
        <f aca="false">IFERROR(INDEX('Semrush Data'!$A$1:$Z$20000,MATCH(V368,'Semrush Data'!$A$1:$A$20000,0),MATCH("Volume",'Semrush Data'!$A$1:$Z$1,0)),"")</f>
        <v>0</v>
      </c>
      <c r="X368" s="22" t="n">
        <f aca="false">IFERROR(INDEX('Semrush Data'!$A$1:$Z$20000,MATCH(V368,'Semrush Data'!$A$1:$A$20000,0),MATCH("Keyword Difficulty*",'Semrush Data'!$A$1:$Z$1,0)),"")</f>
        <v>16</v>
      </c>
      <c r="Y368" s="24" t="n">
        <f aca="false">IFERROR(INDEX('Semrush Data'!$A$1:$Z$20000,MATCH(V368,'Semrush Data'!$A$1:$A$20000,0),MATCH("CPC*",'Semrush Data'!$A$1:$Z$1,0)),"")</f>
        <v>0</v>
      </c>
      <c r="Z368" s="21" t="s">
        <v>4247</v>
      </c>
      <c r="AA368" s="21"/>
      <c r="AB368" s="21" t="s">
        <v>4533</v>
      </c>
      <c r="AC368" s="21" t="s">
        <v>4534</v>
      </c>
      <c r="AD368" s="25" t="n">
        <f aca="false">LEN(AC368)</f>
        <v>55</v>
      </c>
      <c r="AE368" s="21" t="s">
        <v>4535</v>
      </c>
      <c r="AF368" s="25" t="n">
        <f aca="false">LEN(AE368)</f>
        <v>148</v>
      </c>
    </row>
    <row r="369" customFormat="false" ht="15" hidden="false" customHeight="true" outlineLevel="0" collapsed="false">
      <c r="A369" s="21" t="s">
        <v>4536</v>
      </c>
      <c r="B369" s="21" t="s">
        <v>2390</v>
      </c>
      <c r="C369" s="21" t="n">
        <v>209</v>
      </c>
      <c r="D369" s="21" t="s">
        <v>4227</v>
      </c>
      <c r="E369" s="21" t="s">
        <v>4228</v>
      </c>
      <c r="F369" s="21" t="s">
        <v>2393</v>
      </c>
      <c r="G369" s="21" t="s">
        <v>2394</v>
      </c>
      <c r="H369" s="21" t="s">
        <v>2524</v>
      </c>
      <c r="I369" s="21" t="s">
        <v>4537</v>
      </c>
      <c r="J369" s="21" t="s">
        <v>1935</v>
      </c>
      <c r="K369" s="21" t="n">
        <v>17.99</v>
      </c>
      <c r="L369" s="21" t="s">
        <v>4538</v>
      </c>
      <c r="M369" s="21" t="s">
        <v>4539</v>
      </c>
      <c r="N369" s="21" t="s">
        <v>4540</v>
      </c>
      <c r="O369" s="21" t="s">
        <v>4541</v>
      </c>
      <c r="P369" s="21" t="s">
        <v>4542</v>
      </c>
      <c r="Q369" s="22" t="n">
        <f aca="false">IF(L369="","",IFERROR(INDEX('Semrush Data'!$A$1:$Z$20000,MATCH(L369,'Semrush Data'!$A$1:$A$20000,0),MATCH("Volume",'Semrush Data'!$A$1:$Z$1,0)),""))</f>
        <v>0</v>
      </c>
      <c r="R369" s="22" t="str">
        <f aca="false">IF(M369="","",IFERROR(INDEX('Semrush Data'!$A$1:$Z$20000,MATCH(M369,'Semrush Data'!$A$1:$A$20000,0),MATCH("Volume",'Semrush Data'!$A$1:$Z$1,0)),""))</f>
        <v/>
      </c>
      <c r="S369" s="22" t="str">
        <f aca="false">IF(N369="","",IFERROR(INDEX('Semrush Data'!$A$1:$Z$20000,MATCH(N369,'Semrush Data'!$A$1:$A$20000,0),MATCH("Volume",'Semrush Data'!$A$1:$Z$1,0)),""))</f>
        <v/>
      </c>
      <c r="T369" s="22" t="str">
        <f aca="false">IF(O369="","",IFERROR(INDEX('Semrush Data'!$A$1:$Z$20000,MATCH(O369,'Semrush Data'!$A$1:$A$20000,0),MATCH("Volume",'Semrush Data'!$A$1:$Z$1,0)),""))</f>
        <v/>
      </c>
      <c r="U369" s="22" t="str">
        <f aca="false">IF(P369="","",IFERROR(INDEX('Semrush Data'!$A$1:$Z$20000,MATCH(P369,'Semrush Data'!$A$1:$A$20000,0),MATCH("Volume",'Semrush Data'!$A$1:$Z$1,0)),""))</f>
        <v/>
      </c>
      <c r="V369" s="23" t="str">
        <f aca="false">IF(COUNT(Q369:U369)=0,L369,IF(MAX(Q369:U369)=0,L369,INDEX(L369:P369,MATCH(MAX(Q369:U369),Q369:U369,0))))</f>
        <v>maison de milan valiant pour homme</v>
      </c>
      <c r="W369" s="22" t="n">
        <f aca="false">IFERROR(INDEX('Semrush Data'!$A$1:$Z$20000,MATCH(V369,'Semrush Data'!$A$1:$A$20000,0),MATCH("Volume",'Semrush Data'!$A$1:$Z$1,0)),"")</f>
        <v>0</v>
      </c>
      <c r="X369" s="22" t="n">
        <f aca="false">IFERROR(INDEX('Semrush Data'!$A$1:$Z$20000,MATCH(V369,'Semrush Data'!$A$1:$A$20000,0),MATCH("Keyword Difficulty*",'Semrush Data'!$A$1:$Z$1,0)),"")</f>
        <v>28</v>
      </c>
      <c r="Y369" s="24" t="n">
        <f aca="false">IFERROR(INDEX('Semrush Data'!$A$1:$Z$20000,MATCH(V369,'Semrush Data'!$A$1:$A$20000,0),MATCH("CPC*",'Semrush Data'!$A$1:$Z$1,0)),"")</f>
        <v>0</v>
      </c>
      <c r="Z369" s="21" t="s">
        <v>4247</v>
      </c>
      <c r="AA369" s="21"/>
      <c r="AB369" s="21" t="s">
        <v>4543</v>
      </c>
      <c r="AC369" s="21" t="s">
        <v>4544</v>
      </c>
      <c r="AD369" s="25" t="n">
        <f aca="false">LEN(AC369)</f>
        <v>58</v>
      </c>
      <c r="AE369" s="21" t="s">
        <v>4545</v>
      </c>
      <c r="AF369" s="25" t="n">
        <f aca="false">LEN(AE369)</f>
        <v>154</v>
      </c>
    </row>
    <row r="370" customFormat="false" ht="15" hidden="false" customHeight="true" outlineLevel="0" collapsed="false">
      <c r="A370" s="21" t="s">
        <v>4546</v>
      </c>
      <c r="B370" s="21" t="s">
        <v>2390</v>
      </c>
      <c r="C370" s="21" t="n">
        <v>210</v>
      </c>
      <c r="D370" s="21" t="s">
        <v>4227</v>
      </c>
      <c r="E370" s="21" t="s">
        <v>4228</v>
      </c>
      <c r="F370" s="21" t="s">
        <v>2393</v>
      </c>
      <c r="G370" s="21" t="s">
        <v>2394</v>
      </c>
      <c r="H370" s="21" t="s">
        <v>2479</v>
      </c>
      <c r="I370" s="21" t="s">
        <v>4547</v>
      </c>
      <c r="J370" s="21" t="s">
        <v>1935</v>
      </c>
      <c r="K370" s="21" t="n">
        <v>99.99</v>
      </c>
      <c r="L370" s="21" t="s">
        <v>4548</v>
      </c>
      <c r="M370" s="21" t="s">
        <v>4549</v>
      </c>
      <c r="N370" s="21" t="s">
        <v>4550</v>
      </c>
      <c r="O370" s="21" t="s">
        <v>4551</v>
      </c>
      <c r="P370" s="21" t="s">
        <v>4552</v>
      </c>
      <c r="Q370" s="22" t="n">
        <f aca="false">IF(L370="","",IFERROR(INDEX('Semrush Data'!$A$1:$Z$20000,MATCH(L370,'Semrush Data'!$A$1:$A$20000,0),MATCH("Volume",'Semrush Data'!$A$1:$Z$1,0)),""))</f>
        <v>20</v>
      </c>
      <c r="R370" s="22" t="str">
        <f aca="false">IF(M370="","",IFERROR(INDEX('Semrush Data'!$A$1:$Z$20000,MATCH(M370,'Semrush Data'!$A$1:$A$20000,0),MATCH("Volume",'Semrush Data'!$A$1:$Z$1,0)),""))</f>
        <v/>
      </c>
      <c r="S370" s="22" t="str">
        <f aca="false">IF(N370="","",IFERROR(INDEX('Semrush Data'!$A$1:$Z$20000,MATCH(N370,'Semrush Data'!$A$1:$A$20000,0),MATCH("Volume",'Semrush Data'!$A$1:$Z$1,0)),""))</f>
        <v/>
      </c>
      <c r="T370" s="22" t="str">
        <f aca="false">IF(O370="","",IFERROR(INDEX('Semrush Data'!$A$1:$Z$20000,MATCH(O370,'Semrush Data'!$A$1:$A$20000,0),MATCH("Volume",'Semrush Data'!$A$1:$Z$1,0)),""))</f>
        <v/>
      </c>
      <c r="U370" s="22" t="str">
        <f aca="false">IF(P370="","",IFERROR(INDEX('Semrush Data'!$A$1:$Z$20000,MATCH(P370,'Semrush Data'!$A$1:$A$20000,0),MATCH("Volume",'Semrush Data'!$A$1:$Z$1,0)),""))</f>
        <v/>
      </c>
      <c r="V370" s="23" t="str">
        <f aca="false">IF(COUNT(Q370:U370)=0,L370,IF(MAX(Q370:U370)=0,L370,INDEX(L370:P370,MATCH(MAX(Q370:U370),Q370:U370,0))))</f>
        <v>roll it 1</v>
      </c>
      <c r="W370" s="22" t="n">
        <f aca="false">IFERROR(INDEX('Semrush Data'!$A$1:$Z$20000,MATCH(V370,'Semrush Data'!$A$1:$A$20000,0),MATCH("Volume",'Semrush Data'!$A$1:$Z$1,0)),"")</f>
        <v>20</v>
      </c>
      <c r="X370" s="22" t="n">
        <f aca="false">IFERROR(INDEX('Semrush Data'!$A$1:$Z$20000,MATCH(V370,'Semrush Data'!$A$1:$A$20000,0),MATCH("Keyword Difficulty*",'Semrush Data'!$A$1:$Z$1,0)),"")</f>
        <v>20</v>
      </c>
      <c r="Y370" s="24" t="n">
        <f aca="false">IFERROR(INDEX('Semrush Data'!$A$1:$Z$20000,MATCH(V370,'Semrush Data'!$A$1:$A$20000,0),MATCH("CPC*",'Semrush Data'!$A$1:$Z$1,0)),"")</f>
        <v>0</v>
      </c>
      <c r="Z370" s="21" t="s">
        <v>4279</v>
      </c>
      <c r="AA370" s="21" t="s">
        <v>4553</v>
      </c>
      <c r="AB370" s="21" t="s">
        <v>4554</v>
      </c>
      <c r="AC370" s="21" t="s">
        <v>4555</v>
      </c>
      <c r="AD370" s="25" t="n">
        <f aca="false">LEN(AC370)</f>
        <v>57</v>
      </c>
      <c r="AE370" s="21" t="s">
        <v>4556</v>
      </c>
      <c r="AF370" s="25" t="n">
        <f aca="false">LEN(AE370)</f>
        <v>151</v>
      </c>
    </row>
    <row r="371" customFormat="false" ht="15" hidden="false" customHeight="true" outlineLevel="0" collapsed="false">
      <c r="A371" s="21" t="s">
        <v>4557</v>
      </c>
      <c r="B371" s="21" t="s">
        <v>2390</v>
      </c>
      <c r="C371" s="21" t="n">
        <v>211</v>
      </c>
      <c r="D371" s="21" t="s">
        <v>4227</v>
      </c>
      <c r="E371" s="21" t="s">
        <v>4228</v>
      </c>
      <c r="F371" s="21" t="s">
        <v>2393</v>
      </c>
      <c r="G371" s="21" t="s">
        <v>4558</v>
      </c>
      <c r="H371" s="21" t="s">
        <v>2524</v>
      </c>
      <c r="I371" s="21" t="s">
        <v>4559</v>
      </c>
      <c r="J371" s="21" t="s">
        <v>1935</v>
      </c>
      <c r="K371" s="21" t="n">
        <v>85.99</v>
      </c>
      <c r="L371" s="21" t="s">
        <v>4560</v>
      </c>
      <c r="M371" s="21" t="s">
        <v>4561</v>
      </c>
      <c r="N371" s="21" t="s">
        <v>4562</v>
      </c>
      <c r="O371" s="21" t="s">
        <v>4563</v>
      </c>
      <c r="P371" s="21"/>
      <c r="Q371" s="22" t="n">
        <f aca="false">IF(L371="","",IFERROR(INDEX('Semrush Data'!$A$1:$Z$20000,MATCH(L371,'Semrush Data'!$A$1:$A$20000,0),MATCH("Volume",'Semrush Data'!$A$1:$Z$1,0)),""))</f>
        <v>20</v>
      </c>
      <c r="R371" s="22" t="str">
        <f aca="false">IF(M371="","",IFERROR(INDEX('Semrush Data'!$A$1:$Z$20000,MATCH(M371,'Semrush Data'!$A$1:$A$20000,0),MATCH("Volume",'Semrush Data'!$A$1:$Z$1,0)),""))</f>
        <v/>
      </c>
      <c r="S371" s="22" t="str">
        <f aca="false">IF(N371="","",IFERROR(INDEX('Semrush Data'!$A$1:$Z$20000,MATCH(N371,'Semrush Data'!$A$1:$A$20000,0),MATCH("Volume",'Semrush Data'!$A$1:$Z$1,0)),""))</f>
        <v/>
      </c>
      <c r="T371" s="22" t="str">
        <f aca="false">IF(O371="","",IFERROR(INDEX('Semrush Data'!$A$1:$Z$20000,MATCH(O371,'Semrush Data'!$A$1:$A$20000,0),MATCH("Volume",'Semrush Data'!$A$1:$Z$1,0)),""))</f>
        <v/>
      </c>
      <c r="U371" s="22" t="str">
        <f aca="false">IF(P371="","",IFERROR(INDEX('Semrush Data'!$A$1:$Z$20000,MATCH(P371,'Semrush Data'!$A$1:$A$20000,0),MATCH("Volume",'Semrush Data'!$A$1:$Z$1,0)),""))</f>
        <v/>
      </c>
      <c r="V371" s="23" t="str">
        <f aca="false">IF(COUNT(Q371:U371)=0,L371,IF(MAX(Q371:U371)=0,L371,INDEX(L371:P371,MATCH(MAX(Q371:U371),Q371:U371,0))))</f>
        <v>game of spades rouge extrait</v>
      </c>
      <c r="W371" s="22" t="n">
        <f aca="false">IFERROR(INDEX('Semrush Data'!$A$1:$Z$20000,MATCH(V371,'Semrush Data'!$A$1:$A$20000,0),MATCH("Volume",'Semrush Data'!$A$1:$Z$1,0)),"")</f>
        <v>20</v>
      </c>
      <c r="X371" s="22" t="n">
        <f aca="false">IFERROR(INDEX('Semrush Data'!$A$1:$Z$20000,MATCH(V371,'Semrush Data'!$A$1:$A$20000,0),MATCH("Keyword Difficulty*",'Semrush Data'!$A$1:$Z$1,0)),"")</f>
        <v>20</v>
      </c>
      <c r="Y371" s="24" t="n">
        <f aca="false">IFERROR(INDEX('Semrush Data'!$A$1:$Z$20000,MATCH(V371,'Semrush Data'!$A$1:$A$20000,0),MATCH("CPC*",'Semrush Data'!$A$1:$Z$1,0)),"")</f>
        <v>0</v>
      </c>
      <c r="Z371" s="21" t="s">
        <v>4247</v>
      </c>
      <c r="AA371" s="21" t="s">
        <v>4564</v>
      </c>
      <c r="AB371" s="21" t="s">
        <v>4565</v>
      </c>
      <c r="AC371" s="21" t="s">
        <v>4566</v>
      </c>
      <c r="AD371" s="25" t="n">
        <f aca="false">LEN(AC371)</f>
        <v>55</v>
      </c>
      <c r="AE371" s="21" t="s">
        <v>4567</v>
      </c>
      <c r="AF371" s="25" t="n">
        <f aca="false">LEN(AE371)</f>
        <v>144</v>
      </c>
    </row>
    <row r="372" customFormat="false" ht="15" hidden="false" customHeight="true" outlineLevel="0" collapsed="false">
      <c r="A372" s="21" t="s">
        <v>4568</v>
      </c>
      <c r="B372" s="21" t="s">
        <v>2390</v>
      </c>
      <c r="C372" s="21" t="n">
        <v>212</v>
      </c>
      <c r="D372" s="21" t="s">
        <v>4569</v>
      </c>
      <c r="E372" s="21"/>
      <c r="F372" s="21" t="s">
        <v>2393</v>
      </c>
      <c r="G372" s="21" t="s">
        <v>2759</v>
      </c>
      <c r="H372" s="21" t="s">
        <v>2549</v>
      </c>
      <c r="I372" s="21" t="s">
        <v>4570</v>
      </c>
      <c r="J372" s="21" t="s">
        <v>2774</v>
      </c>
      <c r="K372" s="21" t="n">
        <v>84.99</v>
      </c>
      <c r="L372" s="21" t="s">
        <v>4571</v>
      </c>
      <c r="M372" s="21" t="s">
        <v>4572</v>
      </c>
      <c r="N372" s="21" t="s">
        <v>4573</v>
      </c>
      <c r="O372" s="21" t="s">
        <v>4574</v>
      </c>
      <c r="P372" s="21" t="s">
        <v>4575</v>
      </c>
      <c r="Q372" s="22" t="n">
        <f aca="false">IF(L372="","",IFERROR(INDEX('Semrush Data'!$A$1:$Z$20000,MATCH(L372,'Semrush Data'!$A$1:$A$20000,0),MATCH("Volume",'Semrush Data'!$A$1:$Z$1,0)),""))</f>
        <v>0</v>
      </c>
      <c r="R372" s="22" t="str">
        <f aca="false">IF(M372="","",IFERROR(INDEX('Semrush Data'!$A$1:$Z$20000,MATCH(M372,'Semrush Data'!$A$1:$A$20000,0),MATCH("Volume",'Semrush Data'!$A$1:$Z$1,0)),""))</f>
        <v/>
      </c>
      <c r="S372" s="22" t="str">
        <f aca="false">IF(N372="","",IFERROR(INDEX('Semrush Data'!$A$1:$Z$20000,MATCH(N372,'Semrush Data'!$A$1:$A$20000,0),MATCH("Volume",'Semrush Data'!$A$1:$Z$1,0)),""))</f>
        <v/>
      </c>
      <c r="T372" s="22" t="str">
        <f aca="false">IF(O372="","",IFERROR(INDEX('Semrush Data'!$A$1:$Z$20000,MATCH(O372,'Semrush Data'!$A$1:$A$20000,0),MATCH("Volume",'Semrush Data'!$A$1:$Z$1,0)),""))</f>
        <v/>
      </c>
      <c r="U372" s="22" t="str">
        <f aca="false">IF(P372="","",IFERROR(INDEX('Semrush Data'!$A$1:$Z$20000,MATCH(P372,'Semrush Data'!$A$1:$A$20000,0),MATCH("Volume",'Semrush Data'!$A$1:$Z$1,0)),""))</f>
        <v/>
      </c>
      <c r="V372" s="23" t="str">
        <f aca="false">IF(COUNT(Q372:U372)=0,L372,IF(MAX(Q372:U372)=0,L372,INDEX(L372:P372,MATCH(MAX(Q372:U372),Q372:U372,0))))</f>
        <v>giorgia armani giorgio armani code refillable</v>
      </c>
      <c r="W372" s="22" t="n">
        <f aca="false">IFERROR(INDEX('Semrush Data'!$A$1:$Z$20000,MATCH(V372,'Semrush Data'!$A$1:$A$20000,0),MATCH("Volume",'Semrush Data'!$A$1:$Z$1,0)),"")</f>
        <v>0</v>
      </c>
      <c r="X372" s="22" t="n">
        <f aca="false">IFERROR(INDEX('Semrush Data'!$A$1:$Z$20000,MATCH(V372,'Semrush Data'!$A$1:$A$20000,0),MATCH("Keyword Difficulty*",'Semrush Data'!$A$1:$Z$1,0)),"")</f>
        <v>16</v>
      </c>
      <c r="Y372" s="24" t="n">
        <f aca="false">IFERROR(INDEX('Semrush Data'!$A$1:$Z$20000,MATCH(V372,'Semrush Data'!$A$1:$A$20000,0),MATCH("CPC*",'Semrush Data'!$A$1:$Z$1,0)),"")</f>
        <v>0</v>
      </c>
      <c r="Z372" s="21" t="s">
        <v>4576</v>
      </c>
      <c r="AA372" s="21"/>
      <c r="AB372" s="21" t="s">
        <v>4577</v>
      </c>
      <c r="AC372" s="21" t="s">
        <v>4578</v>
      </c>
      <c r="AD372" s="25" t="n">
        <f aca="false">LEN(AC372)</f>
        <v>56</v>
      </c>
      <c r="AE372" s="21" t="s">
        <v>4579</v>
      </c>
      <c r="AF372" s="25" t="n">
        <f aca="false">LEN(AE372)</f>
        <v>157</v>
      </c>
    </row>
    <row r="373" customFormat="false" ht="15" hidden="false" customHeight="true" outlineLevel="0" collapsed="false">
      <c r="A373" s="21" t="s">
        <v>4580</v>
      </c>
      <c r="B373" s="21" t="s">
        <v>2390</v>
      </c>
      <c r="C373" s="21" t="n">
        <v>213</v>
      </c>
      <c r="D373" s="21" t="s">
        <v>4581</v>
      </c>
      <c r="E373" s="21"/>
      <c r="F373" s="21" t="s">
        <v>2393</v>
      </c>
      <c r="G373" s="21" t="s">
        <v>2759</v>
      </c>
      <c r="H373" s="21" t="s">
        <v>2549</v>
      </c>
      <c r="I373" s="21" t="s">
        <v>4582</v>
      </c>
      <c r="J373" s="21" t="s">
        <v>2774</v>
      </c>
      <c r="K373" s="21" t="n">
        <v>66.99</v>
      </c>
      <c r="L373" s="21" t="s">
        <v>4583</v>
      </c>
      <c r="M373" s="21" t="s">
        <v>4584</v>
      </c>
      <c r="N373" s="21" t="s">
        <v>4585</v>
      </c>
      <c r="O373" s="21" t="s">
        <v>4586</v>
      </c>
      <c r="P373" s="21" t="s">
        <v>4587</v>
      </c>
      <c r="Q373" s="22" t="n">
        <f aca="false">IF(L373="","",IFERROR(INDEX('Semrush Data'!$A$1:$Z$20000,MATCH(L373,'Semrush Data'!$A$1:$A$20000,0),MATCH("Volume",'Semrush Data'!$A$1:$Z$1,0)),""))</f>
        <v>20</v>
      </c>
      <c r="R373" s="22" t="str">
        <f aca="false">IF(M373="","",IFERROR(INDEX('Semrush Data'!$A$1:$Z$20000,MATCH(M373,'Semrush Data'!$A$1:$A$20000,0),MATCH("Volume",'Semrush Data'!$A$1:$Z$1,0)),""))</f>
        <v/>
      </c>
      <c r="S373" s="22" t="str">
        <f aca="false">IF(N373="","",IFERROR(INDEX('Semrush Data'!$A$1:$Z$20000,MATCH(N373,'Semrush Data'!$A$1:$A$20000,0),MATCH("Volume",'Semrush Data'!$A$1:$Z$1,0)),""))</f>
        <v/>
      </c>
      <c r="T373" s="22" t="str">
        <f aca="false">IF(O373="","",IFERROR(INDEX('Semrush Data'!$A$1:$Z$20000,MATCH(O373,'Semrush Data'!$A$1:$A$20000,0),MATCH("Volume",'Semrush Data'!$A$1:$Z$1,0)),""))</f>
        <v/>
      </c>
      <c r="U373" s="22" t="str">
        <f aca="false">IF(P373="","",IFERROR(INDEX('Semrush Data'!$A$1:$Z$20000,MATCH(P373,'Semrush Data'!$A$1:$A$20000,0),MATCH("Volume",'Semrush Data'!$A$1:$Z$1,0)),""))</f>
        <v/>
      </c>
      <c r="V373" s="23" t="str">
        <f aca="false">IF(COUNT(Q373:U373)=0,L373,IF(MAX(Q373:U373)=0,L373,INDEX(L373:P373,MATCH(MAX(Q373:U373),Q373:U373,0))))</f>
        <v>giorgio armani code refillable</v>
      </c>
      <c r="W373" s="22" t="n">
        <f aca="false">IFERROR(INDEX('Semrush Data'!$A$1:$Z$20000,MATCH(V373,'Semrush Data'!$A$1:$A$20000,0),MATCH("Volume",'Semrush Data'!$A$1:$Z$1,0)),"")</f>
        <v>20</v>
      </c>
      <c r="X373" s="22" t="n">
        <f aca="false">IFERROR(INDEX('Semrush Data'!$A$1:$Z$20000,MATCH(V373,'Semrush Data'!$A$1:$A$20000,0),MATCH("Keyword Difficulty*",'Semrush Data'!$A$1:$Z$1,0)),"")</f>
        <v>13</v>
      </c>
      <c r="Y373" s="24" t="n">
        <f aca="false">IFERROR(INDEX('Semrush Data'!$A$1:$Z$20000,MATCH(V373,'Semrush Data'!$A$1:$A$20000,0),MATCH("CPC*",'Semrush Data'!$A$1:$Z$1,0)),"")</f>
        <v>0.33</v>
      </c>
      <c r="Z373" s="21" t="s">
        <v>4588</v>
      </c>
      <c r="AA373" s="21" t="s">
        <v>4589</v>
      </c>
      <c r="AB373" s="21" t="s">
        <v>4590</v>
      </c>
      <c r="AC373" s="21" t="s">
        <v>4591</v>
      </c>
      <c r="AD373" s="25" t="n">
        <f aca="false">LEN(AC373)</f>
        <v>60</v>
      </c>
      <c r="AE373" s="21" t="s">
        <v>4592</v>
      </c>
      <c r="AF373" s="25" t="n">
        <f aca="false">LEN(AE373)</f>
        <v>160</v>
      </c>
    </row>
    <row r="374" customFormat="false" ht="15" hidden="false" customHeight="true" outlineLevel="0" collapsed="false">
      <c r="A374" s="21" t="s">
        <v>112</v>
      </c>
      <c r="B374" s="21" t="s">
        <v>2390</v>
      </c>
      <c r="C374" s="21" t="n">
        <v>214</v>
      </c>
      <c r="D374" s="21" t="s">
        <v>4593</v>
      </c>
      <c r="E374" s="21"/>
      <c r="F374" s="21" t="s">
        <v>2393</v>
      </c>
      <c r="G374" s="21" t="s">
        <v>2759</v>
      </c>
      <c r="H374" s="21" t="s">
        <v>2395</v>
      </c>
      <c r="I374" s="21" t="s">
        <v>113</v>
      </c>
      <c r="J374" s="21" t="s">
        <v>1935</v>
      </c>
      <c r="K374" s="21" t="n">
        <v>52.99</v>
      </c>
      <c r="L374" s="21" t="s">
        <v>4594</v>
      </c>
      <c r="M374" s="21" t="s">
        <v>4595</v>
      </c>
      <c r="N374" s="21" t="s">
        <v>4596</v>
      </c>
      <c r="O374" s="21" t="s">
        <v>4597</v>
      </c>
      <c r="P374" s="21" t="s">
        <v>4598</v>
      </c>
      <c r="Q374" s="22" t="n">
        <f aca="false">IF(L374="","",IFERROR(INDEX('Semrush Data'!$A$1:$Z$20000,MATCH(L374,'Semrush Data'!$A$1:$A$20000,0),MATCH("Volume",'Semrush Data'!$A$1:$Z$1,0)),""))</f>
        <v>590</v>
      </c>
      <c r="R374" s="22" t="n">
        <f aca="false">IF(M374="","",IFERROR(INDEX('Semrush Data'!$A$1:$Z$20000,MATCH(M374,'Semrush Data'!$A$1:$A$20000,0),MATCH("Volume",'Semrush Data'!$A$1:$Z$1,0)),""))</f>
        <v>0</v>
      </c>
      <c r="S374" s="22" t="str">
        <f aca="false">IF(N374="","",IFERROR(INDEX('Semrush Data'!$A$1:$Z$20000,MATCH(N374,'Semrush Data'!$A$1:$A$20000,0),MATCH("Volume",'Semrush Data'!$A$1:$Z$1,0)),""))</f>
        <v/>
      </c>
      <c r="T374" s="22" t="str">
        <f aca="false">IF(O374="","",IFERROR(INDEX('Semrush Data'!$A$1:$Z$20000,MATCH(O374,'Semrush Data'!$A$1:$A$20000,0),MATCH("Volume",'Semrush Data'!$A$1:$Z$1,0)),""))</f>
        <v/>
      </c>
      <c r="U374" s="22" t="n">
        <f aca="false">IF(P374="","",IFERROR(INDEX('Semrush Data'!$A$1:$Z$20000,MATCH(P374,'Semrush Data'!$A$1:$A$20000,0),MATCH("Volume",'Semrush Data'!$A$1:$Z$1,0)),""))</f>
        <v>40</v>
      </c>
      <c r="V374" s="23" t="str">
        <f aca="false">IF(COUNT(Q374:U374)=0,L374,IF(MAX(Q374:U374)=0,L374,INDEX(L374:P374,MATCH(MAX(Q374:U374),Q374:U374,0))))</f>
        <v>givenchy amarige</v>
      </c>
      <c r="W374" s="22" t="n">
        <f aca="false">IFERROR(INDEX('Semrush Data'!$A$1:$Z$20000,MATCH(V374,'Semrush Data'!$A$1:$A$20000,0),MATCH("Volume",'Semrush Data'!$A$1:$Z$1,0)),"")</f>
        <v>590</v>
      </c>
      <c r="X374" s="22" t="n">
        <f aca="false">IFERROR(INDEX('Semrush Data'!$A$1:$Z$20000,MATCH(V374,'Semrush Data'!$A$1:$A$20000,0),MATCH("Keyword Difficulty*",'Semrush Data'!$A$1:$Z$1,0)),"")</f>
        <v>28</v>
      </c>
      <c r="Y374" s="24" t="n">
        <f aca="false">IFERROR(INDEX('Semrush Data'!$A$1:$Z$20000,MATCH(V374,'Semrush Data'!$A$1:$A$20000,0),MATCH("CPC*",'Semrush Data'!$A$1:$Z$1,0)),"")</f>
        <v>0.51</v>
      </c>
      <c r="Z374" s="21" t="s">
        <v>4599</v>
      </c>
      <c r="AA374" s="21" t="s">
        <v>4600</v>
      </c>
      <c r="AB374" s="21" t="s">
        <v>4601</v>
      </c>
      <c r="AC374" s="21" t="s">
        <v>4602</v>
      </c>
      <c r="AD374" s="25" t="n">
        <f aca="false">LEN(AC374)</f>
        <v>59</v>
      </c>
      <c r="AE374" s="21" t="s">
        <v>4603</v>
      </c>
      <c r="AF374" s="25" t="n">
        <f aca="false">LEN(AE374)</f>
        <v>156</v>
      </c>
    </row>
    <row r="375" customFormat="false" ht="15" hidden="false" customHeight="true" outlineLevel="0" collapsed="false">
      <c r="A375" s="21" t="s">
        <v>4604</v>
      </c>
      <c r="B375" s="21" t="s">
        <v>2390</v>
      </c>
      <c r="C375" s="21" t="n">
        <v>215</v>
      </c>
      <c r="D375" s="21" t="s">
        <v>4593</v>
      </c>
      <c r="E375" s="21"/>
      <c r="F375" s="21" t="s">
        <v>2393</v>
      </c>
      <c r="G375" s="21" t="s">
        <v>2759</v>
      </c>
      <c r="H375" s="21" t="s">
        <v>2549</v>
      </c>
      <c r="I375" s="21" t="s">
        <v>4605</v>
      </c>
      <c r="J375" s="21" t="s">
        <v>1935</v>
      </c>
      <c r="K375" s="21" t="n">
        <v>49.99</v>
      </c>
      <c r="L375" s="21" t="s">
        <v>4606</v>
      </c>
      <c r="M375" s="21" t="s">
        <v>4607</v>
      </c>
      <c r="N375" s="21" t="s">
        <v>4608</v>
      </c>
      <c r="O375" s="21" t="s">
        <v>4609</v>
      </c>
      <c r="P375" s="21" t="s">
        <v>4610</v>
      </c>
      <c r="Q375" s="22" t="n">
        <f aca="false">IF(L375="","",IFERROR(INDEX('Semrush Data'!$A$1:$Z$20000,MATCH(L375,'Semrush Data'!$A$1:$A$20000,0),MATCH("Volume",'Semrush Data'!$A$1:$Z$1,0)),""))</f>
        <v>20</v>
      </c>
      <c r="R375" s="22" t="str">
        <f aca="false">IF(M375="","",IFERROR(INDEX('Semrush Data'!$A$1:$Z$20000,MATCH(M375,'Semrush Data'!$A$1:$A$20000,0),MATCH("Volume",'Semrush Data'!$A$1:$Z$1,0)),""))</f>
        <v/>
      </c>
      <c r="S375" s="22" t="str">
        <f aca="false">IF(N375="","",IFERROR(INDEX('Semrush Data'!$A$1:$Z$20000,MATCH(N375,'Semrush Data'!$A$1:$A$20000,0),MATCH("Volume",'Semrush Data'!$A$1:$Z$1,0)),""))</f>
        <v/>
      </c>
      <c r="T375" s="22" t="str">
        <f aca="false">IF(O375="","",IFERROR(INDEX('Semrush Data'!$A$1:$Z$20000,MATCH(O375,'Semrush Data'!$A$1:$A$20000,0),MATCH("Volume",'Semrush Data'!$A$1:$Z$1,0)),""))</f>
        <v/>
      </c>
      <c r="U375" s="22" t="str">
        <f aca="false">IF(P375="","",IFERROR(INDEX('Semrush Data'!$A$1:$Z$20000,MATCH(P375,'Semrush Data'!$A$1:$A$20000,0),MATCH("Volume",'Semrush Data'!$A$1:$Z$1,0)),""))</f>
        <v/>
      </c>
      <c r="V375" s="23" t="str">
        <f aca="false">IF(COUNT(Q375:U375)=0,L375,IF(MAX(Q375:U375)=0,L375,INDEX(L375:P375,MATCH(MAX(Q375:U375),Q375:U375,0))))</f>
        <v>givenchy gentleman originale</v>
      </c>
      <c r="W375" s="22" t="n">
        <f aca="false">IFERROR(INDEX('Semrush Data'!$A$1:$Z$20000,MATCH(V375,'Semrush Data'!$A$1:$A$20000,0),MATCH("Volume",'Semrush Data'!$A$1:$Z$1,0)),"")</f>
        <v>20</v>
      </c>
      <c r="X375" s="22" t="n">
        <f aca="false">IFERROR(INDEX('Semrush Data'!$A$1:$Z$20000,MATCH(V375,'Semrush Data'!$A$1:$A$20000,0),MATCH("Keyword Difficulty*",'Semrush Data'!$A$1:$Z$1,0)),"")</f>
        <v>18</v>
      </c>
      <c r="Y375" s="24" t="n">
        <f aca="false">IFERROR(INDEX('Semrush Data'!$A$1:$Z$20000,MATCH(V375,'Semrush Data'!$A$1:$A$20000,0),MATCH("CPC*",'Semrush Data'!$A$1:$Z$1,0)),"")</f>
        <v>0.63</v>
      </c>
      <c r="Z375" s="21" t="s">
        <v>4611</v>
      </c>
      <c r="AA375" s="21" t="s">
        <v>4612</v>
      </c>
      <c r="AB375" s="21" t="s">
        <v>4613</v>
      </c>
      <c r="AC375" s="21" t="s">
        <v>4614</v>
      </c>
      <c r="AD375" s="25" t="n">
        <f aca="false">LEN(AC375)</f>
        <v>58</v>
      </c>
      <c r="AE375" s="21" t="s">
        <v>4615</v>
      </c>
      <c r="AF375" s="25" t="n">
        <f aca="false">LEN(AE375)</f>
        <v>159</v>
      </c>
    </row>
    <row r="376" customFormat="false" ht="15" hidden="false" customHeight="true" outlineLevel="0" collapsed="false">
      <c r="A376" s="21" t="s">
        <v>4616</v>
      </c>
      <c r="B376" s="21" t="s">
        <v>2390</v>
      </c>
      <c r="C376" s="21" t="n">
        <v>216</v>
      </c>
      <c r="D376" s="21" t="s">
        <v>4617</v>
      </c>
      <c r="E376" s="21"/>
      <c r="F376" s="21" t="s">
        <v>2393</v>
      </c>
      <c r="G376" s="21" t="s">
        <v>2394</v>
      </c>
      <c r="H376" s="21" t="s">
        <v>2395</v>
      </c>
      <c r="I376" s="21" t="s">
        <v>4618</v>
      </c>
      <c r="J376" s="21" t="s">
        <v>2755</v>
      </c>
      <c r="K376" s="21" t="n">
        <v>16.95</v>
      </c>
      <c r="L376" s="21" t="s">
        <v>4619</v>
      </c>
      <c r="M376" s="21" t="s">
        <v>4620</v>
      </c>
      <c r="N376" s="21" t="s">
        <v>4621</v>
      </c>
      <c r="O376" s="21" t="s">
        <v>4622</v>
      </c>
      <c r="P376" s="21" t="s">
        <v>4623</v>
      </c>
      <c r="Q376" s="22" t="n">
        <f aca="false">IF(L376="","",IFERROR(INDEX('Semrush Data'!$A$1:$Z$20000,MATCH(L376,'Semrush Data'!$A$1:$A$20000,0),MATCH("Volume",'Semrush Data'!$A$1:$Z$1,0)),""))</f>
        <v>0</v>
      </c>
      <c r="R376" s="22" t="str">
        <f aca="false">IF(M376="","",IFERROR(INDEX('Semrush Data'!$A$1:$Z$20000,MATCH(M376,'Semrush Data'!$A$1:$A$20000,0),MATCH("Volume",'Semrush Data'!$A$1:$Z$1,0)),""))</f>
        <v/>
      </c>
      <c r="S376" s="22" t="str">
        <f aca="false">IF(N376="","",IFERROR(INDEX('Semrush Data'!$A$1:$Z$20000,MATCH(N376,'Semrush Data'!$A$1:$A$20000,0),MATCH("Volume",'Semrush Data'!$A$1:$Z$1,0)),""))</f>
        <v/>
      </c>
      <c r="T376" s="22" t="str">
        <f aca="false">IF(O376="","",IFERROR(INDEX('Semrush Data'!$A$1:$Z$20000,MATCH(O376,'Semrush Data'!$A$1:$A$20000,0),MATCH("Volume",'Semrush Data'!$A$1:$Z$1,0)),""))</f>
        <v/>
      </c>
      <c r="U376" s="22" t="str">
        <f aca="false">IF(P376="","",IFERROR(INDEX('Semrush Data'!$A$1:$Z$20000,MATCH(P376,'Semrush Data'!$A$1:$A$20000,0),MATCH("Volume",'Semrush Data'!$A$1:$Z$1,0)),""))</f>
        <v/>
      </c>
      <c r="V376" s="23" t="str">
        <f aca="false">IF(COUNT(Q376:U376)=0,L376,IF(MAX(Q376:U376)=0,L376,INDEX(L376:P376,MATCH(MAX(Q376:U376),Q376:U376,0))))</f>
        <v>gucci bloom profumo di fiori pen</v>
      </c>
      <c r="W376" s="22" t="n">
        <f aca="false">IFERROR(INDEX('Semrush Data'!$A$1:$Z$20000,MATCH(V376,'Semrush Data'!$A$1:$A$20000,0),MATCH("Volume",'Semrush Data'!$A$1:$Z$1,0)),"")</f>
        <v>0</v>
      </c>
      <c r="X376" s="22" t="n">
        <f aca="false">IFERROR(INDEX('Semrush Data'!$A$1:$Z$20000,MATCH(V376,'Semrush Data'!$A$1:$A$20000,0),MATCH("Keyword Difficulty*",'Semrush Data'!$A$1:$Z$1,0)),"")</f>
        <v>17</v>
      </c>
      <c r="Y376" s="24" t="n">
        <f aca="false">IFERROR(INDEX('Semrush Data'!$A$1:$Z$20000,MATCH(V376,'Semrush Data'!$A$1:$A$20000,0),MATCH("CPC*",'Semrush Data'!$A$1:$Z$1,0)),"")</f>
        <v>0</v>
      </c>
      <c r="Z376" s="21" t="s">
        <v>4624</v>
      </c>
      <c r="AA376" s="21"/>
      <c r="AB376" s="21" t="s">
        <v>4625</v>
      </c>
      <c r="AC376" s="21" t="s">
        <v>4626</v>
      </c>
      <c r="AD376" s="25" t="n">
        <f aca="false">LEN(AC376)</f>
        <v>57</v>
      </c>
      <c r="AE376" s="21" t="s">
        <v>4627</v>
      </c>
      <c r="AF376" s="25" t="n">
        <f aca="false">LEN(AE376)</f>
        <v>159</v>
      </c>
    </row>
    <row r="377" customFormat="false" ht="15" hidden="false" customHeight="true" outlineLevel="0" collapsed="false">
      <c r="A377" s="21" t="s">
        <v>64</v>
      </c>
      <c r="B377" s="21" t="s">
        <v>2390</v>
      </c>
      <c r="C377" s="21" t="n">
        <v>217</v>
      </c>
      <c r="D377" s="21" t="s">
        <v>4617</v>
      </c>
      <c r="E377" s="21"/>
      <c r="F377" s="21" t="s">
        <v>2393</v>
      </c>
      <c r="G377" s="21" t="s">
        <v>2394</v>
      </c>
      <c r="H377" s="21" t="s">
        <v>2395</v>
      </c>
      <c r="I377" s="21" t="s">
        <v>65</v>
      </c>
      <c r="J377" s="21" t="s">
        <v>1409</v>
      </c>
      <c r="K377" s="21" t="n">
        <v>59.99</v>
      </c>
      <c r="L377" s="21" t="s">
        <v>4628</v>
      </c>
      <c r="M377" s="21" t="s">
        <v>4629</v>
      </c>
      <c r="N377" s="21" t="s">
        <v>4630</v>
      </c>
      <c r="O377" s="21" t="s">
        <v>4631</v>
      </c>
      <c r="P377" s="21" t="s">
        <v>4632</v>
      </c>
      <c r="Q377" s="22" t="n">
        <f aca="false">IF(L377="","",IFERROR(INDEX('Semrush Data'!$A$1:$Z$20000,MATCH(L377,'Semrush Data'!$A$1:$A$20000,0),MATCH("Volume",'Semrush Data'!$A$1:$Z$1,0)),""))</f>
        <v>4400</v>
      </c>
      <c r="R377" s="22" t="n">
        <f aca="false">IF(M377="","",IFERROR(INDEX('Semrush Data'!$A$1:$Z$20000,MATCH(M377,'Semrush Data'!$A$1:$A$20000,0),MATCH("Volume",'Semrush Data'!$A$1:$Z$1,0)),""))</f>
        <v>20</v>
      </c>
      <c r="S377" s="22" t="str">
        <f aca="false">IF(N377="","",IFERROR(INDEX('Semrush Data'!$A$1:$Z$20000,MATCH(N377,'Semrush Data'!$A$1:$A$20000,0),MATCH("Volume",'Semrush Data'!$A$1:$Z$1,0)),""))</f>
        <v/>
      </c>
      <c r="T377" s="22" t="str">
        <f aca="false">IF(O377="","",IFERROR(INDEX('Semrush Data'!$A$1:$Z$20000,MATCH(O377,'Semrush Data'!$A$1:$A$20000,0),MATCH("Volume",'Semrush Data'!$A$1:$Z$1,0)),""))</f>
        <v/>
      </c>
      <c r="U377" s="22" t="n">
        <f aca="false">IF(P377="","",IFERROR(INDEX('Semrush Data'!$A$1:$Z$20000,MATCH(P377,'Semrush Data'!$A$1:$A$20000,0),MATCH("Volume",'Semrush Data'!$A$1:$Z$1,0)),""))</f>
        <v>260</v>
      </c>
      <c r="V377" s="23" t="str">
        <f aca="false">IF(COUNT(Q377:U377)=0,L377,IF(MAX(Q377:U377)=0,L377,INDEX(L377:P377,MATCH(MAX(Q377:U377),Q377:U377,0))))</f>
        <v>gucci flora gorgeous gardenia</v>
      </c>
      <c r="W377" s="22" t="n">
        <f aca="false">IFERROR(INDEX('Semrush Data'!$A$1:$Z$20000,MATCH(V377,'Semrush Data'!$A$1:$A$20000,0),MATCH("Volume",'Semrush Data'!$A$1:$Z$1,0)),"")</f>
        <v>4400</v>
      </c>
      <c r="X377" s="22" t="n">
        <f aca="false">IFERROR(INDEX('Semrush Data'!$A$1:$Z$20000,MATCH(V377,'Semrush Data'!$A$1:$A$20000,0),MATCH("Keyword Difficulty*",'Semrush Data'!$A$1:$Z$1,0)),"")</f>
        <v>29</v>
      </c>
      <c r="Y377" s="24" t="n">
        <f aca="false">IFERROR(INDEX('Semrush Data'!$A$1:$Z$20000,MATCH(V377,'Semrush Data'!$A$1:$A$20000,0),MATCH("CPC*",'Semrush Data'!$A$1:$Z$1,0)),"")</f>
        <v>0.43</v>
      </c>
      <c r="Z377" s="21" t="s">
        <v>4624</v>
      </c>
      <c r="AA377" s="21" t="s">
        <v>4633</v>
      </c>
      <c r="AB377" s="21" t="s">
        <v>4634</v>
      </c>
      <c r="AC377" s="21" t="s">
        <v>4635</v>
      </c>
      <c r="AD377" s="25" t="n">
        <f aca="false">LEN(AC377)</f>
        <v>57</v>
      </c>
      <c r="AE377" s="21" t="s">
        <v>4636</v>
      </c>
      <c r="AF377" s="25" t="n">
        <f aca="false">LEN(AE377)</f>
        <v>158</v>
      </c>
    </row>
    <row r="378" customFormat="false" ht="15" hidden="false" customHeight="true" outlineLevel="0" collapsed="false">
      <c r="A378" s="21" t="s">
        <v>4637</v>
      </c>
      <c r="B378" s="21" t="s">
        <v>2390</v>
      </c>
      <c r="C378" s="21" t="n">
        <v>218</v>
      </c>
      <c r="D378" s="21" t="s">
        <v>4617</v>
      </c>
      <c r="E378" s="21"/>
      <c r="F378" s="21" t="s">
        <v>2393</v>
      </c>
      <c r="G378" s="21" t="s">
        <v>2394</v>
      </c>
      <c r="H378" s="21" t="s">
        <v>2395</v>
      </c>
      <c r="I378" s="21" t="s">
        <v>4638</v>
      </c>
      <c r="J378" s="21" t="s">
        <v>2755</v>
      </c>
      <c r="K378" s="21" t="n">
        <v>17.99</v>
      </c>
      <c r="L378" s="21" t="s">
        <v>4639</v>
      </c>
      <c r="M378" s="21" t="s">
        <v>4640</v>
      </c>
      <c r="N378" s="21" t="s">
        <v>4641</v>
      </c>
      <c r="O378" s="21" t="s">
        <v>4642</v>
      </c>
      <c r="P378" s="21" t="s">
        <v>4643</v>
      </c>
      <c r="Q378" s="22" t="n">
        <f aca="false">IF(L378="","",IFERROR(INDEX('Semrush Data'!$A$1:$Z$20000,MATCH(L378,'Semrush Data'!$A$1:$A$20000,0),MATCH("Volume",'Semrush Data'!$A$1:$Z$1,0)),""))</f>
        <v>0</v>
      </c>
      <c r="R378" s="22" t="str">
        <f aca="false">IF(M378="","",IFERROR(INDEX('Semrush Data'!$A$1:$Z$20000,MATCH(M378,'Semrush Data'!$A$1:$A$20000,0),MATCH("Volume",'Semrush Data'!$A$1:$Z$1,0)),""))</f>
        <v/>
      </c>
      <c r="S378" s="22" t="str">
        <f aca="false">IF(N378="","",IFERROR(INDEX('Semrush Data'!$A$1:$Z$20000,MATCH(N378,'Semrush Data'!$A$1:$A$20000,0),MATCH("Volume",'Semrush Data'!$A$1:$Z$1,0)),""))</f>
        <v/>
      </c>
      <c r="T378" s="22" t="str">
        <f aca="false">IF(O378="","",IFERROR(INDEX('Semrush Data'!$A$1:$Z$20000,MATCH(O378,'Semrush Data'!$A$1:$A$20000,0),MATCH("Volume",'Semrush Data'!$A$1:$Z$1,0)),""))</f>
        <v/>
      </c>
      <c r="U378" s="22" t="str">
        <f aca="false">IF(P378="","",IFERROR(INDEX('Semrush Data'!$A$1:$Z$20000,MATCH(P378,'Semrush Data'!$A$1:$A$20000,0),MATCH("Volume",'Semrush Data'!$A$1:$Z$1,0)),""))</f>
        <v/>
      </c>
      <c r="V378" s="23" t="str">
        <f aca="false">IF(COUNT(Q378:U378)=0,L378,IF(MAX(Q378:U378)=0,L378,INDEX(L378:P378,MATCH(MAX(Q378:U378),Q378:U378,0))))</f>
        <v>gucci flora gorgeous orchid miniature</v>
      </c>
      <c r="W378" s="22" t="n">
        <f aca="false">IFERROR(INDEX('Semrush Data'!$A$1:$Z$20000,MATCH(V378,'Semrush Data'!$A$1:$A$20000,0),MATCH("Volume",'Semrush Data'!$A$1:$Z$1,0)),"")</f>
        <v>0</v>
      </c>
      <c r="X378" s="22" t="n">
        <f aca="false">IFERROR(INDEX('Semrush Data'!$A$1:$Z$20000,MATCH(V378,'Semrush Data'!$A$1:$A$20000,0),MATCH("Keyword Difficulty*",'Semrush Data'!$A$1:$Z$1,0)),"")</f>
        <v>20</v>
      </c>
      <c r="Y378" s="24" t="n">
        <f aca="false">IFERROR(INDEX('Semrush Data'!$A$1:$Z$20000,MATCH(V378,'Semrush Data'!$A$1:$A$20000,0),MATCH("CPC*",'Semrush Data'!$A$1:$Z$1,0)),"")</f>
        <v>0</v>
      </c>
      <c r="Z378" s="21" t="s">
        <v>4624</v>
      </c>
      <c r="AA378" s="21"/>
      <c r="AB378" s="21" t="s">
        <v>4644</v>
      </c>
      <c r="AC378" s="21" t="s">
        <v>4645</v>
      </c>
      <c r="AD378" s="25" t="n">
        <f aca="false">LEN(AC378)</f>
        <v>60</v>
      </c>
      <c r="AE378" s="21" t="s">
        <v>4646</v>
      </c>
      <c r="AF378" s="25" t="n">
        <f aca="false">LEN(AE378)</f>
        <v>160</v>
      </c>
    </row>
    <row r="379" customFormat="false" ht="15" hidden="false" customHeight="true" outlineLevel="0" collapsed="false">
      <c r="A379" s="21" t="s">
        <v>4647</v>
      </c>
      <c r="B379" s="21" t="s">
        <v>2390</v>
      </c>
      <c r="C379" s="21" t="n">
        <v>219</v>
      </c>
      <c r="D379" s="21" t="s">
        <v>4617</v>
      </c>
      <c r="E379" s="21"/>
      <c r="F379" s="21" t="s">
        <v>2393</v>
      </c>
      <c r="G379" s="21" t="s">
        <v>2394</v>
      </c>
      <c r="H379" s="21" t="s">
        <v>2457</v>
      </c>
      <c r="I379" s="21" t="s">
        <v>4648</v>
      </c>
      <c r="J379" s="21" t="s">
        <v>2755</v>
      </c>
      <c r="K379" s="21" t="n">
        <v>19.99</v>
      </c>
      <c r="L379" s="21" t="s">
        <v>4649</v>
      </c>
      <c r="M379" s="21" t="s">
        <v>4650</v>
      </c>
      <c r="N379" s="21" t="s">
        <v>4651</v>
      </c>
      <c r="O379" s="21" t="s">
        <v>4652</v>
      </c>
      <c r="P379" s="21" t="s">
        <v>4653</v>
      </c>
      <c r="Q379" s="22" t="n">
        <f aca="false">IF(L379="","",IFERROR(INDEX('Semrush Data'!$A$1:$Z$20000,MATCH(L379,'Semrush Data'!$A$1:$A$20000,0),MATCH("Volume",'Semrush Data'!$A$1:$Z$1,0)),""))</f>
        <v>0</v>
      </c>
      <c r="R379" s="22" t="str">
        <f aca="false">IF(M379="","",IFERROR(INDEX('Semrush Data'!$A$1:$Z$20000,MATCH(M379,'Semrush Data'!$A$1:$A$20000,0),MATCH("Volume",'Semrush Data'!$A$1:$Z$1,0)),""))</f>
        <v/>
      </c>
      <c r="S379" s="22" t="str">
        <f aca="false">IF(N379="","",IFERROR(INDEX('Semrush Data'!$A$1:$Z$20000,MATCH(N379,'Semrush Data'!$A$1:$A$20000,0),MATCH("Volume",'Semrush Data'!$A$1:$Z$1,0)),""))</f>
        <v/>
      </c>
      <c r="T379" s="22" t="str">
        <f aca="false">IF(O379="","",IFERROR(INDEX('Semrush Data'!$A$1:$Z$20000,MATCH(O379,'Semrush Data'!$A$1:$A$20000,0),MATCH("Volume",'Semrush Data'!$A$1:$Z$1,0)),""))</f>
        <v/>
      </c>
      <c r="U379" s="22" t="str">
        <f aca="false">IF(P379="","",IFERROR(INDEX('Semrush Data'!$A$1:$Z$20000,MATCH(P379,'Semrush Data'!$A$1:$A$20000,0),MATCH("Volume",'Semrush Data'!$A$1:$Z$1,0)),""))</f>
        <v/>
      </c>
      <c r="V379" s="23" t="str">
        <f aca="false">IF(COUNT(Q379:U379)=0,L379,IF(MAX(Q379:U379)=0,L379,INDEX(L379:P379,MATCH(MAX(Q379:U379),Q379:U379,0))))</f>
        <v>gucci guilty pour femme miniature</v>
      </c>
      <c r="W379" s="22" t="n">
        <f aca="false">IFERROR(INDEX('Semrush Data'!$A$1:$Z$20000,MATCH(V379,'Semrush Data'!$A$1:$A$20000,0),MATCH("Volume",'Semrush Data'!$A$1:$Z$1,0)),"")</f>
        <v>0</v>
      </c>
      <c r="X379" s="22" t="n">
        <f aca="false">IFERROR(INDEX('Semrush Data'!$A$1:$Z$20000,MATCH(V379,'Semrush Data'!$A$1:$A$20000,0),MATCH("Keyword Difficulty*",'Semrush Data'!$A$1:$Z$1,0)),"")</f>
        <v>20</v>
      </c>
      <c r="Y379" s="24" t="n">
        <f aca="false">IFERROR(INDEX('Semrush Data'!$A$1:$Z$20000,MATCH(V379,'Semrush Data'!$A$1:$A$20000,0),MATCH("CPC*",'Semrush Data'!$A$1:$Z$1,0)),"")</f>
        <v>0</v>
      </c>
      <c r="Z379" s="21" t="s">
        <v>4654</v>
      </c>
      <c r="AA379" s="21" t="s">
        <v>4655</v>
      </c>
      <c r="AB379" s="21" t="s">
        <v>4656</v>
      </c>
      <c r="AC379" s="21" t="s">
        <v>4657</v>
      </c>
      <c r="AD379" s="25" t="n">
        <f aca="false">LEN(AC379)</f>
        <v>55</v>
      </c>
      <c r="AE379" s="21" t="s">
        <v>4658</v>
      </c>
      <c r="AF379" s="25" t="n">
        <f aca="false">LEN(AE379)</f>
        <v>159</v>
      </c>
    </row>
    <row r="380" customFormat="false" ht="15" hidden="false" customHeight="true" outlineLevel="0" collapsed="false">
      <c r="A380" s="21" t="s">
        <v>56</v>
      </c>
      <c r="B380" s="21" t="s">
        <v>2390</v>
      </c>
      <c r="C380" s="21" t="n">
        <v>220</v>
      </c>
      <c r="D380" s="21" t="s">
        <v>4617</v>
      </c>
      <c r="E380" s="21"/>
      <c r="F380" s="21" t="s">
        <v>2393</v>
      </c>
      <c r="G380" s="21" t="s">
        <v>2394</v>
      </c>
      <c r="H380" s="21" t="s">
        <v>3862</v>
      </c>
      <c r="I380" s="21" t="s">
        <v>57</v>
      </c>
      <c r="J380" s="21" t="s">
        <v>3001</v>
      </c>
      <c r="K380" s="21" t="n">
        <v>73.99</v>
      </c>
      <c r="L380" s="21" t="s">
        <v>4659</v>
      </c>
      <c r="M380" s="21" t="s">
        <v>4660</v>
      </c>
      <c r="N380" s="21" t="s">
        <v>4661</v>
      </c>
      <c r="O380" s="21" t="s">
        <v>4662</v>
      </c>
      <c r="P380" s="21" t="s">
        <v>4663</v>
      </c>
      <c r="Q380" s="22" t="n">
        <f aca="false">IF(L380="","",IFERROR(INDEX('Semrush Data'!$A$1:$Z$20000,MATCH(L380,'Semrush Data'!$A$1:$A$20000,0),MATCH("Volume",'Semrush Data'!$A$1:$Z$1,0)),""))</f>
        <v>6600</v>
      </c>
      <c r="R380" s="22" t="n">
        <f aca="false">IF(M380="","",IFERROR(INDEX('Semrush Data'!$A$1:$Z$20000,MATCH(M380,'Semrush Data'!$A$1:$A$20000,0),MATCH("Volume",'Semrush Data'!$A$1:$Z$1,0)),""))</f>
        <v>20</v>
      </c>
      <c r="S380" s="22" t="str">
        <f aca="false">IF(N380="","",IFERROR(INDEX('Semrush Data'!$A$1:$Z$20000,MATCH(N380,'Semrush Data'!$A$1:$A$20000,0),MATCH("Volume",'Semrush Data'!$A$1:$Z$1,0)),""))</f>
        <v/>
      </c>
      <c r="T380" s="22" t="str">
        <f aca="false">IF(O380="","",IFERROR(INDEX('Semrush Data'!$A$1:$Z$20000,MATCH(O380,'Semrush Data'!$A$1:$A$20000,0),MATCH("Volume",'Semrush Data'!$A$1:$Z$1,0)),""))</f>
        <v/>
      </c>
      <c r="U380" s="22" t="n">
        <f aca="false">IF(P380="","",IFERROR(INDEX('Semrush Data'!$A$1:$Z$20000,MATCH(P380,'Semrush Data'!$A$1:$A$20000,0),MATCH("Volume",'Semrush Data'!$A$1:$Z$1,0)),""))</f>
        <v>110</v>
      </c>
      <c r="V380" s="23" t="str">
        <f aca="false">IF(COUNT(Q380:U380)=0,L380,IF(MAX(Q380:U380)=0,L380,INDEX(L380:P380,MATCH(MAX(Q380:U380),Q380:U380,0))))</f>
        <v>gucci intense oud</v>
      </c>
      <c r="W380" s="22" t="n">
        <f aca="false">IFERROR(INDEX('Semrush Data'!$A$1:$Z$20000,MATCH(V380,'Semrush Data'!$A$1:$A$20000,0),MATCH("Volume",'Semrush Data'!$A$1:$Z$1,0)),"")</f>
        <v>6600</v>
      </c>
      <c r="X380" s="22" t="n">
        <f aca="false">IFERROR(INDEX('Semrush Data'!$A$1:$Z$20000,MATCH(V380,'Semrush Data'!$A$1:$A$20000,0),MATCH("Keyword Difficulty*",'Semrush Data'!$A$1:$Z$1,0)),"")</f>
        <v>21</v>
      </c>
      <c r="Y380" s="24" t="n">
        <f aca="false">IFERROR(INDEX('Semrush Data'!$A$1:$Z$20000,MATCH(V380,'Semrush Data'!$A$1:$A$20000,0),MATCH("CPC*",'Semrush Data'!$A$1:$Z$1,0)),"")</f>
        <v>0.44</v>
      </c>
      <c r="Z380" s="21" t="s">
        <v>4664</v>
      </c>
      <c r="AA380" s="21" t="s">
        <v>4665</v>
      </c>
      <c r="AB380" s="21" t="s">
        <v>4666</v>
      </c>
      <c r="AC380" s="21" t="s">
        <v>4667</v>
      </c>
      <c r="AD380" s="25" t="n">
        <f aca="false">LEN(AC380)</f>
        <v>59</v>
      </c>
      <c r="AE380" s="21" t="s">
        <v>4668</v>
      </c>
      <c r="AF380" s="25" t="n">
        <f aca="false">LEN(AE380)</f>
        <v>155</v>
      </c>
    </row>
    <row r="381" customFormat="false" ht="15" hidden="false" customHeight="true" outlineLevel="0" collapsed="false">
      <c r="A381" s="21" t="s">
        <v>4669</v>
      </c>
      <c r="B381" s="21" t="s">
        <v>2390</v>
      </c>
      <c r="C381" s="21" t="n">
        <v>221</v>
      </c>
      <c r="D381" s="21" t="s">
        <v>4617</v>
      </c>
      <c r="E381" s="21"/>
      <c r="F381" s="21" t="s">
        <v>2393</v>
      </c>
      <c r="G381" s="21" t="s">
        <v>2759</v>
      </c>
      <c r="H381" s="21" t="s">
        <v>2395</v>
      </c>
      <c r="I381" s="21" t="s">
        <v>4670</v>
      </c>
      <c r="J381" s="21" t="s">
        <v>2755</v>
      </c>
      <c r="K381" s="21" t="n">
        <v>18.95</v>
      </c>
      <c r="L381" s="21" t="s">
        <v>4671</v>
      </c>
      <c r="M381" s="21" t="s">
        <v>4672</v>
      </c>
      <c r="N381" s="21" t="s">
        <v>4673</v>
      </c>
      <c r="O381" s="21" t="s">
        <v>4674</v>
      </c>
      <c r="P381" s="21" t="s">
        <v>4675</v>
      </c>
      <c r="Q381" s="22" t="n">
        <f aca="false">IF(L381="","",IFERROR(INDEX('Semrush Data'!$A$1:$Z$20000,MATCH(L381,'Semrush Data'!$A$1:$A$20000,0),MATCH("Volume",'Semrush Data'!$A$1:$Z$1,0)),""))</f>
        <v>0</v>
      </c>
      <c r="R381" s="22" t="str">
        <f aca="false">IF(M381="","",IFERROR(INDEX('Semrush Data'!$A$1:$Z$20000,MATCH(M381,'Semrush Data'!$A$1:$A$20000,0),MATCH("Volume",'Semrush Data'!$A$1:$Z$1,0)),""))</f>
        <v/>
      </c>
      <c r="S381" s="22" t="str">
        <f aca="false">IF(N381="","",IFERROR(INDEX('Semrush Data'!$A$1:$Z$20000,MATCH(N381,'Semrush Data'!$A$1:$A$20000,0),MATCH("Volume",'Semrush Data'!$A$1:$Z$1,0)),""))</f>
        <v/>
      </c>
      <c r="T381" s="22" t="str">
        <f aca="false">IF(O381="","",IFERROR(INDEX('Semrush Data'!$A$1:$Z$20000,MATCH(O381,'Semrush Data'!$A$1:$A$20000,0),MATCH("Volume",'Semrush Data'!$A$1:$Z$1,0)),""))</f>
        <v/>
      </c>
      <c r="U381" s="22" t="str">
        <f aca="false">IF(P381="","",IFERROR(INDEX('Semrush Data'!$A$1:$Z$20000,MATCH(P381,'Semrush Data'!$A$1:$A$20000,0),MATCH("Volume",'Semrush Data'!$A$1:$Z$1,0)),""))</f>
        <v/>
      </c>
      <c r="V381" s="23" t="str">
        <f aca="false">IF(COUNT(Q381:U381)=0,L381,IF(MAX(Q381:U381)=0,L381,INDEX(L381:P381,MATCH(MAX(Q381:U381),Q381:U381,0))))</f>
        <v>gucci bloom miniature</v>
      </c>
      <c r="W381" s="22" t="n">
        <f aca="false">IFERROR(INDEX('Semrush Data'!$A$1:$Z$20000,MATCH(V381,'Semrush Data'!$A$1:$A$20000,0),MATCH("Volume",'Semrush Data'!$A$1:$Z$1,0)),"")</f>
        <v>0</v>
      </c>
      <c r="X381" s="22" t="n">
        <f aca="false">IFERROR(INDEX('Semrush Data'!$A$1:$Z$20000,MATCH(V381,'Semrush Data'!$A$1:$A$20000,0),MATCH("Keyword Difficulty*",'Semrush Data'!$A$1:$Z$1,0)),"")</f>
        <v>11</v>
      </c>
      <c r="Y381" s="24" t="n">
        <f aca="false">IFERROR(INDEX('Semrush Data'!$A$1:$Z$20000,MATCH(V381,'Semrush Data'!$A$1:$A$20000,0),MATCH("CPC*",'Semrush Data'!$A$1:$Z$1,0)),"")</f>
        <v>0</v>
      </c>
      <c r="Z381" s="21" t="s">
        <v>4624</v>
      </c>
      <c r="AA381" s="21" t="s">
        <v>4676</v>
      </c>
      <c r="AB381" s="21" t="s">
        <v>4677</v>
      </c>
      <c r="AC381" s="21" t="s">
        <v>4678</v>
      </c>
      <c r="AD381" s="25" t="n">
        <f aca="false">LEN(AC381)</f>
        <v>57</v>
      </c>
      <c r="AE381" s="21" t="s">
        <v>4679</v>
      </c>
      <c r="AF381" s="25" t="n">
        <f aca="false">LEN(AE381)</f>
        <v>160</v>
      </c>
    </row>
    <row r="382" customFormat="false" ht="15" hidden="false" customHeight="true" outlineLevel="0" collapsed="false">
      <c r="A382" s="21" t="s">
        <v>78</v>
      </c>
      <c r="B382" s="21" t="s">
        <v>2390</v>
      </c>
      <c r="C382" s="21" t="n">
        <v>222</v>
      </c>
      <c r="D382" s="21" t="s">
        <v>4617</v>
      </c>
      <c r="E382" s="21"/>
      <c r="F382" s="21" t="s">
        <v>2393</v>
      </c>
      <c r="G382" s="21" t="s">
        <v>2759</v>
      </c>
      <c r="H382" s="21" t="s">
        <v>2549</v>
      </c>
      <c r="I382" s="21" t="s">
        <v>79</v>
      </c>
      <c r="J382" s="21" t="s">
        <v>3001</v>
      </c>
      <c r="K382" s="21" t="n">
        <v>59.99</v>
      </c>
      <c r="L382" s="21" t="s">
        <v>4680</v>
      </c>
      <c r="M382" s="21" t="s">
        <v>4681</v>
      </c>
      <c r="N382" s="21" t="s">
        <v>4682</v>
      </c>
      <c r="O382" s="21" t="s">
        <v>4683</v>
      </c>
      <c r="P382" s="21" t="s">
        <v>4684</v>
      </c>
      <c r="Q382" s="22" t="n">
        <f aca="false">IF(L382="","",IFERROR(INDEX('Semrush Data'!$A$1:$Z$20000,MATCH(L382,'Semrush Data'!$A$1:$A$20000,0),MATCH("Volume",'Semrush Data'!$A$1:$Z$1,0)),""))</f>
        <v>1600</v>
      </c>
      <c r="R382" s="22" t="n">
        <f aca="false">IF(M382="","",IFERROR(INDEX('Semrush Data'!$A$1:$Z$20000,MATCH(M382,'Semrush Data'!$A$1:$A$20000,0),MATCH("Volume",'Semrush Data'!$A$1:$Z$1,0)),""))</f>
        <v>0</v>
      </c>
      <c r="S382" s="22" t="str">
        <f aca="false">IF(N382="","",IFERROR(INDEX('Semrush Data'!$A$1:$Z$20000,MATCH(N382,'Semrush Data'!$A$1:$A$20000,0),MATCH("Volume",'Semrush Data'!$A$1:$Z$1,0)),""))</f>
        <v/>
      </c>
      <c r="T382" s="22" t="str">
        <f aca="false">IF(O382="","",IFERROR(INDEX('Semrush Data'!$A$1:$Z$20000,MATCH(O382,'Semrush Data'!$A$1:$A$20000,0),MATCH("Volume",'Semrush Data'!$A$1:$Z$1,0)),""))</f>
        <v/>
      </c>
      <c r="U382" s="22" t="n">
        <f aca="false">IF(P382="","",IFERROR(INDEX('Semrush Data'!$A$1:$Z$20000,MATCH(P382,'Semrush Data'!$A$1:$A$20000,0),MATCH("Volume",'Semrush Data'!$A$1:$Z$1,0)),""))</f>
        <v>140</v>
      </c>
      <c r="V382" s="23" t="str">
        <f aca="false">IF(COUNT(Q382:U382)=0,L382,IF(MAX(Q382:U382)=0,L382,INDEX(L382:P382,MATCH(MAX(Q382:U382),Q382:U382,0))))</f>
        <v>gucci guilty pour homme</v>
      </c>
      <c r="W382" s="22" t="n">
        <f aca="false">IFERROR(INDEX('Semrush Data'!$A$1:$Z$20000,MATCH(V382,'Semrush Data'!$A$1:$A$20000,0),MATCH("Volume",'Semrush Data'!$A$1:$Z$1,0)),"")</f>
        <v>1600</v>
      </c>
      <c r="X382" s="22" t="n">
        <f aca="false">IFERROR(INDEX('Semrush Data'!$A$1:$Z$20000,MATCH(V382,'Semrush Data'!$A$1:$A$20000,0),MATCH("Keyword Difficulty*",'Semrush Data'!$A$1:$Z$1,0)),"")</f>
        <v>23</v>
      </c>
      <c r="Y382" s="24" t="n">
        <f aca="false">IFERROR(INDEX('Semrush Data'!$A$1:$Z$20000,MATCH(V382,'Semrush Data'!$A$1:$A$20000,0),MATCH("CPC*",'Semrush Data'!$A$1:$Z$1,0)),"")</f>
        <v>0.42</v>
      </c>
      <c r="Z382" s="21" t="s">
        <v>4685</v>
      </c>
      <c r="AA382" s="21" t="s">
        <v>4686</v>
      </c>
      <c r="AB382" s="21" t="s">
        <v>4687</v>
      </c>
      <c r="AC382" s="21" t="s">
        <v>4688</v>
      </c>
      <c r="AD382" s="25" t="n">
        <f aca="false">LEN(AC382)</f>
        <v>59</v>
      </c>
      <c r="AE382" s="21" t="s">
        <v>4689</v>
      </c>
      <c r="AF382" s="25" t="n">
        <f aca="false">LEN(AE382)</f>
        <v>159</v>
      </c>
    </row>
    <row r="383" customFormat="false" ht="15" hidden="false" customHeight="true" outlineLevel="0" collapsed="false">
      <c r="A383" s="21" t="s">
        <v>4690</v>
      </c>
      <c r="B383" s="21" t="s">
        <v>2390</v>
      </c>
      <c r="C383" s="21" t="n">
        <v>223</v>
      </c>
      <c r="D383" s="21" t="s">
        <v>4617</v>
      </c>
      <c r="E383" s="21"/>
      <c r="F383" s="21" t="s">
        <v>1676</v>
      </c>
      <c r="G383" s="21" t="s">
        <v>2394</v>
      </c>
      <c r="H383" s="21" t="s">
        <v>2457</v>
      </c>
      <c r="I383" s="21" t="s">
        <v>4691</v>
      </c>
      <c r="J383" s="21" t="s">
        <v>1935</v>
      </c>
      <c r="K383" s="21" t="n">
        <v>84.99</v>
      </c>
      <c r="L383" s="21" t="s">
        <v>4692</v>
      </c>
      <c r="M383" s="21" t="s">
        <v>4693</v>
      </c>
      <c r="N383" s="21" t="s">
        <v>4694</v>
      </c>
      <c r="O383" s="21" t="s">
        <v>4695</v>
      </c>
      <c r="P383" s="21"/>
      <c r="Q383" s="22" t="n">
        <f aca="false">IF(L383="","",IFERROR(INDEX('Semrush Data'!$A$1:$Z$20000,MATCH(L383,'Semrush Data'!$A$1:$A$20000,0),MATCH("Volume",'Semrush Data'!$A$1:$Z$1,0)),""))</f>
        <v>260</v>
      </c>
      <c r="R383" s="22" t="n">
        <f aca="false">IF(M383="","",IFERROR(INDEX('Semrush Data'!$A$1:$Z$20000,MATCH(M383,'Semrush Data'!$A$1:$A$20000,0),MATCH("Volume",'Semrush Data'!$A$1:$Z$1,0)),""))</f>
        <v>0</v>
      </c>
      <c r="S383" s="22" t="str">
        <f aca="false">IF(N383="","",IFERROR(INDEX('Semrush Data'!$A$1:$Z$20000,MATCH(N383,'Semrush Data'!$A$1:$A$20000,0),MATCH("Volume",'Semrush Data'!$A$1:$Z$1,0)),""))</f>
        <v/>
      </c>
      <c r="T383" s="22" t="str">
        <f aca="false">IF(O383="","",IFERROR(INDEX('Semrush Data'!$A$1:$Z$20000,MATCH(O383,'Semrush Data'!$A$1:$A$20000,0),MATCH("Volume",'Semrush Data'!$A$1:$Z$1,0)),""))</f>
        <v/>
      </c>
      <c r="U383" s="22" t="str">
        <f aca="false">IF(P383="","",IFERROR(INDEX('Semrush Data'!$A$1:$Z$20000,MATCH(P383,'Semrush Data'!$A$1:$A$20000,0),MATCH("Volume",'Semrush Data'!$A$1:$Z$1,0)),""))</f>
        <v/>
      </c>
      <c r="V383" s="23" t="str">
        <f aca="false">IF(COUNT(Q383:U383)=0,L383,IF(MAX(Q383:U383)=0,L383,INDEX(L383:P383,MATCH(MAX(Q383:U383),Q383:U383,0))))</f>
        <v>gucci bloom gift set</v>
      </c>
      <c r="W383" s="22" t="n">
        <f aca="false">IFERROR(INDEX('Semrush Data'!$A$1:$Z$20000,MATCH(V383,'Semrush Data'!$A$1:$A$20000,0),MATCH("Volume",'Semrush Data'!$A$1:$Z$1,0)),"")</f>
        <v>260</v>
      </c>
      <c r="X383" s="22" t="n">
        <f aca="false">IFERROR(INDEX('Semrush Data'!$A$1:$Z$20000,MATCH(V383,'Semrush Data'!$A$1:$A$20000,0),MATCH("Keyword Difficulty*",'Semrush Data'!$A$1:$Z$1,0)),"")</f>
        <v>18</v>
      </c>
      <c r="Y383" s="24" t="n">
        <f aca="false">IFERROR(INDEX('Semrush Data'!$A$1:$Z$20000,MATCH(V383,'Semrush Data'!$A$1:$A$20000,0),MATCH("CPC*",'Semrush Data'!$A$1:$Z$1,0)),"")</f>
        <v>0.5</v>
      </c>
      <c r="Z383" s="21" t="s">
        <v>4654</v>
      </c>
      <c r="AA383" s="21" t="s">
        <v>4696</v>
      </c>
      <c r="AB383" s="21" t="s">
        <v>4697</v>
      </c>
      <c r="AC383" s="21" t="s">
        <v>4698</v>
      </c>
      <c r="AD383" s="25" t="n">
        <f aca="false">LEN(AC383)</f>
        <v>57</v>
      </c>
      <c r="AE383" s="21" t="s">
        <v>4699</v>
      </c>
      <c r="AF383" s="25" t="n">
        <f aca="false">LEN(AE383)</f>
        <v>155</v>
      </c>
    </row>
    <row r="384" customFormat="false" ht="15" hidden="false" customHeight="true" outlineLevel="0" collapsed="false">
      <c r="A384" s="21" t="s">
        <v>4700</v>
      </c>
      <c r="B384" s="21" t="s">
        <v>2390</v>
      </c>
      <c r="C384" s="21" t="n">
        <v>224</v>
      </c>
      <c r="D384" s="21" t="s">
        <v>4617</v>
      </c>
      <c r="E384" s="21"/>
      <c r="F384" s="21" t="s">
        <v>1676</v>
      </c>
      <c r="G384" s="21" t="s">
        <v>2491</v>
      </c>
      <c r="H384" s="21" t="s">
        <v>2479</v>
      </c>
      <c r="I384" s="21" t="s">
        <v>4701</v>
      </c>
      <c r="J384" s="21" t="s">
        <v>4702</v>
      </c>
      <c r="K384" s="21" t="n">
        <v>44.99</v>
      </c>
      <c r="L384" s="21" t="s">
        <v>4703</v>
      </c>
      <c r="M384" s="21" t="s">
        <v>4704</v>
      </c>
      <c r="N384" s="21" t="s">
        <v>4705</v>
      </c>
      <c r="O384" s="21" t="s">
        <v>4706</v>
      </c>
      <c r="P384" s="21"/>
      <c r="Q384" s="22" t="n">
        <f aca="false">IF(L384="","",IFERROR(INDEX('Semrush Data'!$A$1:$Z$20000,MATCH(L384,'Semrush Data'!$A$1:$A$20000,0),MATCH("Volume",'Semrush Data'!$A$1:$Z$1,0)),""))</f>
        <v>0</v>
      </c>
      <c r="R384" s="22" t="str">
        <f aca="false">IF(M384="","",IFERROR(INDEX('Semrush Data'!$A$1:$Z$20000,MATCH(M384,'Semrush Data'!$A$1:$A$20000,0),MATCH("Volume",'Semrush Data'!$A$1:$Z$1,0)),""))</f>
        <v/>
      </c>
      <c r="S384" s="22" t="str">
        <f aca="false">IF(N384="","",IFERROR(INDEX('Semrush Data'!$A$1:$Z$20000,MATCH(N384,'Semrush Data'!$A$1:$A$20000,0),MATCH("Volume",'Semrush Data'!$A$1:$Z$1,0)),""))</f>
        <v/>
      </c>
      <c r="T384" s="22" t="str">
        <f aca="false">IF(O384="","",IFERROR(INDEX('Semrush Data'!$A$1:$Z$20000,MATCH(O384,'Semrush Data'!$A$1:$A$20000,0),MATCH("Volume",'Semrush Data'!$A$1:$Z$1,0)),""))</f>
        <v/>
      </c>
      <c r="U384" s="22" t="str">
        <f aca="false">IF(P384="","",IFERROR(INDEX('Semrush Data'!$A$1:$Z$20000,MATCH(P384,'Semrush Data'!$A$1:$A$20000,0),MATCH("Volume",'Semrush Data'!$A$1:$Z$1,0)),""))</f>
        <v/>
      </c>
      <c r="V384" s="23" t="str">
        <f aca="false">IF(COUNT(Q384:U384)=0,L384,IF(MAX(Q384:U384)=0,L384,INDEX(L384:P384,MATCH(MAX(Q384:U384),Q384:U384,0))))</f>
        <v>gucci flora gorgeous miniature set</v>
      </c>
      <c r="W384" s="22" t="n">
        <f aca="false">IFERROR(INDEX('Semrush Data'!$A$1:$Z$20000,MATCH(V384,'Semrush Data'!$A$1:$A$20000,0),MATCH("Volume",'Semrush Data'!$A$1:$Z$1,0)),"")</f>
        <v>0</v>
      </c>
      <c r="X384" s="22" t="n">
        <f aca="false">IFERROR(INDEX('Semrush Data'!$A$1:$Z$20000,MATCH(V384,'Semrush Data'!$A$1:$A$20000,0),MATCH("Keyword Difficulty*",'Semrush Data'!$A$1:$Z$1,0)),"")</f>
        <v>17</v>
      </c>
      <c r="Y384" s="24" t="n">
        <f aca="false">IFERROR(INDEX('Semrush Data'!$A$1:$Z$20000,MATCH(V384,'Semrush Data'!$A$1:$A$20000,0),MATCH("CPC*",'Semrush Data'!$A$1:$Z$1,0)),"")</f>
        <v>0</v>
      </c>
      <c r="Z384" s="21" t="s">
        <v>4707</v>
      </c>
      <c r="AA384" s="21" t="s">
        <v>4708</v>
      </c>
      <c r="AB384" s="21" t="s">
        <v>4709</v>
      </c>
      <c r="AC384" s="21" t="s">
        <v>4710</v>
      </c>
      <c r="AD384" s="25" t="n">
        <f aca="false">LEN(AC384)</f>
        <v>56</v>
      </c>
      <c r="AE384" s="21" t="s">
        <v>4711</v>
      </c>
      <c r="AF384" s="25" t="n">
        <f aca="false">LEN(AE384)</f>
        <v>159</v>
      </c>
    </row>
    <row r="385" customFormat="false" ht="15" hidden="false" customHeight="true" outlineLevel="0" collapsed="false">
      <c r="A385" s="21" t="s">
        <v>4712</v>
      </c>
      <c r="B385" s="21" t="s">
        <v>2390</v>
      </c>
      <c r="C385" s="21" t="n">
        <v>225</v>
      </c>
      <c r="D385" s="21" t="s">
        <v>4617</v>
      </c>
      <c r="E385" s="21"/>
      <c r="F385" s="21" t="s">
        <v>1676</v>
      </c>
      <c r="G385" s="21" t="s">
        <v>2394</v>
      </c>
      <c r="H385" s="21" t="s">
        <v>2457</v>
      </c>
      <c r="I385" s="21" t="s">
        <v>4713</v>
      </c>
      <c r="J385" s="21" t="s">
        <v>1409</v>
      </c>
      <c r="K385" s="21" t="n">
        <v>47.99</v>
      </c>
      <c r="L385" s="21" t="s">
        <v>4714</v>
      </c>
      <c r="M385" s="21" t="s">
        <v>4715</v>
      </c>
      <c r="N385" s="21" t="s">
        <v>4716</v>
      </c>
      <c r="O385" s="21" t="s">
        <v>4717</v>
      </c>
      <c r="P385" s="21"/>
      <c r="Q385" s="22" t="n">
        <f aca="false">IF(L385="","",IFERROR(INDEX('Semrush Data'!$A$1:$Z$20000,MATCH(L385,'Semrush Data'!$A$1:$A$20000,0),MATCH("Volume",'Semrush Data'!$A$1:$Z$1,0)),""))</f>
        <v>30</v>
      </c>
      <c r="R385" s="22" t="str">
        <f aca="false">IF(M385="","",IFERROR(INDEX('Semrush Data'!$A$1:$Z$20000,MATCH(M385,'Semrush Data'!$A$1:$A$20000,0),MATCH("Volume",'Semrush Data'!$A$1:$Z$1,0)),""))</f>
        <v/>
      </c>
      <c r="S385" s="22" t="str">
        <f aca="false">IF(N385="","",IFERROR(INDEX('Semrush Data'!$A$1:$Z$20000,MATCH(N385,'Semrush Data'!$A$1:$A$20000,0),MATCH("Volume",'Semrush Data'!$A$1:$Z$1,0)),""))</f>
        <v/>
      </c>
      <c r="T385" s="22" t="str">
        <f aca="false">IF(O385="","",IFERROR(INDEX('Semrush Data'!$A$1:$Z$20000,MATCH(O385,'Semrush Data'!$A$1:$A$20000,0),MATCH("Volume",'Semrush Data'!$A$1:$Z$1,0)),""))</f>
        <v/>
      </c>
      <c r="U385" s="22" t="str">
        <f aca="false">IF(P385="","",IFERROR(INDEX('Semrush Data'!$A$1:$Z$20000,MATCH(P385,'Semrush Data'!$A$1:$A$20000,0),MATCH("Volume",'Semrush Data'!$A$1:$Z$1,0)),""))</f>
        <v/>
      </c>
      <c r="V385" s="23" t="str">
        <f aca="false">IF(COUNT(Q385:U385)=0,L385,IF(MAX(Q385:U385)=0,L385,INDEX(L385:P385,MATCH(MAX(Q385:U385),Q385:U385,0))))</f>
        <v>gucci guilty pour femme gift set</v>
      </c>
      <c r="W385" s="22" t="n">
        <f aca="false">IFERROR(INDEX('Semrush Data'!$A$1:$Z$20000,MATCH(V385,'Semrush Data'!$A$1:$A$20000,0),MATCH("Volume",'Semrush Data'!$A$1:$Z$1,0)),"")</f>
        <v>30</v>
      </c>
      <c r="X385" s="22" t="n">
        <f aca="false">IFERROR(INDEX('Semrush Data'!$A$1:$Z$20000,MATCH(V385,'Semrush Data'!$A$1:$A$20000,0),MATCH("Keyword Difficulty*",'Semrush Data'!$A$1:$Z$1,0)),"")</f>
        <v>12</v>
      </c>
      <c r="Y385" s="24" t="n">
        <f aca="false">IFERROR(INDEX('Semrush Data'!$A$1:$Z$20000,MATCH(V385,'Semrush Data'!$A$1:$A$20000,0),MATCH("CPC*",'Semrush Data'!$A$1:$Z$1,0)),"")</f>
        <v>0.78</v>
      </c>
      <c r="Z385" s="21" t="s">
        <v>4654</v>
      </c>
      <c r="AA385" s="21" t="s">
        <v>4718</v>
      </c>
      <c r="AB385" s="21" t="s">
        <v>4719</v>
      </c>
      <c r="AC385" s="21" t="s">
        <v>4720</v>
      </c>
      <c r="AD385" s="25" t="n">
        <f aca="false">LEN(AC385)</f>
        <v>60</v>
      </c>
      <c r="AE385" s="21" t="s">
        <v>4721</v>
      </c>
      <c r="AF385" s="25" t="n">
        <f aca="false">LEN(AE385)</f>
        <v>160</v>
      </c>
    </row>
    <row r="386" customFormat="false" ht="15" hidden="false" customHeight="true" outlineLevel="0" collapsed="false">
      <c r="A386" s="21" t="s">
        <v>4722</v>
      </c>
      <c r="B386" s="21" t="s">
        <v>2390</v>
      </c>
      <c r="C386" s="21" t="n">
        <v>226</v>
      </c>
      <c r="D386" s="21" t="s">
        <v>4617</v>
      </c>
      <c r="E386" s="21"/>
      <c r="F386" s="21" t="s">
        <v>1676</v>
      </c>
      <c r="G386" s="21" t="s">
        <v>2394</v>
      </c>
      <c r="H386" s="21" t="s">
        <v>2457</v>
      </c>
      <c r="I386" s="21" t="s">
        <v>4723</v>
      </c>
      <c r="J386" s="21" t="s">
        <v>2503</v>
      </c>
      <c r="K386" s="21" t="n">
        <v>39.99</v>
      </c>
      <c r="L386" s="21" t="s">
        <v>4724</v>
      </c>
      <c r="M386" s="21" t="s">
        <v>4725</v>
      </c>
      <c r="N386" s="21" t="s">
        <v>4726</v>
      </c>
      <c r="O386" s="21" t="s">
        <v>4727</v>
      </c>
      <c r="P386" s="21"/>
      <c r="Q386" s="22" t="n">
        <f aca="false">IF(L386="","",IFERROR(INDEX('Semrush Data'!$A$1:$Z$20000,MATCH(L386,'Semrush Data'!$A$1:$A$20000,0),MATCH("Volume",'Semrush Data'!$A$1:$Z$1,0)),""))</f>
        <v>30</v>
      </c>
      <c r="R386" s="22" t="str">
        <f aca="false">IF(M386="","",IFERROR(INDEX('Semrush Data'!$A$1:$Z$20000,MATCH(M386,'Semrush Data'!$A$1:$A$20000,0),MATCH("Volume",'Semrush Data'!$A$1:$Z$1,0)),""))</f>
        <v/>
      </c>
      <c r="S386" s="22" t="str">
        <f aca="false">IF(N386="","",IFERROR(INDEX('Semrush Data'!$A$1:$Z$20000,MATCH(N386,'Semrush Data'!$A$1:$A$20000,0),MATCH("Volume",'Semrush Data'!$A$1:$Z$1,0)),""))</f>
        <v/>
      </c>
      <c r="T386" s="22" t="str">
        <f aca="false">IF(O386="","",IFERROR(INDEX('Semrush Data'!$A$1:$Z$20000,MATCH(O386,'Semrush Data'!$A$1:$A$20000,0),MATCH("Volume",'Semrush Data'!$A$1:$Z$1,0)),""))</f>
        <v/>
      </c>
      <c r="U386" s="22" t="str">
        <f aca="false">IF(P386="","",IFERROR(INDEX('Semrush Data'!$A$1:$Z$20000,MATCH(P386,'Semrush Data'!$A$1:$A$20000,0),MATCH("Volume",'Semrush Data'!$A$1:$Z$1,0)),""))</f>
        <v/>
      </c>
      <c r="V386" s="23" t="str">
        <f aca="false">IF(COUNT(Q386:U386)=0,L386,IF(MAX(Q386:U386)=0,L386,INDEX(L386:P386,MATCH(MAX(Q386:U386),Q386:U386,0))))</f>
        <v>gucci miniature set</v>
      </c>
      <c r="W386" s="22" t="n">
        <f aca="false">IFERROR(INDEX('Semrush Data'!$A$1:$Z$20000,MATCH(V386,'Semrush Data'!$A$1:$A$20000,0),MATCH("Volume",'Semrush Data'!$A$1:$Z$1,0)),"")</f>
        <v>30</v>
      </c>
      <c r="X386" s="22" t="n">
        <f aca="false">IFERROR(INDEX('Semrush Data'!$A$1:$Z$20000,MATCH(V386,'Semrush Data'!$A$1:$A$20000,0),MATCH("Keyword Difficulty*",'Semrush Data'!$A$1:$Z$1,0)),"")</f>
        <v>17</v>
      </c>
      <c r="Y386" s="24" t="n">
        <f aca="false">IFERROR(INDEX('Semrush Data'!$A$1:$Z$20000,MATCH(V386,'Semrush Data'!$A$1:$A$20000,0),MATCH("CPC*",'Semrush Data'!$A$1:$Z$1,0)),"")</f>
        <v>0</v>
      </c>
      <c r="Z386" s="21" t="s">
        <v>4654</v>
      </c>
      <c r="AA386" s="21" t="s">
        <v>4728</v>
      </c>
      <c r="AB386" s="21" t="s">
        <v>4729</v>
      </c>
      <c r="AC386" s="21" t="s">
        <v>4730</v>
      </c>
      <c r="AD386" s="25" t="n">
        <f aca="false">LEN(AC386)</f>
        <v>55</v>
      </c>
      <c r="AE386" s="21" t="s">
        <v>4731</v>
      </c>
      <c r="AF386" s="25" t="n">
        <f aca="false">LEN(AE386)</f>
        <v>155</v>
      </c>
    </row>
    <row r="387" customFormat="false" ht="15" hidden="false" customHeight="true" outlineLevel="0" collapsed="false">
      <c r="A387" s="21" t="s">
        <v>4732</v>
      </c>
      <c r="B387" s="21" t="s">
        <v>2390</v>
      </c>
      <c r="C387" s="21" t="n">
        <v>227</v>
      </c>
      <c r="D387" s="21" t="s">
        <v>4617</v>
      </c>
      <c r="E387" s="21"/>
      <c r="F387" s="21" t="s">
        <v>1676</v>
      </c>
      <c r="G387" s="21" t="s">
        <v>2759</v>
      </c>
      <c r="H387" s="21" t="s">
        <v>2457</v>
      </c>
      <c r="I387" s="21" t="s">
        <v>4733</v>
      </c>
      <c r="J387" s="21" t="s">
        <v>3006</v>
      </c>
      <c r="K387" s="21" t="n">
        <v>37.99</v>
      </c>
      <c r="L387" s="21" t="s">
        <v>4734</v>
      </c>
      <c r="M387" s="21" t="s">
        <v>4735</v>
      </c>
      <c r="N387" s="21" t="s">
        <v>4736</v>
      </c>
      <c r="O387" s="21" t="s">
        <v>4737</v>
      </c>
      <c r="P387" s="21"/>
      <c r="Q387" s="22" t="n">
        <f aca="false">IF(L387="","",IFERROR(INDEX('Semrush Data'!$A$1:$Z$20000,MATCH(L387,'Semrush Data'!$A$1:$A$20000,0),MATCH("Volume",'Semrush Data'!$A$1:$Z$1,0)),""))</f>
        <v>170</v>
      </c>
      <c r="R387" s="22" t="n">
        <f aca="false">IF(M387="","",IFERROR(INDEX('Semrush Data'!$A$1:$Z$20000,MATCH(M387,'Semrush Data'!$A$1:$A$20000,0),MATCH("Volume",'Semrush Data'!$A$1:$Z$1,0)),""))</f>
        <v>0</v>
      </c>
      <c r="S387" s="22" t="str">
        <f aca="false">IF(N387="","",IFERROR(INDEX('Semrush Data'!$A$1:$Z$20000,MATCH(N387,'Semrush Data'!$A$1:$A$20000,0),MATCH("Volume",'Semrush Data'!$A$1:$Z$1,0)),""))</f>
        <v/>
      </c>
      <c r="T387" s="22" t="str">
        <f aca="false">IF(O387="","",IFERROR(INDEX('Semrush Data'!$A$1:$Z$20000,MATCH(O387,'Semrush Data'!$A$1:$A$20000,0),MATCH("Volume",'Semrush Data'!$A$1:$Z$1,0)),""))</f>
        <v/>
      </c>
      <c r="U387" s="22" t="str">
        <f aca="false">IF(P387="","",IFERROR(INDEX('Semrush Data'!$A$1:$Z$20000,MATCH(P387,'Semrush Data'!$A$1:$A$20000,0),MATCH("Volume",'Semrush Data'!$A$1:$Z$1,0)),""))</f>
        <v/>
      </c>
      <c r="V387" s="23" t="str">
        <f aca="false">IF(COUNT(Q387:U387)=0,L387,IF(MAX(Q387:U387)=0,L387,INDEX(L387:P387,MATCH(MAX(Q387:U387),Q387:U387,0))))</f>
        <v>gucci set</v>
      </c>
      <c r="W387" s="22" t="n">
        <f aca="false">IFERROR(INDEX('Semrush Data'!$A$1:$Z$20000,MATCH(V387,'Semrush Data'!$A$1:$A$20000,0),MATCH("Volume",'Semrush Data'!$A$1:$Z$1,0)),"")</f>
        <v>170</v>
      </c>
      <c r="X387" s="22" t="n">
        <f aca="false">IFERROR(INDEX('Semrush Data'!$A$1:$Z$20000,MATCH(V387,'Semrush Data'!$A$1:$A$20000,0),MATCH("Keyword Difficulty*",'Semrush Data'!$A$1:$Z$1,0)),"")</f>
        <v>24</v>
      </c>
      <c r="Y387" s="24" t="n">
        <f aca="false">IFERROR(INDEX('Semrush Data'!$A$1:$Z$20000,MATCH(V387,'Semrush Data'!$A$1:$A$20000,0),MATCH("CPC*",'Semrush Data'!$A$1:$Z$1,0)),"")</f>
        <v>0.53</v>
      </c>
      <c r="Z387" s="21" t="s">
        <v>4654</v>
      </c>
      <c r="AA387" s="21" t="s">
        <v>4738</v>
      </c>
      <c r="AB387" s="21" t="s">
        <v>4739</v>
      </c>
      <c r="AC387" s="21" t="s">
        <v>4740</v>
      </c>
      <c r="AD387" s="25" t="n">
        <f aca="false">LEN(AC387)</f>
        <v>58</v>
      </c>
      <c r="AE387" s="21" t="s">
        <v>4741</v>
      </c>
      <c r="AF387" s="25" t="n">
        <f aca="false">LEN(AE387)</f>
        <v>154</v>
      </c>
    </row>
    <row r="388" customFormat="false" ht="15" hidden="false" customHeight="true" outlineLevel="0" collapsed="false">
      <c r="A388" s="21" t="s">
        <v>4742</v>
      </c>
      <c r="B388" s="21" t="s">
        <v>2390</v>
      </c>
      <c r="C388" s="21" t="n">
        <v>228</v>
      </c>
      <c r="D388" s="21" t="s">
        <v>4617</v>
      </c>
      <c r="E388" s="21"/>
      <c r="F388" s="21" t="s">
        <v>2393</v>
      </c>
      <c r="G388" s="21" t="s">
        <v>2974</v>
      </c>
      <c r="H388" s="21" t="s">
        <v>2395</v>
      </c>
      <c r="I388" s="21" t="s">
        <v>4743</v>
      </c>
      <c r="J388" s="21" t="s">
        <v>2755</v>
      </c>
      <c r="K388" s="21" t="n">
        <v>19.99</v>
      </c>
      <c r="L388" s="21" t="s">
        <v>4744</v>
      </c>
      <c r="M388" s="21" t="s">
        <v>4745</v>
      </c>
      <c r="N388" s="21" t="s">
        <v>4746</v>
      </c>
      <c r="O388" s="21" t="s">
        <v>4747</v>
      </c>
      <c r="P388" s="21" t="s">
        <v>4748</v>
      </c>
      <c r="Q388" s="22" t="n">
        <f aca="false">IF(L388="","",IFERROR(INDEX('Semrush Data'!$A$1:$Z$20000,MATCH(L388,'Semrush Data'!$A$1:$A$20000,0),MATCH("Volume",'Semrush Data'!$A$1:$Z$1,0)),""))</f>
        <v>0</v>
      </c>
      <c r="R388" s="22" t="str">
        <f aca="false">IF(M388="","",IFERROR(INDEX('Semrush Data'!$A$1:$Z$20000,MATCH(M388,'Semrush Data'!$A$1:$A$20000,0),MATCH("Volume",'Semrush Data'!$A$1:$Z$1,0)),""))</f>
        <v/>
      </c>
      <c r="S388" s="22" t="str">
        <f aca="false">IF(N388="","",IFERROR(INDEX('Semrush Data'!$A$1:$Z$20000,MATCH(N388,'Semrush Data'!$A$1:$A$20000,0),MATCH("Volume",'Semrush Data'!$A$1:$Z$1,0)),""))</f>
        <v/>
      </c>
      <c r="T388" s="22" t="str">
        <f aca="false">IF(O388="","",IFERROR(INDEX('Semrush Data'!$A$1:$Z$20000,MATCH(O388,'Semrush Data'!$A$1:$A$20000,0),MATCH("Volume",'Semrush Data'!$A$1:$Z$1,0)),""))</f>
        <v/>
      </c>
      <c r="U388" s="22" t="str">
        <f aca="false">IF(P388="","",IFERROR(INDEX('Semrush Data'!$A$1:$Z$20000,MATCH(P388,'Semrush Data'!$A$1:$A$20000,0),MATCH("Volume",'Semrush Data'!$A$1:$Z$1,0)),""))</f>
        <v/>
      </c>
      <c r="V388" s="23" t="str">
        <f aca="false">IF(COUNT(Q388:U388)=0,L388,IF(MAX(Q388:U388)=0,L388,INDEX(L388:P388,MATCH(MAX(Q388:U388),Q388:U388,0))))</f>
        <v>gucci bloom parfum miniature</v>
      </c>
      <c r="W388" s="22" t="n">
        <f aca="false">IFERROR(INDEX('Semrush Data'!$A$1:$Z$20000,MATCH(V388,'Semrush Data'!$A$1:$A$20000,0),MATCH("Volume",'Semrush Data'!$A$1:$Z$1,0)),"")</f>
        <v>0</v>
      </c>
      <c r="X388" s="22" t="n">
        <f aca="false">IFERROR(INDEX('Semrush Data'!$A$1:$Z$20000,MATCH(V388,'Semrush Data'!$A$1:$A$20000,0),MATCH("Keyword Difficulty*",'Semrush Data'!$A$1:$Z$1,0)),"")</f>
        <v>17</v>
      </c>
      <c r="Y388" s="24" t="n">
        <f aca="false">IFERROR(INDEX('Semrush Data'!$A$1:$Z$20000,MATCH(V388,'Semrush Data'!$A$1:$A$20000,0),MATCH("CPC*",'Semrush Data'!$A$1:$Z$1,0)),"")</f>
        <v>0</v>
      </c>
      <c r="Z388" s="21" t="s">
        <v>4624</v>
      </c>
      <c r="AA388" s="21" t="s">
        <v>4749</v>
      </c>
      <c r="AB388" s="21" t="s">
        <v>4750</v>
      </c>
      <c r="AC388" s="21" t="s">
        <v>4751</v>
      </c>
      <c r="AD388" s="25" t="n">
        <f aca="false">LEN(AC388)</f>
        <v>53</v>
      </c>
      <c r="AE388" s="21" t="s">
        <v>4752</v>
      </c>
      <c r="AF388" s="25" t="n">
        <f aca="false">LEN(AE388)</f>
        <v>148</v>
      </c>
    </row>
    <row r="389" customFormat="false" ht="15" hidden="false" customHeight="true" outlineLevel="0" collapsed="false">
      <c r="A389" s="21" t="s">
        <v>122</v>
      </c>
      <c r="B389" s="21" t="s">
        <v>2390</v>
      </c>
      <c r="C389" s="21" t="n">
        <v>229</v>
      </c>
      <c r="D389" s="21" t="s">
        <v>4753</v>
      </c>
      <c r="E389" s="21"/>
      <c r="F389" s="21" t="s">
        <v>2393</v>
      </c>
      <c r="G389" s="21" t="s">
        <v>2394</v>
      </c>
      <c r="H389" s="21" t="s">
        <v>2549</v>
      </c>
      <c r="I389" s="21" t="s">
        <v>123</v>
      </c>
      <c r="J389" s="21" t="s">
        <v>1935</v>
      </c>
      <c r="K389" s="21" t="n">
        <v>64.99</v>
      </c>
      <c r="L389" s="21" t="s">
        <v>4754</v>
      </c>
      <c r="M389" s="21" t="s">
        <v>4755</v>
      </c>
      <c r="N389" s="21" t="s">
        <v>4756</v>
      </c>
      <c r="O389" s="21" t="s">
        <v>4757</v>
      </c>
      <c r="P389" s="21" t="s">
        <v>4758</v>
      </c>
      <c r="Q389" s="22" t="n">
        <f aca="false">IF(L389="","",IFERROR(INDEX('Semrush Data'!$A$1:$Z$20000,MATCH(L389,'Semrush Data'!$A$1:$A$20000,0),MATCH("Volume",'Semrush Data'!$A$1:$Z$1,0)),""))</f>
        <v>480</v>
      </c>
      <c r="R389" s="22" t="n">
        <f aca="false">IF(M389="","",IFERROR(INDEX('Semrush Data'!$A$1:$Z$20000,MATCH(M389,'Semrush Data'!$A$1:$A$20000,0),MATCH("Volume",'Semrush Data'!$A$1:$Z$1,0)),""))</f>
        <v>0</v>
      </c>
      <c r="S389" s="22" t="str">
        <f aca="false">IF(N389="","",IFERROR(INDEX('Semrush Data'!$A$1:$Z$20000,MATCH(N389,'Semrush Data'!$A$1:$A$20000,0),MATCH("Volume",'Semrush Data'!$A$1:$Z$1,0)),""))</f>
        <v/>
      </c>
      <c r="T389" s="22" t="str">
        <f aca="false">IF(O389="","",IFERROR(INDEX('Semrush Data'!$A$1:$Z$20000,MATCH(O389,'Semrush Data'!$A$1:$A$20000,0),MATCH("Volume",'Semrush Data'!$A$1:$Z$1,0)),""))</f>
        <v/>
      </c>
      <c r="U389" s="22" t="n">
        <f aca="false">IF(P389="","",IFERROR(INDEX('Semrush Data'!$A$1:$Z$20000,MATCH(P389,'Semrush Data'!$A$1:$A$20000,0),MATCH("Volume",'Semrush Data'!$A$1:$Z$1,0)),""))</f>
        <v>40</v>
      </c>
      <c r="V389" s="23" t="str">
        <f aca="false">IF(COUNT(Q389:U389)=0,L389,IF(MAX(Q389:U389)=0,L389,INDEX(L389:P389,MATCH(MAX(Q389:U389),Q389:U389,0))))</f>
        <v>guerlain habit rouge</v>
      </c>
      <c r="W389" s="22" t="n">
        <f aca="false">IFERROR(INDEX('Semrush Data'!$A$1:$Z$20000,MATCH(V389,'Semrush Data'!$A$1:$A$20000,0),MATCH("Volume",'Semrush Data'!$A$1:$Z$1,0)),"")</f>
        <v>480</v>
      </c>
      <c r="X389" s="22" t="n">
        <f aca="false">IFERROR(INDEX('Semrush Data'!$A$1:$Z$20000,MATCH(V389,'Semrush Data'!$A$1:$A$20000,0),MATCH("Keyword Difficulty*",'Semrush Data'!$A$1:$Z$1,0)),"")</f>
        <v>23</v>
      </c>
      <c r="Y389" s="24" t="n">
        <f aca="false">IFERROR(INDEX('Semrush Data'!$A$1:$Z$20000,MATCH(V389,'Semrush Data'!$A$1:$A$20000,0),MATCH("CPC*",'Semrush Data'!$A$1:$Z$1,0)),"")</f>
        <v>0.9</v>
      </c>
      <c r="Z389" s="21" t="s">
        <v>4759</v>
      </c>
      <c r="AA389" s="21" t="s">
        <v>4760</v>
      </c>
      <c r="AB389" s="21" t="s">
        <v>4761</v>
      </c>
      <c r="AC389" s="21" t="s">
        <v>4762</v>
      </c>
      <c r="AD389" s="25" t="n">
        <f aca="false">LEN(AC389)</f>
        <v>57</v>
      </c>
      <c r="AE389" s="21" t="s">
        <v>4763</v>
      </c>
      <c r="AF389" s="25" t="n">
        <f aca="false">LEN(AE389)</f>
        <v>153</v>
      </c>
    </row>
    <row r="390" customFormat="false" ht="15" hidden="false" customHeight="true" outlineLevel="0" collapsed="false">
      <c r="A390" s="21" t="s">
        <v>4764</v>
      </c>
      <c r="B390" s="21" t="s">
        <v>2390</v>
      </c>
      <c r="C390" s="21" t="n">
        <v>230</v>
      </c>
      <c r="D390" s="21" t="s">
        <v>4753</v>
      </c>
      <c r="E390" s="21"/>
      <c r="F390" s="21" t="s">
        <v>2393</v>
      </c>
      <c r="G390" s="21" t="s">
        <v>2394</v>
      </c>
      <c r="H390" s="21" t="s">
        <v>2395</v>
      </c>
      <c r="I390" s="21" t="s">
        <v>4765</v>
      </c>
      <c r="J390" s="21" t="s">
        <v>2435</v>
      </c>
      <c r="K390" s="21" t="n">
        <v>64.99</v>
      </c>
      <c r="L390" s="21" t="s">
        <v>4766</v>
      </c>
      <c r="M390" s="21" t="s">
        <v>4767</v>
      </c>
      <c r="N390" s="21" t="s">
        <v>4768</v>
      </c>
      <c r="O390" s="21" t="s">
        <v>4769</v>
      </c>
      <c r="P390" s="21" t="s">
        <v>4770</v>
      </c>
      <c r="Q390" s="22" t="n">
        <f aca="false">IF(L390="","",IFERROR(INDEX('Semrush Data'!$A$1:$Z$20000,MATCH(L390,'Semrush Data'!$A$1:$A$20000,0),MATCH("Volume",'Semrush Data'!$A$1:$Z$1,0)),""))</f>
        <v>10</v>
      </c>
      <c r="R390" s="22" t="str">
        <f aca="false">IF(M390="","",IFERROR(INDEX('Semrush Data'!$A$1:$Z$20000,MATCH(M390,'Semrush Data'!$A$1:$A$20000,0),MATCH("Volume",'Semrush Data'!$A$1:$Z$1,0)),""))</f>
        <v/>
      </c>
      <c r="S390" s="22" t="str">
        <f aca="false">IF(N390="","",IFERROR(INDEX('Semrush Data'!$A$1:$Z$20000,MATCH(N390,'Semrush Data'!$A$1:$A$20000,0),MATCH("Volume",'Semrush Data'!$A$1:$Z$1,0)),""))</f>
        <v/>
      </c>
      <c r="T390" s="22" t="str">
        <f aca="false">IF(O390="","",IFERROR(INDEX('Semrush Data'!$A$1:$Z$20000,MATCH(O390,'Semrush Data'!$A$1:$A$20000,0),MATCH("Volume",'Semrush Data'!$A$1:$Z$1,0)),""))</f>
        <v/>
      </c>
      <c r="U390" s="22" t="str">
        <f aca="false">IF(P390="","",IFERROR(INDEX('Semrush Data'!$A$1:$Z$20000,MATCH(P390,'Semrush Data'!$A$1:$A$20000,0),MATCH("Volume",'Semrush Data'!$A$1:$Z$1,0)),""))</f>
        <v/>
      </c>
      <c r="V390" s="23" t="str">
        <f aca="false">IF(COUNT(Q390:U390)=0,L390,IF(MAX(Q390:U390)=0,L390,INDEX(L390:P390,MATCH(MAX(Q390:U390),Q390:U390,0))))</f>
        <v>guerlain l'instant de guerlain</v>
      </c>
      <c r="W390" s="22" t="n">
        <f aca="false">IFERROR(INDEX('Semrush Data'!$A$1:$Z$20000,MATCH(V390,'Semrush Data'!$A$1:$A$20000,0),MATCH("Volume",'Semrush Data'!$A$1:$Z$1,0)),"")</f>
        <v>10</v>
      </c>
      <c r="X390" s="22" t="n">
        <f aca="false">IFERROR(INDEX('Semrush Data'!$A$1:$Z$20000,MATCH(V390,'Semrush Data'!$A$1:$A$20000,0),MATCH("Keyword Difficulty*",'Semrush Data'!$A$1:$Z$1,0)),"")</f>
        <v>13</v>
      </c>
      <c r="Y390" s="24" t="n">
        <f aca="false">IFERROR(INDEX('Semrush Data'!$A$1:$Z$20000,MATCH(V390,'Semrush Data'!$A$1:$A$20000,0),MATCH("CPC*",'Semrush Data'!$A$1:$Z$1,0)),"")</f>
        <v>0.84</v>
      </c>
      <c r="Z390" s="21" t="s">
        <v>4771</v>
      </c>
      <c r="AA390" s="21" t="s">
        <v>4772</v>
      </c>
      <c r="AB390" s="21" t="s">
        <v>4773</v>
      </c>
      <c r="AC390" s="21" t="s">
        <v>4774</v>
      </c>
      <c r="AD390" s="25" t="n">
        <f aca="false">LEN(AC390)</f>
        <v>58</v>
      </c>
      <c r="AE390" s="21" t="s">
        <v>4775</v>
      </c>
      <c r="AF390" s="25" t="n">
        <f aca="false">LEN(AE390)</f>
        <v>159</v>
      </c>
    </row>
    <row r="391" customFormat="false" ht="15" hidden="false" customHeight="true" outlineLevel="0" collapsed="false">
      <c r="A391" s="21" t="s">
        <v>4776</v>
      </c>
      <c r="B391" s="21" t="s">
        <v>2390</v>
      </c>
      <c r="C391" s="21" t="n">
        <v>231</v>
      </c>
      <c r="D391" s="21" t="s">
        <v>4753</v>
      </c>
      <c r="E391" s="21"/>
      <c r="F391" s="21" t="s">
        <v>2393</v>
      </c>
      <c r="G391" s="21" t="s">
        <v>2394</v>
      </c>
      <c r="H391" s="21" t="s">
        <v>2524</v>
      </c>
      <c r="I391" s="21" t="s">
        <v>4777</v>
      </c>
      <c r="J391" s="21" t="s">
        <v>2774</v>
      </c>
      <c r="K391" s="21" t="n">
        <v>74.99</v>
      </c>
      <c r="L391" s="21" t="s">
        <v>4778</v>
      </c>
      <c r="M391" s="21" t="s">
        <v>4779</v>
      </c>
      <c r="N391" s="21" t="s">
        <v>4780</v>
      </c>
      <c r="O391" s="21" t="s">
        <v>4781</v>
      </c>
      <c r="P391" s="21" t="s">
        <v>4782</v>
      </c>
      <c r="Q391" s="22" t="n">
        <f aca="false">IF(L391="","",IFERROR(INDEX('Semrush Data'!$A$1:$Z$20000,MATCH(L391,'Semrush Data'!$A$1:$A$20000,0),MATCH("Volume",'Semrush Data'!$A$1:$Z$1,0)),""))</f>
        <v>30</v>
      </c>
      <c r="R391" s="22" t="str">
        <f aca="false">IF(M391="","",IFERROR(INDEX('Semrush Data'!$A$1:$Z$20000,MATCH(M391,'Semrush Data'!$A$1:$A$20000,0),MATCH("Volume",'Semrush Data'!$A$1:$Z$1,0)),""))</f>
        <v/>
      </c>
      <c r="S391" s="22" t="str">
        <f aca="false">IF(N391="","",IFERROR(INDEX('Semrush Data'!$A$1:$Z$20000,MATCH(N391,'Semrush Data'!$A$1:$A$20000,0),MATCH("Volume",'Semrush Data'!$A$1:$Z$1,0)),""))</f>
        <v/>
      </c>
      <c r="T391" s="22" t="str">
        <f aca="false">IF(O391="","",IFERROR(INDEX('Semrush Data'!$A$1:$Z$20000,MATCH(O391,'Semrush Data'!$A$1:$A$20000,0),MATCH("Volume",'Semrush Data'!$A$1:$Z$1,0)),""))</f>
        <v/>
      </c>
      <c r="U391" s="22" t="str">
        <f aca="false">IF(P391="","",IFERROR(INDEX('Semrush Data'!$A$1:$Z$20000,MATCH(P391,'Semrush Data'!$A$1:$A$20000,0),MATCH("Volume",'Semrush Data'!$A$1:$Z$1,0)),""))</f>
        <v/>
      </c>
      <c r="V391" s="23" t="str">
        <f aca="false">IF(COUNT(Q391:U391)=0,L391,IF(MAX(Q391:U391)=0,L391,INDEX(L391:P391,MATCH(MAX(Q391:U391),Q391:U391,0))))</f>
        <v>guerlain musc noble</v>
      </c>
      <c r="W391" s="22" t="n">
        <f aca="false">IFERROR(INDEX('Semrush Data'!$A$1:$Z$20000,MATCH(V391,'Semrush Data'!$A$1:$A$20000,0),MATCH("Volume",'Semrush Data'!$A$1:$Z$1,0)),"")</f>
        <v>30</v>
      </c>
      <c r="X391" s="22" t="n">
        <f aca="false">IFERROR(INDEX('Semrush Data'!$A$1:$Z$20000,MATCH(V391,'Semrush Data'!$A$1:$A$20000,0),MATCH("Keyword Difficulty*",'Semrush Data'!$A$1:$Z$1,0)),"")</f>
        <v>16</v>
      </c>
      <c r="Y391" s="24" t="n">
        <f aca="false">IFERROR(INDEX('Semrush Data'!$A$1:$Z$20000,MATCH(V391,'Semrush Data'!$A$1:$A$20000,0),MATCH("CPC*",'Semrush Data'!$A$1:$Z$1,0)),"")</f>
        <v>0.58</v>
      </c>
      <c r="Z391" s="21" t="s">
        <v>4783</v>
      </c>
      <c r="AA391" s="21" t="s">
        <v>4784</v>
      </c>
      <c r="AB391" s="21" t="s">
        <v>4785</v>
      </c>
      <c r="AC391" s="21" t="s">
        <v>4786</v>
      </c>
      <c r="AD391" s="25" t="n">
        <f aca="false">LEN(AC391)</f>
        <v>60</v>
      </c>
      <c r="AE391" s="21" t="s">
        <v>4787</v>
      </c>
      <c r="AF391" s="25" t="n">
        <f aca="false">LEN(AE391)</f>
        <v>153</v>
      </c>
    </row>
    <row r="392" customFormat="false" ht="15" hidden="false" customHeight="true" outlineLevel="0" collapsed="false">
      <c r="A392" s="21" t="s">
        <v>110</v>
      </c>
      <c r="B392" s="21" t="s">
        <v>2390</v>
      </c>
      <c r="C392" s="21" t="n">
        <v>232</v>
      </c>
      <c r="D392" s="21" t="s">
        <v>4753</v>
      </c>
      <c r="E392" s="21"/>
      <c r="F392" s="21" t="s">
        <v>2393</v>
      </c>
      <c r="G392" s="21" t="s">
        <v>2394</v>
      </c>
      <c r="H392" s="21" t="s">
        <v>2524</v>
      </c>
      <c r="I392" s="21" t="s">
        <v>111</v>
      </c>
      <c r="J392" s="21" t="s">
        <v>2774</v>
      </c>
      <c r="K392" s="21" t="n">
        <v>94.99</v>
      </c>
      <c r="L392" s="21" t="s">
        <v>4788</v>
      </c>
      <c r="M392" s="21" t="s">
        <v>4789</v>
      </c>
      <c r="N392" s="21" t="s">
        <v>4790</v>
      </c>
      <c r="O392" s="21" t="s">
        <v>4791</v>
      </c>
      <c r="P392" s="21" t="s">
        <v>4792</v>
      </c>
      <c r="Q392" s="22" t="n">
        <f aca="false">IF(L392="","",IFERROR(INDEX('Semrush Data'!$A$1:$Z$20000,MATCH(L392,'Semrush Data'!$A$1:$A$20000,0),MATCH("Volume",'Semrush Data'!$A$1:$Z$1,0)),""))</f>
        <v>590</v>
      </c>
      <c r="R392" s="22" t="n">
        <f aca="false">IF(M392="","",IFERROR(INDEX('Semrush Data'!$A$1:$Z$20000,MATCH(M392,'Semrush Data'!$A$1:$A$20000,0),MATCH("Volume",'Semrush Data'!$A$1:$Z$1,0)),""))</f>
        <v>20</v>
      </c>
      <c r="S392" s="22" t="str">
        <f aca="false">IF(N392="","",IFERROR(INDEX('Semrush Data'!$A$1:$Z$20000,MATCH(N392,'Semrush Data'!$A$1:$A$20000,0),MATCH("Volume",'Semrush Data'!$A$1:$Z$1,0)),""))</f>
        <v/>
      </c>
      <c r="T392" s="22" t="str">
        <f aca="false">IF(O392="","",IFERROR(INDEX('Semrush Data'!$A$1:$Z$20000,MATCH(O392,'Semrush Data'!$A$1:$A$20000,0),MATCH("Volume",'Semrush Data'!$A$1:$Z$1,0)),""))</f>
        <v/>
      </c>
      <c r="U392" s="22" t="n">
        <f aca="false">IF(P392="","",IFERROR(INDEX('Semrush Data'!$A$1:$Z$20000,MATCH(P392,'Semrush Data'!$A$1:$A$20000,0),MATCH("Volume",'Semrush Data'!$A$1:$Z$1,0)),""))</f>
        <v>20</v>
      </c>
      <c r="V392" s="23" t="str">
        <f aca="false">IF(COUNT(Q392:U392)=0,L392,IF(MAX(Q392:U392)=0,L392,INDEX(L392:P392,MATCH(MAX(Q392:U392),Q392:U392,0))))</f>
        <v>guerlain oud essentiel</v>
      </c>
      <c r="W392" s="22" t="n">
        <f aca="false">IFERROR(INDEX('Semrush Data'!$A$1:$Z$20000,MATCH(V392,'Semrush Data'!$A$1:$A$20000,0),MATCH("Volume",'Semrush Data'!$A$1:$Z$1,0)),"")</f>
        <v>590</v>
      </c>
      <c r="X392" s="22" t="n">
        <f aca="false">IFERROR(INDEX('Semrush Data'!$A$1:$Z$20000,MATCH(V392,'Semrush Data'!$A$1:$A$20000,0),MATCH("Keyword Difficulty*",'Semrush Data'!$A$1:$Z$1,0)),"")</f>
        <v>19</v>
      </c>
      <c r="Y392" s="24" t="n">
        <f aca="false">IFERROR(INDEX('Semrush Data'!$A$1:$Z$20000,MATCH(V392,'Semrush Data'!$A$1:$A$20000,0),MATCH("CPC*",'Semrush Data'!$A$1:$Z$1,0)),"")</f>
        <v>0.68</v>
      </c>
      <c r="Z392" s="21" t="s">
        <v>4783</v>
      </c>
      <c r="AA392" s="21" t="s">
        <v>4793</v>
      </c>
      <c r="AB392" s="21" t="s">
        <v>4794</v>
      </c>
      <c r="AC392" s="21" t="s">
        <v>4795</v>
      </c>
      <c r="AD392" s="25" t="n">
        <f aca="false">LEN(AC392)</f>
        <v>59</v>
      </c>
      <c r="AE392" s="21" t="s">
        <v>4796</v>
      </c>
      <c r="AF392" s="25" t="n">
        <f aca="false">LEN(AE392)</f>
        <v>156</v>
      </c>
    </row>
    <row r="393" customFormat="false" ht="15" hidden="false" customHeight="true" outlineLevel="0" collapsed="false">
      <c r="A393" s="21" t="s">
        <v>124</v>
      </c>
      <c r="B393" s="21" t="s">
        <v>2390</v>
      </c>
      <c r="C393" s="21" t="n">
        <v>233</v>
      </c>
      <c r="D393" s="21" t="s">
        <v>4753</v>
      </c>
      <c r="E393" s="21"/>
      <c r="F393" s="21" t="s">
        <v>2393</v>
      </c>
      <c r="G393" s="21" t="s">
        <v>2394</v>
      </c>
      <c r="H393" s="21" t="s">
        <v>2395</v>
      </c>
      <c r="I393" s="21" t="s">
        <v>125</v>
      </c>
      <c r="J393" s="21" t="s">
        <v>2435</v>
      </c>
      <c r="K393" s="21" t="n">
        <v>69.99</v>
      </c>
      <c r="L393" s="21" t="s">
        <v>4797</v>
      </c>
      <c r="M393" s="21" t="s">
        <v>4798</v>
      </c>
      <c r="N393" s="21" t="s">
        <v>4799</v>
      </c>
      <c r="O393" s="21" t="s">
        <v>4800</v>
      </c>
      <c r="P393" s="21" t="s">
        <v>4801</v>
      </c>
      <c r="Q393" s="22" t="n">
        <f aca="false">IF(L393="","",IFERROR(INDEX('Semrush Data'!$A$1:$Z$20000,MATCH(L393,'Semrush Data'!$A$1:$A$20000,0),MATCH("Volume",'Semrush Data'!$A$1:$Z$1,0)),""))</f>
        <v>480</v>
      </c>
      <c r="R393" s="22" t="n">
        <f aca="false">IF(M393="","",IFERROR(INDEX('Semrush Data'!$A$1:$Z$20000,MATCH(M393,'Semrush Data'!$A$1:$A$20000,0),MATCH("Volume",'Semrush Data'!$A$1:$Z$1,0)),""))</f>
        <v>0</v>
      </c>
      <c r="S393" s="22" t="str">
        <f aca="false">IF(N393="","",IFERROR(INDEX('Semrush Data'!$A$1:$Z$20000,MATCH(N393,'Semrush Data'!$A$1:$A$20000,0),MATCH("Volume",'Semrush Data'!$A$1:$Z$1,0)),""))</f>
        <v/>
      </c>
      <c r="T393" s="22" t="str">
        <f aca="false">IF(O393="","",IFERROR(INDEX('Semrush Data'!$A$1:$Z$20000,MATCH(O393,'Semrush Data'!$A$1:$A$20000,0),MATCH("Volume",'Semrush Data'!$A$1:$Z$1,0)),""))</f>
        <v/>
      </c>
      <c r="U393" s="22" t="n">
        <f aca="false">IF(P393="","",IFERROR(INDEX('Semrush Data'!$A$1:$Z$20000,MATCH(P393,'Semrush Data'!$A$1:$A$20000,0),MATCH("Volume",'Semrush Data'!$A$1:$Z$1,0)),""))</f>
        <v>70</v>
      </c>
      <c r="V393" s="23" t="str">
        <f aca="false">IF(COUNT(Q393:U393)=0,L393,IF(MAX(Q393:U393)=0,L393,INDEX(L393:P393,MATCH(MAX(Q393:U393),Q393:U393,0))))</f>
        <v>guerlain samsara</v>
      </c>
      <c r="W393" s="22" t="n">
        <f aca="false">IFERROR(INDEX('Semrush Data'!$A$1:$Z$20000,MATCH(V393,'Semrush Data'!$A$1:$A$20000,0),MATCH("Volume",'Semrush Data'!$A$1:$Z$1,0)),"")</f>
        <v>480</v>
      </c>
      <c r="X393" s="22" t="n">
        <f aca="false">IFERROR(INDEX('Semrush Data'!$A$1:$Z$20000,MATCH(V393,'Semrush Data'!$A$1:$A$20000,0),MATCH("Keyword Difficulty*",'Semrush Data'!$A$1:$Z$1,0)),"")</f>
        <v>28</v>
      </c>
      <c r="Y393" s="24" t="n">
        <f aca="false">IFERROR(INDEX('Semrush Data'!$A$1:$Z$20000,MATCH(V393,'Semrush Data'!$A$1:$A$20000,0),MATCH("CPC*",'Semrush Data'!$A$1:$Z$1,0)),"")</f>
        <v>0.68</v>
      </c>
      <c r="Z393" s="21" t="s">
        <v>4771</v>
      </c>
      <c r="AA393" s="21" t="s">
        <v>4802</v>
      </c>
      <c r="AB393" s="21" t="s">
        <v>4803</v>
      </c>
      <c r="AC393" s="21" t="s">
        <v>4804</v>
      </c>
      <c r="AD393" s="25" t="n">
        <f aca="false">LEN(AC393)</f>
        <v>57</v>
      </c>
      <c r="AE393" s="21" t="s">
        <v>4805</v>
      </c>
      <c r="AF393" s="25" t="n">
        <f aca="false">LEN(AE393)</f>
        <v>151</v>
      </c>
    </row>
    <row r="394" customFormat="false" ht="15" hidden="false" customHeight="true" outlineLevel="0" collapsed="false">
      <c r="A394" s="21" t="s">
        <v>4806</v>
      </c>
      <c r="B394" s="21" t="s">
        <v>2390</v>
      </c>
      <c r="C394" s="21" t="n">
        <v>234</v>
      </c>
      <c r="D394" s="21" t="s">
        <v>4753</v>
      </c>
      <c r="E394" s="21"/>
      <c r="F394" s="21" t="s">
        <v>2393</v>
      </c>
      <c r="G394" s="21" t="s">
        <v>2394</v>
      </c>
      <c r="H394" s="21" t="s">
        <v>2524</v>
      </c>
      <c r="I394" s="21" t="s">
        <v>4807</v>
      </c>
      <c r="J394" s="21" t="s">
        <v>2774</v>
      </c>
      <c r="K394" s="21" t="n">
        <v>86.99</v>
      </c>
      <c r="L394" s="21" t="s">
        <v>4808</v>
      </c>
      <c r="M394" s="21" t="s">
        <v>4809</v>
      </c>
      <c r="N394" s="21" t="s">
        <v>4810</v>
      </c>
      <c r="O394" s="21" t="s">
        <v>4811</v>
      </c>
      <c r="P394" s="21" t="s">
        <v>4812</v>
      </c>
      <c r="Q394" s="22" t="n">
        <f aca="false">IF(L394="","",IFERROR(INDEX('Semrush Data'!$A$1:$Z$20000,MATCH(L394,'Semrush Data'!$A$1:$A$20000,0),MATCH("Volume",'Semrush Data'!$A$1:$Z$1,0)),""))</f>
        <v>90</v>
      </c>
      <c r="R394" s="22" t="n">
        <f aca="false">IF(M394="","",IFERROR(INDEX('Semrush Data'!$A$1:$Z$20000,MATCH(M394,'Semrush Data'!$A$1:$A$20000,0),MATCH("Volume",'Semrush Data'!$A$1:$Z$1,0)),""))</f>
        <v>0</v>
      </c>
      <c r="S394" s="22" t="str">
        <f aca="false">IF(N394="","",IFERROR(INDEX('Semrush Data'!$A$1:$Z$20000,MATCH(N394,'Semrush Data'!$A$1:$A$20000,0),MATCH("Volume",'Semrush Data'!$A$1:$Z$1,0)),""))</f>
        <v/>
      </c>
      <c r="T394" s="22" t="str">
        <f aca="false">IF(O394="","",IFERROR(INDEX('Semrush Data'!$A$1:$Z$20000,MATCH(O394,'Semrush Data'!$A$1:$A$20000,0),MATCH("Volume",'Semrush Data'!$A$1:$Z$1,0)),""))</f>
        <v/>
      </c>
      <c r="U394" s="22" t="n">
        <f aca="false">IF(P394="","",IFERROR(INDEX('Semrush Data'!$A$1:$Z$20000,MATCH(P394,'Semrush Data'!$A$1:$A$20000,0),MATCH("Volume",'Semrush Data'!$A$1:$Z$1,0)),""))</f>
        <v>20</v>
      </c>
      <c r="V394" s="23" t="str">
        <f aca="false">IF(COUNT(Q394:U394)=0,L394,IF(MAX(Q394:U394)=0,L394,INDEX(L394:P394,MATCH(MAX(Q394:U394),Q394:U394,0))))</f>
        <v>guerlain epices exquises</v>
      </c>
      <c r="W394" s="22" t="n">
        <f aca="false">IFERROR(INDEX('Semrush Data'!$A$1:$Z$20000,MATCH(V394,'Semrush Data'!$A$1:$A$20000,0),MATCH("Volume",'Semrush Data'!$A$1:$Z$1,0)),"")</f>
        <v>90</v>
      </c>
      <c r="X394" s="22" t="n">
        <f aca="false">IFERROR(INDEX('Semrush Data'!$A$1:$Z$20000,MATCH(V394,'Semrush Data'!$A$1:$A$20000,0),MATCH("Keyword Difficulty*",'Semrush Data'!$A$1:$Z$1,0)),"")</f>
        <v>20</v>
      </c>
      <c r="Y394" s="24" t="n">
        <f aca="false">IFERROR(INDEX('Semrush Data'!$A$1:$Z$20000,MATCH(V394,'Semrush Data'!$A$1:$A$20000,0),MATCH("CPC*",'Semrush Data'!$A$1:$Z$1,0)),"")</f>
        <v>0.78</v>
      </c>
      <c r="Z394" s="21" t="s">
        <v>4783</v>
      </c>
      <c r="AA394" s="21" t="s">
        <v>4813</v>
      </c>
      <c r="AB394" s="21" t="s">
        <v>4814</v>
      </c>
      <c r="AC394" s="21" t="s">
        <v>4815</v>
      </c>
      <c r="AD394" s="25" t="n">
        <f aca="false">LEN(AC394)</f>
        <v>52</v>
      </c>
      <c r="AE394" s="21" t="s">
        <v>4816</v>
      </c>
      <c r="AF394" s="25" t="n">
        <f aca="false">LEN(AE394)</f>
        <v>158</v>
      </c>
    </row>
    <row r="395" customFormat="false" ht="15" hidden="false" customHeight="true" outlineLevel="0" collapsed="false">
      <c r="A395" s="21" t="s">
        <v>4817</v>
      </c>
      <c r="B395" s="21" t="s">
        <v>2390</v>
      </c>
      <c r="C395" s="21" t="n">
        <v>235</v>
      </c>
      <c r="D395" s="21" t="s">
        <v>4753</v>
      </c>
      <c r="E395" s="21"/>
      <c r="F395" s="21" t="s">
        <v>2393</v>
      </c>
      <c r="G395" s="21" t="s">
        <v>2759</v>
      </c>
      <c r="H395" s="21" t="s">
        <v>2395</v>
      </c>
      <c r="I395" s="21" t="s">
        <v>4818</v>
      </c>
      <c r="J395" s="21" t="s">
        <v>1935</v>
      </c>
      <c r="K395" s="21" t="n">
        <v>49.99</v>
      </c>
      <c r="L395" s="21" t="s">
        <v>4819</v>
      </c>
      <c r="M395" s="21" t="s">
        <v>4820</v>
      </c>
      <c r="N395" s="21" t="s">
        <v>4821</v>
      </c>
      <c r="O395" s="21" t="s">
        <v>4822</v>
      </c>
      <c r="P395" s="21" t="s">
        <v>4823</v>
      </c>
      <c r="Q395" s="22" t="n">
        <f aca="false">IF(L395="","",IFERROR(INDEX('Semrush Data'!$A$1:$Z$20000,MATCH(L395,'Semrush Data'!$A$1:$A$20000,0),MATCH("Volume",'Semrush Data'!$A$1:$Z$1,0)),""))</f>
        <v>0</v>
      </c>
      <c r="R395" s="22" t="str">
        <f aca="false">IF(M395="","",IFERROR(INDEX('Semrush Data'!$A$1:$Z$20000,MATCH(M395,'Semrush Data'!$A$1:$A$20000,0),MATCH("Volume",'Semrush Data'!$A$1:$Z$1,0)),""))</f>
        <v/>
      </c>
      <c r="S395" s="22" t="str">
        <f aca="false">IF(N395="","",IFERROR(INDEX('Semrush Data'!$A$1:$Z$20000,MATCH(N395,'Semrush Data'!$A$1:$A$20000,0),MATCH("Volume",'Semrush Data'!$A$1:$Z$1,0)),""))</f>
        <v/>
      </c>
      <c r="T395" s="22" t="str">
        <f aca="false">IF(O395="","",IFERROR(INDEX('Semrush Data'!$A$1:$Z$20000,MATCH(O395,'Semrush Data'!$A$1:$A$20000,0),MATCH("Volume",'Semrush Data'!$A$1:$Z$1,0)),""))</f>
        <v/>
      </c>
      <c r="U395" s="22" t="str">
        <f aca="false">IF(P395="","",IFERROR(INDEX('Semrush Data'!$A$1:$Z$20000,MATCH(P395,'Semrush Data'!$A$1:$A$20000,0),MATCH("Volume",'Semrush Data'!$A$1:$Z$1,0)),""))</f>
        <v/>
      </c>
      <c r="V395" s="23" t="str">
        <f aca="false">IF(COUNT(Q395:U395)=0,L395,IF(MAX(Q395:U395)=0,L395,INDEX(L395:P395,MATCH(MAX(Q395:U395),Q395:U395,0))))</f>
        <v>guerlain la petite robe noire ma robe cocktail</v>
      </c>
      <c r="W395" s="22" t="n">
        <f aca="false">IFERROR(INDEX('Semrush Data'!$A$1:$Z$20000,MATCH(V395,'Semrush Data'!$A$1:$A$20000,0),MATCH("Volume",'Semrush Data'!$A$1:$Z$1,0)),"")</f>
        <v>0</v>
      </c>
      <c r="X395" s="22" t="n">
        <f aca="false">IFERROR(INDEX('Semrush Data'!$A$1:$Z$20000,MATCH(V395,'Semrush Data'!$A$1:$A$20000,0),MATCH("Keyword Difficulty*",'Semrush Data'!$A$1:$Z$1,0)),"")</f>
        <v>14</v>
      </c>
      <c r="Y395" s="24" t="n">
        <f aca="false">IFERROR(INDEX('Semrush Data'!$A$1:$Z$20000,MATCH(V395,'Semrush Data'!$A$1:$A$20000,0),MATCH("CPC*",'Semrush Data'!$A$1:$Z$1,0)),"")</f>
        <v>0</v>
      </c>
      <c r="Z395" s="21" t="s">
        <v>4771</v>
      </c>
      <c r="AA395" s="21" t="s">
        <v>4824</v>
      </c>
      <c r="AB395" s="21" t="s">
        <v>4825</v>
      </c>
      <c r="AC395" s="21" t="s">
        <v>4826</v>
      </c>
      <c r="AD395" s="25" t="n">
        <f aca="false">LEN(AC395)</f>
        <v>60</v>
      </c>
      <c r="AE395" s="21" t="s">
        <v>4827</v>
      </c>
      <c r="AF395" s="25" t="n">
        <f aca="false">LEN(AE395)</f>
        <v>159</v>
      </c>
    </row>
    <row r="396" customFormat="false" ht="15" hidden="false" customHeight="true" outlineLevel="0" collapsed="false">
      <c r="A396" s="21" t="s">
        <v>4828</v>
      </c>
      <c r="B396" s="21" t="s">
        <v>2390</v>
      </c>
      <c r="C396" s="21" t="n">
        <v>236</v>
      </c>
      <c r="D396" s="21" t="s">
        <v>4753</v>
      </c>
      <c r="E396" s="21"/>
      <c r="F396" s="21" t="s">
        <v>1676</v>
      </c>
      <c r="G396" s="21" t="s">
        <v>2491</v>
      </c>
      <c r="H396" s="21" t="s">
        <v>2457</v>
      </c>
      <c r="I396" s="21" t="s">
        <v>4829</v>
      </c>
      <c r="J396" s="21" t="s">
        <v>2503</v>
      </c>
      <c r="K396" s="21" t="n">
        <v>44.99</v>
      </c>
      <c r="L396" s="21" t="s">
        <v>4830</v>
      </c>
      <c r="M396" s="21" t="s">
        <v>4831</v>
      </c>
      <c r="N396" s="21" t="s">
        <v>4832</v>
      </c>
      <c r="O396" s="21" t="s">
        <v>4833</v>
      </c>
      <c r="P396" s="21"/>
      <c r="Q396" s="22" t="n">
        <f aca="false">IF(L396="","",IFERROR(INDEX('Semrush Data'!$A$1:$Z$20000,MATCH(L396,'Semrush Data'!$A$1:$A$20000,0),MATCH("Volume",'Semrush Data'!$A$1:$Z$1,0)),""))</f>
        <v>0</v>
      </c>
      <c r="R396" s="22" t="str">
        <f aca="false">IF(M396="","",IFERROR(INDEX('Semrush Data'!$A$1:$Z$20000,MATCH(M396,'Semrush Data'!$A$1:$A$20000,0),MATCH("Volume",'Semrush Data'!$A$1:$Z$1,0)),""))</f>
        <v/>
      </c>
      <c r="S396" s="22" t="str">
        <f aca="false">IF(N396="","",IFERROR(INDEX('Semrush Data'!$A$1:$Z$20000,MATCH(N396,'Semrush Data'!$A$1:$A$20000,0),MATCH("Volume",'Semrush Data'!$A$1:$Z$1,0)),""))</f>
        <v/>
      </c>
      <c r="T396" s="22" t="str">
        <f aca="false">IF(O396="","",IFERROR(INDEX('Semrush Data'!$A$1:$Z$20000,MATCH(O396,'Semrush Data'!$A$1:$A$20000,0),MATCH("Volume",'Semrush Data'!$A$1:$Z$1,0)),""))</f>
        <v/>
      </c>
      <c r="U396" s="22" t="str">
        <f aca="false">IF(P396="","",IFERROR(INDEX('Semrush Data'!$A$1:$Z$20000,MATCH(P396,'Semrush Data'!$A$1:$A$20000,0),MATCH("Volume",'Semrush Data'!$A$1:$Z$1,0)),""))</f>
        <v/>
      </c>
      <c r="V396" s="23" t="str">
        <f aca="false">IF(COUNT(Q396:U396)=0,L396,IF(MAX(Q396:U396)=0,L396,INDEX(L396:P396,MATCH(MAX(Q396:U396),Q396:U396,0))))</f>
        <v>guerlain mon guerlain miniature gift set</v>
      </c>
      <c r="W396" s="22" t="n">
        <f aca="false">IFERROR(INDEX('Semrush Data'!$A$1:$Z$20000,MATCH(V396,'Semrush Data'!$A$1:$A$20000,0),MATCH("Volume",'Semrush Data'!$A$1:$Z$1,0)),"")</f>
        <v>0</v>
      </c>
      <c r="X396" s="22" t="n">
        <f aca="false">IFERROR(INDEX('Semrush Data'!$A$1:$Z$20000,MATCH(V396,'Semrush Data'!$A$1:$A$20000,0),MATCH("Keyword Difficulty*",'Semrush Data'!$A$1:$Z$1,0)),"")</f>
        <v>19</v>
      </c>
      <c r="Y396" s="24" t="n">
        <f aca="false">IFERROR(INDEX('Semrush Data'!$A$1:$Z$20000,MATCH(V396,'Semrush Data'!$A$1:$A$20000,0),MATCH("CPC*",'Semrush Data'!$A$1:$Z$1,0)),"")</f>
        <v>0</v>
      </c>
      <c r="Z396" s="21" t="s">
        <v>4834</v>
      </c>
      <c r="AA396" s="21"/>
      <c r="AB396" s="21" t="s">
        <v>4835</v>
      </c>
      <c r="AC396" s="21" t="s">
        <v>4836</v>
      </c>
      <c r="AD396" s="25" t="n">
        <f aca="false">LEN(AC396)</f>
        <v>58</v>
      </c>
      <c r="AE396" s="21" t="s">
        <v>4837</v>
      </c>
      <c r="AF396" s="25" t="n">
        <f aca="false">LEN(AE396)</f>
        <v>158</v>
      </c>
    </row>
    <row r="397" customFormat="false" ht="15" hidden="false" customHeight="true" outlineLevel="0" collapsed="false">
      <c r="A397" s="21" t="s">
        <v>4838</v>
      </c>
      <c r="B397" s="21" t="s">
        <v>2390</v>
      </c>
      <c r="C397" s="21" t="n">
        <v>237</v>
      </c>
      <c r="D397" s="21" t="s">
        <v>4839</v>
      </c>
      <c r="E397" s="21"/>
      <c r="F397" s="21" t="s">
        <v>2393</v>
      </c>
      <c r="G397" s="21" t="s">
        <v>2394</v>
      </c>
      <c r="H397" s="21" t="s">
        <v>2468</v>
      </c>
      <c r="I397" s="21" t="s">
        <v>4840</v>
      </c>
      <c r="J397" s="21" t="s">
        <v>1935</v>
      </c>
      <c r="K397" s="21" t="n">
        <v>61.99</v>
      </c>
      <c r="L397" s="21" t="s">
        <v>4841</v>
      </c>
      <c r="M397" s="21" t="s">
        <v>4842</v>
      </c>
      <c r="N397" s="21" t="s">
        <v>4843</v>
      </c>
      <c r="O397" s="21" t="s">
        <v>4844</v>
      </c>
      <c r="P397" s="21" t="s">
        <v>4845</v>
      </c>
      <c r="Q397" s="22" t="n">
        <f aca="false">IF(L397="","",IFERROR(INDEX('Semrush Data'!$A$1:$Z$20000,MATCH(L397,'Semrush Data'!$A$1:$A$20000,0),MATCH("Volume",'Semrush Data'!$A$1:$Z$1,0)),""))</f>
        <v>0</v>
      </c>
      <c r="R397" s="22" t="str">
        <f aca="false">IF(M397="","",IFERROR(INDEX('Semrush Data'!$A$1:$Z$20000,MATCH(M397,'Semrush Data'!$A$1:$A$20000,0),MATCH("Volume",'Semrush Data'!$A$1:$Z$1,0)),""))</f>
        <v/>
      </c>
      <c r="S397" s="22" t="str">
        <f aca="false">IF(N397="","",IFERROR(INDEX('Semrush Data'!$A$1:$Z$20000,MATCH(N397,'Semrush Data'!$A$1:$A$20000,0),MATCH("Volume",'Semrush Data'!$A$1:$Z$1,0)),""))</f>
        <v/>
      </c>
      <c r="T397" s="22" t="str">
        <f aca="false">IF(O397="","",IFERROR(INDEX('Semrush Data'!$A$1:$Z$20000,MATCH(O397,'Semrush Data'!$A$1:$A$20000,0),MATCH("Volume",'Semrush Data'!$A$1:$Z$1,0)),""))</f>
        <v/>
      </c>
      <c r="U397" s="22" t="str">
        <f aca="false">IF(P397="","",IFERROR(INDEX('Semrush Data'!$A$1:$Z$20000,MATCH(P397,'Semrush Data'!$A$1:$A$20000,0),MATCH("Volume",'Semrush Data'!$A$1:$Z$1,0)),""))</f>
        <v/>
      </c>
      <c r="V397" s="23" t="str">
        <f aca="false">IF(COUNT(Q397:U397)=0,L397,IF(MAX(Q397:U397)=0,L397,INDEX(L397:P397,MATCH(MAX(Q397:U397),Q397:U397,0))))</f>
        <v>hemel amethyst dream</v>
      </c>
      <c r="W397" s="22" t="n">
        <f aca="false">IFERROR(INDEX('Semrush Data'!$A$1:$Z$20000,MATCH(V397,'Semrush Data'!$A$1:$A$20000,0),MATCH("Volume",'Semrush Data'!$A$1:$Z$1,0)),"")</f>
        <v>0</v>
      </c>
      <c r="X397" s="22" t="n">
        <f aca="false">IFERROR(INDEX('Semrush Data'!$A$1:$Z$20000,MATCH(V397,'Semrush Data'!$A$1:$A$20000,0),MATCH("Keyword Difficulty*",'Semrush Data'!$A$1:$Z$1,0)),"")</f>
        <v>21</v>
      </c>
      <c r="Y397" s="24" t="n">
        <f aca="false">IFERROR(INDEX('Semrush Data'!$A$1:$Z$20000,MATCH(V397,'Semrush Data'!$A$1:$A$20000,0),MATCH("CPC*",'Semrush Data'!$A$1:$Z$1,0)),"")</f>
        <v>0</v>
      </c>
      <c r="Z397" s="21" t="s">
        <v>4846</v>
      </c>
      <c r="AA397" s="21"/>
      <c r="AB397" s="21" t="s">
        <v>4847</v>
      </c>
      <c r="AC397" s="21" t="s">
        <v>4848</v>
      </c>
      <c r="AD397" s="25" t="n">
        <f aca="false">LEN(AC397)</f>
        <v>57</v>
      </c>
      <c r="AE397" s="21" t="s">
        <v>4849</v>
      </c>
      <c r="AF397" s="25" t="n">
        <f aca="false">LEN(AE397)</f>
        <v>155</v>
      </c>
    </row>
    <row r="398" customFormat="false" ht="15" hidden="false" customHeight="true" outlineLevel="0" collapsed="false">
      <c r="A398" s="21" t="s">
        <v>4850</v>
      </c>
      <c r="B398" s="21" t="s">
        <v>2390</v>
      </c>
      <c r="C398" s="21" t="n">
        <v>238</v>
      </c>
      <c r="D398" s="21" t="s">
        <v>4839</v>
      </c>
      <c r="E398" s="21"/>
      <c r="F398" s="21" t="s">
        <v>2393</v>
      </c>
      <c r="G398" s="21" t="s">
        <v>2394</v>
      </c>
      <c r="H398" s="21" t="s">
        <v>2479</v>
      </c>
      <c r="I398" s="21" t="s">
        <v>4851</v>
      </c>
      <c r="J398" s="21" t="s">
        <v>1935</v>
      </c>
      <c r="K398" s="21" t="n">
        <v>87.95</v>
      </c>
      <c r="L398" s="21" t="s">
        <v>4841</v>
      </c>
      <c r="M398" s="21" t="s">
        <v>4842</v>
      </c>
      <c r="N398" s="21" t="s">
        <v>4843</v>
      </c>
      <c r="O398" s="21" t="s">
        <v>4844</v>
      </c>
      <c r="P398" s="21" t="s">
        <v>4852</v>
      </c>
      <c r="Q398" s="22" t="n">
        <f aca="false">IF(L398="","",IFERROR(INDEX('Semrush Data'!$A$1:$Z$20000,MATCH(L398,'Semrush Data'!$A$1:$A$20000,0),MATCH("Volume",'Semrush Data'!$A$1:$Z$1,0)),""))</f>
        <v>0</v>
      </c>
      <c r="R398" s="22" t="str">
        <f aca="false">IF(M398="","",IFERROR(INDEX('Semrush Data'!$A$1:$Z$20000,MATCH(M398,'Semrush Data'!$A$1:$A$20000,0),MATCH("Volume",'Semrush Data'!$A$1:$Z$1,0)),""))</f>
        <v/>
      </c>
      <c r="S398" s="22" t="str">
        <f aca="false">IF(N398="","",IFERROR(INDEX('Semrush Data'!$A$1:$Z$20000,MATCH(N398,'Semrush Data'!$A$1:$A$20000,0),MATCH("Volume",'Semrush Data'!$A$1:$Z$1,0)),""))</f>
        <v/>
      </c>
      <c r="T398" s="22" t="str">
        <f aca="false">IF(O398="","",IFERROR(INDEX('Semrush Data'!$A$1:$Z$20000,MATCH(O398,'Semrush Data'!$A$1:$A$20000,0),MATCH("Volume",'Semrush Data'!$A$1:$Z$1,0)),""))</f>
        <v/>
      </c>
      <c r="U398" s="22" t="str">
        <f aca="false">IF(P398="","",IFERROR(INDEX('Semrush Data'!$A$1:$Z$20000,MATCH(P398,'Semrush Data'!$A$1:$A$20000,0),MATCH("Volume",'Semrush Data'!$A$1:$Z$1,0)),""))</f>
        <v/>
      </c>
      <c r="V398" s="23" t="str">
        <f aca="false">IF(COUNT(Q398:U398)=0,L398,IF(MAX(Q398:U398)=0,L398,INDEX(L398:P398,MATCH(MAX(Q398:U398),Q398:U398,0))))</f>
        <v>hemel amethyst dream</v>
      </c>
      <c r="W398" s="22" t="n">
        <f aca="false">IFERROR(INDEX('Semrush Data'!$A$1:$Z$20000,MATCH(V398,'Semrush Data'!$A$1:$A$20000,0),MATCH("Volume",'Semrush Data'!$A$1:$Z$1,0)),"")</f>
        <v>0</v>
      </c>
      <c r="X398" s="22" t="n">
        <f aca="false">IFERROR(INDEX('Semrush Data'!$A$1:$Z$20000,MATCH(V398,'Semrush Data'!$A$1:$A$20000,0),MATCH("Keyword Difficulty*",'Semrush Data'!$A$1:$Z$1,0)),"")</f>
        <v>21</v>
      </c>
      <c r="Y398" s="24" t="n">
        <f aca="false">IFERROR(INDEX('Semrush Data'!$A$1:$Z$20000,MATCH(V398,'Semrush Data'!$A$1:$A$20000,0),MATCH("CPC*",'Semrush Data'!$A$1:$Z$1,0)),"")</f>
        <v>0</v>
      </c>
      <c r="Z398" s="21" t="s">
        <v>4853</v>
      </c>
      <c r="AA398" s="21"/>
      <c r="AB398" s="21" t="s">
        <v>4854</v>
      </c>
      <c r="AC398" s="21" t="s">
        <v>4855</v>
      </c>
      <c r="AD398" s="25" t="n">
        <f aca="false">LEN(AC398)</f>
        <v>58</v>
      </c>
      <c r="AE398" s="21" t="s">
        <v>4856</v>
      </c>
      <c r="AF398" s="25" t="n">
        <f aca="false">LEN(AE398)</f>
        <v>152</v>
      </c>
    </row>
    <row r="399" customFormat="false" ht="15" hidden="false" customHeight="true" outlineLevel="0" collapsed="false">
      <c r="A399" s="21" t="s">
        <v>4857</v>
      </c>
      <c r="B399" s="21" t="s">
        <v>2390</v>
      </c>
      <c r="C399" s="21" t="n">
        <v>239</v>
      </c>
      <c r="D399" s="21" t="s">
        <v>4839</v>
      </c>
      <c r="E399" s="21"/>
      <c r="F399" s="21" t="s">
        <v>2393</v>
      </c>
      <c r="G399" s="21" t="s">
        <v>2394</v>
      </c>
      <c r="H399" s="21" t="s">
        <v>2479</v>
      </c>
      <c r="I399" s="21" t="s">
        <v>4858</v>
      </c>
      <c r="J399" s="21" t="s">
        <v>1935</v>
      </c>
      <c r="K399" s="21" t="n">
        <v>49.99</v>
      </c>
      <c r="L399" s="21" t="s">
        <v>4859</v>
      </c>
      <c r="M399" s="21" t="s">
        <v>4860</v>
      </c>
      <c r="N399" s="21" t="s">
        <v>4861</v>
      </c>
      <c r="O399" s="21" t="s">
        <v>4862</v>
      </c>
      <c r="P399" s="21" t="s">
        <v>4863</v>
      </c>
      <c r="Q399" s="22" t="n">
        <f aca="false">IF(L399="","",IFERROR(INDEX('Semrush Data'!$A$1:$Z$20000,MATCH(L399,'Semrush Data'!$A$1:$A$20000,0),MATCH("Volume",'Semrush Data'!$A$1:$Z$1,0)),""))</f>
        <v>0</v>
      </c>
      <c r="R399" s="22" t="str">
        <f aca="false">IF(M399="","",IFERROR(INDEX('Semrush Data'!$A$1:$Z$20000,MATCH(M399,'Semrush Data'!$A$1:$A$20000,0),MATCH("Volume",'Semrush Data'!$A$1:$Z$1,0)),""))</f>
        <v/>
      </c>
      <c r="S399" s="22" t="str">
        <f aca="false">IF(N399="","",IFERROR(INDEX('Semrush Data'!$A$1:$Z$20000,MATCH(N399,'Semrush Data'!$A$1:$A$20000,0),MATCH("Volume",'Semrush Data'!$A$1:$Z$1,0)),""))</f>
        <v/>
      </c>
      <c r="T399" s="22" t="str">
        <f aca="false">IF(O399="","",IFERROR(INDEX('Semrush Data'!$A$1:$Z$20000,MATCH(O399,'Semrush Data'!$A$1:$A$20000,0),MATCH("Volume",'Semrush Data'!$A$1:$Z$1,0)),""))</f>
        <v/>
      </c>
      <c r="U399" s="22" t="str">
        <f aca="false">IF(P399="","",IFERROR(INDEX('Semrush Data'!$A$1:$Z$20000,MATCH(P399,'Semrush Data'!$A$1:$A$20000,0),MATCH("Volume",'Semrush Data'!$A$1:$Z$1,0)),""))</f>
        <v/>
      </c>
      <c r="V399" s="23" t="str">
        <f aca="false">IF(COUNT(Q399:U399)=0,L399,IF(MAX(Q399:U399)=0,L399,INDEX(L399:P399,MATCH(MAX(Q399:U399),Q399:U399,0))))</f>
        <v>hemel dorado</v>
      </c>
      <c r="W399" s="22" t="n">
        <f aca="false">IFERROR(INDEX('Semrush Data'!$A$1:$Z$20000,MATCH(V399,'Semrush Data'!$A$1:$A$20000,0),MATCH("Volume",'Semrush Data'!$A$1:$Z$1,0)),"")</f>
        <v>0</v>
      </c>
      <c r="X399" s="22" t="n">
        <f aca="false">IFERROR(INDEX('Semrush Data'!$A$1:$Z$20000,MATCH(V399,'Semrush Data'!$A$1:$A$20000,0),MATCH("Keyword Difficulty*",'Semrush Data'!$A$1:$Z$1,0)),"")</f>
        <v>23</v>
      </c>
      <c r="Y399" s="24" t="n">
        <f aca="false">IFERROR(INDEX('Semrush Data'!$A$1:$Z$20000,MATCH(V399,'Semrush Data'!$A$1:$A$20000,0),MATCH("CPC*",'Semrush Data'!$A$1:$Z$1,0)),"")</f>
        <v>0</v>
      </c>
      <c r="Z399" s="21" t="s">
        <v>4853</v>
      </c>
      <c r="AA399" s="21" t="s">
        <v>4864</v>
      </c>
      <c r="AB399" s="21" t="s">
        <v>4865</v>
      </c>
      <c r="AC399" s="21" t="s">
        <v>4866</v>
      </c>
      <c r="AD399" s="25" t="n">
        <f aca="false">LEN(AC399)</f>
        <v>53</v>
      </c>
      <c r="AE399" s="21" t="s">
        <v>4867</v>
      </c>
      <c r="AF399" s="25" t="n">
        <f aca="false">LEN(AE399)</f>
        <v>147</v>
      </c>
    </row>
    <row r="400" customFormat="false" ht="15" hidden="false" customHeight="true" outlineLevel="0" collapsed="false">
      <c r="A400" s="21" t="s">
        <v>4868</v>
      </c>
      <c r="B400" s="21" t="s">
        <v>2390</v>
      </c>
      <c r="C400" s="21" t="n">
        <v>240</v>
      </c>
      <c r="D400" s="21" t="s">
        <v>4839</v>
      </c>
      <c r="E400" s="21"/>
      <c r="F400" s="21" t="s">
        <v>2393</v>
      </c>
      <c r="G400" s="21" t="s">
        <v>2394</v>
      </c>
      <c r="H400" s="21" t="s">
        <v>2479</v>
      </c>
      <c r="I400" s="21" t="s">
        <v>4869</v>
      </c>
      <c r="J400" s="21" t="s">
        <v>1935</v>
      </c>
      <c r="K400" s="21" t="n">
        <v>61.99</v>
      </c>
      <c r="L400" s="21" t="s">
        <v>4870</v>
      </c>
      <c r="M400" s="21" t="s">
        <v>4871</v>
      </c>
      <c r="N400" s="21" t="s">
        <v>4872</v>
      </c>
      <c r="O400" s="21" t="s">
        <v>4873</v>
      </c>
      <c r="P400" s="21" t="s">
        <v>4874</v>
      </c>
      <c r="Q400" s="22" t="n">
        <f aca="false">IF(L400="","",IFERROR(INDEX('Semrush Data'!$A$1:$Z$20000,MATCH(L400,'Semrush Data'!$A$1:$A$20000,0),MATCH("Volume",'Semrush Data'!$A$1:$Z$1,0)),""))</f>
        <v>10</v>
      </c>
      <c r="R400" s="22" t="str">
        <f aca="false">IF(M400="","",IFERROR(INDEX('Semrush Data'!$A$1:$Z$20000,MATCH(M400,'Semrush Data'!$A$1:$A$20000,0),MATCH("Volume",'Semrush Data'!$A$1:$Z$1,0)),""))</f>
        <v/>
      </c>
      <c r="S400" s="22" t="str">
        <f aca="false">IF(N400="","",IFERROR(INDEX('Semrush Data'!$A$1:$Z$20000,MATCH(N400,'Semrush Data'!$A$1:$A$20000,0),MATCH("Volume",'Semrush Data'!$A$1:$Z$1,0)),""))</f>
        <v/>
      </c>
      <c r="T400" s="22" t="str">
        <f aca="false">IF(O400="","",IFERROR(INDEX('Semrush Data'!$A$1:$Z$20000,MATCH(O400,'Semrush Data'!$A$1:$A$20000,0),MATCH("Volume",'Semrush Data'!$A$1:$Z$1,0)),""))</f>
        <v/>
      </c>
      <c r="U400" s="22" t="str">
        <f aca="false">IF(P400="","",IFERROR(INDEX('Semrush Data'!$A$1:$Z$20000,MATCH(P400,'Semrush Data'!$A$1:$A$20000,0),MATCH("Volume",'Semrush Data'!$A$1:$Z$1,0)),""))</f>
        <v/>
      </c>
      <c r="V400" s="23" t="str">
        <f aca="false">IF(COUNT(Q400:U400)=0,L400,IF(MAX(Q400:U400)=0,L400,INDEX(L400:P400,MATCH(MAX(Q400:U400),Q400:U400,0))))</f>
        <v>hemel favourite black</v>
      </c>
      <c r="W400" s="22" t="n">
        <f aca="false">IFERROR(INDEX('Semrush Data'!$A$1:$Z$20000,MATCH(V400,'Semrush Data'!$A$1:$A$20000,0),MATCH("Volume",'Semrush Data'!$A$1:$Z$1,0)),"")</f>
        <v>10</v>
      </c>
      <c r="X400" s="22" t="n">
        <f aca="false">IFERROR(INDEX('Semrush Data'!$A$1:$Z$20000,MATCH(V400,'Semrush Data'!$A$1:$A$20000,0),MATCH("Keyword Difficulty*",'Semrush Data'!$A$1:$Z$1,0)),"")</f>
        <v>8</v>
      </c>
      <c r="Y400" s="24" t="n">
        <f aca="false">IFERROR(INDEX('Semrush Data'!$A$1:$Z$20000,MATCH(V400,'Semrush Data'!$A$1:$A$20000,0),MATCH("CPC*",'Semrush Data'!$A$1:$Z$1,0)),"")</f>
        <v>0</v>
      </c>
      <c r="Z400" s="21" t="s">
        <v>4853</v>
      </c>
      <c r="AA400" s="21"/>
      <c r="AB400" s="21" t="s">
        <v>4875</v>
      </c>
      <c r="AC400" s="21" t="s">
        <v>4876</v>
      </c>
      <c r="AD400" s="25" t="n">
        <f aca="false">LEN(AC400)</f>
        <v>58</v>
      </c>
      <c r="AE400" s="21" t="s">
        <v>4877</v>
      </c>
      <c r="AF400" s="25" t="n">
        <f aca="false">LEN(AE400)</f>
        <v>156</v>
      </c>
    </row>
    <row r="401" customFormat="false" ht="15" hidden="false" customHeight="true" outlineLevel="0" collapsed="false">
      <c r="A401" s="21" t="s">
        <v>4878</v>
      </c>
      <c r="B401" s="21" t="s">
        <v>2390</v>
      </c>
      <c r="C401" s="21" t="n">
        <v>241</v>
      </c>
      <c r="D401" s="21" t="s">
        <v>4839</v>
      </c>
      <c r="E401" s="21"/>
      <c r="F401" s="21" t="s">
        <v>2393</v>
      </c>
      <c r="G401" s="21" t="s">
        <v>2394</v>
      </c>
      <c r="H401" s="21" t="s">
        <v>2479</v>
      </c>
      <c r="I401" s="21" t="s">
        <v>4879</v>
      </c>
      <c r="J401" s="21" t="s">
        <v>1935</v>
      </c>
      <c r="K401" s="21" t="n">
        <v>87.95</v>
      </c>
      <c r="L401" s="21" t="s">
        <v>4870</v>
      </c>
      <c r="M401" s="21" t="s">
        <v>4871</v>
      </c>
      <c r="N401" s="21" t="s">
        <v>4872</v>
      </c>
      <c r="O401" s="21" t="s">
        <v>4873</v>
      </c>
      <c r="P401" s="21" t="s">
        <v>4874</v>
      </c>
      <c r="Q401" s="22" t="n">
        <f aca="false">IF(L401="","",IFERROR(INDEX('Semrush Data'!$A$1:$Z$20000,MATCH(L401,'Semrush Data'!$A$1:$A$20000,0),MATCH("Volume",'Semrush Data'!$A$1:$Z$1,0)),""))</f>
        <v>10</v>
      </c>
      <c r="R401" s="22" t="str">
        <f aca="false">IF(M401="","",IFERROR(INDEX('Semrush Data'!$A$1:$Z$20000,MATCH(M401,'Semrush Data'!$A$1:$A$20000,0),MATCH("Volume",'Semrush Data'!$A$1:$Z$1,0)),""))</f>
        <v/>
      </c>
      <c r="S401" s="22" t="str">
        <f aca="false">IF(N401="","",IFERROR(INDEX('Semrush Data'!$A$1:$Z$20000,MATCH(N401,'Semrush Data'!$A$1:$A$20000,0),MATCH("Volume",'Semrush Data'!$A$1:$Z$1,0)),""))</f>
        <v/>
      </c>
      <c r="T401" s="22" t="str">
        <f aca="false">IF(O401="","",IFERROR(INDEX('Semrush Data'!$A$1:$Z$20000,MATCH(O401,'Semrush Data'!$A$1:$A$20000,0),MATCH("Volume",'Semrush Data'!$A$1:$Z$1,0)),""))</f>
        <v/>
      </c>
      <c r="U401" s="22" t="str">
        <f aca="false">IF(P401="","",IFERROR(INDEX('Semrush Data'!$A$1:$Z$20000,MATCH(P401,'Semrush Data'!$A$1:$A$20000,0),MATCH("Volume",'Semrush Data'!$A$1:$Z$1,0)),""))</f>
        <v/>
      </c>
      <c r="V401" s="23" t="str">
        <f aca="false">IF(COUNT(Q401:U401)=0,L401,IF(MAX(Q401:U401)=0,L401,INDEX(L401:P401,MATCH(MAX(Q401:U401),Q401:U401,0))))</f>
        <v>hemel favourite black</v>
      </c>
      <c r="W401" s="22" t="n">
        <f aca="false">IFERROR(INDEX('Semrush Data'!$A$1:$Z$20000,MATCH(V401,'Semrush Data'!$A$1:$A$20000,0),MATCH("Volume",'Semrush Data'!$A$1:$Z$1,0)),"")</f>
        <v>10</v>
      </c>
      <c r="X401" s="22" t="n">
        <f aca="false">IFERROR(INDEX('Semrush Data'!$A$1:$Z$20000,MATCH(V401,'Semrush Data'!$A$1:$A$20000,0),MATCH("Keyword Difficulty*",'Semrush Data'!$A$1:$Z$1,0)),"")</f>
        <v>8</v>
      </c>
      <c r="Y401" s="24" t="n">
        <f aca="false">IFERROR(INDEX('Semrush Data'!$A$1:$Z$20000,MATCH(V401,'Semrush Data'!$A$1:$A$20000,0),MATCH("CPC*",'Semrush Data'!$A$1:$Z$1,0)),"")</f>
        <v>0</v>
      </c>
      <c r="Z401" s="21" t="s">
        <v>4853</v>
      </c>
      <c r="AA401" s="21"/>
      <c r="AB401" s="21" t="s">
        <v>4880</v>
      </c>
      <c r="AC401" s="21" t="s">
        <v>4881</v>
      </c>
      <c r="AD401" s="25" t="n">
        <f aca="false">LEN(AC401)</f>
        <v>56</v>
      </c>
      <c r="AE401" s="21" t="s">
        <v>4882</v>
      </c>
      <c r="AF401" s="25" t="n">
        <f aca="false">LEN(AE401)</f>
        <v>157</v>
      </c>
    </row>
    <row r="402" customFormat="false" ht="15" hidden="false" customHeight="true" outlineLevel="0" collapsed="false">
      <c r="A402" s="21" t="s">
        <v>4883</v>
      </c>
      <c r="B402" s="21" t="s">
        <v>2390</v>
      </c>
      <c r="C402" s="21" t="n">
        <v>242</v>
      </c>
      <c r="D402" s="21" t="s">
        <v>4839</v>
      </c>
      <c r="E402" s="21"/>
      <c r="F402" s="21" t="s">
        <v>2393</v>
      </c>
      <c r="G402" s="21" t="s">
        <v>2394</v>
      </c>
      <c r="H402" s="21" t="s">
        <v>2468</v>
      </c>
      <c r="I402" s="21" t="s">
        <v>4884</v>
      </c>
      <c r="J402" s="21" t="s">
        <v>1935</v>
      </c>
      <c r="K402" s="21" t="n">
        <v>61.99</v>
      </c>
      <c r="L402" s="21" t="s">
        <v>4885</v>
      </c>
      <c r="M402" s="21" t="s">
        <v>4886</v>
      </c>
      <c r="N402" s="21" t="s">
        <v>4887</v>
      </c>
      <c r="O402" s="21" t="s">
        <v>4888</v>
      </c>
      <c r="P402" s="21" t="s">
        <v>4889</v>
      </c>
      <c r="Q402" s="22" t="n">
        <f aca="false">IF(L402="","",IFERROR(INDEX('Semrush Data'!$A$1:$Z$20000,MATCH(L402,'Semrush Data'!$A$1:$A$20000,0),MATCH("Volume",'Semrush Data'!$A$1:$Z$1,0)),""))</f>
        <v>0</v>
      </c>
      <c r="R402" s="22" t="str">
        <f aca="false">IF(M402="","",IFERROR(INDEX('Semrush Data'!$A$1:$Z$20000,MATCH(M402,'Semrush Data'!$A$1:$A$20000,0),MATCH("Volume",'Semrush Data'!$A$1:$Z$1,0)),""))</f>
        <v/>
      </c>
      <c r="S402" s="22" t="str">
        <f aca="false">IF(N402="","",IFERROR(INDEX('Semrush Data'!$A$1:$Z$20000,MATCH(N402,'Semrush Data'!$A$1:$A$20000,0),MATCH("Volume",'Semrush Data'!$A$1:$Z$1,0)),""))</f>
        <v/>
      </c>
      <c r="T402" s="22" t="str">
        <f aca="false">IF(O402="","",IFERROR(INDEX('Semrush Data'!$A$1:$Z$20000,MATCH(O402,'Semrush Data'!$A$1:$A$20000,0),MATCH("Volume",'Semrush Data'!$A$1:$Z$1,0)),""))</f>
        <v/>
      </c>
      <c r="U402" s="22" t="str">
        <f aca="false">IF(P402="","",IFERROR(INDEX('Semrush Data'!$A$1:$Z$20000,MATCH(P402,'Semrush Data'!$A$1:$A$20000,0),MATCH("Volume",'Semrush Data'!$A$1:$Z$1,0)),""))</f>
        <v/>
      </c>
      <c r="V402" s="23" t="str">
        <f aca="false">IF(COUNT(Q402:U402)=0,L402,IF(MAX(Q402:U402)=0,L402,INDEX(L402:P402,MATCH(MAX(Q402:U402),Q402:U402,0))))</f>
        <v>hemel affair</v>
      </c>
      <c r="W402" s="22" t="n">
        <f aca="false">IFERROR(INDEX('Semrush Data'!$A$1:$Z$20000,MATCH(V402,'Semrush Data'!$A$1:$A$20000,0),MATCH("Volume",'Semrush Data'!$A$1:$Z$1,0)),"")</f>
        <v>0</v>
      </c>
      <c r="X402" s="22" t="n">
        <f aca="false">IFERROR(INDEX('Semrush Data'!$A$1:$Z$20000,MATCH(V402,'Semrush Data'!$A$1:$A$20000,0),MATCH("Keyword Difficulty*",'Semrush Data'!$A$1:$Z$1,0)),"")</f>
        <v>25</v>
      </c>
      <c r="Y402" s="24" t="n">
        <f aca="false">IFERROR(INDEX('Semrush Data'!$A$1:$Z$20000,MATCH(V402,'Semrush Data'!$A$1:$A$20000,0),MATCH("CPC*",'Semrush Data'!$A$1:$Z$1,0)),"")</f>
        <v>0</v>
      </c>
      <c r="Z402" s="21" t="s">
        <v>4846</v>
      </c>
      <c r="AA402" s="21"/>
      <c r="AB402" s="21" t="s">
        <v>4890</v>
      </c>
      <c r="AC402" s="21" t="s">
        <v>4891</v>
      </c>
      <c r="AD402" s="25" t="n">
        <f aca="false">LEN(AC402)</f>
        <v>59</v>
      </c>
      <c r="AE402" s="21" t="s">
        <v>4892</v>
      </c>
      <c r="AF402" s="25" t="n">
        <f aca="false">LEN(AE402)</f>
        <v>157</v>
      </c>
    </row>
    <row r="403" customFormat="false" ht="15" hidden="false" customHeight="true" outlineLevel="0" collapsed="false">
      <c r="A403" s="21" t="s">
        <v>4893</v>
      </c>
      <c r="B403" s="21" t="s">
        <v>2390</v>
      </c>
      <c r="C403" s="21" t="n">
        <v>243</v>
      </c>
      <c r="D403" s="21" t="s">
        <v>4839</v>
      </c>
      <c r="E403" s="21"/>
      <c r="F403" s="21" t="s">
        <v>2393</v>
      </c>
      <c r="G403" s="21" t="s">
        <v>2394</v>
      </c>
      <c r="H403" s="21" t="s">
        <v>2479</v>
      </c>
      <c r="I403" s="21" t="s">
        <v>4894</v>
      </c>
      <c r="J403" s="21" t="s">
        <v>1935</v>
      </c>
      <c r="K403" s="21" t="n">
        <v>87.95</v>
      </c>
      <c r="L403" s="21" t="s">
        <v>4885</v>
      </c>
      <c r="M403" s="21" t="s">
        <v>4886</v>
      </c>
      <c r="N403" s="21" t="s">
        <v>4887</v>
      </c>
      <c r="O403" s="21" t="s">
        <v>4888</v>
      </c>
      <c r="P403" s="21" t="s">
        <v>4889</v>
      </c>
      <c r="Q403" s="22" t="n">
        <f aca="false">IF(L403="","",IFERROR(INDEX('Semrush Data'!$A$1:$Z$20000,MATCH(L403,'Semrush Data'!$A$1:$A$20000,0),MATCH("Volume",'Semrush Data'!$A$1:$Z$1,0)),""))</f>
        <v>0</v>
      </c>
      <c r="R403" s="22" t="str">
        <f aca="false">IF(M403="","",IFERROR(INDEX('Semrush Data'!$A$1:$Z$20000,MATCH(M403,'Semrush Data'!$A$1:$A$20000,0),MATCH("Volume",'Semrush Data'!$A$1:$Z$1,0)),""))</f>
        <v/>
      </c>
      <c r="S403" s="22" t="str">
        <f aca="false">IF(N403="","",IFERROR(INDEX('Semrush Data'!$A$1:$Z$20000,MATCH(N403,'Semrush Data'!$A$1:$A$20000,0),MATCH("Volume",'Semrush Data'!$A$1:$Z$1,0)),""))</f>
        <v/>
      </c>
      <c r="T403" s="22" t="str">
        <f aca="false">IF(O403="","",IFERROR(INDEX('Semrush Data'!$A$1:$Z$20000,MATCH(O403,'Semrush Data'!$A$1:$A$20000,0),MATCH("Volume",'Semrush Data'!$A$1:$Z$1,0)),""))</f>
        <v/>
      </c>
      <c r="U403" s="22" t="str">
        <f aca="false">IF(P403="","",IFERROR(INDEX('Semrush Data'!$A$1:$Z$20000,MATCH(P403,'Semrush Data'!$A$1:$A$20000,0),MATCH("Volume",'Semrush Data'!$A$1:$Z$1,0)),""))</f>
        <v/>
      </c>
      <c r="V403" s="23" t="str">
        <f aca="false">IF(COUNT(Q403:U403)=0,L403,IF(MAX(Q403:U403)=0,L403,INDEX(L403:P403,MATCH(MAX(Q403:U403),Q403:U403,0))))</f>
        <v>hemel affair</v>
      </c>
      <c r="W403" s="22" t="n">
        <f aca="false">IFERROR(INDEX('Semrush Data'!$A$1:$Z$20000,MATCH(V403,'Semrush Data'!$A$1:$A$20000,0),MATCH("Volume",'Semrush Data'!$A$1:$Z$1,0)),"")</f>
        <v>0</v>
      </c>
      <c r="X403" s="22" t="n">
        <f aca="false">IFERROR(INDEX('Semrush Data'!$A$1:$Z$20000,MATCH(V403,'Semrush Data'!$A$1:$A$20000,0),MATCH("Keyword Difficulty*",'Semrush Data'!$A$1:$Z$1,0)),"")</f>
        <v>25</v>
      </c>
      <c r="Y403" s="24" t="n">
        <f aca="false">IFERROR(INDEX('Semrush Data'!$A$1:$Z$20000,MATCH(V403,'Semrush Data'!$A$1:$A$20000,0),MATCH("CPC*",'Semrush Data'!$A$1:$Z$1,0)),"")</f>
        <v>0</v>
      </c>
      <c r="Z403" s="21" t="s">
        <v>4853</v>
      </c>
      <c r="AA403" s="21"/>
      <c r="AB403" s="21" t="s">
        <v>4895</v>
      </c>
      <c r="AC403" s="21" t="s">
        <v>4896</v>
      </c>
      <c r="AD403" s="25" t="n">
        <f aca="false">LEN(AC403)</f>
        <v>57</v>
      </c>
      <c r="AE403" s="21" t="s">
        <v>4897</v>
      </c>
      <c r="AF403" s="25" t="n">
        <f aca="false">LEN(AE403)</f>
        <v>158</v>
      </c>
    </row>
    <row r="404" customFormat="false" ht="15" hidden="false" customHeight="true" outlineLevel="0" collapsed="false">
      <c r="A404" s="21" t="s">
        <v>4898</v>
      </c>
      <c r="B404" s="21" t="s">
        <v>2390</v>
      </c>
      <c r="C404" s="21" t="n">
        <v>244</v>
      </c>
      <c r="D404" s="21" t="s">
        <v>4839</v>
      </c>
      <c r="E404" s="21"/>
      <c r="F404" s="21" t="s">
        <v>2393</v>
      </c>
      <c r="G404" s="21" t="s">
        <v>2394</v>
      </c>
      <c r="H404" s="21" t="s">
        <v>2524</v>
      </c>
      <c r="I404" s="21" t="s">
        <v>4899</v>
      </c>
      <c r="J404" s="21" t="s">
        <v>1935</v>
      </c>
      <c r="K404" s="21" t="n">
        <v>49.99</v>
      </c>
      <c r="L404" s="21" t="s">
        <v>4900</v>
      </c>
      <c r="M404" s="21" t="s">
        <v>4901</v>
      </c>
      <c r="N404" s="21" t="s">
        <v>4902</v>
      </c>
      <c r="O404" s="21" t="s">
        <v>4903</v>
      </c>
      <c r="P404" s="21" t="s">
        <v>4904</v>
      </c>
      <c r="Q404" s="22" t="n">
        <f aca="false">IF(L404="","",IFERROR(INDEX('Semrush Data'!$A$1:$Z$20000,MATCH(L404,'Semrush Data'!$A$1:$A$20000,0),MATCH("Volume",'Semrush Data'!$A$1:$Z$1,0)),""))</f>
        <v>0</v>
      </c>
      <c r="R404" s="22" t="str">
        <f aca="false">IF(M404="","",IFERROR(INDEX('Semrush Data'!$A$1:$Z$20000,MATCH(M404,'Semrush Data'!$A$1:$A$20000,0),MATCH("Volume",'Semrush Data'!$A$1:$Z$1,0)),""))</f>
        <v/>
      </c>
      <c r="S404" s="22" t="str">
        <f aca="false">IF(N404="","",IFERROR(INDEX('Semrush Data'!$A$1:$Z$20000,MATCH(N404,'Semrush Data'!$A$1:$A$20000,0),MATCH("Volume",'Semrush Data'!$A$1:$Z$1,0)),""))</f>
        <v/>
      </c>
      <c r="T404" s="22" t="str">
        <f aca="false">IF(O404="","",IFERROR(INDEX('Semrush Data'!$A$1:$Z$20000,MATCH(O404,'Semrush Data'!$A$1:$A$20000,0),MATCH("Volume",'Semrush Data'!$A$1:$Z$1,0)),""))</f>
        <v/>
      </c>
      <c r="U404" s="22" t="str">
        <f aca="false">IF(P404="","",IFERROR(INDEX('Semrush Data'!$A$1:$Z$20000,MATCH(P404,'Semrush Data'!$A$1:$A$20000,0),MATCH("Volume",'Semrush Data'!$A$1:$Z$1,0)),""))</f>
        <v/>
      </c>
      <c r="V404" s="23" t="str">
        <f aca="false">IF(COUNT(Q404:U404)=0,L404,IF(MAX(Q404:U404)=0,L404,INDEX(L404:P404,MATCH(MAX(Q404:U404),Q404:U404,0))))</f>
        <v>hemel gris</v>
      </c>
      <c r="W404" s="22" t="n">
        <f aca="false">IFERROR(INDEX('Semrush Data'!$A$1:$Z$20000,MATCH(V404,'Semrush Data'!$A$1:$A$20000,0),MATCH("Volume",'Semrush Data'!$A$1:$Z$1,0)),"")</f>
        <v>0</v>
      </c>
      <c r="X404" s="22" t="n">
        <f aca="false">IFERROR(INDEX('Semrush Data'!$A$1:$Z$20000,MATCH(V404,'Semrush Data'!$A$1:$A$20000,0),MATCH("Keyword Difficulty*",'Semrush Data'!$A$1:$Z$1,0)),"")</f>
        <v>10</v>
      </c>
      <c r="Y404" s="24" t="n">
        <f aca="false">IFERROR(INDEX('Semrush Data'!$A$1:$Z$20000,MATCH(V404,'Semrush Data'!$A$1:$A$20000,0),MATCH("CPC*",'Semrush Data'!$A$1:$Z$1,0)),"")</f>
        <v>0</v>
      </c>
      <c r="Z404" s="21" t="s">
        <v>4905</v>
      </c>
      <c r="AA404" s="21" t="s">
        <v>4906</v>
      </c>
      <c r="AB404" s="21" t="s">
        <v>4907</v>
      </c>
      <c r="AC404" s="21" t="s">
        <v>4908</v>
      </c>
      <c r="AD404" s="25" t="n">
        <f aca="false">LEN(AC404)</f>
        <v>51</v>
      </c>
      <c r="AE404" s="21" t="s">
        <v>4909</v>
      </c>
      <c r="AF404" s="25" t="n">
        <f aca="false">LEN(AE404)</f>
        <v>144</v>
      </c>
    </row>
    <row r="405" customFormat="false" ht="15" hidden="false" customHeight="true" outlineLevel="0" collapsed="false">
      <c r="A405" s="21" t="s">
        <v>4910</v>
      </c>
      <c r="B405" s="21" t="s">
        <v>2390</v>
      </c>
      <c r="C405" s="21" t="n">
        <v>245</v>
      </c>
      <c r="D405" s="21" t="s">
        <v>4839</v>
      </c>
      <c r="E405" s="21"/>
      <c r="F405" s="21" t="s">
        <v>2393</v>
      </c>
      <c r="G405" s="21" t="s">
        <v>2394</v>
      </c>
      <c r="H405" s="21" t="s">
        <v>2479</v>
      </c>
      <c r="I405" s="21" t="s">
        <v>4911</v>
      </c>
      <c r="J405" s="21" t="s">
        <v>1935</v>
      </c>
      <c r="K405" s="21" t="n">
        <v>87.95</v>
      </c>
      <c r="L405" s="21" t="s">
        <v>4912</v>
      </c>
      <c r="M405" s="21" t="s">
        <v>4913</v>
      </c>
      <c r="N405" s="21" t="s">
        <v>4914</v>
      </c>
      <c r="O405" s="21" t="s">
        <v>4915</v>
      </c>
      <c r="P405" s="21" t="s">
        <v>4916</v>
      </c>
      <c r="Q405" s="22" t="n">
        <f aca="false">IF(L405="","",IFERROR(INDEX('Semrush Data'!$A$1:$Z$20000,MATCH(L405,'Semrush Data'!$A$1:$A$20000,0),MATCH("Volume",'Semrush Data'!$A$1:$Z$1,0)),""))</f>
        <v>0</v>
      </c>
      <c r="R405" s="22" t="str">
        <f aca="false">IF(M405="","",IFERROR(INDEX('Semrush Data'!$A$1:$Z$20000,MATCH(M405,'Semrush Data'!$A$1:$A$20000,0),MATCH("Volume",'Semrush Data'!$A$1:$Z$1,0)),""))</f>
        <v/>
      </c>
      <c r="S405" s="22" t="str">
        <f aca="false">IF(N405="","",IFERROR(INDEX('Semrush Data'!$A$1:$Z$20000,MATCH(N405,'Semrush Data'!$A$1:$A$20000,0),MATCH("Volume",'Semrush Data'!$A$1:$Z$1,0)),""))</f>
        <v/>
      </c>
      <c r="T405" s="22" t="str">
        <f aca="false">IF(O405="","",IFERROR(INDEX('Semrush Data'!$A$1:$Z$20000,MATCH(O405,'Semrush Data'!$A$1:$A$20000,0),MATCH("Volume",'Semrush Data'!$A$1:$Z$1,0)),""))</f>
        <v/>
      </c>
      <c r="U405" s="22" t="str">
        <f aca="false">IF(P405="","",IFERROR(INDEX('Semrush Data'!$A$1:$Z$20000,MATCH(P405,'Semrush Data'!$A$1:$A$20000,0),MATCH("Volume",'Semrush Data'!$A$1:$Z$1,0)),""))</f>
        <v/>
      </c>
      <c r="V405" s="23" t="str">
        <f aca="false">IF(COUNT(Q405:U405)=0,L405,IF(MAX(Q405:U405)=0,L405,INDEX(L405:P405,MATCH(MAX(Q405:U405),Q405:U405,0))))</f>
        <v>hemel paris dorado</v>
      </c>
      <c r="W405" s="22" t="n">
        <f aca="false">IFERROR(INDEX('Semrush Data'!$A$1:$Z$20000,MATCH(V405,'Semrush Data'!$A$1:$A$20000,0),MATCH("Volume",'Semrush Data'!$A$1:$Z$1,0)),"")</f>
        <v>0</v>
      </c>
      <c r="X405" s="22" t="n">
        <f aca="false">IFERROR(INDEX('Semrush Data'!$A$1:$Z$20000,MATCH(V405,'Semrush Data'!$A$1:$A$20000,0),MATCH("Keyword Difficulty*",'Semrush Data'!$A$1:$Z$1,0)),"")</f>
        <v>24</v>
      </c>
      <c r="Y405" s="24" t="n">
        <f aca="false">IFERROR(INDEX('Semrush Data'!$A$1:$Z$20000,MATCH(V405,'Semrush Data'!$A$1:$A$20000,0),MATCH("CPC*",'Semrush Data'!$A$1:$Z$1,0)),"")</f>
        <v>0</v>
      </c>
      <c r="Z405" s="21" t="s">
        <v>4853</v>
      </c>
      <c r="AA405" s="21"/>
      <c r="AB405" s="21" t="s">
        <v>4917</v>
      </c>
      <c r="AC405" s="21" t="s">
        <v>4918</v>
      </c>
      <c r="AD405" s="25" t="n">
        <f aca="false">LEN(AC405)</f>
        <v>56</v>
      </c>
      <c r="AE405" s="21" t="s">
        <v>4919</v>
      </c>
      <c r="AF405" s="25" t="n">
        <f aca="false">LEN(AE405)</f>
        <v>150</v>
      </c>
    </row>
    <row r="406" customFormat="false" ht="15" hidden="false" customHeight="true" outlineLevel="0" collapsed="false">
      <c r="A406" s="21" t="s">
        <v>4920</v>
      </c>
      <c r="B406" s="21" t="s">
        <v>2390</v>
      </c>
      <c r="C406" s="21" t="n">
        <v>246</v>
      </c>
      <c r="D406" s="21" t="s">
        <v>4839</v>
      </c>
      <c r="E406" s="21"/>
      <c r="F406" s="21" t="s">
        <v>2393</v>
      </c>
      <c r="G406" s="21" t="s">
        <v>2394</v>
      </c>
      <c r="H406" s="21" t="s">
        <v>2479</v>
      </c>
      <c r="I406" s="21" t="s">
        <v>4921</v>
      </c>
      <c r="J406" s="21" t="s">
        <v>1935</v>
      </c>
      <c r="K406" s="21" t="n">
        <v>87.95</v>
      </c>
      <c r="L406" s="21" t="s">
        <v>4922</v>
      </c>
      <c r="M406" s="21" t="s">
        <v>4923</v>
      </c>
      <c r="N406" s="21" t="s">
        <v>4924</v>
      </c>
      <c r="O406" s="21" t="s">
        <v>4925</v>
      </c>
      <c r="P406" s="21" t="s">
        <v>4926</v>
      </c>
      <c r="Q406" s="22" t="n">
        <f aca="false">IF(L406="","",IFERROR(INDEX('Semrush Data'!$A$1:$Z$20000,MATCH(L406,'Semrush Data'!$A$1:$A$20000,0),MATCH("Volume",'Semrush Data'!$A$1:$Z$1,0)),""))</f>
        <v>0</v>
      </c>
      <c r="R406" s="22" t="str">
        <f aca="false">IF(M406="","",IFERROR(INDEX('Semrush Data'!$A$1:$Z$20000,MATCH(M406,'Semrush Data'!$A$1:$A$20000,0),MATCH("Volume",'Semrush Data'!$A$1:$Z$1,0)),""))</f>
        <v/>
      </c>
      <c r="S406" s="22" t="str">
        <f aca="false">IF(N406="","",IFERROR(INDEX('Semrush Data'!$A$1:$Z$20000,MATCH(N406,'Semrush Data'!$A$1:$A$20000,0),MATCH("Volume",'Semrush Data'!$A$1:$Z$1,0)),""))</f>
        <v/>
      </c>
      <c r="T406" s="22" t="str">
        <f aca="false">IF(O406="","",IFERROR(INDEX('Semrush Data'!$A$1:$Z$20000,MATCH(O406,'Semrush Data'!$A$1:$A$20000,0),MATCH("Volume",'Semrush Data'!$A$1:$Z$1,0)),""))</f>
        <v/>
      </c>
      <c r="U406" s="22" t="str">
        <f aca="false">IF(P406="","",IFERROR(INDEX('Semrush Data'!$A$1:$Z$20000,MATCH(P406,'Semrush Data'!$A$1:$A$20000,0),MATCH("Volume",'Semrush Data'!$A$1:$Z$1,0)),""))</f>
        <v/>
      </c>
      <c r="V406" s="23" t="str">
        <f aca="false">IF(COUNT(Q406:U406)=0,L406,IF(MAX(Q406:U406)=0,L406,INDEX(L406:P406,MATCH(MAX(Q406:U406),Q406:U406,0))))</f>
        <v>hemel paris gris for all</v>
      </c>
      <c r="W406" s="22" t="n">
        <f aca="false">IFERROR(INDEX('Semrush Data'!$A$1:$Z$20000,MATCH(V406,'Semrush Data'!$A$1:$A$20000,0),MATCH("Volume",'Semrush Data'!$A$1:$Z$1,0)),"")</f>
        <v>0</v>
      </c>
      <c r="X406" s="22" t="n">
        <f aca="false">IFERROR(INDEX('Semrush Data'!$A$1:$Z$20000,MATCH(V406,'Semrush Data'!$A$1:$A$20000,0),MATCH("Keyword Difficulty*",'Semrush Data'!$A$1:$Z$1,0)),"")</f>
        <v>16</v>
      </c>
      <c r="Y406" s="24" t="n">
        <f aca="false">IFERROR(INDEX('Semrush Data'!$A$1:$Z$20000,MATCH(V406,'Semrush Data'!$A$1:$A$20000,0),MATCH("CPC*",'Semrush Data'!$A$1:$Z$1,0)),"")</f>
        <v>0</v>
      </c>
      <c r="Z406" s="21" t="s">
        <v>4853</v>
      </c>
      <c r="AA406" s="21"/>
      <c r="AB406" s="21" t="s">
        <v>4927</v>
      </c>
      <c r="AC406" s="21" t="s">
        <v>4928</v>
      </c>
      <c r="AD406" s="25" t="n">
        <f aca="false">LEN(AC406)</f>
        <v>52</v>
      </c>
      <c r="AE406" s="21" t="s">
        <v>4929</v>
      </c>
      <c r="AF406" s="25" t="n">
        <f aca="false">LEN(AE406)</f>
        <v>159</v>
      </c>
    </row>
    <row r="407" customFormat="false" ht="15" hidden="false" customHeight="true" outlineLevel="0" collapsed="false">
      <c r="A407" s="21" t="s">
        <v>4930</v>
      </c>
      <c r="B407" s="21" t="s">
        <v>2390</v>
      </c>
      <c r="C407" s="21" t="n">
        <v>247</v>
      </c>
      <c r="D407" s="21" t="s">
        <v>4839</v>
      </c>
      <c r="E407" s="21"/>
      <c r="F407" s="21" t="s">
        <v>2393</v>
      </c>
      <c r="G407" s="21" t="s">
        <v>2394</v>
      </c>
      <c r="H407" s="21" t="s">
        <v>2524</v>
      </c>
      <c r="I407" s="21" t="s">
        <v>4931</v>
      </c>
      <c r="J407" s="21" t="s">
        <v>1935</v>
      </c>
      <c r="K407" s="21" t="n">
        <v>87.95</v>
      </c>
      <c r="L407" s="21" t="s">
        <v>4932</v>
      </c>
      <c r="M407" s="21" t="s">
        <v>4933</v>
      </c>
      <c r="N407" s="21" t="s">
        <v>4934</v>
      </c>
      <c r="O407" s="21" t="s">
        <v>4935</v>
      </c>
      <c r="P407" s="21" t="s">
        <v>4936</v>
      </c>
      <c r="Q407" s="22" t="n">
        <f aca="false">IF(L407="","",IFERROR(INDEX('Semrush Data'!$A$1:$Z$20000,MATCH(L407,'Semrush Data'!$A$1:$A$20000,0),MATCH("Volume",'Semrush Data'!$A$1:$Z$1,0)),""))</f>
        <v>20</v>
      </c>
      <c r="R407" s="22" t="str">
        <f aca="false">IF(M407="","",IFERROR(INDEX('Semrush Data'!$A$1:$Z$20000,MATCH(M407,'Semrush Data'!$A$1:$A$20000,0),MATCH("Volume",'Semrush Data'!$A$1:$Z$1,0)),""))</f>
        <v/>
      </c>
      <c r="S407" s="22" t="str">
        <f aca="false">IF(N407="","",IFERROR(INDEX('Semrush Data'!$A$1:$Z$20000,MATCH(N407,'Semrush Data'!$A$1:$A$20000,0),MATCH("Volume",'Semrush Data'!$A$1:$Z$1,0)),""))</f>
        <v/>
      </c>
      <c r="T407" s="22" t="str">
        <f aca="false">IF(O407="","",IFERROR(INDEX('Semrush Data'!$A$1:$Z$20000,MATCH(O407,'Semrush Data'!$A$1:$A$20000,0),MATCH("Volume",'Semrush Data'!$A$1:$Z$1,0)),""))</f>
        <v/>
      </c>
      <c r="U407" s="22" t="str">
        <f aca="false">IF(P407="","",IFERROR(INDEX('Semrush Data'!$A$1:$Z$20000,MATCH(P407,'Semrush Data'!$A$1:$A$20000,0),MATCH("Volume",'Semrush Data'!$A$1:$Z$1,0)),""))</f>
        <v/>
      </c>
      <c r="V407" s="23" t="str">
        <f aca="false">IF(COUNT(Q407:U407)=0,L407,IF(MAX(Q407:U407)=0,L407,INDEX(L407:P407,MATCH(MAX(Q407:U407),Q407:U407,0))))</f>
        <v>hemel patchouli for all</v>
      </c>
      <c r="W407" s="22" t="n">
        <f aca="false">IFERROR(INDEX('Semrush Data'!$A$1:$Z$20000,MATCH(V407,'Semrush Data'!$A$1:$A$20000,0),MATCH("Volume",'Semrush Data'!$A$1:$Z$1,0)),"")</f>
        <v>20</v>
      </c>
      <c r="X407" s="22" t="n">
        <f aca="false">IFERROR(INDEX('Semrush Data'!$A$1:$Z$20000,MATCH(V407,'Semrush Data'!$A$1:$A$20000,0),MATCH("Keyword Difficulty*",'Semrush Data'!$A$1:$Z$1,0)),"")</f>
        <v>21</v>
      </c>
      <c r="Y407" s="24" t="n">
        <f aca="false">IFERROR(INDEX('Semrush Data'!$A$1:$Z$20000,MATCH(V407,'Semrush Data'!$A$1:$A$20000,0),MATCH("CPC*",'Semrush Data'!$A$1:$Z$1,0)),"")</f>
        <v>0</v>
      </c>
      <c r="Z407" s="21" t="s">
        <v>4905</v>
      </c>
      <c r="AA407" s="21" t="s">
        <v>4937</v>
      </c>
      <c r="AB407" s="21" t="s">
        <v>4938</v>
      </c>
      <c r="AC407" s="21" t="s">
        <v>4939</v>
      </c>
      <c r="AD407" s="25" t="n">
        <f aca="false">LEN(AC407)</f>
        <v>60</v>
      </c>
      <c r="AE407" s="21" t="s">
        <v>4940</v>
      </c>
      <c r="AF407" s="25" t="n">
        <f aca="false">LEN(AE407)</f>
        <v>157</v>
      </c>
    </row>
    <row r="408" customFormat="false" ht="15" hidden="false" customHeight="true" outlineLevel="0" collapsed="false">
      <c r="A408" s="21" t="s">
        <v>4941</v>
      </c>
      <c r="B408" s="21" t="s">
        <v>2390</v>
      </c>
      <c r="C408" s="21" t="n">
        <v>248</v>
      </c>
      <c r="D408" s="21" t="s">
        <v>4839</v>
      </c>
      <c r="E408" s="21"/>
      <c r="F408" s="21" t="s">
        <v>2393</v>
      </c>
      <c r="G408" s="21" t="s">
        <v>2394</v>
      </c>
      <c r="H408" s="21" t="s">
        <v>2524</v>
      </c>
      <c r="I408" s="21" t="s">
        <v>4942</v>
      </c>
      <c r="J408" s="21" t="s">
        <v>1935</v>
      </c>
      <c r="K408" s="21" t="n">
        <v>61.99</v>
      </c>
      <c r="L408" s="21" t="s">
        <v>4932</v>
      </c>
      <c r="M408" s="21" t="s">
        <v>4933</v>
      </c>
      <c r="N408" s="21" t="s">
        <v>4934</v>
      </c>
      <c r="O408" s="21" t="s">
        <v>4935</v>
      </c>
      <c r="P408" s="21" t="s">
        <v>4936</v>
      </c>
      <c r="Q408" s="22" t="n">
        <f aca="false">IF(L408="","",IFERROR(INDEX('Semrush Data'!$A$1:$Z$20000,MATCH(L408,'Semrush Data'!$A$1:$A$20000,0),MATCH("Volume",'Semrush Data'!$A$1:$Z$1,0)),""))</f>
        <v>20</v>
      </c>
      <c r="R408" s="22" t="str">
        <f aca="false">IF(M408="","",IFERROR(INDEX('Semrush Data'!$A$1:$Z$20000,MATCH(M408,'Semrush Data'!$A$1:$A$20000,0),MATCH("Volume",'Semrush Data'!$A$1:$Z$1,0)),""))</f>
        <v/>
      </c>
      <c r="S408" s="22" t="str">
        <f aca="false">IF(N408="","",IFERROR(INDEX('Semrush Data'!$A$1:$Z$20000,MATCH(N408,'Semrush Data'!$A$1:$A$20000,0),MATCH("Volume",'Semrush Data'!$A$1:$Z$1,0)),""))</f>
        <v/>
      </c>
      <c r="T408" s="22" t="str">
        <f aca="false">IF(O408="","",IFERROR(INDEX('Semrush Data'!$A$1:$Z$20000,MATCH(O408,'Semrush Data'!$A$1:$A$20000,0),MATCH("Volume",'Semrush Data'!$A$1:$Z$1,0)),""))</f>
        <v/>
      </c>
      <c r="U408" s="22" t="str">
        <f aca="false">IF(P408="","",IFERROR(INDEX('Semrush Data'!$A$1:$Z$20000,MATCH(P408,'Semrush Data'!$A$1:$A$20000,0),MATCH("Volume",'Semrush Data'!$A$1:$Z$1,0)),""))</f>
        <v/>
      </c>
      <c r="V408" s="23" t="str">
        <f aca="false">IF(COUNT(Q408:U408)=0,L408,IF(MAX(Q408:U408)=0,L408,INDEX(L408:P408,MATCH(MAX(Q408:U408),Q408:U408,0))))</f>
        <v>hemel patchouli for all</v>
      </c>
      <c r="W408" s="22" t="n">
        <f aca="false">IFERROR(INDEX('Semrush Data'!$A$1:$Z$20000,MATCH(V408,'Semrush Data'!$A$1:$A$20000,0),MATCH("Volume",'Semrush Data'!$A$1:$Z$1,0)),"")</f>
        <v>20</v>
      </c>
      <c r="X408" s="22" t="n">
        <f aca="false">IFERROR(INDEX('Semrush Data'!$A$1:$Z$20000,MATCH(V408,'Semrush Data'!$A$1:$A$20000,0),MATCH("Keyword Difficulty*",'Semrush Data'!$A$1:$Z$1,0)),"")</f>
        <v>21</v>
      </c>
      <c r="Y408" s="24" t="n">
        <f aca="false">IFERROR(INDEX('Semrush Data'!$A$1:$Z$20000,MATCH(V408,'Semrush Data'!$A$1:$A$20000,0),MATCH("CPC*",'Semrush Data'!$A$1:$Z$1,0)),"")</f>
        <v>0</v>
      </c>
      <c r="Z408" s="21" t="s">
        <v>4905</v>
      </c>
      <c r="AA408" s="21" t="s">
        <v>4937</v>
      </c>
      <c r="AB408" s="21" t="s">
        <v>4943</v>
      </c>
      <c r="AC408" s="21" t="s">
        <v>4939</v>
      </c>
      <c r="AD408" s="25" t="n">
        <f aca="false">LEN(AC408)</f>
        <v>60</v>
      </c>
      <c r="AE408" s="21" t="s">
        <v>4944</v>
      </c>
      <c r="AF408" s="25" t="n">
        <f aca="false">LEN(AE408)</f>
        <v>157</v>
      </c>
    </row>
    <row r="409" customFormat="false" ht="15" hidden="false" customHeight="true" outlineLevel="0" collapsed="false">
      <c r="A409" s="21" t="s">
        <v>4945</v>
      </c>
      <c r="B409" s="21" t="s">
        <v>2390</v>
      </c>
      <c r="C409" s="21" t="n">
        <v>249</v>
      </c>
      <c r="D409" s="21" t="s">
        <v>4839</v>
      </c>
      <c r="E409" s="21"/>
      <c r="F409" s="21" t="s">
        <v>2393</v>
      </c>
      <c r="G409" s="21" t="s">
        <v>2394</v>
      </c>
      <c r="H409" s="21" t="s">
        <v>2524</v>
      </c>
      <c r="I409" s="21" t="s">
        <v>4946</v>
      </c>
      <c r="J409" s="21" t="s">
        <v>1935</v>
      </c>
      <c r="K409" s="21" t="n">
        <v>49.99</v>
      </c>
      <c r="L409" s="21" t="s">
        <v>4947</v>
      </c>
      <c r="M409" s="21" t="s">
        <v>4948</v>
      </c>
      <c r="N409" s="21" t="s">
        <v>4949</v>
      </c>
      <c r="O409" s="21" t="s">
        <v>4950</v>
      </c>
      <c r="P409" s="21" t="s">
        <v>4951</v>
      </c>
      <c r="Q409" s="22" t="n">
        <f aca="false">IF(L409="","",IFERROR(INDEX('Semrush Data'!$A$1:$Z$20000,MATCH(L409,'Semrush Data'!$A$1:$A$20000,0),MATCH("Volume",'Semrush Data'!$A$1:$Z$1,0)),""))</f>
        <v>0</v>
      </c>
      <c r="R409" s="22" t="str">
        <f aca="false">IF(M409="","",IFERROR(INDEX('Semrush Data'!$A$1:$Z$20000,MATCH(M409,'Semrush Data'!$A$1:$A$20000,0),MATCH("Volume",'Semrush Data'!$A$1:$Z$1,0)),""))</f>
        <v/>
      </c>
      <c r="S409" s="22" t="str">
        <f aca="false">IF(N409="","",IFERROR(INDEX('Semrush Data'!$A$1:$Z$20000,MATCH(N409,'Semrush Data'!$A$1:$A$20000,0),MATCH("Volume",'Semrush Data'!$A$1:$Z$1,0)),""))</f>
        <v/>
      </c>
      <c r="T409" s="22" t="str">
        <f aca="false">IF(O409="","",IFERROR(INDEX('Semrush Data'!$A$1:$Z$20000,MATCH(O409,'Semrush Data'!$A$1:$A$20000,0),MATCH("Volume",'Semrush Data'!$A$1:$Z$1,0)),""))</f>
        <v/>
      </c>
      <c r="U409" s="22" t="str">
        <f aca="false">IF(P409="","",IFERROR(INDEX('Semrush Data'!$A$1:$Z$20000,MATCH(P409,'Semrush Data'!$A$1:$A$20000,0),MATCH("Volume",'Semrush Data'!$A$1:$Z$1,0)),""))</f>
        <v/>
      </c>
      <c r="V409" s="23" t="str">
        <f aca="false">IF(COUNT(Q409:U409)=0,L409,IF(MAX(Q409:U409)=0,L409,INDEX(L409:P409,MATCH(MAX(Q409:U409),Q409:U409,0))))</f>
        <v>hemel plateado</v>
      </c>
      <c r="W409" s="22" t="n">
        <f aca="false">IFERROR(INDEX('Semrush Data'!$A$1:$Z$20000,MATCH(V409,'Semrush Data'!$A$1:$A$20000,0),MATCH("Volume",'Semrush Data'!$A$1:$Z$1,0)),"")</f>
        <v>0</v>
      </c>
      <c r="X409" s="22" t="n">
        <f aca="false">IFERROR(INDEX('Semrush Data'!$A$1:$Z$20000,MATCH(V409,'Semrush Data'!$A$1:$A$20000,0),MATCH("Keyword Difficulty*",'Semrush Data'!$A$1:$Z$1,0)),"")</f>
        <v>10</v>
      </c>
      <c r="Y409" s="24" t="n">
        <f aca="false">IFERROR(INDEX('Semrush Data'!$A$1:$Z$20000,MATCH(V409,'Semrush Data'!$A$1:$A$20000,0),MATCH("CPC*",'Semrush Data'!$A$1:$Z$1,0)),"")</f>
        <v>0</v>
      </c>
      <c r="Z409" s="21" t="s">
        <v>4905</v>
      </c>
      <c r="AA409" s="21"/>
      <c r="AB409" s="21" t="s">
        <v>4952</v>
      </c>
      <c r="AC409" s="21" t="s">
        <v>4953</v>
      </c>
      <c r="AD409" s="25" t="n">
        <f aca="false">LEN(AC409)</f>
        <v>55</v>
      </c>
      <c r="AE409" s="21" t="s">
        <v>4954</v>
      </c>
      <c r="AF409" s="25" t="n">
        <f aca="false">LEN(AE409)</f>
        <v>148</v>
      </c>
    </row>
    <row r="410" customFormat="false" ht="15" hidden="false" customHeight="true" outlineLevel="0" collapsed="false">
      <c r="A410" s="21" t="s">
        <v>4955</v>
      </c>
      <c r="B410" s="21" t="s">
        <v>2390</v>
      </c>
      <c r="C410" s="21" t="n">
        <v>250</v>
      </c>
      <c r="D410" s="21" t="s">
        <v>4839</v>
      </c>
      <c r="E410" s="21"/>
      <c r="F410" s="21" t="s">
        <v>2393</v>
      </c>
      <c r="G410" s="21" t="s">
        <v>2394</v>
      </c>
      <c r="H410" s="21" t="s">
        <v>2479</v>
      </c>
      <c r="I410" s="21" t="s">
        <v>4956</v>
      </c>
      <c r="J410" s="21" t="s">
        <v>1935</v>
      </c>
      <c r="K410" s="21" t="n">
        <v>87.95</v>
      </c>
      <c r="L410" s="21" t="s">
        <v>4947</v>
      </c>
      <c r="M410" s="21" t="s">
        <v>4948</v>
      </c>
      <c r="N410" s="21" t="s">
        <v>4949</v>
      </c>
      <c r="O410" s="21" t="s">
        <v>4950</v>
      </c>
      <c r="P410" s="21" t="s">
        <v>4951</v>
      </c>
      <c r="Q410" s="22" t="n">
        <f aca="false">IF(L410="","",IFERROR(INDEX('Semrush Data'!$A$1:$Z$20000,MATCH(L410,'Semrush Data'!$A$1:$A$20000,0),MATCH("Volume",'Semrush Data'!$A$1:$Z$1,0)),""))</f>
        <v>0</v>
      </c>
      <c r="R410" s="22" t="str">
        <f aca="false">IF(M410="","",IFERROR(INDEX('Semrush Data'!$A$1:$Z$20000,MATCH(M410,'Semrush Data'!$A$1:$A$20000,0),MATCH("Volume",'Semrush Data'!$A$1:$Z$1,0)),""))</f>
        <v/>
      </c>
      <c r="S410" s="22" t="str">
        <f aca="false">IF(N410="","",IFERROR(INDEX('Semrush Data'!$A$1:$Z$20000,MATCH(N410,'Semrush Data'!$A$1:$A$20000,0),MATCH("Volume",'Semrush Data'!$A$1:$Z$1,0)),""))</f>
        <v/>
      </c>
      <c r="T410" s="22" t="str">
        <f aca="false">IF(O410="","",IFERROR(INDEX('Semrush Data'!$A$1:$Z$20000,MATCH(O410,'Semrush Data'!$A$1:$A$20000,0),MATCH("Volume",'Semrush Data'!$A$1:$Z$1,0)),""))</f>
        <v/>
      </c>
      <c r="U410" s="22" t="str">
        <f aca="false">IF(P410="","",IFERROR(INDEX('Semrush Data'!$A$1:$Z$20000,MATCH(P410,'Semrush Data'!$A$1:$A$20000,0),MATCH("Volume",'Semrush Data'!$A$1:$Z$1,0)),""))</f>
        <v/>
      </c>
      <c r="V410" s="23" t="str">
        <f aca="false">IF(COUNT(Q410:U410)=0,L410,IF(MAX(Q410:U410)=0,L410,INDEX(L410:P410,MATCH(MAX(Q410:U410),Q410:U410,0))))</f>
        <v>hemel plateado</v>
      </c>
      <c r="W410" s="22" t="n">
        <f aca="false">IFERROR(INDEX('Semrush Data'!$A$1:$Z$20000,MATCH(V410,'Semrush Data'!$A$1:$A$20000,0),MATCH("Volume",'Semrush Data'!$A$1:$Z$1,0)),"")</f>
        <v>0</v>
      </c>
      <c r="X410" s="22" t="n">
        <f aca="false">IFERROR(INDEX('Semrush Data'!$A$1:$Z$20000,MATCH(V410,'Semrush Data'!$A$1:$A$20000,0),MATCH("Keyword Difficulty*",'Semrush Data'!$A$1:$Z$1,0)),"")</f>
        <v>10</v>
      </c>
      <c r="Y410" s="24" t="n">
        <f aca="false">IFERROR(INDEX('Semrush Data'!$A$1:$Z$20000,MATCH(V410,'Semrush Data'!$A$1:$A$20000,0),MATCH("CPC*",'Semrush Data'!$A$1:$Z$1,0)),"")</f>
        <v>0</v>
      </c>
      <c r="Z410" s="21" t="s">
        <v>4853</v>
      </c>
      <c r="AA410" s="21"/>
      <c r="AB410" s="21" t="s">
        <v>4957</v>
      </c>
      <c r="AC410" s="21" t="s">
        <v>4958</v>
      </c>
      <c r="AD410" s="25" t="n">
        <f aca="false">LEN(AC410)</f>
        <v>58</v>
      </c>
      <c r="AE410" s="21" t="s">
        <v>4959</v>
      </c>
      <c r="AF410" s="25" t="n">
        <f aca="false">LEN(AE410)</f>
        <v>156</v>
      </c>
    </row>
    <row r="411" customFormat="false" ht="15" hidden="false" customHeight="true" outlineLevel="0" collapsed="false">
      <c r="A411" s="21" t="s">
        <v>4960</v>
      </c>
      <c r="B411" s="21" t="s">
        <v>2390</v>
      </c>
      <c r="C411" s="21" t="n">
        <v>251</v>
      </c>
      <c r="D411" s="21" t="s">
        <v>4839</v>
      </c>
      <c r="E411" s="21"/>
      <c r="F411" s="21" t="s">
        <v>2393</v>
      </c>
      <c r="G411" s="21" t="s">
        <v>2394</v>
      </c>
      <c r="H411" s="21" t="s">
        <v>2468</v>
      </c>
      <c r="I411" s="21" t="s">
        <v>4961</v>
      </c>
      <c r="J411" s="21" t="s">
        <v>1935</v>
      </c>
      <c r="K411" s="21" t="n">
        <v>49.99</v>
      </c>
      <c r="L411" s="21" t="s">
        <v>4962</v>
      </c>
      <c r="M411" s="21" t="s">
        <v>4963</v>
      </c>
      <c r="N411" s="21" t="s">
        <v>4964</v>
      </c>
      <c r="O411" s="21" t="s">
        <v>4965</v>
      </c>
      <c r="P411" s="21" t="s">
        <v>4966</v>
      </c>
      <c r="Q411" s="22" t="n">
        <f aca="false">IF(L411="","",IFERROR(INDEX('Semrush Data'!$A$1:$Z$20000,MATCH(L411,'Semrush Data'!$A$1:$A$20000,0),MATCH("Volume",'Semrush Data'!$A$1:$Z$1,0)),""))</f>
        <v>0</v>
      </c>
      <c r="R411" s="22" t="str">
        <f aca="false">IF(M411="","",IFERROR(INDEX('Semrush Data'!$A$1:$Z$20000,MATCH(M411,'Semrush Data'!$A$1:$A$20000,0),MATCH("Volume",'Semrush Data'!$A$1:$Z$1,0)),""))</f>
        <v/>
      </c>
      <c r="S411" s="22" t="str">
        <f aca="false">IF(N411="","",IFERROR(INDEX('Semrush Data'!$A$1:$Z$20000,MATCH(N411,'Semrush Data'!$A$1:$A$20000,0),MATCH("Volume",'Semrush Data'!$A$1:$Z$1,0)),""))</f>
        <v/>
      </c>
      <c r="T411" s="22" t="str">
        <f aca="false">IF(O411="","",IFERROR(INDEX('Semrush Data'!$A$1:$Z$20000,MATCH(O411,'Semrush Data'!$A$1:$A$20000,0),MATCH("Volume",'Semrush Data'!$A$1:$Z$1,0)),""))</f>
        <v/>
      </c>
      <c r="U411" s="22" t="str">
        <f aca="false">IF(P411="","",IFERROR(INDEX('Semrush Data'!$A$1:$Z$20000,MATCH(P411,'Semrush Data'!$A$1:$A$20000,0),MATCH("Volume",'Semrush Data'!$A$1:$Z$1,0)),""))</f>
        <v/>
      </c>
      <c r="V411" s="23" t="str">
        <f aca="false">IF(COUNT(Q411:U411)=0,L411,IF(MAX(Q411:U411)=0,L411,INDEX(L411:P411,MATCH(MAX(Q411:U411),Q411:U411,0))))</f>
        <v>hemel rosado</v>
      </c>
      <c r="W411" s="22" t="n">
        <f aca="false">IFERROR(INDEX('Semrush Data'!$A$1:$Z$20000,MATCH(V411,'Semrush Data'!$A$1:$A$20000,0),MATCH("Volume",'Semrush Data'!$A$1:$Z$1,0)),"")</f>
        <v>0</v>
      </c>
      <c r="X411" s="22" t="n">
        <f aca="false">IFERROR(INDEX('Semrush Data'!$A$1:$Z$20000,MATCH(V411,'Semrush Data'!$A$1:$A$20000,0),MATCH("Keyword Difficulty*",'Semrush Data'!$A$1:$Z$1,0)),"")</f>
        <v>23</v>
      </c>
      <c r="Y411" s="24" t="n">
        <f aca="false">IFERROR(INDEX('Semrush Data'!$A$1:$Z$20000,MATCH(V411,'Semrush Data'!$A$1:$A$20000,0),MATCH("CPC*",'Semrush Data'!$A$1:$Z$1,0)),"")</f>
        <v>0</v>
      </c>
      <c r="Z411" s="21" t="s">
        <v>4846</v>
      </c>
      <c r="AA411" s="21" t="s">
        <v>4967</v>
      </c>
      <c r="AB411" s="21" t="s">
        <v>4968</v>
      </c>
      <c r="AC411" s="21" t="s">
        <v>4969</v>
      </c>
      <c r="AD411" s="25" t="n">
        <f aca="false">LEN(AC411)</f>
        <v>53</v>
      </c>
      <c r="AE411" s="21" t="s">
        <v>4970</v>
      </c>
      <c r="AF411" s="25" t="n">
        <f aca="false">LEN(AE411)</f>
        <v>147</v>
      </c>
    </row>
    <row r="412" customFormat="false" ht="15" hidden="false" customHeight="true" outlineLevel="0" collapsed="false">
      <c r="A412" s="21" t="s">
        <v>4971</v>
      </c>
      <c r="B412" s="21" t="s">
        <v>2390</v>
      </c>
      <c r="C412" s="21" t="n">
        <v>252</v>
      </c>
      <c r="D412" s="21" t="s">
        <v>4839</v>
      </c>
      <c r="E412" s="21"/>
      <c r="F412" s="21" t="s">
        <v>2393</v>
      </c>
      <c r="G412" s="21" t="s">
        <v>2394</v>
      </c>
      <c r="H412" s="21" t="s">
        <v>2479</v>
      </c>
      <c r="I412" s="21" t="s">
        <v>4972</v>
      </c>
      <c r="J412" s="21" t="s">
        <v>1935</v>
      </c>
      <c r="K412" s="21" t="n">
        <v>87.95</v>
      </c>
      <c r="L412" s="21" t="s">
        <v>4962</v>
      </c>
      <c r="M412" s="21" t="s">
        <v>4963</v>
      </c>
      <c r="N412" s="21" t="s">
        <v>4964</v>
      </c>
      <c r="O412" s="21" t="s">
        <v>4965</v>
      </c>
      <c r="P412" s="21" t="s">
        <v>4966</v>
      </c>
      <c r="Q412" s="22" t="n">
        <f aca="false">IF(L412="","",IFERROR(INDEX('Semrush Data'!$A$1:$Z$20000,MATCH(L412,'Semrush Data'!$A$1:$A$20000,0),MATCH("Volume",'Semrush Data'!$A$1:$Z$1,0)),""))</f>
        <v>0</v>
      </c>
      <c r="R412" s="22" t="str">
        <f aca="false">IF(M412="","",IFERROR(INDEX('Semrush Data'!$A$1:$Z$20000,MATCH(M412,'Semrush Data'!$A$1:$A$20000,0),MATCH("Volume",'Semrush Data'!$A$1:$Z$1,0)),""))</f>
        <v/>
      </c>
      <c r="S412" s="22" t="str">
        <f aca="false">IF(N412="","",IFERROR(INDEX('Semrush Data'!$A$1:$Z$20000,MATCH(N412,'Semrush Data'!$A$1:$A$20000,0),MATCH("Volume",'Semrush Data'!$A$1:$Z$1,0)),""))</f>
        <v/>
      </c>
      <c r="T412" s="22" t="str">
        <f aca="false">IF(O412="","",IFERROR(INDEX('Semrush Data'!$A$1:$Z$20000,MATCH(O412,'Semrush Data'!$A$1:$A$20000,0),MATCH("Volume",'Semrush Data'!$A$1:$Z$1,0)),""))</f>
        <v/>
      </c>
      <c r="U412" s="22" t="str">
        <f aca="false">IF(P412="","",IFERROR(INDEX('Semrush Data'!$A$1:$Z$20000,MATCH(P412,'Semrush Data'!$A$1:$A$20000,0),MATCH("Volume",'Semrush Data'!$A$1:$Z$1,0)),""))</f>
        <v/>
      </c>
      <c r="V412" s="23" t="str">
        <f aca="false">IF(COUNT(Q412:U412)=0,L412,IF(MAX(Q412:U412)=0,L412,INDEX(L412:P412,MATCH(MAX(Q412:U412),Q412:U412,0))))</f>
        <v>hemel rosado</v>
      </c>
      <c r="W412" s="22" t="n">
        <f aca="false">IFERROR(INDEX('Semrush Data'!$A$1:$Z$20000,MATCH(V412,'Semrush Data'!$A$1:$A$20000,0),MATCH("Volume",'Semrush Data'!$A$1:$Z$1,0)),"")</f>
        <v>0</v>
      </c>
      <c r="X412" s="22" t="n">
        <f aca="false">IFERROR(INDEX('Semrush Data'!$A$1:$Z$20000,MATCH(V412,'Semrush Data'!$A$1:$A$20000,0),MATCH("Keyword Difficulty*",'Semrush Data'!$A$1:$Z$1,0)),"")</f>
        <v>23</v>
      </c>
      <c r="Y412" s="24" t="n">
        <f aca="false">IFERROR(INDEX('Semrush Data'!$A$1:$Z$20000,MATCH(V412,'Semrush Data'!$A$1:$A$20000,0),MATCH("CPC*",'Semrush Data'!$A$1:$Z$1,0)),"")</f>
        <v>0</v>
      </c>
      <c r="Z412" s="21" t="s">
        <v>4853</v>
      </c>
      <c r="AA412" s="21" t="s">
        <v>4967</v>
      </c>
      <c r="AB412" s="21" t="s">
        <v>4973</v>
      </c>
      <c r="AC412" s="21" t="s">
        <v>4974</v>
      </c>
      <c r="AD412" s="25" t="n">
        <f aca="false">LEN(AC412)</f>
        <v>60</v>
      </c>
      <c r="AE412" s="21" t="s">
        <v>4975</v>
      </c>
      <c r="AF412" s="25" t="n">
        <f aca="false">LEN(AE412)</f>
        <v>154</v>
      </c>
    </row>
    <row r="413" customFormat="false" ht="15" hidden="false" customHeight="true" outlineLevel="0" collapsed="false">
      <c r="A413" s="21" t="s">
        <v>4976</v>
      </c>
      <c r="B413" s="21" t="s">
        <v>2390</v>
      </c>
      <c r="C413" s="21" t="n">
        <v>253</v>
      </c>
      <c r="D413" s="21" t="s">
        <v>4839</v>
      </c>
      <c r="E413" s="21"/>
      <c r="F413" s="21" t="s">
        <v>2393</v>
      </c>
      <c r="G413" s="21" t="s">
        <v>2394</v>
      </c>
      <c r="H413" s="21" t="s">
        <v>2468</v>
      </c>
      <c r="I413" s="21" t="s">
        <v>4977</v>
      </c>
      <c r="J413" s="21" t="s">
        <v>1935</v>
      </c>
      <c r="K413" s="21" t="n">
        <v>61.99</v>
      </c>
      <c r="L413" s="21" t="s">
        <v>4978</v>
      </c>
      <c r="M413" s="21" t="s">
        <v>4979</v>
      </c>
      <c r="N413" s="21" t="s">
        <v>4980</v>
      </c>
      <c r="O413" s="21" t="s">
        <v>4981</v>
      </c>
      <c r="P413" s="21" t="s">
        <v>4982</v>
      </c>
      <c r="Q413" s="22" t="n">
        <f aca="false">IF(L413="","",IFERROR(INDEX('Semrush Data'!$A$1:$Z$20000,MATCH(L413,'Semrush Data'!$A$1:$A$20000,0),MATCH("Volume",'Semrush Data'!$A$1:$Z$1,0)),""))</f>
        <v>10</v>
      </c>
      <c r="R413" s="22" t="str">
        <f aca="false">IF(M413="","",IFERROR(INDEX('Semrush Data'!$A$1:$Z$20000,MATCH(M413,'Semrush Data'!$A$1:$A$20000,0),MATCH("Volume",'Semrush Data'!$A$1:$Z$1,0)),""))</f>
        <v/>
      </c>
      <c r="S413" s="22" t="str">
        <f aca="false">IF(N413="","",IFERROR(INDEX('Semrush Data'!$A$1:$Z$20000,MATCH(N413,'Semrush Data'!$A$1:$A$20000,0),MATCH("Volume",'Semrush Data'!$A$1:$Z$1,0)),""))</f>
        <v/>
      </c>
      <c r="T413" s="22" t="str">
        <f aca="false">IF(O413="","",IFERROR(INDEX('Semrush Data'!$A$1:$Z$20000,MATCH(O413,'Semrush Data'!$A$1:$A$20000,0),MATCH("Volume",'Semrush Data'!$A$1:$Z$1,0)),""))</f>
        <v/>
      </c>
      <c r="U413" s="22" t="str">
        <f aca="false">IF(P413="","",IFERROR(INDEX('Semrush Data'!$A$1:$Z$20000,MATCH(P413,'Semrush Data'!$A$1:$A$20000,0),MATCH("Volume",'Semrush Data'!$A$1:$Z$1,0)),""))</f>
        <v/>
      </c>
      <c r="V413" s="23" t="str">
        <f aca="false">IF(COUNT(Q413:U413)=0,L413,IF(MAX(Q413:U413)=0,L413,INDEX(L413:P413,MATCH(MAX(Q413:U413),Q413:U413,0))))</f>
        <v>hemel valley of diamond</v>
      </c>
      <c r="W413" s="22" t="n">
        <f aca="false">IFERROR(INDEX('Semrush Data'!$A$1:$Z$20000,MATCH(V413,'Semrush Data'!$A$1:$A$20000,0),MATCH("Volume",'Semrush Data'!$A$1:$Z$1,0)),"")</f>
        <v>10</v>
      </c>
      <c r="X413" s="22" t="n">
        <f aca="false">IFERROR(INDEX('Semrush Data'!$A$1:$Z$20000,MATCH(V413,'Semrush Data'!$A$1:$A$20000,0),MATCH("Keyword Difficulty*",'Semrush Data'!$A$1:$Z$1,0)),"")</f>
        <v>9</v>
      </c>
      <c r="Y413" s="24" t="n">
        <f aca="false">IFERROR(INDEX('Semrush Data'!$A$1:$Z$20000,MATCH(V413,'Semrush Data'!$A$1:$A$20000,0),MATCH("CPC*",'Semrush Data'!$A$1:$Z$1,0)),"")</f>
        <v>0</v>
      </c>
      <c r="Z413" s="21" t="s">
        <v>4846</v>
      </c>
      <c r="AA413" s="21" t="s">
        <v>4983</v>
      </c>
      <c r="AB413" s="21" t="s">
        <v>4984</v>
      </c>
      <c r="AC413" s="21" t="s">
        <v>4985</v>
      </c>
      <c r="AD413" s="25" t="n">
        <f aca="false">LEN(AC413)</f>
        <v>60</v>
      </c>
      <c r="AE413" s="21" t="s">
        <v>4986</v>
      </c>
      <c r="AF413" s="25" t="n">
        <f aca="false">LEN(AE413)</f>
        <v>158</v>
      </c>
    </row>
    <row r="414" customFormat="false" ht="15" hidden="false" customHeight="true" outlineLevel="0" collapsed="false">
      <c r="A414" s="21" t="s">
        <v>4987</v>
      </c>
      <c r="B414" s="21" t="s">
        <v>2390</v>
      </c>
      <c r="C414" s="21" t="n">
        <v>254</v>
      </c>
      <c r="D414" s="21" t="s">
        <v>4839</v>
      </c>
      <c r="E414" s="21"/>
      <c r="F414" s="21" t="s">
        <v>2393</v>
      </c>
      <c r="G414" s="21" t="s">
        <v>2394</v>
      </c>
      <c r="H414" s="21" t="s">
        <v>2479</v>
      </c>
      <c r="I414" s="21" t="s">
        <v>4988</v>
      </c>
      <c r="J414" s="21" t="s">
        <v>1935</v>
      </c>
      <c r="K414" s="21" t="n">
        <v>87.95</v>
      </c>
      <c r="L414" s="21" t="s">
        <v>4978</v>
      </c>
      <c r="M414" s="21" t="s">
        <v>4979</v>
      </c>
      <c r="N414" s="21" t="s">
        <v>4980</v>
      </c>
      <c r="O414" s="21" t="s">
        <v>4981</v>
      </c>
      <c r="P414" s="21" t="s">
        <v>4982</v>
      </c>
      <c r="Q414" s="22" t="n">
        <f aca="false">IF(L414="","",IFERROR(INDEX('Semrush Data'!$A$1:$Z$20000,MATCH(L414,'Semrush Data'!$A$1:$A$20000,0),MATCH("Volume",'Semrush Data'!$A$1:$Z$1,0)),""))</f>
        <v>10</v>
      </c>
      <c r="R414" s="22" t="str">
        <f aca="false">IF(M414="","",IFERROR(INDEX('Semrush Data'!$A$1:$Z$20000,MATCH(M414,'Semrush Data'!$A$1:$A$20000,0),MATCH("Volume",'Semrush Data'!$A$1:$Z$1,0)),""))</f>
        <v/>
      </c>
      <c r="S414" s="22" t="str">
        <f aca="false">IF(N414="","",IFERROR(INDEX('Semrush Data'!$A$1:$Z$20000,MATCH(N414,'Semrush Data'!$A$1:$A$20000,0),MATCH("Volume",'Semrush Data'!$A$1:$Z$1,0)),""))</f>
        <v/>
      </c>
      <c r="T414" s="22" t="str">
        <f aca="false">IF(O414="","",IFERROR(INDEX('Semrush Data'!$A$1:$Z$20000,MATCH(O414,'Semrush Data'!$A$1:$A$20000,0),MATCH("Volume",'Semrush Data'!$A$1:$Z$1,0)),""))</f>
        <v/>
      </c>
      <c r="U414" s="22" t="str">
        <f aca="false">IF(P414="","",IFERROR(INDEX('Semrush Data'!$A$1:$Z$20000,MATCH(P414,'Semrush Data'!$A$1:$A$20000,0),MATCH("Volume",'Semrush Data'!$A$1:$Z$1,0)),""))</f>
        <v/>
      </c>
      <c r="V414" s="23" t="str">
        <f aca="false">IF(COUNT(Q414:U414)=0,L414,IF(MAX(Q414:U414)=0,L414,INDEX(L414:P414,MATCH(MAX(Q414:U414),Q414:U414,0))))</f>
        <v>hemel valley of diamond</v>
      </c>
      <c r="W414" s="22" t="n">
        <f aca="false">IFERROR(INDEX('Semrush Data'!$A$1:$Z$20000,MATCH(V414,'Semrush Data'!$A$1:$A$20000,0),MATCH("Volume",'Semrush Data'!$A$1:$Z$1,0)),"")</f>
        <v>10</v>
      </c>
      <c r="X414" s="22" t="n">
        <f aca="false">IFERROR(INDEX('Semrush Data'!$A$1:$Z$20000,MATCH(V414,'Semrush Data'!$A$1:$A$20000,0),MATCH("Keyword Difficulty*",'Semrush Data'!$A$1:$Z$1,0)),"")</f>
        <v>9</v>
      </c>
      <c r="Y414" s="24" t="n">
        <f aca="false">IFERROR(INDEX('Semrush Data'!$A$1:$Z$20000,MATCH(V414,'Semrush Data'!$A$1:$A$20000,0),MATCH("CPC*",'Semrush Data'!$A$1:$Z$1,0)),"")</f>
        <v>0</v>
      </c>
      <c r="Z414" s="21" t="s">
        <v>4853</v>
      </c>
      <c r="AA414" s="21" t="s">
        <v>4983</v>
      </c>
      <c r="AB414" s="21" t="s">
        <v>4989</v>
      </c>
      <c r="AC414" s="21" t="s">
        <v>4990</v>
      </c>
      <c r="AD414" s="25" t="n">
        <f aca="false">LEN(AC414)</f>
        <v>58</v>
      </c>
      <c r="AE414" s="21" t="s">
        <v>4991</v>
      </c>
      <c r="AF414" s="25" t="n">
        <f aca="false">LEN(AE414)</f>
        <v>159</v>
      </c>
    </row>
    <row r="415" customFormat="false" ht="15" hidden="false" customHeight="true" outlineLevel="0" collapsed="false">
      <c r="A415" s="21" t="s">
        <v>4992</v>
      </c>
      <c r="B415" s="21" t="s">
        <v>2390</v>
      </c>
      <c r="C415" s="21" t="n">
        <v>255</v>
      </c>
      <c r="D415" s="21" t="s">
        <v>4993</v>
      </c>
      <c r="E415" s="21"/>
      <c r="F415" s="21" t="s">
        <v>2393</v>
      </c>
      <c r="G415" s="21" t="s">
        <v>2759</v>
      </c>
      <c r="H415" s="21" t="s">
        <v>2479</v>
      </c>
      <c r="I415" s="21" t="s">
        <v>4994</v>
      </c>
      <c r="J415" s="21" t="s">
        <v>4995</v>
      </c>
      <c r="K415" s="21" t="n">
        <v>25.99</v>
      </c>
      <c r="L415" s="21" t="s">
        <v>4996</v>
      </c>
      <c r="M415" s="21" t="s">
        <v>4997</v>
      </c>
      <c r="N415" s="21" t="s">
        <v>4998</v>
      </c>
      <c r="O415" s="21" t="s">
        <v>4999</v>
      </c>
      <c r="P415" s="21" t="s">
        <v>5000</v>
      </c>
      <c r="Q415" s="22" t="n">
        <f aca="false">IF(L415="","",IFERROR(INDEX('Semrush Data'!$A$1:$Z$20000,MATCH(L415,'Semrush Data'!$A$1:$A$20000,0),MATCH("Volume",'Semrush Data'!$A$1:$Z$1,0)),""))</f>
        <v>0</v>
      </c>
      <c r="R415" s="22" t="str">
        <f aca="false">IF(M415="","",IFERROR(INDEX('Semrush Data'!$A$1:$Z$20000,MATCH(M415,'Semrush Data'!$A$1:$A$20000,0),MATCH("Volume",'Semrush Data'!$A$1:$Z$1,0)),""))</f>
        <v/>
      </c>
      <c r="S415" s="22" t="str">
        <f aca="false">IF(N415="","",IFERROR(INDEX('Semrush Data'!$A$1:$Z$20000,MATCH(N415,'Semrush Data'!$A$1:$A$20000,0),MATCH("Volume",'Semrush Data'!$A$1:$Z$1,0)),""))</f>
        <v/>
      </c>
      <c r="T415" s="22" t="str">
        <f aca="false">IF(O415="","",IFERROR(INDEX('Semrush Data'!$A$1:$Z$20000,MATCH(O415,'Semrush Data'!$A$1:$A$20000,0),MATCH("Volume",'Semrush Data'!$A$1:$Z$1,0)),""))</f>
        <v/>
      </c>
      <c r="U415" s="22" t="str">
        <f aca="false">IF(P415="","",IFERROR(INDEX('Semrush Data'!$A$1:$Z$20000,MATCH(P415,'Semrush Data'!$A$1:$A$20000,0),MATCH("Volume",'Semrush Data'!$A$1:$Z$1,0)),""))</f>
        <v/>
      </c>
      <c r="V415" s="23" t="str">
        <f aca="false">IF(COUNT(Q415:U415)=0,L415,IF(MAX(Q415:U415)=0,L415,INDEX(L415:P415,MATCH(MAX(Q415:U415),Q415:U415,0))))</f>
        <v>hermes hermes un jardin a cythere miniature</v>
      </c>
      <c r="W415" s="22" t="n">
        <f aca="false">IFERROR(INDEX('Semrush Data'!$A$1:$Z$20000,MATCH(V415,'Semrush Data'!$A$1:$A$20000,0),MATCH("Volume",'Semrush Data'!$A$1:$Z$1,0)),"")</f>
        <v>0</v>
      </c>
      <c r="X415" s="22" t="n">
        <f aca="false">IFERROR(INDEX('Semrush Data'!$A$1:$Z$20000,MATCH(V415,'Semrush Data'!$A$1:$A$20000,0),MATCH("Keyword Difficulty*",'Semrush Data'!$A$1:$Z$1,0)),"")</f>
        <v>19</v>
      </c>
      <c r="Y415" s="24" t="n">
        <f aca="false">IFERROR(INDEX('Semrush Data'!$A$1:$Z$20000,MATCH(V415,'Semrush Data'!$A$1:$A$20000,0),MATCH("CPC*",'Semrush Data'!$A$1:$Z$1,0)),"")</f>
        <v>0</v>
      </c>
      <c r="Z415" s="21" t="s">
        <v>5001</v>
      </c>
      <c r="AA415" s="21"/>
      <c r="AB415" s="21" t="s">
        <v>5002</v>
      </c>
      <c r="AC415" s="21" t="s">
        <v>5003</v>
      </c>
      <c r="AD415" s="25" t="n">
        <f aca="false">LEN(AC415)</f>
        <v>57</v>
      </c>
      <c r="AE415" s="21" t="s">
        <v>5004</v>
      </c>
      <c r="AF415" s="25" t="n">
        <f aca="false">LEN(AE415)</f>
        <v>157</v>
      </c>
    </row>
    <row r="416" customFormat="false" ht="15" hidden="false" customHeight="true" outlineLevel="0" collapsed="false">
      <c r="A416" s="21" t="s">
        <v>5005</v>
      </c>
      <c r="B416" s="21" t="s">
        <v>2390</v>
      </c>
      <c r="C416" s="21" t="n">
        <v>256</v>
      </c>
      <c r="D416" s="21" t="s">
        <v>5006</v>
      </c>
      <c r="E416" s="21"/>
      <c r="F416" s="21" t="s">
        <v>2393</v>
      </c>
      <c r="G416" s="21" t="s">
        <v>2759</v>
      </c>
      <c r="H416" s="21" t="s">
        <v>2873</v>
      </c>
      <c r="I416" s="21" t="s">
        <v>5007</v>
      </c>
      <c r="J416" s="21" t="s">
        <v>1935</v>
      </c>
      <c r="K416" s="21" t="n">
        <v>21.99</v>
      </c>
      <c r="L416" s="21" t="s">
        <v>5008</v>
      </c>
      <c r="M416" s="21" t="s">
        <v>5009</v>
      </c>
      <c r="N416" s="21" t="s">
        <v>5010</v>
      </c>
      <c r="O416" s="21" t="s">
        <v>5011</v>
      </c>
      <c r="P416" s="21" t="s">
        <v>5012</v>
      </c>
      <c r="Q416" s="22" t="n">
        <f aca="false">IF(L416="","",IFERROR(INDEX('Semrush Data'!$A$1:$Z$20000,MATCH(L416,'Semrush Data'!$A$1:$A$20000,0),MATCH("Volume",'Semrush Data'!$A$1:$Z$1,0)),""))</f>
        <v>70</v>
      </c>
      <c r="R416" s="22" t="n">
        <f aca="false">IF(M416="","",IFERROR(INDEX('Semrush Data'!$A$1:$Z$20000,MATCH(M416,'Semrush Data'!$A$1:$A$20000,0),MATCH("Volume",'Semrush Data'!$A$1:$Z$1,0)),""))</f>
        <v>0</v>
      </c>
      <c r="S416" s="22" t="str">
        <f aca="false">IF(N416="","",IFERROR(INDEX('Semrush Data'!$A$1:$Z$20000,MATCH(N416,'Semrush Data'!$A$1:$A$20000,0),MATCH("Volume",'Semrush Data'!$A$1:$Z$1,0)),""))</f>
        <v/>
      </c>
      <c r="T416" s="22" t="str">
        <f aca="false">IF(O416="","",IFERROR(INDEX('Semrush Data'!$A$1:$Z$20000,MATCH(O416,'Semrush Data'!$A$1:$A$20000,0),MATCH("Volume",'Semrush Data'!$A$1:$Z$1,0)),""))</f>
        <v/>
      </c>
      <c r="U416" s="22" t="n">
        <f aca="false">IF(P416="","",IFERROR(INDEX('Semrush Data'!$A$1:$Z$20000,MATCH(P416,'Semrush Data'!$A$1:$A$20000,0),MATCH("Volume",'Semrush Data'!$A$1:$Z$1,0)),""))</f>
        <v>0</v>
      </c>
      <c r="V416" s="23" t="str">
        <f aca="false">IF(COUNT(Q416:U416)=0,L416,IF(MAX(Q416:U416)=0,L416,INDEX(L416:P416,MATCH(MAX(Q416:U416),Q416:U416,0))))</f>
        <v>hollister festival vibes</v>
      </c>
      <c r="W416" s="22" t="n">
        <f aca="false">IFERROR(INDEX('Semrush Data'!$A$1:$Z$20000,MATCH(V416,'Semrush Data'!$A$1:$A$20000,0),MATCH("Volume",'Semrush Data'!$A$1:$Z$1,0)),"")</f>
        <v>70</v>
      </c>
      <c r="X416" s="22" t="n">
        <f aca="false">IFERROR(INDEX('Semrush Data'!$A$1:$Z$20000,MATCH(V416,'Semrush Data'!$A$1:$A$20000,0),MATCH("Keyword Difficulty*",'Semrush Data'!$A$1:$Z$1,0)),"")</f>
        <v>17</v>
      </c>
      <c r="Y416" s="24" t="n">
        <f aca="false">IFERROR(INDEX('Semrush Data'!$A$1:$Z$20000,MATCH(V416,'Semrush Data'!$A$1:$A$20000,0),MATCH("CPC*",'Semrush Data'!$A$1:$Z$1,0)),"")</f>
        <v>0.18</v>
      </c>
      <c r="Z416" s="21" t="s">
        <v>5013</v>
      </c>
      <c r="AA416" s="21" t="s">
        <v>5014</v>
      </c>
      <c r="AB416" s="21" t="s">
        <v>5015</v>
      </c>
      <c r="AC416" s="21" t="s">
        <v>5016</v>
      </c>
      <c r="AD416" s="25" t="n">
        <f aca="false">LEN(AC416)</f>
        <v>56</v>
      </c>
      <c r="AE416" s="21" t="s">
        <v>5017</v>
      </c>
      <c r="AF416" s="25" t="n">
        <f aca="false">LEN(AE416)</f>
        <v>160</v>
      </c>
    </row>
    <row r="417" customFormat="false" ht="15" hidden="false" customHeight="true" outlineLevel="0" collapsed="false">
      <c r="A417" s="21" t="s">
        <v>62</v>
      </c>
      <c r="B417" s="21" t="s">
        <v>2390</v>
      </c>
      <c r="C417" s="21" t="n">
        <v>257</v>
      </c>
      <c r="D417" s="21" t="s">
        <v>5018</v>
      </c>
      <c r="E417" s="21" t="s">
        <v>5019</v>
      </c>
      <c r="F417" s="21" t="s">
        <v>2393</v>
      </c>
      <c r="G417" s="21" t="s">
        <v>2394</v>
      </c>
      <c r="H417" s="21" t="s">
        <v>2549</v>
      </c>
      <c r="I417" s="21" t="s">
        <v>63</v>
      </c>
      <c r="J417" s="21" t="s">
        <v>3174</v>
      </c>
      <c r="K417" s="21" t="n">
        <v>63.99</v>
      </c>
      <c r="L417" s="21" t="s">
        <v>5020</v>
      </c>
      <c r="M417" s="21" t="s">
        <v>5021</v>
      </c>
      <c r="N417" s="21" t="s">
        <v>5022</v>
      </c>
      <c r="O417" s="21" t="s">
        <v>5023</v>
      </c>
      <c r="P417" s="21" t="s">
        <v>5024</v>
      </c>
      <c r="Q417" s="22" t="n">
        <f aca="false">IF(L417="","",IFERROR(INDEX('Semrush Data'!$A$1:$Z$20000,MATCH(L417,'Semrush Data'!$A$1:$A$20000,0),MATCH("Volume",'Semrush Data'!$A$1:$Z$1,0)),""))</f>
        <v>4400</v>
      </c>
      <c r="R417" s="22" t="n">
        <f aca="false">IF(M417="","",IFERROR(INDEX('Semrush Data'!$A$1:$Z$20000,MATCH(M417,'Semrush Data'!$A$1:$A$20000,0),MATCH("Volume",'Semrush Data'!$A$1:$Z$1,0)),""))</f>
        <v>20</v>
      </c>
      <c r="S417" s="22" t="str">
        <f aca="false">IF(N417="","",IFERROR(INDEX('Semrush Data'!$A$1:$Z$20000,MATCH(N417,'Semrush Data'!$A$1:$A$20000,0),MATCH("Volume",'Semrush Data'!$A$1:$Z$1,0)),""))</f>
        <v/>
      </c>
      <c r="T417" s="22" t="str">
        <f aca="false">IF(O417="","",IFERROR(INDEX('Semrush Data'!$A$1:$Z$20000,MATCH(O417,'Semrush Data'!$A$1:$A$20000,0),MATCH("Volume",'Semrush Data'!$A$1:$Z$1,0)),""))</f>
        <v/>
      </c>
      <c r="U417" s="22" t="n">
        <f aca="false">IF(P417="","",IFERROR(INDEX('Semrush Data'!$A$1:$Z$20000,MATCH(P417,'Semrush Data'!$A$1:$A$20000,0),MATCH("Volume",'Semrush Data'!$A$1:$Z$1,0)),""))</f>
        <v>170</v>
      </c>
      <c r="V417" s="23" t="str">
        <f aca="false">IF(COUNT(Q417:U417)=0,L417,IF(MAX(Q417:U417)=0,L417,INDEX(L417:P417,MATCH(MAX(Q417:U417),Q417:U417,0))))</f>
        <v>hugo boss bottled</v>
      </c>
      <c r="W417" s="22" t="n">
        <f aca="false">IFERROR(INDEX('Semrush Data'!$A$1:$Z$20000,MATCH(V417,'Semrush Data'!$A$1:$A$20000,0),MATCH("Volume",'Semrush Data'!$A$1:$Z$1,0)),"")</f>
        <v>4400</v>
      </c>
      <c r="X417" s="22" t="n">
        <f aca="false">IFERROR(INDEX('Semrush Data'!$A$1:$Z$20000,MATCH(V417,'Semrush Data'!$A$1:$A$20000,0),MATCH("Keyword Difficulty*",'Semrush Data'!$A$1:$Z$1,0)),"")</f>
        <v>28</v>
      </c>
      <c r="Y417" s="24" t="n">
        <f aca="false">IFERROR(INDEX('Semrush Data'!$A$1:$Z$20000,MATCH(V417,'Semrush Data'!$A$1:$A$20000,0),MATCH("CPC*",'Semrush Data'!$A$1:$Z$1,0)),"")</f>
        <v>0.45</v>
      </c>
      <c r="Z417" s="21" t="s">
        <v>5025</v>
      </c>
      <c r="AA417" s="21"/>
      <c r="AB417" s="21" t="s">
        <v>5026</v>
      </c>
      <c r="AC417" s="21" t="s">
        <v>5027</v>
      </c>
      <c r="AD417" s="25" t="n">
        <f aca="false">LEN(AC417)</f>
        <v>53</v>
      </c>
      <c r="AE417" s="21" t="s">
        <v>5028</v>
      </c>
      <c r="AF417" s="25" t="n">
        <f aca="false">LEN(AE417)</f>
        <v>158</v>
      </c>
    </row>
    <row r="418" customFormat="false" ht="15" hidden="false" customHeight="true" outlineLevel="0" collapsed="false">
      <c r="A418" s="21" t="s">
        <v>5029</v>
      </c>
      <c r="B418" s="21" t="s">
        <v>2390</v>
      </c>
      <c r="C418" s="21" t="n">
        <v>258</v>
      </c>
      <c r="D418" s="21" t="s">
        <v>5018</v>
      </c>
      <c r="E418" s="21" t="s">
        <v>5019</v>
      </c>
      <c r="F418" s="21" t="s">
        <v>2393</v>
      </c>
      <c r="G418" s="21" t="s">
        <v>2394</v>
      </c>
      <c r="H418" s="21" t="s">
        <v>2445</v>
      </c>
      <c r="I418" s="21" t="s">
        <v>5030</v>
      </c>
      <c r="J418" s="21" t="s">
        <v>1935</v>
      </c>
      <c r="K418" s="21" t="n">
        <v>70.99</v>
      </c>
      <c r="L418" s="21" t="s">
        <v>5031</v>
      </c>
      <c r="M418" s="21" t="s">
        <v>5032</v>
      </c>
      <c r="N418" s="21" t="s">
        <v>5033</v>
      </c>
      <c r="O418" s="21" t="s">
        <v>5034</v>
      </c>
      <c r="P418" s="21" t="s">
        <v>5035</v>
      </c>
      <c r="Q418" s="22" t="n">
        <f aca="false">IF(L418="","",IFERROR(INDEX('Semrush Data'!$A$1:$Z$20000,MATCH(L418,'Semrush Data'!$A$1:$A$20000,0),MATCH("Volume",'Semrush Data'!$A$1:$Z$1,0)),""))</f>
        <v>0</v>
      </c>
      <c r="R418" s="22" t="str">
        <f aca="false">IF(M418="","",IFERROR(INDEX('Semrush Data'!$A$1:$Z$20000,MATCH(M418,'Semrush Data'!$A$1:$A$20000,0),MATCH("Volume",'Semrush Data'!$A$1:$Z$1,0)),""))</f>
        <v/>
      </c>
      <c r="S418" s="22" t="str">
        <f aca="false">IF(N418="","",IFERROR(INDEX('Semrush Data'!$A$1:$Z$20000,MATCH(N418,'Semrush Data'!$A$1:$A$20000,0),MATCH("Volume",'Semrush Data'!$A$1:$Z$1,0)),""))</f>
        <v/>
      </c>
      <c r="T418" s="22" t="str">
        <f aca="false">IF(O418="","",IFERROR(INDEX('Semrush Data'!$A$1:$Z$20000,MATCH(O418,'Semrush Data'!$A$1:$A$20000,0),MATCH("Volume",'Semrush Data'!$A$1:$Z$1,0)),""))</f>
        <v/>
      </c>
      <c r="U418" s="22" t="str">
        <f aca="false">IF(P418="","",IFERROR(INDEX('Semrush Data'!$A$1:$Z$20000,MATCH(P418,'Semrush Data'!$A$1:$A$20000,0),MATCH("Volume",'Semrush Data'!$A$1:$Z$1,0)),""))</f>
        <v/>
      </c>
      <c r="V418" s="23" t="str">
        <f aca="false">IF(COUNT(Q418:U418)=0,L418,IF(MAX(Q418:U418)=0,L418,INDEX(L418:P418,MATCH(MAX(Q418:U418),Q418:U418,0))))</f>
        <v>hugo boss the collection confident oud intense</v>
      </c>
      <c r="W418" s="22" t="n">
        <f aca="false">IFERROR(INDEX('Semrush Data'!$A$1:$Z$20000,MATCH(V418,'Semrush Data'!$A$1:$A$20000,0),MATCH("Volume",'Semrush Data'!$A$1:$Z$1,0)),"")</f>
        <v>0</v>
      </c>
      <c r="X418" s="22" t="n">
        <f aca="false">IFERROR(INDEX('Semrush Data'!$A$1:$Z$20000,MATCH(V418,'Semrush Data'!$A$1:$A$20000,0),MATCH("Keyword Difficulty*",'Semrush Data'!$A$1:$Z$1,0)),"")</f>
        <v>19</v>
      </c>
      <c r="Y418" s="24" t="n">
        <f aca="false">IFERROR(INDEX('Semrush Data'!$A$1:$Z$20000,MATCH(V418,'Semrush Data'!$A$1:$A$20000,0),MATCH("CPC*",'Semrush Data'!$A$1:$Z$1,0)),"")</f>
        <v>0</v>
      </c>
      <c r="Z418" s="21" t="s">
        <v>5036</v>
      </c>
      <c r="AA418" s="21"/>
      <c r="AB418" s="21" t="s">
        <v>5037</v>
      </c>
      <c r="AC418" s="21" t="s">
        <v>5038</v>
      </c>
      <c r="AD418" s="25" t="n">
        <f aca="false">LEN(AC418)</f>
        <v>52</v>
      </c>
      <c r="AE418" s="21" t="s">
        <v>5039</v>
      </c>
      <c r="AF418" s="25" t="n">
        <f aca="false">LEN(AE418)</f>
        <v>159</v>
      </c>
    </row>
    <row r="419" customFormat="false" ht="15" hidden="false" customHeight="true" outlineLevel="0" collapsed="false">
      <c r="A419" s="21" t="s">
        <v>5040</v>
      </c>
      <c r="B419" s="21" t="s">
        <v>2390</v>
      </c>
      <c r="C419" s="21" t="n">
        <v>259</v>
      </c>
      <c r="D419" s="21" t="s">
        <v>5018</v>
      </c>
      <c r="E419" s="21" t="s">
        <v>5019</v>
      </c>
      <c r="F419" s="21" t="s">
        <v>2393</v>
      </c>
      <c r="G419" s="21" t="s">
        <v>2759</v>
      </c>
      <c r="H419" s="21" t="s">
        <v>3251</v>
      </c>
      <c r="I419" s="21" t="s">
        <v>5041</v>
      </c>
      <c r="J419" s="21" t="s">
        <v>1935</v>
      </c>
      <c r="K419" s="21" t="n">
        <v>58.99</v>
      </c>
      <c r="L419" s="21" t="s">
        <v>5042</v>
      </c>
      <c r="M419" s="21" t="s">
        <v>5043</v>
      </c>
      <c r="N419" s="21" t="s">
        <v>5044</v>
      </c>
      <c r="O419" s="21" t="s">
        <v>5045</v>
      </c>
      <c r="P419" s="21" t="s">
        <v>5046</v>
      </c>
      <c r="Q419" s="22" t="n">
        <f aca="false">IF(L419="","",IFERROR(INDEX('Semrush Data'!$A$1:$Z$20000,MATCH(L419,'Semrush Data'!$A$1:$A$20000,0),MATCH("Volume",'Semrush Data'!$A$1:$Z$1,0)),""))</f>
        <v>20</v>
      </c>
      <c r="R419" s="22" t="str">
        <f aca="false">IF(M419="","",IFERROR(INDEX('Semrush Data'!$A$1:$Z$20000,MATCH(M419,'Semrush Data'!$A$1:$A$20000,0),MATCH("Volume",'Semrush Data'!$A$1:$Z$1,0)),""))</f>
        <v/>
      </c>
      <c r="S419" s="22" t="str">
        <f aca="false">IF(N419="","",IFERROR(INDEX('Semrush Data'!$A$1:$Z$20000,MATCH(N419,'Semrush Data'!$A$1:$A$20000,0),MATCH("Volume",'Semrush Data'!$A$1:$Z$1,0)),""))</f>
        <v/>
      </c>
      <c r="T419" s="22" t="str">
        <f aca="false">IF(O419="","",IFERROR(INDEX('Semrush Data'!$A$1:$Z$20000,MATCH(O419,'Semrush Data'!$A$1:$A$20000,0),MATCH("Volume",'Semrush Data'!$A$1:$Z$1,0)),""))</f>
        <v/>
      </c>
      <c r="U419" s="22" t="str">
        <f aca="false">IF(P419="","",IFERROR(INDEX('Semrush Data'!$A$1:$Z$20000,MATCH(P419,'Semrush Data'!$A$1:$A$20000,0),MATCH("Volume",'Semrush Data'!$A$1:$Z$1,0)),""))</f>
        <v/>
      </c>
      <c r="V419" s="23" t="str">
        <f aca="false">IF(COUNT(Q419:U419)=0,L419,IF(MAX(Q419:U419)=0,L419,INDEX(L419:P419,MATCH(MAX(Q419:U419),Q419:U419,0))))</f>
        <v>hugo boss boss the scent tester</v>
      </c>
      <c r="W419" s="22" t="n">
        <f aca="false">IFERROR(INDEX('Semrush Data'!$A$1:$Z$20000,MATCH(V419,'Semrush Data'!$A$1:$A$20000,0),MATCH("Volume",'Semrush Data'!$A$1:$Z$1,0)),"")</f>
        <v>20</v>
      </c>
      <c r="X419" s="22" t="n">
        <f aca="false">IFERROR(INDEX('Semrush Data'!$A$1:$Z$20000,MATCH(V419,'Semrush Data'!$A$1:$A$20000,0),MATCH("Keyword Difficulty*",'Semrush Data'!$A$1:$Z$1,0)),"")</f>
        <v>4</v>
      </c>
      <c r="Y419" s="24" t="n">
        <f aca="false">IFERROR(INDEX('Semrush Data'!$A$1:$Z$20000,MATCH(V419,'Semrush Data'!$A$1:$A$20000,0),MATCH("CPC*",'Semrush Data'!$A$1:$Z$1,0)),"")</f>
        <v>0.45</v>
      </c>
      <c r="Z419" s="21" t="s">
        <v>5047</v>
      </c>
      <c r="AA419" s="21"/>
      <c r="AB419" s="21" t="s">
        <v>5048</v>
      </c>
      <c r="AC419" s="21" t="s">
        <v>5049</v>
      </c>
      <c r="AD419" s="25" t="n">
        <f aca="false">LEN(AC419)</f>
        <v>55</v>
      </c>
      <c r="AE419" s="21" t="s">
        <v>5050</v>
      </c>
      <c r="AF419" s="25" t="n">
        <f aca="false">LEN(AE419)</f>
        <v>155</v>
      </c>
    </row>
    <row r="420" customFormat="false" ht="15" hidden="false" customHeight="true" outlineLevel="0" collapsed="false">
      <c r="A420" s="21" t="s">
        <v>86</v>
      </c>
      <c r="B420" s="21" t="s">
        <v>2390</v>
      </c>
      <c r="C420" s="21" t="n">
        <v>260</v>
      </c>
      <c r="D420" s="21" t="s">
        <v>5018</v>
      </c>
      <c r="E420" s="21" t="s">
        <v>5019</v>
      </c>
      <c r="F420" s="21" t="s">
        <v>2393</v>
      </c>
      <c r="G420" s="21" t="s">
        <v>2759</v>
      </c>
      <c r="H420" s="21" t="s">
        <v>2549</v>
      </c>
      <c r="I420" s="21" t="s">
        <v>87</v>
      </c>
      <c r="J420" s="21" t="s">
        <v>2774</v>
      </c>
      <c r="K420" s="21" t="n">
        <v>40.99</v>
      </c>
      <c r="L420" s="21" t="s">
        <v>5051</v>
      </c>
      <c r="M420" s="21" t="s">
        <v>5052</v>
      </c>
      <c r="N420" s="21" t="s">
        <v>5053</v>
      </c>
      <c r="O420" s="21" t="s">
        <v>5054</v>
      </c>
      <c r="P420" s="21" t="s">
        <v>5055</v>
      </c>
      <c r="Q420" s="22" t="n">
        <f aca="false">IF(L420="","",IFERROR(INDEX('Semrush Data'!$A$1:$Z$20000,MATCH(L420,'Semrush Data'!$A$1:$A$20000,0),MATCH("Volume",'Semrush Data'!$A$1:$Z$1,0)),""))</f>
        <v>1300</v>
      </c>
      <c r="R420" s="22" t="n">
        <f aca="false">IF(M420="","",IFERROR(INDEX('Semrush Data'!$A$1:$Z$20000,MATCH(M420,'Semrush Data'!$A$1:$A$20000,0),MATCH("Volume",'Semrush Data'!$A$1:$Z$1,0)),""))</f>
        <v>0</v>
      </c>
      <c r="S420" s="22" t="str">
        <f aca="false">IF(N420="","",IFERROR(INDEX('Semrush Data'!$A$1:$Z$20000,MATCH(N420,'Semrush Data'!$A$1:$A$20000,0),MATCH("Volume",'Semrush Data'!$A$1:$Z$1,0)),""))</f>
        <v/>
      </c>
      <c r="T420" s="22" t="str">
        <f aca="false">IF(O420="","",IFERROR(INDEX('Semrush Data'!$A$1:$Z$20000,MATCH(O420,'Semrush Data'!$A$1:$A$20000,0),MATCH("Volume",'Semrush Data'!$A$1:$Z$1,0)),""))</f>
        <v/>
      </c>
      <c r="U420" s="22" t="n">
        <f aca="false">IF(P420="","",IFERROR(INDEX('Semrush Data'!$A$1:$Z$20000,MATCH(P420,'Semrush Data'!$A$1:$A$20000,0),MATCH("Volume",'Semrush Data'!$A$1:$Z$1,0)),""))</f>
        <v>90</v>
      </c>
      <c r="V420" s="23" t="str">
        <f aca="false">IF(COUNT(Q420:U420)=0,L420,IF(MAX(Q420:U420)=0,L420,INDEX(L420:P420,MATCH(MAX(Q420:U420),Q420:U420,0))))</f>
        <v>hugo boss hugo man</v>
      </c>
      <c r="W420" s="22" t="n">
        <f aca="false">IFERROR(INDEX('Semrush Data'!$A$1:$Z$20000,MATCH(V420,'Semrush Data'!$A$1:$A$20000,0),MATCH("Volume",'Semrush Data'!$A$1:$Z$1,0)),"")</f>
        <v>1300</v>
      </c>
      <c r="X420" s="22" t="n">
        <f aca="false">IFERROR(INDEX('Semrush Data'!$A$1:$Z$20000,MATCH(V420,'Semrush Data'!$A$1:$A$20000,0),MATCH("Keyword Difficulty*",'Semrush Data'!$A$1:$Z$1,0)),"")</f>
        <v>23</v>
      </c>
      <c r="Y420" s="24" t="n">
        <f aca="false">IFERROR(INDEX('Semrush Data'!$A$1:$Z$20000,MATCH(V420,'Semrush Data'!$A$1:$A$20000,0),MATCH("CPC*",'Semrush Data'!$A$1:$Z$1,0)),"")</f>
        <v>0.58</v>
      </c>
      <c r="Z420" s="21" t="s">
        <v>5025</v>
      </c>
      <c r="AA420" s="21"/>
      <c r="AB420" s="21" t="s">
        <v>5056</v>
      </c>
      <c r="AC420" s="21" t="s">
        <v>5057</v>
      </c>
      <c r="AD420" s="25" t="n">
        <f aca="false">LEN(AC420)</f>
        <v>56</v>
      </c>
      <c r="AE420" s="21" t="s">
        <v>5058</v>
      </c>
      <c r="AF420" s="25" t="n">
        <f aca="false">LEN(AE420)</f>
        <v>157</v>
      </c>
    </row>
    <row r="421" customFormat="false" ht="15" hidden="false" customHeight="true" outlineLevel="0" collapsed="false">
      <c r="A421" s="21" t="s">
        <v>104</v>
      </c>
      <c r="B421" s="21" t="s">
        <v>2390</v>
      </c>
      <c r="C421" s="21" t="n">
        <v>261</v>
      </c>
      <c r="D421" s="21" t="s">
        <v>5018</v>
      </c>
      <c r="E421" s="21" t="s">
        <v>5019</v>
      </c>
      <c r="F421" s="21" t="s">
        <v>1676</v>
      </c>
      <c r="G421" s="21" t="s">
        <v>2394</v>
      </c>
      <c r="H421" s="21" t="s">
        <v>2457</v>
      </c>
      <c r="I421" s="21" t="s">
        <v>105</v>
      </c>
      <c r="J421" s="21" t="s">
        <v>5059</v>
      </c>
      <c r="K421" s="21" t="n">
        <v>64.99</v>
      </c>
      <c r="L421" s="21" t="s">
        <v>5060</v>
      </c>
      <c r="M421" s="21" t="s">
        <v>5061</v>
      </c>
      <c r="N421" s="21" t="s">
        <v>5062</v>
      </c>
      <c r="O421" s="21" t="s">
        <v>5063</v>
      </c>
      <c r="P421" s="21" t="s">
        <v>5064</v>
      </c>
      <c r="Q421" s="22" t="n">
        <f aca="false">IF(L421="","",IFERROR(INDEX('Semrush Data'!$A$1:$Z$20000,MATCH(L421,'Semrush Data'!$A$1:$A$20000,0),MATCH("Volume",'Semrush Data'!$A$1:$Z$1,0)),""))</f>
        <v>720</v>
      </c>
      <c r="R421" s="22" t="n">
        <f aca="false">IF(M421="","",IFERROR(INDEX('Semrush Data'!$A$1:$Z$20000,MATCH(M421,'Semrush Data'!$A$1:$A$20000,0),MATCH("Volume",'Semrush Data'!$A$1:$Z$1,0)),""))</f>
        <v>0</v>
      </c>
      <c r="S421" s="22" t="str">
        <f aca="false">IF(N421="","",IFERROR(INDEX('Semrush Data'!$A$1:$Z$20000,MATCH(N421,'Semrush Data'!$A$1:$A$20000,0),MATCH("Volume",'Semrush Data'!$A$1:$Z$1,0)),""))</f>
        <v/>
      </c>
      <c r="T421" s="22" t="str">
        <f aca="false">IF(O421="","",IFERROR(INDEX('Semrush Data'!$A$1:$Z$20000,MATCH(O421,'Semrush Data'!$A$1:$A$20000,0),MATCH("Volume",'Semrush Data'!$A$1:$Z$1,0)),""))</f>
        <v/>
      </c>
      <c r="U421" s="22" t="n">
        <f aca="false">IF(P421="","",IFERROR(INDEX('Semrush Data'!$A$1:$Z$20000,MATCH(P421,'Semrush Data'!$A$1:$A$20000,0),MATCH("Volume",'Semrush Data'!$A$1:$Z$1,0)),""))</f>
        <v>20</v>
      </c>
      <c r="V421" s="23" t="str">
        <f aca="false">IF(COUNT(Q421:U421)=0,L421,IF(MAX(Q421:U421)=0,L421,INDEX(L421:P421,MATCH(MAX(Q421:U421),Q421:U421,0))))</f>
        <v>hugo boss alive</v>
      </c>
      <c r="W421" s="22" t="n">
        <f aca="false">IFERROR(INDEX('Semrush Data'!$A$1:$Z$20000,MATCH(V421,'Semrush Data'!$A$1:$A$20000,0),MATCH("Volume",'Semrush Data'!$A$1:$Z$1,0)),"")</f>
        <v>720</v>
      </c>
      <c r="X421" s="22" t="n">
        <f aca="false">IFERROR(INDEX('Semrush Data'!$A$1:$Z$20000,MATCH(V421,'Semrush Data'!$A$1:$A$20000,0),MATCH("Keyword Difficulty*",'Semrush Data'!$A$1:$Z$1,0)),"")</f>
        <v>20</v>
      </c>
      <c r="Y421" s="24" t="n">
        <f aca="false">IFERROR(INDEX('Semrush Data'!$A$1:$Z$20000,MATCH(V421,'Semrush Data'!$A$1:$A$20000,0),MATCH("CPC*",'Semrush Data'!$A$1:$Z$1,0)),"")</f>
        <v>0.44</v>
      </c>
      <c r="Z421" s="21" t="s">
        <v>5065</v>
      </c>
      <c r="AA421" s="21"/>
      <c r="AB421" s="21" t="s">
        <v>5066</v>
      </c>
      <c r="AC421" s="21" t="s">
        <v>5067</v>
      </c>
      <c r="AD421" s="25" t="n">
        <f aca="false">LEN(AC421)</f>
        <v>56</v>
      </c>
      <c r="AE421" s="21" t="s">
        <v>5068</v>
      </c>
      <c r="AF421" s="25" t="n">
        <f aca="false">LEN(AE421)</f>
        <v>154</v>
      </c>
    </row>
    <row r="422" customFormat="false" ht="15" hidden="false" customHeight="true" outlineLevel="0" collapsed="false">
      <c r="A422" s="21" t="s">
        <v>5069</v>
      </c>
      <c r="B422" s="21" t="s">
        <v>2390</v>
      </c>
      <c r="C422" s="21" t="n">
        <v>262</v>
      </c>
      <c r="D422" s="21" t="s">
        <v>5070</v>
      </c>
      <c r="E422" s="21"/>
      <c r="F422" s="21" t="s">
        <v>2393</v>
      </c>
      <c r="G422" s="21" t="s">
        <v>2394</v>
      </c>
      <c r="H422" s="21" t="s">
        <v>5071</v>
      </c>
      <c r="I422" s="21" t="s">
        <v>5072</v>
      </c>
      <c r="J422" s="21" t="s">
        <v>2809</v>
      </c>
      <c r="K422" s="21" t="n">
        <v>62.99</v>
      </c>
      <c r="L422" s="21" t="s">
        <v>5073</v>
      </c>
      <c r="M422" s="21" t="s">
        <v>5074</v>
      </c>
      <c r="N422" s="21" t="s">
        <v>5075</v>
      </c>
      <c r="O422" s="21" t="s">
        <v>5076</v>
      </c>
      <c r="P422" s="21" t="s">
        <v>5077</v>
      </c>
      <c r="Q422" s="22" t="n">
        <f aca="false">IF(L422="","",IFERROR(INDEX('Semrush Data'!$A$1:$Z$20000,MATCH(L422,'Semrush Data'!$A$1:$A$20000,0),MATCH("Volume",'Semrush Data'!$A$1:$Z$1,0)),""))</f>
        <v>20</v>
      </c>
      <c r="R422" s="22" t="str">
        <f aca="false">IF(M422="","",IFERROR(INDEX('Semrush Data'!$A$1:$Z$20000,MATCH(M422,'Semrush Data'!$A$1:$A$20000,0),MATCH("Volume",'Semrush Data'!$A$1:$Z$1,0)),""))</f>
        <v/>
      </c>
      <c r="S422" s="22" t="str">
        <f aca="false">IF(N422="","",IFERROR(INDEX('Semrush Data'!$A$1:$Z$20000,MATCH(N422,'Semrush Data'!$A$1:$A$20000,0),MATCH("Volume",'Semrush Data'!$A$1:$Z$1,0)),""))</f>
        <v/>
      </c>
      <c r="T422" s="22" t="str">
        <f aca="false">IF(O422="","",IFERROR(INDEX('Semrush Data'!$A$1:$Z$20000,MATCH(O422,'Semrush Data'!$A$1:$A$20000,0),MATCH("Volume",'Semrush Data'!$A$1:$Z$1,0)),""))</f>
        <v/>
      </c>
      <c r="U422" s="22" t="str">
        <f aca="false">IF(P422="","",IFERROR(INDEX('Semrush Data'!$A$1:$Z$20000,MATCH(P422,'Semrush Data'!$A$1:$A$20000,0),MATCH("Volume",'Semrush Data'!$A$1:$Z$1,0)),""))</f>
        <v/>
      </c>
      <c r="V422" s="23" t="str">
        <f aca="false">IF(COUNT(Q422:U422)=0,L422,IF(MAX(Q422:U422)=0,L422,INDEX(L422:P422,MATCH(MAX(Q422:U422),Q422:U422,0))))</f>
        <v>jean paul gaultier scandal gold</v>
      </c>
      <c r="W422" s="22" t="n">
        <f aca="false">IFERROR(INDEX('Semrush Data'!$A$1:$Z$20000,MATCH(V422,'Semrush Data'!$A$1:$A$20000,0),MATCH("Volume",'Semrush Data'!$A$1:$Z$1,0)),"")</f>
        <v>20</v>
      </c>
      <c r="X422" s="22" t="n">
        <f aca="false">IFERROR(INDEX('Semrush Data'!$A$1:$Z$20000,MATCH(V422,'Semrush Data'!$A$1:$A$20000,0),MATCH("Keyword Difficulty*",'Semrush Data'!$A$1:$Z$1,0)),"")</f>
        <v>16</v>
      </c>
      <c r="Y422" s="24" t="n">
        <f aca="false">IFERROR(INDEX('Semrush Data'!$A$1:$Z$20000,MATCH(V422,'Semrush Data'!$A$1:$A$20000,0),MATCH("CPC*",'Semrush Data'!$A$1:$Z$1,0)),"")</f>
        <v>0</v>
      </c>
      <c r="Z422" s="21" t="s">
        <v>5078</v>
      </c>
      <c r="AA422" s="21" t="s">
        <v>5079</v>
      </c>
      <c r="AB422" s="21" t="s">
        <v>5080</v>
      </c>
      <c r="AC422" s="21" t="s">
        <v>5081</v>
      </c>
      <c r="AD422" s="25" t="n">
        <f aca="false">LEN(AC422)</f>
        <v>59</v>
      </c>
      <c r="AE422" s="21" t="s">
        <v>5082</v>
      </c>
      <c r="AF422" s="25" t="n">
        <f aca="false">LEN(AE422)</f>
        <v>160</v>
      </c>
    </row>
    <row r="423" customFormat="false" ht="15" hidden="false" customHeight="true" outlineLevel="0" collapsed="false">
      <c r="A423" s="21" t="s">
        <v>5083</v>
      </c>
      <c r="B423" s="21" t="s">
        <v>2390</v>
      </c>
      <c r="C423" s="21" t="n">
        <v>263</v>
      </c>
      <c r="D423" s="21" t="s">
        <v>5070</v>
      </c>
      <c r="E423" s="21"/>
      <c r="F423" s="21" t="s">
        <v>2393</v>
      </c>
      <c r="G423" s="21" t="s">
        <v>5084</v>
      </c>
      <c r="H423" s="21" t="s">
        <v>2457</v>
      </c>
      <c r="I423" s="21" t="s">
        <v>5085</v>
      </c>
      <c r="J423" s="21" t="s">
        <v>3174</v>
      </c>
      <c r="K423" s="21" t="n">
        <v>22.99</v>
      </c>
      <c r="L423" s="21" t="s">
        <v>5086</v>
      </c>
      <c r="M423" s="21" t="s">
        <v>5087</v>
      </c>
      <c r="N423" s="21" t="s">
        <v>5088</v>
      </c>
      <c r="O423" s="21" t="s">
        <v>5089</v>
      </c>
      <c r="P423" s="21"/>
      <c r="Q423" s="22" t="n">
        <f aca="false">IF(L423="","",IFERROR(INDEX('Semrush Data'!$A$1:$Z$20000,MATCH(L423,'Semrush Data'!$A$1:$A$20000,0),MATCH("Volume",'Semrush Data'!$A$1:$Z$1,0)),""))</f>
        <v>0</v>
      </c>
      <c r="R423" s="22" t="str">
        <f aca="false">IF(M423="","",IFERROR(INDEX('Semrush Data'!$A$1:$Z$20000,MATCH(M423,'Semrush Data'!$A$1:$A$20000,0),MATCH("Volume",'Semrush Data'!$A$1:$Z$1,0)),""))</f>
        <v/>
      </c>
      <c r="S423" s="22" t="str">
        <f aca="false">IF(N423="","",IFERROR(INDEX('Semrush Data'!$A$1:$Z$20000,MATCH(N423,'Semrush Data'!$A$1:$A$20000,0),MATCH("Volume",'Semrush Data'!$A$1:$Z$1,0)),""))</f>
        <v/>
      </c>
      <c r="T423" s="22" t="str">
        <f aca="false">IF(O423="","",IFERROR(INDEX('Semrush Data'!$A$1:$Z$20000,MATCH(O423,'Semrush Data'!$A$1:$A$20000,0),MATCH("Volume",'Semrush Data'!$A$1:$Z$1,0)),""))</f>
        <v/>
      </c>
      <c r="U423" s="22" t="str">
        <f aca="false">IF(P423="","",IFERROR(INDEX('Semrush Data'!$A$1:$Z$20000,MATCH(P423,'Semrush Data'!$A$1:$A$20000,0),MATCH("Volume",'Semrush Data'!$A$1:$Z$1,0)),""))</f>
        <v/>
      </c>
      <c r="V423" s="23" t="str">
        <f aca="false">IF(COUNT(Q423:U423)=0,L423,IF(MAX(Q423:U423)=0,L423,INDEX(L423:P423,MATCH(MAX(Q423:U423),Q423:U423,0))))</f>
        <v>jean paul gaultier classique perfumed shower gel</v>
      </c>
      <c r="W423" s="22" t="n">
        <f aca="false">IFERROR(INDEX('Semrush Data'!$A$1:$Z$20000,MATCH(V423,'Semrush Data'!$A$1:$A$20000,0),MATCH("Volume",'Semrush Data'!$A$1:$Z$1,0)),"")</f>
        <v>0</v>
      </c>
      <c r="X423" s="22" t="n">
        <f aca="false">IFERROR(INDEX('Semrush Data'!$A$1:$Z$20000,MATCH(V423,'Semrush Data'!$A$1:$A$20000,0),MATCH("Keyword Difficulty*",'Semrush Data'!$A$1:$Z$1,0)),"")</f>
        <v>16</v>
      </c>
      <c r="Y423" s="24" t="n">
        <f aca="false">IFERROR(INDEX('Semrush Data'!$A$1:$Z$20000,MATCH(V423,'Semrush Data'!$A$1:$A$20000,0),MATCH("CPC*",'Semrush Data'!$A$1:$Z$1,0)),"")</f>
        <v>0</v>
      </c>
      <c r="Z423" s="21" t="s">
        <v>5090</v>
      </c>
      <c r="AA423" s="21" t="s">
        <v>5091</v>
      </c>
      <c r="AB423" s="21" t="s">
        <v>5092</v>
      </c>
      <c r="AC423" s="21" t="s">
        <v>5093</v>
      </c>
      <c r="AD423" s="25" t="n">
        <f aca="false">LEN(AC423)</f>
        <v>58</v>
      </c>
      <c r="AE423" s="21" t="s">
        <v>5094</v>
      </c>
      <c r="AF423" s="25" t="n">
        <f aca="false">LEN(AE423)</f>
        <v>159</v>
      </c>
    </row>
    <row r="424" customFormat="false" ht="15" hidden="false" customHeight="true" outlineLevel="0" collapsed="false">
      <c r="A424" s="21" t="s">
        <v>5095</v>
      </c>
      <c r="B424" s="21" t="s">
        <v>2390</v>
      </c>
      <c r="C424" s="21" t="n">
        <v>264</v>
      </c>
      <c r="D424" s="21" t="s">
        <v>5096</v>
      </c>
      <c r="E424" s="21"/>
      <c r="F424" s="21" t="s">
        <v>2393</v>
      </c>
      <c r="G424" s="21" t="s">
        <v>2394</v>
      </c>
      <c r="H424" s="21" t="s">
        <v>2395</v>
      </c>
      <c r="I424" s="21" t="s">
        <v>5097</v>
      </c>
      <c r="J424" s="21" t="s">
        <v>5098</v>
      </c>
      <c r="K424" s="21" t="n">
        <v>14.99</v>
      </c>
      <c r="L424" s="21" t="s">
        <v>5099</v>
      </c>
      <c r="M424" s="21" t="s">
        <v>5100</v>
      </c>
      <c r="N424" s="21" t="s">
        <v>5101</v>
      </c>
      <c r="O424" s="21" t="s">
        <v>5102</v>
      </c>
      <c r="P424" s="21" t="s">
        <v>5103</v>
      </c>
      <c r="Q424" s="22" t="n">
        <f aca="false">IF(L424="","",IFERROR(INDEX('Semrush Data'!$A$1:$Z$20000,MATCH(L424,'Semrush Data'!$A$1:$A$20000,0),MATCH("Volume",'Semrush Data'!$A$1:$Z$1,0)),""))</f>
        <v>0</v>
      </c>
      <c r="R424" s="22" t="str">
        <f aca="false">IF(M424="","",IFERROR(INDEX('Semrush Data'!$A$1:$Z$20000,MATCH(M424,'Semrush Data'!$A$1:$A$20000,0),MATCH("Volume",'Semrush Data'!$A$1:$Z$1,0)),""))</f>
        <v/>
      </c>
      <c r="S424" s="22" t="str">
        <f aca="false">IF(N424="","",IFERROR(INDEX('Semrush Data'!$A$1:$Z$20000,MATCH(N424,'Semrush Data'!$A$1:$A$20000,0),MATCH("Volume",'Semrush Data'!$A$1:$Z$1,0)),""))</f>
        <v/>
      </c>
      <c r="T424" s="22" t="str">
        <f aca="false">IF(O424="","",IFERROR(INDEX('Semrush Data'!$A$1:$Z$20000,MATCH(O424,'Semrush Data'!$A$1:$A$20000,0),MATCH("Volume",'Semrush Data'!$A$1:$Z$1,0)),""))</f>
        <v/>
      </c>
      <c r="U424" s="22" t="str">
        <f aca="false">IF(P424="","",IFERROR(INDEX('Semrush Data'!$A$1:$Z$20000,MATCH(P424,'Semrush Data'!$A$1:$A$20000,0),MATCH("Volume",'Semrush Data'!$A$1:$Z$1,0)),""))</f>
        <v/>
      </c>
      <c r="V424" s="23" t="str">
        <f aca="false">IF(COUNT(Q424:U424)=0,L424,IF(MAX(Q424:U424)=0,L424,INDEX(L424:P424,MATCH(MAX(Q424:U424),Q424:U424,0))))</f>
        <v>jimmy choo i want choo forever miniature</v>
      </c>
      <c r="W424" s="22" t="n">
        <f aca="false">IFERROR(INDEX('Semrush Data'!$A$1:$Z$20000,MATCH(V424,'Semrush Data'!$A$1:$A$20000,0),MATCH("Volume",'Semrush Data'!$A$1:$Z$1,0)),"")</f>
        <v>0</v>
      </c>
      <c r="X424" s="22" t="n">
        <f aca="false">IFERROR(INDEX('Semrush Data'!$A$1:$Z$20000,MATCH(V424,'Semrush Data'!$A$1:$A$20000,0),MATCH("Keyword Difficulty*",'Semrush Data'!$A$1:$Z$1,0)),"")</f>
        <v>16</v>
      </c>
      <c r="Y424" s="24" t="n">
        <f aca="false">IFERROR(INDEX('Semrush Data'!$A$1:$Z$20000,MATCH(V424,'Semrush Data'!$A$1:$A$20000,0),MATCH("CPC*",'Semrush Data'!$A$1:$Z$1,0)),"")</f>
        <v>0</v>
      </c>
      <c r="Z424" s="21" t="s">
        <v>5104</v>
      </c>
      <c r="AA424" s="21"/>
      <c r="AB424" s="21" t="s">
        <v>5105</v>
      </c>
      <c r="AC424" s="21" t="s">
        <v>5106</v>
      </c>
      <c r="AD424" s="25" t="n">
        <f aca="false">LEN(AC424)</f>
        <v>60</v>
      </c>
      <c r="AE424" s="21" t="s">
        <v>5107</v>
      </c>
      <c r="AF424" s="25" t="n">
        <f aca="false">LEN(AE424)</f>
        <v>159</v>
      </c>
    </row>
    <row r="425" customFormat="false" ht="15" hidden="false" customHeight="true" outlineLevel="0" collapsed="false">
      <c r="A425" s="21" t="s">
        <v>5108</v>
      </c>
      <c r="B425" s="21" t="s">
        <v>2390</v>
      </c>
      <c r="C425" s="21" t="n">
        <v>265</v>
      </c>
      <c r="D425" s="21" t="s">
        <v>5096</v>
      </c>
      <c r="E425" s="21"/>
      <c r="F425" s="21" t="s">
        <v>1676</v>
      </c>
      <c r="G425" s="21" t="s">
        <v>2491</v>
      </c>
      <c r="H425" s="21" t="s">
        <v>2457</v>
      </c>
      <c r="I425" s="21" t="s">
        <v>5109</v>
      </c>
      <c r="J425" s="21" t="s">
        <v>3493</v>
      </c>
      <c r="K425" s="21" t="n">
        <v>42.99</v>
      </c>
      <c r="L425" s="21" t="s">
        <v>5110</v>
      </c>
      <c r="M425" s="21" t="s">
        <v>5111</v>
      </c>
      <c r="N425" s="21" t="s">
        <v>5112</v>
      </c>
      <c r="O425" s="21" t="s">
        <v>5113</v>
      </c>
      <c r="P425" s="21"/>
      <c r="Q425" s="22" t="n">
        <f aca="false">IF(L425="","",IFERROR(INDEX('Semrush Data'!$A$1:$Z$20000,MATCH(L425,'Semrush Data'!$A$1:$A$20000,0),MATCH("Volume",'Semrush Data'!$A$1:$Z$1,0)),""))</f>
        <v>0</v>
      </c>
      <c r="R425" s="22" t="str">
        <f aca="false">IF(M425="","",IFERROR(INDEX('Semrush Data'!$A$1:$Z$20000,MATCH(M425,'Semrush Data'!$A$1:$A$20000,0),MATCH("Volume",'Semrush Data'!$A$1:$Z$1,0)),""))</f>
        <v/>
      </c>
      <c r="S425" s="22" t="str">
        <f aca="false">IF(N425="","",IFERROR(INDEX('Semrush Data'!$A$1:$Z$20000,MATCH(N425,'Semrush Data'!$A$1:$A$20000,0),MATCH("Volume",'Semrush Data'!$A$1:$Z$1,0)),""))</f>
        <v/>
      </c>
      <c r="T425" s="22" t="str">
        <f aca="false">IF(O425="","",IFERROR(INDEX('Semrush Data'!$A$1:$Z$20000,MATCH(O425,'Semrush Data'!$A$1:$A$20000,0),MATCH("Volume",'Semrush Data'!$A$1:$Z$1,0)),""))</f>
        <v/>
      </c>
      <c r="U425" s="22" t="str">
        <f aca="false">IF(P425="","",IFERROR(INDEX('Semrush Data'!$A$1:$Z$20000,MATCH(P425,'Semrush Data'!$A$1:$A$20000,0),MATCH("Volume",'Semrush Data'!$A$1:$Z$1,0)),""))</f>
        <v/>
      </c>
      <c r="V425" s="23" t="str">
        <f aca="false">IF(COUNT(Q425:U425)=0,L425,IF(MAX(Q425:U425)=0,L425,INDEX(L425:P425,MATCH(MAX(Q425:U425),Q425:U425,0))))</f>
        <v>jimmy choo miniature gift set 5x4.</v>
      </c>
      <c r="W425" s="22" t="n">
        <f aca="false">IFERROR(INDEX('Semrush Data'!$A$1:$Z$20000,MATCH(V425,'Semrush Data'!$A$1:$A$20000,0),MATCH("Volume",'Semrush Data'!$A$1:$Z$1,0)),"")</f>
        <v>0</v>
      </c>
      <c r="X425" s="22" t="n">
        <f aca="false">IFERROR(INDEX('Semrush Data'!$A$1:$Z$20000,MATCH(V425,'Semrush Data'!$A$1:$A$20000,0),MATCH("Keyword Difficulty*",'Semrush Data'!$A$1:$Z$1,0)),"")</f>
        <v>17</v>
      </c>
      <c r="Y425" s="24" t="n">
        <f aca="false">IFERROR(INDEX('Semrush Data'!$A$1:$Z$20000,MATCH(V425,'Semrush Data'!$A$1:$A$20000,0),MATCH("CPC*",'Semrush Data'!$A$1:$Z$1,0)),"")</f>
        <v>0</v>
      </c>
      <c r="Z425" s="21" t="s">
        <v>5114</v>
      </c>
      <c r="AA425" s="21"/>
      <c r="AB425" s="21" t="s">
        <v>5115</v>
      </c>
      <c r="AC425" s="21" t="s">
        <v>5116</v>
      </c>
      <c r="AD425" s="25" t="n">
        <f aca="false">LEN(AC425)</f>
        <v>57</v>
      </c>
      <c r="AE425" s="21" t="s">
        <v>5117</v>
      </c>
      <c r="AF425" s="25" t="n">
        <f aca="false">LEN(AE425)</f>
        <v>156</v>
      </c>
    </row>
    <row r="426" customFormat="false" ht="15" hidden="false" customHeight="true" outlineLevel="0" collapsed="false">
      <c r="A426" s="21" t="s">
        <v>5118</v>
      </c>
      <c r="B426" s="21" t="s">
        <v>2390</v>
      </c>
      <c r="C426" s="21" t="n">
        <v>266</v>
      </c>
      <c r="D426" s="21" t="s">
        <v>5119</v>
      </c>
      <c r="E426" s="21"/>
      <c r="F426" s="21" t="s">
        <v>2393</v>
      </c>
      <c r="G426" s="21" t="s">
        <v>5120</v>
      </c>
      <c r="H426" s="21" t="s">
        <v>2479</v>
      </c>
      <c r="I426" s="21" t="s">
        <v>5121</v>
      </c>
      <c r="J426" s="21" t="s">
        <v>1375</v>
      </c>
      <c r="K426" s="21" t="n">
        <v>83.99</v>
      </c>
      <c r="L426" s="21" t="s">
        <v>5122</v>
      </c>
      <c r="M426" s="21" t="s">
        <v>5123</v>
      </c>
      <c r="N426" s="21" t="s">
        <v>5124</v>
      </c>
      <c r="O426" s="21" t="s">
        <v>5125</v>
      </c>
      <c r="P426" s="21"/>
      <c r="Q426" s="22" t="n">
        <f aca="false">IF(L426="","",IFERROR(INDEX('Semrush Data'!$A$1:$Z$20000,MATCH(L426,'Semrush Data'!$A$1:$A$20000,0),MATCH("Volume",'Semrush Data'!$A$1:$Z$1,0)),""))</f>
        <v>0</v>
      </c>
      <c r="R426" s="22" t="str">
        <f aca="false">IF(M426="","",IFERROR(INDEX('Semrush Data'!$A$1:$Z$20000,MATCH(M426,'Semrush Data'!$A$1:$A$20000,0),MATCH("Volume",'Semrush Data'!$A$1:$Z$1,0)),""))</f>
        <v/>
      </c>
      <c r="S426" s="22" t="str">
        <f aca="false">IF(N426="","",IFERROR(INDEX('Semrush Data'!$A$1:$Z$20000,MATCH(N426,'Semrush Data'!$A$1:$A$20000,0),MATCH("Volume",'Semrush Data'!$A$1:$Z$1,0)),""))</f>
        <v/>
      </c>
      <c r="T426" s="22" t="str">
        <f aca="false">IF(O426="","",IFERROR(INDEX('Semrush Data'!$A$1:$Z$20000,MATCH(O426,'Semrush Data'!$A$1:$A$20000,0),MATCH("Volume",'Semrush Data'!$A$1:$Z$1,0)),""))</f>
        <v/>
      </c>
      <c r="U426" s="22" t="str">
        <f aca="false">IF(P426="","",IFERROR(INDEX('Semrush Data'!$A$1:$Z$20000,MATCH(P426,'Semrush Data'!$A$1:$A$20000,0),MATCH("Volume",'Semrush Data'!$A$1:$Z$1,0)),""))</f>
        <v/>
      </c>
      <c r="V426" s="23" t="str">
        <f aca="false">IF(COUNT(Q426:U426)=0,L426,IF(MAX(Q426:U426)=0,L426,INDEX(L426:P426,MATCH(MAX(Q426:U426),Q426:U426,0))))</f>
        <v>jo milano game of spades queen for</v>
      </c>
      <c r="W426" s="22" t="n">
        <f aca="false">IFERROR(INDEX('Semrush Data'!$A$1:$Z$20000,MATCH(V426,'Semrush Data'!$A$1:$A$20000,0),MATCH("Volume",'Semrush Data'!$A$1:$Z$1,0)),"")</f>
        <v>0</v>
      </c>
      <c r="X426" s="22" t="n">
        <f aca="false">IFERROR(INDEX('Semrush Data'!$A$1:$Z$20000,MATCH(V426,'Semrush Data'!$A$1:$A$20000,0),MATCH("Keyword Difficulty*",'Semrush Data'!$A$1:$Z$1,0)),"")</f>
        <v>23</v>
      </c>
      <c r="Y426" s="24" t="n">
        <f aca="false">IFERROR(INDEX('Semrush Data'!$A$1:$Z$20000,MATCH(V426,'Semrush Data'!$A$1:$A$20000,0),MATCH("CPC*",'Semrush Data'!$A$1:$Z$1,0)),"")</f>
        <v>0</v>
      </c>
      <c r="Z426" s="21" t="s">
        <v>5126</v>
      </c>
      <c r="AA426" s="21"/>
      <c r="AB426" s="21" t="s">
        <v>5127</v>
      </c>
      <c r="AC426" s="21" t="s">
        <v>5128</v>
      </c>
      <c r="AD426" s="25" t="n">
        <f aca="false">LEN(AC426)</f>
        <v>55</v>
      </c>
      <c r="AE426" s="21" t="s">
        <v>5129</v>
      </c>
      <c r="AF426" s="25" t="n">
        <f aca="false">LEN(AE426)</f>
        <v>159</v>
      </c>
    </row>
    <row r="427" customFormat="false" ht="15" hidden="false" customHeight="true" outlineLevel="0" collapsed="false">
      <c r="A427" s="21" t="s">
        <v>5130</v>
      </c>
      <c r="B427" s="21" t="s">
        <v>2390</v>
      </c>
      <c r="C427" s="21" t="n">
        <v>267</v>
      </c>
      <c r="D427" s="21" t="s">
        <v>5119</v>
      </c>
      <c r="E427" s="21"/>
      <c r="F427" s="21" t="s">
        <v>2393</v>
      </c>
      <c r="G427" s="21" t="s">
        <v>2974</v>
      </c>
      <c r="H427" s="21" t="s">
        <v>2479</v>
      </c>
      <c r="I427" s="21" t="s">
        <v>5131</v>
      </c>
      <c r="J427" s="21" t="s">
        <v>2503</v>
      </c>
      <c r="K427" s="21" t="n">
        <v>88.99</v>
      </c>
      <c r="L427" s="21" t="s">
        <v>5132</v>
      </c>
      <c r="M427" s="21" t="s">
        <v>5133</v>
      </c>
      <c r="N427" s="21" t="s">
        <v>5134</v>
      </c>
      <c r="O427" s="21" t="s">
        <v>5135</v>
      </c>
      <c r="P427" s="21" t="s">
        <v>5136</v>
      </c>
      <c r="Q427" s="22" t="n">
        <f aca="false">IF(L427="","",IFERROR(INDEX('Semrush Data'!$A$1:$Z$20000,MATCH(L427,'Semrush Data'!$A$1:$A$20000,0),MATCH("Volume",'Semrush Data'!$A$1:$Z$1,0)),""))</f>
        <v>0</v>
      </c>
      <c r="R427" s="22" t="str">
        <f aca="false">IF(M427="","",IFERROR(INDEX('Semrush Data'!$A$1:$Z$20000,MATCH(M427,'Semrush Data'!$A$1:$A$20000,0),MATCH("Volume",'Semrush Data'!$A$1:$Z$1,0)),""))</f>
        <v/>
      </c>
      <c r="S427" s="22" t="str">
        <f aca="false">IF(N427="","",IFERROR(INDEX('Semrush Data'!$A$1:$Z$20000,MATCH(N427,'Semrush Data'!$A$1:$A$20000,0),MATCH("Volume",'Semrush Data'!$A$1:$Z$1,0)),""))</f>
        <v/>
      </c>
      <c r="T427" s="22" t="str">
        <f aca="false">IF(O427="","",IFERROR(INDEX('Semrush Data'!$A$1:$Z$20000,MATCH(O427,'Semrush Data'!$A$1:$A$20000,0),MATCH("Volume",'Semrush Data'!$A$1:$Z$1,0)),""))</f>
        <v/>
      </c>
      <c r="U427" s="22" t="str">
        <f aca="false">IF(P427="","",IFERROR(INDEX('Semrush Data'!$A$1:$Z$20000,MATCH(P427,'Semrush Data'!$A$1:$A$20000,0),MATCH("Volume",'Semrush Data'!$A$1:$Z$1,0)),""))</f>
        <v/>
      </c>
      <c r="V427" s="23" t="str">
        <f aca="false">IF(COUNT(Q427:U427)=0,L427,IF(MAX(Q427:U427)=0,L427,INDEX(L427:P427,MATCH(MAX(Q427:U427),Q427:U427,0))))</f>
        <v>jo milano game of spades wildcard for parfum , 3.4 ounce</v>
      </c>
      <c r="W427" s="22" t="n">
        <f aca="false">IFERROR(INDEX('Semrush Data'!$A$1:$Z$20000,MATCH(V427,'Semrush Data'!$A$1:$A$20000,0),MATCH("Volume",'Semrush Data'!$A$1:$Z$1,0)),"")</f>
        <v>0</v>
      </c>
      <c r="X427" s="22" t="n">
        <f aca="false">IFERROR(INDEX('Semrush Data'!$A$1:$Z$20000,MATCH(V427,'Semrush Data'!$A$1:$A$20000,0),MATCH("Keyword Difficulty*",'Semrush Data'!$A$1:$Z$1,0)),"")</f>
        <v>34</v>
      </c>
      <c r="Y427" s="24" t="n">
        <f aca="false">IFERROR(INDEX('Semrush Data'!$A$1:$Z$20000,MATCH(V427,'Semrush Data'!$A$1:$A$20000,0),MATCH("CPC*",'Semrush Data'!$A$1:$Z$1,0)),"")</f>
        <v>0</v>
      </c>
      <c r="Z427" s="21" t="s">
        <v>5126</v>
      </c>
      <c r="AA427" s="21"/>
      <c r="AB427" s="21" t="s">
        <v>5131</v>
      </c>
      <c r="AC427" s="21" t="s">
        <v>5137</v>
      </c>
      <c r="AD427" s="25" t="n">
        <f aca="false">LEN(AC427)</f>
        <v>58</v>
      </c>
      <c r="AE427" s="21" t="s">
        <v>5138</v>
      </c>
      <c r="AF427" s="25" t="n">
        <f aca="false">LEN(AE427)</f>
        <v>159</v>
      </c>
    </row>
    <row r="428" customFormat="false" ht="15" hidden="false" customHeight="true" outlineLevel="0" collapsed="false">
      <c r="A428" s="21" t="s">
        <v>5139</v>
      </c>
      <c r="B428" s="21" t="s">
        <v>2390</v>
      </c>
      <c r="C428" s="21" t="n">
        <v>268</v>
      </c>
      <c r="D428" s="21" t="s">
        <v>5140</v>
      </c>
      <c r="E428" s="21"/>
      <c r="F428" s="21" t="s">
        <v>2393</v>
      </c>
      <c r="G428" s="21" t="s">
        <v>2759</v>
      </c>
      <c r="H428" s="21" t="s">
        <v>2549</v>
      </c>
      <c r="I428" s="21" t="s">
        <v>5141</v>
      </c>
      <c r="J428" s="21" t="s">
        <v>2435</v>
      </c>
      <c r="K428" s="21" t="n">
        <v>32.99</v>
      </c>
      <c r="L428" s="21" t="s">
        <v>5142</v>
      </c>
      <c r="M428" s="21" t="s">
        <v>5143</v>
      </c>
      <c r="N428" s="21" t="s">
        <v>5144</v>
      </c>
      <c r="O428" s="21" t="s">
        <v>5145</v>
      </c>
      <c r="P428" s="21" t="s">
        <v>5146</v>
      </c>
      <c r="Q428" s="22" t="n">
        <f aca="false">IF(L428="","",IFERROR(INDEX('Semrush Data'!$A$1:$Z$20000,MATCH(L428,'Semrush Data'!$A$1:$A$20000,0),MATCH("Volume",'Semrush Data'!$A$1:$Z$1,0)),""))</f>
        <v>210</v>
      </c>
      <c r="R428" s="22" t="n">
        <f aca="false">IF(M428="","",IFERROR(INDEX('Semrush Data'!$A$1:$Z$20000,MATCH(M428,'Semrush Data'!$A$1:$A$20000,0),MATCH("Volume",'Semrush Data'!$A$1:$Z$1,0)),""))</f>
        <v>0</v>
      </c>
      <c r="S428" s="22" t="str">
        <f aca="false">IF(N428="","",IFERROR(INDEX('Semrush Data'!$A$1:$Z$20000,MATCH(N428,'Semrush Data'!$A$1:$A$20000,0),MATCH("Volume",'Semrush Data'!$A$1:$Z$1,0)),""))</f>
        <v/>
      </c>
      <c r="T428" s="22" t="str">
        <f aca="false">IF(O428="","",IFERROR(INDEX('Semrush Data'!$A$1:$Z$20000,MATCH(O428,'Semrush Data'!$A$1:$A$20000,0),MATCH("Volume",'Semrush Data'!$A$1:$Z$1,0)),""))</f>
        <v/>
      </c>
      <c r="U428" s="22" t="n">
        <f aca="false">IF(P428="","",IFERROR(INDEX('Semrush Data'!$A$1:$Z$20000,MATCH(P428,'Semrush Data'!$A$1:$A$20000,0),MATCH("Volume",'Semrush Data'!$A$1:$Z$1,0)),""))</f>
        <v>20</v>
      </c>
      <c r="V428" s="23" t="str">
        <f aca="false">IF(COUNT(Q428:U428)=0,L428,IF(MAX(Q428:U428)=0,L428,INDEX(L428:P428,MATCH(MAX(Q428:U428),Q428:U428,0))))</f>
        <v>john varvatos artisan</v>
      </c>
      <c r="W428" s="22" t="n">
        <f aca="false">IFERROR(INDEX('Semrush Data'!$A$1:$Z$20000,MATCH(V428,'Semrush Data'!$A$1:$A$20000,0),MATCH("Volume",'Semrush Data'!$A$1:$Z$1,0)),"")</f>
        <v>210</v>
      </c>
      <c r="X428" s="22" t="n">
        <f aca="false">IFERROR(INDEX('Semrush Data'!$A$1:$Z$20000,MATCH(V428,'Semrush Data'!$A$1:$A$20000,0),MATCH("Keyword Difficulty*",'Semrush Data'!$A$1:$Z$1,0)),"")</f>
        <v>12</v>
      </c>
      <c r="Y428" s="24" t="n">
        <f aca="false">IFERROR(INDEX('Semrush Data'!$A$1:$Z$20000,MATCH(V428,'Semrush Data'!$A$1:$A$20000,0),MATCH("CPC*",'Semrush Data'!$A$1:$Z$1,0)),"")</f>
        <v>0.35</v>
      </c>
      <c r="Z428" s="21" t="s">
        <v>5147</v>
      </c>
      <c r="AA428" s="21"/>
      <c r="AB428" s="21" t="s">
        <v>5148</v>
      </c>
      <c r="AC428" s="21" t="s">
        <v>5149</v>
      </c>
      <c r="AD428" s="25" t="n">
        <f aca="false">LEN(AC428)</f>
        <v>57</v>
      </c>
      <c r="AE428" s="21" t="s">
        <v>5150</v>
      </c>
      <c r="AF428" s="25" t="n">
        <f aca="false">LEN(AE428)</f>
        <v>157</v>
      </c>
    </row>
    <row r="429" customFormat="false" ht="15" hidden="false" customHeight="true" outlineLevel="0" collapsed="false">
      <c r="A429" s="21" t="s">
        <v>52</v>
      </c>
      <c r="B429" s="21" t="s">
        <v>2390</v>
      </c>
      <c r="C429" s="21" t="n">
        <v>269</v>
      </c>
      <c r="D429" s="21" t="s">
        <v>5151</v>
      </c>
      <c r="E429" s="21"/>
      <c r="F429" s="21" t="s">
        <v>2393</v>
      </c>
      <c r="G429" s="21" t="s">
        <v>2759</v>
      </c>
      <c r="H429" s="21" t="s">
        <v>3251</v>
      </c>
      <c r="I429" s="21" t="s">
        <v>53</v>
      </c>
      <c r="J429" s="21" t="s">
        <v>3174</v>
      </c>
      <c r="K429" s="21" t="n">
        <v>34.99</v>
      </c>
      <c r="L429" s="21" t="s">
        <v>5152</v>
      </c>
      <c r="M429" s="21" t="s">
        <v>5153</v>
      </c>
      <c r="N429" s="21" t="s">
        <v>5154</v>
      </c>
      <c r="O429" s="21" t="s">
        <v>5155</v>
      </c>
      <c r="P429" s="21" t="s">
        <v>5156</v>
      </c>
      <c r="Q429" s="22" t="n">
        <f aca="false">IF(L429="","",IFERROR(INDEX('Semrush Data'!$A$1:$Z$20000,MATCH(L429,'Semrush Data'!$A$1:$A$20000,0),MATCH("Volume",'Semrush Data'!$A$1:$Z$1,0)),""))</f>
        <v>9900</v>
      </c>
      <c r="R429" s="22" t="n">
        <f aca="false">IF(M429="","",IFERROR(INDEX('Semrush Data'!$A$1:$Z$20000,MATCH(M429,'Semrush Data'!$A$1:$A$20000,0),MATCH("Volume",'Semrush Data'!$A$1:$Z$1,0)),""))</f>
        <v>20</v>
      </c>
      <c r="S429" s="22" t="str">
        <f aca="false">IF(N429="","",IFERROR(INDEX('Semrush Data'!$A$1:$Z$20000,MATCH(N429,'Semrush Data'!$A$1:$A$20000,0),MATCH("Volume",'Semrush Data'!$A$1:$Z$1,0)),""))</f>
        <v/>
      </c>
      <c r="T429" s="22" t="str">
        <f aca="false">IF(O429="","",IFERROR(INDEX('Semrush Data'!$A$1:$Z$20000,MATCH(O429,'Semrush Data'!$A$1:$A$20000,0),MATCH("Volume",'Semrush Data'!$A$1:$Z$1,0)),""))</f>
        <v/>
      </c>
      <c r="U429" s="22" t="n">
        <f aca="false">IF(P429="","",IFERROR(INDEX('Semrush Data'!$A$1:$Z$20000,MATCH(P429,'Semrush Data'!$A$1:$A$20000,0),MATCH("Volume",'Semrush Data'!$A$1:$Z$1,0)),""))</f>
        <v>210</v>
      </c>
      <c r="V429" s="23" t="str">
        <f aca="false">IF(COUNT(Q429:U429)=0,L429,IF(MAX(Q429:U429)=0,L429,INDEX(L429:P429,MATCH(MAX(Q429:U429),Q429:U429,0))))</f>
        <v>joop! homme</v>
      </c>
      <c r="W429" s="22" t="n">
        <f aca="false">IFERROR(INDEX('Semrush Data'!$A$1:$Z$20000,MATCH(V429,'Semrush Data'!$A$1:$A$20000,0),MATCH("Volume",'Semrush Data'!$A$1:$Z$1,0)),"")</f>
        <v>9900</v>
      </c>
      <c r="X429" s="22" t="n">
        <f aca="false">IFERROR(INDEX('Semrush Data'!$A$1:$Z$20000,MATCH(V429,'Semrush Data'!$A$1:$A$20000,0),MATCH("Keyword Difficulty*",'Semrush Data'!$A$1:$Z$1,0)),"")</f>
        <v>23</v>
      </c>
      <c r="Y429" s="24" t="n">
        <f aca="false">IFERROR(INDEX('Semrush Data'!$A$1:$Z$20000,MATCH(V429,'Semrush Data'!$A$1:$A$20000,0),MATCH("CPC*",'Semrush Data'!$A$1:$Z$1,0)),"")</f>
        <v>0.36</v>
      </c>
      <c r="Z429" s="21" t="s">
        <v>5157</v>
      </c>
      <c r="AA429" s="21" t="s">
        <v>5158</v>
      </c>
      <c r="AB429" s="21" t="s">
        <v>5159</v>
      </c>
      <c r="AC429" s="21" t="s">
        <v>5160</v>
      </c>
      <c r="AD429" s="25" t="n">
        <f aca="false">LEN(AC429)</f>
        <v>54</v>
      </c>
      <c r="AE429" s="21" t="s">
        <v>5161</v>
      </c>
      <c r="AF429" s="25" t="n">
        <f aca="false">LEN(AE429)</f>
        <v>148</v>
      </c>
    </row>
    <row r="430" customFormat="false" ht="15" hidden="false" customHeight="true" outlineLevel="0" collapsed="false">
      <c r="A430" s="21" t="s">
        <v>5162</v>
      </c>
      <c r="B430" s="21" t="s">
        <v>2390</v>
      </c>
      <c r="C430" s="21" t="n">
        <v>270</v>
      </c>
      <c r="D430" s="21" t="s">
        <v>5151</v>
      </c>
      <c r="E430" s="21"/>
      <c r="F430" s="21" t="s">
        <v>2393</v>
      </c>
      <c r="G430" s="21" t="s">
        <v>2974</v>
      </c>
      <c r="H430" s="21" t="s">
        <v>2975</v>
      </c>
      <c r="I430" s="21" t="s">
        <v>5163</v>
      </c>
      <c r="J430" s="21" t="s">
        <v>2435</v>
      </c>
      <c r="K430" s="21" t="n">
        <v>32.99</v>
      </c>
      <c r="L430" s="21" t="s">
        <v>5164</v>
      </c>
      <c r="M430" s="21" t="s">
        <v>5165</v>
      </c>
      <c r="N430" s="21" t="s">
        <v>5166</v>
      </c>
      <c r="O430" s="21" t="s">
        <v>5167</v>
      </c>
      <c r="P430" s="21" t="s">
        <v>5168</v>
      </c>
      <c r="Q430" s="22" t="n">
        <f aca="false">IF(L430="","",IFERROR(INDEX('Semrush Data'!$A$1:$Z$20000,MATCH(L430,'Semrush Data'!$A$1:$A$20000,0),MATCH("Volume",'Semrush Data'!$A$1:$Z$1,0)),""))</f>
        <v>0</v>
      </c>
      <c r="R430" s="22" t="str">
        <f aca="false">IF(M430="","",IFERROR(INDEX('Semrush Data'!$A$1:$Z$20000,MATCH(M430,'Semrush Data'!$A$1:$A$20000,0),MATCH("Volume",'Semrush Data'!$A$1:$Z$1,0)),""))</f>
        <v/>
      </c>
      <c r="S430" s="22" t="str">
        <f aca="false">IF(N430="","",IFERROR(INDEX('Semrush Data'!$A$1:$Z$20000,MATCH(N430,'Semrush Data'!$A$1:$A$20000,0),MATCH("Volume",'Semrush Data'!$A$1:$Z$1,0)),""))</f>
        <v/>
      </c>
      <c r="T430" s="22" t="str">
        <f aca="false">IF(O430="","",IFERROR(INDEX('Semrush Data'!$A$1:$Z$20000,MATCH(O430,'Semrush Data'!$A$1:$A$20000,0),MATCH("Volume",'Semrush Data'!$A$1:$Z$1,0)),""))</f>
        <v/>
      </c>
      <c r="U430" s="22" t="str">
        <f aca="false">IF(P430="","",IFERROR(INDEX('Semrush Data'!$A$1:$Z$20000,MATCH(P430,'Semrush Data'!$A$1:$A$20000,0),MATCH("Volume",'Semrush Data'!$A$1:$Z$1,0)),""))</f>
        <v/>
      </c>
      <c r="V430" s="23" t="str">
        <f aca="false">IF(COUNT(Q430:U430)=0,L430,IF(MAX(Q430:U430)=0,L430,INDEX(L430:P430,MATCH(MAX(Q430:U430),Q430:U430,0))))</f>
        <v>joop! homme le</v>
      </c>
      <c r="W430" s="22" t="n">
        <f aca="false">IFERROR(INDEX('Semrush Data'!$A$1:$Z$20000,MATCH(V430,'Semrush Data'!$A$1:$A$20000,0),MATCH("Volume",'Semrush Data'!$A$1:$Z$1,0)),"")</f>
        <v>0</v>
      </c>
      <c r="X430" s="22" t="n">
        <f aca="false">IFERROR(INDEX('Semrush Data'!$A$1:$Z$20000,MATCH(V430,'Semrush Data'!$A$1:$A$20000,0),MATCH("Keyword Difficulty*",'Semrush Data'!$A$1:$Z$1,0)),"")</f>
        <v>21</v>
      </c>
      <c r="Y430" s="24" t="n">
        <f aca="false">IFERROR(INDEX('Semrush Data'!$A$1:$Z$20000,MATCH(V430,'Semrush Data'!$A$1:$A$20000,0),MATCH("CPC*",'Semrush Data'!$A$1:$Z$1,0)),"")</f>
        <v>0</v>
      </c>
      <c r="Z430" s="21" t="s">
        <v>5169</v>
      </c>
      <c r="AA430" s="21" t="s">
        <v>5170</v>
      </c>
      <c r="AB430" s="21" t="s">
        <v>5171</v>
      </c>
      <c r="AC430" s="21" t="s">
        <v>5172</v>
      </c>
      <c r="AD430" s="25" t="n">
        <f aca="false">LEN(AC430)</f>
        <v>53</v>
      </c>
      <c r="AE430" s="21" t="s">
        <v>5173</v>
      </c>
      <c r="AF430" s="25" t="n">
        <f aca="false">LEN(AE430)</f>
        <v>133</v>
      </c>
    </row>
    <row r="431" customFormat="false" ht="15" hidden="false" customHeight="true" outlineLevel="0" collapsed="false">
      <c r="A431" s="21" t="s">
        <v>5174</v>
      </c>
      <c r="B431" s="21" t="s">
        <v>2390</v>
      </c>
      <c r="C431" s="21" t="n">
        <v>271</v>
      </c>
      <c r="D431" s="21" t="s">
        <v>5175</v>
      </c>
      <c r="E431" s="21"/>
      <c r="F431" s="21" t="s">
        <v>2393</v>
      </c>
      <c r="G431" s="21" t="s">
        <v>2394</v>
      </c>
      <c r="H431" s="21" t="s">
        <v>2395</v>
      </c>
      <c r="I431" s="21" t="s">
        <v>5176</v>
      </c>
      <c r="J431" s="21" t="s">
        <v>1409</v>
      </c>
      <c r="K431" s="21" t="n">
        <v>31.99</v>
      </c>
      <c r="L431" s="21" t="s">
        <v>5177</v>
      </c>
      <c r="M431" s="21" t="s">
        <v>5178</v>
      </c>
      <c r="N431" s="21" t="s">
        <v>5179</v>
      </c>
      <c r="O431" s="21" t="s">
        <v>5180</v>
      </c>
      <c r="P431" s="21" t="s">
        <v>5181</v>
      </c>
      <c r="Q431" s="22" t="n">
        <f aca="false">IF(L431="","",IFERROR(INDEX('Semrush Data'!$A$1:$Z$20000,MATCH(L431,'Semrush Data'!$A$1:$A$20000,0),MATCH("Volume",'Semrush Data'!$A$1:$Z$1,0)),""))</f>
        <v>50</v>
      </c>
      <c r="R431" s="22" t="str">
        <f aca="false">IF(M431="","",IFERROR(INDEX('Semrush Data'!$A$1:$Z$20000,MATCH(M431,'Semrush Data'!$A$1:$A$20000,0),MATCH("Volume",'Semrush Data'!$A$1:$Z$1,0)),""))</f>
        <v/>
      </c>
      <c r="S431" s="22" t="str">
        <f aca="false">IF(N431="","",IFERROR(INDEX('Semrush Data'!$A$1:$Z$20000,MATCH(N431,'Semrush Data'!$A$1:$A$20000,0),MATCH("Volume",'Semrush Data'!$A$1:$Z$1,0)),""))</f>
        <v/>
      </c>
      <c r="T431" s="22" t="str">
        <f aca="false">IF(O431="","",IFERROR(INDEX('Semrush Data'!$A$1:$Z$20000,MATCH(O431,'Semrush Data'!$A$1:$A$20000,0),MATCH("Volume",'Semrush Data'!$A$1:$Z$1,0)),""))</f>
        <v/>
      </c>
      <c r="U431" s="22" t="str">
        <f aca="false">IF(P431="","",IFERROR(INDEX('Semrush Data'!$A$1:$Z$20000,MATCH(P431,'Semrush Data'!$A$1:$A$20000,0),MATCH("Volume",'Semrush Data'!$A$1:$Z$1,0)),""))</f>
        <v/>
      </c>
      <c r="V431" s="23" t="str">
        <f aca="false">IF(COUNT(Q431:U431)=0,L431,IF(MAX(Q431:U431)=0,L431,INDEX(L431:P431,MATCH(MAX(Q431:U431),Q431:U431,0))))</f>
        <v>juicy couture viva la juicy rose</v>
      </c>
      <c r="W431" s="22" t="n">
        <f aca="false">IFERROR(INDEX('Semrush Data'!$A$1:$Z$20000,MATCH(V431,'Semrush Data'!$A$1:$A$20000,0),MATCH("Volume",'Semrush Data'!$A$1:$Z$1,0)),"")</f>
        <v>50</v>
      </c>
      <c r="X431" s="22" t="n">
        <f aca="false">IFERROR(INDEX('Semrush Data'!$A$1:$Z$20000,MATCH(V431,'Semrush Data'!$A$1:$A$20000,0),MATCH("Keyword Difficulty*",'Semrush Data'!$A$1:$Z$1,0)),"")</f>
        <v>16</v>
      </c>
      <c r="Y431" s="24" t="n">
        <f aca="false">IFERROR(INDEX('Semrush Data'!$A$1:$Z$20000,MATCH(V431,'Semrush Data'!$A$1:$A$20000,0),MATCH("CPC*",'Semrush Data'!$A$1:$Z$1,0)),"")</f>
        <v>0</v>
      </c>
      <c r="Z431" s="21" t="s">
        <v>5182</v>
      </c>
      <c r="AA431" s="21" t="s">
        <v>5183</v>
      </c>
      <c r="AB431" s="21" t="s">
        <v>5184</v>
      </c>
      <c r="AC431" s="21" t="s">
        <v>5185</v>
      </c>
      <c r="AD431" s="25" t="n">
        <f aca="false">LEN(AC431)</f>
        <v>60</v>
      </c>
      <c r="AE431" s="21" t="s">
        <v>5186</v>
      </c>
      <c r="AF431" s="25" t="n">
        <f aca="false">LEN(AE431)</f>
        <v>155</v>
      </c>
    </row>
    <row r="432" customFormat="false" ht="15" hidden="false" customHeight="true" outlineLevel="0" collapsed="false">
      <c r="A432" s="21" t="s">
        <v>5187</v>
      </c>
      <c r="B432" s="21" t="s">
        <v>2390</v>
      </c>
      <c r="C432" s="21" t="n">
        <v>272</v>
      </c>
      <c r="D432" s="21" t="s">
        <v>5175</v>
      </c>
      <c r="E432" s="21"/>
      <c r="F432" s="21" t="s">
        <v>2393</v>
      </c>
      <c r="G432" s="21" t="s">
        <v>2394</v>
      </c>
      <c r="H432" s="21" t="s">
        <v>2395</v>
      </c>
      <c r="I432" s="21" t="s">
        <v>5188</v>
      </c>
      <c r="J432" s="21" t="s">
        <v>1409</v>
      </c>
      <c r="K432" s="21" t="n">
        <v>39.99</v>
      </c>
      <c r="L432" s="21" t="s">
        <v>5177</v>
      </c>
      <c r="M432" s="21" t="s">
        <v>5178</v>
      </c>
      <c r="N432" s="21" t="s">
        <v>5179</v>
      </c>
      <c r="O432" s="21" t="s">
        <v>5180</v>
      </c>
      <c r="P432" s="21" t="s">
        <v>5181</v>
      </c>
      <c r="Q432" s="22" t="n">
        <f aca="false">IF(L432="","",IFERROR(INDEX('Semrush Data'!$A$1:$Z$20000,MATCH(L432,'Semrush Data'!$A$1:$A$20000,0),MATCH("Volume",'Semrush Data'!$A$1:$Z$1,0)),""))</f>
        <v>50</v>
      </c>
      <c r="R432" s="22" t="str">
        <f aca="false">IF(M432="","",IFERROR(INDEX('Semrush Data'!$A$1:$Z$20000,MATCH(M432,'Semrush Data'!$A$1:$A$20000,0),MATCH("Volume",'Semrush Data'!$A$1:$Z$1,0)),""))</f>
        <v/>
      </c>
      <c r="S432" s="22" t="str">
        <f aca="false">IF(N432="","",IFERROR(INDEX('Semrush Data'!$A$1:$Z$20000,MATCH(N432,'Semrush Data'!$A$1:$A$20000,0),MATCH("Volume",'Semrush Data'!$A$1:$Z$1,0)),""))</f>
        <v/>
      </c>
      <c r="T432" s="22" t="str">
        <f aca="false">IF(O432="","",IFERROR(INDEX('Semrush Data'!$A$1:$Z$20000,MATCH(O432,'Semrush Data'!$A$1:$A$20000,0),MATCH("Volume",'Semrush Data'!$A$1:$Z$1,0)),""))</f>
        <v/>
      </c>
      <c r="U432" s="22" t="str">
        <f aca="false">IF(P432="","",IFERROR(INDEX('Semrush Data'!$A$1:$Z$20000,MATCH(P432,'Semrush Data'!$A$1:$A$20000,0),MATCH("Volume",'Semrush Data'!$A$1:$Z$1,0)),""))</f>
        <v/>
      </c>
      <c r="V432" s="23" t="str">
        <f aca="false">IF(COUNT(Q432:U432)=0,L432,IF(MAX(Q432:U432)=0,L432,INDEX(L432:P432,MATCH(MAX(Q432:U432),Q432:U432,0))))</f>
        <v>juicy couture viva la juicy rose</v>
      </c>
      <c r="W432" s="22" t="n">
        <f aca="false">IFERROR(INDEX('Semrush Data'!$A$1:$Z$20000,MATCH(V432,'Semrush Data'!$A$1:$A$20000,0),MATCH("Volume",'Semrush Data'!$A$1:$Z$1,0)),"")</f>
        <v>50</v>
      </c>
      <c r="X432" s="22" t="n">
        <f aca="false">IFERROR(INDEX('Semrush Data'!$A$1:$Z$20000,MATCH(V432,'Semrush Data'!$A$1:$A$20000,0),MATCH("Keyword Difficulty*",'Semrush Data'!$A$1:$Z$1,0)),"")</f>
        <v>16</v>
      </c>
      <c r="Y432" s="24" t="n">
        <f aca="false">IFERROR(INDEX('Semrush Data'!$A$1:$Z$20000,MATCH(V432,'Semrush Data'!$A$1:$A$20000,0),MATCH("CPC*",'Semrush Data'!$A$1:$Z$1,0)),"")</f>
        <v>0</v>
      </c>
      <c r="Z432" s="21" t="s">
        <v>5182</v>
      </c>
      <c r="AA432" s="21" t="s">
        <v>5183</v>
      </c>
      <c r="AB432" s="21" t="s">
        <v>5184</v>
      </c>
      <c r="AC432" s="21" t="s">
        <v>5185</v>
      </c>
      <c r="AD432" s="25" t="n">
        <f aca="false">LEN(AC432)</f>
        <v>60</v>
      </c>
      <c r="AE432" s="21" t="s">
        <v>5186</v>
      </c>
      <c r="AF432" s="25" t="n">
        <f aca="false">LEN(AE432)</f>
        <v>155</v>
      </c>
    </row>
    <row r="433" customFormat="false" ht="15" hidden="false" customHeight="true" outlineLevel="0" collapsed="false">
      <c r="A433" s="21" t="s">
        <v>5189</v>
      </c>
      <c r="B433" s="21" t="s">
        <v>2390</v>
      </c>
      <c r="C433" s="21" t="n">
        <v>273</v>
      </c>
      <c r="D433" s="21" t="s">
        <v>5175</v>
      </c>
      <c r="E433" s="21"/>
      <c r="F433" s="21" t="s">
        <v>2393</v>
      </c>
      <c r="G433" s="21" t="s">
        <v>2394</v>
      </c>
      <c r="H433" s="21" t="s">
        <v>2395</v>
      </c>
      <c r="I433" s="21" t="s">
        <v>5188</v>
      </c>
      <c r="J433" s="21" t="s">
        <v>1409</v>
      </c>
      <c r="K433" s="21" t="n">
        <v>31.99</v>
      </c>
      <c r="L433" s="21" t="s">
        <v>5177</v>
      </c>
      <c r="M433" s="21" t="s">
        <v>5178</v>
      </c>
      <c r="N433" s="21" t="s">
        <v>5179</v>
      </c>
      <c r="O433" s="21" t="s">
        <v>5180</v>
      </c>
      <c r="P433" s="21" t="s">
        <v>5181</v>
      </c>
      <c r="Q433" s="22" t="n">
        <f aca="false">IF(L433="","",IFERROR(INDEX('Semrush Data'!$A$1:$Z$20000,MATCH(L433,'Semrush Data'!$A$1:$A$20000,0),MATCH("Volume",'Semrush Data'!$A$1:$Z$1,0)),""))</f>
        <v>50</v>
      </c>
      <c r="R433" s="22" t="str">
        <f aca="false">IF(M433="","",IFERROR(INDEX('Semrush Data'!$A$1:$Z$20000,MATCH(M433,'Semrush Data'!$A$1:$A$20000,0),MATCH("Volume",'Semrush Data'!$A$1:$Z$1,0)),""))</f>
        <v/>
      </c>
      <c r="S433" s="22" t="str">
        <f aca="false">IF(N433="","",IFERROR(INDEX('Semrush Data'!$A$1:$Z$20000,MATCH(N433,'Semrush Data'!$A$1:$A$20000,0),MATCH("Volume",'Semrush Data'!$A$1:$Z$1,0)),""))</f>
        <v/>
      </c>
      <c r="T433" s="22" t="str">
        <f aca="false">IF(O433="","",IFERROR(INDEX('Semrush Data'!$A$1:$Z$20000,MATCH(O433,'Semrush Data'!$A$1:$A$20000,0),MATCH("Volume",'Semrush Data'!$A$1:$Z$1,0)),""))</f>
        <v/>
      </c>
      <c r="U433" s="22" t="str">
        <f aca="false">IF(P433="","",IFERROR(INDEX('Semrush Data'!$A$1:$Z$20000,MATCH(P433,'Semrush Data'!$A$1:$A$20000,0),MATCH("Volume",'Semrush Data'!$A$1:$Z$1,0)),""))</f>
        <v/>
      </c>
      <c r="V433" s="23" t="str">
        <f aca="false">IF(COUNT(Q433:U433)=0,L433,IF(MAX(Q433:U433)=0,L433,INDEX(L433:P433,MATCH(MAX(Q433:U433),Q433:U433,0))))</f>
        <v>juicy couture viva la juicy rose</v>
      </c>
      <c r="W433" s="22" t="n">
        <f aca="false">IFERROR(INDEX('Semrush Data'!$A$1:$Z$20000,MATCH(V433,'Semrush Data'!$A$1:$A$20000,0),MATCH("Volume",'Semrush Data'!$A$1:$Z$1,0)),"")</f>
        <v>50</v>
      </c>
      <c r="X433" s="22" t="n">
        <f aca="false">IFERROR(INDEX('Semrush Data'!$A$1:$Z$20000,MATCH(V433,'Semrush Data'!$A$1:$A$20000,0),MATCH("Keyword Difficulty*",'Semrush Data'!$A$1:$Z$1,0)),"")</f>
        <v>16</v>
      </c>
      <c r="Y433" s="24" t="n">
        <f aca="false">IFERROR(INDEX('Semrush Data'!$A$1:$Z$20000,MATCH(V433,'Semrush Data'!$A$1:$A$20000,0),MATCH("CPC*",'Semrush Data'!$A$1:$Z$1,0)),"")</f>
        <v>0</v>
      </c>
      <c r="Z433" s="21" t="s">
        <v>5182</v>
      </c>
      <c r="AA433" s="21" t="s">
        <v>5183</v>
      </c>
      <c r="AB433" s="21" t="s">
        <v>5184</v>
      </c>
      <c r="AC433" s="21" t="s">
        <v>5185</v>
      </c>
      <c r="AD433" s="25" t="n">
        <f aca="false">LEN(AC433)</f>
        <v>60</v>
      </c>
      <c r="AE433" s="21" t="s">
        <v>5186</v>
      </c>
      <c r="AF433" s="25" t="n">
        <f aca="false">LEN(AE433)</f>
        <v>155</v>
      </c>
    </row>
    <row r="434" customFormat="false" ht="15" hidden="false" customHeight="true" outlineLevel="0" collapsed="false">
      <c r="A434" s="21" t="s">
        <v>5190</v>
      </c>
      <c r="B434" s="21" t="s">
        <v>2390</v>
      </c>
      <c r="C434" s="21" t="n">
        <v>274</v>
      </c>
      <c r="D434" s="21" t="s">
        <v>5191</v>
      </c>
      <c r="E434" s="21"/>
      <c r="F434" s="21" t="s">
        <v>2393</v>
      </c>
      <c r="G434" s="21" t="s">
        <v>2759</v>
      </c>
      <c r="H434" s="21" t="s">
        <v>2549</v>
      </c>
      <c r="I434" s="21" t="s">
        <v>5192</v>
      </c>
      <c r="J434" s="21" t="s">
        <v>1935</v>
      </c>
      <c r="K434" s="21" t="n">
        <v>31.99</v>
      </c>
      <c r="L434" s="21" t="s">
        <v>5193</v>
      </c>
      <c r="M434" s="21" t="s">
        <v>5194</v>
      </c>
      <c r="N434" s="21" t="s">
        <v>5195</v>
      </c>
      <c r="O434" s="21" t="s">
        <v>5196</v>
      </c>
      <c r="P434" s="21" t="s">
        <v>5197</v>
      </c>
      <c r="Q434" s="22" t="n">
        <f aca="false">IF(L434="","",IFERROR(INDEX('Semrush Data'!$A$1:$Z$20000,MATCH(L434,'Semrush Data'!$A$1:$A$20000,0),MATCH("Volume",'Semrush Data'!$A$1:$Z$1,0)),""))</f>
        <v>20</v>
      </c>
      <c r="R434" s="22" t="str">
        <f aca="false">IF(M434="","",IFERROR(INDEX('Semrush Data'!$A$1:$Z$20000,MATCH(M434,'Semrush Data'!$A$1:$A$20000,0),MATCH("Volume",'Semrush Data'!$A$1:$Z$1,0)),""))</f>
        <v/>
      </c>
      <c r="S434" s="22" t="str">
        <f aca="false">IF(N434="","",IFERROR(INDEX('Semrush Data'!$A$1:$Z$20000,MATCH(N434,'Semrush Data'!$A$1:$A$20000,0),MATCH("Volume",'Semrush Data'!$A$1:$Z$1,0)),""))</f>
        <v/>
      </c>
      <c r="T434" s="22" t="str">
        <f aca="false">IF(O434="","",IFERROR(INDEX('Semrush Data'!$A$1:$Z$20000,MATCH(O434,'Semrush Data'!$A$1:$A$20000,0),MATCH("Volume",'Semrush Data'!$A$1:$Z$1,0)),""))</f>
        <v/>
      </c>
      <c r="U434" s="22" t="str">
        <f aca="false">IF(P434="","",IFERROR(INDEX('Semrush Data'!$A$1:$Z$20000,MATCH(P434,'Semrush Data'!$A$1:$A$20000,0),MATCH("Volume",'Semrush Data'!$A$1:$Z$1,0)),""))</f>
        <v/>
      </c>
      <c r="V434" s="23" t="str">
        <f aca="false">IF(COUNT(Q434:U434)=0,L434,IF(MAX(Q434:U434)=0,L434,INDEX(L434:P434,MATCH(MAX(Q434:U434),Q434:U434,0))))</f>
        <v>kenneth cole moonlight blue</v>
      </c>
      <c r="W434" s="22" t="n">
        <f aca="false">IFERROR(INDEX('Semrush Data'!$A$1:$Z$20000,MATCH(V434,'Semrush Data'!$A$1:$A$20000,0),MATCH("Volume",'Semrush Data'!$A$1:$Z$1,0)),"")</f>
        <v>20</v>
      </c>
      <c r="X434" s="22" t="n">
        <f aca="false">IFERROR(INDEX('Semrush Data'!$A$1:$Z$20000,MATCH(V434,'Semrush Data'!$A$1:$A$20000,0),MATCH("Keyword Difficulty*",'Semrush Data'!$A$1:$Z$1,0)),"")</f>
        <v>18</v>
      </c>
      <c r="Y434" s="24" t="n">
        <f aca="false">IFERROR(INDEX('Semrush Data'!$A$1:$Z$20000,MATCH(V434,'Semrush Data'!$A$1:$A$20000,0),MATCH("CPC*",'Semrush Data'!$A$1:$Z$1,0)),"")</f>
        <v>0</v>
      </c>
      <c r="Z434" s="21" t="s">
        <v>5198</v>
      </c>
      <c r="AA434" s="21" t="s">
        <v>5199</v>
      </c>
      <c r="AB434" s="21" t="s">
        <v>5200</v>
      </c>
      <c r="AC434" s="21" t="s">
        <v>5201</v>
      </c>
      <c r="AD434" s="25" t="n">
        <f aca="false">LEN(AC434)</f>
        <v>57</v>
      </c>
      <c r="AE434" s="21" t="s">
        <v>5202</v>
      </c>
      <c r="AF434" s="25" t="n">
        <f aca="false">LEN(AE434)</f>
        <v>158</v>
      </c>
    </row>
    <row r="435" customFormat="false" ht="15" hidden="false" customHeight="true" outlineLevel="0" collapsed="false">
      <c r="A435" s="21" t="s">
        <v>5203</v>
      </c>
      <c r="B435" s="21" t="s">
        <v>2390</v>
      </c>
      <c r="C435" s="21" t="n">
        <v>275</v>
      </c>
      <c r="D435" s="21" t="s">
        <v>5204</v>
      </c>
      <c r="E435" s="21"/>
      <c r="F435" s="21" t="s">
        <v>2393</v>
      </c>
      <c r="G435" s="21" t="s">
        <v>2394</v>
      </c>
      <c r="H435" s="21" t="s">
        <v>2479</v>
      </c>
      <c r="I435" s="21" t="s">
        <v>5205</v>
      </c>
      <c r="J435" s="21" t="s">
        <v>1935</v>
      </c>
      <c r="K435" s="21" t="n">
        <v>82.99</v>
      </c>
      <c r="L435" s="21" t="s">
        <v>5206</v>
      </c>
      <c r="M435" s="21" t="s">
        <v>5207</v>
      </c>
      <c r="N435" s="21" t="s">
        <v>5208</v>
      </c>
      <c r="O435" s="21" t="s">
        <v>5209</v>
      </c>
      <c r="P435" s="21" t="s">
        <v>5210</v>
      </c>
      <c r="Q435" s="22" t="n">
        <f aca="false">IF(L435="","",IFERROR(INDEX('Semrush Data'!$A$1:$Z$20000,MATCH(L435,'Semrush Data'!$A$1:$A$20000,0),MATCH("Volume",'Semrush Data'!$A$1:$Z$1,0)),""))</f>
        <v>20</v>
      </c>
      <c r="R435" s="22" t="str">
        <f aca="false">IF(M435="","",IFERROR(INDEX('Semrush Data'!$A$1:$Z$20000,MATCH(M435,'Semrush Data'!$A$1:$A$20000,0),MATCH("Volume",'Semrush Data'!$A$1:$Z$1,0)),""))</f>
        <v/>
      </c>
      <c r="S435" s="22" t="str">
        <f aca="false">IF(N435="","",IFERROR(INDEX('Semrush Data'!$A$1:$Z$20000,MATCH(N435,'Semrush Data'!$A$1:$A$20000,0),MATCH("Volume",'Semrush Data'!$A$1:$Z$1,0)),""))</f>
        <v/>
      </c>
      <c r="T435" s="22" t="str">
        <f aca="false">IF(O435="","",IFERROR(INDEX('Semrush Data'!$A$1:$Z$20000,MATCH(O435,'Semrush Data'!$A$1:$A$20000,0),MATCH("Volume",'Semrush Data'!$A$1:$Z$1,0)),""))</f>
        <v/>
      </c>
      <c r="U435" s="22" t="str">
        <f aca="false">IF(P435="","",IFERROR(INDEX('Semrush Data'!$A$1:$Z$20000,MATCH(P435,'Semrush Data'!$A$1:$A$20000,0),MATCH("Volume",'Semrush Data'!$A$1:$Z$1,0)),""))</f>
        <v/>
      </c>
      <c r="V435" s="23" t="str">
        <f aca="false">IF(COUNT(Q435:U435)=0,L435,IF(MAX(Q435:U435)=0,L435,INDEX(L435:P435,MATCH(MAX(Q435:U435),Q435:U435,0))))</f>
        <v>korloff cuir mythique</v>
      </c>
      <c r="W435" s="22" t="n">
        <f aca="false">IFERROR(INDEX('Semrush Data'!$A$1:$Z$20000,MATCH(V435,'Semrush Data'!$A$1:$A$20000,0),MATCH("Volume",'Semrush Data'!$A$1:$Z$1,0)),"")</f>
        <v>20</v>
      </c>
      <c r="X435" s="22" t="n">
        <f aca="false">IFERROR(INDEX('Semrush Data'!$A$1:$Z$20000,MATCH(V435,'Semrush Data'!$A$1:$A$20000,0),MATCH("Keyword Difficulty*",'Semrush Data'!$A$1:$Z$1,0)),"")</f>
        <v>9</v>
      </c>
      <c r="Y435" s="24" t="n">
        <f aca="false">IFERROR(INDEX('Semrush Data'!$A$1:$Z$20000,MATCH(V435,'Semrush Data'!$A$1:$A$20000,0),MATCH("CPC*",'Semrush Data'!$A$1:$Z$1,0)),"")</f>
        <v>0</v>
      </c>
      <c r="Z435" s="21" t="s">
        <v>5211</v>
      </c>
      <c r="AA435" s="21" t="s">
        <v>5212</v>
      </c>
      <c r="AB435" s="21" t="s">
        <v>5213</v>
      </c>
      <c r="AC435" s="21" t="s">
        <v>5214</v>
      </c>
      <c r="AD435" s="25" t="n">
        <f aca="false">LEN(AC435)</f>
        <v>58</v>
      </c>
      <c r="AE435" s="21" t="s">
        <v>5215</v>
      </c>
      <c r="AF435" s="25" t="n">
        <f aca="false">LEN(AE435)</f>
        <v>156</v>
      </c>
    </row>
    <row r="436" customFormat="false" ht="15" hidden="false" customHeight="true" outlineLevel="0" collapsed="false">
      <c r="A436" s="21" t="s">
        <v>5216</v>
      </c>
      <c r="B436" s="21" t="s">
        <v>2390</v>
      </c>
      <c r="C436" s="21" t="n">
        <v>276</v>
      </c>
      <c r="D436" s="21" t="s">
        <v>5204</v>
      </c>
      <c r="E436" s="21"/>
      <c r="F436" s="21" t="s">
        <v>2393</v>
      </c>
      <c r="G436" s="21" t="s">
        <v>2394</v>
      </c>
      <c r="H436" s="21" t="s">
        <v>2479</v>
      </c>
      <c r="I436" s="21" t="s">
        <v>5217</v>
      </c>
      <c r="J436" s="21" t="s">
        <v>5218</v>
      </c>
      <c r="K436" s="21" t="n">
        <v>26.99</v>
      </c>
      <c r="L436" s="21" t="s">
        <v>5219</v>
      </c>
      <c r="M436" s="21" t="s">
        <v>5220</v>
      </c>
      <c r="N436" s="21" t="s">
        <v>5221</v>
      </c>
      <c r="O436" s="21" t="s">
        <v>5222</v>
      </c>
      <c r="P436" s="21" t="s">
        <v>5223</v>
      </c>
      <c r="Q436" s="22" t="n">
        <f aca="false">IF(L436="","",IFERROR(INDEX('Semrush Data'!$A$1:$Z$20000,MATCH(L436,'Semrush Data'!$A$1:$A$20000,0),MATCH("Volume",'Semrush Data'!$A$1:$Z$1,0)),""))</f>
        <v>20</v>
      </c>
      <c r="R436" s="22" t="str">
        <f aca="false">IF(M436="","",IFERROR(INDEX('Semrush Data'!$A$1:$Z$20000,MATCH(M436,'Semrush Data'!$A$1:$A$20000,0),MATCH("Volume",'Semrush Data'!$A$1:$Z$1,0)),""))</f>
        <v/>
      </c>
      <c r="S436" s="22" t="str">
        <f aca="false">IF(N436="","",IFERROR(INDEX('Semrush Data'!$A$1:$Z$20000,MATCH(N436,'Semrush Data'!$A$1:$A$20000,0),MATCH("Volume",'Semrush Data'!$A$1:$Z$1,0)),""))</f>
        <v/>
      </c>
      <c r="T436" s="22" t="str">
        <f aca="false">IF(O436="","",IFERROR(INDEX('Semrush Data'!$A$1:$Z$20000,MATCH(O436,'Semrush Data'!$A$1:$A$20000,0),MATCH("Volume",'Semrush Data'!$A$1:$Z$1,0)),""))</f>
        <v/>
      </c>
      <c r="U436" s="22" t="str">
        <f aca="false">IF(P436="","",IFERROR(INDEX('Semrush Data'!$A$1:$Z$20000,MATCH(P436,'Semrush Data'!$A$1:$A$20000,0),MATCH("Volume",'Semrush Data'!$A$1:$Z$1,0)),""))</f>
        <v/>
      </c>
      <c r="V436" s="23" t="str">
        <f aca="false">IF(COUNT(Q436:U436)=0,L436,IF(MAX(Q436:U436)=0,L436,INDEX(L436:P436,MATCH(MAX(Q436:U436),Q436:U436,0))))</f>
        <v>korloff in love</v>
      </c>
      <c r="W436" s="22" t="n">
        <f aca="false">IFERROR(INDEX('Semrush Data'!$A$1:$Z$20000,MATCH(V436,'Semrush Data'!$A$1:$A$20000,0),MATCH("Volume",'Semrush Data'!$A$1:$Z$1,0)),"")</f>
        <v>20</v>
      </c>
      <c r="X436" s="22" t="n">
        <f aca="false">IFERROR(INDEX('Semrush Data'!$A$1:$Z$20000,MATCH(V436,'Semrush Data'!$A$1:$A$20000,0),MATCH("Keyword Difficulty*",'Semrush Data'!$A$1:$Z$1,0)),"")</f>
        <v>0</v>
      </c>
      <c r="Y436" s="24" t="n">
        <f aca="false">IFERROR(INDEX('Semrush Data'!$A$1:$Z$20000,MATCH(V436,'Semrush Data'!$A$1:$A$20000,0),MATCH("CPC*",'Semrush Data'!$A$1:$Z$1,0)),"")</f>
        <v>0</v>
      </c>
      <c r="Z436" s="21" t="s">
        <v>5211</v>
      </c>
      <c r="AA436" s="21" t="s">
        <v>5224</v>
      </c>
      <c r="AB436" s="21" t="s">
        <v>5225</v>
      </c>
      <c r="AC436" s="21" t="s">
        <v>5226</v>
      </c>
      <c r="AD436" s="25" t="n">
        <f aca="false">LEN(AC436)</f>
        <v>56</v>
      </c>
      <c r="AE436" s="21" t="s">
        <v>5227</v>
      </c>
      <c r="AF436" s="25" t="n">
        <f aca="false">LEN(AE436)</f>
        <v>150</v>
      </c>
    </row>
    <row r="437" customFormat="false" ht="15" hidden="false" customHeight="true" outlineLevel="0" collapsed="false">
      <c r="A437" s="21" t="s">
        <v>5228</v>
      </c>
      <c r="B437" s="21" t="s">
        <v>2390</v>
      </c>
      <c r="C437" s="21" t="n">
        <v>277</v>
      </c>
      <c r="D437" s="21" t="s">
        <v>5204</v>
      </c>
      <c r="E437" s="21"/>
      <c r="F437" s="21" t="s">
        <v>2393</v>
      </c>
      <c r="G437" s="21" t="s">
        <v>2394</v>
      </c>
      <c r="H437" s="21" t="s">
        <v>2479</v>
      </c>
      <c r="I437" s="21" t="s">
        <v>5229</v>
      </c>
      <c r="J437" s="21" t="s">
        <v>5230</v>
      </c>
      <c r="K437" s="21" t="n">
        <v>35.99</v>
      </c>
      <c r="L437" s="21" t="s">
        <v>5231</v>
      </c>
      <c r="M437" s="21" t="s">
        <v>5232</v>
      </c>
      <c r="N437" s="21" t="s">
        <v>5233</v>
      </c>
      <c r="O437" s="21" t="s">
        <v>5234</v>
      </c>
      <c r="P437" s="21" t="s">
        <v>5235</v>
      </c>
      <c r="Q437" s="22" t="n">
        <f aca="false">IF(L437="","",IFERROR(INDEX('Semrush Data'!$A$1:$Z$20000,MATCH(L437,'Semrush Data'!$A$1:$A$20000,0),MATCH("Volume",'Semrush Data'!$A$1:$Z$1,0)),""))</f>
        <v>0</v>
      </c>
      <c r="R437" s="22" t="str">
        <f aca="false">IF(M437="","",IFERROR(INDEX('Semrush Data'!$A$1:$Z$20000,MATCH(M437,'Semrush Data'!$A$1:$A$20000,0),MATCH("Volume",'Semrush Data'!$A$1:$Z$1,0)),""))</f>
        <v/>
      </c>
      <c r="S437" s="22" t="str">
        <f aca="false">IF(N437="","",IFERROR(INDEX('Semrush Data'!$A$1:$Z$20000,MATCH(N437,'Semrush Data'!$A$1:$A$20000,0),MATCH("Volume",'Semrush Data'!$A$1:$Z$1,0)),""))</f>
        <v/>
      </c>
      <c r="T437" s="22" t="str">
        <f aca="false">IF(O437="","",IFERROR(INDEX('Semrush Data'!$A$1:$Z$20000,MATCH(O437,'Semrush Data'!$A$1:$A$20000,0),MATCH("Volume",'Semrush Data'!$A$1:$Z$1,0)),""))</f>
        <v/>
      </c>
      <c r="U437" s="22" t="str">
        <f aca="false">IF(P437="","",IFERROR(INDEX('Semrush Data'!$A$1:$Z$20000,MATCH(P437,'Semrush Data'!$A$1:$A$20000,0),MATCH("Volume",'Semrush Data'!$A$1:$Z$1,0)),""))</f>
        <v/>
      </c>
      <c r="V437" s="23" t="str">
        <f aca="false">IF(COUNT(Q437:U437)=0,L437,IF(MAX(Q437:U437)=0,L437,INDEX(L437:P437,MATCH(MAX(Q437:U437),Q437:U437,0))))</f>
        <v>korloff lady intense</v>
      </c>
      <c r="W437" s="22" t="n">
        <f aca="false">IFERROR(INDEX('Semrush Data'!$A$1:$Z$20000,MATCH(V437,'Semrush Data'!$A$1:$A$20000,0),MATCH("Volume",'Semrush Data'!$A$1:$Z$1,0)),"")</f>
        <v>0</v>
      </c>
      <c r="X437" s="22" t="n">
        <f aca="false">IFERROR(INDEX('Semrush Data'!$A$1:$Z$20000,MATCH(V437,'Semrush Data'!$A$1:$A$20000,0),MATCH("Keyword Difficulty*",'Semrush Data'!$A$1:$Z$1,0)),"")</f>
        <v>13</v>
      </c>
      <c r="Y437" s="24" t="n">
        <f aca="false">IFERROR(INDEX('Semrush Data'!$A$1:$Z$20000,MATCH(V437,'Semrush Data'!$A$1:$A$20000,0),MATCH("CPC*",'Semrush Data'!$A$1:$Z$1,0)),"")</f>
        <v>0</v>
      </c>
      <c r="Z437" s="21" t="s">
        <v>5211</v>
      </c>
      <c r="AA437" s="21" t="s">
        <v>5236</v>
      </c>
      <c r="AB437" s="21" t="s">
        <v>5237</v>
      </c>
      <c r="AC437" s="21" t="s">
        <v>5238</v>
      </c>
      <c r="AD437" s="25" t="n">
        <f aca="false">LEN(AC437)</f>
        <v>56</v>
      </c>
      <c r="AE437" s="21" t="s">
        <v>5239</v>
      </c>
      <c r="AF437" s="25" t="n">
        <f aca="false">LEN(AE437)</f>
        <v>154</v>
      </c>
    </row>
    <row r="438" customFormat="false" ht="15" hidden="false" customHeight="true" outlineLevel="0" collapsed="false">
      <c r="A438" s="21" t="s">
        <v>5240</v>
      </c>
      <c r="B438" s="21" t="s">
        <v>2390</v>
      </c>
      <c r="C438" s="21" t="n">
        <v>278</v>
      </c>
      <c r="D438" s="21" t="s">
        <v>5204</v>
      </c>
      <c r="E438" s="21"/>
      <c r="F438" s="21" t="s">
        <v>2393</v>
      </c>
      <c r="G438" s="21" t="s">
        <v>2394</v>
      </c>
      <c r="H438" s="21" t="s">
        <v>2468</v>
      </c>
      <c r="I438" s="21" t="s">
        <v>5241</v>
      </c>
      <c r="J438" s="21" t="s">
        <v>5242</v>
      </c>
      <c r="K438" s="21" t="n">
        <v>47.99</v>
      </c>
      <c r="L438" s="21" t="s">
        <v>5243</v>
      </c>
      <c r="M438" s="21" t="s">
        <v>5244</v>
      </c>
      <c r="N438" s="21" t="s">
        <v>5245</v>
      </c>
      <c r="O438" s="21" t="s">
        <v>5246</v>
      </c>
      <c r="P438" s="21" t="s">
        <v>5247</v>
      </c>
      <c r="Q438" s="22" t="n">
        <f aca="false">IF(L438="","",IFERROR(INDEX('Semrush Data'!$A$1:$Z$20000,MATCH(L438,'Semrush Data'!$A$1:$A$20000,0),MATCH("Volume",'Semrush Data'!$A$1:$Z$1,0)),""))</f>
        <v>20</v>
      </c>
      <c r="R438" s="22" t="str">
        <f aca="false">IF(M438="","",IFERROR(INDEX('Semrush Data'!$A$1:$Z$20000,MATCH(M438,'Semrush Data'!$A$1:$A$20000,0),MATCH("Volume",'Semrush Data'!$A$1:$Z$1,0)),""))</f>
        <v/>
      </c>
      <c r="S438" s="22" t="str">
        <f aca="false">IF(N438="","",IFERROR(INDEX('Semrush Data'!$A$1:$Z$20000,MATCH(N438,'Semrush Data'!$A$1:$A$20000,0),MATCH("Volume",'Semrush Data'!$A$1:$Z$1,0)),""))</f>
        <v/>
      </c>
      <c r="T438" s="22" t="str">
        <f aca="false">IF(O438="","",IFERROR(INDEX('Semrush Data'!$A$1:$Z$20000,MATCH(O438,'Semrush Data'!$A$1:$A$20000,0),MATCH("Volume",'Semrush Data'!$A$1:$Z$1,0)),""))</f>
        <v/>
      </c>
      <c r="U438" s="22" t="str">
        <f aca="false">IF(P438="","",IFERROR(INDEX('Semrush Data'!$A$1:$Z$20000,MATCH(P438,'Semrush Data'!$A$1:$A$20000,0),MATCH("Volume",'Semrush Data'!$A$1:$Z$1,0)),""))</f>
        <v/>
      </c>
      <c r="V438" s="23" t="str">
        <f aca="false">IF(COUNT(Q438:U438)=0,L438,IF(MAX(Q438:U438)=0,L438,INDEX(L438:P438,MATCH(MAX(Q438:U438),Q438:U438,0))))</f>
        <v>korloff royal rose</v>
      </c>
      <c r="W438" s="22" t="n">
        <f aca="false">IFERROR(INDEX('Semrush Data'!$A$1:$Z$20000,MATCH(V438,'Semrush Data'!$A$1:$A$20000,0),MATCH("Volume",'Semrush Data'!$A$1:$Z$1,0)),"")</f>
        <v>20</v>
      </c>
      <c r="X438" s="22" t="n">
        <f aca="false">IFERROR(INDEX('Semrush Data'!$A$1:$Z$20000,MATCH(V438,'Semrush Data'!$A$1:$A$20000,0),MATCH("Keyword Difficulty*",'Semrush Data'!$A$1:$Z$1,0)),"")</f>
        <v>12</v>
      </c>
      <c r="Y438" s="24" t="n">
        <f aca="false">IFERROR(INDEX('Semrush Data'!$A$1:$Z$20000,MATCH(V438,'Semrush Data'!$A$1:$A$20000,0),MATCH("CPC*",'Semrush Data'!$A$1:$Z$1,0)),"")</f>
        <v>0</v>
      </c>
      <c r="Z438" s="21" t="s">
        <v>5248</v>
      </c>
      <c r="AA438" s="21" t="s">
        <v>5249</v>
      </c>
      <c r="AB438" s="21" t="s">
        <v>5250</v>
      </c>
      <c r="AC438" s="21" t="s">
        <v>5251</v>
      </c>
      <c r="AD438" s="25" t="n">
        <f aca="false">LEN(AC438)</f>
        <v>59</v>
      </c>
      <c r="AE438" s="21" t="s">
        <v>5252</v>
      </c>
      <c r="AF438" s="25" t="n">
        <f aca="false">LEN(AE438)</f>
        <v>152</v>
      </c>
    </row>
    <row r="439" customFormat="false" ht="15" hidden="false" customHeight="true" outlineLevel="0" collapsed="false">
      <c r="A439" s="21" t="s">
        <v>5253</v>
      </c>
      <c r="B439" s="21" t="s">
        <v>2390</v>
      </c>
      <c r="C439" s="21" t="n">
        <v>279</v>
      </c>
      <c r="D439" s="21" t="s">
        <v>5204</v>
      </c>
      <c r="E439" s="21"/>
      <c r="F439" s="21" t="s">
        <v>2393</v>
      </c>
      <c r="G439" s="21" t="s">
        <v>2394</v>
      </c>
      <c r="H439" s="21" t="s">
        <v>2479</v>
      </c>
      <c r="I439" s="21" t="s">
        <v>5254</v>
      </c>
      <c r="J439" s="21" t="s">
        <v>5218</v>
      </c>
      <c r="K439" s="21" t="n">
        <v>25.99</v>
      </c>
      <c r="L439" s="21" t="s">
        <v>5255</v>
      </c>
      <c r="M439" s="21" t="s">
        <v>5256</v>
      </c>
      <c r="N439" s="21" t="s">
        <v>5257</v>
      </c>
      <c r="O439" s="21" t="s">
        <v>5258</v>
      </c>
      <c r="P439" s="21" t="s">
        <v>5259</v>
      </c>
      <c r="Q439" s="22" t="n">
        <f aca="false">IF(L439="","",IFERROR(INDEX('Semrush Data'!$A$1:$Z$20000,MATCH(L439,'Semrush Data'!$A$1:$A$20000,0),MATCH("Volume",'Semrush Data'!$A$1:$Z$1,0)),""))</f>
        <v>10</v>
      </c>
      <c r="R439" s="22" t="str">
        <f aca="false">IF(M439="","",IFERROR(INDEX('Semrush Data'!$A$1:$Z$20000,MATCH(M439,'Semrush Data'!$A$1:$A$20000,0),MATCH("Volume",'Semrush Data'!$A$1:$Z$1,0)),""))</f>
        <v/>
      </c>
      <c r="S439" s="22" t="str">
        <f aca="false">IF(N439="","",IFERROR(INDEX('Semrush Data'!$A$1:$Z$20000,MATCH(N439,'Semrush Data'!$A$1:$A$20000,0),MATCH("Volume",'Semrush Data'!$A$1:$Z$1,0)),""))</f>
        <v/>
      </c>
      <c r="T439" s="22" t="str">
        <f aca="false">IF(O439="","",IFERROR(INDEX('Semrush Data'!$A$1:$Z$20000,MATCH(O439,'Semrush Data'!$A$1:$A$20000,0),MATCH("Volume",'Semrush Data'!$A$1:$Z$1,0)),""))</f>
        <v/>
      </c>
      <c r="U439" s="22" t="str">
        <f aca="false">IF(P439="","",IFERROR(INDEX('Semrush Data'!$A$1:$Z$20000,MATCH(P439,'Semrush Data'!$A$1:$A$20000,0),MATCH("Volume",'Semrush Data'!$A$1:$Z$1,0)),""))</f>
        <v/>
      </c>
      <c r="V439" s="23" t="str">
        <f aca="false">IF(COUNT(Q439:U439)=0,L439,IF(MAX(Q439:U439)=0,L439,INDEX(L439:P439,MATCH(MAX(Q439:U439),Q439:U439,0))))</f>
        <v>korloff un soir a paris</v>
      </c>
      <c r="W439" s="22" t="n">
        <f aca="false">IFERROR(INDEX('Semrush Data'!$A$1:$Z$20000,MATCH(V439,'Semrush Data'!$A$1:$A$20000,0),MATCH("Volume",'Semrush Data'!$A$1:$Z$1,0)),"")</f>
        <v>10</v>
      </c>
      <c r="X439" s="22" t="n">
        <f aca="false">IFERROR(INDEX('Semrush Data'!$A$1:$Z$20000,MATCH(V439,'Semrush Data'!$A$1:$A$20000,0),MATCH("Keyword Difficulty*",'Semrush Data'!$A$1:$Z$1,0)),"")</f>
        <v>6</v>
      </c>
      <c r="Y439" s="24" t="n">
        <f aca="false">IFERROR(INDEX('Semrush Data'!$A$1:$Z$20000,MATCH(V439,'Semrush Data'!$A$1:$A$20000,0),MATCH("CPC*",'Semrush Data'!$A$1:$Z$1,0)),"")</f>
        <v>0</v>
      </c>
      <c r="Z439" s="21" t="s">
        <v>5211</v>
      </c>
      <c r="AA439" s="21" t="s">
        <v>5260</v>
      </c>
      <c r="AB439" s="21" t="s">
        <v>5261</v>
      </c>
      <c r="AC439" s="21" t="s">
        <v>5262</v>
      </c>
      <c r="AD439" s="25" t="n">
        <f aca="false">LEN(AC439)</f>
        <v>60</v>
      </c>
      <c r="AE439" s="21" t="s">
        <v>5263</v>
      </c>
      <c r="AF439" s="25" t="n">
        <f aca="false">LEN(AE439)</f>
        <v>158</v>
      </c>
    </row>
    <row r="440" customFormat="false" ht="15" hidden="false" customHeight="true" outlineLevel="0" collapsed="false">
      <c r="A440" s="21" t="s">
        <v>5264</v>
      </c>
      <c r="B440" s="21" t="s">
        <v>2390</v>
      </c>
      <c r="C440" s="21" t="n">
        <v>280</v>
      </c>
      <c r="D440" s="21" t="s">
        <v>5204</v>
      </c>
      <c r="E440" s="21"/>
      <c r="F440" s="21" t="s">
        <v>2393</v>
      </c>
      <c r="G440" s="21" t="s">
        <v>2394</v>
      </c>
      <c r="H440" s="21" t="s">
        <v>2479</v>
      </c>
      <c r="I440" s="21" t="s">
        <v>5265</v>
      </c>
      <c r="J440" s="21" t="s">
        <v>5230</v>
      </c>
      <c r="K440" s="21" t="n">
        <v>35.99</v>
      </c>
      <c r="L440" s="21" t="s">
        <v>5266</v>
      </c>
      <c r="M440" s="21" t="s">
        <v>5267</v>
      </c>
      <c r="N440" s="21" t="s">
        <v>5268</v>
      </c>
      <c r="O440" s="21" t="s">
        <v>5269</v>
      </c>
      <c r="P440" s="21" t="s">
        <v>5270</v>
      </c>
      <c r="Q440" s="22" t="n">
        <f aca="false">IF(L440="","",IFERROR(INDEX('Semrush Data'!$A$1:$Z$20000,MATCH(L440,'Semrush Data'!$A$1:$A$20000,0),MATCH("Volume",'Semrush Data'!$A$1:$Z$1,0)),""))</f>
        <v>0</v>
      </c>
      <c r="R440" s="22" t="str">
        <f aca="false">IF(M440="","",IFERROR(INDEX('Semrush Data'!$A$1:$Z$20000,MATCH(M440,'Semrush Data'!$A$1:$A$20000,0),MATCH("Volume",'Semrush Data'!$A$1:$Z$1,0)),""))</f>
        <v/>
      </c>
      <c r="S440" s="22" t="str">
        <f aca="false">IF(N440="","",IFERROR(INDEX('Semrush Data'!$A$1:$Z$20000,MATCH(N440,'Semrush Data'!$A$1:$A$20000,0),MATCH("Volume",'Semrush Data'!$A$1:$Z$1,0)),""))</f>
        <v/>
      </c>
      <c r="T440" s="22" t="str">
        <f aca="false">IF(O440="","",IFERROR(INDEX('Semrush Data'!$A$1:$Z$20000,MATCH(O440,'Semrush Data'!$A$1:$A$20000,0),MATCH("Volume",'Semrush Data'!$A$1:$Z$1,0)),""))</f>
        <v/>
      </c>
      <c r="U440" s="22" t="str">
        <f aca="false">IF(P440="","",IFERROR(INDEX('Semrush Data'!$A$1:$Z$20000,MATCH(P440,'Semrush Data'!$A$1:$A$20000,0),MATCH("Volume",'Semrush Data'!$A$1:$Z$1,0)),""))</f>
        <v/>
      </c>
      <c r="V440" s="23" t="str">
        <f aca="false">IF(COUNT(Q440:U440)=0,L440,IF(MAX(Q440:U440)=0,L440,INDEX(L440:P440,MATCH(MAX(Q440:U440),Q440:U440,0))))</f>
        <v>korloff miss korloff</v>
      </c>
      <c r="W440" s="22" t="n">
        <f aca="false">IFERROR(INDEX('Semrush Data'!$A$1:$Z$20000,MATCH(V440,'Semrush Data'!$A$1:$A$20000,0),MATCH("Volume",'Semrush Data'!$A$1:$Z$1,0)),"")</f>
        <v>0</v>
      </c>
      <c r="X440" s="22" t="n">
        <f aca="false">IFERROR(INDEX('Semrush Data'!$A$1:$Z$20000,MATCH(V440,'Semrush Data'!$A$1:$A$20000,0),MATCH("Keyword Difficulty*",'Semrush Data'!$A$1:$Z$1,0)),"")</f>
        <v>6</v>
      </c>
      <c r="Y440" s="24" t="n">
        <f aca="false">IFERROR(INDEX('Semrush Data'!$A$1:$Z$20000,MATCH(V440,'Semrush Data'!$A$1:$A$20000,0),MATCH("CPC*",'Semrush Data'!$A$1:$Z$1,0)),"")</f>
        <v>0</v>
      </c>
      <c r="Z440" s="21" t="s">
        <v>5211</v>
      </c>
      <c r="AA440" s="21"/>
      <c r="AB440" s="21" t="s">
        <v>5271</v>
      </c>
      <c r="AC440" s="21" t="s">
        <v>5272</v>
      </c>
      <c r="AD440" s="25" t="n">
        <f aca="false">LEN(AC440)</f>
        <v>53</v>
      </c>
      <c r="AE440" s="21" t="s">
        <v>5273</v>
      </c>
      <c r="AF440" s="25" t="n">
        <f aca="false">LEN(AE440)</f>
        <v>146</v>
      </c>
    </row>
    <row r="441" customFormat="false" ht="15" hidden="false" customHeight="true" outlineLevel="0" collapsed="false">
      <c r="A441" s="21" t="s">
        <v>5274</v>
      </c>
      <c r="B441" s="21" t="s">
        <v>2390</v>
      </c>
      <c r="C441" s="21" t="n">
        <v>281</v>
      </c>
      <c r="D441" s="21" t="s">
        <v>5204</v>
      </c>
      <c r="E441" s="21"/>
      <c r="F441" s="21" t="s">
        <v>2393</v>
      </c>
      <c r="G441" s="21" t="s">
        <v>2394</v>
      </c>
      <c r="H441" s="21" t="s">
        <v>3862</v>
      </c>
      <c r="I441" s="21" t="s">
        <v>5275</v>
      </c>
      <c r="J441" s="21" t="s">
        <v>5230</v>
      </c>
      <c r="K441" s="21" t="n">
        <v>47.99</v>
      </c>
      <c r="L441" s="21" t="s">
        <v>5276</v>
      </c>
      <c r="M441" s="21" t="s">
        <v>5277</v>
      </c>
      <c r="N441" s="21" t="s">
        <v>5278</v>
      </c>
      <c r="O441" s="21" t="s">
        <v>5279</v>
      </c>
      <c r="P441" s="21" t="s">
        <v>5280</v>
      </c>
      <c r="Q441" s="22" t="n">
        <f aca="false">IF(L441="","",IFERROR(INDEX('Semrush Data'!$A$1:$Z$20000,MATCH(L441,'Semrush Data'!$A$1:$A$20000,0),MATCH("Volume",'Semrush Data'!$A$1:$Z$1,0)),""))</f>
        <v>0</v>
      </c>
      <c r="R441" s="22" t="str">
        <f aca="false">IF(M441="","",IFERROR(INDEX('Semrush Data'!$A$1:$Z$20000,MATCH(M441,'Semrush Data'!$A$1:$A$20000,0),MATCH("Volume",'Semrush Data'!$A$1:$Z$1,0)),""))</f>
        <v/>
      </c>
      <c r="S441" s="22" t="str">
        <f aca="false">IF(N441="","",IFERROR(INDEX('Semrush Data'!$A$1:$Z$20000,MATCH(N441,'Semrush Data'!$A$1:$A$20000,0),MATCH("Volume",'Semrush Data'!$A$1:$Z$1,0)),""))</f>
        <v/>
      </c>
      <c r="T441" s="22" t="str">
        <f aca="false">IF(O441="","",IFERROR(INDEX('Semrush Data'!$A$1:$Z$20000,MATCH(O441,'Semrush Data'!$A$1:$A$20000,0),MATCH("Volume",'Semrush Data'!$A$1:$Z$1,0)),""))</f>
        <v/>
      </c>
      <c r="U441" s="22" t="str">
        <f aca="false">IF(P441="","",IFERROR(INDEX('Semrush Data'!$A$1:$Z$20000,MATCH(P441,'Semrush Data'!$A$1:$A$20000,0),MATCH("Volume",'Semrush Data'!$A$1:$Z$1,0)),""))</f>
        <v/>
      </c>
      <c r="V441" s="23" t="str">
        <f aca="false">IF(COUNT(Q441:U441)=0,L441,IF(MAX(Q441:U441)=0,L441,INDEX(L441:P441,MATCH(MAX(Q441:U441),Q441:U441,0))))</f>
        <v>korloff royal oud korloff paris</v>
      </c>
      <c r="W441" s="22" t="n">
        <f aca="false">IFERROR(INDEX('Semrush Data'!$A$1:$Z$20000,MATCH(V441,'Semrush Data'!$A$1:$A$20000,0),MATCH("Volume",'Semrush Data'!$A$1:$Z$1,0)),"")</f>
        <v>0</v>
      </c>
      <c r="X441" s="22" t="n">
        <f aca="false">IFERROR(INDEX('Semrush Data'!$A$1:$Z$20000,MATCH(V441,'Semrush Data'!$A$1:$A$20000,0),MATCH("Keyword Difficulty*",'Semrush Data'!$A$1:$Z$1,0)),"")</f>
        <v>14</v>
      </c>
      <c r="Y441" s="24" t="n">
        <f aca="false">IFERROR(INDEX('Semrush Data'!$A$1:$Z$20000,MATCH(V441,'Semrush Data'!$A$1:$A$20000,0),MATCH("CPC*",'Semrush Data'!$A$1:$Z$1,0)),"")</f>
        <v>0</v>
      </c>
      <c r="Z441" s="21" t="s">
        <v>5281</v>
      </c>
      <c r="AA441" s="21" t="s">
        <v>5282</v>
      </c>
      <c r="AB441" s="21" t="s">
        <v>5283</v>
      </c>
      <c r="AC441" s="21" t="s">
        <v>5284</v>
      </c>
      <c r="AD441" s="25" t="n">
        <f aca="false">LEN(AC441)</f>
        <v>59</v>
      </c>
      <c r="AE441" s="21" t="s">
        <v>5285</v>
      </c>
      <c r="AF441" s="25" t="n">
        <f aca="false">LEN(AE441)</f>
        <v>155</v>
      </c>
    </row>
    <row r="442" customFormat="false" ht="15" hidden="false" customHeight="true" outlineLevel="0" collapsed="false">
      <c r="A442" s="21" t="s">
        <v>5286</v>
      </c>
      <c r="B442" s="21" t="s">
        <v>2390</v>
      </c>
      <c r="C442" s="21" t="n">
        <v>282</v>
      </c>
      <c r="D442" s="21" t="s">
        <v>5204</v>
      </c>
      <c r="E442" s="21"/>
      <c r="F442" s="21" t="s">
        <v>1676</v>
      </c>
      <c r="G442" s="21" t="s">
        <v>2394</v>
      </c>
      <c r="H442" s="21" t="s">
        <v>2479</v>
      </c>
      <c r="I442" s="21" t="s">
        <v>5287</v>
      </c>
      <c r="J442" s="21" t="s">
        <v>5288</v>
      </c>
      <c r="K442" s="21" t="n">
        <v>19.99</v>
      </c>
      <c r="L442" s="21" t="s">
        <v>5289</v>
      </c>
      <c r="M442" s="21" t="s">
        <v>5290</v>
      </c>
      <c r="N442" s="21" t="s">
        <v>5291</v>
      </c>
      <c r="O442" s="21" t="s">
        <v>5292</v>
      </c>
      <c r="P442" s="21"/>
      <c r="Q442" s="22" t="n">
        <f aca="false">IF(L442="","",IFERROR(INDEX('Semrush Data'!$A$1:$Z$20000,MATCH(L442,'Semrush Data'!$A$1:$A$20000,0),MATCH("Volume",'Semrush Data'!$A$1:$Z$1,0)),""))</f>
        <v>0</v>
      </c>
      <c r="R442" s="22" t="str">
        <f aca="false">IF(M442="","",IFERROR(INDEX('Semrush Data'!$A$1:$Z$20000,MATCH(M442,'Semrush Data'!$A$1:$A$20000,0),MATCH("Volume",'Semrush Data'!$A$1:$Z$1,0)),""))</f>
        <v/>
      </c>
      <c r="S442" s="22" t="str">
        <f aca="false">IF(N442="","",IFERROR(INDEX('Semrush Data'!$A$1:$Z$20000,MATCH(N442,'Semrush Data'!$A$1:$A$20000,0),MATCH("Volume",'Semrush Data'!$A$1:$Z$1,0)),""))</f>
        <v/>
      </c>
      <c r="T442" s="22" t="str">
        <f aca="false">IF(O442="","",IFERROR(INDEX('Semrush Data'!$A$1:$Z$20000,MATCH(O442,'Semrush Data'!$A$1:$A$20000,0),MATCH("Volume",'Semrush Data'!$A$1:$Z$1,0)),""))</f>
        <v/>
      </c>
      <c r="U442" s="22" t="str">
        <f aca="false">IF(P442="","",IFERROR(INDEX('Semrush Data'!$A$1:$Z$20000,MATCH(P442,'Semrush Data'!$A$1:$A$20000,0),MATCH("Volume",'Semrush Data'!$A$1:$Z$1,0)),""))</f>
        <v/>
      </c>
      <c r="V442" s="23" t="str">
        <f aca="false">IF(COUNT(Q442:U442)=0,L442,IF(MAX(Q442:U442)=0,L442,INDEX(L442:P442,MATCH(MAX(Q442:U442),Q442:U442,0))))</f>
        <v>korloff paris discovery set</v>
      </c>
      <c r="W442" s="22" t="n">
        <f aca="false">IFERROR(INDEX('Semrush Data'!$A$1:$Z$20000,MATCH(V442,'Semrush Data'!$A$1:$A$20000,0),MATCH("Volume",'Semrush Data'!$A$1:$Z$1,0)),"")</f>
        <v>0</v>
      </c>
      <c r="X442" s="22" t="n">
        <f aca="false">IFERROR(INDEX('Semrush Data'!$A$1:$Z$20000,MATCH(V442,'Semrush Data'!$A$1:$A$20000,0),MATCH("Keyword Difficulty*",'Semrush Data'!$A$1:$Z$1,0)),"")</f>
        <v>16</v>
      </c>
      <c r="Y442" s="24" t="n">
        <f aca="false">IFERROR(INDEX('Semrush Data'!$A$1:$Z$20000,MATCH(V442,'Semrush Data'!$A$1:$A$20000,0),MATCH("CPC*",'Semrush Data'!$A$1:$Z$1,0)),"")</f>
        <v>0</v>
      </c>
      <c r="Z442" s="21" t="s">
        <v>5211</v>
      </c>
      <c r="AA442" s="21"/>
      <c r="AB442" s="21" t="s">
        <v>5287</v>
      </c>
      <c r="AC442" s="21" t="s">
        <v>5293</v>
      </c>
      <c r="AD442" s="25" t="n">
        <f aca="false">LEN(AC442)</f>
        <v>59</v>
      </c>
      <c r="AE442" s="21" t="s">
        <v>5294</v>
      </c>
      <c r="AF442" s="25" t="n">
        <f aca="false">LEN(AE442)</f>
        <v>156</v>
      </c>
    </row>
    <row r="443" customFormat="false" ht="15" hidden="false" customHeight="true" outlineLevel="0" collapsed="false">
      <c r="A443" s="21" t="s">
        <v>5295</v>
      </c>
      <c r="B443" s="21" t="s">
        <v>2390</v>
      </c>
      <c r="C443" s="21" t="n">
        <v>283</v>
      </c>
      <c r="D443" s="21" t="s">
        <v>5296</v>
      </c>
      <c r="E443" s="21"/>
      <c r="F443" s="21" t="s">
        <v>2393</v>
      </c>
      <c r="G443" s="21" t="s">
        <v>2394</v>
      </c>
      <c r="H443" s="21" t="s">
        <v>2479</v>
      </c>
      <c r="I443" s="21" t="s">
        <v>5297</v>
      </c>
      <c r="J443" s="21" t="s">
        <v>1935</v>
      </c>
      <c r="K443" s="21" t="n">
        <v>19.99</v>
      </c>
      <c r="L443" s="21" t="s">
        <v>5298</v>
      </c>
      <c r="M443" s="21" t="s">
        <v>5299</v>
      </c>
      <c r="N443" s="21" t="s">
        <v>5300</v>
      </c>
      <c r="O443" s="21" t="s">
        <v>5301</v>
      </c>
      <c r="P443" s="21" t="s">
        <v>5302</v>
      </c>
      <c r="Q443" s="22" t="n">
        <f aca="false">IF(L443="","",IFERROR(INDEX('Semrush Data'!$A$1:$Z$20000,MATCH(L443,'Semrush Data'!$A$1:$A$20000,0),MATCH("Volume",'Semrush Data'!$A$1:$Z$1,0)),""))</f>
        <v>20</v>
      </c>
      <c r="R443" s="22" t="str">
        <f aca="false">IF(M443="","",IFERROR(INDEX('Semrush Data'!$A$1:$Z$20000,MATCH(M443,'Semrush Data'!$A$1:$A$20000,0),MATCH("Volume",'Semrush Data'!$A$1:$Z$1,0)),""))</f>
        <v/>
      </c>
      <c r="S443" s="22" t="str">
        <f aca="false">IF(N443="","",IFERROR(INDEX('Semrush Data'!$A$1:$Z$20000,MATCH(N443,'Semrush Data'!$A$1:$A$20000,0),MATCH("Volume",'Semrush Data'!$A$1:$Z$1,0)),""))</f>
        <v/>
      </c>
      <c r="T443" s="22" t="str">
        <f aca="false">IF(O443="","",IFERROR(INDEX('Semrush Data'!$A$1:$Z$20000,MATCH(O443,'Semrush Data'!$A$1:$A$20000,0),MATCH("Volume",'Semrush Data'!$A$1:$Z$1,0)),""))</f>
        <v/>
      </c>
      <c r="U443" s="22" t="str">
        <f aca="false">IF(P443="","",IFERROR(INDEX('Semrush Data'!$A$1:$Z$20000,MATCH(P443,'Semrush Data'!$A$1:$A$20000,0),MATCH("Volume",'Semrush Data'!$A$1:$Z$1,0)),""))</f>
        <v/>
      </c>
      <c r="V443" s="23" t="str">
        <f aca="false">IF(COUNT(Q443:U443)=0,L443,IF(MAX(Q443:U443)=0,L443,INDEX(L443:P443,MATCH(MAX(Q443:U443),Q443:U443,0))))</f>
        <v>la maison de la vanille absolu de vanille</v>
      </c>
      <c r="W443" s="22" t="n">
        <f aca="false">IFERROR(INDEX('Semrush Data'!$A$1:$Z$20000,MATCH(V443,'Semrush Data'!$A$1:$A$20000,0),MATCH("Volume",'Semrush Data'!$A$1:$Z$1,0)),"")</f>
        <v>20</v>
      </c>
      <c r="X443" s="22" t="n">
        <f aca="false">IFERROR(INDEX('Semrush Data'!$A$1:$Z$20000,MATCH(V443,'Semrush Data'!$A$1:$A$20000,0),MATCH("Keyword Difficulty*",'Semrush Data'!$A$1:$Z$1,0)),"")</f>
        <v>8</v>
      </c>
      <c r="Y443" s="24" t="n">
        <f aca="false">IFERROR(INDEX('Semrush Data'!$A$1:$Z$20000,MATCH(V443,'Semrush Data'!$A$1:$A$20000,0),MATCH("CPC*",'Semrush Data'!$A$1:$Z$1,0)),"")</f>
        <v>0</v>
      </c>
      <c r="Z443" s="21" t="s">
        <v>5303</v>
      </c>
      <c r="AA443" s="21" t="s">
        <v>5304</v>
      </c>
      <c r="AB443" s="21" t="s">
        <v>5305</v>
      </c>
      <c r="AC443" s="21" t="s">
        <v>5306</v>
      </c>
      <c r="AD443" s="25" t="n">
        <f aca="false">LEN(AC443)</f>
        <v>55</v>
      </c>
      <c r="AE443" s="21" t="s">
        <v>5307</v>
      </c>
      <c r="AF443" s="25" t="n">
        <f aca="false">LEN(AE443)</f>
        <v>159</v>
      </c>
    </row>
    <row r="444" customFormat="false" ht="15" hidden="false" customHeight="true" outlineLevel="0" collapsed="false">
      <c r="A444" s="21" t="s">
        <v>5308</v>
      </c>
      <c r="B444" s="21" t="s">
        <v>2390</v>
      </c>
      <c r="C444" s="21" t="n">
        <v>284</v>
      </c>
      <c r="D444" s="21" t="s">
        <v>5296</v>
      </c>
      <c r="E444" s="21"/>
      <c r="F444" s="21" t="s">
        <v>2393</v>
      </c>
      <c r="G444" s="21" t="s">
        <v>2394</v>
      </c>
      <c r="H444" s="21" t="s">
        <v>2479</v>
      </c>
      <c r="I444" s="21" t="s">
        <v>5309</v>
      </c>
      <c r="J444" s="21" t="s">
        <v>1935</v>
      </c>
      <c r="K444" s="21" t="n">
        <v>19.99</v>
      </c>
      <c r="L444" s="21" t="s">
        <v>5310</v>
      </c>
      <c r="M444" s="21" t="s">
        <v>5311</v>
      </c>
      <c r="N444" s="21" t="s">
        <v>5312</v>
      </c>
      <c r="O444" s="21" t="s">
        <v>5313</v>
      </c>
      <c r="P444" s="21" t="s">
        <v>5314</v>
      </c>
      <c r="Q444" s="22" t="n">
        <f aca="false">IF(L444="","",IFERROR(INDEX('Semrush Data'!$A$1:$Z$20000,MATCH(L444,'Semrush Data'!$A$1:$A$20000,0),MATCH("Volume",'Semrush Data'!$A$1:$Z$1,0)),""))</f>
        <v>20</v>
      </c>
      <c r="R444" s="22" t="str">
        <f aca="false">IF(M444="","",IFERROR(INDEX('Semrush Data'!$A$1:$Z$20000,MATCH(M444,'Semrush Data'!$A$1:$A$20000,0),MATCH("Volume",'Semrush Data'!$A$1:$Z$1,0)),""))</f>
        <v/>
      </c>
      <c r="S444" s="22" t="str">
        <f aca="false">IF(N444="","",IFERROR(INDEX('Semrush Data'!$A$1:$Z$20000,MATCH(N444,'Semrush Data'!$A$1:$A$20000,0),MATCH("Volume",'Semrush Data'!$A$1:$Z$1,0)),""))</f>
        <v/>
      </c>
      <c r="T444" s="22" t="str">
        <f aca="false">IF(O444="","",IFERROR(INDEX('Semrush Data'!$A$1:$Z$20000,MATCH(O444,'Semrush Data'!$A$1:$A$20000,0),MATCH("Volume",'Semrush Data'!$A$1:$Z$1,0)),""))</f>
        <v/>
      </c>
      <c r="U444" s="22" t="str">
        <f aca="false">IF(P444="","",IFERROR(INDEX('Semrush Data'!$A$1:$Z$20000,MATCH(P444,'Semrush Data'!$A$1:$A$20000,0),MATCH("Volume",'Semrush Data'!$A$1:$Z$1,0)),""))</f>
        <v/>
      </c>
      <c r="V444" s="23" t="str">
        <f aca="false">IF(COUNT(Q444:U444)=0,L444,IF(MAX(Q444:U444)=0,L444,INDEX(L444:P444,MATCH(MAX(Q444:U444),Q444:U444,0))))</f>
        <v>la maison de la vanille ambre secret</v>
      </c>
      <c r="W444" s="22" t="n">
        <f aca="false">IFERROR(INDEX('Semrush Data'!$A$1:$Z$20000,MATCH(V444,'Semrush Data'!$A$1:$A$20000,0),MATCH("Volume",'Semrush Data'!$A$1:$Z$1,0)),"")</f>
        <v>20</v>
      </c>
      <c r="X444" s="22" t="n">
        <f aca="false">IFERROR(INDEX('Semrush Data'!$A$1:$Z$20000,MATCH(V444,'Semrush Data'!$A$1:$A$20000,0),MATCH("Keyword Difficulty*",'Semrush Data'!$A$1:$Z$1,0)),"")</f>
        <v>3</v>
      </c>
      <c r="Y444" s="24" t="n">
        <f aca="false">IFERROR(INDEX('Semrush Data'!$A$1:$Z$20000,MATCH(V444,'Semrush Data'!$A$1:$A$20000,0),MATCH("CPC*",'Semrush Data'!$A$1:$Z$1,0)),"")</f>
        <v>0</v>
      </c>
      <c r="Z444" s="21" t="s">
        <v>5303</v>
      </c>
      <c r="AA444" s="21" t="s">
        <v>5315</v>
      </c>
      <c r="AB444" s="21" t="s">
        <v>5316</v>
      </c>
      <c r="AC444" s="21" t="s">
        <v>5317</v>
      </c>
      <c r="AD444" s="25" t="n">
        <f aca="false">LEN(AC444)</f>
        <v>60</v>
      </c>
      <c r="AE444" s="21" t="s">
        <v>5318</v>
      </c>
      <c r="AF444" s="25" t="n">
        <f aca="false">LEN(AE444)</f>
        <v>158</v>
      </c>
    </row>
    <row r="445" customFormat="false" ht="15" hidden="false" customHeight="true" outlineLevel="0" collapsed="false">
      <c r="A445" s="21" t="s">
        <v>5319</v>
      </c>
      <c r="B445" s="21" t="s">
        <v>2390</v>
      </c>
      <c r="C445" s="21" t="n">
        <v>285</v>
      </c>
      <c r="D445" s="21" t="s">
        <v>5296</v>
      </c>
      <c r="E445" s="21"/>
      <c r="F445" s="21" t="s">
        <v>2393</v>
      </c>
      <c r="G445" s="21" t="s">
        <v>2394</v>
      </c>
      <c r="H445" s="21" t="s">
        <v>3862</v>
      </c>
      <c r="I445" s="21" t="s">
        <v>5320</v>
      </c>
      <c r="J445" s="21" t="s">
        <v>1935</v>
      </c>
      <c r="K445" s="21" t="n">
        <v>19.99</v>
      </c>
      <c r="L445" s="21" t="s">
        <v>5321</v>
      </c>
      <c r="M445" s="21" t="s">
        <v>5322</v>
      </c>
      <c r="N445" s="21" t="s">
        <v>5323</v>
      </c>
      <c r="O445" s="21" t="s">
        <v>5324</v>
      </c>
      <c r="P445" s="21" t="s">
        <v>5325</v>
      </c>
      <c r="Q445" s="22" t="n">
        <f aca="false">IF(L445="","",IFERROR(INDEX('Semrush Data'!$A$1:$Z$20000,MATCH(L445,'Semrush Data'!$A$1:$A$20000,0),MATCH("Volume",'Semrush Data'!$A$1:$Z$1,0)),""))</f>
        <v>0</v>
      </c>
      <c r="R445" s="22" t="str">
        <f aca="false">IF(M445="","",IFERROR(INDEX('Semrush Data'!$A$1:$Z$20000,MATCH(M445,'Semrush Data'!$A$1:$A$20000,0),MATCH("Volume",'Semrush Data'!$A$1:$Z$1,0)),""))</f>
        <v/>
      </c>
      <c r="S445" s="22" t="str">
        <f aca="false">IF(N445="","",IFERROR(INDEX('Semrush Data'!$A$1:$Z$20000,MATCH(N445,'Semrush Data'!$A$1:$A$20000,0),MATCH("Volume",'Semrush Data'!$A$1:$Z$1,0)),""))</f>
        <v/>
      </c>
      <c r="T445" s="22" t="str">
        <f aca="false">IF(O445="","",IFERROR(INDEX('Semrush Data'!$A$1:$Z$20000,MATCH(O445,'Semrush Data'!$A$1:$A$20000,0),MATCH("Volume",'Semrush Data'!$A$1:$Z$1,0)),""))</f>
        <v/>
      </c>
      <c r="U445" s="22" t="str">
        <f aca="false">IF(P445="","",IFERROR(INDEX('Semrush Data'!$A$1:$Z$20000,MATCH(P445,'Semrush Data'!$A$1:$A$20000,0),MATCH("Volume",'Semrush Data'!$A$1:$Z$1,0)),""))</f>
        <v/>
      </c>
      <c r="V445" s="23" t="str">
        <f aca="false">IF(COUNT(Q445:U445)=0,L445,IF(MAX(Q445:U445)=0,L445,INDEX(L445:P445,MATCH(MAX(Q445:U445),Q445:U445,0))))</f>
        <v>la maison de la vanille royal oud</v>
      </c>
      <c r="W445" s="22" t="n">
        <f aca="false">IFERROR(INDEX('Semrush Data'!$A$1:$Z$20000,MATCH(V445,'Semrush Data'!$A$1:$A$20000,0),MATCH("Volume",'Semrush Data'!$A$1:$Z$1,0)),"")</f>
        <v>0</v>
      </c>
      <c r="X445" s="22" t="n">
        <f aca="false">IFERROR(INDEX('Semrush Data'!$A$1:$Z$20000,MATCH(V445,'Semrush Data'!$A$1:$A$20000,0),MATCH("Keyword Difficulty*",'Semrush Data'!$A$1:$Z$1,0)),"")</f>
        <v>12</v>
      </c>
      <c r="Y445" s="24" t="n">
        <f aca="false">IFERROR(INDEX('Semrush Data'!$A$1:$Z$20000,MATCH(V445,'Semrush Data'!$A$1:$A$20000,0),MATCH("CPC*",'Semrush Data'!$A$1:$Z$1,0)),"")</f>
        <v>0</v>
      </c>
      <c r="Z445" s="21" t="s">
        <v>5326</v>
      </c>
      <c r="AA445" s="21" t="s">
        <v>5327</v>
      </c>
      <c r="AB445" s="21" t="s">
        <v>5328</v>
      </c>
      <c r="AC445" s="21" t="s">
        <v>5329</v>
      </c>
      <c r="AD445" s="25" t="n">
        <f aca="false">LEN(AC445)</f>
        <v>57</v>
      </c>
      <c r="AE445" s="21" t="s">
        <v>5330</v>
      </c>
      <c r="AF445" s="25" t="n">
        <f aca="false">LEN(AE445)</f>
        <v>160</v>
      </c>
    </row>
    <row r="446" customFormat="false" ht="15" hidden="false" customHeight="true" outlineLevel="0" collapsed="false">
      <c r="A446" s="21" t="s">
        <v>5331</v>
      </c>
      <c r="B446" s="21" t="s">
        <v>2390</v>
      </c>
      <c r="C446" s="21" t="n">
        <v>286</v>
      </c>
      <c r="D446" s="21" t="s">
        <v>5296</v>
      </c>
      <c r="E446" s="21"/>
      <c r="F446" s="21" t="s">
        <v>1676</v>
      </c>
      <c r="G446" s="21" t="s">
        <v>2759</v>
      </c>
      <c r="H446" s="21" t="s">
        <v>2479</v>
      </c>
      <c r="I446" s="21" t="s">
        <v>5332</v>
      </c>
      <c r="J446" s="21" t="s">
        <v>2503</v>
      </c>
      <c r="K446" s="21" t="n">
        <v>84.99</v>
      </c>
      <c r="L446" s="21" t="s">
        <v>5333</v>
      </c>
      <c r="M446" s="21" t="s">
        <v>5334</v>
      </c>
      <c r="N446" s="21" t="s">
        <v>5335</v>
      </c>
      <c r="O446" s="21" t="s">
        <v>5336</v>
      </c>
      <c r="P446" s="21" t="s">
        <v>5337</v>
      </c>
      <c r="Q446" s="22" t="n">
        <f aca="false">IF(L446="","",IFERROR(INDEX('Semrush Data'!$A$1:$Z$20000,MATCH(L446,'Semrush Data'!$A$1:$A$20000,0),MATCH("Volume",'Semrush Data'!$A$1:$Z$1,0)),""))</f>
        <v>0</v>
      </c>
      <c r="R446" s="22" t="str">
        <f aca="false">IF(M446="","",IFERROR(INDEX('Semrush Data'!$A$1:$Z$20000,MATCH(M446,'Semrush Data'!$A$1:$A$20000,0),MATCH("Volume",'Semrush Data'!$A$1:$Z$1,0)),""))</f>
        <v/>
      </c>
      <c r="S446" s="22" t="str">
        <f aca="false">IF(N446="","",IFERROR(INDEX('Semrush Data'!$A$1:$Z$20000,MATCH(N446,'Semrush Data'!$A$1:$A$20000,0),MATCH("Volume",'Semrush Data'!$A$1:$Z$1,0)),""))</f>
        <v/>
      </c>
      <c r="T446" s="22" t="str">
        <f aca="false">IF(O446="","",IFERROR(INDEX('Semrush Data'!$A$1:$Z$20000,MATCH(O446,'Semrush Data'!$A$1:$A$20000,0),MATCH("Volume",'Semrush Data'!$A$1:$Z$1,0)),""))</f>
        <v/>
      </c>
      <c r="U446" s="22" t="str">
        <f aca="false">IF(P446="","",IFERROR(INDEX('Semrush Data'!$A$1:$Z$20000,MATCH(P446,'Semrush Data'!$A$1:$A$20000,0),MATCH("Volume",'Semrush Data'!$A$1:$Z$1,0)),""))</f>
        <v/>
      </c>
      <c r="V446" s="23" t="str">
        <f aca="false">IF(COUNT(Q446:U446)=0,L446,IF(MAX(Q446:U446)=0,L446,INDEX(L446:P446,MATCH(MAX(Q446:U446),Q446:U446,0))))</f>
        <v>la maison de la wooden coffret</v>
      </c>
      <c r="W446" s="22" t="n">
        <f aca="false">IFERROR(INDEX('Semrush Data'!$A$1:$Z$20000,MATCH(V446,'Semrush Data'!$A$1:$A$20000,0),MATCH("Volume",'Semrush Data'!$A$1:$Z$1,0)),"")</f>
        <v>0</v>
      </c>
      <c r="X446" s="22" t="n">
        <f aca="false">IFERROR(INDEX('Semrush Data'!$A$1:$Z$20000,MATCH(V446,'Semrush Data'!$A$1:$A$20000,0),MATCH("Keyword Difficulty*",'Semrush Data'!$A$1:$Z$1,0)),"")</f>
        <v>9</v>
      </c>
      <c r="Y446" s="24" t="n">
        <f aca="false">IFERROR(INDEX('Semrush Data'!$A$1:$Z$20000,MATCH(V446,'Semrush Data'!$A$1:$A$20000,0),MATCH("CPC*",'Semrush Data'!$A$1:$Z$1,0)),"")</f>
        <v>0</v>
      </c>
      <c r="Z446" s="21" t="s">
        <v>5303</v>
      </c>
      <c r="AA446" s="21"/>
      <c r="AB446" s="21" t="s">
        <v>5338</v>
      </c>
      <c r="AC446" s="21" t="s">
        <v>5339</v>
      </c>
      <c r="AD446" s="25" t="n">
        <f aca="false">LEN(AC446)</f>
        <v>55</v>
      </c>
      <c r="AE446" s="21" t="s">
        <v>5340</v>
      </c>
      <c r="AF446" s="25" t="n">
        <f aca="false">LEN(AE446)</f>
        <v>157</v>
      </c>
    </row>
    <row r="447" customFormat="false" ht="15" hidden="false" customHeight="true" outlineLevel="0" collapsed="false">
      <c r="A447" s="21" t="s">
        <v>140</v>
      </c>
      <c r="B447" s="21" t="s">
        <v>2390</v>
      </c>
      <c r="C447" s="21" t="n">
        <v>287</v>
      </c>
      <c r="D447" s="21" t="s">
        <v>5341</v>
      </c>
      <c r="E447" s="21"/>
      <c r="F447" s="21" t="s">
        <v>2393</v>
      </c>
      <c r="G447" s="21" t="s">
        <v>2394</v>
      </c>
      <c r="H447" s="21" t="s">
        <v>2395</v>
      </c>
      <c r="I447" s="21" t="s">
        <v>141</v>
      </c>
      <c r="J447" s="21" t="s">
        <v>3053</v>
      </c>
      <c r="K447" s="21" t="n">
        <v>39.99</v>
      </c>
      <c r="L447" s="21" t="s">
        <v>5342</v>
      </c>
      <c r="M447" s="21" t="s">
        <v>5343</v>
      </c>
      <c r="N447" s="21" t="s">
        <v>5344</v>
      </c>
      <c r="O447" s="21" t="s">
        <v>5345</v>
      </c>
      <c r="P447" s="21" t="s">
        <v>5346</v>
      </c>
      <c r="Q447" s="22" t="n">
        <f aca="false">IF(L447="","",IFERROR(INDEX('Semrush Data'!$A$1:$Z$20000,MATCH(L447,'Semrush Data'!$A$1:$A$20000,0),MATCH("Volume",'Semrush Data'!$A$1:$Z$1,0)),""))</f>
        <v>320</v>
      </c>
      <c r="R447" s="22" t="n">
        <f aca="false">IF(M447="","",IFERROR(INDEX('Semrush Data'!$A$1:$Z$20000,MATCH(M447,'Semrush Data'!$A$1:$A$20000,0),MATCH("Volume",'Semrush Data'!$A$1:$Z$1,0)),""))</f>
        <v>0</v>
      </c>
      <c r="S447" s="22" t="str">
        <f aca="false">IF(N447="","",IFERROR(INDEX('Semrush Data'!$A$1:$Z$20000,MATCH(N447,'Semrush Data'!$A$1:$A$20000,0),MATCH("Volume",'Semrush Data'!$A$1:$Z$1,0)),""))</f>
        <v/>
      </c>
      <c r="T447" s="22" t="str">
        <f aca="false">IF(O447="","",IFERROR(INDEX('Semrush Data'!$A$1:$Z$20000,MATCH(O447,'Semrush Data'!$A$1:$A$20000,0),MATCH("Volume",'Semrush Data'!$A$1:$Z$1,0)),""))</f>
        <v/>
      </c>
      <c r="U447" s="22" t="n">
        <f aca="false">IF(P447="","",IFERROR(INDEX('Semrush Data'!$A$1:$Z$20000,MATCH(P447,'Semrush Data'!$A$1:$A$20000,0),MATCH("Volume",'Semrush Data'!$A$1:$Z$1,0)),""))</f>
        <v>50</v>
      </c>
      <c r="V447" s="23" t="str">
        <f aca="false">IF(COUNT(Q447:U447)=0,L447,IF(MAX(Q447:U447)=0,L447,INDEX(L447:P447,MATCH(MAX(Q447:U447),Q447:U447,0))))</f>
        <v>lancome idole nectar</v>
      </c>
      <c r="W447" s="22" t="n">
        <f aca="false">IFERROR(INDEX('Semrush Data'!$A$1:$Z$20000,MATCH(V447,'Semrush Data'!$A$1:$A$20000,0),MATCH("Volume",'Semrush Data'!$A$1:$Z$1,0)),"")</f>
        <v>320</v>
      </c>
      <c r="X447" s="22" t="n">
        <f aca="false">IFERROR(INDEX('Semrush Data'!$A$1:$Z$20000,MATCH(V447,'Semrush Data'!$A$1:$A$20000,0),MATCH("Keyword Difficulty*",'Semrush Data'!$A$1:$Z$1,0)),"")</f>
        <v>16</v>
      </c>
      <c r="Y447" s="24" t="n">
        <f aca="false">IFERROR(INDEX('Semrush Data'!$A$1:$Z$20000,MATCH(V447,'Semrush Data'!$A$1:$A$20000,0),MATCH("CPC*",'Semrush Data'!$A$1:$Z$1,0)),"")</f>
        <v>0.63</v>
      </c>
      <c r="Z447" s="21" t="s">
        <v>5347</v>
      </c>
      <c r="AA447" s="21" t="s">
        <v>5348</v>
      </c>
      <c r="AB447" s="21" t="s">
        <v>5349</v>
      </c>
      <c r="AC447" s="21" t="s">
        <v>5350</v>
      </c>
      <c r="AD447" s="25" t="n">
        <f aca="false">LEN(AC447)</f>
        <v>56</v>
      </c>
      <c r="AE447" s="21" t="s">
        <v>5351</v>
      </c>
      <c r="AF447" s="25" t="n">
        <f aca="false">LEN(AE447)</f>
        <v>155</v>
      </c>
    </row>
    <row r="448" customFormat="false" ht="15" hidden="false" customHeight="true" outlineLevel="0" collapsed="false">
      <c r="A448" s="21" t="s">
        <v>5352</v>
      </c>
      <c r="B448" s="21" t="s">
        <v>2390</v>
      </c>
      <c r="C448" s="21" t="n">
        <v>288</v>
      </c>
      <c r="D448" s="21" t="s">
        <v>5341</v>
      </c>
      <c r="E448" s="21"/>
      <c r="F448" s="21" t="s">
        <v>2393</v>
      </c>
      <c r="G448" s="21" t="s">
        <v>2394</v>
      </c>
      <c r="H448" s="21" t="s">
        <v>2395</v>
      </c>
      <c r="I448" s="21" t="s">
        <v>5353</v>
      </c>
      <c r="J448" s="21" t="s">
        <v>1409</v>
      </c>
      <c r="K448" s="21" t="n">
        <v>55.99</v>
      </c>
      <c r="L448" s="21" t="s">
        <v>5354</v>
      </c>
      <c r="M448" s="21" t="s">
        <v>5355</v>
      </c>
      <c r="N448" s="21" t="s">
        <v>5356</v>
      </c>
      <c r="O448" s="21" t="s">
        <v>5357</v>
      </c>
      <c r="P448" s="21" t="s">
        <v>5358</v>
      </c>
      <c r="Q448" s="22" t="n">
        <f aca="false">IF(L448="","",IFERROR(INDEX('Semrush Data'!$A$1:$Z$20000,MATCH(L448,'Semrush Data'!$A$1:$A$20000,0),MATCH("Volume",'Semrush Data'!$A$1:$Z$1,0)),""))</f>
        <v>20</v>
      </c>
      <c r="R448" s="22" t="str">
        <f aca="false">IF(M448="","",IFERROR(INDEX('Semrush Data'!$A$1:$Z$20000,MATCH(M448,'Semrush Data'!$A$1:$A$20000,0),MATCH("Volume",'Semrush Data'!$A$1:$Z$1,0)),""))</f>
        <v/>
      </c>
      <c r="S448" s="22" t="str">
        <f aca="false">IF(N448="","",IFERROR(INDEX('Semrush Data'!$A$1:$Z$20000,MATCH(N448,'Semrush Data'!$A$1:$A$20000,0),MATCH("Volume",'Semrush Data'!$A$1:$Z$1,0)),""))</f>
        <v/>
      </c>
      <c r="T448" s="22" t="str">
        <f aca="false">IF(O448="","",IFERROR(INDEX('Semrush Data'!$A$1:$Z$20000,MATCH(O448,'Semrush Data'!$A$1:$A$20000,0),MATCH("Volume",'Semrush Data'!$A$1:$Z$1,0)),""))</f>
        <v/>
      </c>
      <c r="U448" s="22" t="str">
        <f aca="false">IF(P448="","",IFERROR(INDEX('Semrush Data'!$A$1:$Z$20000,MATCH(P448,'Semrush Data'!$A$1:$A$20000,0),MATCH("Volume",'Semrush Data'!$A$1:$Z$1,0)),""))</f>
        <v/>
      </c>
      <c r="V448" s="23" t="str">
        <f aca="false">IF(COUNT(Q448:U448)=0,L448,IF(MAX(Q448:U448)=0,L448,INDEX(L448:P448,MATCH(MAX(Q448:U448),Q448:U448,0))))</f>
        <v>lancome idole now florale</v>
      </c>
      <c r="W448" s="22" t="n">
        <f aca="false">IFERROR(INDEX('Semrush Data'!$A$1:$Z$20000,MATCH(V448,'Semrush Data'!$A$1:$A$20000,0),MATCH("Volume",'Semrush Data'!$A$1:$Z$1,0)),"")</f>
        <v>20</v>
      </c>
      <c r="X448" s="22" t="n">
        <f aca="false">IFERROR(INDEX('Semrush Data'!$A$1:$Z$20000,MATCH(V448,'Semrush Data'!$A$1:$A$20000,0),MATCH("Keyword Difficulty*",'Semrush Data'!$A$1:$Z$1,0)),"")</f>
        <v>17</v>
      </c>
      <c r="Y448" s="24" t="n">
        <f aca="false">IFERROR(INDEX('Semrush Data'!$A$1:$Z$20000,MATCH(V448,'Semrush Data'!$A$1:$A$20000,0),MATCH("CPC*",'Semrush Data'!$A$1:$Z$1,0)),"")</f>
        <v>0</v>
      </c>
      <c r="Z448" s="21" t="s">
        <v>5347</v>
      </c>
      <c r="AA448" s="21" t="s">
        <v>5359</v>
      </c>
      <c r="AB448" s="21" t="s">
        <v>5360</v>
      </c>
      <c r="AC448" s="21" t="s">
        <v>5361</v>
      </c>
      <c r="AD448" s="25" t="n">
        <f aca="false">LEN(AC448)</f>
        <v>53</v>
      </c>
      <c r="AE448" s="21" t="s">
        <v>5362</v>
      </c>
      <c r="AF448" s="25" t="n">
        <f aca="false">LEN(AE448)</f>
        <v>160</v>
      </c>
    </row>
    <row r="449" customFormat="false" ht="15" hidden="false" customHeight="true" outlineLevel="0" collapsed="false">
      <c r="A449" s="21" t="s">
        <v>5363</v>
      </c>
      <c r="B449" s="21" t="s">
        <v>2390</v>
      </c>
      <c r="C449" s="21" t="n">
        <v>289</v>
      </c>
      <c r="D449" s="21" t="s">
        <v>5364</v>
      </c>
      <c r="E449" s="21"/>
      <c r="F449" s="21" t="s">
        <v>2393</v>
      </c>
      <c r="G449" s="21" t="s">
        <v>2394</v>
      </c>
      <c r="H449" s="21" t="s">
        <v>3862</v>
      </c>
      <c r="I449" s="21" t="s">
        <v>5365</v>
      </c>
      <c r="J449" s="21" t="s">
        <v>5366</v>
      </c>
      <c r="K449" s="21" t="n">
        <v>69.99</v>
      </c>
      <c r="L449" s="21" t="s">
        <v>5367</v>
      </c>
      <c r="M449" s="21" t="s">
        <v>5368</v>
      </c>
      <c r="N449" s="21" t="s">
        <v>5369</v>
      </c>
      <c r="O449" s="21" t="s">
        <v>5370</v>
      </c>
      <c r="P449" s="21" t="s">
        <v>5371</v>
      </c>
      <c r="Q449" s="22" t="n">
        <f aca="false">IF(L449="","",IFERROR(INDEX('Semrush Data'!$A$1:$Z$20000,MATCH(L449,'Semrush Data'!$A$1:$A$20000,0),MATCH("Volume",'Semrush Data'!$A$1:$Z$1,0)),""))</f>
        <v>50</v>
      </c>
      <c r="R449" s="22" t="str">
        <f aca="false">IF(M449="","",IFERROR(INDEX('Semrush Data'!$A$1:$Z$20000,MATCH(M449,'Semrush Data'!$A$1:$A$20000,0),MATCH("Volume",'Semrush Data'!$A$1:$Z$1,0)),""))</f>
        <v/>
      </c>
      <c r="S449" s="22" t="str">
        <f aca="false">IF(N449="","",IFERROR(INDEX('Semrush Data'!$A$1:$Z$20000,MATCH(N449,'Semrush Data'!$A$1:$A$20000,0),MATCH("Volume",'Semrush Data'!$A$1:$Z$1,0)),""))</f>
        <v/>
      </c>
      <c r="T449" s="22" t="str">
        <f aca="false">IF(O449="","",IFERROR(INDEX('Semrush Data'!$A$1:$Z$20000,MATCH(O449,'Semrush Data'!$A$1:$A$20000,0),MATCH("Volume",'Semrush Data'!$A$1:$Z$1,0)),""))</f>
        <v/>
      </c>
      <c r="U449" s="22" t="str">
        <f aca="false">IF(P449="","",IFERROR(INDEX('Semrush Data'!$A$1:$Z$20000,MATCH(P449,'Semrush Data'!$A$1:$A$20000,0),MATCH("Volume",'Semrush Data'!$A$1:$Z$1,0)),""))</f>
        <v/>
      </c>
      <c r="V449" s="23" t="str">
        <f aca="false">IF(COUNT(Q449:U449)=0,L449,IF(MAX(Q449:U449)=0,L449,INDEX(L449:P449,MATCH(MAX(Q449:U449),Q449:U449,0))))</f>
        <v>mancera black noir</v>
      </c>
      <c r="W449" s="22" t="n">
        <f aca="false">IFERROR(INDEX('Semrush Data'!$A$1:$Z$20000,MATCH(V449,'Semrush Data'!$A$1:$A$20000,0),MATCH("Volume",'Semrush Data'!$A$1:$Z$1,0)),"")</f>
        <v>50</v>
      </c>
      <c r="X449" s="22" t="n">
        <f aca="false">IFERROR(INDEX('Semrush Data'!$A$1:$Z$20000,MATCH(V449,'Semrush Data'!$A$1:$A$20000,0),MATCH("Keyword Difficulty*",'Semrush Data'!$A$1:$Z$1,0)),"")</f>
        <v>20</v>
      </c>
      <c r="Y449" s="24" t="n">
        <f aca="false">IFERROR(INDEX('Semrush Data'!$A$1:$Z$20000,MATCH(V449,'Semrush Data'!$A$1:$A$20000,0),MATCH("CPC*",'Semrush Data'!$A$1:$Z$1,0)),"")</f>
        <v>0</v>
      </c>
      <c r="Z449" s="21" t="s">
        <v>5372</v>
      </c>
      <c r="AA449" s="21" t="s">
        <v>5373</v>
      </c>
      <c r="AB449" s="21" t="s">
        <v>5374</v>
      </c>
      <c r="AC449" s="21" t="s">
        <v>5375</v>
      </c>
      <c r="AD449" s="25" t="n">
        <f aca="false">LEN(AC449)</f>
        <v>59</v>
      </c>
      <c r="AE449" s="21" t="s">
        <v>5376</v>
      </c>
      <c r="AF449" s="25" t="n">
        <f aca="false">LEN(AE449)</f>
        <v>151</v>
      </c>
    </row>
    <row r="450" customFormat="false" ht="15" hidden="false" customHeight="true" outlineLevel="0" collapsed="false">
      <c r="A450" s="21" t="s">
        <v>5377</v>
      </c>
      <c r="B450" s="21" t="s">
        <v>2390</v>
      </c>
      <c r="C450" s="21" t="n">
        <v>290</v>
      </c>
      <c r="D450" s="21" t="s">
        <v>5364</v>
      </c>
      <c r="E450" s="21"/>
      <c r="F450" s="21" t="s">
        <v>2393</v>
      </c>
      <c r="G450" s="21" t="s">
        <v>2676</v>
      </c>
      <c r="H450" s="21" t="s">
        <v>5378</v>
      </c>
      <c r="I450" s="21" t="s">
        <v>5379</v>
      </c>
      <c r="J450" s="21" t="s">
        <v>5366</v>
      </c>
      <c r="K450" s="21" t="n">
        <v>79.99</v>
      </c>
      <c r="L450" s="21" t="s">
        <v>5380</v>
      </c>
      <c r="M450" s="21" t="s">
        <v>5381</v>
      </c>
      <c r="N450" s="21" t="s">
        <v>5382</v>
      </c>
      <c r="O450" s="21" t="s">
        <v>5383</v>
      </c>
      <c r="P450" s="21" t="s">
        <v>5384</v>
      </c>
      <c r="Q450" s="22" t="n">
        <f aca="false">IF(L450="","",IFERROR(INDEX('Semrush Data'!$A$1:$Z$20000,MATCH(L450,'Semrush Data'!$A$1:$A$20000,0),MATCH("Volume",'Semrush Data'!$A$1:$Z$1,0)),""))</f>
        <v>90</v>
      </c>
      <c r="R450" s="22" t="n">
        <f aca="false">IF(M450="","",IFERROR(INDEX('Semrush Data'!$A$1:$Z$20000,MATCH(M450,'Semrush Data'!$A$1:$A$20000,0),MATCH("Volume",'Semrush Data'!$A$1:$Z$1,0)),""))</f>
        <v>0</v>
      </c>
      <c r="S450" s="22" t="str">
        <f aca="false">IF(N450="","",IFERROR(INDEX('Semrush Data'!$A$1:$Z$20000,MATCH(N450,'Semrush Data'!$A$1:$A$20000,0),MATCH("Volume",'Semrush Data'!$A$1:$Z$1,0)),""))</f>
        <v/>
      </c>
      <c r="T450" s="22" t="str">
        <f aca="false">IF(O450="","",IFERROR(INDEX('Semrush Data'!$A$1:$Z$20000,MATCH(O450,'Semrush Data'!$A$1:$A$20000,0),MATCH("Volume",'Semrush Data'!$A$1:$Z$1,0)),""))</f>
        <v/>
      </c>
      <c r="U450" s="22" t="n">
        <f aca="false">IF(P450="","",IFERROR(INDEX('Semrush Data'!$A$1:$Z$20000,MATCH(P450,'Semrush Data'!$A$1:$A$20000,0),MATCH("Volume",'Semrush Data'!$A$1:$Z$1,0)),""))</f>
        <v>30</v>
      </c>
      <c r="V450" s="23" t="str">
        <f aca="false">IF(COUNT(Q450:U450)=0,L450,IF(MAX(Q450:U450)=0,L450,INDEX(L450:P450,MATCH(MAX(Q450:U450),Q450:U450,0))))</f>
        <v>mancera intense red tobacco</v>
      </c>
      <c r="W450" s="22" t="n">
        <f aca="false">IFERROR(INDEX('Semrush Data'!$A$1:$Z$20000,MATCH(V450,'Semrush Data'!$A$1:$A$20000,0),MATCH("Volume",'Semrush Data'!$A$1:$Z$1,0)),"")</f>
        <v>90</v>
      </c>
      <c r="X450" s="22" t="n">
        <f aca="false">IFERROR(INDEX('Semrush Data'!$A$1:$Z$20000,MATCH(V450,'Semrush Data'!$A$1:$A$20000,0),MATCH("Keyword Difficulty*",'Semrush Data'!$A$1:$Z$1,0)),"")</f>
        <v>14</v>
      </c>
      <c r="Y450" s="24" t="n">
        <f aca="false">IFERROR(INDEX('Semrush Data'!$A$1:$Z$20000,MATCH(V450,'Semrush Data'!$A$1:$A$20000,0),MATCH("CPC*",'Semrush Data'!$A$1:$Z$1,0)),"")</f>
        <v>0.49</v>
      </c>
      <c r="Z450" s="21" t="s">
        <v>5385</v>
      </c>
      <c r="AA450" s="21" t="s">
        <v>5386</v>
      </c>
      <c r="AB450" s="21" t="s">
        <v>5387</v>
      </c>
      <c r="AC450" s="21" t="s">
        <v>5388</v>
      </c>
      <c r="AD450" s="25" t="n">
        <f aca="false">LEN(AC450)</f>
        <v>59</v>
      </c>
      <c r="AE450" s="21" t="s">
        <v>5389</v>
      </c>
      <c r="AF450" s="25" t="n">
        <f aca="false">LEN(AE450)</f>
        <v>156</v>
      </c>
    </row>
    <row r="451" customFormat="false" ht="15" hidden="false" customHeight="true" outlineLevel="0" collapsed="false">
      <c r="A451" s="21" t="s">
        <v>74</v>
      </c>
      <c r="B451" s="21" t="s">
        <v>2390</v>
      </c>
      <c r="C451" s="21" t="n">
        <v>291</v>
      </c>
      <c r="D451" s="21" t="s">
        <v>5390</v>
      </c>
      <c r="E451" s="21"/>
      <c r="F451" s="21" t="s">
        <v>2393</v>
      </c>
      <c r="G451" s="21" t="s">
        <v>2394</v>
      </c>
      <c r="H451" s="21" t="s">
        <v>2395</v>
      </c>
      <c r="I451" s="21" t="s">
        <v>75</v>
      </c>
      <c r="J451" s="21" t="s">
        <v>1935</v>
      </c>
      <c r="K451" s="21" t="n">
        <v>35.99</v>
      </c>
      <c r="L451" s="21" t="s">
        <v>5391</v>
      </c>
      <c r="M451" s="21" t="s">
        <v>5392</v>
      </c>
      <c r="N451" s="21" t="s">
        <v>5393</v>
      </c>
      <c r="O451" s="21" t="s">
        <v>5394</v>
      </c>
      <c r="P451" s="21" t="s">
        <v>5395</v>
      </c>
      <c r="Q451" s="22" t="n">
        <f aca="false">IF(L451="","",IFERROR(INDEX('Semrush Data'!$A$1:$Z$20000,MATCH(L451,'Semrush Data'!$A$1:$A$20000,0),MATCH("Volume",'Semrush Data'!$A$1:$Z$1,0)),""))</f>
        <v>2400</v>
      </c>
      <c r="R451" s="22" t="n">
        <f aca="false">IF(M451="","",IFERROR(INDEX('Semrush Data'!$A$1:$Z$20000,MATCH(M451,'Semrush Data'!$A$1:$A$20000,0),MATCH("Volume",'Semrush Data'!$A$1:$Z$1,0)),""))</f>
        <v>20</v>
      </c>
      <c r="S451" s="22" t="str">
        <f aca="false">IF(N451="","",IFERROR(INDEX('Semrush Data'!$A$1:$Z$20000,MATCH(N451,'Semrush Data'!$A$1:$A$20000,0),MATCH("Volume",'Semrush Data'!$A$1:$Z$1,0)),""))</f>
        <v/>
      </c>
      <c r="T451" s="22" t="str">
        <f aca="false">IF(O451="","",IFERROR(INDEX('Semrush Data'!$A$1:$Z$20000,MATCH(O451,'Semrush Data'!$A$1:$A$20000,0),MATCH("Volume",'Semrush Data'!$A$1:$Z$1,0)),""))</f>
        <v/>
      </c>
      <c r="U451" s="22" t="n">
        <f aca="false">IF(P451="","",IFERROR(INDEX('Semrush Data'!$A$1:$Z$20000,MATCH(P451,'Semrush Data'!$A$1:$A$20000,0),MATCH("Volume",'Semrush Data'!$A$1:$Z$1,0)),""))</f>
        <v>50</v>
      </c>
      <c r="V451" s="23" t="str">
        <f aca="false">IF(COUNT(Q451:U451)=0,L451,IF(MAX(Q451:U451)=0,L451,INDEX(L451:P451,MATCH(MAX(Q451:U451),Q451:U451,0))))</f>
        <v>marc jacobs honey</v>
      </c>
      <c r="W451" s="22" t="n">
        <f aca="false">IFERROR(INDEX('Semrush Data'!$A$1:$Z$20000,MATCH(V451,'Semrush Data'!$A$1:$A$20000,0),MATCH("Volume",'Semrush Data'!$A$1:$Z$1,0)),"")</f>
        <v>2400</v>
      </c>
      <c r="X451" s="22" t="n">
        <f aca="false">IFERROR(INDEX('Semrush Data'!$A$1:$Z$20000,MATCH(V451,'Semrush Data'!$A$1:$A$20000,0),MATCH("Keyword Difficulty*",'Semrush Data'!$A$1:$Z$1,0)),"")</f>
        <v>23</v>
      </c>
      <c r="Y451" s="24" t="n">
        <f aca="false">IFERROR(INDEX('Semrush Data'!$A$1:$Z$20000,MATCH(V451,'Semrush Data'!$A$1:$A$20000,0),MATCH("CPC*",'Semrush Data'!$A$1:$Z$1,0)),"")</f>
        <v>0.38</v>
      </c>
      <c r="Z451" s="21" t="s">
        <v>5396</v>
      </c>
      <c r="AA451" s="21" t="s">
        <v>5397</v>
      </c>
      <c r="AB451" s="21" t="s">
        <v>5398</v>
      </c>
      <c r="AC451" s="21" t="s">
        <v>5399</v>
      </c>
      <c r="AD451" s="25" t="n">
        <f aca="false">LEN(AC451)</f>
        <v>58</v>
      </c>
      <c r="AE451" s="21" t="s">
        <v>5400</v>
      </c>
      <c r="AF451" s="25" t="n">
        <f aca="false">LEN(AE451)</f>
        <v>153</v>
      </c>
    </row>
    <row r="452" customFormat="false" ht="15" hidden="false" customHeight="true" outlineLevel="0" collapsed="false">
      <c r="A452" s="21" t="s">
        <v>58</v>
      </c>
      <c r="B452" s="21" t="s">
        <v>2390</v>
      </c>
      <c r="C452" s="21" t="n">
        <v>292</v>
      </c>
      <c r="D452" s="21" t="s">
        <v>5390</v>
      </c>
      <c r="E452" s="21"/>
      <c r="F452" s="21" t="s">
        <v>2393</v>
      </c>
      <c r="G452" s="21" t="s">
        <v>2394</v>
      </c>
      <c r="H452" s="21" t="s">
        <v>2395</v>
      </c>
      <c r="I452" s="21" t="s">
        <v>59</v>
      </c>
      <c r="J452" s="21" t="s">
        <v>1409</v>
      </c>
      <c r="K452" s="21" t="n">
        <v>52.99</v>
      </c>
      <c r="L452" s="21" t="s">
        <v>5401</v>
      </c>
      <c r="M452" s="21" t="s">
        <v>5402</v>
      </c>
      <c r="N452" s="21" t="s">
        <v>5403</v>
      </c>
      <c r="O452" s="21" t="s">
        <v>5404</v>
      </c>
      <c r="P452" s="21" t="s">
        <v>5405</v>
      </c>
      <c r="Q452" s="22" t="n">
        <f aca="false">IF(L452="","",IFERROR(INDEX('Semrush Data'!$A$1:$Z$20000,MATCH(L452,'Semrush Data'!$A$1:$A$20000,0),MATCH("Volume",'Semrush Data'!$A$1:$Z$1,0)),""))</f>
        <v>6600</v>
      </c>
      <c r="R452" s="22" t="n">
        <f aca="false">IF(M452="","",IFERROR(INDEX('Semrush Data'!$A$1:$Z$20000,MATCH(M452,'Semrush Data'!$A$1:$A$20000,0),MATCH("Volume",'Semrush Data'!$A$1:$Z$1,0)),""))</f>
        <v>20</v>
      </c>
      <c r="S452" s="22" t="str">
        <f aca="false">IF(N452="","",IFERROR(INDEX('Semrush Data'!$A$1:$Z$20000,MATCH(N452,'Semrush Data'!$A$1:$A$20000,0),MATCH("Volume",'Semrush Data'!$A$1:$Z$1,0)),""))</f>
        <v/>
      </c>
      <c r="T452" s="22" t="str">
        <f aca="false">IF(O452="","",IFERROR(INDEX('Semrush Data'!$A$1:$Z$20000,MATCH(O452,'Semrush Data'!$A$1:$A$20000,0),MATCH("Volume",'Semrush Data'!$A$1:$Z$1,0)),""))</f>
        <v/>
      </c>
      <c r="U452" s="22" t="n">
        <f aca="false">IF(P452="","",IFERROR(INDEX('Semrush Data'!$A$1:$Z$20000,MATCH(P452,'Semrush Data'!$A$1:$A$20000,0),MATCH("Volume",'Semrush Data'!$A$1:$Z$1,0)),""))</f>
        <v>210</v>
      </c>
      <c r="V452" s="23" t="str">
        <f aca="false">IF(COUNT(Q452:U452)=0,L452,IF(MAX(Q452:U452)=0,L452,INDEX(L452:P452,MATCH(MAX(Q452:U452),Q452:U452,0))))</f>
        <v>marc jacobs perfect</v>
      </c>
      <c r="W452" s="22" t="n">
        <f aca="false">IFERROR(INDEX('Semrush Data'!$A$1:$Z$20000,MATCH(V452,'Semrush Data'!$A$1:$A$20000,0),MATCH("Volume",'Semrush Data'!$A$1:$Z$1,0)),"")</f>
        <v>6600</v>
      </c>
      <c r="X452" s="22" t="n">
        <f aca="false">IFERROR(INDEX('Semrush Data'!$A$1:$Z$20000,MATCH(V452,'Semrush Data'!$A$1:$A$20000,0),MATCH("Keyword Difficulty*",'Semrush Data'!$A$1:$Z$1,0)),"")</f>
        <v>26</v>
      </c>
      <c r="Y452" s="24" t="n">
        <f aca="false">IFERROR(INDEX('Semrush Data'!$A$1:$Z$20000,MATCH(V452,'Semrush Data'!$A$1:$A$20000,0),MATCH("CPC*",'Semrush Data'!$A$1:$Z$1,0)),"")</f>
        <v>0.36</v>
      </c>
      <c r="Z452" s="21" t="s">
        <v>5396</v>
      </c>
      <c r="AA452" s="21" t="s">
        <v>5406</v>
      </c>
      <c r="AB452" s="21" t="s">
        <v>5407</v>
      </c>
      <c r="AC452" s="21" t="s">
        <v>5408</v>
      </c>
      <c r="AD452" s="25" t="n">
        <f aca="false">LEN(AC452)</f>
        <v>60</v>
      </c>
      <c r="AE452" s="21" t="s">
        <v>5409</v>
      </c>
      <c r="AF452" s="25" t="n">
        <f aca="false">LEN(AE452)</f>
        <v>154</v>
      </c>
    </row>
    <row r="453" customFormat="false" ht="15" hidden="false" customHeight="true" outlineLevel="0" collapsed="false">
      <c r="A453" s="21" t="s">
        <v>5410</v>
      </c>
      <c r="B453" s="21" t="s">
        <v>2390</v>
      </c>
      <c r="C453" s="21" t="n">
        <v>293</v>
      </c>
      <c r="D453" s="21" t="s">
        <v>5390</v>
      </c>
      <c r="E453" s="21"/>
      <c r="F453" s="21" t="s">
        <v>2393</v>
      </c>
      <c r="G453" s="21" t="s">
        <v>2394</v>
      </c>
      <c r="H453" s="21" t="s">
        <v>2395</v>
      </c>
      <c r="I453" s="21" t="s">
        <v>5411</v>
      </c>
      <c r="J453" s="21" t="s">
        <v>2755</v>
      </c>
      <c r="K453" s="21" t="n">
        <v>19.99</v>
      </c>
      <c r="L453" s="21" t="s">
        <v>5412</v>
      </c>
      <c r="M453" s="21" t="s">
        <v>5413</v>
      </c>
      <c r="N453" s="21" t="s">
        <v>5414</v>
      </c>
      <c r="O453" s="21" t="s">
        <v>5415</v>
      </c>
      <c r="P453" s="21" t="s">
        <v>5416</v>
      </c>
      <c r="Q453" s="22" t="n">
        <f aca="false">IF(L453="","",IFERROR(INDEX('Semrush Data'!$A$1:$Z$20000,MATCH(L453,'Semrush Data'!$A$1:$A$20000,0),MATCH("Volume",'Semrush Data'!$A$1:$Z$1,0)),""))</f>
        <v>0</v>
      </c>
      <c r="R453" s="22" t="str">
        <f aca="false">IF(M453="","",IFERROR(INDEX('Semrush Data'!$A$1:$Z$20000,MATCH(M453,'Semrush Data'!$A$1:$A$20000,0),MATCH("Volume",'Semrush Data'!$A$1:$Z$1,0)),""))</f>
        <v/>
      </c>
      <c r="S453" s="22" t="str">
        <f aca="false">IF(N453="","",IFERROR(INDEX('Semrush Data'!$A$1:$Z$20000,MATCH(N453,'Semrush Data'!$A$1:$A$20000,0),MATCH("Volume",'Semrush Data'!$A$1:$Z$1,0)),""))</f>
        <v/>
      </c>
      <c r="T453" s="22" t="str">
        <f aca="false">IF(O453="","",IFERROR(INDEX('Semrush Data'!$A$1:$Z$20000,MATCH(O453,'Semrush Data'!$A$1:$A$20000,0),MATCH("Volume",'Semrush Data'!$A$1:$Z$1,0)),""))</f>
        <v/>
      </c>
      <c r="U453" s="22" t="str">
        <f aca="false">IF(P453="","",IFERROR(INDEX('Semrush Data'!$A$1:$Z$20000,MATCH(P453,'Semrush Data'!$A$1:$A$20000,0),MATCH("Volume",'Semrush Data'!$A$1:$Z$1,0)),""))</f>
        <v/>
      </c>
      <c r="V453" s="23" t="str">
        <f aca="false">IF(COUNT(Q453:U453)=0,L453,IF(MAX(Q453:U453)=0,L453,INDEX(L453:P453,MATCH(MAX(Q453:U453),Q453:U453,0))))</f>
        <v>marc jacobs perfect elixir miniature</v>
      </c>
      <c r="W453" s="22" t="n">
        <f aca="false">IFERROR(INDEX('Semrush Data'!$A$1:$Z$20000,MATCH(V453,'Semrush Data'!$A$1:$A$20000,0),MATCH("Volume",'Semrush Data'!$A$1:$Z$1,0)),"")</f>
        <v>0</v>
      </c>
      <c r="X453" s="22" t="n">
        <f aca="false">IFERROR(INDEX('Semrush Data'!$A$1:$Z$20000,MATCH(V453,'Semrush Data'!$A$1:$A$20000,0),MATCH("Keyword Difficulty*",'Semrush Data'!$A$1:$Z$1,0)),"")</f>
        <v>17</v>
      </c>
      <c r="Y453" s="24" t="n">
        <f aca="false">IFERROR(INDEX('Semrush Data'!$A$1:$Z$20000,MATCH(V453,'Semrush Data'!$A$1:$A$20000,0),MATCH("CPC*",'Semrush Data'!$A$1:$Z$1,0)),"")</f>
        <v>0</v>
      </c>
      <c r="Z453" s="21" t="s">
        <v>5396</v>
      </c>
      <c r="AA453" s="21"/>
      <c r="AB453" s="21" t="s">
        <v>5417</v>
      </c>
      <c r="AC453" s="21" t="s">
        <v>5418</v>
      </c>
      <c r="AD453" s="25" t="n">
        <f aca="false">LEN(AC453)</f>
        <v>59</v>
      </c>
      <c r="AE453" s="21" t="s">
        <v>5419</v>
      </c>
      <c r="AF453" s="25" t="n">
        <f aca="false">LEN(AE453)</f>
        <v>159</v>
      </c>
    </row>
    <row r="454" customFormat="false" ht="15" hidden="false" customHeight="true" outlineLevel="0" collapsed="false">
      <c r="A454" s="21" t="s">
        <v>5420</v>
      </c>
      <c r="B454" s="21" t="s">
        <v>2390</v>
      </c>
      <c r="C454" s="21" t="n">
        <v>294</v>
      </c>
      <c r="D454" s="21" t="s">
        <v>5390</v>
      </c>
      <c r="E454" s="21"/>
      <c r="F454" s="21" t="s">
        <v>2393</v>
      </c>
      <c r="G454" s="21" t="s">
        <v>2759</v>
      </c>
      <c r="H454" s="21" t="s">
        <v>2395</v>
      </c>
      <c r="I454" s="21" t="s">
        <v>5421</v>
      </c>
      <c r="J454" s="21" t="s">
        <v>2755</v>
      </c>
      <c r="K454" s="21" t="n">
        <v>19.99</v>
      </c>
      <c r="L454" s="21" t="s">
        <v>5422</v>
      </c>
      <c r="M454" s="21" t="s">
        <v>5423</v>
      </c>
      <c r="N454" s="21" t="s">
        <v>5424</v>
      </c>
      <c r="O454" s="21" t="s">
        <v>5425</v>
      </c>
      <c r="P454" s="21" t="s">
        <v>5426</v>
      </c>
      <c r="Q454" s="22" t="n">
        <f aca="false">IF(L454="","",IFERROR(INDEX('Semrush Data'!$A$1:$Z$20000,MATCH(L454,'Semrush Data'!$A$1:$A$20000,0),MATCH("Volume",'Semrush Data'!$A$1:$Z$1,0)),""))</f>
        <v>0</v>
      </c>
      <c r="R454" s="22" t="str">
        <f aca="false">IF(M454="","",IFERROR(INDEX('Semrush Data'!$A$1:$Z$20000,MATCH(M454,'Semrush Data'!$A$1:$A$20000,0),MATCH("Volume",'Semrush Data'!$A$1:$Z$1,0)),""))</f>
        <v/>
      </c>
      <c r="S454" s="22" t="str">
        <f aca="false">IF(N454="","",IFERROR(INDEX('Semrush Data'!$A$1:$Z$20000,MATCH(N454,'Semrush Data'!$A$1:$A$20000,0),MATCH("Volume",'Semrush Data'!$A$1:$Z$1,0)),""))</f>
        <v/>
      </c>
      <c r="T454" s="22" t="str">
        <f aca="false">IF(O454="","",IFERROR(INDEX('Semrush Data'!$A$1:$Z$20000,MATCH(O454,'Semrush Data'!$A$1:$A$20000,0),MATCH("Volume",'Semrush Data'!$A$1:$Z$1,0)),""))</f>
        <v/>
      </c>
      <c r="U454" s="22" t="str">
        <f aca="false">IF(P454="","",IFERROR(INDEX('Semrush Data'!$A$1:$Z$20000,MATCH(P454,'Semrush Data'!$A$1:$A$20000,0),MATCH("Volume",'Semrush Data'!$A$1:$Z$1,0)),""))</f>
        <v/>
      </c>
      <c r="V454" s="23" t="str">
        <f aca="false">IF(COUNT(Q454:U454)=0,L454,IF(MAX(Q454:U454)=0,L454,INDEX(L454:P454,MATCH(MAX(Q454:U454),Q454:U454,0))))</f>
        <v>marc jacobs daisy love miniature</v>
      </c>
      <c r="W454" s="22" t="n">
        <f aca="false">IFERROR(INDEX('Semrush Data'!$A$1:$Z$20000,MATCH(V454,'Semrush Data'!$A$1:$A$20000,0),MATCH("Volume",'Semrush Data'!$A$1:$Z$1,0)),"")</f>
        <v>0</v>
      </c>
      <c r="X454" s="22" t="n">
        <f aca="false">IFERROR(INDEX('Semrush Data'!$A$1:$Z$20000,MATCH(V454,'Semrush Data'!$A$1:$A$20000,0),MATCH("Keyword Difficulty*",'Semrush Data'!$A$1:$Z$1,0)),"")</f>
        <v>24</v>
      </c>
      <c r="Y454" s="24" t="n">
        <f aca="false">IFERROR(INDEX('Semrush Data'!$A$1:$Z$20000,MATCH(V454,'Semrush Data'!$A$1:$A$20000,0),MATCH("CPC*",'Semrush Data'!$A$1:$Z$1,0)),"")</f>
        <v>0</v>
      </c>
      <c r="Z454" s="21" t="s">
        <v>5396</v>
      </c>
      <c r="AA454" s="21" t="s">
        <v>5427</v>
      </c>
      <c r="AB454" s="21" t="s">
        <v>5428</v>
      </c>
      <c r="AC454" s="21" t="s">
        <v>5429</v>
      </c>
      <c r="AD454" s="25" t="n">
        <f aca="false">LEN(AC454)</f>
        <v>55</v>
      </c>
      <c r="AE454" s="21" t="s">
        <v>5430</v>
      </c>
      <c r="AF454" s="25" t="n">
        <f aca="false">LEN(AE454)</f>
        <v>159</v>
      </c>
    </row>
    <row r="455" customFormat="false" ht="15" hidden="false" customHeight="true" outlineLevel="0" collapsed="false">
      <c r="A455" s="21" t="s">
        <v>5431</v>
      </c>
      <c r="B455" s="21" t="s">
        <v>2390</v>
      </c>
      <c r="C455" s="21" t="n">
        <v>295</v>
      </c>
      <c r="D455" s="21" t="s">
        <v>5390</v>
      </c>
      <c r="E455" s="21"/>
      <c r="F455" s="21" t="s">
        <v>2393</v>
      </c>
      <c r="G455" s="21" t="s">
        <v>2759</v>
      </c>
      <c r="H455" s="21" t="s">
        <v>2395</v>
      </c>
      <c r="I455" s="21" t="s">
        <v>5432</v>
      </c>
      <c r="J455" s="21" t="s">
        <v>1409</v>
      </c>
      <c r="K455" s="21" t="n">
        <v>39.99</v>
      </c>
      <c r="L455" s="21" t="s">
        <v>5433</v>
      </c>
      <c r="M455" s="21" t="s">
        <v>5434</v>
      </c>
      <c r="N455" s="21" t="s">
        <v>5435</v>
      </c>
      <c r="O455" s="21" t="s">
        <v>5436</v>
      </c>
      <c r="P455" s="21" t="s">
        <v>5437</v>
      </c>
      <c r="Q455" s="22" t="n">
        <f aca="false">IF(L455="","",IFERROR(INDEX('Semrush Data'!$A$1:$Z$20000,MATCH(L455,'Semrush Data'!$A$1:$A$20000,0),MATCH("Volume",'Semrush Data'!$A$1:$Z$1,0)),""))</f>
        <v>20</v>
      </c>
      <c r="R455" s="22" t="str">
        <f aca="false">IF(M455="","",IFERROR(INDEX('Semrush Data'!$A$1:$Z$20000,MATCH(M455,'Semrush Data'!$A$1:$A$20000,0),MATCH("Volume",'Semrush Data'!$A$1:$Z$1,0)),""))</f>
        <v/>
      </c>
      <c r="S455" s="22" t="str">
        <f aca="false">IF(N455="","",IFERROR(INDEX('Semrush Data'!$A$1:$Z$20000,MATCH(N455,'Semrush Data'!$A$1:$A$20000,0),MATCH("Volume",'Semrush Data'!$A$1:$Z$1,0)),""))</f>
        <v/>
      </c>
      <c r="T455" s="22" t="str">
        <f aca="false">IF(O455="","",IFERROR(INDEX('Semrush Data'!$A$1:$Z$20000,MATCH(O455,'Semrush Data'!$A$1:$A$20000,0),MATCH("Volume",'Semrush Data'!$A$1:$Z$1,0)),""))</f>
        <v/>
      </c>
      <c r="U455" s="22" t="str">
        <f aca="false">IF(P455="","",IFERROR(INDEX('Semrush Data'!$A$1:$Z$20000,MATCH(P455,'Semrush Data'!$A$1:$A$20000,0),MATCH("Volume",'Semrush Data'!$A$1:$Z$1,0)),""))</f>
        <v/>
      </c>
      <c r="V455" s="23" t="str">
        <f aca="false">IF(COUNT(Q455:U455)=0,L455,IF(MAX(Q455:U455)=0,L455,INDEX(L455:P455,MATCH(MAX(Q455:U455),Q455:U455,0))))</f>
        <v>marc jacobs daisy love glow limited edition</v>
      </c>
      <c r="W455" s="22" t="n">
        <f aca="false">IFERROR(INDEX('Semrush Data'!$A$1:$Z$20000,MATCH(V455,'Semrush Data'!$A$1:$A$20000,0),MATCH("Volume",'Semrush Data'!$A$1:$Z$1,0)),"")</f>
        <v>20</v>
      </c>
      <c r="X455" s="22" t="n">
        <f aca="false">IFERROR(INDEX('Semrush Data'!$A$1:$Z$20000,MATCH(V455,'Semrush Data'!$A$1:$A$20000,0),MATCH("Keyword Difficulty*",'Semrush Data'!$A$1:$Z$1,0)),"")</f>
        <v>16</v>
      </c>
      <c r="Y455" s="24" t="n">
        <f aca="false">IFERROR(INDEX('Semrush Data'!$A$1:$Z$20000,MATCH(V455,'Semrush Data'!$A$1:$A$20000,0),MATCH("CPC*",'Semrush Data'!$A$1:$Z$1,0)),"")</f>
        <v>0</v>
      </c>
      <c r="Z455" s="21" t="s">
        <v>5396</v>
      </c>
      <c r="AA455" s="21" t="s">
        <v>5438</v>
      </c>
      <c r="AB455" s="21" t="s">
        <v>5439</v>
      </c>
      <c r="AC455" s="21" t="s">
        <v>5440</v>
      </c>
      <c r="AD455" s="25" t="n">
        <f aca="false">LEN(AC455)</f>
        <v>57</v>
      </c>
      <c r="AE455" s="21" t="s">
        <v>5441</v>
      </c>
      <c r="AF455" s="25" t="n">
        <f aca="false">LEN(AE455)</f>
        <v>160</v>
      </c>
    </row>
    <row r="456" customFormat="false" ht="15" hidden="false" customHeight="true" outlineLevel="0" collapsed="false">
      <c r="A456" s="21" t="s">
        <v>5442</v>
      </c>
      <c r="B456" s="21" t="s">
        <v>2390</v>
      </c>
      <c r="C456" s="21" t="n">
        <v>296</v>
      </c>
      <c r="D456" s="21" t="s">
        <v>5390</v>
      </c>
      <c r="E456" s="21"/>
      <c r="F456" s="21" t="s">
        <v>2393</v>
      </c>
      <c r="G456" s="21" t="s">
        <v>2759</v>
      </c>
      <c r="H456" s="21" t="s">
        <v>2395</v>
      </c>
      <c r="I456" s="21" t="s">
        <v>5443</v>
      </c>
      <c r="J456" s="21" t="s">
        <v>2435</v>
      </c>
      <c r="K456" s="21" t="n">
        <v>19.99</v>
      </c>
      <c r="L456" s="21" t="s">
        <v>5444</v>
      </c>
      <c r="M456" s="21" t="s">
        <v>5445</v>
      </c>
      <c r="N456" s="21" t="s">
        <v>5446</v>
      </c>
      <c r="O456" s="21" t="s">
        <v>5447</v>
      </c>
      <c r="P456" s="21" t="s">
        <v>5448</v>
      </c>
      <c r="Q456" s="22" t="n">
        <f aca="false">IF(L456="","",IFERROR(INDEX('Semrush Data'!$A$1:$Z$20000,MATCH(L456,'Semrush Data'!$A$1:$A$20000,0),MATCH("Volume",'Semrush Data'!$A$1:$Z$1,0)),""))</f>
        <v>20</v>
      </c>
      <c r="R456" s="22" t="str">
        <f aca="false">IF(M456="","",IFERROR(INDEX('Semrush Data'!$A$1:$Z$20000,MATCH(M456,'Semrush Data'!$A$1:$A$20000,0),MATCH("Volume",'Semrush Data'!$A$1:$Z$1,0)),""))</f>
        <v/>
      </c>
      <c r="S456" s="22" t="str">
        <f aca="false">IF(N456="","",IFERROR(INDEX('Semrush Data'!$A$1:$Z$20000,MATCH(N456,'Semrush Data'!$A$1:$A$20000,0),MATCH("Volume",'Semrush Data'!$A$1:$Z$1,0)),""))</f>
        <v/>
      </c>
      <c r="T456" s="22" t="str">
        <f aca="false">IF(O456="","",IFERROR(INDEX('Semrush Data'!$A$1:$Z$20000,MATCH(O456,'Semrush Data'!$A$1:$A$20000,0),MATCH("Volume",'Semrush Data'!$A$1:$Z$1,0)),""))</f>
        <v/>
      </c>
      <c r="U456" s="22" t="str">
        <f aca="false">IF(P456="","",IFERROR(INDEX('Semrush Data'!$A$1:$Z$20000,MATCH(P456,'Semrush Data'!$A$1:$A$20000,0),MATCH("Volume",'Semrush Data'!$A$1:$Z$1,0)),""))</f>
        <v/>
      </c>
      <c r="V456" s="23" t="str">
        <f aca="false">IF(COUNT(Q456:U456)=0,L456,IF(MAX(Q456:U456)=0,L456,INDEX(L456:P456,MATCH(MAX(Q456:U456),Q456:U456,0))))</f>
        <v>marc jacobs perfect miniature</v>
      </c>
      <c r="W456" s="22" t="n">
        <f aca="false">IFERROR(INDEX('Semrush Data'!$A$1:$Z$20000,MATCH(V456,'Semrush Data'!$A$1:$A$20000,0),MATCH("Volume",'Semrush Data'!$A$1:$Z$1,0)),"")</f>
        <v>20</v>
      </c>
      <c r="X456" s="22" t="n">
        <f aca="false">IFERROR(INDEX('Semrush Data'!$A$1:$Z$20000,MATCH(V456,'Semrush Data'!$A$1:$A$20000,0),MATCH("Keyword Difficulty*",'Semrush Data'!$A$1:$Z$1,0)),"")</f>
        <v>17</v>
      </c>
      <c r="Y456" s="24" t="n">
        <f aca="false">IFERROR(INDEX('Semrush Data'!$A$1:$Z$20000,MATCH(V456,'Semrush Data'!$A$1:$A$20000,0),MATCH("CPC*",'Semrush Data'!$A$1:$Z$1,0)),"")</f>
        <v>0</v>
      </c>
      <c r="Z456" s="21" t="s">
        <v>5396</v>
      </c>
      <c r="AA456" s="21"/>
      <c r="AB456" s="21" t="s">
        <v>5449</v>
      </c>
      <c r="AC456" s="21" t="s">
        <v>5450</v>
      </c>
      <c r="AD456" s="25" t="n">
        <f aca="false">LEN(AC456)</f>
        <v>59</v>
      </c>
      <c r="AE456" s="21" t="s">
        <v>5451</v>
      </c>
      <c r="AF456" s="25" t="n">
        <f aca="false">LEN(AE456)</f>
        <v>156</v>
      </c>
    </row>
    <row r="457" customFormat="false" ht="15" hidden="false" customHeight="true" outlineLevel="0" collapsed="false">
      <c r="A457" s="21" t="s">
        <v>5452</v>
      </c>
      <c r="B457" s="21" t="s">
        <v>2390</v>
      </c>
      <c r="C457" s="21" t="n">
        <v>297</v>
      </c>
      <c r="D457" s="21" t="s">
        <v>5390</v>
      </c>
      <c r="E457" s="21"/>
      <c r="F457" s="21" t="s">
        <v>1676</v>
      </c>
      <c r="G457" s="21" t="s">
        <v>2491</v>
      </c>
      <c r="H457" s="21" t="s">
        <v>3535</v>
      </c>
      <c r="I457" s="21" t="s">
        <v>5453</v>
      </c>
      <c r="J457" s="21" t="s">
        <v>1920</v>
      </c>
      <c r="K457" s="21" t="n">
        <v>39.99</v>
      </c>
      <c r="L457" s="21" t="s">
        <v>5454</v>
      </c>
      <c r="M457" s="21" t="s">
        <v>5455</v>
      </c>
      <c r="N457" s="21" t="s">
        <v>5456</v>
      </c>
      <c r="O457" s="21" t="s">
        <v>5457</v>
      </c>
      <c r="P457" s="21"/>
      <c r="Q457" s="22" t="n">
        <f aca="false">IF(L457="","",IFERROR(INDEX('Semrush Data'!$A$1:$Z$20000,MATCH(L457,'Semrush Data'!$A$1:$A$20000,0),MATCH("Volume",'Semrush Data'!$A$1:$Z$1,0)),""))</f>
        <v>0</v>
      </c>
      <c r="R457" s="22" t="str">
        <f aca="false">IF(M457="","",IFERROR(INDEX('Semrush Data'!$A$1:$Z$20000,MATCH(M457,'Semrush Data'!$A$1:$A$20000,0),MATCH("Volume",'Semrush Data'!$A$1:$Z$1,0)),""))</f>
        <v/>
      </c>
      <c r="S457" s="22" t="str">
        <f aca="false">IF(N457="","",IFERROR(INDEX('Semrush Data'!$A$1:$Z$20000,MATCH(N457,'Semrush Data'!$A$1:$A$20000,0),MATCH("Volume",'Semrush Data'!$A$1:$Z$1,0)),""))</f>
        <v/>
      </c>
      <c r="T457" s="22" t="str">
        <f aca="false">IF(O457="","",IFERROR(INDEX('Semrush Data'!$A$1:$Z$20000,MATCH(O457,'Semrush Data'!$A$1:$A$20000,0),MATCH("Volume",'Semrush Data'!$A$1:$Z$1,0)),""))</f>
        <v/>
      </c>
      <c r="U457" s="22" t="str">
        <f aca="false">IF(P457="","",IFERROR(INDEX('Semrush Data'!$A$1:$Z$20000,MATCH(P457,'Semrush Data'!$A$1:$A$20000,0),MATCH("Volume",'Semrush Data'!$A$1:$Z$1,0)),""))</f>
        <v/>
      </c>
      <c r="V457" s="23" t="str">
        <f aca="false">IF(COUNT(Q457:U457)=0,L457,IF(MAX(Q457:U457)=0,L457,INDEX(L457:P457,MATCH(MAX(Q457:U457),Q457:U457,0))))</f>
        <v>marc jacobs miniature gift set 2025</v>
      </c>
      <c r="W457" s="22" t="n">
        <f aca="false">IFERROR(INDEX('Semrush Data'!$A$1:$Z$20000,MATCH(V457,'Semrush Data'!$A$1:$A$20000,0),MATCH("Volume",'Semrush Data'!$A$1:$Z$1,0)),"")</f>
        <v>0</v>
      </c>
      <c r="X457" s="22" t="n">
        <f aca="false">IFERROR(INDEX('Semrush Data'!$A$1:$Z$20000,MATCH(V457,'Semrush Data'!$A$1:$A$20000,0),MATCH("Keyword Difficulty*",'Semrush Data'!$A$1:$Z$1,0)),"")</f>
        <v>22</v>
      </c>
      <c r="Y457" s="24" t="n">
        <f aca="false">IFERROR(INDEX('Semrush Data'!$A$1:$Z$20000,MATCH(V457,'Semrush Data'!$A$1:$A$20000,0),MATCH("CPC*",'Semrush Data'!$A$1:$Z$1,0)),"")</f>
        <v>0</v>
      </c>
      <c r="Z457" s="21" t="s">
        <v>5458</v>
      </c>
      <c r="AA457" s="21"/>
      <c r="AB457" s="21" t="s">
        <v>5459</v>
      </c>
      <c r="AC457" s="21" t="s">
        <v>5460</v>
      </c>
      <c r="AD457" s="25" t="n">
        <f aca="false">LEN(AC457)</f>
        <v>58</v>
      </c>
      <c r="AE457" s="21" t="s">
        <v>5461</v>
      </c>
      <c r="AF457" s="25" t="n">
        <f aca="false">LEN(AE457)</f>
        <v>157</v>
      </c>
    </row>
    <row r="458" customFormat="false" ht="15" hidden="false" customHeight="true" outlineLevel="0" collapsed="false">
      <c r="A458" s="21" t="s">
        <v>5462</v>
      </c>
      <c r="B458" s="21" t="s">
        <v>2390</v>
      </c>
      <c r="C458" s="21" t="n">
        <v>298</v>
      </c>
      <c r="D458" s="21" t="s">
        <v>5463</v>
      </c>
      <c r="E458" s="21"/>
      <c r="F458" s="21" t="s">
        <v>2393</v>
      </c>
      <c r="G458" s="21" t="s">
        <v>2394</v>
      </c>
      <c r="H458" s="21" t="s">
        <v>5464</v>
      </c>
      <c r="I458" s="21" t="s">
        <v>5465</v>
      </c>
      <c r="J458" s="21" t="s">
        <v>1935</v>
      </c>
      <c r="K458" s="21" t="n">
        <v>52.99</v>
      </c>
      <c r="L458" s="21" t="s">
        <v>5466</v>
      </c>
      <c r="M458" s="21" t="s">
        <v>5467</v>
      </c>
      <c r="N458" s="21" t="s">
        <v>5468</v>
      </c>
      <c r="O458" s="21" t="s">
        <v>5469</v>
      </c>
      <c r="P458" s="21" t="s">
        <v>5470</v>
      </c>
      <c r="Q458" s="22" t="n">
        <f aca="false">IF(L458="","",IFERROR(INDEX('Semrush Data'!$A$1:$Z$20000,MATCH(L458,'Semrush Data'!$A$1:$A$20000,0),MATCH("Volume",'Semrush Data'!$A$1:$Z$1,0)),""))</f>
        <v>20</v>
      </c>
      <c r="R458" s="22" t="str">
        <f aca="false">IF(M458="","",IFERROR(INDEX('Semrush Data'!$A$1:$Z$20000,MATCH(M458,'Semrush Data'!$A$1:$A$20000,0),MATCH("Volume",'Semrush Data'!$A$1:$Z$1,0)),""))</f>
        <v/>
      </c>
      <c r="S458" s="22" t="str">
        <f aca="false">IF(N458="","",IFERROR(INDEX('Semrush Data'!$A$1:$Z$20000,MATCH(N458,'Semrush Data'!$A$1:$A$20000,0),MATCH("Volume",'Semrush Data'!$A$1:$Z$1,0)),""))</f>
        <v/>
      </c>
      <c r="T458" s="22" t="str">
        <f aca="false">IF(O458="","",IFERROR(INDEX('Semrush Data'!$A$1:$Z$20000,MATCH(O458,'Semrush Data'!$A$1:$A$20000,0),MATCH("Volume",'Semrush Data'!$A$1:$Z$1,0)),""))</f>
        <v/>
      </c>
      <c r="U458" s="22" t="str">
        <f aca="false">IF(P458="","",IFERROR(INDEX('Semrush Data'!$A$1:$Z$20000,MATCH(P458,'Semrush Data'!$A$1:$A$20000,0),MATCH("Volume",'Semrush Data'!$A$1:$Z$1,0)),""))</f>
        <v/>
      </c>
      <c r="V458" s="23" t="str">
        <f aca="false">IF(COUNT(Q458:U458)=0,L458,IF(MAX(Q458:U458)=0,L458,INDEX(L458:P458,MATCH(MAX(Q458:U458),Q458:U458,0))))</f>
        <v>montale aoud damascus</v>
      </c>
      <c r="W458" s="22" t="n">
        <f aca="false">IFERROR(INDEX('Semrush Data'!$A$1:$Z$20000,MATCH(V458,'Semrush Data'!$A$1:$A$20000,0),MATCH("Volume",'Semrush Data'!$A$1:$Z$1,0)),"")</f>
        <v>20</v>
      </c>
      <c r="X458" s="22" t="n">
        <f aca="false">IFERROR(INDEX('Semrush Data'!$A$1:$Z$20000,MATCH(V458,'Semrush Data'!$A$1:$A$20000,0),MATCH("Keyword Difficulty*",'Semrush Data'!$A$1:$Z$1,0)),"")</f>
        <v>10</v>
      </c>
      <c r="Y458" s="24" t="n">
        <f aca="false">IFERROR(INDEX('Semrush Data'!$A$1:$Z$20000,MATCH(V458,'Semrush Data'!$A$1:$A$20000,0),MATCH("CPC*",'Semrush Data'!$A$1:$Z$1,0)),"")</f>
        <v>0</v>
      </c>
      <c r="Z458" s="21" t="s">
        <v>5471</v>
      </c>
      <c r="AA458" s="21" t="s">
        <v>5472</v>
      </c>
      <c r="AB458" s="21" t="s">
        <v>5473</v>
      </c>
      <c r="AC458" s="21" t="s">
        <v>5474</v>
      </c>
      <c r="AD458" s="25" t="n">
        <f aca="false">LEN(AC458)</f>
        <v>58</v>
      </c>
      <c r="AE458" s="21" t="s">
        <v>5475</v>
      </c>
      <c r="AF458" s="25" t="n">
        <f aca="false">LEN(AE458)</f>
        <v>155</v>
      </c>
    </row>
    <row r="459" customFormat="false" ht="15" hidden="false" customHeight="true" outlineLevel="0" collapsed="false">
      <c r="A459" s="21" t="s">
        <v>5476</v>
      </c>
      <c r="B459" s="21" t="s">
        <v>2390</v>
      </c>
      <c r="C459" s="21" t="n">
        <v>299</v>
      </c>
      <c r="D459" s="21" t="s">
        <v>5463</v>
      </c>
      <c r="E459" s="21"/>
      <c r="F459" s="21" t="s">
        <v>2393</v>
      </c>
      <c r="G459" s="21" t="s">
        <v>2394</v>
      </c>
      <c r="H459" s="21" t="s">
        <v>3862</v>
      </c>
      <c r="I459" s="21" t="s">
        <v>5477</v>
      </c>
      <c r="J459" s="21" t="s">
        <v>1935</v>
      </c>
      <c r="K459" s="21" t="n">
        <v>54.99</v>
      </c>
      <c r="L459" s="21" t="s">
        <v>5478</v>
      </c>
      <c r="M459" s="21" t="s">
        <v>5479</v>
      </c>
      <c r="N459" s="21" t="s">
        <v>5480</v>
      </c>
      <c r="O459" s="21" t="s">
        <v>5481</v>
      </c>
      <c r="P459" s="21" t="s">
        <v>5482</v>
      </c>
      <c r="Q459" s="22" t="n">
        <f aca="false">IF(L459="","",IFERROR(INDEX('Semrush Data'!$A$1:$Z$20000,MATCH(L459,'Semrush Data'!$A$1:$A$20000,0),MATCH("Volume",'Semrush Data'!$A$1:$Z$1,0)),""))</f>
        <v>20</v>
      </c>
      <c r="R459" s="22" t="str">
        <f aca="false">IF(M459="","",IFERROR(INDEX('Semrush Data'!$A$1:$Z$20000,MATCH(M459,'Semrush Data'!$A$1:$A$20000,0),MATCH("Volume",'Semrush Data'!$A$1:$Z$1,0)),""))</f>
        <v/>
      </c>
      <c r="S459" s="22" t="str">
        <f aca="false">IF(N459="","",IFERROR(INDEX('Semrush Data'!$A$1:$Z$20000,MATCH(N459,'Semrush Data'!$A$1:$A$20000,0),MATCH("Volume",'Semrush Data'!$A$1:$Z$1,0)),""))</f>
        <v/>
      </c>
      <c r="T459" s="22" t="str">
        <f aca="false">IF(O459="","",IFERROR(INDEX('Semrush Data'!$A$1:$Z$20000,MATCH(O459,'Semrush Data'!$A$1:$A$20000,0),MATCH("Volume",'Semrush Data'!$A$1:$Z$1,0)),""))</f>
        <v/>
      </c>
      <c r="U459" s="22" t="str">
        <f aca="false">IF(P459="","",IFERROR(INDEX('Semrush Data'!$A$1:$Z$20000,MATCH(P459,'Semrush Data'!$A$1:$A$20000,0),MATCH("Volume",'Semrush Data'!$A$1:$Z$1,0)),""))</f>
        <v/>
      </c>
      <c r="V459" s="23" t="str">
        <f aca="false">IF(COUNT(Q459:U459)=0,L459,IF(MAX(Q459:U459)=0,L459,INDEX(L459:P459,MATCH(MAX(Q459:U459),Q459:U459,0))))</f>
        <v>montale aoud safran</v>
      </c>
      <c r="W459" s="22" t="n">
        <f aca="false">IFERROR(INDEX('Semrush Data'!$A$1:$Z$20000,MATCH(V459,'Semrush Data'!$A$1:$A$20000,0),MATCH("Volume",'Semrush Data'!$A$1:$Z$1,0)),"")</f>
        <v>20</v>
      </c>
      <c r="X459" s="22" t="n">
        <f aca="false">IFERROR(INDEX('Semrush Data'!$A$1:$Z$20000,MATCH(V459,'Semrush Data'!$A$1:$A$20000,0),MATCH("Keyword Difficulty*",'Semrush Data'!$A$1:$Z$1,0)),"")</f>
        <v>10</v>
      </c>
      <c r="Y459" s="24" t="n">
        <f aca="false">IFERROR(INDEX('Semrush Data'!$A$1:$Z$20000,MATCH(V459,'Semrush Data'!$A$1:$A$20000,0),MATCH("CPC*",'Semrush Data'!$A$1:$Z$1,0)),"")</f>
        <v>0</v>
      </c>
      <c r="Z459" s="21" t="s">
        <v>5483</v>
      </c>
      <c r="AA459" s="21" t="s">
        <v>5484</v>
      </c>
      <c r="AB459" s="21" t="s">
        <v>5485</v>
      </c>
      <c r="AC459" s="21" t="s">
        <v>5486</v>
      </c>
      <c r="AD459" s="25" t="n">
        <f aca="false">LEN(AC459)</f>
        <v>60</v>
      </c>
      <c r="AE459" s="21" t="s">
        <v>5487</v>
      </c>
      <c r="AF459" s="25" t="n">
        <f aca="false">LEN(AE459)</f>
        <v>152</v>
      </c>
    </row>
    <row r="460" customFormat="false" ht="15" hidden="false" customHeight="true" outlineLevel="0" collapsed="false">
      <c r="A460" s="21" t="s">
        <v>5488</v>
      </c>
      <c r="B460" s="21" t="s">
        <v>2390</v>
      </c>
      <c r="C460" s="21" t="n">
        <v>300</v>
      </c>
      <c r="D460" s="21" t="s">
        <v>5489</v>
      </c>
      <c r="E460" s="21"/>
      <c r="F460" s="21" t="s">
        <v>2393</v>
      </c>
      <c r="G460" s="21" t="s">
        <v>2394</v>
      </c>
      <c r="H460" s="21" t="s">
        <v>2395</v>
      </c>
      <c r="I460" s="21" t="s">
        <v>5490</v>
      </c>
      <c r="J460" s="21" t="s">
        <v>1409</v>
      </c>
      <c r="K460" s="21" t="n">
        <v>38.99</v>
      </c>
      <c r="L460" s="21" t="s">
        <v>5491</v>
      </c>
      <c r="M460" s="21" t="s">
        <v>5492</v>
      </c>
      <c r="N460" s="21" t="s">
        <v>5493</v>
      </c>
      <c r="O460" s="21" t="s">
        <v>5494</v>
      </c>
      <c r="P460" s="21" t="s">
        <v>5495</v>
      </c>
      <c r="Q460" s="22" t="n">
        <f aca="false">IF(L460="","",IFERROR(INDEX('Semrush Data'!$A$1:$Z$20000,MATCH(L460,'Semrush Data'!$A$1:$A$20000,0),MATCH("Volume",'Semrush Data'!$A$1:$Z$1,0)),""))</f>
        <v>20</v>
      </c>
      <c r="R460" s="22" t="str">
        <f aca="false">IF(M460="","",IFERROR(INDEX('Semrush Data'!$A$1:$Z$20000,MATCH(M460,'Semrush Data'!$A$1:$A$20000,0),MATCH("Volume",'Semrush Data'!$A$1:$Z$1,0)),""))</f>
        <v/>
      </c>
      <c r="S460" s="22" t="str">
        <f aca="false">IF(N460="","",IFERROR(INDEX('Semrush Data'!$A$1:$Z$20000,MATCH(N460,'Semrush Data'!$A$1:$A$20000,0),MATCH("Volume",'Semrush Data'!$A$1:$Z$1,0)),""))</f>
        <v/>
      </c>
      <c r="T460" s="22" t="str">
        <f aca="false">IF(O460="","",IFERROR(INDEX('Semrush Data'!$A$1:$Z$20000,MATCH(O460,'Semrush Data'!$A$1:$A$20000,0),MATCH("Volume",'Semrush Data'!$A$1:$Z$1,0)),""))</f>
        <v/>
      </c>
      <c r="U460" s="22" t="str">
        <f aca="false">IF(P460="","",IFERROR(INDEX('Semrush Data'!$A$1:$Z$20000,MATCH(P460,'Semrush Data'!$A$1:$A$20000,0),MATCH("Volume",'Semrush Data'!$A$1:$Z$1,0)),""))</f>
        <v/>
      </c>
      <c r="V460" s="23" t="str">
        <f aca="false">IF(COUNT(Q460:U460)=0,L460,IF(MAX(Q460:U460)=0,L460,INDEX(L460:P460,MATCH(MAX(Q460:U460),Q460:U460,0))))</f>
        <v>nina ricci nina illusion</v>
      </c>
      <c r="W460" s="22" t="n">
        <f aca="false">IFERROR(INDEX('Semrush Data'!$A$1:$Z$20000,MATCH(V460,'Semrush Data'!$A$1:$A$20000,0),MATCH("Volume",'Semrush Data'!$A$1:$Z$1,0)),"")</f>
        <v>20</v>
      </c>
      <c r="X460" s="22" t="n">
        <f aca="false">IFERROR(INDEX('Semrush Data'!$A$1:$Z$20000,MATCH(V460,'Semrush Data'!$A$1:$A$20000,0),MATCH("Keyword Difficulty*",'Semrush Data'!$A$1:$Z$1,0)),"")</f>
        <v>13</v>
      </c>
      <c r="Y460" s="24" t="n">
        <f aca="false">IFERROR(INDEX('Semrush Data'!$A$1:$Z$20000,MATCH(V460,'Semrush Data'!$A$1:$A$20000,0),MATCH("CPC*",'Semrush Data'!$A$1:$Z$1,0)),"")</f>
        <v>0</v>
      </c>
      <c r="Z460" s="21" t="s">
        <v>5496</v>
      </c>
      <c r="AA460" s="21" t="s">
        <v>5497</v>
      </c>
      <c r="AB460" s="21" t="s">
        <v>5498</v>
      </c>
      <c r="AC460" s="21" t="s">
        <v>5499</v>
      </c>
      <c r="AD460" s="25" t="n">
        <f aca="false">LEN(AC460)</f>
        <v>60</v>
      </c>
      <c r="AE460" s="21" t="s">
        <v>5500</v>
      </c>
      <c r="AF460" s="25" t="n">
        <f aca="false">LEN(AE460)</f>
        <v>159</v>
      </c>
    </row>
    <row r="461" customFormat="false" ht="15" hidden="false" customHeight="true" outlineLevel="0" collapsed="false">
      <c r="A461" s="21" t="s">
        <v>5501</v>
      </c>
      <c r="B461" s="21" t="s">
        <v>2390</v>
      </c>
      <c r="C461" s="21" t="n">
        <v>301</v>
      </c>
      <c r="D461" s="21" t="s">
        <v>5489</v>
      </c>
      <c r="E461" s="21"/>
      <c r="F461" s="21" t="s">
        <v>2393</v>
      </c>
      <c r="G461" s="21" t="s">
        <v>2394</v>
      </c>
      <c r="H461" s="21" t="s">
        <v>2395</v>
      </c>
      <c r="I461" s="21" t="s">
        <v>5502</v>
      </c>
      <c r="J461" s="21" t="s">
        <v>1409</v>
      </c>
      <c r="K461" s="21" t="n">
        <v>40.99</v>
      </c>
      <c r="L461" s="21" t="s">
        <v>5503</v>
      </c>
      <c r="M461" s="21" t="s">
        <v>5504</v>
      </c>
      <c r="N461" s="21" t="s">
        <v>5505</v>
      </c>
      <c r="O461" s="21" t="s">
        <v>5506</v>
      </c>
      <c r="P461" s="21" t="s">
        <v>5507</v>
      </c>
      <c r="Q461" s="22" t="n">
        <f aca="false">IF(L461="","",IFERROR(INDEX('Semrush Data'!$A$1:$Z$20000,MATCH(L461,'Semrush Data'!$A$1:$A$20000,0),MATCH("Volume",'Semrush Data'!$A$1:$Z$1,0)),""))</f>
        <v>0</v>
      </c>
      <c r="R461" s="22" t="str">
        <f aca="false">IF(M461="","",IFERROR(INDEX('Semrush Data'!$A$1:$Z$20000,MATCH(M461,'Semrush Data'!$A$1:$A$20000,0),MATCH("Volume",'Semrush Data'!$A$1:$Z$1,0)),""))</f>
        <v/>
      </c>
      <c r="S461" s="22" t="str">
        <f aca="false">IF(N461="","",IFERROR(INDEX('Semrush Data'!$A$1:$Z$20000,MATCH(N461,'Semrush Data'!$A$1:$A$20000,0),MATCH("Volume",'Semrush Data'!$A$1:$Z$1,0)),""))</f>
        <v/>
      </c>
      <c r="T461" s="22" t="str">
        <f aca="false">IF(O461="","",IFERROR(INDEX('Semrush Data'!$A$1:$Z$20000,MATCH(O461,'Semrush Data'!$A$1:$A$20000,0),MATCH("Volume",'Semrush Data'!$A$1:$Z$1,0)),""))</f>
        <v/>
      </c>
      <c r="U461" s="22" t="str">
        <f aca="false">IF(P461="","",IFERROR(INDEX('Semrush Data'!$A$1:$Z$20000,MATCH(P461,'Semrush Data'!$A$1:$A$20000,0),MATCH("Volume",'Semrush Data'!$A$1:$Z$1,0)),""))</f>
        <v/>
      </c>
      <c r="V461" s="23" t="str">
        <f aca="false">IF(COUNT(Q461:U461)=0,L461,IF(MAX(Q461:U461)=0,L461,INDEX(L461:P461,MATCH(MAX(Q461:U461),Q461:U461,0))))</f>
        <v>nina ricci nina precious gold</v>
      </c>
      <c r="W461" s="22" t="n">
        <f aca="false">IFERROR(INDEX('Semrush Data'!$A$1:$Z$20000,MATCH(V461,'Semrush Data'!$A$1:$A$20000,0),MATCH("Volume",'Semrush Data'!$A$1:$Z$1,0)),"")</f>
        <v>0</v>
      </c>
      <c r="X461" s="22" t="n">
        <f aca="false">IFERROR(INDEX('Semrush Data'!$A$1:$Z$20000,MATCH(V461,'Semrush Data'!$A$1:$A$20000,0),MATCH("Keyword Difficulty*",'Semrush Data'!$A$1:$Z$1,0)),"")</f>
        <v>10</v>
      </c>
      <c r="Y461" s="24" t="n">
        <f aca="false">IFERROR(INDEX('Semrush Data'!$A$1:$Z$20000,MATCH(V461,'Semrush Data'!$A$1:$A$20000,0),MATCH("CPC*",'Semrush Data'!$A$1:$Z$1,0)),"")</f>
        <v>0</v>
      </c>
      <c r="Z461" s="21" t="s">
        <v>5496</v>
      </c>
      <c r="AA461" s="21" t="s">
        <v>5508</v>
      </c>
      <c r="AB461" s="21" t="s">
        <v>5509</v>
      </c>
      <c r="AC461" s="21" t="s">
        <v>5510</v>
      </c>
      <c r="AD461" s="25" t="n">
        <f aca="false">LEN(AC461)</f>
        <v>57</v>
      </c>
      <c r="AE461" s="21" t="s">
        <v>5511</v>
      </c>
      <c r="AF461" s="25" t="n">
        <f aca="false">LEN(AE461)</f>
        <v>158</v>
      </c>
    </row>
    <row r="462" customFormat="false" ht="15" hidden="false" customHeight="true" outlineLevel="0" collapsed="false">
      <c r="A462" s="21" t="s">
        <v>82</v>
      </c>
      <c r="B462" s="21" t="s">
        <v>2390</v>
      </c>
      <c r="C462" s="21" t="n">
        <v>302</v>
      </c>
      <c r="D462" s="21" t="s">
        <v>5489</v>
      </c>
      <c r="E462" s="21"/>
      <c r="F462" s="21" t="s">
        <v>2393</v>
      </c>
      <c r="G462" s="21" t="s">
        <v>2759</v>
      </c>
      <c r="H462" s="21" t="s">
        <v>2395</v>
      </c>
      <c r="I462" s="21" t="s">
        <v>83</v>
      </c>
      <c r="J462" s="21" t="s">
        <v>1935</v>
      </c>
      <c r="K462" s="21" t="n">
        <v>43.99</v>
      </c>
      <c r="L462" s="21" t="s">
        <v>5512</v>
      </c>
      <c r="M462" s="21" t="s">
        <v>5513</v>
      </c>
      <c r="N462" s="21" t="s">
        <v>5514</v>
      </c>
      <c r="O462" s="21" t="s">
        <v>5515</v>
      </c>
      <c r="P462" s="21" t="s">
        <v>5516</v>
      </c>
      <c r="Q462" s="22" t="n">
        <f aca="false">IF(L462="","",IFERROR(INDEX('Semrush Data'!$A$1:$Z$20000,MATCH(L462,'Semrush Data'!$A$1:$A$20000,0),MATCH("Volume",'Semrush Data'!$A$1:$Z$1,0)),""))</f>
        <v>1300</v>
      </c>
      <c r="R462" s="22" t="n">
        <f aca="false">IF(M462="","",IFERROR(INDEX('Semrush Data'!$A$1:$Z$20000,MATCH(M462,'Semrush Data'!$A$1:$A$20000,0),MATCH("Volume",'Semrush Data'!$A$1:$Z$1,0)),""))</f>
        <v>0</v>
      </c>
      <c r="S462" s="22" t="str">
        <f aca="false">IF(N462="","",IFERROR(INDEX('Semrush Data'!$A$1:$Z$20000,MATCH(N462,'Semrush Data'!$A$1:$A$20000,0),MATCH("Volume",'Semrush Data'!$A$1:$Z$1,0)),""))</f>
        <v/>
      </c>
      <c r="T462" s="22" t="str">
        <f aca="false">IF(O462="","",IFERROR(INDEX('Semrush Data'!$A$1:$Z$20000,MATCH(O462,'Semrush Data'!$A$1:$A$20000,0),MATCH("Volume",'Semrush Data'!$A$1:$Z$1,0)),""))</f>
        <v/>
      </c>
      <c r="U462" s="22" t="n">
        <f aca="false">IF(P462="","",IFERROR(INDEX('Semrush Data'!$A$1:$Z$20000,MATCH(P462,'Semrush Data'!$A$1:$A$20000,0),MATCH("Volume",'Semrush Data'!$A$1:$Z$1,0)),""))</f>
        <v>20</v>
      </c>
      <c r="V462" s="23" t="str">
        <f aca="false">IF(COUNT(Q462:U462)=0,L462,IF(MAX(Q462:U462)=0,L462,INDEX(L462:P462,MATCH(MAX(Q462:U462),Q462:U462,0))))</f>
        <v>nina ricci l'air du temps</v>
      </c>
      <c r="W462" s="22" t="n">
        <f aca="false">IFERROR(INDEX('Semrush Data'!$A$1:$Z$20000,MATCH(V462,'Semrush Data'!$A$1:$A$20000,0),MATCH("Volume",'Semrush Data'!$A$1:$Z$1,0)),"")</f>
        <v>1300</v>
      </c>
      <c r="X462" s="22" t="n">
        <f aca="false">IFERROR(INDEX('Semrush Data'!$A$1:$Z$20000,MATCH(V462,'Semrush Data'!$A$1:$A$20000,0),MATCH("Keyword Difficulty*",'Semrush Data'!$A$1:$Z$1,0)),"")</f>
        <v>13</v>
      </c>
      <c r="Y462" s="24" t="n">
        <f aca="false">IFERROR(INDEX('Semrush Data'!$A$1:$Z$20000,MATCH(V462,'Semrush Data'!$A$1:$A$20000,0),MATCH("CPC*",'Semrush Data'!$A$1:$Z$1,0)),"")</f>
        <v>0.33</v>
      </c>
      <c r="Z462" s="21" t="s">
        <v>5496</v>
      </c>
      <c r="AA462" s="21" t="s">
        <v>5517</v>
      </c>
      <c r="AB462" s="21" t="s">
        <v>5518</v>
      </c>
      <c r="AC462" s="21" t="s">
        <v>5519</v>
      </c>
      <c r="AD462" s="25" t="n">
        <f aca="false">LEN(AC462)</f>
        <v>55</v>
      </c>
      <c r="AE462" s="21" t="s">
        <v>5520</v>
      </c>
      <c r="AF462" s="25" t="n">
        <f aca="false">LEN(AE462)</f>
        <v>159</v>
      </c>
    </row>
    <row r="463" customFormat="false" ht="15" hidden="false" customHeight="true" outlineLevel="0" collapsed="false">
      <c r="A463" s="21" t="s">
        <v>5521</v>
      </c>
      <c r="B463" s="21" t="s">
        <v>2390</v>
      </c>
      <c r="C463" s="21" t="n">
        <v>303</v>
      </c>
      <c r="D463" s="21" t="s">
        <v>5489</v>
      </c>
      <c r="E463" s="21"/>
      <c r="F463" s="21" t="s">
        <v>2393</v>
      </c>
      <c r="G463" s="21" t="s">
        <v>2759</v>
      </c>
      <c r="H463" s="21" t="s">
        <v>2395</v>
      </c>
      <c r="I463" s="21" t="s">
        <v>83</v>
      </c>
      <c r="J463" s="21" t="s">
        <v>1935</v>
      </c>
      <c r="K463" s="21" t="n">
        <v>28.99</v>
      </c>
      <c r="L463" s="21" t="s">
        <v>5512</v>
      </c>
      <c r="M463" s="21" t="s">
        <v>5513</v>
      </c>
      <c r="N463" s="21" t="s">
        <v>5514</v>
      </c>
      <c r="O463" s="21" t="s">
        <v>5515</v>
      </c>
      <c r="P463" s="21" t="s">
        <v>5516</v>
      </c>
      <c r="Q463" s="22" t="n">
        <f aca="false">IF(L463="","",IFERROR(INDEX('Semrush Data'!$A$1:$Z$20000,MATCH(L463,'Semrush Data'!$A$1:$A$20000,0),MATCH("Volume",'Semrush Data'!$A$1:$Z$1,0)),""))</f>
        <v>1300</v>
      </c>
      <c r="R463" s="22" t="n">
        <f aca="false">IF(M463="","",IFERROR(INDEX('Semrush Data'!$A$1:$Z$20000,MATCH(M463,'Semrush Data'!$A$1:$A$20000,0),MATCH("Volume",'Semrush Data'!$A$1:$Z$1,0)),""))</f>
        <v>0</v>
      </c>
      <c r="S463" s="22" t="str">
        <f aca="false">IF(N463="","",IFERROR(INDEX('Semrush Data'!$A$1:$Z$20000,MATCH(N463,'Semrush Data'!$A$1:$A$20000,0),MATCH("Volume",'Semrush Data'!$A$1:$Z$1,0)),""))</f>
        <v/>
      </c>
      <c r="T463" s="22" t="str">
        <f aca="false">IF(O463="","",IFERROR(INDEX('Semrush Data'!$A$1:$Z$20000,MATCH(O463,'Semrush Data'!$A$1:$A$20000,0),MATCH("Volume",'Semrush Data'!$A$1:$Z$1,0)),""))</f>
        <v/>
      </c>
      <c r="U463" s="22" t="n">
        <f aca="false">IF(P463="","",IFERROR(INDEX('Semrush Data'!$A$1:$Z$20000,MATCH(P463,'Semrush Data'!$A$1:$A$20000,0),MATCH("Volume",'Semrush Data'!$A$1:$Z$1,0)),""))</f>
        <v>20</v>
      </c>
      <c r="V463" s="23" t="str">
        <f aca="false">IF(COUNT(Q463:U463)=0,L463,IF(MAX(Q463:U463)=0,L463,INDEX(L463:P463,MATCH(MAX(Q463:U463),Q463:U463,0))))</f>
        <v>nina ricci l'air du temps</v>
      </c>
      <c r="W463" s="22" t="n">
        <f aca="false">IFERROR(INDEX('Semrush Data'!$A$1:$Z$20000,MATCH(V463,'Semrush Data'!$A$1:$A$20000,0),MATCH("Volume",'Semrush Data'!$A$1:$Z$1,0)),"")</f>
        <v>1300</v>
      </c>
      <c r="X463" s="22" t="n">
        <f aca="false">IFERROR(INDEX('Semrush Data'!$A$1:$Z$20000,MATCH(V463,'Semrush Data'!$A$1:$A$20000,0),MATCH("Keyword Difficulty*",'Semrush Data'!$A$1:$Z$1,0)),"")</f>
        <v>13</v>
      </c>
      <c r="Y463" s="24" t="n">
        <f aca="false">IFERROR(INDEX('Semrush Data'!$A$1:$Z$20000,MATCH(V463,'Semrush Data'!$A$1:$A$20000,0),MATCH("CPC*",'Semrush Data'!$A$1:$Z$1,0)),"")</f>
        <v>0.33</v>
      </c>
      <c r="Z463" s="21" t="s">
        <v>5496</v>
      </c>
      <c r="AA463" s="21" t="s">
        <v>5517</v>
      </c>
      <c r="AB463" s="21" t="s">
        <v>5518</v>
      </c>
      <c r="AC463" s="21" t="s">
        <v>5519</v>
      </c>
      <c r="AD463" s="25" t="n">
        <f aca="false">LEN(AC463)</f>
        <v>55</v>
      </c>
      <c r="AE463" s="21" t="s">
        <v>5520</v>
      </c>
      <c r="AF463" s="25" t="n">
        <f aca="false">LEN(AE463)</f>
        <v>159</v>
      </c>
    </row>
    <row r="464" customFormat="false" ht="15" hidden="false" customHeight="true" outlineLevel="0" collapsed="false">
      <c r="A464" s="21" t="s">
        <v>70</v>
      </c>
      <c r="B464" s="21" t="s">
        <v>2390</v>
      </c>
      <c r="C464" s="21" t="n">
        <v>304</v>
      </c>
      <c r="D464" s="21" t="s">
        <v>5522</v>
      </c>
      <c r="E464" s="21"/>
      <c r="F464" s="21" t="s">
        <v>2393</v>
      </c>
      <c r="G464" s="21" t="s">
        <v>2759</v>
      </c>
      <c r="H464" s="21" t="s">
        <v>2395</v>
      </c>
      <c r="I464" s="21" t="s">
        <v>71</v>
      </c>
      <c r="J464" s="21" t="s">
        <v>1935</v>
      </c>
      <c r="K464" s="21" t="n">
        <v>37.99</v>
      </c>
      <c r="L464" s="21" t="s">
        <v>5523</v>
      </c>
      <c r="M464" s="21" t="s">
        <v>5524</v>
      </c>
      <c r="N464" s="21" t="s">
        <v>5525</v>
      </c>
      <c r="O464" s="21" t="s">
        <v>5526</v>
      </c>
      <c r="P464" s="21" t="s">
        <v>5527</v>
      </c>
      <c r="Q464" s="22" t="n">
        <f aca="false">IF(L464="","",IFERROR(INDEX('Semrush Data'!$A$1:$Z$20000,MATCH(L464,'Semrush Data'!$A$1:$A$20000,0),MATCH("Volume",'Semrush Data'!$A$1:$Z$1,0)),""))</f>
        <v>2900</v>
      </c>
      <c r="R464" s="22" t="n">
        <f aca="false">IF(M464="","",IFERROR(INDEX('Semrush Data'!$A$1:$Z$20000,MATCH(M464,'Semrush Data'!$A$1:$A$20000,0),MATCH("Volume",'Semrush Data'!$A$1:$Z$1,0)),""))</f>
        <v>0</v>
      </c>
      <c r="S464" s="22" t="str">
        <f aca="false">IF(N464="","",IFERROR(INDEX('Semrush Data'!$A$1:$Z$20000,MATCH(N464,'Semrush Data'!$A$1:$A$20000,0),MATCH("Volume",'Semrush Data'!$A$1:$Z$1,0)),""))</f>
        <v/>
      </c>
      <c r="T464" s="22" t="str">
        <f aca="false">IF(O464="","",IFERROR(INDEX('Semrush Data'!$A$1:$Z$20000,MATCH(O464,'Semrush Data'!$A$1:$A$20000,0),MATCH("Volume",'Semrush Data'!$A$1:$Z$1,0)),""))</f>
        <v/>
      </c>
      <c r="U464" s="22" t="n">
        <f aca="false">IF(P464="","",IFERROR(INDEX('Semrush Data'!$A$1:$Z$20000,MATCH(P464,'Semrush Data'!$A$1:$A$20000,0),MATCH("Volume",'Semrush Data'!$A$1:$Z$1,0)),""))</f>
        <v>20</v>
      </c>
      <c r="V464" s="23" t="str">
        <f aca="false">IF(COUNT(Q464:U464)=0,L464,IF(MAX(Q464:U464)=0,L464,INDEX(L464:P464,MATCH(MAX(Q464:U464),Q464:U464,0))))</f>
        <v>paloma picasso</v>
      </c>
      <c r="W464" s="22" t="n">
        <f aca="false">IFERROR(INDEX('Semrush Data'!$A$1:$Z$20000,MATCH(V464,'Semrush Data'!$A$1:$A$20000,0),MATCH("Volume",'Semrush Data'!$A$1:$Z$1,0)),"")</f>
        <v>2900</v>
      </c>
      <c r="X464" s="22" t="n">
        <f aca="false">IFERROR(INDEX('Semrush Data'!$A$1:$Z$20000,MATCH(V464,'Semrush Data'!$A$1:$A$20000,0),MATCH("Keyword Difficulty*",'Semrush Data'!$A$1:$Z$1,0)),"")</f>
        <v>30</v>
      </c>
      <c r="Y464" s="24" t="n">
        <f aca="false">IFERROR(INDEX('Semrush Data'!$A$1:$Z$20000,MATCH(V464,'Semrush Data'!$A$1:$A$20000,0),MATCH("CPC*",'Semrush Data'!$A$1:$Z$1,0)),"")</f>
        <v>0.35</v>
      </c>
      <c r="Z464" s="21" t="s">
        <v>5528</v>
      </c>
      <c r="AA464" s="21" t="s">
        <v>5529</v>
      </c>
      <c r="AB464" s="21" t="s">
        <v>5530</v>
      </c>
      <c r="AC464" s="21" t="s">
        <v>5531</v>
      </c>
      <c r="AD464" s="25" t="n">
        <f aca="false">LEN(AC464)</f>
        <v>57</v>
      </c>
      <c r="AE464" s="21" t="s">
        <v>5532</v>
      </c>
      <c r="AF464" s="25" t="n">
        <f aca="false">LEN(AE464)</f>
        <v>154</v>
      </c>
    </row>
    <row r="465" customFormat="false" ht="15" hidden="false" customHeight="true" outlineLevel="0" collapsed="false">
      <c r="A465" s="21" t="s">
        <v>5533</v>
      </c>
      <c r="B465" s="21" t="s">
        <v>2390</v>
      </c>
      <c r="C465" s="21" t="n">
        <v>305</v>
      </c>
      <c r="D465" s="21" t="s">
        <v>5534</v>
      </c>
      <c r="E465" s="21" t="s">
        <v>5535</v>
      </c>
      <c r="F465" s="21" t="s">
        <v>2393</v>
      </c>
      <c r="G465" s="21" t="s">
        <v>346</v>
      </c>
      <c r="H465" s="21" t="s">
        <v>2549</v>
      </c>
      <c r="I465" s="21" t="s">
        <v>5536</v>
      </c>
      <c r="J465" s="21" t="s">
        <v>5537</v>
      </c>
      <c r="K465" s="21" t="n">
        <v>16.99</v>
      </c>
      <c r="L465" s="21" t="s">
        <v>5538</v>
      </c>
      <c r="M465" s="21" t="s">
        <v>5539</v>
      </c>
      <c r="N465" s="21" t="s">
        <v>5540</v>
      </c>
      <c r="O465" s="21" t="s">
        <v>5541</v>
      </c>
      <c r="P465" s="21"/>
      <c r="Q465" s="22" t="n">
        <f aca="false">IF(L465="","",IFERROR(INDEX('Semrush Data'!$A$1:$Z$20000,MATCH(L465,'Semrush Data'!$A$1:$A$20000,0),MATCH("Volume",'Semrush Data'!$A$1:$Z$1,0)),""))</f>
        <v>0</v>
      </c>
      <c r="R465" s="22" t="str">
        <f aca="false">IF(M465="","",IFERROR(INDEX('Semrush Data'!$A$1:$Z$20000,MATCH(M465,'Semrush Data'!$A$1:$A$20000,0),MATCH("Volume",'Semrush Data'!$A$1:$Z$1,0)),""))</f>
        <v/>
      </c>
      <c r="S465" s="22" t="str">
        <f aca="false">IF(N465="","",IFERROR(INDEX('Semrush Data'!$A$1:$Z$20000,MATCH(N465,'Semrush Data'!$A$1:$A$20000,0),MATCH("Volume",'Semrush Data'!$A$1:$Z$1,0)),""))</f>
        <v/>
      </c>
      <c r="T465" s="22" t="str">
        <f aca="false">IF(O465="","",IFERROR(INDEX('Semrush Data'!$A$1:$Z$20000,MATCH(O465,'Semrush Data'!$A$1:$A$20000,0),MATCH("Volume",'Semrush Data'!$A$1:$Z$1,0)),""))</f>
        <v/>
      </c>
      <c r="U465" s="22" t="str">
        <f aca="false">IF(P465="","",IFERROR(INDEX('Semrush Data'!$A$1:$Z$20000,MATCH(P465,'Semrush Data'!$A$1:$A$20000,0),MATCH("Volume",'Semrush Data'!$A$1:$Z$1,0)),""))</f>
        <v/>
      </c>
      <c r="V465" s="23" t="str">
        <f aca="false">IF(COUNT(Q465:U465)=0,L465,IF(MAX(Q465:U465)=0,L465,INDEX(L465:P465,MATCH(MAX(Q465:U465),Q465:U465,0))))</f>
        <v>philipp plein no limits deodorant stick</v>
      </c>
      <c r="W465" s="22" t="n">
        <f aca="false">IFERROR(INDEX('Semrush Data'!$A$1:$Z$20000,MATCH(V465,'Semrush Data'!$A$1:$A$20000,0),MATCH("Volume",'Semrush Data'!$A$1:$Z$1,0)),"")</f>
        <v>0</v>
      </c>
      <c r="X465" s="22" t="n">
        <f aca="false">IFERROR(INDEX('Semrush Data'!$A$1:$Z$20000,MATCH(V465,'Semrush Data'!$A$1:$A$20000,0),MATCH("Keyword Difficulty*",'Semrush Data'!$A$1:$Z$1,0)),"")</f>
        <v>22</v>
      </c>
      <c r="Y465" s="24" t="n">
        <f aca="false">IFERROR(INDEX('Semrush Data'!$A$1:$Z$20000,MATCH(V465,'Semrush Data'!$A$1:$A$20000,0),MATCH("CPC*",'Semrush Data'!$A$1:$Z$1,0)),"")</f>
        <v>0</v>
      </c>
      <c r="Z465" s="21" t="s">
        <v>5542</v>
      </c>
      <c r="AA465" s="21"/>
      <c r="AB465" s="21" t="s">
        <v>5543</v>
      </c>
      <c r="AC465" s="21" t="s">
        <v>5544</v>
      </c>
      <c r="AD465" s="25" t="n">
        <f aca="false">LEN(AC465)</f>
        <v>53</v>
      </c>
      <c r="AE465" s="21" t="s">
        <v>5545</v>
      </c>
      <c r="AF465" s="25" t="n">
        <f aca="false">LEN(AE465)</f>
        <v>152</v>
      </c>
    </row>
    <row r="466" customFormat="false" ht="15" hidden="false" customHeight="true" outlineLevel="0" collapsed="false">
      <c r="A466" s="21" t="s">
        <v>5546</v>
      </c>
      <c r="B466" s="21" t="s">
        <v>2390</v>
      </c>
      <c r="C466" s="21" t="n">
        <v>306</v>
      </c>
      <c r="D466" s="21" t="s">
        <v>5534</v>
      </c>
      <c r="E466" s="21" t="s">
        <v>5535</v>
      </c>
      <c r="F466" s="21" t="s">
        <v>2393</v>
      </c>
      <c r="G466" s="21" t="s">
        <v>2759</v>
      </c>
      <c r="H466" s="21" t="s">
        <v>2549</v>
      </c>
      <c r="I466" s="21" t="s">
        <v>5547</v>
      </c>
      <c r="J466" s="21" t="s">
        <v>1409</v>
      </c>
      <c r="K466" s="21" t="n">
        <v>25.99</v>
      </c>
      <c r="L466" s="21" t="s">
        <v>5548</v>
      </c>
      <c r="M466" s="21" t="s">
        <v>5549</v>
      </c>
      <c r="N466" s="21" t="s">
        <v>5550</v>
      </c>
      <c r="O466" s="21" t="s">
        <v>5551</v>
      </c>
      <c r="P466" s="21" t="s">
        <v>5552</v>
      </c>
      <c r="Q466" s="22" t="n">
        <f aca="false">IF(L466="","",IFERROR(INDEX('Semrush Data'!$A$1:$Z$20000,MATCH(L466,'Semrush Data'!$A$1:$A$20000,0),MATCH("Volume",'Semrush Data'!$A$1:$Z$1,0)),""))</f>
        <v>20</v>
      </c>
      <c r="R466" s="22" t="str">
        <f aca="false">IF(M466="","",IFERROR(INDEX('Semrush Data'!$A$1:$Z$20000,MATCH(M466,'Semrush Data'!$A$1:$A$20000,0),MATCH("Volume",'Semrush Data'!$A$1:$Z$1,0)),""))</f>
        <v/>
      </c>
      <c r="S466" s="22" t="str">
        <f aca="false">IF(N466="","",IFERROR(INDEX('Semrush Data'!$A$1:$Z$20000,MATCH(N466,'Semrush Data'!$A$1:$A$20000,0),MATCH("Volume",'Semrush Data'!$A$1:$Z$1,0)),""))</f>
        <v/>
      </c>
      <c r="T466" s="22" t="str">
        <f aca="false">IF(O466="","",IFERROR(INDEX('Semrush Data'!$A$1:$Z$20000,MATCH(O466,'Semrush Data'!$A$1:$A$20000,0),MATCH("Volume",'Semrush Data'!$A$1:$Z$1,0)),""))</f>
        <v/>
      </c>
      <c r="U466" s="22" t="str">
        <f aca="false">IF(P466="","",IFERROR(INDEX('Semrush Data'!$A$1:$Z$20000,MATCH(P466,'Semrush Data'!$A$1:$A$20000,0),MATCH("Volume",'Semrush Data'!$A$1:$Z$1,0)),""))</f>
        <v/>
      </c>
      <c r="V466" s="23" t="str">
        <f aca="false">IF(COUNT(Q466:U466)=0,L466,IF(MAX(Q466:U466)=0,L466,INDEX(L466:P466,MATCH(MAX(Q466:U466),Q466:U466,0))))</f>
        <v>philipp plein no limits super fresh</v>
      </c>
      <c r="W466" s="22" t="n">
        <f aca="false">IFERROR(INDEX('Semrush Data'!$A$1:$Z$20000,MATCH(V466,'Semrush Data'!$A$1:$A$20000,0),MATCH("Volume",'Semrush Data'!$A$1:$Z$1,0)),"")</f>
        <v>20</v>
      </c>
      <c r="X466" s="22" t="n">
        <f aca="false">IFERROR(INDEX('Semrush Data'!$A$1:$Z$20000,MATCH(V466,'Semrush Data'!$A$1:$A$20000,0),MATCH("Keyword Difficulty*",'Semrush Data'!$A$1:$Z$1,0)),"")</f>
        <v>17</v>
      </c>
      <c r="Y466" s="24" t="n">
        <f aca="false">IFERROR(INDEX('Semrush Data'!$A$1:$Z$20000,MATCH(V466,'Semrush Data'!$A$1:$A$20000,0),MATCH("CPC*",'Semrush Data'!$A$1:$Z$1,0)),"")</f>
        <v>0</v>
      </c>
      <c r="Z466" s="21" t="s">
        <v>5542</v>
      </c>
      <c r="AA466" s="21"/>
      <c r="AB466" s="21" t="s">
        <v>5553</v>
      </c>
      <c r="AC466" s="21" t="s">
        <v>5554</v>
      </c>
      <c r="AD466" s="25" t="n">
        <f aca="false">LEN(AC466)</f>
        <v>58</v>
      </c>
      <c r="AE466" s="21" t="s">
        <v>5555</v>
      </c>
      <c r="AF466" s="25" t="n">
        <f aca="false">LEN(AE466)</f>
        <v>159</v>
      </c>
    </row>
    <row r="467" customFormat="false" ht="15" hidden="false" customHeight="true" outlineLevel="0" collapsed="false">
      <c r="A467" s="21" t="s">
        <v>5556</v>
      </c>
      <c r="B467" s="21" t="s">
        <v>2390</v>
      </c>
      <c r="C467" s="21" t="n">
        <v>307</v>
      </c>
      <c r="D467" s="21" t="s">
        <v>5534</v>
      </c>
      <c r="E467" s="21" t="s">
        <v>5535</v>
      </c>
      <c r="F467" s="21" t="s">
        <v>2393</v>
      </c>
      <c r="G467" s="21" t="s">
        <v>5557</v>
      </c>
      <c r="H467" s="21" t="s">
        <v>2549</v>
      </c>
      <c r="I467" s="21" t="s">
        <v>5558</v>
      </c>
      <c r="J467" s="21" t="s">
        <v>2875</v>
      </c>
      <c r="K467" s="21" t="n">
        <v>23.99</v>
      </c>
      <c r="L467" s="21" t="s">
        <v>5559</v>
      </c>
      <c r="M467" s="21" t="s">
        <v>5560</v>
      </c>
      <c r="N467" s="21" t="s">
        <v>5561</v>
      </c>
      <c r="O467" s="21" t="s">
        <v>5562</v>
      </c>
      <c r="P467" s="21"/>
      <c r="Q467" s="22" t="n">
        <f aca="false">IF(L467="","",IFERROR(INDEX('Semrush Data'!$A$1:$Z$20000,MATCH(L467,'Semrush Data'!$A$1:$A$20000,0),MATCH("Volume",'Semrush Data'!$A$1:$Z$1,0)),""))</f>
        <v>0</v>
      </c>
      <c r="R467" s="22" t="str">
        <f aca="false">IF(M467="","",IFERROR(INDEX('Semrush Data'!$A$1:$Z$20000,MATCH(M467,'Semrush Data'!$A$1:$A$20000,0),MATCH("Volume",'Semrush Data'!$A$1:$Z$1,0)),""))</f>
        <v/>
      </c>
      <c r="S467" s="22" t="str">
        <f aca="false">IF(N467="","",IFERROR(INDEX('Semrush Data'!$A$1:$Z$20000,MATCH(N467,'Semrush Data'!$A$1:$A$20000,0),MATCH("Volume",'Semrush Data'!$A$1:$Z$1,0)),""))</f>
        <v/>
      </c>
      <c r="T467" s="22" t="str">
        <f aca="false">IF(O467="","",IFERROR(INDEX('Semrush Data'!$A$1:$Z$20000,MATCH(O467,'Semrush Data'!$A$1:$A$20000,0),MATCH("Volume",'Semrush Data'!$A$1:$Z$1,0)),""))</f>
        <v/>
      </c>
      <c r="U467" s="22" t="str">
        <f aca="false">IF(P467="","",IFERROR(INDEX('Semrush Data'!$A$1:$Z$20000,MATCH(P467,'Semrush Data'!$A$1:$A$20000,0),MATCH("Volume",'Semrush Data'!$A$1:$Z$1,0)),""))</f>
        <v/>
      </c>
      <c r="V467" s="23" t="str">
        <f aca="false">IF(COUNT(Q467:U467)=0,L467,IF(MAX(Q467:U467)=0,L467,INDEX(L467:P467,MATCH(MAX(Q467:U467),Q467:U467,0))))</f>
        <v>philipp plein no limits after shave balm</v>
      </c>
      <c r="W467" s="22" t="n">
        <f aca="false">IFERROR(INDEX('Semrush Data'!$A$1:$Z$20000,MATCH(V467,'Semrush Data'!$A$1:$A$20000,0),MATCH("Volume",'Semrush Data'!$A$1:$Z$1,0)),"")</f>
        <v>0</v>
      </c>
      <c r="X467" s="22" t="n">
        <f aca="false">IFERROR(INDEX('Semrush Data'!$A$1:$Z$20000,MATCH(V467,'Semrush Data'!$A$1:$A$20000,0),MATCH("Keyword Difficulty*",'Semrush Data'!$A$1:$Z$1,0)),"")</f>
        <v>13</v>
      </c>
      <c r="Y467" s="24" t="n">
        <f aca="false">IFERROR(INDEX('Semrush Data'!$A$1:$Z$20000,MATCH(V467,'Semrush Data'!$A$1:$A$20000,0),MATCH("CPC*",'Semrush Data'!$A$1:$Z$1,0)),"")</f>
        <v>0</v>
      </c>
      <c r="Z467" s="21" t="s">
        <v>5542</v>
      </c>
      <c r="AA467" s="21"/>
      <c r="AB467" s="21" t="s">
        <v>5563</v>
      </c>
      <c r="AC467" s="21" t="s">
        <v>5564</v>
      </c>
      <c r="AD467" s="25" t="n">
        <f aca="false">LEN(AC467)</f>
        <v>54</v>
      </c>
      <c r="AE467" s="21" t="s">
        <v>5565</v>
      </c>
      <c r="AF467" s="25" t="n">
        <f aca="false">LEN(AE467)</f>
        <v>155</v>
      </c>
    </row>
    <row r="468" customFormat="false" ht="15" hidden="false" customHeight="true" outlineLevel="0" collapsed="false">
      <c r="A468" s="21" t="s">
        <v>5566</v>
      </c>
      <c r="B468" s="21" t="s">
        <v>2390</v>
      </c>
      <c r="C468" s="21" t="n">
        <v>308</v>
      </c>
      <c r="D468" s="21" t="s">
        <v>5567</v>
      </c>
      <c r="E468" s="21"/>
      <c r="F468" s="21" t="s">
        <v>2393</v>
      </c>
      <c r="G468" s="21" t="s">
        <v>2394</v>
      </c>
      <c r="H468" s="21" t="s">
        <v>3862</v>
      </c>
      <c r="I468" s="21" t="s">
        <v>5568</v>
      </c>
      <c r="J468" s="21" t="s">
        <v>1935</v>
      </c>
      <c r="K468" s="21" t="n">
        <v>17.99</v>
      </c>
      <c r="L468" s="21" t="s">
        <v>5569</v>
      </c>
      <c r="M468" s="21" t="s">
        <v>5570</v>
      </c>
      <c r="N468" s="21" t="s">
        <v>5571</v>
      </c>
      <c r="O468" s="21" t="s">
        <v>5572</v>
      </c>
      <c r="P468" s="21" t="s">
        <v>5573</v>
      </c>
      <c r="Q468" s="22" t="n">
        <f aca="false">IF(L468="","",IFERROR(INDEX('Semrush Data'!$A$1:$Z$20000,MATCH(L468,'Semrush Data'!$A$1:$A$20000,0),MATCH("Volume",'Semrush Data'!$A$1:$Z$1,0)),""))</f>
        <v>0</v>
      </c>
      <c r="R468" s="22" t="str">
        <f aca="false">IF(M468="","",IFERROR(INDEX('Semrush Data'!$A$1:$Z$20000,MATCH(M468,'Semrush Data'!$A$1:$A$20000,0),MATCH("Volume",'Semrush Data'!$A$1:$Z$1,0)),""))</f>
        <v/>
      </c>
      <c r="S468" s="22" t="str">
        <f aca="false">IF(N468="","",IFERROR(INDEX('Semrush Data'!$A$1:$Z$20000,MATCH(N468,'Semrush Data'!$A$1:$A$20000,0),MATCH("Volume",'Semrush Data'!$A$1:$Z$1,0)),""))</f>
        <v/>
      </c>
      <c r="T468" s="22" t="str">
        <f aca="false">IF(O468="","",IFERROR(INDEX('Semrush Data'!$A$1:$Z$20000,MATCH(O468,'Semrush Data'!$A$1:$A$20000,0),MATCH("Volume",'Semrush Data'!$A$1:$Z$1,0)),""))</f>
        <v/>
      </c>
      <c r="U468" s="22" t="str">
        <f aca="false">IF(P468="","",IFERROR(INDEX('Semrush Data'!$A$1:$Z$20000,MATCH(P468,'Semrush Data'!$A$1:$A$20000,0),MATCH("Volume",'Semrush Data'!$A$1:$Z$1,0)),""))</f>
        <v/>
      </c>
      <c r="V468" s="23" t="str">
        <f aca="false">IF(COUNT(Q468:U468)=0,L468,IF(MAX(Q468:U468)=0,L468,INDEX(L468:P468,MATCH(MAX(Q468:U468),Q468:U468,0))))</f>
        <v>rihanah ajwaa oud</v>
      </c>
      <c r="W468" s="22" t="n">
        <f aca="false">IFERROR(INDEX('Semrush Data'!$A$1:$Z$20000,MATCH(V468,'Semrush Data'!$A$1:$A$20000,0),MATCH("Volume",'Semrush Data'!$A$1:$Z$1,0)),"")</f>
        <v>0</v>
      </c>
      <c r="X468" s="22" t="n">
        <f aca="false">IFERROR(INDEX('Semrush Data'!$A$1:$Z$20000,MATCH(V468,'Semrush Data'!$A$1:$A$20000,0),MATCH("Keyword Difficulty*",'Semrush Data'!$A$1:$Z$1,0)),"")</f>
        <v>16</v>
      </c>
      <c r="Y468" s="24" t="n">
        <f aca="false">IFERROR(INDEX('Semrush Data'!$A$1:$Z$20000,MATCH(V468,'Semrush Data'!$A$1:$A$20000,0),MATCH("CPC*",'Semrush Data'!$A$1:$Z$1,0)),"")</f>
        <v>0</v>
      </c>
      <c r="Z468" s="21" t="s">
        <v>5574</v>
      </c>
      <c r="AA468" s="21"/>
      <c r="AB468" s="21" t="s">
        <v>5575</v>
      </c>
      <c r="AC468" s="21" t="s">
        <v>5576</v>
      </c>
      <c r="AD468" s="25" t="n">
        <f aca="false">LEN(AC468)</f>
        <v>60</v>
      </c>
      <c r="AE468" s="21" t="s">
        <v>5577</v>
      </c>
      <c r="AF468" s="25" t="n">
        <f aca="false">LEN(AE468)</f>
        <v>159</v>
      </c>
    </row>
    <row r="469" customFormat="false" ht="15" hidden="false" customHeight="true" outlineLevel="0" collapsed="false">
      <c r="A469" s="21" t="s">
        <v>5578</v>
      </c>
      <c r="B469" s="21" t="s">
        <v>2390</v>
      </c>
      <c r="C469" s="21" t="n">
        <v>309</v>
      </c>
      <c r="D469" s="21" t="s">
        <v>5579</v>
      </c>
      <c r="E469" s="21"/>
      <c r="F469" s="21" t="s">
        <v>2393</v>
      </c>
      <c r="G469" s="21" t="s">
        <v>2394</v>
      </c>
      <c r="H469" s="21" t="s">
        <v>2524</v>
      </c>
      <c r="I469" s="21" t="s">
        <v>5580</v>
      </c>
      <c r="J469" s="21" t="s">
        <v>1935</v>
      </c>
      <c r="K469" s="21" t="n">
        <v>43.99</v>
      </c>
      <c r="L469" s="21" t="s">
        <v>5581</v>
      </c>
      <c r="M469" s="21" t="s">
        <v>5582</v>
      </c>
      <c r="N469" s="21" t="s">
        <v>5583</v>
      </c>
      <c r="O469" s="21" t="s">
        <v>5584</v>
      </c>
      <c r="P469" s="21" t="s">
        <v>5585</v>
      </c>
      <c r="Q469" s="22" t="n">
        <f aca="false">IF(L469="","",IFERROR(INDEX('Semrush Data'!$A$1:$Z$20000,MATCH(L469,'Semrush Data'!$A$1:$A$20000,0),MATCH("Volume",'Semrush Data'!$A$1:$Z$1,0)),""))</f>
        <v>0</v>
      </c>
      <c r="R469" s="22" t="str">
        <f aca="false">IF(M469="","",IFERROR(INDEX('Semrush Data'!$A$1:$Z$20000,MATCH(M469,'Semrush Data'!$A$1:$A$20000,0),MATCH("Volume",'Semrush Data'!$A$1:$Z$1,0)),""))</f>
        <v/>
      </c>
      <c r="S469" s="22" t="str">
        <f aca="false">IF(N469="","",IFERROR(INDEX('Semrush Data'!$A$1:$Z$20000,MATCH(N469,'Semrush Data'!$A$1:$A$20000,0),MATCH("Volume",'Semrush Data'!$A$1:$Z$1,0)),""))</f>
        <v/>
      </c>
      <c r="T469" s="22" t="str">
        <f aca="false">IF(O469="","",IFERROR(INDEX('Semrush Data'!$A$1:$Z$20000,MATCH(O469,'Semrush Data'!$A$1:$A$20000,0),MATCH("Volume",'Semrush Data'!$A$1:$Z$1,0)),""))</f>
        <v/>
      </c>
      <c r="U469" s="22" t="str">
        <f aca="false">IF(P469="","",IFERROR(INDEX('Semrush Data'!$A$1:$Z$20000,MATCH(P469,'Semrush Data'!$A$1:$A$20000,0),MATCH("Volume",'Semrush Data'!$A$1:$Z$1,0)),""))</f>
        <v/>
      </c>
      <c r="V469" s="23" t="str">
        <f aca="false">IF(COUNT(Q469:U469)=0,L469,IF(MAX(Q469:U469)=0,L469,INDEX(L469:P469,MATCH(MAX(Q469:U469),Q469:U469,0))))</f>
        <v>s.t. dupont perfect tobacco</v>
      </c>
      <c r="W469" s="22" t="n">
        <f aca="false">IFERROR(INDEX('Semrush Data'!$A$1:$Z$20000,MATCH(V469,'Semrush Data'!$A$1:$A$20000,0),MATCH("Volume",'Semrush Data'!$A$1:$Z$1,0)),"")</f>
        <v>0</v>
      </c>
      <c r="X469" s="22" t="n">
        <f aca="false">IFERROR(INDEX('Semrush Data'!$A$1:$Z$20000,MATCH(V469,'Semrush Data'!$A$1:$A$20000,0),MATCH("Keyword Difficulty*",'Semrush Data'!$A$1:$Z$1,0)),"")</f>
        <v>15</v>
      </c>
      <c r="Y469" s="24" t="n">
        <f aca="false">IFERROR(INDEX('Semrush Data'!$A$1:$Z$20000,MATCH(V469,'Semrush Data'!$A$1:$A$20000,0),MATCH("CPC*",'Semrush Data'!$A$1:$Z$1,0)),"")</f>
        <v>0</v>
      </c>
      <c r="Z469" s="21" t="s">
        <v>5586</v>
      </c>
      <c r="AA469" s="21"/>
      <c r="AB469" s="21" t="s">
        <v>5587</v>
      </c>
      <c r="AC469" s="21" t="s">
        <v>5588</v>
      </c>
      <c r="AD469" s="25" t="n">
        <f aca="false">LEN(AC469)</f>
        <v>55</v>
      </c>
      <c r="AE469" s="21" t="s">
        <v>5589</v>
      </c>
      <c r="AF469" s="25" t="n">
        <f aca="false">LEN(AE469)</f>
        <v>155</v>
      </c>
    </row>
    <row r="470" customFormat="false" ht="15" hidden="false" customHeight="true" outlineLevel="0" collapsed="false">
      <c r="A470" s="21" t="s">
        <v>5590</v>
      </c>
      <c r="B470" s="21" t="s">
        <v>2390</v>
      </c>
      <c r="C470" s="21" t="n">
        <v>310</v>
      </c>
      <c r="D470" s="21" t="s">
        <v>5579</v>
      </c>
      <c r="E470" s="21"/>
      <c r="F470" s="21" t="s">
        <v>2393</v>
      </c>
      <c r="G470" s="21" t="s">
        <v>2394</v>
      </c>
      <c r="H470" s="21" t="s">
        <v>2395</v>
      </c>
      <c r="I470" s="21" t="s">
        <v>5591</v>
      </c>
      <c r="J470" s="21" t="s">
        <v>1935</v>
      </c>
      <c r="K470" s="21" t="n">
        <v>43.99</v>
      </c>
      <c r="L470" s="21" t="s">
        <v>5592</v>
      </c>
      <c r="M470" s="21" t="s">
        <v>5593</v>
      </c>
      <c r="N470" s="21" t="s">
        <v>5594</v>
      </c>
      <c r="O470" s="21" t="s">
        <v>5595</v>
      </c>
      <c r="P470" s="21" t="s">
        <v>5596</v>
      </c>
      <c r="Q470" s="22" t="n">
        <f aca="false">IF(L470="","",IFERROR(INDEX('Semrush Data'!$A$1:$Z$20000,MATCH(L470,'Semrush Data'!$A$1:$A$20000,0),MATCH("Volume",'Semrush Data'!$A$1:$Z$1,0)),""))</f>
        <v>0</v>
      </c>
      <c r="R470" s="22" t="str">
        <f aca="false">IF(M470="","",IFERROR(INDEX('Semrush Data'!$A$1:$Z$20000,MATCH(M470,'Semrush Data'!$A$1:$A$20000,0),MATCH("Volume",'Semrush Data'!$A$1:$Z$1,0)),""))</f>
        <v/>
      </c>
      <c r="S470" s="22" t="str">
        <f aca="false">IF(N470="","",IFERROR(INDEX('Semrush Data'!$A$1:$Z$20000,MATCH(N470,'Semrush Data'!$A$1:$A$20000,0),MATCH("Volume",'Semrush Data'!$A$1:$Z$1,0)),""))</f>
        <v/>
      </c>
      <c r="T470" s="22" t="str">
        <f aca="false">IF(O470="","",IFERROR(INDEX('Semrush Data'!$A$1:$Z$20000,MATCH(O470,'Semrush Data'!$A$1:$A$20000,0),MATCH("Volume",'Semrush Data'!$A$1:$Z$1,0)),""))</f>
        <v/>
      </c>
      <c r="U470" s="22" t="str">
        <f aca="false">IF(P470="","",IFERROR(INDEX('Semrush Data'!$A$1:$Z$20000,MATCH(P470,'Semrush Data'!$A$1:$A$20000,0),MATCH("Volume",'Semrush Data'!$A$1:$Z$1,0)),""))</f>
        <v/>
      </c>
      <c r="V470" s="23" t="str">
        <f aca="false">IF(COUNT(Q470:U470)=0,L470,IF(MAX(Q470:U470)=0,L470,INDEX(L470:P470,MATCH(MAX(Q470:U470),Q470:U470,0))))</f>
        <v>s.t. dupont pure bloom</v>
      </c>
      <c r="W470" s="22" t="n">
        <f aca="false">IFERROR(INDEX('Semrush Data'!$A$1:$Z$20000,MATCH(V470,'Semrush Data'!$A$1:$A$20000,0),MATCH("Volume",'Semrush Data'!$A$1:$Z$1,0)),"")</f>
        <v>0</v>
      </c>
      <c r="X470" s="22" t="n">
        <f aca="false">IFERROR(INDEX('Semrush Data'!$A$1:$Z$20000,MATCH(V470,'Semrush Data'!$A$1:$A$20000,0),MATCH("Keyword Difficulty*",'Semrush Data'!$A$1:$Z$1,0)),"")</f>
        <v>14</v>
      </c>
      <c r="Y470" s="24" t="n">
        <f aca="false">IFERROR(INDEX('Semrush Data'!$A$1:$Z$20000,MATCH(V470,'Semrush Data'!$A$1:$A$20000,0),MATCH("CPC*",'Semrush Data'!$A$1:$Z$1,0)),"")</f>
        <v>0</v>
      </c>
      <c r="Z470" s="21" t="s">
        <v>5597</v>
      </c>
      <c r="AA470" s="21"/>
      <c r="AB470" s="21" t="s">
        <v>5598</v>
      </c>
      <c r="AC470" s="21" t="s">
        <v>5599</v>
      </c>
      <c r="AD470" s="25" t="n">
        <f aca="false">LEN(AC470)</f>
        <v>59</v>
      </c>
      <c r="AE470" s="21" t="s">
        <v>5600</v>
      </c>
      <c r="AF470" s="25" t="n">
        <f aca="false">LEN(AE470)</f>
        <v>158</v>
      </c>
    </row>
    <row r="471" customFormat="false" ht="15" hidden="false" customHeight="true" outlineLevel="0" collapsed="false">
      <c r="A471" s="21" t="s">
        <v>5601</v>
      </c>
      <c r="B471" s="21" t="s">
        <v>2390</v>
      </c>
      <c r="C471" s="21" t="n">
        <v>311</v>
      </c>
      <c r="D471" s="21" t="s">
        <v>5579</v>
      </c>
      <c r="E471" s="21"/>
      <c r="F471" s="21" t="s">
        <v>2393</v>
      </c>
      <c r="G471" s="21" t="s">
        <v>2394</v>
      </c>
      <c r="H471" s="21" t="s">
        <v>2524</v>
      </c>
      <c r="I471" s="21" t="s">
        <v>5602</v>
      </c>
      <c r="J471" s="21" t="s">
        <v>1935</v>
      </c>
      <c r="K471" s="21" t="n">
        <v>43.99</v>
      </c>
      <c r="L471" s="21" t="s">
        <v>5603</v>
      </c>
      <c r="M471" s="21" t="s">
        <v>5604</v>
      </c>
      <c r="N471" s="21" t="s">
        <v>5605</v>
      </c>
      <c r="O471" s="21" t="s">
        <v>5606</v>
      </c>
      <c r="P471" s="21" t="s">
        <v>5607</v>
      </c>
      <c r="Q471" s="22" t="n">
        <f aca="false">IF(L471="","",IFERROR(INDEX('Semrush Data'!$A$1:$Z$20000,MATCH(L471,'Semrush Data'!$A$1:$A$20000,0),MATCH("Volume",'Semrush Data'!$A$1:$Z$1,0)),""))</f>
        <v>0</v>
      </c>
      <c r="R471" s="22" t="str">
        <f aca="false">IF(M471="","",IFERROR(INDEX('Semrush Data'!$A$1:$Z$20000,MATCH(M471,'Semrush Data'!$A$1:$A$20000,0),MATCH("Volume",'Semrush Data'!$A$1:$Z$1,0)),""))</f>
        <v/>
      </c>
      <c r="S471" s="22" t="str">
        <f aca="false">IF(N471="","",IFERROR(INDEX('Semrush Data'!$A$1:$Z$20000,MATCH(N471,'Semrush Data'!$A$1:$A$20000,0),MATCH("Volume",'Semrush Data'!$A$1:$Z$1,0)),""))</f>
        <v/>
      </c>
      <c r="T471" s="22" t="str">
        <f aca="false">IF(O471="","",IFERROR(INDEX('Semrush Data'!$A$1:$Z$20000,MATCH(O471,'Semrush Data'!$A$1:$A$20000,0),MATCH("Volume",'Semrush Data'!$A$1:$Z$1,0)),""))</f>
        <v/>
      </c>
      <c r="U471" s="22" t="str">
        <f aca="false">IF(P471="","",IFERROR(INDEX('Semrush Data'!$A$1:$Z$20000,MATCH(P471,'Semrush Data'!$A$1:$A$20000,0),MATCH("Volume",'Semrush Data'!$A$1:$Z$1,0)),""))</f>
        <v/>
      </c>
      <c r="V471" s="23" t="str">
        <f aca="false">IF(COUNT(Q471:U471)=0,L471,IF(MAX(Q471:U471)=0,L471,INDEX(L471:P471,MATCH(MAX(Q471:U471),Q471:U471,0))))</f>
        <v>s.t. dupont royal amber</v>
      </c>
      <c r="W471" s="22" t="n">
        <f aca="false">IFERROR(INDEX('Semrush Data'!$A$1:$Z$20000,MATCH(V471,'Semrush Data'!$A$1:$A$20000,0),MATCH("Volume",'Semrush Data'!$A$1:$Z$1,0)),"")</f>
        <v>0</v>
      </c>
      <c r="X471" s="22" t="n">
        <f aca="false">IFERROR(INDEX('Semrush Data'!$A$1:$Z$20000,MATCH(V471,'Semrush Data'!$A$1:$A$20000,0),MATCH("Keyword Difficulty*",'Semrush Data'!$A$1:$Z$1,0)),"")</f>
        <v>13</v>
      </c>
      <c r="Y471" s="24" t="n">
        <f aca="false">IFERROR(INDEX('Semrush Data'!$A$1:$Z$20000,MATCH(V471,'Semrush Data'!$A$1:$A$20000,0),MATCH("CPC*",'Semrush Data'!$A$1:$Z$1,0)),"")</f>
        <v>0</v>
      </c>
      <c r="Z471" s="21" t="s">
        <v>5586</v>
      </c>
      <c r="AA471" s="21"/>
      <c r="AB471" s="21" t="s">
        <v>5608</v>
      </c>
      <c r="AC471" s="21" t="s">
        <v>5609</v>
      </c>
      <c r="AD471" s="25" t="n">
        <f aca="false">LEN(AC471)</f>
        <v>60</v>
      </c>
      <c r="AE471" s="21" t="s">
        <v>5610</v>
      </c>
      <c r="AF471" s="25" t="n">
        <f aca="false">LEN(AE471)</f>
        <v>157</v>
      </c>
    </row>
    <row r="472" customFormat="false" ht="15" hidden="false" customHeight="true" outlineLevel="0" collapsed="false">
      <c r="A472" s="21" t="s">
        <v>5611</v>
      </c>
      <c r="B472" s="21" t="s">
        <v>2390</v>
      </c>
      <c r="C472" s="21" t="n">
        <v>312</v>
      </c>
      <c r="D472" s="21" t="s">
        <v>5612</v>
      </c>
      <c r="E472" s="21"/>
      <c r="F472" s="21" t="s">
        <v>2393</v>
      </c>
      <c r="G472" s="21" t="s">
        <v>2676</v>
      </c>
      <c r="H472" s="21" t="s">
        <v>2479</v>
      </c>
      <c r="I472" s="21" t="s">
        <v>5613</v>
      </c>
      <c r="J472" s="21" t="s">
        <v>1935</v>
      </c>
      <c r="K472" s="21" t="n">
        <v>37.95</v>
      </c>
      <c r="L472" s="21" t="s">
        <v>5614</v>
      </c>
      <c r="M472" s="21" t="s">
        <v>5615</v>
      </c>
      <c r="N472" s="21" t="s">
        <v>5616</v>
      </c>
      <c r="O472" s="21" t="s">
        <v>5617</v>
      </c>
      <c r="P472" s="21" t="s">
        <v>5618</v>
      </c>
      <c r="Q472" s="22" t="n">
        <f aca="false">IF(L472="","",IFERROR(INDEX('Semrush Data'!$A$1:$Z$20000,MATCH(L472,'Semrush Data'!$A$1:$A$20000,0),MATCH("Volume",'Semrush Data'!$A$1:$Z$1,0)),""))</f>
        <v>20</v>
      </c>
      <c r="R472" s="22" t="str">
        <f aca="false">IF(M472="","",IFERROR(INDEX('Semrush Data'!$A$1:$Z$20000,MATCH(M472,'Semrush Data'!$A$1:$A$20000,0),MATCH("Volume",'Semrush Data'!$A$1:$Z$1,0)),""))</f>
        <v/>
      </c>
      <c r="S472" s="22" t="str">
        <f aca="false">IF(N472="","",IFERROR(INDEX('Semrush Data'!$A$1:$Z$20000,MATCH(N472,'Semrush Data'!$A$1:$A$20000,0),MATCH("Volume",'Semrush Data'!$A$1:$Z$1,0)),""))</f>
        <v/>
      </c>
      <c r="T472" s="22" t="str">
        <f aca="false">IF(O472="","",IFERROR(INDEX('Semrush Data'!$A$1:$Z$20000,MATCH(O472,'Semrush Data'!$A$1:$A$20000,0),MATCH("Volume",'Semrush Data'!$A$1:$Z$1,0)),""))</f>
        <v/>
      </c>
      <c r="U472" s="22" t="str">
        <f aca="false">IF(P472="","",IFERROR(INDEX('Semrush Data'!$A$1:$Z$20000,MATCH(P472,'Semrush Data'!$A$1:$A$20000,0),MATCH("Volume",'Semrush Data'!$A$1:$Z$1,0)),""))</f>
        <v/>
      </c>
      <c r="V472" s="23" t="str">
        <f aca="false">IF(COUNT(Q472:U472)=0,L472,IF(MAX(Q472:U472)=0,L472,INDEX(L472:P472,MATCH(MAX(Q472:U472),Q472:U472,0))))</f>
        <v>sap le roi</v>
      </c>
      <c r="W472" s="22" t="n">
        <f aca="false">IFERROR(INDEX('Semrush Data'!$A$1:$Z$20000,MATCH(V472,'Semrush Data'!$A$1:$A$20000,0),MATCH("Volume",'Semrush Data'!$A$1:$Z$1,0)),"")</f>
        <v>20</v>
      </c>
      <c r="X472" s="22" t="n">
        <f aca="false">IFERROR(INDEX('Semrush Data'!$A$1:$Z$20000,MATCH(V472,'Semrush Data'!$A$1:$A$20000,0),MATCH("Keyword Difficulty*",'Semrush Data'!$A$1:$Z$1,0)),"")</f>
        <v>8</v>
      </c>
      <c r="Y472" s="24" t="n">
        <f aca="false">IFERROR(INDEX('Semrush Data'!$A$1:$Z$20000,MATCH(V472,'Semrush Data'!$A$1:$A$20000,0),MATCH("CPC*",'Semrush Data'!$A$1:$Z$1,0)),"")</f>
        <v>0</v>
      </c>
      <c r="Z472" s="21" t="s">
        <v>5619</v>
      </c>
      <c r="AA472" s="21" t="s">
        <v>5620</v>
      </c>
      <c r="AB472" s="21" t="s">
        <v>5621</v>
      </c>
      <c r="AC472" s="21" t="s">
        <v>5622</v>
      </c>
      <c r="AD472" s="25" t="n">
        <f aca="false">LEN(AC472)</f>
        <v>55</v>
      </c>
      <c r="AE472" s="21" t="s">
        <v>5623</v>
      </c>
      <c r="AF472" s="25" t="n">
        <f aca="false">LEN(AE472)</f>
        <v>153</v>
      </c>
    </row>
    <row r="473" customFormat="false" ht="15" hidden="false" customHeight="true" outlineLevel="0" collapsed="false">
      <c r="A473" s="21" t="s">
        <v>5624</v>
      </c>
      <c r="B473" s="21" t="s">
        <v>2390</v>
      </c>
      <c r="C473" s="21" t="n">
        <v>313</v>
      </c>
      <c r="D473" s="21" t="s">
        <v>5612</v>
      </c>
      <c r="E473" s="21"/>
      <c r="F473" s="21" t="s">
        <v>2393</v>
      </c>
      <c r="G473" s="21" t="s">
        <v>2676</v>
      </c>
      <c r="H473" s="21" t="s">
        <v>3862</v>
      </c>
      <c r="I473" s="21" t="s">
        <v>5625</v>
      </c>
      <c r="J473" s="21" t="s">
        <v>1935</v>
      </c>
      <c r="K473" s="21" t="n">
        <v>37.95</v>
      </c>
      <c r="L473" s="21" t="s">
        <v>5626</v>
      </c>
      <c r="M473" s="21" t="s">
        <v>5627</v>
      </c>
      <c r="N473" s="21" t="s">
        <v>5628</v>
      </c>
      <c r="O473" s="21" t="s">
        <v>5629</v>
      </c>
      <c r="P473" s="21" t="s">
        <v>5630</v>
      </c>
      <c r="Q473" s="22" t="n">
        <f aca="false">IF(L473="","",IFERROR(INDEX('Semrush Data'!$A$1:$Z$20000,MATCH(L473,'Semrush Data'!$A$1:$A$20000,0),MATCH("Volume",'Semrush Data'!$A$1:$Z$1,0)),""))</f>
        <v>0</v>
      </c>
      <c r="R473" s="22" t="str">
        <f aca="false">IF(M473="","",IFERROR(INDEX('Semrush Data'!$A$1:$Z$20000,MATCH(M473,'Semrush Data'!$A$1:$A$20000,0),MATCH("Volume",'Semrush Data'!$A$1:$Z$1,0)),""))</f>
        <v/>
      </c>
      <c r="S473" s="22" t="str">
        <f aca="false">IF(N473="","",IFERROR(INDEX('Semrush Data'!$A$1:$Z$20000,MATCH(N473,'Semrush Data'!$A$1:$A$20000,0),MATCH("Volume",'Semrush Data'!$A$1:$Z$1,0)),""))</f>
        <v/>
      </c>
      <c r="T473" s="22" t="str">
        <f aca="false">IF(O473="","",IFERROR(INDEX('Semrush Data'!$A$1:$Z$20000,MATCH(O473,'Semrush Data'!$A$1:$A$20000,0),MATCH("Volume",'Semrush Data'!$A$1:$Z$1,0)),""))</f>
        <v/>
      </c>
      <c r="U473" s="22" t="str">
        <f aca="false">IF(P473="","",IFERROR(INDEX('Semrush Data'!$A$1:$Z$20000,MATCH(P473,'Semrush Data'!$A$1:$A$20000,0),MATCH("Volume",'Semrush Data'!$A$1:$Z$1,0)),""))</f>
        <v/>
      </c>
      <c r="V473" s="23" t="str">
        <f aca="false">IF(COUNT(Q473:U473)=0,L473,IF(MAX(Q473:U473)=0,L473,INDEX(L473:P473,MATCH(MAX(Q473:U473),Q473:U473,0))))</f>
        <v>sap oud leopard fr</v>
      </c>
      <c r="W473" s="22" t="n">
        <f aca="false">IFERROR(INDEX('Semrush Data'!$A$1:$Z$20000,MATCH(V473,'Semrush Data'!$A$1:$A$20000,0),MATCH("Volume",'Semrush Data'!$A$1:$Z$1,0)),"")</f>
        <v>0</v>
      </c>
      <c r="X473" s="22" t="n">
        <f aca="false">IFERROR(INDEX('Semrush Data'!$A$1:$Z$20000,MATCH(V473,'Semrush Data'!$A$1:$A$20000,0),MATCH("Keyword Difficulty*",'Semrush Data'!$A$1:$Z$1,0)),"")</f>
        <v>21</v>
      </c>
      <c r="Y473" s="24" t="n">
        <f aca="false">IFERROR(INDEX('Semrush Data'!$A$1:$Z$20000,MATCH(V473,'Semrush Data'!$A$1:$A$20000,0),MATCH("CPC*",'Semrush Data'!$A$1:$Z$1,0)),"")</f>
        <v>0</v>
      </c>
      <c r="Z473" s="21" t="s">
        <v>5631</v>
      </c>
      <c r="AA473" s="21"/>
      <c r="AB473" s="21" t="s">
        <v>5632</v>
      </c>
      <c r="AC473" s="21" t="s">
        <v>5633</v>
      </c>
      <c r="AD473" s="25" t="n">
        <f aca="false">LEN(AC473)</f>
        <v>59</v>
      </c>
      <c r="AE473" s="21" t="s">
        <v>5634</v>
      </c>
      <c r="AF473" s="25" t="n">
        <f aca="false">LEN(AE473)</f>
        <v>159</v>
      </c>
    </row>
    <row r="474" customFormat="false" ht="15" hidden="false" customHeight="true" outlineLevel="0" collapsed="false">
      <c r="A474" s="21" t="s">
        <v>5635</v>
      </c>
      <c r="B474" s="21" t="s">
        <v>2390</v>
      </c>
      <c r="C474" s="21" t="n">
        <v>314</v>
      </c>
      <c r="D474" s="21" t="s">
        <v>5612</v>
      </c>
      <c r="E474" s="21"/>
      <c r="F474" s="21" t="s">
        <v>2393</v>
      </c>
      <c r="G474" s="21" t="s">
        <v>2676</v>
      </c>
      <c r="H474" s="21" t="s">
        <v>2524</v>
      </c>
      <c r="I474" s="21" t="s">
        <v>5636</v>
      </c>
      <c r="J474" s="21" t="s">
        <v>1935</v>
      </c>
      <c r="K474" s="21" t="n">
        <v>37.95</v>
      </c>
      <c r="L474" s="21" t="s">
        <v>5637</v>
      </c>
      <c r="M474" s="21" t="s">
        <v>5638</v>
      </c>
      <c r="N474" s="21" t="s">
        <v>5639</v>
      </c>
      <c r="O474" s="21" t="s">
        <v>5640</v>
      </c>
      <c r="P474" s="21" t="s">
        <v>5641</v>
      </c>
      <c r="Q474" s="22" t="n">
        <f aca="false">IF(L474="","",IFERROR(INDEX('Semrush Data'!$A$1:$Z$20000,MATCH(L474,'Semrush Data'!$A$1:$A$20000,0),MATCH("Volume",'Semrush Data'!$A$1:$Z$1,0)),""))</f>
        <v>20</v>
      </c>
      <c r="R474" s="22" t="str">
        <f aca="false">IF(M474="","",IFERROR(INDEX('Semrush Data'!$A$1:$Z$20000,MATCH(M474,'Semrush Data'!$A$1:$A$20000,0),MATCH("Volume",'Semrush Data'!$A$1:$Z$1,0)),""))</f>
        <v/>
      </c>
      <c r="S474" s="22" t="str">
        <f aca="false">IF(N474="","",IFERROR(INDEX('Semrush Data'!$A$1:$Z$20000,MATCH(N474,'Semrush Data'!$A$1:$A$20000,0),MATCH("Volume",'Semrush Data'!$A$1:$Z$1,0)),""))</f>
        <v/>
      </c>
      <c r="T474" s="22" t="str">
        <f aca="false">IF(O474="","",IFERROR(INDEX('Semrush Data'!$A$1:$Z$20000,MATCH(O474,'Semrush Data'!$A$1:$A$20000,0),MATCH("Volume",'Semrush Data'!$A$1:$Z$1,0)),""))</f>
        <v/>
      </c>
      <c r="U474" s="22" t="str">
        <f aca="false">IF(P474="","",IFERROR(INDEX('Semrush Data'!$A$1:$Z$20000,MATCH(P474,'Semrush Data'!$A$1:$A$20000,0),MATCH("Volume",'Semrush Data'!$A$1:$Z$1,0)),""))</f>
        <v/>
      </c>
      <c r="V474" s="23" t="str">
        <f aca="false">IF(COUNT(Q474:U474)=0,L474,IF(MAX(Q474:U474)=0,L474,INDEX(L474:P474,MATCH(MAX(Q474:U474),Q474:U474,0))))</f>
        <v>sap patchouli intense</v>
      </c>
      <c r="W474" s="22" t="n">
        <f aca="false">IFERROR(INDEX('Semrush Data'!$A$1:$Z$20000,MATCH(V474,'Semrush Data'!$A$1:$A$20000,0),MATCH("Volume",'Semrush Data'!$A$1:$Z$1,0)),"")</f>
        <v>20</v>
      </c>
      <c r="X474" s="22" t="n">
        <f aca="false">IFERROR(INDEX('Semrush Data'!$A$1:$Z$20000,MATCH(V474,'Semrush Data'!$A$1:$A$20000,0),MATCH("Keyword Difficulty*",'Semrush Data'!$A$1:$Z$1,0)),"")</f>
        <v>3</v>
      </c>
      <c r="Y474" s="24" t="n">
        <f aca="false">IFERROR(INDEX('Semrush Data'!$A$1:$Z$20000,MATCH(V474,'Semrush Data'!$A$1:$A$20000,0),MATCH("CPC*",'Semrush Data'!$A$1:$Z$1,0)),"")</f>
        <v>0</v>
      </c>
      <c r="Z474" s="21" t="s">
        <v>5642</v>
      </c>
      <c r="AA474" s="21" t="s">
        <v>5643</v>
      </c>
      <c r="AB474" s="21" t="s">
        <v>5644</v>
      </c>
      <c r="AC474" s="21" t="s">
        <v>5645</v>
      </c>
      <c r="AD474" s="25" t="n">
        <f aca="false">LEN(AC474)</f>
        <v>53</v>
      </c>
      <c r="AE474" s="21" t="s">
        <v>5646</v>
      </c>
      <c r="AF474" s="25" t="n">
        <f aca="false">LEN(AE474)</f>
        <v>157</v>
      </c>
    </row>
    <row r="475" customFormat="false" ht="15" hidden="false" customHeight="true" outlineLevel="0" collapsed="false">
      <c r="A475" s="21" t="s">
        <v>5647</v>
      </c>
      <c r="B475" s="21" t="s">
        <v>2390</v>
      </c>
      <c r="C475" s="21" t="n">
        <v>315</v>
      </c>
      <c r="D475" s="21" t="s">
        <v>5612</v>
      </c>
      <c r="E475" s="21"/>
      <c r="F475" s="21" t="s">
        <v>2393</v>
      </c>
      <c r="G475" s="21" t="s">
        <v>2676</v>
      </c>
      <c r="H475" s="21" t="s">
        <v>3862</v>
      </c>
      <c r="I475" s="21" t="s">
        <v>5648</v>
      </c>
      <c r="J475" s="21" t="s">
        <v>1935</v>
      </c>
      <c r="K475" s="21" t="n">
        <v>37.95</v>
      </c>
      <c r="L475" s="21" t="s">
        <v>5649</v>
      </c>
      <c r="M475" s="21" t="s">
        <v>5650</v>
      </c>
      <c r="N475" s="21" t="s">
        <v>5651</v>
      </c>
      <c r="O475" s="21" t="s">
        <v>5652</v>
      </c>
      <c r="P475" s="21" t="s">
        <v>5653</v>
      </c>
      <c r="Q475" s="22" t="n">
        <f aca="false">IF(L475="","",IFERROR(INDEX('Semrush Data'!$A$1:$Z$20000,MATCH(L475,'Semrush Data'!$A$1:$A$20000,0),MATCH("Volume",'Semrush Data'!$A$1:$Z$1,0)),""))</f>
        <v>20</v>
      </c>
      <c r="R475" s="22" t="str">
        <f aca="false">IF(M475="","",IFERROR(INDEX('Semrush Data'!$A$1:$Z$20000,MATCH(M475,'Semrush Data'!$A$1:$A$20000,0),MATCH("Volume",'Semrush Data'!$A$1:$Z$1,0)),""))</f>
        <v/>
      </c>
      <c r="S475" s="22" t="str">
        <f aca="false">IF(N475="","",IFERROR(INDEX('Semrush Data'!$A$1:$Z$20000,MATCH(N475,'Semrush Data'!$A$1:$A$20000,0),MATCH("Volume",'Semrush Data'!$A$1:$Z$1,0)),""))</f>
        <v/>
      </c>
      <c r="T475" s="22" t="str">
        <f aca="false">IF(O475="","",IFERROR(INDEX('Semrush Data'!$A$1:$Z$20000,MATCH(O475,'Semrush Data'!$A$1:$A$20000,0),MATCH("Volume",'Semrush Data'!$A$1:$Z$1,0)),""))</f>
        <v/>
      </c>
      <c r="U475" s="22" t="str">
        <f aca="false">IF(P475="","",IFERROR(INDEX('Semrush Data'!$A$1:$Z$20000,MATCH(P475,'Semrush Data'!$A$1:$A$20000,0),MATCH("Volume",'Semrush Data'!$A$1:$Z$1,0)),""))</f>
        <v/>
      </c>
      <c r="V475" s="23" t="str">
        <f aca="false">IF(COUNT(Q475:U475)=0,L475,IF(MAX(Q475:U475)=0,L475,INDEX(L475:P475,MATCH(MAX(Q475:U475),Q475:U475,0))))</f>
        <v>sap saffron oud</v>
      </c>
      <c r="W475" s="22" t="n">
        <f aca="false">IFERROR(INDEX('Semrush Data'!$A$1:$Z$20000,MATCH(V475,'Semrush Data'!$A$1:$A$20000,0),MATCH("Volume",'Semrush Data'!$A$1:$Z$1,0)),"")</f>
        <v>20</v>
      </c>
      <c r="X475" s="22" t="n">
        <f aca="false">IFERROR(INDEX('Semrush Data'!$A$1:$Z$20000,MATCH(V475,'Semrush Data'!$A$1:$A$20000,0),MATCH("Keyword Difficulty*",'Semrush Data'!$A$1:$Z$1,0)),"")</f>
        <v>15</v>
      </c>
      <c r="Y475" s="24" t="n">
        <f aca="false">IFERROR(INDEX('Semrush Data'!$A$1:$Z$20000,MATCH(V475,'Semrush Data'!$A$1:$A$20000,0),MATCH("CPC*",'Semrush Data'!$A$1:$Z$1,0)),"")</f>
        <v>0</v>
      </c>
      <c r="Z475" s="21" t="s">
        <v>5631</v>
      </c>
      <c r="AA475" s="21" t="s">
        <v>5654</v>
      </c>
      <c r="AB475" s="21" t="s">
        <v>5655</v>
      </c>
      <c r="AC475" s="21" t="s">
        <v>5656</v>
      </c>
      <c r="AD475" s="25" t="n">
        <f aca="false">LEN(AC475)</f>
        <v>60</v>
      </c>
      <c r="AE475" s="21" t="s">
        <v>5657</v>
      </c>
      <c r="AF475" s="25" t="n">
        <f aca="false">LEN(AE475)</f>
        <v>156</v>
      </c>
    </row>
    <row r="476" customFormat="false" ht="15" hidden="false" customHeight="true" outlineLevel="0" collapsed="false">
      <c r="A476" s="21" t="s">
        <v>5658</v>
      </c>
      <c r="B476" s="21" t="s">
        <v>2390</v>
      </c>
      <c r="C476" s="21" t="n">
        <v>316</v>
      </c>
      <c r="D476" s="21" t="s">
        <v>5612</v>
      </c>
      <c r="E476" s="21"/>
      <c r="F476" s="21" t="s">
        <v>2393</v>
      </c>
      <c r="G476" s="21" t="s">
        <v>2676</v>
      </c>
      <c r="H476" s="21" t="s">
        <v>2479</v>
      </c>
      <c r="I476" s="21" t="s">
        <v>5659</v>
      </c>
      <c r="J476" s="21" t="s">
        <v>1935</v>
      </c>
      <c r="K476" s="21" t="n">
        <v>37.95</v>
      </c>
      <c r="L476" s="21" t="s">
        <v>5660</v>
      </c>
      <c r="M476" s="21" t="s">
        <v>5661</v>
      </c>
      <c r="N476" s="21" t="s">
        <v>5662</v>
      </c>
      <c r="O476" s="21" t="s">
        <v>5663</v>
      </c>
      <c r="P476" s="21" t="s">
        <v>5664</v>
      </c>
      <c r="Q476" s="22" t="n">
        <f aca="false">IF(L476="","",IFERROR(INDEX('Semrush Data'!$A$1:$Z$20000,MATCH(L476,'Semrush Data'!$A$1:$A$20000,0),MATCH("Volume",'Semrush Data'!$A$1:$Z$1,0)),""))</f>
        <v>10</v>
      </c>
      <c r="R476" s="22" t="str">
        <f aca="false">IF(M476="","",IFERROR(INDEX('Semrush Data'!$A$1:$Z$20000,MATCH(M476,'Semrush Data'!$A$1:$A$20000,0),MATCH("Volume",'Semrush Data'!$A$1:$Z$1,0)),""))</f>
        <v/>
      </c>
      <c r="S476" s="22" t="str">
        <f aca="false">IF(N476="","",IFERROR(INDEX('Semrush Data'!$A$1:$Z$20000,MATCH(N476,'Semrush Data'!$A$1:$A$20000,0),MATCH("Volume",'Semrush Data'!$A$1:$Z$1,0)),""))</f>
        <v/>
      </c>
      <c r="T476" s="22" t="str">
        <f aca="false">IF(O476="","",IFERROR(INDEX('Semrush Data'!$A$1:$Z$20000,MATCH(O476,'Semrush Data'!$A$1:$A$20000,0),MATCH("Volume",'Semrush Data'!$A$1:$Z$1,0)),""))</f>
        <v/>
      </c>
      <c r="U476" s="22" t="str">
        <f aca="false">IF(P476="","",IFERROR(INDEX('Semrush Data'!$A$1:$Z$20000,MATCH(P476,'Semrush Data'!$A$1:$A$20000,0),MATCH("Volume",'Semrush Data'!$A$1:$Z$1,0)),""))</f>
        <v/>
      </c>
      <c r="V476" s="23" t="str">
        <f aca="false">IF(COUNT(Q476:U476)=0,L476,IF(MAX(Q476:U476)=0,L476,INDEX(L476:P476,MATCH(MAX(Q476:U476),Q476:U476,0))))</f>
        <v>sap vert club</v>
      </c>
      <c r="W476" s="22" t="n">
        <f aca="false">IFERROR(INDEX('Semrush Data'!$A$1:$Z$20000,MATCH(V476,'Semrush Data'!$A$1:$A$20000,0),MATCH("Volume",'Semrush Data'!$A$1:$Z$1,0)),"")</f>
        <v>10</v>
      </c>
      <c r="X476" s="22" t="n">
        <f aca="false">IFERROR(INDEX('Semrush Data'!$A$1:$Z$20000,MATCH(V476,'Semrush Data'!$A$1:$A$20000,0),MATCH("Keyword Difficulty*",'Semrush Data'!$A$1:$Z$1,0)),"")</f>
        <v>5</v>
      </c>
      <c r="Y476" s="24" t="n">
        <f aca="false">IFERROR(INDEX('Semrush Data'!$A$1:$Z$20000,MATCH(V476,'Semrush Data'!$A$1:$A$20000,0),MATCH("CPC*",'Semrush Data'!$A$1:$Z$1,0)),"")</f>
        <v>0</v>
      </c>
      <c r="Z476" s="21" t="s">
        <v>5619</v>
      </c>
      <c r="AA476" s="21" t="s">
        <v>5665</v>
      </c>
      <c r="AB476" s="21" t="s">
        <v>5666</v>
      </c>
      <c r="AC476" s="21" t="s">
        <v>5667</v>
      </c>
      <c r="AD476" s="25" t="n">
        <f aca="false">LEN(AC476)</f>
        <v>58</v>
      </c>
      <c r="AE476" s="21" t="s">
        <v>5668</v>
      </c>
      <c r="AF476" s="25" t="n">
        <f aca="false">LEN(AE476)</f>
        <v>156</v>
      </c>
    </row>
    <row r="477" customFormat="false" ht="15" hidden="false" customHeight="true" outlineLevel="0" collapsed="false">
      <c r="A477" s="21" t="s">
        <v>5669</v>
      </c>
      <c r="B477" s="21" t="s">
        <v>2390</v>
      </c>
      <c r="C477" s="21" t="n">
        <v>317</v>
      </c>
      <c r="D477" s="21" t="s">
        <v>5670</v>
      </c>
      <c r="E477" s="21"/>
      <c r="F477" s="21" t="s">
        <v>2393</v>
      </c>
      <c r="G477" s="21" t="s">
        <v>2394</v>
      </c>
      <c r="H477" s="21" t="s">
        <v>2468</v>
      </c>
      <c r="I477" s="21" t="s">
        <v>5671</v>
      </c>
      <c r="J477" s="21" t="s">
        <v>1409</v>
      </c>
      <c r="K477" s="21" t="n">
        <v>44.99</v>
      </c>
      <c r="L477" s="21" t="s">
        <v>5672</v>
      </c>
      <c r="M477" s="21" t="s">
        <v>5673</v>
      </c>
      <c r="N477" s="21" t="s">
        <v>5674</v>
      </c>
      <c r="O477" s="21" t="s">
        <v>5675</v>
      </c>
      <c r="P477" s="21" t="s">
        <v>5676</v>
      </c>
      <c r="Q477" s="22" t="n">
        <f aca="false">IF(L477="","",IFERROR(INDEX('Semrush Data'!$A$1:$Z$20000,MATCH(L477,'Semrush Data'!$A$1:$A$20000,0),MATCH("Volume",'Semrush Data'!$A$1:$Z$1,0)),""))</f>
        <v>70</v>
      </c>
      <c r="R477" s="22" t="n">
        <f aca="false">IF(M477="","",IFERROR(INDEX('Semrush Data'!$A$1:$Z$20000,MATCH(M477,'Semrush Data'!$A$1:$A$20000,0),MATCH("Volume",'Semrush Data'!$A$1:$Z$1,0)),""))</f>
        <v>0</v>
      </c>
      <c r="S477" s="22" t="str">
        <f aca="false">IF(N477="","",IFERROR(INDEX('Semrush Data'!$A$1:$Z$20000,MATCH(N477,'Semrush Data'!$A$1:$A$20000,0),MATCH("Volume",'Semrush Data'!$A$1:$Z$1,0)),""))</f>
        <v/>
      </c>
      <c r="T477" s="22" t="str">
        <f aca="false">IF(O477="","",IFERROR(INDEX('Semrush Data'!$A$1:$Z$20000,MATCH(O477,'Semrush Data'!$A$1:$A$20000,0),MATCH("Volume",'Semrush Data'!$A$1:$Z$1,0)),""))</f>
        <v/>
      </c>
      <c r="U477" s="22" t="n">
        <f aca="false">IF(P477="","",IFERROR(INDEX('Semrush Data'!$A$1:$Z$20000,MATCH(P477,'Semrush Data'!$A$1:$A$20000,0),MATCH("Volume",'Semrush Data'!$A$1:$Z$1,0)),""))</f>
        <v>0</v>
      </c>
      <c r="V477" s="23" t="str">
        <f aca="false">IF(COUNT(Q477:U477)=0,L477,IF(MAX(Q477:U477)=0,L477,INDEX(L477:P477,MATCH(MAX(Q477:U477),Q477:U477,0))))</f>
        <v>serge lutens la fille de berlin</v>
      </c>
      <c r="W477" s="22" t="n">
        <f aca="false">IFERROR(INDEX('Semrush Data'!$A$1:$Z$20000,MATCH(V477,'Semrush Data'!$A$1:$A$20000,0),MATCH("Volume",'Semrush Data'!$A$1:$Z$1,0)),"")</f>
        <v>70</v>
      </c>
      <c r="X477" s="22" t="n">
        <f aca="false">IFERROR(INDEX('Semrush Data'!$A$1:$Z$20000,MATCH(V477,'Semrush Data'!$A$1:$A$20000,0),MATCH("Keyword Difficulty*",'Semrush Data'!$A$1:$Z$1,0)),"")</f>
        <v>7</v>
      </c>
      <c r="Y477" s="24" t="n">
        <f aca="false">IFERROR(INDEX('Semrush Data'!$A$1:$Z$20000,MATCH(V477,'Semrush Data'!$A$1:$A$20000,0),MATCH("CPC*",'Semrush Data'!$A$1:$Z$1,0)),"")</f>
        <v>0</v>
      </c>
      <c r="Z477" s="21" t="s">
        <v>5677</v>
      </c>
      <c r="AA477" s="21" t="s">
        <v>5678</v>
      </c>
      <c r="AB477" s="21" t="s">
        <v>5679</v>
      </c>
      <c r="AC477" s="21" t="s">
        <v>5680</v>
      </c>
      <c r="AD477" s="25" t="n">
        <f aca="false">LEN(AC477)</f>
        <v>59</v>
      </c>
      <c r="AE477" s="21" t="s">
        <v>5681</v>
      </c>
      <c r="AF477" s="25" t="n">
        <f aca="false">LEN(AE477)</f>
        <v>159</v>
      </c>
    </row>
    <row r="478" customFormat="false" ht="15" hidden="false" customHeight="true" outlineLevel="0" collapsed="false">
      <c r="A478" s="21" t="s">
        <v>5682</v>
      </c>
      <c r="B478" s="21" t="s">
        <v>2390</v>
      </c>
      <c r="C478" s="21" t="n">
        <v>318</v>
      </c>
      <c r="D478" s="21" t="s">
        <v>5683</v>
      </c>
      <c r="E478" s="21"/>
      <c r="F478" s="21" t="s">
        <v>2393</v>
      </c>
      <c r="G478" s="21" t="s">
        <v>2394</v>
      </c>
      <c r="H478" s="21" t="s">
        <v>2395</v>
      </c>
      <c r="I478" s="21" t="s">
        <v>5684</v>
      </c>
      <c r="J478" s="21" t="s">
        <v>1935</v>
      </c>
      <c r="K478" s="21" t="n">
        <v>47.99</v>
      </c>
      <c r="L478" s="21" t="s">
        <v>5685</v>
      </c>
      <c r="M478" s="21" t="s">
        <v>5686</v>
      </c>
      <c r="N478" s="21" t="s">
        <v>5687</v>
      </c>
      <c r="O478" s="21" t="s">
        <v>5688</v>
      </c>
      <c r="P478" s="21" t="s">
        <v>5689</v>
      </c>
      <c r="Q478" s="22" t="n">
        <f aca="false">IF(L478="","",IFERROR(INDEX('Semrush Data'!$A$1:$Z$20000,MATCH(L478,'Semrush Data'!$A$1:$A$20000,0),MATCH("Volume",'Semrush Data'!$A$1:$Z$1,0)),""))</f>
        <v>170</v>
      </c>
      <c r="R478" s="22" t="n">
        <f aca="false">IF(M478="","",IFERROR(INDEX('Semrush Data'!$A$1:$Z$20000,MATCH(M478,'Semrush Data'!$A$1:$A$20000,0),MATCH("Volume",'Semrush Data'!$A$1:$Z$1,0)),""))</f>
        <v>20</v>
      </c>
      <c r="S478" s="22" t="str">
        <f aca="false">IF(N478="","",IFERROR(INDEX('Semrush Data'!$A$1:$Z$20000,MATCH(N478,'Semrush Data'!$A$1:$A$20000,0),MATCH("Volume",'Semrush Data'!$A$1:$Z$1,0)),""))</f>
        <v/>
      </c>
      <c r="T478" s="22" t="str">
        <f aca="false">IF(O478="","",IFERROR(INDEX('Semrush Data'!$A$1:$Z$20000,MATCH(O478,'Semrush Data'!$A$1:$A$20000,0),MATCH("Volume",'Semrush Data'!$A$1:$Z$1,0)),""))</f>
        <v/>
      </c>
      <c r="U478" s="22" t="n">
        <f aca="false">IF(P478="","",IFERROR(INDEX('Semrush Data'!$A$1:$Z$20000,MATCH(P478,'Semrush Data'!$A$1:$A$20000,0),MATCH("Volume",'Semrush Data'!$A$1:$Z$1,0)),""))</f>
        <v>20</v>
      </c>
      <c r="V478" s="23" t="str">
        <f aca="false">IF(COUNT(Q478:U478)=0,L478,IF(MAX(Q478:U478)=0,L478,INDEX(L478:P478,MATCH(MAX(Q478:U478),Q478:U478,0))))</f>
        <v>shiseido zen</v>
      </c>
      <c r="W478" s="22" t="n">
        <f aca="false">IFERROR(INDEX('Semrush Data'!$A$1:$Z$20000,MATCH(V478,'Semrush Data'!$A$1:$A$20000,0),MATCH("Volume",'Semrush Data'!$A$1:$Z$1,0)),"")</f>
        <v>170</v>
      </c>
      <c r="X478" s="22" t="n">
        <f aca="false">IFERROR(INDEX('Semrush Data'!$A$1:$Z$20000,MATCH(V478,'Semrush Data'!$A$1:$A$20000,0),MATCH("Keyword Difficulty*",'Semrush Data'!$A$1:$Z$1,0)),"")</f>
        <v>22</v>
      </c>
      <c r="Y478" s="24" t="n">
        <f aca="false">IFERROR(INDEX('Semrush Data'!$A$1:$Z$20000,MATCH(V478,'Semrush Data'!$A$1:$A$20000,0),MATCH("CPC*",'Semrush Data'!$A$1:$Z$1,0)),"")</f>
        <v>0.52</v>
      </c>
      <c r="Z478" s="21" t="s">
        <v>5690</v>
      </c>
      <c r="AA478" s="21" t="s">
        <v>5691</v>
      </c>
      <c r="AB478" s="21" t="s">
        <v>5692</v>
      </c>
      <c r="AC478" s="21" t="s">
        <v>5693</v>
      </c>
      <c r="AD478" s="25" t="n">
        <f aca="false">LEN(AC478)</f>
        <v>53</v>
      </c>
      <c r="AE478" s="21" t="s">
        <v>5694</v>
      </c>
      <c r="AF478" s="25" t="n">
        <f aca="false">LEN(AE478)</f>
        <v>148</v>
      </c>
    </row>
    <row r="479" customFormat="false" ht="15" hidden="false" customHeight="true" outlineLevel="0" collapsed="false">
      <c r="A479" s="21" t="s">
        <v>5695</v>
      </c>
      <c r="B479" s="21" t="s">
        <v>2390</v>
      </c>
      <c r="C479" s="21" t="n">
        <v>319</v>
      </c>
      <c r="D479" s="21" t="s">
        <v>5696</v>
      </c>
      <c r="E479" s="21"/>
      <c r="F479" s="21" t="s">
        <v>2393</v>
      </c>
      <c r="G479" s="21" t="s">
        <v>2394</v>
      </c>
      <c r="H479" s="21" t="s">
        <v>2479</v>
      </c>
      <c r="I479" s="21" t="s">
        <v>5697</v>
      </c>
      <c r="J479" s="21" t="s">
        <v>1935</v>
      </c>
      <c r="K479" s="21" t="n">
        <v>65.99</v>
      </c>
      <c r="L479" s="21" t="s">
        <v>5698</v>
      </c>
      <c r="M479" s="21" t="s">
        <v>5699</v>
      </c>
      <c r="N479" s="21" t="s">
        <v>5700</v>
      </c>
      <c r="O479" s="21" t="s">
        <v>5701</v>
      </c>
      <c r="P479" s="21" t="s">
        <v>5702</v>
      </c>
      <c r="Q479" s="22" t="n">
        <f aca="false">IF(L479="","",IFERROR(INDEX('Semrush Data'!$A$1:$Z$20000,MATCH(L479,'Semrush Data'!$A$1:$A$20000,0),MATCH("Volume",'Semrush Data'!$A$1:$Z$1,0)),""))</f>
        <v>0</v>
      </c>
      <c r="R479" s="22" t="str">
        <f aca="false">IF(M479="","",IFERROR(INDEX('Semrush Data'!$A$1:$Z$20000,MATCH(M479,'Semrush Data'!$A$1:$A$20000,0),MATCH("Volume",'Semrush Data'!$A$1:$Z$1,0)),""))</f>
        <v/>
      </c>
      <c r="S479" s="22" t="str">
        <f aca="false">IF(N479="","",IFERROR(INDEX('Semrush Data'!$A$1:$Z$20000,MATCH(N479,'Semrush Data'!$A$1:$A$20000,0),MATCH("Volume",'Semrush Data'!$A$1:$Z$1,0)),""))</f>
        <v/>
      </c>
      <c r="T479" s="22" t="str">
        <f aca="false">IF(O479="","",IFERROR(INDEX('Semrush Data'!$A$1:$Z$20000,MATCH(O479,'Semrush Data'!$A$1:$A$20000,0),MATCH("Volume",'Semrush Data'!$A$1:$Z$1,0)),""))</f>
        <v/>
      </c>
      <c r="U479" s="22" t="str">
        <f aca="false">IF(P479="","",IFERROR(INDEX('Semrush Data'!$A$1:$Z$20000,MATCH(P479,'Semrush Data'!$A$1:$A$20000,0),MATCH("Volume",'Semrush Data'!$A$1:$Z$1,0)),""))</f>
        <v/>
      </c>
      <c r="V479" s="23" t="str">
        <f aca="false">IF(COUNT(Q479:U479)=0,L479,IF(MAX(Q479:U479)=0,L479,INDEX(L479:P479,MATCH(MAX(Q479:U479),Q479:U479,0))))</f>
        <v>signature ambre</v>
      </c>
      <c r="W479" s="22" t="n">
        <f aca="false">IFERROR(INDEX('Semrush Data'!$A$1:$Z$20000,MATCH(V479,'Semrush Data'!$A$1:$A$20000,0),MATCH("Volume",'Semrush Data'!$A$1:$Z$1,0)),"")</f>
        <v>0</v>
      </c>
      <c r="X479" s="22" t="n">
        <f aca="false">IFERROR(INDEX('Semrush Data'!$A$1:$Z$20000,MATCH(V479,'Semrush Data'!$A$1:$A$20000,0),MATCH("Keyword Difficulty*",'Semrush Data'!$A$1:$Z$1,0)),"")</f>
        <v>14</v>
      </c>
      <c r="Y479" s="24" t="n">
        <f aca="false">IFERROR(INDEX('Semrush Data'!$A$1:$Z$20000,MATCH(V479,'Semrush Data'!$A$1:$A$20000,0),MATCH("CPC*",'Semrush Data'!$A$1:$Z$1,0)),"")</f>
        <v>0</v>
      </c>
      <c r="Z479" s="21" t="s">
        <v>5703</v>
      </c>
      <c r="AA479" s="21" t="s">
        <v>5704</v>
      </c>
      <c r="AB479" s="21" t="s">
        <v>5705</v>
      </c>
      <c r="AC479" s="21" t="s">
        <v>5706</v>
      </c>
      <c r="AD479" s="25" t="n">
        <f aca="false">LEN(AC479)</f>
        <v>56</v>
      </c>
      <c r="AE479" s="21" t="s">
        <v>5707</v>
      </c>
      <c r="AF479" s="25" t="n">
        <f aca="false">LEN(AE479)</f>
        <v>150</v>
      </c>
    </row>
    <row r="480" customFormat="false" ht="15" hidden="false" customHeight="true" outlineLevel="0" collapsed="false">
      <c r="A480" s="21" t="s">
        <v>5708</v>
      </c>
      <c r="B480" s="21" t="s">
        <v>2390</v>
      </c>
      <c r="C480" s="21" t="n">
        <v>320</v>
      </c>
      <c r="D480" s="21" t="s">
        <v>5696</v>
      </c>
      <c r="E480" s="21"/>
      <c r="F480" s="21" t="s">
        <v>2393</v>
      </c>
      <c r="G480" s="21" t="s">
        <v>2394</v>
      </c>
      <c r="H480" s="21" t="s">
        <v>2479</v>
      </c>
      <c r="I480" s="21" t="s">
        <v>5709</v>
      </c>
      <c r="J480" s="21" t="s">
        <v>1935</v>
      </c>
      <c r="K480" s="21" t="n">
        <v>74.95</v>
      </c>
      <c r="L480" s="21" t="s">
        <v>5710</v>
      </c>
      <c r="M480" s="21" t="s">
        <v>5711</v>
      </c>
      <c r="N480" s="21" t="s">
        <v>5712</v>
      </c>
      <c r="O480" s="21" t="s">
        <v>5713</v>
      </c>
      <c r="P480" s="21" t="s">
        <v>5714</v>
      </c>
      <c r="Q480" s="22" t="n">
        <f aca="false">IF(L480="","",IFERROR(INDEX('Semrush Data'!$A$1:$Z$20000,MATCH(L480,'Semrush Data'!$A$1:$A$20000,0),MATCH("Volume",'Semrush Data'!$A$1:$Z$1,0)),""))</f>
        <v>20</v>
      </c>
      <c r="R480" s="22" t="str">
        <f aca="false">IF(M480="","",IFERROR(INDEX('Semrush Data'!$A$1:$Z$20000,MATCH(M480,'Semrush Data'!$A$1:$A$20000,0),MATCH("Volume",'Semrush Data'!$A$1:$Z$1,0)),""))</f>
        <v/>
      </c>
      <c r="S480" s="22" t="str">
        <f aca="false">IF(N480="","",IFERROR(INDEX('Semrush Data'!$A$1:$Z$20000,MATCH(N480,'Semrush Data'!$A$1:$A$20000,0),MATCH("Volume",'Semrush Data'!$A$1:$Z$1,0)),""))</f>
        <v/>
      </c>
      <c r="T480" s="22" t="str">
        <f aca="false">IF(O480="","",IFERROR(INDEX('Semrush Data'!$A$1:$Z$20000,MATCH(O480,'Semrush Data'!$A$1:$A$20000,0),MATCH("Volume",'Semrush Data'!$A$1:$Z$1,0)),""))</f>
        <v/>
      </c>
      <c r="U480" s="22" t="str">
        <f aca="false">IF(P480="","",IFERROR(INDEX('Semrush Data'!$A$1:$Z$20000,MATCH(P480,'Semrush Data'!$A$1:$A$20000,0),MATCH("Volume",'Semrush Data'!$A$1:$Z$1,0)),""))</f>
        <v/>
      </c>
      <c r="V480" s="23" t="str">
        <f aca="false">IF(COUNT(Q480:U480)=0,L480,IF(MAX(Q480:U480)=0,L480,INDEX(L480:P480,MATCH(MAX(Q480:U480),Q480:U480,0))))</f>
        <v>signature aura</v>
      </c>
      <c r="W480" s="22" t="n">
        <f aca="false">IFERROR(INDEX('Semrush Data'!$A$1:$Z$20000,MATCH(V480,'Semrush Data'!$A$1:$A$20000,0),MATCH("Volume",'Semrush Data'!$A$1:$Z$1,0)),"")</f>
        <v>20</v>
      </c>
      <c r="X480" s="22" t="n">
        <f aca="false">IFERROR(INDEX('Semrush Data'!$A$1:$Z$20000,MATCH(V480,'Semrush Data'!$A$1:$A$20000,0),MATCH("Keyword Difficulty*",'Semrush Data'!$A$1:$Z$1,0)),"")</f>
        <v>8</v>
      </c>
      <c r="Y480" s="24" t="n">
        <f aca="false">IFERROR(INDEX('Semrush Data'!$A$1:$Z$20000,MATCH(V480,'Semrush Data'!$A$1:$A$20000,0),MATCH("CPC*",'Semrush Data'!$A$1:$Z$1,0)),"")</f>
        <v>0</v>
      </c>
      <c r="Z480" s="21" t="s">
        <v>5703</v>
      </c>
      <c r="AA480" s="21" t="s">
        <v>5715</v>
      </c>
      <c r="AB480" s="21" t="s">
        <v>5716</v>
      </c>
      <c r="AC480" s="21" t="s">
        <v>5717</v>
      </c>
      <c r="AD480" s="25" t="n">
        <f aca="false">LEN(AC480)</f>
        <v>51</v>
      </c>
      <c r="AE480" s="21" t="s">
        <v>5718</v>
      </c>
      <c r="AF480" s="25" t="n">
        <f aca="false">LEN(AE480)</f>
        <v>139</v>
      </c>
    </row>
    <row r="481" customFormat="false" ht="15" hidden="false" customHeight="true" outlineLevel="0" collapsed="false">
      <c r="A481" s="21" t="s">
        <v>5719</v>
      </c>
      <c r="B481" s="21" t="s">
        <v>2390</v>
      </c>
      <c r="C481" s="21" t="n">
        <v>321</v>
      </c>
      <c r="D481" s="21" t="s">
        <v>5696</v>
      </c>
      <c r="E481" s="21"/>
      <c r="F481" s="21" t="s">
        <v>2393</v>
      </c>
      <c r="G481" s="21" t="s">
        <v>2394</v>
      </c>
      <c r="H481" s="21" t="s">
        <v>2549</v>
      </c>
      <c r="I481" s="21" t="s">
        <v>5720</v>
      </c>
      <c r="J481" s="21" t="s">
        <v>1935</v>
      </c>
      <c r="K481" s="21" t="n">
        <v>38.99</v>
      </c>
      <c r="L481" s="21" t="s">
        <v>5721</v>
      </c>
      <c r="M481" s="21" t="s">
        <v>5722</v>
      </c>
      <c r="N481" s="21" t="s">
        <v>5723</v>
      </c>
      <c r="O481" s="21" t="s">
        <v>5724</v>
      </c>
      <c r="P481" s="21" t="s">
        <v>5725</v>
      </c>
      <c r="Q481" s="22" t="n">
        <f aca="false">IF(L481="","",IFERROR(INDEX('Semrush Data'!$A$1:$Z$20000,MATCH(L481,'Semrush Data'!$A$1:$A$20000,0),MATCH("Volume",'Semrush Data'!$A$1:$Z$1,0)),""))</f>
        <v>0</v>
      </c>
      <c r="R481" s="22" t="str">
        <f aca="false">IF(M481="","",IFERROR(INDEX('Semrush Data'!$A$1:$Z$20000,MATCH(M481,'Semrush Data'!$A$1:$A$20000,0),MATCH("Volume",'Semrush Data'!$A$1:$Z$1,0)),""))</f>
        <v/>
      </c>
      <c r="S481" s="22" t="str">
        <f aca="false">IF(N481="","",IFERROR(INDEX('Semrush Data'!$A$1:$Z$20000,MATCH(N481,'Semrush Data'!$A$1:$A$20000,0),MATCH("Volume",'Semrush Data'!$A$1:$Z$1,0)),""))</f>
        <v/>
      </c>
      <c r="T481" s="22" t="str">
        <f aca="false">IF(O481="","",IFERROR(INDEX('Semrush Data'!$A$1:$Z$20000,MATCH(O481,'Semrush Data'!$A$1:$A$20000,0),MATCH("Volume",'Semrush Data'!$A$1:$Z$1,0)),""))</f>
        <v/>
      </c>
      <c r="U481" s="22" t="str">
        <f aca="false">IF(P481="","",IFERROR(INDEX('Semrush Data'!$A$1:$Z$20000,MATCH(P481,'Semrush Data'!$A$1:$A$20000,0),MATCH("Volume",'Semrush Data'!$A$1:$Z$1,0)),""))</f>
        <v/>
      </c>
      <c r="V481" s="23" t="str">
        <f aca="false">IF(COUNT(Q481:U481)=0,L481,IF(MAX(Q481:U481)=0,L481,INDEX(L481:P481,MATCH(MAX(Q481:U481),Q481:U481,0))))</f>
        <v>signature black pour homme</v>
      </c>
      <c r="W481" s="22" t="n">
        <f aca="false">IFERROR(INDEX('Semrush Data'!$A$1:$Z$20000,MATCH(V481,'Semrush Data'!$A$1:$A$20000,0),MATCH("Volume",'Semrush Data'!$A$1:$Z$1,0)),"")</f>
        <v>0</v>
      </c>
      <c r="X481" s="22" t="n">
        <f aca="false">IFERROR(INDEX('Semrush Data'!$A$1:$Z$20000,MATCH(V481,'Semrush Data'!$A$1:$A$20000,0),MATCH("Keyword Difficulty*",'Semrush Data'!$A$1:$Z$1,0)),"")</f>
        <v>23</v>
      </c>
      <c r="Y481" s="24" t="n">
        <f aca="false">IFERROR(INDEX('Semrush Data'!$A$1:$Z$20000,MATCH(V481,'Semrush Data'!$A$1:$A$20000,0),MATCH("CPC*",'Semrush Data'!$A$1:$Z$1,0)),"")</f>
        <v>0</v>
      </c>
      <c r="Z481" s="21" t="s">
        <v>5726</v>
      </c>
      <c r="AA481" s="21" t="s">
        <v>5727</v>
      </c>
      <c r="AB481" s="21" t="s">
        <v>5728</v>
      </c>
      <c r="AC481" s="21" t="s">
        <v>5729</v>
      </c>
      <c r="AD481" s="25" t="n">
        <f aca="false">LEN(AC481)</f>
        <v>57</v>
      </c>
      <c r="AE481" s="21" t="s">
        <v>5730</v>
      </c>
      <c r="AF481" s="25" t="n">
        <f aca="false">LEN(AE481)</f>
        <v>149</v>
      </c>
    </row>
    <row r="482" customFormat="false" ht="15" hidden="false" customHeight="true" outlineLevel="0" collapsed="false">
      <c r="A482" s="21" t="s">
        <v>5731</v>
      </c>
      <c r="B482" s="21" t="s">
        <v>2390</v>
      </c>
      <c r="C482" s="21" t="n">
        <v>322</v>
      </c>
      <c r="D482" s="21" t="s">
        <v>5696</v>
      </c>
      <c r="E482" s="21"/>
      <c r="F482" s="21" t="s">
        <v>2393</v>
      </c>
      <c r="G482" s="21" t="s">
        <v>2394</v>
      </c>
      <c r="H482" s="21" t="s">
        <v>2479</v>
      </c>
      <c r="I482" s="21" t="s">
        <v>5732</v>
      </c>
      <c r="J482" s="21" t="s">
        <v>1935</v>
      </c>
      <c r="K482" s="21" t="n">
        <v>74.95</v>
      </c>
      <c r="L482" s="21" t="s">
        <v>5733</v>
      </c>
      <c r="M482" s="21" t="s">
        <v>5734</v>
      </c>
      <c r="N482" s="21" t="s">
        <v>5735</v>
      </c>
      <c r="O482" s="21" t="s">
        <v>5736</v>
      </c>
      <c r="P482" s="21" t="s">
        <v>5737</v>
      </c>
      <c r="Q482" s="22" t="n">
        <f aca="false">IF(L482="","",IFERROR(INDEX('Semrush Data'!$A$1:$Z$20000,MATCH(L482,'Semrush Data'!$A$1:$A$20000,0),MATCH("Volume",'Semrush Data'!$A$1:$Z$1,0)),""))</f>
        <v>0</v>
      </c>
      <c r="R482" s="22" t="str">
        <f aca="false">IF(M482="","",IFERROR(INDEX('Semrush Data'!$A$1:$Z$20000,MATCH(M482,'Semrush Data'!$A$1:$A$20000,0),MATCH("Volume",'Semrush Data'!$A$1:$Z$1,0)),""))</f>
        <v/>
      </c>
      <c r="S482" s="22" t="str">
        <f aca="false">IF(N482="","",IFERROR(INDEX('Semrush Data'!$A$1:$Z$20000,MATCH(N482,'Semrush Data'!$A$1:$A$20000,0),MATCH("Volume",'Semrush Data'!$A$1:$Z$1,0)),""))</f>
        <v/>
      </c>
      <c r="T482" s="22" t="str">
        <f aca="false">IF(O482="","",IFERROR(INDEX('Semrush Data'!$A$1:$Z$20000,MATCH(O482,'Semrush Data'!$A$1:$A$20000,0),MATCH("Volume",'Semrush Data'!$A$1:$Z$1,0)),""))</f>
        <v/>
      </c>
      <c r="U482" s="22" t="str">
        <f aca="false">IF(P482="","",IFERROR(INDEX('Semrush Data'!$A$1:$Z$20000,MATCH(P482,'Semrush Data'!$A$1:$A$20000,0),MATCH("Volume",'Semrush Data'!$A$1:$Z$1,0)),""))</f>
        <v/>
      </c>
      <c r="V482" s="23" t="str">
        <f aca="false">IF(COUNT(Q482:U482)=0,L482,IF(MAX(Q482:U482)=0,L482,INDEX(L482:P482,MATCH(MAX(Q482:U482),Q482:U482,0))))</f>
        <v>signature charm</v>
      </c>
      <c r="W482" s="22" t="n">
        <f aca="false">IFERROR(INDEX('Semrush Data'!$A$1:$Z$20000,MATCH(V482,'Semrush Data'!$A$1:$A$20000,0),MATCH("Volume",'Semrush Data'!$A$1:$Z$1,0)),"")</f>
        <v>0</v>
      </c>
      <c r="X482" s="22" t="n">
        <f aca="false">IFERROR(INDEX('Semrush Data'!$A$1:$Z$20000,MATCH(V482,'Semrush Data'!$A$1:$A$20000,0),MATCH("Keyword Difficulty*",'Semrush Data'!$A$1:$Z$1,0)),"")</f>
        <v>3</v>
      </c>
      <c r="Y482" s="24" t="n">
        <f aca="false">IFERROR(INDEX('Semrush Data'!$A$1:$Z$20000,MATCH(V482,'Semrush Data'!$A$1:$A$20000,0),MATCH("CPC*",'Semrush Data'!$A$1:$Z$1,0)),"")</f>
        <v>0</v>
      </c>
      <c r="Z482" s="21" t="s">
        <v>5703</v>
      </c>
      <c r="AA482" s="21" t="s">
        <v>5738</v>
      </c>
      <c r="AB482" s="21" t="s">
        <v>5739</v>
      </c>
      <c r="AC482" s="21" t="s">
        <v>5740</v>
      </c>
      <c r="AD482" s="25" t="n">
        <f aca="false">LEN(AC482)</f>
        <v>52</v>
      </c>
      <c r="AE482" s="21" t="s">
        <v>5741</v>
      </c>
      <c r="AF482" s="25" t="n">
        <f aca="false">LEN(AE482)</f>
        <v>140</v>
      </c>
    </row>
    <row r="483" customFormat="false" ht="15" hidden="false" customHeight="true" outlineLevel="0" collapsed="false">
      <c r="A483" s="21" t="s">
        <v>5742</v>
      </c>
      <c r="B483" s="21" t="s">
        <v>2390</v>
      </c>
      <c r="C483" s="21" t="n">
        <v>323</v>
      </c>
      <c r="D483" s="21" t="s">
        <v>5696</v>
      </c>
      <c r="E483" s="21"/>
      <c r="F483" s="21" t="s">
        <v>2393</v>
      </c>
      <c r="G483" s="21" t="s">
        <v>2394</v>
      </c>
      <c r="H483" s="21" t="s">
        <v>2395</v>
      </c>
      <c r="I483" s="21" t="s">
        <v>5743</v>
      </c>
      <c r="J483" s="21" t="s">
        <v>1935</v>
      </c>
      <c r="K483" s="21" t="n">
        <v>42.99</v>
      </c>
      <c r="L483" s="21" t="s">
        <v>5744</v>
      </c>
      <c r="M483" s="21" t="s">
        <v>5745</v>
      </c>
      <c r="N483" s="21" t="s">
        <v>5746</v>
      </c>
      <c r="O483" s="21" t="s">
        <v>5747</v>
      </c>
      <c r="P483" s="21" t="s">
        <v>5748</v>
      </c>
      <c r="Q483" s="22" t="n">
        <f aca="false">IF(L483="","",IFERROR(INDEX('Semrush Data'!$A$1:$Z$20000,MATCH(L483,'Semrush Data'!$A$1:$A$20000,0),MATCH("Volume",'Semrush Data'!$A$1:$Z$1,0)),""))</f>
        <v>0</v>
      </c>
      <c r="R483" s="22" t="str">
        <f aca="false">IF(M483="","",IFERROR(INDEX('Semrush Data'!$A$1:$Z$20000,MATCH(M483,'Semrush Data'!$A$1:$A$20000,0),MATCH("Volume",'Semrush Data'!$A$1:$Z$1,0)),""))</f>
        <v/>
      </c>
      <c r="S483" s="22" t="str">
        <f aca="false">IF(N483="","",IFERROR(INDEX('Semrush Data'!$A$1:$Z$20000,MATCH(N483,'Semrush Data'!$A$1:$A$20000,0),MATCH("Volume",'Semrush Data'!$A$1:$Z$1,0)),""))</f>
        <v/>
      </c>
      <c r="T483" s="22" t="str">
        <f aca="false">IF(O483="","",IFERROR(INDEX('Semrush Data'!$A$1:$Z$20000,MATCH(O483,'Semrush Data'!$A$1:$A$20000,0),MATCH("Volume",'Semrush Data'!$A$1:$Z$1,0)),""))</f>
        <v/>
      </c>
      <c r="U483" s="22" t="str">
        <f aca="false">IF(P483="","",IFERROR(INDEX('Semrush Data'!$A$1:$Z$20000,MATCH(P483,'Semrush Data'!$A$1:$A$20000,0),MATCH("Volume",'Semrush Data'!$A$1:$Z$1,0)),""))</f>
        <v/>
      </c>
      <c r="V483" s="23" t="str">
        <f aca="false">IF(COUNT(Q483:U483)=0,L483,IF(MAX(Q483:U483)=0,L483,INDEX(L483:P483,MATCH(MAX(Q483:U483),Q483:U483,0))))</f>
        <v>signature le femme gold</v>
      </c>
      <c r="W483" s="22" t="n">
        <f aca="false">IFERROR(INDEX('Semrush Data'!$A$1:$Z$20000,MATCH(V483,'Semrush Data'!$A$1:$A$20000,0),MATCH("Volume",'Semrush Data'!$A$1:$Z$1,0)),"")</f>
        <v>0</v>
      </c>
      <c r="X483" s="22" t="n">
        <f aca="false">IFERROR(INDEX('Semrush Data'!$A$1:$Z$20000,MATCH(V483,'Semrush Data'!$A$1:$A$20000,0),MATCH("Keyword Difficulty*",'Semrush Data'!$A$1:$Z$1,0)),"")</f>
        <v>22</v>
      </c>
      <c r="Y483" s="24" t="n">
        <f aca="false">IFERROR(INDEX('Semrush Data'!$A$1:$Z$20000,MATCH(V483,'Semrush Data'!$A$1:$A$20000,0),MATCH("CPC*",'Semrush Data'!$A$1:$Z$1,0)),"")</f>
        <v>0</v>
      </c>
      <c r="Z483" s="21" t="s">
        <v>5749</v>
      </c>
      <c r="AA483" s="21"/>
      <c r="AB483" s="21" t="s">
        <v>5750</v>
      </c>
      <c r="AC483" s="21" t="s">
        <v>5751</v>
      </c>
      <c r="AD483" s="25" t="n">
        <f aca="false">LEN(AC483)</f>
        <v>60</v>
      </c>
      <c r="AE483" s="21" t="s">
        <v>5752</v>
      </c>
      <c r="AF483" s="25" t="n">
        <f aca="false">LEN(AE483)</f>
        <v>155</v>
      </c>
    </row>
    <row r="484" customFormat="false" ht="15" hidden="false" customHeight="true" outlineLevel="0" collapsed="false">
      <c r="A484" s="21" t="s">
        <v>5753</v>
      </c>
      <c r="B484" s="21" t="s">
        <v>2390</v>
      </c>
      <c r="C484" s="21" t="n">
        <v>324</v>
      </c>
      <c r="D484" s="21" t="s">
        <v>5696</v>
      </c>
      <c r="E484" s="21"/>
      <c r="F484" s="21" t="s">
        <v>2393</v>
      </c>
      <c r="G484" s="21" t="s">
        <v>2394</v>
      </c>
      <c r="H484" s="21" t="s">
        <v>5754</v>
      </c>
      <c r="I484" s="21" t="s">
        <v>5755</v>
      </c>
      <c r="J484" s="21" t="s">
        <v>1935</v>
      </c>
      <c r="K484" s="21" t="n">
        <v>64.99</v>
      </c>
      <c r="L484" s="21" t="s">
        <v>5756</v>
      </c>
      <c r="M484" s="21" t="s">
        <v>5757</v>
      </c>
      <c r="N484" s="21" t="s">
        <v>5758</v>
      </c>
      <c r="O484" s="21" t="s">
        <v>5759</v>
      </c>
      <c r="P484" s="21" t="s">
        <v>5760</v>
      </c>
      <c r="Q484" s="22" t="n">
        <f aca="false">IF(L484="","",IFERROR(INDEX('Semrush Data'!$A$1:$Z$20000,MATCH(L484,'Semrush Data'!$A$1:$A$20000,0),MATCH("Volume",'Semrush Data'!$A$1:$Z$1,0)),""))</f>
        <v>0</v>
      </c>
      <c r="R484" s="22" t="str">
        <f aca="false">IF(M484="","",IFERROR(INDEX('Semrush Data'!$A$1:$Z$20000,MATCH(M484,'Semrush Data'!$A$1:$A$20000,0),MATCH("Volume",'Semrush Data'!$A$1:$Z$1,0)),""))</f>
        <v/>
      </c>
      <c r="S484" s="22" t="str">
        <f aca="false">IF(N484="","",IFERROR(INDEX('Semrush Data'!$A$1:$Z$20000,MATCH(N484,'Semrush Data'!$A$1:$A$20000,0),MATCH("Volume",'Semrush Data'!$A$1:$Z$1,0)),""))</f>
        <v/>
      </c>
      <c r="T484" s="22" t="str">
        <f aca="false">IF(O484="","",IFERROR(INDEX('Semrush Data'!$A$1:$Z$20000,MATCH(O484,'Semrush Data'!$A$1:$A$20000,0),MATCH("Volume",'Semrush Data'!$A$1:$Z$1,0)),""))</f>
        <v/>
      </c>
      <c r="U484" s="22" t="str">
        <f aca="false">IF(P484="","",IFERROR(INDEX('Semrush Data'!$A$1:$Z$20000,MATCH(P484,'Semrush Data'!$A$1:$A$20000,0),MATCH("Volume",'Semrush Data'!$A$1:$Z$1,0)),""))</f>
        <v/>
      </c>
      <c r="V484" s="23" t="str">
        <f aca="false">IF(COUNT(Q484:U484)=0,L484,IF(MAX(Q484:U484)=0,L484,INDEX(L484:P484,MATCH(MAX(Q484:U484),Q484:U484,0))))</f>
        <v>signature musk</v>
      </c>
      <c r="W484" s="22" t="n">
        <f aca="false">IFERROR(INDEX('Semrush Data'!$A$1:$Z$20000,MATCH(V484,'Semrush Data'!$A$1:$A$20000,0),MATCH("Volume",'Semrush Data'!$A$1:$Z$1,0)),"")</f>
        <v>0</v>
      </c>
      <c r="X484" s="22" t="n">
        <f aca="false">IFERROR(INDEX('Semrush Data'!$A$1:$Z$20000,MATCH(V484,'Semrush Data'!$A$1:$A$20000,0),MATCH("Keyword Difficulty*",'Semrush Data'!$A$1:$Z$1,0)),"")</f>
        <v>15</v>
      </c>
      <c r="Y484" s="24" t="n">
        <f aca="false">IFERROR(INDEX('Semrush Data'!$A$1:$Z$20000,MATCH(V484,'Semrush Data'!$A$1:$A$20000,0),MATCH("CPC*",'Semrush Data'!$A$1:$Z$1,0)),"")</f>
        <v>0</v>
      </c>
      <c r="Z484" s="21" t="s">
        <v>5761</v>
      </c>
      <c r="AA484" s="21" t="s">
        <v>5762</v>
      </c>
      <c r="AB484" s="21" t="s">
        <v>5763</v>
      </c>
      <c r="AC484" s="21" t="s">
        <v>5764</v>
      </c>
      <c r="AD484" s="25" t="n">
        <f aca="false">LEN(AC484)</f>
        <v>55</v>
      </c>
      <c r="AE484" s="21" t="s">
        <v>5765</v>
      </c>
      <c r="AF484" s="25" t="n">
        <f aca="false">LEN(AE484)</f>
        <v>147</v>
      </c>
    </row>
    <row r="485" customFormat="false" ht="15" hidden="false" customHeight="true" outlineLevel="0" collapsed="false">
      <c r="A485" s="21" t="s">
        <v>5766</v>
      </c>
      <c r="B485" s="21" t="s">
        <v>2390</v>
      </c>
      <c r="C485" s="21" t="n">
        <v>325</v>
      </c>
      <c r="D485" s="21" t="s">
        <v>5696</v>
      </c>
      <c r="E485" s="21"/>
      <c r="F485" s="21" t="s">
        <v>2393</v>
      </c>
      <c r="G485" s="21" t="s">
        <v>2394</v>
      </c>
      <c r="H485" s="21" t="s">
        <v>2479</v>
      </c>
      <c r="I485" s="21" t="s">
        <v>5767</v>
      </c>
      <c r="J485" s="21" t="s">
        <v>1935</v>
      </c>
      <c r="K485" s="21" t="n">
        <v>64.99</v>
      </c>
      <c r="L485" s="21" t="s">
        <v>5768</v>
      </c>
      <c r="M485" s="21" t="s">
        <v>5769</v>
      </c>
      <c r="N485" s="21" t="s">
        <v>5770</v>
      </c>
      <c r="O485" s="21" t="s">
        <v>5771</v>
      </c>
      <c r="P485" s="21" t="s">
        <v>5772</v>
      </c>
      <c r="Q485" s="22" t="n">
        <f aca="false">IF(L485="","",IFERROR(INDEX('Semrush Data'!$A$1:$Z$20000,MATCH(L485,'Semrush Data'!$A$1:$A$20000,0),MATCH("Volume",'Semrush Data'!$A$1:$Z$1,0)),""))</f>
        <v>20</v>
      </c>
      <c r="R485" s="22" t="str">
        <f aca="false">IF(M485="","",IFERROR(INDEX('Semrush Data'!$A$1:$Z$20000,MATCH(M485,'Semrush Data'!$A$1:$A$20000,0),MATCH("Volume",'Semrush Data'!$A$1:$Z$1,0)),""))</f>
        <v/>
      </c>
      <c r="S485" s="22" t="str">
        <f aca="false">IF(N485="","",IFERROR(INDEX('Semrush Data'!$A$1:$Z$20000,MATCH(N485,'Semrush Data'!$A$1:$A$20000,0),MATCH("Volume",'Semrush Data'!$A$1:$Z$1,0)),""))</f>
        <v/>
      </c>
      <c r="T485" s="22" t="str">
        <f aca="false">IF(O485="","",IFERROR(INDEX('Semrush Data'!$A$1:$Z$20000,MATCH(O485,'Semrush Data'!$A$1:$A$20000,0),MATCH("Volume",'Semrush Data'!$A$1:$Z$1,0)),""))</f>
        <v/>
      </c>
      <c r="U485" s="22" t="str">
        <f aca="false">IF(P485="","",IFERROR(INDEX('Semrush Data'!$A$1:$Z$20000,MATCH(P485,'Semrush Data'!$A$1:$A$20000,0),MATCH("Volume",'Semrush Data'!$A$1:$Z$1,0)),""))</f>
        <v/>
      </c>
      <c r="V485" s="23" t="str">
        <f aca="false">IF(COUNT(Q485:U485)=0,L485,IF(MAX(Q485:U485)=0,L485,INDEX(L485:P485,MATCH(MAX(Q485:U485),Q485:U485,0))))</f>
        <v>signature onyx</v>
      </c>
      <c r="W485" s="22" t="n">
        <f aca="false">IFERROR(INDEX('Semrush Data'!$A$1:$Z$20000,MATCH(V485,'Semrush Data'!$A$1:$A$20000,0),MATCH("Volume",'Semrush Data'!$A$1:$Z$1,0)),"")</f>
        <v>20</v>
      </c>
      <c r="X485" s="22" t="n">
        <f aca="false">IFERROR(INDEX('Semrush Data'!$A$1:$Z$20000,MATCH(V485,'Semrush Data'!$A$1:$A$20000,0),MATCH("Keyword Difficulty*",'Semrush Data'!$A$1:$Z$1,0)),"")</f>
        <v>7</v>
      </c>
      <c r="Y485" s="24" t="n">
        <f aca="false">IFERROR(INDEX('Semrush Data'!$A$1:$Z$20000,MATCH(V485,'Semrush Data'!$A$1:$A$20000,0),MATCH("CPC*",'Semrush Data'!$A$1:$Z$1,0)),"")</f>
        <v>0</v>
      </c>
      <c r="Z485" s="21" t="s">
        <v>5703</v>
      </c>
      <c r="AA485" s="21" t="s">
        <v>5773</v>
      </c>
      <c r="AB485" s="21" t="s">
        <v>5774</v>
      </c>
      <c r="AC485" s="21" t="s">
        <v>5775</v>
      </c>
      <c r="AD485" s="25" t="n">
        <f aca="false">LEN(AC485)</f>
        <v>55</v>
      </c>
      <c r="AE485" s="21" t="s">
        <v>5776</v>
      </c>
      <c r="AF485" s="25" t="n">
        <f aca="false">LEN(AE485)</f>
        <v>149</v>
      </c>
    </row>
    <row r="486" customFormat="false" ht="15" hidden="false" customHeight="true" outlineLevel="0" collapsed="false">
      <c r="A486" s="21" t="s">
        <v>5777</v>
      </c>
      <c r="B486" s="21" t="s">
        <v>2390</v>
      </c>
      <c r="C486" s="21" t="n">
        <v>326</v>
      </c>
      <c r="D486" s="21" t="s">
        <v>5696</v>
      </c>
      <c r="E486" s="21"/>
      <c r="F486" s="21" t="s">
        <v>2393</v>
      </c>
      <c r="G486" s="21" t="s">
        <v>2394</v>
      </c>
      <c r="H486" s="21" t="s">
        <v>2479</v>
      </c>
      <c r="I486" s="21" t="s">
        <v>5778</v>
      </c>
      <c r="J486" s="21" t="s">
        <v>1935</v>
      </c>
      <c r="K486" s="21" t="n">
        <v>64.99</v>
      </c>
      <c r="L486" s="21" t="s">
        <v>5779</v>
      </c>
      <c r="M486" s="21" t="s">
        <v>5780</v>
      </c>
      <c r="N486" s="21" t="s">
        <v>5781</v>
      </c>
      <c r="O486" s="21" t="s">
        <v>5782</v>
      </c>
      <c r="P486" s="21" t="s">
        <v>5783</v>
      </c>
      <c r="Q486" s="22" t="n">
        <f aca="false">IF(L486="","",IFERROR(INDEX('Semrush Data'!$A$1:$Z$20000,MATCH(L486,'Semrush Data'!$A$1:$A$20000,0),MATCH("Volume",'Semrush Data'!$A$1:$Z$1,0)),""))</f>
        <v>20</v>
      </c>
      <c r="R486" s="22" t="str">
        <f aca="false">IF(M486="","",IFERROR(INDEX('Semrush Data'!$A$1:$Z$20000,MATCH(M486,'Semrush Data'!$A$1:$A$20000,0),MATCH("Volume",'Semrush Data'!$A$1:$Z$1,0)),""))</f>
        <v/>
      </c>
      <c r="S486" s="22" t="str">
        <f aca="false">IF(N486="","",IFERROR(INDEX('Semrush Data'!$A$1:$Z$20000,MATCH(N486,'Semrush Data'!$A$1:$A$20000,0),MATCH("Volume",'Semrush Data'!$A$1:$Z$1,0)),""))</f>
        <v/>
      </c>
      <c r="T486" s="22" t="str">
        <f aca="false">IF(O486="","",IFERROR(INDEX('Semrush Data'!$A$1:$Z$20000,MATCH(O486,'Semrush Data'!$A$1:$A$20000,0),MATCH("Volume",'Semrush Data'!$A$1:$Z$1,0)),""))</f>
        <v/>
      </c>
      <c r="U486" s="22" t="str">
        <f aca="false">IF(P486="","",IFERROR(INDEX('Semrush Data'!$A$1:$Z$20000,MATCH(P486,'Semrush Data'!$A$1:$A$20000,0),MATCH("Volume",'Semrush Data'!$A$1:$Z$1,0)),""))</f>
        <v/>
      </c>
      <c r="V486" s="23" t="str">
        <f aca="false">IF(COUNT(Q486:U486)=0,L486,IF(MAX(Q486:U486)=0,L486,INDEX(L486:P486,MATCH(MAX(Q486:U486),Q486:U486,0))))</f>
        <v>signature opal</v>
      </c>
      <c r="W486" s="22" t="n">
        <f aca="false">IFERROR(INDEX('Semrush Data'!$A$1:$Z$20000,MATCH(V486,'Semrush Data'!$A$1:$A$20000,0),MATCH("Volume",'Semrush Data'!$A$1:$Z$1,0)),"")</f>
        <v>20</v>
      </c>
      <c r="X486" s="22" t="n">
        <f aca="false">IFERROR(INDEX('Semrush Data'!$A$1:$Z$20000,MATCH(V486,'Semrush Data'!$A$1:$A$20000,0),MATCH("Keyword Difficulty*",'Semrush Data'!$A$1:$Z$1,0)),"")</f>
        <v>28</v>
      </c>
      <c r="Y486" s="24" t="n">
        <f aca="false">IFERROR(INDEX('Semrush Data'!$A$1:$Z$20000,MATCH(V486,'Semrush Data'!$A$1:$A$20000,0),MATCH("CPC*",'Semrush Data'!$A$1:$Z$1,0)),"")</f>
        <v>0</v>
      </c>
      <c r="Z486" s="21" t="s">
        <v>5703</v>
      </c>
      <c r="AA486" s="21" t="s">
        <v>5784</v>
      </c>
      <c r="AB486" s="21" t="s">
        <v>5785</v>
      </c>
      <c r="AC486" s="21" t="s">
        <v>5786</v>
      </c>
      <c r="AD486" s="25" t="n">
        <f aca="false">LEN(AC486)</f>
        <v>51</v>
      </c>
      <c r="AE486" s="21" t="s">
        <v>5787</v>
      </c>
      <c r="AF486" s="25" t="n">
        <f aca="false">LEN(AE486)</f>
        <v>135</v>
      </c>
    </row>
    <row r="487" customFormat="false" ht="15" hidden="false" customHeight="true" outlineLevel="0" collapsed="false">
      <c r="A487" s="21" t="s">
        <v>5788</v>
      </c>
      <c r="B487" s="21" t="s">
        <v>2390</v>
      </c>
      <c r="C487" s="21" t="n">
        <v>327</v>
      </c>
      <c r="D487" s="21" t="s">
        <v>5696</v>
      </c>
      <c r="E487" s="21"/>
      <c r="F487" s="21" t="s">
        <v>2393</v>
      </c>
      <c r="G487" s="21" t="s">
        <v>2394</v>
      </c>
      <c r="H487" s="21" t="s">
        <v>2479</v>
      </c>
      <c r="I487" s="21" t="s">
        <v>5789</v>
      </c>
      <c r="J487" s="21" t="s">
        <v>1935</v>
      </c>
      <c r="K487" s="21" t="n">
        <v>74.95</v>
      </c>
      <c r="L487" s="21" t="s">
        <v>5790</v>
      </c>
      <c r="M487" s="21" t="s">
        <v>5791</v>
      </c>
      <c r="N487" s="21" t="s">
        <v>5792</v>
      </c>
      <c r="O487" s="21" t="s">
        <v>5793</v>
      </c>
      <c r="P487" s="21" t="s">
        <v>5794</v>
      </c>
      <c r="Q487" s="22" t="n">
        <f aca="false">IF(L487="","",IFERROR(INDEX('Semrush Data'!$A$1:$Z$20000,MATCH(L487,'Semrush Data'!$A$1:$A$20000,0),MATCH("Volume",'Semrush Data'!$A$1:$Z$1,0)),""))</f>
        <v>10</v>
      </c>
      <c r="R487" s="22" t="str">
        <f aca="false">IF(M487="","",IFERROR(INDEX('Semrush Data'!$A$1:$Z$20000,MATCH(M487,'Semrush Data'!$A$1:$A$20000,0),MATCH("Volume",'Semrush Data'!$A$1:$Z$1,0)),""))</f>
        <v/>
      </c>
      <c r="S487" s="22" t="str">
        <f aca="false">IF(N487="","",IFERROR(INDEX('Semrush Data'!$A$1:$Z$20000,MATCH(N487,'Semrush Data'!$A$1:$A$20000,0),MATCH("Volume",'Semrush Data'!$A$1:$Z$1,0)),""))</f>
        <v/>
      </c>
      <c r="T487" s="22" t="str">
        <f aca="false">IF(O487="","",IFERROR(INDEX('Semrush Data'!$A$1:$Z$20000,MATCH(O487,'Semrush Data'!$A$1:$A$20000,0),MATCH("Volume",'Semrush Data'!$A$1:$Z$1,0)),""))</f>
        <v/>
      </c>
      <c r="U487" s="22" t="str">
        <f aca="false">IF(P487="","",IFERROR(INDEX('Semrush Data'!$A$1:$Z$20000,MATCH(P487,'Semrush Data'!$A$1:$A$20000,0),MATCH("Volume",'Semrush Data'!$A$1:$Z$1,0)),""))</f>
        <v/>
      </c>
      <c r="V487" s="23" t="str">
        <f aca="false">IF(COUNT(Q487:U487)=0,L487,IF(MAX(Q487:U487)=0,L487,INDEX(L487:P487,MATCH(MAX(Q487:U487),Q487:U487,0))))</f>
        <v>signature paradiso</v>
      </c>
      <c r="W487" s="22" t="n">
        <f aca="false">IFERROR(INDEX('Semrush Data'!$A$1:$Z$20000,MATCH(V487,'Semrush Data'!$A$1:$A$20000,0),MATCH("Volume",'Semrush Data'!$A$1:$Z$1,0)),"")</f>
        <v>10</v>
      </c>
      <c r="X487" s="22" t="n">
        <f aca="false">IFERROR(INDEX('Semrush Data'!$A$1:$Z$20000,MATCH(V487,'Semrush Data'!$A$1:$A$20000,0),MATCH("Keyword Difficulty*",'Semrush Data'!$A$1:$Z$1,0)),"")</f>
        <v>16</v>
      </c>
      <c r="Y487" s="24" t="n">
        <f aca="false">IFERROR(INDEX('Semrush Data'!$A$1:$Z$20000,MATCH(V487,'Semrush Data'!$A$1:$A$20000,0),MATCH("CPC*",'Semrush Data'!$A$1:$Z$1,0)),"")</f>
        <v>0</v>
      </c>
      <c r="Z487" s="21" t="s">
        <v>5703</v>
      </c>
      <c r="AA487" s="21" t="s">
        <v>5795</v>
      </c>
      <c r="AB487" s="21" t="s">
        <v>5796</v>
      </c>
      <c r="AC487" s="21" t="s">
        <v>5797</v>
      </c>
      <c r="AD487" s="25" t="n">
        <f aca="false">LEN(AC487)</f>
        <v>55</v>
      </c>
      <c r="AE487" s="21" t="s">
        <v>5798</v>
      </c>
      <c r="AF487" s="25" t="n">
        <f aca="false">LEN(AE487)</f>
        <v>143</v>
      </c>
    </row>
    <row r="488" customFormat="false" ht="15" hidden="false" customHeight="true" outlineLevel="0" collapsed="false">
      <c r="A488" s="21" t="s">
        <v>5799</v>
      </c>
      <c r="B488" s="21" t="s">
        <v>2390</v>
      </c>
      <c r="C488" s="21" t="n">
        <v>328</v>
      </c>
      <c r="D488" s="21" t="s">
        <v>5696</v>
      </c>
      <c r="E488" s="21"/>
      <c r="F488" s="21" t="s">
        <v>2393</v>
      </c>
      <c r="G488" s="21" t="s">
        <v>2394</v>
      </c>
      <c r="H488" s="21" t="s">
        <v>2479</v>
      </c>
      <c r="I488" s="21" t="s">
        <v>5800</v>
      </c>
      <c r="J488" s="21" t="s">
        <v>1935</v>
      </c>
      <c r="K488" s="21" t="n">
        <v>65.99</v>
      </c>
      <c r="L488" s="21" t="s">
        <v>5801</v>
      </c>
      <c r="M488" s="21" t="s">
        <v>5802</v>
      </c>
      <c r="N488" s="21" t="s">
        <v>5803</v>
      </c>
      <c r="O488" s="21" t="s">
        <v>5804</v>
      </c>
      <c r="P488" s="21" t="s">
        <v>5805</v>
      </c>
      <c r="Q488" s="22" t="n">
        <f aca="false">IF(L488="","",IFERROR(INDEX('Semrush Data'!$A$1:$Z$20000,MATCH(L488,'Semrush Data'!$A$1:$A$20000,0),MATCH("Volume",'Semrush Data'!$A$1:$Z$1,0)),""))</f>
        <v>20</v>
      </c>
      <c r="R488" s="22" t="str">
        <f aca="false">IF(M488="","",IFERROR(INDEX('Semrush Data'!$A$1:$Z$20000,MATCH(M488,'Semrush Data'!$A$1:$A$20000,0),MATCH("Volume",'Semrush Data'!$A$1:$Z$1,0)),""))</f>
        <v/>
      </c>
      <c r="S488" s="22" t="str">
        <f aca="false">IF(N488="","",IFERROR(INDEX('Semrush Data'!$A$1:$Z$20000,MATCH(N488,'Semrush Data'!$A$1:$A$20000,0),MATCH("Volume",'Semrush Data'!$A$1:$Z$1,0)),""))</f>
        <v/>
      </c>
      <c r="T488" s="22" t="str">
        <f aca="false">IF(O488="","",IFERROR(INDEX('Semrush Data'!$A$1:$Z$20000,MATCH(O488,'Semrush Data'!$A$1:$A$20000,0),MATCH("Volume",'Semrush Data'!$A$1:$Z$1,0)),""))</f>
        <v/>
      </c>
      <c r="U488" s="22" t="str">
        <f aca="false">IF(P488="","",IFERROR(INDEX('Semrush Data'!$A$1:$Z$20000,MATCH(P488,'Semrush Data'!$A$1:$A$20000,0),MATCH("Volume",'Semrush Data'!$A$1:$Z$1,0)),""))</f>
        <v/>
      </c>
      <c r="V488" s="23" t="str">
        <f aca="false">IF(COUNT(Q488:U488)=0,L488,IF(MAX(Q488:U488)=0,L488,INDEX(L488:P488,MATCH(MAX(Q488:U488),Q488:U488,0))))</f>
        <v>signature santal</v>
      </c>
      <c r="W488" s="22" t="n">
        <f aca="false">IFERROR(INDEX('Semrush Data'!$A$1:$Z$20000,MATCH(V488,'Semrush Data'!$A$1:$A$20000,0),MATCH("Volume",'Semrush Data'!$A$1:$Z$1,0)),"")</f>
        <v>20</v>
      </c>
      <c r="X488" s="22" t="n">
        <f aca="false">IFERROR(INDEX('Semrush Data'!$A$1:$Z$20000,MATCH(V488,'Semrush Data'!$A$1:$A$20000,0),MATCH("Keyword Difficulty*",'Semrush Data'!$A$1:$Z$1,0)),"")</f>
        <v>16</v>
      </c>
      <c r="Y488" s="24" t="n">
        <f aca="false">IFERROR(INDEX('Semrush Data'!$A$1:$Z$20000,MATCH(V488,'Semrush Data'!$A$1:$A$20000,0),MATCH("CPC*",'Semrush Data'!$A$1:$Z$1,0)),"")</f>
        <v>0</v>
      </c>
      <c r="Z488" s="21" t="s">
        <v>5703</v>
      </c>
      <c r="AA488" s="21" t="s">
        <v>5806</v>
      </c>
      <c r="AB488" s="21" t="s">
        <v>5807</v>
      </c>
      <c r="AC488" s="21" t="s">
        <v>5808</v>
      </c>
      <c r="AD488" s="25" t="n">
        <f aca="false">LEN(AC488)</f>
        <v>57</v>
      </c>
      <c r="AE488" s="21" t="s">
        <v>5809</v>
      </c>
      <c r="AF488" s="25" t="n">
        <f aca="false">LEN(AE488)</f>
        <v>151</v>
      </c>
    </row>
    <row r="489" customFormat="false" ht="15" hidden="false" customHeight="true" outlineLevel="0" collapsed="false">
      <c r="A489" s="21" t="s">
        <v>5810</v>
      </c>
      <c r="B489" s="21" t="s">
        <v>2390</v>
      </c>
      <c r="C489" s="21" t="n">
        <v>329</v>
      </c>
      <c r="D489" s="21" t="s">
        <v>5696</v>
      </c>
      <c r="E489" s="21"/>
      <c r="F489" s="21" t="s">
        <v>2393</v>
      </c>
      <c r="G489" s="21" t="s">
        <v>2394</v>
      </c>
      <c r="H489" s="21" t="s">
        <v>2479</v>
      </c>
      <c r="I489" s="21" t="s">
        <v>5811</v>
      </c>
      <c r="J489" s="21" t="s">
        <v>1935</v>
      </c>
      <c r="K489" s="21" t="n">
        <v>64.99</v>
      </c>
      <c r="L489" s="21" t="s">
        <v>5812</v>
      </c>
      <c r="M489" s="21" t="s">
        <v>5813</v>
      </c>
      <c r="N489" s="21" t="s">
        <v>5814</v>
      </c>
      <c r="O489" s="21" t="s">
        <v>5815</v>
      </c>
      <c r="P489" s="21" t="s">
        <v>5816</v>
      </c>
      <c r="Q489" s="22" t="n">
        <f aca="false">IF(L489="","",IFERROR(INDEX('Semrush Data'!$A$1:$Z$20000,MATCH(L489,'Semrush Data'!$A$1:$A$20000,0),MATCH("Volume",'Semrush Data'!$A$1:$Z$1,0)),""))</f>
        <v>10</v>
      </c>
      <c r="R489" s="22" t="str">
        <f aca="false">IF(M489="","",IFERROR(INDEX('Semrush Data'!$A$1:$Z$20000,MATCH(M489,'Semrush Data'!$A$1:$A$20000,0),MATCH("Volume",'Semrush Data'!$A$1:$Z$1,0)),""))</f>
        <v/>
      </c>
      <c r="S489" s="22" t="str">
        <f aca="false">IF(N489="","",IFERROR(INDEX('Semrush Data'!$A$1:$Z$20000,MATCH(N489,'Semrush Data'!$A$1:$A$20000,0),MATCH("Volume",'Semrush Data'!$A$1:$Z$1,0)),""))</f>
        <v/>
      </c>
      <c r="T489" s="22" t="str">
        <f aca="false">IF(O489="","",IFERROR(INDEX('Semrush Data'!$A$1:$Z$20000,MATCH(O489,'Semrush Data'!$A$1:$A$20000,0),MATCH("Volume",'Semrush Data'!$A$1:$Z$1,0)),""))</f>
        <v/>
      </c>
      <c r="U489" s="22" t="str">
        <f aca="false">IF(P489="","",IFERROR(INDEX('Semrush Data'!$A$1:$Z$20000,MATCH(P489,'Semrush Data'!$A$1:$A$20000,0),MATCH("Volume",'Semrush Data'!$A$1:$Z$1,0)),""))</f>
        <v/>
      </c>
      <c r="V489" s="23" t="str">
        <f aca="false">IF(COUNT(Q489:U489)=0,L489,IF(MAX(Q489:U489)=0,L489,INDEX(L489:P489,MATCH(MAX(Q489:U489),Q489:U489,0))))</f>
        <v>signature sapphire</v>
      </c>
      <c r="W489" s="22" t="n">
        <f aca="false">IFERROR(INDEX('Semrush Data'!$A$1:$Z$20000,MATCH(V489,'Semrush Data'!$A$1:$A$20000,0),MATCH("Volume",'Semrush Data'!$A$1:$Z$1,0)),"")</f>
        <v>10</v>
      </c>
      <c r="X489" s="22" t="n">
        <f aca="false">IFERROR(INDEX('Semrush Data'!$A$1:$Z$20000,MATCH(V489,'Semrush Data'!$A$1:$A$20000,0),MATCH("Keyword Difficulty*",'Semrush Data'!$A$1:$Z$1,0)),"")</f>
        <v>3</v>
      </c>
      <c r="Y489" s="24" t="n">
        <f aca="false">IFERROR(INDEX('Semrush Data'!$A$1:$Z$20000,MATCH(V489,'Semrush Data'!$A$1:$A$20000,0),MATCH("CPC*",'Semrush Data'!$A$1:$Z$1,0)),"")</f>
        <v>0</v>
      </c>
      <c r="Z489" s="21" t="s">
        <v>5703</v>
      </c>
      <c r="AA489" s="21" t="s">
        <v>5817</v>
      </c>
      <c r="AB489" s="21" t="s">
        <v>5818</v>
      </c>
      <c r="AC489" s="21" t="s">
        <v>5819</v>
      </c>
      <c r="AD489" s="25" t="n">
        <f aca="false">LEN(AC489)</f>
        <v>59</v>
      </c>
      <c r="AE489" s="21" t="s">
        <v>5820</v>
      </c>
      <c r="AF489" s="25" t="n">
        <f aca="false">LEN(AE489)</f>
        <v>153</v>
      </c>
    </row>
    <row r="490" customFormat="false" ht="15" hidden="false" customHeight="true" outlineLevel="0" collapsed="false">
      <c r="A490" s="21" t="s">
        <v>5821</v>
      </c>
      <c r="B490" s="21" t="s">
        <v>2390</v>
      </c>
      <c r="C490" s="21" t="n">
        <v>330</v>
      </c>
      <c r="D490" s="21" t="s">
        <v>5696</v>
      </c>
      <c r="E490" s="21"/>
      <c r="F490" s="21" t="s">
        <v>1676</v>
      </c>
      <c r="G490" s="21" t="s">
        <v>2394</v>
      </c>
      <c r="H490" s="21" t="s">
        <v>2479</v>
      </c>
      <c r="I490" s="21" t="s">
        <v>5822</v>
      </c>
      <c r="J490" s="21" t="s">
        <v>1935</v>
      </c>
      <c r="K490" s="21" t="n">
        <v>64.99</v>
      </c>
      <c r="L490" s="21" t="s">
        <v>5823</v>
      </c>
      <c r="M490" s="21" t="s">
        <v>5824</v>
      </c>
      <c r="N490" s="21" t="s">
        <v>5825</v>
      </c>
      <c r="O490" s="21" t="s">
        <v>5826</v>
      </c>
      <c r="P490" s="21" t="s">
        <v>5827</v>
      </c>
      <c r="Q490" s="22" t="n">
        <f aca="false">IF(L490="","",IFERROR(INDEX('Semrush Data'!$A$1:$Z$20000,MATCH(L490,'Semrush Data'!$A$1:$A$20000,0),MATCH("Volume",'Semrush Data'!$A$1:$Z$1,0)),""))</f>
        <v>10</v>
      </c>
      <c r="R490" s="22" t="str">
        <f aca="false">IF(M490="","",IFERROR(INDEX('Semrush Data'!$A$1:$Z$20000,MATCH(M490,'Semrush Data'!$A$1:$A$20000,0),MATCH("Volume",'Semrush Data'!$A$1:$Z$1,0)),""))</f>
        <v/>
      </c>
      <c r="S490" s="22" t="str">
        <f aca="false">IF(N490="","",IFERROR(INDEX('Semrush Data'!$A$1:$Z$20000,MATCH(N490,'Semrush Data'!$A$1:$A$20000,0),MATCH("Volume",'Semrush Data'!$A$1:$Z$1,0)),""))</f>
        <v/>
      </c>
      <c r="T490" s="22" t="str">
        <f aca="false">IF(O490="","",IFERROR(INDEX('Semrush Data'!$A$1:$Z$20000,MATCH(O490,'Semrush Data'!$A$1:$A$20000,0),MATCH("Volume",'Semrush Data'!$A$1:$Z$1,0)),""))</f>
        <v/>
      </c>
      <c r="U490" s="22" t="str">
        <f aca="false">IF(P490="","",IFERROR(INDEX('Semrush Data'!$A$1:$Z$20000,MATCH(P490,'Semrush Data'!$A$1:$A$20000,0),MATCH("Volume",'Semrush Data'!$A$1:$Z$1,0)),""))</f>
        <v/>
      </c>
      <c r="V490" s="23" t="str">
        <f aca="false">IF(COUNT(Q490:U490)=0,L490,IF(MAX(Q490:U490)=0,L490,INDEX(L490:P490,MATCH(MAX(Q490:U490),Q490:U490,0))))</f>
        <v>signature diamond</v>
      </c>
      <c r="W490" s="22" t="n">
        <f aca="false">IFERROR(INDEX('Semrush Data'!$A$1:$Z$20000,MATCH(V490,'Semrush Data'!$A$1:$A$20000,0),MATCH("Volume",'Semrush Data'!$A$1:$Z$1,0)),"")</f>
        <v>10</v>
      </c>
      <c r="X490" s="22" t="n">
        <f aca="false">IFERROR(INDEX('Semrush Data'!$A$1:$Z$20000,MATCH(V490,'Semrush Data'!$A$1:$A$20000,0),MATCH("Keyword Difficulty*",'Semrush Data'!$A$1:$Z$1,0)),"")</f>
        <v>16</v>
      </c>
      <c r="Y490" s="24" t="n">
        <f aca="false">IFERROR(INDEX('Semrush Data'!$A$1:$Z$20000,MATCH(V490,'Semrush Data'!$A$1:$A$20000,0),MATCH("CPC*",'Semrush Data'!$A$1:$Z$1,0)),"")</f>
        <v>0</v>
      </c>
      <c r="Z490" s="21" t="s">
        <v>5703</v>
      </c>
      <c r="AA490" s="21" t="s">
        <v>5828</v>
      </c>
      <c r="AB490" s="21" t="s">
        <v>5829</v>
      </c>
      <c r="AC490" s="21" t="s">
        <v>5830</v>
      </c>
      <c r="AD490" s="25" t="n">
        <f aca="false">LEN(AC490)</f>
        <v>50</v>
      </c>
      <c r="AE490" s="21" t="s">
        <v>5831</v>
      </c>
      <c r="AF490" s="25" t="n">
        <f aca="false">LEN(AE490)</f>
        <v>138</v>
      </c>
    </row>
    <row r="491" customFormat="false" ht="15" hidden="false" customHeight="true" outlineLevel="0" collapsed="false">
      <c r="A491" s="21" t="s">
        <v>5832</v>
      </c>
      <c r="B491" s="21" t="s">
        <v>2390</v>
      </c>
      <c r="C491" s="21" t="n">
        <v>331</v>
      </c>
      <c r="D491" s="21" t="s">
        <v>5696</v>
      </c>
      <c r="E491" s="21"/>
      <c r="F491" s="21" t="s">
        <v>1676</v>
      </c>
      <c r="G491" s="21" t="s">
        <v>2491</v>
      </c>
      <c r="H491" s="21" t="s">
        <v>2479</v>
      </c>
      <c r="I491" s="21" t="s">
        <v>5833</v>
      </c>
      <c r="J491" s="21" t="s">
        <v>5834</v>
      </c>
      <c r="K491" s="21" t="n">
        <v>75.99</v>
      </c>
      <c r="L491" s="21" t="s">
        <v>5835</v>
      </c>
      <c r="M491" s="21" t="s">
        <v>5836</v>
      </c>
      <c r="N491" s="21" t="s">
        <v>5837</v>
      </c>
      <c r="O491" s="21" t="s">
        <v>5838</v>
      </c>
      <c r="P491" s="21"/>
      <c r="Q491" s="22" t="n">
        <f aca="false">IF(L491="","",IFERROR(INDEX('Semrush Data'!$A$1:$Z$20000,MATCH(L491,'Semrush Data'!$A$1:$A$20000,0),MATCH("Volume",'Semrush Data'!$A$1:$Z$1,0)),""))</f>
        <v>20</v>
      </c>
      <c r="R491" s="22" t="str">
        <f aca="false">IF(M491="","",IFERROR(INDEX('Semrush Data'!$A$1:$Z$20000,MATCH(M491,'Semrush Data'!$A$1:$A$20000,0),MATCH("Volume",'Semrush Data'!$A$1:$Z$1,0)),""))</f>
        <v/>
      </c>
      <c r="S491" s="22" t="str">
        <f aca="false">IF(N491="","",IFERROR(INDEX('Semrush Data'!$A$1:$Z$20000,MATCH(N491,'Semrush Data'!$A$1:$A$20000,0),MATCH("Volume",'Semrush Data'!$A$1:$Z$1,0)),""))</f>
        <v/>
      </c>
      <c r="T491" s="22" t="str">
        <f aca="false">IF(O491="","",IFERROR(INDEX('Semrush Data'!$A$1:$Z$20000,MATCH(O491,'Semrush Data'!$A$1:$A$20000,0),MATCH("Volume",'Semrush Data'!$A$1:$Z$1,0)),""))</f>
        <v/>
      </c>
      <c r="U491" s="22" t="str">
        <f aca="false">IF(P491="","",IFERROR(INDEX('Semrush Data'!$A$1:$Z$20000,MATCH(P491,'Semrush Data'!$A$1:$A$20000,0),MATCH("Volume",'Semrush Data'!$A$1:$Z$1,0)),""))</f>
        <v/>
      </c>
      <c r="V491" s="23" t="str">
        <f aca="false">IF(COUNT(Q491:U491)=0,L491,IF(MAX(Q491:U491)=0,L491,INDEX(L491:P491,MATCH(MAX(Q491:U491),Q491:U491,0))))</f>
        <v>signature discovery set</v>
      </c>
      <c r="W491" s="22" t="n">
        <f aca="false">IFERROR(INDEX('Semrush Data'!$A$1:$Z$20000,MATCH(V491,'Semrush Data'!$A$1:$A$20000,0),MATCH("Volume",'Semrush Data'!$A$1:$Z$1,0)),"")</f>
        <v>20</v>
      </c>
      <c r="X491" s="22" t="n">
        <f aca="false">IFERROR(INDEX('Semrush Data'!$A$1:$Z$20000,MATCH(V491,'Semrush Data'!$A$1:$A$20000,0),MATCH("Keyword Difficulty*",'Semrush Data'!$A$1:$Z$1,0)),"")</f>
        <v>16</v>
      </c>
      <c r="Y491" s="24" t="n">
        <f aca="false">IFERROR(INDEX('Semrush Data'!$A$1:$Z$20000,MATCH(V491,'Semrush Data'!$A$1:$A$20000,0),MATCH("CPC*",'Semrush Data'!$A$1:$Z$1,0)),"")</f>
        <v>0</v>
      </c>
      <c r="Z491" s="21" t="s">
        <v>5703</v>
      </c>
      <c r="AA491" s="21" t="s">
        <v>5839</v>
      </c>
      <c r="AB491" s="21" t="s">
        <v>5833</v>
      </c>
      <c r="AC491" s="21" t="s">
        <v>5840</v>
      </c>
      <c r="AD491" s="25" t="n">
        <f aca="false">LEN(AC491)</f>
        <v>58</v>
      </c>
      <c r="AE491" s="21" t="s">
        <v>5841</v>
      </c>
      <c r="AF491" s="25" t="n">
        <f aca="false">LEN(AE491)</f>
        <v>150</v>
      </c>
    </row>
    <row r="492" customFormat="false" ht="15" hidden="false" customHeight="true" outlineLevel="0" collapsed="false">
      <c r="A492" s="21" t="s">
        <v>5842</v>
      </c>
      <c r="B492" s="21" t="s">
        <v>2390</v>
      </c>
      <c r="C492" s="21" t="n">
        <v>332</v>
      </c>
      <c r="D492" s="21" t="s">
        <v>5696</v>
      </c>
      <c r="E492" s="21"/>
      <c r="F492" s="21" t="s">
        <v>2393</v>
      </c>
      <c r="G492" s="21" t="s">
        <v>2394</v>
      </c>
      <c r="H492" s="21" t="s">
        <v>5843</v>
      </c>
      <c r="I492" s="21" t="s">
        <v>5844</v>
      </c>
      <c r="J492" s="21" t="s">
        <v>1935</v>
      </c>
      <c r="K492" s="21" t="n">
        <v>38.99</v>
      </c>
      <c r="L492" s="21" t="s">
        <v>5845</v>
      </c>
      <c r="M492" s="21" t="s">
        <v>5846</v>
      </c>
      <c r="N492" s="21" t="s">
        <v>5847</v>
      </c>
      <c r="O492" s="21" t="s">
        <v>5848</v>
      </c>
      <c r="P492" s="21" t="s">
        <v>5849</v>
      </c>
      <c r="Q492" s="22" t="n">
        <f aca="false">IF(L492="","",IFERROR(INDEX('Semrush Data'!$A$1:$Z$20000,MATCH(L492,'Semrush Data'!$A$1:$A$20000,0),MATCH("Volume",'Semrush Data'!$A$1:$Z$1,0)),""))</f>
        <v>140</v>
      </c>
      <c r="R492" s="22" t="n">
        <f aca="false">IF(M492="","",IFERROR(INDEX('Semrush Data'!$A$1:$Z$20000,MATCH(M492,'Semrush Data'!$A$1:$A$20000,0),MATCH("Volume",'Semrush Data'!$A$1:$Z$1,0)),""))</f>
        <v>0</v>
      </c>
      <c r="S492" s="22" t="str">
        <f aca="false">IF(N492="","",IFERROR(INDEX('Semrush Data'!$A$1:$Z$20000,MATCH(N492,'Semrush Data'!$A$1:$A$20000,0),MATCH("Volume",'Semrush Data'!$A$1:$Z$1,0)),""))</f>
        <v/>
      </c>
      <c r="T492" s="22" t="str">
        <f aca="false">IF(O492="","",IFERROR(INDEX('Semrush Data'!$A$1:$Z$20000,MATCH(O492,'Semrush Data'!$A$1:$A$20000,0),MATCH("Volume",'Semrush Data'!$A$1:$Z$1,0)),""))</f>
        <v/>
      </c>
      <c r="U492" s="22" t="n">
        <f aca="false">IF(P492="","",IFERROR(INDEX('Semrush Data'!$A$1:$Z$20000,MATCH(P492,'Semrush Data'!$A$1:$A$20000,0),MATCH("Volume",'Semrush Data'!$A$1:$Z$1,0)),""))</f>
        <v>0</v>
      </c>
      <c r="V492" s="23" t="str">
        <f aca="false">IF(COUNT(Q492:U492)=0,L492,IF(MAX(Q492:U492)=0,L492,INDEX(L492:P492,MATCH(MAX(Q492:U492),Q492:U492,0))))</f>
        <v>signature blue</v>
      </c>
      <c r="W492" s="22" t="n">
        <f aca="false">IFERROR(INDEX('Semrush Data'!$A$1:$Z$20000,MATCH(V492,'Semrush Data'!$A$1:$A$20000,0),MATCH("Volume",'Semrush Data'!$A$1:$Z$1,0)),"")</f>
        <v>140</v>
      </c>
      <c r="X492" s="22" t="n">
        <f aca="false">IFERROR(INDEX('Semrush Data'!$A$1:$Z$20000,MATCH(V492,'Semrush Data'!$A$1:$A$20000,0),MATCH("Keyword Difficulty*",'Semrush Data'!$A$1:$Z$1,0)),"")</f>
        <v>10</v>
      </c>
      <c r="Y492" s="24" t="n">
        <f aca="false">IFERROR(INDEX('Semrush Data'!$A$1:$Z$20000,MATCH(V492,'Semrush Data'!$A$1:$A$20000,0),MATCH("CPC*",'Semrush Data'!$A$1:$Z$1,0)),"")</f>
        <v>0</v>
      </c>
      <c r="Z492" s="21" t="s">
        <v>5850</v>
      </c>
      <c r="AA492" s="21" t="s">
        <v>5851</v>
      </c>
      <c r="AB492" s="21" t="s">
        <v>5852</v>
      </c>
      <c r="AC492" s="21" t="s">
        <v>5853</v>
      </c>
      <c r="AD492" s="25" t="n">
        <f aca="false">LEN(AC492)</f>
        <v>51</v>
      </c>
      <c r="AE492" s="21" t="s">
        <v>5854</v>
      </c>
      <c r="AF492" s="25" t="n">
        <f aca="false">LEN(AE492)</f>
        <v>138</v>
      </c>
    </row>
    <row r="493" customFormat="false" ht="15" hidden="false" customHeight="true" outlineLevel="0" collapsed="false">
      <c r="A493" s="21" t="s">
        <v>5855</v>
      </c>
      <c r="B493" s="21" t="s">
        <v>2390</v>
      </c>
      <c r="C493" s="21" t="n">
        <v>333</v>
      </c>
      <c r="D493" s="21" t="s">
        <v>5696</v>
      </c>
      <c r="E493" s="21"/>
      <c r="F493" s="21" t="s">
        <v>2393</v>
      </c>
      <c r="G493" s="21" t="s">
        <v>2394</v>
      </c>
      <c r="H493" s="21" t="s">
        <v>2479</v>
      </c>
      <c r="I493" s="21" t="s">
        <v>5856</v>
      </c>
      <c r="J493" s="21" t="s">
        <v>1935</v>
      </c>
      <c r="K493" s="21" t="n">
        <v>64.99</v>
      </c>
      <c r="L493" s="21" t="s">
        <v>5857</v>
      </c>
      <c r="M493" s="21" t="s">
        <v>5858</v>
      </c>
      <c r="N493" s="21" t="s">
        <v>5859</v>
      </c>
      <c r="O493" s="21" t="s">
        <v>5860</v>
      </c>
      <c r="P493" s="21" t="s">
        <v>5861</v>
      </c>
      <c r="Q493" s="22" t="n">
        <f aca="false">IF(L493="","",IFERROR(INDEX('Semrush Data'!$A$1:$Z$20000,MATCH(L493,'Semrush Data'!$A$1:$A$20000,0),MATCH("Volume",'Semrush Data'!$A$1:$Z$1,0)),""))</f>
        <v>20</v>
      </c>
      <c r="R493" s="22" t="str">
        <f aca="false">IF(M493="","",IFERROR(INDEX('Semrush Data'!$A$1:$Z$20000,MATCH(M493,'Semrush Data'!$A$1:$A$20000,0),MATCH("Volume",'Semrush Data'!$A$1:$Z$1,0)),""))</f>
        <v/>
      </c>
      <c r="S493" s="22" t="str">
        <f aca="false">IF(N493="","",IFERROR(INDEX('Semrush Data'!$A$1:$Z$20000,MATCH(N493,'Semrush Data'!$A$1:$A$20000,0),MATCH("Volume",'Semrush Data'!$A$1:$Z$1,0)),""))</f>
        <v/>
      </c>
      <c r="T493" s="22" t="str">
        <f aca="false">IF(O493="","",IFERROR(INDEX('Semrush Data'!$A$1:$Z$20000,MATCH(O493,'Semrush Data'!$A$1:$A$20000,0),MATCH("Volume",'Semrush Data'!$A$1:$Z$1,0)),""))</f>
        <v/>
      </c>
      <c r="U493" s="22" t="str">
        <f aca="false">IF(P493="","",IFERROR(INDEX('Semrush Data'!$A$1:$Z$20000,MATCH(P493,'Semrush Data'!$A$1:$A$20000,0),MATCH("Volume",'Semrush Data'!$A$1:$Z$1,0)),""))</f>
        <v/>
      </c>
      <c r="V493" s="23" t="str">
        <f aca="false">IF(COUNT(Q493:U493)=0,L493,IF(MAX(Q493:U493)=0,L493,INDEX(L493:P493,MATCH(MAX(Q493:U493),Q493:U493,0))))</f>
        <v>signature jade</v>
      </c>
      <c r="W493" s="22" t="n">
        <f aca="false">IFERROR(INDEX('Semrush Data'!$A$1:$Z$20000,MATCH(V493,'Semrush Data'!$A$1:$A$20000,0),MATCH("Volume",'Semrush Data'!$A$1:$Z$1,0)),"")</f>
        <v>20</v>
      </c>
      <c r="X493" s="22" t="n">
        <f aca="false">IFERROR(INDEX('Semrush Data'!$A$1:$Z$20000,MATCH(V493,'Semrush Data'!$A$1:$A$20000,0),MATCH("Keyword Difficulty*",'Semrush Data'!$A$1:$Z$1,0)),"")</f>
        <v>12</v>
      </c>
      <c r="Y493" s="24" t="n">
        <f aca="false">IFERROR(INDEX('Semrush Data'!$A$1:$Z$20000,MATCH(V493,'Semrush Data'!$A$1:$A$20000,0),MATCH("CPC*",'Semrush Data'!$A$1:$Z$1,0)),"")</f>
        <v>0</v>
      </c>
      <c r="Z493" s="21" t="s">
        <v>5703</v>
      </c>
      <c r="AA493" s="21" t="s">
        <v>5862</v>
      </c>
      <c r="AB493" s="21" t="s">
        <v>5863</v>
      </c>
      <c r="AC493" s="21" t="s">
        <v>5864</v>
      </c>
      <c r="AD493" s="25" t="n">
        <f aca="false">LEN(AC493)</f>
        <v>51</v>
      </c>
      <c r="AE493" s="21" t="s">
        <v>5865</v>
      </c>
      <c r="AF493" s="25" t="n">
        <f aca="false">LEN(AE493)</f>
        <v>139</v>
      </c>
    </row>
    <row r="494" customFormat="false" ht="15" hidden="false" customHeight="true" outlineLevel="0" collapsed="false">
      <c r="A494" s="21" t="s">
        <v>5866</v>
      </c>
      <c r="B494" s="21" t="s">
        <v>2390</v>
      </c>
      <c r="C494" s="21" t="n">
        <v>334</v>
      </c>
      <c r="D494" s="21" t="s">
        <v>5696</v>
      </c>
      <c r="E494" s="21"/>
      <c r="F494" s="21" t="s">
        <v>2393</v>
      </c>
      <c r="G494" s="21" t="s">
        <v>2394</v>
      </c>
      <c r="H494" s="21" t="s">
        <v>2468</v>
      </c>
      <c r="I494" s="21" t="s">
        <v>5867</v>
      </c>
      <c r="J494" s="21" t="s">
        <v>1935</v>
      </c>
      <c r="K494" s="21" t="n">
        <v>44.99</v>
      </c>
      <c r="L494" s="21" t="s">
        <v>5868</v>
      </c>
      <c r="M494" s="21" t="s">
        <v>5869</v>
      </c>
      <c r="N494" s="21" t="s">
        <v>5870</v>
      </c>
      <c r="O494" s="21" t="s">
        <v>5871</v>
      </c>
      <c r="P494" s="21" t="s">
        <v>5872</v>
      </c>
      <c r="Q494" s="22" t="n">
        <f aca="false">IF(L494="","",IFERROR(INDEX('Semrush Data'!$A$1:$Z$20000,MATCH(L494,'Semrush Data'!$A$1:$A$20000,0),MATCH("Volume",'Semrush Data'!$A$1:$Z$1,0)),""))</f>
        <v>20</v>
      </c>
      <c r="R494" s="22" t="str">
        <f aca="false">IF(M494="","",IFERROR(INDEX('Semrush Data'!$A$1:$Z$20000,MATCH(M494,'Semrush Data'!$A$1:$A$20000,0),MATCH("Volume",'Semrush Data'!$A$1:$Z$1,0)),""))</f>
        <v/>
      </c>
      <c r="S494" s="22" t="str">
        <f aca="false">IF(N494="","",IFERROR(INDEX('Semrush Data'!$A$1:$Z$20000,MATCH(N494,'Semrush Data'!$A$1:$A$20000,0),MATCH("Volume",'Semrush Data'!$A$1:$Z$1,0)),""))</f>
        <v/>
      </c>
      <c r="T494" s="22" t="str">
        <f aca="false">IF(O494="","",IFERROR(INDEX('Semrush Data'!$A$1:$Z$20000,MATCH(O494,'Semrush Data'!$A$1:$A$20000,0),MATCH("Volume",'Semrush Data'!$A$1:$Z$1,0)),""))</f>
        <v/>
      </c>
      <c r="U494" s="22" t="str">
        <f aca="false">IF(P494="","",IFERROR(INDEX('Semrush Data'!$A$1:$Z$20000,MATCH(P494,'Semrush Data'!$A$1:$A$20000,0),MATCH("Volume",'Semrush Data'!$A$1:$Z$1,0)),""))</f>
        <v/>
      </c>
      <c r="V494" s="23" t="str">
        <f aca="false">IF(COUNT(Q494:U494)=0,L494,IF(MAX(Q494:U494)=0,L494,INDEX(L494:P494,MATCH(MAX(Q494:U494),Q494:U494,0))))</f>
        <v>signature rose</v>
      </c>
      <c r="W494" s="22" t="n">
        <f aca="false">IFERROR(INDEX('Semrush Data'!$A$1:$Z$20000,MATCH(V494,'Semrush Data'!$A$1:$A$20000,0),MATCH("Volume",'Semrush Data'!$A$1:$Z$1,0)),"")</f>
        <v>20</v>
      </c>
      <c r="X494" s="22" t="n">
        <f aca="false">IFERROR(INDEX('Semrush Data'!$A$1:$Z$20000,MATCH(V494,'Semrush Data'!$A$1:$A$20000,0),MATCH("Keyword Difficulty*",'Semrush Data'!$A$1:$Z$1,0)),"")</f>
        <v>6</v>
      </c>
      <c r="Y494" s="24" t="n">
        <f aca="false">IFERROR(INDEX('Semrush Data'!$A$1:$Z$20000,MATCH(V494,'Semrush Data'!$A$1:$A$20000,0),MATCH("CPC*",'Semrush Data'!$A$1:$Z$1,0)),"")</f>
        <v>0</v>
      </c>
      <c r="Z494" s="21" t="s">
        <v>5873</v>
      </c>
      <c r="AA494" s="21" t="s">
        <v>5874</v>
      </c>
      <c r="AB494" s="21" t="s">
        <v>5875</v>
      </c>
      <c r="AC494" s="21" t="s">
        <v>5876</v>
      </c>
      <c r="AD494" s="25" t="n">
        <f aca="false">LEN(AC494)</f>
        <v>51</v>
      </c>
      <c r="AE494" s="21" t="s">
        <v>5877</v>
      </c>
      <c r="AF494" s="25" t="n">
        <f aca="false">LEN(AE494)</f>
        <v>139</v>
      </c>
    </row>
    <row r="495" customFormat="false" ht="15" hidden="false" customHeight="true" outlineLevel="0" collapsed="false">
      <c r="A495" s="21" t="s">
        <v>100</v>
      </c>
      <c r="B495" s="21" t="s">
        <v>2390</v>
      </c>
      <c r="C495" s="21" t="n">
        <v>335</v>
      </c>
      <c r="D495" s="21" t="s">
        <v>5878</v>
      </c>
      <c r="E495" s="21" t="s">
        <v>4228</v>
      </c>
      <c r="F495" s="21" t="s">
        <v>2393</v>
      </c>
      <c r="G495" s="21" t="s">
        <v>2394</v>
      </c>
      <c r="H495" s="21" t="s">
        <v>2479</v>
      </c>
      <c r="I495" s="21" t="s">
        <v>101</v>
      </c>
      <c r="J495" s="21" t="s">
        <v>1920</v>
      </c>
      <c r="K495" s="21" t="n">
        <v>40.99</v>
      </c>
      <c r="L495" s="21" t="s">
        <v>5879</v>
      </c>
      <c r="M495" s="21" t="s">
        <v>5880</v>
      </c>
      <c r="N495" s="21" t="s">
        <v>5881</v>
      </c>
      <c r="O495" s="21" t="s">
        <v>5882</v>
      </c>
      <c r="P495" s="21" t="s">
        <v>5883</v>
      </c>
      <c r="Q495" s="22" t="n">
        <f aca="false">IF(L495="","",IFERROR(INDEX('Semrush Data'!$A$1:$Z$20000,MATCH(L495,'Semrush Data'!$A$1:$A$20000,0),MATCH("Volume",'Semrush Data'!$A$1:$Z$1,0)),""))</f>
        <v>720</v>
      </c>
      <c r="R495" s="22" t="n">
        <f aca="false">IF(M495="","",IFERROR(INDEX('Semrush Data'!$A$1:$Z$20000,MATCH(M495,'Semrush Data'!$A$1:$A$20000,0),MATCH("Volume",'Semrush Data'!$A$1:$Z$1,0)),""))</f>
        <v>20</v>
      </c>
      <c r="S495" s="22" t="str">
        <f aca="false">IF(N495="","",IFERROR(INDEX('Semrush Data'!$A$1:$Z$20000,MATCH(N495,'Semrush Data'!$A$1:$A$20000,0),MATCH("Volume",'Semrush Data'!$A$1:$Z$1,0)),""))</f>
        <v/>
      </c>
      <c r="T495" s="22" t="str">
        <f aca="false">IF(O495="","",IFERROR(INDEX('Semrush Data'!$A$1:$Z$20000,MATCH(O495,'Semrush Data'!$A$1:$A$20000,0),MATCH("Volume",'Semrush Data'!$A$1:$Z$1,0)),""))</f>
        <v/>
      </c>
      <c r="U495" s="22" t="n">
        <f aca="false">IF(P495="","",IFERROR(INDEX('Semrush Data'!$A$1:$Z$20000,MATCH(P495,'Semrush Data'!$A$1:$A$20000,0),MATCH("Volume",'Semrush Data'!$A$1:$Z$1,0)),""))</f>
        <v>20</v>
      </c>
      <c r="V495" s="23" t="str">
        <f aca="false">IF(COUNT(Q495:U495)=0,L495,IF(MAX(Q495:U495)=0,L495,INDEX(L495:P495,MATCH(MAX(Q495:U495),Q495:U495,0))))</f>
        <v>acqua di parma zafferano</v>
      </c>
      <c r="W495" s="22" t="n">
        <f aca="false">IFERROR(INDEX('Semrush Data'!$A$1:$Z$20000,MATCH(V495,'Semrush Data'!$A$1:$A$20000,0),MATCH("Volume",'Semrush Data'!$A$1:$Z$1,0)),"")</f>
        <v>720</v>
      </c>
      <c r="X495" s="22" t="n">
        <f aca="false">IFERROR(INDEX('Semrush Data'!$A$1:$Z$20000,MATCH(V495,'Semrush Data'!$A$1:$A$20000,0),MATCH("Keyword Difficulty*",'Semrush Data'!$A$1:$Z$1,0)),"")</f>
        <v>18</v>
      </c>
      <c r="Y495" s="24" t="n">
        <f aca="false">IFERROR(INDEX('Semrush Data'!$A$1:$Z$20000,MATCH(V495,'Semrush Data'!$A$1:$A$20000,0),MATCH("CPC*",'Semrush Data'!$A$1:$Z$1,0)),"")</f>
        <v>0.47</v>
      </c>
      <c r="Z495" s="21" t="s">
        <v>4279</v>
      </c>
      <c r="AA495" s="21" t="s">
        <v>5884</v>
      </c>
      <c r="AB495" s="21" t="s">
        <v>5885</v>
      </c>
      <c r="AC495" s="21" t="s">
        <v>5886</v>
      </c>
      <c r="AD495" s="25" t="n">
        <f aca="false">LEN(AC495)</f>
        <v>54</v>
      </c>
      <c r="AE495" s="21" t="s">
        <v>5887</v>
      </c>
      <c r="AF495" s="25" t="n">
        <f aca="false">LEN(AE495)</f>
        <v>155</v>
      </c>
    </row>
    <row r="496" customFormat="false" ht="15" hidden="false" customHeight="true" outlineLevel="0" collapsed="false">
      <c r="A496" s="21" t="s">
        <v>5888</v>
      </c>
      <c r="B496" s="21" t="s">
        <v>2390</v>
      </c>
      <c r="C496" s="21" t="n">
        <v>336</v>
      </c>
      <c r="D496" s="21" t="s">
        <v>5878</v>
      </c>
      <c r="E496" s="21" t="s">
        <v>4228</v>
      </c>
      <c r="F496" s="21" t="s">
        <v>2393</v>
      </c>
      <c r="G496" s="21" t="s">
        <v>2759</v>
      </c>
      <c r="H496" s="21" t="s">
        <v>2479</v>
      </c>
      <c r="I496" s="21" t="s">
        <v>5889</v>
      </c>
      <c r="J496" s="21" t="s">
        <v>4995</v>
      </c>
      <c r="K496" s="21" t="n">
        <v>24.99</v>
      </c>
      <c r="L496" s="21" t="s">
        <v>5890</v>
      </c>
      <c r="M496" s="21" t="s">
        <v>5891</v>
      </c>
      <c r="N496" s="21" t="s">
        <v>5892</v>
      </c>
      <c r="O496" s="21" t="s">
        <v>5893</v>
      </c>
      <c r="P496" s="21" t="s">
        <v>5894</v>
      </c>
      <c r="Q496" s="22" t="n">
        <f aca="false">IF(L496="","",IFERROR(INDEX('Semrush Data'!$A$1:$Z$20000,MATCH(L496,'Semrush Data'!$A$1:$A$20000,0),MATCH("Volume",'Semrush Data'!$A$1:$Z$1,0)),""))</f>
        <v>0</v>
      </c>
      <c r="R496" s="22" t="str">
        <f aca="false">IF(M496="","",IFERROR(INDEX('Semrush Data'!$A$1:$Z$20000,MATCH(M496,'Semrush Data'!$A$1:$A$20000,0),MATCH("Volume",'Semrush Data'!$A$1:$Z$1,0)),""))</f>
        <v/>
      </c>
      <c r="S496" s="22" t="str">
        <f aca="false">IF(N496="","",IFERROR(INDEX('Semrush Data'!$A$1:$Z$20000,MATCH(N496,'Semrush Data'!$A$1:$A$20000,0),MATCH("Volume",'Semrush Data'!$A$1:$Z$1,0)),""))</f>
        <v/>
      </c>
      <c r="T496" s="22" t="str">
        <f aca="false">IF(O496="","",IFERROR(INDEX('Semrush Data'!$A$1:$Z$20000,MATCH(O496,'Semrush Data'!$A$1:$A$20000,0),MATCH("Volume",'Semrush Data'!$A$1:$Z$1,0)),""))</f>
        <v/>
      </c>
      <c r="U496" s="22" t="str">
        <f aca="false">IF(P496="","",IFERROR(INDEX('Semrush Data'!$A$1:$Z$20000,MATCH(P496,'Semrush Data'!$A$1:$A$20000,0),MATCH("Volume",'Semrush Data'!$A$1:$Z$1,0)),""))</f>
        <v/>
      </c>
      <c r="V496" s="23" t="str">
        <f aca="false">IF(COUNT(Q496:U496)=0,L496,IF(MAX(Q496:U496)=0,L496,INDEX(L496:P496,MATCH(MAX(Q496:U496),Q496:U496,0))))</f>
        <v>hermes un jardin en mediterranee miniature</v>
      </c>
      <c r="W496" s="22" t="n">
        <f aca="false">IFERROR(INDEX('Semrush Data'!$A$1:$Z$20000,MATCH(V496,'Semrush Data'!$A$1:$A$20000,0),MATCH("Volume",'Semrush Data'!$A$1:$Z$1,0)),"")</f>
        <v>0</v>
      </c>
      <c r="X496" s="22" t="n">
        <f aca="false">IFERROR(INDEX('Semrush Data'!$A$1:$Z$20000,MATCH(V496,'Semrush Data'!$A$1:$A$20000,0),MATCH("Keyword Difficulty*",'Semrush Data'!$A$1:$Z$1,0)),"")</f>
        <v>19</v>
      </c>
      <c r="Y496" s="24" t="n">
        <f aca="false">IFERROR(INDEX('Semrush Data'!$A$1:$Z$20000,MATCH(V496,'Semrush Data'!$A$1:$A$20000,0),MATCH("CPC*",'Semrush Data'!$A$1:$Z$1,0)),"")</f>
        <v>0</v>
      </c>
      <c r="Z496" s="21" t="s">
        <v>4279</v>
      </c>
      <c r="AA496" s="21"/>
      <c r="AB496" s="21" t="s">
        <v>5895</v>
      </c>
      <c r="AC496" s="21" t="s">
        <v>5896</v>
      </c>
      <c r="AD496" s="25" t="n">
        <f aca="false">LEN(AC496)</f>
        <v>56</v>
      </c>
      <c r="AE496" s="21" t="s">
        <v>5897</v>
      </c>
      <c r="AF496" s="25" t="n">
        <f aca="false">LEN(AE496)</f>
        <v>159</v>
      </c>
    </row>
    <row r="497" customFormat="false" ht="15" hidden="false" customHeight="true" outlineLevel="0" collapsed="false">
      <c r="A497" s="21" t="s">
        <v>5898</v>
      </c>
      <c r="B497" s="21" t="s">
        <v>2390</v>
      </c>
      <c r="C497" s="21" t="n">
        <v>337</v>
      </c>
      <c r="D497" s="21" t="s">
        <v>5878</v>
      </c>
      <c r="E497" s="21" t="s">
        <v>4228</v>
      </c>
      <c r="F497" s="21" t="s">
        <v>2393</v>
      </c>
      <c r="G497" s="21" t="s">
        <v>2759</v>
      </c>
      <c r="H497" s="21" t="s">
        <v>2479</v>
      </c>
      <c r="I497" s="21" t="s">
        <v>5899</v>
      </c>
      <c r="J497" s="21" t="s">
        <v>4995</v>
      </c>
      <c r="K497" s="21" t="n">
        <v>24.99</v>
      </c>
      <c r="L497" s="21" t="s">
        <v>5900</v>
      </c>
      <c r="M497" s="21" t="s">
        <v>5901</v>
      </c>
      <c r="N497" s="21" t="s">
        <v>5902</v>
      </c>
      <c r="O497" s="21" t="s">
        <v>5903</v>
      </c>
      <c r="P497" s="21" t="s">
        <v>5904</v>
      </c>
      <c r="Q497" s="22" t="n">
        <f aca="false">IF(L497="","",IFERROR(INDEX('Semrush Data'!$A$1:$Z$20000,MATCH(L497,'Semrush Data'!$A$1:$A$20000,0),MATCH("Volume",'Semrush Data'!$A$1:$Z$1,0)),""))</f>
        <v>0</v>
      </c>
      <c r="R497" s="22" t="str">
        <f aca="false">IF(M497="","",IFERROR(INDEX('Semrush Data'!$A$1:$Z$20000,MATCH(M497,'Semrush Data'!$A$1:$A$20000,0),MATCH("Volume",'Semrush Data'!$A$1:$Z$1,0)),""))</f>
        <v/>
      </c>
      <c r="S497" s="22" t="str">
        <f aca="false">IF(N497="","",IFERROR(INDEX('Semrush Data'!$A$1:$Z$20000,MATCH(N497,'Semrush Data'!$A$1:$A$20000,0),MATCH("Volume",'Semrush Data'!$A$1:$Z$1,0)),""))</f>
        <v/>
      </c>
      <c r="T497" s="22" t="str">
        <f aca="false">IF(O497="","",IFERROR(INDEX('Semrush Data'!$A$1:$Z$20000,MATCH(O497,'Semrush Data'!$A$1:$A$20000,0),MATCH("Volume",'Semrush Data'!$A$1:$Z$1,0)),""))</f>
        <v/>
      </c>
      <c r="U497" s="22" t="str">
        <f aca="false">IF(P497="","",IFERROR(INDEX('Semrush Data'!$A$1:$Z$20000,MATCH(P497,'Semrush Data'!$A$1:$A$20000,0),MATCH("Volume",'Semrush Data'!$A$1:$Z$1,0)),""))</f>
        <v/>
      </c>
      <c r="V497" s="23" t="str">
        <f aca="false">IF(COUNT(Q497:U497)=0,L497,IF(MAX(Q497:U497)=0,L497,INDEX(L497:P497,MATCH(MAX(Q497:U497),Q497:U497,0))))</f>
        <v>hermes un jardin sur le toit miniature</v>
      </c>
      <c r="W497" s="22" t="n">
        <f aca="false">IFERROR(INDEX('Semrush Data'!$A$1:$Z$20000,MATCH(V497,'Semrush Data'!$A$1:$A$20000,0),MATCH("Volume",'Semrush Data'!$A$1:$Z$1,0)),"")</f>
        <v>0</v>
      </c>
      <c r="X497" s="22" t="n">
        <f aca="false">IFERROR(INDEX('Semrush Data'!$A$1:$Z$20000,MATCH(V497,'Semrush Data'!$A$1:$A$20000,0),MATCH("Keyword Difficulty*",'Semrush Data'!$A$1:$Z$1,0)),"")</f>
        <v>12</v>
      </c>
      <c r="Y497" s="24" t="n">
        <f aca="false">IFERROR(INDEX('Semrush Data'!$A$1:$Z$20000,MATCH(V497,'Semrush Data'!$A$1:$A$20000,0),MATCH("CPC*",'Semrush Data'!$A$1:$Z$1,0)),"")</f>
        <v>0</v>
      </c>
      <c r="Z497" s="21" t="s">
        <v>4279</v>
      </c>
      <c r="AA497" s="21" t="s">
        <v>5905</v>
      </c>
      <c r="AB497" s="21" t="s">
        <v>5906</v>
      </c>
      <c r="AC497" s="21" t="s">
        <v>5907</v>
      </c>
      <c r="AD497" s="25" t="n">
        <f aca="false">LEN(AC497)</f>
        <v>59</v>
      </c>
      <c r="AE497" s="21" t="s">
        <v>5908</v>
      </c>
      <c r="AF497" s="25" t="n">
        <f aca="false">LEN(AE497)</f>
        <v>157</v>
      </c>
    </row>
    <row r="498" customFormat="false" ht="15" hidden="false" customHeight="true" outlineLevel="0" collapsed="false">
      <c r="A498" s="21" t="s">
        <v>5909</v>
      </c>
      <c r="B498" s="21" t="s">
        <v>2390</v>
      </c>
      <c r="C498" s="21" t="n">
        <v>338</v>
      </c>
      <c r="D498" s="21" t="s">
        <v>5878</v>
      </c>
      <c r="E498" s="21" t="s">
        <v>4228</v>
      </c>
      <c r="F498" s="21" t="s">
        <v>2393</v>
      </c>
      <c r="G498" s="21" t="s">
        <v>2759</v>
      </c>
      <c r="H498" s="21" t="s">
        <v>2479</v>
      </c>
      <c r="I498" s="21" t="s">
        <v>5910</v>
      </c>
      <c r="J498" s="21" t="s">
        <v>4995</v>
      </c>
      <c r="K498" s="21" t="n">
        <v>24.99</v>
      </c>
      <c r="L498" s="21" t="s">
        <v>5911</v>
      </c>
      <c r="M498" s="21" t="s">
        <v>5912</v>
      </c>
      <c r="N498" s="21" t="s">
        <v>5913</v>
      </c>
      <c r="O498" s="21" t="s">
        <v>5914</v>
      </c>
      <c r="P498" s="21" t="s">
        <v>5915</v>
      </c>
      <c r="Q498" s="22" t="n">
        <f aca="false">IF(L498="","",IFERROR(INDEX('Semrush Data'!$A$1:$Z$20000,MATCH(L498,'Semrush Data'!$A$1:$A$20000,0),MATCH("Volume",'Semrush Data'!$A$1:$Z$1,0)),""))</f>
        <v>0</v>
      </c>
      <c r="R498" s="22" t="str">
        <f aca="false">IF(M498="","",IFERROR(INDEX('Semrush Data'!$A$1:$Z$20000,MATCH(M498,'Semrush Data'!$A$1:$A$20000,0),MATCH("Volume",'Semrush Data'!$A$1:$Z$1,0)),""))</f>
        <v/>
      </c>
      <c r="S498" s="22" t="str">
        <f aca="false">IF(N498="","",IFERROR(INDEX('Semrush Data'!$A$1:$Z$20000,MATCH(N498,'Semrush Data'!$A$1:$A$20000,0),MATCH("Volume",'Semrush Data'!$A$1:$Z$1,0)),""))</f>
        <v/>
      </c>
      <c r="T498" s="22" t="str">
        <f aca="false">IF(O498="","",IFERROR(INDEX('Semrush Data'!$A$1:$Z$20000,MATCH(O498,'Semrush Data'!$A$1:$A$20000,0),MATCH("Volume",'Semrush Data'!$A$1:$Z$1,0)),""))</f>
        <v/>
      </c>
      <c r="U498" s="22" t="str">
        <f aca="false">IF(P498="","",IFERROR(INDEX('Semrush Data'!$A$1:$Z$20000,MATCH(P498,'Semrush Data'!$A$1:$A$20000,0),MATCH("Volume",'Semrush Data'!$A$1:$Z$1,0)),""))</f>
        <v/>
      </c>
      <c r="V498" s="23" t="str">
        <f aca="false">IF(COUNT(Q498:U498)=0,L498,IF(MAX(Q498:U498)=0,L498,INDEX(L498:P498,MATCH(MAX(Q498:U498),Q498:U498,0))))</f>
        <v>hermes un jardin a cythere miniature</v>
      </c>
      <c r="W498" s="22" t="n">
        <f aca="false">IFERROR(INDEX('Semrush Data'!$A$1:$Z$20000,MATCH(V498,'Semrush Data'!$A$1:$A$20000,0),MATCH("Volume",'Semrush Data'!$A$1:$Z$1,0)),"")</f>
        <v>0</v>
      </c>
      <c r="X498" s="22" t="n">
        <f aca="false">IFERROR(INDEX('Semrush Data'!$A$1:$Z$20000,MATCH(V498,'Semrush Data'!$A$1:$A$20000,0),MATCH("Keyword Difficulty*",'Semrush Data'!$A$1:$Z$1,0)),"")</f>
        <v>18</v>
      </c>
      <c r="Y498" s="24" t="n">
        <f aca="false">IFERROR(INDEX('Semrush Data'!$A$1:$Z$20000,MATCH(V498,'Semrush Data'!$A$1:$A$20000,0),MATCH("CPC*",'Semrush Data'!$A$1:$Z$1,0)),"")</f>
        <v>0</v>
      </c>
      <c r="Z498" s="21" t="s">
        <v>4279</v>
      </c>
      <c r="AA498" s="21"/>
      <c r="AB498" s="21" t="s">
        <v>5916</v>
      </c>
      <c r="AC498" s="21" t="s">
        <v>5917</v>
      </c>
      <c r="AD498" s="25" t="n">
        <f aca="false">LEN(AC498)</f>
        <v>57</v>
      </c>
      <c r="AE498" s="21" t="s">
        <v>5918</v>
      </c>
      <c r="AF498" s="25" t="n">
        <f aca="false">LEN(AE498)</f>
        <v>155</v>
      </c>
    </row>
    <row r="499" customFormat="false" ht="15" hidden="false" customHeight="true" outlineLevel="0" collapsed="false">
      <c r="A499" s="21" t="s">
        <v>5919</v>
      </c>
      <c r="B499" s="21" t="s">
        <v>2390</v>
      </c>
      <c r="C499" s="21" t="n">
        <v>339</v>
      </c>
      <c r="D499" s="21" t="s">
        <v>5878</v>
      </c>
      <c r="E499" s="21" t="s">
        <v>4228</v>
      </c>
      <c r="F499" s="21" t="s">
        <v>2393</v>
      </c>
      <c r="G499" s="21" t="s">
        <v>2759</v>
      </c>
      <c r="H499" s="21" t="s">
        <v>2479</v>
      </c>
      <c r="I499" s="21" t="s">
        <v>5920</v>
      </c>
      <c r="J499" s="21" t="s">
        <v>5230</v>
      </c>
      <c r="K499" s="21" t="n">
        <v>32.99</v>
      </c>
      <c r="L499" s="21" t="s">
        <v>5921</v>
      </c>
      <c r="M499" s="21" t="s">
        <v>5922</v>
      </c>
      <c r="N499" s="21" t="s">
        <v>5923</v>
      </c>
      <c r="O499" s="21" t="s">
        <v>5924</v>
      </c>
      <c r="P499" s="21" t="s">
        <v>5925</v>
      </c>
      <c r="Q499" s="22" t="n">
        <f aca="false">IF(L499="","",IFERROR(INDEX('Semrush Data'!$A$1:$Z$20000,MATCH(L499,'Semrush Data'!$A$1:$A$20000,0),MATCH("Volume",'Semrush Data'!$A$1:$Z$1,0)),""))</f>
        <v>20</v>
      </c>
      <c r="R499" s="22" t="str">
        <f aca="false">IF(M499="","",IFERROR(INDEX('Semrush Data'!$A$1:$Z$20000,MATCH(M499,'Semrush Data'!$A$1:$A$20000,0),MATCH("Volume",'Semrush Data'!$A$1:$Z$1,0)),""))</f>
        <v/>
      </c>
      <c r="S499" s="22" t="str">
        <f aca="false">IF(N499="","",IFERROR(INDEX('Semrush Data'!$A$1:$Z$20000,MATCH(N499,'Semrush Data'!$A$1:$A$20000,0),MATCH("Volume",'Semrush Data'!$A$1:$Z$1,0)),""))</f>
        <v/>
      </c>
      <c r="T499" s="22" t="str">
        <f aca="false">IF(O499="","",IFERROR(INDEX('Semrush Data'!$A$1:$Z$20000,MATCH(O499,'Semrush Data'!$A$1:$A$20000,0),MATCH("Volume",'Semrush Data'!$A$1:$Z$1,0)),""))</f>
        <v/>
      </c>
      <c r="U499" s="22" t="str">
        <f aca="false">IF(P499="","",IFERROR(INDEX('Semrush Data'!$A$1:$Z$20000,MATCH(P499,'Semrush Data'!$A$1:$A$20000,0),MATCH("Volume",'Semrush Data'!$A$1:$Z$1,0)),""))</f>
        <v/>
      </c>
      <c r="V499" s="23" t="str">
        <f aca="false">IF(COUNT(Q499:U499)=0,L499,IF(MAX(Q499:U499)=0,L499,INDEX(L499:P499,MATCH(MAX(Q499:U499),Q499:U499,0))))</f>
        <v>korloff in white</v>
      </c>
      <c r="W499" s="22" t="n">
        <f aca="false">IFERROR(INDEX('Semrush Data'!$A$1:$Z$20000,MATCH(V499,'Semrush Data'!$A$1:$A$20000,0),MATCH("Volume",'Semrush Data'!$A$1:$Z$1,0)),"")</f>
        <v>20</v>
      </c>
      <c r="X499" s="22" t="n">
        <f aca="false">IFERROR(INDEX('Semrush Data'!$A$1:$Z$20000,MATCH(V499,'Semrush Data'!$A$1:$A$20000,0),MATCH("Keyword Difficulty*",'Semrush Data'!$A$1:$Z$1,0)),"")</f>
        <v>19</v>
      </c>
      <c r="Y499" s="24" t="n">
        <f aca="false">IFERROR(INDEX('Semrush Data'!$A$1:$Z$20000,MATCH(V499,'Semrush Data'!$A$1:$A$20000,0),MATCH("CPC*",'Semrush Data'!$A$1:$Z$1,0)),"")</f>
        <v>0</v>
      </c>
      <c r="Z499" s="21" t="s">
        <v>4279</v>
      </c>
      <c r="AA499" s="21" t="s">
        <v>5926</v>
      </c>
      <c r="AB499" s="21" t="s">
        <v>5927</v>
      </c>
      <c r="AC499" s="21" t="s">
        <v>5928</v>
      </c>
      <c r="AD499" s="25" t="n">
        <f aca="false">LEN(AC499)</f>
        <v>59</v>
      </c>
      <c r="AE499" s="21" t="s">
        <v>5929</v>
      </c>
      <c r="AF499" s="25" t="n">
        <f aca="false">LEN(AE499)</f>
        <v>154</v>
      </c>
    </row>
    <row r="500" customFormat="false" ht="15" hidden="false" customHeight="true" outlineLevel="0" collapsed="false">
      <c r="A500" s="21" t="s">
        <v>5930</v>
      </c>
      <c r="B500" s="21" t="s">
        <v>2390</v>
      </c>
      <c r="C500" s="21" t="n">
        <v>340</v>
      </c>
      <c r="D500" s="21" t="s">
        <v>5878</v>
      </c>
      <c r="E500" s="21" t="s">
        <v>4228</v>
      </c>
      <c r="F500" s="21" t="s">
        <v>1676</v>
      </c>
      <c r="G500" s="21" t="s">
        <v>2759</v>
      </c>
      <c r="H500" s="21" t="s">
        <v>2479</v>
      </c>
      <c r="I500" s="21" t="s">
        <v>5931</v>
      </c>
      <c r="J500" s="21" t="s">
        <v>5932</v>
      </c>
      <c r="K500" s="21" t="n">
        <v>64.99</v>
      </c>
      <c r="L500" s="21" t="s">
        <v>5933</v>
      </c>
      <c r="M500" s="21" t="s">
        <v>5934</v>
      </c>
      <c r="N500" s="21" t="s">
        <v>5935</v>
      </c>
      <c r="O500" s="21" t="s">
        <v>5936</v>
      </c>
      <c r="P500" s="21"/>
      <c r="Q500" s="22" t="n">
        <f aca="false">IF(L500="","",IFERROR(INDEX('Semrush Data'!$A$1:$Z$20000,MATCH(L500,'Semrush Data'!$A$1:$A$20000,0),MATCH("Volume",'Semrush Data'!$A$1:$Z$1,0)),""))</f>
        <v>0</v>
      </c>
      <c r="R500" s="22" t="str">
        <f aca="false">IF(M500="","",IFERROR(INDEX('Semrush Data'!$A$1:$Z$20000,MATCH(M500,'Semrush Data'!$A$1:$A$20000,0),MATCH("Volume",'Semrush Data'!$A$1:$Z$1,0)),""))</f>
        <v/>
      </c>
      <c r="S500" s="22" t="str">
        <f aca="false">IF(N500="","",IFERROR(INDEX('Semrush Data'!$A$1:$Z$20000,MATCH(N500,'Semrush Data'!$A$1:$A$20000,0),MATCH("Volume",'Semrush Data'!$A$1:$Z$1,0)),""))</f>
        <v/>
      </c>
      <c r="T500" s="22" t="str">
        <f aca="false">IF(O500="","",IFERROR(INDEX('Semrush Data'!$A$1:$Z$20000,MATCH(O500,'Semrush Data'!$A$1:$A$20000,0),MATCH("Volume",'Semrush Data'!$A$1:$Z$1,0)),""))</f>
        <v/>
      </c>
      <c r="U500" s="22" t="str">
        <f aca="false">IF(P500="","",IFERROR(INDEX('Semrush Data'!$A$1:$Z$20000,MATCH(P500,'Semrush Data'!$A$1:$A$20000,0),MATCH("Volume",'Semrush Data'!$A$1:$Z$1,0)),""))</f>
        <v/>
      </c>
      <c r="V500" s="23" t="str">
        <f aca="false">IF(COUNT(Q500:U500)=0,L500,IF(MAX(Q500:U500)=0,L500,INDEX(L500:P500,MATCH(MAX(Q500:U500),Q500:U500,0))))</f>
        <v>hermes miniature gift set 4 x fragrances</v>
      </c>
      <c r="W500" s="22" t="n">
        <f aca="false">IFERROR(INDEX('Semrush Data'!$A$1:$Z$20000,MATCH(V500,'Semrush Data'!$A$1:$A$20000,0),MATCH("Volume",'Semrush Data'!$A$1:$Z$1,0)),"")</f>
        <v>0</v>
      </c>
      <c r="X500" s="22" t="n">
        <f aca="false">IFERROR(INDEX('Semrush Data'!$A$1:$Z$20000,MATCH(V500,'Semrush Data'!$A$1:$A$20000,0),MATCH("Keyword Difficulty*",'Semrush Data'!$A$1:$Z$1,0)),"")</f>
        <v>19</v>
      </c>
      <c r="Y500" s="24" t="n">
        <f aca="false">IFERROR(INDEX('Semrush Data'!$A$1:$Z$20000,MATCH(V500,'Semrush Data'!$A$1:$A$20000,0),MATCH("CPC*",'Semrush Data'!$A$1:$Z$1,0)),"")</f>
        <v>0</v>
      </c>
      <c r="Z500" s="21" t="s">
        <v>4279</v>
      </c>
      <c r="AA500" s="21"/>
      <c r="AB500" s="21" t="s">
        <v>5937</v>
      </c>
      <c r="AC500" s="21" t="s">
        <v>5938</v>
      </c>
      <c r="AD500" s="25" t="n">
        <f aca="false">LEN(AC500)</f>
        <v>50</v>
      </c>
      <c r="AE500" s="21" t="s">
        <v>5939</v>
      </c>
      <c r="AF500" s="25" t="n">
        <f aca="false">LEN(AE500)</f>
        <v>160</v>
      </c>
    </row>
    <row r="501" customFormat="false" ht="15" hidden="false" customHeight="true" outlineLevel="0" collapsed="false">
      <c r="A501" s="21" t="s">
        <v>5940</v>
      </c>
      <c r="B501" s="21" t="s">
        <v>2390</v>
      </c>
      <c r="C501" s="21" t="n">
        <v>341</v>
      </c>
      <c r="D501" s="21" t="s">
        <v>5878</v>
      </c>
      <c r="E501" s="21" t="s">
        <v>4228</v>
      </c>
      <c r="F501" s="21" t="s">
        <v>2393</v>
      </c>
      <c r="G501" s="21" t="s">
        <v>2676</v>
      </c>
      <c r="H501" s="21" t="s">
        <v>2479</v>
      </c>
      <c r="I501" s="21" t="s">
        <v>5941</v>
      </c>
      <c r="J501" s="21" t="s">
        <v>1935</v>
      </c>
      <c r="K501" s="21" t="n">
        <v>121.99</v>
      </c>
      <c r="L501" s="21" t="s">
        <v>5942</v>
      </c>
      <c r="M501" s="21" t="s">
        <v>5943</v>
      </c>
      <c r="N501" s="21" t="s">
        <v>5944</v>
      </c>
      <c r="O501" s="21" t="s">
        <v>5945</v>
      </c>
      <c r="P501" s="21" t="s">
        <v>5946</v>
      </c>
      <c r="Q501" s="22" t="n">
        <f aca="false">IF(L501="","",IFERROR(INDEX('Semrush Data'!$A$1:$Z$20000,MATCH(L501,'Semrush Data'!$A$1:$A$20000,0),MATCH("Volume",'Semrush Data'!$A$1:$Z$1,0)),""))</f>
        <v>0</v>
      </c>
      <c r="R501" s="22" t="n">
        <f aca="false">IF(M501="","",IFERROR(INDEX('Semrush Data'!$A$1:$Z$20000,MATCH(M501,'Semrush Data'!$A$1:$A$20000,0),MATCH("Volume",'Semrush Data'!$A$1:$Z$1,0)),""))</f>
        <v>0</v>
      </c>
      <c r="S501" s="22" t="str">
        <f aca="false">IF(N501="","",IFERROR(INDEX('Semrush Data'!$A$1:$Z$20000,MATCH(N501,'Semrush Data'!$A$1:$A$20000,0),MATCH("Volume",'Semrush Data'!$A$1:$Z$1,0)),""))</f>
        <v/>
      </c>
      <c r="T501" s="22" t="str">
        <f aca="false">IF(O501="","",IFERROR(INDEX('Semrush Data'!$A$1:$Z$20000,MATCH(O501,'Semrush Data'!$A$1:$A$20000,0),MATCH("Volume",'Semrush Data'!$A$1:$Z$1,0)),""))</f>
        <v/>
      </c>
      <c r="U501" s="22" t="str">
        <f aca="false">IF(P501="","",IFERROR(INDEX('Semrush Data'!$A$1:$Z$20000,MATCH(P501,'Semrush Data'!$A$1:$A$20000,0),MATCH("Volume",'Semrush Data'!$A$1:$Z$1,0)),""))</f>
        <v/>
      </c>
      <c r="V501" s="23" t="str">
        <f aca="false">IF(COUNT(Q501:U501)=0,L501,IF(MAX(Q501:U501)=0,L501,INDEX(L501:P501,MATCH(MAX(Q501:U501),Q501:U501,0))))</f>
        <v>casanova anniversary</v>
      </c>
      <c r="W501" s="22" t="n">
        <f aca="false">IFERROR(INDEX('Semrush Data'!$A$1:$Z$20000,MATCH(V501,'Semrush Data'!$A$1:$A$20000,0),MATCH("Volume",'Semrush Data'!$A$1:$Z$1,0)),"")</f>
        <v>0</v>
      </c>
      <c r="X501" s="22" t="n">
        <f aca="false">IFERROR(INDEX('Semrush Data'!$A$1:$Z$20000,MATCH(V501,'Semrush Data'!$A$1:$A$20000,0),MATCH("Keyword Difficulty*",'Semrush Data'!$A$1:$Z$1,0)),"")</f>
        <v>11</v>
      </c>
      <c r="Y501" s="24" t="n">
        <f aca="false">IFERROR(INDEX('Semrush Data'!$A$1:$Z$20000,MATCH(V501,'Semrush Data'!$A$1:$A$20000,0),MATCH("CPC*",'Semrush Data'!$A$1:$Z$1,0)),"")</f>
        <v>0</v>
      </c>
      <c r="Z501" s="21" t="s">
        <v>4279</v>
      </c>
      <c r="AA501" s="21" t="s">
        <v>5947</v>
      </c>
      <c r="AB501" s="21" t="s">
        <v>5948</v>
      </c>
      <c r="AC501" s="21" t="s">
        <v>5949</v>
      </c>
      <c r="AD501" s="25" t="n">
        <f aca="false">LEN(AC501)</f>
        <v>52</v>
      </c>
      <c r="AE501" s="21" t="s">
        <v>5950</v>
      </c>
      <c r="AF501" s="25" t="n">
        <f aca="false">LEN(AE501)</f>
        <v>157</v>
      </c>
    </row>
    <row r="502" customFormat="false" ht="15" hidden="false" customHeight="true" outlineLevel="0" collapsed="false">
      <c r="A502" s="21" t="s">
        <v>5951</v>
      </c>
      <c r="B502" s="21" t="s">
        <v>2390</v>
      </c>
      <c r="C502" s="21" t="n">
        <v>342</v>
      </c>
      <c r="D502" s="21" t="s">
        <v>5952</v>
      </c>
      <c r="E502" s="21"/>
      <c r="F502" s="21" t="s">
        <v>2393</v>
      </c>
      <c r="G502" s="21" t="s">
        <v>2394</v>
      </c>
      <c r="H502" s="21" t="s">
        <v>2479</v>
      </c>
      <c r="I502" s="21" t="s">
        <v>5953</v>
      </c>
      <c r="J502" s="21" t="s">
        <v>1935</v>
      </c>
      <c r="K502" s="21" t="n">
        <v>44.99</v>
      </c>
      <c r="L502" s="21" t="s">
        <v>5954</v>
      </c>
      <c r="M502" s="21" t="s">
        <v>5955</v>
      </c>
      <c r="N502" s="21" t="s">
        <v>5956</v>
      </c>
      <c r="O502" s="21" t="s">
        <v>5957</v>
      </c>
      <c r="P502" s="21" t="s">
        <v>5958</v>
      </c>
      <c r="Q502" s="22" t="n">
        <f aca="false">IF(L502="","",IFERROR(INDEX('Semrush Data'!$A$1:$Z$20000,MATCH(L502,'Semrush Data'!$A$1:$A$20000,0),MATCH("Volume",'Semrush Data'!$A$1:$Z$1,0)),""))</f>
        <v>20</v>
      </c>
      <c r="R502" s="22" t="str">
        <f aca="false">IF(M502="","",IFERROR(INDEX('Semrush Data'!$A$1:$Z$20000,MATCH(M502,'Semrush Data'!$A$1:$A$20000,0),MATCH("Volume",'Semrush Data'!$A$1:$Z$1,0)),""))</f>
        <v/>
      </c>
      <c r="S502" s="22" t="str">
        <f aca="false">IF(N502="","",IFERROR(INDEX('Semrush Data'!$A$1:$Z$20000,MATCH(N502,'Semrush Data'!$A$1:$A$20000,0),MATCH("Volume",'Semrush Data'!$A$1:$Z$1,0)),""))</f>
        <v/>
      </c>
      <c r="T502" s="22" t="str">
        <f aca="false">IF(O502="","",IFERROR(INDEX('Semrush Data'!$A$1:$Z$20000,MATCH(O502,'Semrush Data'!$A$1:$A$20000,0),MATCH("Volume",'Semrush Data'!$A$1:$Z$1,0)),""))</f>
        <v/>
      </c>
      <c r="U502" s="22" t="str">
        <f aca="false">IF(P502="","",IFERROR(INDEX('Semrush Data'!$A$1:$Z$20000,MATCH(P502,'Semrush Data'!$A$1:$A$20000,0),MATCH("Volume",'Semrush Data'!$A$1:$Z$1,0)),""))</f>
        <v/>
      </c>
      <c r="V502" s="23" t="str">
        <f aca="false">IF(COUNT(Q502:U502)=0,L502,IF(MAX(Q502:U502)=0,L502,INDEX(L502:P502,MATCH(MAX(Q502:U502),Q502:U502,0))))</f>
        <v>the woods collection azure</v>
      </c>
      <c r="W502" s="22" t="n">
        <f aca="false">IFERROR(INDEX('Semrush Data'!$A$1:$Z$20000,MATCH(V502,'Semrush Data'!$A$1:$A$20000,0),MATCH("Volume",'Semrush Data'!$A$1:$Z$1,0)),"")</f>
        <v>20</v>
      </c>
      <c r="X502" s="22" t="n">
        <f aca="false">IFERROR(INDEX('Semrush Data'!$A$1:$Z$20000,MATCH(V502,'Semrush Data'!$A$1:$A$20000,0),MATCH("Keyword Difficulty*",'Semrush Data'!$A$1:$Z$1,0)),"")</f>
        <v>16</v>
      </c>
      <c r="Y502" s="24" t="n">
        <f aca="false">IFERROR(INDEX('Semrush Data'!$A$1:$Z$20000,MATCH(V502,'Semrush Data'!$A$1:$A$20000,0),MATCH("CPC*",'Semrush Data'!$A$1:$Z$1,0)),"")</f>
        <v>0</v>
      </c>
      <c r="Z502" s="21" t="s">
        <v>5959</v>
      </c>
      <c r="AA502" s="21" t="s">
        <v>5960</v>
      </c>
      <c r="AB502" s="21" t="s">
        <v>5961</v>
      </c>
      <c r="AC502" s="21" t="s">
        <v>5962</v>
      </c>
      <c r="AD502" s="25" t="n">
        <f aca="false">LEN(AC502)</f>
        <v>54</v>
      </c>
      <c r="AE502" s="21" t="s">
        <v>5963</v>
      </c>
      <c r="AF502" s="25" t="n">
        <f aca="false">LEN(AE502)</f>
        <v>155</v>
      </c>
    </row>
    <row r="503" customFormat="false" ht="15" hidden="false" customHeight="true" outlineLevel="0" collapsed="false">
      <c r="A503" s="21" t="s">
        <v>5964</v>
      </c>
      <c r="B503" s="21" t="s">
        <v>2390</v>
      </c>
      <c r="C503" s="21" t="n">
        <v>343</v>
      </c>
      <c r="D503" s="21" t="s">
        <v>5952</v>
      </c>
      <c r="E503" s="21"/>
      <c r="F503" s="21" t="s">
        <v>2393</v>
      </c>
      <c r="G503" s="21" t="s">
        <v>2394</v>
      </c>
      <c r="H503" s="21" t="s">
        <v>2479</v>
      </c>
      <c r="I503" s="21" t="s">
        <v>5965</v>
      </c>
      <c r="J503" s="21" t="s">
        <v>1935</v>
      </c>
      <c r="K503" s="21" t="n">
        <v>44.99</v>
      </c>
      <c r="L503" s="21" t="s">
        <v>5966</v>
      </c>
      <c r="M503" s="21" t="s">
        <v>5967</v>
      </c>
      <c r="N503" s="21" t="s">
        <v>5968</v>
      </c>
      <c r="O503" s="21" t="s">
        <v>5969</v>
      </c>
      <c r="P503" s="21" t="s">
        <v>5970</v>
      </c>
      <c r="Q503" s="22" t="n">
        <f aca="false">IF(L503="","",IFERROR(INDEX('Semrush Data'!$A$1:$Z$20000,MATCH(L503,'Semrush Data'!$A$1:$A$20000,0),MATCH("Volume",'Semrush Data'!$A$1:$Z$1,0)),""))</f>
        <v>20</v>
      </c>
      <c r="R503" s="22" t="str">
        <f aca="false">IF(M503="","",IFERROR(INDEX('Semrush Data'!$A$1:$Z$20000,MATCH(M503,'Semrush Data'!$A$1:$A$20000,0),MATCH("Volume",'Semrush Data'!$A$1:$Z$1,0)),""))</f>
        <v/>
      </c>
      <c r="S503" s="22" t="str">
        <f aca="false">IF(N503="","",IFERROR(INDEX('Semrush Data'!$A$1:$Z$20000,MATCH(N503,'Semrush Data'!$A$1:$A$20000,0),MATCH("Volume",'Semrush Data'!$A$1:$Z$1,0)),""))</f>
        <v/>
      </c>
      <c r="T503" s="22" t="str">
        <f aca="false">IF(O503="","",IFERROR(INDEX('Semrush Data'!$A$1:$Z$20000,MATCH(O503,'Semrush Data'!$A$1:$A$20000,0),MATCH("Volume",'Semrush Data'!$A$1:$Z$1,0)),""))</f>
        <v/>
      </c>
      <c r="U503" s="22" t="str">
        <f aca="false">IF(P503="","",IFERROR(INDEX('Semrush Data'!$A$1:$Z$20000,MATCH(P503,'Semrush Data'!$A$1:$A$20000,0),MATCH("Volume",'Semrush Data'!$A$1:$Z$1,0)),""))</f>
        <v/>
      </c>
      <c r="V503" s="23" t="str">
        <f aca="false">IF(COUNT(Q503:U503)=0,L503,IF(MAX(Q503:U503)=0,L503,INDEX(L503:P503,MATCH(MAX(Q503:U503),Q503:U503,0))))</f>
        <v>the woods collection eden</v>
      </c>
      <c r="W503" s="22" t="n">
        <f aca="false">IFERROR(INDEX('Semrush Data'!$A$1:$Z$20000,MATCH(V503,'Semrush Data'!$A$1:$A$20000,0),MATCH("Volume",'Semrush Data'!$A$1:$Z$1,0)),"")</f>
        <v>20</v>
      </c>
      <c r="X503" s="22" t="n">
        <f aca="false">IFERROR(INDEX('Semrush Data'!$A$1:$Z$20000,MATCH(V503,'Semrush Data'!$A$1:$A$20000,0),MATCH("Keyword Difficulty*",'Semrush Data'!$A$1:$Z$1,0)),"")</f>
        <v>9</v>
      </c>
      <c r="Y503" s="24" t="n">
        <f aca="false">IFERROR(INDEX('Semrush Data'!$A$1:$Z$20000,MATCH(V503,'Semrush Data'!$A$1:$A$20000,0),MATCH("CPC*",'Semrush Data'!$A$1:$Z$1,0)),"")</f>
        <v>0</v>
      </c>
      <c r="Z503" s="21" t="s">
        <v>5959</v>
      </c>
      <c r="AA503" s="21" t="s">
        <v>5971</v>
      </c>
      <c r="AB503" s="21" t="s">
        <v>5972</v>
      </c>
      <c r="AC503" s="21" t="s">
        <v>5973</v>
      </c>
      <c r="AD503" s="25" t="n">
        <f aca="false">LEN(AC503)</f>
        <v>53</v>
      </c>
      <c r="AE503" s="21" t="s">
        <v>5974</v>
      </c>
      <c r="AF503" s="25" t="n">
        <f aca="false">LEN(AE503)</f>
        <v>160</v>
      </c>
    </row>
    <row r="504" customFormat="false" ht="15" hidden="false" customHeight="true" outlineLevel="0" collapsed="false">
      <c r="A504" s="21" t="s">
        <v>5975</v>
      </c>
      <c r="B504" s="21" t="s">
        <v>2390</v>
      </c>
      <c r="C504" s="21" t="n">
        <v>344</v>
      </c>
      <c r="D504" s="21" t="s">
        <v>5952</v>
      </c>
      <c r="E504" s="21"/>
      <c r="F504" s="21" t="s">
        <v>2393</v>
      </c>
      <c r="G504" s="21" t="s">
        <v>2394</v>
      </c>
      <c r="H504" s="21" t="s">
        <v>2479</v>
      </c>
      <c r="I504" s="21" t="s">
        <v>5976</v>
      </c>
      <c r="J504" s="21" t="s">
        <v>1935</v>
      </c>
      <c r="K504" s="21" t="n">
        <v>44.99</v>
      </c>
      <c r="L504" s="21" t="s">
        <v>5977</v>
      </c>
      <c r="M504" s="21" t="s">
        <v>5978</v>
      </c>
      <c r="N504" s="21" t="s">
        <v>5979</v>
      </c>
      <c r="O504" s="21" t="s">
        <v>5980</v>
      </c>
      <c r="P504" s="21" t="s">
        <v>5981</v>
      </c>
      <c r="Q504" s="22" t="n">
        <f aca="false">IF(L504="","",IFERROR(INDEX('Semrush Data'!$A$1:$Z$20000,MATCH(L504,'Semrush Data'!$A$1:$A$20000,0),MATCH("Volume",'Semrush Data'!$A$1:$Z$1,0)),""))</f>
        <v>0</v>
      </c>
      <c r="R504" s="22" t="str">
        <f aca="false">IF(M504="","",IFERROR(INDEX('Semrush Data'!$A$1:$Z$20000,MATCH(M504,'Semrush Data'!$A$1:$A$20000,0),MATCH("Volume",'Semrush Data'!$A$1:$Z$1,0)),""))</f>
        <v/>
      </c>
      <c r="S504" s="22" t="str">
        <f aca="false">IF(N504="","",IFERROR(INDEX('Semrush Data'!$A$1:$Z$20000,MATCH(N504,'Semrush Data'!$A$1:$A$20000,0),MATCH("Volume",'Semrush Data'!$A$1:$Z$1,0)),""))</f>
        <v/>
      </c>
      <c r="T504" s="22" t="str">
        <f aca="false">IF(O504="","",IFERROR(INDEX('Semrush Data'!$A$1:$Z$20000,MATCH(O504,'Semrush Data'!$A$1:$A$20000,0),MATCH("Volume",'Semrush Data'!$A$1:$Z$1,0)),""))</f>
        <v/>
      </c>
      <c r="U504" s="22" t="str">
        <f aca="false">IF(P504="","",IFERROR(INDEX('Semrush Data'!$A$1:$Z$20000,MATCH(P504,'Semrush Data'!$A$1:$A$20000,0),MATCH("Volume",'Semrush Data'!$A$1:$Z$1,0)),""))</f>
        <v/>
      </c>
      <c r="V504" s="23" t="str">
        <f aca="false">IF(COUNT(Q504:U504)=0,L504,IF(MAX(Q504:U504)=0,L504,INDEX(L504:P504,MATCH(MAX(Q504:U504),Q504:U504,0))))</f>
        <v>the woods collection elysian</v>
      </c>
      <c r="W504" s="22" t="n">
        <f aca="false">IFERROR(INDEX('Semrush Data'!$A$1:$Z$20000,MATCH(V504,'Semrush Data'!$A$1:$A$20000,0),MATCH("Volume",'Semrush Data'!$A$1:$Z$1,0)),"")</f>
        <v>0</v>
      </c>
      <c r="X504" s="22" t="n">
        <f aca="false">IFERROR(INDEX('Semrush Data'!$A$1:$Z$20000,MATCH(V504,'Semrush Data'!$A$1:$A$20000,0),MATCH("Keyword Difficulty*",'Semrush Data'!$A$1:$Z$1,0)),"")</f>
        <v>14</v>
      </c>
      <c r="Y504" s="24" t="n">
        <f aca="false">IFERROR(INDEX('Semrush Data'!$A$1:$Z$20000,MATCH(V504,'Semrush Data'!$A$1:$A$20000,0),MATCH("CPC*",'Semrush Data'!$A$1:$Z$1,0)),"")</f>
        <v>0</v>
      </c>
      <c r="Z504" s="21" t="s">
        <v>5959</v>
      </c>
      <c r="AA504" s="21"/>
      <c r="AB504" s="21" t="s">
        <v>5982</v>
      </c>
      <c r="AC504" s="21" t="s">
        <v>5983</v>
      </c>
      <c r="AD504" s="25" t="n">
        <f aca="false">LEN(AC504)</f>
        <v>56</v>
      </c>
      <c r="AE504" s="21" t="s">
        <v>5984</v>
      </c>
      <c r="AF504" s="25" t="n">
        <f aca="false">LEN(AE504)</f>
        <v>157</v>
      </c>
    </row>
    <row r="505" customFormat="false" ht="15" hidden="false" customHeight="true" outlineLevel="0" collapsed="false">
      <c r="A505" s="21" t="s">
        <v>5985</v>
      </c>
      <c r="B505" s="21" t="s">
        <v>2390</v>
      </c>
      <c r="C505" s="21" t="n">
        <v>345</v>
      </c>
      <c r="D505" s="21" t="s">
        <v>5952</v>
      </c>
      <c r="E505" s="21"/>
      <c r="F505" s="21" t="s">
        <v>2393</v>
      </c>
      <c r="G505" s="21" t="s">
        <v>2394</v>
      </c>
      <c r="H505" s="21" t="s">
        <v>5986</v>
      </c>
      <c r="I505" s="21" t="s">
        <v>5987</v>
      </c>
      <c r="J505" s="21" t="s">
        <v>1935</v>
      </c>
      <c r="K505" s="21" t="n">
        <v>44.99</v>
      </c>
      <c r="L505" s="21" t="s">
        <v>5988</v>
      </c>
      <c r="M505" s="21" t="s">
        <v>5989</v>
      </c>
      <c r="N505" s="21" t="s">
        <v>5990</v>
      </c>
      <c r="O505" s="21" t="s">
        <v>5991</v>
      </c>
      <c r="P505" s="21" t="s">
        <v>5992</v>
      </c>
      <c r="Q505" s="22" t="n">
        <f aca="false">IF(L505="","",IFERROR(INDEX('Semrush Data'!$A$1:$Z$20000,MATCH(L505,'Semrush Data'!$A$1:$A$20000,0),MATCH("Volume",'Semrush Data'!$A$1:$Z$1,0)),""))</f>
        <v>20</v>
      </c>
      <c r="R505" s="22" t="str">
        <f aca="false">IF(M505="","",IFERROR(INDEX('Semrush Data'!$A$1:$Z$20000,MATCH(M505,'Semrush Data'!$A$1:$A$20000,0),MATCH("Volume",'Semrush Data'!$A$1:$Z$1,0)),""))</f>
        <v/>
      </c>
      <c r="S505" s="22" t="str">
        <f aca="false">IF(N505="","",IFERROR(INDEX('Semrush Data'!$A$1:$Z$20000,MATCH(N505,'Semrush Data'!$A$1:$A$20000,0),MATCH("Volume",'Semrush Data'!$A$1:$Z$1,0)),""))</f>
        <v/>
      </c>
      <c r="T505" s="22" t="str">
        <f aca="false">IF(O505="","",IFERROR(INDEX('Semrush Data'!$A$1:$Z$20000,MATCH(O505,'Semrush Data'!$A$1:$A$20000,0),MATCH("Volume",'Semrush Data'!$A$1:$Z$1,0)),""))</f>
        <v/>
      </c>
      <c r="U505" s="22" t="str">
        <f aca="false">IF(P505="","",IFERROR(INDEX('Semrush Data'!$A$1:$Z$20000,MATCH(P505,'Semrush Data'!$A$1:$A$20000,0),MATCH("Volume",'Semrush Data'!$A$1:$Z$1,0)),""))</f>
        <v/>
      </c>
      <c r="V505" s="23" t="str">
        <f aca="false">IF(COUNT(Q505:U505)=0,L505,IF(MAX(Q505:U505)=0,L505,INDEX(L505:P505,MATCH(MAX(Q505:U505),Q505:U505,0))))</f>
        <v>the woods collection green walk</v>
      </c>
      <c r="W505" s="22" t="n">
        <f aca="false">IFERROR(INDEX('Semrush Data'!$A$1:$Z$20000,MATCH(V505,'Semrush Data'!$A$1:$A$20000,0),MATCH("Volume",'Semrush Data'!$A$1:$Z$1,0)),"")</f>
        <v>20</v>
      </c>
      <c r="X505" s="22" t="n">
        <f aca="false">IFERROR(INDEX('Semrush Data'!$A$1:$Z$20000,MATCH(V505,'Semrush Data'!$A$1:$A$20000,0),MATCH("Keyword Difficulty*",'Semrush Data'!$A$1:$Z$1,0)),"")</f>
        <v>19</v>
      </c>
      <c r="Y505" s="24" t="n">
        <f aca="false">IFERROR(INDEX('Semrush Data'!$A$1:$Z$20000,MATCH(V505,'Semrush Data'!$A$1:$A$20000,0),MATCH("CPC*",'Semrush Data'!$A$1:$Z$1,0)),"")</f>
        <v>0</v>
      </c>
      <c r="Z505" s="21" t="s">
        <v>5993</v>
      </c>
      <c r="AA505" s="21" t="s">
        <v>5994</v>
      </c>
      <c r="AB505" s="21" t="s">
        <v>5995</v>
      </c>
      <c r="AC505" s="21" t="s">
        <v>5996</v>
      </c>
      <c r="AD505" s="25" t="n">
        <f aca="false">LEN(AC505)</f>
        <v>59</v>
      </c>
      <c r="AE505" s="21" t="s">
        <v>5997</v>
      </c>
      <c r="AF505" s="25" t="n">
        <f aca="false">LEN(AE505)</f>
        <v>159</v>
      </c>
    </row>
    <row r="506" customFormat="false" ht="15" hidden="false" customHeight="true" outlineLevel="0" collapsed="false">
      <c r="A506" s="21" t="s">
        <v>5998</v>
      </c>
      <c r="B506" s="21" t="s">
        <v>2390</v>
      </c>
      <c r="C506" s="21" t="n">
        <v>346</v>
      </c>
      <c r="D506" s="21" t="s">
        <v>5952</v>
      </c>
      <c r="E506" s="21"/>
      <c r="F506" s="21" t="s">
        <v>2393</v>
      </c>
      <c r="G506" s="21" t="s">
        <v>2394</v>
      </c>
      <c r="H506" s="21" t="s">
        <v>2479</v>
      </c>
      <c r="I506" s="21" t="s">
        <v>5999</v>
      </c>
      <c r="J506" s="21" t="s">
        <v>1935</v>
      </c>
      <c r="K506" s="21" t="n">
        <v>44.99</v>
      </c>
      <c r="L506" s="21" t="s">
        <v>6000</v>
      </c>
      <c r="M506" s="21" t="s">
        <v>6001</v>
      </c>
      <c r="N506" s="21" t="s">
        <v>6002</v>
      </c>
      <c r="O506" s="21" t="s">
        <v>6003</v>
      </c>
      <c r="P506" s="21" t="s">
        <v>6004</v>
      </c>
      <c r="Q506" s="22" t="n">
        <f aca="false">IF(L506="","",IFERROR(INDEX('Semrush Data'!$A$1:$Z$20000,MATCH(L506,'Semrush Data'!$A$1:$A$20000,0),MATCH("Volume",'Semrush Data'!$A$1:$Z$1,0)),""))</f>
        <v>0</v>
      </c>
      <c r="R506" s="22" t="str">
        <f aca="false">IF(M506="","",IFERROR(INDEX('Semrush Data'!$A$1:$Z$20000,MATCH(M506,'Semrush Data'!$A$1:$A$20000,0),MATCH("Volume",'Semrush Data'!$A$1:$Z$1,0)),""))</f>
        <v/>
      </c>
      <c r="S506" s="22" t="str">
        <f aca="false">IF(N506="","",IFERROR(INDEX('Semrush Data'!$A$1:$Z$20000,MATCH(N506,'Semrush Data'!$A$1:$A$20000,0),MATCH("Volume",'Semrush Data'!$A$1:$Z$1,0)),""))</f>
        <v/>
      </c>
      <c r="T506" s="22" t="str">
        <f aca="false">IF(O506="","",IFERROR(INDEX('Semrush Data'!$A$1:$Z$20000,MATCH(O506,'Semrush Data'!$A$1:$A$20000,0),MATCH("Volume",'Semrush Data'!$A$1:$Z$1,0)),""))</f>
        <v/>
      </c>
      <c r="U506" s="22" t="str">
        <f aca="false">IF(P506="","",IFERROR(INDEX('Semrush Data'!$A$1:$Z$20000,MATCH(P506,'Semrush Data'!$A$1:$A$20000,0),MATCH("Volume",'Semrush Data'!$A$1:$Z$1,0)),""))</f>
        <v/>
      </c>
      <c r="V506" s="23" t="str">
        <f aca="false">IF(COUNT(Q506:U506)=0,L506,IF(MAX(Q506:U506)=0,L506,INDEX(L506:P506,MATCH(MAX(Q506:U506),Q506:U506,0))))</f>
        <v>the woods collection mirage</v>
      </c>
      <c r="W506" s="22" t="n">
        <f aca="false">IFERROR(INDEX('Semrush Data'!$A$1:$Z$20000,MATCH(V506,'Semrush Data'!$A$1:$A$20000,0),MATCH("Volume",'Semrush Data'!$A$1:$Z$1,0)),"")</f>
        <v>0</v>
      </c>
      <c r="X506" s="22" t="n">
        <f aca="false">IFERROR(INDEX('Semrush Data'!$A$1:$Z$20000,MATCH(V506,'Semrush Data'!$A$1:$A$20000,0),MATCH("Keyword Difficulty*",'Semrush Data'!$A$1:$Z$1,0)),"")</f>
        <v>7</v>
      </c>
      <c r="Y506" s="24" t="n">
        <f aca="false">IFERROR(INDEX('Semrush Data'!$A$1:$Z$20000,MATCH(V506,'Semrush Data'!$A$1:$A$20000,0),MATCH("CPC*",'Semrush Data'!$A$1:$Z$1,0)),"")</f>
        <v>0</v>
      </c>
      <c r="Z506" s="21" t="s">
        <v>5959</v>
      </c>
      <c r="AA506" s="21" t="s">
        <v>6005</v>
      </c>
      <c r="AB506" s="21" t="s">
        <v>6006</v>
      </c>
      <c r="AC506" s="21" t="s">
        <v>6007</v>
      </c>
      <c r="AD506" s="25" t="n">
        <f aca="false">LEN(AC506)</f>
        <v>55</v>
      </c>
      <c r="AE506" s="21" t="s">
        <v>6008</v>
      </c>
      <c r="AF506" s="25" t="n">
        <f aca="false">LEN(AE506)</f>
        <v>156</v>
      </c>
    </row>
    <row r="507" customFormat="false" ht="15" hidden="false" customHeight="true" outlineLevel="0" collapsed="false">
      <c r="A507" s="21" t="s">
        <v>6009</v>
      </c>
      <c r="B507" s="21" t="s">
        <v>2390</v>
      </c>
      <c r="C507" s="21" t="n">
        <v>347</v>
      </c>
      <c r="D507" s="21" t="s">
        <v>5952</v>
      </c>
      <c r="E507" s="21"/>
      <c r="F507" s="21" t="s">
        <v>2393</v>
      </c>
      <c r="G507" s="21" t="s">
        <v>2394</v>
      </c>
      <c r="H507" s="21" t="s">
        <v>2479</v>
      </c>
      <c r="I507" s="21" t="s">
        <v>6010</v>
      </c>
      <c r="J507" s="21" t="s">
        <v>1935</v>
      </c>
      <c r="K507" s="21" t="n">
        <v>44.99</v>
      </c>
      <c r="L507" s="21" t="s">
        <v>6011</v>
      </c>
      <c r="M507" s="21" t="s">
        <v>6012</v>
      </c>
      <c r="N507" s="21" t="s">
        <v>6013</v>
      </c>
      <c r="O507" s="21" t="s">
        <v>6014</v>
      </c>
      <c r="P507" s="21" t="s">
        <v>6015</v>
      </c>
      <c r="Q507" s="22" t="n">
        <f aca="false">IF(L507="","",IFERROR(INDEX('Semrush Data'!$A$1:$Z$20000,MATCH(L507,'Semrush Data'!$A$1:$A$20000,0),MATCH("Volume",'Semrush Data'!$A$1:$Z$1,0)),""))</f>
        <v>20</v>
      </c>
      <c r="R507" s="22" t="str">
        <f aca="false">IF(M507="","",IFERROR(INDEX('Semrush Data'!$A$1:$Z$20000,MATCH(M507,'Semrush Data'!$A$1:$A$20000,0),MATCH("Volume",'Semrush Data'!$A$1:$Z$1,0)),""))</f>
        <v/>
      </c>
      <c r="S507" s="22" t="str">
        <f aca="false">IF(N507="","",IFERROR(INDEX('Semrush Data'!$A$1:$Z$20000,MATCH(N507,'Semrush Data'!$A$1:$A$20000,0),MATCH("Volume",'Semrush Data'!$A$1:$Z$1,0)),""))</f>
        <v/>
      </c>
      <c r="T507" s="22" t="str">
        <f aca="false">IF(O507="","",IFERROR(INDEX('Semrush Data'!$A$1:$Z$20000,MATCH(O507,'Semrush Data'!$A$1:$A$20000,0),MATCH("Volume",'Semrush Data'!$A$1:$Z$1,0)),""))</f>
        <v/>
      </c>
      <c r="U507" s="22" t="str">
        <f aca="false">IF(P507="","",IFERROR(INDEX('Semrush Data'!$A$1:$Z$20000,MATCH(P507,'Semrush Data'!$A$1:$A$20000,0),MATCH("Volume",'Semrush Data'!$A$1:$Z$1,0)),""))</f>
        <v/>
      </c>
      <c r="V507" s="23" t="str">
        <f aca="false">IF(COUNT(Q507:U507)=0,L507,IF(MAX(Q507:U507)=0,L507,INDEX(L507:P507,MATCH(MAX(Q507:U507),Q507:U507,0))))</f>
        <v>the woods collection pure shine</v>
      </c>
      <c r="W507" s="22" t="n">
        <f aca="false">IFERROR(INDEX('Semrush Data'!$A$1:$Z$20000,MATCH(V507,'Semrush Data'!$A$1:$A$20000,0),MATCH("Volume",'Semrush Data'!$A$1:$Z$1,0)),"")</f>
        <v>20</v>
      </c>
      <c r="X507" s="22" t="n">
        <f aca="false">IFERROR(INDEX('Semrush Data'!$A$1:$Z$20000,MATCH(V507,'Semrush Data'!$A$1:$A$20000,0),MATCH("Keyword Difficulty*",'Semrush Data'!$A$1:$Z$1,0)),"")</f>
        <v>8</v>
      </c>
      <c r="Y507" s="24" t="n">
        <f aca="false">IFERROR(INDEX('Semrush Data'!$A$1:$Z$20000,MATCH(V507,'Semrush Data'!$A$1:$A$20000,0),MATCH("CPC*",'Semrush Data'!$A$1:$Z$1,0)),"")</f>
        <v>0</v>
      </c>
      <c r="Z507" s="21" t="s">
        <v>5959</v>
      </c>
      <c r="AA507" s="21" t="s">
        <v>6016</v>
      </c>
      <c r="AB507" s="21" t="s">
        <v>6017</v>
      </c>
      <c r="AC507" s="21" t="s">
        <v>6018</v>
      </c>
      <c r="AD507" s="25" t="n">
        <f aca="false">LEN(AC507)</f>
        <v>59</v>
      </c>
      <c r="AE507" s="21" t="s">
        <v>6019</v>
      </c>
      <c r="AF507" s="25" t="n">
        <f aca="false">LEN(AE507)</f>
        <v>160</v>
      </c>
    </row>
    <row r="508" customFormat="false" ht="15" hidden="false" customHeight="true" outlineLevel="0" collapsed="false">
      <c r="A508" s="21" t="s">
        <v>6020</v>
      </c>
      <c r="B508" s="21" t="s">
        <v>2390</v>
      </c>
      <c r="C508" s="21" t="n">
        <v>348</v>
      </c>
      <c r="D508" s="21" t="s">
        <v>5952</v>
      </c>
      <c r="E508" s="21"/>
      <c r="F508" s="21" t="s">
        <v>2393</v>
      </c>
      <c r="G508" s="21" t="s">
        <v>2394</v>
      </c>
      <c r="H508" s="21" t="s">
        <v>2479</v>
      </c>
      <c r="I508" s="21" t="s">
        <v>6021</v>
      </c>
      <c r="J508" s="21" t="s">
        <v>1935</v>
      </c>
      <c r="K508" s="21" t="n">
        <v>44.99</v>
      </c>
      <c r="L508" s="21" t="s">
        <v>6022</v>
      </c>
      <c r="M508" s="21" t="s">
        <v>6023</v>
      </c>
      <c r="N508" s="21" t="s">
        <v>6024</v>
      </c>
      <c r="O508" s="21" t="s">
        <v>6025</v>
      </c>
      <c r="P508" s="21" t="s">
        <v>6026</v>
      </c>
      <c r="Q508" s="22" t="n">
        <f aca="false">IF(L508="","",IFERROR(INDEX('Semrush Data'!$A$1:$Z$20000,MATCH(L508,'Semrush Data'!$A$1:$A$20000,0),MATCH("Volume",'Semrush Data'!$A$1:$Z$1,0)),""))</f>
        <v>20</v>
      </c>
      <c r="R508" s="22" t="str">
        <f aca="false">IF(M508="","",IFERROR(INDEX('Semrush Data'!$A$1:$Z$20000,MATCH(M508,'Semrush Data'!$A$1:$A$20000,0),MATCH("Volume",'Semrush Data'!$A$1:$Z$1,0)),""))</f>
        <v/>
      </c>
      <c r="S508" s="22" t="str">
        <f aca="false">IF(N508="","",IFERROR(INDEX('Semrush Data'!$A$1:$Z$20000,MATCH(N508,'Semrush Data'!$A$1:$A$20000,0),MATCH("Volume",'Semrush Data'!$A$1:$Z$1,0)),""))</f>
        <v/>
      </c>
      <c r="T508" s="22" t="str">
        <f aca="false">IF(O508="","",IFERROR(INDEX('Semrush Data'!$A$1:$Z$20000,MATCH(O508,'Semrush Data'!$A$1:$A$20000,0),MATCH("Volume",'Semrush Data'!$A$1:$Z$1,0)),""))</f>
        <v/>
      </c>
      <c r="U508" s="22" t="str">
        <f aca="false">IF(P508="","",IFERROR(INDEX('Semrush Data'!$A$1:$Z$20000,MATCH(P508,'Semrush Data'!$A$1:$A$20000,0),MATCH("Volume",'Semrush Data'!$A$1:$Z$1,0)),""))</f>
        <v/>
      </c>
      <c r="V508" s="23" t="str">
        <f aca="false">IF(COUNT(Q508:U508)=0,L508,IF(MAX(Q508:U508)=0,L508,INDEX(L508:P508,MATCH(MAX(Q508:U508),Q508:U508,0))))</f>
        <v>the woods collection secret source</v>
      </c>
      <c r="W508" s="22" t="n">
        <f aca="false">IFERROR(INDEX('Semrush Data'!$A$1:$Z$20000,MATCH(V508,'Semrush Data'!$A$1:$A$20000,0),MATCH("Volume",'Semrush Data'!$A$1:$Z$1,0)),"")</f>
        <v>20</v>
      </c>
      <c r="X508" s="22" t="n">
        <f aca="false">IFERROR(INDEX('Semrush Data'!$A$1:$Z$20000,MATCH(V508,'Semrush Data'!$A$1:$A$20000,0),MATCH("Keyword Difficulty*",'Semrush Data'!$A$1:$Z$1,0)),"")</f>
        <v>13</v>
      </c>
      <c r="Y508" s="24" t="n">
        <f aca="false">IFERROR(INDEX('Semrush Data'!$A$1:$Z$20000,MATCH(V508,'Semrush Data'!$A$1:$A$20000,0),MATCH("CPC*",'Semrush Data'!$A$1:$Z$1,0)),"")</f>
        <v>0</v>
      </c>
      <c r="Z508" s="21" t="s">
        <v>5959</v>
      </c>
      <c r="AA508" s="21" t="s">
        <v>6027</v>
      </c>
      <c r="AB508" s="21" t="s">
        <v>6028</v>
      </c>
      <c r="AC508" s="21" t="s">
        <v>6029</v>
      </c>
      <c r="AD508" s="25" t="n">
        <f aca="false">LEN(AC508)</f>
        <v>58</v>
      </c>
      <c r="AE508" s="21" t="s">
        <v>6030</v>
      </c>
      <c r="AF508" s="25" t="n">
        <f aca="false">LEN(AE508)</f>
        <v>156</v>
      </c>
    </row>
    <row r="509" customFormat="false" ht="15" hidden="false" customHeight="true" outlineLevel="0" collapsed="false">
      <c r="A509" s="21" t="s">
        <v>6031</v>
      </c>
      <c r="B509" s="21" t="s">
        <v>2390</v>
      </c>
      <c r="C509" s="21" t="n">
        <v>349</v>
      </c>
      <c r="D509" s="21" t="s">
        <v>5952</v>
      </c>
      <c r="E509" s="21"/>
      <c r="F509" s="21" t="s">
        <v>2393</v>
      </c>
      <c r="G509" s="21" t="s">
        <v>2394</v>
      </c>
      <c r="H509" s="21" t="s">
        <v>2479</v>
      </c>
      <c r="I509" s="21" t="s">
        <v>6032</v>
      </c>
      <c r="J509" s="21" t="s">
        <v>1935</v>
      </c>
      <c r="K509" s="21" t="n">
        <v>44.99</v>
      </c>
      <c r="L509" s="21" t="s">
        <v>6033</v>
      </c>
      <c r="M509" s="21" t="s">
        <v>6034</v>
      </c>
      <c r="N509" s="21" t="s">
        <v>6035</v>
      </c>
      <c r="O509" s="21" t="s">
        <v>6036</v>
      </c>
      <c r="P509" s="21" t="s">
        <v>6037</v>
      </c>
      <c r="Q509" s="22" t="n">
        <f aca="false">IF(L509="","",IFERROR(INDEX('Semrush Data'!$A$1:$Z$20000,MATCH(L509,'Semrush Data'!$A$1:$A$20000,0),MATCH("Volume",'Semrush Data'!$A$1:$Z$1,0)),""))</f>
        <v>20</v>
      </c>
      <c r="R509" s="22" t="str">
        <f aca="false">IF(M509="","",IFERROR(INDEX('Semrush Data'!$A$1:$Z$20000,MATCH(M509,'Semrush Data'!$A$1:$A$20000,0),MATCH("Volume",'Semrush Data'!$A$1:$Z$1,0)),""))</f>
        <v/>
      </c>
      <c r="S509" s="22" t="str">
        <f aca="false">IF(N509="","",IFERROR(INDEX('Semrush Data'!$A$1:$Z$20000,MATCH(N509,'Semrush Data'!$A$1:$A$20000,0),MATCH("Volume",'Semrush Data'!$A$1:$Z$1,0)),""))</f>
        <v/>
      </c>
      <c r="T509" s="22" t="str">
        <f aca="false">IF(O509="","",IFERROR(INDEX('Semrush Data'!$A$1:$Z$20000,MATCH(O509,'Semrush Data'!$A$1:$A$20000,0),MATCH("Volume",'Semrush Data'!$A$1:$Z$1,0)),""))</f>
        <v/>
      </c>
      <c r="U509" s="22" t="str">
        <f aca="false">IF(P509="","",IFERROR(INDEX('Semrush Data'!$A$1:$Z$20000,MATCH(P509,'Semrush Data'!$A$1:$A$20000,0),MATCH("Volume",'Semrush Data'!$A$1:$Z$1,0)),""))</f>
        <v/>
      </c>
      <c r="V509" s="23" t="str">
        <f aca="false">IF(COUNT(Q509:U509)=0,L509,IF(MAX(Q509:U509)=0,L509,INDEX(L509:P509,MATCH(MAX(Q509:U509),Q509:U509,0))))</f>
        <v>the woods collection sunrise</v>
      </c>
      <c r="W509" s="22" t="n">
        <f aca="false">IFERROR(INDEX('Semrush Data'!$A$1:$Z$20000,MATCH(V509,'Semrush Data'!$A$1:$A$20000,0),MATCH("Volume",'Semrush Data'!$A$1:$Z$1,0)),"")</f>
        <v>20</v>
      </c>
      <c r="X509" s="22" t="n">
        <f aca="false">IFERROR(INDEX('Semrush Data'!$A$1:$Z$20000,MATCH(V509,'Semrush Data'!$A$1:$A$20000,0),MATCH("Keyword Difficulty*",'Semrush Data'!$A$1:$Z$1,0)),"")</f>
        <v>6</v>
      </c>
      <c r="Y509" s="24" t="n">
        <f aca="false">IFERROR(INDEX('Semrush Data'!$A$1:$Z$20000,MATCH(V509,'Semrush Data'!$A$1:$A$20000,0),MATCH("CPC*",'Semrush Data'!$A$1:$Z$1,0)),"")</f>
        <v>0</v>
      </c>
      <c r="Z509" s="21" t="s">
        <v>5959</v>
      </c>
      <c r="AA509" s="21" t="s">
        <v>6038</v>
      </c>
      <c r="AB509" s="21" t="s">
        <v>6039</v>
      </c>
      <c r="AC509" s="21" t="s">
        <v>6040</v>
      </c>
      <c r="AD509" s="25" t="n">
        <f aca="false">LEN(AC509)</f>
        <v>56</v>
      </c>
      <c r="AE509" s="21" t="s">
        <v>6041</v>
      </c>
      <c r="AF509" s="25" t="n">
        <f aca="false">LEN(AE509)</f>
        <v>157</v>
      </c>
    </row>
    <row r="510" customFormat="false" ht="15" hidden="false" customHeight="true" outlineLevel="0" collapsed="false">
      <c r="A510" s="21" t="s">
        <v>6042</v>
      </c>
      <c r="B510" s="21" t="s">
        <v>2390</v>
      </c>
      <c r="C510" s="21" t="n">
        <v>350</v>
      </c>
      <c r="D510" s="21" t="s">
        <v>5952</v>
      </c>
      <c r="E510" s="21"/>
      <c r="F510" s="21" t="s">
        <v>2393</v>
      </c>
      <c r="G510" s="21" t="s">
        <v>2394</v>
      </c>
      <c r="H510" s="21" t="s">
        <v>2479</v>
      </c>
      <c r="I510" s="21" t="s">
        <v>6043</v>
      </c>
      <c r="J510" s="21" t="s">
        <v>1935</v>
      </c>
      <c r="K510" s="21" t="n">
        <v>44.99</v>
      </c>
      <c r="L510" s="21" t="s">
        <v>6044</v>
      </c>
      <c r="M510" s="21" t="s">
        <v>6045</v>
      </c>
      <c r="N510" s="21" t="s">
        <v>6046</v>
      </c>
      <c r="O510" s="21" t="s">
        <v>6047</v>
      </c>
      <c r="P510" s="21" t="s">
        <v>6048</v>
      </c>
      <c r="Q510" s="22" t="n">
        <f aca="false">IF(L510="","",IFERROR(INDEX('Semrush Data'!$A$1:$Z$20000,MATCH(L510,'Semrush Data'!$A$1:$A$20000,0),MATCH("Volume",'Semrush Data'!$A$1:$Z$1,0)),""))</f>
        <v>0</v>
      </c>
      <c r="R510" s="22" t="str">
        <f aca="false">IF(M510="","",IFERROR(INDEX('Semrush Data'!$A$1:$Z$20000,MATCH(M510,'Semrush Data'!$A$1:$A$20000,0),MATCH("Volume",'Semrush Data'!$A$1:$Z$1,0)),""))</f>
        <v/>
      </c>
      <c r="S510" s="22" t="str">
        <f aca="false">IF(N510="","",IFERROR(INDEX('Semrush Data'!$A$1:$Z$20000,MATCH(N510,'Semrush Data'!$A$1:$A$20000,0),MATCH("Volume",'Semrush Data'!$A$1:$Z$1,0)),""))</f>
        <v/>
      </c>
      <c r="T510" s="22" t="str">
        <f aca="false">IF(O510="","",IFERROR(INDEX('Semrush Data'!$A$1:$Z$20000,MATCH(O510,'Semrush Data'!$A$1:$A$20000,0),MATCH("Volume",'Semrush Data'!$A$1:$Z$1,0)),""))</f>
        <v/>
      </c>
      <c r="U510" s="22" t="str">
        <f aca="false">IF(P510="","",IFERROR(INDEX('Semrush Data'!$A$1:$Z$20000,MATCH(P510,'Semrush Data'!$A$1:$A$20000,0),MATCH("Volume",'Semrush Data'!$A$1:$Z$1,0)),""))</f>
        <v/>
      </c>
      <c r="V510" s="23" t="str">
        <f aca="false">IF(COUNT(Q510:U510)=0,L510,IF(MAX(Q510:U510)=0,L510,INDEX(L510:P510,MATCH(MAX(Q510:U510),Q510:U510,0))))</f>
        <v>the woods collection timeless sands</v>
      </c>
      <c r="W510" s="22" t="n">
        <f aca="false">IFERROR(INDEX('Semrush Data'!$A$1:$Z$20000,MATCH(V510,'Semrush Data'!$A$1:$A$20000,0),MATCH("Volume",'Semrush Data'!$A$1:$Z$1,0)),"")</f>
        <v>0</v>
      </c>
      <c r="X510" s="22" t="n">
        <f aca="false">IFERROR(INDEX('Semrush Data'!$A$1:$Z$20000,MATCH(V510,'Semrush Data'!$A$1:$A$20000,0),MATCH("Keyword Difficulty*",'Semrush Data'!$A$1:$Z$1,0)),"")</f>
        <v>16</v>
      </c>
      <c r="Y510" s="24" t="n">
        <f aca="false">IFERROR(INDEX('Semrush Data'!$A$1:$Z$20000,MATCH(V510,'Semrush Data'!$A$1:$A$20000,0),MATCH("CPC*",'Semrush Data'!$A$1:$Z$1,0)),"")</f>
        <v>0</v>
      </c>
      <c r="Z510" s="21" t="s">
        <v>5959</v>
      </c>
      <c r="AA510" s="21" t="s">
        <v>6049</v>
      </c>
      <c r="AB510" s="21" t="s">
        <v>6050</v>
      </c>
      <c r="AC510" s="21" t="s">
        <v>6051</v>
      </c>
      <c r="AD510" s="25" t="n">
        <f aca="false">LEN(AC510)</f>
        <v>59</v>
      </c>
      <c r="AE510" s="21" t="s">
        <v>6052</v>
      </c>
      <c r="AF510" s="25" t="n">
        <f aca="false">LEN(AE510)</f>
        <v>157</v>
      </c>
    </row>
    <row r="511" customFormat="false" ht="15" hidden="false" customHeight="true" outlineLevel="0" collapsed="false">
      <c r="A511" s="21" t="s">
        <v>6053</v>
      </c>
      <c r="B511" s="21" t="s">
        <v>2390</v>
      </c>
      <c r="C511" s="21" t="n">
        <v>351</v>
      </c>
      <c r="D511" s="21" t="s">
        <v>5952</v>
      </c>
      <c r="E511" s="21"/>
      <c r="F511" s="21" t="s">
        <v>2393</v>
      </c>
      <c r="G511" s="21" t="s">
        <v>2394</v>
      </c>
      <c r="H511" s="21" t="s">
        <v>2479</v>
      </c>
      <c r="I511" s="21" t="s">
        <v>6054</v>
      </c>
      <c r="J511" s="21" t="s">
        <v>1935</v>
      </c>
      <c r="K511" s="21" t="n">
        <v>44.99</v>
      </c>
      <c r="L511" s="21" t="s">
        <v>6055</v>
      </c>
      <c r="M511" s="21" t="s">
        <v>6056</v>
      </c>
      <c r="N511" s="21" t="s">
        <v>6057</v>
      </c>
      <c r="O511" s="21" t="s">
        <v>6058</v>
      </c>
      <c r="P511" s="21" t="s">
        <v>6059</v>
      </c>
      <c r="Q511" s="22" t="n">
        <f aca="false">IF(L511="","",IFERROR(INDEX('Semrush Data'!$A$1:$Z$20000,MATCH(L511,'Semrush Data'!$A$1:$A$20000,0),MATCH("Volume",'Semrush Data'!$A$1:$Z$1,0)),""))</f>
        <v>20</v>
      </c>
      <c r="R511" s="22" t="str">
        <f aca="false">IF(M511="","",IFERROR(INDEX('Semrush Data'!$A$1:$Z$20000,MATCH(M511,'Semrush Data'!$A$1:$A$20000,0),MATCH("Volume",'Semrush Data'!$A$1:$Z$1,0)),""))</f>
        <v/>
      </c>
      <c r="S511" s="22" t="str">
        <f aca="false">IF(N511="","",IFERROR(INDEX('Semrush Data'!$A$1:$Z$20000,MATCH(N511,'Semrush Data'!$A$1:$A$20000,0),MATCH("Volume",'Semrush Data'!$A$1:$Z$1,0)),""))</f>
        <v/>
      </c>
      <c r="T511" s="22" t="str">
        <f aca="false">IF(O511="","",IFERROR(INDEX('Semrush Data'!$A$1:$Z$20000,MATCH(O511,'Semrush Data'!$A$1:$A$20000,0),MATCH("Volume",'Semrush Data'!$A$1:$Z$1,0)),""))</f>
        <v/>
      </c>
      <c r="U511" s="22" t="str">
        <f aca="false">IF(P511="","",IFERROR(INDEX('Semrush Data'!$A$1:$Z$20000,MATCH(P511,'Semrush Data'!$A$1:$A$20000,0),MATCH("Volume",'Semrush Data'!$A$1:$Z$1,0)),""))</f>
        <v/>
      </c>
      <c r="V511" s="23" t="str">
        <f aca="false">IF(COUNT(Q511:U511)=0,L511,IF(MAX(Q511:U511)=0,L511,INDEX(L511:P511,MATCH(MAX(Q511:U511),Q511:U511,0))))</f>
        <v>the woods collection twilight</v>
      </c>
      <c r="W511" s="22" t="n">
        <f aca="false">IFERROR(INDEX('Semrush Data'!$A$1:$Z$20000,MATCH(V511,'Semrush Data'!$A$1:$A$20000,0),MATCH("Volume",'Semrush Data'!$A$1:$Z$1,0)),"")</f>
        <v>20</v>
      </c>
      <c r="X511" s="22" t="n">
        <f aca="false">IFERROR(INDEX('Semrush Data'!$A$1:$Z$20000,MATCH(V511,'Semrush Data'!$A$1:$A$20000,0),MATCH("Keyword Difficulty*",'Semrush Data'!$A$1:$Z$1,0)),"")</f>
        <v>7</v>
      </c>
      <c r="Y511" s="24" t="n">
        <f aca="false">IFERROR(INDEX('Semrush Data'!$A$1:$Z$20000,MATCH(V511,'Semrush Data'!$A$1:$A$20000,0),MATCH("CPC*",'Semrush Data'!$A$1:$Z$1,0)),"")</f>
        <v>0</v>
      </c>
      <c r="Z511" s="21" t="s">
        <v>5959</v>
      </c>
      <c r="AA511" s="21" t="s">
        <v>6060</v>
      </c>
      <c r="AB511" s="21" t="s">
        <v>6061</v>
      </c>
      <c r="AC511" s="21" t="s">
        <v>6062</v>
      </c>
      <c r="AD511" s="25" t="n">
        <f aca="false">LEN(AC511)</f>
        <v>57</v>
      </c>
      <c r="AE511" s="21" t="s">
        <v>6063</v>
      </c>
      <c r="AF511" s="25" t="n">
        <f aca="false">LEN(AE511)</f>
        <v>158</v>
      </c>
    </row>
    <row r="512" customFormat="false" ht="15" hidden="false" customHeight="true" outlineLevel="0" collapsed="false">
      <c r="A512" s="21" t="s">
        <v>6064</v>
      </c>
      <c r="B512" s="21" t="s">
        <v>2390</v>
      </c>
      <c r="C512" s="21" t="n">
        <v>352</v>
      </c>
      <c r="D512" s="21" t="s">
        <v>5952</v>
      </c>
      <c r="E512" s="21"/>
      <c r="F512" s="21" t="s">
        <v>2393</v>
      </c>
      <c r="G512" s="21" t="s">
        <v>2394</v>
      </c>
      <c r="H512" s="21" t="s">
        <v>2479</v>
      </c>
      <c r="I512" s="21" t="s">
        <v>6065</v>
      </c>
      <c r="J512" s="21" t="s">
        <v>1935</v>
      </c>
      <c r="K512" s="21" t="n">
        <v>44.99</v>
      </c>
      <c r="L512" s="21" t="s">
        <v>6066</v>
      </c>
      <c r="M512" s="21" t="s">
        <v>6067</v>
      </c>
      <c r="N512" s="21" t="s">
        <v>6068</v>
      </c>
      <c r="O512" s="21" t="s">
        <v>6069</v>
      </c>
      <c r="P512" s="21" t="s">
        <v>6070</v>
      </c>
      <c r="Q512" s="22" t="n">
        <f aca="false">IF(L512="","",IFERROR(INDEX('Semrush Data'!$A$1:$Z$20000,MATCH(L512,'Semrush Data'!$A$1:$A$20000,0),MATCH("Volume",'Semrush Data'!$A$1:$Z$1,0)),""))</f>
        <v>20</v>
      </c>
      <c r="R512" s="22" t="str">
        <f aca="false">IF(M512="","",IFERROR(INDEX('Semrush Data'!$A$1:$Z$20000,MATCH(M512,'Semrush Data'!$A$1:$A$20000,0),MATCH("Volume",'Semrush Data'!$A$1:$Z$1,0)),""))</f>
        <v/>
      </c>
      <c r="S512" s="22" t="str">
        <f aca="false">IF(N512="","",IFERROR(INDEX('Semrush Data'!$A$1:$Z$20000,MATCH(N512,'Semrush Data'!$A$1:$A$20000,0),MATCH("Volume",'Semrush Data'!$A$1:$Z$1,0)),""))</f>
        <v/>
      </c>
      <c r="T512" s="22" t="str">
        <f aca="false">IF(O512="","",IFERROR(INDEX('Semrush Data'!$A$1:$Z$20000,MATCH(O512,'Semrush Data'!$A$1:$A$20000,0),MATCH("Volume",'Semrush Data'!$A$1:$Z$1,0)),""))</f>
        <v/>
      </c>
      <c r="U512" s="22" t="str">
        <f aca="false">IF(P512="","",IFERROR(INDEX('Semrush Data'!$A$1:$Z$20000,MATCH(P512,'Semrush Data'!$A$1:$A$20000,0),MATCH("Volume",'Semrush Data'!$A$1:$Z$1,0)),""))</f>
        <v/>
      </c>
      <c r="V512" s="23" t="str">
        <f aca="false">IF(COUNT(Q512:U512)=0,L512,IF(MAX(Q512:U512)=0,L512,INDEX(L512:P512,MATCH(MAX(Q512:U512),Q512:U512,0))))</f>
        <v>the woods collection wild roses</v>
      </c>
      <c r="W512" s="22" t="n">
        <f aca="false">IFERROR(INDEX('Semrush Data'!$A$1:$Z$20000,MATCH(V512,'Semrush Data'!$A$1:$A$20000,0),MATCH("Volume",'Semrush Data'!$A$1:$Z$1,0)),"")</f>
        <v>20</v>
      </c>
      <c r="X512" s="22" t="n">
        <f aca="false">IFERROR(INDEX('Semrush Data'!$A$1:$Z$20000,MATCH(V512,'Semrush Data'!$A$1:$A$20000,0),MATCH("Keyword Difficulty*",'Semrush Data'!$A$1:$Z$1,0)),"")</f>
        <v>18</v>
      </c>
      <c r="Y512" s="24" t="n">
        <f aca="false">IFERROR(INDEX('Semrush Data'!$A$1:$Z$20000,MATCH(V512,'Semrush Data'!$A$1:$A$20000,0),MATCH("CPC*",'Semrush Data'!$A$1:$Z$1,0)),"")</f>
        <v>0</v>
      </c>
      <c r="Z512" s="21" t="s">
        <v>5959</v>
      </c>
      <c r="AA512" s="21" t="s">
        <v>6071</v>
      </c>
      <c r="AB512" s="21" t="s">
        <v>6072</v>
      </c>
      <c r="AC512" s="21" t="s">
        <v>6073</v>
      </c>
      <c r="AD512" s="25" t="n">
        <f aca="false">LEN(AC512)</f>
        <v>59</v>
      </c>
      <c r="AE512" s="21" t="s">
        <v>6074</v>
      </c>
      <c r="AF512" s="25" t="n">
        <f aca="false">LEN(AE512)</f>
        <v>160</v>
      </c>
    </row>
    <row r="513" customFormat="false" ht="15" hidden="false" customHeight="true" outlineLevel="0" collapsed="false">
      <c r="A513" s="21" t="s">
        <v>6075</v>
      </c>
      <c r="B513" s="21" t="s">
        <v>2390</v>
      </c>
      <c r="C513" s="21" t="n">
        <v>353</v>
      </c>
      <c r="D513" s="21" t="s">
        <v>6076</v>
      </c>
      <c r="E513" s="21"/>
      <c r="F513" s="21" t="s">
        <v>2393</v>
      </c>
      <c r="G513" s="21" t="s">
        <v>2676</v>
      </c>
      <c r="H513" s="21" t="s">
        <v>2479</v>
      </c>
      <c r="I513" s="21" t="s">
        <v>6077</v>
      </c>
      <c r="J513" s="21" t="s">
        <v>1935</v>
      </c>
      <c r="K513" s="21" t="n">
        <v>85.99</v>
      </c>
      <c r="L513" s="21" t="s">
        <v>6078</v>
      </c>
      <c r="M513" s="21" t="s">
        <v>6079</v>
      </c>
      <c r="N513" s="21" t="s">
        <v>6080</v>
      </c>
      <c r="O513" s="21" t="s">
        <v>6081</v>
      </c>
      <c r="P513" s="21" t="s">
        <v>6082</v>
      </c>
      <c r="Q513" s="22" t="n">
        <f aca="false">IF(L513="","",IFERROR(INDEX('Semrush Data'!$A$1:$Z$20000,MATCH(L513,'Semrush Data'!$A$1:$A$20000,0),MATCH("Volume",'Semrush Data'!$A$1:$Z$1,0)),""))</f>
        <v>20</v>
      </c>
      <c r="R513" s="22" t="str">
        <f aca="false">IF(M513="","",IFERROR(INDEX('Semrush Data'!$A$1:$Z$20000,MATCH(M513,'Semrush Data'!$A$1:$A$20000,0),MATCH("Volume",'Semrush Data'!$A$1:$Z$1,0)),""))</f>
        <v/>
      </c>
      <c r="S513" s="22" t="str">
        <f aca="false">IF(N513="","",IFERROR(INDEX('Semrush Data'!$A$1:$Z$20000,MATCH(N513,'Semrush Data'!$A$1:$A$20000,0),MATCH("Volume",'Semrush Data'!$A$1:$Z$1,0)),""))</f>
        <v/>
      </c>
      <c r="T513" s="22" t="str">
        <f aca="false">IF(O513="","",IFERROR(INDEX('Semrush Data'!$A$1:$Z$20000,MATCH(O513,'Semrush Data'!$A$1:$A$20000,0),MATCH("Volume",'Semrush Data'!$A$1:$Z$1,0)),""))</f>
        <v/>
      </c>
      <c r="U513" s="22" t="str">
        <f aca="false">IF(P513="","",IFERROR(INDEX('Semrush Data'!$A$1:$Z$20000,MATCH(P513,'Semrush Data'!$A$1:$A$20000,0),MATCH("Volume",'Semrush Data'!$A$1:$Z$1,0)),""))</f>
        <v/>
      </c>
      <c r="V513" s="23" t="str">
        <f aca="false">IF(COUNT(Q513:U513)=0,L513,IF(MAX(Q513:U513)=0,L513,INDEX(L513:P513,MATCH(MAX(Q513:U513),Q513:U513,0))))</f>
        <v>tiziana terenzi akragas</v>
      </c>
      <c r="W513" s="22" t="n">
        <f aca="false">IFERROR(INDEX('Semrush Data'!$A$1:$Z$20000,MATCH(V513,'Semrush Data'!$A$1:$A$20000,0),MATCH("Volume",'Semrush Data'!$A$1:$Z$1,0)),"")</f>
        <v>20</v>
      </c>
      <c r="X513" s="22" t="n">
        <f aca="false">IFERROR(INDEX('Semrush Data'!$A$1:$Z$20000,MATCH(V513,'Semrush Data'!$A$1:$A$20000,0),MATCH("Keyword Difficulty*",'Semrush Data'!$A$1:$Z$1,0)),"")</f>
        <v>12</v>
      </c>
      <c r="Y513" s="24" t="n">
        <f aca="false">IFERROR(INDEX('Semrush Data'!$A$1:$Z$20000,MATCH(V513,'Semrush Data'!$A$1:$A$20000,0),MATCH("CPC*",'Semrush Data'!$A$1:$Z$1,0)),"")</f>
        <v>0</v>
      </c>
      <c r="Z513" s="21" t="s">
        <v>6083</v>
      </c>
      <c r="AA513" s="21" t="s">
        <v>6084</v>
      </c>
      <c r="AB513" s="21" t="s">
        <v>6085</v>
      </c>
      <c r="AC513" s="21" t="s">
        <v>6086</v>
      </c>
      <c r="AD513" s="25" t="n">
        <f aca="false">LEN(AC513)</f>
        <v>52</v>
      </c>
      <c r="AE513" s="21" t="s">
        <v>6087</v>
      </c>
      <c r="AF513" s="25" t="n">
        <f aca="false">LEN(AE513)</f>
        <v>150</v>
      </c>
    </row>
    <row r="514" customFormat="false" ht="15" hidden="false" customHeight="true" outlineLevel="0" collapsed="false">
      <c r="A514" s="21" t="s">
        <v>6088</v>
      </c>
      <c r="B514" s="21" t="s">
        <v>2390</v>
      </c>
      <c r="C514" s="21" t="n">
        <v>354</v>
      </c>
      <c r="D514" s="21" t="s">
        <v>6076</v>
      </c>
      <c r="E514" s="21"/>
      <c r="F514" s="21" t="s">
        <v>2393</v>
      </c>
      <c r="G514" s="21" t="s">
        <v>2676</v>
      </c>
      <c r="H514" s="21" t="s">
        <v>2479</v>
      </c>
      <c r="I514" s="21" t="s">
        <v>6089</v>
      </c>
      <c r="J514" s="21" t="s">
        <v>1935</v>
      </c>
      <c r="K514" s="21" t="n">
        <v>109.99</v>
      </c>
      <c r="L514" s="21" t="s">
        <v>6090</v>
      </c>
      <c r="M514" s="21" t="s">
        <v>6091</v>
      </c>
      <c r="N514" s="21" t="s">
        <v>6092</v>
      </c>
      <c r="O514" s="21" t="s">
        <v>6093</v>
      </c>
      <c r="P514" s="21" t="s">
        <v>6094</v>
      </c>
      <c r="Q514" s="22" t="n">
        <f aca="false">IF(L514="","",IFERROR(INDEX('Semrush Data'!$A$1:$Z$20000,MATCH(L514,'Semrush Data'!$A$1:$A$20000,0),MATCH("Volume",'Semrush Data'!$A$1:$Z$1,0)),""))</f>
        <v>90</v>
      </c>
      <c r="R514" s="22" t="n">
        <f aca="false">IF(M514="","",IFERROR(INDEX('Semrush Data'!$A$1:$Z$20000,MATCH(M514,'Semrush Data'!$A$1:$A$20000,0),MATCH("Volume",'Semrush Data'!$A$1:$Z$1,0)),""))</f>
        <v>0</v>
      </c>
      <c r="S514" s="22" t="str">
        <f aca="false">IF(N514="","",IFERROR(INDEX('Semrush Data'!$A$1:$Z$20000,MATCH(N514,'Semrush Data'!$A$1:$A$20000,0),MATCH("Volume",'Semrush Data'!$A$1:$Z$1,0)),""))</f>
        <v/>
      </c>
      <c r="T514" s="22" t="str">
        <f aca="false">IF(O514="","",IFERROR(INDEX('Semrush Data'!$A$1:$Z$20000,MATCH(O514,'Semrush Data'!$A$1:$A$20000,0),MATCH("Volume",'Semrush Data'!$A$1:$Z$1,0)),""))</f>
        <v/>
      </c>
      <c r="U514" s="22" t="n">
        <f aca="false">IF(P514="","",IFERROR(INDEX('Semrush Data'!$A$1:$Z$20000,MATCH(P514,'Semrush Data'!$A$1:$A$20000,0),MATCH("Volume",'Semrush Data'!$A$1:$Z$1,0)),""))</f>
        <v>20</v>
      </c>
      <c r="V514" s="23" t="str">
        <f aca="false">IF(COUNT(Q514:U514)=0,L514,IF(MAX(Q514:U514)=0,L514,INDEX(L514:P514,MATCH(MAX(Q514:U514),Q514:U514,0))))</f>
        <v>tiziana terenzi andromeda</v>
      </c>
      <c r="W514" s="22" t="n">
        <f aca="false">IFERROR(INDEX('Semrush Data'!$A$1:$Z$20000,MATCH(V514,'Semrush Data'!$A$1:$A$20000,0),MATCH("Volume",'Semrush Data'!$A$1:$Z$1,0)),"")</f>
        <v>90</v>
      </c>
      <c r="X514" s="22" t="n">
        <f aca="false">IFERROR(INDEX('Semrush Data'!$A$1:$Z$20000,MATCH(V514,'Semrush Data'!$A$1:$A$20000,0),MATCH("Keyword Difficulty*",'Semrush Data'!$A$1:$Z$1,0)),"")</f>
        <v>19</v>
      </c>
      <c r="Y514" s="24" t="n">
        <f aca="false">IFERROR(INDEX('Semrush Data'!$A$1:$Z$20000,MATCH(V514,'Semrush Data'!$A$1:$A$20000,0),MATCH("CPC*",'Semrush Data'!$A$1:$Z$1,0)),"")</f>
        <v>0.55</v>
      </c>
      <c r="Z514" s="21" t="s">
        <v>6083</v>
      </c>
      <c r="AA514" s="21" t="s">
        <v>6095</v>
      </c>
      <c r="AB514" s="21" t="s">
        <v>6096</v>
      </c>
      <c r="AC514" s="21" t="s">
        <v>6097</v>
      </c>
      <c r="AD514" s="25" t="n">
        <f aca="false">LEN(AC514)</f>
        <v>54</v>
      </c>
      <c r="AE514" s="21" t="s">
        <v>6098</v>
      </c>
      <c r="AF514" s="25" t="n">
        <f aca="false">LEN(AE514)</f>
        <v>152</v>
      </c>
    </row>
    <row r="515" customFormat="false" ht="15" hidden="false" customHeight="true" outlineLevel="0" collapsed="false">
      <c r="A515" s="21" t="s">
        <v>6099</v>
      </c>
      <c r="B515" s="21" t="s">
        <v>2390</v>
      </c>
      <c r="C515" s="21" t="n">
        <v>355</v>
      </c>
      <c r="D515" s="21" t="s">
        <v>6076</v>
      </c>
      <c r="E515" s="21"/>
      <c r="F515" s="21" t="s">
        <v>2393</v>
      </c>
      <c r="G515" s="21" t="s">
        <v>2676</v>
      </c>
      <c r="H515" s="21" t="s">
        <v>2479</v>
      </c>
      <c r="I515" s="21" t="s">
        <v>6100</v>
      </c>
      <c r="J515" s="21" t="s">
        <v>1935</v>
      </c>
      <c r="K515" s="21" t="n">
        <v>132.99</v>
      </c>
      <c r="L515" s="21" t="s">
        <v>6101</v>
      </c>
      <c r="M515" s="21" t="s">
        <v>6102</v>
      </c>
      <c r="N515" s="21" t="s">
        <v>6103</v>
      </c>
      <c r="O515" s="21" t="s">
        <v>6104</v>
      </c>
      <c r="P515" s="21" t="s">
        <v>6105</v>
      </c>
      <c r="Q515" s="22" t="n">
        <f aca="false">IF(L515="","",IFERROR(INDEX('Semrush Data'!$A$1:$Z$20000,MATCH(L515,'Semrush Data'!$A$1:$A$20000,0),MATCH("Volume",'Semrush Data'!$A$1:$Z$1,0)),""))</f>
        <v>0</v>
      </c>
      <c r="R515" s="22" t="str">
        <f aca="false">IF(M515="","",IFERROR(INDEX('Semrush Data'!$A$1:$Z$20000,MATCH(M515,'Semrush Data'!$A$1:$A$20000,0),MATCH("Volume",'Semrush Data'!$A$1:$Z$1,0)),""))</f>
        <v/>
      </c>
      <c r="S515" s="22" t="str">
        <f aca="false">IF(N515="","",IFERROR(INDEX('Semrush Data'!$A$1:$Z$20000,MATCH(N515,'Semrush Data'!$A$1:$A$20000,0),MATCH("Volume",'Semrush Data'!$A$1:$Z$1,0)),""))</f>
        <v/>
      </c>
      <c r="T515" s="22" t="str">
        <f aca="false">IF(O515="","",IFERROR(INDEX('Semrush Data'!$A$1:$Z$20000,MATCH(O515,'Semrush Data'!$A$1:$A$20000,0),MATCH("Volume",'Semrush Data'!$A$1:$Z$1,0)),""))</f>
        <v/>
      </c>
      <c r="U515" s="22" t="str">
        <f aca="false">IF(P515="","",IFERROR(INDEX('Semrush Data'!$A$1:$Z$20000,MATCH(P515,'Semrush Data'!$A$1:$A$20000,0),MATCH("Volume",'Semrush Data'!$A$1:$Z$1,0)),""))</f>
        <v/>
      </c>
      <c r="V515" s="23" t="str">
        <f aca="false">IF(COUNT(Q515:U515)=0,L515,IF(MAX(Q515:U515)=0,L515,INDEX(L515:P515,MATCH(MAX(Q515:U515),Q515:U515,0))))</f>
        <v>tiziana terenzi borelli linea tt</v>
      </c>
      <c r="W515" s="22" t="n">
        <f aca="false">IFERROR(INDEX('Semrush Data'!$A$1:$Z$20000,MATCH(V515,'Semrush Data'!$A$1:$A$20000,0),MATCH("Volume",'Semrush Data'!$A$1:$Z$1,0)),"")</f>
        <v>0</v>
      </c>
      <c r="X515" s="22" t="n">
        <f aca="false">IFERROR(INDEX('Semrush Data'!$A$1:$Z$20000,MATCH(V515,'Semrush Data'!$A$1:$A$20000,0),MATCH("Keyword Difficulty*",'Semrush Data'!$A$1:$Z$1,0)),"")</f>
        <v>13</v>
      </c>
      <c r="Y515" s="24" t="n">
        <f aca="false">IFERROR(INDEX('Semrush Data'!$A$1:$Z$20000,MATCH(V515,'Semrush Data'!$A$1:$A$20000,0),MATCH("CPC*",'Semrush Data'!$A$1:$Z$1,0)),"")</f>
        <v>0</v>
      </c>
      <c r="Z515" s="21" t="s">
        <v>6083</v>
      </c>
      <c r="AA515" s="21"/>
      <c r="AB515" s="21" t="s">
        <v>6106</v>
      </c>
      <c r="AC515" s="21" t="s">
        <v>6107</v>
      </c>
      <c r="AD515" s="25" t="n">
        <f aca="false">LEN(AC515)</f>
        <v>57</v>
      </c>
      <c r="AE515" s="21" t="s">
        <v>6108</v>
      </c>
      <c r="AF515" s="25" t="n">
        <f aca="false">LEN(AE515)</f>
        <v>159</v>
      </c>
    </row>
    <row r="516" customFormat="false" ht="15" hidden="false" customHeight="true" outlineLevel="0" collapsed="false">
      <c r="A516" s="21" t="s">
        <v>6109</v>
      </c>
      <c r="B516" s="21" t="s">
        <v>2390</v>
      </c>
      <c r="C516" s="21" t="n">
        <v>356</v>
      </c>
      <c r="D516" s="21" t="s">
        <v>6076</v>
      </c>
      <c r="E516" s="21"/>
      <c r="F516" s="21" t="s">
        <v>2393</v>
      </c>
      <c r="G516" s="21" t="s">
        <v>2676</v>
      </c>
      <c r="H516" s="21" t="s">
        <v>2479</v>
      </c>
      <c r="I516" s="21" t="s">
        <v>6110</v>
      </c>
      <c r="J516" s="21" t="s">
        <v>1935</v>
      </c>
      <c r="K516" s="21" t="n">
        <v>99.99</v>
      </c>
      <c r="L516" s="21" t="s">
        <v>6111</v>
      </c>
      <c r="M516" s="21" t="s">
        <v>6112</v>
      </c>
      <c r="N516" s="21" t="s">
        <v>6113</v>
      </c>
      <c r="O516" s="21" t="s">
        <v>6114</v>
      </c>
      <c r="P516" s="21" t="s">
        <v>6115</v>
      </c>
      <c r="Q516" s="22" t="n">
        <f aca="false">IF(L516="","",IFERROR(INDEX('Semrush Data'!$A$1:$Z$20000,MATCH(L516,'Semrush Data'!$A$1:$A$20000,0),MATCH("Volume",'Semrush Data'!$A$1:$Z$1,0)),""))</f>
        <v>20</v>
      </c>
      <c r="R516" s="22" t="str">
        <f aca="false">IF(M516="","",IFERROR(INDEX('Semrush Data'!$A$1:$Z$20000,MATCH(M516,'Semrush Data'!$A$1:$A$20000,0),MATCH("Volume",'Semrush Data'!$A$1:$Z$1,0)),""))</f>
        <v/>
      </c>
      <c r="S516" s="22" t="str">
        <f aca="false">IF(N516="","",IFERROR(INDEX('Semrush Data'!$A$1:$Z$20000,MATCH(N516,'Semrush Data'!$A$1:$A$20000,0),MATCH("Volume",'Semrush Data'!$A$1:$Z$1,0)),""))</f>
        <v/>
      </c>
      <c r="T516" s="22" t="str">
        <f aca="false">IF(O516="","",IFERROR(INDEX('Semrush Data'!$A$1:$Z$20000,MATCH(O516,'Semrush Data'!$A$1:$A$20000,0),MATCH("Volume",'Semrush Data'!$A$1:$Z$1,0)),""))</f>
        <v/>
      </c>
      <c r="U516" s="22" t="str">
        <f aca="false">IF(P516="","",IFERROR(INDEX('Semrush Data'!$A$1:$Z$20000,MATCH(P516,'Semrush Data'!$A$1:$A$20000,0),MATCH("Volume",'Semrush Data'!$A$1:$Z$1,0)),""))</f>
        <v/>
      </c>
      <c r="V516" s="23" t="str">
        <f aca="false">IF(COUNT(Q516:U516)=0,L516,IF(MAX(Q516:U516)=0,L516,INDEX(L516:P516,MATCH(MAX(Q516:U516),Q516:U516,0))))</f>
        <v>tiziana terenzi caput mundi</v>
      </c>
      <c r="W516" s="22" t="n">
        <f aca="false">IFERROR(INDEX('Semrush Data'!$A$1:$Z$20000,MATCH(V516,'Semrush Data'!$A$1:$A$20000,0),MATCH("Volume",'Semrush Data'!$A$1:$Z$1,0)),"")</f>
        <v>20</v>
      </c>
      <c r="X516" s="22" t="n">
        <f aca="false">IFERROR(INDEX('Semrush Data'!$A$1:$Z$20000,MATCH(V516,'Semrush Data'!$A$1:$A$20000,0),MATCH("Keyword Difficulty*",'Semrush Data'!$A$1:$Z$1,0)),"")</f>
        <v>18</v>
      </c>
      <c r="Y516" s="24" t="n">
        <f aca="false">IFERROR(INDEX('Semrush Data'!$A$1:$Z$20000,MATCH(V516,'Semrush Data'!$A$1:$A$20000,0),MATCH("CPC*",'Semrush Data'!$A$1:$Z$1,0)),"")</f>
        <v>0</v>
      </c>
      <c r="Z516" s="21" t="s">
        <v>6083</v>
      </c>
      <c r="AA516" s="21" t="s">
        <v>6116</v>
      </c>
      <c r="AB516" s="21" t="s">
        <v>6117</v>
      </c>
      <c r="AC516" s="21" t="s">
        <v>6118</v>
      </c>
      <c r="AD516" s="25" t="n">
        <f aca="false">LEN(AC516)</f>
        <v>56</v>
      </c>
      <c r="AE516" s="21" t="s">
        <v>6119</v>
      </c>
      <c r="AF516" s="25" t="n">
        <f aca="false">LEN(AE516)</f>
        <v>154</v>
      </c>
    </row>
    <row r="517" customFormat="false" ht="15" hidden="false" customHeight="true" outlineLevel="0" collapsed="false">
      <c r="A517" s="21" t="s">
        <v>6120</v>
      </c>
      <c r="B517" s="21" t="s">
        <v>2390</v>
      </c>
      <c r="C517" s="21" t="n">
        <v>357</v>
      </c>
      <c r="D517" s="21" t="s">
        <v>6076</v>
      </c>
      <c r="E517" s="21"/>
      <c r="F517" s="21" t="s">
        <v>2393</v>
      </c>
      <c r="G517" s="21" t="s">
        <v>2676</v>
      </c>
      <c r="H517" s="21" t="s">
        <v>3862</v>
      </c>
      <c r="I517" s="21" t="s">
        <v>6121</v>
      </c>
      <c r="J517" s="21" t="s">
        <v>1935</v>
      </c>
      <c r="K517" s="21" t="n">
        <v>106.99</v>
      </c>
      <c r="L517" s="21" t="s">
        <v>6111</v>
      </c>
      <c r="M517" s="21" t="s">
        <v>6112</v>
      </c>
      <c r="N517" s="21" t="s">
        <v>6113</v>
      </c>
      <c r="O517" s="21" t="s">
        <v>6114</v>
      </c>
      <c r="P517" s="21" t="s">
        <v>6115</v>
      </c>
      <c r="Q517" s="22" t="n">
        <f aca="false">IF(L517="","",IFERROR(INDEX('Semrush Data'!$A$1:$Z$20000,MATCH(L517,'Semrush Data'!$A$1:$A$20000,0),MATCH("Volume",'Semrush Data'!$A$1:$Z$1,0)),""))</f>
        <v>20</v>
      </c>
      <c r="R517" s="22" t="str">
        <f aca="false">IF(M517="","",IFERROR(INDEX('Semrush Data'!$A$1:$Z$20000,MATCH(M517,'Semrush Data'!$A$1:$A$20000,0),MATCH("Volume",'Semrush Data'!$A$1:$Z$1,0)),""))</f>
        <v/>
      </c>
      <c r="S517" s="22" t="str">
        <f aca="false">IF(N517="","",IFERROR(INDEX('Semrush Data'!$A$1:$Z$20000,MATCH(N517,'Semrush Data'!$A$1:$A$20000,0),MATCH("Volume",'Semrush Data'!$A$1:$Z$1,0)),""))</f>
        <v/>
      </c>
      <c r="T517" s="22" t="str">
        <f aca="false">IF(O517="","",IFERROR(INDEX('Semrush Data'!$A$1:$Z$20000,MATCH(O517,'Semrush Data'!$A$1:$A$20000,0),MATCH("Volume",'Semrush Data'!$A$1:$Z$1,0)),""))</f>
        <v/>
      </c>
      <c r="U517" s="22" t="str">
        <f aca="false">IF(P517="","",IFERROR(INDEX('Semrush Data'!$A$1:$Z$20000,MATCH(P517,'Semrush Data'!$A$1:$A$20000,0),MATCH("Volume",'Semrush Data'!$A$1:$Z$1,0)),""))</f>
        <v/>
      </c>
      <c r="V517" s="23" t="str">
        <f aca="false">IF(COUNT(Q517:U517)=0,L517,IF(MAX(Q517:U517)=0,L517,INDEX(L517:P517,MATCH(MAX(Q517:U517),Q517:U517,0))))</f>
        <v>tiziana terenzi caput mundi</v>
      </c>
      <c r="W517" s="22" t="n">
        <f aca="false">IFERROR(INDEX('Semrush Data'!$A$1:$Z$20000,MATCH(V517,'Semrush Data'!$A$1:$A$20000,0),MATCH("Volume",'Semrush Data'!$A$1:$Z$1,0)),"")</f>
        <v>20</v>
      </c>
      <c r="X517" s="22" t="n">
        <f aca="false">IFERROR(INDEX('Semrush Data'!$A$1:$Z$20000,MATCH(V517,'Semrush Data'!$A$1:$A$20000,0),MATCH("Keyword Difficulty*",'Semrush Data'!$A$1:$Z$1,0)),"")</f>
        <v>18</v>
      </c>
      <c r="Y517" s="24" t="n">
        <f aca="false">IFERROR(INDEX('Semrush Data'!$A$1:$Z$20000,MATCH(V517,'Semrush Data'!$A$1:$A$20000,0),MATCH("CPC*",'Semrush Data'!$A$1:$Z$1,0)),"")</f>
        <v>0</v>
      </c>
      <c r="Z517" s="21" t="s">
        <v>6122</v>
      </c>
      <c r="AA517" s="21" t="s">
        <v>6116</v>
      </c>
      <c r="AB517" s="21" t="s">
        <v>6117</v>
      </c>
      <c r="AC517" s="21" t="s">
        <v>6118</v>
      </c>
      <c r="AD517" s="25" t="n">
        <f aca="false">LEN(AC517)</f>
        <v>56</v>
      </c>
      <c r="AE517" s="21" t="s">
        <v>6123</v>
      </c>
      <c r="AF517" s="25" t="n">
        <f aca="false">LEN(AE517)</f>
        <v>152</v>
      </c>
    </row>
    <row r="518" customFormat="false" ht="15" hidden="false" customHeight="true" outlineLevel="0" collapsed="false">
      <c r="A518" s="21" t="s">
        <v>6124</v>
      </c>
      <c r="B518" s="21" t="s">
        <v>2390</v>
      </c>
      <c r="C518" s="21" t="n">
        <v>358</v>
      </c>
      <c r="D518" s="21" t="s">
        <v>6076</v>
      </c>
      <c r="E518" s="21"/>
      <c r="F518" s="21" t="s">
        <v>2393</v>
      </c>
      <c r="G518" s="21" t="s">
        <v>2676</v>
      </c>
      <c r="H518" s="21" t="s">
        <v>2479</v>
      </c>
      <c r="I518" s="21" t="s">
        <v>6125</v>
      </c>
      <c r="J518" s="21" t="s">
        <v>1935</v>
      </c>
      <c r="K518" s="21" t="n">
        <v>119.99</v>
      </c>
      <c r="L518" s="21" t="s">
        <v>6126</v>
      </c>
      <c r="M518" s="21" t="s">
        <v>6127</v>
      </c>
      <c r="N518" s="21" t="s">
        <v>6128</v>
      </c>
      <c r="O518" s="21" t="s">
        <v>6129</v>
      </c>
      <c r="P518" s="21" t="s">
        <v>6130</v>
      </c>
      <c r="Q518" s="22" t="n">
        <f aca="false">IF(L518="","",IFERROR(INDEX('Semrush Data'!$A$1:$Z$20000,MATCH(L518,'Semrush Data'!$A$1:$A$20000,0),MATCH("Volume",'Semrush Data'!$A$1:$Z$1,0)),""))</f>
        <v>0</v>
      </c>
      <c r="R518" s="22" t="str">
        <f aca="false">IF(M518="","",IFERROR(INDEX('Semrush Data'!$A$1:$Z$20000,MATCH(M518,'Semrush Data'!$A$1:$A$20000,0),MATCH("Volume",'Semrush Data'!$A$1:$Z$1,0)),""))</f>
        <v/>
      </c>
      <c r="S518" s="22" t="str">
        <f aca="false">IF(N518="","",IFERROR(INDEX('Semrush Data'!$A$1:$Z$20000,MATCH(N518,'Semrush Data'!$A$1:$A$20000,0),MATCH("Volume",'Semrush Data'!$A$1:$Z$1,0)),""))</f>
        <v/>
      </c>
      <c r="T518" s="22" t="str">
        <f aca="false">IF(O518="","",IFERROR(INDEX('Semrush Data'!$A$1:$Z$20000,MATCH(O518,'Semrush Data'!$A$1:$A$20000,0),MATCH("Volume",'Semrush Data'!$A$1:$Z$1,0)),""))</f>
        <v/>
      </c>
      <c r="U518" s="22" t="str">
        <f aca="false">IF(P518="","",IFERROR(INDEX('Semrush Data'!$A$1:$Z$20000,MATCH(P518,'Semrush Data'!$A$1:$A$20000,0),MATCH("Volume",'Semrush Data'!$A$1:$Z$1,0)),""))</f>
        <v/>
      </c>
      <c r="V518" s="23" t="str">
        <f aca="false">IF(COUNT(Q518:U518)=0,L518,IF(MAX(Q518:U518)=0,L518,INDEX(L518:P518,MATCH(MAX(Q518:U518),Q518:U518,0))))</f>
        <v>tiziana terenzi chimaera anniversary</v>
      </c>
      <c r="W518" s="22" t="n">
        <f aca="false">IFERROR(INDEX('Semrush Data'!$A$1:$Z$20000,MATCH(V518,'Semrush Data'!$A$1:$A$20000,0),MATCH("Volume",'Semrush Data'!$A$1:$Z$1,0)),"")</f>
        <v>0</v>
      </c>
      <c r="X518" s="22" t="n">
        <f aca="false">IFERROR(INDEX('Semrush Data'!$A$1:$Z$20000,MATCH(V518,'Semrush Data'!$A$1:$A$20000,0),MATCH("Keyword Difficulty*",'Semrush Data'!$A$1:$Z$1,0)),"")</f>
        <v>25</v>
      </c>
      <c r="Y518" s="24" t="n">
        <f aca="false">IFERROR(INDEX('Semrush Data'!$A$1:$Z$20000,MATCH(V518,'Semrush Data'!$A$1:$A$20000,0),MATCH("CPC*",'Semrush Data'!$A$1:$Z$1,0)),"")</f>
        <v>0</v>
      </c>
      <c r="Z518" s="21" t="s">
        <v>6083</v>
      </c>
      <c r="AA518" s="21"/>
      <c r="AB518" s="21" t="s">
        <v>6131</v>
      </c>
      <c r="AC518" s="21" t="s">
        <v>6132</v>
      </c>
      <c r="AD518" s="25" t="n">
        <f aca="false">LEN(AC518)</f>
        <v>52</v>
      </c>
      <c r="AE518" s="21" t="s">
        <v>6133</v>
      </c>
      <c r="AF518" s="25" t="n">
        <f aca="false">LEN(AE518)</f>
        <v>157</v>
      </c>
    </row>
    <row r="519" customFormat="false" ht="15" hidden="false" customHeight="true" outlineLevel="0" collapsed="false">
      <c r="A519" s="21" t="s">
        <v>6134</v>
      </c>
      <c r="B519" s="21" t="s">
        <v>2390</v>
      </c>
      <c r="C519" s="21" t="n">
        <v>359</v>
      </c>
      <c r="D519" s="21" t="s">
        <v>6076</v>
      </c>
      <c r="E519" s="21"/>
      <c r="F519" s="21" t="s">
        <v>2393</v>
      </c>
      <c r="G519" s="21" t="s">
        <v>2676</v>
      </c>
      <c r="H519" s="21" t="s">
        <v>2479</v>
      </c>
      <c r="I519" s="21" t="s">
        <v>6135</v>
      </c>
      <c r="J519" s="21" t="s">
        <v>1935</v>
      </c>
      <c r="K519" s="21" t="n">
        <v>118.99</v>
      </c>
      <c r="L519" s="21" t="s">
        <v>6136</v>
      </c>
      <c r="M519" s="21" t="s">
        <v>6137</v>
      </c>
      <c r="N519" s="21" t="s">
        <v>6138</v>
      </c>
      <c r="O519" s="21" t="s">
        <v>6139</v>
      </c>
      <c r="P519" s="21" t="s">
        <v>6140</v>
      </c>
      <c r="Q519" s="22" t="n">
        <f aca="false">IF(L519="","",IFERROR(INDEX('Semrush Data'!$A$1:$Z$20000,MATCH(L519,'Semrush Data'!$A$1:$A$20000,0),MATCH("Volume",'Semrush Data'!$A$1:$Z$1,0)),""))</f>
        <v>20</v>
      </c>
      <c r="R519" s="22" t="str">
        <f aca="false">IF(M519="","",IFERROR(INDEX('Semrush Data'!$A$1:$Z$20000,MATCH(M519,'Semrush Data'!$A$1:$A$20000,0),MATCH("Volume",'Semrush Data'!$A$1:$Z$1,0)),""))</f>
        <v/>
      </c>
      <c r="S519" s="22" t="str">
        <f aca="false">IF(N519="","",IFERROR(INDEX('Semrush Data'!$A$1:$Z$20000,MATCH(N519,'Semrush Data'!$A$1:$A$20000,0),MATCH("Volume",'Semrush Data'!$A$1:$Z$1,0)),""))</f>
        <v/>
      </c>
      <c r="T519" s="22" t="str">
        <f aca="false">IF(O519="","",IFERROR(INDEX('Semrush Data'!$A$1:$Z$20000,MATCH(O519,'Semrush Data'!$A$1:$A$20000,0),MATCH("Volume",'Semrush Data'!$A$1:$Z$1,0)),""))</f>
        <v/>
      </c>
      <c r="U519" s="22" t="str">
        <f aca="false">IF(P519="","",IFERROR(INDEX('Semrush Data'!$A$1:$Z$20000,MATCH(P519,'Semrush Data'!$A$1:$A$20000,0),MATCH("Volume",'Semrush Data'!$A$1:$Z$1,0)),""))</f>
        <v/>
      </c>
      <c r="V519" s="23" t="str">
        <f aca="false">IF(COUNT(Q519:U519)=0,L519,IF(MAX(Q519:U519)=0,L519,INDEX(L519:P519,MATCH(MAX(Q519:U519),Q519:U519,0))))</f>
        <v>tiziana terenzi draconis</v>
      </c>
      <c r="W519" s="22" t="n">
        <f aca="false">IFERROR(INDEX('Semrush Data'!$A$1:$Z$20000,MATCH(V519,'Semrush Data'!$A$1:$A$20000,0),MATCH("Volume",'Semrush Data'!$A$1:$Z$1,0)),"")</f>
        <v>20</v>
      </c>
      <c r="X519" s="22" t="n">
        <f aca="false">IFERROR(INDEX('Semrush Data'!$A$1:$Z$20000,MATCH(V519,'Semrush Data'!$A$1:$A$20000,0),MATCH("Keyword Difficulty*",'Semrush Data'!$A$1:$Z$1,0)),"")</f>
        <v>9</v>
      </c>
      <c r="Y519" s="24" t="n">
        <f aca="false">IFERROR(INDEX('Semrush Data'!$A$1:$Z$20000,MATCH(V519,'Semrush Data'!$A$1:$A$20000,0),MATCH("CPC*",'Semrush Data'!$A$1:$Z$1,0)),"")</f>
        <v>0</v>
      </c>
      <c r="Z519" s="21" t="s">
        <v>6083</v>
      </c>
      <c r="AA519" s="21" t="s">
        <v>6141</v>
      </c>
      <c r="AB519" s="21" t="s">
        <v>6142</v>
      </c>
      <c r="AC519" s="21" t="s">
        <v>6143</v>
      </c>
      <c r="AD519" s="25" t="n">
        <f aca="false">LEN(AC519)</f>
        <v>53</v>
      </c>
      <c r="AE519" s="21" t="s">
        <v>6144</v>
      </c>
      <c r="AF519" s="25" t="n">
        <f aca="false">LEN(AE519)</f>
        <v>151</v>
      </c>
    </row>
    <row r="520" customFormat="false" ht="15" hidden="false" customHeight="true" outlineLevel="0" collapsed="false">
      <c r="A520" s="21" t="s">
        <v>6145</v>
      </c>
      <c r="B520" s="21" t="s">
        <v>2390</v>
      </c>
      <c r="C520" s="21" t="n">
        <v>360</v>
      </c>
      <c r="D520" s="21" t="s">
        <v>6076</v>
      </c>
      <c r="E520" s="21"/>
      <c r="F520" s="21" t="s">
        <v>2393</v>
      </c>
      <c r="G520" s="21" t="s">
        <v>2676</v>
      </c>
      <c r="H520" s="21" t="s">
        <v>2479</v>
      </c>
      <c r="I520" s="21" t="s">
        <v>6146</v>
      </c>
      <c r="J520" s="21" t="s">
        <v>1935</v>
      </c>
      <c r="K520" s="21" t="n">
        <v>299.99</v>
      </c>
      <c r="L520" s="21" t="s">
        <v>6147</v>
      </c>
      <c r="M520" s="21" t="s">
        <v>6148</v>
      </c>
      <c r="N520" s="21" t="s">
        <v>6149</v>
      </c>
      <c r="O520" s="21" t="s">
        <v>6150</v>
      </c>
      <c r="P520" s="21" t="s">
        <v>6151</v>
      </c>
      <c r="Q520" s="22" t="n">
        <f aca="false">IF(L520="","",IFERROR(INDEX('Semrush Data'!$A$1:$Z$20000,MATCH(L520,'Semrush Data'!$A$1:$A$20000,0),MATCH("Volume",'Semrush Data'!$A$1:$Z$1,0)),""))</f>
        <v>20</v>
      </c>
      <c r="R520" s="22" t="str">
        <f aca="false">IF(M520="","",IFERROR(INDEX('Semrush Data'!$A$1:$Z$20000,MATCH(M520,'Semrush Data'!$A$1:$A$20000,0),MATCH("Volume",'Semrush Data'!$A$1:$Z$1,0)),""))</f>
        <v/>
      </c>
      <c r="S520" s="22" t="str">
        <f aca="false">IF(N520="","",IFERROR(INDEX('Semrush Data'!$A$1:$Z$20000,MATCH(N520,'Semrush Data'!$A$1:$A$20000,0),MATCH("Volume",'Semrush Data'!$A$1:$Z$1,0)),""))</f>
        <v/>
      </c>
      <c r="T520" s="22" t="str">
        <f aca="false">IF(O520="","",IFERROR(INDEX('Semrush Data'!$A$1:$Z$20000,MATCH(O520,'Semrush Data'!$A$1:$A$20000,0),MATCH("Volume",'Semrush Data'!$A$1:$Z$1,0)),""))</f>
        <v/>
      </c>
      <c r="U520" s="22" t="str">
        <f aca="false">IF(P520="","",IFERROR(INDEX('Semrush Data'!$A$1:$Z$20000,MATCH(P520,'Semrush Data'!$A$1:$A$20000,0),MATCH("Volume",'Semrush Data'!$A$1:$Z$1,0)),""))</f>
        <v/>
      </c>
      <c r="V520" s="23" t="str">
        <f aca="false">IF(COUNT(Q520:U520)=0,L520,IF(MAX(Q520:U520)=0,L520,INDEX(L520:P520,MATCH(MAX(Q520:U520),Q520:U520,0))))</f>
        <v>tiziana terenzi dubhe assoluto</v>
      </c>
      <c r="W520" s="22" t="n">
        <f aca="false">IFERROR(INDEX('Semrush Data'!$A$1:$Z$20000,MATCH(V520,'Semrush Data'!$A$1:$A$20000,0),MATCH("Volume",'Semrush Data'!$A$1:$Z$1,0)),"")</f>
        <v>20</v>
      </c>
      <c r="X520" s="22" t="n">
        <f aca="false">IFERROR(INDEX('Semrush Data'!$A$1:$Z$20000,MATCH(V520,'Semrush Data'!$A$1:$A$20000,0),MATCH("Keyword Difficulty*",'Semrush Data'!$A$1:$Z$1,0)),"")</f>
        <v>9</v>
      </c>
      <c r="Y520" s="24" t="n">
        <f aca="false">IFERROR(INDEX('Semrush Data'!$A$1:$Z$20000,MATCH(V520,'Semrush Data'!$A$1:$A$20000,0),MATCH("CPC*",'Semrush Data'!$A$1:$Z$1,0)),"")</f>
        <v>0</v>
      </c>
      <c r="Z520" s="21" t="s">
        <v>6083</v>
      </c>
      <c r="AA520" s="21" t="s">
        <v>6151</v>
      </c>
      <c r="AB520" s="21" t="s">
        <v>6152</v>
      </c>
      <c r="AC520" s="21" t="s">
        <v>6153</v>
      </c>
      <c r="AD520" s="25" t="n">
        <f aca="false">LEN(AC520)</f>
        <v>59</v>
      </c>
      <c r="AE520" s="21" t="s">
        <v>6154</v>
      </c>
      <c r="AF520" s="25" t="n">
        <f aca="false">LEN(AE520)</f>
        <v>157</v>
      </c>
    </row>
    <row r="521" customFormat="false" ht="15" hidden="false" customHeight="true" outlineLevel="0" collapsed="false">
      <c r="A521" s="21" t="s">
        <v>6155</v>
      </c>
      <c r="B521" s="21" t="s">
        <v>2390</v>
      </c>
      <c r="C521" s="21" t="n">
        <v>361</v>
      </c>
      <c r="D521" s="21" t="s">
        <v>6076</v>
      </c>
      <c r="E521" s="21"/>
      <c r="F521" s="21" t="s">
        <v>2393</v>
      </c>
      <c r="G521" s="21" t="s">
        <v>2676</v>
      </c>
      <c r="H521" s="21" t="s">
        <v>2479</v>
      </c>
      <c r="I521" s="21" t="s">
        <v>6156</v>
      </c>
      <c r="J521" s="21" t="s">
        <v>1935</v>
      </c>
      <c r="K521" s="21" t="n">
        <v>95.99</v>
      </c>
      <c r="L521" s="21" t="s">
        <v>6157</v>
      </c>
      <c r="M521" s="21" t="s">
        <v>6158</v>
      </c>
      <c r="N521" s="21" t="s">
        <v>6159</v>
      </c>
      <c r="O521" s="21" t="s">
        <v>6160</v>
      </c>
      <c r="P521" s="21" t="s">
        <v>6161</v>
      </c>
      <c r="Q521" s="22" t="n">
        <f aca="false">IF(L521="","",IFERROR(INDEX('Semrush Data'!$A$1:$Z$20000,MATCH(L521,'Semrush Data'!$A$1:$A$20000,0),MATCH("Volume",'Semrush Data'!$A$1:$Z$1,0)),""))</f>
        <v>10</v>
      </c>
      <c r="R521" s="22" t="str">
        <f aca="false">IF(M521="","",IFERROR(INDEX('Semrush Data'!$A$1:$Z$20000,MATCH(M521,'Semrush Data'!$A$1:$A$20000,0),MATCH("Volume",'Semrush Data'!$A$1:$Z$1,0)),""))</f>
        <v/>
      </c>
      <c r="S521" s="22" t="str">
        <f aca="false">IF(N521="","",IFERROR(INDEX('Semrush Data'!$A$1:$Z$20000,MATCH(N521,'Semrush Data'!$A$1:$A$20000,0),MATCH("Volume",'Semrush Data'!$A$1:$Z$1,0)),""))</f>
        <v/>
      </c>
      <c r="T521" s="22" t="str">
        <f aca="false">IF(O521="","",IFERROR(INDEX('Semrush Data'!$A$1:$Z$20000,MATCH(O521,'Semrush Data'!$A$1:$A$20000,0),MATCH("Volume",'Semrush Data'!$A$1:$Z$1,0)),""))</f>
        <v/>
      </c>
      <c r="U521" s="22" t="str">
        <f aca="false">IF(P521="","",IFERROR(INDEX('Semrush Data'!$A$1:$Z$20000,MATCH(P521,'Semrush Data'!$A$1:$A$20000,0),MATCH("Volume",'Semrush Data'!$A$1:$Z$1,0)),""))</f>
        <v/>
      </c>
      <c r="V521" s="23" t="str">
        <f aca="false">IF(COUNT(Q521:U521)=0,L521,IF(MAX(Q521:U521)=0,L521,INDEX(L521:P521,MATCH(MAX(Q521:U521),Q521:U521,0))))</f>
        <v>tiziana terenzi ecstasy</v>
      </c>
      <c r="W521" s="22" t="n">
        <f aca="false">IFERROR(INDEX('Semrush Data'!$A$1:$Z$20000,MATCH(V521,'Semrush Data'!$A$1:$A$20000,0),MATCH("Volume",'Semrush Data'!$A$1:$Z$1,0)),"")</f>
        <v>10</v>
      </c>
      <c r="X521" s="22" t="n">
        <f aca="false">IFERROR(INDEX('Semrush Data'!$A$1:$Z$20000,MATCH(V521,'Semrush Data'!$A$1:$A$20000,0),MATCH("Keyword Difficulty*",'Semrush Data'!$A$1:$Z$1,0)),"")</f>
        <v>12</v>
      </c>
      <c r="Y521" s="24" t="n">
        <f aca="false">IFERROR(INDEX('Semrush Data'!$A$1:$Z$20000,MATCH(V521,'Semrush Data'!$A$1:$A$20000,0),MATCH("CPC*",'Semrush Data'!$A$1:$Z$1,0)),"")</f>
        <v>0</v>
      </c>
      <c r="Z521" s="21" t="s">
        <v>6083</v>
      </c>
      <c r="AA521" s="21" t="s">
        <v>6162</v>
      </c>
      <c r="AB521" s="21" t="s">
        <v>6163</v>
      </c>
      <c r="AC521" s="21" t="s">
        <v>6164</v>
      </c>
      <c r="AD521" s="25" t="n">
        <f aca="false">LEN(AC521)</f>
        <v>52</v>
      </c>
      <c r="AE521" s="21" t="s">
        <v>6165</v>
      </c>
      <c r="AF521" s="25" t="n">
        <f aca="false">LEN(AE521)</f>
        <v>150</v>
      </c>
    </row>
    <row r="522" customFormat="false" ht="15" hidden="false" customHeight="true" outlineLevel="0" collapsed="false">
      <c r="A522" s="21" t="s">
        <v>6166</v>
      </c>
      <c r="B522" s="21" t="s">
        <v>2390</v>
      </c>
      <c r="C522" s="21" t="n">
        <v>362</v>
      </c>
      <c r="D522" s="21" t="s">
        <v>6076</v>
      </c>
      <c r="E522" s="21"/>
      <c r="F522" s="21" t="s">
        <v>2393</v>
      </c>
      <c r="G522" s="21" t="s">
        <v>2676</v>
      </c>
      <c r="H522" s="21" t="s">
        <v>3862</v>
      </c>
      <c r="I522" s="21" t="s">
        <v>6167</v>
      </c>
      <c r="J522" s="21" t="s">
        <v>1935</v>
      </c>
      <c r="K522" s="21" t="n">
        <v>84.99</v>
      </c>
      <c r="L522" s="21" t="s">
        <v>6168</v>
      </c>
      <c r="M522" s="21" t="s">
        <v>6169</v>
      </c>
      <c r="N522" s="21" t="s">
        <v>6170</v>
      </c>
      <c r="O522" s="21" t="s">
        <v>6171</v>
      </c>
      <c r="P522" s="21" t="s">
        <v>6172</v>
      </c>
      <c r="Q522" s="22" t="n">
        <f aca="false">IF(L522="","",IFERROR(INDEX('Semrush Data'!$A$1:$Z$20000,MATCH(L522,'Semrush Data'!$A$1:$A$20000,0),MATCH("Volume",'Semrush Data'!$A$1:$Z$1,0)),""))</f>
        <v>90</v>
      </c>
      <c r="R522" s="22" t="n">
        <f aca="false">IF(M522="","",IFERROR(INDEX('Semrush Data'!$A$1:$Z$20000,MATCH(M522,'Semrush Data'!$A$1:$A$20000,0),MATCH("Volume",'Semrush Data'!$A$1:$Z$1,0)),""))</f>
        <v>0</v>
      </c>
      <c r="S522" s="22" t="str">
        <f aca="false">IF(N522="","",IFERROR(INDEX('Semrush Data'!$A$1:$Z$20000,MATCH(N522,'Semrush Data'!$A$1:$A$20000,0),MATCH("Volume",'Semrush Data'!$A$1:$Z$1,0)),""))</f>
        <v/>
      </c>
      <c r="T522" s="22" t="str">
        <f aca="false">IF(O522="","",IFERROR(INDEX('Semrush Data'!$A$1:$Z$20000,MATCH(O522,'Semrush Data'!$A$1:$A$20000,0),MATCH("Volume",'Semrush Data'!$A$1:$Z$1,0)),""))</f>
        <v/>
      </c>
      <c r="U522" s="22" t="n">
        <f aca="false">IF(P522="","",IFERROR(INDEX('Semrush Data'!$A$1:$Z$20000,MATCH(P522,'Semrush Data'!$A$1:$A$20000,0),MATCH("Volume",'Semrush Data'!$A$1:$Z$1,0)),""))</f>
        <v>20</v>
      </c>
      <c r="V522" s="23" t="str">
        <f aca="false">IF(COUNT(Q522:U522)=0,L522,IF(MAX(Q522:U522)=0,L522,INDEX(L522:P522,MATCH(MAX(Q522:U522),Q522:U522,0))))</f>
        <v>tiziana terenzi gold rose oudh</v>
      </c>
      <c r="W522" s="22" t="n">
        <f aca="false">IFERROR(INDEX('Semrush Data'!$A$1:$Z$20000,MATCH(V522,'Semrush Data'!$A$1:$A$20000,0),MATCH("Volume",'Semrush Data'!$A$1:$Z$1,0)),"")</f>
        <v>90</v>
      </c>
      <c r="X522" s="22" t="n">
        <f aca="false">IFERROR(INDEX('Semrush Data'!$A$1:$Z$20000,MATCH(V522,'Semrush Data'!$A$1:$A$20000,0),MATCH("Keyword Difficulty*",'Semrush Data'!$A$1:$Z$1,0)),"")</f>
        <v>15</v>
      </c>
      <c r="Y522" s="24" t="n">
        <f aca="false">IFERROR(INDEX('Semrush Data'!$A$1:$Z$20000,MATCH(V522,'Semrush Data'!$A$1:$A$20000,0),MATCH("CPC*",'Semrush Data'!$A$1:$Z$1,0)),"")</f>
        <v>0.61</v>
      </c>
      <c r="Z522" s="21" t="s">
        <v>6122</v>
      </c>
      <c r="AA522" s="21" t="s">
        <v>6173</v>
      </c>
      <c r="AB522" s="21" t="s">
        <v>6174</v>
      </c>
      <c r="AC522" s="21" t="s">
        <v>6175</v>
      </c>
      <c r="AD522" s="25" t="n">
        <f aca="false">LEN(AC522)</f>
        <v>59</v>
      </c>
      <c r="AE522" s="21" t="s">
        <v>6176</v>
      </c>
      <c r="AF522" s="25" t="n">
        <f aca="false">LEN(AE522)</f>
        <v>155</v>
      </c>
    </row>
    <row r="523" customFormat="false" ht="15" hidden="false" customHeight="true" outlineLevel="0" collapsed="false">
      <c r="A523" s="21" t="s">
        <v>6177</v>
      </c>
      <c r="B523" s="21" t="s">
        <v>2390</v>
      </c>
      <c r="C523" s="21" t="n">
        <v>363</v>
      </c>
      <c r="D523" s="21" t="s">
        <v>6076</v>
      </c>
      <c r="E523" s="21"/>
      <c r="F523" s="21" t="s">
        <v>2393</v>
      </c>
      <c r="G523" s="21" t="s">
        <v>2676</v>
      </c>
      <c r="H523" s="21" t="s">
        <v>2479</v>
      </c>
      <c r="I523" s="21" t="s">
        <v>6178</v>
      </c>
      <c r="J523" s="21" t="s">
        <v>1935</v>
      </c>
      <c r="K523" s="21" t="n">
        <v>159.99</v>
      </c>
      <c r="L523" s="21" t="s">
        <v>6179</v>
      </c>
      <c r="M523" s="21" t="s">
        <v>6180</v>
      </c>
      <c r="N523" s="21" t="s">
        <v>6181</v>
      </c>
      <c r="O523" s="21" t="s">
        <v>6182</v>
      </c>
      <c r="P523" s="21" t="s">
        <v>6183</v>
      </c>
      <c r="Q523" s="22" t="n">
        <f aca="false">IF(L523="","",IFERROR(INDEX('Semrush Data'!$A$1:$Z$20000,MATCH(L523,'Semrush Data'!$A$1:$A$20000,0),MATCH("Volume",'Semrush Data'!$A$1:$Z$1,0)),""))</f>
        <v>20</v>
      </c>
      <c r="R523" s="22" t="str">
        <f aca="false">IF(M523="","",IFERROR(INDEX('Semrush Data'!$A$1:$Z$20000,MATCH(M523,'Semrush Data'!$A$1:$A$20000,0),MATCH("Volume",'Semrush Data'!$A$1:$Z$1,0)),""))</f>
        <v/>
      </c>
      <c r="S523" s="22" t="str">
        <f aca="false">IF(N523="","",IFERROR(INDEX('Semrush Data'!$A$1:$Z$20000,MATCH(N523,'Semrush Data'!$A$1:$A$20000,0),MATCH("Volume",'Semrush Data'!$A$1:$Z$1,0)),""))</f>
        <v/>
      </c>
      <c r="T523" s="22" t="str">
        <f aca="false">IF(O523="","",IFERROR(INDEX('Semrush Data'!$A$1:$Z$20000,MATCH(O523,'Semrush Data'!$A$1:$A$20000,0),MATCH("Volume",'Semrush Data'!$A$1:$Z$1,0)),""))</f>
        <v/>
      </c>
      <c r="U523" s="22" t="str">
        <f aca="false">IF(P523="","",IFERROR(INDEX('Semrush Data'!$A$1:$Z$20000,MATCH(P523,'Semrush Data'!$A$1:$A$20000,0),MATCH("Volume",'Semrush Data'!$A$1:$Z$1,0)),""))</f>
        <v/>
      </c>
      <c r="V523" s="23" t="str">
        <f aca="false">IF(COUNT(Q523:U523)=0,L523,IF(MAX(Q523:U523)=0,L523,INDEX(L523:P523,MATCH(MAX(Q523:U523),Q523:U523,0))))</f>
        <v>tiziana terenzi gumin</v>
      </c>
      <c r="W523" s="22" t="n">
        <f aca="false">IFERROR(INDEX('Semrush Data'!$A$1:$Z$20000,MATCH(V523,'Semrush Data'!$A$1:$A$20000,0),MATCH("Volume",'Semrush Data'!$A$1:$Z$1,0)),"")</f>
        <v>20</v>
      </c>
      <c r="X523" s="22" t="n">
        <f aca="false">IFERROR(INDEX('Semrush Data'!$A$1:$Z$20000,MATCH(V523,'Semrush Data'!$A$1:$A$20000,0),MATCH("Keyword Difficulty*",'Semrush Data'!$A$1:$Z$1,0)),"")</f>
        <v>12</v>
      </c>
      <c r="Y523" s="24" t="n">
        <f aca="false">IFERROR(INDEX('Semrush Data'!$A$1:$Z$20000,MATCH(V523,'Semrush Data'!$A$1:$A$20000,0),MATCH("CPC*",'Semrush Data'!$A$1:$Z$1,0)),"")</f>
        <v>0</v>
      </c>
      <c r="Z523" s="21" t="s">
        <v>6083</v>
      </c>
      <c r="AA523" s="21" t="s">
        <v>6184</v>
      </c>
      <c r="AB523" s="21" t="s">
        <v>6185</v>
      </c>
      <c r="AC523" s="21" t="s">
        <v>6186</v>
      </c>
      <c r="AD523" s="25" t="n">
        <f aca="false">LEN(AC523)</f>
        <v>50</v>
      </c>
      <c r="AE523" s="21" t="s">
        <v>6187</v>
      </c>
      <c r="AF523" s="25" t="n">
        <f aca="false">LEN(AE523)</f>
        <v>148</v>
      </c>
    </row>
    <row r="524" customFormat="false" ht="15" hidden="false" customHeight="true" outlineLevel="0" collapsed="false">
      <c r="A524" s="21" t="s">
        <v>6188</v>
      </c>
      <c r="B524" s="21" t="s">
        <v>2390</v>
      </c>
      <c r="C524" s="21" t="n">
        <v>364</v>
      </c>
      <c r="D524" s="21" t="s">
        <v>6076</v>
      </c>
      <c r="E524" s="21"/>
      <c r="F524" s="21" t="s">
        <v>2393</v>
      </c>
      <c r="G524" s="21" t="s">
        <v>2676</v>
      </c>
      <c r="H524" s="21" t="s">
        <v>2479</v>
      </c>
      <c r="I524" s="21" t="s">
        <v>6189</v>
      </c>
      <c r="J524" s="21" t="s">
        <v>1935</v>
      </c>
      <c r="K524" s="21" t="n">
        <v>144.99</v>
      </c>
      <c r="L524" s="21" t="s">
        <v>6190</v>
      </c>
      <c r="M524" s="21" t="s">
        <v>6191</v>
      </c>
      <c r="N524" s="21" t="s">
        <v>6192</v>
      </c>
      <c r="O524" s="21" t="s">
        <v>6193</v>
      </c>
      <c r="P524" s="21" t="s">
        <v>6194</v>
      </c>
      <c r="Q524" s="22" t="n">
        <f aca="false">IF(L524="","",IFERROR(INDEX('Semrush Data'!$A$1:$Z$20000,MATCH(L524,'Semrush Data'!$A$1:$A$20000,0),MATCH("Volume",'Semrush Data'!$A$1:$Z$1,0)),""))</f>
        <v>20</v>
      </c>
      <c r="R524" s="22" t="str">
        <f aca="false">IF(M524="","",IFERROR(INDEX('Semrush Data'!$A$1:$Z$20000,MATCH(M524,'Semrush Data'!$A$1:$A$20000,0),MATCH("Volume",'Semrush Data'!$A$1:$Z$1,0)),""))</f>
        <v/>
      </c>
      <c r="S524" s="22" t="str">
        <f aca="false">IF(N524="","",IFERROR(INDEX('Semrush Data'!$A$1:$Z$20000,MATCH(N524,'Semrush Data'!$A$1:$A$20000,0),MATCH("Volume",'Semrush Data'!$A$1:$Z$1,0)),""))</f>
        <v/>
      </c>
      <c r="T524" s="22" t="str">
        <f aca="false">IF(O524="","",IFERROR(INDEX('Semrush Data'!$A$1:$Z$20000,MATCH(O524,'Semrush Data'!$A$1:$A$20000,0),MATCH("Volume",'Semrush Data'!$A$1:$Z$1,0)),""))</f>
        <v/>
      </c>
      <c r="U524" s="22" t="str">
        <f aca="false">IF(P524="","",IFERROR(INDEX('Semrush Data'!$A$1:$Z$20000,MATCH(P524,'Semrush Data'!$A$1:$A$20000,0),MATCH("Volume",'Semrush Data'!$A$1:$Z$1,0)),""))</f>
        <v/>
      </c>
      <c r="V524" s="23" t="str">
        <f aca="false">IF(COUNT(Q524:U524)=0,L524,IF(MAX(Q524:U524)=0,L524,INDEX(L524:P524,MATCH(MAX(Q524:U524),Q524:U524,0))))</f>
        <v>tiziana terenzi kaff</v>
      </c>
      <c r="W524" s="22" t="n">
        <f aca="false">IFERROR(INDEX('Semrush Data'!$A$1:$Z$20000,MATCH(V524,'Semrush Data'!$A$1:$A$20000,0),MATCH("Volume",'Semrush Data'!$A$1:$Z$1,0)),"")</f>
        <v>20</v>
      </c>
      <c r="X524" s="22" t="n">
        <f aca="false">IFERROR(INDEX('Semrush Data'!$A$1:$Z$20000,MATCH(V524,'Semrush Data'!$A$1:$A$20000,0),MATCH("Keyword Difficulty*",'Semrush Data'!$A$1:$Z$1,0)),"")</f>
        <v>10</v>
      </c>
      <c r="Y524" s="24" t="n">
        <f aca="false">IFERROR(INDEX('Semrush Data'!$A$1:$Z$20000,MATCH(V524,'Semrush Data'!$A$1:$A$20000,0),MATCH("CPC*",'Semrush Data'!$A$1:$Z$1,0)),"")</f>
        <v>0</v>
      </c>
      <c r="Z524" s="21" t="s">
        <v>6083</v>
      </c>
      <c r="AA524" s="21" t="s">
        <v>6195</v>
      </c>
      <c r="AB524" s="21" t="s">
        <v>6196</v>
      </c>
      <c r="AC524" s="21" t="s">
        <v>6197</v>
      </c>
      <c r="AD524" s="25" t="n">
        <f aca="false">LEN(AC524)</f>
        <v>55</v>
      </c>
      <c r="AE524" s="21" t="s">
        <v>6198</v>
      </c>
      <c r="AF524" s="25" t="n">
        <f aca="false">LEN(AE524)</f>
        <v>147</v>
      </c>
    </row>
    <row r="525" customFormat="false" ht="15" hidden="false" customHeight="true" outlineLevel="0" collapsed="false">
      <c r="A525" s="21" t="s">
        <v>102</v>
      </c>
      <c r="B525" s="21" t="s">
        <v>2390</v>
      </c>
      <c r="C525" s="21" t="n">
        <v>365</v>
      </c>
      <c r="D525" s="21" t="s">
        <v>6076</v>
      </c>
      <c r="E525" s="21"/>
      <c r="F525" s="21" t="s">
        <v>2393</v>
      </c>
      <c r="G525" s="21" t="s">
        <v>2676</v>
      </c>
      <c r="H525" s="21" t="s">
        <v>4168</v>
      </c>
      <c r="I525" s="21" t="s">
        <v>103</v>
      </c>
      <c r="J525" s="21" t="s">
        <v>1935</v>
      </c>
      <c r="K525" s="21" t="n">
        <v>82.99</v>
      </c>
      <c r="L525" s="21" t="s">
        <v>6199</v>
      </c>
      <c r="M525" s="21" t="s">
        <v>6200</v>
      </c>
      <c r="N525" s="21" t="s">
        <v>6201</v>
      </c>
      <c r="O525" s="21" t="s">
        <v>6202</v>
      </c>
      <c r="P525" s="21" t="s">
        <v>6203</v>
      </c>
      <c r="Q525" s="22" t="n">
        <f aca="false">IF(L525="","",IFERROR(INDEX('Semrush Data'!$A$1:$Z$20000,MATCH(L525,'Semrush Data'!$A$1:$A$20000,0),MATCH("Volume",'Semrush Data'!$A$1:$Z$1,0)),""))</f>
        <v>720</v>
      </c>
      <c r="R525" s="22" t="n">
        <f aca="false">IF(M525="","",IFERROR(INDEX('Semrush Data'!$A$1:$Z$20000,MATCH(M525,'Semrush Data'!$A$1:$A$20000,0),MATCH("Volume",'Semrush Data'!$A$1:$Z$1,0)),""))</f>
        <v>20</v>
      </c>
      <c r="S525" s="22" t="str">
        <f aca="false">IF(N525="","",IFERROR(INDEX('Semrush Data'!$A$1:$Z$20000,MATCH(N525,'Semrush Data'!$A$1:$A$20000,0),MATCH("Volume",'Semrush Data'!$A$1:$Z$1,0)),""))</f>
        <v/>
      </c>
      <c r="T525" s="22" t="str">
        <f aca="false">IF(O525="","",IFERROR(INDEX('Semrush Data'!$A$1:$Z$20000,MATCH(O525,'Semrush Data'!$A$1:$A$20000,0),MATCH("Volume",'Semrush Data'!$A$1:$Z$1,0)),""))</f>
        <v/>
      </c>
      <c r="U525" s="22" t="n">
        <f aca="false">IF(P525="","",IFERROR(INDEX('Semrush Data'!$A$1:$Z$20000,MATCH(P525,'Semrush Data'!$A$1:$A$20000,0),MATCH("Volume",'Semrush Data'!$A$1:$Z$1,0)),""))</f>
        <v>20</v>
      </c>
      <c r="V525" s="23" t="str">
        <f aca="false">IF(COUNT(Q525:U525)=0,L525,IF(MAX(Q525:U525)=0,L525,INDEX(L525:P525,MATCH(MAX(Q525:U525),Q525:U525,0))))</f>
        <v>tiziana terenzi kirke</v>
      </c>
      <c r="W525" s="22" t="n">
        <f aca="false">IFERROR(INDEX('Semrush Data'!$A$1:$Z$20000,MATCH(V525,'Semrush Data'!$A$1:$A$20000,0),MATCH("Volume",'Semrush Data'!$A$1:$Z$1,0)),"")</f>
        <v>720</v>
      </c>
      <c r="X525" s="22" t="n">
        <f aca="false">IFERROR(INDEX('Semrush Data'!$A$1:$Z$20000,MATCH(V525,'Semrush Data'!$A$1:$A$20000,0),MATCH("Keyword Difficulty*",'Semrush Data'!$A$1:$Z$1,0)),"")</f>
        <v>19</v>
      </c>
      <c r="Y525" s="24" t="n">
        <f aca="false">IFERROR(INDEX('Semrush Data'!$A$1:$Z$20000,MATCH(V525,'Semrush Data'!$A$1:$A$20000,0),MATCH("CPC*",'Semrush Data'!$A$1:$Z$1,0)),"")</f>
        <v>0.52</v>
      </c>
      <c r="Z525" s="21" t="s">
        <v>6204</v>
      </c>
      <c r="AA525" s="21" t="s">
        <v>6205</v>
      </c>
      <c r="AB525" s="21" t="s">
        <v>6206</v>
      </c>
      <c r="AC525" s="21" t="s">
        <v>6207</v>
      </c>
      <c r="AD525" s="25" t="n">
        <f aca="false">LEN(AC525)</f>
        <v>50</v>
      </c>
      <c r="AE525" s="21" t="s">
        <v>6208</v>
      </c>
      <c r="AF525" s="25" t="n">
        <f aca="false">LEN(AE525)</f>
        <v>148</v>
      </c>
    </row>
    <row r="526" customFormat="false" ht="15" hidden="false" customHeight="true" outlineLevel="0" collapsed="false">
      <c r="A526" s="21" t="s">
        <v>6209</v>
      </c>
      <c r="B526" s="21" t="s">
        <v>2390</v>
      </c>
      <c r="C526" s="21" t="n">
        <v>366</v>
      </c>
      <c r="D526" s="21" t="s">
        <v>6076</v>
      </c>
      <c r="E526" s="21"/>
      <c r="F526" s="21" t="s">
        <v>2393</v>
      </c>
      <c r="G526" s="21" t="s">
        <v>2676</v>
      </c>
      <c r="H526" s="21" t="s">
        <v>2479</v>
      </c>
      <c r="I526" s="21" t="s">
        <v>6210</v>
      </c>
      <c r="J526" s="21" t="s">
        <v>1935</v>
      </c>
      <c r="K526" s="21" t="n">
        <v>109.99</v>
      </c>
      <c r="L526" s="21" t="s">
        <v>6211</v>
      </c>
      <c r="M526" s="21" t="s">
        <v>6212</v>
      </c>
      <c r="N526" s="21" t="s">
        <v>6213</v>
      </c>
      <c r="O526" s="21" t="s">
        <v>6214</v>
      </c>
      <c r="P526" s="21" t="s">
        <v>6215</v>
      </c>
      <c r="Q526" s="22" t="n">
        <f aca="false">IF(L526="","",IFERROR(INDEX('Semrush Data'!$A$1:$Z$20000,MATCH(L526,'Semrush Data'!$A$1:$A$20000,0),MATCH("Volume",'Semrush Data'!$A$1:$Z$1,0)),""))</f>
        <v>20</v>
      </c>
      <c r="R526" s="22" t="str">
        <f aca="false">IF(M526="","",IFERROR(INDEX('Semrush Data'!$A$1:$Z$20000,MATCH(M526,'Semrush Data'!$A$1:$A$20000,0),MATCH("Volume",'Semrush Data'!$A$1:$Z$1,0)),""))</f>
        <v/>
      </c>
      <c r="S526" s="22" t="str">
        <f aca="false">IF(N526="","",IFERROR(INDEX('Semrush Data'!$A$1:$Z$20000,MATCH(N526,'Semrush Data'!$A$1:$A$20000,0),MATCH("Volume",'Semrush Data'!$A$1:$Z$1,0)),""))</f>
        <v/>
      </c>
      <c r="T526" s="22" t="str">
        <f aca="false">IF(O526="","",IFERROR(INDEX('Semrush Data'!$A$1:$Z$20000,MATCH(O526,'Semrush Data'!$A$1:$A$20000,0),MATCH("Volume",'Semrush Data'!$A$1:$Z$1,0)),""))</f>
        <v/>
      </c>
      <c r="U526" s="22" t="str">
        <f aca="false">IF(P526="","",IFERROR(INDEX('Semrush Data'!$A$1:$Z$20000,MATCH(P526,'Semrush Data'!$A$1:$A$20000,0),MATCH("Volume",'Semrush Data'!$A$1:$Z$1,0)),""))</f>
        <v/>
      </c>
      <c r="V526" s="23" t="str">
        <f aca="false">IF(COUNT(Q526:U526)=0,L526,IF(MAX(Q526:U526)=0,L526,INDEX(L526:P526,MATCH(MAX(Q526:U526),Q526:U526,0))))</f>
        <v>tiziana terenzi leo</v>
      </c>
      <c r="W526" s="22" t="n">
        <f aca="false">IFERROR(INDEX('Semrush Data'!$A$1:$Z$20000,MATCH(V526,'Semrush Data'!$A$1:$A$20000,0),MATCH("Volume",'Semrush Data'!$A$1:$Z$1,0)),"")</f>
        <v>20</v>
      </c>
      <c r="X526" s="22" t="n">
        <f aca="false">IFERROR(INDEX('Semrush Data'!$A$1:$Z$20000,MATCH(V526,'Semrush Data'!$A$1:$A$20000,0),MATCH("Keyword Difficulty*",'Semrush Data'!$A$1:$Z$1,0)),"")</f>
        <v>12</v>
      </c>
      <c r="Y526" s="24" t="n">
        <f aca="false">IFERROR(INDEX('Semrush Data'!$A$1:$Z$20000,MATCH(V526,'Semrush Data'!$A$1:$A$20000,0),MATCH("CPC*",'Semrush Data'!$A$1:$Z$1,0)),"")</f>
        <v>0</v>
      </c>
      <c r="Z526" s="21" t="s">
        <v>6083</v>
      </c>
      <c r="AA526" s="21" t="s">
        <v>6216</v>
      </c>
      <c r="AB526" s="21" t="s">
        <v>6217</v>
      </c>
      <c r="AC526" s="21" t="s">
        <v>6218</v>
      </c>
      <c r="AD526" s="25" t="n">
        <f aca="false">LEN(AC526)</f>
        <v>54</v>
      </c>
      <c r="AE526" s="21" t="s">
        <v>6219</v>
      </c>
      <c r="AF526" s="25" t="n">
        <f aca="false">LEN(AE526)</f>
        <v>146</v>
      </c>
    </row>
    <row r="527" customFormat="false" ht="15" hidden="false" customHeight="true" outlineLevel="0" collapsed="false">
      <c r="A527" s="21" t="s">
        <v>6220</v>
      </c>
      <c r="B527" s="21" t="s">
        <v>2390</v>
      </c>
      <c r="C527" s="21" t="n">
        <v>367</v>
      </c>
      <c r="D527" s="21" t="s">
        <v>6076</v>
      </c>
      <c r="E527" s="21"/>
      <c r="F527" s="21" t="s">
        <v>2393</v>
      </c>
      <c r="G527" s="21" t="s">
        <v>2676</v>
      </c>
      <c r="H527" s="21" t="s">
        <v>2479</v>
      </c>
      <c r="I527" s="21" t="s">
        <v>6221</v>
      </c>
      <c r="J527" s="21" t="s">
        <v>1935</v>
      </c>
      <c r="K527" s="21" t="n">
        <v>99.99</v>
      </c>
      <c r="L527" s="21" t="s">
        <v>6222</v>
      </c>
      <c r="M527" s="21" t="s">
        <v>6223</v>
      </c>
      <c r="N527" s="21" t="s">
        <v>6224</v>
      </c>
      <c r="O527" s="21" t="s">
        <v>6225</v>
      </c>
      <c r="P527" s="21" t="s">
        <v>6226</v>
      </c>
      <c r="Q527" s="22" t="n">
        <f aca="false">IF(L527="","",IFERROR(INDEX('Semrush Data'!$A$1:$Z$20000,MATCH(L527,'Semrush Data'!$A$1:$A$20000,0),MATCH("Volume",'Semrush Data'!$A$1:$Z$1,0)),""))</f>
        <v>20</v>
      </c>
      <c r="R527" s="22" t="str">
        <f aca="false">IF(M527="","",IFERROR(INDEX('Semrush Data'!$A$1:$Z$20000,MATCH(M527,'Semrush Data'!$A$1:$A$20000,0),MATCH("Volume",'Semrush Data'!$A$1:$Z$1,0)),""))</f>
        <v/>
      </c>
      <c r="S527" s="22" t="str">
        <f aca="false">IF(N527="","",IFERROR(INDEX('Semrush Data'!$A$1:$Z$20000,MATCH(N527,'Semrush Data'!$A$1:$A$20000,0),MATCH("Volume",'Semrush Data'!$A$1:$Z$1,0)),""))</f>
        <v/>
      </c>
      <c r="T527" s="22" t="str">
        <f aca="false">IF(O527="","",IFERROR(INDEX('Semrush Data'!$A$1:$Z$20000,MATCH(O527,'Semrush Data'!$A$1:$A$20000,0),MATCH("Volume",'Semrush Data'!$A$1:$Z$1,0)),""))</f>
        <v/>
      </c>
      <c r="U527" s="22" t="str">
        <f aca="false">IF(P527="","",IFERROR(INDEX('Semrush Data'!$A$1:$Z$20000,MATCH(P527,'Semrush Data'!$A$1:$A$20000,0),MATCH("Volume",'Semrush Data'!$A$1:$Z$1,0)),""))</f>
        <v/>
      </c>
      <c r="V527" s="23" t="str">
        <f aca="false">IF(COUNT(Q527:U527)=0,L527,IF(MAX(Q527:U527)=0,L527,INDEX(L527:P527,MATCH(MAX(Q527:U527),Q527:U527,0))))</f>
        <v>tiziana terenzi moro di venezia</v>
      </c>
      <c r="W527" s="22" t="n">
        <f aca="false">IFERROR(INDEX('Semrush Data'!$A$1:$Z$20000,MATCH(V527,'Semrush Data'!$A$1:$A$20000,0),MATCH("Volume",'Semrush Data'!$A$1:$Z$1,0)),"")</f>
        <v>20</v>
      </c>
      <c r="X527" s="22" t="n">
        <f aca="false">IFERROR(INDEX('Semrush Data'!$A$1:$Z$20000,MATCH(V527,'Semrush Data'!$A$1:$A$20000,0),MATCH("Keyword Difficulty*",'Semrush Data'!$A$1:$Z$1,0)),"")</f>
        <v>7</v>
      </c>
      <c r="Y527" s="24" t="n">
        <f aca="false">IFERROR(INDEX('Semrush Data'!$A$1:$Z$20000,MATCH(V527,'Semrush Data'!$A$1:$A$20000,0),MATCH("CPC*",'Semrush Data'!$A$1:$Z$1,0)),"")</f>
        <v>0</v>
      </c>
      <c r="Z527" s="21" t="s">
        <v>6083</v>
      </c>
      <c r="AA527" s="21" t="s">
        <v>6227</v>
      </c>
      <c r="AB527" s="21" t="s">
        <v>6228</v>
      </c>
      <c r="AC527" s="21" t="s">
        <v>6229</v>
      </c>
      <c r="AD527" s="25" t="n">
        <f aca="false">LEN(AC527)</f>
        <v>60</v>
      </c>
      <c r="AE527" s="21" t="s">
        <v>6230</v>
      </c>
      <c r="AF527" s="25" t="n">
        <f aca="false">LEN(AE527)</f>
        <v>158</v>
      </c>
    </row>
    <row r="528" customFormat="false" ht="15" hidden="false" customHeight="true" outlineLevel="0" collapsed="false">
      <c r="A528" s="21" t="s">
        <v>6231</v>
      </c>
      <c r="B528" s="21" t="s">
        <v>2390</v>
      </c>
      <c r="C528" s="21" t="n">
        <v>368</v>
      </c>
      <c r="D528" s="21" t="s">
        <v>6076</v>
      </c>
      <c r="E528" s="21"/>
      <c r="F528" s="21" t="s">
        <v>2393</v>
      </c>
      <c r="G528" s="21" t="s">
        <v>2676</v>
      </c>
      <c r="H528" s="21" t="s">
        <v>2479</v>
      </c>
      <c r="I528" s="21" t="s">
        <v>6232</v>
      </c>
      <c r="J528" s="21" t="s">
        <v>1935</v>
      </c>
      <c r="K528" s="21" t="n">
        <v>109.99</v>
      </c>
      <c r="L528" s="21" t="s">
        <v>6233</v>
      </c>
      <c r="M528" s="21" t="s">
        <v>6234</v>
      </c>
      <c r="N528" s="21" t="s">
        <v>6235</v>
      </c>
      <c r="O528" s="21" t="s">
        <v>6236</v>
      </c>
      <c r="P528" s="21" t="s">
        <v>6237</v>
      </c>
      <c r="Q528" s="22" t="n">
        <f aca="false">IF(L528="","",IFERROR(INDEX('Semrush Data'!$A$1:$Z$20000,MATCH(L528,'Semrush Data'!$A$1:$A$20000,0),MATCH("Volume",'Semrush Data'!$A$1:$Z$1,0)),""))</f>
        <v>40</v>
      </c>
      <c r="R528" s="22" t="str">
        <f aca="false">IF(M528="","",IFERROR(INDEX('Semrush Data'!$A$1:$Z$20000,MATCH(M528,'Semrush Data'!$A$1:$A$20000,0),MATCH("Volume",'Semrush Data'!$A$1:$Z$1,0)),""))</f>
        <v/>
      </c>
      <c r="S528" s="22" t="str">
        <f aca="false">IF(N528="","",IFERROR(INDEX('Semrush Data'!$A$1:$Z$20000,MATCH(N528,'Semrush Data'!$A$1:$A$20000,0),MATCH("Volume",'Semrush Data'!$A$1:$Z$1,0)),""))</f>
        <v/>
      </c>
      <c r="T528" s="22" t="str">
        <f aca="false">IF(O528="","",IFERROR(INDEX('Semrush Data'!$A$1:$Z$20000,MATCH(O528,'Semrush Data'!$A$1:$A$20000,0),MATCH("Volume",'Semrush Data'!$A$1:$Z$1,0)),""))</f>
        <v/>
      </c>
      <c r="U528" s="22" t="str">
        <f aca="false">IF(P528="","",IFERROR(INDEX('Semrush Data'!$A$1:$Z$20000,MATCH(P528,'Semrush Data'!$A$1:$A$20000,0),MATCH("Volume",'Semrush Data'!$A$1:$Z$1,0)),""))</f>
        <v/>
      </c>
      <c r="V528" s="23" t="str">
        <f aca="false">IF(COUNT(Q528:U528)=0,L528,IF(MAX(Q528:U528)=0,L528,INDEX(L528:P528,MATCH(MAX(Q528:U528),Q528:U528,0))))</f>
        <v>tiziana terenzi orion</v>
      </c>
      <c r="W528" s="22" t="n">
        <f aca="false">IFERROR(INDEX('Semrush Data'!$A$1:$Z$20000,MATCH(V528,'Semrush Data'!$A$1:$A$20000,0),MATCH("Volume",'Semrush Data'!$A$1:$Z$1,0)),"")</f>
        <v>40</v>
      </c>
      <c r="X528" s="22" t="n">
        <f aca="false">IFERROR(INDEX('Semrush Data'!$A$1:$Z$20000,MATCH(V528,'Semrush Data'!$A$1:$A$20000,0),MATCH("Keyword Difficulty*",'Semrush Data'!$A$1:$Z$1,0)),"")</f>
        <v>16</v>
      </c>
      <c r="Y528" s="24" t="n">
        <f aca="false">IFERROR(INDEX('Semrush Data'!$A$1:$Z$20000,MATCH(V528,'Semrush Data'!$A$1:$A$20000,0),MATCH("CPC*",'Semrush Data'!$A$1:$Z$1,0)),"")</f>
        <v>0</v>
      </c>
      <c r="Z528" s="21" t="s">
        <v>6083</v>
      </c>
      <c r="AA528" s="21" t="s">
        <v>6238</v>
      </c>
      <c r="AB528" s="21" t="s">
        <v>6239</v>
      </c>
      <c r="AC528" s="21" t="s">
        <v>6240</v>
      </c>
      <c r="AD528" s="25" t="n">
        <f aca="false">LEN(AC528)</f>
        <v>50</v>
      </c>
      <c r="AE528" s="21" t="s">
        <v>6241</v>
      </c>
      <c r="AF528" s="25" t="n">
        <f aca="false">LEN(AE528)</f>
        <v>148</v>
      </c>
    </row>
    <row r="529" customFormat="false" ht="15" hidden="false" customHeight="true" outlineLevel="0" collapsed="false">
      <c r="A529" s="21" t="s">
        <v>6242</v>
      </c>
      <c r="B529" s="21" t="s">
        <v>2390</v>
      </c>
      <c r="C529" s="21" t="n">
        <v>369</v>
      </c>
      <c r="D529" s="21" t="s">
        <v>6076</v>
      </c>
      <c r="E529" s="21"/>
      <c r="F529" s="21" t="s">
        <v>2393</v>
      </c>
      <c r="G529" s="21" t="s">
        <v>2676</v>
      </c>
      <c r="H529" s="21" t="s">
        <v>2479</v>
      </c>
      <c r="I529" s="21" t="s">
        <v>6243</v>
      </c>
      <c r="J529" s="21" t="s">
        <v>1935</v>
      </c>
      <c r="K529" s="21" t="n">
        <v>164.99</v>
      </c>
      <c r="L529" s="21" t="s">
        <v>6244</v>
      </c>
      <c r="M529" s="21" t="s">
        <v>6245</v>
      </c>
      <c r="N529" s="21" t="s">
        <v>6246</v>
      </c>
      <c r="O529" s="21" t="s">
        <v>6247</v>
      </c>
      <c r="P529" s="21" t="s">
        <v>6248</v>
      </c>
      <c r="Q529" s="22" t="n">
        <f aca="false">IF(L529="","",IFERROR(INDEX('Semrush Data'!$A$1:$Z$20000,MATCH(L529,'Semrush Data'!$A$1:$A$20000,0),MATCH("Volume",'Semrush Data'!$A$1:$Z$1,0)),""))</f>
        <v>0</v>
      </c>
      <c r="R529" s="22" t="str">
        <f aca="false">IF(M529="","",IFERROR(INDEX('Semrush Data'!$A$1:$Z$20000,MATCH(M529,'Semrush Data'!$A$1:$A$20000,0),MATCH("Volume",'Semrush Data'!$A$1:$Z$1,0)),""))</f>
        <v/>
      </c>
      <c r="S529" s="22" t="str">
        <f aca="false">IF(N529="","",IFERROR(INDEX('Semrush Data'!$A$1:$Z$20000,MATCH(N529,'Semrush Data'!$A$1:$A$20000,0),MATCH("Volume",'Semrush Data'!$A$1:$Z$1,0)),""))</f>
        <v/>
      </c>
      <c r="T529" s="22" t="str">
        <f aca="false">IF(O529="","",IFERROR(INDEX('Semrush Data'!$A$1:$Z$20000,MATCH(O529,'Semrush Data'!$A$1:$A$20000,0),MATCH("Volume",'Semrush Data'!$A$1:$Z$1,0)),""))</f>
        <v/>
      </c>
      <c r="U529" s="22" t="str">
        <f aca="false">IF(P529="","",IFERROR(INDEX('Semrush Data'!$A$1:$Z$20000,MATCH(P529,'Semrush Data'!$A$1:$A$20000,0),MATCH("Volume",'Semrush Data'!$A$1:$Z$1,0)),""))</f>
        <v/>
      </c>
      <c r="V529" s="23" t="str">
        <f aca="false">IF(COUNT(Q529:U529)=0,L529,IF(MAX(Q529:U529)=0,L529,INDEX(L529:P529,MATCH(MAX(Q529:U529),Q529:U529,0))))</f>
        <v>tiziana terenzi orza linea tt</v>
      </c>
      <c r="W529" s="22" t="n">
        <f aca="false">IFERROR(INDEX('Semrush Data'!$A$1:$Z$20000,MATCH(V529,'Semrush Data'!$A$1:$A$20000,0),MATCH("Volume",'Semrush Data'!$A$1:$Z$1,0)),"")</f>
        <v>0</v>
      </c>
      <c r="X529" s="22" t="n">
        <f aca="false">IFERROR(INDEX('Semrush Data'!$A$1:$Z$20000,MATCH(V529,'Semrush Data'!$A$1:$A$20000,0),MATCH("Keyword Difficulty*",'Semrush Data'!$A$1:$Z$1,0)),"")</f>
        <v>22</v>
      </c>
      <c r="Y529" s="24" t="n">
        <f aca="false">IFERROR(INDEX('Semrush Data'!$A$1:$Z$20000,MATCH(V529,'Semrush Data'!$A$1:$A$20000,0),MATCH("CPC*",'Semrush Data'!$A$1:$Z$1,0)),"")</f>
        <v>0</v>
      </c>
      <c r="Z529" s="21" t="s">
        <v>6083</v>
      </c>
      <c r="AA529" s="21"/>
      <c r="AB529" s="21" t="s">
        <v>6249</v>
      </c>
      <c r="AC529" s="21" t="s">
        <v>6250</v>
      </c>
      <c r="AD529" s="25" t="n">
        <f aca="false">LEN(AC529)</f>
        <v>58</v>
      </c>
      <c r="AE529" s="21" t="s">
        <v>6251</v>
      </c>
      <c r="AF529" s="25" t="n">
        <f aca="false">LEN(AE529)</f>
        <v>156</v>
      </c>
    </row>
    <row r="530" customFormat="false" ht="15" hidden="false" customHeight="true" outlineLevel="0" collapsed="false">
      <c r="A530" s="21" t="s">
        <v>6252</v>
      </c>
      <c r="B530" s="21" t="s">
        <v>2390</v>
      </c>
      <c r="C530" s="21" t="n">
        <v>370</v>
      </c>
      <c r="D530" s="21" t="s">
        <v>6076</v>
      </c>
      <c r="E530" s="21"/>
      <c r="F530" s="21" t="s">
        <v>2393</v>
      </c>
      <c r="G530" s="21" t="s">
        <v>2676</v>
      </c>
      <c r="H530" s="21" t="s">
        <v>2479</v>
      </c>
      <c r="I530" s="21" t="s">
        <v>6253</v>
      </c>
      <c r="J530" s="21" t="s">
        <v>1935</v>
      </c>
      <c r="K530" s="21" t="n">
        <v>99.99</v>
      </c>
      <c r="L530" s="21" t="s">
        <v>6254</v>
      </c>
      <c r="M530" s="21" t="s">
        <v>6255</v>
      </c>
      <c r="N530" s="21" t="s">
        <v>6256</v>
      </c>
      <c r="O530" s="21" t="s">
        <v>6257</v>
      </c>
      <c r="P530" s="21" t="s">
        <v>6258</v>
      </c>
      <c r="Q530" s="22" t="n">
        <f aca="false">IF(L530="","",IFERROR(INDEX('Semrush Data'!$A$1:$Z$20000,MATCH(L530,'Semrush Data'!$A$1:$A$20000,0),MATCH("Volume",'Semrush Data'!$A$1:$Z$1,0)),""))</f>
        <v>20</v>
      </c>
      <c r="R530" s="22" t="str">
        <f aca="false">IF(M530="","",IFERROR(INDEX('Semrush Data'!$A$1:$Z$20000,MATCH(M530,'Semrush Data'!$A$1:$A$20000,0),MATCH("Volume",'Semrush Data'!$A$1:$Z$1,0)),""))</f>
        <v/>
      </c>
      <c r="S530" s="22" t="str">
        <f aca="false">IF(N530="","",IFERROR(INDEX('Semrush Data'!$A$1:$Z$20000,MATCH(N530,'Semrush Data'!$A$1:$A$20000,0),MATCH("Volume",'Semrush Data'!$A$1:$Z$1,0)),""))</f>
        <v/>
      </c>
      <c r="T530" s="22" t="str">
        <f aca="false">IF(O530="","",IFERROR(INDEX('Semrush Data'!$A$1:$Z$20000,MATCH(O530,'Semrush Data'!$A$1:$A$20000,0),MATCH("Volume",'Semrush Data'!$A$1:$Z$1,0)),""))</f>
        <v/>
      </c>
      <c r="U530" s="22" t="str">
        <f aca="false">IF(P530="","",IFERROR(INDEX('Semrush Data'!$A$1:$Z$20000,MATCH(P530,'Semrush Data'!$A$1:$A$20000,0),MATCH("Volume",'Semrush Data'!$A$1:$Z$1,0)),""))</f>
        <v/>
      </c>
      <c r="V530" s="23" t="str">
        <f aca="false">IF(COUNT(Q530:U530)=0,L530,IF(MAX(Q530:U530)=0,L530,INDEX(L530:P530,MATCH(MAX(Q530:U530),Q530:U530,0))))</f>
        <v>tiziana terenzi porpora</v>
      </c>
      <c r="W530" s="22" t="n">
        <f aca="false">IFERROR(INDEX('Semrush Data'!$A$1:$Z$20000,MATCH(V530,'Semrush Data'!$A$1:$A$20000,0),MATCH("Volume",'Semrush Data'!$A$1:$Z$1,0)),"")</f>
        <v>20</v>
      </c>
      <c r="X530" s="22" t="n">
        <f aca="false">IFERROR(INDEX('Semrush Data'!$A$1:$Z$20000,MATCH(V530,'Semrush Data'!$A$1:$A$20000,0),MATCH("Keyword Difficulty*",'Semrush Data'!$A$1:$Z$1,0)),"")</f>
        <v>19</v>
      </c>
      <c r="Y530" s="24" t="n">
        <f aca="false">IFERROR(INDEX('Semrush Data'!$A$1:$Z$20000,MATCH(V530,'Semrush Data'!$A$1:$A$20000,0),MATCH("CPC*",'Semrush Data'!$A$1:$Z$1,0)),"")</f>
        <v>0</v>
      </c>
      <c r="Z530" s="21" t="s">
        <v>6083</v>
      </c>
      <c r="AA530" s="21" t="s">
        <v>6259</v>
      </c>
      <c r="AB530" s="21" t="s">
        <v>6260</v>
      </c>
      <c r="AC530" s="21" t="s">
        <v>6261</v>
      </c>
      <c r="AD530" s="25" t="n">
        <f aca="false">LEN(AC530)</f>
        <v>52</v>
      </c>
      <c r="AE530" s="21" t="s">
        <v>6262</v>
      </c>
      <c r="AF530" s="25" t="n">
        <f aca="false">LEN(AE530)</f>
        <v>150</v>
      </c>
    </row>
    <row r="531" customFormat="false" ht="15" hidden="false" customHeight="true" outlineLevel="0" collapsed="false">
      <c r="A531" s="21" t="s">
        <v>6263</v>
      </c>
      <c r="B531" s="21" t="s">
        <v>2390</v>
      </c>
      <c r="C531" s="21" t="n">
        <v>371</v>
      </c>
      <c r="D531" s="21" t="s">
        <v>6076</v>
      </c>
      <c r="E531" s="21"/>
      <c r="F531" s="21" t="s">
        <v>2393</v>
      </c>
      <c r="G531" s="21" t="s">
        <v>2676</v>
      </c>
      <c r="H531" s="21" t="s">
        <v>2479</v>
      </c>
      <c r="I531" s="21" t="s">
        <v>6264</v>
      </c>
      <c r="J531" s="21" t="s">
        <v>1935</v>
      </c>
      <c r="K531" s="21" t="n">
        <v>134.99</v>
      </c>
      <c r="L531" s="21" t="s">
        <v>6265</v>
      </c>
      <c r="M531" s="21" t="s">
        <v>6266</v>
      </c>
      <c r="N531" s="21" t="s">
        <v>6267</v>
      </c>
      <c r="O531" s="21" t="s">
        <v>6268</v>
      </c>
      <c r="P531" s="21" t="s">
        <v>6269</v>
      </c>
      <c r="Q531" s="22" t="n">
        <f aca="false">IF(L531="","",IFERROR(INDEX('Semrush Data'!$A$1:$Z$20000,MATCH(L531,'Semrush Data'!$A$1:$A$20000,0),MATCH("Volume",'Semrush Data'!$A$1:$Z$1,0)),""))</f>
        <v>20</v>
      </c>
      <c r="R531" s="22" t="str">
        <f aca="false">IF(M531="","",IFERROR(INDEX('Semrush Data'!$A$1:$Z$20000,MATCH(M531,'Semrush Data'!$A$1:$A$20000,0),MATCH("Volume",'Semrush Data'!$A$1:$Z$1,0)),""))</f>
        <v/>
      </c>
      <c r="S531" s="22" t="str">
        <f aca="false">IF(N531="","",IFERROR(INDEX('Semrush Data'!$A$1:$Z$20000,MATCH(N531,'Semrush Data'!$A$1:$A$20000,0),MATCH("Volume",'Semrush Data'!$A$1:$Z$1,0)),""))</f>
        <v/>
      </c>
      <c r="T531" s="22" t="str">
        <f aca="false">IF(O531="","",IFERROR(INDEX('Semrush Data'!$A$1:$Z$20000,MATCH(O531,'Semrush Data'!$A$1:$A$20000,0),MATCH("Volume",'Semrush Data'!$A$1:$Z$1,0)),""))</f>
        <v/>
      </c>
      <c r="U531" s="22" t="str">
        <f aca="false">IF(P531="","",IFERROR(INDEX('Semrush Data'!$A$1:$Z$20000,MATCH(P531,'Semrush Data'!$A$1:$A$20000,0),MATCH("Volume",'Semrush Data'!$A$1:$Z$1,0)),""))</f>
        <v/>
      </c>
      <c r="V531" s="23" t="str">
        <f aca="false">IF(COUNT(Q531:U531)=0,L531,IF(MAX(Q531:U531)=0,L531,INDEX(L531:P531,MATCH(MAX(Q531:U531),Q531:U531,0))))</f>
        <v>tiziana terenzi saiph</v>
      </c>
      <c r="W531" s="22" t="n">
        <f aca="false">IFERROR(INDEX('Semrush Data'!$A$1:$Z$20000,MATCH(V531,'Semrush Data'!$A$1:$A$20000,0),MATCH("Volume",'Semrush Data'!$A$1:$Z$1,0)),"")</f>
        <v>20</v>
      </c>
      <c r="X531" s="22" t="n">
        <f aca="false">IFERROR(INDEX('Semrush Data'!$A$1:$Z$20000,MATCH(V531,'Semrush Data'!$A$1:$A$20000,0),MATCH("Keyword Difficulty*",'Semrush Data'!$A$1:$Z$1,0)),"")</f>
        <v>5</v>
      </c>
      <c r="Y531" s="24" t="n">
        <f aca="false">IFERROR(INDEX('Semrush Data'!$A$1:$Z$20000,MATCH(V531,'Semrush Data'!$A$1:$A$20000,0),MATCH("CPC*",'Semrush Data'!$A$1:$Z$1,0)),"")</f>
        <v>0</v>
      </c>
      <c r="Z531" s="21" t="s">
        <v>6083</v>
      </c>
      <c r="AA531" s="21" t="s">
        <v>6270</v>
      </c>
      <c r="AB531" s="21" t="s">
        <v>6271</v>
      </c>
      <c r="AC531" s="21" t="s">
        <v>6272</v>
      </c>
      <c r="AD531" s="25" t="n">
        <f aca="false">LEN(AC531)</f>
        <v>50</v>
      </c>
      <c r="AE531" s="21" t="s">
        <v>6273</v>
      </c>
      <c r="AF531" s="25" t="n">
        <f aca="false">LEN(AE531)</f>
        <v>148</v>
      </c>
    </row>
    <row r="532" customFormat="false" ht="15" hidden="false" customHeight="true" outlineLevel="0" collapsed="false">
      <c r="A532" s="21" t="s">
        <v>6274</v>
      </c>
      <c r="B532" s="21" t="s">
        <v>2390</v>
      </c>
      <c r="C532" s="21" t="n">
        <v>372</v>
      </c>
      <c r="D532" s="21" t="s">
        <v>6076</v>
      </c>
      <c r="E532" s="21"/>
      <c r="F532" s="21" t="s">
        <v>2393</v>
      </c>
      <c r="G532" s="21" t="s">
        <v>2676</v>
      </c>
      <c r="H532" s="21" t="s">
        <v>6275</v>
      </c>
      <c r="I532" s="21" t="s">
        <v>6276</v>
      </c>
      <c r="J532" s="21" t="s">
        <v>5218</v>
      </c>
      <c r="K532" s="21" t="n">
        <v>119.99</v>
      </c>
      <c r="L532" s="21" t="s">
        <v>6277</v>
      </c>
      <c r="M532" s="21" t="s">
        <v>6278</v>
      </c>
      <c r="N532" s="21" t="s">
        <v>6279</v>
      </c>
      <c r="O532" s="21" t="s">
        <v>6280</v>
      </c>
      <c r="P532" s="21" t="s">
        <v>6281</v>
      </c>
      <c r="Q532" s="22" t="n">
        <f aca="false">IF(L532="","",IFERROR(INDEX('Semrush Data'!$A$1:$Z$20000,MATCH(L532,'Semrush Data'!$A$1:$A$20000,0),MATCH("Volume",'Semrush Data'!$A$1:$Z$1,0)),""))</f>
        <v>0</v>
      </c>
      <c r="R532" s="22" t="str">
        <f aca="false">IF(M532="","",IFERROR(INDEX('Semrush Data'!$A$1:$Z$20000,MATCH(M532,'Semrush Data'!$A$1:$A$20000,0),MATCH("Volume",'Semrush Data'!$A$1:$Z$1,0)),""))</f>
        <v/>
      </c>
      <c r="S532" s="22" t="str">
        <f aca="false">IF(N532="","",IFERROR(INDEX('Semrush Data'!$A$1:$Z$20000,MATCH(N532,'Semrush Data'!$A$1:$A$20000,0),MATCH("Volume",'Semrush Data'!$A$1:$Z$1,0)),""))</f>
        <v/>
      </c>
      <c r="T532" s="22" t="str">
        <f aca="false">IF(O532="","",IFERROR(INDEX('Semrush Data'!$A$1:$Z$20000,MATCH(O532,'Semrush Data'!$A$1:$A$20000,0),MATCH("Volume",'Semrush Data'!$A$1:$Z$1,0)),""))</f>
        <v/>
      </c>
      <c r="U532" s="22" t="str">
        <f aca="false">IF(P532="","",IFERROR(INDEX('Semrush Data'!$A$1:$Z$20000,MATCH(P532,'Semrush Data'!$A$1:$A$20000,0),MATCH("Volume",'Semrush Data'!$A$1:$Z$1,0)),""))</f>
        <v/>
      </c>
      <c r="V532" s="23" t="str">
        <f aca="false">IF(COUNT(Q532:U532)=0,L532,IF(MAX(Q532:U532)=0,L532,INDEX(L532:P532,MATCH(MAX(Q532:U532),Q532:U532,0))))</f>
        <v>tiziana terenzi sea stars collection deriva</v>
      </c>
      <c r="W532" s="22" t="n">
        <f aca="false">IFERROR(INDEX('Semrush Data'!$A$1:$Z$20000,MATCH(V532,'Semrush Data'!$A$1:$A$20000,0),MATCH("Volume",'Semrush Data'!$A$1:$Z$1,0)),"")</f>
        <v>0</v>
      </c>
      <c r="X532" s="22" t="n">
        <f aca="false">IFERROR(INDEX('Semrush Data'!$A$1:$Z$20000,MATCH(V532,'Semrush Data'!$A$1:$A$20000,0),MATCH("Keyword Difficulty*",'Semrush Data'!$A$1:$Z$1,0)),"")</f>
        <v>9</v>
      </c>
      <c r="Y532" s="24" t="n">
        <f aca="false">IFERROR(INDEX('Semrush Data'!$A$1:$Z$20000,MATCH(V532,'Semrush Data'!$A$1:$A$20000,0),MATCH("CPC*",'Semrush Data'!$A$1:$Z$1,0)),"")</f>
        <v>0</v>
      </c>
      <c r="Z532" s="21" t="s">
        <v>6282</v>
      </c>
      <c r="AA532" s="21"/>
      <c r="AB532" s="21" t="s">
        <v>6283</v>
      </c>
      <c r="AC532" s="21" t="s">
        <v>6284</v>
      </c>
      <c r="AD532" s="25" t="n">
        <f aca="false">LEN(AC532)</f>
        <v>59</v>
      </c>
      <c r="AE532" s="21" t="s">
        <v>6285</v>
      </c>
      <c r="AF532" s="25" t="n">
        <f aca="false">LEN(AE532)</f>
        <v>159</v>
      </c>
    </row>
    <row r="533" customFormat="false" ht="15" hidden="false" customHeight="true" outlineLevel="0" collapsed="false">
      <c r="A533" s="21" t="s">
        <v>6286</v>
      </c>
      <c r="B533" s="21" t="s">
        <v>2390</v>
      </c>
      <c r="C533" s="21" t="n">
        <v>373</v>
      </c>
      <c r="D533" s="21" t="s">
        <v>6076</v>
      </c>
      <c r="E533" s="21"/>
      <c r="F533" s="21" t="s">
        <v>2393</v>
      </c>
      <c r="G533" s="21" t="s">
        <v>2676</v>
      </c>
      <c r="H533" s="21" t="s">
        <v>2479</v>
      </c>
      <c r="I533" s="21" t="s">
        <v>6287</v>
      </c>
      <c r="J533" s="21" t="s">
        <v>1935</v>
      </c>
      <c r="K533" s="21" t="n">
        <v>76.99</v>
      </c>
      <c r="L533" s="21" t="s">
        <v>6288</v>
      </c>
      <c r="M533" s="21" t="s">
        <v>6289</v>
      </c>
      <c r="N533" s="21" t="s">
        <v>6290</v>
      </c>
      <c r="O533" s="21" t="s">
        <v>6291</v>
      </c>
      <c r="P533" s="21" t="s">
        <v>6292</v>
      </c>
      <c r="Q533" s="22" t="n">
        <f aca="false">IF(L533="","",IFERROR(INDEX('Semrush Data'!$A$1:$Z$20000,MATCH(L533,'Semrush Data'!$A$1:$A$20000,0),MATCH("Volume",'Semrush Data'!$A$1:$Z$1,0)),""))</f>
        <v>20</v>
      </c>
      <c r="R533" s="22" t="str">
        <f aca="false">IF(M533="","",IFERROR(INDEX('Semrush Data'!$A$1:$Z$20000,MATCH(M533,'Semrush Data'!$A$1:$A$20000,0),MATCH("Volume",'Semrush Data'!$A$1:$Z$1,0)),""))</f>
        <v/>
      </c>
      <c r="S533" s="22" t="str">
        <f aca="false">IF(N533="","",IFERROR(INDEX('Semrush Data'!$A$1:$Z$20000,MATCH(N533,'Semrush Data'!$A$1:$A$20000,0),MATCH("Volume",'Semrush Data'!$A$1:$Z$1,0)),""))</f>
        <v/>
      </c>
      <c r="T533" s="22" t="str">
        <f aca="false">IF(O533="","",IFERROR(INDEX('Semrush Data'!$A$1:$Z$20000,MATCH(O533,'Semrush Data'!$A$1:$A$20000,0),MATCH("Volume",'Semrush Data'!$A$1:$Z$1,0)),""))</f>
        <v/>
      </c>
      <c r="U533" s="22" t="str">
        <f aca="false">IF(P533="","",IFERROR(INDEX('Semrush Data'!$A$1:$Z$20000,MATCH(P533,'Semrush Data'!$A$1:$A$20000,0),MATCH("Volume",'Semrush Data'!$A$1:$Z$1,0)),""))</f>
        <v/>
      </c>
      <c r="V533" s="23" t="str">
        <f aca="false">IF(COUNT(Q533:U533)=0,L533,IF(MAX(Q533:U533)=0,L533,INDEX(L533:P533,MATCH(MAX(Q533:U533),Q533:U533,0))))</f>
        <v>tiziana terenzi white fire</v>
      </c>
      <c r="W533" s="22" t="n">
        <f aca="false">IFERROR(INDEX('Semrush Data'!$A$1:$Z$20000,MATCH(V533,'Semrush Data'!$A$1:$A$20000,0),MATCH("Volume",'Semrush Data'!$A$1:$Z$1,0)),"")</f>
        <v>20</v>
      </c>
      <c r="X533" s="22" t="n">
        <f aca="false">IFERROR(INDEX('Semrush Data'!$A$1:$Z$20000,MATCH(V533,'Semrush Data'!$A$1:$A$20000,0),MATCH("Keyword Difficulty*",'Semrush Data'!$A$1:$Z$1,0)),"")</f>
        <v>16</v>
      </c>
      <c r="Y533" s="24" t="n">
        <f aca="false">IFERROR(INDEX('Semrush Data'!$A$1:$Z$20000,MATCH(V533,'Semrush Data'!$A$1:$A$20000,0),MATCH("CPC*",'Semrush Data'!$A$1:$Z$1,0)),"")</f>
        <v>0</v>
      </c>
      <c r="Z533" s="21" t="s">
        <v>6083</v>
      </c>
      <c r="AA533" s="21" t="s">
        <v>6293</v>
      </c>
      <c r="AB533" s="21" t="s">
        <v>6294</v>
      </c>
      <c r="AC533" s="21" t="s">
        <v>6295</v>
      </c>
      <c r="AD533" s="25" t="n">
        <f aca="false">LEN(AC533)</f>
        <v>55</v>
      </c>
      <c r="AE533" s="21" t="s">
        <v>6296</v>
      </c>
      <c r="AF533" s="25" t="n">
        <f aca="false">LEN(AE533)</f>
        <v>153</v>
      </c>
    </row>
    <row r="534" customFormat="false" ht="15" hidden="false" customHeight="true" outlineLevel="0" collapsed="false">
      <c r="A534" s="21" t="s">
        <v>66</v>
      </c>
      <c r="B534" s="21" t="s">
        <v>2390</v>
      </c>
      <c r="C534" s="21" t="n">
        <v>374</v>
      </c>
      <c r="D534" s="21" t="s">
        <v>6297</v>
      </c>
      <c r="E534" s="21" t="s">
        <v>6298</v>
      </c>
      <c r="F534" s="21" t="s">
        <v>2393</v>
      </c>
      <c r="G534" s="21" t="s">
        <v>2394</v>
      </c>
      <c r="H534" s="21" t="s">
        <v>2479</v>
      </c>
      <c r="I534" s="21" t="s">
        <v>67</v>
      </c>
      <c r="J534" s="21" t="s">
        <v>1409</v>
      </c>
      <c r="K534" s="21" t="n">
        <v>164.99</v>
      </c>
      <c r="L534" s="21" t="s">
        <v>6299</v>
      </c>
      <c r="M534" s="21" t="s">
        <v>6300</v>
      </c>
      <c r="N534" s="21" t="s">
        <v>6301</v>
      </c>
      <c r="O534" s="21" t="s">
        <v>6302</v>
      </c>
      <c r="P534" s="21" t="s">
        <v>6303</v>
      </c>
      <c r="Q534" s="22" t="n">
        <f aca="false">IF(L534="","",IFERROR(INDEX('Semrush Data'!$A$1:$Z$20000,MATCH(L534,'Semrush Data'!$A$1:$A$20000,0),MATCH("Volume",'Semrush Data'!$A$1:$Z$1,0)),""))</f>
        <v>3600</v>
      </c>
      <c r="R534" s="22" t="n">
        <f aca="false">IF(M534="","",IFERROR(INDEX('Semrush Data'!$A$1:$Z$20000,MATCH(M534,'Semrush Data'!$A$1:$A$20000,0),MATCH("Volume",'Semrush Data'!$A$1:$Z$1,0)),""))</f>
        <v>20</v>
      </c>
      <c r="S534" s="22" t="str">
        <f aca="false">IF(N534="","",IFERROR(INDEX('Semrush Data'!$A$1:$Z$20000,MATCH(N534,'Semrush Data'!$A$1:$A$20000,0),MATCH("Volume",'Semrush Data'!$A$1:$Z$1,0)),""))</f>
        <v/>
      </c>
      <c r="T534" s="22" t="str">
        <f aca="false">IF(O534="","",IFERROR(INDEX('Semrush Data'!$A$1:$Z$20000,MATCH(O534,'Semrush Data'!$A$1:$A$20000,0),MATCH("Volume",'Semrush Data'!$A$1:$Z$1,0)),""))</f>
        <v/>
      </c>
      <c r="U534" s="22" t="n">
        <f aca="false">IF(P534="","",IFERROR(INDEX('Semrush Data'!$A$1:$Z$20000,MATCH(P534,'Semrush Data'!$A$1:$A$20000,0),MATCH("Volume",'Semrush Data'!$A$1:$Z$1,0)),""))</f>
        <v>140</v>
      </c>
      <c r="V534" s="23" t="str">
        <f aca="false">IF(COUNT(Q534:U534)=0,L534,IF(MAX(Q534:U534)=0,L534,INDEX(L534:P534,MATCH(MAX(Q534:U534),Q534:U534,0))))</f>
        <v>tom ford neroli portofino</v>
      </c>
      <c r="W534" s="22" t="n">
        <f aca="false">IFERROR(INDEX('Semrush Data'!$A$1:$Z$20000,MATCH(V534,'Semrush Data'!$A$1:$A$20000,0),MATCH("Volume",'Semrush Data'!$A$1:$Z$1,0)),"")</f>
        <v>3600</v>
      </c>
      <c r="X534" s="22" t="n">
        <f aca="false">IFERROR(INDEX('Semrush Data'!$A$1:$Z$20000,MATCH(V534,'Semrush Data'!$A$1:$A$20000,0),MATCH("Keyword Difficulty*",'Semrush Data'!$A$1:$Z$1,0)),"")</f>
        <v>14</v>
      </c>
      <c r="Y534" s="24" t="n">
        <f aca="false">IFERROR(INDEX('Semrush Data'!$A$1:$Z$20000,MATCH(V534,'Semrush Data'!$A$1:$A$20000,0),MATCH("CPC*",'Semrush Data'!$A$1:$Z$1,0)),"")</f>
        <v>0.63</v>
      </c>
      <c r="Z534" s="21" t="s">
        <v>6304</v>
      </c>
      <c r="AA534" s="21"/>
      <c r="AB534" s="21" t="s">
        <v>6305</v>
      </c>
      <c r="AC534" s="21" t="s">
        <v>6306</v>
      </c>
      <c r="AD534" s="25" t="n">
        <f aca="false">LEN(AC534)</f>
        <v>60</v>
      </c>
      <c r="AE534" s="21" t="s">
        <v>6307</v>
      </c>
      <c r="AF534" s="25" t="n">
        <f aca="false">LEN(AE534)</f>
        <v>160</v>
      </c>
    </row>
    <row r="535" customFormat="false" ht="15" hidden="false" customHeight="true" outlineLevel="0" collapsed="false">
      <c r="A535" s="21" t="s">
        <v>50</v>
      </c>
      <c r="B535" s="21" t="s">
        <v>2390</v>
      </c>
      <c r="C535" s="21" t="n">
        <v>375</v>
      </c>
      <c r="D535" s="21" t="s">
        <v>6297</v>
      </c>
      <c r="E535" s="21" t="s">
        <v>6298</v>
      </c>
      <c r="F535" s="21" t="s">
        <v>2393</v>
      </c>
      <c r="G535" s="21" t="s">
        <v>2394</v>
      </c>
      <c r="H535" s="21" t="s">
        <v>3862</v>
      </c>
      <c r="I535" s="21" t="s">
        <v>51</v>
      </c>
      <c r="J535" s="21" t="s">
        <v>1409</v>
      </c>
      <c r="K535" s="21" t="n">
        <v>124.99</v>
      </c>
      <c r="L535" s="21" t="s">
        <v>6308</v>
      </c>
      <c r="M535" s="21" t="s">
        <v>6309</v>
      </c>
      <c r="N535" s="21" t="s">
        <v>6310</v>
      </c>
      <c r="O535" s="21" t="s">
        <v>6311</v>
      </c>
      <c r="P535" s="21" t="s">
        <v>6312</v>
      </c>
      <c r="Q535" s="22" t="n">
        <f aca="false">IF(L535="","",IFERROR(INDEX('Semrush Data'!$A$1:$Z$20000,MATCH(L535,'Semrush Data'!$A$1:$A$20000,0),MATCH("Volume",'Semrush Data'!$A$1:$Z$1,0)),""))</f>
        <v>18100</v>
      </c>
      <c r="R535" s="22" t="n">
        <f aca="false">IF(M535="","",IFERROR(INDEX('Semrush Data'!$A$1:$Z$20000,MATCH(M535,'Semrush Data'!$A$1:$A$20000,0),MATCH("Volume",'Semrush Data'!$A$1:$Z$1,0)),""))</f>
        <v>30</v>
      </c>
      <c r="S535" s="22" t="str">
        <f aca="false">IF(N535="","",IFERROR(INDEX('Semrush Data'!$A$1:$Z$20000,MATCH(N535,'Semrush Data'!$A$1:$A$20000,0),MATCH("Volume",'Semrush Data'!$A$1:$Z$1,0)),""))</f>
        <v/>
      </c>
      <c r="T535" s="22" t="str">
        <f aca="false">IF(O535="","",IFERROR(INDEX('Semrush Data'!$A$1:$Z$20000,MATCH(O535,'Semrush Data'!$A$1:$A$20000,0),MATCH("Volume",'Semrush Data'!$A$1:$Z$1,0)),""))</f>
        <v/>
      </c>
      <c r="U535" s="22" t="n">
        <f aca="false">IF(P535="","",IFERROR(INDEX('Semrush Data'!$A$1:$Z$20000,MATCH(P535,'Semrush Data'!$A$1:$A$20000,0),MATCH("Volume",'Semrush Data'!$A$1:$Z$1,0)),""))</f>
        <v>320</v>
      </c>
      <c r="V535" s="23" t="str">
        <f aca="false">IF(COUNT(Q535:U535)=0,L535,IF(MAX(Q535:U535)=0,L535,INDEX(L535:P535,MATCH(MAX(Q535:U535),Q535:U535,0))))</f>
        <v>tom ford oud wood</v>
      </c>
      <c r="W535" s="22" t="n">
        <f aca="false">IFERROR(INDEX('Semrush Data'!$A$1:$Z$20000,MATCH(V535,'Semrush Data'!$A$1:$A$20000,0),MATCH("Volume",'Semrush Data'!$A$1:$Z$1,0)),"")</f>
        <v>18100</v>
      </c>
      <c r="X535" s="22" t="n">
        <f aca="false">IFERROR(INDEX('Semrush Data'!$A$1:$Z$20000,MATCH(V535,'Semrush Data'!$A$1:$A$20000,0),MATCH("Keyword Difficulty*",'Semrush Data'!$A$1:$Z$1,0)),"")</f>
        <v>16</v>
      </c>
      <c r="Y535" s="24" t="n">
        <f aca="false">IFERROR(INDEX('Semrush Data'!$A$1:$Z$20000,MATCH(V535,'Semrush Data'!$A$1:$A$20000,0),MATCH("CPC*",'Semrush Data'!$A$1:$Z$1,0)),"")</f>
        <v>0.54</v>
      </c>
      <c r="Z535" s="21" t="s">
        <v>6313</v>
      </c>
      <c r="AA535" s="21"/>
      <c r="AB535" s="21" t="s">
        <v>6314</v>
      </c>
      <c r="AC535" s="21" t="s">
        <v>6315</v>
      </c>
      <c r="AD535" s="25" t="n">
        <f aca="false">LEN(AC535)</f>
        <v>60</v>
      </c>
      <c r="AE535" s="21" t="s">
        <v>6316</v>
      </c>
      <c r="AF535" s="25" t="n">
        <f aca="false">LEN(AE535)</f>
        <v>156</v>
      </c>
    </row>
    <row r="536" customFormat="false" ht="15" hidden="false" customHeight="true" outlineLevel="0" collapsed="false">
      <c r="A536" s="21" t="s">
        <v>6317</v>
      </c>
      <c r="B536" s="21" t="s">
        <v>2390</v>
      </c>
      <c r="C536" s="21" t="n">
        <v>376</v>
      </c>
      <c r="D536" s="21" t="s">
        <v>6297</v>
      </c>
      <c r="E536" s="21" t="s">
        <v>6298</v>
      </c>
      <c r="F536" s="21" t="s">
        <v>2393</v>
      </c>
      <c r="G536" s="21" t="s">
        <v>2394</v>
      </c>
      <c r="H536" s="21" t="s">
        <v>3862</v>
      </c>
      <c r="I536" s="21" t="s">
        <v>6314</v>
      </c>
      <c r="J536" s="21" t="s">
        <v>2503</v>
      </c>
      <c r="K536" s="21" t="n">
        <v>115.99</v>
      </c>
      <c r="L536" s="21" t="s">
        <v>6308</v>
      </c>
      <c r="M536" s="21" t="s">
        <v>6309</v>
      </c>
      <c r="N536" s="21" t="s">
        <v>6310</v>
      </c>
      <c r="O536" s="21" t="s">
        <v>6311</v>
      </c>
      <c r="P536" s="21" t="s">
        <v>6312</v>
      </c>
      <c r="Q536" s="22" t="n">
        <f aca="false">IF(L536="","",IFERROR(INDEX('Semrush Data'!$A$1:$Z$20000,MATCH(L536,'Semrush Data'!$A$1:$A$20000,0),MATCH("Volume",'Semrush Data'!$A$1:$Z$1,0)),""))</f>
        <v>18100</v>
      </c>
      <c r="R536" s="22" t="n">
        <f aca="false">IF(M536="","",IFERROR(INDEX('Semrush Data'!$A$1:$Z$20000,MATCH(M536,'Semrush Data'!$A$1:$A$20000,0),MATCH("Volume",'Semrush Data'!$A$1:$Z$1,0)),""))</f>
        <v>30</v>
      </c>
      <c r="S536" s="22" t="str">
        <f aca="false">IF(N536="","",IFERROR(INDEX('Semrush Data'!$A$1:$Z$20000,MATCH(N536,'Semrush Data'!$A$1:$A$20000,0),MATCH("Volume",'Semrush Data'!$A$1:$Z$1,0)),""))</f>
        <v/>
      </c>
      <c r="T536" s="22" t="str">
        <f aca="false">IF(O536="","",IFERROR(INDEX('Semrush Data'!$A$1:$Z$20000,MATCH(O536,'Semrush Data'!$A$1:$A$20000,0),MATCH("Volume",'Semrush Data'!$A$1:$Z$1,0)),""))</f>
        <v/>
      </c>
      <c r="U536" s="22" t="n">
        <f aca="false">IF(P536="","",IFERROR(INDEX('Semrush Data'!$A$1:$Z$20000,MATCH(P536,'Semrush Data'!$A$1:$A$20000,0),MATCH("Volume",'Semrush Data'!$A$1:$Z$1,0)),""))</f>
        <v>320</v>
      </c>
      <c r="V536" s="23" t="str">
        <f aca="false">IF(COUNT(Q536:U536)=0,L536,IF(MAX(Q536:U536)=0,L536,INDEX(L536:P536,MATCH(MAX(Q536:U536),Q536:U536,0))))</f>
        <v>tom ford oud wood</v>
      </c>
      <c r="W536" s="22" t="n">
        <f aca="false">IFERROR(INDEX('Semrush Data'!$A$1:$Z$20000,MATCH(V536,'Semrush Data'!$A$1:$A$20000,0),MATCH("Volume",'Semrush Data'!$A$1:$Z$1,0)),"")</f>
        <v>18100</v>
      </c>
      <c r="X536" s="22" t="n">
        <f aca="false">IFERROR(INDEX('Semrush Data'!$A$1:$Z$20000,MATCH(V536,'Semrush Data'!$A$1:$A$20000,0),MATCH("Keyword Difficulty*",'Semrush Data'!$A$1:$Z$1,0)),"")</f>
        <v>16</v>
      </c>
      <c r="Y536" s="24" t="n">
        <f aca="false">IFERROR(INDEX('Semrush Data'!$A$1:$Z$20000,MATCH(V536,'Semrush Data'!$A$1:$A$20000,0),MATCH("CPC*",'Semrush Data'!$A$1:$Z$1,0)),"")</f>
        <v>0.54</v>
      </c>
      <c r="Z536" s="21" t="s">
        <v>6313</v>
      </c>
      <c r="AA536" s="21"/>
      <c r="AB536" s="21" t="s">
        <v>6314</v>
      </c>
      <c r="AC536" s="21" t="s">
        <v>6318</v>
      </c>
      <c r="AD536" s="25" t="n">
        <f aca="false">LEN(AC536)</f>
        <v>52</v>
      </c>
      <c r="AE536" s="21" t="s">
        <v>6319</v>
      </c>
      <c r="AF536" s="25" t="n">
        <f aca="false">LEN(AE536)</f>
        <v>158</v>
      </c>
    </row>
    <row r="537" customFormat="false" ht="15" hidden="false" customHeight="true" outlineLevel="0" collapsed="false">
      <c r="A537" s="21" t="s">
        <v>94</v>
      </c>
      <c r="B537" s="21" t="s">
        <v>2390</v>
      </c>
      <c r="C537" s="21" t="n">
        <v>377</v>
      </c>
      <c r="D537" s="21" t="s">
        <v>6297</v>
      </c>
      <c r="E537" s="21" t="s">
        <v>6298</v>
      </c>
      <c r="F537" s="21" t="s">
        <v>2393</v>
      </c>
      <c r="G537" s="21" t="s">
        <v>2394</v>
      </c>
      <c r="H537" s="21" t="s">
        <v>2479</v>
      </c>
      <c r="I537" s="21" t="s">
        <v>95</v>
      </c>
      <c r="J537" s="21" t="s">
        <v>1409</v>
      </c>
      <c r="K537" s="21" t="n">
        <v>184.99</v>
      </c>
      <c r="L537" s="21" t="s">
        <v>6320</v>
      </c>
      <c r="M537" s="21" t="s">
        <v>6321</v>
      </c>
      <c r="N537" s="21" t="s">
        <v>6322</v>
      </c>
      <c r="O537" s="21" t="s">
        <v>6323</v>
      </c>
      <c r="P537" s="21" t="s">
        <v>6324</v>
      </c>
      <c r="Q537" s="22" t="n">
        <f aca="false">IF(L537="","",IFERROR(INDEX('Semrush Data'!$A$1:$Z$20000,MATCH(L537,'Semrush Data'!$A$1:$A$20000,0),MATCH("Volume",'Semrush Data'!$A$1:$Z$1,0)),""))</f>
        <v>880</v>
      </c>
      <c r="R537" s="22" t="n">
        <f aca="false">IF(M537="","",IFERROR(INDEX('Semrush Data'!$A$1:$Z$20000,MATCH(M537,'Semrush Data'!$A$1:$A$20000,0),MATCH("Volume",'Semrush Data'!$A$1:$Z$1,0)),""))</f>
        <v>20</v>
      </c>
      <c r="S537" s="22" t="str">
        <f aca="false">IF(N537="","",IFERROR(INDEX('Semrush Data'!$A$1:$Z$20000,MATCH(N537,'Semrush Data'!$A$1:$A$20000,0),MATCH("Volume",'Semrush Data'!$A$1:$Z$1,0)),""))</f>
        <v/>
      </c>
      <c r="T537" s="22" t="str">
        <f aca="false">IF(O537="","",IFERROR(INDEX('Semrush Data'!$A$1:$Z$20000,MATCH(O537,'Semrush Data'!$A$1:$A$20000,0),MATCH("Volume",'Semrush Data'!$A$1:$Z$1,0)),""))</f>
        <v/>
      </c>
      <c r="U537" s="22" t="n">
        <f aca="false">IF(P537="","",IFERROR(INDEX('Semrush Data'!$A$1:$Z$20000,MATCH(P537,'Semrush Data'!$A$1:$A$20000,0),MATCH("Volume",'Semrush Data'!$A$1:$Z$1,0)),""))</f>
        <v>10</v>
      </c>
      <c r="V537" s="23" t="str">
        <f aca="false">IF(COUNT(Q537:U537)=0,L537,IF(MAX(Q537:U537)=0,L537,INDEX(L537:P537,MATCH(MAX(Q537:U537),Q537:U537,0))))</f>
        <v>tom ford ebene fume</v>
      </c>
      <c r="W537" s="22" t="n">
        <f aca="false">IFERROR(INDEX('Semrush Data'!$A$1:$Z$20000,MATCH(V537,'Semrush Data'!$A$1:$A$20000,0),MATCH("Volume",'Semrush Data'!$A$1:$Z$1,0)),"")</f>
        <v>880</v>
      </c>
      <c r="X537" s="22" t="n">
        <f aca="false">IFERROR(INDEX('Semrush Data'!$A$1:$Z$20000,MATCH(V537,'Semrush Data'!$A$1:$A$20000,0),MATCH("Keyword Difficulty*",'Semrush Data'!$A$1:$Z$1,0)),"")</f>
        <v>22</v>
      </c>
      <c r="Y537" s="24" t="n">
        <f aca="false">IFERROR(INDEX('Semrush Data'!$A$1:$Z$20000,MATCH(V537,'Semrush Data'!$A$1:$A$20000,0),MATCH("CPC*",'Semrush Data'!$A$1:$Z$1,0)),"")</f>
        <v>0.59</v>
      </c>
      <c r="Z537" s="21" t="s">
        <v>6304</v>
      </c>
      <c r="AA537" s="21"/>
      <c r="AB537" s="21" t="s">
        <v>6325</v>
      </c>
      <c r="AC537" s="21" t="s">
        <v>6326</v>
      </c>
      <c r="AD537" s="25" t="n">
        <f aca="false">LEN(AC537)</f>
        <v>54</v>
      </c>
      <c r="AE537" s="21" t="s">
        <v>6327</v>
      </c>
      <c r="AF537" s="25" t="n">
        <f aca="false">LEN(AE537)</f>
        <v>160</v>
      </c>
    </row>
    <row r="538" customFormat="false" ht="15" hidden="false" customHeight="true" outlineLevel="0" collapsed="false">
      <c r="A538" s="21" t="s">
        <v>48</v>
      </c>
      <c r="B538" s="21" t="s">
        <v>2390</v>
      </c>
      <c r="C538" s="21" t="n">
        <v>378</v>
      </c>
      <c r="D538" s="21" t="s">
        <v>6297</v>
      </c>
      <c r="E538" s="21" t="s">
        <v>6298</v>
      </c>
      <c r="F538" s="21" t="s">
        <v>2393</v>
      </c>
      <c r="G538" s="21" t="s">
        <v>2974</v>
      </c>
      <c r="H538" s="21" t="s">
        <v>2479</v>
      </c>
      <c r="I538" s="21" t="s">
        <v>49</v>
      </c>
      <c r="J538" s="21" t="s">
        <v>1935</v>
      </c>
      <c r="K538" s="21" t="n">
        <v>153.99</v>
      </c>
      <c r="L538" s="21" t="s">
        <v>6328</v>
      </c>
      <c r="M538" s="21" t="s">
        <v>6329</v>
      </c>
      <c r="N538" s="21" t="s">
        <v>6330</v>
      </c>
      <c r="O538" s="21" t="s">
        <v>6331</v>
      </c>
      <c r="P538" s="21" t="s">
        <v>6332</v>
      </c>
      <c r="Q538" s="22" t="n">
        <f aca="false">IF(L538="","",IFERROR(INDEX('Semrush Data'!$A$1:$Z$20000,MATCH(L538,'Semrush Data'!$A$1:$A$20000,0),MATCH("Volume",'Semrush Data'!$A$1:$Z$1,0)),""))</f>
        <v>22200</v>
      </c>
      <c r="R538" s="22" t="n">
        <f aca="false">IF(M538="","",IFERROR(INDEX('Semrush Data'!$A$1:$Z$20000,MATCH(M538,'Semrush Data'!$A$1:$A$20000,0),MATCH("Volume",'Semrush Data'!$A$1:$Z$1,0)),""))</f>
        <v>40</v>
      </c>
      <c r="S538" s="22" t="str">
        <f aca="false">IF(N538="","",IFERROR(INDEX('Semrush Data'!$A$1:$Z$20000,MATCH(N538,'Semrush Data'!$A$1:$A$20000,0),MATCH("Volume",'Semrush Data'!$A$1:$Z$1,0)),""))</f>
        <v/>
      </c>
      <c r="T538" s="22" t="str">
        <f aca="false">IF(O538="","",IFERROR(INDEX('Semrush Data'!$A$1:$Z$20000,MATCH(O538,'Semrush Data'!$A$1:$A$20000,0),MATCH("Volume",'Semrush Data'!$A$1:$Z$1,0)),""))</f>
        <v/>
      </c>
      <c r="U538" s="22" t="n">
        <f aca="false">IF(P538="","",IFERROR(INDEX('Semrush Data'!$A$1:$Z$20000,MATCH(P538,'Semrush Data'!$A$1:$A$20000,0),MATCH("Volume",'Semrush Data'!$A$1:$Z$1,0)),""))</f>
        <v>720</v>
      </c>
      <c r="V538" s="23" t="str">
        <f aca="false">IF(COUNT(Q538:U538)=0,L538,IF(MAX(Q538:U538)=0,L538,INDEX(L538:P538,MATCH(MAX(Q538:U538),Q538:U538,0))))</f>
        <v>tom ford black orchid</v>
      </c>
      <c r="W538" s="22" t="n">
        <f aca="false">IFERROR(INDEX('Semrush Data'!$A$1:$Z$20000,MATCH(V538,'Semrush Data'!$A$1:$A$20000,0),MATCH("Volume",'Semrush Data'!$A$1:$Z$1,0)),"")</f>
        <v>22200</v>
      </c>
      <c r="X538" s="22" t="n">
        <f aca="false">IFERROR(INDEX('Semrush Data'!$A$1:$Z$20000,MATCH(V538,'Semrush Data'!$A$1:$A$20000,0),MATCH("Keyword Difficulty*",'Semrush Data'!$A$1:$Z$1,0)),"")</f>
        <v>22</v>
      </c>
      <c r="Y538" s="24" t="n">
        <f aca="false">IFERROR(INDEX('Semrush Data'!$A$1:$Z$20000,MATCH(V538,'Semrush Data'!$A$1:$A$20000,0),MATCH("CPC*",'Semrush Data'!$A$1:$Z$1,0)),"")</f>
        <v>0.49</v>
      </c>
      <c r="Z538" s="21" t="s">
        <v>6304</v>
      </c>
      <c r="AA538" s="21"/>
      <c r="AB538" s="21" t="s">
        <v>6333</v>
      </c>
      <c r="AC538" s="21" t="s">
        <v>6334</v>
      </c>
      <c r="AD538" s="25" t="n">
        <f aca="false">LEN(AC538)</f>
        <v>55</v>
      </c>
      <c r="AE538" s="21" t="s">
        <v>6335</v>
      </c>
      <c r="AF538" s="25" t="n">
        <f aca="false">LEN(AE538)</f>
        <v>149</v>
      </c>
    </row>
    <row r="539" customFormat="false" ht="15" hidden="false" customHeight="true" outlineLevel="0" collapsed="false">
      <c r="A539" s="21" t="s">
        <v>54</v>
      </c>
      <c r="B539" s="21" t="s">
        <v>2390</v>
      </c>
      <c r="C539" s="21" t="n">
        <v>379</v>
      </c>
      <c r="D539" s="21" t="s">
        <v>6297</v>
      </c>
      <c r="E539" s="21" t="s">
        <v>6298</v>
      </c>
      <c r="F539" s="21" t="s">
        <v>2393</v>
      </c>
      <c r="G539" s="21" t="s">
        <v>2974</v>
      </c>
      <c r="H539" s="21" t="s">
        <v>2549</v>
      </c>
      <c r="I539" s="21" t="s">
        <v>55</v>
      </c>
      <c r="J539" s="21" t="s">
        <v>1935</v>
      </c>
      <c r="K539" s="21" t="n">
        <v>144.99</v>
      </c>
      <c r="L539" s="21" t="s">
        <v>6336</v>
      </c>
      <c r="M539" s="21" t="s">
        <v>6337</v>
      </c>
      <c r="N539" s="21" t="s">
        <v>6338</v>
      </c>
      <c r="O539" s="21" t="s">
        <v>6339</v>
      </c>
      <c r="P539" s="21" t="s">
        <v>6340</v>
      </c>
      <c r="Q539" s="22" t="n">
        <f aca="false">IF(L539="","",IFERROR(INDEX('Semrush Data'!$A$1:$Z$20000,MATCH(L539,'Semrush Data'!$A$1:$A$20000,0),MATCH("Volume",'Semrush Data'!$A$1:$Z$1,0)),""))</f>
        <v>8100</v>
      </c>
      <c r="R539" s="22" t="n">
        <f aca="false">IF(M539="","",IFERROR(INDEX('Semrush Data'!$A$1:$Z$20000,MATCH(M539,'Semrush Data'!$A$1:$A$20000,0),MATCH("Volume",'Semrush Data'!$A$1:$Z$1,0)),""))</f>
        <v>20</v>
      </c>
      <c r="S539" s="22" t="str">
        <f aca="false">IF(N539="","",IFERROR(INDEX('Semrush Data'!$A$1:$Z$20000,MATCH(N539,'Semrush Data'!$A$1:$A$20000,0),MATCH("Volume",'Semrush Data'!$A$1:$Z$1,0)),""))</f>
        <v/>
      </c>
      <c r="T539" s="22" t="str">
        <f aca="false">IF(O539="","",IFERROR(INDEX('Semrush Data'!$A$1:$Z$20000,MATCH(O539,'Semrush Data'!$A$1:$A$20000,0),MATCH("Volume",'Semrush Data'!$A$1:$Z$1,0)),""))</f>
        <v/>
      </c>
      <c r="U539" s="22" t="n">
        <f aca="false">IF(P539="","",IFERROR(INDEX('Semrush Data'!$A$1:$Z$20000,MATCH(P539,'Semrush Data'!$A$1:$A$20000,0),MATCH("Volume",'Semrush Data'!$A$1:$Z$1,0)),""))</f>
        <v>1600</v>
      </c>
      <c r="V539" s="23" t="str">
        <f aca="false">IF(COUNT(Q539:U539)=0,L539,IF(MAX(Q539:U539)=0,L539,INDEX(L539:P539,MATCH(MAX(Q539:U539),Q539:U539,0))))</f>
        <v>tom ford noir extreme</v>
      </c>
      <c r="W539" s="22" t="n">
        <f aca="false">IFERROR(INDEX('Semrush Data'!$A$1:$Z$20000,MATCH(V539,'Semrush Data'!$A$1:$A$20000,0),MATCH("Volume",'Semrush Data'!$A$1:$Z$1,0)),"")</f>
        <v>8100</v>
      </c>
      <c r="X539" s="22" t="n">
        <f aca="false">IFERROR(INDEX('Semrush Data'!$A$1:$Z$20000,MATCH(V539,'Semrush Data'!$A$1:$A$20000,0),MATCH("Keyword Difficulty*",'Semrush Data'!$A$1:$Z$1,0)),"")</f>
        <v>15</v>
      </c>
      <c r="Y539" s="24" t="n">
        <f aca="false">IFERROR(INDEX('Semrush Data'!$A$1:$Z$20000,MATCH(V539,'Semrush Data'!$A$1:$A$20000,0),MATCH("CPC*",'Semrush Data'!$A$1:$Z$1,0)),"")</f>
        <v>0.59</v>
      </c>
      <c r="Z539" s="21" t="s">
        <v>6341</v>
      </c>
      <c r="AA539" s="21"/>
      <c r="AB539" s="21" t="s">
        <v>6342</v>
      </c>
      <c r="AC539" s="21" t="s">
        <v>6343</v>
      </c>
      <c r="AD539" s="25" t="n">
        <f aca="false">LEN(AC539)</f>
        <v>50</v>
      </c>
      <c r="AE539" s="21" t="s">
        <v>6344</v>
      </c>
      <c r="AF539" s="25" t="n">
        <f aca="false">LEN(AE539)</f>
        <v>148</v>
      </c>
    </row>
    <row r="540" customFormat="false" ht="15" hidden="false" customHeight="true" outlineLevel="0" collapsed="false">
      <c r="A540" s="21" t="s">
        <v>6345</v>
      </c>
      <c r="B540" s="21" t="s">
        <v>2390</v>
      </c>
      <c r="C540" s="21" t="n">
        <v>380</v>
      </c>
      <c r="D540" s="21" t="s">
        <v>6346</v>
      </c>
      <c r="E540" s="21"/>
      <c r="F540" s="21" t="s">
        <v>2393</v>
      </c>
      <c r="G540" s="21" t="s">
        <v>2394</v>
      </c>
      <c r="H540" s="21" t="s">
        <v>2395</v>
      </c>
      <c r="I540" s="21" t="s">
        <v>6347</v>
      </c>
      <c r="J540" s="21" t="s">
        <v>6348</v>
      </c>
      <c r="K540" s="21" t="n">
        <v>14.99</v>
      </c>
      <c r="L540" s="21" t="s">
        <v>6349</v>
      </c>
      <c r="M540" s="21" t="s">
        <v>6350</v>
      </c>
      <c r="N540" s="21" t="s">
        <v>6351</v>
      </c>
      <c r="O540" s="21" t="s">
        <v>6352</v>
      </c>
      <c r="P540" s="21" t="s">
        <v>6353</v>
      </c>
      <c r="Q540" s="22" t="n">
        <f aca="false">IF(L540="","",IFERROR(INDEX('Semrush Data'!$A$1:$Z$20000,MATCH(L540,'Semrush Data'!$A$1:$A$20000,0),MATCH("Volume",'Semrush Data'!$A$1:$Z$1,0)),""))</f>
        <v>0</v>
      </c>
      <c r="R540" s="22" t="str">
        <f aca="false">IF(M540="","",IFERROR(INDEX('Semrush Data'!$A$1:$Z$20000,MATCH(M540,'Semrush Data'!$A$1:$A$20000,0),MATCH("Volume",'Semrush Data'!$A$1:$Z$1,0)),""))</f>
        <v/>
      </c>
      <c r="S540" s="22" t="str">
        <f aca="false">IF(N540="","",IFERROR(INDEX('Semrush Data'!$A$1:$Z$20000,MATCH(N540,'Semrush Data'!$A$1:$A$20000,0),MATCH("Volume",'Semrush Data'!$A$1:$Z$1,0)),""))</f>
        <v/>
      </c>
      <c r="T540" s="22" t="str">
        <f aca="false">IF(O540="","",IFERROR(INDEX('Semrush Data'!$A$1:$Z$20000,MATCH(O540,'Semrush Data'!$A$1:$A$20000,0),MATCH("Volume",'Semrush Data'!$A$1:$Z$1,0)),""))</f>
        <v/>
      </c>
      <c r="U540" s="22" t="str">
        <f aca="false">IF(P540="","",IFERROR(INDEX('Semrush Data'!$A$1:$Z$20000,MATCH(P540,'Semrush Data'!$A$1:$A$20000,0),MATCH("Volume",'Semrush Data'!$A$1:$Z$1,0)),""))</f>
        <v/>
      </c>
      <c r="V540" s="23" t="str">
        <f aca="false">IF(COUNT(Q540:U540)=0,L540,IF(MAX(Q540:U540)=0,L540,INDEX(L540:P540,MATCH(MAX(Q540:U540),Q540:U540,0))))</f>
        <v>trussardi pure jasmine miniature</v>
      </c>
      <c r="W540" s="22" t="n">
        <f aca="false">IFERROR(INDEX('Semrush Data'!$A$1:$Z$20000,MATCH(V540,'Semrush Data'!$A$1:$A$20000,0),MATCH("Volume",'Semrush Data'!$A$1:$Z$1,0)),"")</f>
        <v>0</v>
      </c>
      <c r="X540" s="22" t="n">
        <f aca="false">IFERROR(INDEX('Semrush Data'!$A$1:$Z$20000,MATCH(V540,'Semrush Data'!$A$1:$A$20000,0),MATCH("Keyword Difficulty*",'Semrush Data'!$A$1:$Z$1,0)),"")</f>
        <v>14</v>
      </c>
      <c r="Y540" s="24" t="n">
        <f aca="false">IFERROR(INDEX('Semrush Data'!$A$1:$Z$20000,MATCH(V540,'Semrush Data'!$A$1:$A$20000,0),MATCH("CPC*",'Semrush Data'!$A$1:$Z$1,0)),"")</f>
        <v>0</v>
      </c>
      <c r="Z540" s="21" t="s">
        <v>6354</v>
      </c>
      <c r="AA540" s="21"/>
      <c r="AB540" s="21" t="s">
        <v>6355</v>
      </c>
      <c r="AC540" s="21" t="s">
        <v>6356</v>
      </c>
      <c r="AD540" s="25" t="n">
        <f aca="false">LEN(AC540)</f>
        <v>60</v>
      </c>
      <c r="AE540" s="21" t="s">
        <v>6357</v>
      </c>
      <c r="AF540" s="25" t="n">
        <f aca="false">LEN(AE540)</f>
        <v>160</v>
      </c>
    </row>
    <row r="541" customFormat="false" ht="15" hidden="false" customHeight="true" outlineLevel="0" collapsed="false">
      <c r="A541" s="21" t="s">
        <v>6358</v>
      </c>
      <c r="B541" s="21" t="s">
        <v>2390</v>
      </c>
      <c r="C541" s="21" t="n">
        <v>381</v>
      </c>
      <c r="D541" s="21" t="s">
        <v>6346</v>
      </c>
      <c r="E541" s="21"/>
      <c r="F541" s="21" t="s">
        <v>2393</v>
      </c>
      <c r="G541" s="21" t="s">
        <v>2394</v>
      </c>
      <c r="H541" s="21" t="s">
        <v>2395</v>
      </c>
      <c r="I541" s="21" t="s">
        <v>6359</v>
      </c>
      <c r="J541" s="21" t="s">
        <v>3001</v>
      </c>
      <c r="K541" s="21" t="n">
        <v>42.99</v>
      </c>
      <c r="L541" s="21" t="s">
        <v>6360</v>
      </c>
      <c r="M541" s="21" t="s">
        <v>6361</v>
      </c>
      <c r="N541" s="21" t="s">
        <v>6362</v>
      </c>
      <c r="O541" s="21" t="s">
        <v>6363</v>
      </c>
      <c r="P541" s="21" t="s">
        <v>6364</v>
      </c>
      <c r="Q541" s="22" t="n">
        <f aca="false">IF(L541="","",IFERROR(INDEX('Semrush Data'!$A$1:$Z$20000,MATCH(L541,'Semrush Data'!$A$1:$A$20000,0),MATCH("Volume",'Semrush Data'!$A$1:$Z$1,0)),""))</f>
        <v>20</v>
      </c>
      <c r="R541" s="22" t="str">
        <f aca="false">IF(M541="","",IFERROR(INDEX('Semrush Data'!$A$1:$Z$20000,MATCH(M541,'Semrush Data'!$A$1:$A$20000,0),MATCH("Volume",'Semrush Data'!$A$1:$Z$1,0)),""))</f>
        <v/>
      </c>
      <c r="S541" s="22" t="str">
        <f aca="false">IF(N541="","",IFERROR(INDEX('Semrush Data'!$A$1:$Z$20000,MATCH(N541,'Semrush Data'!$A$1:$A$20000,0),MATCH("Volume",'Semrush Data'!$A$1:$Z$1,0)),""))</f>
        <v/>
      </c>
      <c r="T541" s="22" t="str">
        <f aca="false">IF(O541="","",IFERROR(INDEX('Semrush Data'!$A$1:$Z$20000,MATCH(O541,'Semrush Data'!$A$1:$A$20000,0),MATCH("Volume",'Semrush Data'!$A$1:$Z$1,0)),""))</f>
        <v/>
      </c>
      <c r="U541" s="22" t="str">
        <f aca="false">IF(P541="","",IFERROR(INDEX('Semrush Data'!$A$1:$Z$20000,MATCH(P541,'Semrush Data'!$A$1:$A$20000,0),MATCH("Volume",'Semrush Data'!$A$1:$Z$1,0)),""))</f>
        <v/>
      </c>
      <c r="V541" s="23" t="str">
        <f aca="false">IF(COUNT(Q541:U541)=0,L541,IF(MAX(Q541:U541)=0,L541,INDEX(L541:P541,MATCH(MAX(Q541:U541),Q541:U541,0))))</f>
        <v>trussardi pure jasmine</v>
      </c>
      <c r="W541" s="22" t="n">
        <f aca="false">IFERROR(INDEX('Semrush Data'!$A$1:$Z$20000,MATCH(V541,'Semrush Data'!$A$1:$A$20000,0),MATCH("Volume",'Semrush Data'!$A$1:$Z$1,0)),"")</f>
        <v>20</v>
      </c>
      <c r="X541" s="22" t="n">
        <f aca="false">IFERROR(INDEX('Semrush Data'!$A$1:$Z$20000,MATCH(V541,'Semrush Data'!$A$1:$A$20000,0),MATCH("Keyword Difficulty*",'Semrush Data'!$A$1:$Z$1,0)),"")</f>
        <v>16</v>
      </c>
      <c r="Y541" s="24" t="n">
        <f aca="false">IFERROR(INDEX('Semrush Data'!$A$1:$Z$20000,MATCH(V541,'Semrush Data'!$A$1:$A$20000,0),MATCH("CPC*",'Semrush Data'!$A$1:$Z$1,0)),"")</f>
        <v>0</v>
      </c>
      <c r="Z541" s="21" t="s">
        <v>6354</v>
      </c>
      <c r="AA541" s="21" t="s">
        <v>6365</v>
      </c>
      <c r="AB541" s="21" t="s">
        <v>6366</v>
      </c>
      <c r="AC541" s="21" t="s">
        <v>6367</v>
      </c>
      <c r="AD541" s="25" t="n">
        <f aca="false">LEN(AC541)</f>
        <v>58</v>
      </c>
      <c r="AE541" s="21" t="s">
        <v>6368</v>
      </c>
      <c r="AF541" s="25" t="n">
        <f aca="false">LEN(AE541)</f>
        <v>157</v>
      </c>
    </row>
    <row r="542" customFormat="false" ht="15" hidden="false" customHeight="true" outlineLevel="0" collapsed="false">
      <c r="A542" s="21" t="s">
        <v>6369</v>
      </c>
      <c r="B542" s="21" t="s">
        <v>2390</v>
      </c>
      <c r="C542" s="21" t="n">
        <v>382</v>
      </c>
      <c r="D542" s="21" t="s">
        <v>6346</v>
      </c>
      <c r="E542" s="21"/>
      <c r="F542" s="21" t="s">
        <v>2393</v>
      </c>
      <c r="G542" s="21" t="s">
        <v>2759</v>
      </c>
      <c r="H542" s="21" t="s">
        <v>2549</v>
      </c>
      <c r="I542" s="21" t="s">
        <v>6370</v>
      </c>
      <c r="J542" s="21" t="s">
        <v>6348</v>
      </c>
      <c r="K542" s="21" t="n">
        <v>14.99</v>
      </c>
      <c r="L542" s="21" t="s">
        <v>6371</v>
      </c>
      <c r="M542" s="21" t="s">
        <v>6372</v>
      </c>
      <c r="N542" s="21" t="s">
        <v>6373</v>
      </c>
      <c r="O542" s="21" t="s">
        <v>6374</v>
      </c>
      <c r="P542" s="21" t="s">
        <v>6375</v>
      </c>
      <c r="Q542" s="22" t="n">
        <f aca="false">IF(L542="","",IFERROR(INDEX('Semrush Data'!$A$1:$Z$20000,MATCH(L542,'Semrush Data'!$A$1:$A$20000,0),MATCH("Volume",'Semrush Data'!$A$1:$Z$1,0)),""))</f>
        <v>0</v>
      </c>
      <c r="R542" s="22" t="str">
        <f aca="false">IF(M542="","",IFERROR(INDEX('Semrush Data'!$A$1:$Z$20000,MATCH(M542,'Semrush Data'!$A$1:$A$20000,0),MATCH("Volume",'Semrush Data'!$A$1:$Z$1,0)),""))</f>
        <v/>
      </c>
      <c r="S542" s="22" t="str">
        <f aca="false">IF(N542="","",IFERROR(INDEX('Semrush Data'!$A$1:$Z$20000,MATCH(N542,'Semrush Data'!$A$1:$A$20000,0),MATCH("Volume",'Semrush Data'!$A$1:$Z$1,0)),""))</f>
        <v/>
      </c>
      <c r="T542" s="22" t="str">
        <f aca="false">IF(O542="","",IFERROR(INDEX('Semrush Data'!$A$1:$Z$20000,MATCH(O542,'Semrush Data'!$A$1:$A$20000,0),MATCH("Volume",'Semrush Data'!$A$1:$Z$1,0)),""))</f>
        <v/>
      </c>
      <c r="U542" s="22" t="str">
        <f aca="false">IF(P542="","",IFERROR(INDEX('Semrush Data'!$A$1:$Z$20000,MATCH(P542,'Semrush Data'!$A$1:$A$20000,0),MATCH("Volume",'Semrush Data'!$A$1:$Z$1,0)),""))</f>
        <v/>
      </c>
      <c r="V542" s="23" t="str">
        <f aca="false">IF(COUNT(Q542:U542)=0,L542,IF(MAX(Q542:U542)=0,L542,INDEX(L542:P542,MATCH(MAX(Q542:U542),Q542:U542,0))))</f>
        <v>trussardi black extreme miniature</v>
      </c>
      <c r="W542" s="22" t="n">
        <f aca="false">IFERROR(INDEX('Semrush Data'!$A$1:$Z$20000,MATCH(V542,'Semrush Data'!$A$1:$A$20000,0),MATCH("Volume",'Semrush Data'!$A$1:$Z$1,0)),"")</f>
        <v>0</v>
      </c>
      <c r="X542" s="22" t="n">
        <f aca="false">IFERROR(INDEX('Semrush Data'!$A$1:$Z$20000,MATCH(V542,'Semrush Data'!$A$1:$A$20000,0),MATCH("Keyword Difficulty*",'Semrush Data'!$A$1:$Z$1,0)),"")</f>
        <v>22</v>
      </c>
      <c r="Y542" s="24" t="n">
        <f aca="false">IFERROR(INDEX('Semrush Data'!$A$1:$Z$20000,MATCH(V542,'Semrush Data'!$A$1:$A$20000,0),MATCH("CPC*",'Semrush Data'!$A$1:$Z$1,0)),"")</f>
        <v>0</v>
      </c>
      <c r="Z542" s="21" t="s">
        <v>6376</v>
      </c>
      <c r="AA542" s="21"/>
      <c r="AB542" s="21" t="s">
        <v>6377</v>
      </c>
      <c r="AC542" s="21" t="s">
        <v>6378</v>
      </c>
      <c r="AD542" s="25" t="n">
        <f aca="false">LEN(AC542)</f>
        <v>55</v>
      </c>
      <c r="AE542" s="21" t="s">
        <v>6379</v>
      </c>
      <c r="AF542" s="25" t="n">
        <f aca="false">LEN(AE542)</f>
        <v>157</v>
      </c>
    </row>
    <row r="543" customFormat="false" ht="15" hidden="false" customHeight="true" outlineLevel="0" collapsed="false">
      <c r="A543" s="21" t="s">
        <v>6380</v>
      </c>
      <c r="B543" s="21" t="s">
        <v>2390</v>
      </c>
      <c r="C543" s="21" t="n">
        <v>383</v>
      </c>
      <c r="D543" s="21" t="s">
        <v>6346</v>
      </c>
      <c r="E543" s="21"/>
      <c r="F543" s="21" t="s">
        <v>2393</v>
      </c>
      <c r="G543" s="21" t="s">
        <v>2759</v>
      </c>
      <c r="H543" s="21" t="s">
        <v>2395</v>
      </c>
      <c r="I543" s="21" t="s">
        <v>6381</v>
      </c>
      <c r="J543" s="21" t="s">
        <v>1409</v>
      </c>
      <c r="K543" s="21" t="n">
        <v>42.99</v>
      </c>
      <c r="L543" s="21" t="s">
        <v>6382</v>
      </c>
      <c r="M543" s="21" t="s">
        <v>6383</v>
      </c>
      <c r="N543" s="21" t="s">
        <v>6384</v>
      </c>
      <c r="O543" s="21" t="s">
        <v>6385</v>
      </c>
      <c r="P543" s="21" t="s">
        <v>6386</v>
      </c>
      <c r="Q543" s="22" t="n">
        <f aca="false">IF(L543="","",IFERROR(INDEX('Semrush Data'!$A$1:$Z$20000,MATCH(L543,'Semrush Data'!$A$1:$A$20000,0),MATCH("Volume",'Semrush Data'!$A$1:$Z$1,0)),""))</f>
        <v>20</v>
      </c>
      <c r="R543" s="22" t="str">
        <f aca="false">IF(M543="","",IFERROR(INDEX('Semrush Data'!$A$1:$Z$20000,MATCH(M543,'Semrush Data'!$A$1:$A$20000,0),MATCH("Volume",'Semrush Data'!$A$1:$Z$1,0)),""))</f>
        <v/>
      </c>
      <c r="S543" s="22" t="str">
        <f aca="false">IF(N543="","",IFERROR(INDEX('Semrush Data'!$A$1:$Z$20000,MATCH(N543,'Semrush Data'!$A$1:$A$20000,0),MATCH("Volume",'Semrush Data'!$A$1:$Z$1,0)),""))</f>
        <v/>
      </c>
      <c r="T543" s="22" t="str">
        <f aca="false">IF(O543="","",IFERROR(INDEX('Semrush Data'!$A$1:$Z$20000,MATCH(O543,'Semrush Data'!$A$1:$A$20000,0),MATCH("Volume",'Semrush Data'!$A$1:$Z$1,0)),""))</f>
        <v/>
      </c>
      <c r="U543" s="22" t="str">
        <f aca="false">IF(P543="","",IFERROR(INDEX('Semrush Data'!$A$1:$Z$20000,MATCH(P543,'Semrush Data'!$A$1:$A$20000,0),MATCH("Volume",'Semrush Data'!$A$1:$Z$1,0)),""))</f>
        <v/>
      </c>
      <c r="V543" s="23" t="str">
        <f aca="false">IF(COUNT(Q543:U543)=0,L543,IF(MAX(Q543:U543)=0,L543,INDEX(L543:P543,MATCH(MAX(Q543:U543),Q543:U543,0))))</f>
        <v>trussardi delicate rose</v>
      </c>
      <c r="W543" s="22" t="n">
        <f aca="false">IFERROR(INDEX('Semrush Data'!$A$1:$Z$20000,MATCH(V543,'Semrush Data'!$A$1:$A$20000,0),MATCH("Volume",'Semrush Data'!$A$1:$Z$1,0)),"")</f>
        <v>20</v>
      </c>
      <c r="X543" s="22" t="n">
        <f aca="false">IFERROR(INDEX('Semrush Data'!$A$1:$Z$20000,MATCH(V543,'Semrush Data'!$A$1:$A$20000,0),MATCH("Keyword Difficulty*",'Semrush Data'!$A$1:$Z$1,0)),"")</f>
        <v>20</v>
      </c>
      <c r="Y543" s="24" t="n">
        <f aca="false">IFERROR(INDEX('Semrush Data'!$A$1:$Z$20000,MATCH(V543,'Semrush Data'!$A$1:$A$20000,0),MATCH("CPC*",'Semrush Data'!$A$1:$Z$1,0)),"")</f>
        <v>0</v>
      </c>
      <c r="Z543" s="21" t="s">
        <v>6354</v>
      </c>
      <c r="AA543" s="21" t="s">
        <v>6387</v>
      </c>
      <c r="AB543" s="21" t="s">
        <v>6388</v>
      </c>
      <c r="AC543" s="21" t="s">
        <v>6389</v>
      </c>
      <c r="AD543" s="25" t="n">
        <f aca="false">LEN(AC543)</f>
        <v>59</v>
      </c>
      <c r="AE543" s="21" t="s">
        <v>6390</v>
      </c>
      <c r="AF543" s="25" t="n">
        <f aca="false">LEN(AE543)</f>
        <v>156</v>
      </c>
    </row>
    <row r="544" customFormat="false" ht="15" hidden="false" customHeight="true" outlineLevel="0" collapsed="false">
      <c r="A544" s="21" t="s">
        <v>6391</v>
      </c>
      <c r="B544" s="21" t="s">
        <v>2390</v>
      </c>
      <c r="C544" s="21" t="n">
        <v>384</v>
      </c>
      <c r="D544" s="21" t="s">
        <v>6346</v>
      </c>
      <c r="E544" s="21"/>
      <c r="F544" s="21" t="s">
        <v>1676</v>
      </c>
      <c r="G544" s="21" t="s">
        <v>2394</v>
      </c>
      <c r="H544" s="21" t="s">
        <v>2468</v>
      </c>
      <c r="I544" s="21" t="s">
        <v>6392</v>
      </c>
      <c r="J544" s="21" t="s">
        <v>2538</v>
      </c>
      <c r="K544" s="21" t="n">
        <v>29.99</v>
      </c>
      <c r="L544" s="21" t="s">
        <v>6393</v>
      </c>
      <c r="M544" s="21" t="s">
        <v>6394</v>
      </c>
      <c r="N544" s="21" t="s">
        <v>6395</v>
      </c>
      <c r="O544" s="21" t="s">
        <v>6396</v>
      </c>
      <c r="P544" s="21"/>
      <c r="Q544" s="22" t="n">
        <f aca="false">IF(L544="","",IFERROR(INDEX('Semrush Data'!$A$1:$Z$20000,MATCH(L544,'Semrush Data'!$A$1:$A$20000,0),MATCH("Volume",'Semrush Data'!$A$1:$Z$1,0)),""))</f>
        <v>0</v>
      </c>
      <c r="R544" s="22" t="str">
        <f aca="false">IF(M544="","",IFERROR(INDEX('Semrush Data'!$A$1:$Z$20000,MATCH(M544,'Semrush Data'!$A$1:$A$20000,0),MATCH("Volume",'Semrush Data'!$A$1:$Z$1,0)),""))</f>
        <v/>
      </c>
      <c r="S544" s="22" t="str">
        <f aca="false">IF(N544="","",IFERROR(INDEX('Semrush Data'!$A$1:$Z$20000,MATCH(N544,'Semrush Data'!$A$1:$A$20000,0),MATCH("Volume",'Semrush Data'!$A$1:$Z$1,0)),""))</f>
        <v/>
      </c>
      <c r="T544" s="22" t="str">
        <f aca="false">IF(O544="","",IFERROR(INDEX('Semrush Data'!$A$1:$Z$20000,MATCH(O544,'Semrush Data'!$A$1:$A$20000,0),MATCH("Volume",'Semrush Data'!$A$1:$Z$1,0)),""))</f>
        <v/>
      </c>
      <c r="U544" s="22" t="str">
        <f aca="false">IF(P544="","",IFERROR(INDEX('Semrush Data'!$A$1:$Z$20000,MATCH(P544,'Semrush Data'!$A$1:$A$20000,0),MATCH("Volume",'Semrush Data'!$A$1:$Z$1,0)),""))</f>
        <v/>
      </c>
      <c r="V544" s="23" t="str">
        <f aca="false">IF(COUNT(Q544:U544)=0,L544,IF(MAX(Q544:U544)=0,L544,INDEX(L544:P544,MATCH(MAX(Q544:U544),Q544:U544,0))))</f>
        <v>trussardi pure jasmine lifestyle mini gift set</v>
      </c>
      <c r="W544" s="22" t="n">
        <f aca="false">IFERROR(INDEX('Semrush Data'!$A$1:$Z$20000,MATCH(V544,'Semrush Data'!$A$1:$A$20000,0),MATCH("Volume",'Semrush Data'!$A$1:$Z$1,0)),"")</f>
        <v>0</v>
      </c>
      <c r="X544" s="22" t="n">
        <f aca="false">IFERROR(INDEX('Semrush Data'!$A$1:$Z$20000,MATCH(V544,'Semrush Data'!$A$1:$A$20000,0),MATCH("Keyword Difficulty*",'Semrush Data'!$A$1:$Z$1,0)),"")</f>
        <v>11</v>
      </c>
      <c r="Y544" s="24" t="n">
        <f aca="false">IFERROR(INDEX('Semrush Data'!$A$1:$Z$20000,MATCH(V544,'Semrush Data'!$A$1:$A$20000,0),MATCH("CPC*",'Semrush Data'!$A$1:$Z$1,0)),"")</f>
        <v>0</v>
      </c>
      <c r="Z544" s="21" t="s">
        <v>6397</v>
      </c>
      <c r="AA544" s="21"/>
      <c r="AB544" s="21" t="s">
        <v>6398</v>
      </c>
      <c r="AC544" s="21" t="s">
        <v>6399</v>
      </c>
      <c r="AD544" s="25" t="n">
        <f aca="false">LEN(AC544)</f>
        <v>60</v>
      </c>
      <c r="AE544" s="21" t="s">
        <v>6400</v>
      </c>
      <c r="AF544" s="25" t="n">
        <f aca="false">LEN(AE544)</f>
        <v>160</v>
      </c>
    </row>
    <row r="545" customFormat="false" ht="15" hidden="false" customHeight="true" outlineLevel="0" collapsed="false">
      <c r="A545" s="21" t="s">
        <v>6401</v>
      </c>
      <c r="B545" s="21" t="s">
        <v>2390</v>
      </c>
      <c r="C545" s="21" t="n">
        <v>385</v>
      </c>
      <c r="D545" s="21" t="s">
        <v>6346</v>
      </c>
      <c r="E545" s="21"/>
      <c r="F545" s="21" t="s">
        <v>1676</v>
      </c>
      <c r="G545" s="21" t="s">
        <v>2394</v>
      </c>
      <c r="H545" s="21" t="s">
        <v>2457</v>
      </c>
      <c r="I545" s="21" t="s">
        <v>6402</v>
      </c>
      <c r="J545" s="21" t="s">
        <v>2538</v>
      </c>
      <c r="K545" s="21" t="n">
        <v>29.99</v>
      </c>
      <c r="L545" s="21" t="s">
        <v>6403</v>
      </c>
      <c r="M545" s="21" t="s">
        <v>6404</v>
      </c>
      <c r="N545" s="21" t="s">
        <v>6405</v>
      </c>
      <c r="O545" s="21" t="s">
        <v>6406</v>
      </c>
      <c r="P545" s="21"/>
      <c r="Q545" s="22" t="n">
        <f aca="false">IF(L545="","",IFERROR(INDEX('Semrush Data'!$A$1:$Z$20000,MATCH(L545,'Semrush Data'!$A$1:$A$20000,0),MATCH("Volume",'Semrush Data'!$A$1:$Z$1,0)),""))</f>
        <v>0</v>
      </c>
      <c r="R545" s="22" t="str">
        <f aca="false">IF(M545="","",IFERROR(INDEX('Semrush Data'!$A$1:$Z$20000,MATCH(M545,'Semrush Data'!$A$1:$A$20000,0),MATCH("Volume",'Semrush Data'!$A$1:$Z$1,0)),""))</f>
        <v/>
      </c>
      <c r="S545" s="22" t="str">
        <f aca="false">IF(N545="","",IFERROR(INDEX('Semrush Data'!$A$1:$Z$20000,MATCH(N545,'Semrush Data'!$A$1:$A$20000,0),MATCH("Volume",'Semrush Data'!$A$1:$Z$1,0)),""))</f>
        <v/>
      </c>
      <c r="T545" s="22" t="str">
        <f aca="false">IF(O545="","",IFERROR(INDEX('Semrush Data'!$A$1:$Z$20000,MATCH(O545,'Semrush Data'!$A$1:$A$20000,0),MATCH("Volume",'Semrush Data'!$A$1:$Z$1,0)),""))</f>
        <v/>
      </c>
      <c r="U545" s="22" t="str">
        <f aca="false">IF(P545="","",IFERROR(INDEX('Semrush Data'!$A$1:$Z$20000,MATCH(P545,'Semrush Data'!$A$1:$A$20000,0),MATCH("Volume",'Semrush Data'!$A$1:$Z$1,0)),""))</f>
        <v/>
      </c>
      <c r="V545" s="23" t="str">
        <f aca="false">IF(COUNT(Q545:U545)=0,L545,IF(MAX(Q545:U545)=0,L545,INDEX(L545:P545,MATCH(MAX(Q545:U545),Q545:U545,0))))</f>
        <v>trussardi ruby red gift set</v>
      </c>
      <c r="W545" s="22" t="n">
        <f aca="false">IFERROR(INDEX('Semrush Data'!$A$1:$Z$20000,MATCH(V545,'Semrush Data'!$A$1:$A$20000,0),MATCH("Volume",'Semrush Data'!$A$1:$Z$1,0)),"")</f>
        <v>0</v>
      </c>
      <c r="X545" s="22" t="n">
        <f aca="false">IFERROR(INDEX('Semrush Data'!$A$1:$Z$20000,MATCH(V545,'Semrush Data'!$A$1:$A$20000,0),MATCH("Keyword Difficulty*",'Semrush Data'!$A$1:$Z$1,0)),"")</f>
        <v>11</v>
      </c>
      <c r="Y545" s="24" t="n">
        <f aca="false">IFERROR(INDEX('Semrush Data'!$A$1:$Z$20000,MATCH(V545,'Semrush Data'!$A$1:$A$20000,0),MATCH("CPC*",'Semrush Data'!$A$1:$Z$1,0)),"")</f>
        <v>0</v>
      </c>
      <c r="Z545" s="21" t="s">
        <v>6407</v>
      </c>
      <c r="AA545" s="21" t="s">
        <v>6408</v>
      </c>
      <c r="AB545" s="21" t="s">
        <v>6409</v>
      </c>
      <c r="AC545" s="21" t="s">
        <v>6410</v>
      </c>
      <c r="AD545" s="25" t="n">
        <f aca="false">LEN(AC545)</f>
        <v>55</v>
      </c>
      <c r="AE545" s="21" t="s">
        <v>6411</v>
      </c>
      <c r="AF545" s="25" t="n">
        <f aca="false">LEN(AE545)</f>
        <v>155</v>
      </c>
    </row>
    <row r="546" customFormat="false" ht="15" hidden="false" customHeight="true" outlineLevel="0" collapsed="false">
      <c r="A546" s="21" t="s">
        <v>6412</v>
      </c>
      <c r="B546" s="21" t="s">
        <v>2390</v>
      </c>
      <c r="C546" s="21" t="n">
        <v>386</v>
      </c>
      <c r="D546" s="21" t="s">
        <v>6413</v>
      </c>
      <c r="E546" s="21"/>
      <c r="F546" s="21" t="s">
        <v>2393</v>
      </c>
      <c r="G546" s="21" t="s">
        <v>2394</v>
      </c>
      <c r="H546" s="21" t="s">
        <v>2395</v>
      </c>
      <c r="I546" s="21" t="s">
        <v>6414</v>
      </c>
      <c r="J546" s="21" t="s">
        <v>2755</v>
      </c>
      <c r="K546" s="21" t="n">
        <v>19.99</v>
      </c>
      <c r="L546" s="21" t="s">
        <v>6415</v>
      </c>
      <c r="M546" s="21" t="s">
        <v>6416</v>
      </c>
      <c r="N546" s="21" t="s">
        <v>6417</v>
      </c>
      <c r="O546" s="21" t="s">
        <v>6418</v>
      </c>
      <c r="P546" s="21" t="s">
        <v>6419</v>
      </c>
      <c r="Q546" s="22" t="n">
        <f aca="false">IF(L546="","",IFERROR(INDEX('Semrush Data'!$A$1:$Z$20000,MATCH(L546,'Semrush Data'!$A$1:$A$20000,0),MATCH("Volume",'Semrush Data'!$A$1:$Z$1,0)),""))</f>
        <v>0</v>
      </c>
      <c r="R546" s="22" t="str">
        <f aca="false">IF(M546="","",IFERROR(INDEX('Semrush Data'!$A$1:$Z$20000,MATCH(M546,'Semrush Data'!$A$1:$A$20000,0),MATCH("Volume",'Semrush Data'!$A$1:$Z$1,0)),""))</f>
        <v/>
      </c>
      <c r="S546" s="22" t="str">
        <f aca="false">IF(N546="","",IFERROR(INDEX('Semrush Data'!$A$1:$Z$20000,MATCH(N546,'Semrush Data'!$A$1:$A$20000,0),MATCH("Volume",'Semrush Data'!$A$1:$Z$1,0)),""))</f>
        <v/>
      </c>
      <c r="T546" s="22" t="str">
        <f aca="false">IF(O546="","",IFERROR(INDEX('Semrush Data'!$A$1:$Z$20000,MATCH(O546,'Semrush Data'!$A$1:$A$20000,0),MATCH("Volume",'Semrush Data'!$A$1:$Z$1,0)),""))</f>
        <v/>
      </c>
      <c r="U546" s="22" t="str">
        <f aca="false">IF(P546="","",IFERROR(INDEX('Semrush Data'!$A$1:$Z$20000,MATCH(P546,'Semrush Data'!$A$1:$A$20000,0),MATCH("Volume",'Semrush Data'!$A$1:$Z$1,0)),""))</f>
        <v/>
      </c>
      <c r="V546" s="23" t="str">
        <f aca="false">IF(COUNT(Q546:U546)=0,L546,IF(MAX(Q546:U546)=0,L546,INDEX(L546:P546,MATCH(MAX(Q546:U546),Q546:U546,0))))</f>
        <v>viktor &amp; rolf good fortune miniature</v>
      </c>
      <c r="W546" s="22" t="n">
        <f aca="false">IFERROR(INDEX('Semrush Data'!$A$1:$Z$20000,MATCH(V546,'Semrush Data'!$A$1:$A$20000,0),MATCH("Volume",'Semrush Data'!$A$1:$Z$1,0)),"")</f>
        <v>0</v>
      </c>
      <c r="X546" s="22" t="n">
        <f aca="false">IFERROR(INDEX('Semrush Data'!$A$1:$Z$20000,MATCH(V546,'Semrush Data'!$A$1:$A$20000,0),MATCH("Keyword Difficulty*",'Semrush Data'!$A$1:$Z$1,0)),"")</f>
        <v>16</v>
      </c>
      <c r="Y546" s="24" t="n">
        <f aca="false">IFERROR(INDEX('Semrush Data'!$A$1:$Z$20000,MATCH(V546,'Semrush Data'!$A$1:$A$20000,0),MATCH("CPC*",'Semrush Data'!$A$1:$Z$1,0)),"")</f>
        <v>0</v>
      </c>
      <c r="Z546" s="21" t="s">
        <v>6420</v>
      </c>
      <c r="AA546" s="21"/>
      <c r="AB546" s="21" t="s">
        <v>6421</v>
      </c>
      <c r="AC546" s="21" t="s">
        <v>6422</v>
      </c>
      <c r="AD546" s="25" t="n">
        <f aca="false">LEN(AC546)</f>
        <v>59</v>
      </c>
      <c r="AE546" s="21" t="s">
        <v>6423</v>
      </c>
      <c r="AF546" s="25" t="n">
        <f aca="false">LEN(AE546)</f>
        <v>159</v>
      </c>
    </row>
    <row r="547" customFormat="false" ht="15" hidden="false" customHeight="true" outlineLevel="0" collapsed="false">
      <c r="A547" s="21" t="s">
        <v>6424</v>
      </c>
      <c r="B547" s="21" t="s">
        <v>2390</v>
      </c>
      <c r="C547" s="21" t="n">
        <v>387</v>
      </c>
      <c r="D547" s="21" t="s">
        <v>6425</v>
      </c>
      <c r="E547" s="21"/>
      <c r="F547" s="21" t="s">
        <v>2393</v>
      </c>
      <c r="G547" s="21" t="s">
        <v>2759</v>
      </c>
      <c r="H547" s="21" t="s">
        <v>2479</v>
      </c>
      <c r="I547" s="21" t="s">
        <v>6426</v>
      </c>
      <c r="J547" s="21" t="s">
        <v>2809</v>
      </c>
      <c r="K547" s="21" t="n">
        <v>94.99</v>
      </c>
      <c r="L547" s="21" t="s">
        <v>6427</v>
      </c>
      <c r="M547" s="21" t="s">
        <v>6428</v>
      </c>
      <c r="N547" s="21" t="s">
        <v>6429</v>
      </c>
      <c r="O547" s="21" t="s">
        <v>6430</v>
      </c>
      <c r="P547" s="21" t="s">
        <v>6431</v>
      </c>
      <c r="Q547" s="22" t="n">
        <f aca="false">IF(L547="","",IFERROR(INDEX('Semrush Data'!$A$1:$Z$20000,MATCH(L547,'Semrush Data'!$A$1:$A$20000,0),MATCH("Volume",'Semrush Data'!$A$1:$Z$1,0)),""))</f>
        <v>0</v>
      </c>
      <c r="R547" s="22" t="str">
        <f aca="false">IF(M547="","",IFERROR(INDEX('Semrush Data'!$A$1:$Z$20000,MATCH(M547,'Semrush Data'!$A$1:$A$20000,0),MATCH("Volume",'Semrush Data'!$A$1:$Z$1,0)),""))</f>
        <v/>
      </c>
      <c r="S547" s="22" t="str">
        <f aca="false">IF(N547="","",IFERROR(INDEX('Semrush Data'!$A$1:$Z$20000,MATCH(N547,'Semrush Data'!$A$1:$A$20000,0),MATCH("Volume",'Semrush Data'!$A$1:$Z$1,0)),""))</f>
        <v/>
      </c>
      <c r="T547" s="22" t="str">
        <f aca="false">IF(O547="","",IFERROR(INDEX('Semrush Data'!$A$1:$Z$20000,MATCH(O547,'Semrush Data'!$A$1:$A$20000,0),MATCH("Volume",'Semrush Data'!$A$1:$Z$1,0)),""))</f>
        <v/>
      </c>
      <c r="U547" s="22" t="str">
        <f aca="false">IF(P547="","",IFERROR(INDEX('Semrush Data'!$A$1:$Z$20000,MATCH(P547,'Semrush Data'!$A$1:$A$20000,0),MATCH("Volume",'Semrush Data'!$A$1:$Z$1,0)),""))</f>
        <v/>
      </c>
      <c r="V547" s="23" t="str">
        <f aca="false">IF(COUNT(Q547:U547)=0,L547,IF(MAX(Q547:U547)=0,L547,INDEX(L547:P547,MATCH(MAX(Q547:U547),Q547:U547,0))))</f>
        <v>ysl yves saint laurent yvresse w</v>
      </c>
      <c r="W547" s="22" t="n">
        <f aca="false">IFERROR(INDEX('Semrush Data'!$A$1:$Z$20000,MATCH(V547,'Semrush Data'!$A$1:$A$20000,0),MATCH("Volume",'Semrush Data'!$A$1:$Z$1,0)),"")</f>
        <v>0</v>
      </c>
      <c r="X547" s="22" t="n">
        <f aca="false">IFERROR(INDEX('Semrush Data'!$A$1:$Z$20000,MATCH(V547,'Semrush Data'!$A$1:$A$20000,0),MATCH("Keyword Difficulty*",'Semrush Data'!$A$1:$Z$1,0)),"")</f>
        <v>24</v>
      </c>
      <c r="Y547" s="24" t="n">
        <f aca="false">IFERROR(INDEX('Semrush Data'!$A$1:$Z$20000,MATCH(V547,'Semrush Data'!$A$1:$A$20000,0),MATCH("CPC*",'Semrush Data'!$A$1:$Z$1,0)),"")</f>
        <v>0</v>
      </c>
      <c r="Z547" s="21" t="s">
        <v>6432</v>
      </c>
      <c r="AA547" s="21"/>
      <c r="AB547" s="21" t="s">
        <v>6433</v>
      </c>
      <c r="AC547" s="21" t="s">
        <v>6434</v>
      </c>
      <c r="AD547" s="25" t="n">
        <f aca="false">LEN(AC547)</f>
        <v>60</v>
      </c>
      <c r="AE547" s="21" t="s">
        <v>6435</v>
      </c>
      <c r="AF547" s="25" t="n">
        <f aca="false">LEN(AE547)</f>
        <v>156</v>
      </c>
    </row>
  </sheetData>
  <autoFilter ref="A1:AF547"/>
  <conditionalFormatting sqref="AD2:AD547">
    <cfRule type="expression" priority="2" aboveAverage="0" equalAverage="0" bottom="0" percent="0" rank="0" text="" dxfId="7">
      <formula>OR(AD2&lt;50,AD2&gt;60)</formula>
    </cfRule>
  </conditionalFormatting>
  <conditionalFormatting sqref="AF2:AF547">
    <cfRule type="expression" priority="3" aboveAverage="0" equalAverage="0" bottom="0" percent="0" rank="0" text="" dxfId="7">
      <formula>OR(AF2&lt;140,AF2&gt;160)</formula>
    </cfRule>
  </conditionalFormatting>
  <conditionalFormatting sqref="E2:E547">
    <cfRule type="expression" priority="4" aboveAverage="0" equalAverage="0" bottom="0" percent="0" rank="0" text="" dxfId="8">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14" t="s">
        <v>148</v>
      </c>
      <c r="B1" s="14" t="s">
        <v>149</v>
      </c>
      <c r="C1" s="14" t="s">
        <v>6436</v>
      </c>
      <c r="D1" s="14" t="s">
        <v>6437</v>
      </c>
      <c r="E1" s="14" t="s">
        <v>6438</v>
      </c>
      <c r="F1" s="14" t="s">
        <v>6439</v>
      </c>
      <c r="G1" s="15" t="s">
        <v>40</v>
      </c>
      <c r="H1" s="15" t="s">
        <v>6440</v>
      </c>
      <c r="I1" s="15" t="s">
        <v>42</v>
      </c>
      <c r="J1" s="15" t="s">
        <v>6441</v>
      </c>
    </row>
    <row r="2" customFormat="false" ht="15" hidden="false" customHeight="true" outlineLevel="0" collapsed="false">
      <c r="A2" s="7" t="s">
        <v>6442</v>
      </c>
      <c r="B2" s="7" t="s">
        <v>236</v>
      </c>
      <c r="C2" s="7" t="n">
        <v>1</v>
      </c>
      <c r="D2" s="7" t="n">
        <v>1</v>
      </c>
      <c r="E2" s="7" t="n">
        <v>0</v>
      </c>
      <c r="F2" s="7"/>
      <c r="G2" s="12" t="n">
        <f aca="false">IFERROR(INDEX('Semrush Data'!$A$1:$Z$20000,MATCH(A2,'Semrush Data'!$A$1:$A$20000,0),MATCH("Volume",'Semrush Data'!$A$1:$Z$1,0)),"")</f>
        <v>0</v>
      </c>
      <c r="H2" s="7" t="n">
        <f aca="false">IFERROR(INDEX('Semrush Data'!$A$1:$Z$20000,MATCH(A2,'Semrush Data'!$A$1:$A$20000,0),MATCH("Keyword Difficulty*",'Semrush Data'!$A$1:$Z$1,0)),"")</f>
        <v>14</v>
      </c>
      <c r="I2" s="13" t="n">
        <f aca="false">IFERROR(INDEX('Semrush Data'!$A$1:$Z$20000,MATCH(A2,'Semrush Data'!$A$1:$A$20000,0),MATCH("CPC*",'Semrush Data'!$A$1:$Z$1,0)),"")</f>
        <v>0</v>
      </c>
      <c r="J2" s="7" t="str">
        <f aca="false">IFERROR(INDEX('Semrush Data'!$A$1:$Z$20000,MATCH(A2,'Semrush Data'!$A$1:$A$20000,0),MATCH("Intent",'Semrush Data'!$A$1:$Z$1,0)),"")</f>
        <v>Transactional Navigational</v>
      </c>
    </row>
    <row r="3" customFormat="false" ht="15" hidden="false" customHeight="true" outlineLevel="0" collapsed="false">
      <c r="A3" s="7" t="s">
        <v>6443</v>
      </c>
      <c r="B3" s="7" t="s">
        <v>236</v>
      </c>
      <c r="C3" s="7" t="n">
        <v>1</v>
      </c>
      <c r="D3" s="7" t="n">
        <v>1</v>
      </c>
      <c r="E3" s="7" t="n">
        <v>0</v>
      </c>
      <c r="F3" s="7"/>
      <c r="G3" s="12" t="n">
        <f aca="false">IFERROR(INDEX('Semrush Data'!$A$1:$Z$20000,MATCH(A3,'Semrush Data'!$A$1:$A$20000,0),MATCH("Volume",'Semrush Data'!$A$1:$Z$1,0)),"")</f>
        <v>0</v>
      </c>
      <c r="H3" s="7" t="n">
        <f aca="false">IFERROR(INDEX('Semrush Data'!$A$1:$Z$20000,MATCH(A3,'Semrush Data'!$A$1:$A$20000,0),MATCH("Keyword Difficulty*",'Semrush Data'!$A$1:$Z$1,0)),"")</f>
        <v>19</v>
      </c>
      <c r="I3" s="13" t="n">
        <f aca="false">IFERROR(INDEX('Semrush Data'!$A$1:$Z$20000,MATCH(A3,'Semrush Data'!$A$1:$A$20000,0),MATCH("CPC*",'Semrush Data'!$A$1:$Z$1,0)),"")</f>
        <v>0</v>
      </c>
      <c r="J3" s="7" t="str">
        <f aca="false">IFERROR(INDEX('Semrush Data'!$A$1:$Z$20000,MATCH(A3,'Semrush Data'!$A$1:$A$20000,0),MATCH("Intent",'Semrush Data'!$A$1:$Z$1,0)),"")</f>
        <v>Transactional</v>
      </c>
    </row>
    <row r="4" customFormat="false" ht="15" hidden="false" customHeight="true" outlineLevel="0" collapsed="false">
      <c r="A4" s="7" t="s">
        <v>241</v>
      </c>
      <c r="B4" s="7" t="s">
        <v>236</v>
      </c>
      <c r="C4" s="7" t="n">
        <v>1</v>
      </c>
      <c r="D4" s="7" t="n">
        <v>1</v>
      </c>
      <c r="E4" s="7" t="n">
        <v>0</v>
      </c>
      <c r="F4" s="7"/>
      <c r="G4" s="12" t="n">
        <f aca="false">IFERROR(INDEX('Semrush Data'!$A$1:$Z$20000,MATCH(A4,'Semrush Data'!$A$1:$A$20000,0),MATCH("Volume",'Semrush Data'!$A$1:$Z$1,0)),"")</f>
        <v>140</v>
      </c>
      <c r="H4" s="7" t="n">
        <f aca="false">IFERROR(INDEX('Semrush Data'!$A$1:$Z$20000,MATCH(A4,'Semrush Data'!$A$1:$A$20000,0),MATCH("Keyword Difficulty*",'Semrush Data'!$A$1:$Z$1,0)),"")</f>
        <v>28</v>
      </c>
      <c r="I4" s="13" t="n">
        <f aca="false">IFERROR(INDEX('Semrush Data'!$A$1:$Z$20000,MATCH(A4,'Semrush Data'!$A$1:$A$20000,0),MATCH("CPC*",'Semrush Data'!$A$1:$Z$1,0)),"")</f>
        <v>0.3</v>
      </c>
      <c r="J4" s="7" t="str">
        <f aca="false">IFERROR(INDEX('Semrush Data'!$A$1:$Z$20000,MATCH(A4,'Semrush Data'!$A$1:$A$20000,0),MATCH("Intent",'Semrush Data'!$A$1:$Z$1,0)),"")</f>
        <v>Navigational</v>
      </c>
    </row>
    <row r="5" customFormat="false" ht="15" hidden="false" customHeight="true" outlineLevel="0" collapsed="false">
      <c r="A5" s="7" t="s">
        <v>6444</v>
      </c>
      <c r="B5" s="7" t="s">
        <v>236</v>
      </c>
      <c r="C5" s="7" t="n">
        <v>1</v>
      </c>
      <c r="D5" s="7" t="n">
        <v>1</v>
      </c>
      <c r="E5" s="7" t="n">
        <v>0</v>
      </c>
      <c r="F5" s="7"/>
      <c r="G5" s="12" t="n">
        <f aca="false">IFERROR(INDEX('Semrush Data'!$A$1:$Z$20000,MATCH(A5,'Semrush Data'!$A$1:$A$20000,0),MATCH("Volume",'Semrush Data'!$A$1:$Z$1,0)),"")</f>
        <v>0</v>
      </c>
      <c r="H5" s="7" t="n">
        <f aca="false">IFERROR(INDEX('Semrush Data'!$A$1:$Z$20000,MATCH(A5,'Semrush Data'!$A$1:$A$20000,0),MATCH("Keyword Difficulty*",'Semrush Data'!$A$1:$Z$1,0)),"")</f>
        <v>22</v>
      </c>
      <c r="I5" s="13" t="n">
        <f aca="false">IFERROR(INDEX('Semrush Data'!$A$1:$Z$20000,MATCH(A5,'Semrush Data'!$A$1:$A$20000,0),MATCH("CPC*",'Semrush Data'!$A$1:$Z$1,0)),"")</f>
        <v>0</v>
      </c>
      <c r="J5" s="7" t="str">
        <f aca="false">IFERROR(INDEX('Semrush Data'!$A$1:$Z$20000,MATCH(A5,'Semrush Data'!$A$1:$A$20000,0),MATCH("Intent",'Semrush Data'!$A$1:$Z$1,0)),"")</f>
        <v>Navigational</v>
      </c>
    </row>
    <row r="6" customFormat="false" ht="15" hidden="false" customHeight="true" outlineLevel="0" collapsed="false">
      <c r="A6" s="7" t="s">
        <v>246</v>
      </c>
      <c r="B6" s="7" t="s">
        <v>236</v>
      </c>
      <c r="C6" s="7" t="n">
        <v>1</v>
      </c>
      <c r="D6" s="7" t="n">
        <v>1</v>
      </c>
      <c r="E6" s="7" t="n">
        <v>0</v>
      </c>
      <c r="F6" s="7"/>
      <c r="G6" s="12" t="n">
        <f aca="false">IFERROR(INDEX('Semrush Data'!$A$1:$Z$20000,MATCH(A6,'Semrush Data'!$A$1:$A$20000,0),MATCH("Volume",'Semrush Data'!$A$1:$Z$1,0)),"")</f>
        <v>20</v>
      </c>
      <c r="H6" s="7" t="n">
        <f aca="false">IFERROR(INDEX('Semrush Data'!$A$1:$Z$20000,MATCH(A6,'Semrush Data'!$A$1:$A$20000,0),MATCH("Keyword Difficulty*",'Semrush Data'!$A$1:$Z$1,0)),"")</f>
        <v>12</v>
      </c>
      <c r="I6" s="13" t="n">
        <f aca="false">IFERROR(INDEX('Semrush Data'!$A$1:$Z$20000,MATCH(A6,'Semrush Data'!$A$1:$A$20000,0),MATCH("CPC*",'Semrush Data'!$A$1:$Z$1,0)),"")</f>
        <v>0</v>
      </c>
      <c r="J6" s="7" t="str">
        <f aca="false">IFERROR(INDEX('Semrush Data'!$A$1:$Z$20000,MATCH(A6,'Semrush Data'!$A$1:$A$20000,0),MATCH("Intent",'Semrush Data'!$A$1:$Z$1,0)),"")</f>
        <v>Navigational</v>
      </c>
    </row>
    <row r="7" customFormat="false" ht="15" hidden="false" customHeight="true" outlineLevel="0" collapsed="false">
      <c r="A7" s="7" t="s">
        <v>6445</v>
      </c>
      <c r="B7" s="7" t="s">
        <v>236</v>
      </c>
      <c r="C7" s="7" t="n">
        <v>1</v>
      </c>
      <c r="D7" s="7" t="n">
        <v>1</v>
      </c>
      <c r="E7" s="7" t="n">
        <v>0</v>
      </c>
      <c r="F7" s="7"/>
      <c r="G7" s="12" t="n">
        <f aca="false">IFERROR(INDEX('Semrush Data'!$A$1:$Z$20000,MATCH(A7,'Semrush Data'!$A$1:$A$20000,0),MATCH("Volume",'Semrush Data'!$A$1:$Z$1,0)),"")</f>
        <v>0</v>
      </c>
      <c r="H7" s="7" t="n">
        <f aca="false">IFERROR(INDEX('Semrush Data'!$A$1:$Z$20000,MATCH(A7,'Semrush Data'!$A$1:$A$20000,0),MATCH("Keyword Difficulty*",'Semrush Data'!$A$1:$Z$1,0)),"")</f>
        <v>16</v>
      </c>
      <c r="I7" s="13" t="n">
        <f aca="false">IFERROR(INDEX('Semrush Data'!$A$1:$Z$20000,MATCH(A7,'Semrush Data'!$A$1:$A$20000,0),MATCH("CPC*",'Semrush Data'!$A$1:$Z$1,0)),"")</f>
        <v>0</v>
      </c>
      <c r="J7" s="7" t="str">
        <f aca="false">IFERROR(INDEX('Semrush Data'!$A$1:$Z$20000,MATCH(A7,'Semrush Data'!$A$1:$A$20000,0),MATCH("Intent",'Semrush Data'!$A$1:$Z$1,0)),"")</f>
        <v>Transactional Navigational</v>
      </c>
    </row>
    <row r="8" customFormat="false" ht="15" hidden="false" customHeight="true" outlineLevel="0" collapsed="false">
      <c r="A8" s="7" t="s">
        <v>6446</v>
      </c>
      <c r="B8" s="7" t="s">
        <v>236</v>
      </c>
      <c r="C8" s="7" t="n">
        <v>1</v>
      </c>
      <c r="D8" s="7" t="n">
        <v>1</v>
      </c>
      <c r="E8" s="7" t="n">
        <v>0</v>
      </c>
      <c r="F8" s="7"/>
      <c r="G8" s="12" t="n">
        <f aca="false">IFERROR(INDEX('Semrush Data'!$A$1:$Z$20000,MATCH(A8,'Semrush Data'!$A$1:$A$20000,0),MATCH("Volume",'Semrush Data'!$A$1:$Z$1,0)),"")</f>
        <v>0</v>
      </c>
      <c r="H8" s="7" t="n">
        <f aca="false">IFERROR(INDEX('Semrush Data'!$A$1:$Z$20000,MATCH(A8,'Semrush Data'!$A$1:$A$20000,0),MATCH("Keyword Difficulty*",'Semrush Data'!$A$1:$Z$1,0)),"")</f>
        <v>30</v>
      </c>
      <c r="I8" s="13" t="n">
        <f aca="false">IFERROR(INDEX('Semrush Data'!$A$1:$Z$20000,MATCH(A8,'Semrush Data'!$A$1:$A$20000,0),MATCH("CPC*",'Semrush Data'!$A$1:$Z$1,0)),"")</f>
        <v>0</v>
      </c>
      <c r="J8" s="7" t="str">
        <f aca="false">IFERROR(INDEX('Semrush Data'!$A$1:$Z$20000,MATCH(A8,'Semrush Data'!$A$1:$A$20000,0),MATCH("Intent",'Semrush Data'!$A$1:$Z$1,0)),"")</f>
        <v>Navigational</v>
      </c>
    </row>
    <row r="9" customFormat="false" ht="15" hidden="false" customHeight="true" outlineLevel="0" collapsed="false">
      <c r="A9" s="7" t="s">
        <v>235</v>
      </c>
      <c r="B9" s="7" t="s">
        <v>236</v>
      </c>
      <c r="C9" s="7" t="n">
        <v>1</v>
      </c>
      <c r="D9" s="7" t="n">
        <v>1</v>
      </c>
      <c r="E9" s="7" t="n">
        <v>0</v>
      </c>
      <c r="F9" s="7"/>
      <c r="G9" s="12" t="n">
        <f aca="false">IFERROR(INDEX('Semrush Data'!$A$1:$Z$20000,MATCH(A9,'Semrush Data'!$A$1:$A$20000,0),MATCH("Volume",'Semrush Data'!$A$1:$Z$1,0)),"")</f>
        <v>480</v>
      </c>
      <c r="H9" s="7" t="n">
        <f aca="false">IFERROR(INDEX('Semrush Data'!$A$1:$Z$20000,MATCH(A9,'Semrush Data'!$A$1:$A$20000,0),MATCH("Keyword Difficulty*",'Semrush Data'!$A$1:$Z$1,0)),"")</f>
        <v>12</v>
      </c>
      <c r="I9" s="13" t="n">
        <f aca="false">IFERROR(INDEX('Semrush Data'!$A$1:$Z$20000,MATCH(A9,'Semrush Data'!$A$1:$A$20000,0),MATCH("CPC*",'Semrush Data'!$A$1:$Z$1,0)),"")</f>
        <v>1.03</v>
      </c>
      <c r="J9" s="7" t="str">
        <f aca="false">IFERROR(INDEX('Semrush Data'!$A$1:$Z$20000,MATCH(A9,'Semrush Data'!$A$1:$A$20000,0),MATCH("Intent",'Semrush Data'!$A$1:$Z$1,0)),"")</f>
        <v>Commercial</v>
      </c>
    </row>
    <row r="10" customFormat="false" ht="15" hidden="false" customHeight="true" outlineLevel="0" collapsed="false">
      <c r="A10" s="7" t="s">
        <v>247</v>
      </c>
      <c r="B10" s="7" t="s">
        <v>236</v>
      </c>
      <c r="C10" s="7" t="n">
        <v>1</v>
      </c>
      <c r="D10" s="7" t="n">
        <v>1</v>
      </c>
      <c r="E10" s="7" t="n">
        <v>0</v>
      </c>
      <c r="F10" s="7"/>
      <c r="G10" s="12" t="n">
        <f aca="false">IFERROR(INDEX('Semrush Data'!$A$1:$Z$20000,MATCH(A10,'Semrush Data'!$A$1:$A$20000,0),MATCH("Volume",'Semrush Data'!$A$1:$Z$1,0)),"")</f>
        <v>20</v>
      </c>
      <c r="H10" s="7" t="n">
        <f aca="false">IFERROR(INDEX('Semrush Data'!$A$1:$Z$20000,MATCH(A10,'Semrush Data'!$A$1:$A$20000,0),MATCH("Keyword Difficulty*",'Semrush Data'!$A$1:$Z$1,0)),"")</f>
        <v>33</v>
      </c>
      <c r="I10" s="13" t="n">
        <f aca="false">IFERROR(INDEX('Semrush Data'!$A$1:$Z$20000,MATCH(A10,'Semrush Data'!$A$1:$A$20000,0),MATCH("CPC*",'Semrush Data'!$A$1:$Z$1,0)),"")</f>
        <v>0</v>
      </c>
      <c r="J10" s="7" t="str">
        <f aca="false">IFERROR(INDEX('Semrush Data'!$A$1:$Z$20000,MATCH(A10,'Semrush Data'!$A$1:$A$20000,0),MATCH("Intent",'Semrush Data'!$A$1:$Z$1,0)),"")</f>
        <v>Commercial</v>
      </c>
    </row>
    <row r="11" customFormat="false" ht="15" hidden="false" customHeight="true" outlineLevel="0" collapsed="false">
      <c r="A11" s="7" t="s">
        <v>248</v>
      </c>
      <c r="B11" s="7" t="s">
        <v>236</v>
      </c>
      <c r="C11" s="7" t="n">
        <v>1</v>
      </c>
      <c r="D11" s="7" t="n">
        <v>1</v>
      </c>
      <c r="E11" s="7" t="n">
        <v>0</v>
      </c>
      <c r="F11" s="7"/>
      <c r="G11" s="12" t="n">
        <f aca="false">IFERROR(INDEX('Semrush Data'!$A$1:$Z$20000,MATCH(A11,'Semrush Data'!$A$1:$A$20000,0),MATCH("Volume",'Semrush Data'!$A$1:$Z$1,0)),"")</f>
        <v>20</v>
      </c>
      <c r="H11" s="7" t="n">
        <f aca="false">IFERROR(INDEX('Semrush Data'!$A$1:$Z$20000,MATCH(A11,'Semrush Data'!$A$1:$A$20000,0),MATCH("Keyword Difficulty*",'Semrush Data'!$A$1:$Z$1,0)),"")</f>
        <v>26</v>
      </c>
      <c r="I11" s="13" t="n">
        <f aca="false">IFERROR(INDEX('Semrush Data'!$A$1:$Z$20000,MATCH(A11,'Semrush Data'!$A$1:$A$20000,0),MATCH("CPC*",'Semrush Data'!$A$1:$Z$1,0)),"")</f>
        <v>0.36</v>
      </c>
      <c r="J11" s="7" t="str">
        <f aca="false">IFERROR(INDEX('Semrush Data'!$A$1:$Z$20000,MATCH(A11,'Semrush Data'!$A$1:$A$20000,0),MATCH("Intent",'Semrush Data'!$A$1:$Z$1,0)),"")</f>
        <v>Commercial</v>
      </c>
    </row>
    <row r="12" customFormat="false" ht="15" hidden="false" customHeight="true" outlineLevel="0" collapsed="false">
      <c r="A12" s="7" t="s">
        <v>6447</v>
      </c>
      <c r="B12" s="7" t="s">
        <v>236</v>
      </c>
      <c r="C12" s="7" t="n">
        <v>1</v>
      </c>
      <c r="D12" s="7" t="n">
        <v>1</v>
      </c>
      <c r="E12" s="7" t="n">
        <v>0</v>
      </c>
      <c r="F12" s="7"/>
      <c r="G12" s="12" t="n">
        <f aca="false">IFERROR(INDEX('Semrush Data'!$A$1:$Z$20000,MATCH(A12,'Semrush Data'!$A$1:$A$20000,0),MATCH("Volume",'Semrush Data'!$A$1:$Z$1,0)),"")</f>
        <v>0</v>
      </c>
      <c r="H12" s="7" t="n">
        <f aca="false">IFERROR(INDEX('Semrush Data'!$A$1:$Z$20000,MATCH(A12,'Semrush Data'!$A$1:$A$20000,0),MATCH("Keyword Difficulty*",'Semrush Data'!$A$1:$Z$1,0)),"")</f>
        <v>21</v>
      </c>
      <c r="I12" s="13" t="n">
        <f aca="false">IFERROR(INDEX('Semrush Data'!$A$1:$Z$20000,MATCH(A12,'Semrush Data'!$A$1:$A$20000,0),MATCH("CPC*",'Semrush Data'!$A$1:$Z$1,0)),"")</f>
        <v>0</v>
      </c>
      <c r="J12" s="7" t="str">
        <f aca="false">IFERROR(INDEX('Semrush Data'!$A$1:$Z$20000,MATCH(A12,'Semrush Data'!$A$1:$A$20000,0),MATCH("Intent",'Semrush Data'!$A$1:$Z$1,0)),"")</f>
        <v>Informational</v>
      </c>
    </row>
    <row r="13" customFormat="false" ht="15" hidden="false" customHeight="true" outlineLevel="0" collapsed="false">
      <c r="A13" s="7" t="s">
        <v>6448</v>
      </c>
      <c r="B13" s="7" t="s">
        <v>236</v>
      </c>
      <c r="C13" s="7" t="n">
        <v>1</v>
      </c>
      <c r="D13" s="7" t="n">
        <v>1</v>
      </c>
      <c r="E13" s="7" t="n">
        <v>0</v>
      </c>
      <c r="F13" s="7"/>
      <c r="G13" s="12" t="n">
        <f aca="false">IFERROR(INDEX('Semrush Data'!$A$1:$Z$20000,MATCH(A13,'Semrush Data'!$A$1:$A$20000,0),MATCH("Volume",'Semrush Data'!$A$1:$Z$1,0)),"")</f>
        <v>0</v>
      </c>
      <c r="H13" s="7" t="n">
        <f aca="false">IFERROR(INDEX('Semrush Data'!$A$1:$Z$20000,MATCH(A13,'Semrush Data'!$A$1:$A$20000,0),MATCH("Keyword Difficulty*",'Semrush Data'!$A$1:$Z$1,0)),"")</f>
        <v>33</v>
      </c>
      <c r="I13" s="13" t="n">
        <f aca="false">IFERROR(INDEX('Semrush Data'!$A$1:$Z$20000,MATCH(A13,'Semrush Data'!$A$1:$A$20000,0),MATCH("CPC*",'Semrush Data'!$A$1:$Z$1,0)),"")</f>
        <v>0</v>
      </c>
      <c r="J13" s="7" t="str">
        <f aca="false">IFERROR(INDEX('Semrush Data'!$A$1:$Z$20000,MATCH(A13,'Semrush Data'!$A$1:$A$20000,0),MATCH("Intent",'Semrush Data'!$A$1:$Z$1,0)),"")</f>
        <v>Navigational</v>
      </c>
    </row>
    <row r="14" customFormat="false" ht="15" hidden="false" customHeight="true" outlineLevel="0" collapsed="false">
      <c r="A14" s="7" t="s">
        <v>244</v>
      </c>
      <c r="B14" s="7" t="s">
        <v>236</v>
      </c>
      <c r="C14" s="7" t="n">
        <v>1</v>
      </c>
      <c r="D14" s="7" t="n">
        <v>1</v>
      </c>
      <c r="E14" s="7" t="n">
        <v>0</v>
      </c>
      <c r="F14" s="7"/>
      <c r="G14" s="12" t="n">
        <f aca="false">IFERROR(INDEX('Semrush Data'!$A$1:$Z$20000,MATCH(A14,'Semrush Data'!$A$1:$A$20000,0),MATCH("Volume",'Semrush Data'!$A$1:$Z$1,0)),"")</f>
        <v>30</v>
      </c>
      <c r="H14" s="7" t="n">
        <f aca="false">IFERROR(INDEX('Semrush Data'!$A$1:$Z$20000,MATCH(A14,'Semrush Data'!$A$1:$A$20000,0),MATCH("Keyword Difficulty*",'Semrush Data'!$A$1:$Z$1,0)),"")</f>
        <v>9</v>
      </c>
      <c r="I14" s="13" t="n">
        <f aca="false">IFERROR(INDEX('Semrush Data'!$A$1:$Z$20000,MATCH(A14,'Semrush Data'!$A$1:$A$20000,0),MATCH("CPC*",'Semrush Data'!$A$1:$Z$1,0)),"")</f>
        <v>0.78</v>
      </c>
      <c r="J14" s="7" t="str">
        <f aca="false">IFERROR(INDEX('Semrush Data'!$A$1:$Z$20000,MATCH(A14,'Semrush Data'!$A$1:$A$20000,0),MATCH("Intent",'Semrush Data'!$A$1:$Z$1,0)),"")</f>
        <v>Navigational</v>
      </c>
    </row>
    <row r="15" customFormat="false" ht="15" hidden="false" customHeight="true" outlineLevel="0" collapsed="false">
      <c r="A15" s="7" t="s">
        <v>6449</v>
      </c>
      <c r="B15" s="7" t="s">
        <v>256</v>
      </c>
      <c r="C15" s="7" t="n">
        <v>1</v>
      </c>
      <c r="D15" s="7" t="n">
        <v>1</v>
      </c>
      <c r="E15" s="7" t="n">
        <v>2</v>
      </c>
      <c r="F15" s="7" t="s">
        <v>6450</v>
      </c>
      <c r="G15" s="12" t="n">
        <f aca="false">IFERROR(INDEX('Semrush Data'!$A$1:$Z$20000,MATCH(A15,'Semrush Data'!$A$1:$A$20000,0),MATCH("Volume",'Semrush Data'!$A$1:$Z$1,0)),"")</f>
        <v>590</v>
      </c>
      <c r="H15" s="7" t="n">
        <f aca="false">IFERROR(INDEX('Semrush Data'!$A$1:$Z$20000,MATCH(A15,'Semrush Data'!$A$1:$A$20000,0),MATCH("Keyword Difficulty*",'Semrush Data'!$A$1:$Z$1,0)),"")</f>
        <v>21</v>
      </c>
      <c r="I15" s="13" t="n">
        <f aca="false">IFERROR(INDEX('Semrush Data'!$A$1:$Z$20000,MATCH(A15,'Semrush Data'!$A$1:$A$20000,0),MATCH("CPC*",'Semrush Data'!$A$1:$Z$1,0)),"")</f>
        <v>0.3</v>
      </c>
      <c r="J15" s="7" t="str">
        <f aca="false">IFERROR(INDEX('Semrush Data'!$A$1:$Z$20000,MATCH(A15,'Semrush Data'!$A$1:$A$20000,0),MATCH("Intent",'Semrush Data'!$A$1:$Z$1,0)),"")</f>
        <v>Informational Transactional</v>
      </c>
    </row>
    <row r="16" customFormat="false" ht="15" hidden="false" customHeight="true" outlineLevel="0" collapsed="false">
      <c r="A16" s="7" t="s">
        <v>6451</v>
      </c>
      <c r="B16" s="7" t="s">
        <v>256</v>
      </c>
      <c r="C16" s="7" t="n">
        <v>1</v>
      </c>
      <c r="D16" s="7" t="n">
        <v>1</v>
      </c>
      <c r="E16" s="7" t="n">
        <v>2</v>
      </c>
      <c r="F16" s="7" t="s">
        <v>6450</v>
      </c>
      <c r="G16" s="12" t="n">
        <f aca="false">IFERROR(INDEX('Semrush Data'!$A$1:$Z$20000,MATCH(A16,'Semrush Data'!$A$1:$A$20000,0),MATCH("Volume",'Semrush Data'!$A$1:$Z$1,0)),"")</f>
        <v>0</v>
      </c>
      <c r="H16" s="7" t="n">
        <f aca="false">IFERROR(INDEX('Semrush Data'!$A$1:$Z$20000,MATCH(A16,'Semrush Data'!$A$1:$A$20000,0),MATCH("Keyword Difficulty*",'Semrush Data'!$A$1:$Z$1,0)),"")</f>
        <v>20</v>
      </c>
      <c r="I16" s="13" t="n">
        <f aca="false">IFERROR(INDEX('Semrush Data'!$A$1:$Z$20000,MATCH(A16,'Semrush Data'!$A$1:$A$20000,0),MATCH("CPC*",'Semrush Data'!$A$1:$Z$1,0)),"")</f>
        <v>0</v>
      </c>
      <c r="J16" s="7" t="str">
        <f aca="false">IFERROR(INDEX('Semrush Data'!$A$1:$Z$20000,MATCH(A16,'Semrush Data'!$A$1:$A$20000,0),MATCH("Intent",'Semrush Data'!$A$1:$Z$1,0)),"")</f>
        <v>Informational Transactional</v>
      </c>
    </row>
    <row r="17" customFormat="false" ht="15" hidden="false" customHeight="true" outlineLevel="0" collapsed="false">
      <c r="A17" s="7" t="s">
        <v>290</v>
      </c>
      <c r="B17" s="7" t="s">
        <v>256</v>
      </c>
      <c r="C17" s="7" t="n">
        <v>1</v>
      </c>
      <c r="D17" s="7" t="n">
        <v>1</v>
      </c>
      <c r="E17" s="7" t="n">
        <v>8</v>
      </c>
      <c r="F17" s="7" t="s">
        <v>6452</v>
      </c>
      <c r="G17" s="12" t="n">
        <f aca="false">IFERROR(INDEX('Semrush Data'!$A$1:$Z$20000,MATCH(A17,'Semrush Data'!$A$1:$A$20000,0),MATCH("Volume",'Semrush Data'!$A$1:$Z$1,0)),"")</f>
        <v>1000</v>
      </c>
      <c r="H17" s="7" t="n">
        <f aca="false">IFERROR(INDEX('Semrush Data'!$A$1:$Z$20000,MATCH(A17,'Semrush Data'!$A$1:$A$20000,0),MATCH("Keyword Difficulty*",'Semrush Data'!$A$1:$Z$1,0)),"")</f>
        <v>34</v>
      </c>
      <c r="I17" s="13" t="n">
        <f aca="false">IFERROR(INDEX('Semrush Data'!$A$1:$Z$20000,MATCH(A17,'Semrush Data'!$A$1:$A$20000,0),MATCH("CPC*",'Semrush Data'!$A$1:$Z$1,0)),"")</f>
        <v>0.34</v>
      </c>
      <c r="J17" s="7" t="str">
        <f aca="false">IFERROR(INDEX('Semrush Data'!$A$1:$Z$20000,MATCH(A17,'Semrush Data'!$A$1:$A$20000,0),MATCH("Intent",'Semrush Data'!$A$1:$Z$1,0)),"")</f>
        <v>Informational</v>
      </c>
    </row>
    <row r="18" customFormat="false" ht="15" hidden="false" customHeight="true" outlineLevel="0" collapsed="false">
      <c r="A18" s="7" t="s">
        <v>6453</v>
      </c>
      <c r="B18" s="7" t="s">
        <v>256</v>
      </c>
      <c r="C18" s="7" t="n">
        <v>1</v>
      </c>
      <c r="D18" s="7" t="n">
        <v>1</v>
      </c>
      <c r="E18" s="7" t="n">
        <v>1</v>
      </c>
      <c r="F18" s="7" t="s">
        <v>2444</v>
      </c>
      <c r="G18" s="12" t="n">
        <f aca="false">IFERROR(INDEX('Semrush Data'!$A$1:$Z$20000,MATCH(A18,'Semrush Data'!$A$1:$A$20000,0),MATCH("Volume",'Semrush Data'!$A$1:$Z$1,0)),"")</f>
        <v>20</v>
      </c>
      <c r="H18" s="7" t="n">
        <f aca="false">IFERROR(INDEX('Semrush Data'!$A$1:$Z$20000,MATCH(A18,'Semrush Data'!$A$1:$A$20000,0),MATCH("Keyword Difficulty*",'Semrush Data'!$A$1:$Z$1,0)),"")</f>
        <v>17</v>
      </c>
      <c r="I18" s="13" t="n">
        <f aca="false">IFERROR(INDEX('Semrush Data'!$A$1:$Z$20000,MATCH(A18,'Semrush Data'!$A$1:$A$20000,0),MATCH("CPC*",'Semrush Data'!$A$1:$Z$1,0)),"")</f>
        <v>0.31</v>
      </c>
      <c r="J18" s="7" t="str">
        <f aca="false">IFERROR(INDEX('Semrush Data'!$A$1:$Z$20000,MATCH(A18,'Semrush Data'!$A$1:$A$20000,0),MATCH("Intent",'Semrush Data'!$A$1:$Z$1,0)),"")</f>
        <v>Informational</v>
      </c>
    </row>
    <row r="19" customFormat="false" ht="15" hidden="false" customHeight="true" outlineLevel="0" collapsed="false">
      <c r="A19" s="7" t="s">
        <v>6454</v>
      </c>
      <c r="B19" s="7" t="s">
        <v>256</v>
      </c>
      <c r="C19" s="7" t="n">
        <v>1</v>
      </c>
      <c r="D19" s="7" t="n">
        <v>1</v>
      </c>
      <c r="E19" s="7" t="n">
        <v>1</v>
      </c>
      <c r="F19" s="7" t="s">
        <v>138</v>
      </c>
      <c r="G19" s="12" t="n">
        <f aca="false">IFERROR(INDEX('Semrush Data'!$A$1:$Z$20000,MATCH(A19,'Semrush Data'!$A$1:$A$20000,0),MATCH("Volume",'Semrush Data'!$A$1:$Z$1,0)),"")</f>
        <v>40</v>
      </c>
      <c r="H19" s="7" t="n">
        <f aca="false">IFERROR(INDEX('Semrush Data'!$A$1:$Z$20000,MATCH(A19,'Semrush Data'!$A$1:$A$20000,0),MATCH("Keyword Difficulty*",'Semrush Data'!$A$1:$Z$1,0)),"")</f>
        <v>17</v>
      </c>
      <c r="I19" s="13" t="n">
        <f aca="false">IFERROR(INDEX('Semrush Data'!$A$1:$Z$20000,MATCH(A19,'Semrush Data'!$A$1:$A$20000,0),MATCH("CPC*",'Semrush Data'!$A$1:$Z$1,0)),"")</f>
        <v>0.3</v>
      </c>
      <c r="J19" s="7" t="str">
        <f aca="false">IFERROR(INDEX('Semrush Data'!$A$1:$Z$20000,MATCH(A19,'Semrush Data'!$A$1:$A$20000,0),MATCH("Intent",'Semrush Data'!$A$1:$Z$1,0)),"")</f>
        <v>Informational Transactional</v>
      </c>
    </row>
    <row r="20" customFormat="false" ht="15" hidden="false" customHeight="true" outlineLevel="0" collapsed="false">
      <c r="A20" s="7" t="s">
        <v>6455</v>
      </c>
      <c r="B20" s="7" t="s">
        <v>256</v>
      </c>
      <c r="C20" s="7" t="n">
        <v>1</v>
      </c>
      <c r="D20" s="7" t="n">
        <v>1</v>
      </c>
      <c r="E20" s="7" t="n">
        <v>16</v>
      </c>
      <c r="F20" s="7" t="s">
        <v>6456</v>
      </c>
      <c r="G20" s="12" t="n">
        <f aca="false">IFERROR(INDEX('Semrush Data'!$A$1:$Z$20000,MATCH(A20,'Semrush Data'!$A$1:$A$20000,0),MATCH("Volume",'Semrush Data'!$A$1:$Z$1,0)),"")</f>
        <v>390</v>
      </c>
      <c r="H20" s="7" t="n">
        <f aca="false">IFERROR(INDEX('Semrush Data'!$A$1:$Z$20000,MATCH(A20,'Semrush Data'!$A$1:$A$20000,0),MATCH("Keyword Difficulty*",'Semrush Data'!$A$1:$Z$1,0)),"")</f>
        <v>36</v>
      </c>
      <c r="I20" s="13" t="n">
        <f aca="false">IFERROR(INDEX('Semrush Data'!$A$1:$Z$20000,MATCH(A20,'Semrush Data'!$A$1:$A$20000,0),MATCH("CPC*",'Semrush Data'!$A$1:$Z$1,0)),"")</f>
        <v>0.29</v>
      </c>
      <c r="J20" s="7" t="str">
        <f aca="false">IFERROR(INDEX('Semrush Data'!$A$1:$Z$20000,MATCH(A20,'Semrush Data'!$A$1:$A$20000,0),MATCH("Intent",'Semrush Data'!$A$1:$Z$1,0)),"")</f>
        <v>Informational</v>
      </c>
    </row>
    <row r="21" customFormat="false" ht="15" hidden="false" customHeight="true" outlineLevel="0" collapsed="false">
      <c r="A21" s="7" t="s">
        <v>6457</v>
      </c>
      <c r="B21" s="7" t="s">
        <v>256</v>
      </c>
      <c r="C21" s="7" t="n">
        <v>1</v>
      </c>
      <c r="D21" s="7" t="n">
        <v>1</v>
      </c>
      <c r="E21" s="7" t="n">
        <v>3</v>
      </c>
      <c r="F21" s="7" t="s">
        <v>6458</v>
      </c>
      <c r="G21" s="12" t="n">
        <f aca="false">IFERROR(INDEX('Semrush Data'!$A$1:$Z$20000,MATCH(A21,'Semrush Data'!$A$1:$A$20000,0),MATCH("Volume",'Semrush Data'!$A$1:$Z$1,0)),"")</f>
        <v>0</v>
      </c>
      <c r="H21" s="7" t="n">
        <f aca="false">IFERROR(INDEX('Semrush Data'!$A$1:$Z$20000,MATCH(A21,'Semrush Data'!$A$1:$A$20000,0),MATCH("Keyword Difficulty*",'Semrush Data'!$A$1:$Z$1,0)),"")</f>
        <v>2</v>
      </c>
      <c r="I21" s="13" t="n">
        <f aca="false">IFERROR(INDEX('Semrush Data'!$A$1:$Z$20000,MATCH(A21,'Semrush Data'!$A$1:$A$20000,0),MATCH("CPC*",'Semrush Data'!$A$1:$Z$1,0)),"")</f>
        <v>0</v>
      </c>
      <c r="J21" s="7" t="str">
        <f aca="false">IFERROR(INDEX('Semrush Data'!$A$1:$Z$20000,MATCH(A21,'Semrush Data'!$A$1:$A$20000,0),MATCH("Intent",'Semrush Data'!$A$1:$Z$1,0)),"")</f>
        <v>Informational Transactional</v>
      </c>
    </row>
    <row r="22" customFormat="false" ht="15" hidden="false" customHeight="true" outlineLevel="0" collapsed="false">
      <c r="A22" s="7" t="s">
        <v>6459</v>
      </c>
      <c r="B22" s="7" t="s">
        <v>256</v>
      </c>
      <c r="C22" s="7" t="n">
        <v>1</v>
      </c>
      <c r="D22" s="7" t="n">
        <v>1</v>
      </c>
      <c r="E22" s="7" t="n">
        <v>3</v>
      </c>
      <c r="F22" s="7" t="s">
        <v>6460</v>
      </c>
      <c r="G22" s="12" t="n">
        <f aca="false">IFERROR(INDEX('Semrush Data'!$A$1:$Z$20000,MATCH(A22,'Semrush Data'!$A$1:$A$20000,0),MATCH("Volume",'Semrush Data'!$A$1:$Z$1,0)),"")</f>
        <v>20</v>
      </c>
      <c r="H22" s="7" t="n">
        <f aca="false">IFERROR(INDEX('Semrush Data'!$A$1:$Z$20000,MATCH(A22,'Semrush Data'!$A$1:$A$20000,0),MATCH("Keyword Difficulty*",'Semrush Data'!$A$1:$Z$1,0)),"")</f>
        <v>4</v>
      </c>
      <c r="I22" s="13" t="n">
        <f aca="false">IFERROR(INDEX('Semrush Data'!$A$1:$Z$20000,MATCH(A22,'Semrush Data'!$A$1:$A$20000,0),MATCH("CPC*",'Semrush Data'!$A$1:$Z$1,0)),"")</f>
        <v>0</v>
      </c>
      <c r="J22" s="7" t="str">
        <f aca="false">IFERROR(INDEX('Semrush Data'!$A$1:$Z$20000,MATCH(A22,'Semrush Data'!$A$1:$A$20000,0),MATCH("Intent",'Semrush Data'!$A$1:$Z$1,0)),"")</f>
        <v>Informational Transactional</v>
      </c>
    </row>
    <row r="23" customFormat="false" ht="15" hidden="false" customHeight="true" outlineLevel="0" collapsed="false">
      <c r="A23" s="7" t="s">
        <v>6461</v>
      </c>
      <c r="B23" s="7" t="s">
        <v>256</v>
      </c>
      <c r="C23" s="7" t="n">
        <v>1</v>
      </c>
      <c r="D23" s="7" t="n">
        <v>1</v>
      </c>
      <c r="E23" s="7" t="n">
        <v>6</v>
      </c>
      <c r="F23" s="7" t="s">
        <v>6462</v>
      </c>
      <c r="G23" s="12" t="n">
        <f aca="false">IFERROR(INDEX('Semrush Data'!$A$1:$Z$20000,MATCH(A23,'Semrush Data'!$A$1:$A$20000,0),MATCH("Volume",'Semrush Data'!$A$1:$Z$1,0)),"")</f>
        <v>0</v>
      </c>
      <c r="H23" s="7" t="n">
        <f aca="false">IFERROR(INDEX('Semrush Data'!$A$1:$Z$20000,MATCH(A23,'Semrush Data'!$A$1:$A$20000,0),MATCH("Keyword Difficulty*",'Semrush Data'!$A$1:$Z$1,0)),"")</f>
        <v>15</v>
      </c>
      <c r="I23" s="13" t="n">
        <f aca="false">IFERROR(INDEX('Semrush Data'!$A$1:$Z$20000,MATCH(A23,'Semrush Data'!$A$1:$A$20000,0),MATCH("CPC*",'Semrush Data'!$A$1:$Z$1,0)),"")</f>
        <v>0</v>
      </c>
      <c r="J23" s="7" t="str">
        <f aca="false">IFERROR(INDEX('Semrush Data'!$A$1:$Z$20000,MATCH(A23,'Semrush Data'!$A$1:$A$20000,0),MATCH("Intent",'Semrush Data'!$A$1:$Z$1,0)),"")</f>
        <v>Informational</v>
      </c>
    </row>
    <row r="24" customFormat="false" ht="15" hidden="false" customHeight="true" outlineLevel="0" collapsed="false">
      <c r="A24" s="7" t="s">
        <v>4279</v>
      </c>
      <c r="B24" s="7" t="s">
        <v>256</v>
      </c>
      <c r="C24" s="7" t="n">
        <v>1</v>
      </c>
      <c r="D24" s="7" t="n">
        <v>1</v>
      </c>
      <c r="E24" s="7" t="n">
        <v>121</v>
      </c>
      <c r="F24" s="7" t="s">
        <v>6463</v>
      </c>
      <c r="G24" s="12" t="n">
        <f aca="false">IFERROR(INDEX('Semrush Data'!$A$1:$Z$20000,MATCH(A24,'Semrush Data'!$A$1:$A$20000,0),MATCH("Volume",'Semrush Data'!$A$1:$Z$1,0)),"")</f>
        <v>40</v>
      </c>
      <c r="H24" s="7" t="n">
        <f aca="false">IFERROR(INDEX('Semrush Data'!$A$1:$Z$20000,MATCH(A24,'Semrush Data'!$A$1:$A$20000,0),MATCH("Keyword Difficulty*",'Semrush Data'!$A$1:$Z$1,0)),"")</f>
        <v>9</v>
      </c>
      <c r="I24" s="13" t="n">
        <f aca="false">IFERROR(INDEX('Semrush Data'!$A$1:$Z$20000,MATCH(A24,'Semrush Data'!$A$1:$A$20000,0),MATCH("CPC*",'Semrush Data'!$A$1:$Z$1,0)),"")</f>
        <v>0</v>
      </c>
      <c r="J24" s="7" t="str">
        <f aca="false">IFERROR(INDEX('Semrush Data'!$A$1:$Z$20000,MATCH(A24,'Semrush Data'!$A$1:$A$20000,0),MATCH("Intent",'Semrush Data'!$A$1:$Z$1,0)),"")</f>
        <v>Informational</v>
      </c>
    </row>
    <row r="25" customFormat="false" ht="15" hidden="false" customHeight="true" outlineLevel="0" collapsed="false">
      <c r="A25" s="7" t="s">
        <v>6464</v>
      </c>
      <c r="B25" s="7" t="s">
        <v>256</v>
      </c>
      <c r="C25" s="7" t="n">
        <v>1</v>
      </c>
      <c r="D25" s="7" t="n">
        <v>1</v>
      </c>
      <c r="E25" s="7" t="n">
        <v>16</v>
      </c>
      <c r="F25" s="7" t="s">
        <v>6465</v>
      </c>
      <c r="G25" s="12" t="n">
        <f aca="false">IFERROR(INDEX('Semrush Data'!$A$1:$Z$20000,MATCH(A25,'Semrush Data'!$A$1:$A$20000,0),MATCH("Volume",'Semrush Data'!$A$1:$Z$1,0)),"")</f>
        <v>20</v>
      </c>
      <c r="H25" s="7" t="n">
        <f aca="false">IFERROR(INDEX('Semrush Data'!$A$1:$Z$20000,MATCH(A25,'Semrush Data'!$A$1:$A$20000,0),MATCH("Keyword Difficulty*",'Semrush Data'!$A$1:$Z$1,0)),"")</f>
        <v>4</v>
      </c>
      <c r="I25" s="13" t="n">
        <f aca="false">IFERROR(INDEX('Semrush Data'!$A$1:$Z$20000,MATCH(A25,'Semrush Data'!$A$1:$A$20000,0),MATCH("CPC*",'Semrush Data'!$A$1:$Z$1,0)),"")</f>
        <v>0</v>
      </c>
      <c r="J25" s="7" t="str">
        <f aca="false">IFERROR(INDEX('Semrush Data'!$A$1:$Z$20000,MATCH(A25,'Semrush Data'!$A$1:$A$20000,0),MATCH("Intent",'Semrush Data'!$A$1:$Z$1,0)),"")</f>
        <v>Transactional Navigational</v>
      </c>
    </row>
    <row r="26" customFormat="false" ht="15" hidden="false" customHeight="true" outlineLevel="0" collapsed="false">
      <c r="A26" s="7" t="s">
        <v>282</v>
      </c>
      <c r="B26" s="7" t="s">
        <v>256</v>
      </c>
      <c r="C26" s="7" t="n">
        <v>1</v>
      </c>
      <c r="D26" s="7" t="n">
        <v>1</v>
      </c>
      <c r="E26" s="7" t="n">
        <v>1</v>
      </c>
      <c r="F26" s="7" t="s">
        <v>136</v>
      </c>
      <c r="G26" s="12" t="n">
        <f aca="false">IFERROR(INDEX('Semrush Data'!$A$1:$Z$20000,MATCH(A26,'Semrush Data'!$A$1:$A$20000,0),MATCH("Volume",'Semrush Data'!$A$1:$Z$1,0)),"")</f>
        <v>2900</v>
      </c>
      <c r="H26" s="7" t="n">
        <f aca="false">IFERROR(INDEX('Semrush Data'!$A$1:$Z$20000,MATCH(A26,'Semrush Data'!$A$1:$A$20000,0),MATCH("Keyword Difficulty*",'Semrush Data'!$A$1:$Z$1,0)),"")</f>
        <v>23</v>
      </c>
      <c r="I26" s="13" t="n">
        <f aca="false">IFERROR(INDEX('Semrush Data'!$A$1:$Z$20000,MATCH(A26,'Semrush Data'!$A$1:$A$20000,0),MATCH("CPC*",'Semrush Data'!$A$1:$Z$1,0)),"")</f>
        <v>0.31</v>
      </c>
      <c r="J26" s="7" t="str">
        <f aca="false">IFERROR(INDEX('Semrush Data'!$A$1:$Z$20000,MATCH(A26,'Semrush Data'!$A$1:$A$20000,0),MATCH("Intent",'Semrush Data'!$A$1:$Z$1,0)),"")</f>
        <v>Informational</v>
      </c>
    </row>
    <row r="27" customFormat="false" ht="15" hidden="false" customHeight="true" outlineLevel="0" collapsed="false">
      <c r="A27" s="7" t="s">
        <v>6466</v>
      </c>
      <c r="B27" s="7" t="s">
        <v>256</v>
      </c>
      <c r="C27" s="7" t="n">
        <v>1</v>
      </c>
      <c r="D27" s="7" t="n">
        <v>1</v>
      </c>
      <c r="E27" s="7" t="n">
        <v>1</v>
      </c>
      <c r="F27" s="7" t="s">
        <v>136</v>
      </c>
      <c r="G27" s="12" t="n">
        <f aca="false">IFERROR(INDEX('Semrush Data'!$A$1:$Z$20000,MATCH(A27,'Semrush Data'!$A$1:$A$20000,0),MATCH("Volume",'Semrush Data'!$A$1:$Z$1,0)),"")</f>
        <v>20</v>
      </c>
      <c r="H27" s="7" t="n">
        <f aca="false">IFERROR(INDEX('Semrush Data'!$A$1:$Z$20000,MATCH(A27,'Semrush Data'!$A$1:$A$20000,0),MATCH("Keyword Difficulty*",'Semrush Data'!$A$1:$Z$1,0)),"")</f>
        <v>16</v>
      </c>
      <c r="I27" s="13" t="n">
        <f aca="false">IFERROR(INDEX('Semrush Data'!$A$1:$Z$20000,MATCH(A27,'Semrush Data'!$A$1:$A$20000,0),MATCH("CPC*",'Semrush Data'!$A$1:$Z$1,0)),"")</f>
        <v>0</v>
      </c>
      <c r="J27" s="7" t="str">
        <f aca="false">IFERROR(INDEX('Semrush Data'!$A$1:$Z$20000,MATCH(A27,'Semrush Data'!$A$1:$A$20000,0),MATCH("Intent",'Semrush Data'!$A$1:$Z$1,0)),"")</f>
        <v>Informational</v>
      </c>
    </row>
    <row r="28" customFormat="false" ht="15" hidden="false" customHeight="true" outlineLevel="0" collapsed="false">
      <c r="A28" s="7" t="s">
        <v>6467</v>
      </c>
      <c r="B28" s="7" t="s">
        <v>256</v>
      </c>
      <c r="C28" s="7" t="n">
        <v>1</v>
      </c>
      <c r="D28" s="7" t="n">
        <v>1</v>
      </c>
      <c r="E28" s="7" t="n">
        <v>6</v>
      </c>
      <c r="F28" s="7" t="s">
        <v>6468</v>
      </c>
      <c r="G28" s="12" t="n">
        <f aca="false">IFERROR(INDEX('Semrush Data'!$A$1:$Z$20000,MATCH(A28,'Semrush Data'!$A$1:$A$20000,0),MATCH("Volume",'Semrush Data'!$A$1:$Z$1,0)),"")</f>
        <v>590</v>
      </c>
      <c r="H28" s="7" t="n">
        <f aca="false">IFERROR(INDEX('Semrush Data'!$A$1:$Z$20000,MATCH(A28,'Semrush Data'!$A$1:$A$20000,0),MATCH("Keyword Difficulty*",'Semrush Data'!$A$1:$Z$1,0)),"")</f>
        <v>18</v>
      </c>
      <c r="I28" s="13" t="n">
        <f aca="false">IFERROR(INDEX('Semrush Data'!$A$1:$Z$20000,MATCH(A28,'Semrush Data'!$A$1:$A$20000,0),MATCH("CPC*",'Semrush Data'!$A$1:$Z$1,0)),"")</f>
        <v>0.25</v>
      </c>
      <c r="J28" s="7" t="str">
        <f aca="false">IFERROR(INDEX('Semrush Data'!$A$1:$Z$20000,MATCH(A28,'Semrush Data'!$A$1:$A$20000,0),MATCH("Intent",'Semrush Data'!$A$1:$Z$1,0)),"")</f>
        <v>Informational</v>
      </c>
    </row>
    <row r="29" customFormat="false" ht="15" hidden="false" customHeight="true" outlineLevel="0" collapsed="false">
      <c r="A29" s="7" t="s">
        <v>6469</v>
      </c>
      <c r="B29" s="7" t="s">
        <v>256</v>
      </c>
      <c r="C29" s="7" t="n">
        <v>1</v>
      </c>
      <c r="D29" s="7" t="n">
        <v>1</v>
      </c>
      <c r="E29" s="7" t="n">
        <v>2</v>
      </c>
      <c r="F29" s="7" t="s">
        <v>6470</v>
      </c>
      <c r="G29" s="12" t="n">
        <f aca="false">IFERROR(INDEX('Semrush Data'!$A$1:$Z$20000,MATCH(A29,'Semrush Data'!$A$1:$A$20000,0),MATCH("Volume",'Semrush Data'!$A$1:$Z$1,0)),"")</f>
        <v>20</v>
      </c>
      <c r="H29" s="7" t="n">
        <f aca="false">IFERROR(INDEX('Semrush Data'!$A$1:$Z$20000,MATCH(A29,'Semrush Data'!$A$1:$A$20000,0),MATCH("Keyword Difficulty*",'Semrush Data'!$A$1:$Z$1,0)),"")</f>
        <v>16</v>
      </c>
      <c r="I29" s="13" t="n">
        <f aca="false">IFERROR(INDEX('Semrush Data'!$A$1:$Z$20000,MATCH(A29,'Semrush Data'!$A$1:$A$20000,0),MATCH("CPC*",'Semrush Data'!$A$1:$Z$1,0)),"")</f>
        <v>0</v>
      </c>
      <c r="J29" s="7" t="str">
        <f aca="false">IFERROR(INDEX('Semrush Data'!$A$1:$Z$20000,MATCH(A29,'Semrush Data'!$A$1:$A$20000,0),MATCH("Intent",'Semrush Data'!$A$1:$Z$1,0)),"")</f>
        <v>Informational</v>
      </c>
    </row>
    <row r="30" customFormat="false" ht="15" hidden="false" customHeight="true" outlineLevel="0" collapsed="false">
      <c r="A30" s="7" t="s">
        <v>6471</v>
      </c>
      <c r="B30" s="7" t="s">
        <v>256</v>
      </c>
      <c r="C30" s="7" t="n">
        <v>1</v>
      </c>
      <c r="D30" s="7" t="n">
        <v>1</v>
      </c>
      <c r="E30" s="7" t="n">
        <v>2</v>
      </c>
      <c r="F30" s="7" t="s">
        <v>6472</v>
      </c>
      <c r="G30" s="12" t="n">
        <f aca="false">IFERROR(INDEX('Semrush Data'!$A$1:$Z$20000,MATCH(A30,'Semrush Data'!$A$1:$A$20000,0),MATCH("Volume",'Semrush Data'!$A$1:$Z$1,0)),"")</f>
        <v>0</v>
      </c>
      <c r="H30" s="7" t="n">
        <f aca="false">IFERROR(INDEX('Semrush Data'!$A$1:$Z$20000,MATCH(A30,'Semrush Data'!$A$1:$A$20000,0),MATCH("Keyword Difficulty*",'Semrush Data'!$A$1:$Z$1,0)),"")</f>
        <v>9</v>
      </c>
      <c r="I30" s="13" t="n">
        <f aca="false">IFERROR(INDEX('Semrush Data'!$A$1:$Z$20000,MATCH(A30,'Semrush Data'!$A$1:$A$20000,0),MATCH("CPC*",'Semrush Data'!$A$1:$Z$1,0)),"")</f>
        <v>0</v>
      </c>
      <c r="J30" s="7" t="str">
        <f aca="false">IFERROR(INDEX('Semrush Data'!$A$1:$Z$20000,MATCH(A30,'Semrush Data'!$A$1:$A$20000,0),MATCH("Intent",'Semrush Data'!$A$1:$Z$1,0)),"")</f>
        <v>Informational</v>
      </c>
    </row>
    <row r="31" customFormat="false" ht="15" hidden="false" customHeight="true" outlineLevel="0" collapsed="false">
      <c r="A31" s="7" t="s">
        <v>6473</v>
      </c>
      <c r="B31" s="7" t="s">
        <v>256</v>
      </c>
      <c r="C31" s="7" t="n">
        <v>1</v>
      </c>
      <c r="D31" s="7" t="n">
        <v>1</v>
      </c>
      <c r="E31" s="7" t="n">
        <v>1</v>
      </c>
      <c r="F31" s="7" t="s">
        <v>6274</v>
      </c>
      <c r="G31" s="12" t="n">
        <f aca="false">IFERROR(INDEX('Semrush Data'!$A$1:$Z$20000,MATCH(A31,'Semrush Data'!$A$1:$A$20000,0),MATCH("Volume",'Semrush Data'!$A$1:$Z$1,0)),"")</f>
        <v>0</v>
      </c>
      <c r="H31" s="7" t="n">
        <f aca="false">IFERROR(INDEX('Semrush Data'!$A$1:$Z$20000,MATCH(A31,'Semrush Data'!$A$1:$A$20000,0),MATCH("Keyword Difficulty*",'Semrush Data'!$A$1:$Z$1,0)),"")</f>
        <v>22</v>
      </c>
      <c r="I31" s="13" t="n">
        <f aca="false">IFERROR(INDEX('Semrush Data'!$A$1:$Z$20000,MATCH(A31,'Semrush Data'!$A$1:$A$20000,0),MATCH("CPC*",'Semrush Data'!$A$1:$Z$1,0)),"")</f>
        <v>0</v>
      </c>
      <c r="J31" s="7" t="str">
        <f aca="false">IFERROR(INDEX('Semrush Data'!$A$1:$Z$20000,MATCH(A31,'Semrush Data'!$A$1:$A$20000,0),MATCH("Intent",'Semrush Data'!$A$1:$Z$1,0)),"")</f>
        <v>Commercial</v>
      </c>
    </row>
    <row r="32" customFormat="false" ht="15" hidden="false" customHeight="true" outlineLevel="0" collapsed="false">
      <c r="A32" s="7" t="s">
        <v>255</v>
      </c>
      <c r="B32" s="7" t="s">
        <v>256</v>
      </c>
      <c r="C32" s="7" t="n">
        <v>1</v>
      </c>
      <c r="D32" s="7" t="n">
        <v>1</v>
      </c>
      <c r="E32" s="7" t="n">
        <v>1</v>
      </c>
      <c r="F32" s="7" t="s">
        <v>2844</v>
      </c>
      <c r="G32" s="12" t="n">
        <f aca="false">IFERROR(INDEX('Semrush Data'!$A$1:$Z$20000,MATCH(A32,'Semrush Data'!$A$1:$A$20000,0),MATCH("Volume",'Semrush Data'!$A$1:$Z$1,0)),"")</f>
        <v>40500</v>
      </c>
      <c r="H32" s="7" t="n">
        <f aca="false">IFERROR(INDEX('Semrush Data'!$A$1:$Z$20000,MATCH(A32,'Semrush Data'!$A$1:$A$20000,0),MATCH("Keyword Difficulty*",'Semrush Data'!$A$1:$Z$1,0)),"")</f>
        <v>17</v>
      </c>
      <c r="I32" s="13" t="n">
        <f aca="false">IFERROR(INDEX('Semrush Data'!$A$1:$Z$20000,MATCH(A32,'Semrush Data'!$A$1:$A$20000,0),MATCH("CPC*",'Semrush Data'!$A$1:$Z$1,0)),"")</f>
        <v>0.34</v>
      </c>
      <c r="J32" s="7" t="str">
        <f aca="false">IFERROR(INDEX('Semrush Data'!$A$1:$Z$20000,MATCH(A32,'Semrush Data'!$A$1:$A$20000,0),MATCH("Intent",'Semrush Data'!$A$1:$Z$1,0)),"")</f>
        <v>Informational Transactional</v>
      </c>
    </row>
    <row r="33" customFormat="false" ht="15" hidden="false" customHeight="true" outlineLevel="0" collapsed="false">
      <c r="A33" s="7" t="s">
        <v>6474</v>
      </c>
      <c r="B33" s="7" t="s">
        <v>256</v>
      </c>
      <c r="C33" s="7" t="n">
        <v>1</v>
      </c>
      <c r="D33" s="7" t="n">
        <v>1</v>
      </c>
      <c r="E33" s="7" t="n">
        <v>1</v>
      </c>
      <c r="F33" s="7" t="s">
        <v>2844</v>
      </c>
      <c r="G33" s="12" t="n">
        <f aca="false">IFERROR(INDEX('Semrush Data'!$A$1:$Z$20000,MATCH(A33,'Semrush Data'!$A$1:$A$20000,0),MATCH("Volume",'Semrush Data'!$A$1:$Z$1,0)),"")</f>
        <v>10</v>
      </c>
      <c r="H33" s="7" t="n">
        <f aca="false">IFERROR(INDEX('Semrush Data'!$A$1:$Z$20000,MATCH(A33,'Semrush Data'!$A$1:$A$20000,0),MATCH("Keyword Difficulty*",'Semrush Data'!$A$1:$Z$1,0)),"")</f>
        <v>24</v>
      </c>
      <c r="I33" s="13" t="n">
        <f aca="false">IFERROR(INDEX('Semrush Data'!$A$1:$Z$20000,MATCH(A33,'Semrush Data'!$A$1:$A$20000,0),MATCH("CPC*",'Semrush Data'!$A$1:$Z$1,0)),"")</f>
        <v>0.27</v>
      </c>
      <c r="J33" s="7" t="str">
        <f aca="false">IFERROR(INDEX('Semrush Data'!$A$1:$Z$20000,MATCH(A33,'Semrush Data'!$A$1:$A$20000,0),MATCH("Intent",'Semrush Data'!$A$1:$Z$1,0)),"")</f>
        <v>Informational</v>
      </c>
    </row>
    <row r="34" customFormat="false" ht="15" hidden="false" customHeight="true" outlineLevel="0" collapsed="false">
      <c r="A34" s="7" t="s">
        <v>285</v>
      </c>
      <c r="B34" s="7" t="s">
        <v>256</v>
      </c>
      <c r="C34" s="7" t="n">
        <v>1</v>
      </c>
      <c r="D34" s="7" t="n">
        <v>1</v>
      </c>
      <c r="E34" s="7" t="n">
        <v>1</v>
      </c>
      <c r="F34" s="7" t="s">
        <v>2857</v>
      </c>
      <c r="G34" s="12" t="n">
        <f aca="false">IFERROR(INDEX('Semrush Data'!$A$1:$Z$20000,MATCH(A34,'Semrush Data'!$A$1:$A$20000,0),MATCH("Volume",'Semrush Data'!$A$1:$Z$1,0)),"")</f>
        <v>1600</v>
      </c>
      <c r="H34" s="7" t="n">
        <f aca="false">IFERROR(INDEX('Semrush Data'!$A$1:$Z$20000,MATCH(A34,'Semrush Data'!$A$1:$A$20000,0),MATCH("Keyword Difficulty*",'Semrush Data'!$A$1:$Z$1,0)),"")</f>
        <v>25</v>
      </c>
      <c r="I34" s="13" t="n">
        <f aca="false">IFERROR(INDEX('Semrush Data'!$A$1:$Z$20000,MATCH(A34,'Semrush Data'!$A$1:$A$20000,0),MATCH("CPC*",'Semrush Data'!$A$1:$Z$1,0)),"")</f>
        <v>0.31</v>
      </c>
      <c r="J34" s="7" t="str">
        <f aca="false">IFERROR(INDEX('Semrush Data'!$A$1:$Z$20000,MATCH(A34,'Semrush Data'!$A$1:$A$20000,0),MATCH("Intent",'Semrush Data'!$A$1:$Z$1,0)),"")</f>
        <v>Informational Transactional</v>
      </c>
    </row>
    <row r="35" customFormat="false" ht="15" hidden="false" customHeight="true" outlineLevel="0" collapsed="false">
      <c r="A35" s="7" t="s">
        <v>6475</v>
      </c>
      <c r="B35" s="7" t="s">
        <v>256</v>
      </c>
      <c r="C35" s="7" t="n">
        <v>1</v>
      </c>
      <c r="D35" s="7" t="n">
        <v>1</v>
      </c>
      <c r="E35" s="7" t="n">
        <v>1</v>
      </c>
      <c r="F35" s="7" t="s">
        <v>2857</v>
      </c>
      <c r="G35" s="12" t="n">
        <f aca="false">IFERROR(INDEX('Semrush Data'!$A$1:$Z$20000,MATCH(A35,'Semrush Data'!$A$1:$A$20000,0),MATCH("Volume",'Semrush Data'!$A$1:$Z$1,0)),"")</f>
        <v>70</v>
      </c>
      <c r="H35" s="7" t="n">
        <f aca="false">IFERROR(INDEX('Semrush Data'!$A$1:$Z$20000,MATCH(A35,'Semrush Data'!$A$1:$A$20000,0),MATCH("Keyword Difficulty*",'Semrush Data'!$A$1:$Z$1,0)),"")</f>
        <v>13</v>
      </c>
      <c r="I35" s="13" t="n">
        <f aca="false">IFERROR(INDEX('Semrush Data'!$A$1:$Z$20000,MATCH(A35,'Semrush Data'!$A$1:$A$20000,0),MATCH("CPC*",'Semrush Data'!$A$1:$Z$1,0)),"")</f>
        <v>0.2</v>
      </c>
      <c r="J35" s="7" t="str">
        <f aca="false">IFERROR(INDEX('Semrush Data'!$A$1:$Z$20000,MATCH(A35,'Semrush Data'!$A$1:$A$20000,0),MATCH("Intent",'Semrush Data'!$A$1:$Z$1,0)),"")</f>
        <v>Informational Transactional</v>
      </c>
    </row>
    <row r="36" customFormat="false" ht="15" hidden="false" customHeight="true" outlineLevel="0" collapsed="false">
      <c r="A36" s="7" t="s">
        <v>6476</v>
      </c>
      <c r="B36" s="7" t="s">
        <v>256</v>
      </c>
      <c r="C36" s="7" t="n">
        <v>1</v>
      </c>
      <c r="D36" s="7" t="n">
        <v>1</v>
      </c>
      <c r="E36" s="7" t="n">
        <v>5</v>
      </c>
      <c r="F36" s="7" t="s">
        <v>6477</v>
      </c>
      <c r="G36" s="12" t="n">
        <f aca="false">IFERROR(INDEX('Semrush Data'!$A$1:$Z$20000,MATCH(A36,'Semrush Data'!$A$1:$A$20000,0),MATCH("Volume",'Semrush Data'!$A$1:$Z$1,0)),"")</f>
        <v>0</v>
      </c>
      <c r="H36" s="7" t="n">
        <f aca="false">IFERROR(INDEX('Semrush Data'!$A$1:$Z$20000,MATCH(A36,'Semrush Data'!$A$1:$A$20000,0),MATCH("Keyword Difficulty*",'Semrush Data'!$A$1:$Z$1,0)),"")</f>
        <v>14</v>
      </c>
      <c r="I36" s="13" t="n">
        <f aca="false">IFERROR(INDEX('Semrush Data'!$A$1:$Z$20000,MATCH(A36,'Semrush Data'!$A$1:$A$20000,0),MATCH("CPC*",'Semrush Data'!$A$1:$Z$1,0)),"")</f>
        <v>0</v>
      </c>
      <c r="J36" s="7" t="str">
        <f aca="false">IFERROR(INDEX('Semrush Data'!$A$1:$Z$20000,MATCH(A36,'Semrush Data'!$A$1:$A$20000,0),MATCH("Intent",'Semrush Data'!$A$1:$Z$1,0)),"")</f>
        <v>Informational</v>
      </c>
    </row>
    <row r="37" customFormat="false" ht="15" hidden="false" customHeight="true" outlineLevel="0" collapsed="false">
      <c r="A37" s="7" t="s">
        <v>6478</v>
      </c>
      <c r="B37" s="7" t="s">
        <v>256</v>
      </c>
      <c r="C37" s="7" t="n">
        <v>1</v>
      </c>
      <c r="D37" s="7" t="n">
        <v>1</v>
      </c>
      <c r="E37" s="7" t="n">
        <v>11</v>
      </c>
      <c r="F37" s="7" t="s">
        <v>6479</v>
      </c>
      <c r="G37" s="12" t="n">
        <f aca="false">IFERROR(INDEX('Semrush Data'!$A$1:$Z$20000,MATCH(A37,'Semrush Data'!$A$1:$A$20000,0),MATCH("Volume",'Semrush Data'!$A$1:$Z$1,0)),"")</f>
        <v>390</v>
      </c>
      <c r="H37" s="7" t="n">
        <f aca="false">IFERROR(INDEX('Semrush Data'!$A$1:$Z$20000,MATCH(A37,'Semrush Data'!$A$1:$A$20000,0),MATCH("Keyword Difficulty*",'Semrush Data'!$A$1:$Z$1,0)),"")</f>
        <v>18</v>
      </c>
      <c r="I37" s="13" t="n">
        <f aca="false">IFERROR(INDEX('Semrush Data'!$A$1:$Z$20000,MATCH(A37,'Semrush Data'!$A$1:$A$20000,0),MATCH("CPC*",'Semrush Data'!$A$1:$Z$1,0)),"")</f>
        <v>0.53</v>
      </c>
      <c r="J37" s="7" t="str">
        <f aca="false">IFERROR(INDEX('Semrush Data'!$A$1:$Z$20000,MATCH(A37,'Semrush Data'!$A$1:$A$20000,0),MATCH("Intent",'Semrush Data'!$A$1:$Z$1,0)),"")</f>
        <v>Informational</v>
      </c>
    </row>
    <row r="38" customFormat="false" ht="15" hidden="false" customHeight="true" outlineLevel="0" collapsed="false">
      <c r="A38" s="7" t="s">
        <v>6480</v>
      </c>
      <c r="B38" s="7" t="s">
        <v>256</v>
      </c>
      <c r="C38" s="7" t="n">
        <v>1</v>
      </c>
      <c r="D38" s="7" t="n">
        <v>1</v>
      </c>
      <c r="E38" s="7" t="n">
        <v>11</v>
      </c>
      <c r="F38" s="7" t="s">
        <v>6479</v>
      </c>
      <c r="G38" s="12" t="n">
        <f aca="false">IFERROR(INDEX('Semrush Data'!$A$1:$Z$20000,MATCH(A38,'Semrush Data'!$A$1:$A$20000,0),MATCH("Volume",'Semrush Data'!$A$1:$Z$1,0)),"")</f>
        <v>170</v>
      </c>
      <c r="H38" s="7" t="n">
        <f aca="false">IFERROR(INDEX('Semrush Data'!$A$1:$Z$20000,MATCH(A38,'Semrush Data'!$A$1:$A$20000,0),MATCH("Keyword Difficulty*",'Semrush Data'!$A$1:$Z$1,0)),"")</f>
        <v>25</v>
      </c>
      <c r="I38" s="13" t="n">
        <f aca="false">IFERROR(INDEX('Semrush Data'!$A$1:$Z$20000,MATCH(A38,'Semrush Data'!$A$1:$A$20000,0),MATCH("CPC*",'Semrush Data'!$A$1:$Z$1,0)),"")</f>
        <v>0.3</v>
      </c>
      <c r="J38" s="7" t="str">
        <f aca="false">IFERROR(INDEX('Semrush Data'!$A$1:$Z$20000,MATCH(A38,'Semrush Data'!$A$1:$A$20000,0),MATCH("Intent",'Semrush Data'!$A$1:$Z$1,0)),"")</f>
        <v>Informational</v>
      </c>
    </row>
    <row r="39" customFormat="false" ht="15" hidden="false" customHeight="true" outlineLevel="0" collapsed="false">
      <c r="A39" s="7" t="s">
        <v>265</v>
      </c>
      <c r="B39" s="7" t="s">
        <v>256</v>
      </c>
      <c r="C39" s="7" t="n">
        <v>1</v>
      </c>
      <c r="D39" s="7" t="n">
        <v>1</v>
      </c>
      <c r="E39" s="7" t="n">
        <v>5</v>
      </c>
      <c r="F39" s="7" t="s">
        <v>6481</v>
      </c>
      <c r="G39" s="12" t="n">
        <f aca="false">IFERROR(INDEX('Semrush Data'!$A$1:$Z$20000,MATCH(A39,'Semrush Data'!$A$1:$A$20000,0),MATCH("Volume",'Semrush Data'!$A$1:$Z$1,0)),"")</f>
        <v>14800</v>
      </c>
      <c r="H39" s="7" t="n">
        <f aca="false">IFERROR(INDEX('Semrush Data'!$A$1:$Z$20000,MATCH(A39,'Semrush Data'!$A$1:$A$20000,0),MATCH("Keyword Difficulty*",'Semrush Data'!$A$1:$Z$1,0)),"")</f>
        <v>50</v>
      </c>
      <c r="I39" s="13" t="n">
        <f aca="false">IFERROR(INDEX('Semrush Data'!$A$1:$Z$20000,MATCH(A39,'Semrush Data'!$A$1:$A$20000,0),MATCH("CPC*",'Semrush Data'!$A$1:$Z$1,0)),"")</f>
        <v>0.32</v>
      </c>
      <c r="J39" s="7" t="str">
        <f aca="false">IFERROR(INDEX('Semrush Data'!$A$1:$Z$20000,MATCH(A39,'Semrush Data'!$A$1:$A$20000,0),MATCH("Intent",'Semrush Data'!$A$1:$Z$1,0)),"")</f>
        <v>Informational Transactional</v>
      </c>
    </row>
    <row r="40" customFormat="false" ht="15" hidden="false" customHeight="true" outlineLevel="0" collapsed="false">
      <c r="A40" s="7" t="s">
        <v>294</v>
      </c>
      <c r="B40" s="7" t="s">
        <v>256</v>
      </c>
      <c r="C40" s="7" t="n">
        <v>1</v>
      </c>
      <c r="D40" s="7" t="n">
        <v>1</v>
      </c>
      <c r="E40" s="7" t="n">
        <v>5</v>
      </c>
      <c r="F40" s="7" t="s">
        <v>6481</v>
      </c>
      <c r="G40" s="12" t="n">
        <f aca="false">IFERROR(INDEX('Semrush Data'!$A$1:$Z$20000,MATCH(A40,'Semrush Data'!$A$1:$A$20000,0),MATCH("Volume",'Semrush Data'!$A$1:$Z$1,0)),"")</f>
        <v>880</v>
      </c>
      <c r="H40" s="7" t="n">
        <f aca="false">IFERROR(INDEX('Semrush Data'!$A$1:$Z$20000,MATCH(A40,'Semrush Data'!$A$1:$A$20000,0),MATCH("Keyword Difficulty*",'Semrush Data'!$A$1:$Z$1,0)),"")</f>
        <v>31</v>
      </c>
      <c r="I40" s="13" t="n">
        <f aca="false">IFERROR(INDEX('Semrush Data'!$A$1:$Z$20000,MATCH(A40,'Semrush Data'!$A$1:$A$20000,0),MATCH("CPC*",'Semrush Data'!$A$1:$Z$1,0)),"")</f>
        <v>0.36</v>
      </c>
      <c r="J40" s="7" t="str">
        <f aca="false">IFERROR(INDEX('Semrush Data'!$A$1:$Z$20000,MATCH(A40,'Semrush Data'!$A$1:$A$20000,0),MATCH("Intent",'Semrush Data'!$A$1:$Z$1,0)),"")</f>
        <v>Informational Transactional</v>
      </c>
    </row>
    <row r="41" customFormat="false" ht="15" hidden="false" customHeight="true" outlineLevel="0" collapsed="false">
      <c r="A41" s="7" t="s">
        <v>271</v>
      </c>
      <c r="B41" s="7" t="s">
        <v>256</v>
      </c>
      <c r="C41" s="7" t="n">
        <v>1</v>
      </c>
      <c r="D41" s="7" t="n">
        <v>1</v>
      </c>
      <c r="E41" s="7" t="n">
        <v>8</v>
      </c>
      <c r="F41" s="7" t="s">
        <v>6482</v>
      </c>
      <c r="G41" s="12" t="n">
        <f aca="false">IFERROR(INDEX('Semrush Data'!$A$1:$Z$20000,MATCH(A41,'Semrush Data'!$A$1:$A$20000,0),MATCH("Volume",'Semrush Data'!$A$1:$Z$1,0)),"")</f>
        <v>8100</v>
      </c>
      <c r="H41" s="7" t="n">
        <f aca="false">IFERROR(INDEX('Semrush Data'!$A$1:$Z$20000,MATCH(A41,'Semrush Data'!$A$1:$A$20000,0),MATCH("Keyword Difficulty*",'Semrush Data'!$A$1:$Z$1,0)),"")</f>
        <v>34</v>
      </c>
      <c r="I41" s="13" t="n">
        <f aca="false">IFERROR(INDEX('Semrush Data'!$A$1:$Z$20000,MATCH(A41,'Semrush Data'!$A$1:$A$20000,0),MATCH("CPC*",'Semrush Data'!$A$1:$Z$1,0)),"")</f>
        <v>0.3</v>
      </c>
      <c r="J41" s="7" t="str">
        <f aca="false">IFERROR(INDEX('Semrush Data'!$A$1:$Z$20000,MATCH(A41,'Semrush Data'!$A$1:$A$20000,0),MATCH("Intent",'Semrush Data'!$A$1:$Z$1,0)),"")</f>
        <v>Informational</v>
      </c>
    </row>
    <row r="42" customFormat="false" ht="15" hidden="false" customHeight="true" outlineLevel="0" collapsed="false">
      <c r="A42" s="7" t="s">
        <v>6483</v>
      </c>
      <c r="B42" s="7" t="s">
        <v>256</v>
      </c>
      <c r="C42" s="7" t="n">
        <v>1</v>
      </c>
      <c r="D42" s="7" t="n">
        <v>1</v>
      </c>
      <c r="E42" s="7" t="n">
        <v>5</v>
      </c>
      <c r="F42" s="7" t="s">
        <v>6484</v>
      </c>
      <c r="G42" s="12" t="n">
        <f aca="false">IFERROR(INDEX('Semrush Data'!$A$1:$Z$20000,MATCH(A42,'Semrush Data'!$A$1:$A$20000,0),MATCH("Volume",'Semrush Data'!$A$1:$Z$1,0)),"")</f>
        <v>90</v>
      </c>
      <c r="H42" s="7" t="n">
        <f aca="false">IFERROR(INDEX('Semrush Data'!$A$1:$Z$20000,MATCH(A42,'Semrush Data'!$A$1:$A$20000,0),MATCH("Keyword Difficulty*",'Semrush Data'!$A$1:$Z$1,0)),"")</f>
        <v>24</v>
      </c>
      <c r="I42" s="13" t="n">
        <f aca="false">IFERROR(INDEX('Semrush Data'!$A$1:$Z$20000,MATCH(A42,'Semrush Data'!$A$1:$A$20000,0),MATCH("CPC*",'Semrush Data'!$A$1:$Z$1,0)),"")</f>
        <v>0.35</v>
      </c>
      <c r="J42" s="7" t="str">
        <f aca="false">IFERROR(INDEX('Semrush Data'!$A$1:$Z$20000,MATCH(A42,'Semrush Data'!$A$1:$A$20000,0),MATCH("Intent",'Semrush Data'!$A$1:$Z$1,0)),"")</f>
        <v>Informational</v>
      </c>
    </row>
    <row r="43" customFormat="false" ht="15" hidden="false" customHeight="true" outlineLevel="0" collapsed="false">
      <c r="A43" s="7" t="s">
        <v>6485</v>
      </c>
      <c r="B43" s="7" t="s">
        <v>256</v>
      </c>
      <c r="C43" s="7" t="n">
        <v>1</v>
      </c>
      <c r="D43" s="7" t="n">
        <v>1</v>
      </c>
      <c r="E43" s="7" t="n">
        <v>3</v>
      </c>
      <c r="F43" s="7" t="s">
        <v>6486</v>
      </c>
      <c r="G43" s="12" t="n">
        <f aca="false">IFERROR(INDEX('Semrush Data'!$A$1:$Z$20000,MATCH(A43,'Semrush Data'!$A$1:$A$20000,0),MATCH("Volume",'Semrush Data'!$A$1:$Z$1,0)),"")</f>
        <v>70</v>
      </c>
      <c r="H43" s="7" t="n">
        <f aca="false">IFERROR(INDEX('Semrush Data'!$A$1:$Z$20000,MATCH(A43,'Semrush Data'!$A$1:$A$20000,0),MATCH("Keyword Difficulty*",'Semrush Data'!$A$1:$Z$1,0)),"")</f>
        <v>28</v>
      </c>
      <c r="I43" s="13" t="n">
        <f aca="false">IFERROR(INDEX('Semrush Data'!$A$1:$Z$20000,MATCH(A43,'Semrush Data'!$A$1:$A$20000,0),MATCH("CPC*",'Semrush Data'!$A$1:$Z$1,0)),"")</f>
        <v>0.25</v>
      </c>
      <c r="J43" s="7" t="str">
        <f aca="false">IFERROR(INDEX('Semrush Data'!$A$1:$Z$20000,MATCH(A43,'Semrush Data'!$A$1:$A$20000,0),MATCH("Intent",'Semrush Data'!$A$1:$Z$1,0)),"")</f>
        <v>Informational</v>
      </c>
    </row>
    <row r="44" customFormat="false" ht="15" hidden="false" customHeight="true" outlineLevel="0" collapsed="false">
      <c r="A44" s="7" t="s">
        <v>269</v>
      </c>
      <c r="B44" s="7" t="s">
        <v>256</v>
      </c>
      <c r="C44" s="7" t="n">
        <v>1</v>
      </c>
      <c r="D44" s="7" t="n">
        <v>1</v>
      </c>
      <c r="E44" s="7" t="n">
        <v>11</v>
      </c>
      <c r="F44" s="7" t="s">
        <v>6487</v>
      </c>
      <c r="G44" s="12" t="n">
        <f aca="false">IFERROR(INDEX('Semrush Data'!$A$1:$Z$20000,MATCH(A44,'Semrush Data'!$A$1:$A$20000,0),MATCH("Volume",'Semrush Data'!$A$1:$Z$1,0)),"")</f>
        <v>9900</v>
      </c>
      <c r="H44" s="7" t="n">
        <f aca="false">IFERROR(INDEX('Semrush Data'!$A$1:$Z$20000,MATCH(A44,'Semrush Data'!$A$1:$A$20000,0),MATCH("Keyword Difficulty*",'Semrush Data'!$A$1:$Z$1,0)),"")</f>
        <v>34</v>
      </c>
      <c r="I44" s="13" t="n">
        <f aca="false">IFERROR(INDEX('Semrush Data'!$A$1:$Z$20000,MATCH(A44,'Semrush Data'!$A$1:$A$20000,0),MATCH("CPC*",'Semrush Data'!$A$1:$Z$1,0)),"")</f>
        <v>0.27</v>
      </c>
      <c r="J44" s="7" t="str">
        <f aca="false">IFERROR(INDEX('Semrush Data'!$A$1:$Z$20000,MATCH(A44,'Semrush Data'!$A$1:$A$20000,0),MATCH("Intent",'Semrush Data'!$A$1:$Z$1,0)),"")</f>
        <v>Informational Transactional</v>
      </c>
    </row>
    <row r="45" customFormat="false" ht="15" hidden="false" customHeight="true" outlineLevel="0" collapsed="false">
      <c r="A45" s="7" t="s">
        <v>6488</v>
      </c>
      <c r="B45" s="7" t="s">
        <v>256</v>
      </c>
      <c r="C45" s="7" t="n">
        <v>1</v>
      </c>
      <c r="D45" s="7" t="n">
        <v>1</v>
      </c>
      <c r="E45" s="7" t="n">
        <v>7</v>
      </c>
      <c r="F45" s="7" t="s">
        <v>6489</v>
      </c>
      <c r="G45" s="12" t="n">
        <f aca="false">IFERROR(INDEX('Semrush Data'!$A$1:$Z$20000,MATCH(A45,'Semrush Data'!$A$1:$A$20000,0),MATCH("Volume",'Semrush Data'!$A$1:$Z$1,0)),"")</f>
        <v>590</v>
      </c>
      <c r="H45" s="7" t="n">
        <f aca="false">IFERROR(INDEX('Semrush Data'!$A$1:$Z$20000,MATCH(A45,'Semrush Data'!$A$1:$A$20000,0),MATCH("Keyword Difficulty*",'Semrush Data'!$A$1:$Z$1,0)),"")</f>
        <v>14</v>
      </c>
      <c r="I45" s="13" t="n">
        <f aca="false">IFERROR(INDEX('Semrush Data'!$A$1:$Z$20000,MATCH(A45,'Semrush Data'!$A$1:$A$20000,0),MATCH("CPC*",'Semrush Data'!$A$1:$Z$1,0)),"")</f>
        <v>0.23</v>
      </c>
      <c r="J45" s="7" t="str">
        <f aca="false">IFERROR(INDEX('Semrush Data'!$A$1:$Z$20000,MATCH(A45,'Semrush Data'!$A$1:$A$20000,0),MATCH("Intent",'Semrush Data'!$A$1:$Z$1,0)),"")</f>
        <v>Informational</v>
      </c>
    </row>
    <row r="46" customFormat="false" ht="15" hidden="false" customHeight="true" outlineLevel="0" collapsed="false">
      <c r="A46" s="7" t="s">
        <v>6490</v>
      </c>
      <c r="B46" s="7" t="s">
        <v>256</v>
      </c>
      <c r="C46" s="7" t="n">
        <v>1</v>
      </c>
      <c r="D46" s="7" t="n">
        <v>1</v>
      </c>
      <c r="E46" s="7" t="n">
        <v>4</v>
      </c>
      <c r="F46" s="7" t="s">
        <v>6491</v>
      </c>
      <c r="G46" s="12" t="n">
        <f aca="false">IFERROR(INDEX('Semrush Data'!$A$1:$Z$20000,MATCH(A46,'Semrush Data'!$A$1:$A$20000,0),MATCH("Volume",'Semrush Data'!$A$1:$Z$1,0)),"")</f>
        <v>480</v>
      </c>
      <c r="H46" s="7" t="n">
        <f aca="false">IFERROR(INDEX('Semrush Data'!$A$1:$Z$20000,MATCH(A46,'Semrush Data'!$A$1:$A$20000,0),MATCH("Keyword Difficulty*",'Semrush Data'!$A$1:$Z$1,0)),"")</f>
        <v>21</v>
      </c>
      <c r="I46" s="13" t="n">
        <f aca="false">IFERROR(INDEX('Semrush Data'!$A$1:$Z$20000,MATCH(A46,'Semrush Data'!$A$1:$A$20000,0),MATCH("CPC*",'Semrush Data'!$A$1:$Z$1,0)),"")</f>
        <v>0.32</v>
      </c>
      <c r="J46" s="7" t="str">
        <f aca="false">IFERROR(INDEX('Semrush Data'!$A$1:$Z$20000,MATCH(A46,'Semrush Data'!$A$1:$A$20000,0),MATCH("Intent",'Semrush Data'!$A$1:$Z$1,0)),"")</f>
        <v>Informational</v>
      </c>
    </row>
    <row r="47" customFormat="false" ht="15" hidden="false" customHeight="true" outlineLevel="0" collapsed="false">
      <c r="A47" s="7" t="s">
        <v>270</v>
      </c>
      <c r="B47" s="7" t="s">
        <v>256</v>
      </c>
      <c r="C47" s="7" t="n">
        <v>1</v>
      </c>
      <c r="D47" s="7" t="n">
        <v>1</v>
      </c>
      <c r="E47" s="7" t="n">
        <v>8</v>
      </c>
      <c r="F47" s="7" t="s">
        <v>6492</v>
      </c>
      <c r="G47" s="12" t="n">
        <f aca="false">IFERROR(INDEX('Semrush Data'!$A$1:$Z$20000,MATCH(A47,'Semrush Data'!$A$1:$A$20000,0),MATCH("Volume",'Semrush Data'!$A$1:$Z$1,0)),"")</f>
        <v>9900</v>
      </c>
      <c r="H47" s="7" t="n">
        <f aca="false">IFERROR(INDEX('Semrush Data'!$A$1:$Z$20000,MATCH(A47,'Semrush Data'!$A$1:$A$20000,0),MATCH("Keyword Difficulty*",'Semrush Data'!$A$1:$Z$1,0)),"")</f>
        <v>23</v>
      </c>
      <c r="I47" s="13" t="n">
        <f aca="false">IFERROR(INDEX('Semrush Data'!$A$1:$Z$20000,MATCH(A47,'Semrush Data'!$A$1:$A$20000,0),MATCH("CPC*",'Semrush Data'!$A$1:$Z$1,0)),"")</f>
        <v>0.39</v>
      </c>
      <c r="J47" s="7" t="str">
        <f aca="false">IFERROR(INDEX('Semrush Data'!$A$1:$Z$20000,MATCH(A47,'Semrush Data'!$A$1:$A$20000,0),MATCH("Intent",'Semrush Data'!$A$1:$Z$1,0)),"")</f>
        <v>Informational</v>
      </c>
    </row>
    <row r="48" customFormat="false" ht="15" hidden="false" customHeight="true" outlineLevel="0" collapsed="false">
      <c r="A48" s="7" t="s">
        <v>6493</v>
      </c>
      <c r="B48" s="7" t="s">
        <v>256</v>
      </c>
      <c r="C48" s="7" t="n">
        <v>1</v>
      </c>
      <c r="D48" s="7" t="n">
        <v>1</v>
      </c>
      <c r="E48" s="7" t="n">
        <v>6</v>
      </c>
      <c r="F48" s="7" t="s">
        <v>6494</v>
      </c>
      <c r="G48" s="12" t="n">
        <f aca="false">IFERROR(INDEX('Semrush Data'!$A$1:$Z$20000,MATCH(A48,'Semrush Data'!$A$1:$A$20000,0),MATCH("Volume",'Semrush Data'!$A$1:$Z$1,0)),"")</f>
        <v>260</v>
      </c>
      <c r="H48" s="7" t="n">
        <f aca="false">IFERROR(INDEX('Semrush Data'!$A$1:$Z$20000,MATCH(A48,'Semrush Data'!$A$1:$A$20000,0),MATCH("Keyword Difficulty*",'Semrush Data'!$A$1:$Z$1,0)),"")</f>
        <v>15</v>
      </c>
      <c r="I48" s="13" t="n">
        <f aca="false">IFERROR(INDEX('Semrush Data'!$A$1:$Z$20000,MATCH(A48,'Semrush Data'!$A$1:$A$20000,0),MATCH("CPC*",'Semrush Data'!$A$1:$Z$1,0)),"")</f>
        <v>0.41</v>
      </c>
      <c r="J48" s="7" t="str">
        <f aca="false">IFERROR(INDEX('Semrush Data'!$A$1:$Z$20000,MATCH(A48,'Semrush Data'!$A$1:$A$20000,0),MATCH("Intent",'Semrush Data'!$A$1:$Z$1,0)),"")</f>
        <v>Informational Transactional</v>
      </c>
    </row>
    <row r="49" customFormat="false" ht="15" hidden="false" customHeight="true" outlineLevel="0" collapsed="false">
      <c r="A49" s="7" t="s">
        <v>6495</v>
      </c>
      <c r="B49" s="7" t="s">
        <v>256</v>
      </c>
      <c r="C49" s="7" t="n">
        <v>1</v>
      </c>
      <c r="D49" s="7" t="n">
        <v>1</v>
      </c>
      <c r="E49" s="7" t="n">
        <v>2</v>
      </c>
      <c r="F49" s="7" t="s">
        <v>6496</v>
      </c>
      <c r="G49" s="12" t="n">
        <f aca="false">IFERROR(INDEX('Semrush Data'!$A$1:$Z$20000,MATCH(A49,'Semrush Data'!$A$1:$A$20000,0),MATCH("Volume",'Semrush Data'!$A$1:$Z$1,0)),"")</f>
        <v>390</v>
      </c>
      <c r="H49" s="7" t="n">
        <f aca="false">IFERROR(INDEX('Semrush Data'!$A$1:$Z$20000,MATCH(A49,'Semrush Data'!$A$1:$A$20000,0),MATCH("Keyword Difficulty*",'Semrush Data'!$A$1:$Z$1,0)),"")</f>
        <v>25</v>
      </c>
      <c r="I49" s="13" t="n">
        <f aca="false">IFERROR(INDEX('Semrush Data'!$A$1:$Z$20000,MATCH(A49,'Semrush Data'!$A$1:$A$20000,0),MATCH("CPC*",'Semrush Data'!$A$1:$Z$1,0)),"")</f>
        <v>0.43</v>
      </c>
      <c r="J49" s="7" t="str">
        <f aca="false">IFERROR(INDEX('Semrush Data'!$A$1:$Z$20000,MATCH(A49,'Semrush Data'!$A$1:$A$20000,0),MATCH("Intent",'Semrush Data'!$A$1:$Z$1,0)),"")</f>
        <v>Informational Transactional</v>
      </c>
    </row>
    <row r="50" customFormat="false" ht="15" hidden="false" customHeight="true" outlineLevel="0" collapsed="false">
      <c r="A50" s="7" t="s">
        <v>262</v>
      </c>
      <c r="B50" s="7" t="s">
        <v>256</v>
      </c>
      <c r="C50" s="7" t="n">
        <v>1</v>
      </c>
      <c r="D50" s="7" t="n">
        <v>1</v>
      </c>
      <c r="E50" s="7" t="n">
        <v>7</v>
      </c>
      <c r="F50" s="7" t="s">
        <v>6497</v>
      </c>
      <c r="G50" s="12" t="n">
        <f aca="false">IFERROR(INDEX('Semrush Data'!$A$1:$Z$20000,MATCH(A50,'Semrush Data'!$A$1:$A$20000,0),MATCH("Volume",'Semrush Data'!$A$1:$Z$1,0)),"")</f>
        <v>22200</v>
      </c>
      <c r="H50" s="7" t="n">
        <f aca="false">IFERROR(INDEX('Semrush Data'!$A$1:$Z$20000,MATCH(A50,'Semrush Data'!$A$1:$A$20000,0),MATCH("Keyword Difficulty*",'Semrush Data'!$A$1:$Z$1,0)),"")</f>
        <v>16</v>
      </c>
      <c r="I50" s="13" t="n">
        <f aca="false">IFERROR(INDEX('Semrush Data'!$A$1:$Z$20000,MATCH(A50,'Semrush Data'!$A$1:$A$20000,0),MATCH("CPC*",'Semrush Data'!$A$1:$Z$1,0)),"")</f>
        <v>0.29</v>
      </c>
      <c r="J50" s="7" t="str">
        <f aca="false">IFERROR(INDEX('Semrush Data'!$A$1:$Z$20000,MATCH(A50,'Semrush Data'!$A$1:$A$20000,0),MATCH("Intent",'Semrush Data'!$A$1:$Z$1,0)),"")</f>
        <v>Informational Transactional</v>
      </c>
    </row>
    <row r="51" customFormat="false" ht="15" hidden="false" customHeight="true" outlineLevel="0" collapsed="false">
      <c r="A51" s="7" t="s">
        <v>6498</v>
      </c>
      <c r="B51" s="7" t="s">
        <v>256</v>
      </c>
      <c r="C51" s="7" t="n">
        <v>1</v>
      </c>
      <c r="D51" s="7" t="n">
        <v>1</v>
      </c>
      <c r="E51" s="7" t="n">
        <v>7</v>
      </c>
      <c r="F51" s="7" t="s">
        <v>6497</v>
      </c>
      <c r="G51" s="12" t="n">
        <f aca="false">IFERROR(INDEX('Semrush Data'!$A$1:$Z$20000,MATCH(A51,'Semrush Data'!$A$1:$A$20000,0),MATCH("Volume",'Semrush Data'!$A$1:$Z$1,0)),"")</f>
        <v>320</v>
      </c>
      <c r="H51" s="7" t="n">
        <f aca="false">IFERROR(INDEX('Semrush Data'!$A$1:$Z$20000,MATCH(A51,'Semrush Data'!$A$1:$A$20000,0),MATCH("Keyword Difficulty*",'Semrush Data'!$A$1:$Z$1,0)),"")</f>
        <v>16</v>
      </c>
      <c r="I51" s="13" t="n">
        <f aca="false">IFERROR(INDEX('Semrush Data'!$A$1:$Z$20000,MATCH(A51,'Semrush Data'!$A$1:$A$20000,0),MATCH("CPC*",'Semrush Data'!$A$1:$Z$1,0)),"")</f>
        <v>0.37</v>
      </c>
      <c r="J51" s="7" t="str">
        <f aca="false">IFERROR(INDEX('Semrush Data'!$A$1:$Z$20000,MATCH(A51,'Semrush Data'!$A$1:$A$20000,0),MATCH("Intent",'Semrush Data'!$A$1:$Z$1,0)),"")</f>
        <v>Commercial</v>
      </c>
    </row>
    <row r="52" customFormat="false" ht="15" hidden="false" customHeight="true" outlineLevel="0" collapsed="false">
      <c r="A52" s="7" t="s">
        <v>6499</v>
      </c>
      <c r="B52" s="7" t="s">
        <v>256</v>
      </c>
      <c r="C52" s="7" t="n">
        <v>1</v>
      </c>
      <c r="D52" s="7" t="n">
        <v>1</v>
      </c>
      <c r="E52" s="7" t="n">
        <v>5</v>
      </c>
      <c r="F52" s="7" t="s">
        <v>6500</v>
      </c>
      <c r="G52" s="12" t="n">
        <f aca="false">IFERROR(INDEX('Semrush Data'!$A$1:$Z$20000,MATCH(A52,'Semrush Data'!$A$1:$A$20000,0),MATCH("Volume",'Semrush Data'!$A$1:$Z$1,0)),"")</f>
        <v>720</v>
      </c>
      <c r="H52" s="7" t="n">
        <f aca="false">IFERROR(INDEX('Semrush Data'!$A$1:$Z$20000,MATCH(A52,'Semrush Data'!$A$1:$A$20000,0),MATCH("Keyword Difficulty*",'Semrush Data'!$A$1:$Z$1,0)),"")</f>
        <v>20</v>
      </c>
      <c r="I52" s="13" t="n">
        <f aca="false">IFERROR(INDEX('Semrush Data'!$A$1:$Z$20000,MATCH(A52,'Semrush Data'!$A$1:$A$20000,0),MATCH("CPC*",'Semrush Data'!$A$1:$Z$1,0)),"")</f>
        <v>0.39</v>
      </c>
      <c r="J52" s="7" t="str">
        <f aca="false">IFERROR(INDEX('Semrush Data'!$A$1:$Z$20000,MATCH(A52,'Semrush Data'!$A$1:$A$20000,0),MATCH("Intent",'Semrush Data'!$A$1:$Z$1,0)),"")</f>
        <v>Informational Transactional</v>
      </c>
    </row>
    <row r="53" customFormat="false" ht="15" hidden="false" customHeight="true" outlineLevel="0" collapsed="false">
      <c r="A53" s="7" t="s">
        <v>6501</v>
      </c>
      <c r="B53" s="7" t="s">
        <v>256</v>
      </c>
      <c r="C53" s="7" t="n">
        <v>1</v>
      </c>
      <c r="D53" s="7" t="n">
        <v>1</v>
      </c>
      <c r="E53" s="7" t="n">
        <v>1</v>
      </c>
      <c r="F53" s="7" t="s">
        <v>108</v>
      </c>
      <c r="G53" s="12" t="n">
        <f aca="false">IFERROR(INDEX('Semrush Data'!$A$1:$Z$20000,MATCH(A53,'Semrush Data'!$A$1:$A$20000,0),MATCH("Volume",'Semrush Data'!$A$1:$Z$1,0)),"")</f>
        <v>0</v>
      </c>
      <c r="H53" s="7" t="n">
        <f aca="false">IFERROR(INDEX('Semrush Data'!$A$1:$Z$20000,MATCH(A53,'Semrush Data'!$A$1:$A$20000,0),MATCH("Keyword Difficulty*",'Semrush Data'!$A$1:$Z$1,0)),"")</f>
        <v>16</v>
      </c>
      <c r="I53" s="13" t="n">
        <f aca="false">IFERROR(INDEX('Semrush Data'!$A$1:$Z$20000,MATCH(A53,'Semrush Data'!$A$1:$A$20000,0),MATCH("CPC*",'Semrush Data'!$A$1:$Z$1,0)),"")</f>
        <v>0</v>
      </c>
      <c r="J53" s="7" t="str">
        <f aca="false">IFERROR(INDEX('Semrush Data'!$A$1:$Z$20000,MATCH(A53,'Semrush Data'!$A$1:$A$20000,0),MATCH("Intent",'Semrush Data'!$A$1:$Z$1,0)),"")</f>
        <v>Informational Transactional</v>
      </c>
    </row>
    <row r="54" customFormat="false" ht="15" hidden="false" customHeight="true" outlineLevel="0" collapsed="false">
      <c r="A54" s="7" t="s">
        <v>6502</v>
      </c>
      <c r="B54" s="7" t="s">
        <v>256</v>
      </c>
      <c r="C54" s="7" t="n">
        <v>1</v>
      </c>
      <c r="D54" s="7" t="n">
        <v>1</v>
      </c>
      <c r="E54" s="7" t="n">
        <v>1</v>
      </c>
      <c r="F54" s="7" t="s">
        <v>3380</v>
      </c>
      <c r="G54" s="12" t="n">
        <f aca="false">IFERROR(INDEX('Semrush Data'!$A$1:$Z$20000,MATCH(A54,'Semrush Data'!$A$1:$A$20000,0),MATCH("Volume",'Semrush Data'!$A$1:$Z$1,0)),"")</f>
        <v>0</v>
      </c>
      <c r="H54" s="7" t="n">
        <f aca="false">IFERROR(INDEX('Semrush Data'!$A$1:$Z$20000,MATCH(A54,'Semrush Data'!$A$1:$A$20000,0),MATCH("Keyword Difficulty*",'Semrush Data'!$A$1:$Z$1,0)),"")</f>
        <v>9</v>
      </c>
      <c r="I54" s="13" t="n">
        <f aca="false">IFERROR(INDEX('Semrush Data'!$A$1:$Z$20000,MATCH(A54,'Semrush Data'!$A$1:$A$20000,0),MATCH("CPC*",'Semrush Data'!$A$1:$Z$1,0)),"")</f>
        <v>0.46</v>
      </c>
      <c r="J54" s="7" t="str">
        <f aca="false">IFERROR(INDEX('Semrush Data'!$A$1:$Z$20000,MATCH(A54,'Semrush Data'!$A$1:$A$20000,0),MATCH("Intent",'Semrush Data'!$A$1:$Z$1,0)),"")</f>
        <v>Informational Transactional</v>
      </c>
    </row>
    <row r="55" customFormat="false" ht="15" hidden="false" customHeight="true" outlineLevel="0" collapsed="false">
      <c r="A55" s="7" t="s">
        <v>6503</v>
      </c>
      <c r="B55" s="7" t="s">
        <v>256</v>
      </c>
      <c r="C55" s="7" t="n">
        <v>1</v>
      </c>
      <c r="D55" s="7" t="n">
        <v>1</v>
      </c>
      <c r="E55" s="7" t="n">
        <v>2</v>
      </c>
      <c r="F55" s="7" t="s">
        <v>6504</v>
      </c>
      <c r="G55" s="12" t="n">
        <f aca="false">IFERROR(INDEX('Semrush Data'!$A$1:$Z$20000,MATCH(A55,'Semrush Data'!$A$1:$A$20000,0),MATCH("Volume",'Semrush Data'!$A$1:$Z$1,0)),"")</f>
        <v>50</v>
      </c>
      <c r="H55" s="7" t="n">
        <f aca="false">IFERROR(INDEX('Semrush Data'!$A$1:$Z$20000,MATCH(A55,'Semrush Data'!$A$1:$A$20000,0),MATCH("Keyword Difficulty*",'Semrush Data'!$A$1:$Z$1,0)),"")</f>
        <v>24</v>
      </c>
      <c r="I55" s="13" t="n">
        <f aca="false">IFERROR(INDEX('Semrush Data'!$A$1:$Z$20000,MATCH(A55,'Semrush Data'!$A$1:$A$20000,0),MATCH("CPC*",'Semrush Data'!$A$1:$Z$1,0)),"")</f>
        <v>0.21</v>
      </c>
      <c r="J55" s="7" t="str">
        <f aca="false">IFERROR(INDEX('Semrush Data'!$A$1:$Z$20000,MATCH(A55,'Semrush Data'!$A$1:$A$20000,0),MATCH("Intent",'Semrush Data'!$A$1:$Z$1,0)),"")</f>
        <v>Informational</v>
      </c>
    </row>
    <row r="56" customFormat="false" ht="15" hidden="false" customHeight="true" outlineLevel="0" collapsed="false">
      <c r="A56" s="7" t="s">
        <v>6505</v>
      </c>
      <c r="B56" s="7" t="s">
        <v>256</v>
      </c>
      <c r="C56" s="7" t="n">
        <v>1</v>
      </c>
      <c r="D56" s="7" t="n">
        <v>1</v>
      </c>
      <c r="E56" s="7" t="n">
        <v>2</v>
      </c>
      <c r="F56" s="7" t="s">
        <v>6504</v>
      </c>
      <c r="G56" s="12" t="n">
        <f aca="false">IFERROR(INDEX('Semrush Data'!$A$1:$Z$20000,MATCH(A56,'Semrush Data'!$A$1:$A$20000,0),MATCH("Volume",'Semrush Data'!$A$1:$Z$1,0)),"")</f>
        <v>20</v>
      </c>
      <c r="H56" s="7" t="n">
        <f aca="false">IFERROR(INDEX('Semrush Data'!$A$1:$Z$20000,MATCH(A56,'Semrush Data'!$A$1:$A$20000,0),MATCH("Keyword Difficulty*",'Semrush Data'!$A$1:$Z$1,0)),"")</f>
        <v>21</v>
      </c>
      <c r="I56" s="13" t="n">
        <f aca="false">IFERROR(INDEX('Semrush Data'!$A$1:$Z$20000,MATCH(A56,'Semrush Data'!$A$1:$A$20000,0),MATCH("CPC*",'Semrush Data'!$A$1:$Z$1,0)),"")</f>
        <v>0</v>
      </c>
      <c r="J56" s="7" t="str">
        <f aca="false">IFERROR(INDEX('Semrush Data'!$A$1:$Z$20000,MATCH(A56,'Semrush Data'!$A$1:$A$20000,0),MATCH("Intent",'Semrush Data'!$A$1:$Z$1,0)),"")</f>
        <v>Informational</v>
      </c>
    </row>
    <row r="57" customFormat="false" ht="15" hidden="false" customHeight="true" outlineLevel="0" collapsed="false">
      <c r="A57" s="7" t="s">
        <v>6506</v>
      </c>
      <c r="B57" s="7" t="s">
        <v>256</v>
      </c>
      <c r="C57" s="7" t="n">
        <v>1</v>
      </c>
      <c r="D57" s="7" t="n">
        <v>1</v>
      </c>
      <c r="E57" s="7" t="n">
        <v>1</v>
      </c>
      <c r="F57" s="7" t="s">
        <v>5069</v>
      </c>
      <c r="G57" s="12" t="n">
        <f aca="false">IFERROR(INDEX('Semrush Data'!$A$1:$Z$20000,MATCH(A57,'Semrush Data'!$A$1:$A$20000,0),MATCH("Volume",'Semrush Data'!$A$1:$Z$1,0)),"")</f>
        <v>0</v>
      </c>
      <c r="H57" s="7" t="n">
        <f aca="false">IFERROR(INDEX('Semrush Data'!$A$1:$Z$20000,MATCH(A57,'Semrush Data'!$A$1:$A$20000,0),MATCH("Keyword Difficulty*",'Semrush Data'!$A$1:$Z$1,0)),"")</f>
        <v>16</v>
      </c>
      <c r="I57" s="13" t="n">
        <f aca="false">IFERROR(INDEX('Semrush Data'!$A$1:$Z$20000,MATCH(A57,'Semrush Data'!$A$1:$A$20000,0),MATCH("CPC*",'Semrush Data'!$A$1:$Z$1,0)),"")</f>
        <v>0</v>
      </c>
      <c r="J57" s="7" t="str">
        <f aca="false">IFERROR(INDEX('Semrush Data'!$A$1:$Z$20000,MATCH(A57,'Semrush Data'!$A$1:$A$20000,0),MATCH("Intent",'Semrush Data'!$A$1:$Z$1,0)),"")</f>
        <v>Informational</v>
      </c>
    </row>
    <row r="58" customFormat="false" ht="15" hidden="false" customHeight="true" outlineLevel="0" collapsed="false">
      <c r="A58" s="7" t="s">
        <v>6507</v>
      </c>
      <c r="B58" s="7" t="s">
        <v>256</v>
      </c>
      <c r="C58" s="7" t="n">
        <v>1</v>
      </c>
      <c r="D58" s="7" t="n">
        <v>1</v>
      </c>
      <c r="E58" s="7" t="n">
        <v>1</v>
      </c>
      <c r="F58" s="7" t="s">
        <v>3691</v>
      </c>
      <c r="G58" s="12" t="n">
        <f aca="false">IFERROR(INDEX('Semrush Data'!$A$1:$Z$20000,MATCH(A58,'Semrush Data'!$A$1:$A$20000,0),MATCH("Volume",'Semrush Data'!$A$1:$Z$1,0)),"")</f>
        <v>0</v>
      </c>
      <c r="H58" s="7" t="n">
        <f aca="false">IFERROR(INDEX('Semrush Data'!$A$1:$Z$20000,MATCH(A58,'Semrush Data'!$A$1:$A$20000,0),MATCH("Keyword Difficulty*",'Semrush Data'!$A$1:$Z$1,0)),"")</f>
        <v>15</v>
      </c>
      <c r="I58" s="13" t="n">
        <f aca="false">IFERROR(INDEX('Semrush Data'!$A$1:$Z$20000,MATCH(A58,'Semrush Data'!$A$1:$A$20000,0),MATCH("CPC*",'Semrush Data'!$A$1:$Z$1,0)),"")</f>
        <v>0</v>
      </c>
      <c r="J58" s="7" t="str">
        <f aca="false">IFERROR(INDEX('Semrush Data'!$A$1:$Z$20000,MATCH(A58,'Semrush Data'!$A$1:$A$20000,0),MATCH("Intent",'Semrush Data'!$A$1:$Z$1,0)),"")</f>
        <v>Informational Commercial</v>
      </c>
    </row>
    <row r="59" customFormat="false" ht="15" hidden="false" customHeight="true" outlineLevel="0" collapsed="false">
      <c r="A59" s="7" t="s">
        <v>6508</v>
      </c>
      <c r="B59" s="7" t="s">
        <v>256</v>
      </c>
      <c r="C59" s="7" t="n">
        <v>1</v>
      </c>
      <c r="D59" s="7" t="n">
        <v>1</v>
      </c>
      <c r="E59" s="7" t="n">
        <v>2</v>
      </c>
      <c r="F59" s="7" t="s">
        <v>6509</v>
      </c>
      <c r="G59" s="12" t="n">
        <f aca="false">IFERROR(INDEX('Semrush Data'!$A$1:$Z$20000,MATCH(A59,'Semrush Data'!$A$1:$A$20000,0),MATCH("Volume",'Semrush Data'!$A$1:$Z$1,0)),"")</f>
        <v>70</v>
      </c>
      <c r="H59" s="7" t="n">
        <f aca="false">IFERROR(INDEX('Semrush Data'!$A$1:$Z$20000,MATCH(A59,'Semrush Data'!$A$1:$A$20000,0),MATCH("Keyword Difficulty*",'Semrush Data'!$A$1:$Z$1,0)),"")</f>
        <v>20</v>
      </c>
      <c r="I59" s="13" t="n">
        <f aca="false">IFERROR(INDEX('Semrush Data'!$A$1:$Z$20000,MATCH(A59,'Semrush Data'!$A$1:$A$20000,0),MATCH("CPC*",'Semrush Data'!$A$1:$Z$1,0)),"")</f>
        <v>0</v>
      </c>
      <c r="J59" s="7" t="str">
        <f aca="false">IFERROR(INDEX('Semrush Data'!$A$1:$Z$20000,MATCH(A59,'Semrush Data'!$A$1:$A$20000,0),MATCH("Intent",'Semrush Data'!$A$1:$Z$1,0)),"")</f>
        <v>Informational Transactional</v>
      </c>
    </row>
    <row r="60" customFormat="false" ht="15" hidden="false" customHeight="true" outlineLevel="0" collapsed="false">
      <c r="A60" s="7" t="s">
        <v>287</v>
      </c>
      <c r="B60" s="7" t="s">
        <v>256</v>
      </c>
      <c r="C60" s="7" t="n">
        <v>1</v>
      </c>
      <c r="D60" s="7" t="n">
        <v>1</v>
      </c>
      <c r="E60" s="7" t="n">
        <v>4</v>
      </c>
      <c r="F60" s="7" t="s">
        <v>6510</v>
      </c>
      <c r="G60" s="12" t="n">
        <f aca="false">IFERROR(INDEX('Semrush Data'!$A$1:$Z$20000,MATCH(A60,'Semrush Data'!$A$1:$A$20000,0),MATCH("Volume",'Semrush Data'!$A$1:$Z$1,0)),"")</f>
        <v>1300</v>
      </c>
      <c r="H60" s="7" t="n">
        <f aca="false">IFERROR(INDEX('Semrush Data'!$A$1:$Z$20000,MATCH(A60,'Semrush Data'!$A$1:$A$20000,0),MATCH("Keyword Difficulty*",'Semrush Data'!$A$1:$Z$1,0)),"")</f>
        <v>18</v>
      </c>
      <c r="I60" s="13" t="n">
        <f aca="false">IFERROR(INDEX('Semrush Data'!$A$1:$Z$20000,MATCH(A60,'Semrush Data'!$A$1:$A$20000,0),MATCH("CPC*",'Semrush Data'!$A$1:$Z$1,0)),"")</f>
        <v>0.35</v>
      </c>
      <c r="J60" s="7" t="str">
        <f aca="false">IFERROR(INDEX('Semrush Data'!$A$1:$Z$20000,MATCH(A60,'Semrush Data'!$A$1:$A$20000,0),MATCH("Intent",'Semrush Data'!$A$1:$Z$1,0)),"")</f>
        <v>Informational</v>
      </c>
    </row>
    <row r="61" customFormat="false" ht="15" hidden="false" customHeight="true" outlineLevel="0" collapsed="false">
      <c r="A61" s="7" t="s">
        <v>6511</v>
      </c>
      <c r="B61" s="7" t="s">
        <v>256</v>
      </c>
      <c r="C61" s="7" t="n">
        <v>1</v>
      </c>
      <c r="D61" s="7" t="n">
        <v>1</v>
      </c>
      <c r="E61" s="7" t="n">
        <v>3</v>
      </c>
      <c r="F61" s="7" t="s">
        <v>6512</v>
      </c>
      <c r="G61" s="12" t="n">
        <f aca="false">IFERROR(INDEX('Semrush Data'!$A$1:$Z$20000,MATCH(A61,'Semrush Data'!$A$1:$A$20000,0),MATCH("Volume",'Semrush Data'!$A$1:$Z$1,0)),"")</f>
        <v>110</v>
      </c>
      <c r="H61" s="7" t="n">
        <f aca="false">IFERROR(INDEX('Semrush Data'!$A$1:$Z$20000,MATCH(A61,'Semrush Data'!$A$1:$A$20000,0),MATCH("Keyword Difficulty*",'Semrush Data'!$A$1:$Z$1,0)),"")</f>
        <v>16</v>
      </c>
      <c r="I61" s="13" t="n">
        <f aca="false">IFERROR(INDEX('Semrush Data'!$A$1:$Z$20000,MATCH(A61,'Semrush Data'!$A$1:$A$20000,0),MATCH("CPC*",'Semrush Data'!$A$1:$Z$1,0)),"")</f>
        <v>0.36</v>
      </c>
      <c r="J61" s="7" t="str">
        <f aca="false">IFERROR(INDEX('Semrush Data'!$A$1:$Z$20000,MATCH(A61,'Semrush Data'!$A$1:$A$20000,0),MATCH("Intent",'Semrush Data'!$A$1:$Z$1,0)),"")</f>
        <v>Informational</v>
      </c>
    </row>
    <row r="62" customFormat="false" ht="15" hidden="false" customHeight="true" outlineLevel="0" collapsed="false">
      <c r="A62" s="7" t="s">
        <v>6513</v>
      </c>
      <c r="B62" s="7" t="s">
        <v>256</v>
      </c>
      <c r="C62" s="7" t="n">
        <v>1</v>
      </c>
      <c r="D62" s="7" t="n">
        <v>1</v>
      </c>
      <c r="E62" s="7" t="n">
        <v>1</v>
      </c>
      <c r="F62" s="7" t="s">
        <v>3433</v>
      </c>
      <c r="G62" s="12" t="n">
        <f aca="false">IFERROR(INDEX('Semrush Data'!$A$1:$Z$20000,MATCH(A62,'Semrush Data'!$A$1:$A$20000,0),MATCH("Volume",'Semrush Data'!$A$1:$Z$1,0)),"")</f>
        <v>90</v>
      </c>
      <c r="H62" s="7" t="n">
        <f aca="false">IFERROR(INDEX('Semrush Data'!$A$1:$Z$20000,MATCH(A62,'Semrush Data'!$A$1:$A$20000,0),MATCH("Keyword Difficulty*",'Semrush Data'!$A$1:$Z$1,0)),"")</f>
        <v>19</v>
      </c>
      <c r="I62" s="13" t="n">
        <f aca="false">IFERROR(INDEX('Semrush Data'!$A$1:$Z$20000,MATCH(A62,'Semrush Data'!$A$1:$A$20000,0),MATCH("CPC*",'Semrush Data'!$A$1:$Z$1,0)),"")</f>
        <v>0.25</v>
      </c>
      <c r="J62" s="7" t="str">
        <f aca="false">IFERROR(INDEX('Semrush Data'!$A$1:$Z$20000,MATCH(A62,'Semrush Data'!$A$1:$A$20000,0),MATCH("Intent",'Semrush Data'!$A$1:$Z$1,0)),"")</f>
        <v>Informational</v>
      </c>
    </row>
    <row r="63" customFormat="false" ht="15" hidden="false" customHeight="true" outlineLevel="0" collapsed="false">
      <c r="A63" s="7" t="s">
        <v>260</v>
      </c>
      <c r="B63" s="7" t="s">
        <v>256</v>
      </c>
      <c r="C63" s="7" t="n">
        <v>1</v>
      </c>
      <c r="D63" s="7" t="n">
        <v>1</v>
      </c>
      <c r="E63" s="7" t="n">
        <v>3</v>
      </c>
      <c r="F63" s="7" t="s">
        <v>6514</v>
      </c>
      <c r="G63" s="12" t="n">
        <f aca="false">IFERROR(INDEX('Semrush Data'!$A$1:$Z$20000,MATCH(A63,'Semrush Data'!$A$1:$A$20000,0),MATCH("Volume",'Semrush Data'!$A$1:$Z$1,0)),"")</f>
        <v>27100</v>
      </c>
      <c r="H63" s="7" t="n">
        <f aca="false">IFERROR(INDEX('Semrush Data'!$A$1:$Z$20000,MATCH(A63,'Semrush Data'!$A$1:$A$20000,0),MATCH("Keyword Difficulty*",'Semrush Data'!$A$1:$Z$1,0)),"")</f>
        <v>42</v>
      </c>
      <c r="I63" s="13" t="n">
        <f aca="false">IFERROR(INDEX('Semrush Data'!$A$1:$Z$20000,MATCH(A63,'Semrush Data'!$A$1:$A$20000,0),MATCH("CPC*",'Semrush Data'!$A$1:$Z$1,0)),"")</f>
        <v>0.56</v>
      </c>
      <c r="J63" s="7" t="str">
        <f aca="false">IFERROR(INDEX('Semrush Data'!$A$1:$Z$20000,MATCH(A63,'Semrush Data'!$A$1:$A$20000,0),MATCH("Intent",'Semrush Data'!$A$1:$Z$1,0)),"")</f>
        <v>Informational Transactional</v>
      </c>
    </row>
    <row r="64" customFormat="false" ht="15" hidden="false" customHeight="true" outlineLevel="0" collapsed="false">
      <c r="A64" s="7" t="s">
        <v>295</v>
      </c>
      <c r="B64" s="7" t="s">
        <v>256</v>
      </c>
      <c r="C64" s="7" t="n">
        <v>1</v>
      </c>
      <c r="D64" s="7" t="n">
        <v>1</v>
      </c>
      <c r="E64" s="7" t="n">
        <v>1</v>
      </c>
      <c r="F64" s="7" t="s">
        <v>45</v>
      </c>
      <c r="G64" s="12" t="n">
        <f aca="false">IFERROR(INDEX('Semrush Data'!$A$1:$Z$20000,MATCH(A64,'Semrush Data'!$A$1:$A$20000,0),MATCH("Volume",'Semrush Data'!$A$1:$Z$1,0)),"")</f>
        <v>880</v>
      </c>
      <c r="H64" s="7" t="n">
        <f aca="false">IFERROR(INDEX('Semrush Data'!$A$1:$Z$20000,MATCH(A64,'Semrush Data'!$A$1:$A$20000,0),MATCH("Keyword Difficulty*",'Semrush Data'!$A$1:$Z$1,0)),"")</f>
        <v>28</v>
      </c>
      <c r="I64" s="13" t="n">
        <f aca="false">IFERROR(INDEX('Semrush Data'!$A$1:$Z$20000,MATCH(A64,'Semrush Data'!$A$1:$A$20000,0),MATCH("CPC*",'Semrush Data'!$A$1:$Z$1,0)),"")</f>
        <v>0.53</v>
      </c>
      <c r="J64" s="7" t="str">
        <f aca="false">IFERROR(INDEX('Semrush Data'!$A$1:$Z$20000,MATCH(A64,'Semrush Data'!$A$1:$A$20000,0),MATCH("Intent",'Semrush Data'!$A$1:$Z$1,0)),"")</f>
        <v>Informational</v>
      </c>
    </row>
    <row r="65" customFormat="false" ht="15" hidden="false" customHeight="true" outlineLevel="0" collapsed="false">
      <c r="A65" s="7" t="s">
        <v>291</v>
      </c>
      <c r="B65" s="7" t="s">
        <v>256</v>
      </c>
      <c r="C65" s="7" t="n">
        <v>1</v>
      </c>
      <c r="D65" s="7" t="n">
        <v>1</v>
      </c>
      <c r="E65" s="7" t="n">
        <v>1</v>
      </c>
      <c r="F65" s="7" t="s">
        <v>3478</v>
      </c>
      <c r="G65" s="12" t="n">
        <f aca="false">IFERROR(INDEX('Semrush Data'!$A$1:$Z$20000,MATCH(A65,'Semrush Data'!$A$1:$A$20000,0),MATCH("Volume",'Semrush Data'!$A$1:$Z$1,0)),"")</f>
        <v>1000</v>
      </c>
      <c r="H65" s="7" t="n">
        <f aca="false">IFERROR(INDEX('Semrush Data'!$A$1:$Z$20000,MATCH(A65,'Semrush Data'!$A$1:$A$20000,0),MATCH("Keyword Difficulty*",'Semrush Data'!$A$1:$Z$1,0)),"")</f>
        <v>32</v>
      </c>
      <c r="I65" s="13" t="n">
        <f aca="false">IFERROR(INDEX('Semrush Data'!$A$1:$Z$20000,MATCH(A65,'Semrush Data'!$A$1:$A$20000,0),MATCH("CPC*",'Semrush Data'!$A$1:$Z$1,0)),"")</f>
        <v>0.53</v>
      </c>
      <c r="J65" s="7" t="str">
        <f aca="false">IFERROR(INDEX('Semrush Data'!$A$1:$Z$20000,MATCH(A65,'Semrush Data'!$A$1:$A$20000,0),MATCH("Intent",'Semrush Data'!$A$1:$Z$1,0)),"")</f>
        <v>Transactional</v>
      </c>
    </row>
    <row r="66" customFormat="false" ht="15" hidden="false" customHeight="true" outlineLevel="0" collapsed="false">
      <c r="A66" s="7" t="s">
        <v>272</v>
      </c>
      <c r="B66" s="7" t="s">
        <v>256</v>
      </c>
      <c r="C66" s="7" t="n">
        <v>1</v>
      </c>
      <c r="D66" s="7" t="n">
        <v>1</v>
      </c>
      <c r="E66" s="7" t="n">
        <v>4</v>
      </c>
      <c r="F66" s="7" t="s">
        <v>6515</v>
      </c>
      <c r="G66" s="12" t="n">
        <f aca="false">IFERROR(INDEX('Semrush Data'!$A$1:$Z$20000,MATCH(A66,'Semrush Data'!$A$1:$A$20000,0),MATCH("Volume",'Semrush Data'!$A$1:$Z$1,0)),"")</f>
        <v>8100</v>
      </c>
      <c r="H66" s="7" t="n">
        <f aca="false">IFERROR(INDEX('Semrush Data'!$A$1:$Z$20000,MATCH(A66,'Semrush Data'!$A$1:$A$20000,0),MATCH("Keyword Difficulty*",'Semrush Data'!$A$1:$Z$1,0)),"")</f>
        <v>23</v>
      </c>
      <c r="I66" s="13" t="n">
        <f aca="false">IFERROR(INDEX('Semrush Data'!$A$1:$Z$20000,MATCH(A66,'Semrush Data'!$A$1:$A$20000,0),MATCH("CPC*",'Semrush Data'!$A$1:$Z$1,0)),"")</f>
        <v>0.33</v>
      </c>
      <c r="J66" s="7" t="str">
        <f aca="false">IFERROR(INDEX('Semrush Data'!$A$1:$Z$20000,MATCH(A66,'Semrush Data'!$A$1:$A$20000,0),MATCH("Intent",'Semrush Data'!$A$1:$Z$1,0)),"")</f>
        <v>Informational</v>
      </c>
    </row>
    <row r="67" customFormat="false" ht="15" hidden="false" customHeight="true" outlineLevel="0" collapsed="false">
      <c r="A67" s="7" t="s">
        <v>6516</v>
      </c>
      <c r="B67" s="7" t="s">
        <v>256</v>
      </c>
      <c r="C67" s="7" t="n">
        <v>1</v>
      </c>
      <c r="D67" s="7" t="n">
        <v>1</v>
      </c>
      <c r="E67" s="7" t="n">
        <v>4</v>
      </c>
      <c r="F67" s="7" t="s">
        <v>6515</v>
      </c>
      <c r="G67" s="12" t="n">
        <f aca="false">IFERROR(INDEX('Semrush Data'!$A$1:$Z$20000,MATCH(A67,'Semrush Data'!$A$1:$A$20000,0),MATCH("Volume",'Semrush Data'!$A$1:$Z$1,0)),"")</f>
        <v>390</v>
      </c>
      <c r="H67" s="7" t="n">
        <f aca="false">IFERROR(INDEX('Semrush Data'!$A$1:$Z$20000,MATCH(A67,'Semrush Data'!$A$1:$A$20000,0),MATCH("Keyword Difficulty*",'Semrush Data'!$A$1:$Z$1,0)),"")</f>
        <v>22</v>
      </c>
      <c r="I67" s="13" t="n">
        <f aca="false">IFERROR(INDEX('Semrush Data'!$A$1:$Z$20000,MATCH(A67,'Semrush Data'!$A$1:$A$20000,0),MATCH("CPC*",'Semrush Data'!$A$1:$Z$1,0)),"")</f>
        <v>0.4</v>
      </c>
      <c r="J67" s="7" t="str">
        <f aca="false">IFERROR(INDEX('Semrush Data'!$A$1:$Z$20000,MATCH(A67,'Semrush Data'!$A$1:$A$20000,0),MATCH("Intent",'Semrush Data'!$A$1:$Z$1,0)),"")</f>
        <v>Informational</v>
      </c>
    </row>
    <row r="68" customFormat="false" ht="15" hidden="false" customHeight="true" outlineLevel="0" collapsed="false">
      <c r="A68" s="7" t="s">
        <v>288</v>
      </c>
      <c r="B68" s="7" t="s">
        <v>256</v>
      </c>
      <c r="C68" s="7" t="n">
        <v>1</v>
      </c>
      <c r="D68" s="7" t="n">
        <v>1</v>
      </c>
      <c r="E68" s="7" t="n">
        <v>12</v>
      </c>
      <c r="F68" s="7" t="s">
        <v>6517</v>
      </c>
      <c r="G68" s="12" t="n">
        <f aca="false">IFERROR(INDEX('Semrush Data'!$A$1:$Z$20000,MATCH(A68,'Semrush Data'!$A$1:$A$20000,0),MATCH("Volume",'Semrush Data'!$A$1:$Z$1,0)),"")</f>
        <v>1300</v>
      </c>
      <c r="H68" s="7" t="n">
        <f aca="false">IFERROR(INDEX('Semrush Data'!$A$1:$Z$20000,MATCH(A68,'Semrush Data'!$A$1:$A$20000,0),MATCH("Keyword Difficulty*",'Semrush Data'!$A$1:$Z$1,0)),"")</f>
        <v>28</v>
      </c>
      <c r="I68" s="13" t="n">
        <f aca="false">IFERROR(INDEX('Semrush Data'!$A$1:$Z$20000,MATCH(A68,'Semrush Data'!$A$1:$A$20000,0),MATCH("CPC*",'Semrush Data'!$A$1:$Z$1,0)),"")</f>
        <v>0.3</v>
      </c>
      <c r="J68" s="7" t="str">
        <f aca="false">IFERROR(INDEX('Semrush Data'!$A$1:$Z$20000,MATCH(A68,'Semrush Data'!$A$1:$A$20000,0),MATCH("Intent",'Semrush Data'!$A$1:$Z$1,0)),"")</f>
        <v>Informational Transactional</v>
      </c>
    </row>
    <row r="69" customFormat="false" ht="15" hidden="false" customHeight="true" outlineLevel="0" collapsed="false">
      <c r="A69" s="7" t="s">
        <v>6518</v>
      </c>
      <c r="B69" s="7" t="s">
        <v>256</v>
      </c>
      <c r="C69" s="7" t="n">
        <v>1</v>
      </c>
      <c r="D69" s="7" t="n">
        <v>1</v>
      </c>
      <c r="E69" s="7" t="n">
        <v>6</v>
      </c>
      <c r="F69" s="7" t="s">
        <v>6519</v>
      </c>
      <c r="G69" s="12" t="n">
        <f aca="false">IFERROR(INDEX('Semrush Data'!$A$1:$Z$20000,MATCH(A69,'Semrush Data'!$A$1:$A$20000,0),MATCH("Volume",'Semrush Data'!$A$1:$Z$1,0)),"")</f>
        <v>10</v>
      </c>
      <c r="H69" s="7" t="n">
        <f aca="false">IFERROR(INDEX('Semrush Data'!$A$1:$Z$20000,MATCH(A69,'Semrush Data'!$A$1:$A$20000,0),MATCH("Keyword Difficulty*",'Semrush Data'!$A$1:$Z$1,0)),"")</f>
        <v>14</v>
      </c>
      <c r="I69" s="13" t="n">
        <f aca="false">IFERROR(INDEX('Semrush Data'!$A$1:$Z$20000,MATCH(A69,'Semrush Data'!$A$1:$A$20000,0),MATCH("CPC*",'Semrush Data'!$A$1:$Z$1,0)),"")</f>
        <v>0.34</v>
      </c>
      <c r="J69" s="7" t="str">
        <f aca="false">IFERROR(INDEX('Semrush Data'!$A$1:$Z$20000,MATCH(A69,'Semrush Data'!$A$1:$A$20000,0),MATCH("Intent",'Semrush Data'!$A$1:$Z$1,0)),"")</f>
        <v>Informational Transactional</v>
      </c>
    </row>
    <row r="70" customFormat="false" ht="15" hidden="false" customHeight="true" outlineLevel="0" collapsed="false">
      <c r="A70" s="7" t="s">
        <v>6520</v>
      </c>
      <c r="B70" s="7" t="s">
        <v>256</v>
      </c>
      <c r="C70" s="7" t="n">
        <v>1</v>
      </c>
      <c r="D70" s="7" t="n">
        <v>1</v>
      </c>
      <c r="E70" s="7" t="n">
        <v>6</v>
      </c>
      <c r="F70" s="7" t="s">
        <v>6521</v>
      </c>
      <c r="G70" s="12" t="n">
        <f aca="false">IFERROR(INDEX('Semrush Data'!$A$1:$Z$20000,MATCH(A70,'Semrush Data'!$A$1:$A$20000,0),MATCH("Volume",'Semrush Data'!$A$1:$Z$1,0)),"")</f>
        <v>20</v>
      </c>
      <c r="H70" s="7" t="n">
        <f aca="false">IFERROR(INDEX('Semrush Data'!$A$1:$Z$20000,MATCH(A70,'Semrush Data'!$A$1:$A$20000,0),MATCH("Keyword Difficulty*",'Semrush Data'!$A$1:$Z$1,0)),"")</f>
        <v>16</v>
      </c>
      <c r="I70" s="13" t="n">
        <f aca="false">IFERROR(INDEX('Semrush Data'!$A$1:$Z$20000,MATCH(A70,'Semrush Data'!$A$1:$A$20000,0),MATCH("CPC*",'Semrush Data'!$A$1:$Z$1,0)),"")</f>
        <v>0.31</v>
      </c>
      <c r="J70" s="7" t="str">
        <f aca="false">IFERROR(INDEX('Semrush Data'!$A$1:$Z$20000,MATCH(A70,'Semrush Data'!$A$1:$A$20000,0),MATCH("Intent",'Semrush Data'!$A$1:$Z$1,0)),"")</f>
        <v>Informational</v>
      </c>
    </row>
    <row r="71" customFormat="false" ht="15" hidden="false" customHeight="true" outlineLevel="0" collapsed="false">
      <c r="A71" s="7" t="s">
        <v>283</v>
      </c>
      <c r="B71" s="7" t="s">
        <v>256</v>
      </c>
      <c r="C71" s="7" t="n">
        <v>1</v>
      </c>
      <c r="D71" s="7" t="n">
        <v>1</v>
      </c>
      <c r="E71" s="7" t="n">
        <v>14</v>
      </c>
      <c r="F71" s="7" t="s">
        <v>6522</v>
      </c>
      <c r="G71" s="12" t="n">
        <f aca="false">IFERROR(INDEX('Semrush Data'!$A$1:$Z$20000,MATCH(A71,'Semrush Data'!$A$1:$A$20000,0),MATCH("Volume",'Semrush Data'!$A$1:$Z$1,0)),"")</f>
        <v>1900</v>
      </c>
      <c r="H71" s="7" t="n">
        <f aca="false">IFERROR(INDEX('Semrush Data'!$A$1:$Z$20000,MATCH(A71,'Semrush Data'!$A$1:$A$20000,0),MATCH("Keyword Difficulty*",'Semrush Data'!$A$1:$Z$1,0)),"")</f>
        <v>16</v>
      </c>
      <c r="I71" s="13" t="n">
        <f aca="false">IFERROR(INDEX('Semrush Data'!$A$1:$Z$20000,MATCH(A71,'Semrush Data'!$A$1:$A$20000,0),MATCH("CPC*",'Semrush Data'!$A$1:$Z$1,0)),"")</f>
        <v>0.4</v>
      </c>
      <c r="J71" s="7" t="str">
        <f aca="false">IFERROR(INDEX('Semrush Data'!$A$1:$Z$20000,MATCH(A71,'Semrush Data'!$A$1:$A$20000,0),MATCH("Intent",'Semrush Data'!$A$1:$Z$1,0)),"")</f>
        <v>Informational</v>
      </c>
    </row>
    <row r="72" customFormat="false" ht="15" hidden="false" customHeight="true" outlineLevel="0" collapsed="false">
      <c r="A72" s="7" t="s">
        <v>6523</v>
      </c>
      <c r="B72" s="7" t="s">
        <v>256</v>
      </c>
      <c r="C72" s="7" t="n">
        <v>1</v>
      </c>
      <c r="D72" s="7" t="n">
        <v>1</v>
      </c>
      <c r="E72" s="7" t="n">
        <v>14</v>
      </c>
      <c r="F72" s="7" t="s">
        <v>6522</v>
      </c>
      <c r="G72" s="12" t="n">
        <f aca="false">IFERROR(INDEX('Semrush Data'!$A$1:$Z$20000,MATCH(A72,'Semrush Data'!$A$1:$A$20000,0),MATCH("Volume",'Semrush Data'!$A$1:$Z$1,0)),"")</f>
        <v>140</v>
      </c>
      <c r="H72" s="7" t="n">
        <f aca="false">IFERROR(INDEX('Semrush Data'!$A$1:$Z$20000,MATCH(A72,'Semrush Data'!$A$1:$A$20000,0),MATCH("Keyword Difficulty*",'Semrush Data'!$A$1:$Z$1,0)),"")</f>
        <v>13</v>
      </c>
      <c r="I72" s="13" t="n">
        <f aca="false">IFERROR(INDEX('Semrush Data'!$A$1:$Z$20000,MATCH(A72,'Semrush Data'!$A$1:$A$20000,0),MATCH("CPC*",'Semrush Data'!$A$1:$Z$1,0)),"")</f>
        <v>0.39</v>
      </c>
      <c r="J72" s="7" t="str">
        <f aca="false">IFERROR(INDEX('Semrush Data'!$A$1:$Z$20000,MATCH(A72,'Semrush Data'!$A$1:$A$20000,0),MATCH("Intent",'Semrush Data'!$A$1:$Z$1,0)),"")</f>
        <v>Informational</v>
      </c>
    </row>
    <row r="73" customFormat="false" ht="15" hidden="false" customHeight="true" outlineLevel="0" collapsed="false">
      <c r="A73" s="7" t="s">
        <v>275</v>
      </c>
      <c r="B73" s="7" t="s">
        <v>256</v>
      </c>
      <c r="C73" s="7" t="n">
        <v>1</v>
      </c>
      <c r="D73" s="7" t="n">
        <v>1</v>
      </c>
      <c r="E73" s="7" t="n">
        <v>10</v>
      </c>
      <c r="F73" s="7" t="s">
        <v>6524</v>
      </c>
      <c r="G73" s="12" t="n">
        <f aca="false">IFERROR(INDEX('Semrush Data'!$A$1:$Z$20000,MATCH(A73,'Semrush Data'!$A$1:$A$20000,0),MATCH("Volume",'Semrush Data'!$A$1:$Z$1,0)),"")</f>
        <v>5400</v>
      </c>
      <c r="H73" s="7" t="n">
        <f aca="false">IFERROR(INDEX('Semrush Data'!$A$1:$Z$20000,MATCH(A73,'Semrush Data'!$A$1:$A$20000,0),MATCH("Keyword Difficulty*",'Semrush Data'!$A$1:$Z$1,0)),"")</f>
        <v>28</v>
      </c>
      <c r="I73" s="13" t="n">
        <f aca="false">IFERROR(INDEX('Semrush Data'!$A$1:$Z$20000,MATCH(A73,'Semrush Data'!$A$1:$A$20000,0),MATCH("CPC*",'Semrush Data'!$A$1:$Z$1,0)),"")</f>
        <v>0.41</v>
      </c>
      <c r="J73" s="7" t="str">
        <f aca="false">IFERROR(INDEX('Semrush Data'!$A$1:$Z$20000,MATCH(A73,'Semrush Data'!$A$1:$A$20000,0),MATCH("Intent",'Semrush Data'!$A$1:$Z$1,0)),"")</f>
        <v>Informational</v>
      </c>
    </row>
    <row r="74" customFormat="false" ht="15" hidden="false" customHeight="true" outlineLevel="0" collapsed="false">
      <c r="A74" s="7" t="s">
        <v>6525</v>
      </c>
      <c r="B74" s="7" t="s">
        <v>256</v>
      </c>
      <c r="C74" s="7" t="n">
        <v>1</v>
      </c>
      <c r="D74" s="7" t="n">
        <v>1</v>
      </c>
      <c r="E74" s="7" t="n">
        <v>8</v>
      </c>
      <c r="F74" s="7" t="s">
        <v>6526</v>
      </c>
      <c r="G74" s="12" t="n">
        <f aca="false">IFERROR(INDEX('Semrush Data'!$A$1:$Z$20000,MATCH(A74,'Semrush Data'!$A$1:$A$20000,0),MATCH("Volume",'Semrush Data'!$A$1:$Z$1,0)),"")</f>
        <v>0</v>
      </c>
      <c r="H74" s="7" t="n">
        <f aca="false">IFERROR(INDEX('Semrush Data'!$A$1:$Z$20000,MATCH(A74,'Semrush Data'!$A$1:$A$20000,0),MATCH("Keyword Difficulty*",'Semrush Data'!$A$1:$Z$1,0)),"")</f>
        <v>24</v>
      </c>
      <c r="I74" s="13" t="n">
        <f aca="false">IFERROR(INDEX('Semrush Data'!$A$1:$Z$20000,MATCH(A74,'Semrush Data'!$A$1:$A$20000,0),MATCH("CPC*",'Semrush Data'!$A$1:$Z$1,0)),"")</f>
        <v>0.3</v>
      </c>
      <c r="J74" s="7" t="str">
        <f aca="false">IFERROR(INDEX('Semrush Data'!$A$1:$Z$20000,MATCH(A74,'Semrush Data'!$A$1:$A$20000,0),MATCH("Intent",'Semrush Data'!$A$1:$Z$1,0)),"")</f>
        <v>Informational Transactional</v>
      </c>
    </row>
    <row r="75" customFormat="false" ht="15" hidden="false" customHeight="true" outlineLevel="0" collapsed="false">
      <c r="A75" s="7" t="s">
        <v>276</v>
      </c>
      <c r="B75" s="7" t="s">
        <v>256</v>
      </c>
      <c r="C75" s="7" t="n">
        <v>1</v>
      </c>
      <c r="D75" s="7" t="n">
        <v>1</v>
      </c>
      <c r="E75" s="7" t="n">
        <v>1</v>
      </c>
      <c r="F75" s="7" t="s">
        <v>3948</v>
      </c>
      <c r="G75" s="12" t="n">
        <f aca="false">IFERROR(INDEX('Semrush Data'!$A$1:$Z$20000,MATCH(A75,'Semrush Data'!$A$1:$A$20000,0),MATCH("Volume",'Semrush Data'!$A$1:$Z$1,0)),"")</f>
        <v>5400</v>
      </c>
      <c r="H75" s="7" t="n">
        <f aca="false">IFERROR(INDEX('Semrush Data'!$A$1:$Z$20000,MATCH(A75,'Semrush Data'!$A$1:$A$20000,0),MATCH("Keyword Difficulty*",'Semrush Data'!$A$1:$Z$1,0)),"")</f>
        <v>23</v>
      </c>
      <c r="I75" s="13" t="n">
        <f aca="false">IFERROR(INDEX('Semrush Data'!$A$1:$Z$20000,MATCH(A75,'Semrush Data'!$A$1:$A$20000,0),MATCH("CPC*",'Semrush Data'!$A$1:$Z$1,0)),"")</f>
        <v>0.41</v>
      </c>
      <c r="J75" s="7" t="str">
        <f aca="false">IFERROR(INDEX('Semrush Data'!$A$1:$Z$20000,MATCH(A75,'Semrush Data'!$A$1:$A$20000,0),MATCH("Intent",'Semrush Data'!$A$1:$Z$1,0)),"")</f>
        <v>Informational Transactional</v>
      </c>
    </row>
    <row r="76" customFormat="false" ht="15" hidden="false" customHeight="true" outlineLevel="0" collapsed="false">
      <c r="A76" s="7" t="s">
        <v>6527</v>
      </c>
      <c r="B76" s="7" t="s">
        <v>256</v>
      </c>
      <c r="C76" s="7" t="n">
        <v>1</v>
      </c>
      <c r="D76" s="7" t="n">
        <v>1</v>
      </c>
      <c r="E76" s="7" t="n">
        <v>1</v>
      </c>
      <c r="F76" s="7" t="s">
        <v>3948</v>
      </c>
      <c r="G76" s="12" t="n">
        <f aca="false">IFERROR(INDEX('Semrush Data'!$A$1:$Z$20000,MATCH(A76,'Semrush Data'!$A$1:$A$20000,0),MATCH("Volume",'Semrush Data'!$A$1:$Z$1,0)),"")</f>
        <v>0</v>
      </c>
      <c r="H76" s="7" t="n">
        <f aca="false">IFERROR(INDEX('Semrush Data'!$A$1:$Z$20000,MATCH(A76,'Semrush Data'!$A$1:$A$20000,0),MATCH("Keyword Difficulty*",'Semrush Data'!$A$1:$Z$1,0)),"")</f>
        <v>15</v>
      </c>
      <c r="I76" s="13" t="n">
        <f aca="false">IFERROR(INDEX('Semrush Data'!$A$1:$Z$20000,MATCH(A76,'Semrush Data'!$A$1:$A$20000,0),MATCH("CPC*",'Semrush Data'!$A$1:$Z$1,0)),"")</f>
        <v>0.44</v>
      </c>
      <c r="J76" s="7" t="str">
        <f aca="false">IFERROR(INDEX('Semrush Data'!$A$1:$Z$20000,MATCH(A76,'Semrush Data'!$A$1:$A$20000,0),MATCH("Intent",'Semrush Data'!$A$1:$Z$1,0)),"")</f>
        <v>Informational</v>
      </c>
    </row>
    <row r="77" customFormat="false" ht="15" hidden="false" customHeight="true" outlineLevel="0" collapsed="false">
      <c r="A77" s="7" t="s">
        <v>280</v>
      </c>
      <c r="B77" s="7" t="s">
        <v>256</v>
      </c>
      <c r="C77" s="7" t="n">
        <v>1</v>
      </c>
      <c r="D77" s="7" t="n">
        <v>1</v>
      </c>
      <c r="E77" s="7" t="n">
        <v>3</v>
      </c>
      <c r="F77" s="7" t="s">
        <v>6528</v>
      </c>
      <c r="G77" s="12" t="n">
        <f aca="false">IFERROR(INDEX('Semrush Data'!$A$1:$Z$20000,MATCH(A77,'Semrush Data'!$A$1:$A$20000,0),MATCH("Volume",'Semrush Data'!$A$1:$Z$1,0)),"")</f>
        <v>3600</v>
      </c>
      <c r="H77" s="7" t="n">
        <f aca="false">IFERROR(INDEX('Semrush Data'!$A$1:$Z$20000,MATCH(A77,'Semrush Data'!$A$1:$A$20000,0),MATCH("Keyword Difficulty*",'Semrush Data'!$A$1:$Z$1,0)),"")</f>
        <v>21</v>
      </c>
      <c r="I77" s="13" t="n">
        <f aca="false">IFERROR(INDEX('Semrush Data'!$A$1:$Z$20000,MATCH(A77,'Semrush Data'!$A$1:$A$20000,0),MATCH("CPC*",'Semrush Data'!$A$1:$Z$1,0)),"")</f>
        <v>0.35</v>
      </c>
      <c r="J77" s="7" t="str">
        <f aca="false">IFERROR(INDEX('Semrush Data'!$A$1:$Z$20000,MATCH(A77,'Semrush Data'!$A$1:$A$20000,0),MATCH("Intent",'Semrush Data'!$A$1:$Z$1,0)),"")</f>
        <v>Informational</v>
      </c>
    </row>
    <row r="78" customFormat="false" ht="15" hidden="false" customHeight="true" outlineLevel="0" collapsed="false">
      <c r="A78" s="7" t="s">
        <v>6529</v>
      </c>
      <c r="B78" s="7" t="s">
        <v>256</v>
      </c>
      <c r="C78" s="7" t="n">
        <v>1</v>
      </c>
      <c r="D78" s="7" t="n">
        <v>1</v>
      </c>
      <c r="E78" s="7" t="n">
        <v>3</v>
      </c>
      <c r="F78" s="7" t="s">
        <v>6528</v>
      </c>
      <c r="G78" s="12" t="n">
        <f aca="false">IFERROR(INDEX('Semrush Data'!$A$1:$Z$20000,MATCH(A78,'Semrush Data'!$A$1:$A$20000,0),MATCH("Volume",'Semrush Data'!$A$1:$Z$1,0)),"")</f>
        <v>40</v>
      </c>
      <c r="H78" s="7" t="n">
        <f aca="false">IFERROR(INDEX('Semrush Data'!$A$1:$Z$20000,MATCH(A78,'Semrush Data'!$A$1:$A$20000,0),MATCH("Keyword Difficulty*",'Semrush Data'!$A$1:$Z$1,0)),"")</f>
        <v>16</v>
      </c>
      <c r="I78" s="13" t="n">
        <f aca="false">IFERROR(INDEX('Semrush Data'!$A$1:$Z$20000,MATCH(A78,'Semrush Data'!$A$1:$A$20000,0),MATCH("CPC*",'Semrush Data'!$A$1:$Z$1,0)),"")</f>
        <v>0.26</v>
      </c>
      <c r="J78" s="7" t="str">
        <f aca="false">IFERROR(INDEX('Semrush Data'!$A$1:$Z$20000,MATCH(A78,'Semrush Data'!$A$1:$A$20000,0),MATCH("Intent",'Semrush Data'!$A$1:$Z$1,0)),"")</f>
        <v>Informational</v>
      </c>
    </row>
    <row r="79" customFormat="false" ht="15" hidden="false" customHeight="true" outlineLevel="0" collapsed="false">
      <c r="A79" s="7" t="s">
        <v>274</v>
      </c>
      <c r="B79" s="7" t="s">
        <v>256</v>
      </c>
      <c r="C79" s="7" t="n">
        <v>1</v>
      </c>
      <c r="D79" s="7" t="n">
        <v>1</v>
      </c>
      <c r="E79" s="7" t="n">
        <v>1</v>
      </c>
      <c r="F79" s="7" t="s">
        <v>3996</v>
      </c>
      <c r="G79" s="12" t="n">
        <f aca="false">IFERROR(INDEX('Semrush Data'!$A$1:$Z$20000,MATCH(A79,'Semrush Data'!$A$1:$A$20000,0),MATCH("Volume",'Semrush Data'!$A$1:$Z$1,0)),"")</f>
        <v>6600</v>
      </c>
      <c r="H79" s="7" t="n">
        <f aca="false">IFERROR(INDEX('Semrush Data'!$A$1:$Z$20000,MATCH(A79,'Semrush Data'!$A$1:$A$20000,0),MATCH("Keyword Difficulty*",'Semrush Data'!$A$1:$Z$1,0)),"")</f>
        <v>26</v>
      </c>
      <c r="I79" s="13" t="n">
        <f aca="false">IFERROR(INDEX('Semrush Data'!$A$1:$Z$20000,MATCH(A79,'Semrush Data'!$A$1:$A$20000,0),MATCH("CPC*",'Semrush Data'!$A$1:$Z$1,0)),"")</f>
        <v>0.37</v>
      </c>
      <c r="J79" s="7" t="str">
        <f aca="false">IFERROR(INDEX('Semrush Data'!$A$1:$Z$20000,MATCH(A79,'Semrush Data'!$A$1:$A$20000,0),MATCH("Intent",'Semrush Data'!$A$1:$Z$1,0)),"")</f>
        <v>Informational Transactional</v>
      </c>
    </row>
    <row r="80" customFormat="false" ht="15" hidden="false" customHeight="true" outlineLevel="0" collapsed="false">
      <c r="A80" s="7" t="s">
        <v>6530</v>
      </c>
      <c r="B80" s="7" t="s">
        <v>256</v>
      </c>
      <c r="C80" s="7" t="n">
        <v>1</v>
      </c>
      <c r="D80" s="7" t="n">
        <v>1</v>
      </c>
      <c r="E80" s="7" t="n">
        <v>1</v>
      </c>
      <c r="F80" s="7" t="s">
        <v>3996</v>
      </c>
      <c r="G80" s="12" t="n">
        <f aca="false">IFERROR(INDEX('Semrush Data'!$A$1:$Z$20000,MATCH(A80,'Semrush Data'!$A$1:$A$20000,0),MATCH("Volume",'Semrush Data'!$A$1:$Z$1,0)),"")</f>
        <v>90</v>
      </c>
      <c r="H80" s="7" t="n">
        <f aca="false">IFERROR(INDEX('Semrush Data'!$A$1:$Z$20000,MATCH(A80,'Semrush Data'!$A$1:$A$20000,0),MATCH("Keyword Difficulty*",'Semrush Data'!$A$1:$Z$1,0)),"")</f>
        <v>22</v>
      </c>
      <c r="I80" s="13" t="n">
        <f aca="false">IFERROR(INDEX('Semrush Data'!$A$1:$Z$20000,MATCH(A80,'Semrush Data'!$A$1:$A$20000,0),MATCH("CPC*",'Semrush Data'!$A$1:$Z$1,0)),"")</f>
        <v>0.28</v>
      </c>
      <c r="J80" s="7" t="str">
        <f aca="false">IFERROR(INDEX('Semrush Data'!$A$1:$Z$20000,MATCH(A80,'Semrush Data'!$A$1:$A$20000,0),MATCH("Intent",'Semrush Data'!$A$1:$Z$1,0)),"")</f>
        <v>Informational Transactional</v>
      </c>
    </row>
    <row r="81" customFormat="false" ht="15" hidden="false" customHeight="true" outlineLevel="0" collapsed="false">
      <c r="A81" s="7" t="s">
        <v>6531</v>
      </c>
      <c r="B81" s="7" t="s">
        <v>256</v>
      </c>
      <c r="C81" s="7" t="n">
        <v>1</v>
      </c>
      <c r="D81" s="7" t="n">
        <v>1</v>
      </c>
      <c r="E81" s="7" t="n">
        <v>2</v>
      </c>
      <c r="F81" s="7" t="s">
        <v>6532</v>
      </c>
      <c r="G81" s="12" t="n">
        <f aca="false">IFERROR(INDEX('Semrush Data'!$A$1:$Z$20000,MATCH(A81,'Semrush Data'!$A$1:$A$20000,0),MATCH("Volume",'Semrush Data'!$A$1:$Z$1,0)),"")</f>
        <v>20</v>
      </c>
      <c r="H81" s="7" t="n">
        <f aca="false">IFERROR(INDEX('Semrush Data'!$A$1:$Z$20000,MATCH(A81,'Semrush Data'!$A$1:$A$20000,0),MATCH("Keyword Difficulty*",'Semrush Data'!$A$1:$Z$1,0)),"")</f>
        <v>9</v>
      </c>
      <c r="I81" s="13" t="n">
        <f aca="false">IFERROR(INDEX('Semrush Data'!$A$1:$Z$20000,MATCH(A81,'Semrush Data'!$A$1:$A$20000,0),MATCH("CPC*",'Semrush Data'!$A$1:$Z$1,0)),"")</f>
        <v>0</v>
      </c>
      <c r="J81" s="7" t="str">
        <f aca="false">IFERROR(INDEX('Semrush Data'!$A$1:$Z$20000,MATCH(A81,'Semrush Data'!$A$1:$A$20000,0),MATCH("Intent",'Semrush Data'!$A$1:$Z$1,0)),"")</f>
        <v>Informational</v>
      </c>
    </row>
    <row r="82" customFormat="false" ht="15" hidden="false" customHeight="true" outlineLevel="0" collapsed="false">
      <c r="A82" s="7" t="s">
        <v>6533</v>
      </c>
      <c r="B82" s="7" t="s">
        <v>256</v>
      </c>
      <c r="C82" s="7" t="n">
        <v>1</v>
      </c>
      <c r="D82" s="7" t="n">
        <v>1</v>
      </c>
      <c r="E82" s="7" t="n">
        <v>2</v>
      </c>
      <c r="F82" s="7" t="s">
        <v>6532</v>
      </c>
      <c r="G82" s="12" t="n">
        <f aca="false">IFERROR(INDEX('Semrush Data'!$A$1:$Z$20000,MATCH(A82,'Semrush Data'!$A$1:$A$20000,0),MATCH("Volume",'Semrush Data'!$A$1:$Z$1,0)),"")</f>
        <v>0</v>
      </c>
      <c r="H82" s="7" t="n">
        <f aca="false">IFERROR(INDEX('Semrush Data'!$A$1:$Z$20000,MATCH(A82,'Semrush Data'!$A$1:$A$20000,0),MATCH("Keyword Difficulty*",'Semrush Data'!$A$1:$Z$1,0)),"")</f>
        <v>20</v>
      </c>
      <c r="I82" s="13" t="n">
        <f aca="false">IFERROR(INDEX('Semrush Data'!$A$1:$Z$20000,MATCH(A82,'Semrush Data'!$A$1:$A$20000,0),MATCH("CPC*",'Semrush Data'!$A$1:$Z$1,0)),"")</f>
        <v>0</v>
      </c>
      <c r="J82" s="7" t="str">
        <f aca="false">IFERROR(INDEX('Semrush Data'!$A$1:$Z$20000,MATCH(A82,'Semrush Data'!$A$1:$A$20000,0),MATCH("Intent",'Semrush Data'!$A$1:$Z$1,0)),"")</f>
        <v>Informational</v>
      </c>
    </row>
    <row r="83" customFormat="false" ht="15" hidden="false" customHeight="true" outlineLevel="0" collapsed="false">
      <c r="A83" s="7" t="s">
        <v>6534</v>
      </c>
      <c r="B83" s="7" t="s">
        <v>256</v>
      </c>
      <c r="C83" s="7" t="n">
        <v>1</v>
      </c>
      <c r="D83" s="7" t="n">
        <v>1</v>
      </c>
      <c r="E83" s="7" t="n">
        <v>76</v>
      </c>
      <c r="F83" s="7" t="s">
        <v>6535</v>
      </c>
      <c r="G83" s="12" t="n">
        <f aca="false">IFERROR(INDEX('Semrush Data'!$A$1:$Z$20000,MATCH(A83,'Semrush Data'!$A$1:$A$20000,0),MATCH("Volume",'Semrush Data'!$A$1:$Z$1,0)),"")</f>
        <v>0</v>
      </c>
      <c r="H83" s="7" t="n">
        <f aca="false">IFERROR(INDEX('Semrush Data'!$A$1:$Z$20000,MATCH(A83,'Semrush Data'!$A$1:$A$20000,0),MATCH("Keyword Difficulty*",'Semrush Data'!$A$1:$Z$1,0)),"")</f>
        <v>17</v>
      </c>
      <c r="I83" s="13" t="n">
        <f aca="false">IFERROR(INDEX('Semrush Data'!$A$1:$Z$20000,MATCH(A83,'Semrush Data'!$A$1:$A$20000,0),MATCH("CPC*",'Semrush Data'!$A$1:$Z$1,0)),"")</f>
        <v>0</v>
      </c>
      <c r="J83" s="7" t="str">
        <f aca="false">IFERROR(INDEX('Semrush Data'!$A$1:$Z$20000,MATCH(A83,'Semrush Data'!$A$1:$A$20000,0),MATCH("Intent",'Semrush Data'!$A$1:$Z$1,0)),"")</f>
        <v>Commercial</v>
      </c>
    </row>
    <row r="84" customFormat="false" ht="15" hidden="false" customHeight="true" outlineLevel="0" collapsed="false">
      <c r="A84" s="7" t="s">
        <v>4335</v>
      </c>
      <c r="B84" s="7" t="s">
        <v>256</v>
      </c>
      <c r="C84" s="7" t="n">
        <v>1</v>
      </c>
      <c r="D84" s="7" t="n">
        <v>1</v>
      </c>
      <c r="E84" s="7" t="n">
        <v>13</v>
      </c>
      <c r="F84" s="7" t="s">
        <v>6536</v>
      </c>
      <c r="G84" s="12" t="n">
        <f aca="false">IFERROR(INDEX('Semrush Data'!$A$1:$Z$20000,MATCH(A84,'Semrush Data'!$A$1:$A$20000,0),MATCH("Volume",'Semrush Data'!$A$1:$Z$1,0)),"")</f>
        <v>30</v>
      </c>
      <c r="H84" s="7" t="n">
        <f aca="false">IFERROR(INDEX('Semrush Data'!$A$1:$Z$20000,MATCH(A84,'Semrush Data'!$A$1:$A$20000,0),MATCH("Keyword Difficulty*",'Semrush Data'!$A$1:$Z$1,0)),"")</f>
        <v>16</v>
      </c>
      <c r="I84" s="13" t="n">
        <f aca="false">IFERROR(INDEX('Semrush Data'!$A$1:$Z$20000,MATCH(A84,'Semrush Data'!$A$1:$A$20000,0),MATCH("CPC*",'Semrush Data'!$A$1:$Z$1,0)),"")</f>
        <v>0.54</v>
      </c>
      <c r="J84" s="7" t="str">
        <f aca="false">IFERROR(INDEX('Semrush Data'!$A$1:$Z$20000,MATCH(A84,'Semrush Data'!$A$1:$A$20000,0),MATCH("Intent",'Semrush Data'!$A$1:$Z$1,0)),"")</f>
        <v>Informational</v>
      </c>
    </row>
    <row r="85" customFormat="false" ht="15" hidden="false" customHeight="true" outlineLevel="0" collapsed="false">
      <c r="A85" s="7" t="s">
        <v>6537</v>
      </c>
      <c r="B85" s="7" t="s">
        <v>256</v>
      </c>
      <c r="C85" s="7" t="n">
        <v>1</v>
      </c>
      <c r="D85" s="7" t="n">
        <v>1</v>
      </c>
      <c r="E85" s="7" t="n">
        <v>7</v>
      </c>
      <c r="F85" s="7" t="s">
        <v>6538</v>
      </c>
      <c r="G85" s="12" t="n">
        <f aca="false">IFERROR(INDEX('Semrush Data'!$A$1:$Z$20000,MATCH(A85,'Semrush Data'!$A$1:$A$20000,0),MATCH("Volume",'Semrush Data'!$A$1:$Z$1,0)),"")</f>
        <v>0</v>
      </c>
      <c r="H85" s="7" t="n">
        <f aca="false">IFERROR(INDEX('Semrush Data'!$A$1:$Z$20000,MATCH(A85,'Semrush Data'!$A$1:$A$20000,0),MATCH("Keyword Difficulty*",'Semrush Data'!$A$1:$Z$1,0)),"")</f>
        <v>21</v>
      </c>
      <c r="I85" s="13" t="n">
        <f aca="false">IFERROR(INDEX('Semrush Data'!$A$1:$Z$20000,MATCH(A85,'Semrush Data'!$A$1:$A$20000,0),MATCH("CPC*",'Semrush Data'!$A$1:$Z$1,0)),"")</f>
        <v>0</v>
      </c>
      <c r="J85" s="7" t="str">
        <f aca="false">IFERROR(INDEX('Semrush Data'!$A$1:$Z$20000,MATCH(A85,'Semrush Data'!$A$1:$A$20000,0),MATCH("Intent",'Semrush Data'!$A$1:$Z$1,0)),"")</f>
        <v>Informational</v>
      </c>
    </row>
    <row r="86" customFormat="false" ht="15" hidden="false" customHeight="true" outlineLevel="0" collapsed="false">
      <c r="A86" s="7" t="s">
        <v>6539</v>
      </c>
      <c r="B86" s="7" t="s">
        <v>256</v>
      </c>
      <c r="C86" s="7" t="n">
        <v>1</v>
      </c>
      <c r="D86" s="7" t="n">
        <v>1</v>
      </c>
      <c r="E86" s="7" t="n">
        <v>2</v>
      </c>
      <c r="F86" s="7" t="s">
        <v>6540</v>
      </c>
      <c r="G86" s="12" t="n">
        <f aca="false">IFERROR(INDEX('Semrush Data'!$A$1:$Z$20000,MATCH(A86,'Semrush Data'!$A$1:$A$20000,0),MATCH("Volume",'Semrush Data'!$A$1:$Z$1,0)),"")</f>
        <v>0</v>
      </c>
      <c r="H86" s="7" t="n">
        <f aca="false">IFERROR(INDEX('Semrush Data'!$A$1:$Z$20000,MATCH(A86,'Semrush Data'!$A$1:$A$20000,0),MATCH("Keyword Difficulty*",'Semrush Data'!$A$1:$Z$1,0)),"")</f>
        <v>17</v>
      </c>
      <c r="I86" s="13" t="n">
        <f aca="false">IFERROR(INDEX('Semrush Data'!$A$1:$Z$20000,MATCH(A86,'Semrush Data'!$A$1:$A$20000,0),MATCH("CPC*",'Semrush Data'!$A$1:$Z$1,0)),"")</f>
        <v>0</v>
      </c>
      <c r="J86" s="7" t="str">
        <f aca="false">IFERROR(INDEX('Semrush Data'!$A$1:$Z$20000,MATCH(A86,'Semrush Data'!$A$1:$A$20000,0),MATCH("Intent",'Semrush Data'!$A$1:$Z$1,0)),"")</f>
        <v>Informational</v>
      </c>
    </row>
    <row r="87" customFormat="false" ht="15" hidden="false" customHeight="true" outlineLevel="0" collapsed="false">
      <c r="A87" s="7" t="s">
        <v>6541</v>
      </c>
      <c r="B87" s="7" t="s">
        <v>256</v>
      </c>
      <c r="C87" s="7" t="n">
        <v>1</v>
      </c>
      <c r="D87" s="7" t="n">
        <v>1</v>
      </c>
      <c r="E87" s="7" t="n">
        <v>1</v>
      </c>
      <c r="F87" s="7" t="s">
        <v>5842</v>
      </c>
      <c r="G87" s="12" t="n">
        <f aca="false">IFERROR(INDEX('Semrush Data'!$A$1:$Z$20000,MATCH(A87,'Semrush Data'!$A$1:$A$20000,0),MATCH("Volume",'Semrush Data'!$A$1:$Z$1,0)),"")</f>
        <v>20</v>
      </c>
      <c r="H87" s="7" t="n">
        <f aca="false">IFERROR(INDEX('Semrush Data'!$A$1:$Z$20000,MATCH(A87,'Semrush Data'!$A$1:$A$20000,0),MATCH("Keyword Difficulty*",'Semrush Data'!$A$1:$Z$1,0)),"")</f>
        <v>10</v>
      </c>
      <c r="I87" s="13" t="n">
        <f aca="false">IFERROR(INDEX('Semrush Data'!$A$1:$Z$20000,MATCH(A87,'Semrush Data'!$A$1:$A$20000,0),MATCH("CPC*",'Semrush Data'!$A$1:$Z$1,0)),"")</f>
        <v>0</v>
      </c>
      <c r="J87" s="7" t="str">
        <f aca="false">IFERROR(INDEX('Semrush Data'!$A$1:$Z$20000,MATCH(A87,'Semrush Data'!$A$1:$A$20000,0),MATCH("Intent",'Semrush Data'!$A$1:$Z$1,0)),"")</f>
        <v>Informational</v>
      </c>
    </row>
    <row r="88" customFormat="false" ht="15" hidden="false" customHeight="true" outlineLevel="0" collapsed="false">
      <c r="A88" s="7" t="s">
        <v>6542</v>
      </c>
      <c r="B88" s="7" t="s">
        <v>256</v>
      </c>
      <c r="C88" s="7" t="n">
        <v>1</v>
      </c>
      <c r="D88" s="7" t="n">
        <v>1</v>
      </c>
      <c r="E88" s="7" t="n">
        <v>1</v>
      </c>
      <c r="F88" s="7" t="s">
        <v>3983</v>
      </c>
      <c r="G88" s="12" t="n">
        <f aca="false">IFERROR(INDEX('Semrush Data'!$A$1:$Z$20000,MATCH(A88,'Semrush Data'!$A$1:$A$20000,0),MATCH("Volume",'Semrush Data'!$A$1:$Z$1,0)),"")</f>
        <v>0</v>
      </c>
      <c r="H88" s="7" t="n">
        <f aca="false">IFERROR(INDEX('Semrush Data'!$A$1:$Z$20000,MATCH(A88,'Semrush Data'!$A$1:$A$20000,0),MATCH("Keyword Difficulty*",'Semrush Data'!$A$1:$Z$1,0)),"")</f>
        <v>14</v>
      </c>
      <c r="I88" s="13" t="n">
        <f aca="false">IFERROR(INDEX('Semrush Data'!$A$1:$Z$20000,MATCH(A88,'Semrush Data'!$A$1:$A$20000,0),MATCH("CPC*",'Semrush Data'!$A$1:$Z$1,0)),"")</f>
        <v>0</v>
      </c>
      <c r="J88" s="7" t="str">
        <f aca="false">IFERROR(INDEX('Semrush Data'!$A$1:$Z$20000,MATCH(A88,'Semrush Data'!$A$1:$A$20000,0),MATCH("Intent",'Semrush Data'!$A$1:$Z$1,0)),"")</f>
        <v>Informational Commercial</v>
      </c>
    </row>
    <row r="89" customFormat="false" ht="15" hidden="false" customHeight="true" outlineLevel="0" collapsed="false">
      <c r="A89" s="7" t="s">
        <v>6543</v>
      </c>
      <c r="B89" s="7" t="s">
        <v>256</v>
      </c>
      <c r="C89" s="7" t="n">
        <v>1</v>
      </c>
      <c r="D89" s="7" t="n">
        <v>1</v>
      </c>
      <c r="E89" s="7" t="n">
        <v>2</v>
      </c>
      <c r="F89" s="7" t="s">
        <v>6544</v>
      </c>
      <c r="G89" s="12" t="n">
        <f aca="false">IFERROR(INDEX('Semrush Data'!$A$1:$Z$20000,MATCH(A89,'Semrush Data'!$A$1:$A$20000,0),MATCH("Volume",'Semrush Data'!$A$1:$Z$1,0)),"")</f>
        <v>0</v>
      </c>
      <c r="H89" s="7" t="n">
        <f aca="false">IFERROR(INDEX('Semrush Data'!$A$1:$Z$20000,MATCH(A89,'Semrush Data'!$A$1:$A$20000,0),MATCH("Keyword Difficulty*",'Semrush Data'!$A$1:$Z$1,0)),"")</f>
        <v>5</v>
      </c>
      <c r="I89" s="13" t="n">
        <f aca="false">IFERROR(INDEX('Semrush Data'!$A$1:$Z$20000,MATCH(A89,'Semrush Data'!$A$1:$A$20000,0),MATCH("CPC*",'Semrush Data'!$A$1:$Z$1,0)),"")</f>
        <v>0</v>
      </c>
      <c r="J89" s="7" t="str">
        <f aca="false">IFERROR(INDEX('Semrush Data'!$A$1:$Z$20000,MATCH(A89,'Semrush Data'!$A$1:$A$20000,0),MATCH("Intent",'Semrush Data'!$A$1:$Z$1,0)),"")</f>
        <v>Commercial</v>
      </c>
    </row>
    <row r="90" customFormat="false" ht="15" hidden="false" customHeight="true" outlineLevel="0" collapsed="false">
      <c r="A90" s="7" t="s">
        <v>6545</v>
      </c>
      <c r="B90" s="7" t="s">
        <v>256</v>
      </c>
      <c r="C90" s="7" t="n">
        <v>1</v>
      </c>
      <c r="D90" s="7" t="n">
        <v>1</v>
      </c>
      <c r="E90" s="7" t="n">
        <v>17</v>
      </c>
      <c r="F90" s="7" t="s">
        <v>6546</v>
      </c>
      <c r="G90" s="12" t="n">
        <f aca="false">IFERROR(INDEX('Semrush Data'!$A$1:$Z$20000,MATCH(A90,'Semrush Data'!$A$1:$A$20000,0),MATCH("Volume",'Semrush Data'!$A$1:$Z$1,0)),"")</f>
        <v>20</v>
      </c>
      <c r="H90" s="7" t="n">
        <f aca="false">IFERROR(INDEX('Semrush Data'!$A$1:$Z$20000,MATCH(A90,'Semrush Data'!$A$1:$A$20000,0),MATCH("Keyword Difficulty*",'Semrush Data'!$A$1:$Z$1,0)),"")</f>
        <v>0</v>
      </c>
      <c r="I90" s="13" t="n">
        <f aca="false">IFERROR(INDEX('Semrush Data'!$A$1:$Z$20000,MATCH(A90,'Semrush Data'!$A$1:$A$20000,0),MATCH("CPC*",'Semrush Data'!$A$1:$Z$1,0)),"")</f>
        <v>0</v>
      </c>
      <c r="J90" s="7" t="str">
        <f aca="false">IFERROR(INDEX('Semrush Data'!$A$1:$Z$20000,MATCH(A90,'Semrush Data'!$A$1:$A$20000,0),MATCH("Intent",'Semrush Data'!$A$1:$Z$1,0)),"")</f>
        <v>Informational</v>
      </c>
    </row>
    <row r="91" customFormat="false" ht="15" hidden="false" customHeight="true" outlineLevel="0" collapsed="false">
      <c r="A91" s="7" t="s">
        <v>6547</v>
      </c>
      <c r="B91" s="7" t="s">
        <v>256</v>
      </c>
      <c r="C91" s="7" t="n">
        <v>1</v>
      </c>
      <c r="D91" s="7" t="n">
        <v>1</v>
      </c>
      <c r="E91" s="7" t="n">
        <v>3</v>
      </c>
      <c r="F91" s="7" t="s">
        <v>6548</v>
      </c>
      <c r="G91" s="12" t="n">
        <f aca="false">IFERROR(INDEX('Semrush Data'!$A$1:$Z$20000,MATCH(A91,'Semrush Data'!$A$1:$A$20000,0),MATCH("Volume",'Semrush Data'!$A$1:$Z$1,0)),"")</f>
        <v>0</v>
      </c>
      <c r="H91" s="7" t="n">
        <f aca="false">IFERROR(INDEX('Semrush Data'!$A$1:$Z$20000,MATCH(A91,'Semrush Data'!$A$1:$A$20000,0),MATCH("Keyword Difficulty*",'Semrush Data'!$A$1:$Z$1,0)),"")</f>
        <v>7</v>
      </c>
      <c r="I91" s="13" t="n">
        <f aca="false">IFERROR(INDEX('Semrush Data'!$A$1:$Z$20000,MATCH(A91,'Semrush Data'!$A$1:$A$20000,0),MATCH("CPC*",'Semrush Data'!$A$1:$Z$1,0)),"")</f>
        <v>0</v>
      </c>
      <c r="J91" s="7" t="str">
        <f aca="false">IFERROR(INDEX('Semrush Data'!$A$1:$Z$20000,MATCH(A91,'Semrush Data'!$A$1:$A$20000,0),MATCH("Intent",'Semrush Data'!$A$1:$Z$1,0)),"")</f>
        <v>Informational</v>
      </c>
    </row>
    <row r="92" customFormat="false" ht="15" hidden="false" customHeight="true" outlineLevel="0" collapsed="false">
      <c r="A92" s="7" t="s">
        <v>6549</v>
      </c>
      <c r="B92" s="7" t="s">
        <v>256</v>
      </c>
      <c r="C92" s="7" t="n">
        <v>1</v>
      </c>
      <c r="D92" s="7" t="n">
        <v>1</v>
      </c>
      <c r="E92" s="7" t="n">
        <v>2</v>
      </c>
      <c r="F92" s="7" t="s">
        <v>6550</v>
      </c>
      <c r="G92" s="12" t="n">
        <f aca="false">IFERROR(INDEX('Semrush Data'!$A$1:$Z$20000,MATCH(A92,'Semrush Data'!$A$1:$A$20000,0),MATCH("Volume",'Semrush Data'!$A$1:$Z$1,0)),"")</f>
        <v>0</v>
      </c>
      <c r="H92" s="7" t="n">
        <f aca="false">IFERROR(INDEX('Semrush Data'!$A$1:$Z$20000,MATCH(A92,'Semrush Data'!$A$1:$A$20000,0),MATCH("Keyword Difficulty*",'Semrush Data'!$A$1:$Z$1,0)),"")</f>
        <v>13</v>
      </c>
      <c r="I92" s="13" t="n">
        <f aca="false">IFERROR(INDEX('Semrush Data'!$A$1:$Z$20000,MATCH(A92,'Semrush Data'!$A$1:$A$20000,0),MATCH("CPC*",'Semrush Data'!$A$1:$Z$1,0)),"")</f>
        <v>0</v>
      </c>
      <c r="J92" s="7" t="str">
        <f aca="false">IFERROR(INDEX('Semrush Data'!$A$1:$Z$20000,MATCH(A92,'Semrush Data'!$A$1:$A$20000,0),MATCH("Intent",'Semrush Data'!$A$1:$Z$1,0)),"")</f>
        <v>Informational Transactional</v>
      </c>
    </row>
    <row r="93" customFormat="false" ht="15" hidden="false" customHeight="true" outlineLevel="0" collapsed="false">
      <c r="A93" s="7" t="s">
        <v>6551</v>
      </c>
      <c r="B93" s="7" t="s">
        <v>256</v>
      </c>
      <c r="C93" s="7" t="n">
        <v>1</v>
      </c>
      <c r="D93" s="7" t="n">
        <v>1</v>
      </c>
      <c r="E93" s="7" t="n">
        <v>1</v>
      </c>
      <c r="F93" s="7" t="s">
        <v>4568</v>
      </c>
      <c r="G93" s="12" t="n">
        <f aca="false">IFERROR(INDEX('Semrush Data'!$A$1:$Z$20000,MATCH(A93,'Semrush Data'!$A$1:$A$20000,0),MATCH("Volume",'Semrush Data'!$A$1:$Z$1,0)),"")</f>
        <v>170</v>
      </c>
      <c r="H93" s="7" t="n">
        <f aca="false">IFERROR(INDEX('Semrush Data'!$A$1:$Z$20000,MATCH(A93,'Semrush Data'!$A$1:$A$20000,0),MATCH("Keyword Difficulty*",'Semrush Data'!$A$1:$Z$1,0)),"")</f>
        <v>30</v>
      </c>
      <c r="I93" s="13" t="n">
        <f aca="false">IFERROR(INDEX('Semrush Data'!$A$1:$Z$20000,MATCH(A93,'Semrush Data'!$A$1:$A$20000,0),MATCH("CPC*",'Semrush Data'!$A$1:$Z$1,0)),"")</f>
        <v>0.38</v>
      </c>
      <c r="J93" s="7" t="str">
        <f aca="false">IFERROR(INDEX('Semrush Data'!$A$1:$Z$20000,MATCH(A93,'Semrush Data'!$A$1:$A$20000,0),MATCH("Intent",'Semrush Data'!$A$1:$Z$1,0)),"")</f>
        <v>Informational</v>
      </c>
    </row>
    <row r="94" customFormat="false" ht="15" hidden="false" customHeight="true" outlineLevel="0" collapsed="false">
      <c r="A94" s="7" t="s">
        <v>6552</v>
      </c>
      <c r="B94" s="7" t="s">
        <v>256</v>
      </c>
      <c r="C94" s="7" t="n">
        <v>1</v>
      </c>
      <c r="D94" s="7" t="n">
        <v>1</v>
      </c>
      <c r="E94" s="7" t="n">
        <v>1</v>
      </c>
      <c r="F94" s="7" t="s">
        <v>4568</v>
      </c>
      <c r="G94" s="12" t="n">
        <f aca="false">IFERROR(INDEX('Semrush Data'!$A$1:$Z$20000,MATCH(A94,'Semrush Data'!$A$1:$A$20000,0),MATCH("Volume",'Semrush Data'!$A$1:$Z$1,0)),"")</f>
        <v>0</v>
      </c>
      <c r="H94" s="7" t="n">
        <f aca="false">IFERROR(INDEX('Semrush Data'!$A$1:$Z$20000,MATCH(A94,'Semrush Data'!$A$1:$A$20000,0),MATCH("Keyword Difficulty*",'Semrush Data'!$A$1:$Z$1,0)),"")</f>
        <v>29</v>
      </c>
      <c r="I94" s="13" t="n">
        <f aca="false">IFERROR(INDEX('Semrush Data'!$A$1:$Z$20000,MATCH(A94,'Semrush Data'!$A$1:$A$20000,0),MATCH("CPC*",'Semrush Data'!$A$1:$Z$1,0)),"")</f>
        <v>0</v>
      </c>
      <c r="J94" s="7" t="str">
        <f aca="false">IFERROR(INDEX('Semrush Data'!$A$1:$Z$20000,MATCH(A94,'Semrush Data'!$A$1:$A$20000,0),MATCH("Intent",'Semrush Data'!$A$1:$Z$1,0)),"")</f>
        <v>Informational Transactional</v>
      </c>
    </row>
    <row r="95" customFormat="false" ht="15" hidden="false" customHeight="true" outlineLevel="0" collapsed="false">
      <c r="A95" s="7" t="s">
        <v>273</v>
      </c>
      <c r="B95" s="7" t="s">
        <v>256</v>
      </c>
      <c r="C95" s="7" t="n">
        <v>1</v>
      </c>
      <c r="D95" s="7" t="n">
        <v>1</v>
      </c>
      <c r="E95" s="7" t="n">
        <v>1</v>
      </c>
      <c r="F95" s="7" t="s">
        <v>4580</v>
      </c>
      <c r="G95" s="12" t="n">
        <f aca="false">IFERROR(INDEX('Semrush Data'!$A$1:$Z$20000,MATCH(A95,'Semrush Data'!$A$1:$A$20000,0),MATCH("Volume",'Semrush Data'!$A$1:$Z$1,0)),"")</f>
        <v>8100</v>
      </c>
      <c r="H95" s="7" t="n">
        <f aca="false">IFERROR(INDEX('Semrush Data'!$A$1:$Z$20000,MATCH(A95,'Semrush Data'!$A$1:$A$20000,0),MATCH("Keyword Difficulty*",'Semrush Data'!$A$1:$Z$1,0)),"")</f>
        <v>32</v>
      </c>
      <c r="I95" s="13" t="n">
        <f aca="false">IFERROR(INDEX('Semrush Data'!$A$1:$Z$20000,MATCH(A95,'Semrush Data'!$A$1:$A$20000,0),MATCH("CPC*",'Semrush Data'!$A$1:$Z$1,0)),"")</f>
        <v>0.38</v>
      </c>
      <c r="J95" s="7" t="str">
        <f aca="false">IFERROR(INDEX('Semrush Data'!$A$1:$Z$20000,MATCH(A95,'Semrush Data'!$A$1:$A$20000,0),MATCH("Intent",'Semrush Data'!$A$1:$Z$1,0)),"")</f>
        <v>Informational</v>
      </c>
    </row>
    <row r="96" customFormat="false" ht="15" hidden="false" customHeight="true" outlineLevel="0" collapsed="false">
      <c r="A96" s="7" t="s">
        <v>6553</v>
      </c>
      <c r="B96" s="7" t="s">
        <v>256</v>
      </c>
      <c r="C96" s="7" t="n">
        <v>1</v>
      </c>
      <c r="D96" s="7" t="n">
        <v>1</v>
      </c>
      <c r="E96" s="7" t="n">
        <v>1</v>
      </c>
      <c r="F96" s="7" t="s">
        <v>4580</v>
      </c>
      <c r="G96" s="12" t="n">
        <f aca="false">IFERROR(INDEX('Semrush Data'!$A$1:$Z$20000,MATCH(A96,'Semrush Data'!$A$1:$A$20000,0),MATCH("Volume",'Semrush Data'!$A$1:$Z$1,0)),"")</f>
        <v>40</v>
      </c>
      <c r="H96" s="7" t="n">
        <f aca="false">IFERROR(INDEX('Semrush Data'!$A$1:$Z$20000,MATCH(A96,'Semrush Data'!$A$1:$A$20000,0),MATCH("Keyword Difficulty*",'Semrush Data'!$A$1:$Z$1,0)),"")</f>
        <v>20</v>
      </c>
      <c r="I96" s="13" t="n">
        <f aca="false">IFERROR(INDEX('Semrush Data'!$A$1:$Z$20000,MATCH(A96,'Semrush Data'!$A$1:$A$20000,0),MATCH("CPC*",'Semrush Data'!$A$1:$Z$1,0)),"")</f>
        <v>0.38</v>
      </c>
      <c r="J96" s="7" t="str">
        <f aca="false">IFERROR(INDEX('Semrush Data'!$A$1:$Z$20000,MATCH(A96,'Semrush Data'!$A$1:$A$20000,0),MATCH("Intent",'Semrush Data'!$A$1:$Z$1,0)),"")</f>
        <v>Informational Transactional</v>
      </c>
    </row>
    <row r="97" customFormat="false" ht="15" hidden="false" customHeight="true" outlineLevel="0" collapsed="false">
      <c r="A97" s="7" t="s">
        <v>267</v>
      </c>
      <c r="B97" s="7" t="s">
        <v>256</v>
      </c>
      <c r="C97" s="7" t="n">
        <v>1</v>
      </c>
      <c r="D97" s="7" t="n">
        <v>1</v>
      </c>
      <c r="E97" s="7" t="n">
        <v>2</v>
      </c>
      <c r="F97" s="7" t="s">
        <v>6554</v>
      </c>
      <c r="G97" s="12" t="n">
        <f aca="false">IFERROR(INDEX('Semrush Data'!$A$1:$Z$20000,MATCH(A97,'Semrush Data'!$A$1:$A$20000,0),MATCH("Volume",'Semrush Data'!$A$1:$Z$1,0)),"")</f>
        <v>12100</v>
      </c>
      <c r="H97" s="7" t="n">
        <f aca="false">IFERROR(INDEX('Semrush Data'!$A$1:$Z$20000,MATCH(A97,'Semrush Data'!$A$1:$A$20000,0),MATCH("Keyword Difficulty*",'Semrush Data'!$A$1:$Z$1,0)),"")</f>
        <v>34</v>
      </c>
      <c r="I97" s="13" t="n">
        <f aca="false">IFERROR(INDEX('Semrush Data'!$A$1:$Z$20000,MATCH(A97,'Semrush Data'!$A$1:$A$20000,0),MATCH("CPC*",'Semrush Data'!$A$1:$Z$1,0)),"")</f>
        <v>0.45</v>
      </c>
      <c r="J97" s="7" t="str">
        <f aca="false">IFERROR(INDEX('Semrush Data'!$A$1:$Z$20000,MATCH(A97,'Semrush Data'!$A$1:$A$20000,0),MATCH("Intent",'Semrush Data'!$A$1:$Z$1,0)),"")</f>
        <v>Informational</v>
      </c>
    </row>
    <row r="98" customFormat="false" ht="15" hidden="false" customHeight="true" outlineLevel="0" collapsed="false">
      <c r="A98" s="7" t="s">
        <v>6555</v>
      </c>
      <c r="B98" s="7" t="s">
        <v>256</v>
      </c>
      <c r="C98" s="7" t="n">
        <v>1</v>
      </c>
      <c r="D98" s="7" t="n">
        <v>1</v>
      </c>
      <c r="E98" s="7" t="n">
        <v>1</v>
      </c>
      <c r="F98" s="7" t="s">
        <v>4604</v>
      </c>
      <c r="G98" s="12" t="n">
        <f aca="false">IFERROR(INDEX('Semrush Data'!$A$1:$Z$20000,MATCH(A98,'Semrush Data'!$A$1:$A$20000,0),MATCH("Volume",'Semrush Data'!$A$1:$Z$1,0)),"")</f>
        <v>320</v>
      </c>
      <c r="H98" s="7" t="n">
        <f aca="false">IFERROR(INDEX('Semrush Data'!$A$1:$Z$20000,MATCH(A98,'Semrush Data'!$A$1:$A$20000,0),MATCH("Keyword Difficulty*",'Semrush Data'!$A$1:$Z$1,0)),"")</f>
        <v>15</v>
      </c>
      <c r="I98" s="13" t="n">
        <f aca="false">IFERROR(INDEX('Semrush Data'!$A$1:$Z$20000,MATCH(A98,'Semrush Data'!$A$1:$A$20000,0),MATCH("CPC*",'Semrush Data'!$A$1:$Z$1,0)),"")</f>
        <v>0.33</v>
      </c>
      <c r="J98" s="7" t="str">
        <f aca="false">IFERROR(INDEX('Semrush Data'!$A$1:$Z$20000,MATCH(A98,'Semrush Data'!$A$1:$A$20000,0),MATCH("Intent",'Semrush Data'!$A$1:$Z$1,0)),"")</f>
        <v>Informational</v>
      </c>
    </row>
    <row r="99" customFormat="false" ht="15" hidden="false" customHeight="true" outlineLevel="0" collapsed="false">
      <c r="A99" s="7" t="s">
        <v>6556</v>
      </c>
      <c r="B99" s="7" t="s">
        <v>256</v>
      </c>
      <c r="C99" s="7" t="n">
        <v>1</v>
      </c>
      <c r="D99" s="7" t="n">
        <v>1</v>
      </c>
      <c r="E99" s="7" t="n">
        <v>1</v>
      </c>
      <c r="F99" s="7" t="s">
        <v>112</v>
      </c>
      <c r="G99" s="12" t="n">
        <f aca="false">IFERROR(INDEX('Semrush Data'!$A$1:$Z$20000,MATCH(A99,'Semrush Data'!$A$1:$A$20000,0),MATCH("Volume",'Semrush Data'!$A$1:$Z$1,0)),"")</f>
        <v>590</v>
      </c>
      <c r="H99" s="7" t="n">
        <f aca="false">IFERROR(INDEX('Semrush Data'!$A$1:$Z$20000,MATCH(A99,'Semrush Data'!$A$1:$A$20000,0),MATCH("Keyword Difficulty*",'Semrush Data'!$A$1:$Z$1,0)),"")</f>
        <v>26</v>
      </c>
      <c r="I99" s="13" t="n">
        <f aca="false">IFERROR(INDEX('Semrush Data'!$A$1:$Z$20000,MATCH(A99,'Semrush Data'!$A$1:$A$20000,0),MATCH("CPC*",'Semrush Data'!$A$1:$Z$1,0)),"")</f>
        <v>0.33</v>
      </c>
      <c r="J99" s="7" t="str">
        <f aca="false">IFERROR(INDEX('Semrush Data'!$A$1:$Z$20000,MATCH(A99,'Semrush Data'!$A$1:$A$20000,0),MATCH("Intent",'Semrush Data'!$A$1:$Z$1,0)),"")</f>
        <v>Informational</v>
      </c>
    </row>
    <row r="100" customFormat="false" ht="15" hidden="false" customHeight="true" outlineLevel="0" collapsed="false">
      <c r="A100" s="7" t="s">
        <v>6557</v>
      </c>
      <c r="B100" s="7" t="s">
        <v>256</v>
      </c>
      <c r="C100" s="7" t="n">
        <v>1</v>
      </c>
      <c r="D100" s="7" t="n">
        <v>1</v>
      </c>
      <c r="E100" s="7" t="n">
        <v>1</v>
      </c>
      <c r="F100" s="7" t="s">
        <v>3559</v>
      </c>
      <c r="G100" s="12" t="n">
        <f aca="false">IFERROR(INDEX('Semrush Data'!$A$1:$Z$20000,MATCH(A100,'Semrush Data'!$A$1:$A$20000,0),MATCH("Volume",'Semrush Data'!$A$1:$Z$1,0)),"")</f>
        <v>0</v>
      </c>
      <c r="H100" s="7" t="n">
        <f aca="false">IFERROR(INDEX('Semrush Data'!$A$1:$Z$20000,MATCH(A100,'Semrush Data'!$A$1:$A$20000,0),MATCH("Keyword Difficulty*",'Semrush Data'!$A$1:$Z$1,0)),"")</f>
        <v>9</v>
      </c>
      <c r="I100" s="13" t="n">
        <f aca="false">IFERROR(INDEX('Semrush Data'!$A$1:$Z$20000,MATCH(A100,'Semrush Data'!$A$1:$A$20000,0),MATCH("CPC*",'Semrush Data'!$A$1:$Z$1,0)),"")</f>
        <v>0</v>
      </c>
      <c r="J100" s="7" t="str">
        <f aca="false">IFERROR(INDEX('Semrush Data'!$A$1:$Z$20000,MATCH(A100,'Semrush Data'!$A$1:$A$20000,0),MATCH("Intent",'Semrush Data'!$A$1:$Z$1,0)),"")</f>
        <v>Informational Commercial</v>
      </c>
    </row>
    <row r="101" customFormat="false" ht="15" hidden="false" customHeight="true" outlineLevel="0" collapsed="false">
      <c r="A101" s="7" t="s">
        <v>6558</v>
      </c>
      <c r="B101" s="7" t="s">
        <v>256</v>
      </c>
      <c r="C101" s="7" t="n">
        <v>1</v>
      </c>
      <c r="D101" s="7" t="n">
        <v>1</v>
      </c>
      <c r="E101" s="7" t="n">
        <v>1</v>
      </c>
      <c r="F101" s="7" t="s">
        <v>5985</v>
      </c>
      <c r="G101" s="12" t="n">
        <f aca="false">IFERROR(INDEX('Semrush Data'!$A$1:$Z$20000,MATCH(A101,'Semrush Data'!$A$1:$A$20000,0),MATCH("Volume",'Semrush Data'!$A$1:$Z$1,0)),"")</f>
        <v>0</v>
      </c>
      <c r="H101" s="7" t="n">
        <f aca="false">IFERROR(INDEX('Semrush Data'!$A$1:$Z$20000,MATCH(A101,'Semrush Data'!$A$1:$A$20000,0),MATCH("Keyword Difficulty*",'Semrush Data'!$A$1:$Z$1,0)),"")</f>
        <v>21</v>
      </c>
      <c r="I101" s="13" t="n">
        <f aca="false">IFERROR(INDEX('Semrush Data'!$A$1:$Z$20000,MATCH(A101,'Semrush Data'!$A$1:$A$20000,0),MATCH("CPC*",'Semrush Data'!$A$1:$Z$1,0)),"")</f>
        <v>0</v>
      </c>
      <c r="J101" s="7" t="str">
        <f aca="false">IFERROR(INDEX('Semrush Data'!$A$1:$Z$20000,MATCH(A101,'Semrush Data'!$A$1:$A$20000,0),MATCH("Intent",'Semrush Data'!$A$1:$Z$1,0)),"")</f>
        <v>Informational</v>
      </c>
    </row>
    <row r="102" customFormat="false" ht="15" hidden="false" customHeight="true" outlineLevel="0" collapsed="false">
      <c r="A102" s="7" t="s">
        <v>264</v>
      </c>
      <c r="B102" s="7" t="s">
        <v>256</v>
      </c>
      <c r="C102" s="7" t="n">
        <v>1</v>
      </c>
      <c r="D102" s="7" t="n">
        <v>2</v>
      </c>
      <c r="E102" s="7" t="n">
        <v>13</v>
      </c>
      <c r="F102" s="7" t="s">
        <v>6559</v>
      </c>
      <c r="G102" s="12" t="n">
        <f aca="false">IFERROR(INDEX('Semrush Data'!$A$1:$Z$20000,MATCH(A102,'Semrush Data'!$A$1:$A$20000,0),MATCH("Volume",'Semrush Data'!$A$1:$Z$1,0)),"")</f>
        <v>18100</v>
      </c>
      <c r="H102" s="7" t="n">
        <f aca="false">IFERROR(INDEX('Semrush Data'!$A$1:$Z$20000,MATCH(A102,'Semrush Data'!$A$1:$A$20000,0),MATCH("Keyword Difficulty*",'Semrush Data'!$A$1:$Z$1,0)),"")</f>
        <v>41</v>
      </c>
      <c r="I102" s="13" t="n">
        <f aca="false">IFERROR(INDEX('Semrush Data'!$A$1:$Z$20000,MATCH(A102,'Semrush Data'!$A$1:$A$20000,0),MATCH("CPC*",'Semrush Data'!$A$1:$Z$1,0)),"")</f>
        <v>0.32</v>
      </c>
      <c r="J102" s="7" t="str">
        <f aca="false">IFERROR(INDEX('Semrush Data'!$A$1:$Z$20000,MATCH(A102,'Semrush Data'!$A$1:$A$20000,0),MATCH("Intent",'Semrush Data'!$A$1:$Z$1,0)),"")</f>
        <v>Informational Transactional</v>
      </c>
    </row>
    <row r="103" customFormat="false" ht="15" hidden="false" customHeight="true" outlineLevel="0" collapsed="false">
      <c r="A103" s="7" t="s">
        <v>6560</v>
      </c>
      <c r="B103" s="7" t="s">
        <v>256</v>
      </c>
      <c r="C103" s="7" t="n">
        <v>1</v>
      </c>
      <c r="D103" s="7" t="n">
        <v>2</v>
      </c>
      <c r="E103" s="7" t="n">
        <v>1</v>
      </c>
      <c r="F103" s="7" t="s">
        <v>78</v>
      </c>
      <c r="G103" s="12" t="n">
        <f aca="false">IFERROR(INDEX('Semrush Data'!$A$1:$Z$20000,MATCH(A103,'Semrush Data'!$A$1:$A$20000,0),MATCH("Volume",'Semrush Data'!$A$1:$Z$1,0)),"")</f>
        <v>880</v>
      </c>
      <c r="H103" s="7" t="n">
        <f aca="false">IFERROR(INDEX('Semrush Data'!$A$1:$Z$20000,MATCH(A103,'Semrush Data'!$A$1:$A$20000,0),MATCH("Keyword Difficulty*",'Semrush Data'!$A$1:$Z$1,0)),"")</f>
        <v>15</v>
      </c>
      <c r="I103" s="13" t="n">
        <f aca="false">IFERROR(INDEX('Semrush Data'!$A$1:$Z$20000,MATCH(A103,'Semrush Data'!$A$1:$A$20000,0),MATCH("CPC*",'Semrush Data'!$A$1:$Z$1,0)),"")</f>
        <v>0.38</v>
      </c>
      <c r="J103" s="7" t="str">
        <f aca="false">IFERROR(INDEX('Semrush Data'!$A$1:$Z$20000,MATCH(A103,'Semrush Data'!$A$1:$A$20000,0),MATCH("Intent",'Semrush Data'!$A$1:$Z$1,0)),"")</f>
        <v>Informational Transactional</v>
      </c>
    </row>
    <row r="104" customFormat="false" ht="15" hidden="false" customHeight="true" outlineLevel="0" collapsed="false">
      <c r="A104" s="7" t="s">
        <v>292</v>
      </c>
      <c r="B104" s="7" t="s">
        <v>256</v>
      </c>
      <c r="C104" s="7" t="n">
        <v>1</v>
      </c>
      <c r="D104" s="7" t="n">
        <v>2</v>
      </c>
      <c r="E104" s="7" t="n">
        <v>10</v>
      </c>
      <c r="F104" s="7" t="s">
        <v>6561</v>
      </c>
      <c r="G104" s="12" t="n">
        <f aca="false">IFERROR(INDEX('Semrush Data'!$A$1:$Z$20000,MATCH(A104,'Semrush Data'!$A$1:$A$20000,0),MATCH("Volume",'Semrush Data'!$A$1:$Z$1,0)),"")</f>
        <v>1000</v>
      </c>
      <c r="H104" s="7" t="n">
        <f aca="false">IFERROR(INDEX('Semrush Data'!$A$1:$Z$20000,MATCH(A104,'Semrush Data'!$A$1:$A$20000,0),MATCH("Keyword Difficulty*",'Semrush Data'!$A$1:$Z$1,0)),"")</f>
        <v>33</v>
      </c>
      <c r="I104" s="13" t="n">
        <f aca="false">IFERROR(INDEX('Semrush Data'!$A$1:$Z$20000,MATCH(A104,'Semrush Data'!$A$1:$A$20000,0),MATCH("CPC*",'Semrush Data'!$A$1:$Z$1,0)),"")</f>
        <v>0.32</v>
      </c>
      <c r="J104" s="7" t="str">
        <f aca="false">IFERROR(INDEX('Semrush Data'!$A$1:$Z$20000,MATCH(A104,'Semrush Data'!$A$1:$A$20000,0),MATCH("Intent",'Semrush Data'!$A$1:$Z$1,0)),"")</f>
        <v>Informational Transactional</v>
      </c>
    </row>
    <row r="105" customFormat="false" ht="15" hidden="false" customHeight="true" outlineLevel="0" collapsed="false">
      <c r="A105" s="7" t="s">
        <v>268</v>
      </c>
      <c r="B105" s="7" t="s">
        <v>256</v>
      </c>
      <c r="C105" s="7" t="n">
        <v>1</v>
      </c>
      <c r="D105" s="7" t="n">
        <v>2</v>
      </c>
      <c r="E105" s="7" t="n">
        <v>8</v>
      </c>
      <c r="F105" s="7" t="s">
        <v>6562</v>
      </c>
      <c r="G105" s="12" t="n">
        <f aca="false">IFERROR(INDEX('Semrush Data'!$A$1:$Z$20000,MATCH(A105,'Semrush Data'!$A$1:$A$20000,0),MATCH("Volume",'Semrush Data'!$A$1:$Z$1,0)),"")</f>
        <v>12100</v>
      </c>
      <c r="H105" s="7" t="n">
        <f aca="false">IFERROR(INDEX('Semrush Data'!$A$1:$Z$20000,MATCH(A105,'Semrush Data'!$A$1:$A$20000,0),MATCH("Keyword Difficulty*",'Semrush Data'!$A$1:$Z$1,0)),"")</f>
        <v>28</v>
      </c>
      <c r="I105" s="13" t="n">
        <f aca="false">IFERROR(INDEX('Semrush Data'!$A$1:$Z$20000,MATCH(A105,'Semrush Data'!$A$1:$A$20000,0),MATCH("CPC*",'Semrush Data'!$A$1:$Z$1,0)),"")</f>
        <v>0.55</v>
      </c>
      <c r="J105" s="7" t="str">
        <f aca="false">IFERROR(INDEX('Semrush Data'!$A$1:$Z$20000,MATCH(A105,'Semrush Data'!$A$1:$A$20000,0),MATCH("Intent",'Semrush Data'!$A$1:$Z$1,0)),"")</f>
        <v>Informational Transactional</v>
      </c>
    </row>
    <row r="106" customFormat="false" ht="15" hidden="false" customHeight="true" outlineLevel="0" collapsed="false">
      <c r="A106" s="7" t="s">
        <v>6563</v>
      </c>
      <c r="B106" s="7" t="s">
        <v>256</v>
      </c>
      <c r="C106" s="7" t="n">
        <v>1</v>
      </c>
      <c r="D106" s="7" t="n">
        <v>2</v>
      </c>
      <c r="E106" s="7" t="n">
        <v>1</v>
      </c>
      <c r="F106" s="7" t="s">
        <v>122</v>
      </c>
      <c r="G106" s="12" t="n">
        <f aca="false">IFERROR(INDEX('Semrush Data'!$A$1:$Z$20000,MATCH(A106,'Semrush Data'!$A$1:$A$20000,0),MATCH("Volume",'Semrush Data'!$A$1:$Z$1,0)),"")</f>
        <v>140</v>
      </c>
      <c r="H106" s="7" t="n">
        <f aca="false">IFERROR(INDEX('Semrush Data'!$A$1:$Z$20000,MATCH(A106,'Semrush Data'!$A$1:$A$20000,0),MATCH("Keyword Difficulty*",'Semrush Data'!$A$1:$Z$1,0)),"")</f>
        <v>15</v>
      </c>
      <c r="I106" s="13" t="n">
        <f aca="false">IFERROR(INDEX('Semrush Data'!$A$1:$Z$20000,MATCH(A106,'Semrush Data'!$A$1:$A$20000,0),MATCH("CPC*",'Semrush Data'!$A$1:$Z$1,0)),"")</f>
        <v>0.91</v>
      </c>
      <c r="J106" s="7" t="str">
        <f aca="false">IFERROR(INDEX('Semrush Data'!$A$1:$Z$20000,MATCH(A106,'Semrush Data'!$A$1:$A$20000,0),MATCH("Intent",'Semrush Data'!$A$1:$Z$1,0)),"")</f>
        <v>Commercial</v>
      </c>
    </row>
    <row r="107" customFormat="false" ht="15" hidden="false" customHeight="true" outlineLevel="0" collapsed="false">
      <c r="A107" s="7" t="s">
        <v>6564</v>
      </c>
      <c r="B107" s="7" t="s">
        <v>256</v>
      </c>
      <c r="C107" s="7" t="n">
        <v>1</v>
      </c>
      <c r="D107" s="7" t="n">
        <v>2</v>
      </c>
      <c r="E107" s="7" t="n">
        <v>4</v>
      </c>
      <c r="F107" s="7" t="s">
        <v>6565</v>
      </c>
      <c r="G107" s="12" t="n">
        <f aca="false">IFERROR(INDEX('Semrush Data'!$A$1:$Z$20000,MATCH(A107,'Semrush Data'!$A$1:$A$20000,0),MATCH("Volume",'Semrush Data'!$A$1:$Z$1,0)),"")</f>
        <v>20</v>
      </c>
      <c r="H107" s="7" t="n">
        <f aca="false">IFERROR(INDEX('Semrush Data'!$A$1:$Z$20000,MATCH(A107,'Semrush Data'!$A$1:$A$20000,0),MATCH("Keyword Difficulty*",'Semrush Data'!$A$1:$Z$1,0)),"")</f>
        <v>30</v>
      </c>
      <c r="I107" s="13" t="n">
        <f aca="false">IFERROR(INDEX('Semrush Data'!$A$1:$Z$20000,MATCH(A107,'Semrush Data'!$A$1:$A$20000,0),MATCH("CPC*",'Semrush Data'!$A$1:$Z$1,0)),"")</f>
        <v>0.43</v>
      </c>
      <c r="J107" s="7" t="str">
        <f aca="false">IFERROR(INDEX('Semrush Data'!$A$1:$Z$20000,MATCH(A107,'Semrush Data'!$A$1:$A$20000,0),MATCH("Intent",'Semrush Data'!$A$1:$Z$1,0)),"")</f>
        <v>Informational Transactional</v>
      </c>
    </row>
    <row r="108" customFormat="false" ht="15" hidden="false" customHeight="true" outlineLevel="0" collapsed="false">
      <c r="A108" s="7" t="s">
        <v>6566</v>
      </c>
      <c r="B108" s="7" t="s">
        <v>256</v>
      </c>
      <c r="C108" s="7" t="n">
        <v>1</v>
      </c>
      <c r="D108" s="7" t="n">
        <v>2</v>
      </c>
      <c r="E108" s="7" t="n">
        <v>18</v>
      </c>
      <c r="F108" s="7" t="s">
        <v>6567</v>
      </c>
      <c r="G108" s="12" t="n">
        <f aca="false">IFERROR(INDEX('Semrush Data'!$A$1:$Z$20000,MATCH(A108,'Semrush Data'!$A$1:$A$20000,0),MATCH("Volume",'Semrush Data'!$A$1:$Z$1,0)),"")</f>
        <v>20</v>
      </c>
      <c r="H108" s="7" t="n">
        <f aca="false">IFERROR(INDEX('Semrush Data'!$A$1:$Z$20000,MATCH(A108,'Semrush Data'!$A$1:$A$20000,0),MATCH("Keyword Difficulty*",'Semrush Data'!$A$1:$Z$1,0)),"")</f>
        <v>19</v>
      </c>
      <c r="I108" s="13" t="n">
        <f aca="false">IFERROR(INDEX('Semrush Data'!$A$1:$Z$20000,MATCH(A108,'Semrush Data'!$A$1:$A$20000,0),MATCH("CPC*",'Semrush Data'!$A$1:$Z$1,0)),"")</f>
        <v>0</v>
      </c>
      <c r="J108" s="7" t="str">
        <f aca="false">IFERROR(INDEX('Semrush Data'!$A$1:$Z$20000,MATCH(A108,'Semrush Data'!$A$1:$A$20000,0),MATCH("Intent",'Semrush Data'!$A$1:$Z$1,0)),"")</f>
        <v>Informational Transactional</v>
      </c>
    </row>
    <row r="109" customFormat="false" ht="15" hidden="false" customHeight="true" outlineLevel="0" collapsed="false">
      <c r="A109" s="7" t="s">
        <v>277</v>
      </c>
      <c r="B109" s="7" t="s">
        <v>256</v>
      </c>
      <c r="C109" s="7" t="n">
        <v>1</v>
      </c>
      <c r="D109" s="7" t="n">
        <v>2</v>
      </c>
      <c r="E109" s="7" t="n">
        <v>1</v>
      </c>
      <c r="F109" s="7" t="s">
        <v>4992</v>
      </c>
      <c r="G109" s="12" t="n">
        <f aca="false">IFERROR(INDEX('Semrush Data'!$A$1:$Z$20000,MATCH(A109,'Semrush Data'!$A$1:$A$20000,0),MATCH("Volume",'Semrush Data'!$A$1:$Z$1,0)),"")</f>
        <v>5400</v>
      </c>
      <c r="H109" s="7" t="n">
        <f aca="false">IFERROR(INDEX('Semrush Data'!$A$1:$Z$20000,MATCH(A109,'Semrush Data'!$A$1:$A$20000,0),MATCH("Keyword Difficulty*",'Semrush Data'!$A$1:$Z$1,0)),"")</f>
        <v>30</v>
      </c>
      <c r="I109" s="13" t="n">
        <f aca="false">IFERROR(INDEX('Semrush Data'!$A$1:$Z$20000,MATCH(A109,'Semrush Data'!$A$1:$A$20000,0),MATCH("CPC*",'Semrush Data'!$A$1:$Z$1,0)),"")</f>
        <v>0.26</v>
      </c>
      <c r="J109" s="7" t="str">
        <f aca="false">IFERROR(INDEX('Semrush Data'!$A$1:$Z$20000,MATCH(A109,'Semrush Data'!$A$1:$A$20000,0),MATCH("Intent",'Semrush Data'!$A$1:$Z$1,0)),"")</f>
        <v>Informational Transactional</v>
      </c>
    </row>
    <row r="110" customFormat="false" ht="15" hidden="false" customHeight="true" outlineLevel="0" collapsed="false">
      <c r="A110" s="7" t="s">
        <v>293</v>
      </c>
      <c r="B110" s="7" t="s">
        <v>256</v>
      </c>
      <c r="C110" s="7" t="n">
        <v>1</v>
      </c>
      <c r="D110" s="7" t="n">
        <v>2</v>
      </c>
      <c r="E110" s="7" t="n">
        <v>1</v>
      </c>
      <c r="F110" s="7" t="s">
        <v>5005</v>
      </c>
      <c r="G110" s="12" t="n">
        <f aca="false">IFERROR(INDEX('Semrush Data'!$A$1:$Z$20000,MATCH(A110,'Semrush Data'!$A$1:$A$20000,0),MATCH("Volume",'Semrush Data'!$A$1:$Z$1,0)),"")</f>
        <v>1000</v>
      </c>
      <c r="H110" s="7" t="n">
        <f aca="false">IFERROR(INDEX('Semrush Data'!$A$1:$Z$20000,MATCH(A110,'Semrush Data'!$A$1:$A$20000,0),MATCH("Keyword Difficulty*",'Semrush Data'!$A$1:$Z$1,0)),"")</f>
        <v>22</v>
      </c>
      <c r="I110" s="13" t="n">
        <f aca="false">IFERROR(INDEX('Semrush Data'!$A$1:$Z$20000,MATCH(A110,'Semrush Data'!$A$1:$A$20000,0),MATCH("CPC*",'Semrush Data'!$A$1:$Z$1,0)),"")</f>
        <v>0.29</v>
      </c>
      <c r="J110" s="7" t="str">
        <f aca="false">IFERROR(INDEX('Semrush Data'!$A$1:$Z$20000,MATCH(A110,'Semrush Data'!$A$1:$A$20000,0),MATCH("Intent",'Semrush Data'!$A$1:$Z$1,0)),"")</f>
        <v>Informational Transactional</v>
      </c>
    </row>
    <row r="111" customFormat="false" ht="15" hidden="false" customHeight="true" outlineLevel="0" collapsed="false">
      <c r="A111" s="7" t="s">
        <v>6568</v>
      </c>
      <c r="B111" s="7" t="s">
        <v>256</v>
      </c>
      <c r="C111" s="7" t="n">
        <v>1</v>
      </c>
      <c r="D111" s="7" t="n">
        <v>2</v>
      </c>
      <c r="E111" s="7" t="n">
        <v>1</v>
      </c>
      <c r="F111" s="7" t="s">
        <v>5005</v>
      </c>
      <c r="G111" s="12" t="n">
        <f aca="false">IFERROR(INDEX('Semrush Data'!$A$1:$Z$20000,MATCH(A111,'Semrush Data'!$A$1:$A$20000,0),MATCH("Volume",'Semrush Data'!$A$1:$Z$1,0)),"")</f>
        <v>0</v>
      </c>
      <c r="H111" s="7" t="n">
        <f aca="false">IFERROR(INDEX('Semrush Data'!$A$1:$Z$20000,MATCH(A111,'Semrush Data'!$A$1:$A$20000,0),MATCH("Keyword Difficulty*",'Semrush Data'!$A$1:$Z$1,0)),"")</f>
        <v>12</v>
      </c>
      <c r="I111" s="13" t="n">
        <f aca="false">IFERROR(INDEX('Semrush Data'!$A$1:$Z$20000,MATCH(A111,'Semrush Data'!$A$1:$A$20000,0),MATCH("CPC*",'Semrush Data'!$A$1:$Z$1,0)),"")</f>
        <v>0.31</v>
      </c>
      <c r="J111" s="7" t="str">
        <f aca="false">IFERROR(INDEX('Semrush Data'!$A$1:$Z$20000,MATCH(A111,'Semrush Data'!$A$1:$A$20000,0),MATCH("Intent",'Semrush Data'!$A$1:$Z$1,0)),"")</f>
        <v>Informational Transactional</v>
      </c>
    </row>
    <row r="112" customFormat="false" ht="15" hidden="false" customHeight="true" outlineLevel="0" collapsed="false">
      <c r="A112" s="7" t="s">
        <v>266</v>
      </c>
      <c r="B112" s="7" t="s">
        <v>256</v>
      </c>
      <c r="C112" s="7" t="n">
        <v>1</v>
      </c>
      <c r="D112" s="7" t="n">
        <v>2</v>
      </c>
      <c r="E112" s="7" t="n">
        <v>5</v>
      </c>
      <c r="F112" s="7" t="s">
        <v>6569</v>
      </c>
      <c r="G112" s="12" t="n">
        <f aca="false">IFERROR(INDEX('Semrush Data'!$A$1:$Z$20000,MATCH(A112,'Semrush Data'!$A$1:$A$20000,0),MATCH("Volume",'Semrush Data'!$A$1:$Z$1,0)),"")</f>
        <v>14800</v>
      </c>
      <c r="H112" s="7" t="n">
        <f aca="false">IFERROR(INDEX('Semrush Data'!$A$1:$Z$20000,MATCH(A112,'Semrush Data'!$A$1:$A$20000,0),MATCH("Keyword Difficulty*",'Semrush Data'!$A$1:$Z$1,0)),"")</f>
        <v>41</v>
      </c>
      <c r="I112" s="13" t="n">
        <f aca="false">IFERROR(INDEX('Semrush Data'!$A$1:$Z$20000,MATCH(A112,'Semrush Data'!$A$1:$A$20000,0),MATCH("CPC*",'Semrush Data'!$A$1:$Z$1,0)),"")</f>
        <v>0.32</v>
      </c>
      <c r="J112" s="7" t="str">
        <f aca="false">IFERROR(INDEX('Semrush Data'!$A$1:$Z$20000,MATCH(A112,'Semrush Data'!$A$1:$A$20000,0),MATCH("Intent",'Semrush Data'!$A$1:$Z$1,0)),"")</f>
        <v>Informational</v>
      </c>
    </row>
    <row r="113" customFormat="false" ht="15" hidden="false" customHeight="true" outlineLevel="0" collapsed="false">
      <c r="A113" s="7" t="s">
        <v>6570</v>
      </c>
      <c r="B113" s="7" t="s">
        <v>256</v>
      </c>
      <c r="C113" s="7" t="n">
        <v>1</v>
      </c>
      <c r="D113" s="7" t="n">
        <v>2</v>
      </c>
      <c r="E113" s="7" t="n">
        <v>4</v>
      </c>
      <c r="F113" s="7" t="s">
        <v>6571</v>
      </c>
      <c r="G113" s="12" t="n">
        <f aca="false">IFERROR(INDEX('Semrush Data'!$A$1:$Z$20000,MATCH(A113,'Semrush Data'!$A$1:$A$20000,0),MATCH("Volume",'Semrush Data'!$A$1:$Z$1,0)),"")</f>
        <v>720</v>
      </c>
      <c r="H113" s="7" t="n">
        <f aca="false">IFERROR(INDEX('Semrush Data'!$A$1:$Z$20000,MATCH(A113,'Semrush Data'!$A$1:$A$20000,0),MATCH("Keyword Difficulty*",'Semrush Data'!$A$1:$Z$1,0)),"")</f>
        <v>34</v>
      </c>
      <c r="I113" s="13" t="n">
        <f aca="false">IFERROR(INDEX('Semrush Data'!$A$1:$Z$20000,MATCH(A113,'Semrush Data'!$A$1:$A$20000,0),MATCH("CPC*",'Semrush Data'!$A$1:$Z$1,0)),"")</f>
        <v>0.36</v>
      </c>
      <c r="J113" s="7" t="str">
        <f aca="false">IFERROR(INDEX('Semrush Data'!$A$1:$Z$20000,MATCH(A113,'Semrush Data'!$A$1:$A$20000,0),MATCH("Intent",'Semrush Data'!$A$1:$Z$1,0)),"")</f>
        <v>Informational Transactional</v>
      </c>
    </row>
    <row r="114" customFormat="false" ht="15" hidden="false" customHeight="true" outlineLevel="0" collapsed="false">
      <c r="A114" s="7" t="s">
        <v>6572</v>
      </c>
      <c r="B114" s="7" t="s">
        <v>256</v>
      </c>
      <c r="C114" s="7" t="n">
        <v>1</v>
      </c>
      <c r="D114" s="7" t="n">
        <v>2</v>
      </c>
      <c r="E114" s="7" t="n">
        <v>1</v>
      </c>
      <c r="F114" s="7" t="s">
        <v>104</v>
      </c>
      <c r="G114" s="12" t="n">
        <f aca="false">IFERROR(INDEX('Semrush Data'!$A$1:$Z$20000,MATCH(A114,'Semrush Data'!$A$1:$A$20000,0),MATCH("Volume",'Semrush Data'!$A$1:$Z$1,0)),"")</f>
        <v>720</v>
      </c>
      <c r="H114" s="7" t="n">
        <f aca="false">IFERROR(INDEX('Semrush Data'!$A$1:$Z$20000,MATCH(A114,'Semrush Data'!$A$1:$A$20000,0),MATCH("Keyword Difficulty*",'Semrush Data'!$A$1:$Z$1,0)),"")</f>
        <v>24</v>
      </c>
      <c r="I114" s="13" t="n">
        <f aca="false">IFERROR(INDEX('Semrush Data'!$A$1:$Z$20000,MATCH(A114,'Semrush Data'!$A$1:$A$20000,0),MATCH("CPC*",'Semrush Data'!$A$1:$Z$1,0)),"")</f>
        <v>0.35</v>
      </c>
      <c r="J114" s="7" t="str">
        <f aca="false">IFERROR(INDEX('Semrush Data'!$A$1:$Z$20000,MATCH(A114,'Semrush Data'!$A$1:$A$20000,0),MATCH("Intent",'Semrush Data'!$A$1:$Z$1,0)),"")</f>
        <v>Informational Transactional</v>
      </c>
    </row>
    <row r="115" customFormat="false" ht="15" hidden="false" customHeight="true" outlineLevel="0" collapsed="false">
      <c r="A115" s="7" t="s">
        <v>284</v>
      </c>
      <c r="B115" s="7" t="s">
        <v>256</v>
      </c>
      <c r="C115" s="7" t="n">
        <v>1</v>
      </c>
      <c r="D115" s="7" t="n">
        <v>2</v>
      </c>
      <c r="E115" s="7" t="n">
        <v>2</v>
      </c>
      <c r="F115" s="7" t="s">
        <v>6573</v>
      </c>
      <c r="G115" s="12" t="n">
        <f aca="false">IFERROR(INDEX('Semrush Data'!$A$1:$Z$20000,MATCH(A115,'Semrush Data'!$A$1:$A$20000,0),MATCH("Volume",'Semrush Data'!$A$1:$Z$1,0)),"")</f>
        <v>1900</v>
      </c>
      <c r="H115" s="7" t="n">
        <f aca="false">IFERROR(INDEX('Semrush Data'!$A$1:$Z$20000,MATCH(A115,'Semrush Data'!$A$1:$A$20000,0),MATCH("Keyword Difficulty*",'Semrush Data'!$A$1:$Z$1,0)),"")</f>
        <v>26</v>
      </c>
      <c r="I115" s="13" t="n">
        <f aca="false">IFERROR(INDEX('Semrush Data'!$A$1:$Z$20000,MATCH(A115,'Semrush Data'!$A$1:$A$20000,0),MATCH("CPC*",'Semrush Data'!$A$1:$Z$1,0)),"")</f>
        <v>0.41</v>
      </c>
      <c r="J115" s="7" t="str">
        <f aca="false">IFERROR(INDEX('Semrush Data'!$A$1:$Z$20000,MATCH(A115,'Semrush Data'!$A$1:$A$20000,0),MATCH("Intent",'Semrush Data'!$A$1:$Z$1,0)),"")</f>
        <v>Informational Transactional</v>
      </c>
    </row>
    <row r="116" customFormat="false" ht="15" hidden="false" customHeight="true" outlineLevel="0" collapsed="false">
      <c r="A116" s="7" t="s">
        <v>6574</v>
      </c>
      <c r="B116" s="7" t="s">
        <v>256</v>
      </c>
      <c r="C116" s="7" t="n">
        <v>1</v>
      </c>
      <c r="D116" s="7" t="n">
        <v>2</v>
      </c>
      <c r="E116" s="7" t="n">
        <v>2</v>
      </c>
      <c r="F116" s="7" t="s">
        <v>6573</v>
      </c>
      <c r="G116" s="12" t="n">
        <f aca="false">IFERROR(INDEX('Semrush Data'!$A$1:$Z$20000,MATCH(A116,'Semrush Data'!$A$1:$A$20000,0),MATCH("Volume",'Semrush Data'!$A$1:$Z$1,0)),"")</f>
        <v>320</v>
      </c>
      <c r="H116" s="7" t="n">
        <f aca="false">IFERROR(INDEX('Semrush Data'!$A$1:$Z$20000,MATCH(A116,'Semrush Data'!$A$1:$A$20000,0),MATCH("Keyword Difficulty*",'Semrush Data'!$A$1:$Z$1,0)),"")</f>
        <v>17</v>
      </c>
      <c r="I116" s="13" t="n">
        <f aca="false">IFERROR(INDEX('Semrush Data'!$A$1:$Z$20000,MATCH(A116,'Semrush Data'!$A$1:$A$20000,0),MATCH("CPC*",'Semrush Data'!$A$1:$Z$1,0)),"")</f>
        <v>0</v>
      </c>
      <c r="J116" s="7" t="str">
        <f aca="false">IFERROR(INDEX('Semrush Data'!$A$1:$Z$20000,MATCH(A116,'Semrush Data'!$A$1:$A$20000,0),MATCH("Intent",'Semrush Data'!$A$1:$Z$1,0)),"")</f>
        <v>Informational</v>
      </c>
    </row>
    <row r="117" customFormat="false" ht="15" hidden="false" customHeight="true" outlineLevel="0" collapsed="false">
      <c r="A117" s="7" t="s">
        <v>257</v>
      </c>
      <c r="B117" s="7" t="s">
        <v>256</v>
      </c>
      <c r="C117" s="7" t="n">
        <v>1</v>
      </c>
      <c r="D117" s="7" t="n">
        <v>2</v>
      </c>
      <c r="E117" s="7" t="n">
        <v>2</v>
      </c>
      <c r="F117" s="7" t="s">
        <v>6575</v>
      </c>
      <c r="G117" s="12" t="n">
        <f aca="false">IFERROR(INDEX('Semrush Data'!$A$1:$Z$20000,MATCH(A117,'Semrush Data'!$A$1:$A$20000,0),MATCH("Volume",'Semrush Data'!$A$1:$Z$1,0)),"")</f>
        <v>40500</v>
      </c>
      <c r="H117" s="7" t="n">
        <f aca="false">IFERROR(INDEX('Semrush Data'!$A$1:$Z$20000,MATCH(A117,'Semrush Data'!$A$1:$A$20000,0),MATCH("Keyword Difficulty*",'Semrush Data'!$A$1:$Z$1,0)),"")</f>
        <v>32</v>
      </c>
      <c r="I117" s="13" t="n">
        <f aca="false">IFERROR(INDEX('Semrush Data'!$A$1:$Z$20000,MATCH(A117,'Semrush Data'!$A$1:$A$20000,0),MATCH("CPC*",'Semrush Data'!$A$1:$Z$1,0)),"")</f>
        <v>0.33</v>
      </c>
      <c r="J117" s="7" t="str">
        <f aca="false">IFERROR(INDEX('Semrush Data'!$A$1:$Z$20000,MATCH(A117,'Semrush Data'!$A$1:$A$20000,0),MATCH("Intent",'Semrush Data'!$A$1:$Z$1,0)),"")</f>
        <v>Informational</v>
      </c>
    </row>
    <row r="118" customFormat="false" ht="15" hidden="false" customHeight="true" outlineLevel="0" collapsed="false">
      <c r="A118" s="7" t="s">
        <v>6576</v>
      </c>
      <c r="B118" s="7" t="s">
        <v>256</v>
      </c>
      <c r="C118" s="7" t="n">
        <v>1</v>
      </c>
      <c r="D118" s="7" t="n">
        <v>2</v>
      </c>
      <c r="E118" s="7" t="n">
        <v>2</v>
      </c>
      <c r="F118" s="7" t="s">
        <v>6575</v>
      </c>
      <c r="G118" s="12" t="n">
        <f aca="false">IFERROR(INDEX('Semrush Data'!$A$1:$Z$20000,MATCH(A118,'Semrush Data'!$A$1:$A$20000,0),MATCH("Volume",'Semrush Data'!$A$1:$Z$1,0)),"")</f>
        <v>260</v>
      </c>
      <c r="H118" s="7" t="n">
        <f aca="false">IFERROR(INDEX('Semrush Data'!$A$1:$Z$20000,MATCH(A118,'Semrush Data'!$A$1:$A$20000,0),MATCH("Keyword Difficulty*",'Semrush Data'!$A$1:$Z$1,0)),"")</f>
        <v>28</v>
      </c>
      <c r="I118" s="13" t="n">
        <f aca="false">IFERROR(INDEX('Semrush Data'!$A$1:$Z$20000,MATCH(A118,'Semrush Data'!$A$1:$A$20000,0),MATCH("CPC*",'Semrush Data'!$A$1:$Z$1,0)),"")</f>
        <v>0.34</v>
      </c>
      <c r="J118" s="7" t="str">
        <f aca="false">IFERROR(INDEX('Semrush Data'!$A$1:$Z$20000,MATCH(A118,'Semrush Data'!$A$1:$A$20000,0),MATCH("Intent",'Semrush Data'!$A$1:$Z$1,0)),"")</f>
        <v>Informational</v>
      </c>
    </row>
    <row r="119" customFormat="false" ht="15" hidden="false" customHeight="true" outlineLevel="0" collapsed="false">
      <c r="A119" s="7" t="s">
        <v>6577</v>
      </c>
      <c r="B119" s="7" t="s">
        <v>256</v>
      </c>
      <c r="C119" s="7" t="n">
        <v>1</v>
      </c>
      <c r="D119" s="7" t="n">
        <v>2</v>
      </c>
      <c r="E119" s="7" t="n">
        <v>2</v>
      </c>
      <c r="F119" s="7" t="s">
        <v>6578</v>
      </c>
      <c r="G119" s="12" t="n">
        <f aca="false">IFERROR(INDEX('Semrush Data'!$A$1:$Z$20000,MATCH(A119,'Semrush Data'!$A$1:$A$20000,0),MATCH("Volume",'Semrush Data'!$A$1:$Z$1,0)),"")</f>
        <v>90</v>
      </c>
      <c r="H119" s="7" t="n">
        <f aca="false">IFERROR(INDEX('Semrush Data'!$A$1:$Z$20000,MATCH(A119,'Semrush Data'!$A$1:$A$20000,0),MATCH("Keyword Difficulty*",'Semrush Data'!$A$1:$Z$1,0)),"")</f>
        <v>20</v>
      </c>
      <c r="I119" s="13" t="n">
        <f aca="false">IFERROR(INDEX('Semrush Data'!$A$1:$Z$20000,MATCH(A119,'Semrush Data'!$A$1:$A$20000,0),MATCH("CPC*",'Semrush Data'!$A$1:$Z$1,0)),"")</f>
        <v>0.41</v>
      </c>
      <c r="J119" s="7" t="str">
        <f aca="false">IFERROR(INDEX('Semrush Data'!$A$1:$Z$20000,MATCH(A119,'Semrush Data'!$A$1:$A$20000,0),MATCH("Intent",'Semrush Data'!$A$1:$Z$1,0)),"")</f>
        <v>Informational</v>
      </c>
    </row>
    <row r="120" customFormat="false" ht="15" hidden="false" customHeight="true" outlineLevel="0" collapsed="false">
      <c r="A120" s="7" t="s">
        <v>6579</v>
      </c>
      <c r="B120" s="7" t="s">
        <v>256</v>
      </c>
      <c r="C120" s="7" t="n">
        <v>1</v>
      </c>
      <c r="D120" s="7" t="n">
        <v>2</v>
      </c>
      <c r="E120" s="7" t="n">
        <v>1</v>
      </c>
      <c r="F120" s="7" t="s">
        <v>5139</v>
      </c>
      <c r="G120" s="12" t="n">
        <f aca="false">IFERROR(INDEX('Semrush Data'!$A$1:$Z$20000,MATCH(A120,'Semrush Data'!$A$1:$A$20000,0),MATCH("Volume",'Semrush Data'!$A$1:$Z$1,0)),"")</f>
        <v>260</v>
      </c>
      <c r="H120" s="7" t="n">
        <f aca="false">IFERROR(INDEX('Semrush Data'!$A$1:$Z$20000,MATCH(A120,'Semrush Data'!$A$1:$A$20000,0),MATCH("Keyword Difficulty*",'Semrush Data'!$A$1:$Z$1,0)),"")</f>
        <v>17</v>
      </c>
      <c r="I120" s="13" t="n">
        <f aca="false">IFERROR(INDEX('Semrush Data'!$A$1:$Z$20000,MATCH(A120,'Semrush Data'!$A$1:$A$20000,0),MATCH("CPC*",'Semrush Data'!$A$1:$Z$1,0)),"")</f>
        <v>0.35</v>
      </c>
      <c r="J120" s="7" t="str">
        <f aca="false">IFERROR(INDEX('Semrush Data'!$A$1:$Z$20000,MATCH(A120,'Semrush Data'!$A$1:$A$20000,0),MATCH("Intent",'Semrush Data'!$A$1:$Z$1,0)),"")</f>
        <v>Informational</v>
      </c>
    </row>
    <row r="121" customFormat="false" ht="15" hidden="false" customHeight="true" outlineLevel="0" collapsed="false">
      <c r="A121" s="7" t="s">
        <v>6580</v>
      </c>
      <c r="B121" s="7" t="s">
        <v>256</v>
      </c>
      <c r="C121" s="7" t="n">
        <v>1</v>
      </c>
      <c r="D121" s="7" t="n">
        <v>2</v>
      </c>
      <c r="E121" s="7" t="n">
        <v>1</v>
      </c>
      <c r="F121" s="7" t="s">
        <v>5139</v>
      </c>
      <c r="G121" s="12" t="n">
        <f aca="false">IFERROR(INDEX('Semrush Data'!$A$1:$Z$20000,MATCH(A121,'Semrush Data'!$A$1:$A$20000,0),MATCH("Volume",'Semrush Data'!$A$1:$Z$1,0)),"")</f>
        <v>0</v>
      </c>
      <c r="H121" s="7" t="n">
        <f aca="false">IFERROR(INDEX('Semrush Data'!$A$1:$Z$20000,MATCH(A121,'Semrush Data'!$A$1:$A$20000,0),MATCH("Keyword Difficulty*",'Semrush Data'!$A$1:$Z$1,0)),"")</f>
        <v>9</v>
      </c>
      <c r="I121" s="13" t="n">
        <f aca="false">IFERROR(INDEX('Semrush Data'!$A$1:$Z$20000,MATCH(A121,'Semrush Data'!$A$1:$A$20000,0),MATCH("CPC*",'Semrush Data'!$A$1:$Z$1,0)),"")</f>
        <v>0</v>
      </c>
      <c r="J121" s="7" t="str">
        <f aca="false">IFERROR(INDEX('Semrush Data'!$A$1:$Z$20000,MATCH(A121,'Semrush Data'!$A$1:$A$20000,0),MATCH("Intent",'Semrush Data'!$A$1:$Z$1,0)),"")</f>
        <v>Informational Transactional</v>
      </c>
    </row>
    <row r="122" customFormat="false" ht="15" hidden="false" customHeight="true" outlineLevel="0" collapsed="false">
      <c r="A122" s="7" t="s">
        <v>6581</v>
      </c>
      <c r="B122" s="7" t="s">
        <v>256</v>
      </c>
      <c r="C122" s="7" t="n">
        <v>1</v>
      </c>
      <c r="D122" s="7" t="n">
        <v>2</v>
      </c>
      <c r="E122" s="7" t="n">
        <v>2</v>
      </c>
      <c r="F122" s="7" t="s">
        <v>6582</v>
      </c>
      <c r="G122" s="12" t="n">
        <f aca="false">IFERROR(INDEX('Semrush Data'!$A$1:$Z$20000,MATCH(A122,'Semrush Data'!$A$1:$A$20000,0),MATCH("Volume",'Semrush Data'!$A$1:$Z$1,0)),"")</f>
        <v>210</v>
      </c>
      <c r="H122" s="7" t="n">
        <f aca="false">IFERROR(INDEX('Semrush Data'!$A$1:$Z$20000,MATCH(A122,'Semrush Data'!$A$1:$A$20000,0),MATCH("Keyword Difficulty*",'Semrush Data'!$A$1:$Z$1,0)),"")</f>
        <v>20</v>
      </c>
      <c r="I122" s="13" t="n">
        <f aca="false">IFERROR(INDEX('Semrush Data'!$A$1:$Z$20000,MATCH(A122,'Semrush Data'!$A$1:$A$20000,0),MATCH("CPC*",'Semrush Data'!$A$1:$Z$1,0)),"")</f>
        <v>0.39</v>
      </c>
      <c r="J122" s="7" t="str">
        <f aca="false">IFERROR(INDEX('Semrush Data'!$A$1:$Z$20000,MATCH(A122,'Semrush Data'!$A$1:$A$20000,0),MATCH("Intent",'Semrush Data'!$A$1:$Z$1,0)),"")</f>
        <v>Informational</v>
      </c>
    </row>
    <row r="123" customFormat="false" ht="15" hidden="false" customHeight="true" outlineLevel="0" collapsed="false">
      <c r="A123" s="7" t="s">
        <v>6583</v>
      </c>
      <c r="B123" s="7" t="s">
        <v>256</v>
      </c>
      <c r="C123" s="7" t="n">
        <v>1</v>
      </c>
      <c r="D123" s="7" t="n">
        <v>2</v>
      </c>
      <c r="E123" s="7" t="n">
        <v>2</v>
      </c>
      <c r="F123" s="7" t="s">
        <v>6582</v>
      </c>
      <c r="G123" s="12" t="n">
        <f aca="false">IFERROR(INDEX('Semrush Data'!$A$1:$Z$20000,MATCH(A123,'Semrush Data'!$A$1:$A$20000,0),MATCH("Volume",'Semrush Data'!$A$1:$Z$1,0)),"")</f>
        <v>20</v>
      </c>
      <c r="H123" s="7" t="n">
        <f aca="false">IFERROR(INDEX('Semrush Data'!$A$1:$Z$20000,MATCH(A123,'Semrush Data'!$A$1:$A$20000,0),MATCH("Keyword Difficulty*",'Semrush Data'!$A$1:$Z$1,0)),"")</f>
        <v>15</v>
      </c>
      <c r="I123" s="13" t="n">
        <f aca="false">IFERROR(INDEX('Semrush Data'!$A$1:$Z$20000,MATCH(A123,'Semrush Data'!$A$1:$A$20000,0),MATCH("CPC*",'Semrush Data'!$A$1:$Z$1,0)),"")</f>
        <v>0.23</v>
      </c>
      <c r="J123" s="7" t="str">
        <f aca="false">IFERROR(INDEX('Semrush Data'!$A$1:$Z$20000,MATCH(A123,'Semrush Data'!$A$1:$A$20000,0),MATCH("Intent",'Semrush Data'!$A$1:$Z$1,0)),"")</f>
        <v>Informational</v>
      </c>
    </row>
    <row r="124" customFormat="false" ht="15" hidden="false" customHeight="true" outlineLevel="0" collapsed="false">
      <c r="A124" s="7" t="s">
        <v>278</v>
      </c>
      <c r="B124" s="7" t="s">
        <v>256</v>
      </c>
      <c r="C124" s="7" t="n">
        <v>1</v>
      </c>
      <c r="D124" s="7" t="n">
        <v>2</v>
      </c>
      <c r="E124" s="7" t="n">
        <v>3</v>
      </c>
      <c r="F124" s="7" t="s">
        <v>6584</v>
      </c>
      <c r="G124" s="12" t="n">
        <f aca="false">IFERROR(INDEX('Semrush Data'!$A$1:$Z$20000,MATCH(A124,'Semrush Data'!$A$1:$A$20000,0),MATCH("Volume",'Semrush Data'!$A$1:$Z$1,0)),"")</f>
        <v>5400</v>
      </c>
      <c r="H124" s="7" t="n">
        <f aca="false">IFERROR(INDEX('Semrush Data'!$A$1:$Z$20000,MATCH(A124,'Semrush Data'!$A$1:$A$20000,0),MATCH("Keyword Difficulty*",'Semrush Data'!$A$1:$Z$1,0)),"")</f>
        <v>16</v>
      </c>
      <c r="I124" s="13" t="n">
        <f aca="false">IFERROR(INDEX('Semrush Data'!$A$1:$Z$20000,MATCH(A124,'Semrush Data'!$A$1:$A$20000,0),MATCH("CPC*",'Semrush Data'!$A$1:$Z$1,0)),"")</f>
        <v>0.29</v>
      </c>
      <c r="J124" s="7" t="str">
        <f aca="false">IFERROR(INDEX('Semrush Data'!$A$1:$Z$20000,MATCH(A124,'Semrush Data'!$A$1:$A$20000,0),MATCH("Intent",'Semrush Data'!$A$1:$Z$1,0)),"")</f>
        <v>Informational Transactional</v>
      </c>
    </row>
    <row r="125" customFormat="false" ht="15" hidden="false" customHeight="true" outlineLevel="0" collapsed="false">
      <c r="A125" s="7" t="s">
        <v>6585</v>
      </c>
      <c r="B125" s="7" t="s">
        <v>256</v>
      </c>
      <c r="C125" s="7" t="n">
        <v>1</v>
      </c>
      <c r="D125" s="7" t="n">
        <v>2</v>
      </c>
      <c r="E125" s="7" t="n">
        <v>3</v>
      </c>
      <c r="F125" s="7" t="s">
        <v>6584</v>
      </c>
      <c r="G125" s="12" t="n">
        <f aca="false">IFERROR(INDEX('Semrush Data'!$A$1:$Z$20000,MATCH(A125,'Semrush Data'!$A$1:$A$20000,0),MATCH("Volume",'Semrush Data'!$A$1:$Z$1,0)),"")</f>
        <v>0</v>
      </c>
      <c r="H125" s="7" t="n">
        <f aca="false">IFERROR(INDEX('Semrush Data'!$A$1:$Z$20000,MATCH(A125,'Semrush Data'!$A$1:$A$20000,0),MATCH("Keyword Difficulty*",'Semrush Data'!$A$1:$Z$1,0)),"")</f>
        <v>12</v>
      </c>
      <c r="I125" s="13" t="n">
        <f aca="false">IFERROR(INDEX('Semrush Data'!$A$1:$Z$20000,MATCH(A125,'Semrush Data'!$A$1:$A$20000,0),MATCH("CPC*",'Semrush Data'!$A$1:$Z$1,0)),"")</f>
        <v>0.41</v>
      </c>
      <c r="J125" s="7" t="str">
        <f aca="false">IFERROR(INDEX('Semrush Data'!$A$1:$Z$20000,MATCH(A125,'Semrush Data'!$A$1:$A$20000,0),MATCH("Intent",'Semrush Data'!$A$1:$Z$1,0)),"")</f>
        <v>Informational Transactional</v>
      </c>
    </row>
    <row r="126" customFormat="false" ht="15" hidden="false" customHeight="true" outlineLevel="0" collapsed="false">
      <c r="A126" s="7" t="s">
        <v>6586</v>
      </c>
      <c r="B126" s="7" t="s">
        <v>256</v>
      </c>
      <c r="C126" s="7" t="n">
        <v>1</v>
      </c>
      <c r="D126" s="7" t="n">
        <v>2</v>
      </c>
      <c r="E126" s="7" t="n">
        <v>1</v>
      </c>
      <c r="F126" s="7" t="s">
        <v>5190</v>
      </c>
      <c r="G126" s="12" t="n">
        <f aca="false">IFERROR(INDEX('Semrush Data'!$A$1:$Z$20000,MATCH(A126,'Semrush Data'!$A$1:$A$20000,0),MATCH("Volume",'Semrush Data'!$A$1:$Z$1,0)),"")</f>
        <v>40</v>
      </c>
      <c r="H126" s="7" t="n">
        <f aca="false">IFERROR(INDEX('Semrush Data'!$A$1:$Z$20000,MATCH(A126,'Semrush Data'!$A$1:$A$20000,0),MATCH("Keyword Difficulty*",'Semrush Data'!$A$1:$Z$1,0)),"")</f>
        <v>12</v>
      </c>
      <c r="I126" s="13" t="n">
        <f aca="false">IFERROR(INDEX('Semrush Data'!$A$1:$Z$20000,MATCH(A126,'Semrush Data'!$A$1:$A$20000,0),MATCH("CPC*",'Semrush Data'!$A$1:$Z$1,0)),"")</f>
        <v>0.15</v>
      </c>
      <c r="J126" s="7" t="str">
        <f aca="false">IFERROR(INDEX('Semrush Data'!$A$1:$Z$20000,MATCH(A126,'Semrush Data'!$A$1:$A$20000,0),MATCH("Intent",'Semrush Data'!$A$1:$Z$1,0)),"")</f>
        <v>Informational</v>
      </c>
    </row>
    <row r="127" customFormat="false" ht="15" hidden="false" customHeight="true" outlineLevel="0" collapsed="false">
      <c r="A127" s="7" t="s">
        <v>6587</v>
      </c>
      <c r="B127" s="7" t="s">
        <v>256</v>
      </c>
      <c r="C127" s="7" t="n">
        <v>1</v>
      </c>
      <c r="D127" s="7" t="n">
        <v>2</v>
      </c>
      <c r="E127" s="7" t="n">
        <v>1</v>
      </c>
      <c r="F127" s="7" t="s">
        <v>5190</v>
      </c>
      <c r="G127" s="12" t="n">
        <f aca="false">IFERROR(INDEX('Semrush Data'!$A$1:$Z$20000,MATCH(A127,'Semrush Data'!$A$1:$A$20000,0),MATCH("Volume",'Semrush Data'!$A$1:$Z$1,0)),"")</f>
        <v>20</v>
      </c>
      <c r="H127" s="7" t="n">
        <f aca="false">IFERROR(INDEX('Semrush Data'!$A$1:$Z$20000,MATCH(A127,'Semrush Data'!$A$1:$A$20000,0),MATCH("Keyword Difficulty*",'Semrush Data'!$A$1:$Z$1,0)),"")</f>
        <v>9</v>
      </c>
      <c r="I127" s="13" t="n">
        <f aca="false">IFERROR(INDEX('Semrush Data'!$A$1:$Z$20000,MATCH(A127,'Semrush Data'!$A$1:$A$20000,0),MATCH("CPC*",'Semrush Data'!$A$1:$Z$1,0)),"")</f>
        <v>0</v>
      </c>
      <c r="J127" s="7" t="str">
        <f aca="false">IFERROR(INDEX('Semrush Data'!$A$1:$Z$20000,MATCH(A127,'Semrush Data'!$A$1:$A$20000,0),MATCH("Intent",'Semrush Data'!$A$1:$Z$1,0)),"")</f>
        <v>Informational</v>
      </c>
    </row>
    <row r="128" customFormat="false" ht="15" hidden="false" customHeight="true" outlineLevel="0" collapsed="false">
      <c r="A128" s="7" t="s">
        <v>6588</v>
      </c>
      <c r="B128" s="7" t="s">
        <v>256</v>
      </c>
      <c r="C128" s="7" t="n">
        <v>1</v>
      </c>
      <c r="D128" s="7" t="n">
        <v>2</v>
      </c>
      <c r="E128" s="7" t="n">
        <v>8</v>
      </c>
      <c r="F128" s="7" t="s">
        <v>6589</v>
      </c>
      <c r="G128" s="12" t="n">
        <f aca="false">IFERROR(INDEX('Semrush Data'!$A$1:$Z$20000,MATCH(A128,'Semrush Data'!$A$1:$A$20000,0),MATCH("Volume",'Semrush Data'!$A$1:$Z$1,0)),"")</f>
        <v>20</v>
      </c>
      <c r="H128" s="7" t="n">
        <f aca="false">IFERROR(INDEX('Semrush Data'!$A$1:$Z$20000,MATCH(A128,'Semrush Data'!$A$1:$A$20000,0),MATCH("Keyword Difficulty*",'Semrush Data'!$A$1:$Z$1,0)),"")</f>
        <v>9</v>
      </c>
      <c r="I128" s="13" t="n">
        <f aca="false">IFERROR(INDEX('Semrush Data'!$A$1:$Z$20000,MATCH(A128,'Semrush Data'!$A$1:$A$20000,0),MATCH("CPC*",'Semrush Data'!$A$1:$Z$1,0)),"")</f>
        <v>0</v>
      </c>
      <c r="J128" s="7" t="str">
        <f aca="false">IFERROR(INDEX('Semrush Data'!$A$1:$Z$20000,MATCH(A128,'Semrush Data'!$A$1:$A$20000,0),MATCH("Intent",'Semrush Data'!$A$1:$Z$1,0)),"")</f>
        <v>Navigational</v>
      </c>
    </row>
    <row r="129" customFormat="false" ht="15" hidden="false" customHeight="true" outlineLevel="0" collapsed="false">
      <c r="A129" s="7" t="s">
        <v>6590</v>
      </c>
      <c r="B129" s="7" t="s">
        <v>256</v>
      </c>
      <c r="C129" s="7" t="n">
        <v>1</v>
      </c>
      <c r="D129" s="7" t="n">
        <v>2</v>
      </c>
      <c r="E129" s="7" t="n">
        <v>4</v>
      </c>
      <c r="F129" s="7" t="s">
        <v>6591</v>
      </c>
      <c r="G129" s="12" t="n">
        <f aca="false">IFERROR(INDEX('Semrush Data'!$A$1:$Z$20000,MATCH(A129,'Semrush Data'!$A$1:$A$20000,0),MATCH("Volume",'Semrush Data'!$A$1:$Z$1,0)),"")</f>
        <v>40</v>
      </c>
      <c r="H129" s="7" t="n">
        <f aca="false">IFERROR(INDEX('Semrush Data'!$A$1:$Z$20000,MATCH(A129,'Semrush Data'!$A$1:$A$20000,0),MATCH("Keyword Difficulty*",'Semrush Data'!$A$1:$Z$1,0)),"")</f>
        <v>25</v>
      </c>
      <c r="I129" s="13" t="n">
        <f aca="false">IFERROR(INDEX('Semrush Data'!$A$1:$Z$20000,MATCH(A129,'Semrush Data'!$A$1:$A$20000,0),MATCH("CPC*",'Semrush Data'!$A$1:$Z$1,0)),"")</f>
        <v>0.69</v>
      </c>
      <c r="J129" s="7" t="str">
        <f aca="false">IFERROR(INDEX('Semrush Data'!$A$1:$Z$20000,MATCH(A129,'Semrush Data'!$A$1:$A$20000,0),MATCH("Intent",'Semrush Data'!$A$1:$Z$1,0)),"")</f>
        <v>Informational Commercial</v>
      </c>
    </row>
    <row r="130" customFormat="false" ht="15" hidden="false" customHeight="true" outlineLevel="0" collapsed="false">
      <c r="A130" s="7" t="s">
        <v>263</v>
      </c>
      <c r="B130" s="7" t="s">
        <v>256</v>
      </c>
      <c r="C130" s="7" t="n">
        <v>1</v>
      </c>
      <c r="D130" s="7" t="n">
        <v>2</v>
      </c>
      <c r="E130" s="7" t="n">
        <v>2</v>
      </c>
      <c r="F130" s="7" t="s">
        <v>6592</v>
      </c>
      <c r="G130" s="12" t="n">
        <f aca="false">IFERROR(INDEX('Semrush Data'!$A$1:$Z$20000,MATCH(A130,'Semrush Data'!$A$1:$A$20000,0),MATCH("Volume",'Semrush Data'!$A$1:$Z$1,0)),"")</f>
        <v>22200</v>
      </c>
      <c r="H130" s="7" t="n">
        <f aca="false">IFERROR(INDEX('Semrush Data'!$A$1:$Z$20000,MATCH(A130,'Semrush Data'!$A$1:$A$20000,0),MATCH("Keyword Difficulty*",'Semrush Data'!$A$1:$Z$1,0)),"")</f>
        <v>36</v>
      </c>
      <c r="I130" s="13" t="n">
        <f aca="false">IFERROR(INDEX('Semrush Data'!$A$1:$Z$20000,MATCH(A130,'Semrush Data'!$A$1:$A$20000,0),MATCH("CPC*",'Semrush Data'!$A$1:$Z$1,0)),"")</f>
        <v>0.44</v>
      </c>
      <c r="J130" s="7" t="str">
        <f aca="false">IFERROR(INDEX('Semrush Data'!$A$1:$Z$20000,MATCH(A130,'Semrush Data'!$A$1:$A$20000,0),MATCH("Intent",'Semrush Data'!$A$1:$Z$1,0)),"")</f>
        <v>Informational</v>
      </c>
    </row>
    <row r="131" customFormat="false" ht="15" hidden="false" customHeight="true" outlineLevel="0" collapsed="false">
      <c r="A131" s="7" t="s">
        <v>6593</v>
      </c>
      <c r="B131" s="7" t="s">
        <v>256</v>
      </c>
      <c r="C131" s="7" t="n">
        <v>1</v>
      </c>
      <c r="D131" s="7" t="n">
        <v>2</v>
      </c>
      <c r="E131" s="7" t="n">
        <v>2</v>
      </c>
      <c r="F131" s="7" t="s">
        <v>6592</v>
      </c>
      <c r="G131" s="12" t="n">
        <f aca="false">IFERROR(INDEX('Semrush Data'!$A$1:$Z$20000,MATCH(A131,'Semrush Data'!$A$1:$A$20000,0),MATCH("Volume",'Semrush Data'!$A$1:$Z$1,0)),"")</f>
        <v>720</v>
      </c>
      <c r="H131" s="7" t="n">
        <f aca="false">IFERROR(INDEX('Semrush Data'!$A$1:$Z$20000,MATCH(A131,'Semrush Data'!$A$1:$A$20000,0),MATCH("Keyword Difficulty*",'Semrush Data'!$A$1:$Z$1,0)),"")</f>
        <v>28</v>
      </c>
      <c r="I131" s="13" t="n">
        <f aca="false">IFERROR(INDEX('Semrush Data'!$A$1:$Z$20000,MATCH(A131,'Semrush Data'!$A$1:$A$20000,0),MATCH("CPC*",'Semrush Data'!$A$1:$Z$1,0)),"")</f>
        <v>0.39</v>
      </c>
      <c r="J131" s="7" t="str">
        <f aca="false">IFERROR(INDEX('Semrush Data'!$A$1:$Z$20000,MATCH(A131,'Semrush Data'!$A$1:$A$20000,0),MATCH("Intent",'Semrush Data'!$A$1:$Z$1,0)),"")</f>
        <v>Transactional</v>
      </c>
    </row>
    <row r="132" customFormat="false" ht="15" hidden="false" customHeight="true" outlineLevel="0" collapsed="false">
      <c r="A132" s="7" t="s">
        <v>6594</v>
      </c>
      <c r="B132" s="7" t="s">
        <v>256</v>
      </c>
      <c r="C132" s="7" t="n">
        <v>1</v>
      </c>
      <c r="D132" s="7" t="n">
        <v>2</v>
      </c>
      <c r="E132" s="7" t="n">
        <v>1</v>
      </c>
      <c r="F132" s="7" t="s">
        <v>4180</v>
      </c>
      <c r="G132" s="12" t="n">
        <f aca="false">IFERROR(INDEX('Semrush Data'!$A$1:$Z$20000,MATCH(A132,'Semrush Data'!$A$1:$A$20000,0),MATCH("Volume",'Semrush Data'!$A$1:$Z$1,0)),"")</f>
        <v>0</v>
      </c>
      <c r="H132" s="7" t="n">
        <f aca="false">IFERROR(INDEX('Semrush Data'!$A$1:$Z$20000,MATCH(A132,'Semrush Data'!$A$1:$A$20000,0),MATCH("Keyword Difficulty*",'Semrush Data'!$A$1:$Z$1,0)),"")</f>
        <v>15</v>
      </c>
      <c r="I132" s="13" t="n">
        <f aca="false">IFERROR(INDEX('Semrush Data'!$A$1:$Z$20000,MATCH(A132,'Semrush Data'!$A$1:$A$20000,0),MATCH("CPC*",'Semrush Data'!$A$1:$Z$1,0)),"")</f>
        <v>0</v>
      </c>
      <c r="J132" s="7" t="str">
        <f aca="false">IFERROR(INDEX('Semrush Data'!$A$1:$Z$20000,MATCH(A132,'Semrush Data'!$A$1:$A$20000,0),MATCH("Intent",'Semrush Data'!$A$1:$Z$1,0)),"")</f>
        <v>Informational</v>
      </c>
    </row>
    <row r="133" customFormat="false" ht="15" hidden="false" customHeight="true" outlineLevel="0" collapsed="false">
      <c r="A133" s="7" t="s">
        <v>289</v>
      </c>
      <c r="B133" s="7" t="s">
        <v>256</v>
      </c>
      <c r="C133" s="7" t="n">
        <v>1</v>
      </c>
      <c r="D133" s="7" t="n">
        <v>2</v>
      </c>
      <c r="E133" s="7" t="n">
        <v>2</v>
      </c>
      <c r="F133" s="7" t="s">
        <v>6595</v>
      </c>
      <c r="G133" s="12" t="n">
        <f aca="false">IFERROR(INDEX('Semrush Data'!$A$1:$Z$20000,MATCH(A133,'Semrush Data'!$A$1:$A$20000,0),MATCH("Volume",'Semrush Data'!$A$1:$Z$1,0)),"")</f>
        <v>1300</v>
      </c>
      <c r="H133" s="7" t="n">
        <f aca="false">IFERROR(INDEX('Semrush Data'!$A$1:$Z$20000,MATCH(A133,'Semrush Data'!$A$1:$A$20000,0),MATCH("Keyword Difficulty*",'Semrush Data'!$A$1:$Z$1,0)),"")</f>
        <v>22</v>
      </c>
      <c r="I133" s="13" t="n">
        <f aca="false">IFERROR(INDEX('Semrush Data'!$A$1:$Z$20000,MATCH(A133,'Semrush Data'!$A$1:$A$20000,0),MATCH("CPC*",'Semrush Data'!$A$1:$Z$1,0)),"")</f>
        <v>0.22</v>
      </c>
      <c r="J133" s="7" t="str">
        <f aca="false">IFERROR(INDEX('Semrush Data'!$A$1:$Z$20000,MATCH(A133,'Semrush Data'!$A$1:$A$20000,0),MATCH("Intent",'Semrush Data'!$A$1:$Z$1,0)),"")</f>
        <v>Informational</v>
      </c>
    </row>
    <row r="134" customFormat="false" ht="15" hidden="false" customHeight="true" outlineLevel="0" collapsed="false">
      <c r="A134" s="7" t="s">
        <v>261</v>
      </c>
      <c r="B134" s="7" t="s">
        <v>256</v>
      </c>
      <c r="C134" s="7" t="n">
        <v>1</v>
      </c>
      <c r="D134" s="7" t="n">
        <v>2</v>
      </c>
      <c r="E134" s="7" t="n">
        <v>7</v>
      </c>
      <c r="F134" s="7" t="s">
        <v>6596</v>
      </c>
      <c r="G134" s="12" t="n">
        <f aca="false">IFERROR(INDEX('Semrush Data'!$A$1:$Z$20000,MATCH(A134,'Semrush Data'!$A$1:$A$20000,0),MATCH("Volume",'Semrush Data'!$A$1:$Z$1,0)),"")</f>
        <v>27100</v>
      </c>
      <c r="H134" s="7" t="n">
        <f aca="false">IFERROR(INDEX('Semrush Data'!$A$1:$Z$20000,MATCH(A134,'Semrush Data'!$A$1:$A$20000,0),MATCH("Keyword Difficulty*",'Semrush Data'!$A$1:$Z$1,0)),"")</f>
        <v>22</v>
      </c>
      <c r="I134" s="13" t="n">
        <f aca="false">IFERROR(INDEX('Semrush Data'!$A$1:$Z$20000,MATCH(A134,'Semrush Data'!$A$1:$A$20000,0),MATCH("CPC*",'Semrush Data'!$A$1:$Z$1,0)),"")</f>
        <v>0.32</v>
      </c>
      <c r="J134" s="7" t="str">
        <f aca="false">IFERROR(INDEX('Semrush Data'!$A$1:$Z$20000,MATCH(A134,'Semrush Data'!$A$1:$A$20000,0),MATCH("Intent",'Semrush Data'!$A$1:$Z$1,0)),"")</f>
        <v>Informational</v>
      </c>
    </row>
    <row r="135" customFormat="false" ht="15" hidden="false" customHeight="true" outlineLevel="0" collapsed="false">
      <c r="A135" s="7" t="s">
        <v>6597</v>
      </c>
      <c r="B135" s="7" t="s">
        <v>256</v>
      </c>
      <c r="C135" s="7" t="n">
        <v>1</v>
      </c>
      <c r="D135" s="7" t="n">
        <v>2</v>
      </c>
      <c r="E135" s="7" t="n">
        <v>7</v>
      </c>
      <c r="F135" s="7" t="s">
        <v>6596</v>
      </c>
      <c r="G135" s="12" t="n">
        <f aca="false">IFERROR(INDEX('Semrush Data'!$A$1:$Z$20000,MATCH(A135,'Semrush Data'!$A$1:$A$20000,0),MATCH("Volume",'Semrush Data'!$A$1:$Z$1,0)),"")</f>
        <v>70</v>
      </c>
      <c r="H135" s="7" t="n">
        <f aca="false">IFERROR(INDEX('Semrush Data'!$A$1:$Z$20000,MATCH(A135,'Semrush Data'!$A$1:$A$20000,0),MATCH("Keyword Difficulty*",'Semrush Data'!$A$1:$Z$1,0)),"")</f>
        <v>26</v>
      </c>
      <c r="I135" s="13" t="n">
        <f aca="false">IFERROR(INDEX('Semrush Data'!$A$1:$Z$20000,MATCH(A135,'Semrush Data'!$A$1:$A$20000,0),MATCH("CPC*",'Semrush Data'!$A$1:$Z$1,0)),"")</f>
        <v>0.31</v>
      </c>
      <c r="J135" s="7" t="str">
        <f aca="false">IFERROR(INDEX('Semrush Data'!$A$1:$Z$20000,MATCH(A135,'Semrush Data'!$A$1:$A$20000,0),MATCH("Intent",'Semrush Data'!$A$1:$Z$1,0)),"")</f>
        <v>Informational</v>
      </c>
    </row>
    <row r="136" customFormat="false" ht="15" hidden="false" customHeight="true" outlineLevel="0" collapsed="false">
      <c r="A136" s="7" t="s">
        <v>281</v>
      </c>
      <c r="B136" s="7" t="s">
        <v>256</v>
      </c>
      <c r="C136" s="7" t="n">
        <v>1</v>
      </c>
      <c r="D136" s="7" t="n">
        <v>2</v>
      </c>
      <c r="E136" s="7" t="n">
        <v>2</v>
      </c>
      <c r="F136" s="7" t="s">
        <v>6598</v>
      </c>
      <c r="G136" s="12" t="n">
        <f aca="false">IFERROR(INDEX('Semrush Data'!$A$1:$Z$20000,MATCH(A136,'Semrush Data'!$A$1:$A$20000,0),MATCH("Volume",'Semrush Data'!$A$1:$Z$1,0)),"")</f>
        <v>3600</v>
      </c>
      <c r="H136" s="7" t="n">
        <f aca="false">IFERROR(INDEX('Semrush Data'!$A$1:$Z$20000,MATCH(A136,'Semrush Data'!$A$1:$A$20000,0),MATCH("Keyword Difficulty*",'Semrush Data'!$A$1:$Z$1,0)),"")</f>
        <v>25</v>
      </c>
      <c r="I136" s="13" t="n">
        <f aca="false">IFERROR(INDEX('Semrush Data'!$A$1:$Z$20000,MATCH(A136,'Semrush Data'!$A$1:$A$20000,0),MATCH("CPC*",'Semrush Data'!$A$1:$Z$1,0)),"")</f>
        <v>0.3</v>
      </c>
      <c r="J136" s="7" t="str">
        <f aca="false">IFERROR(INDEX('Semrush Data'!$A$1:$Z$20000,MATCH(A136,'Semrush Data'!$A$1:$A$20000,0),MATCH("Intent",'Semrush Data'!$A$1:$Z$1,0)),"")</f>
        <v>Informational</v>
      </c>
    </row>
    <row r="137" customFormat="false" ht="15" hidden="false" customHeight="true" outlineLevel="0" collapsed="false">
      <c r="A137" s="7" t="s">
        <v>6599</v>
      </c>
      <c r="B137" s="7" t="s">
        <v>256</v>
      </c>
      <c r="C137" s="7" t="n">
        <v>1</v>
      </c>
      <c r="D137" s="7" t="n">
        <v>2</v>
      </c>
      <c r="E137" s="7" t="n">
        <v>1</v>
      </c>
      <c r="F137" s="7" t="s">
        <v>5462</v>
      </c>
      <c r="G137" s="12" t="n">
        <f aca="false">IFERROR(INDEX('Semrush Data'!$A$1:$Z$20000,MATCH(A137,'Semrush Data'!$A$1:$A$20000,0),MATCH("Volume",'Semrush Data'!$A$1:$Z$1,0)),"")</f>
        <v>0</v>
      </c>
      <c r="H137" s="7" t="n">
        <f aca="false">IFERROR(INDEX('Semrush Data'!$A$1:$Z$20000,MATCH(A137,'Semrush Data'!$A$1:$A$20000,0),MATCH("Keyword Difficulty*",'Semrush Data'!$A$1:$Z$1,0)),"")</f>
        <v>11</v>
      </c>
      <c r="I137" s="13" t="n">
        <f aca="false">IFERROR(INDEX('Semrush Data'!$A$1:$Z$20000,MATCH(A137,'Semrush Data'!$A$1:$A$20000,0),MATCH("CPC*",'Semrush Data'!$A$1:$Z$1,0)),"")</f>
        <v>0.28</v>
      </c>
      <c r="J137" s="7" t="str">
        <f aca="false">IFERROR(INDEX('Semrush Data'!$A$1:$Z$20000,MATCH(A137,'Semrush Data'!$A$1:$A$20000,0),MATCH("Intent",'Semrush Data'!$A$1:$Z$1,0)),"")</f>
        <v>Commercial</v>
      </c>
    </row>
    <row r="138" customFormat="false" ht="15" hidden="false" customHeight="true" outlineLevel="0" collapsed="false">
      <c r="A138" s="7" t="s">
        <v>6600</v>
      </c>
      <c r="B138" s="7" t="s">
        <v>256</v>
      </c>
      <c r="C138" s="7" t="n">
        <v>1</v>
      </c>
      <c r="D138" s="7" t="n">
        <v>2</v>
      </c>
      <c r="E138" s="7" t="n">
        <v>1</v>
      </c>
      <c r="F138" s="7" t="s">
        <v>5753</v>
      </c>
      <c r="G138" s="12" t="n">
        <f aca="false">IFERROR(INDEX('Semrush Data'!$A$1:$Z$20000,MATCH(A138,'Semrush Data'!$A$1:$A$20000,0),MATCH("Volume",'Semrush Data'!$A$1:$Z$1,0)),"")</f>
        <v>20</v>
      </c>
      <c r="H138" s="7" t="n">
        <f aca="false">IFERROR(INDEX('Semrush Data'!$A$1:$Z$20000,MATCH(A138,'Semrush Data'!$A$1:$A$20000,0),MATCH("Keyword Difficulty*",'Semrush Data'!$A$1:$Z$1,0)),"")</f>
        <v>22</v>
      </c>
      <c r="I138" s="13" t="n">
        <f aca="false">IFERROR(INDEX('Semrush Data'!$A$1:$Z$20000,MATCH(A138,'Semrush Data'!$A$1:$A$20000,0),MATCH("CPC*",'Semrush Data'!$A$1:$Z$1,0)),"")</f>
        <v>0.63</v>
      </c>
      <c r="J138" s="7" t="str">
        <f aca="false">IFERROR(INDEX('Semrush Data'!$A$1:$Z$20000,MATCH(A138,'Semrush Data'!$A$1:$A$20000,0),MATCH("Intent",'Semrush Data'!$A$1:$Z$1,0)),"")</f>
        <v>Informational</v>
      </c>
    </row>
    <row r="139" customFormat="false" ht="15" hidden="false" customHeight="true" outlineLevel="0" collapsed="false">
      <c r="A139" s="7" t="s">
        <v>279</v>
      </c>
      <c r="B139" s="7" t="s">
        <v>256</v>
      </c>
      <c r="C139" s="7" t="n">
        <v>1</v>
      </c>
      <c r="D139" s="7" t="n">
        <v>2</v>
      </c>
      <c r="E139" s="7" t="n">
        <v>4</v>
      </c>
      <c r="F139" s="7" t="s">
        <v>6601</v>
      </c>
      <c r="G139" s="12" t="n">
        <f aca="false">IFERROR(INDEX('Semrush Data'!$A$1:$Z$20000,MATCH(A139,'Semrush Data'!$A$1:$A$20000,0),MATCH("Volume",'Semrush Data'!$A$1:$Z$1,0)),"")</f>
        <v>5400</v>
      </c>
      <c r="H139" s="7" t="n">
        <f aca="false">IFERROR(INDEX('Semrush Data'!$A$1:$Z$20000,MATCH(A139,'Semrush Data'!$A$1:$A$20000,0),MATCH("Keyword Difficulty*",'Semrush Data'!$A$1:$Z$1,0)),"")</f>
        <v>24</v>
      </c>
      <c r="I139" s="13" t="n">
        <f aca="false">IFERROR(INDEX('Semrush Data'!$A$1:$Z$20000,MATCH(A139,'Semrush Data'!$A$1:$A$20000,0),MATCH("CPC*",'Semrush Data'!$A$1:$Z$1,0)),"")</f>
        <v>0.37</v>
      </c>
      <c r="J139" s="7" t="str">
        <f aca="false">IFERROR(INDEX('Semrush Data'!$A$1:$Z$20000,MATCH(A139,'Semrush Data'!$A$1:$A$20000,0),MATCH("Intent",'Semrush Data'!$A$1:$Z$1,0)),"")</f>
        <v>Informational Transactional</v>
      </c>
    </row>
    <row r="140" customFormat="false" ht="15" hidden="false" customHeight="true" outlineLevel="0" collapsed="false">
      <c r="A140" s="7" t="s">
        <v>6602</v>
      </c>
      <c r="B140" s="7" t="s">
        <v>256</v>
      </c>
      <c r="C140" s="7" t="n">
        <v>1</v>
      </c>
      <c r="D140" s="7" t="n">
        <v>2</v>
      </c>
      <c r="E140" s="7" t="n">
        <v>4</v>
      </c>
      <c r="F140" s="7" t="s">
        <v>6601</v>
      </c>
      <c r="G140" s="12" t="n">
        <f aca="false">IFERROR(INDEX('Semrush Data'!$A$1:$Z$20000,MATCH(A140,'Semrush Data'!$A$1:$A$20000,0),MATCH("Volume",'Semrush Data'!$A$1:$Z$1,0)),"")</f>
        <v>20</v>
      </c>
      <c r="H140" s="7" t="n">
        <f aca="false">IFERROR(INDEX('Semrush Data'!$A$1:$Z$20000,MATCH(A140,'Semrush Data'!$A$1:$A$20000,0),MATCH("Keyword Difficulty*",'Semrush Data'!$A$1:$Z$1,0)),"")</f>
        <v>16</v>
      </c>
      <c r="I140" s="13" t="n">
        <f aca="false">IFERROR(INDEX('Semrush Data'!$A$1:$Z$20000,MATCH(A140,'Semrush Data'!$A$1:$A$20000,0),MATCH("CPC*",'Semrush Data'!$A$1:$Z$1,0)),"")</f>
        <v>0</v>
      </c>
      <c r="J140" s="7" t="str">
        <f aca="false">IFERROR(INDEX('Semrush Data'!$A$1:$Z$20000,MATCH(A140,'Semrush Data'!$A$1:$A$20000,0),MATCH("Intent",'Semrush Data'!$A$1:$Z$1,0)),"")</f>
        <v>Informational</v>
      </c>
    </row>
    <row r="141" customFormat="false" ht="15" hidden="false" customHeight="true" outlineLevel="0" collapsed="false">
      <c r="A141" s="7" t="s">
        <v>6603</v>
      </c>
      <c r="B141" s="7" t="s">
        <v>256</v>
      </c>
      <c r="C141" s="7" t="n">
        <v>1</v>
      </c>
      <c r="D141" s="7" t="n">
        <v>2</v>
      </c>
      <c r="E141" s="7" t="n">
        <v>4</v>
      </c>
      <c r="F141" s="7" t="s">
        <v>6604</v>
      </c>
      <c r="G141" s="12" t="n">
        <f aca="false">IFERROR(INDEX('Semrush Data'!$A$1:$Z$20000,MATCH(A141,'Semrush Data'!$A$1:$A$20000,0),MATCH("Volume",'Semrush Data'!$A$1:$Z$1,0)),"")</f>
        <v>30</v>
      </c>
      <c r="H141" s="7" t="n">
        <f aca="false">IFERROR(INDEX('Semrush Data'!$A$1:$Z$20000,MATCH(A141,'Semrush Data'!$A$1:$A$20000,0),MATCH("Keyword Difficulty*",'Semrush Data'!$A$1:$Z$1,0)),"")</f>
        <v>5</v>
      </c>
      <c r="I141" s="13" t="n">
        <f aca="false">IFERROR(INDEX('Semrush Data'!$A$1:$Z$20000,MATCH(A141,'Semrush Data'!$A$1:$A$20000,0),MATCH("CPC*",'Semrush Data'!$A$1:$Z$1,0)),"")</f>
        <v>0.54</v>
      </c>
      <c r="J141" s="7" t="str">
        <f aca="false">IFERROR(INDEX('Semrush Data'!$A$1:$Z$20000,MATCH(A141,'Semrush Data'!$A$1:$A$20000,0),MATCH("Intent",'Semrush Data'!$A$1:$Z$1,0)),"")</f>
        <v>Informational</v>
      </c>
    </row>
    <row r="142" customFormat="false" ht="15" hidden="false" customHeight="true" outlineLevel="0" collapsed="false">
      <c r="A142" s="7" t="s">
        <v>6605</v>
      </c>
      <c r="B142" s="7" t="s">
        <v>256</v>
      </c>
      <c r="C142" s="7" t="n">
        <v>1</v>
      </c>
      <c r="D142" s="7" t="n">
        <v>2</v>
      </c>
      <c r="E142" s="7" t="n">
        <v>1</v>
      </c>
      <c r="F142" s="7" t="s">
        <v>5462</v>
      </c>
      <c r="G142" s="12" t="n">
        <f aca="false">IFERROR(INDEX('Semrush Data'!$A$1:$Z$20000,MATCH(A142,'Semrush Data'!$A$1:$A$20000,0),MATCH("Volume",'Semrush Data'!$A$1:$Z$1,0)),"")</f>
        <v>50</v>
      </c>
      <c r="H142" s="7" t="n">
        <f aca="false">IFERROR(INDEX('Semrush Data'!$A$1:$Z$20000,MATCH(A142,'Semrush Data'!$A$1:$A$20000,0),MATCH("Keyword Difficulty*",'Semrush Data'!$A$1:$Z$1,0)),"")</f>
        <v>19</v>
      </c>
      <c r="I142" s="13" t="n">
        <f aca="false">IFERROR(INDEX('Semrush Data'!$A$1:$Z$20000,MATCH(A142,'Semrush Data'!$A$1:$A$20000,0),MATCH("CPC*",'Semrush Data'!$A$1:$Z$1,0)),"")</f>
        <v>0.35</v>
      </c>
      <c r="J142" s="7" t="str">
        <f aca="false">IFERROR(INDEX('Semrush Data'!$A$1:$Z$20000,MATCH(A142,'Semrush Data'!$A$1:$A$20000,0),MATCH("Intent",'Semrush Data'!$A$1:$Z$1,0)),"")</f>
        <v>Informational Commercial</v>
      </c>
    </row>
    <row r="143" customFormat="false" ht="15" hidden="false" customHeight="true" outlineLevel="0" collapsed="false">
      <c r="A143" s="7" t="s">
        <v>6606</v>
      </c>
      <c r="B143" s="7" t="s">
        <v>256</v>
      </c>
      <c r="C143" s="7" t="n">
        <v>1</v>
      </c>
      <c r="D143" s="7" t="n">
        <v>2</v>
      </c>
      <c r="E143" s="7" t="n">
        <v>13</v>
      </c>
      <c r="F143" s="7" t="s">
        <v>6607</v>
      </c>
      <c r="G143" s="12" t="n">
        <f aca="false">IFERROR(INDEX('Semrush Data'!$A$1:$Z$20000,MATCH(A143,'Semrush Data'!$A$1:$A$20000,0),MATCH("Volume",'Semrush Data'!$A$1:$Z$1,0)),"")</f>
        <v>170</v>
      </c>
      <c r="H143" s="7" t="n">
        <f aca="false">IFERROR(INDEX('Semrush Data'!$A$1:$Z$20000,MATCH(A143,'Semrush Data'!$A$1:$A$20000,0),MATCH("Keyword Difficulty*",'Semrush Data'!$A$1:$Z$1,0)),"")</f>
        <v>63</v>
      </c>
      <c r="I143" s="13" t="n">
        <f aca="false">IFERROR(INDEX('Semrush Data'!$A$1:$Z$20000,MATCH(A143,'Semrush Data'!$A$1:$A$20000,0),MATCH("CPC*",'Semrush Data'!$A$1:$Z$1,0)),"")</f>
        <v>0.58</v>
      </c>
      <c r="J143" s="7" t="str">
        <f aca="false">IFERROR(INDEX('Semrush Data'!$A$1:$Z$20000,MATCH(A143,'Semrush Data'!$A$1:$A$20000,0),MATCH("Intent",'Semrush Data'!$A$1:$Z$1,0)),"")</f>
        <v>Informational</v>
      </c>
    </row>
    <row r="144" customFormat="false" ht="15" hidden="false" customHeight="true" outlineLevel="0" collapsed="false">
      <c r="A144" s="7" t="s">
        <v>6608</v>
      </c>
      <c r="B144" s="7" t="s">
        <v>256</v>
      </c>
      <c r="C144" s="7" t="n">
        <v>1</v>
      </c>
      <c r="D144" s="7" t="n">
        <v>2</v>
      </c>
      <c r="E144" s="7" t="n">
        <v>1</v>
      </c>
      <c r="F144" s="7" t="s">
        <v>70</v>
      </c>
      <c r="G144" s="12" t="n">
        <f aca="false">IFERROR(INDEX('Semrush Data'!$A$1:$Z$20000,MATCH(A144,'Semrush Data'!$A$1:$A$20000,0),MATCH("Volume",'Semrush Data'!$A$1:$Z$1,0)),"")</f>
        <v>90</v>
      </c>
      <c r="H144" s="7" t="n">
        <f aca="false">IFERROR(INDEX('Semrush Data'!$A$1:$Z$20000,MATCH(A144,'Semrush Data'!$A$1:$A$20000,0),MATCH("Keyword Difficulty*",'Semrush Data'!$A$1:$Z$1,0)),"")</f>
        <v>13</v>
      </c>
      <c r="I144" s="13" t="n">
        <f aca="false">IFERROR(INDEX('Semrush Data'!$A$1:$Z$20000,MATCH(A144,'Semrush Data'!$A$1:$A$20000,0),MATCH("CPC*",'Semrush Data'!$A$1:$Z$1,0)),"")</f>
        <v>0.48</v>
      </c>
      <c r="J144" s="7" t="str">
        <f aca="false">IFERROR(INDEX('Semrush Data'!$A$1:$Z$20000,MATCH(A144,'Semrush Data'!$A$1:$A$20000,0),MATCH("Intent",'Semrush Data'!$A$1:$Z$1,0)),"")</f>
        <v>Informational</v>
      </c>
    </row>
    <row r="145" customFormat="false" ht="15" hidden="false" customHeight="true" outlineLevel="0" collapsed="false">
      <c r="A145" s="7" t="s">
        <v>6609</v>
      </c>
      <c r="B145" s="7" t="s">
        <v>256</v>
      </c>
      <c r="C145" s="7" t="n">
        <v>1</v>
      </c>
      <c r="D145" s="7" t="n">
        <v>2</v>
      </c>
      <c r="E145" s="7" t="n">
        <v>1</v>
      </c>
      <c r="F145" s="7" t="s">
        <v>70</v>
      </c>
      <c r="G145" s="12" t="n">
        <f aca="false">IFERROR(INDEX('Semrush Data'!$A$1:$Z$20000,MATCH(A145,'Semrush Data'!$A$1:$A$20000,0),MATCH("Volume",'Semrush Data'!$A$1:$Z$1,0)),"")</f>
        <v>0</v>
      </c>
      <c r="H145" s="7" t="n">
        <f aca="false">IFERROR(INDEX('Semrush Data'!$A$1:$Z$20000,MATCH(A145,'Semrush Data'!$A$1:$A$20000,0),MATCH("Keyword Difficulty*",'Semrush Data'!$A$1:$Z$1,0)),"")</f>
        <v>16</v>
      </c>
      <c r="I145" s="13" t="n">
        <f aca="false">IFERROR(INDEX('Semrush Data'!$A$1:$Z$20000,MATCH(A145,'Semrush Data'!$A$1:$A$20000,0),MATCH("CPC*",'Semrush Data'!$A$1:$Z$1,0)),"")</f>
        <v>0</v>
      </c>
      <c r="J145" s="7" t="str">
        <f aca="false">IFERROR(INDEX('Semrush Data'!$A$1:$Z$20000,MATCH(A145,'Semrush Data'!$A$1:$A$20000,0),MATCH("Intent",'Semrush Data'!$A$1:$Z$1,0)),"")</f>
        <v>Informational</v>
      </c>
    </row>
    <row r="146" customFormat="false" ht="15" hidden="false" customHeight="true" outlineLevel="0" collapsed="false">
      <c r="A146" s="7" t="s">
        <v>6610</v>
      </c>
      <c r="B146" s="7" t="s">
        <v>256</v>
      </c>
      <c r="C146" s="7" t="n">
        <v>1</v>
      </c>
      <c r="D146" s="7" t="n">
        <v>2</v>
      </c>
      <c r="E146" s="7" t="n">
        <v>3</v>
      </c>
      <c r="F146" s="7" t="s">
        <v>6611</v>
      </c>
      <c r="G146" s="12" t="n">
        <f aca="false">IFERROR(INDEX('Semrush Data'!$A$1:$Z$20000,MATCH(A146,'Semrush Data'!$A$1:$A$20000,0),MATCH("Volume",'Semrush Data'!$A$1:$Z$1,0)),"")</f>
        <v>110</v>
      </c>
      <c r="H146" s="7" t="n">
        <f aca="false">IFERROR(INDEX('Semrush Data'!$A$1:$Z$20000,MATCH(A146,'Semrush Data'!$A$1:$A$20000,0),MATCH("Keyword Difficulty*",'Semrush Data'!$A$1:$Z$1,0)),"")</f>
        <v>20</v>
      </c>
      <c r="I146" s="13" t="n">
        <f aca="false">IFERROR(INDEX('Semrush Data'!$A$1:$Z$20000,MATCH(A146,'Semrush Data'!$A$1:$A$20000,0),MATCH("CPC*",'Semrush Data'!$A$1:$Z$1,0)),"")</f>
        <v>0.58</v>
      </c>
      <c r="J146" s="7" t="str">
        <f aca="false">IFERROR(INDEX('Semrush Data'!$A$1:$Z$20000,MATCH(A146,'Semrush Data'!$A$1:$A$20000,0),MATCH("Intent",'Semrush Data'!$A$1:$Z$1,0)),"")</f>
        <v>Informational Transactional</v>
      </c>
    </row>
    <row r="147" customFormat="false" ht="15" hidden="false" customHeight="true" outlineLevel="0" collapsed="false">
      <c r="A147" s="7" t="s">
        <v>6612</v>
      </c>
      <c r="B147" s="7" t="s">
        <v>256</v>
      </c>
      <c r="C147" s="7" t="n">
        <v>1</v>
      </c>
      <c r="D147" s="7" t="n">
        <v>2</v>
      </c>
      <c r="E147" s="7" t="n">
        <v>3</v>
      </c>
      <c r="F147" s="7" t="s">
        <v>6611</v>
      </c>
      <c r="G147" s="12" t="n">
        <f aca="false">IFERROR(INDEX('Semrush Data'!$A$1:$Z$20000,MATCH(A147,'Semrush Data'!$A$1:$A$20000,0),MATCH("Volume",'Semrush Data'!$A$1:$Z$1,0)),"")</f>
        <v>0</v>
      </c>
      <c r="H147" s="7" t="n">
        <f aca="false">IFERROR(INDEX('Semrush Data'!$A$1:$Z$20000,MATCH(A147,'Semrush Data'!$A$1:$A$20000,0),MATCH("Keyword Difficulty*",'Semrush Data'!$A$1:$Z$1,0)),"")</f>
        <v>19</v>
      </c>
      <c r="I147" s="13" t="n">
        <f aca="false">IFERROR(INDEX('Semrush Data'!$A$1:$Z$20000,MATCH(A147,'Semrush Data'!$A$1:$A$20000,0),MATCH("CPC*",'Semrush Data'!$A$1:$Z$1,0)),"")</f>
        <v>0</v>
      </c>
      <c r="J147" s="7" t="str">
        <f aca="false">IFERROR(INDEX('Semrush Data'!$A$1:$Z$20000,MATCH(A147,'Semrush Data'!$A$1:$A$20000,0),MATCH("Intent",'Semrush Data'!$A$1:$Z$1,0)),"")</f>
        <v>Informational Transactional</v>
      </c>
    </row>
    <row r="148" customFormat="false" ht="15" hidden="false" customHeight="true" outlineLevel="0" collapsed="false">
      <c r="A148" s="7" t="s">
        <v>6613</v>
      </c>
      <c r="B148" s="7" t="s">
        <v>256</v>
      </c>
      <c r="C148" s="7" t="n">
        <v>1</v>
      </c>
      <c r="D148" s="7" t="n">
        <v>2</v>
      </c>
      <c r="E148" s="7" t="n">
        <v>1</v>
      </c>
      <c r="F148" s="7" t="s">
        <v>5566</v>
      </c>
      <c r="G148" s="12" t="n">
        <f aca="false">IFERROR(INDEX('Semrush Data'!$A$1:$Z$20000,MATCH(A148,'Semrush Data'!$A$1:$A$20000,0),MATCH("Volume",'Semrush Data'!$A$1:$Z$1,0)),"")</f>
        <v>0</v>
      </c>
      <c r="H148" s="7" t="n">
        <f aca="false">IFERROR(INDEX('Semrush Data'!$A$1:$Z$20000,MATCH(A148,'Semrush Data'!$A$1:$A$20000,0),MATCH("Keyword Difficulty*",'Semrush Data'!$A$1:$Z$1,0)),"")</f>
        <v>7</v>
      </c>
      <c r="I148" s="13" t="n">
        <f aca="false">IFERROR(INDEX('Semrush Data'!$A$1:$Z$20000,MATCH(A148,'Semrush Data'!$A$1:$A$20000,0),MATCH("CPC*",'Semrush Data'!$A$1:$Z$1,0)),"")</f>
        <v>0</v>
      </c>
      <c r="J148" s="7" t="str">
        <f aca="false">IFERROR(INDEX('Semrush Data'!$A$1:$Z$20000,MATCH(A148,'Semrush Data'!$A$1:$A$20000,0),MATCH("Intent",'Semrush Data'!$A$1:$Z$1,0)),"")</f>
        <v>Informational</v>
      </c>
    </row>
    <row r="149" customFormat="false" ht="15" hidden="false" customHeight="true" outlineLevel="0" collapsed="false">
      <c r="A149" s="7" t="s">
        <v>6614</v>
      </c>
      <c r="B149" s="7" t="s">
        <v>256</v>
      </c>
      <c r="C149" s="7" t="n">
        <v>1</v>
      </c>
      <c r="D149" s="7" t="n">
        <v>2</v>
      </c>
      <c r="E149" s="7" t="n">
        <v>3</v>
      </c>
      <c r="F149" s="7" t="s">
        <v>6615</v>
      </c>
      <c r="G149" s="12" t="n">
        <f aca="false">IFERROR(INDEX('Semrush Data'!$A$1:$Z$20000,MATCH(A149,'Semrush Data'!$A$1:$A$20000,0),MATCH("Volume",'Semrush Data'!$A$1:$Z$1,0)),"")</f>
        <v>10</v>
      </c>
      <c r="H149" s="7" t="n">
        <f aca="false">IFERROR(INDEX('Semrush Data'!$A$1:$Z$20000,MATCH(A149,'Semrush Data'!$A$1:$A$20000,0),MATCH("Keyword Difficulty*",'Semrush Data'!$A$1:$Z$1,0)),"")</f>
        <v>13</v>
      </c>
      <c r="I149" s="13" t="n">
        <f aca="false">IFERROR(INDEX('Semrush Data'!$A$1:$Z$20000,MATCH(A149,'Semrush Data'!$A$1:$A$20000,0),MATCH("CPC*",'Semrush Data'!$A$1:$Z$1,0)),"")</f>
        <v>0</v>
      </c>
      <c r="J149" s="7" t="str">
        <f aca="false">IFERROR(INDEX('Semrush Data'!$A$1:$Z$20000,MATCH(A149,'Semrush Data'!$A$1:$A$20000,0),MATCH("Intent",'Semrush Data'!$A$1:$Z$1,0)),"")</f>
        <v>Informational Transactional</v>
      </c>
    </row>
    <row r="150" customFormat="false" ht="15" hidden="false" customHeight="true" outlineLevel="0" collapsed="false">
      <c r="A150" s="7" t="s">
        <v>6616</v>
      </c>
      <c r="B150" s="7" t="s">
        <v>256</v>
      </c>
      <c r="C150" s="7" t="n">
        <v>1</v>
      </c>
      <c r="D150" s="7" t="n">
        <v>2</v>
      </c>
      <c r="E150" s="7" t="n">
        <v>1</v>
      </c>
      <c r="F150" s="7" t="s">
        <v>5590</v>
      </c>
      <c r="G150" s="12" t="n">
        <f aca="false">IFERROR(INDEX('Semrush Data'!$A$1:$Z$20000,MATCH(A150,'Semrush Data'!$A$1:$A$20000,0),MATCH("Volume",'Semrush Data'!$A$1:$Z$1,0)),"")</f>
        <v>0</v>
      </c>
      <c r="H150" s="7" t="n">
        <f aca="false">IFERROR(INDEX('Semrush Data'!$A$1:$Z$20000,MATCH(A150,'Semrush Data'!$A$1:$A$20000,0),MATCH("Keyword Difficulty*",'Semrush Data'!$A$1:$Z$1,0)),"")</f>
        <v>17</v>
      </c>
      <c r="I150" s="13" t="n">
        <f aca="false">IFERROR(INDEX('Semrush Data'!$A$1:$Z$20000,MATCH(A150,'Semrush Data'!$A$1:$A$20000,0),MATCH("CPC*",'Semrush Data'!$A$1:$Z$1,0)),"")</f>
        <v>0</v>
      </c>
      <c r="J150" s="7" t="str">
        <f aca="false">IFERROR(INDEX('Semrush Data'!$A$1:$Z$20000,MATCH(A150,'Semrush Data'!$A$1:$A$20000,0),MATCH("Intent",'Semrush Data'!$A$1:$Z$1,0)),"")</f>
        <v>Informational Transactional</v>
      </c>
    </row>
    <row r="151" customFormat="false" ht="15" hidden="false" customHeight="true" outlineLevel="0" collapsed="false">
      <c r="A151" s="7" t="s">
        <v>6617</v>
      </c>
      <c r="B151" s="7" t="s">
        <v>256</v>
      </c>
      <c r="C151" s="7" t="n">
        <v>1</v>
      </c>
      <c r="D151" s="7" t="n">
        <v>2</v>
      </c>
      <c r="E151" s="7" t="n">
        <v>5</v>
      </c>
      <c r="F151" s="7" t="s">
        <v>6618</v>
      </c>
      <c r="G151" s="12" t="n">
        <f aca="false">IFERROR(INDEX('Semrush Data'!$A$1:$Z$20000,MATCH(A151,'Semrush Data'!$A$1:$A$20000,0),MATCH("Volume",'Semrush Data'!$A$1:$Z$1,0)),"")</f>
        <v>0</v>
      </c>
      <c r="H151" s="7" t="n">
        <f aca="false">IFERROR(INDEX('Semrush Data'!$A$1:$Z$20000,MATCH(A151,'Semrush Data'!$A$1:$A$20000,0),MATCH("Keyword Difficulty*",'Semrush Data'!$A$1:$Z$1,0)),"")</f>
        <v>6</v>
      </c>
      <c r="I151" s="13" t="n">
        <f aca="false">IFERROR(INDEX('Semrush Data'!$A$1:$Z$20000,MATCH(A151,'Semrush Data'!$A$1:$A$20000,0),MATCH("CPC*",'Semrush Data'!$A$1:$Z$1,0)),"")</f>
        <v>0</v>
      </c>
      <c r="J151" s="7" t="str">
        <f aca="false">IFERROR(INDEX('Semrush Data'!$A$1:$Z$20000,MATCH(A151,'Semrush Data'!$A$1:$A$20000,0),MATCH("Intent",'Semrush Data'!$A$1:$Z$1,0)),"")</f>
        <v>Informational</v>
      </c>
    </row>
    <row r="152" customFormat="false" ht="15" hidden="false" customHeight="true" outlineLevel="0" collapsed="false">
      <c r="A152" s="7" t="s">
        <v>6619</v>
      </c>
      <c r="B152" s="7" t="s">
        <v>256</v>
      </c>
      <c r="C152" s="7" t="n">
        <v>1</v>
      </c>
      <c r="D152" s="7" t="n">
        <v>2</v>
      </c>
      <c r="E152" s="7" t="n">
        <v>1</v>
      </c>
      <c r="F152" s="7" t="s">
        <v>5669</v>
      </c>
      <c r="G152" s="12" t="n">
        <f aca="false">IFERROR(INDEX('Semrush Data'!$A$1:$Z$20000,MATCH(A152,'Semrush Data'!$A$1:$A$20000,0),MATCH("Volume",'Semrush Data'!$A$1:$Z$1,0)),"")</f>
        <v>720</v>
      </c>
      <c r="H152" s="7" t="n">
        <f aca="false">IFERROR(INDEX('Semrush Data'!$A$1:$Z$20000,MATCH(A152,'Semrush Data'!$A$1:$A$20000,0),MATCH("Keyword Difficulty*",'Semrush Data'!$A$1:$Z$1,0)),"")</f>
        <v>15</v>
      </c>
      <c r="I152" s="13" t="n">
        <f aca="false">IFERROR(INDEX('Semrush Data'!$A$1:$Z$20000,MATCH(A152,'Semrush Data'!$A$1:$A$20000,0),MATCH("CPC*",'Semrush Data'!$A$1:$Z$1,0)),"")</f>
        <v>0.31</v>
      </c>
      <c r="J152" s="7" t="str">
        <f aca="false">IFERROR(INDEX('Semrush Data'!$A$1:$Z$20000,MATCH(A152,'Semrush Data'!$A$1:$A$20000,0),MATCH("Intent",'Semrush Data'!$A$1:$Z$1,0)),"")</f>
        <v>Informational Transactional</v>
      </c>
    </row>
    <row r="153" customFormat="false" ht="15" hidden="false" customHeight="true" outlineLevel="0" collapsed="false">
      <c r="A153" s="7" t="s">
        <v>6620</v>
      </c>
      <c r="B153" s="7" t="s">
        <v>256</v>
      </c>
      <c r="C153" s="7" t="n">
        <v>1</v>
      </c>
      <c r="D153" s="7" t="n">
        <v>2</v>
      </c>
      <c r="E153" s="7" t="n">
        <v>1</v>
      </c>
      <c r="F153" s="7" t="s">
        <v>5682</v>
      </c>
      <c r="G153" s="12" t="n">
        <f aca="false">IFERROR(INDEX('Semrush Data'!$A$1:$Z$20000,MATCH(A153,'Semrush Data'!$A$1:$A$20000,0),MATCH("Volume",'Semrush Data'!$A$1:$Z$1,0)),"")</f>
        <v>390</v>
      </c>
      <c r="H153" s="7" t="n">
        <f aca="false">IFERROR(INDEX('Semrush Data'!$A$1:$Z$20000,MATCH(A153,'Semrush Data'!$A$1:$A$20000,0),MATCH("Keyword Difficulty*",'Semrush Data'!$A$1:$Z$1,0)),"")</f>
        <v>16</v>
      </c>
      <c r="I153" s="13" t="n">
        <f aca="false">IFERROR(INDEX('Semrush Data'!$A$1:$Z$20000,MATCH(A153,'Semrush Data'!$A$1:$A$20000,0),MATCH("CPC*",'Semrush Data'!$A$1:$Z$1,0)),"")</f>
        <v>0.39</v>
      </c>
      <c r="J153" s="7" t="str">
        <f aca="false">IFERROR(INDEX('Semrush Data'!$A$1:$Z$20000,MATCH(A153,'Semrush Data'!$A$1:$A$20000,0),MATCH("Intent",'Semrush Data'!$A$1:$Z$1,0)),"")</f>
        <v>Informational Transactional</v>
      </c>
    </row>
    <row r="154" customFormat="false" ht="15" hidden="false" customHeight="true" outlineLevel="0" collapsed="false">
      <c r="A154" s="7" t="s">
        <v>6621</v>
      </c>
      <c r="B154" s="7" t="s">
        <v>256</v>
      </c>
      <c r="C154" s="7" t="n">
        <v>1</v>
      </c>
      <c r="D154" s="7" t="n">
        <v>2</v>
      </c>
      <c r="E154" s="7" t="n">
        <v>1</v>
      </c>
      <c r="F154" s="7" t="s">
        <v>5682</v>
      </c>
      <c r="G154" s="12" t="n">
        <f aca="false">IFERROR(INDEX('Semrush Data'!$A$1:$Z$20000,MATCH(A154,'Semrush Data'!$A$1:$A$20000,0),MATCH("Volume",'Semrush Data'!$A$1:$Z$1,0)),"")</f>
        <v>0</v>
      </c>
      <c r="H154" s="7" t="n">
        <f aca="false">IFERROR(INDEX('Semrush Data'!$A$1:$Z$20000,MATCH(A154,'Semrush Data'!$A$1:$A$20000,0),MATCH("Keyword Difficulty*",'Semrush Data'!$A$1:$Z$1,0)),"")</f>
        <v>13</v>
      </c>
      <c r="I154" s="13" t="n">
        <f aca="false">IFERROR(INDEX('Semrush Data'!$A$1:$Z$20000,MATCH(A154,'Semrush Data'!$A$1:$A$20000,0),MATCH("CPC*",'Semrush Data'!$A$1:$Z$1,0)),"")</f>
        <v>0</v>
      </c>
      <c r="J154" s="7" t="str">
        <f aca="false">IFERROR(INDEX('Semrush Data'!$A$1:$Z$20000,MATCH(A154,'Semrush Data'!$A$1:$A$20000,0),MATCH("Intent",'Semrush Data'!$A$1:$Z$1,0)),"")</f>
        <v>Transactional Navigational</v>
      </c>
    </row>
    <row r="155" customFormat="false" ht="15" hidden="false" customHeight="true" outlineLevel="0" collapsed="false">
      <c r="A155" s="7" t="s">
        <v>6622</v>
      </c>
      <c r="B155" s="7" t="s">
        <v>256</v>
      </c>
      <c r="C155" s="7" t="n">
        <v>1</v>
      </c>
      <c r="D155" s="7" t="n">
        <v>2</v>
      </c>
      <c r="E155" s="7" t="n">
        <v>16</v>
      </c>
      <c r="F155" s="7" t="s">
        <v>6623</v>
      </c>
      <c r="G155" s="12" t="n">
        <f aca="false">IFERROR(INDEX('Semrush Data'!$A$1:$Z$20000,MATCH(A155,'Semrush Data'!$A$1:$A$20000,0),MATCH("Volume",'Semrush Data'!$A$1:$Z$1,0)),"")</f>
        <v>0</v>
      </c>
      <c r="H155" s="7" t="n">
        <f aca="false">IFERROR(INDEX('Semrush Data'!$A$1:$Z$20000,MATCH(A155,'Semrush Data'!$A$1:$A$20000,0),MATCH("Keyword Difficulty*",'Semrush Data'!$A$1:$Z$1,0)),"")</f>
        <v>13</v>
      </c>
      <c r="I155" s="13" t="n">
        <f aca="false">IFERROR(INDEX('Semrush Data'!$A$1:$Z$20000,MATCH(A155,'Semrush Data'!$A$1:$A$20000,0),MATCH("CPC*",'Semrush Data'!$A$1:$Z$1,0)),"")</f>
        <v>0</v>
      </c>
      <c r="J155" s="7" t="str">
        <f aca="false">IFERROR(INDEX('Semrush Data'!$A$1:$Z$20000,MATCH(A155,'Semrush Data'!$A$1:$A$20000,0),MATCH("Intent",'Semrush Data'!$A$1:$Z$1,0)),"")</f>
        <v>Informational</v>
      </c>
    </row>
    <row r="156" customFormat="false" ht="15" hidden="false" customHeight="true" outlineLevel="0" collapsed="false">
      <c r="A156" s="7" t="s">
        <v>6624</v>
      </c>
      <c r="B156" s="7" t="s">
        <v>256</v>
      </c>
      <c r="C156" s="7" t="n">
        <v>1</v>
      </c>
      <c r="D156" s="7" t="n">
        <v>2</v>
      </c>
      <c r="E156" s="7" t="n">
        <v>1</v>
      </c>
      <c r="F156" s="7" t="s">
        <v>5719</v>
      </c>
      <c r="G156" s="12" t="n">
        <f aca="false">IFERROR(INDEX('Semrush Data'!$A$1:$Z$20000,MATCH(A156,'Semrush Data'!$A$1:$A$20000,0),MATCH("Volume",'Semrush Data'!$A$1:$Z$1,0)),"")</f>
        <v>0</v>
      </c>
      <c r="H156" s="7" t="n">
        <f aca="false">IFERROR(INDEX('Semrush Data'!$A$1:$Z$20000,MATCH(A156,'Semrush Data'!$A$1:$A$20000,0),MATCH("Keyword Difficulty*",'Semrush Data'!$A$1:$Z$1,0)),"")</f>
        <v>12</v>
      </c>
      <c r="I156" s="13" t="n">
        <f aca="false">IFERROR(INDEX('Semrush Data'!$A$1:$Z$20000,MATCH(A156,'Semrush Data'!$A$1:$A$20000,0),MATCH("CPC*",'Semrush Data'!$A$1:$Z$1,0)),"")</f>
        <v>0</v>
      </c>
      <c r="J156" s="7" t="str">
        <f aca="false">IFERROR(INDEX('Semrush Data'!$A$1:$Z$20000,MATCH(A156,'Semrush Data'!$A$1:$A$20000,0),MATCH("Intent",'Semrush Data'!$A$1:$Z$1,0)),"")</f>
        <v>Informational</v>
      </c>
    </row>
    <row r="157" customFormat="false" ht="15" hidden="false" customHeight="true" outlineLevel="0" collapsed="false">
      <c r="A157" s="7" t="s">
        <v>6625</v>
      </c>
      <c r="B157" s="7" t="s">
        <v>256</v>
      </c>
      <c r="C157" s="7" t="n">
        <v>1</v>
      </c>
      <c r="D157" s="7" t="n">
        <v>2</v>
      </c>
      <c r="E157" s="7" t="n">
        <v>1</v>
      </c>
      <c r="F157" s="7" t="s">
        <v>5742</v>
      </c>
      <c r="G157" s="12" t="n">
        <f aca="false">IFERROR(INDEX('Semrush Data'!$A$1:$Z$20000,MATCH(A157,'Semrush Data'!$A$1:$A$20000,0),MATCH("Volume",'Semrush Data'!$A$1:$Z$1,0)),"")</f>
        <v>0</v>
      </c>
      <c r="H157" s="7" t="n">
        <f aca="false">IFERROR(INDEX('Semrush Data'!$A$1:$Z$20000,MATCH(A157,'Semrush Data'!$A$1:$A$20000,0),MATCH("Keyword Difficulty*",'Semrush Data'!$A$1:$Z$1,0)),"")</f>
        <v>18</v>
      </c>
      <c r="I157" s="13" t="n">
        <f aca="false">IFERROR(INDEX('Semrush Data'!$A$1:$Z$20000,MATCH(A157,'Semrush Data'!$A$1:$A$20000,0),MATCH("CPC*",'Semrush Data'!$A$1:$Z$1,0)),"")</f>
        <v>0</v>
      </c>
      <c r="J157" s="7" t="str">
        <f aca="false">IFERROR(INDEX('Semrush Data'!$A$1:$Z$20000,MATCH(A157,'Semrush Data'!$A$1:$A$20000,0),MATCH("Intent",'Semrush Data'!$A$1:$Z$1,0)),"")</f>
        <v>Informational</v>
      </c>
    </row>
    <row r="158" customFormat="false" ht="15" hidden="false" customHeight="true" outlineLevel="0" collapsed="false">
      <c r="A158" s="7" t="s">
        <v>6626</v>
      </c>
      <c r="B158" s="7" t="s">
        <v>256</v>
      </c>
      <c r="C158" s="7" t="n">
        <v>1</v>
      </c>
      <c r="D158" s="7" t="n">
        <v>2</v>
      </c>
      <c r="E158" s="7" t="n">
        <v>3</v>
      </c>
      <c r="F158" s="7" t="s">
        <v>6627</v>
      </c>
      <c r="G158" s="12" t="n">
        <f aca="false">IFERROR(INDEX('Semrush Data'!$A$1:$Z$20000,MATCH(A158,'Semrush Data'!$A$1:$A$20000,0),MATCH("Volume",'Semrush Data'!$A$1:$Z$1,0)),"")</f>
        <v>0</v>
      </c>
      <c r="H158" s="7" t="n">
        <f aca="false">IFERROR(INDEX('Semrush Data'!$A$1:$Z$20000,MATCH(A158,'Semrush Data'!$A$1:$A$20000,0),MATCH("Keyword Difficulty*",'Semrush Data'!$A$1:$Z$1,0)),"")</f>
        <v>19</v>
      </c>
      <c r="I158" s="13" t="n">
        <f aca="false">IFERROR(INDEX('Semrush Data'!$A$1:$Z$20000,MATCH(A158,'Semrush Data'!$A$1:$A$20000,0),MATCH("CPC*",'Semrush Data'!$A$1:$Z$1,0)),"")</f>
        <v>0</v>
      </c>
      <c r="J158" s="7" t="str">
        <f aca="false">IFERROR(INDEX('Semrush Data'!$A$1:$Z$20000,MATCH(A158,'Semrush Data'!$A$1:$A$20000,0),MATCH("Intent",'Semrush Data'!$A$1:$Z$1,0)),"")</f>
        <v>Informational</v>
      </c>
    </row>
    <row r="159" customFormat="false" ht="15" hidden="false" customHeight="true" outlineLevel="0" collapsed="false">
      <c r="A159" s="7" t="s">
        <v>6628</v>
      </c>
      <c r="B159" s="7" t="s">
        <v>256</v>
      </c>
      <c r="C159" s="7" t="n">
        <v>1</v>
      </c>
      <c r="D159" s="7" t="n">
        <v>2</v>
      </c>
      <c r="E159" s="7" t="n">
        <v>1</v>
      </c>
      <c r="F159" s="7" t="s">
        <v>5377</v>
      </c>
      <c r="G159" s="12" t="n">
        <f aca="false">IFERROR(INDEX('Semrush Data'!$A$1:$Z$20000,MATCH(A159,'Semrush Data'!$A$1:$A$20000,0),MATCH("Volume",'Semrush Data'!$A$1:$Z$1,0)),"")</f>
        <v>0</v>
      </c>
      <c r="H159" s="7" t="n">
        <f aca="false">IFERROR(INDEX('Semrush Data'!$A$1:$Z$20000,MATCH(A159,'Semrush Data'!$A$1:$A$20000,0),MATCH("Keyword Difficulty*",'Semrush Data'!$A$1:$Z$1,0)),"")</f>
        <v>19</v>
      </c>
      <c r="I159" s="13" t="n">
        <f aca="false">IFERROR(INDEX('Semrush Data'!$A$1:$Z$20000,MATCH(A159,'Semrush Data'!$A$1:$A$20000,0),MATCH("CPC*",'Semrush Data'!$A$1:$Z$1,0)),"")</f>
        <v>0</v>
      </c>
      <c r="J159" s="7" t="str">
        <f aca="false">IFERROR(INDEX('Semrush Data'!$A$1:$Z$20000,MATCH(A159,'Semrush Data'!$A$1:$A$20000,0),MATCH("Intent",'Semrush Data'!$A$1:$Z$1,0)),"")</f>
        <v>Informational</v>
      </c>
    </row>
    <row r="160" customFormat="false" ht="15" hidden="false" customHeight="true" outlineLevel="0" collapsed="false">
      <c r="A160" s="7" t="s">
        <v>6629</v>
      </c>
      <c r="B160" s="7" t="s">
        <v>256</v>
      </c>
      <c r="C160" s="7" t="n">
        <v>1</v>
      </c>
      <c r="D160" s="7" t="n">
        <v>2</v>
      </c>
      <c r="E160" s="7" t="n">
        <v>11</v>
      </c>
      <c r="F160" s="7" t="s">
        <v>6630</v>
      </c>
      <c r="G160" s="12" t="n">
        <f aca="false">IFERROR(INDEX('Semrush Data'!$A$1:$Z$20000,MATCH(A160,'Semrush Data'!$A$1:$A$20000,0),MATCH("Volume",'Semrush Data'!$A$1:$Z$1,0)),"")</f>
        <v>20</v>
      </c>
      <c r="H160" s="7" t="n">
        <f aca="false">IFERROR(INDEX('Semrush Data'!$A$1:$Z$20000,MATCH(A160,'Semrush Data'!$A$1:$A$20000,0),MATCH("Keyword Difficulty*",'Semrush Data'!$A$1:$Z$1,0)),"")</f>
        <v>16</v>
      </c>
      <c r="I160" s="13" t="n">
        <f aca="false">IFERROR(INDEX('Semrush Data'!$A$1:$Z$20000,MATCH(A160,'Semrush Data'!$A$1:$A$20000,0),MATCH("CPC*",'Semrush Data'!$A$1:$Z$1,0)),"")</f>
        <v>0</v>
      </c>
      <c r="J160" s="7" t="str">
        <f aca="false">IFERROR(INDEX('Semrush Data'!$A$1:$Z$20000,MATCH(A160,'Semrush Data'!$A$1:$A$20000,0),MATCH("Intent",'Semrush Data'!$A$1:$Z$1,0)),"")</f>
        <v>Informational</v>
      </c>
    </row>
    <row r="161" customFormat="false" ht="15" hidden="false" customHeight="true" outlineLevel="0" collapsed="false">
      <c r="A161" s="7" t="s">
        <v>6631</v>
      </c>
      <c r="B161" s="7" t="s">
        <v>256</v>
      </c>
      <c r="C161" s="7" t="n">
        <v>1</v>
      </c>
      <c r="D161" s="7" t="n">
        <v>2</v>
      </c>
      <c r="E161" s="7" t="n">
        <v>21</v>
      </c>
      <c r="F161" s="7" t="s">
        <v>6632</v>
      </c>
      <c r="G161" s="12" t="n">
        <f aca="false">IFERROR(INDEX('Semrush Data'!$A$1:$Z$20000,MATCH(A161,'Semrush Data'!$A$1:$A$20000,0),MATCH("Volume",'Semrush Data'!$A$1:$Z$1,0)),"")</f>
        <v>260</v>
      </c>
      <c r="H161" s="7" t="n">
        <f aca="false">IFERROR(INDEX('Semrush Data'!$A$1:$Z$20000,MATCH(A161,'Semrush Data'!$A$1:$A$20000,0),MATCH("Keyword Difficulty*",'Semrush Data'!$A$1:$Z$1,0)),"")</f>
        <v>16</v>
      </c>
      <c r="I161" s="13" t="n">
        <f aca="false">IFERROR(INDEX('Semrush Data'!$A$1:$Z$20000,MATCH(A161,'Semrush Data'!$A$1:$A$20000,0),MATCH("CPC*",'Semrush Data'!$A$1:$Z$1,0)),"")</f>
        <v>0.4</v>
      </c>
      <c r="J161" s="7" t="str">
        <f aca="false">IFERROR(INDEX('Semrush Data'!$A$1:$Z$20000,MATCH(A161,'Semrush Data'!$A$1:$A$20000,0),MATCH("Intent",'Semrush Data'!$A$1:$Z$1,0)),"")</f>
        <v>Informational</v>
      </c>
    </row>
    <row r="162" customFormat="false" ht="15" hidden="false" customHeight="true" outlineLevel="0" collapsed="false">
      <c r="A162" s="7" t="s">
        <v>259</v>
      </c>
      <c r="B162" s="7" t="s">
        <v>256</v>
      </c>
      <c r="C162" s="7" t="n">
        <v>1</v>
      </c>
      <c r="D162" s="7" t="n">
        <v>2</v>
      </c>
      <c r="E162" s="7" t="n">
        <v>6</v>
      </c>
      <c r="F162" s="7" t="s">
        <v>6633</v>
      </c>
      <c r="G162" s="12" t="n">
        <f aca="false">IFERROR(INDEX('Semrush Data'!$A$1:$Z$20000,MATCH(A162,'Semrush Data'!$A$1:$A$20000,0),MATCH("Volume",'Semrush Data'!$A$1:$Z$1,0)),"")</f>
        <v>33100</v>
      </c>
      <c r="H162" s="7" t="n">
        <f aca="false">IFERROR(INDEX('Semrush Data'!$A$1:$Z$20000,MATCH(A162,'Semrush Data'!$A$1:$A$20000,0),MATCH("Keyword Difficulty*",'Semrush Data'!$A$1:$Z$1,0)),"")</f>
        <v>55</v>
      </c>
      <c r="I162" s="13" t="n">
        <f aca="false">IFERROR(INDEX('Semrush Data'!$A$1:$Z$20000,MATCH(A162,'Semrush Data'!$A$1:$A$20000,0),MATCH("CPC*",'Semrush Data'!$A$1:$Z$1,0)),"")</f>
        <v>0.38</v>
      </c>
      <c r="J162" s="7" t="str">
        <f aca="false">IFERROR(INDEX('Semrush Data'!$A$1:$Z$20000,MATCH(A162,'Semrush Data'!$A$1:$A$20000,0),MATCH("Intent",'Semrush Data'!$A$1:$Z$1,0)),"")</f>
        <v>Informational Transactional</v>
      </c>
    </row>
    <row r="163" customFormat="false" ht="15" hidden="false" customHeight="true" outlineLevel="0" collapsed="false">
      <c r="A163" s="7" t="s">
        <v>286</v>
      </c>
      <c r="B163" s="7" t="s">
        <v>256</v>
      </c>
      <c r="C163" s="7" t="n">
        <v>1</v>
      </c>
      <c r="D163" s="7" t="n">
        <v>2</v>
      </c>
      <c r="E163" s="7" t="n">
        <v>1</v>
      </c>
      <c r="F163" s="7" t="s">
        <v>54</v>
      </c>
      <c r="G163" s="12" t="n">
        <f aca="false">IFERROR(INDEX('Semrush Data'!$A$1:$Z$20000,MATCH(A163,'Semrush Data'!$A$1:$A$20000,0),MATCH("Volume",'Semrush Data'!$A$1:$Z$1,0)),"")</f>
        <v>1600</v>
      </c>
      <c r="H163" s="7" t="n">
        <f aca="false">IFERROR(INDEX('Semrush Data'!$A$1:$Z$20000,MATCH(A163,'Semrush Data'!$A$1:$A$20000,0),MATCH("Keyword Difficulty*",'Semrush Data'!$A$1:$Z$1,0)),"")</f>
        <v>39</v>
      </c>
      <c r="I163" s="13" t="n">
        <f aca="false">IFERROR(INDEX('Semrush Data'!$A$1:$Z$20000,MATCH(A163,'Semrush Data'!$A$1:$A$20000,0),MATCH("CPC*",'Semrush Data'!$A$1:$Z$1,0)),"")</f>
        <v>0.35</v>
      </c>
      <c r="J163" s="7" t="str">
        <f aca="false">IFERROR(INDEX('Semrush Data'!$A$1:$Z$20000,MATCH(A163,'Semrush Data'!$A$1:$A$20000,0),MATCH("Intent",'Semrush Data'!$A$1:$Z$1,0)),"")</f>
        <v>Informational Transactional</v>
      </c>
    </row>
    <row r="164" customFormat="false" ht="15" hidden="false" customHeight="true" outlineLevel="0" collapsed="false">
      <c r="A164" s="7" t="s">
        <v>6634</v>
      </c>
      <c r="B164" s="7" t="s">
        <v>256</v>
      </c>
      <c r="C164" s="7" t="n">
        <v>1</v>
      </c>
      <c r="D164" s="7" t="n">
        <v>2</v>
      </c>
      <c r="E164" s="7" t="n">
        <v>6</v>
      </c>
      <c r="F164" s="7" t="s">
        <v>6635</v>
      </c>
      <c r="G164" s="12" t="n">
        <f aca="false">IFERROR(INDEX('Semrush Data'!$A$1:$Z$20000,MATCH(A164,'Semrush Data'!$A$1:$A$20000,0),MATCH("Volume",'Semrush Data'!$A$1:$Z$1,0)),"")</f>
        <v>720</v>
      </c>
      <c r="H164" s="7" t="n">
        <f aca="false">IFERROR(INDEX('Semrush Data'!$A$1:$Z$20000,MATCH(A164,'Semrush Data'!$A$1:$A$20000,0),MATCH("Keyword Difficulty*",'Semrush Data'!$A$1:$Z$1,0)),"")</f>
        <v>15</v>
      </c>
      <c r="I164" s="13" t="n">
        <f aca="false">IFERROR(INDEX('Semrush Data'!$A$1:$Z$20000,MATCH(A164,'Semrush Data'!$A$1:$A$20000,0),MATCH("CPC*",'Semrush Data'!$A$1:$Z$1,0)),"")</f>
        <v>0</v>
      </c>
      <c r="J164" s="7" t="str">
        <f aca="false">IFERROR(INDEX('Semrush Data'!$A$1:$Z$20000,MATCH(A164,'Semrush Data'!$A$1:$A$20000,0),MATCH("Intent",'Semrush Data'!$A$1:$Z$1,0)),"")</f>
        <v>Informational</v>
      </c>
    </row>
    <row r="165" customFormat="false" ht="15" hidden="false" customHeight="true" outlineLevel="0" collapsed="false">
      <c r="A165" s="7" t="s">
        <v>6636</v>
      </c>
      <c r="B165" s="7" t="s">
        <v>256</v>
      </c>
      <c r="C165" s="7" t="n">
        <v>1</v>
      </c>
      <c r="D165" s="7" t="n">
        <v>2</v>
      </c>
      <c r="E165" s="7" t="n">
        <v>1</v>
      </c>
      <c r="F165" s="7" t="s">
        <v>6369</v>
      </c>
      <c r="G165" s="12" t="n">
        <f aca="false">IFERROR(INDEX('Semrush Data'!$A$1:$Z$20000,MATCH(A165,'Semrush Data'!$A$1:$A$20000,0),MATCH("Volume",'Semrush Data'!$A$1:$Z$1,0)),"")</f>
        <v>0</v>
      </c>
      <c r="H165" s="7" t="n">
        <f aca="false">IFERROR(INDEX('Semrush Data'!$A$1:$Z$20000,MATCH(A165,'Semrush Data'!$A$1:$A$20000,0),MATCH("Keyword Difficulty*",'Semrush Data'!$A$1:$Z$1,0)),"")</f>
        <v>6</v>
      </c>
      <c r="I165" s="13" t="n">
        <f aca="false">IFERROR(INDEX('Semrush Data'!$A$1:$Z$20000,MATCH(A165,'Semrush Data'!$A$1:$A$20000,0),MATCH("CPC*",'Semrush Data'!$A$1:$Z$1,0)),"")</f>
        <v>0</v>
      </c>
      <c r="J165" s="7" t="str">
        <f aca="false">IFERROR(INDEX('Semrush Data'!$A$1:$Z$20000,MATCH(A165,'Semrush Data'!$A$1:$A$20000,0),MATCH("Intent",'Semrush Data'!$A$1:$Z$1,0)),"")</f>
        <v>Informational</v>
      </c>
    </row>
    <row r="166" customFormat="false" ht="15" hidden="false" customHeight="true" outlineLevel="0" collapsed="false">
      <c r="A166" s="7" t="s">
        <v>6637</v>
      </c>
      <c r="B166" s="7" t="s">
        <v>256</v>
      </c>
      <c r="C166" s="7" t="n">
        <v>1</v>
      </c>
      <c r="D166" s="7" t="n">
        <v>2</v>
      </c>
      <c r="E166" s="7" t="n">
        <v>4</v>
      </c>
      <c r="F166" s="7" t="s">
        <v>6638</v>
      </c>
      <c r="G166" s="12" t="n">
        <f aca="false">IFERROR(INDEX('Semrush Data'!$A$1:$Z$20000,MATCH(A166,'Semrush Data'!$A$1:$A$20000,0),MATCH("Volume",'Semrush Data'!$A$1:$Z$1,0)),"")</f>
        <v>0</v>
      </c>
      <c r="H166" s="7" t="n">
        <f aca="false">IFERROR(INDEX('Semrush Data'!$A$1:$Z$20000,MATCH(A166,'Semrush Data'!$A$1:$A$20000,0),MATCH("Keyword Difficulty*",'Semrush Data'!$A$1:$Z$1,0)),"")</f>
        <v>18</v>
      </c>
      <c r="I166" s="13" t="n">
        <f aca="false">IFERROR(INDEX('Semrush Data'!$A$1:$Z$20000,MATCH(A166,'Semrush Data'!$A$1:$A$20000,0),MATCH("CPC*",'Semrush Data'!$A$1:$Z$1,0)),"")</f>
        <v>0</v>
      </c>
      <c r="J166" s="7" t="str">
        <f aca="false">IFERROR(INDEX('Semrush Data'!$A$1:$Z$20000,MATCH(A166,'Semrush Data'!$A$1:$A$20000,0),MATCH("Intent",'Semrush Data'!$A$1:$Z$1,0)),"")</f>
        <v>Informational Transactional</v>
      </c>
    </row>
    <row r="167" customFormat="false" ht="15" hidden="false" customHeight="true" outlineLevel="0" collapsed="false">
      <c r="A167" s="7" t="s">
        <v>6639</v>
      </c>
      <c r="B167" s="7" t="s">
        <v>256</v>
      </c>
      <c r="C167" s="7" t="n">
        <v>1</v>
      </c>
      <c r="D167" s="7" t="n">
        <v>2</v>
      </c>
      <c r="E167" s="7" t="n">
        <v>1</v>
      </c>
      <c r="F167" s="7" t="s">
        <v>6412</v>
      </c>
      <c r="G167" s="12" t="n">
        <f aca="false">IFERROR(INDEX('Semrush Data'!$A$1:$Z$20000,MATCH(A167,'Semrush Data'!$A$1:$A$20000,0),MATCH("Volume",'Semrush Data'!$A$1:$Z$1,0)),"")</f>
        <v>320</v>
      </c>
      <c r="H167" s="7" t="n">
        <f aca="false">IFERROR(INDEX('Semrush Data'!$A$1:$Z$20000,MATCH(A167,'Semrush Data'!$A$1:$A$20000,0),MATCH("Keyword Difficulty*",'Semrush Data'!$A$1:$Z$1,0)),"")</f>
        <v>30</v>
      </c>
      <c r="I167" s="13" t="n">
        <f aca="false">IFERROR(INDEX('Semrush Data'!$A$1:$Z$20000,MATCH(A167,'Semrush Data'!$A$1:$A$20000,0),MATCH("CPC*",'Semrush Data'!$A$1:$Z$1,0)),"")</f>
        <v>0.4</v>
      </c>
      <c r="J167" s="7" t="str">
        <f aca="false">IFERROR(INDEX('Semrush Data'!$A$1:$Z$20000,MATCH(A167,'Semrush Data'!$A$1:$A$20000,0),MATCH("Intent",'Semrush Data'!$A$1:$Z$1,0)),"")</f>
        <v>Navigational</v>
      </c>
    </row>
    <row r="168" customFormat="false" ht="15" hidden="false" customHeight="true" outlineLevel="0" collapsed="false">
      <c r="A168" s="7" t="s">
        <v>6640</v>
      </c>
      <c r="B168" s="7" t="s">
        <v>256</v>
      </c>
      <c r="C168" s="7" t="n">
        <v>1</v>
      </c>
      <c r="D168" s="7" t="n">
        <v>2</v>
      </c>
      <c r="E168" s="7" t="n">
        <v>1</v>
      </c>
      <c r="F168" s="7" t="s">
        <v>6412</v>
      </c>
      <c r="G168" s="12" t="n">
        <f aca="false">IFERROR(INDEX('Semrush Data'!$A$1:$Z$20000,MATCH(A168,'Semrush Data'!$A$1:$A$20000,0),MATCH("Volume",'Semrush Data'!$A$1:$Z$1,0)),"")</f>
        <v>0</v>
      </c>
      <c r="H168" s="7" t="n">
        <f aca="false">IFERROR(INDEX('Semrush Data'!$A$1:$Z$20000,MATCH(A168,'Semrush Data'!$A$1:$A$20000,0),MATCH("Keyword Difficulty*",'Semrush Data'!$A$1:$Z$1,0)),"")</f>
        <v>28</v>
      </c>
      <c r="I168" s="13" t="n">
        <f aca="false">IFERROR(INDEX('Semrush Data'!$A$1:$Z$20000,MATCH(A168,'Semrush Data'!$A$1:$A$20000,0),MATCH("CPC*",'Semrush Data'!$A$1:$Z$1,0)),"")</f>
        <v>0</v>
      </c>
      <c r="J168" s="7" t="str">
        <f aca="false">IFERROR(INDEX('Semrush Data'!$A$1:$Z$20000,MATCH(A168,'Semrush Data'!$A$1:$A$20000,0),MATCH("Intent",'Semrush Data'!$A$1:$Z$1,0)),"")</f>
        <v>Informational</v>
      </c>
    </row>
    <row r="169" customFormat="false" ht="15" hidden="false" customHeight="true" outlineLevel="0" collapsed="false">
      <c r="A169" s="7" t="s">
        <v>4235</v>
      </c>
      <c r="B169" s="7" t="s">
        <v>256</v>
      </c>
      <c r="C169" s="7" t="n">
        <v>1</v>
      </c>
      <c r="D169" s="7" t="n">
        <v>2</v>
      </c>
      <c r="E169" s="7" t="n">
        <v>68</v>
      </c>
      <c r="F169" s="7" t="s">
        <v>6641</v>
      </c>
      <c r="G169" s="12" t="n">
        <f aca="false">IFERROR(INDEX('Semrush Data'!$A$1:$Z$20000,MATCH(A169,'Semrush Data'!$A$1:$A$20000,0),MATCH("Volume",'Semrush Data'!$A$1:$Z$1,0)),"")</f>
        <v>0</v>
      </c>
      <c r="H169" s="7" t="n">
        <f aca="false">IFERROR(INDEX('Semrush Data'!$A$1:$Z$20000,MATCH(A169,'Semrush Data'!$A$1:$A$20000,0),MATCH("Keyword Difficulty*",'Semrush Data'!$A$1:$Z$1,0)),"")</f>
        <v>14</v>
      </c>
      <c r="I169" s="13" t="n">
        <f aca="false">IFERROR(INDEX('Semrush Data'!$A$1:$Z$20000,MATCH(A169,'Semrush Data'!$A$1:$A$20000,0),MATCH("CPC*",'Semrush Data'!$A$1:$Z$1,0)),"")</f>
        <v>0</v>
      </c>
      <c r="J169" s="7" t="str">
        <f aca="false">IFERROR(INDEX('Semrush Data'!$A$1:$Z$20000,MATCH(A169,'Semrush Data'!$A$1:$A$20000,0),MATCH("Intent",'Semrush Data'!$A$1:$Z$1,0)),"")</f>
        <v>Informational</v>
      </c>
    </row>
    <row r="170" customFormat="false" ht="15" hidden="false" customHeight="true" outlineLevel="0" collapsed="false">
      <c r="A170" s="7" t="s">
        <v>4421</v>
      </c>
      <c r="B170" s="7" t="s">
        <v>256</v>
      </c>
      <c r="C170" s="7" t="n">
        <v>1</v>
      </c>
      <c r="D170" s="7" t="n">
        <v>2</v>
      </c>
      <c r="E170" s="7" t="n">
        <v>31</v>
      </c>
      <c r="F170" s="7" t="s">
        <v>6642</v>
      </c>
      <c r="G170" s="12" t="n">
        <f aca="false">IFERROR(INDEX('Semrush Data'!$A$1:$Z$20000,MATCH(A170,'Semrush Data'!$A$1:$A$20000,0),MATCH("Volume",'Semrush Data'!$A$1:$Z$1,0)),"")</f>
        <v>0</v>
      </c>
      <c r="H170" s="7" t="n">
        <f aca="false">IFERROR(INDEX('Semrush Data'!$A$1:$Z$20000,MATCH(A170,'Semrush Data'!$A$1:$A$20000,0),MATCH("Keyword Difficulty*",'Semrush Data'!$A$1:$Z$1,0)),"")</f>
        <v>21</v>
      </c>
      <c r="I170" s="13" t="n">
        <f aca="false">IFERROR(INDEX('Semrush Data'!$A$1:$Z$20000,MATCH(A170,'Semrush Data'!$A$1:$A$20000,0),MATCH("CPC*",'Semrush Data'!$A$1:$Z$1,0)),"")</f>
        <v>0</v>
      </c>
      <c r="J170" s="7" t="str">
        <f aca="false">IFERROR(INDEX('Semrush Data'!$A$1:$Z$20000,MATCH(A170,'Semrush Data'!$A$1:$A$20000,0),MATCH("Intent",'Semrush Data'!$A$1:$Z$1,0)),"")</f>
        <v>Informational</v>
      </c>
    </row>
    <row r="171" customFormat="false" ht="15" hidden="false" customHeight="true" outlineLevel="0" collapsed="false">
      <c r="A171" s="7" t="s">
        <v>4247</v>
      </c>
      <c r="B171" s="7" t="s">
        <v>256</v>
      </c>
      <c r="C171" s="7" t="n">
        <v>1</v>
      </c>
      <c r="D171" s="7" t="n">
        <v>2</v>
      </c>
      <c r="E171" s="7" t="n">
        <v>23</v>
      </c>
      <c r="F171" s="7" t="s">
        <v>6643</v>
      </c>
      <c r="G171" s="12" t="n">
        <f aca="false">IFERROR(INDEX('Semrush Data'!$A$1:$Z$20000,MATCH(A171,'Semrush Data'!$A$1:$A$20000,0),MATCH("Volume",'Semrush Data'!$A$1:$Z$1,0)),"")</f>
        <v>0</v>
      </c>
      <c r="H171" s="7" t="n">
        <f aca="false">IFERROR(INDEX('Semrush Data'!$A$1:$Z$20000,MATCH(A171,'Semrush Data'!$A$1:$A$20000,0),MATCH("Keyword Difficulty*",'Semrush Data'!$A$1:$Z$1,0)),"")</f>
        <v>17</v>
      </c>
      <c r="I171" s="13" t="n">
        <f aca="false">IFERROR(INDEX('Semrush Data'!$A$1:$Z$20000,MATCH(A171,'Semrush Data'!$A$1:$A$20000,0),MATCH("CPC*",'Semrush Data'!$A$1:$Z$1,0)),"")</f>
        <v>0</v>
      </c>
      <c r="J171" s="7" t="str">
        <f aca="false">IFERROR(INDEX('Semrush Data'!$A$1:$Z$20000,MATCH(A171,'Semrush Data'!$A$1:$A$20000,0),MATCH("Intent",'Semrush Data'!$A$1:$Z$1,0)),"")</f>
        <v>Informational</v>
      </c>
    </row>
    <row r="172" customFormat="false" ht="15" hidden="false" customHeight="true" outlineLevel="0" collapsed="false">
      <c r="A172" s="7" t="s">
        <v>258</v>
      </c>
      <c r="B172" s="7" t="s">
        <v>256</v>
      </c>
      <c r="C172" s="7" t="n">
        <v>1</v>
      </c>
      <c r="D172" s="7" t="n">
        <v>2</v>
      </c>
      <c r="E172" s="7" t="n">
        <v>1</v>
      </c>
      <c r="F172" s="7" t="s">
        <v>6424</v>
      </c>
      <c r="G172" s="12" t="n">
        <f aca="false">IFERROR(INDEX('Semrush Data'!$A$1:$Z$20000,MATCH(A172,'Semrush Data'!$A$1:$A$20000,0),MATCH("Volume",'Semrush Data'!$A$1:$Z$1,0)),"")</f>
        <v>40500</v>
      </c>
      <c r="H172" s="7" t="n">
        <f aca="false">IFERROR(INDEX('Semrush Data'!$A$1:$Z$20000,MATCH(A172,'Semrush Data'!$A$1:$A$20000,0),MATCH("Keyword Difficulty*",'Semrush Data'!$A$1:$Z$1,0)),"")</f>
        <v>33</v>
      </c>
      <c r="I172" s="13" t="n">
        <f aca="false">IFERROR(INDEX('Semrush Data'!$A$1:$Z$20000,MATCH(A172,'Semrush Data'!$A$1:$A$20000,0),MATCH("CPC*",'Semrush Data'!$A$1:$Z$1,0)),"")</f>
        <v>0.36</v>
      </c>
      <c r="J172" s="7" t="str">
        <f aca="false">IFERROR(INDEX('Semrush Data'!$A$1:$Z$20000,MATCH(A172,'Semrush Data'!$A$1:$A$20000,0),MATCH("Intent",'Semrush Data'!$A$1:$Z$1,0)),"")</f>
        <v>Informational</v>
      </c>
    </row>
    <row r="173" customFormat="false" ht="15" hidden="false" customHeight="true" outlineLevel="0" collapsed="false">
      <c r="A173" s="7" t="s">
        <v>168</v>
      </c>
      <c r="B173" s="7" t="s">
        <v>151</v>
      </c>
      <c r="C173" s="7" t="n">
        <v>1</v>
      </c>
      <c r="D173" s="7" t="n">
        <v>2</v>
      </c>
      <c r="E173" s="7" t="n">
        <v>3</v>
      </c>
      <c r="F173" s="7" t="s">
        <v>6644</v>
      </c>
      <c r="G173" s="12" t="n">
        <f aca="false">IFERROR(INDEX('Semrush Data'!$A$1:$Z$20000,MATCH(A173,'Semrush Data'!$A$1:$A$20000,0),MATCH("Volume",'Semrush Data'!$A$1:$Z$1,0)),"")</f>
        <v>260</v>
      </c>
      <c r="H173" s="7" t="n">
        <f aca="false">IFERROR(INDEX('Semrush Data'!$A$1:$Z$20000,MATCH(A173,'Semrush Data'!$A$1:$A$20000,0),MATCH("Keyword Difficulty*",'Semrush Data'!$A$1:$Z$1,0)),"")</f>
        <v>19</v>
      </c>
      <c r="I173" s="13" t="n">
        <f aca="false">IFERROR(INDEX('Semrush Data'!$A$1:$Z$20000,MATCH(A173,'Semrush Data'!$A$1:$A$20000,0),MATCH("CPC*",'Semrush Data'!$A$1:$Z$1,0)),"")</f>
        <v>0.76</v>
      </c>
      <c r="J173" s="7" t="str">
        <f aca="false">IFERROR(INDEX('Semrush Data'!$A$1:$Z$20000,MATCH(A173,'Semrush Data'!$A$1:$A$20000,0),MATCH("Intent",'Semrush Data'!$A$1:$Z$1,0)),"")</f>
        <v>Informational</v>
      </c>
    </row>
    <row r="174" customFormat="false" ht="15" hidden="false" customHeight="true" outlineLevel="0" collapsed="false">
      <c r="A174" s="7" t="s">
        <v>6645</v>
      </c>
      <c r="B174" s="7" t="s">
        <v>151</v>
      </c>
      <c r="C174" s="7" t="n">
        <v>1</v>
      </c>
      <c r="D174" s="7" t="n">
        <v>2</v>
      </c>
      <c r="E174" s="7" t="n">
        <v>6</v>
      </c>
      <c r="F174" s="7" t="s">
        <v>6646</v>
      </c>
      <c r="G174" s="12" t="n">
        <f aca="false">IFERROR(INDEX('Semrush Data'!$A$1:$Z$20000,MATCH(A174,'Semrush Data'!$A$1:$A$20000,0),MATCH("Volume",'Semrush Data'!$A$1:$Z$1,0)),"")</f>
        <v>0</v>
      </c>
      <c r="H174" s="7" t="n">
        <f aca="false">IFERROR(INDEX('Semrush Data'!$A$1:$Z$20000,MATCH(A174,'Semrush Data'!$A$1:$A$20000,0),MATCH("Keyword Difficulty*",'Semrush Data'!$A$1:$Z$1,0)),"")</f>
        <v>15</v>
      </c>
      <c r="I174" s="13" t="n">
        <f aca="false">IFERROR(INDEX('Semrush Data'!$A$1:$Z$20000,MATCH(A174,'Semrush Data'!$A$1:$A$20000,0),MATCH("CPC*",'Semrush Data'!$A$1:$Z$1,0)),"")</f>
        <v>0</v>
      </c>
      <c r="J174" s="7" t="str">
        <f aca="false">IFERROR(INDEX('Semrush Data'!$A$1:$Z$20000,MATCH(A174,'Semrush Data'!$A$1:$A$20000,0),MATCH("Intent",'Semrush Data'!$A$1:$Z$1,0)),"")</f>
        <v>Informational</v>
      </c>
    </row>
    <row r="175" customFormat="false" ht="15" hidden="false" customHeight="true" outlineLevel="0" collapsed="false">
      <c r="A175" s="7" t="s">
        <v>6647</v>
      </c>
      <c r="B175" s="7" t="s">
        <v>151</v>
      </c>
      <c r="C175" s="7" t="n">
        <v>1</v>
      </c>
      <c r="D175" s="7" t="n">
        <v>2</v>
      </c>
      <c r="E175" s="7" t="n">
        <v>3</v>
      </c>
      <c r="F175" s="7" t="s">
        <v>6648</v>
      </c>
      <c r="G175" s="12" t="n">
        <f aca="false">IFERROR(INDEX('Semrush Data'!$A$1:$Z$20000,MATCH(A175,'Semrush Data'!$A$1:$A$20000,0),MATCH("Volume",'Semrush Data'!$A$1:$Z$1,0)),"")</f>
        <v>20</v>
      </c>
      <c r="H175" s="7" t="n">
        <f aca="false">IFERROR(INDEX('Semrush Data'!$A$1:$Z$20000,MATCH(A175,'Semrush Data'!$A$1:$A$20000,0),MATCH("Keyword Difficulty*",'Semrush Data'!$A$1:$Z$1,0)),"")</f>
        <v>13</v>
      </c>
      <c r="I175" s="13" t="n">
        <f aca="false">IFERROR(INDEX('Semrush Data'!$A$1:$Z$20000,MATCH(A175,'Semrush Data'!$A$1:$A$20000,0),MATCH("CPC*",'Semrush Data'!$A$1:$Z$1,0)),"")</f>
        <v>0</v>
      </c>
      <c r="J175" s="7" t="str">
        <f aca="false">IFERROR(INDEX('Semrush Data'!$A$1:$Z$20000,MATCH(A175,'Semrush Data'!$A$1:$A$20000,0),MATCH("Intent",'Semrush Data'!$A$1:$Z$1,0)),"")</f>
        <v>Informational</v>
      </c>
    </row>
    <row r="176" customFormat="false" ht="15" hidden="false" customHeight="true" outlineLevel="0" collapsed="false">
      <c r="A176" s="7" t="s">
        <v>158</v>
      </c>
      <c r="B176" s="7" t="s">
        <v>151</v>
      </c>
      <c r="C176" s="7" t="n">
        <v>1</v>
      </c>
      <c r="D176" s="7" t="n">
        <v>2</v>
      </c>
      <c r="E176" s="7" t="n">
        <v>4</v>
      </c>
      <c r="F176" s="7" t="s">
        <v>6649</v>
      </c>
      <c r="G176" s="12" t="n">
        <f aca="false">IFERROR(INDEX('Semrush Data'!$A$1:$Z$20000,MATCH(A176,'Semrush Data'!$A$1:$A$20000,0),MATCH("Volume",'Semrush Data'!$A$1:$Z$1,0)),"")</f>
        <v>1300</v>
      </c>
      <c r="H176" s="7" t="n">
        <f aca="false">IFERROR(INDEX('Semrush Data'!$A$1:$Z$20000,MATCH(A176,'Semrush Data'!$A$1:$A$20000,0),MATCH("Keyword Difficulty*",'Semrush Data'!$A$1:$Z$1,0)),"")</f>
        <v>11</v>
      </c>
      <c r="I176" s="13" t="n">
        <f aca="false">IFERROR(INDEX('Semrush Data'!$A$1:$Z$20000,MATCH(A176,'Semrush Data'!$A$1:$A$20000,0),MATCH("CPC*",'Semrush Data'!$A$1:$Z$1,0)),"")</f>
        <v>0.77</v>
      </c>
      <c r="J176" s="7" t="str">
        <f aca="false">IFERROR(INDEX('Semrush Data'!$A$1:$Z$20000,MATCH(A176,'Semrush Data'!$A$1:$A$20000,0),MATCH("Intent",'Semrush Data'!$A$1:$Z$1,0)),"")</f>
        <v>Informational</v>
      </c>
    </row>
    <row r="177" customFormat="false" ht="15" hidden="false" customHeight="true" outlineLevel="0" collapsed="false">
      <c r="A177" s="7" t="s">
        <v>6650</v>
      </c>
      <c r="B177" s="7" t="s">
        <v>151</v>
      </c>
      <c r="C177" s="7" t="n">
        <v>1</v>
      </c>
      <c r="D177" s="7" t="n">
        <v>2</v>
      </c>
      <c r="E177" s="7" t="n">
        <v>1</v>
      </c>
      <c r="F177" s="7" t="s">
        <v>946</v>
      </c>
      <c r="G177" s="12" t="n">
        <f aca="false">IFERROR(INDEX('Semrush Data'!$A$1:$Z$20000,MATCH(A177,'Semrush Data'!$A$1:$A$20000,0),MATCH("Volume",'Semrush Data'!$A$1:$Z$1,0)),"")</f>
        <v>0</v>
      </c>
      <c r="H177" s="7" t="n">
        <f aca="false">IFERROR(INDEX('Semrush Data'!$A$1:$Z$20000,MATCH(A177,'Semrush Data'!$A$1:$A$20000,0),MATCH("Keyword Difficulty*",'Semrush Data'!$A$1:$Z$1,0)),"")</f>
        <v>20</v>
      </c>
      <c r="I177" s="13" t="n">
        <f aca="false">IFERROR(INDEX('Semrush Data'!$A$1:$Z$20000,MATCH(A177,'Semrush Data'!$A$1:$A$20000,0),MATCH("CPC*",'Semrush Data'!$A$1:$Z$1,0)),"")</f>
        <v>0</v>
      </c>
      <c r="J177" s="7" t="str">
        <f aca="false">IFERROR(INDEX('Semrush Data'!$A$1:$Z$20000,MATCH(A177,'Semrush Data'!$A$1:$A$20000,0),MATCH("Intent",'Semrush Data'!$A$1:$Z$1,0)),"")</f>
        <v>Informational Commercial</v>
      </c>
    </row>
    <row r="178" customFormat="false" ht="15" hidden="false" customHeight="true" outlineLevel="0" collapsed="false">
      <c r="A178" s="7" t="s">
        <v>177</v>
      </c>
      <c r="B178" s="7" t="s">
        <v>151</v>
      </c>
      <c r="C178" s="7" t="n">
        <v>1</v>
      </c>
      <c r="D178" s="7" t="n">
        <v>2</v>
      </c>
      <c r="E178" s="7" t="n">
        <v>2</v>
      </c>
      <c r="F178" s="7" t="s">
        <v>6651</v>
      </c>
      <c r="G178" s="12" t="n">
        <f aca="false">IFERROR(INDEX('Semrush Data'!$A$1:$Z$20000,MATCH(A178,'Semrush Data'!$A$1:$A$20000,0),MATCH("Volume",'Semrush Data'!$A$1:$Z$1,0)),"")</f>
        <v>70</v>
      </c>
      <c r="H178" s="7" t="n">
        <f aca="false">IFERROR(INDEX('Semrush Data'!$A$1:$Z$20000,MATCH(A178,'Semrush Data'!$A$1:$A$20000,0),MATCH("Keyword Difficulty*",'Semrush Data'!$A$1:$Z$1,0)),"")</f>
        <v>36</v>
      </c>
      <c r="I178" s="13" t="n">
        <f aca="false">IFERROR(INDEX('Semrush Data'!$A$1:$Z$20000,MATCH(A178,'Semrush Data'!$A$1:$A$20000,0),MATCH("CPC*",'Semrush Data'!$A$1:$Z$1,0)),"")</f>
        <v>0.49</v>
      </c>
      <c r="J178" s="7" t="str">
        <f aca="false">IFERROR(INDEX('Semrush Data'!$A$1:$Z$20000,MATCH(A178,'Semrush Data'!$A$1:$A$20000,0),MATCH("Intent",'Semrush Data'!$A$1:$Z$1,0)),"")</f>
        <v>Informational</v>
      </c>
    </row>
    <row r="179" customFormat="false" ht="15" hidden="false" customHeight="true" outlineLevel="0" collapsed="false">
      <c r="A179" s="7" t="s">
        <v>6652</v>
      </c>
      <c r="B179" s="7" t="s">
        <v>151</v>
      </c>
      <c r="C179" s="7" t="n">
        <v>1</v>
      </c>
      <c r="D179" s="7" t="n">
        <v>2</v>
      </c>
      <c r="E179" s="7" t="n">
        <v>1</v>
      </c>
      <c r="F179" s="7" t="s">
        <v>523</v>
      </c>
      <c r="G179" s="12" t="n">
        <f aca="false">IFERROR(INDEX('Semrush Data'!$A$1:$Z$20000,MATCH(A179,'Semrush Data'!$A$1:$A$20000,0),MATCH("Volume",'Semrush Data'!$A$1:$Z$1,0)),"")</f>
        <v>0</v>
      </c>
      <c r="H179" s="7" t="n">
        <f aca="false">IFERROR(INDEX('Semrush Data'!$A$1:$Z$20000,MATCH(A179,'Semrush Data'!$A$1:$A$20000,0),MATCH("Keyword Difficulty*",'Semrush Data'!$A$1:$Z$1,0)),"")</f>
        <v>31</v>
      </c>
      <c r="I179" s="13" t="n">
        <f aca="false">IFERROR(INDEX('Semrush Data'!$A$1:$Z$20000,MATCH(A179,'Semrush Data'!$A$1:$A$20000,0),MATCH("CPC*",'Semrush Data'!$A$1:$Z$1,0)),"")</f>
        <v>0</v>
      </c>
      <c r="J179" s="7" t="str">
        <f aca="false">IFERROR(INDEX('Semrush Data'!$A$1:$Z$20000,MATCH(A179,'Semrush Data'!$A$1:$A$20000,0),MATCH("Intent",'Semrush Data'!$A$1:$Z$1,0)),"")</f>
        <v>Commercial</v>
      </c>
    </row>
    <row r="180" customFormat="false" ht="15" hidden="false" customHeight="true" outlineLevel="0" collapsed="false">
      <c r="A180" s="7" t="s">
        <v>6653</v>
      </c>
      <c r="B180" s="7" t="s">
        <v>151</v>
      </c>
      <c r="C180" s="7" t="n">
        <v>1</v>
      </c>
      <c r="D180" s="7" t="n">
        <v>2</v>
      </c>
      <c r="E180" s="7" t="n">
        <v>7</v>
      </c>
      <c r="F180" s="7" t="s">
        <v>6654</v>
      </c>
      <c r="G180" s="12" t="n">
        <f aca="false">IFERROR(INDEX('Semrush Data'!$A$1:$Z$20000,MATCH(A180,'Semrush Data'!$A$1:$A$20000,0),MATCH("Volume",'Semrush Data'!$A$1:$Z$1,0)),"")</f>
        <v>0</v>
      </c>
      <c r="H180" s="7" t="n">
        <f aca="false">IFERROR(INDEX('Semrush Data'!$A$1:$Z$20000,MATCH(A180,'Semrush Data'!$A$1:$A$20000,0),MATCH("Keyword Difficulty*",'Semrush Data'!$A$1:$Z$1,0)),"")</f>
        <v>27</v>
      </c>
      <c r="I180" s="13" t="n">
        <f aca="false">IFERROR(INDEX('Semrush Data'!$A$1:$Z$20000,MATCH(A180,'Semrush Data'!$A$1:$A$20000,0),MATCH("CPC*",'Semrush Data'!$A$1:$Z$1,0)),"")</f>
        <v>0</v>
      </c>
      <c r="J180" s="7" t="str">
        <f aca="false">IFERROR(INDEX('Semrush Data'!$A$1:$Z$20000,MATCH(A180,'Semrush Data'!$A$1:$A$20000,0),MATCH("Intent",'Semrush Data'!$A$1:$Z$1,0)),"")</f>
        <v>Informational</v>
      </c>
    </row>
    <row r="181" customFormat="false" ht="15" hidden="false" customHeight="true" outlineLevel="0" collapsed="false">
      <c r="A181" s="7" t="s">
        <v>6655</v>
      </c>
      <c r="B181" s="7" t="s">
        <v>151</v>
      </c>
      <c r="C181" s="7" t="n">
        <v>1</v>
      </c>
      <c r="D181" s="7" t="n">
        <v>2</v>
      </c>
      <c r="E181" s="7" t="n">
        <v>2</v>
      </c>
      <c r="F181" s="7" t="s">
        <v>6656</v>
      </c>
      <c r="G181" s="12" t="n">
        <f aca="false">IFERROR(INDEX('Semrush Data'!$A$1:$Z$20000,MATCH(A181,'Semrush Data'!$A$1:$A$20000,0),MATCH("Volume",'Semrush Data'!$A$1:$Z$1,0)),"")</f>
        <v>0</v>
      </c>
      <c r="H181" s="7" t="n">
        <f aca="false">IFERROR(INDEX('Semrush Data'!$A$1:$Z$20000,MATCH(A181,'Semrush Data'!$A$1:$A$20000,0),MATCH("Keyword Difficulty*",'Semrush Data'!$A$1:$Z$1,0)),"")</f>
        <v>13</v>
      </c>
      <c r="I181" s="13" t="n">
        <f aca="false">IFERROR(INDEX('Semrush Data'!$A$1:$Z$20000,MATCH(A181,'Semrush Data'!$A$1:$A$20000,0),MATCH("CPC*",'Semrush Data'!$A$1:$Z$1,0)),"")</f>
        <v>0</v>
      </c>
      <c r="J181" s="7" t="str">
        <f aca="false">IFERROR(INDEX('Semrush Data'!$A$1:$Z$20000,MATCH(A181,'Semrush Data'!$A$1:$A$20000,0),MATCH("Intent",'Semrush Data'!$A$1:$Z$1,0)),"")</f>
        <v>Commercial</v>
      </c>
    </row>
    <row r="182" customFormat="false" ht="15" hidden="false" customHeight="true" outlineLevel="0" collapsed="false">
      <c r="A182" s="7" t="s">
        <v>6657</v>
      </c>
      <c r="B182" s="7" t="s">
        <v>151</v>
      </c>
      <c r="C182" s="7" t="n">
        <v>1</v>
      </c>
      <c r="D182" s="7" t="n">
        <v>2</v>
      </c>
      <c r="E182" s="7" t="n">
        <v>3</v>
      </c>
      <c r="F182" s="7" t="s">
        <v>6644</v>
      </c>
      <c r="G182" s="12" t="n">
        <f aca="false">IFERROR(INDEX('Semrush Data'!$A$1:$Z$20000,MATCH(A182,'Semrush Data'!$A$1:$A$20000,0),MATCH("Volume",'Semrush Data'!$A$1:$Z$1,0)),"")</f>
        <v>0</v>
      </c>
      <c r="H182" s="7" t="n">
        <f aca="false">IFERROR(INDEX('Semrush Data'!$A$1:$Z$20000,MATCH(A182,'Semrush Data'!$A$1:$A$20000,0),MATCH("Keyword Difficulty*",'Semrush Data'!$A$1:$Z$1,0)),"")</f>
        <v>6</v>
      </c>
      <c r="I182" s="13" t="n">
        <f aca="false">IFERROR(INDEX('Semrush Data'!$A$1:$Z$20000,MATCH(A182,'Semrush Data'!$A$1:$A$20000,0),MATCH("CPC*",'Semrush Data'!$A$1:$Z$1,0)),"")</f>
        <v>0</v>
      </c>
      <c r="J182" s="7" t="str">
        <f aca="false">IFERROR(INDEX('Semrush Data'!$A$1:$Z$20000,MATCH(A182,'Semrush Data'!$A$1:$A$20000,0),MATCH("Intent",'Semrush Data'!$A$1:$Z$1,0)),"")</f>
        <v>Transactional Navigational</v>
      </c>
    </row>
    <row r="183" customFormat="false" ht="15" hidden="false" customHeight="true" outlineLevel="0" collapsed="false">
      <c r="A183" s="7" t="s">
        <v>6658</v>
      </c>
      <c r="B183" s="7" t="s">
        <v>151</v>
      </c>
      <c r="C183" s="7" t="n">
        <v>1</v>
      </c>
      <c r="D183" s="7" t="n">
        <v>2</v>
      </c>
      <c r="E183" s="7" t="n">
        <v>9</v>
      </c>
      <c r="F183" s="7" t="s">
        <v>6659</v>
      </c>
      <c r="G183" s="12" t="n">
        <f aca="false">IFERROR(INDEX('Semrush Data'!$A$1:$Z$20000,MATCH(A183,'Semrush Data'!$A$1:$A$20000,0),MATCH("Volume",'Semrush Data'!$A$1:$Z$1,0)),"")</f>
        <v>0</v>
      </c>
      <c r="H183" s="7" t="n">
        <f aca="false">IFERROR(INDEX('Semrush Data'!$A$1:$Z$20000,MATCH(A183,'Semrush Data'!$A$1:$A$20000,0),MATCH("Keyword Difficulty*",'Semrush Data'!$A$1:$Z$1,0)),"")</f>
        <v>17</v>
      </c>
      <c r="I183" s="13" t="n">
        <f aca="false">IFERROR(INDEX('Semrush Data'!$A$1:$Z$20000,MATCH(A183,'Semrush Data'!$A$1:$A$20000,0),MATCH("CPC*",'Semrush Data'!$A$1:$Z$1,0)),"")</f>
        <v>0</v>
      </c>
      <c r="J183" s="7" t="str">
        <f aca="false">IFERROR(INDEX('Semrush Data'!$A$1:$Z$20000,MATCH(A183,'Semrush Data'!$A$1:$A$20000,0),MATCH("Intent",'Semrush Data'!$A$1:$Z$1,0)),"")</f>
        <v>Transactional Navigational</v>
      </c>
    </row>
    <row r="184" customFormat="false" ht="15" hidden="false" customHeight="true" outlineLevel="0" collapsed="false">
      <c r="A184" s="7" t="s">
        <v>6660</v>
      </c>
      <c r="B184" s="7" t="s">
        <v>151</v>
      </c>
      <c r="C184" s="7" t="n">
        <v>1</v>
      </c>
      <c r="D184" s="7" t="n">
        <v>2</v>
      </c>
      <c r="E184" s="7" t="n">
        <v>1</v>
      </c>
      <c r="F184" s="7" t="s">
        <v>1057</v>
      </c>
      <c r="G184" s="12" t="n">
        <f aca="false">IFERROR(INDEX('Semrush Data'!$A$1:$Z$20000,MATCH(A184,'Semrush Data'!$A$1:$A$20000,0),MATCH("Volume",'Semrush Data'!$A$1:$Z$1,0)),"")</f>
        <v>0</v>
      </c>
      <c r="H184" s="7" t="n">
        <f aca="false">IFERROR(INDEX('Semrush Data'!$A$1:$Z$20000,MATCH(A184,'Semrush Data'!$A$1:$A$20000,0),MATCH("Keyword Difficulty*",'Semrush Data'!$A$1:$Z$1,0)),"")</f>
        <v>14</v>
      </c>
      <c r="I184" s="13" t="n">
        <f aca="false">IFERROR(INDEX('Semrush Data'!$A$1:$Z$20000,MATCH(A184,'Semrush Data'!$A$1:$A$20000,0),MATCH("CPC*",'Semrush Data'!$A$1:$Z$1,0)),"")</f>
        <v>0</v>
      </c>
      <c r="J184" s="7" t="str">
        <f aca="false">IFERROR(INDEX('Semrush Data'!$A$1:$Z$20000,MATCH(A184,'Semrush Data'!$A$1:$A$20000,0),MATCH("Intent",'Semrush Data'!$A$1:$Z$1,0)),"")</f>
        <v>Transactional Navigational</v>
      </c>
    </row>
    <row r="185" customFormat="false" ht="15" hidden="false" customHeight="true" outlineLevel="0" collapsed="false">
      <c r="A185" s="7" t="s">
        <v>6661</v>
      </c>
      <c r="B185" s="7" t="s">
        <v>151</v>
      </c>
      <c r="C185" s="7" t="n">
        <v>1</v>
      </c>
      <c r="D185" s="7" t="n">
        <v>2</v>
      </c>
      <c r="E185" s="7" t="n">
        <v>1</v>
      </c>
      <c r="F185" s="7" t="s">
        <v>946</v>
      </c>
      <c r="G185" s="12" t="n">
        <f aca="false">IFERROR(INDEX('Semrush Data'!$A$1:$Z$20000,MATCH(A185,'Semrush Data'!$A$1:$A$20000,0),MATCH("Volume",'Semrush Data'!$A$1:$Z$1,0)),"")</f>
        <v>0</v>
      </c>
      <c r="H185" s="7" t="n">
        <f aca="false">IFERROR(INDEX('Semrush Data'!$A$1:$Z$20000,MATCH(A185,'Semrush Data'!$A$1:$A$20000,0),MATCH("Keyword Difficulty*",'Semrush Data'!$A$1:$Z$1,0)),"")</f>
        <v>14</v>
      </c>
      <c r="I185" s="13" t="n">
        <f aca="false">IFERROR(INDEX('Semrush Data'!$A$1:$Z$20000,MATCH(A185,'Semrush Data'!$A$1:$A$20000,0),MATCH("CPC*",'Semrush Data'!$A$1:$Z$1,0)),"")</f>
        <v>0</v>
      </c>
      <c r="J185" s="7" t="str">
        <f aca="false">IFERROR(INDEX('Semrush Data'!$A$1:$Z$20000,MATCH(A185,'Semrush Data'!$A$1:$A$20000,0),MATCH("Intent",'Semrush Data'!$A$1:$Z$1,0)),"")</f>
        <v>Transactional Navigational</v>
      </c>
    </row>
    <row r="186" customFormat="false" ht="15" hidden="false" customHeight="true" outlineLevel="0" collapsed="false">
      <c r="A186" s="7" t="s">
        <v>6662</v>
      </c>
      <c r="B186" s="7" t="s">
        <v>151</v>
      </c>
      <c r="C186" s="7" t="n">
        <v>1</v>
      </c>
      <c r="D186" s="7" t="n">
        <v>2</v>
      </c>
      <c r="E186" s="7" t="n">
        <v>3</v>
      </c>
      <c r="F186" s="7" t="s">
        <v>6663</v>
      </c>
      <c r="G186" s="12" t="n">
        <f aca="false">IFERROR(INDEX('Semrush Data'!$A$1:$Z$20000,MATCH(A186,'Semrush Data'!$A$1:$A$20000,0),MATCH("Volume",'Semrush Data'!$A$1:$Z$1,0)),"")</f>
        <v>0</v>
      </c>
      <c r="H186" s="7" t="n">
        <f aca="false">IFERROR(INDEX('Semrush Data'!$A$1:$Z$20000,MATCH(A186,'Semrush Data'!$A$1:$A$20000,0),MATCH("Keyword Difficulty*",'Semrush Data'!$A$1:$Z$1,0)),"")</f>
        <v>14</v>
      </c>
      <c r="I186" s="13" t="n">
        <f aca="false">IFERROR(INDEX('Semrush Data'!$A$1:$Z$20000,MATCH(A186,'Semrush Data'!$A$1:$A$20000,0),MATCH("CPC*",'Semrush Data'!$A$1:$Z$1,0)),"")</f>
        <v>0</v>
      </c>
      <c r="J186" s="7" t="str">
        <f aca="false">IFERROR(INDEX('Semrush Data'!$A$1:$Z$20000,MATCH(A186,'Semrush Data'!$A$1:$A$20000,0),MATCH("Intent",'Semrush Data'!$A$1:$Z$1,0)),"")</f>
        <v>Navigational</v>
      </c>
    </row>
    <row r="187" customFormat="false" ht="15" hidden="false" customHeight="true" outlineLevel="0" collapsed="false">
      <c r="A187" s="7" t="s">
        <v>6664</v>
      </c>
      <c r="B187" s="7" t="s">
        <v>151</v>
      </c>
      <c r="C187" s="7" t="n">
        <v>1</v>
      </c>
      <c r="D187" s="7" t="n">
        <v>2</v>
      </c>
      <c r="E187" s="7" t="n">
        <v>1</v>
      </c>
      <c r="F187" s="7" t="s">
        <v>1139</v>
      </c>
      <c r="G187" s="12" t="n">
        <f aca="false">IFERROR(INDEX('Semrush Data'!$A$1:$Z$20000,MATCH(A187,'Semrush Data'!$A$1:$A$20000,0),MATCH("Volume",'Semrush Data'!$A$1:$Z$1,0)),"")</f>
        <v>0</v>
      </c>
      <c r="H187" s="7" t="n">
        <f aca="false">IFERROR(INDEX('Semrush Data'!$A$1:$Z$20000,MATCH(A187,'Semrush Data'!$A$1:$A$20000,0),MATCH("Keyword Difficulty*",'Semrush Data'!$A$1:$Z$1,0)),"")</f>
        <v>30</v>
      </c>
      <c r="I187" s="13" t="n">
        <f aca="false">IFERROR(INDEX('Semrush Data'!$A$1:$Z$20000,MATCH(A187,'Semrush Data'!$A$1:$A$20000,0),MATCH("CPC*",'Semrush Data'!$A$1:$Z$1,0)),"")</f>
        <v>0</v>
      </c>
      <c r="J187" s="7" t="str">
        <f aca="false">IFERROR(INDEX('Semrush Data'!$A$1:$Z$20000,MATCH(A187,'Semrush Data'!$A$1:$A$20000,0),MATCH("Intent",'Semrush Data'!$A$1:$Z$1,0)),"")</f>
        <v>Transactional Navigational</v>
      </c>
    </row>
    <row r="188" customFormat="false" ht="15" hidden="false" customHeight="true" outlineLevel="0" collapsed="false">
      <c r="A188" s="7" t="s">
        <v>6665</v>
      </c>
      <c r="B188" s="7" t="s">
        <v>151</v>
      </c>
      <c r="C188" s="7" t="n">
        <v>1</v>
      </c>
      <c r="D188" s="7" t="n">
        <v>2</v>
      </c>
      <c r="E188" s="7" t="n">
        <v>1</v>
      </c>
      <c r="F188" s="7" t="s">
        <v>854</v>
      </c>
      <c r="G188" s="12" t="n">
        <f aca="false">IFERROR(INDEX('Semrush Data'!$A$1:$Z$20000,MATCH(A188,'Semrush Data'!$A$1:$A$20000,0),MATCH("Volume",'Semrush Data'!$A$1:$Z$1,0)),"")</f>
        <v>0</v>
      </c>
      <c r="H188" s="7" t="n">
        <f aca="false">IFERROR(INDEX('Semrush Data'!$A$1:$Z$20000,MATCH(A188,'Semrush Data'!$A$1:$A$20000,0),MATCH("Keyword Difficulty*",'Semrush Data'!$A$1:$Z$1,0)),"")</f>
        <v>14</v>
      </c>
      <c r="I188" s="13" t="n">
        <f aca="false">IFERROR(INDEX('Semrush Data'!$A$1:$Z$20000,MATCH(A188,'Semrush Data'!$A$1:$A$20000,0),MATCH("CPC*",'Semrush Data'!$A$1:$Z$1,0)),"")</f>
        <v>0</v>
      </c>
      <c r="J188" s="7" t="str">
        <f aca="false">IFERROR(INDEX('Semrush Data'!$A$1:$Z$20000,MATCH(A188,'Semrush Data'!$A$1:$A$20000,0),MATCH("Intent",'Semrush Data'!$A$1:$Z$1,0)),"")</f>
        <v>Transactional Navigational</v>
      </c>
    </row>
    <row r="189" customFormat="false" ht="15" hidden="false" customHeight="true" outlineLevel="0" collapsed="false">
      <c r="A189" s="7" t="s">
        <v>6666</v>
      </c>
      <c r="B189" s="7" t="s">
        <v>151</v>
      </c>
      <c r="C189" s="7" t="n">
        <v>1</v>
      </c>
      <c r="D189" s="7" t="n">
        <v>2</v>
      </c>
      <c r="E189" s="7" t="n">
        <v>4</v>
      </c>
      <c r="F189" s="7" t="s">
        <v>6667</v>
      </c>
      <c r="G189" s="12" t="n">
        <f aca="false">IFERROR(INDEX('Semrush Data'!$A$1:$Z$20000,MATCH(A189,'Semrush Data'!$A$1:$A$20000,0),MATCH("Volume",'Semrush Data'!$A$1:$Z$1,0)),"")</f>
        <v>20</v>
      </c>
      <c r="H189" s="7" t="n">
        <f aca="false">IFERROR(INDEX('Semrush Data'!$A$1:$Z$20000,MATCH(A189,'Semrush Data'!$A$1:$A$20000,0),MATCH("Keyword Difficulty*",'Semrush Data'!$A$1:$Z$1,0)),"")</f>
        <v>14</v>
      </c>
      <c r="I189" s="13" t="n">
        <f aca="false">IFERROR(INDEX('Semrush Data'!$A$1:$Z$20000,MATCH(A189,'Semrush Data'!$A$1:$A$20000,0),MATCH("CPC*",'Semrush Data'!$A$1:$Z$1,0)),"")</f>
        <v>0</v>
      </c>
      <c r="J189" s="7" t="str">
        <f aca="false">IFERROR(INDEX('Semrush Data'!$A$1:$Z$20000,MATCH(A189,'Semrush Data'!$A$1:$A$20000,0),MATCH("Intent",'Semrush Data'!$A$1:$Z$1,0)),"")</f>
        <v>Transactional Navigational</v>
      </c>
    </row>
    <row r="190" customFormat="false" ht="15" hidden="false" customHeight="true" outlineLevel="0" collapsed="false">
      <c r="A190" s="7" t="s">
        <v>6668</v>
      </c>
      <c r="B190" s="7" t="s">
        <v>151</v>
      </c>
      <c r="C190" s="7" t="n">
        <v>1</v>
      </c>
      <c r="D190" s="7" t="n">
        <v>2</v>
      </c>
      <c r="E190" s="7" t="n">
        <v>3</v>
      </c>
      <c r="F190" s="7" t="s">
        <v>6669</v>
      </c>
      <c r="G190" s="12" t="n">
        <f aca="false">IFERROR(INDEX('Semrush Data'!$A$1:$Z$20000,MATCH(A190,'Semrush Data'!$A$1:$A$20000,0),MATCH("Volume",'Semrush Data'!$A$1:$Z$1,0)),"")</f>
        <v>0</v>
      </c>
      <c r="H190" s="7" t="n">
        <f aca="false">IFERROR(INDEX('Semrush Data'!$A$1:$Z$20000,MATCH(A190,'Semrush Data'!$A$1:$A$20000,0),MATCH("Keyword Difficulty*",'Semrush Data'!$A$1:$Z$1,0)),"")</f>
        <v>14</v>
      </c>
      <c r="I190" s="13" t="n">
        <f aca="false">IFERROR(INDEX('Semrush Data'!$A$1:$Z$20000,MATCH(A190,'Semrush Data'!$A$1:$A$20000,0),MATCH("CPC*",'Semrush Data'!$A$1:$Z$1,0)),"")</f>
        <v>0</v>
      </c>
      <c r="J190" s="7" t="str">
        <f aca="false">IFERROR(INDEX('Semrush Data'!$A$1:$Z$20000,MATCH(A190,'Semrush Data'!$A$1:$A$20000,0),MATCH("Intent",'Semrush Data'!$A$1:$Z$1,0)),"")</f>
        <v>Transactional Navigational</v>
      </c>
    </row>
    <row r="191" customFormat="false" ht="15" hidden="false" customHeight="true" outlineLevel="0" collapsed="false">
      <c r="A191" s="7" t="s">
        <v>6670</v>
      </c>
      <c r="B191" s="7" t="s">
        <v>151</v>
      </c>
      <c r="C191" s="7" t="n">
        <v>1</v>
      </c>
      <c r="D191" s="7" t="n">
        <v>2</v>
      </c>
      <c r="E191" s="7" t="n">
        <v>3</v>
      </c>
      <c r="F191" s="7" t="s">
        <v>6671</v>
      </c>
      <c r="G191" s="12" t="n">
        <f aca="false">IFERROR(INDEX('Semrush Data'!$A$1:$Z$20000,MATCH(A191,'Semrush Data'!$A$1:$A$20000,0),MATCH("Volume",'Semrush Data'!$A$1:$Z$1,0)),"")</f>
        <v>20</v>
      </c>
      <c r="H191" s="7" t="n">
        <f aca="false">IFERROR(INDEX('Semrush Data'!$A$1:$Z$20000,MATCH(A191,'Semrush Data'!$A$1:$A$20000,0),MATCH("Keyword Difficulty*",'Semrush Data'!$A$1:$Z$1,0)),"")</f>
        <v>20</v>
      </c>
      <c r="I191" s="13" t="n">
        <f aca="false">IFERROR(INDEX('Semrush Data'!$A$1:$Z$20000,MATCH(A191,'Semrush Data'!$A$1:$A$20000,0),MATCH("CPC*",'Semrush Data'!$A$1:$Z$1,0)),"")</f>
        <v>0</v>
      </c>
      <c r="J191" s="7" t="str">
        <f aca="false">IFERROR(INDEX('Semrush Data'!$A$1:$Z$20000,MATCH(A191,'Semrush Data'!$A$1:$A$20000,0),MATCH("Intent",'Semrush Data'!$A$1:$Z$1,0)),"")</f>
        <v>Informational Transactional</v>
      </c>
    </row>
    <row r="192" customFormat="false" ht="15" hidden="false" customHeight="true" outlineLevel="0" collapsed="false">
      <c r="A192" s="7" t="s">
        <v>6672</v>
      </c>
      <c r="B192" s="7" t="s">
        <v>151</v>
      </c>
      <c r="C192" s="7" t="n">
        <v>1</v>
      </c>
      <c r="D192" s="7" t="n">
        <v>2</v>
      </c>
      <c r="E192" s="7" t="n">
        <v>2</v>
      </c>
      <c r="F192" s="7" t="s">
        <v>6673</v>
      </c>
      <c r="G192" s="12" t="n">
        <f aca="false">IFERROR(INDEX('Semrush Data'!$A$1:$Z$20000,MATCH(A192,'Semrush Data'!$A$1:$A$20000,0),MATCH("Volume",'Semrush Data'!$A$1:$Z$1,0)),"")</f>
        <v>0</v>
      </c>
      <c r="H192" s="7" t="n">
        <f aca="false">IFERROR(INDEX('Semrush Data'!$A$1:$Z$20000,MATCH(A192,'Semrush Data'!$A$1:$A$20000,0),MATCH("Keyword Difficulty*",'Semrush Data'!$A$1:$Z$1,0)),"")</f>
        <v>22</v>
      </c>
      <c r="I192" s="13" t="n">
        <f aca="false">IFERROR(INDEX('Semrush Data'!$A$1:$Z$20000,MATCH(A192,'Semrush Data'!$A$1:$A$20000,0),MATCH("CPC*",'Semrush Data'!$A$1:$Z$1,0)),"")</f>
        <v>0</v>
      </c>
      <c r="J192" s="7" t="str">
        <f aca="false">IFERROR(INDEX('Semrush Data'!$A$1:$Z$20000,MATCH(A192,'Semrush Data'!$A$1:$A$20000,0),MATCH("Intent",'Semrush Data'!$A$1:$Z$1,0)),"")</f>
        <v>Transactional Navigational</v>
      </c>
    </row>
    <row r="193" customFormat="false" ht="15" hidden="false" customHeight="true" outlineLevel="0" collapsed="false">
      <c r="A193" s="7" t="s">
        <v>178</v>
      </c>
      <c r="B193" s="7" t="s">
        <v>151</v>
      </c>
      <c r="C193" s="7" t="n">
        <v>1</v>
      </c>
      <c r="D193" s="7" t="n">
        <v>2</v>
      </c>
      <c r="E193" s="7" t="n">
        <v>5</v>
      </c>
      <c r="F193" s="7" t="s">
        <v>6674</v>
      </c>
      <c r="G193" s="12" t="n">
        <f aca="false">IFERROR(INDEX('Semrush Data'!$A$1:$Z$20000,MATCH(A193,'Semrush Data'!$A$1:$A$20000,0),MATCH("Volume",'Semrush Data'!$A$1:$Z$1,0)),"")</f>
        <v>70</v>
      </c>
      <c r="H193" s="7" t="n">
        <f aca="false">IFERROR(INDEX('Semrush Data'!$A$1:$Z$20000,MATCH(A193,'Semrush Data'!$A$1:$A$20000,0),MATCH("Keyword Difficulty*",'Semrush Data'!$A$1:$Z$1,0)),"")</f>
        <v>16</v>
      </c>
      <c r="I193" s="13" t="n">
        <f aca="false">IFERROR(INDEX('Semrush Data'!$A$1:$Z$20000,MATCH(A193,'Semrush Data'!$A$1:$A$20000,0),MATCH("CPC*",'Semrush Data'!$A$1:$Z$1,0)),"")</f>
        <v>0.35</v>
      </c>
      <c r="J193" s="7" t="str">
        <f aca="false">IFERROR(INDEX('Semrush Data'!$A$1:$Z$20000,MATCH(A193,'Semrush Data'!$A$1:$A$20000,0),MATCH("Intent",'Semrush Data'!$A$1:$Z$1,0)),"")</f>
        <v>Transactional</v>
      </c>
    </row>
    <row r="194" customFormat="false" ht="15" hidden="false" customHeight="true" outlineLevel="0" collapsed="false">
      <c r="A194" s="7" t="s">
        <v>6675</v>
      </c>
      <c r="B194" s="7" t="s">
        <v>151</v>
      </c>
      <c r="C194" s="7" t="n">
        <v>1</v>
      </c>
      <c r="D194" s="7" t="n">
        <v>2</v>
      </c>
      <c r="E194" s="7" t="n">
        <v>4</v>
      </c>
      <c r="F194" s="7" t="s">
        <v>6676</v>
      </c>
      <c r="G194" s="12" t="n">
        <f aca="false">IFERROR(INDEX('Semrush Data'!$A$1:$Z$20000,MATCH(A194,'Semrush Data'!$A$1:$A$20000,0),MATCH("Volume",'Semrush Data'!$A$1:$Z$1,0)),"")</f>
        <v>0</v>
      </c>
      <c r="H194" s="7" t="n">
        <f aca="false">IFERROR(INDEX('Semrush Data'!$A$1:$Z$20000,MATCH(A194,'Semrush Data'!$A$1:$A$20000,0),MATCH("Keyword Difficulty*",'Semrush Data'!$A$1:$Z$1,0)),"")</f>
        <v>25</v>
      </c>
      <c r="I194" s="13" t="n">
        <f aca="false">IFERROR(INDEX('Semrush Data'!$A$1:$Z$20000,MATCH(A194,'Semrush Data'!$A$1:$A$20000,0),MATCH("CPC*",'Semrush Data'!$A$1:$Z$1,0)),"")</f>
        <v>0</v>
      </c>
      <c r="J194" s="7" t="str">
        <f aca="false">IFERROR(INDEX('Semrush Data'!$A$1:$Z$20000,MATCH(A194,'Semrush Data'!$A$1:$A$20000,0),MATCH("Intent",'Semrush Data'!$A$1:$Z$1,0)),"")</f>
        <v>Transactional Navigational</v>
      </c>
    </row>
    <row r="195" customFormat="false" ht="15" hidden="false" customHeight="true" outlineLevel="0" collapsed="false">
      <c r="A195" s="7" t="s">
        <v>180</v>
      </c>
      <c r="B195" s="7" t="s">
        <v>151</v>
      </c>
      <c r="C195" s="7" t="n">
        <v>1</v>
      </c>
      <c r="D195" s="7" t="n">
        <v>2</v>
      </c>
      <c r="E195" s="7" t="n">
        <v>2</v>
      </c>
      <c r="F195" s="7" t="s">
        <v>6677</v>
      </c>
      <c r="G195" s="12" t="n">
        <f aca="false">IFERROR(INDEX('Semrush Data'!$A$1:$Z$20000,MATCH(A195,'Semrush Data'!$A$1:$A$20000,0),MATCH("Volume",'Semrush Data'!$A$1:$Z$1,0)),"")</f>
        <v>30</v>
      </c>
      <c r="H195" s="7" t="n">
        <f aca="false">IFERROR(INDEX('Semrush Data'!$A$1:$Z$20000,MATCH(A195,'Semrush Data'!$A$1:$A$20000,0),MATCH("Keyword Difficulty*",'Semrush Data'!$A$1:$Z$1,0)),"")</f>
        <v>21</v>
      </c>
      <c r="I195" s="13" t="n">
        <f aca="false">IFERROR(INDEX('Semrush Data'!$A$1:$Z$20000,MATCH(A195,'Semrush Data'!$A$1:$A$20000,0),MATCH("CPC*",'Semrush Data'!$A$1:$Z$1,0)),"")</f>
        <v>0</v>
      </c>
      <c r="J195" s="7" t="str">
        <f aca="false">IFERROR(INDEX('Semrush Data'!$A$1:$Z$20000,MATCH(A195,'Semrush Data'!$A$1:$A$20000,0),MATCH("Intent",'Semrush Data'!$A$1:$Z$1,0)),"")</f>
        <v>Transactional Navigational</v>
      </c>
    </row>
    <row r="196" customFormat="false" ht="15" hidden="false" customHeight="true" outlineLevel="0" collapsed="false">
      <c r="A196" s="7" t="s">
        <v>181</v>
      </c>
      <c r="B196" s="7" t="s">
        <v>151</v>
      </c>
      <c r="C196" s="7" t="n">
        <v>1</v>
      </c>
      <c r="D196" s="7" t="n">
        <v>2</v>
      </c>
      <c r="E196" s="7" t="n">
        <v>8</v>
      </c>
      <c r="F196" s="7" t="s">
        <v>6678</v>
      </c>
      <c r="G196" s="12" t="n">
        <f aca="false">IFERROR(INDEX('Semrush Data'!$A$1:$Z$20000,MATCH(A196,'Semrush Data'!$A$1:$A$20000,0),MATCH("Volume",'Semrush Data'!$A$1:$Z$1,0)),"")</f>
        <v>30</v>
      </c>
      <c r="H196" s="7" t="n">
        <f aca="false">IFERROR(INDEX('Semrush Data'!$A$1:$Z$20000,MATCH(A196,'Semrush Data'!$A$1:$A$20000,0),MATCH("Keyword Difficulty*",'Semrush Data'!$A$1:$Z$1,0)),"")</f>
        <v>25</v>
      </c>
      <c r="I196" s="13" t="n">
        <f aca="false">IFERROR(INDEX('Semrush Data'!$A$1:$Z$20000,MATCH(A196,'Semrush Data'!$A$1:$A$20000,0),MATCH("CPC*",'Semrush Data'!$A$1:$Z$1,0)),"")</f>
        <v>0</v>
      </c>
      <c r="J196" s="7" t="str">
        <f aca="false">IFERROR(INDEX('Semrush Data'!$A$1:$Z$20000,MATCH(A196,'Semrush Data'!$A$1:$A$20000,0),MATCH("Intent",'Semrush Data'!$A$1:$Z$1,0)),"")</f>
        <v>Navigational</v>
      </c>
    </row>
    <row r="197" customFormat="false" ht="15" hidden="false" customHeight="true" outlineLevel="0" collapsed="false">
      <c r="A197" s="7" t="s">
        <v>2249</v>
      </c>
      <c r="B197" s="7" t="s">
        <v>151</v>
      </c>
      <c r="C197" s="7" t="n">
        <v>1</v>
      </c>
      <c r="D197" s="7" t="n">
        <v>2</v>
      </c>
      <c r="E197" s="7" t="n">
        <v>24</v>
      </c>
      <c r="F197" s="7" t="s">
        <v>6679</v>
      </c>
      <c r="G197" s="12" t="n">
        <f aca="false">IFERROR(INDEX('Semrush Data'!$A$1:$Z$20000,MATCH(A197,'Semrush Data'!$A$1:$A$20000,0),MATCH("Volume",'Semrush Data'!$A$1:$Z$1,0)),"")</f>
        <v>0</v>
      </c>
      <c r="H197" s="7" t="n">
        <f aca="false">IFERROR(INDEX('Semrush Data'!$A$1:$Z$20000,MATCH(A197,'Semrush Data'!$A$1:$A$20000,0),MATCH("Keyword Difficulty*",'Semrush Data'!$A$1:$Z$1,0)),"")</f>
        <v>23</v>
      </c>
      <c r="I197" s="13" t="n">
        <f aca="false">IFERROR(INDEX('Semrush Data'!$A$1:$Z$20000,MATCH(A197,'Semrush Data'!$A$1:$A$20000,0),MATCH("CPC*",'Semrush Data'!$A$1:$Z$1,0)),"")</f>
        <v>0</v>
      </c>
      <c r="J197" s="7" t="str">
        <f aca="false">IFERROR(INDEX('Semrush Data'!$A$1:$Z$20000,MATCH(A197,'Semrush Data'!$A$1:$A$20000,0),MATCH("Intent",'Semrush Data'!$A$1:$Z$1,0)),"")</f>
        <v>Transactional Navigational</v>
      </c>
    </row>
    <row r="198" customFormat="false" ht="15" hidden="false" customHeight="true" outlineLevel="0" collapsed="false">
      <c r="A198" s="7" t="s">
        <v>6680</v>
      </c>
      <c r="B198" s="7" t="s">
        <v>151</v>
      </c>
      <c r="C198" s="7" t="n">
        <v>1</v>
      </c>
      <c r="D198" s="7" t="n">
        <v>2</v>
      </c>
      <c r="E198" s="7" t="n">
        <v>2</v>
      </c>
      <c r="F198" s="7" t="s">
        <v>6681</v>
      </c>
      <c r="G198" s="12" t="n">
        <f aca="false">IFERROR(INDEX('Semrush Data'!$A$1:$Z$20000,MATCH(A198,'Semrush Data'!$A$1:$A$20000,0),MATCH("Volume",'Semrush Data'!$A$1:$Z$1,0)),"")</f>
        <v>0</v>
      </c>
      <c r="H198" s="7" t="n">
        <f aca="false">IFERROR(INDEX('Semrush Data'!$A$1:$Z$20000,MATCH(A198,'Semrush Data'!$A$1:$A$20000,0),MATCH("Keyword Difficulty*",'Semrush Data'!$A$1:$Z$1,0)),"")</f>
        <v>18</v>
      </c>
      <c r="I198" s="13" t="n">
        <f aca="false">IFERROR(INDEX('Semrush Data'!$A$1:$Z$20000,MATCH(A198,'Semrush Data'!$A$1:$A$20000,0),MATCH("CPC*",'Semrush Data'!$A$1:$Z$1,0)),"")</f>
        <v>0</v>
      </c>
      <c r="J198" s="7" t="str">
        <f aca="false">IFERROR(INDEX('Semrush Data'!$A$1:$Z$20000,MATCH(A198,'Semrush Data'!$A$1:$A$20000,0),MATCH("Intent",'Semrush Data'!$A$1:$Z$1,0)),"")</f>
        <v>Informational Transactional</v>
      </c>
    </row>
    <row r="199" customFormat="false" ht="15" hidden="false" customHeight="true" outlineLevel="0" collapsed="false">
      <c r="A199" s="7" t="s">
        <v>170</v>
      </c>
      <c r="B199" s="7" t="s">
        <v>151</v>
      </c>
      <c r="C199" s="7" t="n">
        <v>1</v>
      </c>
      <c r="D199" s="7" t="n">
        <v>2</v>
      </c>
      <c r="E199" s="7" t="n">
        <v>2</v>
      </c>
      <c r="F199" s="7" t="s">
        <v>6682</v>
      </c>
      <c r="G199" s="12" t="n">
        <f aca="false">IFERROR(INDEX('Semrush Data'!$A$1:$Z$20000,MATCH(A199,'Semrush Data'!$A$1:$A$20000,0),MATCH("Volume",'Semrush Data'!$A$1:$Z$1,0)),"")</f>
        <v>210</v>
      </c>
      <c r="H199" s="7" t="n">
        <f aca="false">IFERROR(INDEX('Semrush Data'!$A$1:$Z$20000,MATCH(A199,'Semrush Data'!$A$1:$A$20000,0),MATCH("Keyword Difficulty*",'Semrush Data'!$A$1:$Z$1,0)),"")</f>
        <v>20</v>
      </c>
      <c r="I199" s="13" t="n">
        <f aca="false">IFERROR(INDEX('Semrush Data'!$A$1:$Z$20000,MATCH(A199,'Semrush Data'!$A$1:$A$20000,0),MATCH("CPC*",'Semrush Data'!$A$1:$Z$1,0)),"")</f>
        <v>0.67</v>
      </c>
      <c r="J199" s="7" t="str">
        <f aca="false">IFERROR(INDEX('Semrush Data'!$A$1:$Z$20000,MATCH(A199,'Semrush Data'!$A$1:$A$20000,0),MATCH("Intent",'Semrush Data'!$A$1:$Z$1,0)),"")</f>
        <v>Informational</v>
      </c>
    </row>
    <row r="200" customFormat="false" ht="15" hidden="false" customHeight="true" outlineLevel="0" collapsed="false">
      <c r="A200" s="7" t="s">
        <v>6683</v>
      </c>
      <c r="B200" s="7" t="s">
        <v>151</v>
      </c>
      <c r="C200" s="7" t="n">
        <v>1</v>
      </c>
      <c r="D200" s="7" t="n">
        <v>2</v>
      </c>
      <c r="E200" s="7" t="n">
        <v>2</v>
      </c>
      <c r="F200" s="7" t="s">
        <v>6684</v>
      </c>
      <c r="G200" s="12" t="n">
        <f aca="false">IFERROR(INDEX('Semrush Data'!$A$1:$Z$20000,MATCH(A200,'Semrush Data'!$A$1:$A$20000,0),MATCH("Volume",'Semrush Data'!$A$1:$Z$1,0)),"")</f>
        <v>0</v>
      </c>
      <c r="H200" s="7" t="n">
        <f aca="false">IFERROR(INDEX('Semrush Data'!$A$1:$Z$20000,MATCH(A200,'Semrush Data'!$A$1:$A$20000,0),MATCH("Keyword Difficulty*",'Semrush Data'!$A$1:$Z$1,0)),"")</f>
        <v>38</v>
      </c>
      <c r="I200" s="13" t="n">
        <f aca="false">IFERROR(INDEX('Semrush Data'!$A$1:$Z$20000,MATCH(A200,'Semrush Data'!$A$1:$A$20000,0),MATCH("CPC*",'Semrush Data'!$A$1:$Z$1,0)),"")</f>
        <v>0</v>
      </c>
      <c r="J200" s="7" t="str">
        <f aca="false">IFERROR(INDEX('Semrush Data'!$A$1:$Z$20000,MATCH(A200,'Semrush Data'!$A$1:$A$20000,0),MATCH("Intent",'Semrush Data'!$A$1:$Z$1,0)),"")</f>
        <v>Informational</v>
      </c>
    </row>
    <row r="201" customFormat="false" ht="15" hidden="false" customHeight="true" outlineLevel="0" collapsed="false">
      <c r="A201" s="7" t="s">
        <v>6685</v>
      </c>
      <c r="B201" s="7" t="s">
        <v>151</v>
      </c>
      <c r="C201" s="7" t="n">
        <v>1</v>
      </c>
      <c r="D201" s="7" t="n">
        <v>2</v>
      </c>
      <c r="E201" s="7" t="n">
        <v>1</v>
      </c>
      <c r="F201" s="7" t="s">
        <v>499</v>
      </c>
      <c r="G201" s="12" t="n">
        <f aca="false">IFERROR(INDEX('Semrush Data'!$A$1:$Z$20000,MATCH(A201,'Semrush Data'!$A$1:$A$20000,0),MATCH("Volume",'Semrush Data'!$A$1:$Z$1,0)),"")</f>
        <v>0</v>
      </c>
      <c r="H201" s="7" t="n">
        <f aca="false">IFERROR(INDEX('Semrush Data'!$A$1:$Z$20000,MATCH(A201,'Semrush Data'!$A$1:$A$20000,0),MATCH("Keyword Difficulty*",'Semrush Data'!$A$1:$Z$1,0)),"")</f>
        <v>31</v>
      </c>
      <c r="I201" s="13" t="n">
        <f aca="false">IFERROR(INDEX('Semrush Data'!$A$1:$Z$20000,MATCH(A201,'Semrush Data'!$A$1:$A$20000,0),MATCH("CPC*",'Semrush Data'!$A$1:$Z$1,0)),"")</f>
        <v>0</v>
      </c>
      <c r="J201" s="7" t="str">
        <f aca="false">IFERROR(INDEX('Semrush Data'!$A$1:$Z$20000,MATCH(A201,'Semrush Data'!$A$1:$A$20000,0),MATCH("Intent",'Semrush Data'!$A$1:$Z$1,0)),"")</f>
        <v>Informational Commercial</v>
      </c>
    </row>
    <row r="202" customFormat="false" ht="15" hidden="false" customHeight="true" outlineLevel="0" collapsed="false">
      <c r="A202" s="7" t="s">
        <v>6686</v>
      </c>
      <c r="B202" s="7" t="s">
        <v>151</v>
      </c>
      <c r="C202" s="7" t="n">
        <v>1</v>
      </c>
      <c r="D202" s="7" t="n">
        <v>3</v>
      </c>
      <c r="E202" s="7" t="n">
        <v>6</v>
      </c>
      <c r="F202" s="7" t="s">
        <v>6687</v>
      </c>
      <c r="G202" s="12" t="n">
        <f aca="false">IFERROR(INDEX('Semrush Data'!$A$1:$Z$20000,MATCH(A202,'Semrush Data'!$A$1:$A$20000,0),MATCH("Volume",'Semrush Data'!$A$1:$Z$1,0)),"")</f>
        <v>10</v>
      </c>
      <c r="H202" s="7" t="n">
        <f aca="false">IFERROR(INDEX('Semrush Data'!$A$1:$Z$20000,MATCH(A202,'Semrush Data'!$A$1:$A$20000,0),MATCH("Keyword Difficulty*",'Semrush Data'!$A$1:$Z$1,0)),"")</f>
        <v>16</v>
      </c>
      <c r="I202" s="13" t="n">
        <f aca="false">IFERROR(INDEX('Semrush Data'!$A$1:$Z$20000,MATCH(A202,'Semrush Data'!$A$1:$A$20000,0),MATCH("CPC*",'Semrush Data'!$A$1:$Z$1,0)),"")</f>
        <v>0</v>
      </c>
      <c r="J202" s="7" t="str">
        <f aca="false">IFERROR(INDEX('Semrush Data'!$A$1:$Z$20000,MATCH(A202,'Semrush Data'!$A$1:$A$20000,0),MATCH("Intent",'Semrush Data'!$A$1:$Z$1,0)),"")</f>
        <v>Informational</v>
      </c>
    </row>
    <row r="203" customFormat="false" ht="15" hidden="false" customHeight="true" outlineLevel="0" collapsed="false">
      <c r="A203" s="7" t="s">
        <v>155</v>
      </c>
      <c r="B203" s="7" t="s">
        <v>151</v>
      </c>
      <c r="C203" s="7" t="n">
        <v>1</v>
      </c>
      <c r="D203" s="7" t="n">
        <v>3</v>
      </c>
      <c r="E203" s="7" t="n">
        <v>1</v>
      </c>
      <c r="F203" s="7" t="s">
        <v>1051</v>
      </c>
      <c r="G203" s="12" t="n">
        <f aca="false">IFERROR(INDEX('Semrush Data'!$A$1:$Z$20000,MATCH(A203,'Semrush Data'!$A$1:$A$20000,0),MATCH("Volume",'Semrush Data'!$A$1:$Z$1,0)),"")</f>
        <v>1600</v>
      </c>
      <c r="H203" s="7" t="n">
        <f aca="false">IFERROR(INDEX('Semrush Data'!$A$1:$Z$20000,MATCH(A203,'Semrush Data'!$A$1:$A$20000,0),MATCH("Keyword Difficulty*",'Semrush Data'!$A$1:$Z$1,0)),"")</f>
        <v>29</v>
      </c>
      <c r="I203" s="13" t="n">
        <f aca="false">IFERROR(INDEX('Semrush Data'!$A$1:$Z$20000,MATCH(A203,'Semrush Data'!$A$1:$A$20000,0),MATCH("CPC*",'Semrush Data'!$A$1:$Z$1,0)),"")</f>
        <v>0.85</v>
      </c>
      <c r="J203" s="7" t="str">
        <f aca="false">IFERROR(INDEX('Semrush Data'!$A$1:$Z$20000,MATCH(A203,'Semrush Data'!$A$1:$A$20000,0),MATCH("Intent",'Semrush Data'!$A$1:$Z$1,0)),"")</f>
        <v>Informational Commercial</v>
      </c>
    </row>
    <row r="204" customFormat="false" ht="15" hidden="false" customHeight="true" outlineLevel="0" collapsed="false">
      <c r="A204" s="7" t="s">
        <v>156</v>
      </c>
      <c r="B204" s="7" t="s">
        <v>151</v>
      </c>
      <c r="C204" s="7" t="n">
        <v>1</v>
      </c>
      <c r="D204" s="7" t="n">
        <v>3</v>
      </c>
      <c r="E204" s="7" t="n">
        <v>1</v>
      </c>
      <c r="F204" s="7" t="s">
        <v>1111</v>
      </c>
      <c r="G204" s="12" t="n">
        <f aca="false">IFERROR(INDEX('Semrush Data'!$A$1:$Z$20000,MATCH(A204,'Semrush Data'!$A$1:$A$20000,0),MATCH("Volume",'Semrush Data'!$A$1:$Z$1,0)),"")</f>
        <v>1600</v>
      </c>
      <c r="H204" s="7" t="n">
        <f aca="false">IFERROR(INDEX('Semrush Data'!$A$1:$Z$20000,MATCH(A204,'Semrush Data'!$A$1:$A$20000,0),MATCH("Keyword Difficulty*",'Semrush Data'!$A$1:$Z$1,0)),"")</f>
        <v>33</v>
      </c>
      <c r="I204" s="13" t="n">
        <f aca="false">IFERROR(INDEX('Semrush Data'!$A$1:$Z$20000,MATCH(A204,'Semrush Data'!$A$1:$A$20000,0),MATCH("CPC*",'Semrush Data'!$A$1:$Z$1,0)),"")</f>
        <v>1.19</v>
      </c>
      <c r="J204" s="7" t="str">
        <f aca="false">IFERROR(INDEX('Semrush Data'!$A$1:$Z$20000,MATCH(A204,'Semrush Data'!$A$1:$A$20000,0),MATCH("Intent",'Semrush Data'!$A$1:$Z$1,0)),"")</f>
        <v>Informational</v>
      </c>
    </row>
    <row r="205" customFormat="false" ht="15" hidden="false" customHeight="true" outlineLevel="0" collapsed="false">
      <c r="A205" s="7" t="s">
        <v>6688</v>
      </c>
      <c r="B205" s="7" t="s">
        <v>151</v>
      </c>
      <c r="C205" s="7" t="n">
        <v>1</v>
      </c>
      <c r="D205" s="7" t="n">
        <v>3</v>
      </c>
      <c r="E205" s="7" t="n">
        <v>4</v>
      </c>
      <c r="F205" s="7" t="s">
        <v>6689</v>
      </c>
      <c r="G205" s="12" t="n">
        <f aca="false">IFERROR(INDEX('Semrush Data'!$A$1:$Z$20000,MATCH(A205,'Semrush Data'!$A$1:$A$20000,0),MATCH("Volume",'Semrush Data'!$A$1:$Z$1,0)),"")</f>
        <v>0</v>
      </c>
      <c r="H205" s="7" t="n">
        <f aca="false">IFERROR(INDEX('Semrush Data'!$A$1:$Z$20000,MATCH(A205,'Semrush Data'!$A$1:$A$20000,0),MATCH("Keyword Difficulty*",'Semrush Data'!$A$1:$Z$1,0)),"")</f>
        <v>36</v>
      </c>
      <c r="I205" s="13" t="n">
        <f aca="false">IFERROR(INDEX('Semrush Data'!$A$1:$Z$20000,MATCH(A205,'Semrush Data'!$A$1:$A$20000,0),MATCH("CPC*",'Semrush Data'!$A$1:$Z$1,0)),"")</f>
        <v>0</v>
      </c>
      <c r="J205" s="7" t="str">
        <f aca="false">IFERROR(INDEX('Semrush Data'!$A$1:$Z$20000,MATCH(A205,'Semrush Data'!$A$1:$A$20000,0),MATCH("Intent",'Semrush Data'!$A$1:$Z$1,0)),"")</f>
        <v>Informational</v>
      </c>
    </row>
    <row r="206" customFormat="false" ht="15" hidden="false" customHeight="true" outlineLevel="0" collapsed="false">
      <c r="A206" s="7" t="s">
        <v>6690</v>
      </c>
      <c r="B206" s="7" t="s">
        <v>151</v>
      </c>
      <c r="C206" s="7" t="n">
        <v>1</v>
      </c>
      <c r="D206" s="7" t="n">
        <v>3</v>
      </c>
      <c r="E206" s="7" t="n">
        <v>2</v>
      </c>
      <c r="F206" s="7" t="s">
        <v>6691</v>
      </c>
      <c r="G206" s="12" t="n">
        <f aca="false">IFERROR(INDEX('Semrush Data'!$A$1:$Z$20000,MATCH(A206,'Semrush Data'!$A$1:$A$20000,0),MATCH("Volume",'Semrush Data'!$A$1:$Z$1,0)),"")</f>
        <v>0</v>
      </c>
      <c r="H206" s="7" t="n">
        <f aca="false">IFERROR(INDEX('Semrush Data'!$A$1:$Z$20000,MATCH(A206,'Semrush Data'!$A$1:$A$20000,0),MATCH("Keyword Difficulty*",'Semrush Data'!$A$1:$Z$1,0)),"")</f>
        <v>15</v>
      </c>
      <c r="I206" s="13" t="n">
        <f aca="false">IFERROR(INDEX('Semrush Data'!$A$1:$Z$20000,MATCH(A206,'Semrush Data'!$A$1:$A$20000,0),MATCH("CPC*",'Semrush Data'!$A$1:$Z$1,0)),"")</f>
        <v>0</v>
      </c>
      <c r="J206" s="7" t="str">
        <f aca="false">IFERROR(INDEX('Semrush Data'!$A$1:$Z$20000,MATCH(A206,'Semrush Data'!$A$1:$A$20000,0),MATCH("Intent",'Semrush Data'!$A$1:$Z$1,0)),"")</f>
        <v>Informational</v>
      </c>
    </row>
    <row r="207" customFormat="false" ht="15" hidden="false" customHeight="true" outlineLevel="0" collapsed="false">
      <c r="A207" s="7" t="s">
        <v>153</v>
      </c>
      <c r="B207" s="7" t="s">
        <v>151</v>
      </c>
      <c r="C207" s="7" t="n">
        <v>1</v>
      </c>
      <c r="D207" s="7" t="n">
        <v>3</v>
      </c>
      <c r="E207" s="7" t="n">
        <v>1</v>
      </c>
      <c r="F207" s="7" t="s">
        <v>558</v>
      </c>
      <c r="G207" s="12" t="n">
        <f aca="false">IFERROR(INDEX('Semrush Data'!$A$1:$Z$20000,MATCH(A207,'Semrush Data'!$A$1:$A$20000,0),MATCH("Volume",'Semrush Data'!$A$1:$Z$1,0)),"")</f>
        <v>2400</v>
      </c>
      <c r="H207" s="7" t="n">
        <f aca="false">IFERROR(INDEX('Semrush Data'!$A$1:$Z$20000,MATCH(A207,'Semrush Data'!$A$1:$A$20000,0),MATCH("Keyword Difficulty*",'Semrush Data'!$A$1:$Z$1,0)),"")</f>
        <v>13</v>
      </c>
      <c r="I207" s="13" t="n">
        <f aca="false">IFERROR(INDEX('Semrush Data'!$A$1:$Z$20000,MATCH(A207,'Semrush Data'!$A$1:$A$20000,0),MATCH("CPC*",'Semrush Data'!$A$1:$Z$1,0)),"")</f>
        <v>0.75</v>
      </c>
      <c r="J207" s="7" t="str">
        <f aca="false">IFERROR(INDEX('Semrush Data'!$A$1:$Z$20000,MATCH(A207,'Semrush Data'!$A$1:$A$20000,0),MATCH("Intent",'Semrush Data'!$A$1:$Z$1,0)),"")</f>
        <v>Informational Commercial</v>
      </c>
    </row>
    <row r="208" customFormat="false" ht="15" hidden="false" customHeight="true" outlineLevel="0" collapsed="false">
      <c r="A208" s="7" t="s">
        <v>173</v>
      </c>
      <c r="B208" s="7" t="s">
        <v>151</v>
      </c>
      <c r="C208" s="7" t="n">
        <v>1</v>
      </c>
      <c r="D208" s="7" t="n">
        <v>3</v>
      </c>
      <c r="E208" s="7" t="n">
        <v>2</v>
      </c>
      <c r="F208" s="7" t="s">
        <v>6692</v>
      </c>
      <c r="G208" s="12" t="n">
        <f aca="false">IFERROR(INDEX('Semrush Data'!$A$1:$Z$20000,MATCH(A208,'Semrush Data'!$A$1:$A$20000,0),MATCH("Volume",'Semrush Data'!$A$1:$Z$1,0)),"")</f>
        <v>140</v>
      </c>
      <c r="H208" s="7" t="n">
        <f aca="false">IFERROR(INDEX('Semrush Data'!$A$1:$Z$20000,MATCH(A208,'Semrush Data'!$A$1:$A$20000,0),MATCH("Keyword Difficulty*",'Semrush Data'!$A$1:$Z$1,0)),"")</f>
        <v>22</v>
      </c>
      <c r="I208" s="13" t="n">
        <f aca="false">IFERROR(INDEX('Semrush Data'!$A$1:$Z$20000,MATCH(A208,'Semrush Data'!$A$1:$A$20000,0),MATCH("CPC*",'Semrush Data'!$A$1:$Z$1,0)),"")</f>
        <v>0.94</v>
      </c>
      <c r="J208" s="7" t="str">
        <f aca="false">IFERROR(INDEX('Semrush Data'!$A$1:$Z$20000,MATCH(A208,'Semrush Data'!$A$1:$A$20000,0),MATCH("Intent",'Semrush Data'!$A$1:$Z$1,0)),"")</f>
        <v>Informational</v>
      </c>
    </row>
    <row r="209" customFormat="false" ht="15" hidden="false" customHeight="true" outlineLevel="0" collapsed="false">
      <c r="A209" s="7" t="s">
        <v>154</v>
      </c>
      <c r="B209" s="7" t="s">
        <v>151</v>
      </c>
      <c r="C209" s="7" t="n">
        <v>1</v>
      </c>
      <c r="D209" s="7" t="n">
        <v>3</v>
      </c>
      <c r="E209" s="7" t="n">
        <v>1</v>
      </c>
      <c r="F209" s="7" t="s">
        <v>892</v>
      </c>
      <c r="G209" s="12" t="n">
        <f aca="false">IFERROR(INDEX('Semrush Data'!$A$1:$Z$20000,MATCH(A209,'Semrush Data'!$A$1:$A$20000,0),MATCH("Volume",'Semrush Data'!$A$1:$Z$1,0)),"")</f>
        <v>1900</v>
      </c>
      <c r="H209" s="7" t="n">
        <f aca="false">IFERROR(INDEX('Semrush Data'!$A$1:$Z$20000,MATCH(A209,'Semrush Data'!$A$1:$A$20000,0),MATCH("Keyword Difficulty*",'Semrush Data'!$A$1:$Z$1,0)),"")</f>
        <v>30</v>
      </c>
      <c r="I209" s="13" t="n">
        <f aca="false">IFERROR(INDEX('Semrush Data'!$A$1:$Z$20000,MATCH(A209,'Semrush Data'!$A$1:$A$20000,0),MATCH("CPC*",'Semrush Data'!$A$1:$Z$1,0)),"")</f>
        <v>0.82</v>
      </c>
      <c r="J209" s="7" t="str">
        <f aca="false">IFERROR(INDEX('Semrush Data'!$A$1:$Z$20000,MATCH(A209,'Semrush Data'!$A$1:$A$20000,0),MATCH("Intent",'Semrush Data'!$A$1:$Z$1,0)),"")</f>
        <v>Informational Commercial</v>
      </c>
    </row>
    <row r="210" customFormat="false" ht="15" hidden="false" customHeight="true" outlineLevel="0" collapsed="false">
      <c r="A210" s="7" t="s">
        <v>169</v>
      </c>
      <c r="B210" s="7" t="s">
        <v>151</v>
      </c>
      <c r="C210" s="7" t="n">
        <v>1</v>
      </c>
      <c r="D210" s="7" t="n">
        <v>3</v>
      </c>
      <c r="E210" s="7" t="n">
        <v>4</v>
      </c>
      <c r="F210" s="7" t="s">
        <v>6693</v>
      </c>
      <c r="G210" s="12" t="n">
        <f aca="false">IFERROR(INDEX('Semrush Data'!$A$1:$Z$20000,MATCH(A210,'Semrush Data'!$A$1:$A$20000,0),MATCH("Volume",'Semrush Data'!$A$1:$Z$1,0)),"")</f>
        <v>260</v>
      </c>
      <c r="H210" s="7" t="n">
        <f aca="false">IFERROR(INDEX('Semrush Data'!$A$1:$Z$20000,MATCH(A210,'Semrush Data'!$A$1:$A$20000,0),MATCH("Keyword Difficulty*",'Semrush Data'!$A$1:$Z$1,0)),"")</f>
        <v>22</v>
      </c>
      <c r="I210" s="13" t="n">
        <f aca="false">IFERROR(INDEX('Semrush Data'!$A$1:$Z$20000,MATCH(A210,'Semrush Data'!$A$1:$A$20000,0),MATCH("CPC*",'Semrush Data'!$A$1:$Z$1,0)),"")</f>
        <v>1.43</v>
      </c>
      <c r="J210" s="7" t="str">
        <f aca="false">IFERROR(INDEX('Semrush Data'!$A$1:$Z$20000,MATCH(A210,'Semrush Data'!$A$1:$A$20000,0),MATCH("Intent",'Semrush Data'!$A$1:$Z$1,0)),"")</f>
        <v>Informational Commercial</v>
      </c>
    </row>
    <row r="211" customFormat="false" ht="15" hidden="false" customHeight="true" outlineLevel="0" collapsed="false">
      <c r="A211" s="7" t="s">
        <v>159</v>
      </c>
      <c r="B211" s="7" t="s">
        <v>151</v>
      </c>
      <c r="C211" s="7" t="n">
        <v>1</v>
      </c>
      <c r="D211" s="7" t="n">
        <v>3</v>
      </c>
      <c r="E211" s="7" t="n">
        <v>1</v>
      </c>
      <c r="F211" s="7" t="s">
        <v>489</v>
      </c>
      <c r="G211" s="12" t="n">
        <f aca="false">IFERROR(INDEX('Semrush Data'!$A$1:$Z$20000,MATCH(A211,'Semrush Data'!$A$1:$A$20000,0),MATCH("Volume",'Semrush Data'!$A$1:$Z$1,0)),"")</f>
        <v>1000</v>
      </c>
      <c r="H211" s="7" t="n">
        <f aca="false">IFERROR(INDEX('Semrush Data'!$A$1:$Z$20000,MATCH(A211,'Semrush Data'!$A$1:$A$20000,0),MATCH("Keyword Difficulty*",'Semrush Data'!$A$1:$Z$1,0)),"")</f>
        <v>27</v>
      </c>
      <c r="I211" s="13" t="n">
        <f aca="false">IFERROR(INDEX('Semrush Data'!$A$1:$Z$20000,MATCH(A211,'Semrush Data'!$A$1:$A$20000,0),MATCH("CPC*",'Semrush Data'!$A$1:$Z$1,0)),"")</f>
        <v>0.72</v>
      </c>
      <c r="J211" s="7" t="str">
        <f aca="false">IFERROR(INDEX('Semrush Data'!$A$1:$Z$20000,MATCH(A211,'Semrush Data'!$A$1:$A$20000,0),MATCH("Intent",'Semrush Data'!$A$1:$Z$1,0)),"")</f>
        <v>Informational</v>
      </c>
    </row>
    <row r="212" customFormat="false" ht="15" hidden="false" customHeight="true" outlineLevel="0" collapsed="false">
      <c r="A212" s="7" t="s">
        <v>161</v>
      </c>
      <c r="B212" s="7" t="s">
        <v>151</v>
      </c>
      <c r="C212" s="7" t="n">
        <v>1</v>
      </c>
      <c r="D212" s="7" t="n">
        <v>3</v>
      </c>
      <c r="E212" s="7" t="n">
        <v>2</v>
      </c>
      <c r="F212" s="7" t="s">
        <v>6673</v>
      </c>
      <c r="G212" s="12" t="n">
        <f aca="false">IFERROR(INDEX('Semrush Data'!$A$1:$Z$20000,MATCH(A212,'Semrush Data'!$A$1:$A$20000,0),MATCH("Volume",'Semrush Data'!$A$1:$Z$1,0)),"")</f>
        <v>720</v>
      </c>
      <c r="H212" s="7" t="n">
        <f aca="false">IFERROR(INDEX('Semrush Data'!$A$1:$Z$20000,MATCH(A212,'Semrush Data'!$A$1:$A$20000,0),MATCH("Keyword Difficulty*",'Semrush Data'!$A$1:$Z$1,0)),"")</f>
        <v>25</v>
      </c>
      <c r="I212" s="13" t="n">
        <f aca="false">IFERROR(INDEX('Semrush Data'!$A$1:$Z$20000,MATCH(A212,'Semrush Data'!$A$1:$A$20000,0),MATCH("CPC*",'Semrush Data'!$A$1:$Z$1,0)),"")</f>
        <v>0.84</v>
      </c>
      <c r="J212" s="7" t="str">
        <f aca="false">IFERROR(INDEX('Semrush Data'!$A$1:$Z$20000,MATCH(A212,'Semrush Data'!$A$1:$A$20000,0),MATCH("Intent",'Semrush Data'!$A$1:$Z$1,0)),"")</f>
        <v>Informational</v>
      </c>
    </row>
    <row r="213" customFormat="false" ht="15" hidden="false" customHeight="true" outlineLevel="0" collapsed="false">
      <c r="A213" s="7" t="s">
        <v>160</v>
      </c>
      <c r="B213" s="7" t="s">
        <v>151</v>
      </c>
      <c r="C213" s="7" t="n">
        <v>1</v>
      </c>
      <c r="D213" s="7" t="n">
        <v>3</v>
      </c>
      <c r="E213" s="7" t="n">
        <v>10</v>
      </c>
      <c r="F213" s="7" t="s">
        <v>6694</v>
      </c>
      <c r="G213" s="12" t="n">
        <f aca="false">IFERROR(INDEX('Semrush Data'!$A$1:$Z$20000,MATCH(A213,'Semrush Data'!$A$1:$A$20000,0),MATCH("Volume",'Semrush Data'!$A$1:$Z$1,0)),"")</f>
        <v>1000</v>
      </c>
      <c r="H213" s="7" t="n">
        <f aca="false">IFERROR(INDEX('Semrush Data'!$A$1:$Z$20000,MATCH(A213,'Semrush Data'!$A$1:$A$20000,0),MATCH("Keyword Difficulty*",'Semrush Data'!$A$1:$Z$1,0)),"")</f>
        <v>41</v>
      </c>
      <c r="I213" s="13" t="n">
        <f aca="false">IFERROR(INDEX('Semrush Data'!$A$1:$Z$20000,MATCH(A213,'Semrush Data'!$A$1:$A$20000,0),MATCH("CPC*",'Semrush Data'!$A$1:$Z$1,0)),"")</f>
        <v>0.76</v>
      </c>
      <c r="J213" s="7" t="str">
        <f aca="false">IFERROR(INDEX('Semrush Data'!$A$1:$Z$20000,MATCH(A213,'Semrush Data'!$A$1:$A$20000,0),MATCH("Intent",'Semrush Data'!$A$1:$Z$1,0)),"")</f>
        <v>Informational Commercial</v>
      </c>
    </row>
    <row r="214" customFormat="false" ht="15" hidden="false" customHeight="true" outlineLevel="0" collapsed="false">
      <c r="A214" s="7" t="s">
        <v>6695</v>
      </c>
      <c r="B214" s="7" t="s">
        <v>151</v>
      </c>
      <c r="C214" s="7" t="n">
        <v>1</v>
      </c>
      <c r="D214" s="7" t="n">
        <v>3</v>
      </c>
      <c r="E214" s="7" t="n">
        <v>1</v>
      </c>
      <c r="F214" s="7" t="s">
        <v>629</v>
      </c>
      <c r="G214" s="12" t="n">
        <f aca="false">IFERROR(INDEX('Semrush Data'!$A$1:$Z$20000,MATCH(A214,'Semrush Data'!$A$1:$A$20000,0),MATCH("Volume",'Semrush Data'!$A$1:$Z$1,0)),"")</f>
        <v>20</v>
      </c>
      <c r="H214" s="7" t="n">
        <f aca="false">IFERROR(INDEX('Semrush Data'!$A$1:$Z$20000,MATCH(A214,'Semrush Data'!$A$1:$A$20000,0),MATCH("Keyword Difficulty*",'Semrush Data'!$A$1:$Z$1,0)),"")</f>
        <v>24</v>
      </c>
      <c r="I214" s="13" t="n">
        <f aca="false">IFERROR(INDEX('Semrush Data'!$A$1:$Z$20000,MATCH(A214,'Semrush Data'!$A$1:$A$20000,0),MATCH("CPC*",'Semrush Data'!$A$1:$Z$1,0)),"")</f>
        <v>0.73</v>
      </c>
      <c r="J214" s="7" t="str">
        <f aca="false">IFERROR(INDEX('Semrush Data'!$A$1:$Z$20000,MATCH(A214,'Semrush Data'!$A$1:$A$20000,0),MATCH("Intent",'Semrush Data'!$A$1:$Z$1,0)),"")</f>
        <v>Commercial</v>
      </c>
    </row>
    <row r="215" customFormat="false" ht="15" hidden="false" customHeight="true" outlineLevel="0" collapsed="false">
      <c r="A215" s="7" t="s">
        <v>150</v>
      </c>
      <c r="B215" s="7" t="s">
        <v>151</v>
      </c>
      <c r="C215" s="7" t="n">
        <v>1</v>
      </c>
      <c r="D215" s="7" t="n">
        <v>3</v>
      </c>
      <c r="E215" s="7" t="n">
        <v>3</v>
      </c>
      <c r="F215" s="7" t="s">
        <v>6696</v>
      </c>
      <c r="G215" s="12" t="n">
        <f aca="false">IFERROR(INDEX('Semrush Data'!$A$1:$Z$20000,MATCH(A215,'Semrush Data'!$A$1:$A$20000,0),MATCH("Volume",'Semrush Data'!$A$1:$Z$1,0)),"")</f>
        <v>2900</v>
      </c>
      <c r="H215" s="7" t="n">
        <f aca="false">IFERROR(INDEX('Semrush Data'!$A$1:$Z$20000,MATCH(A215,'Semrush Data'!$A$1:$A$20000,0),MATCH("Keyword Difficulty*",'Semrush Data'!$A$1:$Z$1,0)),"")</f>
        <v>29</v>
      </c>
      <c r="I215" s="13" t="n">
        <f aca="false">IFERROR(INDEX('Semrush Data'!$A$1:$Z$20000,MATCH(A215,'Semrush Data'!$A$1:$A$20000,0),MATCH("CPC*",'Semrush Data'!$A$1:$Z$1,0)),"")</f>
        <v>0.91</v>
      </c>
      <c r="J215" s="7" t="str">
        <f aca="false">IFERROR(INDEX('Semrush Data'!$A$1:$Z$20000,MATCH(A215,'Semrush Data'!$A$1:$A$20000,0),MATCH("Intent",'Semrush Data'!$A$1:$Z$1,0)),"")</f>
        <v>Commercial</v>
      </c>
    </row>
    <row r="216" customFormat="false" ht="15" hidden="false" customHeight="true" outlineLevel="0" collapsed="false">
      <c r="A216" s="7" t="s">
        <v>6697</v>
      </c>
      <c r="B216" s="7" t="s">
        <v>151</v>
      </c>
      <c r="C216" s="7" t="n">
        <v>1</v>
      </c>
      <c r="D216" s="7" t="n">
        <v>3</v>
      </c>
      <c r="E216" s="7" t="n">
        <v>3</v>
      </c>
      <c r="F216" s="7" t="s">
        <v>6698</v>
      </c>
      <c r="G216" s="12" t="n">
        <f aca="false">IFERROR(INDEX('Semrush Data'!$A$1:$Z$20000,MATCH(A216,'Semrush Data'!$A$1:$A$20000,0),MATCH("Volume",'Semrush Data'!$A$1:$Z$1,0)),"")</f>
        <v>0</v>
      </c>
      <c r="H216" s="7" t="n">
        <f aca="false">IFERROR(INDEX('Semrush Data'!$A$1:$Z$20000,MATCH(A216,'Semrush Data'!$A$1:$A$20000,0),MATCH("Keyword Difficulty*",'Semrush Data'!$A$1:$Z$1,0)),"")</f>
        <v>22</v>
      </c>
      <c r="I216" s="13" t="n">
        <f aca="false">IFERROR(INDEX('Semrush Data'!$A$1:$Z$20000,MATCH(A216,'Semrush Data'!$A$1:$A$20000,0),MATCH("CPC*",'Semrush Data'!$A$1:$Z$1,0)),"")</f>
        <v>0</v>
      </c>
      <c r="J216" s="7" t="str">
        <f aca="false">IFERROR(INDEX('Semrush Data'!$A$1:$Z$20000,MATCH(A216,'Semrush Data'!$A$1:$A$20000,0),MATCH("Intent",'Semrush Data'!$A$1:$Z$1,0)),"")</f>
        <v>Informational</v>
      </c>
    </row>
    <row r="217" customFormat="false" ht="15" hidden="false" customHeight="true" outlineLevel="0" collapsed="false">
      <c r="A217" s="7" t="s">
        <v>6699</v>
      </c>
      <c r="B217" s="7" t="s">
        <v>151</v>
      </c>
      <c r="C217" s="7" t="n">
        <v>1</v>
      </c>
      <c r="D217" s="7" t="n">
        <v>3</v>
      </c>
      <c r="E217" s="7" t="n">
        <v>3</v>
      </c>
      <c r="F217" s="7" t="s">
        <v>6644</v>
      </c>
      <c r="G217" s="12" t="n">
        <f aca="false">IFERROR(INDEX('Semrush Data'!$A$1:$Z$20000,MATCH(A217,'Semrush Data'!$A$1:$A$20000,0),MATCH("Volume",'Semrush Data'!$A$1:$Z$1,0)),"")</f>
        <v>20</v>
      </c>
      <c r="H217" s="7" t="n">
        <f aca="false">IFERROR(INDEX('Semrush Data'!$A$1:$Z$20000,MATCH(A217,'Semrush Data'!$A$1:$A$20000,0),MATCH("Keyword Difficulty*",'Semrush Data'!$A$1:$Z$1,0)),"")</f>
        <v>4</v>
      </c>
      <c r="I217" s="13" t="n">
        <f aca="false">IFERROR(INDEX('Semrush Data'!$A$1:$Z$20000,MATCH(A217,'Semrush Data'!$A$1:$A$20000,0),MATCH("CPC*",'Semrush Data'!$A$1:$Z$1,0)),"")</f>
        <v>0.91</v>
      </c>
      <c r="J217" s="7" t="str">
        <f aca="false">IFERROR(INDEX('Semrush Data'!$A$1:$Z$20000,MATCH(A217,'Semrush Data'!$A$1:$A$20000,0),MATCH("Intent",'Semrush Data'!$A$1:$Z$1,0)),"")</f>
        <v>Informational</v>
      </c>
    </row>
    <row r="218" customFormat="false" ht="15" hidden="false" customHeight="true" outlineLevel="0" collapsed="false">
      <c r="A218" s="7" t="s">
        <v>6700</v>
      </c>
      <c r="B218" s="7" t="s">
        <v>151</v>
      </c>
      <c r="C218" s="7" t="n">
        <v>1</v>
      </c>
      <c r="D218" s="7" t="n">
        <v>3</v>
      </c>
      <c r="E218" s="7" t="n">
        <v>9</v>
      </c>
      <c r="F218" s="7" t="s">
        <v>6659</v>
      </c>
      <c r="G218" s="12" t="n">
        <f aca="false">IFERROR(INDEX('Semrush Data'!$A$1:$Z$20000,MATCH(A218,'Semrush Data'!$A$1:$A$20000,0),MATCH("Volume",'Semrush Data'!$A$1:$Z$1,0)),"")</f>
        <v>0</v>
      </c>
      <c r="H218" s="7" t="n">
        <f aca="false">IFERROR(INDEX('Semrush Data'!$A$1:$Z$20000,MATCH(A218,'Semrush Data'!$A$1:$A$20000,0),MATCH("Keyword Difficulty*",'Semrush Data'!$A$1:$Z$1,0)),"")</f>
        <v>53</v>
      </c>
      <c r="I218" s="13" t="n">
        <f aca="false">IFERROR(INDEX('Semrush Data'!$A$1:$Z$20000,MATCH(A218,'Semrush Data'!$A$1:$A$20000,0),MATCH("CPC*",'Semrush Data'!$A$1:$Z$1,0)),"")</f>
        <v>0</v>
      </c>
      <c r="J218" s="7" t="str">
        <f aca="false">IFERROR(INDEX('Semrush Data'!$A$1:$Z$20000,MATCH(A218,'Semrush Data'!$A$1:$A$20000,0),MATCH("Intent",'Semrush Data'!$A$1:$Z$1,0)),"")</f>
        <v>Informational</v>
      </c>
    </row>
    <row r="219" customFormat="false" ht="15" hidden="false" customHeight="true" outlineLevel="0" collapsed="false">
      <c r="A219" s="7" t="s">
        <v>175</v>
      </c>
      <c r="B219" s="7" t="s">
        <v>151</v>
      </c>
      <c r="C219" s="7" t="n">
        <v>1</v>
      </c>
      <c r="D219" s="7" t="n">
        <v>3</v>
      </c>
      <c r="E219" s="7" t="n">
        <v>4</v>
      </c>
      <c r="F219" s="7" t="s">
        <v>6649</v>
      </c>
      <c r="G219" s="12" t="n">
        <f aca="false">IFERROR(INDEX('Semrush Data'!$A$1:$Z$20000,MATCH(A219,'Semrush Data'!$A$1:$A$20000,0),MATCH("Volume",'Semrush Data'!$A$1:$Z$1,0)),"")</f>
        <v>90</v>
      </c>
      <c r="H219" s="7" t="n">
        <f aca="false">IFERROR(INDEX('Semrush Data'!$A$1:$Z$20000,MATCH(A219,'Semrush Data'!$A$1:$A$20000,0),MATCH("Keyword Difficulty*",'Semrush Data'!$A$1:$Z$1,0)),"")</f>
        <v>16</v>
      </c>
      <c r="I219" s="13" t="n">
        <f aca="false">IFERROR(INDEX('Semrush Data'!$A$1:$Z$20000,MATCH(A219,'Semrush Data'!$A$1:$A$20000,0),MATCH("CPC*",'Semrush Data'!$A$1:$Z$1,0)),"")</f>
        <v>0.68</v>
      </c>
      <c r="J219" s="7" t="str">
        <f aca="false">IFERROR(INDEX('Semrush Data'!$A$1:$Z$20000,MATCH(A219,'Semrush Data'!$A$1:$A$20000,0),MATCH("Intent",'Semrush Data'!$A$1:$Z$1,0)),"")</f>
        <v>Informational</v>
      </c>
    </row>
    <row r="220" customFormat="false" ht="15" hidden="false" customHeight="true" outlineLevel="0" collapsed="false">
      <c r="A220" s="7" t="s">
        <v>6701</v>
      </c>
      <c r="B220" s="7" t="s">
        <v>151</v>
      </c>
      <c r="C220" s="7" t="n">
        <v>1</v>
      </c>
      <c r="D220" s="7" t="n">
        <v>3</v>
      </c>
      <c r="E220" s="7" t="n">
        <v>1</v>
      </c>
      <c r="F220" s="7" t="s">
        <v>946</v>
      </c>
      <c r="G220" s="12" t="n">
        <f aca="false">IFERROR(INDEX('Semrush Data'!$A$1:$Z$20000,MATCH(A220,'Semrush Data'!$A$1:$A$20000,0),MATCH("Volume",'Semrush Data'!$A$1:$Z$1,0)),"")</f>
        <v>20</v>
      </c>
      <c r="H220" s="7" t="n">
        <f aca="false">IFERROR(INDEX('Semrush Data'!$A$1:$Z$20000,MATCH(A220,'Semrush Data'!$A$1:$A$20000,0),MATCH("Keyword Difficulty*",'Semrush Data'!$A$1:$Z$1,0)),"")</f>
        <v>6</v>
      </c>
      <c r="I220" s="13" t="n">
        <f aca="false">IFERROR(INDEX('Semrush Data'!$A$1:$Z$20000,MATCH(A220,'Semrush Data'!$A$1:$A$20000,0),MATCH("CPC*",'Semrush Data'!$A$1:$Z$1,0)),"")</f>
        <v>0</v>
      </c>
      <c r="J220" s="7" t="str">
        <f aca="false">IFERROR(INDEX('Semrush Data'!$A$1:$Z$20000,MATCH(A220,'Semrush Data'!$A$1:$A$20000,0),MATCH("Intent",'Semrush Data'!$A$1:$Z$1,0)),"")</f>
        <v>Informational</v>
      </c>
    </row>
    <row r="221" customFormat="false" ht="15" hidden="false" customHeight="true" outlineLevel="0" collapsed="false">
      <c r="A221" s="7" t="s">
        <v>182</v>
      </c>
      <c r="B221" s="7" t="s">
        <v>151</v>
      </c>
      <c r="C221" s="7" t="n">
        <v>1</v>
      </c>
      <c r="D221" s="7" t="n">
        <v>3</v>
      </c>
      <c r="E221" s="7" t="n">
        <v>3</v>
      </c>
      <c r="F221" s="7" t="s">
        <v>6702</v>
      </c>
      <c r="G221" s="12" t="n">
        <f aca="false">IFERROR(INDEX('Semrush Data'!$A$1:$Z$20000,MATCH(A221,'Semrush Data'!$A$1:$A$20000,0),MATCH("Volume",'Semrush Data'!$A$1:$Z$1,0)),"")</f>
        <v>30</v>
      </c>
      <c r="H221" s="7" t="n">
        <f aca="false">IFERROR(INDEX('Semrush Data'!$A$1:$Z$20000,MATCH(A221,'Semrush Data'!$A$1:$A$20000,0),MATCH("Keyword Difficulty*",'Semrush Data'!$A$1:$Z$1,0)),"")</f>
        <v>12</v>
      </c>
      <c r="I221" s="13" t="n">
        <f aca="false">IFERROR(INDEX('Semrush Data'!$A$1:$Z$20000,MATCH(A221,'Semrush Data'!$A$1:$A$20000,0),MATCH("CPC*",'Semrush Data'!$A$1:$Z$1,0)),"")</f>
        <v>0</v>
      </c>
      <c r="J221" s="7" t="str">
        <f aca="false">IFERROR(INDEX('Semrush Data'!$A$1:$Z$20000,MATCH(A221,'Semrush Data'!$A$1:$A$20000,0),MATCH("Intent",'Semrush Data'!$A$1:$Z$1,0)),"")</f>
        <v>Informational Commercial</v>
      </c>
    </row>
    <row r="222" customFormat="false" ht="15" hidden="false" customHeight="true" outlineLevel="0" collapsed="false">
      <c r="A222" s="7" t="s">
        <v>171</v>
      </c>
      <c r="B222" s="7" t="s">
        <v>151</v>
      </c>
      <c r="C222" s="7" t="n">
        <v>1</v>
      </c>
      <c r="D222" s="7" t="n">
        <v>3</v>
      </c>
      <c r="E222" s="7" t="n">
        <v>7</v>
      </c>
      <c r="F222" s="7" t="s">
        <v>6654</v>
      </c>
      <c r="G222" s="12" t="n">
        <f aca="false">IFERROR(INDEX('Semrush Data'!$A$1:$Z$20000,MATCH(A222,'Semrush Data'!$A$1:$A$20000,0),MATCH("Volume",'Semrush Data'!$A$1:$Z$1,0)),"")</f>
        <v>210</v>
      </c>
      <c r="H222" s="7" t="n">
        <f aca="false">IFERROR(INDEX('Semrush Data'!$A$1:$Z$20000,MATCH(A222,'Semrush Data'!$A$1:$A$20000,0),MATCH("Keyword Difficulty*",'Semrush Data'!$A$1:$Z$1,0)),"")</f>
        <v>16</v>
      </c>
      <c r="I222" s="13" t="n">
        <f aca="false">IFERROR(INDEX('Semrush Data'!$A$1:$Z$20000,MATCH(A222,'Semrush Data'!$A$1:$A$20000,0),MATCH("CPC*",'Semrush Data'!$A$1:$Z$1,0)),"")</f>
        <v>1.02</v>
      </c>
      <c r="J222" s="7" t="str">
        <f aca="false">IFERROR(INDEX('Semrush Data'!$A$1:$Z$20000,MATCH(A222,'Semrush Data'!$A$1:$A$20000,0),MATCH("Intent",'Semrush Data'!$A$1:$Z$1,0)),"")</f>
        <v>Informational</v>
      </c>
    </row>
    <row r="223" customFormat="false" ht="15" hidden="false" customHeight="true" outlineLevel="0" collapsed="false">
      <c r="A223" s="7" t="s">
        <v>6703</v>
      </c>
      <c r="B223" s="7" t="s">
        <v>151</v>
      </c>
      <c r="C223" s="7" t="n">
        <v>1</v>
      </c>
      <c r="D223" s="7" t="n">
        <v>3</v>
      </c>
      <c r="E223" s="7" t="n">
        <v>2</v>
      </c>
      <c r="F223" s="7" t="s">
        <v>6656</v>
      </c>
      <c r="G223" s="12" t="n">
        <f aca="false">IFERROR(INDEX('Semrush Data'!$A$1:$Z$20000,MATCH(A223,'Semrush Data'!$A$1:$A$20000,0),MATCH("Volume",'Semrush Data'!$A$1:$Z$1,0)),"")</f>
        <v>20</v>
      </c>
      <c r="H223" s="7" t="n">
        <f aca="false">IFERROR(INDEX('Semrush Data'!$A$1:$Z$20000,MATCH(A223,'Semrush Data'!$A$1:$A$20000,0),MATCH("Keyword Difficulty*",'Semrush Data'!$A$1:$Z$1,0)),"")</f>
        <v>7</v>
      </c>
      <c r="I223" s="13" t="n">
        <f aca="false">IFERROR(INDEX('Semrush Data'!$A$1:$Z$20000,MATCH(A223,'Semrush Data'!$A$1:$A$20000,0),MATCH("CPC*",'Semrush Data'!$A$1:$Z$1,0)),"")</f>
        <v>0</v>
      </c>
      <c r="J223" s="7" t="str">
        <f aca="false">IFERROR(INDEX('Semrush Data'!$A$1:$Z$20000,MATCH(A223,'Semrush Data'!$A$1:$A$20000,0),MATCH("Intent",'Semrush Data'!$A$1:$Z$1,0)),"")</f>
        <v>Informational</v>
      </c>
    </row>
    <row r="224" customFormat="false" ht="15" hidden="false" customHeight="true" outlineLevel="0" collapsed="false">
      <c r="A224" s="7" t="s">
        <v>6704</v>
      </c>
      <c r="B224" s="7" t="s">
        <v>151</v>
      </c>
      <c r="C224" s="7" t="n">
        <v>1</v>
      </c>
      <c r="D224" s="7" t="n">
        <v>3</v>
      </c>
      <c r="E224" s="7" t="n">
        <v>2</v>
      </c>
      <c r="F224" s="7" t="s">
        <v>6705</v>
      </c>
      <c r="G224" s="12" t="n">
        <f aca="false">IFERROR(INDEX('Semrush Data'!$A$1:$Z$20000,MATCH(A224,'Semrush Data'!$A$1:$A$20000,0),MATCH("Volume",'Semrush Data'!$A$1:$Z$1,0)),"")</f>
        <v>0</v>
      </c>
      <c r="H224" s="7" t="n">
        <f aca="false">IFERROR(INDEX('Semrush Data'!$A$1:$Z$20000,MATCH(A224,'Semrush Data'!$A$1:$A$20000,0),MATCH("Keyword Difficulty*",'Semrush Data'!$A$1:$Z$1,0)),"")</f>
        <v>29</v>
      </c>
      <c r="I224" s="13" t="n">
        <f aca="false">IFERROR(INDEX('Semrush Data'!$A$1:$Z$20000,MATCH(A224,'Semrush Data'!$A$1:$A$20000,0),MATCH("CPC*",'Semrush Data'!$A$1:$Z$1,0)),"")</f>
        <v>0</v>
      </c>
      <c r="J224" s="7" t="str">
        <f aca="false">IFERROR(INDEX('Semrush Data'!$A$1:$Z$20000,MATCH(A224,'Semrush Data'!$A$1:$A$20000,0),MATCH("Intent",'Semrush Data'!$A$1:$Z$1,0)),"")</f>
        <v>Informational</v>
      </c>
    </row>
    <row r="225" customFormat="false" ht="15" hidden="false" customHeight="true" outlineLevel="0" collapsed="false">
      <c r="A225" s="7" t="s">
        <v>6706</v>
      </c>
      <c r="B225" s="7" t="s">
        <v>151</v>
      </c>
      <c r="C225" s="7" t="n">
        <v>1</v>
      </c>
      <c r="D225" s="7" t="n">
        <v>3</v>
      </c>
      <c r="E225" s="7" t="n">
        <v>4</v>
      </c>
      <c r="F225" s="7" t="s">
        <v>6707</v>
      </c>
      <c r="G225" s="12" t="n">
        <f aca="false">IFERROR(INDEX('Semrush Data'!$A$1:$Z$20000,MATCH(A225,'Semrush Data'!$A$1:$A$20000,0),MATCH("Volume",'Semrush Data'!$A$1:$Z$1,0)),"")</f>
        <v>0</v>
      </c>
      <c r="H225" s="7" t="n">
        <f aca="false">IFERROR(INDEX('Semrush Data'!$A$1:$Z$20000,MATCH(A225,'Semrush Data'!$A$1:$A$20000,0),MATCH("Keyword Difficulty*",'Semrush Data'!$A$1:$Z$1,0)),"")</f>
        <v>11</v>
      </c>
      <c r="I225" s="13" t="n">
        <f aca="false">IFERROR(INDEX('Semrush Data'!$A$1:$Z$20000,MATCH(A225,'Semrush Data'!$A$1:$A$20000,0),MATCH("CPC*",'Semrush Data'!$A$1:$Z$1,0)),"")</f>
        <v>0</v>
      </c>
      <c r="J225" s="7" t="str">
        <f aca="false">IFERROR(INDEX('Semrush Data'!$A$1:$Z$20000,MATCH(A225,'Semrush Data'!$A$1:$A$20000,0),MATCH("Intent",'Semrush Data'!$A$1:$Z$1,0)),"")</f>
        <v>Informational</v>
      </c>
    </row>
    <row r="226" customFormat="false" ht="15" hidden="false" customHeight="true" outlineLevel="0" collapsed="false">
      <c r="A226" s="7" t="s">
        <v>6708</v>
      </c>
      <c r="B226" s="7" t="s">
        <v>151</v>
      </c>
      <c r="C226" s="7" t="n">
        <v>1</v>
      </c>
      <c r="D226" s="7" t="n">
        <v>3</v>
      </c>
      <c r="E226" s="7" t="n">
        <v>7</v>
      </c>
      <c r="F226" s="7" t="s">
        <v>6709</v>
      </c>
      <c r="G226" s="12" t="n">
        <f aca="false">IFERROR(INDEX('Semrush Data'!$A$1:$Z$20000,MATCH(A226,'Semrush Data'!$A$1:$A$20000,0),MATCH("Volume",'Semrush Data'!$A$1:$Z$1,0)),"")</f>
        <v>10</v>
      </c>
      <c r="H226" s="7" t="n">
        <f aca="false">IFERROR(INDEX('Semrush Data'!$A$1:$Z$20000,MATCH(A226,'Semrush Data'!$A$1:$A$20000,0),MATCH("Keyword Difficulty*",'Semrush Data'!$A$1:$Z$1,0)),"")</f>
        <v>6</v>
      </c>
      <c r="I226" s="13" t="n">
        <f aca="false">IFERROR(INDEX('Semrush Data'!$A$1:$Z$20000,MATCH(A226,'Semrush Data'!$A$1:$A$20000,0),MATCH("CPC*",'Semrush Data'!$A$1:$Z$1,0)),"")</f>
        <v>0</v>
      </c>
      <c r="J226" s="7" t="str">
        <f aca="false">IFERROR(INDEX('Semrush Data'!$A$1:$Z$20000,MATCH(A226,'Semrush Data'!$A$1:$A$20000,0),MATCH("Intent",'Semrush Data'!$A$1:$Z$1,0)),"")</f>
        <v>Informational</v>
      </c>
    </row>
    <row r="227" customFormat="false" ht="15" hidden="false" customHeight="true" outlineLevel="0" collapsed="false">
      <c r="A227" s="7" t="s">
        <v>179</v>
      </c>
      <c r="B227" s="7" t="s">
        <v>151</v>
      </c>
      <c r="C227" s="7" t="n">
        <v>1</v>
      </c>
      <c r="D227" s="7" t="n">
        <v>3</v>
      </c>
      <c r="E227" s="7" t="n">
        <v>6</v>
      </c>
      <c r="F227" s="7" t="s">
        <v>6710</v>
      </c>
      <c r="G227" s="12" t="n">
        <f aca="false">IFERROR(INDEX('Semrush Data'!$A$1:$Z$20000,MATCH(A227,'Semrush Data'!$A$1:$A$20000,0),MATCH("Volume",'Semrush Data'!$A$1:$Z$1,0)),"")</f>
        <v>40</v>
      </c>
      <c r="H227" s="7" t="n">
        <f aca="false">IFERROR(INDEX('Semrush Data'!$A$1:$Z$20000,MATCH(A227,'Semrush Data'!$A$1:$A$20000,0),MATCH("Keyword Difficulty*",'Semrush Data'!$A$1:$Z$1,0)),"")</f>
        <v>7</v>
      </c>
      <c r="I227" s="13" t="n">
        <f aca="false">IFERROR(INDEX('Semrush Data'!$A$1:$Z$20000,MATCH(A227,'Semrush Data'!$A$1:$A$20000,0),MATCH("CPC*",'Semrush Data'!$A$1:$Z$1,0)),"")</f>
        <v>1.16</v>
      </c>
      <c r="J227" s="7" t="str">
        <f aca="false">IFERROR(INDEX('Semrush Data'!$A$1:$Z$20000,MATCH(A227,'Semrush Data'!$A$1:$A$20000,0),MATCH("Intent",'Semrush Data'!$A$1:$Z$1,0)),"")</f>
        <v>Informational</v>
      </c>
    </row>
    <row r="228" customFormat="false" ht="15" hidden="false" customHeight="true" outlineLevel="0" collapsed="false">
      <c r="A228" s="7" t="s">
        <v>6711</v>
      </c>
      <c r="B228" s="7" t="s">
        <v>151</v>
      </c>
      <c r="C228" s="7" t="n">
        <v>1</v>
      </c>
      <c r="D228" s="7" t="n">
        <v>3</v>
      </c>
      <c r="E228" s="7" t="n">
        <v>3</v>
      </c>
      <c r="F228" s="7" t="s">
        <v>6712</v>
      </c>
      <c r="G228" s="12" t="n">
        <f aca="false">IFERROR(INDEX('Semrush Data'!$A$1:$Z$20000,MATCH(A228,'Semrush Data'!$A$1:$A$20000,0),MATCH("Volume",'Semrush Data'!$A$1:$Z$1,0)),"")</f>
        <v>0</v>
      </c>
      <c r="H228" s="7" t="n">
        <f aca="false">IFERROR(INDEX('Semrush Data'!$A$1:$Z$20000,MATCH(A228,'Semrush Data'!$A$1:$A$20000,0),MATCH("Keyword Difficulty*",'Semrush Data'!$A$1:$Z$1,0)),"")</f>
        <v>18</v>
      </c>
      <c r="I228" s="13" t="n">
        <f aca="false">IFERROR(INDEX('Semrush Data'!$A$1:$Z$20000,MATCH(A228,'Semrush Data'!$A$1:$A$20000,0),MATCH("CPC*",'Semrush Data'!$A$1:$Z$1,0)),"")</f>
        <v>0</v>
      </c>
      <c r="J228" s="7" t="str">
        <f aca="false">IFERROR(INDEX('Semrush Data'!$A$1:$Z$20000,MATCH(A228,'Semrush Data'!$A$1:$A$20000,0),MATCH("Intent",'Semrush Data'!$A$1:$Z$1,0)),"")</f>
        <v>Informational</v>
      </c>
    </row>
    <row r="229" customFormat="false" ht="15" hidden="false" customHeight="true" outlineLevel="0" collapsed="false">
      <c r="A229" s="7" t="s">
        <v>6713</v>
      </c>
      <c r="B229" s="7" t="s">
        <v>151</v>
      </c>
      <c r="C229" s="7" t="n">
        <v>1</v>
      </c>
      <c r="D229" s="7" t="n">
        <v>3</v>
      </c>
      <c r="E229" s="7" t="n">
        <v>1</v>
      </c>
      <c r="F229" s="7" t="s">
        <v>558</v>
      </c>
      <c r="G229" s="12" t="n">
        <f aca="false">IFERROR(INDEX('Semrush Data'!$A$1:$Z$20000,MATCH(A229,'Semrush Data'!$A$1:$A$20000,0),MATCH("Volume",'Semrush Data'!$A$1:$Z$1,0)),"")</f>
        <v>0</v>
      </c>
      <c r="H229" s="7" t="n">
        <f aca="false">IFERROR(INDEX('Semrush Data'!$A$1:$Z$20000,MATCH(A229,'Semrush Data'!$A$1:$A$20000,0),MATCH("Keyword Difficulty*",'Semrush Data'!$A$1:$Z$1,0)),"")</f>
        <v>11</v>
      </c>
      <c r="I229" s="13" t="n">
        <f aca="false">IFERROR(INDEX('Semrush Data'!$A$1:$Z$20000,MATCH(A229,'Semrush Data'!$A$1:$A$20000,0),MATCH("CPC*",'Semrush Data'!$A$1:$Z$1,0)),"")</f>
        <v>0</v>
      </c>
      <c r="J229" s="7" t="str">
        <f aca="false">IFERROR(INDEX('Semrush Data'!$A$1:$Z$20000,MATCH(A229,'Semrush Data'!$A$1:$A$20000,0),MATCH("Intent",'Semrush Data'!$A$1:$Z$1,0)),"")</f>
        <v>Informational Commercial</v>
      </c>
    </row>
    <row r="230" customFormat="false" ht="15" hidden="false" customHeight="true" outlineLevel="0" collapsed="false">
      <c r="A230" s="7" t="s">
        <v>6714</v>
      </c>
      <c r="B230" s="7" t="s">
        <v>151</v>
      </c>
      <c r="C230" s="7" t="n">
        <v>1</v>
      </c>
      <c r="D230" s="7" t="n">
        <v>3</v>
      </c>
      <c r="E230" s="7" t="n">
        <v>7</v>
      </c>
      <c r="F230" s="7" t="s">
        <v>6715</v>
      </c>
      <c r="G230" s="12" t="n">
        <f aca="false">IFERROR(INDEX('Semrush Data'!$A$1:$Z$20000,MATCH(A230,'Semrush Data'!$A$1:$A$20000,0),MATCH("Volume",'Semrush Data'!$A$1:$Z$1,0)),"")</f>
        <v>20</v>
      </c>
      <c r="H230" s="7" t="n">
        <f aca="false">IFERROR(INDEX('Semrush Data'!$A$1:$Z$20000,MATCH(A230,'Semrush Data'!$A$1:$A$20000,0),MATCH("Keyword Difficulty*",'Semrush Data'!$A$1:$Z$1,0)),"")</f>
        <v>8</v>
      </c>
      <c r="I230" s="13" t="n">
        <f aca="false">IFERROR(INDEX('Semrush Data'!$A$1:$Z$20000,MATCH(A230,'Semrush Data'!$A$1:$A$20000,0),MATCH("CPC*",'Semrush Data'!$A$1:$Z$1,0)),"")</f>
        <v>0</v>
      </c>
      <c r="J230" s="7" t="str">
        <f aca="false">IFERROR(INDEX('Semrush Data'!$A$1:$Z$20000,MATCH(A230,'Semrush Data'!$A$1:$A$20000,0),MATCH("Intent",'Semrush Data'!$A$1:$Z$1,0)),"")</f>
        <v>Informational Commercial</v>
      </c>
    </row>
    <row r="231" customFormat="false" ht="15" hidden="false" customHeight="true" outlineLevel="0" collapsed="false">
      <c r="A231" s="7" t="s">
        <v>6716</v>
      </c>
      <c r="B231" s="7" t="s">
        <v>151</v>
      </c>
      <c r="C231" s="7" t="n">
        <v>1</v>
      </c>
      <c r="D231" s="7" t="n">
        <v>3</v>
      </c>
      <c r="E231" s="7" t="n">
        <v>1</v>
      </c>
      <c r="F231" s="7" t="s">
        <v>489</v>
      </c>
      <c r="G231" s="12" t="n">
        <f aca="false">IFERROR(INDEX('Semrush Data'!$A$1:$Z$20000,MATCH(A231,'Semrush Data'!$A$1:$A$20000,0),MATCH("Volume",'Semrush Data'!$A$1:$Z$1,0)),"")</f>
        <v>20</v>
      </c>
      <c r="H231" s="7" t="n">
        <f aca="false">IFERROR(INDEX('Semrush Data'!$A$1:$Z$20000,MATCH(A231,'Semrush Data'!$A$1:$A$20000,0),MATCH("Keyword Difficulty*",'Semrush Data'!$A$1:$Z$1,0)),"")</f>
        <v>13</v>
      </c>
      <c r="I231" s="13" t="n">
        <f aca="false">IFERROR(INDEX('Semrush Data'!$A$1:$Z$20000,MATCH(A231,'Semrush Data'!$A$1:$A$20000,0),MATCH("CPC*",'Semrush Data'!$A$1:$Z$1,0)),"")</f>
        <v>0</v>
      </c>
      <c r="J231" s="7" t="str">
        <f aca="false">IFERROR(INDEX('Semrush Data'!$A$1:$Z$20000,MATCH(A231,'Semrush Data'!$A$1:$A$20000,0),MATCH("Intent",'Semrush Data'!$A$1:$Z$1,0)),"")</f>
        <v>Informational</v>
      </c>
    </row>
    <row r="232" customFormat="false" ht="15" hidden="false" customHeight="true" outlineLevel="0" collapsed="false">
      <c r="A232" s="7" t="s">
        <v>6717</v>
      </c>
      <c r="B232" s="7" t="s">
        <v>151</v>
      </c>
      <c r="C232" s="7" t="n">
        <v>1</v>
      </c>
      <c r="D232" s="7" t="n">
        <v>3</v>
      </c>
      <c r="E232" s="7" t="n">
        <v>2</v>
      </c>
      <c r="F232" s="7" t="s">
        <v>6673</v>
      </c>
      <c r="G232" s="12" t="n">
        <f aca="false">IFERROR(INDEX('Semrush Data'!$A$1:$Z$20000,MATCH(A232,'Semrush Data'!$A$1:$A$20000,0),MATCH("Volume",'Semrush Data'!$A$1:$Z$1,0)),"")</f>
        <v>0</v>
      </c>
      <c r="H232" s="7" t="n">
        <f aca="false">IFERROR(INDEX('Semrush Data'!$A$1:$Z$20000,MATCH(A232,'Semrush Data'!$A$1:$A$20000,0),MATCH("Keyword Difficulty*",'Semrush Data'!$A$1:$Z$1,0)),"")</f>
        <v>22</v>
      </c>
      <c r="I232" s="13" t="n">
        <f aca="false">IFERROR(INDEX('Semrush Data'!$A$1:$Z$20000,MATCH(A232,'Semrush Data'!$A$1:$A$20000,0),MATCH("CPC*",'Semrush Data'!$A$1:$Z$1,0)),"")</f>
        <v>0</v>
      </c>
      <c r="J232" s="7" t="str">
        <f aca="false">IFERROR(INDEX('Semrush Data'!$A$1:$Z$20000,MATCH(A232,'Semrush Data'!$A$1:$A$20000,0),MATCH("Intent",'Semrush Data'!$A$1:$Z$1,0)),"")</f>
        <v>Commercial</v>
      </c>
    </row>
    <row r="233" customFormat="false" ht="15" hidden="false" customHeight="true" outlineLevel="0" collapsed="false">
      <c r="A233" s="7" t="s">
        <v>172</v>
      </c>
      <c r="B233" s="7" t="s">
        <v>151</v>
      </c>
      <c r="C233" s="7" t="n">
        <v>1</v>
      </c>
      <c r="D233" s="7" t="n">
        <v>3</v>
      </c>
      <c r="E233" s="7" t="n">
        <v>13</v>
      </c>
      <c r="F233" s="7" t="s">
        <v>6718</v>
      </c>
      <c r="G233" s="12" t="n">
        <f aca="false">IFERROR(INDEX('Semrush Data'!$A$1:$Z$20000,MATCH(A233,'Semrush Data'!$A$1:$A$20000,0),MATCH("Volume",'Semrush Data'!$A$1:$Z$1,0)),"")</f>
        <v>210</v>
      </c>
      <c r="H233" s="7" t="n">
        <f aca="false">IFERROR(INDEX('Semrush Data'!$A$1:$Z$20000,MATCH(A233,'Semrush Data'!$A$1:$A$20000,0),MATCH("Keyword Difficulty*",'Semrush Data'!$A$1:$Z$1,0)),"")</f>
        <v>8</v>
      </c>
      <c r="I233" s="13" t="n">
        <f aca="false">IFERROR(INDEX('Semrush Data'!$A$1:$Z$20000,MATCH(A233,'Semrush Data'!$A$1:$A$20000,0),MATCH("CPC*",'Semrush Data'!$A$1:$Z$1,0)),"")</f>
        <v>0.69</v>
      </c>
      <c r="J233" s="7" t="str">
        <f aca="false">IFERROR(INDEX('Semrush Data'!$A$1:$Z$20000,MATCH(A233,'Semrush Data'!$A$1:$A$20000,0),MATCH("Intent",'Semrush Data'!$A$1:$Z$1,0)),"")</f>
        <v>Informational</v>
      </c>
    </row>
    <row r="234" customFormat="false" ht="15" hidden="false" customHeight="true" outlineLevel="0" collapsed="false">
      <c r="A234" s="7" t="s">
        <v>174</v>
      </c>
      <c r="B234" s="7" t="s">
        <v>151</v>
      </c>
      <c r="C234" s="7" t="n">
        <v>1</v>
      </c>
      <c r="D234" s="7" t="n">
        <v>3</v>
      </c>
      <c r="E234" s="7" t="n">
        <v>7</v>
      </c>
      <c r="F234" s="7" t="s">
        <v>6719</v>
      </c>
      <c r="G234" s="12" t="n">
        <f aca="false">IFERROR(INDEX('Semrush Data'!$A$1:$Z$20000,MATCH(A234,'Semrush Data'!$A$1:$A$20000,0),MATCH("Volume",'Semrush Data'!$A$1:$Z$1,0)),"")</f>
        <v>140</v>
      </c>
      <c r="H234" s="7" t="n">
        <f aca="false">IFERROR(INDEX('Semrush Data'!$A$1:$Z$20000,MATCH(A234,'Semrush Data'!$A$1:$A$20000,0),MATCH("Keyword Difficulty*",'Semrush Data'!$A$1:$Z$1,0)),"")</f>
        <v>16</v>
      </c>
      <c r="I234" s="13" t="n">
        <f aca="false">IFERROR(INDEX('Semrush Data'!$A$1:$Z$20000,MATCH(A234,'Semrush Data'!$A$1:$A$20000,0),MATCH("CPC*",'Semrush Data'!$A$1:$Z$1,0)),"")</f>
        <v>0.94</v>
      </c>
      <c r="J234" s="7" t="str">
        <f aca="false">IFERROR(INDEX('Semrush Data'!$A$1:$Z$20000,MATCH(A234,'Semrush Data'!$A$1:$A$20000,0),MATCH("Intent",'Semrush Data'!$A$1:$Z$1,0)),"")</f>
        <v>Informational</v>
      </c>
    </row>
    <row r="235" customFormat="false" ht="15" hidden="false" customHeight="true" outlineLevel="0" collapsed="false">
      <c r="A235" s="7" t="s">
        <v>6720</v>
      </c>
      <c r="B235" s="7" t="s">
        <v>151</v>
      </c>
      <c r="C235" s="7" t="n">
        <v>1</v>
      </c>
      <c r="D235" s="7" t="n">
        <v>3</v>
      </c>
      <c r="E235" s="7" t="n">
        <v>2</v>
      </c>
      <c r="F235" s="7" t="s">
        <v>6705</v>
      </c>
      <c r="G235" s="12" t="n">
        <f aca="false">IFERROR(INDEX('Semrush Data'!$A$1:$Z$20000,MATCH(A235,'Semrush Data'!$A$1:$A$20000,0),MATCH("Volume",'Semrush Data'!$A$1:$Z$1,0)),"")</f>
        <v>0</v>
      </c>
      <c r="H235" s="7" t="n">
        <f aca="false">IFERROR(INDEX('Semrush Data'!$A$1:$Z$20000,MATCH(A235,'Semrush Data'!$A$1:$A$20000,0),MATCH("Keyword Difficulty*",'Semrush Data'!$A$1:$Z$1,0)),"")</f>
        <v>32</v>
      </c>
      <c r="I235" s="13" t="n">
        <f aca="false">IFERROR(INDEX('Semrush Data'!$A$1:$Z$20000,MATCH(A235,'Semrush Data'!$A$1:$A$20000,0),MATCH("CPC*",'Semrush Data'!$A$1:$Z$1,0)),"")</f>
        <v>0</v>
      </c>
      <c r="J235" s="7" t="str">
        <f aca="false">IFERROR(INDEX('Semrush Data'!$A$1:$Z$20000,MATCH(A235,'Semrush Data'!$A$1:$A$20000,0),MATCH("Intent",'Semrush Data'!$A$1:$Z$1,0)),"")</f>
        <v>Informational</v>
      </c>
    </row>
    <row r="236" customFormat="false" ht="15" hidden="false" customHeight="true" outlineLevel="0" collapsed="false">
      <c r="A236" s="7" t="s">
        <v>165</v>
      </c>
      <c r="B236" s="7" t="s">
        <v>151</v>
      </c>
      <c r="C236" s="7" t="n">
        <v>1</v>
      </c>
      <c r="D236" s="7" t="n">
        <v>3</v>
      </c>
      <c r="E236" s="7" t="n">
        <v>4</v>
      </c>
      <c r="F236" s="7" t="s">
        <v>6721</v>
      </c>
      <c r="G236" s="12" t="n">
        <f aca="false">IFERROR(INDEX('Semrush Data'!$A$1:$Z$20000,MATCH(A236,'Semrush Data'!$A$1:$A$20000,0),MATCH("Volume",'Semrush Data'!$A$1:$Z$1,0)),"")</f>
        <v>480</v>
      </c>
      <c r="H236" s="7" t="n">
        <f aca="false">IFERROR(INDEX('Semrush Data'!$A$1:$Z$20000,MATCH(A236,'Semrush Data'!$A$1:$A$20000,0),MATCH("Keyword Difficulty*",'Semrush Data'!$A$1:$Z$1,0)),"")</f>
        <v>21</v>
      </c>
      <c r="I236" s="13" t="n">
        <f aca="false">IFERROR(INDEX('Semrush Data'!$A$1:$Z$20000,MATCH(A236,'Semrush Data'!$A$1:$A$20000,0),MATCH("CPC*",'Semrush Data'!$A$1:$Z$1,0)),"")</f>
        <v>1.16</v>
      </c>
      <c r="J236" s="7" t="str">
        <f aca="false">IFERROR(INDEX('Semrush Data'!$A$1:$Z$20000,MATCH(A236,'Semrush Data'!$A$1:$A$20000,0),MATCH("Intent",'Semrush Data'!$A$1:$Z$1,0)),"")</f>
        <v>Informational Commercial</v>
      </c>
    </row>
    <row r="237" customFormat="false" ht="15" hidden="false" customHeight="true" outlineLevel="0" collapsed="false">
      <c r="A237" s="7" t="s">
        <v>166</v>
      </c>
      <c r="B237" s="7" t="s">
        <v>151</v>
      </c>
      <c r="C237" s="7" t="n">
        <v>1</v>
      </c>
      <c r="D237" s="7" t="n">
        <v>3</v>
      </c>
      <c r="E237" s="7" t="n">
        <v>8</v>
      </c>
      <c r="F237" s="7" t="s">
        <v>6678</v>
      </c>
      <c r="G237" s="12" t="n">
        <f aca="false">IFERROR(INDEX('Semrush Data'!$A$1:$Z$20000,MATCH(A237,'Semrush Data'!$A$1:$A$20000,0),MATCH("Volume",'Semrush Data'!$A$1:$Z$1,0)),"")</f>
        <v>480</v>
      </c>
      <c r="H237" s="7" t="n">
        <f aca="false">IFERROR(INDEX('Semrush Data'!$A$1:$Z$20000,MATCH(A237,'Semrush Data'!$A$1:$A$20000,0),MATCH("Keyword Difficulty*",'Semrush Data'!$A$1:$Z$1,0)),"")</f>
        <v>59</v>
      </c>
      <c r="I237" s="13" t="n">
        <f aca="false">IFERROR(INDEX('Semrush Data'!$A$1:$Z$20000,MATCH(A237,'Semrush Data'!$A$1:$A$20000,0),MATCH("CPC*",'Semrush Data'!$A$1:$Z$1,0)),"")</f>
        <v>1.4</v>
      </c>
      <c r="J237" s="7" t="str">
        <f aca="false">IFERROR(INDEX('Semrush Data'!$A$1:$Z$20000,MATCH(A237,'Semrush Data'!$A$1:$A$20000,0),MATCH("Intent",'Semrush Data'!$A$1:$Z$1,0)),"")</f>
        <v>Informational</v>
      </c>
    </row>
    <row r="238" customFormat="false" ht="15" hidden="false" customHeight="true" outlineLevel="0" collapsed="false">
      <c r="A238" s="7" t="s">
        <v>162</v>
      </c>
      <c r="B238" s="7" t="s">
        <v>151</v>
      </c>
      <c r="C238" s="7" t="n">
        <v>1</v>
      </c>
      <c r="D238" s="7" t="n">
        <v>3</v>
      </c>
      <c r="E238" s="7" t="n">
        <v>2</v>
      </c>
      <c r="F238" s="7" t="s">
        <v>6722</v>
      </c>
      <c r="G238" s="12" t="n">
        <f aca="false">IFERROR(INDEX('Semrush Data'!$A$1:$Z$20000,MATCH(A238,'Semrush Data'!$A$1:$A$20000,0),MATCH("Volume",'Semrush Data'!$A$1:$Z$1,0)),"")</f>
        <v>720</v>
      </c>
      <c r="H238" s="7" t="n">
        <f aca="false">IFERROR(INDEX('Semrush Data'!$A$1:$Z$20000,MATCH(A238,'Semrush Data'!$A$1:$A$20000,0),MATCH("Keyword Difficulty*",'Semrush Data'!$A$1:$Z$1,0)),"")</f>
        <v>20</v>
      </c>
      <c r="I238" s="13" t="n">
        <f aca="false">IFERROR(INDEX('Semrush Data'!$A$1:$Z$20000,MATCH(A238,'Semrush Data'!$A$1:$A$20000,0),MATCH("CPC*",'Semrush Data'!$A$1:$Z$1,0)),"")</f>
        <v>0.57</v>
      </c>
      <c r="J238" s="7" t="str">
        <f aca="false">IFERROR(INDEX('Semrush Data'!$A$1:$Z$20000,MATCH(A238,'Semrush Data'!$A$1:$A$20000,0),MATCH("Intent",'Semrush Data'!$A$1:$Z$1,0)),"")</f>
        <v>Informational</v>
      </c>
    </row>
    <row r="239" customFormat="false" ht="15" hidden="false" customHeight="true" outlineLevel="0" collapsed="false">
      <c r="A239" s="7" t="s">
        <v>6723</v>
      </c>
      <c r="B239" s="7" t="s">
        <v>151</v>
      </c>
      <c r="C239" s="7" t="n">
        <v>1</v>
      </c>
      <c r="D239" s="7" t="n">
        <v>3</v>
      </c>
      <c r="E239" s="7" t="n">
        <v>4</v>
      </c>
      <c r="F239" s="7" t="s">
        <v>6724</v>
      </c>
      <c r="G239" s="12" t="n">
        <f aca="false">IFERROR(INDEX('Semrush Data'!$A$1:$Z$20000,MATCH(A239,'Semrush Data'!$A$1:$A$20000,0),MATCH("Volume",'Semrush Data'!$A$1:$Z$1,0)),"")</f>
        <v>0</v>
      </c>
      <c r="H239" s="7" t="n">
        <f aca="false">IFERROR(INDEX('Semrush Data'!$A$1:$Z$20000,MATCH(A239,'Semrush Data'!$A$1:$A$20000,0),MATCH("Keyword Difficulty*",'Semrush Data'!$A$1:$Z$1,0)),"")</f>
        <v>11</v>
      </c>
      <c r="I239" s="13" t="n">
        <f aca="false">IFERROR(INDEX('Semrush Data'!$A$1:$Z$20000,MATCH(A239,'Semrush Data'!$A$1:$A$20000,0),MATCH("CPC*",'Semrush Data'!$A$1:$Z$1,0)),"")</f>
        <v>0</v>
      </c>
      <c r="J239" s="7" t="str">
        <f aca="false">IFERROR(INDEX('Semrush Data'!$A$1:$Z$20000,MATCH(A239,'Semrush Data'!$A$1:$A$20000,0),MATCH("Intent",'Semrush Data'!$A$1:$Z$1,0)),"")</f>
        <v>Informational</v>
      </c>
    </row>
    <row r="240" customFormat="false" ht="15" hidden="false" customHeight="true" outlineLevel="0" collapsed="false">
      <c r="A240" s="7" t="s">
        <v>157</v>
      </c>
      <c r="B240" s="7" t="s">
        <v>151</v>
      </c>
      <c r="C240" s="7" t="n">
        <v>1</v>
      </c>
      <c r="D240" s="7" t="n">
        <v>3</v>
      </c>
      <c r="E240" s="7" t="n">
        <v>2</v>
      </c>
      <c r="F240" s="7" t="s">
        <v>6725</v>
      </c>
      <c r="G240" s="12" t="n">
        <f aca="false">IFERROR(INDEX('Semrush Data'!$A$1:$Z$20000,MATCH(A240,'Semrush Data'!$A$1:$A$20000,0),MATCH("Volume",'Semrush Data'!$A$1:$Z$1,0)),"")</f>
        <v>1600</v>
      </c>
      <c r="H240" s="7" t="n">
        <f aca="false">IFERROR(INDEX('Semrush Data'!$A$1:$Z$20000,MATCH(A240,'Semrush Data'!$A$1:$A$20000,0),MATCH("Keyword Difficulty*",'Semrush Data'!$A$1:$Z$1,0)),"")</f>
        <v>31</v>
      </c>
      <c r="I240" s="13" t="n">
        <f aca="false">IFERROR(INDEX('Semrush Data'!$A$1:$Z$20000,MATCH(A240,'Semrush Data'!$A$1:$A$20000,0),MATCH("CPC*",'Semrush Data'!$A$1:$Z$1,0)),"")</f>
        <v>1.05</v>
      </c>
      <c r="J240" s="7" t="str">
        <f aca="false">IFERROR(INDEX('Semrush Data'!$A$1:$Z$20000,MATCH(A240,'Semrush Data'!$A$1:$A$20000,0),MATCH("Intent",'Semrush Data'!$A$1:$Z$1,0)),"")</f>
        <v>Informational</v>
      </c>
    </row>
    <row r="241" customFormat="false" ht="15" hidden="false" customHeight="true" outlineLevel="0" collapsed="false">
      <c r="A241" s="7" t="s">
        <v>176</v>
      </c>
      <c r="B241" s="7" t="s">
        <v>151</v>
      </c>
      <c r="C241" s="7" t="n">
        <v>1</v>
      </c>
      <c r="D241" s="7" t="n">
        <v>3</v>
      </c>
      <c r="E241" s="7" t="n">
        <v>1</v>
      </c>
      <c r="F241" s="7" t="s">
        <v>420</v>
      </c>
      <c r="G241" s="12" t="n">
        <f aca="false">IFERROR(INDEX('Semrush Data'!$A$1:$Z$20000,MATCH(A241,'Semrush Data'!$A$1:$A$20000,0),MATCH("Volume",'Semrush Data'!$A$1:$Z$1,0)),"")</f>
        <v>90</v>
      </c>
      <c r="H241" s="7" t="n">
        <f aca="false">IFERROR(INDEX('Semrush Data'!$A$1:$Z$20000,MATCH(A241,'Semrush Data'!$A$1:$A$20000,0),MATCH("Keyword Difficulty*",'Semrush Data'!$A$1:$Z$1,0)),"")</f>
        <v>22</v>
      </c>
      <c r="I241" s="13" t="n">
        <f aca="false">IFERROR(INDEX('Semrush Data'!$A$1:$Z$20000,MATCH(A241,'Semrush Data'!$A$1:$A$20000,0),MATCH("CPC*",'Semrush Data'!$A$1:$Z$1,0)),"")</f>
        <v>0.95</v>
      </c>
      <c r="J241" s="7" t="str">
        <f aca="false">IFERROR(INDEX('Semrush Data'!$A$1:$Z$20000,MATCH(A241,'Semrush Data'!$A$1:$A$20000,0),MATCH("Intent",'Semrush Data'!$A$1:$Z$1,0)),"")</f>
        <v>Informational Commercial</v>
      </c>
    </row>
    <row r="242" customFormat="false" ht="15" hidden="false" customHeight="true" outlineLevel="0" collapsed="false">
      <c r="A242" s="7" t="s">
        <v>6726</v>
      </c>
      <c r="B242" s="7" t="s">
        <v>151</v>
      </c>
      <c r="C242" s="7" t="n">
        <v>1</v>
      </c>
      <c r="D242" s="7" t="n">
        <v>3</v>
      </c>
      <c r="E242" s="7" t="n">
        <v>1</v>
      </c>
      <c r="F242" s="7" t="s">
        <v>1132</v>
      </c>
      <c r="G242" s="12" t="n">
        <f aca="false">IFERROR(INDEX('Semrush Data'!$A$1:$Z$20000,MATCH(A242,'Semrush Data'!$A$1:$A$20000,0),MATCH("Volume",'Semrush Data'!$A$1:$Z$1,0)),"")</f>
        <v>0</v>
      </c>
      <c r="H242" s="7" t="n">
        <f aca="false">IFERROR(INDEX('Semrush Data'!$A$1:$Z$20000,MATCH(A242,'Semrush Data'!$A$1:$A$20000,0),MATCH("Keyword Difficulty*",'Semrush Data'!$A$1:$Z$1,0)),"")</f>
        <v>26</v>
      </c>
      <c r="I242" s="13" t="n">
        <f aca="false">IFERROR(INDEX('Semrush Data'!$A$1:$Z$20000,MATCH(A242,'Semrush Data'!$A$1:$A$20000,0),MATCH("CPC*",'Semrush Data'!$A$1:$Z$1,0)),"")</f>
        <v>0</v>
      </c>
      <c r="J242" s="7" t="str">
        <f aca="false">IFERROR(INDEX('Semrush Data'!$A$1:$Z$20000,MATCH(A242,'Semrush Data'!$A$1:$A$20000,0),MATCH("Intent",'Semrush Data'!$A$1:$Z$1,0)),"")</f>
        <v>Commercial</v>
      </c>
    </row>
    <row r="243" customFormat="false" ht="15" hidden="false" customHeight="true" outlineLevel="0" collapsed="false">
      <c r="A243" s="7" t="s">
        <v>167</v>
      </c>
      <c r="B243" s="7" t="s">
        <v>151</v>
      </c>
      <c r="C243" s="7" t="n">
        <v>1</v>
      </c>
      <c r="D243" s="7" t="n">
        <v>3</v>
      </c>
      <c r="E243" s="7" t="n">
        <v>2</v>
      </c>
      <c r="F243" s="7" t="s">
        <v>6727</v>
      </c>
      <c r="G243" s="12" t="n">
        <f aca="false">IFERROR(INDEX('Semrush Data'!$A$1:$Z$20000,MATCH(A243,'Semrush Data'!$A$1:$A$20000,0),MATCH("Volume",'Semrush Data'!$A$1:$Z$1,0)),"")</f>
        <v>320</v>
      </c>
      <c r="H243" s="7" t="n">
        <f aca="false">IFERROR(INDEX('Semrush Data'!$A$1:$Z$20000,MATCH(A243,'Semrush Data'!$A$1:$A$20000,0),MATCH("Keyword Difficulty*",'Semrush Data'!$A$1:$Z$1,0)),"")</f>
        <v>10</v>
      </c>
      <c r="I243" s="13" t="n">
        <f aca="false">IFERROR(INDEX('Semrush Data'!$A$1:$Z$20000,MATCH(A243,'Semrush Data'!$A$1:$A$20000,0),MATCH("CPC*",'Semrush Data'!$A$1:$Z$1,0)),"")</f>
        <v>1.92</v>
      </c>
      <c r="J243" s="7" t="str">
        <f aca="false">IFERROR(INDEX('Semrush Data'!$A$1:$Z$20000,MATCH(A243,'Semrush Data'!$A$1:$A$20000,0),MATCH("Intent",'Semrush Data'!$A$1:$Z$1,0)),"")</f>
        <v>Informational</v>
      </c>
    </row>
    <row r="244" customFormat="false" ht="15" hidden="false" customHeight="true" outlineLevel="0" collapsed="false">
      <c r="A244" s="7" t="s">
        <v>6728</v>
      </c>
      <c r="B244" s="7" t="s">
        <v>151</v>
      </c>
      <c r="C244" s="7" t="n">
        <v>1</v>
      </c>
      <c r="D244" s="7" t="n">
        <v>3</v>
      </c>
      <c r="E244" s="7" t="n">
        <v>5</v>
      </c>
      <c r="F244" s="7" t="s">
        <v>6729</v>
      </c>
      <c r="G244" s="12" t="n">
        <f aca="false">IFERROR(INDEX('Semrush Data'!$A$1:$Z$20000,MATCH(A244,'Semrush Data'!$A$1:$A$20000,0),MATCH("Volume",'Semrush Data'!$A$1:$Z$1,0)),"")</f>
        <v>0</v>
      </c>
      <c r="H244" s="7" t="n">
        <f aca="false">IFERROR(INDEX('Semrush Data'!$A$1:$Z$20000,MATCH(A244,'Semrush Data'!$A$1:$A$20000,0),MATCH("Keyword Difficulty*",'Semrush Data'!$A$1:$Z$1,0)),"")</f>
        <v>29</v>
      </c>
      <c r="I244" s="13" t="n">
        <f aca="false">IFERROR(INDEX('Semrush Data'!$A$1:$Z$20000,MATCH(A244,'Semrush Data'!$A$1:$A$20000,0),MATCH("CPC*",'Semrush Data'!$A$1:$Z$1,0)),"")</f>
        <v>0</v>
      </c>
      <c r="J244" s="7" t="str">
        <f aca="false">IFERROR(INDEX('Semrush Data'!$A$1:$Z$20000,MATCH(A244,'Semrush Data'!$A$1:$A$20000,0),MATCH("Intent",'Semrush Data'!$A$1:$Z$1,0)),"")</f>
        <v>Informational</v>
      </c>
    </row>
    <row r="245" customFormat="false" ht="15" hidden="false" customHeight="true" outlineLevel="0" collapsed="false">
      <c r="A245" s="7" t="s">
        <v>164</v>
      </c>
      <c r="B245" s="7" t="s">
        <v>151</v>
      </c>
      <c r="C245" s="7" t="n">
        <v>1</v>
      </c>
      <c r="D245" s="7" t="n">
        <v>3</v>
      </c>
      <c r="E245" s="7" t="n">
        <v>1</v>
      </c>
      <c r="F245" s="7" t="s">
        <v>452</v>
      </c>
      <c r="G245" s="12" t="n">
        <f aca="false">IFERROR(INDEX('Semrush Data'!$A$1:$Z$20000,MATCH(A245,'Semrush Data'!$A$1:$A$20000,0),MATCH("Volume",'Semrush Data'!$A$1:$Z$1,0)),"")</f>
        <v>720</v>
      </c>
      <c r="H245" s="7" t="n">
        <f aca="false">IFERROR(INDEX('Semrush Data'!$A$1:$Z$20000,MATCH(A245,'Semrush Data'!$A$1:$A$20000,0),MATCH("Keyword Difficulty*",'Semrush Data'!$A$1:$Z$1,0)),"")</f>
        <v>16</v>
      </c>
      <c r="I245" s="13" t="n">
        <f aca="false">IFERROR(INDEX('Semrush Data'!$A$1:$Z$20000,MATCH(A245,'Semrush Data'!$A$1:$A$20000,0),MATCH("CPC*",'Semrush Data'!$A$1:$Z$1,0)),"")</f>
        <v>0.77</v>
      </c>
      <c r="J245" s="7" t="str">
        <f aca="false">IFERROR(INDEX('Semrush Data'!$A$1:$Z$20000,MATCH(A245,'Semrush Data'!$A$1:$A$20000,0),MATCH("Intent",'Semrush Data'!$A$1:$Z$1,0)),"")</f>
        <v>Informational</v>
      </c>
    </row>
    <row r="246" customFormat="false" ht="15" hidden="false" customHeight="true" outlineLevel="0" collapsed="false">
      <c r="A246" s="7" t="s">
        <v>6730</v>
      </c>
      <c r="B246" s="7" t="s">
        <v>151</v>
      </c>
      <c r="C246" s="7" t="n">
        <v>1</v>
      </c>
      <c r="D246" s="7" t="n">
        <v>3</v>
      </c>
      <c r="E246" s="7" t="n">
        <v>3</v>
      </c>
      <c r="F246" s="7" t="s">
        <v>6731</v>
      </c>
      <c r="G246" s="12" t="n">
        <f aca="false">IFERROR(INDEX('Semrush Data'!$A$1:$Z$20000,MATCH(A246,'Semrush Data'!$A$1:$A$20000,0),MATCH("Volume",'Semrush Data'!$A$1:$Z$1,0)),"")</f>
        <v>0</v>
      </c>
      <c r="H246" s="7" t="n">
        <f aca="false">IFERROR(INDEX('Semrush Data'!$A$1:$Z$20000,MATCH(A246,'Semrush Data'!$A$1:$A$20000,0),MATCH("Keyword Difficulty*",'Semrush Data'!$A$1:$Z$1,0)),"")</f>
        <v>24</v>
      </c>
      <c r="I246" s="13" t="n">
        <f aca="false">IFERROR(INDEX('Semrush Data'!$A$1:$Z$20000,MATCH(A246,'Semrush Data'!$A$1:$A$20000,0),MATCH("CPC*",'Semrush Data'!$A$1:$Z$1,0)),"")</f>
        <v>0</v>
      </c>
      <c r="J246" s="7" t="str">
        <f aca="false">IFERROR(INDEX('Semrush Data'!$A$1:$Z$20000,MATCH(A246,'Semrush Data'!$A$1:$A$20000,0),MATCH("Intent",'Semrush Data'!$A$1:$Z$1,0)),"")</f>
        <v>Commercial</v>
      </c>
    </row>
    <row r="247" customFormat="false" ht="15" hidden="false" customHeight="true" outlineLevel="0" collapsed="false">
      <c r="A247" s="7" t="s">
        <v>6732</v>
      </c>
      <c r="B247" s="7" t="s">
        <v>151</v>
      </c>
      <c r="C247" s="7" t="n">
        <v>1</v>
      </c>
      <c r="D247" s="7" t="n">
        <v>3</v>
      </c>
      <c r="E247" s="7" t="n">
        <v>3</v>
      </c>
      <c r="F247" s="7" t="s">
        <v>6733</v>
      </c>
      <c r="G247" s="12" t="n">
        <f aca="false">IFERROR(INDEX('Semrush Data'!$A$1:$Z$20000,MATCH(A247,'Semrush Data'!$A$1:$A$20000,0),MATCH("Volume",'Semrush Data'!$A$1:$Z$1,0)),"")</f>
        <v>0</v>
      </c>
      <c r="H247" s="7" t="n">
        <f aca="false">IFERROR(INDEX('Semrush Data'!$A$1:$Z$20000,MATCH(A247,'Semrush Data'!$A$1:$A$20000,0),MATCH("Keyword Difficulty*",'Semrush Data'!$A$1:$Z$1,0)),"")</f>
        <v>13</v>
      </c>
      <c r="I247" s="13" t="n">
        <f aca="false">IFERROR(INDEX('Semrush Data'!$A$1:$Z$20000,MATCH(A247,'Semrush Data'!$A$1:$A$20000,0),MATCH("CPC*",'Semrush Data'!$A$1:$Z$1,0)),"")</f>
        <v>0</v>
      </c>
      <c r="J247" s="7" t="str">
        <f aca="false">IFERROR(INDEX('Semrush Data'!$A$1:$Z$20000,MATCH(A247,'Semrush Data'!$A$1:$A$20000,0),MATCH("Intent",'Semrush Data'!$A$1:$Z$1,0)),"")</f>
        <v>Transactional</v>
      </c>
    </row>
    <row r="248" customFormat="false" ht="15" hidden="false" customHeight="true" outlineLevel="0" collapsed="false">
      <c r="A248" s="7" t="s">
        <v>6734</v>
      </c>
      <c r="B248" s="7" t="s">
        <v>151</v>
      </c>
      <c r="C248" s="7" t="n">
        <v>1</v>
      </c>
      <c r="D248" s="7" t="n">
        <v>3</v>
      </c>
      <c r="E248" s="7" t="n">
        <v>1</v>
      </c>
      <c r="F248" s="7" t="s">
        <v>523</v>
      </c>
      <c r="G248" s="12" t="n">
        <f aca="false">IFERROR(INDEX('Semrush Data'!$A$1:$Z$20000,MATCH(A248,'Semrush Data'!$A$1:$A$20000,0),MATCH("Volume",'Semrush Data'!$A$1:$Z$1,0)),"")</f>
        <v>0</v>
      </c>
      <c r="H248" s="7" t="n">
        <f aca="false">IFERROR(INDEX('Semrush Data'!$A$1:$Z$20000,MATCH(A248,'Semrush Data'!$A$1:$A$20000,0),MATCH("Keyword Difficulty*",'Semrush Data'!$A$1:$Z$1,0)),"")</f>
        <v>18</v>
      </c>
      <c r="I248" s="13" t="n">
        <f aca="false">IFERROR(INDEX('Semrush Data'!$A$1:$Z$20000,MATCH(A248,'Semrush Data'!$A$1:$A$20000,0),MATCH("CPC*",'Semrush Data'!$A$1:$Z$1,0)),"")</f>
        <v>0</v>
      </c>
      <c r="J248" s="7" t="str">
        <f aca="false">IFERROR(INDEX('Semrush Data'!$A$1:$Z$20000,MATCH(A248,'Semrush Data'!$A$1:$A$20000,0),MATCH("Intent",'Semrush Data'!$A$1:$Z$1,0)),"")</f>
        <v>Transactional Navigational</v>
      </c>
    </row>
    <row r="249" customFormat="false" ht="15" hidden="false" customHeight="true" outlineLevel="0" collapsed="false">
      <c r="A249" s="7" t="s">
        <v>6735</v>
      </c>
      <c r="B249" s="7" t="s">
        <v>151</v>
      </c>
      <c r="C249" s="7" t="n">
        <v>1</v>
      </c>
      <c r="D249" s="7" t="n">
        <v>3</v>
      </c>
      <c r="E249" s="7" t="n">
        <v>5</v>
      </c>
      <c r="F249" s="7" t="s">
        <v>6736</v>
      </c>
      <c r="G249" s="12" t="n">
        <f aca="false">IFERROR(INDEX('Semrush Data'!$A$1:$Z$20000,MATCH(A249,'Semrush Data'!$A$1:$A$20000,0),MATCH("Volume",'Semrush Data'!$A$1:$Z$1,0)),"")</f>
        <v>0</v>
      </c>
      <c r="H249" s="7" t="n">
        <f aca="false">IFERROR(INDEX('Semrush Data'!$A$1:$Z$20000,MATCH(A249,'Semrush Data'!$A$1:$A$20000,0),MATCH("Keyword Difficulty*",'Semrush Data'!$A$1:$Z$1,0)),"")</f>
        <v>22</v>
      </c>
      <c r="I249" s="13" t="n">
        <f aca="false">IFERROR(INDEX('Semrush Data'!$A$1:$Z$20000,MATCH(A249,'Semrush Data'!$A$1:$A$20000,0),MATCH("CPC*",'Semrush Data'!$A$1:$Z$1,0)),"")</f>
        <v>0</v>
      </c>
      <c r="J249" s="7" t="str">
        <f aca="false">IFERROR(INDEX('Semrush Data'!$A$1:$Z$20000,MATCH(A249,'Semrush Data'!$A$1:$A$20000,0),MATCH("Intent",'Semrush Data'!$A$1:$Z$1,0)),"")</f>
        <v>Transactional</v>
      </c>
    </row>
    <row r="250" customFormat="false" ht="15" hidden="false" customHeight="true" outlineLevel="0" collapsed="false">
      <c r="A250" s="7" t="s">
        <v>6737</v>
      </c>
      <c r="B250" s="7" t="s">
        <v>151</v>
      </c>
      <c r="C250" s="7" t="n">
        <v>1</v>
      </c>
      <c r="D250" s="7" t="n">
        <v>3</v>
      </c>
      <c r="E250" s="7" t="n">
        <v>1</v>
      </c>
      <c r="F250" s="7" t="s">
        <v>410</v>
      </c>
      <c r="G250" s="12" t="n">
        <f aca="false">IFERROR(INDEX('Semrush Data'!$A$1:$Z$20000,MATCH(A250,'Semrush Data'!$A$1:$A$20000,0),MATCH("Volume",'Semrush Data'!$A$1:$Z$1,0)),"")</f>
        <v>20</v>
      </c>
      <c r="H250" s="7" t="n">
        <f aca="false">IFERROR(INDEX('Semrush Data'!$A$1:$Z$20000,MATCH(A250,'Semrush Data'!$A$1:$A$20000,0),MATCH("Keyword Difficulty*",'Semrush Data'!$A$1:$Z$1,0)),"")</f>
        <v>10</v>
      </c>
      <c r="I250" s="13" t="n">
        <f aca="false">IFERROR(INDEX('Semrush Data'!$A$1:$Z$20000,MATCH(A250,'Semrush Data'!$A$1:$A$20000,0),MATCH("CPC*",'Semrush Data'!$A$1:$Z$1,0)),"")</f>
        <v>0</v>
      </c>
      <c r="J250" s="7" t="str">
        <f aca="false">IFERROR(INDEX('Semrush Data'!$A$1:$Z$20000,MATCH(A250,'Semrush Data'!$A$1:$A$20000,0),MATCH("Intent",'Semrush Data'!$A$1:$Z$1,0)),"")</f>
        <v>Informational Transactional</v>
      </c>
    </row>
    <row r="251" customFormat="false" ht="15" hidden="false" customHeight="true" outlineLevel="0" collapsed="false">
      <c r="A251" s="7" t="s">
        <v>6738</v>
      </c>
      <c r="B251" s="7" t="s">
        <v>151</v>
      </c>
      <c r="C251" s="7" t="n">
        <v>1</v>
      </c>
      <c r="D251" s="7" t="n">
        <v>3</v>
      </c>
      <c r="E251" s="7" t="n">
        <v>3</v>
      </c>
      <c r="F251" s="7" t="s">
        <v>6739</v>
      </c>
      <c r="G251" s="12" t="n">
        <f aca="false">IFERROR(INDEX('Semrush Data'!$A$1:$Z$20000,MATCH(A251,'Semrush Data'!$A$1:$A$20000,0),MATCH("Volume",'Semrush Data'!$A$1:$Z$1,0)),"")</f>
        <v>20</v>
      </c>
      <c r="H251" s="7" t="n">
        <f aca="false">IFERROR(INDEX('Semrush Data'!$A$1:$Z$20000,MATCH(A251,'Semrush Data'!$A$1:$A$20000,0),MATCH("Keyword Difficulty*",'Semrush Data'!$A$1:$Z$1,0)),"")</f>
        <v>8</v>
      </c>
      <c r="I251" s="13" t="n">
        <f aca="false">IFERROR(INDEX('Semrush Data'!$A$1:$Z$20000,MATCH(A251,'Semrush Data'!$A$1:$A$20000,0),MATCH("CPC*",'Semrush Data'!$A$1:$Z$1,0)),"")</f>
        <v>0</v>
      </c>
      <c r="J251" s="7" t="str">
        <f aca="false">IFERROR(INDEX('Semrush Data'!$A$1:$Z$20000,MATCH(A251,'Semrush Data'!$A$1:$A$20000,0),MATCH("Intent",'Semrush Data'!$A$1:$Z$1,0)),"")</f>
        <v>Informational Transactional</v>
      </c>
    </row>
    <row r="252" customFormat="false" ht="15" hidden="false" customHeight="true" outlineLevel="0" collapsed="false">
      <c r="A252" s="7" t="s">
        <v>6740</v>
      </c>
      <c r="B252" s="7" t="s">
        <v>151</v>
      </c>
      <c r="C252" s="7" t="n">
        <v>1</v>
      </c>
      <c r="D252" s="7" t="n">
        <v>3</v>
      </c>
      <c r="E252" s="7" t="n">
        <v>3</v>
      </c>
      <c r="F252" s="7" t="s">
        <v>6741</v>
      </c>
      <c r="G252" s="12" t="n">
        <f aca="false">IFERROR(INDEX('Semrush Data'!$A$1:$Z$20000,MATCH(A252,'Semrush Data'!$A$1:$A$20000,0),MATCH("Volume",'Semrush Data'!$A$1:$Z$1,0)),"")</f>
        <v>0</v>
      </c>
      <c r="H252" s="7" t="n">
        <f aca="false">IFERROR(INDEX('Semrush Data'!$A$1:$Z$20000,MATCH(A252,'Semrush Data'!$A$1:$A$20000,0),MATCH("Keyword Difficulty*",'Semrush Data'!$A$1:$Z$1,0)),"")</f>
        <v>22</v>
      </c>
      <c r="I252" s="13" t="n">
        <f aca="false">IFERROR(INDEX('Semrush Data'!$A$1:$Z$20000,MATCH(A252,'Semrush Data'!$A$1:$A$20000,0),MATCH("CPC*",'Semrush Data'!$A$1:$Z$1,0)),"")</f>
        <v>0</v>
      </c>
      <c r="J252" s="7" t="str">
        <f aca="false">IFERROR(INDEX('Semrush Data'!$A$1:$Z$20000,MATCH(A252,'Semrush Data'!$A$1:$A$20000,0),MATCH("Intent",'Semrush Data'!$A$1:$Z$1,0)),"")</f>
        <v>Informational Transactional</v>
      </c>
    </row>
    <row r="253" customFormat="false" ht="15" hidden="false" customHeight="true" outlineLevel="0" collapsed="false">
      <c r="A253" s="7" t="s">
        <v>6742</v>
      </c>
      <c r="B253" s="7" t="s">
        <v>151</v>
      </c>
      <c r="C253" s="7" t="n">
        <v>1</v>
      </c>
      <c r="D253" s="7" t="n">
        <v>3</v>
      </c>
      <c r="E253" s="7" t="n">
        <v>3</v>
      </c>
      <c r="F253" s="7" t="s">
        <v>6743</v>
      </c>
      <c r="G253" s="12" t="n">
        <f aca="false">IFERROR(INDEX('Semrush Data'!$A$1:$Z$20000,MATCH(A253,'Semrush Data'!$A$1:$A$20000,0),MATCH("Volume",'Semrush Data'!$A$1:$Z$1,0)),"")</f>
        <v>30</v>
      </c>
      <c r="H253" s="7" t="n">
        <f aca="false">IFERROR(INDEX('Semrush Data'!$A$1:$Z$20000,MATCH(A253,'Semrush Data'!$A$1:$A$20000,0),MATCH("Keyword Difficulty*",'Semrush Data'!$A$1:$Z$1,0)),"")</f>
        <v>10</v>
      </c>
      <c r="I253" s="13" t="n">
        <f aca="false">IFERROR(INDEX('Semrush Data'!$A$1:$Z$20000,MATCH(A253,'Semrush Data'!$A$1:$A$20000,0),MATCH("CPC*",'Semrush Data'!$A$1:$Z$1,0)),"")</f>
        <v>0.57</v>
      </c>
      <c r="J253" s="7" t="str">
        <f aca="false">IFERROR(INDEX('Semrush Data'!$A$1:$Z$20000,MATCH(A253,'Semrush Data'!$A$1:$A$20000,0),MATCH("Intent",'Semrush Data'!$A$1:$Z$1,0)),"")</f>
        <v>Informational Transactional</v>
      </c>
    </row>
    <row r="254" customFormat="false" ht="15" hidden="false" customHeight="true" outlineLevel="0" collapsed="false">
      <c r="A254" s="7" t="s">
        <v>6744</v>
      </c>
      <c r="B254" s="7" t="s">
        <v>151</v>
      </c>
      <c r="C254" s="7" t="n">
        <v>1</v>
      </c>
      <c r="D254" s="7" t="n">
        <v>3</v>
      </c>
      <c r="E254" s="7" t="n">
        <v>3</v>
      </c>
      <c r="F254" s="7" t="s">
        <v>6712</v>
      </c>
      <c r="G254" s="12" t="n">
        <f aca="false">IFERROR(INDEX('Semrush Data'!$A$1:$Z$20000,MATCH(A254,'Semrush Data'!$A$1:$A$20000,0),MATCH("Volume",'Semrush Data'!$A$1:$Z$1,0)),"")</f>
        <v>0</v>
      </c>
      <c r="H254" s="7" t="n">
        <f aca="false">IFERROR(INDEX('Semrush Data'!$A$1:$Z$20000,MATCH(A254,'Semrush Data'!$A$1:$A$20000,0),MATCH("Keyword Difficulty*",'Semrush Data'!$A$1:$Z$1,0)),"")</f>
        <v>13</v>
      </c>
      <c r="I254" s="13" t="n">
        <f aca="false">IFERROR(INDEX('Semrush Data'!$A$1:$Z$20000,MATCH(A254,'Semrush Data'!$A$1:$A$20000,0),MATCH("CPC*",'Semrush Data'!$A$1:$Z$1,0)),"")</f>
        <v>0</v>
      </c>
      <c r="J254" s="7" t="str">
        <f aca="false">IFERROR(INDEX('Semrush Data'!$A$1:$Z$20000,MATCH(A254,'Semrush Data'!$A$1:$A$20000,0),MATCH("Intent",'Semrush Data'!$A$1:$Z$1,0)),"")</f>
        <v>Informational Transactional</v>
      </c>
    </row>
    <row r="255" customFormat="false" ht="15" hidden="false" customHeight="true" outlineLevel="0" collapsed="false">
      <c r="A255" s="7" t="s">
        <v>6745</v>
      </c>
      <c r="B255" s="7" t="s">
        <v>151</v>
      </c>
      <c r="C255" s="7" t="n">
        <v>1</v>
      </c>
      <c r="D255" s="7" t="n">
        <v>3</v>
      </c>
      <c r="E255" s="7" t="n">
        <v>1</v>
      </c>
      <c r="F255" s="7" t="s">
        <v>558</v>
      </c>
      <c r="G255" s="12" t="n">
        <f aca="false">IFERROR(INDEX('Semrush Data'!$A$1:$Z$20000,MATCH(A255,'Semrush Data'!$A$1:$A$20000,0),MATCH("Volume",'Semrush Data'!$A$1:$Z$1,0)),"")</f>
        <v>20</v>
      </c>
      <c r="H255" s="7" t="n">
        <f aca="false">IFERROR(INDEX('Semrush Data'!$A$1:$Z$20000,MATCH(A255,'Semrush Data'!$A$1:$A$20000,0),MATCH("Keyword Difficulty*",'Semrush Data'!$A$1:$Z$1,0)),"")</f>
        <v>8</v>
      </c>
      <c r="I255" s="13" t="n">
        <f aca="false">IFERROR(INDEX('Semrush Data'!$A$1:$Z$20000,MATCH(A255,'Semrush Data'!$A$1:$A$20000,0),MATCH("CPC*",'Semrush Data'!$A$1:$Z$1,0)),"")</f>
        <v>0</v>
      </c>
      <c r="J255" s="7" t="str">
        <f aca="false">IFERROR(INDEX('Semrush Data'!$A$1:$Z$20000,MATCH(A255,'Semrush Data'!$A$1:$A$20000,0),MATCH("Intent",'Semrush Data'!$A$1:$Z$1,0)),"")</f>
        <v>Informational Transactional</v>
      </c>
    </row>
    <row r="256" customFormat="false" ht="15" hidden="false" customHeight="true" outlineLevel="0" collapsed="false">
      <c r="A256" s="7" t="s">
        <v>6746</v>
      </c>
      <c r="B256" s="7" t="s">
        <v>151</v>
      </c>
      <c r="C256" s="7" t="n">
        <v>1</v>
      </c>
      <c r="D256" s="7" t="n">
        <v>3</v>
      </c>
      <c r="E256" s="7" t="n">
        <v>4</v>
      </c>
      <c r="F256" s="7" t="s">
        <v>6747</v>
      </c>
      <c r="G256" s="12" t="n">
        <f aca="false">IFERROR(INDEX('Semrush Data'!$A$1:$Z$20000,MATCH(A256,'Semrush Data'!$A$1:$A$20000,0),MATCH("Volume",'Semrush Data'!$A$1:$Z$1,0)),"")</f>
        <v>20</v>
      </c>
      <c r="H256" s="7" t="n">
        <f aca="false">IFERROR(INDEX('Semrush Data'!$A$1:$Z$20000,MATCH(A256,'Semrush Data'!$A$1:$A$20000,0),MATCH("Keyword Difficulty*",'Semrush Data'!$A$1:$Z$1,0)),"")</f>
        <v>25</v>
      </c>
      <c r="I256" s="13" t="n">
        <f aca="false">IFERROR(INDEX('Semrush Data'!$A$1:$Z$20000,MATCH(A256,'Semrush Data'!$A$1:$A$20000,0),MATCH("CPC*",'Semrush Data'!$A$1:$Z$1,0)),"")</f>
        <v>0</v>
      </c>
      <c r="J256" s="7" t="str">
        <f aca="false">IFERROR(INDEX('Semrush Data'!$A$1:$Z$20000,MATCH(A256,'Semrush Data'!$A$1:$A$20000,0),MATCH("Intent",'Semrush Data'!$A$1:$Z$1,0)),"")</f>
        <v>Informational Transactional</v>
      </c>
    </row>
    <row r="257" customFormat="false" ht="15" hidden="false" customHeight="true" outlineLevel="0" collapsed="false">
      <c r="A257" s="7" t="s">
        <v>6748</v>
      </c>
      <c r="B257" s="7" t="s">
        <v>151</v>
      </c>
      <c r="C257" s="7" t="n">
        <v>1</v>
      </c>
      <c r="D257" s="7" t="n">
        <v>3</v>
      </c>
      <c r="E257" s="7" t="n">
        <v>1</v>
      </c>
      <c r="F257" s="7" t="s">
        <v>489</v>
      </c>
      <c r="G257" s="12" t="n">
        <f aca="false">IFERROR(INDEX('Semrush Data'!$A$1:$Z$20000,MATCH(A257,'Semrush Data'!$A$1:$A$20000,0),MATCH("Volume",'Semrush Data'!$A$1:$Z$1,0)),"")</f>
        <v>20</v>
      </c>
      <c r="H257" s="7" t="n">
        <f aca="false">IFERROR(INDEX('Semrush Data'!$A$1:$Z$20000,MATCH(A257,'Semrush Data'!$A$1:$A$20000,0),MATCH("Keyword Difficulty*",'Semrush Data'!$A$1:$Z$1,0)),"")</f>
        <v>15</v>
      </c>
      <c r="I257" s="13" t="n">
        <f aca="false">IFERROR(INDEX('Semrush Data'!$A$1:$Z$20000,MATCH(A257,'Semrush Data'!$A$1:$A$20000,0),MATCH("CPC*",'Semrush Data'!$A$1:$Z$1,0)),"")</f>
        <v>0</v>
      </c>
      <c r="J257" s="7" t="str">
        <f aca="false">IFERROR(INDEX('Semrush Data'!$A$1:$Z$20000,MATCH(A257,'Semrush Data'!$A$1:$A$20000,0),MATCH("Intent",'Semrush Data'!$A$1:$Z$1,0)),"")</f>
        <v>Informational Transactional</v>
      </c>
    </row>
    <row r="258" customFormat="false" ht="15" hidden="false" customHeight="true" outlineLevel="0" collapsed="false">
      <c r="A258" s="7" t="s">
        <v>6749</v>
      </c>
      <c r="B258" s="7" t="s">
        <v>151</v>
      </c>
      <c r="C258" s="7" t="n">
        <v>1</v>
      </c>
      <c r="D258" s="7" t="n">
        <v>3</v>
      </c>
      <c r="E258" s="7" t="n">
        <v>8</v>
      </c>
      <c r="F258" s="7" t="s">
        <v>6750</v>
      </c>
      <c r="G258" s="12" t="n">
        <f aca="false">IFERROR(INDEX('Semrush Data'!$A$1:$Z$20000,MATCH(A258,'Semrush Data'!$A$1:$A$20000,0),MATCH("Volume",'Semrush Data'!$A$1:$Z$1,0)),"")</f>
        <v>20</v>
      </c>
      <c r="H258" s="7" t="n">
        <f aca="false">IFERROR(INDEX('Semrush Data'!$A$1:$Z$20000,MATCH(A258,'Semrush Data'!$A$1:$A$20000,0),MATCH("Keyword Difficulty*",'Semrush Data'!$A$1:$Z$1,0)),"")</f>
        <v>10</v>
      </c>
      <c r="I258" s="13" t="n">
        <f aca="false">IFERROR(INDEX('Semrush Data'!$A$1:$Z$20000,MATCH(A258,'Semrush Data'!$A$1:$A$20000,0),MATCH("CPC*",'Semrush Data'!$A$1:$Z$1,0)),"")</f>
        <v>0.29</v>
      </c>
      <c r="J258" s="7" t="str">
        <f aca="false">IFERROR(INDEX('Semrush Data'!$A$1:$Z$20000,MATCH(A258,'Semrush Data'!$A$1:$A$20000,0),MATCH("Intent",'Semrush Data'!$A$1:$Z$1,0)),"")</f>
        <v>Informational Transactional</v>
      </c>
    </row>
    <row r="259" customFormat="false" ht="15" hidden="false" customHeight="true" outlineLevel="0" collapsed="false">
      <c r="A259" s="7" t="s">
        <v>6751</v>
      </c>
      <c r="B259" s="7" t="s">
        <v>151</v>
      </c>
      <c r="C259" s="7" t="n">
        <v>1</v>
      </c>
      <c r="D259" s="7" t="n">
        <v>3</v>
      </c>
      <c r="E259" s="7" t="n">
        <v>3</v>
      </c>
      <c r="F259" s="7" t="s">
        <v>6752</v>
      </c>
      <c r="G259" s="12" t="n">
        <f aca="false">IFERROR(INDEX('Semrush Data'!$A$1:$Z$20000,MATCH(A259,'Semrush Data'!$A$1:$A$20000,0),MATCH("Volume",'Semrush Data'!$A$1:$Z$1,0)),"")</f>
        <v>0</v>
      </c>
      <c r="H259" s="7" t="n">
        <f aca="false">IFERROR(INDEX('Semrush Data'!$A$1:$Z$20000,MATCH(A259,'Semrush Data'!$A$1:$A$20000,0),MATCH("Keyword Difficulty*",'Semrush Data'!$A$1:$Z$1,0)),"")</f>
        <v>30</v>
      </c>
      <c r="I259" s="13" t="n">
        <f aca="false">IFERROR(INDEX('Semrush Data'!$A$1:$Z$20000,MATCH(A259,'Semrush Data'!$A$1:$A$20000,0),MATCH("CPC*",'Semrush Data'!$A$1:$Z$1,0)),"")</f>
        <v>0</v>
      </c>
      <c r="J259" s="7" t="str">
        <f aca="false">IFERROR(INDEX('Semrush Data'!$A$1:$Z$20000,MATCH(A259,'Semrush Data'!$A$1:$A$20000,0),MATCH("Intent",'Semrush Data'!$A$1:$Z$1,0)),"")</f>
        <v>Informational Transactional</v>
      </c>
    </row>
    <row r="260" customFormat="false" ht="15" hidden="false" customHeight="true" outlineLevel="0" collapsed="false">
      <c r="A260" s="7" t="s">
        <v>6753</v>
      </c>
      <c r="B260" s="7" t="s">
        <v>151</v>
      </c>
      <c r="C260" s="7" t="n">
        <v>1</v>
      </c>
      <c r="D260" s="7" t="n">
        <v>3</v>
      </c>
      <c r="E260" s="7" t="n">
        <v>2</v>
      </c>
      <c r="F260" s="7" t="s">
        <v>6705</v>
      </c>
      <c r="G260" s="12" t="n">
        <f aca="false">IFERROR(INDEX('Semrush Data'!$A$1:$Z$20000,MATCH(A260,'Semrush Data'!$A$1:$A$20000,0),MATCH("Volume",'Semrush Data'!$A$1:$Z$1,0)),"")</f>
        <v>0</v>
      </c>
      <c r="H260" s="7" t="n">
        <f aca="false">IFERROR(INDEX('Semrush Data'!$A$1:$Z$20000,MATCH(A260,'Semrush Data'!$A$1:$A$20000,0),MATCH("Keyword Difficulty*",'Semrush Data'!$A$1:$Z$1,0)),"")</f>
        <v>5</v>
      </c>
      <c r="I260" s="13" t="n">
        <f aca="false">IFERROR(INDEX('Semrush Data'!$A$1:$Z$20000,MATCH(A260,'Semrush Data'!$A$1:$A$20000,0),MATCH("CPC*",'Semrush Data'!$A$1:$Z$1,0)),"")</f>
        <v>0</v>
      </c>
      <c r="J260" s="7" t="str">
        <f aca="false">IFERROR(INDEX('Semrush Data'!$A$1:$Z$20000,MATCH(A260,'Semrush Data'!$A$1:$A$20000,0),MATCH("Intent",'Semrush Data'!$A$1:$Z$1,0)),"")</f>
        <v>Informational Transactional</v>
      </c>
    </row>
    <row r="261" customFormat="false" ht="15" hidden="false" customHeight="true" outlineLevel="0" collapsed="false">
      <c r="A261" s="7" t="s">
        <v>6754</v>
      </c>
      <c r="B261" s="7" t="s">
        <v>151</v>
      </c>
      <c r="C261" s="7" t="n">
        <v>1</v>
      </c>
      <c r="D261" s="7" t="n">
        <v>3</v>
      </c>
      <c r="E261" s="7" t="n">
        <v>2</v>
      </c>
      <c r="F261" s="7" t="s">
        <v>6755</v>
      </c>
      <c r="G261" s="12" t="n">
        <f aca="false">IFERROR(INDEX('Semrush Data'!$A$1:$Z$20000,MATCH(A261,'Semrush Data'!$A$1:$A$20000,0),MATCH("Volume",'Semrush Data'!$A$1:$Z$1,0)),"")</f>
        <v>20</v>
      </c>
      <c r="H261" s="7" t="n">
        <f aca="false">IFERROR(INDEX('Semrush Data'!$A$1:$Z$20000,MATCH(A261,'Semrush Data'!$A$1:$A$20000,0),MATCH("Keyword Difficulty*",'Semrush Data'!$A$1:$Z$1,0)),"")</f>
        <v>13</v>
      </c>
      <c r="I261" s="13" t="n">
        <f aca="false">IFERROR(INDEX('Semrush Data'!$A$1:$Z$20000,MATCH(A261,'Semrush Data'!$A$1:$A$20000,0),MATCH("CPC*",'Semrush Data'!$A$1:$Z$1,0)),"")</f>
        <v>0.47</v>
      </c>
      <c r="J261" s="7" t="str">
        <f aca="false">IFERROR(INDEX('Semrush Data'!$A$1:$Z$20000,MATCH(A261,'Semrush Data'!$A$1:$A$20000,0),MATCH("Intent",'Semrush Data'!$A$1:$Z$1,0)),"")</f>
        <v>Informational Transactional</v>
      </c>
    </row>
    <row r="262" customFormat="false" ht="15" hidden="false" customHeight="true" outlineLevel="0" collapsed="false">
      <c r="A262" s="7" t="s">
        <v>1681</v>
      </c>
      <c r="B262" s="7" t="s">
        <v>151</v>
      </c>
      <c r="C262" s="7" t="n">
        <v>1</v>
      </c>
      <c r="D262" s="7" t="n">
        <v>3</v>
      </c>
      <c r="E262" s="7" t="n">
        <v>35</v>
      </c>
      <c r="F262" s="7" t="s">
        <v>6756</v>
      </c>
      <c r="G262" s="12" t="n">
        <f aca="false">IFERROR(INDEX('Semrush Data'!$A$1:$Z$20000,MATCH(A262,'Semrush Data'!$A$1:$A$20000,0),MATCH("Volume",'Semrush Data'!$A$1:$Z$1,0)),"")</f>
        <v>0</v>
      </c>
      <c r="H262" s="7" t="n">
        <f aca="false">IFERROR(INDEX('Semrush Data'!$A$1:$Z$20000,MATCH(A262,'Semrush Data'!$A$1:$A$20000,0),MATCH("Keyword Difficulty*",'Semrush Data'!$A$1:$Z$1,0)),"")</f>
        <v>22</v>
      </c>
      <c r="I262" s="13" t="n">
        <f aca="false">IFERROR(INDEX('Semrush Data'!$A$1:$Z$20000,MATCH(A262,'Semrush Data'!$A$1:$A$20000,0),MATCH("CPC*",'Semrush Data'!$A$1:$Z$1,0)),"")</f>
        <v>0</v>
      </c>
      <c r="J262" s="7" t="str">
        <f aca="false">IFERROR(INDEX('Semrush Data'!$A$1:$Z$20000,MATCH(A262,'Semrush Data'!$A$1:$A$20000,0),MATCH("Intent",'Semrush Data'!$A$1:$Z$1,0)),"")</f>
        <v>Informational Transactional</v>
      </c>
    </row>
    <row r="263" customFormat="false" ht="15" hidden="false" customHeight="true" outlineLevel="0" collapsed="false">
      <c r="A263" s="7" t="s">
        <v>6757</v>
      </c>
      <c r="B263" s="7" t="s">
        <v>151</v>
      </c>
      <c r="C263" s="7" t="n">
        <v>1</v>
      </c>
      <c r="D263" s="7" t="n">
        <v>3</v>
      </c>
      <c r="E263" s="7" t="n">
        <v>1</v>
      </c>
      <c r="F263" s="7" t="s">
        <v>353</v>
      </c>
      <c r="G263" s="12" t="n">
        <f aca="false">IFERROR(INDEX('Semrush Data'!$A$1:$Z$20000,MATCH(A263,'Semrush Data'!$A$1:$A$20000,0),MATCH("Volume",'Semrush Data'!$A$1:$Z$1,0)),"")</f>
        <v>20</v>
      </c>
      <c r="H263" s="7" t="n">
        <f aca="false">IFERROR(INDEX('Semrush Data'!$A$1:$Z$20000,MATCH(A263,'Semrush Data'!$A$1:$A$20000,0),MATCH("Keyword Difficulty*",'Semrush Data'!$A$1:$Z$1,0)),"")</f>
        <v>18</v>
      </c>
      <c r="I263" s="13" t="n">
        <f aca="false">IFERROR(INDEX('Semrush Data'!$A$1:$Z$20000,MATCH(A263,'Semrush Data'!$A$1:$A$20000,0),MATCH("CPC*",'Semrush Data'!$A$1:$Z$1,0)),"")</f>
        <v>0</v>
      </c>
      <c r="J263" s="7" t="str">
        <f aca="false">IFERROR(INDEX('Semrush Data'!$A$1:$Z$20000,MATCH(A263,'Semrush Data'!$A$1:$A$20000,0),MATCH("Intent",'Semrush Data'!$A$1:$Z$1,0)),"")</f>
        <v>Informational Transactional</v>
      </c>
    </row>
    <row r="264" customFormat="false" ht="15" hidden="false" customHeight="true" outlineLevel="0" collapsed="false">
      <c r="A264" s="7" t="s">
        <v>6758</v>
      </c>
      <c r="B264" s="7" t="s">
        <v>151</v>
      </c>
      <c r="C264" s="7" t="n">
        <v>1</v>
      </c>
      <c r="D264" s="7" t="n">
        <v>3</v>
      </c>
      <c r="E264" s="7" t="n">
        <v>2</v>
      </c>
      <c r="F264" s="7" t="s">
        <v>6759</v>
      </c>
      <c r="G264" s="12" t="n">
        <f aca="false">IFERROR(INDEX('Semrush Data'!$A$1:$Z$20000,MATCH(A264,'Semrush Data'!$A$1:$A$20000,0),MATCH("Volume",'Semrush Data'!$A$1:$Z$1,0)),"")</f>
        <v>20</v>
      </c>
      <c r="H264" s="7" t="n">
        <f aca="false">IFERROR(INDEX('Semrush Data'!$A$1:$Z$20000,MATCH(A264,'Semrush Data'!$A$1:$A$20000,0),MATCH("Keyword Difficulty*",'Semrush Data'!$A$1:$Z$1,0)),"")</f>
        <v>16</v>
      </c>
      <c r="I264" s="13" t="n">
        <f aca="false">IFERROR(INDEX('Semrush Data'!$A$1:$Z$20000,MATCH(A264,'Semrush Data'!$A$1:$A$20000,0),MATCH("CPC*",'Semrush Data'!$A$1:$Z$1,0)),"")</f>
        <v>0</v>
      </c>
      <c r="J264" s="7" t="str">
        <f aca="false">IFERROR(INDEX('Semrush Data'!$A$1:$Z$20000,MATCH(A264,'Semrush Data'!$A$1:$A$20000,0),MATCH("Intent",'Semrush Data'!$A$1:$Z$1,0)),"")</f>
        <v>Informational Transactional</v>
      </c>
    </row>
    <row r="265" customFormat="false" ht="15" hidden="false" customHeight="true" outlineLevel="0" collapsed="false">
      <c r="A265" s="7" t="s">
        <v>6760</v>
      </c>
      <c r="B265" s="7" t="s">
        <v>239</v>
      </c>
      <c r="C265" s="7" t="n">
        <v>1</v>
      </c>
      <c r="D265" s="7" t="n">
        <v>3</v>
      </c>
      <c r="E265" s="7" t="n">
        <v>0</v>
      </c>
      <c r="F265" s="7"/>
      <c r="G265" s="12" t="n">
        <f aca="false">IFERROR(INDEX('Semrush Data'!$A$1:$Z$20000,MATCH(A265,'Semrush Data'!$A$1:$A$20000,0),MATCH("Volume",'Semrush Data'!$A$1:$Z$1,0)),"")</f>
        <v>0</v>
      </c>
      <c r="H265" s="7" t="n">
        <f aca="false">IFERROR(INDEX('Semrush Data'!$A$1:$Z$20000,MATCH(A265,'Semrush Data'!$A$1:$A$20000,0),MATCH("Keyword Difficulty*",'Semrush Data'!$A$1:$Z$1,0)),"")</f>
        <v>14</v>
      </c>
      <c r="I265" s="13" t="n">
        <f aca="false">IFERROR(INDEX('Semrush Data'!$A$1:$Z$20000,MATCH(A265,'Semrush Data'!$A$1:$A$20000,0),MATCH("CPC*",'Semrush Data'!$A$1:$Z$1,0)),"")</f>
        <v>0</v>
      </c>
      <c r="J265" s="7" t="str">
        <f aca="false">IFERROR(INDEX('Semrush Data'!$A$1:$Z$20000,MATCH(A265,'Semrush Data'!$A$1:$A$20000,0),MATCH("Intent",'Semrush Data'!$A$1:$Z$1,0)),"")</f>
        <v>Transactional Navigational</v>
      </c>
    </row>
    <row r="266" customFormat="false" ht="15" hidden="false" customHeight="true" outlineLevel="0" collapsed="false">
      <c r="A266" s="7" t="s">
        <v>6761</v>
      </c>
      <c r="B266" s="7" t="s">
        <v>239</v>
      </c>
      <c r="C266" s="7" t="n">
        <v>1</v>
      </c>
      <c r="D266" s="7" t="n">
        <v>3</v>
      </c>
      <c r="E266" s="7" t="n">
        <v>0</v>
      </c>
      <c r="F266" s="7"/>
      <c r="G266" s="12" t="n">
        <f aca="false">IFERROR(INDEX('Semrush Data'!$A$1:$Z$20000,MATCH(A266,'Semrush Data'!$A$1:$A$20000,0),MATCH("Volume",'Semrush Data'!$A$1:$Z$1,0)),"")</f>
        <v>0</v>
      </c>
      <c r="H266" s="7" t="n">
        <f aca="false">IFERROR(INDEX('Semrush Data'!$A$1:$Z$20000,MATCH(A266,'Semrush Data'!$A$1:$A$20000,0),MATCH("Keyword Difficulty*",'Semrush Data'!$A$1:$Z$1,0)),"")</f>
        <v>22</v>
      </c>
      <c r="I266" s="13" t="n">
        <f aca="false">IFERROR(INDEX('Semrush Data'!$A$1:$Z$20000,MATCH(A266,'Semrush Data'!$A$1:$A$20000,0),MATCH("CPC*",'Semrush Data'!$A$1:$Z$1,0)),"")</f>
        <v>0</v>
      </c>
      <c r="J266" s="7" t="str">
        <f aca="false">IFERROR(INDEX('Semrush Data'!$A$1:$Z$20000,MATCH(A266,'Semrush Data'!$A$1:$A$20000,0),MATCH("Intent",'Semrush Data'!$A$1:$Z$1,0)),"")</f>
        <v>Transactional Navigational</v>
      </c>
    </row>
    <row r="267" customFormat="false" ht="15" hidden="false" customHeight="true" outlineLevel="0" collapsed="false">
      <c r="A267" s="7" t="s">
        <v>6762</v>
      </c>
      <c r="B267" s="7" t="s">
        <v>239</v>
      </c>
      <c r="C267" s="7" t="n">
        <v>1</v>
      </c>
      <c r="D267" s="7" t="n">
        <v>3</v>
      </c>
      <c r="E267" s="7" t="n">
        <v>0</v>
      </c>
      <c r="F267" s="7"/>
      <c r="G267" s="12" t="n">
        <f aca="false">IFERROR(INDEX('Semrush Data'!$A$1:$Z$20000,MATCH(A267,'Semrush Data'!$A$1:$A$20000,0),MATCH("Volume",'Semrush Data'!$A$1:$Z$1,0)),"")</f>
        <v>0</v>
      </c>
      <c r="H267" s="7" t="n">
        <f aca="false">IFERROR(INDEX('Semrush Data'!$A$1:$Z$20000,MATCH(A267,'Semrush Data'!$A$1:$A$20000,0),MATCH("Keyword Difficulty*",'Semrush Data'!$A$1:$Z$1,0)),"")</f>
        <v>22</v>
      </c>
      <c r="I267" s="13" t="n">
        <f aca="false">IFERROR(INDEX('Semrush Data'!$A$1:$Z$20000,MATCH(A267,'Semrush Data'!$A$1:$A$20000,0),MATCH("CPC*",'Semrush Data'!$A$1:$Z$1,0)),"")</f>
        <v>0</v>
      </c>
      <c r="J267" s="7" t="str">
        <f aca="false">IFERROR(INDEX('Semrush Data'!$A$1:$Z$20000,MATCH(A267,'Semrush Data'!$A$1:$A$20000,0),MATCH("Intent",'Semrush Data'!$A$1:$Z$1,0)),"")</f>
        <v>Transactional</v>
      </c>
    </row>
    <row r="268" customFormat="false" ht="15" hidden="false" customHeight="true" outlineLevel="0" collapsed="false">
      <c r="A268" s="7" t="s">
        <v>6763</v>
      </c>
      <c r="B268" s="7" t="s">
        <v>239</v>
      </c>
      <c r="C268" s="7" t="n">
        <v>1</v>
      </c>
      <c r="D268" s="7" t="n">
        <v>3</v>
      </c>
      <c r="E268" s="7" t="n">
        <v>0</v>
      </c>
      <c r="F268" s="7"/>
      <c r="G268" s="12" t="n">
        <f aca="false">IFERROR(INDEX('Semrush Data'!$A$1:$Z$20000,MATCH(A268,'Semrush Data'!$A$1:$A$20000,0),MATCH("Volume",'Semrush Data'!$A$1:$Z$1,0)),"")</f>
        <v>0</v>
      </c>
      <c r="H268" s="7" t="n">
        <f aca="false">IFERROR(INDEX('Semrush Data'!$A$1:$Z$20000,MATCH(A268,'Semrush Data'!$A$1:$A$20000,0),MATCH("Keyword Difficulty*",'Semrush Data'!$A$1:$Z$1,0)),"")</f>
        <v>20</v>
      </c>
      <c r="I268" s="13" t="n">
        <f aca="false">IFERROR(INDEX('Semrush Data'!$A$1:$Z$20000,MATCH(A268,'Semrush Data'!$A$1:$A$20000,0),MATCH("CPC*",'Semrush Data'!$A$1:$Z$1,0)),"")</f>
        <v>0</v>
      </c>
      <c r="J268" s="7" t="str">
        <f aca="false">IFERROR(INDEX('Semrush Data'!$A$1:$Z$20000,MATCH(A268,'Semrush Data'!$A$1:$A$20000,0),MATCH("Intent",'Semrush Data'!$A$1:$Z$1,0)),"")</f>
        <v>Transactional</v>
      </c>
    </row>
    <row r="269" customFormat="false" ht="15" hidden="false" customHeight="true" outlineLevel="0" collapsed="false">
      <c r="A269" s="7" t="s">
        <v>6764</v>
      </c>
      <c r="B269" s="7" t="s">
        <v>239</v>
      </c>
      <c r="C269" s="7" t="n">
        <v>1</v>
      </c>
      <c r="D269" s="7" t="n">
        <v>3</v>
      </c>
      <c r="E269" s="7" t="n">
        <v>0</v>
      </c>
      <c r="F269" s="7"/>
      <c r="G269" s="12" t="n">
        <f aca="false">IFERROR(INDEX('Semrush Data'!$A$1:$Z$20000,MATCH(A269,'Semrush Data'!$A$1:$A$20000,0),MATCH("Volume",'Semrush Data'!$A$1:$Z$1,0)),"")</f>
        <v>0</v>
      </c>
      <c r="H269" s="7" t="n">
        <f aca="false">IFERROR(INDEX('Semrush Data'!$A$1:$Z$20000,MATCH(A269,'Semrush Data'!$A$1:$A$20000,0),MATCH("Keyword Difficulty*",'Semrush Data'!$A$1:$Z$1,0)),"")</f>
        <v>25</v>
      </c>
      <c r="I269" s="13" t="n">
        <f aca="false">IFERROR(INDEX('Semrush Data'!$A$1:$Z$20000,MATCH(A269,'Semrush Data'!$A$1:$A$20000,0),MATCH("CPC*",'Semrush Data'!$A$1:$Z$1,0)),"")</f>
        <v>0</v>
      </c>
      <c r="J269" s="7" t="str">
        <f aca="false">IFERROR(INDEX('Semrush Data'!$A$1:$Z$20000,MATCH(A269,'Semrush Data'!$A$1:$A$20000,0),MATCH("Intent",'Semrush Data'!$A$1:$Z$1,0)),"")</f>
        <v>Transactional</v>
      </c>
    </row>
    <row r="270" customFormat="false" ht="15" hidden="false" customHeight="true" outlineLevel="0" collapsed="false">
      <c r="A270" s="7" t="s">
        <v>6765</v>
      </c>
      <c r="B270" s="7" t="s">
        <v>239</v>
      </c>
      <c r="C270" s="7" t="n">
        <v>1</v>
      </c>
      <c r="D270" s="7" t="n">
        <v>3</v>
      </c>
      <c r="E270" s="7" t="n">
        <v>0</v>
      </c>
      <c r="F270" s="7"/>
      <c r="G270" s="12" t="n">
        <f aca="false">IFERROR(INDEX('Semrush Data'!$A$1:$Z$20000,MATCH(A270,'Semrush Data'!$A$1:$A$20000,0),MATCH("Volume",'Semrush Data'!$A$1:$Z$1,0)),"")</f>
        <v>0</v>
      </c>
      <c r="H270" s="7" t="n">
        <f aca="false">IFERROR(INDEX('Semrush Data'!$A$1:$Z$20000,MATCH(A270,'Semrush Data'!$A$1:$A$20000,0),MATCH("Keyword Difficulty*",'Semrush Data'!$A$1:$Z$1,0)),"")</f>
        <v>17</v>
      </c>
      <c r="I270" s="13" t="n">
        <f aca="false">IFERROR(INDEX('Semrush Data'!$A$1:$Z$20000,MATCH(A270,'Semrush Data'!$A$1:$A$20000,0),MATCH("CPC*",'Semrush Data'!$A$1:$Z$1,0)),"")</f>
        <v>0</v>
      </c>
      <c r="J270" s="7" t="str">
        <f aca="false">IFERROR(INDEX('Semrush Data'!$A$1:$Z$20000,MATCH(A270,'Semrush Data'!$A$1:$A$20000,0),MATCH("Intent",'Semrush Data'!$A$1:$Z$1,0)),"")</f>
        <v>Transactional</v>
      </c>
    </row>
    <row r="271" customFormat="false" ht="15" hidden="false" customHeight="true" outlineLevel="0" collapsed="false">
      <c r="A271" s="7" t="s">
        <v>6766</v>
      </c>
      <c r="B271" s="7" t="s">
        <v>239</v>
      </c>
      <c r="C271" s="7" t="n">
        <v>1</v>
      </c>
      <c r="D271" s="7" t="n">
        <v>3</v>
      </c>
      <c r="E271" s="7" t="n">
        <v>0</v>
      </c>
      <c r="F271" s="7"/>
      <c r="G271" s="12" t="n">
        <f aca="false">IFERROR(INDEX('Semrush Data'!$A$1:$Z$20000,MATCH(A271,'Semrush Data'!$A$1:$A$20000,0),MATCH("Volume",'Semrush Data'!$A$1:$Z$1,0)),"")</f>
        <v>0</v>
      </c>
      <c r="H271" s="7" t="n">
        <f aca="false">IFERROR(INDEX('Semrush Data'!$A$1:$Z$20000,MATCH(A271,'Semrush Data'!$A$1:$A$20000,0),MATCH("Keyword Difficulty*",'Semrush Data'!$A$1:$Z$1,0)),"")</f>
        <v>30</v>
      </c>
      <c r="I271" s="13" t="n">
        <f aca="false">IFERROR(INDEX('Semrush Data'!$A$1:$Z$20000,MATCH(A271,'Semrush Data'!$A$1:$A$20000,0),MATCH("CPC*",'Semrush Data'!$A$1:$Z$1,0)),"")</f>
        <v>0</v>
      </c>
      <c r="J271" s="7" t="str">
        <f aca="false">IFERROR(INDEX('Semrush Data'!$A$1:$Z$20000,MATCH(A271,'Semrush Data'!$A$1:$A$20000,0),MATCH("Intent",'Semrush Data'!$A$1:$Z$1,0)),"")</f>
        <v>Transactional</v>
      </c>
    </row>
    <row r="272" customFormat="false" ht="15" hidden="false" customHeight="true" outlineLevel="0" collapsed="false">
      <c r="A272" s="7" t="s">
        <v>6767</v>
      </c>
      <c r="B272" s="7" t="s">
        <v>239</v>
      </c>
      <c r="C272" s="7" t="n">
        <v>1</v>
      </c>
      <c r="D272" s="7" t="n">
        <v>3</v>
      </c>
      <c r="E272" s="7" t="n">
        <v>0</v>
      </c>
      <c r="F272" s="7"/>
      <c r="G272" s="12" t="n">
        <f aca="false">IFERROR(INDEX('Semrush Data'!$A$1:$Z$20000,MATCH(A272,'Semrush Data'!$A$1:$A$20000,0),MATCH("Volume",'Semrush Data'!$A$1:$Z$1,0)),"")</f>
        <v>0</v>
      </c>
      <c r="H272" s="7" t="n">
        <f aca="false">IFERROR(INDEX('Semrush Data'!$A$1:$Z$20000,MATCH(A272,'Semrush Data'!$A$1:$A$20000,0),MATCH("Keyword Difficulty*",'Semrush Data'!$A$1:$Z$1,0)),"")</f>
        <v>20</v>
      </c>
      <c r="I272" s="13" t="n">
        <f aca="false">IFERROR(INDEX('Semrush Data'!$A$1:$Z$20000,MATCH(A272,'Semrush Data'!$A$1:$A$20000,0),MATCH("CPC*",'Semrush Data'!$A$1:$Z$1,0)),"")</f>
        <v>0</v>
      </c>
      <c r="J272" s="7" t="str">
        <f aca="false">IFERROR(INDEX('Semrush Data'!$A$1:$Z$20000,MATCH(A272,'Semrush Data'!$A$1:$A$20000,0),MATCH("Intent",'Semrush Data'!$A$1:$Z$1,0)),"")</f>
        <v>Transactional</v>
      </c>
    </row>
    <row r="273" customFormat="false" ht="15" hidden="false" customHeight="true" outlineLevel="0" collapsed="false">
      <c r="A273" s="7" t="s">
        <v>6768</v>
      </c>
      <c r="B273" s="7" t="s">
        <v>239</v>
      </c>
      <c r="C273" s="7" t="n">
        <v>1</v>
      </c>
      <c r="D273" s="7" t="n">
        <v>3</v>
      </c>
      <c r="E273" s="7" t="n">
        <v>0</v>
      </c>
      <c r="F273" s="7"/>
      <c r="G273" s="12" t="n">
        <f aca="false">IFERROR(INDEX('Semrush Data'!$A$1:$Z$20000,MATCH(A273,'Semrush Data'!$A$1:$A$20000,0),MATCH("Volume",'Semrush Data'!$A$1:$Z$1,0)),"")</f>
        <v>0</v>
      </c>
      <c r="H273" s="7" t="n">
        <f aca="false">IFERROR(INDEX('Semrush Data'!$A$1:$Z$20000,MATCH(A273,'Semrush Data'!$A$1:$A$20000,0),MATCH("Keyword Difficulty*",'Semrush Data'!$A$1:$Z$1,0)),"")</f>
        <v>20</v>
      </c>
      <c r="I273" s="13" t="n">
        <f aca="false">IFERROR(INDEX('Semrush Data'!$A$1:$Z$20000,MATCH(A273,'Semrush Data'!$A$1:$A$20000,0),MATCH("CPC*",'Semrush Data'!$A$1:$Z$1,0)),"")</f>
        <v>0</v>
      </c>
      <c r="J273" s="7" t="str">
        <f aca="false">IFERROR(INDEX('Semrush Data'!$A$1:$Z$20000,MATCH(A273,'Semrush Data'!$A$1:$A$20000,0),MATCH("Intent",'Semrush Data'!$A$1:$Z$1,0)),"")</f>
        <v>Informational Transactional</v>
      </c>
    </row>
    <row r="274" customFormat="false" ht="15" hidden="false" customHeight="true" outlineLevel="0" collapsed="false">
      <c r="A274" s="7" t="s">
        <v>6769</v>
      </c>
      <c r="B274" s="7" t="s">
        <v>239</v>
      </c>
      <c r="C274" s="7" t="n">
        <v>1</v>
      </c>
      <c r="D274" s="7" t="n">
        <v>3</v>
      </c>
      <c r="E274" s="7" t="n">
        <v>0</v>
      </c>
      <c r="F274" s="7"/>
      <c r="G274" s="12" t="n">
        <f aca="false">IFERROR(INDEX('Semrush Data'!$A$1:$Z$20000,MATCH(A274,'Semrush Data'!$A$1:$A$20000,0),MATCH("Volume",'Semrush Data'!$A$1:$Z$1,0)),"")</f>
        <v>0</v>
      </c>
      <c r="H274" s="7" t="n">
        <f aca="false">IFERROR(INDEX('Semrush Data'!$A$1:$Z$20000,MATCH(A274,'Semrush Data'!$A$1:$A$20000,0),MATCH("Keyword Difficulty*",'Semrush Data'!$A$1:$Z$1,0)),"")</f>
        <v>35</v>
      </c>
      <c r="I274" s="13" t="n">
        <f aca="false">IFERROR(INDEX('Semrush Data'!$A$1:$Z$20000,MATCH(A274,'Semrush Data'!$A$1:$A$20000,0),MATCH("CPC*",'Semrush Data'!$A$1:$Z$1,0)),"")</f>
        <v>0</v>
      </c>
      <c r="J274" s="7" t="str">
        <f aca="false">IFERROR(INDEX('Semrush Data'!$A$1:$Z$20000,MATCH(A274,'Semrush Data'!$A$1:$A$20000,0),MATCH("Intent",'Semrush Data'!$A$1:$Z$1,0)),"")</f>
        <v>Informational Transactional</v>
      </c>
    </row>
    <row r="275" customFormat="false" ht="15" hidden="false" customHeight="true" outlineLevel="0" collapsed="false">
      <c r="A275" s="7" t="s">
        <v>6770</v>
      </c>
      <c r="B275" s="7" t="s">
        <v>239</v>
      </c>
      <c r="C275" s="7" t="n">
        <v>1</v>
      </c>
      <c r="D275" s="7" t="n">
        <v>3</v>
      </c>
      <c r="E275" s="7" t="n">
        <v>0</v>
      </c>
      <c r="F275" s="7"/>
      <c r="G275" s="12" t="n">
        <f aca="false">IFERROR(INDEX('Semrush Data'!$A$1:$Z$20000,MATCH(A275,'Semrush Data'!$A$1:$A$20000,0),MATCH("Volume",'Semrush Data'!$A$1:$Z$1,0)),"")</f>
        <v>0</v>
      </c>
      <c r="H275" s="7" t="n">
        <f aca="false">IFERROR(INDEX('Semrush Data'!$A$1:$Z$20000,MATCH(A275,'Semrush Data'!$A$1:$A$20000,0),MATCH("Keyword Difficulty*",'Semrush Data'!$A$1:$Z$1,0)),"")</f>
        <v>25</v>
      </c>
      <c r="I275" s="13" t="n">
        <f aca="false">IFERROR(INDEX('Semrush Data'!$A$1:$Z$20000,MATCH(A275,'Semrush Data'!$A$1:$A$20000,0),MATCH("CPC*",'Semrush Data'!$A$1:$Z$1,0)),"")</f>
        <v>0</v>
      </c>
      <c r="J275" s="7" t="str">
        <f aca="false">IFERROR(INDEX('Semrush Data'!$A$1:$Z$20000,MATCH(A275,'Semrush Data'!$A$1:$A$20000,0),MATCH("Intent",'Semrush Data'!$A$1:$Z$1,0)),"")</f>
        <v>Transactional</v>
      </c>
    </row>
    <row r="276" customFormat="false" ht="15" hidden="false" customHeight="true" outlineLevel="0" collapsed="false">
      <c r="A276" s="7" t="s">
        <v>6771</v>
      </c>
      <c r="B276" s="7" t="s">
        <v>239</v>
      </c>
      <c r="C276" s="7" t="n">
        <v>1</v>
      </c>
      <c r="D276" s="7" t="n">
        <v>3</v>
      </c>
      <c r="E276" s="7" t="n">
        <v>0</v>
      </c>
      <c r="F276" s="7"/>
      <c r="G276" s="12" t="n">
        <f aca="false">IFERROR(INDEX('Semrush Data'!$A$1:$Z$20000,MATCH(A276,'Semrush Data'!$A$1:$A$20000,0),MATCH("Volume",'Semrush Data'!$A$1:$Z$1,0)),"")</f>
        <v>0</v>
      </c>
      <c r="H276" s="7" t="n">
        <f aca="false">IFERROR(INDEX('Semrush Data'!$A$1:$Z$20000,MATCH(A276,'Semrush Data'!$A$1:$A$20000,0),MATCH("Keyword Difficulty*",'Semrush Data'!$A$1:$Z$1,0)),"")</f>
        <v>13</v>
      </c>
      <c r="I276" s="13" t="n">
        <f aca="false">IFERROR(INDEX('Semrush Data'!$A$1:$Z$20000,MATCH(A276,'Semrush Data'!$A$1:$A$20000,0),MATCH("CPC*",'Semrush Data'!$A$1:$Z$1,0)),"")</f>
        <v>0</v>
      </c>
      <c r="J276" s="7" t="str">
        <f aca="false">IFERROR(INDEX('Semrush Data'!$A$1:$Z$20000,MATCH(A276,'Semrush Data'!$A$1:$A$20000,0),MATCH("Intent",'Semrush Data'!$A$1:$Z$1,0)),"")</f>
        <v>Transactional</v>
      </c>
    </row>
    <row r="277" customFormat="false" ht="15" hidden="false" customHeight="true" outlineLevel="0" collapsed="false">
      <c r="A277" s="7" t="s">
        <v>6772</v>
      </c>
      <c r="B277" s="7" t="s">
        <v>239</v>
      </c>
      <c r="C277" s="7" t="n">
        <v>1</v>
      </c>
      <c r="D277" s="7" t="n">
        <v>3</v>
      </c>
      <c r="E277" s="7" t="n">
        <v>0</v>
      </c>
      <c r="F277" s="7"/>
      <c r="G277" s="12" t="n">
        <f aca="false">IFERROR(INDEX('Semrush Data'!$A$1:$Z$20000,MATCH(A277,'Semrush Data'!$A$1:$A$20000,0),MATCH("Volume",'Semrush Data'!$A$1:$Z$1,0)),"")</f>
        <v>0</v>
      </c>
      <c r="H277" s="7" t="n">
        <f aca="false">IFERROR(INDEX('Semrush Data'!$A$1:$Z$20000,MATCH(A277,'Semrush Data'!$A$1:$A$20000,0),MATCH("Keyword Difficulty*",'Semrush Data'!$A$1:$Z$1,0)),"")</f>
        <v>21</v>
      </c>
      <c r="I277" s="13" t="n">
        <f aca="false">IFERROR(INDEX('Semrush Data'!$A$1:$Z$20000,MATCH(A277,'Semrush Data'!$A$1:$A$20000,0),MATCH("CPC*",'Semrush Data'!$A$1:$Z$1,0)),"")</f>
        <v>0</v>
      </c>
      <c r="J277" s="7" t="str">
        <f aca="false">IFERROR(INDEX('Semrush Data'!$A$1:$Z$20000,MATCH(A277,'Semrush Data'!$A$1:$A$20000,0),MATCH("Intent",'Semrush Data'!$A$1:$Z$1,0)),"")</f>
        <v>Transactional</v>
      </c>
    </row>
    <row r="278" customFormat="false" ht="15" hidden="false" customHeight="true" outlineLevel="0" collapsed="false">
      <c r="A278" s="7" t="s">
        <v>249</v>
      </c>
      <c r="B278" s="7" t="s">
        <v>239</v>
      </c>
      <c r="C278" s="7" t="n">
        <v>1</v>
      </c>
      <c r="D278" s="7" t="n">
        <v>3</v>
      </c>
      <c r="E278" s="7" t="n">
        <v>0</v>
      </c>
      <c r="F278" s="7"/>
      <c r="G278" s="12" t="n">
        <f aca="false">IFERROR(INDEX('Semrush Data'!$A$1:$Z$20000,MATCH(A278,'Semrush Data'!$A$1:$A$20000,0),MATCH("Volume",'Semrush Data'!$A$1:$Z$1,0)),"")</f>
        <v>20</v>
      </c>
      <c r="H278" s="7" t="n">
        <f aca="false">IFERROR(INDEX('Semrush Data'!$A$1:$Z$20000,MATCH(A278,'Semrush Data'!$A$1:$A$20000,0),MATCH("Keyword Difficulty*",'Semrush Data'!$A$1:$Z$1,0)),"")</f>
        <v>14</v>
      </c>
      <c r="I278" s="13" t="n">
        <f aca="false">IFERROR(INDEX('Semrush Data'!$A$1:$Z$20000,MATCH(A278,'Semrush Data'!$A$1:$A$20000,0),MATCH("CPC*",'Semrush Data'!$A$1:$Z$1,0)),"")</f>
        <v>0</v>
      </c>
      <c r="J278" s="7" t="str">
        <f aca="false">IFERROR(INDEX('Semrush Data'!$A$1:$Z$20000,MATCH(A278,'Semrush Data'!$A$1:$A$20000,0),MATCH("Intent",'Semrush Data'!$A$1:$Z$1,0)),"")</f>
        <v>Informational Transactional</v>
      </c>
    </row>
    <row r="279" customFormat="false" ht="15" hidden="false" customHeight="true" outlineLevel="0" collapsed="false">
      <c r="A279" s="7" t="s">
        <v>6773</v>
      </c>
      <c r="B279" s="7" t="s">
        <v>239</v>
      </c>
      <c r="C279" s="7" t="n">
        <v>1</v>
      </c>
      <c r="D279" s="7" t="n">
        <v>3</v>
      </c>
      <c r="E279" s="7" t="n">
        <v>0</v>
      </c>
      <c r="F279" s="7"/>
      <c r="G279" s="12" t="n">
        <f aca="false">IFERROR(INDEX('Semrush Data'!$A$1:$Z$20000,MATCH(A279,'Semrush Data'!$A$1:$A$20000,0),MATCH("Volume",'Semrush Data'!$A$1:$Z$1,0)),"")</f>
        <v>0</v>
      </c>
      <c r="H279" s="7" t="n">
        <f aca="false">IFERROR(INDEX('Semrush Data'!$A$1:$Z$20000,MATCH(A279,'Semrush Data'!$A$1:$A$20000,0),MATCH("Keyword Difficulty*",'Semrush Data'!$A$1:$Z$1,0)),"")</f>
        <v>17</v>
      </c>
      <c r="I279" s="13" t="n">
        <f aca="false">IFERROR(INDEX('Semrush Data'!$A$1:$Z$20000,MATCH(A279,'Semrush Data'!$A$1:$A$20000,0),MATCH("CPC*",'Semrush Data'!$A$1:$Z$1,0)),"")</f>
        <v>0</v>
      </c>
      <c r="J279" s="7" t="str">
        <f aca="false">IFERROR(INDEX('Semrush Data'!$A$1:$Z$20000,MATCH(A279,'Semrush Data'!$A$1:$A$20000,0),MATCH("Intent",'Semrush Data'!$A$1:$Z$1,0)),"")</f>
        <v>Transactional Navigational</v>
      </c>
    </row>
    <row r="280" customFormat="false" ht="15" hidden="false" customHeight="true" outlineLevel="0" collapsed="false">
      <c r="A280" s="7" t="s">
        <v>6774</v>
      </c>
      <c r="B280" s="7" t="s">
        <v>239</v>
      </c>
      <c r="C280" s="7" t="n">
        <v>1</v>
      </c>
      <c r="D280" s="7" t="n">
        <v>3</v>
      </c>
      <c r="E280" s="7" t="n">
        <v>0</v>
      </c>
      <c r="F280" s="7"/>
      <c r="G280" s="12" t="n">
        <f aca="false">IFERROR(INDEX('Semrush Data'!$A$1:$Z$20000,MATCH(A280,'Semrush Data'!$A$1:$A$20000,0),MATCH("Volume",'Semrush Data'!$A$1:$Z$1,0)),"")</f>
        <v>0</v>
      </c>
      <c r="H280" s="7" t="n">
        <f aca="false">IFERROR(INDEX('Semrush Data'!$A$1:$Z$20000,MATCH(A280,'Semrush Data'!$A$1:$A$20000,0),MATCH("Keyword Difficulty*",'Semrush Data'!$A$1:$Z$1,0)),"")</f>
        <v>16</v>
      </c>
      <c r="I280" s="13" t="n">
        <f aca="false">IFERROR(INDEX('Semrush Data'!$A$1:$Z$20000,MATCH(A280,'Semrush Data'!$A$1:$A$20000,0),MATCH("CPC*",'Semrush Data'!$A$1:$Z$1,0)),"")</f>
        <v>0</v>
      </c>
      <c r="J280" s="7" t="str">
        <f aca="false">IFERROR(INDEX('Semrush Data'!$A$1:$Z$20000,MATCH(A280,'Semrush Data'!$A$1:$A$20000,0),MATCH("Intent",'Semrush Data'!$A$1:$Z$1,0)),"")</f>
        <v>Transactional Navigational</v>
      </c>
    </row>
    <row r="281" customFormat="false" ht="15" hidden="false" customHeight="true" outlineLevel="0" collapsed="false">
      <c r="A281" s="7" t="s">
        <v>252</v>
      </c>
      <c r="B281" s="7" t="s">
        <v>239</v>
      </c>
      <c r="C281" s="7" t="n">
        <v>1</v>
      </c>
      <c r="D281" s="7" t="n">
        <v>3</v>
      </c>
      <c r="E281" s="7" t="n">
        <v>0</v>
      </c>
      <c r="F281" s="7"/>
      <c r="G281" s="12" t="n">
        <f aca="false">IFERROR(INDEX('Semrush Data'!$A$1:$Z$20000,MATCH(A281,'Semrush Data'!$A$1:$A$20000,0),MATCH("Volume",'Semrush Data'!$A$1:$Z$1,0)),"")</f>
        <v>10</v>
      </c>
      <c r="H281" s="7" t="n">
        <f aca="false">IFERROR(INDEX('Semrush Data'!$A$1:$Z$20000,MATCH(A281,'Semrush Data'!$A$1:$A$20000,0),MATCH("Keyword Difficulty*",'Semrush Data'!$A$1:$Z$1,0)),"")</f>
        <v>15</v>
      </c>
      <c r="I281" s="13" t="n">
        <f aca="false">IFERROR(INDEX('Semrush Data'!$A$1:$Z$20000,MATCH(A281,'Semrush Data'!$A$1:$A$20000,0),MATCH("CPC*",'Semrush Data'!$A$1:$Z$1,0)),"")</f>
        <v>0</v>
      </c>
      <c r="J281" s="7" t="str">
        <f aca="false">IFERROR(INDEX('Semrush Data'!$A$1:$Z$20000,MATCH(A281,'Semrush Data'!$A$1:$A$20000,0),MATCH("Intent",'Semrush Data'!$A$1:$Z$1,0)),"")</f>
        <v>Transactional Navigational</v>
      </c>
    </row>
    <row r="282" customFormat="false" ht="15" hidden="false" customHeight="true" outlineLevel="0" collapsed="false">
      <c r="A282" s="7" t="s">
        <v>245</v>
      </c>
      <c r="B282" s="7" t="s">
        <v>239</v>
      </c>
      <c r="C282" s="7" t="n">
        <v>1</v>
      </c>
      <c r="D282" s="7" t="n">
        <v>3</v>
      </c>
      <c r="E282" s="7" t="n">
        <v>0</v>
      </c>
      <c r="F282" s="7"/>
      <c r="G282" s="12" t="n">
        <f aca="false">IFERROR(INDEX('Semrush Data'!$A$1:$Z$20000,MATCH(A282,'Semrush Data'!$A$1:$A$20000,0),MATCH("Volume",'Semrush Data'!$A$1:$Z$1,0)),"")</f>
        <v>30</v>
      </c>
      <c r="H282" s="7" t="n">
        <f aca="false">IFERROR(INDEX('Semrush Data'!$A$1:$Z$20000,MATCH(A282,'Semrush Data'!$A$1:$A$20000,0),MATCH("Keyword Difficulty*",'Semrush Data'!$A$1:$Z$1,0)),"")</f>
        <v>24</v>
      </c>
      <c r="I282" s="13" t="n">
        <f aca="false">IFERROR(INDEX('Semrush Data'!$A$1:$Z$20000,MATCH(A282,'Semrush Data'!$A$1:$A$20000,0),MATCH("CPC*",'Semrush Data'!$A$1:$Z$1,0)),"")</f>
        <v>0</v>
      </c>
      <c r="J282" s="7" t="str">
        <f aca="false">IFERROR(INDEX('Semrush Data'!$A$1:$Z$20000,MATCH(A282,'Semrush Data'!$A$1:$A$20000,0),MATCH("Intent",'Semrush Data'!$A$1:$Z$1,0)),"")</f>
        <v>Informational Transactional</v>
      </c>
    </row>
    <row r="283" customFormat="false" ht="15" hidden="false" customHeight="true" outlineLevel="0" collapsed="false">
      <c r="A283" s="7" t="s">
        <v>250</v>
      </c>
      <c r="B283" s="7" t="s">
        <v>239</v>
      </c>
      <c r="C283" s="7" t="n">
        <v>1</v>
      </c>
      <c r="D283" s="7" t="n">
        <v>3</v>
      </c>
      <c r="E283" s="7" t="n">
        <v>0</v>
      </c>
      <c r="F283" s="7"/>
      <c r="G283" s="12" t="n">
        <f aca="false">IFERROR(INDEX('Semrush Data'!$A$1:$Z$20000,MATCH(A283,'Semrush Data'!$A$1:$A$20000,0),MATCH("Volume",'Semrush Data'!$A$1:$Z$1,0)),"")</f>
        <v>20</v>
      </c>
      <c r="H283" s="7" t="n">
        <f aca="false">IFERROR(INDEX('Semrush Data'!$A$1:$Z$20000,MATCH(A283,'Semrush Data'!$A$1:$A$20000,0),MATCH("Keyword Difficulty*",'Semrush Data'!$A$1:$Z$1,0)),"")</f>
        <v>9</v>
      </c>
      <c r="I283" s="13" t="n">
        <f aca="false">IFERROR(INDEX('Semrush Data'!$A$1:$Z$20000,MATCH(A283,'Semrush Data'!$A$1:$A$20000,0),MATCH("CPC*",'Semrush Data'!$A$1:$Z$1,0)),"")</f>
        <v>0</v>
      </c>
      <c r="J283" s="7" t="str">
        <f aca="false">IFERROR(INDEX('Semrush Data'!$A$1:$Z$20000,MATCH(A283,'Semrush Data'!$A$1:$A$20000,0),MATCH("Intent",'Semrush Data'!$A$1:$Z$1,0)),"")</f>
        <v>Informational Transactional</v>
      </c>
    </row>
    <row r="284" customFormat="false" ht="15" hidden="false" customHeight="true" outlineLevel="0" collapsed="false">
      <c r="A284" s="7" t="s">
        <v>243</v>
      </c>
      <c r="B284" s="7" t="s">
        <v>239</v>
      </c>
      <c r="C284" s="7" t="n">
        <v>1</v>
      </c>
      <c r="D284" s="7" t="n">
        <v>3</v>
      </c>
      <c r="E284" s="7" t="n">
        <v>0</v>
      </c>
      <c r="F284" s="7"/>
      <c r="G284" s="12" t="n">
        <f aca="false">IFERROR(INDEX('Semrush Data'!$A$1:$Z$20000,MATCH(A284,'Semrush Data'!$A$1:$A$20000,0),MATCH("Volume",'Semrush Data'!$A$1:$Z$1,0)),"")</f>
        <v>70</v>
      </c>
      <c r="H284" s="7" t="n">
        <f aca="false">IFERROR(INDEX('Semrush Data'!$A$1:$Z$20000,MATCH(A284,'Semrush Data'!$A$1:$A$20000,0),MATCH("Keyword Difficulty*",'Semrush Data'!$A$1:$Z$1,0)),"")</f>
        <v>29</v>
      </c>
      <c r="I284" s="13" t="n">
        <f aca="false">IFERROR(INDEX('Semrush Data'!$A$1:$Z$20000,MATCH(A284,'Semrush Data'!$A$1:$A$20000,0),MATCH("CPC*",'Semrush Data'!$A$1:$Z$1,0)),"")</f>
        <v>0.62</v>
      </c>
      <c r="J284" s="7" t="str">
        <f aca="false">IFERROR(INDEX('Semrush Data'!$A$1:$Z$20000,MATCH(A284,'Semrush Data'!$A$1:$A$20000,0),MATCH("Intent",'Semrush Data'!$A$1:$Z$1,0)),"")</f>
        <v>Navigational</v>
      </c>
    </row>
    <row r="285" customFormat="false" ht="15" hidden="false" customHeight="true" outlineLevel="0" collapsed="false">
      <c r="A285" s="7" t="s">
        <v>6775</v>
      </c>
      <c r="B285" s="7" t="s">
        <v>239</v>
      </c>
      <c r="C285" s="7" t="n">
        <v>1</v>
      </c>
      <c r="D285" s="7" t="n">
        <v>3</v>
      </c>
      <c r="E285" s="7" t="n">
        <v>0</v>
      </c>
      <c r="F285" s="7"/>
      <c r="G285" s="12" t="n">
        <f aca="false">IFERROR(INDEX('Semrush Data'!$A$1:$Z$20000,MATCH(A285,'Semrush Data'!$A$1:$A$20000,0),MATCH("Volume",'Semrush Data'!$A$1:$Z$1,0)),"")</f>
        <v>0</v>
      </c>
      <c r="H285" s="7" t="n">
        <f aca="false">IFERROR(INDEX('Semrush Data'!$A$1:$Z$20000,MATCH(A285,'Semrush Data'!$A$1:$A$20000,0),MATCH("Keyword Difficulty*",'Semrush Data'!$A$1:$Z$1,0)),"")</f>
        <v>6</v>
      </c>
      <c r="I285" s="13" t="n">
        <f aca="false">IFERROR(INDEX('Semrush Data'!$A$1:$Z$20000,MATCH(A285,'Semrush Data'!$A$1:$A$20000,0),MATCH("CPC*",'Semrush Data'!$A$1:$Z$1,0)),"")</f>
        <v>0</v>
      </c>
      <c r="J285" s="7" t="str">
        <f aca="false">IFERROR(INDEX('Semrush Data'!$A$1:$Z$20000,MATCH(A285,'Semrush Data'!$A$1:$A$20000,0),MATCH("Intent",'Semrush Data'!$A$1:$Z$1,0)),"")</f>
        <v>Informational</v>
      </c>
    </row>
    <row r="286" customFormat="false" ht="15" hidden="false" customHeight="true" outlineLevel="0" collapsed="false">
      <c r="A286" s="7" t="s">
        <v>6776</v>
      </c>
      <c r="B286" s="7" t="s">
        <v>239</v>
      </c>
      <c r="C286" s="7" t="n">
        <v>1</v>
      </c>
      <c r="D286" s="7" t="n">
        <v>3</v>
      </c>
      <c r="E286" s="7" t="n">
        <v>0</v>
      </c>
      <c r="F286" s="7"/>
      <c r="G286" s="12" t="n">
        <f aca="false">IFERROR(INDEX('Semrush Data'!$A$1:$Z$20000,MATCH(A286,'Semrush Data'!$A$1:$A$20000,0),MATCH("Volume",'Semrush Data'!$A$1:$Z$1,0)),"")</f>
        <v>0</v>
      </c>
      <c r="H286" s="7" t="n">
        <f aca="false">IFERROR(INDEX('Semrush Data'!$A$1:$Z$20000,MATCH(A286,'Semrush Data'!$A$1:$A$20000,0),MATCH("Keyword Difficulty*",'Semrush Data'!$A$1:$Z$1,0)),"")</f>
        <v>23</v>
      </c>
      <c r="I286" s="13" t="n">
        <f aca="false">IFERROR(INDEX('Semrush Data'!$A$1:$Z$20000,MATCH(A286,'Semrush Data'!$A$1:$A$20000,0),MATCH("CPC*",'Semrush Data'!$A$1:$Z$1,0)),"")</f>
        <v>0</v>
      </c>
      <c r="J286" s="7" t="str">
        <f aca="false">IFERROR(INDEX('Semrush Data'!$A$1:$Z$20000,MATCH(A286,'Semrush Data'!$A$1:$A$20000,0),MATCH("Intent",'Semrush Data'!$A$1:$Z$1,0)),"")</f>
        <v>Transactional Navigational</v>
      </c>
    </row>
    <row r="287" customFormat="false" ht="15" hidden="false" customHeight="true" outlineLevel="0" collapsed="false">
      <c r="A287" s="7" t="s">
        <v>6777</v>
      </c>
      <c r="B287" s="7" t="s">
        <v>239</v>
      </c>
      <c r="C287" s="7" t="n">
        <v>1</v>
      </c>
      <c r="D287" s="7" t="n">
        <v>3</v>
      </c>
      <c r="E287" s="7" t="n">
        <v>0</v>
      </c>
      <c r="F287" s="7"/>
      <c r="G287" s="12" t="n">
        <f aca="false">IFERROR(INDEX('Semrush Data'!$A$1:$Z$20000,MATCH(A287,'Semrush Data'!$A$1:$A$20000,0),MATCH("Volume",'Semrush Data'!$A$1:$Z$1,0)),"")</f>
        <v>0</v>
      </c>
      <c r="H287" s="7" t="n">
        <f aca="false">IFERROR(INDEX('Semrush Data'!$A$1:$Z$20000,MATCH(A287,'Semrush Data'!$A$1:$A$20000,0),MATCH("Keyword Difficulty*",'Semrush Data'!$A$1:$Z$1,0)),"")</f>
        <v>21</v>
      </c>
      <c r="I287" s="13" t="n">
        <f aca="false">IFERROR(INDEX('Semrush Data'!$A$1:$Z$20000,MATCH(A287,'Semrush Data'!$A$1:$A$20000,0),MATCH("CPC*",'Semrush Data'!$A$1:$Z$1,0)),"")</f>
        <v>0</v>
      </c>
      <c r="J287" s="7" t="str">
        <f aca="false">IFERROR(INDEX('Semrush Data'!$A$1:$Z$20000,MATCH(A287,'Semrush Data'!$A$1:$A$20000,0),MATCH("Intent",'Semrush Data'!$A$1:$Z$1,0)),"")</f>
        <v>Transactional Navigational</v>
      </c>
    </row>
    <row r="288" customFormat="false" ht="15" hidden="false" customHeight="true" outlineLevel="0" collapsed="false">
      <c r="A288" s="7" t="s">
        <v>6778</v>
      </c>
      <c r="B288" s="7" t="s">
        <v>239</v>
      </c>
      <c r="C288" s="7" t="n">
        <v>1</v>
      </c>
      <c r="D288" s="7" t="n">
        <v>3</v>
      </c>
      <c r="E288" s="7" t="n">
        <v>0</v>
      </c>
      <c r="F288" s="7"/>
      <c r="G288" s="12" t="n">
        <f aca="false">IFERROR(INDEX('Semrush Data'!$A$1:$Z$20000,MATCH(A288,'Semrush Data'!$A$1:$A$20000,0),MATCH("Volume",'Semrush Data'!$A$1:$Z$1,0)),"")</f>
        <v>0</v>
      </c>
      <c r="H288" s="7" t="n">
        <f aca="false">IFERROR(INDEX('Semrush Data'!$A$1:$Z$20000,MATCH(A288,'Semrush Data'!$A$1:$A$20000,0),MATCH("Keyword Difficulty*",'Semrush Data'!$A$1:$Z$1,0)),"")</f>
        <v>16</v>
      </c>
      <c r="I288" s="13" t="n">
        <f aca="false">IFERROR(INDEX('Semrush Data'!$A$1:$Z$20000,MATCH(A288,'Semrush Data'!$A$1:$A$20000,0),MATCH("CPC*",'Semrush Data'!$A$1:$Z$1,0)),"")</f>
        <v>0</v>
      </c>
      <c r="J288" s="7" t="str">
        <f aca="false">IFERROR(INDEX('Semrush Data'!$A$1:$Z$20000,MATCH(A288,'Semrush Data'!$A$1:$A$20000,0),MATCH("Intent",'Semrush Data'!$A$1:$Z$1,0)),"")</f>
        <v>Informational Navigational</v>
      </c>
    </row>
    <row r="289" customFormat="false" ht="15" hidden="false" customHeight="true" outlineLevel="0" collapsed="false">
      <c r="A289" s="7" t="s">
        <v>238</v>
      </c>
      <c r="B289" s="7" t="s">
        <v>239</v>
      </c>
      <c r="C289" s="7" t="n">
        <v>1</v>
      </c>
      <c r="D289" s="7" t="n">
        <v>3</v>
      </c>
      <c r="E289" s="7" t="n">
        <v>0</v>
      </c>
      <c r="F289" s="7"/>
      <c r="G289" s="12" t="n">
        <f aca="false">IFERROR(INDEX('Semrush Data'!$A$1:$Z$20000,MATCH(A289,'Semrush Data'!$A$1:$A$20000,0),MATCH("Volume",'Semrush Data'!$A$1:$Z$1,0)),"")</f>
        <v>390</v>
      </c>
      <c r="H289" s="7" t="n">
        <f aca="false">IFERROR(INDEX('Semrush Data'!$A$1:$Z$20000,MATCH(A289,'Semrush Data'!$A$1:$A$20000,0),MATCH("Keyword Difficulty*",'Semrush Data'!$A$1:$Z$1,0)),"")</f>
        <v>17</v>
      </c>
      <c r="I289" s="13" t="n">
        <f aca="false">IFERROR(INDEX('Semrush Data'!$A$1:$Z$20000,MATCH(A289,'Semrush Data'!$A$1:$A$20000,0),MATCH("CPC*",'Semrush Data'!$A$1:$Z$1,0)),"")</f>
        <v>0.7</v>
      </c>
      <c r="J289" s="7" t="str">
        <f aca="false">IFERROR(INDEX('Semrush Data'!$A$1:$Z$20000,MATCH(A289,'Semrush Data'!$A$1:$A$20000,0),MATCH("Intent",'Semrush Data'!$A$1:$Z$1,0)),"")</f>
        <v>Informational Transactional</v>
      </c>
    </row>
    <row r="290" customFormat="false" ht="15" hidden="false" customHeight="true" outlineLevel="0" collapsed="false">
      <c r="A290" s="7" t="s">
        <v>6779</v>
      </c>
      <c r="B290" s="7" t="s">
        <v>239</v>
      </c>
      <c r="C290" s="7" t="n">
        <v>1</v>
      </c>
      <c r="D290" s="7" t="n">
        <v>3</v>
      </c>
      <c r="E290" s="7" t="n">
        <v>0</v>
      </c>
      <c r="F290" s="7"/>
      <c r="G290" s="12" t="n">
        <f aca="false">IFERROR(INDEX('Semrush Data'!$A$1:$Z$20000,MATCH(A290,'Semrush Data'!$A$1:$A$20000,0),MATCH("Volume",'Semrush Data'!$A$1:$Z$1,0)),"")</f>
        <v>0</v>
      </c>
      <c r="H290" s="7" t="n">
        <f aca="false">IFERROR(INDEX('Semrush Data'!$A$1:$Z$20000,MATCH(A290,'Semrush Data'!$A$1:$A$20000,0),MATCH("Keyword Difficulty*",'Semrush Data'!$A$1:$Z$1,0)),"")</f>
        <v>14</v>
      </c>
      <c r="I290" s="13" t="n">
        <f aca="false">IFERROR(INDEX('Semrush Data'!$A$1:$Z$20000,MATCH(A290,'Semrush Data'!$A$1:$A$20000,0),MATCH("CPC*",'Semrush Data'!$A$1:$Z$1,0)),"")</f>
        <v>0</v>
      </c>
      <c r="J290" s="7" t="str">
        <f aca="false">IFERROR(INDEX('Semrush Data'!$A$1:$Z$20000,MATCH(A290,'Semrush Data'!$A$1:$A$20000,0),MATCH("Intent",'Semrush Data'!$A$1:$Z$1,0)),"")</f>
        <v>Informational</v>
      </c>
    </row>
    <row r="291" customFormat="false" ht="15" hidden="false" customHeight="true" outlineLevel="0" collapsed="false">
      <c r="A291" s="7" t="s">
        <v>6780</v>
      </c>
      <c r="B291" s="7" t="s">
        <v>239</v>
      </c>
      <c r="C291" s="7" t="n">
        <v>1</v>
      </c>
      <c r="D291" s="7" t="n">
        <v>3</v>
      </c>
      <c r="E291" s="7" t="n">
        <v>0</v>
      </c>
      <c r="F291" s="7"/>
      <c r="G291" s="12" t="n">
        <f aca="false">IFERROR(INDEX('Semrush Data'!$A$1:$Z$20000,MATCH(A291,'Semrush Data'!$A$1:$A$20000,0),MATCH("Volume",'Semrush Data'!$A$1:$Z$1,0)),"")</f>
        <v>0</v>
      </c>
      <c r="H291" s="7" t="n">
        <f aca="false">IFERROR(INDEX('Semrush Data'!$A$1:$Z$20000,MATCH(A291,'Semrush Data'!$A$1:$A$20000,0),MATCH("Keyword Difficulty*",'Semrush Data'!$A$1:$Z$1,0)),"")</f>
        <v>25</v>
      </c>
      <c r="I291" s="13" t="n">
        <f aca="false">IFERROR(INDEX('Semrush Data'!$A$1:$Z$20000,MATCH(A291,'Semrush Data'!$A$1:$A$20000,0),MATCH("CPC*",'Semrush Data'!$A$1:$Z$1,0)),"")</f>
        <v>0</v>
      </c>
      <c r="J291" s="7" t="str">
        <f aca="false">IFERROR(INDEX('Semrush Data'!$A$1:$Z$20000,MATCH(A291,'Semrush Data'!$A$1:$A$20000,0),MATCH("Intent",'Semrush Data'!$A$1:$Z$1,0)),"")</f>
        <v>Informational Transactional</v>
      </c>
    </row>
    <row r="292" customFormat="false" ht="15" hidden="false" customHeight="true" outlineLevel="0" collapsed="false">
      <c r="A292" s="7" t="s">
        <v>6781</v>
      </c>
      <c r="B292" s="7" t="s">
        <v>239</v>
      </c>
      <c r="C292" s="7" t="n">
        <v>1</v>
      </c>
      <c r="D292" s="7" t="n">
        <v>3</v>
      </c>
      <c r="E292" s="7" t="n">
        <v>0</v>
      </c>
      <c r="F292" s="7"/>
      <c r="G292" s="12" t="n">
        <f aca="false">IFERROR(INDEX('Semrush Data'!$A$1:$Z$20000,MATCH(A292,'Semrush Data'!$A$1:$A$20000,0),MATCH("Volume",'Semrush Data'!$A$1:$Z$1,0)),"")</f>
        <v>0</v>
      </c>
      <c r="H292" s="7" t="n">
        <f aca="false">IFERROR(INDEX('Semrush Data'!$A$1:$Z$20000,MATCH(A292,'Semrush Data'!$A$1:$A$20000,0),MATCH("Keyword Difficulty*",'Semrush Data'!$A$1:$Z$1,0)),"")</f>
        <v>16</v>
      </c>
      <c r="I292" s="13" t="n">
        <f aca="false">IFERROR(INDEX('Semrush Data'!$A$1:$Z$20000,MATCH(A292,'Semrush Data'!$A$1:$A$20000,0),MATCH("CPC*",'Semrush Data'!$A$1:$Z$1,0)),"")</f>
        <v>0</v>
      </c>
      <c r="J292" s="7" t="str">
        <f aca="false">IFERROR(INDEX('Semrush Data'!$A$1:$Z$20000,MATCH(A292,'Semrush Data'!$A$1:$A$20000,0),MATCH("Intent",'Semrush Data'!$A$1:$Z$1,0)),"")</f>
        <v>Transactional</v>
      </c>
    </row>
    <row r="293" customFormat="false" ht="15" hidden="false" customHeight="true" outlineLevel="0" collapsed="false">
      <c r="A293" s="7" t="s">
        <v>6782</v>
      </c>
      <c r="B293" s="7" t="s">
        <v>239</v>
      </c>
      <c r="C293" s="7" t="n">
        <v>1</v>
      </c>
      <c r="D293" s="7" t="n">
        <v>3</v>
      </c>
      <c r="E293" s="7" t="n">
        <v>0</v>
      </c>
      <c r="F293" s="7"/>
      <c r="G293" s="12" t="n">
        <f aca="false">IFERROR(INDEX('Semrush Data'!$A$1:$Z$20000,MATCH(A293,'Semrush Data'!$A$1:$A$20000,0),MATCH("Volume",'Semrush Data'!$A$1:$Z$1,0)),"")</f>
        <v>0</v>
      </c>
      <c r="H293" s="7" t="n">
        <f aca="false">IFERROR(INDEX('Semrush Data'!$A$1:$Z$20000,MATCH(A293,'Semrush Data'!$A$1:$A$20000,0),MATCH("Keyword Difficulty*",'Semrush Data'!$A$1:$Z$1,0)),"")</f>
        <v>18</v>
      </c>
      <c r="I293" s="13" t="n">
        <f aca="false">IFERROR(INDEX('Semrush Data'!$A$1:$Z$20000,MATCH(A293,'Semrush Data'!$A$1:$A$20000,0),MATCH("CPC*",'Semrush Data'!$A$1:$Z$1,0)),"")</f>
        <v>0</v>
      </c>
      <c r="J293" s="7" t="str">
        <f aca="false">IFERROR(INDEX('Semrush Data'!$A$1:$Z$20000,MATCH(A293,'Semrush Data'!$A$1:$A$20000,0),MATCH("Intent",'Semrush Data'!$A$1:$Z$1,0)),"")</f>
        <v>Commercial</v>
      </c>
    </row>
    <row r="294" customFormat="false" ht="15" hidden="false" customHeight="true" outlineLevel="0" collapsed="false">
      <c r="A294" s="7" t="s">
        <v>242</v>
      </c>
      <c r="B294" s="7" t="s">
        <v>239</v>
      </c>
      <c r="C294" s="7" t="n">
        <v>1</v>
      </c>
      <c r="D294" s="7" t="n">
        <v>3</v>
      </c>
      <c r="E294" s="7" t="n">
        <v>0</v>
      </c>
      <c r="F294" s="7"/>
      <c r="G294" s="12" t="n">
        <f aca="false">IFERROR(INDEX('Semrush Data'!$A$1:$Z$20000,MATCH(A294,'Semrush Data'!$A$1:$A$20000,0),MATCH("Volume",'Semrush Data'!$A$1:$Z$1,0)),"")</f>
        <v>90</v>
      </c>
      <c r="H294" s="7" t="n">
        <f aca="false">IFERROR(INDEX('Semrush Data'!$A$1:$Z$20000,MATCH(A294,'Semrush Data'!$A$1:$A$20000,0),MATCH("Keyword Difficulty*",'Semrush Data'!$A$1:$Z$1,0)),"")</f>
        <v>36</v>
      </c>
      <c r="I294" s="13" t="n">
        <f aca="false">IFERROR(INDEX('Semrush Data'!$A$1:$Z$20000,MATCH(A294,'Semrush Data'!$A$1:$A$20000,0),MATCH("CPC*",'Semrush Data'!$A$1:$Z$1,0)),"")</f>
        <v>1.14</v>
      </c>
      <c r="J294" s="7" t="str">
        <f aca="false">IFERROR(INDEX('Semrush Data'!$A$1:$Z$20000,MATCH(A294,'Semrush Data'!$A$1:$A$20000,0),MATCH("Intent",'Semrush Data'!$A$1:$Z$1,0)),"")</f>
        <v>Navigational</v>
      </c>
    </row>
    <row r="295" customFormat="false" ht="15" hidden="false" customHeight="true" outlineLevel="0" collapsed="false">
      <c r="A295" s="7" t="s">
        <v>6783</v>
      </c>
      <c r="B295" s="7" t="s">
        <v>239</v>
      </c>
      <c r="C295" s="7" t="n">
        <v>1</v>
      </c>
      <c r="D295" s="7" t="n">
        <v>3</v>
      </c>
      <c r="E295" s="7" t="n">
        <v>0</v>
      </c>
      <c r="F295" s="7"/>
      <c r="G295" s="12" t="n">
        <f aca="false">IFERROR(INDEX('Semrush Data'!$A$1:$Z$20000,MATCH(A295,'Semrush Data'!$A$1:$A$20000,0),MATCH("Volume",'Semrush Data'!$A$1:$Z$1,0)),"")</f>
        <v>0</v>
      </c>
      <c r="H295" s="7" t="n">
        <f aca="false">IFERROR(INDEX('Semrush Data'!$A$1:$Z$20000,MATCH(A295,'Semrush Data'!$A$1:$A$20000,0),MATCH("Keyword Difficulty*",'Semrush Data'!$A$1:$Z$1,0)),"")</f>
        <v>29</v>
      </c>
      <c r="I295" s="13" t="n">
        <f aca="false">IFERROR(INDEX('Semrush Data'!$A$1:$Z$20000,MATCH(A295,'Semrush Data'!$A$1:$A$20000,0),MATCH("CPC*",'Semrush Data'!$A$1:$Z$1,0)),"")</f>
        <v>0</v>
      </c>
      <c r="J295" s="7" t="str">
        <f aca="false">IFERROR(INDEX('Semrush Data'!$A$1:$Z$20000,MATCH(A295,'Semrush Data'!$A$1:$A$20000,0),MATCH("Intent",'Semrush Data'!$A$1:$Z$1,0)),"")</f>
        <v>Informational Transactional</v>
      </c>
    </row>
    <row r="296" customFormat="false" ht="15" hidden="false" customHeight="true" outlineLevel="0" collapsed="false">
      <c r="A296" s="7" t="s">
        <v>251</v>
      </c>
      <c r="B296" s="7" t="s">
        <v>239</v>
      </c>
      <c r="C296" s="7" t="n">
        <v>1</v>
      </c>
      <c r="D296" s="7" t="n">
        <v>3</v>
      </c>
      <c r="E296" s="7" t="n">
        <v>0</v>
      </c>
      <c r="F296" s="7"/>
      <c r="G296" s="12" t="n">
        <f aca="false">IFERROR(INDEX('Semrush Data'!$A$1:$Z$20000,MATCH(A296,'Semrush Data'!$A$1:$A$20000,0),MATCH("Volume",'Semrush Data'!$A$1:$Z$1,0)),"")</f>
        <v>20</v>
      </c>
      <c r="H296" s="7" t="n">
        <f aca="false">IFERROR(INDEX('Semrush Data'!$A$1:$Z$20000,MATCH(A296,'Semrush Data'!$A$1:$A$20000,0),MATCH("Keyword Difficulty*",'Semrush Data'!$A$1:$Z$1,0)),"")</f>
        <v>26</v>
      </c>
      <c r="I296" s="13" t="n">
        <f aca="false">IFERROR(INDEX('Semrush Data'!$A$1:$Z$20000,MATCH(A296,'Semrush Data'!$A$1:$A$20000,0),MATCH("CPC*",'Semrush Data'!$A$1:$Z$1,0)),"")</f>
        <v>0.42</v>
      </c>
      <c r="J296" s="7" t="str">
        <f aca="false">IFERROR(INDEX('Semrush Data'!$A$1:$Z$20000,MATCH(A296,'Semrush Data'!$A$1:$A$20000,0),MATCH("Intent",'Semrush Data'!$A$1:$Z$1,0)),"")</f>
        <v>Informational Navigational</v>
      </c>
    </row>
    <row r="297" customFormat="false" ht="15" hidden="false" customHeight="true" outlineLevel="0" collapsed="false">
      <c r="A297" s="7" t="s">
        <v>2397</v>
      </c>
      <c r="B297" s="7" t="s">
        <v>38</v>
      </c>
      <c r="C297" s="7" t="n">
        <v>1</v>
      </c>
      <c r="D297" s="7" t="n">
        <v>3</v>
      </c>
      <c r="E297" s="7" t="n">
        <v>1</v>
      </c>
      <c r="F297" s="7" t="s">
        <v>2389</v>
      </c>
      <c r="G297" s="12" t="n">
        <f aca="false">IFERROR(INDEX('Semrush Data'!$A$1:$Z$20000,MATCH(A297,'Semrush Data'!$A$1:$A$20000,0),MATCH("Volume",'Semrush Data'!$A$1:$Z$1,0)),"")</f>
        <v>20</v>
      </c>
      <c r="H297" s="7" t="n">
        <f aca="false">IFERROR(INDEX('Semrush Data'!$A$1:$Z$20000,MATCH(A297,'Semrush Data'!$A$1:$A$20000,0),MATCH("Keyword Difficulty*",'Semrush Data'!$A$1:$Z$1,0)),"")</f>
        <v>19</v>
      </c>
      <c r="I297" s="13" t="n">
        <f aca="false">IFERROR(INDEX('Semrush Data'!$A$1:$Z$20000,MATCH(A297,'Semrush Data'!$A$1:$A$20000,0),MATCH("CPC*",'Semrush Data'!$A$1:$Z$1,0)),"")</f>
        <v>0</v>
      </c>
      <c r="J297" s="7" t="str">
        <f aca="false">IFERROR(INDEX('Semrush Data'!$A$1:$Z$20000,MATCH(A297,'Semrush Data'!$A$1:$A$20000,0),MATCH("Intent",'Semrush Data'!$A$1:$Z$1,0)),"")</f>
        <v>Informational</v>
      </c>
    </row>
    <row r="298" customFormat="false" ht="15" hidden="false" customHeight="true" outlineLevel="0" collapsed="false">
      <c r="A298" s="7" t="s">
        <v>2409</v>
      </c>
      <c r="B298" s="7" t="s">
        <v>38</v>
      </c>
      <c r="C298" s="7" t="n">
        <v>1</v>
      </c>
      <c r="D298" s="7" t="n">
        <v>3</v>
      </c>
      <c r="E298" s="7" t="n">
        <v>1</v>
      </c>
      <c r="F298" s="7" t="s">
        <v>2407</v>
      </c>
      <c r="G298" s="12" t="n">
        <f aca="false">IFERROR(INDEX('Semrush Data'!$A$1:$Z$20000,MATCH(A298,'Semrush Data'!$A$1:$A$20000,0),MATCH("Volume",'Semrush Data'!$A$1:$Z$1,0)),"")</f>
        <v>20</v>
      </c>
      <c r="H298" s="7" t="n">
        <f aca="false">IFERROR(INDEX('Semrush Data'!$A$1:$Z$20000,MATCH(A298,'Semrush Data'!$A$1:$A$20000,0),MATCH("Keyword Difficulty*",'Semrush Data'!$A$1:$Z$1,0)),"")</f>
        <v>16</v>
      </c>
      <c r="I298" s="13" t="n">
        <f aca="false">IFERROR(INDEX('Semrush Data'!$A$1:$Z$20000,MATCH(A298,'Semrush Data'!$A$1:$A$20000,0),MATCH("CPC*",'Semrush Data'!$A$1:$Z$1,0)),"")</f>
        <v>0</v>
      </c>
      <c r="J298" s="7" t="str">
        <f aca="false">IFERROR(INDEX('Semrush Data'!$A$1:$Z$20000,MATCH(A298,'Semrush Data'!$A$1:$A$20000,0),MATCH("Intent",'Semrush Data'!$A$1:$Z$1,0)),"")</f>
        <v>Informational</v>
      </c>
    </row>
    <row r="299" customFormat="false" ht="15" hidden="false" customHeight="true" outlineLevel="0" collapsed="false">
      <c r="A299" s="7" t="s">
        <v>2494</v>
      </c>
      <c r="B299" s="7" t="s">
        <v>38</v>
      </c>
      <c r="C299" s="7" t="n">
        <v>1</v>
      </c>
      <c r="D299" s="7" t="n">
        <v>3</v>
      </c>
      <c r="E299" s="7" t="n">
        <v>1</v>
      </c>
      <c r="F299" s="7" t="s">
        <v>2490</v>
      </c>
      <c r="G299" s="12" t="n">
        <f aca="false">IFERROR(INDEX('Semrush Data'!$A$1:$Z$20000,MATCH(A299,'Semrush Data'!$A$1:$A$20000,0),MATCH("Volume",'Semrush Data'!$A$1:$Z$1,0)),"")</f>
        <v>20</v>
      </c>
      <c r="H299" s="7" t="n">
        <f aca="false">IFERROR(INDEX('Semrush Data'!$A$1:$Z$20000,MATCH(A299,'Semrush Data'!$A$1:$A$20000,0),MATCH("Keyword Difficulty*",'Semrush Data'!$A$1:$Z$1,0)),"")</f>
        <v>12</v>
      </c>
      <c r="I299" s="13" t="n">
        <f aca="false">IFERROR(INDEX('Semrush Data'!$A$1:$Z$20000,MATCH(A299,'Semrush Data'!$A$1:$A$20000,0),MATCH("CPC*",'Semrush Data'!$A$1:$Z$1,0)),"")</f>
        <v>0</v>
      </c>
      <c r="J299" s="7" t="str">
        <f aca="false">IFERROR(INDEX('Semrush Data'!$A$1:$Z$20000,MATCH(A299,'Semrush Data'!$A$1:$A$20000,0),MATCH("Intent",'Semrush Data'!$A$1:$Z$1,0)),"")</f>
        <v>Informational Transactional</v>
      </c>
    </row>
    <row r="300" customFormat="false" ht="15" hidden="false" customHeight="true" outlineLevel="0" collapsed="false">
      <c r="A300" s="7" t="s">
        <v>2436</v>
      </c>
      <c r="B300" s="7" t="s">
        <v>38</v>
      </c>
      <c r="C300" s="7" t="n">
        <v>1</v>
      </c>
      <c r="D300" s="7" t="n">
        <v>3</v>
      </c>
      <c r="E300" s="7" t="n">
        <v>1</v>
      </c>
      <c r="F300" s="7" t="s">
        <v>2433</v>
      </c>
      <c r="G300" s="12" t="n">
        <f aca="false">IFERROR(INDEX('Semrush Data'!$A$1:$Z$20000,MATCH(A300,'Semrush Data'!$A$1:$A$20000,0),MATCH("Volume",'Semrush Data'!$A$1:$Z$1,0)),"")</f>
        <v>20</v>
      </c>
      <c r="H300" s="7" t="n">
        <f aca="false">IFERROR(INDEX('Semrush Data'!$A$1:$Z$20000,MATCH(A300,'Semrush Data'!$A$1:$A$20000,0),MATCH("Keyword Difficulty*",'Semrush Data'!$A$1:$Z$1,0)),"")</f>
        <v>15</v>
      </c>
      <c r="I300" s="13" t="n">
        <f aca="false">IFERROR(INDEX('Semrush Data'!$A$1:$Z$20000,MATCH(A300,'Semrush Data'!$A$1:$A$20000,0),MATCH("CPC*",'Semrush Data'!$A$1:$Z$1,0)),"")</f>
        <v>0</v>
      </c>
      <c r="J300" s="7" t="str">
        <f aca="false">IFERROR(INDEX('Semrush Data'!$A$1:$Z$20000,MATCH(A300,'Semrush Data'!$A$1:$A$20000,0),MATCH("Intent",'Semrush Data'!$A$1:$Z$1,0)),"")</f>
        <v>Navigational</v>
      </c>
    </row>
    <row r="301" customFormat="false" ht="15" hidden="false" customHeight="true" outlineLevel="0" collapsed="false">
      <c r="A301" s="7" t="s">
        <v>2423</v>
      </c>
      <c r="B301" s="7" t="s">
        <v>38</v>
      </c>
      <c r="C301" s="7" t="n">
        <v>1</v>
      </c>
      <c r="D301" s="7" t="n">
        <v>3</v>
      </c>
      <c r="E301" s="7" t="n">
        <v>1</v>
      </c>
      <c r="F301" s="7" t="s">
        <v>2418</v>
      </c>
      <c r="G301" s="12" t="n">
        <f aca="false">IFERROR(INDEX('Semrush Data'!$A$1:$Z$20000,MATCH(A301,'Semrush Data'!$A$1:$A$20000,0),MATCH("Volume",'Semrush Data'!$A$1:$Z$1,0)),"")</f>
        <v>260</v>
      </c>
      <c r="H301" s="7" t="n">
        <f aca="false">IFERROR(INDEX('Semrush Data'!$A$1:$Z$20000,MATCH(A301,'Semrush Data'!$A$1:$A$20000,0),MATCH("Keyword Difficulty*",'Semrush Data'!$A$1:$Z$1,0)),"")</f>
        <v>12</v>
      </c>
      <c r="I301" s="13" t="n">
        <f aca="false">IFERROR(INDEX('Semrush Data'!$A$1:$Z$20000,MATCH(A301,'Semrush Data'!$A$1:$A$20000,0),MATCH("CPC*",'Semrush Data'!$A$1:$Z$1,0)),"")</f>
        <v>0.48</v>
      </c>
      <c r="J301" s="7" t="str">
        <f aca="false">IFERROR(INDEX('Semrush Data'!$A$1:$Z$20000,MATCH(A301,'Semrush Data'!$A$1:$A$20000,0),MATCH("Intent",'Semrush Data'!$A$1:$Z$1,0)),"")</f>
        <v>Informational</v>
      </c>
    </row>
    <row r="302" customFormat="false" ht="15" hidden="false" customHeight="true" outlineLevel="0" collapsed="false">
      <c r="A302" s="7" t="s">
        <v>2504</v>
      </c>
      <c r="B302" s="7" t="s">
        <v>38</v>
      </c>
      <c r="C302" s="7" t="n">
        <v>1</v>
      </c>
      <c r="D302" s="7" t="n">
        <v>4</v>
      </c>
      <c r="E302" s="7" t="n">
        <v>1</v>
      </c>
      <c r="F302" s="7" t="s">
        <v>2501</v>
      </c>
      <c r="G302" s="12" t="n">
        <f aca="false">IFERROR(INDEX('Semrush Data'!$A$1:$Z$20000,MATCH(A302,'Semrush Data'!$A$1:$A$20000,0),MATCH("Volume",'Semrush Data'!$A$1:$Z$1,0)),"")</f>
        <v>10</v>
      </c>
      <c r="H302" s="7" t="n">
        <f aca="false">IFERROR(INDEX('Semrush Data'!$A$1:$Z$20000,MATCH(A302,'Semrush Data'!$A$1:$A$20000,0),MATCH("Keyword Difficulty*",'Semrush Data'!$A$1:$Z$1,0)),"")</f>
        <v>9</v>
      </c>
      <c r="I302" s="13" t="n">
        <f aca="false">IFERROR(INDEX('Semrush Data'!$A$1:$Z$20000,MATCH(A302,'Semrush Data'!$A$1:$A$20000,0),MATCH("CPC*",'Semrush Data'!$A$1:$Z$1,0)),"")</f>
        <v>0</v>
      </c>
      <c r="J302" s="7" t="str">
        <f aca="false">IFERROR(INDEX('Semrush Data'!$A$1:$Z$20000,MATCH(A302,'Semrush Data'!$A$1:$A$20000,0),MATCH("Intent",'Semrush Data'!$A$1:$Z$1,0)),"")</f>
        <v>Informational Transactional</v>
      </c>
    </row>
    <row r="303" customFormat="false" ht="15" hidden="false" customHeight="true" outlineLevel="0" collapsed="false">
      <c r="A303" s="7" t="s">
        <v>2447</v>
      </c>
      <c r="B303" s="7" t="s">
        <v>38</v>
      </c>
      <c r="C303" s="7" t="n">
        <v>1</v>
      </c>
      <c r="D303" s="7" t="n">
        <v>4</v>
      </c>
      <c r="E303" s="7" t="n">
        <v>1</v>
      </c>
      <c r="F303" s="7" t="s">
        <v>2444</v>
      </c>
      <c r="G303" s="12" t="n">
        <f aca="false">IFERROR(INDEX('Semrush Data'!$A$1:$Z$20000,MATCH(A303,'Semrush Data'!$A$1:$A$20000,0),MATCH("Volume",'Semrush Data'!$A$1:$Z$1,0)),"")</f>
        <v>70</v>
      </c>
      <c r="H303" s="7" t="n">
        <f aca="false">IFERROR(INDEX('Semrush Data'!$A$1:$Z$20000,MATCH(A303,'Semrush Data'!$A$1:$A$20000,0),MATCH("Keyword Difficulty*",'Semrush Data'!$A$1:$Z$1,0)),"")</f>
        <v>13</v>
      </c>
      <c r="I303" s="13" t="n">
        <f aca="false">IFERROR(INDEX('Semrush Data'!$A$1:$Z$20000,MATCH(A303,'Semrush Data'!$A$1:$A$20000,0),MATCH("CPC*",'Semrush Data'!$A$1:$Z$1,0)),"")</f>
        <v>0.5</v>
      </c>
      <c r="J303" s="7" t="str">
        <f aca="false">IFERROR(INDEX('Semrush Data'!$A$1:$Z$20000,MATCH(A303,'Semrush Data'!$A$1:$A$20000,0),MATCH("Intent",'Semrush Data'!$A$1:$Z$1,0)),"")</f>
        <v>Informational</v>
      </c>
    </row>
    <row r="304" customFormat="false" ht="15" hidden="false" customHeight="true" outlineLevel="0" collapsed="false">
      <c r="A304" s="7" t="s">
        <v>2458</v>
      </c>
      <c r="B304" s="7" t="s">
        <v>38</v>
      </c>
      <c r="C304" s="7" t="n">
        <v>1</v>
      </c>
      <c r="D304" s="7" t="n">
        <v>4</v>
      </c>
      <c r="E304" s="7" t="n">
        <v>1</v>
      </c>
      <c r="F304" s="7" t="s">
        <v>138</v>
      </c>
      <c r="G304" s="12" t="n">
        <f aca="false">IFERROR(INDEX('Semrush Data'!$A$1:$Z$20000,MATCH(A304,'Semrush Data'!$A$1:$A$20000,0),MATCH("Volume",'Semrush Data'!$A$1:$Z$1,0)),"")</f>
        <v>320</v>
      </c>
      <c r="H304" s="7" t="n">
        <f aca="false">IFERROR(INDEX('Semrush Data'!$A$1:$Z$20000,MATCH(A304,'Semrush Data'!$A$1:$A$20000,0),MATCH("Keyword Difficulty*",'Semrush Data'!$A$1:$Z$1,0)),"")</f>
        <v>11</v>
      </c>
      <c r="I304" s="13" t="n">
        <f aca="false">IFERROR(INDEX('Semrush Data'!$A$1:$Z$20000,MATCH(A304,'Semrush Data'!$A$1:$A$20000,0),MATCH("CPC*",'Semrush Data'!$A$1:$Z$1,0)),"")</f>
        <v>0.45</v>
      </c>
      <c r="J304" s="7" t="str">
        <f aca="false">IFERROR(INDEX('Semrush Data'!$A$1:$Z$20000,MATCH(A304,'Semrush Data'!$A$1:$A$20000,0),MATCH("Intent",'Semrush Data'!$A$1:$Z$1,0)),"")</f>
        <v>Informational</v>
      </c>
    </row>
    <row r="305" customFormat="false" ht="15" hidden="false" customHeight="true" outlineLevel="0" collapsed="false">
      <c r="A305" s="7" t="s">
        <v>2469</v>
      </c>
      <c r="B305" s="7" t="s">
        <v>38</v>
      </c>
      <c r="C305" s="7" t="n">
        <v>1</v>
      </c>
      <c r="D305" s="7" t="n">
        <v>4</v>
      </c>
      <c r="E305" s="7" t="n">
        <v>1</v>
      </c>
      <c r="F305" s="7" t="s">
        <v>132</v>
      </c>
      <c r="G305" s="12" t="n">
        <f aca="false">IFERROR(INDEX('Semrush Data'!$A$1:$Z$20000,MATCH(A305,'Semrush Data'!$A$1:$A$20000,0),MATCH("Volume",'Semrush Data'!$A$1:$Z$1,0)),"")</f>
        <v>390</v>
      </c>
      <c r="H305" s="7" t="n">
        <f aca="false">IFERROR(INDEX('Semrush Data'!$A$1:$Z$20000,MATCH(A305,'Semrush Data'!$A$1:$A$20000,0),MATCH("Keyword Difficulty*",'Semrush Data'!$A$1:$Z$1,0)),"")</f>
        <v>17</v>
      </c>
      <c r="I305" s="13" t="n">
        <f aca="false">IFERROR(INDEX('Semrush Data'!$A$1:$Z$20000,MATCH(A305,'Semrush Data'!$A$1:$A$20000,0),MATCH("CPC*",'Semrush Data'!$A$1:$Z$1,0)),"")</f>
        <v>0.36</v>
      </c>
      <c r="J305" s="7" t="str">
        <f aca="false">IFERROR(INDEX('Semrush Data'!$A$1:$Z$20000,MATCH(A305,'Semrush Data'!$A$1:$A$20000,0),MATCH("Intent",'Semrush Data'!$A$1:$Z$1,0)),"")</f>
        <v>Informational</v>
      </c>
    </row>
    <row r="306" customFormat="false" ht="15" hidden="false" customHeight="true" outlineLevel="0" collapsed="false">
      <c r="A306" s="7" t="s">
        <v>2480</v>
      </c>
      <c r="B306" s="7" t="s">
        <v>38</v>
      </c>
      <c r="C306" s="7" t="n">
        <v>1</v>
      </c>
      <c r="D306" s="7" t="n">
        <v>4</v>
      </c>
      <c r="E306" s="7" t="n">
        <v>1</v>
      </c>
      <c r="F306" s="7" t="s">
        <v>114</v>
      </c>
      <c r="G306" s="12" t="n">
        <f aca="false">IFERROR(INDEX('Semrush Data'!$A$1:$Z$20000,MATCH(A306,'Semrush Data'!$A$1:$A$20000,0),MATCH("Volume",'Semrush Data'!$A$1:$Z$1,0)),"")</f>
        <v>480</v>
      </c>
      <c r="H306" s="7" t="n">
        <f aca="false">IFERROR(INDEX('Semrush Data'!$A$1:$Z$20000,MATCH(A306,'Semrush Data'!$A$1:$A$20000,0),MATCH("Keyword Difficulty*",'Semrush Data'!$A$1:$Z$1,0)),"")</f>
        <v>13</v>
      </c>
      <c r="I306" s="13" t="n">
        <f aca="false">IFERROR(INDEX('Semrush Data'!$A$1:$Z$20000,MATCH(A306,'Semrush Data'!$A$1:$A$20000,0),MATCH("CPC*",'Semrush Data'!$A$1:$Z$1,0)),"")</f>
        <v>0.55</v>
      </c>
      <c r="J306" s="7" t="str">
        <f aca="false">IFERROR(INDEX('Semrush Data'!$A$1:$Z$20000,MATCH(A306,'Semrush Data'!$A$1:$A$20000,0),MATCH("Intent",'Semrush Data'!$A$1:$Z$1,0)),"")</f>
        <v>Informational</v>
      </c>
    </row>
    <row r="307" customFormat="false" ht="15" hidden="false" customHeight="true" outlineLevel="0" collapsed="false">
      <c r="A307" s="7" t="s">
        <v>5879</v>
      </c>
      <c r="B307" s="7" t="s">
        <v>38</v>
      </c>
      <c r="C307" s="7" t="n">
        <v>1</v>
      </c>
      <c r="D307" s="7" t="n">
        <v>4</v>
      </c>
      <c r="E307" s="7" t="n">
        <v>1</v>
      </c>
      <c r="F307" s="7" t="s">
        <v>100</v>
      </c>
      <c r="G307" s="12" t="n">
        <f aca="false">IFERROR(INDEX('Semrush Data'!$A$1:$Z$20000,MATCH(A307,'Semrush Data'!$A$1:$A$20000,0),MATCH("Volume",'Semrush Data'!$A$1:$Z$1,0)),"")</f>
        <v>720</v>
      </c>
      <c r="H307" s="7" t="n">
        <f aca="false">IFERROR(INDEX('Semrush Data'!$A$1:$Z$20000,MATCH(A307,'Semrush Data'!$A$1:$A$20000,0),MATCH("Keyword Difficulty*",'Semrush Data'!$A$1:$Z$1,0)),"")</f>
        <v>18</v>
      </c>
      <c r="I307" s="13" t="n">
        <f aca="false">IFERROR(INDEX('Semrush Data'!$A$1:$Z$20000,MATCH(A307,'Semrush Data'!$A$1:$A$20000,0),MATCH("CPC*",'Semrush Data'!$A$1:$Z$1,0)),"")</f>
        <v>0.47</v>
      </c>
      <c r="J307" s="7" t="str">
        <f aca="false">IFERROR(INDEX('Semrush Data'!$A$1:$Z$20000,MATCH(A307,'Semrush Data'!$A$1:$A$20000,0),MATCH("Intent",'Semrush Data'!$A$1:$Z$1,0)),"")</f>
        <v>Informational</v>
      </c>
    </row>
    <row r="308" customFormat="false" ht="15" hidden="false" customHeight="true" outlineLevel="0" collapsed="false">
      <c r="A308" s="7" t="s">
        <v>2513</v>
      </c>
      <c r="B308" s="7" t="s">
        <v>38</v>
      </c>
      <c r="C308" s="7" t="n">
        <v>1</v>
      </c>
      <c r="D308" s="7" t="n">
        <v>4</v>
      </c>
      <c r="E308" s="7" t="n">
        <v>1</v>
      </c>
      <c r="F308" s="7" t="s">
        <v>2510</v>
      </c>
      <c r="G308" s="12" t="n">
        <f aca="false">IFERROR(INDEX('Semrush Data'!$A$1:$Z$20000,MATCH(A308,'Semrush Data'!$A$1:$A$20000,0),MATCH("Volume",'Semrush Data'!$A$1:$Z$1,0)),"")</f>
        <v>20</v>
      </c>
      <c r="H308" s="7" t="n">
        <f aca="false">IFERROR(INDEX('Semrush Data'!$A$1:$Z$20000,MATCH(A308,'Semrush Data'!$A$1:$A$20000,0),MATCH("Keyword Difficulty*",'Semrush Data'!$A$1:$Z$1,0)),"")</f>
        <v>5</v>
      </c>
      <c r="I308" s="13" t="n">
        <f aca="false">IFERROR(INDEX('Semrush Data'!$A$1:$Z$20000,MATCH(A308,'Semrush Data'!$A$1:$A$20000,0),MATCH("CPC*",'Semrush Data'!$A$1:$Z$1,0)),"")</f>
        <v>0</v>
      </c>
      <c r="J308" s="7" t="str">
        <f aca="false">IFERROR(INDEX('Semrush Data'!$A$1:$Z$20000,MATCH(A308,'Semrush Data'!$A$1:$A$20000,0),MATCH("Intent",'Semrush Data'!$A$1:$Z$1,0)),"")</f>
        <v>Informational</v>
      </c>
    </row>
    <row r="309" customFormat="false" ht="15" hidden="false" customHeight="true" outlineLevel="0" collapsed="false">
      <c r="A309" s="7" t="s">
        <v>2561</v>
      </c>
      <c r="B309" s="7" t="s">
        <v>38</v>
      </c>
      <c r="C309" s="7" t="n">
        <v>1</v>
      </c>
      <c r="D309" s="7" t="n">
        <v>4</v>
      </c>
      <c r="E309" s="7" t="n">
        <v>1</v>
      </c>
      <c r="F309" s="7" t="s">
        <v>72</v>
      </c>
      <c r="G309" s="12" t="n">
        <f aca="false">IFERROR(INDEX('Semrush Data'!$A$1:$Z$20000,MATCH(A309,'Semrush Data'!$A$1:$A$20000,0),MATCH("Volume",'Semrush Data'!$A$1:$Z$1,0)),"")</f>
        <v>2400</v>
      </c>
      <c r="H309" s="7" t="n">
        <f aca="false">IFERROR(INDEX('Semrush Data'!$A$1:$Z$20000,MATCH(A309,'Semrush Data'!$A$1:$A$20000,0),MATCH("Keyword Difficulty*",'Semrush Data'!$A$1:$Z$1,0)),"")</f>
        <v>16</v>
      </c>
      <c r="I309" s="13" t="n">
        <f aca="false">IFERROR(INDEX('Semrush Data'!$A$1:$Z$20000,MATCH(A309,'Semrush Data'!$A$1:$A$20000,0),MATCH("CPC*",'Semrush Data'!$A$1:$Z$1,0)),"")</f>
        <v>0.27</v>
      </c>
      <c r="J309" s="7" t="str">
        <f aca="false">IFERROR(INDEX('Semrush Data'!$A$1:$Z$20000,MATCH(A309,'Semrush Data'!$A$1:$A$20000,0),MATCH("Intent",'Semrush Data'!$A$1:$Z$1,0)),"")</f>
        <v>Informational Transactional</v>
      </c>
    </row>
    <row r="310" customFormat="false" ht="15" hidden="false" customHeight="true" outlineLevel="0" collapsed="false">
      <c r="A310" s="7" t="s">
        <v>2526</v>
      </c>
      <c r="B310" s="7" t="s">
        <v>38</v>
      </c>
      <c r="C310" s="7" t="n">
        <v>1</v>
      </c>
      <c r="D310" s="7" t="n">
        <v>4</v>
      </c>
      <c r="E310" s="7" t="n">
        <v>1</v>
      </c>
      <c r="F310" s="7" t="s">
        <v>2523</v>
      </c>
      <c r="G310" s="12" t="n">
        <f aca="false">IFERROR(INDEX('Semrush Data'!$A$1:$Z$20000,MATCH(A310,'Semrush Data'!$A$1:$A$20000,0),MATCH("Volume",'Semrush Data'!$A$1:$Z$1,0)),"")</f>
        <v>20</v>
      </c>
      <c r="H310" s="7" t="n">
        <f aca="false">IFERROR(INDEX('Semrush Data'!$A$1:$Z$20000,MATCH(A310,'Semrush Data'!$A$1:$A$20000,0),MATCH("Keyword Difficulty*",'Semrush Data'!$A$1:$Z$1,0)),"")</f>
        <v>12</v>
      </c>
      <c r="I310" s="13" t="n">
        <f aca="false">IFERROR(INDEX('Semrush Data'!$A$1:$Z$20000,MATCH(A310,'Semrush Data'!$A$1:$A$20000,0),MATCH("CPC*",'Semrush Data'!$A$1:$Z$1,0)),"")</f>
        <v>0</v>
      </c>
      <c r="J310" s="7" t="str">
        <f aca="false">IFERROR(INDEX('Semrush Data'!$A$1:$Z$20000,MATCH(A310,'Semrush Data'!$A$1:$A$20000,0),MATCH("Intent",'Semrush Data'!$A$1:$Z$1,0)),"")</f>
        <v>Informational</v>
      </c>
    </row>
    <row r="311" customFormat="false" ht="15" hidden="false" customHeight="true" outlineLevel="0" collapsed="false">
      <c r="A311" s="7" t="s">
        <v>2539</v>
      </c>
      <c r="B311" s="7" t="s">
        <v>38</v>
      </c>
      <c r="C311" s="7" t="n">
        <v>1</v>
      </c>
      <c r="D311" s="7" t="n">
        <v>4</v>
      </c>
      <c r="E311" s="7" t="n">
        <v>1</v>
      </c>
      <c r="F311" s="7" t="s">
        <v>2536</v>
      </c>
      <c r="G311" s="12" t="n">
        <f aca="false">IFERROR(INDEX('Semrush Data'!$A$1:$Z$20000,MATCH(A311,'Semrush Data'!$A$1:$A$20000,0),MATCH("Volume",'Semrush Data'!$A$1:$Z$1,0)),"")</f>
        <v>110</v>
      </c>
      <c r="H311" s="7" t="n">
        <f aca="false">IFERROR(INDEX('Semrush Data'!$A$1:$Z$20000,MATCH(A311,'Semrush Data'!$A$1:$A$20000,0),MATCH("Keyword Difficulty*",'Semrush Data'!$A$1:$Z$1,0)),"")</f>
        <v>19</v>
      </c>
      <c r="I311" s="13" t="n">
        <f aca="false">IFERROR(INDEX('Semrush Data'!$A$1:$Z$20000,MATCH(A311,'Semrush Data'!$A$1:$A$20000,0),MATCH("CPC*",'Semrush Data'!$A$1:$Z$1,0)),"")</f>
        <v>0</v>
      </c>
      <c r="J311" s="7" t="str">
        <f aca="false">IFERROR(INDEX('Semrush Data'!$A$1:$Z$20000,MATCH(A311,'Semrush Data'!$A$1:$A$20000,0),MATCH("Intent",'Semrush Data'!$A$1:$Z$1,0)),"")</f>
        <v>Informational</v>
      </c>
    </row>
    <row r="312" customFormat="false" ht="15" hidden="false" customHeight="true" outlineLevel="0" collapsed="false">
      <c r="A312" s="7" t="s">
        <v>2551</v>
      </c>
      <c r="B312" s="7" t="s">
        <v>38</v>
      </c>
      <c r="C312" s="7" t="n">
        <v>1</v>
      </c>
      <c r="D312" s="7" t="n">
        <v>4</v>
      </c>
      <c r="E312" s="7" t="n">
        <v>1</v>
      </c>
      <c r="F312" s="7" t="s">
        <v>2548</v>
      </c>
      <c r="G312" s="12" t="n">
        <f aca="false">IFERROR(INDEX('Semrush Data'!$A$1:$Z$20000,MATCH(A312,'Semrush Data'!$A$1:$A$20000,0),MATCH("Volume",'Semrush Data'!$A$1:$Z$1,0)),"")</f>
        <v>110</v>
      </c>
      <c r="H312" s="7" t="n">
        <f aca="false">IFERROR(INDEX('Semrush Data'!$A$1:$Z$20000,MATCH(A312,'Semrush Data'!$A$1:$A$20000,0),MATCH("Keyword Difficulty*",'Semrush Data'!$A$1:$Z$1,0)),"")</f>
        <v>9</v>
      </c>
      <c r="I312" s="13" t="n">
        <f aca="false">IFERROR(INDEX('Semrush Data'!$A$1:$Z$20000,MATCH(A312,'Semrush Data'!$A$1:$A$20000,0),MATCH("CPC*",'Semrush Data'!$A$1:$Z$1,0)),"")</f>
        <v>0</v>
      </c>
      <c r="J312" s="7" t="str">
        <f aca="false">IFERROR(INDEX('Semrush Data'!$A$1:$Z$20000,MATCH(A312,'Semrush Data'!$A$1:$A$20000,0),MATCH("Intent",'Semrush Data'!$A$1:$Z$1,0)),"")</f>
        <v>Informational</v>
      </c>
    </row>
    <row r="313" customFormat="false" ht="15" hidden="false" customHeight="true" outlineLevel="0" collapsed="false">
      <c r="A313" s="7" t="s">
        <v>2678</v>
      </c>
      <c r="B313" s="7" t="s">
        <v>38</v>
      </c>
      <c r="C313" s="7" t="n">
        <v>1</v>
      </c>
      <c r="D313" s="7" t="n">
        <v>4</v>
      </c>
      <c r="E313" s="7" t="n">
        <v>1</v>
      </c>
      <c r="F313" s="7" t="s">
        <v>2675</v>
      </c>
      <c r="G313" s="12" t="n">
        <f aca="false">IFERROR(INDEX('Semrush Data'!$A$1:$Z$20000,MATCH(A313,'Semrush Data'!$A$1:$A$20000,0),MATCH("Volume",'Semrush Data'!$A$1:$Z$1,0)),"")</f>
        <v>20</v>
      </c>
      <c r="H313" s="7" t="n">
        <f aca="false">IFERROR(INDEX('Semrush Data'!$A$1:$Z$20000,MATCH(A313,'Semrush Data'!$A$1:$A$20000,0),MATCH("Keyword Difficulty*",'Semrush Data'!$A$1:$Z$1,0)),"")</f>
        <v>13</v>
      </c>
      <c r="I313" s="13" t="n">
        <f aca="false">IFERROR(INDEX('Semrush Data'!$A$1:$Z$20000,MATCH(A313,'Semrush Data'!$A$1:$A$20000,0),MATCH("CPC*",'Semrush Data'!$A$1:$Z$1,0)),"")</f>
        <v>0</v>
      </c>
      <c r="J313" s="7" t="str">
        <f aca="false">IFERROR(INDEX('Semrush Data'!$A$1:$Z$20000,MATCH(A313,'Semrush Data'!$A$1:$A$20000,0),MATCH("Intent",'Semrush Data'!$A$1:$Z$1,0)),"")</f>
        <v>Informational Transactional</v>
      </c>
    </row>
    <row r="314" customFormat="false" ht="15" hidden="false" customHeight="true" outlineLevel="0" collapsed="false">
      <c r="A314" s="7" t="s">
        <v>2569</v>
      </c>
      <c r="B314" s="7" t="s">
        <v>38</v>
      </c>
      <c r="C314" s="7" t="n">
        <v>1</v>
      </c>
      <c r="D314" s="7" t="n">
        <v>4</v>
      </c>
      <c r="E314" s="7" t="n">
        <v>1</v>
      </c>
      <c r="F314" s="7" t="s">
        <v>106</v>
      </c>
      <c r="G314" s="12" t="n">
        <f aca="false">IFERROR(INDEX('Semrush Data'!$A$1:$Z$20000,MATCH(A314,'Semrush Data'!$A$1:$A$20000,0),MATCH("Volume",'Semrush Data'!$A$1:$Z$1,0)),"")</f>
        <v>590</v>
      </c>
      <c r="H314" s="7" t="n">
        <f aca="false">IFERROR(INDEX('Semrush Data'!$A$1:$Z$20000,MATCH(A314,'Semrush Data'!$A$1:$A$20000,0),MATCH("Keyword Difficulty*",'Semrush Data'!$A$1:$Z$1,0)),"")</f>
        <v>12</v>
      </c>
      <c r="I314" s="13" t="n">
        <f aca="false">IFERROR(INDEX('Semrush Data'!$A$1:$Z$20000,MATCH(A314,'Semrush Data'!$A$1:$A$20000,0),MATCH("CPC*",'Semrush Data'!$A$1:$Z$1,0)),"")</f>
        <v>0.32</v>
      </c>
      <c r="J314" s="7" t="str">
        <f aca="false">IFERROR(INDEX('Semrush Data'!$A$1:$Z$20000,MATCH(A314,'Semrush Data'!$A$1:$A$20000,0),MATCH("Intent",'Semrush Data'!$A$1:$Z$1,0)),"")</f>
        <v>Informational Transactional</v>
      </c>
    </row>
    <row r="315" customFormat="false" ht="15" hidden="false" customHeight="true" outlineLevel="0" collapsed="false">
      <c r="A315" s="7" t="s">
        <v>2580</v>
      </c>
      <c r="B315" s="7" t="s">
        <v>38</v>
      </c>
      <c r="C315" s="7" t="n">
        <v>1</v>
      </c>
      <c r="D315" s="7" t="n">
        <v>4</v>
      </c>
      <c r="E315" s="7" t="n">
        <v>1</v>
      </c>
      <c r="F315" s="7" t="s">
        <v>2578</v>
      </c>
      <c r="G315" s="12" t="n">
        <f aca="false">IFERROR(INDEX('Semrush Data'!$A$1:$Z$20000,MATCH(A315,'Semrush Data'!$A$1:$A$20000,0),MATCH("Volume",'Semrush Data'!$A$1:$Z$1,0)),"")</f>
        <v>140</v>
      </c>
      <c r="H315" s="7" t="n">
        <f aca="false">IFERROR(INDEX('Semrush Data'!$A$1:$Z$20000,MATCH(A315,'Semrush Data'!$A$1:$A$20000,0),MATCH("Keyword Difficulty*",'Semrush Data'!$A$1:$Z$1,0)),"")</f>
        <v>10</v>
      </c>
      <c r="I315" s="13" t="n">
        <f aca="false">IFERROR(INDEX('Semrush Data'!$A$1:$Z$20000,MATCH(A315,'Semrush Data'!$A$1:$A$20000,0),MATCH("CPC*",'Semrush Data'!$A$1:$Z$1,0)),"")</f>
        <v>0.61</v>
      </c>
      <c r="J315" s="7" t="str">
        <f aca="false">IFERROR(INDEX('Semrush Data'!$A$1:$Z$20000,MATCH(A315,'Semrush Data'!$A$1:$A$20000,0),MATCH("Intent",'Semrush Data'!$A$1:$Z$1,0)),"")</f>
        <v>Informational Transactional</v>
      </c>
    </row>
    <row r="316" customFormat="false" ht="15" hidden="false" customHeight="true" outlineLevel="0" collapsed="false">
      <c r="A316" s="7" t="s">
        <v>2590</v>
      </c>
      <c r="B316" s="7" t="s">
        <v>38</v>
      </c>
      <c r="C316" s="7" t="n">
        <v>1</v>
      </c>
      <c r="D316" s="7" t="n">
        <v>4</v>
      </c>
      <c r="E316" s="7" t="n">
        <v>1</v>
      </c>
      <c r="F316" s="7" t="s">
        <v>116</v>
      </c>
      <c r="G316" s="12" t="n">
        <f aca="false">IFERROR(INDEX('Semrush Data'!$A$1:$Z$20000,MATCH(A316,'Semrush Data'!$A$1:$A$20000,0),MATCH("Volume",'Semrush Data'!$A$1:$Z$1,0)),"")</f>
        <v>480</v>
      </c>
      <c r="H316" s="7" t="n">
        <f aca="false">IFERROR(INDEX('Semrush Data'!$A$1:$Z$20000,MATCH(A316,'Semrush Data'!$A$1:$A$20000,0),MATCH("Keyword Difficulty*",'Semrush Data'!$A$1:$Z$1,0)),"")</f>
        <v>15</v>
      </c>
      <c r="I316" s="13" t="n">
        <f aca="false">IFERROR(INDEX('Semrush Data'!$A$1:$Z$20000,MATCH(A316,'Semrush Data'!$A$1:$A$20000,0),MATCH("CPC*",'Semrush Data'!$A$1:$Z$1,0)),"")</f>
        <v>0.33</v>
      </c>
      <c r="J316" s="7" t="str">
        <f aca="false">IFERROR(INDEX('Semrush Data'!$A$1:$Z$20000,MATCH(A316,'Semrush Data'!$A$1:$A$20000,0),MATCH("Intent",'Semrush Data'!$A$1:$Z$1,0)),"")</f>
        <v>Informational</v>
      </c>
    </row>
    <row r="317" customFormat="false" ht="15" hidden="false" customHeight="true" outlineLevel="0" collapsed="false">
      <c r="A317" s="7" t="s">
        <v>2601</v>
      </c>
      <c r="B317" s="7" t="s">
        <v>38</v>
      </c>
      <c r="C317" s="7" t="n">
        <v>1</v>
      </c>
      <c r="D317" s="7" t="n">
        <v>4</v>
      </c>
      <c r="E317" s="7" t="n">
        <v>1</v>
      </c>
      <c r="F317" s="7" t="s">
        <v>2599</v>
      </c>
      <c r="G317" s="12" t="n">
        <f aca="false">IFERROR(INDEX('Semrush Data'!$A$1:$Z$20000,MATCH(A317,'Semrush Data'!$A$1:$A$20000,0),MATCH("Volume",'Semrush Data'!$A$1:$Z$1,0)),"")</f>
        <v>20</v>
      </c>
      <c r="H317" s="7" t="n">
        <f aca="false">IFERROR(INDEX('Semrush Data'!$A$1:$Z$20000,MATCH(A317,'Semrush Data'!$A$1:$A$20000,0),MATCH("Keyword Difficulty*",'Semrush Data'!$A$1:$Z$1,0)),"")</f>
        <v>17</v>
      </c>
      <c r="I317" s="13" t="n">
        <f aca="false">IFERROR(INDEX('Semrush Data'!$A$1:$Z$20000,MATCH(A317,'Semrush Data'!$A$1:$A$20000,0),MATCH("CPC*",'Semrush Data'!$A$1:$Z$1,0)),"")</f>
        <v>0</v>
      </c>
      <c r="J317" s="7" t="str">
        <f aca="false">IFERROR(INDEX('Semrush Data'!$A$1:$Z$20000,MATCH(A317,'Semrush Data'!$A$1:$A$20000,0),MATCH("Intent",'Semrush Data'!$A$1:$Z$1,0)),"")</f>
        <v>Informational</v>
      </c>
    </row>
    <row r="318" customFormat="false" ht="15" hidden="false" customHeight="true" outlineLevel="0" collapsed="false">
      <c r="A318" s="7" t="s">
        <v>2613</v>
      </c>
      <c r="B318" s="7" t="s">
        <v>38</v>
      </c>
      <c r="C318" s="7" t="n">
        <v>1</v>
      </c>
      <c r="D318" s="7" t="n">
        <v>4</v>
      </c>
      <c r="E318" s="7" t="n">
        <v>1</v>
      </c>
      <c r="F318" s="7" t="s">
        <v>2611</v>
      </c>
      <c r="G318" s="12" t="n">
        <f aca="false">IFERROR(INDEX('Semrush Data'!$A$1:$Z$20000,MATCH(A318,'Semrush Data'!$A$1:$A$20000,0),MATCH("Volume",'Semrush Data'!$A$1:$Z$1,0)),"")</f>
        <v>320</v>
      </c>
      <c r="H318" s="7" t="n">
        <f aca="false">IFERROR(INDEX('Semrush Data'!$A$1:$Z$20000,MATCH(A318,'Semrush Data'!$A$1:$A$20000,0),MATCH("Keyword Difficulty*",'Semrush Data'!$A$1:$Z$1,0)),"")</f>
        <v>25</v>
      </c>
      <c r="I318" s="13" t="n">
        <f aca="false">IFERROR(INDEX('Semrush Data'!$A$1:$Z$20000,MATCH(A318,'Semrush Data'!$A$1:$A$20000,0),MATCH("CPC*",'Semrush Data'!$A$1:$Z$1,0)),"")</f>
        <v>0.28</v>
      </c>
      <c r="J318" s="7" t="str">
        <f aca="false">IFERROR(INDEX('Semrush Data'!$A$1:$Z$20000,MATCH(A318,'Semrush Data'!$A$1:$A$20000,0),MATCH("Intent",'Semrush Data'!$A$1:$Z$1,0)),"")</f>
        <v>Informational Transactional</v>
      </c>
    </row>
    <row r="319" customFormat="false" ht="15" hidden="false" customHeight="true" outlineLevel="0" collapsed="false">
      <c r="A319" s="7" t="s">
        <v>2633</v>
      </c>
      <c r="B319" s="7" t="s">
        <v>38</v>
      </c>
      <c r="C319" s="7" t="n">
        <v>1</v>
      </c>
      <c r="D319" s="7" t="n">
        <v>4</v>
      </c>
      <c r="E319" s="7" t="n">
        <v>1</v>
      </c>
      <c r="F319" s="7" t="s">
        <v>92</v>
      </c>
      <c r="G319" s="12" t="n">
        <f aca="false">IFERROR(INDEX('Semrush Data'!$A$1:$Z$20000,MATCH(A319,'Semrush Data'!$A$1:$A$20000,0),MATCH("Volume",'Semrush Data'!$A$1:$Z$1,0)),"")</f>
        <v>880</v>
      </c>
      <c r="H319" s="7" t="n">
        <f aca="false">IFERROR(INDEX('Semrush Data'!$A$1:$Z$20000,MATCH(A319,'Semrush Data'!$A$1:$A$20000,0),MATCH("Keyword Difficulty*",'Semrush Data'!$A$1:$Z$1,0)),"")</f>
        <v>21</v>
      </c>
      <c r="I319" s="13" t="n">
        <f aca="false">IFERROR(INDEX('Semrush Data'!$A$1:$Z$20000,MATCH(A319,'Semrush Data'!$A$1:$A$20000,0),MATCH("CPC*",'Semrush Data'!$A$1:$Z$1,0)),"")</f>
        <v>0.27</v>
      </c>
      <c r="J319" s="7" t="str">
        <f aca="false">IFERROR(INDEX('Semrush Data'!$A$1:$Z$20000,MATCH(A319,'Semrush Data'!$A$1:$A$20000,0),MATCH("Intent",'Semrush Data'!$A$1:$Z$1,0)),"")</f>
        <v>Informational Transactional</v>
      </c>
    </row>
    <row r="320" customFormat="false" ht="15" hidden="false" customHeight="true" outlineLevel="0" collapsed="false">
      <c r="A320" s="7" t="s">
        <v>2624</v>
      </c>
      <c r="B320" s="7" t="s">
        <v>38</v>
      </c>
      <c r="C320" s="7" t="n">
        <v>1</v>
      </c>
      <c r="D320" s="7" t="n">
        <v>4</v>
      </c>
      <c r="E320" s="7" t="n">
        <v>1</v>
      </c>
      <c r="F320" s="7" t="s">
        <v>2622</v>
      </c>
      <c r="G320" s="12" t="n">
        <f aca="false">IFERROR(INDEX('Semrush Data'!$A$1:$Z$20000,MATCH(A320,'Semrush Data'!$A$1:$A$20000,0),MATCH("Volume",'Semrush Data'!$A$1:$Z$1,0)),"")</f>
        <v>10</v>
      </c>
      <c r="H320" s="7" t="n">
        <f aca="false">IFERROR(INDEX('Semrush Data'!$A$1:$Z$20000,MATCH(A320,'Semrush Data'!$A$1:$A$20000,0),MATCH("Keyword Difficulty*",'Semrush Data'!$A$1:$Z$1,0)),"")</f>
        <v>7</v>
      </c>
      <c r="I320" s="13" t="n">
        <f aca="false">IFERROR(INDEX('Semrush Data'!$A$1:$Z$20000,MATCH(A320,'Semrush Data'!$A$1:$A$20000,0),MATCH("CPC*",'Semrush Data'!$A$1:$Z$1,0)),"")</f>
        <v>0</v>
      </c>
      <c r="J320" s="7" t="str">
        <f aca="false">IFERROR(INDEX('Semrush Data'!$A$1:$Z$20000,MATCH(A320,'Semrush Data'!$A$1:$A$20000,0),MATCH("Intent",'Semrush Data'!$A$1:$Z$1,0)),"")</f>
        <v>Informational Transactional</v>
      </c>
    </row>
    <row r="321" customFormat="false" ht="15" hidden="false" customHeight="true" outlineLevel="0" collapsed="false">
      <c r="A321" s="7" t="s">
        <v>2644</v>
      </c>
      <c r="B321" s="7" t="s">
        <v>38</v>
      </c>
      <c r="C321" s="7" t="n">
        <v>1</v>
      </c>
      <c r="D321" s="7" t="n">
        <v>4</v>
      </c>
      <c r="E321" s="7" t="n">
        <v>1</v>
      </c>
      <c r="F321" s="7" t="s">
        <v>2642</v>
      </c>
      <c r="G321" s="12" t="n">
        <f aca="false">IFERROR(INDEX('Semrush Data'!$A$1:$Z$20000,MATCH(A321,'Semrush Data'!$A$1:$A$20000,0),MATCH("Volume",'Semrush Data'!$A$1:$Z$1,0)),"")</f>
        <v>70</v>
      </c>
      <c r="H321" s="7" t="n">
        <f aca="false">IFERROR(INDEX('Semrush Data'!$A$1:$Z$20000,MATCH(A321,'Semrush Data'!$A$1:$A$20000,0),MATCH("Keyword Difficulty*",'Semrush Data'!$A$1:$Z$1,0)),"")</f>
        <v>19</v>
      </c>
      <c r="I321" s="13" t="n">
        <f aca="false">IFERROR(INDEX('Semrush Data'!$A$1:$Z$20000,MATCH(A321,'Semrush Data'!$A$1:$A$20000,0),MATCH("CPC*",'Semrush Data'!$A$1:$Z$1,0)),"")</f>
        <v>0</v>
      </c>
      <c r="J321" s="7" t="str">
        <f aca="false">IFERROR(INDEX('Semrush Data'!$A$1:$Z$20000,MATCH(A321,'Semrush Data'!$A$1:$A$20000,0),MATCH("Intent",'Semrush Data'!$A$1:$Z$1,0)),"")</f>
        <v>Informational</v>
      </c>
    </row>
    <row r="322" customFormat="false" ht="15" hidden="false" customHeight="true" outlineLevel="0" collapsed="false">
      <c r="A322" s="7" t="s">
        <v>2655</v>
      </c>
      <c r="B322" s="7" t="s">
        <v>38</v>
      </c>
      <c r="C322" s="7" t="n">
        <v>1</v>
      </c>
      <c r="D322" s="7" t="n">
        <v>4</v>
      </c>
      <c r="E322" s="7" t="n">
        <v>1</v>
      </c>
      <c r="F322" s="7" t="s">
        <v>2653</v>
      </c>
      <c r="G322" s="12" t="n">
        <f aca="false">IFERROR(INDEX('Semrush Data'!$A$1:$Z$20000,MATCH(A322,'Semrush Data'!$A$1:$A$20000,0),MATCH("Volume",'Semrush Data'!$A$1:$Z$1,0)),"")</f>
        <v>20</v>
      </c>
      <c r="H322" s="7" t="n">
        <f aca="false">IFERROR(INDEX('Semrush Data'!$A$1:$Z$20000,MATCH(A322,'Semrush Data'!$A$1:$A$20000,0),MATCH("Keyword Difficulty*",'Semrush Data'!$A$1:$Z$1,0)),"")</f>
        <v>6</v>
      </c>
      <c r="I322" s="13" t="n">
        <f aca="false">IFERROR(INDEX('Semrush Data'!$A$1:$Z$20000,MATCH(A322,'Semrush Data'!$A$1:$A$20000,0),MATCH("CPC*",'Semrush Data'!$A$1:$Z$1,0)),"")</f>
        <v>0</v>
      </c>
      <c r="J322" s="7" t="str">
        <f aca="false">IFERROR(INDEX('Semrush Data'!$A$1:$Z$20000,MATCH(A322,'Semrush Data'!$A$1:$A$20000,0),MATCH("Intent",'Semrush Data'!$A$1:$Z$1,0)),"")</f>
        <v>Navigational</v>
      </c>
    </row>
    <row r="323" customFormat="false" ht="15" hidden="false" customHeight="true" outlineLevel="0" collapsed="false">
      <c r="A323" s="7" t="s">
        <v>2666</v>
      </c>
      <c r="B323" s="7" t="s">
        <v>38</v>
      </c>
      <c r="C323" s="7" t="n">
        <v>1</v>
      </c>
      <c r="D323" s="7" t="n">
        <v>4</v>
      </c>
      <c r="E323" s="7" t="n">
        <v>1</v>
      </c>
      <c r="F323" s="7" t="s">
        <v>2664</v>
      </c>
      <c r="G323" s="12" t="n">
        <f aca="false">IFERROR(INDEX('Semrush Data'!$A$1:$Z$20000,MATCH(A323,'Semrush Data'!$A$1:$A$20000,0),MATCH("Volume",'Semrush Data'!$A$1:$Z$1,0)),"")</f>
        <v>110</v>
      </c>
      <c r="H323" s="7" t="n">
        <f aca="false">IFERROR(INDEX('Semrush Data'!$A$1:$Z$20000,MATCH(A323,'Semrush Data'!$A$1:$A$20000,0),MATCH("Keyword Difficulty*",'Semrush Data'!$A$1:$Z$1,0)),"")</f>
        <v>22</v>
      </c>
      <c r="I323" s="13" t="n">
        <f aca="false">IFERROR(INDEX('Semrush Data'!$A$1:$Z$20000,MATCH(A323,'Semrush Data'!$A$1:$A$20000,0),MATCH("CPC*",'Semrush Data'!$A$1:$Z$1,0)),"")</f>
        <v>0.41</v>
      </c>
      <c r="J323" s="7" t="str">
        <f aca="false">IFERROR(INDEX('Semrush Data'!$A$1:$Z$20000,MATCH(A323,'Semrush Data'!$A$1:$A$20000,0),MATCH("Intent",'Semrush Data'!$A$1:$Z$1,0)),"")</f>
        <v>Informational</v>
      </c>
    </row>
    <row r="324" customFormat="false" ht="15" hidden="false" customHeight="true" outlineLevel="0" collapsed="false">
      <c r="A324" s="7" t="s">
        <v>2691</v>
      </c>
      <c r="B324" s="7" t="s">
        <v>38</v>
      </c>
      <c r="C324" s="7" t="n">
        <v>1</v>
      </c>
      <c r="D324" s="7" t="n">
        <v>4</v>
      </c>
      <c r="E324" s="7" t="n">
        <v>3</v>
      </c>
      <c r="F324" s="7" t="s">
        <v>6784</v>
      </c>
      <c r="G324" s="12" t="n">
        <f aca="false">IFERROR(INDEX('Semrush Data'!$A$1:$Z$20000,MATCH(A324,'Semrush Data'!$A$1:$A$20000,0),MATCH("Volume",'Semrush Data'!$A$1:$Z$1,0)),"")</f>
        <v>0</v>
      </c>
      <c r="H324" s="7" t="n">
        <f aca="false">IFERROR(INDEX('Semrush Data'!$A$1:$Z$20000,MATCH(A324,'Semrush Data'!$A$1:$A$20000,0),MATCH("Keyword Difficulty*",'Semrush Data'!$A$1:$Z$1,0)),"")</f>
        <v>17</v>
      </c>
      <c r="I324" s="13" t="n">
        <f aca="false">IFERROR(INDEX('Semrush Data'!$A$1:$Z$20000,MATCH(A324,'Semrush Data'!$A$1:$A$20000,0),MATCH("CPC*",'Semrush Data'!$A$1:$Z$1,0)),"")</f>
        <v>0</v>
      </c>
      <c r="J324" s="7" t="str">
        <f aca="false">IFERROR(INDEX('Semrush Data'!$A$1:$Z$20000,MATCH(A324,'Semrush Data'!$A$1:$A$20000,0),MATCH("Intent",'Semrush Data'!$A$1:$Z$1,0)),"")</f>
        <v>Navigational</v>
      </c>
    </row>
    <row r="325" customFormat="false" ht="15" hidden="false" customHeight="true" outlineLevel="0" collapsed="false">
      <c r="A325" s="7" t="s">
        <v>2705</v>
      </c>
      <c r="B325" s="7" t="s">
        <v>38</v>
      </c>
      <c r="C325" s="7" t="n">
        <v>1</v>
      </c>
      <c r="D325" s="7" t="n">
        <v>4</v>
      </c>
      <c r="E325" s="7" t="n">
        <v>3</v>
      </c>
      <c r="F325" s="7" t="s">
        <v>6785</v>
      </c>
      <c r="G325" s="12" t="n">
        <f aca="false">IFERROR(INDEX('Semrush Data'!$A$1:$Z$20000,MATCH(A325,'Semrush Data'!$A$1:$A$20000,0),MATCH("Volume",'Semrush Data'!$A$1:$Z$1,0)),"")</f>
        <v>0</v>
      </c>
      <c r="H325" s="7" t="n">
        <f aca="false">IFERROR(INDEX('Semrush Data'!$A$1:$Z$20000,MATCH(A325,'Semrush Data'!$A$1:$A$20000,0),MATCH("Keyword Difficulty*",'Semrush Data'!$A$1:$Z$1,0)),"")</f>
        <v>12</v>
      </c>
      <c r="I325" s="13" t="n">
        <f aca="false">IFERROR(INDEX('Semrush Data'!$A$1:$Z$20000,MATCH(A325,'Semrush Data'!$A$1:$A$20000,0),MATCH("CPC*",'Semrush Data'!$A$1:$Z$1,0)),"")</f>
        <v>0</v>
      </c>
      <c r="J325" s="7" t="str">
        <f aca="false">IFERROR(INDEX('Semrush Data'!$A$1:$Z$20000,MATCH(A325,'Semrush Data'!$A$1:$A$20000,0),MATCH("Intent",'Semrush Data'!$A$1:$Z$1,0)),"")</f>
        <v>Navigational</v>
      </c>
    </row>
    <row r="326" customFormat="false" ht="15" hidden="false" customHeight="true" outlineLevel="0" collapsed="false">
      <c r="A326" s="7" t="s">
        <v>2718</v>
      </c>
      <c r="B326" s="7" t="s">
        <v>38</v>
      </c>
      <c r="C326" s="7" t="n">
        <v>1</v>
      </c>
      <c r="D326" s="7" t="n">
        <v>4</v>
      </c>
      <c r="E326" s="7" t="n">
        <v>3</v>
      </c>
      <c r="F326" s="7" t="s">
        <v>6786</v>
      </c>
      <c r="G326" s="12" t="n">
        <f aca="false">IFERROR(INDEX('Semrush Data'!$A$1:$Z$20000,MATCH(A326,'Semrush Data'!$A$1:$A$20000,0),MATCH("Volume",'Semrush Data'!$A$1:$Z$1,0)),"")</f>
        <v>0</v>
      </c>
      <c r="H326" s="7" t="n">
        <f aca="false">IFERROR(INDEX('Semrush Data'!$A$1:$Z$20000,MATCH(A326,'Semrush Data'!$A$1:$A$20000,0),MATCH("Keyword Difficulty*",'Semrush Data'!$A$1:$Z$1,0)),"")</f>
        <v>3</v>
      </c>
      <c r="I326" s="13" t="n">
        <f aca="false">IFERROR(INDEX('Semrush Data'!$A$1:$Z$20000,MATCH(A326,'Semrush Data'!$A$1:$A$20000,0),MATCH("CPC*",'Semrush Data'!$A$1:$Z$1,0)),"")</f>
        <v>0</v>
      </c>
      <c r="J326" s="7" t="str">
        <f aca="false">IFERROR(INDEX('Semrush Data'!$A$1:$Z$20000,MATCH(A326,'Semrush Data'!$A$1:$A$20000,0),MATCH("Intent",'Semrush Data'!$A$1:$Z$1,0)),"")</f>
        <v>Informational Navigational</v>
      </c>
    </row>
    <row r="327" customFormat="false" ht="15" hidden="false" customHeight="true" outlineLevel="0" collapsed="false">
      <c r="A327" s="7" t="s">
        <v>2730</v>
      </c>
      <c r="B327" s="7" t="s">
        <v>38</v>
      </c>
      <c r="C327" s="7" t="n">
        <v>1</v>
      </c>
      <c r="D327" s="7" t="n">
        <v>4</v>
      </c>
      <c r="E327" s="7" t="n">
        <v>3</v>
      </c>
      <c r="F327" s="7" t="s">
        <v>6787</v>
      </c>
      <c r="G327" s="12" t="n">
        <f aca="false">IFERROR(INDEX('Semrush Data'!$A$1:$Z$20000,MATCH(A327,'Semrush Data'!$A$1:$A$20000,0),MATCH("Volume",'Semrush Data'!$A$1:$Z$1,0)),"")</f>
        <v>0</v>
      </c>
      <c r="H327" s="7" t="n">
        <f aca="false">IFERROR(INDEX('Semrush Data'!$A$1:$Z$20000,MATCH(A327,'Semrush Data'!$A$1:$A$20000,0),MATCH("Keyword Difficulty*",'Semrush Data'!$A$1:$Z$1,0)),"")</f>
        <v>12</v>
      </c>
      <c r="I327" s="13" t="n">
        <f aca="false">IFERROR(INDEX('Semrush Data'!$A$1:$Z$20000,MATCH(A327,'Semrush Data'!$A$1:$A$20000,0),MATCH("CPC*",'Semrush Data'!$A$1:$Z$1,0)),"")</f>
        <v>0</v>
      </c>
      <c r="J327" s="7" t="str">
        <f aca="false">IFERROR(INDEX('Semrush Data'!$A$1:$Z$20000,MATCH(A327,'Semrush Data'!$A$1:$A$20000,0),MATCH("Intent",'Semrush Data'!$A$1:$Z$1,0)),"")</f>
        <v>Navigational</v>
      </c>
    </row>
    <row r="328" customFormat="false" ht="15" hidden="false" customHeight="true" outlineLevel="0" collapsed="false">
      <c r="A328" s="7" t="s">
        <v>2743</v>
      </c>
      <c r="B328" s="7" t="s">
        <v>38</v>
      </c>
      <c r="C328" s="7" t="n">
        <v>1</v>
      </c>
      <c r="D328" s="7" t="n">
        <v>4</v>
      </c>
      <c r="E328" s="7" t="n">
        <v>4</v>
      </c>
      <c r="F328" s="7" t="s">
        <v>6788</v>
      </c>
      <c r="G328" s="12" t="n">
        <f aca="false">IFERROR(INDEX('Semrush Data'!$A$1:$Z$20000,MATCH(A328,'Semrush Data'!$A$1:$A$20000,0),MATCH("Volume",'Semrush Data'!$A$1:$Z$1,0)),"")</f>
        <v>0</v>
      </c>
      <c r="H328" s="7" t="n">
        <f aca="false">IFERROR(INDEX('Semrush Data'!$A$1:$Z$20000,MATCH(A328,'Semrush Data'!$A$1:$A$20000,0),MATCH("Keyword Difficulty*",'Semrush Data'!$A$1:$Z$1,0)),"")</f>
        <v>12</v>
      </c>
      <c r="I328" s="13" t="n">
        <f aca="false">IFERROR(INDEX('Semrush Data'!$A$1:$Z$20000,MATCH(A328,'Semrush Data'!$A$1:$A$20000,0),MATCH("CPC*",'Semrush Data'!$A$1:$Z$1,0)),"")</f>
        <v>0</v>
      </c>
      <c r="J328" s="7" t="str">
        <f aca="false">IFERROR(INDEX('Semrush Data'!$A$1:$Z$20000,MATCH(A328,'Semrush Data'!$A$1:$A$20000,0),MATCH("Intent",'Semrush Data'!$A$1:$Z$1,0)),"")</f>
        <v>Navigational</v>
      </c>
    </row>
    <row r="329" customFormat="false" ht="15" hidden="false" customHeight="true" outlineLevel="0" collapsed="false">
      <c r="A329" s="7" t="s">
        <v>2760</v>
      </c>
      <c r="B329" s="7" t="s">
        <v>38</v>
      </c>
      <c r="C329" s="7" t="n">
        <v>1</v>
      </c>
      <c r="D329" s="7" t="n">
        <v>4</v>
      </c>
      <c r="E329" s="7" t="n">
        <v>1</v>
      </c>
      <c r="F329" s="7" t="s">
        <v>136</v>
      </c>
      <c r="G329" s="12" t="n">
        <f aca="false">IFERROR(INDEX('Semrush Data'!$A$1:$Z$20000,MATCH(A329,'Semrush Data'!$A$1:$A$20000,0),MATCH("Volume",'Semrush Data'!$A$1:$Z$1,0)),"")</f>
        <v>390</v>
      </c>
      <c r="H329" s="7" t="n">
        <f aca="false">IFERROR(INDEX('Semrush Data'!$A$1:$Z$20000,MATCH(A329,'Semrush Data'!$A$1:$A$20000,0),MATCH("Keyword Difficulty*",'Semrush Data'!$A$1:$Z$1,0)),"")</f>
        <v>19</v>
      </c>
      <c r="I329" s="13" t="n">
        <f aca="false">IFERROR(INDEX('Semrush Data'!$A$1:$Z$20000,MATCH(A329,'Semrush Data'!$A$1:$A$20000,0),MATCH("CPC*",'Semrush Data'!$A$1:$Z$1,0)),"")</f>
        <v>0.33</v>
      </c>
      <c r="J329" s="7" t="str">
        <f aca="false">IFERROR(INDEX('Semrush Data'!$A$1:$Z$20000,MATCH(A329,'Semrush Data'!$A$1:$A$20000,0),MATCH("Intent",'Semrush Data'!$A$1:$Z$1,0)),"")</f>
        <v>Informational</v>
      </c>
    </row>
    <row r="330" customFormat="false" ht="15" hidden="false" customHeight="true" outlineLevel="0" collapsed="false">
      <c r="A330" s="7" t="s">
        <v>2775</v>
      </c>
      <c r="B330" s="7" t="s">
        <v>38</v>
      </c>
      <c r="C330" s="7" t="n">
        <v>1</v>
      </c>
      <c r="D330" s="7" t="n">
        <v>4</v>
      </c>
      <c r="E330" s="7" t="n">
        <v>1</v>
      </c>
      <c r="F330" s="7" t="s">
        <v>2770</v>
      </c>
      <c r="G330" s="12" t="n">
        <f aca="false">IFERROR(INDEX('Semrush Data'!$A$1:$Z$20000,MATCH(A330,'Semrush Data'!$A$1:$A$20000,0),MATCH("Volume",'Semrush Data'!$A$1:$Z$1,0)),"")</f>
        <v>0</v>
      </c>
      <c r="H330" s="7" t="n">
        <f aca="false">IFERROR(INDEX('Semrush Data'!$A$1:$Z$20000,MATCH(A330,'Semrush Data'!$A$1:$A$20000,0),MATCH("Keyword Difficulty*",'Semrush Data'!$A$1:$Z$1,0)),"")</f>
        <v>9</v>
      </c>
      <c r="I330" s="13" t="n">
        <f aca="false">IFERROR(INDEX('Semrush Data'!$A$1:$Z$20000,MATCH(A330,'Semrush Data'!$A$1:$A$20000,0),MATCH("CPC*",'Semrush Data'!$A$1:$Z$1,0)),"")</f>
        <v>0</v>
      </c>
      <c r="J330" s="7" t="str">
        <f aca="false">IFERROR(INDEX('Semrush Data'!$A$1:$Z$20000,MATCH(A330,'Semrush Data'!$A$1:$A$20000,0),MATCH("Intent",'Semrush Data'!$A$1:$Z$1,0)),"")</f>
        <v>Informational</v>
      </c>
    </row>
    <row r="331" customFormat="false" ht="15" hidden="false" customHeight="true" outlineLevel="0" collapsed="false">
      <c r="A331" s="7" t="s">
        <v>2786</v>
      </c>
      <c r="B331" s="7" t="s">
        <v>38</v>
      </c>
      <c r="C331" s="7" t="n">
        <v>1</v>
      </c>
      <c r="D331" s="7" t="n">
        <v>4</v>
      </c>
      <c r="E331" s="7" t="n">
        <v>1</v>
      </c>
      <c r="F331" s="7" t="s">
        <v>2784</v>
      </c>
      <c r="G331" s="12" t="n">
        <f aca="false">IFERROR(INDEX('Semrush Data'!$A$1:$Z$20000,MATCH(A331,'Semrush Data'!$A$1:$A$20000,0),MATCH("Volume",'Semrush Data'!$A$1:$Z$1,0)),"")</f>
        <v>0</v>
      </c>
      <c r="H331" s="7" t="n">
        <f aca="false">IFERROR(INDEX('Semrush Data'!$A$1:$Z$20000,MATCH(A331,'Semrush Data'!$A$1:$A$20000,0),MATCH("Keyword Difficulty*",'Semrush Data'!$A$1:$Z$1,0)),"")</f>
        <v>17</v>
      </c>
      <c r="I331" s="13" t="n">
        <f aca="false">IFERROR(INDEX('Semrush Data'!$A$1:$Z$20000,MATCH(A331,'Semrush Data'!$A$1:$A$20000,0),MATCH("CPC*",'Semrush Data'!$A$1:$Z$1,0)),"")</f>
        <v>0</v>
      </c>
      <c r="J331" s="7" t="str">
        <f aca="false">IFERROR(INDEX('Semrush Data'!$A$1:$Z$20000,MATCH(A331,'Semrush Data'!$A$1:$A$20000,0),MATCH("Intent",'Semrush Data'!$A$1:$Z$1,0)),"")</f>
        <v>Informational</v>
      </c>
    </row>
    <row r="332" customFormat="false" ht="15" hidden="false" customHeight="true" outlineLevel="0" collapsed="false">
      <c r="A332" s="7" t="s">
        <v>2797</v>
      </c>
      <c r="B332" s="7" t="s">
        <v>38</v>
      </c>
      <c r="C332" s="7" t="n">
        <v>1</v>
      </c>
      <c r="D332" s="7" t="n">
        <v>4</v>
      </c>
      <c r="E332" s="7" t="n">
        <v>1</v>
      </c>
      <c r="F332" s="7" t="s">
        <v>2795</v>
      </c>
      <c r="G332" s="12" t="n">
        <f aca="false">IFERROR(INDEX('Semrush Data'!$A$1:$Z$20000,MATCH(A332,'Semrush Data'!$A$1:$A$20000,0),MATCH("Volume",'Semrush Data'!$A$1:$Z$1,0)),"")</f>
        <v>20</v>
      </c>
      <c r="H332" s="7" t="n">
        <f aca="false">IFERROR(INDEX('Semrush Data'!$A$1:$Z$20000,MATCH(A332,'Semrush Data'!$A$1:$A$20000,0),MATCH("Keyword Difficulty*",'Semrush Data'!$A$1:$Z$1,0)),"")</f>
        <v>7</v>
      </c>
      <c r="I332" s="13" t="n">
        <f aca="false">IFERROR(INDEX('Semrush Data'!$A$1:$Z$20000,MATCH(A332,'Semrush Data'!$A$1:$A$20000,0),MATCH("CPC*",'Semrush Data'!$A$1:$Z$1,0)),"")</f>
        <v>0</v>
      </c>
      <c r="J332" s="7" t="str">
        <f aca="false">IFERROR(INDEX('Semrush Data'!$A$1:$Z$20000,MATCH(A332,'Semrush Data'!$A$1:$A$20000,0),MATCH("Intent",'Semrush Data'!$A$1:$Z$1,0)),"")</f>
        <v>Informational Transactional</v>
      </c>
    </row>
    <row r="333" customFormat="false" ht="15" hidden="false" customHeight="true" outlineLevel="0" collapsed="false">
      <c r="A333" s="7" t="s">
        <v>2810</v>
      </c>
      <c r="B333" s="7" t="s">
        <v>38</v>
      </c>
      <c r="C333" s="7" t="n">
        <v>1</v>
      </c>
      <c r="D333" s="7" t="n">
        <v>4</v>
      </c>
      <c r="E333" s="7" t="n">
        <v>1</v>
      </c>
      <c r="F333" s="7" t="s">
        <v>2807</v>
      </c>
      <c r="G333" s="12" t="n">
        <f aca="false">IFERROR(INDEX('Semrush Data'!$A$1:$Z$20000,MATCH(A333,'Semrush Data'!$A$1:$A$20000,0),MATCH("Volume",'Semrush Data'!$A$1:$Z$1,0)),"")</f>
        <v>20</v>
      </c>
      <c r="H333" s="7" t="n">
        <f aca="false">IFERROR(INDEX('Semrush Data'!$A$1:$Z$20000,MATCH(A333,'Semrush Data'!$A$1:$A$20000,0),MATCH("Keyword Difficulty*",'Semrush Data'!$A$1:$Z$1,0)),"")</f>
        <v>16</v>
      </c>
      <c r="I333" s="13" t="n">
        <f aca="false">IFERROR(INDEX('Semrush Data'!$A$1:$Z$20000,MATCH(A333,'Semrush Data'!$A$1:$A$20000,0),MATCH("CPC*",'Semrush Data'!$A$1:$Z$1,0)),"")</f>
        <v>0</v>
      </c>
      <c r="J333" s="7" t="str">
        <f aca="false">IFERROR(INDEX('Semrush Data'!$A$1:$Z$20000,MATCH(A333,'Semrush Data'!$A$1:$A$20000,0),MATCH("Intent",'Semrush Data'!$A$1:$Z$1,0)),"")</f>
        <v>Informational Transactional</v>
      </c>
    </row>
    <row r="334" customFormat="false" ht="15" hidden="false" customHeight="true" outlineLevel="0" collapsed="false">
      <c r="A334" s="7" t="s">
        <v>2822</v>
      </c>
      <c r="B334" s="7" t="s">
        <v>38</v>
      </c>
      <c r="C334" s="7" t="n">
        <v>1</v>
      </c>
      <c r="D334" s="7" t="n">
        <v>4</v>
      </c>
      <c r="E334" s="7" t="n">
        <v>1</v>
      </c>
      <c r="F334" s="7" t="s">
        <v>2820</v>
      </c>
      <c r="G334" s="12" t="n">
        <f aca="false">IFERROR(INDEX('Semrush Data'!$A$1:$Z$20000,MATCH(A334,'Semrush Data'!$A$1:$A$20000,0),MATCH("Volume",'Semrush Data'!$A$1:$Z$1,0)),"")</f>
        <v>20</v>
      </c>
      <c r="H334" s="7" t="n">
        <f aca="false">IFERROR(INDEX('Semrush Data'!$A$1:$Z$20000,MATCH(A334,'Semrush Data'!$A$1:$A$20000,0),MATCH("Keyword Difficulty*",'Semrush Data'!$A$1:$Z$1,0)),"")</f>
        <v>9</v>
      </c>
      <c r="I334" s="13" t="n">
        <f aca="false">IFERROR(INDEX('Semrush Data'!$A$1:$Z$20000,MATCH(A334,'Semrush Data'!$A$1:$A$20000,0),MATCH("CPC*",'Semrush Data'!$A$1:$Z$1,0)),"")</f>
        <v>0</v>
      </c>
      <c r="J334" s="7" t="str">
        <f aca="false">IFERROR(INDEX('Semrush Data'!$A$1:$Z$20000,MATCH(A334,'Semrush Data'!$A$1:$A$20000,0),MATCH("Intent",'Semrush Data'!$A$1:$Z$1,0)),"")</f>
        <v>Informational Transactional</v>
      </c>
    </row>
    <row r="335" customFormat="false" ht="15" hidden="false" customHeight="true" outlineLevel="0" collapsed="false">
      <c r="A335" s="7" t="s">
        <v>2834</v>
      </c>
      <c r="B335" s="7" t="s">
        <v>38</v>
      </c>
      <c r="C335" s="7" t="n">
        <v>1</v>
      </c>
      <c r="D335" s="7" t="n">
        <v>4</v>
      </c>
      <c r="E335" s="7" t="n">
        <v>1</v>
      </c>
      <c r="F335" s="7" t="s">
        <v>2831</v>
      </c>
      <c r="G335" s="12" t="n">
        <f aca="false">IFERROR(INDEX('Semrush Data'!$A$1:$Z$20000,MATCH(A335,'Semrush Data'!$A$1:$A$20000,0),MATCH("Volume",'Semrush Data'!$A$1:$Z$1,0)),"")</f>
        <v>20</v>
      </c>
      <c r="H335" s="7" t="n">
        <f aca="false">IFERROR(INDEX('Semrush Data'!$A$1:$Z$20000,MATCH(A335,'Semrush Data'!$A$1:$A$20000,0),MATCH("Keyword Difficulty*",'Semrush Data'!$A$1:$Z$1,0)),"")</f>
        <v>9</v>
      </c>
      <c r="I335" s="13" t="n">
        <f aca="false">IFERROR(INDEX('Semrush Data'!$A$1:$Z$20000,MATCH(A335,'Semrush Data'!$A$1:$A$20000,0),MATCH("CPC*",'Semrush Data'!$A$1:$Z$1,0)),"")</f>
        <v>0</v>
      </c>
      <c r="J335" s="7" t="str">
        <f aca="false">IFERROR(INDEX('Semrush Data'!$A$1:$Z$20000,MATCH(A335,'Semrush Data'!$A$1:$A$20000,0),MATCH("Intent",'Semrush Data'!$A$1:$Z$1,0)),"")</f>
        <v>Informational</v>
      </c>
    </row>
    <row r="336" customFormat="false" ht="15" hidden="false" customHeight="true" outlineLevel="0" collapsed="false">
      <c r="A336" s="7" t="s">
        <v>2847</v>
      </c>
      <c r="B336" s="7" t="s">
        <v>38</v>
      </c>
      <c r="C336" s="7" t="n">
        <v>1</v>
      </c>
      <c r="D336" s="7" t="n">
        <v>4</v>
      </c>
      <c r="E336" s="7" t="n">
        <v>1</v>
      </c>
      <c r="F336" s="7" t="s">
        <v>2844</v>
      </c>
      <c r="G336" s="12" t="n">
        <f aca="false">IFERROR(INDEX('Semrush Data'!$A$1:$Z$20000,MATCH(A336,'Semrush Data'!$A$1:$A$20000,0),MATCH("Volume",'Semrush Data'!$A$1:$Z$1,0)),"")</f>
        <v>30</v>
      </c>
      <c r="H336" s="7" t="n">
        <f aca="false">IFERROR(INDEX('Semrush Data'!$A$1:$Z$20000,MATCH(A336,'Semrush Data'!$A$1:$A$20000,0),MATCH("Keyword Difficulty*",'Semrush Data'!$A$1:$Z$1,0)),"")</f>
        <v>47</v>
      </c>
      <c r="I336" s="13" t="n">
        <f aca="false">IFERROR(INDEX('Semrush Data'!$A$1:$Z$20000,MATCH(A336,'Semrush Data'!$A$1:$A$20000,0),MATCH("CPC*",'Semrush Data'!$A$1:$Z$1,0)),"")</f>
        <v>0</v>
      </c>
      <c r="J336" s="7" t="str">
        <f aca="false">IFERROR(INDEX('Semrush Data'!$A$1:$Z$20000,MATCH(A336,'Semrush Data'!$A$1:$A$20000,0),MATCH("Intent",'Semrush Data'!$A$1:$Z$1,0)),"")</f>
        <v>Informational</v>
      </c>
    </row>
    <row r="337" customFormat="false" ht="15" hidden="false" customHeight="true" outlineLevel="0" collapsed="false">
      <c r="A337" s="7" t="s">
        <v>2860</v>
      </c>
      <c r="B337" s="7" t="s">
        <v>38</v>
      </c>
      <c r="C337" s="7" t="n">
        <v>1</v>
      </c>
      <c r="D337" s="7" t="n">
        <v>4</v>
      </c>
      <c r="E337" s="7" t="n">
        <v>1</v>
      </c>
      <c r="F337" s="7" t="s">
        <v>2857</v>
      </c>
      <c r="G337" s="12" t="n">
        <f aca="false">IFERROR(INDEX('Semrush Data'!$A$1:$Z$20000,MATCH(A337,'Semrush Data'!$A$1:$A$20000,0),MATCH("Volume",'Semrush Data'!$A$1:$Z$1,0)),"")</f>
        <v>90</v>
      </c>
      <c r="H337" s="7" t="n">
        <f aca="false">IFERROR(INDEX('Semrush Data'!$A$1:$Z$20000,MATCH(A337,'Semrush Data'!$A$1:$A$20000,0),MATCH("Keyword Difficulty*",'Semrush Data'!$A$1:$Z$1,0)),"")</f>
        <v>10</v>
      </c>
      <c r="I337" s="13" t="n">
        <f aca="false">IFERROR(INDEX('Semrush Data'!$A$1:$Z$20000,MATCH(A337,'Semrush Data'!$A$1:$A$20000,0),MATCH("CPC*",'Semrush Data'!$A$1:$Z$1,0)),"")</f>
        <v>0</v>
      </c>
      <c r="J337" s="7" t="str">
        <f aca="false">IFERROR(INDEX('Semrush Data'!$A$1:$Z$20000,MATCH(A337,'Semrush Data'!$A$1:$A$20000,0),MATCH("Intent",'Semrush Data'!$A$1:$Z$1,0)),"")</f>
        <v>Informational</v>
      </c>
    </row>
    <row r="338" customFormat="false" ht="15" hidden="false" customHeight="true" outlineLevel="0" collapsed="false">
      <c r="A338" s="7" t="s">
        <v>2898</v>
      </c>
      <c r="B338" s="7" t="s">
        <v>38</v>
      </c>
      <c r="C338" s="7" t="n">
        <v>1</v>
      </c>
      <c r="D338" s="7" t="n">
        <v>4</v>
      </c>
      <c r="E338" s="7" t="n">
        <v>1</v>
      </c>
      <c r="F338" s="7" t="s">
        <v>2896</v>
      </c>
      <c r="G338" s="12" t="n">
        <f aca="false">IFERROR(INDEX('Semrush Data'!$A$1:$Z$20000,MATCH(A338,'Semrush Data'!$A$1:$A$20000,0),MATCH("Volume",'Semrush Data'!$A$1:$Z$1,0)),"")</f>
        <v>140</v>
      </c>
      <c r="H338" s="7" t="n">
        <f aca="false">IFERROR(INDEX('Semrush Data'!$A$1:$Z$20000,MATCH(A338,'Semrush Data'!$A$1:$A$20000,0),MATCH("Keyword Difficulty*",'Semrush Data'!$A$1:$Z$1,0)),"")</f>
        <v>29</v>
      </c>
      <c r="I338" s="13" t="n">
        <f aca="false">IFERROR(INDEX('Semrush Data'!$A$1:$Z$20000,MATCH(A338,'Semrush Data'!$A$1:$A$20000,0),MATCH("CPC*",'Semrush Data'!$A$1:$Z$1,0)),"")</f>
        <v>0</v>
      </c>
      <c r="J338" s="7" t="str">
        <f aca="false">IFERROR(INDEX('Semrush Data'!$A$1:$Z$20000,MATCH(A338,'Semrush Data'!$A$1:$A$20000,0),MATCH("Intent",'Semrush Data'!$A$1:$Z$1,0)),"")</f>
        <v>Informational</v>
      </c>
    </row>
    <row r="339" customFormat="false" ht="15" hidden="false" customHeight="true" outlineLevel="0" collapsed="false">
      <c r="A339" s="7" t="s">
        <v>2933</v>
      </c>
      <c r="B339" s="7" t="s">
        <v>38</v>
      </c>
      <c r="C339" s="7" t="n">
        <v>1</v>
      </c>
      <c r="D339" s="7" t="n">
        <v>4</v>
      </c>
      <c r="E339" s="7" t="n">
        <v>1</v>
      </c>
      <c r="F339" s="7" t="s">
        <v>84</v>
      </c>
      <c r="G339" s="12" t="n">
        <f aca="false">IFERROR(INDEX('Semrush Data'!$A$1:$Z$20000,MATCH(A339,'Semrush Data'!$A$1:$A$20000,0),MATCH("Volume",'Semrush Data'!$A$1:$Z$1,0)),"")</f>
        <v>1300</v>
      </c>
      <c r="H339" s="7" t="n">
        <f aca="false">IFERROR(INDEX('Semrush Data'!$A$1:$Z$20000,MATCH(A339,'Semrush Data'!$A$1:$A$20000,0),MATCH("Keyword Difficulty*",'Semrush Data'!$A$1:$Z$1,0)),"")</f>
        <v>19</v>
      </c>
      <c r="I339" s="13" t="n">
        <f aca="false">IFERROR(INDEX('Semrush Data'!$A$1:$Z$20000,MATCH(A339,'Semrush Data'!$A$1:$A$20000,0),MATCH("CPC*",'Semrush Data'!$A$1:$Z$1,0)),"")</f>
        <v>0.34</v>
      </c>
      <c r="J339" s="7" t="str">
        <f aca="false">IFERROR(INDEX('Semrush Data'!$A$1:$Z$20000,MATCH(A339,'Semrush Data'!$A$1:$A$20000,0),MATCH("Intent",'Semrush Data'!$A$1:$Z$1,0)),"")</f>
        <v>Informational Transactional</v>
      </c>
    </row>
    <row r="340" customFormat="false" ht="15" hidden="false" customHeight="true" outlineLevel="0" collapsed="false">
      <c r="A340" s="7" t="s">
        <v>2920</v>
      </c>
      <c r="B340" s="7" t="s">
        <v>38</v>
      </c>
      <c r="C340" s="7" t="n">
        <v>1</v>
      </c>
      <c r="D340" s="7" t="n">
        <v>4</v>
      </c>
      <c r="E340" s="7" t="n">
        <v>2</v>
      </c>
      <c r="F340" s="7" t="s">
        <v>6789</v>
      </c>
      <c r="G340" s="12" t="n">
        <f aca="false">IFERROR(INDEX('Semrush Data'!$A$1:$Z$20000,MATCH(A340,'Semrush Data'!$A$1:$A$20000,0),MATCH("Volume",'Semrush Data'!$A$1:$Z$1,0)),"")</f>
        <v>0</v>
      </c>
      <c r="H340" s="7" t="n">
        <f aca="false">IFERROR(INDEX('Semrush Data'!$A$1:$Z$20000,MATCH(A340,'Semrush Data'!$A$1:$A$20000,0),MATCH("Keyword Difficulty*",'Semrush Data'!$A$1:$Z$1,0)),"")</f>
        <v>23</v>
      </c>
      <c r="I340" s="13" t="n">
        <f aca="false">IFERROR(INDEX('Semrush Data'!$A$1:$Z$20000,MATCH(A340,'Semrush Data'!$A$1:$A$20000,0),MATCH("CPC*",'Semrush Data'!$A$1:$Z$1,0)),"")</f>
        <v>0</v>
      </c>
      <c r="J340" s="7" t="str">
        <f aca="false">IFERROR(INDEX('Semrush Data'!$A$1:$Z$20000,MATCH(A340,'Semrush Data'!$A$1:$A$20000,0),MATCH("Intent",'Semrush Data'!$A$1:$Z$1,0)),"")</f>
        <v>Informational</v>
      </c>
    </row>
    <row r="341" customFormat="false" ht="15" hidden="false" customHeight="true" outlineLevel="0" collapsed="false">
      <c r="A341" s="7" t="s">
        <v>2876</v>
      </c>
      <c r="B341" s="7" t="s">
        <v>38</v>
      </c>
      <c r="C341" s="7" t="n">
        <v>1</v>
      </c>
      <c r="D341" s="7" t="n">
        <v>4</v>
      </c>
      <c r="E341" s="7" t="n">
        <v>1</v>
      </c>
      <c r="F341" s="7" t="s">
        <v>2870</v>
      </c>
      <c r="G341" s="12" t="n">
        <f aca="false">IFERROR(INDEX('Semrush Data'!$A$1:$Z$20000,MATCH(A341,'Semrush Data'!$A$1:$A$20000,0),MATCH("Volume",'Semrush Data'!$A$1:$Z$1,0)),"")</f>
        <v>0</v>
      </c>
      <c r="H341" s="7" t="n">
        <f aca="false">IFERROR(INDEX('Semrush Data'!$A$1:$Z$20000,MATCH(A341,'Semrush Data'!$A$1:$A$20000,0),MATCH("Keyword Difficulty*",'Semrush Data'!$A$1:$Z$1,0)),"")</f>
        <v>13</v>
      </c>
      <c r="I341" s="13" t="n">
        <f aca="false">IFERROR(INDEX('Semrush Data'!$A$1:$Z$20000,MATCH(A341,'Semrush Data'!$A$1:$A$20000,0),MATCH("CPC*",'Semrush Data'!$A$1:$Z$1,0)),"")</f>
        <v>0</v>
      </c>
      <c r="J341" s="7" t="str">
        <f aca="false">IFERROR(INDEX('Semrush Data'!$A$1:$Z$20000,MATCH(A341,'Semrush Data'!$A$1:$A$20000,0),MATCH("Intent",'Semrush Data'!$A$1:$Z$1,0)),"")</f>
        <v>Informational Commercial</v>
      </c>
    </row>
    <row r="342" customFormat="false" ht="15" hidden="false" customHeight="true" outlineLevel="0" collapsed="false">
      <c r="A342" s="7" t="s">
        <v>2977</v>
      </c>
      <c r="B342" s="7" t="s">
        <v>38</v>
      </c>
      <c r="C342" s="7" t="n">
        <v>1</v>
      </c>
      <c r="D342" s="7" t="n">
        <v>4</v>
      </c>
      <c r="E342" s="7" t="n">
        <v>1</v>
      </c>
      <c r="F342" s="7" t="s">
        <v>2973</v>
      </c>
      <c r="G342" s="12" t="n">
        <f aca="false">IFERROR(INDEX('Semrush Data'!$A$1:$Z$20000,MATCH(A342,'Semrush Data'!$A$1:$A$20000,0),MATCH("Volume",'Semrush Data'!$A$1:$Z$1,0)),"")</f>
        <v>0</v>
      </c>
      <c r="H342" s="7" t="n">
        <f aca="false">IFERROR(INDEX('Semrush Data'!$A$1:$Z$20000,MATCH(A342,'Semrush Data'!$A$1:$A$20000,0),MATCH("Keyword Difficulty*",'Semrush Data'!$A$1:$Z$1,0)),"")</f>
        <v>13</v>
      </c>
      <c r="I342" s="13" t="n">
        <f aca="false">IFERROR(INDEX('Semrush Data'!$A$1:$Z$20000,MATCH(A342,'Semrush Data'!$A$1:$A$20000,0),MATCH("CPC*",'Semrush Data'!$A$1:$Z$1,0)),"")</f>
        <v>0</v>
      </c>
      <c r="J342" s="7" t="str">
        <f aca="false">IFERROR(INDEX('Semrush Data'!$A$1:$Z$20000,MATCH(A342,'Semrush Data'!$A$1:$A$20000,0),MATCH("Intent",'Semrush Data'!$A$1:$Z$1,0)),"")</f>
        <v>Informational</v>
      </c>
    </row>
    <row r="343" customFormat="false" ht="15" hidden="false" customHeight="true" outlineLevel="0" collapsed="false">
      <c r="A343" s="7" t="s">
        <v>2966</v>
      </c>
      <c r="B343" s="7" t="s">
        <v>38</v>
      </c>
      <c r="C343" s="7" t="n">
        <v>1</v>
      </c>
      <c r="D343" s="7" t="n">
        <v>4</v>
      </c>
      <c r="E343" s="7" t="n">
        <v>1</v>
      </c>
      <c r="F343" s="7" t="s">
        <v>2964</v>
      </c>
      <c r="G343" s="12" t="n">
        <f aca="false">IFERROR(INDEX('Semrush Data'!$A$1:$Z$20000,MATCH(A343,'Semrush Data'!$A$1:$A$20000,0),MATCH("Volume",'Semrush Data'!$A$1:$Z$1,0)),"")</f>
        <v>0</v>
      </c>
      <c r="H343" s="7" t="n">
        <f aca="false">IFERROR(INDEX('Semrush Data'!$A$1:$Z$20000,MATCH(A343,'Semrush Data'!$A$1:$A$20000,0),MATCH("Keyword Difficulty*",'Semrush Data'!$A$1:$Z$1,0)),"")</f>
        <v>13</v>
      </c>
      <c r="I343" s="13" t="n">
        <f aca="false">IFERROR(INDEX('Semrush Data'!$A$1:$Z$20000,MATCH(A343,'Semrush Data'!$A$1:$A$20000,0),MATCH("CPC*",'Semrush Data'!$A$1:$Z$1,0)),"")</f>
        <v>0</v>
      </c>
      <c r="J343" s="7" t="str">
        <f aca="false">IFERROR(INDEX('Semrush Data'!$A$1:$Z$20000,MATCH(A343,'Semrush Data'!$A$1:$A$20000,0),MATCH("Intent",'Semrush Data'!$A$1:$Z$1,0)),"")</f>
        <v>Transactional</v>
      </c>
    </row>
    <row r="344" customFormat="false" ht="15" hidden="false" customHeight="true" outlineLevel="0" collapsed="false">
      <c r="A344" s="7" t="s">
        <v>2886</v>
      </c>
      <c r="B344" s="7" t="s">
        <v>38</v>
      </c>
      <c r="C344" s="7" t="n">
        <v>1</v>
      </c>
      <c r="D344" s="7" t="n">
        <v>4</v>
      </c>
      <c r="E344" s="7" t="n">
        <v>1</v>
      </c>
      <c r="F344" s="7" t="s">
        <v>2884</v>
      </c>
      <c r="G344" s="12" t="n">
        <f aca="false">IFERROR(INDEX('Semrush Data'!$A$1:$Z$20000,MATCH(A344,'Semrush Data'!$A$1:$A$20000,0),MATCH("Volume",'Semrush Data'!$A$1:$Z$1,0)),"")</f>
        <v>50</v>
      </c>
      <c r="H344" s="7" t="n">
        <f aca="false">IFERROR(INDEX('Semrush Data'!$A$1:$Z$20000,MATCH(A344,'Semrush Data'!$A$1:$A$20000,0),MATCH("Keyword Difficulty*",'Semrush Data'!$A$1:$Z$1,0)),"")</f>
        <v>15</v>
      </c>
      <c r="I344" s="13" t="n">
        <f aca="false">IFERROR(INDEX('Semrush Data'!$A$1:$Z$20000,MATCH(A344,'Semrush Data'!$A$1:$A$20000,0),MATCH("CPC*",'Semrush Data'!$A$1:$Z$1,0)),"")</f>
        <v>0</v>
      </c>
      <c r="J344" s="7" t="str">
        <f aca="false">IFERROR(INDEX('Semrush Data'!$A$1:$Z$20000,MATCH(A344,'Semrush Data'!$A$1:$A$20000,0),MATCH("Intent",'Semrush Data'!$A$1:$Z$1,0)),"")</f>
        <v>Informational</v>
      </c>
    </row>
    <row r="345" customFormat="false" ht="15" hidden="false" customHeight="true" outlineLevel="0" collapsed="false">
      <c r="A345" s="7" t="s">
        <v>2944</v>
      </c>
      <c r="B345" s="7" t="s">
        <v>38</v>
      </c>
      <c r="C345" s="7" t="n">
        <v>1</v>
      </c>
      <c r="D345" s="7" t="n">
        <v>4</v>
      </c>
      <c r="E345" s="7" t="n">
        <v>1</v>
      </c>
      <c r="F345" s="7" t="s">
        <v>2942</v>
      </c>
      <c r="G345" s="12" t="n">
        <f aca="false">IFERROR(INDEX('Semrush Data'!$A$1:$Z$20000,MATCH(A345,'Semrush Data'!$A$1:$A$20000,0),MATCH("Volume",'Semrush Data'!$A$1:$Z$1,0)),"")</f>
        <v>30</v>
      </c>
      <c r="H345" s="7" t="n">
        <f aca="false">IFERROR(INDEX('Semrush Data'!$A$1:$Z$20000,MATCH(A345,'Semrush Data'!$A$1:$A$20000,0),MATCH("Keyword Difficulty*",'Semrush Data'!$A$1:$Z$1,0)),"")</f>
        <v>9</v>
      </c>
      <c r="I345" s="13" t="n">
        <f aca="false">IFERROR(INDEX('Semrush Data'!$A$1:$Z$20000,MATCH(A345,'Semrush Data'!$A$1:$A$20000,0),MATCH("CPC*",'Semrush Data'!$A$1:$Z$1,0)),"")</f>
        <v>0.59</v>
      </c>
      <c r="J345" s="7" t="str">
        <f aca="false">IFERROR(INDEX('Semrush Data'!$A$1:$Z$20000,MATCH(A345,'Semrush Data'!$A$1:$A$20000,0),MATCH("Intent",'Semrush Data'!$A$1:$Z$1,0)),"")</f>
        <v>Informational</v>
      </c>
    </row>
    <row r="346" customFormat="false" ht="15" hidden="false" customHeight="true" outlineLevel="0" collapsed="false">
      <c r="A346" s="7" t="s">
        <v>2955</v>
      </c>
      <c r="B346" s="7" t="s">
        <v>38</v>
      </c>
      <c r="C346" s="7" t="n">
        <v>1</v>
      </c>
      <c r="D346" s="7" t="n">
        <v>4</v>
      </c>
      <c r="E346" s="7" t="n">
        <v>1</v>
      </c>
      <c r="F346" s="7" t="s">
        <v>2953</v>
      </c>
      <c r="G346" s="12" t="n">
        <f aca="false">IFERROR(INDEX('Semrush Data'!$A$1:$Z$20000,MATCH(A346,'Semrush Data'!$A$1:$A$20000,0),MATCH("Volume",'Semrush Data'!$A$1:$Z$1,0)),"")</f>
        <v>30</v>
      </c>
      <c r="H346" s="7" t="n">
        <f aca="false">IFERROR(INDEX('Semrush Data'!$A$1:$Z$20000,MATCH(A346,'Semrush Data'!$A$1:$A$20000,0),MATCH("Keyword Difficulty*",'Semrush Data'!$A$1:$Z$1,0)),"")</f>
        <v>19</v>
      </c>
      <c r="I346" s="13" t="n">
        <f aca="false">IFERROR(INDEX('Semrush Data'!$A$1:$Z$20000,MATCH(A346,'Semrush Data'!$A$1:$A$20000,0),MATCH("CPC*",'Semrush Data'!$A$1:$Z$1,0)),"")</f>
        <v>0</v>
      </c>
      <c r="J346" s="7" t="str">
        <f aca="false">IFERROR(INDEX('Semrush Data'!$A$1:$Z$20000,MATCH(A346,'Semrush Data'!$A$1:$A$20000,0),MATCH("Intent",'Semrush Data'!$A$1:$Z$1,0)),"")</f>
        <v>Commercial</v>
      </c>
    </row>
    <row r="347" customFormat="false" ht="15" hidden="false" customHeight="true" outlineLevel="0" collapsed="false">
      <c r="A347" s="7" t="s">
        <v>2909</v>
      </c>
      <c r="B347" s="7" t="s">
        <v>38</v>
      </c>
      <c r="C347" s="7" t="n">
        <v>1</v>
      </c>
      <c r="D347" s="7" t="n">
        <v>4</v>
      </c>
      <c r="E347" s="7" t="n">
        <v>1</v>
      </c>
      <c r="F347" s="7" t="s">
        <v>2907</v>
      </c>
      <c r="G347" s="12" t="n">
        <f aca="false">IFERROR(INDEX('Semrush Data'!$A$1:$Z$20000,MATCH(A347,'Semrush Data'!$A$1:$A$20000,0),MATCH("Volume",'Semrush Data'!$A$1:$Z$1,0)),"")</f>
        <v>260</v>
      </c>
      <c r="H347" s="7" t="n">
        <f aca="false">IFERROR(INDEX('Semrush Data'!$A$1:$Z$20000,MATCH(A347,'Semrush Data'!$A$1:$A$20000,0),MATCH("Keyword Difficulty*",'Semrush Data'!$A$1:$Z$1,0)),"")</f>
        <v>16</v>
      </c>
      <c r="I347" s="13" t="n">
        <f aca="false">IFERROR(INDEX('Semrush Data'!$A$1:$Z$20000,MATCH(A347,'Semrush Data'!$A$1:$A$20000,0),MATCH("CPC*",'Semrush Data'!$A$1:$Z$1,0)),"")</f>
        <v>0.99</v>
      </c>
      <c r="J347" s="7" t="str">
        <f aca="false">IFERROR(INDEX('Semrush Data'!$A$1:$Z$20000,MATCH(A347,'Semrush Data'!$A$1:$A$20000,0),MATCH("Intent",'Semrush Data'!$A$1:$Z$1,0)),"")</f>
        <v>Informational Transactional</v>
      </c>
    </row>
    <row r="348" customFormat="false" ht="15" hidden="false" customHeight="true" outlineLevel="0" collapsed="false">
      <c r="A348" s="7" t="s">
        <v>3007</v>
      </c>
      <c r="B348" s="7" t="s">
        <v>38</v>
      </c>
      <c r="C348" s="7" t="n">
        <v>1</v>
      </c>
      <c r="D348" s="7" t="n">
        <v>4</v>
      </c>
      <c r="E348" s="7" t="n">
        <v>1</v>
      </c>
      <c r="F348" s="7" t="s">
        <v>3004</v>
      </c>
      <c r="G348" s="12" t="n">
        <f aca="false">IFERROR(INDEX('Semrush Data'!$A$1:$Z$20000,MATCH(A348,'Semrush Data'!$A$1:$A$20000,0),MATCH("Volume",'Semrush Data'!$A$1:$Z$1,0)),"")</f>
        <v>20</v>
      </c>
      <c r="H348" s="7" t="n">
        <f aca="false">IFERROR(INDEX('Semrush Data'!$A$1:$Z$20000,MATCH(A348,'Semrush Data'!$A$1:$A$20000,0),MATCH("Keyword Difficulty*",'Semrush Data'!$A$1:$Z$1,0)),"")</f>
        <v>20</v>
      </c>
      <c r="I348" s="13" t="n">
        <f aca="false">IFERROR(INDEX('Semrush Data'!$A$1:$Z$20000,MATCH(A348,'Semrush Data'!$A$1:$A$20000,0),MATCH("CPC*",'Semrush Data'!$A$1:$Z$1,0)),"")</f>
        <v>0</v>
      </c>
      <c r="J348" s="7" t="str">
        <f aca="false">IFERROR(INDEX('Semrush Data'!$A$1:$Z$20000,MATCH(A348,'Semrush Data'!$A$1:$A$20000,0),MATCH("Intent",'Semrush Data'!$A$1:$Z$1,0)),"")</f>
        <v>Informational</v>
      </c>
    </row>
    <row r="349" customFormat="false" ht="15" hidden="false" customHeight="true" outlineLevel="0" collapsed="false">
      <c r="A349" s="7" t="s">
        <v>2989</v>
      </c>
      <c r="B349" s="7" t="s">
        <v>38</v>
      </c>
      <c r="C349" s="7" t="n">
        <v>1</v>
      </c>
      <c r="D349" s="7" t="n">
        <v>4</v>
      </c>
      <c r="E349" s="7" t="n">
        <v>2</v>
      </c>
      <c r="F349" s="7" t="s">
        <v>6790</v>
      </c>
      <c r="G349" s="12" t="n">
        <f aca="false">IFERROR(INDEX('Semrush Data'!$A$1:$Z$20000,MATCH(A349,'Semrush Data'!$A$1:$A$20000,0),MATCH("Volume",'Semrush Data'!$A$1:$Z$1,0)),"")</f>
        <v>170</v>
      </c>
      <c r="H349" s="7" t="n">
        <f aca="false">IFERROR(INDEX('Semrush Data'!$A$1:$Z$20000,MATCH(A349,'Semrush Data'!$A$1:$A$20000,0),MATCH("Keyword Difficulty*",'Semrush Data'!$A$1:$Z$1,0)),"")</f>
        <v>24</v>
      </c>
      <c r="I349" s="13" t="n">
        <f aca="false">IFERROR(INDEX('Semrush Data'!$A$1:$Z$20000,MATCH(A349,'Semrush Data'!$A$1:$A$20000,0),MATCH("CPC*",'Semrush Data'!$A$1:$Z$1,0)),"")</f>
        <v>0.62</v>
      </c>
      <c r="J349" s="7" t="str">
        <f aca="false">IFERROR(INDEX('Semrush Data'!$A$1:$Z$20000,MATCH(A349,'Semrush Data'!$A$1:$A$20000,0),MATCH("Intent",'Semrush Data'!$A$1:$Z$1,0)),"")</f>
        <v>Informational Transactional</v>
      </c>
    </row>
    <row r="350" customFormat="false" ht="15" hidden="false" customHeight="true" outlineLevel="0" collapsed="false">
      <c r="A350" s="7" t="s">
        <v>3018</v>
      </c>
      <c r="B350" s="7" t="s">
        <v>38</v>
      </c>
      <c r="C350" s="7" t="n">
        <v>1</v>
      </c>
      <c r="D350" s="7" t="n">
        <v>4</v>
      </c>
      <c r="E350" s="7" t="n">
        <v>2</v>
      </c>
      <c r="F350" s="7" t="s">
        <v>6791</v>
      </c>
      <c r="G350" s="12" t="n">
        <f aca="false">IFERROR(INDEX('Semrush Data'!$A$1:$Z$20000,MATCH(A350,'Semrush Data'!$A$1:$A$20000,0),MATCH("Volume",'Semrush Data'!$A$1:$Z$1,0)),"")</f>
        <v>210</v>
      </c>
      <c r="H350" s="7" t="n">
        <f aca="false">IFERROR(INDEX('Semrush Data'!$A$1:$Z$20000,MATCH(A350,'Semrush Data'!$A$1:$A$20000,0),MATCH("Keyword Difficulty*",'Semrush Data'!$A$1:$Z$1,0)),"")</f>
        <v>18</v>
      </c>
      <c r="I350" s="13" t="n">
        <f aca="false">IFERROR(INDEX('Semrush Data'!$A$1:$Z$20000,MATCH(A350,'Semrush Data'!$A$1:$A$20000,0),MATCH("CPC*",'Semrush Data'!$A$1:$Z$1,0)),"")</f>
        <v>1.28</v>
      </c>
      <c r="J350" s="7" t="str">
        <f aca="false">IFERROR(INDEX('Semrush Data'!$A$1:$Z$20000,MATCH(A350,'Semrush Data'!$A$1:$A$20000,0),MATCH("Intent",'Semrush Data'!$A$1:$Z$1,0)),"")</f>
        <v>Informational Transactional</v>
      </c>
    </row>
    <row r="351" customFormat="false" ht="15" hidden="false" customHeight="true" outlineLevel="0" collapsed="false">
      <c r="A351" s="7" t="s">
        <v>3065</v>
      </c>
      <c r="B351" s="7" t="s">
        <v>38</v>
      </c>
      <c r="C351" s="7" t="n">
        <v>1</v>
      </c>
      <c r="D351" s="7" t="n">
        <v>4</v>
      </c>
      <c r="E351" s="7" t="n">
        <v>1</v>
      </c>
      <c r="F351" s="7" t="s">
        <v>3063</v>
      </c>
      <c r="G351" s="12" t="n">
        <f aca="false">IFERROR(INDEX('Semrush Data'!$A$1:$Z$20000,MATCH(A351,'Semrush Data'!$A$1:$A$20000,0),MATCH("Volume",'Semrush Data'!$A$1:$Z$1,0)),"")</f>
        <v>20</v>
      </c>
      <c r="H351" s="7" t="n">
        <f aca="false">IFERROR(INDEX('Semrush Data'!$A$1:$Z$20000,MATCH(A351,'Semrush Data'!$A$1:$A$20000,0),MATCH("Keyword Difficulty*",'Semrush Data'!$A$1:$Z$1,0)),"")</f>
        <v>12</v>
      </c>
      <c r="I351" s="13" t="n">
        <f aca="false">IFERROR(INDEX('Semrush Data'!$A$1:$Z$20000,MATCH(A351,'Semrush Data'!$A$1:$A$20000,0),MATCH("CPC*",'Semrush Data'!$A$1:$Z$1,0)),"")</f>
        <v>0</v>
      </c>
      <c r="J351" s="7" t="str">
        <f aca="false">IFERROR(INDEX('Semrush Data'!$A$1:$Z$20000,MATCH(A351,'Semrush Data'!$A$1:$A$20000,0),MATCH("Intent",'Semrush Data'!$A$1:$Z$1,0)),"")</f>
        <v>Informational</v>
      </c>
    </row>
    <row r="352" customFormat="false" ht="15" hidden="false" customHeight="true" outlineLevel="0" collapsed="false">
      <c r="A352" s="7" t="s">
        <v>3031</v>
      </c>
      <c r="B352" s="7" t="s">
        <v>38</v>
      </c>
      <c r="C352" s="7" t="n">
        <v>1</v>
      </c>
      <c r="D352" s="7" t="n">
        <v>4</v>
      </c>
      <c r="E352" s="7" t="n">
        <v>1</v>
      </c>
      <c r="F352" s="7" t="s">
        <v>76</v>
      </c>
      <c r="G352" s="12" t="n">
        <f aca="false">IFERROR(INDEX('Semrush Data'!$A$1:$Z$20000,MATCH(A352,'Semrush Data'!$A$1:$A$20000,0),MATCH("Volume",'Semrush Data'!$A$1:$Z$1,0)),"")</f>
        <v>1900</v>
      </c>
      <c r="H352" s="7" t="n">
        <f aca="false">IFERROR(INDEX('Semrush Data'!$A$1:$Z$20000,MATCH(A352,'Semrush Data'!$A$1:$A$20000,0),MATCH("Keyword Difficulty*",'Semrush Data'!$A$1:$Z$1,0)),"")</f>
        <v>16</v>
      </c>
      <c r="I352" s="13" t="n">
        <f aca="false">IFERROR(INDEX('Semrush Data'!$A$1:$Z$20000,MATCH(A352,'Semrush Data'!$A$1:$A$20000,0),MATCH("CPC*",'Semrush Data'!$A$1:$Z$1,0)),"")</f>
        <v>0.41</v>
      </c>
      <c r="J352" s="7" t="str">
        <f aca="false">IFERROR(INDEX('Semrush Data'!$A$1:$Z$20000,MATCH(A352,'Semrush Data'!$A$1:$A$20000,0),MATCH("Intent",'Semrush Data'!$A$1:$Z$1,0)),"")</f>
        <v>Informational</v>
      </c>
    </row>
    <row r="353" customFormat="false" ht="15" hidden="false" customHeight="true" outlineLevel="0" collapsed="false">
      <c r="A353" s="7" t="s">
        <v>3075</v>
      </c>
      <c r="B353" s="7" t="s">
        <v>38</v>
      </c>
      <c r="C353" s="7" t="n">
        <v>1</v>
      </c>
      <c r="D353" s="7" t="n">
        <v>4</v>
      </c>
      <c r="E353" s="7" t="n">
        <v>1</v>
      </c>
      <c r="F353" s="7" t="s">
        <v>3073</v>
      </c>
      <c r="G353" s="12" t="n">
        <f aca="false">IFERROR(INDEX('Semrush Data'!$A$1:$Z$20000,MATCH(A353,'Semrush Data'!$A$1:$A$20000,0),MATCH("Volume",'Semrush Data'!$A$1:$Z$1,0)),"")</f>
        <v>20</v>
      </c>
      <c r="H353" s="7" t="n">
        <f aca="false">IFERROR(INDEX('Semrush Data'!$A$1:$Z$20000,MATCH(A353,'Semrush Data'!$A$1:$A$20000,0),MATCH("Keyword Difficulty*",'Semrush Data'!$A$1:$Z$1,0)),"")</f>
        <v>16</v>
      </c>
      <c r="I353" s="13" t="n">
        <f aca="false">IFERROR(INDEX('Semrush Data'!$A$1:$Z$20000,MATCH(A353,'Semrush Data'!$A$1:$A$20000,0),MATCH("CPC*",'Semrush Data'!$A$1:$Z$1,0)),"")</f>
        <v>0</v>
      </c>
      <c r="J353" s="7" t="str">
        <f aca="false">IFERROR(INDEX('Semrush Data'!$A$1:$Z$20000,MATCH(A353,'Semrush Data'!$A$1:$A$20000,0),MATCH("Intent",'Semrush Data'!$A$1:$Z$1,0)),"")</f>
        <v>Informational Transactional</v>
      </c>
    </row>
    <row r="354" customFormat="false" ht="15" hidden="false" customHeight="true" outlineLevel="0" collapsed="false">
      <c r="A354" s="7" t="s">
        <v>3085</v>
      </c>
      <c r="B354" s="7" t="s">
        <v>38</v>
      </c>
      <c r="C354" s="7" t="n">
        <v>1</v>
      </c>
      <c r="D354" s="7" t="n">
        <v>4</v>
      </c>
      <c r="E354" s="7" t="n">
        <v>1</v>
      </c>
      <c r="F354" s="7" t="s">
        <v>3083</v>
      </c>
      <c r="G354" s="12" t="n">
        <f aca="false">IFERROR(INDEX('Semrush Data'!$A$1:$Z$20000,MATCH(A354,'Semrush Data'!$A$1:$A$20000,0),MATCH("Volume",'Semrush Data'!$A$1:$Z$1,0)),"")</f>
        <v>20</v>
      </c>
      <c r="H354" s="7" t="n">
        <f aca="false">IFERROR(INDEX('Semrush Data'!$A$1:$Z$20000,MATCH(A354,'Semrush Data'!$A$1:$A$20000,0),MATCH("Keyword Difficulty*",'Semrush Data'!$A$1:$Z$1,0)),"")</f>
        <v>11</v>
      </c>
      <c r="I354" s="13" t="n">
        <f aca="false">IFERROR(INDEX('Semrush Data'!$A$1:$Z$20000,MATCH(A354,'Semrush Data'!$A$1:$A$20000,0),MATCH("CPC*",'Semrush Data'!$A$1:$Z$1,0)),"")</f>
        <v>0</v>
      </c>
      <c r="J354" s="7" t="str">
        <f aca="false">IFERROR(INDEX('Semrush Data'!$A$1:$Z$20000,MATCH(A354,'Semrush Data'!$A$1:$A$20000,0),MATCH("Intent",'Semrush Data'!$A$1:$Z$1,0)),"")</f>
        <v>Informational Transactional</v>
      </c>
    </row>
    <row r="355" customFormat="false" ht="15" hidden="false" customHeight="true" outlineLevel="0" collapsed="false">
      <c r="A355" s="7" t="s">
        <v>3095</v>
      </c>
      <c r="B355" s="7" t="s">
        <v>38</v>
      </c>
      <c r="C355" s="7" t="n">
        <v>1</v>
      </c>
      <c r="D355" s="7" t="n">
        <v>4</v>
      </c>
      <c r="E355" s="7" t="n">
        <v>1</v>
      </c>
      <c r="F355" s="7" t="s">
        <v>3093</v>
      </c>
      <c r="G355" s="12" t="n">
        <f aca="false">IFERROR(INDEX('Semrush Data'!$A$1:$Z$20000,MATCH(A355,'Semrush Data'!$A$1:$A$20000,0),MATCH("Volume",'Semrush Data'!$A$1:$Z$1,0)),"")</f>
        <v>20</v>
      </c>
      <c r="H355" s="7" t="n">
        <f aca="false">IFERROR(INDEX('Semrush Data'!$A$1:$Z$20000,MATCH(A355,'Semrush Data'!$A$1:$A$20000,0),MATCH("Keyword Difficulty*",'Semrush Data'!$A$1:$Z$1,0)),"")</f>
        <v>14</v>
      </c>
      <c r="I355" s="13" t="n">
        <f aca="false">IFERROR(INDEX('Semrush Data'!$A$1:$Z$20000,MATCH(A355,'Semrush Data'!$A$1:$A$20000,0),MATCH("CPC*",'Semrush Data'!$A$1:$Z$1,0)),"")</f>
        <v>0.48</v>
      </c>
      <c r="J355" s="7" t="str">
        <f aca="false">IFERROR(INDEX('Semrush Data'!$A$1:$Z$20000,MATCH(A355,'Semrush Data'!$A$1:$A$20000,0),MATCH("Intent",'Semrush Data'!$A$1:$Z$1,0)),"")</f>
        <v>Informational Transactional</v>
      </c>
    </row>
    <row r="356" customFormat="false" ht="15" hidden="false" customHeight="true" outlineLevel="0" collapsed="false">
      <c r="A356" s="7" t="s">
        <v>3054</v>
      </c>
      <c r="B356" s="7" t="s">
        <v>38</v>
      </c>
      <c r="C356" s="7" t="n">
        <v>1</v>
      </c>
      <c r="D356" s="7" t="n">
        <v>4</v>
      </c>
      <c r="E356" s="7" t="n">
        <v>1</v>
      </c>
      <c r="F356" s="7" t="s">
        <v>142</v>
      </c>
      <c r="G356" s="12" t="n">
        <f aca="false">IFERROR(INDEX('Semrush Data'!$A$1:$Z$20000,MATCH(A356,'Semrush Data'!$A$1:$A$20000,0),MATCH("Volume",'Semrush Data'!$A$1:$Z$1,0)),"")</f>
        <v>320</v>
      </c>
      <c r="H356" s="7" t="n">
        <f aca="false">IFERROR(INDEX('Semrush Data'!$A$1:$Z$20000,MATCH(A356,'Semrush Data'!$A$1:$A$20000,0),MATCH("Keyword Difficulty*",'Semrush Data'!$A$1:$Z$1,0)),"")</f>
        <v>18</v>
      </c>
      <c r="I356" s="13" t="n">
        <f aca="false">IFERROR(INDEX('Semrush Data'!$A$1:$Z$20000,MATCH(A356,'Semrush Data'!$A$1:$A$20000,0),MATCH("CPC*",'Semrush Data'!$A$1:$Z$1,0)),"")</f>
        <v>0.41</v>
      </c>
      <c r="J356" s="7" t="str">
        <f aca="false">IFERROR(INDEX('Semrush Data'!$A$1:$Z$20000,MATCH(A356,'Semrush Data'!$A$1:$A$20000,0),MATCH("Intent",'Semrush Data'!$A$1:$Z$1,0)),"")</f>
        <v>Informational</v>
      </c>
    </row>
    <row r="357" customFormat="false" ht="15" hidden="false" customHeight="true" outlineLevel="0" collapsed="false">
      <c r="A357" s="7" t="s">
        <v>3105</v>
      </c>
      <c r="B357" s="7" t="s">
        <v>38</v>
      </c>
      <c r="C357" s="7" t="n">
        <v>1</v>
      </c>
      <c r="D357" s="7" t="n">
        <v>4</v>
      </c>
      <c r="E357" s="7" t="n">
        <v>1</v>
      </c>
      <c r="F357" s="7" t="s">
        <v>3103</v>
      </c>
      <c r="G357" s="12" t="n">
        <f aca="false">IFERROR(INDEX('Semrush Data'!$A$1:$Z$20000,MATCH(A357,'Semrush Data'!$A$1:$A$20000,0),MATCH("Volume",'Semrush Data'!$A$1:$Z$1,0)),"")</f>
        <v>20</v>
      </c>
      <c r="H357" s="7" t="n">
        <f aca="false">IFERROR(INDEX('Semrush Data'!$A$1:$Z$20000,MATCH(A357,'Semrush Data'!$A$1:$A$20000,0),MATCH("Keyword Difficulty*",'Semrush Data'!$A$1:$Z$1,0)),"")</f>
        <v>12</v>
      </c>
      <c r="I357" s="13" t="n">
        <f aca="false">IFERROR(INDEX('Semrush Data'!$A$1:$Z$20000,MATCH(A357,'Semrush Data'!$A$1:$A$20000,0),MATCH("CPC*",'Semrush Data'!$A$1:$Z$1,0)),"")</f>
        <v>0</v>
      </c>
      <c r="J357" s="7" t="str">
        <f aca="false">IFERROR(INDEX('Semrush Data'!$A$1:$Z$20000,MATCH(A357,'Semrush Data'!$A$1:$A$20000,0),MATCH("Intent",'Semrush Data'!$A$1:$Z$1,0)),"")</f>
        <v>Informational Transactional</v>
      </c>
    </row>
    <row r="358" customFormat="false" ht="15" hidden="false" customHeight="true" outlineLevel="0" collapsed="false">
      <c r="A358" s="7" t="s">
        <v>3043</v>
      </c>
      <c r="B358" s="7" t="s">
        <v>38</v>
      </c>
      <c r="C358" s="7" t="n">
        <v>1</v>
      </c>
      <c r="D358" s="7" t="n">
        <v>4</v>
      </c>
      <c r="E358" s="7" t="n">
        <v>1</v>
      </c>
      <c r="F358" s="7" t="s">
        <v>3041</v>
      </c>
      <c r="G358" s="12" t="n">
        <f aca="false">IFERROR(INDEX('Semrush Data'!$A$1:$Z$20000,MATCH(A358,'Semrush Data'!$A$1:$A$20000,0),MATCH("Volume",'Semrush Data'!$A$1:$Z$1,0)),"")</f>
        <v>30</v>
      </c>
      <c r="H358" s="7" t="n">
        <f aca="false">IFERROR(INDEX('Semrush Data'!$A$1:$Z$20000,MATCH(A358,'Semrush Data'!$A$1:$A$20000,0),MATCH("Keyword Difficulty*",'Semrush Data'!$A$1:$Z$1,0)),"")</f>
        <v>20</v>
      </c>
      <c r="I358" s="13" t="n">
        <f aca="false">IFERROR(INDEX('Semrush Data'!$A$1:$Z$20000,MATCH(A358,'Semrush Data'!$A$1:$A$20000,0),MATCH("CPC*",'Semrush Data'!$A$1:$Z$1,0)),"")</f>
        <v>0</v>
      </c>
      <c r="J358" s="7" t="str">
        <f aca="false">IFERROR(INDEX('Semrush Data'!$A$1:$Z$20000,MATCH(A358,'Semrush Data'!$A$1:$A$20000,0),MATCH("Intent",'Semrush Data'!$A$1:$Z$1,0)),"")</f>
        <v>Informational</v>
      </c>
    </row>
    <row r="359" customFormat="false" ht="15" hidden="false" customHeight="true" outlineLevel="0" collapsed="false">
      <c r="A359" s="7" t="s">
        <v>3175</v>
      </c>
      <c r="B359" s="7" t="s">
        <v>38</v>
      </c>
      <c r="C359" s="7" t="n">
        <v>1</v>
      </c>
      <c r="D359" s="7" t="n">
        <v>4</v>
      </c>
      <c r="E359" s="7" t="n">
        <v>2</v>
      </c>
      <c r="F359" s="7" t="s">
        <v>6792</v>
      </c>
      <c r="G359" s="12" t="n">
        <f aca="false">IFERROR(INDEX('Semrush Data'!$A$1:$Z$20000,MATCH(A359,'Semrush Data'!$A$1:$A$20000,0),MATCH("Volume",'Semrush Data'!$A$1:$Z$1,0)),"")</f>
        <v>1000</v>
      </c>
      <c r="H359" s="7" t="n">
        <f aca="false">IFERROR(INDEX('Semrush Data'!$A$1:$Z$20000,MATCH(A359,'Semrush Data'!$A$1:$A$20000,0),MATCH("Keyword Difficulty*",'Semrush Data'!$A$1:$Z$1,0)),"")</f>
        <v>18</v>
      </c>
      <c r="I359" s="13" t="n">
        <f aca="false">IFERROR(INDEX('Semrush Data'!$A$1:$Z$20000,MATCH(A359,'Semrush Data'!$A$1:$A$20000,0),MATCH("CPC*",'Semrush Data'!$A$1:$Z$1,0)),"")</f>
        <v>0.42</v>
      </c>
      <c r="J359" s="7" t="str">
        <f aca="false">IFERROR(INDEX('Semrush Data'!$A$1:$Z$20000,MATCH(A359,'Semrush Data'!$A$1:$A$20000,0),MATCH("Intent",'Semrush Data'!$A$1:$Z$1,0)),"")</f>
        <v>Informational</v>
      </c>
    </row>
    <row r="360" customFormat="false" ht="15" hidden="false" customHeight="true" outlineLevel="0" collapsed="false">
      <c r="A360" s="7" t="s">
        <v>3116</v>
      </c>
      <c r="B360" s="7" t="s">
        <v>38</v>
      </c>
      <c r="C360" s="7" t="n">
        <v>1</v>
      </c>
      <c r="D360" s="7" t="n">
        <v>4</v>
      </c>
      <c r="E360" s="7" t="n">
        <v>1</v>
      </c>
      <c r="F360" s="7" t="s">
        <v>3113</v>
      </c>
      <c r="G360" s="12" t="n">
        <f aca="false">IFERROR(INDEX('Semrush Data'!$A$1:$Z$20000,MATCH(A360,'Semrush Data'!$A$1:$A$20000,0),MATCH("Volume",'Semrush Data'!$A$1:$Z$1,0)),"")</f>
        <v>0</v>
      </c>
      <c r="H360" s="7" t="n">
        <f aca="false">IFERROR(INDEX('Semrush Data'!$A$1:$Z$20000,MATCH(A360,'Semrush Data'!$A$1:$A$20000,0),MATCH("Keyword Difficulty*",'Semrush Data'!$A$1:$Z$1,0)),"")</f>
        <v>19</v>
      </c>
      <c r="I360" s="13" t="n">
        <f aca="false">IFERROR(INDEX('Semrush Data'!$A$1:$Z$20000,MATCH(A360,'Semrush Data'!$A$1:$A$20000,0),MATCH("CPC*",'Semrush Data'!$A$1:$Z$1,0)),"")</f>
        <v>0</v>
      </c>
      <c r="J360" s="7" t="str">
        <f aca="false">IFERROR(INDEX('Semrush Data'!$A$1:$Z$20000,MATCH(A360,'Semrush Data'!$A$1:$A$20000,0),MATCH("Intent",'Semrush Data'!$A$1:$Z$1,0)),"")</f>
        <v>Informational Transactional</v>
      </c>
    </row>
    <row r="361" customFormat="false" ht="15" hidden="false" customHeight="true" outlineLevel="0" collapsed="false">
      <c r="A361" s="7" t="s">
        <v>3166</v>
      </c>
      <c r="B361" s="7" t="s">
        <v>38</v>
      </c>
      <c r="C361" s="7" t="n">
        <v>1</v>
      </c>
      <c r="D361" s="7" t="n">
        <v>4</v>
      </c>
      <c r="E361" s="7" t="n">
        <v>1</v>
      </c>
      <c r="F361" s="7" t="s">
        <v>3164</v>
      </c>
      <c r="G361" s="12" t="n">
        <f aca="false">IFERROR(INDEX('Semrush Data'!$A$1:$Z$20000,MATCH(A361,'Semrush Data'!$A$1:$A$20000,0),MATCH("Volume",'Semrush Data'!$A$1:$Z$1,0)),"")</f>
        <v>0</v>
      </c>
      <c r="H361" s="7" t="n">
        <f aca="false">IFERROR(INDEX('Semrush Data'!$A$1:$Z$20000,MATCH(A361,'Semrush Data'!$A$1:$A$20000,0),MATCH("Keyword Difficulty*",'Semrush Data'!$A$1:$Z$1,0)),"")</f>
        <v>22</v>
      </c>
      <c r="I361" s="13" t="n">
        <f aca="false">IFERROR(INDEX('Semrush Data'!$A$1:$Z$20000,MATCH(A361,'Semrush Data'!$A$1:$A$20000,0),MATCH("CPC*",'Semrush Data'!$A$1:$Z$1,0)),"")</f>
        <v>0</v>
      </c>
      <c r="J361" s="7" t="str">
        <f aca="false">IFERROR(INDEX('Semrush Data'!$A$1:$Z$20000,MATCH(A361,'Semrush Data'!$A$1:$A$20000,0),MATCH("Intent",'Semrush Data'!$A$1:$Z$1,0)),"")</f>
        <v>Informational</v>
      </c>
    </row>
    <row r="362" customFormat="false" ht="15" hidden="false" customHeight="true" outlineLevel="0" collapsed="false">
      <c r="A362" s="7" t="s">
        <v>3125</v>
      </c>
      <c r="B362" s="7" t="s">
        <v>38</v>
      </c>
      <c r="C362" s="7" t="n">
        <v>1</v>
      </c>
      <c r="D362" s="7" t="n">
        <v>4</v>
      </c>
      <c r="E362" s="7" t="n">
        <v>2</v>
      </c>
      <c r="F362" s="7" t="s">
        <v>6793</v>
      </c>
      <c r="G362" s="12" t="n">
        <f aca="false">IFERROR(INDEX('Semrush Data'!$A$1:$Z$20000,MATCH(A362,'Semrush Data'!$A$1:$A$20000,0),MATCH("Volume",'Semrush Data'!$A$1:$Z$1,0)),"")</f>
        <v>4400</v>
      </c>
      <c r="H362" s="7" t="n">
        <f aca="false">IFERROR(INDEX('Semrush Data'!$A$1:$Z$20000,MATCH(A362,'Semrush Data'!$A$1:$A$20000,0),MATCH("Keyword Difficulty*",'Semrush Data'!$A$1:$Z$1,0)),"")</f>
        <v>21</v>
      </c>
      <c r="I362" s="13" t="n">
        <f aca="false">IFERROR(INDEX('Semrush Data'!$A$1:$Z$20000,MATCH(A362,'Semrush Data'!$A$1:$A$20000,0),MATCH("CPC*",'Semrush Data'!$A$1:$Z$1,0)),"")</f>
        <v>0.37</v>
      </c>
      <c r="J362" s="7" t="str">
        <f aca="false">IFERROR(INDEX('Semrush Data'!$A$1:$Z$20000,MATCH(A362,'Semrush Data'!$A$1:$A$20000,0),MATCH("Intent",'Semrush Data'!$A$1:$Z$1,0)),"")</f>
        <v>Informational</v>
      </c>
    </row>
    <row r="363" customFormat="false" ht="15" hidden="false" customHeight="true" outlineLevel="0" collapsed="false">
      <c r="A363" s="7" t="s">
        <v>3187</v>
      </c>
      <c r="B363" s="7" t="s">
        <v>38</v>
      </c>
      <c r="C363" s="7" t="n">
        <v>1</v>
      </c>
      <c r="D363" s="7" t="n">
        <v>4</v>
      </c>
      <c r="E363" s="7" t="n">
        <v>2</v>
      </c>
      <c r="F363" s="7" t="s">
        <v>6794</v>
      </c>
      <c r="G363" s="12" t="n">
        <f aca="false">IFERROR(INDEX('Semrush Data'!$A$1:$Z$20000,MATCH(A363,'Semrush Data'!$A$1:$A$20000,0),MATCH("Volume",'Semrush Data'!$A$1:$Z$1,0)),"")</f>
        <v>0</v>
      </c>
      <c r="H363" s="7" t="n">
        <f aca="false">IFERROR(INDEX('Semrush Data'!$A$1:$Z$20000,MATCH(A363,'Semrush Data'!$A$1:$A$20000,0),MATCH("Keyword Difficulty*",'Semrush Data'!$A$1:$Z$1,0)),"")</f>
        <v>17</v>
      </c>
      <c r="I363" s="13" t="n">
        <f aca="false">IFERROR(INDEX('Semrush Data'!$A$1:$Z$20000,MATCH(A363,'Semrush Data'!$A$1:$A$20000,0),MATCH("CPC*",'Semrush Data'!$A$1:$Z$1,0)),"")</f>
        <v>0</v>
      </c>
      <c r="J363" s="7" t="str">
        <f aca="false">IFERROR(INDEX('Semrush Data'!$A$1:$Z$20000,MATCH(A363,'Semrush Data'!$A$1:$A$20000,0),MATCH("Intent",'Semrush Data'!$A$1:$Z$1,0)),"")</f>
        <v>Informational Transactional</v>
      </c>
    </row>
    <row r="364" customFormat="false" ht="15" hidden="false" customHeight="true" outlineLevel="0" collapsed="false">
      <c r="A364" s="7" t="s">
        <v>3200</v>
      </c>
      <c r="B364" s="7" t="s">
        <v>38</v>
      </c>
      <c r="C364" s="7" t="n">
        <v>1</v>
      </c>
      <c r="D364" s="7" t="n">
        <v>4</v>
      </c>
      <c r="E364" s="7" t="n">
        <v>1</v>
      </c>
      <c r="F364" s="7" t="s">
        <v>3198</v>
      </c>
      <c r="G364" s="12" t="n">
        <f aca="false">IFERROR(INDEX('Semrush Data'!$A$1:$Z$20000,MATCH(A364,'Semrush Data'!$A$1:$A$20000,0),MATCH("Volume",'Semrush Data'!$A$1:$Z$1,0)),"")</f>
        <v>0</v>
      </c>
      <c r="H364" s="7" t="n">
        <f aca="false">IFERROR(INDEX('Semrush Data'!$A$1:$Z$20000,MATCH(A364,'Semrush Data'!$A$1:$A$20000,0),MATCH("Keyword Difficulty*",'Semrush Data'!$A$1:$Z$1,0)),"")</f>
        <v>16</v>
      </c>
      <c r="I364" s="13" t="n">
        <f aca="false">IFERROR(INDEX('Semrush Data'!$A$1:$Z$20000,MATCH(A364,'Semrush Data'!$A$1:$A$20000,0),MATCH("CPC*",'Semrush Data'!$A$1:$Z$1,0)),"")</f>
        <v>0</v>
      </c>
      <c r="J364" s="7" t="str">
        <f aca="false">IFERROR(INDEX('Semrush Data'!$A$1:$Z$20000,MATCH(A364,'Semrush Data'!$A$1:$A$20000,0),MATCH("Intent",'Semrush Data'!$A$1:$Z$1,0)),"")</f>
        <v>Informational</v>
      </c>
    </row>
    <row r="365" customFormat="false" ht="15" hidden="false" customHeight="true" outlineLevel="0" collapsed="false">
      <c r="A365" s="7" t="s">
        <v>3155</v>
      </c>
      <c r="B365" s="7" t="s">
        <v>38</v>
      </c>
      <c r="C365" s="7" t="n">
        <v>1</v>
      </c>
      <c r="D365" s="7" t="n">
        <v>4</v>
      </c>
      <c r="E365" s="7" t="n">
        <v>1</v>
      </c>
      <c r="F365" s="7" t="s">
        <v>3152</v>
      </c>
      <c r="G365" s="12" t="n">
        <f aca="false">IFERROR(INDEX('Semrush Data'!$A$1:$Z$20000,MATCH(A365,'Semrush Data'!$A$1:$A$20000,0),MATCH("Volume",'Semrush Data'!$A$1:$Z$1,0)),"")</f>
        <v>20</v>
      </c>
      <c r="H365" s="7" t="n">
        <f aca="false">IFERROR(INDEX('Semrush Data'!$A$1:$Z$20000,MATCH(A365,'Semrush Data'!$A$1:$A$20000,0),MATCH("Keyword Difficulty*",'Semrush Data'!$A$1:$Z$1,0)),"")</f>
        <v>13</v>
      </c>
      <c r="I365" s="13" t="n">
        <f aca="false">IFERROR(INDEX('Semrush Data'!$A$1:$Z$20000,MATCH(A365,'Semrush Data'!$A$1:$A$20000,0),MATCH("CPC*",'Semrush Data'!$A$1:$Z$1,0)),"")</f>
        <v>0</v>
      </c>
      <c r="J365" s="7" t="str">
        <f aca="false">IFERROR(INDEX('Semrush Data'!$A$1:$Z$20000,MATCH(A365,'Semrush Data'!$A$1:$A$20000,0),MATCH("Intent",'Semrush Data'!$A$1:$Z$1,0)),"")</f>
        <v>Informational</v>
      </c>
    </row>
    <row r="366" customFormat="false" ht="15" hidden="false" customHeight="true" outlineLevel="0" collapsed="false">
      <c r="A366" s="7" t="s">
        <v>3137</v>
      </c>
      <c r="B366" s="7" t="s">
        <v>38</v>
      </c>
      <c r="C366" s="7" t="n">
        <v>1</v>
      </c>
      <c r="D366" s="7" t="n">
        <v>4</v>
      </c>
      <c r="E366" s="7" t="n">
        <v>1</v>
      </c>
      <c r="F366" s="7" t="s">
        <v>3135</v>
      </c>
      <c r="G366" s="12" t="n">
        <f aca="false">IFERROR(INDEX('Semrush Data'!$A$1:$Z$20000,MATCH(A366,'Semrush Data'!$A$1:$A$20000,0),MATCH("Volume",'Semrush Data'!$A$1:$Z$1,0)),"")</f>
        <v>0</v>
      </c>
      <c r="H366" s="7" t="n">
        <f aca="false">IFERROR(INDEX('Semrush Data'!$A$1:$Z$20000,MATCH(A366,'Semrush Data'!$A$1:$A$20000,0),MATCH("Keyword Difficulty*",'Semrush Data'!$A$1:$Z$1,0)),"")</f>
        <v>17</v>
      </c>
      <c r="I366" s="13" t="n">
        <f aca="false">IFERROR(INDEX('Semrush Data'!$A$1:$Z$20000,MATCH(A366,'Semrush Data'!$A$1:$A$20000,0),MATCH("CPC*",'Semrush Data'!$A$1:$Z$1,0)),"")</f>
        <v>0</v>
      </c>
      <c r="J366" s="7" t="str">
        <f aca="false">IFERROR(INDEX('Semrush Data'!$A$1:$Z$20000,MATCH(A366,'Semrush Data'!$A$1:$A$20000,0),MATCH("Intent",'Semrush Data'!$A$1:$Z$1,0)),"")</f>
        <v>Informational</v>
      </c>
    </row>
    <row r="367" customFormat="false" ht="15" hidden="false" customHeight="true" outlineLevel="0" collapsed="false">
      <c r="A367" s="7" t="s">
        <v>3253</v>
      </c>
      <c r="B367" s="7" t="s">
        <v>38</v>
      </c>
      <c r="C367" s="7" t="n">
        <v>1</v>
      </c>
      <c r="D367" s="7" t="n">
        <v>4</v>
      </c>
      <c r="E367" s="7" t="n">
        <v>1</v>
      </c>
      <c r="F367" s="7" t="s">
        <v>3250</v>
      </c>
      <c r="G367" s="12" t="n">
        <f aca="false">IFERROR(INDEX('Semrush Data'!$A$1:$Z$20000,MATCH(A367,'Semrush Data'!$A$1:$A$20000,0),MATCH("Volume",'Semrush Data'!$A$1:$Z$1,0)),"")</f>
        <v>210</v>
      </c>
      <c r="H367" s="7" t="n">
        <f aca="false">IFERROR(INDEX('Semrush Data'!$A$1:$Z$20000,MATCH(A367,'Semrush Data'!$A$1:$A$20000,0),MATCH("Keyword Difficulty*",'Semrush Data'!$A$1:$Z$1,0)),"")</f>
        <v>14</v>
      </c>
      <c r="I367" s="13" t="n">
        <f aca="false">IFERROR(INDEX('Semrush Data'!$A$1:$Z$20000,MATCH(A367,'Semrush Data'!$A$1:$A$20000,0),MATCH("CPC*",'Semrush Data'!$A$1:$Z$1,0)),"")</f>
        <v>0.45</v>
      </c>
      <c r="J367" s="7" t="str">
        <f aca="false">IFERROR(INDEX('Semrush Data'!$A$1:$Z$20000,MATCH(A367,'Semrush Data'!$A$1:$A$20000,0),MATCH("Intent",'Semrush Data'!$A$1:$Z$1,0)),"")</f>
        <v>Informational Transactional</v>
      </c>
    </row>
    <row r="368" customFormat="false" ht="15" hidden="false" customHeight="true" outlineLevel="0" collapsed="false">
      <c r="A368" s="7" t="s">
        <v>3262</v>
      </c>
      <c r="B368" s="7" t="s">
        <v>38</v>
      </c>
      <c r="C368" s="7" t="n">
        <v>1</v>
      </c>
      <c r="D368" s="7" t="n">
        <v>4</v>
      </c>
      <c r="E368" s="7" t="n">
        <v>1</v>
      </c>
      <c r="F368" s="7" t="s">
        <v>128</v>
      </c>
      <c r="G368" s="12" t="n">
        <f aca="false">IFERROR(INDEX('Semrush Data'!$A$1:$Z$20000,MATCH(A368,'Semrush Data'!$A$1:$A$20000,0),MATCH("Volume",'Semrush Data'!$A$1:$Z$1,0)),"")</f>
        <v>390</v>
      </c>
      <c r="H368" s="7" t="n">
        <f aca="false">IFERROR(INDEX('Semrush Data'!$A$1:$Z$20000,MATCH(A368,'Semrush Data'!$A$1:$A$20000,0),MATCH("Keyword Difficulty*",'Semrush Data'!$A$1:$Z$1,0)),"")</f>
        <v>16</v>
      </c>
      <c r="I368" s="13" t="n">
        <f aca="false">IFERROR(INDEX('Semrush Data'!$A$1:$Z$20000,MATCH(A368,'Semrush Data'!$A$1:$A$20000,0),MATCH("CPC*",'Semrush Data'!$A$1:$Z$1,0)),"")</f>
        <v>0.44</v>
      </c>
      <c r="J368" s="7" t="str">
        <f aca="false">IFERROR(INDEX('Semrush Data'!$A$1:$Z$20000,MATCH(A368,'Semrush Data'!$A$1:$A$20000,0),MATCH("Intent",'Semrush Data'!$A$1:$Z$1,0)),"")</f>
        <v>Informational Transactional</v>
      </c>
    </row>
    <row r="369" customFormat="false" ht="15" hidden="false" customHeight="true" outlineLevel="0" collapsed="false">
      <c r="A369" s="7" t="s">
        <v>3213</v>
      </c>
      <c r="B369" s="7" t="s">
        <v>38</v>
      </c>
      <c r="C369" s="7" t="n">
        <v>1</v>
      </c>
      <c r="D369" s="7" t="n">
        <v>4</v>
      </c>
      <c r="E369" s="7" t="n">
        <v>1</v>
      </c>
      <c r="F369" s="7" t="s">
        <v>3210</v>
      </c>
      <c r="G369" s="12" t="n">
        <f aca="false">IFERROR(INDEX('Semrush Data'!$A$1:$Z$20000,MATCH(A369,'Semrush Data'!$A$1:$A$20000,0),MATCH("Volume",'Semrush Data'!$A$1:$Z$1,0)),"")</f>
        <v>260</v>
      </c>
      <c r="H369" s="7" t="n">
        <f aca="false">IFERROR(INDEX('Semrush Data'!$A$1:$Z$20000,MATCH(A369,'Semrush Data'!$A$1:$A$20000,0),MATCH("Keyword Difficulty*",'Semrush Data'!$A$1:$Z$1,0)),"")</f>
        <v>16</v>
      </c>
      <c r="I369" s="13" t="n">
        <f aca="false">IFERROR(INDEX('Semrush Data'!$A$1:$Z$20000,MATCH(A369,'Semrush Data'!$A$1:$A$20000,0),MATCH("CPC*",'Semrush Data'!$A$1:$Z$1,0)),"")</f>
        <v>0.39</v>
      </c>
      <c r="J369" s="7" t="str">
        <f aca="false">IFERROR(INDEX('Semrush Data'!$A$1:$Z$20000,MATCH(A369,'Semrush Data'!$A$1:$A$20000,0),MATCH("Intent",'Semrush Data'!$A$1:$Z$1,0)),"")</f>
        <v>Informational Transactional</v>
      </c>
    </row>
    <row r="370" customFormat="false" ht="15" hidden="false" customHeight="true" outlineLevel="0" collapsed="false">
      <c r="A370" s="7" t="s">
        <v>3223</v>
      </c>
      <c r="B370" s="7" t="s">
        <v>38</v>
      </c>
      <c r="C370" s="7" t="n">
        <v>1</v>
      </c>
      <c r="D370" s="7" t="n">
        <v>4</v>
      </c>
      <c r="E370" s="7" t="n">
        <v>2</v>
      </c>
      <c r="F370" s="7" t="s">
        <v>6795</v>
      </c>
      <c r="G370" s="12" t="n">
        <f aca="false">IFERROR(INDEX('Semrush Data'!$A$1:$Z$20000,MATCH(A370,'Semrush Data'!$A$1:$A$20000,0),MATCH("Volume",'Semrush Data'!$A$1:$Z$1,0)),"")</f>
        <v>390</v>
      </c>
      <c r="H370" s="7" t="n">
        <f aca="false">IFERROR(INDEX('Semrush Data'!$A$1:$Z$20000,MATCH(A370,'Semrush Data'!$A$1:$A$20000,0),MATCH("Keyword Difficulty*",'Semrush Data'!$A$1:$Z$1,0)),"")</f>
        <v>17</v>
      </c>
      <c r="I370" s="13" t="n">
        <f aca="false">IFERROR(INDEX('Semrush Data'!$A$1:$Z$20000,MATCH(A370,'Semrush Data'!$A$1:$A$20000,0),MATCH("CPC*",'Semrush Data'!$A$1:$Z$1,0)),"")</f>
        <v>0.62</v>
      </c>
      <c r="J370" s="7" t="str">
        <f aca="false">IFERROR(INDEX('Semrush Data'!$A$1:$Z$20000,MATCH(A370,'Semrush Data'!$A$1:$A$20000,0),MATCH("Intent",'Semrush Data'!$A$1:$Z$1,0)),"")</f>
        <v>Informational Transactional</v>
      </c>
    </row>
    <row r="371" customFormat="false" ht="15" hidden="false" customHeight="true" outlineLevel="0" collapsed="false">
      <c r="A371" s="7" t="s">
        <v>3236</v>
      </c>
      <c r="B371" s="7" t="s">
        <v>38</v>
      </c>
      <c r="C371" s="7" t="n">
        <v>1</v>
      </c>
      <c r="D371" s="7" t="n">
        <v>4</v>
      </c>
      <c r="E371" s="7" t="n">
        <v>2</v>
      </c>
      <c r="F371" s="7" t="s">
        <v>6796</v>
      </c>
      <c r="G371" s="12" t="n">
        <f aca="false">IFERROR(INDEX('Semrush Data'!$A$1:$Z$20000,MATCH(A371,'Semrush Data'!$A$1:$A$20000,0),MATCH("Volume",'Semrush Data'!$A$1:$Z$1,0)),"")</f>
        <v>0</v>
      </c>
      <c r="H371" s="7" t="n">
        <f aca="false">IFERROR(INDEX('Semrush Data'!$A$1:$Z$20000,MATCH(A371,'Semrush Data'!$A$1:$A$20000,0),MATCH("Keyword Difficulty*",'Semrush Data'!$A$1:$Z$1,0)),"")</f>
        <v>9</v>
      </c>
      <c r="I371" s="13" t="n">
        <f aca="false">IFERROR(INDEX('Semrush Data'!$A$1:$Z$20000,MATCH(A371,'Semrush Data'!$A$1:$A$20000,0),MATCH("CPC*",'Semrush Data'!$A$1:$Z$1,0)),"")</f>
        <v>0</v>
      </c>
      <c r="J371" s="7" t="str">
        <f aca="false">IFERROR(INDEX('Semrush Data'!$A$1:$Z$20000,MATCH(A371,'Semrush Data'!$A$1:$A$20000,0),MATCH("Intent",'Semrush Data'!$A$1:$Z$1,0)),"")</f>
        <v>Informational Transactional</v>
      </c>
    </row>
    <row r="372" customFormat="false" ht="15" hidden="false" customHeight="true" outlineLevel="0" collapsed="false">
      <c r="A372" s="7" t="s">
        <v>3271</v>
      </c>
      <c r="B372" s="7" t="s">
        <v>38</v>
      </c>
      <c r="C372" s="7" t="n">
        <v>1</v>
      </c>
      <c r="D372" s="7" t="n">
        <v>4</v>
      </c>
      <c r="E372" s="7" t="n">
        <v>1</v>
      </c>
      <c r="F372" s="7" t="s">
        <v>144</v>
      </c>
      <c r="G372" s="12" t="n">
        <f aca="false">IFERROR(INDEX('Semrush Data'!$A$1:$Z$20000,MATCH(A372,'Semrush Data'!$A$1:$A$20000,0),MATCH("Volume",'Semrush Data'!$A$1:$Z$1,0)),"")</f>
        <v>320</v>
      </c>
      <c r="H372" s="7" t="n">
        <f aca="false">IFERROR(INDEX('Semrush Data'!$A$1:$Z$20000,MATCH(A372,'Semrush Data'!$A$1:$A$20000,0),MATCH("Keyword Difficulty*",'Semrush Data'!$A$1:$Z$1,0)),"")</f>
        <v>20</v>
      </c>
      <c r="I372" s="13" t="n">
        <f aca="false">IFERROR(INDEX('Semrush Data'!$A$1:$Z$20000,MATCH(A372,'Semrush Data'!$A$1:$A$20000,0),MATCH("CPC*",'Semrush Data'!$A$1:$Z$1,0)),"")</f>
        <v>0</v>
      </c>
      <c r="J372" s="7" t="str">
        <f aca="false">IFERROR(INDEX('Semrush Data'!$A$1:$Z$20000,MATCH(A372,'Semrush Data'!$A$1:$A$20000,0),MATCH("Intent",'Semrush Data'!$A$1:$Z$1,0)),"")</f>
        <v>Informational</v>
      </c>
    </row>
    <row r="373" customFormat="false" ht="15" hidden="false" customHeight="true" outlineLevel="0" collapsed="false">
      <c r="A373" s="7" t="s">
        <v>5942</v>
      </c>
      <c r="B373" s="7" t="s">
        <v>38</v>
      </c>
      <c r="C373" s="7" t="n">
        <v>1</v>
      </c>
      <c r="D373" s="7" t="n">
        <v>4</v>
      </c>
      <c r="E373" s="7" t="n">
        <v>1</v>
      </c>
      <c r="F373" s="7" t="s">
        <v>5940</v>
      </c>
      <c r="G373" s="12" t="n">
        <f aca="false">IFERROR(INDEX('Semrush Data'!$A$1:$Z$20000,MATCH(A373,'Semrush Data'!$A$1:$A$20000,0),MATCH("Volume",'Semrush Data'!$A$1:$Z$1,0)),"")</f>
        <v>0</v>
      </c>
      <c r="H373" s="7" t="n">
        <f aca="false">IFERROR(INDEX('Semrush Data'!$A$1:$Z$20000,MATCH(A373,'Semrush Data'!$A$1:$A$20000,0),MATCH("Keyword Difficulty*",'Semrush Data'!$A$1:$Z$1,0)),"")</f>
        <v>11</v>
      </c>
      <c r="I373" s="13" t="n">
        <f aca="false">IFERROR(INDEX('Semrush Data'!$A$1:$Z$20000,MATCH(A373,'Semrush Data'!$A$1:$A$20000,0),MATCH("CPC*",'Semrush Data'!$A$1:$Z$1,0)),"")</f>
        <v>0</v>
      </c>
      <c r="J373" s="7" t="str">
        <f aca="false">IFERROR(INDEX('Semrush Data'!$A$1:$Z$20000,MATCH(A373,'Semrush Data'!$A$1:$A$20000,0),MATCH("Intent",'Semrush Data'!$A$1:$Z$1,0)),"")</f>
        <v>Informational</v>
      </c>
    </row>
    <row r="374" customFormat="false" ht="15" hidden="false" customHeight="true" outlineLevel="0" collapsed="false">
      <c r="A374" s="7" t="s">
        <v>3337</v>
      </c>
      <c r="B374" s="7" t="s">
        <v>38</v>
      </c>
      <c r="C374" s="7" t="n">
        <v>1</v>
      </c>
      <c r="D374" s="7" t="n">
        <v>4</v>
      </c>
      <c r="E374" s="7" t="n">
        <v>2</v>
      </c>
      <c r="F374" s="7" t="s">
        <v>6797</v>
      </c>
      <c r="G374" s="12" t="n">
        <f aca="false">IFERROR(INDEX('Semrush Data'!$A$1:$Z$20000,MATCH(A374,'Semrush Data'!$A$1:$A$20000,0),MATCH("Volume",'Semrush Data'!$A$1:$Z$1,0)),"")</f>
        <v>0</v>
      </c>
      <c r="H374" s="7" t="n">
        <f aca="false">IFERROR(INDEX('Semrush Data'!$A$1:$Z$20000,MATCH(A374,'Semrush Data'!$A$1:$A$20000,0),MATCH("Keyword Difficulty*",'Semrush Data'!$A$1:$Z$1,0)),"")</f>
        <v>18</v>
      </c>
      <c r="I374" s="13" t="n">
        <f aca="false">IFERROR(INDEX('Semrush Data'!$A$1:$Z$20000,MATCH(A374,'Semrush Data'!$A$1:$A$20000,0),MATCH("CPC*",'Semrush Data'!$A$1:$Z$1,0)),"")</f>
        <v>0</v>
      </c>
      <c r="J374" s="7" t="str">
        <f aca="false">IFERROR(INDEX('Semrush Data'!$A$1:$Z$20000,MATCH(A374,'Semrush Data'!$A$1:$A$20000,0),MATCH("Intent",'Semrush Data'!$A$1:$Z$1,0)),"")</f>
        <v>Navigational</v>
      </c>
    </row>
    <row r="375" customFormat="false" ht="15" hidden="false" customHeight="true" outlineLevel="0" collapsed="false">
      <c r="A375" s="7" t="s">
        <v>3348</v>
      </c>
      <c r="B375" s="7" t="s">
        <v>38</v>
      </c>
      <c r="C375" s="7" t="n">
        <v>1</v>
      </c>
      <c r="D375" s="7" t="n">
        <v>4</v>
      </c>
      <c r="E375" s="7" t="n">
        <v>1</v>
      </c>
      <c r="F375" s="7" t="s">
        <v>3346</v>
      </c>
      <c r="G375" s="12" t="n">
        <f aca="false">IFERROR(INDEX('Semrush Data'!$A$1:$Z$20000,MATCH(A375,'Semrush Data'!$A$1:$A$20000,0),MATCH("Volume",'Semrush Data'!$A$1:$Z$1,0)),"")</f>
        <v>30</v>
      </c>
      <c r="H375" s="7" t="n">
        <f aca="false">IFERROR(INDEX('Semrush Data'!$A$1:$Z$20000,MATCH(A375,'Semrush Data'!$A$1:$A$20000,0),MATCH("Keyword Difficulty*",'Semrush Data'!$A$1:$Z$1,0)),"")</f>
        <v>12</v>
      </c>
      <c r="I375" s="13" t="n">
        <f aca="false">IFERROR(INDEX('Semrush Data'!$A$1:$Z$20000,MATCH(A375,'Semrush Data'!$A$1:$A$20000,0),MATCH("CPC*",'Semrush Data'!$A$1:$Z$1,0)),"")</f>
        <v>0</v>
      </c>
      <c r="J375" s="7" t="str">
        <f aca="false">IFERROR(INDEX('Semrush Data'!$A$1:$Z$20000,MATCH(A375,'Semrush Data'!$A$1:$A$20000,0),MATCH("Intent",'Semrush Data'!$A$1:$Z$1,0)),"")</f>
        <v>Informational</v>
      </c>
    </row>
    <row r="376" customFormat="false" ht="15" hidden="false" customHeight="true" outlineLevel="0" collapsed="false">
      <c r="A376" s="7" t="s">
        <v>3282</v>
      </c>
      <c r="B376" s="7" t="s">
        <v>38</v>
      </c>
      <c r="C376" s="7" t="n">
        <v>1</v>
      </c>
      <c r="D376" s="7" t="n">
        <v>4</v>
      </c>
      <c r="E376" s="7" t="n">
        <v>1</v>
      </c>
      <c r="F376" s="7" t="s">
        <v>68</v>
      </c>
      <c r="G376" s="12" t="n">
        <f aca="false">IFERROR(INDEX('Semrush Data'!$A$1:$Z$20000,MATCH(A376,'Semrush Data'!$A$1:$A$20000,0),MATCH("Volume",'Semrush Data'!$A$1:$Z$1,0)),"")</f>
        <v>2900</v>
      </c>
      <c r="H376" s="7" t="n">
        <f aca="false">IFERROR(INDEX('Semrush Data'!$A$1:$Z$20000,MATCH(A376,'Semrush Data'!$A$1:$A$20000,0),MATCH("Keyword Difficulty*",'Semrush Data'!$A$1:$Z$1,0)),"")</f>
        <v>22</v>
      </c>
      <c r="I376" s="13" t="n">
        <f aca="false">IFERROR(INDEX('Semrush Data'!$A$1:$Z$20000,MATCH(A376,'Semrush Data'!$A$1:$A$20000,0),MATCH("CPC*",'Semrush Data'!$A$1:$Z$1,0)),"")</f>
        <v>0.47</v>
      </c>
      <c r="J376" s="7" t="str">
        <f aca="false">IFERROR(INDEX('Semrush Data'!$A$1:$Z$20000,MATCH(A376,'Semrush Data'!$A$1:$A$20000,0),MATCH("Intent",'Semrush Data'!$A$1:$Z$1,0)),"")</f>
        <v>Informational</v>
      </c>
    </row>
    <row r="377" customFormat="false" ht="15" hidden="false" customHeight="true" outlineLevel="0" collapsed="false">
      <c r="A377" s="7" t="s">
        <v>3327</v>
      </c>
      <c r="B377" s="7" t="s">
        <v>38</v>
      </c>
      <c r="C377" s="7" t="n">
        <v>1</v>
      </c>
      <c r="D377" s="7" t="n">
        <v>4</v>
      </c>
      <c r="E377" s="7" t="n">
        <v>1</v>
      </c>
      <c r="F377" s="7" t="s">
        <v>3325</v>
      </c>
      <c r="G377" s="12" t="n">
        <f aca="false">IFERROR(INDEX('Semrush Data'!$A$1:$Z$20000,MATCH(A377,'Semrush Data'!$A$1:$A$20000,0),MATCH("Volume",'Semrush Data'!$A$1:$Z$1,0)),"")</f>
        <v>110</v>
      </c>
      <c r="H377" s="7" t="n">
        <f aca="false">IFERROR(INDEX('Semrush Data'!$A$1:$Z$20000,MATCH(A377,'Semrush Data'!$A$1:$A$20000,0),MATCH("Keyword Difficulty*",'Semrush Data'!$A$1:$Z$1,0)),"")</f>
        <v>13</v>
      </c>
      <c r="I377" s="13" t="n">
        <f aca="false">IFERROR(INDEX('Semrush Data'!$A$1:$Z$20000,MATCH(A377,'Semrush Data'!$A$1:$A$20000,0),MATCH("CPC*",'Semrush Data'!$A$1:$Z$1,0)),"")</f>
        <v>0.5</v>
      </c>
      <c r="J377" s="7" t="str">
        <f aca="false">IFERROR(INDEX('Semrush Data'!$A$1:$Z$20000,MATCH(A377,'Semrush Data'!$A$1:$A$20000,0),MATCH("Intent",'Semrush Data'!$A$1:$Z$1,0)),"")</f>
        <v>Informational</v>
      </c>
    </row>
    <row r="378" customFormat="false" ht="15" hidden="false" customHeight="true" outlineLevel="0" collapsed="false">
      <c r="A378" s="7" t="s">
        <v>3294</v>
      </c>
      <c r="B378" s="7" t="s">
        <v>38</v>
      </c>
      <c r="C378" s="7" t="n">
        <v>1</v>
      </c>
      <c r="D378" s="7" t="n">
        <v>4</v>
      </c>
      <c r="E378" s="7" t="n">
        <v>1</v>
      </c>
      <c r="F378" s="7" t="s">
        <v>3292</v>
      </c>
      <c r="G378" s="12" t="n">
        <f aca="false">IFERROR(INDEX('Semrush Data'!$A$1:$Z$20000,MATCH(A378,'Semrush Data'!$A$1:$A$20000,0),MATCH("Volume",'Semrush Data'!$A$1:$Z$1,0)),"")</f>
        <v>50</v>
      </c>
      <c r="H378" s="7" t="n">
        <f aca="false">IFERROR(INDEX('Semrush Data'!$A$1:$Z$20000,MATCH(A378,'Semrush Data'!$A$1:$A$20000,0),MATCH("Keyword Difficulty*",'Semrush Data'!$A$1:$Z$1,0)),"")</f>
        <v>14</v>
      </c>
      <c r="I378" s="13" t="n">
        <f aca="false">IFERROR(INDEX('Semrush Data'!$A$1:$Z$20000,MATCH(A378,'Semrush Data'!$A$1:$A$20000,0),MATCH("CPC*",'Semrush Data'!$A$1:$Z$1,0)),"")</f>
        <v>0.4</v>
      </c>
      <c r="J378" s="7" t="str">
        <f aca="false">IFERROR(INDEX('Semrush Data'!$A$1:$Z$20000,MATCH(A378,'Semrush Data'!$A$1:$A$20000,0),MATCH("Intent",'Semrush Data'!$A$1:$Z$1,0)),"")</f>
        <v>Informational Transactional</v>
      </c>
    </row>
    <row r="379" customFormat="false" ht="15" hidden="false" customHeight="true" outlineLevel="0" collapsed="false">
      <c r="A379" s="7" t="s">
        <v>3305</v>
      </c>
      <c r="B379" s="7" t="s">
        <v>38</v>
      </c>
      <c r="C379" s="7" t="n">
        <v>1</v>
      </c>
      <c r="D379" s="7" t="n">
        <v>4</v>
      </c>
      <c r="E379" s="7" t="n">
        <v>1</v>
      </c>
      <c r="F379" s="7" t="s">
        <v>3303</v>
      </c>
      <c r="G379" s="12" t="n">
        <f aca="false">IFERROR(INDEX('Semrush Data'!$A$1:$Z$20000,MATCH(A379,'Semrush Data'!$A$1:$A$20000,0),MATCH("Volume",'Semrush Data'!$A$1:$Z$1,0)),"")</f>
        <v>320</v>
      </c>
      <c r="H379" s="7" t="n">
        <f aca="false">IFERROR(INDEX('Semrush Data'!$A$1:$Z$20000,MATCH(A379,'Semrush Data'!$A$1:$A$20000,0),MATCH("Keyword Difficulty*",'Semrush Data'!$A$1:$Z$1,0)),"")</f>
        <v>21</v>
      </c>
      <c r="I379" s="13" t="n">
        <f aca="false">IFERROR(INDEX('Semrush Data'!$A$1:$Z$20000,MATCH(A379,'Semrush Data'!$A$1:$A$20000,0),MATCH("CPC*",'Semrush Data'!$A$1:$Z$1,0)),"")</f>
        <v>0.55</v>
      </c>
      <c r="J379" s="7" t="str">
        <f aca="false">IFERROR(INDEX('Semrush Data'!$A$1:$Z$20000,MATCH(A379,'Semrush Data'!$A$1:$A$20000,0),MATCH("Intent",'Semrush Data'!$A$1:$Z$1,0)),"")</f>
        <v>Informational</v>
      </c>
    </row>
    <row r="380" customFormat="false" ht="15" hidden="false" customHeight="true" outlineLevel="0" collapsed="false">
      <c r="A380" s="7" t="s">
        <v>3316</v>
      </c>
      <c r="B380" s="7" t="s">
        <v>38</v>
      </c>
      <c r="C380" s="7" t="n">
        <v>1</v>
      </c>
      <c r="D380" s="7" t="n">
        <v>4</v>
      </c>
      <c r="E380" s="7" t="n">
        <v>1</v>
      </c>
      <c r="F380" s="7" t="s">
        <v>3314</v>
      </c>
      <c r="G380" s="12" t="n">
        <f aca="false">IFERROR(INDEX('Semrush Data'!$A$1:$Z$20000,MATCH(A380,'Semrush Data'!$A$1:$A$20000,0),MATCH("Volume",'Semrush Data'!$A$1:$Z$1,0)),"")</f>
        <v>70</v>
      </c>
      <c r="H380" s="7" t="n">
        <f aca="false">IFERROR(INDEX('Semrush Data'!$A$1:$Z$20000,MATCH(A380,'Semrush Data'!$A$1:$A$20000,0),MATCH("Keyword Difficulty*",'Semrush Data'!$A$1:$Z$1,0)),"")</f>
        <v>19</v>
      </c>
      <c r="I380" s="13" t="n">
        <f aca="false">IFERROR(INDEX('Semrush Data'!$A$1:$Z$20000,MATCH(A380,'Semrush Data'!$A$1:$A$20000,0),MATCH("CPC*",'Semrush Data'!$A$1:$Z$1,0)),"")</f>
        <v>0.34</v>
      </c>
      <c r="J380" s="7" t="str">
        <f aca="false">IFERROR(INDEX('Semrush Data'!$A$1:$Z$20000,MATCH(A380,'Semrush Data'!$A$1:$A$20000,0),MATCH("Intent",'Semrush Data'!$A$1:$Z$1,0)),"")</f>
        <v>Navigational</v>
      </c>
    </row>
    <row r="381" customFormat="false" ht="15" hidden="false" customHeight="true" outlineLevel="0" collapsed="false">
      <c r="A381" s="7" t="s">
        <v>3359</v>
      </c>
      <c r="B381" s="7" t="s">
        <v>38</v>
      </c>
      <c r="C381" s="7" t="n">
        <v>1</v>
      </c>
      <c r="D381" s="7" t="n">
        <v>4</v>
      </c>
      <c r="E381" s="7" t="n">
        <v>1</v>
      </c>
      <c r="F381" s="7" t="s">
        <v>3356</v>
      </c>
      <c r="G381" s="12" t="n">
        <f aca="false">IFERROR(INDEX('Semrush Data'!$A$1:$Z$20000,MATCH(A381,'Semrush Data'!$A$1:$A$20000,0),MATCH("Volume",'Semrush Data'!$A$1:$Z$1,0)),"")</f>
        <v>50</v>
      </c>
      <c r="H381" s="7" t="n">
        <f aca="false">IFERROR(INDEX('Semrush Data'!$A$1:$Z$20000,MATCH(A381,'Semrush Data'!$A$1:$A$20000,0),MATCH("Keyword Difficulty*",'Semrush Data'!$A$1:$Z$1,0)),"")</f>
        <v>15</v>
      </c>
      <c r="I381" s="13" t="n">
        <f aca="false">IFERROR(INDEX('Semrush Data'!$A$1:$Z$20000,MATCH(A381,'Semrush Data'!$A$1:$A$20000,0),MATCH("CPC*",'Semrush Data'!$A$1:$Z$1,0)),"")</f>
        <v>0</v>
      </c>
      <c r="J381" s="7" t="str">
        <f aca="false">IFERROR(INDEX('Semrush Data'!$A$1:$Z$20000,MATCH(A381,'Semrush Data'!$A$1:$A$20000,0),MATCH("Intent",'Semrush Data'!$A$1:$Z$1,0)),"")</f>
        <v>Informational Transactional</v>
      </c>
    </row>
    <row r="382" customFormat="false" ht="15" hidden="false" customHeight="true" outlineLevel="0" collapsed="false">
      <c r="A382" s="7" t="s">
        <v>3371</v>
      </c>
      <c r="B382" s="7" t="s">
        <v>38</v>
      </c>
      <c r="C382" s="7" t="n">
        <v>1</v>
      </c>
      <c r="D382" s="7" t="n">
        <v>4</v>
      </c>
      <c r="E382" s="7" t="n">
        <v>1</v>
      </c>
      <c r="F382" s="7" t="s">
        <v>3369</v>
      </c>
      <c r="G382" s="12" t="n">
        <f aca="false">IFERROR(INDEX('Semrush Data'!$A$1:$Z$20000,MATCH(A382,'Semrush Data'!$A$1:$A$20000,0),MATCH("Volume",'Semrush Data'!$A$1:$Z$1,0)),"")</f>
        <v>110</v>
      </c>
      <c r="H382" s="7" t="n">
        <f aca="false">IFERROR(INDEX('Semrush Data'!$A$1:$Z$20000,MATCH(A382,'Semrush Data'!$A$1:$A$20000,0),MATCH("Keyword Difficulty*",'Semrush Data'!$A$1:$Z$1,0)),"")</f>
        <v>20</v>
      </c>
      <c r="I382" s="13" t="n">
        <f aca="false">IFERROR(INDEX('Semrush Data'!$A$1:$Z$20000,MATCH(A382,'Semrush Data'!$A$1:$A$20000,0),MATCH("CPC*",'Semrush Data'!$A$1:$Z$1,0)),"")</f>
        <v>0.6</v>
      </c>
      <c r="J382" s="7" t="str">
        <f aca="false">IFERROR(INDEX('Semrush Data'!$A$1:$Z$20000,MATCH(A382,'Semrush Data'!$A$1:$A$20000,0),MATCH("Intent",'Semrush Data'!$A$1:$Z$1,0)),"")</f>
        <v>Informational Transactional</v>
      </c>
    </row>
    <row r="383" customFormat="false" ht="15" hidden="false" customHeight="true" outlineLevel="0" collapsed="false">
      <c r="A383" s="7" t="s">
        <v>3404</v>
      </c>
      <c r="B383" s="7" t="s">
        <v>38</v>
      </c>
      <c r="C383" s="7" t="n">
        <v>1</v>
      </c>
      <c r="D383" s="7" t="n">
        <v>4</v>
      </c>
      <c r="E383" s="7" t="n">
        <v>1</v>
      </c>
      <c r="F383" s="7" t="s">
        <v>3402</v>
      </c>
      <c r="G383" s="12" t="n">
        <f aca="false">IFERROR(INDEX('Semrush Data'!$A$1:$Z$20000,MATCH(A383,'Semrush Data'!$A$1:$A$20000,0),MATCH("Volume",'Semrush Data'!$A$1:$Z$1,0)),"")</f>
        <v>0</v>
      </c>
      <c r="H383" s="7" t="n">
        <f aca="false">IFERROR(INDEX('Semrush Data'!$A$1:$Z$20000,MATCH(A383,'Semrush Data'!$A$1:$A$20000,0),MATCH("Keyword Difficulty*",'Semrush Data'!$A$1:$Z$1,0)),"")</f>
        <v>8</v>
      </c>
      <c r="I383" s="13" t="n">
        <f aca="false">IFERROR(INDEX('Semrush Data'!$A$1:$Z$20000,MATCH(A383,'Semrush Data'!$A$1:$A$20000,0),MATCH("CPC*",'Semrush Data'!$A$1:$Z$1,0)),"")</f>
        <v>0</v>
      </c>
      <c r="J383" s="7" t="str">
        <f aca="false">IFERROR(INDEX('Semrush Data'!$A$1:$Z$20000,MATCH(A383,'Semrush Data'!$A$1:$A$20000,0),MATCH("Intent",'Semrush Data'!$A$1:$Z$1,0)),"")</f>
        <v>Navigational</v>
      </c>
    </row>
    <row r="384" customFormat="false" ht="15" hidden="false" customHeight="true" outlineLevel="0" collapsed="false">
      <c r="A384" s="7" t="s">
        <v>3382</v>
      </c>
      <c r="B384" s="7" t="s">
        <v>38</v>
      </c>
      <c r="C384" s="7" t="n">
        <v>1</v>
      </c>
      <c r="D384" s="7" t="n">
        <v>4</v>
      </c>
      <c r="E384" s="7" t="n">
        <v>1</v>
      </c>
      <c r="F384" s="7" t="s">
        <v>3380</v>
      </c>
      <c r="G384" s="12" t="n">
        <f aca="false">IFERROR(INDEX('Semrush Data'!$A$1:$Z$20000,MATCH(A384,'Semrush Data'!$A$1:$A$20000,0),MATCH("Volume",'Semrush Data'!$A$1:$Z$1,0)),"")</f>
        <v>20</v>
      </c>
      <c r="H384" s="7" t="n">
        <f aca="false">IFERROR(INDEX('Semrush Data'!$A$1:$Z$20000,MATCH(A384,'Semrush Data'!$A$1:$A$20000,0),MATCH("Keyword Difficulty*",'Semrush Data'!$A$1:$Z$1,0)),"")</f>
        <v>16</v>
      </c>
      <c r="I384" s="13" t="n">
        <f aca="false">IFERROR(INDEX('Semrush Data'!$A$1:$Z$20000,MATCH(A384,'Semrush Data'!$A$1:$A$20000,0),MATCH("CPC*",'Semrush Data'!$A$1:$Z$1,0)),"")</f>
        <v>0</v>
      </c>
      <c r="J384" s="7" t="str">
        <f aca="false">IFERROR(INDEX('Semrush Data'!$A$1:$Z$20000,MATCH(A384,'Semrush Data'!$A$1:$A$20000,0),MATCH("Intent",'Semrush Data'!$A$1:$Z$1,0)),"")</f>
        <v>Informational</v>
      </c>
    </row>
    <row r="385" customFormat="false" ht="15" hidden="false" customHeight="true" outlineLevel="0" collapsed="false">
      <c r="A385" s="7" t="s">
        <v>3392</v>
      </c>
      <c r="B385" s="7" t="s">
        <v>38</v>
      </c>
      <c r="C385" s="7" t="n">
        <v>1</v>
      </c>
      <c r="D385" s="7" t="n">
        <v>4</v>
      </c>
      <c r="E385" s="7" t="n">
        <v>1</v>
      </c>
      <c r="F385" s="7" t="s">
        <v>108</v>
      </c>
      <c r="G385" s="12" t="n">
        <f aca="false">IFERROR(INDEX('Semrush Data'!$A$1:$Z$20000,MATCH(A385,'Semrush Data'!$A$1:$A$20000,0),MATCH("Volume",'Semrush Data'!$A$1:$Z$1,0)),"")</f>
        <v>590</v>
      </c>
      <c r="H385" s="7" t="n">
        <f aca="false">IFERROR(INDEX('Semrush Data'!$A$1:$Z$20000,MATCH(A385,'Semrush Data'!$A$1:$A$20000,0),MATCH("Keyword Difficulty*",'Semrush Data'!$A$1:$Z$1,0)),"")</f>
        <v>17</v>
      </c>
      <c r="I385" s="13" t="n">
        <f aca="false">IFERROR(INDEX('Semrush Data'!$A$1:$Z$20000,MATCH(A385,'Semrush Data'!$A$1:$A$20000,0),MATCH("CPC*",'Semrush Data'!$A$1:$Z$1,0)),"")</f>
        <v>0.6</v>
      </c>
      <c r="J385" s="7" t="str">
        <f aca="false">IFERROR(INDEX('Semrush Data'!$A$1:$Z$20000,MATCH(A385,'Semrush Data'!$A$1:$A$20000,0),MATCH("Intent",'Semrush Data'!$A$1:$Z$1,0)),"")</f>
        <v>Informational</v>
      </c>
    </row>
    <row r="386" customFormat="false" ht="15" hidden="false" customHeight="true" outlineLevel="0" collapsed="false">
      <c r="A386" s="7" t="s">
        <v>3425</v>
      </c>
      <c r="B386" s="7" t="s">
        <v>38</v>
      </c>
      <c r="C386" s="7" t="n">
        <v>1</v>
      </c>
      <c r="D386" s="7" t="n">
        <v>4</v>
      </c>
      <c r="E386" s="7" t="n">
        <v>1</v>
      </c>
      <c r="F386" s="7" t="s">
        <v>3423</v>
      </c>
      <c r="G386" s="12" t="n">
        <f aca="false">IFERROR(INDEX('Semrush Data'!$A$1:$Z$20000,MATCH(A386,'Semrush Data'!$A$1:$A$20000,0),MATCH("Volume",'Semrush Data'!$A$1:$Z$1,0)),"")</f>
        <v>0</v>
      </c>
      <c r="H386" s="7" t="n">
        <f aca="false">IFERROR(INDEX('Semrush Data'!$A$1:$Z$20000,MATCH(A386,'Semrush Data'!$A$1:$A$20000,0),MATCH("Keyword Difficulty*",'Semrush Data'!$A$1:$Z$1,0)),"")</f>
        <v>10</v>
      </c>
      <c r="I386" s="13" t="n">
        <f aca="false">IFERROR(INDEX('Semrush Data'!$A$1:$Z$20000,MATCH(A386,'Semrush Data'!$A$1:$A$20000,0),MATCH("CPC*",'Semrush Data'!$A$1:$Z$1,0)),"")</f>
        <v>0</v>
      </c>
      <c r="J386" s="7" t="str">
        <f aca="false">IFERROR(INDEX('Semrush Data'!$A$1:$Z$20000,MATCH(A386,'Semrush Data'!$A$1:$A$20000,0),MATCH("Intent",'Semrush Data'!$A$1:$Z$1,0)),"")</f>
        <v>Informational</v>
      </c>
    </row>
    <row r="387" customFormat="false" ht="15" hidden="false" customHeight="true" outlineLevel="0" collapsed="false">
      <c r="A387" s="7" t="s">
        <v>3414</v>
      </c>
      <c r="B387" s="7" t="s">
        <v>38</v>
      </c>
      <c r="C387" s="7" t="n">
        <v>1</v>
      </c>
      <c r="D387" s="7" t="n">
        <v>4</v>
      </c>
      <c r="E387" s="7" t="n">
        <v>1</v>
      </c>
      <c r="F387" s="7" t="s">
        <v>3411</v>
      </c>
      <c r="G387" s="12" t="n">
        <f aca="false">IFERROR(INDEX('Semrush Data'!$A$1:$Z$20000,MATCH(A387,'Semrush Data'!$A$1:$A$20000,0),MATCH("Volume",'Semrush Data'!$A$1:$Z$1,0)),"")</f>
        <v>0</v>
      </c>
      <c r="H387" s="7" t="n">
        <f aca="false">IFERROR(INDEX('Semrush Data'!$A$1:$Z$20000,MATCH(A387,'Semrush Data'!$A$1:$A$20000,0),MATCH("Keyword Difficulty*",'Semrush Data'!$A$1:$Z$1,0)),"")</f>
        <v>28</v>
      </c>
      <c r="I387" s="13" t="n">
        <f aca="false">IFERROR(INDEX('Semrush Data'!$A$1:$Z$20000,MATCH(A387,'Semrush Data'!$A$1:$A$20000,0),MATCH("CPC*",'Semrush Data'!$A$1:$Z$1,0)),"")</f>
        <v>0</v>
      </c>
      <c r="J387" s="7" t="str">
        <f aca="false">IFERROR(INDEX('Semrush Data'!$A$1:$Z$20000,MATCH(A387,'Semrush Data'!$A$1:$A$20000,0),MATCH("Intent",'Semrush Data'!$A$1:$Z$1,0)),"")</f>
        <v>Transactional Navigational</v>
      </c>
    </row>
    <row r="388" customFormat="false" ht="15" hidden="false" customHeight="true" outlineLevel="0" collapsed="false">
      <c r="A388" s="7" t="s">
        <v>3446</v>
      </c>
      <c r="B388" s="7" t="s">
        <v>38</v>
      </c>
      <c r="C388" s="7" t="n">
        <v>1</v>
      </c>
      <c r="D388" s="7" t="n">
        <v>4</v>
      </c>
      <c r="E388" s="7" t="n">
        <v>1</v>
      </c>
      <c r="F388" s="7" t="s">
        <v>118</v>
      </c>
      <c r="G388" s="12" t="n">
        <f aca="false">IFERROR(INDEX('Semrush Data'!$A$1:$Z$20000,MATCH(A388,'Semrush Data'!$A$1:$A$20000,0),MATCH("Volume",'Semrush Data'!$A$1:$Z$1,0)),"")</f>
        <v>480</v>
      </c>
      <c r="H388" s="7" t="n">
        <f aca="false">IFERROR(INDEX('Semrush Data'!$A$1:$Z$20000,MATCH(A388,'Semrush Data'!$A$1:$A$20000,0),MATCH("Keyword Difficulty*",'Semrush Data'!$A$1:$Z$1,0)),"")</f>
        <v>20</v>
      </c>
      <c r="I388" s="13" t="n">
        <f aca="false">IFERROR(INDEX('Semrush Data'!$A$1:$Z$20000,MATCH(A388,'Semrush Data'!$A$1:$A$20000,0),MATCH("CPC*",'Semrush Data'!$A$1:$Z$1,0)),"")</f>
        <v>0.46</v>
      </c>
      <c r="J388" s="7" t="str">
        <f aca="false">IFERROR(INDEX('Semrush Data'!$A$1:$Z$20000,MATCH(A388,'Semrush Data'!$A$1:$A$20000,0),MATCH("Intent",'Semrush Data'!$A$1:$Z$1,0)),"")</f>
        <v>Informational</v>
      </c>
    </row>
    <row r="389" customFormat="false" ht="15" hidden="false" customHeight="true" outlineLevel="0" collapsed="false">
      <c r="A389" s="7" t="s">
        <v>3436</v>
      </c>
      <c r="B389" s="7" t="s">
        <v>38</v>
      </c>
      <c r="C389" s="7" t="n">
        <v>1</v>
      </c>
      <c r="D389" s="7" t="n">
        <v>4</v>
      </c>
      <c r="E389" s="7" t="n">
        <v>1</v>
      </c>
      <c r="F389" s="7" t="s">
        <v>3433</v>
      </c>
      <c r="G389" s="12" t="n">
        <f aca="false">IFERROR(INDEX('Semrush Data'!$A$1:$Z$20000,MATCH(A389,'Semrush Data'!$A$1:$A$20000,0),MATCH("Volume",'Semrush Data'!$A$1:$Z$1,0)),"")</f>
        <v>20</v>
      </c>
      <c r="H389" s="7" t="n">
        <f aca="false">IFERROR(INDEX('Semrush Data'!$A$1:$Z$20000,MATCH(A389,'Semrush Data'!$A$1:$A$20000,0),MATCH("Keyword Difficulty*",'Semrush Data'!$A$1:$Z$1,0)),"")</f>
        <v>9</v>
      </c>
      <c r="I389" s="13" t="n">
        <f aca="false">IFERROR(INDEX('Semrush Data'!$A$1:$Z$20000,MATCH(A389,'Semrush Data'!$A$1:$A$20000,0),MATCH("CPC*",'Semrush Data'!$A$1:$Z$1,0)),"")</f>
        <v>0.38</v>
      </c>
      <c r="J389" s="7" t="str">
        <f aca="false">IFERROR(INDEX('Semrush Data'!$A$1:$Z$20000,MATCH(A389,'Semrush Data'!$A$1:$A$20000,0),MATCH("Intent",'Semrush Data'!$A$1:$Z$1,0)),"")</f>
        <v>Informational Transactional</v>
      </c>
    </row>
    <row r="390" customFormat="false" ht="15" hidden="false" customHeight="true" outlineLevel="0" collapsed="false">
      <c r="A390" s="7" t="s">
        <v>3459</v>
      </c>
      <c r="B390" s="7" t="s">
        <v>38</v>
      </c>
      <c r="C390" s="7" t="n">
        <v>1</v>
      </c>
      <c r="D390" s="7" t="n">
        <v>4</v>
      </c>
      <c r="E390" s="7" t="n">
        <v>1</v>
      </c>
      <c r="F390" s="7" t="s">
        <v>3456</v>
      </c>
      <c r="G390" s="12" t="n">
        <f aca="false">IFERROR(INDEX('Semrush Data'!$A$1:$Z$20000,MATCH(A390,'Semrush Data'!$A$1:$A$20000,0),MATCH("Volume",'Semrush Data'!$A$1:$Z$1,0)),"")</f>
        <v>260</v>
      </c>
      <c r="H390" s="7" t="n">
        <f aca="false">IFERROR(INDEX('Semrush Data'!$A$1:$Z$20000,MATCH(A390,'Semrush Data'!$A$1:$A$20000,0),MATCH("Keyword Difficulty*",'Semrush Data'!$A$1:$Z$1,0)),"")</f>
        <v>9</v>
      </c>
      <c r="I390" s="13" t="n">
        <f aca="false">IFERROR(INDEX('Semrush Data'!$A$1:$Z$20000,MATCH(A390,'Semrush Data'!$A$1:$A$20000,0),MATCH("CPC*",'Semrush Data'!$A$1:$Z$1,0)),"")</f>
        <v>0</v>
      </c>
      <c r="J390" s="7" t="str">
        <f aca="false">IFERROR(INDEX('Semrush Data'!$A$1:$Z$20000,MATCH(A390,'Semrush Data'!$A$1:$A$20000,0),MATCH("Intent",'Semrush Data'!$A$1:$Z$1,0)),"")</f>
        <v>Informational</v>
      </c>
    </row>
    <row r="391" customFormat="false" ht="15" hidden="false" customHeight="true" outlineLevel="0" collapsed="false">
      <c r="A391" s="7" t="s">
        <v>3469</v>
      </c>
      <c r="B391" s="7" t="s">
        <v>38</v>
      </c>
      <c r="C391" s="7" t="n">
        <v>1</v>
      </c>
      <c r="D391" s="7" t="n">
        <v>4</v>
      </c>
      <c r="E391" s="7" t="n">
        <v>1</v>
      </c>
      <c r="F391" s="7" t="s">
        <v>90</v>
      </c>
      <c r="G391" s="12" t="n">
        <f aca="false">IFERROR(INDEX('Semrush Data'!$A$1:$Z$20000,MATCH(A391,'Semrush Data'!$A$1:$A$20000,0),MATCH("Volume",'Semrush Data'!$A$1:$Z$1,0)),"")</f>
        <v>880</v>
      </c>
      <c r="H391" s="7" t="n">
        <f aca="false">IFERROR(INDEX('Semrush Data'!$A$1:$Z$20000,MATCH(A391,'Semrush Data'!$A$1:$A$20000,0),MATCH("Keyword Difficulty*",'Semrush Data'!$A$1:$Z$1,0)),"")</f>
        <v>16</v>
      </c>
      <c r="I391" s="13" t="n">
        <f aca="false">IFERROR(INDEX('Semrush Data'!$A$1:$Z$20000,MATCH(A391,'Semrush Data'!$A$1:$A$20000,0),MATCH("CPC*",'Semrush Data'!$A$1:$Z$1,0)),"")</f>
        <v>0.42</v>
      </c>
      <c r="J391" s="7" t="str">
        <f aca="false">IFERROR(INDEX('Semrush Data'!$A$1:$Z$20000,MATCH(A391,'Semrush Data'!$A$1:$A$20000,0),MATCH("Intent",'Semrush Data'!$A$1:$Z$1,0)),"")</f>
        <v>Informational</v>
      </c>
    </row>
    <row r="392" customFormat="false" ht="15" hidden="false" customHeight="true" outlineLevel="0" collapsed="false">
      <c r="A392" s="7" t="s">
        <v>2232</v>
      </c>
      <c r="B392" s="7" t="s">
        <v>38</v>
      </c>
      <c r="C392" s="7" t="n">
        <v>1</v>
      </c>
      <c r="D392" s="7" t="n">
        <v>4</v>
      </c>
      <c r="E392" s="7" t="n">
        <v>1</v>
      </c>
      <c r="F392" s="7" t="s">
        <v>1186</v>
      </c>
      <c r="G392" s="12" t="n">
        <f aca="false">IFERROR(INDEX('Semrush Data'!$A$1:$Z$20000,MATCH(A392,'Semrush Data'!$A$1:$A$20000,0),MATCH("Volume",'Semrush Data'!$A$1:$Z$1,0)),"")</f>
        <v>0</v>
      </c>
      <c r="H392" s="7" t="n">
        <f aca="false">IFERROR(INDEX('Semrush Data'!$A$1:$Z$20000,MATCH(A392,'Semrush Data'!$A$1:$A$20000,0),MATCH("Keyword Difficulty*",'Semrush Data'!$A$1:$Z$1,0)),"")</f>
        <v>14</v>
      </c>
      <c r="I392" s="13" t="n">
        <f aca="false">IFERROR(INDEX('Semrush Data'!$A$1:$Z$20000,MATCH(A392,'Semrush Data'!$A$1:$A$20000,0),MATCH("CPC*",'Semrush Data'!$A$1:$Z$1,0)),"")</f>
        <v>0</v>
      </c>
      <c r="J392" s="7" t="str">
        <f aca="false">IFERROR(INDEX('Semrush Data'!$A$1:$Z$20000,MATCH(A392,'Semrush Data'!$A$1:$A$20000,0),MATCH("Intent",'Semrush Data'!$A$1:$Z$1,0)),"")</f>
        <v>Informational Transactional</v>
      </c>
    </row>
    <row r="393" customFormat="false" ht="15" hidden="false" customHeight="true" outlineLevel="0" collapsed="false">
      <c r="A393" s="7" t="s">
        <v>1921</v>
      </c>
      <c r="B393" s="7" t="s">
        <v>38</v>
      </c>
      <c r="C393" s="7" t="n">
        <v>1</v>
      </c>
      <c r="D393" s="7" t="n">
        <v>4</v>
      </c>
      <c r="E393" s="7" t="n">
        <v>1</v>
      </c>
      <c r="F393" s="7" t="s">
        <v>879</v>
      </c>
      <c r="G393" s="12" t="n">
        <f aca="false">IFERROR(INDEX('Semrush Data'!$A$1:$Z$20000,MATCH(A393,'Semrush Data'!$A$1:$A$20000,0),MATCH("Volume",'Semrush Data'!$A$1:$Z$1,0)),"")</f>
        <v>0</v>
      </c>
      <c r="H393" s="7" t="n">
        <f aca="false">IFERROR(INDEX('Semrush Data'!$A$1:$Z$20000,MATCH(A393,'Semrush Data'!$A$1:$A$20000,0),MATCH("Keyword Difficulty*",'Semrush Data'!$A$1:$Z$1,0)),"")</f>
        <v>18</v>
      </c>
      <c r="I393" s="13" t="n">
        <f aca="false">IFERROR(INDEX('Semrush Data'!$A$1:$Z$20000,MATCH(A393,'Semrush Data'!$A$1:$A$20000,0),MATCH("CPC*",'Semrush Data'!$A$1:$Z$1,0)),"")</f>
        <v>0</v>
      </c>
      <c r="J393" s="7" t="str">
        <f aca="false">IFERROR(INDEX('Semrush Data'!$A$1:$Z$20000,MATCH(A393,'Semrush Data'!$A$1:$A$20000,0),MATCH("Intent",'Semrush Data'!$A$1:$Z$1,0)),"")</f>
        <v>Informational Transactional</v>
      </c>
    </row>
    <row r="394" customFormat="false" ht="15" hidden="false" customHeight="true" outlineLevel="0" collapsed="false">
      <c r="A394" s="7" t="s">
        <v>2323</v>
      </c>
      <c r="B394" s="7" t="s">
        <v>38</v>
      </c>
      <c r="C394" s="7" t="n">
        <v>1</v>
      </c>
      <c r="D394" s="7" t="n">
        <v>4</v>
      </c>
      <c r="E394" s="7" t="n">
        <v>1</v>
      </c>
      <c r="F394" s="7" t="s">
        <v>1278</v>
      </c>
      <c r="G394" s="12" t="n">
        <f aca="false">IFERROR(INDEX('Semrush Data'!$A$1:$Z$20000,MATCH(A394,'Semrush Data'!$A$1:$A$20000,0),MATCH("Volume",'Semrush Data'!$A$1:$Z$1,0)),"")</f>
        <v>0</v>
      </c>
      <c r="H394" s="7" t="n">
        <f aca="false">IFERROR(INDEX('Semrush Data'!$A$1:$Z$20000,MATCH(A394,'Semrush Data'!$A$1:$A$20000,0),MATCH("Keyword Difficulty*",'Semrush Data'!$A$1:$Z$1,0)),"")</f>
        <v>14</v>
      </c>
      <c r="I394" s="13" t="n">
        <f aca="false">IFERROR(INDEX('Semrush Data'!$A$1:$Z$20000,MATCH(A394,'Semrush Data'!$A$1:$A$20000,0),MATCH("CPC*",'Semrush Data'!$A$1:$Z$1,0)),"")</f>
        <v>0</v>
      </c>
      <c r="J394" s="7" t="str">
        <f aca="false">IFERROR(INDEX('Semrush Data'!$A$1:$Z$20000,MATCH(A394,'Semrush Data'!$A$1:$A$20000,0),MATCH("Intent",'Semrush Data'!$A$1:$Z$1,0)),"")</f>
        <v>Informational</v>
      </c>
    </row>
    <row r="395" customFormat="false" ht="15" hidden="false" customHeight="true" outlineLevel="0" collapsed="false">
      <c r="A395" s="7" t="s">
        <v>2258</v>
      </c>
      <c r="B395" s="7" t="s">
        <v>38</v>
      </c>
      <c r="C395" s="7" t="n">
        <v>1</v>
      </c>
      <c r="D395" s="7" t="n">
        <v>4</v>
      </c>
      <c r="E395" s="7" t="n">
        <v>1</v>
      </c>
      <c r="F395" s="7" t="s">
        <v>1212</v>
      </c>
      <c r="G395" s="12" t="n">
        <f aca="false">IFERROR(INDEX('Semrush Data'!$A$1:$Z$20000,MATCH(A395,'Semrush Data'!$A$1:$A$20000,0),MATCH("Volume",'Semrush Data'!$A$1:$Z$1,0)),"")</f>
        <v>0</v>
      </c>
      <c r="H395" s="7" t="n">
        <f aca="false">IFERROR(INDEX('Semrush Data'!$A$1:$Z$20000,MATCH(A395,'Semrush Data'!$A$1:$A$20000,0),MATCH("Keyword Difficulty*",'Semrush Data'!$A$1:$Z$1,0)),"")</f>
        <v>14</v>
      </c>
      <c r="I395" s="13" t="n">
        <f aca="false">IFERROR(INDEX('Semrush Data'!$A$1:$Z$20000,MATCH(A395,'Semrush Data'!$A$1:$A$20000,0),MATCH("CPC*",'Semrush Data'!$A$1:$Z$1,0)),"")</f>
        <v>0</v>
      </c>
      <c r="J395" s="7" t="str">
        <f aca="false">IFERROR(INDEX('Semrush Data'!$A$1:$Z$20000,MATCH(A395,'Semrush Data'!$A$1:$A$20000,0),MATCH("Intent",'Semrush Data'!$A$1:$Z$1,0)),"")</f>
        <v>Transactional Navigational</v>
      </c>
    </row>
    <row r="396" customFormat="false" ht="15" hidden="false" customHeight="true" outlineLevel="0" collapsed="false">
      <c r="A396" s="7" t="s">
        <v>2264</v>
      </c>
      <c r="B396" s="7" t="s">
        <v>38</v>
      </c>
      <c r="C396" s="7" t="n">
        <v>1</v>
      </c>
      <c r="D396" s="7" t="n">
        <v>4</v>
      </c>
      <c r="E396" s="7" t="n">
        <v>1</v>
      </c>
      <c r="F396" s="7" t="s">
        <v>1218</v>
      </c>
      <c r="G396" s="12" t="n">
        <f aca="false">IFERROR(INDEX('Semrush Data'!$A$1:$Z$20000,MATCH(A396,'Semrush Data'!$A$1:$A$20000,0),MATCH("Volume",'Semrush Data'!$A$1:$Z$1,0)),"")</f>
        <v>0</v>
      </c>
      <c r="H396" s="7" t="n">
        <f aca="false">IFERROR(INDEX('Semrush Data'!$A$1:$Z$20000,MATCH(A396,'Semrush Data'!$A$1:$A$20000,0),MATCH("Keyword Difficulty*",'Semrush Data'!$A$1:$Z$1,0)),"")</f>
        <v>14</v>
      </c>
      <c r="I396" s="13" t="n">
        <f aca="false">IFERROR(INDEX('Semrush Data'!$A$1:$Z$20000,MATCH(A396,'Semrush Data'!$A$1:$A$20000,0),MATCH("CPC*",'Semrush Data'!$A$1:$Z$1,0)),"")</f>
        <v>0</v>
      </c>
      <c r="J396" s="7" t="str">
        <f aca="false">IFERROR(INDEX('Semrush Data'!$A$1:$Z$20000,MATCH(A396,'Semrush Data'!$A$1:$A$20000,0),MATCH("Intent",'Semrush Data'!$A$1:$Z$1,0)),"")</f>
        <v>Transactional Navigational</v>
      </c>
    </row>
    <row r="397" customFormat="false" ht="15" hidden="false" customHeight="true" outlineLevel="0" collapsed="false">
      <c r="A397" s="7" t="s">
        <v>1898</v>
      </c>
      <c r="B397" s="7" t="s">
        <v>38</v>
      </c>
      <c r="C397" s="7" t="n">
        <v>1</v>
      </c>
      <c r="D397" s="7" t="n">
        <v>4</v>
      </c>
      <c r="E397" s="7" t="n">
        <v>1</v>
      </c>
      <c r="F397" s="7" t="s">
        <v>860</v>
      </c>
      <c r="G397" s="12" t="n">
        <f aca="false">IFERROR(INDEX('Semrush Data'!$A$1:$Z$20000,MATCH(A397,'Semrush Data'!$A$1:$A$20000,0),MATCH("Volume",'Semrush Data'!$A$1:$Z$1,0)),"")</f>
        <v>0</v>
      </c>
      <c r="H397" s="7" t="n">
        <f aca="false">IFERROR(INDEX('Semrush Data'!$A$1:$Z$20000,MATCH(A397,'Semrush Data'!$A$1:$A$20000,0),MATCH("Keyword Difficulty*",'Semrush Data'!$A$1:$Z$1,0)),"")</f>
        <v>13</v>
      </c>
      <c r="I397" s="13" t="n">
        <f aca="false">IFERROR(INDEX('Semrush Data'!$A$1:$Z$20000,MATCH(A397,'Semrush Data'!$A$1:$A$20000,0),MATCH("CPC*",'Semrush Data'!$A$1:$Z$1,0)),"")</f>
        <v>0</v>
      </c>
      <c r="J397" s="7" t="str">
        <f aca="false">IFERROR(INDEX('Semrush Data'!$A$1:$Z$20000,MATCH(A397,'Semrush Data'!$A$1:$A$20000,0),MATCH("Intent",'Semrush Data'!$A$1:$Z$1,0)),"")</f>
        <v>Informational Navigational</v>
      </c>
    </row>
    <row r="398" customFormat="false" ht="15" hidden="false" customHeight="true" outlineLevel="0" collapsed="false">
      <c r="A398" s="7" t="s">
        <v>2106</v>
      </c>
      <c r="B398" s="7" t="s">
        <v>38</v>
      </c>
      <c r="C398" s="7" t="n">
        <v>1</v>
      </c>
      <c r="D398" s="7" t="n">
        <v>4</v>
      </c>
      <c r="E398" s="7" t="n">
        <v>1</v>
      </c>
      <c r="F398" s="7" t="s">
        <v>1057</v>
      </c>
      <c r="G398" s="12" t="n">
        <f aca="false">IFERROR(INDEX('Semrush Data'!$A$1:$Z$20000,MATCH(A398,'Semrush Data'!$A$1:$A$20000,0),MATCH("Volume",'Semrush Data'!$A$1:$Z$1,0)),"")</f>
        <v>0</v>
      </c>
      <c r="H398" s="7" t="n">
        <f aca="false">IFERROR(INDEX('Semrush Data'!$A$1:$Z$20000,MATCH(A398,'Semrush Data'!$A$1:$A$20000,0),MATCH("Keyword Difficulty*",'Semrush Data'!$A$1:$Z$1,0)),"")</f>
        <v>15</v>
      </c>
      <c r="I398" s="13" t="n">
        <f aca="false">IFERROR(INDEX('Semrush Data'!$A$1:$Z$20000,MATCH(A398,'Semrush Data'!$A$1:$A$20000,0),MATCH("CPC*",'Semrush Data'!$A$1:$Z$1,0)),"")</f>
        <v>0</v>
      </c>
      <c r="J398" s="7" t="str">
        <f aca="false">IFERROR(INDEX('Semrush Data'!$A$1:$Z$20000,MATCH(A398,'Semrush Data'!$A$1:$A$20000,0),MATCH("Intent",'Semrush Data'!$A$1:$Z$1,0)),"")</f>
        <v>Informational Transactional</v>
      </c>
    </row>
    <row r="399" customFormat="false" ht="15" hidden="false" customHeight="true" outlineLevel="0" collapsed="false">
      <c r="A399" s="7" t="s">
        <v>2206</v>
      </c>
      <c r="B399" s="7" t="s">
        <v>38</v>
      </c>
      <c r="C399" s="7" t="n">
        <v>1</v>
      </c>
      <c r="D399" s="7" t="n">
        <v>4</v>
      </c>
      <c r="E399" s="7" t="n">
        <v>1</v>
      </c>
      <c r="F399" s="7" t="s">
        <v>1159</v>
      </c>
      <c r="G399" s="12" t="n">
        <f aca="false">IFERROR(INDEX('Semrush Data'!$A$1:$Z$20000,MATCH(A399,'Semrush Data'!$A$1:$A$20000,0),MATCH("Volume",'Semrush Data'!$A$1:$Z$1,0)),"")</f>
        <v>20</v>
      </c>
      <c r="H399" s="7" t="n">
        <f aca="false">IFERROR(INDEX('Semrush Data'!$A$1:$Z$20000,MATCH(A399,'Semrush Data'!$A$1:$A$20000,0),MATCH("Keyword Difficulty*",'Semrush Data'!$A$1:$Z$1,0)),"")</f>
        <v>9</v>
      </c>
      <c r="I399" s="13" t="n">
        <f aca="false">IFERROR(INDEX('Semrush Data'!$A$1:$Z$20000,MATCH(A399,'Semrush Data'!$A$1:$A$20000,0),MATCH("CPC*",'Semrush Data'!$A$1:$Z$1,0)),"")</f>
        <v>0</v>
      </c>
      <c r="J399" s="7" t="str">
        <f aca="false">IFERROR(INDEX('Semrush Data'!$A$1:$Z$20000,MATCH(A399,'Semrush Data'!$A$1:$A$20000,0),MATCH("Intent",'Semrush Data'!$A$1:$Z$1,0)),"")</f>
        <v>Transactional Navigational</v>
      </c>
    </row>
    <row r="400" customFormat="false" ht="15" hidden="false" customHeight="true" outlineLevel="0" collapsed="false">
      <c r="A400" s="7" t="s">
        <v>1943</v>
      </c>
      <c r="B400" s="7" t="s">
        <v>38</v>
      </c>
      <c r="C400" s="7" t="n">
        <v>1</v>
      </c>
      <c r="D400" s="7" t="n">
        <v>4</v>
      </c>
      <c r="E400" s="7" t="n">
        <v>1</v>
      </c>
      <c r="F400" s="7" t="s">
        <v>898</v>
      </c>
      <c r="G400" s="12" t="n">
        <f aca="false">IFERROR(INDEX('Semrush Data'!$A$1:$Z$20000,MATCH(A400,'Semrush Data'!$A$1:$A$20000,0),MATCH("Volume",'Semrush Data'!$A$1:$Z$1,0)),"")</f>
        <v>0</v>
      </c>
      <c r="H400" s="7" t="n">
        <f aca="false">IFERROR(INDEX('Semrush Data'!$A$1:$Z$20000,MATCH(A400,'Semrush Data'!$A$1:$A$20000,0),MATCH("Keyword Difficulty*",'Semrush Data'!$A$1:$Z$1,0)),"")</f>
        <v>14</v>
      </c>
      <c r="I400" s="13" t="n">
        <f aca="false">IFERROR(INDEX('Semrush Data'!$A$1:$Z$20000,MATCH(A400,'Semrush Data'!$A$1:$A$20000,0),MATCH("CPC*",'Semrush Data'!$A$1:$Z$1,0)),"")</f>
        <v>0</v>
      </c>
      <c r="J400" s="7" t="str">
        <f aca="false">IFERROR(INDEX('Semrush Data'!$A$1:$Z$20000,MATCH(A400,'Semrush Data'!$A$1:$A$20000,0),MATCH("Intent",'Semrush Data'!$A$1:$Z$1,0)),"")</f>
        <v>Transactional Navigational</v>
      </c>
    </row>
    <row r="401" customFormat="false" ht="15" hidden="false" customHeight="true" outlineLevel="0" collapsed="false">
      <c r="A401" s="7" t="s">
        <v>2200</v>
      </c>
      <c r="B401" s="7" t="s">
        <v>38</v>
      </c>
      <c r="C401" s="7" t="n">
        <v>1</v>
      </c>
      <c r="D401" s="7" t="n">
        <v>4</v>
      </c>
      <c r="E401" s="7" t="n">
        <v>1</v>
      </c>
      <c r="F401" s="7" t="s">
        <v>1153</v>
      </c>
      <c r="G401" s="12" t="n">
        <f aca="false">IFERROR(INDEX('Semrush Data'!$A$1:$Z$20000,MATCH(A401,'Semrush Data'!$A$1:$A$20000,0),MATCH("Volume",'Semrush Data'!$A$1:$Z$1,0)),"")</f>
        <v>0</v>
      </c>
      <c r="H401" s="7" t="n">
        <f aca="false">IFERROR(INDEX('Semrush Data'!$A$1:$Z$20000,MATCH(A401,'Semrush Data'!$A$1:$A$20000,0),MATCH("Keyword Difficulty*",'Semrush Data'!$A$1:$Z$1,0)),"")</f>
        <v>14</v>
      </c>
      <c r="I401" s="13" t="n">
        <f aca="false">IFERROR(INDEX('Semrush Data'!$A$1:$Z$20000,MATCH(A401,'Semrush Data'!$A$1:$A$20000,0),MATCH("CPC*",'Semrush Data'!$A$1:$Z$1,0)),"")</f>
        <v>0</v>
      </c>
      <c r="J401" s="7" t="str">
        <f aca="false">IFERROR(INDEX('Semrush Data'!$A$1:$Z$20000,MATCH(A401,'Semrush Data'!$A$1:$A$20000,0),MATCH("Intent",'Semrush Data'!$A$1:$Z$1,0)),"")</f>
        <v>Transactional Navigational</v>
      </c>
    </row>
    <row r="402" customFormat="false" ht="15" hidden="false" customHeight="true" outlineLevel="0" collapsed="false">
      <c r="A402" s="7" t="s">
        <v>2139</v>
      </c>
      <c r="B402" s="7" t="s">
        <v>38</v>
      </c>
      <c r="C402" s="7" t="n">
        <v>1</v>
      </c>
      <c r="D402" s="7" t="n">
        <v>5</v>
      </c>
      <c r="E402" s="7" t="n">
        <v>1</v>
      </c>
      <c r="F402" s="7" t="s">
        <v>1090</v>
      </c>
      <c r="G402" s="12" t="n">
        <f aca="false">IFERROR(INDEX('Semrush Data'!$A$1:$Z$20000,MATCH(A402,'Semrush Data'!$A$1:$A$20000,0),MATCH("Volume",'Semrush Data'!$A$1:$Z$1,0)),"")</f>
        <v>0</v>
      </c>
      <c r="H402" s="7" t="n">
        <f aca="false">IFERROR(INDEX('Semrush Data'!$A$1:$Z$20000,MATCH(A402,'Semrush Data'!$A$1:$A$20000,0),MATCH("Keyword Difficulty*",'Semrush Data'!$A$1:$Z$1,0)),"")</f>
        <v>16</v>
      </c>
      <c r="I402" s="13" t="n">
        <f aca="false">IFERROR(INDEX('Semrush Data'!$A$1:$Z$20000,MATCH(A402,'Semrush Data'!$A$1:$A$20000,0),MATCH("CPC*",'Semrush Data'!$A$1:$Z$1,0)),"")</f>
        <v>0</v>
      </c>
      <c r="J402" s="7" t="str">
        <f aca="false">IFERROR(INDEX('Semrush Data'!$A$1:$Z$20000,MATCH(A402,'Semrush Data'!$A$1:$A$20000,0),MATCH("Intent",'Semrush Data'!$A$1:$Z$1,0)),"")</f>
        <v>Transactional</v>
      </c>
    </row>
    <row r="403" customFormat="false" ht="15" hidden="false" customHeight="true" outlineLevel="0" collapsed="false">
      <c r="A403" s="7" t="s">
        <v>2219</v>
      </c>
      <c r="B403" s="7" t="s">
        <v>38</v>
      </c>
      <c r="C403" s="7" t="n">
        <v>1</v>
      </c>
      <c r="D403" s="7" t="n">
        <v>5</v>
      </c>
      <c r="E403" s="7" t="n">
        <v>1</v>
      </c>
      <c r="F403" s="7" t="s">
        <v>1172</v>
      </c>
      <c r="G403" s="12" t="n">
        <f aca="false">IFERROR(INDEX('Semrush Data'!$A$1:$Z$20000,MATCH(A403,'Semrush Data'!$A$1:$A$20000,0),MATCH("Volume",'Semrush Data'!$A$1:$Z$1,0)),"")</f>
        <v>0</v>
      </c>
      <c r="H403" s="7" t="n">
        <f aca="false">IFERROR(INDEX('Semrush Data'!$A$1:$Z$20000,MATCH(A403,'Semrush Data'!$A$1:$A$20000,0),MATCH("Keyword Difficulty*",'Semrush Data'!$A$1:$Z$1,0)),"")</f>
        <v>22</v>
      </c>
      <c r="I403" s="13" t="n">
        <f aca="false">IFERROR(INDEX('Semrush Data'!$A$1:$Z$20000,MATCH(A403,'Semrush Data'!$A$1:$A$20000,0),MATCH("CPC*",'Semrush Data'!$A$1:$Z$1,0)),"")</f>
        <v>0</v>
      </c>
      <c r="J403" s="7" t="str">
        <f aca="false">IFERROR(INDEX('Semrush Data'!$A$1:$Z$20000,MATCH(A403,'Semrush Data'!$A$1:$A$20000,0),MATCH("Intent",'Semrush Data'!$A$1:$Z$1,0)),"")</f>
        <v>Informational Transactional</v>
      </c>
    </row>
    <row r="404" customFormat="false" ht="15" hidden="false" customHeight="true" outlineLevel="0" collapsed="false">
      <c r="A404" s="7" t="s">
        <v>2127</v>
      </c>
      <c r="B404" s="7" t="s">
        <v>38</v>
      </c>
      <c r="C404" s="7" t="n">
        <v>1</v>
      </c>
      <c r="D404" s="7" t="n">
        <v>5</v>
      </c>
      <c r="E404" s="7" t="n">
        <v>1</v>
      </c>
      <c r="F404" s="7" t="s">
        <v>1075</v>
      </c>
      <c r="G404" s="12" t="n">
        <f aca="false">IFERROR(INDEX('Semrush Data'!$A$1:$Z$20000,MATCH(A404,'Semrush Data'!$A$1:$A$20000,0),MATCH("Volume",'Semrush Data'!$A$1:$Z$1,0)),"")</f>
        <v>0</v>
      </c>
      <c r="H404" s="7" t="n">
        <f aca="false">IFERROR(INDEX('Semrush Data'!$A$1:$Z$20000,MATCH(A404,'Semrush Data'!$A$1:$A$20000,0),MATCH("Keyword Difficulty*",'Semrush Data'!$A$1:$Z$1,0)),"")</f>
        <v>18</v>
      </c>
      <c r="I404" s="13" t="n">
        <f aca="false">IFERROR(INDEX('Semrush Data'!$A$1:$Z$20000,MATCH(A404,'Semrush Data'!$A$1:$A$20000,0),MATCH("CPC*",'Semrush Data'!$A$1:$Z$1,0)),"")</f>
        <v>0</v>
      </c>
      <c r="J404" s="7" t="str">
        <f aca="false">IFERROR(INDEX('Semrush Data'!$A$1:$Z$20000,MATCH(A404,'Semrush Data'!$A$1:$A$20000,0),MATCH("Intent",'Semrush Data'!$A$1:$Z$1,0)),"")</f>
        <v>Informational Transactional</v>
      </c>
    </row>
    <row r="405" customFormat="false" ht="15" hidden="false" customHeight="true" outlineLevel="0" collapsed="false">
      <c r="A405" s="7" t="s">
        <v>2288</v>
      </c>
      <c r="B405" s="7" t="s">
        <v>38</v>
      </c>
      <c r="C405" s="7" t="n">
        <v>1</v>
      </c>
      <c r="D405" s="7" t="n">
        <v>5</v>
      </c>
      <c r="E405" s="7" t="n">
        <v>1</v>
      </c>
      <c r="F405" s="7" t="s">
        <v>1242</v>
      </c>
      <c r="G405" s="12" t="n">
        <f aca="false">IFERROR(INDEX('Semrush Data'!$A$1:$Z$20000,MATCH(A405,'Semrush Data'!$A$1:$A$20000,0),MATCH("Volume",'Semrush Data'!$A$1:$Z$1,0)),"")</f>
        <v>0</v>
      </c>
      <c r="H405" s="7" t="n">
        <f aca="false">IFERROR(INDEX('Semrush Data'!$A$1:$Z$20000,MATCH(A405,'Semrush Data'!$A$1:$A$20000,0),MATCH("Keyword Difficulty*",'Semrush Data'!$A$1:$Z$1,0)),"")</f>
        <v>15</v>
      </c>
      <c r="I405" s="13" t="n">
        <f aca="false">IFERROR(INDEX('Semrush Data'!$A$1:$Z$20000,MATCH(A405,'Semrush Data'!$A$1:$A$20000,0),MATCH("CPC*",'Semrush Data'!$A$1:$Z$1,0)),"")</f>
        <v>0</v>
      </c>
      <c r="J405" s="7" t="str">
        <f aca="false">IFERROR(INDEX('Semrush Data'!$A$1:$Z$20000,MATCH(A405,'Semrush Data'!$A$1:$A$20000,0),MATCH("Intent",'Semrush Data'!$A$1:$Z$1,0)),"")</f>
        <v>Commercial</v>
      </c>
    </row>
    <row r="406" customFormat="false" ht="15" hidden="false" customHeight="true" outlineLevel="0" collapsed="false">
      <c r="A406" s="7" t="s">
        <v>1905</v>
      </c>
      <c r="B406" s="7" t="s">
        <v>38</v>
      </c>
      <c r="C406" s="7" t="n">
        <v>1</v>
      </c>
      <c r="D406" s="7" t="n">
        <v>5</v>
      </c>
      <c r="E406" s="7" t="n">
        <v>2</v>
      </c>
      <c r="F406" s="7" t="s">
        <v>6651</v>
      </c>
      <c r="G406" s="12" t="n">
        <f aca="false">IFERROR(INDEX('Semrush Data'!$A$1:$Z$20000,MATCH(A406,'Semrush Data'!$A$1:$A$20000,0),MATCH("Volume",'Semrush Data'!$A$1:$Z$1,0)),"")</f>
        <v>0</v>
      </c>
      <c r="H406" s="7" t="n">
        <f aca="false">IFERROR(INDEX('Semrush Data'!$A$1:$Z$20000,MATCH(A406,'Semrush Data'!$A$1:$A$20000,0),MATCH("Keyword Difficulty*",'Semrush Data'!$A$1:$Z$1,0)),"")</f>
        <v>14</v>
      </c>
      <c r="I406" s="13" t="n">
        <f aca="false">IFERROR(INDEX('Semrush Data'!$A$1:$Z$20000,MATCH(A406,'Semrush Data'!$A$1:$A$20000,0),MATCH("CPC*",'Semrush Data'!$A$1:$Z$1,0)),"")</f>
        <v>0</v>
      </c>
      <c r="J406" s="7" t="str">
        <f aca="false">IFERROR(INDEX('Semrush Data'!$A$1:$Z$20000,MATCH(A406,'Semrush Data'!$A$1:$A$20000,0),MATCH("Intent",'Semrush Data'!$A$1:$Z$1,0)),"")</f>
        <v>Transactional Navigational</v>
      </c>
    </row>
    <row r="407" customFormat="false" ht="15" hidden="false" customHeight="true" outlineLevel="0" collapsed="false">
      <c r="A407" s="7" t="s">
        <v>2146</v>
      </c>
      <c r="B407" s="7" t="s">
        <v>38</v>
      </c>
      <c r="C407" s="7" t="n">
        <v>1</v>
      </c>
      <c r="D407" s="7" t="n">
        <v>5</v>
      </c>
      <c r="E407" s="7" t="n">
        <v>1</v>
      </c>
      <c r="F407" s="7" t="s">
        <v>1097</v>
      </c>
      <c r="G407" s="12" t="n">
        <f aca="false">IFERROR(INDEX('Semrush Data'!$A$1:$Z$20000,MATCH(A407,'Semrush Data'!$A$1:$A$20000,0),MATCH("Volume",'Semrush Data'!$A$1:$Z$1,0)),"")</f>
        <v>0</v>
      </c>
      <c r="H407" s="7" t="n">
        <f aca="false">IFERROR(INDEX('Semrush Data'!$A$1:$Z$20000,MATCH(A407,'Semrush Data'!$A$1:$A$20000,0),MATCH("Keyword Difficulty*",'Semrush Data'!$A$1:$Z$1,0)),"")</f>
        <v>22</v>
      </c>
      <c r="I407" s="13" t="n">
        <f aca="false">IFERROR(INDEX('Semrush Data'!$A$1:$Z$20000,MATCH(A407,'Semrush Data'!$A$1:$A$20000,0),MATCH("CPC*",'Semrush Data'!$A$1:$Z$1,0)),"")</f>
        <v>0</v>
      </c>
      <c r="J407" s="7" t="str">
        <f aca="false">IFERROR(INDEX('Semrush Data'!$A$1:$Z$20000,MATCH(A407,'Semrush Data'!$A$1:$A$20000,0),MATCH("Intent",'Semrush Data'!$A$1:$Z$1,0)),"")</f>
        <v>Informational Navigational</v>
      </c>
    </row>
    <row r="408" customFormat="false" ht="15" hidden="false" customHeight="true" outlineLevel="0" collapsed="false">
      <c r="A408" s="7" t="s">
        <v>1890</v>
      </c>
      <c r="B408" s="7" t="s">
        <v>38</v>
      </c>
      <c r="C408" s="7" t="n">
        <v>1</v>
      </c>
      <c r="D408" s="7" t="n">
        <v>5</v>
      </c>
      <c r="E408" s="7" t="n">
        <v>1</v>
      </c>
      <c r="F408" s="7" t="s">
        <v>854</v>
      </c>
      <c r="G408" s="12" t="n">
        <f aca="false">IFERROR(INDEX('Semrush Data'!$A$1:$Z$20000,MATCH(A408,'Semrush Data'!$A$1:$A$20000,0),MATCH("Volume",'Semrush Data'!$A$1:$Z$1,0)),"")</f>
        <v>0</v>
      </c>
      <c r="H408" s="7" t="n">
        <f aca="false">IFERROR(INDEX('Semrush Data'!$A$1:$Z$20000,MATCH(A408,'Semrush Data'!$A$1:$A$20000,0),MATCH("Keyword Difficulty*",'Semrush Data'!$A$1:$Z$1,0)),"")</f>
        <v>15</v>
      </c>
      <c r="I408" s="13" t="n">
        <f aca="false">IFERROR(INDEX('Semrush Data'!$A$1:$Z$20000,MATCH(A408,'Semrush Data'!$A$1:$A$20000,0),MATCH("CPC*",'Semrush Data'!$A$1:$Z$1,0)),"")</f>
        <v>0</v>
      </c>
      <c r="J408" s="7" t="str">
        <f aca="false">IFERROR(INDEX('Semrush Data'!$A$1:$Z$20000,MATCH(A408,'Semrush Data'!$A$1:$A$20000,0),MATCH("Intent",'Semrush Data'!$A$1:$Z$1,0)),"")</f>
        <v>Transactional Navigational</v>
      </c>
    </row>
    <row r="409" customFormat="false" ht="15" hidden="false" customHeight="true" outlineLevel="0" collapsed="false">
      <c r="A409" s="7" t="s">
        <v>2159</v>
      </c>
      <c r="B409" s="7" t="s">
        <v>38</v>
      </c>
      <c r="C409" s="7" t="n">
        <v>1</v>
      </c>
      <c r="D409" s="7" t="n">
        <v>5</v>
      </c>
      <c r="E409" s="7" t="n">
        <v>1</v>
      </c>
      <c r="F409" s="7" t="s">
        <v>1111</v>
      </c>
      <c r="G409" s="12" t="n">
        <f aca="false">IFERROR(INDEX('Semrush Data'!$A$1:$Z$20000,MATCH(A409,'Semrush Data'!$A$1:$A$20000,0),MATCH("Volume",'Semrush Data'!$A$1:$Z$1,0)),"")</f>
        <v>10</v>
      </c>
      <c r="H409" s="7" t="n">
        <f aca="false">IFERROR(INDEX('Semrush Data'!$A$1:$Z$20000,MATCH(A409,'Semrush Data'!$A$1:$A$20000,0),MATCH("Keyword Difficulty*",'Semrush Data'!$A$1:$Z$1,0)),"")</f>
        <v>8</v>
      </c>
      <c r="I409" s="13" t="n">
        <f aca="false">IFERROR(INDEX('Semrush Data'!$A$1:$Z$20000,MATCH(A409,'Semrush Data'!$A$1:$A$20000,0),MATCH("CPC*",'Semrush Data'!$A$1:$Z$1,0)),"")</f>
        <v>0</v>
      </c>
      <c r="J409" s="7" t="str">
        <f aca="false">IFERROR(INDEX('Semrush Data'!$A$1:$Z$20000,MATCH(A409,'Semrush Data'!$A$1:$A$20000,0),MATCH("Intent",'Semrush Data'!$A$1:$Z$1,0)),"")</f>
        <v>Transactional Navigational</v>
      </c>
    </row>
    <row r="410" customFormat="false" ht="15" hidden="false" customHeight="true" outlineLevel="0" collapsed="false">
      <c r="A410" s="7" t="s">
        <v>1883</v>
      </c>
      <c r="B410" s="7" t="s">
        <v>38</v>
      </c>
      <c r="C410" s="7" t="n">
        <v>1</v>
      </c>
      <c r="D410" s="7" t="n">
        <v>5</v>
      </c>
      <c r="E410" s="7" t="n">
        <v>1</v>
      </c>
      <c r="F410" s="7" t="s">
        <v>845</v>
      </c>
      <c r="G410" s="12" t="n">
        <f aca="false">IFERROR(INDEX('Semrush Data'!$A$1:$Z$20000,MATCH(A410,'Semrush Data'!$A$1:$A$20000,0),MATCH("Volume",'Semrush Data'!$A$1:$Z$1,0)),"")</f>
        <v>0</v>
      </c>
      <c r="H410" s="7" t="n">
        <f aca="false">IFERROR(INDEX('Semrush Data'!$A$1:$Z$20000,MATCH(A410,'Semrush Data'!$A$1:$A$20000,0),MATCH("Keyword Difficulty*",'Semrush Data'!$A$1:$Z$1,0)),"")</f>
        <v>14</v>
      </c>
      <c r="I410" s="13" t="n">
        <f aca="false">IFERROR(INDEX('Semrush Data'!$A$1:$Z$20000,MATCH(A410,'Semrush Data'!$A$1:$A$20000,0),MATCH("CPC*",'Semrush Data'!$A$1:$Z$1,0)),"")</f>
        <v>0</v>
      </c>
      <c r="J410" s="7" t="str">
        <f aca="false">IFERROR(INDEX('Semrush Data'!$A$1:$Z$20000,MATCH(A410,'Semrush Data'!$A$1:$A$20000,0),MATCH("Intent",'Semrush Data'!$A$1:$Z$1,0)),"")</f>
        <v>Transactional Navigational</v>
      </c>
    </row>
    <row r="411" customFormat="false" ht="15" hidden="false" customHeight="true" outlineLevel="0" collapsed="false">
      <c r="A411" s="7" t="s">
        <v>2282</v>
      </c>
      <c r="B411" s="7" t="s">
        <v>38</v>
      </c>
      <c r="C411" s="7" t="n">
        <v>1</v>
      </c>
      <c r="D411" s="7" t="n">
        <v>5</v>
      </c>
      <c r="E411" s="7" t="n">
        <v>1</v>
      </c>
      <c r="F411" s="7" t="s">
        <v>1236</v>
      </c>
      <c r="G411" s="12" t="n">
        <f aca="false">IFERROR(INDEX('Semrush Data'!$A$1:$Z$20000,MATCH(A411,'Semrush Data'!$A$1:$A$20000,0),MATCH("Volume",'Semrush Data'!$A$1:$Z$1,0)),"")</f>
        <v>0</v>
      </c>
      <c r="H411" s="7" t="n">
        <f aca="false">IFERROR(INDEX('Semrush Data'!$A$1:$Z$20000,MATCH(A411,'Semrush Data'!$A$1:$A$20000,0),MATCH("Keyword Difficulty*",'Semrush Data'!$A$1:$Z$1,0)),"")</f>
        <v>18</v>
      </c>
      <c r="I411" s="13" t="n">
        <f aca="false">IFERROR(INDEX('Semrush Data'!$A$1:$Z$20000,MATCH(A411,'Semrush Data'!$A$1:$A$20000,0),MATCH("CPC*",'Semrush Data'!$A$1:$Z$1,0)),"")</f>
        <v>0</v>
      </c>
      <c r="J411" s="7" t="str">
        <f aca="false">IFERROR(INDEX('Semrush Data'!$A$1:$Z$20000,MATCH(A411,'Semrush Data'!$A$1:$A$20000,0),MATCH("Intent",'Semrush Data'!$A$1:$Z$1,0)),"")</f>
        <v>Transactional Navigational</v>
      </c>
    </row>
    <row r="412" customFormat="false" ht="15" hidden="false" customHeight="true" outlineLevel="0" collapsed="false">
      <c r="A412" s="7" t="s">
        <v>2276</v>
      </c>
      <c r="B412" s="7" t="s">
        <v>38</v>
      </c>
      <c r="C412" s="7" t="n">
        <v>1</v>
      </c>
      <c r="D412" s="7" t="n">
        <v>5</v>
      </c>
      <c r="E412" s="7" t="n">
        <v>1</v>
      </c>
      <c r="F412" s="7" t="s">
        <v>1230</v>
      </c>
      <c r="G412" s="12" t="n">
        <f aca="false">IFERROR(INDEX('Semrush Data'!$A$1:$Z$20000,MATCH(A412,'Semrush Data'!$A$1:$A$20000,0),MATCH("Volume",'Semrush Data'!$A$1:$Z$1,0)),"")</f>
        <v>0</v>
      </c>
      <c r="H412" s="7" t="n">
        <f aca="false">IFERROR(INDEX('Semrush Data'!$A$1:$Z$20000,MATCH(A412,'Semrush Data'!$A$1:$A$20000,0),MATCH("Keyword Difficulty*",'Semrush Data'!$A$1:$Z$1,0)),"")</f>
        <v>15</v>
      </c>
      <c r="I412" s="13" t="n">
        <f aca="false">IFERROR(INDEX('Semrush Data'!$A$1:$Z$20000,MATCH(A412,'Semrush Data'!$A$1:$A$20000,0),MATCH("CPC*",'Semrush Data'!$A$1:$Z$1,0)),"")</f>
        <v>0</v>
      </c>
      <c r="J412" s="7" t="str">
        <f aca="false">IFERROR(INDEX('Semrush Data'!$A$1:$Z$20000,MATCH(A412,'Semrush Data'!$A$1:$A$20000,0),MATCH("Intent",'Semrush Data'!$A$1:$Z$1,0)),"")</f>
        <v>Informational</v>
      </c>
    </row>
    <row r="413" customFormat="false" ht="15" hidden="false" customHeight="true" outlineLevel="0" collapsed="false">
      <c r="A413" s="7" t="s">
        <v>2383</v>
      </c>
      <c r="B413" s="7" t="s">
        <v>38</v>
      </c>
      <c r="C413" s="7" t="n">
        <v>1</v>
      </c>
      <c r="D413" s="7" t="n">
        <v>5</v>
      </c>
      <c r="E413" s="7" t="n">
        <v>1</v>
      </c>
      <c r="F413" s="7" t="s">
        <v>1339</v>
      </c>
      <c r="G413" s="12" t="n">
        <f aca="false">IFERROR(INDEX('Semrush Data'!$A$1:$Z$20000,MATCH(A413,'Semrush Data'!$A$1:$A$20000,0),MATCH("Volume",'Semrush Data'!$A$1:$Z$1,0)),"")</f>
        <v>0</v>
      </c>
      <c r="H413" s="7" t="n">
        <f aca="false">IFERROR(INDEX('Semrush Data'!$A$1:$Z$20000,MATCH(A413,'Semrush Data'!$A$1:$A$20000,0),MATCH("Keyword Difficulty*",'Semrush Data'!$A$1:$Z$1,0)),"")</f>
        <v>12</v>
      </c>
      <c r="I413" s="13" t="n">
        <f aca="false">IFERROR(INDEX('Semrush Data'!$A$1:$Z$20000,MATCH(A413,'Semrush Data'!$A$1:$A$20000,0),MATCH("CPC*",'Semrush Data'!$A$1:$Z$1,0)),"")</f>
        <v>0</v>
      </c>
      <c r="J413" s="7" t="str">
        <f aca="false">IFERROR(INDEX('Semrush Data'!$A$1:$Z$20000,MATCH(A413,'Semrush Data'!$A$1:$A$20000,0),MATCH("Intent",'Semrush Data'!$A$1:$Z$1,0)),"")</f>
        <v>Transactional Navigational</v>
      </c>
    </row>
    <row r="414" customFormat="false" ht="15" hidden="false" customHeight="true" outlineLevel="0" collapsed="false">
      <c r="A414" s="7" t="s">
        <v>2371</v>
      </c>
      <c r="B414" s="7" t="s">
        <v>38</v>
      </c>
      <c r="C414" s="7" t="n">
        <v>1</v>
      </c>
      <c r="D414" s="7" t="n">
        <v>5</v>
      </c>
      <c r="E414" s="7" t="n">
        <v>1</v>
      </c>
      <c r="F414" s="7" t="s">
        <v>1327</v>
      </c>
      <c r="G414" s="12" t="n">
        <f aca="false">IFERROR(INDEX('Semrush Data'!$A$1:$Z$20000,MATCH(A414,'Semrush Data'!$A$1:$A$20000,0),MATCH("Volume",'Semrush Data'!$A$1:$Z$1,0)),"")</f>
        <v>0</v>
      </c>
      <c r="H414" s="7" t="n">
        <f aca="false">IFERROR(INDEX('Semrush Data'!$A$1:$Z$20000,MATCH(A414,'Semrush Data'!$A$1:$A$20000,0),MATCH("Keyword Difficulty*",'Semrush Data'!$A$1:$Z$1,0)),"")</f>
        <v>20</v>
      </c>
      <c r="I414" s="13" t="n">
        <f aca="false">IFERROR(INDEX('Semrush Data'!$A$1:$Z$20000,MATCH(A414,'Semrush Data'!$A$1:$A$20000,0),MATCH("CPC*",'Semrush Data'!$A$1:$Z$1,0)),"")</f>
        <v>0</v>
      </c>
      <c r="J414" s="7" t="str">
        <f aca="false">IFERROR(INDEX('Semrush Data'!$A$1:$Z$20000,MATCH(A414,'Semrush Data'!$A$1:$A$20000,0),MATCH("Intent",'Semrush Data'!$A$1:$Z$1,0)),"")</f>
        <v>Informational</v>
      </c>
    </row>
    <row r="415" customFormat="false" ht="15" hidden="false" customHeight="true" outlineLevel="0" collapsed="false">
      <c r="A415" s="7" t="s">
        <v>1913</v>
      </c>
      <c r="B415" s="7" t="s">
        <v>38</v>
      </c>
      <c r="C415" s="7" t="n">
        <v>1</v>
      </c>
      <c r="D415" s="7" t="n">
        <v>5</v>
      </c>
      <c r="E415" s="7" t="n">
        <v>1</v>
      </c>
      <c r="F415" s="7" t="s">
        <v>873</v>
      </c>
      <c r="G415" s="12" t="n">
        <f aca="false">IFERROR(INDEX('Semrush Data'!$A$1:$Z$20000,MATCH(A415,'Semrush Data'!$A$1:$A$20000,0),MATCH("Volume",'Semrush Data'!$A$1:$Z$1,0)),"")</f>
        <v>0</v>
      </c>
      <c r="H415" s="7" t="n">
        <f aca="false">IFERROR(INDEX('Semrush Data'!$A$1:$Z$20000,MATCH(A415,'Semrush Data'!$A$1:$A$20000,0),MATCH("Keyword Difficulty*",'Semrush Data'!$A$1:$Z$1,0)),"")</f>
        <v>19</v>
      </c>
      <c r="I415" s="13" t="n">
        <f aca="false">IFERROR(INDEX('Semrush Data'!$A$1:$Z$20000,MATCH(A415,'Semrush Data'!$A$1:$A$20000,0),MATCH("CPC*",'Semrush Data'!$A$1:$Z$1,0)),"")</f>
        <v>0</v>
      </c>
      <c r="J415" s="7" t="str">
        <f aca="false">IFERROR(INDEX('Semrush Data'!$A$1:$Z$20000,MATCH(A415,'Semrush Data'!$A$1:$A$20000,0),MATCH("Intent",'Semrush Data'!$A$1:$Z$1,0)),"")</f>
        <v>Transactional Navigational</v>
      </c>
    </row>
    <row r="416" customFormat="false" ht="15" hidden="false" customHeight="true" outlineLevel="0" collapsed="false">
      <c r="A416" s="7" t="s">
        <v>2359</v>
      </c>
      <c r="B416" s="7" t="s">
        <v>38</v>
      </c>
      <c r="C416" s="7" t="n">
        <v>1</v>
      </c>
      <c r="D416" s="7" t="n">
        <v>5</v>
      </c>
      <c r="E416" s="7" t="n">
        <v>1</v>
      </c>
      <c r="F416" s="7" t="s">
        <v>1315</v>
      </c>
      <c r="G416" s="12" t="n">
        <f aca="false">IFERROR(INDEX('Semrush Data'!$A$1:$Z$20000,MATCH(A416,'Semrush Data'!$A$1:$A$20000,0),MATCH("Volume",'Semrush Data'!$A$1:$Z$1,0)),"")</f>
        <v>0</v>
      </c>
      <c r="H416" s="7" t="n">
        <f aca="false">IFERROR(INDEX('Semrush Data'!$A$1:$Z$20000,MATCH(A416,'Semrush Data'!$A$1:$A$20000,0),MATCH("Keyword Difficulty*",'Semrush Data'!$A$1:$Z$1,0)),"")</f>
        <v>14</v>
      </c>
      <c r="I416" s="13" t="n">
        <f aca="false">IFERROR(INDEX('Semrush Data'!$A$1:$Z$20000,MATCH(A416,'Semrush Data'!$A$1:$A$20000,0),MATCH("CPC*",'Semrush Data'!$A$1:$Z$1,0)),"")</f>
        <v>0</v>
      </c>
      <c r="J416" s="7" t="str">
        <f aca="false">IFERROR(INDEX('Semrush Data'!$A$1:$Z$20000,MATCH(A416,'Semrush Data'!$A$1:$A$20000,0),MATCH("Intent",'Semrush Data'!$A$1:$Z$1,0)),"")</f>
        <v>Informational</v>
      </c>
    </row>
    <row r="417" customFormat="false" ht="15" hidden="false" customHeight="true" outlineLevel="0" collapsed="false">
      <c r="A417" s="7" t="s">
        <v>2038</v>
      </c>
      <c r="B417" s="7" t="s">
        <v>38</v>
      </c>
      <c r="C417" s="7" t="n">
        <v>1</v>
      </c>
      <c r="D417" s="7" t="n">
        <v>5</v>
      </c>
      <c r="E417" s="7" t="n">
        <v>1</v>
      </c>
      <c r="F417" s="7" t="s">
        <v>992</v>
      </c>
      <c r="G417" s="12" t="n">
        <f aca="false">IFERROR(INDEX('Semrush Data'!$A$1:$Z$20000,MATCH(A417,'Semrush Data'!$A$1:$A$20000,0),MATCH("Volume",'Semrush Data'!$A$1:$Z$1,0)),"")</f>
        <v>0</v>
      </c>
      <c r="H417" s="7" t="n">
        <f aca="false">IFERROR(INDEX('Semrush Data'!$A$1:$Z$20000,MATCH(A417,'Semrush Data'!$A$1:$A$20000,0),MATCH("Keyword Difficulty*",'Semrush Data'!$A$1:$Z$1,0)),"")</f>
        <v>6</v>
      </c>
      <c r="I417" s="13" t="n">
        <f aca="false">IFERROR(INDEX('Semrush Data'!$A$1:$Z$20000,MATCH(A417,'Semrush Data'!$A$1:$A$20000,0),MATCH("CPC*",'Semrush Data'!$A$1:$Z$1,0)),"")</f>
        <v>0</v>
      </c>
      <c r="J417" s="7" t="str">
        <f aca="false">IFERROR(INDEX('Semrush Data'!$A$1:$Z$20000,MATCH(A417,'Semrush Data'!$A$1:$A$20000,0),MATCH("Intent",'Semrush Data'!$A$1:$Z$1,0)),"")</f>
        <v>Transactional Navigational</v>
      </c>
    </row>
    <row r="418" customFormat="false" ht="15" hidden="false" customHeight="true" outlineLevel="0" collapsed="false">
      <c r="A418" s="7" t="s">
        <v>2133</v>
      </c>
      <c r="B418" s="7" t="s">
        <v>38</v>
      </c>
      <c r="C418" s="7" t="n">
        <v>1</v>
      </c>
      <c r="D418" s="7" t="n">
        <v>5</v>
      </c>
      <c r="E418" s="7" t="n">
        <v>1</v>
      </c>
      <c r="F418" s="7" t="s">
        <v>1082</v>
      </c>
      <c r="G418" s="12" t="n">
        <f aca="false">IFERROR(INDEX('Semrush Data'!$A$1:$Z$20000,MATCH(A418,'Semrush Data'!$A$1:$A$20000,0),MATCH("Volume",'Semrush Data'!$A$1:$Z$1,0)),"")</f>
        <v>0</v>
      </c>
      <c r="H418" s="7" t="n">
        <f aca="false">IFERROR(INDEX('Semrush Data'!$A$1:$Z$20000,MATCH(A418,'Semrush Data'!$A$1:$A$20000,0),MATCH("Keyword Difficulty*",'Semrush Data'!$A$1:$Z$1,0)),"")</f>
        <v>13</v>
      </c>
      <c r="I418" s="13" t="n">
        <f aca="false">IFERROR(INDEX('Semrush Data'!$A$1:$Z$20000,MATCH(A418,'Semrush Data'!$A$1:$A$20000,0),MATCH("CPC*",'Semrush Data'!$A$1:$Z$1,0)),"")</f>
        <v>0</v>
      </c>
      <c r="J418" s="7" t="str">
        <f aca="false">IFERROR(INDEX('Semrush Data'!$A$1:$Z$20000,MATCH(A418,'Semrush Data'!$A$1:$A$20000,0),MATCH("Intent",'Semrush Data'!$A$1:$Z$1,0)),"")</f>
        <v>Transactional Navigational</v>
      </c>
    </row>
    <row r="419" customFormat="false" ht="15" hidden="false" customHeight="true" outlineLevel="0" collapsed="false">
      <c r="A419" s="7" t="s">
        <v>2193</v>
      </c>
      <c r="B419" s="7" t="s">
        <v>38</v>
      </c>
      <c r="C419" s="7" t="n">
        <v>1</v>
      </c>
      <c r="D419" s="7" t="n">
        <v>5</v>
      </c>
      <c r="E419" s="7" t="n">
        <v>1</v>
      </c>
      <c r="F419" s="7" t="s">
        <v>1146</v>
      </c>
      <c r="G419" s="12" t="n">
        <f aca="false">IFERROR(INDEX('Semrush Data'!$A$1:$Z$20000,MATCH(A419,'Semrush Data'!$A$1:$A$20000,0),MATCH("Volume",'Semrush Data'!$A$1:$Z$1,0)),"")</f>
        <v>0</v>
      </c>
      <c r="H419" s="7" t="n">
        <f aca="false">IFERROR(INDEX('Semrush Data'!$A$1:$Z$20000,MATCH(A419,'Semrush Data'!$A$1:$A$20000,0),MATCH("Keyword Difficulty*",'Semrush Data'!$A$1:$Z$1,0)),"")</f>
        <v>13</v>
      </c>
      <c r="I419" s="13" t="n">
        <f aca="false">IFERROR(INDEX('Semrush Data'!$A$1:$Z$20000,MATCH(A419,'Semrush Data'!$A$1:$A$20000,0),MATCH("CPC*",'Semrush Data'!$A$1:$Z$1,0)),"")</f>
        <v>0</v>
      </c>
      <c r="J419" s="7" t="str">
        <f aca="false">IFERROR(INDEX('Semrush Data'!$A$1:$Z$20000,MATCH(A419,'Semrush Data'!$A$1:$A$20000,0),MATCH("Intent",'Semrush Data'!$A$1:$Z$1,0)),"")</f>
        <v>Transactional Navigational</v>
      </c>
    </row>
    <row r="420" customFormat="false" ht="15" hidden="false" customHeight="true" outlineLevel="0" collapsed="false">
      <c r="A420" s="7" t="s">
        <v>2032</v>
      </c>
      <c r="B420" s="7" t="s">
        <v>38</v>
      </c>
      <c r="C420" s="7" t="n">
        <v>1</v>
      </c>
      <c r="D420" s="7" t="n">
        <v>5</v>
      </c>
      <c r="E420" s="7" t="n">
        <v>1</v>
      </c>
      <c r="F420" s="7" t="s">
        <v>985</v>
      </c>
      <c r="G420" s="12" t="n">
        <f aca="false">IFERROR(INDEX('Semrush Data'!$A$1:$Z$20000,MATCH(A420,'Semrush Data'!$A$1:$A$20000,0),MATCH("Volume",'Semrush Data'!$A$1:$Z$1,0)),"")</f>
        <v>0</v>
      </c>
      <c r="H420" s="7" t="n">
        <f aca="false">IFERROR(INDEX('Semrush Data'!$A$1:$Z$20000,MATCH(A420,'Semrush Data'!$A$1:$A$20000,0),MATCH("Keyword Difficulty*",'Semrush Data'!$A$1:$Z$1,0)),"")</f>
        <v>16</v>
      </c>
      <c r="I420" s="13" t="n">
        <f aca="false">IFERROR(INDEX('Semrush Data'!$A$1:$Z$20000,MATCH(A420,'Semrush Data'!$A$1:$A$20000,0),MATCH("CPC*",'Semrush Data'!$A$1:$Z$1,0)),"")</f>
        <v>0</v>
      </c>
      <c r="J420" s="7" t="str">
        <f aca="false">IFERROR(INDEX('Semrush Data'!$A$1:$Z$20000,MATCH(A420,'Semrush Data'!$A$1:$A$20000,0),MATCH("Intent",'Semrush Data'!$A$1:$Z$1,0)),"")</f>
        <v>Navigational</v>
      </c>
    </row>
    <row r="421" customFormat="false" ht="15" hidden="false" customHeight="true" outlineLevel="0" collapsed="false">
      <c r="A421" s="7" t="s">
        <v>1971</v>
      </c>
      <c r="B421" s="7" t="s">
        <v>38</v>
      </c>
      <c r="C421" s="7" t="n">
        <v>1</v>
      </c>
      <c r="D421" s="7" t="n">
        <v>5</v>
      </c>
      <c r="E421" s="7" t="n">
        <v>1</v>
      </c>
      <c r="F421" s="7" t="s">
        <v>925</v>
      </c>
      <c r="G421" s="12" t="n">
        <f aca="false">IFERROR(INDEX('Semrush Data'!$A$1:$Z$20000,MATCH(A421,'Semrush Data'!$A$1:$A$20000,0),MATCH("Volume",'Semrush Data'!$A$1:$Z$1,0)),"")</f>
        <v>0</v>
      </c>
      <c r="H421" s="7" t="n">
        <f aca="false">IFERROR(INDEX('Semrush Data'!$A$1:$Z$20000,MATCH(A421,'Semrush Data'!$A$1:$A$20000,0),MATCH("Keyword Difficulty*",'Semrush Data'!$A$1:$Z$1,0)),"")</f>
        <v>14</v>
      </c>
      <c r="I421" s="13" t="n">
        <f aca="false">IFERROR(INDEX('Semrush Data'!$A$1:$Z$20000,MATCH(A421,'Semrush Data'!$A$1:$A$20000,0),MATCH("CPC*",'Semrush Data'!$A$1:$Z$1,0)),"")</f>
        <v>0</v>
      </c>
      <c r="J421" s="7" t="str">
        <f aca="false">IFERROR(INDEX('Semrush Data'!$A$1:$Z$20000,MATCH(A421,'Semrush Data'!$A$1:$A$20000,0),MATCH("Intent",'Semrush Data'!$A$1:$Z$1,0)),"")</f>
        <v>Navigational</v>
      </c>
    </row>
    <row r="422" customFormat="false" ht="15" hidden="false" customHeight="true" outlineLevel="0" collapsed="false">
      <c r="A422" s="7" t="s">
        <v>2377</v>
      </c>
      <c r="B422" s="7" t="s">
        <v>38</v>
      </c>
      <c r="C422" s="7" t="n">
        <v>1</v>
      </c>
      <c r="D422" s="7" t="n">
        <v>5</v>
      </c>
      <c r="E422" s="7" t="n">
        <v>1</v>
      </c>
      <c r="F422" s="7" t="s">
        <v>1333</v>
      </c>
      <c r="G422" s="12" t="n">
        <f aca="false">IFERROR(INDEX('Semrush Data'!$A$1:$Z$20000,MATCH(A422,'Semrush Data'!$A$1:$A$20000,0),MATCH("Volume",'Semrush Data'!$A$1:$Z$1,0)),"")</f>
        <v>0</v>
      </c>
      <c r="H422" s="7" t="n">
        <f aca="false">IFERROR(INDEX('Semrush Data'!$A$1:$Z$20000,MATCH(A422,'Semrush Data'!$A$1:$A$20000,0),MATCH("Keyword Difficulty*",'Semrush Data'!$A$1:$Z$1,0)),"")</f>
        <v>27</v>
      </c>
      <c r="I422" s="13" t="n">
        <f aca="false">IFERROR(INDEX('Semrush Data'!$A$1:$Z$20000,MATCH(A422,'Semrush Data'!$A$1:$A$20000,0),MATCH("CPC*",'Semrush Data'!$A$1:$Z$1,0)),"")</f>
        <v>0</v>
      </c>
      <c r="J422" s="7" t="str">
        <f aca="false">IFERROR(INDEX('Semrush Data'!$A$1:$Z$20000,MATCH(A422,'Semrush Data'!$A$1:$A$20000,0),MATCH("Intent",'Semrush Data'!$A$1:$Z$1,0)),"")</f>
        <v>Informational</v>
      </c>
    </row>
    <row r="423" customFormat="false" ht="15" hidden="false" customHeight="true" outlineLevel="0" collapsed="false">
      <c r="A423" s="7" t="s">
        <v>2335</v>
      </c>
      <c r="B423" s="7" t="s">
        <v>38</v>
      </c>
      <c r="C423" s="7" t="n">
        <v>1</v>
      </c>
      <c r="D423" s="7" t="n">
        <v>5</v>
      </c>
      <c r="E423" s="7" t="n">
        <v>1</v>
      </c>
      <c r="F423" s="7" t="s">
        <v>1290</v>
      </c>
      <c r="G423" s="12" t="n">
        <f aca="false">IFERROR(INDEX('Semrush Data'!$A$1:$Z$20000,MATCH(A423,'Semrush Data'!$A$1:$A$20000,0),MATCH("Volume",'Semrush Data'!$A$1:$Z$1,0)),"")</f>
        <v>0</v>
      </c>
      <c r="H423" s="7" t="n">
        <f aca="false">IFERROR(INDEX('Semrush Data'!$A$1:$Z$20000,MATCH(A423,'Semrush Data'!$A$1:$A$20000,0),MATCH("Keyword Difficulty*",'Semrush Data'!$A$1:$Z$1,0)),"")</f>
        <v>12</v>
      </c>
      <c r="I423" s="13" t="n">
        <f aca="false">IFERROR(INDEX('Semrush Data'!$A$1:$Z$20000,MATCH(A423,'Semrush Data'!$A$1:$A$20000,0),MATCH("CPC*",'Semrush Data'!$A$1:$Z$1,0)),"")</f>
        <v>0</v>
      </c>
      <c r="J423" s="7" t="str">
        <f aca="false">IFERROR(INDEX('Semrush Data'!$A$1:$Z$20000,MATCH(A423,'Semrush Data'!$A$1:$A$20000,0),MATCH("Intent",'Semrush Data'!$A$1:$Z$1,0)),"")</f>
        <v>Transactional Navigational</v>
      </c>
    </row>
    <row r="424" customFormat="false" ht="15" hidden="false" customHeight="true" outlineLevel="0" collapsed="false">
      <c r="A424" s="7" t="s">
        <v>2152</v>
      </c>
      <c r="B424" s="7" t="s">
        <v>38</v>
      </c>
      <c r="C424" s="7" t="n">
        <v>1</v>
      </c>
      <c r="D424" s="7" t="n">
        <v>5</v>
      </c>
      <c r="E424" s="7" t="n">
        <v>1</v>
      </c>
      <c r="F424" s="7" t="s">
        <v>1104</v>
      </c>
      <c r="G424" s="12" t="n">
        <f aca="false">IFERROR(INDEX('Semrush Data'!$A$1:$Z$20000,MATCH(A424,'Semrush Data'!$A$1:$A$20000,0),MATCH("Volume",'Semrush Data'!$A$1:$Z$1,0)),"")</f>
        <v>20</v>
      </c>
      <c r="H424" s="7" t="n">
        <f aca="false">IFERROR(INDEX('Semrush Data'!$A$1:$Z$20000,MATCH(A424,'Semrush Data'!$A$1:$A$20000,0),MATCH("Keyword Difficulty*",'Semrush Data'!$A$1:$Z$1,0)),"")</f>
        <v>9</v>
      </c>
      <c r="I424" s="13" t="n">
        <f aca="false">IFERROR(INDEX('Semrush Data'!$A$1:$Z$20000,MATCH(A424,'Semrush Data'!$A$1:$A$20000,0),MATCH("CPC*",'Semrush Data'!$A$1:$Z$1,0)),"")</f>
        <v>0</v>
      </c>
      <c r="J424" s="7" t="str">
        <f aca="false">IFERROR(INDEX('Semrush Data'!$A$1:$Z$20000,MATCH(A424,'Semrush Data'!$A$1:$A$20000,0),MATCH("Intent",'Semrush Data'!$A$1:$Z$1,0)),"")</f>
        <v>Informational Transactional</v>
      </c>
    </row>
    <row r="425" customFormat="false" ht="15" hidden="false" customHeight="true" outlineLevel="0" collapsed="false">
      <c r="A425" s="7" t="s">
        <v>2311</v>
      </c>
      <c r="B425" s="7" t="s">
        <v>38</v>
      </c>
      <c r="C425" s="7" t="n">
        <v>1</v>
      </c>
      <c r="D425" s="7" t="n">
        <v>5</v>
      </c>
      <c r="E425" s="7" t="n">
        <v>1</v>
      </c>
      <c r="F425" s="7" t="s">
        <v>1266</v>
      </c>
      <c r="G425" s="12" t="n">
        <f aca="false">IFERROR(INDEX('Semrush Data'!$A$1:$Z$20000,MATCH(A425,'Semrush Data'!$A$1:$A$20000,0),MATCH("Volume",'Semrush Data'!$A$1:$Z$1,0)),"")</f>
        <v>0</v>
      </c>
      <c r="H425" s="7" t="n">
        <f aca="false">IFERROR(INDEX('Semrush Data'!$A$1:$Z$20000,MATCH(A425,'Semrush Data'!$A$1:$A$20000,0),MATCH("Keyword Difficulty*",'Semrush Data'!$A$1:$Z$1,0)),"")</f>
        <v>16</v>
      </c>
      <c r="I425" s="13" t="n">
        <f aca="false">IFERROR(INDEX('Semrush Data'!$A$1:$Z$20000,MATCH(A425,'Semrush Data'!$A$1:$A$20000,0),MATCH("CPC*",'Semrush Data'!$A$1:$Z$1,0)),"")</f>
        <v>0</v>
      </c>
      <c r="J425" s="7" t="str">
        <f aca="false">IFERROR(INDEX('Semrush Data'!$A$1:$Z$20000,MATCH(A425,'Semrush Data'!$A$1:$A$20000,0),MATCH("Intent",'Semrush Data'!$A$1:$Z$1,0)),"")</f>
        <v>Transactional Navigational</v>
      </c>
    </row>
    <row r="426" customFormat="false" ht="15" hidden="false" customHeight="true" outlineLevel="0" collapsed="false">
      <c r="A426" s="7" t="s">
        <v>2092</v>
      </c>
      <c r="B426" s="7" t="s">
        <v>38</v>
      </c>
      <c r="C426" s="7" t="n">
        <v>1</v>
      </c>
      <c r="D426" s="7" t="n">
        <v>5</v>
      </c>
      <c r="E426" s="7" t="n">
        <v>1</v>
      </c>
      <c r="F426" s="7" t="s">
        <v>1043</v>
      </c>
      <c r="G426" s="12" t="n">
        <f aca="false">IFERROR(INDEX('Semrush Data'!$A$1:$Z$20000,MATCH(A426,'Semrush Data'!$A$1:$A$20000,0),MATCH("Volume",'Semrush Data'!$A$1:$Z$1,0)),"")</f>
        <v>20</v>
      </c>
      <c r="H426" s="7" t="n">
        <f aca="false">IFERROR(INDEX('Semrush Data'!$A$1:$Z$20000,MATCH(A426,'Semrush Data'!$A$1:$A$20000,0),MATCH("Keyword Difficulty*",'Semrush Data'!$A$1:$Z$1,0)),"")</f>
        <v>16</v>
      </c>
      <c r="I426" s="13" t="n">
        <f aca="false">IFERROR(INDEX('Semrush Data'!$A$1:$Z$20000,MATCH(A426,'Semrush Data'!$A$1:$A$20000,0),MATCH("CPC*",'Semrush Data'!$A$1:$Z$1,0)),"")</f>
        <v>0</v>
      </c>
      <c r="J426" s="7" t="str">
        <f aca="false">IFERROR(INDEX('Semrush Data'!$A$1:$Z$20000,MATCH(A426,'Semrush Data'!$A$1:$A$20000,0),MATCH("Intent",'Semrush Data'!$A$1:$Z$1,0)),"")</f>
        <v>Informational Transactional</v>
      </c>
    </row>
    <row r="427" customFormat="false" ht="15" hidden="false" customHeight="true" outlineLevel="0" collapsed="false">
      <c r="A427" s="7" t="s">
        <v>2341</v>
      </c>
      <c r="B427" s="7" t="s">
        <v>38</v>
      </c>
      <c r="C427" s="7" t="n">
        <v>1</v>
      </c>
      <c r="D427" s="7" t="n">
        <v>5</v>
      </c>
      <c r="E427" s="7" t="n">
        <v>1</v>
      </c>
      <c r="F427" s="7" t="s">
        <v>1297</v>
      </c>
      <c r="G427" s="12" t="n">
        <f aca="false">IFERROR(INDEX('Semrush Data'!$A$1:$Z$20000,MATCH(A427,'Semrush Data'!$A$1:$A$20000,0),MATCH("Volume",'Semrush Data'!$A$1:$Z$1,0)),"")</f>
        <v>0</v>
      </c>
      <c r="H427" s="7" t="n">
        <f aca="false">IFERROR(INDEX('Semrush Data'!$A$1:$Z$20000,MATCH(A427,'Semrush Data'!$A$1:$A$20000,0),MATCH("Keyword Difficulty*",'Semrush Data'!$A$1:$Z$1,0)),"")</f>
        <v>20</v>
      </c>
      <c r="I427" s="13" t="n">
        <f aca="false">IFERROR(INDEX('Semrush Data'!$A$1:$Z$20000,MATCH(A427,'Semrush Data'!$A$1:$A$20000,0),MATCH("CPC*",'Semrush Data'!$A$1:$Z$1,0)),"")</f>
        <v>0</v>
      </c>
      <c r="J427" s="7" t="str">
        <f aca="false">IFERROR(INDEX('Semrush Data'!$A$1:$Z$20000,MATCH(A427,'Semrush Data'!$A$1:$A$20000,0),MATCH("Intent",'Semrush Data'!$A$1:$Z$1,0)),"")</f>
        <v>Transactional Navigational</v>
      </c>
    </row>
    <row r="428" customFormat="false" ht="15" hidden="false" customHeight="true" outlineLevel="0" collapsed="false">
      <c r="A428" s="7" t="s">
        <v>2305</v>
      </c>
      <c r="B428" s="7" t="s">
        <v>38</v>
      </c>
      <c r="C428" s="7" t="n">
        <v>1</v>
      </c>
      <c r="D428" s="7" t="n">
        <v>5</v>
      </c>
      <c r="E428" s="7" t="n">
        <v>1</v>
      </c>
      <c r="F428" s="7" t="s">
        <v>1260</v>
      </c>
      <c r="G428" s="12" t="n">
        <f aca="false">IFERROR(INDEX('Semrush Data'!$A$1:$Z$20000,MATCH(A428,'Semrush Data'!$A$1:$A$20000,0),MATCH("Volume",'Semrush Data'!$A$1:$Z$1,0)),"")</f>
        <v>0</v>
      </c>
      <c r="H428" s="7" t="n">
        <f aca="false">IFERROR(INDEX('Semrush Data'!$A$1:$Z$20000,MATCH(A428,'Semrush Data'!$A$1:$A$20000,0),MATCH("Keyword Difficulty*",'Semrush Data'!$A$1:$Z$1,0)),"")</f>
        <v>14</v>
      </c>
      <c r="I428" s="13" t="n">
        <f aca="false">IFERROR(INDEX('Semrush Data'!$A$1:$Z$20000,MATCH(A428,'Semrush Data'!$A$1:$A$20000,0),MATCH("CPC*",'Semrush Data'!$A$1:$Z$1,0)),"")</f>
        <v>0</v>
      </c>
      <c r="J428" s="7" t="str">
        <f aca="false">IFERROR(INDEX('Semrush Data'!$A$1:$Z$20000,MATCH(A428,'Semrush Data'!$A$1:$A$20000,0),MATCH("Intent",'Semrush Data'!$A$1:$Z$1,0)),"")</f>
        <v>Informational</v>
      </c>
    </row>
    <row r="429" customFormat="false" ht="15" hidden="false" customHeight="true" outlineLevel="0" collapsed="false">
      <c r="A429" s="7" t="s">
        <v>2329</v>
      </c>
      <c r="B429" s="7" t="s">
        <v>38</v>
      </c>
      <c r="C429" s="7" t="n">
        <v>1</v>
      </c>
      <c r="D429" s="7" t="n">
        <v>5</v>
      </c>
      <c r="E429" s="7" t="n">
        <v>1</v>
      </c>
      <c r="F429" s="7" t="s">
        <v>1284</v>
      </c>
      <c r="G429" s="12" t="n">
        <f aca="false">IFERROR(INDEX('Semrush Data'!$A$1:$Z$20000,MATCH(A429,'Semrush Data'!$A$1:$A$20000,0),MATCH("Volume",'Semrush Data'!$A$1:$Z$1,0)),"")</f>
        <v>0</v>
      </c>
      <c r="H429" s="7" t="n">
        <f aca="false">IFERROR(INDEX('Semrush Data'!$A$1:$Z$20000,MATCH(A429,'Semrush Data'!$A$1:$A$20000,0),MATCH("Keyword Difficulty*",'Semrush Data'!$A$1:$Z$1,0)),"")</f>
        <v>14</v>
      </c>
      <c r="I429" s="13" t="n">
        <f aca="false">IFERROR(INDEX('Semrush Data'!$A$1:$Z$20000,MATCH(A429,'Semrush Data'!$A$1:$A$20000,0),MATCH("CPC*",'Semrush Data'!$A$1:$Z$1,0)),"")</f>
        <v>0</v>
      </c>
      <c r="J429" s="7" t="str">
        <f aca="false">IFERROR(INDEX('Semrush Data'!$A$1:$Z$20000,MATCH(A429,'Semrush Data'!$A$1:$A$20000,0),MATCH("Intent",'Semrush Data'!$A$1:$Z$1,0)),"")</f>
        <v>Informational</v>
      </c>
    </row>
    <row r="430" customFormat="false" ht="15" hidden="false" customHeight="true" outlineLevel="0" collapsed="false">
      <c r="A430" s="7" t="s">
        <v>2294</v>
      </c>
      <c r="B430" s="7" t="s">
        <v>38</v>
      </c>
      <c r="C430" s="7" t="n">
        <v>1</v>
      </c>
      <c r="D430" s="7" t="n">
        <v>5</v>
      </c>
      <c r="E430" s="7" t="n">
        <v>1</v>
      </c>
      <c r="F430" s="7" t="s">
        <v>1248</v>
      </c>
      <c r="G430" s="12" t="n">
        <f aca="false">IFERROR(INDEX('Semrush Data'!$A$1:$Z$20000,MATCH(A430,'Semrush Data'!$A$1:$A$20000,0),MATCH("Volume",'Semrush Data'!$A$1:$Z$1,0)),"")</f>
        <v>0</v>
      </c>
      <c r="H430" s="7" t="n">
        <f aca="false">IFERROR(INDEX('Semrush Data'!$A$1:$Z$20000,MATCH(A430,'Semrush Data'!$A$1:$A$20000,0),MATCH("Keyword Difficulty*",'Semrush Data'!$A$1:$Z$1,0)),"")</f>
        <v>20</v>
      </c>
      <c r="I430" s="13" t="n">
        <f aca="false">IFERROR(INDEX('Semrush Data'!$A$1:$Z$20000,MATCH(A430,'Semrush Data'!$A$1:$A$20000,0),MATCH("CPC*",'Semrush Data'!$A$1:$Z$1,0)),"")</f>
        <v>0</v>
      </c>
      <c r="J430" s="7" t="str">
        <f aca="false">IFERROR(INDEX('Semrush Data'!$A$1:$Z$20000,MATCH(A430,'Semrush Data'!$A$1:$A$20000,0),MATCH("Intent",'Semrush Data'!$A$1:$Z$1,0)),"")</f>
        <v>Transactional Navigational</v>
      </c>
    </row>
    <row r="431" customFormat="false" ht="15" hidden="false" customHeight="true" outlineLevel="0" collapsed="false">
      <c r="A431" s="7" t="s">
        <v>2300</v>
      </c>
      <c r="B431" s="7" t="s">
        <v>38</v>
      </c>
      <c r="C431" s="7" t="n">
        <v>1</v>
      </c>
      <c r="D431" s="7" t="n">
        <v>5</v>
      </c>
      <c r="E431" s="7" t="n">
        <v>1</v>
      </c>
      <c r="F431" s="7" t="s">
        <v>1254</v>
      </c>
      <c r="G431" s="12" t="n">
        <f aca="false">IFERROR(INDEX('Semrush Data'!$A$1:$Z$20000,MATCH(A431,'Semrush Data'!$A$1:$A$20000,0),MATCH("Volume",'Semrush Data'!$A$1:$Z$1,0)),"")</f>
        <v>0</v>
      </c>
      <c r="H431" s="7" t="n">
        <f aca="false">IFERROR(INDEX('Semrush Data'!$A$1:$Z$20000,MATCH(A431,'Semrush Data'!$A$1:$A$20000,0),MATCH("Keyword Difficulty*",'Semrush Data'!$A$1:$Z$1,0)),"")</f>
        <v>27</v>
      </c>
      <c r="I431" s="13" t="n">
        <f aca="false">IFERROR(INDEX('Semrush Data'!$A$1:$Z$20000,MATCH(A431,'Semrush Data'!$A$1:$A$20000,0),MATCH("CPC*",'Semrush Data'!$A$1:$Z$1,0)),"")</f>
        <v>0</v>
      </c>
      <c r="J431" s="7" t="str">
        <f aca="false">IFERROR(INDEX('Semrush Data'!$A$1:$Z$20000,MATCH(A431,'Semrush Data'!$A$1:$A$20000,0),MATCH("Intent",'Semrush Data'!$A$1:$Z$1,0)),"")</f>
        <v>Transactional Navigational</v>
      </c>
    </row>
    <row r="432" customFormat="false" ht="15" hidden="false" customHeight="true" outlineLevel="0" collapsed="false">
      <c r="A432" s="7" t="s">
        <v>1964</v>
      </c>
      <c r="B432" s="7" t="s">
        <v>38</v>
      </c>
      <c r="C432" s="7" t="n">
        <v>1</v>
      </c>
      <c r="D432" s="7" t="n">
        <v>5</v>
      </c>
      <c r="E432" s="7" t="n">
        <v>1</v>
      </c>
      <c r="F432" s="7" t="s">
        <v>918</v>
      </c>
      <c r="G432" s="12" t="n">
        <f aca="false">IFERROR(INDEX('Semrush Data'!$A$1:$Z$20000,MATCH(A432,'Semrush Data'!$A$1:$A$20000,0),MATCH("Volume",'Semrush Data'!$A$1:$Z$1,0)),"")</f>
        <v>0</v>
      </c>
      <c r="H432" s="7" t="n">
        <f aca="false">IFERROR(INDEX('Semrush Data'!$A$1:$Z$20000,MATCH(A432,'Semrush Data'!$A$1:$A$20000,0),MATCH("Keyword Difficulty*",'Semrush Data'!$A$1:$Z$1,0)),"")</f>
        <v>22</v>
      </c>
      <c r="I432" s="13" t="n">
        <f aca="false">IFERROR(INDEX('Semrush Data'!$A$1:$Z$20000,MATCH(A432,'Semrush Data'!$A$1:$A$20000,0),MATCH("CPC*",'Semrush Data'!$A$1:$Z$1,0)),"")</f>
        <v>0</v>
      </c>
      <c r="J432" s="7" t="str">
        <f aca="false">IFERROR(INDEX('Semrush Data'!$A$1:$Z$20000,MATCH(A432,'Semrush Data'!$A$1:$A$20000,0),MATCH("Intent",'Semrush Data'!$A$1:$Z$1,0)),"")</f>
        <v>Informational Transactional</v>
      </c>
    </row>
    <row r="433" customFormat="false" ht="15" hidden="false" customHeight="true" outlineLevel="0" collapsed="false">
      <c r="A433" s="7" t="s">
        <v>2270</v>
      </c>
      <c r="B433" s="7" t="s">
        <v>38</v>
      </c>
      <c r="C433" s="7" t="n">
        <v>1</v>
      </c>
      <c r="D433" s="7" t="n">
        <v>5</v>
      </c>
      <c r="E433" s="7" t="n">
        <v>1</v>
      </c>
      <c r="F433" s="7" t="s">
        <v>1224</v>
      </c>
      <c r="G433" s="12" t="n">
        <f aca="false">IFERROR(INDEX('Semrush Data'!$A$1:$Z$20000,MATCH(A433,'Semrush Data'!$A$1:$A$20000,0),MATCH("Volume",'Semrush Data'!$A$1:$Z$1,0)),"")</f>
        <v>0</v>
      </c>
      <c r="H433" s="7" t="n">
        <f aca="false">IFERROR(INDEX('Semrush Data'!$A$1:$Z$20000,MATCH(A433,'Semrush Data'!$A$1:$A$20000,0),MATCH("Keyword Difficulty*",'Semrush Data'!$A$1:$Z$1,0)),"")</f>
        <v>13</v>
      </c>
      <c r="I433" s="13" t="n">
        <f aca="false">IFERROR(INDEX('Semrush Data'!$A$1:$Z$20000,MATCH(A433,'Semrush Data'!$A$1:$A$20000,0),MATCH("CPC*",'Semrush Data'!$A$1:$Z$1,0)),"")</f>
        <v>0</v>
      </c>
      <c r="J433" s="7" t="str">
        <f aca="false">IFERROR(INDEX('Semrush Data'!$A$1:$Z$20000,MATCH(A433,'Semrush Data'!$A$1:$A$20000,0),MATCH("Intent",'Semrush Data'!$A$1:$Z$1,0)),"")</f>
        <v>Navigational</v>
      </c>
    </row>
    <row r="434" customFormat="false" ht="15" hidden="false" customHeight="true" outlineLevel="0" collapsed="false">
      <c r="A434" s="7" t="s">
        <v>2085</v>
      </c>
      <c r="B434" s="7" t="s">
        <v>38</v>
      </c>
      <c r="C434" s="7" t="n">
        <v>1</v>
      </c>
      <c r="D434" s="7" t="n">
        <v>5</v>
      </c>
      <c r="E434" s="7" t="n">
        <v>1</v>
      </c>
      <c r="F434" s="7" t="s">
        <v>1037</v>
      </c>
      <c r="G434" s="12" t="n">
        <f aca="false">IFERROR(INDEX('Semrush Data'!$A$1:$Z$20000,MATCH(A434,'Semrush Data'!$A$1:$A$20000,0),MATCH("Volume",'Semrush Data'!$A$1:$Z$1,0)),"")</f>
        <v>0</v>
      </c>
      <c r="H434" s="7" t="n">
        <f aca="false">IFERROR(INDEX('Semrush Data'!$A$1:$Z$20000,MATCH(A434,'Semrush Data'!$A$1:$A$20000,0),MATCH("Keyword Difficulty*",'Semrush Data'!$A$1:$Z$1,0)),"")</f>
        <v>18</v>
      </c>
      <c r="I434" s="13" t="n">
        <f aca="false">IFERROR(INDEX('Semrush Data'!$A$1:$Z$20000,MATCH(A434,'Semrush Data'!$A$1:$A$20000,0),MATCH("CPC*",'Semrush Data'!$A$1:$Z$1,0)),"")</f>
        <v>0</v>
      </c>
      <c r="J434" s="7" t="str">
        <f aca="false">IFERROR(INDEX('Semrush Data'!$A$1:$Z$20000,MATCH(A434,'Semrush Data'!$A$1:$A$20000,0),MATCH("Intent",'Semrush Data'!$A$1:$Z$1,0)),"")</f>
        <v>Transactional</v>
      </c>
    </row>
    <row r="435" customFormat="false" ht="15" hidden="false" customHeight="true" outlineLevel="0" collapsed="false">
      <c r="A435" s="7" t="s">
        <v>2353</v>
      </c>
      <c r="B435" s="7" t="s">
        <v>38</v>
      </c>
      <c r="C435" s="7" t="n">
        <v>1</v>
      </c>
      <c r="D435" s="7" t="n">
        <v>5</v>
      </c>
      <c r="E435" s="7" t="n">
        <v>1</v>
      </c>
      <c r="F435" s="7" t="s">
        <v>1309</v>
      </c>
      <c r="G435" s="12" t="n">
        <f aca="false">IFERROR(INDEX('Semrush Data'!$A$1:$Z$20000,MATCH(A435,'Semrush Data'!$A$1:$A$20000,0),MATCH("Volume",'Semrush Data'!$A$1:$Z$1,0)),"")</f>
        <v>0</v>
      </c>
      <c r="H435" s="7" t="n">
        <f aca="false">IFERROR(INDEX('Semrush Data'!$A$1:$Z$20000,MATCH(A435,'Semrush Data'!$A$1:$A$20000,0),MATCH("Keyword Difficulty*",'Semrush Data'!$A$1:$Z$1,0)),"")</f>
        <v>21</v>
      </c>
      <c r="I435" s="13" t="n">
        <f aca="false">IFERROR(INDEX('Semrush Data'!$A$1:$Z$20000,MATCH(A435,'Semrush Data'!$A$1:$A$20000,0),MATCH("CPC*",'Semrush Data'!$A$1:$Z$1,0)),"")</f>
        <v>0</v>
      </c>
      <c r="J435" s="7" t="str">
        <f aca="false">IFERROR(INDEX('Semrush Data'!$A$1:$Z$20000,MATCH(A435,'Semrush Data'!$A$1:$A$20000,0),MATCH("Intent",'Semrush Data'!$A$1:$Z$1,0)),"")</f>
        <v>Transactional Navigational</v>
      </c>
    </row>
    <row r="436" customFormat="false" ht="15" hidden="false" customHeight="true" outlineLevel="0" collapsed="false">
      <c r="A436" s="7" t="s">
        <v>2052</v>
      </c>
      <c r="B436" s="7" t="s">
        <v>38</v>
      </c>
      <c r="C436" s="7" t="n">
        <v>1</v>
      </c>
      <c r="D436" s="7" t="n">
        <v>5</v>
      </c>
      <c r="E436" s="7" t="n">
        <v>1</v>
      </c>
      <c r="F436" s="7" t="s">
        <v>1006</v>
      </c>
      <c r="G436" s="12" t="n">
        <f aca="false">IFERROR(INDEX('Semrush Data'!$A$1:$Z$20000,MATCH(A436,'Semrush Data'!$A$1:$A$20000,0),MATCH("Volume",'Semrush Data'!$A$1:$Z$1,0)),"")</f>
        <v>0</v>
      </c>
      <c r="H436" s="7" t="n">
        <f aca="false">IFERROR(INDEX('Semrush Data'!$A$1:$Z$20000,MATCH(A436,'Semrush Data'!$A$1:$A$20000,0),MATCH("Keyword Difficulty*",'Semrush Data'!$A$1:$Z$1,0)),"")</f>
        <v>18</v>
      </c>
      <c r="I436" s="13" t="n">
        <f aca="false">IFERROR(INDEX('Semrush Data'!$A$1:$Z$20000,MATCH(A436,'Semrush Data'!$A$1:$A$20000,0),MATCH("CPC*",'Semrush Data'!$A$1:$Z$1,0)),"")</f>
        <v>0</v>
      </c>
      <c r="J436" s="7" t="str">
        <f aca="false">IFERROR(INDEX('Semrush Data'!$A$1:$Z$20000,MATCH(A436,'Semrush Data'!$A$1:$A$20000,0),MATCH("Intent",'Semrush Data'!$A$1:$Z$1,0)),"")</f>
        <v>Transactional Navigational</v>
      </c>
    </row>
    <row r="437" customFormat="false" ht="15" hidden="false" customHeight="true" outlineLevel="0" collapsed="false">
      <c r="A437" s="7" t="s">
        <v>2239</v>
      </c>
      <c r="B437" s="7" t="s">
        <v>38</v>
      </c>
      <c r="C437" s="7" t="n">
        <v>1</v>
      </c>
      <c r="D437" s="7" t="n">
        <v>5</v>
      </c>
      <c r="E437" s="7" t="n">
        <v>1</v>
      </c>
      <c r="F437" s="7" t="s">
        <v>1194</v>
      </c>
      <c r="G437" s="12" t="n">
        <f aca="false">IFERROR(INDEX('Semrush Data'!$A$1:$Z$20000,MATCH(A437,'Semrush Data'!$A$1:$A$20000,0),MATCH("Volume",'Semrush Data'!$A$1:$Z$1,0)),"")</f>
        <v>0</v>
      </c>
      <c r="H437" s="7" t="n">
        <f aca="false">IFERROR(INDEX('Semrush Data'!$A$1:$Z$20000,MATCH(A437,'Semrush Data'!$A$1:$A$20000,0),MATCH("Keyword Difficulty*",'Semrush Data'!$A$1:$Z$1,0)),"")</f>
        <v>13</v>
      </c>
      <c r="I437" s="13" t="n">
        <f aca="false">IFERROR(INDEX('Semrush Data'!$A$1:$Z$20000,MATCH(A437,'Semrush Data'!$A$1:$A$20000,0),MATCH("CPC*",'Semrush Data'!$A$1:$Z$1,0)),"")</f>
        <v>0</v>
      </c>
      <c r="J437" s="7" t="str">
        <f aca="false">IFERROR(INDEX('Semrush Data'!$A$1:$Z$20000,MATCH(A437,'Semrush Data'!$A$1:$A$20000,0),MATCH("Intent",'Semrush Data'!$A$1:$Z$1,0)),"")</f>
        <v>Informational Transactional</v>
      </c>
    </row>
    <row r="438" customFormat="false" ht="15" hidden="false" customHeight="true" outlineLevel="0" collapsed="false">
      <c r="A438" s="7" t="s">
        <v>2078</v>
      </c>
      <c r="B438" s="7" t="s">
        <v>38</v>
      </c>
      <c r="C438" s="7" t="n">
        <v>1</v>
      </c>
      <c r="D438" s="7" t="n">
        <v>5</v>
      </c>
      <c r="E438" s="7" t="n">
        <v>1</v>
      </c>
      <c r="F438" s="7" t="s">
        <v>1031</v>
      </c>
      <c r="G438" s="12" t="n">
        <f aca="false">IFERROR(INDEX('Semrush Data'!$A$1:$Z$20000,MATCH(A438,'Semrush Data'!$A$1:$A$20000,0),MATCH("Volume",'Semrush Data'!$A$1:$Z$1,0)),"")</f>
        <v>0</v>
      </c>
      <c r="H438" s="7" t="n">
        <f aca="false">IFERROR(INDEX('Semrush Data'!$A$1:$Z$20000,MATCH(A438,'Semrush Data'!$A$1:$A$20000,0),MATCH("Keyword Difficulty*",'Semrush Data'!$A$1:$Z$1,0)),"")</f>
        <v>13</v>
      </c>
      <c r="I438" s="13" t="n">
        <f aca="false">IFERROR(INDEX('Semrush Data'!$A$1:$Z$20000,MATCH(A438,'Semrush Data'!$A$1:$A$20000,0),MATCH("CPC*",'Semrush Data'!$A$1:$Z$1,0)),"")</f>
        <v>0</v>
      </c>
      <c r="J438" s="7" t="str">
        <f aca="false">IFERROR(INDEX('Semrush Data'!$A$1:$Z$20000,MATCH(A438,'Semrush Data'!$A$1:$A$20000,0),MATCH("Intent",'Semrush Data'!$A$1:$Z$1,0)),"")</f>
        <v>Navigational</v>
      </c>
    </row>
    <row r="439" customFormat="false" ht="15" hidden="false" customHeight="true" outlineLevel="0" collapsed="false">
      <c r="A439" s="7" t="s">
        <v>1991</v>
      </c>
      <c r="B439" s="7" t="s">
        <v>38</v>
      </c>
      <c r="C439" s="7" t="n">
        <v>1</v>
      </c>
      <c r="D439" s="7" t="n">
        <v>5</v>
      </c>
      <c r="E439" s="7" t="n">
        <v>1</v>
      </c>
      <c r="F439" s="7" t="s">
        <v>946</v>
      </c>
      <c r="G439" s="12" t="n">
        <f aca="false">IFERROR(INDEX('Semrush Data'!$A$1:$Z$20000,MATCH(A439,'Semrush Data'!$A$1:$A$20000,0),MATCH("Volume",'Semrush Data'!$A$1:$Z$1,0)),"")</f>
        <v>0</v>
      </c>
      <c r="H439" s="7" t="n">
        <f aca="false">IFERROR(INDEX('Semrush Data'!$A$1:$Z$20000,MATCH(A439,'Semrush Data'!$A$1:$A$20000,0),MATCH("Keyword Difficulty*",'Semrush Data'!$A$1:$Z$1,0)),"")</f>
        <v>16</v>
      </c>
      <c r="I439" s="13" t="n">
        <f aca="false">IFERROR(INDEX('Semrush Data'!$A$1:$Z$20000,MATCH(A439,'Semrush Data'!$A$1:$A$20000,0),MATCH("CPC*",'Semrush Data'!$A$1:$Z$1,0)),"")</f>
        <v>0</v>
      </c>
      <c r="J439" s="7" t="str">
        <f aca="false">IFERROR(INDEX('Semrush Data'!$A$1:$Z$20000,MATCH(A439,'Semrush Data'!$A$1:$A$20000,0),MATCH("Intent",'Semrush Data'!$A$1:$Z$1,0)),"")</f>
        <v>Transactional Navigational</v>
      </c>
    </row>
    <row r="440" customFormat="false" ht="15" hidden="false" customHeight="true" outlineLevel="0" collapsed="false">
      <c r="A440" s="7" t="s">
        <v>2347</v>
      </c>
      <c r="B440" s="7" t="s">
        <v>38</v>
      </c>
      <c r="C440" s="7" t="n">
        <v>1</v>
      </c>
      <c r="D440" s="7" t="n">
        <v>5</v>
      </c>
      <c r="E440" s="7" t="n">
        <v>1</v>
      </c>
      <c r="F440" s="7" t="s">
        <v>1303</v>
      </c>
      <c r="G440" s="12" t="n">
        <f aca="false">IFERROR(INDEX('Semrush Data'!$A$1:$Z$20000,MATCH(A440,'Semrush Data'!$A$1:$A$20000,0),MATCH("Volume",'Semrush Data'!$A$1:$Z$1,0)),"")</f>
        <v>0</v>
      </c>
      <c r="H440" s="7" t="n">
        <f aca="false">IFERROR(INDEX('Semrush Data'!$A$1:$Z$20000,MATCH(A440,'Semrush Data'!$A$1:$A$20000,0),MATCH("Keyword Difficulty*",'Semrush Data'!$A$1:$Z$1,0)),"")</f>
        <v>17</v>
      </c>
      <c r="I440" s="13" t="n">
        <f aca="false">IFERROR(INDEX('Semrush Data'!$A$1:$Z$20000,MATCH(A440,'Semrush Data'!$A$1:$A$20000,0),MATCH("CPC*",'Semrush Data'!$A$1:$Z$1,0)),"")</f>
        <v>0</v>
      </c>
      <c r="J440" s="7" t="str">
        <f aca="false">IFERROR(INDEX('Semrush Data'!$A$1:$Z$20000,MATCH(A440,'Semrush Data'!$A$1:$A$20000,0),MATCH("Intent",'Semrush Data'!$A$1:$Z$1,0)),"")</f>
        <v>Informational</v>
      </c>
    </row>
    <row r="441" customFormat="false" ht="15" hidden="false" customHeight="true" outlineLevel="0" collapsed="false">
      <c r="A441" s="7" t="s">
        <v>2365</v>
      </c>
      <c r="B441" s="7" t="s">
        <v>38</v>
      </c>
      <c r="C441" s="7" t="n">
        <v>1</v>
      </c>
      <c r="D441" s="7" t="n">
        <v>5</v>
      </c>
      <c r="E441" s="7" t="n">
        <v>1</v>
      </c>
      <c r="F441" s="7" t="s">
        <v>1321</v>
      </c>
      <c r="G441" s="12" t="n">
        <f aca="false">IFERROR(INDEX('Semrush Data'!$A$1:$Z$20000,MATCH(A441,'Semrush Data'!$A$1:$A$20000,0),MATCH("Volume",'Semrush Data'!$A$1:$Z$1,0)),"")</f>
        <v>0</v>
      </c>
      <c r="H441" s="7" t="n">
        <f aca="false">IFERROR(INDEX('Semrush Data'!$A$1:$Z$20000,MATCH(A441,'Semrush Data'!$A$1:$A$20000,0),MATCH("Keyword Difficulty*",'Semrush Data'!$A$1:$Z$1,0)),"")</f>
        <v>14</v>
      </c>
      <c r="I441" s="13" t="n">
        <f aca="false">IFERROR(INDEX('Semrush Data'!$A$1:$Z$20000,MATCH(A441,'Semrush Data'!$A$1:$A$20000,0),MATCH("CPC*",'Semrush Data'!$A$1:$Z$1,0)),"")</f>
        <v>0</v>
      </c>
      <c r="J441" s="7" t="str">
        <f aca="false">IFERROR(INDEX('Semrush Data'!$A$1:$Z$20000,MATCH(A441,'Semrush Data'!$A$1:$A$20000,0),MATCH("Intent",'Semrush Data'!$A$1:$Z$1,0)),"")</f>
        <v>Informational</v>
      </c>
    </row>
    <row r="442" customFormat="false" ht="15" hidden="false" customHeight="true" outlineLevel="0" collapsed="false">
      <c r="A442" s="7" t="s">
        <v>2099</v>
      </c>
      <c r="B442" s="7" t="s">
        <v>38</v>
      </c>
      <c r="C442" s="7" t="n">
        <v>1</v>
      </c>
      <c r="D442" s="7" t="n">
        <v>5</v>
      </c>
      <c r="E442" s="7" t="n">
        <v>1</v>
      </c>
      <c r="F442" s="7" t="s">
        <v>1051</v>
      </c>
      <c r="G442" s="12" t="n">
        <f aca="false">IFERROR(INDEX('Semrush Data'!$A$1:$Z$20000,MATCH(A442,'Semrush Data'!$A$1:$A$20000,0),MATCH("Volume",'Semrush Data'!$A$1:$Z$1,0)),"")</f>
        <v>10</v>
      </c>
      <c r="H442" s="7" t="n">
        <f aca="false">IFERROR(INDEX('Semrush Data'!$A$1:$Z$20000,MATCH(A442,'Semrush Data'!$A$1:$A$20000,0),MATCH("Keyword Difficulty*",'Semrush Data'!$A$1:$Z$1,0)),"")</f>
        <v>22</v>
      </c>
      <c r="I442" s="13" t="n">
        <f aca="false">IFERROR(INDEX('Semrush Data'!$A$1:$Z$20000,MATCH(A442,'Semrush Data'!$A$1:$A$20000,0),MATCH("CPC*",'Semrush Data'!$A$1:$Z$1,0)),"")</f>
        <v>0</v>
      </c>
      <c r="J442" s="7" t="str">
        <f aca="false">IFERROR(INDEX('Semrush Data'!$A$1:$Z$20000,MATCH(A442,'Semrush Data'!$A$1:$A$20000,0),MATCH("Intent",'Semrush Data'!$A$1:$Z$1,0)),"")</f>
        <v>Transactional Navigational</v>
      </c>
    </row>
    <row r="443" customFormat="false" ht="15" hidden="false" customHeight="true" outlineLevel="0" collapsed="false">
      <c r="A443" s="7" t="s">
        <v>1928</v>
      </c>
      <c r="B443" s="7" t="s">
        <v>38</v>
      </c>
      <c r="C443" s="7" t="n">
        <v>1</v>
      </c>
      <c r="D443" s="7" t="n">
        <v>5</v>
      </c>
      <c r="E443" s="7" t="n">
        <v>1</v>
      </c>
      <c r="F443" s="7" t="s">
        <v>885</v>
      </c>
      <c r="G443" s="12" t="n">
        <f aca="false">IFERROR(INDEX('Semrush Data'!$A$1:$Z$20000,MATCH(A443,'Semrush Data'!$A$1:$A$20000,0),MATCH("Volume",'Semrush Data'!$A$1:$Z$1,0)),"")</f>
        <v>0</v>
      </c>
      <c r="H443" s="7" t="n">
        <f aca="false">IFERROR(INDEX('Semrush Data'!$A$1:$Z$20000,MATCH(A443,'Semrush Data'!$A$1:$A$20000,0),MATCH("Keyword Difficulty*",'Semrush Data'!$A$1:$Z$1,0)),"")</f>
        <v>13</v>
      </c>
      <c r="I443" s="13" t="n">
        <f aca="false">IFERROR(INDEX('Semrush Data'!$A$1:$Z$20000,MATCH(A443,'Semrush Data'!$A$1:$A$20000,0),MATCH("CPC*",'Semrush Data'!$A$1:$Z$1,0)),"")</f>
        <v>0</v>
      </c>
      <c r="J443" s="7" t="str">
        <f aca="false">IFERROR(INDEX('Semrush Data'!$A$1:$Z$20000,MATCH(A443,'Semrush Data'!$A$1:$A$20000,0),MATCH("Intent",'Semrush Data'!$A$1:$Z$1,0)),"")</f>
        <v>Informational Transactional</v>
      </c>
    </row>
    <row r="444" customFormat="false" ht="15" hidden="false" customHeight="true" outlineLevel="0" collapsed="false">
      <c r="A444" s="7" t="s">
        <v>2027</v>
      </c>
      <c r="B444" s="7" t="s">
        <v>38</v>
      </c>
      <c r="C444" s="7" t="n">
        <v>1</v>
      </c>
      <c r="D444" s="7" t="n">
        <v>5</v>
      </c>
      <c r="E444" s="7" t="n">
        <v>1</v>
      </c>
      <c r="F444" s="7" t="s">
        <v>979</v>
      </c>
      <c r="G444" s="12" t="n">
        <f aca="false">IFERROR(INDEX('Semrush Data'!$A$1:$Z$20000,MATCH(A444,'Semrush Data'!$A$1:$A$20000,0),MATCH("Volume",'Semrush Data'!$A$1:$Z$1,0)),"")</f>
        <v>0</v>
      </c>
      <c r="H444" s="7" t="n">
        <f aca="false">IFERROR(INDEX('Semrush Data'!$A$1:$Z$20000,MATCH(A444,'Semrush Data'!$A$1:$A$20000,0),MATCH("Keyword Difficulty*",'Semrush Data'!$A$1:$Z$1,0)),"")</f>
        <v>12</v>
      </c>
      <c r="I444" s="13" t="n">
        <f aca="false">IFERROR(INDEX('Semrush Data'!$A$1:$Z$20000,MATCH(A444,'Semrush Data'!$A$1:$A$20000,0),MATCH("CPC*",'Semrush Data'!$A$1:$Z$1,0)),"")</f>
        <v>0</v>
      </c>
      <c r="J444" s="7" t="str">
        <f aca="false">IFERROR(INDEX('Semrush Data'!$A$1:$Z$20000,MATCH(A444,'Semrush Data'!$A$1:$A$20000,0),MATCH("Intent",'Semrush Data'!$A$1:$Z$1,0)),"")</f>
        <v>Transactional Navigational</v>
      </c>
    </row>
    <row r="445" customFormat="false" ht="15" hidden="false" customHeight="true" outlineLevel="0" collapsed="false">
      <c r="A445" s="7" t="s">
        <v>2173</v>
      </c>
      <c r="B445" s="7" t="s">
        <v>38</v>
      </c>
      <c r="C445" s="7" t="n">
        <v>1</v>
      </c>
      <c r="D445" s="7" t="n">
        <v>5</v>
      </c>
      <c r="E445" s="7" t="n">
        <v>1</v>
      </c>
      <c r="F445" s="7" t="s">
        <v>1125</v>
      </c>
      <c r="G445" s="12" t="n">
        <f aca="false">IFERROR(INDEX('Semrush Data'!$A$1:$Z$20000,MATCH(A445,'Semrush Data'!$A$1:$A$20000,0),MATCH("Volume",'Semrush Data'!$A$1:$Z$1,0)),"")</f>
        <v>0</v>
      </c>
      <c r="H445" s="7" t="n">
        <f aca="false">IFERROR(INDEX('Semrush Data'!$A$1:$Z$20000,MATCH(A445,'Semrush Data'!$A$1:$A$20000,0),MATCH("Keyword Difficulty*",'Semrush Data'!$A$1:$Z$1,0)),"")</f>
        <v>14</v>
      </c>
      <c r="I445" s="13" t="n">
        <f aca="false">IFERROR(INDEX('Semrush Data'!$A$1:$Z$20000,MATCH(A445,'Semrush Data'!$A$1:$A$20000,0),MATCH("CPC*",'Semrush Data'!$A$1:$Z$1,0)),"")</f>
        <v>0</v>
      </c>
      <c r="J445" s="7" t="str">
        <f aca="false">IFERROR(INDEX('Semrush Data'!$A$1:$Z$20000,MATCH(A445,'Semrush Data'!$A$1:$A$20000,0),MATCH("Intent",'Semrush Data'!$A$1:$Z$1,0)),"")</f>
        <v>Informational Transactional</v>
      </c>
    </row>
    <row r="446" customFormat="false" ht="15" hidden="false" customHeight="true" outlineLevel="0" collapsed="false">
      <c r="A446" s="7" t="s">
        <v>1936</v>
      </c>
      <c r="B446" s="7" t="s">
        <v>38</v>
      </c>
      <c r="C446" s="7" t="n">
        <v>1</v>
      </c>
      <c r="D446" s="7" t="n">
        <v>5</v>
      </c>
      <c r="E446" s="7" t="n">
        <v>1</v>
      </c>
      <c r="F446" s="7" t="s">
        <v>892</v>
      </c>
      <c r="G446" s="12" t="n">
        <f aca="false">IFERROR(INDEX('Semrush Data'!$A$1:$Z$20000,MATCH(A446,'Semrush Data'!$A$1:$A$20000,0),MATCH("Volume",'Semrush Data'!$A$1:$Z$1,0)),"")</f>
        <v>0</v>
      </c>
      <c r="H446" s="7" t="n">
        <f aca="false">IFERROR(INDEX('Semrush Data'!$A$1:$Z$20000,MATCH(A446,'Semrush Data'!$A$1:$A$20000,0),MATCH("Keyword Difficulty*",'Semrush Data'!$A$1:$Z$1,0)),"")</f>
        <v>13</v>
      </c>
      <c r="I446" s="13" t="n">
        <f aca="false">IFERROR(INDEX('Semrush Data'!$A$1:$Z$20000,MATCH(A446,'Semrush Data'!$A$1:$A$20000,0),MATCH("CPC*",'Semrush Data'!$A$1:$Z$1,0)),"")</f>
        <v>0</v>
      </c>
      <c r="J446" s="7" t="str">
        <f aca="false">IFERROR(INDEX('Semrush Data'!$A$1:$Z$20000,MATCH(A446,'Semrush Data'!$A$1:$A$20000,0),MATCH("Intent",'Semrush Data'!$A$1:$Z$1,0)),"")</f>
        <v>Transactional Navigational</v>
      </c>
    </row>
    <row r="447" customFormat="false" ht="15" hidden="false" customHeight="true" outlineLevel="0" collapsed="false">
      <c r="A447" s="7" t="s">
        <v>2166</v>
      </c>
      <c r="B447" s="7" t="s">
        <v>38</v>
      </c>
      <c r="C447" s="7" t="n">
        <v>1</v>
      </c>
      <c r="D447" s="7" t="n">
        <v>5</v>
      </c>
      <c r="E447" s="7" t="n">
        <v>1</v>
      </c>
      <c r="F447" s="7" t="s">
        <v>1118</v>
      </c>
      <c r="G447" s="12" t="n">
        <f aca="false">IFERROR(INDEX('Semrush Data'!$A$1:$Z$20000,MATCH(A447,'Semrush Data'!$A$1:$A$20000,0),MATCH("Volume",'Semrush Data'!$A$1:$Z$1,0)),"")</f>
        <v>0</v>
      </c>
      <c r="H447" s="7" t="n">
        <f aca="false">IFERROR(INDEX('Semrush Data'!$A$1:$Z$20000,MATCH(A447,'Semrush Data'!$A$1:$A$20000,0),MATCH("Keyword Difficulty*",'Semrush Data'!$A$1:$Z$1,0)),"")</f>
        <v>22</v>
      </c>
      <c r="I447" s="13" t="n">
        <f aca="false">IFERROR(INDEX('Semrush Data'!$A$1:$Z$20000,MATCH(A447,'Semrush Data'!$A$1:$A$20000,0),MATCH("CPC*",'Semrush Data'!$A$1:$Z$1,0)),"")</f>
        <v>0</v>
      </c>
      <c r="J447" s="7" t="str">
        <f aca="false">IFERROR(INDEX('Semrush Data'!$A$1:$Z$20000,MATCH(A447,'Semrush Data'!$A$1:$A$20000,0),MATCH("Intent",'Semrush Data'!$A$1:$Z$1,0)),"")</f>
        <v>Informational</v>
      </c>
    </row>
    <row r="448" customFormat="false" ht="15" hidden="false" customHeight="true" outlineLevel="0" collapsed="false">
      <c r="A448" s="7" t="s">
        <v>2113</v>
      </c>
      <c r="B448" s="7" t="s">
        <v>38</v>
      </c>
      <c r="C448" s="7" t="n">
        <v>1</v>
      </c>
      <c r="D448" s="7" t="n">
        <v>5</v>
      </c>
      <c r="E448" s="7" t="n">
        <v>1</v>
      </c>
      <c r="F448" s="7" t="s">
        <v>1063</v>
      </c>
      <c r="G448" s="12" t="n">
        <f aca="false">IFERROR(INDEX('Semrush Data'!$A$1:$Z$20000,MATCH(A448,'Semrush Data'!$A$1:$A$20000,0),MATCH("Volume",'Semrush Data'!$A$1:$Z$1,0)),"")</f>
        <v>0</v>
      </c>
      <c r="H448" s="7" t="n">
        <f aca="false">IFERROR(INDEX('Semrush Data'!$A$1:$Z$20000,MATCH(A448,'Semrush Data'!$A$1:$A$20000,0),MATCH("Keyword Difficulty*",'Semrush Data'!$A$1:$Z$1,0)),"")</f>
        <v>13</v>
      </c>
      <c r="I448" s="13" t="n">
        <f aca="false">IFERROR(INDEX('Semrush Data'!$A$1:$Z$20000,MATCH(A448,'Semrush Data'!$A$1:$A$20000,0),MATCH("CPC*",'Semrush Data'!$A$1:$Z$1,0)),"")</f>
        <v>0</v>
      </c>
      <c r="J448" s="7" t="str">
        <f aca="false">IFERROR(INDEX('Semrush Data'!$A$1:$Z$20000,MATCH(A448,'Semrush Data'!$A$1:$A$20000,0),MATCH("Intent",'Semrush Data'!$A$1:$Z$1,0)),"")</f>
        <v>Navigational</v>
      </c>
    </row>
    <row r="449" customFormat="false" ht="15" hidden="false" customHeight="true" outlineLevel="0" collapsed="false">
      <c r="A449" s="7" t="s">
        <v>2179</v>
      </c>
      <c r="B449" s="7" t="s">
        <v>38</v>
      </c>
      <c r="C449" s="7" t="n">
        <v>1</v>
      </c>
      <c r="D449" s="7" t="n">
        <v>5</v>
      </c>
      <c r="E449" s="7" t="n">
        <v>1</v>
      </c>
      <c r="F449" s="7" t="s">
        <v>1132</v>
      </c>
      <c r="G449" s="12" t="n">
        <f aca="false">IFERROR(INDEX('Semrush Data'!$A$1:$Z$20000,MATCH(A449,'Semrush Data'!$A$1:$A$20000,0),MATCH("Volume",'Semrush Data'!$A$1:$Z$1,0)),"")</f>
        <v>30</v>
      </c>
      <c r="H449" s="7" t="n">
        <f aca="false">IFERROR(INDEX('Semrush Data'!$A$1:$Z$20000,MATCH(A449,'Semrush Data'!$A$1:$A$20000,0),MATCH("Keyword Difficulty*",'Semrush Data'!$A$1:$Z$1,0)),"")</f>
        <v>18</v>
      </c>
      <c r="I449" s="13" t="n">
        <f aca="false">IFERROR(INDEX('Semrush Data'!$A$1:$Z$20000,MATCH(A449,'Semrush Data'!$A$1:$A$20000,0),MATCH("CPC*",'Semrush Data'!$A$1:$Z$1,0)),"")</f>
        <v>0</v>
      </c>
      <c r="J449" s="7" t="str">
        <f aca="false">IFERROR(INDEX('Semrush Data'!$A$1:$Z$20000,MATCH(A449,'Semrush Data'!$A$1:$A$20000,0),MATCH("Intent",'Semrush Data'!$A$1:$Z$1,0)),"")</f>
        <v>Informational Transactional</v>
      </c>
    </row>
    <row r="450" customFormat="false" ht="15" hidden="false" customHeight="true" outlineLevel="0" collapsed="false">
      <c r="A450" s="7" t="s">
        <v>1951</v>
      </c>
      <c r="B450" s="7" t="s">
        <v>38</v>
      </c>
      <c r="C450" s="7" t="n">
        <v>1</v>
      </c>
      <c r="D450" s="7" t="n">
        <v>5</v>
      </c>
      <c r="E450" s="7" t="n">
        <v>1</v>
      </c>
      <c r="F450" s="7" t="s">
        <v>905</v>
      </c>
      <c r="G450" s="12" t="n">
        <f aca="false">IFERROR(INDEX('Semrush Data'!$A$1:$Z$20000,MATCH(A450,'Semrush Data'!$A$1:$A$20000,0),MATCH("Volume",'Semrush Data'!$A$1:$Z$1,0)),"")</f>
        <v>0</v>
      </c>
      <c r="H450" s="7" t="n">
        <f aca="false">IFERROR(INDEX('Semrush Data'!$A$1:$Z$20000,MATCH(A450,'Semrush Data'!$A$1:$A$20000,0),MATCH("Keyword Difficulty*",'Semrush Data'!$A$1:$Z$1,0)),"")</f>
        <v>12</v>
      </c>
      <c r="I450" s="13" t="n">
        <f aca="false">IFERROR(INDEX('Semrush Data'!$A$1:$Z$20000,MATCH(A450,'Semrush Data'!$A$1:$A$20000,0),MATCH("CPC*",'Semrush Data'!$A$1:$Z$1,0)),"")</f>
        <v>0</v>
      </c>
      <c r="J450" s="7" t="str">
        <f aca="false">IFERROR(INDEX('Semrush Data'!$A$1:$Z$20000,MATCH(A450,'Semrush Data'!$A$1:$A$20000,0),MATCH("Intent",'Semrush Data'!$A$1:$Z$1,0)),"")</f>
        <v>Informational Transactional</v>
      </c>
    </row>
    <row r="451" customFormat="false" ht="15" hidden="false" customHeight="true" outlineLevel="0" collapsed="false">
      <c r="A451" s="7" t="s">
        <v>2120</v>
      </c>
      <c r="B451" s="7" t="s">
        <v>38</v>
      </c>
      <c r="C451" s="7" t="n">
        <v>1</v>
      </c>
      <c r="D451" s="7" t="n">
        <v>5</v>
      </c>
      <c r="E451" s="7" t="n">
        <v>2</v>
      </c>
      <c r="F451" s="7" t="s">
        <v>6727</v>
      </c>
      <c r="G451" s="12" t="n">
        <f aca="false">IFERROR(INDEX('Semrush Data'!$A$1:$Z$20000,MATCH(A451,'Semrush Data'!$A$1:$A$20000,0),MATCH("Volume",'Semrush Data'!$A$1:$Z$1,0)),"")</f>
        <v>0</v>
      </c>
      <c r="H451" s="7" t="n">
        <f aca="false">IFERROR(INDEX('Semrush Data'!$A$1:$Z$20000,MATCH(A451,'Semrush Data'!$A$1:$A$20000,0),MATCH("Keyword Difficulty*",'Semrush Data'!$A$1:$Z$1,0)),"")</f>
        <v>15</v>
      </c>
      <c r="I451" s="13" t="n">
        <f aca="false">IFERROR(INDEX('Semrush Data'!$A$1:$Z$20000,MATCH(A451,'Semrush Data'!$A$1:$A$20000,0),MATCH("CPC*",'Semrush Data'!$A$1:$Z$1,0)),"")</f>
        <v>0</v>
      </c>
      <c r="J451" s="7" t="str">
        <f aca="false">IFERROR(INDEX('Semrush Data'!$A$1:$Z$20000,MATCH(A451,'Semrush Data'!$A$1:$A$20000,0),MATCH("Intent",'Semrush Data'!$A$1:$Z$1,0)),"")</f>
        <v>Navigational</v>
      </c>
    </row>
    <row r="452" customFormat="false" ht="15" hidden="false" customHeight="true" outlineLevel="0" collapsed="false">
      <c r="A452" s="7" t="s">
        <v>1958</v>
      </c>
      <c r="B452" s="7" t="s">
        <v>38</v>
      </c>
      <c r="C452" s="7" t="n">
        <v>1</v>
      </c>
      <c r="D452" s="7" t="n">
        <v>5</v>
      </c>
      <c r="E452" s="7" t="n">
        <v>1</v>
      </c>
      <c r="F452" s="7" t="s">
        <v>911</v>
      </c>
      <c r="G452" s="12" t="n">
        <f aca="false">IFERROR(INDEX('Semrush Data'!$A$1:$Z$20000,MATCH(A452,'Semrush Data'!$A$1:$A$20000,0),MATCH("Volume",'Semrush Data'!$A$1:$Z$1,0)),"")</f>
        <v>0</v>
      </c>
      <c r="H452" s="7" t="n">
        <f aca="false">IFERROR(INDEX('Semrush Data'!$A$1:$Z$20000,MATCH(A452,'Semrush Data'!$A$1:$A$20000,0),MATCH("Keyword Difficulty*",'Semrush Data'!$A$1:$Z$1,0)),"")</f>
        <v>13</v>
      </c>
      <c r="I452" s="13" t="n">
        <f aca="false">IFERROR(INDEX('Semrush Data'!$A$1:$Z$20000,MATCH(A452,'Semrush Data'!$A$1:$A$20000,0),MATCH("CPC*",'Semrush Data'!$A$1:$Z$1,0)),"")</f>
        <v>0</v>
      </c>
      <c r="J452" s="7" t="str">
        <f aca="false">IFERROR(INDEX('Semrush Data'!$A$1:$Z$20000,MATCH(A452,'Semrush Data'!$A$1:$A$20000,0),MATCH("Intent",'Semrush Data'!$A$1:$Z$1,0)),"")</f>
        <v>Transactional Navigational</v>
      </c>
    </row>
    <row r="453" customFormat="false" ht="15" hidden="false" customHeight="true" outlineLevel="0" collapsed="false">
      <c r="A453" s="7" t="s">
        <v>2072</v>
      </c>
      <c r="B453" s="7" t="s">
        <v>38</v>
      </c>
      <c r="C453" s="7" t="n">
        <v>1</v>
      </c>
      <c r="D453" s="7" t="n">
        <v>5</v>
      </c>
      <c r="E453" s="7" t="n">
        <v>1</v>
      </c>
      <c r="F453" s="7" t="s">
        <v>1025</v>
      </c>
      <c r="G453" s="12" t="n">
        <f aca="false">IFERROR(INDEX('Semrush Data'!$A$1:$Z$20000,MATCH(A453,'Semrush Data'!$A$1:$A$20000,0),MATCH("Volume",'Semrush Data'!$A$1:$Z$1,0)),"")</f>
        <v>0</v>
      </c>
      <c r="H453" s="7" t="n">
        <f aca="false">IFERROR(INDEX('Semrush Data'!$A$1:$Z$20000,MATCH(A453,'Semrush Data'!$A$1:$A$20000,0),MATCH("Keyword Difficulty*",'Semrush Data'!$A$1:$Z$1,0)),"")</f>
        <v>12</v>
      </c>
      <c r="I453" s="13" t="n">
        <f aca="false">IFERROR(INDEX('Semrush Data'!$A$1:$Z$20000,MATCH(A453,'Semrush Data'!$A$1:$A$20000,0),MATCH("CPC*",'Semrush Data'!$A$1:$Z$1,0)),"")</f>
        <v>0</v>
      </c>
      <c r="J453" s="7" t="str">
        <f aca="false">IFERROR(INDEX('Semrush Data'!$A$1:$Z$20000,MATCH(A453,'Semrush Data'!$A$1:$A$20000,0),MATCH("Intent",'Semrush Data'!$A$1:$Z$1,0)),"")</f>
        <v>Informational Transactional</v>
      </c>
    </row>
    <row r="454" customFormat="false" ht="15" hidden="false" customHeight="true" outlineLevel="0" collapsed="false">
      <c r="A454" s="7" t="s">
        <v>2317</v>
      </c>
      <c r="B454" s="7" t="s">
        <v>38</v>
      </c>
      <c r="C454" s="7" t="n">
        <v>1</v>
      </c>
      <c r="D454" s="7" t="n">
        <v>5</v>
      </c>
      <c r="E454" s="7" t="n">
        <v>1</v>
      </c>
      <c r="F454" s="7" t="s">
        <v>1272</v>
      </c>
      <c r="G454" s="12" t="n">
        <f aca="false">IFERROR(INDEX('Semrush Data'!$A$1:$Z$20000,MATCH(A454,'Semrush Data'!$A$1:$A$20000,0),MATCH("Volume",'Semrush Data'!$A$1:$Z$1,0)),"")</f>
        <v>0</v>
      </c>
      <c r="H454" s="7" t="n">
        <f aca="false">IFERROR(INDEX('Semrush Data'!$A$1:$Z$20000,MATCH(A454,'Semrush Data'!$A$1:$A$20000,0),MATCH("Keyword Difficulty*",'Semrush Data'!$A$1:$Z$1,0)),"")</f>
        <v>14</v>
      </c>
      <c r="I454" s="13" t="n">
        <f aca="false">IFERROR(INDEX('Semrush Data'!$A$1:$Z$20000,MATCH(A454,'Semrush Data'!$A$1:$A$20000,0),MATCH("CPC*",'Semrush Data'!$A$1:$Z$1,0)),"")</f>
        <v>0</v>
      </c>
      <c r="J454" s="7" t="str">
        <f aca="false">IFERROR(INDEX('Semrush Data'!$A$1:$Z$20000,MATCH(A454,'Semrush Data'!$A$1:$A$20000,0),MATCH("Intent",'Semrush Data'!$A$1:$Z$1,0)),"")</f>
        <v>Informational</v>
      </c>
    </row>
    <row r="455" customFormat="false" ht="15" hidden="false" customHeight="true" outlineLevel="0" collapsed="false">
      <c r="A455" s="7" t="s">
        <v>2066</v>
      </c>
      <c r="B455" s="7" t="s">
        <v>38</v>
      </c>
      <c r="C455" s="7" t="n">
        <v>1</v>
      </c>
      <c r="D455" s="7" t="n">
        <v>5</v>
      </c>
      <c r="E455" s="7" t="n">
        <v>1</v>
      </c>
      <c r="F455" s="7" t="s">
        <v>1019</v>
      </c>
      <c r="G455" s="12" t="n">
        <f aca="false">IFERROR(INDEX('Semrush Data'!$A$1:$Z$20000,MATCH(A455,'Semrush Data'!$A$1:$A$20000,0),MATCH("Volume",'Semrush Data'!$A$1:$Z$1,0)),"")</f>
        <v>0</v>
      </c>
      <c r="H455" s="7" t="n">
        <f aca="false">IFERROR(INDEX('Semrush Data'!$A$1:$Z$20000,MATCH(A455,'Semrush Data'!$A$1:$A$20000,0),MATCH("Keyword Difficulty*",'Semrush Data'!$A$1:$Z$1,0)),"")</f>
        <v>22</v>
      </c>
      <c r="I455" s="13" t="n">
        <f aca="false">IFERROR(INDEX('Semrush Data'!$A$1:$Z$20000,MATCH(A455,'Semrush Data'!$A$1:$A$20000,0),MATCH("CPC*",'Semrush Data'!$A$1:$Z$1,0)),"")</f>
        <v>0</v>
      </c>
      <c r="J455" s="7" t="str">
        <f aca="false">IFERROR(INDEX('Semrush Data'!$A$1:$Z$20000,MATCH(A455,'Semrush Data'!$A$1:$A$20000,0),MATCH("Intent",'Semrush Data'!$A$1:$Z$1,0)),"")</f>
        <v>Informational Transactional</v>
      </c>
    </row>
    <row r="456" customFormat="false" ht="15" hidden="false" customHeight="true" outlineLevel="0" collapsed="false">
      <c r="A456" s="7" t="s">
        <v>2245</v>
      </c>
      <c r="B456" s="7" t="s">
        <v>38</v>
      </c>
      <c r="C456" s="7" t="n">
        <v>1</v>
      </c>
      <c r="D456" s="7" t="n">
        <v>5</v>
      </c>
      <c r="E456" s="7" t="n">
        <v>1</v>
      </c>
      <c r="F456" s="7" t="s">
        <v>1200</v>
      </c>
      <c r="G456" s="12" t="n">
        <f aca="false">IFERROR(INDEX('Semrush Data'!$A$1:$Z$20000,MATCH(A456,'Semrush Data'!$A$1:$A$20000,0),MATCH("Volume",'Semrush Data'!$A$1:$Z$1,0)),"")</f>
        <v>0</v>
      </c>
      <c r="H456" s="7" t="n">
        <f aca="false">IFERROR(INDEX('Semrush Data'!$A$1:$Z$20000,MATCH(A456,'Semrush Data'!$A$1:$A$20000,0),MATCH("Keyword Difficulty*",'Semrush Data'!$A$1:$Z$1,0)),"")</f>
        <v>14</v>
      </c>
      <c r="I456" s="13" t="n">
        <f aca="false">IFERROR(INDEX('Semrush Data'!$A$1:$Z$20000,MATCH(A456,'Semrush Data'!$A$1:$A$20000,0),MATCH("CPC*",'Semrush Data'!$A$1:$Z$1,0)),"")</f>
        <v>0</v>
      </c>
      <c r="J456" s="7" t="str">
        <f aca="false">IFERROR(INDEX('Semrush Data'!$A$1:$Z$20000,MATCH(A456,'Semrush Data'!$A$1:$A$20000,0),MATCH("Intent",'Semrush Data'!$A$1:$Z$1,0)),"")</f>
        <v>Informational Transactional</v>
      </c>
    </row>
    <row r="457" customFormat="false" ht="15" hidden="false" customHeight="true" outlineLevel="0" collapsed="false">
      <c r="A457" s="7" t="s">
        <v>2186</v>
      </c>
      <c r="B457" s="7" t="s">
        <v>38</v>
      </c>
      <c r="C457" s="7" t="n">
        <v>1</v>
      </c>
      <c r="D457" s="7" t="n">
        <v>5</v>
      </c>
      <c r="E457" s="7" t="n">
        <v>1</v>
      </c>
      <c r="F457" s="7" t="s">
        <v>1139</v>
      </c>
      <c r="G457" s="12" t="n">
        <f aca="false">IFERROR(INDEX('Semrush Data'!$A$1:$Z$20000,MATCH(A457,'Semrush Data'!$A$1:$A$20000,0),MATCH("Volume",'Semrush Data'!$A$1:$Z$1,0)),"")</f>
        <v>0</v>
      </c>
      <c r="H457" s="7" t="n">
        <f aca="false">IFERROR(INDEX('Semrush Data'!$A$1:$Z$20000,MATCH(A457,'Semrush Data'!$A$1:$A$20000,0),MATCH("Keyword Difficulty*",'Semrush Data'!$A$1:$Z$1,0)),"")</f>
        <v>29</v>
      </c>
      <c r="I457" s="13" t="n">
        <f aca="false">IFERROR(INDEX('Semrush Data'!$A$1:$Z$20000,MATCH(A457,'Semrush Data'!$A$1:$A$20000,0),MATCH("CPC*",'Semrush Data'!$A$1:$Z$1,0)),"")</f>
        <v>0</v>
      </c>
      <c r="J457" s="7" t="str">
        <f aca="false">IFERROR(INDEX('Semrush Data'!$A$1:$Z$20000,MATCH(A457,'Semrush Data'!$A$1:$A$20000,0),MATCH("Intent",'Semrush Data'!$A$1:$Z$1,0)),"")</f>
        <v>Transactional Navigational</v>
      </c>
    </row>
    <row r="458" customFormat="false" ht="15" hidden="false" customHeight="true" outlineLevel="0" collapsed="false">
      <c r="A458" s="7" t="s">
        <v>2059</v>
      </c>
      <c r="B458" s="7" t="s">
        <v>38</v>
      </c>
      <c r="C458" s="7" t="n">
        <v>1</v>
      </c>
      <c r="D458" s="7" t="n">
        <v>5</v>
      </c>
      <c r="E458" s="7" t="n">
        <v>1</v>
      </c>
      <c r="F458" s="7" t="s">
        <v>1013</v>
      </c>
      <c r="G458" s="12" t="n">
        <f aca="false">IFERROR(INDEX('Semrush Data'!$A$1:$Z$20000,MATCH(A458,'Semrush Data'!$A$1:$A$20000,0),MATCH("Volume",'Semrush Data'!$A$1:$Z$1,0)),"")</f>
        <v>0</v>
      </c>
      <c r="H458" s="7" t="n">
        <f aca="false">IFERROR(INDEX('Semrush Data'!$A$1:$Z$20000,MATCH(A458,'Semrush Data'!$A$1:$A$20000,0),MATCH("Keyword Difficulty*",'Semrush Data'!$A$1:$Z$1,0)),"")</f>
        <v>12</v>
      </c>
      <c r="I458" s="13" t="n">
        <f aca="false">IFERROR(INDEX('Semrush Data'!$A$1:$Z$20000,MATCH(A458,'Semrush Data'!$A$1:$A$20000,0),MATCH("CPC*",'Semrush Data'!$A$1:$Z$1,0)),"")</f>
        <v>0</v>
      </c>
      <c r="J458" s="7" t="str">
        <f aca="false">IFERROR(INDEX('Semrush Data'!$A$1:$Z$20000,MATCH(A458,'Semrush Data'!$A$1:$A$20000,0),MATCH("Intent",'Semrush Data'!$A$1:$Z$1,0)),"")</f>
        <v>Navigational</v>
      </c>
    </row>
    <row r="459" customFormat="false" ht="15" hidden="false" customHeight="true" outlineLevel="0" collapsed="false">
      <c r="A459" s="7" t="s">
        <v>2006</v>
      </c>
      <c r="B459" s="7" t="s">
        <v>38</v>
      </c>
      <c r="C459" s="7" t="n">
        <v>1</v>
      </c>
      <c r="D459" s="7" t="n">
        <v>5</v>
      </c>
      <c r="E459" s="7" t="n">
        <v>1</v>
      </c>
      <c r="F459" s="7" t="s">
        <v>961</v>
      </c>
      <c r="G459" s="12" t="n">
        <f aca="false">IFERROR(INDEX('Semrush Data'!$A$1:$Z$20000,MATCH(A459,'Semrush Data'!$A$1:$A$20000,0),MATCH("Volume",'Semrush Data'!$A$1:$Z$1,0)),"")</f>
        <v>0</v>
      </c>
      <c r="H459" s="7" t="n">
        <f aca="false">IFERROR(INDEX('Semrush Data'!$A$1:$Z$20000,MATCH(A459,'Semrush Data'!$A$1:$A$20000,0),MATCH("Keyword Difficulty*",'Semrush Data'!$A$1:$Z$1,0)),"")</f>
        <v>20</v>
      </c>
      <c r="I459" s="13" t="n">
        <f aca="false">IFERROR(INDEX('Semrush Data'!$A$1:$Z$20000,MATCH(A459,'Semrush Data'!$A$1:$A$20000,0),MATCH("CPC*",'Semrush Data'!$A$1:$Z$1,0)),"")</f>
        <v>0</v>
      </c>
      <c r="J459" s="7" t="str">
        <f aca="false">IFERROR(INDEX('Semrush Data'!$A$1:$Z$20000,MATCH(A459,'Semrush Data'!$A$1:$A$20000,0),MATCH("Intent",'Semrush Data'!$A$1:$Z$1,0)),"")</f>
        <v>Transactional Navigational</v>
      </c>
    </row>
    <row r="460" customFormat="false" ht="15" hidden="false" customHeight="true" outlineLevel="0" collapsed="false">
      <c r="A460" s="7" t="s">
        <v>2213</v>
      </c>
      <c r="B460" s="7" t="s">
        <v>38</v>
      </c>
      <c r="C460" s="7" t="n">
        <v>1</v>
      </c>
      <c r="D460" s="7" t="n">
        <v>5</v>
      </c>
      <c r="E460" s="7" t="n">
        <v>1</v>
      </c>
      <c r="F460" s="7" t="s">
        <v>1166</v>
      </c>
      <c r="G460" s="12" t="n">
        <f aca="false">IFERROR(INDEX('Semrush Data'!$A$1:$Z$20000,MATCH(A460,'Semrush Data'!$A$1:$A$20000,0),MATCH("Volume",'Semrush Data'!$A$1:$Z$1,0)),"")</f>
        <v>0</v>
      </c>
      <c r="H460" s="7" t="n">
        <f aca="false">IFERROR(INDEX('Semrush Data'!$A$1:$Z$20000,MATCH(A460,'Semrush Data'!$A$1:$A$20000,0),MATCH("Keyword Difficulty*",'Semrush Data'!$A$1:$Z$1,0)),"")</f>
        <v>6</v>
      </c>
      <c r="I460" s="13" t="n">
        <f aca="false">IFERROR(INDEX('Semrush Data'!$A$1:$Z$20000,MATCH(A460,'Semrush Data'!$A$1:$A$20000,0),MATCH("CPC*",'Semrush Data'!$A$1:$Z$1,0)),"")</f>
        <v>0</v>
      </c>
      <c r="J460" s="7" t="str">
        <f aca="false">IFERROR(INDEX('Semrush Data'!$A$1:$Z$20000,MATCH(A460,'Semrush Data'!$A$1:$A$20000,0),MATCH("Intent",'Semrush Data'!$A$1:$Z$1,0)),"")</f>
        <v>Informational Transactional</v>
      </c>
    </row>
    <row r="461" customFormat="false" ht="15" hidden="false" customHeight="true" outlineLevel="0" collapsed="false">
      <c r="A461" s="7" t="s">
        <v>2044</v>
      </c>
      <c r="B461" s="7" t="s">
        <v>38</v>
      </c>
      <c r="C461" s="7" t="n">
        <v>1</v>
      </c>
      <c r="D461" s="7" t="n">
        <v>5</v>
      </c>
      <c r="E461" s="7" t="n">
        <v>1</v>
      </c>
      <c r="F461" s="7" t="s">
        <v>999</v>
      </c>
      <c r="G461" s="12" t="n">
        <f aca="false">IFERROR(INDEX('Semrush Data'!$A$1:$Z$20000,MATCH(A461,'Semrush Data'!$A$1:$A$20000,0),MATCH("Volume",'Semrush Data'!$A$1:$Z$1,0)),"")</f>
        <v>10</v>
      </c>
      <c r="H461" s="7" t="n">
        <f aca="false">IFERROR(INDEX('Semrush Data'!$A$1:$Z$20000,MATCH(A461,'Semrush Data'!$A$1:$A$20000,0),MATCH("Keyword Difficulty*",'Semrush Data'!$A$1:$Z$1,0)),"")</f>
        <v>9</v>
      </c>
      <c r="I461" s="13" t="n">
        <f aca="false">IFERROR(INDEX('Semrush Data'!$A$1:$Z$20000,MATCH(A461,'Semrush Data'!$A$1:$A$20000,0),MATCH("CPC*",'Semrush Data'!$A$1:$Z$1,0)),"")</f>
        <v>0</v>
      </c>
      <c r="J461" s="7" t="str">
        <f aca="false">IFERROR(INDEX('Semrush Data'!$A$1:$Z$20000,MATCH(A461,'Semrush Data'!$A$1:$A$20000,0),MATCH("Intent",'Semrush Data'!$A$1:$Z$1,0)),"")</f>
        <v>Transactional Navigational</v>
      </c>
    </row>
    <row r="462" customFormat="false" ht="15" hidden="false" customHeight="true" outlineLevel="0" collapsed="false">
      <c r="A462" s="7" t="s">
        <v>2019</v>
      </c>
      <c r="B462" s="7" t="s">
        <v>38</v>
      </c>
      <c r="C462" s="7" t="n">
        <v>1</v>
      </c>
      <c r="D462" s="7" t="n">
        <v>5</v>
      </c>
      <c r="E462" s="7" t="n">
        <v>1</v>
      </c>
      <c r="F462" s="7" t="s">
        <v>973</v>
      </c>
      <c r="G462" s="12" t="n">
        <f aca="false">IFERROR(INDEX('Semrush Data'!$A$1:$Z$20000,MATCH(A462,'Semrush Data'!$A$1:$A$20000,0),MATCH("Volume",'Semrush Data'!$A$1:$Z$1,0)),"")</f>
        <v>0</v>
      </c>
      <c r="H462" s="7" t="n">
        <f aca="false">IFERROR(INDEX('Semrush Data'!$A$1:$Z$20000,MATCH(A462,'Semrush Data'!$A$1:$A$20000,0),MATCH("Keyword Difficulty*",'Semrush Data'!$A$1:$Z$1,0)),"")</f>
        <v>12</v>
      </c>
      <c r="I462" s="13" t="n">
        <f aca="false">IFERROR(INDEX('Semrush Data'!$A$1:$Z$20000,MATCH(A462,'Semrush Data'!$A$1:$A$20000,0),MATCH("CPC*",'Semrush Data'!$A$1:$Z$1,0)),"")</f>
        <v>0</v>
      </c>
      <c r="J462" s="7" t="str">
        <f aca="false">IFERROR(INDEX('Semrush Data'!$A$1:$Z$20000,MATCH(A462,'Semrush Data'!$A$1:$A$20000,0),MATCH("Intent",'Semrush Data'!$A$1:$Z$1,0)),"")</f>
        <v>Informational Navigational</v>
      </c>
    </row>
    <row r="463" customFormat="false" ht="15" hidden="false" customHeight="true" outlineLevel="0" collapsed="false">
      <c r="A463" s="7" t="s">
        <v>2012</v>
      </c>
      <c r="B463" s="7" t="s">
        <v>38</v>
      </c>
      <c r="C463" s="7" t="n">
        <v>1</v>
      </c>
      <c r="D463" s="7" t="n">
        <v>5</v>
      </c>
      <c r="E463" s="7" t="n">
        <v>1</v>
      </c>
      <c r="F463" s="7" t="s">
        <v>967</v>
      </c>
      <c r="G463" s="12" t="n">
        <f aca="false">IFERROR(INDEX('Semrush Data'!$A$1:$Z$20000,MATCH(A463,'Semrush Data'!$A$1:$A$20000,0),MATCH("Volume",'Semrush Data'!$A$1:$Z$1,0)),"")</f>
        <v>0</v>
      </c>
      <c r="H463" s="7" t="n">
        <f aca="false">IFERROR(INDEX('Semrush Data'!$A$1:$Z$20000,MATCH(A463,'Semrush Data'!$A$1:$A$20000,0),MATCH("Keyword Difficulty*",'Semrush Data'!$A$1:$Z$1,0)),"")</f>
        <v>13</v>
      </c>
      <c r="I463" s="13" t="n">
        <f aca="false">IFERROR(INDEX('Semrush Data'!$A$1:$Z$20000,MATCH(A463,'Semrush Data'!$A$1:$A$20000,0),MATCH("CPC*",'Semrush Data'!$A$1:$Z$1,0)),"")</f>
        <v>0</v>
      </c>
      <c r="J463" s="7" t="str">
        <f aca="false">IFERROR(INDEX('Semrush Data'!$A$1:$Z$20000,MATCH(A463,'Semrush Data'!$A$1:$A$20000,0),MATCH("Intent",'Semrush Data'!$A$1:$Z$1,0)),"")</f>
        <v>Transactional Navigational</v>
      </c>
    </row>
    <row r="464" customFormat="false" ht="15" hidden="false" customHeight="true" outlineLevel="0" collapsed="false">
      <c r="A464" s="7" t="s">
        <v>2226</v>
      </c>
      <c r="B464" s="7" t="s">
        <v>38</v>
      </c>
      <c r="C464" s="7" t="n">
        <v>1</v>
      </c>
      <c r="D464" s="7" t="n">
        <v>5</v>
      </c>
      <c r="E464" s="7" t="n">
        <v>1</v>
      </c>
      <c r="F464" s="7" t="s">
        <v>1179</v>
      </c>
      <c r="G464" s="12" t="n">
        <f aca="false">IFERROR(INDEX('Semrush Data'!$A$1:$Z$20000,MATCH(A464,'Semrush Data'!$A$1:$A$20000,0),MATCH("Volume",'Semrush Data'!$A$1:$Z$1,0)),"")</f>
        <v>20</v>
      </c>
      <c r="H464" s="7" t="n">
        <f aca="false">IFERROR(INDEX('Semrush Data'!$A$1:$Z$20000,MATCH(A464,'Semrush Data'!$A$1:$A$20000,0),MATCH("Keyword Difficulty*",'Semrush Data'!$A$1:$Z$1,0)),"")</f>
        <v>14</v>
      </c>
      <c r="I464" s="13" t="n">
        <f aca="false">IFERROR(INDEX('Semrush Data'!$A$1:$Z$20000,MATCH(A464,'Semrush Data'!$A$1:$A$20000,0),MATCH("CPC*",'Semrush Data'!$A$1:$Z$1,0)),"")</f>
        <v>0</v>
      </c>
      <c r="J464" s="7" t="str">
        <f aca="false">IFERROR(INDEX('Semrush Data'!$A$1:$Z$20000,MATCH(A464,'Semrush Data'!$A$1:$A$20000,0),MATCH("Intent",'Semrush Data'!$A$1:$Z$1,0)),"")</f>
        <v>Informational Transactional</v>
      </c>
    </row>
    <row r="465" customFormat="false" ht="15" hidden="false" customHeight="true" outlineLevel="0" collapsed="false">
      <c r="A465" s="7" t="s">
        <v>1999</v>
      </c>
      <c r="B465" s="7" t="s">
        <v>38</v>
      </c>
      <c r="C465" s="7" t="n">
        <v>1</v>
      </c>
      <c r="D465" s="7" t="n">
        <v>5</v>
      </c>
      <c r="E465" s="7" t="n">
        <v>1</v>
      </c>
      <c r="F465" s="7" t="s">
        <v>954</v>
      </c>
      <c r="G465" s="12" t="n">
        <f aca="false">IFERROR(INDEX('Semrush Data'!$A$1:$Z$20000,MATCH(A465,'Semrush Data'!$A$1:$A$20000,0),MATCH("Volume",'Semrush Data'!$A$1:$Z$1,0)),"")</f>
        <v>0</v>
      </c>
      <c r="H465" s="7" t="n">
        <f aca="false">IFERROR(INDEX('Semrush Data'!$A$1:$Z$20000,MATCH(A465,'Semrush Data'!$A$1:$A$20000,0),MATCH("Keyword Difficulty*",'Semrush Data'!$A$1:$Z$1,0)),"")</f>
        <v>19</v>
      </c>
      <c r="I465" s="13" t="n">
        <f aca="false">IFERROR(INDEX('Semrush Data'!$A$1:$Z$20000,MATCH(A465,'Semrush Data'!$A$1:$A$20000,0),MATCH("CPC*",'Semrush Data'!$A$1:$Z$1,0)),"")</f>
        <v>0</v>
      </c>
      <c r="J465" s="7" t="str">
        <f aca="false">IFERROR(INDEX('Semrush Data'!$A$1:$Z$20000,MATCH(A465,'Semrush Data'!$A$1:$A$20000,0),MATCH("Intent",'Semrush Data'!$A$1:$Z$1,0)),"")</f>
        <v>Transactional Navigational</v>
      </c>
    </row>
    <row r="466" customFormat="false" ht="15" hidden="false" customHeight="true" outlineLevel="0" collapsed="false">
      <c r="A466" s="7" t="s">
        <v>2252</v>
      </c>
      <c r="B466" s="7" t="s">
        <v>38</v>
      </c>
      <c r="C466" s="7" t="n">
        <v>1</v>
      </c>
      <c r="D466" s="7" t="n">
        <v>5</v>
      </c>
      <c r="E466" s="7" t="n">
        <v>1</v>
      </c>
      <c r="F466" s="7" t="s">
        <v>1206</v>
      </c>
      <c r="G466" s="12" t="n">
        <f aca="false">IFERROR(INDEX('Semrush Data'!$A$1:$Z$20000,MATCH(A466,'Semrush Data'!$A$1:$A$20000,0),MATCH("Volume",'Semrush Data'!$A$1:$Z$1,0)),"")</f>
        <v>0</v>
      </c>
      <c r="H466" s="7" t="n">
        <f aca="false">IFERROR(INDEX('Semrush Data'!$A$1:$Z$20000,MATCH(A466,'Semrush Data'!$A$1:$A$20000,0),MATCH("Keyword Difficulty*",'Semrush Data'!$A$1:$Z$1,0)),"")</f>
        <v>28</v>
      </c>
      <c r="I466" s="13" t="n">
        <f aca="false">IFERROR(INDEX('Semrush Data'!$A$1:$Z$20000,MATCH(A466,'Semrush Data'!$A$1:$A$20000,0),MATCH("CPC*",'Semrush Data'!$A$1:$Z$1,0)),"")</f>
        <v>0</v>
      </c>
      <c r="J466" s="7" t="str">
        <f aca="false">IFERROR(INDEX('Semrush Data'!$A$1:$Z$20000,MATCH(A466,'Semrush Data'!$A$1:$A$20000,0),MATCH("Intent",'Semrush Data'!$A$1:$Z$1,0)),"")</f>
        <v>Informational</v>
      </c>
    </row>
    <row r="467" customFormat="false" ht="15" hidden="false" customHeight="true" outlineLevel="0" collapsed="false">
      <c r="A467" s="7" t="s">
        <v>1978</v>
      </c>
      <c r="B467" s="7" t="s">
        <v>38</v>
      </c>
      <c r="C467" s="7" t="n">
        <v>1</v>
      </c>
      <c r="D467" s="7" t="n">
        <v>5</v>
      </c>
      <c r="E467" s="7" t="n">
        <v>1</v>
      </c>
      <c r="F467" s="7" t="s">
        <v>932</v>
      </c>
      <c r="G467" s="12" t="n">
        <f aca="false">IFERROR(INDEX('Semrush Data'!$A$1:$Z$20000,MATCH(A467,'Semrush Data'!$A$1:$A$20000,0),MATCH("Volume",'Semrush Data'!$A$1:$Z$1,0)),"")</f>
        <v>0</v>
      </c>
      <c r="H467" s="7" t="n">
        <f aca="false">IFERROR(INDEX('Semrush Data'!$A$1:$Z$20000,MATCH(A467,'Semrush Data'!$A$1:$A$20000,0),MATCH("Keyword Difficulty*",'Semrush Data'!$A$1:$Z$1,0)),"")</f>
        <v>15</v>
      </c>
      <c r="I467" s="13" t="n">
        <f aca="false">IFERROR(INDEX('Semrush Data'!$A$1:$Z$20000,MATCH(A467,'Semrush Data'!$A$1:$A$20000,0),MATCH("CPC*",'Semrush Data'!$A$1:$Z$1,0)),"")</f>
        <v>0</v>
      </c>
      <c r="J467" s="7" t="str">
        <f aca="false">IFERROR(INDEX('Semrush Data'!$A$1:$Z$20000,MATCH(A467,'Semrush Data'!$A$1:$A$20000,0),MATCH("Intent",'Semrush Data'!$A$1:$Z$1,0)),"")</f>
        <v>Informational Transactional</v>
      </c>
    </row>
    <row r="468" customFormat="false" ht="15" hidden="false" customHeight="true" outlineLevel="0" collapsed="false">
      <c r="A468" s="7" t="s">
        <v>1985</v>
      </c>
      <c r="B468" s="7" t="s">
        <v>38</v>
      </c>
      <c r="C468" s="7" t="n">
        <v>1</v>
      </c>
      <c r="D468" s="7" t="n">
        <v>5</v>
      </c>
      <c r="E468" s="7" t="n">
        <v>1</v>
      </c>
      <c r="F468" s="7" t="s">
        <v>939</v>
      </c>
      <c r="G468" s="12" t="n">
        <f aca="false">IFERROR(INDEX('Semrush Data'!$A$1:$Z$20000,MATCH(A468,'Semrush Data'!$A$1:$A$20000,0),MATCH("Volume",'Semrush Data'!$A$1:$Z$1,0)),"")</f>
        <v>0</v>
      </c>
      <c r="H468" s="7" t="n">
        <f aca="false">IFERROR(INDEX('Semrush Data'!$A$1:$Z$20000,MATCH(A468,'Semrush Data'!$A$1:$A$20000,0),MATCH("Keyword Difficulty*",'Semrush Data'!$A$1:$Z$1,0)),"")</f>
        <v>16</v>
      </c>
      <c r="I468" s="13" t="n">
        <f aca="false">IFERROR(INDEX('Semrush Data'!$A$1:$Z$20000,MATCH(A468,'Semrush Data'!$A$1:$A$20000,0),MATCH("CPC*",'Semrush Data'!$A$1:$Z$1,0)),"")</f>
        <v>0</v>
      </c>
      <c r="J468" s="7" t="str">
        <f aca="false">IFERROR(INDEX('Semrush Data'!$A$1:$Z$20000,MATCH(A468,'Semrush Data'!$A$1:$A$20000,0),MATCH("Intent",'Semrush Data'!$A$1:$Z$1,0)),"")</f>
        <v>Transactional Navigational</v>
      </c>
    </row>
    <row r="469" customFormat="false" ht="15" hidden="false" customHeight="true" outlineLevel="0" collapsed="false">
      <c r="A469" s="7" t="s">
        <v>3494</v>
      </c>
      <c r="B469" s="7" t="s">
        <v>38</v>
      </c>
      <c r="C469" s="7" t="n">
        <v>1</v>
      </c>
      <c r="D469" s="7" t="n">
        <v>5</v>
      </c>
      <c r="E469" s="7" t="n">
        <v>1</v>
      </c>
      <c r="F469" s="7" t="s">
        <v>3491</v>
      </c>
      <c r="G469" s="12" t="n">
        <f aca="false">IFERROR(INDEX('Semrush Data'!$A$1:$Z$20000,MATCH(A469,'Semrush Data'!$A$1:$A$20000,0),MATCH("Volume",'Semrush Data'!$A$1:$Z$1,0)),"")</f>
        <v>0</v>
      </c>
      <c r="H469" s="7" t="n">
        <f aca="false">IFERROR(INDEX('Semrush Data'!$A$1:$Z$20000,MATCH(A469,'Semrush Data'!$A$1:$A$20000,0),MATCH("Keyword Difficulty*",'Semrush Data'!$A$1:$Z$1,0)),"")</f>
        <v>24</v>
      </c>
      <c r="I469" s="13" t="n">
        <f aca="false">IFERROR(INDEX('Semrush Data'!$A$1:$Z$20000,MATCH(A469,'Semrush Data'!$A$1:$A$20000,0),MATCH("CPC*",'Semrush Data'!$A$1:$Z$1,0)),"")</f>
        <v>0</v>
      </c>
      <c r="J469" s="7" t="str">
        <f aca="false">IFERROR(INDEX('Semrush Data'!$A$1:$Z$20000,MATCH(A469,'Semrush Data'!$A$1:$A$20000,0),MATCH("Intent",'Semrush Data'!$A$1:$Z$1,0)),"")</f>
        <v>Transactional Navigational</v>
      </c>
    </row>
    <row r="470" customFormat="false" ht="15" hidden="false" customHeight="true" outlineLevel="0" collapsed="false">
      <c r="A470" s="7" t="s">
        <v>3481</v>
      </c>
      <c r="B470" s="7" t="s">
        <v>38</v>
      </c>
      <c r="C470" s="7" t="n">
        <v>1</v>
      </c>
      <c r="D470" s="7" t="n">
        <v>5</v>
      </c>
      <c r="E470" s="7" t="n">
        <v>1</v>
      </c>
      <c r="F470" s="7" t="s">
        <v>3478</v>
      </c>
      <c r="G470" s="12" t="n">
        <f aca="false">IFERROR(INDEX('Semrush Data'!$A$1:$Z$20000,MATCH(A470,'Semrush Data'!$A$1:$A$20000,0),MATCH("Volume",'Semrush Data'!$A$1:$Z$1,0)),"")</f>
        <v>20</v>
      </c>
      <c r="H470" s="7" t="n">
        <f aca="false">IFERROR(INDEX('Semrush Data'!$A$1:$Z$20000,MATCH(A470,'Semrush Data'!$A$1:$A$20000,0),MATCH("Keyword Difficulty*",'Semrush Data'!$A$1:$Z$1,0)),"")</f>
        <v>15</v>
      </c>
      <c r="I470" s="13" t="n">
        <f aca="false">IFERROR(INDEX('Semrush Data'!$A$1:$Z$20000,MATCH(A470,'Semrush Data'!$A$1:$A$20000,0),MATCH("CPC*",'Semrush Data'!$A$1:$Z$1,0)),"")</f>
        <v>0</v>
      </c>
      <c r="J470" s="7" t="str">
        <f aca="false">IFERROR(INDEX('Semrush Data'!$A$1:$Z$20000,MATCH(A470,'Semrush Data'!$A$1:$A$20000,0),MATCH("Intent",'Semrush Data'!$A$1:$Z$1,0)),"")</f>
        <v>Informational</v>
      </c>
    </row>
    <row r="471" customFormat="false" ht="15" hidden="false" customHeight="true" outlineLevel="0" collapsed="false">
      <c r="A471" s="7" t="s">
        <v>3502</v>
      </c>
      <c r="B471" s="7" t="s">
        <v>38</v>
      </c>
      <c r="C471" s="7" t="n">
        <v>1</v>
      </c>
      <c r="D471" s="7" t="n">
        <v>5</v>
      </c>
      <c r="E471" s="7" t="n">
        <v>1</v>
      </c>
      <c r="F471" s="7" t="s">
        <v>45</v>
      </c>
      <c r="G471" s="12" t="n">
        <f aca="false">IFERROR(INDEX('Semrush Data'!$A$1:$Z$20000,MATCH(A471,'Semrush Data'!$A$1:$A$20000,0),MATCH("Volume",'Semrush Data'!$A$1:$Z$1,0)),"")</f>
        <v>60500</v>
      </c>
      <c r="H471" s="7" t="n">
        <f aca="false">IFERROR(INDEX('Semrush Data'!$A$1:$Z$20000,MATCH(A471,'Semrush Data'!$A$1:$A$20000,0),MATCH("Keyword Difficulty*",'Semrush Data'!$A$1:$Z$1,0)),"")</f>
        <v>38</v>
      </c>
      <c r="I471" s="13" t="n">
        <f aca="false">IFERROR(INDEX('Semrush Data'!$A$1:$Z$20000,MATCH(A471,'Semrush Data'!$A$1:$A$20000,0),MATCH("CPC*",'Semrush Data'!$A$1:$Z$1,0)),"")</f>
        <v>0.57</v>
      </c>
      <c r="J471" s="7" t="str">
        <f aca="false">IFERROR(INDEX('Semrush Data'!$A$1:$Z$20000,MATCH(A471,'Semrush Data'!$A$1:$A$20000,0),MATCH("Intent",'Semrush Data'!$A$1:$Z$1,0)),"")</f>
        <v>Informational Transactional</v>
      </c>
    </row>
    <row r="472" customFormat="false" ht="15" hidden="false" customHeight="true" outlineLevel="0" collapsed="false">
      <c r="A472" s="7" t="s">
        <v>3538</v>
      </c>
      <c r="B472" s="7" t="s">
        <v>38</v>
      </c>
      <c r="C472" s="7" t="n">
        <v>1</v>
      </c>
      <c r="D472" s="7" t="n">
        <v>5</v>
      </c>
      <c r="E472" s="7" t="n">
        <v>1</v>
      </c>
      <c r="F472" s="7" t="s">
        <v>3534</v>
      </c>
      <c r="G472" s="12" t="n">
        <f aca="false">IFERROR(INDEX('Semrush Data'!$A$1:$Z$20000,MATCH(A472,'Semrush Data'!$A$1:$A$20000,0),MATCH("Volume",'Semrush Data'!$A$1:$Z$1,0)),"")</f>
        <v>0</v>
      </c>
      <c r="H472" s="7" t="n">
        <f aca="false">IFERROR(INDEX('Semrush Data'!$A$1:$Z$20000,MATCH(A472,'Semrush Data'!$A$1:$A$20000,0),MATCH("Keyword Difficulty*",'Semrush Data'!$A$1:$Z$1,0)),"")</f>
        <v>14</v>
      </c>
      <c r="I472" s="13" t="n">
        <f aca="false">IFERROR(INDEX('Semrush Data'!$A$1:$Z$20000,MATCH(A472,'Semrush Data'!$A$1:$A$20000,0),MATCH("CPC*",'Semrush Data'!$A$1:$Z$1,0)),"")</f>
        <v>0</v>
      </c>
      <c r="J472" s="7" t="str">
        <f aca="false">IFERROR(INDEX('Semrush Data'!$A$1:$Z$20000,MATCH(A472,'Semrush Data'!$A$1:$A$20000,0),MATCH("Intent",'Semrush Data'!$A$1:$Z$1,0)),"")</f>
        <v>Informational Transactional</v>
      </c>
    </row>
    <row r="473" customFormat="false" ht="15" hidden="false" customHeight="true" outlineLevel="0" collapsed="false">
      <c r="A473" s="7" t="s">
        <v>3515</v>
      </c>
      <c r="B473" s="7" t="s">
        <v>38</v>
      </c>
      <c r="C473" s="7" t="n">
        <v>1</v>
      </c>
      <c r="D473" s="7" t="n">
        <v>5</v>
      </c>
      <c r="E473" s="7" t="n">
        <v>1</v>
      </c>
      <c r="F473" s="7" t="s">
        <v>3512</v>
      </c>
      <c r="G473" s="12" t="n">
        <f aca="false">IFERROR(INDEX('Semrush Data'!$A$1:$Z$20000,MATCH(A473,'Semrush Data'!$A$1:$A$20000,0),MATCH("Volume",'Semrush Data'!$A$1:$Z$1,0)),"")</f>
        <v>50</v>
      </c>
      <c r="H473" s="7" t="n">
        <f aca="false">IFERROR(INDEX('Semrush Data'!$A$1:$Z$20000,MATCH(A473,'Semrush Data'!$A$1:$A$20000,0),MATCH("Keyword Difficulty*",'Semrush Data'!$A$1:$Z$1,0)),"")</f>
        <v>15</v>
      </c>
      <c r="I473" s="13" t="n">
        <f aca="false">IFERROR(INDEX('Semrush Data'!$A$1:$Z$20000,MATCH(A473,'Semrush Data'!$A$1:$A$20000,0),MATCH("CPC*",'Semrush Data'!$A$1:$Z$1,0)),"")</f>
        <v>0.33</v>
      </c>
      <c r="J473" s="7" t="str">
        <f aca="false">IFERROR(INDEX('Semrush Data'!$A$1:$Z$20000,MATCH(A473,'Semrush Data'!$A$1:$A$20000,0),MATCH("Intent",'Semrush Data'!$A$1:$Z$1,0)),"")</f>
        <v>Commercial</v>
      </c>
    </row>
    <row r="474" customFormat="false" ht="15" hidden="false" customHeight="true" outlineLevel="0" collapsed="false">
      <c r="A474" s="7" t="s">
        <v>3525</v>
      </c>
      <c r="B474" s="7" t="s">
        <v>38</v>
      </c>
      <c r="C474" s="7" t="n">
        <v>1</v>
      </c>
      <c r="D474" s="7" t="n">
        <v>5</v>
      </c>
      <c r="E474" s="7" t="n">
        <v>1</v>
      </c>
      <c r="F474" s="7" t="s">
        <v>130</v>
      </c>
      <c r="G474" s="12" t="n">
        <f aca="false">IFERROR(INDEX('Semrush Data'!$A$1:$Z$20000,MATCH(A474,'Semrush Data'!$A$1:$A$20000,0),MATCH("Volume",'Semrush Data'!$A$1:$Z$1,0)),"")</f>
        <v>390</v>
      </c>
      <c r="H474" s="7" t="n">
        <f aca="false">IFERROR(INDEX('Semrush Data'!$A$1:$Z$20000,MATCH(A474,'Semrush Data'!$A$1:$A$20000,0),MATCH("Keyword Difficulty*",'Semrush Data'!$A$1:$Z$1,0)),"")</f>
        <v>16</v>
      </c>
      <c r="I474" s="13" t="n">
        <f aca="false">IFERROR(INDEX('Semrush Data'!$A$1:$Z$20000,MATCH(A474,'Semrush Data'!$A$1:$A$20000,0),MATCH("CPC*",'Semrush Data'!$A$1:$Z$1,0)),"")</f>
        <v>0.47</v>
      </c>
      <c r="J474" s="7" t="str">
        <f aca="false">IFERROR(INDEX('Semrush Data'!$A$1:$Z$20000,MATCH(A474,'Semrush Data'!$A$1:$A$20000,0),MATCH("Intent",'Semrush Data'!$A$1:$Z$1,0)),"")</f>
        <v>Informational</v>
      </c>
    </row>
    <row r="475" customFormat="false" ht="15" hidden="false" customHeight="true" outlineLevel="0" collapsed="false">
      <c r="A475" s="7" t="s">
        <v>3550</v>
      </c>
      <c r="B475" s="7" t="s">
        <v>38</v>
      </c>
      <c r="C475" s="7" t="n">
        <v>1</v>
      </c>
      <c r="D475" s="7" t="n">
        <v>5</v>
      </c>
      <c r="E475" s="7" t="n">
        <v>1</v>
      </c>
      <c r="F475" s="7" t="s">
        <v>3547</v>
      </c>
      <c r="G475" s="12" t="n">
        <f aca="false">IFERROR(INDEX('Semrush Data'!$A$1:$Z$20000,MATCH(A475,'Semrush Data'!$A$1:$A$20000,0),MATCH("Volume",'Semrush Data'!$A$1:$Z$1,0)),"")</f>
        <v>30</v>
      </c>
      <c r="H475" s="7" t="n">
        <f aca="false">IFERROR(INDEX('Semrush Data'!$A$1:$Z$20000,MATCH(A475,'Semrush Data'!$A$1:$A$20000,0),MATCH("Keyword Difficulty*",'Semrush Data'!$A$1:$Z$1,0)),"")</f>
        <v>10</v>
      </c>
      <c r="I475" s="13" t="n">
        <f aca="false">IFERROR(INDEX('Semrush Data'!$A$1:$Z$20000,MATCH(A475,'Semrush Data'!$A$1:$A$20000,0),MATCH("CPC*",'Semrush Data'!$A$1:$Z$1,0)),"")</f>
        <v>0</v>
      </c>
      <c r="J475" s="7" t="str">
        <f aca="false">IFERROR(INDEX('Semrush Data'!$A$1:$Z$20000,MATCH(A475,'Semrush Data'!$A$1:$A$20000,0),MATCH("Intent",'Semrush Data'!$A$1:$Z$1,0)),"")</f>
        <v>Transactional</v>
      </c>
    </row>
    <row r="476" customFormat="false" ht="15" hidden="false" customHeight="true" outlineLevel="0" collapsed="false">
      <c r="A476" s="7" t="s">
        <v>3563</v>
      </c>
      <c r="B476" s="7" t="s">
        <v>38</v>
      </c>
      <c r="C476" s="7" t="n">
        <v>1</v>
      </c>
      <c r="D476" s="7" t="n">
        <v>5</v>
      </c>
      <c r="E476" s="7" t="n">
        <v>1</v>
      </c>
      <c r="F476" s="7" t="s">
        <v>3559</v>
      </c>
      <c r="G476" s="12" t="n">
        <f aca="false">IFERROR(INDEX('Semrush Data'!$A$1:$Z$20000,MATCH(A476,'Semrush Data'!$A$1:$A$20000,0),MATCH("Volume",'Semrush Data'!$A$1:$Z$1,0)),"")</f>
        <v>260</v>
      </c>
      <c r="H476" s="7" t="n">
        <f aca="false">IFERROR(INDEX('Semrush Data'!$A$1:$Z$20000,MATCH(A476,'Semrush Data'!$A$1:$A$20000,0),MATCH("Keyword Difficulty*",'Semrush Data'!$A$1:$Z$1,0)),"")</f>
        <v>17</v>
      </c>
      <c r="I476" s="13" t="n">
        <f aca="false">IFERROR(INDEX('Semrush Data'!$A$1:$Z$20000,MATCH(A476,'Semrush Data'!$A$1:$A$20000,0),MATCH("CPC*",'Semrush Data'!$A$1:$Z$1,0)),"")</f>
        <v>0.39</v>
      </c>
      <c r="J476" s="7" t="str">
        <f aca="false">IFERROR(INDEX('Semrush Data'!$A$1:$Z$20000,MATCH(A476,'Semrush Data'!$A$1:$A$20000,0),MATCH("Intent",'Semrush Data'!$A$1:$Z$1,0)),"")</f>
        <v>Informational</v>
      </c>
    </row>
    <row r="477" customFormat="false" ht="15" hidden="false" customHeight="true" outlineLevel="0" collapsed="false">
      <c r="A477" s="7" t="s">
        <v>3633</v>
      </c>
      <c r="B477" s="7" t="s">
        <v>38</v>
      </c>
      <c r="C477" s="7" t="n">
        <v>1</v>
      </c>
      <c r="D477" s="7" t="n">
        <v>5</v>
      </c>
      <c r="E477" s="7" t="n">
        <v>1</v>
      </c>
      <c r="F477" s="7" t="s">
        <v>3631</v>
      </c>
      <c r="G477" s="12" t="n">
        <f aca="false">IFERROR(INDEX('Semrush Data'!$A$1:$Z$20000,MATCH(A477,'Semrush Data'!$A$1:$A$20000,0),MATCH("Volume",'Semrush Data'!$A$1:$Z$1,0)),"")</f>
        <v>10</v>
      </c>
      <c r="H477" s="7" t="n">
        <f aca="false">IFERROR(INDEX('Semrush Data'!$A$1:$Z$20000,MATCH(A477,'Semrush Data'!$A$1:$A$20000,0),MATCH("Keyword Difficulty*",'Semrush Data'!$A$1:$Z$1,0)),"")</f>
        <v>11</v>
      </c>
      <c r="I477" s="13" t="n">
        <f aca="false">IFERROR(INDEX('Semrush Data'!$A$1:$Z$20000,MATCH(A477,'Semrush Data'!$A$1:$A$20000,0),MATCH("CPC*",'Semrush Data'!$A$1:$Z$1,0)),"")</f>
        <v>0</v>
      </c>
      <c r="J477" s="7" t="str">
        <f aca="false">IFERROR(INDEX('Semrush Data'!$A$1:$Z$20000,MATCH(A477,'Semrush Data'!$A$1:$A$20000,0),MATCH("Intent",'Semrush Data'!$A$1:$Z$1,0)),"")</f>
        <v>Informational Transactional</v>
      </c>
    </row>
    <row r="478" customFormat="false" ht="15" hidden="false" customHeight="true" outlineLevel="0" collapsed="false">
      <c r="A478" s="7" t="s">
        <v>3644</v>
      </c>
      <c r="B478" s="7" t="s">
        <v>38</v>
      </c>
      <c r="C478" s="7" t="n">
        <v>1</v>
      </c>
      <c r="D478" s="7" t="n">
        <v>5</v>
      </c>
      <c r="E478" s="7" t="n">
        <v>1</v>
      </c>
      <c r="F478" s="7" t="s">
        <v>3642</v>
      </c>
      <c r="G478" s="12" t="n">
        <f aca="false">IFERROR(INDEX('Semrush Data'!$A$1:$Z$20000,MATCH(A478,'Semrush Data'!$A$1:$A$20000,0),MATCH("Volume",'Semrush Data'!$A$1:$Z$1,0)),"")</f>
        <v>30</v>
      </c>
      <c r="H478" s="7" t="n">
        <f aca="false">IFERROR(INDEX('Semrush Data'!$A$1:$Z$20000,MATCH(A478,'Semrush Data'!$A$1:$A$20000,0),MATCH("Keyword Difficulty*",'Semrush Data'!$A$1:$Z$1,0)),"")</f>
        <v>12</v>
      </c>
      <c r="I478" s="13" t="n">
        <f aca="false">IFERROR(INDEX('Semrush Data'!$A$1:$Z$20000,MATCH(A478,'Semrush Data'!$A$1:$A$20000,0),MATCH("CPC*",'Semrush Data'!$A$1:$Z$1,0)),"")</f>
        <v>0</v>
      </c>
      <c r="J478" s="7" t="str">
        <f aca="false">IFERROR(INDEX('Semrush Data'!$A$1:$Z$20000,MATCH(A478,'Semrush Data'!$A$1:$A$20000,0),MATCH("Intent",'Semrush Data'!$A$1:$Z$1,0)),"")</f>
        <v>Informational Transactional</v>
      </c>
    </row>
    <row r="479" customFormat="false" ht="15" hidden="false" customHeight="true" outlineLevel="0" collapsed="false">
      <c r="A479" s="7" t="s">
        <v>3622</v>
      </c>
      <c r="B479" s="7" t="s">
        <v>38</v>
      </c>
      <c r="C479" s="7" t="n">
        <v>1</v>
      </c>
      <c r="D479" s="7" t="n">
        <v>5</v>
      </c>
      <c r="E479" s="7" t="n">
        <v>1</v>
      </c>
      <c r="F479" s="7" t="s">
        <v>3620</v>
      </c>
      <c r="G479" s="12" t="n">
        <f aca="false">IFERROR(INDEX('Semrush Data'!$A$1:$Z$20000,MATCH(A479,'Semrush Data'!$A$1:$A$20000,0),MATCH("Volume",'Semrush Data'!$A$1:$Z$1,0)),"")</f>
        <v>170</v>
      </c>
      <c r="H479" s="7" t="n">
        <f aca="false">IFERROR(INDEX('Semrush Data'!$A$1:$Z$20000,MATCH(A479,'Semrush Data'!$A$1:$A$20000,0),MATCH("Keyword Difficulty*",'Semrush Data'!$A$1:$Z$1,0)),"")</f>
        <v>22</v>
      </c>
      <c r="I479" s="13" t="n">
        <f aca="false">IFERROR(INDEX('Semrush Data'!$A$1:$Z$20000,MATCH(A479,'Semrush Data'!$A$1:$A$20000,0),MATCH("CPC*",'Semrush Data'!$A$1:$Z$1,0)),"")</f>
        <v>0.5</v>
      </c>
      <c r="J479" s="7" t="str">
        <f aca="false">IFERROR(INDEX('Semrush Data'!$A$1:$Z$20000,MATCH(A479,'Semrush Data'!$A$1:$A$20000,0),MATCH("Intent",'Semrush Data'!$A$1:$Z$1,0)),"")</f>
        <v>Informational</v>
      </c>
    </row>
    <row r="480" customFormat="false" ht="15" hidden="false" customHeight="true" outlineLevel="0" collapsed="false">
      <c r="A480" s="7" t="s">
        <v>3654</v>
      </c>
      <c r="B480" s="7" t="s">
        <v>38</v>
      </c>
      <c r="C480" s="7" t="n">
        <v>1</v>
      </c>
      <c r="D480" s="7" t="n">
        <v>5</v>
      </c>
      <c r="E480" s="7" t="n">
        <v>2</v>
      </c>
      <c r="F480" s="7" t="s">
        <v>6798</v>
      </c>
      <c r="G480" s="12" t="n">
        <f aca="false">IFERROR(INDEX('Semrush Data'!$A$1:$Z$20000,MATCH(A480,'Semrush Data'!$A$1:$A$20000,0),MATCH("Volume",'Semrush Data'!$A$1:$Z$1,0)),"")</f>
        <v>20</v>
      </c>
      <c r="H480" s="7" t="n">
        <f aca="false">IFERROR(INDEX('Semrush Data'!$A$1:$Z$20000,MATCH(A480,'Semrush Data'!$A$1:$A$20000,0),MATCH("Keyword Difficulty*",'Semrush Data'!$A$1:$Z$1,0)),"")</f>
        <v>13</v>
      </c>
      <c r="I480" s="13" t="n">
        <f aca="false">IFERROR(INDEX('Semrush Data'!$A$1:$Z$20000,MATCH(A480,'Semrush Data'!$A$1:$A$20000,0),MATCH("CPC*",'Semrush Data'!$A$1:$Z$1,0)),"")</f>
        <v>0</v>
      </c>
      <c r="J480" s="7" t="str">
        <f aca="false">IFERROR(INDEX('Semrush Data'!$A$1:$Z$20000,MATCH(A480,'Semrush Data'!$A$1:$A$20000,0),MATCH("Intent",'Semrush Data'!$A$1:$Z$1,0)),"")</f>
        <v>Informational</v>
      </c>
    </row>
    <row r="481" customFormat="false" ht="15" hidden="false" customHeight="true" outlineLevel="0" collapsed="false">
      <c r="A481" s="7" t="s">
        <v>3575</v>
      </c>
      <c r="B481" s="7" t="s">
        <v>38</v>
      </c>
      <c r="C481" s="7" t="n">
        <v>1</v>
      </c>
      <c r="D481" s="7" t="n">
        <v>5</v>
      </c>
      <c r="E481" s="7" t="n">
        <v>1</v>
      </c>
      <c r="F481" s="7" t="s">
        <v>3573</v>
      </c>
      <c r="G481" s="12" t="n">
        <f aca="false">IFERROR(INDEX('Semrush Data'!$A$1:$Z$20000,MATCH(A481,'Semrush Data'!$A$1:$A$20000,0),MATCH("Volume",'Semrush Data'!$A$1:$Z$1,0)),"")</f>
        <v>20</v>
      </c>
      <c r="H481" s="7" t="n">
        <f aca="false">IFERROR(INDEX('Semrush Data'!$A$1:$Z$20000,MATCH(A481,'Semrush Data'!$A$1:$A$20000,0),MATCH("Keyword Difficulty*",'Semrush Data'!$A$1:$Z$1,0)),"")</f>
        <v>19</v>
      </c>
      <c r="I481" s="13" t="n">
        <f aca="false">IFERROR(INDEX('Semrush Data'!$A$1:$Z$20000,MATCH(A481,'Semrush Data'!$A$1:$A$20000,0),MATCH("CPC*",'Semrush Data'!$A$1:$Z$1,0)),"")</f>
        <v>0.45</v>
      </c>
      <c r="J481" s="7" t="str">
        <f aca="false">IFERROR(INDEX('Semrush Data'!$A$1:$Z$20000,MATCH(A481,'Semrush Data'!$A$1:$A$20000,0),MATCH("Intent",'Semrush Data'!$A$1:$Z$1,0)),"")</f>
        <v>Informational Transactional</v>
      </c>
    </row>
    <row r="482" customFormat="false" ht="15" hidden="false" customHeight="true" outlineLevel="0" collapsed="false">
      <c r="A482" s="7" t="s">
        <v>3585</v>
      </c>
      <c r="B482" s="7" t="s">
        <v>38</v>
      </c>
      <c r="C482" s="7" t="n">
        <v>1</v>
      </c>
      <c r="D482" s="7" t="n">
        <v>5</v>
      </c>
      <c r="E482" s="7" t="n">
        <v>2</v>
      </c>
      <c r="F482" s="7" t="s">
        <v>6799</v>
      </c>
      <c r="G482" s="12" t="n">
        <f aca="false">IFERROR(INDEX('Semrush Data'!$A$1:$Z$20000,MATCH(A482,'Semrush Data'!$A$1:$A$20000,0),MATCH("Volume",'Semrush Data'!$A$1:$Z$1,0)),"")</f>
        <v>720</v>
      </c>
      <c r="H482" s="7" t="n">
        <f aca="false">IFERROR(INDEX('Semrush Data'!$A$1:$Z$20000,MATCH(A482,'Semrush Data'!$A$1:$A$20000,0),MATCH("Keyword Difficulty*",'Semrush Data'!$A$1:$Z$1,0)),"")</f>
        <v>17</v>
      </c>
      <c r="I482" s="13" t="n">
        <f aca="false">IFERROR(INDEX('Semrush Data'!$A$1:$Z$20000,MATCH(A482,'Semrush Data'!$A$1:$A$20000,0),MATCH("CPC*",'Semrush Data'!$A$1:$Z$1,0)),"")</f>
        <v>0.39</v>
      </c>
      <c r="J482" s="7" t="str">
        <f aca="false">IFERROR(INDEX('Semrush Data'!$A$1:$Z$20000,MATCH(A482,'Semrush Data'!$A$1:$A$20000,0),MATCH("Intent",'Semrush Data'!$A$1:$Z$1,0)),"")</f>
        <v>Informational Transactional</v>
      </c>
    </row>
    <row r="483" customFormat="false" ht="15" hidden="false" customHeight="true" outlineLevel="0" collapsed="false">
      <c r="A483" s="7" t="s">
        <v>3665</v>
      </c>
      <c r="B483" s="7" t="s">
        <v>38</v>
      </c>
      <c r="C483" s="7" t="n">
        <v>1</v>
      </c>
      <c r="D483" s="7" t="n">
        <v>5</v>
      </c>
      <c r="E483" s="7" t="n">
        <v>1</v>
      </c>
      <c r="F483" s="7" t="s">
        <v>3663</v>
      </c>
      <c r="G483" s="12" t="n">
        <f aca="false">IFERROR(INDEX('Semrush Data'!$A$1:$Z$20000,MATCH(A483,'Semrush Data'!$A$1:$A$20000,0),MATCH("Volume",'Semrush Data'!$A$1:$Z$1,0)),"")</f>
        <v>50</v>
      </c>
      <c r="H483" s="7" t="n">
        <f aca="false">IFERROR(INDEX('Semrush Data'!$A$1:$Z$20000,MATCH(A483,'Semrush Data'!$A$1:$A$20000,0),MATCH("Keyword Difficulty*",'Semrush Data'!$A$1:$Z$1,0)),"")</f>
        <v>14</v>
      </c>
      <c r="I483" s="13" t="n">
        <f aca="false">IFERROR(INDEX('Semrush Data'!$A$1:$Z$20000,MATCH(A483,'Semrush Data'!$A$1:$A$20000,0),MATCH("CPC*",'Semrush Data'!$A$1:$Z$1,0)),"")</f>
        <v>0.44</v>
      </c>
      <c r="J483" s="7" t="str">
        <f aca="false">IFERROR(INDEX('Semrush Data'!$A$1:$Z$20000,MATCH(A483,'Semrush Data'!$A$1:$A$20000,0),MATCH("Intent",'Semrush Data'!$A$1:$Z$1,0)),"")</f>
        <v>Informational</v>
      </c>
    </row>
    <row r="484" customFormat="false" ht="15" hidden="false" customHeight="true" outlineLevel="0" collapsed="false">
      <c r="A484" s="7" t="s">
        <v>3611</v>
      </c>
      <c r="B484" s="7" t="s">
        <v>38</v>
      </c>
      <c r="C484" s="7" t="n">
        <v>1</v>
      </c>
      <c r="D484" s="7" t="n">
        <v>5</v>
      </c>
      <c r="E484" s="7" t="n">
        <v>1</v>
      </c>
      <c r="F484" s="7" t="s">
        <v>3609</v>
      </c>
      <c r="G484" s="12" t="n">
        <f aca="false">IFERROR(INDEX('Semrush Data'!$A$1:$Z$20000,MATCH(A484,'Semrush Data'!$A$1:$A$20000,0),MATCH("Volume",'Semrush Data'!$A$1:$Z$1,0)),"")</f>
        <v>0</v>
      </c>
      <c r="H484" s="7" t="n">
        <f aca="false">IFERROR(INDEX('Semrush Data'!$A$1:$Z$20000,MATCH(A484,'Semrush Data'!$A$1:$A$20000,0),MATCH("Keyword Difficulty*",'Semrush Data'!$A$1:$Z$1,0)),"")</f>
        <v>11</v>
      </c>
      <c r="I484" s="13" t="n">
        <f aca="false">IFERROR(INDEX('Semrush Data'!$A$1:$Z$20000,MATCH(A484,'Semrush Data'!$A$1:$A$20000,0),MATCH("CPC*",'Semrush Data'!$A$1:$Z$1,0)),"")</f>
        <v>0</v>
      </c>
      <c r="J484" s="7" t="str">
        <f aca="false">IFERROR(INDEX('Semrush Data'!$A$1:$Z$20000,MATCH(A484,'Semrush Data'!$A$1:$A$20000,0),MATCH("Intent",'Semrush Data'!$A$1:$Z$1,0)),"")</f>
        <v>Informational</v>
      </c>
    </row>
    <row r="485" customFormat="false" ht="15" hidden="false" customHeight="true" outlineLevel="0" collapsed="false">
      <c r="A485" s="7" t="s">
        <v>3600</v>
      </c>
      <c r="B485" s="7" t="s">
        <v>38</v>
      </c>
      <c r="C485" s="7" t="n">
        <v>1</v>
      </c>
      <c r="D485" s="7" t="n">
        <v>5</v>
      </c>
      <c r="E485" s="7" t="n">
        <v>1</v>
      </c>
      <c r="F485" s="7" t="s">
        <v>3598</v>
      </c>
      <c r="G485" s="12" t="n">
        <f aca="false">IFERROR(INDEX('Semrush Data'!$A$1:$Z$20000,MATCH(A485,'Semrush Data'!$A$1:$A$20000,0),MATCH("Volume",'Semrush Data'!$A$1:$Z$1,0)),"")</f>
        <v>70</v>
      </c>
      <c r="H485" s="7" t="n">
        <f aca="false">IFERROR(INDEX('Semrush Data'!$A$1:$Z$20000,MATCH(A485,'Semrush Data'!$A$1:$A$20000,0),MATCH("Keyword Difficulty*",'Semrush Data'!$A$1:$Z$1,0)),"")</f>
        <v>21</v>
      </c>
      <c r="I485" s="13" t="n">
        <f aca="false">IFERROR(INDEX('Semrush Data'!$A$1:$Z$20000,MATCH(A485,'Semrush Data'!$A$1:$A$20000,0),MATCH("CPC*",'Semrush Data'!$A$1:$Z$1,0)),"")</f>
        <v>0</v>
      </c>
      <c r="J485" s="7" t="str">
        <f aca="false">IFERROR(INDEX('Semrush Data'!$A$1:$Z$20000,MATCH(A485,'Semrush Data'!$A$1:$A$20000,0),MATCH("Intent",'Semrush Data'!$A$1:$Z$1,0)),"")</f>
        <v>Informational</v>
      </c>
    </row>
    <row r="486" customFormat="false" ht="15" hidden="false" customHeight="true" outlineLevel="0" collapsed="false">
      <c r="A486" s="7" t="s">
        <v>3796</v>
      </c>
      <c r="B486" s="7" t="s">
        <v>38</v>
      </c>
      <c r="C486" s="7" t="n">
        <v>1</v>
      </c>
      <c r="D486" s="7" t="n">
        <v>5</v>
      </c>
      <c r="E486" s="7" t="n">
        <v>1</v>
      </c>
      <c r="F486" s="7" t="s">
        <v>3794</v>
      </c>
      <c r="G486" s="12" t="n">
        <f aca="false">IFERROR(INDEX('Semrush Data'!$A$1:$Z$20000,MATCH(A486,'Semrush Data'!$A$1:$A$20000,0),MATCH("Volume",'Semrush Data'!$A$1:$Z$1,0)),"")</f>
        <v>40</v>
      </c>
      <c r="H486" s="7" t="n">
        <f aca="false">IFERROR(INDEX('Semrush Data'!$A$1:$Z$20000,MATCH(A486,'Semrush Data'!$A$1:$A$20000,0),MATCH("Keyword Difficulty*",'Semrush Data'!$A$1:$Z$1,0)),"")</f>
        <v>9</v>
      </c>
      <c r="I486" s="13" t="n">
        <f aca="false">IFERROR(INDEX('Semrush Data'!$A$1:$Z$20000,MATCH(A486,'Semrush Data'!$A$1:$A$20000,0),MATCH("CPC*",'Semrush Data'!$A$1:$Z$1,0)),"")</f>
        <v>0</v>
      </c>
      <c r="J486" s="7" t="str">
        <f aca="false">IFERROR(INDEX('Semrush Data'!$A$1:$Z$20000,MATCH(A486,'Semrush Data'!$A$1:$A$20000,0),MATCH("Intent",'Semrush Data'!$A$1:$Z$1,0)),"")</f>
        <v>Informational Transactional</v>
      </c>
    </row>
    <row r="487" customFormat="false" ht="15" hidden="false" customHeight="true" outlineLevel="0" collapsed="false">
      <c r="A487" s="7" t="s">
        <v>3807</v>
      </c>
      <c r="B487" s="7" t="s">
        <v>38</v>
      </c>
      <c r="C487" s="7" t="n">
        <v>1</v>
      </c>
      <c r="D487" s="7" t="n">
        <v>5</v>
      </c>
      <c r="E487" s="7" t="n">
        <v>1</v>
      </c>
      <c r="F487" s="7" t="s">
        <v>3805</v>
      </c>
      <c r="G487" s="12" t="n">
        <f aca="false">IFERROR(INDEX('Semrush Data'!$A$1:$Z$20000,MATCH(A487,'Semrush Data'!$A$1:$A$20000,0),MATCH("Volume",'Semrush Data'!$A$1:$Z$1,0)),"")</f>
        <v>140</v>
      </c>
      <c r="H487" s="7" t="n">
        <f aca="false">IFERROR(INDEX('Semrush Data'!$A$1:$Z$20000,MATCH(A487,'Semrush Data'!$A$1:$A$20000,0),MATCH("Keyword Difficulty*",'Semrush Data'!$A$1:$Z$1,0)),"")</f>
        <v>19</v>
      </c>
      <c r="I487" s="13" t="n">
        <f aca="false">IFERROR(INDEX('Semrush Data'!$A$1:$Z$20000,MATCH(A487,'Semrush Data'!$A$1:$A$20000,0),MATCH("CPC*",'Semrush Data'!$A$1:$Z$1,0)),"")</f>
        <v>0.34</v>
      </c>
      <c r="J487" s="7" t="str">
        <f aca="false">IFERROR(INDEX('Semrush Data'!$A$1:$Z$20000,MATCH(A487,'Semrush Data'!$A$1:$A$20000,0),MATCH("Intent",'Semrush Data'!$A$1:$Z$1,0)),"")</f>
        <v>Informational</v>
      </c>
    </row>
    <row r="488" customFormat="false" ht="15" hidden="false" customHeight="true" outlineLevel="0" collapsed="false">
      <c r="A488" s="7" t="s">
        <v>3819</v>
      </c>
      <c r="B488" s="7" t="s">
        <v>38</v>
      </c>
      <c r="C488" s="7" t="n">
        <v>1</v>
      </c>
      <c r="D488" s="7" t="n">
        <v>5</v>
      </c>
      <c r="E488" s="7" t="n">
        <v>1</v>
      </c>
      <c r="F488" s="7" t="s">
        <v>3817</v>
      </c>
      <c r="G488" s="12" t="n">
        <f aca="false">IFERROR(INDEX('Semrush Data'!$A$1:$Z$20000,MATCH(A488,'Semrush Data'!$A$1:$A$20000,0),MATCH("Volume",'Semrush Data'!$A$1:$Z$1,0)),"")</f>
        <v>20</v>
      </c>
      <c r="H488" s="7" t="n">
        <f aca="false">IFERROR(INDEX('Semrush Data'!$A$1:$Z$20000,MATCH(A488,'Semrush Data'!$A$1:$A$20000,0),MATCH("Keyword Difficulty*",'Semrush Data'!$A$1:$Z$1,0)),"")</f>
        <v>17</v>
      </c>
      <c r="I488" s="13" t="n">
        <f aca="false">IFERROR(INDEX('Semrush Data'!$A$1:$Z$20000,MATCH(A488,'Semrush Data'!$A$1:$A$20000,0),MATCH("CPC*",'Semrush Data'!$A$1:$Z$1,0)),"")</f>
        <v>0</v>
      </c>
      <c r="J488" s="7" t="str">
        <f aca="false">IFERROR(INDEX('Semrush Data'!$A$1:$Z$20000,MATCH(A488,'Semrush Data'!$A$1:$A$20000,0),MATCH("Intent",'Semrush Data'!$A$1:$Z$1,0)),"")</f>
        <v>Navigational</v>
      </c>
    </row>
    <row r="489" customFormat="false" ht="15" hidden="false" customHeight="true" outlineLevel="0" collapsed="false">
      <c r="A489" s="7" t="s">
        <v>3830</v>
      </c>
      <c r="B489" s="7" t="s">
        <v>38</v>
      </c>
      <c r="C489" s="7" t="n">
        <v>1</v>
      </c>
      <c r="D489" s="7" t="n">
        <v>5</v>
      </c>
      <c r="E489" s="7" t="n">
        <v>1</v>
      </c>
      <c r="F489" s="7" t="s">
        <v>3828</v>
      </c>
      <c r="G489" s="12" t="n">
        <f aca="false">IFERROR(INDEX('Semrush Data'!$A$1:$Z$20000,MATCH(A489,'Semrush Data'!$A$1:$A$20000,0),MATCH("Volume",'Semrush Data'!$A$1:$Z$1,0)),"")</f>
        <v>20</v>
      </c>
      <c r="H489" s="7" t="n">
        <f aca="false">IFERROR(INDEX('Semrush Data'!$A$1:$Z$20000,MATCH(A489,'Semrush Data'!$A$1:$A$20000,0),MATCH("Keyword Difficulty*",'Semrush Data'!$A$1:$Z$1,0)),"")</f>
        <v>17</v>
      </c>
      <c r="I489" s="13" t="n">
        <f aca="false">IFERROR(INDEX('Semrush Data'!$A$1:$Z$20000,MATCH(A489,'Semrush Data'!$A$1:$A$20000,0),MATCH("CPC*",'Semrush Data'!$A$1:$Z$1,0)),"")</f>
        <v>0</v>
      </c>
      <c r="J489" s="7" t="str">
        <f aca="false">IFERROR(INDEX('Semrush Data'!$A$1:$Z$20000,MATCH(A489,'Semrush Data'!$A$1:$A$20000,0),MATCH("Intent",'Semrush Data'!$A$1:$Z$1,0)),"")</f>
        <v>Informational</v>
      </c>
    </row>
    <row r="490" customFormat="false" ht="15" hidden="false" customHeight="true" outlineLevel="0" collapsed="false">
      <c r="A490" s="7" t="s">
        <v>3681</v>
      </c>
      <c r="B490" s="7" t="s">
        <v>38</v>
      </c>
      <c r="C490" s="7" t="n">
        <v>1</v>
      </c>
      <c r="D490" s="7" t="n">
        <v>5</v>
      </c>
      <c r="E490" s="7" t="n">
        <v>1</v>
      </c>
      <c r="F490" s="7" t="s">
        <v>3678</v>
      </c>
      <c r="G490" s="12" t="n">
        <f aca="false">IFERROR(INDEX('Semrush Data'!$A$1:$Z$20000,MATCH(A490,'Semrush Data'!$A$1:$A$20000,0),MATCH("Volume",'Semrush Data'!$A$1:$Z$1,0)),"")</f>
        <v>20</v>
      </c>
      <c r="H490" s="7" t="n">
        <f aca="false">IFERROR(INDEX('Semrush Data'!$A$1:$Z$20000,MATCH(A490,'Semrush Data'!$A$1:$A$20000,0),MATCH("Keyword Difficulty*",'Semrush Data'!$A$1:$Z$1,0)),"")</f>
        <v>16</v>
      </c>
      <c r="I490" s="13" t="n">
        <f aca="false">IFERROR(INDEX('Semrush Data'!$A$1:$Z$20000,MATCH(A490,'Semrush Data'!$A$1:$A$20000,0),MATCH("CPC*",'Semrush Data'!$A$1:$Z$1,0)),"")</f>
        <v>0</v>
      </c>
      <c r="J490" s="7" t="str">
        <f aca="false">IFERROR(INDEX('Semrush Data'!$A$1:$Z$20000,MATCH(A490,'Semrush Data'!$A$1:$A$20000,0),MATCH("Intent",'Semrush Data'!$A$1:$Z$1,0)),"")</f>
        <v>Informational</v>
      </c>
    </row>
    <row r="491" customFormat="false" ht="15" hidden="false" customHeight="true" outlineLevel="0" collapsed="false">
      <c r="A491" s="7" t="s">
        <v>3694</v>
      </c>
      <c r="B491" s="7" t="s">
        <v>38</v>
      </c>
      <c r="C491" s="7" t="n">
        <v>1</v>
      </c>
      <c r="D491" s="7" t="n">
        <v>5</v>
      </c>
      <c r="E491" s="7" t="n">
        <v>1</v>
      </c>
      <c r="F491" s="7" t="s">
        <v>3691</v>
      </c>
      <c r="G491" s="12" t="n">
        <f aca="false">IFERROR(INDEX('Semrush Data'!$A$1:$Z$20000,MATCH(A491,'Semrush Data'!$A$1:$A$20000,0),MATCH("Volume",'Semrush Data'!$A$1:$Z$1,0)),"")</f>
        <v>20</v>
      </c>
      <c r="H491" s="7" t="n">
        <f aca="false">IFERROR(INDEX('Semrush Data'!$A$1:$Z$20000,MATCH(A491,'Semrush Data'!$A$1:$A$20000,0),MATCH("Keyword Difficulty*",'Semrush Data'!$A$1:$Z$1,0)),"")</f>
        <v>22</v>
      </c>
      <c r="I491" s="13" t="n">
        <f aca="false">IFERROR(INDEX('Semrush Data'!$A$1:$Z$20000,MATCH(A491,'Semrush Data'!$A$1:$A$20000,0),MATCH("CPC*",'Semrush Data'!$A$1:$Z$1,0)),"")</f>
        <v>0</v>
      </c>
      <c r="J491" s="7" t="str">
        <f aca="false">IFERROR(INDEX('Semrush Data'!$A$1:$Z$20000,MATCH(A491,'Semrush Data'!$A$1:$A$20000,0),MATCH("Intent",'Semrush Data'!$A$1:$Z$1,0)),"")</f>
        <v>Navigational</v>
      </c>
    </row>
    <row r="492" customFormat="false" ht="15" hidden="false" customHeight="true" outlineLevel="0" collapsed="false">
      <c r="A492" s="7" t="s">
        <v>3706</v>
      </c>
      <c r="B492" s="7" t="s">
        <v>38</v>
      </c>
      <c r="C492" s="7" t="n">
        <v>1</v>
      </c>
      <c r="D492" s="7" t="n">
        <v>5</v>
      </c>
      <c r="E492" s="7" t="n">
        <v>1</v>
      </c>
      <c r="F492" s="7" t="s">
        <v>3704</v>
      </c>
      <c r="G492" s="12" t="n">
        <f aca="false">IFERROR(INDEX('Semrush Data'!$A$1:$Z$20000,MATCH(A492,'Semrush Data'!$A$1:$A$20000,0),MATCH("Volume",'Semrush Data'!$A$1:$Z$1,0)),"")</f>
        <v>20</v>
      </c>
      <c r="H492" s="7" t="n">
        <f aca="false">IFERROR(INDEX('Semrush Data'!$A$1:$Z$20000,MATCH(A492,'Semrush Data'!$A$1:$A$20000,0),MATCH("Keyword Difficulty*",'Semrush Data'!$A$1:$Z$1,0)),"")</f>
        <v>16</v>
      </c>
      <c r="I492" s="13" t="n">
        <f aca="false">IFERROR(INDEX('Semrush Data'!$A$1:$Z$20000,MATCH(A492,'Semrush Data'!$A$1:$A$20000,0),MATCH("CPC*",'Semrush Data'!$A$1:$Z$1,0)),"")</f>
        <v>0</v>
      </c>
      <c r="J492" s="7" t="str">
        <f aca="false">IFERROR(INDEX('Semrush Data'!$A$1:$Z$20000,MATCH(A492,'Semrush Data'!$A$1:$A$20000,0),MATCH("Intent",'Semrush Data'!$A$1:$Z$1,0)),"")</f>
        <v>Informational Transactional</v>
      </c>
    </row>
    <row r="493" customFormat="false" ht="15" hidden="false" customHeight="true" outlineLevel="0" collapsed="false">
      <c r="A493" s="7" t="s">
        <v>3717</v>
      </c>
      <c r="B493" s="7" t="s">
        <v>38</v>
      </c>
      <c r="C493" s="7" t="n">
        <v>1</v>
      </c>
      <c r="D493" s="7" t="n">
        <v>5</v>
      </c>
      <c r="E493" s="7" t="n">
        <v>1</v>
      </c>
      <c r="F493" s="7" t="s">
        <v>3715</v>
      </c>
      <c r="G493" s="12" t="n">
        <f aca="false">IFERROR(INDEX('Semrush Data'!$A$1:$Z$20000,MATCH(A493,'Semrush Data'!$A$1:$A$20000,0),MATCH("Volume",'Semrush Data'!$A$1:$Z$1,0)),"")</f>
        <v>20</v>
      </c>
      <c r="H493" s="7" t="n">
        <f aca="false">IFERROR(INDEX('Semrush Data'!$A$1:$Z$20000,MATCH(A493,'Semrush Data'!$A$1:$A$20000,0),MATCH("Keyword Difficulty*",'Semrush Data'!$A$1:$Z$1,0)),"")</f>
        <v>9</v>
      </c>
      <c r="I493" s="13" t="n">
        <f aca="false">IFERROR(INDEX('Semrush Data'!$A$1:$Z$20000,MATCH(A493,'Semrush Data'!$A$1:$A$20000,0),MATCH("CPC*",'Semrush Data'!$A$1:$Z$1,0)),"")</f>
        <v>0</v>
      </c>
      <c r="J493" s="7" t="str">
        <f aca="false">IFERROR(INDEX('Semrush Data'!$A$1:$Z$20000,MATCH(A493,'Semrush Data'!$A$1:$A$20000,0),MATCH("Intent",'Semrush Data'!$A$1:$Z$1,0)),"")</f>
        <v>Informational</v>
      </c>
    </row>
    <row r="494" customFormat="false" ht="15" hidden="false" customHeight="true" outlineLevel="0" collapsed="false">
      <c r="A494" s="7" t="s">
        <v>3728</v>
      </c>
      <c r="B494" s="7" t="s">
        <v>38</v>
      </c>
      <c r="C494" s="7" t="n">
        <v>1</v>
      </c>
      <c r="D494" s="7" t="n">
        <v>5</v>
      </c>
      <c r="E494" s="7" t="n">
        <v>1</v>
      </c>
      <c r="F494" s="7" t="s">
        <v>3726</v>
      </c>
      <c r="G494" s="12" t="n">
        <f aca="false">IFERROR(INDEX('Semrush Data'!$A$1:$Z$20000,MATCH(A494,'Semrush Data'!$A$1:$A$20000,0),MATCH("Volume",'Semrush Data'!$A$1:$Z$1,0)),"")</f>
        <v>20</v>
      </c>
      <c r="H494" s="7" t="n">
        <f aca="false">IFERROR(INDEX('Semrush Data'!$A$1:$Z$20000,MATCH(A494,'Semrush Data'!$A$1:$A$20000,0),MATCH("Keyword Difficulty*",'Semrush Data'!$A$1:$Z$1,0)),"")</f>
        <v>22</v>
      </c>
      <c r="I494" s="13" t="n">
        <f aca="false">IFERROR(INDEX('Semrush Data'!$A$1:$Z$20000,MATCH(A494,'Semrush Data'!$A$1:$A$20000,0),MATCH("CPC*",'Semrush Data'!$A$1:$Z$1,0)),"")</f>
        <v>0</v>
      </c>
      <c r="J494" s="7" t="str">
        <f aca="false">IFERROR(INDEX('Semrush Data'!$A$1:$Z$20000,MATCH(A494,'Semrush Data'!$A$1:$A$20000,0),MATCH("Intent",'Semrush Data'!$A$1:$Z$1,0)),"")</f>
        <v>Navigational</v>
      </c>
    </row>
    <row r="495" customFormat="false" ht="15" hidden="false" customHeight="true" outlineLevel="0" collapsed="false">
      <c r="A495" s="7" t="s">
        <v>3740</v>
      </c>
      <c r="B495" s="7" t="s">
        <v>38</v>
      </c>
      <c r="C495" s="7" t="n">
        <v>1</v>
      </c>
      <c r="D495" s="7" t="n">
        <v>5</v>
      </c>
      <c r="E495" s="7" t="n">
        <v>1</v>
      </c>
      <c r="F495" s="7" t="s">
        <v>3738</v>
      </c>
      <c r="G495" s="12" t="n">
        <f aca="false">IFERROR(INDEX('Semrush Data'!$A$1:$Z$20000,MATCH(A495,'Semrush Data'!$A$1:$A$20000,0),MATCH("Volume",'Semrush Data'!$A$1:$Z$1,0)),"")</f>
        <v>20</v>
      </c>
      <c r="H495" s="7" t="n">
        <f aca="false">IFERROR(INDEX('Semrush Data'!$A$1:$Z$20000,MATCH(A495,'Semrush Data'!$A$1:$A$20000,0),MATCH("Keyword Difficulty*",'Semrush Data'!$A$1:$Z$1,0)),"")</f>
        <v>16</v>
      </c>
      <c r="I495" s="13" t="n">
        <f aca="false">IFERROR(INDEX('Semrush Data'!$A$1:$Z$20000,MATCH(A495,'Semrush Data'!$A$1:$A$20000,0),MATCH("CPC*",'Semrush Data'!$A$1:$Z$1,0)),"")</f>
        <v>0</v>
      </c>
      <c r="J495" s="7" t="str">
        <f aca="false">IFERROR(INDEX('Semrush Data'!$A$1:$Z$20000,MATCH(A495,'Semrush Data'!$A$1:$A$20000,0),MATCH("Intent",'Semrush Data'!$A$1:$Z$1,0)),"")</f>
        <v>Informational</v>
      </c>
    </row>
    <row r="496" customFormat="false" ht="15" hidden="false" customHeight="true" outlineLevel="0" collapsed="false">
      <c r="A496" s="7" t="s">
        <v>3751</v>
      </c>
      <c r="B496" s="7" t="s">
        <v>38</v>
      </c>
      <c r="C496" s="7" t="n">
        <v>1</v>
      </c>
      <c r="D496" s="7" t="n">
        <v>5</v>
      </c>
      <c r="E496" s="7" t="n">
        <v>1</v>
      </c>
      <c r="F496" s="7" t="s">
        <v>3749</v>
      </c>
      <c r="G496" s="12" t="n">
        <f aca="false">IFERROR(INDEX('Semrush Data'!$A$1:$Z$20000,MATCH(A496,'Semrush Data'!$A$1:$A$20000,0),MATCH("Volume",'Semrush Data'!$A$1:$Z$1,0)),"")</f>
        <v>20</v>
      </c>
      <c r="H496" s="7" t="n">
        <f aca="false">IFERROR(INDEX('Semrush Data'!$A$1:$Z$20000,MATCH(A496,'Semrush Data'!$A$1:$A$20000,0),MATCH("Keyword Difficulty*",'Semrush Data'!$A$1:$Z$1,0)),"")</f>
        <v>14</v>
      </c>
      <c r="I496" s="13" t="n">
        <f aca="false">IFERROR(INDEX('Semrush Data'!$A$1:$Z$20000,MATCH(A496,'Semrush Data'!$A$1:$A$20000,0),MATCH("CPC*",'Semrush Data'!$A$1:$Z$1,0)),"")</f>
        <v>0</v>
      </c>
      <c r="J496" s="7" t="str">
        <f aca="false">IFERROR(INDEX('Semrush Data'!$A$1:$Z$20000,MATCH(A496,'Semrush Data'!$A$1:$A$20000,0),MATCH("Intent",'Semrush Data'!$A$1:$Z$1,0)),"")</f>
        <v>Informational</v>
      </c>
    </row>
    <row r="497" customFormat="false" ht="15" hidden="false" customHeight="true" outlineLevel="0" collapsed="false">
      <c r="A497" s="7" t="s">
        <v>3762</v>
      </c>
      <c r="B497" s="7" t="s">
        <v>38</v>
      </c>
      <c r="C497" s="7" t="n">
        <v>1</v>
      </c>
      <c r="D497" s="7" t="n">
        <v>5</v>
      </c>
      <c r="E497" s="7" t="n">
        <v>1</v>
      </c>
      <c r="F497" s="7" t="s">
        <v>3760</v>
      </c>
      <c r="G497" s="12" t="n">
        <f aca="false">IFERROR(INDEX('Semrush Data'!$A$1:$Z$20000,MATCH(A497,'Semrush Data'!$A$1:$A$20000,0),MATCH("Volume",'Semrush Data'!$A$1:$Z$1,0)),"")</f>
        <v>20</v>
      </c>
      <c r="H497" s="7" t="n">
        <f aca="false">IFERROR(INDEX('Semrush Data'!$A$1:$Z$20000,MATCH(A497,'Semrush Data'!$A$1:$A$20000,0),MATCH("Keyword Difficulty*",'Semrush Data'!$A$1:$Z$1,0)),"")</f>
        <v>14</v>
      </c>
      <c r="I497" s="13" t="n">
        <f aca="false">IFERROR(INDEX('Semrush Data'!$A$1:$Z$20000,MATCH(A497,'Semrush Data'!$A$1:$A$20000,0),MATCH("CPC*",'Semrush Data'!$A$1:$Z$1,0)),"")</f>
        <v>0</v>
      </c>
      <c r="J497" s="7" t="str">
        <f aca="false">IFERROR(INDEX('Semrush Data'!$A$1:$Z$20000,MATCH(A497,'Semrush Data'!$A$1:$A$20000,0),MATCH("Intent",'Semrush Data'!$A$1:$Z$1,0)),"")</f>
        <v>Navigational</v>
      </c>
    </row>
    <row r="498" customFormat="false" ht="15" hidden="false" customHeight="true" outlineLevel="0" collapsed="false">
      <c r="A498" s="7" t="s">
        <v>3773</v>
      </c>
      <c r="B498" s="7" t="s">
        <v>38</v>
      </c>
      <c r="C498" s="7" t="n">
        <v>1</v>
      </c>
      <c r="D498" s="7" t="n">
        <v>5</v>
      </c>
      <c r="E498" s="7" t="n">
        <v>1</v>
      </c>
      <c r="F498" s="7" t="s">
        <v>3771</v>
      </c>
      <c r="G498" s="12" t="n">
        <f aca="false">IFERROR(INDEX('Semrush Data'!$A$1:$Z$20000,MATCH(A498,'Semrush Data'!$A$1:$A$20000,0),MATCH("Volume",'Semrush Data'!$A$1:$Z$1,0)),"")</f>
        <v>20</v>
      </c>
      <c r="H498" s="7" t="n">
        <f aca="false">IFERROR(INDEX('Semrush Data'!$A$1:$Z$20000,MATCH(A498,'Semrush Data'!$A$1:$A$20000,0),MATCH("Keyword Difficulty*",'Semrush Data'!$A$1:$Z$1,0)),"")</f>
        <v>18</v>
      </c>
      <c r="I498" s="13" t="n">
        <f aca="false">IFERROR(INDEX('Semrush Data'!$A$1:$Z$20000,MATCH(A498,'Semrush Data'!$A$1:$A$20000,0),MATCH("CPC*",'Semrush Data'!$A$1:$Z$1,0)),"")</f>
        <v>0</v>
      </c>
      <c r="J498" s="7" t="str">
        <f aca="false">IFERROR(INDEX('Semrush Data'!$A$1:$Z$20000,MATCH(A498,'Semrush Data'!$A$1:$A$20000,0),MATCH("Intent",'Semrush Data'!$A$1:$Z$1,0)),"")</f>
        <v>Informational</v>
      </c>
    </row>
    <row r="499" customFormat="false" ht="15" hidden="false" customHeight="true" outlineLevel="0" collapsed="false">
      <c r="A499" s="7" t="s">
        <v>3784</v>
      </c>
      <c r="B499" s="7" t="s">
        <v>38</v>
      </c>
      <c r="C499" s="7" t="n">
        <v>1</v>
      </c>
      <c r="D499" s="7" t="n">
        <v>5</v>
      </c>
      <c r="E499" s="7" t="n">
        <v>1</v>
      </c>
      <c r="F499" s="7" t="s">
        <v>3782</v>
      </c>
      <c r="G499" s="12" t="n">
        <f aca="false">IFERROR(INDEX('Semrush Data'!$A$1:$Z$20000,MATCH(A499,'Semrush Data'!$A$1:$A$20000,0),MATCH("Volume",'Semrush Data'!$A$1:$Z$1,0)),"")</f>
        <v>20</v>
      </c>
      <c r="H499" s="7" t="n">
        <f aca="false">IFERROR(INDEX('Semrush Data'!$A$1:$Z$20000,MATCH(A499,'Semrush Data'!$A$1:$A$20000,0),MATCH("Keyword Difficulty*",'Semrush Data'!$A$1:$Z$1,0)),"")</f>
        <v>13</v>
      </c>
      <c r="I499" s="13" t="n">
        <f aca="false">IFERROR(INDEX('Semrush Data'!$A$1:$Z$20000,MATCH(A499,'Semrush Data'!$A$1:$A$20000,0),MATCH("CPC*",'Semrush Data'!$A$1:$Z$1,0)),"")</f>
        <v>0</v>
      </c>
      <c r="J499" s="7" t="str">
        <f aca="false">IFERROR(INDEX('Semrush Data'!$A$1:$Z$20000,MATCH(A499,'Semrush Data'!$A$1:$A$20000,0),MATCH("Intent",'Semrush Data'!$A$1:$Z$1,0)),"")</f>
        <v>Navigational</v>
      </c>
    </row>
    <row r="500" customFormat="false" ht="15" hidden="false" customHeight="true" outlineLevel="0" collapsed="false">
      <c r="A500" s="7" t="s">
        <v>3840</v>
      </c>
      <c r="B500" s="7" t="s">
        <v>38</v>
      </c>
      <c r="C500" s="7" t="n">
        <v>1</v>
      </c>
      <c r="D500" s="7" t="n">
        <v>5</v>
      </c>
      <c r="E500" s="7" t="n">
        <v>1</v>
      </c>
      <c r="F500" s="7" t="s">
        <v>120</v>
      </c>
      <c r="G500" s="12" t="n">
        <f aca="false">IFERROR(INDEX('Semrush Data'!$A$1:$Z$20000,MATCH(A500,'Semrush Data'!$A$1:$A$20000,0),MATCH("Volume",'Semrush Data'!$A$1:$Z$1,0)),"")</f>
        <v>480</v>
      </c>
      <c r="H500" s="7" t="n">
        <f aca="false">IFERROR(INDEX('Semrush Data'!$A$1:$Z$20000,MATCH(A500,'Semrush Data'!$A$1:$A$20000,0),MATCH("Keyword Difficulty*",'Semrush Data'!$A$1:$Z$1,0)),"")</f>
        <v>22</v>
      </c>
      <c r="I500" s="13" t="n">
        <f aca="false">IFERROR(INDEX('Semrush Data'!$A$1:$Z$20000,MATCH(A500,'Semrush Data'!$A$1:$A$20000,0),MATCH("CPC*",'Semrush Data'!$A$1:$Z$1,0)),"")</f>
        <v>0.51</v>
      </c>
      <c r="J500" s="7" t="str">
        <f aca="false">IFERROR(INDEX('Semrush Data'!$A$1:$Z$20000,MATCH(A500,'Semrush Data'!$A$1:$A$20000,0),MATCH("Intent",'Semrush Data'!$A$1:$Z$1,0)),"")</f>
        <v>Informational</v>
      </c>
    </row>
    <row r="501" customFormat="false" ht="15" hidden="false" customHeight="true" outlineLevel="0" collapsed="false">
      <c r="A501" s="7" t="s">
        <v>3919</v>
      </c>
      <c r="B501" s="7" t="s">
        <v>38</v>
      </c>
      <c r="C501" s="7" t="n">
        <v>1</v>
      </c>
      <c r="D501" s="7" t="n">
        <v>5</v>
      </c>
      <c r="E501" s="7" t="n">
        <v>1</v>
      </c>
      <c r="F501" s="7" t="s">
        <v>3917</v>
      </c>
      <c r="G501" s="12" t="n">
        <f aca="false">IFERROR(INDEX('Semrush Data'!$A$1:$Z$20000,MATCH(A501,'Semrush Data'!$A$1:$A$20000,0),MATCH("Volume",'Semrush Data'!$A$1:$Z$1,0)),"")</f>
        <v>0</v>
      </c>
      <c r="H501" s="7" t="n">
        <f aca="false">IFERROR(INDEX('Semrush Data'!$A$1:$Z$20000,MATCH(A501,'Semrush Data'!$A$1:$A$20000,0),MATCH("Keyword Difficulty*",'Semrush Data'!$A$1:$Z$1,0)),"")</f>
        <v>9</v>
      </c>
      <c r="I501" s="13" t="n">
        <f aca="false">IFERROR(INDEX('Semrush Data'!$A$1:$Z$20000,MATCH(A501,'Semrush Data'!$A$1:$A$20000,0),MATCH("CPC*",'Semrush Data'!$A$1:$Z$1,0)),"")</f>
        <v>0</v>
      </c>
      <c r="J501" s="7" t="str">
        <f aca="false">IFERROR(INDEX('Semrush Data'!$A$1:$Z$20000,MATCH(A501,'Semrush Data'!$A$1:$A$20000,0),MATCH("Intent",'Semrush Data'!$A$1:$Z$1,0)),"")</f>
        <v>Informational Transactional</v>
      </c>
    </row>
    <row r="502" customFormat="false" ht="15" hidden="false" customHeight="true" outlineLevel="0" collapsed="false">
      <c r="A502" s="7" t="s">
        <v>3852</v>
      </c>
      <c r="B502" s="7" t="s">
        <v>38</v>
      </c>
      <c r="C502" s="7" t="n">
        <v>1</v>
      </c>
      <c r="D502" s="7" t="n">
        <v>6</v>
      </c>
      <c r="E502" s="7" t="n">
        <v>1</v>
      </c>
      <c r="F502" s="7" t="s">
        <v>3850</v>
      </c>
      <c r="G502" s="12" t="n">
        <f aca="false">IFERROR(INDEX('Semrush Data'!$A$1:$Z$20000,MATCH(A502,'Semrush Data'!$A$1:$A$20000,0),MATCH("Volume",'Semrush Data'!$A$1:$Z$1,0)),"")</f>
        <v>0</v>
      </c>
      <c r="H502" s="7" t="n">
        <f aca="false">IFERROR(INDEX('Semrush Data'!$A$1:$Z$20000,MATCH(A502,'Semrush Data'!$A$1:$A$20000,0),MATCH("Keyword Difficulty*",'Semrush Data'!$A$1:$Z$1,0)),"")</f>
        <v>12</v>
      </c>
      <c r="I502" s="13" t="n">
        <f aca="false">IFERROR(INDEX('Semrush Data'!$A$1:$Z$20000,MATCH(A502,'Semrush Data'!$A$1:$A$20000,0),MATCH("CPC*",'Semrush Data'!$A$1:$Z$1,0)),"")</f>
        <v>0</v>
      </c>
      <c r="J502" s="7" t="str">
        <f aca="false">IFERROR(INDEX('Semrush Data'!$A$1:$Z$20000,MATCH(A502,'Semrush Data'!$A$1:$A$20000,0),MATCH("Intent",'Semrush Data'!$A$1:$Z$1,0)),"")</f>
        <v>Informational</v>
      </c>
    </row>
    <row r="503" customFormat="false" ht="15" hidden="false" customHeight="true" outlineLevel="0" collapsed="false">
      <c r="A503" s="7" t="s">
        <v>3864</v>
      </c>
      <c r="B503" s="7" t="s">
        <v>38</v>
      </c>
      <c r="C503" s="7" t="n">
        <v>1</v>
      </c>
      <c r="D503" s="7" t="n">
        <v>6</v>
      </c>
      <c r="E503" s="7" t="n">
        <v>1</v>
      </c>
      <c r="F503" s="7" t="s">
        <v>3861</v>
      </c>
      <c r="G503" s="12" t="n">
        <f aca="false">IFERROR(INDEX('Semrush Data'!$A$1:$Z$20000,MATCH(A503,'Semrush Data'!$A$1:$A$20000,0),MATCH("Volume",'Semrush Data'!$A$1:$Z$1,0)),"")</f>
        <v>0</v>
      </c>
      <c r="H503" s="7" t="n">
        <f aca="false">IFERROR(INDEX('Semrush Data'!$A$1:$Z$20000,MATCH(A503,'Semrush Data'!$A$1:$A$20000,0),MATCH("Keyword Difficulty*",'Semrush Data'!$A$1:$Z$1,0)),"")</f>
        <v>17</v>
      </c>
      <c r="I503" s="13" t="n">
        <f aca="false">IFERROR(INDEX('Semrush Data'!$A$1:$Z$20000,MATCH(A503,'Semrush Data'!$A$1:$A$20000,0),MATCH("CPC*",'Semrush Data'!$A$1:$Z$1,0)),"")</f>
        <v>0</v>
      </c>
      <c r="J503" s="7" t="str">
        <f aca="false">IFERROR(INDEX('Semrush Data'!$A$1:$Z$20000,MATCH(A503,'Semrush Data'!$A$1:$A$20000,0),MATCH("Intent",'Semrush Data'!$A$1:$Z$1,0)),"")</f>
        <v>Informational Transactional</v>
      </c>
    </row>
    <row r="504" customFormat="false" ht="15" hidden="false" customHeight="true" outlineLevel="0" collapsed="false">
      <c r="A504" s="7" t="s">
        <v>3886</v>
      </c>
      <c r="B504" s="7" t="s">
        <v>38</v>
      </c>
      <c r="C504" s="7" t="n">
        <v>1</v>
      </c>
      <c r="D504" s="7" t="n">
        <v>6</v>
      </c>
      <c r="E504" s="7" t="n">
        <v>1</v>
      </c>
      <c r="F504" s="7" t="s">
        <v>3884</v>
      </c>
      <c r="G504" s="12" t="n">
        <f aca="false">IFERROR(INDEX('Semrush Data'!$A$1:$Z$20000,MATCH(A504,'Semrush Data'!$A$1:$A$20000,0),MATCH("Volume",'Semrush Data'!$A$1:$Z$1,0)),"")</f>
        <v>20</v>
      </c>
      <c r="H504" s="7" t="n">
        <f aca="false">IFERROR(INDEX('Semrush Data'!$A$1:$Z$20000,MATCH(A504,'Semrush Data'!$A$1:$A$20000,0),MATCH("Keyword Difficulty*",'Semrush Data'!$A$1:$Z$1,0)),"")</f>
        <v>12</v>
      </c>
      <c r="I504" s="13" t="n">
        <f aca="false">IFERROR(INDEX('Semrush Data'!$A$1:$Z$20000,MATCH(A504,'Semrush Data'!$A$1:$A$20000,0),MATCH("CPC*",'Semrush Data'!$A$1:$Z$1,0)),"")</f>
        <v>0</v>
      </c>
      <c r="J504" s="7" t="str">
        <f aca="false">IFERROR(INDEX('Semrush Data'!$A$1:$Z$20000,MATCH(A504,'Semrush Data'!$A$1:$A$20000,0),MATCH("Intent",'Semrush Data'!$A$1:$Z$1,0)),"")</f>
        <v>Informational</v>
      </c>
    </row>
    <row r="505" customFormat="false" ht="15" hidden="false" customHeight="true" outlineLevel="0" collapsed="false">
      <c r="A505" s="7" t="s">
        <v>3875</v>
      </c>
      <c r="B505" s="7" t="s">
        <v>38</v>
      </c>
      <c r="C505" s="7" t="n">
        <v>1</v>
      </c>
      <c r="D505" s="7" t="n">
        <v>6</v>
      </c>
      <c r="E505" s="7" t="n">
        <v>1</v>
      </c>
      <c r="F505" s="7" t="s">
        <v>3873</v>
      </c>
      <c r="G505" s="12" t="n">
        <f aca="false">IFERROR(INDEX('Semrush Data'!$A$1:$Z$20000,MATCH(A505,'Semrush Data'!$A$1:$A$20000,0),MATCH("Volume",'Semrush Data'!$A$1:$Z$1,0)),"")</f>
        <v>40</v>
      </c>
      <c r="H505" s="7" t="n">
        <f aca="false">IFERROR(INDEX('Semrush Data'!$A$1:$Z$20000,MATCH(A505,'Semrush Data'!$A$1:$A$20000,0),MATCH("Keyword Difficulty*",'Semrush Data'!$A$1:$Z$1,0)),"")</f>
        <v>19</v>
      </c>
      <c r="I505" s="13" t="n">
        <f aca="false">IFERROR(INDEX('Semrush Data'!$A$1:$Z$20000,MATCH(A505,'Semrush Data'!$A$1:$A$20000,0),MATCH("CPC*",'Semrush Data'!$A$1:$Z$1,0)),"")</f>
        <v>0.52</v>
      </c>
      <c r="J505" s="7" t="str">
        <f aca="false">IFERROR(INDEX('Semrush Data'!$A$1:$Z$20000,MATCH(A505,'Semrush Data'!$A$1:$A$20000,0),MATCH("Intent",'Semrush Data'!$A$1:$Z$1,0)),"")</f>
        <v>Commercial</v>
      </c>
    </row>
    <row r="506" customFormat="false" ht="15" hidden="false" customHeight="true" outlineLevel="0" collapsed="false">
      <c r="A506" s="7" t="s">
        <v>3930</v>
      </c>
      <c r="B506" s="7" t="s">
        <v>38</v>
      </c>
      <c r="C506" s="7" t="n">
        <v>1</v>
      </c>
      <c r="D506" s="7" t="n">
        <v>6</v>
      </c>
      <c r="E506" s="7" t="n">
        <v>1</v>
      </c>
      <c r="F506" s="7" t="s">
        <v>3928</v>
      </c>
      <c r="G506" s="12" t="n">
        <f aca="false">IFERROR(INDEX('Semrush Data'!$A$1:$Z$20000,MATCH(A506,'Semrush Data'!$A$1:$A$20000,0),MATCH("Volume",'Semrush Data'!$A$1:$Z$1,0)),"")</f>
        <v>30</v>
      </c>
      <c r="H506" s="7" t="n">
        <f aca="false">IFERROR(INDEX('Semrush Data'!$A$1:$Z$20000,MATCH(A506,'Semrush Data'!$A$1:$A$20000,0),MATCH("Keyword Difficulty*",'Semrush Data'!$A$1:$Z$1,0)),"")</f>
        <v>11</v>
      </c>
      <c r="I506" s="13" t="n">
        <f aca="false">IFERROR(INDEX('Semrush Data'!$A$1:$Z$20000,MATCH(A506,'Semrush Data'!$A$1:$A$20000,0),MATCH("CPC*",'Semrush Data'!$A$1:$Z$1,0)),"")</f>
        <v>0.34</v>
      </c>
      <c r="J506" s="7" t="str">
        <f aca="false">IFERROR(INDEX('Semrush Data'!$A$1:$Z$20000,MATCH(A506,'Semrush Data'!$A$1:$A$20000,0),MATCH("Intent",'Semrush Data'!$A$1:$Z$1,0)),"")</f>
        <v>Informational</v>
      </c>
    </row>
    <row r="507" customFormat="false" ht="15" hidden="false" customHeight="true" outlineLevel="0" collapsed="false">
      <c r="A507" s="7" t="s">
        <v>3897</v>
      </c>
      <c r="B507" s="7" t="s">
        <v>38</v>
      </c>
      <c r="C507" s="7" t="n">
        <v>1</v>
      </c>
      <c r="D507" s="7" t="n">
        <v>6</v>
      </c>
      <c r="E507" s="7" t="n">
        <v>1</v>
      </c>
      <c r="F507" s="7" t="s">
        <v>3895</v>
      </c>
      <c r="G507" s="12" t="n">
        <f aca="false">IFERROR(INDEX('Semrush Data'!$A$1:$Z$20000,MATCH(A507,'Semrush Data'!$A$1:$A$20000,0),MATCH("Volume",'Semrush Data'!$A$1:$Z$1,0)),"")</f>
        <v>30</v>
      </c>
      <c r="H507" s="7" t="n">
        <f aca="false">IFERROR(INDEX('Semrush Data'!$A$1:$Z$20000,MATCH(A507,'Semrush Data'!$A$1:$A$20000,0),MATCH("Keyword Difficulty*",'Semrush Data'!$A$1:$Z$1,0)),"")</f>
        <v>7</v>
      </c>
      <c r="I507" s="13" t="n">
        <f aca="false">IFERROR(INDEX('Semrush Data'!$A$1:$Z$20000,MATCH(A507,'Semrush Data'!$A$1:$A$20000,0),MATCH("CPC*",'Semrush Data'!$A$1:$Z$1,0)),"")</f>
        <v>0</v>
      </c>
      <c r="J507" s="7" t="str">
        <f aca="false">IFERROR(INDEX('Semrush Data'!$A$1:$Z$20000,MATCH(A507,'Semrush Data'!$A$1:$A$20000,0),MATCH("Intent",'Semrush Data'!$A$1:$Z$1,0)),"")</f>
        <v>Informational</v>
      </c>
    </row>
    <row r="508" customFormat="false" ht="15" hidden="false" customHeight="true" outlineLevel="0" collapsed="false">
      <c r="A508" s="7" t="s">
        <v>3940</v>
      </c>
      <c r="B508" s="7" t="s">
        <v>38</v>
      </c>
      <c r="C508" s="7" t="n">
        <v>1</v>
      </c>
      <c r="D508" s="7" t="n">
        <v>6</v>
      </c>
      <c r="E508" s="7" t="n">
        <v>1</v>
      </c>
      <c r="F508" s="7" t="s">
        <v>3938</v>
      </c>
      <c r="G508" s="12" t="n">
        <f aca="false">IFERROR(INDEX('Semrush Data'!$A$1:$Z$20000,MATCH(A508,'Semrush Data'!$A$1:$A$20000,0),MATCH("Volume",'Semrush Data'!$A$1:$Z$1,0)),"")</f>
        <v>20</v>
      </c>
      <c r="H508" s="7" t="n">
        <f aca="false">IFERROR(INDEX('Semrush Data'!$A$1:$Z$20000,MATCH(A508,'Semrush Data'!$A$1:$A$20000,0),MATCH("Keyword Difficulty*",'Semrush Data'!$A$1:$Z$1,0)),"")</f>
        <v>12</v>
      </c>
      <c r="I508" s="13" t="n">
        <f aca="false">IFERROR(INDEX('Semrush Data'!$A$1:$Z$20000,MATCH(A508,'Semrush Data'!$A$1:$A$20000,0),MATCH("CPC*",'Semrush Data'!$A$1:$Z$1,0)),"")</f>
        <v>0</v>
      </c>
      <c r="J508" s="7" t="str">
        <f aca="false">IFERROR(INDEX('Semrush Data'!$A$1:$Z$20000,MATCH(A508,'Semrush Data'!$A$1:$A$20000,0),MATCH("Intent",'Semrush Data'!$A$1:$Z$1,0)),"")</f>
        <v>Informational</v>
      </c>
    </row>
    <row r="509" customFormat="false" ht="15" hidden="false" customHeight="true" outlineLevel="0" collapsed="false">
      <c r="A509" s="7" t="s">
        <v>3908</v>
      </c>
      <c r="B509" s="7" t="s">
        <v>38</v>
      </c>
      <c r="C509" s="7" t="n">
        <v>1</v>
      </c>
      <c r="D509" s="7" t="n">
        <v>6</v>
      </c>
      <c r="E509" s="7" t="n">
        <v>1</v>
      </c>
      <c r="F509" s="7" t="s">
        <v>3906</v>
      </c>
      <c r="G509" s="12" t="n">
        <f aca="false">IFERROR(INDEX('Semrush Data'!$A$1:$Z$20000,MATCH(A509,'Semrush Data'!$A$1:$A$20000,0),MATCH("Volume",'Semrush Data'!$A$1:$Z$1,0)),"")</f>
        <v>50</v>
      </c>
      <c r="H509" s="7" t="n">
        <f aca="false">IFERROR(INDEX('Semrush Data'!$A$1:$Z$20000,MATCH(A509,'Semrush Data'!$A$1:$A$20000,0),MATCH("Keyword Difficulty*",'Semrush Data'!$A$1:$Z$1,0)),"")</f>
        <v>9</v>
      </c>
      <c r="I509" s="13" t="n">
        <f aca="false">IFERROR(INDEX('Semrush Data'!$A$1:$Z$20000,MATCH(A509,'Semrush Data'!$A$1:$A$20000,0),MATCH("CPC*",'Semrush Data'!$A$1:$Z$1,0)),"")</f>
        <v>0.48</v>
      </c>
      <c r="J509" s="7" t="str">
        <f aca="false">IFERROR(INDEX('Semrush Data'!$A$1:$Z$20000,MATCH(A509,'Semrush Data'!$A$1:$A$20000,0),MATCH("Intent",'Semrush Data'!$A$1:$Z$1,0)),"")</f>
        <v>Informational</v>
      </c>
    </row>
    <row r="510" customFormat="false" ht="15" hidden="false" customHeight="true" outlineLevel="0" collapsed="false">
      <c r="A510" s="7" t="s">
        <v>3951</v>
      </c>
      <c r="B510" s="7" t="s">
        <v>38</v>
      </c>
      <c r="C510" s="7" t="n">
        <v>1</v>
      </c>
      <c r="D510" s="7" t="n">
        <v>6</v>
      </c>
      <c r="E510" s="7" t="n">
        <v>1</v>
      </c>
      <c r="F510" s="7" t="s">
        <v>3948</v>
      </c>
      <c r="G510" s="12" t="n">
        <f aca="false">IFERROR(INDEX('Semrush Data'!$A$1:$Z$20000,MATCH(A510,'Semrush Data'!$A$1:$A$20000,0),MATCH("Volume",'Semrush Data'!$A$1:$Z$1,0)),"")</f>
        <v>170</v>
      </c>
      <c r="H510" s="7" t="n">
        <f aca="false">IFERROR(INDEX('Semrush Data'!$A$1:$Z$20000,MATCH(A510,'Semrush Data'!$A$1:$A$20000,0),MATCH("Keyword Difficulty*",'Semrush Data'!$A$1:$Z$1,0)),"")</f>
        <v>21</v>
      </c>
      <c r="I510" s="13" t="n">
        <f aca="false">IFERROR(INDEX('Semrush Data'!$A$1:$Z$20000,MATCH(A510,'Semrush Data'!$A$1:$A$20000,0),MATCH("CPC*",'Semrush Data'!$A$1:$Z$1,0)),"")</f>
        <v>0.55</v>
      </c>
      <c r="J510" s="7" t="str">
        <f aca="false">IFERROR(INDEX('Semrush Data'!$A$1:$Z$20000,MATCH(A510,'Semrush Data'!$A$1:$A$20000,0),MATCH("Intent",'Semrush Data'!$A$1:$Z$1,0)),"")</f>
        <v>Informational Commercial</v>
      </c>
    </row>
    <row r="511" customFormat="false" ht="15" hidden="false" customHeight="true" outlineLevel="0" collapsed="false">
      <c r="A511" s="7" t="s">
        <v>3964</v>
      </c>
      <c r="B511" s="7" t="s">
        <v>38</v>
      </c>
      <c r="C511" s="7" t="n">
        <v>1</v>
      </c>
      <c r="D511" s="7" t="n">
        <v>6</v>
      </c>
      <c r="E511" s="7" t="n">
        <v>1</v>
      </c>
      <c r="F511" s="7" t="s">
        <v>3961</v>
      </c>
      <c r="G511" s="12" t="n">
        <f aca="false">IFERROR(INDEX('Semrush Data'!$A$1:$Z$20000,MATCH(A511,'Semrush Data'!$A$1:$A$20000,0),MATCH("Volume",'Semrush Data'!$A$1:$Z$1,0)),"")</f>
        <v>10</v>
      </c>
      <c r="H511" s="7" t="n">
        <f aca="false">IFERROR(INDEX('Semrush Data'!$A$1:$Z$20000,MATCH(A511,'Semrush Data'!$A$1:$A$20000,0),MATCH("Keyword Difficulty*",'Semrush Data'!$A$1:$Z$1,0)),"")</f>
        <v>12</v>
      </c>
      <c r="I511" s="13" t="n">
        <f aca="false">IFERROR(INDEX('Semrush Data'!$A$1:$Z$20000,MATCH(A511,'Semrush Data'!$A$1:$A$20000,0),MATCH("CPC*",'Semrush Data'!$A$1:$Z$1,0)),"")</f>
        <v>0</v>
      </c>
      <c r="J511" s="7" t="str">
        <f aca="false">IFERROR(INDEX('Semrush Data'!$A$1:$Z$20000,MATCH(A511,'Semrush Data'!$A$1:$A$20000,0),MATCH("Intent",'Semrush Data'!$A$1:$Z$1,0)),"")</f>
        <v>Navigational</v>
      </c>
    </row>
    <row r="512" customFormat="false" ht="15" hidden="false" customHeight="true" outlineLevel="0" collapsed="false">
      <c r="A512" s="7" t="s">
        <v>3974</v>
      </c>
      <c r="B512" s="7" t="s">
        <v>38</v>
      </c>
      <c r="C512" s="7" t="n">
        <v>1</v>
      </c>
      <c r="D512" s="7" t="n">
        <v>6</v>
      </c>
      <c r="E512" s="7" t="n">
        <v>1</v>
      </c>
      <c r="F512" s="7" t="s">
        <v>126</v>
      </c>
      <c r="G512" s="12" t="n">
        <f aca="false">IFERROR(INDEX('Semrush Data'!$A$1:$Z$20000,MATCH(A512,'Semrush Data'!$A$1:$A$20000,0),MATCH("Volume",'Semrush Data'!$A$1:$Z$1,0)),"")</f>
        <v>390</v>
      </c>
      <c r="H512" s="7" t="n">
        <f aca="false">IFERROR(INDEX('Semrush Data'!$A$1:$Z$20000,MATCH(A512,'Semrush Data'!$A$1:$A$20000,0),MATCH("Keyword Difficulty*",'Semrush Data'!$A$1:$Z$1,0)),"")</f>
        <v>15</v>
      </c>
      <c r="I512" s="13" t="n">
        <f aca="false">IFERROR(INDEX('Semrush Data'!$A$1:$Z$20000,MATCH(A512,'Semrush Data'!$A$1:$A$20000,0),MATCH("CPC*",'Semrush Data'!$A$1:$Z$1,0)),"")</f>
        <v>0.36</v>
      </c>
      <c r="J512" s="7" t="str">
        <f aca="false">IFERROR(INDEX('Semrush Data'!$A$1:$Z$20000,MATCH(A512,'Semrush Data'!$A$1:$A$20000,0),MATCH("Intent",'Semrush Data'!$A$1:$Z$1,0)),"")</f>
        <v>Informational</v>
      </c>
    </row>
    <row r="513" customFormat="false" ht="15" hidden="false" customHeight="true" outlineLevel="0" collapsed="false">
      <c r="A513" s="7" t="s">
        <v>3986</v>
      </c>
      <c r="B513" s="7" t="s">
        <v>38</v>
      </c>
      <c r="C513" s="7" t="n">
        <v>1</v>
      </c>
      <c r="D513" s="7" t="n">
        <v>6</v>
      </c>
      <c r="E513" s="7" t="n">
        <v>1</v>
      </c>
      <c r="F513" s="7" t="s">
        <v>3983</v>
      </c>
      <c r="G513" s="12" t="n">
        <f aca="false">IFERROR(INDEX('Semrush Data'!$A$1:$Z$20000,MATCH(A513,'Semrush Data'!$A$1:$A$20000,0),MATCH("Volume",'Semrush Data'!$A$1:$Z$1,0)),"")</f>
        <v>70</v>
      </c>
      <c r="H513" s="7" t="n">
        <f aca="false">IFERROR(INDEX('Semrush Data'!$A$1:$Z$20000,MATCH(A513,'Semrush Data'!$A$1:$A$20000,0),MATCH("Keyword Difficulty*",'Semrush Data'!$A$1:$Z$1,0)),"")</f>
        <v>20</v>
      </c>
      <c r="I513" s="13" t="n">
        <f aca="false">IFERROR(INDEX('Semrush Data'!$A$1:$Z$20000,MATCH(A513,'Semrush Data'!$A$1:$A$20000,0),MATCH("CPC*",'Semrush Data'!$A$1:$Z$1,0)),"")</f>
        <v>0.44</v>
      </c>
      <c r="J513" s="7" t="str">
        <f aca="false">IFERROR(INDEX('Semrush Data'!$A$1:$Z$20000,MATCH(A513,'Semrush Data'!$A$1:$A$20000,0),MATCH("Intent",'Semrush Data'!$A$1:$Z$1,0)),"")</f>
        <v>Informational Commercial</v>
      </c>
    </row>
    <row r="514" customFormat="false" ht="15" hidden="false" customHeight="true" outlineLevel="0" collapsed="false">
      <c r="A514" s="7" t="s">
        <v>3999</v>
      </c>
      <c r="B514" s="7" t="s">
        <v>38</v>
      </c>
      <c r="C514" s="7" t="n">
        <v>1</v>
      </c>
      <c r="D514" s="7" t="n">
        <v>6</v>
      </c>
      <c r="E514" s="7" t="n">
        <v>1</v>
      </c>
      <c r="F514" s="7" t="s">
        <v>3996</v>
      </c>
      <c r="G514" s="12" t="n">
        <f aca="false">IFERROR(INDEX('Semrush Data'!$A$1:$Z$20000,MATCH(A514,'Semrush Data'!$A$1:$A$20000,0),MATCH("Volume",'Semrush Data'!$A$1:$Z$1,0)),"")</f>
        <v>320</v>
      </c>
      <c r="H514" s="7" t="n">
        <f aca="false">IFERROR(INDEX('Semrush Data'!$A$1:$Z$20000,MATCH(A514,'Semrush Data'!$A$1:$A$20000,0),MATCH("Keyword Difficulty*",'Semrush Data'!$A$1:$Z$1,0)),"")</f>
        <v>25</v>
      </c>
      <c r="I514" s="13" t="n">
        <f aca="false">IFERROR(INDEX('Semrush Data'!$A$1:$Z$20000,MATCH(A514,'Semrush Data'!$A$1:$A$20000,0),MATCH("CPC*",'Semrush Data'!$A$1:$Z$1,0)),"")</f>
        <v>0.63</v>
      </c>
      <c r="J514" s="7" t="str">
        <f aca="false">IFERROR(INDEX('Semrush Data'!$A$1:$Z$20000,MATCH(A514,'Semrush Data'!$A$1:$A$20000,0),MATCH("Intent",'Semrush Data'!$A$1:$Z$1,0)),"")</f>
        <v>Informational</v>
      </c>
    </row>
    <row r="515" customFormat="false" ht="15" hidden="false" customHeight="true" outlineLevel="0" collapsed="false">
      <c r="A515" s="7" t="s">
        <v>4012</v>
      </c>
      <c r="B515" s="7" t="s">
        <v>38</v>
      </c>
      <c r="C515" s="7" t="n">
        <v>1</v>
      </c>
      <c r="D515" s="7" t="n">
        <v>6</v>
      </c>
      <c r="E515" s="7" t="n">
        <v>1</v>
      </c>
      <c r="F515" s="7" t="s">
        <v>4009</v>
      </c>
      <c r="G515" s="12" t="n">
        <f aca="false">IFERROR(INDEX('Semrush Data'!$A$1:$Z$20000,MATCH(A515,'Semrush Data'!$A$1:$A$20000,0),MATCH("Volume",'Semrush Data'!$A$1:$Z$1,0)),"")</f>
        <v>0</v>
      </c>
      <c r="H515" s="7" t="n">
        <f aca="false">IFERROR(INDEX('Semrush Data'!$A$1:$Z$20000,MATCH(A515,'Semrush Data'!$A$1:$A$20000,0),MATCH("Keyword Difficulty*",'Semrush Data'!$A$1:$Z$1,0)),"")</f>
        <v>13</v>
      </c>
      <c r="I515" s="13" t="n">
        <f aca="false">IFERROR(INDEX('Semrush Data'!$A$1:$Z$20000,MATCH(A515,'Semrush Data'!$A$1:$A$20000,0),MATCH("CPC*",'Semrush Data'!$A$1:$Z$1,0)),"")</f>
        <v>0</v>
      </c>
      <c r="J515" s="7" t="str">
        <f aca="false">IFERROR(INDEX('Semrush Data'!$A$1:$Z$20000,MATCH(A515,'Semrush Data'!$A$1:$A$20000,0),MATCH("Intent",'Semrush Data'!$A$1:$Z$1,0)),"")</f>
        <v>Informational</v>
      </c>
    </row>
    <row r="516" customFormat="false" ht="15" hidden="false" customHeight="true" outlineLevel="0" collapsed="false">
      <c r="A516" s="7" t="s">
        <v>4024</v>
      </c>
      <c r="B516" s="7" t="s">
        <v>38</v>
      </c>
      <c r="C516" s="7" t="n">
        <v>1</v>
      </c>
      <c r="D516" s="7" t="n">
        <v>6</v>
      </c>
      <c r="E516" s="7" t="n">
        <v>1</v>
      </c>
      <c r="F516" s="7" t="s">
        <v>4022</v>
      </c>
      <c r="G516" s="12" t="n">
        <f aca="false">IFERROR(INDEX('Semrush Data'!$A$1:$Z$20000,MATCH(A516,'Semrush Data'!$A$1:$A$20000,0),MATCH("Volume",'Semrush Data'!$A$1:$Z$1,0)),"")</f>
        <v>20</v>
      </c>
      <c r="H516" s="7" t="n">
        <f aca="false">IFERROR(INDEX('Semrush Data'!$A$1:$Z$20000,MATCH(A516,'Semrush Data'!$A$1:$A$20000,0),MATCH("Keyword Difficulty*",'Semrush Data'!$A$1:$Z$1,0)),"")</f>
        <v>9</v>
      </c>
      <c r="I516" s="13" t="n">
        <f aca="false">IFERROR(INDEX('Semrush Data'!$A$1:$Z$20000,MATCH(A516,'Semrush Data'!$A$1:$A$20000,0),MATCH("CPC*",'Semrush Data'!$A$1:$Z$1,0)),"")</f>
        <v>0</v>
      </c>
      <c r="J516" s="7" t="str">
        <f aca="false">IFERROR(INDEX('Semrush Data'!$A$1:$Z$20000,MATCH(A516,'Semrush Data'!$A$1:$A$20000,0),MATCH("Intent",'Semrush Data'!$A$1:$Z$1,0)),"")</f>
        <v>Informational</v>
      </c>
    </row>
    <row r="517" customFormat="false" ht="15" hidden="false" customHeight="true" outlineLevel="0" collapsed="false">
      <c r="A517" s="7" t="s">
        <v>4036</v>
      </c>
      <c r="B517" s="7" t="s">
        <v>38</v>
      </c>
      <c r="C517" s="7" t="n">
        <v>1</v>
      </c>
      <c r="D517" s="7" t="n">
        <v>6</v>
      </c>
      <c r="E517" s="7" t="n">
        <v>1</v>
      </c>
      <c r="F517" s="7" t="s">
        <v>4033</v>
      </c>
      <c r="G517" s="12" t="n">
        <f aca="false">IFERROR(INDEX('Semrush Data'!$A$1:$Z$20000,MATCH(A517,'Semrush Data'!$A$1:$A$20000,0),MATCH("Volume",'Semrush Data'!$A$1:$Z$1,0)),"")</f>
        <v>0</v>
      </c>
      <c r="H517" s="7" t="n">
        <f aca="false">IFERROR(INDEX('Semrush Data'!$A$1:$Z$20000,MATCH(A517,'Semrush Data'!$A$1:$A$20000,0),MATCH("Keyword Difficulty*",'Semrush Data'!$A$1:$Z$1,0)),"")</f>
        <v>15</v>
      </c>
      <c r="I517" s="13" t="n">
        <f aca="false">IFERROR(INDEX('Semrush Data'!$A$1:$Z$20000,MATCH(A517,'Semrush Data'!$A$1:$A$20000,0),MATCH("CPC*",'Semrush Data'!$A$1:$Z$1,0)),"")</f>
        <v>0</v>
      </c>
      <c r="J517" s="7" t="str">
        <f aca="false">IFERROR(INDEX('Semrush Data'!$A$1:$Z$20000,MATCH(A517,'Semrush Data'!$A$1:$A$20000,0),MATCH("Intent",'Semrush Data'!$A$1:$Z$1,0)),"")</f>
        <v>Informational</v>
      </c>
    </row>
    <row r="518" customFormat="false" ht="15" hidden="false" customHeight="true" outlineLevel="0" collapsed="false">
      <c r="A518" s="7" t="s">
        <v>4048</v>
      </c>
      <c r="B518" s="7" t="s">
        <v>38</v>
      </c>
      <c r="C518" s="7" t="n">
        <v>1</v>
      </c>
      <c r="D518" s="7" t="n">
        <v>6</v>
      </c>
      <c r="E518" s="7" t="n">
        <v>1</v>
      </c>
      <c r="F518" s="7" t="s">
        <v>4046</v>
      </c>
      <c r="G518" s="12" t="n">
        <f aca="false">IFERROR(INDEX('Semrush Data'!$A$1:$Z$20000,MATCH(A518,'Semrush Data'!$A$1:$A$20000,0),MATCH("Volume",'Semrush Data'!$A$1:$Z$1,0)),"")</f>
        <v>0</v>
      </c>
      <c r="H518" s="7" t="n">
        <f aca="false">IFERROR(INDEX('Semrush Data'!$A$1:$Z$20000,MATCH(A518,'Semrush Data'!$A$1:$A$20000,0),MATCH("Keyword Difficulty*",'Semrush Data'!$A$1:$Z$1,0)),"")</f>
        <v>16</v>
      </c>
      <c r="I518" s="13" t="n">
        <f aca="false">IFERROR(INDEX('Semrush Data'!$A$1:$Z$20000,MATCH(A518,'Semrush Data'!$A$1:$A$20000,0),MATCH("CPC*",'Semrush Data'!$A$1:$Z$1,0)),"")</f>
        <v>0</v>
      </c>
      <c r="J518" s="7" t="str">
        <f aca="false">IFERROR(INDEX('Semrush Data'!$A$1:$Z$20000,MATCH(A518,'Semrush Data'!$A$1:$A$20000,0),MATCH("Intent",'Semrush Data'!$A$1:$Z$1,0)),"")</f>
        <v>Informational</v>
      </c>
    </row>
    <row r="519" customFormat="false" ht="15" hidden="false" customHeight="true" outlineLevel="0" collapsed="false">
      <c r="A519" s="7" t="s">
        <v>4059</v>
      </c>
      <c r="B519" s="7" t="s">
        <v>38</v>
      </c>
      <c r="C519" s="7" t="n">
        <v>1</v>
      </c>
      <c r="D519" s="7" t="n">
        <v>6</v>
      </c>
      <c r="E519" s="7" t="n">
        <v>1</v>
      </c>
      <c r="F519" s="7" t="s">
        <v>4057</v>
      </c>
      <c r="G519" s="12" t="n">
        <f aca="false">IFERROR(INDEX('Semrush Data'!$A$1:$Z$20000,MATCH(A519,'Semrush Data'!$A$1:$A$20000,0),MATCH("Volume",'Semrush Data'!$A$1:$Z$1,0)),"")</f>
        <v>10</v>
      </c>
      <c r="H519" s="7" t="n">
        <f aca="false">IFERROR(INDEX('Semrush Data'!$A$1:$Z$20000,MATCH(A519,'Semrush Data'!$A$1:$A$20000,0),MATCH("Keyword Difficulty*",'Semrush Data'!$A$1:$Z$1,0)),"")</f>
        <v>25</v>
      </c>
      <c r="I519" s="13" t="n">
        <f aca="false">IFERROR(INDEX('Semrush Data'!$A$1:$Z$20000,MATCH(A519,'Semrush Data'!$A$1:$A$20000,0),MATCH("CPC*",'Semrush Data'!$A$1:$Z$1,0)),"")</f>
        <v>0</v>
      </c>
      <c r="J519" s="7" t="str">
        <f aca="false">IFERROR(INDEX('Semrush Data'!$A$1:$Z$20000,MATCH(A519,'Semrush Data'!$A$1:$A$20000,0),MATCH("Intent",'Semrush Data'!$A$1:$Z$1,0)),"")</f>
        <v>Commercial</v>
      </c>
    </row>
    <row r="520" customFormat="false" ht="15" hidden="false" customHeight="true" outlineLevel="0" collapsed="false">
      <c r="A520" s="7" t="s">
        <v>4070</v>
      </c>
      <c r="B520" s="7" t="s">
        <v>38</v>
      </c>
      <c r="C520" s="7" t="n">
        <v>1</v>
      </c>
      <c r="D520" s="7" t="n">
        <v>6</v>
      </c>
      <c r="E520" s="7" t="n">
        <v>1</v>
      </c>
      <c r="F520" s="7" t="s">
        <v>4068</v>
      </c>
      <c r="G520" s="12" t="n">
        <f aca="false">IFERROR(INDEX('Semrush Data'!$A$1:$Z$20000,MATCH(A520,'Semrush Data'!$A$1:$A$20000,0),MATCH("Volume",'Semrush Data'!$A$1:$Z$1,0)),"")</f>
        <v>0</v>
      </c>
      <c r="H520" s="7" t="n">
        <f aca="false">IFERROR(INDEX('Semrush Data'!$A$1:$Z$20000,MATCH(A520,'Semrush Data'!$A$1:$A$20000,0),MATCH("Keyword Difficulty*",'Semrush Data'!$A$1:$Z$1,0)),"")</f>
        <v>14</v>
      </c>
      <c r="I520" s="13" t="n">
        <f aca="false">IFERROR(INDEX('Semrush Data'!$A$1:$Z$20000,MATCH(A520,'Semrush Data'!$A$1:$A$20000,0),MATCH("CPC*",'Semrush Data'!$A$1:$Z$1,0)),"")</f>
        <v>0</v>
      </c>
      <c r="J520" s="7" t="str">
        <f aca="false">IFERROR(INDEX('Semrush Data'!$A$1:$Z$20000,MATCH(A520,'Semrush Data'!$A$1:$A$20000,0),MATCH("Intent",'Semrush Data'!$A$1:$Z$1,0)),"")</f>
        <v>Informational</v>
      </c>
    </row>
    <row r="521" customFormat="false" ht="15" hidden="false" customHeight="true" outlineLevel="0" collapsed="false">
      <c r="A521" s="7" t="s">
        <v>4082</v>
      </c>
      <c r="B521" s="7" t="s">
        <v>38</v>
      </c>
      <c r="C521" s="7" t="n">
        <v>1</v>
      </c>
      <c r="D521" s="7" t="n">
        <v>6</v>
      </c>
      <c r="E521" s="7" t="n">
        <v>1</v>
      </c>
      <c r="F521" s="7" t="s">
        <v>4080</v>
      </c>
      <c r="G521" s="12" t="n">
        <f aca="false">IFERROR(INDEX('Semrush Data'!$A$1:$Z$20000,MATCH(A521,'Semrush Data'!$A$1:$A$20000,0),MATCH("Volume",'Semrush Data'!$A$1:$Z$1,0)),"")</f>
        <v>0</v>
      </c>
      <c r="H521" s="7" t="n">
        <f aca="false">IFERROR(INDEX('Semrush Data'!$A$1:$Z$20000,MATCH(A521,'Semrush Data'!$A$1:$A$20000,0),MATCH("Keyword Difficulty*",'Semrush Data'!$A$1:$Z$1,0)),"")</f>
        <v>19</v>
      </c>
      <c r="I521" s="13" t="n">
        <f aca="false">IFERROR(INDEX('Semrush Data'!$A$1:$Z$20000,MATCH(A521,'Semrush Data'!$A$1:$A$20000,0),MATCH("CPC*",'Semrush Data'!$A$1:$Z$1,0)),"")</f>
        <v>0</v>
      </c>
      <c r="J521" s="7" t="str">
        <f aca="false">IFERROR(INDEX('Semrush Data'!$A$1:$Z$20000,MATCH(A521,'Semrush Data'!$A$1:$A$20000,0),MATCH("Intent",'Semrush Data'!$A$1:$Z$1,0)),"")</f>
        <v>Informational</v>
      </c>
    </row>
    <row r="522" customFormat="false" ht="15" hidden="false" customHeight="true" outlineLevel="0" collapsed="false">
      <c r="A522" s="7" t="s">
        <v>4094</v>
      </c>
      <c r="B522" s="7" t="s">
        <v>38</v>
      </c>
      <c r="C522" s="7" t="n">
        <v>1</v>
      </c>
      <c r="D522" s="7" t="n">
        <v>6</v>
      </c>
      <c r="E522" s="7" t="n">
        <v>1</v>
      </c>
      <c r="F522" s="7" t="s">
        <v>4092</v>
      </c>
      <c r="G522" s="12" t="n">
        <f aca="false">IFERROR(INDEX('Semrush Data'!$A$1:$Z$20000,MATCH(A522,'Semrush Data'!$A$1:$A$20000,0),MATCH("Volume",'Semrush Data'!$A$1:$Z$1,0)),"")</f>
        <v>0</v>
      </c>
      <c r="H522" s="7" t="n">
        <f aca="false">IFERROR(INDEX('Semrush Data'!$A$1:$Z$20000,MATCH(A522,'Semrush Data'!$A$1:$A$20000,0),MATCH("Keyword Difficulty*",'Semrush Data'!$A$1:$Z$1,0)),"")</f>
        <v>21</v>
      </c>
      <c r="I522" s="13" t="n">
        <f aca="false">IFERROR(INDEX('Semrush Data'!$A$1:$Z$20000,MATCH(A522,'Semrush Data'!$A$1:$A$20000,0),MATCH("CPC*",'Semrush Data'!$A$1:$Z$1,0)),"")</f>
        <v>0</v>
      </c>
      <c r="J522" s="7" t="str">
        <f aca="false">IFERROR(INDEX('Semrush Data'!$A$1:$Z$20000,MATCH(A522,'Semrush Data'!$A$1:$A$20000,0),MATCH("Intent",'Semrush Data'!$A$1:$Z$1,0)),"")</f>
        <v>Informational</v>
      </c>
    </row>
    <row r="523" customFormat="false" ht="15" hidden="false" customHeight="true" outlineLevel="0" collapsed="false">
      <c r="A523" s="7" t="s">
        <v>4105</v>
      </c>
      <c r="B523" s="7" t="s">
        <v>38</v>
      </c>
      <c r="C523" s="7" t="n">
        <v>1</v>
      </c>
      <c r="D523" s="7" t="n">
        <v>6</v>
      </c>
      <c r="E523" s="7" t="n">
        <v>1</v>
      </c>
      <c r="F523" s="7" t="s">
        <v>4103</v>
      </c>
      <c r="G523" s="12" t="n">
        <f aca="false">IFERROR(INDEX('Semrush Data'!$A$1:$Z$20000,MATCH(A523,'Semrush Data'!$A$1:$A$20000,0),MATCH("Volume",'Semrush Data'!$A$1:$Z$1,0)),"")</f>
        <v>0</v>
      </c>
      <c r="H523" s="7" t="n">
        <f aca="false">IFERROR(INDEX('Semrush Data'!$A$1:$Z$20000,MATCH(A523,'Semrush Data'!$A$1:$A$20000,0),MATCH("Keyword Difficulty*",'Semrush Data'!$A$1:$Z$1,0)),"")</f>
        <v>9</v>
      </c>
      <c r="I523" s="13" t="n">
        <f aca="false">IFERROR(INDEX('Semrush Data'!$A$1:$Z$20000,MATCH(A523,'Semrush Data'!$A$1:$A$20000,0),MATCH("CPC*",'Semrush Data'!$A$1:$Z$1,0)),"")</f>
        <v>0</v>
      </c>
      <c r="J523" s="7" t="str">
        <f aca="false">IFERROR(INDEX('Semrush Data'!$A$1:$Z$20000,MATCH(A523,'Semrush Data'!$A$1:$A$20000,0),MATCH("Intent",'Semrush Data'!$A$1:$Z$1,0)),"")</f>
        <v>Navigational</v>
      </c>
    </row>
    <row r="524" customFormat="false" ht="15" hidden="false" customHeight="true" outlineLevel="0" collapsed="false">
      <c r="A524" s="7" t="s">
        <v>4115</v>
      </c>
      <c r="B524" s="7" t="s">
        <v>38</v>
      </c>
      <c r="C524" s="7" t="n">
        <v>1</v>
      </c>
      <c r="D524" s="7" t="n">
        <v>6</v>
      </c>
      <c r="E524" s="7" t="n">
        <v>1</v>
      </c>
      <c r="F524" s="7" t="s">
        <v>4113</v>
      </c>
      <c r="G524" s="12" t="n">
        <f aca="false">IFERROR(INDEX('Semrush Data'!$A$1:$Z$20000,MATCH(A524,'Semrush Data'!$A$1:$A$20000,0),MATCH("Volume",'Semrush Data'!$A$1:$Z$1,0)),"")</f>
        <v>0</v>
      </c>
      <c r="H524" s="7" t="n">
        <f aca="false">IFERROR(INDEX('Semrush Data'!$A$1:$Z$20000,MATCH(A524,'Semrush Data'!$A$1:$A$20000,0),MATCH("Keyword Difficulty*",'Semrush Data'!$A$1:$Z$1,0)),"")</f>
        <v>19</v>
      </c>
      <c r="I524" s="13" t="n">
        <f aca="false">IFERROR(INDEX('Semrush Data'!$A$1:$Z$20000,MATCH(A524,'Semrush Data'!$A$1:$A$20000,0),MATCH("CPC*",'Semrush Data'!$A$1:$Z$1,0)),"")</f>
        <v>0</v>
      </c>
      <c r="J524" s="7" t="str">
        <f aca="false">IFERROR(INDEX('Semrush Data'!$A$1:$Z$20000,MATCH(A524,'Semrush Data'!$A$1:$A$20000,0),MATCH("Intent",'Semrush Data'!$A$1:$Z$1,0)),"")</f>
        <v>Informational</v>
      </c>
    </row>
    <row r="525" customFormat="false" ht="15" hidden="false" customHeight="true" outlineLevel="0" collapsed="false">
      <c r="A525" s="7" t="s">
        <v>4125</v>
      </c>
      <c r="B525" s="7" t="s">
        <v>38</v>
      </c>
      <c r="C525" s="7" t="n">
        <v>1</v>
      </c>
      <c r="D525" s="7" t="n">
        <v>6</v>
      </c>
      <c r="E525" s="7" t="n">
        <v>1</v>
      </c>
      <c r="F525" s="7" t="s">
        <v>4123</v>
      </c>
      <c r="G525" s="12" t="n">
        <f aca="false">IFERROR(INDEX('Semrush Data'!$A$1:$Z$20000,MATCH(A525,'Semrush Data'!$A$1:$A$20000,0),MATCH("Volume",'Semrush Data'!$A$1:$Z$1,0)),"")</f>
        <v>0</v>
      </c>
      <c r="H525" s="7" t="n">
        <f aca="false">IFERROR(INDEX('Semrush Data'!$A$1:$Z$20000,MATCH(A525,'Semrush Data'!$A$1:$A$20000,0),MATCH("Keyword Difficulty*",'Semrush Data'!$A$1:$Z$1,0)),"")</f>
        <v>13</v>
      </c>
      <c r="I525" s="13" t="n">
        <f aca="false">IFERROR(INDEX('Semrush Data'!$A$1:$Z$20000,MATCH(A525,'Semrush Data'!$A$1:$A$20000,0),MATCH("CPC*",'Semrush Data'!$A$1:$Z$1,0)),"")</f>
        <v>0</v>
      </c>
      <c r="J525" s="7" t="str">
        <f aca="false">IFERROR(INDEX('Semrush Data'!$A$1:$Z$20000,MATCH(A525,'Semrush Data'!$A$1:$A$20000,0),MATCH("Intent",'Semrush Data'!$A$1:$Z$1,0)),"")</f>
        <v>Informational</v>
      </c>
    </row>
    <row r="526" customFormat="false" ht="15" hidden="false" customHeight="true" outlineLevel="0" collapsed="false">
      <c r="A526" s="7" t="s">
        <v>4136</v>
      </c>
      <c r="B526" s="7" t="s">
        <v>38</v>
      </c>
      <c r="C526" s="7" t="n">
        <v>1</v>
      </c>
      <c r="D526" s="7" t="n">
        <v>6</v>
      </c>
      <c r="E526" s="7" t="n">
        <v>1</v>
      </c>
      <c r="F526" s="7" t="s">
        <v>4134</v>
      </c>
      <c r="G526" s="12" t="n">
        <f aca="false">IFERROR(INDEX('Semrush Data'!$A$1:$Z$20000,MATCH(A526,'Semrush Data'!$A$1:$A$20000,0),MATCH("Volume",'Semrush Data'!$A$1:$Z$1,0)),"")</f>
        <v>0</v>
      </c>
      <c r="H526" s="7" t="n">
        <f aca="false">IFERROR(INDEX('Semrush Data'!$A$1:$Z$20000,MATCH(A526,'Semrush Data'!$A$1:$A$20000,0),MATCH("Keyword Difficulty*",'Semrush Data'!$A$1:$Z$1,0)),"")</f>
        <v>5</v>
      </c>
      <c r="I526" s="13" t="n">
        <f aca="false">IFERROR(INDEX('Semrush Data'!$A$1:$Z$20000,MATCH(A526,'Semrush Data'!$A$1:$A$20000,0),MATCH("CPC*",'Semrush Data'!$A$1:$Z$1,0)),"")</f>
        <v>0</v>
      </c>
      <c r="J526" s="7" t="str">
        <f aca="false">IFERROR(INDEX('Semrush Data'!$A$1:$Z$20000,MATCH(A526,'Semrush Data'!$A$1:$A$20000,0),MATCH("Intent",'Semrush Data'!$A$1:$Z$1,0)),"")</f>
        <v>Informational</v>
      </c>
    </row>
    <row r="527" customFormat="false" ht="15" hidden="false" customHeight="true" outlineLevel="0" collapsed="false">
      <c r="A527" s="7" t="s">
        <v>4147</v>
      </c>
      <c r="B527" s="7" t="s">
        <v>38</v>
      </c>
      <c r="C527" s="7" t="n">
        <v>1</v>
      </c>
      <c r="D527" s="7" t="n">
        <v>6</v>
      </c>
      <c r="E527" s="7" t="n">
        <v>1</v>
      </c>
      <c r="F527" s="7" t="s">
        <v>4145</v>
      </c>
      <c r="G527" s="12" t="n">
        <f aca="false">IFERROR(INDEX('Semrush Data'!$A$1:$Z$20000,MATCH(A527,'Semrush Data'!$A$1:$A$20000,0),MATCH("Volume",'Semrush Data'!$A$1:$Z$1,0)),"")</f>
        <v>0</v>
      </c>
      <c r="H527" s="7" t="n">
        <f aca="false">IFERROR(INDEX('Semrush Data'!$A$1:$Z$20000,MATCH(A527,'Semrush Data'!$A$1:$A$20000,0),MATCH("Keyword Difficulty*",'Semrush Data'!$A$1:$Z$1,0)),"")</f>
        <v>10</v>
      </c>
      <c r="I527" s="13" t="n">
        <f aca="false">IFERROR(INDEX('Semrush Data'!$A$1:$Z$20000,MATCH(A527,'Semrush Data'!$A$1:$A$20000,0),MATCH("CPC*",'Semrush Data'!$A$1:$Z$1,0)),"")</f>
        <v>0</v>
      </c>
      <c r="J527" s="7" t="str">
        <f aca="false">IFERROR(INDEX('Semrush Data'!$A$1:$Z$20000,MATCH(A527,'Semrush Data'!$A$1:$A$20000,0),MATCH("Intent",'Semrush Data'!$A$1:$Z$1,0)),"")</f>
        <v>Informational</v>
      </c>
    </row>
    <row r="528" customFormat="false" ht="15" hidden="false" customHeight="true" outlineLevel="0" collapsed="false">
      <c r="A528" s="7" t="s">
        <v>4157</v>
      </c>
      <c r="B528" s="7" t="s">
        <v>38</v>
      </c>
      <c r="C528" s="7" t="n">
        <v>1</v>
      </c>
      <c r="D528" s="7" t="n">
        <v>6</v>
      </c>
      <c r="E528" s="7" t="n">
        <v>1</v>
      </c>
      <c r="F528" s="7" t="s">
        <v>4155</v>
      </c>
      <c r="G528" s="12" t="n">
        <f aca="false">IFERROR(INDEX('Semrush Data'!$A$1:$Z$20000,MATCH(A528,'Semrush Data'!$A$1:$A$20000,0),MATCH("Volume",'Semrush Data'!$A$1:$Z$1,0)),"")</f>
        <v>0</v>
      </c>
      <c r="H528" s="7" t="n">
        <f aca="false">IFERROR(INDEX('Semrush Data'!$A$1:$Z$20000,MATCH(A528,'Semrush Data'!$A$1:$A$20000,0),MATCH("Keyword Difficulty*",'Semrush Data'!$A$1:$Z$1,0)),"")</f>
        <v>18</v>
      </c>
      <c r="I528" s="13" t="n">
        <f aca="false">IFERROR(INDEX('Semrush Data'!$A$1:$Z$20000,MATCH(A528,'Semrush Data'!$A$1:$A$20000,0),MATCH("CPC*",'Semrush Data'!$A$1:$Z$1,0)),"")</f>
        <v>0</v>
      </c>
      <c r="J528" s="7" t="str">
        <f aca="false">IFERROR(INDEX('Semrush Data'!$A$1:$Z$20000,MATCH(A528,'Semrush Data'!$A$1:$A$20000,0),MATCH("Intent",'Semrush Data'!$A$1:$Z$1,0)),"")</f>
        <v>Informational</v>
      </c>
    </row>
    <row r="529" customFormat="false" ht="15" hidden="false" customHeight="true" outlineLevel="0" collapsed="false">
      <c r="A529" s="7" t="s">
        <v>4170</v>
      </c>
      <c r="B529" s="7" t="s">
        <v>38</v>
      </c>
      <c r="C529" s="7" t="n">
        <v>1</v>
      </c>
      <c r="D529" s="7" t="n">
        <v>6</v>
      </c>
      <c r="E529" s="7" t="n">
        <v>1</v>
      </c>
      <c r="F529" s="7" t="s">
        <v>4167</v>
      </c>
      <c r="G529" s="12" t="n">
        <f aca="false">IFERROR(INDEX('Semrush Data'!$A$1:$Z$20000,MATCH(A529,'Semrush Data'!$A$1:$A$20000,0),MATCH("Volume",'Semrush Data'!$A$1:$Z$1,0)),"")</f>
        <v>0</v>
      </c>
      <c r="H529" s="7" t="n">
        <f aca="false">IFERROR(INDEX('Semrush Data'!$A$1:$Z$20000,MATCH(A529,'Semrush Data'!$A$1:$A$20000,0),MATCH("Keyword Difficulty*",'Semrush Data'!$A$1:$Z$1,0)),"")</f>
        <v>18</v>
      </c>
      <c r="I529" s="13" t="n">
        <f aca="false">IFERROR(INDEX('Semrush Data'!$A$1:$Z$20000,MATCH(A529,'Semrush Data'!$A$1:$A$20000,0),MATCH("CPC*",'Semrush Data'!$A$1:$Z$1,0)),"")</f>
        <v>0</v>
      </c>
      <c r="J529" s="7" t="str">
        <f aca="false">IFERROR(INDEX('Semrush Data'!$A$1:$Z$20000,MATCH(A529,'Semrush Data'!$A$1:$A$20000,0),MATCH("Intent",'Semrush Data'!$A$1:$Z$1,0)),"")</f>
        <v>Navigational</v>
      </c>
    </row>
    <row r="530" customFormat="false" ht="15" hidden="false" customHeight="true" outlineLevel="0" collapsed="false">
      <c r="A530" s="7" t="s">
        <v>4183</v>
      </c>
      <c r="B530" s="7" t="s">
        <v>38</v>
      </c>
      <c r="C530" s="7" t="n">
        <v>1</v>
      </c>
      <c r="D530" s="7" t="n">
        <v>6</v>
      </c>
      <c r="E530" s="7" t="n">
        <v>1</v>
      </c>
      <c r="F530" s="7" t="s">
        <v>4180</v>
      </c>
      <c r="G530" s="12" t="n">
        <f aca="false">IFERROR(INDEX('Semrush Data'!$A$1:$Z$20000,MATCH(A530,'Semrush Data'!$A$1:$A$20000,0),MATCH("Volume",'Semrush Data'!$A$1:$Z$1,0)),"")</f>
        <v>0</v>
      </c>
      <c r="H530" s="7" t="n">
        <f aca="false">IFERROR(INDEX('Semrush Data'!$A$1:$Z$20000,MATCH(A530,'Semrush Data'!$A$1:$A$20000,0),MATCH("Keyword Difficulty*",'Semrush Data'!$A$1:$Z$1,0)),"")</f>
        <v>19</v>
      </c>
      <c r="I530" s="13" t="n">
        <f aca="false">IFERROR(INDEX('Semrush Data'!$A$1:$Z$20000,MATCH(A530,'Semrush Data'!$A$1:$A$20000,0),MATCH("CPC*",'Semrush Data'!$A$1:$Z$1,0)),"")</f>
        <v>0</v>
      </c>
      <c r="J530" s="7" t="str">
        <f aca="false">IFERROR(INDEX('Semrush Data'!$A$1:$Z$20000,MATCH(A530,'Semrush Data'!$A$1:$A$20000,0),MATCH("Intent",'Semrush Data'!$A$1:$Z$1,0)),"")</f>
        <v>Informational</v>
      </c>
    </row>
    <row r="531" customFormat="false" ht="15" hidden="false" customHeight="true" outlineLevel="0" collapsed="false">
      <c r="A531" s="7" t="s">
        <v>4194</v>
      </c>
      <c r="B531" s="7" t="s">
        <v>38</v>
      </c>
      <c r="C531" s="7" t="n">
        <v>1</v>
      </c>
      <c r="D531" s="7" t="n">
        <v>6</v>
      </c>
      <c r="E531" s="7" t="n">
        <v>1</v>
      </c>
      <c r="F531" s="7" t="s">
        <v>4192</v>
      </c>
      <c r="G531" s="12" t="n">
        <f aca="false">IFERROR(INDEX('Semrush Data'!$A$1:$Z$20000,MATCH(A531,'Semrush Data'!$A$1:$A$20000,0),MATCH("Volume",'Semrush Data'!$A$1:$Z$1,0)),"")</f>
        <v>10</v>
      </c>
      <c r="H531" s="7" t="n">
        <f aca="false">IFERROR(INDEX('Semrush Data'!$A$1:$Z$20000,MATCH(A531,'Semrush Data'!$A$1:$A$20000,0),MATCH("Keyword Difficulty*",'Semrush Data'!$A$1:$Z$1,0)),"")</f>
        <v>1</v>
      </c>
      <c r="I531" s="13" t="n">
        <f aca="false">IFERROR(INDEX('Semrush Data'!$A$1:$Z$20000,MATCH(A531,'Semrush Data'!$A$1:$A$20000,0),MATCH("CPC*",'Semrush Data'!$A$1:$Z$1,0)),"")</f>
        <v>0</v>
      </c>
      <c r="J531" s="7" t="str">
        <f aca="false">IFERROR(INDEX('Semrush Data'!$A$1:$Z$20000,MATCH(A531,'Semrush Data'!$A$1:$A$20000,0),MATCH("Intent",'Semrush Data'!$A$1:$Z$1,0)),"")</f>
        <v>Informational</v>
      </c>
    </row>
    <row r="532" customFormat="false" ht="15" hidden="false" customHeight="true" outlineLevel="0" collapsed="false">
      <c r="A532" s="7" t="s">
        <v>4205</v>
      </c>
      <c r="B532" s="7" t="s">
        <v>38</v>
      </c>
      <c r="C532" s="7" t="n">
        <v>1</v>
      </c>
      <c r="D532" s="7" t="n">
        <v>6</v>
      </c>
      <c r="E532" s="7" t="n">
        <v>1</v>
      </c>
      <c r="F532" s="7" t="s">
        <v>4203</v>
      </c>
      <c r="G532" s="12" t="n">
        <f aca="false">IFERROR(INDEX('Semrush Data'!$A$1:$Z$20000,MATCH(A532,'Semrush Data'!$A$1:$A$20000,0),MATCH("Volume",'Semrush Data'!$A$1:$Z$1,0)),"")</f>
        <v>0</v>
      </c>
      <c r="H532" s="7" t="n">
        <f aca="false">IFERROR(INDEX('Semrush Data'!$A$1:$Z$20000,MATCH(A532,'Semrush Data'!$A$1:$A$20000,0),MATCH("Keyword Difficulty*",'Semrush Data'!$A$1:$Z$1,0)),"")</f>
        <v>15</v>
      </c>
      <c r="I532" s="13" t="n">
        <f aca="false">IFERROR(INDEX('Semrush Data'!$A$1:$Z$20000,MATCH(A532,'Semrush Data'!$A$1:$A$20000,0),MATCH("CPC*",'Semrush Data'!$A$1:$Z$1,0)),"")</f>
        <v>0</v>
      </c>
      <c r="J532" s="7" t="str">
        <f aca="false">IFERROR(INDEX('Semrush Data'!$A$1:$Z$20000,MATCH(A532,'Semrush Data'!$A$1:$A$20000,0),MATCH("Intent",'Semrush Data'!$A$1:$Z$1,0)),"")</f>
        <v>Commercial</v>
      </c>
    </row>
    <row r="533" customFormat="false" ht="15" hidden="false" customHeight="true" outlineLevel="0" collapsed="false">
      <c r="A533" s="7" t="s">
        <v>4217</v>
      </c>
      <c r="B533" s="7" t="s">
        <v>38</v>
      </c>
      <c r="C533" s="7" t="n">
        <v>1</v>
      </c>
      <c r="D533" s="7" t="n">
        <v>6</v>
      </c>
      <c r="E533" s="7" t="n">
        <v>1</v>
      </c>
      <c r="F533" s="7" t="s">
        <v>4215</v>
      </c>
      <c r="G533" s="12" t="n">
        <f aca="false">IFERROR(INDEX('Semrush Data'!$A$1:$Z$20000,MATCH(A533,'Semrush Data'!$A$1:$A$20000,0),MATCH("Volume",'Semrush Data'!$A$1:$Z$1,0)),"")</f>
        <v>0</v>
      </c>
      <c r="H533" s="7" t="n">
        <f aca="false">IFERROR(INDEX('Semrush Data'!$A$1:$Z$20000,MATCH(A533,'Semrush Data'!$A$1:$A$20000,0),MATCH("Keyword Difficulty*",'Semrush Data'!$A$1:$Z$1,0)),"")</f>
        <v>16</v>
      </c>
      <c r="I533" s="13" t="n">
        <f aca="false">IFERROR(INDEX('Semrush Data'!$A$1:$Z$20000,MATCH(A533,'Semrush Data'!$A$1:$A$20000,0),MATCH("CPC*",'Semrush Data'!$A$1:$Z$1,0)),"")</f>
        <v>0</v>
      </c>
      <c r="J533" s="7" t="str">
        <f aca="false">IFERROR(INDEX('Semrush Data'!$A$1:$Z$20000,MATCH(A533,'Semrush Data'!$A$1:$A$20000,0),MATCH("Intent",'Semrush Data'!$A$1:$Z$1,0)),"")</f>
        <v>Informational</v>
      </c>
    </row>
    <row r="534" customFormat="false" ht="15" hidden="false" customHeight="true" outlineLevel="0" collapsed="false">
      <c r="A534" s="7" t="s">
        <v>4230</v>
      </c>
      <c r="B534" s="7" t="s">
        <v>38</v>
      </c>
      <c r="C534" s="7" t="n">
        <v>1</v>
      </c>
      <c r="D534" s="7" t="n">
        <v>6</v>
      </c>
      <c r="E534" s="7" t="n">
        <v>1</v>
      </c>
      <c r="F534" s="7" t="s">
        <v>4226</v>
      </c>
      <c r="G534" s="12" t="n">
        <f aca="false">IFERROR(INDEX('Semrush Data'!$A$1:$Z$20000,MATCH(A534,'Semrush Data'!$A$1:$A$20000,0),MATCH("Volume",'Semrush Data'!$A$1:$Z$1,0)),"")</f>
        <v>170</v>
      </c>
      <c r="H534" s="7" t="n">
        <f aca="false">IFERROR(INDEX('Semrush Data'!$A$1:$Z$20000,MATCH(A534,'Semrush Data'!$A$1:$A$20000,0),MATCH("Keyword Difficulty*",'Semrush Data'!$A$1:$Z$1,0)),"")</f>
        <v>17</v>
      </c>
      <c r="I534" s="13" t="n">
        <f aca="false">IFERROR(INDEX('Semrush Data'!$A$1:$Z$20000,MATCH(A534,'Semrush Data'!$A$1:$A$20000,0),MATCH("CPC*",'Semrush Data'!$A$1:$Z$1,0)),"")</f>
        <v>0</v>
      </c>
      <c r="J534" s="7" t="str">
        <f aca="false">IFERROR(INDEX('Semrush Data'!$A$1:$Z$20000,MATCH(A534,'Semrush Data'!$A$1:$A$20000,0),MATCH("Intent",'Semrush Data'!$A$1:$Z$1,0)),"")</f>
        <v>Informational</v>
      </c>
    </row>
    <row r="535" customFormat="false" ht="15" hidden="false" customHeight="true" outlineLevel="0" collapsed="false">
      <c r="A535" s="7" t="s">
        <v>4242</v>
      </c>
      <c r="B535" s="7" t="s">
        <v>38</v>
      </c>
      <c r="C535" s="7" t="n">
        <v>1</v>
      </c>
      <c r="D535" s="7" t="n">
        <v>6</v>
      </c>
      <c r="E535" s="7" t="n">
        <v>1</v>
      </c>
      <c r="F535" s="7" t="s">
        <v>4240</v>
      </c>
      <c r="G535" s="12" t="n">
        <f aca="false">IFERROR(INDEX('Semrush Data'!$A$1:$Z$20000,MATCH(A535,'Semrush Data'!$A$1:$A$20000,0),MATCH("Volume",'Semrush Data'!$A$1:$Z$1,0)),"")</f>
        <v>10</v>
      </c>
      <c r="H535" s="7" t="n">
        <f aca="false">IFERROR(INDEX('Semrush Data'!$A$1:$Z$20000,MATCH(A535,'Semrush Data'!$A$1:$A$20000,0),MATCH("Keyword Difficulty*",'Semrush Data'!$A$1:$Z$1,0)),"")</f>
        <v>22</v>
      </c>
      <c r="I535" s="13" t="n">
        <f aca="false">IFERROR(INDEX('Semrush Data'!$A$1:$Z$20000,MATCH(A535,'Semrush Data'!$A$1:$A$20000,0),MATCH("CPC*",'Semrush Data'!$A$1:$Z$1,0)),"")</f>
        <v>0</v>
      </c>
      <c r="J535" s="7" t="str">
        <f aca="false">IFERROR(INDEX('Semrush Data'!$A$1:$Z$20000,MATCH(A535,'Semrush Data'!$A$1:$A$20000,0),MATCH("Intent",'Semrush Data'!$A$1:$Z$1,0)),"")</f>
        <v>Transactional Navigational</v>
      </c>
    </row>
    <row r="536" customFormat="false" ht="15" hidden="false" customHeight="true" outlineLevel="0" collapsed="false">
      <c r="A536" s="7" t="s">
        <v>4254</v>
      </c>
      <c r="B536" s="7" t="s">
        <v>38</v>
      </c>
      <c r="C536" s="7" t="n">
        <v>1</v>
      </c>
      <c r="D536" s="7" t="n">
        <v>6</v>
      </c>
      <c r="E536" s="7" t="n">
        <v>1</v>
      </c>
      <c r="F536" s="7" t="s">
        <v>4252</v>
      </c>
      <c r="G536" s="12" t="n">
        <f aca="false">IFERROR(INDEX('Semrush Data'!$A$1:$Z$20000,MATCH(A536,'Semrush Data'!$A$1:$A$20000,0),MATCH("Volume",'Semrush Data'!$A$1:$Z$1,0)),"")</f>
        <v>40</v>
      </c>
      <c r="H536" s="7" t="n">
        <f aca="false">IFERROR(INDEX('Semrush Data'!$A$1:$Z$20000,MATCH(A536,'Semrush Data'!$A$1:$A$20000,0),MATCH("Keyword Difficulty*",'Semrush Data'!$A$1:$Z$1,0)),"")</f>
        <v>22</v>
      </c>
      <c r="I536" s="13" t="n">
        <f aca="false">IFERROR(INDEX('Semrush Data'!$A$1:$Z$20000,MATCH(A536,'Semrush Data'!$A$1:$A$20000,0),MATCH("CPC*",'Semrush Data'!$A$1:$Z$1,0)),"")</f>
        <v>0</v>
      </c>
      <c r="J536" s="7" t="str">
        <f aca="false">IFERROR(INDEX('Semrush Data'!$A$1:$Z$20000,MATCH(A536,'Semrush Data'!$A$1:$A$20000,0),MATCH("Intent",'Semrush Data'!$A$1:$Z$1,0)),"")</f>
        <v>Commercial</v>
      </c>
    </row>
    <row r="537" customFormat="false" ht="15" hidden="false" customHeight="true" outlineLevel="0" collapsed="false">
      <c r="A537" s="7" t="s">
        <v>4265</v>
      </c>
      <c r="B537" s="7" t="s">
        <v>38</v>
      </c>
      <c r="C537" s="7" t="n">
        <v>1</v>
      </c>
      <c r="D537" s="7" t="n">
        <v>6</v>
      </c>
      <c r="E537" s="7" t="n">
        <v>1</v>
      </c>
      <c r="F537" s="7" t="s">
        <v>4263</v>
      </c>
      <c r="G537" s="12" t="n">
        <f aca="false">IFERROR(INDEX('Semrush Data'!$A$1:$Z$20000,MATCH(A537,'Semrush Data'!$A$1:$A$20000,0),MATCH("Volume",'Semrush Data'!$A$1:$Z$1,0)),"")</f>
        <v>30</v>
      </c>
      <c r="H537" s="7" t="n">
        <f aca="false">IFERROR(INDEX('Semrush Data'!$A$1:$Z$20000,MATCH(A537,'Semrush Data'!$A$1:$A$20000,0),MATCH("Keyword Difficulty*",'Semrush Data'!$A$1:$Z$1,0)),"")</f>
        <v>12</v>
      </c>
      <c r="I537" s="13" t="n">
        <f aca="false">IFERROR(INDEX('Semrush Data'!$A$1:$Z$20000,MATCH(A537,'Semrush Data'!$A$1:$A$20000,0),MATCH("CPC*",'Semrush Data'!$A$1:$Z$1,0)),"")</f>
        <v>0</v>
      </c>
      <c r="J537" s="7" t="str">
        <f aca="false">IFERROR(INDEX('Semrush Data'!$A$1:$Z$20000,MATCH(A537,'Semrush Data'!$A$1:$A$20000,0),MATCH("Intent",'Semrush Data'!$A$1:$Z$1,0)),"")</f>
        <v>Navigational</v>
      </c>
    </row>
    <row r="538" customFormat="false" ht="15" hidden="false" customHeight="true" outlineLevel="0" collapsed="false">
      <c r="A538" s="7" t="s">
        <v>4274</v>
      </c>
      <c r="B538" s="7" t="s">
        <v>38</v>
      </c>
      <c r="C538" s="7" t="n">
        <v>1</v>
      </c>
      <c r="D538" s="7" t="n">
        <v>6</v>
      </c>
      <c r="E538" s="7" t="n">
        <v>1</v>
      </c>
      <c r="F538" s="7" t="s">
        <v>80</v>
      </c>
      <c r="G538" s="12" t="n">
        <f aca="false">IFERROR(INDEX('Semrush Data'!$A$1:$Z$20000,MATCH(A538,'Semrush Data'!$A$1:$A$20000,0),MATCH("Volume",'Semrush Data'!$A$1:$Z$1,0)),"")</f>
        <v>1600</v>
      </c>
      <c r="H538" s="7" t="n">
        <f aca="false">IFERROR(INDEX('Semrush Data'!$A$1:$Z$20000,MATCH(A538,'Semrush Data'!$A$1:$A$20000,0),MATCH("Keyword Difficulty*",'Semrush Data'!$A$1:$Z$1,0)),"")</f>
        <v>29</v>
      </c>
      <c r="I538" s="13" t="n">
        <f aca="false">IFERROR(INDEX('Semrush Data'!$A$1:$Z$20000,MATCH(A538,'Semrush Data'!$A$1:$A$20000,0),MATCH("CPC*",'Semrush Data'!$A$1:$Z$1,0)),"")</f>
        <v>0.55</v>
      </c>
      <c r="J538" s="7" t="str">
        <f aca="false">IFERROR(INDEX('Semrush Data'!$A$1:$Z$20000,MATCH(A538,'Semrush Data'!$A$1:$A$20000,0),MATCH("Intent",'Semrush Data'!$A$1:$Z$1,0)),"")</f>
        <v>Informational</v>
      </c>
    </row>
    <row r="539" customFormat="false" ht="15" hidden="false" customHeight="true" outlineLevel="0" collapsed="false">
      <c r="A539" s="7" t="s">
        <v>4286</v>
      </c>
      <c r="B539" s="7" t="s">
        <v>38</v>
      </c>
      <c r="C539" s="7" t="n">
        <v>1</v>
      </c>
      <c r="D539" s="7" t="n">
        <v>6</v>
      </c>
      <c r="E539" s="7" t="n">
        <v>1</v>
      </c>
      <c r="F539" s="7" t="s">
        <v>4284</v>
      </c>
      <c r="G539" s="12" t="n">
        <f aca="false">IFERROR(INDEX('Semrush Data'!$A$1:$Z$20000,MATCH(A539,'Semrush Data'!$A$1:$A$20000,0),MATCH("Volume",'Semrush Data'!$A$1:$Z$1,0)),"")</f>
        <v>20</v>
      </c>
      <c r="H539" s="7" t="n">
        <f aca="false">IFERROR(INDEX('Semrush Data'!$A$1:$Z$20000,MATCH(A539,'Semrush Data'!$A$1:$A$20000,0),MATCH("Keyword Difficulty*",'Semrush Data'!$A$1:$Z$1,0)),"")</f>
        <v>25</v>
      </c>
      <c r="I539" s="13" t="n">
        <f aca="false">IFERROR(INDEX('Semrush Data'!$A$1:$Z$20000,MATCH(A539,'Semrush Data'!$A$1:$A$20000,0),MATCH("CPC*",'Semrush Data'!$A$1:$Z$1,0)),"")</f>
        <v>0</v>
      </c>
      <c r="J539" s="7" t="str">
        <f aca="false">IFERROR(INDEX('Semrush Data'!$A$1:$Z$20000,MATCH(A539,'Semrush Data'!$A$1:$A$20000,0),MATCH("Intent",'Semrush Data'!$A$1:$Z$1,0)),"")</f>
        <v>Navigational</v>
      </c>
    </row>
    <row r="540" customFormat="false" ht="15" hidden="false" customHeight="true" outlineLevel="0" collapsed="false">
      <c r="A540" s="7" t="s">
        <v>4297</v>
      </c>
      <c r="B540" s="7" t="s">
        <v>38</v>
      </c>
      <c r="C540" s="7" t="n">
        <v>1</v>
      </c>
      <c r="D540" s="7" t="n">
        <v>6</v>
      </c>
      <c r="E540" s="7" t="n">
        <v>1</v>
      </c>
      <c r="F540" s="7" t="s">
        <v>4295</v>
      </c>
      <c r="G540" s="12" t="n">
        <f aca="false">IFERROR(INDEX('Semrush Data'!$A$1:$Z$20000,MATCH(A540,'Semrush Data'!$A$1:$A$20000,0),MATCH("Volume",'Semrush Data'!$A$1:$Z$1,0)),"")</f>
        <v>20</v>
      </c>
      <c r="H540" s="7" t="n">
        <f aca="false">IFERROR(INDEX('Semrush Data'!$A$1:$Z$20000,MATCH(A540,'Semrush Data'!$A$1:$A$20000,0),MATCH("Keyword Difficulty*",'Semrush Data'!$A$1:$Z$1,0)),"")</f>
        <v>15</v>
      </c>
      <c r="I540" s="13" t="n">
        <f aca="false">IFERROR(INDEX('Semrush Data'!$A$1:$Z$20000,MATCH(A540,'Semrush Data'!$A$1:$A$20000,0),MATCH("CPC*",'Semrush Data'!$A$1:$Z$1,0)),"")</f>
        <v>0</v>
      </c>
      <c r="J540" s="7" t="str">
        <f aca="false">IFERROR(INDEX('Semrush Data'!$A$1:$Z$20000,MATCH(A540,'Semrush Data'!$A$1:$A$20000,0),MATCH("Intent",'Semrush Data'!$A$1:$Z$1,0)),"")</f>
        <v>Informational Transactional</v>
      </c>
    </row>
    <row r="541" customFormat="false" ht="15" hidden="false" customHeight="true" outlineLevel="0" collapsed="false">
      <c r="A541" s="7" t="s">
        <v>4308</v>
      </c>
      <c r="B541" s="7" t="s">
        <v>38</v>
      </c>
      <c r="C541" s="7" t="n">
        <v>1</v>
      </c>
      <c r="D541" s="7" t="n">
        <v>6</v>
      </c>
      <c r="E541" s="7" t="n">
        <v>1</v>
      </c>
      <c r="F541" s="7" t="s">
        <v>4306</v>
      </c>
      <c r="G541" s="12" t="n">
        <f aca="false">IFERROR(INDEX('Semrush Data'!$A$1:$Z$20000,MATCH(A541,'Semrush Data'!$A$1:$A$20000,0),MATCH("Volume",'Semrush Data'!$A$1:$Z$1,0)),"")</f>
        <v>10</v>
      </c>
      <c r="H541" s="7" t="n">
        <f aca="false">IFERROR(INDEX('Semrush Data'!$A$1:$Z$20000,MATCH(A541,'Semrush Data'!$A$1:$A$20000,0),MATCH("Keyword Difficulty*",'Semrush Data'!$A$1:$Z$1,0)),"")</f>
        <v>14</v>
      </c>
      <c r="I541" s="13" t="n">
        <f aca="false">IFERROR(INDEX('Semrush Data'!$A$1:$Z$20000,MATCH(A541,'Semrush Data'!$A$1:$A$20000,0),MATCH("CPC*",'Semrush Data'!$A$1:$Z$1,0)),"")</f>
        <v>0</v>
      </c>
      <c r="J541" s="7" t="str">
        <f aca="false">IFERROR(INDEX('Semrush Data'!$A$1:$Z$20000,MATCH(A541,'Semrush Data'!$A$1:$A$20000,0),MATCH("Intent",'Semrush Data'!$A$1:$Z$1,0)),"")</f>
        <v>Transactional Navigational</v>
      </c>
    </row>
    <row r="542" customFormat="false" ht="15" hidden="false" customHeight="true" outlineLevel="0" collapsed="false">
      <c r="A542" s="7" t="s">
        <v>4319</v>
      </c>
      <c r="B542" s="7" t="s">
        <v>38</v>
      </c>
      <c r="C542" s="7" t="n">
        <v>1</v>
      </c>
      <c r="D542" s="7" t="n">
        <v>6</v>
      </c>
      <c r="E542" s="7" t="n">
        <v>1</v>
      </c>
      <c r="F542" s="7" t="s">
        <v>4317</v>
      </c>
      <c r="G542" s="12" t="n">
        <f aca="false">IFERROR(INDEX('Semrush Data'!$A$1:$Z$20000,MATCH(A542,'Semrush Data'!$A$1:$A$20000,0),MATCH("Volume",'Semrush Data'!$A$1:$Z$1,0)),"")</f>
        <v>210</v>
      </c>
      <c r="H542" s="7" t="n">
        <f aca="false">IFERROR(INDEX('Semrush Data'!$A$1:$Z$20000,MATCH(A542,'Semrush Data'!$A$1:$A$20000,0),MATCH("Keyword Difficulty*",'Semrush Data'!$A$1:$Z$1,0)),"")</f>
        <v>28</v>
      </c>
      <c r="I542" s="13" t="n">
        <f aca="false">IFERROR(INDEX('Semrush Data'!$A$1:$Z$20000,MATCH(A542,'Semrush Data'!$A$1:$A$20000,0),MATCH("CPC*",'Semrush Data'!$A$1:$Z$1,0)),"")</f>
        <v>0</v>
      </c>
      <c r="J542" s="7" t="str">
        <f aca="false">IFERROR(INDEX('Semrush Data'!$A$1:$Z$20000,MATCH(A542,'Semrush Data'!$A$1:$A$20000,0),MATCH("Intent",'Semrush Data'!$A$1:$Z$1,0)),"")</f>
        <v>Informational Transactional</v>
      </c>
    </row>
    <row r="543" customFormat="false" ht="15" hidden="false" customHeight="true" outlineLevel="0" collapsed="false">
      <c r="A543" s="7" t="s">
        <v>4330</v>
      </c>
      <c r="B543" s="7" t="s">
        <v>38</v>
      </c>
      <c r="C543" s="7" t="n">
        <v>1</v>
      </c>
      <c r="D543" s="7" t="n">
        <v>6</v>
      </c>
      <c r="E543" s="7" t="n">
        <v>1</v>
      </c>
      <c r="F543" s="7" t="s">
        <v>4328</v>
      </c>
      <c r="G543" s="12" t="n">
        <f aca="false">IFERROR(INDEX('Semrush Data'!$A$1:$Z$20000,MATCH(A543,'Semrush Data'!$A$1:$A$20000,0),MATCH("Volume",'Semrush Data'!$A$1:$Z$1,0)),"")</f>
        <v>50</v>
      </c>
      <c r="H543" s="7" t="n">
        <f aca="false">IFERROR(INDEX('Semrush Data'!$A$1:$Z$20000,MATCH(A543,'Semrush Data'!$A$1:$A$20000,0),MATCH("Keyword Difficulty*",'Semrush Data'!$A$1:$Z$1,0)),"")</f>
        <v>17</v>
      </c>
      <c r="I543" s="13" t="n">
        <f aca="false">IFERROR(INDEX('Semrush Data'!$A$1:$Z$20000,MATCH(A543,'Semrush Data'!$A$1:$A$20000,0),MATCH("CPC*",'Semrush Data'!$A$1:$Z$1,0)),"")</f>
        <v>0</v>
      </c>
      <c r="J543" s="7" t="str">
        <f aca="false">IFERROR(INDEX('Semrush Data'!$A$1:$Z$20000,MATCH(A543,'Semrush Data'!$A$1:$A$20000,0),MATCH("Intent",'Semrush Data'!$A$1:$Z$1,0)),"")</f>
        <v>Informational</v>
      </c>
    </row>
    <row r="544" customFormat="false" ht="15" hidden="false" customHeight="true" outlineLevel="0" collapsed="false">
      <c r="A544" s="7" t="s">
        <v>4342</v>
      </c>
      <c r="B544" s="7" t="s">
        <v>38</v>
      </c>
      <c r="C544" s="7" t="n">
        <v>1</v>
      </c>
      <c r="D544" s="7" t="n">
        <v>6</v>
      </c>
      <c r="E544" s="7" t="n">
        <v>1</v>
      </c>
      <c r="F544" s="7" t="s">
        <v>4340</v>
      </c>
      <c r="G544" s="12" t="n">
        <f aca="false">IFERROR(INDEX('Semrush Data'!$A$1:$Z$20000,MATCH(A544,'Semrush Data'!$A$1:$A$20000,0),MATCH("Volume",'Semrush Data'!$A$1:$Z$1,0)),"")</f>
        <v>50</v>
      </c>
      <c r="H544" s="7" t="n">
        <f aca="false">IFERROR(INDEX('Semrush Data'!$A$1:$Z$20000,MATCH(A544,'Semrush Data'!$A$1:$A$20000,0),MATCH("Keyword Difficulty*",'Semrush Data'!$A$1:$Z$1,0)),"")</f>
        <v>23</v>
      </c>
      <c r="I544" s="13" t="n">
        <f aca="false">IFERROR(INDEX('Semrush Data'!$A$1:$Z$20000,MATCH(A544,'Semrush Data'!$A$1:$A$20000,0),MATCH("CPC*",'Semrush Data'!$A$1:$Z$1,0)),"")</f>
        <v>0</v>
      </c>
      <c r="J544" s="7" t="str">
        <f aca="false">IFERROR(INDEX('Semrush Data'!$A$1:$Z$20000,MATCH(A544,'Semrush Data'!$A$1:$A$20000,0),MATCH("Intent",'Semrush Data'!$A$1:$Z$1,0)),"")</f>
        <v>Transactional Navigational</v>
      </c>
    </row>
    <row r="545" customFormat="false" ht="15" hidden="false" customHeight="true" outlineLevel="0" collapsed="false">
      <c r="A545" s="7" t="s">
        <v>4560</v>
      </c>
      <c r="B545" s="7" t="s">
        <v>38</v>
      </c>
      <c r="C545" s="7" t="n">
        <v>1</v>
      </c>
      <c r="D545" s="7" t="n">
        <v>6</v>
      </c>
      <c r="E545" s="7" t="n">
        <v>2</v>
      </c>
      <c r="F545" s="7" t="s">
        <v>6800</v>
      </c>
      <c r="G545" s="12" t="n">
        <f aca="false">IFERROR(INDEX('Semrush Data'!$A$1:$Z$20000,MATCH(A545,'Semrush Data'!$A$1:$A$20000,0),MATCH("Volume",'Semrush Data'!$A$1:$Z$1,0)),"")</f>
        <v>20</v>
      </c>
      <c r="H545" s="7" t="n">
        <f aca="false">IFERROR(INDEX('Semrush Data'!$A$1:$Z$20000,MATCH(A545,'Semrush Data'!$A$1:$A$20000,0),MATCH("Keyword Difficulty*",'Semrush Data'!$A$1:$Z$1,0)),"")</f>
        <v>20</v>
      </c>
      <c r="I545" s="13" t="n">
        <f aca="false">IFERROR(INDEX('Semrush Data'!$A$1:$Z$20000,MATCH(A545,'Semrush Data'!$A$1:$A$20000,0),MATCH("CPC*",'Semrush Data'!$A$1:$Z$1,0)),"")</f>
        <v>0</v>
      </c>
      <c r="J545" s="7" t="str">
        <f aca="false">IFERROR(INDEX('Semrush Data'!$A$1:$Z$20000,MATCH(A545,'Semrush Data'!$A$1:$A$20000,0),MATCH("Intent",'Semrush Data'!$A$1:$Z$1,0)),"")</f>
        <v>Informational Transactional</v>
      </c>
    </row>
    <row r="546" customFormat="false" ht="15" hidden="false" customHeight="true" outlineLevel="0" collapsed="false">
      <c r="A546" s="7" t="s">
        <v>4353</v>
      </c>
      <c r="B546" s="7" t="s">
        <v>38</v>
      </c>
      <c r="C546" s="7" t="n">
        <v>1</v>
      </c>
      <c r="D546" s="7" t="n">
        <v>6</v>
      </c>
      <c r="E546" s="7" t="n">
        <v>1</v>
      </c>
      <c r="F546" s="7" t="s">
        <v>4351</v>
      </c>
      <c r="G546" s="12" t="n">
        <f aca="false">IFERROR(INDEX('Semrush Data'!$A$1:$Z$20000,MATCH(A546,'Semrush Data'!$A$1:$A$20000,0),MATCH("Volume",'Semrush Data'!$A$1:$Z$1,0)),"")</f>
        <v>70</v>
      </c>
      <c r="H546" s="7" t="n">
        <f aca="false">IFERROR(INDEX('Semrush Data'!$A$1:$Z$20000,MATCH(A546,'Semrush Data'!$A$1:$A$20000,0),MATCH("Keyword Difficulty*",'Semrush Data'!$A$1:$Z$1,0)),"")</f>
        <v>27</v>
      </c>
      <c r="I546" s="13" t="n">
        <f aca="false">IFERROR(INDEX('Semrush Data'!$A$1:$Z$20000,MATCH(A546,'Semrush Data'!$A$1:$A$20000,0),MATCH("CPC*",'Semrush Data'!$A$1:$Z$1,0)),"")</f>
        <v>0</v>
      </c>
      <c r="J546" s="7" t="str">
        <f aca="false">IFERROR(INDEX('Semrush Data'!$A$1:$Z$20000,MATCH(A546,'Semrush Data'!$A$1:$A$20000,0),MATCH("Intent",'Semrush Data'!$A$1:$Z$1,0)),"")</f>
        <v>Transactional</v>
      </c>
    </row>
    <row r="547" customFormat="false" ht="15" hidden="false" customHeight="true" outlineLevel="0" collapsed="false">
      <c r="A547" s="7" t="s">
        <v>4364</v>
      </c>
      <c r="B547" s="7" t="s">
        <v>38</v>
      </c>
      <c r="C547" s="7" t="n">
        <v>1</v>
      </c>
      <c r="D547" s="7" t="n">
        <v>6</v>
      </c>
      <c r="E547" s="7" t="n">
        <v>1</v>
      </c>
      <c r="F547" s="7" t="s">
        <v>4362</v>
      </c>
      <c r="G547" s="12" t="n">
        <f aca="false">IFERROR(INDEX('Semrush Data'!$A$1:$Z$20000,MATCH(A547,'Semrush Data'!$A$1:$A$20000,0),MATCH("Volume",'Semrush Data'!$A$1:$Z$1,0)),"")</f>
        <v>20</v>
      </c>
      <c r="H547" s="7" t="n">
        <f aca="false">IFERROR(INDEX('Semrush Data'!$A$1:$Z$20000,MATCH(A547,'Semrush Data'!$A$1:$A$20000,0),MATCH("Keyword Difficulty*",'Semrush Data'!$A$1:$Z$1,0)),"")</f>
        <v>21</v>
      </c>
      <c r="I547" s="13" t="n">
        <f aca="false">IFERROR(INDEX('Semrush Data'!$A$1:$Z$20000,MATCH(A547,'Semrush Data'!$A$1:$A$20000,0),MATCH("CPC*",'Semrush Data'!$A$1:$Z$1,0)),"")</f>
        <v>0</v>
      </c>
      <c r="J547" s="7" t="str">
        <f aca="false">IFERROR(INDEX('Semrush Data'!$A$1:$Z$20000,MATCH(A547,'Semrush Data'!$A$1:$A$20000,0),MATCH("Intent",'Semrush Data'!$A$1:$Z$1,0)),"")</f>
        <v>Informational Transactional</v>
      </c>
    </row>
    <row r="548" customFormat="false" ht="15" hidden="false" customHeight="true" outlineLevel="0" collapsed="false">
      <c r="A548" s="7" t="s">
        <v>4373</v>
      </c>
      <c r="B548" s="7" t="s">
        <v>38</v>
      </c>
      <c r="C548" s="7" t="n">
        <v>1</v>
      </c>
      <c r="D548" s="7" t="n">
        <v>6</v>
      </c>
      <c r="E548" s="7" t="n">
        <v>1</v>
      </c>
      <c r="F548" s="7" t="s">
        <v>96</v>
      </c>
      <c r="G548" s="12" t="n">
        <f aca="false">IFERROR(INDEX('Semrush Data'!$A$1:$Z$20000,MATCH(A548,'Semrush Data'!$A$1:$A$20000,0),MATCH("Volume",'Semrush Data'!$A$1:$Z$1,0)),"")</f>
        <v>880</v>
      </c>
      <c r="H548" s="7" t="n">
        <f aca="false">IFERROR(INDEX('Semrush Data'!$A$1:$Z$20000,MATCH(A548,'Semrush Data'!$A$1:$A$20000,0),MATCH("Keyword Difficulty*",'Semrush Data'!$A$1:$Z$1,0)),"")</f>
        <v>29</v>
      </c>
      <c r="I548" s="13" t="n">
        <f aca="false">IFERROR(INDEX('Semrush Data'!$A$1:$Z$20000,MATCH(A548,'Semrush Data'!$A$1:$A$20000,0),MATCH("CPC*",'Semrush Data'!$A$1:$Z$1,0)),"")</f>
        <v>0.56</v>
      </c>
      <c r="J548" s="7" t="str">
        <f aca="false">IFERROR(INDEX('Semrush Data'!$A$1:$Z$20000,MATCH(A548,'Semrush Data'!$A$1:$A$20000,0),MATCH("Intent",'Semrush Data'!$A$1:$Z$1,0)),"")</f>
        <v>Informational</v>
      </c>
    </row>
    <row r="549" customFormat="false" ht="15" hidden="false" customHeight="true" outlineLevel="0" collapsed="false">
      <c r="A549" s="7" t="s">
        <v>4384</v>
      </c>
      <c r="B549" s="7" t="s">
        <v>38</v>
      </c>
      <c r="C549" s="7" t="n">
        <v>1</v>
      </c>
      <c r="D549" s="7" t="n">
        <v>6</v>
      </c>
      <c r="E549" s="7" t="n">
        <v>1</v>
      </c>
      <c r="F549" s="7" t="s">
        <v>4382</v>
      </c>
      <c r="G549" s="12" t="n">
        <f aca="false">IFERROR(INDEX('Semrush Data'!$A$1:$Z$20000,MATCH(A549,'Semrush Data'!$A$1:$A$20000,0),MATCH("Volume",'Semrush Data'!$A$1:$Z$1,0)),"")</f>
        <v>110</v>
      </c>
      <c r="H549" s="7" t="n">
        <f aca="false">IFERROR(INDEX('Semrush Data'!$A$1:$Z$20000,MATCH(A549,'Semrush Data'!$A$1:$A$20000,0),MATCH("Keyword Difficulty*",'Semrush Data'!$A$1:$Z$1,0)),"")</f>
        <v>25</v>
      </c>
      <c r="I549" s="13" t="n">
        <f aca="false">IFERROR(INDEX('Semrush Data'!$A$1:$Z$20000,MATCH(A549,'Semrush Data'!$A$1:$A$20000,0),MATCH("CPC*",'Semrush Data'!$A$1:$Z$1,0)),"")</f>
        <v>0</v>
      </c>
      <c r="J549" s="7" t="str">
        <f aca="false">IFERROR(INDEX('Semrush Data'!$A$1:$Z$20000,MATCH(A549,'Semrush Data'!$A$1:$A$20000,0),MATCH("Intent",'Semrush Data'!$A$1:$Z$1,0)),"")</f>
        <v>Informational</v>
      </c>
    </row>
    <row r="550" customFormat="false" ht="15" hidden="false" customHeight="true" outlineLevel="0" collapsed="false">
      <c r="A550" s="7" t="s">
        <v>4395</v>
      </c>
      <c r="B550" s="7" t="s">
        <v>38</v>
      </c>
      <c r="C550" s="7" t="n">
        <v>1</v>
      </c>
      <c r="D550" s="7" t="n">
        <v>6</v>
      </c>
      <c r="E550" s="7" t="n">
        <v>1</v>
      </c>
      <c r="F550" s="7" t="s">
        <v>4393</v>
      </c>
      <c r="G550" s="12" t="n">
        <f aca="false">IFERROR(INDEX('Semrush Data'!$A$1:$Z$20000,MATCH(A550,'Semrush Data'!$A$1:$A$20000,0),MATCH("Volume",'Semrush Data'!$A$1:$Z$1,0)),"")</f>
        <v>20</v>
      </c>
      <c r="H550" s="7" t="n">
        <f aca="false">IFERROR(INDEX('Semrush Data'!$A$1:$Z$20000,MATCH(A550,'Semrush Data'!$A$1:$A$20000,0),MATCH("Keyword Difficulty*",'Semrush Data'!$A$1:$Z$1,0)),"")</f>
        <v>22</v>
      </c>
      <c r="I550" s="13" t="n">
        <f aca="false">IFERROR(INDEX('Semrush Data'!$A$1:$Z$20000,MATCH(A550,'Semrush Data'!$A$1:$A$20000,0),MATCH("CPC*",'Semrush Data'!$A$1:$Z$1,0)),"")</f>
        <v>0</v>
      </c>
      <c r="J550" s="7" t="str">
        <f aca="false">IFERROR(INDEX('Semrush Data'!$A$1:$Z$20000,MATCH(A550,'Semrush Data'!$A$1:$A$20000,0),MATCH("Intent",'Semrush Data'!$A$1:$Z$1,0)),"")</f>
        <v>Transactional Navigational</v>
      </c>
    </row>
    <row r="551" customFormat="false" ht="15" hidden="false" customHeight="true" outlineLevel="0" collapsed="false">
      <c r="A551" s="7" t="s">
        <v>4571</v>
      </c>
      <c r="B551" s="7" t="s">
        <v>38</v>
      </c>
      <c r="C551" s="7" t="n">
        <v>1</v>
      </c>
      <c r="D551" s="7" t="n">
        <v>6</v>
      </c>
      <c r="E551" s="7" t="n">
        <v>1</v>
      </c>
      <c r="F551" s="7" t="s">
        <v>4568</v>
      </c>
      <c r="G551" s="12" t="n">
        <f aca="false">IFERROR(INDEX('Semrush Data'!$A$1:$Z$20000,MATCH(A551,'Semrush Data'!$A$1:$A$20000,0),MATCH("Volume",'Semrush Data'!$A$1:$Z$1,0)),"")</f>
        <v>0</v>
      </c>
      <c r="H551" s="7" t="n">
        <f aca="false">IFERROR(INDEX('Semrush Data'!$A$1:$Z$20000,MATCH(A551,'Semrush Data'!$A$1:$A$20000,0),MATCH("Keyword Difficulty*",'Semrush Data'!$A$1:$Z$1,0)),"")</f>
        <v>16</v>
      </c>
      <c r="I551" s="13" t="n">
        <f aca="false">IFERROR(INDEX('Semrush Data'!$A$1:$Z$20000,MATCH(A551,'Semrush Data'!$A$1:$A$20000,0),MATCH("CPC*",'Semrush Data'!$A$1:$Z$1,0)),"")</f>
        <v>0</v>
      </c>
      <c r="J551" s="7" t="str">
        <f aca="false">IFERROR(INDEX('Semrush Data'!$A$1:$Z$20000,MATCH(A551,'Semrush Data'!$A$1:$A$20000,0),MATCH("Intent",'Semrush Data'!$A$1:$Z$1,0)),"")</f>
        <v>Informational</v>
      </c>
    </row>
    <row r="552" customFormat="false" ht="15" hidden="false" customHeight="true" outlineLevel="0" collapsed="false">
      <c r="A552" s="7" t="s">
        <v>4583</v>
      </c>
      <c r="B552" s="7" t="s">
        <v>38</v>
      </c>
      <c r="C552" s="7" t="n">
        <v>1</v>
      </c>
      <c r="D552" s="7" t="n">
        <v>6</v>
      </c>
      <c r="E552" s="7" t="n">
        <v>1</v>
      </c>
      <c r="F552" s="7" t="s">
        <v>4580</v>
      </c>
      <c r="G552" s="12" t="n">
        <f aca="false">IFERROR(INDEX('Semrush Data'!$A$1:$Z$20000,MATCH(A552,'Semrush Data'!$A$1:$A$20000,0),MATCH("Volume",'Semrush Data'!$A$1:$Z$1,0)),"")</f>
        <v>20</v>
      </c>
      <c r="H552" s="7" t="n">
        <f aca="false">IFERROR(INDEX('Semrush Data'!$A$1:$Z$20000,MATCH(A552,'Semrush Data'!$A$1:$A$20000,0),MATCH("Keyword Difficulty*",'Semrush Data'!$A$1:$Z$1,0)),"")</f>
        <v>13</v>
      </c>
      <c r="I552" s="13" t="n">
        <f aca="false">IFERROR(INDEX('Semrush Data'!$A$1:$Z$20000,MATCH(A552,'Semrush Data'!$A$1:$A$20000,0),MATCH("CPC*",'Semrush Data'!$A$1:$Z$1,0)),"")</f>
        <v>0.33</v>
      </c>
      <c r="J552" s="7" t="str">
        <f aca="false">IFERROR(INDEX('Semrush Data'!$A$1:$Z$20000,MATCH(A552,'Semrush Data'!$A$1:$A$20000,0),MATCH("Intent",'Semrush Data'!$A$1:$Z$1,0)),"")</f>
        <v>Informational</v>
      </c>
    </row>
    <row r="553" customFormat="false" ht="15" hidden="false" customHeight="true" outlineLevel="0" collapsed="false">
      <c r="A553" s="7" t="s">
        <v>4594</v>
      </c>
      <c r="B553" s="7" t="s">
        <v>38</v>
      </c>
      <c r="C553" s="7" t="n">
        <v>1</v>
      </c>
      <c r="D553" s="7" t="n">
        <v>6</v>
      </c>
      <c r="E553" s="7" t="n">
        <v>1</v>
      </c>
      <c r="F553" s="7" t="s">
        <v>112</v>
      </c>
      <c r="G553" s="12" t="n">
        <f aca="false">IFERROR(INDEX('Semrush Data'!$A$1:$Z$20000,MATCH(A553,'Semrush Data'!$A$1:$A$20000,0),MATCH("Volume",'Semrush Data'!$A$1:$Z$1,0)),"")</f>
        <v>590</v>
      </c>
      <c r="H553" s="7" t="n">
        <f aca="false">IFERROR(INDEX('Semrush Data'!$A$1:$Z$20000,MATCH(A553,'Semrush Data'!$A$1:$A$20000,0),MATCH("Keyword Difficulty*",'Semrush Data'!$A$1:$Z$1,0)),"")</f>
        <v>28</v>
      </c>
      <c r="I553" s="13" t="n">
        <f aca="false">IFERROR(INDEX('Semrush Data'!$A$1:$Z$20000,MATCH(A553,'Semrush Data'!$A$1:$A$20000,0),MATCH("CPC*",'Semrush Data'!$A$1:$Z$1,0)),"")</f>
        <v>0.51</v>
      </c>
      <c r="J553" s="7" t="str">
        <f aca="false">IFERROR(INDEX('Semrush Data'!$A$1:$Z$20000,MATCH(A553,'Semrush Data'!$A$1:$A$20000,0),MATCH("Intent",'Semrush Data'!$A$1:$Z$1,0)),"")</f>
        <v>Informational</v>
      </c>
    </row>
    <row r="554" customFormat="false" ht="15" hidden="false" customHeight="true" outlineLevel="0" collapsed="false">
      <c r="A554" s="7" t="s">
        <v>4606</v>
      </c>
      <c r="B554" s="7" t="s">
        <v>38</v>
      </c>
      <c r="C554" s="7" t="n">
        <v>1</v>
      </c>
      <c r="D554" s="7" t="n">
        <v>6</v>
      </c>
      <c r="E554" s="7" t="n">
        <v>1</v>
      </c>
      <c r="F554" s="7" t="s">
        <v>4604</v>
      </c>
      <c r="G554" s="12" t="n">
        <f aca="false">IFERROR(INDEX('Semrush Data'!$A$1:$Z$20000,MATCH(A554,'Semrush Data'!$A$1:$A$20000,0),MATCH("Volume",'Semrush Data'!$A$1:$Z$1,0)),"")</f>
        <v>20</v>
      </c>
      <c r="H554" s="7" t="n">
        <f aca="false">IFERROR(INDEX('Semrush Data'!$A$1:$Z$20000,MATCH(A554,'Semrush Data'!$A$1:$A$20000,0),MATCH("Keyword Difficulty*",'Semrush Data'!$A$1:$Z$1,0)),"")</f>
        <v>18</v>
      </c>
      <c r="I554" s="13" t="n">
        <f aca="false">IFERROR(INDEX('Semrush Data'!$A$1:$Z$20000,MATCH(A554,'Semrush Data'!$A$1:$A$20000,0),MATCH("CPC*",'Semrush Data'!$A$1:$Z$1,0)),"")</f>
        <v>0.63</v>
      </c>
      <c r="J554" s="7" t="str">
        <f aca="false">IFERROR(INDEX('Semrush Data'!$A$1:$Z$20000,MATCH(A554,'Semrush Data'!$A$1:$A$20000,0),MATCH("Intent",'Semrush Data'!$A$1:$Z$1,0)),"")</f>
        <v>Informational</v>
      </c>
    </row>
    <row r="555" customFormat="false" ht="15" hidden="false" customHeight="true" outlineLevel="0" collapsed="false">
      <c r="A555" s="7" t="s">
        <v>4692</v>
      </c>
      <c r="B555" s="7" t="s">
        <v>38</v>
      </c>
      <c r="C555" s="7" t="n">
        <v>1</v>
      </c>
      <c r="D555" s="7" t="n">
        <v>6</v>
      </c>
      <c r="E555" s="7" t="n">
        <v>1</v>
      </c>
      <c r="F555" s="7" t="s">
        <v>4690</v>
      </c>
      <c r="G555" s="12" t="n">
        <f aca="false">IFERROR(INDEX('Semrush Data'!$A$1:$Z$20000,MATCH(A555,'Semrush Data'!$A$1:$A$20000,0),MATCH("Volume",'Semrush Data'!$A$1:$Z$1,0)),"")</f>
        <v>260</v>
      </c>
      <c r="H555" s="7" t="n">
        <f aca="false">IFERROR(INDEX('Semrush Data'!$A$1:$Z$20000,MATCH(A555,'Semrush Data'!$A$1:$A$20000,0),MATCH("Keyword Difficulty*",'Semrush Data'!$A$1:$Z$1,0)),"")</f>
        <v>18</v>
      </c>
      <c r="I555" s="13" t="n">
        <f aca="false">IFERROR(INDEX('Semrush Data'!$A$1:$Z$20000,MATCH(A555,'Semrush Data'!$A$1:$A$20000,0),MATCH("CPC*",'Semrush Data'!$A$1:$Z$1,0)),"")</f>
        <v>0.5</v>
      </c>
      <c r="J555" s="7" t="str">
        <f aca="false">IFERROR(INDEX('Semrush Data'!$A$1:$Z$20000,MATCH(A555,'Semrush Data'!$A$1:$A$20000,0),MATCH("Intent",'Semrush Data'!$A$1:$Z$1,0)),"")</f>
        <v>Transactional</v>
      </c>
    </row>
    <row r="556" customFormat="false" ht="15" hidden="false" customHeight="true" outlineLevel="0" collapsed="false">
      <c r="A556" s="7" t="s">
        <v>4671</v>
      </c>
      <c r="B556" s="7" t="s">
        <v>38</v>
      </c>
      <c r="C556" s="7" t="n">
        <v>1</v>
      </c>
      <c r="D556" s="7" t="n">
        <v>6</v>
      </c>
      <c r="E556" s="7" t="n">
        <v>1</v>
      </c>
      <c r="F556" s="7" t="s">
        <v>4669</v>
      </c>
      <c r="G556" s="12" t="n">
        <f aca="false">IFERROR(INDEX('Semrush Data'!$A$1:$Z$20000,MATCH(A556,'Semrush Data'!$A$1:$A$20000,0),MATCH("Volume",'Semrush Data'!$A$1:$Z$1,0)),"")</f>
        <v>0</v>
      </c>
      <c r="H556" s="7" t="n">
        <f aca="false">IFERROR(INDEX('Semrush Data'!$A$1:$Z$20000,MATCH(A556,'Semrush Data'!$A$1:$A$20000,0),MATCH("Keyword Difficulty*",'Semrush Data'!$A$1:$Z$1,0)),"")</f>
        <v>11</v>
      </c>
      <c r="I556" s="13" t="n">
        <f aca="false">IFERROR(INDEX('Semrush Data'!$A$1:$Z$20000,MATCH(A556,'Semrush Data'!$A$1:$A$20000,0),MATCH("CPC*",'Semrush Data'!$A$1:$Z$1,0)),"")</f>
        <v>0</v>
      </c>
      <c r="J556" s="7" t="str">
        <f aca="false">IFERROR(INDEX('Semrush Data'!$A$1:$Z$20000,MATCH(A556,'Semrush Data'!$A$1:$A$20000,0),MATCH("Intent",'Semrush Data'!$A$1:$Z$1,0)),"")</f>
        <v>Informational</v>
      </c>
    </row>
    <row r="557" customFormat="false" ht="15" hidden="false" customHeight="true" outlineLevel="0" collapsed="false">
      <c r="A557" s="7" t="s">
        <v>4744</v>
      </c>
      <c r="B557" s="7" t="s">
        <v>38</v>
      </c>
      <c r="C557" s="7" t="n">
        <v>1</v>
      </c>
      <c r="D557" s="7" t="n">
        <v>6</v>
      </c>
      <c r="E557" s="7" t="n">
        <v>1</v>
      </c>
      <c r="F557" s="7" t="s">
        <v>4742</v>
      </c>
      <c r="G557" s="12" t="n">
        <f aca="false">IFERROR(INDEX('Semrush Data'!$A$1:$Z$20000,MATCH(A557,'Semrush Data'!$A$1:$A$20000,0),MATCH("Volume",'Semrush Data'!$A$1:$Z$1,0)),"")</f>
        <v>0</v>
      </c>
      <c r="H557" s="7" t="n">
        <f aca="false">IFERROR(INDEX('Semrush Data'!$A$1:$Z$20000,MATCH(A557,'Semrush Data'!$A$1:$A$20000,0),MATCH("Keyword Difficulty*",'Semrush Data'!$A$1:$Z$1,0)),"")</f>
        <v>17</v>
      </c>
      <c r="I557" s="13" t="n">
        <f aca="false">IFERROR(INDEX('Semrush Data'!$A$1:$Z$20000,MATCH(A557,'Semrush Data'!$A$1:$A$20000,0),MATCH("CPC*",'Semrush Data'!$A$1:$Z$1,0)),"")</f>
        <v>0</v>
      </c>
      <c r="J557" s="7" t="str">
        <f aca="false">IFERROR(INDEX('Semrush Data'!$A$1:$Z$20000,MATCH(A557,'Semrush Data'!$A$1:$A$20000,0),MATCH("Intent",'Semrush Data'!$A$1:$Z$1,0)),"")</f>
        <v>Informational</v>
      </c>
    </row>
    <row r="558" customFormat="false" ht="15" hidden="false" customHeight="true" outlineLevel="0" collapsed="false">
      <c r="A558" s="7" t="s">
        <v>4619</v>
      </c>
      <c r="B558" s="7" t="s">
        <v>38</v>
      </c>
      <c r="C558" s="7" t="n">
        <v>1</v>
      </c>
      <c r="D558" s="7" t="n">
        <v>6</v>
      </c>
      <c r="E558" s="7" t="n">
        <v>1</v>
      </c>
      <c r="F558" s="7" t="s">
        <v>4616</v>
      </c>
      <c r="G558" s="12" t="n">
        <f aca="false">IFERROR(INDEX('Semrush Data'!$A$1:$Z$20000,MATCH(A558,'Semrush Data'!$A$1:$A$20000,0),MATCH("Volume",'Semrush Data'!$A$1:$Z$1,0)),"")</f>
        <v>0</v>
      </c>
      <c r="H558" s="7" t="n">
        <f aca="false">IFERROR(INDEX('Semrush Data'!$A$1:$Z$20000,MATCH(A558,'Semrush Data'!$A$1:$A$20000,0),MATCH("Keyword Difficulty*",'Semrush Data'!$A$1:$Z$1,0)),"")</f>
        <v>17</v>
      </c>
      <c r="I558" s="13" t="n">
        <f aca="false">IFERROR(INDEX('Semrush Data'!$A$1:$Z$20000,MATCH(A558,'Semrush Data'!$A$1:$A$20000,0),MATCH("CPC*",'Semrush Data'!$A$1:$Z$1,0)),"")</f>
        <v>0</v>
      </c>
      <c r="J558" s="7" t="str">
        <f aca="false">IFERROR(INDEX('Semrush Data'!$A$1:$Z$20000,MATCH(A558,'Semrush Data'!$A$1:$A$20000,0),MATCH("Intent",'Semrush Data'!$A$1:$Z$1,0)),"")</f>
        <v>Commercial</v>
      </c>
    </row>
    <row r="559" customFormat="false" ht="15" hidden="false" customHeight="true" outlineLevel="0" collapsed="false">
      <c r="A559" s="7" t="s">
        <v>4628</v>
      </c>
      <c r="B559" s="7" t="s">
        <v>38</v>
      </c>
      <c r="C559" s="7" t="n">
        <v>1</v>
      </c>
      <c r="D559" s="7" t="n">
        <v>6</v>
      </c>
      <c r="E559" s="7" t="n">
        <v>1</v>
      </c>
      <c r="F559" s="7" t="s">
        <v>64</v>
      </c>
      <c r="G559" s="12" t="n">
        <f aca="false">IFERROR(INDEX('Semrush Data'!$A$1:$Z$20000,MATCH(A559,'Semrush Data'!$A$1:$A$20000,0),MATCH("Volume",'Semrush Data'!$A$1:$Z$1,0)),"")</f>
        <v>4400</v>
      </c>
      <c r="H559" s="7" t="n">
        <f aca="false">IFERROR(INDEX('Semrush Data'!$A$1:$Z$20000,MATCH(A559,'Semrush Data'!$A$1:$A$20000,0),MATCH("Keyword Difficulty*",'Semrush Data'!$A$1:$Z$1,0)),"")</f>
        <v>29</v>
      </c>
      <c r="I559" s="13" t="n">
        <f aca="false">IFERROR(INDEX('Semrush Data'!$A$1:$Z$20000,MATCH(A559,'Semrush Data'!$A$1:$A$20000,0),MATCH("CPC*",'Semrush Data'!$A$1:$Z$1,0)),"")</f>
        <v>0.43</v>
      </c>
      <c r="J559" s="7" t="str">
        <f aca="false">IFERROR(INDEX('Semrush Data'!$A$1:$Z$20000,MATCH(A559,'Semrush Data'!$A$1:$A$20000,0),MATCH("Intent",'Semrush Data'!$A$1:$Z$1,0)),"")</f>
        <v>Informational</v>
      </c>
    </row>
    <row r="560" customFormat="false" ht="15" hidden="false" customHeight="true" outlineLevel="0" collapsed="false">
      <c r="A560" s="7" t="s">
        <v>4703</v>
      </c>
      <c r="B560" s="7" t="s">
        <v>38</v>
      </c>
      <c r="C560" s="7" t="n">
        <v>1</v>
      </c>
      <c r="D560" s="7" t="n">
        <v>6</v>
      </c>
      <c r="E560" s="7" t="n">
        <v>1</v>
      </c>
      <c r="F560" s="7" t="s">
        <v>4700</v>
      </c>
      <c r="G560" s="12" t="n">
        <f aca="false">IFERROR(INDEX('Semrush Data'!$A$1:$Z$20000,MATCH(A560,'Semrush Data'!$A$1:$A$20000,0),MATCH("Volume",'Semrush Data'!$A$1:$Z$1,0)),"")</f>
        <v>0</v>
      </c>
      <c r="H560" s="7" t="n">
        <f aca="false">IFERROR(INDEX('Semrush Data'!$A$1:$Z$20000,MATCH(A560,'Semrush Data'!$A$1:$A$20000,0),MATCH("Keyword Difficulty*",'Semrush Data'!$A$1:$Z$1,0)),"")</f>
        <v>17</v>
      </c>
      <c r="I560" s="13" t="n">
        <f aca="false">IFERROR(INDEX('Semrush Data'!$A$1:$Z$20000,MATCH(A560,'Semrush Data'!$A$1:$A$20000,0),MATCH("CPC*",'Semrush Data'!$A$1:$Z$1,0)),"")</f>
        <v>0</v>
      </c>
      <c r="J560" s="7" t="str">
        <f aca="false">IFERROR(INDEX('Semrush Data'!$A$1:$Z$20000,MATCH(A560,'Semrush Data'!$A$1:$A$20000,0),MATCH("Intent",'Semrush Data'!$A$1:$Z$1,0)),"")</f>
        <v>Informational Transactional</v>
      </c>
    </row>
    <row r="561" customFormat="false" ht="15" hidden="false" customHeight="true" outlineLevel="0" collapsed="false">
      <c r="A561" s="7" t="s">
        <v>4639</v>
      </c>
      <c r="B561" s="7" t="s">
        <v>38</v>
      </c>
      <c r="C561" s="7" t="n">
        <v>1</v>
      </c>
      <c r="D561" s="7" t="n">
        <v>6</v>
      </c>
      <c r="E561" s="7" t="n">
        <v>1</v>
      </c>
      <c r="F561" s="7" t="s">
        <v>4637</v>
      </c>
      <c r="G561" s="12" t="n">
        <f aca="false">IFERROR(INDEX('Semrush Data'!$A$1:$Z$20000,MATCH(A561,'Semrush Data'!$A$1:$A$20000,0),MATCH("Volume",'Semrush Data'!$A$1:$Z$1,0)),"")</f>
        <v>0</v>
      </c>
      <c r="H561" s="7" t="n">
        <f aca="false">IFERROR(INDEX('Semrush Data'!$A$1:$Z$20000,MATCH(A561,'Semrush Data'!$A$1:$A$20000,0),MATCH("Keyword Difficulty*",'Semrush Data'!$A$1:$Z$1,0)),"")</f>
        <v>20</v>
      </c>
      <c r="I561" s="13" t="n">
        <f aca="false">IFERROR(INDEX('Semrush Data'!$A$1:$Z$20000,MATCH(A561,'Semrush Data'!$A$1:$A$20000,0),MATCH("CPC*",'Semrush Data'!$A$1:$Z$1,0)),"")</f>
        <v>0</v>
      </c>
      <c r="J561" s="7" t="str">
        <f aca="false">IFERROR(INDEX('Semrush Data'!$A$1:$Z$20000,MATCH(A561,'Semrush Data'!$A$1:$A$20000,0),MATCH("Intent",'Semrush Data'!$A$1:$Z$1,0)),"")</f>
        <v>Informational</v>
      </c>
    </row>
    <row r="562" customFormat="false" ht="15" hidden="false" customHeight="true" outlineLevel="0" collapsed="false">
      <c r="A562" s="7" t="s">
        <v>4714</v>
      </c>
      <c r="B562" s="7" t="s">
        <v>38</v>
      </c>
      <c r="C562" s="7" t="n">
        <v>1</v>
      </c>
      <c r="D562" s="7" t="n">
        <v>6</v>
      </c>
      <c r="E562" s="7" t="n">
        <v>1</v>
      </c>
      <c r="F562" s="7" t="s">
        <v>4712</v>
      </c>
      <c r="G562" s="12" t="n">
        <f aca="false">IFERROR(INDEX('Semrush Data'!$A$1:$Z$20000,MATCH(A562,'Semrush Data'!$A$1:$A$20000,0),MATCH("Volume",'Semrush Data'!$A$1:$Z$1,0)),"")</f>
        <v>30</v>
      </c>
      <c r="H562" s="7" t="n">
        <f aca="false">IFERROR(INDEX('Semrush Data'!$A$1:$Z$20000,MATCH(A562,'Semrush Data'!$A$1:$A$20000,0),MATCH("Keyword Difficulty*",'Semrush Data'!$A$1:$Z$1,0)),"")</f>
        <v>12</v>
      </c>
      <c r="I562" s="13" t="n">
        <f aca="false">IFERROR(INDEX('Semrush Data'!$A$1:$Z$20000,MATCH(A562,'Semrush Data'!$A$1:$A$20000,0),MATCH("CPC*",'Semrush Data'!$A$1:$Z$1,0)),"")</f>
        <v>0.78</v>
      </c>
      <c r="J562" s="7" t="str">
        <f aca="false">IFERROR(INDEX('Semrush Data'!$A$1:$Z$20000,MATCH(A562,'Semrush Data'!$A$1:$A$20000,0),MATCH("Intent",'Semrush Data'!$A$1:$Z$1,0)),"")</f>
        <v>Informational</v>
      </c>
    </row>
    <row r="563" customFormat="false" ht="15" hidden="false" customHeight="true" outlineLevel="0" collapsed="false">
      <c r="A563" s="7" t="s">
        <v>4649</v>
      </c>
      <c r="B563" s="7" t="s">
        <v>38</v>
      </c>
      <c r="C563" s="7" t="n">
        <v>1</v>
      </c>
      <c r="D563" s="7" t="n">
        <v>6</v>
      </c>
      <c r="E563" s="7" t="n">
        <v>1</v>
      </c>
      <c r="F563" s="7" t="s">
        <v>4647</v>
      </c>
      <c r="G563" s="12" t="n">
        <f aca="false">IFERROR(INDEX('Semrush Data'!$A$1:$Z$20000,MATCH(A563,'Semrush Data'!$A$1:$A$20000,0),MATCH("Volume",'Semrush Data'!$A$1:$Z$1,0)),"")</f>
        <v>0</v>
      </c>
      <c r="H563" s="7" t="n">
        <f aca="false">IFERROR(INDEX('Semrush Data'!$A$1:$Z$20000,MATCH(A563,'Semrush Data'!$A$1:$A$20000,0),MATCH("Keyword Difficulty*",'Semrush Data'!$A$1:$Z$1,0)),"")</f>
        <v>20</v>
      </c>
      <c r="I563" s="13" t="n">
        <f aca="false">IFERROR(INDEX('Semrush Data'!$A$1:$Z$20000,MATCH(A563,'Semrush Data'!$A$1:$A$20000,0),MATCH("CPC*",'Semrush Data'!$A$1:$Z$1,0)),"")</f>
        <v>0</v>
      </c>
      <c r="J563" s="7" t="str">
        <f aca="false">IFERROR(INDEX('Semrush Data'!$A$1:$Z$20000,MATCH(A563,'Semrush Data'!$A$1:$A$20000,0),MATCH("Intent",'Semrush Data'!$A$1:$Z$1,0)),"")</f>
        <v>Navigational</v>
      </c>
    </row>
    <row r="564" customFormat="false" ht="15" hidden="false" customHeight="true" outlineLevel="0" collapsed="false">
      <c r="A564" s="7" t="s">
        <v>4680</v>
      </c>
      <c r="B564" s="7" t="s">
        <v>38</v>
      </c>
      <c r="C564" s="7" t="n">
        <v>1</v>
      </c>
      <c r="D564" s="7" t="n">
        <v>6</v>
      </c>
      <c r="E564" s="7" t="n">
        <v>1</v>
      </c>
      <c r="F564" s="7" t="s">
        <v>78</v>
      </c>
      <c r="G564" s="12" t="n">
        <f aca="false">IFERROR(INDEX('Semrush Data'!$A$1:$Z$20000,MATCH(A564,'Semrush Data'!$A$1:$A$20000,0),MATCH("Volume",'Semrush Data'!$A$1:$Z$1,0)),"")</f>
        <v>1600</v>
      </c>
      <c r="H564" s="7" t="n">
        <f aca="false">IFERROR(INDEX('Semrush Data'!$A$1:$Z$20000,MATCH(A564,'Semrush Data'!$A$1:$A$20000,0),MATCH("Keyword Difficulty*",'Semrush Data'!$A$1:$Z$1,0)),"")</f>
        <v>23</v>
      </c>
      <c r="I564" s="13" t="n">
        <f aca="false">IFERROR(INDEX('Semrush Data'!$A$1:$Z$20000,MATCH(A564,'Semrush Data'!$A$1:$A$20000,0),MATCH("CPC*",'Semrush Data'!$A$1:$Z$1,0)),"")</f>
        <v>0.42</v>
      </c>
      <c r="J564" s="7" t="str">
        <f aca="false">IFERROR(INDEX('Semrush Data'!$A$1:$Z$20000,MATCH(A564,'Semrush Data'!$A$1:$A$20000,0),MATCH("Intent",'Semrush Data'!$A$1:$Z$1,0)),"")</f>
        <v>Informational</v>
      </c>
    </row>
    <row r="565" customFormat="false" ht="15" hidden="false" customHeight="true" outlineLevel="0" collapsed="false">
      <c r="A565" s="7" t="s">
        <v>4659</v>
      </c>
      <c r="B565" s="7" t="s">
        <v>38</v>
      </c>
      <c r="C565" s="7" t="n">
        <v>1</v>
      </c>
      <c r="D565" s="7" t="n">
        <v>6</v>
      </c>
      <c r="E565" s="7" t="n">
        <v>1</v>
      </c>
      <c r="F565" s="7" t="s">
        <v>56</v>
      </c>
      <c r="G565" s="12" t="n">
        <f aca="false">IFERROR(INDEX('Semrush Data'!$A$1:$Z$20000,MATCH(A565,'Semrush Data'!$A$1:$A$20000,0),MATCH("Volume",'Semrush Data'!$A$1:$Z$1,0)),"")</f>
        <v>6600</v>
      </c>
      <c r="H565" s="7" t="n">
        <f aca="false">IFERROR(INDEX('Semrush Data'!$A$1:$Z$20000,MATCH(A565,'Semrush Data'!$A$1:$A$20000,0),MATCH("Keyword Difficulty*",'Semrush Data'!$A$1:$Z$1,0)),"")</f>
        <v>21</v>
      </c>
      <c r="I565" s="13" t="n">
        <f aca="false">IFERROR(INDEX('Semrush Data'!$A$1:$Z$20000,MATCH(A565,'Semrush Data'!$A$1:$A$20000,0),MATCH("CPC*",'Semrush Data'!$A$1:$Z$1,0)),"")</f>
        <v>0.44</v>
      </c>
      <c r="J565" s="7" t="str">
        <f aca="false">IFERROR(INDEX('Semrush Data'!$A$1:$Z$20000,MATCH(A565,'Semrush Data'!$A$1:$A$20000,0),MATCH("Intent",'Semrush Data'!$A$1:$Z$1,0)),"")</f>
        <v>Navigational</v>
      </c>
    </row>
    <row r="566" customFormat="false" ht="15" hidden="false" customHeight="true" outlineLevel="0" collapsed="false">
      <c r="A566" s="7" t="s">
        <v>4724</v>
      </c>
      <c r="B566" s="7" t="s">
        <v>38</v>
      </c>
      <c r="C566" s="7" t="n">
        <v>1</v>
      </c>
      <c r="D566" s="7" t="n">
        <v>6</v>
      </c>
      <c r="E566" s="7" t="n">
        <v>1</v>
      </c>
      <c r="F566" s="7" t="s">
        <v>4722</v>
      </c>
      <c r="G566" s="12" t="n">
        <f aca="false">IFERROR(INDEX('Semrush Data'!$A$1:$Z$20000,MATCH(A566,'Semrush Data'!$A$1:$A$20000,0),MATCH("Volume",'Semrush Data'!$A$1:$Z$1,0)),"")</f>
        <v>30</v>
      </c>
      <c r="H566" s="7" t="n">
        <f aca="false">IFERROR(INDEX('Semrush Data'!$A$1:$Z$20000,MATCH(A566,'Semrush Data'!$A$1:$A$20000,0),MATCH("Keyword Difficulty*",'Semrush Data'!$A$1:$Z$1,0)),"")</f>
        <v>17</v>
      </c>
      <c r="I566" s="13" t="n">
        <f aca="false">IFERROR(INDEX('Semrush Data'!$A$1:$Z$20000,MATCH(A566,'Semrush Data'!$A$1:$A$20000,0),MATCH("CPC*",'Semrush Data'!$A$1:$Z$1,0)),"")</f>
        <v>0</v>
      </c>
      <c r="J566" s="7" t="str">
        <f aca="false">IFERROR(INDEX('Semrush Data'!$A$1:$Z$20000,MATCH(A566,'Semrush Data'!$A$1:$A$20000,0),MATCH("Intent",'Semrush Data'!$A$1:$Z$1,0)),"")</f>
        <v>Navigational</v>
      </c>
    </row>
    <row r="567" customFormat="false" ht="15" hidden="false" customHeight="true" outlineLevel="0" collapsed="false">
      <c r="A567" s="7" t="s">
        <v>4734</v>
      </c>
      <c r="B567" s="7" t="s">
        <v>38</v>
      </c>
      <c r="C567" s="7" t="n">
        <v>1</v>
      </c>
      <c r="D567" s="7" t="n">
        <v>6</v>
      </c>
      <c r="E567" s="7" t="n">
        <v>1</v>
      </c>
      <c r="F567" s="7" t="s">
        <v>4732</v>
      </c>
      <c r="G567" s="12" t="n">
        <f aca="false">IFERROR(INDEX('Semrush Data'!$A$1:$Z$20000,MATCH(A567,'Semrush Data'!$A$1:$A$20000,0),MATCH("Volume",'Semrush Data'!$A$1:$Z$1,0)),"")</f>
        <v>170</v>
      </c>
      <c r="H567" s="7" t="n">
        <f aca="false">IFERROR(INDEX('Semrush Data'!$A$1:$Z$20000,MATCH(A567,'Semrush Data'!$A$1:$A$20000,0),MATCH("Keyword Difficulty*",'Semrush Data'!$A$1:$Z$1,0)),"")</f>
        <v>24</v>
      </c>
      <c r="I567" s="13" t="n">
        <f aca="false">IFERROR(INDEX('Semrush Data'!$A$1:$Z$20000,MATCH(A567,'Semrush Data'!$A$1:$A$20000,0),MATCH("CPC*",'Semrush Data'!$A$1:$Z$1,0)),"")</f>
        <v>0.53</v>
      </c>
      <c r="J567" s="7" t="str">
        <f aca="false">IFERROR(INDEX('Semrush Data'!$A$1:$Z$20000,MATCH(A567,'Semrush Data'!$A$1:$A$20000,0),MATCH("Intent",'Semrush Data'!$A$1:$Z$1,0)),"")</f>
        <v>Informational Transactional</v>
      </c>
    </row>
    <row r="568" customFormat="false" ht="15" hidden="false" customHeight="true" outlineLevel="0" collapsed="false">
      <c r="A568" s="7" t="s">
        <v>4808</v>
      </c>
      <c r="B568" s="7" t="s">
        <v>38</v>
      </c>
      <c r="C568" s="7" t="n">
        <v>1</v>
      </c>
      <c r="D568" s="7" t="n">
        <v>6</v>
      </c>
      <c r="E568" s="7" t="n">
        <v>1</v>
      </c>
      <c r="F568" s="7" t="s">
        <v>4806</v>
      </c>
      <c r="G568" s="12" t="n">
        <f aca="false">IFERROR(INDEX('Semrush Data'!$A$1:$Z$20000,MATCH(A568,'Semrush Data'!$A$1:$A$20000,0),MATCH("Volume",'Semrush Data'!$A$1:$Z$1,0)),"")</f>
        <v>90</v>
      </c>
      <c r="H568" s="7" t="n">
        <f aca="false">IFERROR(INDEX('Semrush Data'!$A$1:$Z$20000,MATCH(A568,'Semrush Data'!$A$1:$A$20000,0),MATCH("Keyword Difficulty*",'Semrush Data'!$A$1:$Z$1,0)),"")</f>
        <v>20</v>
      </c>
      <c r="I568" s="13" t="n">
        <f aca="false">IFERROR(INDEX('Semrush Data'!$A$1:$Z$20000,MATCH(A568,'Semrush Data'!$A$1:$A$20000,0),MATCH("CPC*",'Semrush Data'!$A$1:$Z$1,0)),"")</f>
        <v>0.78</v>
      </c>
      <c r="J568" s="7" t="str">
        <f aca="false">IFERROR(INDEX('Semrush Data'!$A$1:$Z$20000,MATCH(A568,'Semrush Data'!$A$1:$A$20000,0),MATCH("Intent",'Semrush Data'!$A$1:$Z$1,0)),"")</f>
        <v>Informational Transactional</v>
      </c>
    </row>
    <row r="569" customFormat="false" ht="15" hidden="false" customHeight="true" outlineLevel="0" collapsed="false">
      <c r="A569" s="7" t="s">
        <v>4754</v>
      </c>
      <c r="B569" s="7" t="s">
        <v>38</v>
      </c>
      <c r="C569" s="7" t="n">
        <v>1</v>
      </c>
      <c r="D569" s="7" t="n">
        <v>6</v>
      </c>
      <c r="E569" s="7" t="n">
        <v>1</v>
      </c>
      <c r="F569" s="7" t="s">
        <v>122</v>
      </c>
      <c r="G569" s="12" t="n">
        <f aca="false">IFERROR(INDEX('Semrush Data'!$A$1:$Z$20000,MATCH(A569,'Semrush Data'!$A$1:$A$20000,0),MATCH("Volume",'Semrush Data'!$A$1:$Z$1,0)),"")</f>
        <v>480</v>
      </c>
      <c r="H569" s="7" t="n">
        <f aca="false">IFERROR(INDEX('Semrush Data'!$A$1:$Z$20000,MATCH(A569,'Semrush Data'!$A$1:$A$20000,0),MATCH("Keyword Difficulty*",'Semrush Data'!$A$1:$Z$1,0)),"")</f>
        <v>23</v>
      </c>
      <c r="I569" s="13" t="n">
        <f aca="false">IFERROR(INDEX('Semrush Data'!$A$1:$Z$20000,MATCH(A569,'Semrush Data'!$A$1:$A$20000,0),MATCH("CPC*",'Semrush Data'!$A$1:$Z$1,0)),"")</f>
        <v>0.9</v>
      </c>
      <c r="J569" s="7" t="str">
        <f aca="false">IFERROR(INDEX('Semrush Data'!$A$1:$Z$20000,MATCH(A569,'Semrush Data'!$A$1:$A$20000,0),MATCH("Intent",'Semrush Data'!$A$1:$Z$1,0)),"")</f>
        <v>Informational Transactional</v>
      </c>
    </row>
    <row r="570" customFormat="false" ht="15" hidden="false" customHeight="true" outlineLevel="0" collapsed="false">
      <c r="A570" s="7" t="s">
        <v>4766</v>
      </c>
      <c r="B570" s="7" t="s">
        <v>38</v>
      </c>
      <c r="C570" s="7" t="n">
        <v>1</v>
      </c>
      <c r="D570" s="7" t="n">
        <v>6</v>
      </c>
      <c r="E570" s="7" t="n">
        <v>1</v>
      </c>
      <c r="F570" s="7" t="s">
        <v>4764</v>
      </c>
      <c r="G570" s="12" t="n">
        <f aca="false">IFERROR(INDEX('Semrush Data'!$A$1:$Z$20000,MATCH(A570,'Semrush Data'!$A$1:$A$20000,0),MATCH("Volume",'Semrush Data'!$A$1:$Z$1,0)),"")</f>
        <v>10</v>
      </c>
      <c r="H570" s="7" t="n">
        <f aca="false">IFERROR(INDEX('Semrush Data'!$A$1:$Z$20000,MATCH(A570,'Semrush Data'!$A$1:$A$20000,0),MATCH("Keyword Difficulty*",'Semrush Data'!$A$1:$Z$1,0)),"")</f>
        <v>13</v>
      </c>
      <c r="I570" s="13" t="n">
        <f aca="false">IFERROR(INDEX('Semrush Data'!$A$1:$Z$20000,MATCH(A570,'Semrush Data'!$A$1:$A$20000,0),MATCH("CPC*",'Semrush Data'!$A$1:$Z$1,0)),"")</f>
        <v>0.84</v>
      </c>
      <c r="J570" s="7" t="str">
        <f aca="false">IFERROR(INDEX('Semrush Data'!$A$1:$Z$20000,MATCH(A570,'Semrush Data'!$A$1:$A$20000,0),MATCH("Intent",'Semrush Data'!$A$1:$Z$1,0)),"")</f>
        <v>Informational Transactional</v>
      </c>
    </row>
    <row r="571" customFormat="false" ht="15" hidden="false" customHeight="true" outlineLevel="0" collapsed="false">
      <c r="A571" s="7" t="s">
        <v>4819</v>
      </c>
      <c r="B571" s="7" t="s">
        <v>38</v>
      </c>
      <c r="C571" s="7" t="n">
        <v>1</v>
      </c>
      <c r="D571" s="7" t="n">
        <v>6</v>
      </c>
      <c r="E571" s="7" t="n">
        <v>1</v>
      </c>
      <c r="F571" s="7" t="s">
        <v>4817</v>
      </c>
      <c r="G571" s="12" t="n">
        <f aca="false">IFERROR(INDEX('Semrush Data'!$A$1:$Z$20000,MATCH(A571,'Semrush Data'!$A$1:$A$20000,0),MATCH("Volume",'Semrush Data'!$A$1:$Z$1,0)),"")</f>
        <v>0</v>
      </c>
      <c r="H571" s="7" t="n">
        <f aca="false">IFERROR(INDEX('Semrush Data'!$A$1:$Z$20000,MATCH(A571,'Semrush Data'!$A$1:$A$20000,0),MATCH("Keyword Difficulty*",'Semrush Data'!$A$1:$Z$1,0)),"")</f>
        <v>14</v>
      </c>
      <c r="I571" s="13" t="n">
        <f aca="false">IFERROR(INDEX('Semrush Data'!$A$1:$Z$20000,MATCH(A571,'Semrush Data'!$A$1:$A$20000,0),MATCH("CPC*",'Semrush Data'!$A$1:$Z$1,0)),"")</f>
        <v>0</v>
      </c>
      <c r="J571" s="7" t="str">
        <f aca="false">IFERROR(INDEX('Semrush Data'!$A$1:$Z$20000,MATCH(A571,'Semrush Data'!$A$1:$A$20000,0),MATCH("Intent",'Semrush Data'!$A$1:$Z$1,0)),"")</f>
        <v>Informational Transactional</v>
      </c>
    </row>
    <row r="572" customFormat="false" ht="15" hidden="false" customHeight="true" outlineLevel="0" collapsed="false">
      <c r="A572" s="7" t="s">
        <v>4830</v>
      </c>
      <c r="B572" s="7" t="s">
        <v>38</v>
      </c>
      <c r="C572" s="7" t="n">
        <v>1</v>
      </c>
      <c r="D572" s="7" t="n">
        <v>6</v>
      </c>
      <c r="E572" s="7" t="n">
        <v>1</v>
      </c>
      <c r="F572" s="7" t="s">
        <v>4828</v>
      </c>
      <c r="G572" s="12" t="n">
        <f aca="false">IFERROR(INDEX('Semrush Data'!$A$1:$Z$20000,MATCH(A572,'Semrush Data'!$A$1:$A$20000,0),MATCH("Volume",'Semrush Data'!$A$1:$Z$1,0)),"")</f>
        <v>0</v>
      </c>
      <c r="H572" s="7" t="n">
        <f aca="false">IFERROR(INDEX('Semrush Data'!$A$1:$Z$20000,MATCH(A572,'Semrush Data'!$A$1:$A$20000,0),MATCH("Keyword Difficulty*",'Semrush Data'!$A$1:$Z$1,0)),"")</f>
        <v>19</v>
      </c>
      <c r="I572" s="13" t="n">
        <f aca="false">IFERROR(INDEX('Semrush Data'!$A$1:$Z$20000,MATCH(A572,'Semrush Data'!$A$1:$A$20000,0),MATCH("CPC*",'Semrush Data'!$A$1:$Z$1,0)),"")</f>
        <v>0</v>
      </c>
      <c r="J572" s="7" t="str">
        <f aca="false">IFERROR(INDEX('Semrush Data'!$A$1:$Z$20000,MATCH(A572,'Semrush Data'!$A$1:$A$20000,0),MATCH("Intent",'Semrush Data'!$A$1:$Z$1,0)),"")</f>
        <v>Informational Transactional</v>
      </c>
    </row>
    <row r="573" customFormat="false" ht="15" hidden="false" customHeight="true" outlineLevel="0" collapsed="false">
      <c r="A573" s="7" t="s">
        <v>4778</v>
      </c>
      <c r="B573" s="7" t="s">
        <v>38</v>
      </c>
      <c r="C573" s="7" t="n">
        <v>1</v>
      </c>
      <c r="D573" s="7" t="n">
        <v>6</v>
      </c>
      <c r="E573" s="7" t="n">
        <v>1</v>
      </c>
      <c r="F573" s="7" t="s">
        <v>4776</v>
      </c>
      <c r="G573" s="12" t="n">
        <f aca="false">IFERROR(INDEX('Semrush Data'!$A$1:$Z$20000,MATCH(A573,'Semrush Data'!$A$1:$A$20000,0),MATCH("Volume",'Semrush Data'!$A$1:$Z$1,0)),"")</f>
        <v>30</v>
      </c>
      <c r="H573" s="7" t="n">
        <f aca="false">IFERROR(INDEX('Semrush Data'!$A$1:$Z$20000,MATCH(A573,'Semrush Data'!$A$1:$A$20000,0),MATCH("Keyword Difficulty*",'Semrush Data'!$A$1:$Z$1,0)),"")</f>
        <v>16</v>
      </c>
      <c r="I573" s="13" t="n">
        <f aca="false">IFERROR(INDEX('Semrush Data'!$A$1:$Z$20000,MATCH(A573,'Semrush Data'!$A$1:$A$20000,0),MATCH("CPC*",'Semrush Data'!$A$1:$Z$1,0)),"")</f>
        <v>0.58</v>
      </c>
      <c r="J573" s="7" t="str">
        <f aca="false">IFERROR(INDEX('Semrush Data'!$A$1:$Z$20000,MATCH(A573,'Semrush Data'!$A$1:$A$20000,0),MATCH("Intent",'Semrush Data'!$A$1:$Z$1,0)),"")</f>
        <v>Informational Transactional</v>
      </c>
    </row>
    <row r="574" customFormat="false" ht="15" hidden="false" customHeight="true" outlineLevel="0" collapsed="false">
      <c r="A574" s="7" t="s">
        <v>4788</v>
      </c>
      <c r="B574" s="7" t="s">
        <v>38</v>
      </c>
      <c r="C574" s="7" t="n">
        <v>1</v>
      </c>
      <c r="D574" s="7" t="n">
        <v>6</v>
      </c>
      <c r="E574" s="7" t="n">
        <v>1</v>
      </c>
      <c r="F574" s="7" t="s">
        <v>110</v>
      </c>
      <c r="G574" s="12" t="n">
        <f aca="false">IFERROR(INDEX('Semrush Data'!$A$1:$Z$20000,MATCH(A574,'Semrush Data'!$A$1:$A$20000,0),MATCH("Volume",'Semrush Data'!$A$1:$Z$1,0)),"")</f>
        <v>590</v>
      </c>
      <c r="H574" s="7" t="n">
        <f aca="false">IFERROR(INDEX('Semrush Data'!$A$1:$Z$20000,MATCH(A574,'Semrush Data'!$A$1:$A$20000,0),MATCH("Keyword Difficulty*",'Semrush Data'!$A$1:$Z$1,0)),"")</f>
        <v>19</v>
      </c>
      <c r="I574" s="13" t="n">
        <f aca="false">IFERROR(INDEX('Semrush Data'!$A$1:$Z$20000,MATCH(A574,'Semrush Data'!$A$1:$A$20000,0),MATCH("CPC*",'Semrush Data'!$A$1:$Z$1,0)),"")</f>
        <v>0.68</v>
      </c>
      <c r="J574" s="7" t="str">
        <f aca="false">IFERROR(INDEX('Semrush Data'!$A$1:$Z$20000,MATCH(A574,'Semrush Data'!$A$1:$A$20000,0),MATCH("Intent",'Semrush Data'!$A$1:$Z$1,0)),"")</f>
        <v>Informational Transactional</v>
      </c>
    </row>
    <row r="575" customFormat="false" ht="15" hidden="false" customHeight="true" outlineLevel="0" collapsed="false">
      <c r="A575" s="7" t="s">
        <v>4797</v>
      </c>
      <c r="B575" s="7" t="s">
        <v>38</v>
      </c>
      <c r="C575" s="7" t="n">
        <v>1</v>
      </c>
      <c r="D575" s="7" t="n">
        <v>6</v>
      </c>
      <c r="E575" s="7" t="n">
        <v>1</v>
      </c>
      <c r="F575" s="7" t="s">
        <v>124</v>
      </c>
      <c r="G575" s="12" t="n">
        <f aca="false">IFERROR(INDEX('Semrush Data'!$A$1:$Z$20000,MATCH(A575,'Semrush Data'!$A$1:$A$20000,0),MATCH("Volume",'Semrush Data'!$A$1:$Z$1,0)),"")</f>
        <v>480</v>
      </c>
      <c r="H575" s="7" t="n">
        <f aca="false">IFERROR(INDEX('Semrush Data'!$A$1:$Z$20000,MATCH(A575,'Semrush Data'!$A$1:$A$20000,0),MATCH("Keyword Difficulty*",'Semrush Data'!$A$1:$Z$1,0)),"")</f>
        <v>28</v>
      </c>
      <c r="I575" s="13" t="n">
        <f aca="false">IFERROR(INDEX('Semrush Data'!$A$1:$Z$20000,MATCH(A575,'Semrush Data'!$A$1:$A$20000,0),MATCH("CPC*",'Semrush Data'!$A$1:$Z$1,0)),"")</f>
        <v>0.68</v>
      </c>
      <c r="J575" s="7" t="str">
        <f aca="false">IFERROR(INDEX('Semrush Data'!$A$1:$Z$20000,MATCH(A575,'Semrush Data'!$A$1:$A$20000,0),MATCH("Intent",'Semrush Data'!$A$1:$Z$1,0)),"")</f>
        <v>Informational Transactional</v>
      </c>
    </row>
    <row r="576" customFormat="false" ht="15" hidden="false" customHeight="true" outlineLevel="0" collapsed="false">
      <c r="A576" s="7" t="s">
        <v>4885</v>
      </c>
      <c r="B576" s="7" t="s">
        <v>38</v>
      </c>
      <c r="C576" s="7" t="n">
        <v>1</v>
      </c>
      <c r="D576" s="7" t="n">
        <v>6</v>
      </c>
      <c r="E576" s="7" t="n">
        <v>2</v>
      </c>
      <c r="F576" s="7" t="s">
        <v>6801</v>
      </c>
      <c r="G576" s="12" t="n">
        <f aca="false">IFERROR(INDEX('Semrush Data'!$A$1:$Z$20000,MATCH(A576,'Semrush Data'!$A$1:$A$20000,0),MATCH("Volume",'Semrush Data'!$A$1:$Z$1,0)),"")</f>
        <v>0</v>
      </c>
      <c r="H576" s="7" t="n">
        <f aca="false">IFERROR(INDEX('Semrush Data'!$A$1:$Z$20000,MATCH(A576,'Semrush Data'!$A$1:$A$20000,0),MATCH("Keyword Difficulty*",'Semrush Data'!$A$1:$Z$1,0)),"")</f>
        <v>25</v>
      </c>
      <c r="I576" s="13" t="n">
        <f aca="false">IFERROR(INDEX('Semrush Data'!$A$1:$Z$20000,MATCH(A576,'Semrush Data'!$A$1:$A$20000,0),MATCH("CPC*",'Semrush Data'!$A$1:$Z$1,0)),"")</f>
        <v>0</v>
      </c>
      <c r="J576" s="7" t="str">
        <f aca="false">IFERROR(INDEX('Semrush Data'!$A$1:$Z$20000,MATCH(A576,'Semrush Data'!$A$1:$A$20000,0),MATCH("Intent",'Semrush Data'!$A$1:$Z$1,0)),"")</f>
        <v>Commercial</v>
      </c>
    </row>
    <row r="577" customFormat="false" ht="15" hidden="false" customHeight="true" outlineLevel="0" collapsed="false">
      <c r="A577" s="7" t="s">
        <v>4841</v>
      </c>
      <c r="B577" s="7" t="s">
        <v>38</v>
      </c>
      <c r="C577" s="7" t="n">
        <v>1</v>
      </c>
      <c r="D577" s="7" t="n">
        <v>6</v>
      </c>
      <c r="E577" s="7" t="n">
        <v>2</v>
      </c>
      <c r="F577" s="7" t="s">
        <v>6802</v>
      </c>
      <c r="G577" s="12" t="n">
        <f aca="false">IFERROR(INDEX('Semrush Data'!$A$1:$Z$20000,MATCH(A577,'Semrush Data'!$A$1:$A$20000,0),MATCH("Volume",'Semrush Data'!$A$1:$Z$1,0)),"")</f>
        <v>0</v>
      </c>
      <c r="H577" s="7" t="n">
        <f aca="false">IFERROR(INDEX('Semrush Data'!$A$1:$Z$20000,MATCH(A577,'Semrush Data'!$A$1:$A$20000,0),MATCH("Keyword Difficulty*",'Semrush Data'!$A$1:$Z$1,0)),"")</f>
        <v>21</v>
      </c>
      <c r="I577" s="13" t="n">
        <f aca="false">IFERROR(INDEX('Semrush Data'!$A$1:$Z$20000,MATCH(A577,'Semrush Data'!$A$1:$A$20000,0),MATCH("CPC*",'Semrush Data'!$A$1:$Z$1,0)),"")</f>
        <v>0</v>
      </c>
      <c r="J577" s="7" t="str">
        <f aca="false">IFERROR(INDEX('Semrush Data'!$A$1:$Z$20000,MATCH(A577,'Semrush Data'!$A$1:$A$20000,0),MATCH("Intent",'Semrush Data'!$A$1:$Z$1,0)),"")</f>
        <v>Transactional Navigational</v>
      </c>
    </row>
    <row r="578" customFormat="false" ht="15" hidden="false" customHeight="true" outlineLevel="0" collapsed="false">
      <c r="A578" s="7" t="s">
        <v>4859</v>
      </c>
      <c r="B578" s="7" t="s">
        <v>38</v>
      </c>
      <c r="C578" s="7" t="n">
        <v>1</v>
      </c>
      <c r="D578" s="7" t="n">
        <v>6</v>
      </c>
      <c r="E578" s="7" t="n">
        <v>1</v>
      </c>
      <c r="F578" s="7" t="s">
        <v>4857</v>
      </c>
      <c r="G578" s="12" t="n">
        <f aca="false">IFERROR(INDEX('Semrush Data'!$A$1:$Z$20000,MATCH(A578,'Semrush Data'!$A$1:$A$20000,0),MATCH("Volume",'Semrush Data'!$A$1:$Z$1,0)),"")</f>
        <v>0</v>
      </c>
      <c r="H578" s="7" t="n">
        <f aca="false">IFERROR(INDEX('Semrush Data'!$A$1:$Z$20000,MATCH(A578,'Semrush Data'!$A$1:$A$20000,0),MATCH("Keyword Difficulty*",'Semrush Data'!$A$1:$Z$1,0)),"")</f>
        <v>23</v>
      </c>
      <c r="I578" s="13" t="n">
        <f aca="false">IFERROR(INDEX('Semrush Data'!$A$1:$Z$20000,MATCH(A578,'Semrush Data'!$A$1:$A$20000,0),MATCH("CPC*",'Semrush Data'!$A$1:$Z$1,0)),"")</f>
        <v>0</v>
      </c>
      <c r="J578" s="7" t="str">
        <f aca="false">IFERROR(INDEX('Semrush Data'!$A$1:$Z$20000,MATCH(A578,'Semrush Data'!$A$1:$A$20000,0),MATCH("Intent",'Semrush Data'!$A$1:$Z$1,0)),"")</f>
        <v>Informational</v>
      </c>
    </row>
    <row r="579" customFormat="false" ht="15" hidden="false" customHeight="true" outlineLevel="0" collapsed="false">
      <c r="A579" s="7" t="s">
        <v>4870</v>
      </c>
      <c r="B579" s="7" t="s">
        <v>38</v>
      </c>
      <c r="C579" s="7" t="n">
        <v>1</v>
      </c>
      <c r="D579" s="7" t="n">
        <v>6</v>
      </c>
      <c r="E579" s="7" t="n">
        <v>2</v>
      </c>
      <c r="F579" s="7" t="s">
        <v>6803</v>
      </c>
      <c r="G579" s="12" t="n">
        <f aca="false">IFERROR(INDEX('Semrush Data'!$A$1:$Z$20000,MATCH(A579,'Semrush Data'!$A$1:$A$20000,0),MATCH("Volume",'Semrush Data'!$A$1:$Z$1,0)),"")</f>
        <v>10</v>
      </c>
      <c r="H579" s="7" t="n">
        <f aca="false">IFERROR(INDEX('Semrush Data'!$A$1:$Z$20000,MATCH(A579,'Semrush Data'!$A$1:$A$20000,0),MATCH("Keyword Difficulty*",'Semrush Data'!$A$1:$Z$1,0)),"")</f>
        <v>8</v>
      </c>
      <c r="I579" s="13" t="n">
        <f aca="false">IFERROR(INDEX('Semrush Data'!$A$1:$Z$20000,MATCH(A579,'Semrush Data'!$A$1:$A$20000,0),MATCH("CPC*",'Semrush Data'!$A$1:$Z$1,0)),"")</f>
        <v>0</v>
      </c>
      <c r="J579" s="7" t="str">
        <f aca="false">IFERROR(INDEX('Semrush Data'!$A$1:$Z$20000,MATCH(A579,'Semrush Data'!$A$1:$A$20000,0),MATCH("Intent",'Semrush Data'!$A$1:$Z$1,0)),"")</f>
        <v>Navigational</v>
      </c>
    </row>
    <row r="580" customFormat="false" ht="15" hidden="false" customHeight="true" outlineLevel="0" collapsed="false">
      <c r="A580" s="7" t="s">
        <v>4900</v>
      </c>
      <c r="B580" s="7" t="s">
        <v>38</v>
      </c>
      <c r="C580" s="7" t="n">
        <v>1</v>
      </c>
      <c r="D580" s="7" t="n">
        <v>6</v>
      </c>
      <c r="E580" s="7" t="n">
        <v>1</v>
      </c>
      <c r="F580" s="7" t="s">
        <v>4898</v>
      </c>
      <c r="G580" s="12" t="n">
        <f aca="false">IFERROR(INDEX('Semrush Data'!$A$1:$Z$20000,MATCH(A580,'Semrush Data'!$A$1:$A$20000,0),MATCH("Volume",'Semrush Data'!$A$1:$Z$1,0)),"")</f>
        <v>0</v>
      </c>
      <c r="H580" s="7" t="n">
        <f aca="false">IFERROR(INDEX('Semrush Data'!$A$1:$Z$20000,MATCH(A580,'Semrush Data'!$A$1:$A$20000,0),MATCH("Keyword Difficulty*",'Semrush Data'!$A$1:$Z$1,0)),"")</f>
        <v>10</v>
      </c>
      <c r="I580" s="13" t="n">
        <f aca="false">IFERROR(INDEX('Semrush Data'!$A$1:$Z$20000,MATCH(A580,'Semrush Data'!$A$1:$A$20000,0),MATCH("CPC*",'Semrush Data'!$A$1:$Z$1,0)),"")</f>
        <v>0</v>
      </c>
      <c r="J580" s="7" t="str">
        <f aca="false">IFERROR(INDEX('Semrush Data'!$A$1:$Z$20000,MATCH(A580,'Semrush Data'!$A$1:$A$20000,0),MATCH("Intent",'Semrush Data'!$A$1:$Z$1,0)),"")</f>
        <v>Informational Transactional</v>
      </c>
    </row>
    <row r="581" customFormat="false" ht="15" hidden="false" customHeight="true" outlineLevel="0" collapsed="false">
      <c r="A581" s="7" t="s">
        <v>4912</v>
      </c>
      <c r="B581" s="7" t="s">
        <v>38</v>
      </c>
      <c r="C581" s="7" t="n">
        <v>1</v>
      </c>
      <c r="D581" s="7" t="n">
        <v>6</v>
      </c>
      <c r="E581" s="7" t="n">
        <v>1</v>
      </c>
      <c r="F581" s="7" t="s">
        <v>4910</v>
      </c>
      <c r="G581" s="12" t="n">
        <f aca="false">IFERROR(INDEX('Semrush Data'!$A$1:$Z$20000,MATCH(A581,'Semrush Data'!$A$1:$A$20000,0),MATCH("Volume",'Semrush Data'!$A$1:$Z$1,0)),"")</f>
        <v>0</v>
      </c>
      <c r="H581" s="7" t="n">
        <f aca="false">IFERROR(INDEX('Semrush Data'!$A$1:$Z$20000,MATCH(A581,'Semrush Data'!$A$1:$A$20000,0),MATCH("Keyword Difficulty*",'Semrush Data'!$A$1:$Z$1,0)),"")</f>
        <v>24</v>
      </c>
      <c r="I581" s="13" t="n">
        <f aca="false">IFERROR(INDEX('Semrush Data'!$A$1:$Z$20000,MATCH(A581,'Semrush Data'!$A$1:$A$20000,0),MATCH("CPC*",'Semrush Data'!$A$1:$Z$1,0)),"")</f>
        <v>0</v>
      </c>
      <c r="J581" s="7" t="str">
        <f aca="false">IFERROR(INDEX('Semrush Data'!$A$1:$Z$20000,MATCH(A581,'Semrush Data'!$A$1:$A$20000,0),MATCH("Intent",'Semrush Data'!$A$1:$Z$1,0)),"")</f>
        <v>Informational</v>
      </c>
    </row>
    <row r="582" customFormat="false" ht="15" hidden="false" customHeight="true" outlineLevel="0" collapsed="false">
      <c r="A582" s="7" t="s">
        <v>4922</v>
      </c>
      <c r="B582" s="7" t="s">
        <v>38</v>
      </c>
      <c r="C582" s="7" t="n">
        <v>1</v>
      </c>
      <c r="D582" s="7" t="n">
        <v>6</v>
      </c>
      <c r="E582" s="7" t="n">
        <v>1</v>
      </c>
      <c r="F582" s="7" t="s">
        <v>4920</v>
      </c>
      <c r="G582" s="12" t="n">
        <f aca="false">IFERROR(INDEX('Semrush Data'!$A$1:$Z$20000,MATCH(A582,'Semrush Data'!$A$1:$A$20000,0),MATCH("Volume",'Semrush Data'!$A$1:$Z$1,0)),"")</f>
        <v>0</v>
      </c>
      <c r="H582" s="7" t="n">
        <f aca="false">IFERROR(INDEX('Semrush Data'!$A$1:$Z$20000,MATCH(A582,'Semrush Data'!$A$1:$A$20000,0),MATCH("Keyword Difficulty*",'Semrush Data'!$A$1:$Z$1,0)),"")</f>
        <v>16</v>
      </c>
      <c r="I582" s="13" t="n">
        <f aca="false">IFERROR(INDEX('Semrush Data'!$A$1:$Z$20000,MATCH(A582,'Semrush Data'!$A$1:$A$20000,0),MATCH("CPC*",'Semrush Data'!$A$1:$Z$1,0)),"")</f>
        <v>0</v>
      </c>
      <c r="J582" s="7" t="str">
        <f aca="false">IFERROR(INDEX('Semrush Data'!$A$1:$Z$20000,MATCH(A582,'Semrush Data'!$A$1:$A$20000,0),MATCH("Intent",'Semrush Data'!$A$1:$Z$1,0)),"")</f>
        <v>Informational Transactional</v>
      </c>
    </row>
    <row r="583" customFormat="false" ht="15" hidden="false" customHeight="true" outlineLevel="0" collapsed="false">
      <c r="A583" s="7" t="s">
        <v>4932</v>
      </c>
      <c r="B583" s="7" t="s">
        <v>38</v>
      </c>
      <c r="C583" s="7" t="n">
        <v>1</v>
      </c>
      <c r="D583" s="7" t="n">
        <v>6</v>
      </c>
      <c r="E583" s="7" t="n">
        <v>2</v>
      </c>
      <c r="F583" s="7" t="s">
        <v>6804</v>
      </c>
      <c r="G583" s="12" t="n">
        <f aca="false">IFERROR(INDEX('Semrush Data'!$A$1:$Z$20000,MATCH(A583,'Semrush Data'!$A$1:$A$20000,0),MATCH("Volume",'Semrush Data'!$A$1:$Z$1,0)),"")</f>
        <v>20</v>
      </c>
      <c r="H583" s="7" t="n">
        <f aca="false">IFERROR(INDEX('Semrush Data'!$A$1:$Z$20000,MATCH(A583,'Semrush Data'!$A$1:$A$20000,0),MATCH("Keyword Difficulty*",'Semrush Data'!$A$1:$Z$1,0)),"")</f>
        <v>21</v>
      </c>
      <c r="I583" s="13" t="n">
        <f aca="false">IFERROR(INDEX('Semrush Data'!$A$1:$Z$20000,MATCH(A583,'Semrush Data'!$A$1:$A$20000,0),MATCH("CPC*",'Semrush Data'!$A$1:$Z$1,0)),"")</f>
        <v>0</v>
      </c>
      <c r="J583" s="7" t="str">
        <f aca="false">IFERROR(INDEX('Semrush Data'!$A$1:$Z$20000,MATCH(A583,'Semrush Data'!$A$1:$A$20000,0),MATCH("Intent",'Semrush Data'!$A$1:$Z$1,0)),"")</f>
        <v>Informational</v>
      </c>
    </row>
    <row r="584" customFormat="false" ht="15" hidden="false" customHeight="true" outlineLevel="0" collapsed="false">
      <c r="A584" s="7" t="s">
        <v>4947</v>
      </c>
      <c r="B584" s="7" t="s">
        <v>38</v>
      </c>
      <c r="C584" s="7" t="n">
        <v>1</v>
      </c>
      <c r="D584" s="7" t="n">
        <v>6</v>
      </c>
      <c r="E584" s="7" t="n">
        <v>2</v>
      </c>
      <c r="F584" s="7" t="s">
        <v>6805</v>
      </c>
      <c r="G584" s="12" t="n">
        <f aca="false">IFERROR(INDEX('Semrush Data'!$A$1:$Z$20000,MATCH(A584,'Semrush Data'!$A$1:$A$20000,0),MATCH("Volume",'Semrush Data'!$A$1:$Z$1,0)),"")</f>
        <v>0</v>
      </c>
      <c r="H584" s="7" t="n">
        <f aca="false">IFERROR(INDEX('Semrush Data'!$A$1:$Z$20000,MATCH(A584,'Semrush Data'!$A$1:$A$20000,0),MATCH("Keyword Difficulty*",'Semrush Data'!$A$1:$Z$1,0)),"")</f>
        <v>10</v>
      </c>
      <c r="I584" s="13" t="n">
        <f aca="false">IFERROR(INDEX('Semrush Data'!$A$1:$Z$20000,MATCH(A584,'Semrush Data'!$A$1:$A$20000,0),MATCH("CPC*",'Semrush Data'!$A$1:$Z$1,0)),"")</f>
        <v>0</v>
      </c>
      <c r="J584" s="7" t="str">
        <f aca="false">IFERROR(INDEX('Semrush Data'!$A$1:$Z$20000,MATCH(A584,'Semrush Data'!$A$1:$A$20000,0),MATCH("Intent",'Semrush Data'!$A$1:$Z$1,0)),"")</f>
        <v>Informational</v>
      </c>
    </row>
    <row r="585" customFormat="false" ht="15" hidden="false" customHeight="true" outlineLevel="0" collapsed="false">
      <c r="A585" s="7" t="s">
        <v>4962</v>
      </c>
      <c r="B585" s="7" t="s">
        <v>38</v>
      </c>
      <c r="C585" s="7" t="n">
        <v>1</v>
      </c>
      <c r="D585" s="7" t="n">
        <v>6</v>
      </c>
      <c r="E585" s="7" t="n">
        <v>2</v>
      </c>
      <c r="F585" s="7" t="s">
        <v>6806</v>
      </c>
      <c r="G585" s="12" t="n">
        <f aca="false">IFERROR(INDEX('Semrush Data'!$A$1:$Z$20000,MATCH(A585,'Semrush Data'!$A$1:$A$20000,0),MATCH("Volume",'Semrush Data'!$A$1:$Z$1,0)),"")</f>
        <v>0</v>
      </c>
      <c r="H585" s="7" t="n">
        <f aca="false">IFERROR(INDEX('Semrush Data'!$A$1:$Z$20000,MATCH(A585,'Semrush Data'!$A$1:$A$20000,0),MATCH("Keyword Difficulty*",'Semrush Data'!$A$1:$Z$1,0)),"")</f>
        <v>23</v>
      </c>
      <c r="I585" s="13" t="n">
        <f aca="false">IFERROR(INDEX('Semrush Data'!$A$1:$Z$20000,MATCH(A585,'Semrush Data'!$A$1:$A$20000,0),MATCH("CPC*",'Semrush Data'!$A$1:$Z$1,0)),"")</f>
        <v>0</v>
      </c>
      <c r="J585" s="7" t="str">
        <f aca="false">IFERROR(INDEX('Semrush Data'!$A$1:$Z$20000,MATCH(A585,'Semrush Data'!$A$1:$A$20000,0),MATCH("Intent",'Semrush Data'!$A$1:$Z$1,0)),"")</f>
        <v>Informational</v>
      </c>
    </row>
    <row r="586" customFormat="false" ht="15" hidden="false" customHeight="true" outlineLevel="0" collapsed="false">
      <c r="A586" s="7" t="s">
        <v>4978</v>
      </c>
      <c r="B586" s="7" t="s">
        <v>38</v>
      </c>
      <c r="C586" s="7" t="n">
        <v>1</v>
      </c>
      <c r="D586" s="7" t="n">
        <v>6</v>
      </c>
      <c r="E586" s="7" t="n">
        <v>2</v>
      </c>
      <c r="F586" s="7" t="s">
        <v>6807</v>
      </c>
      <c r="G586" s="12" t="n">
        <f aca="false">IFERROR(INDEX('Semrush Data'!$A$1:$Z$20000,MATCH(A586,'Semrush Data'!$A$1:$A$20000,0),MATCH("Volume",'Semrush Data'!$A$1:$Z$1,0)),"")</f>
        <v>10</v>
      </c>
      <c r="H586" s="7" t="n">
        <f aca="false">IFERROR(INDEX('Semrush Data'!$A$1:$Z$20000,MATCH(A586,'Semrush Data'!$A$1:$A$20000,0),MATCH("Keyword Difficulty*",'Semrush Data'!$A$1:$Z$1,0)),"")</f>
        <v>9</v>
      </c>
      <c r="I586" s="13" t="n">
        <f aca="false">IFERROR(INDEX('Semrush Data'!$A$1:$Z$20000,MATCH(A586,'Semrush Data'!$A$1:$A$20000,0),MATCH("CPC*",'Semrush Data'!$A$1:$Z$1,0)),"")</f>
        <v>0</v>
      </c>
      <c r="J586" s="7" t="str">
        <f aca="false">IFERROR(INDEX('Semrush Data'!$A$1:$Z$20000,MATCH(A586,'Semrush Data'!$A$1:$A$20000,0),MATCH("Intent",'Semrush Data'!$A$1:$Z$1,0)),"")</f>
        <v>Navigational</v>
      </c>
    </row>
    <row r="587" customFormat="false" ht="15" hidden="false" customHeight="true" outlineLevel="0" collapsed="false">
      <c r="A587" s="7" t="s">
        <v>4996</v>
      </c>
      <c r="B587" s="7" t="s">
        <v>38</v>
      </c>
      <c r="C587" s="7" t="n">
        <v>1</v>
      </c>
      <c r="D587" s="7" t="n">
        <v>6</v>
      </c>
      <c r="E587" s="7" t="n">
        <v>1</v>
      </c>
      <c r="F587" s="7" t="s">
        <v>4992</v>
      </c>
      <c r="G587" s="12" t="n">
        <f aca="false">IFERROR(INDEX('Semrush Data'!$A$1:$Z$20000,MATCH(A587,'Semrush Data'!$A$1:$A$20000,0),MATCH("Volume",'Semrush Data'!$A$1:$Z$1,0)),"")</f>
        <v>0</v>
      </c>
      <c r="H587" s="7" t="n">
        <f aca="false">IFERROR(INDEX('Semrush Data'!$A$1:$Z$20000,MATCH(A587,'Semrush Data'!$A$1:$A$20000,0),MATCH("Keyword Difficulty*",'Semrush Data'!$A$1:$Z$1,0)),"")</f>
        <v>19</v>
      </c>
      <c r="I587" s="13" t="n">
        <f aca="false">IFERROR(INDEX('Semrush Data'!$A$1:$Z$20000,MATCH(A587,'Semrush Data'!$A$1:$A$20000,0),MATCH("CPC*",'Semrush Data'!$A$1:$Z$1,0)),"")</f>
        <v>0</v>
      </c>
      <c r="J587" s="7" t="str">
        <f aca="false">IFERROR(INDEX('Semrush Data'!$A$1:$Z$20000,MATCH(A587,'Semrush Data'!$A$1:$A$20000,0),MATCH("Intent",'Semrush Data'!$A$1:$Z$1,0)),"")</f>
        <v>Navigational</v>
      </c>
    </row>
    <row r="588" customFormat="false" ht="15" hidden="false" customHeight="true" outlineLevel="0" collapsed="false">
      <c r="A588" s="7" t="s">
        <v>5933</v>
      </c>
      <c r="B588" s="7" t="s">
        <v>38</v>
      </c>
      <c r="C588" s="7" t="n">
        <v>1</v>
      </c>
      <c r="D588" s="7" t="n">
        <v>6</v>
      </c>
      <c r="E588" s="7" t="n">
        <v>1</v>
      </c>
      <c r="F588" s="7" t="s">
        <v>5930</v>
      </c>
      <c r="G588" s="12" t="n">
        <f aca="false">IFERROR(INDEX('Semrush Data'!$A$1:$Z$20000,MATCH(A588,'Semrush Data'!$A$1:$A$20000,0),MATCH("Volume",'Semrush Data'!$A$1:$Z$1,0)),"")</f>
        <v>0</v>
      </c>
      <c r="H588" s="7" t="n">
        <f aca="false">IFERROR(INDEX('Semrush Data'!$A$1:$Z$20000,MATCH(A588,'Semrush Data'!$A$1:$A$20000,0),MATCH("Keyword Difficulty*",'Semrush Data'!$A$1:$Z$1,0)),"")</f>
        <v>19</v>
      </c>
      <c r="I588" s="13" t="n">
        <f aca="false">IFERROR(INDEX('Semrush Data'!$A$1:$Z$20000,MATCH(A588,'Semrush Data'!$A$1:$A$20000,0),MATCH("CPC*",'Semrush Data'!$A$1:$Z$1,0)),"")</f>
        <v>0</v>
      </c>
      <c r="J588" s="7" t="str">
        <f aca="false">IFERROR(INDEX('Semrush Data'!$A$1:$Z$20000,MATCH(A588,'Semrush Data'!$A$1:$A$20000,0),MATCH("Intent",'Semrush Data'!$A$1:$Z$1,0)),"")</f>
        <v>Navigational</v>
      </c>
    </row>
    <row r="589" customFormat="false" ht="15" hidden="false" customHeight="true" outlineLevel="0" collapsed="false">
      <c r="A589" s="7" t="s">
        <v>5911</v>
      </c>
      <c r="B589" s="7" t="s">
        <v>38</v>
      </c>
      <c r="C589" s="7" t="n">
        <v>1</v>
      </c>
      <c r="D589" s="7" t="n">
        <v>6</v>
      </c>
      <c r="E589" s="7" t="n">
        <v>1</v>
      </c>
      <c r="F589" s="7" t="s">
        <v>5909</v>
      </c>
      <c r="G589" s="12" t="n">
        <f aca="false">IFERROR(INDEX('Semrush Data'!$A$1:$Z$20000,MATCH(A589,'Semrush Data'!$A$1:$A$20000,0),MATCH("Volume",'Semrush Data'!$A$1:$Z$1,0)),"")</f>
        <v>0</v>
      </c>
      <c r="H589" s="7" t="n">
        <f aca="false">IFERROR(INDEX('Semrush Data'!$A$1:$Z$20000,MATCH(A589,'Semrush Data'!$A$1:$A$20000,0),MATCH("Keyword Difficulty*",'Semrush Data'!$A$1:$Z$1,0)),"")</f>
        <v>18</v>
      </c>
      <c r="I589" s="13" t="n">
        <f aca="false">IFERROR(INDEX('Semrush Data'!$A$1:$Z$20000,MATCH(A589,'Semrush Data'!$A$1:$A$20000,0),MATCH("CPC*",'Semrush Data'!$A$1:$Z$1,0)),"")</f>
        <v>0</v>
      </c>
      <c r="J589" s="7" t="str">
        <f aca="false">IFERROR(INDEX('Semrush Data'!$A$1:$Z$20000,MATCH(A589,'Semrush Data'!$A$1:$A$20000,0),MATCH("Intent",'Semrush Data'!$A$1:$Z$1,0)),"")</f>
        <v>Navigational</v>
      </c>
    </row>
    <row r="590" customFormat="false" ht="15" hidden="false" customHeight="true" outlineLevel="0" collapsed="false">
      <c r="A590" s="7" t="s">
        <v>5890</v>
      </c>
      <c r="B590" s="7" t="s">
        <v>38</v>
      </c>
      <c r="C590" s="7" t="n">
        <v>1</v>
      </c>
      <c r="D590" s="7" t="n">
        <v>6</v>
      </c>
      <c r="E590" s="7" t="n">
        <v>1</v>
      </c>
      <c r="F590" s="7" t="s">
        <v>5888</v>
      </c>
      <c r="G590" s="12" t="n">
        <f aca="false">IFERROR(INDEX('Semrush Data'!$A$1:$Z$20000,MATCH(A590,'Semrush Data'!$A$1:$A$20000,0),MATCH("Volume",'Semrush Data'!$A$1:$Z$1,0)),"")</f>
        <v>0</v>
      </c>
      <c r="H590" s="7" t="n">
        <f aca="false">IFERROR(INDEX('Semrush Data'!$A$1:$Z$20000,MATCH(A590,'Semrush Data'!$A$1:$A$20000,0),MATCH("Keyword Difficulty*",'Semrush Data'!$A$1:$Z$1,0)),"")</f>
        <v>19</v>
      </c>
      <c r="I590" s="13" t="n">
        <f aca="false">IFERROR(INDEX('Semrush Data'!$A$1:$Z$20000,MATCH(A590,'Semrush Data'!$A$1:$A$20000,0),MATCH("CPC*",'Semrush Data'!$A$1:$Z$1,0)),"")</f>
        <v>0</v>
      </c>
      <c r="J590" s="7" t="str">
        <f aca="false">IFERROR(INDEX('Semrush Data'!$A$1:$Z$20000,MATCH(A590,'Semrush Data'!$A$1:$A$20000,0),MATCH("Intent",'Semrush Data'!$A$1:$Z$1,0)),"")</f>
        <v>Navigational</v>
      </c>
    </row>
    <row r="591" customFormat="false" ht="15" hidden="false" customHeight="true" outlineLevel="0" collapsed="false">
      <c r="A591" s="7" t="s">
        <v>5900</v>
      </c>
      <c r="B591" s="7" t="s">
        <v>38</v>
      </c>
      <c r="C591" s="7" t="n">
        <v>1</v>
      </c>
      <c r="D591" s="7" t="n">
        <v>6</v>
      </c>
      <c r="E591" s="7" t="n">
        <v>1</v>
      </c>
      <c r="F591" s="7" t="s">
        <v>5898</v>
      </c>
      <c r="G591" s="12" t="n">
        <f aca="false">IFERROR(INDEX('Semrush Data'!$A$1:$Z$20000,MATCH(A591,'Semrush Data'!$A$1:$A$20000,0),MATCH("Volume",'Semrush Data'!$A$1:$Z$1,0)),"")</f>
        <v>0</v>
      </c>
      <c r="H591" s="7" t="n">
        <f aca="false">IFERROR(INDEX('Semrush Data'!$A$1:$Z$20000,MATCH(A591,'Semrush Data'!$A$1:$A$20000,0),MATCH("Keyword Difficulty*",'Semrush Data'!$A$1:$Z$1,0)),"")</f>
        <v>12</v>
      </c>
      <c r="I591" s="13" t="n">
        <f aca="false">IFERROR(INDEX('Semrush Data'!$A$1:$Z$20000,MATCH(A591,'Semrush Data'!$A$1:$A$20000,0),MATCH("CPC*",'Semrush Data'!$A$1:$Z$1,0)),"")</f>
        <v>0</v>
      </c>
      <c r="J591" s="7" t="str">
        <f aca="false">IFERROR(INDEX('Semrush Data'!$A$1:$Z$20000,MATCH(A591,'Semrush Data'!$A$1:$A$20000,0),MATCH("Intent",'Semrush Data'!$A$1:$Z$1,0)),"")</f>
        <v>Transactional</v>
      </c>
    </row>
    <row r="592" customFormat="false" ht="15" hidden="false" customHeight="true" outlineLevel="0" collapsed="false">
      <c r="A592" s="7" t="s">
        <v>5008</v>
      </c>
      <c r="B592" s="7" t="s">
        <v>38</v>
      </c>
      <c r="C592" s="7" t="n">
        <v>1</v>
      </c>
      <c r="D592" s="7" t="n">
        <v>6</v>
      </c>
      <c r="E592" s="7" t="n">
        <v>1</v>
      </c>
      <c r="F592" s="7" t="s">
        <v>5005</v>
      </c>
      <c r="G592" s="12" t="n">
        <f aca="false">IFERROR(INDEX('Semrush Data'!$A$1:$Z$20000,MATCH(A592,'Semrush Data'!$A$1:$A$20000,0),MATCH("Volume",'Semrush Data'!$A$1:$Z$1,0)),"")</f>
        <v>70</v>
      </c>
      <c r="H592" s="7" t="n">
        <f aca="false">IFERROR(INDEX('Semrush Data'!$A$1:$Z$20000,MATCH(A592,'Semrush Data'!$A$1:$A$20000,0),MATCH("Keyword Difficulty*",'Semrush Data'!$A$1:$Z$1,0)),"")</f>
        <v>17</v>
      </c>
      <c r="I592" s="13" t="n">
        <f aca="false">IFERROR(INDEX('Semrush Data'!$A$1:$Z$20000,MATCH(A592,'Semrush Data'!$A$1:$A$20000,0),MATCH("CPC*",'Semrush Data'!$A$1:$Z$1,0)),"")</f>
        <v>0.18</v>
      </c>
      <c r="J592" s="7" t="str">
        <f aca="false">IFERROR(INDEX('Semrush Data'!$A$1:$Z$20000,MATCH(A592,'Semrush Data'!$A$1:$A$20000,0),MATCH("Intent",'Semrush Data'!$A$1:$Z$1,0)),"")</f>
        <v>Informational</v>
      </c>
    </row>
    <row r="593" customFormat="false" ht="15" hidden="false" customHeight="true" outlineLevel="0" collapsed="false">
      <c r="A593" s="7" t="s">
        <v>5060</v>
      </c>
      <c r="B593" s="7" t="s">
        <v>38</v>
      </c>
      <c r="C593" s="7" t="n">
        <v>1</v>
      </c>
      <c r="D593" s="7" t="n">
        <v>6</v>
      </c>
      <c r="E593" s="7" t="n">
        <v>1</v>
      </c>
      <c r="F593" s="7" t="s">
        <v>104</v>
      </c>
      <c r="G593" s="12" t="n">
        <f aca="false">IFERROR(INDEX('Semrush Data'!$A$1:$Z$20000,MATCH(A593,'Semrush Data'!$A$1:$A$20000,0),MATCH("Volume",'Semrush Data'!$A$1:$Z$1,0)),"")</f>
        <v>720</v>
      </c>
      <c r="H593" s="7" t="n">
        <f aca="false">IFERROR(INDEX('Semrush Data'!$A$1:$Z$20000,MATCH(A593,'Semrush Data'!$A$1:$A$20000,0),MATCH("Keyword Difficulty*",'Semrush Data'!$A$1:$Z$1,0)),"")</f>
        <v>20</v>
      </c>
      <c r="I593" s="13" t="n">
        <f aca="false">IFERROR(INDEX('Semrush Data'!$A$1:$Z$20000,MATCH(A593,'Semrush Data'!$A$1:$A$20000,0),MATCH("CPC*",'Semrush Data'!$A$1:$Z$1,0)),"")</f>
        <v>0.44</v>
      </c>
      <c r="J593" s="7" t="str">
        <f aca="false">IFERROR(INDEX('Semrush Data'!$A$1:$Z$20000,MATCH(A593,'Semrush Data'!$A$1:$A$20000,0),MATCH("Intent",'Semrush Data'!$A$1:$Z$1,0)),"")</f>
        <v>Informational</v>
      </c>
    </row>
    <row r="594" customFormat="false" ht="15" hidden="false" customHeight="true" outlineLevel="0" collapsed="false">
      <c r="A594" s="7" t="s">
        <v>5042</v>
      </c>
      <c r="B594" s="7" t="s">
        <v>38</v>
      </c>
      <c r="C594" s="7" t="n">
        <v>1</v>
      </c>
      <c r="D594" s="7" t="n">
        <v>6</v>
      </c>
      <c r="E594" s="7" t="n">
        <v>1</v>
      </c>
      <c r="F594" s="7" t="s">
        <v>5040</v>
      </c>
      <c r="G594" s="12" t="n">
        <f aca="false">IFERROR(INDEX('Semrush Data'!$A$1:$Z$20000,MATCH(A594,'Semrush Data'!$A$1:$A$20000,0),MATCH("Volume",'Semrush Data'!$A$1:$Z$1,0)),"")</f>
        <v>20</v>
      </c>
      <c r="H594" s="7" t="n">
        <f aca="false">IFERROR(INDEX('Semrush Data'!$A$1:$Z$20000,MATCH(A594,'Semrush Data'!$A$1:$A$20000,0),MATCH("Keyword Difficulty*",'Semrush Data'!$A$1:$Z$1,0)),"")</f>
        <v>4</v>
      </c>
      <c r="I594" s="13" t="n">
        <f aca="false">IFERROR(INDEX('Semrush Data'!$A$1:$Z$20000,MATCH(A594,'Semrush Data'!$A$1:$A$20000,0),MATCH("CPC*",'Semrush Data'!$A$1:$Z$1,0)),"")</f>
        <v>0.45</v>
      </c>
      <c r="J594" s="7" t="str">
        <f aca="false">IFERROR(INDEX('Semrush Data'!$A$1:$Z$20000,MATCH(A594,'Semrush Data'!$A$1:$A$20000,0),MATCH("Intent",'Semrush Data'!$A$1:$Z$1,0)),"")</f>
        <v>Informational Transactional</v>
      </c>
    </row>
    <row r="595" customFormat="false" ht="15" hidden="false" customHeight="true" outlineLevel="0" collapsed="false">
      <c r="A595" s="7" t="s">
        <v>5020</v>
      </c>
      <c r="B595" s="7" t="s">
        <v>38</v>
      </c>
      <c r="C595" s="7" t="n">
        <v>1</v>
      </c>
      <c r="D595" s="7" t="n">
        <v>6</v>
      </c>
      <c r="E595" s="7" t="n">
        <v>1</v>
      </c>
      <c r="F595" s="7" t="s">
        <v>62</v>
      </c>
      <c r="G595" s="12" t="n">
        <f aca="false">IFERROR(INDEX('Semrush Data'!$A$1:$Z$20000,MATCH(A595,'Semrush Data'!$A$1:$A$20000,0),MATCH("Volume",'Semrush Data'!$A$1:$Z$1,0)),"")</f>
        <v>4400</v>
      </c>
      <c r="H595" s="7" t="n">
        <f aca="false">IFERROR(INDEX('Semrush Data'!$A$1:$Z$20000,MATCH(A595,'Semrush Data'!$A$1:$A$20000,0),MATCH("Keyword Difficulty*",'Semrush Data'!$A$1:$Z$1,0)),"")</f>
        <v>28</v>
      </c>
      <c r="I595" s="13" t="n">
        <f aca="false">IFERROR(INDEX('Semrush Data'!$A$1:$Z$20000,MATCH(A595,'Semrush Data'!$A$1:$A$20000,0),MATCH("CPC*",'Semrush Data'!$A$1:$Z$1,0)),"")</f>
        <v>0.45</v>
      </c>
      <c r="J595" s="7" t="str">
        <f aca="false">IFERROR(INDEX('Semrush Data'!$A$1:$Z$20000,MATCH(A595,'Semrush Data'!$A$1:$A$20000,0),MATCH("Intent",'Semrush Data'!$A$1:$Z$1,0)),"")</f>
        <v>Informational</v>
      </c>
    </row>
    <row r="596" customFormat="false" ht="15" hidden="false" customHeight="true" outlineLevel="0" collapsed="false">
      <c r="A596" s="7" t="s">
        <v>5051</v>
      </c>
      <c r="B596" s="7" t="s">
        <v>38</v>
      </c>
      <c r="C596" s="7" t="n">
        <v>1</v>
      </c>
      <c r="D596" s="7" t="n">
        <v>6</v>
      </c>
      <c r="E596" s="7" t="n">
        <v>1</v>
      </c>
      <c r="F596" s="7" t="s">
        <v>86</v>
      </c>
      <c r="G596" s="12" t="n">
        <f aca="false">IFERROR(INDEX('Semrush Data'!$A$1:$Z$20000,MATCH(A596,'Semrush Data'!$A$1:$A$20000,0),MATCH("Volume",'Semrush Data'!$A$1:$Z$1,0)),"")</f>
        <v>1300</v>
      </c>
      <c r="H596" s="7" t="n">
        <f aca="false">IFERROR(INDEX('Semrush Data'!$A$1:$Z$20000,MATCH(A596,'Semrush Data'!$A$1:$A$20000,0),MATCH("Keyword Difficulty*",'Semrush Data'!$A$1:$Z$1,0)),"")</f>
        <v>23</v>
      </c>
      <c r="I596" s="13" t="n">
        <f aca="false">IFERROR(INDEX('Semrush Data'!$A$1:$Z$20000,MATCH(A596,'Semrush Data'!$A$1:$A$20000,0),MATCH("CPC*",'Semrush Data'!$A$1:$Z$1,0)),"")</f>
        <v>0.58</v>
      </c>
      <c r="J596" s="7" t="str">
        <f aca="false">IFERROR(INDEX('Semrush Data'!$A$1:$Z$20000,MATCH(A596,'Semrush Data'!$A$1:$A$20000,0),MATCH("Intent",'Semrush Data'!$A$1:$Z$1,0)),"")</f>
        <v>Informational</v>
      </c>
    </row>
    <row r="597" customFormat="false" ht="15" hidden="false" customHeight="true" outlineLevel="0" collapsed="false">
      <c r="A597" s="7" t="s">
        <v>5031</v>
      </c>
      <c r="B597" s="7" t="s">
        <v>38</v>
      </c>
      <c r="C597" s="7" t="n">
        <v>1</v>
      </c>
      <c r="D597" s="7" t="n">
        <v>6</v>
      </c>
      <c r="E597" s="7" t="n">
        <v>1</v>
      </c>
      <c r="F597" s="7" t="s">
        <v>5029</v>
      </c>
      <c r="G597" s="12" t="n">
        <f aca="false">IFERROR(INDEX('Semrush Data'!$A$1:$Z$20000,MATCH(A597,'Semrush Data'!$A$1:$A$20000,0),MATCH("Volume",'Semrush Data'!$A$1:$Z$1,0)),"")</f>
        <v>0</v>
      </c>
      <c r="H597" s="7" t="n">
        <f aca="false">IFERROR(INDEX('Semrush Data'!$A$1:$Z$20000,MATCH(A597,'Semrush Data'!$A$1:$A$20000,0),MATCH("Keyword Difficulty*",'Semrush Data'!$A$1:$Z$1,0)),"")</f>
        <v>19</v>
      </c>
      <c r="I597" s="13" t="n">
        <f aca="false">IFERROR(INDEX('Semrush Data'!$A$1:$Z$20000,MATCH(A597,'Semrush Data'!$A$1:$A$20000,0),MATCH("CPC*",'Semrush Data'!$A$1:$Z$1,0)),"")</f>
        <v>0</v>
      </c>
      <c r="J597" s="7" t="str">
        <f aca="false">IFERROR(INDEX('Semrush Data'!$A$1:$Z$20000,MATCH(A597,'Semrush Data'!$A$1:$A$20000,0),MATCH("Intent",'Semrush Data'!$A$1:$Z$1,0)),"")</f>
        <v>Informational</v>
      </c>
    </row>
    <row r="598" customFormat="false" ht="15" hidden="false" customHeight="true" outlineLevel="0" collapsed="false">
      <c r="A598" s="7" t="s">
        <v>5086</v>
      </c>
      <c r="B598" s="7" t="s">
        <v>38</v>
      </c>
      <c r="C598" s="7" t="n">
        <v>1</v>
      </c>
      <c r="D598" s="7" t="n">
        <v>6</v>
      </c>
      <c r="E598" s="7" t="n">
        <v>1</v>
      </c>
      <c r="F598" s="7" t="s">
        <v>5083</v>
      </c>
      <c r="G598" s="12" t="n">
        <f aca="false">IFERROR(INDEX('Semrush Data'!$A$1:$Z$20000,MATCH(A598,'Semrush Data'!$A$1:$A$20000,0),MATCH("Volume",'Semrush Data'!$A$1:$Z$1,0)),"")</f>
        <v>0</v>
      </c>
      <c r="H598" s="7" t="n">
        <f aca="false">IFERROR(INDEX('Semrush Data'!$A$1:$Z$20000,MATCH(A598,'Semrush Data'!$A$1:$A$20000,0),MATCH("Keyword Difficulty*",'Semrush Data'!$A$1:$Z$1,0)),"")</f>
        <v>16</v>
      </c>
      <c r="I598" s="13" t="n">
        <f aca="false">IFERROR(INDEX('Semrush Data'!$A$1:$Z$20000,MATCH(A598,'Semrush Data'!$A$1:$A$20000,0),MATCH("CPC*",'Semrush Data'!$A$1:$Z$1,0)),"")</f>
        <v>0</v>
      </c>
      <c r="J598" s="7" t="str">
        <f aca="false">IFERROR(INDEX('Semrush Data'!$A$1:$Z$20000,MATCH(A598,'Semrush Data'!$A$1:$A$20000,0),MATCH("Intent",'Semrush Data'!$A$1:$Z$1,0)),"")</f>
        <v>Informational Transactional</v>
      </c>
    </row>
    <row r="599" customFormat="false" ht="15" hidden="false" customHeight="true" outlineLevel="0" collapsed="false">
      <c r="A599" s="7" t="s">
        <v>5073</v>
      </c>
      <c r="B599" s="7" t="s">
        <v>38</v>
      </c>
      <c r="C599" s="7" t="n">
        <v>1</v>
      </c>
      <c r="D599" s="7" t="n">
        <v>6</v>
      </c>
      <c r="E599" s="7" t="n">
        <v>1</v>
      </c>
      <c r="F599" s="7" t="s">
        <v>5069</v>
      </c>
      <c r="G599" s="12" t="n">
        <f aca="false">IFERROR(INDEX('Semrush Data'!$A$1:$Z$20000,MATCH(A599,'Semrush Data'!$A$1:$A$20000,0),MATCH("Volume",'Semrush Data'!$A$1:$Z$1,0)),"")</f>
        <v>20</v>
      </c>
      <c r="H599" s="7" t="n">
        <f aca="false">IFERROR(INDEX('Semrush Data'!$A$1:$Z$20000,MATCH(A599,'Semrush Data'!$A$1:$A$20000,0),MATCH("Keyword Difficulty*",'Semrush Data'!$A$1:$Z$1,0)),"")</f>
        <v>16</v>
      </c>
      <c r="I599" s="13" t="n">
        <f aca="false">IFERROR(INDEX('Semrush Data'!$A$1:$Z$20000,MATCH(A599,'Semrush Data'!$A$1:$A$20000,0),MATCH("CPC*",'Semrush Data'!$A$1:$Z$1,0)),"")</f>
        <v>0</v>
      </c>
      <c r="J599" s="7" t="str">
        <f aca="false">IFERROR(INDEX('Semrush Data'!$A$1:$Z$20000,MATCH(A599,'Semrush Data'!$A$1:$A$20000,0),MATCH("Intent",'Semrush Data'!$A$1:$Z$1,0)),"")</f>
        <v>Informational</v>
      </c>
    </row>
    <row r="600" customFormat="false" ht="15" hidden="false" customHeight="true" outlineLevel="0" collapsed="false">
      <c r="A600" s="7" t="s">
        <v>5099</v>
      </c>
      <c r="B600" s="7" t="s">
        <v>38</v>
      </c>
      <c r="C600" s="7" t="n">
        <v>1</v>
      </c>
      <c r="D600" s="7" t="n">
        <v>6</v>
      </c>
      <c r="E600" s="7" t="n">
        <v>1</v>
      </c>
      <c r="F600" s="7" t="s">
        <v>5095</v>
      </c>
      <c r="G600" s="12" t="n">
        <f aca="false">IFERROR(INDEX('Semrush Data'!$A$1:$Z$20000,MATCH(A600,'Semrush Data'!$A$1:$A$20000,0),MATCH("Volume",'Semrush Data'!$A$1:$Z$1,0)),"")</f>
        <v>0</v>
      </c>
      <c r="H600" s="7" t="n">
        <f aca="false">IFERROR(INDEX('Semrush Data'!$A$1:$Z$20000,MATCH(A600,'Semrush Data'!$A$1:$A$20000,0),MATCH("Keyword Difficulty*",'Semrush Data'!$A$1:$Z$1,0)),"")</f>
        <v>16</v>
      </c>
      <c r="I600" s="13" t="n">
        <f aca="false">IFERROR(INDEX('Semrush Data'!$A$1:$Z$20000,MATCH(A600,'Semrush Data'!$A$1:$A$20000,0),MATCH("CPC*",'Semrush Data'!$A$1:$Z$1,0)),"")</f>
        <v>0</v>
      </c>
      <c r="J600" s="7" t="str">
        <f aca="false">IFERROR(INDEX('Semrush Data'!$A$1:$Z$20000,MATCH(A600,'Semrush Data'!$A$1:$A$20000,0),MATCH("Intent",'Semrush Data'!$A$1:$Z$1,0)),"")</f>
        <v>Informational</v>
      </c>
    </row>
    <row r="601" customFormat="false" ht="15" hidden="false" customHeight="true" outlineLevel="0" collapsed="false">
      <c r="A601" s="7" t="s">
        <v>5110</v>
      </c>
      <c r="B601" s="7" t="s">
        <v>38</v>
      </c>
      <c r="C601" s="7" t="n">
        <v>1</v>
      </c>
      <c r="D601" s="7" t="n">
        <v>6</v>
      </c>
      <c r="E601" s="7" t="n">
        <v>1</v>
      </c>
      <c r="F601" s="7" t="s">
        <v>5108</v>
      </c>
      <c r="G601" s="12" t="n">
        <f aca="false">IFERROR(INDEX('Semrush Data'!$A$1:$Z$20000,MATCH(A601,'Semrush Data'!$A$1:$A$20000,0),MATCH("Volume",'Semrush Data'!$A$1:$Z$1,0)),"")</f>
        <v>0</v>
      </c>
      <c r="H601" s="7" t="n">
        <f aca="false">IFERROR(INDEX('Semrush Data'!$A$1:$Z$20000,MATCH(A601,'Semrush Data'!$A$1:$A$20000,0),MATCH("Keyword Difficulty*",'Semrush Data'!$A$1:$Z$1,0)),"")</f>
        <v>17</v>
      </c>
      <c r="I601" s="13" t="n">
        <f aca="false">IFERROR(INDEX('Semrush Data'!$A$1:$Z$20000,MATCH(A601,'Semrush Data'!$A$1:$A$20000,0),MATCH("CPC*",'Semrush Data'!$A$1:$Z$1,0)),"")</f>
        <v>0</v>
      </c>
      <c r="J601" s="7" t="str">
        <f aca="false">IFERROR(INDEX('Semrush Data'!$A$1:$Z$20000,MATCH(A601,'Semrush Data'!$A$1:$A$20000,0),MATCH("Intent",'Semrush Data'!$A$1:$Z$1,0)),"")</f>
        <v>Informational</v>
      </c>
    </row>
    <row r="602" customFormat="false" ht="15" hidden="false" customHeight="true" outlineLevel="0" collapsed="false">
      <c r="A602" s="7" t="s">
        <v>5122</v>
      </c>
      <c r="B602" s="7" t="s">
        <v>38</v>
      </c>
      <c r="C602" s="7" t="n">
        <v>1</v>
      </c>
      <c r="D602" s="7" t="n">
        <v>7</v>
      </c>
      <c r="E602" s="7" t="n">
        <v>1</v>
      </c>
      <c r="F602" s="7" t="s">
        <v>5118</v>
      </c>
      <c r="G602" s="12" t="n">
        <f aca="false">IFERROR(INDEX('Semrush Data'!$A$1:$Z$20000,MATCH(A602,'Semrush Data'!$A$1:$A$20000,0),MATCH("Volume",'Semrush Data'!$A$1:$Z$1,0)),"")</f>
        <v>0</v>
      </c>
      <c r="H602" s="7" t="n">
        <f aca="false">IFERROR(INDEX('Semrush Data'!$A$1:$Z$20000,MATCH(A602,'Semrush Data'!$A$1:$A$20000,0),MATCH("Keyword Difficulty*",'Semrush Data'!$A$1:$Z$1,0)),"")</f>
        <v>23</v>
      </c>
      <c r="I602" s="13" t="n">
        <f aca="false">IFERROR(INDEX('Semrush Data'!$A$1:$Z$20000,MATCH(A602,'Semrush Data'!$A$1:$A$20000,0),MATCH("CPC*",'Semrush Data'!$A$1:$Z$1,0)),"")</f>
        <v>0</v>
      </c>
      <c r="J602" s="7" t="str">
        <f aca="false">IFERROR(INDEX('Semrush Data'!$A$1:$Z$20000,MATCH(A602,'Semrush Data'!$A$1:$A$20000,0),MATCH("Intent",'Semrush Data'!$A$1:$Z$1,0)),"")</f>
        <v>Informational Transactional</v>
      </c>
    </row>
    <row r="603" customFormat="false" ht="15" hidden="false" customHeight="true" outlineLevel="0" collapsed="false">
      <c r="A603" s="7" t="s">
        <v>5132</v>
      </c>
      <c r="B603" s="7" t="s">
        <v>38</v>
      </c>
      <c r="C603" s="7" t="n">
        <v>1</v>
      </c>
      <c r="D603" s="7" t="n">
        <v>7</v>
      </c>
      <c r="E603" s="7" t="n">
        <v>1</v>
      </c>
      <c r="F603" s="7" t="s">
        <v>5130</v>
      </c>
      <c r="G603" s="12" t="n">
        <f aca="false">IFERROR(INDEX('Semrush Data'!$A$1:$Z$20000,MATCH(A603,'Semrush Data'!$A$1:$A$20000,0),MATCH("Volume",'Semrush Data'!$A$1:$Z$1,0)),"")</f>
        <v>0</v>
      </c>
      <c r="H603" s="7" t="n">
        <f aca="false">IFERROR(INDEX('Semrush Data'!$A$1:$Z$20000,MATCH(A603,'Semrush Data'!$A$1:$A$20000,0),MATCH("Keyword Difficulty*",'Semrush Data'!$A$1:$Z$1,0)),"")</f>
        <v>34</v>
      </c>
      <c r="I603" s="13" t="n">
        <f aca="false">IFERROR(INDEX('Semrush Data'!$A$1:$Z$20000,MATCH(A603,'Semrush Data'!$A$1:$A$20000,0),MATCH("CPC*",'Semrush Data'!$A$1:$Z$1,0)),"")</f>
        <v>0</v>
      </c>
      <c r="J603" s="7" t="str">
        <f aca="false">IFERROR(INDEX('Semrush Data'!$A$1:$Z$20000,MATCH(A603,'Semrush Data'!$A$1:$A$20000,0),MATCH("Intent",'Semrush Data'!$A$1:$Z$1,0)),"")</f>
        <v>Informational Transactional</v>
      </c>
    </row>
    <row r="604" customFormat="false" ht="15" hidden="false" customHeight="true" outlineLevel="0" collapsed="false">
      <c r="A604" s="7" t="s">
        <v>5142</v>
      </c>
      <c r="B604" s="7" t="s">
        <v>38</v>
      </c>
      <c r="C604" s="7" t="n">
        <v>1</v>
      </c>
      <c r="D604" s="7" t="n">
        <v>7</v>
      </c>
      <c r="E604" s="7" t="n">
        <v>1</v>
      </c>
      <c r="F604" s="7" t="s">
        <v>5139</v>
      </c>
      <c r="G604" s="12" t="n">
        <f aca="false">IFERROR(INDEX('Semrush Data'!$A$1:$Z$20000,MATCH(A604,'Semrush Data'!$A$1:$A$20000,0),MATCH("Volume",'Semrush Data'!$A$1:$Z$1,0)),"")</f>
        <v>210</v>
      </c>
      <c r="H604" s="7" t="n">
        <f aca="false">IFERROR(INDEX('Semrush Data'!$A$1:$Z$20000,MATCH(A604,'Semrush Data'!$A$1:$A$20000,0),MATCH("Keyword Difficulty*",'Semrush Data'!$A$1:$Z$1,0)),"")</f>
        <v>12</v>
      </c>
      <c r="I604" s="13" t="n">
        <f aca="false">IFERROR(INDEX('Semrush Data'!$A$1:$Z$20000,MATCH(A604,'Semrush Data'!$A$1:$A$20000,0),MATCH("CPC*",'Semrush Data'!$A$1:$Z$1,0)),"")</f>
        <v>0.35</v>
      </c>
      <c r="J604" s="7" t="str">
        <f aca="false">IFERROR(INDEX('Semrush Data'!$A$1:$Z$20000,MATCH(A604,'Semrush Data'!$A$1:$A$20000,0),MATCH("Intent",'Semrush Data'!$A$1:$Z$1,0)),"")</f>
        <v>Informational</v>
      </c>
    </row>
    <row r="605" customFormat="false" ht="15" hidden="false" customHeight="true" outlineLevel="0" collapsed="false">
      <c r="A605" s="7" t="s">
        <v>5152</v>
      </c>
      <c r="B605" s="7" t="s">
        <v>38</v>
      </c>
      <c r="C605" s="7" t="n">
        <v>1</v>
      </c>
      <c r="D605" s="7" t="n">
        <v>7</v>
      </c>
      <c r="E605" s="7" t="n">
        <v>1</v>
      </c>
      <c r="F605" s="7" t="s">
        <v>52</v>
      </c>
      <c r="G605" s="12" t="n">
        <f aca="false">IFERROR(INDEX('Semrush Data'!$A$1:$Z$20000,MATCH(A605,'Semrush Data'!$A$1:$A$20000,0),MATCH("Volume",'Semrush Data'!$A$1:$Z$1,0)),"")</f>
        <v>9900</v>
      </c>
      <c r="H605" s="7" t="n">
        <f aca="false">IFERROR(INDEX('Semrush Data'!$A$1:$Z$20000,MATCH(A605,'Semrush Data'!$A$1:$A$20000,0),MATCH("Keyword Difficulty*",'Semrush Data'!$A$1:$Z$1,0)),"")</f>
        <v>23</v>
      </c>
      <c r="I605" s="13" t="n">
        <f aca="false">IFERROR(INDEX('Semrush Data'!$A$1:$Z$20000,MATCH(A605,'Semrush Data'!$A$1:$A$20000,0),MATCH("CPC*",'Semrush Data'!$A$1:$Z$1,0)),"")</f>
        <v>0.36</v>
      </c>
      <c r="J605" s="7" t="str">
        <f aca="false">IFERROR(INDEX('Semrush Data'!$A$1:$Z$20000,MATCH(A605,'Semrush Data'!$A$1:$A$20000,0),MATCH("Intent",'Semrush Data'!$A$1:$Z$1,0)),"")</f>
        <v>Informational Transactional</v>
      </c>
    </row>
    <row r="606" customFormat="false" ht="15" hidden="false" customHeight="true" outlineLevel="0" collapsed="false">
      <c r="A606" s="7" t="s">
        <v>5164</v>
      </c>
      <c r="B606" s="7" t="s">
        <v>38</v>
      </c>
      <c r="C606" s="7" t="n">
        <v>1</v>
      </c>
      <c r="D606" s="7" t="n">
        <v>7</v>
      </c>
      <c r="E606" s="7" t="n">
        <v>1</v>
      </c>
      <c r="F606" s="7" t="s">
        <v>5162</v>
      </c>
      <c r="G606" s="12" t="n">
        <f aca="false">IFERROR(INDEX('Semrush Data'!$A$1:$Z$20000,MATCH(A606,'Semrush Data'!$A$1:$A$20000,0),MATCH("Volume",'Semrush Data'!$A$1:$Z$1,0)),"")</f>
        <v>0</v>
      </c>
      <c r="H606" s="7" t="n">
        <f aca="false">IFERROR(INDEX('Semrush Data'!$A$1:$Z$20000,MATCH(A606,'Semrush Data'!$A$1:$A$20000,0),MATCH("Keyword Difficulty*",'Semrush Data'!$A$1:$Z$1,0)),"")</f>
        <v>21</v>
      </c>
      <c r="I606" s="13" t="n">
        <f aca="false">IFERROR(INDEX('Semrush Data'!$A$1:$Z$20000,MATCH(A606,'Semrush Data'!$A$1:$A$20000,0),MATCH("CPC*",'Semrush Data'!$A$1:$Z$1,0)),"")</f>
        <v>0</v>
      </c>
      <c r="J606" s="7" t="str">
        <f aca="false">IFERROR(INDEX('Semrush Data'!$A$1:$Z$20000,MATCH(A606,'Semrush Data'!$A$1:$A$20000,0),MATCH("Intent",'Semrush Data'!$A$1:$Z$1,0)),"")</f>
        <v>Informational</v>
      </c>
    </row>
    <row r="607" customFormat="false" ht="15" hidden="false" customHeight="true" outlineLevel="0" collapsed="false">
      <c r="A607" s="7" t="s">
        <v>5177</v>
      </c>
      <c r="B607" s="7" t="s">
        <v>38</v>
      </c>
      <c r="C607" s="7" t="n">
        <v>1</v>
      </c>
      <c r="D607" s="7" t="n">
        <v>7</v>
      </c>
      <c r="E607" s="7" t="n">
        <v>3</v>
      </c>
      <c r="F607" s="7" t="s">
        <v>6584</v>
      </c>
      <c r="G607" s="12" t="n">
        <f aca="false">IFERROR(INDEX('Semrush Data'!$A$1:$Z$20000,MATCH(A607,'Semrush Data'!$A$1:$A$20000,0),MATCH("Volume",'Semrush Data'!$A$1:$Z$1,0)),"")</f>
        <v>50</v>
      </c>
      <c r="H607" s="7" t="n">
        <f aca="false">IFERROR(INDEX('Semrush Data'!$A$1:$Z$20000,MATCH(A607,'Semrush Data'!$A$1:$A$20000,0),MATCH("Keyword Difficulty*",'Semrush Data'!$A$1:$Z$1,0)),"")</f>
        <v>16</v>
      </c>
      <c r="I607" s="13" t="n">
        <f aca="false">IFERROR(INDEX('Semrush Data'!$A$1:$Z$20000,MATCH(A607,'Semrush Data'!$A$1:$A$20000,0),MATCH("CPC*",'Semrush Data'!$A$1:$Z$1,0)),"")</f>
        <v>0</v>
      </c>
      <c r="J607" s="7" t="str">
        <f aca="false">IFERROR(INDEX('Semrush Data'!$A$1:$Z$20000,MATCH(A607,'Semrush Data'!$A$1:$A$20000,0),MATCH("Intent",'Semrush Data'!$A$1:$Z$1,0)),"")</f>
        <v>Informational</v>
      </c>
    </row>
    <row r="608" customFormat="false" ht="15" hidden="false" customHeight="true" outlineLevel="0" collapsed="false">
      <c r="A608" s="7" t="s">
        <v>5193</v>
      </c>
      <c r="B608" s="7" t="s">
        <v>38</v>
      </c>
      <c r="C608" s="7" t="n">
        <v>1</v>
      </c>
      <c r="D608" s="7" t="n">
        <v>7</v>
      </c>
      <c r="E608" s="7" t="n">
        <v>1</v>
      </c>
      <c r="F608" s="7" t="s">
        <v>5190</v>
      </c>
      <c r="G608" s="12" t="n">
        <f aca="false">IFERROR(INDEX('Semrush Data'!$A$1:$Z$20000,MATCH(A608,'Semrush Data'!$A$1:$A$20000,0),MATCH("Volume",'Semrush Data'!$A$1:$Z$1,0)),"")</f>
        <v>20</v>
      </c>
      <c r="H608" s="7" t="n">
        <f aca="false">IFERROR(INDEX('Semrush Data'!$A$1:$Z$20000,MATCH(A608,'Semrush Data'!$A$1:$A$20000,0),MATCH("Keyword Difficulty*",'Semrush Data'!$A$1:$Z$1,0)),"")</f>
        <v>18</v>
      </c>
      <c r="I608" s="13" t="n">
        <f aca="false">IFERROR(INDEX('Semrush Data'!$A$1:$Z$20000,MATCH(A608,'Semrush Data'!$A$1:$A$20000,0),MATCH("CPC*",'Semrush Data'!$A$1:$Z$1,0)),"")</f>
        <v>0</v>
      </c>
      <c r="J608" s="7" t="str">
        <f aca="false">IFERROR(INDEX('Semrush Data'!$A$1:$Z$20000,MATCH(A608,'Semrush Data'!$A$1:$A$20000,0),MATCH("Intent",'Semrush Data'!$A$1:$Z$1,0)),"")</f>
        <v>Informational Transactional</v>
      </c>
    </row>
    <row r="609" customFormat="false" ht="15" hidden="false" customHeight="true" outlineLevel="0" collapsed="false">
      <c r="A609" s="7" t="s">
        <v>5206</v>
      </c>
      <c r="B609" s="7" t="s">
        <v>38</v>
      </c>
      <c r="C609" s="7" t="n">
        <v>1</v>
      </c>
      <c r="D609" s="7" t="n">
        <v>7</v>
      </c>
      <c r="E609" s="7" t="n">
        <v>1</v>
      </c>
      <c r="F609" s="7" t="s">
        <v>5203</v>
      </c>
      <c r="G609" s="12" t="n">
        <f aca="false">IFERROR(INDEX('Semrush Data'!$A$1:$Z$20000,MATCH(A609,'Semrush Data'!$A$1:$A$20000,0),MATCH("Volume",'Semrush Data'!$A$1:$Z$1,0)),"")</f>
        <v>20</v>
      </c>
      <c r="H609" s="7" t="n">
        <f aca="false">IFERROR(INDEX('Semrush Data'!$A$1:$Z$20000,MATCH(A609,'Semrush Data'!$A$1:$A$20000,0),MATCH("Keyword Difficulty*",'Semrush Data'!$A$1:$Z$1,0)),"")</f>
        <v>9</v>
      </c>
      <c r="I609" s="13" t="n">
        <f aca="false">IFERROR(INDEX('Semrush Data'!$A$1:$Z$20000,MATCH(A609,'Semrush Data'!$A$1:$A$20000,0),MATCH("CPC*",'Semrush Data'!$A$1:$Z$1,0)),"")</f>
        <v>0</v>
      </c>
      <c r="J609" s="7" t="str">
        <f aca="false">IFERROR(INDEX('Semrush Data'!$A$1:$Z$20000,MATCH(A609,'Semrush Data'!$A$1:$A$20000,0),MATCH("Intent",'Semrush Data'!$A$1:$Z$1,0)),"")</f>
        <v>Informational</v>
      </c>
    </row>
    <row r="610" customFormat="false" ht="15" hidden="false" customHeight="true" outlineLevel="0" collapsed="false">
      <c r="A610" s="7" t="s">
        <v>5219</v>
      </c>
      <c r="B610" s="7" t="s">
        <v>38</v>
      </c>
      <c r="C610" s="7" t="n">
        <v>1</v>
      </c>
      <c r="D610" s="7" t="n">
        <v>7</v>
      </c>
      <c r="E610" s="7" t="n">
        <v>1</v>
      </c>
      <c r="F610" s="7" t="s">
        <v>5216</v>
      </c>
      <c r="G610" s="12" t="n">
        <f aca="false">IFERROR(INDEX('Semrush Data'!$A$1:$Z$20000,MATCH(A610,'Semrush Data'!$A$1:$A$20000,0),MATCH("Volume",'Semrush Data'!$A$1:$Z$1,0)),"")</f>
        <v>20</v>
      </c>
      <c r="H610" s="7" t="n">
        <f aca="false">IFERROR(INDEX('Semrush Data'!$A$1:$Z$20000,MATCH(A610,'Semrush Data'!$A$1:$A$20000,0),MATCH("Keyword Difficulty*",'Semrush Data'!$A$1:$Z$1,0)),"")</f>
        <v>0</v>
      </c>
      <c r="I610" s="13" t="n">
        <f aca="false">IFERROR(INDEX('Semrush Data'!$A$1:$Z$20000,MATCH(A610,'Semrush Data'!$A$1:$A$20000,0),MATCH("CPC*",'Semrush Data'!$A$1:$Z$1,0)),"")</f>
        <v>0</v>
      </c>
      <c r="J610" s="7" t="str">
        <f aca="false">IFERROR(INDEX('Semrush Data'!$A$1:$Z$20000,MATCH(A610,'Semrush Data'!$A$1:$A$20000,0),MATCH("Intent",'Semrush Data'!$A$1:$Z$1,0)),"")</f>
        <v>Informational</v>
      </c>
    </row>
    <row r="611" customFormat="false" ht="15" hidden="false" customHeight="true" outlineLevel="0" collapsed="false">
      <c r="A611" s="7" t="s">
        <v>5921</v>
      </c>
      <c r="B611" s="7" t="s">
        <v>38</v>
      </c>
      <c r="C611" s="7" t="n">
        <v>1</v>
      </c>
      <c r="D611" s="7" t="n">
        <v>7</v>
      </c>
      <c r="E611" s="7" t="n">
        <v>1</v>
      </c>
      <c r="F611" s="7" t="s">
        <v>5919</v>
      </c>
      <c r="G611" s="12" t="n">
        <f aca="false">IFERROR(INDEX('Semrush Data'!$A$1:$Z$20000,MATCH(A611,'Semrush Data'!$A$1:$A$20000,0),MATCH("Volume",'Semrush Data'!$A$1:$Z$1,0)),"")</f>
        <v>20</v>
      </c>
      <c r="H611" s="7" t="n">
        <f aca="false">IFERROR(INDEX('Semrush Data'!$A$1:$Z$20000,MATCH(A611,'Semrush Data'!$A$1:$A$20000,0),MATCH("Keyword Difficulty*",'Semrush Data'!$A$1:$Z$1,0)),"")</f>
        <v>19</v>
      </c>
      <c r="I611" s="13" t="n">
        <f aca="false">IFERROR(INDEX('Semrush Data'!$A$1:$Z$20000,MATCH(A611,'Semrush Data'!$A$1:$A$20000,0),MATCH("CPC*",'Semrush Data'!$A$1:$Z$1,0)),"")</f>
        <v>0</v>
      </c>
      <c r="J611" s="7" t="str">
        <f aca="false">IFERROR(INDEX('Semrush Data'!$A$1:$Z$20000,MATCH(A611,'Semrush Data'!$A$1:$A$20000,0),MATCH("Intent",'Semrush Data'!$A$1:$Z$1,0)),"")</f>
        <v>Navigational</v>
      </c>
    </row>
    <row r="612" customFormat="false" ht="15" hidden="false" customHeight="true" outlineLevel="0" collapsed="false">
      <c r="A612" s="7" t="s">
        <v>5231</v>
      </c>
      <c r="B612" s="7" t="s">
        <v>38</v>
      </c>
      <c r="C612" s="7" t="n">
        <v>1</v>
      </c>
      <c r="D612" s="7" t="n">
        <v>7</v>
      </c>
      <c r="E612" s="7" t="n">
        <v>1</v>
      </c>
      <c r="F612" s="7" t="s">
        <v>5228</v>
      </c>
      <c r="G612" s="12" t="n">
        <f aca="false">IFERROR(INDEX('Semrush Data'!$A$1:$Z$20000,MATCH(A612,'Semrush Data'!$A$1:$A$20000,0),MATCH("Volume",'Semrush Data'!$A$1:$Z$1,0)),"")</f>
        <v>0</v>
      </c>
      <c r="H612" s="7" t="n">
        <f aca="false">IFERROR(INDEX('Semrush Data'!$A$1:$Z$20000,MATCH(A612,'Semrush Data'!$A$1:$A$20000,0),MATCH("Keyword Difficulty*",'Semrush Data'!$A$1:$Z$1,0)),"")</f>
        <v>13</v>
      </c>
      <c r="I612" s="13" t="n">
        <f aca="false">IFERROR(INDEX('Semrush Data'!$A$1:$Z$20000,MATCH(A612,'Semrush Data'!$A$1:$A$20000,0),MATCH("CPC*",'Semrush Data'!$A$1:$Z$1,0)),"")</f>
        <v>0</v>
      </c>
      <c r="J612" s="7" t="str">
        <f aca="false">IFERROR(INDEX('Semrush Data'!$A$1:$Z$20000,MATCH(A612,'Semrush Data'!$A$1:$A$20000,0),MATCH("Intent",'Semrush Data'!$A$1:$Z$1,0)),"")</f>
        <v>Navigational</v>
      </c>
    </row>
    <row r="613" customFormat="false" ht="15" hidden="false" customHeight="true" outlineLevel="0" collapsed="false">
      <c r="A613" s="7" t="s">
        <v>5266</v>
      </c>
      <c r="B613" s="7" t="s">
        <v>38</v>
      </c>
      <c r="C613" s="7" t="n">
        <v>1</v>
      </c>
      <c r="D613" s="7" t="n">
        <v>7</v>
      </c>
      <c r="E613" s="7" t="n">
        <v>1</v>
      </c>
      <c r="F613" s="7" t="s">
        <v>5264</v>
      </c>
      <c r="G613" s="12" t="n">
        <f aca="false">IFERROR(INDEX('Semrush Data'!$A$1:$Z$20000,MATCH(A613,'Semrush Data'!$A$1:$A$20000,0),MATCH("Volume",'Semrush Data'!$A$1:$Z$1,0)),"")</f>
        <v>0</v>
      </c>
      <c r="H613" s="7" t="n">
        <f aca="false">IFERROR(INDEX('Semrush Data'!$A$1:$Z$20000,MATCH(A613,'Semrush Data'!$A$1:$A$20000,0),MATCH("Keyword Difficulty*",'Semrush Data'!$A$1:$Z$1,0)),"")</f>
        <v>6</v>
      </c>
      <c r="I613" s="13" t="n">
        <f aca="false">IFERROR(INDEX('Semrush Data'!$A$1:$Z$20000,MATCH(A613,'Semrush Data'!$A$1:$A$20000,0),MATCH("CPC*",'Semrush Data'!$A$1:$Z$1,0)),"")</f>
        <v>0</v>
      </c>
      <c r="J613" s="7" t="str">
        <f aca="false">IFERROR(INDEX('Semrush Data'!$A$1:$Z$20000,MATCH(A613,'Semrush Data'!$A$1:$A$20000,0),MATCH("Intent",'Semrush Data'!$A$1:$Z$1,0)),"")</f>
        <v>Navigational</v>
      </c>
    </row>
    <row r="614" customFormat="false" ht="15" hidden="false" customHeight="true" outlineLevel="0" collapsed="false">
      <c r="A614" s="7" t="s">
        <v>5289</v>
      </c>
      <c r="B614" s="7" t="s">
        <v>38</v>
      </c>
      <c r="C614" s="7" t="n">
        <v>1</v>
      </c>
      <c r="D614" s="7" t="n">
        <v>7</v>
      </c>
      <c r="E614" s="7" t="n">
        <v>1</v>
      </c>
      <c r="F614" s="7" t="s">
        <v>5286</v>
      </c>
      <c r="G614" s="12" t="n">
        <f aca="false">IFERROR(INDEX('Semrush Data'!$A$1:$Z$20000,MATCH(A614,'Semrush Data'!$A$1:$A$20000,0),MATCH("Volume",'Semrush Data'!$A$1:$Z$1,0)),"")</f>
        <v>0</v>
      </c>
      <c r="H614" s="7" t="n">
        <f aca="false">IFERROR(INDEX('Semrush Data'!$A$1:$Z$20000,MATCH(A614,'Semrush Data'!$A$1:$A$20000,0),MATCH("Keyword Difficulty*",'Semrush Data'!$A$1:$Z$1,0)),"")</f>
        <v>16</v>
      </c>
      <c r="I614" s="13" t="n">
        <f aca="false">IFERROR(INDEX('Semrush Data'!$A$1:$Z$20000,MATCH(A614,'Semrush Data'!$A$1:$A$20000,0),MATCH("CPC*",'Semrush Data'!$A$1:$Z$1,0)),"")</f>
        <v>0</v>
      </c>
      <c r="J614" s="7" t="str">
        <f aca="false">IFERROR(INDEX('Semrush Data'!$A$1:$Z$20000,MATCH(A614,'Semrush Data'!$A$1:$A$20000,0),MATCH("Intent",'Semrush Data'!$A$1:$Z$1,0)),"")</f>
        <v>Informational</v>
      </c>
    </row>
    <row r="615" customFormat="false" ht="15" hidden="false" customHeight="true" outlineLevel="0" collapsed="false">
      <c r="A615" s="7" t="s">
        <v>5276</v>
      </c>
      <c r="B615" s="7" t="s">
        <v>38</v>
      </c>
      <c r="C615" s="7" t="n">
        <v>1</v>
      </c>
      <c r="D615" s="7" t="n">
        <v>7</v>
      </c>
      <c r="E615" s="7" t="n">
        <v>1</v>
      </c>
      <c r="F615" s="7" t="s">
        <v>5274</v>
      </c>
      <c r="G615" s="12" t="n">
        <f aca="false">IFERROR(INDEX('Semrush Data'!$A$1:$Z$20000,MATCH(A615,'Semrush Data'!$A$1:$A$20000,0),MATCH("Volume",'Semrush Data'!$A$1:$Z$1,0)),"")</f>
        <v>0</v>
      </c>
      <c r="H615" s="7" t="n">
        <f aca="false">IFERROR(INDEX('Semrush Data'!$A$1:$Z$20000,MATCH(A615,'Semrush Data'!$A$1:$A$20000,0),MATCH("Keyword Difficulty*",'Semrush Data'!$A$1:$Z$1,0)),"")</f>
        <v>14</v>
      </c>
      <c r="I615" s="13" t="n">
        <f aca="false">IFERROR(INDEX('Semrush Data'!$A$1:$Z$20000,MATCH(A615,'Semrush Data'!$A$1:$A$20000,0),MATCH("CPC*",'Semrush Data'!$A$1:$Z$1,0)),"")</f>
        <v>0</v>
      </c>
      <c r="J615" s="7" t="str">
        <f aca="false">IFERROR(INDEX('Semrush Data'!$A$1:$Z$20000,MATCH(A615,'Semrush Data'!$A$1:$A$20000,0),MATCH("Intent",'Semrush Data'!$A$1:$Z$1,0)),"")</f>
        <v>Informational</v>
      </c>
    </row>
    <row r="616" customFormat="false" ht="15" hidden="false" customHeight="true" outlineLevel="0" collapsed="false">
      <c r="A616" s="7" t="s">
        <v>5243</v>
      </c>
      <c r="B616" s="7" t="s">
        <v>38</v>
      </c>
      <c r="C616" s="7" t="n">
        <v>1</v>
      </c>
      <c r="D616" s="7" t="n">
        <v>7</v>
      </c>
      <c r="E616" s="7" t="n">
        <v>1</v>
      </c>
      <c r="F616" s="7" t="s">
        <v>5240</v>
      </c>
      <c r="G616" s="12" t="n">
        <f aca="false">IFERROR(INDEX('Semrush Data'!$A$1:$Z$20000,MATCH(A616,'Semrush Data'!$A$1:$A$20000,0),MATCH("Volume",'Semrush Data'!$A$1:$Z$1,0)),"")</f>
        <v>20</v>
      </c>
      <c r="H616" s="7" t="n">
        <f aca="false">IFERROR(INDEX('Semrush Data'!$A$1:$Z$20000,MATCH(A616,'Semrush Data'!$A$1:$A$20000,0),MATCH("Keyword Difficulty*",'Semrush Data'!$A$1:$Z$1,0)),"")</f>
        <v>12</v>
      </c>
      <c r="I616" s="13" t="n">
        <f aca="false">IFERROR(INDEX('Semrush Data'!$A$1:$Z$20000,MATCH(A616,'Semrush Data'!$A$1:$A$20000,0),MATCH("CPC*",'Semrush Data'!$A$1:$Z$1,0)),"")</f>
        <v>0</v>
      </c>
      <c r="J616" s="7" t="str">
        <f aca="false">IFERROR(INDEX('Semrush Data'!$A$1:$Z$20000,MATCH(A616,'Semrush Data'!$A$1:$A$20000,0),MATCH("Intent",'Semrush Data'!$A$1:$Z$1,0)),"")</f>
        <v>Transactional Navigational</v>
      </c>
    </row>
    <row r="617" customFormat="false" ht="15" hidden="false" customHeight="true" outlineLevel="0" collapsed="false">
      <c r="A617" s="7" t="s">
        <v>5255</v>
      </c>
      <c r="B617" s="7" t="s">
        <v>38</v>
      </c>
      <c r="C617" s="7" t="n">
        <v>1</v>
      </c>
      <c r="D617" s="7" t="n">
        <v>7</v>
      </c>
      <c r="E617" s="7" t="n">
        <v>1</v>
      </c>
      <c r="F617" s="7" t="s">
        <v>5253</v>
      </c>
      <c r="G617" s="12" t="n">
        <f aca="false">IFERROR(INDEX('Semrush Data'!$A$1:$Z$20000,MATCH(A617,'Semrush Data'!$A$1:$A$20000,0),MATCH("Volume",'Semrush Data'!$A$1:$Z$1,0)),"")</f>
        <v>10</v>
      </c>
      <c r="H617" s="7" t="n">
        <f aca="false">IFERROR(INDEX('Semrush Data'!$A$1:$Z$20000,MATCH(A617,'Semrush Data'!$A$1:$A$20000,0),MATCH("Keyword Difficulty*",'Semrush Data'!$A$1:$Z$1,0)),"")</f>
        <v>6</v>
      </c>
      <c r="I617" s="13" t="n">
        <f aca="false">IFERROR(INDEX('Semrush Data'!$A$1:$Z$20000,MATCH(A617,'Semrush Data'!$A$1:$A$20000,0),MATCH("CPC*",'Semrush Data'!$A$1:$Z$1,0)),"")</f>
        <v>0</v>
      </c>
      <c r="J617" s="7" t="str">
        <f aca="false">IFERROR(INDEX('Semrush Data'!$A$1:$Z$20000,MATCH(A617,'Semrush Data'!$A$1:$A$20000,0),MATCH("Intent",'Semrush Data'!$A$1:$Z$1,0)),"")</f>
        <v>Informational Transactional</v>
      </c>
    </row>
    <row r="618" customFormat="false" ht="15" hidden="false" customHeight="true" outlineLevel="0" collapsed="false">
      <c r="A618" s="7" t="s">
        <v>5298</v>
      </c>
      <c r="B618" s="7" t="s">
        <v>38</v>
      </c>
      <c r="C618" s="7" t="n">
        <v>1</v>
      </c>
      <c r="D618" s="7" t="n">
        <v>7</v>
      </c>
      <c r="E618" s="7" t="n">
        <v>1</v>
      </c>
      <c r="F618" s="7" t="s">
        <v>5295</v>
      </c>
      <c r="G618" s="12" t="n">
        <f aca="false">IFERROR(INDEX('Semrush Data'!$A$1:$Z$20000,MATCH(A618,'Semrush Data'!$A$1:$A$20000,0),MATCH("Volume",'Semrush Data'!$A$1:$Z$1,0)),"")</f>
        <v>20</v>
      </c>
      <c r="H618" s="7" t="n">
        <f aca="false">IFERROR(INDEX('Semrush Data'!$A$1:$Z$20000,MATCH(A618,'Semrush Data'!$A$1:$A$20000,0),MATCH("Keyword Difficulty*",'Semrush Data'!$A$1:$Z$1,0)),"")</f>
        <v>8</v>
      </c>
      <c r="I618" s="13" t="n">
        <f aca="false">IFERROR(INDEX('Semrush Data'!$A$1:$Z$20000,MATCH(A618,'Semrush Data'!$A$1:$A$20000,0),MATCH("CPC*",'Semrush Data'!$A$1:$Z$1,0)),"")</f>
        <v>0</v>
      </c>
      <c r="J618" s="7" t="str">
        <f aca="false">IFERROR(INDEX('Semrush Data'!$A$1:$Z$20000,MATCH(A618,'Semrush Data'!$A$1:$A$20000,0),MATCH("Intent",'Semrush Data'!$A$1:$Z$1,0)),"")</f>
        <v>Informational Transactional</v>
      </c>
    </row>
    <row r="619" customFormat="false" ht="15" hidden="false" customHeight="true" outlineLevel="0" collapsed="false">
      <c r="A619" s="7" t="s">
        <v>5310</v>
      </c>
      <c r="B619" s="7" t="s">
        <v>38</v>
      </c>
      <c r="C619" s="7" t="n">
        <v>1</v>
      </c>
      <c r="D619" s="7" t="n">
        <v>7</v>
      </c>
      <c r="E619" s="7" t="n">
        <v>1</v>
      </c>
      <c r="F619" s="7" t="s">
        <v>5308</v>
      </c>
      <c r="G619" s="12" t="n">
        <f aca="false">IFERROR(INDEX('Semrush Data'!$A$1:$Z$20000,MATCH(A619,'Semrush Data'!$A$1:$A$20000,0),MATCH("Volume",'Semrush Data'!$A$1:$Z$1,0)),"")</f>
        <v>20</v>
      </c>
      <c r="H619" s="7" t="n">
        <f aca="false">IFERROR(INDEX('Semrush Data'!$A$1:$Z$20000,MATCH(A619,'Semrush Data'!$A$1:$A$20000,0),MATCH("Keyword Difficulty*",'Semrush Data'!$A$1:$Z$1,0)),"")</f>
        <v>3</v>
      </c>
      <c r="I619" s="13" t="n">
        <f aca="false">IFERROR(INDEX('Semrush Data'!$A$1:$Z$20000,MATCH(A619,'Semrush Data'!$A$1:$A$20000,0),MATCH("CPC*",'Semrush Data'!$A$1:$Z$1,0)),"")</f>
        <v>0</v>
      </c>
      <c r="J619" s="7" t="str">
        <f aca="false">IFERROR(INDEX('Semrush Data'!$A$1:$Z$20000,MATCH(A619,'Semrush Data'!$A$1:$A$20000,0),MATCH("Intent",'Semrush Data'!$A$1:$Z$1,0)),"")</f>
        <v>Informational</v>
      </c>
    </row>
    <row r="620" customFormat="false" ht="15" hidden="false" customHeight="true" outlineLevel="0" collapsed="false">
      <c r="A620" s="7" t="s">
        <v>5321</v>
      </c>
      <c r="B620" s="7" t="s">
        <v>38</v>
      </c>
      <c r="C620" s="7" t="n">
        <v>1</v>
      </c>
      <c r="D620" s="7" t="n">
        <v>7</v>
      </c>
      <c r="E620" s="7" t="n">
        <v>1</v>
      </c>
      <c r="F620" s="7" t="s">
        <v>5319</v>
      </c>
      <c r="G620" s="12" t="n">
        <f aca="false">IFERROR(INDEX('Semrush Data'!$A$1:$Z$20000,MATCH(A620,'Semrush Data'!$A$1:$A$20000,0),MATCH("Volume",'Semrush Data'!$A$1:$Z$1,0)),"")</f>
        <v>0</v>
      </c>
      <c r="H620" s="7" t="n">
        <f aca="false">IFERROR(INDEX('Semrush Data'!$A$1:$Z$20000,MATCH(A620,'Semrush Data'!$A$1:$A$20000,0),MATCH("Keyword Difficulty*",'Semrush Data'!$A$1:$Z$1,0)),"")</f>
        <v>12</v>
      </c>
      <c r="I620" s="13" t="n">
        <f aca="false">IFERROR(INDEX('Semrush Data'!$A$1:$Z$20000,MATCH(A620,'Semrush Data'!$A$1:$A$20000,0),MATCH("CPC*",'Semrush Data'!$A$1:$Z$1,0)),"")</f>
        <v>0</v>
      </c>
      <c r="J620" s="7" t="str">
        <f aca="false">IFERROR(INDEX('Semrush Data'!$A$1:$Z$20000,MATCH(A620,'Semrush Data'!$A$1:$A$20000,0),MATCH("Intent",'Semrush Data'!$A$1:$Z$1,0)),"")</f>
        <v>Informational</v>
      </c>
    </row>
    <row r="621" customFormat="false" ht="15" hidden="false" customHeight="true" outlineLevel="0" collapsed="false">
      <c r="A621" s="7" t="s">
        <v>5333</v>
      </c>
      <c r="B621" s="7" t="s">
        <v>38</v>
      </c>
      <c r="C621" s="7" t="n">
        <v>1</v>
      </c>
      <c r="D621" s="7" t="n">
        <v>7</v>
      </c>
      <c r="E621" s="7" t="n">
        <v>1</v>
      </c>
      <c r="F621" s="7" t="s">
        <v>5331</v>
      </c>
      <c r="G621" s="12" t="n">
        <f aca="false">IFERROR(INDEX('Semrush Data'!$A$1:$Z$20000,MATCH(A621,'Semrush Data'!$A$1:$A$20000,0),MATCH("Volume",'Semrush Data'!$A$1:$Z$1,0)),"")</f>
        <v>0</v>
      </c>
      <c r="H621" s="7" t="n">
        <f aca="false">IFERROR(INDEX('Semrush Data'!$A$1:$Z$20000,MATCH(A621,'Semrush Data'!$A$1:$A$20000,0),MATCH("Keyword Difficulty*",'Semrush Data'!$A$1:$Z$1,0)),"")</f>
        <v>9</v>
      </c>
      <c r="I621" s="13" t="n">
        <f aca="false">IFERROR(INDEX('Semrush Data'!$A$1:$Z$20000,MATCH(A621,'Semrush Data'!$A$1:$A$20000,0),MATCH("CPC*",'Semrush Data'!$A$1:$Z$1,0)),"")</f>
        <v>0</v>
      </c>
      <c r="J621" s="7" t="str">
        <f aca="false">IFERROR(INDEX('Semrush Data'!$A$1:$Z$20000,MATCH(A621,'Semrush Data'!$A$1:$A$20000,0),MATCH("Intent",'Semrush Data'!$A$1:$Z$1,0)),"")</f>
        <v>Informational</v>
      </c>
    </row>
    <row r="622" customFormat="false" ht="15" hidden="false" customHeight="true" outlineLevel="0" collapsed="false">
      <c r="A622" s="7" t="s">
        <v>5342</v>
      </c>
      <c r="B622" s="7" t="s">
        <v>38</v>
      </c>
      <c r="C622" s="7" t="n">
        <v>1</v>
      </c>
      <c r="D622" s="7" t="n">
        <v>7</v>
      </c>
      <c r="E622" s="7" t="n">
        <v>1</v>
      </c>
      <c r="F622" s="7" t="s">
        <v>140</v>
      </c>
      <c r="G622" s="12" t="n">
        <f aca="false">IFERROR(INDEX('Semrush Data'!$A$1:$Z$20000,MATCH(A622,'Semrush Data'!$A$1:$A$20000,0),MATCH("Volume",'Semrush Data'!$A$1:$Z$1,0)),"")</f>
        <v>320</v>
      </c>
      <c r="H622" s="7" t="n">
        <f aca="false">IFERROR(INDEX('Semrush Data'!$A$1:$Z$20000,MATCH(A622,'Semrush Data'!$A$1:$A$20000,0),MATCH("Keyword Difficulty*",'Semrush Data'!$A$1:$Z$1,0)),"")</f>
        <v>16</v>
      </c>
      <c r="I622" s="13" t="n">
        <f aca="false">IFERROR(INDEX('Semrush Data'!$A$1:$Z$20000,MATCH(A622,'Semrush Data'!$A$1:$A$20000,0),MATCH("CPC*",'Semrush Data'!$A$1:$Z$1,0)),"")</f>
        <v>0.63</v>
      </c>
      <c r="J622" s="7" t="str">
        <f aca="false">IFERROR(INDEX('Semrush Data'!$A$1:$Z$20000,MATCH(A622,'Semrush Data'!$A$1:$A$20000,0),MATCH("Intent",'Semrush Data'!$A$1:$Z$1,0)),"")</f>
        <v>Informational Transactional</v>
      </c>
    </row>
    <row r="623" customFormat="false" ht="15" hidden="false" customHeight="true" outlineLevel="0" collapsed="false">
      <c r="A623" s="7" t="s">
        <v>5354</v>
      </c>
      <c r="B623" s="7" t="s">
        <v>38</v>
      </c>
      <c r="C623" s="7" t="n">
        <v>1</v>
      </c>
      <c r="D623" s="7" t="n">
        <v>7</v>
      </c>
      <c r="E623" s="7" t="n">
        <v>1</v>
      </c>
      <c r="F623" s="7" t="s">
        <v>5352</v>
      </c>
      <c r="G623" s="12" t="n">
        <f aca="false">IFERROR(INDEX('Semrush Data'!$A$1:$Z$20000,MATCH(A623,'Semrush Data'!$A$1:$A$20000,0),MATCH("Volume",'Semrush Data'!$A$1:$Z$1,0)),"")</f>
        <v>20</v>
      </c>
      <c r="H623" s="7" t="n">
        <f aca="false">IFERROR(INDEX('Semrush Data'!$A$1:$Z$20000,MATCH(A623,'Semrush Data'!$A$1:$A$20000,0),MATCH("Keyword Difficulty*",'Semrush Data'!$A$1:$Z$1,0)),"")</f>
        <v>17</v>
      </c>
      <c r="I623" s="13" t="n">
        <f aca="false">IFERROR(INDEX('Semrush Data'!$A$1:$Z$20000,MATCH(A623,'Semrush Data'!$A$1:$A$20000,0),MATCH("CPC*",'Semrush Data'!$A$1:$Z$1,0)),"")</f>
        <v>0</v>
      </c>
      <c r="J623" s="7" t="str">
        <f aca="false">IFERROR(INDEX('Semrush Data'!$A$1:$Z$20000,MATCH(A623,'Semrush Data'!$A$1:$A$20000,0),MATCH("Intent",'Semrush Data'!$A$1:$Z$1,0)),"")</f>
        <v>Navigational</v>
      </c>
    </row>
    <row r="624" customFormat="false" ht="15" hidden="false" customHeight="true" outlineLevel="0" collapsed="false">
      <c r="A624" s="7" t="s">
        <v>4406</v>
      </c>
      <c r="B624" s="7" t="s">
        <v>38</v>
      </c>
      <c r="C624" s="7" t="n">
        <v>1</v>
      </c>
      <c r="D624" s="7" t="n">
        <v>7</v>
      </c>
      <c r="E624" s="7" t="n">
        <v>1</v>
      </c>
      <c r="F624" s="7" t="s">
        <v>4404</v>
      </c>
      <c r="G624" s="12" t="n">
        <f aca="false">IFERROR(INDEX('Semrush Data'!$A$1:$Z$20000,MATCH(A624,'Semrush Data'!$A$1:$A$20000,0),MATCH("Volume",'Semrush Data'!$A$1:$Z$1,0)),"")</f>
        <v>0</v>
      </c>
      <c r="H624" s="7" t="n">
        <f aca="false">IFERROR(INDEX('Semrush Data'!$A$1:$Z$20000,MATCH(A624,'Semrush Data'!$A$1:$A$20000,0),MATCH("Keyword Difficulty*",'Semrush Data'!$A$1:$Z$1,0)),"")</f>
        <v>27</v>
      </c>
      <c r="I624" s="13" t="n">
        <f aca="false">IFERROR(INDEX('Semrush Data'!$A$1:$Z$20000,MATCH(A624,'Semrush Data'!$A$1:$A$20000,0),MATCH("CPC*",'Semrush Data'!$A$1:$Z$1,0)),"")</f>
        <v>0</v>
      </c>
      <c r="J624" s="7" t="str">
        <f aca="false">IFERROR(INDEX('Semrush Data'!$A$1:$Z$20000,MATCH(A624,'Semrush Data'!$A$1:$A$20000,0),MATCH("Intent",'Semrush Data'!$A$1:$Z$1,0)),"")</f>
        <v>Informational</v>
      </c>
    </row>
    <row r="625" customFormat="false" ht="15" hidden="false" customHeight="true" outlineLevel="0" collapsed="false">
      <c r="A625" s="7" t="s">
        <v>4416</v>
      </c>
      <c r="B625" s="7" t="s">
        <v>38</v>
      </c>
      <c r="C625" s="7" t="n">
        <v>1</v>
      </c>
      <c r="D625" s="7" t="n">
        <v>7</v>
      </c>
      <c r="E625" s="7" t="n">
        <v>1</v>
      </c>
      <c r="F625" s="7" t="s">
        <v>4414</v>
      </c>
      <c r="G625" s="12" t="n">
        <f aca="false">IFERROR(INDEX('Semrush Data'!$A$1:$Z$20000,MATCH(A625,'Semrush Data'!$A$1:$A$20000,0),MATCH("Volume",'Semrush Data'!$A$1:$Z$1,0)),"")</f>
        <v>0</v>
      </c>
      <c r="H625" s="7" t="n">
        <f aca="false">IFERROR(INDEX('Semrush Data'!$A$1:$Z$20000,MATCH(A625,'Semrush Data'!$A$1:$A$20000,0),MATCH("Keyword Difficulty*",'Semrush Data'!$A$1:$Z$1,0)),"")</f>
        <v>14</v>
      </c>
      <c r="I625" s="13" t="n">
        <f aca="false">IFERROR(INDEX('Semrush Data'!$A$1:$Z$20000,MATCH(A625,'Semrush Data'!$A$1:$A$20000,0),MATCH("CPC*",'Semrush Data'!$A$1:$Z$1,0)),"")</f>
        <v>0</v>
      </c>
      <c r="J625" s="7" t="str">
        <f aca="false">IFERROR(INDEX('Semrush Data'!$A$1:$Z$20000,MATCH(A625,'Semrush Data'!$A$1:$A$20000,0),MATCH("Intent",'Semrush Data'!$A$1:$Z$1,0)),"")</f>
        <v>Navigational</v>
      </c>
    </row>
    <row r="626" customFormat="false" ht="15" hidden="false" customHeight="true" outlineLevel="0" collapsed="false">
      <c r="A626" s="7" t="s">
        <v>4427</v>
      </c>
      <c r="B626" s="7" t="s">
        <v>38</v>
      </c>
      <c r="C626" s="7" t="n">
        <v>1</v>
      </c>
      <c r="D626" s="7" t="n">
        <v>7</v>
      </c>
      <c r="E626" s="7" t="n">
        <v>1</v>
      </c>
      <c r="F626" s="7" t="s">
        <v>4425</v>
      </c>
      <c r="G626" s="12" t="n">
        <f aca="false">IFERROR(INDEX('Semrush Data'!$A$1:$Z$20000,MATCH(A626,'Semrush Data'!$A$1:$A$20000,0),MATCH("Volume",'Semrush Data'!$A$1:$Z$1,0)),"")</f>
        <v>0</v>
      </c>
      <c r="H626" s="7" t="n">
        <f aca="false">IFERROR(INDEX('Semrush Data'!$A$1:$Z$20000,MATCH(A626,'Semrush Data'!$A$1:$A$20000,0),MATCH("Keyword Difficulty*",'Semrush Data'!$A$1:$Z$1,0)),"")</f>
        <v>22</v>
      </c>
      <c r="I626" s="13" t="n">
        <f aca="false">IFERROR(INDEX('Semrush Data'!$A$1:$Z$20000,MATCH(A626,'Semrush Data'!$A$1:$A$20000,0),MATCH("CPC*",'Semrush Data'!$A$1:$Z$1,0)),"")</f>
        <v>0</v>
      </c>
      <c r="J626" s="7" t="str">
        <f aca="false">IFERROR(INDEX('Semrush Data'!$A$1:$Z$20000,MATCH(A626,'Semrush Data'!$A$1:$A$20000,0),MATCH("Intent",'Semrush Data'!$A$1:$Z$1,0)),"")</f>
        <v>Navigational</v>
      </c>
    </row>
    <row r="627" customFormat="false" ht="15" hidden="false" customHeight="true" outlineLevel="0" collapsed="false">
      <c r="A627" s="7" t="s">
        <v>4437</v>
      </c>
      <c r="B627" s="7" t="s">
        <v>38</v>
      </c>
      <c r="C627" s="7" t="n">
        <v>1</v>
      </c>
      <c r="D627" s="7" t="n">
        <v>7</v>
      </c>
      <c r="E627" s="7" t="n">
        <v>1</v>
      </c>
      <c r="F627" s="7" t="s">
        <v>4435</v>
      </c>
      <c r="G627" s="12" t="n">
        <f aca="false">IFERROR(INDEX('Semrush Data'!$A$1:$Z$20000,MATCH(A627,'Semrush Data'!$A$1:$A$20000,0),MATCH("Volume",'Semrush Data'!$A$1:$Z$1,0)),"")</f>
        <v>0</v>
      </c>
      <c r="H627" s="7" t="n">
        <f aca="false">IFERROR(INDEX('Semrush Data'!$A$1:$Z$20000,MATCH(A627,'Semrush Data'!$A$1:$A$20000,0),MATCH("Keyword Difficulty*",'Semrush Data'!$A$1:$Z$1,0)),"")</f>
        <v>24</v>
      </c>
      <c r="I627" s="13" t="n">
        <f aca="false">IFERROR(INDEX('Semrush Data'!$A$1:$Z$20000,MATCH(A627,'Semrush Data'!$A$1:$A$20000,0),MATCH("CPC*",'Semrush Data'!$A$1:$Z$1,0)),"")</f>
        <v>0</v>
      </c>
      <c r="J627" s="7" t="str">
        <f aca="false">IFERROR(INDEX('Semrush Data'!$A$1:$Z$20000,MATCH(A627,'Semrush Data'!$A$1:$A$20000,0),MATCH("Intent",'Semrush Data'!$A$1:$Z$1,0)),"")</f>
        <v>Informational</v>
      </c>
    </row>
    <row r="628" customFormat="false" ht="15" hidden="false" customHeight="true" outlineLevel="0" collapsed="false">
      <c r="A628" s="7" t="s">
        <v>4447</v>
      </c>
      <c r="B628" s="7" t="s">
        <v>38</v>
      </c>
      <c r="C628" s="7" t="n">
        <v>1</v>
      </c>
      <c r="D628" s="7" t="n">
        <v>7</v>
      </c>
      <c r="E628" s="7" t="n">
        <v>1</v>
      </c>
      <c r="F628" s="7" t="s">
        <v>4445</v>
      </c>
      <c r="G628" s="12" t="n">
        <f aca="false">IFERROR(INDEX('Semrush Data'!$A$1:$Z$20000,MATCH(A628,'Semrush Data'!$A$1:$A$20000,0),MATCH("Volume",'Semrush Data'!$A$1:$Z$1,0)),"")</f>
        <v>0</v>
      </c>
      <c r="H628" s="7" t="n">
        <f aca="false">IFERROR(INDEX('Semrush Data'!$A$1:$Z$20000,MATCH(A628,'Semrush Data'!$A$1:$A$20000,0),MATCH("Keyword Difficulty*",'Semrush Data'!$A$1:$Z$1,0)),"")</f>
        <v>28</v>
      </c>
      <c r="I628" s="13" t="n">
        <f aca="false">IFERROR(INDEX('Semrush Data'!$A$1:$Z$20000,MATCH(A628,'Semrush Data'!$A$1:$A$20000,0),MATCH("CPC*",'Semrush Data'!$A$1:$Z$1,0)),"")</f>
        <v>0</v>
      </c>
      <c r="J628" s="7" t="str">
        <f aca="false">IFERROR(INDEX('Semrush Data'!$A$1:$Z$20000,MATCH(A628,'Semrush Data'!$A$1:$A$20000,0),MATCH("Intent",'Semrush Data'!$A$1:$Z$1,0)),"")</f>
        <v>Informational Transactional</v>
      </c>
    </row>
    <row r="629" customFormat="false" ht="15" hidden="false" customHeight="true" outlineLevel="0" collapsed="false">
      <c r="A629" s="7" t="s">
        <v>4457</v>
      </c>
      <c r="B629" s="7" t="s">
        <v>38</v>
      </c>
      <c r="C629" s="7" t="n">
        <v>1</v>
      </c>
      <c r="D629" s="7" t="n">
        <v>7</v>
      </c>
      <c r="E629" s="7" t="n">
        <v>1</v>
      </c>
      <c r="F629" s="7" t="s">
        <v>4455</v>
      </c>
      <c r="G629" s="12" t="n">
        <f aca="false">IFERROR(INDEX('Semrush Data'!$A$1:$Z$20000,MATCH(A629,'Semrush Data'!$A$1:$A$20000,0),MATCH("Volume",'Semrush Data'!$A$1:$Z$1,0)),"")</f>
        <v>0</v>
      </c>
      <c r="H629" s="7" t="n">
        <f aca="false">IFERROR(INDEX('Semrush Data'!$A$1:$Z$20000,MATCH(A629,'Semrush Data'!$A$1:$A$20000,0),MATCH("Keyword Difficulty*",'Semrush Data'!$A$1:$Z$1,0)),"")</f>
        <v>24</v>
      </c>
      <c r="I629" s="13" t="n">
        <f aca="false">IFERROR(INDEX('Semrush Data'!$A$1:$Z$20000,MATCH(A629,'Semrush Data'!$A$1:$A$20000,0),MATCH("CPC*",'Semrush Data'!$A$1:$Z$1,0)),"")</f>
        <v>0</v>
      </c>
      <c r="J629" s="7" t="str">
        <f aca="false">IFERROR(INDEX('Semrush Data'!$A$1:$Z$20000,MATCH(A629,'Semrush Data'!$A$1:$A$20000,0),MATCH("Intent",'Semrush Data'!$A$1:$Z$1,0)),"")</f>
        <v>Informational</v>
      </c>
    </row>
    <row r="630" customFormat="false" ht="15" hidden="false" customHeight="true" outlineLevel="0" collapsed="false">
      <c r="A630" s="7" t="s">
        <v>4467</v>
      </c>
      <c r="B630" s="7" t="s">
        <v>38</v>
      </c>
      <c r="C630" s="7" t="n">
        <v>1</v>
      </c>
      <c r="D630" s="7" t="n">
        <v>7</v>
      </c>
      <c r="E630" s="7" t="n">
        <v>1</v>
      </c>
      <c r="F630" s="7" t="s">
        <v>4465</v>
      </c>
      <c r="G630" s="12" t="n">
        <f aca="false">IFERROR(INDEX('Semrush Data'!$A$1:$Z$20000,MATCH(A630,'Semrush Data'!$A$1:$A$20000,0),MATCH("Volume",'Semrush Data'!$A$1:$Z$1,0)),"")</f>
        <v>0</v>
      </c>
      <c r="H630" s="7" t="n">
        <f aca="false">IFERROR(INDEX('Semrush Data'!$A$1:$Z$20000,MATCH(A630,'Semrush Data'!$A$1:$A$20000,0),MATCH("Keyword Difficulty*",'Semrush Data'!$A$1:$Z$1,0)),"")</f>
        <v>35</v>
      </c>
      <c r="I630" s="13" t="n">
        <f aca="false">IFERROR(INDEX('Semrush Data'!$A$1:$Z$20000,MATCH(A630,'Semrush Data'!$A$1:$A$20000,0),MATCH("CPC*",'Semrush Data'!$A$1:$Z$1,0)),"")</f>
        <v>0</v>
      </c>
      <c r="J630" s="7" t="str">
        <f aca="false">IFERROR(INDEX('Semrush Data'!$A$1:$Z$20000,MATCH(A630,'Semrush Data'!$A$1:$A$20000,0),MATCH("Intent",'Semrush Data'!$A$1:$Z$1,0)),"")</f>
        <v>Navigational</v>
      </c>
    </row>
    <row r="631" customFormat="false" ht="15" hidden="false" customHeight="true" outlineLevel="0" collapsed="false">
      <c r="A631" s="7" t="s">
        <v>4478</v>
      </c>
      <c r="B631" s="7" t="s">
        <v>38</v>
      </c>
      <c r="C631" s="7" t="n">
        <v>1</v>
      </c>
      <c r="D631" s="7" t="n">
        <v>7</v>
      </c>
      <c r="E631" s="7" t="n">
        <v>1</v>
      </c>
      <c r="F631" s="7" t="s">
        <v>4476</v>
      </c>
      <c r="G631" s="12" t="n">
        <f aca="false">IFERROR(INDEX('Semrush Data'!$A$1:$Z$20000,MATCH(A631,'Semrush Data'!$A$1:$A$20000,0),MATCH("Volume",'Semrush Data'!$A$1:$Z$1,0)),"")</f>
        <v>0</v>
      </c>
      <c r="H631" s="7" t="n">
        <f aca="false">IFERROR(INDEX('Semrush Data'!$A$1:$Z$20000,MATCH(A631,'Semrush Data'!$A$1:$A$20000,0),MATCH("Keyword Difficulty*",'Semrush Data'!$A$1:$Z$1,0)),"")</f>
        <v>34</v>
      </c>
      <c r="I631" s="13" t="n">
        <f aca="false">IFERROR(INDEX('Semrush Data'!$A$1:$Z$20000,MATCH(A631,'Semrush Data'!$A$1:$A$20000,0),MATCH("CPC*",'Semrush Data'!$A$1:$Z$1,0)),"")</f>
        <v>0</v>
      </c>
      <c r="J631" s="7" t="str">
        <f aca="false">IFERROR(INDEX('Semrush Data'!$A$1:$Z$20000,MATCH(A631,'Semrush Data'!$A$1:$A$20000,0),MATCH("Intent",'Semrush Data'!$A$1:$Z$1,0)),"")</f>
        <v>Transactional Navigational</v>
      </c>
    </row>
    <row r="632" customFormat="false" ht="15" hidden="false" customHeight="true" outlineLevel="0" collapsed="false">
      <c r="A632" s="7" t="s">
        <v>4488</v>
      </c>
      <c r="B632" s="7" t="s">
        <v>38</v>
      </c>
      <c r="C632" s="7" t="n">
        <v>1</v>
      </c>
      <c r="D632" s="7" t="n">
        <v>7</v>
      </c>
      <c r="E632" s="7" t="n">
        <v>1</v>
      </c>
      <c r="F632" s="7" t="s">
        <v>4486</v>
      </c>
      <c r="G632" s="12" t="n">
        <f aca="false">IFERROR(INDEX('Semrush Data'!$A$1:$Z$20000,MATCH(A632,'Semrush Data'!$A$1:$A$20000,0),MATCH("Volume",'Semrush Data'!$A$1:$Z$1,0)),"")</f>
        <v>0</v>
      </c>
      <c r="H632" s="7" t="n">
        <f aca="false">IFERROR(INDEX('Semrush Data'!$A$1:$Z$20000,MATCH(A632,'Semrush Data'!$A$1:$A$20000,0),MATCH("Keyword Difficulty*",'Semrush Data'!$A$1:$Z$1,0)),"")</f>
        <v>28</v>
      </c>
      <c r="I632" s="13" t="n">
        <f aca="false">IFERROR(INDEX('Semrush Data'!$A$1:$Z$20000,MATCH(A632,'Semrush Data'!$A$1:$A$20000,0),MATCH("CPC*",'Semrush Data'!$A$1:$Z$1,0)),"")</f>
        <v>0</v>
      </c>
      <c r="J632" s="7" t="str">
        <f aca="false">IFERROR(INDEX('Semrush Data'!$A$1:$Z$20000,MATCH(A632,'Semrush Data'!$A$1:$A$20000,0),MATCH("Intent",'Semrush Data'!$A$1:$Z$1,0)),"")</f>
        <v>Informational</v>
      </c>
    </row>
    <row r="633" customFormat="false" ht="15" hidden="false" customHeight="true" outlineLevel="0" collapsed="false">
      <c r="A633" s="7" t="s">
        <v>4498</v>
      </c>
      <c r="B633" s="7" t="s">
        <v>38</v>
      </c>
      <c r="C633" s="7" t="n">
        <v>1</v>
      </c>
      <c r="D633" s="7" t="n">
        <v>7</v>
      </c>
      <c r="E633" s="7" t="n">
        <v>1</v>
      </c>
      <c r="F633" s="7" t="s">
        <v>4496</v>
      </c>
      <c r="G633" s="12" t="n">
        <f aca="false">IFERROR(INDEX('Semrush Data'!$A$1:$Z$20000,MATCH(A633,'Semrush Data'!$A$1:$A$20000,0),MATCH("Volume",'Semrush Data'!$A$1:$Z$1,0)),"")</f>
        <v>0</v>
      </c>
      <c r="H633" s="7" t="n">
        <f aca="false">IFERROR(INDEX('Semrush Data'!$A$1:$Z$20000,MATCH(A633,'Semrush Data'!$A$1:$A$20000,0),MATCH("Keyword Difficulty*",'Semrush Data'!$A$1:$Z$1,0)),"")</f>
        <v>10</v>
      </c>
      <c r="I633" s="13" t="n">
        <f aca="false">IFERROR(INDEX('Semrush Data'!$A$1:$Z$20000,MATCH(A633,'Semrush Data'!$A$1:$A$20000,0),MATCH("CPC*",'Semrush Data'!$A$1:$Z$1,0)),"")</f>
        <v>0</v>
      </c>
      <c r="J633" s="7" t="str">
        <f aca="false">IFERROR(INDEX('Semrush Data'!$A$1:$Z$20000,MATCH(A633,'Semrush Data'!$A$1:$A$20000,0),MATCH("Intent",'Semrush Data'!$A$1:$Z$1,0)),"")</f>
        <v>Informational Transactional</v>
      </c>
    </row>
    <row r="634" customFormat="false" ht="15" hidden="false" customHeight="true" outlineLevel="0" collapsed="false">
      <c r="A634" s="7" t="s">
        <v>4508</v>
      </c>
      <c r="B634" s="7" t="s">
        <v>38</v>
      </c>
      <c r="C634" s="7" t="n">
        <v>1</v>
      </c>
      <c r="D634" s="7" t="n">
        <v>7</v>
      </c>
      <c r="E634" s="7" t="n">
        <v>1</v>
      </c>
      <c r="F634" s="7" t="s">
        <v>4506</v>
      </c>
      <c r="G634" s="12" t="n">
        <f aca="false">IFERROR(INDEX('Semrush Data'!$A$1:$Z$20000,MATCH(A634,'Semrush Data'!$A$1:$A$20000,0),MATCH("Volume",'Semrush Data'!$A$1:$Z$1,0)),"")</f>
        <v>0</v>
      </c>
      <c r="H634" s="7" t="n">
        <f aca="false">IFERROR(INDEX('Semrush Data'!$A$1:$Z$20000,MATCH(A634,'Semrush Data'!$A$1:$A$20000,0),MATCH("Keyword Difficulty*",'Semrush Data'!$A$1:$Z$1,0)),"")</f>
        <v>24</v>
      </c>
      <c r="I634" s="13" t="n">
        <f aca="false">IFERROR(INDEX('Semrush Data'!$A$1:$Z$20000,MATCH(A634,'Semrush Data'!$A$1:$A$20000,0),MATCH("CPC*",'Semrush Data'!$A$1:$Z$1,0)),"")</f>
        <v>0</v>
      </c>
      <c r="J634" s="7" t="str">
        <f aca="false">IFERROR(INDEX('Semrush Data'!$A$1:$Z$20000,MATCH(A634,'Semrush Data'!$A$1:$A$20000,0),MATCH("Intent",'Semrush Data'!$A$1:$Z$1,0)),"")</f>
        <v>Informational</v>
      </c>
    </row>
    <row r="635" customFormat="false" ht="15" hidden="false" customHeight="true" outlineLevel="0" collapsed="false">
      <c r="A635" s="7" t="s">
        <v>4518</v>
      </c>
      <c r="B635" s="7" t="s">
        <v>38</v>
      </c>
      <c r="C635" s="7" t="n">
        <v>1</v>
      </c>
      <c r="D635" s="7" t="n">
        <v>7</v>
      </c>
      <c r="E635" s="7" t="n">
        <v>1</v>
      </c>
      <c r="F635" s="7" t="s">
        <v>4516</v>
      </c>
      <c r="G635" s="12" t="n">
        <f aca="false">IFERROR(INDEX('Semrush Data'!$A$1:$Z$20000,MATCH(A635,'Semrush Data'!$A$1:$A$20000,0),MATCH("Volume",'Semrush Data'!$A$1:$Z$1,0)),"")</f>
        <v>0</v>
      </c>
      <c r="H635" s="7" t="n">
        <f aca="false">IFERROR(INDEX('Semrush Data'!$A$1:$Z$20000,MATCH(A635,'Semrush Data'!$A$1:$A$20000,0),MATCH("Keyword Difficulty*",'Semrush Data'!$A$1:$Z$1,0)),"")</f>
        <v>24</v>
      </c>
      <c r="I635" s="13" t="n">
        <f aca="false">IFERROR(INDEX('Semrush Data'!$A$1:$Z$20000,MATCH(A635,'Semrush Data'!$A$1:$A$20000,0),MATCH("CPC*",'Semrush Data'!$A$1:$Z$1,0)),"")</f>
        <v>0</v>
      </c>
      <c r="J635" s="7" t="str">
        <f aca="false">IFERROR(INDEX('Semrush Data'!$A$1:$Z$20000,MATCH(A635,'Semrush Data'!$A$1:$A$20000,0),MATCH("Intent",'Semrush Data'!$A$1:$Z$1,0)),"")</f>
        <v>Informational</v>
      </c>
    </row>
    <row r="636" customFormat="false" ht="15" hidden="false" customHeight="true" outlineLevel="0" collapsed="false">
      <c r="A636" s="7" t="s">
        <v>4528</v>
      </c>
      <c r="B636" s="7" t="s">
        <v>38</v>
      </c>
      <c r="C636" s="7" t="n">
        <v>1</v>
      </c>
      <c r="D636" s="7" t="n">
        <v>7</v>
      </c>
      <c r="E636" s="7" t="n">
        <v>1</v>
      </c>
      <c r="F636" s="7" t="s">
        <v>4526</v>
      </c>
      <c r="G636" s="12" t="n">
        <f aca="false">IFERROR(INDEX('Semrush Data'!$A$1:$Z$20000,MATCH(A636,'Semrush Data'!$A$1:$A$20000,0),MATCH("Volume",'Semrush Data'!$A$1:$Z$1,0)),"")</f>
        <v>0</v>
      </c>
      <c r="H636" s="7" t="n">
        <f aca="false">IFERROR(INDEX('Semrush Data'!$A$1:$Z$20000,MATCH(A636,'Semrush Data'!$A$1:$A$20000,0),MATCH("Keyword Difficulty*",'Semrush Data'!$A$1:$Z$1,0)),"")</f>
        <v>16</v>
      </c>
      <c r="I636" s="13" t="n">
        <f aca="false">IFERROR(INDEX('Semrush Data'!$A$1:$Z$20000,MATCH(A636,'Semrush Data'!$A$1:$A$20000,0),MATCH("CPC*",'Semrush Data'!$A$1:$Z$1,0)),"")</f>
        <v>0</v>
      </c>
      <c r="J636" s="7" t="str">
        <f aca="false">IFERROR(INDEX('Semrush Data'!$A$1:$Z$20000,MATCH(A636,'Semrush Data'!$A$1:$A$20000,0),MATCH("Intent",'Semrush Data'!$A$1:$Z$1,0)),"")</f>
        <v>Navigational</v>
      </c>
    </row>
    <row r="637" customFormat="false" ht="15" hidden="false" customHeight="true" outlineLevel="0" collapsed="false">
      <c r="A637" s="7" t="s">
        <v>4538</v>
      </c>
      <c r="B637" s="7" t="s">
        <v>38</v>
      </c>
      <c r="C637" s="7" t="n">
        <v>1</v>
      </c>
      <c r="D637" s="7" t="n">
        <v>7</v>
      </c>
      <c r="E637" s="7" t="n">
        <v>1</v>
      </c>
      <c r="F637" s="7" t="s">
        <v>4536</v>
      </c>
      <c r="G637" s="12" t="n">
        <f aca="false">IFERROR(INDEX('Semrush Data'!$A$1:$Z$20000,MATCH(A637,'Semrush Data'!$A$1:$A$20000,0),MATCH("Volume",'Semrush Data'!$A$1:$Z$1,0)),"")</f>
        <v>0</v>
      </c>
      <c r="H637" s="7" t="n">
        <f aca="false">IFERROR(INDEX('Semrush Data'!$A$1:$Z$20000,MATCH(A637,'Semrush Data'!$A$1:$A$20000,0),MATCH("Keyword Difficulty*",'Semrush Data'!$A$1:$Z$1,0)),"")</f>
        <v>28</v>
      </c>
      <c r="I637" s="13" t="n">
        <f aca="false">IFERROR(INDEX('Semrush Data'!$A$1:$Z$20000,MATCH(A637,'Semrush Data'!$A$1:$A$20000,0),MATCH("CPC*",'Semrush Data'!$A$1:$Z$1,0)),"")</f>
        <v>0</v>
      </c>
      <c r="J637" s="7" t="str">
        <f aca="false">IFERROR(INDEX('Semrush Data'!$A$1:$Z$20000,MATCH(A637,'Semrush Data'!$A$1:$A$20000,0),MATCH("Intent",'Semrush Data'!$A$1:$Z$1,0)),"")</f>
        <v>Informational</v>
      </c>
    </row>
    <row r="638" customFormat="false" ht="15" hidden="false" customHeight="true" outlineLevel="0" collapsed="false">
      <c r="A638" s="7" t="s">
        <v>5367</v>
      </c>
      <c r="B638" s="7" t="s">
        <v>38</v>
      </c>
      <c r="C638" s="7" t="n">
        <v>1</v>
      </c>
      <c r="D638" s="7" t="n">
        <v>7</v>
      </c>
      <c r="E638" s="7" t="n">
        <v>1</v>
      </c>
      <c r="F638" s="7" t="s">
        <v>5363</v>
      </c>
      <c r="G638" s="12" t="n">
        <f aca="false">IFERROR(INDEX('Semrush Data'!$A$1:$Z$20000,MATCH(A638,'Semrush Data'!$A$1:$A$20000,0),MATCH("Volume",'Semrush Data'!$A$1:$Z$1,0)),"")</f>
        <v>50</v>
      </c>
      <c r="H638" s="7" t="n">
        <f aca="false">IFERROR(INDEX('Semrush Data'!$A$1:$Z$20000,MATCH(A638,'Semrush Data'!$A$1:$A$20000,0),MATCH("Keyword Difficulty*",'Semrush Data'!$A$1:$Z$1,0)),"")</f>
        <v>20</v>
      </c>
      <c r="I638" s="13" t="n">
        <f aca="false">IFERROR(INDEX('Semrush Data'!$A$1:$Z$20000,MATCH(A638,'Semrush Data'!$A$1:$A$20000,0),MATCH("CPC*",'Semrush Data'!$A$1:$Z$1,0)),"")</f>
        <v>0</v>
      </c>
      <c r="J638" s="7" t="str">
        <f aca="false">IFERROR(INDEX('Semrush Data'!$A$1:$Z$20000,MATCH(A638,'Semrush Data'!$A$1:$A$20000,0),MATCH("Intent",'Semrush Data'!$A$1:$Z$1,0)),"")</f>
        <v>Informational</v>
      </c>
    </row>
    <row r="639" customFormat="false" ht="15" hidden="false" customHeight="true" outlineLevel="0" collapsed="false">
      <c r="A639" s="7" t="s">
        <v>5380</v>
      </c>
      <c r="B639" s="7" t="s">
        <v>38</v>
      </c>
      <c r="C639" s="7" t="n">
        <v>1</v>
      </c>
      <c r="D639" s="7" t="n">
        <v>7</v>
      </c>
      <c r="E639" s="7" t="n">
        <v>1</v>
      </c>
      <c r="F639" s="7" t="s">
        <v>5377</v>
      </c>
      <c r="G639" s="12" t="n">
        <f aca="false">IFERROR(INDEX('Semrush Data'!$A$1:$Z$20000,MATCH(A639,'Semrush Data'!$A$1:$A$20000,0),MATCH("Volume",'Semrush Data'!$A$1:$Z$1,0)),"")</f>
        <v>90</v>
      </c>
      <c r="H639" s="7" t="n">
        <f aca="false">IFERROR(INDEX('Semrush Data'!$A$1:$Z$20000,MATCH(A639,'Semrush Data'!$A$1:$A$20000,0),MATCH("Keyword Difficulty*",'Semrush Data'!$A$1:$Z$1,0)),"")</f>
        <v>14</v>
      </c>
      <c r="I639" s="13" t="n">
        <f aca="false">IFERROR(INDEX('Semrush Data'!$A$1:$Z$20000,MATCH(A639,'Semrush Data'!$A$1:$A$20000,0),MATCH("CPC*",'Semrush Data'!$A$1:$Z$1,0)),"")</f>
        <v>0.49</v>
      </c>
      <c r="J639" s="7" t="str">
        <f aca="false">IFERROR(INDEX('Semrush Data'!$A$1:$Z$20000,MATCH(A639,'Semrush Data'!$A$1:$A$20000,0),MATCH("Intent",'Semrush Data'!$A$1:$Z$1,0)),"")</f>
        <v>Informational</v>
      </c>
    </row>
    <row r="640" customFormat="false" ht="15" hidden="false" customHeight="true" outlineLevel="0" collapsed="false">
      <c r="A640" s="7" t="s">
        <v>5433</v>
      </c>
      <c r="B640" s="7" t="s">
        <v>38</v>
      </c>
      <c r="C640" s="7" t="n">
        <v>1</v>
      </c>
      <c r="D640" s="7" t="n">
        <v>7</v>
      </c>
      <c r="E640" s="7" t="n">
        <v>1</v>
      </c>
      <c r="F640" s="7" t="s">
        <v>5431</v>
      </c>
      <c r="G640" s="12" t="n">
        <f aca="false">IFERROR(INDEX('Semrush Data'!$A$1:$Z$20000,MATCH(A640,'Semrush Data'!$A$1:$A$20000,0),MATCH("Volume",'Semrush Data'!$A$1:$Z$1,0)),"")</f>
        <v>20</v>
      </c>
      <c r="H640" s="7" t="n">
        <f aca="false">IFERROR(INDEX('Semrush Data'!$A$1:$Z$20000,MATCH(A640,'Semrush Data'!$A$1:$A$20000,0),MATCH("Keyword Difficulty*",'Semrush Data'!$A$1:$Z$1,0)),"")</f>
        <v>16</v>
      </c>
      <c r="I640" s="13" t="n">
        <f aca="false">IFERROR(INDEX('Semrush Data'!$A$1:$Z$20000,MATCH(A640,'Semrush Data'!$A$1:$A$20000,0),MATCH("CPC*",'Semrush Data'!$A$1:$Z$1,0)),"")</f>
        <v>0</v>
      </c>
      <c r="J640" s="7" t="str">
        <f aca="false">IFERROR(INDEX('Semrush Data'!$A$1:$Z$20000,MATCH(A640,'Semrush Data'!$A$1:$A$20000,0),MATCH("Intent",'Semrush Data'!$A$1:$Z$1,0)),"")</f>
        <v>Informational Transactional</v>
      </c>
    </row>
    <row r="641" customFormat="false" ht="15" hidden="false" customHeight="true" outlineLevel="0" collapsed="false">
      <c r="A641" s="7" t="s">
        <v>5422</v>
      </c>
      <c r="B641" s="7" t="s">
        <v>38</v>
      </c>
      <c r="C641" s="7" t="n">
        <v>1</v>
      </c>
      <c r="D641" s="7" t="n">
        <v>7</v>
      </c>
      <c r="E641" s="7" t="n">
        <v>1</v>
      </c>
      <c r="F641" s="7" t="s">
        <v>5420</v>
      </c>
      <c r="G641" s="12" t="n">
        <f aca="false">IFERROR(INDEX('Semrush Data'!$A$1:$Z$20000,MATCH(A641,'Semrush Data'!$A$1:$A$20000,0),MATCH("Volume",'Semrush Data'!$A$1:$Z$1,0)),"")</f>
        <v>0</v>
      </c>
      <c r="H641" s="7" t="n">
        <f aca="false">IFERROR(INDEX('Semrush Data'!$A$1:$Z$20000,MATCH(A641,'Semrush Data'!$A$1:$A$20000,0),MATCH("Keyword Difficulty*",'Semrush Data'!$A$1:$Z$1,0)),"")</f>
        <v>24</v>
      </c>
      <c r="I641" s="13" t="n">
        <f aca="false">IFERROR(INDEX('Semrush Data'!$A$1:$Z$20000,MATCH(A641,'Semrush Data'!$A$1:$A$20000,0),MATCH("CPC*",'Semrush Data'!$A$1:$Z$1,0)),"")</f>
        <v>0</v>
      </c>
      <c r="J641" s="7" t="str">
        <f aca="false">IFERROR(INDEX('Semrush Data'!$A$1:$Z$20000,MATCH(A641,'Semrush Data'!$A$1:$A$20000,0),MATCH("Intent",'Semrush Data'!$A$1:$Z$1,0)),"")</f>
        <v>Informational Transactional</v>
      </c>
    </row>
    <row r="642" customFormat="false" ht="15" hidden="false" customHeight="true" outlineLevel="0" collapsed="false">
      <c r="A642" s="7" t="s">
        <v>5391</v>
      </c>
      <c r="B642" s="7" t="s">
        <v>38</v>
      </c>
      <c r="C642" s="7" t="n">
        <v>1</v>
      </c>
      <c r="D642" s="7" t="n">
        <v>7</v>
      </c>
      <c r="E642" s="7" t="n">
        <v>1</v>
      </c>
      <c r="F642" s="7" t="s">
        <v>74</v>
      </c>
      <c r="G642" s="12" t="n">
        <f aca="false">IFERROR(INDEX('Semrush Data'!$A$1:$Z$20000,MATCH(A642,'Semrush Data'!$A$1:$A$20000,0),MATCH("Volume",'Semrush Data'!$A$1:$Z$1,0)),"")</f>
        <v>2400</v>
      </c>
      <c r="H642" s="7" t="n">
        <f aca="false">IFERROR(INDEX('Semrush Data'!$A$1:$Z$20000,MATCH(A642,'Semrush Data'!$A$1:$A$20000,0),MATCH("Keyword Difficulty*",'Semrush Data'!$A$1:$Z$1,0)),"")</f>
        <v>23</v>
      </c>
      <c r="I642" s="13" t="n">
        <f aca="false">IFERROR(INDEX('Semrush Data'!$A$1:$Z$20000,MATCH(A642,'Semrush Data'!$A$1:$A$20000,0),MATCH("CPC*",'Semrush Data'!$A$1:$Z$1,0)),"")</f>
        <v>0.38</v>
      </c>
      <c r="J642" s="7" t="str">
        <f aca="false">IFERROR(INDEX('Semrush Data'!$A$1:$Z$20000,MATCH(A642,'Semrush Data'!$A$1:$A$20000,0),MATCH("Intent",'Semrush Data'!$A$1:$Z$1,0)),"")</f>
        <v>Informational</v>
      </c>
    </row>
    <row r="643" customFormat="false" ht="15" hidden="false" customHeight="true" outlineLevel="0" collapsed="false">
      <c r="A643" s="7" t="s">
        <v>5454</v>
      </c>
      <c r="B643" s="7" t="s">
        <v>38</v>
      </c>
      <c r="C643" s="7" t="n">
        <v>1</v>
      </c>
      <c r="D643" s="7" t="n">
        <v>7</v>
      </c>
      <c r="E643" s="7" t="n">
        <v>1</v>
      </c>
      <c r="F643" s="7" t="s">
        <v>5452</v>
      </c>
      <c r="G643" s="12" t="n">
        <f aca="false">IFERROR(INDEX('Semrush Data'!$A$1:$Z$20000,MATCH(A643,'Semrush Data'!$A$1:$A$20000,0),MATCH("Volume",'Semrush Data'!$A$1:$Z$1,0)),"")</f>
        <v>0</v>
      </c>
      <c r="H643" s="7" t="n">
        <f aca="false">IFERROR(INDEX('Semrush Data'!$A$1:$Z$20000,MATCH(A643,'Semrush Data'!$A$1:$A$20000,0),MATCH("Keyword Difficulty*",'Semrush Data'!$A$1:$Z$1,0)),"")</f>
        <v>22</v>
      </c>
      <c r="I643" s="13" t="n">
        <f aca="false">IFERROR(INDEX('Semrush Data'!$A$1:$Z$20000,MATCH(A643,'Semrush Data'!$A$1:$A$20000,0),MATCH("CPC*",'Semrush Data'!$A$1:$Z$1,0)),"")</f>
        <v>0</v>
      </c>
      <c r="J643" s="7" t="str">
        <f aca="false">IFERROR(INDEX('Semrush Data'!$A$1:$Z$20000,MATCH(A643,'Semrush Data'!$A$1:$A$20000,0),MATCH("Intent",'Semrush Data'!$A$1:$Z$1,0)),"")</f>
        <v>Transactional</v>
      </c>
    </row>
    <row r="644" customFormat="false" ht="15" hidden="false" customHeight="true" outlineLevel="0" collapsed="false">
      <c r="A644" s="7" t="s">
        <v>5401</v>
      </c>
      <c r="B644" s="7" t="s">
        <v>38</v>
      </c>
      <c r="C644" s="7" t="n">
        <v>1</v>
      </c>
      <c r="D644" s="7" t="n">
        <v>7</v>
      </c>
      <c r="E644" s="7" t="n">
        <v>1</v>
      </c>
      <c r="F644" s="7" t="s">
        <v>58</v>
      </c>
      <c r="G644" s="12" t="n">
        <f aca="false">IFERROR(INDEX('Semrush Data'!$A$1:$Z$20000,MATCH(A644,'Semrush Data'!$A$1:$A$20000,0),MATCH("Volume",'Semrush Data'!$A$1:$Z$1,0)),"")</f>
        <v>6600</v>
      </c>
      <c r="H644" s="7" t="n">
        <f aca="false">IFERROR(INDEX('Semrush Data'!$A$1:$Z$20000,MATCH(A644,'Semrush Data'!$A$1:$A$20000,0),MATCH("Keyword Difficulty*",'Semrush Data'!$A$1:$Z$1,0)),"")</f>
        <v>26</v>
      </c>
      <c r="I644" s="13" t="n">
        <f aca="false">IFERROR(INDEX('Semrush Data'!$A$1:$Z$20000,MATCH(A644,'Semrush Data'!$A$1:$A$20000,0),MATCH("CPC*",'Semrush Data'!$A$1:$Z$1,0)),"")</f>
        <v>0.36</v>
      </c>
      <c r="J644" s="7" t="str">
        <f aca="false">IFERROR(INDEX('Semrush Data'!$A$1:$Z$20000,MATCH(A644,'Semrush Data'!$A$1:$A$20000,0),MATCH("Intent",'Semrush Data'!$A$1:$Z$1,0)),"")</f>
        <v>Informational</v>
      </c>
    </row>
    <row r="645" customFormat="false" ht="15" hidden="false" customHeight="true" outlineLevel="0" collapsed="false">
      <c r="A645" s="7" t="s">
        <v>5412</v>
      </c>
      <c r="B645" s="7" t="s">
        <v>38</v>
      </c>
      <c r="C645" s="7" t="n">
        <v>1</v>
      </c>
      <c r="D645" s="7" t="n">
        <v>7</v>
      </c>
      <c r="E645" s="7" t="n">
        <v>1</v>
      </c>
      <c r="F645" s="7" t="s">
        <v>5410</v>
      </c>
      <c r="G645" s="12" t="n">
        <f aca="false">IFERROR(INDEX('Semrush Data'!$A$1:$Z$20000,MATCH(A645,'Semrush Data'!$A$1:$A$20000,0),MATCH("Volume",'Semrush Data'!$A$1:$Z$1,0)),"")</f>
        <v>0</v>
      </c>
      <c r="H645" s="7" t="n">
        <f aca="false">IFERROR(INDEX('Semrush Data'!$A$1:$Z$20000,MATCH(A645,'Semrush Data'!$A$1:$A$20000,0),MATCH("Keyword Difficulty*",'Semrush Data'!$A$1:$Z$1,0)),"")</f>
        <v>17</v>
      </c>
      <c r="I645" s="13" t="n">
        <f aca="false">IFERROR(INDEX('Semrush Data'!$A$1:$Z$20000,MATCH(A645,'Semrush Data'!$A$1:$A$20000,0),MATCH("CPC*",'Semrush Data'!$A$1:$Z$1,0)),"")</f>
        <v>0</v>
      </c>
      <c r="J645" s="7" t="str">
        <f aca="false">IFERROR(INDEX('Semrush Data'!$A$1:$Z$20000,MATCH(A645,'Semrush Data'!$A$1:$A$20000,0),MATCH("Intent",'Semrush Data'!$A$1:$Z$1,0)),"")</f>
        <v>Informational Transactional</v>
      </c>
    </row>
    <row r="646" customFormat="false" ht="15" hidden="false" customHeight="true" outlineLevel="0" collapsed="false">
      <c r="A646" s="7" t="s">
        <v>5444</v>
      </c>
      <c r="B646" s="7" t="s">
        <v>38</v>
      </c>
      <c r="C646" s="7" t="n">
        <v>1</v>
      </c>
      <c r="D646" s="7" t="n">
        <v>7</v>
      </c>
      <c r="E646" s="7" t="n">
        <v>1</v>
      </c>
      <c r="F646" s="7" t="s">
        <v>5442</v>
      </c>
      <c r="G646" s="12" t="n">
        <f aca="false">IFERROR(INDEX('Semrush Data'!$A$1:$Z$20000,MATCH(A646,'Semrush Data'!$A$1:$A$20000,0),MATCH("Volume",'Semrush Data'!$A$1:$Z$1,0)),"")</f>
        <v>20</v>
      </c>
      <c r="H646" s="7" t="n">
        <f aca="false">IFERROR(INDEX('Semrush Data'!$A$1:$Z$20000,MATCH(A646,'Semrush Data'!$A$1:$A$20000,0),MATCH("Keyword Difficulty*",'Semrush Data'!$A$1:$Z$1,0)),"")</f>
        <v>17</v>
      </c>
      <c r="I646" s="13" t="n">
        <f aca="false">IFERROR(INDEX('Semrush Data'!$A$1:$Z$20000,MATCH(A646,'Semrush Data'!$A$1:$A$20000,0),MATCH("CPC*",'Semrush Data'!$A$1:$Z$1,0)),"")</f>
        <v>0</v>
      </c>
      <c r="J646" s="7" t="str">
        <f aca="false">IFERROR(INDEX('Semrush Data'!$A$1:$Z$20000,MATCH(A646,'Semrush Data'!$A$1:$A$20000,0),MATCH("Intent",'Semrush Data'!$A$1:$Z$1,0)),"")</f>
        <v>Informational</v>
      </c>
    </row>
    <row r="647" customFormat="false" ht="15" hidden="false" customHeight="true" outlineLevel="0" collapsed="false">
      <c r="A647" s="7" t="s">
        <v>5466</v>
      </c>
      <c r="B647" s="7" t="s">
        <v>38</v>
      </c>
      <c r="C647" s="7" t="n">
        <v>1</v>
      </c>
      <c r="D647" s="7" t="n">
        <v>7</v>
      </c>
      <c r="E647" s="7" t="n">
        <v>1</v>
      </c>
      <c r="F647" s="7" t="s">
        <v>5462</v>
      </c>
      <c r="G647" s="12" t="n">
        <f aca="false">IFERROR(INDEX('Semrush Data'!$A$1:$Z$20000,MATCH(A647,'Semrush Data'!$A$1:$A$20000,0),MATCH("Volume",'Semrush Data'!$A$1:$Z$1,0)),"")</f>
        <v>20</v>
      </c>
      <c r="H647" s="7" t="n">
        <f aca="false">IFERROR(INDEX('Semrush Data'!$A$1:$Z$20000,MATCH(A647,'Semrush Data'!$A$1:$A$20000,0),MATCH("Keyword Difficulty*",'Semrush Data'!$A$1:$Z$1,0)),"")</f>
        <v>10</v>
      </c>
      <c r="I647" s="13" t="n">
        <f aca="false">IFERROR(INDEX('Semrush Data'!$A$1:$Z$20000,MATCH(A647,'Semrush Data'!$A$1:$A$20000,0),MATCH("CPC*",'Semrush Data'!$A$1:$Z$1,0)),"")</f>
        <v>0</v>
      </c>
      <c r="J647" s="7" t="str">
        <f aca="false">IFERROR(INDEX('Semrush Data'!$A$1:$Z$20000,MATCH(A647,'Semrush Data'!$A$1:$A$20000,0),MATCH("Intent",'Semrush Data'!$A$1:$Z$1,0)),"")</f>
        <v>Informational</v>
      </c>
    </row>
    <row r="648" customFormat="false" ht="15" hidden="false" customHeight="true" outlineLevel="0" collapsed="false">
      <c r="A648" s="7" t="s">
        <v>5478</v>
      </c>
      <c r="B648" s="7" t="s">
        <v>38</v>
      </c>
      <c r="C648" s="7" t="n">
        <v>1</v>
      </c>
      <c r="D648" s="7" t="n">
        <v>7</v>
      </c>
      <c r="E648" s="7" t="n">
        <v>1</v>
      </c>
      <c r="F648" s="7" t="s">
        <v>5476</v>
      </c>
      <c r="G648" s="12" t="n">
        <f aca="false">IFERROR(INDEX('Semrush Data'!$A$1:$Z$20000,MATCH(A648,'Semrush Data'!$A$1:$A$20000,0),MATCH("Volume",'Semrush Data'!$A$1:$Z$1,0)),"")</f>
        <v>20</v>
      </c>
      <c r="H648" s="7" t="n">
        <f aca="false">IFERROR(INDEX('Semrush Data'!$A$1:$Z$20000,MATCH(A648,'Semrush Data'!$A$1:$A$20000,0),MATCH("Keyword Difficulty*",'Semrush Data'!$A$1:$Z$1,0)),"")</f>
        <v>10</v>
      </c>
      <c r="I648" s="13" t="n">
        <f aca="false">IFERROR(INDEX('Semrush Data'!$A$1:$Z$20000,MATCH(A648,'Semrush Data'!$A$1:$A$20000,0),MATCH("CPC*",'Semrush Data'!$A$1:$Z$1,0)),"")</f>
        <v>0</v>
      </c>
      <c r="J648" s="7" t="str">
        <f aca="false">IFERROR(INDEX('Semrush Data'!$A$1:$Z$20000,MATCH(A648,'Semrush Data'!$A$1:$A$20000,0),MATCH("Intent",'Semrush Data'!$A$1:$Z$1,0)),"")</f>
        <v>Informational Transactional</v>
      </c>
    </row>
    <row r="649" customFormat="false" ht="15" hidden="false" customHeight="true" outlineLevel="0" collapsed="false">
      <c r="A649" s="7" t="s">
        <v>5512</v>
      </c>
      <c r="B649" s="7" t="s">
        <v>38</v>
      </c>
      <c r="C649" s="7" t="n">
        <v>1</v>
      </c>
      <c r="D649" s="7" t="n">
        <v>7</v>
      </c>
      <c r="E649" s="7" t="n">
        <v>2</v>
      </c>
      <c r="F649" s="7" t="s">
        <v>6808</v>
      </c>
      <c r="G649" s="12" t="n">
        <f aca="false">IFERROR(INDEX('Semrush Data'!$A$1:$Z$20000,MATCH(A649,'Semrush Data'!$A$1:$A$20000,0),MATCH("Volume",'Semrush Data'!$A$1:$Z$1,0)),"")</f>
        <v>1300</v>
      </c>
      <c r="H649" s="7" t="n">
        <f aca="false">IFERROR(INDEX('Semrush Data'!$A$1:$Z$20000,MATCH(A649,'Semrush Data'!$A$1:$A$20000,0),MATCH("Keyword Difficulty*",'Semrush Data'!$A$1:$Z$1,0)),"")</f>
        <v>13</v>
      </c>
      <c r="I649" s="13" t="n">
        <f aca="false">IFERROR(INDEX('Semrush Data'!$A$1:$Z$20000,MATCH(A649,'Semrush Data'!$A$1:$A$20000,0),MATCH("CPC*",'Semrush Data'!$A$1:$Z$1,0)),"")</f>
        <v>0.33</v>
      </c>
      <c r="J649" s="7" t="str">
        <f aca="false">IFERROR(INDEX('Semrush Data'!$A$1:$Z$20000,MATCH(A649,'Semrush Data'!$A$1:$A$20000,0),MATCH("Intent",'Semrush Data'!$A$1:$Z$1,0)),"")</f>
        <v>Informational Transactional</v>
      </c>
    </row>
    <row r="650" customFormat="false" ht="15" hidden="false" customHeight="true" outlineLevel="0" collapsed="false">
      <c r="A650" s="7" t="s">
        <v>5491</v>
      </c>
      <c r="B650" s="7" t="s">
        <v>38</v>
      </c>
      <c r="C650" s="7" t="n">
        <v>1</v>
      </c>
      <c r="D650" s="7" t="n">
        <v>7</v>
      </c>
      <c r="E650" s="7" t="n">
        <v>1</v>
      </c>
      <c r="F650" s="7" t="s">
        <v>5488</v>
      </c>
      <c r="G650" s="12" t="n">
        <f aca="false">IFERROR(INDEX('Semrush Data'!$A$1:$Z$20000,MATCH(A650,'Semrush Data'!$A$1:$A$20000,0),MATCH("Volume",'Semrush Data'!$A$1:$Z$1,0)),"")</f>
        <v>20</v>
      </c>
      <c r="H650" s="7" t="n">
        <f aca="false">IFERROR(INDEX('Semrush Data'!$A$1:$Z$20000,MATCH(A650,'Semrush Data'!$A$1:$A$20000,0),MATCH("Keyword Difficulty*",'Semrush Data'!$A$1:$Z$1,0)),"")</f>
        <v>13</v>
      </c>
      <c r="I650" s="13" t="n">
        <f aca="false">IFERROR(INDEX('Semrush Data'!$A$1:$Z$20000,MATCH(A650,'Semrush Data'!$A$1:$A$20000,0),MATCH("CPC*",'Semrush Data'!$A$1:$Z$1,0)),"")</f>
        <v>0</v>
      </c>
      <c r="J650" s="7" t="str">
        <f aca="false">IFERROR(INDEX('Semrush Data'!$A$1:$Z$20000,MATCH(A650,'Semrush Data'!$A$1:$A$20000,0),MATCH("Intent",'Semrush Data'!$A$1:$Z$1,0)),"")</f>
        <v>Informational</v>
      </c>
    </row>
    <row r="651" customFormat="false" ht="15" hidden="false" customHeight="true" outlineLevel="0" collapsed="false">
      <c r="A651" s="7" t="s">
        <v>5503</v>
      </c>
      <c r="B651" s="7" t="s">
        <v>38</v>
      </c>
      <c r="C651" s="7" t="n">
        <v>1</v>
      </c>
      <c r="D651" s="7" t="n">
        <v>7</v>
      </c>
      <c r="E651" s="7" t="n">
        <v>1</v>
      </c>
      <c r="F651" s="7" t="s">
        <v>5501</v>
      </c>
      <c r="G651" s="12" t="n">
        <f aca="false">IFERROR(INDEX('Semrush Data'!$A$1:$Z$20000,MATCH(A651,'Semrush Data'!$A$1:$A$20000,0),MATCH("Volume",'Semrush Data'!$A$1:$Z$1,0)),"")</f>
        <v>0</v>
      </c>
      <c r="H651" s="7" t="n">
        <f aca="false">IFERROR(INDEX('Semrush Data'!$A$1:$Z$20000,MATCH(A651,'Semrush Data'!$A$1:$A$20000,0),MATCH("Keyword Difficulty*",'Semrush Data'!$A$1:$Z$1,0)),"")</f>
        <v>10</v>
      </c>
      <c r="I651" s="13" t="n">
        <f aca="false">IFERROR(INDEX('Semrush Data'!$A$1:$Z$20000,MATCH(A651,'Semrush Data'!$A$1:$A$20000,0),MATCH("CPC*",'Semrush Data'!$A$1:$Z$1,0)),"")</f>
        <v>0</v>
      </c>
      <c r="J651" s="7" t="str">
        <f aca="false">IFERROR(INDEX('Semrush Data'!$A$1:$Z$20000,MATCH(A651,'Semrush Data'!$A$1:$A$20000,0),MATCH("Intent",'Semrush Data'!$A$1:$Z$1,0)),"")</f>
        <v>Informational</v>
      </c>
    </row>
    <row r="652" customFormat="false" ht="15" hidden="false" customHeight="true" outlineLevel="0" collapsed="false">
      <c r="A652" s="7" t="s">
        <v>5523</v>
      </c>
      <c r="B652" s="7" t="s">
        <v>38</v>
      </c>
      <c r="C652" s="7" t="n">
        <v>1</v>
      </c>
      <c r="D652" s="7" t="n">
        <v>7</v>
      </c>
      <c r="E652" s="7" t="n">
        <v>1</v>
      </c>
      <c r="F652" s="7" t="s">
        <v>70</v>
      </c>
      <c r="G652" s="12" t="n">
        <f aca="false">IFERROR(INDEX('Semrush Data'!$A$1:$Z$20000,MATCH(A652,'Semrush Data'!$A$1:$A$20000,0),MATCH("Volume",'Semrush Data'!$A$1:$Z$1,0)),"")</f>
        <v>2900</v>
      </c>
      <c r="H652" s="7" t="n">
        <f aca="false">IFERROR(INDEX('Semrush Data'!$A$1:$Z$20000,MATCH(A652,'Semrush Data'!$A$1:$A$20000,0),MATCH("Keyword Difficulty*",'Semrush Data'!$A$1:$Z$1,0)),"")</f>
        <v>30</v>
      </c>
      <c r="I652" s="13" t="n">
        <f aca="false">IFERROR(INDEX('Semrush Data'!$A$1:$Z$20000,MATCH(A652,'Semrush Data'!$A$1:$A$20000,0),MATCH("CPC*",'Semrush Data'!$A$1:$Z$1,0)),"")</f>
        <v>0.35</v>
      </c>
      <c r="J652" s="7" t="str">
        <f aca="false">IFERROR(INDEX('Semrush Data'!$A$1:$Z$20000,MATCH(A652,'Semrush Data'!$A$1:$A$20000,0),MATCH("Intent",'Semrush Data'!$A$1:$Z$1,0)),"")</f>
        <v>Informational Transactional</v>
      </c>
    </row>
    <row r="653" customFormat="false" ht="15" hidden="false" customHeight="true" outlineLevel="0" collapsed="false">
      <c r="A653" s="7" t="s">
        <v>5559</v>
      </c>
      <c r="B653" s="7" t="s">
        <v>38</v>
      </c>
      <c r="C653" s="7" t="n">
        <v>1</v>
      </c>
      <c r="D653" s="7" t="n">
        <v>7</v>
      </c>
      <c r="E653" s="7" t="n">
        <v>1</v>
      </c>
      <c r="F653" s="7" t="s">
        <v>5556</v>
      </c>
      <c r="G653" s="12" t="n">
        <f aca="false">IFERROR(INDEX('Semrush Data'!$A$1:$Z$20000,MATCH(A653,'Semrush Data'!$A$1:$A$20000,0),MATCH("Volume",'Semrush Data'!$A$1:$Z$1,0)),"")</f>
        <v>0</v>
      </c>
      <c r="H653" s="7" t="n">
        <f aca="false">IFERROR(INDEX('Semrush Data'!$A$1:$Z$20000,MATCH(A653,'Semrush Data'!$A$1:$A$20000,0),MATCH("Keyword Difficulty*",'Semrush Data'!$A$1:$Z$1,0)),"")</f>
        <v>13</v>
      </c>
      <c r="I653" s="13" t="n">
        <f aca="false">IFERROR(INDEX('Semrush Data'!$A$1:$Z$20000,MATCH(A653,'Semrush Data'!$A$1:$A$20000,0),MATCH("CPC*",'Semrush Data'!$A$1:$Z$1,0)),"")</f>
        <v>0</v>
      </c>
      <c r="J653" s="7" t="str">
        <f aca="false">IFERROR(INDEX('Semrush Data'!$A$1:$Z$20000,MATCH(A653,'Semrush Data'!$A$1:$A$20000,0),MATCH("Intent",'Semrush Data'!$A$1:$Z$1,0)),"")</f>
        <v>Informational Transactional</v>
      </c>
    </row>
    <row r="654" customFormat="false" ht="15" hidden="false" customHeight="true" outlineLevel="0" collapsed="false">
      <c r="A654" s="7" t="s">
        <v>5538</v>
      </c>
      <c r="B654" s="7" t="s">
        <v>38</v>
      </c>
      <c r="C654" s="7" t="n">
        <v>1</v>
      </c>
      <c r="D654" s="7" t="n">
        <v>7</v>
      </c>
      <c r="E654" s="7" t="n">
        <v>1</v>
      </c>
      <c r="F654" s="7" t="s">
        <v>5533</v>
      </c>
      <c r="G654" s="12" t="n">
        <f aca="false">IFERROR(INDEX('Semrush Data'!$A$1:$Z$20000,MATCH(A654,'Semrush Data'!$A$1:$A$20000,0),MATCH("Volume",'Semrush Data'!$A$1:$Z$1,0)),"")</f>
        <v>0</v>
      </c>
      <c r="H654" s="7" t="n">
        <f aca="false">IFERROR(INDEX('Semrush Data'!$A$1:$Z$20000,MATCH(A654,'Semrush Data'!$A$1:$A$20000,0),MATCH("Keyword Difficulty*",'Semrush Data'!$A$1:$Z$1,0)),"")</f>
        <v>22</v>
      </c>
      <c r="I654" s="13" t="n">
        <f aca="false">IFERROR(INDEX('Semrush Data'!$A$1:$Z$20000,MATCH(A654,'Semrush Data'!$A$1:$A$20000,0),MATCH("CPC*",'Semrush Data'!$A$1:$Z$1,0)),"")</f>
        <v>0</v>
      </c>
      <c r="J654" s="7" t="str">
        <f aca="false">IFERROR(INDEX('Semrush Data'!$A$1:$Z$20000,MATCH(A654,'Semrush Data'!$A$1:$A$20000,0),MATCH("Intent",'Semrush Data'!$A$1:$Z$1,0)),"")</f>
        <v>Navigational</v>
      </c>
    </row>
    <row r="655" customFormat="false" ht="15" hidden="false" customHeight="true" outlineLevel="0" collapsed="false">
      <c r="A655" s="7" t="s">
        <v>5548</v>
      </c>
      <c r="B655" s="7" t="s">
        <v>38</v>
      </c>
      <c r="C655" s="7" t="n">
        <v>1</v>
      </c>
      <c r="D655" s="7" t="n">
        <v>7</v>
      </c>
      <c r="E655" s="7" t="n">
        <v>1</v>
      </c>
      <c r="F655" s="7" t="s">
        <v>5546</v>
      </c>
      <c r="G655" s="12" t="n">
        <f aca="false">IFERROR(INDEX('Semrush Data'!$A$1:$Z$20000,MATCH(A655,'Semrush Data'!$A$1:$A$20000,0),MATCH("Volume",'Semrush Data'!$A$1:$Z$1,0)),"")</f>
        <v>20</v>
      </c>
      <c r="H655" s="7" t="n">
        <f aca="false">IFERROR(INDEX('Semrush Data'!$A$1:$Z$20000,MATCH(A655,'Semrush Data'!$A$1:$A$20000,0),MATCH("Keyword Difficulty*",'Semrush Data'!$A$1:$Z$1,0)),"")</f>
        <v>17</v>
      </c>
      <c r="I655" s="13" t="n">
        <f aca="false">IFERROR(INDEX('Semrush Data'!$A$1:$Z$20000,MATCH(A655,'Semrush Data'!$A$1:$A$20000,0),MATCH("CPC*",'Semrush Data'!$A$1:$Z$1,0)),"")</f>
        <v>0</v>
      </c>
      <c r="J655" s="7" t="str">
        <f aca="false">IFERROR(INDEX('Semrush Data'!$A$1:$Z$20000,MATCH(A655,'Semrush Data'!$A$1:$A$20000,0),MATCH("Intent",'Semrush Data'!$A$1:$Z$1,0)),"")</f>
        <v>Informational Transactional</v>
      </c>
    </row>
    <row r="656" customFormat="false" ht="15" hidden="false" customHeight="true" outlineLevel="0" collapsed="false">
      <c r="A656" s="7" t="s">
        <v>5569</v>
      </c>
      <c r="B656" s="7" t="s">
        <v>38</v>
      </c>
      <c r="C656" s="7" t="n">
        <v>1</v>
      </c>
      <c r="D656" s="7" t="n">
        <v>7</v>
      </c>
      <c r="E656" s="7" t="n">
        <v>1</v>
      </c>
      <c r="F656" s="7" t="s">
        <v>5566</v>
      </c>
      <c r="G656" s="12" t="n">
        <f aca="false">IFERROR(INDEX('Semrush Data'!$A$1:$Z$20000,MATCH(A656,'Semrush Data'!$A$1:$A$20000,0),MATCH("Volume",'Semrush Data'!$A$1:$Z$1,0)),"")</f>
        <v>0</v>
      </c>
      <c r="H656" s="7" t="n">
        <f aca="false">IFERROR(INDEX('Semrush Data'!$A$1:$Z$20000,MATCH(A656,'Semrush Data'!$A$1:$A$20000,0),MATCH("Keyword Difficulty*",'Semrush Data'!$A$1:$Z$1,0)),"")</f>
        <v>16</v>
      </c>
      <c r="I656" s="13" t="n">
        <f aca="false">IFERROR(INDEX('Semrush Data'!$A$1:$Z$20000,MATCH(A656,'Semrush Data'!$A$1:$A$20000,0),MATCH("CPC*",'Semrush Data'!$A$1:$Z$1,0)),"")</f>
        <v>0</v>
      </c>
      <c r="J656" s="7" t="str">
        <f aca="false">IFERROR(INDEX('Semrush Data'!$A$1:$Z$20000,MATCH(A656,'Semrush Data'!$A$1:$A$20000,0),MATCH("Intent",'Semrush Data'!$A$1:$Z$1,0)),"")</f>
        <v>Informational</v>
      </c>
    </row>
    <row r="657" customFormat="false" ht="15" hidden="false" customHeight="true" outlineLevel="0" collapsed="false">
      <c r="A657" s="7" t="s">
        <v>4548</v>
      </c>
      <c r="B657" s="7" t="s">
        <v>38</v>
      </c>
      <c r="C657" s="7" t="n">
        <v>1</v>
      </c>
      <c r="D657" s="7" t="n">
        <v>7</v>
      </c>
      <c r="E657" s="7" t="n">
        <v>1</v>
      </c>
      <c r="F657" s="7" t="s">
        <v>4546</v>
      </c>
      <c r="G657" s="12" t="n">
        <f aca="false">IFERROR(INDEX('Semrush Data'!$A$1:$Z$20000,MATCH(A657,'Semrush Data'!$A$1:$A$20000,0),MATCH("Volume",'Semrush Data'!$A$1:$Z$1,0)),"")</f>
        <v>20</v>
      </c>
      <c r="H657" s="7" t="n">
        <f aca="false">IFERROR(INDEX('Semrush Data'!$A$1:$Z$20000,MATCH(A657,'Semrush Data'!$A$1:$A$20000,0),MATCH("Keyword Difficulty*",'Semrush Data'!$A$1:$Z$1,0)),"")</f>
        <v>20</v>
      </c>
      <c r="I657" s="13" t="n">
        <f aca="false">IFERROR(INDEX('Semrush Data'!$A$1:$Z$20000,MATCH(A657,'Semrush Data'!$A$1:$A$20000,0),MATCH("CPC*",'Semrush Data'!$A$1:$Z$1,0)),"")</f>
        <v>0</v>
      </c>
      <c r="J657" s="7" t="str">
        <f aca="false">IFERROR(INDEX('Semrush Data'!$A$1:$Z$20000,MATCH(A657,'Semrush Data'!$A$1:$A$20000,0),MATCH("Intent",'Semrush Data'!$A$1:$Z$1,0)),"")</f>
        <v>Commercial</v>
      </c>
    </row>
    <row r="658" customFormat="false" ht="15" hidden="false" customHeight="true" outlineLevel="0" collapsed="false">
      <c r="A658" s="7" t="s">
        <v>5581</v>
      </c>
      <c r="B658" s="7" t="s">
        <v>38</v>
      </c>
      <c r="C658" s="7" t="n">
        <v>1</v>
      </c>
      <c r="D658" s="7" t="n">
        <v>7</v>
      </c>
      <c r="E658" s="7" t="n">
        <v>1</v>
      </c>
      <c r="F658" s="7" t="s">
        <v>5578</v>
      </c>
      <c r="G658" s="12" t="n">
        <f aca="false">IFERROR(INDEX('Semrush Data'!$A$1:$Z$20000,MATCH(A658,'Semrush Data'!$A$1:$A$20000,0),MATCH("Volume",'Semrush Data'!$A$1:$Z$1,0)),"")</f>
        <v>0</v>
      </c>
      <c r="H658" s="7" t="n">
        <f aca="false">IFERROR(INDEX('Semrush Data'!$A$1:$Z$20000,MATCH(A658,'Semrush Data'!$A$1:$A$20000,0),MATCH("Keyword Difficulty*",'Semrush Data'!$A$1:$Z$1,0)),"")</f>
        <v>15</v>
      </c>
      <c r="I658" s="13" t="n">
        <f aca="false">IFERROR(INDEX('Semrush Data'!$A$1:$Z$20000,MATCH(A658,'Semrush Data'!$A$1:$A$20000,0),MATCH("CPC*",'Semrush Data'!$A$1:$Z$1,0)),"")</f>
        <v>0</v>
      </c>
      <c r="J658" s="7" t="str">
        <f aca="false">IFERROR(INDEX('Semrush Data'!$A$1:$Z$20000,MATCH(A658,'Semrush Data'!$A$1:$A$20000,0),MATCH("Intent",'Semrush Data'!$A$1:$Z$1,0)),"")</f>
        <v>Navigational</v>
      </c>
    </row>
    <row r="659" customFormat="false" ht="15" hidden="false" customHeight="true" outlineLevel="0" collapsed="false">
      <c r="A659" s="7" t="s">
        <v>5592</v>
      </c>
      <c r="B659" s="7" t="s">
        <v>38</v>
      </c>
      <c r="C659" s="7" t="n">
        <v>1</v>
      </c>
      <c r="D659" s="7" t="n">
        <v>7</v>
      </c>
      <c r="E659" s="7" t="n">
        <v>1</v>
      </c>
      <c r="F659" s="7" t="s">
        <v>5590</v>
      </c>
      <c r="G659" s="12" t="n">
        <f aca="false">IFERROR(INDEX('Semrush Data'!$A$1:$Z$20000,MATCH(A659,'Semrush Data'!$A$1:$A$20000,0),MATCH("Volume",'Semrush Data'!$A$1:$Z$1,0)),"")</f>
        <v>0</v>
      </c>
      <c r="H659" s="7" t="n">
        <f aca="false">IFERROR(INDEX('Semrush Data'!$A$1:$Z$20000,MATCH(A659,'Semrush Data'!$A$1:$A$20000,0),MATCH("Keyword Difficulty*",'Semrush Data'!$A$1:$Z$1,0)),"")</f>
        <v>14</v>
      </c>
      <c r="I659" s="13" t="n">
        <f aca="false">IFERROR(INDEX('Semrush Data'!$A$1:$Z$20000,MATCH(A659,'Semrush Data'!$A$1:$A$20000,0),MATCH("CPC*",'Semrush Data'!$A$1:$Z$1,0)),"")</f>
        <v>0</v>
      </c>
      <c r="J659" s="7" t="str">
        <f aca="false">IFERROR(INDEX('Semrush Data'!$A$1:$Z$20000,MATCH(A659,'Semrush Data'!$A$1:$A$20000,0),MATCH("Intent",'Semrush Data'!$A$1:$Z$1,0)),"")</f>
        <v>Informational</v>
      </c>
    </row>
    <row r="660" customFormat="false" ht="15" hidden="false" customHeight="true" outlineLevel="0" collapsed="false">
      <c r="A660" s="7" t="s">
        <v>5603</v>
      </c>
      <c r="B660" s="7" t="s">
        <v>38</v>
      </c>
      <c r="C660" s="7" t="n">
        <v>1</v>
      </c>
      <c r="D660" s="7" t="n">
        <v>7</v>
      </c>
      <c r="E660" s="7" t="n">
        <v>1</v>
      </c>
      <c r="F660" s="7" t="s">
        <v>5601</v>
      </c>
      <c r="G660" s="12" t="n">
        <f aca="false">IFERROR(INDEX('Semrush Data'!$A$1:$Z$20000,MATCH(A660,'Semrush Data'!$A$1:$A$20000,0),MATCH("Volume",'Semrush Data'!$A$1:$Z$1,0)),"")</f>
        <v>0</v>
      </c>
      <c r="H660" s="7" t="n">
        <f aca="false">IFERROR(INDEX('Semrush Data'!$A$1:$Z$20000,MATCH(A660,'Semrush Data'!$A$1:$A$20000,0),MATCH("Keyword Difficulty*",'Semrush Data'!$A$1:$Z$1,0)),"")</f>
        <v>13</v>
      </c>
      <c r="I660" s="13" t="n">
        <f aca="false">IFERROR(INDEX('Semrush Data'!$A$1:$Z$20000,MATCH(A660,'Semrush Data'!$A$1:$A$20000,0),MATCH("CPC*",'Semrush Data'!$A$1:$Z$1,0)),"")</f>
        <v>0</v>
      </c>
      <c r="J660" s="7" t="str">
        <f aca="false">IFERROR(INDEX('Semrush Data'!$A$1:$Z$20000,MATCH(A660,'Semrush Data'!$A$1:$A$20000,0),MATCH("Intent",'Semrush Data'!$A$1:$Z$1,0)),"")</f>
        <v>Transactional Navigational</v>
      </c>
    </row>
    <row r="661" customFormat="false" ht="15" hidden="false" customHeight="true" outlineLevel="0" collapsed="false">
      <c r="A661" s="7" t="s">
        <v>5614</v>
      </c>
      <c r="B661" s="7" t="s">
        <v>38</v>
      </c>
      <c r="C661" s="7" t="n">
        <v>1</v>
      </c>
      <c r="D661" s="7" t="n">
        <v>7</v>
      </c>
      <c r="E661" s="7" t="n">
        <v>1</v>
      </c>
      <c r="F661" s="7" t="s">
        <v>5611</v>
      </c>
      <c r="G661" s="12" t="n">
        <f aca="false">IFERROR(INDEX('Semrush Data'!$A$1:$Z$20000,MATCH(A661,'Semrush Data'!$A$1:$A$20000,0),MATCH("Volume",'Semrush Data'!$A$1:$Z$1,0)),"")</f>
        <v>20</v>
      </c>
      <c r="H661" s="7" t="n">
        <f aca="false">IFERROR(INDEX('Semrush Data'!$A$1:$Z$20000,MATCH(A661,'Semrush Data'!$A$1:$A$20000,0),MATCH("Keyword Difficulty*",'Semrush Data'!$A$1:$Z$1,0)),"")</f>
        <v>8</v>
      </c>
      <c r="I661" s="13" t="n">
        <f aca="false">IFERROR(INDEX('Semrush Data'!$A$1:$Z$20000,MATCH(A661,'Semrush Data'!$A$1:$A$20000,0),MATCH("CPC*",'Semrush Data'!$A$1:$Z$1,0)),"")</f>
        <v>0</v>
      </c>
      <c r="J661" s="7" t="str">
        <f aca="false">IFERROR(INDEX('Semrush Data'!$A$1:$Z$20000,MATCH(A661,'Semrush Data'!$A$1:$A$20000,0),MATCH("Intent",'Semrush Data'!$A$1:$Z$1,0)),"")</f>
        <v>Informational</v>
      </c>
    </row>
    <row r="662" customFormat="false" ht="15" hidden="false" customHeight="true" outlineLevel="0" collapsed="false">
      <c r="A662" s="7" t="s">
        <v>5626</v>
      </c>
      <c r="B662" s="7" t="s">
        <v>38</v>
      </c>
      <c r="C662" s="7" t="n">
        <v>1</v>
      </c>
      <c r="D662" s="7" t="n">
        <v>7</v>
      </c>
      <c r="E662" s="7" t="n">
        <v>1</v>
      </c>
      <c r="F662" s="7" t="s">
        <v>5624</v>
      </c>
      <c r="G662" s="12" t="n">
        <f aca="false">IFERROR(INDEX('Semrush Data'!$A$1:$Z$20000,MATCH(A662,'Semrush Data'!$A$1:$A$20000,0),MATCH("Volume",'Semrush Data'!$A$1:$Z$1,0)),"")</f>
        <v>0</v>
      </c>
      <c r="H662" s="7" t="n">
        <f aca="false">IFERROR(INDEX('Semrush Data'!$A$1:$Z$20000,MATCH(A662,'Semrush Data'!$A$1:$A$20000,0),MATCH("Keyword Difficulty*",'Semrush Data'!$A$1:$Z$1,0)),"")</f>
        <v>21</v>
      </c>
      <c r="I662" s="13" t="n">
        <f aca="false">IFERROR(INDEX('Semrush Data'!$A$1:$Z$20000,MATCH(A662,'Semrush Data'!$A$1:$A$20000,0),MATCH("CPC*",'Semrush Data'!$A$1:$Z$1,0)),"")</f>
        <v>0</v>
      </c>
      <c r="J662" s="7" t="str">
        <f aca="false">IFERROR(INDEX('Semrush Data'!$A$1:$Z$20000,MATCH(A662,'Semrush Data'!$A$1:$A$20000,0),MATCH("Intent",'Semrush Data'!$A$1:$Z$1,0)),"")</f>
        <v>Navigational</v>
      </c>
    </row>
    <row r="663" customFormat="false" ht="15" hidden="false" customHeight="true" outlineLevel="0" collapsed="false">
      <c r="A663" s="7" t="s">
        <v>5637</v>
      </c>
      <c r="B663" s="7" t="s">
        <v>38</v>
      </c>
      <c r="C663" s="7" t="n">
        <v>1</v>
      </c>
      <c r="D663" s="7" t="n">
        <v>7</v>
      </c>
      <c r="E663" s="7" t="n">
        <v>1</v>
      </c>
      <c r="F663" s="7" t="s">
        <v>5635</v>
      </c>
      <c r="G663" s="12" t="n">
        <f aca="false">IFERROR(INDEX('Semrush Data'!$A$1:$Z$20000,MATCH(A663,'Semrush Data'!$A$1:$A$20000,0),MATCH("Volume",'Semrush Data'!$A$1:$Z$1,0)),"")</f>
        <v>20</v>
      </c>
      <c r="H663" s="7" t="n">
        <f aca="false">IFERROR(INDEX('Semrush Data'!$A$1:$Z$20000,MATCH(A663,'Semrush Data'!$A$1:$A$20000,0),MATCH("Keyword Difficulty*",'Semrush Data'!$A$1:$Z$1,0)),"")</f>
        <v>3</v>
      </c>
      <c r="I663" s="13" t="n">
        <f aca="false">IFERROR(INDEX('Semrush Data'!$A$1:$Z$20000,MATCH(A663,'Semrush Data'!$A$1:$A$20000,0),MATCH("CPC*",'Semrush Data'!$A$1:$Z$1,0)),"")</f>
        <v>0</v>
      </c>
      <c r="J663" s="7" t="str">
        <f aca="false">IFERROR(INDEX('Semrush Data'!$A$1:$Z$20000,MATCH(A663,'Semrush Data'!$A$1:$A$20000,0),MATCH("Intent",'Semrush Data'!$A$1:$Z$1,0)),"")</f>
        <v>Informational</v>
      </c>
    </row>
    <row r="664" customFormat="false" ht="15" hidden="false" customHeight="true" outlineLevel="0" collapsed="false">
      <c r="A664" s="7" t="s">
        <v>5649</v>
      </c>
      <c r="B664" s="7" t="s">
        <v>38</v>
      </c>
      <c r="C664" s="7" t="n">
        <v>1</v>
      </c>
      <c r="D664" s="7" t="n">
        <v>7</v>
      </c>
      <c r="E664" s="7" t="n">
        <v>1</v>
      </c>
      <c r="F664" s="7" t="s">
        <v>5647</v>
      </c>
      <c r="G664" s="12" t="n">
        <f aca="false">IFERROR(INDEX('Semrush Data'!$A$1:$Z$20000,MATCH(A664,'Semrush Data'!$A$1:$A$20000,0),MATCH("Volume",'Semrush Data'!$A$1:$Z$1,0)),"")</f>
        <v>20</v>
      </c>
      <c r="H664" s="7" t="n">
        <f aca="false">IFERROR(INDEX('Semrush Data'!$A$1:$Z$20000,MATCH(A664,'Semrush Data'!$A$1:$A$20000,0),MATCH("Keyword Difficulty*",'Semrush Data'!$A$1:$Z$1,0)),"")</f>
        <v>15</v>
      </c>
      <c r="I664" s="13" t="n">
        <f aca="false">IFERROR(INDEX('Semrush Data'!$A$1:$Z$20000,MATCH(A664,'Semrush Data'!$A$1:$A$20000,0),MATCH("CPC*",'Semrush Data'!$A$1:$Z$1,0)),"")</f>
        <v>0</v>
      </c>
      <c r="J664" s="7" t="str">
        <f aca="false">IFERROR(INDEX('Semrush Data'!$A$1:$Z$20000,MATCH(A664,'Semrush Data'!$A$1:$A$20000,0),MATCH("Intent",'Semrush Data'!$A$1:$Z$1,0)),"")</f>
        <v>Navigational</v>
      </c>
    </row>
    <row r="665" customFormat="false" ht="15" hidden="false" customHeight="true" outlineLevel="0" collapsed="false">
      <c r="A665" s="7" t="s">
        <v>5660</v>
      </c>
      <c r="B665" s="7" t="s">
        <v>38</v>
      </c>
      <c r="C665" s="7" t="n">
        <v>1</v>
      </c>
      <c r="D665" s="7" t="n">
        <v>7</v>
      </c>
      <c r="E665" s="7" t="n">
        <v>1</v>
      </c>
      <c r="F665" s="7" t="s">
        <v>5658</v>
      </c>
      <c r="G665" s="12" t="n">
        <f aca="false">IFERROR(INDEX('Semrush Data'!$A$1:$Z$20000,MATCH(A665,'Semrush Data'!$A$1:$A$20000,0),MATCH("Volume",'Semrush Data'!$A$1:$Z$1,0)),"")</f>
        <v>10</v>
      </c>
      <c r="H665" s="7" t="n">
        <f aca="false">IFERROR(INDEX('Semrush Data'!$A$1:$Z$20000,MATCH(A665,'Semrush Data'!$A$1:$A$20000,0),MATCH("Keyword Difficulty*",'Semrush Data'!$A$1:$Z$1,0)),"")</f>
        <v>5</v>
      </c>
      <c r="I665" s="13" t="n">
        <f aca="false">IFERROR(INDEX('Semrush Data'!$A$1:$Z$20000,MATCH(A665,'Semrush Data'!$A$1:$A$20000,0),MATCH("CPC*",'Semrush Data'!$A$1:$Z$1,0)),"")</f>
        <v>0</v>
      </c>
      <c r="J665" s="7" t="str">
        <f aca="false">IFERROR(INDEX('Semrush Data'!$A$1:$Z$20000,MATCH(A665,'Semrush Data'!$A$1:$A$20000,0),MATCH("Intent",'Semrush Data'!$A$1:$Z$1,0)),"")</f>
        <v>Navigational</v>
      </c>
    </row>
    <row r="666" customFormat="false" ht="15" hidden="false" customHeight="true" outlineLevel="0" collapsed="false">
      <c r="A666" s="7" t="s">
        <v>5672</v>
      </c>
      <c r="B666" s="7" t="s">
        <v>38</v>
      </c>
      <c r="C666" s="7" t="n">
        <v>1</v>
      </c>
      <c r="D666" s="7" t="n">
        <v>7</v>
      </c>
      <c r="E666" s="7" t="n">
        <v>1</v>
      </c>
      <c r="F666" s="7" t="s">
        <v>5669</v>
      </c>
      <c r="G666" s="12" t="n">
        <f aca="false">IFERROR(INDEX('Semrush Data'!$A$1:$Z$20000,MATCH(A666,'Semrush Data'!$A$1:$A$20000,0),MATCH("Volume",'Semrush Data'!$A$1:$Z$1,0)),"")</f>
        <v>70</v>
      </c>
      <c r="H666" s="7" t="n">
        <f aca="false">IFERROR(INDEX('Semrush Data'!$A$1:$Z$20000,MATCH(A666,'Semrush Data'!$A$1:$A$20000,0),MATCH("Keyword Difficulty*",'Semrush Data'!$A$1:$Z$1,0)),"")</f>
        <v>7</v>
      </c>
      <c r="I666" s="13" t="n">
        <f aca="false">IFERROR(INDEX('Semrush Data'!$A$1:$Z$20000,MATCH(A666,'Semrush Data'!$A$1:$A$20000,0),MATCH("CPC*",'Semrush Data'!$A$1:$Z$1,0)),"")</f>
        <v>0</v>
      </c>
      <c r="J666" s="7" t="str">
        <f aca="false">IFERROR(INDEX('Semrush Data'!$A$1:$Z$20000,MATCH(A666,'Semrush Data'!$A$1:$A$20000,0),MATCH("Intent",'Semrush Data'!$A$1:$Z$1,0)),"")</f>
        <v>Informational Transactional</v>
      </c>
    </row>
    <row r="667" customFormat="false" ht="15" hidden="false" customHeight="true" outlineLevel="0" collapsed="false">
      <c r="A667" s="7" t="s">
        <v>5685</v>
      </c>
      <c r="B667" s="7" t="s">
        <v>38</v>
      </c>
      <c r="C667" s="7" t="n">
        <v>1</v>
      </c>
      <c r="D667" s="7" t="n">
        <v>7</v>
      </c>
      <c r="E667" s="7" t="n">
        <v>1</v>
      </c>
      <c r="F667" s="7" t="s">
        <v>5682</v>
      </c>
      <c r="G667" s="12" t="n">
        <f aca="false">IFERROR(INDEX('Semrush Data'!$A$1:$Z$20000,MATCH(A667,'Semrush Data'!$A$1:$A$20000,0),MATCH("Volume",'Semrush Data'!$A$1:$Z$1,0)),"")</f>
        <v>170</v>
      </c>
      <c r="H667" s="7" t="n">
        <f aca="false">IFERROR(INDEX('Semrush Data'!$A$1:$Z$20000,MATCH(A667,'Semrush Data'!$A$1:$A$20000,0),MATCH("Keyword Difficulty*",'Semrush Data'!$A$1:$Z$1,0)),"")</f>
        <v>22</v>
      </c>
      <c r="I667" s="13" t="n">
        <f aca="false">IFERROR(INDEX('Semrush Data'!$A$1:$Z$20000,MATCH(A667,'Semrush Data'!$A$1:$A$20000,0),MATCH("CPC*",'Semrush Data'!$A$1:$Z$1,0)),"")</f>
        <v>0.52</v>
      </c>
      <c r="J667" s="7" t="str">
        <f aca="false">IFERROR(INDEX('Semrush Data'!$A$1:$Z$20000,MATCH(A667,'Semrush Data'!$A$1:$A$20000,0),MATCH("Intent",'Semrush Data'!$A$1:$Z$1,0)),"")</f>
        <v>Informational</v>
      </c>
    </row>
    <row r="668" customFormat="false" ht="15" hidden="false" customHeight="true" outlineLevel="0" collapsed="false">
      <c r="A668" s="7" t="s">
        <v>5698</v>
      </c>
      <c r="B668" s="7" t="s">
        <v>38</v>
      </c>
      <c r="C668" s="7" t="n">
        <v>1</v>
      </c>
      <c r="D668" s="7" t="n">
        <v>7</v>
      </c>
      <c r="E668" s="7" t="n">
        <v>1</v>
      </c>
      <c r="F668" s="7" t="s">
        <v>5695</v>
      </c>
      <c r="G668" s="12" t="n">
        <f aca="false">IFERROR(INDEX('Semrush Data'!$A$1:$Z$20000,MATCH(A668,'Semrush Data'!$A$1:$A$20000,0),MATCH("Volume",'Semrush Data'!$A$1:$Z$1,0)),"")</f>
        <v>0</v>
      </c>
      <c r="H668" s="7" t="n">
        <f aca="false">IFERROR(INDEX('Semrush Data'!$A$1:$Z$20000,MATCH(A668,'Semrush Data'!$A$1:$A$20000,0),MATCH("Keyword Difficulty*",'Semrush Data'!$A$1:$Z$1,0)),"")</f>
        <v>14</v>
      </c>
      <c r="I668" s="13" t="n">
        <f aca="false">IFERROR(INDEX('Semrush Data'!$A$1:$Z$20000,MATCH(A668,'Semrush Data'!$A$1:$A$20000,0),MATCH("CPC*",'Semrush Data'!$A$1:$Z$1,0)),"")</f>
        <v>0</v>
      </c>
      <c r="J668" s="7" t="str">
        <f aca="false">IFERROR(INDEX('Semrush Data'!$A$1:$Z$20000,MATCH(A668,'Semrush Data'!$A$1:$A$20000,0),MATCH("Intent",'Semrush Data'!$A$1:$Z$1,0)),"")</f>
        <v>Informational</v>
      </c>
    </row>
    <row r="669" customFormat="false" ht="15" hidden="false" customHeight="true" outlineLevel="0" collapsed="false">
      <c r="A669" s="7" t="s">
        <v>5710</v>
      </c>
      <c r="B669" s="7" t="s">
        <v>38</v>
      </c>
      <c r="C669" s="7" t="n">
        <v>1</v>
      </c>
      <c r="D669" s="7" t="n">
        <v>7</v>
      </c>
      <c r="E669" s="7" t="n">
        <v>1</v>
      </c>
      <c r="F669" s="7" t="s">
        <v>5708</v>
      </c>
      <c r="G669" s="12" t="n">
        <f aca="false">IFERROR(INDEX('Semrush Data'!$A$1:$Z$20000,MATCH(A669,'Semrush Data'!$A$1:$A$20000,0),MATCH("Volume",'Semrush Data'!$A$1:$Z$1,0)),"")</f>
        <v>20</v>
      </c>
      <c r="H669" s="7" t="n">
        <f aca="false">IFERROR(INDEX('Semrush Data'!$A$1:$Z$20000,MATCH(A669,'Semrush Data'!$A$1:$A$20000,0),MATCH("Keyword Difficulty*",'Semrush Data'!$A$1:$Z$1,0)),"")</f>
        <v>8</v>
      </c>
      <c r="I669" s="13" t="n">
        <f aca="false">IFERROR(INDEX('Semrush Data'!$A$1:$Z$20000,MATCH(A669,'Semrush Data'!$A$1:$A$20000,0),MATCH("CPC*",'Semrush Data'!$A$1:$Z$1,0)),"")</f>
        <v>0</v>
      </c>
      <c r="J669" s="7" t="str">
        <f aca="false">IFERROR(INDEX('Semrush Data'!$A$1:$Z$20000,MATCH(A669,'Semrush Data'!$A$1:$A$20000,0),MATCH("Intent",'Semrush Data'!$A$1:$Z$1,0)),"")</f>
        <v>Informational</v>
      </c>
    </row>
    <row r="670" customFormat="false" ht="15" hidden="false" customHeight="true" outlineLevel="0" collapsed="false">
      <c r="A670" s="7" t="s">
        <v>5721</v>
      </c>
      <c r="B670" s="7" t="s">
        <v>38</v>
      </c>
      <c r="C670" s="7" t="n">
        <v>1</v>
      </c>
      <c r="D670" s="7" t="n">
        <v>7</v>
      </c>
      <c r="E670" s="7" t="n">
        <v>1</v>
      </c>
      <c r="F670" s="7" t="s">
        <v>5719</v>
      </c>
      <c r="G670" s="12" t="n">
        <f aca="false">IFERROR(INDEX('Semrush Data'!$A$1:$Z$20000,MATCH(A670,'Semrush Data'!$A$1:$A$20000,0),MATCH("Volume",'Semrush Data'!$A$1:$Z$1,0)),"")</f>
        <v>0</v>
      </c>
      <c r="H670" s="7" t="n">
        <f aca="false">IFERROR(INDEX('Semrush Data'!$A$1:$Z$20000,MATCH(A670,'Semrush Data'!$A$1:$A$20000,0),MATCH("Keyword Difficulty*",'Semrush Data'!$A$1:$Z$1,0)),"")</f>
        <v>23</v>
      </c>
      <c r="I670" s="13" t="n">
        <f aca="false">IFERROR(INDEX('Semrush Data'!$A$1:$Z$20000,MATCH(A670,'Semrush Data'!$A$1:$A$20000,0),MATCH("CPC*",'Semrush Data'!$A$1:$Z$1,0)),"")</f>
        <v>0</v>
      </c>
      <c r="J670" s="7" t="str">
        <f aca="false">IFERROR(INDEX('Semrush Data'!$A$1:$Z$20000,MATCH(A670,'Semrush Data'!$A$1:$A$20000,0),MATCH("Intent",'Semrush Data'!$A$1:$Z$1,0)),"")</f>
        <v>Informational</v>
      </c>
    </row>
    <row r="671" customFormat="false" ht="15" hidden="false" customHeight="true" outlineLevel="0" collapsed="false">
      <c r="A671" s="7" t="s">
        <v>5845</v>
      </c>
      <c r="B671" s="7" t="s">
        <v>38</v>
      </c>
      <c r="C671" s="7" t="n">
        <v>1</v>
      </c>
      <c r="D671" s="7" t="n">
        <v>7</v>
      </c>
      <c r="E671" s="7" t="n">
        <v>1</v>
      </c>
      <c r="F671" s="7" t="s">
        <v>5842</v>
      </c>
      <c r="G671" s="12" t="n">
        <f aca="false">IFERROR(INDEX('Semrush Data'!$A$1:$Z$20000,MATCH(A671,'Semrush Data'!$A$1:$A$20000,0),MATCH("Volume",'Semrush Data'!$A$1:$Z$1,0)),"")</f>
        <v>140</v>
      </c>
      <c r="H671" s="7" t="n">
        <f aca="false">IFERROR(INDEX('Semrush Data'!$A$1:$Z$20000,MATCH(A671,'Semrush Data'!$A$1:$A$20000,0),MATCH("Keyword Difficulty*",'Semrush Data'!$A$1:$Z$1,0)),"")</f>
        <v>10</v>
      </c>
      <c r="I671" s="13" t="n">
        <f aca="false">IFERROR(INDEX('Semrush Data'!$A$1:$Z$20000,MATCH(A671,'Semrush Data'!$A$1:$A$20000,0),MATCH("CPC*",'Semrush Data'!$A$1:$Z$1,0)),"")</f>
        <v>0</v>
      </c>
      <c r="J671" s="7" t="str">
        <f aca="false">IFERROR(INDEX('Semrush Data'!$A$1:$Z$20000,MATCH(A671,'Semrush Data'!$A$1:$A$20000,0),MATCH("Intent",'Semrush Data'!$A$1:$Z$1,0)),"")</f>
        <v>Informational</v>
      </c>
    </row>
    <row r="672" customFormat="false" ht="15" hidden="false" customHeight="true" outlineLevel="0" collapsed="false">
      <c r="A672" s="7" t="s">
        <v>5733</v>
      </c>
      <c r="B672" s="7" t="s">
        <v>38</v>
      </c>
      <c r="C672" s="7" t="n">
        <v>1</v>
      </c>
      <c r="D672" s="7" t="n">
        <v>7</v>
      </c>
      <c r="E672" s="7" t="n">
        <v>1</v>
      </c>
      <c r="F672" s="7" t="s">
        <v>5731</v>
      </c>
      <c r="G672" s="12" t="n">
        <f aca="false">IFERROR(INDEX('Semrush Data'!$A$1:$Z$20000,MATCH(A672,'Semrush Data'!$A$1:$A$20000,0),MATCH("Volume",'Semrush Data'!$A$1:$Z$1,0)),"")</f>
        <v>0</v>
      </c>
      <c r="H672" s="7" t="n">
        <f aca="false">IFERROR(INDEX('Semrush Data'!$A$1:$Z$20000,MATCH(A672,'Semrush Data'!$A$1:$A$20000,0),MATCH("Keyword Difficulty*",'Semrush Data'!$A$1:$Z$1,0)),"")</f>
        <v>3</v>
      </c>
      <c r="I672" s="13" t="n">
        <f aca="false">IFERROR(INDEX('Semrush Data'!$A$1:$Z$20000,MATCH(A672,'Semrush Data'!$A$1:$A$20000,0),MATCH("CPC*",'Semrush Data'!$A$1:$Z$1,0)),"")</f>
        <v>0</v>
      </c>
      <c r="J672" s="7" t="str">
        <f aca="false">IFERROR(INDEX('Semrush Data'!$A$1:$Z$20000,MATCH(A672,'Semrush Data'!$A$1:$A$20000,0),MATCH("Intent",'Semrush Data'!$A$1:$Z$1,0)),"")</f>
        <v>Informational</v>
      </c>
    </row>
    <row r="673" customFormat="false" ht="15" hidden="false" customHeight="true" outlineLevel="0" collapsed="false">
      <c r="A673" s="7" t="s">
        <v>5823</v>
      </c>
      <c r="B673" s="7" t="s">
        <v>38</v>
      </c>
      <c r="C673" s="7" t="n">
        <v>1</v>
      </c>
      <c r="D673" s="7" t="n">
        <v>7</v>
      </c>
      <c r="E673" s="7" t="n">
        <v>1</v>
      </c>
      <c r="F673" s="7" t="s">
        <v>5821</v>
      </c>
      <c r="G673" s="12" t="n">
        <f aca="false">IFERROR(INDEX('Semrush Data'!$A$1:$Z$20000,MATCH(A673,'Semrush Data'!$A$1:$A$20000,0),MATCH("Volume",'Semrush Data'!$A$1:$Z$1,0)),"")</f>
        <v>10</v>
      </c>
      <c r="H673" s="7" t="n">
        <f aca="false">IFERROR(INDEX('Semrush Data'!$A$1:$Z$20000,MATCH(A673,'Semrush Data'!$A$1:$A$20000,0),MATCH("Keyword Difficulty*",'Semrush Data'!$A$1:$Z$1,0)),"")</f>
        <v>16</v>
      </c>
      <c r="I673" s="13" t="n">
        <f aca="false">IFERROR(INDEX('Semrush Data'!$A$1:$Z$20000,MATCH(A673,'Semrush Data'!$A$1:$A$20000,0),MATCH("CPC*",'Semrush Data'!$A$1:$Z$1,0)),"")</f>
        <v>0</v>
      </c>
      <c r="J673" s="7" t="str">
        <f aca="false">IFERROR(INDEX('Semrush Data'!$A$1:$Z$20000,MATCH(A673,'Semrush Data'!$A$1:$A$20000,0),MATCH("Intent",'Semrush Data'!$A$1:$Z$1,0)),"")</f>
        <v>Informational Transactional</v>
      </c>
    </row>
    <row r="674" customFormat="false" ht="15" hidden="false" customHeight="true" outlineLevel="0" collapsed="false">
      <c r="A674" s="7" t="s">
        <v>5835</v>
      </c>
      <c r="B674" s="7" t="s">
        <v>38</v>
      </c>
      <c r="C674" s="7" t="n">
        <v>1</v>
      </c>
      <c r="D674" s="7" t="n">
        <v>7</v>
      </c>
      <c r="E674" s="7" t="n">
        <v>1</v>
      </c>
      <c r="F674" s="7" t="s">
        <v>5832</v>
      </c>
      <c r="G674" s="12" t="n">
        <f aca="false">IFERROR(INDEX('Semrush Data'!$A$1:$Z$20000,MATCH(A674,'Semrush Data'!$A$1:$A$20000,0),MATCH("Volume",'Semrush Data'!$A$1:$Z$1,0)),"")</f>
        <v>20</v>
      </c>
      <c r="H674" s="7" t="n">
        <f aca="false">IFERROR(INDEX('Semrush Data'!$A$1:$Z$20000,MATCH(A674,'Semrush Data'!$A$1:$A$20000,0),MATCH("Keyword Difficulty*",'Semrush Data'!$A$1:$Z$1,0)),"")</f>
        <v>16</v>
      </c>
      <c r="I674" s="13" t="n">
        <f aca="false">IFERROR(INDEX('Semrush Data'!$A$1:$Z$20000,MATCH(A674,'Semrush Data'!$A$1:$A$20000,0),MATCH("CPC*",'Semrush Data'!$A$1:$Z$1,0)),"")</f>
        <v>0</v>
      </c>
      <c r="J674" s="7" t="str">
        <f aca="false">IFERROR(INDEX('Semrush Data'!$A$1:$Z$20000,MATCH(A674,'Semrush Data'!$A$1:$A$20000,0),MATCH("Intent",'Semrush Data'!$A$1:$Z$1,0)),"")</f>
        <v>Informational Transactional</v>
      </c>
    </row>
    <row r="675" customFormat="false" ht="15" hidden="false" customHeight="true" outlineLevel="0" collapsed="false">
      <c r="A675" s="7" t="s">
        <v>5857</v>
      </c>
      <c r="B675" s="7" t="s">
        <v>38</v>
      </c>
      <c r="C675" s="7" t="n">
        <v>1</v>
      </c>
      <c r="D675" s="7" t="n">
        <v>7</v>
      </c>
      <c r="E675" s="7" t="n">
        <v>1</v>
      </c>
      <c r="F675" s="7" t="s">
        <v>5855</v>
      </c>
      <c r="G675" s="12" t="n">
        <f aca="false">IFERROR(INDEX('Semrush Data'!$A$1:$Z$20000,MATCH(A675,'Semrush Data'!$A$1:$A$20000,0),MATCH("Volume",'Semrush Data'!$A$1:$Z$1,0)),"")</f>
        <v>20</v>
      </c>
      <c r="H675" s="7" t="n">
        <f aca="false">IFERROR(INDEX('Semrush Data'!$A$1:$Z$20000,MATCH(A675,'Semrush Data'!$A$1:$A$20000,0),MATCH("Keyword Difficulty*",'Semrush Data'!$A$1:$Z$1,0)),"")</f>
        <v>12</v>
      </c>
      <c r="I675" s="13" t="n">
        <f aca="false">IFERROR(INDEX('Semrush Data'!$A$1:$Z$20000,MATCH(A675,'Semrush Data'!$A$1:$A$20000,0),MATCH("CPC*",'Semrush Data'!$A$1:$Z$1,0)),"")</f>
        <v>0</v>
      </c>
      <c r="J675" s="7" t="str">
        <f aca="false">IFERROR(INDEX('Semrush Data'!$A$1:$Z$20000,MATCH(A675,'Semrush Data'!$A$1:$A$20000,0),MATCH("Intent",'Semrush Data'!$A$1:$Z$1,0)),"")</f>
        <v>Informational</v>
      </c>
    </row>
    <row r="676" customFormat="false" ht="15" hidden="false" customHeight="true" outlineLevel="0" collapsed="false">
      <c r="A676" s="7" t="s">
        <v>5744</v>
      </c>
      <c r="B676" s="7" t="s">
        <v>38</v>
      </c>
      <c r="C676" s="7" t="n">
        <v>1</v>
      </c>
      <c r="D676" s="7" t="n">
        <v>7</v>
      </c>
      <c r="E676" s="7" t="n">
        <v>1</v>
      </c>
      <c r="F676" s="7" t="s">
        <v>5742</v>
      </c>
      <c r="G676" s="12" t="n">
        <f aca="false">IFERROR(INDEX('Semrush Data'!$A$1:$Z$20000,MATCH(A676,'Semrush Data'!$A$1:$A$20000,0),MATCH("Volume",'Semrush Data'!$A$1:$Z$1,0)),"")</f>
        <v>0</v>
      </c>
      <c r="H676" s="7" t="n">
        <f aca="false">IFERROR(INDEX('Semrush Data'!$A$1:$Z$20000,MATCH(A676,'Semrush Data'!$A$1:$A$20000,0),MATCH("Keyword Difficulty*",'Semrush Data'!$A$1:$Z$1,0)),"")</f>
        <v>22</v>
      </c>
      <c r="I676" s="13" t="n">
        <f aca="false">IFERROR(INDEX('Semrush Data'!$A$1:$Z$20000,MATCH(A676,'Semrush Data'!$A$1:$A$20000,0),MATCH("CPC*",'Semrush Data'!$A$1:$Z$1,0)),"")</f>
        <v>0</v>
      </c>
      <c r="J676" s="7" t="str">
        <f aca="false">IFERROR(INDEX('Semrush Data'!$A$1:$Z$20000,MATCH(A676,'Semrush Data'!$A$1:$A$20000,0),MATCH("Intent",'Semrush Data'!$A$1:$Z$1,0)),"")</f>
        <v>Informational</v>
      </c>
    </row>
    <row r="677" customFormat="false" ht="15" hidden="false" customHeight="true" outlineLevel="0" collapsed="false">
      <c r="A677" s="7" t="s">
        <v>5756</v>
      </c>
      <c r="B677" s="7" t="s">
        <v>38</v>
      </c>
      <c r="C677" s="7" t="n">
        <v>1</v>
      </c>
      <c r="D677" s="7" t="n">
        <v>7</v>
      </c>
      <c r="E677" s="7" t="n">
        <v>1</v>
      </c>
      <c r="F677" s="7" t="s">
        <v>5753</v>
      </c>
      <c r="G677" s="12" t="n">
        <f aca="false">IFERROR(INDEX('Semrush Data'!$A$1:$Z$20000,MATCH(A677,'Semrush Data'!$A$1:$A$20000,0),MATCH("Volume",'Semrush Data'!$A$1:$Z$1,0)),"")</f>
        <v>0</v>
      </c>
      <c r="H677" s="7" t="n">
        <f aca="false">IFERROR(INDEX('Semrush Data'!$A$1:$Z$20000,MATCH(A677,'Semrush Data'!$A$1:$A$20000,0),MATCH("Keyword Difficulty*",'Semrush Data'!$A$1:$Z$1,0)),"")</f>
        <v>15</v>
      </c>
      <c r="I677" s="13" t="n">
        <f aca="false">IFERROR(INDEX('Semrush Data'!$A$1:$Z$20000,MATCH(A677,'Semrush Data'!$A$1:$A$20000,0),MATCH("CPC*",'Semrush Data'!$A$1:$Z$1,0)),"")</f>
        <v>0</v>
      </c>
      <c r="J677" s="7" t="str">
        <f aca="false">IFERROR(INDEX('Semrush Data'!$A$1:$Z$20000,MATCH(A677,'Semrush Data'!$A$1:$A$20000,0),MATCH("Intent",'Semrush Data'!$A$1:$Z$1,0)),"")</f>
        <v>Informational</v>
      </c>
    </row>
    <row r="678" customFormat="false" ht="15" hidden="false" customHeight="true" outlineLevel="0" collapsed="false">
      <c r="A678" s="7" t="s">
        <v>5768</v>
      </c>
      <c r="B678" s="7" t="s">
        <v>38</v>
      </c>
      <c r="C678" s="7" t="n">
        <v>1</v>
      </c>
      <c r="D678" s="7" t="n">
        <v>7</v>
      </c>
      <c r="E678" s="7" t="n">
        <v>1</v>
      </c>
      <c r="F678" s="7" t="s">
        <v>5766</v>
      </c>
      <c r="G678" s="12" t="n">
        <f aca="false">IFERROR(INDEX('Semrush Data'!$A$1:$Z$20000,MATCH(A678,'Semrush Data'!$A$1:$A$20000,0),MATCH("Volume",'Semrush Data'!$A$1:$Z$1,0)),"")</f>
        <v>20</v>
      </c>
      <c r="H678" s="7" t="n">
        <f aca="false">IFERROR(INDEX('Semrush Data'!$A$1:$Z$20000,MATCH(A678,'Semrush Data'!$A$1:$A$20000,0),MATCH("Keyword Difficulty*",'Semrush Data'!$A$1:$Z$1,0)),"")</f>
        <v>7</v>
      </c>
      <c r="I678" s="13" t="n">
        <f aca="false">IFERROR(INDEX('Semrush Data'!$A$1:$Z$20000,MATCH(A678,'Semrush Data'!$A$1:$A$20000,0),MATCH("CPC*",'Semrush Data'!$A$1:$Z$1,0)),"")</f>
        <v>0</v>
      </c>
      <c r="J678" s="7" t="str">
        <f aca="false">IFERROR(INDEX('Semrush Data'!$A$1:$Z$20000,MATCH(A678,'Semrush Data'!$A$1:$A$20000,0),MATCH("Intent",'Semrush Data'!$A$1:$Z$1,0)),"")</f>
        <v>Informational Transactional</v>
      </c>
    </row>
    <row r="679" customFormat="false" ht="15" hidden="false" customHeight="true" outlineLevel="0" collapsed="false">
      <c r="A679" s="7" t="s">
        <v>5779</v>
      </c>
      <c r="B679" s="7" t="s">
        <v>38</v>
      </c>
      <c r="C679" s="7" t="n">
        <v>1</v>
      </c>
      <c r="D679" s="7" t="n">
        <v>7</v>
      </c>
      <c r="E679" s="7" t="n">
        <v>1</v>
      </c>
      <c r="F679" s="7" t="s">
        <v>5777</v>
      </c>
      <c r="G679" s="12" t="n">
        <f aca="false">IFERROR(INDEX('Semrush Data'!$A$1:$Z$20000,MATCH(A679,'Semrush Data'!$A$1:$A$20000,0),MATCH("Volume",'Semrush Data'!$A$1:$Z$1,0)),"")</f>
        <v>20</v>
      </c>
      <c r="H679" s="7" t="n">
        <f aca="false">IFERROR(INDEX('Semrush Data'!$A$1:$Z$20000,MATCH(A679,'Semrush Data'!$A$1:$A$20000,0),MATCH("Keyword Difficulty*",'Semrush Data'!$A$1:$Z$1,0)),"")</f>
        <v>28</v>
      </c>
      <c r="I679" s="13" t="n">
        <f aca="false">IFERROR(INDEX('Semrush Data'!$A$1:$Z$20000,MATCH(A679,'Semrush Data'!$A$1:$A$20000,0),MATCH("CPC*",'Semrush Data'!$A$1:$Z$1,0)),"")</f>
        <v>0</v>
      </c>
      <c r="J679" s="7" t="str">
        <f aca="false">IFERROR(INDEX('Semrush Data'!$A$1:$Z$20000,MATCH(A679,'Semrush Data'!$A$1:$A$20000,0),MATCH("Intent",'Semrush Data'!$A$1:$Z$1,0)),"")</f>
        <v>Navigational</v>
      </c>
    </row>
    <row r="680" customFormat="false" ht="15" hidden="false" customHeight="true" outlineLevel="0" collapsed="false">
      <c r="A680" s="7" t="s">
        <v>5790</v>
      </c>
      <c r="B680" s="7" t="s">
        <v>38</v>
      </c>
      <c r="C680" s="7" t="n">
        <v>1</v>
      </c>
      <c r="D680" s="7" t="n">
        <v>7</v>
      </c>
      <c r="E680" s="7" t="n">
        <v>1</v>
      </c>
      <c r="F680" s="7" t="s">
        <v>5788</v>
      </c>
      <c r="G680" s="12" t="n">
        <f aca="false">IFERROR(INDEX('Semrush Data'!$A$1:$Z$20000,MATCH(A680,'Semrush Data'!$A$1:$A$20000,0),MATCH("Volume",'Semrush Data'!$A$1:$Z$1,0)),"")</f>
        <v>10</v>
      </c>
      <c r="H680" s="7" t="n">
        <f aca="false">IFERROR(INDEX('Semrush Data'!$A$1:$Z$20000,MATCH(A680,'Semrush Data'!$A$1:$A$20000,0),MATCH("Keyword Difficulty*",'Semrush Data'!$A$1:$Z$1,0)),"")</f>
        <v>16</v>
      </c>
      <c r="I680" s="13" t="n">
        <f aca="false">IFERROR(INDEX('Semrush Data'!$A$1:$Z$20000,MATCH(A680,'Semrush Data'!$A$1:$A$20000,0),MATCH("CPC*",'Semrush Data'!$A$1:$Z$1,0)),"")</f>
        <v>0</v>
      </c>
      <c r="J680" s="7" t="str">
        <f aca="false">IFERROR(INDEX('Semrush Data'!$A$1:$Z$20000,MATCH(A680,'Semrush Data'!$A$1:$A$20000,0),MATCH("Intent",'Semrush Data'!$A$1:$Z$1,0)),"")</f>
        <v>Informational</v>
      </c>
    </row>
    <row r="681" customFormat="false" ht="15" hidden="false" customHeight="true" outlineLevel="0" collapsed="false">
      <c r="A681" s="7" t="s">
        <v>5868</v>
      </c>
      <c r="B681" s="7" t="s">
        <v>38</v>
      </c>
      <c r="C681" s="7" t="n">
        <v>1</v>
      </c>
      <c r="D681" s="7" t="n">
        <v>7</v>
      </c>
      <c r="E681" s="7" t="n">
        <v>1</v>
      </c>
      <c r="F681" s="7" t="s">
        <v>5866</v>
      </c>
      <c r="G681" s="12" t="n">
        <f aca="false">IFERROR(INDEX('Semrush Data'!$A$1:$Z$20000,MATCH(A681,'Semrush Data'!$A$1:$A$20000,0),MATCH("Volume",'Semrush Data'!$A$1:$Z$1,0)),"")</f>
        <v>20</v>
      </c>
      <c r="H681" s="7" t="n">
        <f aca="false">IFERROR(INDEX('Semrush Data'!$A$1:$Z$20000,MATCH(A681,'Semrush Data'!$A$1:$A$20000,0),MATCH("Keyword Difficulty*",'Semrush Data'!$A$1:$Z$1,0)),"")</f>
        <v>6</v>
      </c>
      <c r="I681" s="13" t="n">
        <f aca="false">IFERROR(INDEX('Semrush Data'!$A$1:$Z$20000,MATCH(A681,'Semrush Data'!$A$1:$A$20000,0),MATCH("CPC*",'Semrush Data'!$A$1:$Z$1,0)),"")</f>
        <v>0</v>
      </c>
      <c r="J681" s="7" t="str">
        <f aca="false">IFERROR(INDEX('Semrush Data'!$A$1:$Z$20000,MATCH(A681,'Semrush Data'!$A$1:$A$20000,0),MATCH("Intent",'Semrush Data'!$A$1:$Z$1,0)),"")</f>
        <v>Informational Commercial</v>
      </c>
    </row>
    <row r="682" customFormat="false" ht="15" hidden="false" customHeight="true" outlineLevel="0" collapsed="false">
      <c r="A682" s="7" t="s">
        <v>5801</v>
      </c>
      <c r="B682" s="7" t="s">
        <v>38</v>
      </c>
      <c r="C682" s="7" t="n">
        <v>1</v>
      </c>
      <c r="D682" s="7" t="n">
        <v>7</v>
      </c>
      <c r="E682" s="7" t="n">
        <v>1</v>
      </c>
      <c r="F682" s="7" t="s">
        <v>5799</v>
      </c>
      <c r="G682" s="12" t="n">
        <f aca="false">IFERROR(INDEX('Semrush Data'!$A$1:$Z$20000,MATCH(A682,'Semrush Data'!$A$1:$A$20000,0),MATCH("Volume",'Semrush Data'!$A$1:$Z$1,0)),"")</f>
        <v>20</v>
      </c>
      <c r="H682" s="7" t="n">
        <f aca="false">IFERROR(INDEX('Semrush Data'!$A$1:$Z$20000,MATCH(A682,'Semrush Data'!$A$1:$A$20000,0),MATCH("Keyword Difficulty*",'Semrush Data'!$A$1:$Z$1,0)),"")</f>
        <v>16</v>
      </c>
      <c r="I682" s="13" t="n">
        <f aca="false">IFERROR(INDEX('Semrush Data'!$A$1:$Z$20000,MATCH(A682,'Semrush Data'!$A$1:$A$20000,0),MATCH("CPC*",'Semrush Data'!$A$1:$Z$1,0)),"")</f>
        <v>0</v>
      </c>
      <c r="J682" s="7" t="str">
        <f aca="false">IFERROR(INDEX('Semrush Data'!$A$1:$Z$20000,MATCH(A682,'Semrush Data'!$A$1:$A$20000,0),MATCH("Intent",'Semrush Data'!$A$1:$Z$1,0)),"")</f>
        <v>Informational</v>
      </c>
    </row>
    <row r="683" customFormat="false" ht="15" hidden="false" customHeight="true" outlineLevel="0" collapsed="false">
      <c r="A683" s="7" t="s">
        <v>5812</v>
      </c>
      <c r="B683" s="7" t="s">
        <v>38</v>
      </c>
      <c r="C683" s="7" t="n">
        <v>1</v>
      </c>
      <c r="D683" s="7" t="n">
        <v>7</v>
      </c>
      <c r="E683" s="7" t="n">
        <v>1</v>
      </c>
      <c r="F683" s="7" t="s">
        <v>5810</v>
      </c>
      <c r="G683" s="12" t="n">
        <f aca="false">IFERROR(INDEX('Semrush Data'!$A$1:$Z$20000,MATCH(A683,'Semrush Data'!$A$1:$A$20000,0),MATCH("Volume",'Semrush Data'!$A$1:$Z$1,0)),"")</f>
        <v>10</v>
      </c>
      <c r="H683" s="7" t="n">
        <f aca="false">IFERROR(INDEX('Semrush Data'!$A$1:$Z$20000,MATCH(A683,'Semrush Data'!$A$1:$A$20000,0),MATCH("Keyword Difficulty*",'Semrush Data'!$A$1:$Z$1,0)),"")</f>
        <v>3</v>
      </c>
      <c r="I683" s="13" t="n">
        <f aca="false">IFERROR(INDEX('Semrush Data'!$A$1:$Z$20000,MATCH(A683,'Semrush Data'!$A$1:$A$20000,0),MATCH("CPC*",'Semrush Data'!$A$1:$Z$1,0)),"")</f>
        <v>0</v>
      </c>
      <c r="J683" s="7" t="str">
        <f aca="false">IFERROR(INDEX('Semrush Data'!$A$1:$Z$20000,MATCH(A683,'Semrush Data'!$A$1:$A$20000,0),MATCH("Intent",'Semrush Data'!$A$1:$Z$1,0)),"")</f>
        <v>Informational</v>
      </c>
    </row>
    <row r="684" customFormat="false" ht="15" hidden="false" customHeight="true" outlineLevel="0" collapsed="false">
      <c r="A684" s="7" t="s">
        <v>5954</v>
      </c>
      <c r="B684" s="7" t="s">
        <v>38</v>
      </c>
      <c r="C684" s="7" t="n">
        <v>1</v>
      </c>
      <c r="D684" s="7" t="n">
        <v>7</v>
      </c>
      <c r="E684" s="7" t="n">
        <v>1</v>
      </c>
      <c r="F684" s="7" t="s">
        <v>5951</v>
      </c>
      <c r="G684" s="12" t="n">
        <f aca="false">IFERROR(INDEX('Semrush Data'!$A$1:$Z$20000,MATCH(A684,'Semrush Data'!$A$1:$A$20000,0),MATCH("Volume",'Semrush Data'!$A$1:$Z$1,0)),"")</f>
        <v>20</v>
      </c>
      <c r="H684" s="7" t="n">
        <f aca="false">IFERROR(INDEX('Semrush Data'!$A$1:$Z$20000,MATCH(A684,'Semrush Data'!$A$1:$A$20000,0),MATCH("Keyword Difficulty*",'Semrush Data'!$A$1:$Z$1,0)),"")</f>
        <v>16</v>
      </c>
      <c r="I684" s="13" t="n">
        <f aca="false">IFERROR(INDEX('Semrush Data'!$A$1:$Z$20000,MATCH(A684,'Semrush Data'!$A$1:$A$20000,0),MATCH("CPC*",'Semrush Data'!$A$1:$Z$1,0)),"")</f>
        <v>0</v>
      </c>
      <c r="J684" s="7" t="str">
        <f aca="false">IFERROR(INDEX('Semrush Data'!$A$1:$Z$20000,MATCH(A684,'Semrush Data'!$A$1:$A$20000,0),MATCH("Intent",'Semrush Data'!$A$1:$Z$1,0)),"")</f>
        <v>Informational</v>
      </c>
    </row>
    <row r="685" customFormat="false" ht="15" hidden="false" customHeight="true" outlineLevel="0" collapsed="false">
      <c r="A685" s="7" t="s">
        <v>5966</v>
      </c>
      <c r="B685" s="7" t="s">
        <v>38</v>
      </c>
      <c r="C685" s="7" t="n">
        <v>1</v>
      </c>
      <c r="D685" s="7" t="n">
        <v>7</v>
      </c>
      <c r="E685" s="7" t="n">
        <v>1</v>
      </c>
      <c r="F685" s="7" t="s">
        <v>5964</v>
      </c>
      <c r="G685" s="12" t="n">
        <f aca="false">IFERROR(INDEX('Semrush Data'!$A$1:$Z$20000,MATCH(A685,'Semrush Data'!$A$1:$A$20000,0),MATCH("Volume",'Semrush Data'!$A$1:$Z$1,0)),"")</f>
        <v>20</v>
      </c>
      <c r="H685" s="7" t="n">
        <f aca="false">IFERROR(INDEX('Semrush Data'!$A$1:$Z$20000,MATCH(A685,'Semrush Data'!$A$1:$A$20000,0),MATCH("Keyword Difficulty*",'Semrush Data'!$A$1:$Z$1,0)),"")</f>
        <v>9</v>
      </c>
      <c r="I685" s="13" t="n">
        <f aca="false">IFERROR(INDEX('Semrush Data'!$A$1:$Z$20000,MATCH(A685,'Semrush Data'!$A$1:$A$20000,0),MATCH("CPC*",'Semrush Data'!$A$1:$Z$1,0)),"")</f>
        <v>0</v>
      </c>
      <c r="J685" s="7" t="str">
        <f aca="false">IFERROR(INDEX('Semrush Data'!$A$1:$Z$20000,MATCH(A685,'Semrush Data'!$A$1:$A$20000,0),MATCH("Intent",'Semrush Data'!$A$1:$Z$1,0)),"")</f>
        <v>Navigational</v>
      </c>
    </row>
    <row r="686" customFormat="false" ht="15" hidden="false" customHeight="true" outlineLevel="0" collapsed="false">
      <c r="A686" s="7" t="s">
        <v>5977</v>
      </c>
      <c r="B686" s="7" t="s">
        <v>38</v>
      </c>
      <c r="C686" s="7" t="n">
        <v>1</v>
      </c>
      <c r="D686" s="7" t="n">
        <v>7</v>
      </c>
      <c r="E686" s="7" t="n">
        <v>1</v>
      </c>
      <c r="F686" s="7" t="s">
        <v>5975</v>
      </c>
      <c r="G686" s="12" t="n">
        <f aca="false">IFERROR(INDEX('Semrush Data'!$A$1:$Z$20000,MATCH(A686,'Semrush Data'!$A$1:$A$20000,0),MATCH("Volume",'Semrush Data'!$A$1:$Z$1,0)),"")</f>
        <v>0</v>
      </c>
      <c r="H686" s="7" t="n">
        <f aca="false">IFERROR(INDEX('Semrush Data'!$A$1:$Z$20000,MATCH(A686,'Semrush Data'!$A$1:$A$20000,0),MATCH("Keyword Difficulty*",'Semrush Data'!$A$1:$Z$1,0)),"")</f>
        <v>14</v>
      </c>
      <c r="I686" s="13" t="n">
        <f aca="false">IFERROR(INDEX('Semrush Data'!$A$1:$Z$20000,MATCH(A686,'Semrush Data'!$A$1:$A$20000,0),MATCH("CPC*",'Semrush Data'!$A$1:$Z$1,0)),"")</f>
        <v>0</v>
      </c>
      <c r="J686" s="7" t="str">
        <f aca="false">IFERROR(INDEX('Semrush Data'!$A$1:$Z$20000,MATCH(A686,'Semrush Data'!$A$1:$A$20000,0),MATCH("Intent",'Semrush Data'!$A$1:$Z$1,0)),"")</f>
        <v>Informational</v>
      </c>
    </row>
    <row r="687" customFormat="false" ht="15" hidden="false" customHeight="true" outlineLevel="0" collapsed="false">
      <c r="A687" s="7" t="s">
        <v>5988</v>
      </c>
      <c r="B687" s="7" t="s">
        <v>38</v>
      </c>
      <c r="C687" s="7" t="n">
        <v>1</v>
      </c>
      <c r="D687" s="7" t="n">
        <v>7</v>
      </c>
      <c r="E687" s="7" t="n">
        <v>1</v>
      </c>
      <c r="F687" s="7" t="s">
        <v>5985</v>
      </c>
      <c r="G687" s="12" t="n">
        <f aca="false">IFERROR(INDEX('Semrush Data'!$A$1:$Z$20000,MATCH(A687,'Semrush Data'!$A$1:$A$20000,0),MATCH("Volume",'Semrush Data'!$A$1:$Z$1,0)),"")</f>
        <v>20</v>
      </c>
      <c r="H687" s="7" t="n">
        <f aca="false">IFERROR(INDEX('Semrush Data'!$A$1:$Z$20000,MATCH(A687,'Semrush Data'!$A$1:$A$20000,0),MATCH("Keyword Difficulty*",'Semrush Data'!$A$1:$Z$1,0)),"")</f>
        <v>19</v>
      </c>
      <c r="I687" s="13" t="n">
        <f aca="false">IFERROR(INDEX('Semrush Data'!$A$1:$Z$20000,MATCH(A687,'Semrush Data'!$A$1:$A$20000,0),MATCH("CPC*",'Semrush Data'!$A$1:$Z$1,0)),"")</f>
        <v>0</v>
      </c>
      <c r="J687" s="7" t="str">
        <f aca="false">IFERROR(INDEX('Semrush Data'!$A$1:$Z$20000,MATCH(A687,'Semrush Data'!$A$1:$A$20000,0),MATCH("Intent",'Semrush Data'!$A$1:$Z$1,0)),"")</f>
        <v>Informational</v>
      </c>
    </row>
    <row r="688" customFormat="false" ht="15" hidden="false" customHeight="true" outlineLevel="0" collapsed="false">
      <c r="A688" s="7" t="s">
        <v>6000</v>
      </c>
      <c r="B688" s="7" t="s">
        <v>38</v>
      </c>
      <c r="C688" s="7" t="n">
        <v>1</v>
      </c>
      <c r="D688" s="7" t="n">
        <v>7</v>
      </c>
      <c r="E688" s="7" t="n">
        <v>1</v>
      </c>
      <c r="F688" s="7" t="s">
        <v>5998</v>
      </c>
      <c r="G688" s="12" t="n">
        <f aca="false">IFERROR(INDEX('Semrush Data'!$A$1:$Z$20000,MATCH(A688,'Semrush Data'!$A$1:$A$20000,0),MATCH("Volume",'Semrush Data'!$A$1:$Z$1,0)),"")</f>
        <v>0</v>
      </c>
      <c r="H688" s="7" t="n">
        <f aca="false">IFERROR(INDEX('Semrush Data'!$A$1:$Z$20000,MATCH(A688,'Semrush Data'!$A$1:$A$20000,0),MATCH("Keyword Difficulty*",'Semrush Data'!$A$1:$Z$1,0)),"")</f>
        <v>7</v>
      </c>
      <c r="I688" s="13" t="n">
        <f aca="false">IFERROR(INDEX('Semrush Data'!$A$1:$Z$20000,MATCH(A688,'Semrush Data'!$A$1:$A$20000,0),MATCH("CPC*",'Semrush Data'!$A$1:$Z$1,0)),"")</f>
        <v>0</v>
      </c>
      <c r="J688" s="7" t="str">
        <f aca="false">IFERROR(INDEX('Semrush Data'!$A$1:$Z$20000,MATCH(A688,'Semrush Data'!$A$1:$A$20000,0),MATCH("Intent",'Semrush Data'!$A$1:$Z$1,0)),"")</f>
        <v>Informational</v>
      </c>
    </row>
    <row r="689" customFormat="false" ht="15" hidden="false" customHeight="true" outlineLevel="0" collapsed="false">
      <c r="A689" s="7" t="s">
        <v>6011</v>
      </c>
      <c r="B689" s="7" t="s">
        <v>38</v>
      </c>
      <c r="C689" s="7" t="n">
        <v>1</v>
      </c>
      <c r="D689" s="7" t="n">
        <v>7</v>
      </c>
      <c r="E689" s="7" t="n">
        <v>1</v>
      </c>
      <c r="F689" s="7" t="s">
        <v>6009</v>
      </c>
      <c r="G689" s="12" t="n">
        <f aca="false">IFERROR(INDEX('Semrush Data'!$A$1:$Z$20000,MATCH(A689,'Semrush Data'!$A$1:$A$20000,0),MATCH("Volume",'Semrush Data'!$A$1:$Z$1,0)),"")</f>
        <v>20</v>
      </c>
      <c r="H689" s="7" t="n">
        <f aca="false">IFERROR(INDEX('Semrush Data'!$A$1:$Z$20000,MATCH(A689,'Semrush Data'!$A$1:$A$20000,0),MATCH("Keyword Difficulty*",'Semrush Data'!$A$1:$Z$1,0)),"")</f>
        <v>8</v>
      </c>
      <c r="I689" s="13" t="n">
        <f aca="false">IFERROR(INDEX('Semrush Data'!$A$1:$Z$20000,MATCH(A689,'Semrush Data'!$A$1:$A$20000,0),MATCH("CPC*",'Semrush Data'!$A$1:$Z$1,0)),"")</f>
        <v>0</v>
      </c>
      <c r="J689" s="7" t="str">
        <f aca="false">IFERROR(INDEX('Semrush Data'!$A$1:$Z$20000,MATCH(A689,'Semrush Data'!$A$1:$A$20000,0),MATCH("Intent",'Semrush Data'!$A$1:$Z$1,0)),"")</f>
        <v>Informational</v>
      </c>
    </row>
    <row r="690" customFormat="false" ht="15" hidden="false" customHeight="true" outlineLevel="0" collapsed="false">
      <c r="A690" s="7" t="s">
        <v>6022</v>
      </c>
      <c r="B690" s="7" t="s">
        <v>38</v>
      </c>
      <c r="C690" s="7" t="n">
        <v>1</v>
      </c>
      <c r="D690" s="7" t="n">
        <v>7</v>
      </c>
      <c r="E690" s="7" t="n">
        <v>1</v>
      </c>
      <c r="F690" s="7" t="s">
        <v>6020</v>
      </c>
      <c r="G690" s="12" t="n">
        <f aca="false">IFERROR(INDEX('Semrush Data'!$A$1:$Z$20000,MATCH(A690,'Semrush Data'!$A$1:$A$20000,0),MATCH("Volume",'Semrush Data'!$A$1:$Z$1,0)),"")</f>
        <v>20</v>
      </c>
      <c r="H690" s="7" t="n">
        <f aca="false">IFERROR(INDEX('Semrush Data'!$A$1:$Z$20000,MATCH(A690,'Semrush Data'!$A$1:$A$20000,0),MATCH("Keyword Difficulty*",'Semrush Data'!$A$1:$Z$1,0)),"")</f>
        <v>13</v>
      </c>
      <c r="I690" s="13" t="n">
        <f aca="false">IFERROR(INDEX('Semrush Data'!$A$1:$Z$20000,MATCH(A690,'Semrush Data'!$A$1:$A$20000,0),MATCH("CPC*",'Semrush Data'!$A$1:$Z$1,0)),"")</f>
        <v>0</v>
      </c>
      <c r="J690" s="7" t="str">
        <f aca="false">IFERROR(INDEX('Semrush Data'!$A$1:$Z$20000,MATCH(A690,'Semrush Data'!$A$1:$A$20000,0),MATCH("Intent",'Semrush Data'!$A$1:$Z$1,0)),"")</f>
        <v>Informational</v>
      </c>
    </row>
    <row r="691" customFormat="false" ht="15" hidden="false" customHeight="true" outlineLevel="0" collapsed="false">
      <c r="A691" s="7" t="s">
        <v>6033</v>
      </c>
      <c r="B691" s="7" t="s">
        <v>38</v>
      </c>
      <c r="C691" s="7" t="n">
        <v>1</v>
      </c>
      <c r="D691" s="7" t="n">
        <v>7</v>
      </c>
      <c r="E691" s="7" t="n">
        <v>1</v>
      </c>
      <c r="F691" s="7" t="s">
        <v>6031</v>
      </c>
      <c r="G691" s="12" t="n">
        <f aca="false">IFERROR(INDEX('Semrush Data'!$A$1:$Z$20000,MATCH(A691,'Semrush Data'!$A$1:$A$20000,0),MATCH("Volume",'Semrush Data'!$A$1:$Z$1,0)),"")</f>
        <v>20</v>
      </c>
      <c r="H691" s="7" t="n">
        <f aca="false">IFERROR(INDEX('Semrush Data'!$A$1:$Z$20000,MATCH(A691,'Semrush Data'!$A$1:$A$20000,0),MATCH("Keyword Difficulty*",'Semrush Data'!$A$1:$Z$1,0)),"")</f>
        <v>6</v>
      </c>
      <c r="I691" s="13" t="n">
        <f aca="false">IFERROR(INDEX('Semrush Data'!$A$1:$Z$20000,MATCH(A691,'Semrush Data'!$A$1:$A$20000,0),MATCH("CPC*",'Semrush Data'!$A$1:$Z$1,0)),"")</f>
        <v>0</v>
      </c>
      <c r="J691" s="7" t="str">
        <f aca="false">IFERROR(INDEX('Semrush Data'!$A$1:$Z$20000,MATCH(A691,'Semrush Data'!$A$1:$A$20000,0),MATCH("Intent",'Semrush Data'!$A$1:$Z$1,0)),"")</f>
        <v>Informational</v>
      </c>
    </row>
    <row r="692" customFormat="false" ht="15" hidden="false" customHeight="true" outlineLevel="0" collapsed="false">
      <c r="A692" s="7" t="s">
        <v>6044</v>
      </c>
      <c r="B692" s="7" t="s">
        <v>38</v>
      </c>
      <c r="C692" s="7" t="n">
        <v>1</v>
      </c>
      <c r="D692" s="7" t="n">
        <v>7</v>
      </c>
      <c r="E692" s="7" t="n">
        <v>1</v>
      </c>
      <c r="F692" s="7" t="s">
        <v>6042</v>
      </c>
      <c r="G692" s="12" t="n">
        <f aca="false">IFERROR(INDEX('Semrush Data'!$A$1:$Z$20000,MATCH(A692,'Semrush Data'!$A$1:$A$20000,0),MATCH("Volume",'Semrush Data'!$A$1:$Z$1,0)),"")</f>
        <v>0</v>
      </c>
      <c r="H692" s="7" t="n">
        <f aca="false">IFERROR(INDEX('Semrush Data'!$A$1:$Z$20000,MATCH(A692,'Semrush Data'!$A$1:$A$20000,0),MATCH("Keyword Difficulty*",'Semrush Data'!$A$1:$Z$1,0)),"")</f>
        <v>16</v>
      </c>
      <c r="I692" s="13" t="n">
        <f aca="false">IFERROR(INDEX('Semrush Data'!$A$1:$Z$20000,MATCH(A692,'Semrush Data'!$A$1:$A$20000,0),MATCH("CPC*",'Semrush Data'!$A$1:$Z$1,0)),"")</f>
        <v>0</v>
      </c>
      <c r="J692" s="7" t="str">
        <f aca="false">IFERROR(INDEX('Semrush Data'!$A$1:$Z$20000,MATCH(A692,'Semrush Data'!$A$1:$A$20000,0),MATCH("Intent",'Semrush Data'!$A$1:$Z$1,0)),"")</f>
        <v>Informational</v>
      </c>
    </row>
    <row r="693" customFormat="false" ht="15" hidden="false" customHeight="true" outlineLevel="0" collapsed="false">
      <c r="A693" s="7" t="s">
        <v>6055</v>
      </c>
      <c r="B693" s="7" t="s">
        <v>38</v>
      </c>
      <c r="C693" s="7" t="n">
        <v>1</v>
      </c>
      <c r="D693" s="7" t="n">
        <v>7</v>
      </c>
      <c r="E693" s="7" t="n">
        <v>1</v>
      </c>
      <c r="F693" s="7" t="s">
        <v>6053</v>
      </c>
      <c r="G693" s="12" t="n">
        <f aca="false">IFERROR(INDEX('Semrush Data'!$A$1:$Z$20000,MATCH(A693,'Semrush Data'!$A$1:$A$20000,0),MATCH("Volume",'Semrush Data'!$A$1:$Z$1,0)),"")</f>
        <v>20</v>
      </c>
      <c r="H693" s="7" t="n">
        <f aca="false">IFERROR(INDEX('Semrush Data'!$A$1:$Z$20000,MATCH(A693,'Semrush Data'!$A$1:$A$20000,0),MATCH("Keyword Difficulty*",'Semrush Data'!$A$1:$Z$1,0)),"")</f>
        <v>7</v>
      </c>
      <c r="I693" s="13" t="n">
        <f aca="false">IFERROR(INDEX('Semrush Data'!$A$1:$Z$20000,MATCH(A693,'Semrush Data'!$A$1:$A$20000,0),MATCH("CPC*",'Semrush Data'!$A$1:$Z$1,0)),"")</f>
        <v>0</v>
      </c>
      <c r="J693" s="7" t="str">
        <f aca="false">IFERROR(INDEX('Semrush Data'!$A$1:$Z$20000,MATCH(A693,'Semrush Data'!$A$1:$A$20000,0),MATCH("Intent",'Semrush Data'!$A$1:$Z$1,0)),"")</f>
        <v>Informational</v>
      </c>
    </row>
    <row r="694" customFormat="false" ht="15" hidden="false" customHeight="true" outlineLevel="0" collapsed="false">
      <c r="A694" s="7" t="s">
        <v>6066</v>
      </c>
      <c r="B694" s="7" t="s">
        <v>38</v>
      </c>
      <c r="C694" s="7" t="n">
        <v>1</v>
      </c>
      <c r="D694" s="7" t="n">
        <v>7</v>
      </c>
      <c r="E694" s="7" t="n">
        <v>1</v>
      </c>
      <c r="F694" s="7" t="s">
        <v>6064</v>
      </c>
      <c r="G694" s="12" t="n">
        <f aca="false">IFERROR(INDEX('Semrush Data'!$A$1:$Z$20000,MATCH(A694,'Semrush Data'!$A$1:$A$20000,0),MATCH("Volume",'Semrush Data'!$A$1:$Z$1,0)),"")</f>
        <v>20</v>
      </c>
      <c r="H694" s="7" t="n">
        <f aca="false">IFERROR(INDEX('Semrush Data'!$A$1:$Z$20000,MATCH(A694,'Semrush Data'!$A$1:$A$20000,0),MATCH("Keyword Difficulty*",'Semrush Data'!$A$1:$Z$1,0)),"")</f>
        <v>18</v>
      </c>
      <c r="I694" s="13" t="n">
        <f aca="false">IFERROR(INDEX('Semrush Data'!$A$1:$Z$20000,MATCH(A694,'Semrush Data'!$A$1:$A$20000,0),MATCH("CPC*",'Semrush Data'!$A$1:$Z$1,0)),"")</f>
        <v>0</v>
      </c>
      <c r="J694" s="7" t="str">
        <f aca="false">IFERROR(INDEX('Semrush Data'!$A$1:$Z$20000,MATCH(A694,'Semrush Data'!$A$1:$A$20000,0),MATCH("Intent",'Semrush Data'!$A$1:$Z$1,0)),"")</f>
        <v>Navigational</v>
      </c>
    </row>
    <row r="695" customFormat="false" ht="15" hidden="false" customHeight="true" outlineLevel="0" collapsed="false">
      <c r="A695" s="7" t="s">
        <v>6078</v>
      </c>
      <c r="B695" s="7" t="s">
        <v>38</v>
      </c>
      <c r="C695" s="7" t="n">
        <v>1</v>
      </c>
      <c r="D695" s="7" t="n">
        <v>7</v>
      </c>
      <c r="E695" s="7" t="n">
        <v>1</v>
      </c>
      <c r="F695" s="7" t="s">
        <v>6075</v>
      </c>
      <c r="G695" s="12" t="n">
        <f aca="false">IFERROR(INDEX('Semrush Data'!$A$1:$Z$20000,MATCH(A695,'Semrush Data'!$A$1:$A$20000,0),MATCH("Volume",'Semrush Data'!$A$1:$Z$1,0)),"")</f>
        <v>20</v>
      </c>
      <c r="H695" s="7" t="n">
        <f aca="false">IFERROR(INDEX('Semrush Data'!$A$1:$Z$20000,MATCH(A695,'Semrush Data'!$A$1:$A$20000,0),MATCH("Keyword Difficulty*",'Semrush Data'!$A$1:$Z$1,0)),"")</f>
        <v>12</v>
      </c>
      <c r="I695" s="13" t="n">
        <f aca="false">IFERROR(INDEX('Semrush Data'!$A$1:$Z$20000,MATCH(A695,'Semrush Data'!$A$1:$A$20000,0),MATCH("CPC*",'Semrush Data'!$A$1:$Z$1,0)),"")</f>
        <v>0</v>
      </c>
      <c r="J695" s="7" t="str">
        <f aca="false">IFERROR(INDEX('Semrush Data'!$A$1:$Z$20000,MATCH(A695,'Semrush Data'!$A$1:$A$20000,0),MATCH("Intent",'Semrush Data'!$A$1:$Z$1,0)),"")</f>
        <v>Informational</v>
      </c>
    </row>
    <row r="696" customFormat="false" ht="15" hidden="false" customHeight="true" outlineLevel="0" collapsed="false">
      <c r="A696" s="7" t="s">
        <v>6090</v>
      </c>
      <c r="B696" s="7" t="s">
        <v>38</v>
      </c>
      <c r="C696" s="7" t="n">
        <v>1</v>
      </c>
      <c r="D696" s="7" t="n">
        <v>7</v>
      </c>
      <c r="E696" s="7" t="n">
        <v>1</v>
      </c>
      <c r="F696" s="7" t="s">
        <v>6088</v>
      </c>
      <c r="G696" s="12" t="n">
        <f aca="false">IFERROR(INDEX('Semrush Data'!$A$1:$Z$20000,MATCH(A696,'Semrush Data'!$A$1:$A$20000,0),MATCH("Volume",'Semrush Data'!$A$1:$Z$1,0)),"")</f>
        <v>90</v>
      </c>
      <c r="H696" s="7" t="n">
        <f aca="false">IFERROR(INDEX('Semrush Data'!$A$1:$Z$20000,MATCH(A696,'Semrush Data'!$A$1:$A$20000,0),MATCH("Keyword Difficulty*",'Semrush Data'!$A$1:$Z$1,0)),"")</f>
        <v>19</v>
      </c>
      <c r="I696" s="13" t="n">
        <f aca="false">IFERROR(INDEX('Semrush Data'!$A$1:$Z$20000,MATCH(A696,'Semrush Data'!$A$1:$A$20000,0),MATCH("CPC*",'Semrush Data'!$A$1:$Z$1,0)),"")</f>
        <v>0.55</v>
      </c>
      <c r="J696" s="7" t="str">
        <f aca="false">IFERROR(INDEX('Semrush Data'!$A$1:$Z$20000,MATCH(A696,'Semrush Data'!$A$1:$A$20000,0),MATCH("Intent",'Semrush Data'!$A$1:$Z$1,0)),"")</f>
        <v>Informational</v>
      </c>
    </row>
    <row r="697" customFormat="false" ht="15" hidden="false" customHeight="true" outlineLevel="0" collapsed="false">
      <c r="A697" s="7" t="s">
        <v>6101</v>
      </c>
      <c r="B697" s="7" t="s">
        <v>38</v>
      </c>
      <c r="C697" s="7" t="n">
        <v>1</v>
      </c>
      <c r="D697" s="7" t="n">
        <v>7</v>
      </c>
      <c r="E697" s="7" t="n">
        <v>1</v>
      </c>
      <c r="F697" s="7" t="s">
        <v>6099</v>
      </c>
      <c r="G697" s="12" t="n">
        <f aca="false">IFERROR(INDEX('Semrush Data'!$A$1:$Z$20000,MATCH(A697,'Semrush Data'!$A$1:$A$20000,0),MATCH("Volume",'Semrush Data'!$A$1:$Z$1,0)),"")</f>
        <v>0</v>
      </c>
      <c r="H697" s="7" t="n">
        <f aca="false">IFERROR(INDEX('Semrush Data'!$A$1:$Z$20000,MATCH(A697,'Semrush Data'!$A$1:$A$20000,0),MATCH("Keyword Difficulty*",'Semrush Data'!$A$1:$Z$1,0)),"")</f>
        <v>13</v>
      </c>
      <c r="I697" s="13" t="n">
        <f aca="false">IFERROR(INDEX('Semrush Data'!$A$1:$Z$20000,MATCH(A697,'Semrush Data'!$A$1:$A$20000,0),MATCH("CPC*",'Semrush Data'!$A$1:$Z$1,0)),"")</f>
        <v>0</v>
      </c>
      <c r="J697" s="7" t="str">
        <f aca="false">IFERROR(INDEX('Semrush Data'!$A$1:$Z$20000,MATCH(A697,'Semrush Data'!$A$1:$A$20000,0),MATCH("Intent",'Semrush Data'!$A$1:$Z$1,0)),"")</f>
        <v>Informational</v>
      </c>
    </row>
    <row r="698" customFormat="false" ht="15" hidden="false" customHeight="true" outlineLevel="0" collapsed="false">
      <c r="A698" s="7" t="s">
        <v>6111</v>
      </c>
      <c r="B698" s="7" t="s">
        <v>38</v>
      </c>
      <c r="C698" s="7" t="n">
        <v>1</v>
      </c>
      <c r="D698" s="7" t="n">
        <v>7</v>
      </c>
      <c r="E698" s="7" t="n">
        <v>2</v>
      </c>
      <c r="F698" s="7" t="s">
        <v>6809</v>
      </c>
      <c r="G698" s="12" t="n">
        <f aca="false">IFERROR(INDEX('Semrush Data'!$A$1:$Z$20000,MATCH(A698,'Semrush Data'!$A$1:$A$20000,0),MATCH("Volume",'Semrush Data'!$A$1:$Z$1,0)),"")</f>
        <v>20</v>
      </c>
      <c r="H698" s="7" t="n">
        <f aca="false">IFERROR(INDEX('Semrush Data'!$A$1:$Z$20000,MATCH(A698,'Semrush Data'!$A$1:$A$20000,0),MATCH("Keyword Difficulty*",'Semrush Data'!$A$1:$Z$1,0)),"")</f>
        <v>18</v>
      </c>
      <c r="I698" s="13" t="n">
        <f aca="false">IFERROR(INDEX('Semrush Data'!$A$1:$Z$20000,MATCH(A698,'Semrush Data'!$A$1:$A$20000,0),MATCH("CPC*",'Semrush Data'!$A$1:$Z$1,0)),"")</f>
        <v>0</v>
      </c>
      <c r="J698" s="7" t="str">
        <f aca="false">IFERROR(INDEX('Semrush Data'!$A$1:$Z$20000,MATCH(A698,'Semrush Data'!$A$1:$A$20000,0),MATCH("Intent",'Semrush Data'!$A$1:$Z$1,0)),"")</f>
        <v>Informational</v>
      </c>
    </row>
    <row r="699" customFormat="false" ht="15" hidden="false" customHeight="true" outlineLevel="0" collapsed="false">
      <c r="A699" s="7" t="s">
        <v>6126</v>
      </c>
      <c r="B699" s="7" t="s">
        <v>38</v>
      </c>
      <c r="C699" s="7" t="n">
        <v>1</v>
      </c>
      <c r="D699" s="7" t="n">
        <v>7</v>
      </c>
      <c r="E699" s="7" t="n">
        <v>1</v>
      </c>
      <c r="F699" s="7" t="s">
        <v>6124</v>
      </c>
      <c r="G699" s="12" t="n">
        <f aca="false">IFERROR(INDEX('Semrush Data'!$A$1:$Z$20000,MATCH(A699,'Semrush Data'!$A$1:$A$20000,0),MATCH("Volume",'Semrush Data'!$A$1:$Z$1,0)),"")</f>
        <v>0</v>
      </c>
      <c r="H699" s="7" t="n">
        <f aca="false">IFERROR(INDEX('Semrush Data'!$A$1:$Z$20000,MATCH(A699,'Semrush Data'!$A$1:$A$20000,0),MATCH("Keyword Difficulty*",'Semrush Data'!$A$1:$Z$1,0)),"")</f>
        <v>25</v>
      </c>
      <c r="I699" s="13" t="n">
        <f aca="false">IFERROR(INDEX('Semrush Data'!$A$1:$Z$20000,MATCH(A699,'Semrush Data'!$A$1:$A$20000,0),MATCH("CPC*",'Semrush Data'!$A$1:$Z$1,0)),"")</f>
        <v>0</v>
      </c>
      <c r="J699" s="7" t="str">
        <f aca="false">IFERROR(INDEX('Semrush Data'!$A$1:$Z$20000,MATCH(A699,'Semrush Data'!$A$1:$A$20000,0),MATCH("Intent",'Semrush Data'!$A$1:$Z$1,0)),"")</f>
        <v>Transactional Navigational</v>
      </c>
    </row>
    <row r="700" customFormat="false" ht="15" hidden="false" customHeight="true" outlineLevel="0" collapsed="false">
      <c r="A700" s="7" t="s">
        <v>6136</v>
      </c>
      <c r="B700" s="7" t="s">
        <v>38</v>
      </c>
      <c r="C700" s="7" t="n">
        <v>1</v>
      </c>
      <c r="D700" s="7" t="n">
        <v>7</v>
      </c>
      <c r="E700" s="7" t="n">
        <v>1</v>
      </c>
      <c r="F700" s="7" t="s">
        <v>6134</v>
      </c>
      <c r="G700" s="12" t="n">
        <f aca="false">IFERROR(INDEX('Semrush Data'!$A$1:$Z$20000,MATCH(A700,'Semrush Data'!$A$1:$A$20000,0),MATCH("Volume",'Semrush Data'!$A$1:$Z$1,0)),"")</f>
        <v>20</v>
      </c>
      <c r="H700" s="7" t="n">
        <f aca="false">IFERROR(INDEX('Semrush Data'!$A$1:$Z$20000,MATCH(A700,'Semrush Data'!$A$1:$A$20000,0),MATCH("Keyword Difficulty*",'Semrush Data'!$A$1:$Z$1,0)),"")</f>
        <v>9</v>
      </c>
      <c r="I700" s="13" t="n">
        <f aca="false">IFERROR(INDEX('Semrush Data'!$A$1:$Z$20000,MATCH(A700,'Semrush Data'!$A$1:$A$20000,0),MATCH("CPC*",'Semrush Data'!$A$1:$Z$1,0)),"")</f>
        <v>0</v>
      </c>
      <c r="J700" s="7" t="str">
        <f aca="false">IFERROR(INDEX('Semrush Data'!$A$1:$Z$20000,MATCH(A700,'Semrush Data'!$A$1:$A$20000,0),MATCH("Intent",'Semrush Data'!$A$1:$Z$1,0)),"")</f>
        <v>Commercial</v>
      </c>
    </row>
    <row r="701" customFormat="false" ht="15" hidden="false" customHeight="true" outlineLevel="0" collapsed="false">
      <c r="A701" s="7" t="s">
        <v>6147</v>
      </c>
      <c r="B701" s="7" t="s">
        <v>38</v>
      </c>
      <c r="C701" s="7" t="n">
        <v>1</v>
      </c>
      <c r="D701" s="7" t="n">
        <v>7</v>
      </c>
      <c r="E701" s="7" t="n">
        <v>1</v>
      </c>
      <c r="F701" s="7" t="s">
        <v>6145</v>
      </c>
      <c r="G701" s="12" t="n">
        <f aca="false">IFERROR(INDEX('Semrush Data'!$A$1:$Z$20000,MATCH(A701,'Semrush Data'!$A$1:$A$20000,0),MATCH("Volume",'Semrush Data'!$A$1:$Z$1,0)),"")</f>
        <v>20</v>
      </c>
      <c r="H701" s="7" t="n">
        <f aca="false">IFERROR(INDEX('Semrush Data'!$A$1:$Z$20000,MATCH(A701,'Semrush Data'!$A$1:$A$20000,0),MATCH("Keyword Difficulty*",'Semrush Data'!$A$1:$Z$1,0)),"")</f>
        <v>9</v>
      </c>
      <c r="I701" s="13" t="n">
        <f aca="false">IFERROR(INDEX('Semrush Data'!$A$1:$Z$20000,MATCH(A701,'Semrush Data'!$A$1:$A$20000,0),MATCH("CPC*",'Semrush Data'!$A$1:$Z$1,0)),"")</f>
        <v>0</v>
      </c>
      <c r="J701" s="7" t="str">
        <f aca="false">IFERROR(INDEX('Semrush Data'!$A$1:$Z$20000,MATCH(A701,'Semrush Data'!$A$1:$A$20000,0),MATCH("Intent",'Semrush Data'!$A$1:$Z$1,0)),"")</f>
        <v>Informational</v>
      </c>
    </row>
    <row r="702" customFormat="false" ht="15" hidden="false" customHeight="true" outlineLevel="0" collapsed="false">
      <c r="A702" s="7" t="s">
        <v>6157</v>
      </c>
      <c r="B702" s="7" t="s">
        <v>38</v>
      </c>
      <c r="C702" s="7" t="n">
        <v>1</v>
      </c>
      <c r="D702" s="7" t="n">
        <v>8</v>
      </c>
      <c r="E702" s="7" t="n">
        <v>1</v>
      </c>
      <c r="F702" s="7" t="s">
        <v>6155</v>
      </c>
      <c r="G702" s="12" t="n">
        <f aca="false">IFERROR(INDEX('Semrush Data'!$A$1:$Z$20000,MATCH(A702,'Semrush Data'!$A$1:$A$20000,0),MATCH("Volume",'Semrush Data'!$A$1:$Z$1,0)),"")</f>
        <v>10</v>
      </c>
      <c r="H702" s="7" t="n">
        <f aca="false">IFERROR(INDEX('Semrush Data'!$A$1:$Z$20000,MATCH(A702,'Semrush Data'!$A$1:$A$20000,0),MATCH("Keyword Difficulty*",'Semrush Data'!$A$1:$Z$1,0)),"")</f>
        <v>12</v>
      </c>
      <c r="I702" s="13" t="n">
        <f aca="false">IFERROR(INDEX('Semrush Data'!$A$1:$Z$20000,MATCH(A702,'Semrush Data'!$A$1:$A$20000,0),MATCH("CPC*",'Semrush Data'!$A$1:$Z$1,0)),"")</f>
        <v>0</v>
      </c>
      <c r="J702" s="7" t="str">
        <f aca="false">IFERROR(INDEX('Semrush Data'!$A$1:$Z$20000,MATCH(A702,'Semrush Data'!$A$1:$A$20000,0),MATCH("Intent",'Semrush Data'!$A$1:$Z$1,0)),"")</f>
        <v>Transactional</v>
      </c>
    </row>
    <row r="703" customFormat="false" ht="15" hidden="false" customHeight="true" outlineLevel="0" collapsed="false">
      <c r="A703" s="7" t="s">
        <v>6168</v>
      </c>
      <c r="B703" s="7" t="s">
        <v>38</v>
      </c>
      <c r="C703" s="7" t="n">
        <v>1</v>
      </c>
      <c r="D703" s="7" t="n">
        <v>8</v>
      </c>
      <c r="E703" s="7" t="n">
        <v>1</v>
      </c>
      <c r="F703" s="7" t="s">
        <v>6166</v>
      </c>
      <c r="G703" s="12" t="n">
        <f aca="false">IFERROR(INDEX('Semrush Data'!$A$1:$Z$20000,MATCH(A703,'Semrush Data'!$A$1:$A$20000,0),MATCH("Volume",'Semrush Data'!$A$1:$Z$1,0)),"")</f>
        <v>90</v>
      </c>
      <c r="H703" s="7" t="n">
        <f aca="false">IFERROR(INDEX('Semrush Data'!$A$1:$Z$20000,MATCH(A703,'Semrush Data'!$A$1:$A$20000,0),MATCH("Keyword Difficulty*",'Semrush Data'!$A$1:$Z$1,0)),"")</f>
        <v>15</v>
      </c>
      <c r="I703" s="13" t="n">
        <f aca="false">IFERROR(INDEX('Semrush Data'!$A$1:$Z$20000,MATCH(A703,'Semrush Data'!$A$1:$A$20000,0),MATCH("CPC*",'Semrush Data'!$A$1:$Z$1,0)),"")</f>
        <v>0.61</v>
      </c>
      <c r="J703" s="7" t="str">
        <f aca="false">IFERROR(INDEX('Semrush Data'!$A$1:$Z$20000,MATCH(A703,'Semrush Data'!$A$1:$A$20000,0),MATCH("Intent",'Semrush Data'!$A$1:$Z$1,0)),"")</f>
        <v>Informational</v>
      </c>
    </row>
    <row r="704" customFormat="false" ht="15" hidden="false" customHeight="true" outlineLevel="0" collapsed="false">
      <c r="A704" s="7" t="s">
        <v>6179</v>
      </c>
      <c r="B704" s="7" t="s">
        <v>38</v>
      </c>
      <c r="C704" s="7" t="n">
        <v>1</v>
      </c>
      <c r="D704" s="7" t="n">
        <v>8</v>
      </c>
      <c r="E704" s="7" t="n">
        <v>1</v>
      </c>
      <c r="F704" s="7" t="s">
        <v>6177</v>
      </c>
      <c r="G704" s="12" t="n">
        <f aca="false">IFERROR(INDEX('Semrush Data'!$A$1:$Z$20000,MATCH(A704,'Semrush Data'!$A$1:$A$20000,0),MATCH("Volume",'Semrush Data'!$A$1:$Z$1,0)),"")</f>
        <v>20</v>
      </c>
      <c r="H704" s="7" t="n">
        <f aca="false">IFERROR(INDEX('Semrush Data'!$A$1:$Z$20000,MATCH(A704,'Semrush Data'!$A$1:$A$20000,0),MATCH("Keyword Difficulty*",'Semrush Data'!$A$1:$Z$1,0)),"")</f>
        <v>12</v>
      </c>
      <c r="I704" s="13" t="n">
        <f aca="false">IFERROR(INDEX('Semrush Data'!$A$1:$Z$20000,MATCH(A704,'Semrush Data'!$A$1:$A$20000,0),MATCH("CPC*",'Semrush Data'!$A$1:$Z$1,0)),"")</f>
        <v>0</v>
      </c>
      <c r="J704" s="7" t="str">
        <f aca="false">IFERROR(INDEX('Semrush Data'!$A$1:$Z$20000,MATCH(A704,'Semrush Data'!$A$1:$A$20000,0),MATCH("Intent",'Semrush Data'!$A$1:$Z$1,0)),"")</f>
        <v>Transactional Navigational</v>
      </c>
    </row>
    <row r="705" customFormat="false" ht="15" hidden="false" customHeight="true" outlineLevel="0" collapsed="false">
      <c r="A705" s="7" t="s">
        <v>6190</v>
      </c>
      <c r="B705" s="7" t="s">
        <v>38</v>
      </c>
      <c r="C705" s="7" t="n">
        <v>1</v>
      </c>
      <c r="D705" s="7" t="n">
        <v>8</v>
      </c>
      <c r="E705" s="7" t="n">
        <v>1</v>
      </c>
      <c r="F705" s="7" t="s">
        <v>6188</v>
      </c>
      <c r="G705" s="12" t="n">
        <f aca="false">IFERROR(INDEX('Semrush Data'!$A$1:$Z$20000,MATCH(A705,'Semrush Data'!$A$1:$A$20000,0),MATCH("Volume",'Semrush Data'!$A$1:$Z$1,0)),"")</f>
        <v>20</v>
      </c>
      <c r="H705" s="7" t="n">
        <f aca="false">IFERROR(INDEX('Semrush Data'!$A$1:$Z$20000,MATCH(A705,'Semrush Data'!$A$1:$A$20000,0),MATCH("Keyword Difficulty*",'Semrush Data'!$A$1:$Z$1,0)),"")</f>
        <v>10</v>
      </c>
      <c r="I705" s="13" t="n">
        <f aca="false">IFERROR(INDEX('Semrush Data'!$A$1:$Z$20000,MATCH(A705,'Semrush Data'!$A$1:$A$20000,0),MATCH("CPC*",'Semrush Data'!$A$1:$Z$1,0)),"")</f>
        <v>0</v>
      </c>
      <c r="J705" s="7" t="str">
        <f aca="false">IFERROR(INDEX('Semrush Data'!$A$1:$Z$20000,MATCH(A705,'Semrush Data'!$A$1:$A$20000,0),MATCH("Intent",'Semrush Data'!$A$1:$Z$1,0)),"")</f>
        <v>Informational</v>
      </c>
    </row>
    <row r="706" customFormat="false" ht="15" hidden="false" customHeight="true" outlineLevel="0" collapsed="false">
      <c r="A706" s="7" t="s">
        <v>6199</v>
      </c>
      <c r="B706" s="7" t="s">
        <v>38</v>
      </c>
      <c r="C706" s="7" t="n">
        <v>1</v>
      </c>
      <c r="D706" s="7" t="n">
        <v>8</v>
      </c>
      <c r="E706" s="7" t="n">
        <v>1</v>
      </c>
      <c r="F706" s="7" t="s">
        <v>102</v>
      </c>
      <c r="G706" s="12" t="n">
        <f aca="false">IFERROR(INDEX('Semrush Data'!$A$1:$Z$20000,MATCH(A706,'Semrush Data'!$A$1:$A$20000,0),MATCH("Volume",'Semrush Data'!$A$1:$Z$1,0)),"")</f>
        <v>720</v>
      </c>
      <c r="H706" s="7" t="n">
        <f aca="false">IFERROR(INDEX('Semrush Data'!$A$1:$Z$20000,MATCH(A706,'Semrush Data'!$A$1:$A$20000,0),MATCH("Keyword Difficulty*",'Semrush Data'!$A$1:$Z$1,0)),"")</f>
        <v>19</v>
      </c>
      <c r="I706" s="13" t="n">
        <f aca="false">IFERROR(INDEX('Semrush Data'!$A$1:$Z$20000,MATCH(A706,'Semrush Data'!$A$1:$A$20000,0),MATCH("CPC*",'Semrush Data'!$A$1:$Z$1,0)),"")</f>
        <v>0.52</v>
      </c>
      <c r="J706" s="7" t="str">
        <f aca="false">IFERROR(INDEX('Semrush Data'!$A$1:$Z$20000,MATCH(A706,'Semrush Data'!$A$1:$A$20000,0),MATCH("Intent",'Semrush Data'!$A$1:$Z$1,0)),"")</f>
        <v>Informational Transactional</v>
      </c>
    </row>
    <row r="707" customFormat="false" ht="15" hidden="false" customHeight="true" outlineLevel="0" collapsed="false">
      <c r="A707" s="7" t="s">
        <v>6211</v>
      </c>
      <c r="B707" s="7" t="s">
        <v>38</v>
      </c>
      <c r="C707" s="7" t="n">
        <v>1</v>
      </c>
      <c r="D707" s="7" t="n">
        <v>8</v>
      </c>
      <c r="E707" s="7" t="n">
        <v>1</v>
      </c>
      <c r="F707" s="7" t="s">
        <v>6209</v>
      </c>
      <c r="G707" s="12" t="n">
        <f aca="false">IFERROR(INDEX('Semrush Data'!$A$1:$Z$20000,MATCH(A707,'Semrush Data'!$A$1:$A$20000,0),MATCH("Volume",'Semrush Data'!$A$1:$Z$1,0)),"")</f>
        <v>20</v>
      </c>
      <c r="H707" s="7" t="n">
        <f aca="false">IFERROR(INDEX('Semrush Data'!$A$1:$Z$20000,MATCH(A707,'Semrush Data'!$A$1:$A$20000,0),MATCH("Keyword Difficulty*",'Semrush Data'!$A$1:$Z$1,0)),"")</f>
        <v>12</v>
      </c>
      <c r="I707" s="13" t="n">
        <f aca="false">IFERROR(INDEX('Semrush Data'!$A$1:$Z$20000,MATCH(A707,'Semrush Data'!$A$1:$A$20000,0),MATCH("CPC*",'Semrush Data'!$A$1:$Z$1,0)),"")</f>
        <v>0</v>
      </c>
      <c r="J707" s="7" t="str">
        <f aca="false">IFERROR(INDEX('Semrush Data'!$A$1:$Z$20000,MATCH(A707,'Semrush Data'!$A$1:$A$20000,0),MATCH("Intent",'Semrush Data'!$A$1:$Z$1,0)),"")</f>
        <v>Informational</v>
      </c>
    </row>
    <row r="708" customFormat="false" ht="15" hidden="false" customHeight="true" outlineLevel="0" collapsed="false">
      <c r="A708" s="7" t="s">
        <v>6222</v>
      </c>
      <c r="B708" s="7" t="s">
        <v>38</v>
      </c>
      <c r="C708" s="7" t="n">
        <v>1</v>
      </c>
      <c r="D708" s="7" t="n">
        <v>8</v>
      </c>
      <c r="E708" s="7" t="n">
        <v>1</v>
      </c>
      <c r="F708" s="7" t="s">
        <v>6220</v>
      </c>
      <c r="G708" s="12" t="n">
        <f aca="false">IFERROR(INDEX('Semrush Data'!$A$1:$Z$20000,MATCH(A708,'Semrush Data'!$A$1:$A$20000,0),MATCH("Volume",'Semrush Data'!$A$1:$Z$1,0)),"")</f>
        <v>20</v>
      </c>
      <c r="H708" s="7" t="n">
        <f aca="false">IFERROR(INDEX('Semrush Data'!$A$1:$Z$20000,MATCH(A708,'Semrush Data'!$A$1:$A$20000,0),MATCH("Keyword Difficulty*",'Semrush Data'!$A$1:$Z$1,0)),"")</f>
        <v>7</v>
      </c>
      <c r="I708" s="13" t="n">
        <f aca="false">IFERROR(INDEX('Semrush Data'!$A$1:$Z$20000,MATCH(A708,'Semrush Data'!$A$1:$A$20000,0),MATCH("CPC*",'Semrush Data'!$A$1:$Z$1,0)),"")</f>
        <v>0</v>
      </c>
      <c r="J708" s="7" t="str">
        <f aca="false">IFERROR(INDEX('Semrush Data'!$A$1:$Z$20000,MATCH(A708,'Semrush Data'!$A$1:$A$20000,0),MATCH("Intent",'Semrush Data'!$A$1:$Z$1,0)),"")</f>
        <v>Informational</v>
      </c>
    </row>
    <row r="709" customFormat="false" ht="15" hidden="false" customHeight="true" outlineLevel="0" collapsed="false">
      <c r="A709" s="7" t="s">
        <v>6233</v>
      </c>
      <c r="B709" s="7" t="s">
        <v>38</v>
      </c>
      <c r="C709" s="7" t="n">
        <v>1</v>
      </c>
      <c r="D709" s="7" t="n">
        <v>8</v>
      </c>
      <c r="E709" s="7" t="n">
        <v>1</v>
      </c>
      <c r="F709" s="7" t="s">
        <v>6231</v>
      </c>
      <c r="G709" s="12" t="n">
        <f aca="false">IFERROR(INDEX('Semrush Data'!$A$1:$Z$20000,MATCH(A709,'Semrush Data'!$A$1:$A$20000,0),MATCH("Volume",'Semrush Data'!$A$1:$Z$1,0)),"")</f>
        <v>40</v>
      </c>
      <c r="H709" s="7" t="n">
        <f aca="false">IFERROR(INDEX('Semrush Data'!$A$1:$Z$20000,MATCH(A709,'Semrush Data'!$A$1:$A$20000,0),MATCH("Keyword Difficulty*",'Semrush Data'!$A$1:$Z$1,0)),"")</f>
        <v>16</v>
      </c>
      <c r="I709" s="13" t="n">
        <f aca="false">IFERROR(INDEX('Semrush Data'!$A$1:$Z$20000,MATCH(A709,'Semrush Data'!$A$1:$A$20000,0),MATCH("CPC*",'Semrush Data'!$A$1:$Z$1,0)),"")</f>
        <v>0</v>
      </c>
      <c r="J709" s="7" t="str">
        <f aca="false">IFERROR(INDEX('Semrush Data'!$A$1:$Z$20000,MATCH(A709,'Semrush Data'!$A$1:$A$20000,0),MATCH("Intent",'Semrush Data'!$A$1:$Z$1,0)),"")</f>
        <v>Informational</v>
      </c>
    </row>
    <row r="710" customFormat="false" ht="15" hidden="false" customHeight="true" outlineLevel="0" collapsed="false">
      <c r="A710" s="7" t="s">
        <v>6244</v>
      </c>
      <c r="B710" s="7" t="s">
        <v>38</v>
      </c>
      <c r="C710" s="7" t="n">
        <v>1</v>
      </c>
      <c r="D710" s="7" t="n">
        <v>8</v>
      </c>
      <c r="E710" s="7" t="n">
        <v>1</v>
      </c>
      <c r="F710" s="7" t="s">
        <v>6242</v>
      </c>
      <c r="G710" s="12" t="n">
        <f aca="false">IFERROR(INDEX('Semrush Data'!$A$1:$Z$20000,MATCH(A710,'Semrush Data'!$A$1:$A$20000,0),MATCH("Volume",'Semrush Data'!$A$1:$Z$1,0)),"")</f>
        <v>0</v>
      </c>
      <c r="H710" s="7" t="n">
        <f aca="false">IFERROR(INDEX('Semrush Data'!$A$1:$Z$20000,MATCH(A710,'Semrush Data'!$A$1:$A$20000,0),MATCH("Keyword Difficulty*",'Semrush Data'!$A$1:$Z$1,0)),"")</f>
        <v>22</v>
      </c>
      <c r="I710" s="13" t="n">
        <f aca="false">IFERROR(INDEX('Semrush Data'!$A$1:$Z$20000,MATCH(A710,'Semrush Data'!$A$1:$A$20000,0),MATCH("CPC*",'Semrush Data'!$A$1:$Z$1,0)),"")</f>
        <v>0</v>
      </c>
      <c r="J710" s="7" t="str">
        <f aca="false">IFERROR(INDEX('Semrush Data'!$A$1:$Z$20000,MATCH(A710,'Semrush Data'!$A$1:$A$20000,0),MATCH("Intent",'Semrush Data'!$A$1:$Z$1,0)),"")</f>
        <v>Commercial</v>
      </c>
    </row>
    <row r="711" customFormat="false" ht="15" hidden="false" customHeight="true" outlineLevel="0" collapsed="false">
      <c r="A711" s="7" t="s">
        <v>6254</v>
      </c>
      <c r="B711" s="7" t="s">
        <v>38</v>
      </c>
      <c r="C711" s="7" t="n">
        <v>1</v>
      </c>
      <c r="D711" s="7" t="n">
        <v>8</v>
      </c>
      <c r="E711" s="7" t="n">
        <v>1</v>
      </c>
      <c r="F711" s="7" t="s">
        <v>6252</v>
      </c>
      <c r="G711" s="12" t="n">
        <f aca="false">IFERROR(INDEX('Semrush Data'!$A$1:$Z$20000,MATCH(A711,'Semrush Data'!$A$1:$A$20000,0),MATCH("Volume",'Semrush Data'!$A$1:$Z$1,0)),"")</f>
        <v>20</v>
      </c>
      <c r="H711" s="7" t="n">
        <f aca="false">IFERROR(INDEX('Semrush Data'!$A$1:$Z$20000,MATCH(A711,'Semrush Data'!$A$1:$A$20000,0),MATCH("Keyword Difficulty*",'Semrush Data'!$A$1:$Z$1,0)),"")</f>
        <v>19</v>
      </c>
      <c r="I711" s="13" t="n">
        <f aca="false">IFERROR(INDEX('Semrush Data'!$A$1:$Z$20000,MATCH(A711,'Semrush Data'!$A$1:$A$20000,0),MATCH("CPC*",'Semrush Data'!$A$1:$Z$1,0)),"")</f>
        <v>0</v>
      </c>
      <c r="J711" s="7" t="str">
        <f aca="false">IFERROR(INDEX('Semrush Data'!$A$1:$Z$20000,MATCH(A711,'Semrush Data'!$A$1:$A$20000,0),MATCH("Intent",'Semrush Data'!$A$1:$Z$1,0)),"")</f>
        <v>Commercial</v>
      </c>
    </row>
    <row r="712" customFormat="false" ht="15" hidden="false" customHeight="true" outlineLevel="0" collapsed="false">
      <c r="A712" s="7" t="s">
        <v>6265</v>
      </c>
      <c r="B712" s="7" t="s">
        <v>38</v>
      </c>
      <c r="C712" s="7" t="n">
        <v>1</v>
      </c>
      <c r="D712" s="7" t="n">
        <v>8</v>
      </c>
      <c r="E712" s="7" t="n">
        <v>1</v>
      </c>
      <c r="F712" s="7" t="s">
        <v>6263</v>
      </c>
      <c r="G712" s="12" t="n">
        <f aca="false">IFERROR(INDEX('Semrush Data'!$A$1:$Z$20000,MATCH(A712,'Semrush Data'!$A$1:$A$20000,0),MATCH("Volume",'Semrush Data'!$A$1:$Z$1,0)),"")</f>
        <v>20</v>
      </c>
      <c r="H712" s="7" t="n">
        <f aca="false">IFERROR(INDEX('Semrush Data'!$A$1:$Z$20000,MATCH(A712,'Semrush Data'!$A$1:$A$20000,0),MATCH("Keyword Difficulty*",'Semrush Data'!$A$1:$Z$1,0)),"")</f>
        <v>5</v>
      </c>
      <c r="I712" s="13" t="n">
        <f aca="false">IFERROR(INDEX('Semrush Data'!$A$1:$Z$20000,MATCH(A712,'Semrush Data'!$A$1:$A$20000,0),MATCH("CPC*",'Semrush Data'!$A$1:$Z$1,0)),"")</f>
        <v>0</v>
      </c>
      <c r="J712" s="7" t="str">
        <f aca="false">IFERROR(INDEX('Semrush Data'!$A$1:$Z$20000,MATCH(A712,'Semrush Data'!$A$1:$A$20000,0),MATCH("Intent",'Semrush Data'!$A$1:$Z$1,0)),"")</f>
        <v>Informational</v>
      </c>
    </row>
    <row r="713" customFormat="false" ht="15" hidden="false" customHeight="true" outlineLevel="0" collapsed="false">
      <c r="A713" s="7" t="s">
        <v>6277</v>
      </c>
      <c r="B713" s="7" t="s">
        <v>38</v>
      </c>
      <c r="C713" s="7" t="n">
        <v>1</v>
      </c>
      <c r="D713" s="7" t="n">
        <v>8</v>
      </c>
      <c r="E713" s="7" t="n">
        <v>1</v>
      </c>
      <c r="F713" s="7" t="s">
        <v>6274</v>
      </c>
      <c r="G713" s="12" t="n">
        <f aca="false">IFERROR(INDEX('Semrush Data'!$A$1:$Z$20000,MATCH(A713,'Semrush Data'!$A$1:$A$20000,0),MATCH("Volume",'Semrush Data'!$A$1:$Z$1,0)),"")</f>
        <v>0</v>
      </c>
      <c r="H713" s="7" t="n">
        <f aca="false">IFERROR(INDEX('Semrush Data'!$A$1:$Z$20000,MATCH(A713,'Semrush Data'!$A$1:$A$20000,0),MATCH("Keyword Difficulty*",'Semrush Data'!$A$1:$Z$1,0)),"")</f>
        <v>9</v>
      </c>
      <c r="I713" s="13" t="n">
        <f aca="false">IFERROR(INDEX('Semrush Data'!$A$1:$Z$20000,MATCH(A713,'Semrush Data'!$A$1:$A$20000,0),MATCH("CPC*",'Semrush Data'!$A$1:$Z$1,0)),"")</f>
        <v>0</v>
      </c>
      <c r="J713" s="7" t="str">
        <f aca="false">IFERROR(INDEX('Semrush Data'!$A$1:$Z$20000,MATCH(A713,'Semrush Data'!$A$1:$A$20000,0),MATCH("Intent",'Semrush Data'!$A$1:$Z$1,0)),"")</f>
        <v>Informational</v>
      </c>
    </row>
    <row r="714" customFormat="false" ht="15" hidden="false" customHeight="true" outlineLevel="0" collapsed="false">
      <c r="A714" s="7" t="s">
        <v>6288</v>
      </c>
      <c r="B714" s="7" t="s">
        <v>38</v>
      </c>
      <c r="C714" s="7" t="n">
        <v>1</v>
      </c>
      <c r="D714" s="7" t="n">
        <v>8</v>
      </c>
      <c r="E714" s="7" t="n">
        <v>1</v>
      </c>
      <c r="F714" s="7" t="s">
        <v>6286</v>
      </c>
      <c r="G714" s="12" t="n">
        <f aca="false">IFERROR(INDEX('Semrush Data'!$A$1:$Z$20000,MATCH(A714,'Semrush Data'!$A$1:$A$20000,0),MATCH("Volume",'Semrush Data'!$A$1:$Z$1,0)),"")</f>
        <v>20</v>
      </c>
      <c r="H714" s="7" t="n">
        <f aca="false">IFERROR(INDEX('Semrush Data'!$A$1:$Z$20000,MATCH(A714,'Semrush Data'!$A$1:$A$20000,0),MATCH("Keyword Difficulty*",'Semrush Data'!$A$1:$Z$1,0)),"")</f>
        <v>16</v>
      </c>
      <c r="I714" s="13" t="n">
        <f aca="false">IFERROR(INDEX('Semrush Data'!$A$1:$Z$20000,MATCH(A714,'Semrush Data'!$A$1:$A$20000,0),MATCH("CPC*",'Semrush Data'!$A$1:$Z$1,0)),"")</f>
        <v>0</v>
      </c>
      <c r="J714" s="7" t="str">
        <f aca="false">IFERROR(INDEX('Semrush Data'!$A$1:$Z$20000,MATCH(A714,'Semrush Data'!$A$1:$A$20000,0),MATCH("Intent",'Semrush Data'!$A$1:$Z$1,0)),"")</f>
        <v>Informational Transactional</v>
      </c>
    </row>
    <row r="715" customFormat="false" ht="15" hidden="false" customHeight="true" outlineLevel="0" collapsed="false">
      <c r="A715" s="7" t="s">
        <v>6328</v>
      </c>
      <c r="B715" s="7" t="s">
        <v>38</v>
      </c>
      <c r="C715" s="7" t="n">
        <v>1</v>
      </c>
      <c r="D715" s="7" t="n">
        <v>8</v>
      </c>
      <c r="E715" s="7" t="n">
        <v>1</v>
      </c>
      <c r="F715" s="7" t="s">
        <v>48</v>
      </c>
      <c r="G715" s="12" t="n">
        <f aca="false">IFERROR(INDEX('Semrush Data'!$A$1:$Z$20000,MATCH(A715,'Semrush Data'!$A$1:$A$20000,0),MATCH("Volume",'Semrush Data'!$A$1:$Z$1,0)),"")</f>
        <v>22200</v>
      </c>
      <c r="H715" s="7" t="n">
        <f aca="false">IFERROR(INDEX('Semrush Data'!$A$1:$Z$20000,MATCH(A715,'Semrush Data'!$A$1:$A$20000,0),MATCH("Keyword Difficulty*",'Semrush Data'!$A$1:$Z$1,0)),"")</f>
        <v>22</v>
      </c>
      <c r="I715" s="13" t="n">
        <f aca="false">IFERROR(INDEX('Semrush Data'!$A$1:$Z$20000,MATCH(A715,'Semrush Data'!$A$1:$A$20000,0),MATCH("CPC*",'Semrush Data'!$A$1:$Z$1,0)),"")</f>
        <v>0.49</v>
      </c>
      <c r="J715" s="7" t="str">
        <f aca="false">IFERROR(INDEX('Semrush Data'!$A$1:$Z$20000,MATCH(A715,'Semrush Data'!$A$1:$A$20000,0),MATCH("Intent",'Semrush Data'!$A$1:$Z$1,0)),"")</f>
        <v>Informational</v>
      </c>
    </row>
    <row r="716" customFormat="false" ht="15" hidden="false" customHeight="true" outlineLevel="0" collapsed="false">
      <c r="A716" s="7" t="s">
        <v>6320</v>
      </c>
      <c r="B716" s="7" t="s">
        <v>38</v>
      </c>
      <c r="C716" s="7" t="n">
        <v>1</v>
      </c>
      <c r="D716" s="7" t="n">
        <v>8</v>
      </c>
      <c r="E716" s="7" t="n">
        <v>1</v>
      </c>
      <c r="F716" s="7" t="s">
        <v>94</v>
      </c>
      <c r="G716" s="12" t="n">
        <f aca="false">IFERROR(INDEX('Semrush Data'!$A$1:$Z$20000,MATCH(A716,'Semrush Data'!$A$1:$A$20000,0),MATCH("Volume",'Semrush Data'!$A$1:$Z$1,0)),"")</f>
        <v>880</v>
      </c>
      <c r="H716" s="7" t="n">
        <f aca="false">IFERROR(INDEX('Semrush Data'!$A$1:$Z$20000,MATCH(A716,'Semrush Data'!$A$1:$A$20000,0),MATCH("Keyword Difficulty*",'Semrush Data'!$A$1:$Z$1,0)),"")</f>
        <v>22</v>
      </c>
      <c r="I716" s="13" t="n">
        <f aca="false">IFERROR(INDEX('Semrush Data'!$A$1:$Z$20000,MATCH(A716,'Semrush Data'!$A$1:$A$20000,0),MATCH("CPC*",'Semrush Data'!$A$1:$Z$1,0)),"")</f>
        <v>0.59</v>
      </c>
      <c r="J716" s="7" t="str">
        <f aca="false">IFERROR(INDEX('Semrush Data'!$A$1:$Z$20000,MATCH(A716,'Semrush Data'!$A$1:$A$20000,0),MATCH("Intent",'Semrush Data'!$A$1:$Z$1,0)),"")</f>
        <v>Informational</v>
      </c>
    </row>
    <row r="717" customFormat="false" ht="15" hidden="false" customHeight="true" outlineLevel="0" collapsed="false">
      <c r="A717" s="7" t="s">
        <v>6299</v>
      </c>
      <c r="B717" s="7" t="s">
        <v>38</v>
      </c>
      <c r="C717" s="7" t="n">
        <v>1</v>
      </c>
      <c r="D717" s="7" t="n">
        <v>8</v>
      </c>
      <c r="E717" s="7" t="n">
        <v>1</v>
      </c>
      <c r="F717" s="7" t="s">
        <v>66</v>
      </c>
      <c r="G717" s="12" t="n">
        <f aca="false">IFERROR(INDEX('Semrush Data'!$A$1:$Z$20000,MATCH(A717,'Semrush Data'!$A$1:$A$20000,0),MATCH("Volume",'Semrush Data'!$A$1:$Z$1,0)),"")</f>
        <v>3600</v>
      </c>
      <c r="H717" s="7" t="n">
        <f aca="false">IFERROR(INDEX('Semrush Data'!$A$1:$Z$20000,MATCH(A717,'Semrush Data'!$A$1:$A$20000,0),MATCH("Keyword Difficulty*",'Semrush Data'!$A$1:$Z$1,0)),"")</f>
        <v>14</v>
      </c>
      <c r="I717" s="13" t="n">
        <f aca="false">IFERROR(INDEX('Semrush Data'!$A$1:$Z$20000,MATCH(A717,'Semrush Data'!$A$1:$A$20000,0),MATCH("CPC*",'Semrush Data'!$A$1:$Z$1,0)),"")</f>
        <v>0.63</v>
      </c>
      <c r="J717" s="7" t="str">
        <f aca="false">IFERROR(INDEX('Semrush Data'!$A$1:$Z$20000,MATCH(A717,'Semrush Data'!$A$1:$A$20000,0),MATCH("Intent",'Semrush Data'!$A$1:$Z$1,0)),"")</f>
        <v>Informational</v>
      </c>
    </row>
    <row r="718" customFormat="false" ht="15" hidden="false" customHeight="true" outlineLevel="0" collapsed="false">
      <c r="A718" s="7" t="s">
        <v>6336</v>
      </c>
      <c r="B718" s="7" t="s">
        <v>38</v>
      </c>
      <c r="C718" s="7" t="n">
        <v>1</v>
      </c>
      <c r="D718" s="7" t="n">
        <v>8</v>
      </c>
      <c r="E718" s="7" t="n">
        <v>1</v>
      </c>
      <c r="F718" s="7" t="s">
        <v>54</v>
      </c>
      <c r="G718" s="12" t="n">
        <f aca="false">IFERROR(INDEX('Semrush Data'!$A$1:$Z$20000,MATCH(A718,'Semrush Data'!$A$1:$A$20000,0),MATCH("Volume",'Semrush Data'!$A$1:$Z$1,0)),"")</f>
        <v>8100</v>
      </c>
      <c r="H718" s="7" t="n">
        <f aca="false">IFERROR(INDEX('Semrush Data'!$A$1:$Z$20000,MATCH(A718,'Semrush Data'!$A$1:$A$20000,0),MATCH("Keyword Difficulty*",'Semrush Data'!$A$1:$Z$1,0)),"")</f>
        <v>15</v>
      </c>
      <c r="I718" s="13" t="n">
        <f aca="false">IFERROR(INDEX('Semrush Data'!$A$1:$Z$20000,MATCH(A718,'Semrush Data'!$A$1:$A$20000,0),MATCH("CPC*",'Semrush Data'!$A$1:$Z$1,0)),"")</f>
        <v>0.59</v>
      </c>
      <c r="J718" s="7" t="str">
        <f aca="false">IFERROR(INDEX('Semrush Data'!$A$1:$Z$20000,MATCH(A718,'Semrush Data'!$A$1:$A$20000,0),MATCH("Intent",'Semrush Data'!$A$1:$Z$1,0)),"")</f>
        <v>Informational</v>
      </c>
    </row>
    <row r="719" customFormat="false" ht="15" hidden="false" customHeight="true" outlineLevel="0" collapsed="false">
      <c r="A719" s="7" t="s">
        <v>6308</v>
      </c>
      <c r="B719" s="7" t="s">
        <v>38</v>
      </c>
      <c r="C719" s="7" t="n">
        <v>1</v>
      </c>
      <c r="D719" s="7" t="n">
        <v>8</v>
      </c>
      <c r="E719" s="7" t="n">
        <v>2</v>
      </c>
      <c r="F719" s="7" t="s">
        <v>6810</v>
      </c>
      <c r="G719" s="12" t="n">
        <f aca="false">IFERROR(INDEX('Semrush Data'!$A$1:$Z$20000,MATCH(A719,'Semrush Data'!$A$1:$A$20000,0),MATCH("Volume",'Semrush Data'!$A$1:$Z$1,0)),"")</f>
        <v>18100</v>
      </c>
      <c r="H719" s="7" t="n">
        <f aca="false">IFERROR(INDEX('Semrush Data'!$A$1:$Z$20000,MATCH(A719,'Semrush Data'!$A$1:$A$20000,0),MATCH("Keyword Difficulty*",'Semrush Data'!$A$1:$Z$1,0)),"")</f>
        <v>16</v>
      </c>
      <c r="I719" s="13" t="n">
        <f aca="false">IFERROR(INDEX('Semrush Data'!$A$1:$Z$20000,MATCH(A719,'Semrush Data'!$A$1:$A$20000,0),MATCH("CPC*",'Semrush Data'!$A$1:$Z$1,0)),"")</f>
        <v>0.54</v>
      </c>
      <c r="J719" s="7" t="str">
        <f aca="false">IFERROR(INDEX('Semrush Data'!$A$1:$Z$20000,MATCH(A719,'Semrush Data'!$A$1:$A$20000,0),MATCH("Intent",'Semrush Data'!$A$1:$Z$1,0)),"")</f>
        <v>Informational</v>
      </c>
    </row>
    <row r="720" customFormat="false" ht="15" hidden="false" customHeight="true" outlineLevel="0" collapsed="false">
      <c r="A720" s="7" t="s">
        <v>6371</v>
      </c>
      <c r="B720" s="7" t="s">
        <v>38</v>
      </c>
      <c r="C720" s="7" t="n">
        <v>1</v>
      </c>
      <c r="D720" s="7" t="n">
        <v>8</v>
      </c>
      <c r="E720" s="7" t="n">
        <v>1</v>
      </c>
      <c r="F720" s="7" t="s">
        <v>6369</v>
      </c>
      <c r="G720" s="12" t="n">
        <f aca="false">IFERROR(INDEX('Semrush Data'!$A$1:$Z$20000,MATCH(A720,'Semrush Data'!$A$1:$A$20000,0),MATCH("Volume",'Semrush Data'!$A$1:$Z$1,0)),"")</f>
        <v>0</v>
      </c>
      <c r="H720" s="7" t="n">
        <f aca="false">IFERROR(INDEX('Semrush Data'!$A$1:$Z$20000,MATCH(A720,'Semrush Data'!$A$1:$A$20000,0),MATCH("Keyword Difficulty*",'Semrush Data'!$A$1:$Z$1,0)),"")</f>
        <v>22</v>
      </c>
      <c r="I720" s="13" t="n">
        <f aca="false">IFERROR(INDEX('Semrush Data'!$A$1:$Z$20000,MATCH(A720,'Semrush Data'!$A$1:$A$20000,0),MATCH("CPC*",'Semrush Data'!$A$1:$Z$1,0)),"")</f>
        <v>0</v>
      </c>
      <c r="J720" s="7" t="str">
        <f aca="false">IFERROR(INDEX('Semrush Data'!$A$1:$Z$20000,MATCH(A720,'Semrush Data'!$A$1:$A$20000,0),MATCH("Intent",'Semrush Data'!$A$1:$Z$1,0)),"")</f>
        <v>Informational Transactional</v>
      </c>
    </row>
    <row r="721" customFormat="false" ht="15" hidden="false" customHeight="true" outlineLevel="0" collapsed="false">
      <c r="A721" s="7" t="s">
        <v>6382</v>
      </c>
      <c r="B721" s="7" t="s">
        <v>38</v>
      </c>
      <c r="C721" s="7" t="n">
        <v>1</v>
      </c>
      <c r="D721" s="7" t="n">
        <v>8</v>
      </c>
      <c r="E721" s="7" t="n">
        <v>1</v>
      </c>
      <c r="F721" s="7" t="s">
        <v>6380</v>
      </c>
      <c r="G721" s="12" t="n">
        <f aca="false">IFERROR(INDEX('Semrush Data'!$A$1:$Z$20000,MATCH(A721,'Semrush Data'!$A$1:$A$20000,0),MATCH("Volume",'Semrush Data'!$A$1:$Z$1,0)),"")</f>
        <v>20</v>
      </c>
      <c r="H721" s="7" t="n">
        <f aca="false">IFERROR(INDEX('Semrush Data'!$A$1:$Z$20000,MATCH(A721,'Semrush Data'!$A$1:$A$20000,0),MATCH("Keyword Difficulty*",'Semrush Data'!$A$1:$Z$1,0)),"")</f>
        <v>20</v>
      </c>
      <c r="I721" s="13" t="n">
        <f aca="false">IFERROR(INDEX('Semrush Data'!$A$1:$Z$20000,MATCH(A721,'Semrush Data'!$A$1:$A$20000,0),MATCH("CPC*",'Semrush Data'!$A$1:$Z$1,0)),"")</f>
        <v>0</v>
      </c>
      <c r="J721" s="7" t="str">
        <f aca="false">IFERROR(INDEX('Semrush Data'!$A$1:$Z$20000,MATCH(A721,'Semrush Data'!$A$1:$A$20000,0),MATCH("Intent",'Semrush Data'!$A$1:$Z$1,0)),"")</f>
        <v>Informational</v>
      </c>
    </row>
    <row r="722" customFormat="false" ht="15" hidden="false" customHeight="true" outlineLevel="0" collapsed="false">
      <c r="A722" s="7" t="s">
        <v>6360</v>
      </c>
      <c r="B722" s="7" t="s">
        <v>38</v>
      </c>
      <c r="C722" s="7" t="n">
        <v>1</v>
      </c>
      <c r="D722" s="7" t="n">
        <v>8</v>
      </c>
      <c r="E722" s="7" t="n">
        <v>1</v>
      </c>
      <c r="F722" s="7" t="s">
        <v>6358</v>
      </c>
      <c r="G722" s="12" t="n">
        <f aca="false">IFERROR(INDEX('Semrush Data'!$A$1:$Z$20000,MATCH(A722,'Semrush Data'!$A$1:$A$20000,0),MATCH("Volume",'Semrush Data'!$A$1:$Z$1,0)),"")</f>
        <v>20</v>
      </c>
      <c r="H722" s="7" t="n">
        <f aca="false">IFERROR(INDEX('Semrush Data'!$A$1:$Z$20000,MATCH(A722,'Semrush Data'!$A$1:$A$20000,0),MATCH("Keyword Difficulty*",'Semrush Data'!$A$1:$Z$1,0)),"")</f>
        <v>16</v>
      </c>
      <c r="I722" s="13" t="n">
        <f aca="false">IFERROR(INDEX('Semrush Data'!$A$1:$Z$20000,MATCH(A722,'Semrush Data'!$A$1:$A$20000,0),MATCH("CPC*",'Semrush Data'!$A$1:$Z$1,0)),"")</f>
        <v>0</v>
      </c>
      <c r="J722" s="7" t="str">
        <f aca="false">IFERROR(INDEX('Semrush Data'!$A$1:$Z$20000,MATCH(A722,'Semrush Data'!$A$1:$A$20000,0),MATCH("Intent",'Semrush Data'!$A$1:$Z$1,0)),"")</f>
        <v>Informational</v>
      </c>
    </row>
    <row r="723" customFormat="false" ht="15" hidden="false" customHeight="true" outlineLevel="0" collapsed="false">
      <c r="A723" s="7" t="s">
        <v>6393</v>
      </c>
      <c r="B723" s="7" t="s">
        <v>38</v>
      </c>
      <c r="C723" s="7" t="n">
        <v>1</v>
      </c>
      <c r="D723" s="7" t="n">
        <v>8</v>
      </c>
      <c r="E723" s="7" t="n">
        <v>1</v>
      </c>
      <c r="F723" s="7" t="s">
        <v>6391</v>
      </c>
      <c r="G723" s="12" t="n">
        <f aca="false">IFERROR(INDEX('Semrush Data'!$A$1:$Z$20000,MATCH(A723,'Semrush Data'!$A$1:$A$20000,0),MATCH("Volume",'Semrush Data'!$A$1:$Z$1,0)),"")</f>
        <v>0</v>
      </c>
      <c r="H723" s="7" t="n">
        <f aca="false">IFERROR(INDEX('Semrush Data'!$A$1:$Z$20000,MATCH(A723,'Semrush Data'!$A$1:$A$20000,0),MATCH("Keyword Difficulty*",'Semrush Data'!$A$1:$Z$1,0)),"")</f>
        <v>11</v>
      </c>
      <c r="I723" s="13" t="n">
        <f aca="false">IFERROR(INDEX('Semrush Data'!$A$1:$Z$20000,MATCH(A723,'Semrush Data'!$A$1:$A$20000,0),MATCH("CPC*",'Semrush Data'!$A$1:$Z$1,0)),"")</f>
        <v>0</v>
      </c>
      <c r="J723" s="7" t="str">
        <f aca="false">IFERROR(INDEX('Semrush Data'!$A$1:$Z$20000,MATCH(A723,'Semrush Data'!$A$1:$A$20000,0),MATCH("Intent",'Semrush Data'!$A$1:$Z$1,0)),"")</f>
        <v>Informational Transactional</v>
      </c>
    </row>
    <row r="724" customFormat="false" ht="15" hidden="false" customHeight="true" outlineLevel="0" collapsed="false">
      <c r="A724" s="7" t="s">
        <v>6349</v>
      </c>
      <c r="B724" s="7" t="s">
        <v>38</v>
      </c>
      <c r="C724" s="7" t="n">
        <v>1</v>
      </c>
      <c r="D724" s="7" t="n">
        <v>8</v>
      </c>
      <c r="E724" s="7" t="n">
        <v>1</v>
      </c>
      <c r="F724" s="7" t="s">
        <v>6345</v>
      </c>
      <c r="G724" s="12" t="n">
        <f aca="false">IFERROR(INDEX('Semrush Data'!$A$1:$Z$20000,MATCH(A724,'Semrush Data'!$A$1:$A$20000,0),MATCH("Volume",'Semrush Data'!$A$1:$Z$1,0)),"")</f>
        <v>0</v>
      </c>
      <c r="H724" s="7" t="n">
        <f aca="false">IFERROR(INDEX('Semrush Data'!$A$1:$Z$20000,MATCH(A724,'Semrush Data'!$A$1:$A$20000,0),MATCH("Keyword Difficulty*",'Semrush Data'!$A$1:$Z$1,0)),"")</f>
        <v>14</v>
      </c>
      <c r="I724" s="13" t="n">
        <f aca="false">IFERROR(INDEX('Semrush Data'!$A$1:$Z$20000,MATCH(A724,'Semrush Data'!$A$1:$A$20000,0),MATCH("CPC*",'Semrush Data'!$A$1:$Z$1,0)),"")</f>
        <v>0</v>
      </c>
      <c r="J724" s="7" t="str">
        <f aca="false">IFERROR(INDEX('Semrush Data'!$A$1:$Z$20000,MATCH(A724,'Semrush Data'!$A$1:$A$20000,0),MATCH("Intent",'Semrush Data'!$A$1:$Z$1,0)),"")</f>
        <v>Informational Transactional</v>
      </c>
    </row>
    <row r="725" customFormat="false" ht="15" hidden="false" customHeight="true" outlineLevel="0" collapsed="false">
      <c r="A725" s="7" t="s">
        <v>6403</v>
      </c>
      <c r="B725" s="7" t="s">
        <v>38</v>
      </c>
      <c r="C725" s="7" t="n">
        <v>1</v>
      </c>
      <c r="D725" s="7" t="n">
        <v>8</v>
      </c>
      <c r="E725" s="7" t="n">
        <v>1</v>
      </c>
      <c r="F725" s="7" t="s">
        <v>6401</v>
      </c>
      <c r="G725" s="12" t="n">
        <f aca="false">IFERROR(INDEX('Semrush Data'!$A$1:$Z$20000,MATCH(A725,'Semrush Data'!$A$1:$A$20000,0),MATCH("Volume",'Semrush Data'!$A$1:$Z$1,0)),"")</f>
        <v>0</v>
      </c>
      <c r="H725" s="7" t="n">
        <f aca="false">IFERROR(INDEX('Semrush Data'!$A$1:$Z$20000,MATCH(A725,'Semrush Data'!$A$1:$A$20000,0),MATCH("Keyword Difficulty*",'Semrush Data'!$A$1:$Z$1,0)),"")</f>
        <v>11</v>
      </c>
      <c r="I725" s="13" t="n">
        <f aca="false">IFERROR(INDEX('Semrush Data'!$A$1:$Z$20000,MATCH(A725,'Semrush Data'!$A$1:$A$20000,0),MATCH("CPC*",'Semrush Data'!$A$1:$Z$1,0)),"")</f>
        <v>0</v>
      </c>
      <c r="J725" s="7" t="str">
        <f aca="false">IFERROR(INDEX('Semrush Data'!$A$1:$Z$20000,MATCH(A725,'Semrush Data'!$A$1:$A$20000,0),MATCH("Intent",'Semrush Data'!$A$1:$Z$1,0)),"")</f>
        <v>Informational Transactional</v>
      </c>
    </row>
    <row r="726" customFormat="false" ht="15" hidden="false" customHeight="true" outlineLevel="0" collapsed="false">
      <c r="A726" s="7" t="s">
        <v>6415</v>
      </c>
      <c r="B726" s="7" t="s">
        <v>38</v>
      </c>
      <c r="C726" s="7" t="n">
        <v>1</v>
      </c>
      <c r="D726" s="7" t="n">
        <v>8</v>
      </c>
      <c r="E726" s="7" t="n">
        <v>1</v>
      </c>
      <c r="F726" s="7" t="s">
        <v>6412</v>
      </c>
      <c r="G726" s="12" t="n">
        <f aca="false">IFERROR(INDEX('Semrush Data'!$A$1:$Z$20000,MATCH(A726,'Semrush Data'!$A$1:$A$20000,0),MATCH("Volume",'Semrush Data'!$A$1:$Z$1,0)),"")</f>
        <v>0</v>
      </c>
      <c r="H726" s="7" t="n">
        <f aca="false">IFERROR(INDEX('Semrush Data'!$A$1:$Z$20000,MATCH(A726,'Semrush Data'!$A$1:$A$20000,0),MATCH("Keyword Difficulty*",'Semrush Data'!$A$1:$Z$1,0)),"")</f>
        <v>16</v>
      </c>
      <c r="I726" s="13" t="n">
        <f aca="false">IFERROR(INDEX('Semrush Data'!$A$1:$Z$20000,MATCH(A726,'Semrush Data'!$A$1:$A$20000,0),MATCH("CPC*",'Semrush Data'!$A$1:$Z$1,0)),"")</f>
        <v>0</v>
      </c>
      <c r="J726" s="7" t="str">
        <f aca="false">IFERROR(INDEX('Semrush Data'!$A$1:$Z$20000,MATCH(A726,'Semrush Data'!$A$1:$A$20000,0),MATCH("Intent",'Semrush Data'!$A$1:$Z$1,0)),"")</f>
        <v>Informational Transactional</v>
      </c>
    </row>
    <row r="727" customFormat="false" ht="15" hidden="false" customHeight="true" outlineLevel="0" collapsed="false">
      <c r="A727" s="7" t="s">
        <v>1514</v>
      </c>
      <c r="B727" s="7" t="s">
        <v>38</v>
      </c>
      <c r="C727" s="7" t="n">
        <v>1</v>
      </c>
      <c r="D727" s="7" t="n">
        <v>8</v>
      </c>
      <c r="E727" s="7" t="n">
        <v>1</v>
      </c>
      <c r="F727" s="7" t="s">
        <v>474</v>
      </c>
      <c r="G727" s="12" t="n">
        <f aca="false">IFERROR(INDEX('Semrush Data'!$A$1:$Z$20000,MATCH(A727,'Semrush Data'!$A$1:$A$20000,0),MATCH("Volume",'Semrush Data'!$A$1:$Z$1,0)),"")</f>
        <v>20</v>
      </c>
      <c r="H727" s="7" t="n">
        <f aca="false">IFERROR(INDEX('Semrush Data'!$A$1:$Z$20000,MATCH(A727,'Semrush Data'!$A$1:$A$20000,0),MATCH("Keyword Difficulty*",'Semrush Data'!$A$1:$Z$1,0)),"")</f>
        <v>22</v>
      </c>
      <c r="I727" s="13" t="n">
        <f aca="false">IFERROR(INDEX('Semrush Data'!$A$1:$Z$20000,MATCH(A727,'Semrush Data'!$A$1:$A$20000,0),MATCH("CPC*",'Semrush Data'!$A$1:$Z$1,0)),"")</f>
        <v>0</v>
      </c>
      <c r="J727" s="7" t="str">
        <f aca="false">IFERROR(INDEX('Semrush Data'!$A$1:$Z$20000,MATCH(A727,'Semrush Data'!$A$1:$A$20000,0),MATCH("Intent",'Semrush Data'!$A$1:$Z$1,0)),"")</f>
        <v>Informational Transactional</v>
      </c>
    </row>
    <row r="728" customFormat="false" ht="15" hidden="false" customHeight="true" outlineLevel="0" collapsed="false">
      <c r="A728" s="7" t="s">
        <v>1750</v>
      </c>
      <c r="B728" s="7" t="s">
        <v>38</v>
      </c>
      <c r="C728" s="7" t="n">
        <v>1</v>
      </c>
      <c r="D728" s="7" t="n">
        <v>8</v>
      </c>
      <c r="E728" s="7" t="n">
        <v>1</v>
      </c>
      <c r="F728" s="7" t="s">
        <v>724</v>
      </c>
      <c r="G728" s="12" t="n">
        <f aca="false">IFERROR(INDEX('Semrush Data'!$A$1:$Z$20000,MATCH(A728,'Semrush Data'!$A$1:$A$20000,0),MATCH("Volume",'Semrush Data'!$A$1:$Z$1,0)),"")</f>
        <v>0</v>
      </c>
      <c r="H728" s="7" t="n">
        <f aca="false">IFERROR(INDEX('Semrush Data'!$A$1:$Z$20000,MATCH(A728,'Semrush Data'!$A$1:$A$20000,0),MATCH("Keyword Difficulty*",'Semrush Data'!$A$1:$Z$1,0)),"")</f>
        <v>18</v>
      </c>
      <c r="I728" s="13" t="n">
        <f aca="false">IFERROR(INDEX('Semrush Data'!$A$1:$Z$20000,MATCH(A728,'Semrush Data'!$A$1:$A$20000,0),MATCH("CPC*",'Semrush Data'!$A$1:$Z$1,0)),"")</f>
        <v>0</v>
      </c>
      <c r="J728" s="7" t="str">
        <f aca="false">IFERROR(INDEX('Semrush Data'!$A$1:$Z$20000,MATCH(A728,'Semrush Data'!$A$1:$A$20000,0),MATCH("Intent",'Semrush Data'!$A$1:$Z$1,0)),"")</f>
        <v>Informational</v>
      </c>
    </row>
    <row r="729" customFormat="false" ht="15" hidden="false" customHeight="true" outlineLevel="0" collapsed="false">
      <c r="A729" s="7" t="s">
        <v>1738</v>
      </c>
      <c r="B729" s="7" t="s">
        <v>38</v>
      </c>
      <c r="C729" s="7" t="n">
        <v>1</v>
      </c>
      <c r="D729" s="7" t="n">
        <v>8</v>
      </c>
      <c r="E729" s="7" t="n">
        <v>1</v>
      </c>
      <c r="F729" s="7" t="s">
        <v>714</v>
      </c>
      <c r="G729" s="12" t="n">
        <f aca="false">IFERROR(INDEX('Semrush Data'!$A$1:$Z$20000,MATCH(A729,'Semrush Data'!$A$1:$A$20000,0),MATCH("Volume",'Semrush Data'!$A$1:$Z$1,0)),"")</f>
        <v>0</v>
      </c>
      <c r="H729" s="7" t="n">
        <f aca="false">IFERROR(INDEX('Semrush Data'!$A$1:$Z$20000,MATCH(A729,'Semrush Data'!$A$1:$A$20000,0),MATCH("Keyword Difficulty*",'Semrush Data'!$A$1:$Z$1,0)),"")</f>
        <v>19</v>
      </c>
      <c r="I729" s="13" t="n">
        <f aca="false">IFERROR(INDEX('Semrush Data'!$A$1:$Z$20000,MATCH(A729,'Semrush Data'!$A$1:$A$20000,0),MATCH("CPC*",'Semrush Data'!$A$1:$Z$1,0)),"")</f>
        <v>0</v>
      </c>
      <c r="J729" s="7" t="str">
        <f aca="false">IFERROR(INDEX('Semrush Data'!$A$1:$Z$20000,MATCH(A729,'Semrush Data'!$A$1:$A$20000,0),MATCH("Intent",'Semrush Data'!$A$1:$Z$1,0)),"")</f>
        <v>Navigational</v>
      </c>
    </row>
    <row r="730" customFormat="false" ht="15" hidden="false" customHeight="true" outlineLevel="0" collapsed="false">
      <c r="A730" s="7" t="s">
        <v>1846</v>
      </c>
      <c r="B730" s="7" t="s">
        <v>38</v>
      </c>
      <c r="C730" s="7" t="n">
        <v>1</v>
      </c>
      <c r="D730" s="7" t="n">
        <v>8</v>
      </c>
      <c r="E730" s="7" t="n">
        <v>1</v>
      </c>
      <c r="F730" s="7" t="s">
        <v>813</v>
      </c>
      <c r="G730" s="12" t="n">
        <f aca="false">IFERROR(INDEX('Semrush Data'!$A$1:$Z$20000,MATCH(A730,'Semrush Data'!$A$1:$A$20000,0),MATCH("Volume",'Semrush Data'!$A$1:$Z$1,0)),"")</f>
        <v>0</v>
      </c>
      <c r="H730" s="7" t="n">
        <f aca="false">IFERROR(INDEX('Semrush Data'!$A$1:$Z$20000,MATCH(A730,'Semrush Data'!$A$1:$A$20000,0),MATCH("Keyword Difficulty*",'Semrush Data'!$A$1:$Z$1,0)),"")</f>
        <v>16</v>
      </c>
      <c r="I730" s="13" t="n">
        <f aca="false">IFERROR(INDEX('Semrush Data'!$A$1:$Z$20000,MATCH(A730,'Semrush Data'!$A$1:$A$20000,0),MATCH("CPC*",'Semrush Data'!$A$1:$Z$1,0)),"")</f>
        <v>0</v>
      </c>
      <c r="J730" s="7" t="str">
        <f aca="false">IFERROR(INDEX('Semrush Data'!$A$1:$Z$20000,MATCH(A730,'Semrush Data'!$A$1:$A$20000,0),MATCH("Intent",'Semrush Data'!$A$1:$Z$1,0)),"")</f>
        <v>Informational</v>
      </c>
    </row>
    <row r="731" customFormat="false" ht="15" hidden="false" customHeight="true" outlineLevel="0" collapsed="false">
      <c r="A731" s="7" t="s">
        <v>1521</v>
      </c>
      <c r="B731" s="7" t="s">
        <v>38</v>
      </c>
      <c r="C731" s="7" t="n">
        <v>1</v>
      </c>
      <c r="D731" s="7" t="n">
        <v>8</v>
      </c>
      <c r="E731" s="7" t="n">
        <v>1</v>
      </c>
      <c r="F731" s="7" t="s">
        <v>481</v>
      </c>
      <c r="G731" s="12" t="n">
        <f aca="false">IFERROR(INDEX('Semrush Data'!$A$1:$Z$20000,MATCH(A731,'Semrush Data'!$A$1:$A$20000,0),MATCH("Volume",'Semrush Data'!$A$1:$Z$1,0)),"")</f>
        <v>0</v>
      </c>
      <c r="H731" s="7" t="n">
        <f aca="false">IFERROR(INDEX('Semrush Data'!$A$1:$Z$20000,MATCH(A731,'Semrush Data'!$A$1:$A$20000,0),MATCH("Keyword Difficulty*",'Semrush Data'!$A$1:$Z$1,0)),"")</f>
        <v>24</v>
      </c>
      <c r="I731" s="13" t="n">
        <f aca="false">IFERROR(INDEX('Semrush Data'!$A$1:$Z$20000,MATCH(A731,'Semrush Data'!$A$1:$A$20000,0),MATCH("CPC*",'Semrush Data'!$A$1:$Z$1,0)),"")</f>
        <v>0</v>
      </c>
      <c r="J731" s="7" t="str">
        <f aca="false">IFERROR(INDEX('Semrush Data'!$A$1:$Z$20000,MATCH(A731,'Semrush Data'!$A$1:$A$20000,0),MATCH("Intent",'Semrush Data'!$A$1:$Z$1,0)),"")</f>
        <v>Informational Transactional</v>
      </c>
    </row>
    <row r="732" customFormat="false" ht="15" hidden="false" customHeight="true" outlineLevel="0" collapsed="false">
      <c r="A732" s="7" t="s">
        <v>1529</v>
      </c>
      <c r="B732" s="7" t="s">
        <v>38</v>
      </c>
      <c r="C732" s="7" t="n">
        <v>1</v>
      </c>
      <c r="D732" s="7" t="n">
        <v>8</v>
      </c>
      <c r="E732" s="7" t="n">
        <v>1</v>
      </c>
      <c r="F732" s="7" t="s">
        <v>489</v>
      </c>
      <c r="G732" s="12" t="n">
        <f aca="false">IFERROR(INDEX('Semrush Data'!$A$1:$Z$20000,MATCH(A732,'Semrush Data'!$A$1:$A$20000,0),MATCH("Volume",'Semrush Data'!$A$1:$Z$1,0)),"")</f>
        <v>0</v>
      </c>
      <c r="H732" s="7" t="n">
        <f aca="false">IFERROR(INDEX('Semrush Data'!$A$1:$Z$20000,MATCH(A732,'Semrush Data'!$A$1:$A$20000,0),MATCH("Keyword Difficulty*",'Semrush Data'!$A$1:$Z$1,0)),"")</f>
        <v>11</v>
      </c>
      <c r="I732" s="13" t="n">
        <f aca="false">IFERROR(INDEX('Semrush Data'!$A$1:$Z$20000,MATCH(A732,'Semrush Data'!$A$1:$A$20000,0),MATCH("CPC*",'Semrush Data'!$A$1:$Z$1,0)),"")</f>
        <v>0</v>
      </c>
      <c r="J732" s="7" t="str">
        <f aca="false">IFERROR(INDEX('Semrush Data'!$A$1:$Z$20000,MATCH(A732,'Semrush Data'!$A$1:$A$20000,0),MATCH("Intent",'Semrush Data'!$A$1:$Z$1,0)),"")</f>
        <v>Informational Transactional</v>
      </c>
    </row>
    <row r="733" customFormat="false" ht="15" hidden="false" customHeight="true" outlineLevel="0" collapsed="false">
      <c r="A733" s="7" t="s">
        <v>1708</v>
      </c>
      <c r="B733" s="7" t="s">
        <v>38</v>
      </c>
      <c r="C733" s="7" t="n">
        <v>1</v>
      </c>
      <c r="D733" s="7" t="n">
        <v>8</v>
      </c>
      <c r="E733" s="7" t="n">
        <v>1</v>
      </c>
      <c r="F733" s="7" t="s">
        <v>687</v>
      </c>
      <c r="G733" s="12" t="n">
        <f aca="false">IFERROR(INDEX('Semrush Data'!$A$1:$Z$20000,MATCH(A733,'Semrush Data'!$A$1:$A$20000,0),MATCH("Volume",'Semrush Data'!$A$1:$Z$1,0)),"")</f>
        <v>0</v>
      </c>
      <c r="H733" s="7" t="n">
        <f aca="false">IFERROR(INDEX('Semrush Data'!$A$1:$Z$20000,MATCH(A733,'Semrush Data'!$A$1:$A$20000,0),MATCH("Keyword Difficulty*",'Semrush Data'!$A$1:$Z$1,0)),"")</f>
        <v>29</v>
      </c>
      <c r="I733" s="13" t="n">
        <f aca="false">IFERROR(INDEX('Semrush Data'!$A$1:$Z$20000,MATCH(A733,'Semrush Data'!$A$1:$A$20000,0),MATCH("CPC*",'Semrush Data'!$A$1:$Z$1,0)),"")</f>
        <v>0</v>
      </c>
      <c r="J733" s="7" t="str">
        <f aca="false">IFERROR(INDEX('Semrush Data'!$A$1:$Z$20000,MATCH(A733,'Semrush Data'!$A$1:$A$20000,0),MATCH("Intent",'Semrush Data'!$A$1:$Z$1,0)),"")</f>
        <v>Informational Transactional</v>
      </c>
    </row>
    <row r="734" customFormat="false" ht="15" hidden="false" customHeight="true" outlineLevel="0" collapsed="false">
      <c r="A734" s="7" t="s">
        <v>1714</v>
      </c>
      <c r="B734" s="7" t="s">
        <v>38</v>
      </c>
      <c r="C734" s="7" t="n">
        <v>1</v>
      </c>
      <c r="D734" s="7" t="n">
        <v>8</v>
      </c>
      <c r="E734" s="7" t="n">
        <v>2</v>
      </c>
      <c r="F734" s="7" t="s">
        <v>6811</v>
      </c>
      <c r="G734" s="12" t="n">
        <f aca="false">IFERROR(INDEX('Semrush Data'!$A$1:$Z$20000,MATCH(A734,'Semrush Data'!$A$1:$A$20000,0),MATCH("Volume",'Semrush Data'!$A$1:$Z$1,0)),"")</f>
        <v>0</v>
      </c>
      <c r="H734" s="7" t="n">
        <f aca="false">IFERROR(INDEX('Semrush Data'!$A$1:$Z$20000,MATCH(A734,'Semrush Data'!$A$1:$A$20000,0),MATCH("Keyword Difficulty*",'Semrush Data'!$A$1:$Z$1,0)),"")</f>
        <v>12</v>
      </c>
      <c r="I734" s="13" t="n">
        <f aca="false">IFERROR(INDEX('Semrush Data'!$A$1:$Z$20000,MATCH(A734,'Semrush Data'!$A$1:$A$20000,0),MATCH("CPC*",'Semrush Data'!$A$1:$Z$1,0)),"")</f>
        <v>0</v>
      </c>
      <c r="J734" s="7" t="str">
        <f aca="false">IFERROR(INDEX('Semrush Data'!$A$1:$Z$20000,MATCH(A734,'Semrush Data'!$A$1:$A$20000,0),MATCH("Intent",'Semrush Data'!$A$1:$Z$1,0)),"")</f>
        <v>Informational Transactional</v>
      </c>
    </row>
    <row r="735" customFormat="false" ht="15" hidden="false" customHeight="true" outlineLevel="0" collapsed="false">
      <c r="A735" s="7" t="s">
        <v>1816</v>
      </c>
      <c r="B735" s="7" t="s">
        <v>38</v>
      </c>
      <c r="C735" s="7" t="n">
        <v>1</v>
      </c>
      <c r="D735" s="7" t="n">
        <v>8</v>
      </c>
      <c r="E735" s="7" t="n">
        <v>1</v>
      </c>
      <c r="F735" s="7" t="s">
        <v>786</v>
      </c>
      <c r="G735" s="12" t="n">
        <f aca="false">IFERROR(INDEX('Semrush Data'!$A$1:$Z$20000,MATCH(A735,'Semrush Data'!$A$1:$A$20000,0),MATCH("Volume",'Semrush Data'!$A$1:$Z$1,0)),"")</f>
        <v>0</v>
      </c>
      <c r="H735" s="7" t="n">
        <f aca="false">IFERROR(INDEX('Semrush Data'!$A$1:$Z$20000,MATCH(A735,'Semrush Data'!$A$1:$A$20000,0),MATCH("Keyword Difficulty*",'Semrush Data'!$A$1:$Z$1,0)),"")</f>
        <v>19</v>
      </c>
      <c r="I735" s="13" t="n">
        <f aca="false">IFERROR(INDEX('Semrush Data'!$A$1:$Z$20000,MATCH(A735,'Semrush Data'!$A$1:$A$20000,0),MATCH("CPC*",'Semrush Data'!$A$1:$Z$1,0)),"")</f>
        <v>0</v>
      </c>
      <c r="J735" s="7" t="str">
        <f aca="false">IFERROR(INDEX('Semrush Data'!$A$1:$Z$20000,MATCH(A735,'Semrush Data'!$A$1:$A$20000,0),MATCH("Intent",'Semrush Data'!$A$1:$Z$1,0)),"")</f>
        <v>Informational</v>
      </c>
    </row>
    <row r="736" customFormat="false" ht="15" hidden="false" customHeight="true" outlineLevel="0" collapsed="false">
      <c r="A736" s="7" t="s">
        <v>1744</v>
      </c>
      <c r="B736" s="7" t="s">
        <v>38</v>
      </c>
      <c r="C736" s="7" t="n">
        <v>1</v>
      </c>
      <c r="D736" s="7" t="n">
        <v>8</v>
      </c>
      <c r="E736" s="7" t="n">
        <v>1</v>
      </c>
      <c r="F736" s="7" t="s">
        <v>719</v>
      </c>
      <c r="G736" s="12" t="n">
        <f aca="false">IFERROR(INDEX('Semrush Data'!$A$1:$Z$20000,MATCH(A736,'Semrush Data'!$A$1:$A$20000,0),MATCH("Volume",'Semrush Data'!$A$1:$Z$1,0)),"")</f>
        <v>0</v>
      </c>
      <c r="H736" s="7" t="n">
        <f aca="false">IFERROR(INDEX('Semrush Data'!$A$1:$Z$20000,MATCH(A736,'Semrush Data'!$A$1:$A$20000,0),MATCH("Keyword Difficulty*",'Semrush Data'!$A$1:$Z$1,0)),"")</f>
        <v>15</v>
      </c>
      <c r="I736" s="13" t="n">
        <f aca="false">IFERROR(INDEX('Semrush Data'!$A$1:$Z$20000,MATCH(A736,'Semrush Data'!$A$1:$A$20000,0),MATCH("CPC*",'Semrush Data'!$A$1:$Z$1,0)),"")</f>
        <v>0</v>
      </c>
      <c r="J736" s="7" t="str">
        <f aca="false">IFERROR(INDEX('Semrush Data'!$A$1:$Z$20000,MATCH(A736,'Semrush Data'!$A$1:$A$20000,0),MATCH("Intent",'Semrush Data'!$A$1:$Z$1,0)),"")</f>
        <v>Navigational</v>
      </c>
    </row>
    <row r="737" customFormat="false" ht="15" hidden="false" customHeight="true" outlineLevel="0" collapsed="false">
      <c r="A737" s="7" t="s">
        <v>1537</v>
      </c>
      <c r="B737" s="7" t="s">
        <v>38</v>
      </c>
      <c r="C737" s="7" t="n">
        <v>1</v>
      </c>
      <c r="D737" s="7" t="n">
        <v>8</v>
      </c>
      <c r="E737" s="7" t="n">
        <v>1</v>
      </c>
      <c r="F737" s="7" t="s">
        <v>499</v>
      </c>
      <c r="G737" s="12" t="n">
        <f aca="false">IFERROR(INDEX('Semrush Data'!$A$1:$Z$20000,MATCH(A737,'Semrush Data'!$A$1:$A$20000,0),MATCH("Volume",'Semrush Data'!$A$1:$Z$1,0)),"")</f>
        <v>20</v>
      </c>
      <c r="H737" s="7" t="n">
        <f aca="false">IFERROR(INDEX('Semrush Data'!$A$1:$Z$20000,MATCH(A737,'Semrush Data'!$A$1:$A$20000,0),MATCH("Keyword Difficulty*",'Semrush Data'!$A$1:$Z$1,0)),"")</f>
        <v>14</v>
      </c>
      <c r="I737" s="13" t="n">
        <f aca="false">IFERROR(INDEX('Semrush Data'!$A$1:$Z$20000,MATCH(A737,'Semrush Data'!$A$1:$A$20000,0),MATCH("CPC*",'Semrush Data'!$A$1:$Z$1,0)),"")</f>
        <v>0</v>
      </c>
      <c r="J737" s="7" t="str">
        <f aca="false">IFERROR(INDEX('Semrush Data'!$A$1:$Z$20000,MATCH(A737,'Semrush Data'!$A$1:$A$20000,0),MATCH("Intent",'Semrush Data'!$A$1:$Z$1,0)),"")</f>
        <v>Informational</v>
      </c>
    </row>
    <row r="738" customFormat="false" ht="15" hidden="false" customHeight="true" outlineLevel="0" collapsed="false">
      <c r="A738" s="7" t="s">
        <v>1852</v>
      </c>
      <c r="B738" s="7" t="s">
        <v>38</v>
      </c>
      <c r="C738" s="7" t="n">
        <v>1</v>
      </c>
      <c r="D738" s="7" t="n">
        <v>8</v>
      </c>
      <c r="E738" s="7" t="n">
        <v>1</v>
      </c>
      <c r="F738" s="7" t="s">
        <v>818</v>
      </c>
      <c r="G738" s="12" t="n">
        <f aca="false">IFERROR(INDEX('Semrush Data'!$A$1:$Z$20000,MATCH(A738,'Semrush Data'!$A$1:$A$20000,0),MATCH("Volume",'Semrush Data'!$A$1:$Z$1,0)),"")</f>
        <v>0</v>
      </c>
      <c r="H738" s="7" t="n">
        <f aca="false">IFERROR(INDEX('Semrush Data'!$A$1:$Z$20000,MATCH(A738,'Semrush Data'!$A$1:$A$20000,0),MATCH("Keyword Difficulty*",'Semrush Data'!$A$1:$Z$1,0)),"")</f>
        <v>22</v>
      </c>
      <c r="I738" s="13" t="n">
        <f aca="false">IFERROR(INDEX('Semrush Data'!$A$1:$Z$20000,MATCH(A738,'Semrush Data'!$A$1:$A$20000,0),MATCH("CPC*",'Semrush Data'!$A$1:$Z$1,0)),"")</f>
        <v>0</v>
      </c>
      <c r="J738" s="7" t="str">
        <f aca="false">IFERROR(INDEX('Semrush Data'!$A$1:$Z$20000,MATCH(A738,'Semrush Data'!$A$1:$A$20000,0),MATCH("Intent",'Semrush Data'!$A$1:$Z$1,0)),"")</f>
        <v>Informational Transactional</v>
      </c>
    </row>
    <row r="739" customFormat="false" ht="15" hidden="false" customHeight="true" outlineLevel="0" collapsed="false">
      <c r="A739" s="7" t="s">
        <v>1786</v>
      </c>
      <c r="B739" s="7" t="s">
        <v>38</v>
      </c>
      <c r="C739" s="7" t="n">
        <v>1</v>
      </c>
      <c r="D739" s="7" t="n">
        <v>8</v>
      </c>
      <c r="E739" s="7" t="n">
        <v>1</v>
      </c>
      <c r="F739" s="7" t="s">
        <v>758</v>
      </c>
      <c r="G739" s="12" t="n">
        <f aca="false">IFERROR(INDEX('Semrush Data'!$A$1:$Z$20000,MATCH(A739,'Semrush Data'!$A$1:$A$20000,0),MATCH("Volume",'Semrush Data'!$A$1:$Z$1,0)),"")</f>
        <v>0</v>
      </c>
      <c r="H739" s="7" t="n">
        <f aca="false">IFERROR(INDEX('Semrush Data'!$A$1:$Z$20000,MATCH(A739,'Semrush Data'!$A$1:$A$20000,0),MATCH("Keyword Difficulty*",'Semrush Data'!$A$1:$Z$1,0)),"")</f>
        <v>14</v>
      </c>
      <c r="I739" s="13" t="n">
        <f aca="false">IFERROR(INDEX('Semrush Data'!$A$1:$Z$20000,MATCH(A739,'Semrush Data'!$A$1:$A$20000,0),MATCH("CPC*",'Semrush Data'!$A$1:$Z$1,0)),"")</f>
        <v>0</v>
      </c>
      <c r="J739" s="7" t="str">
        <f aca="false">IFERROR(INDEX('Semrush Data'!$A$1:$Z$20000,MATCH(A739,'Semrush Data'!$A$1:$A$20000,0),MATCH("Intent",'Semrush Data'!$A$1:$Z$1,0)),"")</f>
        <v>Informational Transactional</v>
      </c>
    </row>
    <row r="740" customFormat="false" ht="15" hidden="false" customHeight="true" outlineLevel="0" collapsed="false">
      <c r="A740" s="7" t="s">
        <v>1544</v>
      </c>
      <c r="B740" s="7" t="s">
        <v>38</v>
      </c>
      <c r="C740" s="7" t="n">
        <v>1</v>
      </c>
      <c r="D740" s="7" t="n">
        <v>8</v>
      </c>
      <c r="E740" s="7" t="n">
        <v>1</v>
      </c>
      <c r="F740" s="7" t="s">
        <v>509</v>
      </c>
      <c r="G740" s="12" t="n">
        <f aca="false">IFERROR(INDEX('Semrush Data'!$A$1:$Z$20000,MATCH(A740,'Semrush Data'!$A$1:$A$20000,0),MATCH("Volume",'Semrush Data'!$A$1:$Z$1,0)),"")</f>
        <v>0</v>
      </c>
      <c r="H740" s="7" t="n">
        <f aca="false">IFERROR(INDEX('Semrush Data'!$A$1:$Z$20000,MATCH(A740,'Semrush Data'!$A$1:$A$20000,0),MATCH("Keyword Difficulty*",'Semrush Data'!$A$1:$Z$1,0)),"")</f>
        <v>31</v>
      </c>
      <c r="I740" s="13" t="n">
        <f aca="false">IFERROR(INDEX('Semrush Data'!$A$1:$Z$20000,MATCH(A740,'Semrush Data'!$A$1:$A$20000,0),MATCH("CPC*",'Semrush Data'!$A$1:$Z$1,0)),"")</f>
        <v>0</v>
      </c>
      <c r="J740" s="7" t="str">
        <f aca="false">IFERROR(INDEX('Semrush Data'!$A$1:$Z$20000,MATCH(A740,'Semrush Data'!$A$1:$A$20000,0),MATCH("Intent",'Semrush Data'!$A$1:$Z$1,0)),"")</f>
        <v>Informational Transactional</v>
      </c>
    </row>
    <row r="741" customFormat="false" ht="15" hidden="false" customHeight="true" outlineLevel="0" collapsed="false">
      <c r="A741" s="7" t="s">
        <v>1453</v>
      </c>
      <c r="B741" s="7" t="s">
        <v>38</v>
      </c>
      <c r="C741" s="7" t="n">
        <v>1</v>
      </c>
      <c r="D741" s="7" t="n">
        <v>8</v>
      </c>
      <c r="E741" s="7" t="n">
        <v>1</v>
      </c>
      <c r="F741" s="7" t="s">
        <v>404</v>
      </c>
      <c r="G741" s="12" t="n">
        <f aca="false">IFERROR(INDEX('Semrush Data'!$A$1:$Z$20000,MATCH(A741,'Semrush Data'!$A$1:$A$20000,0),MATCH("Volume",'Semrush Data'!$A$1:$Z$1,0)),"")</f>
        <v>0</v>
      </c>
      <c r="H741" s="7" t="n">
        <f aca="false">IFERROR(INDEX('Semrush Data'!$A$1:$Z$20000,MATCH(A741,'Semrush Data'!$A$1:$A$20000,0),MATCH("Keyword Difficulty*",'Semrush Data'!$A$1:$Z$1,0)),"")</f>
        <v>20</v>
      </c>
      <c r="I741" s="13" t="n">
        <f aca="false">IFERROR(INDEX('Semrush Data'!$A$1:$Z$20000,MATCH(A741,'Semrush Data'!$A$1:$A$20000,0),MATCH("CPC*",'Semrush Data'!$A$1:$Z$1,0)),"")</f>
        <v>0</v>
      </c>
      <c r="J741" s="7" t="str">
        <f aca="false">IFERROR(INDEX('Semrush Data'!$A$1:$Z$20000,MATCH(A741,'Semrush Data'!$A$1:$A$20000,0),MATCH("Intent",'Semrush Data'!$A$1:$Z$1,0)),"")</f>
        <v>Informational Transactional</v>
      </c>
    </row>
    <row r="742" customFormat="false" ht="15" hidden="false" customHeight="true" outlineLevel="0" collapsed="false">
      <c r="A742" s="7" t="s">
        <v>1394</v>
      </c>
      <c r="B742" s="7" t="s">
        <v>38</v>
      </c>
      <c r="C742" s="7" t="n">
        <v>1</v>
      </c>
      <c r="D742" s="7" t="n">
        <v>8</v>
      </c>
      <c r="E742" s="7" t="n">
        <v>1</v>
      </c>
      <c r="F742" s="7" t="s">
        <v>334</v>
      </c>
      <c r="G742" s="12" t="n">
        <f aca="false">IFERROR(INDEX('Semrush Data'!$A$1:$Z$20000,MATCH(A742,'Semrush Data'!$A$1:$A$20000,0),MATCH("Volume",'Semrush Data'!$A$1:$Z$1,0)),"")</f>
        <v>0</v>
      </c>
      <c r="H742" s="7" t="n">
        <f aca="false">IFERROR(INDEX('Semrush Data'!$A$1:$Z$20000,MATCH(A742,'Semrush Data'!$A$1:$A$20000,0),MATCH("Keyword Difficulty*",'Semrush Data'!$A$1:$Z$1,0)),"")</f>
        <v>20</v>
      </c>
      <c r="I742" s="13" t="n">
        <f aca="false">IFERROR(INDEX('Semrush Data'!$A$1:$Z$20000,MATCH(A742,'Semrush Data'!$A$1:$A$20000,0),MATCH("CPC*",'Semrush Data'!$A$1:$Z$1,0)),"")</f>
        <v>0</v>
      </c>
      <c r="J742" s="7" t="str">
        <f aca="false">IFERROR(INDEX('Semrush Data'!$A$1:$Z$20000,MATCH(A742,'Semrush Data'!$A$1:$A$20000,0),MATCH("Intent",'Semrush Data'!$A$1:$Z$1,0)),"")</f>
        <v>Informational Navigational</v>
      </c>
    </row>
    <row r="743" customFormat="false" ht="15" hidden="false" customHeight="true" outlineLevel="0" collapsed="false">
      <c r="A743" s="7" t="s">
        <v>1432</v>
      </c>
      <c r="B743" s="7" t="s">
        <v>38</v>
      </c>
      <c r="C743" s="7" t="n">
        <v>1</v>
      </c>
      <c r="D743" s="7" t="n">
        <v>8</v>
      </c>
      <c r="E743" s="7" t="n">
        <v>1</v>
      </c>
      <c r="F743" s="7" t="s">
        <v>381</v>
      </c>
      <c r="G743" s="12" t="n">
        <f aca="false">IFERROR(INDEX('Semrush Data'!$A$1:$Z$20000,MATCH(A743,'Semrush Data'!$A$1:$A$20000,0),MATCH("Volume",'Semrush Data'!$A$1:$Z$1,0)),"")</f>
        <v>0</v>
      </c>
      <c r="H743" s="7" t="n">
        <f aca="false">IFERROR(INDEX('Semrush Data'!$A$1:$Z$20000,MATCH(A743,'Semrush Data'!$A$1:$A$20000,0),MATCH("Keyword Difficulty*",'Semrush Data'!$A$1:$Z$1,0)),"")</f>
        <v>12</v>
      </c>
      <c r="I743" s="13" t="n">
        <f aca="false">IFERROR(INDEX('Semrush Data'!$A$1:$Z$20000,MATCH(A743,'Semrush Data'!$A$1:$A$20000,0),MATCH("CPC*",'Semrush Data'!$A$1:$Z$1,0)),"")</f>
        <v>0</v>
      </c>
      <c r="J743" s="7" t="str">
        <f aca="false">IFERROR(INDEX('Semrush Data'!$A$1:$Z$20000,MATCH(A743,'Semrush Data'!$A$1:$A$20000,0),MATCH("Intent",'Semrush Data'!$A$1:$Z$1,0)),"")</f>
        <v>Informational Transactional</v>
      </c>
    </row>
    <row r="744" customFormat="false" ht="15" hidden="false" customHeight="true" outlineLevel="0" collapsed="false">
      <c r="A744" s="7" t="s">
        <v>1551</v>
      </c>
      <c r="B744" s="7" t="s">
        <v>38</v>
      </c>
      <c r="C744" s="7" t="n">
        <v>1</v>
      </c>
      <c r="D744" s="7" t="n">
        <v>8</v>
      </c>
      <c r="E744" s="7" t="n">
        <v>1</v>
      </c>
      <c r="F744" s="7" t="s">
        <v>517</v>
      </c>
      <c r="G744" s="12" t="n">
        <f aca="false">IFERROR(INDEX('Semrush Data'!$A$1:$Z$20000,MATCH(A744,'Semrush Data'!$A$1:$A$20000,0),MATCH("Volume",'Semrush Data'!$A$1:$Z$1,0)),"")</f>
        <v>0</v>
      </c>
      <c r="H744" s="7" t="n">
        <f aca="false">IFERROR(INDEX('Semrush Data'!$A$1:$Z$20000,MATCH(A744,'Semrush Data'!$A$1:$A$20000,0),MATCH("Keyword Difficulty*",'Semrush Data'!$A$1:$Z$1,0)),"")</f>
        <v>18</v>
      </c>
      <c r="I744" s="13" t="n">
        <f aca="false">IFERROR(INDEX('Semrush Data'!$A$1:$Z$20000,MATCH(A744,'Semrush Data'!$A$1:$A$20000,0),MATCH("CPC*",'Semrush Data'!$A$1:$Z$1,0)),"")</f>
        <v>0</v>
      </c>
      <c r="J744" s="7" t="str">
        <f aca="false">IFERROR(INDEX('Semrush Data'!$A$1:$Z$20000,MATCH(A744,'Semrush Data'!$A$1:$A$20000,0),MATCH("Intent",'Semrush Data'!$A$1:$Z$1,0)),"")</f>
        <v>Informational Transactional</v>
      </c>
    </row>
    <row r="745" customFormat="false" ht="15" hidden="false" customHeight="true" outlineLevel="0" collapsed="false">
      <c r="A745" s="7" t="s">
        <v>1557</v>
      </c>
      <c r="B745" s="7" t="s">
        <v>38</v>
      </c>
      <c r="C745" s="7" t="n">
        <v>1</v>
      </c>
      <c r="D745" s="7" t="n">
        <v>8</v>
      </c>
      <c r="E745" s="7" t="n">
        <v>1</v>
      </c>
      <c r="F745" s="7" t="s">
        <v>523</v>
      </c>
      <c r="G745" s="12" t="n">
        <f aca="false">IFERROR(INDEX('Semrush Data'!$A$1:$Z$20000,MATCH(A745,'Semrush Data'!$A$1:$A$20000,0),MATCH("Volume",'Semrush Data'!$A$1:$Z$1,0)),"")</f>
        <v>0</v>
      </c>
      <c r="H745" s="7" t="n">
        <f aca="false">IFERROR(INDEX('Semrush Data'!$A$1:$Z$20000,MATCH(A745,'Semrush Data'!$A$1:$A$20000,0),MATCH("Keyword Difficulty*",'Semrush Data'!$A$1:$Z$1,0)),"")</f>
        <v>11</v>
      </c>
      <c r="I745" s="13" t="n">
        <f aca="false">IFERROR(INDEX('Semrush Data'!$A$1:$Z$20000,MATCH(A745,'Semrush Data'!$A$1:$A$20000,0),MATCH("CPC*",'Semrush Data'!$A$1:$Z$1,0)),"")</f>
        <v>0</v>
      </c>
      <c r="J745" s="7" t="str">
        <f aca="false">IFERROR(INDEX('Semrush Data'!$A$1:$Z$20000,MATCH(A745,'Semrush Data'!$A$1:$A$20000,0),MATCH("Intent",'Semrush Data'!$A$1:$Z$1,0)),"")</f>
        <v>Informational Transactional</v>
      </c>
    </row>
    <row r="746" customFormat="false" ht="15" hidden="false" customHeight="true" outlineLevel="0" collapsed="false">
      <c r="A746" s="7" t="s">
        <v>1670</v>
      </c>
      <c r="B746" s="7" t="s">
        <v>38</v>
      </c>
      <c r="C746" s="7" t="n">
        <v>1</v>
      </c>
      <c r="D746" s="7" t="n">
        <v>8</v>
      </c>
      <c r="E746" s="7" t="n">
        <v>1</v>
      </c>
      <c r="F746" s="7" t="s">
        <v>650</v>
      </c>
      <c r="G746" s="12" t="n">
        <f aca="false">IFERROR(INDEX('Semrush Data'!$A$1:$Z$20000,MATCH(A746,'Semrush Data'!$A$1:$A$20000,0),MATCH("Volume",'Semrush Data'!$A$1:$Z$1,0)),"")</f>
        <v>0</v>
      </c>
      <c r="H746" s="7" t="n">
        <f aca="false">IFERROR(INDEX('Semrush Data'!$A$1:$Z$20000,MATCH(A746,'Semrush Data'!$A$1:$A$20000,0),MATCH("Keyword Difficulty*",'Semrush Data'!$A$1:$Z$1,0)),"")</f>
        <v>19</v>
      </c>
      <c r="I746" s="13" t="n">
        <f aca="false">IFERROR(INDEX('Semrush Data'!$A$1:$Z$20000,MATCH(A746,'Semrush Data'!$A$1:$A$20000,0),MATCH("CPC*",'Semrush Data'!$A$1:$Z$1,0)),"")</f>
        <v>0</v>
      </c>
      <c r="J746" s="7" t="str">
        <f aca="false">IFERROR(INDEX('Semrush Data'!$A$1:$Z$20000,MATCH(A746,'Semrush Data'!$A$1:$A$20000,0),MATCH("Intent",'Semrush Data'!$A$1:$Z$1,0)),"")</f>
        <v>Informational Transactional</v>
      </c>
    </row>
    <row r="747" customFormat="false" ht="15" hidden="false" customHeight="true" outlineLevel="0" collapsed="false">
      <c r="A747" s="7" t="s">
        <v>1460</v>
      </c>
      <c r="B747" s="7" t="s">
        <v>38</v>
      </c>
      <c r="C747" s="7" t="n">
        <v>1</v>
      </c>
      <c r="D747" s="7" t="n">
        <v>8</v>
      </c>
      <c r="E747" s="7" t="n">
        <v>1</v>
      </c>
      <c r="F747" s="7" t="s">
        <v>410</v>
      </c>
      <c r="G747" s="12" t="n">
        <f aca="false">IFERROR(INDEX('Semrush Data'!$A$1:$Z$20000,MATCH(A747,'Semrush Data'!$A$1:$A$20000,0),MATCH("Volume",'Semrush Data'!$A$1:$Z$1,0)),"")</f>
        <v>10</v>
      </c>
      <c r="H747" s="7" t="n">
        <f aca="false">IFERROR(INDEX('Semrush Data'!$A$1:$Z$20000,MATCH(A747,'Semrush Data'!$A$1:$A$20000,0),MATCH("Keyword Difficulty*",'Semrush Data'!$A$1:$Z$1,0)),"")</f>
        <v>16</v>
      </c>
      <c r="I747" s="13" t="n">
        <f aca="false">IFERROR(INDEX('Semrush Data'!$A$1:$Z$20000,MATCH(A747,'Semrush Data'!$A$1:$A$20000,0),MATCH("CPC*",'Semrush Data'!$A$1:$Z$1,0)),"")</f>
        <v>0</v>
      </c>
      <c r="J747" s="7" t="str">
        <f aca="false">IFERROR(INDEX('Semrush Data'!$A$1:$Z$20000,MATCH(A747,'Semrush Data'!$A$1:$A$20000,0),MATCH("Intent",'Semrush Data'!$A$1:$Z$1,0)),"")</f>
        <v>Informational Transactional</v>
      </c>
    </row>
    <row r="748" customFormat="false" ht="15" hidden="false" customHeight="true" outlineLevel="0" collapsed="false">
      <c r="A748" s="7" t="s">
        <v>1564</v>
      </c>
      <c r="B748" s="7" t="s">
        <v>38</v>
      </c>
      <c r="C748" s="7" t="n">
        <v>1</v>
      </c>
      <c r="D748" s="7" t="n">
        <v>8</v>
      </c>
      <c r="E748" s="7" t="n">
        <v>1</v>
      </c>
      <c r="F748" s="7" t="s">
        <v>532</v>
      </c>
      <c r="G748" s="12" t="n">
        <f aca="false">IFERROR(INDEX('Semrush Data'!$A$1:$Z$20000,MATCH(A748,'Semrush Data'!$A$1:$A$20000,0),MATCH("Volume",'Semrush Data'!$A$1:$Z$1,0)),"")</f>
        <v>0</v>
      </c>
      <c r="H748" s="7" t="n">
        <f aca="false">IFERROR(INDEX('Semrush Data'!$A$1:$Z$20000,MATCH(A748,'Semrush Data'!$A$1:$A$20000,0),MATCH("Keyword Difficulty*",'Semrush Data'!$A$1:$Z$1,0)),"")</f>
        <v>11</v>
      </c>
      <c r="I748" s="13" t="n">
        <f aca="false">IFERROR(INDEX('Semrush Data'!$A$1:$Z$20000,MATCH(A748,'Semrush Data'!$A$1:$A$20000,0),MATCH("CPC*",'Semrush Data'!$A$1:$Z$1,0)),"")</f>
        <v>0</v>
      </c>
      <c r="J748" s="7" t="str">
        <f aca="false">IFERROR(INDEX('Semrush Data'!$A$1:$Z$20000,MATCH(A748,'Semrush Data'!$A$1:$A$20000,0),MATCH("Intent",'Semrush Data'!$A$1:$Z$1,0)),"")</f>
        <v>Informational Transactional</v>
      </c>
    </row>
    <row r="749" customFormat="false" ht="15" hidden="false" customHeight="true" outlineLevel="0" collapsed="false">
      <c r="A749" s="7" t="s">
        <v>1569</v>
      </c>
      <c r="B749" s="7" t="s">
        <v>38</v>
      </c>
      <c r="C749" s="7" t="n">
        <v>1</v>
      </c>
      <c r="D749" s="7" t="n">
        <v>8</v>
      </c>
      <c r="E749" s="7" t="n">
        <v>1</v>
      </c>
      <c r="F749" s="7" t="s">
        <v>539</v>
      </c>
      <c r="G749" s="12" t="n">
        <f aca="false">IFERROR(INDEX('Semrush Data'!$A$1:$Z$20000,MATCH(A749,'Semrush Data'!$A$1:$A$20000,0),MATCH("Volume",'Semrush Data'!$A$1:$Z$1,0)),"")</f>
        <v>0</v>
      </c>
      <c r="H749" s="7" t="n">
        <f aca="false">IFERROR(INDEX('Semrush Data'!$A$1:$Z$20000,MATCH(A749,'Semrush Data'!$A$1:$A$20000,0),MATCH("Keyword Difficulty*",'Semrush Data'!$A$1:$Z$1,0)),"")</f>
        <v>21</v>
      </c>
      <c r="I749" s="13" t="n">
        <f aca="false">IFERROR(INDEX('Semrush Data'!$A$1:$Z$20000,MATCH(A749,'Semrush Data'!$A$1:$A$20000,0),MATCH("CPC*",'Semrush Data'!$A$1:$Z$1,0)),"")</f>
        <v>0</v>
      </c>
      <c r="J749" s="7" t="str">
        <f aca="false">IFERROR(INDEX('Semrush Data'!$A$1:$Z$20000,MATCH(A749,'Semrush Data'!$A$1:$A$20000,0),MATCH("Intent",'Semrush Data'!$A$1:$Z$1,0)),"")</f>
        <v>Informational Transactional</v>
      </c>
    </row>
    <row r="750" customFormat="false" ht="15" hidden="false" customHeight="true" outlineLevel="0" collapsed="false">
      <c r="A750" s="7" t="s">
        <v>1575</v>
      </c>
      <c r="B750" s="7" t="s">
        <v>38</v>
      </c>
      <c r="C750" s="7" t="n">
        <v>1</v>
      </c>
      <c r="D750" s="7" t="n">
        <v>8</v>
      </c>
      <c r="E750" s="7" t="n">
        <v>1</v>
      </c>
      <c r="F750" s="7" t="s">
        <v>545</v>
      </c>
      <c r="G750" s="12" t="n">
        <f aca="false">IFERROR(INDEX('Semrush Data'!$A$1:$Z$20000,MATCH(A750,'Semrush Data'!$A$1:$A$20000,0),MATCH("Volume",'Semrush Data'!$A$1:$Z$1,0)),"")</f>
        <v>0</v>
      </c>
      <c r="H750" s="7" t="n">
        <f aca="false">IFERROR(INDEX('Semrush Data'!$A$1:$Z$20000,MATCH(A750,'Semrush Data'!$A$1:$A$20000,0),MATCH("Keyword Difficulty*",'Semrush Data'!$A$1:$Z$1,0)),"")</f>
        <v>18</v>
      </c>
      <c r="I750" s="13" t="n">
        <f aca="false">IFERROR(INDEX('Semrush Data'!$A$1:$Z$20000,MATCH(A750,'Semrush Data'!$A$1:$A$20000,0),MATCH("CPC*",'Semrush Data'!$A$1:$Z$1,0)),"")</f>
        <v>0</v>
      </c>
      <c r="J750" s="7" t="str">
        <f aca="false">IFERROR(INDEX('Semrush Data'!$A$1:$Z$20000,MATCH(A750,'Semrush Data'!$A$1:$A$20000,0),MATCH("Intent",'Semrush Data'!$A$1:$Z$1,0)),"")</f>
        <v>Informational Transactional</v>
      </c>
    </row>
    <row r="751" customFormat="false" ht="15" hidden="false" customHeight="true" outlineLevel="0" collapsed="false">
      <c r="A751" s="7" t="s">
        <v>1402</v>
      </c>
      <c r="B751" s="7" t="s">
        <v>38</v>
      </c>
      <c r="C751" s="7" t="n">
        <v>1</v>
      </c>
      <c r="D751" s="7" t="n">
        <v>8</v>
      </c>
      <c r="E751" s="7" t="n">
        <v>1</v>
      </c>
      <c r="F751" s="7" t="s">
        <v>344</v>
      </c>
      <c r="G751" s="12" t="n">
        <f aca="false">IFERROR(INDEX('Semrush Data'!$A$1:$Z$20000,MATCH(A751,'Semrush Data'!$A$1:$A$20000,0),MATCH("Volume",'Semrush Data'!$A$1:$Z$1,0)),"")</f>
        <v>0</v>
      </c>
      <c r="H751" s="7" t="n">
        <f aca="false">IFERROR(INDEX('Semrush Data'!$A$1:$Z$20000,MATCH(A751,'Semrush Data'!$A$1:$A$20000,0),MATCH("Keyword Difficulty*",'Semrush Data'!$A$1:$Z$1,0)),"")</f>
        <v>18</v>
      </c>
      <c r="I751" s="13" t="n">
        <f aca="false">IFERROR(INDEX('Semrush Data'!$A$1:$Z$20000,MATCH(A751,'Semrush Data'!$A$1:$A$20000,0),MATCH("CPC*",'Semrush Data'!$A$1:$Z$1,0)),"")</f>
        <v>0</v>
      </c>
      <c r="J751" s="7" t="str">
        <f aca="false">IFERROR(INDEX('Semrush Data'!$A$1:$Z$20000,MATCH(A751,'Semrush Data'!$A$1:$A$20000,0),MATCH("Intent",'Semrush Data'!$A$1:$Z$1,0)),"")</f>
        <v>Navigational</v>
      </c>
    </row>
    <row r="752" customFormat="false" ht="15" hidden="false" customHeight="true" outlineLevel="0" collapsed="false">
      <c r="A752" s="7" t="s">
        <v>1870</v>
      </c>
      <c r="B752" s="7" t="s">
        <v>38</v>
      </c>
      <c r="C752" s="7" t="n">
        <v>1</v>
      </c>
      <c r="D752" s="7" t="n">
        <v>8</v>
      </c>
      <c r="E752" s="7" t="n">
        <v>1</v>
      </c>
      <c r="F752" s="7" t="s">
        <v>835</v>
      </c>
      <c r="G752" s="12" t="n">
        <f aca="false">IFERROR(INDEX('Semrush Data'!$A$1:$Z$20000,MATCH(A752,'Semrush Data'!$A$1:$A$20000,0),MATCH("Volume",'Semrush Data'!$A$1:$Z$1,0)),"")</f>
        <v>0</v>
      </c>
      <c r="H752" s="7" t="n">
        <f aca="false">IFERROR(INDEX('Semrush Data'!$A$1:$Z$20000,MATCH(A752,'Semrush Data'!$A$1:$A$20000,0),MATCH("Keyword Difficulty*",'Semrush Data'!$A$1:$Z$1,0)),"")</f>
        <v>13</v>
      </c>
      <c r="I752" s="13" t="n">
        <f aca="false">IFERROR(INDEX('Semrush Data'!$A$1:$Z$20000,MATCH(A752,'Semrush Data'!$A$1:$A$20000,0),MATCH("CPC*",'Semrush Data'!$A$1:$Z$1,0)),"")</f>
        <v>0</v>
      </c>
      <c r="J752" s="7" t="str">
        <f aca="false">IFERROR(INDEX('Semrush Data'!$A$1:$Z$20000,MATCH(A752,'Semrush Data'!$A$1:$A$20000,0),MATCH("Intent",'Semrush Data'!$A$1:$Z$1,0)),"")</f>
        <v>Informational Transactional</v>
      </c>
    </row>
    <row r="753" customFormat="false" ht="15" hidden="false" customHeight="true" outlineLevel="0" collapsed="false">
      <c r="A753" s="7" t="s">
        <v>1780</v>
      </c>
      <c r="B753" s="7" t="s">
        <v>38</v>
      </c>
      <c r="C753" s="7" t="n">
        <v>1</v>
      </c>
      <c r="D753" s="7" t="n">
        <v>8</v>
      </c>
      <c r="E753" s="7" t="n">
        <v>1</v>
      </c>
      <c r="F753" s="7" t="s">
        <v>753</v>
      </c>
      <c r="G753" s="12" t="n">
        <f aca="false">IFERROR(INDEX('Semrush Data'!$A$1:$Z$20000,MATCH(A753,'Semrush Data'!$A$1:$A$20000,0),MATCH("Volume",'Semrush Data'!$A$1:$Z$1,0)),"")</f>
        <v>0</v>
      </c>
      <c r="H753" s="7" t="n">
        <f aca="false">IFERROR(INDEX('Semrush Data'!$A$1:$Z$20000,MATCH(A753,'Semrush Data'!$A$1:$A$20000,0),MATCH("Keyword Difficulty*",'Semrush Data'!$A$1:$Z$1,0)),"")</f>
        <v>20</v>
      </c>
      <c r="I753" s="13" t="n">
        <f aca="false">IFERROR(INDEX('Semrush Data'!$A$1:$Z$20000,MATCH(A753,'Semrush Data'!$A$1:$A$20000,0),MATCH("CPC*",'Semrush Data'!$A$1:$Z$1,0)),"")</f>
        <v>0</v>
      </c>
      <c r="J753" s="7" t="str">
        <f aca="false">IFERROR(INDEX('Semrush Data'!$A$1:$Z$20000,MATCH(A753,'Semrush Data'!$A$1:$A$20000,0),MATCH("Intent",'Semrush Data'!$A$1:$Z$1,0)),"")</f>
        <v>Navigational</v>
      </c>
    </row>
    <row r="754" customFormat="false" ht="15" hidden="false" customHeight="true" outlineLevel="0" collapsed="false">
      <c r="A754" s="7" t="s">
        <v>1774</v>
      </c>
      <c r="B754" s="7" t="s">
        <v>38</v>
      </c>
      <c r="C754" s="7" t="n">
        <v>1</v>
      </c>
      <c r="D754" s="7" t="n">
        <v>8</v>
      </c>
      <c r="E754" s="7" t="n">
        <v>1</v>
      </c>
      <c r="F754" s="7" t="s">
        <v>748</v>
      </c>
      <c r="G754" s="12" t="n">
        <f aca="false">IFERROR(INDEX('Semrush Data'!$A$1:$Z$20000,MATCH(A754,'Semrush Data'!$A$1:$A$20000,0),MATCH("Volume",'Semrush Data'!$A$1:$Z$1,0)),"")</f>
        <v>0</v>
      </c>
      <c r="H754" s="7" t="n">
        <f aca="false">IFERROR(INDEX('Semrush Data'!$A$1:$Z$20000,MATCH(A754,'Semrush Data'!$A$1:$A$20000,0),MATCH("Keyword Difficulty*",'Semrush Data'!$A$1:$Z$1,0)),"")</f>
        <v>12</v>
      </c>
      <c r="I754" s="13" t="n">
        <f aca="false">IFERROR(INDEX('Semrush Data'!$A$1:$Z$20000,MATCH(A754,'Semrush Data'!$A$1:$A$20000,0),MATCH("CPC*",'Semrush Data'!$A$1:$Z$1,0)),"")</f>
        <v>0</v>
      </c>
      <c r="J754" s="7" t="str">
        <f aca="false">IFERROR(INDEX('Semrush Data'!$A$1:$Z$20000,MATCH(A754,'Semrush Data'!$A$1:$A$20000,0),MATCH("Intent",'Semrush Data'!$A$1:$Z$1,0)),"")</f>
        <v>Navigational</v>
      </c>
    </row>
    <row r="755" customFormat="false" ht="15" hidden="false" customHeight="true" outlineLevel="0" collapsed="false">
      <c r="A755" s="7" t="s">
        <v>1792</v>
      </c>
      <c r="B755" s="7" t="s">
        <v>38</v>
      </c>
      <c r="C755" s="7" t="n">
        <v>1</v>
      </c>
      <c r="D755" s="7" t="n">
        <v>8</v>
      </c>
      <c r="E755" s="7" t="n">
        <v>1</v>
      </c>
      <c r="F755" s="7" t="s">
        <v>764</v>
      </c>
      <c r="G755" s="12" t="n">
        <f aca="false">IFERROR(INDEX('Semrush Data'!$A$1:$Z$20000,MATCH(A755,'Semrush Data'!$A$1:$A$20000,0),MATCH("Volume",'Semrush Data'!$A$1:$Z$1,0)),"")</f>
        <v>0</v>
      </c>
      <c r="H755" s="7" t="n">
        <f aca="false">IFERROR(INDEX('Semrush Data'!$A$1:$Z$20000,MATCH(A755,'Semrush Data'!$A$1:$A$20000,0),MATCH("Keyword Difficulty*",'Semrush Data'!$A$1:$Z$1,0)),"")</f>
        <v>14</v>
      </c>
      <c r="I755" s="13" t="n">
        <f aca="false">IFERROR(INDEX('Semrush Data'!$A$1:$Z$20000,MATCH(A755,'Semrush Data'!$A$1:$A$20000,0),MATCH("CPC*",'Semrush Data'!$A$1:$Z$1,0)),"")</f>
        <v>0</v>
      </c>
      <c r="J755" s="7" t="str">
        <f aca="false">IFERROR(INDEX('Semrush Data'!$A$1:$Z$20000,MATCH(A755,'Semrush Data'!$A$1:$A$20000,0),MATCH("Intent",'Semrush Data'!$A$1:$Z$1,0)),"")</f>
        <v>Informational Transactional</v>
      </c>
    </row>
    <row r="756" customFormat="false" ht="15" hidden="false" customHeight="true" outlineLevel="0" collapsed="false">
      <c r="A756" s="7" t="s">
        <v>1657</v>
      </c>
      <c r="B756" s="7" t="s">
        <v>38</v>
      </c>
      <c r="C756" s="7" t="n">
        <v>1</v>
      </c>
      <c r="D756" s="7" t="n">
        <v>8</v>
      </c>
      <c r="E756" s="7" t="n">
        <v>1</v>
      </c>
      <c r="F756" s="7" t="s">
        <v>637</v>
      </c>
      <c r="G756" s="12" t="n">
        <f aca="false">IFERROR(INDEX('Semrush Data'!$A$1:$Z$20000,MATCH(A756,'Semrush Data'!$A$1:$A$20000,0),MATCH("Volume",'Semrush Data'!$A$1:$Z$1,0)),"")</f>
        <v>0</v>
      </c>
      <c r="H756" s="7" t="n">
        <f aca="false">IFERROR(INDEX('Semrush Data'!$A$1:$Z$20000,MATCH(A756,'Semrush Data'!$A$1:$A$20000,0),MATCH("Keyword Difficulty*",'Semrush Data'!$A$1:$Z$1,0)),"")</f>
        <v>23</v>
      </c>
      <c r="I756" s="13" t="n">
        <f aca="false">IFERROR(INDEX('Semrush Data'!$A$1:$Z$20000,MATCH(A756,'Semrush Data'!$A$1:$A$20000,0),MATCH("CPC*",'Semrush Data'!$A$1:$Z$1,0)),"")</f>
        <v>0</v>
      </c>
      <c r="J756" s="7" t="str">
        <f aca="false">IFERROR(INDEX('Semrush Data'!$A$1:$Z$20000,MATCH(A756,'Semrush Data'!$A$1:$A$20000,0),MATCH("Intent",'Semrush Data'!$A$1:$Z$1,0)),"")</f>
        <v>Informational Transactional</v>
      </c>
    </row>
    <row r="757" customFormat="false" ht="15" hidden="false" customHeight="true" outlineLevel="0" collapsed="false">
      <c r="A757" s="7" t="s">
        <v>1581</v>
      </c>
      <c r="B757" s="7" t="s">
        <v>38</v>
      </c>
      <c r="C757" s="7" t="n">
        <v>1</v>
      </c>
      <c r="D757" s="7" t="n">
        <v>8</v>
      </c>
      <c r="E757" s="7" t="n">
        <v>1</v>
      </c>
      <c r="F757" s="7" t="s">
        <v>551</v>
      </c>
      <c r="G757" s="12" t="n">
        <f aca="false">IFERROR(INDEX('Semrush Data'!$A$1:$Z$20000,MATCH(A757,'Semrush Data'!$A$1:$A$20000,0),MATCH("Volume",'Semrush Data'!$A$1:$Z$1,0)),"")</f>
        <v>0</v>
      </c>
      <c r="H757" s="7" t="n">
        <f aca="false">IFERROR(INDEX('Semrush Data'!$A$1:$Z$20000,MATCH(A757,'Semrush Data'!$A$1:$A$20000,0),MATCH("Keyword Difficulty*",'Semrush Data'!$A$1:$Z$1,0)),"")</f>
        <v>33</v>
      </c>
      <c r="I757" s="13" t="n">
        <f aca="false">IFERROR(INDEX('Semrush Data'!$A$1:$Z$20000,MATCH(A757,'Semrush Data'!$A$1:$A$20000,0),MATCH("CPC*",'Semrush Data'!$A$1:$Z$1,0)),"")</f>
        <v>0</v>
      </c>
      <c r="J757" s="7" t="str">
        <f aca="false">IFERROR(INDEX('Semrush Data'!$A$1:$Z$20000,MATCH(A757,'Semrush Data'!$A$1:$A$20000,0),MATCH("Intent",'Semrush Data'!$A$1:$Z$1,0)),"")</f>
        <v>Transactional Navigational</v>
      </c>
    </row>
    <row r="758" customFormat="false" ht="15" hidden="false" customHeight="true" outlineLevel="0" collapsed="false">
      <c r="A758" s="7" t="s">
        <v>1684</v>
      </c>
      <c r="B758" s="7" t="s">
        <v>38</v>
      </c>
      <c r="C758" s="7" t="n">
        <v>1</v>
      </c>
      <c r="D758" s="7" t="n">
        <v>8</v>
      </c>
      <c r="E758" s="7" t="n">
        <v>1</v>
      </c>
      <c r="F758" s="7" t="s">
        <v>664</v>
      </c>
      <c r="G758" s="12" t="n">
        <f aca="false">IFERROR(INDEX('Semrush Data'!$A$1:$Z$20000,MATCH(A758,'Semrush Data'!$A$1:$A$20000,0),MATCH("Volume",'Semrush Data'!$A$1:$Z$1,0)),"")</f>
        <v>0</v>
      </c>
      <c r="H758" s="7" t="n">
        <f aca="false">IFERROR(INDEX('Semrush Data'!$A$1:$Z$20000,MATCH(A758,'Semrush Data'!$A$1:$A$20000,0),MATCH("Keyword Difficulty*",'Semrush Data'!$A$1:$Z$1,0)),"")</f>
        <v>18</v>
      </c>
      <c r="I758" s="13" t="n">
        <f aca="false">IFERROR(INDEX('Semrush Data'!$A$1:$Z$20000,MATCH(A758,'Semrush Data'!$A$1:$A$20000,0),MATCH("CPC*",'Semrush Data'!$A$1:$Z$1,0)),"")</f>
        <v>0</v>
      </c>
      <c r="J758" s="7" t="str">
        <f aca="false">IFERROR(INDEX('Semrush Data'!$A$1:$Z$20000,MATCH(A758,'Semrush Data'!$A$1:$A$20000,0),MATCH("Intent",'Semrush Data'!$A$1:$Z$1,0)),"")</f>
        <v>Informational Transactional</v>
      </c>
    </row>
    <row r="759" customFormat="false" ht="15" hidden="false" customHeight="true" outlineLevel="0" collapsed="false">
      <c r="A759" s="7" t="s">
        <v>1439</v>
      </c>
      <c r="B759" s="7" t="s">
        <v>38</v>
      </c>
      <c r="C759" s="7" t="n">
        <v>1</v>
      </c>
      <c r="D759" s="7" t="n">
        <v>8</v>
      </c>
      <c r="E759" s="7" t="n">
        <v>1</v>
      </c>
      <c r="F759" s="7" t="s">
        <v>387</v>
      </c>
      <c r="G759" s="12" t="n">
        <f aca="false">IFERROR(INDEX('Semrush Data'!$A$1:$Z$20000,MATCH(A759,'Semrush Data'!$A$1:$A$20000,0),MATCH("Volume",'Semrush Data'!$A$1:$Z$1,0)),"")</f>
        <v>0</v>
      </c>
      <c r="H759" s="7" t="n">
        <f aca="false">IFERROR(INDEX('Semrush Data'!$A$1:$Z$20000,MATCH(A759,'Semrush Data'!$A$1:$A$20000,0),MATCH("Keyword Difficulty*",'Semrush Data'!$A$1:$Z$1,0)),"")</f>
        <v>11</v>
      </c>
      <c r="I759" s="13" t="n">
        <f aca="false">IFERROR(INDEX('Semrush Data'!$A$1:$Z$20000,MATCH(A759,'Semrush Data'!$A$1:$A$20000,0),MATCH("CPC*",'Semrush Data'!$A$1:$Z$1,0)),"")</f>
        <v>0</v>
      </c>
      <c r="J759" s="7" t="str">
        <f aca="false">IFERROR(INDEX('Semrush Data'!$A$1:$Z$20000,MATCH(A759,'Semrush Data'!$A$1:$A$20000,0),MATCH("Intent",'Semrush Data'!$A$1:$Z$1,0)),"")</f>
        <v>Informational Transactional</v>
      </c>
    </row>
    <row r="760" customFormat="false" ht="15" hidden="false" customHeight="true" outlineLevel="0" collapsed="false">
      <c r="A760" s="7" t="s">
        <v>1864</v>
      </c>
      <c r="B760" s="7" t="s">
        <v>38</v>
      </c>
      <c r="C760" s="7" t="n">
        <v>1</v>
      </c>
      <c r="D760" s="7" t="n">
        <v>8</v>
      </c>
      <c r="E760" s="7" t="n">
        <v>1</v>
      </c>
      <c r="F760" s="7" t="s">
        <v>830</v>
      </c>
      <c r="G760" s="12" t="n">
        <f aca="false">IFERROR(INDEX('Semrush Data'!$A$1:$Z$20000,MATCH(A760,'Semrush Data'!$A$1:$A$20000,0),MATCH("Volume",'Semrush Data'!$A$1:$Z$1,0)),"")</f>
        <v>0</v>
      </c>
      <c r="H760" s="7" t="n">
        <f aca="false">IFERROR(INDEX('Semrush Data'!$A$1:$Z$20000,MATCH(A760,'Semrush Data'!$A$1:$A$20000,0),MATCH("Keyword Difficulty*",'Semrush Data'!$A$1:$Z$1,0)),"")</f>
        <v>19</v>
      </c>
      <c r="I760" s="13" t="n">
        <f aca="false">IFERROR(INDEX('Semrush Data'!$A$1:$Z$20000,MATCH(A760,'Semrush Data'!$A$1:$A$20000,0),MATCH("CPC*",'Semrush Data'!$A$1:$Z$1,0)),"")</f>
        <v>0</v>
      </c>
      <c r="J760" s="7" t="str">
        <f aca="false">IFERROR(INDEX('Semrush Data'!$A$1:$Z$20000,MATCH(A760,'Semrush Data'!$A$1:$A$20000,0),MATCH("Intent",'Semrush Data'!$A$1:$Z$1,0)),"")</f>
        <v>Navigational</v>
      </c>
    </row>
    <row r="761" customFormat="false" ht="15" hidden="false" customHeight="true" outlineLevel="0" collapsed="false">
      <c r="A761" s="7" t="s">
        <v>1588</v>
      </c>
      <c r="B761" s="7" t="s">
        <v>38</v>
      </c>
      <c r="C761" s="7" t="n">
        <v>1</v>
      </c>
      <c r="D761" s="7" t="n">
        <v>8</v>
      </c>
      <c r="E761" s="7" t="n">
        <v>1</v>
      </c>
      <c r="F761" s="7" t="s">
        <v>558</v>
      </c>
      <c r="G761" s="12" t="n">
        <f aca="false">IFERROR(INDEX('Semrush Data'!$A$1:$Z$20000,MATCH(A761,'Semrush Data'!$A$1:$A$20000,0),MATCH("Volume",'Semrush Data'!$A$1:$Z$1,0)),"")</f>
        <v>0</v>
      </c>
      <c r="H761" s="7" t="n">
        <f aca="false">IFERROR(INDEX('Semrush Data'!$A$1:$Z$20000,MATCH(A761,'Semrush Data'!$A$1:$A$20000,0),MATCH("Keyword Difficulty*",'Semrush Data'!$A$1:$Z$1,0)),"")</f>
        <v>35</v>
      </c>
      <c r="I761" s="13" t="n">
        <f aca="false">IFERROR(INDEX('Semrush Data'!$A$1:$Z$20000,MATCH(A761,'Semrush Data'!$A$1:$A$20000,0),MATCH("CPC*",'Semrush Data'!$A$1:$Z$1,0)),"")</f>
        <v>0</v>
      </c>
      <c r="J761" s="7" t="str">
        <f aca="false">IFERROR(INDEX('Semrush Data'!$A$1:$Z$20000,MATCH(A761,'Semrush Data'!$A$1:$A$20000,0),MATCH("Intent",'Semrush Data'!$A$1:$Z$1,0)),"")</f>
        <v>Informational Transactional</v>
      </c>
    </row>
    <row r="762" customFormat="false" ht="15" hidden="false" customHeight="true" outlineLevel="0" collapsed="false">
      <c r="A762" s="7" t="s">
        <v>1467</v>
      </c>
      <c r="B762" s="7" t="s">
        <v>38</v>
      </c>
      <c r="C762" s="7" t="n">
        <v>1</v>
      </c>
      <c r="D762" s="7" t="n">
        <v>8</v>
      </c>
      <c r="E762" s="7" t="n">
        <v>1</v>
      </c>
      <c r="F762" s="7" t="s">
        <v>420</v>
      </c>
      <c r="G762" s="12" t="n">
        <f aca="false">IFERROR(INDEX('Semrush Data'!$A$1:$Z$20000,MATCH(A762,'Semrush Data'!$A$1:$A$20000,0),MATCH("Volume",'Semrush Data'!$A$1:$Z$1,0)),"")</f>
        <v>20</v>
      </c>
      <c r="H762" s="7" t="n">
        <f aca="false">IFERROR(INDEX('Semrush Data'!$A$1:$Z$20000,MATCH(A762,'Semrush Data'!$A$1:$A$20000,0),MATCH("Keyword Difficulty*",'Semrush Data'!$A$1:$Z$1,0)),"")</f>
        <v>9</v>
      </c>
      <c r="I762" s="13" t="n">
        <f aca="false">IFERROR(INDEX('Semrush Data'!$A$1:$Z$20000,MATCH(A762,'Semrush Data'!$A$1:$A$20000,0),MATCH("CPC*",'Semrush Data'!$A$1:$Z$1,0)),"")</f>
        <v>0.3</v>
      </c>
      <c r="J762" s="7" t="str">
        <f aca="false">IFERROR(INDEX('Semrush Data'!$A$1:$Z$20000,MATCH(A762,'Semrush Data'!$A$1:$A$20000,0),MATCH("Intent",'Semrush Data'!$A$1:$Z$1,0)),"")</f>
        <v>Transactional Navigational</v>
      </c>
    </row>
    <row r="763" customFormat="false" ht="15" hidden="false" customHeight="true" outlineLevel="0" collapsed="false">
      <c r="A763" s="7" t="s">
        <v>1385</v>
      </c>
      <c r="B763" s="7" t="s">
        <v>38</v>
      </c>
      <c r="C763" s="7" t="n">
        <v>1</v>
      </c>
      <c r="D763" s="7" t="n">
        <v>8</v>
      </c>
      <c r="E763" s="7" t="n">
        <v>3</v>
      </c>
      <c r="F763" s="7" t="s">
        <v>6812</v>
      </c>
      <c r="G763" s="12" t="n">
        <f aca="false">IFERROR(INDEX('Semrush Data'!$A$1:$Z$20000,MATCH(A763,'Semrush Data'!$A$1:$A$20000,0),MATCH("Volume",'Semrush Data'!$A$1:$Z$1,0)),"")</f>
        <v>20</v>
      </c>
      <c r="H763" s="7" t="n">
        <f aca="false">IFERROR(INDEX('Semrush Data'!$A$1:$Z$20000,MATCH(A763,'Semrush Data'!$A$1:$A$20000,0),MATCH("Keyword Difficulty*",'Semrush Data'!$A$1:$Z$1,0)),"")</f>
        <v>26</v>
      </c>
      <c r="I763" s="13" t="n">
        <f aca="false">IFERROR(INDEX('Semrush Data'!$A$1:$Z$20000,MATCH(A763,'Semrush Data'!$A$1:$A$20000,0),MATCH("CPC*",'Semrush Data'!$A$1:$Z$1,0)),"")</f>
        <v>0.55</v>
      </c>
      <c r="J763" s="7" t="str">
        <f aca="false">IFERROR(INDEX('Semrush Data'!$A$1:$Z$20000,MATCH(A763,'Semrush Data'!$A$1:$A$20000,0),MATCH("Intent",'Semrush Data'!$A$1:$Z$1,0)),"")</f>
        <v>Informational Transactional</v>
      </c>
    </row>
    <row r="764" customFormat="false" ht="15" hidden="false" customHeight="true" outlineLevel="0" collapsed="false">
      <c r="A764" s="7" t="s">
        <v>1828</v>
      </c>
      <c r="B764" s="7" t="s">
        <v>38</v>
      </c>
      <c r="C764" s="7" t="n">
        <v>1</v>
      </c>
      <c r="D764" s="7" t="n">
        <v>8</v>
      </c>
      <c r="E764" s="7" t="n">
        <v>1</v>
      </c>
      <c r="F764" s="7" t="s">
        <v>796</v>
      </c>
      <c r="G764" s="12" t="n">
        <f aca="false">IFERROR(INDEX('Semrush Data'!$A$1:$Z$20000,MATCH(A764,'Semrush Data'!$A$1:$A$20000,0),MATCH("Volume",'Semrush Data'!$A$1:$Z$1,0)),"")</f>
        <v>0</v>
      </c>
      <c r="H764" s="7" t="n">
        <f aca="false">IFERROR(INDEX('Semrush Data'!$A$1:$Z$20000,MATCH(A764,'Semrush Data'!$A$1:$A$20000,0),MATCH("Keyword Difficulty*",'Semrush Data'!$A$1:$Z$1,0)),"")</f>
        <v>20</v>
      </c>
      <c r="I764" s="13" t="n">
        <f aca="false">IFERROR(INDEX('Semrush Data'!$A$1:$Z$20000,MATCH(A764,'Semrush Data'!$A$1:$A$20000,0),MATCH("CPC*",'Semrush Data'!$A$1:$Z$1,0)),"")</f>
        <v>0</v>
      </c>
      <c r="J764" s="7" t="str">
        <f aca="false">IFERROR(INDEX('Semrush Data'!$A$1:$Z$20000,MATCH(A764,'Semrush Data'!$A$1:$A$20000,0),MATCH("Intent",'Semrush Data'!$A$1:$Z$1,0)),"")</f>
        <v>Transactional Navigational</v>
      </c>
    </row>
    <row r="765" customFormat="false" ht="15" hidden="false" customHeight="true" outlineLevel="0" collapsed="false">
      <c r="A765" s="7" t="s">
        <v>1858</v>
      </c>
      <c r="B765" s="7" t="s">
        <v>38</v>
      </c>
      <c r="C765" s="7" t="n">
        <v>1</v>
      </c>
      <c r="D765" s="7" t="n">
        <v>8</v>
      </c>
      <c r="E765" s="7" t="n">
        <v>1</v>
      </c>
      <c r="F765" s="7" t="s">
        <v>823</v>
      </c>
      <c r="G765" s="12" t="n">
        <f aca="false">IFERROR(INDEX('Semrush Data'!$A$1:$Z$20000,MATCH(A765,'Semrush Data'!$A$1:$A$20000,0),MATCH("Volume",'Semrush Data'!$A$1:$Z$1,0)),"")</f>
        <v>0</v>
      </c>
      <c r="H765" s="7" t="n">
        <f aca="false">IFERROR(INDEX('Semrush Data'!$A$1:$Z$20000,MATCH(A765,'Semrush Data'!$A$1:$A$20000,0),MATCH("Keyword Difficulty*",'Semrush Data'!$A$1:$Z$1,0)),"")</f>
        <v>14</v>
      </c>
      <c r="I765" s="13" t="n">
        <f aca="false">IFERROR(INDEX('Semrush Data'!$A$1:$Z$20000,MATCH(A765,'Semrush Data'!$A$1:$A$20000,0),MATCH("CPC*",'Semrush Data'!$A$1:$Z$1,0)),"")</f>
        <v>0</v>
      </c>
      <c r="J765" s="7" t="str">
        <f aca="false">IFERROR(INDEX('Semrush Data'!$A$1:$Z$20000,MATCH(A765,'Semrush Data'!$A$1:$A$20000,0),MATCH("Intent",'Semrush Data'!$A$1:$Z$1,0)),"")</f>
        <v>Informational</v>
      </c>
    </row>
    <row r="766" customFormat="false" ht="15" hidden="false" customHeight="true" outlineLevel="0" collapsed="false">
      <c r="A766" s="7" t="s">
        <v>1597</v>
      </c>
      <c r="B766" s="7" t="s">
        <v>38</v>
      </c>
      <c r="C766" s="7" t="n">
        <v>1</v>
      </c>
      <c r="D766" s="7" t="n">
        <v>8</v>
      </c>
      <c r="E766" s="7" t="n">
        <v>1</v>
      </c>
      <c r="F766" s="7" t="s">
        <v>569</v>
      </c>
      <c r="G766" s="12" t="n">
        <f aca="false">IFERROR(INDEX('Semrush Data'!$A$1:$Z$20000,MATCH(A766,'Semrush Data'!$A$1:$A$20000,0),MATCH("Volume",'Semrush Data'!$A$1:$Z$1,0)),"")</f>
        <v>0</v>
      </c>
      <c r="H766" s="7" t="n">
        <f aca="false">IFERROR(INDEX('Semrush Data'!$A$1:$Z$20000,MATCH(A766,'Semrush Data'!$A$1:$A$20000,0),MATCH("Keyword Difficulty*",'Semrush Data'!$A$1:$Z$1,0)),"")</f>
        <v>12</v>
      </c>
      <c r="I766" s="13" t="n">
        <f aca="false">IFERROR(INDEX('Semrush Data'!$A$1:$Z$20000,MATCH(A766,'Semrush Data'!$A$1:$A$20000,0),MATCH("CPC*",'Semrush Data'!$A$1:$Z$1,0)),"")</f>
        <v>0</v>
      </c>
      <c r="J766" s="7" t="str">
        <f aca="false">IFERROR(INDEX('Semrush Data'!$A$1:$Z$20000,MATCH(A766,'Semrush Data'!$A$1:$A$20000,0),MATCH("Intent",'Semrush Data'!$A$1:$Z$1,0)),"")</f>
        <v>Informational Transactional</v>
      </c>
    </row>
    <row r="767" customFormat="false" ht="15" hidden="false" customHeight="true" outlineLevel="0" collapsed="false">
      <c r="A767" s="7" t="s">
        <v>1474</v>
      </c>
      <c r="B767" s="7" t="s">
        <v>38</v>
      </c>
      <c r="C767" s="7" t="n">
        <v>1</v>
      </c>
      <c r="D767" s="7" t="n">
        <v>8</v>
      </c>
      <c r="E767" s="7" t="n">
        <v>1</v>
      </c>
      <c r="F767" s="7" t="s">
        <v>429</v>
      </c>
      <c r="G767" s="12" t="n">
        <f aca="false">IFERROR(INDEX('Semrush Data'!$A$1:$Z$20000,MATCH(A767,'Semrush Data'!$A$1:$A$20000,0),MATCH("Volume",'Semrush Data'!$A$1:$Z$1,0)),"")</f>
        <v>0</v>
      </c>
      <c r="H767" s="7" t="n">
        <f aca="false">IFERROR(INDEX('Semrush Data'!$A$1:$Z$20000,MATCH(A767,'Semrush Data'!$A$1:$A$20000,0),MATCH("Keyword Difficulty*",'Semrush Data'!$A$1:$Z$1,0)),"")</f>
        <v>23</v>
      </c>
      <c r="I767" s="13" t="n">
        <f aca="false">IFERROR(INDEX('Semrush Data'!$A$1:$Z$20000,MATCH(A767,'Semrush Data'!$A$1:$A$20000,0),MATCH("CPC*",'Semrush Data'!$A$1:$Z$1,0)),"")</f>
        <v>0</v>
      </c>
      <c r="J767" s="7" t="str">
        <f aca="false">IFERROR(INDEX('Semrush Data'!$A$1:$Z$20000,MATCH(A767,'Semrush Data'!$A$1:$A$20000,0),MATCH("Intent",'Semrush Data'!$A$1:$Z$1,0)),"")</f>
        <v>Informational Transactional</v>
      </c>
    </row>
    <row r="768" customFormat="false" ht="15" hidden="false" customHeight="true" outlineLevel="0" collapsed="false">
      <c r="A768" s="7" t="s">
        <v>1603</v>
      </c>
      <c r="B768" s="7" t="s">
        <v>38</v>
      </c>
      <c r="C768" s="7" t="n">
        <v>1</v>
      </c>
      <c r="D768" s="7" t="n">
        <v>8</v>
      </c>
      <c r="E768" s="7" t="n">
        <v>1</v>
      </c>
      <c r="F768" s="7" t="s">
        <v>577</v>
      </c>
      <c r="G768" s="12" t="n">
        <f aca="false">IFERROR(INDEX('Semrush Data'!$A$1:$Z$20000,MATCH(A768,'Semrush Data'!$A$1:$A$20000,0),MATCH("Volume",'Semrush Data'!$A$1:$Z$1,0)),"")</f>
        <v>0</v>
      </c>
      <c r="H768" s="7" t="n">
        <f aca="false">IFERROR(INDEX('Semrush Data'!$A$1:$Z$20000,MATCH(A768,'Semrush Data'!$A$1:$A$20000,0),MATCH("Keyword Difficulty*",'Semrush Data'!$A$1:$Z$1,0)),"")</f>
        <v>30</v>
      </c>
      <c r="I768" s="13" t="n">
        <f aca="false">IFERROR(INDEX('Semrush Data'!$A$1:$Z$20000,MATCH(A768,'Semrush Data'!$A$1:$A$20000,0),MATCH("CPC*",'Semrush Data'!$A$1:$Z$1,0)),"")</f>
        <v>0</v>
      </c>
      <c r="J768" s="7" t="str">
        <f aca="false">IFERROR(INDEX('Semrush Data'!$A$1:$Z$20000,MATCH(A768,'Semrush Data'!$A$1:$A$20000,0),MATCH("Intent",'Semrush Data'!$A$1:$Z$1,0)),"")</f>
        <v>Informational Transactional</v>
      </c>
    </row>
    <row r="769" customFormat="false" ht="15" hidden="false" customHeight="true" outlineLevel="0" collapsed="false">
      <c r="A769" s="7" t="s">
        <v>1480</v>
      </c>
      <c r="B769" s="7" t="s">
        <v>38</v>
      </c>
      <c r="C769" s="7" t="n">
        <v>1</v>
      </c>
      <c r="D769" s="7" t="n">
        <v>8</v>
      </c>
      <c r="E769" s="7" t="n">
        <v>1</v>
      </c>
      <c r="F769" s="7" t="s">
        <v>436</v>
      </c>
      <c r="G769" s="12" t="n">
        <f aca="false">IFERROR(INDEX('Semrush Data'!$A$1:$Z$20000,MATCH(A769,'Semrush Data'!$A$1:$A$20000,0),MATCH("Volume",'Semrush Data'!$A$1:$Z$1,0)),"")</f>
        <v>0</v>
      </c>
      <c r="H769" s="7" t="n">
        <f aca="false">IFERROR(INDEX('Semrush Data'!$A$1:$Z$20000,MATCH(A769,'Semrush Data'!$A$1:$A$20000,0),MATCH("Keyword Difficulty*",'Semrush Data'!$A$1:$Z$1,0)),"")</f>
        <v>28</v>
      </c>
      <c r="I769" s="13" t="n">
        <f aca="false">IFERROR(INDEX('Semrush Data'!$A$1:$Z$20000,MATCH(A769,'Semrush Data'!$A$1:$A$20000,0),MATCH("CPC*",'Semrush Data'!$A$1:$Z$1,0)),"")</f>
        <v>0</v>
      </c>
      <c r="J769" s="7" t="str">
        <f aca="false">IFERROR(INDEX('Semrush Data'!$A$1:$Z$20000,MATCH(A769,'Semrush Data'!$A$1:$A$20000,0),MATCH("Intent",'Semrush Data'!$A$1:$Z$1,0)),"")</f>
        <v>Informational Transactional</v>
      </c>
    </row>
    <row r="770" customFormat="false" ht="15" hidden="false" customHeight="true" outlineLevel="0" collapsed="false">
      <c r="A770" s="7" t="s">
        <v>1834</v>
      </c>
      <c r="B770" s="7" t="s">
        <v>38</v>
      </c>
      <c r="C770" s="7" t="n">
        <v>1</v>
      </c>
      <c r="D770" s="7" t="n">
        <v>8</v>
      </c>
      <c r="E770" s="7" t="n">
        <v>1</v>
      </c>
      <c r="F770" s="7" t="s">
        <v>802</v>
      </c>
      <c r="G770" s="12" t="n">
        <f aca="false">IFERROR(INDEX('Semrush Data'!$A$1:$Z$20000,MATCH(A770,'Semrush Data'!$A$1:$A$20000,0),MATCH("Volume",'Semrush Data'!$A$1:$Z$1,0)),"")</f>
        <v>0</v>
      </c>
      <c r="H770" s="7" t="n">
        <f aca="false">IFERROR(INDEX('Semrush Data'!$A$1:$Z$20000,MATCH(A770,'Semrush Data'!$A$1:$A$20000,0),MATCH("Keyword Difficulty*",'Semrush Data'!$A$1:$Z$1,0)),"")</f>
        <v>14</v>
      </c>
      <c r="I770" s="13" t="n">
        <f aca="false">IFERROR(INDEX('Semrush Data'!$A$1:$Z$20000,MATCH(A770,'Semrush Data'!$A$1:$A$20000,0),MATCH("CPC*",'Semrush Data'!$A$1:$Z$1,0)),"")</f>
        <v>0</v>
      </c>
      <c r="J770" s="7" t="str">
        <f aca="false">IFERROR(INDEX('Semrush Data'!$A$1:$Z$20000,MATCH(A770,'Semrush Data'!$A$1:$A$20000,0),MATCH("Intent",'Semrush Data'!$A$1:$Z$1,0)),"")</f>
        <v>Informational Transactional</v>
      </c>
    </row>
    <row r="771" customFormat="false" ht="15" hidden="false" customHeight="true" outlineLevel="0" collapsed="false">
      <c r="A771" s="7" t="s">
        <v>1876</v>
      </c>
      <c r="B771" s="7" t="s">
        <v>38</v>
      </c>
      <c r="C771" s="7" t="n">
        <v>1</v>
      </c>
      <c r="D771" s="7" t="n">
        <v>8</v>
      </c>
      <c r="E771" s="7" t="n">
        <v>1</v>
      </c>
      <c r="F771" s="7" t="s">
        <v>840</v>
      </c>
      <c r="G771" s="12" t="n">
        <f aca="false">IFERROR(INDEX('Semrush Data'!$A$1:$Z$20000,MATCH(A771,'Semrush Data'!$A$1:$A$20000,0),MATCH("Volume",'Semrush Data'!$A$1:$Z$1,0)),"")</f>
        <v>0</v>
      </c>
      <c r="H771" s="7" t="n">
        <f aca="false">IFERROR(INDEX('Semrush Data'!$A$1:$Z$20000,MATCH(A771,'Semrush Data'!$A$1:$A$20000,0),MATCH("Keyword Difficulty*",'Semrush Data'!$A$1:$Z$1,0)),"")</f>
        <v>12</v>
      </c>
      <c r="I771" s="13" t="n">
        <f aca="false">IFERROR(INDEX('Semrush Data'!$A$1:$Z$20000,MATCH(A771,'Semrush Data'!$A$1:$A$20000,0),MATCH("CPC*",'Semrush Data'!$A$1:$Z$1,0)),"")</f>
        <v>0</v>
      </c>
      <c r="J771" s="7" t="str">
        <f aca="false">IFERROR(INDEX('Semrush Data'!$A$1:$Z$20000,MATCH(A771,'Semrush Data'!$A$1:$A$20000,0),MATCH("Intent",'Semrush Data'!$A$1:$Z$1,0)),"")</f>
        <v>Informational</v>
      </c>
    </row>
    <row r="772" customFormat="false" ht="15" hidden="false" customHeight="true" outlineLevel="0" collapsed="false">
      <c r="A772" s="7" t="s">
        <v>1609</v>
      </c>
      <c r="B772" s="7" t="s">
        <v>38</v>
      </c>
      <c r="C772" s="7" t="n">
        <v>1</v>
      </c>
      <c r="D772" s="7" t="n">
        <v>8</v>
      </c>
      <c r="E772" s="7" t="n">
        <v>1</v>
      </c>
      <c r="F772" s="7" t="s">
        <v>584</v>
      </c>
      <c r="G772" s="12" t="n">
        <f aca="false">IFERROR(INDEX('Semrush Data'!$A$1:$Z$20000,MATCH(A772,'Semrush Data'!$A$1:$A$20000,0),MATCH("Volume",'Semrush Data'!$A$1:$Z$1,0)),"")</f>
        <v>0</v>
      </c>
      <c r="H772" s="7" t="n">
        <f aca="false">IFERROR(INDEX('Semrush Data'!$A$1:$Z$20000,MATCH(A772,'Semrush Data'!$A$1:$A$20000,0),MATCH("Keyword Difficulty*",'Semrush Data'!$A$1:$Z$1,0)),"")</f>
        <v>5</v>
      </c>
      <c r="I772" s="13" t="n">
        <f aca="false">IFERROR(INDEX('Semrush Data'!$A$1:$Z$20000,MATCH(A772,'Semrush Data'!$A$1:$A$20000,0),MATCH("CPC*",'Semrush Data'!$A$1:$Z$1,0)),"")</f>
        <v>0</v>
      </c>
      <c r="J772" s="7" t="str">
        <f aca="false">IFERROR(INDEX('Semrush Data'!$A$1:$Z$20000,MATCH(A772,'Semrush Data'!$A$1:$A$20000,0),MATCH("Intent",'Semrush Data'!$A$1:$Z$1,0)),"")</f>
        <v>Informational Transactional</v>
      </c>
    </row>
    <row r="773" customFormat="false" ht="15" hidden="false" customHeight="true" outlineLevel="0" collapsed="false">
      <c r="A773" s="7" t="s">
        <v>1664</v>
      </c>
      <c r="B773" s="7" t="s">
        <v>38</v>
      </c>
      <c r="C773" s="7" t="n">
        <v>1</v>
      </c>
      <c r="D773" s="7" t="n">
        <v>8</v>
      </c>
      <c r="E773" s="7" t="n">
        <v>1</v>
      </c>
      <c r="F773" s="7" t="s">
        <v>644</v>
      </c>
      <c r="G773" s="12" t="n">
        <f aca="false">IFERROR(INDEX('Semrush Data'!$A$1:$Z$20000,MATCH(A773,'Semrush Data'!$A$1:$A$20000,0),MATCH("Volume",'Semrush Data'!$A$1:$Z$1,0)),"")</f>
        <v>0</v>
      </c>
      <c r="H773" s="7" t="n">
        <f aca="false">IFERROR(INDEX('Semrush Data'!$A$1:$Z$20000,MATCH(A773,'Semrush Data'!$A$1:$A$20000,0),MATCH("Keyword Difficulty*",'Semrush Data'!$A$1:$Z$1,0)),"")</f>
        <v>17</v>
      </c>
      <c r="I773" s="13" t="n">
        <f aca="false">IFERROR(INDEX('Semrush Data'!$A$1:$Z$20000,MATCH(A773,'Semrush Data'!$A$1:$A$20000,0),MATCH("CPC*",'Semrush Data'!$A$1:$Z$1,0)),"")</f>
        <v>0</v>
      </c>
      <c r="J773" s="7" t="str">
        <f aca="false">IFERROR(INDEX('Semrush Data'!$A$1:$Z$20000,MATCH(A773,'Semrush Data'!$A$1:$A$20000,0),MATCH("Intent",'Semrush Data'!$A$1:$Z$1,0)),"")</f>
        <v>Informational Transactional</v>
      </c>
    </row>
    <row r="774" customFormat="false" ht="15" hidden="false" customHeight="true" outlineLevel="0" collapsed="false">
      <c r="A774" s="7" t="s">
        <v>1617</v>
      </c>
      <c r="B774" s="7" t="s">
        <v>38</v>
      </c>
      <c r="C774" s="7" t="n">
        <v>1</v>
      </c>
      <c r="D774" s="7" t="n">
        <v>8</v>
      </c>
      <c r="E774" s="7" t="n">
        <v>1</v>
      </c>
      <c r="F774" s="7" t="s">
        <v>593</v>
      </c>
      <c r="G774" s="12" t="n">
        <f aca="false">IFERROR(INDEX('Semrush Data'!$A$1:$Z$20000,MATCH(A774,'Semrush Data'!$A$1:$A$20000,0),MATCH("Volume",'Semrush Data'!$A$1:$Z$1,0)),"")</f>
        <v>0</v>
      </c>
      <c r="H774" s="7" t="n">
        <f aca="false">IFERROR(INDEX('Semrush Data'!$A$1:$Z$20000,MATCH(A774,'Semrush Data'!$A$1:$A$20000,0),MATCH("Keyword Difficulty*",'Semrush Data'!$A$1:$Z$1,0)),"")</f>
        <v>20</v>
      </c>
      <c r="I774" s="13" t="n">
        <f aca="false">IFERROR(INDEX('Semrush Data'!$A$1:$Z$20000,MATCH(A774,'Semrush Data'!$A$1:$A$20000,0),MATCH("CPC*",'Semrush Data'!$A$1:$Z$1,0)),"")</f>
        <v>0</v>
      </c>
      <c r="J774" s="7" t="str">
        <f aca="false">IFERROR(INDEX('Semrush Data'!$A$1:$Z$20000,MATCH(A774,'Semrush Data'!$A$1:$A$20000,0),MATCH("Intent",'Semrush Data'!$A$1:$Z$1,0)),"")</f>
        <v>Navigational</v>
      </c>
    </row>
    <row r="775" customFormat="false" ht="15" hidden="false" customHeight="true" outlineLevel="0" collapsed="false">
      <c r="A775" s="7" t="s">
        <v>1677</v>
      </c>
      <c r="B775" s="7" t="s">
        <v>38</v>
      </c>
      <c r="C775" s="7" t="n">
        <v>1</v>
      </c>
      <c r="D775" s="7" t="n">
        <v>8</v>
      </c>
      <c r="E775" s="7" t="n">
        <v>1</v>
      </c>
      <c r="F775" s="7" t="s">
        <v>657</v>
      </c>
      <c r="G775" s="12" t="n">
        <f aca="false">IFERROR(INDEX('Semrush Data'!$A$1:$Z$20000,MATCH(A775,'Semrush Data'!$A$1:$A$20000,0),MATCH("Volume",'Semrush Data'!$A$1:$Z$1,0)),"")</f>
        <v>0</v>
      </c>
      <c r="H775" s="7" t="n">
        <f aca="false">IFERROR(INDEX('Semrush Data'!$A$1:$Z$20000,MATCH(A775,'Semrush Data'!$A$1:$A$20000,0),MATCH("Keyword Difficulty*",'Semrush Data'!$A$1:$Z$1,0)),"")</f>
        <v>30</v>
      </c>
      <c r="I775" s="13" t="n">
        <f aca="false">IFERROR(INDEX('Semrush Data'!$A$1:$Z$20000,MATCH(A775,'Semrush Data'!$A$1:$A$20000,0),MATCH("CPC*",'Semrush Data'!$A$1:$Z$1,0)),"")</f>
        <v>0</v>
      </c>
      <c r="J775" s="7" t="str">
        <f aca="false">IFERROR(INDEX('Semrush Data'!$A$1:$Z$20000,MATCH(A775,'Semrush Data'!$A$1:$A$20000,0),MATCH("Intent",'Semrush Data'!$A$1:$Z$1,0)),"")</f>
        <v>Informational</v>
      </c>
    </row>
    <row r="776" customFormat="false" ht="15" hidden="false" customHeight="true" outlineLevel="0" collapsed="false">
      <c r="A776" s="7" t="s">
        <v>1486</v>
      </c>
      <c r="B776" s="7" t="s">
        <v>38</v>
      </c>
      <c r="C776" s="7" t="n">
        <v>1</v>
      </c>
      <c r="D776" s="7" t="n">
        <v>8</v>
      </c>
      <c r="E776" s="7" t="n">
        <v>1</v>
      </c>
      <c r="F776" s="7" t="s">
        <v>443</v>
      </c>
      <c r="G776" s="12" t="n">
        <f aca="false">IFERROR(INDEX('Semrush Data'!$A$1:$Z$20000,MATCH(A776,'Semrush Data'!$A$1:$A$20000,0),MATCH("Volume",'Semrush Data'!$A$1:$Z$1,0)),"")</f>
        <v>10</v>
      </c>
      <c r="H776" s="7" t="n">
        <f aca="false">IFERROR(INDEX('Semrush Data'!$A$1:$Z$20000,MATCH(A776,'Semrush Data'!$A$1:$A$20000,0),MATCH("Keyword Difficulty*",'Semrush Data'!$A$1:$Z$1,0)),"")</f>
        <v>7</v>
      </c>
      <c r="I776" s="13" t="n">
        <f aca="false">IFERROR(INDEX('Semrush Data'!$A$1:$Z$20000,MATCH(A776,'Semrush Data'!$A$1:$A$20000,0),MATCH("CPC*",'Semrush Data'!$A$1:$Z$1,0)),"")</f>
        <v>0</v>
      </c>
      <c r="J776" s="7" t="str">
        <f aca="false">IFERROR(INDEX('Semrush Data'!$A$1:$Z$20000,MATCH(A776,'Semrush Data'!$A$1:$A$20000,0),MATCH("Intent",'Semrush Data'!$A$1:$Z$1,0)),"")</f>
        <v>Informational Transactional</v>
      </c>
    </row>
    <row r="777" customFormat="false" ht="15" hidden="false" customHeight="true" outlineLevel="0" collapsed="false">
      <c r="A777" s="7" t="s">
        <v>1624</v>
      </c>
      <c r="B777" s="7" t="s">
        <v>38</v>
      </c>
      <c r="C777" s="7" t="n">
        <v>1</v>
      </c>
      <c r="D777" s="7" t="n">
        <v>8</v>
      </c>
      <c r="E777" s="7" t="n">
        <v>2</v>
      </c>
      <c r="F777" s="7" t="s">
        <v>6813</v>
      </c>
      <c r="G777" s="12" t="n">
        <f aca="false">IFERROR(INDEX('Semrush Data'!$A$1:$Z$20000,MATCH(A777,'Semrush Data'!$A$1:$A$20000,0),MATCH("Volume",'Semrush Data'!$A$1:$Z$1,0)),"")</f>
        <v>0</v>
      </c>
      <c r="H777" s="7" t="n">
        <f aca="false">IFERROR(INDEX('Semrush Data'!$A$1:$Z$20000,MATCH(A777,'Semrush Data'!$A$1:$A$20000,0),MATCH("Keyword Difficulty*",'Semrush Data'!$A$1:$Z$1,0)),"")</f>
        <v>22</v>
      </c>
      <c r="I777" s="13" t="n">
        <f aca="false">IFERROR(INDEX('Semrush Data'!$A$1:$Z$20000,MATCH(A777,'Semrush Data'!$A$1:$A$20000,0),MATCH("CPC*",'Semrush Data'!$A$1:$Z$1,0)),"")</f>
        <v>0</v>
      </c>
      <c r="J777" s="7" t="str">
        <f aca="false">IFERROR(INDEX('Semrush Data'!$A$1:$Z$20000,MATCH(A777,'Semrush Data'!$A$1:$A$20000,0),MATCH("Intent",'Semrush Data'!$A$1:$Z$1,0)),"")</f>
        <v>Informational Transactional</v>
      </c>
    </row>
    <row r="778" customFormat="false" ht="15" hidden="false" customHeight="true" outlineLevel="0" collapsed="false">
      <c r="A778" s="7" t="s">
        <v>1690</v>
      </c>
      <c r="B778" s="7" t="s">
        <v>38</v>
      </c>
      <c r="C778" s="7" t="n">
        <v>1</v>
      </c>
      <c r="D778" s="7" t="n">
        <v>8</v>
      </c>
      <c r="E778" s="7" t="n">
        <v>1</v>
      </c>
      <c r="F778" s="7" t="s">
        <v>669</v>
      </c>
      <c r="G778" s="12" t="n">
        <f aca="false">IFERROR(INDEX('Semrush Data'!$A$1:$Z$20000,MATCH(A778,'Semrush Data'!$A$1:$A$20000,0),MATCH("Volume",'Semrush Data'!$A$1:$Z$1,0)),"")</f>
        <v>0</v>
      </c>
      <c r="H778" s="7" t="n">
        <f aca="false">IFERROR(INDEX('Semrush Data'!$A$1:$Z$20000,MATCH(A778,'Semrush Data'!$A$1:$A$20000,0),MATCH("Keyword Difficulty*",'Semrush Data'!$A$1:$Z$1,0)),"")</f>
        <v>14</v>
      </c>
      <c r="I778" s="13" t="n">
        <f aca="false">IFERROR(INDEX('Semrush Data'!$A$1:$Z$20000,MATCH(A778,'Semrush Data'!$A$1:$A$20000,0),MATCH("CPC*",'Semrush Data'!$A$1:$Z$1,0)),"")</f>
        <v>0</v>
      </c>
      <c r="J778" s="7" t="str">
        <f aca="false">IFERROR(INDEX('Semrush Data'!$A$1:$Z$20000,MATCH(A778,'Semrush Data'!$A$1:$A$20000,0),MATCH("Intent",'Semrush Data'!$A$1:$Z$1,0)),"")</f>
        <v>Informational Transactional</v>
      </c>
    </row>
    <row r="779" customFormat="false" ht="15" hidden="false" customHeight="true" outlineLevel="0" collapsed="false">
      <c r="A779" s="7" t="s">
        <v>1493</v>
      </c>
      <c r="B779" s="7" t="s">
        <v>38</v>
      </c>
      <c r="C779" s="7" t="n">
        <v>1</v>
      </c>
      <c r="D779" s="7" t="n">
        <v>8</v>
      </c>
      <c r="E779" s="7" t="n">
        <v>1</v>
      </c>
      <c r="F779" s="7" t="s">
        <v>452</v>
      </c>
      <c r="G779" s="12" t="n">
        <f aca="false">IFERROR(INDEX('Semrush Data'!$A$1:$Z$20000,MATCH(A779,'Semrush Data'!$A$1:$A$20000,0),MATCH("Volume",'Semrush Data'!$A$1:$Z$1,0)),"")</f>
        <v>0</v>
      </c>
      <c r="H779" s="7" t="n">
        <f aca="false">IFERROR(INDEX('Semrush Data'!$A$1:$Z$20000,MATCH(A779,'Semrush Data'!$A$1:$A$20000,0),MATCH("Keyword Difficulty*",'Semrush Data'!$A$1:$Z$1,0)),"")</f>
        <v>20</v>
      </c>
      <c r="I779" s="13" t="n">
        <f aca="false">IFERROR(INDEX('Semrush Data'!$A$1:$Z$20000,MATCH(A779,'Semrush Data'!$A$1:$A$20000,0),MATCH("CPC*",'Semrush Data'!$A$1:$Z$1,0)),"")</f>
        <v>0</v>
      </c>
      <c r="J779" s="7" t="str">
        <f aca="false">IFERROR(INDEX('Semrush Data'!$A$1:$Z$20000,MATCH(A779,'Semrush Data'!$A$1:$A$20000,0),MATCH("Intent",'Semrush Data'!$A$1:$Z$1,0)),"")</f>
        <v>Informational</v>
      </c>
    </row>
    <row r="780" customFormat="false" ht="15" hidden="false" customHeight="true" outlineLevel="0" collapsed="false">
      <c r="A780" s="7" t="s">
        <v>1633</v>
      </c>
      <c r="B780" s="7" t="s">
        <v>38</v>
      </c>
      <c r="C780" s="7" t="n">
        <v>1</v>
      </c>
      <c r="D780" s="7" t="n">
        <v>8</v>
      </c>
      <c r="E780" s="7" t="n">
        <v>1</v>
      </c>
      <c r="F780" s="7" t="s">
        <v>611</v>
      </c>
      <c r="G780" s="12" t="n">
        <f aca="false">IFERROR(INDEX('Semrush Data'!$A$1:$Z$20000,MATCH(A780,'Semrush Data'!$A$1:$A$20000,0),MATCH("Volume",'Semrush Data'!$A$1:$Z$1,0)),"")</f>
        <v>0</v>
      </c>
      <c r="H780" s="7" t="n">
        <f aca="false">IFERROR(INDEX('Semrush Data'!$A$1:$Z$20000,MATCH(A780,'Semrush Data'!$A$1:$A$20000,0),MATCH("Keyword Difficulty*",'Semrush Data'!$A$1:$Z$1,0)),"")</f>
        <v>22</v>
      </c>
      <c r="I780" s="13" t="n">
        <f aca="false">IFERROR(INDEX('Semrush Data'!$A$1:$Z$20000,MATCH(A780,'Semrush Data'!$A$1:$A$20000,0),MATCH("CPC*",'Semrush Data'!$A$1:$Z$1,0)),"")</f>
        <v>0</v>
      </c>
      <c r="J780" s="7" t="str">
        <f aca="false">IFERROR(INDEX('Semrush Data'!$A$1:$Z$20000,MATCH(A780,'Semrush Data'!$A$1:$A$20000,0),MATCH("Intent",'Semrush Data'!$A$1:$Z$1,0)),"")</f>
        <v>Informational Transactional</v>
      </c>
    </row>
    <row r="781" customFormat="false" ht="15" hidden="false" customHeight="true" outlineLevel="0" collapsed="false">
      <c r="A781" s="7" t="s">
        <v>1500</v>
      </c>
      <c r="B781" s="7" t="s">
        <v>38</v>
      </c>
      <c r="C781" s="7" t="n">
        <v>1</v>
      </c>
      <c r="D781" s="7" t="n">
        <v>8</v>
      </c>
      <c r="E781" s="7" t="n">
        <v>1</v>
      </c>
      <c r="F781" s="7" t="s">
        <v>459</v>
      </c>
      <c r="G781" s="12" t="n">
        <f aca="false">IFERROR(INDEX('Semrush Data'!$A$1:$Z$20000,MATCH(A781,'Semrush Data'!$A$1:$A$20000,0),MATCH("Volume",'Semrush Data'!$A$1:$Z$1,0)),"")</f>
        <v>20</v>
      </c>
      <c r="H781" s="7" t="n">
        <f aca="false">IFERROR(INDEX('Semrush Data'!$A$1:$Z$20000,MATCH(A781,'Semrush Data'!$A$1:$A$20000,0),MATCH("Keyword Difficulty*",'Semrush Data'!$A$1:$Z$1,0)),"")</f>
        <v>10</v>
      </c>
      <c r="I781" s="13" t="n">
        <f aca="false">IFERROR(INDEX('Semrush Data'!$A$1:$Z$20000,MATCH(A781,'Semrush Data'!$A$1:$A$20000,0),MATCH("CPC*",'Semrush Data'!$A$1:$Z$1,0)),"")</f>
        <v>0</v>
      </c>
      <c r="J781" s="7" t="str">
        <f aca="false">IFERROR(INDEX('Semrush Data'!$A$1:$Z$20000,MATCH(A781,'Semrush Data'!$A$1:$A$20000,0),MATCH("Intent",'Semrush Data'!$A$1:$Z$1,0)),"")</f>
        <v>Informational Transactional</v>
      </c>
    </row>
    <row r="782" customFormat="false" ht="15" hidden="false" customHeight="true" outlineLevel="0" collapsed="false">
      <c r="A782" s="7" t="s">
        <v>1418</v>
      </c>
      <c r="B782" s="7" t="s">
        <v>38</v>
      </c>
      <c r="C782" s="7" t="n">
        <v>1</v>
      </c>
      <c r="D782" s="7" t="n">
        <v>8</v>
      </c>
      <c r="E782" s="7" t="n">
        <v>1</v>
      </c>
      <c r="F782" s="7" t="s">
        <v>363</v>
      </c>
      <c r="G782" s="12" t="n">
        <f aca="false">IFERROR(INDEX('Semrush Data'!$A$1:$Z$20000,MATCH(A782,'Semrush Data'!$A$1:$A$20000,0),MATCH("Volume",'Semrush Data'!$A$1:$Z$1,0)),"")</f>
        <v>20</v>
      </c>
      <c r="H782" s="7" t="n">
        <f aca="false">IFERROR(INDEX('Semrush Data'!$A$1:$Z$20000,MATCH(A782,'Semrush Data'!$A$1:$A$20000,0),MATCH("Keyword Difficulty*",'Semrush Data'!$A$1:$Z$1,0)),"")</f>
        <v>17</v>
      </c>
      <c r="I782" s="13" t="n">
        <f aca="false">IFERROR(INDEX('Semrush Data'!$A$1:$Z$20000,MATCH(A782,'Semrush Data'!$A$1:$A$20000,0),MATCH("CPC*",'Semrush Data'!$A$1:$Z$1,0)),"")</f>
        <v>0.34</v>
      </c>
      <c r="J782" s="7" t="str">
        <f aca="false">IFERROR(INDEX('Semrush Data'!$A$1:$Z$20000,MATCH(A782,'Semrush Data'!$A$1:$A$20000,0),MATCH("Intent",'Semrush Data'!$A$1:$Z$1,0)),"")</f>
        <v>Informational</v>
      </c>
    </row>
    <row r="783" customFormat="false" ht="15" hidden="false" customHeight="true" outlineLevel="0" collapsed="false">
      <c r="A783" s="7" t="s">
        <v>1639</v>
      </c>
      <c r="B783" s="7" t="s">
        <v>38</v>
      </c>
      <c r="C783" s="7" t="n">
        <v>1</v>
      </c>
      <c r="D783" s="7" t="n">
        <v>8</v>
      </c>
      <c r="E783" s="7" t="n">
        <v>1</v>
      </c>
      <c r="F783" s="7" t="s">
        <v>617</v>
      </c>
      <c r="G783" s="12" t="n">
        <f aca="false">IFERROR(INDEX('Semrush Data'!$A$1:$Z$20000,MATCH(A783,'Semrush Data'!$A$1:$A$20000,0),MATCH("Volume",'Semrush Data'!$A$1:$Z$1,0)),"")</f>
        <v>0</v>
      </c>
      <c r="H783" s="7" t="n">
        <f aca="false">IFERROR(INDEX('Semrush Data'!$A$1:$Z$20000,MATCH(A783,'Semrush Data'!$A$1:$A$20000,0),MATCH("Keyword Difficulty*",'Semrush Data'!$A$1:$Z$1,0)),"")</f>
        <v>27</v>
      </c>
      <c r="I783" s="13" t="n">
        <f aca="false">IFERROR(INDEX('Semrush Data'!$A$1:$Z$20000,MATCH(A783,'Semrush Data'!$A$1:$A$20000,0),MATCH("CPC*",'Semrush Data'!$A$1:$Z$1,0)),"")</f>
        <v>0</v>
      </c>
      <c r="J783" s="7" t="str">
        <f aca="false">IFERROR(INDEX('Semrush Data'!$A$1:$Z$20000,MATCH(A783,'Semrush Data'!$A$1:$A$20000,0),MATCH("Intent",'Semrush Data'!$A$1:$Z$1,0)),"")</f>
        <v>Informational</v>
      </c>
    </row>
    <row r="784" customFormat="false" ht="15" hidden="false" customHeight="true" outlineLevel="0" collapsed="false">
      <c r="A784" s="7" t="s">
        <v>1646</v>
      </c>
      <c r="B784" s="7" t="s">
        <v>38</v>
      </c>
      <c r="C784" s="7" t="n">
        <v>1</v>
      </c>
      <c r="D784" s="7" t="n">
        <v>8</v>
      </c>
      <c r="E784" s="7" t="n">
        <v>1</v>
      </c>
      <c r="F784" s="7" t="s">
        <v>623</v>
      </c>
      <c r="G784" s="12" t="n">
        <f aca="false">IFERROR(INDEX('Semrush Data'!$A$1:$Z$20000,MATCH(A784,'Semrush Data'!$A$1:$A$20000,0),MATCH("Volume",'Semrush Data'!$A$1:$Z$1,0)),"")</f>
        <v>0</v>
      </c>
      <c r="H784" s="7" t="n">
        <f aca="false">IFERROR(INDEX('Semrush Data'!$A$1:$Z$20000,MATCH(A784,'Semrush Data'!$A$1:$A$20000,0),MATCH("Keyword Difficulty*",'Semrush Data'!$A$1:$Z$1,0)),"")</f>
        <v>10</v>
      </c>
      <c r="I784" s="13" t="n">
        <f aca="false">IFERROR(INDEX('Semrush Data'!$A$1:$Z$20000,MATCH(A784,'Semrush Data'!$A$1:$A$20000,0),MATCH("CPC*",'Semrush Data'!$A$1:$Z$1,0)),"")</f>
        <v>0</v>
      </c>
      <c r="J784" s="7" t="str">
        <f aca="false">IFERROR(INDEX('Semrush Data'!$A$1:$Z$20000,MATCH(A784,'Semrush Data'!$A$1:$A$20000,0),MATCH("Intent",'Semrush Data'!$A$1:$Z$1,0)),"")</f>
        <v>Informational</v>
      </c>
    </row>
    <row r="785" customFormat="false" ht="15" hidden="false" customHeight="true" outlineLevel="0" collapsed="false">
      <c r="A785" s="7" t="s">
        <v>1732</v>
      </c>
      <c r="B785" s="7" t="s">
        <v>38</v>
      </c>
      <c r="C785" s="7" t="n">
        <v>1</v>
      </c>
      <c r="D785" s="7" t="n">
        <v>8</v>
      </c>
      <c r="E785" s="7" t="n">
        <v>1</v>
      </c>
      <c r="F785" s="7" t="s">
        <v>708</v>
      </c>
      <c r="G785" s="12" t="n">
        <f aca="false">IFERROR(INDEX('Semrush Data'!$A$1:$Z$20000,MATCH(A785,'Semrush Data'!$A$1:$A$20000,0),MATCH("Volume",'Semrush Data'!$A$1:$Z$1,0)),"")</f>
        <v>0</v>
      </c>
      <c r="H785" s="7" t="n">
        <f aca="false">IFERROR(INDEX('Semrush Data'!$A$1:$Z$20000,MATCH(A785,'Semrush Data'!$A$1:$A$20000,0),MATCH("Keyword Difficulty*",'Semrush Data'!$A$1:$Z$1,0)),"")</f>
        <v>12</v>
      </c>
      <c r="I785" s="13" t="n">
        <f aca="false">IFERROR(INDEX('Semrush Data'!$A$1:$Z$20000,MATCH(A785,'Semrush Data'!$A$1:$A$20000,0),MATCH("CPC*",'Semrush Data'!$A$1:$Z$1,0)),"")</f>
        <v>0</v>
      </c>
      <c r="J785" s="7" t="str">
        <f aca="false">IFERROR(INDEX('Semrush Data'!$A$1:$Z$20000,MATCH(A785,'Semrush Data'!$A$1:$A$20000,0),MATCH("Intent",'Semrush Data'!$A$1:$Z$1,0)),"")</f>
        <v>Informational Transactional</v>
      </c>
    </row>
    <row r="786" customFormat="false" ht="15" hidden="false" customHeight="true" outlineLevel="0" collapsed="false">
      <c r="A786" s="7" t="s">
        <v>1696</v>
      </c>
      <c r="B786" s="7" t="s">
        <v>38</v>
      </c>
      <c r="C786" s="7" t="n">
        <v>1</v>
      </c>
      <c r="D786" s="7" t="n">
        <v>8</v>
      </c>
      <c r="E786" s="7" t="n">
        <v>1</v>
      </c>
      <c r="F786" s="7" t="s">
        <v>674</v>
      </c>
      <c r="G786" s="12" t="n">
        <f aca="false">IFERROR(INDEX('Semrush Data'!$A$1:$Z$20000,MATCH(A786,'Semrush Data'!$A$1:$A$20000,0),MATCH("Volume",'Semrush Data'!$A$1:$Z$1,0)),"")</f>
        <v>0</v>
      </c>
      <c r="H786" s="7" t="n">
        <f aca="false">IFERROR(INDEX('Semrush Data'!$A$1:$Z$20000,MATCH(A786,'Semrush Data'!$A$1:$A$20000,0),MATCH("Keyword Difficulty*",'Semrush Data'!$A$1:$Z$1,0)),"")</f>
        <v>12</v>
      </c>
      <c r="I786" s="13" t="n">
        <f aca="false">IFERROR(INDEX('Semrush Data'!$A$1:$Z$20000,MATCH(A786,'Semrush Data'!$A$1:$A$20000,0),MATCH("CPC*",'Semrush Data'!$A$1:$Z$1,0)),"")</f>
        <v>0</v>
      </c>
      <c r="J786" s="7" t="str">
        <f aca="false">IFERROR(INDEX('Semrush Data'!$A$1:$Z$20000,MATCH(A786,'Semrush Data'!$A$1:$A$20000,0),MATCH("Intent",'Semrush Data'!$A$1:$Z$1,0)),"")</f>
        <v>Informational</v>
      </c>
    </row>
    <row r="787" customFormat="false" ht="15" hidden="false" customHeight="true" outlineLevel="0" collapsed="false">
      <c r="A787" s="7" t="s">
        <v>1768</v>
      </c>
      <c r="B787" s="7" t="s">
        <v>38</v>
      </c>
      <c r="C787" s="7" t="n">
        <v>1</v>
      </c>
      <c r="D787" s="7" t="n">
        <v>8</v>
      </c>
      <c r="E787" s="7" t="n">
        <v>1</v>
      </c>
      <c r="F787" s="7" t="s">
        <v>742</v>
      </c>
      <c r="G787" s="12" t="n">
        <f aca="false">IFERROR(INDEX('Semrush Data'!$A$1:$Z$20000,MATCH(A787,'Semrush Data'!$A$1:$A$20000,0),MATCH("Volume",'Semrush Data'!$A$1:$Z$1,0)),"")</f>
        <v>0</v>
      </c>
      <c r="H787" s="7" t="n">
        <f aca="false">IFERROR(INDEX('Semrush Data'!$A$1:$Z$20000,MATCH(A787,'Semrush Data'!$A$1:$A$20000,0),MATCH("Keyword Difficulty*",'Semrush Data'!$A$1:$Z$1,0)),"")</f>
        <v>12</v>
      </c>
      <c r="I787" s="13" t="n">
        <f aca="false">IFERROR(INDEX('Semrush Data'!$A$1:$Z$20000,MATCH(A787,'Semrush Data'!$A$1:$A$20000,0),MATCH("CPC*",'Semrush Data'!$A$1:$Z$1,0)),"")</f>
        <v>0</v>
      </c>
      <c r="J787" s="7" t="str">
        <f aca="false">IFERROR(INDEX('Semrush Data'!$A$1:$Z$20000,MATCH(A787,'Semrush Data'!$A$1:$A$20000,0),MATCH("Intent",'Semrush Data'!$A$1:$Z$1,0)),"")</f>
        <v>Informational Transactional</v>
      </c>
    </row>
    <row r="788" customFormat="false" ht="15" hidden="false" customHeight="true" outlineLevel="0" collapsed="false">
      <c r="A788" s="7" t="s">
        <v>1446</v>
      </c>
      <c r="B788" s="7" t="s">
        <v>38</v>
      </c>
      <c r="C788" s="7" t="n">
        <v>1</v>
      </c>
      <c r="D788" s="7" t="n">
        <v>8</v>
      </c>
      <c r="E788" s="7" t="n">
        <v>1</v>
      </c>
      <c r="F788" s="7" t="s">
        <v>394</v>
      </c>
      <c r="G788" s="12" t="n">
        <f aca="false">IFERROR(INDEX('Semrush Data'!$A$1:$Z$20000,MATCH(A788,'Semrush Data'!$A$1:$A$20000,0),MATCH("Volume",'Semrush Data'!$A$1:$Z$1,0)),"")</f>
        <v>0</v>
      </c>
      <c r="H788" s="7" t="n">
        <f aca="false">IFERROR(INDEX('Semrush Data'!$A$1:$Z$20000,MATCH(A788,'Semrush Data'!$A$1:$A$20000,0),MATCH("Keyword Difficulty*",'Semrush Data'!$A$1:$Z$1,0)),"")</f>
        <v>22</v>
      </c>
      <c r="I788" s="13" t="n">
        <f aca="false">IFERROR(INDEX('Semrush Data'!$A$1:$Z$20000,MATCH(A788,'Semrush Data'!$A$1:$A$20000,0),MATCH("CPC*",'Semrush Data'!$A$1:$Z$1,0)),"")</f>
        <v>0</v>
      </c>
      <c r="J788" s="7" t="str">
        <f aca="false">IFERROR(INDEX('Semrush Data'!$A$1:$Z$20000,MATCH(A788,'Semrush Data'!$A$1:$A$20000,0),MATCH("Intent",'Semrush Data'!$A$1:$Z$1,0)),"")</f>
        <v>Informational Transactional</v>
      </c>
    </row>
    <row r="789" customFormat="false" ht="15" hidden="false" customHeight="true" outlineLevel="0" collapsed="false">
      <c r="A789" s="7" t="s">
        <v>1376</v>
      </c>
      <c r="B789" s="7" t="s">
        <v>38</v>
      </c>
      <c r="C789" s="7" t="n">
        <v>1</v>
      </c>
      <c r="D789" s="7" t="n">
        <v>8</v>
      </c>
      <c r="E789" s="7" t="n">
        <v>1</v>
      </c>
      <c r="F789" s="7" t="s">
        <v>312</v>
      </c>
      <c r="G789" s="12" t="n">
        <f aca="false">IFERROR(INDEX('Semrush Data'!$A$1:$Z$20000,MATCH(A789,'Semrush Data'!$A$1:$A$20000,0),MATCH("Volume",'Semrush Data'!$A$1:$Z$1,0)),"")</f>
        <v>0</v>
      </c>
      <c r="H789" s="7" t="n">
        <f aca="false">IFERROR(INDEX('Semrush Data'!$A$1:$Z$20000,MATCH(A789,'Semrush Data'!$A$1:$A$20000,0),MATCH("Keyword Difficulty*",'Semrush Data'!$A$1:$Z$1,0)),"")</f>
        <v>16</v>
      </c>
      <c r="I789" s="13" t="n">
        <f aca="false">IFERROR(INDEX('Semrush Data'!$A$1:$Z$20000,MATCH(A789,'Semrush Data'!$A$1:$A$20000,0),MATCH("CPC*",'Semrush Data'!$A$1:$Z$1,0)),"")</f>
        <v>0</v>
      </c>
      <c r="J789" s="7" t="str">
        <f aca="false">IFERROR(INDEX('Semrush Data'!$A$1:$Z$20000,MATCH(A789,'Semrush Data'!$A$1:$A$20000,0),MATCH("Intent",'Semrush Data'!$A$1:$Z$1,0)),"")</f>
        <v>Informational</v>
      </c>
    </row>
    <row r="790" customFormat="false" ht="15" hidden="false" customHeight="true" outlineLevel="0" collapsed="false">
      <c r="A790" s="7" t="s">
        <v>1702</v>
      </c>
      <c r="B790" s="7" t="s">
        <v>38</v>
      </c>
      <c r="C790" s="7" t="n">
        <v>1</v>
      </c>
      <c r="D790" s="7" t="n">
        <v>8</v>
      </c>
      <c r="E790" s="7" t="n">
        <v>1</v>
      </c>
      <c r="F790" s="7" t="s">
        <v>680</v>
      </c>
      <c r="G790" s="12" t="n">
        <f aca="false">IFERROR(INDEX('Semrush Data'!$A$1:$Z$20000,MATCH(A790,'Semrush Data'!$A$1:$A$20000,0),MATCH("Volume",'Semrush Data'!$A$1:$Z$1,0)),"")</f>
        <v>0</v>
      </c>
      <c r="H790" s="7" t="n">
        <f aca="false">IFERROR(INDEX('Semrush Data'!$A$1:$Z$20000,MATCH(A790,'Semrush Data'!$A$1:$A$20000,0),MATCH("Keyword Difficulty*",'Semrush Data'!$A$1:$Z$1,0)),"")</f>
        <v>12</v>
      </c>
      <c r="I790" s="13" t="n">
        <f aca="false">IFERROR(INDEX('Semrush Data'!$A$1:$Z$20000,MATCH(A790,'Semrush Data'!$A$1:$A$20000,0),MATCH("CPC*",'Semrush Data'!$A$1:$Z$1,0)),"")</f>
        <v>0</v>
      </c>
      <c r="J790" s="7" t="str">
        <f aca="false">IFERROR(INDEX('Semrush Data'!$A$1:$Z$20000,MATCH(A790,'Semrush Data'!$A$1:$A$20000,0),MATCH("Intent",'Semrush Data'!$A$1:$Z$1,0)),"")</f>
        <v>Navigational</v>
      </c>
    </row>
    <row r="791" customFormat="false" ht="15" hidden="false" customHeight="true" outlineLevel="0" collapsed="false">
      <c r="A791" s="7" t="s">
        <v>1822</v>
      </c>
      <c r="B791" s="7" t="s">
        <v>38</v>
      </c>
      <c r="C791" s="7" t="n">
        <v>1</v>
      </c>
      <c r="D791" s="7" t="n">
        <v>8</v>
      </c>
      <c r="E791" s="7" t="n">
        <v>1</v>
      </c>
      <c r="F791" s="7" t="s">
        <v>791</v>
      </c>
      <c r="G791" s="12" t="n">
        <f aca="false">IFERROR(INDEX('Semrush Data'!$A$1:$Z$20000,MATCH(A791,'Semrush Data'!$A$1:$A$20000,0),MATCH("Volume",'Semrush Data'!$A$1:$Z$1,0)),"")</f>
        <v>0</v>
      </c>
      <c r="H791" s="7" t="n">
        <f aca="false">IFERROR(INDEX('Semrush Data'!$A$1:$Z$20000,MATCH(A791,'Semrush Data'!$A$1:$A$20000,0),MATCH("Keyword Difficulty*",'Semrush Data'!$A$1:$Z$1,0)),"")</f>
        <v>15</v>
      </c>
      <c r="I791" s="13" t="n">
        <f aca="false">IFERROR(INDEX('Semrush Data'!$A$1:$Z$20000,MATCH(A791,'Semrush Data'!$A$1:$A$20000,0),MATCH("CPC*",'Semrush Data'!$A$1:$Z$1,0)),"")</f>
        <v>0</v>
      </c>
      <c r="J791" s="7" t="str">
        <f aca="false">IFERROR(INDEX('Semrush Data'!$A$1:$Z$20000,MATCH(A791,'Semrush Data'!$A$1:$A$20000,0),MATCH("Intent",'Semrush Data'!$A$1:$Z$1,0)),"")</f>
        <v>Informational</v>
      </c>
    </row>
    <row r="792" customFormat="false" ht="15" hidden="false" customHeight="true" outlineLevel="0" collapsed="false">
      <c r="A792" s="7" t="s">
        <v>1726</v>
      </c>
      <c r="B792" s="7" t="s">
        <v>38</v>
      </c>
      <c r="C792" s="7" t="n">
        <v>1</v>
      </c>
      <c r="D792" s="7" t="n">
        <v>8</v>
      </c>
      <c r="E792" s="7" t="n">
        <v>1</v>
      </c>
      <c r="F792" s="7" t="s">
        <v>703</v>
      </c>
      <c r="G792" s="12" t="n">
        <f aca="false">IFERROR(INDEX('Semrush Data'!$A$1:$Z$20000,MATCH(A792,'Semrush Data'!$A$1:$A$20000,0),MATCH("Volume",'Semrush Data'!$A$1:$Z$1,0)),"")</f>
        <v>0</v>
      </c>
      <c r="H792" s="7" t="n">
        <f aca="false">IFERROR(INDEX('Semrush Data'!$A$1:$Z$20000,MATCH(A792,'Semrush Data'!$A$1:$A$20000,0),MATCH("Keyword Difficulty*",'Semrush Data'!$A$1:$Z$1,0)),"")</f>
        <v>30</v>
      </c>
      <c r="I792" s="13" t="n">
        <f aca="false">IFERROR(INDEX('Semrush Data'!$A$1:$Z$20000,MATCH(A792,'Semrush Data'!$A$1:$A$20000,0),MATCH("CPC*",'Semrush Data'!$A$1:$Z$1,0)),"")</f>
        <v>0</v>
      </c>
      <c r="J792" s="7" t="str">
        <f aca="false">IFERROR(INDEX('Semrush Data'!$A$1:$Z$20000,MATCH(A792,'Semrush Data'!$A$1:$A$20000,0),MATCH("Intent",'Semrush Data'!$A$1:$Z$1,0)),"")</f>
        <v>Transactional Navigational</v>
      </c>
    </row>
    <row r="793" customFormat="false" ht="15" hidden="false" customHeight="true" outlineLevel="0" collapsed="false">
      <c r="A793" s="7" t="s">
        <v>1410</v>
      </c>
      <c r="B793" s="7" t="s">
        <v>38</v>
      </c>
      <c r="C793" s="7" t="n">
        <v>1</v>
      </c>
      <c r="D793" s="7" t="n">
        <v>8</v>
      </c>
      <c r="E793" s="7" t="n">
        <v>1</v>
      </c>
      <c r="F793" s="7" t="s">
        <v>353</v>
      </c>
      <c r="G793" s="12" t="n">
        <f aca="false">IFERROR(INDEX('Semrush Data'!$A$1:$Z$20000,MATCH(A793,'Semrush Data'!$A$1:$A$20000,0),MATCH("Volume",'Semrush Data'!$A$1:$Z$1,0)),"")</f>
        <v>0</v>
      </c>
      <c r="H793" s="7" t="n">
        <f aca="false">IFERROR(INDEX('Semrush Data'!$A$1:$Z$20000,MATCH(A793,'Semrush Data'!$A$1:$A$20000,0),MATCH("Keyword Difficulty*",'Semrush Data'!$A$1:$Z$1,0)),"")</f>
        <v>25</v>
      </c>
      <c r="I793" s="13" t="n">
        <f aca="false">IFERROR(INDEX('Semrush Data'!$A$1:$Z$20000,MATCH(A793,'Semrush Data'!$A$1:$A$20000,0),MATCH("CPC*",'Semrush Data'!$A$1:$Z$1,0)),"")</f>
        <v>0</v>
      </c>
      <c r="J793" s="7" t="str">
        <f aca="false">IFERROR(INDEX('Semrush Data'!$A$1:$Z$20000,MATCH(A793,'Semrush Data'!$A$1:$A$20000,0),MATCH("Intent",'Semrush Data'!$A$1:$Z$1,0)),"")</f>
        <v>Informational Transactional</v>
      </c>
    </row>
    <row r="794" customFormat="false" ht="15" hidden="false" customHeight="true" outlineLevel="0" collapsed="false">
      <c r="A794" s="7" t="s">
        <v>1840</v>
      </c>
      <c r="B794" s="7" t="s">
        <v>38</v>
      </c>
      <c r="C794" s="7" t="n">
        <v>1</v>
      </c>
      <c r="D794" s="7" t="n">
        <v>8</v>
      </c>
      <c r="E794" s="7" t="n">
        <v>1</v>
      </c>
      <c r="F794" s="7" t="s">
        <v>808</v>
      </c>
      <c r="G794" s="12" t="n">
        <f aca="false">IFERROR(INDEX('Semrush Data'!$A$1:$Z$20000,MATCH(A794,'Semrush Data'!$A$1:$A$20000,0),MATCH("Volume",'Semrush Data'!$A$1:$Z$1,0)),"")</f>
        <v>0</v>
      </c>
      <c r="H794" s="7" t="n">
        <f aca="false">IFERROR(INDEX('Semrush Data'!$A$1:$Z$20000,MATCH(A794,'Semrush Data'!$A$1:$A$20000,0),MATCH("Keyword Difficulty*",'Semrush Data'!$A$1:$Z$1,0)),"")</f>
        <v>12</v>
      </c>
      <c r="I794" s="13" t="n">
        <f aca="false">IFERROR(INDEX('Semrush Data'!$A$1:$Z$20000,MATCH(A794,'Semrush Data'!$A$1:$A$20000,0),MATCH("CPC*",'Semrush Data'!$A$1:$Z$1,0)),"")</f>
        <v>0</v>
      </c>
      <c r="J794" s="7" t="str">
        <f aca="false">IFERROR(INDEX('Semrush Data'!$A$1:$Z$20000,MATCH(A794,'Semrush Data'!$A$1:$A$20000,0),MATCH("Intent",'Semrush Data'!$A$1:$Z$1,0)),"")</f>
        <v>Informational Transactional</v>
      </c>
    </row>
    <row r="795" customFormat="false" ht="15" hidden="false" customHeight="true" outlineLevel="0" collapsed="false">
      <c r="A795" s="7" t="s">
        <v>1762</v>
      </c>
      <c r="B795" s="7" t="s">
        <v>38</v>
      </c>
      <c r="C795" s="7" t="n">
        <v>1</v>
      </c>
      <c r="D795" s="7" t="n">
        <v>8</v>
      </c>
      <c r="E795" s="7" t="n">
        <v>1</v>
      </c>
      <c r="F795" s="7" t="s">
        <v>736</v>
      </c>
      <c r="G795" s="12" t="n">
        <f aca="false">IFERROR(INDEX('Semrush Data'!$A$1:$Z$20000,MATCH(A795,'Semrush Data'!$A$1:$A$20000,0),MATCH("Volume",'Semrush Data'!$A$1:$Z$1,0)),"")</f>
        <v>0</v>
      </c>
      <c r="H795" s="7" t="n">
        <f aca="false">IFERROR(INDEX('Semrush Data'!$A$1:$Z$20000,MATCH(A795,'Semrush Data'!$A$1:$A$20000,0),MATCH("Keyword Difficulty*",'Semrush Data'!$A$1:$Z$1,0)),"")</f>
        <v>14</v>
      </c>
      <c r="I795" s="13" t="n">
        <f aca="false">IFERROR(INDEX('Semrush Data'!$A$1:$Z$20000,MATCH(A795,'Semrush Data'!$A$1:$A$20000,0),MATCH("CPC*",'Semrush Data'!$A$1:$Z$1,0)),"")</f>
        <v>0</v>
      </c>
      <c r="J795" s="7" t="str">
        <f aca="false">IFERROR(INDEX('Semrush Data'!$A$1:$Z$20000,MATCH(A795,'Semrush Data'!$A$1:$A$20000,0),MATCH("Intent",'Semrush Data'!$A$1:$Z$1,0)),"")</f>
        <v>Informational Transactional</v>
      </c>
    </row>
    <row r="796" customFormat="false" ht="15" hidden="false" customHeight="true" outlineLevel="0" collapsed="false">
      <c r="A796" s="7" t="s">
        <v>1810</v>
      </c>
      <c r="B796" s="7" t="s">
        <v>38</v>
      </c>
      <c r="C796" s="7" t="n">
        <v>1</v>
      </c>
      <c r="D796" s="7" t="n">
        <v>8</v>
      </c>
      <c r="E796" s="7" t="n">
        <v>1</v>
      </c>
      <c r="F796" s="7" t="s">
        <v>781</v>
      </c>
      <c r="G796" s="12" t="n">
        <f aca="false">IFERROR(INDEX('Semrush Data'!$A$1:$Z$20000,MATCH(A796,'Semrush Data'!$A$1:$A$20000,0),MATCH("Volume",'Semrush Data'!$A$1:$Z$1,0)),"")</f>
        <v>0</v>
      </c>
      <c r="H796" s="7" t="n">
        <f aca="false">IFERROR(INDEX('Semrush Data'!$A$1:$Z$20000,MATCH(A796,'Semrush Data'!$A$1:$A$20000,0),MATCH("Keyword Difficulty*",'Semrush Data'!$A$1:$Z$1,0)),"")</f>
        <v>11</v>
      </c>
      <c r="I796" s="13" t="n">
        <f aca="false">IFERROR(INDEX('Semrush Data'!$A$1:$Z$20000,MATCH(A796,'Semrush Data'!$A$1:$A$20000,0),MATCH("CPC*",'Semrush Data'!$A$1:$Z$1,0)),"")</f>
        <v>0</v>
      </c>
      <c r="J796" s="7" t="str">
        <f aca="false">IFERROR(INDEX('Semrush Data'!$A$1:$Z$20000,MATCH(A796,'Semrush Data'!$A$1:$A$20000,0),MATCH("Intent",'Semrush Data'!$A$1:$Z$1,0)),"")</f>
        <v>Transactional Navigational</v>
      </c>
    </row>
    <row r="797" customFormat="false" ht="15" hidden="false" customHeight="true" outlineLevel="0" collapsed="false">
      <c r="A797" s="7" t="s">
        <v>1720</v>
      </c>
      <c r="B797" s="7" t="s">
        <v>38</v>
      </c>
      <c r="C797" s="7" t="n">
        <v>1</v>
      </c>
      <c r="D797" s="7" t="n">
        <v>8</v>
      </c>
      <c r="E797" s="7" t="n">
        <v>1</v>
      </c>
      <c r="F797" s="7" t="s">
        <v>698</v>
      </c>
      <c r="G797" s="12" t="n">
        <f aca="false">IFERROR(INDEX('Semrush Data'!$A$1:$Z$20000,MATCH(A797,'Semrush Data'!$A$1:$A$20000,0),MATCH("Volume",'Semrush Data'!$A$1:$Z$1,0)),"")</f>
        <v>0</v>
      </c>
      <c r="H797" s="7" t="n">
        <f aca="false">IFERROR(INDEX('Semrush Data'!$A$1:$Z$20000,MATCH(A797,'Semrush Data'!$A$1:$A$20000,0),MATCH("Keyword Difficulty*",'Semrush Data'!$A$1:$Z$1,0)),"")</f>
        <v>12</v>
      </c>
      <c r="I797" s="13" t="n">
        <f aca="false">IFERROR(INDEX('Semrush Data'!$A$1:$Z$20000,MATCH(A797,'Semrush Data'!$A$1:$A$20000,0),MATCH("CPC*",'Semrush Data'!$A$1:$Z$1,0)),"")</f>
        <v>0</v>
      </c>
      <c r="J797" s="7" t="str">
        <f aca="false">IFERROR(INDEX('Semrush Data'!$A$1:$Z$20000,MATCH(A797,'Semrush Data'!$A$1:$A$20000,0),MATCH("Intent",'Semrush Data'!$A$1:$Z$1,0)),"")</f>
        <v>Informational</v>
      </c>
    </row>
    <row r="798" customFormat="false" ht="15" hidden="false" customHeight="true" outlineLevel="0" collapsed="false">
      <c r="A798" s="7" t="s">
        <v>1756</v>
      </c>
      <c r="B798" s="7" t="s">
        <v>38</v>
      </c>
      <c r="C798" s="7" t="n">
        <v>1</v>
      </c>
      <c r="D798" s="7" t="n">
        <v>8</v>
      </c>
      <c r="E798" s="7" t="n">
        <v>1</v>
      </c>
      <c r="F798" s="7" t="s">
        <v>730</v>
      </c>
      <c r="G798" s="12" t="n">
        <f aca="false">IFERROR(INDEX('Semrush Data'!$A$1:$Z$20000,MATCH(A798,'Semrush Data'!$A$1:$A$20000,0),MATCH("Volume",'Semrush Data'!$A$1:$Z$1,0)),"")</f>
        <v>0</v>
      </c>
      <c r="H798" s="7" t="n">
        <f aca="false">IFERROR(INDEX('Semrush Data'!$A$1:$Z$20000,MATCH(A798,'Semrush Data'!$A$1:$A$20000,0),MATCH("Keyword Difficulty*",'Semrush Data'!$A$1:$Z$1,0)),"")</f>
        <v>12</v>
      </c>
      <c r="I798" s="13" t="n">
        <f aca="false">IFERROR(INDEX('Semrush Data'!$A$1:$Z$20000,MATCH(A798,'Semrush Data'!$A$1:$A$20000,0),MATCH("CPC*",'Semrush Data'!$A$1:$Z$1,0)),"")</f>
        <v>0</v>
      </c>
      <c r="J798" s="7" t="str">
        <f aca="false">IFERROR(INDEX('Semrush Data'!$A$1:$Z$20000,MATCH(A798,'Semrush Data'!$A$1:$A$20000,0),MATCH("Intent",'Semrush Data'!$A$1:$Z$1,0)),"")</f>
        <v>Informational</v>
      </c>
    </row>
    <row r="799" customFormat="false" ht="15" hidden="false" customHeight="true" outlineLevel="0" collapsed="false">
      <c r="A799" s="7" t="s">
        <v>1804</v>
      </c>
      <c r="B799" s="7" t="s">
        <v>38</v>
      </c>
      <c r="C799" s="7" t="n">
        <v>1</v>
      </c>
      <c r="D799" s="7" t="n">
        <v>8</v>
      </c>
      <c r="E799" s="7" t="n">
        <v>1</v>
      </c>
      <c r="F799" s="7" t="s">
        <v>775</v>
      </c>
      <c r="G799" s="12" t="n">
        <f aca="false">IFERROR(INDEX('Semrush Data'!$A$1:$Z$20000,MATCH(A799,'Semrush Data'!$A$1:$A$20000,0),MATCH("Volume",'Semrush Data'!$A$1:$Z$1,0)),"")</f>
        <v>0</v>
      </c>
      <c r="H799" s="7" t="n">
        <f aca="false">IFERROR(INDEX('Semrush Data'!$A$1:$Z$20000,MATCH(A799,'Semrush Data'!$A$1:$A$20000,0),MATCH("Keyword Difficulty*",'Semrush Data'!$A$1:$Z$1,0)),"")</f>
        <v>17</v>
      </c>
      <c r="I799" s="13" t="n">
        <f aca="false">IFERROR(INDEX('Semrush Data'!$A$1:$Z$20000,MATCH(A799,'Semrush Data'!$A$1:$A$20000,0),MATCH("CPC*",'Semrush Data'!$A$1:$Z$1,0)),"")</f>
        <v>0</v>
      </c>
      <c r="J799" s="7" t="str">
        <f aca="false">IFERROR(INDEX('Semrush Data'!$A$1:$Z$20000,MATCH(A799,'Semrush Data'!$A$1:$A$20000,0),MATCH("Intent",'Semrush Data'!$A$1:$Z$1,0)),"")</f>
        <v>Informational</v>
      </c>
    </row>
    <row r="800" customFormat="false" ht="15" hidden="false" customHeight="true" outlineLevel="0" collapsed="false">
      <c r="A800" s="7" t="s">
        <v>1425</v>
      </c>
      <c r="B800" s="7" t="s">
        <v>38</v>
      </c>
      <c r="C800" s="7" t="n">
        <v>1</v>
      </c>
      <c r="D800" s="7" t="n">
        <v>8</v>
      </c>
      <c r="E800" s="7" t="n">
        <v>1</v>
      </c>
      <c r="F800" s="7" t="s">
        <v>372</v>
      </c>
      <c r="G800" s="12" t="n">
        <f aca="false">IFERROR(INDEX('Semrush Data'!$A$1:$Z$20000,MATCH(A800,'Semrush Data'!$A$1:$A$20000,0),MATCH("Volume",'Semrush Data'!$A$1:$Z$1,0)),"")</f>
        <v>0</v>
      </c>
      <c r="H800" s="7" t="n">
        <f aca="false">IFERROR(INDEX('Semrush Data'!$A$1:$Z$20000,MATCH(A800,'Semrush Data'!$A$1:$A$20000,0),MATCH("Keyword Difficulty*",'Semrush Data'!$A$1:$Z$1,0)),"")</f>
        <v>20</v>
      </c>
      <c r="I800" s="13" t="n">
        <f aca="false">IFERROR(INDEX('Semrush Data'!$A$1:$Z$20000,MATCH(A800,'Semrush Data'!$A$1:$A$20000,0),MATCH("CPC*",'Semrush Data'!$A$1:$Z$1,0)),"")</f>
        <v>0</v>
      </c>
      <c r="J800" s="7" t="str">
        <f aca="false">IFERROR(INDEX('Semrush Data'!$A$1:$Z$20000,MATCH(A800,'Semrush Data'!$A$1:$A$20000,0),MATCH("Intent",'Semrush Data'!$A$1:$Z$1,0)),"")</f>
        <v>Informational</v>
      </c>
    </row>
    <row r="801" customFormat="false" ht="15" hidden="false" customHeight="true" outlineLevel="0" collapsed="false">
      <c r="A801" s="7" t="s">
        <v>1651</v>
      </c>
      <c r="B801" s="7" t="s">
        <v>38</v>
      </c>
      <c r="C801" s="7" t="n">
        <v>1</v>
      </c>
      <c r="D801" s="7" t="n">
        <v>8</v>
      </c>
      <c r="E801" s="7" t="n">
        <v>1</v>
      </c>
      <c r="F801" s="7" t="s">
        <v>629</v>
      </c>
      <c r="G801" s="12" t="n">
        <f aca="false">IFERROR(INDEX('Semrush Data'!$A$1:$Z$20000,MATCH(A801,'Semrush Data'!$A$1:$A$20000,0),MATCH("Volume",'Semrush Data'!$A$1:$Z$1,0)),"")</f>
        <v>0</v>
      </c>
      <c r="H801" s="7" t="n">
        <f aca="false">IFERROR(INDEX('Semrush Data'!$A$1:$Z$20000,MATCH(A801,'Semrush Data'!$A$1:$A$20000,0),MATCH("Keyword Difficulty*",'Semrush Data'!$A$1:$Z$1,0)),"")</f>
        <v>32</v>
      </c>
      <c r="I801" s="13" t="n">
        <f aca="false">IFERROR(INDEX('Semrush Data'!$A$1:$Z$20000,MATCH(A801,'Semrush Data'!$A$1:$A$20000,0),MATCH("CPC*",'Semrush Data'!$A$1:$Z$1,0)),"")</f>
        <v>0</v>
      </c>
      <c r="J801" s="7" t="str">
        <f aca="false">IFERROR(INDEX('Semrush Data'!$A$1:$Z$20000,MATCH(A801,'Semrush Data'!$A$1:$A$20000,0),MATCH("Intent",'Semrush Data'!$A$1:$Z$1,0)),"")</f>
        <v>Transactional</v>
      </c>
    </row>
    <row r="802" customFormat="false" ht="15" hidden="false" customHeight="true" outlineLevel="0" collapsed="false">
      <c r="A802" s="7" t="s">
        <v>1508</v>
      </c>
      <c r="B802" s="7" t="s">
        <v>38</v>
      </c>
      <c r="C802" s="7" t="n">
        <v>1</v>
      </c>
      <c r="D802" s="7" t="n">
        <v>9</v>
      </c>
      <c r="E802" s="7" t="n">
        <v>1</v>
      </c>
      <c r="F802" s="7" t="s">
        <v>468</v>
      </c>
      <c r="G802" s="12" t="n">
        <f aca="false">IFERROR(INDEX('Semrush Data'!$A$1:$Z$20000,MATCH(A802,'Semrush Data'!$A$1:$A$20000,0),MATCH("Volume",'Semrush Data'!$A$1:$Z$1,0)),"")</f>
        <v>0</v>
      </c>
      <c r="H802" s="7" t="n">
        <f aca="false">IFERROR(INDEX('Semrush Data'!$A$1:$Z$20000,MATCH(A802,'Semrush Data'!$A$1:$A$20000,0),MATCH("Keyword Difficulty*",'Semrush Data'!$A$1:$Z$1,0)),"")</f>
        <v>20</v>
      </c>
      <c r="I802" s="13" t="n">
        <f aca="false">IFERROR(INDEX('Semrush Data'!$A$1:$Z$20000,MATCH(A802,'Semrush Data'!$A$1:$A$20000,0),MATCH("CPC*",'Semrush Data'!$A$1:$Z$1,0)),"")</f>
        <v>0</v>
      </c>
      <c r="J802" s="7" t="str">
        <f aca="false">IFERROR(INDEX('Semrush Data'!$A$1:$Z$20000,MATCH(A802,'Semrush Data'!$A$1:$A$20000,0),MATCH("Intent",'Semrush Data'!$A$1:$Z$1,0)),"")</f>
        <v>Navigational</v>
      </c>
    </row>
    <row r="803" customFormat="false" ht="15" hidden="false" customHeight="true" outlineLevel="0" collapsed="false">
      <c r="A803" s="7" t="s">
        <v>1798</v>
      </c>
      <c r="B803" s="7" t="s">
        <v>38</v>
      </c>
      <c r="C803" s="7" t="n">
        <v>1</v>
      </c>
      <c r="D803" s="7" t="n">
        <v>9</v>
      </c>
      <c r="E803" s="7" t="n">
        <v>1</v>
      </c>
      <c r="F803" s="7" t="s">
        <v>769</v>
      </c>
      <c r="G803" s="12" t="n">
        <f aca="false">IFERROR(INDEX('Semrush Data'!$A$1:$Z$20000,MATCH(A803,'Semrush Data'!$A$1:$A$20000,0),MATCH("Volume",'Semrush Data'!$A$1:$Z$1,0)),"")</f>
        <v>0</v>
      </c>
      <c r="H803" s="7" t="n">
        <f aca="false">IFERROR(INDEX('Semrush Data'!$A$1:$Z$20000,MATCH(A803,'Semrush Data'!$A$1:$A$20000,0),MATCH("Keyword Difficulty*",'Semrush Data'!$A$1:$Z$1,0)),"")</f>
        <v>12</v>
      </c>
      <c r="I803" s="13" t="n">
        <f aca="false">IFERROR(INDEX('Semrush Data'!$A$1:$Z$20000,MATCH(A803,'Semrush Data'!$A$1:$A$20000,0),MATCH("CPC*",'Semrush Data'!$A$1:$Z$1,0)),"")</f>
        <v>0</v>
      </c>
      <c r="J803" s="7" t="str">
        <f aca="false">IFERROR(INDEX('Semrush Data'!$A$1:$Z$20000,MATCH(A803,'Semrush Data'!$A$1:$A$20000,0),MATCH("Intent",'Semrush Data'!$A$1:$Z$1,0)),"")</f>
        <v>Navigational</v>
      </c>
    </row>
    <row r="804" customFormat="false" ht="15" hidden="false" customHeight="true" outlineLevel="0" collapsed="false">
      <c r="A804" s="7" t="s">
        <v>6427</v>
      </c>
      <c r="B804" s="7" t="s">
        <v>38</v>
      </c>
      <c r="C804" s="7" t="n">
        <v>1</v>
      </c>
      <c r="D804" s="7" t="n">
        <v>9</v>
      </c>
      <c r="E804" s="7" t="n">
        <v>1</v>
      </c>
      <c r="F804" s="7" t="s">
        <v>6424</v>
      </c>
      <c r="G804" s="12" t="n">
        <f aca="false">IFERROR(INDEX('Semrush Data'!$A$1:$Z$20000,MATCH(A804,'Semrush Data'!$A$1:$A$20000,0),MATCH("Volume",'Semrush Data'!$A$1:$Z$1,0)),"")</f>
        <v>0</v>
      </c>
      <c r="H804" s="7" t="n">
        <f aca="false">IFERROR(INDEX('Semrush Data'!$A$1:$Z$20000,MATCH(A804,'Semrush Data'!$A$1:$A$20000,0),MATCH("Keyword Difficulty*",'Semrush Data'!$A$1:$Z$1,0)),"")</f>
        <v>24</v>
      </c>
      <c r="I804" s="13" t="n">
        <f aca="false">IFERROR(INDEX('Semrush Data'!$A$1:$Z$20000,MATCH(A804,'Semrush Data'!$A$1:$A$20000,0),MATCH("CPC*",'Semrush Data'!$A$1:$Z$1,0)),"")</f>
        <v>0</v>
      </c>
      <c r="J804" s="7" t="str">
        <f aca="false">IFERROR(INDEX('Semrush Data'!$A$1:$Z$20000,MATCH(A804,'Semrush Data'!$A$1:$A$20000,0),MATCH("Intent",'Semrush Data'!$A$1:$Z$1,0)),"")</f>
        <v>Informational</v>
      </c>
    </row>
    <row r="805" customFormat="false" ht="15" hidden="false" customHeight="true" outlineLevel="0" collapsed="false">
      <c r="A805" s="7" t="s">
        <v>2398</v>
      </c>
      <c r="B805" s="7" t="s">
        <v>6814</v>
      </c>
      <c r="C805" s="7" t="n">
        <v>2</v>
      </c>
      <c r="D805" s="7" t="n">
        <v>9</v>
      </c>
      <c r="E805" s="7" t="n">
        <v>1</v>
      </c>
      <c r="F805" s="7" t="s">
        <v>2389</v>
      </c>
      <c r="G805" s="12" t="n">
        <f aca="false">IFERROR(INDEX('Semrush Data'!$A$1:$Z$20000,MATCH(A805,'Semrush Data'!$A$1:$A$20000,0),MATCH("Volume",'Semrush Data'!$A$1:$Z$1,0)),"")</f>
        <v>0</v>
      </c>
      <c r="H805" s="7" t="n">
        <f aca="false">IFERROR(INDEX('Semrush Data'!$A$1:$Z$20000,MATCH(A805,'Semrush Data'!$A$1:$A$20000,0),MATCH("Keyword Difficulty*",'Semrush Data'!$A$1:$Z$1,0)),"")</f>
        <v>22</v>
      </c>
      <c r="I805" s="13" t="n">
        <f aca="false">IFERROR(INDEX('Semrush Data'!$A$1:$Z$20000,MATCH(A805,'Semrush Data'!$A$1:$A$20000,0),MATCH("CPC*",'Semrush Data'!$A$1:$Z$1,0)),"")</f>
        <v>0</v>
      </c>
      <c r="J805" s="7" t="str">
        <f aca="false">IFERROR(INDEX('Semrush Data'!$A$1:$Z$20000,MATCH(A805,'Semrush Data'!$A$1:$A$20000,0),MATCH("Intent",'Semrush Data'!$A$1:$Z$1,0)),"")</f>
        <v>Informational</v>
      </c>
    </row>
    <row r="806" customFormat="false" ht="15" hidden="false" customHeight="true" outlineLevel="0" collapsed="false">
      <c r="A806" s="7" t="s">
        <v>2410</v>
      </c>
      <c r="B806" s="7" t="s">
        <v>6814</v>
      </c>
      <c r="C806" s="7" t="n">
        <v>2</v>
      </c>
      <c r="D806" s="7" t="n">
        <v>9</v>
      </c>
      <c r="E806" s="7" t="n">
        <v>1</v>
      </c>
      <c r="F806" s="7" t="s">
        <v>2407</v>
      </c>
      <c r="G806" s="12" t="n">
        <f aca="false">IFERROR(INDEX('Semrush Data'!$A$1:$Z$20000,MATCH(A806,'Semrush Data'!$A$1:$A$20000,0),MATCH("Volume",'Semrush Data'!$A$1:$Z$1,0)),"")</f>
        <v>0</v>
      </c>
      <c r="H806" s="7" t="n">
        <f aca="false">IFERROR(INDEX('Semrush Data'!$A$1:$Z$20000,MATCH(A806,'Semrush Data'!$A$1:$A$20000,0),MATCH("Keyword Difficulty*",'Semrush Data'!$A$1:$Z$1,0)),"")</f>
        <v>19</v>
      </c>
      <c r="I806" s="13" t="n">
        <f aca="false">IFERROR(INDEX('Semrush Data'!$A$1:$Z$20000,MATCH(A806,'Semrush Data'!$A$1:$A$20000,0),MATCH("CPC*",'Semrush Data'!$A$1:$Z$1,0)),"")</f>
        <v>0</v>
      </c>
      <c r="J806" s="7" t="str">
        <f aca="false">IFERROR(INDEX('Semrush Data'!$A$1:$Z$20000,MATCH(A806,'Semrush Data'!$A$1:$A$20000,0),MATCH("Intent",'Semrush Data'!$A$1:$Z$1,0)),"")</f>
        <v>Informational</v>
      </c>
    </row>
    <row r="807" customFormat="false" ht="15" hidden="false" customHeight="true" outlineLevel="0" collapsed="false">
      <c r="A807" s="7" t="s">
        <v>2495</v>
      </c>
      <c r="B807" s="7" t="s">
        <v>6814</v>
      </c>
      <c r="C807" s="7" t="n">
        <v>2</v>
      </c>
      <c r="D807" s="7" t="n">
        <v>9</v>
      </c>
      <c r="E807" s="7" t="n">
        <v>1</v>
      </c>
      <c r="F807" s="7" t="s">
        <v>2490</v>
      </c>
      <c r="G807" s="12" t="n">
        <f aca="false">IFERROR(INDEX('Semrush Data'!$A$1:$Z$20000,MATCH(A807,'Semrush Data'!$A$1:$A$20000,0),MATCH("Volume",'Semrush Data'!$A$1:$Z$1,0)),"")</f>
        <v>0</v>
      </c>
      <c r="H807" s="7" t="n">
        <f aca="false">IFERROR(INDEX('Semrush Data'!$A$1:$Z$20000,MATCH(A807,'Semrush Data'!$A$1:$A$20000,0),MATCH("Keyword Difficulty*",'Semrush Data'!$A$1:$Z$1,0)),"")</f>
        <v>16</v>
      </c>
      <c r="I807" s="13" t="n">
        <f aca="false">IFERROR(INDEX('Semrush Data'!$A$1:$Z$20000,MATCH(A807,'Semrush Data'!$A$1:$A$20000,0),MATCH("CPC*",'Semrush Data'!$A$1:$Z$1,0)),"")</f>
        <v>0</v>
      </c>
      <c r="J807" s="7" t="str">
        <f aca="false">IFERROR(INDEX('Semrush Data'!$A$1:$Z$20000,MATCH(A807,'Semrush Data'!$A$1:$A$20000,0),MATCH("Intent",'Semrush Data'!$A$1:$Z$1,0)),"")</f>
        <v>Informational Transactional</v>
      </c>
    </row>
    <row r="808" customFormat="false" ht="15" hidden="false" customHeight="true" outlineLevel="0" collapsed="false">
      <c r="A808" s="7" t="s">
        <v>2437</v>
      </c>
      <c r="B808" s="7" t="s">
        <v>6814</v>
      </c>
      <c r="C808" s="7" t="n">
        <v>2</v>
      </c>
      <c r="D808" s="7" t="n">
        <v>9</v>
      </c>
      <c r="E808" s="7" t="n">
        <v>1</v>
      </c>
      <c r="F808" s="7" t="s">
        <v>2433</v>
      </c>
      <c r="G808" s="12" t="n">
        <f aca="false">IFERROR(INDEX('Semrush Data'!$A$1:$Z$20000,MATCH(A808,'Semrush Data'!$A$1:$A$20000,0),MATCH("Volume",'Semrush Data'!$A$1:$Z$1,0)),"")</f>
        <v>0</v>
      </c>
      <c r="H808" s="7" t="n">
        <f aca="false">IFERROR(INDEX('Semrush Data'!$A$1:$Z$20000,MATCH(A808,'Semrush Data'!$A$1:$A$20000,0),MATCH("Keyword Difficulty*",'Semrush Data'!$A$1:$Z$1,0)),"")</f>
        <v>16</v>
      </c>
      <c r="I808" s="13" t="n">
        <f aca="false">IFERROR(INDEX('Semrush Data'!$A$1:$Z$20000,MATCH(A808,'Semrush Data'!$A$1:$A$20000,0),MATCH("CPC*",'Semrush Data'!$A$1:$Z$1,0)),"")</f>
        <v>0</v>
      </c>
      <c r="J808" s="7" t="str">
        <f aca="false">IFERROR(INDEX('Semrush Data'!$A$1:$Z$20000,MATCH(A808,'Semrush Data'!$A$1:$A$20000,0),MATCH("Intent",'Semrush Data'!$A$1:$Z$1,0)),"")</f>
        <v>Informational</v>
      </c>
    </row>
    <row r="809" customFormat="false" ht="15" hidden="false" customHeight="true" outlineLevel="0" collapsed="false">
      <c r="A809" s="7" t="s">
        <v>2424</v>
      </c>
      <c r="B809" s="7" t="s">
        <v>6814</v>
      </c>
      <c r="C809" s="7" t="n">
        <v>2</v>
      </c>
      <c r="D809" s="7" t="n">
        <v>9</v>
      </c>
      <c r="E809" s="7" t="n">
        <v>1</v>
      </c>
      <c r="F809" s="7" t="s">
        <v>2418</v>
      </c>
      <c r="G809" s="12" t="n">
        <f aca="false">IFERROR(INDEX('Semrush Data'!$A$1:$Z$20000,MATCH(A809,'Semrush Data'!$A$1:$A$20000,0),MATCH("Volume",'Semrush Data'!$A$1:$Z$1,0)),"")</f>
        <v>10</v>
      </c>
      <c r="H809" s="7" t="n">
        <f aca="false">IFERROR(INDEX('Semrush Data'!$A$1:$Z$20000,MATCH(A809,'Semrush Data'!$A$1:$A$20000,0),MATCH("Keyword Difficulty*",'Semrush Data'!$A$1:$Z$1,0)),"")</f>
        <v>8</v>
      </c>
      <c r="I809" s="13" t="n">
        <f aca="false">IFERROR(INDEX('Semrush Data'!$A$1:$Z$20000,MATCH(A809,'Semrush Data'!$A$1:$A$20000,0),MATCH("CPC*",'Semrush Data'!$A$1:$Z$1,0)),"")</f>
        <v>0</v>
      </c>
      <c r="J809" s="7" t="str">
        <f aca="false">IFERROR(INDEX('Semrush Data'!$A$1:$Z$20000,MATCH(A809,'Semrush Data'!$A$1:$A$20000,0),MATCH("Intent",'Semrush Data'!$A$1:$Z$1,0)),"")</f>
        <v>Informational</v>
      </c>
    </row>
    <row r="810" customFormat="false" ht="15" hidden="false" customHeight="true" outlineLevel="0" collapsed="false">
      <c r="A810" s="7" t="s">
        <v>2505</v>
      </c>
      <c r="B810" s="7" t="s">
        <v>6814</v>
      </c>
      <c r="C810" s="7" t="n">
        <v>2</v>
      </c>
      <c r="D810" s="7" t="n">
        <v>9</v>
      </c>
      <c r="E810" s="7" t="n">
        <v>1</v>
      </c>
      <c r="F810" s="7" t="s">
        <v>2501</v>
      </c>
      <c r="G810" s="12" t="n">
        <f aca="false">IFERROR(INDEX('Semrush Data'!$A$1:$Z$20000,MATCH(A810,'Semrush Data'!$A$1:$A$20000,0),MATCH("Volume",'Semrush Data'!$A$1:$Z$1,0)),"")</f>
        <v>0</v>
      </c>
      <c r="H810" s="7" t="n">
        <f aca="false">IFERROR(INDEX('Semrush Data'!$A$1:$Z$20000,MATCH(A810,'Semrush Data'!$A$1:$A$20000,0),MATCH("Keyword Difficulty*",'Semrush Data'!$A$1:$Z$1,0)),"")</f>
        <v>16</v>
      </c>
      <c r="I810" s="13" t="n">
        <f aca="false">IFERROR(INDEX('Semrush Data'!$A$1:$Z$20000,MATCH(A810,'Semrush Data'!$A$1:$A$20000,0),MATCH("CPC*",'Semrush Data'!$A$1:$Z$1,0)),"")</f>
        <v>0</v>
      </c>
      <c r="J810" s="7" t="str">
        <f aca="false">IFERROR(INDEX('Semrush Data'!$A$1:$Z$20000,MATCH(A810,'Semrush Data'!$A$1:$A$20000,0),MATCH("Intent",'Semrush Data'!$A$1:$Z$1,0)),"")</f>
        <v>Informational Transactional</v>
      </c>
    </row>
    <row r="811" customFormat="false" ht="15" hidden="false" customHeight="true" outlineLevel="0" collapsed="false">
      <c r="A811" s="7" t="s">
        <v>2448</v>
      </c>
      <c r="B811" s="7" t="s">
        <v>6814</v>
      </c>
      <c r="C811" s="7" t="n">
        <v>2</v>
      </c>
      <c r="D811" s="7" t="n">
        <v>9</v>
      </c>
      <c r="E811" s="7" t="n">
        <v>1</v>
      </c>
      <c r="F811" s="7" t="s">
        <v>2444</v>
      </c>
      <c r="G811" s="12" t="n">
        <f aca="false">IFERROR(INDEX('Semrush Data'!$A$1:$Z$20000,MATCH(A811,'Semrush Data'!$A$1:$A$20000,0),MATCH("Volume",'Semrush Data'!$A$1:$Z$1,0)),"")</f>
        <v>0</v>
      </c>
      <c r="H811" s="7" t="n">
        <f aca="false">IFERROR(INDEX('Semrush Data'!$A$1:$Z$20000,MATCH(A811,'Semrush Data'!$A$1:$A$20000,0),MATCH("Keyword Difficulty*",'Semrush Data'!$A$1:$Z$1,0)),"")</f>
        <v>16</v>
      </c>
      <c r="I811" s="13" t="n">
        <f aca="false">IFERROR(INDEX('Semrush Data'!$A$1:$Z$20000,MATCH(A811,'Semrush Data'!$A$1:$A$20000,0),MATCH("CPC*",'Semrush Data'!$A$1:$Z$1,0)),"")</f>
        <v>0</v>
      </c>
      <c r="J811" s="7" t="str">
        <f aca="false">IFERROR(INDEX('Semrush Data'!$A$1:$Z$20000,MATCH(A811,'Semrush Data'!$A$1:$A$20000,0),MATCH("Intent",'Semrush Data'!$A$1:$Z$1,0)),"")</f>
        <v>Informational</v>
      </c>
    </row>
    <row r="812" customFormat="false" ht="15" hidden="false" customHeight="true" outlineLevel="0" collapsed="false">
      <c r="A812" s="7" t="s">
        <v>2459</v>
      </c>
      <c r="B812" s="7" t="s">
        <v>6814</v>
      </c>
      <c r="C812" s="7" t="n">
        <v>2</v>
      </c>
      <c r="D812" s="7" t="n">
        <v>9</v>
      </c>
      <c r="E812" s="7" t="n">
        <v>1</v>
      </c>
      <c r="F812" s="7" t="s">
        <v>138</v>
      </c>
      <c r="G812" s="12" t="n">
        <f aca="false">IFERROR(INDEX('Semrush Data'!$A$1:$Z$20000,MATCH(A812,'Semrush Data'!$A$1:$A$20000,0),MATCH("Volume",'Semrush Data'!$A$1:$Z$1,0)),"")</f>
        <v>20</v>
      </c>
      <c r="H812" s="7" t="n">
        <f aca="false">IFERROR(INDEX('Semrush Data'!$A$1:$Z$20000,MATCH(A812,'Semrush Data'!$A$1:$A$20000,0),MATCH("Keyword Difficulty*",'Semrush Data'!$A$1:$Z$1,0)),"")</f>
        <v>12</v>
      </c>
      <c r="I812" s="13" t="n">
        <f aca="false">IFERROR(INDEX('Semrush Data'!$A$1:$Z$20000,MATCH(A812,'Semrush Data'!$A$1:$A$20000,0),MATCH("CPC*",'Semrush Data'!$A$1:$Z$1,0)),"")</f>
        <v>0</v>
      </c>
      <c r="J812" s="7" t="str">
        <f aca="false">IFERROR(INDEX('Semrush Data'!$A$1:$Z$20000,MATCH(A812,'Semrush Data'!$A$1:$A$20000,0),MATCH("Intent",'Semrush Data'!$A$1:$Z$1,0)),"")</f>
        <v>Informational</v>
      </c>
    </row>
    <row r="813" customFormat="false" ht="15" hidden="false" customHeight="true" outlineLevel="0" collapsed="false">
      <c r="A813" s="7" t="s">
        <v>2470</v>
      </c>
      <c r="B813" s="7" t="s">
        <v>6814</v>
      </c>
      <c r="C813" s="7" t="n">
        <v>2</v>
      </c>
      <c r="D813" s="7" t="n">
        <v>9</v>
      </c>
      <c r="E813" s="7" t="n">
        <v>1</v>
      </c>
      <c r="F813" s="7" t="s">
        <v>132</v>
      </c>
      <c r="G813" s="12" t="n">
        <f aca="false">IFERROR(INDEX('Semrush Data'!$A$1:$Z$20000,MATCH(A813,'Semrush Data'!$A$1:$A$20000,0),MATCH("Volume",'Semrush Data'!$A$1:$Z$1,0)),"")</f>
        <v>0</v>
      </c>
      <c r="H813" s="7" t="n">
        <f aca="false">IFERROR(INDEX('Semrush Data'!$A$1:$Z$20000,MATCH(A813,'Semrush Data'!$A$1:$A$20000,0),MATCH("Keyword Difficulty*",'Semrush Data'!$A$1:$Z$1,0)),"")</f>
        <v>12</v>
      </c>
      <c r="I813" s="13" t="n">
        <f aca="false">IFERROR(INDEX('Semrush Data'!$A$1:$Z$20000,MATCH(A813,'Semrush Data'!$A$1:$A$20000,0),MATCH("CPC*",'Semrush Data'!$A$1:$Z$1,0)),"")</f>
        <v>0</v>
      </c>
      <c r="J813" s="7" t="str">
        <f aca="false">IFERROR(INDEX('Semrush Data'!$A$1:$Z$20000,MATCH(A813,'Semrush Data'!$A$1:$A$20000,0),MATCH("Intent",'Semrush Data'!$A$1:$Z$1,0)),"")</f>
        <v>Informational</v>
      </c>
    </row>
    <row r="814" customFormat="false" ht="15" hidden="false" customHeight="true" outlineLevel="0" collapsed="false">
      <c r="A814" s="7" t="s">
        <v>2481</v>
      </c>
      <c r="B814" s="7" t="s">
        <v>6814</v>
      </c>
      <c r="C814" s="7" t="n">
        <v>2</v>
      </c>
      <c r="D814" s="7" t="n">
        <v>9</v>
      </c>
      <c r="E814" s="7" t="n">
        <v>1</v>
      </c>
      <c r="F814" s="7" t="s">
        <v>114</v>
      </c>
      <c r="G814" s="12" t="n">
        <f aca="false">IFERROR(INDEX('Semrush Data'!$A$1:$Z$20000,MATCH(A814,'Semrush Data'!$A$1:$A$20000,0),MATCH("Volume",'Semrush Data'!$A$1:$Z$1,0)),"")</f>
        <v>20</v>
      </c>
      <c r="H814" s="7" t="n">
        <f aca="false">IFERROR(INDEX('Semrush Data'!$A$1:$Z$20000,MATCH(A814,'Semrush Data'!$A$1:$A$20000,0),MATCH("Keyword Difficulty*",'Semrush Data'!$A$1:$Z$1,0)),"")</f>
        <v>9</v>
      </c>
      <c r="I814" s="13" t="n">
        <f aca="false">IFERROR(INDEX('Semrush Data'!$A$1:$Z$20000,MATCH(A814,'Semrush Data'!$A$1:$A$20000,0),MATCH("CPC*",'Semrush Data'!$A$1:$Z$1,0)),"")</f>
        <v>0</v>
      </c>
      <c r="J814" s="7" t="str">
        <f aca="false">IFERROR(INDEX('Semrush Data'!$A$1:$Z$20000,MATCH(A814,'Semrush Data'!$A$1:$A$20000,0),MATCH("Intent",'Semrush Data'!$A$1:$Z$1,0)),"")</f>
        <v>Informational</v>
      </c>
    </row>
    <row r="815" customFormat="false" ht="15" hidden="false" customHeight="true" outlineLevel="0" collapsed="false">
      <c r="A815" s="7" t="s">
        <v>5880</v>
      </c>
      <c r="B815" s="7" t="s">
        <v>6814</v>
      </c>
      <c r="C815" s="7" t="n">
        <v>2</v>
      </c>
      <c r="D815" s="7" t="n">
        <v>9</v>
      </c>
      <c r="E815" s="7" t="n">
        <v>1</v>
      </c>
      <c r="F815" s="7" t="s">
        <v>100</v>
      </c>
      <c r="G815" s="12" t="n">
        <f aca="false">IFERROR(INDEX('Semrush Data'!$A$1:$Z$20000,MATCH(A815,'Semrush Data'!$A$1:$A$20000,0),MATCH("Volume",'Semrush Data'!$A$1:$Z$1,0)),"")</f>
        <v>20</v>
      </c>
      <c r="H815" s="7" t="n">
        <f aca="false">IFERROR(INDEX('Semrush Data'!$A$1:$Z$20000,MATCH(A815,'Semrush Data'!$A$1:$A$20000,0),MATCH("Keyword Difficulty*",'Semrush Data'!$A$1:$Z$1,0)),"")</f>
        <v>12</v>
      </c>
      <c r="I815" s="13" t="n">
        <f aca="false">IFERROR(INDEX('Semrush Data'!$A$1:$Z$20000,MATCH(A815,'Semrush Data'!$A$1:$A$20000,0),MATCH("CPC*",'Semrush Data'!$A$1:$Z$1,0)),"")</f>
        <v>0</v>
      </c>
      <c r="J815" s="7" t="str">
        <f aca="false">IFERROR(INDEX('Semrush Data'!$A$1:$Z$20000,MATCH(A815,'Semrush Data'!$A$1:$A$20000,0),MATCH("Intent",'Semrush Data'!$A$1:$Z$1,0)),"")</f>
        <v>Informational</v>
      </c>
    </row>
    <row r="816" customFormat="false" ht="15" hidden="false" customHeight="true" outlineLevel="0" collapsed="false">
      <c r="A816" s="7" t="s">
        <v>2514</v>
      </c>
      <c r="B816" s="7" t="s">
        <v>6814</v>
      </c>
      <c r="C816" s="7" t="n">
        <v>2</v>
      </c>
      <c r="D816" s="7" t="n">
        <v>9</v>
      </c>
      <c r="E816" s="7" t="n">
        <v>1</v>
      </c>
      <c r="F816" s="7" t="s">
        <v>2510</v>
      </c>
      <c r="G816" s="12" t="n">
        <f aca="false">IFERROR(INDEX('Semrush Data'!$A$1:$Z$20000,MATCH(A816,'Semrush Data'!$A$1:$A$20000,0),MATCH("Volume",'Semrush Data'!$A$1:$Z$1,0)),"")</f>
        <v>0</v>
      </c>
      <c r="H816" s="7" t="n">
        <f aca="false">IFERROR(INDEX('Semrush Data'!$A$1:$Z$20000,MATCH(A816,'Semrush Data'!$A$1:$A$20000,0),MATCH("Keyword Difficulty*",'Semrush Data'!$A$1:$Z$1,0)),"")</f>
        <v>9</v>
      </c>
      <c r="I816" s="13" t="n">
        <f aca="false">IFERROR(INDEX('Semrush Data'!$A$1:$Z$20000,MATCH(A816,'Semrush Data'!$A$1:$A$20000,0),MATCH("CPC*",'Semrush Data'!$A$1:$Z$1,0)),"")</f>
        <v>0</v>
      </c>
      <c r="J816" s="7" t="str">
        <f aca="false">IFERROR(INDEX('Semrush Data'!$A$1:$Z$20000,MATCH(A816,'Semrush Data'!$A$1:$A$20000,0),MATCH("Intent",'Semrush Data'!$A$1:$Z$1,0)),"")</f>
        <v>Informational Transactional</v>
      </c>
    </row>
    <row r="817" customFormat="false" ht="15" hidden="false" customHeight="true" outlineLevel="0" collapsed="false">
      <c r="A817" s="7" t="s">
        <v>2527</v>
      </c>
      <c r="B817" s="7" t="s">
        <v>6814</v>
      </c>
      <c r="C817" s="7" t="n">
        <v>2</v>
      </c>
      <c r="D817" s="7" t="n">
        <v>9</v>
      </c>
      <c r="E817" s="7" t="n">
        <v>1</v>
      </c>
      <c r="F817" s="7" t="s">
        <v>2523</v>
      </c>
      <c r="G817" s="12" t="n">
        <f aca="false">IFERROR(INDEX('Semrush Data'!$A$1:$Z$20000,MATCH(A817,'Semrush Data'!$A$1:$A$20000,0),MATCH("Volume",'Semrush Data'!$A$1:$Z$1,0)),"")</f>
        <v>0</v>
      </c>
      <c r="H817" s="7" t="n">
        <f aca="false">IFERROR(INDEX('Semrush Data'!$A$1:$Z$20000,MATCH(A817,'Semrush Data'!$A$1:$A$20000,0),MATCH("Keyword Difficulty*",'Semrush Data'!$A$1:$Z$1,0)),"")</f>
        <v>16</v>
      </c>
      <c r="I817" s="13" t="n">
        <f aca="false">IFERROR(INDEX('Semrush Data'!$A$1:$Z$20000,MATCH(A817,'Semrush Data'!$A$1:$A$20000,0),MATCH("CPC*",'Semrush Data'!$A$1:$Z$1,0)),"")</f>
        <v>0</v>
      </c>
      <c r="J817" s="7" t="str">
        <f aca="false">IFERROR(INDEX('Semrush Data'!$A$1:$Z$20000,MATCH(A817,'Semrush Data'!$A$1:$A$20000,0),MATCH("Intent",'Semrush Data'!$A$1:$Z$1,0)),"")</f>
        <v>Transactional Navigational</v>
      </c>
    </row>
    <row r="818" customFormat="false" ht="15" hidden="false" customHeight="true" outlineLevel="0" collapsed="false">
      <c r="A818" s="7" t="s">
        <v>2540</v>
      </c>
      <c r="B818" s="7" t="s">
        <v>6814</v>
      </c>
      <c r="C818" s="7" t="n">
        <v>2</v>
      </c>
      <c r="D818" s="7" t="n">
        <v>9</v>
      </c>
      <c r="E818" s="7" t="n">
        <v>1</v>
      </c>
      <c r="F818" s="7" t="s">
        <v>2536</v>
      </c>
      <c r="G818" s="12" t="n">
        <f aca="false">IFERROR(INDEX('Semrush Data'!$A$1:$Z$20000,MATCH(A818,'Semrush Data'!$A$1:$A$20000,0),MATCH("Volume",'Semrush Data'!$A$1:$Z$1,0)),"")</f>
        <v>0</v>
      </c>
      <c r="H818" s="7" t="n">
        <f aca="false">IFERROR(INDEX('Semrush Data'!$A$1:$Z$20000,MATCH(A818,'Semrush Data'!$A$1:$A$20000,0),MATCH("Keyword Difficulty*",'Semrush Data'!$A$1:$Z$1,0)),"")</f>
        <v>9</v>
      </c>
      <c r="I818" s="13" t="n">
        <f aca="false">IFERROR(INDEX('Semrush Data'!$A$1:$Z$20000,MATCH(A818,'Semrush Data'!$A$1:$A$20000,0),MATCH("CPC*",'Semrush Data'!$A$1:$Z$1,0)),"")</f>
        <v>0</v>
      </c>
      <c r="J818" s="7" t="str">
        <f aca="false">IFERROR(INDEX('Semrush Data'!$A$1:$Z$20000,MATCH(A818,'Semrush Data'!$A$1:$A$20000,0),MATCH("Intent",'Semrush Data'!$A$1:$Z$1,0)),"")</f>
        <v>Navigational</v>
      </c>
    </row>
    <row r="819" customFormat="false" ht="15" hidden="false" customHeight="true" outlineLevel="0" collapsed="false">
      <c r="A819" s="7" t="s">
        <v>2552</v>
      </c>
      <c r="B819" s="7" t="s">
        <v>6814</v>
      </c>
      <c r="C819" s="7" t="n">
        <v>2</v>
      </c>
      <c r="D819" s="7" t="n">
        <v>9</v>
      </c>
      <c r="E819" s="7" t="n">
        <v>1</v>
      </c>
      <c r="F819" s="7" t="s">
        <v>2548</v>
      </c>
      <c r="G819" s="12" t="n">
        <f aca="false">IFERROR(INDEX('Semrush Data'!$A$1:$Z$20000,MATCH(A819,'Semrush Data'!$A$1:$A$20000,0),MATCH("Volume",'Semrush Data'!$A$1:$Z$1,0)),"")</f>
        <v>0</v>
      </c>
      <c r="H819" s="7" t="n">
        <f aca="false">IFERROR(INDEX('Semrush Data'!$A$1:$Z$20000,MATCH(A819,'Semrush Data'!$A$1:$A$20000,0),MATCH("Keyword Difficulty*",'Semrush Data'!$A$1:$Z$1,0)),"")</f>
        <v>18</v>
      </c>
      <c r="I819" s="13" t="n">
        <f aca="false">IFERROR(INDEX('Semrush Data'!$A$1:$Z$20000,MATCH(A819,'Semrush Data'!$A$1:$A$20000,0),MATCH("CPC*",'Semrush Data'!$A$1:$Z$1,0)),"")</f>
        <v>0</v>
      </c>
      <c r="J819" s="7" t="str">
        <f aca="false">IFERROR(INDEX('Semrush Data'!$A$1:$Z$20000,MATCH(A819,'Semrush Data'!$A$1:$A$20000,0),MATCH("Intent",'Semrush Data'!$A$1:$Z$1,0)),"")</f>
        <v>Informational</v>
      </c>
    </row>
    <row r="820" customFormat="false" ht="15" hidden="false" customHeight="true" outlineLevel="0" collapsed="false">
      <c r="A820" s="7" t="s">
        <v>2679</v>
      </c>
      <c r="B820" s="7" t="s">
        <v>6814</v>
      </c>
      <c r="C820" s="7" t="n">
        <v>2</v>
      </c>
      <c r="D820" s="7" t="n">
        <v>9</v>
      </c>
      <c r="E820" s="7" t="n">
        <v>1</v>
      </c>
      <c r="F820" s="7" t="s">
        <v>2675</v>
      </c>
      <c r="G820" s="12" t="n">
        <f aca="false">IFERROR(INDEX('Semrush Data'!$A$1:$Z$20000,MATCH(A820,'Semrush Data'!$A$1:$A$20000,0),MATCH("Volume",'Semrush Data'!$A$1:$Z$1,0)),"")</f>
        <v>0</v>
      </c>
      <c r="H820" s="7" t="n">
        <f aca="false">IFERROR(INDEX('Semrush Data'!$A$1:$Z$20000,MATCH(A820,'Semrush Data'!$A$1:$A$20000,0),MATCH("Keyword Difficulty*",'Semrush Data'!$A$1:$Z$1,0)),"")</f>
        <v>13</v>
      </c>
      <c r="I820" s="13" t="n">
        <f aca="false">IFERROR(INDEX('Semrush Data'!$A$1:$Z$20000,MATCH(A820,'Semrush Data'!$A$1:$A$20000,0),MATCH("CPC*",'Semrush Data'!$A$1:$Z$1,0)),"")</f>
        <v>0</v>
      </c>
      <c r="J820" s="7" t="str">
        <f aca="false">IFERROR(INDEX('Semrush Data'!$A$1:$Z$20000,MATCH(A820,'Semrush Data'!$A$1:$A$20000,0),MATCH("Intent",'Semrush Data'!$A$1:$Z$1,0)),"")</f>
        <v>Informational Navigational</v>
      </c>
    </row>
    <row r="821" customFormat="false" ht="15" hidden="false" customHeight="true" outlineLevel="0" collapsed="false">
      <c r="A821" s="7" t="s">
        <v>2570</v>
      </c>
      <c r="B821" s="7" t="s">
        <v>6814</v>
      </c>
      <c r="C821" s="7" t="n">
        <v>2</v>
      </c>
      <c r="D821" s="7" t="n">
        <v>9</v>
      </c>
      <c r="E821" s="7" t="n">
        <v>1</v>
      </c>
      <c r="F821" s="7" t="s">
        <v>106</v>
      </c>
      <c r="G821" s="12" t="n">
        <f aca="false">IFERROR(INDEX('Semrush Data'!$A$1:$Z$20000,MATCH(A821,'Semrush Data'!$A$1:$A$20000,0),MATCH("Volume",'Semrush Data'!$A$1:$Z$1,0)),"")</f>
        <v>20</v>
      </c>
      <c r="H821" s="7" t="n">
        <f aca="false">IFERROR(INDEX('Semrush Data'!$A$1:$Z$20000,MATCH(A821,'Semrush Data'!$A$1:$A$20000,0),MATCH("Keyword Difficulty*",'Semrush Data'!$A$1:$Z$1,0)),"")</f>
        <v>9</v>
      </c>
      <c r="I821" s="13" t="n">
        <f aca="false">IFERROR(INDEX('Semrush Data'!$A$1:$Z$20000,MATCH(A821,'Semrush Data'!$A$1:$A$20000,0),MATCH("CPC*",'Semrush Data'!$A$1:$Z$1,0)),"")</f>
        <v>0</v>
      </c>
      <c r="J821" s="7" t="str">
        <f aca="false">IFERROR(INDEX('Semrush Data'!$A$1:$Z$20000,MATCH(A821,'Semrush Data'!$A$1:$A$20000,0),MATCH("Intent",'Semrush Data'!$A$1:$Z$1,0)),"")</f>
        <v>Informational Transactional</v>
      </c>
    </row>
    <row r="822" customFormat="false" ht="15" hidden="false" customHeight="true" outlineLevel="0" collapsed="false">
      <c r="A822" s="7" t="s">
        <v>2581</v>
      </c>
      <c r="B822" s="7" t="s">
        <v>6814</v>
      </c>
      <c r="C822" s="7" t="n">
        <v>2</v>
      </c>
      <c r="D822" s="7" t="n">
        <v>9</v>
      </c>
      <c r="E822" s="7" t="n">
        <v>1</v>
      </c>
      <c r="F822" s="7" t="s">
        <v>2578</v>
      </c>
      <c r="G822" s="12" t="n">
        <f aca="false">IFERROR(INDEX('Semrush Data'!$A$1:$Z$20000,MATCH(A822,'Semrush Data'!$A$1:$A$20000,0),MATCH("Volume",'Semrush Data'!$A$1:$Z$1,0)),"")</f>
        <v>0</v>
      </c>
      <c r="H822" s="7" t="n">
        <f aca="false">IFERROR(INDEX('Semrush Data'!$A$1:$Z$20000,MATCH(A822,'Semrush Data'!$A$1:$A$20000,0),MATCH("Keyword Difficulty*",'Semrush Data'!$A$1:$Z$1,0)),"")</f>
        <v>10</v>
      </c>
      <c r="I822" s="13" t="n">
        <f aca="false">IFERROR(INDEX('Semrush Data'!$A$1:$Z$20000,MATCH(A822,'Semrush Data'!$A$1:$A$20000,0),MATCH("CPC*",'Semrush Data'!$A$1:$Z$1,0)),"")</f>
        <v>0</v>
      </c>
      <c r="J822" s="7" t="str">
        <f aca="false">IFERROR(INDEX('Semrush Data'!$A$1:$Z$20000,MATCH(A822,'Semrush Data'!$A$1:$A$20000,0),MATCH("Intent",'Semrush Data'!$A$1:$Z$1,0)),"")</f>
        <v>Transactional Navigational</v>
      </c>
    </row>
    <row r="823" customFormat="false" ht="15" hidden="false" customHeight="true" outlineLevel="0" collapsed="false">
      <c r="A823" s="7" t="s">
        <v>2591</v>
      </c>
      <c r="B823" s="7" t="s">
        <v>6814</v>
      </c>
      <c r="C823" s="7" t="n">
        <v>2</v>
      </c>
      <c r="D823" s="7" t="n">
        <v>9</v>
      </c>
      <c r="E823" s="7" t="n">
        <v>1</v>
      </c>
      <c r="F823" s="7" t="s">
        <v>116</v>
      </c>
      <c r="G823" s="12" t="n">
        <f aca="false">IFERROR(INDEX('Semrush Data'!$A$1:$Z$20000,MATCH(A823,'Semrush Data'!$A$1:$A$20000,0),MATCH("Volume",'Semrush Data'!$A$1:$Z$1,0)),"")</f>
        <v>20</v>
      </c>
      <c r="H823" s="7" t="n">
        <f aca="false">IFERROR(INDEX('Semrush Data'!$A$1:$Z$20000,MATCH(A823,'Semrush Data'!$A$1:$A$20000,0),MATCH("Keyword Difficulty*",'Semrush Data'!$A$1:$Z$1,0)),"")</f>
        <v>12</v>
      </c>
      <c r="I823" s="13" t="n">
        <f aca="false">IFERROR(INDEX('Semrush Data'!$A$1:$Z$20000,MATCH(A823,'Semrush Data'!$A$1:$A$20000,0),MATCH("CPC*",'Semrush Data'!$A$1:$Z$1,0)),"")</f>
        <v>0</v>
      </c>
      <c r="J823" s="7" t="str">
        <f aca="false">IFERROR(INDEX('Semrush Data'!$A$1:$Z$20000,MATCH(A823,'Semrush Data'!$A$1:$A$20000,0),MATCH("Intent",'Semrush Data'!$A$1:$Z$1,0)),"")</f>
        <v>Informational Transactional</v>
      </c>
    </row>
    <row r="824" customFormat="false" ht="15" hidden="false" customHeight="true" outlineLevel="0" collapsed="false">
      <c r="A824" s="7" t="s">
        <v>2562</v>
      </c>
      <c r="B824" s="7" t="s">
        <v>6814</v>
      </c>
      <c r="C824" s="7" t="n">
        <v>2</v>
      </c>
      <c r="D824" s="7" t="n">
        <v>9</v>
      </c>
      <c r="E824" s="7" t="n">
        <v>1</v>
      </c>
      <c r="F824" s="7" t="s">
        <v>72</v>
      </c>
      <c r="G824" s="12" t="n">
        <f aca="false">IFERROR(INDEX('Semrush Data'!$A$1:$Z$20000,MATCH(A824,'Semrush Data'!$A$1:$A$20000,0),MATCH("Volume",'Semrush Data'!$A$1:$Z$1,0)),"")</f>
        <v>20</v>
      </c>
      <c r="H824" s="7" t="n">
        <f aca="false">IFERROR(INDEX('Semrush Data'!$A$1:$Z$20000,MATCH(A824,'Semrush Data'!$A$1:$A$20000,0),MATCH("Keyword Difficulty*",'Semrush Data'!$A$1:$Z$1,0)),"")</f>
        <v>11</v>
      </c>
      <c r="I824" s="13" t="n">
        <f aca="false">IFERROR(INDEX('Semrush Data'!$A$1:$Z$20000,MATCH(A824,'Semrush Data'!$A$1:$A$20000,0),MATCH("CPC*",'Semrush Data'!$A$1:$Z$1,0)),"")</f>
        <v>0</v>
      </c>
      <c r="J824" s="7" t="str">
        <f aca="false">IFERROR(INDEX('Semrush Data'!$A$1:$Z$20000,MATCH(A824,'Semrush Data'!$A$1:$A$20000,0),MATCH("Intent",'Semrush Data'!$A$1:$Z$1,0)),"")</f>
        <v>Navigational</v>
      </c>
    </row>
    <row r="825" customFormat="false" ht="15" hidden="false" customHeight="true" outlineLevel="0" collapsed="false">
      <c r="A825" s="7" t="s">
        <v>2602</v>
      </c>
      <c r="B825" s="7" t="s">
        <v>6814</v>
      </c>
      <c r="C825" s="7" t="n">
        <v>2</v>
      </c>
      <c r="D825" s="7" t="n">
        <v>9</v>
      </c>
      <c r="E825" s="7" t="n">
        <v>1</v>
      </c>
      <c r="F825" s="7" t="s">
        <v>2599</v>
      </c>
      <c r="G825" s="12" t="n">
        <f aca="false">IFERROR(INDEX('Semrush Data'!$A$1:$Z$20000,MATCH(A825,'Semrush Data'!$A$1:$A$20000,0),MATCH("Volume",'Semrush Data'!$A$1:$Z$1,0)),"")</f>
        <v>0</v>
      </c>
      <c r="H825" s="7" t="n">
        <f aca="false">IFERROR(INDEX('Semrush Data'!$A$1:$Z$20000,MATCH(A825,'Semrush Data'!$A$1:$A$20000,0),MATCH("Keyword Difficulty*",'Semrush Data'!$A$1:$Z$1,0)),"")</f>
        <v>14</v>
      </c>
      <c r="I825" s="13" t="n">
        <f aca="false">IFERROR(INDEX('Semrush Data'!$A$1:$Z$20000,MATCH(A825,'Semrush Data'!$A$1:$A$20000,0),MATCH("CPC*",'Semrush Data'!$A$1:$Z$1,0)),"")</f>
        <v>0</v>
      </c>
      <c r="J825" s="7" t="str">
        <f aca="false">IFERROR(INDEX('Semrush Data'!$A$1:$Z$20000,MATCH(A825,'Semrush Data'!$A$1:$A$20000,0),MATCH("Intent",'Semrush Data'!$A$1:$Z$1,0)),"")</f>
        <v>Informational Transactional</v>
      </c>
    </row>
    <row r="826" customFormat="false" ht="15" hidden="false" customHeight="true" outlineLevel="0" collapsed="false">
      <c r="A826" s="7" t="s">
        <v>2614</v>
      </c>
      <c r="B826" s="7" t="s">
        <v>6814</v>
      </c>
      <c r="C826" s="7" t="n">
        <v>2</v>
      </c>
      <c r="D826" s="7" t="n">
        <v>9</v>
      </c>
      <c r="E826" s="7" t="n">
        <v>1</v>
      </c>
      <c r="F826" s="7" t="s">
        <v>2611</v>
      </c>
      <c r="G826" s="12" t="n">
        <f aca="false">IFERROR(INDEX('Semrush Data'!$A$1:$Z$20000,MATCH(A826,'Semrush Data'!$A$1:$A$20000,0),MATCH("Volume",'Semrush Data'!$A$1:$Z$1,0)),"")</f>
        <v>20</v>
      </c>
      <c r="H826" s="7" t="n">
        <f aca="false">IFERROR(INDEX('Semrush Data'!$A$1:$Z$20000,MATCH(A826,'Semrush Data'!$A$1:$A$20000,0),MATCH("Keyword Difficulty*",'Semrush Data'!$A$1:$Z$1,0)),"")</f>
        <v>7</v>
      </c>
      <c r="I826" s="13" t="n">
        <f aca="false">IFERROR(INDEX('Semrush Data'!$A$1:$Z$20000,MATCH(A826,'Semrush Data'!$A$1:$A$20000,0),MATCH("CPC*",'Semrush Data'!$A$1:$Z$1,0)),"")</f>
        <v>0</v>
      </c>
      <c r="J826" s="7" t="str">
        <f aca="false">IFERROR(INDEX('Semrush Data'!$A$1:$Z$20000,MATCH(A826,'Semrush Data'!$A$1:$A$20000,0),MATCH("Intent",'Semrush Data'!$A$1:$Z$1,0)),"")</f>
        <v>Informational Navigational</v>
      </c>
    </row>
    <row r="827" customFormat="false" ht="15" hidden="false" customHeight="true" outlineLevel="0" collapsed="false">
      <c r="A827" s="7" t="s">
        <v>2625</v>
      </c>
      <c r="B827" s="7" t="s">
        <v>6814</v>
      </c>
      <c r="C827" s="7" t="n">
        <v>2</v>
      </c>
      <c r="D827" s="7" t="n">
        <v>9</v>
      </c>
      <c r="E827" s="7" t="n">
        <v>1</v>
      </c>
      <c r="F827" s="7" t="s">
        <v>2622</v>
      </c>
      <c r="G827" s="12" t="n">
        <f aca="false">IFERROR(INDEX('Semrush Data'!$A$1:$Z$20000,MATCH(A827,'Semrush Data'!$A$1:$A$20000,0),MATCH("Volume",'Semrush Data'!$A$1:$Z$1,0)),"")</f>
        <v>0</v>
      </c>
      <c r="H827" s="7" t="n">
        <f aca="false">IFERROR(INDEX('Semrush Data'!$A$1:$Z$20000,MATCH(A827,'Semrush Data'!$A$1:$A$20000,0),MATCH("Keyword Difficulty*",'Semrush Data'!$A$1:$Z$1,0)),"")</f>
        <v>11</v>
      </c>
      <c r="I827" s="13" t="n">
        <f aca="false">IFERROR(INDEX('Semrush Data'!$A$1:$Z$20000,MATCH(A827,'Semrush Data'!$A$1:$A$20000,0),MATCH("CPC*",'Semrush Data'!$A$1:$Z$1,0)),"")</f>
        <v>0</v>
      </c>
      <c r="J827" s="7" t="str">
        <f aca="false">IFERROR(INDEX('Semrush Data'!$A$1:$Z$20000,MATCH(A827,'Semrush Data'!$A$1:$A$20000,0),MATCH("Intent",'Semrush Data'!$A$1:$Z$1,0)),"")</f>
        <v>Informational</v>
      </c>
    </row>
    <row r="828" customFormat="false" ht="15" hidden="false" customHeight="true" outlineLevel="0" collapsed="false">
      <c r="A828" s="7" t="s">
        <v>2645</v>
      </c>
      <c r="B828" s="7" t="s">
        <v>6814</v>
      </c>
      <c r="C828" s="7" t="n">
        <v>2</v>
      </c>
      <c r="D828" s="7" t="n">
        <v>9</v>
      </c>
      <c r="E828" s="7" t="n">
        <v>1</v>
      </c>
      <c r="F828" s="7" t="s">
        <v>2642</v>
      </c>
      <c r="G828" s="12" t="n">
        <f aca="false">IFERROR(INDEX('Semrush Data'!$A$1:$Z$20000,MATCH(A828,'Semrush Data'!$A$1:$A$20000,0),MATCH("Volume",'Semrush Data'!$A$1:$Z$1,0)),"")</f>
        <v>0</v>
      </c>
      <c r="H828" s="7" t="n">
        <f aca="false">IFERROR(INDEX('Semrush Data'!$A$1:$Z$20000,MATCH(A828,'Semrush Data'!$A$1:$A$20000,0),MATCH("Keyword Difficulty*",'Semrush Data'!$A$1:$Z$1,0)),"")</f>
        <v>17</v>
      </c>
      <c r="I828" s="13" t="n">
        <f aca="false">IFERROR(INDEX('Semrush Data'!$A$1:$Z$20000,MATCH(A828,'Semrush Data'!$A$1:$A$20000,0),MATCH("CPC*",'Semrush Data'!$A$1:$Z$1,0)),"")</f>
        <v>0</v>
      </c>
      <c r="J828" s="7" t="str">
        <f aca="false">IFERROR(INDEX('Semrush Data'!$A$1:$Z$20000,MATCH(A828,'Semrush Data'!$A$1:$A$20000,0),MATCH("Intent",'Semrush Data'!$A$1:$Z$1,0)),"")</f>
        <v>Transactional Navigational</v>
      </c>
    </row>
    <row r="829" customFormat="false" ht="15" hidden="false" customHeight="true" outlineLevel="0" collapsed="false">
      <c r="A829" s="7" t="s">
        <v>2656</v>
      </c>
      <c r="B829" s="7" t="s">
        <v>6814</v>
      </c>
      <c r="C829" s="7" t="n">
        <v>2</v>
      </c>
      <c r="D829" s="7" t="n">
        <v>9</v>
      </c>
      <c r="E829" s="7" t="n">
        <v>1</v>
      </c>
      <c r="F829" s="7" t="s">
        <v>2653</v>
      </c>
      <c r="G829" s="12" t="n">
        <f aca="false">IFERROR(INDEX('Semrush Data'!$A$1:$Z$20000,MATCH(A829,'Semrush Data'!$A$1:$A$20000,0),MATCH("Volume",'Semrush Data'!$A$1:$Z$1,0)),"")</f>
        <v>0</v>
      </c>
      <c r="H829" s="7" t="n">
        <f aca="false">IFERROR(INDEX('Semrush Data'!$A$1:$Z$20000,MATCH(A829,'Semrush Data'!$A$1:$A$20000,0),MATCH("Keyword Difficulty*",'Semrush Data'!$A$1:$Z$1,0)),"")</f>
        <v>12</v>
      </c>
      <c r="I829" s="13" t="n">
        <f aca="false">IFERROR(INDEX('Semrush Data'!$A$1:$Z$20000,MATCH(A829,'Semrush Data'!$A$1:$A$20000,0),MATCH("CPC*",'Semrush Data'!$A$1:$Z$1,0)),"")</f>
        <v>0</v>
      </c>
      <c r="J829" s="7" t="str">
        <f aca="false">IFERROR(INDEX('Semrush Data'!$A$1:$Z$20000,MATCH(A829,'Semrush Data'!$A$1:$A$20000,0),MATCH("Intent",'Semrush Data'!$A$1:$Z$1,0)),"")</f>
        <v>Transactional Navigational</v>
      </c>
    </row>
    <row r="830" customFormat="false" ht="15" hidden="false" customHeight="true" outlineLevel="0" collapsed="false">
      <c r="A830" s="7" t="s">
        <v>2667</v>
      </c>
      <c r="B830" s="7" t="s">
        <v>6814</v>
      </c>
      <c r="C830" s="7" t="n">
        <v>2</v>
      </c>
      <c r="D830" s="7" t="n">
        <v>9</v>
      </c>
      <c r="E830" s="7" t="n">
        <v>1</v>
      </c>
      <c r="F830" s="7" t="s">
        <v>2664</v>
      </c>
      <c r="G830" s="12" t="n">
        <f aca="false">IFERROR(INDEX('Semrush Data'!$A$1:$Z$20000,MATCH(A830,'Semrush Data'!$A$1:$A$20000,0),MATCH("Volume",'Semrush Data'!$A$1:$Z$1,0)),"")</f>
        <v>10</v>
      </c>
      <c r="H830" s="7" t="n">
        <f aca="false">IFERROR(INDEX('Semrush Data'!$A$1:$Z$20000,MATCH(A830,'Semrush Data'!$A$1:$A$20000,0),MATCH("Keyword Difficulty*",'Semrush Data'!$A$1:$Z$1,0)),"")</f>
        <v>17</v>
      </c>
      <c r="I830" s="13" t="n">
        <f aca="false">IFERROR(INDEX('Semrush Data'!$A$1:$Z$20000,MATCH(A830,'Semrush Data'!$A$1:$A$20000,0),MATCH("CPC*",'Semrush Data'!$A$1:$Z$1,0)),"")</f>
        <v>0</v>
      </c>
      <c r="J830" s="7" t="str">
        <f aca="false">IFERROR(INDEX('Semrush Data'!$A$1:$Z$20000,MATCH(A830,'Semrush Data'!$A$1:$A$20000,0),MATCH("Intent",'Semrush Data'!$A$1:$Z$1,0)),"")</f>
        <v>Informational Transactional</v>
      </c>
    </row>
    <row r="831" customFormat="false" ht="15" hidden="false" customHeight="true" outlineLevel="0" collapsed="false">
      <c r="A831" s="7" t="s">
        <v>2634</v>
      </c>
      <c r="B831" s="7" t="s">
        <v>6814</v>
      </c>
      <c r="C831" s="7" t="n">
        <v>2</v>
      </c>
      <c r="D831" s="7" t="n">
        <v>9</v>
      </c>
      <c r="E831" s="7" t="n">
        <v>1</v>
      </c>
      <c r="F831" s="7" t="s">
        <v>92</v>
      </c>
      <c r="G831" s="12" t="n">
        <f aca="false">IFERROR(INDEX('Semrush Data'!$A$1:$Z$20000,MATCH(A831,'Semrush Data'!$A$1:$A$20000,0),MATCH("Volume",'Semrush Data'!$A$1:$Z$1,0)),"")</f>
        <v>10</v>
      </c>
      <c r="H831" s="7" t="n">
        <f aca="false">IFERROR(INDEX('Semrush Data'!$A$1:$Z$20000,MATCH(A831,'Semrush Data'!$A$1:$A$20000,0),MATCH("Keyword Difficulty*",'Semrush Data'!$A$1:$Z$1,0)),"")</f>
        <v>10</v>
      </c>
      <c r="I831" s="13" t="n">
        <f aca="false">IFERROR(INDEX('Semrush Data'!$A$1:$Z$20000,MATCH(A831,'Semrush Data'!$A$1:$A$20000,0),MATCH("CPC*",'Semrush Data'!$A$1:$Z$1,0)),"")</f>
        <v>0</v>
      </c>
      <c r="J831" s="7" t="str">
        <f aca="false">IFERROR(INDEX('Semrush Data'!$A$1:$Z$20000,MATCH(A831,'Semrush Data'!$A$1:$A$20000,0),MATCH("Intent",'Semrush Data'!$A$1:$Z$1,0)),"")</f>
        <v>Transactional Navigational</v>
      </c>
    </row>
    <row r="832" customFormat="false" ht="15" hidden="false" customHeight="true" outlineLevel="0" collapsed="false">
      <c r="A832" s="7" t="s">
        <v>2692</v>
      </c>
      <c r="B832" s="7" t="s">
        <v>6814</v>
      </c>
      <c r="C832" s="7" t="n">
        <v>2</v>
      </c>
      <c r="D832" s="7" t="n">
        <v>9</v>
      </c>
      <c r="E832" s="7" t="n">
        <v>3</v>
      </c>
      <c r="F832" s="7" t="s">
        <v>6784</v>
      </c>
      <c r="G832" s="12" t="n">
        <f aca="false">IFERROR(INDEX('Semrush Data'!$A$1:$Z$20000,MATCH(A832,'Semrush Data'!$A$1:$A$20000,0),MATCH("Volume",'Semrush Data'!$A$1:$Z$1,0)),"")</f>
        <v>0</v>
      </c>
      <c r="H832" s="7" t="n">
        <f aca="false">IFERROR(INDEX('Semrush Data'!$A$1:$Z$20000,MATCH(A832,'Semrush Data'!$A$1:$A$20000,0),MATCH("Keyword Difficulty*",'Semrush Data'!$A$1:$Z$1,0)),"")</f>
        <v>17</v>
      </c>
      <c r="I832" s="13" t="n">
        <f aca="false">IFERROR(INDEX('Semrush Data'!$A$1:$Z$20000,MATCH(A832,'Semrush Data'!$A$1:$A$20000,0),MATCH("CPC*",'Semrush Data'!$A$1:$Z$1,0)),"")</f>
        <v>0</v>
      </c>
      <c r="J832" s="7" t="str">
        <f aca="false">IFERROR(INDEX('Semrush Data'!$A$1:$Z$20000,MATCH(A832,'Semrush Data'!$A$1:$A$20000,0),MATCH("Intent",'Semrush Data'!$A$1:$Z$1,0)),"")</f>
        <v>Navigational</v>
      </c>
    </row>
    <row r="833" customFormat="false" ht="15" hidden="false" customHeight="true" outlineLevel="0" collapsed="false">
      <c r="A833" s="7" t="s">
        <v>2706</v>
      </c>
      <c r="B833" s="7" t="s">
        <v>6814</v>
      </c>
      <c r="C833" s="7" t="n">
        <v>2</v>
      </c>
      <c r="D833" s="7" t="n">
        <v>9</v>
      </c>
      <c r="E833" s="7" t="n">
        <v>3</v>
      </c>
      <c r="F833" s="7" t="s">
        <v>6785</v>
      </c>
      <c r="G833" s="12" t="n">
        <f aca="false">IFERROR(INDEX('Semrush Data'!$A$1:$Z$20000,MATCH(A833,'Semrush Data'!$A$1:$A$20000,0),MATCH("Volume",'Semrush Data'!$A$1:$Z$1,0)),"")</f>
        <v>0</v>
      </c>
      <c r="H833" s="7" t="n">
        <f aca="false">IFERROR(INDEX('Semrush Data'!$A$1:$Z$20000,MATCH(A833,'Semrush Data'!$A$1:$A$20000,0),MATCH("Keyword Difficulty*",'Semrush Data'!$A$1:$Z$1,0)),"")</f>
        <v>11</v>
      </c>
      <c r="I833" s="13" t="n">
        <f aca="false">IFERROR(INDEX('Semrush Data'!$A$1:$Z$20000,MATCH(A833,'Semrush Data'!$A$1:$A$20000,0),MATCH("CPC*",'Semrush Data'!$A$1:$Z$1,0)),"")</f>
        <v>0</v>
      </c>
      <c r="J833" s="7" t="str">
        <f aca="false">IFERROR(INDEX('Semrush Data'!$A$1:$Z$20000,MATCH(A833,'Semrush Data'!$A$1:$A$20000,0),MATCH("Intent",'Semrush Data'!$A$1:$Z$1,0)),"")</f>
        <v>Navigational</v>
      </c>
    </row>
    <row r="834" customFormat="false" ht="15" hidden="false" customHeight="true" outlineLevel="0" collapsed="false">
      <c r="A834" s="7" t="s">
        <v>2719</v>
      </c>
      <c r="B834" s="7" t="s">
        <v>6814</v>
      </c>
      <c r="C834" s="7" t="n">
        <v>2</v>
      </c>
      <c r="D834" s="7" t="n">
        <v>9</v>
      </c>
      <c r="E834" s="7" t="n">
        <v>3</v>
      </c>
      <c r="F834" s="7" t="s">
        <v>6786</v>
      </c>
      <c r="G834" s="12" t="n">
        <f aca="false">IFERROR(INDEX('Semrush Data'!$A$1:$Z$20000,MATCH(A834,'Semrush Data'!$A$1:$A$20000,0),MATCH("Volume",'Semrush Data'!$A$1:$Z$1,0)),"")</f>
        <v>0</v>
      </c>
      <c r="H834" s="7" t="n">
        <f aca="false">IFERROR(INDEX('Semrush Data'!$A$1:$Z$20000,MATCH(A834,'Semrush Data'!$A$1:$A$20000,0),MATCH("Keyword Difficulty*",'Semrush Data'!$A$1:$Z$1,0)),"")</f>
        <v>11</v>
      </c>
      <c r="I834" s="13" t="n">
        <f aca="false">IFERROR(INDEX('Semrush Data'!$A$1:$Z$20000,MATCH(A834,'Semrush Data'!$A$1:$A$20000,0),MATCH("CPC*",'Semrush Data'!$A$1:$Z$1,0)),"")</f>
        <v>0</v>
      </c>
      <c r="J834" s="7" t="str">
        <f aca="false">IFERROR(INDEX('Semrush Data'!$A$1:$Z$20000,MATCH(A834,'Semrush Data'!$A$1:$A$20000,0),MATCH("Intent",'Semrush Data'!$A$1:$Z$1,0)),"")</f>
        <v>Informational Navigational</v>
      </c>
    </row>
    <row r="835" customFormat="false" ht="15" hidden="false" customHeight="true" outlineLevel="0" collapsed="false">
      <c r="A835" s="7" t="s">
        <v>2731</v>
      </c>
      <c r="B835" s="7" t="s">
        <v>6814</v>
      </c>
      <c r="C835" s="7" t="n">
        <v>2</v>
      </c>
      <c r="D835" s="7" t="n">
        <v>9</v>
      </c>
      <c r="E835" s="7" t="n">
        <v>3</v>
      </c>
      <c r="F835" s="7" t="s">
        <v>6787</v>
      </c>
      <c r="G835" s="12" t="n">
        <f aca="false">IFERROR(INDEX('Semrush Data'!$A$1:$Z$20000,MATCH(A835,'Semrush Data'!$A$1:$A$20000,0),MATCH("Volume",'Semrush Data'!$A$1:$Z$1,0)),"")</f>
        <v>0</v>
      </c>
      <c r="H835" s="7" t="n">
        <f aca="false">IFERROR(INDEX('Semrush Data'!$A$1:$Z$20000,MATCH(A835,'Semrush Data'!$A$1:$A$20000,0),MATCH("Keyword Difficulty*",'Semrush Data'!$A$1:$Z$1,0)),"")</f>
        <v>11</v>
      </c>
      <c r="I835" s="13" t="n">
        <f aca="false">IFERROR(INDEX('Semrush Data'!$A$1:$Z$20000,MATCH(A835,'Semrush Data'!$A$1:$A$20000,0),MATCH("CPC*",'Semrush Data'!$A$1:$Z$1,0)),"")</f>
        <v>0</v>
      </c>
      <c r="J835" s="7" t="str">
        <f aca="false">IFERROR(INDEX('Semrush Data'!$A$1:$Z$20000,MATCH(A835,'Semrush Data'!$A$1:$A$20000,0),MATCH("Intent",'Semrush Data'!$A$1:$Z$1,0)),"")</f>
        <v>Navigational</v>
      </c>
    </row>
    <row r="836" customFormat="false" ht="15" hidden="false" customHeight="true" outlineLevel="0" collapsed="false">
      <c r="A836" s="7" t="s">
        <v>2744</v>
      </c>
      <c r="B836" s="7" t="s">
        <v>6814</v>
      </c>
      <c r="C836" s="7" t="n">
        <v>2</v>
      </c>
      <c r="D836" s="7" t="n">
        <v>9</v>
      </c>
      <c r="E836" s="7" t="n">
        <v>4</v>
      </c>
      <c r="F836" s="7" t="s">
        <v>6788</v>
      </c>
      <c r="G836" s="12" t="n">
        <f aca="false">IFERROR(INDEX('Semrush Data'!$A$1:$Z$20000,MATCH(A836,'Semrush Data'!$A$1:$A$20000,0),MATCH("Volume",'Semrush Data'!$A$1:$Z$1,0)),"")</f>
        <v>0</v>
      </c>
      <c r="H836" s="7" t="n">
        <f aca="false">IFERROR(INDEX('Semrush Data'!$A$1:$Z$20000,MATCH(A836,'Semrush Data'!$A$1:$A$20000,0),MATCH("Keyword Difficulty*",'Semrush Data'!$A$1:$Z$1,0)),"")</f>
        <v>16</v>
      </c>
      <c r="I836" s="13" t="n">
        <f aca="false">IFERROR(INDEX('Semrush Data'!$A$1:$Z$20000,MATCH(A836,'Semrush Data'!$A$1:$A$20000,0),MATCH("CPC*",'Semrush Data'!$A$1:$Z$1,0)),"")</f>
        <v>0</v>
      </c>
      <c r="J836" s="7" t="str">
        <f aca="false">IFERROR(INDEX('Semrush Data'!$A$1:$Z$20000,MATCH(A836,'Semrush Data'!$A$1:$A$20000,0),MATCH("Intent",'Semrush Data'!$A$1:$Z$1,0)),"")</f>
        <v>Navigational</v>
      </c>
    </row>
    <row r="837" customFormat="false" ht="15" hidden="false" customHeight="true" outlineLevel="0" collapsed="false">
      <c r="A837" s="7" t="s">
        <v>2761</v>
      </c>
      <c r="B837" s="7" t="s">
        <v>6814</v>
      </c>
      <c r="C837" s="7" t="n">
        <v>2</v>
      </c>
      <c r="D837" s="7" t="n">
        <v>9</v>
      </c>
      <c r="E837" s="7" t="n">
        <v>1</v>
      </c>
      <c r="F837" s="7" t="s">
        <v>136</v>
      </c>
      <c r="G837" s="12" t="n">
        <f aca="false">IFERROR(INDEX('Semrush Data'!$A$1:$Z$20000,MATCH(A837,'Semrush Data'!$A$1:$A$20000,0),MATCH("Volume",'Semrush Data'!$A$1:$Z$1,0)),"")</f>
        <v>0</v>
      </c>
      <c r="H837" s="7" t="n">
        <f aca="false">IFERROR(INDEX('Semrush Data'!$A$1:$Z$20000,MATCH(A837,'Semrush Data'!$A$1:$A$20000,0),MATCH("Keyword Difficulty*",'Semrush Data'!$A$1:$Z$1,0)),"")</f>
        <v>9</v>
      </c>
      <c r="I837" s="13" t="n">
        <f aca="false">IFERROR(INDEX('Semrush Data'!$A$1:$Z$20000,MATCH(A837,'Semrush Data'!$A$1:$A$20000,0),MATCH("CPC*",'Semrush Data'!$A$1:$Z$1,0)),"")</f>
        <v>0</v>
      </c>
      <c r="J837" s="7" t="str">
        <f aca="false">IFERROR(INDEX('Semrush Data'!$A$1:$Z$20000,MATCH(A837,'Semrush Data'!$A$1:$A$20000,0),MATCH("Intent",'Semrush Data'!$A$1:$Z$1,0)),"")</f>
        <v>Informational</v>
      </c>
    </row>
    <row r="838" customFormat="false" ht="15" hidden="false" customHeight="true" outlineLevel="0" collapsed="false">
      <c r="A838" s="7" t="s">
        <v>2776</v>
      </c>
      <c r="B838" s="7" t="s">
        <v>6814</v>
      </c>
      <c r="C838" s="7" t="n">
        <v>2</v>
      </c>
      <c r="D838" s="7" t="n">
        <v>9</v>
      </c>
      <c r="E838" s="7" t="n">
        <v>1</v>
      </c>
      <c r="F838" s="7" t="s">
        <v>2770</v>
      </c>
      <c r="G838" s="12" t="n">
        <f aca="false">IFERROR(INDEX('Semrush Data'!$A$1:$Z$20000,MATCH(A838,'Semrush Data'!$A$1:$A$20000,0),MATCH("Volume",'Semrush Data'!$A$1:$Z$1,0)),"")</f>
        <v>0</v>
      </c>
      <c r="H838" s="7" t="n">
        <f aca="false">IFERROR(INDEX('Semrush Data'!$A$1:$Z$20000,MATCH(A838,'Semrush Data'!$A$1:$A$20000,0),MATCH("Keyword Difficulty*",'Semrush Data'!$A$1:$Z$1,0)),"")</f>
        <v>8</v>
      </c>
      <c r="I838" s="13" t="n">
        <f aca="false">IFERROR(INDEX('Semrush Data'!$A$1:$Z$20000,MATCH(A838,'Semrush Data'!$A$1:$A$20000,0),MATCH("CPC*",'Semrush Data'!$A$1:$Z$1,0)),"")</f>
        <v>0</v>
      </c>
      <c r="J838" s="7" t="str">
        <f aca="false">IFERROR(INDEX('Semrush Data'!$A$1:$Z$20000,MATCH(A838,'Semrush Data'!$A$1:$A$20000,0),MATCH("Intent",'Semrush Data'!$A$1:$Z$1,0)),"")</f>
        <v>Informational</v>
      </c>
    </row>
    <row r="839" customFormat="false" ht="15" hidden="false" customHeight="true" outlineLevel="0" collapsed="false">
      <c r="A839" s="7" t="s">
        <v>2787</v>
      </c>
      <c r="B839" s="7" t="s">
        <v>6814</v>
      </c>
      <c r="C839" s="7" t="n">
        <v>2</v>
      </c>
      <c r="D839" s="7" t="n">
        <v>9</v>
      </c>
      <c r="E839" s="7" t="n">
        <v>1</v>
      </c>
      <c r="F839" s="7" t="s">
        <v>2784</v>
      </c>
      <c r="G839" s="12" t="n">
        <f aca="false">IFERROR(INDEX('Semrush Data'!$A$1:$Z$20000,MATCH(A839,'Semrush Data'!$A$1:$A$20000,0),MATCH("Volume",'Semrush Data'!$A$1:$Z$1,0)),"")</f>
        <v>0</v>
      </c>
      <c r="H839" s="7" t="n">
        <f aca="false">IFERROR(INDEX('Semrush Data'!$A$1:$Z$20000,MATCH(A839,'Semrush Data'!$A$1:$A$20000,0),MATCH("Keyword Difficulty*",'Semrush Data'!$A$1:$Z$1,0)),"")</f>
        <v>8</v>
      </c>
      <c r="I839" s="13" t="n">
        <f aca="false">IFERROR(INDEX('Semrush Data'!$A$1:$Z$20000,MATCH(A839,'Semrush Data'!$A$1:$A$20000,0),MATCH("CPC*",'Semrush Data'!$A$1:$Z$1,0)),"")</f>
        <v>0</v>
      </c>
      <c r="J839" s="7" t="str">
        <f aca="false">IFERROR(INDEX('Semrush Data'!$A$1:$Z$20000,MATCH(A839,'Semrush Data'!$A$1:$A$20000,0),MATCH("Intent",'Semrush Data'!$A$1:$Z$1,0)),"")</f>
        <v>Informational</v>
      </c>
    </row>
    <row r="840" customFormat="false" ht="15" hidden="false" customHeight="true" outlineLevel="0" collapsed="false">
      <c r="A840" s="7" t="s">
        <v>2798</v>
      </c>
      <c r="B840" s="7" t="s">
        <v>6814</v>
      </c>
      <c r="C840" s="7" t="n">
        <v>2</v>
      </c>
      <c r="D840" s="7" t="n">
        <v>9</v>
      </c>
      <c r="E840" s="7" t="n">
        <v>1</v>
      </c>
      <c r="F840" s="7" t="s">
        <v>2795</v>
      </c>
      <c r="G840" s="12" t="n">
        <f aca="false">IFERROR(INDEX('Semrush Data'!$A$1:$Z$20000,MATCH(A840,'Semrush Data'!$A$1:$A$20000,0),MATCH("Volume",'Semrush Data'!$A$1:$Z$1,0)),"")</f>
        <v>0</v>
      </c>
      <c r="H840" s="7" t="n">
        <f aca="false">IFERROR(INDEX('Semrush Data'!$A$1:$Z$20000,MATCH(A840,'Semrush Data'!$A$1:$A$20000,0),MATCH("Keyword Difficulty*",'Semrush Data'!$A$1:$Z$1,0)),"")</f>
        <v>11</v>
      </c>
      <c r="I840" s="13" t="n">
        <f aca="false">IFERROR(INDEX('Semrush Data'!$A$1:$Z$20000,MATCH(A840,'Semrush Data'!$A$1:$A$20000,0),MATCH("CPC*",'Semrush Data'!$A$1:$Z$1,0)),"")</f>
        <v>0</v>
      </c>
      <c r="J840" s="7" t="str">
        <f aca="false">IFERROR(INDEX('Semrush Data'!$A$1:$Z$20000,MATCH(A840,'Semrush Data'!$A$1:$A$20000,0),MATCH("Intent",'Semrush Data'!$A$1:$Z$1,0)),"")</f>
        <v>Informational</v>
      </c>
    </row>
    <row r="841" customFormat="false" ht="15" hidden="false" customHeight="true" outlineLevel="0" collapsed="false">
      <c r="A841" s="7" t="s">
        <v>2811</v>
      </c>
      <c r="B841" s="7" t="s">
        <v>6814</v>
      </c>
      <c r="C841" s="7" t="n">
        <v>2</v>
      </c>
      <c r="D841" s="7" t="n">
        <v>9</v>
      </c>
      <c r="E841" s="7" t="n">
        <v>1</v>
      </c>
      <c r="F841" s="7" t="s">
        <v>2807</v>
      </c>
      <c r="G841" s="12" t="n">
        <f aca="false">IFERROR(INDEX('Semrush Data'!$A$1:$Z$20000,MATCH(A841,'Semrush Data'!$A$1:$A$20000,0),MATCH("Volume",'Semrush Data'!$A$1:$Z$1,0)),"")</f>
        <v>0</v>
      </c>
      <c r="H841" s="7" t="n">
        <f aca="false">IFERROR(INDEX('Semrush Data'!$A$1:$Z$20000,MATCH(A841,'Semrush Data'!$A$1:$A$20000,0),MATCH("Keyword Difficulty*",'Semrush Data'!$A$1:$Z$1,0)),"")</f>
        <v>13</v>
      </c>
      <c r="I841" s="13" t="n">
        <f aca="false">IFERROR(INDEX('Semrush Data'!$A$1:$Z$20000,MATCH(A841,'Semrush Data'!$A$1:$A$20000,0),MATCH("CPC*",'Semrush Data'!$A$1:$Z$1,0)),"")</f>
        <v>0</v>
      </c>
      <c r="J841" s="7" t="str">
        <f aca="false">IFERROR(INDEX('Semrush Data'!$A$1:$Z$20000,MATCH(A841,'Semrush Data'!$A$1:$A$20000,0),MATCH("Intent",'Semrush Data'!$A$1:$Z$1,0)),"")</f>
        <v>Commercial</v>
      </c>
    </row>
    <row r="842" customFormat="false" ht="15" hidden="false" customHeight="true" outlineLevel="0" collapsed="false">
      <c r="A842" s="7" t="s">
        <v>2823</v>
      </c>
      <c r="B842" s="7" t="s">
        <v>6814</v>
      </c>
      <c r="C842" s="7" t="n">
        <v>2</v>
      </c>
      <c r="D842" s="7" t="n">
        <v>9</v>
      </c>
      <c r="E842" s="7" t="n">
        <v>1</v>
      </c>
      <c r="F842" s="7" t="s">
        <v>2820</v>
      </c>
      <c r="G842" s="12" t="n">
        <f aca="false">IFERROR(INDEX('Semrush Data'!$A$1:$Z$20000,MATCH(A842,'Semrush Data'!$A$1:$A$20000,0),MATCH("Volume",'Semrush Data'!$A$1:$Z$1,0)),"")</f>
        <v>0</v>
      </c>
      <c r="H842" s="7" t="n">
        <f aca="false">IFERROR(INDEX('Semrush Data'!$A$1:$Z$20000,MATCH(A842,'Semrush Data'!$A$1:$A$20000,0),MATCH("Keyword Difficulty*",'Semrush Data'!$A$1:$Z$1,0)),"")</f>
        <v>17</v>
      </c>
      <c r="I842" s="13" t="n">
        <f aca="false">IFERROR(INDEX('Semrush Data'!$A$1:$Z$20000,MATCH(A842,'Semrush Data'!$A$1:$A$20000,0),MATCH("CPC*",'Semrush Data'!$A$1:$Z$1,0)),"")</f>
        <v>0</v>
      </c>
      <c r="J842" s="7" t="str">
        <f aca="false">IFERROR(INDEX('Semrush Data'!$A$1:$Z$20000,MATCH(A842,'Semrush Data'!$A$1:$A$20000,0),MATCH("Intent",'Semrush Data'!$A$1:$Z$1,0)),"")</f>
        <v>Informational</v>
      </c>
    </row>
    <row r="843" customFormat="false" ht="15" hidden="false" customHeight="true" outlineLevel="0" collapsed="false">
      <c r="A843" s="7" t="s">
        <v>2835</v>
      </c>
      <c r="B843" s="7" t="s">
        <v>6814</v>
      </c>
      <c r="C843" s="7" t="n">
        <v>2</v>
      </c>
      <c r="D843" s="7" t="n">
        <v>9</v>
      </c>
      <c r="E843" s="7" t="n">
        <v>1</v>
      </c>
      <c r="F843" s="7" t="s">
        <v>2831</v>
      </c>
      <c r="G843" s="12" t="n">
        <f aca="false">IFERROR(INDEX('Semrush Data'!$A$1:$Z$20000,MATCH(A843,'Semrush Data'!$A$1:$A$20000,0),MATCH("Volume",'Semrush Data'!$A$1:$Z$1,0)),"")</f>
        <v>0</v>
      </c>
      <c r="H843" s="7" t="n">
        <f aca="false">IFERROR(INDEX('Semrush Data'!$A$1:$Z$20000,MATCH(A843,'Semrush Data'!$A$1:$A$20000,0),MATCH("Keyword Difficulty*",'Semrush Data'!$A$1:$Z$1,0)),"")</f>
        <v>12</v>
      </c>
      <c r="I843" s="13" t="n">
        <f aca="false">IFERROR(INDEX('Semrush Data'!$A$1:$Z$20000,MATCH(A843,'Semrush Data'!$A$1:$A$20000,0),MATCH("CPC*",'Semrush Data'!$A$1:$Z$1,0)),"")</f>
        <v>0</v>
      </c>
      <c r="J843" s="7" t="str">
        <f aca="false">IFERROR(INDEX('Semrush Data'!$A$1:$Z$20000,MATCH(A843,'Semrush Data'!$A$1:$A$20000,0),MATCH("Intent",'Semrush Data'!$A$1:$Z$1,0)),"")</f>
        <v>Informational</v>
      </c>
    </row>
    <row r="844" customFormat="false" ht="15" hidden="false" customHeight="true" outlineLevel="0" collapsed="false">
      <c r="A844" s="7" t="s">
        <v>2848</v>
      </c>
      <c r="B844" s="7" t="s">
        <v>6814</v>
      </c>
      <c r="C844" s="7" t="n">
        <v>2</v>
      </c>
      <c r="D844" s="7" t="n">
        <v>9</v>
      </c>
      <c r="E844" s="7" t="n">
        <v>1</v>
      </c>
      <c r="F844" s="7" t="s">
        <v>2844</v>
      </c>
      <c r="G844" s="12" t="n">
        <f aca="false">IFERROR(INDEX('Semrush Data'!$A$1:$Z$20000,MATCH(A844,'Semrush Data'!$A$1:$A$20000,0),MATCH("Volume",'Semrush Data'!$A$1:$Z$1,0)),"")</f>
        <v>30</v>
      </c>
      <c r="H844" s="7" t="n">
        <f aca="false">IFERROR(INDEX('Semrush Data'!$A$1:$Z$20000,MATCH(A844,'Semrush Data'!$A$1:$A$20000,0),MATCH("Keyword Difficulty*",'Semrush Data'!$A$1:$Z$1,0)),"")</f>
        <v>48</v>
      </c>
      <c r="I844" s="13" t="n">
        <f aca="false">IFERROR(INDEX('Semrush Data'!$A$1:$Z$20000,MATCH(A844,'Semrush Data'!$A$1:$A$20000,0),MATCH("CPC*",'Semrush Data'!$A$1:$Z$1,0)),"")</f>
        <v>0</v>
      </c>
      <c r="J844" s="7" t="str">
        <f aca="false">IFERROR(INDEX('Semrush Data'!$A$1:$Z$20000,MATCH(A844,'Semrush Data'!$A$1:$A$20000,0),MATCH("Intent",'Semrush Data'!$A$1:$Z$1,0)),"")</f>
        <v>Informational</v>
      </c>
    </row>
    <row r="845" customFormat="false" ht="15" hidden="false" customHeight="true" outlineLevel="0" collapsed="false">
      <c r="A845" s="7" t="s">
        <v>2861</v>
      </c>
      <c r="B845" s="7" t="s">
        <v>6814</v>
      </c>
      <c r="C845" s="7" t="n">
        <v>2</v>
      </c>
      <c r="D845" s="7" t="n">
        <v>9</v>
      </c>
      <c r="E845" s="7" t="n">
        <v>1</v>
      </c>
      <c r="F845" s="7" t="s">
        <v>2857</v>
      </c>
      <c r="G845" s="12" t="n">
        <f aca="false">IFERROR(INDEX('Semrush Data'!$A$1:$Z$20000,MATCH(A845,'Semrush Data'!$A$1:$A$20000,0),MATCH("Volume",'Semrush Data'!$A$1:$Z$1,0)),"")</f>
        <v>0</v>
      </c>
      <c r="H845" s="7" t="n">
        <f aca="false">IFERROR(INDEX('Semrush Data'!$A$1:$Z$20000,MATCH(A845,'Semrush Data'!$A$1:$A$20000,0),MATCH("Keyword Difficulty*",'Semrush Data'!$A$1:$Z$1,0)),"")</f>
        <v>18</v>
      </c>
      <c r="I845" s="13" t="n">
        <f aca="false">IFERROR(INDEX('Semrush Data'!$A$1:$Z$20000,MATCH(A845,'Semrush Data'!$A$1:$A$20000,0),MATCH("CPC*",'Semrush Data'!$A$1:$Z$1,0)),"")</f>
        <v>0</v>
      </c>
      <c r="J845" s="7" t="str">
        <f aca="false">IFERROR(INDEX('Semrush Data'!$A$1:$Z$20000,MATCH(A845,'Semrush Data'!$A$1:$A$20000,0),MATCH("Intent",'Semrush Data'!$A$1:$Z$1,0)),"")</f>
        <v>Informational</v>
      </c>
    </row>
    <row r="846" customFormat="false" ht="15" hidden="false" customHeight="true" outlineLevel="0" collapsed="false">
      <c r="A846" s="7" t="s">
        <v>2899</v>
      </c>
      <c r="B846" s="7" t="s">
        <v>6814</v>
      </c>
      <c r="C846" s="7" t="n">
        <v>2</v>
      </c>
      <c r="D846" s="7" t="n">
        <v>9</v>
      </c>
      <c r="E846" s="7" t="n">
        <v>1</v>
      </c>
      <c r="F846" s="7" t="s">
        <v>2896</v>
      </c>
      <c r="G846" s="12" t="n">
        <f aca="false">IFERROR(INDEX('Semrush Data'!$A$1:$Z$20000,MATCH(A846,'Semrush Data'!$A$1:$A$20000,0),MATCH("Volume",'Semrush Data'!$A$1:$Z$1,0)),"")</f>
        <v>0</v>
      </c>
      <c r="H846" s="7" t="n">
        <f aca="false">IFERROR(INDEX('Semrush Data'!$A$1:$Z$20000,MATCH(A846,'Semrush Data'!$A$1:$A$20000,0),MATCH("Keyword Difficulty*",'Semrush Data'!$A$1:$Z$1,0)),"")</f>
        <v>10</v>
      </c>
      <c r="I846" s="13" t="n">
        <f aca="false">IFERROR(INDEX('Semrush Data'!$A$1:$Z$20000,MATCH(A846,'Semrush Data'!$A$1:$A$20000,0),MATCH("CPC*",'Semrush Data'!$A$1:$Z$1,0)),"")</f>
        <v>0</v>
      </c>
      <c r="J846" s="7" t="str">
        <f aca="false">IFERROR(INDEX('Semrush Data'!$A$1:$Z$20000,MATCH(A846,'Semrush Data'!$A$1:$A$20000,0),MATCH("Intent",'Semrush Data'!$A$1:$Z$1,0)),"")</f>
        <v>Informational</v>
      </c>
    </row>
    <row r="847" customFormat="false" ht="15" hidden="false" customHeight="true" outlineLevel="0" collapsed="false">
      <c r="A847" s="7" t="s">
        <v>2934</v>
      </c>
      <c r="B847" s="7" t="s">
        <v>6814</v>
      </c>
      <c r="C847" s="7" t="n">
        <v>2</v>
      </c>
      <c r="D847" s="7" t="n">
        <v>9</v>
      </c>
      <c r="E847" s="7" t="n">
        <v>1</v>
      </c>
      <c r="F847" s="7" t="s">
        <v>84</v>
      </c>
      <c r="G847" s="12" t="n">
        <f aca="false">IFERROR(INDEX('Semrush Data'!$A$1:$Z$20000,MATCH(A847,'Semrush Data'!$A$1:$A$20000,0),MATCH("Volume",'Semrush Data'!$A$1:$Z$1,0)),"")</f>
        <v>0</v>
      </c>
      <c r="H847" s="7" t="n">
        <f aca="false">IFERROR(INDEX('Semrush Data'!$A$1:$Z$20000,MATCH(A847,'Semrush Data'!$A$1:$A$20000,0),MATCH("Keyword Difficulty*",'Semrush Data'!$A$1:$Z$1,0)),"")</f>
        <v>16</v>
      </c>
      <c r="I847" s="13" t="n">
        <f aca="false">IFERROR(INDEX('Semrush Data'!$A$1:$Z$20000,MATCH(A847,'Semrush Data'!$A$1:$A$20000,0),MATCH("CPC*",'Semrush Data'!$A$1:$Z$1,0)),"")</f>
        <v>0</v>
      </c>
      <c r="J847" s="7" t="str">
        <f aca="false">IFERROR(INDEX('Semrush Data'!$A$1:$Z$20000,MATCH(A847,'Semrush Data'!$A$1:$A$20000,0),MATCH("Intent",'Semrush Data'!$A$1:$Z$1,0)),"")</f>
        <v>Commercial</v>
      </c>
    </row>
    <row r="848" customFormat="false" ht="15" hidden="false" customHeight="true" outlineLevel="0" collapsed="false">
      <c r="A848" s="7" t="s">
        <v>2921</v>
      </c>
      <c r="B848" s="7" t="s">
        <v>6814</v>
      </c>
      <c r="C848" s="7" t="n">
        <v>2</v>
      </c>
      <c r="D848" s="7" t="n">
        <v>9</v>
      </c>
      <c r="E848" s="7" t="n">
        <v>2</v>
      </c>
      <c r="F848" s="7" t="s">
        <v>6789</v>
      </c>
      <c r="G848" s="12" t="n">
        <f aca="false">IFERROR(INDEX('Semrush Data'!$A$1:$Z$20000,MATCH(A848,'Semrush Data'!$A$1:$A$20000,0),MATCH("Volume",'Semrush Data'!$A$1:$Z$1,0)),"")</f>
        <v>0</v>
      </c>
      <c r="H848" s="7" t="n">
        <f aca="false">IFERROR(INDEX('Semrush Data'!$A$1:$Z$20000,MATCH(A848,'Semrush Data'!$A$1:$A$20000,0),MATCH("Keyword Difficulty*",'Semrush Data'!$A$1:$Z$1,0)),"")</f>
        <v>13</v>
      </c>
      <c r="I848" s="13" t="n">
        <f aca="false">IFERROR(INDEX('Semrush Data'!$A$1:$Z$20000,MATCH(A848,'Semrush Data'!$A$1:$A$20000,0),MATCH("CPC*",'Semrush Data'!$A$1:$Z$1,0)),"")</f>
        <v>0</v>
      </c>
      <c r="J848" s="7" t="str">
        <f aca="false">IFERROR(INDEX('Semrush Data'!$A$1:$Z$20000,MATCH(A848,'Semrush Data'!$A$1:$A$20000,0),MATCH("Intent",'Semrush Data'!$A$1:$Z$1,0)),"")</f>
        <v>Informational</v>
      </c>
    </row>
    <row r="849" customFormat="false" ht="15" hidden="false" customHeight="true" outlineLevel="0" collapsed="false">
      <c r="A849" s="7" t="s">
        <v>2877</v>
      </c>
      <c r="B849" s="7" t="s">
        <v>6814</v>
      </c>
      <c r="C849" s="7" t="n">
        <v>2</v>
      </c>
      <c r="D849" s="7" t="n">
        <v>9</v>
      </c>
      <c r="E849" s="7" t="n">
        <v>1</v>
      </c>
      <c r="F849" s="7" t="s">
        <v>2870</v>
      </c>
      <c r="G849" s="12" t="n">
        <f aca="false">IFERROR(INDEX('Semrush Data'!$A$1:$Z$20000,MATCH(A849,'Semrush Data'!$A$1:$A$20000,0),MATCH("Volume",'Semrush Data'!$A$1:$Z$1,0)),"")</f>
        <v>0</v>
      </c>
      <c r="H849" s="7" t="n">
        <f aca="false">IFERROR(INDEX('Semrush Data'!$A$1:$Z$20000,MATCH(A849,'Semrush Data'!$A$1:$A$20000,0),MATCH("Keyword Difficulty*",'Semrush Data'!$A$1:$Z$1,0)),"")</f>
        <v>9</v>
      </c>
      <c r="I849" s="13" t="n">
        <f aca="false">IFERROR(INDEX('Semrush Data'!$A$1:$Z$20000,MATCH(A849,'Semrush Data'!$A$1:$A$20000,0),MATCH("CPC*",'Semrush Data'!$A$1:$Z$1,0)),"")</f>
        <v>0</v>
      </c>
      <c r="J849" s="7" t="str">
        <f aca="false">IFERROR(INDEX('Semrush Data'!$A$1:$Z$20000,MATCH(A849,'Semrush Data'!$A$1:$A$20000,0),MATCH("Intent",'Semrush Data'!$A$1:$Z$1,0)),"")</f>
        <v>Navigational</v>
      </c>
    </row>
    <row r="850" customFormat="false" ht="15" hidden="false" customHeight="true" outlineLevel="0" collapsed="false">
      <c r="A850" s="7" t="s">
        <v>2967</v>
      </c>
      <c r="B850" s="7" t="s">
        <v>6814</v>
      </c>
      <c r="C850" s="7" t="n">
        <v>2</v>
      </c>
      <c r="D850" s="7" t="n">
        <v>9</v>
      </c>
      <c r="E850" s="7" t="n">
        <v>1</v>
      </c>
      <c r="F850" s="7" t="s">
        <v>2964</v>
      </c>
      <c r="G850" s="12" t="n">
        <f aca="false">IFERROR(INDEX('Semrush Data'!$A$1:$Z$20000,MATCH(A850,'Semrush Data'!$A$1:$A$20000,0),MATCH("Volume",'Semrush Data'!$A$1:$Z$1,0)),"")</f>
        <v>0</v>
      </c>
      <c r="H850" s="7" t="n">
        <f aca="false">IFERROR(INDEX('Semrush Data'!$A$1:$Z$20000,MATCH(A850,'Semrush Data'!$A$1:$A$20000,0),MATCH("Keyword Difficulty*",'Semrush Data'!$A$1:$Z$1,0)),"")</f>
        <v>12</v>
      </c>
      <c r="I850" s="13" t="n">
        <f aca="false">IFERROR(INDEX('Semrush Data'!$A$1:$Z$20000,MATCH(A850,'Semrush Data'!$A$1:$A$20000,0),MATCH("CPC*",'Semrush Data'!$A$1:$Z$1,0)),"")</f>
        <v>0</v>
      </c>
      <c r="J850" s="7" t="str">
        <f aca="false">IFERROR(INDEX('Semrush Data'!$A$1:$Z$20000,MATCH(A850,'Semrush Data'!$A$1:$A$20000,0),MATCH("Intent",'Semrush Data'!$A$1:$Z$1,0)),"")</f>
        <v>Informational Transactional</v>
      </c>
    </row>
    <row r="851" customFormat="false" ht="15" hidden="false" customHeight="true" outlineLevel="0" collapsed="false">
      <c r="A851" s="7" t="s">
        <v>2978</v>
      </c>
      <c r="B851" s="7" t="s">
        <v>6814</v>
      </c>
      <c r="C851" s="7" t="n">
        <v>2</v>
      </c>
      <c r="D851" s="7" t="n">
        <v>9</v>
      </c>
      <c r="E851" s="7" t="n">
        <v>1</v>
      </c>
      <c r="F851" s="7" t="s">
        <v>2973</v>
      </c>
      <c r="G851" s="12" t="n">
        <f aca="false">IFERROR(INDEX('Semrush Data'!$A$1:$Z$20000,MATCH(A851,'Semrush Data'!$A$1:$A$20000,0),MATCH("Volume",'Semrush Data'!$A$1:$Z$1,0)),"")</f>
        <v>0</v>
      </c>
      <c r="H851" s="7" t="n">
        <f aca="false">IFERROR(INDEX('Semrush Data'!$A$1:$Z$20000,MATCH(A851,'Semrush Data'!$A$1:$A$20000,0),MATCH("Keyword Difficulty*",'Semrush Data'!$A$1:$Z$1,0)),"")</f>
        <v>10</v>
      </c>
      <c r="I851" s="13" t="n">
        <f aca="false">IFERROR(INDEX('Semrush Data'!$A$1:$Z$20000,MATCH(A851,'Semrush Data'!$A$1:$A$20000,0),MATCH("CPC*",'Semrush Data'!$A$1:$Z$1,0)),"")</f>
        <v>0</v>
      </c>
      <c r="J851" s="7" t="str">
        <f aca="false">IFERROR(INDEX('Semrush Data'!$A$1:$Z$20000,MATCH(A851,'Semrush Data'!$A$1:$A$20000,0),MATCH("Intent",'Semrush Data'!$A$1:$Z$1,0)),"")</f>
        <v>Informational</v>
      </c>
    </row>
    <row r="852" customFormat="false" ht="15" hidden="false" customHeight="true" outlineLevel="0" collapsed="false">
      <c r="A852" s="7" t="s">
        <v>2887</v>
      </c>
      <c r="B852" s="7" t="s">
        <v>6814</v>
      </c>
      <c r="C852" s="7" t="n">
        <v>2</v>
      </c>
      <c r="D852" s="7" t="n">
        <v>9</v>
      </c>
      <c r="E852" s="7" t="n">
        <v>1</v>
      </c>
      <c r="F852" s="7" t="s">
        <v>2884</v>
      </c>
      <c r="G852" s="12" t="n">
        <f aca="false">IFERROR(INDEX('Semrush Data'!$A$1:$Z$20000,MATCH(A852,'Semrush Data'!$A$1:$A$20000,0),MATCH("Volume",'Semrush Data'!$A$1:$Z$1,0)),"")</f>
        <v>0</v>
      </c>
      <c r="H852" s="7" t="n">
        <f aca="false">IFERROR(INDEX('Semrush Data'!$A$1:$Z$20000,MATCH(A852,'Semrush Data'!$A$1:$A$20000,0),MATCH("Keyword Difficulty*",'Semrush Data'!$A$1:$Z$1,0)),"")</f>
        <v>20</v>
      </c>
      <c r="I852" s="13" t="n">
        <f aca="false">IFERROR(INDEX('Semrush Data'!$A$1:$Z$20000,MATCH(A852,'Semrush Data'!$A$1:$A$20000,0),MATCH("CPC*",'Semrush Data'!$A$1:$Z$1,0)),"")</f>
        <v>0</v>
      </c>
      <c r="J852" s="7" t="str">
        <f aca="false">IFERROR(INDEX('Semrush Data'!$A$1:$Z$20000,MATCH(A852,'Semrush Data'!$A$1:$A$20000,0),MATCH("Intent",'Semrush Data'!$A$1:$Z$1,0)),"")</f>
        <v>Informational</v>
      </c>
    </row>
    <row r="853" customFormat="false" ht="15" hidden="false" customHeight="true" outlineLevel="0" collapsed="false">
      <c r="A853" s="7" t="s">
        <v>2945</v>
      </c>
      <c r="B853" s="7" t="s">
        <v>6814</v>
      </c>
      <c r="C853" s="7" t="n">
        <v>2</v>
      </c>
      <c r="D853" s="7" t="n">
        <v>9</v>
      </c>
      <c r="E853" s="7" t="n">
        <v>1</v>
      </c>
      <c r="F853" s="7" t="s">
        <v>2942</v>
      </c>
      <c r="G853" s="12" t="n">
        <f aca="false">IFERROR(INDEX('Semrush Data'!$A$1:$Z$20000,MATCH(A853,'Semrush Data'!$A$1:$A$20000,0),MATCH("Volume",'Semrush Data'!$A$1:$Z$1,0)),"")</f>
        <v>0</v>
      </c>
      <c r="H853" s="7" t="n">
        <f aca="false">IFERROR(INDEX('Semrush Data'!$A$1:$Z$20000,MATCH(A853,'Semrush Data'!$A$1:$A$20000,0),MATCH("Keyword Difficulty*",'Semrush Data'!$A$1:$Z$1,0)),"")</f>
        <v>15</v>
      </c>
      <c r="I853" s="13" t="n">
        <f aca="false">IFERROR(INDEX('Semrush Data'!$A$1:$Z$20000,MATCH(A853,'Semrush Data'!$A$1:$A$20000,0),MATCH("CPC*",'Semrush Data'!$A$1:$Z$1,0)),"")</f>
        <v>0</v>
      </c>
      <c r="J853" s="7" t="str">
        <f aca="false">IFERROR(INDEX('Semrush Data'!$A$1:$Z$20000,MATCH(A853,'Semrush Data'!$A$1:$A$20000,0),MATCH("Intent",'Semrush Data'!$A$1:$Z$1,0)),"")</f>
        <v>Informational</v>
      </c>
    </row>
    <row r="854" customFormat="false" ht="15" hidden="false" customHeight="true" outlineLevel="0" collapsed="false">
      <c r="A854" s="7" t="s">
        <v>2956</v>
      </c>
      <c r="B854" s="7" t="s">
        <v>6814</v>
      </c>
      <c r="C854" s="7" t="n">
        <v>2</v>
      </c>
      <c r="D854" s="7" t="n">
        <v>9</v>
      </c>
      <c r="E854" s="7" t="n">
        <v>1</v>
      </c>
      <c r="F854" s="7" t="s">
        <v>2953</v>
      </c>
      <c r="G854" s="12" t="n">
        <f aca="false">IFERROR(INDEX('Semrush Data'!$A$1:$Z$20000,MATCH(A854,'Semrush Data'!$A$1:$A$20000,0),MATCH("Volume",'Semrush Data'!$A$1:$Z$1,0)),"")</f>
        <v>0</v>
      </c>
      <c r="H854" s="7" t="n">
        <f aca="false">IFERROR(INDEX('Semrush Data'!$A$1:$Z$20000,MATCH(A854,'Semrush Data'!$A$1:$A$20000,0),MATCH("Keyword Difficulty*",'Semrush Data'!$A$1:$Z$1,0)),"")</f>
        <v>17</v>
      </c>
      <c r="I854" s="13" t="n">
        <f aca="false">IFERROR(INDEX('Semrush Data'!$A$1:$Z$20000,MATCH(A854,'Semrush Data'!$A$1:$A$20000,0),MATCH("CPC*",'Semrush Data'!$A$1:$Z$1,0)),"")</f>
        <v>0</v>
      </c>
      <c r="J854" s="7" t="str">
        <f aca="false">IFERROR(INDEX('Semrush Data'!$A$1:$Z$20000,MATCH(A854,'Semrush Data'!$A$1:$A$20000,0),MATCH("Intent",'Semrush Data'!$A$1:$Z$1,0)),"")</f>
        <v>Informational</v>
      </c>
    </row>
    <row r="855" customFormat="false" ht="15" hidden="false" customHeight="true" outlineLevel="0" collapsed="false">
      <c r="A855" s="7" t="s">
        <v>2910</v>
      </c>
      <c r="B855" s="7" t="s">
        <v>6814</v>
      </c>
      <c r="C855" s="7" t="n">
        <v>2</v>
      </c>
      <c r="D855" s="7" t="n">
        <v>9</v>
      </c>
      <c r="E855" s="7" t="n">
        <v>1</v>
      </c>
      <c r="F855" s="7" t="s">
        <v>2907</v>
      </c>
      <c r="G855" s="12" t="n">
        <f aca="false">IFERROR(INDEX('Semrush Data'!$A$1:$Z$20000,MATCH(A855,'Semrush Data'!$A$1:$A$20000,0),MATCH("Volume",'Semrush Data'!$A$1:$Z$1,0)),"")</f>
        <v>20</v>
      </c>
      <c r="H855" s="7" t="n">
        <f aca="false">IFERROR(INDEX('Semrush Data'!$A$1:$Z$20000,MATCH(A855,'Semrush Data'!$A$1:$A$20000,0),MATCH("Keyword Difficulty*",'Semrush Data'!$A$1:$Z$1,0)),"")</f>
        <v>15</v>
      </c>
      <c r="I855" s="13" t="n">
        <f aca="false">IFERROR(INDEX('Semrush Data'!$A$1:$Z$20000,MATCH(A855,'Semrush Data'!$A$1:$A$20000,0),MATCH("CPC*",'Semrush Data'!$A$1:$Z$1,0)),"")</f>
        <v>0</v>
      </c>
      <c r="J855" s="7" t="str">
        <f aca="false">IFERROR(INDEX('Semrush Data'!$A$1:$Z$20000,MATCH(A855,'Semrush Data'!$A$1:$A$20000,0),MATCH("Intent",'Semrush Data'!$A$1:$Z$1,0)),"")</f>
        <v>Informational</v>
      </c>
    </row>
    <row r="856" customFormat="false" ht="15" hidden="false" customHeight="true" outlineLevel="0" collapsed="false">
      <c r="A856" s="7" t="s">
        <v>3008</v>
      </c>
      <c r="B856" s="7" t="s">
        <v>6814</v>
      </c>
      <c r="C856" s="7" t="n">
        <v>2</v>
      </c>
      <c r="D856" s="7" t="n">
        <v>9</v>
      </c>
      <c r="E856" s="7" t="n">
        <v>1</v>
      </c>
      <c r="F856" s="7" t="s">
        <v>3004</v>
      </c>
      <c r="G856" s="12" t="n">
        <f aca="false">IFERROR(INDEX('Semrush Data'!$A$1:$Z$20000,MATCH(A856,'Semrush Data'!$A$1:$A$20000,0),MATCH("Volume",'Semrush Data'!$A$1:$Z$1,0)),"")</f>
        <v>0</v>
      </c>
      <c r="H856" s="7" t="n">
        <f aca="false">IFERROR(INDEX('Semrush Data'!$A$1:$Z$20000,MATCH(A856,'Semrush Data'!$A$1:$A$20000,0),MATCH("Keyword Difficulty*",'Semrush Data'!$A$1:$Z$1,0)),"")</f>
        <v>22</v>
      </c>
      <c r="I856" s="13" t="n">
        <f aca="false">IFERROR(INDEX('Semrush Data'!$A$1:$Z$20000,MATCH(A856,'Semrush Data'!$A$1:$A$20000,0),MATCH("CPC*",'Semrush Data'!$A$1:$Z$1,0)),"")</f>
        <v>0</v>
      </c>
      <c r="J856" s="7" t="str">
        <f aca="false">IFERROR(INDEX('Semrush Data'!$A$1:$Z$20000,MATCH(A856,'Semrush Data'!$A$1:$A$20000,0),MATCH("Intent",'Semrush Data'!$A$1:$Z$1,0)),"")</f>
        <v>Informational</v>
      </c>
    </row>
    <row r="857" customFormat="false" ht="15" hidden="false" customHeight="true" outlineLevel="0" collapsed="false">
      <c r="A857" s="7" t="s">
        <v>3019</v>
      </c>
      <c r="B857" s="7" t="s">
        <v>6814</v>
      </c>
      <c r="C857" s="7" t="n">
        <v>2</v>
      </c>
      <c r="D857" s="7" t="n">
        <v>9</v>
      </c>
      <c r="E857" s="7" t="n">
        <v>2</v>
      </c>
      <c r="F857" s="7" t="s">
        <v>6791</v>
      </c>
      <c r="G857" s="12" t="n">
        <f aca="false">IFERROR(INDEX('Semrush Data'!$A$1:$Z$20000,MATCH(A857,'Semrush Data'!$A$1:$A$20000,0),MATCH("Volume",'Semrush Data'!$A$1:$Z$1,0)),"")</f>
        <v>0</v>
      </c>
      <c r="H857" s="7" t="n">
        <f aca="false">IFERROR(INDEX('Semrush Data'!$A$1:$Z$20000,MATCH(A857,'Semrush Data'!$A$1:$A$20000,0),MATCH("Keyword Difficulty*",'Semrush Data'!$A$1:$Z$1,0)),"")</f>
        <v>21</v>
      </c>
      <c r="I857" s="13" t="n">
        <f aca="false">IFERROR(INDEX('Semrush Data'!$A$1:$Z$20000,MATCH(A857,'Semrush Data'!$A$1:$A$20000,0),MATCH("CPC*",'Semrush Data'!$A$1:$Z$1,0)),"")</f>
        <v>0</v>
      </c>
      <c r="J857" s="7" t="str">
        <f aca="false">IFERROR(INDEX('Semrush Data'!$A$1:$Z$20000,MATCH(A857,'Semrush Data'!$A$1:$A$20000,0),MATCH("Intent",'Semrush Data'!$A$1:$Z$1,0)),"")</f>
        <v>Navigational</v>
      </c>
    </row>
    <row r="858" customFormat="false" ht="15" hidden="false" customHeight="true" outlineLevel="0" collapsed="false">
      <c r="A858" s="7" t="s">
        <v>2990</v>
      </c>
      <c r="B858" s="7" t="s">
        <v>6814</v>
      </c>
      <c r="C858" s="7" t="n">
        <v>2</v>
      </c>
      <c r="D858" s="7" t="n">
        <v>9</v>
      </c>
      <c r="E858" s="7" t="n">
        <v>2</v>
      </c>
      <c r="F858" s="7" t="s">
        <v>6790</v>
      </c>
      <c r="G858" s="12" t="n">
        <f aca="false">IFERROR(INDEX('Semrush Data'!$A$1:$Z$20000,MATCH(A858,'Semrush Data'!$A$1:$A$20000,0),MATCH("Volume",'Semrush Data'!$A$1:$Z$1,0)),"")</f>
        <v>0</v>
      </c>
      <c r="H858" s="7" t="n">
        <f aca="false">IFERROR(INDEX('Semrush Data'!$A$1:$Z$20000,MATCH(A858,'Semrush Data'!$A$1:$A$20000,0),MATCH("Keyword Difficulty*",'Semrush Data'!$A$1:$Z$1,0)),"")</f>
        <v>28</v>
      </c>
      <c r="I858" s="13" t="n">
        <f aca="false">IFERROR(INDEX('Semrush Data'!$A$1:$Z$20000,MATCH(A858,'Semrush Data'!$A$1:$A$20000,0),MATCH("CPC*",'Semrush Data'!$A$1:$Z$1,0)),"")</f>
        <v>0</v>
      </c>
      <c r="J858" s="7" t="str">
        <f aca="false">IFERROR(INDEX('Semrush Data'!$A$1:$Z$20000,MATCH(A858,'Semrush Data'!$A$1:$A$20000,0),MATCH("Intent",'Semrush Data'!$A$1:$Z$1,0)),"")</f>
        <v>Navigational</v>
      </c>
    </row>
    <row r="859" customFormat="false" ht="15" hidden="false" customHeight="true" outlineLevel="0" collapsed="false">
      <c r="A859" s="7" t="s">
        <v>3066</v>
      </c>
      <c r="B859" s="7" t="s">
        <v>6814</v>
      </c>
      <c r="C859" s="7" t="n">
        <v>2</v>
      </c>
      <c r="D859" s="7" t="n">
        <v>9</v>
      </c>
      <c r="E859" s="7" t="n">
        <v>1</v>
      </c>
      <c r="F859" s="7" t="s">
        <v>3063</v>
      </c>
      <c r="G859" s="12" t="n">
        <f aca="false">IFERROR(INDEX('Semrush Data'!$A$1:$Z$20000,MATCH(A859,'Semrush Data'!$A$1:$A$20000,0),MATCH("Volume",'Semrush Data'!$A$1:$Z$1,0)),"")</f>
        <v>0</v>
      </c>
      <c r="H859" s="7" t="n">
        <f aca="false">IFERROR(INDEX('Semrush Data'!$A$1:$Z$20000,MATCH(A859,'Semrush Data'!$A$1:$A$20000,0),MATCH("Keyword Difficulty*",'Semrush Data'!$A$1:$Z$1,0)),"")</f>
        <v>17</v>
      </c>
      <c r="I859" s="13" t="n">
        <f aca="false">IFERROR(INDEX('Semrush Data'!$A$1:$Z$20000,MATCH(A859,'Semrush Data'!$A$1:$A$20000,0),MATCH("CPC*",'Semrush Data'!$A$1:$Z$1,0)),"")</f>
        <v>0</v>
      </c>
      <c r="J859" s="7" t="str">
        <f aca="false">IFERROR(INDEX('Semrush Data'!$A$1:$Z$20000,MATCH(A859,'Semrush Data'!$A$1:$A$20000,0),MATCH("Intent",'Semrush Data'!$A$1:$Z$1,0)),"")</f>
        <v>Informational</v>
      </c>
    </row>
    <row r="860" customFormat="false" ht="15" hidden="false" customHeight="true" outlineLevel="0" collapsed="false">
      <c r="A860" s="7" t="s">
        <v>3032</v>
      </c>
      <c r="B860" s="7" t="s">
        <v>6814</v>
      </c>
      <c r="C860" s="7" t="n">
        <v>2</v>
      </c>
      <c r="D860" s="7" t="n">
        <v>9</v>
      </c>
      <c r="E860" s="7" t="n">
        <v>1</v>
      </c>
      <c r="F860" s="7" t="s">
        <v>76</v>
      </c>
      <c r="G860" s="12" t="n">
        <f aca="false">IFERROR(INDEX('Semrush Data'!$A$1:$Z$20000,MATCH(A860,'Semrush Data'!$A$1:$A$20000,0),MATCH("Volume",'Semrush Data'!$A$1:$Z$1,0)),"")</f>
        <v>20</v>
      </c>
      <c r="H860" s="7" t="n">
        <f aca="false">IFERROR(INDEX('Semrush Data'!$A$1:$Z$20000,MATCH(A860,'Semrush Data'!$A$1:$A$20000,0),MATCH("Keyword Difficulty*",'Semrush Data'!$A$1:$Z$1,0)),"")</f>
        <v>14</v>
      </c>
      <c r="I860" s="13" t="n">
        <f aca="false">IFERROR(INDEX('Semrush Data'!$A$1:$Z$20000,MATCH(A860,'Semrush Data'!$A$1:$A$20000,0),MATCH("CPC*",'Semrush Data'!$A$1:$Z$1,0)),"")</f>
        <v>0.49</v>
      </c>
      <c r="J860" s="7" t="str">
        <f aca="false">IFERROR(INDEX('Semrush Data'!$A$1:$Z$20000,MATCH(A860,'Semrush Data'!$A$1:$A$20000,0),MATCH("Intent",'Semrush Data'!$A$1:$Z$1,0)),"")</f>
        <v>Informational Transactional</v>
      </c>
    </row>
    <row r="861" customFormat="false" ht="15" hidden="false" customHeight="true" outlineLevel="0" collapsed="false">
      <c r="A861" s="7" t="s">
        <v>3076</v>
      </c>
      <c r="B861" s="7" t="s">
        <v>6814</v>
      </c>
      <c r="C861" s="7" t="n">
        <v>2</v>
      </c>
      <c r="D861" s="7" t="n">
        <v>9</v>
      </c>
      <c r="E861" s="7" t="n">
        <v>1</v>
      </c>
      <c r="F861" s="7" t="s">
        <v>3073</v>
      </c>
      <c r="G861" s="12" t="n">
        <f aca="false">IFERROR(INDEX('Semrush Data'!$A$1:$Z$20000,MATCH(A861,'Semrush Data'!$A$1:$A$20000,0),MATCH("Volume",'Semrush Data'!$A$1:$Z$1,0)),"")</f>
        <v>0</v>
      </c>
      <c r="H861" s="7" t="n">
        <f aca="false">IFERROR(INDEX('Semrush Data'!$A$1:$Z$20000,MATCH(A861,'Semrush Data'!$A$1:$A$20000,0),MATCH("Keyword Difficulty*",'Semrush Data'!$A$1:$Z$1,0)),"")</f>
        <v>18</v>
      </c>
      <c r="I861" s="13" t="n">
        <f aca="false">IFERROR(INDEX('Semrush Data'!$A$1:$Z$20000,MATCH(A861,'Semrush Data'!$A$1:$A$20000,0),MATCH("CPC*",'Semrush Data'!$A$1:$Z$1,0)),"")</f>
        <v>0</v>
      </c>
      <c r="J861" s="7" t="str">
        <f aca="false">IFERROR(INDEX('Semrush Data'!$A$1:$Z$20000,MATCH(A861,'Semrush Data'!$A$1:$A$20000,0),MATCH("Intent",'Semrush Data'!$A$1:$Z$1,0)),"")</f>
        <v>Informational</v>
      </c>
    </row>
    <row r="862" customFormat="false" ht="15" hidden="false" customHeight="true" outlineLevel="0" collapsed="false">
      <c r="A862" s="7" t="s">
        <v>3086</v>
      </c>
      <c r="B862" s="7" t="s">
        <v>6814</v>
      </c>
      <c r="C862" s="7" t="n">
        <v>2</v>
      </c>
      <c r="D862" s="7" t="n">
        <v>9</v>
      </c>
      <c r="E862" s="7" t="n">
        <v>1</v>
      </c>
      <c r="F862" s="7" t="s">
        <v>3083</v>
      </c>
      <c r="G862" s="12" t="n">
        <f aca="false">IFERROR(INDEX('Semrush Data'!$A$1:$Z$20000,MATCH(A862,'Semrush Data'!$A$1:$A$20000,0),MATCH("Volume",'Semrush Data'!$A$1:$Z$1,0)),"")</f>
        <v>0</v>
      </c>
      <c r="H862" s="7" t="n">
        <f aca="false">IFERROR(INDEX('Semrush Data'!$A$1:$Z$20000,MATCH(A862,'Semrush Data'!$A$1:$A$20000,0),MATCH("Keyword Difficulty*",'Semrush Data'!$A$1:$Z$1,0)),"")</f>
        <v>16</v>
      </c>
      <c r="I862" s="13" t="n">
        <f aca="false">IFERROR(INDEX('Semrush Data'!$A$1:$Z$20000,MATCH(A862,'Semrush Data'!$A$1:$A$20000,0),MATCH("CPC*",'Semrush Data'!$A$1:$Z$1,0)),"")</f>
        <v>0</v>
      </c>
      <c r="J862" s="7" t="str">
        <f aca="false">IFERROR(INDEX('Semrush Data'!$A$1:$Z$20000,MATCH(A862,'Semrush Data'!$A$1:$A$20000,0),MATCH("Intent",'Semrush Data'!$A$1:$Z$1,0)),"")</f>
        <v>Informational</v>
      </c>
    </row>
    <row r="863" customFormat="false" ht="15" hidden="false" customHeight="true" outlineLevel="0" collapsed="false">
      <c r="A863" s="7" t="s">
        <v>3096</v>
      </c>
      <c r="B863" s="7" t="s">
        <v>6814</v>
      </c>
      <c r="C863" s="7" t="n">
        <v>2</v>
      </c>
      <c r="D863" s="7" t="n">
        <v>9</v>
      </c>
      <c r="E863" s="7" t="n">
        <v>1</v>
      </c>
      <c r="F863" s="7" t="s">
        <v>3093</v>
      </c>
      <c r="G863" s="12" t="n">
        <f aca="false">IFERROR(INDEX('Semrush Data'!$A$1:$Z$20000,MATCH(A863,'Semrush Data'!$A$1:$A$20000,0),MATCH("Volume",'Semrush Data'!$A$1:$Z$1,0)),"")</f>
        <v>0</v>
      </c>
      <c r="H863" s="7" t="n">
        <f aca="false">IFERROR(INDEX('Semrush Data'!$A$1:$Z$20000,MATCH(A863,'Semrush Data'!$A$1:$A$20000,0),MATCH("Keyword Difficulty*",'Semrush Data'!$A$1:$Z$1,0)),"")</f>
        <v>17</v>
      </c>
      <c r="I863" s="13" t="n">
        <f aca="false">IFERROR(INDEX('Semrush Data'!$A$1:$Z$20000,MATCH(A863,'Semrush Data'!$A$1:$A$20000,0),MATCH("CPC*",'Semrush Data'!$A$1:$Z$1,0)),"")</f>
        <v>0</v>
      </c>
      <c r="J863" s="7" t="str">
        <f aca="false">IFERROR(INDEX('Semrush Data'!$A$1:$Z$20000,MATCH(A863,'Semrush Data'!$A$1:$A$20000,0),MATCH("Intent",'Semrush Data'!$A$1:$Z$1,0)),"")</f>
        <v>Informational Transactional</v>
      </c>
    </row>
    <row r="864" customFormat="false" ht="15" hidden="false" customHeight="true" outlineLevel="0" collapsed="false">
      <c r="A864" s="7" t="s">
        <v>3055</v>
      </c>
      <c r="B864" s="7" t="s">
        <v>6814</v>
      </c>
      <c r="C864" s="7" t="n">
        <v>2</v>
      </c>
      <c r="D864" s="7" t="n">
        <v>9</v>
      </c>
      <c r="E864" s="7" t="n">
        <v>1</v>
      </c>
      <c r="F864" s="7" t="s">
        <v>142</v>
      </c>
      <c r="G864" s="12" t="n">
        <f aca="false">IFERROR(INDEX('Semrush Data'!$A$1:$Z$20000,MATCH(A864,'Semrush Data'!$A$1:$A$20000,0),MATCH("Volume",'Semrush Data'!$A$1:$Z$1,0)),"")</f>
        <v>20</v>
      </c>
      <c r="H864" s="7" t="n">
        <f aca="false">IFERROR(INDEX('Semrush Data'!$A$1:$Z$20000,MATCH(A864,'Semrush Data'!$A$1:$A$20000,0),MATCH("Keyword Difficulty*",'Semrush Data'!$A$1:$Z$1,0)),"")</f>
        <v>13</v>
      </c>
      <c r="I864" s="13" t="n">
        <f aca="false">IFERROR(INDEX('Semrush Data'!$A$1:$Z$20000,MATCH(A864,'Semrush Data'!$A$1:$A$20000,0),MATCH("CPC*",'Semrush Data'!$A$1:$Z$1,0)),"")</f>
        <v>0</v>
      </c>
      <c r="J864" s="7" t="str">
        <f aca="false">IFERROR(INDEX('Semrush Data'!$A$1:$Z$20000,MATCH(A864,'Semrush Data'!$A$1:$A$20000,0),MATCH("Intent",'Semrush Data'!$A$1:$Z$1,0)),"")</f>
        <v>Navigational</v>
      </c>
    </row>
    <row r="865" customFormat="false" ht="15" hidden="false" customHeight="true" outlineLevel="0" collapsed="false">
      <c r="A865" s="7" t="s">
        <v>3106</v>
      </c>
      <c r="B865" s="7" t="s">
        <v>6814</v>
      </c>
      <c r="C865" s="7" t="n">
        <v>2</v>
      </c>
      <c r="D865" s="7" t="n">
        <v>9</v>
      </c>
      <c r="E865" s="7" t="n">
        <v>1</v>
      </c>
      <c r="F865" s="7" t="s">
        <v>3103</v>
      </c>
      <c r="G865" s="12" t="n">
        <f aca="false">IFERROR(INDEX('Semrush Data'!$A$1:$Z$20000,MATCH(A865,'Semrush Data'!$A$1:$A$20000,0),MATCH("Volume",'Semrush Data'!$A$1:$Z$1,0)),"")</f>
        <v>0</v>
      </c>
      <c r="H865" s="7" t="n">
        <f aca="false">IFERROR(INDEX('Semrush Data'!$A$1:$Z$20000,MATCH(A865,'Semrush Data'!$A$1:$A$20000,0),MATCH("Keyword Difficulty*",'Semrush Data'!$A$1:$Z$1,0)),"")</f>
        <v>16</v>
      </c>
      <c r="I865" s="13" t="n">
        <f aca="false">IFERROR(INDEX('Semrush Data'!$A$1:$Z$20000,MATCH(A865,'Semrush Data'!$A$1:$A$20000,0),MATCH("CPC*",'Semrush Data'!$A$1:$Z$1,0)),"")</f>
        <v>0</v>
      </c>
      <c r="J865" s="7" t="str">
        <f aca="false">IFERROR(INDEX('Semrush Data'!$A$1:$Z$20000,MATCH(A865,'Semrush Data'!$A$1:$A$20000,0),MATCH("Intent",'Semrush Data'!$A$1:$Z$1,0)),"")</f>
        <v>Informational Commercial</v>
      </c>
    </row>
    <row r="866" customFormat="false" ht="15" hidden="false" customHeight="true" outlineLevel="0" collapsed="false">
      <c r="A866" s="7" t="s">
        <v>3044</v>
      </c>
      <c r="B866" s="7" t="s">
        <v>6814</v>
      </c>
      <c r="C866" s="7" t="n">
        <v>2</v>
      </c>
      <c r="D866" s="7" t="n">
        <v>9</v>
      </c>
      <c r="E866" s="7" t="n">
        <v>1</v>
      </c>
      <c r="F866" s="7" t="s">
        <v>3041</v>
      </c>
      <c r="G866" s="12" t="n">
        <f aca="false">IFERROR(INDEX('Semrush Data'!$A$1:$Z$20000,MATCH(A866,'Semrush Data'!$A$1:$A$20000,0),MATCH("Volume",'Semrush Data'!$A$1:$Z$1,0)),"")</f>
        <v>0</v>
      </c>
      <c r="H866" s="7" t="n">
        <f aca="false">IFERROR(INDEX('Semrush Data'!$A$1:$Z$20000,MATCH(A866,'Semrush Data'!$A$1:$A$20000,0),MATCH("Keyword Difficulty*",'Semrush Data'!$A$1:$Z$1,0)),"")</f>
        <v>22</v>
      </c>
      <c r="I866" s="13" t="n">
        <f aca="false">IFERROR(INDEX('Semrush Data'!$A$1:$Z$20000,MATCH(A866,'Semrush Data'!$A$1:$A$20000,0),MATCH("CPC*",'Semrush Data'!$A$1:$Z$1,0)),"")</f>
        <v>0</v>
      </c>
      <c r="J866" s="7" t="str">
        <f aca="false">IFERROR(INDEX('Semrush Data'!$A$1:$Z$20000,MATCH(A866,'Semrush Data'!$A$1:$A$20000,0),MATCH("Intent",'Semrush Data'!$A$1:$Z$1,0)),"")</f>
        <v>Informational</v>
      </c>
    </row>
    <row r="867" customFormat="false" ht="15" hidden="false" customHeight="true" outlineLevel="0" collapsed="false">
      <c r="A867" s="7" t="s">
        <v>3117</v>
      </c>
      <c r="B867" s="7" t="s">
        <v>6814</v>
      </c>
      <c r="C867" s="7" t="n">
        <v>2</v>
      </c>
      <c r="D867" s="7" t="n">
        <v>9</v>
      </c>
      <c r="E867" s="7" t="n">
        <v>1</v>
      </c>
      <c r="F867" s="7" t="s">
        <v>3113</v>
      </c>
      <c r="G867" s="12" t="n">
        <f aca="false">IFERROR(INDEX('Semrush Data'!$A$1:$Z$20000,MATCH(A867,'Semrush Data'!$A$1:$A$20000,0),MATCH("Volume",'Semrush Data'!$A$1:$Z$1,0)),"")</f>
        <v>0</v>
      </c>
      <c r="H867" s="7" t="n">
        <f aca="false">IFERROR(INDEX('Semrush Data'!$A$1:$Z$20000,MATCH(A867,'Semrush Data'!$A$1:$A$20000,0),MATCH("Keyword Difficulty*",'Semrush Data'!$A$1:$Z$1,0)),"")</f>
        <v>17</v>
      </c>
      <c r="I867" s="13" t="n">
        <f aca="false">IFERROR(INDEX('Semrush Data'!$A$1:$Z$20000,MATCH(A867,'Semrush Data'!$A$1:$A$20000,0),MATCH("CPC*",'Semrush Data'!$A$1:$Z$1,0)),"")</f>
        <v>0</v>
      </c>
      <c r="J867" s="7" t="str">
        <f aca="false">IFERROR(INDEX('Semrush Data'!$A$1:$Z$20000,MATCH(A867,'Semrush Data'!$A$1:$A$20000,0),MATCH("Intent",'Semrush Data'!$A$1:$Z$1,0)),"")</f>
        <v>Informational</v>
      </c>
    </row>
    <row r="868" customFormat="false" ht="15" hidden="false" customHeight="true" outlineLevel="0" collapsed="false">
      <c r="A868" s="7" t="s">
        <v>3167</v>
      </c>
      <c r="B868" s="7" t="s">
        <v>6814</v>
      </c>
      <c r="C868" s="7" t="n">
        <v>2</v>
      </c>
      <c r="D868" s="7" t="n">
        <v>9</v>
      </c>
      <c r="E868" s="7" t="n">
        <v>1</v>
      </c>
      <c r="F868" s="7" t="s">
        <v>3164</v>
      </c>
      <c r="G868" s="12" t="n">
        <f aca="false">IFERROR(INDEX('Semrush Data'!$A$1:$Z$20000,MATCH(A868,'Semrush Data'!$A$1:$A$20000,0),MATCH("Volume",'Semrush Data'!$A$1:$Z$1,0)),"")</f>
        <v>0</v>
      </c>
      <c r="H868" s="7" t="n">
        <f aca="false">IFERROR(INDEX('Semrush Data'!$A$1:$Z$20000,MATCH(A868,'Semrush Data'!$A$1:$A$20000,0),MATCH("Keyword Difficulty*",'Semrush Data'!$A$1:$Z$1,0)),"")</f>
        <v>17</v>
      </c>
      <c r="I868" s="13" t="n">
        <f aca="false">IFERROR(INDEX('Semrush Data'!$A$1:$Z$20000,MATCH(A868,'Semrush Data'!$A$1:$A$20000,0),MATCH("CPC*",'Semrush Data'!$A$1:$Z$1,0)),"")</f>
        <v>0</v>
      </c>
      <c r="J868" s="7" t="str">
        <f aca="false">IFERROR(INDEX('Semrush Data'!$A$1:$Z$20000,MATCH(A868,'Semrush Data'!$A$1:$A$20000,0),MATCH("Intent",'Semrush Data'!$A$1:$Z$1,0)),"")</f>
        <v>Informational</v>
      </c>
    </row>
    <row r="869" customFormat="false" ht="15" hidden="false" customHeight="true" outlineLevel="0" collapsed="false">
      <c r="A869" s="7" t="s">
        <v>3176</v>
      </c>
      <c r="B869" s="7" t="s">
        <v>6814</v>
      </c>
      <c r="C869" s="7" t="n">
        <v>2</v>
      </c>
      <c r="D869" s="7" t="n">
        <v>9</v>
      </c>
      <c r="E869" s="7" t="n">
        <v>2</v>
      </c>
      <c r="F869" s="7" t="s">
        <v>6792</v>
      </c>
      <c r="G869" s="12" t="n">
        <f aca="false">IFERROR(INDEX('Semrush Data'!$A$1:$Z$20000,MATCH(A869,'Semrush Data'!$A$1:$A$20000,0),MATCH("Volume",'Semrush Data'!$A$1:$Z$1,0)),"")</f>
        <v>20</v>
      </c>
      <c r="H869" s="7" t="n">
        <f aca="false">IFERROR(INDEX('Semrush Data'!$A$1:$Z$20000,MATCH(A869,'Semrush Data'!$A$1:$A$20000,0),MATCH("Keyword Difficulty*",'Semrush Data'!$A$1:$Z$1,0)),"")</f>
        <v>11</v>
      </c>
      <c r="I869" s="13" t="n">
        <f aca="false">IFERROR(INDEX('Semrush Data'!$A$1:$Z$20000,MATCH(A869,'Semrush Data'!$A$1:$A$20000,0),MATCH("CPC*",'Semrush Data'!$A$1:$Z$1,0)),"")</f>
        <v>0</v>
      </c>
      <c r="J869" s="7" t="str">
        <f aca="false">IFERROR(INDEX('Semrush Data'!$A$1:$Z$20000,MATCH(A869,'Semrush Data'!$A$1:$A$20000,0),MATCH("Intent",'Semrush Data'!$A$1:$Z$1,0)),"")</f>
        <v>Informational Commercial</v>
      </c>
    </row>
    <row r="870" customFormat="false" ht="15" hidden="false" customHeight="true" outlineLevel="0" collapsed="false">
      <c r="A870" s="7" t="s">
        <v>3188</v>
      </c>
      <c r="B870" s="7" t="s">
        <v>6814</v>
      </c>
      <c r="C870" s="7" t="n">
        <v>2</v>
      </c>
      <c r="D870" s="7" t="n">
        <v>9</v>
      </c>
      <c r="E870" s="7" t="n">
        <v>2</v>
      </c>
      <c r="F870" s="7" t="s">
        <v>6794</v>
      </c>
      <c r="G870" s="12" t="n">
        <f aca="false">IFERROR(INDEX('Semrush Data'!$A$1:$Z$20000,MATCH(A870,'Semrush Data'!$A$1:$A$20000,0),MATCH("Volume",'Semrush Data'!$A$1:$Z$1,0)),"")</f>
        <v>0</v>
      </c>
      <c r="H870" s="7" t="n">
        <f aca="false">IFERROR(INDEX('Semrush Data'!$A$1:$Z$20000,MATCH(A870,'Semrush Data'!$A$1:$A$20000,0),MATCH("Keyword Difficulty*",'Semrush Data'!$A$1:$Z$1,0)),"")</f>
        <v>17</v>
      </c>
      <c r="I870" s="13" t="n">
        <f aca="false">IFERROR(INDEX('Semrush Data'!$A$1:$Z$20000,MATCH(A870,'Semrush Data'!$A$1:$A$20000,0),MATCH("CPC*",'Semrush Data'!$A$1:$Z$1,0)),"")</f>
        <v>0</v>
      </c>
      <c r="J870" s="7" t="str">
        <f aca="false">IFERROR(INDEX('Semrush Data'!$A$1:$Z$20000,MATCH(A870,'Semrush Data'!$A$1:$A$20000,0),MATCH("Intent",'Semrush Data'!$A$1:$Z$1,0)),"")</f>
        <v>Informational Transactional</v>
      </c>
    </row>
    <row r="871" customFormat="false" ht="15" hidden="false" customHeight="true" outlineLevel="0" collapsed="false">
      <c r="A871" s="7" t="s">
        <v>3201</v>
      </c>
      <c r="B871" s="7" t="s">
        <v>6814</v>
      </c>
      <c r="C871" s="7" t="n">
        <v>2</v>
      </c>
      <c r="D871" s="7" t="n">
        <v>9</v>
      </c>
      <c r="E871" s="7" t="n">
        <v>1</v>
      </c>
      <c r="F871" s="7" t="s">
        <v>3198</v>
      </c>
      <c r="G871" s="12" t="n">
        <f aca="false">IFERROR(INDEX('Semrush Data'!$A$1:$Z$20000,MATCH(A871,'Semrush Data'!$A$1:$A$20000,0),MATCH("Volume",'Semrush Data'!$A$1:$Z$1,0)),"")</f>
        <v>0</v>
      </c>
      <c r="H871" s="7" t="n">
        <f aca="false">IFERROR(INDEX('Semrush Data'!$A$1:$Z$20000,MATCH(A871,'Semrush Data'!$A$1:$A$20000,0),MATCH("Keyword Difficulty*",'Semrush Data'!$A$1:$Z$1,0)),"")</f>
        <v>16</v>
      </c>
      <c r="I871" s="13" t="n">
        <f aca="false">IFERROR(INDEX('Semrush Data'!$A$1:$Z$20000,MATCH(A871,'Semrush Data'!$A$1:$A$20000,0),MATCH("CPC*",'Semrush Data'!$A$1:$Z$1,0)),"")</f>
        <v>0</v>
      </c>
      <c r="J871" s="7" t="str">
        <f aca="false">IFERROR(INDEX('Semrush Data'!$A$1:$Z$20000,MATCH(A871,'Semrush Data'!$A$1:$A$20000,0),MATCH("Intent",'Semrush Data'!$A$1:$Z$1,0)),"")</f>
        <v>Informational Transactional</v>
      </c>
    </row>
    <row r="872" customFormat="false" ht="15" hidden="false" customHeight="true" outlineLevel="0" collapsed="false">
      <c r="A872" s="7" t="s">
        <v>3126</v>
      </c>
      <c r="B872" s="7" t="s">
        <v>6814</v>
      </c>
      <c r="C872" s="7" t="n">
        <v>2</v>
      </c>
      <c r="D872" s="7" t="n">
        <v>9</v>
      </c>
      <c r="E872" s="7" t="n">
        <v>2</v>
      </c>
      <c r="F872" s="7" t="s">
        <v>6793</v>
      </c>
      <c r="G872" s="12" t="n">
        <f aca="false">IFERROR(INDEX('Semrush Data'!$A$1:$Z$20000,MATCH(A872,'Semrush Data'!$A$1:$A$20000,0),MATCH("Volume",'Semrush Data'!$A$1:$Z$1,0)),"")</f>
        <v>20</v>
      </c>
      <c r="H872" s="7" t="n">
        <f aca="false">IFERROR(INDEX('Semrush Data'!$A$1:$Z$20000,MATCH(A872,'Semrush Data'!$A$1:$A$20000,0),MATCH("Keyword Difficulty*",'Semrush Data'!$A$1:$Z$1,0)),"")</f>
        <v>11</v>
      </c>
      <c r="I872" s="13" t="n">
        <f aca="false">IFERROR(INDEX('Semrush Data'!$A$1:$Z$20000,MATCH(A872,'Semrush Data'!$A$1:$A$20000,0),MATCH("CPC*",'Semrush Data'!$A$1:$Z$1,0)),"")</f>
        <v>0</v>
      </c>
      <c r="J872" s="7" t="str">
        <f aca="false">IFERROR(INDEX('Semrush Data'!$A$1:$Z$20000,MATCH(A872,'Semrush Data'!$A$1:$A$20000,0),MATCH("Intent",'Semrush Data'!$A$1:$Z$1,0)),"")</f>
        <v>Navigational</v>
      </c>
    </row>
    <row r="873" customFormat="false" ht="15" hidden="false" customHeight="true" outlineLevel="0" collapsed="false">
      <c r="A873" s="7" t="s">
        <v>3156</v>
      </c>
      <c r="B873" s="7" t="s">
        <v>6814</v>
      </c>
      <c r="C873" s="7" t="n">
        <v>2</v>
      </c>
      <c r="D873" s="7" t="n">
        <v>9</v>
      </c>
      <c r="E873" s="7" t="n">
        <v>1</v>
      </c>
      <c r="F873" s="7" t="s">
        <v>3152</v>
      </c>
      <c r="G873" s="12" t="n">
        <f aca="false">IFERROR(INDEX('Semrush Data'!$A$1:$Z$20000,MATCH(A873,'Semrush Data'!$A$1:$A$20000,0),MATCH("Volume",'Semrush Data'!$A$1:$Z$1,0)),"")</f>
        <v>0</v>
      </c>
      <c r="H873" s="7" t="n">
        <f aca="false">IFERROR(INDEX('Semrush Data'!$A$1:$Z$20000,MATCH(A873,'Semrush Data'!$A$1:$A$20000,0),MATCH("Keyword Difficulty*",'Semrush Data'!$A$1:$Z$1,0)),"")</f>
        <v>17</v>
      </c>
      <c r="I873" s="13" t="n">
        <f aca="false">IFERROR(INDEX('Semrush Data'!$A$1:$Z$20000,MATCH(A873,'Semrush Data'!$A$1:$A$20000,0),MATCH("CPC*",'Semrush Data'!$A$1:$Z$1,0)),"")</f>
        <v>0</v>
      </c>
      <c r="J873" s="7" t="str">
        <f aca="false">IFERROR(INDEX('Semrush Data'!$A$1:$Z$20000,MATCH(A873,'Semrush Data'!$A$1:$A$20000,0),MATCH("Intent",'Semrush Data'!$A$1:$Z$1,0)),"")</f>
        <v>Transactional</v>
      </c>
    </row>
    <row r="874" customFormat="false" ht="15" hidden="false" customHeight="true" outlineLevel="0" collapsed="false">
      <c r="A874" s="7" t="s">
        <v>3138</v>
      </c>
      <c r="B874" s="7" t="s">
        <v>6814</v>
      </c>
      <c r="C874" s="7" t="n">
        <v>2</v>
      </c>
      <c r="D874" s="7" t="n">
        <v>9</v>
      </c>
      <c r="E874" s="7" t="n">
        <v>1</v>
      </c>
      <c r="F874" s="7" t="s">
        <v>3135</v>
      </c>
      <c r="G874" s="12" t="n">
        <f aca="false">IFERROR(INDEX('Semrush Data'!$A$1:$Z$20000,MATCH(A874,'Semrush Data'!$A$1:$A$20000,0),MATCH("Volume",'Semrush Data'!$A$1:$Z$1,0)),"")</f>
        <v>0</v>
      </c>
      <c r="H874" s="7" t="n">
        <f aca="false">IFERROR(INDEX('Semrush Data'!$A$1:$Z$20000,MATCH(A874,'Semrush Data'!$A$1:$A$20000,0),MATCH("Keyword Difficulty*",'Semrush Data'!$A$1:$Z$1,0)),"")</f>
        <v>16</v>
      </c>
      <c r="I874" s="13" t="n">
        <f aca="false">IFERROR(INDEX('Semrush Data'!$A$1:$Z$20000,MATCH(A874,'Semrush Data'!$A$1:$A$20000,0),MATCH("CPC*",'Semrush Data'!$A$1:$Z$1,0)),"")</f>
        <v>0</v>
      </c>
      <c r="J874" s="7" t="str">
        <f aca="false">IFERROR(INDEX('Semrush Data'!$A$1:$Z$20000,MATCH(A874,'Semrush Data'!$A$1:$A$20000,0),MATCH("Intent",'Semrush Data'!$A$1:$Z$1,0)),"")</f>
        <v>Informational</v>
      </c>
    </row>
    <row r="875" customFormat="false" ht="15" hidden="false" customHeight="true" outlineLevel="0" collapsed="false">
      <c r="A875" s="7" t="s">
        <v>3254</v>
      </c>
      <c r="B875" s="7" t="s">
        <v>6814</v>
      </c>
      <c r="C875" s="7" t="n">
        <v>2</v>
      </c>
      <c r="D875" s="7" t="n">
        <v>9</v>
      </c>
      <c r="E875" s="7" t="n">
        <v>1</v>
      </c>
      <c r="F875" s="7" t="s">
        <v>3250</v>
      </c>
      <c r="G875" s="12" t="n">
        <f aca="false">IFERROR(INDEX('Semrush Data'!$A$1:$Z$20000,MATCH(A875,'Semrush Data'!$A$1:$A$20000,0),MATCH("Volume",'Semrush Data'!$A$1:$Z$1,0)),"")</f>
        <v>0</v>
      </c>
      <c r="H875" s="7" t="n">
        <f aca="false">IFERROR(INDEX('Semrush Data'!$A$1:$Z$20000,MATCH(A875,'Semrush Data'!$A$1:$A$20000,0),MATCH("Keyword Difficulty*",'Semrush Data'!$A$1:$Z$1,0)),"")</f>
        <v>16</v>
      </c>
      <c r="I875" s="13" t="n">
        <f aca="false">IFERROR(INDEX('Semrush Data'!$A$1:$Z$20000,MATCH(A875,'Semrush Data'!$A$1:$A$20000,0),MATCH("CPC*",'Semrush Data'!$A$1:$Z$1,0)),"")</f>
        <v>0</v>
      </c>
      <c r="J875" s="7" t="str">
        <f aca="false">IFERROR(INDEX('Semrush Data'!$A$1:$Z$20000,MATCH(A875,'Semrush Data'!$A$1:$A$20000,0),MATCH("Intent",'Semrush Data'!$A$1:$Z$1,0)),"")</f>
        <v>Informational Transactional</v>
      </c>
    </row>
    <row r="876" customFormat="false" ht="15" hidden="false" customHeight="true" outlineLevel="0" collapsed="false">
      <c r="A876" s="7" t="s">
        <v>3263</v>
      </c>
      <c r="B876" s="7" t="s">
        <v>6814</v>
      </c>
      <c r="C876" s="7" t="n">
        <v>2</v>
      </c>
      <c r="D876" s="7" t="n">
        <v>9</v>
      </c>
      <c r="E876" s="7" t="n">
        <v>1</v>
      </c>
      <c r="F876" s="7" t="s">
        <v>128</v>
      </c>
      <c r="G876" s="12" t="n">
        <f aca="false">IFERROR(INDEX('Semrush Data'!$A$1:$Z$20000,MATCH(A876,'Semrush Data'!$A$1:$A$20000,0),MATCH("Volume",'Semrush Data'!$A$1:$Z$1,0)),"")</f>
        <v>0</v>
      </c>
      <c r="H876" s="7" t="n">
        <f aca="false">IFERROR(INDEX('Semrush Data'!$A$1:$Z$20000,MATCH(A876,'Semrush Data'!$A$1:$A$20000,0),MATCH("Keyword Difficulty*",'Semrush Data'!$A$1:$Z$1,0)),"")</f>
        <v>17</v>
      </c>
      <c r="I876" s="13" t="n">
        <f aca="false">IFERROR(INDEX('Semrush Data'!$A$1:$Z$20000,MATCH(A876,'Semrush Data'!$A$1:$A$20000,0),MATCH("CPC*",'Semrush Data'!$A$1:$Z$1,0)),"")</f>
        <v>0</v>
      </c>
      <c r="J876" s="7" t="str">
        <f aca="false">IFERROR(INDEX('Semrush Data'!$A$1:$Z$20000,MATCH(A876,'Semrush Data'!$A$1:$A$20000,0),MATCH("Intent",'Semrush Data'!$A$1:$Z$1,0)),"")</f>
        <v>Informational</v>
      </c>
    </row>
    <row r="877" customFormat="false" ht="15" hidden="false" customHeight="true" outlineLevel="0" collapsed="false">
      <c r="A877" s="7" t="s">
        <v>3214</v>
      </c>
      <c r="B877" s="7" t="s">
        <v>6814</v>
      </c>
      <c r="C877" s="7" t="n">
        <v>2</v>
      </c>
      <c r="D877" s="7" t="n">
        <v>9</v>
      </c>
      <c r="E877" s="7" t="n">
        <v>1</v>
      </c>
      <c r="F877" s="7" t="s">
        <v>3210</v>
      </c>
      <c r="G877" s="12" t="n">
        <f aca="false">IFERROR(INDEX('Semrush Data'!$A$1:$Z$20000,MATCH(A877,'Semrush Data'!$A$1:$A$20000,0),MATCH("Volume",'Semrush Data'!$A$1:$Z$1,0)),"")</f>
        <v>0</v>
      </c>
      <c r="H877" s="7" t="n">
        <f aca="false">IFERROR(INDEX('Semrush Data'!$A$1:$Z$20000,MATCH(A877,'Semrush Data'!$A$1:$A$20000,0),MATCH("Keyword Difficulty*",'Semrush Data'!$A$1:$Z$1,0)),"")</f>
        <v>9</v>
      </c>
      <c r="I877" s="13" t="n">
        <f aca="false">IFERROR(INDEX('Semrush Data'!$A$1:$Z$20000,MATCH(A877,'Semrush Data'!$A$1:$A$20000,0),MATCH("CPC*",'Semrush Data'!$A$1:$Z$1,0)),"")</f>
        <v>0</v>
      </c>
      <c r="J877" s="7" t="str">
        <f aca="false">IFERROR(INDEX('Semrush Data'!$A$1:$Z$20000,MATCH(A877,'Semrush Data'!$A$1:$A$20000,0),MATCH("Intent",'Semrush Data'!$A$1:$Z$1,0)),"")</f>
        <v>Informational</v>
      </c>
    </row>
    <row r="878" customFormat="false" ht="15" hidden="false" customHeight="true" outlineLevel="0" collapsed="false">
      <c r="A878" s="7" t="s">
        <v>3224</v>
      </c>
      <c r="B878" s="7" t="s">
        <v>6814</v>
      </c>
      <c r="C878" s="7" t="n">
        <v>2</v>
      </c>
      <c r="D878" s="7" t="n">
        <v>9</v>
      </c>
      <c r="E878" s="7" t="n">
        <v>2</v>
      </c>
      <c r="F878" s="7" t="s">
        <v>6795</v>
      </c>
      <c r="G878" s="12" t="n">
        <f aca="false">IFERROR(INDEX('Semrush Data'!$A$1:$Z$20000,MATCH(A878,'Semrush Data'!$A$1:$A$20000,0),MATCH("Volume",'Semrush Data'!$A$1:$Z$1,0)),"")</f>
        <v>0</v>
      </c>
      <c r="H878" s="7" t="n">
        <f aca="false">IFERROR(INDEX('Semrush Data'!$A$1:$Z$20000,MATCH(A878,'Semrush Data'!$A$1:$A$20000,0),MATCH("Keyword Difficulty*",'Semrush Data'!$A$1:$Z$1,0)),"")</f>
        <v>16</v>
      </c>
      <c r="I878" s="13" t="n">
        <f aca="false">IFERROR(INDEX('Semrush Data'!$A$1:$Z$20000,MATCH(A878,'Semrush Data'!$A$1:$A$20000,0),MATCH("CPC*",'Semrush Data'!$A$1:$Z$1,0)),"")</f>
        <v>0</v>
      </c>
      <c r="J878" s="7" t="str">
        <f aca="false">IFERROR(INDEX('Semrush Data'!$A$1:$Z$20000,MATCH(A878,'Semrush Data'!$A$1:$A$20000,0),MATCH("Intent",'Semrush Data'!$A$1:$Z$1,0)),"")</f>
        <v>Informational Transactional</v>
      </c>
    </row>
    <row r="879" customFormat="false" ht="15" hidden="false" customHeight="true" outlineLevel="0" collapsed="false">
      <c r="A879" s="7" t="s">
        <v>3237</v>
      </c>
      <c r="B879" s="7" t="s">
        <v>6814</v>
      </c>
      <c r="C879" s="7" t="n">
        <v>2</v>
      </c>
      <c r="D879" s="7" t="n">
        <v>9</v>
      </c>
      <c r="E879" s="7" t="n">
        <v>2</v>
      </c>
      <c r="F879" s="7" t="s">
        <v>6796</v>
      </c>
      <c r="G879" s="12" t="n">
        <f aca="false">IFERROR(INDEX('Semrush Data'!$A$1:$Z$20000,MATCH(A879,'Semrush Data'!$A$1:$A$20000,0),MATCH("Volume",'Semrush Data'!$A$1:$Z$1,0)),"")</f>
        <v>0</v>
      </c>
      <c r="H879" s="7" t="n">
        <f aca="false">IFERROR(INDEX('Semrush Data'!$A$1:$Z$20000,MATCH(A879,'Semrush Data'!$A$1:$A$20000,0),MATCH("Keyword Difficulty*",'Semrush Data'!$A$1:$Z$1,0)),"")</f>
        <v>16</v>
      </c>
      <c r="I879" s="13" t="n">
        <f aca="false">IFERROR(INDEX('Semrush Data'!$A$1:$Z$20000,MATCH(A879,'Semrush Data'!$A$1:$A$20000,0),MATCH("CPC*",'Semrush Data'!$A$1:$Z$1,0)),"")</f>
        <v>0</v>
      </c>
      <c r="J879" s="7" t="str">
        <f aca="false">IFERROR(INDEX('Semrush Data'!$A$1:$Z$20000,MATCH(A879,'Semrush Data'!$A$1:$A$20000,0),MATCH("Intent",'Semrush Data'!$A$1:$Z$1,0)),"")</f>
        <v>Informational</v>
      </c>
    </row>
    <row r="880" customFormat="false" ht="15" hidden="false" customHeight="true" outlineLevel="0" collapsed="false">
      <c r="A880" s="7" t="s">
        <v>3272</v>
      </c>
      <c r="B880" s="7" t="s">
        <v>6814</v>
      </c>
      <c r="C880" s="7" t="n">
        <v>2</v>
      </c>
      <c r="D880" s="7" t="n">
        <v>9</v>
      </c>
      <c r="E880" s="7" t="n">
        <v>1</v>
      </c>
      <c r="F880" s="7" t="s">
        <v>144</v>
      </c>
      <c r="G880" s="12" t="n">
        <f aca="false">IFERROR(INDEX('Semrush Data'!$A$1:$Z$20000,MATCH(A880,'Semrush Data'!$A$1:$A$20000,0),MATCH("Volume",'Semrush Data'!$A$1:$Z$1,0)),"")</f>
        <v>0</v>
      </c>
      <c r="H880" s="7" t="n">
        <f aca="false">IFERROR(INDEX('Semrush Data'!$A$1:$Z$20000,MATCH(A880,'Semrush Data'!$A$1:$A$20000,0),MATCH("Keyword Difficulty*",'Semrush Data'!$A$1:$Z$1,0)),"")</f>
        <v>9</v>
      </c>
      <c r="I880" s="13" t="n">
        <f aca="false">IFERROR(INDEX('Semrush Data'!$A$1:$Z$20000,MATCH(A880,'Semrush Data'!$A$1:$A$20000,0),MATCH("CPC*",'Semrush Data'!$A$1:$Z$1,0)),"")</f>
        <v>0</v>
      </c>
      <c r="J880" s="7" t="str">
        <f aca="false">IFERROR(INDEX('Semrush Data'!$A$1:$Z$20000,MATCH(A880,'Semrush Data'!$A$1:$A$20000,0),MATCH("Intent",'Semrush Data'!$A$1:$Z$1,0)),"")</f>
        <v>Informational Transactional</v>
      </c>
    </row>
    <row r="881" customFormat="false" ht="15" hidden="false" customHeight="true" outlineLevel="0" collapsed="false">
      <c r="A881" s="7" t="s">
        <v>5943</v>
      </c>
      <c r="B881" s="7" t="s">
        <v>6814</v>
      </c>
      <c r="C881" s="7" t="n">
        <v>2</v>
      </c>
      <c r="D881" s="7" t="n">
        <v>9</v>
      </c>
      <c r="E881" s="7" t="n">
        <v>1</v>
      </c>
      <c r="F881" s="7" t="s">
        <v>5940</v>
      </c>
      <c r="G881" s="12" t="n">
        <f aca="false">IFERROR(INDEX('Semrush Data'!$A$1:$Z$20000,MATCH(A881,'Semrush Data'!$A$1:$A$20000,0),MATCH("Volume",'Semrush Data'!$A$1:$Z$1,0)),"")</f>
        <v>0</v>
      </c>
      <c r="H881" s="7" t="n">
        <f aca="false">IFERROR(INDEX('Semrush Data'!$A$1:$Z$20000,MATCH(A881,'Semrush Data'!$A$1:$A$20000,0),MATCH("Keyword Difficulty*",'Semrush Data'!$A$1:$Z$1,0)),"")</f>
        <v>14</v>
      </c>
      <c r="I881" s="13" t="n">
        <f aca="false">IFERROR(INDEX('Semrush Data'!$A$1:$Z$20000,MATCH(A881,'Semrush Data'!$A$1:$A$20000,0),MATCH("CPC*",'Semrush Data'!$A$1:$Z$1,0)),"")</f>
        <v>0</v>
      </c>
      <c r="J881" s="7" t="str">
        <f aca="false">IFERROR(INDEX('Semrush Data'!$A$1:$Z$20000,MATCH(A881,'Semrush Data'!$A$1:$A$20000,0),MATCH("Intent",'Semrush Data'!$A$1:$Z$1,0)),"")</f>
        <v>Informational</v>
      </c>
    </row>
    <row r="882" customFormat="false" ht="15" hidden="false" customHeight="true" outlineLevel="0" collapsed="false">
      <c r="A882" s="7" t="s">
        <v>3338</v>
      </c>
      <c r="B882" s="7" t="s">
        <v>6814</v>
      </c>
      <c r="C882" s="7" t="n">
        <v>2</v>
      </c>
      <c r="D882" s="7" t="n">
        <v>9</v>
      </c>
      <c r="E882" s="7" t="n">
        <v>1</v>
      </c>
      <c r="F882" s="7" t="s">
        <v>3335</v>
      </c>
      <c r="G882" s="12" t="n">
        <f aca="false">IFERROR(INDEX('Semrush Data'!$A$1:$Z$20000,MATCH(A882,'Semrush Data'!$A$1:$A$20000,0),MATCH("Volume",'Semrush Data'!$A$1:$Z$1,0)),"")</f>
        <v>0</v>
      </c>
      <c r="H882" s="7" t="n">
        <f aca="false">IFERROR(INDEX('Semrush Data'!$A$1:$Z$20000,MATCH(A882,'Semrush Data'!$A$1:$A$20000,0),MATCH("Keyword Difficulty*",'Semrush Data'!$A$1:$Z$1,0)),"")</f>
        <v>17</v>
      </c>
      <c r="I882" s="13" t="n">
        <f aca="false">IFERROR(INDEX('Semrush Data'!$A$1:$Z$20000,MATCH(A882,'Semrush Data'!$A$1:$A$20000,0),MATCH("CPC*",'Semrush Data'!$A$1:$Z$1,0)),"")</f>
        <v>0</v>
      </c>
      <c r="J882" s="7" t="str">
        <f aca="false">IFERROR(INDEX('Semrush Data'!$A$1:$Z$20000,MATCH(A882,'Semrush Data'!$A$1:$A$20000,0),MATCH("Intent",'Semrush Data'!$A$1:$Z$1,0)),"")</f>
        <v>Informational</v>
      </c>
    </row>
    <row r="883" customFormat="false" ht="15" hidden="false" customHeight="true" outlineLevel="0" collapsed="false">
      <c r="A883" s="7" t="s">
        <v>3349</v>
      </c>
      <c r="B883" s="7" t="s">
        <v>6814</v>
      </c>
      <c r="C883" s="7" t="n">
        <v>2</v>
      </c>
      <c r="D883" s="7" t="n">
        <v>9</v>
      </c>
      <c r="E883" s="7" t="n">
        <v>1</v>
      </c>
      <c r="F883" s="7" t="s">
        <v>3346</v>
      </c>
      <c r="G883" s="12" t="n">
        <f aca="false">IFERROR(INDEX('Semrush Data'!$A$1:$Z$20000,MATCH(A883,'Semrush Data'!$A$1:$A$20000,0),MATCH("Volume",'Semrush Data'!$A$1:$Z$1,0)),"")</f>
        <v>0</v>
      </c>
      <c r="H883" s="7" t="n">
        <f aca="false">IFERROR(INDEX('Semrush Data'!$A$1:$Z$20000,MATCH(A883,'Semrush Data'!$A$1:$A$20000,0),MATCH("Keyword Difficulty*",'Semrush Data'!$A$1:$Z$1,0)),"")</f>
        <v>18</v>
      </c>
      <c r="I883" s="13" t="n">
        <f aca="false">IFERROR(INDEX('Semrush Data'!$A$1:$Z$20000,MATCH(A883,'Semrush Data'!$A$1:$A$20000,0),MATCH("CPC*",'Semrush Data'!$A$1:$Z$1,0)),"")</f>
        <v>0</v>
      </c>
      <c r="J883" s="7" t="str">
        <f aca="false">IFERROR(INDEX('Semrush Data'!$A$1:$Z$20000,MATCH(A883,'Semrush Data'!$A$1:$A$20000,0),MATCH("Intent",'Semrush Data'!$A$1:$Z$1,0)),"")</f>
        <v>Informational Transactional</v>
      </c>
    </row>
    <row r="884" customFormat="false" ht="15" hidden="false" customHeight="true" outlineLevel="0" collapsed="false">
      <c r="A884" s="7" t="s">
        <v>3328</v>
      </c>
      <c r="B884" s="7" t="s">
        <v>6814</v>
      </c>
      <c r="C884" s="7" t="n">
        <v>2</v>
      </c>
      <c r="D884" s="7" t="n">
        <v>9</v>
      </c>
      <c r="E884" s="7" t="n">
        <v>1</v>
      </c>
      <c r="F884" s="7" t="s">
        <v>3325</v>
      </c>
      <c r="G884" s="12" t="n">
        <f aca="false">IFERROR(INDEX('Semrush Data'!$A$1:$Z$20000,MATCH(A884,'Semrush Data'!$A$1:$A$20000,0),MATCH("Volume",'Semrush Data'!$A$1:$Z$1,0)),"")</f>
        <v>0</v>
      </c>
      <c r="H884" s="7" t="n">
        <f aca="false">IFERROR(INDEX('Semrush Data'!$A$1:$Z$20000,MATCH(A884,'Semrush Data'!$A$1:$A$20000,0),MATCH("Keyword Difficulty*",'Semrush Data'!$A$1:$Z$1,0)),"")</f>
        <v>9</v>
      </c>
      <c r="I884" s="13" t="n">
        <f aca="false">IFERROR(INDEX('Semrush Data'!$A$1:$Z$20000,MATCH(A884,'Semrush Data'!$A$1:$A$20000,0),MATCH("CPC*",'Semrush Data'!$A$1:$Z$1,0)),"")</f>
        <v>0</v>
      </c>
      <c r="J884" s="7" t="str">
        <f aca="false">IFERROR(INDEX('Semrush Data'!$A$1:$Z$20000,MATCH(A884,'Semrush Data'!$A$1:$A$20000,0),MATCH("Intent",'Semrush Data'!$A$1:$Z$1,0)),"")</f>
        <v>Commercial</v>
      </c>
    </row>
    <row r="885" customFormat="false" ht="15" hidden="false" customHeight="true" outlineLevel="0" collapsed="false">
      <c r="A885" s="7" t="s">
        <v>3295</v>
      </c>
      <c r="B885" s="7" t="s">
        <v>6814</v>
      </c>
      <c r="C885" s="7" t="n">
        <v>2</v>
      </c>
      <c r="D885" s="7" t="n">
        <v>9</v>
      </c>
      <c r="E885" s="7" t="n">
        <v>1</v>
      </c>
      <c r="F885" s="7" t="s">
        <v>3292</v>
      </c>
      <c r="G885" s="12" t="n">
        <f aca="false">IFERROR(INDEX('Semrush Data'!$A$1:$Z$20000,MATCH(A885,'Semrush Data'!$A$1:$A$20000,0),MATCH("Volume",'Semrush Data'!$A$1:$Z$1,0)),"")</f>
        <v>0</v>
      </c>
      <c r="H885" s="7" t="n">
        <f aca="false">IFERROR(INDEX('Semrush Data'!$A$1:$Z$20000,MATCH(A885,'Semrush Data'!$A$1:$A$20000,0),MATCH("Keyword Difficulty*",'Semrush Data'!$A$1:$Z$1,0)),"")</f>
        <v>22</v>
      </c>
      <c r="I885" s="13" t="n">
        <f aca="false">IFERROR(INDEX('Semrush Data'!$A$1:$Z$20000,MATCH(A885,'Semrush Data'!$A$1:$A$20000,0),MATCH("CPC*",'Semrush Data'!$A$1:$Z$1,0)),"")</f>
        <v>0</v>
      </c>
      <c r="J885" s="7" t="str">
        <f aca="false">IFERROR(INDEX('Semrush Data'!$A$1:$Z$20000,MATCH(A885,'Semrush Data'!$A$1:$A$20000,0),MATCH("Intent",'Semrush Data'!$A$1:$Z$1,0)),"")</f>
        <v>Informational</v>
      </c>
    </row>
    <row r="886" customFormat="false" ht="15" hidden="false" customHeight="true" outlineLevel="0" collapsed="false">
      <c r="A886" s="7" t="s">
        <v>3306</v>
      </c>
      <c r="B886" s="7" t="s">
        <v>6814</v>
      </c>
      <c r="C886" s="7" t="n">
        <v>2</v>
      </c>
      <c r="D886" s="7" t="n">
        <v>9</v>
      </c>
      <c r="E886" s="7" t="n">
        <v>1</v>
      </c>
      <c r="F886" s="7" t="s">
        <v>3303</v>
      </c>
      <c r="G886" s="12" t="n">
        <f aca="false">IFERROR(INDEX('Semrush Data'!$A$1:$Z$20000,MATCH(A886,'Semrush Data'!$A$1:$A$20000,0),MATCH("Volume",'Semrush Data'!$A$1:$Z$1,0)),"")</f>
        <v>0</v>
      </c>
      <c r="H886" s="7" t="n">
        <f aca="false">IFERROR(INDEX('Semrush Data'!$A$1:$Z$20000,MATCH(A886,'Semrush Data'!$A$1:$A$20000,0),MATCH("Keyword Difficulty*",'Semrush Data'!$A$1:$Z$1,0)),"")</f>
        <v>15</v>
      </c>
      <c r="I886" s="13" t="n">
        <f aca="false">IFERROR(INDEX('Semrush Data'!$A$1:$Z$20000,MATCH(A886,'Semrush Data'!$A$1:$A$20000,0),MATCH("CPC*",'Semrush Data'!$A$1:$Z$1,0)),"")</f>
        <v>0</v>
      </c>
      <c r="J886" s="7" t="str">
        <f aca="false">IFERROR(INDEX('Semrush Data'!$A$1:$Z$20000,MATCH(A886,'Semrush Data'!$A$1:$A$20000,0),MATCH("Intent",'Semrush Data'!$A$1:$Z$1,0)),"")</f>
        <v>Commercial</v>
      </c>
    </row>
    <row r="887" customFormat="false" ht="15" hidden="false" customHeight="true" outlineLevel="0" collapsed="false">
      <c r="A887" s="7" t="s">
        <v>3283</v>
      </c>
      <c r="B887" s="7" t="s">
        <v>6814</v>
      </c>
      <c r="C887" s="7" t="n">
        <v>2</v>
      </c>
      <c r="D887" s="7" t="n">
        <v>9</v>
      </c>
      <c r="E887" s="7" t="n">
        <v>1</v>
      </c>
      <c r="F887" s="7" t="s">
        <v>68</v>
      </c>
      <c r="G887" s="12" t="n">
        <f aca="false">IFERROR(INDEX('Semrush Data'!$A$1:$Z$20000,MATCH(A887,'Semrush Data'!$A$1:$A$20000,0),MATCH("Volume",'Semrush Data'!$A$1:$Z$1,0)),"")</f>
        <v>20</v>
      </c>
      <c r="H887" s="7" t="n">
        <f aca="false">IFERROR(INDEX('Semrush Data'!$A$1:$Z$20000,MATCH(A887,'Semrush Data'!$A$1:$A$20000,0),MATCH("Keyword Difficulty*",'Semrush Data'!$A$1:$Z$1,0)),"")</f>
        <v>18</v>
      </c>
      <c r="I887" s="13" t="n">
        <f aca="false">IFERROR(INDEX('Semrush Data'!$A$1:$Z$20000,MATCH(A887,'Semrush Data'!$A$1:$A$20000,0),MATCH("CPC*",'Semrush Data'!$A$1:$Z$1,0)),"")</f>
        <v>0.45</v>
      </c>
      <c r="J887" s="7" t="str">
        <f aca="false">IFERROR(INDEX('Semrush Data'!$A$1:$Z$20000,MATCH(A887,'Semrush Data'!$A$1:$A$20000,0),MATCH("Intent",'Semrush Data'!$A$1:$Z$1,0)),"")</f>
        <v>Informational</v>
      </c>
    </row>
    <row r="888" customFormat="false" ht="15" hidden="false" customHeight="true" outlineLevel="0" collapsed="false">
      <c r="A888" s="7" t="s">
        <v>3317</v>
      </c>
      <c r="B888" s="7" t="s">
        <v>6814</v>
      </c>
      <c r="C888" s="7" t="n">
        <v>2</v>
      </c>
      <c r="D888" s="7" t="n">
        <v>9</v>
      </c>
      <c r="E888" s="7" t="n">
        <v>1</v>
      </c>
      <c r="F888" s="7" t="s">
        <v>3314</v>
      </c>
      <c r="G888" s="12" t="n">
        <f aca="false">IFERROR(INDEX('Semrush Data'!$A$1:$Z$20000,MATCH(A888,'Semrush Data'!$A$1:$A$20000,0),MATCH("Volume",'Semrush Data'!$A$1:$Z$1,0)),"")</f>
        <v>0</v>
      </c>
      <c r="H888" s="7" t="n">
        <f aca="false">IFERROR(INDEX('Semrush Data'!$A$1:$Z$20000,MATCH(A888,'Semrush Data'!$A$1:$A$20000,0),MATCH("Keyword Difficulty*",'Semrush Data'!$A$1:$Z$1,0)),"")</f>
        <v>9</v>
      </c>
      <c r="I888" s="13" t="n">
        <f aca="false">IFERROR(INDEX('Semrush Data'!$A$1:$Z$20000,MATCH(A888,'Semrush Data'!$A$1:$A$20000,0),MATCH("CPC*",'Semrush Data'!$A$1:$Z$1,0)),"")</f>
        <v>0</v>
      </c>
      <c r="J888" s="7" t="str">
        <f aca="false">IFERROR(INDEX('Semrush Data'!$A$1:$Z$20000,MATCH(A888,'Semrush Data'!$A$1:$A$20000,0),MATCH("Intent",'Semrush Data'!$A$1:$Z$1,0)),"")</f>
        <v>Navigational</v>
      </c>
    </row>
    <row r="889" customFormat="false" ht="15" hidden="false" customHeight="true" outlineLevel="0" collapsed="false">
      <c r="A889" s="7" t="s">
        <v>3360</v>
      </c>
      <c r="B889" s="7" t="s">
        <v>6814</v>
      </c>
      <c r="C889" s="7" t="n">
        <v>2</v>
      </c>
      <c r="D889" s="7" t="n">
        <v>9</v>
      </c>
      <c r="E889" s="7" t="n">
        <v>1</v>
      </c>
      <c r="F889" s="7" t="s">
        <v>3356</v>
      </c>
      <c r="G889" s="12" t="n">
        <f aca="false">IFERROR(INDEX('Semrush Data'!$A$1:$Z$20000,MATCH(A889,'Semrush Data'!$A$1:$A$20000,0),MATCH("Volume",'Semrush Data'!$A$1:$Z$1,0)),"")</f>
        <v>0</v>
      </c>
      <c r="H889" s="7" t="n">
        <f aca="false">IFERROR(INDEX('Semrush Data'!$A$1:$Z$20000,MATCH(A889,'Semrush Data'!$A$1:$A$20000,0),MATCH("Keyword Difficulty*",'Semrush Data'!$A$1:$Z$1,0)),"")</f>
        <v>23</v>
      </c>
      <c r="I889" s="13" t="n">
        <f aca="false">IFERROR(INDEX('Semrush Data'!$A$1:$Z$20000,MATCH(A889,'Semrush Data'!$A$1:$A$20000,0),MATCH("CPC*",'Semrush Data'!$A$1:$Z$1,0)),"")</f>
        <v>0</v>
      </c>
      <c r="J889" s="7" t="str">
        <f aca="false">IFERROR(INDEX('Semrush Data'!$A$1:$Z$20000,MATCH(A889,'Semrush Data'!$A$1:$A$20000,0),MATCH("Intent",'Semrush Data'!$A$1:$Z$1,0)),"")</f>
        <v>Informational</v>
      </c>
    </row>
    <row r="890" customFormat="false" ht="15" hidden="false" customHeight="true" outlineLevel="0" collapsed="false">
      <c r="A890" s="7" t="s">
        <v>3372</v>
      </c>
      <c r="B890" s="7" t="s">
        <v>6814</v>
      </c>
      <c r="C890" s="7" t="n">
        <v>2</v>
      </c>
      <c r="D890" s="7" t="n">
        <v>9</v>
      </c>
      <c r="E890" s="7" t="n">
        <v>1</v>
      </c>
      <c r="F890" s="7" t="s">
        <v>3369</v>
      </c>
      <c r="G890" s="12" t="n">
        <f aca="false">IFERROR(INDEX('Semrush Data'!$A$1:$Z$20000,MATCH(A890,'Semrush Data'!$A$1:$A$20000,0),MATCH("Volume",'Semrush Data'!$A$1:$Z$1,0)),"")</f>
        <v>0</v>
      </c>
      <c r="H890" s="7" t="n">
        <f aca="false">IFERROR(INDEX('Semrush Data'!$A$1:$Z$20000,MATCH(A890,'Semrush Data'!$A$1:$A$20000,0),MATCH("Keyword Difficulty*",'Semrush Data'!$A$1:$Z$1,0)),"")</f>
        <v>22</v>
      </c>
      <c r="I890" s="13" t="n">
        <f aca="false">IFERROR(INDEX('Semrush Data'!$A$1:$Z$20000,MATCH(A890,'Semrush Data'!$A$1:$A$20000,0),MATCH("CPC*",'Semrush Data'!$A$1:$Z$1,0)),"")</f>
        <v>0</v>
      </c>
      <c r="J890" s="7" t="str">
        <f aca="false">IFERROR(INDEX('Semrush Data'!$A$1:$Z$20000,MATCH(A890,'Semrush Data'!$A$1:$A$20000,0),MATCH("Intent",'Semrush Data'!$A$1:$Z$1,0)),"")</f>
        <v>Informational</v>
      </c>
    </row>
    <row r="891" customFormat="false" ht="15" hidden="false" customHeight="true" outlineLevel="0" collapsed="false">
      <c r="A891" s="7" t="s">
        <v>3405</v>
      </c>
      <c r="B891" s="7" t="s">
        <v>6814</v>
      </c>
      <c r="C891" s="7" t="n">
        <v>2</v>
      </c>
      <c r="D891" s="7" t="n">
        <v>9</v>
      </c>
      <c r="E891" s="7" t="n">
        <v>1</v>
      </c>
      <c r="F891" s="7" t="s">
        <v>3402</v>
      </c>
      <c r="G891" s="12" t="n">
        <f aca="false">IFERROR(INDEX('Semrush Data'!$A$1:$Z$20000,MATCH(A891,'Semrush Data'!$A$1:$A$20000,0),MATCH("Volume",'Semrush Data'!$A$1:$Z$1,0)),"")</f>
        <v>0</v>
      </c>
      <c r="H891" s="7" t="n">
        <f aca="false">IFERROR(INDEX('Semrush Data'!$A$1:$Z$20000,MATCH(A891,'Semrush Data'!$A$1:$A$20000,0),MATCH("Keyword Difficulty*",'Semrush Data'!$A$1:$Z$1,0)),"")</f>
        <v>15</v>
      </c>
      <c r="I891" s="13" t="n">
        <f aca="false">IFERROR(INDEX('Semrush Data'!$A$1:$Z$20000,MATCH(A891,'Semrush Data'!$A$1:$A$20000,0),MATCH("CPC*",'Semrush Data'!$A$1:$Z$1,0)),"")</f>
        <v>0</v>
      </c>
      <c r="J891" s="7" t="str">
        <f aca="false">IFERROR(INDEX('Semrush Data'!$A$1:$Z$20000,MATCH(A891,'Semrush Data'!$A$1:$A$20000,0),MATCH("Intent",'Semrush Data'!$A$1:$Z$1,0)),"")</f>
        <v>Informational</v>
      </c>
    </row>
    <row r="892" customFormat="false" ht="15" hidden="false" customHeight="true" outlineLevel="0" collapsed="false">
      <c r="A892" s="7" t="s">
        <v>3383</v>
      </c>
      <c r="B892" s="7" t="s">
        <v>6814</v>
      </c>
      <c r="C892" s="7" t="n">
        <v>2</v>
      </c>
      <c r="D892" s="7" t="n">
        <v>9</v>
      </c>
      <c r="E892" s="7" t="n">
        <v>1</v>
      </c>
      <c r="F892" s="7" t="s">
        <v>3380</v>
      </c>
      <c r="G892" s="12" t="n">
        <f aca="false">IFERROR(INDEX('Semrush Data'!$A$1:$Z$20000,MATCH(A892,'Semrush Data'!$A$1:$A$20000,0),MATCH("Volume",'Semrush Data'!$A$1:$Z$1,0)),"")</f>
        <v>0</v>
      </c>
      <c r="H892" s="7" t="n">
        <f aca="false">IFERROR(INDEX('Semrush Data'!$A$1:$Z$20000,MATCH(A892,'Semrush Data'!$A$1:$A$20000,0),MATCH("Keyword Difficulty*",'Semrush Data'!$A$1:$Z$1,0)),"")</f>
        <v>15</v>
      </c>
      <c r="I892" s="13" t="n">
        <f aca="false">IFERROR(INDEX('Semrush Data'!$A$1:$Z$20000,MATCH(A892,'Semrush Data'!$A$1:$A$20000,0),MATCH("CPC*",'Semrush Data'!$A$1:$Z$1,0)),"")</f>
        <v>0</v>
      </c>
      <c r="J892" s="7" t="str">
        <f aca="false">IFERROR(INDEX('Semrush Data'!$A$1:$Z$20000,MATCH(A892,'Semrush Data'!$A$1:$A$20000,0),MATCH("Intent",'Semrush Data'!$A$1:$Z$1,0)),"")</f>
        <v>Navigational</v>
      </c>
    </row>
    <row r="893" customFormat="false" ht="15" hidden="false" customHeight="true" outlineLevel="0" collapsed="false">
      <c r="A893" s="7" t="s">
        <v>3393</v>
      </c>
      <c r="B893" s="7" t="s">
        <v>6814</v>
      </c>
      <c r="C893" s="7" t="n">
        <v>2</v>
      </c>
      <c r="D893" s="7" t="n">
        <v>9</v>
      </c>
      <c r="E893" s="7" t="n">
        <v>1</v>
      </c>
      <c r="F893" s="7" t="s">
        <v>108</v>
      </c>
      <c r="G893" s="12" t="n">
        <f aca="false">IFERROR(INDEX('Semrush Data'!$A$1:$Z$20000,MATCH(A893,'Semrush Data'!$A$1:$A$20000,0),MATCH("Volume",'Semrush Data'!$A$1:$Z$1,0)),"")</f>
        <v>20</v>
      </c>
      <c r="H893" s="7" t="n">
        <f aca="false">IFERROR(INDEX('Semrush Data'!$A$1:$Z$20000,MATCH(A893,'Semrush Data'!$A$1:$A$20000,0),MATCH("Keyword Difficulty*",'Semrush Data'!$A$1:$Z$1,0)),"")</f>
        <v>13</v>
      </c>
      <c r="I893" s="13" t="n">
        <f aca="false">IFERROR(INDEX('Semrush Data'!$A$1:$Z$20000,MATCH(A893,'Semrush Data'!$A$1:$A$20000,0),MATCH("CPC*",'Semrush Data'!$A$1:$Z$1,0)),"")</f>
        <v>0</v>
      </c>
      <c r="J893" s="7" t="str">
        <f aca="false">IFERROR(INDEX('Semrush Data'!$A$1:$Z$20000,MATCH(A893,'Semrush Data'!$A$1:$A$20000,0),MATCH("Intent",'Semrush Data'!$A$1:$Z$1,0)),"")</f>
        <v>Navigational</v>
      </c>
    </row>
    <row r="894" customFormat="false" ht="15" hidden="false" customHeight="true" outlineLevel="0" collapsed="false">
      <c r="A894" s="7" t="s">
        <v>3426</v>
      </c>
      <c r="B894" s="7" t="s">
        <v>6814</v>
      </c>
      <c r="C894" s="7" t="n">
        <v>2</v>
      </c>
      <c r="D894" s="7" t="n">
        <v>9</v>
      </c>
      <c r="E894" s="7" t="n">
        <v>1</v>
      </c>
      <c r="F894" s="7" t="s">
        <v>3423</v>
      </c>
      <c r="G894" s="12" t="n">
        <f aca="false">IFERROR(INDEX('Semrush Data'!$A$1:$Z$20000,MATCH(A894,'Semrush Data'!$A$1:$A$20000,0),MATCH("Volume",'Semrush Data'!$A$1:$Z$1,0)),"")</f>
        <v>0</v>
      </c>
      <c r="H894" s="7" t="n">
        <f aca="false">IFERROR(INDEX('Semrush Data'!$A$1:$Z$20000,MATCH(A894,'Semrush Data'!$A$1:$A$20000,0),MATCH("Keyword Difficulty*",'Semrush Data'!$A$1:$Z$1,0)),"")</f>
        <v>13</v>
      </c>
      <c r="I894" s="13" t="n">
        <f aca="false">IFERROR(INDEX('Semrush Data'!$A$1:$Z$20000,MATCH(A894,'Semrush Data'!$A$1:$A$20000,0),MATCH("CPC*",'Semrush Data'!$A$1:$Z$1,0)),"")</f>
        <v>0</v>
      </c>
      <c r="J894" s="7" t="str">
        <f aca="false">IFERROR(INDEX('Semrush Data'!$A$1:$Z$20000,MATCH(A894,'Semrush Data'!$A$1:$A$20000,0),MATCH("Intent",'Semrush Data'!$A$1:$Z$1,0)),"")</f>
        <v>Informational</v>
      </c>
    </row>
    <row r="895" customFormat="false" ht="15" hidden="false" customHeight="true" outlineLevel="0" collapsed="false">
      <c r="A895" s="7" t="s">
        <v>3415</v>
      </c>
      <c r="B895" s="7" t="s">
        <v>6814</v>
      </c>
      <c r="C895" s="7" t="n">
        <v>2</v>
      </c>
      <c r="D895" s="7" t="n">
        <v>9</v>
      </c>
      <c r="E895" s="7" t="n">
        <v>1</v>
      </c>
      <c r="F895" s="7" t="s">
        <v>3411</v>
      </c>
      <c r="G895" s="12" t="n">
        <f aca="false">IFERROR(INDEX('Semrush Data'!$A$1:$Z$20000,MATCH(A895,'Semrush Data'!$A$1:$A$20000,0),MATCH("Volume",'Semrush Data'!$A$1:$Z$1,0)),"")</f>
        <v>0</v>
      </c>
      <c r="H895" s="7" t="n">
        <f aca="false">IFERROR(INDEX('Semrush Data'!$A$1:$Z$20000,MATCH(A895,'Semrush Data'!$A$1:$A$20000,0),MATCH("Keyword Difficulty*",'Semrush Data'!$A$1:$Z$1,0)),"")</f>
        <v>7</v>
      </c>
      <c r="I895" s="13" t="n">
        <f aca="false">IFERROR(INDEX('Semrush Data'!$A$1:$Z$20000,MATCH(A895,'Semrush Data'!$A$1:$A$20000,0),MATCH("CPC*",'Semrush Data'!$A$1:$Z$1,0)),"")</f>
        <v>0</v>
      </c>
      <c r="J895" s="7" t="str">
        <f aca="false">IFERROR(INDEX('Semrush Data'!$A$1:$Z$20000,MATCH(A895,'Semrush Data'!$A$1:$A$20000,0),MATCH("Intent",'Semrush Data'!$A$1:$Z$1,0)),"")</f>
        <v>Informational</v>
      </c>
    </row>
    <row r="896" customFormat="false" ht="15" hidden="false" customHeight="true" outlineLevel="0" collapsed="false">
      <c r="A896" s="7" t="s">
        <v>3447</v>
      </c>
      <c r="B896" s="7" t="s">
        <v>6814</v>
      </c>
      <c r="C896" s="7" t="n">
        <v>2</v>
      </c>
      <c r="D896" s="7" t="n">
        <v>9</v>
      </c>
      <c r="E896" s="7" t="n">
        <v>1</v>
      </c>
      <c r="F896" s="7" t="s">
        <v>118</v>
      </c>
      <c r="G896" s="12" t="n">
        <f aca="false">IFERROR(INDEX('Semrush Data'!$A$1:$Z$20000,MATCH(A896,'Semrush Data'!$A$1:$A$20000,0),MATCH("Volume",'Semrush Data'!$A$1:$Z$1,0)),"")</f>
        <v>10</v>
      </c>
      <c r="H896" s="7" t="n">
        <f aca="false">IFERROR(INDEX('Semrush Data'!$A$1:$Z$20000,MATCH(A896,'Semrush Data'!$A$1:$A$20000,0),MATCH("Keyword Difficulty*",'Semrush Data'!$A$1:$Z$1,0)),"")</f>
        <v>12</v>
      </c>
      <c r="I896" s="13" t="n">
        <f aca="false">IFERROR(INDEX('Semrush Data'!$A$1:$Z$20000,MATCH(A896,'Semrush Data'!$A$1:$A$20000,0),MATCH("CPC*",'Semrush Data'!$A$1:$Z$1,0)),"")</f>
        <v>0</v>
      </c>
      <c r="J896" s="7" t="str">
        <f aca="false">IFERROR(INDEX('Semrush Data'!$A$1:$Z$20000,MATCH(A896,'Semrush Data'!$A$1:$A$20000,0),MATCH("Intent",'Semrush Data'!$A$1:$Z$1,0)),"")</f>
        <v>Informational</v>
      </c>
    </row>
    <row r="897" customFormat="false" ht="15" hidden="false" customHeight="true" outlineLevel="0" collapsed="false">
      <c r="A897" s="7" t="s">
        <v>3437</v>
      </c>
      <c r="B897" s="7" t="s">
        <v>6814</v>
      </c>
      <c r="C897" s="7" t="n">
        <v>2</v>
      </c>
      <c r="D897" s="7" t="n">
        <v>9</v>
      </c>
      <c r="E897" s="7" t="n">
        <v>1</v>
      </c>
      <c r="F897" s="7" t="s">
        <v>3433</v>
      </c>
      <c r="G897" s="12" t="n">
        <f aca="false">IFERROR(INDEX('Semrush Data'!$A$1:$Z$20000,MATCH(A897,'Semrush Data'!$A$1:$A$20000,0),MATCH("Volume",'Semrush Data'!$A$1:$Z$1,0)),"")</f>
        <v>0</v>
      </c>
      <c r="H897" s="7" t="n">
        <f aca="false">IFERROR(INDEX('Semrush Data'!$A$1:$Z$20000,MATCH(A897,'Semrush Data'!$A$1:$A$20000,0),MATCH("Keyword Difficulty*",'Semrush Data'!$A$1:$Z$1,0)),"")</f>
        <v>22</v>
      </c>
      <c r="I897" s="13" t="n">
        <f aca="false">IFERROR(INDEX('Semrush Data'!$A$1:$Z$20000,MATCH(A897,'Semrush Data'!$A$1:$A$20000,0),MATCH("CPC*",'Semrush Data'!$A$1:$Z$1,0)),"")</f>
        <v>0</v>
      </c>
      <c r="J897" s="7" t="str">
        <f aca="false">IFERROR(INDEX('Semrush Data'!$A$1:$Z$20000,MATCH(A897,'Semrush Data'!$A$1:$A$20000,0),MATCH("Intent",'Semrush Data'!$A$1:$Z$1,0)),"")</f>
        <v>Informational Commercial</v>
      </c>
    </row>
    <row r="898" customFormat="false" ht="15" hidden="false" customHeight="true" outlineLevel="0" collapsed="false">
      <c r="A898" s="7" t="s">
        <v>3460</v>
      </c>
      <c r="B898" s="7" t="s">
        <v>6814</v>
      </c>
      <c r="C898" s="7" t="n">
        <v>2</v>
      </c>
      <c r="D898" s="7" t="n">
        <v>9</v>
      </c>
      <c r="E898" s="7" t="n">
        <v>1</v>
      </c>
      <c r="F898" s="7" t="s">
        <v>3456</v>
      </c>
      <c r="G898" s="12" t="n">
        <f aca="false">IFERROR(INDEX('Semrush Data'!$A$1:$Z$20000,MATCH(A898,'Semrush Data'!$A$1:$A$20000,0),MATCH("Volume",'Semrush Data'!$A$1:$Z$1,0)),"")</f>
        <v>20</v>
      </c>
      <c r="H898" s="7" t="n">
        <f aca="false">IFERROR(INDEX('Semrush Data'!$A$1:$Z$20000,MATCH(A898,'Semrush Data'!$A$1:$A$20000,0),MATCH("Keyword Difficulty*",'Semrush Data'!$A$1:$Z$1,0)),"")</f>
        <v>12</v>
      </c>
      <c r="I898" s="13" t="n">
        <f aca="false">IFERROR(INDEX('Semrush Data'!$A$1:$Z$20000,MATCH(A898,'Semrush Data'!$A$1:$A$20000,0),MATCH("CPC*",'Semrush Data'!$A$1:$Z$1,0)),"")</f>
        <v>0</v>
      </c>
      <c r="J898" s="7" t="str">
        <f aca="false">IFERROR(INDEX('Semrush Data'!$A$1:$Z$20000,MATCH(A898,'Semrush Data'!$A$1:$A$20000,0),MATCH("Intent",'Semrush Data'!$A$1:$Z$1,0)),"")</f>
        <v>Informational</v>
      </c>
    </row>
    <row r="899" customFormat="false" ht="15" hidden="false" customHeight="true" outlineLevel="0" collapsed="false">
      <c r="A899" s="7" t="s">
        <v>3470</v>
      </c>
      <c r="B899" s="7" t="s">
        <v>6814</v>
      </c>
      <c r="C899" s="7" t="n">
        <v>2</v>
      </c>
      <c r="D899" s="7" t="n">
        <v>9</v>
      </c>
      <c r="E899" s="7" t="n">
        <v>1</v>
      </c>
      <c r="F899" s="7" t="s">
        <v>90</v>
      </c>
      <c r="G899" s="12" t="n">
        <f aca="false">IFERROR(INDEX('Semrush Data'!$A$1:$Z$20000,MATCH(A899,'Semrush Data'!$A$1:$A$20000,0),MATCH("Volume",'Semrush Data'!$A$1:$Z$1,0)),"")</f>
        <v>0</v>
      </c>
      <c r="H899" s="7" t="n">
        <f aca="false">IFERROR(INDEX('Semrush Data'!$A$1:$Z$20000,MATCH(A899,'Semrush Data'!$A$1:$A$20000,0),MATCH("Keyword Difficulty*",'Semrush Data'!$A$1:$Z$1,0)),"")</f>
        <v>18</v>
      </c>
      <c r="I899" s="13" t="n">
        <f aca="false">IFERROR(INDEX('Semrush Data'!$A$1:$Z$20000,MATCH(A899,'Semrush Data'!$A$1:$A$20000,0),MATCH("CPC*",'Semrush Data'!$A$1:$Z$1,0)),"")</f>
        <v>0</v>
      </c>
      <c r="J899" s="7" t="str">
        <f aca="false">IFERROR(INDEX('Semrush Data'!$A$1:$Z$20000,MATCH(A899,'Semrush Data'!$A$1:$A$20000,0),MATCH("Intent",'Semrush Data'!$A$1:$Z$1,0)),"")</f>
        <v>Informational</v>
      </c>
    </row>
    <row r="900" customFormat="false" ht="15" hidden="false" customHeight="true" outlineLevel="0" collapsed="false">
      <c r="A900" s="7" t="s">
        <v>2233</v>
      </c>
      <c r="B900" s="7" t="s">
        <v>6814</v>
      </c>
      <c r="C900" s="7" t="n">
        <v>2</v>
      </c>
      <c r="D900" s="7" t="n">
        <v>9</v>
      </c>
      <c r="E900" s="7" t="n">
        <v>1</v>
      </c>
      <c r="F900" s="7" t="s">
        <v>1186</v>
      </c>
      <c r="G900" s="12" t="n">
        <f aca="false">IFERROR(INDEX('Semrush Data'!$A$1:$Z$20000,MATCH(A900,'Semrush Data'!$A$1:$A$20000,0),MATCH("Volume",'Semrush Data'!$A$1:$Z$1,0)),"")</f>
        <v>0</v>
      </c>
      <c r="H900" s="7" t="n">
        <f aca="false">IFERROR(INDEX('Semrush Data'!$A$1:$Z$20000,MATCH(A900,'Semrush Data'!$A$1:$A$20000,0),MATCH("Keyword Difficulty*",'Semrush Data'!$A$1:$Z$1,0)),"")</f>
        <v>17</v>
      </c>
      <c r="I900" s="13" t="n">
        <f aca="false">IFERROR(INDEX('Semrush Data'!$A$1:$Z$20000,MATCH(A900,'Semrush Data'!$A$1:$A$20000,0),MATCH("CPC*",'Semrush Data'!$A$1:$Z$1,0)),"")</f>
        <v>0</v>
      </c>
      <c r="J900" s="7" t="str">
        <f aca="false">IFERROR(INDEX('Semrush Data'!$A$1:$Z$20000,MATCH(A900,'Semrush Data'!$A$1:$A$20000,0),MATCH("Intent",'Semrush Data'!$A$1:$Z$1,0)),"")</f>
        <v>Navigational</v>
      </c>
    </row>
    <row r="901" customFormat="false" ht="15" hidden="false" customHeight="true" outlineLevel="0" collapsed="false">
      <c r="A901" s="7" t="s">
        <v>1922</v>
      </c>
      <c r="B901" s="7" t="s">
        <v>6814</v>
      </c>
      <c r="C901" s="7" t="n">
        <v>2</v>
      </c>
      <c r="D901" s="7" t="n">
        <v>9</v>
      </c>
      <c r="E901" s="7" t="n">
        <v>1</v>
      </c>
      <c r="F901" s="7" t="s">
        <v>879</v>
      </c>
      <c r="G901" s="12" t="n">
        <f aca="false">IFERROR(INDEX('Semrush Data'!$A$1:$Z$20000,MATCH(A901,'Semrush Data'!$A$1:$A$20000,0),MATCH("Volume",'Semrush Data'!$A$1:$Z$1,0)),"")</f>
        <v>0</v>
      </c>
      <c r="H901" s="7" t="n">
        <f aca="false">IFERROR(INDEX('Semrush Data'!$A$1:$Z$20000,MATCH(A901,'Semrush Data'!$A$1:$A$20000,0),MATCH("Keyword Difficulty*",'Semrush Data'!$A$1:$Z$1,0)),"")</f>
        <v>13</v>
      </c>
      <c r="I901" s="13" t="n">
        <f aca="false">IFERROR(INDEX('Semrush Data'!$A$1:$Z$20000,MATCH(A901,'Semrush Data'!$A$1:$A$20000,0),MATCH("CPC*",'Semrush Data'!$A$1:$Z$1,0)),"")</f>
        <v>0</v>
      </c>
      <c r="J901" s="7" t="str">
        <f aca="false">IFERROR(INDEX('Semrush Data'!$A$1:$Z$20000,MATCH(A901,'Semrush Data'!$A$1:$A$20000,0),MATCH("Intent",'Semrush Data'!$A$1:$Z$1,0)),"")</f>
        <v>Informational</v>
      </c>
    </row>
    <row r="902" customFormat="false" ht="15" hidden="false" customHeight="true" outlineLevel="0" collapsed="false">
      <c r="A902" s="7" t="s">
        <v>2324</v>
      </c>
      <c r="B902" s="7" t="s">
        <v>6814</v>
      </c>
      <c r="C902" s="7" t="n">
        <v>2</v>
      </c>
      <c r="D902" s="7" t="n">
        <v>10</v>
      </c>
      <c r="E902" s="7" t="n">
        <v>1</v>
      </c>
      <c r="F902" s="7" t="s">
        <v>1278</v>
      </c>
      <c r="G902" s="12" t="str">
        <f aca="false">IFERROR(INDEX('Semrush Data'!$A$1:$Z$20000,MATCH(A902,'Semrush Data'!$A$1:$A$20000,0),MATCH("Volume",'Semrush Data'!$A$1:$Z$1,0)),"")</f>
        <v/>
      </c>
      <c r="H902" s="7" t="str">
        <f aca="false">IFERROR(INDEX('Semrush Data'!$A$1:$Z$20000,MATCH(A902,'Semrush Data'!$A$1:$A$20000,0),MATCH("Keyword Difficulty*",'Semrush Data'!$A$1:$Z$1,0)),"")</f>
        <v/>
      </c>
      <c r="I902" s="13" t="str">
        <f aca="false">IFERROR(INDEX('Semrush Data'!$A$1:$Z$20000,MATCH(A902,'Semrush Data'!$A$1:$A$20000,0),MATCH("CPC*",'Semrush Data'!$A$1:$Z$1,0)),"")</f>
        <v/>
      </c>
      <c r="J902" s="7" t="str">
        <f aca="false">IFERROR(INDEX('Semrush Data'!$A$1:$Z$20000,MATCH(A902,'Semrush Data'!$A$1:$A$20000,0),MATCH("Intent",'Semrush Data'!$A$1:$Z$1,0)),"")</f>
        <v/>
      </c>
    </row>
    <row r="903" customFormat="false" ht="15" hidden="false" customHeight="true" outlineLevel="0" collapsed="false">
      <c r="A903" s="7" t="s">
        <v>2259</v>
      </c>
      <c r="B903" s="7" t="s">
        <v>6814</v>
      </c>
      <c r="C903" s="7" t="n">
        <v>2</v>
      </c>
      <c r="D903" s="7" t="n">
        <v>10</v>
      </c>
      <c r="E903" s="7" t="n">
        <v>1</v>
      </c>
      <c r="F903" s="7" t="s">
        <v>1212</v>
      </c>
      <c r="G903" s="12" t="str">
        <f aca="false">IFERROR(INDEX('Semrush Data'!$A$1:$Z$20000,MATCH(A903,'Semrush Data'!$A$1:$A$20000,0),MATCH("Volume",'Semrush Data'!$A$1:$Z$1,0)),"")</f>
        <v/>
      </c>
      <c r="H903" s="7" t="str">
        <f aca="false">IFERROR(INDEX('Semrush Data'!$A$1:$Z$20000,MATCH(A903,'Semrush Data'!$A$1:$A$20000,0),MATCH("Keyword Difficulty*",'Semrush Data'!$A$1:$Z$1,0)),"")</f>
        <v/>
      </c>
      <c r="I903" s="13" t="str">
        <f aca="false">IFERROR(INDEX('Semrush Data'!$A$1:$Z$20000,MATCH(A903,'Semrush Data'!$A$1:$A$20000,0),MATCH("CPC*",'Semrush Data'!$A$1:$Z$1,0)),"")</f>
        <v/>
      </c>
      <c r="J903" s="7" t="str">
        <f aca="false">IFERROR(INDEX('Semrush Data'!$A$1:$Z$20000,MATCH(A903,'Semrush Data'!$A$1:$A$20000,0),MATCH("Intent",'Semrush Data'!$A$1:$Z$1,0)),"")</f>
        <v/>
      </c>
    </row>
    <row r="904" customFormat="false" ht="15" hidden="false" customHeight="true" outlineLevel="0" collapsed="false">
      <c r="A904" s="7" t="s">
        <v>2265</v>
      </c>
      <c r="B904" s="7" t="s">
        <v>6814</v>
      </c>
      <c r="C904" s="7" t="n">
        <v>2</v>
      </c>
      <c r="D904" s="7" t="n">
        <v>10</v>
      </c>
      <c r="E904" s="7" t="n">
        <v>1</v>
      </c>
      <c r="F904" s="7" t="s">
        <v>1218</v>
      </c>
      <c r="G904" s="12" t="str">
        <f aca="false">IFERROR(INDEX('Semrush Data'!$A$1:$Z$20000,MATCH(A904,'Semrush Data'!$A$1:$A$20000,0),MATCH("Volume",'Semrush Data'!$A$1:$Z$1,0)),"")</f>
        <v/>
      </c>
      <c r="H904" s="7" t="str">
        <f aca="false">IFERROR(INDEX('Semrush Data'!$A$1:$Z$20000,MATCH(A904,'Semrush Data'!$A$1:$A$20000,0),MATCH("Keyword Difficulty*",'Semrush Data'!$A$1:$Z$1,0)),"")</f>
        <v/>
      </c>
      <c r="I904" s="13" t="str">
        <f aca="false">IFERROR(INDEX('Semrush Data'!$A$1:$Z$20000,MATCH(A904,'Semrush Data'!$A$1:$A$20000,0),MATCH("CPC*",'Semrush Data'!$A$1:$Z$1,0)),"")</f>
        <v/>
      </c>
      <c r="J904" s="7" t="str">
        <f aca="false">IFERROR(INDEX('Semrush Data'!$A$1:$Z$20000,MATCH(A904,'Semrush Data'!$A$1:$A$20000,0),MATCH("Intent",'Semrush Data'!$A$1:$Z$1,0)),"")</f>
        <v/>
      </c>
    </row>
    <row r="905" customFormat="false" ht="15" hidden="false" customHeight="true" outlineLevel="0" collapsed="false">
      <c r="A905" s="7" t="s">
        <v>1899</v>
      </c>
      <c r="B905" s="7" t="s">
        <v>6814</v>
      </c>
      <c r="C905" s="7" t="n">
        <v>2</v>
      </c>
      <c r="D905" s="7" t="n">
        <v>10</v>
      </c>
      <c r="E905" s="7" t="n">
        <v>1</v>
      </c>
      <c r="F905" s="7" t="s">
        <v>860</v>
      </c>
      <c r="G905" s="12" t="str">
        <f aca="false">IFERROR(INDEX('Semrush Data'!$A$1:$Z$20000,MATCH(A905,'Semrush Data'!$A$1:$A$20000,0),MATCH("Volume",'Semrush Data'!$A$1:$Z$1,0)),"")</f>
        <v/>
      </c>
      <c r="H905" s="7" t="str">
        <f aca="false">IFERROR(INDEX('Semrush Data'!$A$1:$Z$20000,MATCH(A905,'Semrush Data'!$A$1:$A$20000,0),MATCH("Keyword Difficulty*",'Semrush Data'!$A$1:$Z$1,0)),"")</f>
        <v/>
      </c>
      <c r="I905" s="13" t="str">
        <f aca="false">IFERROR(INDEX('Semrush Data'!$A$1:$Z$20000,MATCH(A905,'Semrush Data'!$A$1:$A$20000,0),MATCH("CPC*",'Semrush Data'!$A$1:$Z$1,0)),"")</f>
        <v/>
      </c>
      <c r="J905" s="7" t="str">
        <f aca="false">IFERROR(INDEX('Semrush Data'!$A$1:$Z$20000,MATCH(A905,'Semrush Data'!$A$1:$A$20000,0),MATCH("Intent",'Semrush Data'!$A$1:$Z$1,0)),"")</f>
        <v/>
      </c>
    </row>
    <row r="906" customFormat="false" ht="15" hidden="false" customHeight="true" outlineLevel="0" collapsed="false">
      <c r="A906" s="7" t="s">
        <v>2107</v>
      </c>
      <c r="B906" s="7" t="s">
        <v>6814</v>
      </c>
      <c r="C906" s="7" t="n">
        <v>2</v>
      </c>
      <c r="D906" s="7" t="n">
        <v>10</v>
      </c>
      <c r="E906" s="7" t="n">
        <v>1</v>
      </c>
      <c r="F906" s="7" t="s">
        <v>1057</v>
      </c>
      <c r="G906" s="12" t="str">
        <f aca="false">IFERROR(INDEX('Semrush Data'!$A$1:$Z$20000,MATCH(A906,'Semrush Data'!$A$1:$A$20000,0),MATCH("Volume",'Semrush Data'!$A$1:$Z$1,0)),"")</f>
        <v/>
      </c>
      <c r="H906" s="7" t="str">
        <f aca="false">IFERROR(INDEX('Semrush Data'!$A$1:$Z$20000,MATCH(A906,'Semrush Data'!$A$1:$A$20000,0),MATCH("Keyword Difficulty*",'Semrush Data'!$A$1:$Z$1,0)),"")</f>
        <v/>
      </c>
      <c r="I906" s="13" t="str">
        <f aca="false">IFERROR(INDEX('Semrush Data'!$A$1:$Z$20000,MATCH(A906,'Semrush Data'!$A$1:$A$20000,0),MATCH("CPC*",'Semrush Data'!$A$1:$Z$1,0)),"")</f>
        <v/>
      </c>
      <c r="J906" s="7" t="str">
        <f aca="false">IFERROR(INDEX('Semrush Data'!$A$1:$Z$20000,MATCH(A906,'Semrush Data'!$A$1:$A$20000,0),MATCH("Intent",'Semrush Data'!$A$1:$Z$1,0)),"")</f>
        <v/>
      </c>
    </row>
    <row r="907" customFormat="false" ht="15" hidden="false" customHeight="true" outlineLevel="0" collapsed="false">
      <c r="A907" s="7" t="s">
        <v>2207</v>
      </c>
      <c r="B907" s="7" t="s">
        <v>6814</v>
      </c>
      <c r="C907" s="7" t="n">
        <v>2</v>
      </c>
      <c r="D907" s="7" t="n">
        <v>10</v>
      </c>
      <c r="E907" s="7" t="n">
        <v>1</v>
      </c>
      <c r="F907" s="7" t="s">
        <v>1159</v>
      </c>
      <c r="G907" s="12" t="str">
        <f aca="false">IFERROR(INDEX('Semrush Data'!$A$1:$Z$20000,MATCH(A907,'Semrush Data'!$A$1:$A$20000,0),MATCH("Volume",'Semrush Data'!$A$1:$Z$1,0)),"")</f>
        <v/>
      </c>
      <c r="H907" s="7" t="str">
        <f aca="false">IFERROR(INDEX('Semrush Data'!$A$1:$Z$20000,MATCH(A907,'Semrush Data'!$A$1:$A$20000,0),MATCH("Keyword Difficulty*",'Semrush Data'!$A$1:$Z$1,0)),"")</f>
        <v/>
      </c>
      <c r="I907" s="13" t="str">
        <f aca="false">IFERROR(INDEX('Semrush Data'!$A$1:$Z$20000,MATCH(A907,'Semrush Data'!$A$1:$A$20000,0),MATCH("CPC*",'Semrush Data'!$A$1:$Z$1,0)),"")</f>
        <v/>
      </c>
      <c r="J907" s="7" t="str">
        <f aca="false">IFERROR(INDEX('Semrush Data'!$A$1:$Z$20000,MATCH(A907,'Semrush Data'!$A$1:$A$20000,0),MATCH("Intent",'Semrush Data'!$A$1:$Z$1,0)),"")</f>
        <v/>
      </c>
    </row>
    <row r="908" customFormat="false" ht="15" hidden="false" customHeight="true" outlineLevel="0" collapsed="false">
      <c r="A908" s="7" t="s">
        <v>1944</v>
      </c>
      <c r="B908" s="7" t="s">
        <v>6814</v>
      </c>
      <c r="C908" s="7" t="n">
        <v>2</v>
      </c>
      <c r="D908" s="7" t="n">
        <v>10</v>
      </c>
      <c r="E908" s="7" t="n">
        <v>1</v>
      </c>
      <c r="F908" s="7" t="s">
        <v>898</v>
      </c>
      <c r="G908" s="12" t="str">
        <f aca="false">IFERROR(INDEX('Semrush Data'!$A$1:$Z$20000,MATCH(A908,'Semrush Data'!$A$1:$A$20000,0),MATCH("Volume",'Semrush Data'!$A$1:$Z$1,0)),"")</f>
        <v/>
      </c>
      <c r="H908" s="7" t="str">
        <f aca="false">IFERROR(INDEX('Semrush Data'!$A$1:$Z$20000,MATCH(A908,'Semrush Data'!$A$1:$A$20000,0),MATCH("Keyword Difficulty*",'Semrush Data'!$A$1:$Z$1,0)),"")</f>
        <v/>
      </c>
      <c r="I908" s="13" t="str">
        <f aca="false">IFERROR(INDEX('Semrush Data'!$A$1:$Z$20000,MATCH(A908,'Semrush Data'!$A$1:$A$20000,0),MATCH("CPC*",'Semrush Data'!$A$1:$Z$1,0)),"")</f>
        <v/>
      </c>
      <c r="J908" s="7" t="str">
        <f aca="false">IFERROR(INDEX('Semrush Data'!$A$1:$Z$20000,MATCH(A908,'Semrush Data'!$A$1:$A$20000,0),MATCH("Intent",'Semrush Data'!$A$1:$Z$1,0)),"")</f>
        <v/>
      </c>
    </row>
    <row r="909" customFormat="false" ht="15" hidden="false" customHeight="true" outlineLevel="0" collapsed="false">
      <c r="A909" s="7" t="s">
        <v>2201</v>
      </c>
      <c r="B909" s="7" t="s">
        <v>6814</v>
      </c>
      <c r="C909" s="7" t="n">
        <v>2</v>
      </c>
      <c r="D909" s="7" t="n">
        <v>10</v>
      </c>
      <c r="E909" s="7" t="n">
        <v>1</v>
      </c>
      <c r="F909" s="7" t="s">
        <v>1153</v>
      </c>
      <c r="G909" s="12" t="str">
        <f aca="false">IFERROR(INDEX('Semrush Data'!$A$1:$Z$20000,MATCH(A909,'Semrush Data'!$A$1:$A$20000,0),MATCH("Volume",'Semrush Data'!$A$1:$Z$1,0)),"")</f>
        <v/>
      </c>
      <c r="H909" s="7" t="str">
        <f aca="false">IFERROR(INDEX('Semrush Data'!$A$1:$Z$20000,MATCH(A909,'Semrush Data'!$A$1:$A$20000,0),MATCH("Keyword Difficulty*",'Semrush Data'!$A$1:$Z$1,0)),"")</f>
        <v/>
      </c>
      <c r="I909" s="13" t="str">
        <f aca="false">IFERROR(INDEX('Semrush Data'!$A$1:$Z$20000,MATCH(A909,'Semrush Data'!$A$1:$A$20000,0),MATCH("CPC*",'Semrush Data'!$A$1:$Z$1,0)),"")</f>
        <v/>
      </c>
      <c r="J909" s="7" t="str">
        <f aca="false">IFERROR(INDEX('Semrush Data'!$A$1:$Z$20000,MATCH(A909,'Semrush Data'!$A$1:$A$20000,0),MATCH("Intent",'Semrush Data'!$A$1:$Z$1,0)),"")</f>
        <v/>
      </c>
    </row>
    <row r="910" customFormat="false" ht="15" hidden="false" customHeight="true" outlineLevel="0" collapsed="false">
      <c r="A910" s="7" t="s">
        <v>2140</v>
      </c>
      <c r="B910" s="7" t="s">
        <v>6814</v>
      </c>
      <c r="C910" s="7" t="n">
        <v>2</v>
      </c>
      <c r="D910" s="7" t="n">
        <v>10</v>
      </c>
      <c r="E910" s="7" t="n">
        <v>1</v>
      </c>
      <c r="F910" s="7" t="s">
        <v>1090</v>
      </c>
      <c r="G910" s="12" t="str">
        <f aca="false">IFERROR(INDEX('Semrush Data'!$A$1:$Z$20000,MATCH(A910,'Semrush Data'!$A$1:$A$20000,0),MATCH("Volume",'Semrush Data'!$A$1:$Z$1,0)),"")</f>
        <v/>
      </c>
      <c r="H910" s="7" t="str">
        <f aca="false">IFERROR(INDEX('Semrush Data'!$A$1:$Z$20000,MATCH(A910,'Semrush Data'!$A$1:$A$20000,0),MATCH("Keyword Difficulty*",'Semrush Data'!$A$1:$Z$1,0)),"")</f>
        <v/>
      </c>
      <c r="I910" s="13" t="str">
        <f aca="false">IFERROR(INDEX('Semrush Data'!$A$1:$Z$20000,MATCH(A910,'Semrush Data'!$A$1:$A$20000,0),MATCH("CPC*",'Semrush Data'!$A$1:$Z$1,0)),"")</f>
        <v/>
      </c>
      <c r="J910" s="7" t="str">
        <f aca="false">IFERROR(INDEX('Semrush Data'!$A$1:$Z$20000,MATCH(A910,'Semrush Data'!$A$1:$A$20000,0),MATCH("Intent",'Semrush Data'!$A$1:$Z$1,0)),"")</f>
        <v/>
      </c>
    </row>
    <row r="911" customFormat="false" ht="15" hidden="false" customHeight="true" outlineLevel="0" collapsed="false">
      <c r="A911" s="7" t="s">
        <v>2220</v>
      </c>
      <c r="B911" s="7" t="s">
        <v>6814</v>
      </c>
      <c r="C911" s="7" t="n">
        <v>2</v>
      </c>
      <c r="D911" s="7" t="n">
        <v>10</v>
      </c>
      <c r="E911" s="7" t="n">
        <v>1</v>
      </c>
      <c r="F911" s="7" t="s">
        <v>1172</v>
      </c>
      <c r="G911" s="12" t="str">
        <f aca="false">IFERROR(INDEX('Semrush Data'!$A$1:$Z$20000,MATCH(A911,'Semrush Data'!$A$1:$A$20000,0),MATCH("Volume",'Semrush Data'!$A$1:$Z$1,0)),"")</f>
        <v/>
      </c>
      <c r="H911" s="7" t="str">
        <f aca="false">IFERROR(INDEX('Semrush Data'!$A$1:$Z$20000,MATCH(A911,'Semrush Data'!$A$1:$A$20000,0),MATCH("Keyword Difficulty*",'Semrush Data'!$A$1:$Z$1,0)),"")</f>
        <v/>
      </c>
      <c r="I911" s="13" t="str">
        <f aca="false">IFERROR(INDEX('Semrush Data'!$A$1:$Z$20000,MATCH(A911,'Semrush Data'!$A$1:$A$20000,0),MATCH("CPC*",'Semrush Data'!$A$1:$Z$1,0)),"")</f>
        <v/>
      </c>
      <c r="J911" s="7" t="str">
        <f aca="false">IFERROR(INDEX('Semrush Data'!$A$1:$Z$20000,MATCH(A911,'Semrush Data'!$A$1:$A$20000,0),MATCH("Intent",'Semrush Data'!$A$1:$Z$1,0)),"")</f>
        <v/>
      </c>
    </row>
    <row r="912" customFormat="false" ht="15" hidden="false" customHeight="true" outlineLevel="0" collapsed="false">
      <c r="A912" s="7" t="s">
        <v>2128</v>
      </c>
      <c r="B912" s="7" t="s">
        <v>6814</v>
      </c>
      <c r="C912" s="7" t="n">
        <v>2</v>
      </c>
      <c r="D912" s="7" t="n">
        <v>10</v>
      </c>
      <c r="E912" s="7" t="n">
        <v>1</v>
      </c>
      <c r="F912" s="7" t="s">
        <v>1075</v>
      </c>
      <c r="G912" s="12" t="str">
        <f aca="false">IFERROR(INDEX('Semrush Data'!$A$1:$Z$20000,MATCH(A912,'Semrush Data'!$A$1:$A$20000,0),MATCH("Volume",'Semrush Data'!$A$1:$Z$1,0)),"")</f>
        <v/>
      </c>
      <c r="H912" s="7" t="str">
        <f aca="false">IFERROR(INDEX('Semrush Data'!$A$1:$Z$20000,MATCH(A912,'Semrush Data'!$A$1:$A$20000,0),MATCH("Keyword Difficulty*",'Semrush Data'!$A$1:$Z$1,0)),"")</f>
        <v/>
      </c>
      <c r="I912" s="13" t="str">
        <f aca="false">IFERROR(INDEX('Semrush Data'!$A$1:$Z$20000,MATCH(A912,'Semrush Data'!$A$1:$A$20000,0),MATCH("CPC*",'Semrush Data'!$A$1:$Z$1,0)),"")</f>
        <v/>
      </c>
      <c r="J912" s="7" t="str">
        <f aca="false">IFERROR(INDEX('Semrush Data'!$A$1:$Z$20000,MATCH(A912,'Semrush Data'!$A$1:$A$20000,0),MATCH("Intent",'Semrush Data'!$A$1:$Z$1,0)),"")</f>
        <v/>
      </c>
    </row>
    <row r="913" customFormat="false" ht="15" hidden="false" customHeight="true" outlineLevel="0" collapsed="false">
      <c r="A913" s="7" t="s">
        <v>2289</v>
      </c>
      <c r="B913" s="7" t="s">
        <v>6814</v>
      </c>
      <c r="C913" s="7" t="n">
        <v>2</v>
      </c>
      <c r="D913" s="7" t="n">
        <v>10</v>
      </c>
      <c r="E913" s="7" t="n">
        <v>1</v>
      </c>
      <c r="F913" s="7" t="s">
        <v>1242</v>
      </c>
      <c r="G913" s="12" t="str">
        <f aca="false">IFERROR(INDEX('Semrush Data'!$A$1:$Z$20000,MATCH(A913,'Semrush Data'!$A$1:$A$20000,0),MATCH("Volume",'Semrush Data'!$A$1:$Z$1,0)),"")</f>
        <v/>
      </c>
      <c r="H913" s="7" t="str">
        <f aca="false">IFERROR(INDEX('Semrush Data'!$A$1:$Z$20000,MATCH(A913,'Semrush Data'!$A$1:$A$20000,0),MATCH("Keyword Difficulty*",'Semrush Data'!$A$1:$Z$1,0)),"")</f>
        <v/>
      </c>
      <c r="I913" s="13" t="str">
        <f aca="false">IFERROR(INDEX('Semrush Data'!$A$1:$Z$20000,MATCH(A913,'Semrush Data'!$A$1:$A$20000,0),MATCH("CPC*",'Semrush Data'!$A$1:$Z$1,0)),"")</f>
        <v/>
      </c>
      <c r="J913" s="7" t="str">
        <f aca="false">IFERROR(INDEX('Semrush Data'!$A$1:$Z$20000,MATCH(A913,'Semrush Data'!$A$1:$A$20000,0),MATCH("Intent",'Semrush Data'!$A$1:$Z$1,0)),"")</f>
        <v/>
      </c>
    </row>
    <row r="914" customFormat="false" ht="15" hidden="false" customHeight="true" outlineLevel="0" collapsed="false">
      <c r="A914" s="7" t="s">
        <v>1906</v>
      </c>
      <c r="B914" s="7" t="s">
        <v>6814</v>
      </c>
      <c r="C914" s="7" t="n">
        <v>2</v>
      </c>
      <c r="D914" s="7" t="n">
        <v>10</v>
      </c>
      <c r="E914" s="7" t="n">
        <v>1</v>
      </c>
      <c r="F914" s="7" t="s">
        <v>866</v>
      </c>
      <c r="G914" s="12" t="str">
        <f aca="false">IFERROR(INDEX('Semrush Data'!$A$1:$Z$20000,MATCH(A914,'Semrush Data'!$A$1:$A$20000,0),MATCH("Volume",'Semrush Data'!$A$1:$Z$1,0)),"")</f>
        <v/>
      </c>
      <c r="H914" s="7" t="str">
        <f aca="false">IFERROR(INDEX('Semrush Data'!$A$1:$Z$20000,MATCH(A914,'Semrush Data'!$A$1:$A$20000,0),MATCH("Keyword Difficulty*",'Semrush Data'!$A$1:$Z$1,0)),"")</f>
        <v/>
      </c>
      <c r="I914" s="13" t="str">
        <f aca="false">IFERROR(INDEX('Semrush Data'!$A$1:$Z$20000,MATCH(A914,'Semrush Data'!$A$1:$A$20000,0),MATCH("CPC*",'Semrush Data'!$A$1:$Z$1,0)),"")</f>
        <v/>
      </c>
      <c r="J914" s="7" t="str">
        <f aca="false">IFERROR(INDEX('Semrush Data'!$A$1:$Z$20000,MATCH(A914,'Semrush Data'!$A$1:$A$20000,0),MATCH("Intent",'Semrush Data'!$A$1:$Z$1,0)),"")</f>
        <v/>
      </c>
    </row>
    <row r="915" customFormat="false" ht="15" hidden="false" customHeight="true" outlineLevel="0" collapsed="false">
      <c r="A915" s="7" t="s">
        <v>2147</v>
      </c>
      <c r="B915" s="7" t="s">
        <v>6814</v>
      </c>
      <c r="C915" s="7" t="n">
        <v>2</v>
      </c>
      <c r="D915" s="7" t="n">
        <v>10</v>
      </c>
      <c r="E915" s="7" t="n">
        <v>1</v>
      </c>
      <c r="F915" s="7" t="s">
        <v>1097</v>
      </c>
      <c r="G915" s="12" t="str">
        <f aca="false">IFERROR(INDEX('Semrush Data'!$A$1:$Z$20000,MATCH(A915,'Semrush Data'!$A$1:$A$20000,0),MATCH("Volume",'Semrush Data'!$A$1:$Z$1,0)),"")</f>
        <v/>
      </c>
      <c r="H915" s="7" t="str">
        <f aca="false">IFERROR(INDEX('Semrush Data'!$A$1:$Z$20000,MATCH(A915,'Semrush Data'!$A$1:$A$20000,0),MATCH("Keyword Difficulty*",'Semrush Data'!$A$1:$Z$1,0)),"")</f>
        <v/>
      </c>
      <c r="I915" s="13" t="str">
        <f aca="false">IFERROR(INDEX('Semrush Data'!$A$1:$Z$20000,MATCH(A915,'Semrush Data'!$A$1:$A$20000,0),MATCH("CPC*",'Semrush Data'!$A$1:$Z$1,0)),"")</f>
        <v/>
      </c>
      <c r="J915" s="7" t="str">
        <f aca="false">IFERROR(INDEX('Semrush Data'!$A$1:$Z$20000,MATCH(A915,'Semrush Data'!$A$1:$A$20000,0),MATCH("Intent",'Semrush Data'!$A$1:$Z$1,0)),"")</f>
        <v/>
      </c>
    </row>
    <row r="916" customFormat="false" ht="15" hidden="false" customHeight="true" outlineLevel="0" collapsed="false">
      <c r="A916" s="7" t="s">
        <v>1891</v>
      </c>
      <c r="B916" s="7" t="s">
        <v>6814</v>
      </c>
      <c r="C916" s="7" t="n">
        <v>2</v>
      </c>
      <c r="D916" s="7" t="n">
        <v>10</v>
      </c>
      <c r="E916" s="7" t="n">
        <v>1</v>
      </c>
      <c r="F916" s="7" t="s">
        <v>854</v>
      </c>
      <c r="G916" s="12" t="str">
        <f aca="false">IFERROR(INDEX('Semrush Data'!$A$1:$Z$20000,MATCH(A916,'Semrush Data'!$A$1:$A$20000,0),MATCH("Volume",'Semrush Data'!$A$1:$Z$1,0)),"")</f>
        <v/>
      </c>
      <c r="H916" s="7" t="str">
        <f aca="false">IFERROR(INDEX('Semrush Data'!$A$1:$Z$20000,MATCH(A916,'Semrush Data'!$A$1:$A$20000,0),MATCH("Keyword Difficulty*",'Semrush Data'!$A$1:$Z$1,0)),"")</f>
        <v/>
      </c>
      <c r="I916" s="13" t="str">
        <f aca="false">IFERROR(INDEX('Semrush Data'!$A$1:$Z$20000,MATCH(A916,'Semrush Data'!$A$1:$A$20000,0),MATCH("CPC*",'Semrush Data'!$A$1:$Z$1,0)),"")</f>
        <v/>
      </c>
      <c r="J916" s="7" t="str">
        <f aca="false">IFERROR(INDEX('Semrush Data'!$A$1:$Z$20000,MATCH(A916,'Semrush Data'!$A$1:$A$20000,0),MATCH("Intent",'Semrush Data'!$A$1:$Z$1,0)),"")</f>
        <v/>
      </c>
    </row>
    <row r="917" customFormat="false" ht="15" hidden="false" customHeight="true" outlineLevel="0" collapsed="false">
      <c r="A917" s="7" t="s">
        <v>2160</v>
      </c>
      <c r="B917" s="7" t="s">
        <v>6814</v>
      </c>
      <c r="C917" s="7" t="n">
        <v>2</v>
      </c>
      <c r="D917" s="7" t="n">
        <v>10</v>
      </c>
      <c r="E917" s="7" t="n">
        <v>1</v>
      </c>
      <c r="F917" s="7" t="s">
        <v>1111</v>
      </c>
      <c r="G917" s="12" t="str">
        <f aca="false">IFERROR(INDEX('Semrush Data'!$A$1:$Z$20000,MATCH(A917,'Semrush Data'!$A$1:$A$20000,0),MATCH("Volume",'Semrush Data'!$A$1:$Z$1,0)),"")</f>
        <v/>
      </c>
      <c r="H917" s="7" t="str">
        <f aca="false">IFERROR(INDEX('Semrush Data'!$A$1:$Z$20000,MATCH(A917,'Semrush Data'!$A$1:$A$20000,0),MATCH("Keyword Difficulty*",'Semrush Data'!$A$1:$Z$1,0)),"")</f>
        <v/>
      </c>
      <c r="I917" s="13" t="str">
        <f aca="false">IFERROR(INDEX('Semrush Data'!$A$1:$Z$20000,MATCH(A917,'Semrush Data'!$A$1:$A$20000,0),MATCH("CPC*",'Semrush Data'!$A$1:$Z$1,0)),"")</f>
        <v/>
      </c>
      <c r="J917" s="7" t="str">
        <f aca="false">IFERROR(INDEX('Semrush Data'!$A$1:$Z$20000,MATCH(A917,'Semrush Data'!$A$1:$A$20000,0),MATCH("Intent",'Semrush Data'!$A$1:$Z$1,0)),"")</f>
        <v/>
      </c>
    </row>
    <row r="918" customFormat="false" ht="15" hidden="false" customHeight="true" outlineLevel="0" collapsed="false">
      <c r="A918" s="7" t="s">
        <v>1884</v>
      </c>
      <c r="B918" s="7" t="s">
        <v>6814</v>
      </c>
      <c r="C918" s="7" t="n">
        <v>2</v>
      </c>
      <c r="D918" s="7" t="n">
        <v>10</v>
      </c>
      <c r="E918" s="7" t="n">
        <v>1</v>
      </c>
      <c r="F918" s="7" t="s">
        <v>845</v>
      </c>
      <c r="G918" s="12" t="str">
        <f aca="false">IFERROR(INDEX('Semrush Data'!$A$1:$Z$20000,MATCH(A918,'Semrush Data'!$A$1:$A$20000,0),MATCH("Volume",'Semrush Data'!$A$1:$Z$1,0)),"")</f>
        <v/>
      </c>
      <c r="H918" s="7" t="str">
        <f aca="false">IFERROR(INDEX('Semrush Data'!$A$1:$Z$20000,MATCH(A918,'Semrush Data'!$A$1:$A$20000,0),MATCH("Keyword Difficulty*",'Semrush Data'!$A$1:$Z$1,0)),"")</f>
        <v/>
      </c>
      <c r="I918" s="13" t="str">
        <f aca="false">IFERROR(INDEX('Semrush Data'!$A$1:$Z$20000,MATCH(A918,'Semrush Data'!$A$1:$A$20000,0),MATCH("CPC*",'Semrush Data'!$A$1:$Z$1,0)),"")</f>
        <v/>
      </c>
      <c r="J918" s="7" t="str">
        <f aca="false">IFERROR(INDEX('Semrush Data'!$A$1:$Z$20000,MATCH(A918,'Semrush Data'!$A$1:$A$20000,0),MATCH("Intent",'Semrush Data'!$A$1:$Z$1,0)),"")</f>
        <v/>
      </c>
    </row>
    <row r="919" customFormat="false" ht="15" hidden="false" customHeight="true" outlineLevel="0" collapsed="false">
      <c r="A919" s="7" t="s">
        <v>2283</v>
      </c>
      <c r="B919" s="7" t="s">
        <v>6814</v>
      </c>
      <c r="C919" s="7" t="n">
        <v>2</v>
      </c>
      <c r="D919" s="7" t="n">
        <v>10</v>
      </c>
      <c r="E919" s="7" t="n">
        <v>1</v>
      </c>
      <c r="F919" s="7" t="s">
        <v>1236</v>
      </c>
      <c r="G919" s="12" t="str">
        <f aca="false">IFERROR(INDEX('Semrush Data'!$A$1:$Z$20000,MATCH(A919,'Semrush Data'!$A$1:$A$20000,0),MATCH("Volume",'Semrush Data'!$A$1:$Z$1,0)),"")</f>
        <v/>
      </c>
      <c r="H919" s="7" t="str">
        <f aca="false">IFERROR(INDEX('Semrush Data'!$A$1:$Z$20000,MATCH(A919,'Semrush Data'!$A$1:$A$20000,0),MATCH("Keyword Difficulty*",'Semrush Data'!$A$1:$Z$1,0)),"")</f>
        <v/>
      </c>
      <c r="I919" s="13" t="str">
        <f aca="false">IFERROR(INDEX('Semrush Data'!$A$1:$Z$20000,MATCH(A919,'Semrush Data'!$A$1:$A$20000,0),MATCH("CPC*",'Semrush Data'!$A$1:$Z$1,0)),"")</f>
        <v/>
      </c>
      <c r="J919" s="7" t="str">
        <f aca="false">IFERROR(INDEX('Semrush Data'!$A$1:$Z$20000,MATCH(A919,'Semrush Data'!$A$1:$A$20000,0),MATCH("Intent",'Semrush Data'!$A$1:$Z$1,0)),"")</f>
        <v/>
      </c>
    </row>
    <row r="920" customFormat="false" ht="15" hidden="false" customHeight="true" outlineLevel="0" collapsed="false">
      <c r="A920" s="7" t="s">
        <v>2277</v>
      </c>
      <c r="B920" s="7" t="s">
        <v>6814</v>
      </c>
      <c r="C920" s="7" t="n">
        <v>2</v>
      </c>
      <c r="D920" s="7" t="n">
        <v>10</v>
      </c>
      <c r="E920" s="7" t="n">
        <v>1</v>
      </c>
      <c r="F920" s="7" t="s">
        <v>1230</v>
      </c>
      <c r="G920" s="12" t="str">
        <f aca="false">IFERROR(INDEX('Semrush Data'!$A$1:$Z$20000,MATCH(A920,'Semrush Data'!$A$1:$A$20000,0),MATCH("Volume",'Semrush Data'!$A$1:$Z$1,0)),"")</f>
        <v/>
      </c>
      <c r="H920" s="7" t="str">
        <f aca="false">IFERROR(INDEX('Semrush Data'!$A$1:$Z$20000,MATCH(A920,'Semrush Data'!$A$1:$A$20000,0),MATCH("Keyword Difficulty*",'Semrush Data'!$A$1:$Z$1,0)),"")</f>
        <v/>
      </c>
      <c r="I920" s="13" t="str">
        <f aca="false">IFERROR(INDEX('Semrush Data'!$A$1:$Z$20000,MATCH(A920,'Semrush Data'!$A$1:$A$20000,0),MATCH("CPC*",'Semrush Data'!$A$1:$Z$1,0)),"")</f>
        <v/>
      </c>
      <c r="J920" s="7" t="str">
        <f aca="false">IFERROR(INDEX('Semrush Data'!$A$1:$Z$20000,MATCH(A920,'Semrush Data'!$A$1:$A$20000,0),MATCH("Intent",'Semrush Data'!$A$1:$Z$1,0)),"")</f>
        <v/>
      </c>
    </row>
    <row r="921" customFormat="false" ht="15" hidden="false" customHeight="true" outlineLevel="0" collapsed="false">
      <c r="A921" s="7" t="s">
        <v>2384</v>
      </c>
      <c r="B921" s="7" t="s">
        <v>6814</v>
      </c>
      <c r="C921" s="7" t="n">
        <v>2</v>
      </c>
      <c r="D921" s="7" t="n">
        <v>10</v>
      </c>
      <c r="E921" s="7" t="n">
        <v>1</v>
      </c>
      <c r="F921" s="7" t="s">
        <v>1339</v>
      </c>
      <c r="G921" s="12" t="str">
        <f aca="false">IFERROR(INDEX('Semrush Data'!$A$1:$Z$20000,MATCH(A921,'Semrush Data'!$A$1:$A$20000,0),MATCH("Volume",'Semrush Data'!$A$1:$Z$1,0)),"")</f>
        <v/>
      </c>
      <c r="H921" s="7" t="str">
        <f aca="false">IFERROR(INDEX('Semrush Data'!$A$1:$Z$20000,MATCH(A921,'Semrush Data'!$A$1:$A$20000,0),MATCH("Keyword Difficulty*",'Semrush Data'!$A$1:$Z$1,0)),"")</f>
        <v/>
      </c>
      <c r="I921" s="13" t="str">
        <f aca="false">IFERROR(INDEX('Semrush Data'!$A$1:$Z$20000,MATCH(A921,'Semrush Data'!$A$1:$A$20000,0),MATCH("CPC*",'Semrush Data'!$A$1:$Z$1,0)),"")</f>
        <v/>
      </c>
      <c r="J921" s="7" t="str">
        <f aca="false">IFERROR(INDEX('Semrush Data'!$A$1:$Z$20000,MATCH(A921,'Semrush Data'!$A$1:$A$20000,0),MATCH("Intent",'Semrush Data'!$A$1:$Z$1,0)),"")</f>
        <v/>
      </c>
    </row>
    <row r="922" customFormat="false" ht="15" hidden="false" customHeight="true" outlineLevel="0" collapsed="false">
      <c r="A922" s="7" t="s">
        <v>2372</v>
      </c>
      <c r="B922" s="7" t="s">
        <v>6814</v>
      </c>
      <c r="C922" s="7" t="n">
        <v>2</v>
      </c>
      <c r="D922" s="7" t="n">
        <v>10</v>
      </c>
      <c r="E922" s="7" t="n">
        <v>1</v>
      </c>
      <c r="F922" s="7" t="s">
        <v>1327</v>
      </c>
      <c r="G922" s="12" t="str">
        <f aca="false">IFERROR(INDEX('Semrush Data'!$A$1:$Z$20000,MATCH(A922,'Semrush Data'!$A$1:$A$20000,0),MATCH("Volume",'Semrush Data'!$A$1:$Z$1,0)),"")</f>
        <v/>
      </c>
      <c r="H922" s="7" t="str">
        <f aca="false">IFERROR(INDEX('Semrush Data'!$A$1:$Z$20000,MATCH(A922,'Semrush Data'!$A$1:$A$20000,0),MATCH("Keyword Difficulty*",'Semrush Data'!$A$1:$Z$1,0)),"")</f>
        <v/>
      </c>
      <c r="I922" s="13" t="str">
        <f aca="false">IFERROR(INDEX('Semrush Data'!$A$1:$Z$20000,MATCH(A922,'Semrush Data'!$A$1:$A$20000,0),MATCH("CPC*",'Semrush Data'!$A$1:$Z$1,0)),"")</f>
        <v/>
      </c>
      <c r="J922" s="7" t="str">
        <f aca="false">IFERROR(INDEX('Semrush Data'!$A$1:$Z$20000,MATCH(A922,'Semrush Data'!$A$1:$A$20000,0),MATCH("Intent",'Semrush Data'!$A$1:$Z$1,0)),"")</f>
        <v/>
      </c>
    </row>
    <row r="923" customFormat="false" ht="15" hidden="false" customHeight="true" outlineLevel="0" collapsed="false">
      <c r="A923" s="7" t="s">
        <v>1914</v>
      </c>
      <c r="B923" s="7" t="s">
        <v>6814</v>
      </c>
      <c r="C923" s="7" t="n">
        <v>2</v>
      </c>
      <c r="D923" s="7" t="n">
        <v>10</v>
      </c>
      <c r="E923" s="7" t="n">
        <v>1</v>
      </c>
      <c r="F923" s="7" t="s">
        <v>873</v>
      </c>
      <c r="G923" s="12" t="str">
        <f aca="false">IFERROR(INDEX('Semrush Data'!$A$1:$Z$20000,MATCH(A923,'Semrush Data'!$A$1:$A$20000,0),MATCH("Volume",'Semrush Data'!$A$1:$Z$1,0)),"")</f>
        <v/>
      </c>
      <c r="H923" s="7" t="str">
        <f aca="false">IFERROR(INDEX('Semrush Data'!$A$1:$Z$20000,MATCH(A923,'Semrush Data'!$A$1:$A$20000,0),MATCH("Keyword Difficulty*",'Semrush Data'!$A$1:$Z$1,0)),"")</f>
        <v/>
      </c>
      <c r="I923" s="13" t="str">
        <f aca="false">IFERROR(INDEX('Semrush Data'!$A$1:$Z$20000,MATCH(A923,'Semrush Data'!$A$1:$A$20000,0),MATCH("CPC*",'Semrush Data'!$A$1:$Z$1,0)),"")</f>
        <v/>
      </c>
      <c r="J923" s="7" t="str">
        <f aca="false">IFERROR(INDEX('Semrush Data'!$A$1:$Z$20000,MATCH(A923,'Semrush Data'!$A$1:$A$20000,0),MATCH("Intent",'Semrush Data'!$A$1:$Z$1,0)),"")</f>
        <v/>
      </c>
    </row>
    <row r="924" customFormat="false" ht="15" hidden="false" customHeight="true" outlineLevel="0" collapsed="false">
      <c r="A924" s="7" t="s">
        <v>2360</v>
      </c>
      <c r="B924" s="7" t="s">
        <v>6814</v>
      </c>
      <c r="C924" s="7" t="n">
        <v>2</v>
      </c>
      <c r="D924" s="7" t="n">
        <v>10</v>
      </c>
      <c r="E924" s="7" t="n">
        <v>1</v>
      </c>
      <c r="F924" s="7" t="s">
        <v>1315</v>
      </c>
      <c r="G924" s="12" t="str">
        <f aca="false">IFERROR(INDEX('Semrush Data'!$A$1:$Z$20000,MATCH(A924,'Semrush Data'!$A$1:$A$20000,0),MATCH("Volume",'Semrush Data'!$A$1:$Z$1,0)),"")</f>
        <v/>
      </c>
      <c r="H924" s="7" t="str">
        <f aca="false">IFERROR(INDEX('Semrush Data'!$A$1:$Z$20000,MATCH(A924,'Semrush Data'!$A$1:$A$20000,0),MATCH("Keyword Difficulty*",'Semrush Data'!$A$1:$Z$1,0)),"")</f>
        <v/>
      </c>
      <c r="I924" s="13" t="str">
        <f aca="false">IFERROR(INDEX('Semrush Data'!$A$1:$Z$20000,MATCH(A924,'Semrush Data'!$A$1:$A$20000,0),MATCH("CPC*",'Semrush Data'!$A$1:$Z$1,0)),"")</f>
        <v/>
      </c>
      <c r="J924" s="7" t="str">
        <f aca="false">IFERROR(INDEX('Semrush Data'!$A$1:$Z$20000,MATCH(A924,'Semrush Data'!$A$1:$A$20000,0),MATCH("Intent",'Semrush Data'!$A$1:$Z$1,0)),"")</f>
        <v/>
      </c>
    </row>
    <row r="925" customFormat="false" ht="15" hidden="false" customHeight="true" outlineLevel="0" collapsed="false">
      <c r="A925" s="7" t="s">
        <v>2039</v>
      </c>
      <c r="B925" s="7" t="s">
        <v>6814</v>
      </c>
      <c r="C925" s="7" t="n">
        <v>2</v>
      </c>
      <c r="D925" s="7" t="n">
        <v>10</v>
      </c>
      <c r="E925" s="7" t="n">
        <v>1</v>
      </c>
      <c r="F925" s="7" t="s">
        <v>992</v>
      </c>
      <c r="G925" s="12" t="str">
        <f aca="false">IFERROR(INDEX('Semrush Data'!$A$1:$Z$20000,MATCH(A925,'Semrush Data'!$A$1:$A$20000,0),MATCH("Volume",'Semrush Data'!$A$1:$Z$1,0)),"")</f>
        <v/>
      </c>
      <c r="H925" s="7" t="str">
        <f aca="false">IFERROR(INDEX('Semrush Data'!$A$1:$Z$20000,MATCH(A925,'Semrush Data'!$A$1:$A$20000,0),MATCH("Keyword Difficulty*",'Semrush Data'!$A$1:$Z$1,0)),"")</f>
        <v/>
      </c>
      <c r="I925" s="13" t="str">
        <f aca="false">IFERROR(INDEX('Semrush Data'!$A$1:$Z$20000,MATCH(A925,'Semrush Data'!$A$1:$A$20000,0),MATCH("CPC*",'Semrush Data'!$A$1:$Z$1,0)),"")</f>
        <v/>
      </c>
      <c r="J925" s="7" t="str">
        <f aca="false">IFERROR(INDEX('Semrush Data'!$A$1:$Z$20000,MATCH(A925,'Semrush Data'!$A$1:$A$20000,0),MATCH("Intent",'Semrush Data'!$A$1:$Z$1,0)),"")</f>
        <v/>
      </c>
    </row>
    <row r="926" customFormat="false" ht="15" hidden="false" customHeight="true" outlineLevel="0" collapsed="false">
      <c r="A926" s="7" t="s">
        <v>2134</v>
      </c>
      <c r="B926" s="7" t="s">
        <v>6814</v>
      </c>
      <c r="C926" s="7" t="n">
        <v>2</v>
      </c>
      <c r="D926" s="7" t="n">
        <v>10</v>
      </c>
      <c r="E926" s="7" t="n">
        <v>1</v>
      </c>
      <c r="F926" s="7" t="s">
        <v>1082</v>
      </c>
      <c r="G926" s="12" t="str">
        <f aca="false">IFERROR(INDEX('Semrush Data'!$A$1:$Z$20000,MATCH(A926,'Semrush Data'!$A$1:$A$20000,0),MATCH("Volume",'Semrush Data'!$A$1:$Z$1,0)),"")</f>
        <v/>
      </c>
      <c r="H926" s="7" t="str">
        <f aca="false">IFERROR(INDEX('Semrush Data'!$A$1:$Z$20000,MATCH(A926,'Semrush Data'!$A$1:$A$20000,0),MATCH("Keyword Difficulty*",'Semrush Data'!$A$1:$Z$1,0)),"")</f>
        <v/>
      </c>
      <c r="I926" s="13" t="str">
        <f aca="false">IFERROR(INDEX('Semrush Data'!$A$1:$Z$20000,MATCH(A926,'Semrush Data'!$A$1:$A$20000,0),MATCH("CPC*",'Semrush Data'!$A$1:$Z$1,0)),"")</f>
        <v/>
      </c>
      <c r="J926" s="7" t="str">
        <f aca="false">IFERROR(INDEX('Semrush Data'!$A$1:$Z$20000,MATCH(A926,'Semrush Data'!$A$1:$A$20000,0),MATCH("Intent",'Semrush Data'!$A$1:$Z$1,0)),"")</f>
        <v/>
      </c>
    </row>
    <row r="927" customFormat="false" ht="15" hidden="false" customHeight="true" outlineLevel="0" collapsed="false">
      <c r="A927" s="7" t="s">
        <v>2194</v>
      </c>
      <c r="B927" s="7" t="s">
        <v>6814</v>
      </c>
      <c r="C927" s="7" t="n">
        <v>2</v>
      </c>
      <c r="D927" s="7" t="n">
        <v>10</v>
      </c>
      <c r="E927" s="7" t="n">
        <v>1</v>
      </c>
      <c r="F927" s="7" t="s">
        <v>1146</v>
      </c>
      <c r="G927" s="12" t="str">
        <f aca="false">IFERROR(INDEX('Semrush Data'!$A$1:$Z$20000,MATCH(A927,'Semrush Data'!$A$1:$A$20000,0),MATCH("Volume",'Semrush Data'!$A$1:$Z$1,0)),"")</f>
        <v/>
      </c>
      <c r="H927" s="7" t="str">
        <f aca="false">IFERROR(INDEX('Semrush Data'!$A$1:$Z$20000,MATCH(A927,'Semrush Data'!$A$1:$A$20000,0),MATCH("Keyword Difficulty*",'Semrush Data'!$A$1:$Z$1,0)),"")</f>
        <v/>
      </c>
      <c r="I927" s="13" t="str">
        <f aca="false">IFERROR(INDEX('Semrush Data'!$A$1:$Z$20000,MATCH(A927,'Semrush Data'!$A$1:$A$20000,0),MATCH("CPC*",'Semrush Data'!$A$1:$Z$1,0)),"")</f>
        <v/>
      </c>
      <c r="J927" s="7" t="str">
        <f aca="false">IFERROR(INDEX('Semrush Data'!$A$1:$Z$20000,MATCH(A927,'Semrush Data'!$A$1:$A$20000,0),MATCH("Intent",'Semrush Data'!$A$1:$Z$1,0)),"")</f>
        <v/>
      </c>
    </row>
    <row r="928" customFormat="false" ht="15" hidden="false" customHeight="true" outlineLevel="0" collapsed="false">
      <c r="A928" s="7" t="s">
        <v>2033</v>
      </c>
      <c r="B928" s="7" t="s">
        <v>6814</v>
      </c>
      <c r="C928" s="7" t="n">
        <v>2</v>
      </c>
      <c r="D928" s="7" t="n">
        <v>10</v>
      </c>
      <c r="E928" s="7" t="n">
        <v>1</v>
      </c>
      <c r="F928" s="7" t="s">
        <v>985</v>
      </c>
      <c r="G928" s="12" t="str">
        <f aca="false">IFERROR(INDEX('Semrush Data'!$A$1:$Z$20000,MATCH(A928,'Semrush Data'!$A$1:$A$20000,0),MATCH("Volume",'Semrush Data'!$A$1:$Z$1,0)),"")</f>
        <v/>
      </c>
      <c r="H928" s="7" t="str">
        <f aca="false">IFERROR(INDEX('Semrush Data'!$A$1:$Z$20000,MATCH(A928,'Semrush Data'!$A$1:$A$20000,0),MATCH("Keyword Difficulty*",'Semrush Data'!$A$1:$Z$1,0)),"")</f>
        <v/>
      </c>
      <c r="I928" s="13" t="str">
        <f aca="false">IFERROR(INDEX('Semrush Data'!$A$1:$Z$20000,MATCH(A928,'Semrush Data'!$A$1:$A$20000,0),MATCH("CPC*",'Semrush Data'!$A$1:$Z$1,0)),"")</f>
        <v/>
      </c>
      <c r="J928" s="7" t="str">
        <f aca="false">IFERROR(INDEX('Semrush Data'!$A$1:$Z$20000,MATCH(A928,'Semrush Data'!$A$1:$A$20000,0),MATCH("Intent",'Semrush Data'!$A$1:$Z$1,0)),"")</f>
        <v/>
      </c>
    </row>
    <row r="929" customFormat="false" ht="15" hidden="false" customHeight="true" outlineLevel="0" collapsed="false">
      <c r="A929" s="7" t="s">
        <v>1972</v>
      </c>
      <c r="B929" s="7" t="s">
        <v>6814</v>
      </c>
      <c r="C929" s="7" t="n">
        <v>2</v>
      </c>
      <c r="D929" s="7" t="n">
        <v>10</v>
      </c>
      <c r="E929" s="7" t="n">
        <v>1</v>
      </c>
      <c r="F929" s="7" t="s">
        <v>925</v>
      </c>
      <c r="G929" s="12" t="str">
        <f aca="false">IFERROR(INDEX('Semrush Data'!$A$1:$Z$20000,MATCH(A929,'Semrush Data'!$A$1:$A$20000,0),MATCH("Volume",'Semrush Data'!$A$1:$Z$1,0)),"")</f>
        <v/>
      </c>
      <c r="H929" s="7" t="str">
        <f aca="false">IFERROR(INDEX('Semrush Data'!$A$1:$Z$20000,MATCH(A929,'Semrush Data'!$A$1:$A$20000,0),MATCH("Keyword Difficulty*",'Semrush Data'!$A$1:$Z$1,0)),"")</f>
        <v/>
      </c>
      <c r="I929" s="13" t="str">
        <f aca="false">IFERROR(INDEX('Semrush Data'!$A$1:$Z$20000,MATCH(A929,'Semrush Data'!$A$1:$A$20000,0),MATCH("CPC*",'Semrush Data'!$A$1:$Z$1,0)),"")</f>
        <v/>
      </c>
      <c r="J929" s="7" t="str">
        <f aca="false">IFERROR(INDEX('Semrush Data'!$A$1:$Z$20000,MATCH(A929,'Semrush Data'!$A$1:$A$20000,0),MATCH("Intent",'Semrush Data'!$A$1:$Z$1,0)),"")</f>
        <v/>
      </c>
    </row>
    <row r="930" customFormat="false" ht="15" hidden="false" customHeight="true" outlineLevel="0" collapsed="false">
      <c r="A930" s="7" t="s">
        <v>2378</v>
      </c>
      <c r="B930" s="7" t="s">
        <v>6814</v>
      </c>
      <c r="C930" s="7" t="n">
        <v>2</v>
      </c>
      <c r="D930" s="7" t="n">
        <v>10</v>
      </c>
      <c r="E930" s="7" t="n">
        <v>1</v>
      </c>
      <c r="F930" s="7" t="s">
        <v>1333</v>
      </c>
      <c r="G930" s="12" t="str">
        <f aca="false">IFERROR(INDEX('Semrush Data'!$A$1:$Z$20000,MATCH(A930,'Semrush Data'!$A$1:$A$20000,0),MATCH("Volume",'Semrush Data'!$A$1:$Z$1,0)),"")</f>
        <v/>
      </c>
      <c r="H930" s="7" t="str">
        <f aca="false">IFERROR(INDEX('Semrush Data'!$A$1:$Z$20000,MATCH(A930,'Semrush Data'!$A$1:$A$20000,0),MATCH("Keyword Difficulty*",'Semrush Data'!$A$1:$Z$1,0)),"")</f>
        <v/>
      </c>
      <c r="I930" s="13" t="str">
        <f aca="false">IFERROR(INDEX('Semrush Data'!$A$1:$Z$20000,MATCH(A930,'Semrush Data'!$A$1:$A$20000,0),MATCH("CPC*",'Semrush Data'!$A$1:$Z$1,0)),"")</f>
        <v/>
      </c>
      <c r="J930" s="7" t="str">
        <f aca="false">IFERROR(INDEX('Semrush Data'!$A$1:$Z$20000,MATCH(A930,'Semrush Data'!$A$1:$A$20000,0),MATCH("Intent",'Semrush Data'!$A$1:$Z$1,0)),"")</f>
        <v/>
      </c>
    </row>
    <row r="931" customFormat="false" ht="15" hidden="false" customHeight="true" outlineLevel="0" collapsed="false">
      <c r="A931" s="7" t="s">
        <v>2336</v>
      </c>
      <c r="B931" s="7" t="s">
        <v>6814</v>
      </c>
      <c r="C931" s="7" t="n">
        <v>2</v>
      </c>
      <c r="D931" s="7" t="n">
        <v>10</v>
      </c>
      <c r="E931" s="7" t="n">
        <v>1</v>
      </c>
      <c r="F931" s="7" t="s">
        <v>1290</v>
      </c>
      <c r="G931" s="12" t="str">
        <f aca="false">IFERROR(INDEX('Semrush Data'!$A$1:$Z$20000,MATCH(A931,'Semrush Data'!$A$1:$A$20000,0),MATCH("Volume",'Semrush Data'!$A$1:$Z$1,0)),"")</f>
        <v/>
      </c>
      <c r="H931" s="7" t="str">
        <f aca="false">IFERROR(INDEX('Semrush Data'!$A$1:$Z$20000,MATCH(A931,'Semrush Data'!$A$1:$A$20000,0),MATCH("Keyword Difficulty*",'Semrush Data'!$A$1:$Z$1,0)),"")</f>
        <v/>
      </c>
      <c r="I931" s="13" t="str">
        <f aca="false">IFERROR(INDEX('Semrush Data'!$A$1:$Z$20000,MATCH(A931,'Semrush Data'!$A$1:$A$20000,0),MATCH("CPC*",'Semrush Data'!$A$1:$Z$1,0)),"")</f>
        <v/>
      </c>
      <c r="J931" s="7" t="str">
        <f aca="false">IFERROR(INDEX('Semrush Data'!$A$1:$Z$20000,MATCH(A931,'Semrush Data'!$A$1:$A$20000,0),MATCH("Intent",'Semrush Data'!$A$1:$Z$1,0)),"")</f>
        <v/>
      </c>
    </row>
    <row r="932" customFormat="false" ht="15" hidden="false" customHeight="true" outlineLevel="0" collapsed="false">
      <c r="A932" s="7" t="s">
        <v>2153</v>
      </c>
      <c r="B932" s="7" t="s">
        <v>6814</v>
      </c>
      <c r="C932" s="7" t="n">
        <v>2</v>
      </c>
      <c r="D932" s="7" t="n">
        <v>10</v>
      </c>
      <c r="E932" s="7" t="n">
        <v>1</v>
      </c>
      <c r="F932" s="7" t="s">
        <v>1104</v>
      </c>
      <c r="G932" s="12" t="str">
        <f aca="false">IFERROR(INDEX('Semrush Data'!$A$1:$Z$20000,MATCH(A932,'Semrush Data'!$A$1:$A$20000,0),MATCH("Volume",'Semrush Data'!$A$1:$Z$1,0)),"")</f>
        <v/>
      </c>
      <c r="H932" s="7" t="str">
        <f aca="false">IFERROR(INDEX('Semrush Data'!$A$1:$Z$20000,MATCH(A932,'Semrush Data'!$A$1:$A$20000,0),MATCH("Keyword Difficulty*",'Semrush Data'!$A$1:$Z$1,0)),"")</f>
        <v/>
      </c>
      <c r="I932" s="13" t="str">
        <f aca="false">IFERROR(INDEX('Semrush Data'!$A$1:$Z$20000,MATCH(A932,'Semrush Data'!$A$1:$A$20000,0),MATCH("CPC*",'Semrush Data'!$A$1:$Z$1,0)),"")</f>
        <v/>
      </c>
      <c r="J932" s="7" t="str">
        <f aca="false">IFERROR(INDEX('Semrush Data'!$A$1:$Z$20000,MATCH(A932,'Semrush Data'!$A$1:$A$20000,0),MATCH("Intent",'Semrush Data'!$A$1:$Z$1,0)),"")</f>
        <v/>
      </c>
    </row>
    <row r="933" customFormat="false" ht="15" hidden="false" customHeight="true" outlineLevel="0" collapsed="false">
      <c r="A933" s="7" t="s">
        <v>2312</v>
      </c>
      <c r="B933" s="7" t="s">
        <v>6814</v>
      </c>
      <c r="C933" s="7" t="n">
        <v>2</v>
      </c>
      <c r="D933" s="7" t="n">
        <v>10</v>
      </c>
      <c r="E933" s="7" t="n">
        <v>1</v>
      </c>
      <c r="F933" s="7" t="s">
        <v>1266</v>
      </c>
      <c r="G933" s="12" t="str">
        <f aca="false">IFERROR(INDEX('Semrush Data'!$A$1:$Z$20000,MATCH(A933,'Semrush Data'!$A$1:$A$20000,0),MATCH("Volume",'Semrush Data'!$A$1:$Z$1,0)),"")</f>
        <v/>
      </c>
      <c r="H933" s="7" t="str">
        <f aca="false">IFERROR(INDEX('Semrush Data'!$A$1:$Z$20000,MATCH(A933,'Semrush Data'!$A$1:$A$20000,0),MATCH("Keyword Difficulty*",'Semrush Data'!$A$1:$Z$1,0)),"")</f>
        <v/>
      </c>
      <c r="I933" s="13" t="str">
        <f aca="false">IFERROR(INDEX('Semrush Data'!$A$1:$Z$20000,MATCH(A933,'Semrush Data'!$A$1:$A$20000,0),MATCH("CPC*",'Semrush Data'!$A$1:$Z$1,0)),"")</f>
        <v/>
      </c>
      <c r="J933" s="7" t="str">
        <f aca="false">IFERROR(INDEX('Semrush Data'!$A$1:$Z$20000,MATCH(A933,'Semrush Data'!$A$1:$A$20000,0),MATCH("Intent",'Semrush Data'!$A$1:$Z$1,0)),"")</f>
        <v/>
      </c>
    </row>
    <row r="934" customFormat="false" ht="15" hidden="false" customHeight="true" outlineLevel="0" collapsed="false">
      <c r="A934" s="7" t="s">
        <v>2093</v>
      </c>
      <c r="B934" s="7" t="s">
        <v>6814</v>
      </c>
      <c r="C934" s="7" t="n">
        <v>2</v>
      </c>
      <c r="D934" s="7" t="n">
        <v>10</v>
      </c>
      <c r="E934" s="7" t="n">
        <v>1</v>
      </c>
      <c r="F934" s="7" t="s">
        <v>1043</v>
      </c>
      <c r="G934" s="12" t="str">
        <f aca="false">IFERROR(INDEX('Semrush Data'!$A$1:$Z$20000,MATCH(A934,'Semrush Data'!$A$1:$A$20000,0),MATCH("Volume",'Semrush Data'!$A$1:$Z$1,0)),"")</f>
        <v/>
      </c>
      <c r="H934" s="7" t="str">
        <f aca="false">IFERROR(INDEX('Semrush Data'!$A$1:$Z$20000,MATCH(A934,'Semrush Data'!$A$1:$A$20000,0),MATCH("Keyword Difficulty*",'Semrush Data'!$A$1:$Z$1,0)),"")</f>
        <v/>
      </c>
      <c r="I934" s="13" t="str">
        <f aca="false">IFERROR(INDEX('Semrush Data'!$A$1:$Z$20000,MATCH(A934,'Semrush Data'!$A$1:$A$20000,0),MATCH("CPC*",'Semrush Data'!$A$1:$Z$1,0)),"")</f>
        <v/>
      </c>
      <c r="J934" s="7" t="str">
        <f aca="false">IFERROR(INDEX('Semrush Data'!$A$1:$Z$20000,MATCH(A934,'Semrush Data'!$A$1:$A$20000,0),MATCH("Intent",'Semrush Data'!$A$1:$Z$1,0)),"")</f>
        <v/>
      </c>
    </row>
    <row r="935" customFormat="false" ht="15" hidden="false" customHeight="true" outlineLevel="0" collapsed="false">
      <c r="A935" s="7" t="s">
        <v>2342</v>
      </c>
      <c r="B935" s="7" t="s">
        <v>6814</v>
      </c>
      <c r="C935" s="7" t="n">
        <v>2</v>
      </c>
      <c r="D935" s="7" t="n">
        <v>10</v>
      </c>
      <c r="E935" s="7" t="n">
        <v>1</v>
      </c>
      <c r="F935" s="7" t="s">
        <v>1297</v>
      </c>
      <c r="G935" s="12" t="str">
        <f aca="false">IFERROR(INDEX('Semrush Data'!$A$1:$Z$20000,MATCH(A935,'Semrush Data'!$A$1:$A$20000,0),MATCH("Volume",'Semrush Data'!$A$1:$Z$1,0)),"")</f>
        <v/>
      </c>
      <c r="H935" s="7" t="str">
        <f aca="false">IFERROR(INDEX('Semrush Data'!$A$1:$Z$20000,MATCH(A935,'Semrush Data'!$A$1:$A$20000,0),MATCH("Keyword Difficulty*",'Semrush Data'!$A$1:$Z$1,0)),"")</f>
        <v/>
      </c>
      <c r="I935" s="13" t="str">
        <f aca="false">IFERROR(INDEX('Semrush Data'!$A$1:$Z$20000,MATCH(A935,'Semrush Data'!$A$1:$A$20000,0),MATCH("CPC*",'Semrush Data'!$A$1:$Z$1,0)),"")</f>
        <v/>
      </c>
      <c r="J935" s="7" t="str">
        <f aca="false">IFERROR(INDEX('Semrush Data'!$A$1:$Z$20000,MATCH(A935,'Semrush Data'!$A$1:$A$20000,0),MATCH("Intent",'Semrush Data'!$A$1:$Z$1,0)),"")</f>
        <v/>
      </c>
    </row>
    <row r="936" customFormat="false" ht="15" hidden="false" customHeight="true" outlineLevel="0" collapsed="false">
      <c r="A936" s="7" t="s">
        <v>2306</v>
      </c>
      <c r="B936" s="7" t="s">
        <v>6814</v>
      </c>
      <c r="C936" s="7" t="n">
        <v>2</v>
      </c>
      <c r="D936" s="7" t="n">
        <v>10</v>
      </c>
      <c r="E936" s="7" t="n">
        <v>1</v>
      </c>
      <c r="F936" s="7" t="s">
        <v>1260</v>
      </c>
      <c r="G936" s="12" t="str">
        <f aca="false">IFERROR(INDEX('Semrush Data'!$A$1:$Z$20000,MATCH(A936,'Semrush Data'!$A$1:$A$20000,0),MATCH("Volume",'Semrush Data'!$A$1:$Z$1,0)),"")</f>
        <v/>
      </c>
      <c r="H936" s="7" t="str">
        <f aca="false">IFERROR(INDEX('Semrush Data'!$A$1:$Z$20000,MATCH(A936,'Semrush Data'!$A$1:$A$20000,0),MATCH("Keyword Difficulty*",'Semrush Data'!$A$1:$Z$1,0)),"")</f>
        <v/>
      </c>
      <c r="I936" s="13" t="str">
        <f aca="false">IFERROR(INDEX('Semrush Data'!$A$1:$Z$20000,MATCH(A936,'Semrush Data'!$A$1:$A$20000,0),MATCH("CPC*",'Semrush Data'!$A$1:$Z$1,0)),"")</f>
        <v/>
      </c>
      <c r="J936" s="7" t="str">
        <f aca="false">IFERROR(INDEX('Semrush Data'!$A$1:$Z$20000,MATCH(A936,'Semrush Data'!$A$1:$A$20000,0),MATCH("Intent",'Semrush Data'!$A$1:$Z$1,0)),"")</f>
        <v/>
      </c>
    </row>
    <row r="937" customFormat="false" ht="15" hidden="false" customHeight="true" outlineLevel="0" collapsed="false">
      <c r="A937" s="7" t="s">
        <v>2330</v>
      </c>
      <c r="B937" s="7" t="s">
        <v>6814</v>
      </c>
      <c r="C937" s="7" t="n">
        <v>2</v>
      </c>
      <c r="D937" s="7" t="n">
        <v>10</v>
      </c>
      <c r="E937" s="7" t="n">
        <v>1</v>
      </c>
      <c r="F937" s="7" t="s">
        <v>1284</v>
      </c>
      <c r="G937" s="12" t="str">
        <f aca="false">IFERROR(INDEX('Semrush Data'!$A$1:$Z$20000,MATCH(A937,'Semrush Data'!$A$1:$A$20000,0),MATCH("Volume",'Semrush Data'!$A$1:$Z$1,0)),"")</f>
        <v/>
      </c>
      <c r="H937" s="7" t="str">
        <f aca="false">IFERROR(INDEX('Semrush Data'!$A$1:$Z$20000,MATCH(A937,'Semrush Data'!$A$1:$A$20000,0),MATCH("Keyword Difficulty*",'Semrush Data'!$A$1:$Z$1,0)),"")</f>
        <v/>
      </c>
      <c r="I937" s="13" t="str">
        <f aca="false">IFERROR(INDEX('Semrush Data'!$A$1:$Z$20000,MATCH(A937,'Semrush Data'!$A$1:$A$20000,0),MATCH("CPC*",'Semrush Data'!$A$1:$Z$1,0)),"")</f>
        <v/>
      </c>
      <c r="J937" s="7" t="str">
        <f aca="false">IFERROR(INDEX('Semrush Data'!$A$1:$Z$20000,MATCH(A937,'Semrush Data'!$A$1:$A$20000,0),MATCH("Intent",'Semrush Data'!$A$1:$Z$1,0)),"")</f>
        <v/>
      </c>
    </row>
    <row r="938" customFormat="false" ht="15" hidden="false" customHeight="true" outlineLevel="0" collapsed="false">
      <c r="A938" s="7" t="s">
        <v>2295</v>
      </c>
      <c r="B938" s="7" t="s">
        <v>6814</v>
      </c>
      <c r="C938" s="7" t="n">
        <v>2</v>
      </c>
      <c r="D938" s="7" t="n">
        <v>10</v>
      </c>
      <c r="E938" s="7" t="n">
        <v>1</v>
      </c>
      <c r="F938" s="7" t="s">
        <v>1248</v>
      </c>
      <c r="G938" s="12" t="str">
        <f aca="false">IFERROR(INDEX('Semrush Data'!$A$1:$Z$20000,MATCH(A938,'Semrush Data'!$A$1:$A$20000,0),MATCH("Volume",'Semrush Data'!$A$1:$Z$1,0)),"")</f>
        <v/>
      </c>
      <c r="H938" s="7" t="str">
        <f aca="false">IFERROR(INDEX('Semrush Data'!$A$1:$Z$20000,MATCH(A938,'Semrush Data'!$A$1:$A$20000,0),MATCH("Keyword Difficulty*",'Semrush Data'!$A$1:$Z$1,0)),"")</f>
        <v/>
      </c>
      <c r="I938" s="13" t="str">
        <f aca="false">IFERROR(INDEX('Semrush Data'!$A$1:$Z$20000,MATCH(A938,'Semrush Data'!$A$1:$A$20000,0),MATCH("CPC*",'Semrush Data'!$A$1:$Z$1,0)),"")</f>
        <v/>
      </c>
      <c r="J938" s="7" t="str">
        <f aca="false">IFERROR(INDEX('Semrush Data'!$A$1:$Z$20000,MATCH(A938,'Semrush Data'!$A$1:$A$20000,0),MATCH("Intent",'Semrush Data'!$A$1:$Z$1,0)),"")</f>
        <v/>
      </c>
    </row>
    <row r="939" customFormat="false" ht="15" hidden="false" customHeight="true" outlineLevel="0" collapsed="false">
      <c r="A939" s="7" t="s">
        <v>2301</v>
      </c>
      <c r="B939" s="7" t="s">
        <v>6814</v>
      </c>
      <c r="C939" s="7" t="n">
        <v>2</v>
      </c>
      <c r="D939" s="7" t="n">
        <v>10</v>
      </c>
      <c r="E939" s="7" t="n">
        <v>1</v>
      </c>
      <c r="F939" s="7" t="s">
        <v>1254</v>
      </c>
      <c r="G939" s="12" t="str">
        <f aca="false">IFERROR(INDEX('Semrush Data'!$A$1:$Z$20000,MATCH(A939,'Semrush Data'!$A$1:$A$20000,0),MATCH("Volume",'Semrush Data'!$A$1:$Z$1,0)),"")</f>
        <v/>
      </c>
      <c r="H939" s="7" t="str">
        <f aca="false">IFERROR(INDEX('Semrush Data'!$A$1:$Z$20000,MATCH(A939,'Semrush Data'!$A$1:$A$20000,0),MATCH("Keyword Difficulty*",'Semrush Data'!$A$1:$Z$1,0)),"")</f>
        <v/>
      </c>
      <c r="I939" s="13" t="str">
        <f aca="false">IFERROR(INDEX('Semrush Data'!$A$1:$Z$20000,MATCH(A939,'Semrush Data'!$A$1:$A$20000,0),MATCH("CPC*",'Semrush Data'!$A$1:$Z$1,0)),"")</f>
        <v/>
      </c>
      <c r="J939" s="7" t="str">
        <f aca="false">IFERROR(INDEX('Semrush Data'!$A$1:$Z$20000,MATCH(A939,'Semrush Data'!$A$1:$A$20000,0),MATCH("Intent",'Semrush Data'!$A$1:$Z$1,0)),"")</f>
        <v/>
      </c>
    </row>
    <row r="940" customFormat="false" ht="15" hidden="false" customHeight="true" outlineLevel="0" collapsed="false">
      <c r="A940" s="7" t="s">
        <v>1965</v>
      </c>
      <c r="B940" s="7" t="s">
        <v>6814</v>
      </c>
      <c r="C940" s="7" t="n">
        <v>2</v>
      </c>
      <c r="D940" s="7" t="n">
        <v>10</v>
      </c>
      <c r="E940" s="7" t="n">
        <v>1</v>
      </c>
      <c r="F940" s="7" t="s">
        <v>918</v>
      </c>
      <c r="G940" s="12" t="str">
        <f aca="false">IFERROR(INDEX('Semrush Data'!$A$1:$Z$20000,MATCH(A940,'Semrush Data'!$A$1:$A$20000,0),MATCH("Volume",'Semrush Data'!$A$1:$Z$1,0)),"")</f>
        <v/>
      </c>
      <c r="H940" s="7" t="str">
        <f aca="false">IFERROR(INDEX('Semrush Data'!$A$1:$Z$20000,MATCH(A940,'Semrush Data'!$A$1:$A$20000,0),MATCH("Keyword Difficulty*",'Semrush Data'!$A$1:$Z$1,0)),"")</f>
        <v/>
      </c>
      <c r="I940" s="13" t="str">
        <f aca="false">IFERROR(INDEX('Semrush Data'!$A$1:$Z$20000,MATCH(A940,'Semrush Data'!$A$1:$A$20000,0),MATCH("CPC*",'Semrush Data'!$A$1:$Z$1,0)),"")</f>
        <v/>
      </c>
      <c r="J940" s="7" t="str">
        <f aca="false">IFERROR(INDEX('Semrush Data'!$A$1:$Z$20000,MATCH(A940,'Semrush Data'!$A$1:$A$20000,0),MATCH("Intent",'Semrush Data'!$A$1:$Z$1,0)),"")</f>
        <v/>
      </c>
    </row>
    <row r="941" customFormat="false" ht="15" hidden="false" customHeight="true" outlineLevel="0" collapsed="false">
      <c r="A941" s="7" t="s">
        <v>2271</v>
      </c>
      <c r="B941" s="7" t="s">
        <v>6814</v>
      </c>
      <c r="C941" s="7" t="n">
        <v>2</v>
      </c>
      <c r="D941" s="7" t="n">
        <v>10</v>
      </c>
      <c r="E941" s="7" t="n">
        <v>1</v>
      </c>
      <c r="F941" s="7" t="s">
        <v>1224</v>
      </c>
      <c r="G941" s="12" t="str">
        <f aca="false">IFERROR(INDEX('Semrush Data'!$A$1:$Z$20000,MATCH(A941,'Semrush Data'!$A$1:$A$20000,0),MATCH("Volume",'Semrush Data'!$A$1:$Z$1,0)),"")</f>
        <v/>
      </c>
      <c r="H941" s="7" t="str">
        <f aca="false">IFERROR(INDEX('Semrush Data'!$A$1:$Z$20000,MATCH(A941,'Semrush Data'!$A$1:$A$20000,0),MATCH("Keyword Difficulty*",'Semrush Data'!$A$1:$Z$1,0)),"")</f>
        <v/>
      </c>
      <c r="I941" s="13" t="str">
        <f aca="false">IFERROR(INDEX('Semrush Data'!$A$1:$Z$20000,MATCH(A941,'Semrush Data'!$A$1:$A$20000,0),MATCH("CPC*",'Semrush Data'!$A$1:$Z$1,0)),"")</f>
        <v/>
      </c>
      <c r="J941" s="7" t="str">
        <f aca="false">IFERROR(INDEX('Semrush Data'!$A$1:$Z$20000,MATCH(A941,'Semrush Data'!$A$1:$A$20000,0),MATCH("Intent",'Semrush Data'!$A$1:$Z$1,0)),"")</f>
        <v/>
      </c>
    </row>
    <row r="942" customFormat="false" ht="15" hidden="false" customHeight="true" outlineLevel="0" collapsed="false">
      <c r="A942" s="7" t="s">
        <v>2086</v>
      </c>
      <c r="B942" s="7" t="s">
        <v>6814</v>
      </c>
      <c r="C942" s="7" t="n">
        <v>2</v>
      </c>
      <c r="D942" s="7" t="n">
        <v>10</v>
      </c>
      <c r="E942" s="7" t="n">
        <v>1</v>
      </c>
      <c r="F942" s="7" t="s">
        <v>1037</v>
      </c>
      <c r="G942" s="12" t="str">
        <f aca="false">IFERROR(INDEX('Semrush Data'!$A$1:$Z$20000,MATCH(A942,'Semrush Data'!$A$1:$A$20000,0),MATCH("Volume",'Semrush Data'!$A$1:$Z$1,0)),"")</f>
        <v/>
      </c>
      <c r="H942" s="7" t="str">
        <f aca="false">IFERROR(INDEX('Semrush Data'!$A$1:$Z$20000,MATCH(A942,'Semrush Data'!$A$1:$A$20000,0),MATCH("Keyword Difficulty*",'Semrush Data'!$A$1:$Z$1,0)),"")</f>
        <v/>
      </c>
      <c r="I942" s="13" t="str">
        <f aca="false">IFERROR(INDEX('Semrush Data'!$A$1:$Z$20000,MATCH(A942,'Semrush Data'!$A$1:$A$20000,0),MATCH("CPC*",'Semrush Data'!$A$1:$Z$1,0)),"")</f>
        <v/>
      </c>
      <c r="J942" s="7" t="str">
        <f aca="false">IFERROR(INDEX('Semrush Data'!$A$1:$Z$20000,MATCH(A942,'Semrush Data'!$A$1:$A$20000,0),MATCH("Intent",'Semrush Data'!$A$1:$Z$1,0)),"")</f>
        <v/>
      </c>
    </row>
    <row r="943" customFormat="false" ht="15" hidden="false" customHeight="true" outlineLevel="0" collapsed="false">
      <c r="A943" s="7" t="s">
        <v>2354</v>
      </c>
      <c r="B943" s="7" t="s">
        <v>6814</v>
      </c>
      <c r="C943" s="7" t="n">
        <v>2</v>
      </c>
      <c r="D943" s="7" t="n">
        <v>10</v>
      </c>
      <c r="E943" s="7" t="n">
        <v>1</v>
      </c>
      <c r="F943" s="7" t="s">
        <v>1309</v>
      </c>
      <c r="G943" s="12" t="str">
        <f aca="false">IFERROR(INDEX('Semrush Data'!$A$1:$Z$20000,MATCH(A943,'Semrush Data'!$A$1:$A$20000,0),MATCH("Volume",'Semrush Data'!$A$1:$Z$1,0)),"")</f>
        <v/>
      </c>
      <c r="H943" s="7" t="str">
        <f aca="false">IFERROR(INDEX('Semrush Data'!$A$1:$Z$20000,MATCH(A943,'Semrush Data'!$A$1:$A$20000,0),MATCH("Keyword Difficulty*",'Semrush Data'!$A$1:$Z$1,0)),"")</f>
        <v/>
      </c>
      <c r="I943" s="13" t="str">
        <f aca="false">IFERROR(INDEX('Semrush Data'!$A$1:$Z$20000,MATCH(A943,'Semrush Data'!$A$1:$A$20000,0),MATCH("CPC*",'Semrush Data'!$A$1:$Z$1,0)),"")</f>
        <v/>
      </c>
      <c r="J943" s="7" t="str">
        <f aca="false">IFERROR(INDEX('Semrush Data'!$A$1:$Z$20000,MATCH(A943,'Semrush Data'!$A$1:$A$20000,0),MATCH("Intent",'Semrush Data'!$A$1:$Z$1,0)),"")</f>
        <v/>
      </c>
    </row>
    <row r="944" customFormat="false" ht="15" hidden="false" customHeight="true" outlineLevel="0" collapsed="false">
      <c r="A944" s="7" t="s">
        <v>2053</v>
      </c>
      <c r="B944" s="7" t="s">
        <v>6814</v>
      </c>
      <c r="C944" s="7" t="n">
        <v>2</v>
      </c>
      <c r="D944" s="7" t="n">
        <v>10</v>
      </c>
      <c r="E944" s="7" t="n">
        <v>1</v>
      </c>
      <c r="F944" s="7" t="s">
        <v>1006</v>
      </c>
      <c r="G944" s="12" t="str">
        <f aca="false">IFERROR(INDEX('Semrush Data'!$A$1:$Z$20000,MATCH(A944,'Semrush Data'!$A$1:$A$20000,0),MATCH("Volume",'Semrush Data'!$A$1:$Z$1,0)),"")</f>
        <v/>
      </c>
      <c r="H944" s="7" t="str">
        <f aca="false">IFERROR(INDEX('Semrush Data'!$A$1:$Z$20000,MATCH(A944,'Semrush Data'!$A$1:$A$20000,0),MATCH("Keyword Difficulty*",'Semrush Data'!$A$1:$Z$1,0)),"")</f>
        <v/>
      </c>
      <c r="I944" s="13" t="str">
        <f aca="false">IFERROR(INDEX('Semrush Data'!$A$1:$Z$20000,MATCH(A944,'Semrush Data'!$A$1:$A$20000,0),MATCH("CPC*",'Semrush Data'!$A$1:$Z$1,0)),"")</f>
        <v/>
      </c>
      <c r="J944" s="7" t="str">
        <f aca="false">IFERROR(INDEX('Semrush Data'!$A$1:$Z$20000,MATCH(A944,'Semrush Data'!$A$1:$A$20000,0),MATCH("Intent",'Semrush Data'!$A$1:$Z$1,0)),"")</f>
        <v/>
      </c>
    </row>
    <row r="945" customFormat="false" ht="15" hidden="false" customHeight="true" outlineLevel="0" collapsed="false">
      <c r="A945" s="7" t="s">
        <v>2240</v>
      </c>
      <c r="B945" s="7" t="s">
        <v>6814</v>
      </c>
      <c r="C945" s="7" t="n">
        <v>2</v>
      </c>
      <c r="D945" s="7" t="n">
        <v>10</v>
      </c>
      <c r="E945" s="7" t="n">
        <v>1</v>
      </c>
      <c r="F945" s="7" t="s">
        <v>1194</v>
      </c>
      <c r="G945" s="12" t="str">
        <f aca="false">IFERROR(INDEX('Semrush Data'!$A$1:$Z$20000,MATCH(A945,'Semrush Data'!$A$1:$A$20000,0),MATCH("Volume",'Semrush Data'!$A$1:$Z$1,0)),"")</f>
        <v/>
      </c>
      <c r="H945" s="7" t="str">
        <f aca="false">IFERROR(INDEX('Semrush Data'!$A$1:$Z$20000,MATCH(A945,'Semrush Data'!$A$1:$A$20000,0),MATCH("Keyword Difficulty*",'Semrush Data'!$A$1:$Z$1,0)),"")</f>
        <v/>
      </c>
      <c r="I945" s="13" t="str">
        <f aca="false">IFERROR(INDEX('Semrush Data'!$A$1:$Z$20000,MATCH(A945,'Semrush Data'!$A$1:$A$20000,0),MATCH("CPC*",'Semrush Data'!$A$1:$Z$1,0)),"")</f>
        <v/>
      </c>
      <c r="J945" s="7" t="str">
        <f aca="false">IFERROR(INDEX('Semrush Data'!$A$1:$Z$20000,MATCH(A945,'Semrush Data'!$A$1:$A$20000,0),MATCH("Intent",'Semrush Data'!$A$1:$Z$1,0)),"")</f>
        <v/>
      </c>
    </row>
    <row r="946" customFormat="false" ht="15" hidden="false" customHeight="true" outlineLevel="0" collapsed="false">
      <c r="A946" s="7" t="s">
        <v>2079</v>
      </c>
      <c r="B946" s="7" t="s">
        <v>6814</v>
      </c>
      <c r="C946" s="7" t="n">
        <v>2</v>
      </c>
      <c r="D946" s="7" t="n">
        <v>10</v>
      </c>
      <c r="E946" s="7" t="n">
        <v>1</v>
      </c>
      <c r="F946" s="7" t="s">
        <v>1031</v>
      </c>
      <c r="G946" s="12" t="str">
        <f aca="false">IFERROR(INDEX('Semrush Data'!$A$1:$Z$20000,MATCH(A946,'Semrush Data'!$A$1:$A$20000,0),MATCH("Volume",'Semrush Data'!$A$1:$Z$1,0)),"")</f>
        <v/>
      </c>
      <c r="H946" s="7" t="str">
        <f aca="false">IFERROR(INDEX('Semrush Data'!$A$1:$Z$20000,MATCH(A946,'Semrush Data'!$A$1:$A$20000,0),MATCH("Keyword Difficulty*",'Semrush Data'!$A$1:$Z$1,0)),"")</f>
        <v/>
      </c>
      <c r="I946" s="13" t="str">
        <f aca="false">IFERROR(INDEX('Semrush Data'!$A$1:$Z$20000,MATCH(A946,'Semrush Data'!$A$1:$A$20000,0),MATCH("CPC*",'Semrush Data'!$A$1:$Z$1,0)),"")</f>
        <v/>
      </c>
      <c r="J946" s="7" t="str">
        <f aca="false">IFERROR(INDEX('Semrush Data'!$A$1:$Z$20000,MATCH(A946,'Semrush Data'!$A$1:$A$20000,0),MATCH("Intent",'Semrush Data'!$A$1:$Z$1,0)),"")</f>
        <v/>
      </c>
    </row>
    <row r="947" customFormat="false" ht="15" hidden="false" customHeight="true" outlineLevel="0" collapsed="false">
      <c r="A947" s="7" t="s">
        <v>1992</v>
      </c>
      <c r="B947" s="7" t="s">
        <v>6814</v>
      </c>
      <c r="C947" s="7" t="n">
        <v>2</v>
      </c>
      <c r="D947" s="7" t="n">
        <v>10</v>
      </c>
      <c r="E947" s="7" t="n">
        <v>1</v>
      </c>
      <c r="F947" s="7" t="s">
        <v>946</v>
      </c>
      <c r="G947" s="12" t="str">
        <f aca="false">IFERROR(INDEX('Semrush Data'!$A$1:$Z$20000,MATCH(A947,'Semrush Data'!$A$1:$A$20000,0),MATCH("Volume",'Semrush Data'!$A$1:$Z$1,0)),"")</f>
        <v/>
      </c>
      <c r="H947" s="7" t="str">
        <f aca="false">IFERROR(INDEX('Semrush Data'!$A$1:$Z$20000,MATCH(A947,'Semrush Data'!$A$1:$A$20000,0),MATCH("Keyword Difficulty*",'Semrush Data'!$A$1:$Z$1,0)),"")</f>
        <v/>
      </c>
      <c r="I947" s="13" t="str">
        <f aca="false">IFERROR(INDEX('Semrush Data'!$A$1:$Z$20000,MATCH(A947,'Semrush Data'!$A$1:$A$20000,0),MATCH("CPC*",'Semrush Data'!$A$1:$Z$1,0)),"")</f>
        <v/>
      </c>
      <c r="J947" s="7" t="str">
        <f aca="false">IFERROR(INDEX('Semrush Data'!$A$1:$Z$20000,MATCH(A947,'Semrush Data'!$A$1:$A$20000,0),MATCH("Intent",'Semrush Data'!$A$1:$Z$1,0)),"")</f>
        <v/>
      </c>
    </row>
    <row r="948" customFormat="false" ht="15" hidden="false" customHeight="true" outlineLevel="0" collapsed="false">
      <c r="A948" s="7" t="s">
        <v>2348</v>
      </c>
      <c r="B948" s="7" t="s">
        <v>6814</v>
      </c>
      <c r="C948" s="7" t="n">
        <v>2</v>
      </c>
      <c r="D948" s="7" t="n">
        <v>10</v>
      </c>
      <c r="E948" s="7" t="n">
        <v>1</v>
      </c>
      <c r="F948" s="7" t="s">
        <v>1303</v>
      </c>
      <c r="G948" s="12" t="str">
        <f aca="false">IFERROR(INDEX('Semrush Data'!$A$1:$Z$20000,MATCH(A948,'Semrush Data'!$A$1:$A$20000,0),MATCH("Volume",'Semrush Data'!$A$1:$Z$1,0)),"")</f>
        <v/>
      </c>
      <c r="H948" s="7" t="str">
        <f aca="false">IFERROR(INDEX('Semrush Data'!$A$1:$Z$20000,MATCH(A948,'Semrush Data'!$A$1:$A$20000,0),MATCH("Keyword Difficulty*",'Semrush Data'!$A$1:$Z$1,0)),"")</f>
        <v/>
      </c>
      <c r="I948" s="13" t="str">
        <f aca="false">IFERROR(INDEX('Semrush Data'!$A$1:$Z$20000,MATCH(A948,'Semrush Data'!$A$1:$A$20000,0),MATCH("CPC*",'Semrush Data'!$A$1:$Z$1,0)),"")</f>
        <v/>
      </c>
      <c r="J948" s="7" t="str">
        <f aca="false">IFERROR(INDEX('Semrush Data'!$A$1:$Z$20000,MATCH(A948,'Semrush Data'!$A$1:$A$20000,0),MATCH("Intent",'Semrush Data'!$A$1:$Z$1,0)),"")</f>
        <v/>
      </c>
    </row>
    <row r="949" customFormat="false" ht="15" hidden="false" customHeight="true" outlineLevel="0" collapsed="false">
      <c r="A949" s="7" t="s">
        <v>2366</v>
      </c>
      <c r="B949" s="7" t="s">
        <v>6814</v>
      </c>
      <c r="C949" s="7" t="n">
        <v>2</v>
      </c>
      <c r="D949" s="7" t="n">
        <v>10</v>
      </c>
      <c r="E949" s="7" t="n">
        <v>1</v>
      </c>
      <c r="F949" s="7" t="s">
        <v>1321</v>
      </c>
      <c r="G949" s="12" t="str">
        <f aca="false">IFERROR(INDEX('Semrush Data'!$A$1:$Z$20000,MATCH(A949,'Semrush Data'!$A$1:$A$20000,0),MATCH("Volume",'Semrush Data'!$A$1:$Z$1,0)),"")</f>
        <v/>
      </c>
      <c r="H949" s="7" t="str">
        <f aca="false">IFERROR(INDEX('Semrush Data'!$A$1:$Z$20000,MATCH(A949,'Semrush Data'!$A$1:$A$20000,0),MATCH("Keyword Difficulty*",'Semrush Data'!$A$1:$Z$1,0)),"")</f>
        <v/>
      </c>
      <c r="I949" s="13" t="str">
        <f aca="false">IFERROR(INDEX('Semrush Data'!$A$1:$Z$20000,MATCH(A949,'Semrush Data'!$A$1:$A$20000,0),MATCH("CPC*",'Semrush Data'!$A$1:$Z$1,0)),"")</f>
        <v/>
      </c>
      <c r="J949" s="7" t="str">
        <f aca="false">IFERROR(INDEX('Semrush Data'!$A$1:$Z$20000,MATCH(A949,'Semrush Data'!$A$1:$A$20000,0),MATCH("Intent",'Semrush Data'!$A$1:$Z$1,0)),"")</f>
        <v/>
      </c>
    </row>
    <row r="950" customFormat="false" ht="15" hidden="false" customHeight="true" outlineLevel="0" collapsed="false">
      <c r="A950" s="7" t="s">
        <v>2100</v>
      </c>
      <c r="B950" s="7" t="s">
        <v>6814</v>
      </c>
      <c r="C950" s="7" t="n">
        <v>2</v>
      </c>
      <c r="D950" s="7" t="n">
        <v>10</v>
      </c>
      <c r="E950" s="7" t="n">
        <v>1</v>
      </c>
      <c r="F950" s="7" t="s">
        <v>1051</v>
      </c>
      <c r="G950" s="12" t="str">
        <f aca="false">IFERROR(INDEX('Semrush Data'!$A$1:$Z$20000,MATCH(A950,'Semrush Data'!$A$1:$A$20000,0),MATCH("Volume",'Semrush Data'!$A$1:$Z$1,0)),"")</f>
        <v/>
      </c>
      <c r="H950" s="7" t="str">
        <f aca="false">IFERROR(INDEX('Semrush Data'!$A$1:$Z$20000,MATCH(A950,'Semrush Data'!$A$1:$A$20000,0),MATCH("Keyword Difficulty*",'Semrush Data'!$A$1:$Z$1,0)),"")</f>
        <v/>
      </c>
      <c r="I950" s="13" t="str">
        <f aca="false">IFERROR(INDEX('Semrush Data'!$A$1:$Z$20000,MATCH(A950,'Semrush Data'!$A$1:$A$20000,0),MATCH("CPC*",'Semrush Data'!$A$1:$Z$1,0)),"")</f>
        <v/>
      </c>
      <c r="J950" s="7" t="str">
        <f aca="false">IFERROR(INDEX('Semrush Data'!$A$1:$Z$20000,MATCH(A950,'Semrush Data'!$A$1:$A$20000,0),MATCH("Intent",'Semrush Data'!$A$1:$Z$1,0)),"")</f>
        <v/>
      </c>
    </row>
    <row r="951" customFormat="false" ht="15" hidden="false" customHeight="true" outlineLevel="0" collapsed="false">
      <c r="A951" s="7" t="s">
        <v>1929</v>
      </c>
      <c r="B951" s="7" t="s">
        <v>6814</v>
      </c>
      <c r="C951" s="7" t="n">
        <v>2</v>
      </c>
      <c r="D951" s="7" t="n">
        <v>10</v>
      </c>
      <c r="E951" s="7" t="n">
        <v>1</v>
      </c>
      <c r="F951" s="7" t="s">
        <v>885</v>
      </c>
      <c r="G951" s="12" t="str">
        <f aca="false">IFERROR(INDEX('Semrush Data'!$A$1:$Z$20000,MATCH(A951,'Semrush Data'!$A$1:$A$20000,0),MATCH("Volume",'Semrush Data'!$A$1:$Z$1,0)),"")</f>
        <v/>
      </c>
      <c r="H951" s="7" t="str">
        <f aca="false">IFERROR(INDEX('Semrush Data'!$A$1:$Z$20000,MATCH(A951,'Semrush Data'!$A$1:$A$20000,0),MATCH("Keyword Difficulty*",'Semrush Data'!$A$1:$Z$1,0)),"")</f>
        <v/>
      </c>
      <c r="I951" s="13" t="str">
        <f aca="false">IFERROR(INDEX('Semrush Data'!$A$1:$Z$20000,MATCH(A951,'Semrush Data'!$A$1:$A$20000,0),MATCH("CPC*",'Semrush Data'!$A$1:$Z$1,0)),"")</f>
        <v/>
      </c>
      <c r="J951" s="7" t="str">
        <f aca="false">IFERROR(INDEX('Semrush Data'!$A$1:$Z$20000,MATCH(A951,'Semrush Data'!$A$1:$A$20000,0),MATCH("Intent",'Semrush Data'!$A$1:$Z$1,0)),"")</f>
        <v/>
      </c>
    </row>
    <row r="952" customFormat="false" ht="15" hidden="false" customHeight="true" outlineLevel="0" collapsed="false">
      <c r="A952" s="7" t="s">
        <v>2028</v>
      </c>
      <c r="B952" s="7" t="s">
        <v>6814</v>
      </c>
      <c r="C952" s="7" t="n">
        <v>2</v>
      </c>
      <c r="D952" s="7" t="n">
        <v>10</v>
      </c>
      <c r="E952" s="7" t="n">
        <v>1</v>
      </c>
      <c r="F952" s="7" t="s">
        <v>979</v>
      </c>
      <c r="G952" s="12" t="str">
        <f aca="false">IFERROR(INDEX('Semrush Data'!$A$1:$Z$20000,MATCH(A952,'Semrush Data'!$A$1:$A$20000,0),MATCH("Volume",'Semrush Data'!$A$1:$Z$1,0)),"")</f>
        <v/>
      </c>
      <c r="H952" s="7" t="str">
        <f aca="false">IFERROR(INDEX('Semrush Data'!$A$1:$Z$20000,MATCH(A952,'Semrush Data'!$A$1:$A$20000,0),MATCH("Keyword Difficulty*",'Semrush Data'!$A$1:$Z$1,0)),"")</f>
        <v/>
      </c>
      <c r="I952" s="13" t="str">
        <f aca="false">IFERROR(INDEX('Semrush Data'!$A$1:$Z$20000,MATCH(A952,'Semrush Data'!$A$1:$A$20000,0),MATCH("CPC*",'Semrush Data'!$A$1:$Z$1,0)),"")</f>
        <v/>
      </c>
      <c r="J952" s="7" t="str">
        <f aca="false">IFERROR(INDEX('Semrush Data'!$A$1:$Z$20000,MATCH(A952,'Semrush Data'!$A$1:$A$20000,0),MATCH("Intent",'Semrush Data'!$A$1:$Z$1,0)),"")</f>
        <v/>
      </c>
    </row>
    <row r="953" customFormat="false" ht="15" hidden="false" customHeight="true" outlineLevel="0" collapsed="false">
      <c r="A953" s="7" t="s">
        <v>2174</v>
      </c>
      <c r="B953" s="7" t="s">
        <v>6814</v>
      </c>
      <c r="C953" s="7" t="n">
        <v>2</v>
      </c>
      <c r="D953" s="7" t="n">
        <v>10</v>
      </c>
      <c r="E953" s="7" t="n">
        <v>1</v>
      </c>
      <c r="F953" s="7" t="s">
        <v>1125</v>
      </c>
      <c r="G953" s="12" t="str">
        <f aca="false">IFERROR(INDEX('Semrush Data'!$A$1:$Z$20000,MATCH(A953,'Semrush Data'!$A$1:$A$20000,0),MATCH("Volume",'Semrush Data'!$A$1:$Z$1,0)),"")</f>
        <v/>
      </c>
      <c r="H953" s="7" t="str">
        <f aca="false">IFERROR(INDEX('Semrush Data'!$A$1:$Z$20000,MATCH(A953,'Semrush Data'!$A$1:$A$20000,0),MATCH("Keyword Difficulty*",'Semrush Data'!$A$1:$Z$1,0)),"")</f>
        <v/>
      </c>
      <c r="I953" s="13" t="str">
        <f aca="false">IFERROR(INDEX('Semrush Data'!$A$1:$Z$20000,MATCH(A953,'Semrush Data'!$A$1:$A$20000,0),MATCH("CPC*",'Semrush Data'!$A$1:$Z$1,0)),"")</f>
        <v/>
      </c>
      <c r="J953" s="7" t="str">
        <f aca="false">IFERROR(INDEX('Semrush Data'!$A$1:$Z$20000,MATCH(A953,'Semrush Data'!$A$1:$A$20000,0),MATCH("Intent",'Semrush Data'!$A$1:$Z$1,0)),"")</f>
        <v/>
      </c>
    </row>
    <row r="954" customFormat="false" ht="15" hidden="false" customHeight="true" outlineLevel="0" collapsed="false">
      <c r="A954" s="7" t="s">
        <v>1937</v>
      </c>
      <c r="B954" s="7" t="s">
        <v>6814</v>
      </c>
      <c r="C954" s="7" t="n">
        <v>2</v>
      </c>
      <c r="D954" s="7" t="n">
        <v>10</v>
      </c>
      <c r="E954" s="7" t="n">
        <v>1</v>
      </c>
      <c r="F954" s="7" t="s">
        <v>892</v>
      </c>
      <c r="G954" s="12" t="str">
        <f aca="false">IFERROR(INDEX('Semrush Data'!$A$1:$Z$20000,MATCH(A954,'Semrush Data'!$A$1:$A$20000,0),MATCH("Volume",'Semrush Data'!$A$1:$Z$1,0)),"")</f>
        <v/>
      </c>
      <c r="H954" s="7" t="str">
        <f aca="false">IFERROR(INDEX('Semrush Data'!$A$1:$Z$20000,MATCH(A954,'Semrush Data'!$A$1:$A$20000,0),MATCH("Keyword Difficulty*",'Semrush Data'!$A$1:$Z$1,0)),"")</f>
        <v/>
      </c>
      <c r="I954" s="13" t="str">
        <f aca="false">IFERROR(INDEX('Semrush Data'!$A$1:$Z$20000,MATCH(A954,'Semrush Data'!$A$1:$A$20000,0),MATCH("CPC*",'Semrush Data'!$A$1:$Z$1,0)),"")</f>
        <v/>
      </c>
      <c r="J954" s="7" t="str">
        <f aca="false">IFERROR(INDEX('Semrush Data'!$A$1:$Z$20000,MATCH(A954,'Semrush Data'!$A$1:$A$20000,0),MATCH("Intent",'Semrush Data'!$A$1:$Z$1,0)),"")</f>
        <v/>
      </c>
    </row>
    <row r="955" customFormat="false" ht="15" hidden="false" customHeight="true" outlineLevel="0" collapsed="false">
      <c r="A955" s="7" t="s">
        <v>2167</v>
      </c>
      <c r="B955" s="7" t="s">
        <v>6814</v>
      </c>
      <c r="C955" s="7" t="n">
        <v>2</v>
      </c>
      <c r="D955" s="7" t="n">
        <v>10</v>
      </c>
      <c r="E955" s="7" t="n">
        <v>1</v>
      </c>
      <c r="F955" s="7" t="s">
        <v>1118</v>
      </c>
      <c r="G955" s="12" t="str">
        <f aca="false">IFERROR(INDEX('Semrush Data'!$A$1:$Z$20000,MATCH(A955,'Semrush Data'!$A$1:$A$20000,0),MATCH("Volume",'Semrush Data'!$A$1:$Z$1,0)),"")</f>
        <v/>
      </c>
      <c r="H955" s="7" t="str">
        <f aca="false">IFERROR(INDEX('Semrush Data'!$A$1:$Z$20000,MATCH(A955,'Semrush Data'!$A$1:$A$20000,0),MATCH("Keyword Difficulty*",'Semrush Data'!$A$1:$Z$1,0)),"")</f>
        <v/>
      </c>
      <c r="I955" s="13" t="str">
        <f aca="false">IFERROR(INDEX('Semrush Data'!$A$1:$Z$20000,MATCH(A955,'Semrush Data'!$A$1:$A$20000,0),MATCH("CPC*",'Semrush Data'!$A$1:$Z$1,0)),"")</f>
        <v/>
      </c>
      <c r="J955" s="7" t="str">
        <f aca="false">IFERROR(INDEX('Semrush Data'!$A$1:$Z$20000,MATCH(A955,'Semrush Data'!$A$1:$A$20000,0),MATCH("Intent",'Semrush Data'!$A$1:$Z$1,0)),"")</f>
        <v/>
      </c>
    </row>
    <row r="956" customFormat="false" ht="15" hidden="false" customHeight="true" outlineLevel="0" collapsed="false">
      <c r="A956" s="7" t="s">
        <v>2114</v>
      </c>
      <c r="B956" s="7" t="s">
        <v>6814</v>
      </c>
      <c r="C956" s="7" t="n">
        <v>2</v>
      </c>
      <c r="D956" s="7" t="n">
        <v>10</v>
      </c>
      <c r="E956" s="7" t="n">
        <v>1</v>
      </c>
      <c r="F956" s="7" t="s">
        <v>1063</v>
      </c>
      <c r="G956" s="12" t="str">
        <f aca="false">IFERROR(INDEX('Semrush Data'!$A$1:$Z$20000,MATCH(A956,'Semrush Data'!$A$1:$A$20000,0),MATCH("Volume",'Semrush Data'!$A$1:$Z$1,0)),"")</f>
        <v/>
      </c>
      <c r="H956" s="7" t="str">
        <f aca="false">IFERROR(INDEX('Semrush Data'!$A$1:$Z$20000,MATCH(A956,'Semrush Data'!$A$1:$A$20000,0),MATCH("Keyword Difficulty*",'Semrush Data'!$A$1:$Z$1,0)),"")</f>
        <v/>
      </c>
      <c r="I956" s="13" t="str">
        <f aca="false">IFERROR(INDEX('Semrush Data'!$A$1:$Z$20000,MATCH(A956,'Semrush Data'!$A$1:$A$20000,0),MATCH("CPC*",'Semrush Data'!$A$1:$Z$1,0)),"")</f>
        <v/>
      </c>
      <c r="J956" s="7" t="str">
        <f aca="false">IFERROR(INDEX('Semrush Data'!$A$1:$Z$20000,MATCH(A956,'Semrush Data'!$A$1:$A$20000,0),MATCH("Intent",'Semrush Data'!$A$1:$Z$1,0)),"")</f>
        <v/>
      </c>
    </row>
    <row r="957" customFormat="false" ht="15" hidden="false" customHeight="true" outlineLevel="0" collapsed="false">
      <c r="A957" s="7" t="s">
        <v>2180</v>
      </c>
      <c r="B957" s="7" t="s">
        <v>6814</v>
      </c>
      <c r="C957" s="7" t="n">
        <v>2</v>
      </c>
      <c r="D957" s="7" t="n">
        <v>10</v>
      </c>
      <c r="E957" s="7" t="n">
        <v>1</v>
      </c>
      <c r="F957" s="7" t="s">
        <v>1132</v>
      </c>
      <c r="G957" s="12" t="str">
        <f aca="false">IFERROR(INDEX('Semrush Data'!$A$1:$Z$20000,MATCH(A957,'Semrush Data'!$A$1:$A$20000,0),MATCH("Volume",'Semrush Data'!$A$1:$Z$1,0)),"")</f>
        <v/>
      </c>
      <c r="H957" s="7" t="str">
        <f aca="false">IFERROR(INDEX('Semrush Data'!$A$1:$Z$20000,MATCH(A957,'Semrush Data'!$A$1:$A$20000,0),MATCH("Keyword Difficulty*",'Semrush Data'!$A$1:$Z$1,0)),"")</f>
        <v/>
      </c>
      <c r="I957" s="13" t="str">
        <f aca="false">IFERROR(INDEX('Semrush Data'!$A$1:$Z$20000,MATCH(A957,'Semrush Data'!$A$1:$A$20000,0),MATCH("CPC*",'Semrush Data'!$A$1:$Z$1,0)),"")</f>
        <v/>
      </c>
      <c r="J957" s="7" t="str">
        <f aca="false">IFERROR(INDEX('Semrush Data'!$A$1:$Z$20000,MATCH(A957,'Semrush Data'!$A$1:$A$20000,0),MATCH("Intent",'Semrush Data'!$A$1:$Z$1,0)),"")</f>
        <v/>
      </c>
    </row>
    <row r="958" customFormat="false" ht="15" hidden="false" customHeight="true" outlineLevel="0" collapsed="false">
      <c r="A958" s="7" t="s">
        <v>1952</v>
      </c>
      <c r="B958" s="7" t="s">
        <v>6814</v>
      </c>
      <c r="C958" s="7" t="n">
        <v>2</v>
      </c>
      <c r="D958" s="7" t="n">
        <v>10</v>
      </c>
      <c r="E958" s="7" t="n">
        <v>1</v>
      </c>
      <c r="F958" s="7" t="s">
        <v>905</v>
      </c>
      <c r="G958" s="12" t="str">
        <f aca="false">IFERROR(INDEX('Semrush Data'!$A$1:$Z$20000,MATCH(A958,'Semrush Data'!$A$1:$A$20000,0),MATCH("Volume",'Semrush Data'!$A$1:$Z$1,0)),"")</f>
        <v/>
      </c>
      <c r="H958" s="7" t="str">
        <f aca="false">IFERROR(INDEX('Semrush Data'!$A$1:$Z$20000,MATCH(A958,'Semrush Data'!$A$1:$A$20000,0),MATCH("Keyword Difficulty*",'Semrush Data'!$A$1:$Z$1,0)),"")</f>
        <v/>
      </c>
      <c r="I958" s="13" t="str">
        <f aca="false">IFERROR(INDEX('Semrush Data'!$A$1:$Z$20000,MATCH(A958,'Semrush Data'!$A$1:$A$20000,0),MATCH("CPC*",'Semrush Data'!$A$1:$Z$1,0)),"")</f>
        <v/>
      </c>
      <c r="J958" s="7" t="str">
        <f aca="false">IFERROR(INDEX('Semrush Data'!$A$1:$Z$20000,MATCH(A958,'Semrush Data'!$A$1:$A$20000,0),MATCH("Intent",'Semrush Data'!$A$1:$Z$1,0)),"")</f>
        <v/>
      </c>
    </row>
    <row r="959" customFormat="false" ht="15" hidden="false" customHeight="true" outlineLevel="0" collapsed="false">
      <c r="A959" s="7" t="s">
        <v>2121</v>
      </c>
      <c r="B959" s="7" t="s">
        <v>6814</v>
      </c>
      <c r="C959" s="7" t="n">
        <v>2</v>
      </c>
      <c r="D959" s="7" t="n">
        <v>10</v>
      </c>
      <c r="E959" s="7" t="n">
        <v>2</v>
      </c>
      <c r="F959" s="7" t="s">
        <v>6727</v>
      </c>
      <c r="G959" s="12" t="str">
        <f aca="false">IFERROR(INDEX('Semrush Data'!$A$1:$Z$20000,MATCH(A959,'Semrush Data'!$A$1:$A$20000,0),MATCH("Volume",'Semrush Data'!$A$1:$Z$1,0)),"")</f>
        <v/>
      </c>
      <c r="H959" s="7" t="str">
        <f aca="false">IFERROR(INDEX('Semrush Data'!$A$1:$Z$20000,MATCH(A959,'Semrush Data'!$A$1:$A$20000,0),MATCH("Keyword Difficulty*",'Semrush Data'!$A$1:$Z$1,0)),"")</f>
        <v/>
      </c>
      <c r="I959" s="13" t="str">
        <f aca="false">IFERROR(INDEX('Semrush Data'!$A$1:$Z$20000,MATCH(A959,'Semrush Data'!$A$1:$A$20000,0),MATCH("CPC*",'Semrush Data'!$A$1:$Z$1,0)),"")</f>
        <v/>
      </c>
      <c r="J959" s="7" t="str">
        <f aca="false">IFERROR(INDEX('Semrush Data'!$A$1:$Z$20000,MATCH(A959,'Semrush Data'!$A$1:$A$20000,0),MATCH("Intent",'Semrush Data'!$A$1:$Z$1,0)),"")</f>
        <v/>
      </c>
    </row>
    <row r="960" customFormat="false" ht="15" hidden="false" customHeight="true" outlineLevel="0" collapsed="false">
      <c r="A960" s="7" t="s">
        <v>1959</v>
      </c>
      <c r="B960" s="7" t="s">
        <v>6814</v>
      </c>
      <c r="C960" s="7" t="n">
        <v>2</v>
      </c>
      <c r="D960" s="7" t="n">
        <v>10</v>
      </c>
      <c r="E960" s="7" t="n">
        <v>1</v>
      </c>
      <c r="F960" s="7" t="s">
        <v>911</v>
      </c>
      <c r="G960" s="12" t="str">
        <f aca="false">IFERROR(INDEX('Semrush Data'!$A$1:$Z$20000,MATCH(A960,'Semrush Data'!$A$1:$A$20000,0),MATCH("Volume",'Semrush Data'!$A$1:$Z$1,0)),"")</f>
        <v/>
      </c>
      <c r="H960" s="7" t="str">
        <f aca="false">IFERROR(INDEX('Semrush Data'!$A$1:$Z$20000,MATCH(A960,'Semrush Data'!$A$1:$A$20000,0),MATCH("Keyword Difficulty*",'Semrush Data'!$A$1:$Z$1,0)),"")</f>
        <v/>
      </c>
      <c r="I960" s="13" t="str">
        <f aca="false">IFERROR(INDEX('Semrush Data'!$A$1:$Z$20000,MATCH(A960,'Semrush Data'!$A$1:$A$20000,0),MATCH("CPC*",'Semrush Data'!$A$1:$Z$1,0)),"")</f>
        <v/>
      </c>
      <c r="J960" s="7" t="str">
        <f aca="false">IFERROR(INDEX('Semrush Data'!$A$1:$Z$20000,MATCH(A960,'Semrush Data'!$A$1:$A$20000,0),MATCH("Intent",'Semrush Data'!$A$1:$Z$1,0)),"")</f>
        <v/>
      </c>
    </row>
    <row r="961" customFormat="false" ht="15" hidden="false" customHeight="true" outlineLevel="0" collapsed="false">
      <c r="A961" s="7" t="s">
        <v>2073</v>
      </c>
      <c r="B961" s="7" t="s">
        <v>6814</v>
      </c>
      <c r="C961" s="7" t="n">
        <v>2</v>
      </c>
      <c r="D961" s="7" t="n">
        <v>10</v>
      </c>
      <c r="E961" s="7" t="n">
        <v>1</v>
      </c>
      <c r="F961" s="7" t="s">
        <v>1025</v>
      </c>
      <c r="G961" s="12" t="str">
        <f aca="false">IFERROR(INDEX('Semrush Data'!$A$1:$Z$20000,MATCH(A961,'Semrush Data'!$A$1:$A$20000,0),MATCH("Volume",'Semrush Data'!$A$1:$Z$1,0)),"")</f>
        <v/>
      </c>
      <c r="H961" s="7" t="str">
        <f aca="false">IFERROR(INDEX('Semrush Data'!$A$1:$Z$20000,MATCH(A961,'Semrush Data'!$A$1:$A$20000,0),MATCH("Keyword Difficulty*",'Semrush Data'!$A$1:$Z$1,0)),"")</f>
        <v/>
      </c>
      <c r="I961" s="13" t="str">
        <f aca="false">IFERROR(INDEX('Semrush Data'!$A$1:$Z$20000,MATCH(A961,'Semrush Data'!$A$1:$A$20000,0),MATCH("CPC*",'Semrush Data'!$A$1:$Z$1,0)),"")</f>
        <v/>
      </c>
      <c r="J961" s="7" t="str">
        <f aca="false">IFERROR(INDEX('Semrush Data'!$A$1:$Z$20000,MATCH(A961,'Semrush Data'!$A$1:$A$20000,0),MATCH("Intent",'Semrush Data'!$A$1:$Z$1,0)),"")</f>
        <v/>
      </c>
    </row>
    <row r="962" customFormat="false" ht="15" hidden="false" customHeight="true" outlineLevel="0" collapsed="false">
      <c r="A962" s="7" t="s">
        <v>2318</v>
      </c>
      <c r="B962" s="7" t="s">
        <v>6814</v>
      </c>
      <c r="C962" s="7" t="n">
        <v>2</v>
      </c>
      <c r="D962" s="7" t="n">
        <v>10</v>
      </c>
      <c r="E962" s="7" t="n">
        <v>1</v>
      </c>
      <c r="F962" s="7" t="s">
        <v>1272</v>
      </c>
      <c r="G962" s="12" t="str">
        <f aca="false">IFERROR(INDEX('Semrush Data'!$A$1:$Z$20000,MATCH(A962,'Semrush Data'!$A$1:$A$20000,0),MATCH("Volume",'Semrush Data'!$A$1:$Z$1,0)),"")</f>
        <v/>
      </c>
      <c r="H962" s="7" t="str">
        <f aca="false">IFERROR(INDEX('Semrush Data'!$A$1:$Z$20000,MATCH(A962,'Semrush Data'!$A$1:$A$20000,0),MATCH("Keyword Difficulty*",'Semrush Data'!$A$1:$Z$1,0)),"")</f>
        <v/>
      </c>
      <c r="I962" s="13" t="str">
        <f aca="false">IFERROR(INDEX('Semrush Data'!$A$1:$Z$20000,MATCH(A962,'Semrush Data'!$A$1:$A$20000,0),MATCH("CPC*",'Semrush Data'!$A$1:$Z$1,0)),"")</f>
        <v/>
      </c>
      <c r="J962" s="7" t="str">
        <f aca="false">IFERROR(INDEX('Semrush Data'!$A$1:$Z$20000,MATCH(A962,'Semrush Data'!$A$1:$A$20000,0),MATCH("Intent",'Semrush Data'!$A$1:$Z$1,0)),"")</f>
        <v/>
      </c>
    </row>
    <row r="963" customFormat="false" ht="15" hidden="false" customHeight="true" outlineLevel="0" collapsed="false">
      <c r="A963" s="7" t="s">
        <v>2067</v>
      </c>
      <c r="B963" s="7" t="s">
        <v>6814</v>
      </c>
      <c r="C963" s="7" t="n">
        <v>2</v>
      </c>
      <c r="D963" s="7" t="n">
        <v>10</v>
      </c>
      <c r="E963" s="7" t="n">
        <v>1</v>
      </c>
      <c r="F963" s="7" t="s">
        <v>1019</v>
      </c>
      <c r="G963" s="12" t="str">
        <f aca="false">IFERROR(INDEX('Semrush Data'!$A$1:$Z$20000,MATCH(A963,'Semrush Data'!$A$1:$A$20000,0),MATCH("Volume",'Semrush Data'!$A$1:$Z$1,0)),"")</f>
        <v/>
      </c>
      <c r="H963" s="7" t="str">
        <f aca="false">IFERROR(INDEX('Semrush Data'!$A$1:$Z$20000,MATCH(A963,'Semrush Data'!$A$1:$A$20000,0),MATCH("Keyword Difficulty*",'Semrush Data'!$A$1:$Z$1,0)),"")</f>
        <v/>
      </c>
      <c r="I963" s="13" t="str">
        <f aca="false">IFERROR(INDEX('Semrush Data'!$A$1:$Z$20000,MATCH(A963,'Semrush Data'!$A$1:$A$20000,0),MATCH("CPC*",'Semrush Data'!$A$1:$Z$1,0)),"")</f>
        <v/>
      </c>
      <c r="J963" s="7" t="str">
        <f aca="false">IFERROR(INDEX('Semrush Data'!$A$1:$Z$20000,MATCH(A963,'Semrush Data'!$A$1:$A$20000,0),MATCH("Intent",'Semrush Data'!$A$1:$Z$1,0)),"")</f>
        <v/>
      </c>
    </row>
    <row r="964" customFormat="false" ht="15" hidden="false" customHeight="true" outlineLevel="0" collapsed="false">
      <c r="A964" s="7" t="s">
        <v>2246</v>
      </c>
      <c r="B964" s="7" t="s">
        <v>6814</v>
      </c>
      <c r="C964" s="7" t="n">
        <v>2</v>
      </c>
      <c r="D964" s="7" t="n">
        <v>10</v>
      </c>
      <c r="E964" s="7" t="n">
        <v>1</v>
      </c>
      <c r="F964" s="7" t="s">
        <v>1200</v>
      </c>
      <c r="G964" s="12" t="str">
        <f aca="false">IFERROR(INDEX('Semrush Data'!$A$1:$Z$20000,MATCH(A964,'Semrush Data'!$A$1:$A$20000,0),MATCH("Volume",'Semrush Data'!$A$1:$Z$1,0)),"")</f>
        <v/>
      </c>
      <c r="H964" s="7" t="str">
        <f aca="false">IFERROR(INDEX('Semrush Data'!$A$1:$Z$20000,MATCH(A964,'Semrush Data'!$A$1:$A$20000,0),MATCH("Keyword Difficulty*",'Semrush Data'!$A$1:$Z$1,0)),"")</f>
        <v/>
      </c>
      <c r="I964" s="13" t="str">
        <f aca="false">IFERROR(INDEX('Semrush Data'!$A$1:$Z$20000,MATCH(A964,'Semrush Data'!$A$1:$A$20000,0),MATCH("CPC*",'Semrush Data'!$A$1:$Z$1,0)),"")</f>
        <v/>
      </c>
      <c r="J964" s="7" t="str">
        <f aca="false">IFERROR(INDEX('Semrush Data'!$A$1:$Z$20000,MATCH(A964,'Semrush Data'!$A$1:$A$20000,0),MATCH("Intent",'Semrush Data'!$A$1:$Z$1,0)),"")</f>
        <v/>
      </c>
    </row>
    <row r="965" customFormat="false" ht="15" hidden="false" customHeight="true" outlineLevel="0" collapsed="false">
      <c r="A965" s="7" t="s">
        <v>2187</v>
      </c>
      <c r="B965" s="7" t="s">
        <v>6814</v>
      </c>
      <c r="C965" s="7" t="n">
        <v>2</v>
      </c>
      <c r="D965" s="7" t="n">
        <v>10</v>
      </c>
      <c r="E965" s="7" t="n">
        <v>1</v>
      </c>
      <c r="F965" s="7" t="s">
        <v>1139</v>
      </c>
      <c r="G965" s="12" t="str">
        <f aca="false">IFERROR(INDEX('Semrush Data'!$A$1:$Z$20000,MATCH(A965,'Semrush Data'!$A$1:$A$20000,0),MATCH("Volume",'Semrush Data'!$A$1:$Z$1,0)),"")</f>
        <v/>
      </c>
      <c r="H965" s="7" t="str">
        <f aca="false">IFERROR(INDEX('Semrush Data'!$A$1:$Z$20000,MATCH(A965,'Semrush Data'!$A$1:$A$20000,0),MATCH("Keyword Difficulty*",'Semrush Data'!$A$1:$Z$1,0)),"")</f>
        <v/>
      </c>
      <c r="I965" s="13" t="str">
        <f aca="false">IFERROR(INDEX('Semrush Data'!$A$1:$Z$20000,MATCH(A965,'Semrush Data'!$A$1:$A$20000,0),MATCH("CPC*",'Semrush Data'!$A$1:$Z$1,0)),"")</f>
        <v/>
      </c>
      <c r="J965" s="7" t="str">
        <f aca="false">IFERROR(INDEX('Semrush Data'!$A$1:$Z$20000,MATCH(A965,'Semrush Data'!$A$1:$A$20000,0),MATCH("Intent",'Semrush Data'!$A$1:$Z$1,0)),"")</f>
        <v/>
      </c>
    </row>
    <row r="966" customFormat="false" ht="15" hidden="false" customHeight="true" outlineLevel="0" collapsed="false">
      <c r="A966" s="7" t="s">
        <v>2060</v>
      </c>
      <c r="B966" s="7" t="s">
        <v>6814</v>
      </c>
      <c r="C966" s="7" t="n">
        <v>2</v>
      </c>
      <c r="D966" s="7" t="n">
        <v>10</v>
      </c>
      <c r="E966" s="7" t="n">
        <v>1</v>
      </c>
      <c r="F966" s="7" t="s">
        <v>1013</v>
      </c>
      <c r="G966" s="12" t="str">
        <f aca="false">IFERROR(INDEX('Semrush Data'!$A$1:$Z$20000,MATCH(A966,'Semrush Data'!$A$1:$A$20000,0),MATCH("Volume",'Semrush Data'!$A$1:$Z$1,0)),"")</f>
        <v/>
      </c>
      <c r="H966" s="7" t="str">
        <f aca="false">IFERROR(INDEX('Semrush Data'!$A$1:$Z$20000,MATCH(A966,'Semrush Data'!$A$1:$A$20000,0),MATCH("Keyword Difficulty*",'Semrush Data'!$A$1:$Z$1,0)),"")</f>
        <v/>
      </c>
      <c r="I966" s="13" t="str">
        <f aca="false">IFERROR(INDEX('Semrush Data'!$A$1:$Z$20000,MATCH(A966,'Semrush Data'!$A$1:$A$20000,0),MATCH("CPC*",'Semrush Data'!$A$1:$Z$1,0)),"")</f>
        <v/>
      </c>
      <c r="J966" s="7" t="str">
        <f aca="false">IFERROR(INDEX('Semrush Data'!$A$1:$Z$20000,MATCH(A966,'Semrush Data'!$A$1:$A$20000,0),MATCH("Intent",'Semrush Data'!$A$1:$Z$1,0)),"")</f>
        <v/>
      </c>
    </row>
    <row r="967" customFormat="false" ht="15" hidden="false" customHeight="true" outlineLevel="0" collapsed="false">
      <c r="A967" s="7" t="s">
        <v>2007</v>
      </c>
      <c r="B967" s="7" t="s">
        <v>6814</v>
      </c>
      <c r="C967" s="7" t="n">
        <v>2</v>
      </c>
      <c r="D967" s="7" t="n">
        <v>10</v>
      </c>
      <c r="E967" s="7" t="n">
        <v>1</v>
      </c>
      <c r="F967" s="7" t="s">
        <v>961</v>
      </c>
      <c r="G967" s="12" t="str">
        <f aca="false">IFERROR(INDEX('Semrush Data'!$A$1:$Z$20000,MATCH(A967,'Semrush Data'!$A$1:$A$20000,0),MATCH("Volume",'Semrush Data'!$A$1:$Z$1,0)),"")</f>
        <v/>
      </c>
      <c r="H967" s="7" t="str">
        <f aca="false">IFERROR(INDEX('Semrush Data'!$A$1:$Z$20000,MATCH(A967,'Semrush Data'!$A$1:$A$20000,0),MATCH("Keyword Difficulty*",'Semrush Data'!$A$1:$Z$1,0)),"")</f>
        <v/>
      </c>
      <c r="I967" s="13" t="str">
        <f aca="false">IFERROR(INDEX('Semrush Data'!$A$1:$Z$20000,MATCH(A967,'Semrush Data'!$A$1:$A$20000,0),MATCH("CPC*",'Semrush Data'!$A$1:$Z$1,0)),"")</f>
        <v/>
      </c>
      <c r="J967" s="7" t="str">
        <f aca="false">IFERROR(INDEX('Semrush Data'!$A$1:$Z$20000,MATCH(A967,'Semrush Data'!$A$1:$A$20000,0),MATCH("Intent",'Semrush Data'!$A$1:$Z$1,0)),"")</f>
        <v/>
      </c>
    </row>
    <row r="968" customFormat="false" ht="15" hidden="false" customHeight="true" outlineLevel="0" collapsed="false">
      <c r="A968" s="7" t="s">
        <v>2214</v>
      </c>
      <c r="B968" s="7" t="s">
        <v>6814</v>
      </c>
      <c r="C968" s="7" t="n">
        <v>2</v>
      </c>
      <c r="D968" s="7" t="n">
        <v>10</v>
      </c>
      <c r="E968" s="7" t="n">
        <v>1</v>
      </c>
      <c r="F968" s="7" t="s">
        <v>1166</v>
      </c>
      <c r="G968" s="12" t="str">
        <f aca="false">IFERROR(INDEX('Semrush Data'!$A$1:$Z$20000,MATCH(A968,'Semrush Data'!$A$1:$A$20000,0),MATCH("Volume",'Semrush Data'!$A$1:$Z$1,0)),"")</f>
        <v/>
      </c>
      <c r="H968" s="7" t="str">
        <f aca="false">IFERROR(INDEX('Semrush Data'!$A$1:$Z$20000,MATCH(A968,'Semrush Data'!$A$1:$A$20000,0),MATCH("Keyword Difficulty*",'Semrush Data'!$A$1:$Z$1,0)),"")</f>
        <v/>
      </c>
      <c r="I968" s="13" t="str">
        <f aca="false">IFERROR(INDEX('Semrush Data'!$A$1:$Z$20000,MATCH(A968,'Semrush Data'!$A$1:$A$20000,0),MATCH("CPC*",'Semrush Data'!$A$1:$Z$1,0)),"")</f>
        <v/>
      </c>
      <c r="J968" s="7" t="str">
        <f aca="false">IFERROR(INDEX('Semrush Data'!$A$1:$Z$20000,MATCH(A968,'Semrush Data'!$A$1:$A$20000,0),MATCH("Intent",'Semrush Data'!$A$1:$Z$1,0)),"")</f>
        <v/>
      </c>
    </row>
    <row r="969" customFormat="false" ht="15" hidden="false" customHeight="true" outlineLevel="0" collapsed="false">
      <c r="A969" s="7" t="s">
        <v>2045</v>
      </c>
      <c r="B969" s="7" t="s">
        <v>6814</v>
      </c>
      <c r="C969" s="7" t="n">
        <v>2</v>
      </c>
      <c r="D969" s="7" t="n">
        <v>10</v>
      </c>
      <c r="E969" s="7" t="n">
        <v>1</v>
      </c>
      <c r="F969" s="7" t="s">
        <v>999</v>
      </c>
      <c r="G969" s="12" t="str">
        <f aca="false">IFERROR(INDEX('Semrush Data'!$A$1:$Z$20000,MATCH(A969,'Semrush Data'!$A$1:$A$20000,0),MATCH("Volume",'Semrush Data'!$A$1:$Z$1,0)),"")</f>
        <v/>
      </c>
      <c r="H969" s="7" t="str">
        <f aca="false">IFERROR(INDEX('Semrush Data'!$A$1:$Z$20000,MATCH(A969,'Semrush Data'!$A$1:$A$20000,0),MATCH("Keyword Difficulty*",'Semrush Data'!$A$1:$Z$1,0)),"")</f>
        <v/>
      </c>
      <c r="I969" s="13" t="str">
        <f aca="false">IFERROR(INDEX('Semrush Data'!$A$1:$Z$20000,MATCH(A969,'Semrush Data'!$A$1:$A$20000,0),MATCH("CPC*",'Semrush Data'!$A$1:$Z$1,0)),"")</f>
        <v/>
      </c>
      <c r="J969" s="7" t="str">
        <f aca="false">IFERROR(INDEX('Semrush Data'!$A$1:$Z$20000,MATCH(A969,'Semrush Data'!$A$1:$A$20000,0),MATCH("Intent",'Semrush Data'!$A$1:$Z$1,0)),"")</f>
        <v/>
      </c>
    </row>
    <row r="970" customFormat="false" ht="15" hidden="false" customHeight="true" outlineLevel="0" collapsed="false">
      <c r="A970" s="7" t="s">
        <v>2020</v>
      </c>
      <c r="B970" s="7" t="s">
        <v>6814</v>
      </c>
      <c r="C970" s="7" t="n">
        <v>2</v>
      </c>
      <c r="D970" s="7" t="n">
        <v>10</v>
      </c>
      <c r="E970" s="7" t="n">
        <v>1</v>
      </c>
      <c r="F970" s="7" t="s">
        <v>973</v>
      </c>
      <c r="G970" s="12" t="str">
        <f aca="false">IFERROR(INDEX('Semrush Data'!$A$1:$Z$20000,MATCH(A970,'Semrush Data'!$A$1:$A$20000,0),MATCH("Volume",'Semrush Data'!$A$1:$Z$1,0)),"")</f>
        <v/>
      </c>
      <c r="H970" s="7" t="str">
        <f aca="false">IFERROR(INDEX('Semrush Data'!$A$1:$Z$20000,MATCH(A970,'Semrush Data'!$A$1:$A$20000,0),MATCH("Keyword Difficulty*",'Semrush Data'!$A$1:$Z$1,0)),"")</f>
        <v/>
      </c>
      <c r="I970" s="13" t="str">
        <f aca="false">IFERROR(INDEX('Semrush Data'!$A$1:$Z$20000,MATCH(A970,'Semrush Data'!$A$1:$A$20000,0),MATCH("CPC*",'Semrush Data'!$A$1:$Z$1,0)),"")</f>
        <v/>
      </c>
      <c r="J970" s="7" t="str">
        <f aca="false">IFERROR(INDEX('Semrush Data'!$A$1:$Z$20000,MATCH(A970,'Semrush Data'!$A$1:$A$20000,0),MATCH("Intent",'Semrush Data'!$A$1:$Z$1,0)),"")</f>
        <v/>
      </c>
    </row>
    <row r="971" customFormat="false" ht="15" hidden="false" customHeight="true" outlineLevel="0" collapsed="false">
      <c r="A971" s="7" t="s">
        <v>2013</v>
      </c>
      <c r="B971" s="7" t="s">
        <v>6814</v>
      </c>
      <c r="C971" s="7" t="n">
        <v>2</v>
      </c>
      <c r="D971" s="7" t="n">
        <v>10</v>
      </c>
      <c r="E971" s="7" t="n">
        <v>1</v>
      </c>
      <c r="F971" s="7" t="s">
        <v>967</v>
      </c>
      <c r="G971" s="12" t="str">
        <f aca="false">IFERROR(INDEX('Semrush Data'!$A$1:$Z$20000,MATCH(A971,'Semrush Data'!$A$1:$A$20000,0),MATCH("Volume",'Semrush Data'!$A$1:$Z$1,0)),"")</f>
        <v/>
      </c>
      <c r="H971" s="7" t="str">
        <f aca="false">IFERROR(INDEX('Semrush Data'!$A$1:$Z$20000,MATCH(A971,'Semrush Data'!$A$1:$A$20000,0),MATCH("Keyword Difficulty*",'Semrush Data'!$A$1:$Z$1,0)),"")</f>
        <v/>
      </c>
      <c r="I971" s="13" t="str">
        <f aca="false">IFERROR(INDEX('Semrush Data'!$A$1:$Z$20000,MATCH(A971,'Semrush Data'!$A$1:$A$20000,0),MATCH("CPC*",'Semrush Data'!$A$1:$Z$1,0)),"")</f>
        <v/>
      </c>
      <c r="J971" s="7" t="str">
        <f aca="false">IFERROR(INDEX('Semrush Data'!$A$1:$Z$20000,MATCH(A971,'Semrush Data'!$A$1:$A$20000,0),MATCH("Intent",'Semrush Data'!$A$1:$Z$1,0)),"")</f>
        <v/>
      </c>
    </row>
    <row r="972" customFormat="false" ht="15" hidden="false" customHeight="true" outlineLevel="0" collapsed="false">
      <c r="A972" s="7" t="s">
        <v>2227</v>
      </c>
      <c r="B972" s="7" t="s">
        <v>6814</v>
      </c>
      <c r="C972" s="7" t="n">
        <v>2</v>
      </c>
      <c r="D972" s="7" t="n">
        <v>10</v>
      </c>
      <c r="E972" s="7" t="n">
        <v>1</v>
      </c>
      <c r="F972" s="7" t="s">
        <v>1179</v>
      </c>
      <c r="G972" s="12" t="str">
        <f aca="false">IFERROR(INDEX('Semrush Data'!$A$1:$Z$20000,MATCH(A972,'Semrush Data'!$A$1:$A$20000,0),MATCH("Volume",'Semrush Data'!$A$1:$Z$1,0)),"")</f>
        <v/>
      </c>
      <c r="H972" s="7" t="str">
        <f aca="false">IFERROR(INDEX('Semrush Data'!$A$1:$Z$20000,MATCH(A972,'Semrush Data'!$A$1:$A$20000,0),MATCH("Keyword Difficulty*",'Semrush Data'!$A$1:$Z$1,0)),"")</f>
        <v/>
      </c>
      <c r="I972" s="13" t="str">
        <f aca="false">IFERROR(INDEX('Semrush Data'!$A$1:$Z$20000,MATCH(A972,'Semrush Data'!$A$1:$A$20000,0),MATCH("CPC*",'Semrush Data'!$A$1:$Z$1,0)),"")</f>
        <v/>
      </c>
      <c r="J972" s="7" t="str">
        <f aca="false">IFERROR(INDEX('Semrush Data'!$A$1:$Z$20000,MATCH(A972,'Semrush Data'!$A$1:$A$20000,0),MATCH("Intent",'Semrush Data'!$A$1:$Z$1,0)),"")</f>
        <v/>
      </c>
    </row>
    <row r="973" customFormat="false" ht="15" hidden="false" customHeight="true" outlineLevel="0" collapsed="false">
      <c r="A973" s="7" t="s">
        <v>2000</v>
      </c>
      <c r="B973" s="7" t="s">
        <v>6814</v>
      </c>
      <c r="C973" s="7" t="n">
        <v>2</v>
      </c>
      <c r="D973" s="7" t="n">
        <v>10</v>
      </c>
      <c r="E973" s="7" t="n">
        <v>1</v>
      </c>
      <c r="F973" s="7" t="s">
        <v>954</v>
      </c>
      <c r="G973" s="12" t="str">
        <f aca="false">IFERROR(INDEX('Semrush Data'!$A$1:$Z$20000,MATCH(A973,'Semrush Data'!$A$1:$A$20000,0),MATCH("Volume",'Semrush Data'!$A$1:$Z$1,0)),"")</f>
        <v/>
      </c>
      <c r="H973" s="7" t="str">
        <f aca="false">IFERROR(INDEX('Semrush Data'!$A$1:$Z$20000,MATCH(A973,'Semrush Data'!$A$1:$A$20000,0),MATCH("Keyword Difficulty*",'Semrush Data'!$A$1:$Z$1,0)),"")</f>
        <v/>
      </c>
      <c r="I973" s="13" t="str">
        <f aca="false">IFERROR(INDEX('Semrush Data'!$A$1:$Z$20000,MATCH(A973,'Semrush Data'!$A$1:$A$20000,0),MATCH("CPC*",'Semrush Data'!$A$1:$Z$1,0)),"")</f>
        <v/>
      </c>
      <c r="J973" s="7" t="str">
        <f aca="false">IFERROR(INDEX('Semrush Data'!$A$1:$Z$20000,MATCH(A973,'Semrush Data'!$A$1:$A$20000,0),MATCH("Intent",'Semrush Data'!$A$1:$Z$1,0)),"")</f>
        <v/>
      </c>
    </row>
    <row r="974" customFormat="false" ht="15" hidden="false" customHeight="true" outlineLevel="0" collapsed="false">
      <c r="A974" s="7" t="s">
        <v>2253</v>
      </c>
      <c r="B974" s="7" t="s">
        <v>6814</v>
      </c>
      <c r="C974" s="7" t="n">
        <v>2</v>
      </c>
      <c r="D974" s="7" t="n">
        <v>10</v>
      </c>
      <c r="E974" s="7" t="n">
        <v>1</v>
      </c>
      <c r="F974" s="7" t="s">
        <v>1206</v>
      </c>
      <c r="G974" s="12" t="str">
        <f aca="false">IFERROR(INDEX('Semrush Data'!$A$1:$Z$20000,MATCH(A974,'Semrush Data'!$A$1:$A$20000,0),MATCH("Volume",'Semrush Data'!$A$1:$Z$1,0)),"")</f>
        <v/>
      </c>
      <c r="H974" s="7" t="str">
        <f aca="false">IFERROR(INDEX('Semrush Data'!$A$1:$Z$20000,MATCH(A974,'Semrush Data'!$A$1:$A$20000,0),MATCH("Keyword Difficulty*",'Semrush Data'!$A$1:$Z$1,0)),"")</f>
        <v/>
      </c>
      <c r="I974" s="13" t="str">
        <f aca="false">IFERROR(INDEX('Semrush Data'!$A$1:$Z$20000,MATCH(A974,'Semrush Data'!$A$1:$A$20000,0),MATCH("CPC*",'Semrush Data'!$A$1:$Z$1,0)),"")</f>
        <v/>
      </c>
      <c r="J974" s="7" t="str">
        <f aca="false">IFERROR(INDEX('Semrush Data'!$A$1:$Z$20000,MATCH(A974,'Semrush Data'!$A$1:$A$20000,0),MATCH("Intent",'Semrush Data'!$A$1:$Z$1,0)),"")</f>
        <v/>
      </c>
    </row>
    <row r="975" customFormat="false" ht="15" hidden="false" customHeight="true" outlineLevel="0" collapsed="false">
      <c r="A975" s="7" t="s">
        <v>1979</v>
      </c>
      <c r="B975" s="7" t="s">
        <v>6814</v>
      </c>
      <c r="C975" s="7" t="n">
        <v>2</v>
      </c>
      <c r="D975" s="7" t="n">
        <v>10</v>
      </c>
      <c r="E975" s="7" t="n">
        <v>1</v>
      </c>
      <c r="F975" s="7" t="s">
        <v>932</v>
      </c>
      <c r="G975" s="12" t="str">
        <f aca="false">IFERROR(INDEX('Semrush Data'!$A$1:$Z$20000,MATCH(A975,'Semrush Data'!$A$1:$A$20000,0),MATCH("Volume",'Semrush Data'!$A$1:$Z$1,0)),"")</f>
        <v/>
      </c>
      <c r="H975" s="7" t="str">
        <f aca="false">IFERROR(INDEX('Semrush Data'!$A$1:$Z$20000,MATCH(A975,'Semrush Data'!$A$1:$A$20000,0),MATCH("Keyword Difficulty*",'Semrush Data'!$A$1:$Z$1,0)),"")</f>
        <v/>
      </c>
      <c r="I975" s="13" t="str">
        <f aca="false">IFERROR(INDEX('Semrush Data'!$A$1:$Z$20000,MATCH(A975,'Semrush Data'!$A$1:$A$20000,0),MATCH("CPC*",'Semrush Data'!$A$1:$Z$1,0)),"")</f>
        <v/>
      </c>
      <c r="J975" s="7" t="str">
        <f aca="false">IFERROR(INDEX('Semrush Data'!$A$1:$Z$20000,MATCH(A975,'Semrush Data'!$A$1:$A$20000,0),MATCH("Intent",'Semrush Data'!$A$1:$Z$1,0)),"")</f>
        <v/>
      </c>
    </row>
    <row r="976" customFormat="false" ht="15" hidden="false" customHeight="true" outlineLevel="0" collapsed="false">
      <c r="A976" s="7" t="s">
        <v>1986</v>
      </c>
      <c r="B976" s="7" t="s">
        <v>6814</v>
      </c>
      <c r="C976" s="7" t="n">
        <v>2</v>
      </c>
      <c r="D976" s="7" t="n">
        <v>10</v>
      </c>
      <c r="E976" s="7" t="n">
        <v>1</v>
      </c>
      <c r="F976" s="7" t="s">
        <v>939</v>
      </c>
      <c r="G976" s="12" t="str">
        <f aca="false">IFERROR(INDEX('Semrush Data'!$A$1:$Z$20000,MATCH(A976,'Semrush Data'!$A$1:$A$20000,0),MATCH("Volume",'Semrush Data'!$A$1:$Z$1,0)),"")</f>
        <v/>
      </c>
      <c r="H976" s="7" t="str">
        <f aca="false">IFERROR(INDEX('Semrush Data'!$A$1:$Z$20000,MATCH(A976,'Semrush Data'!$A$1:$A$20000,0),MATCH("Keyword Difficulty*",'Semrush Data'!$A$1:$Z$1,0)),"")</f>
        <v/>
      </c>
      <c r="I976" s="13" t="str">
        <f aca="false">IFERROR(INDEX('Semrush Data'!$A$1:$Z$20000,MATCH(A976,'Semrush Data'!$A$1:$A$20000,0),MATCH("CPC*",'Semrush Data'!$A$1:$Z$1,0)),"")</f>
        <v/>
      </c>
      <c r="J976" s="7" t="str">
        <f aca="false">IFERROR(INDEX('Semrush Data'!$A$1:$Z$20000,MATCH(A976,'Semrush Data'!$A$1:$A$20000,0),MATCH("Intent",'Semrush Data'!$A$1:$Z$1,0)),"")</f>
        <v/>
      </c>
    </row>
    <row r="977" customFormat="false" ht="15" hidden="false" customHeight="true" outlineLevel="0" collapsed="false">
      <c r="A977" s="7" t="s">
        <v>3495</v>
      </c>
      <c r="B977" s="7" t="s">
        <v>6814</v>
      </c>
      <c r="C977" s="7" t="n">
        <v>2</v>
      </c>
      <c r="D977" s="7" t="n">
        <v>10</v>
      </c>
      <c r="E977" s="7" t="n">
        <v>1</v>
      </c>
      <c r="F977" s="7" t="s">
        <v>3491</v>
      </c>
      <c r="G977" s="12" t="str">
        <f aca="false">IFERROR(INDEX('Semrush Data'!$A$1:$Z$20000,MATCH(A977,'Semrush Data'!$A$1:$A$20000,0),MATCH("Volume",'Semrush Data'!$A$1:$Z$1,0)),"")</f>
        <v/>
      </c>
      <c r="H977" s="7" t="str">
        <f aca="false">IFERROR(INDEX('Semrush Data'!$A$1:$Z$20000,MATCH(A977,'Semrush Data'!$A$1:$A$20000,0),MATCH("Keyword Difficulty*",'Semrush Data'!$A$1:$Z$1,0)),"")</f>
        <v/>
      </c>
      <c r="I977" s="13" t="str">
        <f aca="false">IFERROR(INDEX('Semrush Data'!$A$1:$Z$20000,MATCH(A977,'Semrush Data'!$A$1:$A$20000,0),MATCH("CPC*",'Semrush Data'!$A$1:$Z$1,0)),"")</f>
        <v/>
      </c>
      <c r="J977" s="7" t="str">
        <f aca="false">IFERROR(INDEX('Semrush Data'!$A$1:$Z$20000,MATCH(A977,'Semrush Data'!$A$1:$A$20000,0),MATCH("Intent",'Semrush Data'!$A$1:$Z$1,0)),"")</f>
        <v/>
      </c>
    </row>
    <row r="978" customFormat="false" ht="15" hidden="false" customHeight="true" outlineLevel="0" collapsed="false">
      <c r="A978" s="7" t="s">
        <v>3482</v>
      </c>
      <c r="B978" s="7" t="s">
        <v>6814</v>
      </c>
      <c r="C978" s="7" t="n">
        <v>2</v>
      </c>
      <c r="D978" s="7" t="n">
        <v>10</v>
      </c>
      <c r="E978" s="7" t="n">
        <v>1</v>
      </c>
      <c r="F978" s="7" t="s">
        <v>3478</v>
      </c>
      <c r="G978" s="12" t="str">
        <f aca="false">IFERROR(INDEX('Semrush Data'!$A$1:$Z$20000,MATCH(A978,'Semrush Data'!$A$1:$A$20000,0),MATCH("Volume",'Semrush Data'!$A$1:$Z$1,0)),"")</f>
        <v/>
      </c>
      <c r="H978" s="7" t="str">
        <f aca="false">IFERROR(INDEX('Semrush Data'!$A$1:$Z$20000,MATCH(A978,'Semrush Data'!$A$1:$A$20000,0),MATCH("Keyword Difficulty*",'Semrush Data'!$A$1:$Z$1,0)),"")</f>
        <v/>
      </c>
      <c r="I978" s="13" t="str">
        <f aca="false">IFERROR(INDEX('Semrush Data'!$A$1:$Z$20000,MATCH(A978,'Semrush Data'!$A$1:$A$20000,0),MATCH("CPC*",'Semrush Data'!$A$1:$Z$1,0)),"")</f>
        <v/>
      </c>
      <c r="J978" s="7" t="str">
        <f aca="false">IFERROR(INDEX('Semrush Data'!$A$1:$Z$20000,MATCH(A978,'Semrush Data'!$A$1:$A$20000,0),MATCH("Intent",'Semrush Data'!$A$1:$Z$1,0)),"")</f>
        <v/>
      </c>
    </row>
    <row r="979" customFormat="false" ht="15" hidden="false" customHeight="true" outlineLevel="0" collapsed="false">
      <c r="A979" s="7" t="s">
        <v>3503</v>
      </c>
      <c r="B979" s="7" t="s">
        <v>6814</v>
      </c>
      <c r="C979" s="7" t="n">
        <v>2</v>
      </c>
      <c r="D979" s="7" t="s">
        <v>6815</v>
      </c>
      <c r="E979" s="7" t="n">
        <v>1</v>
      </c>
      <c r="F979" s="7" t="s">
        <v>45</v>
      </c>
      <c r="G979" s="12" t="n">
        <f aca="false">IFERROR(INDEX('Semrush Data'!$A$1:$Z$20000,MATCH(A979,'Semrush Data'!$A$1:$A$20000,0),MATCH("Volume",'Semrush Data'!$A$1:$Z$1,0)),"")</f>
        <v>170</v>
      </c>
      <c r="H979" s="7" t="n">
        <f aca="false">IFERROR(INDEX('Semrush Data'!$A$1:$Z$20000,MATCH(A979,'Semrush Data'!$A$1:$A$20000,0),MATCH("Keyword Difficulty*",'Semrush Data'!$A$1:$Z$1,0)),"")</f>
        <v>39</v>
      </c>
      <c r="I979" s="13" t="n">
        <f aca="false">IFERROR(INDEX('Semrush Data'!$A$1:$Z$20000,MATCH(A979,'Semrush Data'!$A$1:$A$20000,0),MATCH("CPC*",'Semrush Data'!$A$1:$Z$1,0)),"")</f>
        <v>0.62</v>
      </c>
      <c r="J979" s="7" t="str">
        <f aca="false">IFERROR(INDEX('Semrush Data'!$A$1:$Z$20000,MATCH(A979,'Semrush Data'!$A$1:$A$20000,0),MATCH("Intent",'Semrush Data'!$A$1:$Z$1,0)),"")</f>
        <v>Informational</v>
      </c>
    </row>
    <row r="980" customFormat="false" ht="15" hidden="false" customHeight="true" outlineLevel="0" collapsed="false">
      <c r="A980" s="7" t="s">
        <v>3539</v>
      </c>
      <c r="B980" s="7" t="s">
        <v>6814</v>
      </c>
      <c r="C980" s="7" t="n">
        <v>2</v>
      </c>
      <c r="D980" s="7" t="n">
        <v>10</v>
      </c>
      <c r="E980" s="7" t="n">
        <v>1</v>
      </c>
      <c r="F980" s="7" t="s">
        <v>3534</v>
      </c>
      <c r="G980" s="12" t="str">
        <f aca="false">IFERROR(INDEX('Semrush Data'!$A$1:$Z$20000,MATCH(A980,'Semrush Data'!$A$1:$A$20000,0),MATCH("Volume",'Semrush Data'!$A$1:$Z$1,0)),"")</f>
        <v/>
      </c>
      <c r="H980" s="7" t="str">
        <f aca="false">IFERROR(INDEX('Semrush Data'!$A$1:$Z$20000,MATCH(A980,'Semrush Data'!$A$1:$A$20000,0),MATCH("Keyword Difficulty*",'Semrush Data'!$A$1:$Z$1,0)),"")</f>
        <v/>
      </c>
      <c r="I980" s="13" t="str">
        <f aca="false">IFERROR(INDEX('Semrush Data'!$A$1:$Z$20000,MATCH(A980,'Semrush Data'!$A$1:$A$20000,0),MATCH("CPC*",'Semrush Data'!$A$1:$Z$1,0)),"")</f>
        <v/>
      </c>
      <c r="J980" s="7" t="str">
        <f aca="false">IFERROR(INDEX('Semrush Data'!$A$1:$Z$20000,MATCH(A980,'Semrush Data'!$A$1:$A$20000,0),MATCH("Intent",'Semrush Data'!$A$1:$Z$1,0)),"")</f>
        <v/>
      </c>
    </row>
    <row r="981" customFormat="false" ht="15" hidden="false" customHeight="true" outlineLevel="0" collapsed="false">
      <c r="A981" s="7" t="s">
        <v>3516</v>
      </c>
      <c r="B981" s="7" t="s">
        <v>6814</v>
      </c>
      <c r="C981" s="7" t="n">
        <v>2</v>
      </c>
      <c r="D981" s="7" t="s">
        <v>6816</v>
      </c>
      <c r="E981" s="7" t="n">
        <v>1</v>
      </c>
      <c r="F981" s="7" t="s">
        <v>3512</v>
      </c>
      <c r="G981" s="12" t="n">
        <f aca="false">IFERROR(INDEX('Semrush Data'!$A$1:$Z$20000,MATCH(A981,'Semrush Data'!$A$1:$A$20000,0),MATCH("Volume",'Semrush Data'!$A$1:$Z$1,0)),"")</f>
        <v>0</v>
      </c>
      <c r="H981" s="7" t="n">
        <f aca="false">IFERROR(INDEX('Semrush Data'!$A$1:$Z$20000,MATCH(A981,'Semrush Data'!$A$1:$A$20000,0),MATCH("Keyword Difficulty*",'Semrush Data'!$A$1:$Z$1,0)),"")</f>
        <v>19</v>
      </c>
      <c r="I981" s="13" t="n">
        <f aca="false">IFERROR(INDEX('Semrush Data'!$A$1:$Z$20000,MATCH(A981,'Semrush Data'!$A$1:$A$20000,0),MATCH("CPC*",'Semrush Data'!$A$1:$Z$1,0)),"")</f>
        <v>0</v>
      </c>
      <c r="J981" s="7" t="str">
        <f aca="false">IFERROR(INDEX('Semrush Data'!$A$1:$Z$20000,MATCH(A981,'Semrush Data'!$A$1:$A$20000,0),MATCH("Intent",'Semrush Data'!$A$1:$Z$1,0)),"")</f>
        <v>Informational</v>
      </c>
    </row>
    <row r="982" customFormat="false" ht="15" hidden="false" customHeight="true" outlineLevel="0" collapsed="false">
      <c r="A982" s="7" t="s">
        <v>3526</v>
      </c>
      <c r="B982" s="7" t="s">
        <v>6814</v>
      </c>
      <c r="C982" s="7" t="n">
        <v>2</v>
      </c>
      <c r="D982" s="7" t="s">
        <v>6815</v>
      </c>
      <c r="E982" s="7" t="n">
        <v>1</v>
      </c>
      <c r="F982" s="7" t="s">
        <v>130</v>
      </c>
      <c r="G982" s="12" t="n">
        <f aca="false">IFERROR(INDEX('Semrush Data'!$A$1:$Z$20000,MATCH(A982,'Semrush Data'!$A$1:$A$20000,0),MATCH("Volume",'Semrush Data'!$A$1:$Z$1,0)),"")</f>
        <v>0</v>
      </c>
      <c r="H982" s="7" t="n">
        <f aca="false">IFERROR(INDEX('Semrush Data'!$A$1:$Z$20000,MATCH(A982,'Semrush Data'!$A$1:$A$20000,0),MATCH("Keyword Difficulty*",'Semrush Data'!$A$1:$Z$1,0)),"")</f>
        <v>10</v>
      </c>
      <c r="I982" s="13" t="n">
        <f aca="false">IFERROR(INDEX('Semrush Data'!$A$1:$Z$20000,MATCH(A982,'Semrush Data'!$A$1:$A$20000,0),MATCH("CPC*",'Semrush Data'!$A$1:$Z$1,0)),"")</f>
        <v>0</v>
      </c>
      <c r="J982" s="7" t="str">
        <f aca="false">IFERROR(INDEX('Semrush Data'!$A$1:$Z$20000,MATCH(A982,'Semrush Data'!$A$1:$A$20000,0),MATCH("Intent",'Semrush Data'!$A$1:$Z$1,0)),"")</f>
        <v>Informational</v>
      </c>
    </row>
    <row r="983" customFormat="false" ht="15" hidden="false" customHeight="true" outlineLevel="0" collapsed="false">
      <c r="A983" s="7" t="s">
        <v>3551</v>
      </c>
      <c r="B983" s="7" t="s">
        <v>6814</v>
      </c>
      <c r="C983" s="7" t="n">
        <v>2</v>
      </c>
      <c r="D983" s="7" t="n">
        <v>10</v>
      </c>
      <c r="E983" s="7" t="n">
        <v>1</v>
      </c>
      <c r="F983" s="7" t="s">
        <v>3547</v>
      </c>
      <c r="G983" s="12" t="str">
        <f aca="false">IFERROR(INDEX('Semrush Data'!$A$1:$Z$20000,MATCH(A983,'Semrush Data'!$A$1:$A$20000,0),MATCH("Volume",'Semrush Data'!$A$1:$Z$1,0)),"")</f>
        <v/>
      </c>
      <c r="H983" s="7" t="str">
        <f aca="false">IFERROR(INDEX('Semrush Data'!$A$1:$Z$20000,MATCH(A983,'Semrush Data'!$A$1:$A$20000,0),MATCH("Keyword Difficulty*",'Semrush Data'!$A$1:$Z$1,0)),"")</f>
        <v/>
      </c>
      <c r="I983" s="13" t="str">
        <f aca="false">IFERROR(INDEX('Semrush Data'!$A$1:$Z$20000,MATCH(A983,'Semrush Data'!$A$1:$A$20000,0),MATCH("CPC*",'Semrush Data'!$A$1:$Z$1,0)),"")</f>
        <v/>
      </c>
      <c r="J983" s="7" t="str">
        <f aca="false">IFERROR(INDEX('Semrush Data'!$A$1:$Z$20000,MATCH(A983,'Semrush Data'!$A$1:$A$20000,0),MATCH("Intent",'Semrush Data'!$A$1:$Z$1,0)),"")</f>
        <v/>
      </c>
    </row>
    <row r="984" customFormat="false" ht="15" hidden="false" customHeight="true" outlineLevel="0" collapsed="false">
      <c r="A984" s="7" t="s">
        <v>3634</v>
      </c>
      <c r="B984" s="7" t="s">
        <v>6814</v>
      </c>
      <c r="C984" s="7" t="n">
        <v>2</v>
      </c>
      <c r="D984" s="7" t="n">
        <v>10</v>
      </c>
      <c r="E984" s="7" t="n">
        <v>1</v>
      </c>
      <c r="F984" s="7" t="s">
        <v>3631</v>
      </c>
      <c r="G984" s="12" t="str">
        <f aca="false">IFERROR(INDEX('Semrush Data'!$A$1:$Z$20000,MATCH(A984,'Semrush Data'!$A$1:$A$20000,0),MATCH("Volume",'Semrush Data'!$A$1:$Z$1,0)),"")</f>
        <v/>
      </c>
      <c r="H984" s="7" t="str">
        <f aca="false">IFERROR(INDEX('Semrush Data'!$A$1:$Z$20000,MATCH(A984,'Semrush Data'!$A$1:$A$20000,0),MATCH("Keyword Difficulty*",'Semrush Data'!$A$1:$Z$1,0)),"")</f>
        <v/>
      </c>
      <c r="I984" s="13" t="str">
        <f aca="false">IFERROR(INDEX('Semrush Data'!$A$1:$Z$20000,MATCH(A984,'Semrush Data'!$A$1:$A$20000,0),MATCH("CPC*",'Semrush Data'!$A$1:$Z$1,0)),"")</f>
        <v/>
      </c>
      <c r="J984" s="7" t="str">
        <f aca="false">IFERROR(INDEX('Semrush Data'!$A$1:$Z$20000,MATCH(A984,'Semrush Data'!$A$1:$A$20000,0),MATCH("Intent",'Semrush Data'!$A$1:$Z$1,0)),"")</f>
        <v/>
      </c>
    </row>
    <row r="985" customFormat="false" ht="15" hidden="false" customHeight="true" outlineLevel="0" collapsed="false">
      <c r="A985" s="7" t="s">
        <v>3564</v>
      </c>
      <c r="B985" s="7" t="s">
        <v>6814</v>
      </c>
      <c r="C985" s="7" t="n">
        <v>2</v>
      </c>
      <c r="D985" s="7" t="s">
        <v>6815</v>
      </c>
      <c r="E985" s="7" t="n">
        <v>1</v>
      </c>
      <c r="F985" s="7" t="s">
        <v>3559</v>
      </c>
      <c r="G985" s="12" t="n">
        <f aca="false">IFERROR(INDEX('Semrush Data'!$A$1:$Z$20000,MATCH(A985,'Semrush Data'!$A$1:$A$20000,0),MATCH("Volume",'Semrush Data'!$A$1:$Z$1,0)),"")</f>
        <v>20</v>
      </c>
      <c r="H985" s="7" t="n">
        <f aca="false">IFERROR(INDEX('Semrush Data'!$A$1:$Z$20000,MATCH(A985,'Semrush Data'!$A$1:$A$20000,0),MATCH("Keyword Difficulty*",'Semrush Data'!$A$1:$Z$1,0)),"")</f>
        <v>13</v>
      </c>
      <c r="I985" s="13" t="n">
        <f aca="false">IFERROR(INDEX('Semrush Data'!$A$1:$Z$20000,MATCH(A985,'Semrush Data'!$A$1:$A$20000,0),MATCH("CPC*",'Semrush Data'!$A$1:$Z$1,0)),"")</f>
        <v>0</v>
      </c>
      <c r="J985" s="7" t="str">
        <f aca="false">IFERROR(INDEX('Semrush Data'!$A$1:$Z$20000,MATCH(A985,'Semrush Data'!$A$1:$A$20000,0),MATCH("Intent",'Semrush Data'!$A$1:$Z$1,0)),"")</f>
        <v>Informational</v>
      </c>
    </row>
    <row r="986" customFormat="false" ht="15" hidden="false" customHeight="true" outlineLevel="0" collapsed="false">
      <c r="A986" s="7" t="s">
        <v>3645</v>
      </c>
      <c r="B986" s="7" t="s">
        <v>6814</v>
      </c>
      <c r="C986" s="7" t="n">
        <v>2</v>
      </c>
      <c r="D986" s="7" t="n">
        <v>10</v>
      </c>
      <c r="E986" s="7" t="n">
        <v>1</v>
      </c>
      <c r="F986" s="7" t="s">
        <v>3642</v>
      </c>
      <c r="G986" s="12" t="str">
        <f aca="false">IFERROR(INDEX('Semrush Data'!$A$1:$Z$20000,MATCH(A986,'Semrush Data'!$A$1:$A$20000,0),MATCH("Volume",'Semrush Data'!$A$1:$Z$1,0)),"")</f>
        <v/>
      </c>
      <c r="H986" s="7" t="str">
        <f aca="false">IFERROR(INDEX('Semrush Data'!$A$1:$Z$20000,MATCH(A986,'Semrush Data'!$A$1:$A$20000,0),MATCH("Keyword Difficulty*",'Semrush Data'!$A$1:$Z$1,0)),"")</f>
        <v/>
      </c>
      <c r="I986" s="13" t="str">
        <f aca="false">IFERROR(INDEX('Semrush Data'!$A$1:$Z$20000,MATCH(A986,'Semrush Data'!$A$1:$A$20000,0),MATCH("CPC*",'Semrush Data'!$A$1:$Z$1,0)),"")</f>
        <v/>
      </c>
      <c r="J986" s="7" t="str">
        <f aca="false">IFERROR(INDEX('Semrush Data'!$A$1:$Z$20000,MATCH(A986,'Semrush Data'!$A$1:$A$20000,0),MATCH("Intent",'Semrush Data'!$A$1:$Z$1,0)),"")</f>
        <v/>
      </c>
    </row>
    <row r="987" customFormat="false" ht="15" hidden="false" customHeight="true" outlineLevel="0" collapsed="false">
      <c r="A987" s="7" t="s">
        <v>3623</v>
      </c>
      <c r="B987" s="7" t="s">
        <v>6814</v>
      </c>
      <c r="C987" s="7" t="n">
        <v>2</v>
      </c>
      <c r="D987" s="7" t="s">
        <v>6815</v>
      </c>
      <c r="E987" s="7" t="n">
        <v>1</v>
      </c>
      <c r="F987" s="7" t="s">
        <v>3620</v>
      </c>
      <c r="G987" s="12" t="n">
        <f aca="false">IFERROR(INDEX('Semrush Data'!$A$1:$Z$20000,MATCH(A987,'Semrush Data'!$A$1:$A$20000,0),MATCH("Volume",'Semrush Data'!$A$1:$Z$1,0)),"")</f>
        <v>0</v>
      </c>
      <c r="H987" s="7" t="n">
        <f aca="false">IFERROR(INDEX('Semrush Data'!$A$1:$Z$20000,MATCH(A987,'Semrush Data'!$A$1:$A$20000,0),MATCH("Keyword Difficulty*",'Semrush Data'!$A$1:$Z$1,0)),"")</f>
        <v>10</v>
      </c>
      <c r="I987" s="13" t="n">
        <f aca="false">IFERROR(INDEX('Semrush Data'!$A$1:$Z$20000,MATCH(A987,'Semrush Data'!$A$1:$A$20000,0),MATCH("CPC*",'Semrush Data'!$A$1:$Z$1,0)),"")</f>
        <v>0</v>
      </c>
      <c r="J987" s="7" t="str">
        <f aca="false">IFERROR(INDEX('Semrush Data'!$A$1:$Z$20000,MATCH(A987,'Semrush Data'!$A$1:$A$20000,0),MATCH("Intent",'Semrush Data'!$A$1:$Z$1,0)),"")</f>
        <v>Informational</v>
      </c>
    </row>
    <row r="988" customFormat="false" ht="15" hidden="false" customHeight="true" outlineLevel="0" collapsed="false">
      <c r="A988" s="7" t="s">
        <v>3655</v>
      </c>
      <c r="B988" s="7" t="s">
        <v>6814</v>
      </c>
      <c r="C988" s="7" t="n">
        <v>2</v>
      </c>
      <c r="D988" s="7" t="n">
        <v>10</v>
      </c>
      <c r="E988" s="7" t="n">
        <v>2</v>
      </c>
      <c r="F988" s="7" t="s">
        <v>6798</v>
      </c>
      <c r="G988" s="12" t="str">
        <f aca="false">IFERROR(INDEX('Semrush Data'!$A$1:$Z$20000,MATCH(A988,'Semrush Data'!$A$1:$A$20000,0),MATCH("Volume",'Semrush Data'!$A$1:$Z$1,0)),"")</f>
        <v/>
      </c>
      <c r="H988" s="7" t="str">
        <f aca="false">IFERROR(INDEX('Semrush Data'!$A$1:$Z$20000,MATCH(A988,'Semrush Data'!$A$1:$A$20000,0),MATCH("Keyword Difficulty*",'Semrush Data'!$A$1:$Z$1,0)),"")</f>
        <v/>
      </c>
      <c r="I988" s="13" t="str">
        <f aca="false">IFERROR(INDEX('Semrush Data'!$A$1:$Z$20000,MATCH(A988,'Semrush Data'!$A$1:$A$20000,0),MATCH("CPC*",'Semrush Data'!$A$1:$Z$1,0)),"")</f>
        <v/>
      </c>
      <c r="J988" s="7" t="str">
        <f aca="false">IFERROR(INDEX('Semrush Data'!$A$1:$Z$20000,MATCH(A988,'Semrush Data'!$A$1:$A$20000,0),MATCH("Intent",'Semrush Data'!$A$1:$Z$1,0)),"")</f>
        <v/>
      </c>
    </row>
    <row r="989" customFormat="false" ht="15" hidden="false" customHeight="true" outlineLevel="0" collapsed="false">
      <c r="A989" s="7" t="s">
        <v>3576</v>
      </c>
      <c r="B989" s="7" t="s">
        <v>6814</v>
      </c>
      <c r="C989" s="7" t="n">
        <v>2</v>
      </c>
      <c r="D989" s="7" t="n">
        <v>10</v>
      </c>
      <c r="E989" s="7" t="n">
        <v>1</v>
      </c>
      <c r="F989" s="7" t="s">
        <v>3573</v>
      </c>
      <c r="G989" s="12" t="str">
        <f aca="false">IFERROR(INDEX('Semrush Data'!$A$1:$Z$20000,MATCH(A989,'Semrush Data'!$A$1:$A$20000,0),MATCH("Volume",'Semrush Data'!$A$1:$Z$1,0)),"")</f>
        <v/>
      </c>
      <c r="H989" s="7" t="str">
        <f aca="false">IFERROR(INDEX('Semrush Data'!$A$1:$Z$20000,MATCH(A989,'Semrush Data'!$A$1:$A$20000,0),MATCH("Keyword Difficulty*",'Semrush Data'!$A$1:$Z$1,0)),"")</f>
        <v/>
      </c>
      <c r="I989" s="13" t="str">
        <f aca="false">IFERROR(INDEX('Semrush Data'!$A$1:$Z$20000,MATCH(A989,'Semrush Data'!$A$1:$A$20000,0),MATCH("CPC*",'Semrush Data'!$A$1:$Z$1,0)),"")</f>
        <v/>
      </c>
      <c r="J989" s="7" t="str">
        <f aca="false">IFERROR(INDEX('Semrush Data'!$A$1:$Z$20000,MATCH(A989,'Semrush Data'!$A$1:$A$20000,0),MATCH("Intent",'Semrush Data'!$A$1:$Z$1,0)),"")</f>
        <v/>
      </c>
    </row>
    <row r="990" customFormat="false" ht="15" hidden="false" customHeight="true" outlineLevel="0" collapsed="false">
      <c r="A990" s="7" t="s">
        <v>3666</v>
      </c>
      <c r="B990" s="7" t="s">
        <v>6814</v>
      </c>
      <c r="C990" s="7" t="n">
        <v>2</v>
      </c>
      <c r="D990" s="7" t="s">
        <v>6816</v>
      </c>
      <c r="E990" s="7" t="n">
        <v>1</v>
      </c>
      <c r="F990" s="7" t="s">
        <v>3663</v>
      </c>
      <c r="G990" s="12" t="n">
        <f aca="false">IFERROR(INDEX('Semrush Data'!$A$1:$Z$20000,MATCH(A990,'Semrush Data'!$A$1:$A$20000,0),MATCH("Volume",'Semrush Data'!$A$1:$Z$1,0)),"")</f>
        <v>0</v>
      </c>
      <c r="H990" s="7" t="n">
        <f aca="false">IFERROR(INDEX('Semrush Data'!$A$1:$Z$20000,MATCH(A990,'Semrush Data'!$A$1:$A$20000,0),MATCH("Keyword Difficulty*",'Semrush Data'!$A$1:$Z$1,0)),"")</f>
        <v>16</v>
      </c>
      <c r="I990" s="13" t="n">
        <f aca="false">IFERROR(INDEX('Semrush Data'!$A$1:$Z$20000,MATCH(A990,'Semrush Data'!$A$1:$A$20000,0),MATCH("CPC*",'Semrush Data'!$A$1:$Z$1,0)),"")</f>
        <v>0</v>
      </c>
      <c r="J990" s="7" t="str">
        <f aca="false">IFERROR(INDEX('Semrush Data'!$A$1:$Z$20000,MATCH(A990,'Semrush Data'!$A$1:$A$20000,0),MATCH("Intent",'Semrush Data'!$A$1:$Z$1,0)),"")</f>
        <v>Informational</v>
      </c>
    </row>
    <row r="991" customFormat="false" ht="15" hidden="false" customHeight="true" outlineLevel="0" collapsed="false">
      <c r="A991" s="7" t="s">
        <v>3612</v>
      </c>
      <c r="B991" s="7" t="s">
        <v>6814</v>
      </c>
      <c r="C991" s="7" t="n">
        <v>2</v>
      </c>
      <c r="D991" s="7" t="n">
        <v>10</v>
      </c>
      <c r="E991" s="7" t="n">
        <v>1</v>
      </c>
      <c r="F991" s="7" t="s">
        <v>3609</v>
      </c>
      <c r="G991" s="12" t="str">
        <f aca="false">IFERROR(INDEX('Semrush Data'!$A$1:$Z$20000,MATCH(A991,'Semrush Data'!$A$1:$A$20000,0),MATCH("Volume",'Semrush Data'!$A$1:$Z$1,0)),"")</f>
        <v/>
      </c>
      <c r="H991" s="7" t="str">
        <f aca="false">IFERROR(INDEX('Semrush Data'!$A$1:$Z$20000,MATCH(A991,'Semrush Data'!$A$1:$A$20000,0),MATCH("Keyword Difficulty*",'Semrush Data'!$A$1:$Z$1,0)),"")</f>
        <v/>
      </c>
      <c r="I991" s="13" t="str">
        <f aca="false">IFERROR(INDEX('Semrush Data'!$A$1:$Z$20000,MATCH(A991,'Semrush Data'!$A$1:$A$20000,0),MATCH("CPC*",'Semrush Data'!$A$1:$Z$1,0)),"")</f>
        <v/>
      </c>
      <c r="J991" s="7" t="str">
        <f aca="false">IFERROR(INDEX('Semrush Data'!$A$1:$Z$20000,MATCH(A991,'Semrush Data'!$A$1:$A$20000,0),MATCH("Intent",'Semrush Data'!$A$1:$Z$1,0)),"")</f>
        <v/>
      </c>
    </row>
    <row r="992" customFormat="false" ht="15" hidden="false" customHeight="true" outlineLevel="0" collapsed="false">
      <c r="A992" s="7" t="s">
        <v>3601</v>
      </c>
      <c r="B992" s="7" t="s">
        <v>6814</v>
      </c>
      <c r="C992" s="7" t="n">
        <v>2</v>
      </c>
      <c r="D992" s="7" t="s">
        <v>6816</v>
      </c>
      <c r="E992" s="7" t="n">
        <v>1</v>
      </c>
      <c r="F992" s="7" t="s">
        <v>3598</v>
      </c>
      <c r="G992" s="12" t="n">
        <f aca="false">IFERROR(INDEX('Semrush Data'!$A$1:$Z$20000,MATCH(A992,'Semrush Data'!$A$1:$A$20000,0),MATCH("Volume",'Semrush Data'!$A$1:$Z$1,0)),"")</f>
        <v>0</v>
      </c>
      <c r="H992" s="7" t="n">
        <f aca="false">IFERROR(INDEX('Semrush Data'!$A$1:$Z$20000,MATCH(A992,'Semrush Data'!$A$1:$A$20000,0),MATCH("Keyword Difficulty*",'Semrush Data'!$A$1:$Z$1,0)),"")</f>
        <v>18</v>
      </c>
      <c r="I992" s="13" t="n">
        <f aca="false">IFERROR(INDEX('Semrush Data'!$A$1:$Z$20000,MATCH(A992,'Semrush Data'!$A$1:$A$20000,0),MATCH("CPC*",'Semrush Data'!$A$1:$Z$1,0)),"")</f>
        <v>0</v>
      </c>
      <c r="J992" s="7" t="str">
        <f aca="false">IFERROR(INDEX('Semrush Data'!$A$1:$Z$20000,MATCH(A992,'Semrush Data'!$A$1:$A$20000,0),MATCH("Intent",'Semrush Data'!$A$1:$Z$1,0)),"")</f>
        <v>Informational</v>
      </c>
    </row>
    <row r="993" customFormat="false" ht="15" hidden="false" customHeight="true" outlineLevel="0" collapsed="false">
      <c r="A993" s="7" t="s">
        <v>3586</v>
      </c>
      <c r="B993" s="7" t="s">
        <v>6814</v>
      </c>
      <c r="C993" s="7" t="n">
        <v>2</v>
      </c>
      <c r="D993" s="7" t="s">
        <v>6815</v>
      </c>
      <c r="E993" s="7" t="n">
        <v>2</v>
      </c>
      <c r="F993" s="7" t="s">
        <v>6799</v>
      </c>
      <c r="G993" s="12" t="n">
        <f aca="false">IFERROR(INDEX('Semrush Data'!$A$1:$Z$20000,MATCH(A993,'Semrush Data'!$A$1:$A$20000,0),MATCH("Volume",'Semrush Data'!$A$1:$Z$1,0)),"")</f>
        <v>20</v>
      </c>
      <c r="H993" s="7" t="n">
        <f aca="false">IFERROR(INDEX('Semrush Data'!$A$1:$Z$20000,MATCH(A993,'Semrush Data'!$A$1:$A$20000,0),MATCH("Keyword Difficulty*",'Semrush Data'!$A$1:$Z$1,0)),"")</f>
        <v>14</v>
      </c>
      <c r="I993" s="13" t="n">
        <f aca="false">IFERROR(INDEX('Semrush Data'!$A$1:$Z$20000,MATCH(A993,'Semrush Data'!$A$1:$A$20000,0),MATCH("CPC*",'Semrush Data'!$A$1:$Z$1,0)),"")</f>
        <v>0</v>
      </c>
      <c r="J993" s="7" t="str">
        <f aca="false">IFERROR(INDEX('Semrush Data'!$A$1:$Z$20000,MATCH(A993,'Semrush Data'!$A$1:$A$20000,0),MATCH("Intent",'Semrush Data'!$A$1:$Z$1,0)),"")</f>
        <v>Informational</v>
      </c>
    </row>
    <row r="994" customFormat="false" ht="15" hidden="false" customHeight="true" outlineLevel="0" collapsed="false">
      <c r="A994" s="7" t="s">
        <v>3797</v>
      </c>
      <c r="B994" s="7" t="s">
        <v>6814</v>
      </c>
      <c r="C994" s="7" t="n">
        <v>2</v>
      </c>
      <c r="D994" s="7" t="n">
        <v>10</v>
      </c>
      <c r="E994" s="7" t="n">
        <v>1</v>
      </c>
      <c r="F994" s="7" t="s">
        <v>3794</v>
      </c>
      <c r="G994" s="12" t="str">
        <f aca="false">IFERROR(INDEX('Semrush Data'!$A$1:$Z$20000,MATCH(A994,'Semrush Data'!$A$1:$A$20000,0),MATCH("Volume",'Semrush Data'!$A$1:$Z$1,0)),"")</f>
        <v/>
      </c>
      <c r="H994" s="7" t="str">
        <f aca="false">IFERROR(INDEX('Semrush Data'!$A$1:$Z$20000,MATCH(A994,'Semrush Data'!$A$1:$A$20000,0),MATCH("Keyword Difficulty*",'Semrush Data'!$A$1:$Z$1,0)),"")</f>
        <v/>
      </c>
      <c r="I994" s="13" t="str">
        <f aca="false">IFERROR(INDEX('Semrush Data'!$A$1:$Z$20000,MATCH(A994,'Semrush Data'!$A$1:$A$20000,0),MATCH("CPC*",'Semrush Data'!$A$1:$Z$1,0)),"")</f>
        <v/>
      </c>
      <c r="J994" s="7" t="str">
        <f aca="false">IFERROR(INDEX('Semrush Data'!$A$1:$Z$20000,MATCH(A994,'Semrush Data'!$A$1:$A$20000,0),MATCH("Intent",'Semrush Data'!$A$1:$Z$1,0)),"")</f>
        <v/>
      </c>
    </row>
    <row r="995" customFormat="false" ht="15" hidden="false" customHeight="true" outlineLevel="0" collapsed="false">
      <c r="A995" s="7" t="s">
        <v>3808</v>
      </c>
      <c r="B995" s="7" t="s">
        <v>6814</v>
      </c>
      <c r="C995" s="7" t="n">
        <v>2</v>
      </c>
      <c r="D995" s="7" t="s">
        <v>6816</v>
      </c>
      <c r="E995" s="7" t="n">
        <v>1</v>
      </c>
      <c r="F995" s="7" t="s">
        <v>3805</v>
      </c>
      <c r="G995" s="12" t="n">
        <f aca="false">IFERROR(INDEX('Semrush Data'!$A$1:$Z$20000,MATCH(A995,'Semrush Data'!$A$1:$A$20000,0),MATCH("Volume",'Semrush Data'!$A$1:$Z$1,0)),"")</f>
        <v>20</v>
      </c>
      <c r="H995" s="7" t="n">
        <f aca="false">IFERROR(INDEX('Semrush Data'!$A$1:$Z$20000,MATCH(A995,'Semrush Data'!$A$1:$A$20000,0),MATCH("Keyword Difficulty*",'Semrush Data'!$A$1:$Z$1,0)),"")</f>
        <v>16</v>
      </c>
      <c r="I995" s="13" t="n">
        <f aca="false">IFERROR(INDEX('Semrush Data'!$A$1:$Z$20000,MATCH(A995,'Semrush Data'!$A$1:$A$20000,0),MATCH("CPC*",'Semrush Data'!$A$1:$Z$1,0)),"")</f>
        <v>0</v>
      </c>
      <c r="J995" s="7" t="str">
        <f aca="false">IFERROR(INDEX('Semrush Data'!$A$1:$Z$20000,MATCH(A995,'Semrush Data'!$A$1:$A$20000,0),MATCH("Intent",'Semrush Data'!$A$1:$Z$1,0)),"")</f>
        <v>Informational</v>
      </c>
    </row>
    <row r="996" customFormat="false" ht="15" hidden="false" customHeight="true" outlineLevel="0" collapsed="false">
      <c r="A996" s="7" t="s">
        <v>3820</v>
      </c>
      <c r="B996" s="7" t="s">
        <v>6814</v>
      </c>
      <c r="C996" s="7" t="n">
        <v>2</v>
      </c>
      <c r="D996" s="7" t="n">
        <v>10</v>
      </c>
      <c r="E996" s="7" t="n">
        <v>1</v>
      </c>
      <c r="F996" s="7" t="s">
        <v>3817</v>
      </c>
      <c r="G996" s="12" t="str">
        <f aca="false">IFERROR(INDEX('Semrush Data'!$A$1:$Z$20000,MATCH(A996,'Semrush Data'!$A$1:$A$20000,0),MATCH("Volume",'Semrush Data'!$A$1:$Z$1,0)),"")</f>
        <v/>
      </c>
      <c r="H996" s="7" t="str">
        <f aca="false">IFERROR(INDEX('Semrush Data'!$A$1:$Z$20000,MATCH(A996,'Semrush Data'!$A$1:$A$20000,0),MATCH("Keyword Difficulty*",'Semrush Data'!$A$1:$Z$1,0)),"")</f>
        <v/>
      </c>
      <c r="I996" s="13" t="str">
        <f aca="false">IFERROR(INDEX('Semrush Data'!$A$1:$Z$20000,MATCH(A996,'Semrush Data'!$A$1:$A$20000,0),MATCH("CPC*",'Semrush Data'!$A$1:$Z$1,0)),"")</f>
        <v/>
      </c>
      <c r="J996" s="7" t="str">
        <f aca="false">IFERROR(INDEX('Semrush Data'!$A$1:$Z$20000,MATCH(A996,'Semrush Data'!$A$1:$A$20000,0),MATCH("Intent",'Semrush Data'!$A$1:$Z$1,0)),"")</f>
        <v/>
      </c>
    </row>
    <row r="997" customFormat="false" ht="15" hidden="false" customHeight="true" outlineLevel="0" collapsed="false">
      <c r="A997" s="7" t="s">
        <v>3831</v>
      </c>
      <c r="B997" s="7" t="s">
        <v>6814</v>
      </c>
      <c r="C997" s="7" t="n">
        <v>2</v>
      </c>
      <c r="D997" s="7" t="n">
        <v>10</v>
      </c>
      <c r="E997" s="7" t="n">
        <v>1</v>
      </c>
      <c r="F997" s="7" t="s">
        <v>3828</v>
      </c>
      <c r="G997" s="12" t="str">
        <f aca="false">IFERROR(INDEX('Semrush Data'!$A$1:$Z$20000,MATCH(A997,'Semrush Data'!$A$1:$A$20000,0),MATCH("Volume",'Semrush Data'!$A$1:$Z$1,0)),"")</f>
        <v/>
      </c>
      <c r="H997" s="7" t="str">
        <f aca="false">IFERROR(INDEX('Semrush Data'!$A$1:$Z$20000,MATCH(A997,'Semrush Data'!$A$1:$A$20000,0),MATCH("Keyword Difficulty*",'Semrush Data'!$A$1:$Z$1,0)),"")</f>
        <v/>
      </c>
      <c r="I997" s="13" t="str">
        <f aca="false">IFERROR(INDEX('Semrush Data'!$A$1:$Z$20000,MATCH(A997,'Semrush Data'!$A$1:$A$20000,0),MATCH("CPC*",'Semrush Data'!$A$1:$Z$1,0)),"")</f>
        <v/>
      </c>
      <c r="J997" s="7" t="str">
        <f aca="false">IFERROR(INDEX('Semrush Data'!$A$1:$Z$20000,MATCH(A997,'Semrush Data'!$A$1:$A$20000,0),MATCH("Intent",'Semrush Data'!$A$1:$Z$1,0)),"")</f>
        <v/>
      </c>
    </row>
    <row r="998" customFormat="false" ht="15" hidden="false" customHeight="true" outlineLevel="0" collapsed="false">
      <c r="A998" s="7" t="s">
        <v>3682</v>
      </c>
      <c r="B998" s="7" t="s">
        <v>6814</v>
      </c>
      <c r="C998" s="7" t="n">
        <v>2</v>
      </c>
      <c r="D998" s="7" t="n">
        <v>10</v>
      </c>
      <c r="E998" s="7" t="n">
        <v>1</v>
      </c>
      <c r="F998" s="7" t="s">
        <v>3678</v>
      </c>
      <c r="G998" s="12" t="str">
        <f aca="false">IFERROR(INDEX('Semrush Data'!$A$1:$Z$20000,MATCH(A998,'Semrush Data'!$A$1:$A$20000,0),MATCH("Volume",'Semrush Data'!$A$1:$Z$1,0)),"")</f>
        <v/>
      </c>
      <c r="H998" s="7" t="str">
        <f aca="false">IFERROR(INDEX('Semrush Data'!$A$1:$Z$20000,MATCH(A998,'Semrush Data'!$A$1:$A$20000,0),MATCH("Keyword Difficulty*",'Semrush Data'!$A$1:$Z$1,0)),"")</f>
        <v/>
      </c>
      <c r="I998" s="13" t="str">
        <f aca="false">IFERROR(INDEX('Semrush Data'!$A$1:$Z$20000,MATCH(A998,'Semrush Data'!$A$1:$A$20000,0),MATCH("CPC*",'Semrush Data'!$A$1:$Z$1,0)),"")</f>
        <v/>
      </c>
      <c r="J998" s="7" t="str">
        <f aca="false">IFERROR(INDEX('Semrush Data'!$A$1:$Z$20000,MATCH(A998,'Semrush Data'!$A$1:$A$20000,0),MATCH("Intent",'Semrush Data'!$A$1:$Z$1,0)),"")</f>
        <v/>
      </c>
    </row>
    <row r="999" customFormat="false" ht="15" hidden="false" customHeight="true" outlineLevel="0" collapsed="false">
      <c r="A999" s="7" t="s">
        <v>3695</v>
      </c>
      <c r="B999" s="7" t="s">
        <v>6814</v>
      </c>
      <c r="C999" s="7" t="n">
        <v>2</v>
      </c>
      <c r="D999" s="7" t="n">
        <v>10</v>
      </c>
      <c r="E999" s="7" t="n">
        <v>1</v>
      </c>
      <c r="F999" s="7" t="s">
        <v>3691</v>
      </c>
      <c r="G999" s="12" t="str">
        <f aca="false">IFERROR(INDEX('Semrush Data'!$A$1:$Z$20000,MATCH(A999,'Semrush Data'!$A$1:$A$20000,0),MATCH("Volume",'Semrush Data'!$A$1:$Z$1,0)),"")</f>
        <v/>
      </c>
      <c r="H999" s="7" t="str">
        <f aca="false">IFERROR(INDEX('Semrush Data'!$A$1:$Z$20000,MATCH(A999,'Semrush Data'!$A$1:$A$20000,0),MATCH("Keyword Difficulty*",'Semrush Data'!$A$1:$Z$1,0)),"")</f>
        <v/>
      </c>
      <c r="I999" s="13" t="str">
        <f aca="false">IFERROR(INDEX('Semrush Data'!$A$1:$Z$20000,MATCH(A999,'Semrush Data'!$A$1:$A$20000,0),MATCH("CPC*",'Semrush Data'!$A$1:$Z$1,0)),"")</f>
        <v/>
      </c>
      <c r="J999" s="7" t="str">
        <f aca="false">IFERROR(INDEX('Semrush Data'!$A$1:$Z$20000,MATCH(A999,'Semrush Data'!$A$1:$A$20000,0),MATCH("Intent",'Semrush Data'!$A$1:$Z$1,0)),"")</f>
        <v/>
      </c>
    </row>
    <row r="1000" customFormat="false" ht="15" hidden="false" customHeight="true" outlineLevel="0" collapsed="false">
      <c r="A1000" s="7" t="s">
        <v>3707</v>
      </c>
      <c r="B1000" s="7" t="s">
        <v>6814</v>
      </c>
      <c r="C1000" s="7" t="n">
        <v>2</v>
      </c>
      <c r="D1000" s="7" t="n">
        <v>10</v>
      </c>
      <c r="E1000" s="7" t="n">
        <v>1</v>
      </c>
      <c r="F1000" s="7" t="s">
        <v>3704</v>
      </c>
      <c r="G1000" s="12" t="str">
        <f aca="false">IFERROR(INDEX('Semrush Data'!$A$1:$Z$20000,MATCH(A1000,'Semrush Data'!$A$1:$A$20000,0),MATCH("Volume",'Semrush Data'!$A$1:$Z$1,0)),"")</f>
        <v/>
      </c>
      <c r="H1000" s="7" t="str">
        <f aca="false">IFERROR(INDEX('Semrush Data'!$A$1:$Z$20000,MATCH(A1000,'Semrush Data'!$A$1:$A$20000,0),MATCH("Keyword Difficulty*",'Semrush Data'!$A$1:$Z$1,0)),"")</f>
        <v/>
      </c>
      <c r="I1000" s="13" t="str">
        <f aca="false">IFERROR(INDEX('Semrush Data'!$A$1:$Z$20000,MATCH(A1000,'Semrush Data'!$A$1:$A$20000,0),MATCH("CPC*",'Semrush Data'!$A$1:$Z$1,0)),"")</f>
        <v/>
      </c>
      <c r="J1000" s="7" t="str">
        <f aca="false">IFERROR(INDEX('Semrush Data'!$A$1:$Z$20000,MATCH(A1000,'Semrush Data'!$A$1:$A$20000,0),MATCH("Intent",'Semrush Data'!$A$1:$Z$1,0)),"")</f>
        <v/>
      </c>
    </row>
    <row r="1001" customFormat="false" ht="15" hidden="false" customHeight="true" outlineLevel="0" collapsed="false">
      <c r="A1001" s="7" t="s">
        <v>3718</v>
      </c>
      <c r="B1001" s="7" t="s">
        <v>6814</v>
      </c>
      <c r="C1001" s="7" t="n">
        <v>2</v>
      </c>
      <c r="D1001" s="7" t="n">
        <v>10</v>
      </c>
      <c r="E1001" s="7" t="n">
        <v>1</v>
      </c>
      <c r="F1001" s="7" t="s">
        <v>3715</v>
      </c>
      <c r="G1001" s="12" t="str">
        <f aca="false">IFERROR(INDEX('Semrush Data'!$A$1:$Z$20000,MATCH(A1001,'Semrush Data'!$A$1:$A$20000,0),MATCH("Volume",'Semrush Data'!$A$1:$Z$1,0)),"")</f>
        <v/>
      </c>
      <c r="H1001" s="7" t="str">
        <f aca="false">IFERROR(INDEX('Semrush Data'!$A$1:$Z$20000,MATCH(A1001,'Semrush Data'!$A$1:$A$20000,0),MATCH("Keyword Difficulty*",'Semrush Data'!$A$1:$Z$1,0)),"")</f>
        <v/>
      </c>
      <c r="I1001" s="13" t="str">
        <f aca="false">IFERROR(INDEX('Semrush Data'!$A$1:$Z$20000,MATCH(A1001,'Semrush Data'!$A$1:$A$20000,0),MATCH("CPC*",'Semrush Data'!$A$1:$Z$1,0)),"")</f>
        <v/>
      </c>
      <c r="J1001" s="7" t="str">
        <f aca="false">IFERROR(INDEX('Semrush Data'!$A$1:$Z$20000,MATCH(A1001,'Semrush Data'!$A$1:$A$20000,0),MATCH("Intent",'Semrush Data'!$A$1:$Z$1,0)),"")</f>
        <v/>
      </c>
    </row>
    <row r="1002" customFormat="false" ht="15" hidden="false" customHeight="true" outlineLevel="0" collapsed="false">
      <c r="A1002" s="7" t="s">
        <v>3729</v>
      </c>
      <c r="B1002" s="7" t="s">
        <v>6814</v>
      </c>
      <c r="C1002" s="7" t="n">
        <v>2</v>
      </c>
      <c r="D1002" s="7" t="n">
        <v>11</v>
      </c>
      <c r="E1002" s="7" t="n">
        <v>1</v>
      </c>
      <c r="F1002" s="7" t="s">
        <v>3726</v>
      </c>
      <c r="G1002" s="12" t="str">
        <f aca="false">IFERROR(INDEX('Semrush Data'!$A$1:$Z$20000,MATCH(A1002,'Semrush Data'!$A$1:$A$20000,0),MATCH("Volume",'Semrush Data'!$A$1:$Z$1,0)),"")</f>
        <v/>
      </c>
      <c r="H1002" s="7" t="str">
        <f aca="false">IFERROR(INDEX('Semrush Data'!$A$1:$Z$20000,MATCH(A1002,'Semrush Data'!$A$1:$A$20000,0),MATCH("Keyword Difficulty*",'Semrush Data'!$A$1:$Z$1,0)),"")</f>
        <v/>
      </c>
      <c r="I1002" s="13" t="str">
        <f aca="false">IFERROR(INDEX('Semrush Data'!$A$1:$Z$20000,MATCH(A1002,'Semrush Data'!$A$1:$A$20000,0),MATCH("CPC*",'Semrush Data'!$A$1:$Z$1,0)),"")</f>
        <v/>
      </c>
      <c r="J1002" s="7" t="str">
        <f aca="false">IFERROR(INDEX('Semrush Data'!$A$1:$Z$20000,MATCH(A1002,'Semrush Data'!$A$1:$A$20000,0),MATCH("Intent",'Semrush Data'!$A$1:$Z$1,0)),"")</f>
        <v/>
      </c>
    </row>
    <row r="1003" customFormat="false" ht="15" hidden="false" customHeight="true" outlineLevel="0" collapsed="false">
      <c r="A1003" s="7" t="s">
        <v>3741</v>
      </c>
      <c r="B1003" s="7" t="s">
        <v>6814</v>
      </c>
      <c r="C1003" s="7" t="n">
        <v>2</v>
      </c>
      <c r="D1003" s="7" t="n">
        <v>11</v>
      </c>
      <c r="E1003" s="7" t="n">
        <v>1</v>
      </c>
      <c r="F1003" s="7" t="s">
        <v>3738</v>
      </c>
      <c r="G1003" s="12" t="str">
        <f aca="false">IFERROR(INDEX('Semrush Data'!$A$1:$Z$20000,MATCH(A1003,'Semrush Data'!$A$1:$A$20000,0),MATCH("Volume",'Semrush Data'!$A$1:$Z$1,0)),"")</f>
        <v/>
      </c>
      <c r="H1003" s="7" t="str">
        <f aca="false">IFERROR(INDEX('Semrush Data'!$A$1:$Z$20000,MATCH(A1003,'Semrush Data'!$A$1:$A$20000,0),MATCH("Keyword Difficulty*",'Semrush Data'!$A$1:$Z$1,0)),"")</f>
        <v/>
      </c>
      <c r="I1003" s="13" t="str">
        <f aca="false">IFERROR(INDEX('Semrush Data'!$A$1:$Z$20000,MATCH(A1003,'Semrush Data'!$A$1:$A$20000,0),MATCH("CPC*",'Semrush Data'!$A$1:$Z$1,0)),"")</f>
        <v/>
      </c>
      <c r="J1003" s="7" t="str">
        <f aca="false">IFERROR(INDEX('Semrush Data'!$A$1:$Z$20000,MATCH(A1003,'Semrush Data'!$A$1:$A$20000,0),MATCH("Intent",'Semrush Data'!$A$1:$Z$1,0)),"")</f>
        <v/>
      </c>
    </row>
    <row r="1004" customFormat="false" ht="15" hidden="false" customHeight="true" outlineLevel="0" collapsed="false">
      <c r="A1004" s="7" t="s">
        <v>3752</v>
      </c>
      <c r="B1004" s="7" t="s">
        <v>6814</v>
      </c>
      <c r="C1004" s="7" t="n">
        <v>2</v>
      </c>
      <c r="D1004" s="7" t="n">
        <v>11</v>
      </c>
      <c r="E1004" s="7" t="n">
        <v>1</v>
      </c>
      <c r="F1004" s="7" t="s">
        <v>3749</v>
      </c>
      <c r="G1004" s="12" t="str">
        <f aca="false">IFERROR(INDEX('Semrush Data'!$A$1:$Z$20000,MATCH(A1004,'Semrush Data'!$A$1:$A$20000,0),MATCH("Volume",'Semrush Data'!$A$1:$Z$1,0)),"")</f>
        <v/>
      </c>
      <c r="H1004" s="7" t="str">
        <f aca="false">IFERROR(INDEX('Semrush Data'!$A$1:$Z$20000,MATCH(A1004,'Semrush Data'!$A$1:$A$20000,0),MATCH("Keyword Difficulty*",'Semrush Data'!$A$1:$Z$1,0)),"")</f>
        <v/>
      </c>
      <c r="I1004" s="13" t="str">
        <f aca="false">IFERROR(INDEX('Semrush Data'!$A$1:$Z$20000,MATCH(A1004,'Semrush Data'!$A$1:$A$20000,0),MATCH("CPC*",'Semrush Data'!$A$1:$Z$1,0)),"")</f>
        <v/>
      </c>
      <c r="J1004" s="7" t="str">
        <f aca="false">IFERROR(INDEX('Semrush Data'!$A$1:$Z$20000,MATCH(A1004,'Semrush Data'!$A$1:$A$20000,0),MATCH("Intent",'Semrush Data'!$A$1:$Z$1,0)),"")</f>
        <v/>
      </c>
    </row>
    <row r="1005" customFormat="false" ht="15" hidden="false" customHeight="true" outlineLevel="0" collapsed="false">
      <c r="A1005" s="7" t="s">
        <v>3763</v>
      </c>
      <c r="B1005" s="7" t="s">
        <v>6814</v>
      </c>
      <c r="C1005" s="7" t="n">
        <v>2</v>
      </c>
      <c r="D1005" s="7" t="n">
        <v>11</v>
      </c>
      <c r="E1005" s="7" t="n">
        <v>1</v>
      </c>
      <c r="F1005" s="7" t="s">
        <v>3760</v>
      </c>
      <c r="G1005" s="12" t="str">
        <f aca="false">IFERROR(INDEX('Semrush Data'!$A$1:$Z$20000,MATCH(A1005,'Semrush Data'!$A$1:$A$20000,0),MATCH("Volume",'Semrush Data'!$A$1:$Z$1,0)),"")</f>
        <v/>
      </c>
      <c r="H1005" s="7" t="str">
        <f aca="false">IFERROR(INDEX('Semrush Data'!$A$1:$Z$20000,MATCH(A1005,'Semrush Data'!$A$1:$A$20000,0),MATCH("Keyword Difficulty*",'Semrush Data'!$A$1:$Z$1,0)),"")</f>
        <v/>
      </c>
      <c r="I1005" s="13" t="str">
        <f aca="false">IFERROR(INDEX('Semrush Data'!$A$1:$Z$20000,MATCH(A1005,'Semrush Data'!$A$1:$A$20000,0),MATCH("CPC*",'Semrush Data'!$A$1:$Z$1,0)),"")</f>
        <v/>
      </c>
      <c r="J1005" s="7" t="str">
        <f aca="false">IFERROR(INDEX('Semrush Data'!$A$1:$Z$20000,MATCH(A1005,'Semrush Data'!$A$1:$A$20000,0),MATCH("Intent",'Semrush Data'!$A$1:$Z$1,0)),"")</f>
        <v/>
      </c>
    </row>
    <row r="1006" customFormat="false" ht="15" hidden="false" customHeight="true" outlineLevel="0" collapsed="false">
      <c r="A1006" s="7" t="s">
        <v>3774</v>
      </c>
      <c r="B1006" s="7" t="s">
        <v>6814</v>
      </c>
      <c r="C1006" s="7" t="n">
        <v>2</v>
      </c>
      <c r="D1006" s="7" t="n">
        <v>11</v>
      </c>
      <c r="E1006" s="7" t="n">
        <v>1</v>
      </c>
      <c r="F1006" s="7" t="s">
        <v>3771</v>
      </c>
      <c r="G1006" s="12" t="str">
        <f aca="false">IFERROR(INDEX('Semrush Data'!$A$1:$Z$20000,MATCH(A1006,'Semrush Data'!$A$1:$A$20000,0),MATCH("Volume",'Semrush Data'!$A$1:$Z$1,0)),"")</f>
        <v/>
      </c>
      <c r="H1006" s="7" t="str">
        <f aca="false">IFERROR(INDEX('Semrush Data'!$A$1:$Z$20000,MATCH(A1006,'Semrush Data'!$A$1:$A$20000,0),MATCH("Keyword Difficulty*",'Semrush Data'!$A$1:$Z$1,0)),"")</f>
        <v/>
      </c>
      <c r="I1006" s="13" t="str">
        <f aca="false">IFERROR(INDEX('Semrush Data'!$A$1:$Z$20000,MATCH(A1006,'Semrush Data'!$A$1:$A$20000,0),MATCH("CPC*",'Semrush Data'!$A$1:$Z$1,0)),"")</f>
        <v/>
      </c>
      <c r="J1006" s="7" t="str">
        <f aca="false">IFERROR(INDEX('Semrush Data'!$A$1:$Z$20000,MATCH(A1006,'Semrush Data'!$A$1:$A$20000,0),MATCH("Intent",'Semrush Data'!$A$1:$Z$1,0)),"")</f>
        <v/>
      </c>
    </row>
    <row r="1007" customFormat="false" ht="15" hidden="false" customHeight="true" outlineLevel="0" collapsed="false">
      <c r="A1007" s="7" t="s">
        <v>3785</v>
      </c>
      <c r="B1007" s="7" t="s">
        <v>6814</v>
      </c>
      <c r="C1007" s="7" t="n">
        <v>2</v>
      </c>
      <c r="D1007" s="7" t="n">
        <v>11</v>
      </c>
      <c r="E1007" s="7" t="n">
        <v>1</v>
      </c>
      <c r="F1007" s="7" t="s">
        <v>3782</v>
      </c>
      <c r="G1007" s="12" t="str">
        <f aca="false">IFERROR(INDEX('Semrush Data'!$A$1:$Z$20000,MATCH(A1007,'Semrush Data'!$A$1:$A$20000,0),MATCH("Volume",'Semrush Data'!$A$1:$Z$1,0)),"")</f>
        <v/>
      </c>
      <c r="H1007" s="7" t="str">
        <f aca="false">IFERROR(INDEX('Semrush Data'!$A$1:$Z$20000,MATCH(A1007,'Semrush Data'!$A$1:$A$20000,0),MATCH("Keyword Difficulty*",'Semrush Data'!$A$1:$Z$1,0)),"")</f>
        <v/>
      </c>
      <c r="I1007" s="13" t="str">
        <f aca="false">IFERROR(INDEX('Semrush Data'!$A$1:$Z$20000,MATCH(A1007,'Semrush Data'!$A$1:$A$20000,0),MATCH("CPC*",'Semrush Data'!$A$1:$Z$1,0)),"")</f>
        <v/>
      </c>
      <c r="J1007" s="7" t="str">
        <f aca="false">IFERROR(INDEX('Semrush Data'!$A$1:$Z$20000,MATCH(A1007,'Semrush Data'!$A$1:$A$20000,0),MATCH("Intent",'Semrush Data'!$A$1:$Z$1,0)),"")</f>
        <v/>
      </c>
    </row>
    <row r="1008" customFormat="false" ht="15" hidden="false" customHeight="true" outlineLevel="0" collapsed="false">
      <c r="A1008" s="7" t="s">
        <v>3841</v>
      </c>
      <c r="B1008" s="7" t="s">
        <v>6814</v>
      </c>
      <c r="C1008" s="7" t="n">
        <v>2</v>
      </c>
      <c r="D1008" s="7" t="s">
        <v>6815</v>
      </c>
      <c r="E1008" s="7" t="n">
        <v>1</v>
      </c>
      <c r="F1008" s="7" t="s">
        <v>120</v>
      </c>
      <c r="G1008" s="12" t="n">
        <f aca="false">IFERROR(INDEX('Semrush Data'!$A$1:$Z$20000,MATCH(A1008,'Semrush Data'!$A$1:$A$20000,0),MATCH("Volume",'Semrush Data'!$A$1:$Z$1,0)),"")</f>
        <v>0</v>
      </c>
      <c r="H1008" s="7" t="n">
        <f aca="false">IFERROR(INDEX('Semrush Data'!$A$1:$Z$20000,MATCH(A1008,'Semrush Data'!$A$1:$A$20000,0),MATCH("Keyword Difficulty*",'Semrush Data'!$A$1:$Z$1,0)),"")</f>
        <v>23</v>
      </c>
      <c r="I1008" s="13" t="n">
        <f aca="false">IFERROR(INDEX('Semrush Data'!$A$1:$Z$20000,MATCH(A1008,'Semrush Data'!$A$1:$A$20000,0),MATCH("CPC*",'Semrush Data'!$A$1:$Z$1,0)),"")</f>
        <v>0</v>
      </c>
      <c r="J1008" s="7" t="str">
        <f aca="false">IFERROR(INDEX('Semrush Data'!$A$1:$Z$20000,MATCH(A1008,'Semrush Data'!$A$1:$A$20000,0),MATCH("Intent",'Semrush Data'!$A$1:$Z$1,0)),"")</f>
        <v>Informational</v>
      </c>
    </row>
    <row r="1009" customFormat="false" ht="15" hidden="false" customHeight="true" outlineLevel="0" collapsed="false">
      <c r="A1009" s="7" t="s">
        <v>3920</v>
      </c>
      <c r="B1009" s="7" t="s">
        <v>6814</v>
      </c>
      <c r="C1009" s="7" t="n">
        <v>2</v>
      </c>
      <c r="D1009" s="7" t="n">
        <v>11</v>
      </c>
      <c r="E1009" s="7" t="n">
        <v>1</v>
      </c>
      <c r="F1009" s="7" t="s">
        <v>3917</v>
      </c>
      <c r="G1009" s="12" t="str">
        <f aca="false">IFERROR(INDEX('Semrush Data'!$A$1:$Z$20000,MATCH(A1009,'Semrush Data'!$A$1:$A$20000,0),MATCH("Volume",'Semrush Data'!$A$1:$Z$1,0)),"")</f>
        <v/>
      </c>
      <c r="H1009" s="7" t="str">
        <f aca="false">IFERROR(INDEX('Semrush Data'!$A$1:$Z$20000,MATCH(A1009,'Semrush Data'!$A$1:$A$20000,0),MATCH("Keyword Difficulty*",'Semrush Data'!$A$1:$Z$1,0)),"")</f>
        <v/>
      </c>
      <c r="I1009" s="13" t="str">
        <f aca="false">IFERROR(INDEX('Semrush Data'!$A$1:$Z$20000,MATCH(A1009,'Semrush Data'!$A$1:$A$20000,0),MATCH("CPC*",'Semrush Data'!$A$1:$Z$1,0)),"")</f>
        <v/>
      </c>
      <c r="J1009" s="7" t="str">
        <f aca="false">IFERROR(INDEX('Semrush Data'!$A$1:$Z$20000,MATCH(A1009,'Semrush Data'!$A$1:$A$20000,0),MATCH("Intent",'Semrush Data'!$A$1:$Z$1,0)),"")</f>
        <v/>
      </c>
    </row>
    <row r="1010" customFormat="false" ht="15" hidden="false" customHeight="true" outlineLevel="0" collapsed="false">
      <c r="A1010" s="7" t="s">
        <v>3853</v>
      </c>
      <c r="B1010" s="7" t="s">
        <v>6814</v>
      </c>
      <c r="C1010" s="7" t="n">
        <v>2</v>
      </c>
      <c r="D1010" s="7" t="n">
        <v>11</v>
      </c>
      <c r="E1010" s="7" t="n">
        <v>1</v>
      </c>
      <c r="F1010" s="7" t="s">
        <v>3850</v>
      </c>
      <c r="G1010" s="12" t="str">
        <f aca="false">IFERROR(INDEX('Semrush Data'!$A$1:$Z$20000,MATCH(A1010,'Semrush Data'!$A$1:$A$20000,0),MATCH("Volume",'Semrush Data'!$A$1:$Z$1,0)),"")</f>
        <v/>
      </c>
      <c r="H1010" s="7" t="str">
        <f aca="false">IFERROR(INDEX('Semrush Data'!$A$1:$Z$20000,MATCH(A1010,'Semrush Data'!$A$1:$A$20000,0),MATCH("Keyword Difficulty*",'Semrush Data'!$A$1:$Z$1,0)),"")</f>
        <v/>
      </c>
      <c r="I1010" s="13" t="str">
        <f aca="false">IFERROR(INDEX('Semrush Data'!$A$1:$Z$20000,MATCH(A1010,'Semrush Data'!$A$1:$A$20000,0),MATCH("CPC*",'Semrush Data'!$A$1:$Z$1,0)),"")</f>
        <v/>
      </c>
      <c r="J1010" s="7" t="str">
        <f aca="false">IFERROR(INDEX('Semrush Data'!$A$1:$Z$20000,MATCH(A1010,'Semrush Data'!$A$1:$A$20000,0),MATCH("Intent",'Semrush Data'!$A$1:$Z$1,0)),"")</f>
        <v/>
      </c>
    </row>
    <row r="1011" customFormat="false" ht="15" hidden="false" customHeight="true" outlineLevel="0" collapsed="false">
      <c r="A1011" s="7" t="s">
        <v>3865</v>
      </c>
      <c r="B1011" s="7" t="s">
        <v>6814</v>
      </c>
      <c r="C1011" s="7" t="n">
        <v>2</v>
      </c>
      <c r="D1011" s="7" t="n">
        <v>11</v>
      </c>
      <c r="E1011" s="7" t="n">
        <v>1</v>
      </c>
      <c r="F1011" s="7" t="s">
        <v>3861</v>
      </c>
      <c r="G1011" s="12" t="str">
        <f aca="false">IFERROR(INDEX('Semrush Data'!$A$1:$Z$20000,MATCH(A1011,'Semrush Data'!$A$1:$A$20000,0),MATCH("Volume",'Semrush Data'!$A$1:$Z$1,0)),"")</f>
        <v/>
      </c>
      <c r="H1011" s="7" t="str">
        <f aca="false">IFERROR(INDEX('Semrush Data'!$A$1:$Z$20000,MATCH(A1011,'Semrush Data'!$A$1:$A$20000,0),MATCH("Keyword Difficulty*",'Semrush Data'!$A$1:$Z$1,0)),"")</f>
        <v/>
      </c>
      <c r="I1011" s="13" t="str">
        <f aca="false">IFERROR(INDEX('Semrush Data'!$A$1:$Z$20000,MATCH(A1011,'Semrush Data'!$A$1:$A$20000,0),MATCH("CPC*",'Semrush Data'!$A$1:$Z$1,0)),"")</f>
        <v/>
      </c>
      <c r="J1011" s="7" t="str">
        <f aca="false">IFERROR(INDEX('Semrush Data'!$A$1:$Z$20000,MATCH(A1011,'Semrush Data'!$A$1:$A$20000,0),MATCH("Intent",'Semrush Data'!$A$1:$Z$1,0)),"")</f>
        <v/>
      </c>
    </row>
    <row r="1012" customFormat="false" ht="15" hidden="false" customHeight="true" outlineLevel="0" collapsed="false">
      <c r="A1012" s="7" t="s">
        <v>3876</v>
      </c>
      <c r="B1012" s="7" t="s">
        <v>6814</v>
      </c>
      <c r="C1012" s="7" t="n">
        <v>2</v>
      </c>
      <c r="D1012" s="7" t="n">
        <v>11</v>
      </c>
      <c r="E1012" s="7" t="n">
        <v>1</v>
      </c>
      <c r="F1012" s="7" t="s">
        <v>3873</v>
      </c>
      <c r="G1012" s="12" t="str">
        <f aca="false">IFERROR(INDEX('Semrush Data'!$A$1:$Z$20000,MATCH(A1012,'Semrush Data'!$A$1:$A$20000,0),MATCH("Volume",'Semrush Data'!$A$1:$Z$1,0)),"")</f>
        <v/>
      </c>
      <c r="H1012" s="7" t="str">
        <f aca="false">IFERROR(INDEX('Semrush Data'!$A$1:$Z$20000,MATCH(A1012,'Semrush Data'!$A$1:$A$20000,0),MATCH("Keyword Difficulty*",'Semrush Data'!$A$1:$Z$1,0)),"")</f>
        <v/>
      </c>
      <c r="I1012" s="13" t="str">
        <f aca="false">IFERROR(INDEX('Semrush Data'!$A$1:$Z$20000,MATCH(A1012,'Semrush Data'!$A$1:$A$20000,0),MATCH("CPC*",'Semrush Data'!$A$1:$Z$1,0)),"")</f>
        <v/>
      </c>
      <c r="J1012" s="7" t="str">
        <f aca="false">IFERROR(INDEX('Semrush Data'!$A$1:$Z$20000,MATCH(A1012,'Semrush Data'!$A$1:$A$20000,0),MATCH("Intent",'Semrush Data'!$A$1:$Z$1,0)),"")</f>
        <v/>
      </c>
    </row>
    <row r="1013" customFormat="false" ht="15" hidden="false" customHeight="true" outlineLevel="0" collapsed="false">
      <c r="A1013" s="7" t="s">
        <v>3931</v>
      </c>
      <c r="B1013" s="7" t="s">
        <v>6814</v>
      </c>
      <c r="C1013" s="7" t="n">
        <v>2</v>
      </c>
      <c r="D1013" s="7" t="n">
        <v>11</v>
      </c>
      <c r="E1013" s="7" t="n">
        <v>1</v>
      </c>
      <c r="F1013" s="7" t="s">
        <v>3928</v>
      </c>
      <c r="G1013" s="12" t="str">
        <f aca="false">IFERROR(INDEX('Semrush Data'!$A$1:$Z$20000,MATCH(A1013,'Semrush Data'!$A$1:$A$20000,0),MATCH("Volume",'Semrush Data'!$A$1:$Z$1,0)),"")</f>
        <v/>
      </c>
      <c r="H1013" s="7" t="str">
        <f aca="false">IFERROR(INDEX('Semrush Data'!$A$1:$Z$20000,MATCH(A1013,'Semrush Data'!$A$1:$A$20000,0),MATCH("Keyword Difficulty*",'Semrush Data'!$A$1:$Z$1,0)),"")</f>
        <v/>
      </c>
      <c r="I1013" s="13" t="str">
        <f aca="false">IFERROR(INDEX('Semrush Data'!$A$1:$Z$20000,MATCH(A1013,'Semrush Data'!$A$1:$A$20000,0),MATCH("CPC*",'Semrush Data'!$A$1:$Z$1,0)),"")</f>
        <v/>
      </c>
      <c r="J1013" s="7" t="str">
        <f aca="false">IFERROR(INDEX('Semrush Data'!$A$1:$Z$20000,MATCH(A1013,'Semrush Data'!$A$1:$A$20000,0),MATCH("Intent",'Semrush Data'!$A$1:$Z$1,0)),"")</f>
        <v/>
      </c>
    </row>
    <row r="1014" customFormat="false" ht="15" hidden="false" customHeight="true" outlineLevel="0" collapsed="false">
      <c r="A1014" s="7" t="s">
        <v>3898</v>
      </c>
      <c r="B1014" s="7" t="s">
        <v>6814</v>
      </c>
      <c r="C1014" s="7" t="n">
        <v>2</v>
      </c>
      <c r="D1014" s="7" t="n">
        <v>11</v>
      </c>
      <c r="E1014" s="7" t="n">
        <v>1</v>
      </c>
      <c r="F1014" s="7" t="s">
        <v>3895</v>
      </c>
      <c r="G1014" s="12" t="str">
        <f aca="false">IFERROR(INDEX('Semrush Data'!$A$1:$Z$20000,MATCH(A1014,'Semrush Data'!$A$1:$A$20000,0),MATCH("Volume",'Semrush Data'!$A$1:$Z$1,0)),"")</f>
        <v/>
      </c>
      <c r="H1014" s="7" t="str">
        <f aca="false">IFERROR(INDEX('Semrush Data'!$A$1:$Z$20000,MATCH(A1014,'Semrush Data'!$A$1:$A$20000,0),MATCH("Keyword Difficulty*",'Semrush Data'!$A$1:$Z$1,0)),"")</f>
        <v/>
      </c>
      <c r="I1014" s="13" t="str">
        <f aca="false">IFERROR(INDEX('Semrush Data'!$A$1:$Z$20000,MATCH(A1014,'Semrush Data'!$A$1:$A$20000,0),MATCH("CPC*",'Semrush Data'!$A$1:$Z$1,0)),"")</f>
        <v/>
      </c>
      <c r="J1014" s="7" t="str">
        <f aca="false">IFERROR(INDEX('Semrush Data'!$A$1:$Z$20000,MATCH(A1014,'Semrush Data'!$A$1:$A$20000,0),MATCH("Intent",'Semrush Data'!$A$1:$Z$1,0)),"")</f>
        <v/>
      </c>
    </row>
    <row r="1015" customFormat="false" ht="15" hidden="false" customHeight="true" outlineLevel="0" collapsed="false">
      <c r="A1015" s="7" t="s">
        <v>3941</v>
      </c>
      <c r="B1015" s="7" t="s">
        <v>6814</v>
      </c>
      <c r="C1015" s="7" t="n">
        <v>2</v>
      </c>
      <c r="D1015" s="7" t="n">
        <v>11</v>
      </c>
      <c r="E1015" s="7" t="n">
        <v>1</v>
      </c>
      <c r="F1015" s="7" t="s">
        <v>3938</v>
      </c>
      <c r="G1015" s="12" t="str">
        <f aca="false">IFERROR(INDEX('Semrush Data'!$A$1:$Z$20000,MATCH(A1015,'Semrush Data'!$A$1:$A$20000,0),MATCH("Volume",'Semrush Data'!$A$1:$Z$1,0)),"")</f>
        <v/>
      </c>
      <c r="H1015" s="7" t="str">
        <f aca="false">IFERROR(INDEX('Semrush Data'!$A$1:$Z$20000,MATCH(A1015,'Semrush Data'!$A$1:$A$20000,0),MATCH("Keyword Difficulty*",'Semrush Data'!$A$1:$Z$1,0)),"")</f>
        <v/>
      </c>
      <c r="I1015" s="13" t="str">
        <f aca="false">IFERROR(INDEX('Semrush Data'!$A$1:$Z$20000,MATCH(A1015,'Semrush Data'!$A$1:$A$20000,0),MATCH("CPC*",'Semrush Data'!$A$1:$Z$1,0)),"")</f>
        <v/>
      </c>
      <c r="J1015" s="7" t="str">
        <f aca="false">IFERROR(INDEX('Semrush Data'!$A$1:$Z$20000,MATCH(A1015,'Semrush Data'!$A$1:$A$20000,0),MATCH("Intent",'Semrush Data'!$A$1:$Z$1,0)),"")</f>
        <v/>
      </c>
    </row>
    <row r="1016" customFormat="false" ht="15" hidden="false" customHeight="true" outlineLevel="0" collapsed="false">
      <c r="A1016" s="7" t="s">
        <v>3887</v>
      </c>
      <c r="B1016" s="7" t="s">
        <v>6814</v>
      </c>
      <c r="C1016" s="7" t="n">
        <v>2</v>
      </c>
      <c r="D1016" s="7" t="n">
        <v>11</v>
      </c>
      <c r="E1016" s="7" t="n">
        <v>1</v>
      </c>
      <c r="F1016" s="7" t="s">
        <v>3884</v>
      </c>
      <c r="G1016" s="12" t="str">
        <f aca="false">IFERROR(INDEX('Semrush Data'!$A$1:$Z$20000,MATCH(A1016,'Semrush Data'!$A$1:$A$20000,0),MATCH("Volume",'Semrush Data'!$A$1:$Z$1,0)),"")</f>
        <v/>
      </c>
      <c r="H1016" s="7" t="str">
        <f aca="false">IFERROR(INDEX('Semrush Data'!$A$1:$Z$20000,MATCH(A1016,'Semrush Data'!$A$1:$A$20000,0),MATCH("Keyword Difficulty*",'Semrush Data'!$A$1:$Z$1,0)),"")</f>
        <v/>
      </c>
      <c r="I1016" s="13" t="str">
        <f aca="false">IFERROR(INDEX('Semrush Data'!$A$1:$Z$20000,MATCH(A1016,'Semrush Data'!$A$1:$A$20000,0),MATCH("CPC*",'Semrush Data'!$A$1:$Z$1,0)),"")</f>
        <v/>
      </c>
      <c r="J1016" s="7" t="str">
        <f aca="false">IFERROR(INDEX('Semrush Data'!$A$1:$Z$20000,MATCH(A1016,'Semrush Data'!$A$1:$A$20000,0),MATCH("Intent",'Semrush Data'!$A$1:$Z$1,0)),"")</f>
        <v/>
      </c>
    </row>
    <row r="1017" customFormat="false" ht="15" hidden="false" customHeight="true" outlineLevel="0" collapsed="false">
      <c r="A1017" s="7" t="s">
        <v>3909</v>
      </c>
      <c r="B1017" s="7" t="s">
        <v>6814</v>
      </c>
      <c r="C1017" s="7" t="n">
        <v>2</v>
      </c>
      <c r="D1017" s="7" t="s">
        <v>6816</v>
      </c>
      <c r="E1017" s="7" t="n">
        <v>1</v>
      </c>
      <c r="F1017" s="7" t="s">
        <v>3906</v>
      </c>
      <c r="G1017" s="12" t="n">
        <f aca="false">IFERROR(INDEX('Semrush Data'!$A$1:$Z$20000,MATCH(A1017,'Semrush Data'!$A$1:$A$20000,0),MATCH("Volume",'Semrush Data'!$A$1:$Z$1,0)),"")</f>
        <v>20</v>
      </c>
      <c r="H1017" s="7" t="n">
        <f aca="false">IFERROR(INDEX('Semrush Data'!$A$1:$Z$20000,MATCH(A1017,'Semrush Data'!$A$1:$A$20000,0),MATCH("Keyword Difficulty*",'Semrush Data'!$A$1:$Z$1,0)),"")</f>
        <v>13</v>
      </c>
      <c r="I1017" s="13" t="n">
        <f aca="false">IFERROR(INDEX('Semrush Data'!$A$1:$Z$20000,MATCH(A1017,'Semrush Data'!$A$1:$A$20000,0),MATCH("CPC*",'Semrush Data'!$A$1:$Z$1,0)),"")</f>
        <v>0</v>
      </c>
      <c r="J1017" s="7" t="str">
        <f aca="false">IFERROR(INDEX('Semrush Data'!$A$1:$Z$20000,MATCH(A1017,'Semrush Data'!$A$1:$A$20000,0),MATCH("Intent",'Semrush Data'!$A$1:$Z$1,0)),"")</f>
        <v>Informational</v>
      </c>
    </row>
    <row r="1018" customFormat="false" ht="15" hidden="false" customHeight="true" outlineLevel="0" collapsed="false">
      <c r="A1018" s="7" t="s">
        <v>3952</v>
      </c>
      <c r="B1018" s="7" t="s">
        <v>6814</v>
      </c>
      <c r="C1018" s="7" t="n">
        <v>2</v>
      </c>
      <c r="D1018" s="7" t="s">
        <v>6816</v>
      </c>
      <c r="E1018" s="7" t="n">
        <v>1</v>
      </c>
      <c r="F1018" s="7" t="s">
        <v>3948</v>
      </c>
      <c r="G1018" s="12" t="n">
        <f aca="false">IFERROR(INDEX('Semrush Data'!$A$1:$Z$20000,MATCH(A1018,'Semrush Data'!$A$1:$A$20000,0),MATCH("Volume",'Semrush Data'!$A$1:$Z$1,0)),"")</f>
        <v>0</v>
      </c>
      <c r="H1018" s="7" t="n">
        <f aca="false">IFERROR(INDEX('Semrush Data'!$A$1:$Z$20000,MATCH(A1018,'Semrush Data'!$A$1:$A$20000,0),MATCH("Keyword Difficulty*",'Semrush Data'!$A$1:$Z$1,0)),"")</f>
        <v>27</v>
      </c>
      <c r="I1018" s="13" t="n">
        <f aca="false">IFERROR(INDEX('Semrush Data'!$A$1:$Z$20000,MATCH(A1018,'Semrush Data'!$A$1:$A$20000,0),MATCH("CPC*",'Semrush Data'!$A$1:$Z$1,0)),"")</f>
        <v>0</v>
      </c>
      <c r="J1018" s="7" t="str">
        <f aca="false">IFERROR(INDEX('Semrush Data'!$A$1:$Z$20000,MATCH(A1018,'Semrush Data'!$A$1:$A$20000,0),MATCH("Intent",'Semrush Data'!$A$1:$Z$1,0)),"")</f>
        <v>Informational</v>
      </c>
    </row>
    <row r="1019" customFormat="false" ht="15" hidden="false" customHeight="true" outlineLevel="0" collapsed="false">
      <c r="A1019" s="7" t="s">
        <v>3965</v>
      </c>
      <c r="B1019" s="7" t="s">
        <v>6814</v>
      </c>
      <c r="C1019" s="7" t="n">
        <v>2</v>
      </c>
      <c r="D1019" s="7" t="n">
        <v>11</v>
      </c>
      <c r="E1019" s="7" t="n">
        <v>1</v>
      </c>
      <c r="F1019" s="7" t="s">
        <v>3961</v>
      </c>
      <c r="G1019" s="12" t="str">
        <f aca="false">IFERROR(INDEX('Semrush Data'!$A$1:$Z$20000,MATCH(A1019,'Semrush Data'!$A$1:$A$20000,0),MATCH("Volume",'Semrush Data'!$A$1:$Z$1,0)),"")</f>
        <v/>
      </c>
      <c r="H1019" s="7" t="str">
        <f aca="false">IFERROR(INDEX('Semrush Data'!$A$1:$Z$20000,MATCH(A1019,'Semrush Data'!$A$1:$A$20000,0),MATCH("Keyword Difficulty*",'Semrush Data'!$A$1:$Z$1,0)),"")</f>
        <v/>
      </c>
      <c r="I1019" s="13" t="str">
        <f aca="false">IFERROR(INDEX('Semrush Data'!$A$1:$Z$20000,MATCH(A1019,'Semrush Data'!$A$1:$A$20000,0),MATCH("CPC*",'Semrush Data'!$A$1:$Z$1,0)),"")</f>
        <v/>
      </c>
      <c r="J1019" s="7" t="str">
        <f aca="false">IFERROR(INDEX('Semrush Data'!$A$1:$Z$20000,MATCH(A1019,'Semrush Data'!$A$1:$A$20000,0),MATCH("Intent",'Semrush Data'!$A$1:$Z$1,0)),"")</f>
        <v/>
      </c>
    </row>
    <row r="1020" customFormat="false" ht="15" hidden="false" customHeight="true" outlineLevel="0" collapsed="false">
      <c r="A1020" s="7" t="s">
        <v>3975</v>
      </c>
      <c r="B1020" s="7" t="s">
        <v>6814</v>
      </c>
      <c r="C1020" s="7" t="n">
        <v>2</v>
      </c>
      <c r="D1020" s="7" t="s">
        <v>6815</v>
      </c>
      <c r="E1020" s="7" t="n">
        <v>1</v>
      </c>
      <c r="F1020" s="7" t="s">
        <v>126</v>
      </c>
      <c r="G1020" s="12" t="n">
        <f aca="false">IFERROR(INDEX('Semrush Data'!$A$1:$Z$20000,MATCH(A1020,'Semrush Data'!$A$1:$A$20000,0),MATCH("Volume",'Semrush Data'!$A$1:$Z$1,0)),"")</f>
        <v>20</v>
      </c>
      <c r="H1020" s="7" t="n">
        <f aca="false">IFERROR(INDEX('Semrush Data'!$A$1:$Z$20000,MATCH(A1020,'Semrush Data'!$A$1:$A$20000,0),MATCH("Keyword Difficulty*",'Semrush Data'!$A$1:$Z$1,0)),"")</f>
        <v>9</v>
      </c>
      <c r="I1020" s="13" t="n">
        <f aca="false">IFERROR(INDEX('Semrush Data'!$A$1:$Z$20000,MATCH(A1020,'Semrush Data'!$A$1:$A$20000,0),MATCH("CPC*",'Semrush Data'!$A$1:$Z$1,0)),"")</f>
        <v>0</v>
      </c>
      <c r="J1020" s="7" t="str">
        <f aca="false">IFERROR(INDEX('Semrush Data'!$A$1:$Z$20000,MATCH(A1020,'Semrush Data'!$A$1:$A$20000,0),MATCH("Intent",'Semrush Data'!$A$1:$Z$1,0)),"")</f>
        <v>Commercial</v>
      </c>
    </row>
    <row r="1021" customFormat="false" ht="15" hidden="false" customHeight="true" outlineLevel="0" collapsed="false">
      <c r="A1021" s="7" t="s">
        <v>3987</v>
      </c>
      <c r="B1021" s="7" t="s">
        <v>6814</v>
      </c>
      <c r="C1021" s="7" t="n">
        <v>2</v>
      </c>
      <c r="D1021" s="7" t="s">
        <v>6816</v>
      </c>
      <c r="E1021" s="7" t="n">
        <v>1</v>
      </c>
      <c r="F1021" s="7" t="s">
        <v>3983</v>
      </c>
      <c r="G1021" s="12" t="n">
        <f aca="false">IFERROR(INDEX('Semrush Data'!$A$1:$Z$20000,MATCH(A1021,'Semrush Data'!$A$1:$A$20000,0),MATCH("Volume",'Semrush Data'!$A$1:$Z$1,0)),"")</f>
        <v>0</v>
      </c>
      <c r="H1021" s="7" t="n">
        <f aca="false">IFERROR(INDEX('Semrush Data'!$A$1:$Z$20000,MATCH(A1021,'Semrush Data'!$A$1:$A$20000,0),MATCH("Keyword Difficulty*",'Semrush Data'!$A$1:$Z$1,0)),"")</f>
        <v>14</v>
      </c>
      <c r="I1021" s="13" t="n">
        <f aca="false">IFERROR(INDEX('Semrush Data'!$A$1:$Z$20000,MATCH(A1021,'Semrush Data'!$A$1:$A$20000,0),MATCH("CPC*",'Semrush Data'!$A$1:$Z$1,0)),"")</f>
        <v>0</v>
      </c>
      <c r="J1021" s="7" t="str">
        <f aca="false">IFERROR(INDEX('Semrush Data'!$A$1:$Z$20000,MATCH(A1021,'Semrush Data'!$A$1:$A$20000,0),MATCH("Intent",'Semrush Data'!$A$1:$Z$1,0)),"")</f>
        <v>Commercial</v>
      </c>
    </row>
    <row r="1022" customFormat="false" ht="15" hidden="false" customHeight="true" outlineLevel="0" collapsed="false">
      <c r="A1022" s="7" t="s">
        <v>4000</v>
      </c>
      <c r="B1022" s="7" t="s">
        <v>6814</v>
      </c>
      <c r="C1022" s="7" t="n">
        <v>2</v>
      </c>
      <c r="D1022" s="7" t="s">
        <v>6815</v>
      </c>
      <c r="E1022" s="7" t="n">
        <v>1</v>
      </c>
      <c r="F1022" s="7" t="s">
        <v>3996</v>
      </c>
      <c r="G1022" s="12" t="n">
        <f aca="false">IFERROR(INDEX('Semrush Data'!$A$1:$Z$20000,MATCH(A1022,'Semrush Data'!$A$1:$A$20000,0),MATCH("Volume",'Semrush Data'!$A$1:$Z$1,0)),"")</f>
        <v>0</v>
      </c>
      <c r="H1022" s="7" t="n">
        <f aca="false">IFERROR(INDEX('Semrush Data'!$A$1:$Z$20000,MATCH(A1022,'Semrush Data'!$A$1:$A$20000,0),MATCH("Keyword Difficulty*",'Semrush Data'!$A$1:$Z$1,0)),"")</f>
        <v>10</v>
      </c>
      <c r="I1022" s="13" t="n">
        <f aca="false">IFERROR(INDEX('Semrush Data'!$A$1:$Z$20000,MATCH(A1022,'Semrush Data'!$A$1:$A$20000,0),MATCH("CPC*",'Semrush Data'!$A$1:$Z$1,0)),"")</f>
        <v>0</v>
      </c>
      <c r="J1022" s="7" t="str">
        <f aca="false">IFERROR(INDEX('Semrush Data'!$A$1:$Z$20000,MATCH(A1022,'Semrush Data'!$A$1:$A$20000,0),MATCH("Intent",'Semrush Data'!$A$1:$Z$1,0)),"")</f>
        <v>Informational Commercial</v>
      </c>
    </row>
    <row r="1023" customFormat="false" ht="15" hidden="false" customHeight="true" outlineLevel="0" collapsed="false">
      <c r="A1023" s="7" t="s">
        <v>4013</v>
      </c>
      <c r="B1023" s="7" t="s">
        <v>6814</v>
      </c>
      <c r="C1023" s="7" t="n">
        <v>2</v>
      </c>
      <c r="D1023" s="7" t="n">
        <v>11</v>
      </c>
      <c r="E1023" s="7" t="n">
        <v>1</v>
      </c>
      <c r="F1023" s="7" t="s">
        <v>4009</v>
      </c>
      <c r="G1023" s="12" t="str">
        <f aca="false">IFERROR(INDEX('Semrush Data'!$A$1:$Z$20000,MATCH(A1023,'Semrush Data'!$A$1:$A$20000,0),MATCH("Volume",'Semrush Data'!$A$1:$Z$1,0)),"")</f>
        <v/>
      </c>
      <c r="H1023" s="7" t="str">
        <f aca="false">IFERROR(INDEX('Semrush Data'!$A$1:$Z$20000,MATCH(A1023,'Semrush Data'!$A$1:$A$20000,0),MATCH("Keyword Difficulty*",'Semrush Data'!$A$1:$Z$1,0)),"")</f>
        <v/>
      </c>
      <c r="I1023" s="13" t="str">
        <f aca="false">IFERROR(INDEX('Semrush Data'!$A$1:$Z$20000,MATCH(A1023,'Semrush Data'!$A$1:$A$20000,0),MATCH("CPC*",'Semrush Data'!$A$1:$Z$1,0)),"")</f>
        <v/>
      </c>
      <c r="J1023" s="7" t="str">
        <f aca="false">IFERROR(INDEX('Semrush Data'!$A$1:$Z$20000,MATCH(A1023,'Semrush Data'!$A$1:$A$20000,0),MATCH("Intent",'Semrush Data'!$A$1:$Z$1,0)),"")</f>
        <v/>
      </c>
    </row>
    <row r="1024" customFormat="false" ht="15" hidden="false" customHeight="true" outlineLevel="0" collapsed="false">
      <c r="A1024" s="7" t="s">
        <v>4025</v>
      </c>
      <c r="B1024" s="7" t="s">
        <v>6814</v>
      </c>
      <c r="C1024" s="7" t="n">
        <v>2</v>
      </c>
      <c r="D1024" s="7" t="n">
        <v>11</v>
      </c>
      <c r="E1024" s="7" t="n">
        <v>1</v>
      </c>
      <c r="F1024" s="7" t="s">
        <v>4022</v>
      </c>
      <c r="G1024" s="12" t="str">
        <f aca="false">IFERROR(INDEX('Semrush Data'!$A$1:$Z$20000,MATCH(A1024,'Semrush Data'!$A$1:$A$20000,0),MATCH("Volume",'Semrush Data'!$A$1:$Z$1,0)),"")</f>
        <v/>
      </c>
      <c r="H1024" s="7" t="str">
        <f aca="false">IFERROR(INDEX('Semrush Data'!$A$1:$Z$20000,MATCH(A1024,'Semrush Data'!$A$1:$A$20000,0),MATCH("Keyword Difficulty*",'Semrush Data'!$A$1:$Z$1,0)),"")</f>
        <v/>
      </c>
      <c r="I1024" s="13" t="str">
        <f aca="false">IFERROR(INDEX('Semrush Data'!$A$1:$Z$20000,MATCH(A1024,'Semrush Data'!$A$1:$A$20000,0),MATCH("CPC*",'Semrush Data'!$A$1:$Z$1,0)),"")</f>
        <v/>
      </c>
      <c r="J1024" s="7" t="str">
        <f aca="false">IFERROR(INDEX('Semrush Data'!$A$1:$Z$20000,MATCH(A1024,'Semrush Data'!$A$1:$A$20000,0),MATCH("Intent",'Semrush Data'!$A$1:$Z$1,0)),"")</f>
        <v/>
      </c>
    </row>
    <row r="1025" customFormat="false" ht="15" hidden="false" customHeight="true" outlineLevel="0" collapsed="false">
      <c r="A1025" s="7" t="s">
        <v>4037</v>
      </c>
      <c r="B1025" s="7" t="s">
        <v>6814</v>
      </c>
      <c r="C1025" s="7" t="n">
        <v>2</v>
      </c>
      <c r="D1025" s="7" t="n">
        <v>11</v>
      </c>
      <c r="E1025" s="7" t="n">
        <v>1</v>
      </c>
      <c r="F1025" s="7" t="s">
        <v>4033</v>
      </c>
      <c r="G1025" s="12" t="str">
        <f aca="false">IFERROR(INDEX('Semrush Data'!$A$1:$Z$20000,MATCH(A1025,'Semrush Data'!$A$1:$A$20000,0),MATCH("Volume",'Semrush Data'!$A$1:$Z$1,0)),"")</f>
        <v/>
      </c>
      <c r="H1025" s="7" t="str">
        <f aca="false">IFERROR(INDEX('Semrush Data'!$A$1:$Z$20000,MATCH(A1025,'Semrush Data'!$A$1:$A$20000,0),MATCH("Keyword Difficulty*",'Semrush Data'!$A$1:$Z$1,0)),"")</f>
        <v/>
      </c>
      <c r="I1025" s="13" t="str">
        <f aca="false">IFERROR(INDEX('Semrush Data'!$A$1:$Z$20000,MATCH(A1025,'Semrush Data'!$A$1:$A$20000,0),MATCH("CPC*",'Semrush Data'!$A$1:$Z$1,0)),"")</f>
        <v/>
      </c>
      <c r="J1025" s="7" t="str">
        <f aca="false">IFERROR(INDEX('Semrush Data'!$A$1:$Z$20000,MATCH(A1025,'Semrush Data'!$A$1:$A$20000,0),MATCH("Intent",'Semrush Data'!$A$1:$Z$1,0)),"")</f>
        <v/>
      </c>
    </row>
    <row r="1026" customFormat="false" ht="15" hidden="false" customHeight="true" outlineLevel="0" collapsed="false">
      <c r="A1026" s="7" t="s">
        <v>4049</v>
      </c>
      <c r="B1026" s="7" t="s">
        <v>6814</v>
      </c>
      <c r="C1026" s="7" t="n">
        <v>2</v>
      </c>
      <c r="D1026" s="7" t="n">
        <v>11</v>
      </c>
      <c r="E1026" s="7" t="n">
        <v>1</v>
      </c>
      <c r="F1026" s="7" t="s">
        <v>4046</v>
      </c>
      <c r="G1026" s="12" t="str">
        <f aca="false">IFERROR(INDEX('Semrush Data'!$A$1:$Z$20000,MATCH(A1026,'Semrush Data'!$A$1:$A$20000,0),MATCH("Volume",'Semrush Data'!$A$1:$Z$1,0)),"")</f>
        <v/>
      </c>
      <c r="H1026" s="7" t="str">
        <f aca="false">IFERROR(INDEX('Semrush Data'!$A$1:$Z$20000,MATCH(A1026,'Semrush Data'!$A$1:$A$20000,0),MATCH("Keyword Difficulty*",'Semrush Data'!$A$1:$Z$1,0)),"")</f>
        <v/>
      </c>
      <c r="I1026" s="13" t="str">
        <f aca="false">IFERROR(INDEX('Semrush Data'!$A$1:$Z$20000,MATCH(A1026,'Semrush Data'!$A$1:$A$20000,0),MATCH("CPC*",'Semrush Data'!$A$1:$Z$1,0)),"")</f>
        <v/>
      </c>
      <c r="J1026" s="7" t="str">
        <f aca="false">IFERROR(INDEX('Semrush Data'!$A$1:$Z$20000,MATCH(A1026,'Semrush Data'!$A$1:$A$20000,0),MATCH("Intent",'Semrush Data'!$A$1:$Z$1,0)),"")</f>
        <v/>
      </c>
    </row>
    <row r="1027" customFormat="false" ht="15" hidden="false" customHeight="true" outlineLevel="0" collapsed="false">
      <c r="A1027" s="7" t="s">
        <v>4060</v>
      </c>
      <c r="B1027" s="7" t="s">
        <v>6814</v>
      </c>
      <c r="C1027" s="7" t="n">
        <v>2</v>
      </c>
      <c r="D1027" s="7" t="n">
        <v>11</v>
      </c>
      <c r="E1027" s="7" t="n">
        <v>1</v>
      </c>
      <c r="F1027" s="7" t="s">
        <v>4057</v>
      </c>
      <c r="G1027" s="12" t="str">
        <f aca="false">IFERROR(INDEX('Semrush Data'!$A$1:$Z$20000,MATCH(A1027,'Semrush Data'!$A$1:$A$20000,0),MATCH("Volume",'Semrush Data'!$A$1:$Z$1,0)),"")</f>
        <v/>
      </c>
      <c r="H1027" s="7" t="str">
        <f aca="false">IFERROR(INDEX('Semrush Data'!$A$1:$Z$20000,MATCH(A1027,'Semrush Data'!$A$1:$A$20000,0),MATCH("Keyword Difficulty*",'Semrush Data'!$A$1:$Z$1,0)),"")</f>
        <v/>
      </c>
      <c r="I1027" s="13" t="str">
        <f aca="false">IFERROR(INDEX('Semrush Data'!$A$1:$Z$20000,MATCH(A1027,'Semrush Data'!$A$1:$A$20000,0),MATCH("CPC*",'Semrush Data'!$A$1:$Z$1,0)),"")</f>
        <v/>
      </c>
      <c r="J1027" s="7" t="str">
        <f aca="false">IFERROR(INDEX('Semrush Data'!$A$1:$Z$20000,MATCH(A1027,'Semrush Data'!$A$1:$A$20000,0),MATCH("Intent",'Semrush Data'!$A$1:$Z$1,0)),"")</f>
        <v/>
      </c>
    </row>
    <row r="1028" customFormat="false" ht="15" hidden="false" customHeight="true" outlineLevel="0" collapsed="false">
      <c r="A1028" s="7" t="s">
        <v>4071</v>
      </c>
      <c r="B1028" s="7" t="s">
        <v>6814</v>
      </c>
      <c r="C1028" s="7" t="n">
        <v>2</v>
      </c>
      <c r="D1028" s="7" t="n">
        <v>11</v>
      </c>
      <c r="E1028" s="7" t="n">
        <v>1</v>
      </c>
      <c r="F1028" s="7" t="s">
        <v>4068</v>
      </c>
      <c r="G1028" s="12" t="str">
        <f aca="false">IFERROR(INDEX('Semrush Data'!$A$1:$Z$20000,MATCH(A1028,'Semrush Data'!$A$1:$A$20000,0),MATCH("Volume",'Semrush Data'!$A$1:$Z$1,0)),"")</f>
        <v/>
      </c>
      <c r="H1028" s="7" t="str">
        <f aca="false">IFERROR(INDEX('Semrush Data'!$A$1:$Z$20000,MATCH(A1028,'Semrush Data'!$A$1:$A$20000,0),MATCH("Keyword Difficulty*",'Semrush Data'!$A$1:$Z$1,0)),"")</f>
        <v/>
      </c>
      <c r="I1028" s="13" t="str">
        <f aca="false">IFERROR(INDEX('Semrush Data'!$A$1:$Z$20000,MATCH(A1028,'Semrush Data'!$A$1:$A$20000,0),MATCH("CPC*",'Semrush Data'!$A$1:$Z$1,0)),"")</f>
        <v/>
      </c>
      <c r="J1028" s="7" t="str">
        <f aca="false">IFERROR(INDEX('Semrush Data'!$A$1:$Z$20000,MATCH(A1028,'Semrush Data'!$A$1:$A$20000,0),MATCH("Intent",'Semrush Data'!$A$1:$Z$1,0)),"")</f>
        <v/>
      </c>
    </row>
    <row r="1029" customFormat="false" ht="15" hidden="false" customHeight="true" outlineLevel="0" collapsed="false">
      <c r="A1029" s="7" t="s">
        <v>4083</v>
      </c>
      <c r="B1029" s="7" t="s">
        <v>6814</v>
      </c>
      <c r="C1029" s="7" t="n">
        <v>2</v>
      </c>
      <c r="D1029" s="7" t="n">
        <v>11</v>
      </c>
      <c r="E1029" s="7" t="n">
        <v>1</v>
      </c>
      <c r="F1029" s="7" t="s">
        <v>4080</v>
      </c>
      <c r="G1029" s="12" t="str">
        <f aca="false">IFERROR(INDEX('Semrush Data'!$A$1:$Z$20000,MATCH(A1029,'Semrush Data'!$A$1:$A$20000,0),MATCH("Volume",'Semrush Data'!$A$1:$Z$1,0)),"")</f>
        <v/>
      </c>
      <c r="H1029" s="7" t="str">
        <f aca="false">IFERROR(INDEX('Semrush Data'!$A$1:$Z$20000,MATCH(A1029,'Semrush Data'!$A$1:$A$20000,0),MATCH("Keyword Difficulty*",'Semrush Data'!$A$1:$Z$1,0)),"")</f>
        <v/>
      </c>
      <c r="I1029" s="13" t="str">
        <f aca="false">IFERROR(INDEX('Semrush Data'!$A$1:$Z$20000,MATCH(A1029,'Semrush Data'!$A$1:$A$20000,0),MATCH("CPC*",'Semrush Data'!$A$1:$Z$1,0)),"")</f>
        <v/>
      </c>
      <c r="J1029" s="7" t="str">
        <f aca="false">IFERROR(INDEX('Semrush Data'!$A$1:$Z$20000,MATCH(A1029,'Semrush Data'!$A$1:$A$20000,0),MATCH("Intent",'Semrush Data'!$A$1:$Z$1,0)),"")</f>
        <v/>
      </c>
    </row>
    <row r="1030" customFormat="false" ht="15" hidden="false" customHeight="true" outlineLevel="0" collapsed="false">
      <c r="A1030" s="7" t="s">
        <v>4095</v>
      </c>
      <c r="B1030" s="7" t="s">
        <v>6814</v>
      </c>
      <c r="C1030" s="7" t="n">
        <v>2</v>
      </c>
      <c r="D1030" s="7" t="n">
        <v>11</v>
      </c>
      <c r="E1030" s="7" t="n">
        <v>1</v>
      </c>
      <c r="F1030" s="7" t="s">
        <v>4092</v>
      </c>
      <c r="G1030" s="12" t="str">
        <f aca="false">IFERROR(INDEX('Semrush Data'!$A$1:$Z$20000,MATCH(A1030,'Semrush Data'!$A$1:$A$20000,0),MATCH("Volume",'Semrush Data'!$A$1:$Z$1,0)),"")</f>
        <v/>
      </c>
      <c r="H1030" s="7" t="str">
        <f aca="false">IFERROR(INDEX('Semrush Data'!$A$1:$Z$20000,MATCH(A1030,'Semrush Data'!$A$1:$A$20000,0),MATCH("Keyword Difficulty*",'Semrush Data'!$A$1:$Z$1,0)),"")</f>
        <v/>
      </c>
      <c r="I1030" s="13" t="str">
        <f aca="false">IFERROR(INDEX('Semrush Data'!$A$1:$Z$20000,MATCH(A1030,'Semrush Data'!$A$1:$A$20000,0),MATCH("CPC*",'Semrush Data'!$A$1:$Z$1,0)),"")</f>
        <v/>
      </c>
      <c r="J1030" s="7" t="str">
        <f aca="false">IFERROR(INDEX('Semrush Data'!$A$1:$Z$20000,MATCH(A1030,'Semrush Data'!$A$1:$A$20000,0),MATCH("Intent",'Semrush Data'!$A$1:$Z$1,0)),"")</f>
        <v/>
      </c>
    </row>
    <row r="1031" customFormat="false" ht="15" hidden="false" customHeight="true" outlineLevel="0" collapsed="false">
      <c r="A1031" s="7" t="s">
        <v>4106</v>
      </c>
      <c r="B1031" s="7" t="s">
        <v>6814</v>
      </c>
      <c r="C1031" s="7" t="n">
        <v>2</v>
      </c>
      <c r="D1031" s="7" t="n">
        <v>11</v>
      </c>
      <c r="E1031" s="7" t="n">
        <v>1</v>
      </c>
      <c r="F1031" s="7" t="s">
        <v>4103</v>
      </c>
      <c r="G1031" s="12" t="str">
        <f aca="false">IFERROR(INDEX('Semrush Data'!$A$1:$Z$20000,MATCH(A1031,'Semrush Data'!$A$1:$A$20000,0),MATCH("Volume",'Semrush Data'!$A$1:$Z$1,0)),"")</f>
        <v/>
      </c>
      <c r="H1031" s="7" t="str">
        <f aca="false">IFERROR(INDEX('Semrush Data'!$A$1:$Z$20000,MATCH(A1031,'Semrush Data'!$A$1:$A$20000,0),MATCH("Keyword Difficulty*",'Semrush Data'!$A$1:$Z$1,0)),"")</f>
        <v/>
      </c>
      <c r="I1031" s="13" t="str">
        <f aca="false">IFERROR(INDEX('Semrush Data'!$A$1:$Z$20000,MATCH(A1031,'Semrush Data'!$A$1:$A$20000,0),MATCH("CPC*",'Semrush Data'!$A$1:$Z$1,0)),"")</f>
        <v/>
      </c>
      <c r="J1031" s="7" t="str">
        <f aca="false">IFERROR(INDEX('Semrush Data'!$A$1:$Z$20000,MATCH(A1031,'Semrush Data'!$A$1:$A$20000,0),MATCH("Intent",'Semrush Data'!$A$1:$Z$1,0)),"")</f>
        <v/>
      </c>
    </row>
    <row r="1032" customFormat="false" ht="15" hidden="false" customHeight="true" outlineLevel="0" collapsed="false">
      <c r="A1032" s="7" t="s">
        <v>4116</v>
      </c>
      <c r="B1032" s="7" t="s">
        <v>6814</v>
      </c>
      <c r="C1032" s="7" t="n">
        <v>2</v>
      </c>
      <c r="D1032" s="7" t="n">
        <v>11</v>
      </c>
      <c r="E1032" s="7" t="n">
        <v>1</v>
      </c>
      <c r="F1032" s="7" t="s">
        <v>4113</v>
      </c>
      <c r="G1032" s="12" t="str">
        <f aca="false">IFERROR(INDEX('Semrush Data'!$A$1:$Z$20000,MATCH(A1032,'Semrush Data'!$A$1:$A$20000,0),MATCH("Volume",'Semrush Data'!$A$1:$Z$1,0)),"")</f>
        <v/>
      </c>
      <c r="H1032" s="7" t="str">
        <f aca="false">IFERROR(INDEX('Semrush Data'!$A$1:$Z$20000,MATCH(A1032,'Semrush Data'!$A$1:$A$20000,0),MATCH("Keyword Difficulty*",'Semrush Data'!$A$1:$Z$1,0)),"")</f>
        <v/>
      </c>
      <c r="I1032" s="13" t="str">
        <f aca="false">IFERROR(INDEX('Semrush Data'!$A$1:$Z$20000,MATCH(A1032,'Semrush Data'!$A$1:$A$20000,0),MATCH("CPC*",'Semrush Data'!$A$1:$Z$1,0)),"")</f>
        <v/>
      </c>
      <c r="J1032" s="7" t="str">
        <f aca="false">IFERROR(INDEX('Semrush Data'!$A$1:$Z$20000,MATCH(A1032,'Semrush Data'!$A$1:$A$20000,0),MATCH("Intent",'Semrush Data'!$A$1:$Z$1,0)),"")</f>
        <v/>
      </c>
    </row>
    <row r="1033" customFormat="false" ht="15" hidden="false" customHeight="true" outlineLevel="0" collapsed="false">
      <c r="A1033" s="7" t="s">
        <v>4126</v>
      </c>
      <c r="B1033" s="7" t="s">
        <v>6814</v>
      </c>
      <c r="C1033" s="7" t="n">
        <v>2</v>
      </c>
      <c r="D1033" s="7" t="n">
        <v>11</v>
      </c>
      <c r="E1033" s="7" t="n">
        <v>1</v>
      </c>
      <c r="F1033" s="7" t="s">
        <v>4123</v>
      </c>
      <c r="G1033" s="12" t="str">
        <f aca="false">IFERROR(INDEX('Semrush Data'!$A$1:$Z$20000,MATCH(A1033,'Semrush Data'!$A$1:$A$20000,0),MATCH("Volume",'Semrush Data'!$A$1:$Z$1,0)),"")</f>
        <v/>
      </c>
      <c r="H1033" s="7" t="str">
        <f aca="false">IFERROR(INDEX('Semrush Data'!$A$1:$Z$20000,MATCH(A1033,'Semrush Data'!$A$1:$A$20000,0),MATCH("Keyword Difficulty*",'Semrush Data'!$A$1:$Z$1,0)),"")</f>
        <v/>
      </c>
      <c r="I1033" s="13" t="str">
        <f aca="false">IFERROR(INDEX('Semrush Data'!$A$1:$Z$20000,MATCH(A1033,'Semrush Data'!$A$1:$A$20000,0),MATCH("CPC*",'Semrush Data'!$A$1:$Z$1,0)),"")</f>
        <v/>
      </c>
      <c r="J1033" s="7" t="str">
        <f aca="false">IFERROR(INDEX('Semrush Data'!$A$1:$Z$20000,MATCH(A1033,'Semrush Data'!$A$1:$A$20000,0),MATCH("Intent",'Semrush Data'!$A$1:$Z$1,0)),"")</f>
        <v/>
      </c>
    </row>
    <row r="1034" customFormat="false" ht="15" hidden="false" customHeight="true" outlineLevel="0" collapsed="false">
      <c r="A1034" s="7" t="s">
        <v>4137</v>
      </c>
      <c r="B1034" s="7" t="s">
        <v>6814</v>
      </c>
      <c r="C1034" s="7" t="n">
        <v>2</v>
      </c>
      <c r="D1034" s="7" t="n">
        <v>11</v>
      </c>
      <c r="E1034" s="7" t="n">
        <v>1</v>
      </c>
      <c r="F1034" s="7" t="s">
        <v>4134</v>
      </c>
      <c r="G1034" s="12" t="str">
        <f aca="false">IFERROR(INDEX('Semrush Data'!$A$1:$Z$20000,MATCH(A1034,'Semrush Data'!$A$1:$A$20000,0),MATCH("Volume",'Semrush Data'!$A$1:$Z$1,0)),"")</f>
        <v/>
      </c>
      <c r="H1034" s="7" t="str">
        <f aca="false">IFERROR(INDEX('Semrush Data'!$A$1:$Z$20000,MATCH(A1034,'Semrush Data'!$A$1:$A$20000,0),MATCH("Keyword Difficulty*",'Semrush Data'!$A$1:$Z$1,0)),"")</f>
        <v/>
      </c>
      <c r="I1034" s="13" t="str">
        <f aca="false">IFERROR(INDEX('Semrush Data'!$A$1:$Z$20000,MATCH(A1034,'Semrush Data'!$A$1:$A$20000,0),MATCH("CPC*",'Semrush Data'!$A$1:$Z$1,0)),"")</f>
        <v/>
      </c>
      <c r="J1034" s="7" t="str">
        <f aca="false">IFERROR(INDEX('Semrush Data'!$A$1:$Z$20000,MATCH(A1034,'Semrush Data'!$A$1:$A$20000,0),MATCH("Intent",'Semrush Data'!$A$1:$Z$1,0)),"")</f>
        <v/>
      </c>
    </row>
    <row r="1035" customFormat="false" ht="15" hidden="false" customHeight="true" outlineLevel="0" collapsed="false">
      <c r="A1035" s="7" t="s">
        <v>4148</v>
      </c>
      <c r="B1035" s="7" t="s">
        <v>6814</v>
      </c>
      <c r="C1035" s="7" t="n">
        <v>2</v>
      </c>
      <c r="D1035" s="7" t="n">
        <v>11</v>
      </c>
      <c r="E1035" s="7" t="n">
        <v>1</v>
      </c>
      <c r="F1035" s="7" t="s">
        <v>4145</v>
      </c>
      <c r="G1035" s="12" t="str">
        <f aca="false">IFERROR(INDEX('Semrush Data'!$A$1:$Z$20000,MATCH(A1035,'Semrush Data'!$A$1:$A$20000,0),MATCH("Volume",'Semrush Data'!$A$1:$Z$1,0)),"")</f>
        <v/>
      </c>
      <c r="H1035" s="7" t="str">
        <f aca="false">IFERROR(INDEX('Semrush Data'!$A$1:$Z$20000,MATCH(A1035,'Semrush Data'!$A$1:$A$20000,0),MATCH("Keyword Difficulty*",'Semrush Data'!$A$1:$Z$1,0)),"")</f>
        <v/>
      </c>
      <c r="I1035" s="13" t="str">
        <f aca="false">IFERROR(INDEX('Semrush Data'!$A$1:$Z$20000,MATCH(A1035,'Semrush Data'!$A$1:$A$20000,0),MATCH("CPC*",'Semrush Data'!$A$1:$Z$1,0)),"")</f>
        <v/>
      </c>
      <c r="J1035" s="7" t="str">
        <f aca="false">IFERROR(INDEX('Semrush Data'!$A$1:$Z$20000,MATCH(A1035,'Semrush Data'!$A$1:$A$20000,0),MATCH("Intent",'Semrush Data'!$A$1:$Z$1,0)),"")</f>
        <v/>
      </c>
    </row>
    <row r="1036" customFormat="false" ht="15" hidden="false" customHeight="true" outlineLevel="0" collapsed="false">
      <c r="A1036" s="7" t="s">
        <v>4158</v>
      </c>
      <c r="B1036" s="7" t="s">
        <v>6814</v>
      </c>
      <c r="C1036" s="7" t="n">
        <v>2</v>
      </c>
      <c r="D1036" s="7" t="n">
        <v>11</v>
      </c>
      <c r="E1036" s="7" t="n">
        <v>1</v>
      </c>
      <c r="F1036" s="7" t="s">
        <v>4155</v>
      </c>
      <c r="G1036" s="12" t="str">
        <f aca="false">IFERROR(INDEX('Semrush Data'!$A$1:$Z$20000,MATCH(A1036,'Semrush Data'!$A$1:$A$20000,0),MATCH("Volume",'Semrush Data'!$A$1:$Z$1,0)),"")</f>
        <v/>
      </c>
      <c r="H1036" s="7" t="str">
        <f aca="false">IFERROR(INDEX('Semrush Data'!$A$1:$Z$20000,MATCH(A1036,'Semrush Data'!$A$1:$A$20000,0),MATCH("Keyword Difficulty*",'Semrush Data'!$A$1:$Z$1,0)),"")</f>
        <v/>
      </c>
      <c r="I1036" s="13" t="str">
        <f aca="false">IFERROR(INDEX('Semrush Data'!$A$1:$Z$20000,MATCH(A1036,'Semrush Data'!$A$1:$A$20000,0),MATCH("CPC*",'Semrush Data'!$A$1:$Z$1,0)),"")</f>
        <v/>
      </c>
      <c r="J1036" s="7" t="str">
        <f aca="false">IFERROR(INDEX('Semrush Data'!$A$1:$Z$20000,MATCH(A1036,'Semrush Data'!$A$1:$A$20000,0),MATCH("Intent",'Semrush Data'!$A$1:$Z$1,0)),"")</f>
        <v/>
      </c>
    </row>
    <row r="1037" customFormat="false" ht="15" hidden="false" customHeight="true" outlineLevel="0" collapsed="false">
      <c r="A1037" s="7" t="s">
        <v>4171</v>
      </c>
      <c r="B1037" s="7" t="s">
        <v>6814</v>
      </c>
      <c r="C1037" s="7" t="n">
        <v>2</v>
      </c>
      <c r="D1037" s="7" t="n">
        <v>11</v>
      </c>
      <c r="E1037" s="7" t="n">
        <v>1</v>
      </c>
      <c r="F1037" s="7" t="s">
        <v>4167</v>
      </c>
      <c r="G1037" s="12" t="str">
        <f aca="false">IFERROR(INDEX('Semrush Data'!$A$1:$Z$20000,MATCH(A1037,'Semrush Data'!$A$1:$A$20000,0),MATCH("Volume",'Semrush Data'!$A$1:$Z$1,0)),"")</f>
        <v/>
      </c>
      <c r="H1037" s="7" t="str">
        <f aca="false">IFERROR(INDEX('Semrush Data'!$A$1:$Z$20000,MATCH(A1037,'Semrush Data'!$A$1:$A$20000,0),MATCH("Keyword Difficulty*",'Semrush Data'!$A$1:$Z$1,0)),"")</f>
        <v/>
      </c>
      <c r="I1037" s="13" t="str">
        <f aca="false">IFERROR(INDEX('Semrush Data'!$A$1:$Z$20000,MATCH(A1037,'Semrush Data'!$A$1:$A$20000,0),MATCH("CPC*",'Semrush Data'!$A$1:$Z$1,0)),"")</f>
        <v/>
      </c>
      <c r="J1037" s="7" t="str">
        <f aca="false">IFERROR(INDEX('Semrush Data'!$A$1:$Z$20000,MATCH(A1037,'Semrush Data'!$A$1:$A$20000,0),MATCH("Intent",'Semrush Data'!$A$1:$Z$1,0)),"")</f>
        <v/>
      </c>
    </row>
    <row r="1038" customFormat="false" ht="15" hidden="false" customHeight="true" outlineLevel="0" collapsed="false">
      <c r="A1038" s="7" t="s">
        <v>4184</v>
      </c>
      <c r="B1038" s="7" t="s">
        <v>6814</v>
      </c>
      <c r="C1038" s="7" t="n">
        <v>2</v>
      </c>
      <c r="D1038" s="7" t="n">
        <v>11</v>
      </c>
      <c r="E1038" s="7" t="n">
        <v>1</v>
      </c>
      <c r="F1038" s="7" t="s">
        <v>4180</v>
      </c>
      <c r="G1038" s="12" t="str">
        <f aca="false">IFERROR(INDEX('Semrush Data'!$A$1:$Z$20000,MATCH(A1038,'Semrush Data'!$A$1:$A$20000,0),MATCH("Volume",'Semrush Data'!$A$1:$Z$1,0)),"")</f>
        <v/>
      </c>
      <c r="H1038" s="7" t="str">
        <f aca="false">IFERROR(INDEX('Semrush Data'!$A$1:$Z$20000,MATCH(A1038,'Semrush Data'!$A$1:$A$20000,0),MATCH("Keyword Difficulty*",'Semrush Data'!$A$1:$Z$1,0)),"")</f>
        <v/>
      </c>
      <c r="I1038" s="13" t="str">
        <f aca="false">IFERROR(INDEX('Semrush Data'!$A$1:$Z$20000,MATCH(A1038,'Semrush Data'!$A$1:$A$20000,0),MATCH("CPC*",'Semrush Data'!$A$1:$Z$1,0)),"")</f>
        <v/>
      </c>
      <c r="J1038" s="7" t="str">
        <f aca="false">IFERROR(INDEX('Semrush Data'!$A$1:$Z$20000,MATCH(A1038,'Semrush Data'!$A$1:$A$20000,0),MATCH("Intent",'Semrush Data'!$A$1:$Z$1,0)),"")</f>
        <v/>
      </c>
    </row>
    <row r="1039" customFormat="false" ht="15" hidden="false" customHeight="true" outlineLevel="0" collapsed="false">
      <c r="A1039" s="7" t="s">
        <v>4195</v>
      </c>
      <c r="B1039" s="7" t="s">
        <v>6814</v>
      </c>
      <c r="C1039" s="7" t="n">
        <v>2</v>
      </c>
      <c r="D1039" s="7" t="n">
        <v>11</v>
      </c>
      <c r="E1039" s="7" t="n">
        <v>1</v>
      </c>
      <c r="F1039" s="7" t="s">
        <v>4192</v>
      </c>
      <c r="G1039" s="12" t="str">
        <f aca="false">IFERROR(INDEX('Semrush Data'!$A$1:$Z$20000,MATCH(A1039,'Semrush Data'!$A$1:$A$20000,0),MATCH("Volume",'Semrush Data'!$A$1:$Z$1,0)),"")</f>
        <v/>
      </c>
      <c r="H1039" s="7" t="str">
        <f aca="false">IFERROR(INDEX('Semrush Data'!$A$1:$Z$20000,MATCH(A1039,'Semrush Data'!$A$1:$A$20000,0),MATCH("Keyword Difficulty*",'Semrush Data'!$A$1:$Z$1,0)),"")</f>
        <v/>
      </c>
      <c r="I1039" s="13" t="str">
        <f aca="false">IFERROR(INDEX('Semrush Data'!$A$1:$Z$20000,MATCH(A1039,'Semrush Data'!$A$1:$A$20000,0),MATCH("CPC*",'Semrush Data'!$A$1:$Z$1,0)),"")</f>
        <v/>
      </c>
      <c r="J1039" s="7" t="str">
        <f aca="false">IFERROR(INDEX('Semrush Data'!$A$1:$Z$20000,MATCH(A1039,'Semrush Data'!$A$1:$A$20000,0),MATCH("Intent",'Semrush Data'!$A$1:$Z$1,0)),"")</f>
        <v/>
      </c>
    </row>
    <row r="1040" customFormat="false" ht="15" hidden="false" customHeight="true" outlineLevel="0" collapsed="false">
      <c r="A1040" s="7" t="s">
        <v>4206</v>
      </c>
      <c r="B1040" s="7" t="s">
        <v>6814</v>
      </c>
      <c r="C1040" s="7" t="n">
        <v>2</v>
      </c>
      <c r="D1040" s="7" t="n">
        <v>11</v>
      </c>
      <c r="E1040" s="7" t="n">
        <v>1</v>
      </c>
      <c r="F1040" s="7" t="s">
        <v>4203</v>
      </c>
      <c r="G1040" s="12" t="str">
        <f aca="false">IFERROR(INDEX('Semrush Data'!$A$1:$Z$20000,MATCH(A1040,'Semrush Data'!$A$1:$A$20000,0),MATCH("Volume",'Semrush Data'!$A$1:$Z$1,0)),"")</f>
        <v/>
      </c>
      <c r="H1040" s="7" t="str">
        <f aca="false">IFERROR(INDEX('Semrush Data'!$A$1:$Z$20000,MATCH(A1040,'Semrush Data'!$A$1:$A$20000,0),MATCH("Keyword Difficulty*",'Semrush Data'!$A$1:$Z$1,0)),"")</f>
        <v/>
      </c>
      <c r="I1040" s="13" t="str">
        <f aca="false">IFERROR(INDEX('Semrush Data'!$A$1:$Z$20000,MATCH(A1040,'Semrush Data'!$A$1:$A$20000,0),MATCH("CPC*",'Semrush Data'!$A$1:$Z$1,0)),"")</f>
        <v/>
      </c>
      <c r="J1040" s="7" t="str">
        <f aca="false">IFERROR(INDEX('Semrush Data'!$A$1:$Z$20000,MATCH(A1040,'Semrush Data'!$A$1:$A$20000,0),MATCH("Intent",'Semrush Data'!$A$1:$Z$1,0)),"")</f>
        <v/>
      </c>
    </row>
    <row r="1041" customFormat="false" ht="15" hidden="false" customHeight="true" outlineLevel="0" collapsed="false">
      <c r="A1041" s="7" t="s">
        <v>4218</v>
      </c>
      <c r="B1041" s="7" t="s">
        <v>6814</v>
      </c>
      <c r="C1041" s="7" t="n">
        <v>2</v>
      </c>
      <c r="D1041" s="7" t="n">
        <v>11</v>
      </c>
      <c r="E1041" s="7" t="n">
        <v>1</v>
      </c>
      <c r="F1041" s="7" t="s">
        <v>4215</v>
      </c>
      <c r="G1041" s="12" t="str">
        <f aca="false">IFERROR(INDEX('Semrush Data'!$A$1:$Z$20000,MATCH(A1041,'Semrush Data'!$A$1:$A$20000,0),MATCH("Volume",'Semrush Data'!$A$1:$Z$1,0)),"")</f>
        <v/>
      </c>
      <c r="H1041" s="7" t="str">
        <f aca="false">IFERROR(INDEX('Semrush Data'!$A$1:$Z$20000,MATCH(A1041,'Semrush Data'!$A$1:$A$20000,0),MATCH("Keyword Difficulty*",'Semrush Data'!$A$1:$Z$1,0)),"")</f>
        <v/>
      </c>
      <c r="I1041" s="13" t="str">
        <f aca="false">IFERROR(INDEX('Semrush Data'!$A$1:$Z$20000,MATCH(A1041,'Semrush Data'!$A$1:$A$20000,0),MATCH("CPC*",'Semrush Data'!$A$1:$Z$1,0)),"")</f>
        <v/>
      </c>
      <c r="J1041" s="7" t="str">
        <f aca="false">IFERROR(INDEX('Semrush Data'!$A$1:$Z$20000,MATCH(A1041,'Semrush Data'!$A$1:$A$20000,0),MATCH("Intent",'Semrush Data'!$A$1:$Z$1,0)),"")</f>
        <v/>
      </c>
    </row>
    <row r="1042" customFormat="false" ht="15" hidden="false" customHeight="true" outlineLevel="0" collapsed="false">
      <c r="A1042" s="7" t="s">
        <v>4231</v>
      </c>
      <c r="B1042" s="7" t="s">
        <v>6814</v>
      </c>
      <c r="C1042" s="7" t="n">
        <v>2</v>
      </c>
      <c r="D1042" s="7" t="s">
        <v>6816</v>
      </c>
      <c r="E1042" s="7" t="n">
        <v>1</v>
      </c>
      <c r="F1042" s="7" t="s">
        <v>4226</v>
      </c>
      <c r="G1042" s="12" t="n">
        <f aca="false">IFERROR(INDEX('Semrush Data'!$A$1:$Z$20000,MATCH(A1042,'Semrush Data'!$A$1:$A$20000,0),MATCH("Volume",'Semrush Data'!$A$1:$Z$1,0)),"")</f>
        <v>0</v>
      </c>
      <c r="H1042" s="7" t="n">
        <f aca="false">IFERROR(INDEX('Semrush Data'!$A$1:$Z$20000,MATCH(A1042,'Semrush Data'!$A$1:$A$20000,0),MATCH("Keyword Difficulty*",'Semrush Data'!$A$1:$Z$1,0)),"")</f>
        <v>17</v>
      </c>
      <c r="I1042" s="13" t="n">
        <f aca="false">IFERROR(INDEX('Semrush Data'!$A$1:$Z$20000,MATCH(A1042,'Semrush Data'!$A$1:$A$20000,0),MATCH("CPC*",'Semrush Data'!$A$1:$Z$1,0)),"")</f>
        <v>0</v>
      </c>
      <c r="J1042" s="7" t="str">
        <f aca="false">IFERROR(INDEX('Semrush Data'!$A$1:$Z$20000,MATCH(A1042,'Semrush Data'!$A$1:$A$20000,0),MATCH("Intent",'Semrush Data'!$A$1:$Z$1,0)),"")</f>
        <v>Informational</v>
      </c>
    </row>
    <row r="1043" customFormat="false" ht="15" hidden="false" customHeight="true" outlineLevel="0" collapsed="false">
      <c r="A1043" s="7" t="s">
        <v>4243</v>
      </c>
      <c r="B1043" s="7" t="s">
        <v>6814</v>
      </c>
      <c r="C1043" s="7" t="n">
        <v>2</v>
      </c>
      <c r="D1043" s="7" t="n">
        <v>11</v>
      </c>
      <c r="E1043" s="7" t="n">
        <v>1</v>
      </c>
      <c r="F1043" s="7" t="s">
        <v>4240</v>
      </c>
      <c r="G1043" s="12" t="str">
        <f aca="false">IFERROR(INDEX('Semrush Data'!$A$1:$Z$20000,MATCH(A1043,'Semrush Data'!$A$1:$A$20000,0),MATCH("Volume",'Semrush Data'!$A$1:$Z$1,0)),"")</f>
        <v/>
      </c>
      <c r="H1043" s="7" t="str">
        <f aca="false">IFERROR(INDEX('Semrush Data'!$A$1:$Z$20000,MATCH(A1043,'Semrush Data'!$A$1:$A$20000,0),MATCH("Keyword Difficulty*",'Semrush Data'!$A$1:$Z$1,0)),"")</f>
        <v/>
      </c>
      <c r="I1043" s="13" t="str">
        <f aca="false">IFERROR(INDEX('Semrush Data'!$A$1:$Z$20000,MATCH(A1043,'Semrush Data'!$A$1:$A$20000,0),MATCH("CPC*",'Semrush Data'!$A$1:$Z$1,0)),"")</f>
        <v/>
      </c>
      <c r="J1043" s="7" t="str">
        <f aca="false">IFERROR(INDEX('Semrush Data'!$A$1:$Z$20000,MATCH(A1043,'Semrush Data'!$A$1:$A$20000,0),MATCH("Intent",'Semrush Data'!$A$1:$Z$1,0)),"")</f>
        <v/>
      </c>
    </row>
    <row r="1044" customFormat="false" ht="15" hidden="false" customHeight="true" outlineLevel="0" collapsed="false">
      <c r="A1044" s="7" t="s">
        <v>4255</v>
      </c>
      <c r="B1044" s="7" t="s">
        <v>6814</v>
      </c>
      <c r="C1044" s="7" t="n">
        <v>2</v>
      </c>
      <c r="D1044" s="7" t="n">
        <v>11</v>
      </c>
      <c r="E1044" s="7" t="n">
        <v>1</v>
      </c>
      <c r="F1044" s="7" t="s">
        <v>4252</v>
      </c>
      <c r="G1044" s="12" t="str">
        <f aca="false">IFERROR(INDEX('Semrush Data'!$A$1:$Z$20000,MATCH(A1044,'Semrush Data'!$A$1:$A$20000,0),MATCH("Volume",'Semrush Data'!$A$1:$Z$1,0)),"")</f>
        <v/>
      </c>
      <c r="H1044" s="7" t="str">
        <f aca="false">IFERROR(INDEX('Semrush Data'!$A$1:$Z$20000,MATCH(A1044,'Semrush Data'!$A$1:$A$20000,0),MATCH("Keyword Difficulty*",'Semrush Data'!$A$1:$Z$1,0)),"")</f>
        <v/>
      </c>
      <c r="I1044" s="13" t="str">
        <f aca="false">IFERROR(INDEX('Semrush Data'!$A$1:$Z$20000,MATCH(A1044,'Semrush Data'!$A$1:$A$20000,0),MATCH("CPC*",'Semrush Data'!$A$1:$Z$1,0)),"")</f>
        <v/>
      </c>
      <c r="J1044" s="7" t="str">
        <f aca="false">IFERROR(INDEX('Semrush Data'!$A$1:$Z$20000,MATCH(A1044,'Semrush Data'!$A$1:$A$20000,0),MATCH("Intent",'Semrush Data'!$A$1:$Z$1,0)),"")</f>
        <v/>
      </c>
    </row>
    <row r="1045" customFormat="false" ht="15" hidden="false" customHeight="true" outlineLevel="0" collapsed="false">
      <c r="A1045" s="7" t="s">
        <v>4266</v>
      </c>
      <c r="B1045" s="7" t="s">
        <v>6814</v>
      </c>
      <c r="C1045" s="7" t="n">
        <v>2</v>
      </c>
      <c r="D1045" s="7" t="n">
        <v>11</v>
      </c>
      <c r="E1045" s="7" t="n">
        <v>1</v>
      </c>
      <c r="F1045" s="7" t="s">
        <v>4263</v>
      </c>
      <c r="G1045" s="12" t="str">
        <f aca="false">IFERROR(INDEX('Semrush Data'!$A$1:$Z$20000,MATCH(A1045,'Semrush Data'!$A$1:$A$20000,0),MATCH("Volume",'Semrush Data'!$A$1:$Z$1,0)),"")</f>
        <v/>
      </c>
      <c r="H1045" s="7" t="str">
        <f aca="false">IFERROR(INDEX('Semrush Data'!$A$1:$Z$20000,MATCH(A1045,'Semrush Data'!$A$1:$A$20000,0),MATCH("Keyword Difficulty*",'Semrush Data'!$A$1:$Z$1,0)),"")</f>
        <v/>
      </c>
      <c r="I1045" s="13" t="str">
        <f aca="false">IFERROR(INDEX('Semrush Data'!$A$1:$Z$20000,MATCH(A1045,'Semrush Data'!$A$1:$A$20000,0),MATCH("CPC*",'Semrush Data'!$A$1:$Z$1,0)),"")</f>
        <v/>
      </c>
      <c r="J1045" s="7" t="str">
        <f aca="false">IFERROR(INDEX('Semrush Data'!$A$1:$Z$20000,MATCH(A1045,'Semrush Data'!$A$1:$A$20000,0),MATCH("Intent",'Semrush Data'!$A$1:$Z$1,0)),"")</f>
        <v/>
      </c>
    </row>
    <row r="1046" customFormat="false" ht="15" hidden="false" customHeight="true" outlineLevel="0" collapsed="false">
      <c r="A1046" s="7" t="s">
        <v>4275</v>
      </c>
      <c r="B1046" s="7" t="s">
        <v>6814</v>
      </c>
      <c r="C1046" s="7" t="n">
        <v>2</v>
      </c>
      <c r="D1046" s="7" t="s">
        <v>6815</v>
      </c>
      <c r="E1046" s="7" t="n">
        <v>1</v>
      </c>
      <c r="F1046" s="7" t="s">
        <v>80</v>
      </c>
      <c r="G1046" s="12" t="n">
        <f aca="false">IFERROR(INDEX('Semrush Data'!$A$1:$Z$20000,MATCH(A1046,'Semrush Data'!$A$1:$A$20000,0),MATCH("Volume",'Semrush Data'!$A$1:$Z$1,0)),"")</f>
        <v>110</v>
      </c>
      <c r="H1046" s="7" t="n">
        <f aca="false">IFERROR(INDEX('Semrush Data'!$A$1:$Z$20000,MATCH(A1046,'Semrush Data'!$A$1:$A$20000,0),MATCH("Keyword Difficulty*",'Semrush Data'!$A$1:$Z$1,0)),"")</f>
        <v>19</v>
      </c>
      <c r="I1046" s="13" t="n">
        <f aca="false">IFERROR(INDEX('Semrush Data'!$A$1:$Z$20000,MATCH(A1046,'Semrush Data'!$A$1:$A$20000,0),MATCH("CPC*",'Semrush Data'!$A$1:$Z$1,0)),"")</f>
        <v>0.64</v>
      </c>
      <c r="J1046" s="7" t="str">
        <f aca="false">IFERROR(INDEX('Semrush Data'!$A$1:$Z$20000,MATCH(A1046,'Semrush Data'!$A$1:$A$20000,0),MATCH("Intent",'Semrush Data'!$A$1:$Z$1,0)),"")</f>
        <v>Informational</v>
      </c>
    </row>
    <row r="1047" customFormat="false" ht="15" hidden="false" customHeight="true" outlineLevel="0" collapsed="false">
      <c r="A1047" s="7" t="s">
        <v>4287</v>
      </c>
      <c r="B1047" s="7" t="s">
        <v>6814</v>
      </c>
      <c r="C1047" s="7" t="n">
        <v>2</v>
      </c>
      <c r="D1047" s="7" t="n">
        <v>11</v>
      </c>
      <c r="E1047" s="7" t="n">
        <v>1</v>
      </c>
      <c r="F1047" s="7" t="s">
        <v>4284</v>
      </c>
      <c r="G1047" s="12" t="str">
        <f aca="false">IFERROR(INDEX('Semrush Data'!$A$1:$Z$20000,MATCH(A1047,'Semrush Data'!$A$1:$A$20000,0),MATCH("Volume",'Semrush Data'!$A$1:$Z$1,0)),"")</f>
        <v/>
      </c>
      <c r="H1047" s="7" t="str">
        <f aca="false">IFERROR(INDEX('Semrush Data'!$A$1:$Z$20000,MATCH(A1047,'Semrush Data'!$A$1:$A$20000,0),MATCH("Keyword Difficulty*",'Semrush Data'!$A$1:$Z$1,0)),"")</f>
        <v/>
      </c>
      <c r="I1047" s="13" t="str">
        <f aca="false">IFERROR(INDEX('Semrush Data'!$A$1:$Z$20000,MATCH(A1047,'Semrush Data'!$A$1:$A$20000,0),MATCH("CPC*",'Semrush Data'!$A$1:$Z$1,0)),"")</f>
        <v/>
      </c>
      <c r="J1047" s="7" t="str">
        <f aca="false">IFERROR(INDEX('Semrush Data'!$A$1:$Z$20000,MATCH(A1047,'Semrush Data'!$A$1:$A$20000,0),MATCH("Intent",'Semrush Data'!$A$1:$Z$1,0)),"")</f>
        <v/>
      </c>
    </row>
    <row r="1048" customFormat="false" ht="15" hidden="false" customHeight="true" outlineLevel="0" collapsed="false">
      <c r="A1048" s="7" t="s">
        <v>4298</v>
      </c>
      <c r="B1048" s="7" t="s">
        <v>6814</v>
      </c>
      <c r="C1048" s="7" t="n">
        <v>2</v>
      </c>
      <c r="D1048" s="7" t="n">
        <v>11</v>
      </c>
      <c r="E1048" s="7" t="n">
        <v>1</v>
      </c>
      <c r="F1048" s="7" t="s">
        <v>4295</v>
      </c>
      <c r="G1048" s="12" t="str">
        <f aca="false">IFERROR(INDEX('Semrush Data'!$A$1:$Z$20000,MATCH(A1048,'Semrush Data'!$A$1:$A$20000,0),MATCH("Volume",'Semrush Data'!$A$1:$Z$1,0)),"")</f>
        <v/>
      </c>
      <c r="H1048" s="7" t="str">
        <f aca="false">IFERROR(INDEX('Semrush Data'!$A$1:$Z$20000,MATCH(A1048,'Semrush Data'!$A$1:$A$20000,0),MATCH("Keyword Difficulty*",'Semrush Data'!$A$1:$Z$1,0)),"")</f>
        <v/>
      </c>
      <c r="I1048" s="13" t="str">
        <f aca="false">IFERROR(INDEX('Semrush Data'!$A$1:$Z$20000,MATCH(A1048,'Semrush Data'!$A$1:$A$20000,0),MATCH("CPC*",'Semrush Data'!$A$1:$Z$1,0)),"")</f>
        <v/>
      </c>
      <c r="J1048" s="7" t="str">
        <f aca="false">IFERROR(INDEX('Semrush Data'!$A$1:$Z$20000,MATCH(A1048,'Semrush Data'!$A$1:$A$20000,0),MATCH("Intent",'Semrush Data'!$A$1:$Z$1,0)),"")</f>
        <v/>
      </c>
    </row>
    <row r="1049" customFormat="false" ht="15" hidden="false" customHeight="true" outlineLevel="0" collapsed="false">
      <c r="A1049" s="7" t="s">
        <v>4309</v>
      </c>
      <c r="B1049" s="7" t="s">
        <v>6814</v>
      </c>
      <c r="C1049" s="7" t="n">
        <v>2</v>
      </c>
      <c r="D1049" s="7" t="n">
        <v>11</v>
      </c>
      <c r="E1049" s="7" t="n">
        <v>1</v>
      </c>
      <c r="F1049" s="7" t="s">
        <v>4306</v>
      </c>
      <c r="G1049" s="12" t="str">
        <f aca="false">IFERROR(INDEX('Semrush Data'!$A$1:$Z$20000,MATCH(A1049,'Semrush Data'!$A$1:$A$20000,0),MATCH("Volume",'Semrush Data'!$A$1:$Z$1,0)),"")</f>
        <v/>
      </c>
      <c r="H1049" s="7" t="str">
        <f aca="false">IFERROR(INDEX('Semrush Data'!$A$1:$Z$20000,MATCH(A1049,'Semrush Data'!$A$1:$A$20000,0),MATCH("Keyword Difficulty*",'Semrush Data'!$A$1:$Z$1,0)),"")</f>
        <v/>
      </c>
      <c r="I1049" s="13" t="str">
        <f aca="false">IFERROR(INDEX('Semrush Data'!$A$1:$Z$20000,MATCH(A1049,'Semrush Data'!$A$1:$A$20000,0),MATCH("CPC*",'Semrush Data'!$A$1:$Z$1,0)),"")</f>
        <v/>
      </c>
      <c r="J1049" s="7" t="str">
        <f aca="false">IFERROR(INDEX('Semrush Data'!$A$1:$Z$20000,MATCH(A1049,'Semrush Data'!$A$1:$A$20000,0),MATCH("Intent",'Semrush Data'!$A$1:$Z$1,0)),"")</f>
        <v/>
      </c>
    </row>
    <row r="1050" customFormat="false" ht="15" hidden="false" customHeight="true" outlineLevel="0" collapsed="false">
      <c r="A1050" s="7" t="s">
        <v>4320</v>
      </c>
      <c r="B1050" s="7" t="s">
        <v>6814</v>
      </c>
      <c r="C1050" s="7" t="n">
        <v>2</v>
      </c>
      <c r="D1050" s="7" t="s">
        <v>6815</v>
      </c>
      <c r="E1050" s="7" t="n">
        <v>1</v>
      </c>
      <c r="F1050" s="7" t="s">
        <v>4317</v>
      </c>
      <c r="G1050" s="12" t="n">
        <f aca="false">IFERROR(INDEX('Semrush Data'!$A$1:$Z$20000,MATCH(A1050,'Semrush Data'!$A$1:$A$20000,0),MATCH("Volume",'Semrush Data'!$A$1:$Z$1,0)),"")</f>
        <v>0</v>
      </c>
      <c r="H1050" s="7" t="n">
        <f aca="false">IFERROR(INDEX('Semrush Data'!$A$1:$Z$20000,MATCH(A1050,'Semrush Data'!$A$1:$A$20000,0),MATCH("Keyword Difficulty*",'Semrush Data'!$A$1:$Z$1,0)),"")</f>
        <v>25</v>
      </c>
      <c r="I1050" s="13" t="n">
        <f aca="false">IFERROR(INDEX('Semrush Data'!$A$1:$Z$20000,MATCH(A1050,'Semrush Data'!$A$1:$A$20000,0),MATCH("CPC*",'Semrush Data'!$A$1:$Z$1,0)),"")</f>
        <v>0</v>
      </c>
      <c r="J1050" s="7" t="str">
        <f aca="false">IFERROR(INDEX('Semrush Data'!$A$1:$Z$20000,MATCH(A1050,'Semrush Data'!$A$1:$A$20000,0),MATCH("Intent",'Semrush Data'!$A$1:$Z$1,0)),"")</f>
        <v>Informational</v>
      </c>
    </row>
    <row r="1051" customFormat="false" ht="15" hidden="false" customHeight="true" outlineLevel="0" collapsed="false">
      <c r="A1051" s="7" t="s">
        <v>4331</v>
      </c>
      <c r="B1051" s="7" t="s">
        <v>6814</v>
      </c>
      <c r="C1051" s="7" t="n">
        <v>2</v>
      </c>
      <c r="D1051" s="7" t="s">
        <v>6816</v>
      </c>
      <c r="E1051" s="7" t="n">
        <v>1</v>
      </c>
      <c r="F1051" s="7" t="s">
        <v>4328</v>
      </c>
      <c r="G1051" s="12" t="n">
        <f aca="false">IFERROR(INDEX('Semrush Data'!$A$1:$Z$20000,MATCH(A1051,'Semrush Data'!$A$1:$A$20000,0),MATCH("Volume",'Semrush Data'!$A$1:$Z$1,0)),"")</f>
        <v>0</v>
      </c>
      <c r="H1051" s="7" t="n">
        <f aca="false">IFERROR(INDEX('Semrush Data'!$A$1:$Z$20000,MATCH(A1051,'Semrush Data'!$A$1:$A$20000,0),MATCH("Keyword Difficulty*",'Semrush Data'!$A$1:$Z$1,0)),"")</f>
        <v>14</v>
      </c>
      <c r="I1051" s="13" t="n">
        <f aca="false">IFERROR(INDEX('Semrush Data'!$A$1:$Z$20000,MATCH(A1051,'Semrush Data'!$A$1:$A$20000,0),MATCH("CPC*",'Semrush Data'!$A$1:$Z$1,0)),"")</f>
        <v>0</v>
      </c>
      <c r="J1051" s="7" t="str">
        <f aca="false">IFERROR(INDEX('Semrush Data'!$A$1:$Z$20000,MATCH(A1051,'Semrush Data'!$A$1:$A$20000,0),MATCH("Intent",'Semrush Data'!$A$1:$Z$1,0)),"")</f>
        <v>Informational</v>
      </c>
    </row>
    <row r="1052" customFormat="false" ht="15" hidden="false" customHeight="true" outlineLevel="0" collapsed="false">
      <c r="A1052" s="7" t="s">
        <v>4561</v>
      </c>
      <c r="B1052" s="7" t="s">
        <v>6814</v>
      </c>
      <c r="C1052" s="7" t="n">
        <v>2</v>
      </c>
      <c r="D1052" s="7" t="n">
        <v>11</v>
      </c>
      <c r="E1052" s="7" t="n">
        <v>1</v>
      </c>
      <c r="F1052" s="7" t="s">
        <v>4557</v>
      </c>
      <c r="G1052" s="12" t="str">
        <f aca="false">IFERROR(INDEX('Semrush Data'!$A$1:$Z$20000,MATCH(A1052,'Semrush Data'!$A$1:$A$20000,0),MATCH("Volume",'Semrush Data'!$A$1:$Z$1,0)),"")</f>
        <v/>
      </c>
      <c r="H1052" s="7" t="str">
        <f aca="false">IFERROR(INDEX('Semrush Data'!$A$1:$Z$20000,MATCH(A1052,'Semrush Data'!$A$1:$A$20000,0),MATCH("Keyword Difficulty*",'Semrush Data'!$A$1:$Z$1,0)),"")</f>
        <v/>
      </c>
      <c r="I1052" s="13" t="str">
        <f aca="false">IFERROR(INDEX('Semrush Data'!$A$1:$Z$20000,MATCH(A1052,'Semrush Data'!$A$1:$A$20000,0),MATCH("CPC*",'Semrush Data'!$A$1:$Z$1,0)),"")</f>
        <v/>
      </c>
      <c r="J1052" s="7" t="str">
        <f aca="false">IFERROR(INDEX('Semrush Data'!$A$1:$Z$20000,MATCH(A1052,'Semrush Data'!$A$1:$A$20000,0),MATCH("Intent",'Semrush Data'!$A$1:$Z$1,0)),"")</f>
        <v/>
      </c>
    </row>
    <row r="1053" customFormat="false" ht="15" hidden="false" customHeight="true" outlineLevel="0" collapsed="false">
      <c r="A1053" s="7" t="s">
        <v>4343</v>
      </c>
      <c r="B1053" s="7" t="s">
        <v>6814</v>
      </c>
      <c r="C1053" s="7" t="n">
        <v>2</v>
      </c>
      <c r="D1053" s="7" t="s">
        <v>6816</v>
      </c>
      <c r="E1053" s="7" t="n">
        <v>1</v>
      </c>
      <c r="F1053" s="7" t="s">
        <v>4340</v>
      </c>
      <c r="G1053" s="12" t="n">
        <f aca="false">IFERROR(INDEX('Semrush Data'!$A$1:$Z$20000,MATCH(A1053,'Semrush Data'!$A$1:$A$20000,0),MATCH("Volume",'Semrush Data'!$A$1:$Z$1,0)),"")</f>
        <v>0</v>
      </c>
      <c r="H1053" s="7" t="n">
        <f aca="false">IFERROR(INDEX('Semrush Data'!$A$1:$Z$20000,MATCH(A1053,'Semrush Data'!$A$1:$A$20000,0),MATCH("Keyword Difficulty*",'Semrush Data'!$A$1:$Z$1,0)),"")</f>
        <v>22</v>
      </c>
      <c r="I1053" s="13" t="n">
        <f aca="false">IFERROR(INDEX('Semrush Data'!$A$1:$Z$20000,MATCH(A1053,'Semrush Data'!$A$1:$A$20000,0),MATCH("CPC*",'Semrush Data'!$A$1:$Z$1,0)),"")</f>
        <v>0</v>
      </c>
      <c r="J1053" s="7" t="str">
        <f aca="false">IFERROR(INDEX('Semrush Data'!$A$1:$Z$20000,MATCH(A1053,'Semrush Data'!$A$1:$A$20000,0),MATCH("Intent",'Semrush Data'!$A$1:$Z$1,0)),"")</f>
        <v>Informational Transactional</v>
      </c>
    </row>
    <row r="1054" customFormat="false" ht="15" hidden="false" customHeight="true" outlineLevel="0" collapsed="false">
      <c r="A1054" s="7" t="s">
        <v>4354</v>
      </c>
      <c r="B1054" s="7" t="s">
        <v>6814</v>
      </c>
      <c r="C1054" s="7" t="n">
        <v>2</v>
      </c>
      <c r="D1054" s="7" t="s">
        <v>6816</v>
      </c>
      <c r="E1054" s="7" t="n">
        <v>1</v>
      </c>
      <c r="F1054" s="7" t="s">
        <v>4351</v>
      </c>
      <c r="G1054" s="12" t="n">
        <f aca="false">IFERROR(INDEX('Semrush Data'!$A$1:$Z$20000,MATCH(A1054,'Semrush Data'!$A$1:$A$20000,0),MATCH("Volume",'Semrush Data'!$A$1:$Z$1,0)),"")</f>
        <v>0</v>
      </c>
      <c r="H1054" s="7" t="n">
        <f aca="false">IFERROR(INDEX('Semrush Data'!$A$1:$Z$20000,MATCH(A1054,'Semrush Data'!$A$1:$A$20000,0),MATCH("Keyword Difficulty*",'Semrush Data'!$A$1:$Z$1,0)),"")</f>
        <v>17</v>
      </c>
      <c r="I1054" s="13" t="n">
        <f aca="false">IFERROR(INDEX('Semrush Data'!$A$1:$Z$20000,MATCH(A1054,'Semrush Data'!$A$1:$A$20000,0),MATCH("CPC*",'Semrush Data'!$A$1:$Z$1,0)),"")</f>
        <v>0</v>
      </c>
      <c r="J1054" s="7" t="str">
        <f aca="false">IFERROR(INDEX('Semrush Data'!$A$1:$Z$20000,MATCH(A1054,'Semrush Data'!$A$1:$A$20000,0),MATCH("Intent",'Semrush Data'!$A$1:$Z$1,0)),"")</f>
        <v>Informational Commercial</v>
      </c>
    </row>
    <row r="1055" customFormat="false" ht="15" hidden="false" customHeight="true" outlineLevel="0" collapsed="false">
      <c r="A1055" s="7" t="s">
        <v>4365</v>
      </c>
      <c r="B1055" s="7" t="s">
        <v>6814</v>
      </c>
      <c r="C1055" s="7" t="n">
        <v>2</v>
      </c>
      <c r="D1055" s="7" t="n">
        <v>11</v>
      </c>
      <c r="E1055" s="7" t="n">
        <v>1</v>
      </c>
      <c r="F1055" s="7" t="s">
        <v>4362</v>
      </c>
      <c r="G1055" s="12" t="str">
        <f aca="false">IFERROR(INDEX('Semrush Data'!$A$1:$Z$20000,MATCH(A1055,'Semrush Data'!$A$1:$A$20000,0),MATCH("Volume",'Semrush Data'!$A$1:$Z$1,0)),"")</f>
        <v/>
      </c>
      <c r="H1055" s="7" t="str">
        <f aca="false">IFERROR(INDEX('Semrush Data'!$A$1:$Z$20000,MATCH(A1055,'Semrush Data'!$A$1:$A$20000,0),MATCH("Keyword Difficulty*",'Semrush Data'!$A$1:$Z$1,0)),"")</f>
        <v/>
      </c>
      <c r="I1055" s="13" t="str">
        <f aca="false">IFERROR(INDEX('Semrush Data'!$A$1:$Z$20000,MATCH(A1055,'Semrush Data'!$A$1:$A$20000,0),MATCH("CPC*",'Semrush Data'!$A$1:$Z$1,0)),"")</f>
        <v/>
      </c>
      <c r="J1055" s="7" t="str">
        <f aca="false">IFERROR(INDEX('Semrush Data'!$A$1:$Z$20000,MATCH(A1055,'Semrush Data'!$A$1:$A$20000,0),MATCH("Intent",'Semrush Data'!$A$1:$Z$1,0)),"")</f>
        <v/>
      </c>
    </row>
    <row r="1056" customFormat="false" ht="15" hidden="false" customHeight="true" outlineLevel="0" collapsed="false">
      <c r="A1056" s="7" t="s">
        <v>4374</v>
      </c>
      <c r="B1056" s="7" t="s">
        <v>6814</v>
      </c>
      <c r="C1056" s="7" t="n">
        <v>2</v>
      </c>
      <c r="D1056" s="7" t="s">
        <v>6815</v>
      </c>
      <c r="E1056" s="7" t="n">
        <v>1</v>
      </c>
      <c r="F1056" s="7" t="s">
        <v>96</v>
      </c>
      <c r="G1056" s="12" t="n">
        <f aca="false">IFERROR(INDEX('Semrush Data'!$A$1:$Z$20000,MATCH(A1056,'Semrush Data'!$A$1:$A$20000,0),MATCH("Volume",'Semrush Data'!$A$1:$Z$1,0)),"")</f>
        <v>20</v>
      </c>
      <c r="H1056" s="7" t="n">
        <f aca="false">IFERROR(INDEX('Semrush Data'!$A$1:$Z$20000,MATCH(A1056,'Semrush Data'!$A$1:$A$20000,0),MATCH("Keyword Difficulty*",'Semrush Data'!$A$1:$Z$1,0)),"")</f>
        <v>18</v>
      </c>
      <c r="I1056" s="13" t="n">
        <f aca="false">IFERROR(INDEX('Semrush Data'!$A$1:$Z$20000,MATCH(A1056,'Semrush Data'!$A$1:$A$20000,0),MATCH("CPC*",'Semrush Data'!$A$1:$Z$1,0)),"")</f>
        <v>0</v>
      </c>
      <c r="J1056" s="7" t="str">
        <f aca="false">IFERROR(INDEX('Semrush Data'!$A$1:$Z$20000,MATCH(A1056,'Semrush Data'!$A$1:$A$20000,0),MATCH("Intent",'Semrush Data'!$A$1:$Z$1,0)),"")</f>
        <v>Informational</v>
      </c>
    </row>
    <row r="1057" customFormat="false" ht="15" hidden="false" customHeight="true" outlineLevel="0" collapsed="false">
      <c r="A1057" s="7" t="s">
        <v>4385</v>
      </c>
      <c r="B1057" s="7" t="s">
        <v>6814</v>
      </c>
      <c r="C1057" s="7" t="n">
        <v>2</v>
      </c>
      <c r="D1057" s="7" t="s">
        <v>6816</v>
      </c>
      <c r="E1057" s="7" t="n">
        <v>1</v>
      </c>
      <c r="F1057" s="7" t="s">
        <v>4382</v>
      </c>
      <c r="G1057" s="12" t="n">
        <f aca="false">IFERROR(INDEX('Semrush Data'!$A$1:$Z$20000,MATCH(A1057,'Semrush Data'!$A$1:$A$20000,0),MATCH("Volume",'Semrush Data'!$A$1:$Z$1,0)),"")</f>
        <v>0</v>
      </c>
      <c r="H1057" s="7" t="n">
        <f aca="false">IFERROR(INDEX('Semrush Data'!$A$1:$Z$20000,MATCH(A1057,'Semrush Data'!$A$1:$A$20000,0),MATCH("Keyword Difficulty*",'Semrush Data'!$A$1:$Z$1,0)),"")</f>
        <v>28</v>
      </c>
      <c r="I1057" s="13" t="n">
        <f aca="false">IFERROR(INDEX('Semrush Data'!$A$1:$Z$20000,MATCH(A1057,'Semrush Data'!$A$1:$A$20000,0),MATCH("CPC*",'Semrush Data'!$A$1:$Z$1,0)),"")</f>
        <v>0</v>
      </c>
      <c r="J1057" s="7" t="str">
        <f aca="false">IFERROR(INDEX('Semrush Data'!$A$1:$Z$20000,MATCH(A1057,'Semrush Data'!$A$1:$A$20000,0),MATCH("Intent",'Semrush Data'!$A$1:$Z$1,0)),"")</f>
        <v>Informational</v>
      </c>
    </row>
    <row r="1058" customFormat="false" ht="15" hidden="false" customHeight="true" outlineLevel="0" collapsed="false">
      <c r="A1058" s="7" t="s">
        <v>4396</v>
      </c>
      <c r="B1058" s="7" t="s">
        <v>6814</v>
      </c>
      <c r="C1058" s="7" t="n">
        <v>2</v>
      </c>
      <c r="D1058" s="7" t="n">
        <v>11</v>
      </c>
      <c r="E1058" s="7" t="n">
        <v>1</v>
      </c>
      <c r="F1058" s="7" t="s">
        <v>4393</v>
      </c>
      <c r="G1058" s="12" t="str">
        <f aca="false">IFERROR(INDEX('Semrush Data'!$A$1:$Z$20000,MATCH(A1058,'Semrush Data'!$A$1:$A$20000,0),MATCH("Volume",'Semrush Data'!$A$1:$Z$1,0)),"")</f>
        <v/>
      </c>
      <c r="H1058" s="7" t="str">
        <f aca="false">IFERROR(INDEX('Semrush Data'!$A$1:$Z$20000,MATCH(A1058,'Semrush Data'!$A$1:$A$20000,0),MATCH("Keyword Difficulty*",'Semrush Data'!$A$1:$Z$1,0)),"")</f>
        <v/>
      </c>
      <c r="I1058" s="13" t="str">
        <f aca="false">IFERROR(INDEX('Semrush Data'!$A$1:$Z$20000,MATCH(A1058,'Semrush Data'!$A$1:$A$20000,0),MATCH("CPC*",'Semrush Data'!$A$1:$Z$1,0)),"")</f>
        <v/>
      </c>
      <c r="J1058" s="7" t="str">
        <f aca="false">IFERROR(INDEX('Semrush Data'!$A$1:$Z$20000,MATCH(A1058,'Semrush Data'!$A$1:$A$20000,0),MATCH("Intent",'Semrush Data'!$A$1:$Z$1,0)),"")</f>
        <v/>
      </c>
    </row>
    <row r="1059" customFormat="false" ht="15" hidden="false" customHeight="true" outlineLevel="0" collapsed="false">
      <c r="A1059" s="7" t="s">
        <v>4572</v>
      </c>
      <c r="B1059" s="7" t="s">
        <v>6814</v>
      </c>
      <c r="C1059" s="7" t="n">
        <v>2</v>
      </c>
      <c r="D1059" s="7" t="n">
        <v>11</v>
      </c>
      <c r="E1059" s="7" t="n">
        <v>1</v>
      </c>
      <c r="F1059" s="7" t="s">
        <v>4568</v>
      </c>
      <c r="G1059" s="12" t="str">
        <f aca="false">IFERROR(INDEX('Semrush Data'!$A$1:$Z$20000,MATCH(A1059,'Semrush Data'!$A$1:$A$20000,0),MATCH("Volume",'Semrush Data'!$A$1:$Z$1,0)),"")</f>
        <v/>
      </c>
      <c r="H1059" s="7" t="str">
        <f aca="false">IFERROR(INDEX('Semrush Data'!$A$1:$Z$20000,MATCH(A1059,'Semrush Data'!$A$1:$A$20000,0),MATCH("Keyword Difficulty*",'Semrush Data'!$A$1:$Z$1,0)),"")</f>
        <v/>
      </c>
      <c r="I1059" s="13" t="str">
        <f aca="false">IFERROR(INDEX('Semrush Data'!$A$1:$Z$20000,MATCH(A1059,'Semrush Data'!$A$1:$A$20000,0),MATCH("CPC*",'Semrush Data'!$A$1:$Z$1,0)),"")</f>
        <v/>
      </c>
      <c r="J1059" s="7" t="str">
        <f aca="false">IFERROR(INDEX('Semrush Data'!$A$1:$Z$20000,MATCH(A1059,'Semrush Data'!$A$1:$A$20000,0),MATCH("Intent",'Semrush Data'!$A$1:$Z$1,0)),"")</f>
        <v/>
      </c>
    </row>
    <row r="1060" customFormat="false" ht="15" hidden="false" customHeight="true" outlineLevel="0" collapsed="false">
      <c r="A1060" s="7" t="s">
        <v>4584</v>
      </c>
      <c r="B1060" s="7" t="s">
        <v>6814</v>
      </c>
      <c r="C1060" s="7" t="n">
        <v>2</v>
      </c>
      <c r="D1060" s="7" t="n">
        <v>11</v>
      </c>
      <c r="E1060" s="7" t="n">
        <v>1</v>
      </c>
      <c r="F1060" s="7" t="s">
        <v>4580</v>
      </c>
      <c r="G1060" s="12" t="str">
        <f aca="false">IFERROR(INDEX('Semrush Data'!$A$1:$Z$20000,MATCH(A1060,'Semrush Data'!$A$1:$A$20000,0),MATCH("Volume",'Semrush Data'!$A$1:$Z$1,0)),"")</f>
        <v/>
      </c>
      <c r="H1060" s="7" t="str">
        <f aca="false">IFERROR(INDEX('Semrush Data'!$A$1:$Z$20000,MATCH(A1060,'Semrush Data'!$A$1:$A$20000,0),MATCH("Keyword Difficulty*",'Semrush Data'!$A$1:$Z$1,0)),"")</f>
        <v/>
      </c>
      <c r="I1060" s="13" t="str">
        <f aca="false">IFERROR(INDEX('Semrush Data'!$A$1:$Z$20000,MATCH(A1060,'Semrush Data'!$A$1:$A$20000,0),MATCH("CPC*",'Semrush Data'!$A$1:$Z$1,0)),"")</f>
        <v/>
      </c>
      <c r="J1060" s="7" t="str">
        <f aca="false">IFERROR(INDEX('Semrush Data'!$A$1:$Z$20000,MATCH(A1060,'Semrush Data'!$A$1:$A$20000,0),MATCH("Intent",'Semrush Data'!$A$1:$Z$1,0)),"")</f>
        <v/>
      </c>
    </row>
    <row r="1061" customFormat="false" ht="15" hidden="false" customHeight="true" outlineLevel="0" collapsed="false">
      <c r="A1061" s="7" t="s">
        <v>4595</v>
      </c>
      <c r="B1061" s="7" t="s">
        <v>6814</v>
      </c>
      <c r="C1061" s="7" t="n">
        <v>2</v>
      </c>
      <c r="D1061" s="7" t="s">
        <v>6815</v>
      </c>
      <c r="E1061" s="7" t="n">
        <v>1</v>
      </c>
      <c r="F1061" s="7" t="s">
        <v>112</v>
      </c>
      <c r="G1061" s="12" t="n">
        <f aca="false">IFERROR(INDEX('Semrush Data'!$A$1:$Z$20000,MATCH(A1061,'Semrush Data'!$A$1:$A$20000,0),MATCH("Volume",'Semrush Data'!$A$1:$Z$1,0)),"")</f>
        <v>0</v>
      </c>
      <c r="H1061" s="7" t="n">
        <f aca="false">IFERROR(INDEX('Semrush Data'!$A$1:$Z$20000,MATCH(A1061,'Semrush Data'!$A$1:$A$20000,0),MATCH("Keyword Difficulty*",'Semrush Data'!$A$1:$Z$1,0)),"")</f>
        <v>17</v>
      </c>
      <c r="I1061" s="13" t="n">
        <f aca="false">IFERROR(INDEX('Semrush Data'!$A$1:$Z$20000,MATCH(A1061,'Semrush Data'!$A$1:$A$20000,0),MATCH("CPC*",'Semrush Data'!$A$1:$Z$1,0)),"")</f>
        <v>0</v>
      </c>
      <c r="J1061" s="7" t="str">
        <f aca="false">IFERROR(INDEX('Semrush Data'!$A$1:$Z$20000,MATCH(A1061,'Semrush Data'!$A$1:$A$20000,0),MATCH("Intent",'Semrush Data'!$A$1:$Z$1,0)),"")</f>
        <v>Informational</v>
      </c>
    </row>
    <row r="1062" customFormat="false" ht="15" hidden="false" customHeight="true" outlineLevel="0" collapsed="false">
      <c r="A1062" s="7" t="s">
        <v>4607</v>
      </c>
      <c r="B1062" s="7" t="s">
        <v>6814</v>
      </c>
      <c r="C1062" s="7" t="n">
        <v>2</v>
      </c>
      <c r="D1062" s="7" t="n">
        <v>11</v>
      </c>
      <c r="E1062" s="7" t="n">
        <v>1</v>
      </c>
      <c r="F1062" s="7" t="s">
        <v>4604</v>
      </c>
      <c r="G1062" s="12" t="str">
        <f aca="false">IFERROR(INDEX('Semrush Data'!$A$1:$Z$20000,MATCH(A1062,'Semrush Data'!$A$1:$A$20000,0),MATCH("Volume",'Semrush Data'!$A$1:$Z$1,0)),"")</f>
        <v/>
      </c>
      <c r="H1062" s="7" t="str">
        <f aca="false">IFERROR(INDEX('Semrush Data'!$A$1:$Z$20000,MATCH(A1062,'Semrush Data'!$A$1:$A$20000,0),MATCH("Keyword Difficulty*",'Semrush Data'!$A$1:$Z$1,0)),"")</f>
        <v/>
      </c>
      <c r="I1062" s="13" t="str">
        <f aca="false">IFERROR(INDEX('Semrush Data'!$A$1:$Z$20000,MATCH(A1062,'Semrush Data'!$A$1:$A$20000,0),MATCH("CPC*",'Semrush Data'!$A$1:$Z$1,0)),"")</f>
        <v/>
      </c>
      <c r="J1062" s="7" t="str">
        <f aca="false">IFERROR(INDEX('Semrush Data'!$A$1:$Z$20000,MATCH(A1062,'Semrush Data'!$A$1:$A$20000,0),MATCH("Intent",'Semrush Data'!$A$1:$Z$1,0)),"")</f>
        <v/>
      </c>
    </row>
    <row r="1063" customFormat="false" ht="15" hidden="false" customHeight="true" outlineLevel="0" collapsed="false">
      <c r="A1063" s="7" t="s">
        <v>4693</v>
      </c>
      <c r="B1063" s="7" t="s">
        <v>6814</v>
      </c>
      <c r="C1063" s="7" t="n">
        <v>2</v>
      </c>
      <c r="D1063" s="7" t="s">
        <v>6815</v>
      </c>
      <c r="E1063" s="7" t="n">
        <v>1</v>
      </c>
      <c r="F1063" s="7" t="s">
        <v>4690</v>
      </c>
      <c r="G1063" s="12" t="n">
        <f aca="false">IFERROR(INDEX('Semrush Data'!$A$1:$Z$20000,MATCH(A1063,'Semrush Data'!$A$1:$A$20000,0),MATCH("Volume",'Semrush Data'!$A$1:$Z$1,0)),"")</f>
        <v>0</v>
      </c>
      <c r="H1063" s="7" t="n">
        <f aca="false">IFERROR(INDEX('Semrush Data'!$A$1:$Z$20000,MATCH(A1063,'Semrush Data'!$A$1:$A$20000,0),MATCH("Keyword Difficulty*",'Semrush Data'!$A$1:$Z$1,0)),"")</f>
        <v>15</v>
      </c>
      <c r="I1063" s="13" t="n">
        <f aca="false">IFERROR(INDEX('Semrush Data'!$A$1:$Z$20000,MATCH(A1063,'Semrush Data'!$A$1:$A$20000,0),MATCH("CPC*",'Semrush Data'!$A$1:$Z$1,0)),"")</f>
        <v>0</v>
      </c>
      <c r="J1063" s="7" t="str">
        <f aca="false">IFERROR(INDEX('Semrush Data'!$A$1:$Z$20000,MATCH(A1063,'Semrush Data'!$A$1:$A$20000,0),MATCH("Intent",'Semrush Data'!$A$1:$Z$1,0)),"")</f>
        <v>Informational Transactional</v>
      </c>
    </row>
    <row r="1064" customFormat="false" ht="15" hidden="false" customHeight="true" outlineLevel="0" collapsed="false">
      <c r="A1064" s="7" t="s">
        <v>4672</v>
      </c>
      <c r="B1064" s="7" t="s">
        <v>6814</v>
      </c>
      <c r="C1064" s="7" t="n">
        <v>2</v>
      </c>
      <c r="D1064" s="7" t="n">
        <v>11</v>
      </c>
      <c r="E1064" s="7" t="n">
        <v>1</v>
      </c>
      <c r="F1064" s="7" t="s">
        <v>4669</v>
      </c>
      <c r="G1064" s="12" t="str">
        <f aca="false">IFERROR(INDEX('Semrush Data'!$A$1:$Z$20000,MATCH(A1064,'Semrush Data'!$A$1:$A$20000,0),MATCH("Volume",'Semrush Data'!$A$1:$Z$1,0)),"")</f>
        <v/>
      </c>
      <c r="H1064" s="7" t="str">
        <f aca="false">IFERROR(INDEX('Semrush Data'!$A$1:$Z$20000,MATCH(A1064,'Semrush Data'!$A$1:$A$20000,0),MATCH("Keyword Difficulty*",'Semrush Data'!$A$1:$Z$1,0)),"")</f>
        <v/>
      </c>
      <c r="I1064" s="13" t="str">
        <f aca="false">IFERROR(INDEX('Semrush Data'!$A$1:$Z$20000,MATCH(A1064,'Semrush Data'!$A$1:$A$20000,0),MATCH("CPC*",'Semrush Data'!$A$1:$Z$1,0)),"")</f>
        <v/>
      </c>
      <c r="J1064" s="7" t="str">
        <f aca="false">IFERROR(INDEX('Semrush Data'!$A$1:$Z$20000,MATCH(A1064,'Semrush Data'!$A$1:$A$20000,0),MATCH("Intent",'Semrush Data'!$A$1:$Z$1,0)),"")</f>
        <v/>
      </c>
    </row>
    <row r="1065" customFormat="false" ht="15" hidden="false" customHeight="true" outlineLevel="0" collapsed="false">
      <c r="A1065" s="7" t="s">
        <v>4745</v>
      </c>
      <c r="B1065" s="7" t="s">
        <v>6814</v>
      </c>
      <c r="C1065" s="7" t="n">
        <v>2</v>
      </c>
      <c r="D1065" s="7" t="n">
        <v>11</v>
      </c>
      <c r="E1065" s="7" t="n">
        <v>1</v>
      </c>
      <c r="F1065" s="7" t="s">
        <v>4742</v>
      </c>
      <c r="G1065" s="12" t="str">
        <f aca="false">IFERROR(INDEX('Semrush Data'!$A$1:$Z$20000,MATCH(A1065,'Semrush Data'!$A$1:$A$20000,0),MATCH("Volume",'Semrush Data'!$A$1:$Z$1,0)),"")</f>
        <v/>
      </c>
      <c r="H1065" s="7" t="str">
        <f aca="false">IFERROR(INDEX('Semrush Data'!$A$1:$Z$20000,MATCH(A1065,'Semrush Data'!$A$1:$A$20000,0),MATCH("Keyword Difficulty*",'Semrush Data'!$A$1:$Z$1,0)),"")</f>
        <v/>
      </c>
      <c r="I1065" s="13" t="str">
        <f aca="false">IFERROR(INDEX('Semrush Data'!$A$1:$Z$20000,MATCH(A1065,'Semrush Data'!$A$1:$A$20000,0),MATCH("CPC*",'Semrush Data'!$A$1:$Z$1,0)),"")</f>
        <v/>
      </c>
      <c r="J1065" s="7" t="str">
        <f aca="false">IFERROR(INDEX('Semrush Data'!$A$1:$Z$20000,MATCH(A1065,'Semrush Data'!$A$1:$A$20000,0),MATCH("Intent",'Semrush Data'!$A$1:$Z$1,0)),"")</f>
        <v/>
      </c>
    </row>
    <row r="1066" customFormat="false" ht="15" hidden="false" customHeight="true" outlineLevel="0" collapsed="false">
      <c r="A1066" s="7" t="s">
        <v>4620</v>
      </c>
      <c r="B1066" s="7" t="s">
        <v>6814</v>
      </c>
      <c r="C1066" s="7" t="n">
        <v>2</v>
      </c>
      <c r="D1066" s="7" t="n">
        <v>11</v>
      </c>
      <c r="E1066" s="7" t="n">
        <v>1</v>
      </c>
      <c r="F1066" s="7" t="s">
        <v>4616</v>
      </c>
      <c r="G1066" s="12" t="str">
        <f aca="false">IFERROR(INDEX('Semrush Data'!$A$1:$Z$20000,MATCH(A1066,'Semrush Data'!$A$1:$A$20000,0),MATCH("Volume",'Semrush Data'!$A$1:$Z$1,0)),"")</f>
        <v/>
      </c>
      <c r="H1066" s="7" t="str">
        <f aca="false">IFERROR(INDEX('Semrush Data'!$A$1:$Z$20000,MATCH(A1066,'Semrush Data'!$A$1:$A$20000,0),MATCH("Keyword Difficulty*",'Semrush Data'!$A$1:$Z$1,0)),"")</f>
        <v/>
      </c>
      <c r="I1066" s="13" t="str">
        <f aca="false">IFERROR(INDEX('Semrush Data'!$A$1:$Z$20000,MATCH(A1066,'Semrush Data'!$A$1:$A$20000,0),MATCH("CPC*",'Semrush Data'!$A$1:$Z$1,0)),"")</f>
        <v/>
      </c>
      <c r="J1066" s="7" t="str">
        <f aca="false">IFERROR(INDEX('Semrush Data'!$A$1:$Z$20000,MATCH(A1066,'Semrush Data'!$A$1:$A$20000,0),MATCH("Intent",'Semrush Data'!$A$1:$Z$1,0)),"")</f>
        <v/>
      </c>
    </row>
    <row r="1067" customFormat="false" ht="15" hidden="false" customHeight="true" outlineLevel="0" collapsed="false">
      <c r="A1067" s="7" t="s">
        <v>4629</v>
      </c>
      <c r="B1067" s="7" t="s">
        <v>6814</v>
      </c>
      <c r="C1067" s="7" t="n">
        <v>2</v>
      </c>
      <c r="D1067" s="7" t="s">
        <v>6815</v>
      </c>
      <c r="E1067" s="7" t="n">
        <v>1</v>
      </c>
      <c r="F1067" s="7" t="s">
        <v>64</v>
      </c>
      <c r="G1067" s="12" t="n">
        <f aca="false">IFERROR(INDEX('Semrush Data'!$A$1:$Z$20000,MATCH(A1067,'Semrush Data'!$A$1:$A$20000,0),MATCH("Volume",'Semrush Data'!$A$1:$Z$1,0)),"")</f>
        <v>20</v>
      </c>
      <c r="H1067" s="7" t="n">
        <f aca="false">IFERROR(INDEX('Semrush Data'!$A$1:$Z$20000,MATCH(A1067,'Semrush Data'!$A$1:$A$20000,0),MATCH("Keyword Difficulty*",'Semrush Data'!$A$1:$Z$1,0)),"")</f>
        <v>13</v>
      </c>
      <c r="I1067" s="13" t="n">
        <f aca="false">IFERROR(INDEX('Semrush Data'!$A$1:$Z$20000,MATCH(A1067,'Semrush Data'!$A$1:$A$20000,0),MATCH("CPC*",'Semrush Data'!$A$1:$Z$1,0)),"")</f>
        <v>0</v>
      </c>
      <c r="J1067" s="7" t="str">
        <f aca="false">IFERROR(INDEX('Semrush Data'!$A$1:$Z$20000,MATCH(A1067,'Semrush Data'!$A$1:$A$20000,0),MATCH("Intent",'Semrush Data'!$A$1:$Z$1,0)),"")</f>
        <v>Informational Transactional</v>
      </c>
    </row>
    <row r="1068" customFormat="false" ht="15" hidden="false" customHeight="true" outlineLevel="0" collapsed="false">
      <c r="A1068" s="7" t="s">
        <v>4704</v>
      </c>
      <c r="B1068" s="7" t="s">
        <v>6814</v>
      </c>
      <c r="C1068" s="7" t="n">
        <v>2</v>
      </c>
      <c r="D1068" s="7" t="n">
        <v>11</v>
      </c>
      <c r="E1068" s="7" t="n">
        <v>1</v>
      </c>
      <c r="F1068" s="7" t="s">
        <v>4700</v>
      </c>
      <c r="G1068" s="12" t="str">
        <f aca="false">IFERROR(INDEX('Semrush Data'!$A$1:$Z$20000,MATCH(A1068,'Semrush Data'!$A$1:$A$20000,0),MATCH("Volume",'Semrush Data'!$A$1:$Z$1,0)),"")</f>
        <v/>
      </c>
      <c r="H1068" s="7" t="str">
        <f aca="false">IFERROR(INDEX('Semrush Data'!$A$1:$Z$20000,MATCH(A1068,'Semrush Data'!$A$1:$A$20000,0),MATCH("Keyword Difficulty*",'Semrush Data'!$A$1:$Z$1,0)),"")</f>
        <v/>
      </c>
      <c r="I1068" s="13" t="str">
        <f aca="false">IFERROR(INDEX('Semrush Data'!$A$1:$Z$20000,MATCH(A1068,'Semrush Data'!$A$1:$A$20000,0),MATCH("CPC*",'Semrush Data'!$A$1:$Z$1,0)),"")</f>
        <v/>
      </c>
      <c r="J1068" s="7" t="str">
        <f aca="false">IFERROR(INDEX('Semrush Data'!$A$1:$Z$20000,MATCH(A1068,'Semrush Data'!$A$1:$A$20000,0),MATCH("Intent",'Semrush Data'!$A$1:$Z$1,0)),"")</f>
        <v/>
      </c>
    </row>
    <row r="1069" customFormat="false" ht="15" hidden="false" customHeight="true" outlineLevel="0" collapsed="false">
      <c r="A1069" s="7" t="s">
        <v>4640</v>
      </c>
      <c r="B1069" s="7" t="s">
        <v>6814</v>
      </c>
      <c r="C1069" s="7" t="n">
        <v>2</v>
      </c>
      <c r="D1069" s="7" t="n">
        <v>11</v>
      </c>
      <c r="E1069" s="7" t="n">
        <v>1</v>
      </c>
      <c r="F1069" s="7" t="s">
        <v>4637</v>
      </c>
      <c r="G1069" s="12" t="str">
        <f aca="false">IFERROR(INDEX('Semrush Data'!$A$1:$Z$20000,MATCH(A1069,'Semrush Data'!$A$1:$A$20000,0),MATCH("Volume",'Semrush Data'!$A$1:$Z$1,0)),"")</f>
        <v/>
      </c>
      <c r="H1069" s="7" t="str">
        <f aca="false">IFERROR(INDEX('Semrush Data'!$A$1:$Z$20000,MATCH(A1069,'Semrush Data'!$A$1:$A$20000,0),MATCH("Keyword Difficulty*",'Semrush Data'!$A$1:$Z$1,0)),"")</f>
        <v/>
      </c>
      <c r="I1069" s="13" t="str">
        <f aca="false">IFERROR(INDEX('Semrush Data'!$A$1:$Z$20000,MATCH(A1069,'Semrush Data'!$A$1:$A$20000,0),MATCH("CPC*",'Semrush Data'!$A$1:$Z$1,0)),"")</f>
        <v/>
      </c>
      <c r="J1069" s="7" t="str">
        <f aca="false">IFERROR(INDEX('Semrush Data'!$A$1:$Z$20000,MATCH(A1069,'Semrush Data'!$A$1:$A$20000,0),MATCH("Intent",'Semrush Data'!$A$1:$Z$1,0)),"")</f>
        <v/>
      </c>
    </row>
    <row r="1070" customFormat="false" ht="15" hidden="false" customHeight="true" outlineLevel="0" collapsed="false">
      <c r="A1070" s="7" t="s">
        <v>4715</v>
      </c>
      <c r="B1070" s="7" t="s">
        <v>6814</v>
      </c>
      <c r="C1070" s="7" t="n">
        <v>2</v>
      </c>
      <c r="D1070" s="7" t="n">
        <v>11</v>
      </c>
      <c r="E1070" s="7" t="n">
        <v>1</v>
      </c>
      <c r="F1070" s="7" t="s">
        <v>4712</v>
      </c>
      <c r="G1070" s="12" t="str">
        <f aca="false">IFERROR(INDEX('Semrush Data'!$A$1:$Z$20000,MATCH(A1070,'Semrush Data'!$A$1:$A$20000,0),MATCH("Volume",'Semrush Data'!$A$1:$Z$1,0)),"")</f>
        <v/>
      </c>
      <c r="H1070" s="7" t="str">
        <f aca="false">IFERROR(INDEX('Semrush Data'!$A$1:$Z$20000,MATCH(A1070,'Semrush Data'!$A$1:$A$20000,0),MATCH("Keyword Difficulty*",'Semrush Data'!$A$1:$Z$1,0)),"")</f>
        <v/>
      </c>
      <c r="I1070" s="13" t="str">
        <f aca="false">IFERROR(INDEX('Semrush Data'!$A$1:$Z$20000,MATCH(A1070,'Semrush Data'!$A$1:$A$20000,0),MATCH("CPC*",'Semrush Data'!$A$1:$Z$1,0)),"")</f>
        <v/>
      </c>
      <c r="J1070" s="7" t="str">
        <f aca="false">IFERROR(INDEX('Semrush Data'!$A$1:$Z$20000,MATCH(A1070,'Semrush Data'!$A$1:$A$20000,0),MATCH("Intent",'Semrush Data'!$A$1:$Z$1,0)),"")</f>
        <v/>
      </c>
    </row>
    <row r="1071" customFormat="false" ht="15" hidden="false" customHeight="true" outlineLevel="0" collapsed="false">
      <c r="A1071" s="7" t="s">
        <v>4650</v>
      </c>
      <c r="B1071" s="7" t="s">
        <v>6814</v>
      </c>
      <c r="C1071" s="7" t="n">
        <v>2</v>
      </c>
      <c r="D1071" s="7" t="n">
        <v>11</v>
      </c>
      <c r="E1071" s="7" t="n">
        <v>1</v>
      </c>
      <c r="F1071" s="7" t="s">
        <v>4647</v>
      </c>
      <c r="G1071" s="12" t="str">
        <f aca="false">IFERROR(INDEX('Semrush Data'!$A$1:$Z$20000,MATCH(A1071,'Semrush Data'!$A$1:$A$20000,0),MATCH("Volume",'Semrush Data'!$A$1:$Z$1,0)),"")</f>
        <v/>
      </c>
      <c r="H1071" s="7" t="str">
        <f aca="false">IFERROR(INDEX('Semrush Data'!$A$1:$Z$20000,MATCH(A1071,'Semrush Data'!$A$1:$A$20000,0),MATCH("Keyword Difficulty*",'Semrush Data'!$A$1:$Z$1,0)),"")</f>
        <v/>
      </c>
      <c r="I1071" s="13" t="str">
        <f aca="false">IFERROR(INDEX('Semrush Data'!$A$1:$Z$20000,MATCH(A1071,'Semrush Data'!$A$1:$A$20000,0),MATCH("CPC*",'Semrush Data'!$A$1:$Z$1,0)),"")</f>
        <v/>
      </c>
      <c r="J1071" s="7" t="str">
        <f aca="false">IFERROR(INDEX('Semrush Data'!$A$1:$Z$20000,MATCH(A1071,'Semrush Data'!$A$1:$A$20000,0),MATCH("Intent",'Semrush Data'!$A$1:$Z$1,0)),"")</f>
        <v/>
      </c>
    </row>
    <row r="1072" customFormat="false" ht="15" hidden="false" customHeight="true" outlineLevel="0" collapsed="false">
      <c r="A1072" s="7" t="s">
        <v>4681</v>
      </c>
      <c r="B1072" s="7" t="s">
        <v>6814</v>
      </c>
      <c r="C1072" s="7" t="n">
        <v>2</v>
      </c>
      <c r="D1072" s="7" t="s">
        <v>6815</v>
      </c>
      <c r="E1072" s="7" t="n">
        <v>1</v>
      </c>
      <c r="F1072" s="7" t="s">
        <v>78</v>
      </c>
      <c r="G1072" s="12" t="n">
        <f aca="false">IFERROR(INDEX('Semrush Data'!$A$1:$Z$20000,MATCH(A1072,'Semrush Data'!$A$1:$A$20000,0),MATCH("Volume",'Semrush Data'!$A$1:$Z$1,0)),"")</f>
        <v>0</v>
      </c>
      <c r="H1072" s="7" t="n">
        <f aca="false">IFERROR(INDEX('Semrush Data'!$A$1:$Z$20000,MATCH(A1072,'Semrush Data'!$A$1:$A$20000,0),MATCH("Keyword Difficulty*",'Semrush Data'!$A$1:$Z$1,0)),"")</f>
        <v>28</v>
      </c>
      <c r="I1072" s="13" t="n">
        <f aca="false">IFERROR(INDEX('Semrush Data'!$A$1:$Z$20000,MATCH(A1072,'Semrush Data'!$A$1:$A$20000,0),MATCH("CPC*",'Semrush Data'!$A$1:$Z$1,0)),"")</f>
        <v>0</v>
      </c>
      <c r="J1072" s="7" t="str">
        <f aca="false">IFERROR(INDEX('Semrush Data'!$A$1:$Z$20000,MATCH(A1072,'Semrush Data'!$A$1:$A$20000,0),MATCH("Intent",'Semrush Data'!$A$1:$Z$1,0)),"")</f>
        <v>Navigational</v>
      </c>
    </row>
    <row r="1073" customFormat="false" ht="15" hidden="false" customHeight="true" outlineLevel="0" collapsed="false">
      <c r="A1073" s="7" t="s">
        <v>4660</v>
      </c>
      <c r="B1073" s="7" t="s">
        <v>6814</v>
      </c>
      <c r="C1073" s="7" t="n">
        <v>2</v>
      </c>
      <c r="D1073" s="7" t="s">
        <v>6815</v>
      </c>
      <c r="E1073" s="7" t="n">
        <v>1</v>
      </c>
      <c r="F1073" s="7" t="s">
        <v>56</v>
      </c>
      <c r="G1073" s="12" t="n">
        <f aca="false">IFERROR(INDEX('Semrush Data'!$A$1:$Z$20000,MATCH(A1073,'Semrush Data'!$A$1:$A$20000,0),MATCH("Volume",'Semrush Data'!$A$1:$Z$1,0)),"")</f>
        <v>20</v>
      </c>
      <c r="H1073" s="7" t="n">
        <f aca="false">IFERROR(INDEX('Semrush Data'!$A$1:$Z$20000,MATCH(A1073,'Semrush Data'!$A$1:$A$20000,0),MATCH("Keyword Difficulty*",'Semrush Data'!$A$1:$Z$1,0)),"")</f>
        <v>16</v>
      </c>
      <c r="I1073" s="13" t="n">
        <f aca="false">IFERROR(INDEX('Semrush Data'!$A$1:$Z$20000,MATCH(A1073,'Semrush Data'!$A$1:$A$20000,0),MATCH("CPC*",'Semrush Data'!$A$1:$Z$1,0)),"")</f>
        <v>0.47</v>
      </c>
      <c r="J1073" s="7" t="str">
        <f aca="false">IFERROR(INDEX('Semrush Data'!$A$1:$Z$20000,MATCH(A1073,'Semrush Data'!$A$1:$A$20000,0),MATCH("Intent",'Semrush Data'!$A$1:$Z$1,0)),"")</f>
        <v>Navigational</v>
      </c>
    </row>
    <row r="1074" customFormat="false" ht="15" hidden="false" customHeight="true" outlineLevel="0" collapsed="false">
      <c r="A1074" s="7" t="s">
        <v>4725</v>
      </c>
      <c r="B1074" s="7" t="s">
        <v>6814</v>
      </c>
      <c r="C1074" s="7" t="n">
        <v>2</v>
      </c>
      <c r="D1074" s="7" t="n">
        <v>11</v>
      </c>
      <c r="E1074" s="7" t="n">
        <v>1</v>
      </c>
      <c r="F1074" s="7" t="s">
        <v>4722</v>
      </c>
      <c r="G1074" s="12" t="str">
        <f aca="false">IFERROR(INDEX('Semrush Data'!$A$1:$Z$20000,MATCH(A1074,'Semrush Data'!$A$1:$A$20000,0),MATCH("Volume",'Semrush Data'!$A$1:$Z$1,0)),"")</f>
        <v/>
      </c>
      <c r="H1074" s="7" t="str">
        <f aca="false">IFERROR(INDEX('Semrush Data'!$A$1:$Z$20000,MATCH(A1074,'Semrush Data'!$A$1:$A$20000,0),MATCH("Keyword Difficulty*",'Semrush Data'!$A$1:$Z$1,0)),"")</f>
        <v/>
      </c>
      <c r="I1074" s="13" t="str">
        <f aca="false">IFERROR(INDEX('Semrush Data'!$A$1:$Z$20000,MATCH(A1074,'Semrush Data'!$A$1:$A$20000,0),MATCH("CPC*",'Semrush Data'!$A$1:$Z$1,0)),"")</f>
        <v/>
      </c>
      <c r="J1074" s="7" t="str">
        <f aca="false">IFERROR(INDEX('Semrush Data'!$A$1:$Z$20000,MATCH(A1074,'Semrush Data'!$A$1:$A$20000,0),MATCH("Intent",'Semrush Data'!$A$1:$Z$1,0)),"")</f>
        <v/>
      </c>
    </row>
    <row r="1075" customFormat="false" ht="15" hidden="false" customHeight="true" outlineLevel="0" collapsed="false">
      <c r="A1075" s="7" t="s">
        <v>4735</v>
      </c>
      <c r="B1075" s="7" t="s">
        <v>6814</v>
      </c>
      <c r="C1075" s="7" t="n">
        <v>2</v>
      </c>
      <c r="D1075" s="7" t="s">
        <v>6816</v>
      </c>
      <c r="E1075" s="7" t="n">
        <v>1</v>
      </c>
      <c r="F1075" s="7" t="s">
        <v>4732</v>
      </c>
      <c r="G1075" s="12" t="n">
        <f aca="false">IFERROR(INDEX('Semrush Data'!$A$1:$Z$20000,MATCH(A1075,'Semrush Data'!$A$1:$A$20000,0),MATCH("Volume",'Semrush Data'!$A$1:$Z$1,0)),"")</f>
        <v>0</v>
      </c>
      <c r="H1075" s="7" t="n">
        <f aca="false">IFERROR(INDEX('Semrush Data'!$A$1:$Z$20000,MATCH(A1075,'Semrush Data'!$A$1:$A$20000,0),MATCH("Keyword Difficulty*",'Semrush Data'!$A$1:$Z$1,0)),"")</f>
        <v>23</v>
      </c>
      <c r="I1075" s="13" t="n">
        <f aca="false">IFERROR(INDEX('Semrush Data'!$A$1:$Z$20000,MATCH(A1075,'Semrush Data'!$A$1:$A$20000,0),MATCH("CPC*",'Semrush Data'!$A$1:$Z$1,0)),"")</f>
        <v>0</v>
      </c>
      <c r="J1075" s="7" t="str">
        <f aca="false">IFERROR(INDEX('Semrush Data'!$A$1:$Z$20000,MATCH(A1075,'Semrush Data'!$A$1:$A$20000,0),MATCH("Intent",'Semrush Data'!$A$1:$Z$1,0)),"")</f>
        <v>Transactional Navigational</v>
      </c>
    </row>
    <row r="1076" customFormat="false" ht="15" hidden="false" customHeight="true" outlineLevel="0" collapsed="false">
      <c r="A1076" s="7" t="s">
        <v>4809</v>
      </c>
      <c r="B1076" s="7" t="s">
        <v>6814</v>
      </c>
      <c r="C1076" s="7" t="n">
        <v>2</v>
      </c>
      <c r="D1076" s="7" t="s">
        <v>6816</v>
      </c>
      <c r="E1076" s="7" t="n">
        <v>1</v>
      </c>
      <c r="F1076" s="7" t="s">
        <v>4806</v>
      </c>
      <c r="G1076" s="12" t="n">
        <f aca="false">IFERROR(INDEX('Semrush Data'!$A$1:$Z$20000,MATCH(A1076,'Semrush Data'!$A$1:$A$20000,0),MATCH("Volume",'Semrush Data'!$A$1:$Z$1,0)),"")</f>
        <v>0</v>
      </c>
      <c r="H1076" s="7" t="n">
        <f aca="false">IFERROR(INDEX('Semrush Data'!$A$1:$Z$20000,MATCH(A1076,'Semrush Data'!$A$1:$A$20000,0),MATCH("Keyword Difficulty*",'Semrush Data'!$A$1:$Z$1,0)),"")</f>
        <v>10</v>
      </c>
      <c r="I1076" s="13" t="n">
        <f aca="false">IFERROR(INDEX('Semrush Data'!$A$1:$Z$20000,MATCH(A1076,'Semrush Data'!$A$1:$A$20000,0),MATCH("CPC*",'Semrush Data'!$A$1:$Z$1,0)),"")</f>
        <v>0</v>
      </c>
      <c r="J1076" s="7" t="str">
        <f aca="false">IFERROR(INDEX('Semrush Data'!$A$1:$Z$20000,MATCH(A1076,'Semrush Data'!$A$1:$A$20000,0),MATCH("Intent",'Semrush Data'!$A$1:$Z$1,0)),"")</f>
        <v>Informational Transactional</v>
      </c>
    </row>
    <row r="1077" customFormat="false" ht="15" hidden="false" customHeight="true" outlineLevel="0" collapsed="false">
      <c r="A1077" s="7" t="s">
        <v>4755</v>
      </c>
      <c r="B1077" s="7" t="s">
        <v>6814</v>
      </c>
      <c r="C1077" s="7" t="n">
        <v>2</v>
      </c>
      <c r="D1077" s="7" t="s">
        <v>6815</v>
      </c>
      <c r="E1077" s="7" t="n">
        <v>1</v>
      </c>
      <c r="F1077" s="7" t="s">
        <v>122</v>
      </c>
      <c r="G1077" s="12" t="n">
        <f aca="false">IFERROR(INDEX('Semrush Data'!$A$1:$Z$20000,MATCH(A1077,'Semrush Data'!$A$1:$A$20000,0),MATCH("Volume",'Semrush Data'!$A$1:$Z$1,0)),"")</f>
        <v>0</v>
      </c>
      <c r="H1077" s="7" t="n">
        <f aca="false">IFERROR(INDEX('Semrush Data'!$A$1:$Z$20000,MATCH(A1077,'Semrush Data'!$A$1:$A$20000,0),MATCH("Keyword Difficulty*",'Semrush Data'!$A$1:$Z$1,0)),"")</f>
        <v>24</v>
      </c>
      <c r="I1077" s="13" t="n">
        <f aca="false">IFERROR(INDEX('Semrush Data'!$A$1:$Z$20000,MATCH(A1077,'Semrush Data'!$A$1:$A$20000,0),MATCH("CPC*",'Semrush Data'!$A$1:$Z$1,0)),"")</f>
        <v>0</v>
      </c>
      <c r="J1077" s="7" t="str">
        <f aca="false">IFERROR(INDEX('Semrush Data'!$A$1:$Z$20000,MATCH(A1077,'Semrush Data'!$A$1:$A$20000,0),MATCH("Intent",'Semrush Data'!$A$1:$Z$1,0)),"")</f>
        <v>Transactional Navigational</v>
      </c>
    </row>
    <row r="1078" customFormat="false" ht="15" hidden="false" customHeight="true" outlineLevel="0" collapsed="false">
      <c r="A1078" s="7" t="s">
        <v>4767</v>
      </c>
      <c r="B1078" s="7" t="s">
        <v>6814</v>
      </c>
      <c r="C1078" s="7" t="n">
        <v>2</v>
      </c>
      <c r="D1078" s="7" t="n">
        <v>11</v>
      </c>
      <c r="E1078" s="7" t="n">
        <v>1</v>
      </c>
      <c r="F1078" s="7" t="s">
        <v>4764</v>
      </c>
      <c r="G1078" s="12" t="str">
        <f aca="false">IFERROR(INDEX('Semrush Data'!$A$1:$Z$20000,MATCH(A1078,'Semrush Data'!$A$1:$A$20000,0),MATCH("Volume",'Semrush Data'!$A$1:$Z$1,0)),"")</f>
        <v/>
      </c>
      <c r="H1078" s="7" t="str">
        <f aca="false">IFERROR(INDEX('Semrush Data'!$A$1:$Z$20000,MATCH(A1078,'Semrush Data'!$A$1:$A$20000,0),MATCH("Keyword Difficulty*",'Semrush Data'!$A$1:$Z$1,0)),"")</f>
        <v/>
      </c>
      <c r="I1078" s="13" t="str">
        <f aca="false">IFERROR(INDEX('Semrush Data'!$A$1:$Z$20000,MATCH(A1078,'Semrush Data'!$A$1:$A$20000,0),MATCH("CPC*",'Semrush Data'!$A$1:$Z$1,0)),"")</f>
        <v/>
      </c>
      <c r="J1078" s="7" t="str">
        <f aca="false">IFERROR(INDEX('Semrush Data'!$A$1:$Z$20000,MATCH(A1078,'Semrush Data'!$A$1:$A$20000,0),MATCH("Intent",'Semrush Data'!$A$1:$Z$1,0)),"")</f>
        <v/>
      </c>
    </row>
    <row r="1079" customFormat="false" ht="15" hidden="false" customHeight="true" outlineLevel="0" collapsed="false">
      <c r="A1079" s="7" t="s">
        <v>4820</v>
      </c>
      <c r="B1079" s="7" t="s">
        <v>6814</v>
      </c>
      <c r="C1079" s="7" t="n">
        <v>2</v>
      </c>
      <c r="D1079" s="7" t="n">
        <v>11</v>
      </c>
      <c r="E1079" s="7" t="n">
        <v>1</v>
      </c>
      <c r="F1079" s="7" t="s">
        <v>4817</v>
      </c>
      <c r="G1079" s="12" t="str">
        <f aca="false">IFERROR(INDEX('Semrush Data'!$A$1:$Z$20000,MATCH(A1079,'Semrush Data'!$A$1:$A$20000,0),MATCH("Volume",'Semrush Data'!$A$1:$Z$1,0)),"")</f>
        <v/>
      </c>
      <c r="H1079" s="7" t="str">
        <f aca="false">IFERROR(INDEX('Semrush Data'!$A$1:$Z$20000,MATCH(A1079,'Semrush Data'!$A$1:$A$20000,0),MATCH("Keyword Difficulty*",'Semrush Data'!$A$1:$Z$1,0)),"")</f>
        <v/>
      </c>
      <c r="I1079" s="13" t="str">
        <f aca="false">IFERROR(INDEX('Semrush Data'!$A$1:$Z$20000,MATCH(A1079,'Semrush Data'!$A$1:$A$20000,0),MATCH("CPC*",'Semrush Data'!$A$1:$Z$1,0)),"")</f>
        <v/>
      </c>
      <c r="J1079" s="7" t="str">
        <f aca="false">IFERROR(INDEX('Semrush Data'!$A$1:$Z$20000,MATCH(A1079,'Semrush Data'!$A$1:$A$20000,0),MATCH("Intent",'Semrush Data'!$A$1:$Z$1,0)),"")</f>
        <v/>
      </c>
    </row>
    <row r="1080" customFormat="false" ht="15" hidden="false" customHeight="true" outlineLevel="0" collapsed="false">
      <c r="A1080" s="7" t="s">
        <v>4831</v>
      </c>
      <c r="B1080" s="7" t="s">
        <v>6814</v>
      </c>
      <c r="C1080" s="7" t="n">
        <v>2</v>
      </c>
      <c r="D1080" s="7" t="n">
        <v>11</v>
      </c>
      <c r="E1080" s="7" t="n">
        <v>1</v>
      </c>
      <c r="F1080" s="7" t="s">
        <v>4828</v>
      </c>
      <c r="G1080" s="12" t="str">
        <f aca="false">IFERROR(INDEX('Semrush Data'!$A$1:$Z$20000,MATCH(A1080,'Semrush Data'!$A$1:$A$20000,0),MATCH("Volume",'Semrush Data'!$A$1:$Z$1,0)),"")</f>
        <v/>
      </c>
      <c r="H1080" s="7" t="str">
        <f aca="false">IFERROR(INDEX('Semrush Data'!$A$1:$Z$20000,MATCH(A1080,'Semrush Data'!$A$1:$A$20000,0),MATCH("Keyword Difficulty*",'Semrush Data'!$A$1:$Z$1,0)),"")</f>
        <v/>
      </c>
      <c r="I1080" s="13" t="str">
        <f aca="false">IFERROR(INDEX('Semrush Data'!$A$1:$Z$20000,MATCH(A1080,'Semrush Data'!$A$1:$A$20000,0),MATCH("CPC*",'Semrush Data'!$A$1:$Z$1,0)),"")</f>
        <v/>
      </c>
      <c r="J1080" s="7" t="str">
        <f aca="false">IFERROR(INDEX('Semrush Data'!$A$1:$Z$20000,MATCH(A1080,'Semrush Data'!$A$1:$A$20000,0),MATCH("Intent",'Semrush Data'!$A$1:$Z$1,0)),"")</f>
        <v/>
      </c>
    </row>
    <row r="1081" customFormat="false" ht="15" hidden="false" customHeight="true" outlineLevel="0" collapsed="false">
      <c r="A1081" s="7" t="s">
        <v>4779</v>
      </c>
      <c r="B1081" s="7" t="s">
        <v>6814</v>
      </c>
      <c r="C1081" s="7" t="n">
        <v>2</v>
      </c>
      <c r="D1081" s="7" t="n">
        <v>11</v>
      </c>
      <c r="E1081" s="7" t="n">
        <v>1</v>
      </c>
      <c r="F1081" s="7" t="s">
        <v>4776</v>
      </c>
      <c r="G1081" s="12" t="str">
        <f aca="false">IFERROR(INDEX('Semrush Data'!$A$1:$Z$20000,MATCH(A1081,'Semrush Data'!$A$1:$A$20000,0),MATCH("Volume",'Semrush Data'!$A$1:$Z$1,0)),"")</f>
        <v/>
      </c>
      <c r="H1081" s="7" t="str">
        <f aca="false">IFERROR(INDEX('Semrush Data'!$A$1:$Z$20000,MATCH(A1081,'Semrush Data'!$A$1:$A$20000,0),MATCH("Keyword Difficulty*",'Semrush Data'!$A$1:$Z$1,0)),"")</f>
        <v/>
      </c>
      <c r="I1081" s="13" t="str">
        <f aca="false">IFERROR(INDEX('Semrush Data'!$A$1:$Z$20000,MATCH(A1081,'Semrush Data'!$A$1:$A$20000,0),MATCH("CPC*",'Semrush Data'!$A$1:$Z$1,0)),"")</f>
        <v/>
      </c>
      <c r="J1081" s="7" t="str">
        <f aca="false">IFERROR(INDEX('Semrush Data'!$A$1:$Z$20000,MATCH(A1081,'Semrush Data'!$A$1:$A$20000,0),MATCH("Intent",'Semrush Data'!$A$1:$Z$1,0)),"")</f>
        <v/>
      </c>
    </row>
    <row r="1082" customFormat="false" ht="15" hidden="false" customHeight="true" outlineLevel="0" collapsed="false">
      <c r="A1082" s="7" t="s">
        <v>4789</v>
      </c>
      <c r="B1082" s="7" t="s">
        <v>6814</v>
      </c>
      <c r="C1082" s="7" t="n">
        <v>2</v>
      </c>
      <c r="D1082" s="7" t="s">
        <v>6815</v>
      </c>
      <c r="E1082" s="7" t="n">
        <v>1</v>
      </c>
      <c r="F1082" s="7" t="s">
        <v>110</v>
      </c>
      <c r="G1082" s="12" t="n">
        <f aca="false">IFERROR(INDEX('Semrush Data'!$A$1:$Z$20000,MATCH(A1082,'Semrush Data'!$A$1:$A$20000,0),MATCH("Volume",'Semrush Data'!$A$1:$Z$1,0)),"")</f>
        <v>20</v>
      </c>
      <c r="H1082" s="7" t="n">
        <f aca="false">IFERROR(INDEX('Semrush Data'!$A$1:$Z$20000,MATCH(A1082,'Semrush Data'!$A$1:$A$20000,0),MATCH("Keyword Difficulty*",'Semrush Data'!$A$1:$Z$1,0)),"")</f>
        <v>16</v>
      </c>
      <c r="I1082" s="13" t="n">
        <f aca="false">IFERROR(INDEX('Semrush Data'!$A$1:$Z$20000,MATCH(A1082,'Semrush Data'!$A$1:$A$20000,0),MATCH("CPC*",'Semrush Data'!$A$1:$Z$1,0)),"")</f>
        <v>0</v>
      </c>
      <c r="J1082" s="7" t="str">
        <f aca="false">IFERROR(INDEX('Semrush Data'!$A$1:$Z$20000,MATCH(A1082,'Semrush Data'!$A$1:$A$20000,0),MATCH("Intent",'Semrush Data'!$A$1:$Z$1,0)),"")</f>
        <v>Navigational</v>
      </c>
    </row>
    <row r="1083" customFormat="false" ht="15" hidden="false" customHeight="true" outlineLevel="0" collapsed="false">
      <c r="A1083" s="7" t="s">
        <v>4798</v>
      </c>
      <c r="B1083" s="7" t="s">
        <v>6814</v>
      </c>
      <c r="C1083" s="7" t="n">
        <v>2</v>
      </c>
      <c r="D1083" s="7" t="s">
        <v>6815</v>
      </c>
      <c r="E1083" s="7" t="n">
        <v>1</v>
      </c>
      <c r="F1083" s="7" t="s">
        <v>124</v>
      </c>
      <c r="G1083" s="12" t="n">
        <f aca="false">IFERROR(INDEX('Semrush Data'!$A$1:$Z$20000,MATCH(A1083,'Semrush Data'!$A$1:$A$20000,0),MATCH("Volume",'Semrush Data'!$A$1:$Z$1,0)),"")</f>
        <v>0</v>
      </c>
      <c r="H1083" s="7" t="n">
        <f aca="false">IFERROR(INDEX('Semrush Data'!$A$1:$Z$20000,MATCH(A1083,'Semrush Data'!$A$1:$A$20000,0),MATCH("Keyword Difficulty*",'Semrush Data'!$A$1:$Z$1,0)),"")</f>
        <v>21</v>
      </c>
      <c r="I1083" s="13" t="n">
        <f aca="false">IFERROR(INDEX('Semrush Data'!$A$1:$Z$20000,MATCH(A1083,'Semrush Data'!$A$1:$A$20000,0),MATCH("CPC*",'Semrush Data'!$A$1:$Z$1,0)),"")</f>
        <v>0</v>
      </c>
      <c r="J1083" s="7" t="str">
        <f aca="false">IFERROR(INDEX('Semrush Data'!$A$1:$Z$20000,MATCH(A1083,'Semrush Data'!$A$1:$A$20000,0),MATCH("Intent",'Semrush Data'!$A$1:$Z$1,0)),"")</f>
        <v>Navigational</v>
      </c>
    </row>
    <row r="1084" customFormat="false" ht="15" hidden="false" customHeight="true" outlineLevel="0" collapsed="false">
      <c r="A1084" s="7" t="s">
        <v>4886</v>
      </c>
      <c r="B1084" s="7" t="s">
        <v>6814</v>
      </c>
      <c r="C1084" s="7" t="n">
        <v>2</v>
      </c>
      <c r="D1084" s="7" t="n">
        <v>11</v>
      </c>
      <c r="E1084" s="7" t="n">
        <v>2</v>
      </c>
      <c r="F1084" s="7" t="s">
        <v>6801</v>
      </c>
      <c r="G1084" s="12" t="str">
        <f aca="false">IFERROR(INDEX('Semrush Data'!$A$1:$Z$20000,MATCH(A1084,'Semrush Data'!$A$1:$A$20000,0),MATCH("Volume",'Semrush Data'!$A$1:$Z$1,0)),"")</f>
        <v/>
      </c>
      <c r="H1084" s="7" t="str">
        <f aca="false">IFERROR(INDEX('Semrush Data'!$A$1:$Z$20000,MATCH(A1084,'Semrush Data'!$A$1:$A$20000,0),MATCH("Keyword Difficulty*",'Semrush Data'!$A$1:$Z$1,0)),"")</f>
        <v/>
      </c>
      <c r="I1084" s="13" t="str">
        <f aca="false">IFERROR(INDEX('Semrush Data'!$A$1:$Z$20000,MATCH(A1084,'Semrush Data'!$A$1:$A$20000,0),MATCH("CPC*",'Semrush Data'!$A$1:$Z$1,0)),"")</f>
        <v/>
      </c>
      <c r="J1084" s="7" t="str">
        <f aca="false">IFERROR(INDEX('Semrush Data'!$A$1:$Z$20000,MATCH(A1084,'Semrush Data'!$A$1:$A$20000,0),MATCH("Intent",'Semrush Data'!$A$1:$Z$1,0)),"")</f>
        <v/>
      </c>
    </row>
    <row r="1085" customFormat="false" ht="15" hidden="false" customHeight="true" outlineLevel="0" collapsed="false">
      <c r="A1085" s="7" t="s">
        <v>4842</v>
      </c>
      <c r="B1085" s="7" t="s">
        <v>6814</v>
      </c>
      <c r="C1085" s="7" t="n">
        <v>2</v>
      </c>
      <c r="D1085" s="7" t="n">
        <v>11</v>
      </c>
      <c r="E1085" s="7" t="n">
        <v>2</v>
      </c>
      <c r="F1085" s="7" t="s">
        <v>6802</v>
      </c>
      <c r="G1085" s="12" t="str">
        <f aca="false">IFERROR(INDEX('Semrush Data'!$A$1:$Z$20000,MATCH(A1085,'Semrush Data'!$A$1:$A$20000,0),MATCH("Volume",'Semrush Data'!$A$1:$Z$1,0)),"")</f>
        <v/>
      </c>
      <c r="H1085" s="7" t="str">
        <f aca="false">IFERROR(INDEX('Semrush Data'!$A$1:$Z$20000,MATCH(A1085,'Semrush Data'!$A$1:$A$20000,0),MATCH("Keyword Difficulty*",'Semrush Data'!$A$1:$Z$1,0)),"")</f>
        <v/>
      </c>
      <c r="I1085" s="13" t="str">
        <f aca="false">IFERROR(INDEX('Semrush Data'!$A$1:$Z$20000,MATCH(A1085,'Semrush Data'!$A$1:$A$20000,0),MATCH("CPC*",'Semrush Data'!$A$1:$Z$1,0)),"")</f>
        <v/>
      </c>
      <c r="J1085" s="7" t="str">
        <f aca="false">IFERROR(INDEX('Semrush Data'!$A$1:$Z$20000,MATCH(A1085,'Semrush Data'!$A$1:$A$20000,0),MATCH("Intent",'Semrush Data'!$A$1:$Z$1,0)),"")</f>
        <v/>
      </c>
    </row>
    <row r="1086" customFormat="false" ht="15" hidden="false" customHeight="true" outlineLevel="0" collapsed="false">
      <c r="A1086" s="7" t="s">
        <v>4860</v>
      </c>
      <c r="B1086" s="7" t="s">
        <v>6814</v>
      </c>
      <c r="C1086" s="7" t="n">
        <v>2</v>
      </c>
      <c r="D1086" s="7" t="n">
        <v>11</v>
      </c>
      <c r="E1086" s="7" t="n">
        <v>1</v>
      </c>
      <c r="F1086" s="7" t="s">
        <v>4857</v>
      </c>
      <c r="G1086" s="12" t="str">
        <f aca="false">IFERROR(INDEX('Semrush Data'!$A$1:$Z$20000,MATCH(A1086,'Semrush Data'!$A$1:$A$20000,0),MATCH("Volume",'Semrush Data'!$A$1:$Z$1,0)),"")</f>
        <v/>
      </c>
      <c r="H1086" s="7" t="str">
        <f aca="false">IFERROR(INDEX('Semrush Data'!$A$1:$Z$20000,MATCH(A1086,'Semrush Data'!$A$1:$A$20000,0),MATCH("Keyword Difficulty*",'Semrush Data'!$A$1:$Z$1,0)),"")</f>
        <v/>
      </c>
      <c r="I1086" s="13" t="str">
        <f aca="false">IFERROR(INDEX('Semrush Data'!$A$1:$Z$20000,MATCH(A1086,'Semrush Data'!$A$1:$A$20000,0),MATCH("CPC*",'Semrush Data'!$A$1:$Z$1,0)),"")</f>
        <v/>
      </c>
      <c r="J1086" s="7" t="str">
        <f aca="false">IFERROR(INDEX('Semrush Data'!$A$1:$Z$20000,MATCH(A1086,'Semrush Data'!$A$1:$A$20000,0),MATCH("Intent",'Semrush Data'!$A$1:$Z$1,0)),"")</f>
        <v/>
      </c>
    </row>
    <row r="1087" customFormat="false" ht="15" hidden="false" customHeight="true" outlineLevel="0" collapsed="false">
      <c r="A1087" s="7" t="s">
        <v>4871</v>
      </c>
      <c r="B1087" s="7" t="s">
        <v>6814</v>
      </c>
      <c r="C1087" s="7" t="n">
        <v>2</v>
      </c>
      <c r="D1087" s="7" t="n">
        <v>11</v>
      </c>
      <c r="E1087" s="7" t="n">
        <v>2</v>
      </c>
      <c r="F1087" s="7" t="s">
        <v>6803</v>
      </c>
      <c r="G1087" s="12" t="str">
        <f aca="false">IFERROR(INDEX('Semrush Data'!$A$1:$Z$20000,MATCH(A1087,'Semrush Data'!$A$1:$A$20000,0),MATCH("Volume",'Semrush Data'!$A$1:$Z$1,0)),"")</f>
        <v/>
      </c>
      <c r="H1087" s="7" t="str">
        <f aca="false">IFERROR(INDEX('Semrush Data'!$A$1:$Z$20000,MATCH(A1087,'Semrush Data'!$A$1:$A$20000,0),MATCH("Keyword Difficulty*",'Semrush Data'!$A$1:$Z$1,0)),"")</f>
        <v/>
      </c>
      <c r="I1087" s="13" t="str">
        <f aca="false">IFERROR(INDEX('Semrush Data'!$A$1:$Z$20000,MATCH(A1087,'Semrush Data'!$A$1:$A$20000,0),MATCH("CPC*",'Semrush Data'!$A$1:$Z$1,0)),"")</f>
        <v/>
      </c>
      <c r="J1087" s="7" t="str">
        <f aca="false">IFERROR(INDEX('Semrush Data'!$A$1:$Z$20000,MATCH(A1087,'Semrush Data'!$A$1:$A$20000,0),MATCH("Intent",'Semrush Data'!$A$1:$Z$1,0)),"")</f>
        <v/>
      </c>
    </row>
    <row r="1088" customFormat="false" ht="15" hidden="false" customHeight="true" outlineLevel="0" collapsed="false">
      <c r="A1088" s="7" t="s">
        <v>4901</v>
      </c>
      <c r="B1088" s="7" t="s">
        <v>6814</v>
      </c>
      <c r="C1088" s="7" t="n">
        <v>2</v>
      </c>
      <c r="D1088" s="7" t="n">
        <v>11</v>
      </c>
      <c r="E1088" s="7" t="n">
        <v>1</v>
      </c>
      <c r="F1088" s="7" t="s">
        <v>4898</v>
      </c>
      <c r="G1088" s="12" t="str">
        <f aca="false">IFERROR(INDEX('Semrush Data'!$A$1:$Z$20000,MATCH(A1088,'Semrush Data'!$A$1:$A$20000,0),MATCH("Volume",'Semrush Data'!$A$1:$Z$1,0)),"")</f>
        <v/>
      </c>
      <c r="H1088" s="7" t="str">
        <f aca="false">IFERROR(INDEX('Semrush Data'!$A$1:$Z$20000,MATCH(A1088,'Semrush Data'!$A$1:$A$20000,0),MATCH("Keyword Difficulty*",'Semrush Data'!$A$1:$Z$1,0)),"")</f>
        <v/>
      </c>
      <c r="I1088" s="13" t="str">
        <f aca="false">IFERROR(INDEX('Semrush Data'!$A$1:$Z$20000,MATCH(A1088,'Semrush Data'!$A$1:$A$20000,0),MATCH("CPC*",'Semrush Data'!$A$1:$Z$1,0)),"")</f>
        <v/>
      </c>
      <c r="J1088" s="7" t="str">
        <f aca="false">IFERROR(INDEX('Semrush Data'!$A$1:$Z$20000,MATCH(A1088,'Semrush Data'!$A$1:$A$20000,0),MATCH("Intent",'Semrush Data'!$A$1:$Z$1,0)),"")</f>
        <v/>
      </c>
    </row>
    <row r="1089" customFormat="false" ht="15" hidden="false" customHeight="true" outlineLevel="0" collapsed="false">
      <c r="A1089" s="7" t="s">
        <v>4913</v>
      </c>
      <c r="B1089" s="7" t="s">
        <v>6814</v>
      </c>
      <c r="C1089" s="7" t="n">
        <v>2</v>
      </c>
      <c r="D1089" s="7" t="n">
        <v>11</v>
      </c>
      <c r="E1089" s="7" t="n">
        <v>1</v>
      </c>
      <c r="F1089" s="7" t="s">
        <v>4910</v>
      </c>
      <c r="G1089" s="12" t="str">
        <f aca="false">IFERROR(INDEX('Semrush Data'!$A$1:$Z$20000,MATCH(A1089,'Semrush Data'!$A$1:$A$20000,0),MATCH("Volume",'Semrush Data'!$A$1:$Z$1,0)),"")</f>
        <v/>
      </c>
      <c r="H1089" s="7" t="str">
        <f aca="false">IFERROR(INDEX('Semrush Data'!$A$1:$Z$20000,MATCH(A1089,'Semrush Data'!$A$1:$A$20000,0),MATCH("Keyword Difficulty*",'Semrush Data'!$A$1:$Z$1,0)),"")</f>
        <v/>
      </c>
      <c r="I1089" s="13" t="str">
        <f aca="false">IFERROR(INDEX('Semrush Data'!$A$1:$Z$20000,MATCH(A1089,'Semrush Data'!$A$1:$A$20000,0),MATCH("CPC*",'Semrush Data'!$A$1:$Z$1,0)),"")</f>
        <v/>
      </c>
      <c r="J1089" s="7" t="str">
        <f aca="false">IFERROR(INDEX('Semrush Data'!$A$1:$Z$20000,MATCH(A1089,'Semrush Data'!$A$1:$A$20000,0),MATCH("Intent",'Semrush Data'!$A$1:$Z$1,0)),"")</f>
        <v/>
      </c>
    </row>
    <row r="1090" customFormat="false" ht="15" hidden="false" customHeight="true" outlineLevel="0" collapsed="false">
      <c r="A1090" s="7" t="s">
        <v>4923</v>
      </c>
      <c r="B1090" s="7" t="s">
        <v>6814</v>
      </c>
      <c r="C1090" s="7" t="n">
        <v>2</v>
      </c>
      <c r="D1090" s="7" t="n">
        <v>11</v>
      </c>
      <c r="E1090" s="7" t="n">
        <v>1</v>
      </c>
      <c r="F1090" s="7" t="s">
        <v>4920</v>
      </c>
      <c r="G1090" s="12" t="str">
        <f aca="false">IFERROR(INDEX('Semrush Data'!$A$1:$Z$20000,MATCH(A1090,'Semrush Data'!$A$1:$A$20000,0),MATCH("Volume",'Semrush Data'!$A$1:$Z$1,0)),"")</f>
        <v/>
      </c>
      <c r="H1090" s="7" t="str">
        <f aca="false">IFERROR(INDEX('Semrush Data'!$A$1:$Z$20000,MATCH(A1090,'Semrush Data'!$A$1:$A$20000,0),MATCH("Keyword Difficulty*",'Semrush Data'!$A$1:$Z$1,0)),"")</f>
        <v/>
      </c>
      <c r="I1090" s="13" t="str">
        <f aca="false">IFERROR(INDEX('Semrush Data'!$A$1:$Z$20000,MATCH(A1090,'Semrush Data'!$A$1:$A$20000,0),MATCH("CPC*",'Semrush Data'!$A$1:$Z$1,0)),"")</f>
        <v/>
      </c>
      <c r="J1090" s="7" t="str">
        <f aca="false">IFERROR(INDEX('Semrush Data'!$A$1:$Z$20000,MATCH(A1090,'Semrush Data'!$A$1:$A$20000,0),MATCH("Intent",'Semrush Data'!$A$1:$Z$1,0)),"")</f>
        <v/>
      </c>
    </row>
    <row r="1091" customFormat="false" ht="15" hidden="false" customHeight="true" outlineLevel="0" collapsed="false">
      <c r="A1091" s="7" t="s">
        <v>4933</v>
      </c>
      <c r="B1091" s="7" t="s">
        <v>6814</v>
      </c>
      <c r="C1091" s="7" t="n">
        <v>2</v>
      </c>
      <c r="D1091" s="7" t="n">
        <v>11</v>
      </c>
      <c r="E1091" s="7" t="n">
        <v>2</v>
      </c>
      <c r="F1091" s="7" t="s">
        <v>6804</v>
      </c>
      <c r="G1091" s="12" t="str">
        <f aca="false">IFERROR(INDEX('Semrush Data'!$A$1:$Z$20000,MATCH(A1091,'Semrush Data'!$A$1:$A$20000,0),MATCH("Volume",'Semrush Data'!$A$1:$Z$1,0)),"")</f>
        <v/>
      </c>
      <c r="H1091" s="7" t="str">
        <f aca="false">IFERROR(INDEX('Semrush Data'!$A$1:$Z$20000,MATCH(A1091,'Semrush Data'!$A$1:$A$20000,0),MATCH("Keyword Difficulty*",'Semrush Data'!$A$1:$Z$1,0)),"")</f>
        <v/>
      </c>
      <c r="I1091" s="13" t="str">
        <f aca="false">IFERROR(INDEX('Semrush Data'!$A$1:$Z$20000,MATCH(A1091,'Semrush Data'!$A$1:$A$20000,0),MATCH("CPC*",'Semrush Data'!$A$1:$Z$1,0)),"")</f>
        <v/>
      </c>
      <c r="J1091" s="7" t="str">
        <f aca="false">IFERROR(INDEX('Semrush Data'!$A$1:$Z$20000,MATCH(A1091,'Semrush Data'!$A$1:$A$20000,0),MATCH("Intent",'Semrush Data'!$A$1:$Z$1,0)),"")</f>
        <v/>
      </c>
    </row>
    <row r="1092" customFormat="false" ht="15" hidden="false" customHeight="true" outlineLevel="0" collapsed="false">
      <c r="A1092" s="7" t="s">
        <v>4948</v>
      </c>
      <c r="B1092" s="7" t="s">
        <v>6814</v>
      </c>
      <c r="C1092" s="7" t="n">
        <v>2</v>
      </c>
      <c r="D1092" s="7" t="n">
        <v>11</v>
      </c>
      <c r="E1092" s="7" t="n">
        <v>2</v>
      </c>
      <c r="F1092" s="7" t="s">
        <v>6805</v>
      </c>
      <c r="G1092" s="12" t="str">
        <f aca="false">IFERROR(INDEX('Semrush Data'!$A$1:$Z$20000,MATCH(A1092,'Semrush Data'!$A$1:$A$20000,0),MATCH("Volume",'Semrush Data'!$A$1:$Z$1,0)),"")</f>
        <v/>
      </c>
      <c r="H1092" s="7" t="str">
        <f aca="false">IFERROR(INDEX('Semrush Data'!$A$1:$Z$20000,MATCH(A1092,'Semrush Data'!$A$1:$A$20000,0),MATCH("Keyword Difficulty*",'Semrush Data'!$A$1:$Z$1,0)),"")</f>
        <v/>
      </c>
      <c r="I1092" s="13" t="str">
        <f aca="false">IFERROR(INDEX('Semrush Data'!$A$1:$Z$20000,MATCH(A1092,'Semrush Data'!$A$1:$A$20000,0),MATCH("CPC*",'Semrush Data'!$A$1:$Z$1,0)),"")</f>
        <v/>
      </c>
      <c r="J1092" s="7" t="str">
        <f aca="false">IFERROR(INDEX('Semrush Data'!$A$1:$Z$20000,MATCH(A1092,'Semrush Data'!$A$1:$A$20000,0),MATCH("Intent",'Semrush Data'!$A$1:$Z$1,0)),"")</f>
        <v/>
      </c>
    </row>
    <row r="1093" customFormat="false" ht="15" hidden="false" customHeight="true" outlineLevel="0" collapsed="false">
      <c r="A1093" s="7" t="s">
        <v>4963</v>
      </c>
      <c r="B1093" s="7" t="s">
        <v>6814</v>
      </c>
      <c r="C1093" s="7" t="n">
        <v>2</v>
      </c>
      <c r="D1093" s="7" t="n">
        <v>11</v>
      </c>
      <c r="E1093" s="7" t="n">
        <v>2</v>
      </c>
      <c r="F1093" s="7" t="s">
        <v>6806</v>
      </c>
      <c r="G1093" s="12" t="str">
        <f aca="false">IFERROR(INDEX('Semrush Data'!$A$1:$Z$20000,MATCH(A1093,'Semrush Data'!$A$1:$A$20000,0),MATCH("Volume",'Semrush Data'!$A$1:$Z$1,0)),"")</f>
        <v/>
      </c>
      <c r="H1093" s="7" t="str">
        <f aca="false">IFERROR(INDEX('Semrush Data'!$A$1:$Z$20000,MATCH(A1093,'Semrush Data'!$A$1:$A$20000,0),MATCH("Keyword Difficulty*",'Semrush Data'!$A$1:$Z$1,0)),"")</f>
        <v/>
      </c>
      <c r="I1093" s="13" t="str">
        <f aca="false">IFERROR(INDEX('Semrush Data'!$A$1:$Z$20000,MATCH(A1093,'Semrush Data'!$A$1:$A$20000,0),MATCH("CPC*",'Semrush Data'!$A$1:$Z$1,0)),"")</f>
        <v/>
      </c>
      <c r="J1093" s="7" t="str">
        <f aca="false">IFERROR(INDEX('Semrush Data'!$A$1:$Z$20000,MATCH(A1093,'Semrush Data'!$A$1:$A$20000,0),MATCH("Intent",'Semrush Data'!$A$1:$Z$1,0)),"")</f>
        <v/>
      </c>
    </row>
    <row r="1094" customFormat="false" ht="15" hidden="false" customHeight="true" outlineLevel="0" collapsed="false">
      <c r="A1094" s="7" t="s">
        <v>4979</v>
      </c>
      <c r="B1094" s="7" t="s">
        <v>6814</v>
      </c>
      <c r="C1094" s="7" t="n">
        <v>2</v>
      </c>
      <c r="D1094" s="7" t="n">
        <v>11</v>
      </c>
      <c r="E1094" s="7" t="n">
        <v>2</v>
      </c>
      <c r="F1094" s="7" t="s">
        <v>6807</v>
      </c>
      <c r="G1094" s="12" t="str">
        <f aca="false">IFERROR(INDEX('Semrush Data'!$A$1:$Z$20000,MATCH(A1094,'Semrush Data'!$A$1:$A$20000,0),MATCH("Volume",'Semrush Data'!$A$1:$Z$1,0)),"")</f>
        <v/>
      </c>
      <c r="H1094" s="7" t="str">
        <f aca="false">IFERROR(INDEX('Semrush Data'!$A$1:$Z$20000,MATCH(A1094,'Semrush Data'!$A$1:$A$20000,0),MATCH("Keyword Difficulty*",'Semrush Data'!$A$1:$Z$1,0)),"")</f>
        <v/>
      </c>
      <c r="I1094" s="13" t="str">
        <f aca="false">IFERROR(INDEX('Semrush Data'!$A$1:$Z$20000,MATCH(A1094,'Semrush Data'!$A$1:$A$20000,0),MATCH("CPC*",'Semrush Data'!$A$1:$Z$1,0)),"")</f>
        <v/>
      </c>
      <c r="J1094" s="7" t="str">
        <f aca="false">IFERROR(INDEX('Semrush Data'!$A$1:$Z$20000,MATCH(A1094,'Semrush Data'!$A$1:$A$20000,0),MATCH("Intent",'Semrush Data'!$A$1:$Z$1,0)),"")</f>
        <v/>
      </c>
    </row>
    <row r="1095" customFormat="false" ht="15" hidden="false" customHeight="true" outlineLevel="0" collapsed="false">
      <c r="A1095" s="7" t="s">
        <v>4997</v>
      </c>
      <c r="B1095" s="7" t="s">
        <v>6814</v>
      </c>
      <c r="C1095" s="7" t="n">
        <v>2</v>
      </c>
      <c r="D1095" s="7" t="n">
        <v>11</v>
      </c>
      <c r="E1095" s="7" t="n">
        <v>1</v>
      </c>
      <c r="F1095" s="7" t="s">
        <v>4992</v>
      </c>
      <c r="G1095" s="12" t="str">
        <f aca="false">IFERROR(INDEX('Semrush Data'!$A$1:$Z$20000,MATCH(A1095,'Semrush Data'!$A$1:$A$20000,0),MATCH("Volume",'Semrush Data'!$A$1:$Z$1,0)),"")</f>
        <v/>
      </c>
      <c r="H1095" s="7" t="str">
        <f aca="false">IFERROR(INDEX('Semrush Data'!$A$1:$Z$20000,MATCH(A1095,'Semrush Data'!$A$1:$A$20000,0),MATCH("Keyword Difficulty*",'Semrush Data'!$A$1:$Z$1,0)),"")</f>
        <v/>
      </c>
      <c r="I1095" s="13" t="str">
        <f aca="false">IFERROR(INDEX('Semrush Data'!$A$1:$Z$20000,MATCH(A1095,'Semrush Data'!$A$1:$A$20000,0),MATCH("CPC*",'Semrush Data'!$A$1:$Z$1,0)),"")</f>
        <v/>
      </c>
      <c r="J1095" s="7" t="str">
        <f aca="false">IFERROR(INDEX('Semrush Data'!$A$1:$Z$20000,MATCH(A1095,'Semrush Data'!$A$1:$A$20000,0),MATCH("Intent",'Semrush Data'!$A$1:$Z$1,0)),"")</f>
        <v/>
      </c>
    </row>
    <row r="1096" customFormat="false" ht="15" hidden="false" customHeight="true" outlineLevel="0" collapsed="false">
      <c r="A1096" s="7" t="s">
        <v>5934</v>
      </c>
      <c r="B1096" s="7" t="s">
        <v>6814</v>
      </c>
      <c r="C1096" s="7" t="n">
        <v>2</v>
      </c>
      <c r="D1096" s="7" t="n">
        <v>11</v>
      </c>
      <c r="E1096" s="7" t="n">
        <v>1</v>
      </c>
      <c r="F1096" s="7" t="s">
        <v>5930</v>
      </c>
      <c r="G1096" s="12" t="str">
        <f aca="false">IFERROR(INDEX('Semrush Data'!$A$1:$Z$20000,MATCH(A1096,'Semrush Data'!$A$1:$A$20000,0),MATCH("Volume",'Semrush Data'!$A$1:$Z$1,0)),"")</f>
        <v/>
      </c>
      <c r="H1096" s="7" t="str">
        <f aca="false">IFERROR(INDEX('Semrush Data'!$A$1:$Z$20000,MATCH(A1096,'Semrush Data'!$A$1:$A$20000,0),MATCH("Keyword Difficulty*",'Semrush Data'!$A$1:$Z$1,0)),"")</f>
        <v/>
      </c>
      <c r="I1096" s="13" t="str">
        <f aca="false">IFERROR(INDEX('Semrush Data'!$A$1:$Z$20000,MATCH(A1096,'Semrush Data'!$A$1:$A$20000,0),MATCH("CPC*",'Semrush Data'!$A$1:$Z$1,0)),"")</f>
        <v/>
      </c>
      <c r="J1096" s="7" t="str">
        <f aca="false">IFERROR(INDEX('Semrush Data'!$A$1:$Z$20000,MATCH(A1096,'Semrush Data'!$A$1:$A$20000,0),MATCH("Intent",'Semrush Data'!$A$1:$Z$1,0)),"")</f>
        <v/>
      </c>
    </row>
    <row r="1097" customFormat="false" ht="15" hidden="false" customHeight="true" outlineLevel="0" collapsed="false">
      <c r="A1097" s="7" t="s">
        <v>5912</v>
      </c>
      <c r="B1097" s="7" t="s">
        <v>6814</v>
      </c>
      <c r="C1097" s="7" t="n">
        <v>2</v>
      </c>
      <c r="D1097" s="7" t="n">
        <v>11</v>
      </c>
      <c r="E1097" s="7" t="n">
        <v>1</v>
      </c>
      <c r="F1097" s="7" t="s">
        <v>5909</v>
      </c>
      <c r="G1097" s="12" t="str">
        <f aca="false">IFERROR(INDEX('Semrush Data'!$A$1:$Z$20000,MATCH(A1097,'Semrush Data'!$A$1:$A$20000,0),MATCH("Volume",'Semrush Data'!$A$1:$Z$1,0)),"")</f>
        <v/>
      </c>
      <c r="H1097" s="7" t="str">
        <f aca="false">IFERROR(INDEX('Semrush Data'!$A$1:$Z$20000,MATCH(A1097,'Semrush Data'!$A$1:$A$20000,0),MATCH("Keyword Difficulty*",'Semrush Data'!$A$1:$Z$1,0)),"")</f>
        <v/>
      </c>
      <c r="I1097" s="13" t="str">
        <f aca="false">IFERROR(INDEX('Semrush Data'!$A$1:$Z$20000,MATCH(A1097,'Semrush Data'!$A$1:$A$20000,0),MATCH("CPC*",'Semrush Data'!$A$1:$Z$1,0)),"")</f>
        <v/>
      </c>
      <c r="J1097" s="7" t="str">
        <f aca="false">IFERROR(INDEX('Semrush Data'!$A$1:$Z$20000,MATCH(A1097,'Semrush Data'!$A$1:$A$20000,0),MATCH("Intent",'Semrush Data'!$A$1:$Z$1,0)),"")</f>
        <v/>
      </c>
    </row>
    <row r="1098" customFormat="false" ht="15" hidden="false" customHeight="true" outlineLevel="0" collapsed="false">
      <c r="A1098" s="7" t="s">
        <v>5891</v>
      </c>
      <c r="B1098" s="7" t="s">
        <v>6814</v>
      </c>
      <c r="C1098" s="7" t="n">
        <v>2</v>
      </c>
      <c r="D1098" s="7" t="n">
        <v>11</v>
      </c>
      <c r="E1098" s="7" t="n">
        <v>1</v>
      </c>
      <c r="F1098" s="7" t="s">
        <v>5888</v>
      </c>
      <c r="G1098" s="12" t="str">
        <f aca="false">IFERROR(INDEX('Semrush Data'!$A$1:$Z$20000,MATCH(A1098,'Semrush Data'!$A$1:$A$20000,0),MATCH("Volume",'Semrush Data'!$A$1:$Z$1,0)),"")</f>
        <v/>
      </c>
      <c r="H1098" s="7" t="str">
        <f aca="false">IFERROR(INDEX('Semrush Data'!$A$1:$Z$20000,MATCH(A1098,'Semrush Data'!$A$1:$A$20000,0),MATCH("Keyword Difficulty*",'Semrush Data'!$A$1:$Z$1,0)),"")</f>
        <v/>
      </c>
      <c r="I1098" s="13" t="str">
        <f aca="false">IFERROR(INDEX('Semrush Data'!$A$1:$Z$20000,MATCH(A1098,'Semrush Data'!$A$1:$A$20000,0),MATCH("CPC*",'Semrush Data'!$A$1:$Z$1,0)),"")</f>
        <v/>
      </c>
      <c r="J1098" s="7" t="str">
        <f aca="false">IFERROR(INDEX('Semrush Data'!$A$1:$Z$20000,MATCH(A1098,'Semrush Data'!$A$1:$A$20000,0),MATCH("Intent",'Semrush Data'!$A$1:$Z$1,0)),"")</f>
        <v/>
      </c>
    </row>
    <row r="1099" customFormat="false" ht="15" hidden="false" customHeight="true" outlineLevel="0" collapsed="false">
      <c r="A1099" s="7" t="s">
        <v>5901</v>
      </c>
      <c r="B1099" s="7" t="s">
        <v>6814</v>
      </c>
      <c r="C1099" s="7" t="n">
        <v>2</v>
      </c>
      <c r="D1099" s="7" t="n">
        <v>11</v>
      </c>
      <c r="E1099" s="7" t="n">
        <v>1</v>
      </c>
      <c r="F1099" s="7" t="s">
        <v>5898</v>
      </c>
      <c r="G1099" s="12" t="str">
        <f aca="false">IFERROR(INDEX('Semrush Data'!$A$1:$Z$20000,MATCH(A1099,'Semrush Data'!$A$1:$A$20000,0),MATCH("Volume",'Semrush Data'!$A$1:$Z$1,0)),"")</f>
        <v/>
      </c>
      <c r="H1099" s="7" t="str">
        <f aca="false">IFERROR(INDEX('Semrush Data'!$A$1:$Z$20000,MATCH(A1099,'Semrush Data'!$A$1:$A$20000,0),MATCH("Keyword Difficulty*",'Semrush Data'!$A$1:$Z$1,0)),"")</f>
        <v/>
      </c>
      <c r="I1099" s="13" t="str">
        <f aca="false">IFERROR(INDEX('Semrush Data'!$A$1:$Z$20000,MATCH(A1099,'Semrush Data'!$A$1:$A$20000,0),MATCH("CPC*",'Semrush Data'!$A$1:$Z$1,0)),"")</f>
        <v/>
      </c>
      <c r="J1099" s="7" t="str">
        <f aca="false">IFERROR(INDEX('Semrush Data'!$A$1:$Z$20000,MATCH(A1099,'Semrush Data'!$A$1:$A$20000,0),MATCH("Intent",'Semrush Data'!$A$1:$Z$1,0)),"")</f>
        <v/>
      </c>
    </row>
    <row r="1100" customFormat="false" ht="15" hidden="false" customHeight="true" outlineLevel="0" collapsed="false">
      <c r="A1100" s="7" t="s">
        <v>5009</v>
      </c>
      <c r="B1100" s="7" t="s">
        <v>6814</v>
      </c>
      <c r="C1100" s="7" t="n">
        <v>2</v>
      </c>
      <c r="D1100" s="7" t="s">
        <v>6816</v>
      </c>
      <c r="E1100" s="7" t="n">
        <v>1</v>
      </c>
      <c r="F1100" s="7" t="s">
        <v>5005</v>
      </c>
      <c r="G1100" s="12" t="n">
        <f aca="false">IFERROR(INDEX('Semrush Data'!$A$1:$Z$20000,MATCH(A1100,'Semrush Data'!$A$1:$A$20000,0),MATCH("Volume",'Semrush Data'!$A$1:$Z$1,0)),"")</f>
        <v>0</v>
      </c>
      <c r="H1100" s="7" t="n">
        <f aca="false">IFERROR(INDEX('Semrush Data'!$A$1:$Z$20000,MATCH(A1100,'Semrush Data'!$A$1:$A$20000,0),MATCH("Keyword Difficulty*",'Semrush Data'!$A$1:$Z$1,0)),"")</f>
        <v>14</v>
      </c>
      <c r="I1100" s="13" t="n">
        <f aca="false">IFERROR(INDEX('Semrush Data'!$A$1:$Z$20000,MATCH(A1100,'Semrush Data'!$A$1:$A$20000,0),MATCH("CPC*",'Semrush Data'!$A$1:$Z$1,0)),"")</f>
        <v>0</v>
      </c>
      <c r="J1100" s="7" t="str">
        <f aca="false">IFERROR(INDEX('Semrush Data'!$A$1:$Z$20000,MATCH(A1100,'Semrush Data'!$A$1:$A$20000,0),MATCH("Intent",'Semrush Data'!$A$1:$Z$1,0)),"")</f>
        <v>Informational</v>
      </c>
    </row>
    <row r="1101" customFormat="false" ht="15" hidden="false" customHeight="true" outlineLevel="0" collapsed="false">
      <c r="A1101" s="7" t="s">
        <v>5061</v>
      </c>
      <c r="B1101" s="7" t="s">
        <v>6814</v>
      </c>
      <c r="C1101" s="7" t="n">
        <v>2</v>
      </c>
      <c r="D1101" s="7" t="s">
        <v>6815</v>
      </c>
      <c r="E1101" s="7" t="n">
        <v>1</v>
      </c>
      <c r="F1101" s="7" t="s">
        <v>104</v>
      </c>
      <c r="G1101" s="12" t="n">
        <f aca="false">IFERROR(INDEX('Semrush Data'!$A$1:$Z$20000,MATCH(A1101,'Semrush Data'!$A$1:$A$20000,0),MATCH("Volume",'Semrush Data'!$A$1:$Z$1,0)),"")</f>
        <v>0</v>
      </c>
      <c r="H1101" s="7" t="n">
        <f aca="false">IFERROR(INDEX('Semrush Data'!$A$1:$Z$20000,MATCH(A1101,'Semrush Data'!$A$1:$A$20000,0),MATCH("Keyword Difficulty*",'Semrush Data'!$A$1:$Z$1,0)),"")</f>
        <v>13</v>
      </c>
      <c r="I1101" s="13" t="n">
        <f aca="false">IFERROR(INDEX('Semrush Data'!$A$1:$Z$20000,MATCH(A1101,'Semrush Data'!$A$1:$A$20000,0),MATCH("CPC*",'Semrush Data'!$A$1:$Z$1,0)),"")</f>
        <v>0</v>
      </c>
      <c r="J1101" s="7" t="str">
        <f aca="false">IFERROR(INDEX('Semrush Data'!$A$1:$Z$20000,MATCH(A1101,'Semrush Data'!$A$1:$A$20000,0),MATCH("Intent",'Semrush Data'!$A$1:$Z$1,0)),"")</f>
        <v>Informational</v>
      </c>
    </row>
    <row r="1102" customFormat="false" ht="15" hidden="false" customHeight="true" outlineLevel="0" collapsed="false">
      <c r="A1102" s="7" t="s">
        <v>5043</v>
      </c>
      <c r="B1102" s="7" t="s">
        <v>6814</v>
      </c>
      <c r="C1102" s="7" t="n">
        <v>2</v>
      </c>
      <c r="D1102" s="7" t="n">
        <v>12</v>
      </c>
      <c r="E1102" s="7" t="n">
        <v>1</v>
      </c>
      <c r="F1102" s="7" t="s">
        <v>5040</v>
      </c>
      <c r="G1102" s="12" t="str">
        <f aca="false">IFERROR(INDEX('Semrush Data'!$A$1:$Z$20000,MATCH(A1102,'Semrush Data'!$A$1:$A$20000,0),MATCH("Volume",'Semrush Data'!$A$1:$Z$1,0)),"")</f>
        <v/>
      </c>
      <c r="H1102" s="7" t="str">
        <f aca="false">IFERROR(INDEX('Semrush Data'!$A$1:$Z$20000,MATCH(A1102,'Semrush Data'!$A$1:$A$20000,0),MATCH("Keyword Difficulty*",'Semrush Data'!$A$1:$Z$1,0)),"")</f>
        <v/>
      </c>
      <c r="I1102" s="13" t="str">
        <f aca="false">IFERROR(INDEX('Semrush Data'!$A$1:$Z$20000,MATCH(A1102,'Semrush Data'!$A$1:$A$20000,0),MATCH("CPC*",'Semrush Data'!$A$1:$Z$1,0)),"")</f>
        <v/>
      </c>
      <c r="J1102" s="7" t="str">
        <f aca="false">IFERROR(INDEX('Semrush Data'!$A$1:$Z$20000,MATCH(A1102,'Semrush Data'!$A$1:$A$20000,0),MATCH("Intent",'Semrush Data'!$A$1:$Z$1,0)),"")</f>
        <v/>
      </c>
    </row>
    <row r="1103" customFormat="false" ht="15" hidden="false" customHeight="true" outlineLevel="0" collapsed="false">
      <c r="A1103" s="7" t="s">
        <v>5021</v>
      </c>
      <c r="B1103" s="7" t="s">
        <v>6814</v>
      </c>
      <c r="C1103" s="7" t="n">
        <v>2</v>
      </c>
      <c r="D1103" s="7" t="s">
        <v>6815</v>
      </c>
      <c r="E1103" s="7" t="n">
        <v>1</v>
      </c>
      <c r="F1103" s="7" t="s">
        <v>62</v>
      </c>
      <c r="G1103" s="12" t="n">
        <f aca="false">IFERROR(INDEX('Semrush Data'!$A$1:$Z$20000,MATCH(A1103,'Semrush Data'!$A$1:$A$20000,0),MATCH("Volume",'Semrush Data'!$A$1:$Z$1,0)),"")</f>
        <v>20</v>
      </c>
      <c r="H1103" s="7" t="n">
        <f aca="false">IFERROR(INDEX('Semrush Data'!$A$1:$Z$20000,MATCH(A1103,'Semrush Data'!$A$1:$A$20000,0),MATCH("Keyword Difficulty*",'Semrush Data'!$A$1:$Z$1,0)),"")</f>
        <v>22</v>
      </c>
      <c r="I1103" s="13" t="n">
        <f aca="false">IFERROR(INDEX('Semrush Data'!$A$1:$Z$20000,MATCH(A1103,'Semrush Data'!$A$1:$A$20000,0),MATCH("CPC*",'Semrush Data'!$A$1:$Z$1,0)),"")</f>
        <v>0.29</v>
      </c>
      <c r="J1103" s="7" t="str">
        <f aca="false">IFERROR(INDEX('Semrush Data'!$A$1:$Z$20000,MATCH(A1103,'Semrush Data'!$A$1:$A$20000,0),MATCH("Intent",'Semrush Data'!$A$1:$Z$1,0)),"")</f>
        <v>Informational</v>
      </c>
    </row>
    <row r="1104" customFormat="false" ht="15" hidden="false" customHeight="true" outlineLevel="0" collapsed="false">
      <c r="A1104" s="7" t="s">
        <v>5052</v>
      </c>
      <c r="B1104" s="7" t="s">
        <v>6814</v>
      </c>
      <c r="C1104" s="7" t="n">
        <v>2</v>
      </c>
      <c r="D1104" s="7" t="s">
        <v>6815</v>
      </c>
      <c r="E1104" s="7" t="n">
        <v>1</v>
      </c>
      <c r="F1104" s="7" t="s">
        <v>86</v>
      </c>
      <c r="G1104" s="12" t="n">
        <f aca="false">IFERROR(INDEX('Semrush Data'!$A$1:$Z$20000,MATCH(A1104,'Semrush Data'!$A$1:$A$20000,0),MATCH("Volume",'Semrush Data'!$A$1:$Z$1,0)),"")</f>
        <v>0</v>
      </c>
      <c r="H1104" s="7" t="n">
        <f aca="false">IFERROR(INDEX('Semrush Data'!$A$1:$Z$20000,MATCH(A1104,'Semrush Data'!$A$1:$A$20000,0),MATCH("Keyword Difficulty*",'Semrush Data'!$A$1:$Z$1,0)),"")</f>
        <v>27</v>
      </c>
      <c r="I1104" s="13" t="n">
        <f aca="false">IFERROR(INDEX('Semrush Data'!$A$1:$Z$20000,MATCH(A1104,'Semrush Data'!$A$1:$A$20000,0),MATCH("CPC*",'Semrush Data'!$A$1:$Z$1,0)),"")</f>
        <v>0</v>
      </c>
      <c r="J1104" s="7" t="str">
        <f aca="false">IFERROR(INDEX('Semrush Data'!$A$1:$Z$20000,MATCH(A1104,'Semrush Data'!$A$1:$A$20000,0),MATCH("Intent",'Semrush Data'!$A$1:$Z$1,0)),"")</f>
        <v>Informational</v>
      </c>
    </row>
    <row r="1105" customFormat="false" ht="15" hidden="false" customHeight="true" outlineLevel="0" collapsed="false">
      <c r="A1105" s="7" t="s">
        <v>5032</v>
      </c>
      <c r="B1105" s="7" t="s">
        <v>6814</v>
      </c>
      <c r="C1105" s="7" t="n">
        <v>2</v>
      </c>
      <c r="D1105" s="7" t="n">
        <v>12</v>
      </c>
      <c r="E1105" s="7" t="n">
        <v>1</v>
      </c>
      <c r="F1105" s="7" t="s">
        <v>5029</v>
      </c>
      <c r="G1105" s="12" t="str">
        <f aca="false">IFERROR(INDEX('Semrush Data'!$A$1:$Z$20000,MATCH(A1105,'Semrush Data'!$A$1:$A$20000,0),MATCH("Volume",'Semrush Data'!$A$1:$Z$1,0)),"")</f>
        <v/>
      </c>
      <c r="H1105" s="7" t="str">
        <f aca="false">IFERROR(INDEX('Semrush Data'!$A$1:$Z$20000,MATCH(A1105,'Semrush Data'!$A$1:$A$20000,0),MATCH("Keyword Difficulty*",'Semrush Data'!$A$1:$Z$1,0)),"")</f>
        <v/>
      </c>
      <c r="I1105" s="13" t="str">
        <f aca="false">IFERROR(INDEX('Semrush Data'!$A$1:$Z$20000,MATCH(A1105,'Semrush Data'!$A$1:$A$20000,0),MATCH("CPC*",'Semrush Data'!$A$1:$Z$1,0)),"")</f>
        <v/>
      </c>
      <c r="J1105" s="7" t="str">
        <f aca="false">IFERROR(INDEX('Semrush Data'!$A$1:$Z$20000,MATCH(A1105,'Semrush Data'!$A$1:$A$20000,0),MATCH("Intent",'Semrush Data'!$A$1:$Z$1,0)),"")</f>
        <v/>
      </c>
    </row>
    <row r="1106" customFormat="false" ht="15" hidden="false" customHeight="true" outlineLevel="0" collapsed="false">
      <c r="A1106" s="7" t="s">
        <v>5087</v>
      </c>
      <c r="B1106" s="7" t="s">
        <v>6814</v>
      </c>
      <c r="C1106" s="7" t="n">
        <v>2</v>
      </c>
      <c r="D1106" s="7" t="n">
        <v>12</v>
      </c>
      <c r="E1106" s="7" t="n">
        <v>1</v>
      </c>
      <c r="F1106" s="7" t="s">
        <v>5083</v>
      </c>
      <c r="G1106" s="12" t="str">
        <f aca="false">IFERROR(INDEX('Semrush Data'!$A$1:$Z$20000,MATCH(A1106,'Semrush Data'!$A$1:$A$20000,0),MATCH("Volume",'Semrush Data'!$A$1:$Z$1,0)),"")</f>
        <v/>
      </c>
      <c r="H1106" s="7" t="str">
        <f aca="false">IFERROR(INDEX('Semrush Data'!$A$1:$Z$20000,MATCH(A1106,'Semrush Data'!$A$1:$A$20000,0),MATCH("Keyword Difficulty*",'Semrush Data'!$A$1:$Z$1,0)),"")</f>
        <v/>
      </c>
      <c r="I1106" s="13" t="str">
        <f aca="false">IFERROR(INDEX('Semrush Data'!$A$1:$Z$20000,MATCH(A1106,'Semrush Data'!$A$1:$A$20000,0),MATCH("CPC*",'Semrush Data'!$A$1:$Z$1,0)),"")</f>
        <v/>
      </c>
      <c r="J1106" s="7" t="str">
        <f aca="false">IFERROR(INDEX('Semrush Data'!$A$1:$Z$20000,MATCH(A1106,'Semrush Data'!$A$1:$A$20000,0),MATCH("Intent",'Semrush Data'!$A$1:$Z$1,0)),"")</f>
        <v/>
      </c>
    </row>
    <row r="1107" customFormat="false" ht="15" hidden="false" customHeight="true" outlineLevel="0" collapsed="false">
      <c r="A1107" s="7" t="s">
        <v>5074</v>
      </c>
      <c r="B1107" s="7" t="s">
        <v>6814</v>
      </c>
      <c r="C1107" s="7" t="n">
        <v>2</v>
      </c>
      <c r="D1107" s="7" t="n">
        <v>12</v>
      </c>
      <c r="E1107" s="7" t="n">
        <v>1</v>
      </c>
      <c r="F1107" s="7" t="s">
        <v>5069</v>
      </c>
      <c r="G1107" s="12" t="str">
        <f aca="false">IFERROR(INDEX('Semrush Data'!$A$1:$Z$20000,MATCH(A1107,'Semrush Data'!$A$1:$A$20000,0),MATCH("Volume",'Semrush Data'!$A$1:$Z$1,0)),"")</f>
        <v/>
      </c>
      <c r="H1107" s="7" t="str">
        <f aca="false">IFERROR(INDEX('Semrush Data'!$A$1:$Z$20000,MATCH(A1107,'Semrush Data'!$A$1:$A$20000,0),MATCH("Keyword Difficulty*",'Semrush Data'!$A$1:$Z$1,0)),"")</f>
        <v/>
      </c>
      <c r="I1107" s="13" t="str">
        <f aca="false">IFERROR(INDEX('Semrush Data'!$A$1:$Z$20000,MATCH(A1107,'Semrush Data'!$A$1:$A$20000,0),MATCH("CPC*",'Semrush Data'!$A$1:$Z$1,0)),"")</f>
        <v/>
      </c>
      <c r="J1107" s="7" t="str">
        <f aca="false">IFERROR(INDEX('Semrush Data'!$A$1:$Z$20000,MATCH(A1107,'Semrush Data'!$A$1:$A$20000,0),MATCH("Intent",'Semrush Data'!$A$1:$Z$1,0)),"")</f>
        <v/>
      </c>
    </row>
    <row r="1108" customFormat="false" ht="15" hidden="false" customHeight="true" outlineLevel="0" collapsed="false">
      <c r="A1108" s="7" t="s">
        <v>5100</v>
      </c>
      <c r="B1108" s="7" t="s">
        <v>6814</v>
      </c>
      <c r="C1108" s="7" t="n">
        <v>2</v>
      </c>
      <c r="D1108" s="7" t="n">
        <v>12</v>
      </c>
      <c r="E1108" s="7" t="n">
        <v>1</v>
      </c>
      <c r="F1108" s="7" t="s">
        <v>5095</v>
      </c>
      <c r="G1108" s="12" t="str">
        <f aca="false">IFERROR(INDEX('Semrush Data'!$A$1:$Z$20000,MATCH(A1108,'Semrush Data'!$A$1:$A$20000,0),MATCH("Volume",'Semrush Data'!$A$1:$Z$1,0)),"")</f>
        <v/>
      </c>
      <c r="H1108" s="7" t="str">
        <f aca="false">IFERROR(INDEX('Semrush Data'!$A$1:$Z$20000,MATCH(A1108,'Semrush Data'!$A$1:$A$20000,0),MATCH("Keyword Difficulty*",'Semrush Data'!$A$1:$Z$1,0)),"")</f>
        <v/>
      </c>
      <c r="I1108" s="13" t="str">
        <f aca="false">IFERROR(INDEX('Semrush Data'!$A$1:$Z$20000,MATCH(A1108,'Semrush Data'!$A$1:$A$20000,0),MATCH("CPC*",'Semrush Data'!$A$1:$Z$1,0)),"")</f>
        <v/>
      </c>
      <c r="J1108" s="7" t="str">
        <f aca="false">IFERROR(INDEX('Semrush Data'!$A$1:$Z$20000,MATCH(A1108,'Semrush Data'!$A$1:$A$20000,0),MATCH("Intent",'Semrush Data'!$A$1:$Z$1,0)),"")</f>
        <v/>
      </c>
    </row>
    <row r="1109" customFormat="false" ht="15" hidden="false" customHeight="true" outlineLevel="0" collapsed="false">
      <c r="A1109" s="7" t="s">
        <v>5111</v>
      </c>
      <c r="B1109" s="7" t="s">
        <v>6814</v>
      </c>
      <c r="C1109" s="7" t="n">
        <v>2</v>
      </c>
      <c r="D1109" s="7" t="n">
        <v>12</v>
      </c>
      <c r="E1109" s="7" t="n">
        <v>1</v>
      </c>
      <c r="F1109" s="7" t="s">
        <v>5108</v>
      </c>
      <c r="G1109" s="12" t="str">
        <f aca="false">IFERROR(INDEX('Semrush Data'!$A$1:$Z$20000,MATCH(A1109,'Semrush Data'!$A$1:$A$20000,0),MATCH("Volume",'Semrush Data'!$A$1:$Z$1,0)),"")</f>
        <v/>
      </c>
      <c r="H1109" s="7" t="str">
        <f aca="false">IFERROR(INDEX('Semrush Data'!$A$1:$Z$20000,MATCH(A1109,'Semrush Data'!$A$1:$A$20000,0),MATCH("Keyword Difficulty*",'Semrush Data'!$A$1:$Z$1,0)),"")</f>
        <v/>
      </c>
      <c r="I1109" s="13" t="str">
        <f aca="false">IFERROR(INDEX('Semrush Data'!$A$1:$Z$20000,MATCH(A1109,'Semrush Data'!$A$1:$A$20000,0),MATCH("CPC*",'Semrush Data'!$A$1:$Z$1,0)),"")</f>
        <v/>
      </c>
      <c r="J1109" s="7" t="str">
        <f aca="false">IFERROR(INDEX('Semrush Data'!$A$1:$Z$20000,MATCH(A1109,'Semrush Data'!$A$1:$A$20000,0),MATCH("Intent",'Semrush Data'!$A$1:$Z$1,0)),"")</f>
        <v/>
      </c>
    </row>
    <row r="1110" customFormat="false" ht="15" hidden="false" customHeight="true" outlineLevel="0" collapsed="false">
      <c r="A1110" s="7" t="s">
        <v>5123</v>
      </c>
      <c r="B1110" s="7" t="s">
        <v>6814</v>
      </c>
      <c r="C1110" s="7" t="n">
        <v>2</v>
      </c>
      <c r="D1110" s="7" t="n">
        <v>12</v>
      </c>
      <c r="E1110" s="7" t="n">
        <v>1</v>
      </c>
      <c r="F1110" s="7" t="s">
        <v>5118</v>
      </c>
      <c r="G1110" s="12" t="str">
        <f aca="false">IFERROR(INDEX('Semrush Data'!$A$1:$Z$20000,MATCH(A1110,'Semrush Data'!$A$1:$A$20000,0),MATCH("Volume",'Semrush Data'!$A$1:$Z$1,0)),"")</f>
        <v/>
      </c>
      <c r="H1110" s="7" t="str">
        <f aca="false">IFERROR(INDEX('Semrush Data'!$A$1:$Z$20000,MATCH(A1110,'Semrush Data'!$A$1:$A$20000,0),MATCH("Keyword Difficulty*",'Semrush Data'!$A$1:$Z$1,0)),"")</f>
        <v/>
      </c>
      <c r="I1110" s="13" t="str">
        <f aca="false">IFERROR(INDEX('Semrush Data'!$A$1:$Z$20000,MATCH(A1110,'Semrush Data'!$A$1:$A$20000,0),MATCH("CPC*",'Semrush Data'!$A$1:$Z$1,0)),"")</f>
        <v/>
      </c>
      <c r="J1110" s="7" t="str">
        <f aca="false">IFERROR(INDEX('Semrush Data'!$A$1:$Z$20000,MATCH(A1110,'Semrush Data'!$A$1:$A$20000,0),MATCH("Intent",'Semrush Data'!$A$1:$Z$1,0)),"")</f>
        <v/>
      </c>
    </row>
    <row r="1111" customFormat="false" ht="15" hidden="false" customHeight="true" outlineLevel="0" collapsed="false">
      <c r="A1111" s="7" t="s">
        <v>5133</v>
      </c>
      <c r="B1111" s="7" t="s">
        <v>6814</v>
      </c>
      <c r="C1111" s="7" t="n">
        <v>2</v>
      </c>
      <c r="D1111" s="7" t="n">
        <v>12</v>
      </c>
      <c r="E1111" s="7" t="n">
        <v>1</v>
      </c>
      <c r="F1111" s="7" t="s">
        <v>5130</v>
      </c>
      <c r="G1111" s="12" t="str">
        <f aca="false">IFERROR(INDEX('Semrush Data'!$A$1:$Z$20000,MATCH(A1111,'Semrush Data'!$A$1:$A$20000,0),MATCH("Volume",'Semrush Data'!$A$1:$Z$1,0)),"")</f>
        <v/>
      </c>
      <c r="H1111" s="7" t="str">
        <f aca="false">IFERROR(INDEX('Semrush Data'!$A$1:$Z$20000,MATCH(A1111,'Semrush Data'!$A$1:$A$20000,0),MATCH("Keyword Difficulty*",'Semrush Data'!$A$1:$Z$1,0)),"")</f>
        <v/>
      </c>
      <c r="I1111" s="13" t="str">
        <f aca="false">IFERROR(INDEX('Semrush Data'!$A$1:$Z$20000,MATCH(A1111,'Semrush Data'!$A$1:$A$20000,0),MATCH("CPC*",'Semrush Data'!$A$1:$Z$1,0)),"")</f>
        <v/>
      </c>
      <c r="J1111" s="7" t="str">
        <f aca="false">IFERROR(INDEX('Semrush Data'!$A$1:$Z$20000,MATCH(A1111,'Semrush Data'!$A$1:$A$20000,0),MATCH("Intent",'Semrush Data'!$A$1:$Z$1,0)),"")</f>
        <v/>
      </c>
    </row>
    <row r="1112" customFormat="false" ht="15" hidden="false" customHeight="true" outlineLevel="0" collapsed="false">
      <c r="A1112" s="7" t="s">
        <v>5143</v>
      </c>
      <c r="B1112" s="7" t="s">
        <v>6814</v>
      </c>
      <c r="C1112" s="7" t="n">
        <v>2</v>
      </c>
      <c r="D1112" s="7" t="s">
        <v>6815</v>
      </c>
      <c r="E1112" s="7" t="n">
        <v>1</v>
      </c>
      <c r="F1112" s="7" t="s">
        <v>5139</v>
      </c>
      <c r="G1112" s="12" t="n">
        <f aca="false">IFERROR(INDEX('Semrush Data'!$A$1:$Z$20000,MATCH(A1112,'Semrush Data'!$A$1:$A$20000,0),MATCH("Volume",'Semrush Data'!$A$1:$Z$1,0)),"")</f>
        <v>0</v>
      </c>
      <c r="H1112" s="7" t="n">
        <f aca="false">IFERROR(INDEX('Semrush Data'!$A$1:$Z$20000,MATCH(A1112,'Semrush Data'!$A$1:$A$20000,0),MATCH("Keyword Difficulty*",'Semrush Data'!$A$1:$Z$1,0)),"")</f>
        <v>13</v>
      </c>
      <c r="I1112" s="13" t="n">
        <f aca="false">IFERROR(INDEX('Semrush Data'!$A$1:$Z$20000,MATCH(A1112,'Semrush Data'!$A$1:$A$20000,0),MATCH("CPC*",'Semrush Data'!$A$1:$Z$1,0)),"")</f>
        <v>0</v>
      </c>
      <c r="J1112" s="7" t="str">
        <f aca="false">IFERROR(INDEX('Semrush Data'!$A$1:$Z$20000,MATCH(A1112,'Semrush Data'!$A$1:$A$20000,0),MATCH("Intent",'Semrush Data'!$A$1:$Z$1,0)),"")</f>
        <v>Informational</v>
      </c>
    </row>
    <row r="1113" customFormat="false" ht="15" hidden="false" customHeight="true" outlineLevel="0" collapsed="false">
      <c r="A1113" s="7" t="s">
        <v>5165</v>
      </c>
      <c r="B1113" s="7" t="s">
        <v>6814</v>
      </c>
      <c r="C1113" s="7" t="n">
        <v>2</v>
      </c>
      <c r="D1113" s="7" t="n">
        <v>12</v>
      </c>
      <c r="E1113" s="7" t="n">
        <v>1</v>
      </c>
      <c r="F1113" s="7" t="s">
        <v>5162</v>
      </c>
      <c r="G1113" s="12" t="str">
        <f aca="false">IFERROR(INDEX('Semrush Data'!$A$1:$Z$20000,MATCH(A1113,'Semrush Data'!$A$1:$A$20000,0),MATCH("Volume",'Semrush Data'!$A$1:$Z$1,0)),"")</f>
        <v/>
      </c>
      <c r="H1113" s="7" t="str">
        <f aca="false">IFERROR(INDEX('Semrush Data'!$A$1:$Z$20000,MATCH(A1113,'Semrush Data'!$A$1:$A$20000,0),MATCH("Keyword Difficulty*",'Semrush Data'!$A$1:$Z$1,0)),"")</f>
        <v/>
      </c>
      <c r="I1113" s="13" t="str">
        <f aca="false">IFERROR(INDEX('Semrush Data'!$A$1:$Z$20000,MATCH(A1113,'Semrush Data'!$A$1:$A$20000,0),MATCH("CPC*",'Semrush Data'!$A$1:$Z$1,0)),"")</f>
        <v/>
      </c>
      <c r="J1113" s="7" t="str">
        <f aca="false">IFERROR(INDEX('Semrush Data'!$A$1:$Z$20000,MATCH(A1113,'Semrush Data'!$A$1:$A$20000,0),MATCH("Intent",'Semrush Data'!$A$1:$Z$1,0)),"")</f>
        <v/>
      </c>
    </row>
    <row r="1114" customFormat="false" ht="15" hidden="false" customHeight="true" outlineLevel="0" collapsed="false">
      <c r="A1114" s="7" t="s">
        <v>5153</v>
      </c>
      <c r="B1114" s="7" t="s">
        <v>6814</v>
      </c>
      <c r="C1114" s="7" t="n">
        <v>2</v>
      </c>
      <c r="D1114" s="7" t="s">
        <v>6815</v>
      </c>
      <c r="E1114" s="7" t="n">
        <v>1</v>
      </c>
      <c r="F1114" s="7" t="s">
        <v>52</v>
      </c>
      <c r="G1114" s="12" t="n">
        <f aca="false">IFERROR(INDEX('Semrush Data'!$A$1:$Z$20000,MATCH(A1114,'Semrush Data'!$A$1:$A$20000,0),MATCH("Volume",'Semrush Data'!$A$1:$Z$1,0)),"")</f>
        <v>20</v>
      </c>
      <c r="H1114" s="7" t="n">
        <f aca="false">IFERROR(INDEX('Semrush Data'!$A$1:$Z$20000,MATCH(A1114,'Semrush Data'!$A$1:$A$20000,0),MATCH("Keyword Difficulty*",'Semrush Data'!$A$1:$Z$1,0)),"")</f>
        <v>15</v>
      </c>
      <c r="I1114" s="13" t="n">
        <f aca="false">IFERROR(INDEX('Semrush Data'!$A$1:$Z$20000,MATCH(A1114,'Semrush Data'!$A$1:$A$20000,0),MATCH("CPC*",'Semrush Data'!$A$1:$Z$1,0)),"")</f>
        <v>0</v>
      </c>
      <c r="J1114" s="7" t="str">
        <f aca="false">IFERROR(INDEX('Semrush Data'!$A$1:$Z$20000,MATCH(A1114,'Semrush Data'!$A$1:$A$20000,0),MATCH("Intent",'Semrush Data'!$A$1:$Z$1,0)),"")</f>
        <v>Informational Commercial</v>
      </c>
    </row>
    <row r="1115" customFormat="false" ht="15" hidden="false" customHeight="true" outlineLevel="0" collapsed="false">
      <c r="A1115" s="7" t="s">
        <v>5178</v>
      </c>
      <c r="B1115" s="7" t="s">
        <v>6814</v>
      </c>
      <c r="C1115" s="7" t="n">
        <v>2</v>
      </c>
      <c r="D1115" s="7" t="n">
        <v>12</v>
      </c>
      <c r="E1115" s="7" t="n">
        <v>3</v>
      </c>
      <c r="F1115" s="7" t="s">
        <v>6584</v>
      </c>
      <c r="G1115" s="12" t="str">
        <f aca="false">IFERROR(INDEX('Semrush Data'!$A$1:$Z$20000,MATCH(A1115,'Semrush Data'!$A$1:$A$20000,0),MATCH("Volume",'Semrush Data'!$A$1:$Z$1,0)),"")</f>
        <v/>
      </c>
      <c r="H1115" s="7" t="str">
        <f aca="false">IFERROR(INDEX('Semrush Data'!$A$1:$Z$20000,MATCH(A1115,'Semrush Data'!$A$1:$A$20000,0),MATCH("Keyword Difficulty*",'Semrush Data'!$A$1:$Z$1,0)),"")</f>
        <v/>
      </c>
      <c r="I1115" s="13" t="str">
        <f aca="false">IFERROR(INDEX('Semrush Data'!$A$1:$Z$20000,MATCH(A1115,'Semrush Data'!$A$1:$A$20000,0),MATCH("CPC*",'Semrush Data'!$A$1:$Z$1,0)),"")</f>
        <v/>
      </c>
      <c r="J1115" s="7" t="str">
        <f aca="false">IFERROR(INDEX('Semrush Data'!$A$1:$Z$20000,MATCH(A1115,'Semrush Data'!$A$1:$A$20000,0),MATCH("Intent",'Semrush Data'!$A$1:$Z$1,0)),"")</f>
        <v/>
      </c>
    </row>
    <row r="1116" customFormat="false" ht="15" hidden="false" customHeight="true" outlineLevel="0" collapsed="false">
      <c r="A1116" s="7" t="s">
        <v>5194</v>
      </c>
      <c r="B1116" s="7" t="s">
        <v>6814</v>
      </c>
      <c r="C1116" s="7" t="n">
        <v>2</v>
      </c>
      <c r="D1116" s="7" t="n">
        <v>12</v>
      </c>
      <c r="E1116" s="7" t="n">
        <v>1</v>
      </c>
      <c r="F1116" s="7" t="s">
        <v>5190</v>
      </c>
      <c r="G1116" s="12" t="str">
        <f aca="false">IFERROR(INDEX('Semrush Data'!$A$1:$Z$20000,MATCH(A1116,'Semrush Data'!$A$1:$A$20000,0),MATCH("Volume",'Semrush Data'!$A$1:$Z$1,0)),"")</f>
        <v/>
      </c>
      <c r="H1116" s="7" t="str">
        <f aca="false">IFERROR(INDEX('Semrush Data'!$A$1:$Z$20000,MATCH(A1116,'Semrush Data'!$A$1:$A$20000,0),MATCH("Keyword Difficulty*",'Semrush Data'!$A$1:$Z$1,0)),"")</f>
        <v/>
      </c>
      <c r="I1116" s="13" t="str">
        <f aca="false">IFERROR(INDEX('Semrush Data'!$A$1:$Z$20000,MATCH(A1116,'Semrush Data'!$A$1:$A$20000,0),MATCH("CPC*",'Semrush Data'!$A$1:$Z$1,0)),"")</f>
        <v/>
      </c>
      <c r="J1116" s="7" t="str">
        <f aca="false">IFERROR(INDEX('Semrush Data'!$A$1:$Z$20000,MATCH(A1116,'Semrush Data'!$A$1:$A$20000,0),MATCH("Intent",'Semrush Data'!$A$1:$Z$1,0)),"")</f>
        <v/>
      </c>
    </row>
    <row r="1117" customFormat="false" ht="15" hidden="false" customHeight="true" outlineLevel="0" collapsed="false">
      <c r="A1117" s="7" t="s">
        <v>5207</v>
      </c>
      <c r="B1117" s="7" t="s">
        <v>6814</v>
      </c>
      <c r="C1117" s="7" t="n">
        <v>2</v>
      </c>
      <c r="D1117" s="7" t="n">
        <v>12</v>
      </c>
      <c r="E1117" s="7" t="n">
        <v>1</v>
      </c>
      <c r="F1117" s="7" t="s">
        <v>5203</v>
      </c>
      <c r="G1117" s="12" t="str">
        <f aca="false">IFERROR(INDEX('Semrush Data'!$A$1:$Z$20000,MATCH(A1117,'Semrush Data'!$A$1:$A$20000,0),MATCH("Volume",'Semrush Data'!$A$1:$Z$1,0)),"")</f>
        <v/>
      </c>
      <c r="H1117" s="7" t="str">
        <f aca="false">IFERROR(INDEX('Semrush Data'!$A$1:$Z$20000,MATCH(A1117,'Semrush Data'!$A$1:$A$20000,0),MATCH("Keyword Difficulty*",'Semrush Data'!$A$1:$Z$1,0)),"")</f>
        <v/>
      </c>
      <c r="I1117" s="13" t="str">
        <f aca="false">IFERROR(INDEX('Semrush Data'!$A$1:$Z$20000,MATCH(A1117,'Semrush Data'!$A$1:$A$20000,0),MATCH("CPC*",'Semrush Data'!$A$1:$Z$1,0)),"")</f>
        <v/>
      </c>
      <c r="J1117" s="7" t="str">
        <f aca="false">IFERROR(INDEX('Semrush Data'!$A$1:$Z$20000,MATCH(A1117,'Semrush Data'!$A$1:$A$20000,0),MATCH("Intent",'Semrush Data'!$A$1:$Z$1,0)),"")</f>
        <v/>
      </c>
    </row>
    <row r="1118" customFormat="false" ht="15" hidden="false" customHeight="true" outlineLevel="0" collapsed="false">
      <c r="A1118" s="7" t="s">
        <v>5220</v>
      </c>
      <c r="B1118" s="7" t="s">
        <v>6814</v>
      </c>
      <c r="C1118" s="7" t="n">
        <v>2</v>
      </c>
      <c r="D1118" s="7" t="n">
        <v>12</v>
      </c>
      <c r="E1118" s="7" t="n">
        <v>1</v>
      </c>
      <c r="F1118" s="7" t="s">
        <v>5216</v>
      </c>
      <c r="G1118" s="12" t="str">
        <f aca="false">IFERROR(INDEX('Semrush Data'!$A$1:$Z$20000,MATCH(A1118,'Semrush Data'!$A$1:$A$20000,0),MATCH("Volume",'Semrush Data'!$A$1:$Z$1,0)),"")</f>
        <v/>
      </c>
      <c r="H1118" s="7" t="str">
        <f aca="false">IFERROR(INDEX('Semrush Data'!$A$1:$Z$20000,MATCH(A1118,'Semrush Data'!$A$1:$A$20000,0),MATCH("Keyword Difficulty*",'Semrush Data'!$A$1:$Z$1,0)),"")</f>
        <v/>
      </c>
      <c r="I1118" s="13" t="str">
        <f aca="false">IFERROR(INDEX('Semrush Data'!$A$1:$Z$20000,MATCH(A1118,'Semrush Data'!$A$1:$A$20000,0),MATCH("CPC*",'Semrush Data'!$A$1:$Z$1,0)),"")</f>
        <v/>
      </c>
      <c r="J1118" s="7" t="str">
        <f aca="false">IFERROR(INDEX('Semrush Data'!$A$1:$Z$20000,MATCH(A1118,'Semrush Data'!$A$1:$A$20000,0),MATCH("Intent",'Semrush Data'!$A$1:$Z$1,0)),"")</f>
        <v/>
      </c>
    </row>
    <row r="1119" customFormat="false" ht="15" hidden="false" customHeight="true" outlineLevel="0" collapsed="false">
      <c r="A1119" s="7" t="s">
        <v>5922</v>
      </c>
      <c r="B1119" s="7" t="s">
        <v>6814</v>
      </c>
      <c r="C1119" s="7" t="n">
        <v>2</v>
      </c>
      <c r="D1119" s="7" t="n">
        <v>12</v>
      </c>
      <c r="E1119" s="7" t="n">
        <v>1</v>
      </c>
      <c r="F1119" s="7" t="s">
        <v>5919</v>
      </c>
      <c r="G1119" s="12" t="str">
        <f aca="false">IFERROR(INDEX('Semrush Data'!$A$1:$Z$20000,MATCH(A1119,'Semrush Data'!$A$1:$A$20000,0),MATCH("Volume",'Semrush Data'!$A$1:$Z$1,0)),"")</f>
        <v/>
      </c>
      <c r="H1119" s="7" t="str">
        <f aca="false">IFERROR(INDEX('Semrush Data'!$A$1:$Z$20000,MATCH(A1119,'Semrush Data'!$A$1:$A$20000,0),MATCH("Keyword Difficulty*",'Semrush Data'!$A$1:$Z$1,0)),"")</f>
        <v/>
      </c>
      <c r="I1119" s="13" t="str">
        <f aca="false">IFERROR(INDEX('Semrush Data'!$A$1:$Z$20000,MATCH(A1119,'Semrush Data'!$A$1:$A$20000,0),MATCH("CPC*",'Semrush Data'!$A$1:$Z$1,0)),"")</f>
        <v/>
      </c>
      <c r="J1119" s="7" t="str">
        <f aca="false">IFERROR(INDEX('Semrush Data'!$A$1:$Z$20000,MATCH(A1119,'Semrush Data'!$A$1:$A$20000,0),MATCH("Intent",'Semrush Data'!$A$1:$Z$1,0)),"")</f>
        <v/>
      </c>
    </row>
    <row r="1120" customFormat="false" ht="15" hidden="false" customHeight="true" outlineLevel="0" collapsed="false">
      <c r="A1120" s="7" t="s">
        <v>5232</v>
      </c>
      <c r="B1120" s="7" t="s">
        <v>6814</v>
      </c>
      <c r="C1120" s="7" t="n">
        <v>2</v>
      </c>
      <c r="D1120" s="7" t="n">
        <v>12</v>
      </c>
      <c r="E1120" s="7" t="n">
        <v>1</v>
      </c>
      <c r="F1120" s="7" t="s">
        <v>5228</v>
      </c>
      <c r="G1120" s="12" t="str">
        <f aca="false">IFERROR(INDEX('Semrush Data'!$A$1:$Z$20000,MATCH(A1120,'Semrush Data'!$A$1:$A$20000,0),MATCH("Volume",'Semrush Data'!$A$1:$Z$1,0)),"")</f>
        <v/>
      </c>
      <c r="H1120" s="7" t="str">
        <f aca="false">IFERROR(INDEX('Semrush Data'!$A$1:$Z$20000,MATCH(A1120,'Semrush Data'!$A$1:$A$20000,0),MATCH("Keyword Difficulty*",'Semrush Data'!$A$1:$Z$1,0)),"")</f>
        <v/>
      </c>
      <c r="I1120" s="13" t="str">
        <f aca="false">IFERROR(INDEX('Semrush Data'!$A$1:$Z$20000,MATCH(A1120,'Semrush Data'!$A$1:$A$20000,0),MATCH("CPC*",'Semrush Data'!$A$1:$Z$1,0)),"")</f>
        <v/>
      </c>
      <c r="J1120" s="7" t="str">
        <f aca="false">IFERROR(INDEX('Semrush Data'!$A$1:$Z$20000,MATCH(A1120,'Semrush Data'!$A$1:$A$20000,0),MATCH("Intent",'Semrush Data'!$A$1:$Z$1,0)),"")</f>
        <v/>
      </c>
    </row>
    <row r="1121" customFormat="false" ht="15" hidden="false" customHeight="true" outlineLevel="0" collapsed="false">
      <c r="A1121" s="7" t="s">
        <v>5267</v>
      </c>
      <c r="B1121" s="7" t="s">
        <v>6814</v>
      </c>
      <c r="C1121" s="7" t="n">
        <v>2</v>
      </c>
      <c r="D1121" s="7" t="n">
        <v>12</v>
      </c>
      <c r="E1121" s="7" t="n">
        <v>1</v>
      </c>
      <c r="F1121" s="7" t="s">
        <v>5264</v>
      </c>
      <c r="G1121" s="12" t="str">
        <f aca="false">IFERROR(INDEX('Semrush Data'!$A$1:$Z$20000,MATCH(A1121,'Semrush Data'!$A$1:$A$20000,0),MATCH("Volume",'Semrush Data'!$A$1:$Z$1,0)),"")</f>
        <v/>
      </c>
      <c r="H1121" s="7" t="str">
        <f aca="false">IFERROR(INDEX('Semrush Data'!$A$1:$Z$20000,MATCH(A1121,'Semrush Data'!$A$1:$A$20000,0),MATCH("Keyword Difficulty*",'Semrush Data'!$A$1:$Z$1,0)),"")</f>
        <v/>
      </c>
      <c r="I1121" s="13" t="str">
        <f aca="false">IFERROR(INDEX('Semrush Data'!$A$1:$Z$20000,MATCH(A1121,'Semrush Data'!$A$1:$A$20000,0),MATCH("CPC*",'Semrush Data'!$A$1:$Z$1,0)),"")</f>
        <v/>
      </c>
      <c r="J1121" s="7" t="str">
        <f aca="false">IFERROR(INDEX('Semrush Data'!$A$1:$Z$20000,MATCH(A1121,'Semrush Data'!$A$1:$A$20000,0),MATCH("Intent",'Semrush Data'!$A$1:$Z$1,0)),"")</f>
        <v/>
      </c>
    </row>
    <row r="1122" customFormat="false" ht="15" hidden="false" customHeight="true" outlineLevel="0" collapsed="false">
      <c r="A1122" s="7" t="s">
        <v>5290</v>
      </c>
      <c r="B1122" s="7" t="s">
        <v>6814</v>
      </c>
      <c r="C1122" s="7" t="n">
        <v>2</v>
      </c>
      <c r="D1122" s="7" t="n">
        <v>12</v>
      </c>
      <c r="E1122" s="7" t="n">
        <v>1</v>
      </c>
      <c r="F1122" s="7" t="s">
        <v>5286</v>
      </c>
      <c r="G1122" s="12" t="str">
        <f aca="false">IFERROR(INDEX('Semrush Data'!$A$1:$Z$20000,MATCH(A1122,'Semrush Data'!$A$1:$A$20000,0),MATCH("Volume",'Semrush Data'!$A$1:$Z$1,0)),"")</f>
        <v/>
      </c>
      <c r="H1122" s="7" t="str">
        <f aca="false">IFERROR(INDEX('Semrush Data'!$A$1:$Z$20000,MATCH(A1122,'Semrush Data'!$A$1:$A$20000,0),MATCH("Keyword Difficulty*",'Semrush Data'!$A$1:$Z$1,0)),"")</f>
        <v/>
      </c>
      <c r="I1122" s="13" t="str">
        <f aca="false">IFERROR(INDEX('Semrush Data'!$A$1:$Z$20000,MATCH(A1122,'Semrush Data'!$A$1:$A$20000,0),MATCH("CPC*",'Semrush Data'!$A$1:$Z$1,0)),"")</f>
        <v/>
      </c>
      <c r="J1122" s="7" t="str">
        <f aca="false">IFERROR(INDEX('Semrush Data'!$A$1:$Z$20000,MATCH(A1122,'Semrush Data'!$A$1:$A$20000,0),MATCH("Intent",'Semrush Data'!$A$1:$Z$1,0)),"")</f>
        <v/>
      </c>
    </row>
    <row r="1123" customFormat="false" ht="15" hidden="false" customHeight="true" outlineLevel="0" collapsed="false">
      <c r="A1123" s="7" t="s">
        <v>5277</v>
      </c>
      <c r="B1123" s="7" t="s">
        <v>6814</v>
      </c>
      <c r="C1123" s="7" t="n">
        <v>2</v>
      </c>
      <c r="D1123" s="7" t="n">
        <v>12</v>
      </c>
      <c r="E1123" s="7" t="n">
        <v>1</v>
      </c>
      <c r="F1123" s="7" t="s">
        <v>5274</v>
      </c>
      <c r="G1123" s="12" t="str">
        <f aca="false">IFERROR(INDEX('Semrush Data'!$A$1:$Z$20000,MATCH(A1123,'Semrush Data'!$A$1:$A$20000,0),MATCH("Volume",'Semrush Data'!$A$1:$Z$1,0)),"")</f>
        <v/>
      </c>
      <c r="H1123" s="7" t="str">
        <f aca="false">IFERROR(INDEX('Semrush Data'!$A$1:$Z$20000,MATCH(A1123,'Semrush Data'!$A$1:$A$20000,0),MATCH("Keyword Difficulty*",'Semrush Data'!$A$1:$Z$1,0)),"")</f>
        <v/>
      </c>
      <c r="I1123" s="13" t="str">
        <f aca="false">IFERROR(INDEX('Semrush Data'!$A$1:$Z$20000,MATCH(A1123,'Semrush Data'!$A$1:$A$20000,0),MATCH("CPC*",'Semrush Data'!$A$1:$Z$1,0)),"")</f>
        <v/>
      </c>
      <c r="J1123" s="7" t="str">
        <f aca="false">IFERROR(INDEX('Semrush Data'!$A$1:$Z$20000,MATCH(A1123,'Semrush Data'!$A$1:$A$20000,0),MATCH("Intent",'Semrush Data'!$A$1:$Z$1,0)),"")</f>
        <v/>
      </c>
    </row>
    <row r="1124" customFormat="false" ht="15" hidden="false" customHeight="true" outlineLevel="0" collapsed="false">
      <c r="A1124" s="7" t="s">
        <v>5244</v>
      </c>
      <c r="B1124" s="7" t="s">
        <v>6814</v>
      </c>
      <c r="C1124" s="7" t="n">
        <v>2</v>
      </c>
      <c r="D1124" s="7" t="n">
        <v>12</v>
      </c>
      <c r="E1124" s="7" t="n">
        <v>1</v>
      </c>
      <c r="F1124" s="7" t="s">
        <v>5240</v>
      </c>
      <c r="G1124" s="12" t="str">
        <f aca="false">IFERROR(INDEX('Semrush Data'!$A$1:$Z$20000,MATCH(A1124,'Semrush Data'!$A$1:$A$20000,0),MATCH("Volume",'Semrush Data'!$A$1:$Z$1,0)),"")</f>
        <v/>
      </c>
      <c r="H1124" s="7" t="str">
        <f aca="false">IFERROR(INDEX('Semrush Data'!$A$1:$Z$20000,MATCH(A1124,'Semrush Data'!$A$1:$A$20000,0),MATCH("Keyword Difficulty*",'Semrush Data'!$A$1:$Z$1,0)),"")</f>
        <v/>
      </c>
      <c r="I1124" s="13" t="str">
        <f aca="false">IFERROR(INDEX('Semrush Data'!$A$1:$Z$20000,MATCH(A1124,'Semrush Data'!$A$1:$A$20000,0),MATCH("CPC*",'Semrush Data'!$A$1:$Z$1,0)),"")</f>
        <v/>
      </c>
      <c r="J1124" s="7" t="str">
        <f aca="false">IFERROR(INDEX('Semrush Data'!$A$1:$Z$20000,MATCH(A1124,'Semrush Data'!$A$1:$A$20000,0),MATCH("Intent",'Semrush Data'!$A$1:$Z$1,0)),"")</f>
        <v/>
      </c>
    </row>
    <row r="1125" customFormat="false" ht="15" hidden="false" customHeight="true" outlineLevel="0" collapsed="false">
      <c r="A1125" s="7" t="s">
        <v>5256</v>
      </c>
      <c r="B1125" s="7" t="s">
        <v>6814</v>
      </c>
      <c r="C1125" s="7" t="n">
        <v>2</v>
      </c>
      <c r="D1125" s="7" t="n">
        <v>12</v>
      </c>
      <c r="E1125" s="7" t="n">
        <v>1</v>
      </c>
      <c r="F1125" s="7" t="s">
        <v>5253</v>
      </c>
      <c r="G1125" s="12" t="str">
        <f aca="false">IFERROR(INDEX('Semrush Data'!$A$1:$Z$20000,MATCH(A1125,'Semrush Data'!$A$1:$A$20000,0),MATCH("Volume",'Semrush Data'!$A$1:$Z$1,0)),"")</f>
        <v/>
      </c>
      <c r="H1125" s="7" t="str">
        <f aca="false">IFERROR(INDEX('Semrush Data'!$A$1:$Z$20000,MATCH(A1125,'Semrush Data'!$A$1:$A$20000,0),MATCH("Keyword Difficulty*",'Semrush Data'!$A$1:$Z$1,0)),"")</f>
        <v/>
      </c>
      <c r="I1125" s="13" t="str">
        <f aca="false">IFERROR(INDEX('Semrush Data'!$A$1:$Z$20000,MATCH(A1125,'Semrush Data'!$A$1:$A$20000,0),MATCH("CPC*",'Semrush Data'!$A$1:$Z$1,0)),"")</f>
        <v/>
      </c>
      <c r="J1125" s="7" t="str">
        <f aca="false">IFERROR(INDEX('Semrush Data'!$A$1:$Z$20000,MATCH(A1125,'Semrush Data'!$A$1:$A$20000,0),MATCH("Intent",'Semrush Data'!$A$1:$Z$1,0)),"")</f>
        <v/>
      </c>
    </row>
    <row r="1126" customFormat="false" ht="15" hidden="false" customHeight="true" outlineLevel="0" collapsed="false">
      <c r="A1126" s="7" t="s">
        <v>5299</v>
      </c>
      <c r="B1126" s="7" t="s">
        <v>6814</v>
      </c>
      <c r="C1126" s="7" t="n">
        <v>2</v>
      </c>
      <c r="D1126" s="7" t="n">
        <v>12</v>
      </c>
      <c r="E1126" s="7" t="n">
        <v>1</v>
      </c>
      <c r="F1126" s="7" t="s">
        <v>5295</v>
      </c>
      <c r="G1126" s="12" t="str">
        <f aca="false">IFERROR(INDEX('Semrush Data'!$A$1:$Z$20000,MATCH(A1126,'Semrush Data'!$A$1:$A$20000,0),MATCH("Volume",'Semrush Data'!$A$1:$Z$1,0)),"")</f>
        <v/>
      </c>
      <c r="H1126" s="7" t="str">
        <f aca="false">IFERROR(INDEX('Semrush Data'!$A$1:$Z$20000,MATCH(A1126,'Semrush Data'!$A$1:$A$20000,0),MATCH("Keyword Difficulty*",'Semrush Data'!$A$1:$Z$1,0)),"")</f>
        <v/>
      </c>
      <c r="I1126" s="13" t="str">
        <f aca="false">IFERROR(INDEX('Semrush Data'!$A$1:$Z$20000,MATCH(A1126,'Semrush Data'!$A$1:$A$20000,0),MATCH("CPC*",'Semrush Data'!$A$1:$Z$1,0)),"")</f>
        <v/>
      </c>
      <c r="J1126" s="7" t="str">
        <f aca="false">IFERROR(INDEX('Semrush Data'!$A$1:$Z$20000,MATCH(A1126,'Semrush Data'!$A$1:$A$20000,0),MATCH("Intent",'Semrush Data'!$A$1:$Z$1,0)),"")</f>
        <v/>
      </c>
    </row>
    <row r="1127" customFormat="false" ht="15" hidden="false" customHeight="true" outlineLevel="0" collapsed="false">
      <c r="A1127" s="7" t="s">
        <v>5311</v>
      </c>
      <c r="B1127" s="7" t="s">
        <v>6814</v>
      </c>
      <c r="C1127" s="7" t="n">
        <v>2</v>
      </c>
      <c r="D1127" s="7" t="n">
        <v>12</v>
      </c>
      <c r="E1127" s="7" t="n">
        <v>1</v>
      </c>
      <c r="F1127" s="7" t="s">
        <v>5308</v>
      </c>
      <c r="G1127" s="12" t="str">
        <f aca="false">IFERROR(INDEX('Semrush Data'!$A$1:$Z$20000,MATCH(A1127,'Semrush Data'!$A$1:$A$20000,0),MATCH("Volume",'Semrush Data'!$A$1:$Z$1,0)),"")</f>
        <v/>
      </c>
      <c r="H1127" s="7" t="str">
        <f aca="false">IFERROR(INDEX('Semrush Data'!$A$1:$Z$20000,MATCH(A1127,'Semrush Data'!$A$1:$A$20000,0),MATCH("Keyword Difficulty*",'Semrush Data'!$A$1:$Z$1,0)),"")</f>
        <v/>
      </c>
      <c r="I1127" s="13" t="str">
        <f aca="false">IFERROR(INDEX('Semrush Data'!$A$1:$Z$20000,MATCH(A1127,'Semrush Data'!$A$1:$A$20000,0),MATCH("CPC*",'Semrush Data'!$A$1:$Z$1,0)),"")</f>
        <v/>
      </c>
      <c r="J1127" s="7" t="str">
        <f aca="false">IFERROR(INDEX('Semrush Data'!$A$1:$Z$20000,MATCH(A1127,'Semrush Data'!$A$1:$A$20000,0),MATCH("Intent",'Semrush Data'!$A$1:$Z$1,0)),"")</f>
        <v/>
      </c>
    </row>
    <row r="1128" customFormat="false" ht="15" hidden="false" customHeight="true" outlineLevel="0" collapsed="false">
      <c r="A1128" s="7" t="s">
        <v>5322</v>
      </c>
      <c r="B1128" s="7" t="s">
        <v>6814</v>
      </c>
      <c r="C1128" s="7" t="n">
        <v>2</v>
      </c>
      <c r="D1128" s="7" t="n">
        <v>12</v>
      </c>
      <c r="E1128" s="7" t="n">
        <v>1</v>
      </c>
      <c r="F1128" s="7" t="s">
        <v>5319</v>
      </c>
      <c r="G1128" s="12" t="str">
        <f aca="false">IFERROR(INDEX('Semrush Data'!$A$1:$Z$20000,MATCH(A1128,'Semrush Data'!$A$1:$A$20000,0),MATCH("Volume",'Semrush Data'!$A$1:$Z$1,0)),"")</f>
        <v/>
      </c>
      <c r="H1128" s="7" t="str">
        <f aca="false">IFERROR(INDEX('Semrush Data'!$A$1:$Z$20000,MATCH(A1128,'Semrush Data'!$A$1:$A$20000,0),MATCH("Keyword Difficulty*",'Semrush Data'!$A$1:$Z$1,0)),"")</f>
        <v/>
      </c>
      <c r="I1128" s="13" t="str">
        <f aca="false">IFERROR(INDEX('Semrush Data'!$A$1:$Z$20000,MATCH(A1128,'Semrush Data'!$A$1:$A$20000,0),MATCH("CPC*",'Semrush Data'!$A$1:$Z$1,0)),"")</f>
        <v/>
      </c>
      <c r="J1128" s="7" t="str">
        <f aca="false">IFERROR(INDEX('Semrush Data'!$A$1:$Z$20000,MATCH(A1128,'Semrush Data'!$A$1:$A$20000,0),MATCH("Intent",'Semrush Data'!$A$1:$Z$1,0)),"")</f>
        <v/>
      </c>
    </row>
    <row r="1129" customFormat="false" ht="15" hidden="false" customHeight="true" outlineLevel="0" collapsed="false">
      <c r="A1129" s="7" t="s">
        <v>5334</v>
      </c>
      <c r="B1129" s="7" t="s">
        <v>6814</v>
      </c>
      <c r="C1129" s="7" t="n">
        <v>2</v>
      </c>
      <c r="D1129" s="7" t="n">
        <v>12</v>
      </c>
      <c r="E1129" s="7" t="n">
        <v>1</v>
      </c>
      <c r="F1129" s="7" t="s">
        <v>5331</v>
      </c>
      <c r="G1129" s="12" t="str">
        <f aca="false">IFERROR(INDEX('Semrush Data'!$A$1:$Z$20000,MATCH(A1129,'Semrush Data'!$A$1:$A$20000,0),MATCH("Volume",'Semrush Data'!$A$1:$Z$1,0)),"")</f>
        <v/>
      </c>
      <c r="H1129" s="7" t="str">
        <f aca="false">IFERROR(INDEX('Semrush Data'!$A$1:$Z$20000,MATCH(A1129,'Semrush Data'!$A$1:$A$20000,0),MATCH("Keyword Difficulty*",'Semrush Data'!$A$1:$Z$1,0)),"")</f>
        <v/>
      </c>
      <c r="I1129" s="13" t="str">
        <f aca="false">IFERROR(INDEX('Semrush Data'!$A$1:$Z$20000,MATCH(A1129,'Semrush Data'!$A$1:$A$20000,0),MATCH("CPC*",'Semrush Data'!$A$1:$Z$1,0)),"")</f>
        <v/>
      </c>
      <c r="J1129" s="7" t="str">
        <f aca="false">IFERROR(INDEX('Semrush Data'!$A$1:$Z$20000,MATCH(A1129,'Semrush Data'!$A$1:$A$20000,0),MATCH("Intent",'Semrush Data'!$A$1:$Z$1,0)),"")</f>
        <v/>
      </c>
    </row>
    <row r="1130" customFormat="false" ht="15" hidden="false" customHeight="true" outlineLevel="0" collapsed="false">
      <c r="A1130" s="7" t="s">
        <v>5343</v>
      </c>
      <c r="B1130" s="7" t="s">
        <v>6814</v>
      </c>
      <c r="C1130" s="7" t="n">
        <v>2</v>
      </c>
      <c r="D1130" s="7" t="s">
        <v>6815</v>
      </c>
      <c r="E1130" s="7" t="n">
        <v>1</v>
      </c>
      <c r="F1130" s="7" t="s">
        <v>140</v>
      </c>
      <c r="G1130" s="12" t="n">
        <f aca="false">IFERROR(INDEX('Semrush Data'!$A$1:$Z$20000,MATCH(A1130,'Semrush Data'!$A$1:$A$20000,0),MATCH("Volume",'Semrush Data'!$A$1:$Z$1,0)),"")</f>
        <v>0</v>
      </c>
      <c r="H1130" s="7" t="n">
        <f aca="false">IFERROR(INDEX('Semrush Data'!$A$1:$Z$20000,MATCH(A1130,'Semrush Data'!$A$1:$A$20000,0),MATCH("Keyword Difficulty*",'Semrush Data'!$A$1:$Z$1,0)),"")</f>
        <v>16</v>
      </c>
      <c r="I1130" s="13" t="n">
        <f aca="false">IFERROR(INDEX('Semrush Data'!$A$1:$Z$20000,MATCH(A1130,'Semrush Data'!$A$1:$A$20000,0),MATCH("CPC*",'Semrush Data'!$A$1:$Z$1,0)),"")</f>
        <v>0</v>
      </c>
      <c r="J1130" s="7" t="str">
        <f aca="false">IFERROR(INDEX('Semrush Data'!$A$1:$Z$20000,MATCH(A1130,'Semrush Data'!$A$1:$A$20000,0),MATCH("Intent",'Semrush Data'!$A$1:$Z$1,0)),"")</f>
        <v>Navigational</v>
      </c>
    </row>
    <row r="1131" customFormat="false" ht="15" hidden="false" customHeight="true" outlineLevel="0" collapsed="false">
      <c r="A1131" s="7" t="s">
        <v>5355</v>
      </c>
      <c r="B1131" s="7" t="s">
        <v>6814</v>
      </c>
      <c r="C1131" s="7" t="n">
        <v>2</v>
      </c>
      <c r="D1131" s="7" t="n">
        <v>12</v>
      </c>
      <c r="E1131" s="7" t="n">
        <v>1</v>
      </c>
      <c r="F1131" s="7" t="s">
        <v>5352</v>
      </c>
      <c r="G1131" s="12" t="str">
        <f aca="false">IFERROR(INDEX('Semrush Data'!$A$1:$Z$20000,MATCH(A1131,'Semrush Data'!$A$1:$A$20000,0),MATCH("Volume",'Semrush Data'!$A$1:$Z$1,0)),"")</f>
        <v/>
      </c>
      <c r="H1131" s="7" t="str">
        <f aca="false">IFERROR(INDEX('Semrush Data'!$A$1:$Z$20000,MATCH(A1131,'Semrush Data'!$A$1:$A$20000,0),MATCH("Keyword Difficulty*",'Semrush Data'!$A$1:$Z$1,0)),"")</f>
        <v/>
      </c>
      <c r="I1131" s="13" t="str">
        <f aca="false">IFERROR(INDEX('Semrush Data'!$A$1:$Z$20000,MATCH(A1131,'Semrush Data'!$A$1:$A$20000,0),MATCH("CPC*",'Semrush Data'!$A$1:$Z$1,0)),"")</f>
        <v/>
      </c>
      <c r="J1131" s="7" t="str">
        <f aca="false">IFERROR(INDEX('Semrush Data'!$A$1:$Z$20000,MATCH(A1131,'Semrush Data'!$A$1:$A$20000,0),MATCH("Intent",'Semrush Data'!$A$1:$Z$1,0)),"")</f>
        <v/>
      </c>
    </row>
    <row r="1132" customFormat="false" ht="15" hidden="false" customHeight="true" outlineLevel="0" collapsed="false">
      <c r="A1132" s="7" t="s">
        <v>4407</v>
      </c>
      <c r="B1132" s="7" t="s">
        <v>6814</v>
      </c>
      <c r="C1132" s="7" t="n">
        <v>2</v>
      </c>
      <c r="D1132" s="7" t="n">
        <v>12</v>
      </c>
      <c r="E1132" s="7" t="n">
        <v>1</v>
      </c>
      <c r="F1132" s="7" t="s">
        <v>4404</v>
      </c>
      <c r="G1132" s="12" t="str">
        <f aca="false">IFERROR(INDEX('Semrush Data'!$A$1:$Z$20000,MATCH(A1132,'Semrush Data'!$A$1:$A$20000,0),MATCH("Volume",'Semrush Data'!$A$1:$Z$1,0)),"")</f>
        <v/>
      </c>
      <c r="H1132" s="7" t="str">
        <f aca="false">IFERROR(INDEX('Semrush Data'!$A$1:$Z$20000,MATCH(A1132,'Semrush Data'!$A$1:$A$20000,0),MATCH("Keyword Difficulty*",'Semrush Data'!$A$1:$Z$1,0)),"")</f>
        <v/>
      </c>
      <c r="I1132" s="13" t="str">
        <f aca="false">IFERROR(INDEX('Semrush Data'!$A$1:$Z$20000,MATCH(A1132,'Semrush Data'!$A$1:$A$20000,0),MATCH("CPC*",'Semrush Data'!$A$1:$Z$1,0)),"")</f>
        <v/>
      </c>
      <c r="J1132" s="7" t="str">
        <f aca="false">IFERROR(INDEX('Semrush Data'!$A$1:$Z$20000,MATCH(A1132,'Semrush Data'!$A$1:$A$20000,0),MATCH("Intent",'Semrush Data'!$A$1:$Z$1,0)),"")</f>
        <v/>
      </c>
    </row>
    <row r="1133" customFormat="false" ht="15" hidden="false" customHeight="true" outlineLevel="0" collapsed="false">
      <c r="A1133" s="7" t="s">
        <v>4417</v>
      </c>
      <c r="B1133" s="7" t="s">
        <v>6814</v>
      </c>
      <c r="C1133" s="7" t="n">
        <v>2</v>
      </c>
      <c r="D1133" s="7" t="n">
        <v>12</v>
      </c>
      <c r="E1133" s="7" t="n">
        <v>1</v>
      </c>
      <c r="F1133" s="7" t="s">
        <v>4414</v>
      </c>
      <c r="G1133" s="12" t="str">
        <f aca="false">IFERROR(INDEX('Semrush Data'!$A$1:$Z$20000,MATCH(A1133,'Semrush Data'!$A$1:$A$20000,0),MATCH("Volume",'Semrush Data'!$A$1:$Z$1,0)),"")</f>
        <v/>
      </c>
      <c r="H1133" s="7" t="str">
        <f aca="false">IFERROR(INDEX('Semrush Data'!$A$1:$Z$20000,MATCH(A1133,'Semrush Data'!$A$1:$A$20000,0),MATCH("Keyword Difficulty*",'Semrush Data'!$A$1:$Z$1,0)),"")</f>
        <v/>
      </c>
      <c r="I1133" s="13" t="str">
        <f aca="false">IFERROR(INDEX('Semrush Data'!$A$1:$Z$20000,MATCH(A1133,'Semrush Data'!$A$1:$A$20000,0),MATCH("CPC*",'Semrush Data'!$A$1:$Z$1,0)),"")</f>
        <v/>
      </c>
      <c r="J1133" s="7" t="str">
        <f aca="false">IFERROR(INDEX('Semrush Data'!$A$1:$Z$20000,MATCH(A1133,'Semrush Data'!$A$1:$A$20000,0),MATCH("Intent",'Semrush Data'!$A$1:$Z$1,0)),"")</f>
        <v/>
      </c>
    </row>
    <row r="1134" customFormat="false" ht="15" hidden="false" customHeight="true" outlineLevel="0" collapsed="false">
      <c r="A1134" s="7" t="s">
        <v>4428</v>
      </c>
      <c r="B1134" s="7" t="s">
        <v>6814</v>
      </c>
      <c r="C1134" s="7" t="n">
        <v>2</v>
      </c>
      <c r="D1134" s="7" t="n">
        <v>12</v>
      </c>
      <c r="E1134" s="7" t="n">
        <v>1</v>
      </c>
      <c r="F1134" s="7" t="s">
        <v>4425</v>
      </c>
      <c r="G1134" s="12" t="str">
        <f aca="false">IFERROR(INDEX('Semrush Data'!$A$1:$Z$20000,MATCH(A1134,'Semrush Data'!$A$1:$A$20000,0),MATCH("Volume",'Semrush Data'!$A$1:$Z$1,0)),"")</f>
        <v/>
      </c>
      <c r="H1134" s="7" t="str">
        <f aca="false">IFERROR(INDEX('Semrush Data'!$A$1:$Z$20000,MATCH(A1134,'Semrush Data'!$A$1:$A$20000,0),MATCH("Keyword Difficulty*",'Semrush Data'!$A$1:$Z$1,0)),"")</f>
        <v/>
      </c>
      <c r="I1134" s="13" t="str">
        <f aca="false">IFERROR(INDEX('Semrush Data'!$A$1:$Z$20000,MATCH(A1134,'Semrush Data'!$A$1:$A$20000,0),MATCH("CPC*",'Semrush Data'!$A$1:$Z$1,0)),"")</f>
        <v/>
      </c>
      <c r="J1134" s="7" t="str">
        <f aca="false">IFERROR(INDEX('Semrush Data'!$A$1:$Z$20000,MATCH(A1134,'Semrush Data'!$A$1:$A$20000,0),MATCH("Intent",'Semrush Data'!$A$1:$Z$1,0)),"")</f>
        <v/>
      </c>
    </row>
    <row r="1135" customFormat="false" ht="15" hidden="false" customHeight="true" outlineLevel="0" collapsed="false">
      <c r="A1135" s="7" t="s">
        <v>4438</v>
      </c>
      <c r="B1135" s="7" t="s">
        <v>6814</v>
      </c>
      <c r="C1135" s="7" t="n">
        <v>2</v>
      </c>
      <c r="D1135" s="7" t="n">
        <v>12</v>
      </c>
      <c r="E1135" s="7" t="n">
        <v>1</v>
      </c>
      <c r="F1135" s="7" t="s">
        <v>4435</v>
      </c>
      <c r="G1135" s="12" t="str">
        <f aca="false">IFERROR(INDEX('Semrush Data'!$A$1:$Z$20000,MATCH(A1135,'Semrush Data'!$A$1:$A$20000,0),MATCH("Volume",'Semrush Data'!$A$1:$Z$1,0)),"")</f>
        <v/>
      </c>
      <c r="H1135" s="7" t="str">
        <f aca="false">IFERROR(INDEX('Semrush Data'!$A$1:$Z$20000,MATCH(A1135,'Semrush Data'!$A$1:$A$20000,0),MATCH("Keyword Difficulty*",'Semrush Data'!$A$1:$Z$1,0)),"")</f>
        <v/>
      </c>
      <c r="I1135" s="13" t="str">
        <f aca="false">IFERROR(INDEX('Semrush Data'!$A$1:$Z$20000,MATCH(A1135,'Semrush Data'!$A$1:$A$20000,0),MATCH("CPC*",'Semrush Data'!$A$1:$Z$1,0)),"")</f>
        <v/>
      </c>
      <c r="J1135" s="7" t="str">
        <f aca="false">IFERROR(INDEX('Semrush Data'!$A$1:$Z$20000,MATCH(A1135,'Semrush Data'!$A$1:$A$20000,0),MATCH("Intent",'Semrush Data'!$A$1:$Z$1,0)),"")</f>
        <v/>
      </c>
    </row>
    <row r="1136" customFormat="false" ht="15" hidden="false" customHeight="true" outlineLevel="0" collapsed="false">
      <c r="A1136" s="7" t="s">
        <v>4448</v>
      </c>
      <c r="B1136" s="7" t="s">
        <v>6814</v>
      </c>
      <c r="C1136" s="7" t="n">
        <v>2</v>
      </c>
      <c r="D1136" s="7" t="n">
        <v>12</v>
      </c>
      <c r="E1136" s="7" t="n">
        <v>1</v>
      </c>
      <c r="F1136" s="7" t="s">
        <v>4445</v>
      </c>
      <c r="G1136" s="12" t="str">
        <f aca="false">IFERROR(INDEX('Semrush Data'!$A$1:$Z$20000,MATCH(A1136,'Semrush Data'!$A$1:$A$20000,0),MATCH("Volume",'Semrush Data'!$A$1:$Z$1,0)),"")</f>
        <v/>
      </c>
      <c r="H1136" s="7" t="str">
        <f aca="false">IFERROR(INDEX('Semrush Data'!$A$1:$Z$20000,MATCH(A1136,'Semrush Data'!$A$1:$A$20000,0),MATCH("Keyword Difficulty*",'Semrush Data'!$A$1:$Z$1,0)),"")</f>
        <v/>
      </c>
      <c r="I1136" s="13" t="str">
        <f aca="false">IFERROR(INDEX('Semrush Data'!$A$1:$Z$20000,MATCH(A1136,'Semrush Data'!$A$1:$A$20000,0),MATCH("CPC*",'Semrush Data'!$A$1:$Z$1,0)),"")</f>
        <v/>
      </c>
      <c r="J1136" s="7" t="str">
        <f aca="false">IFERROR(INDEX('Semrush Data'!$A$1:$Z$20000,MATCH(A1136,'Semrush Data'!$A$1:$A$20000,0),MATCH("Intent",'Semrush Data'!$A$1:$Z$1,0)),"")</f>
        <v/>
      </c>
    </row>
    <row r="1137" customFormat="false" ht="15" hidden="false" customHeight="true" outlineLevel="0" collapsed="false">
      <c r="A1137" s="7" t="s">
        <v>4458</v>
      </c>
      <c r="B1137" s="7" t="s">
        <v>6814</v>
      </c>
      <c r="C1137" s="7" t="n">
        <v>2</v>
      </c>
      <c r="D1137" s="7" t="n">
        <v>12</v>
      </c>
      <c r="E1137" s="7" t="n">
        <v>1</v>
      </c>
      <c r="F1137" s="7" t="s">
        <v>4455</v>
      </c>
      <c r="G1137" s="12" t="str">
        <f aca="false">IFERROR(INDEX('Semrush Data'!$A$1:$Z$20000,MATCH(A1137,'Semrush Data'!$A$1:$A$20000,0),MATCH("Volume",'Semrush Data'!$A$1:$Z$1,0)),"")</f>
        <v/>
      </c>
      <c r="H1137" s="7" t="str">
        <f aca="false">IFERROR(INDEX('Semrush Data'!$A$1:$Z$20000,MATCH(A1137,'Semrush Data'!$A$1:$A$20000,0),MATCH("Keyword Difficulty*",'Semrush Data'!$A$1:$Z$1,0)),"")</f>
        <v/>
      </c>
      <c r="I1137" s="13" t="str">
        <f aca="false">IFERROR(INDEX('Semrush Data'!$A$1:$Z$20000,MATCH(A1137,'Semrush Data'!$A$1:$A$20000,0),MATCH("CPC*",'Semrush Data'!$A$1:$Z$1,0)),"")</f>
        <v/>
      </c>
      <c r="J1137" s="7" t="str">
        <f aca="false">IFERROR(INDEX('Semrush Data'!$A$1:$Z$20000,MATCH(A1137,'Semrush Data'!$A$1:$A$20000,0),MATCH("Intent",'Semrush Data'!$A$1:$Z$1,0)),"")</f>
        <v/>
      </c>
    </row>
    <row r="1138" customFormat="false" ht="15" hidden="false" customHeight="true" outlineLevel="0" collapsed="false">
      <c r="A1138" s="7" t="s">
        <v>4468</v>
      </c>
      <c r="B1138" s="7" t="s">
        <v>6814</v>
      </c>
      <c r="C1138" s="7" t="n">
        <v>2</v>
      </c>
      <c r="D1138" s="7" t="n">
        <v>12</v>
      </c>
      <c r="E1138" s="7" t="n">
        <v>1</v>
      </c>
      <c r="F1138" s="7" t="s">
        <v>4465</v>
      </c>
      <c r="G1138" s="12" t="str">
        <f aca="false">IFERROR(INDEX('Semrush Data'!$A$1:$Z$20000,MATCH(A1138,'Semrush Data'!$A$1:$A$20000,0),MATCH("Volume",'Semrush Data'!$A$1:$Z$1,0)),"")</f>
        <v/>
      </c>
      <c r="H1138" s="7" t="str">
        <f aca="false">IFERROR(INDEX('Semrush Data'!$A$1:$Z$20000,MATCH(A1138,'Semrush Data'!$A$1:$A$20000,0),MATCH("Keyword Difficulty*",'Semrush Data'!$A$1:$Z$1,0)),"")</f>
        <v/>
      </c>
      <c r="I1138" s="13" t="str">
        <f aca="false">IFERROR(INDEX('Semrush Data'!$A$1:$Z$20000,MATCH(A1138,'Semrush Data'!$A$1:$A$20000,0),MATCH("CPC*",'Semrush Data'!$A$1:$Z$1,0)),"")</f>
        <v/>
      </c>
      <c r="J1138" s="7" t="str">
        <f aca="false">IFERROR(INDEX('Semrush Data'!$A$1:$Z$20000,MATCH(A1138,'Semrush Data'!$A$1:$A$20000,0),MATCH("Intent",'Semrush Data'!$A$1:$Z$1,0)),"")</f>
        <v/>
      </c>
    </row>
    <row r="1139" customFormat="false" ht="15" hidden="false" customHeight="true" outlineLevel="0" collapsed="false">
      <c r="A1139" s="7" t="s">
        <v>4479</v>
      </c>
      <c r="B1139" s="7" t="s">
        <v>6814</v>
      </c>
      <c r="C1139" s="7" t="n">
        <v>2</v>
      </c>
      <c r="D1139" s="7" t="n">
        <v>12</v>
      </c>
      <c r="E1139" s="7" t="n">
        <v>1</v>
      </c>
      <c r="F1139" s="7" t="s">
        <v>4476</v>
      </c>
      <c r="G1139" s="12" t="str">
        <f aca="false">IFERROR(INDEX('Semrush Data'!$A$1:$Z$20000,MATCH(A1139,'Semrush Data'!$A$1:$A$20000,0),MATCH("Volume",'Semrush Data'!$A$1:$Z$1,0)),"")</f>
        <v/>
      </c>
      <c r="H1139" s="7" t="str">
        <f aca="false">IFERROR(INDEX('Semrush Data'!$A$1:$Z$20000,MATCH(A1139,'Semrush Data'!$A$1:$A$20000,0),MATCH("Keyword Difficulty*",'Semrush Data'!$A$1:$Z$1,0)),"")</f>
        <v/>
      </c>
      <c r="I1139" s="13" t="str">
        <f aca="false">IFERROR(INDEX('Semrush Data'!$A$1:$Z$20000,MATCH(A1139,'Semrush Data'!$A$1:$A$20000,0),MATCH("CPC*",'Semrush Data'!$A$1:$Z$1,0)),"")</f>
        <v/>
      </c>
      <c r="J1139" s="7" t="str">
        <f aca="false">IFERROR(INDEX('Semrush Data'!$A$1:$Z$20000,MATCH(A1139,'Semrush Data'!$A$1:$A$20000,0),MATCH("Intent",'Semrush Data'!$A$1:$Z$1,0)),"")</f>
        <v/>
      </c>
    </row>
    <row r="1140" customFormat="false" ht="15" hidden="false" customHeight="true" outlineLevel="0" collapsed="false">
      <c r="A1140" s="7" t="s">
        <v>4489</v>
      </c>
      <c r="B1140" s="7" t="s">
        <v>6814</v>
      </c>
      <c r="C1140" s="7" t="n">
        <v>2</v>
      </c>
      <c r="D1140" s="7" t="n">
        <v>12</v>
      </c>
      <c r="E1140" s="7" t="n">
        <v>1</v>
      </c>
      <c r="F1140" s="7" t="s">
        <v>4486</v>
      </c>
      <c r="G1140" s="12" t="str">
        <f aca="false">IFERROR(INDEX('Semrush Data'!$A$1:$Z$20000,MATCH(A1140,'Semrush Data'!$A$1:$A$20000,0),MATCH("Volume",'Semrush Data'!$A$1:$Z$1,0)),"")</f>
        <v/>
      </c>
      <c r="H1140" s="7" t="str">
        <f aca="false">IFERROR(INDEX('Semrush Data'!$A$1:$Z$20000,MATCH(A1140,'Semrush Data'!$A$1:$A$20000,0),MATCH("Keyword Difficulty*",'Semrush Data'!$A$1:$Z$1,0)),"")</f>
        <v/>
      </c>
      <c r="I1140" s="13" t="str">
        <f aca="false">IFERROR(INDEX('Semrush Data'!$A$1:$Z$20000,MATCH(A1140,'Semrush Data'!$A$1:$A$20000,0),MATCH("CPC*",'Semrush Data'!$A$1:$Z$1,0)),"")</f>
        <v/>
      </c>
      <c r="J1140" s="7" t="str">
        <f aca="false">IFERROR(INDEX('Semrush Data'!$A$1:$Z$20000,MATCH(A1140,'Semrush Data'!$A$1:$A$20000,0),MATCH("Intent",'Semrush Data'!$A$1:$Z$1,0)),"")</f>
        <v/>
      </c>
    </row>
    <row r="1141" customFormat="false" ht="15" hidden="false" customHeight="true" outlineLevel="0" collapsed="false">
      <c r="A1141" s="7" t="s">
        <v>4499</v>
      </c>
      <c r="B1141" s="7" t="s">
        <v>6814</v>
      </c>
      <c r="C1141" s="7" t="n">
        <v>2</v>
      </c>
      <c r="D1141" s="7" t="n">
        <v>12</v>
      </c>
      <c r="E1141" s="7" t="n">
        <v>1</v>
      </c>
      <c r="F1141" s="7" t="s">
        <v>4496</v>
      </c>
      <c r="G1141" s="12" t="str">
        <f aca="false">IFERROR(INDEX('Semrush Data'!$A$1:$Z$20000,MATCH(A1141,'Semrush Data'!$A$1:$A$20000,0),MATCH("Volume",'Semrush Data'!$A$1:$Z$1,0)),"")</f>
        <v/>
      </c>
      <c r="H1141" s="7" t="str">
        <f aca="false">IFERROR(INDEX('Semrush Data'!$A$1:$Z$20000,MATCH(A1141,'Semrush Data'!$A$1:$A$20000,0),MATCH("Keyword Difficulty*",'Semrush Data'!$A$1:$Z$1,0)),"")</f>
        <v/>
      </c>
      <c r="I1141" s="13" t="str">
        <f aca="false">IFERROR(INDEX('Semrush Data'!$A$1:$Z$20000,MATCH(A1141,'Semrush Data'!$A$1:$A$20000,0),MATCH("CPC*",'Semrush Data'!$A$1:$Z$1,0)),"")</f>
        <v/>
      </c>
      <c r="J1141" s="7" t="str">
        <f aca="false">IFERROR(INDEX('Semrush Data'!$A$1:$Z$20000,MATCH(A1141,'Semrush Data'!$A$1:$A$20000,0),MATCH("Intent",'Semrush Data'!$A$1:$Z$1,0)),"")</f>
        <v/>
      </c>
    </row>
    <row r="1142" customFormat="false" ht="15" hidden="false" customHeight="true" outlineLevel="0" collapsed="false">
      <c r="A1142" s="7" t="s">
        <v>4509</v>
      </c>
      <c r="B1142" s="7" t="s">
        <v>6814</v>
      </c>
      <c r="C1142" s="7" t="n">
        <v>2</v>
      </c>
      <c r="D1142" s="7" t="n">
        <v>12</v>
      </c>
      <c r="E1142" s="7" t="n">
        <v>1</v>
      </c>
      <c r="F1142" s="7" t="s">
        <v>4506</v>
      </c>
      <c r="G1142" s="12" t="str">
        <f aca="false">IFERROR(INDEX('Semrush Data'!$A$1:$Z$20000,MATCH(A1142,'Semrush Data'!$A$1:$A$20000,0),MATCH("Volume",'Semrush Data'!$A$1:$Z$1,0)),"")</f>
        <v/>
      </c>
      <c r="H1142" s="7" t="str">
        <f aca="false">IFERROR(INDEX('Semrush Data'!$A$1:$Z$20000,MATCH(A1142,'Semrush Data'!$A$1:$A$20000,0),MATCH("Keyword Difficulty*",'Semrush Data'!$A$1:$Z$1,0)),"")</f>
        <v/>
      </c>
      <c r="I1142" s="13" t="str">
        <f aca="false">IFERROR(INDEX('Semrush Data'!$A$1:$Z$20000,MATCH(A1142,'Semrush Data'!$A$1:$A$20000,0),MATCH("CPC*",'Semrush Data'!$A$1:$Z$1,0)),"")</f>
        <v/>
      </c>
      <c r="J1142" s="7" t="str">
        <f aca="false">IFERROR(INDEX('Semrush Data'!$A$1:$Z$20000,MATCH(A1142,'Semrush Data'!$A$1:$A$20000,0),MATCH("Intent",'Semrush Data'!$A$1:$Z$1,0)),"")</f>
        <v/>
      </c>
    </row>
    <row r="1143" customFormat="false" ht="15" hidden="false" customHeight="true" outlineLevel="0" collapsed="false">
      <c r="A1143" s="7" t="s">
        <v>4519</v>
      </c>
      <c r="B1143" s="7" t="s">
        <v>6814</v>
      </c>
      <c r="C1143" s="7" t="n">
        <v>2</v>
      </c>
      <c r="D1143" s="7" t="n">
        <v>12</v>
      </c>
      <c r="E1143" s="7" t="n">
        <v>1</v>
      </c>
      <c r="F1143" s="7" t="s">
        <v>4516</v>
      </c>
      <c r="G1143" s="12" t="str">
        <f aca="false">IFERROR(INDEX('Semrush Data'!$A$1:$Z$20000,MATCH(A1143,'Semrush Data'!$A$1:$A$20000,0),MATCH("Volume",'Semrush Data'!$A$1:$Z$1,0)),"")</f>
        <v/>
      </c>
      <c r="H1143" s="7" t="str">
        <f aca="false">IFERROR(INDEX('Semrush Data'!$A$1:$Z$20000,MATCH(A1143,'Semrush Data'!$A$1:$A$20000,0),MATCH("Keyword Difficulty*",'Semrush Data'!$A$1:$Z$1,0)),"")</f>
        <v/>
      </c>
      <c r="I1143" s="13" t="str">
        <f aca="false">IFERROR(INDEX('Semrush Data'!$A$1:$Z$20000,MATCH(A1143,'Semrush Data'!$A$1:$A$20000,0),MATCH("CPC*",'Semrush Data'!$A$1:$Z$1,0)),"")</f>
        <v/>
      </c>
      <c r="J1143" s="7" t="str">
        <f aca="false">IFERROR(INDEX('Semrush Data'!$A$1:$Z$20000,MATCH(A1143,'Semrush Data'!$A$1:$A$20000,0),MATCH("Intent",'Semrush Data'!$A$1:$Z$1,0)),"")</f>
        <v/>
      </c>
    </row>
    <row r="1144" customFormat="false" ht="15" hidden="false" customHeight="true" outlineLevel="0" collapsed="false">
      <c r="A1144" s="7" t="s">
        <v>4529</v>
      </c>
      <c r="B1144" s="7" t="s">
        <v>6814</v>
      </c>
      <c r="C1144" s="7" t="n">
        <v>2</v>
      </c>
      <c r="D1144" s="7" t="n">
        <v>12</v>
      </c>
      <c r="E1144" s="7" t="n">
        <v>1</v>
      </c>
      <c r="F1144" s="7" t="s">
        <v>4526</v>
      </c>
      <c r="G1144" s="12" t="str">
        <f aca="false">IFERROR(INDEX('Semrush Data'!$A$1:$Z$20000,MATCH(A1144,'Semrush Data'!$A$1:$A$20000,0),MATCH("Volume",'Semrush Data'!$A$1:$Z$1,0)),"")</f>
        <v/>
      </c>
      <c r="H1144" s="7" t="str">
        <f aca="false">IFERROR(INDEX('Semrush Data'!$A$1:$Z$20000,MATCH(A1144,'Semrush Data'!$A$1:$A$20000,0),MATCH("Keyword Difficulty*",'Semrush Data'!$A$1:$Z$1,0)),"")</f>
        <v/>
      </c>
      <c r="I1144" s="13" t="str">
        <f aca="false">IFERROR(INDEX('Semrush Data'!$A$1:$Z$20000,MATCH(A1144,'Semrush Data'!$A$1:$A$20000,0),MATCH("CPC*",'Semrush Data'!$A$1:$Z$1,0)),"")</f>
        <v/>
      </c>
      <c r="J1144" s="7" t="str">
        <f aca="false">IFERROR(INDEX('Semrush Data'!$A$1:$Z$20000,MATCH(A1144,'Semrush Data'!$A$1:$A$20000,0),MATCH("Intent",'Semrush Data'!$A$1:$Z$1,0)),"")</f>
        <v/>
      </c>
    </row>
    <row r="1145" customFormat="false" ht="15" hidden="false" customHeight="true" outlineLevel="0" collapsed="false">
      <c r="A1145" s="7" t="s">
        <v>4539</v>
      </c>
      <c r="B1145" s="7" t="s">
        <v>6814</v>
      </c>
      <c r="C1145" s="7" t="n">
        <v>2</v>
      </c>
      <c r="D1145" s="7" t="n">
        <v>12</v>
      </c>
      <c r="E1145" s="7" t="n">
        <v>1</v>
      </c>
      <c r="F1145" s="7" t="s">
        <v>4536</v>
      </c>
      <c r="G1145" s="12" t="str">
        <f aca="false">IFERROR(INDEX('Semrush Data'!$A$1:$Z$20000,MATCH(A1145,'Semrush Data'!$A$1:$A$20000,0),MATCH("Volume",'Semrush Data'!$A$1:$Z$1,0)),"")</f>
        <v/>
      </c>
      <c r="H1145" s="7" t="str">
        <f aca="false">IFERROR(INDEX('Semrush Data'!$A$1:$Z$20000,MATCH(A1145,'Semrush Data'!$A$1:$A$20000,0),MATCH("Keyword Difficulty*",'Semrush Data'!$A$1:$Z$1,0)),"")</f>
        <v/>
      </c>
      <c r="I1145" s="13" t="str">
        <f aca="false">IFERROR(INDEX('Semrush Data'!$A$1:$Z$20000,MATCH(A1145,'Semrush Data'!$A$1:$A$20000,0),MATCH("CPC*",'Semrush Data'!$A$1:$Z$1,0)),"")</f>
        <v/>
      </c>
      <c r="J1145" s="7" t="str">
        <f aca="false">IFERROR(INDEX('Semrush Data'!$A$1:$Z$20000,MATCH(A1145,'Semrush Data'!$A$1:$A$20000,0),MATCH("Intent",'Semrush Data'!$A$1:$Z$1,0)),"")</f>
        <v/>
      </c>
    </row>
    <row r="1146" customFormat="false" ht="15" hidden="false" customHeight="true" outlineLevel="0" collapsed="false">
      <c r="A1146" s="7" t="s">
        <v>5368</v>
      </c>
      <c r="B1146" s="7" t="s">
        <v>6814</v>
      </c>
      <c r="C1146" s="7" t="n">
        <v>2</v>
      </c>
      <c r="D1146" s="7" t="n">
        <v>12</v>
      </c>
      <c r="E1146" s="7" t="n">
        <v>1</v>
      </c>
      <c r="F1146" s="7" t="s">
        <v>5363</v>
      </c>
      <c r="G1146" s="12" t="str">
        <f aca="false">IFERROR(INDEX('Semrush Data'!$A$1:$Z$20000,MATCH(A1146,'Semrush Data'!$A$1:$A$20000,0),MATCH("Volume",'Semrush Data'!$A$1:$Z$1,0)),"")</f>
        <v/>
      </c>
      <c r="H1146" s="7" t="str">
        <f aca="false">IFERROR(INDEX('Semrush Data'!$A$1:$Z$20000,MATCH(A1146,'Semrush Data'!$A$1:$A$20000,0),MATCH("Keyword Difficulty*",'Semrush Data'!$A$1:$Z$1,0)),"")</f>
        <v/>
      </c>
      <c r="I1146" s="13" t="str">
        <f aca="false">IFERROR(INDEX('Semrush Data'!$A$1:$Z$20000,MATCH(A1146,'Semrush Data'!$A$1:$A$20000,0),MATCH("CPC*",'Semrush Data'!$A$1:$Z$1,0)),"")</f>
        <v/>
      </c>
      <c r="J1146" s="7" t="str">
        <f aca="false">IFERROR(INDEX('Semrush Data'!$A$1:$Z$20000,MATCH(A1146,'Semrush Data'!$A$1:$A$20000,0),MATCH("Intent",'Semrush Data'!$A$1:$Z$1,0)),"")</f>
        <v/>
      </c>
    </row>
    <row r="1147" customFormat="false" ht="15" hidden="false" customHeight="true" outlineLevel="0" collapsed="false">
      <c r="A1147" s="7" t="s">
        <v>5381</v>
      </c>
      <c r="B1147" s="7" t="s">
        <v>6814</v>
      </c>
      <c r="C1147" s="7" t="n">
        <v>2</v>
      </c>
      <c r="D1147" s="7" t="s">
        <v>6816</v>
      </c>
      <c r="E1147" s="7" t="n">
        <v>1</v>
      </c>
      <c r="F1147" s="7" t="s">
        <v>5377</v>
      </c>
      <c r="G1147" s="12" t="n">
        <f aca="false">IFERROR(INDEX('Semrush Data'!$A$1:$Z$20000,MATCH(A1147,'Semrush Data'!$A$1:$A$20000,0),MATCH("Volume",'Semrush Data'!$A$1:$Z$1,0)),"")</f>
        <v>0</v>
      </c>
      <c r="H1147" s="7" t="n">
        <f aca="false">IFERROR(INDEX('Semrush Data'!$A$1:$Z$20000,MATCH(A1147,'Semrush Data'!$A$1:$A$20000,0),MATCH("Keyword Difficulty*",'Semrush Data'!$A$1:$Z$1,0)),"")</f>
        <v>17</v>
      </c>
      <c r="I1147" s="13" t="n">
        <f aca="false">IFERROR(INDEX('Semrush Data'!$A$1:$Z$20000,MATCH(A1147,'Semrush Data'!$A$1:$A$20000,0),MATCH("CPC*",'Semrush Data'!$A$1:$Z$1,0)),"")</f>
        <v>0</v>
      </c>
      <c r="J1147" s="7" t="str">
        <f aca="false">IFERROR(INDEX('Semrush Data'!$A$1:$Z$20000,MATCH(A1147,'Semrush Data'!$A$1:$A$20000,0),MATCH("Intent",'Semrush Data'!$A$1:$Z$1,0)),"")</f>
        <v>Informational Transactional</v>
      </c>
    </row>
    <row r="1148" customFormat="false" ht="15" hidden="false" customHeight="true" outlineLevel="0" collapsed="false">
      <c r="A1148" s="7" t="s">
        <v>5434</v>
      </c>
      <c r="B1148" s="7" t="s">
        <v>6814</v>
      </c>
      <c r="C1148" s="7" t="n">
        <v>2</v>
      </c>
      <c r="D1148" s="7" t="n">
        <v>12</v>
      </c>
      <c r="E1148" s="7" t="n">
        <v>1</v>
      </c>
      <c r="F1148" s="7" t="s">
        <v>5431</v>
      </c>
      <c r="G1148" s="12" t="str">
        <f aca="false">IFERROR(INDEX('Semrush Data'!$A$1:$Z$20000,MATCH(A1148,'Semrush Data'!$A$1:$A$20000,0),MATCH("Volume",'Semrush Data'!$A$1:$Z$1,0)),"")</f>
        <v/>
      </c>
      <c r="H1148" s="7" t="str">
        <f aca="false">IFERROR(INDEX('Semrush Data'!$A$1:$Z$20000,MATCH(A1148,'Semrush Data'!$A$1:$A$20000,0),MATCH("Keyword Difficulty*",'Semrush Data'!$A$1:$Z$1,0)),"")</f>
        <v/>
      </c>
      <c r="I1148" s="13" t="str">
        <f aca="false">IFERROR(INDEX('Semrush Data'!$A$1:$Z$20000,MATCH(A1148,'Semrush Data'!$A$1:$A$20000,0),MATCH("CPC*",'Semrush Data'!$A$1:$Z$1,0)),"")</f>
        <v/>
      </c>
      <c r="J1148" s="7" t="str">
        <f aca="false">IFERROR(INDEX('Semrush Data'!$A$1:$Z$20000,MATCH(A1148,'Semrush Data'!$A$1:$A$20000,0),MATCH("Intent",'Semrush Data'!$A$1:$Z$1,0)),"")</f>
        <v/>
      </c>
    </row>
    <row r="1149" customFormat="false" ht="15" hidden="false" customHeight="true" outlineLevel="0" collapsed="false">
      <c r="A1149" s="7" t="s">
        <v>5423</v>
      </c>
      <c r="B1149" s="7" t="s">
        <v>6814</v>
      </c>
      <c r="C1149" s="7" t="n">
        <v>2</v>
      </c>
      <c r="D1149" s="7" t="n">
        <v>12</v>
      </c>
      <c r="E1149" s="7" t="n">
        <v>1</v>
      </c>
      <c r="F1149" s="7" t="s">
        <v>5420</v>
      </c>
      <c r="G1149" s="12" t="str">
        <f aca="false">IFERROR(INDEX('Semrush Data'!$A$1:$Z$20000,MATCH(A1149,'Semrush Data'!$A$1:$A$20000,0),MATCH("Volume",'Semrush Data'!$A$1:$Z$1,0)),"")</f>
        <v/>
      </c>
      <c r="H1149" s="7" t="str">
        <f aca="false">IFERROR(INDEX('Semrush Data'!$A$1:$Z$20000,MATCH(A1149,'Semrush Data'!$A$1:$A$20000,0),MATCH("Keyword Difficulty*",'Semrush Data'!$A$1:$Z$1,0)),"")</f>
        <v/>
      </c>
      <c r="I1149" s="13" t="str">
        <f aca="false">IFERROR(INDEX('Semrush Data'!$A$1:$Z$20000,MATCH(A1149,'Semrush Data'!$A$1:$A$20000,0),MATCH("CPC*",'Semrush Data'!$A$1:$Z$1,0)),"")</f>
        <v/>
      </c>
      <c r="J1149" s="7" t="str">
        <f aca="false">IFERROR(INDEX('Semrush Data'!$A$1:$Z$20000,MATCH(A1149,'Semrush Data'!$A$1:$A$20000,0),MATCH("Intent",'Semrush Data'!$A$1:$Z$1,0)),"")</f>
        <v/>
      </c>
    </row>
    <row r="1150" customFormat="false" ht="15" hidden="false" customHeight="true" outlineLevel="0" collapsed="false">
      <c r="A1150" s="7" t="s">
        <v>5392</v>
      </c>
      <c r="B1150" s="7" t="s">
        <v>6814</v>
      </c>
      <c r="C1150" s="7" t="n">
        <v>2</v>
      </c>
      <c r="D1150" s="7" t="s">
        <v>6815</v>
      </c>
      <c r="E1150" s="7" t="n">
        <v>1</v>
      </c>
      <c r="F1150" s="7" t="s">
        <v>74</v>
      </c>
      <c r="G1150" s="12" t="n">
        <f aca="false">IFERROR(INDEX('Semrush Data'!$A$1:$Z$20000,MATCH(A1150,'Semrush Data'!$A$1:$A$20000,0),MATCH("Volume",'Semrush Data'!$A$1:$Z$1,0)),"")</f>
        <v>20</v>
      </c>
      <c r="H1150" s="7" t="n">
        <f aca="false">IFERROR(INDEX('Semrush Data'!$A$1:$Z$20000,MATCH(A1150,'Semrush Data'!$A$1:$A$20000,0),MATCH("Keyword Difficulty*",'Semrush Data'!$A$1:$Z$1,0)),"")</f>
        <v>14</v>
      </c>
      <c r="I1150" s="13" t="n">
        <f aca="false">IFERROR(INDEX('Semrush Data'!$A$1:$Z$20000,MATCH(A1150,'Semrush Data'!$A$1:$A$20000,0),MATCH("CPC*",'Semrush Data'!$A$1:$Z$1,0)),"")</f>
        <v>0</v>
      </c>
      <c r="J1150" s="7" t="str">
        <f aca="false">IFERROR(INDEX('Semrush Data'!$A$1:$Z$20000,MATCH(A1150,'Semrush Data'!$A$1:$A$20000,0),MATCH("Intent",'Semrush Data'!$A$1:$Z$1,0)),"")</f>
        <v>Informational</v>
      </c>
    </row>
    <row r="1151" customFormat="false" ht="15" hidden="false" customHeight="true" outlineLevel="0" collapsed="false">
      <c r="A1151" s="7" t="s">
        <v>5455</v>
      </c>
      <c r="B1151" s="7" t="s">
        <v>6814</v>
      </c>
      <c r="C1151" s="7" t="n">
        <v>2</v>
      </c>
      <c r="D1151" s="7" t="n">
        <v>12</v>
      </c>
      <c r="E1151" s="7" t="n">
        <v>1</v>
      </c>
      <c r="F1151" s="7" t="s">
        <v>5452</v>
      </c>
      <c r="G1151" s="12" t="str">
        <f aca="false">IFERROR(INDEX('Semrush Data'!$A$1:$Z$20000,MATCH(A1151,'Semrush Data'!$A$1:$A$20000,0),MATCH("Volume",'Semrush Data'!$A$1:$Z$1,0)),"")</f>
        <v/>
      </c>
      <c r="H1151" s="7" t="str">
        <f aca="false">IFERROR(INDEX('Semrush Data'!$A$1:$Z$20000,MATCH(A1151,'Semrush Data'!$A$1:$A$20000,0),MATCH("Keyword Difficulty*",'Semrush Data'!$A$1:$Z$1,0)),"")</f>
        <v/>
      </c>
      <c r="I1151" s="13" t="str">
        <f aca="false">IFERROR(INDEX('Semrush Data'!$A$1:$Z$20000,MATCH(A1151,'Semrush Data'!$A$1:$A$20000,0),MATCH("CPC*",'Semrush Data'!$A$1:$Z$1,0)),"")</f>
        <v/>
      </c>
      <c r="J1151" s="7" t="str">
        <f aca="false">IFERROR(INDEX('Semrush Data'!$A$1:$Z$20000,MATCH(A1151,'Semrush Data'!$A$1:$A$20000,0),MATCH("Intent",'Semrush Data'!$A$1:$Z$1,0)),"")</f>
        <v/>
      </c>
    </row>
    <row r="1152" customFormat="false" ht="15" hidden="false" customHeight="true" outlineLevel="0" collapsed="false">
      <c r="A1152" s="7" t="s">
        <v>5413</v>
      </c>
      <c r="B1152" s="7" t="s">
        <v>6814</v>
      </c>
      <c r="C1152" s="7" t="n">
        <v>2</v>
      </c>
      <c r="D1152" s="7" t="n">
        <v>12</v>
      </c>
      <c r="E1152" s="7" t="n">
        <v>1</v>
      </c>
      <c r="F1152" s="7" t="s">
        <v>5410</v>
      </c>
      <c r="G1152" s="12" t="str">
        <f aca="false">IFERROR(INDEX('Semrush Data'!$A$1:$Z$20000,MATCH(A1152,'Semrush Data'!$A$1:$A$20000,0),MATCH("Volume",'Semrush Data'!$A$1:$Z$1,0)),"")</f>
        <v/>
      </c>
      <c r="H1152" s="7" t="str">
        <f aca="false">IFERROR(INDEX('Semrush Data'!$A$1:$Z$20000,MATCH(A1152,'Semrush Data'!$A$1:$A$20000,0),MATCH("Keyword Difficulty*",'Semrush Data'!$A$1:$Z$1,0)),"")</f>
        <v/>
      </c>
      <c r="I1152" s="13" t="str">
        <f aca="false">IFERROR(INDEX('Semrush Data'!$A$1:$Z$20000,MATCH(A1152,'Semrush Data'!$A$1:$A$20000,0),MATCH("CPC*",'Semrush Data'!$A$1:$Z$1,0)),"")</f>
        <v/>
      </c>
      <c r="J1152" s="7" t="str">
        <f aca="false">IFERROR(INDEX('Semrush Data'!$A$1:$Z$20000,MATCH(A1152,'Semrush Data'!$A$1:$A$20000,0),MATCH("Intent",'Semrush Data'!$A$1:$Z$1,0)),"")</f>
        <v/>
      </c>
    </row>
    <row r="1153" customFormat="false" ht="15" hidden="false" customHeight="true" outlineLevel="0" collapsed="false">
      <c r="A1153" s="7" t="s">
        <v>5445</v>
      </c>
      <c r="B1153" s="7" t="s">
        <v>6814</v>
      </c>
      <c r="C1153" s="7" t="n">
        <v>2</v>
      </c>
      <c r="D1153" s="7" t="n">
        <v>12</v>
      </c>
      <c r="E1153" s="7" t="n">
        <v>1</v>
      </c>
      <c r="F1153" s="7" t="s">
        <v>5442</v>
      </c>
      <c r="G1153" s="12" t="str">
        <f aca="false">IFERROR(INDEX('Semrush Data'!$A$1:$Z$20000,MATCH(A1153,'Semrush Data'!$A$1:$A$20000,0),MATCH("Volume",'Semrush Data'!$A$1:$Z$1,0)),"")</f>
        <v/>
      </c>
      <c r="H1153" s="7" t="str">
        <f aca="false">IFERROR(INDEX('Semrush Data'!$A$1:$Z$20000,MATCH(A1153,'Semrush Data'!$A$1:$A$20000,0),MATCH("Keyword Difficulty*",'Semrush Data'!$A$1:$Z$1,0)),"")</f>
        <v/>
      </c>
      <c r="I1153" s="13" t="str">
        <f aca="false">IFERROR(INDEX('Semrush Data'!$A$1:$Z$20000,MATCH(A1153,'Semrush Data'!$A$1:$A$20000,0),MATCH("CPC*",'Semrush Data'!$A$1:$Z$1,0)),"")</f>
        <v/>
      </c>
      <c r="J1153" s="7" t="str">
        <f aca="false">IFERROR(INDEX('Semrush Data'!$A$1:$Z$20000,MATCH(A1153,'Semrush Data'!$A$1:$A$20000,0),MATCH("Intent",'Semrush Data'!$A$1:$Z$1,0)),"")</f>
        <v/>
      </c>
    </row>
    <row r="1154" customFormat="false" ht="15" hidden="false" customHeight="true" outlineLevel="0" collapsed="false">
      <c r="A1154" s="7" t="s">
        <v>5402</v>
      </c>
      <c r="B1154" s="7" t="s">
        <v>6814</v>
      </c>
      <c r="C1154" s="7" t="n">
        <v>2</v>
      </c>
      <c r="D1154" s="7" t="s">
        <v>6815</v>
      </c>
      <c r="E1154" s="7" t="n">
        <v>1</v>
      </c>
      <c r="F1154" s="7" t="s">
        <v>58</v>
      </c>
      <c r="G1154" s="12" t="n">
        <f aca="false">IFERROR(INDEX('Semrush Data'!$A$1:$Z$20000,MATCH(A1154,'Semrush Data'!$A$1:$A$20000,0),MATCH("Volume",'Semrush Data'!$A$1:$Z$1,0)),"")</f>
        <v>20</v>
      </c>
      <c r="H1154" s="7" t="n">
        <f aca="false">IFERROR(INDEX('Semrush Data'!$A$1:$Z$20000,MATCH(A1154,'Semrush Data'!$A$1:$A$20000,0),MATCH("Keyword Difficulty*",'Semrush Data'!$A$1:$Z$1,0)),"")</f>
        <v>17</v>
      </c>
      <c r="I1154" s="13" t="n">
        <f aca="false">IFERROR(INDEX('Semrush Data'!$A$1:$Z$20000,MATCH(A1154,'Semrush Data'!$A$1:$A$20000,0),MATCH("CPC*",'Semrush Data'!$A$1:$Z$1,0)),"")</f>
        <v>0.39</v>
      </c>
      <c r="J1154" s="7" t="str">
        <f aca="false">IFERROR(INDEX('Semrush Data'!$A$1:$Z$20000,MATCH(A1154,'Semrush Data'!$A$1:$A$20000,0),MATCH("Intent",'Semrush Data'!$A$1:$Z$1,0)),"")</f>
        <v>Informational Transactional</v>
      </c>
    </row>
    <row r="1155" customFormat="false" ht="15" hidden="false" customHeight="true" outlineLevel="0" collapsed="false">
      <c r="A1155" s="7" t="s">
        <v>5467</v>
      </c>
      <c r="B1155" s="7" t="s">
        <v>6814</v>
      </c>
      <c r="C1155" s="7" t="n">
        <v>2</v>
      </c>
      <c r="D1155" s="7" t="n">
        <v>12</v>
      </c>
      <c r="E1155" s="7" t="n">
        <v>1</v>
      </c>
      <c r="F1155" s="7" t="s">
        <v>5462</v>
      </c>
      <c r="G1155" s="12" t="str">
        <f aca="false">IFERROR(INDEX('Semrush Data'!$A$1:$Z$20000,MATCH(A1155,'Semrush Data'!$A$1:$A$20000,0),MATCH("Volume",'Semrush Data'!$A$1:$Z$1,0)),"")</f>
        <v/>
      </c>
      <c r="H1155" s="7" t="str">
        <f aca="false">IFERROR(INDEX('Semrush Data'!$A$1:$Z$20000,MATCH(A1155,'Semrush Data'!$A$1:$A$20000,0),MATCH("Keyword Difficulty*",'Semrush Data'!$A$1:$Z$1,0)),"")</f>
        <v/>
      </c>
      <c r="I1155" s="13" t="str">
        <f aca="false">IFERROR(INDEX('Semrush Data'!$A$1:$Z$20000,MATCH(A1155,'Semrush Data'!$A$1:$A$20000,0),MATCH("CPC*",'Semrush Data'!$A$1:$Z$1,0)),"")</f>
        <v/>
      </c>
      <c r="J1155" s="7" t="str">
        <f aca="false">IFERROR(INDEX('Semrush Data'!$A$1:$Z$20000,MATCH(A1155,'Semrush Data'!$A$1:$A$20000,0),MATCH("Intent",'Semrush Data'!$A$1:$Z$1,0)),"")</f>
        <v/>
      </c>
    </row>
    <row r="1156" customFormat="false" ht="15" hidden="false" customHeight="true" outlineLevel="0" collapsed="false">
      <c r="A1156" s="7" t="s">
        <v>5479</v>
      </c>
      <c r="B1156" s="7" t="s">
        <v>6814</v>
      </c>
      <c r="C1156" s="7" t="n">
        <v>2</v>
      </c>
      <c r="D1156" s="7" t="n">
        <v>12</v>
      </c>
      <c r="E1156" s="7" t="n">
        <v>1</v>
      </c>
      <c r="F1156" s="7" t="s">
        <v>5476</v>
      </c>
      <c r="G1156" s="12" t="str">
        <f aca="false">IFERROR(INDEX('Semrush Data'!$A$1:$Z$20000,MATCH(A1156,'Semrush Data'!$A$1:$A$20000,0),MATCH("Volume",'Semrush Data'!$A$1:$Z$1,0)),"")</f>
        <v/>
      </c>
      <c r="H1156" s="7" t="str">
        <f aca="false">IFERROR(INDEX('Semrush Data'!$A$1:$Z$20000,MATCH(A1156,'Semrush Data'!$A$1:$A$20000,0),MATCH("Keyword Difficulty*",'Semrush Data'!$A$1:$Z$1,0)),"")</f>
        <v/>
      </c>
      <c r="I1156" s="13" t="str">
        <f aca="false">IFERROR(INDEX('Semrush Data'!$A$1:$Z$20000,MATCH(A1156,'Semrush Data'!$A$1:$A$20000,0),MATCH("CPC*",'Semrush Data'!$A$1:$Z$1,0)),"")</f>
        <v/>
      </c>
      <c r="J1156" s="7" t="str">
        <f aca="false">IFERROR(INDEX('Semrush Data'!$A$1:$Z$20000,MATCH(A1156,'Semrush Data'!$A$1:$A$20000,0),MATCH("Intent",'Semrush Data'!$A$1:$Z$1,0)),"")</f>
        <v/>
      </c>
    </row>
    <row r="1157" customFormat="false" ht="15" hidden="false" customHeight="true" outlineLevel="0" collapsed="false">
      <c r="A1157" s="7" t="s">
        <v>5513</v>
      </c>
      <c r="B1157" s="7" t="s">
        <v>6814</v>
      </c>
      <c r="C1157" s="7" t="n">
        <v>2</v>
      </c>
      <c r="D1157" s="7" t="s">
        <v>6815</v>
      </c>
      <c r="E1157" s="7" t="n">
        <v>2</v>
      </c>
      <c r="F1157" s="7" t="s">
        <v>6808</v>
      </c>
      <c r="G1157" s="12" t="n">
        <f aca="false">IFERROR(INDEX('Semrush Data'!$A$1:$Z$20000,MATCH(A1157,'Semrush Data'!$A$1:$A$20000,0),MATCH("Volume",'Semrush Data'!$A$1:$Z$1,0)),"")</f>
        <v>0</v>
      </c>
      <c r="H1157" s="7" t="n">
        <f aca="false">IFERROR(INDEX('Semrush Data'!$A$1:$Z$20000,MATCH(A1157,'Semrush Data'!$A$1:$A$20000,0),MATCH("Keyword Difficulty*",'Semrush Data'!$A$1:$Z$1,0)),"")</f>
        <v>15</v>
      </c>
      <c r="I1157" s="13" t="n">
        <f aca="false">IFERROR(INDEX('Semrush Data'!$A$1:$Z$20000,MATCH(A1157,'Semrush Data'!$A$1:$A$20000,0),MATCH("CPC*",'Semrush Data'!$A$1:$Z$1,0)),"")</f>
        <v>0</v>
      </c>
      <c r="J1157" s="7" t="str">
        <f aca="false">IFERROR(INDEX('Semrush Data'!$A$1:$Z$20000,MATCH(A1157,'Semrush Data'!$A$1:$A$20000,0),MATCH("Intent",'Semrush Data'!$A$1:$Z$1,0)),"")</f>
        <v>Informational Transactional</v>
      </c>
    </row>
    <row r="1158" customFormat="false" ht="15" hidden="false" customHeight="true" outlineLevel="0" collapsed="false">
      <c r="A1158" s="7" t="s">
        <v>5492</v>
      </c>
      <c r="B1158" s="7" t="s">
        <v>6814</v>
      </c>
      <c r="C1158" s="7" t="n">
        <v>2</v>
      </c>
      <c r="D1158" s="7" t="n">
        <v>12</v>
      </c>
      <c r="E1158" s="7" t="n">
        <v>1</v>
      </c>
      <c r="F1158" s="7" t="s">
        <v>5488</v>
      </c>
      <c r="G1158" s="12" t="str">
        <f aca="false">IFERROR(INDEX('Semrush Data'!$A$1:$Z$20000,MATCH(A1158,'Semrush Data'!$A$1:$A$20000,0),MATCH("Volume",'Semrush Data'!$A$1:$Z$1,0)),"")</f>
        <v/>
      </c>
      <c r="H1158" s="7" t="str">
        <f aca="false">IFERROR(INDEX('Semrush Data'!$A$1:$Z$20000,MATCH(A1158,'Semrush Data'!$A$1:$A$20000,0),MATCH("Keyword Difficulty*",'Semrush Data'!$A$1:$Z$1,0)),"")</f>
        <v/>
      </c>
      <c r="I1158" s="13" t="str">
        <f aca="false">IFERROR(INDEX('Semrush Data'!$A$1:$Z$20000,MATCH(A1158,'Semrush Data'!$A$1:$A$20000,0),MATCH("CPC*",'Semrush Data'!$A$1:$Z$1,0)),"")</f>
        <v/>
      </c>
      <c r="J1158" s="7" t="str">
        <f aca="false">IFERROR(INDEX('Semrush Data'!$A$1:$Z$20000,MATCH(A1158,'Semrush Data'!$A$1:$A$20000,0),MATCH("Intent",'Semrush Data'!$A$1:$Z$1,0)),"")</f>
        <v/>
      </c>
    </row>
    <row r="1159" customFormat="false" ht="15" hidden="false" customHeight="true" outlineLevel="0" collapsed="false">
      <c r="A1159" s="7" t="s">
        <v>5504</v>
      </c>
      <c r="B1159" s="7" t="s">
        <v>6814</v>
      </c>
      <c r="C1159" s="7" t="n">
        <v>2</v>
      </c>
      <c r="D1159" s="7" t="n">
        <v>12</v>
      </c>
      <c r="E1159" s="7" t="n">
        <v>1</v>
      </c>
      <c r="F1159" s="7" t="s">
        <v>5501</v>
      </c>
      <c r="G1159" s="12" t="str">
        <f aca="false">IFERROR(INDEX('Semrush Data'!$A$1:$Z$20000,MATCH(A1159,'Semrush Data'!$A$1:$A$20000,0),MATCH("Volume",'Semrush Data'!$A$1:$Z$1,0)),"")</f>
        <v/>
      </c>
      <c r="H1159" s="7" t="str">
        <f aca="false">IFERROR(INDEX('Semrush Data'!$A$1:$Z$20000,MATCH(A1159,'Semrush Data'!$A$1:$A$20000,0),MATCH("Keyword Difficulty*",'Semrush Data'!$A$1:$Z$1,0)),"")</f>
        <v/>
      </c>
      <c r="I1159" s="13" t="str">
        <f aca="false">IFERROR(INDEX('Semrush Data'!$A$1:$Z$20000,MATCH(A1159,'Semrush Data'!$A$1:$A$20000,0),MATCH("CPC*",'Semrush Data'!$A$1:$Z$1,0)),"")</f>
        <v/>
      </c>
      <c r="J1159" s="7" t="str">
        <f aca="false">IFERROR(INDEX('Semrush Data'!$A$1:$Z$20000,MATCH(A1159,'Semrush Data'!$A$1:$A$20000,0),MATCH("Intent",'Semrush Data'!$A$1:$Z$1,0)),"")</f>
        <v/>
      </c>
    </row>
    <row r="1160" customFormat="false" ht="15" hidden="false" customHeight="true" outlineLevel="0" collapsed="false">
      <c r="A1160" s="7" t="s">
        <v>5524</v>
      </c>
      <c r="B1160" s="7" t="s">
        <v>6814</v>
      </c>
      <c r="C1160" s="7" t="n">
        <v>2</v>
      </c>
      <c r="D1160" s="7" t="s">
        <v>6815</v>
      </c>
      <c r="E1160" s="7" t="n">
        <v>1</v>
      </c>
      <c r="F1160" s="7" t="s">
        <v>70</v>
      </c>
      <c r="G1160" s="12" t="n">
        <f aca="false">IFERROR(INDEX('Semrush Data'!$A$1:$Z$20000,MATCH(A1160,'Semrush Data'!$A$1:$A$20000,0),MATCH("Volume",'Semrush Data'!$A$1:$Z$1,0)),"")</f>
        <v>0</v>
      </c>
      <c r="H1160" s="7" t="n">
        <f aca="false">IFERROR(INDEX('Semrush Data'!$A$1:$Z$20000,MATCH(A1160,'Semrush Data'!$A$1:$A$20000,0),MATCH("Keyword Difficulty*",'Semrush Data'!$A$1:$Z$1,0)),"")</f>
        <v>18</v>
      </c>
      <c r="I1160" s="13" t="n">
        <f aca="false">IFERROR(INDEX('Semrush Data'!$A$1:$Z$20000,MATCH(A1160,'Semrush Data'!$A$1:$A$20000,0),MATCH("CPC*",'Semrush Data'!$A$1:$Z$1,0)),"")</f>
        <v>0</v>
      </c>
      <c r="J1160" s="7" t="str">
        <f aca="false">IFERROR(INDEX('Semrush Data'!$A$1:$Z$20000,MATCH(A1160,'Semrush Data'!$A$1:$A$20000,0),MATCH("Intent",'Semrush Data'!$A$1:$Z$1,0)),"")</f>
        <v>Informational</v>
      </c>
    </row>
    <row r="1161" customFormat="false" ht="15" hidden="false" customHeight="true" outlineLevel="0" collapsed="false">
      <c r="A1161" s="7" t="s">
        <v>5560</v>
      </c>
      <c r="B1161" s="7" t="s">
        <v>6814</v>
      </c>
      <c r="C1161" s="7" t="n">
        <v>2</v>
      </c>
      <c r="D1161" s="7" t="n">
        <v>12</v>
      </c>
      <c r="E1161" s="7" t="n">
        <v>1</v>
      </c>
      <c r="F1161" s="7" t="s">
        <v>5556</v>
      </c>
      <c r="G1161" s="12" t="str">
        <f aca="false">IFERROR(INDEX('Semrush Data'!$A$1:$Z$20000,MATCH(A1161,'Semrush Data'!$A$1:$A$20000,0),MATCH("Volume",'Semrush Data'!$A$1:$Z$1,0)),"")</f>
        <v/>
      </c>
      <c r="H1161" s="7" t="str">
        <f aca="false">IFERROR(INDEX('Semrush Data'!$A$1:$Z$20000,MATCH(A1161,'Semrush Data'!$A$1:$A$20000,0),MATCH("Keyword Difficulty*",'Semrush Data'!$A$1:$Z$1,0)),"")</f>
        <v/>
      </c>
      <c r="I1161" s="13" t="str">
        <f aca="false">IFERROR(INDEX('Semrush Data'!$A$1:$Z$20000,MATCH(A1161,'Semrush Data'!$A$1:$A$20000,0),MATCH("CPC*",'Semrush Data'!$A$1:$Z$1,0)),"")</f>
        <v/>
      </c>
      <c r="J1161" s="7" t="str">
        <f aca="false">IFERROR(INDEX('Semrush Data'!$A$1:$Z$20000,MATCH(A1161,'Semrush Data'!$A$1:$A$20000,0),MATCH("Intent",'Semrush Data'!$A$1:$Z$1,0)),"")</f>
        <v/>
      </c>
    </row>
    <row r="1162" customFormat="false" ht="15" hidden="false" customHeight="true" outlineLevel="0" collapsed="false">
      <c r="A1162" s="7" t="s">
        <v>5539</v>
      </c>
      <c r="B1162" s="7" t="s">
        <v>6814</v>
      </c>
      <c r="C1162" s="7" t="n">
        <v>2</v>
      </c>
      <c r="D1162" s="7" t="n">
        <v>12</v>
      </c>
      <c r="E1162" s="7" t="n">
        <v>1</v>
      </c>
      <c r="F1162" s="7" t="s">
        <v>5533</v>
      </c>
      <c r="G1162" s="12" t="str">
        <f aca="false">IFERROR(INDEX('Semrush Data'!$A$1:$Z$20000,MATCH(A1162,'Semrush Data'!$A$1:$A$20000,0),MATCH("Volume",'Semrush Data'!$A$1:$Z$1,0)),"")</f>
        <v/>
      </c>
      <c r="H1162" s="7" t="str">
        <f aca="false">IFERROR(INDEX('Semrush Data'!$A$1:$Z$20000,MATCH(A1162,'Semrush Data'!$A$1:$A$20000,0),MATCH("Keyword Difficulty*",'Semrush Data'!$A$1:$Z$1,0)),"")</f>
        <v/>
      </c>
      <c r="I1162" s="13" t="str">
        <f aca="false">IFERROR(INDEX('Semrush Data'!$A$1:$Z$20000,MATCH(A1162,'Semrush Data'!$A$1:$A$20000,0),MATCH("CPC*",'Semrush Data'!$A$1:$Z$1,0)),"")</f>
        <v/>
      </c>
      <c r="J1162" s="7" t="str">
        <f aca="false">IFERROR(INDEX('Semrush Data'!$A$1:$Z$20000,MATCH(A1162,'Semrush Data'!$A$1:$A$20000,0),MATCH("Intent",'Semrush Data'!$A$1:$Z$1,0)),"")</f>
        <v/>
      </c>
    </row>
    <row r="1163" customFormat="false" ht="15" hidden="false" customHeight="true" outlineLevel="0" collapsed="false">
      <c r="A1163" s="7" t="s">
        <v>5549</v>
      </c>
      <c r="B1163" s="7" t="s">
        <v>6814</v>
      </c>
      <c r="C1163" s="7" t="n">
        <v>2</v>
      </c>
      <c r="D1163" s="7" t="n">
        <v>12</v>
      </c>
      <c r="E1163" s="7" t="n">
        <v>1</v>
      </c>
      <c r="F1163" s="7" t="s">
        <v>5546</v>
      </c>
      <c r="G1163" s="12" t="str">
        <f aca="false">IFERROR(INDEX('Semrush Data'!$A$1:$Z$20000,MATCH(A1163,'Semrush Data'!$A$1:$A$20000,0),MATCH("Volume",'Semrush Data'!$A$1:$Z$1,0)),"")</f>
        <v/>
      </c>
      <c r="H1163" s="7" t="str">
        <f aca="false">IFERROR(INDEX('Semrush Data'!$A$1:$Z$20000,MATCH(A1163,'Semrush Data'!$A$1:$A$20000,0),MATCH("Keyword Difficulty*",'Semrush Data'!$A$1:$Z$1,0)),"")</f>
        <v/>
      </c>
      <c r="I1163" s="13" t="str">
        <f aca="false">IFERROR(INDEX('Semrush Data'!$A$1:$Z$20000,MATCH(A1163,'Semrush Data'!$A$1:$A$20000,0),MATCH("CPC*",'Semrush Data'!$A$1:$Z$1,0)),"")</f>
        <v/>
      </c>
      <c r="J1163" s="7" t="str">
        <f aca="false">IFERROR(INDEX('Semrush Data'!$A$1:$Z$20000,MATCH(A1163,'Semrush Data'!$A$1:$A$20000,0),MATCH("Intent",'Semrush Data'!$A$1:$Z$1,0)),"")</f>
        <v/>
      </c>
    </row>
    <row r="1164" customFormat="false" ht="15" hidden="false" customHeight="true" outlineLevel="0" collapsed="false">
      <c r="A1164" s="7" t="s">
        <v>5570</v>
      </c>
      <c r="B1164" s="7" t="s">
        <v>6814</v>
      </c>
      <c r="C1164" s="7" t="n">
        <v>2</v>
      </c>
      <c r="D1164" s="7" t="n">
        <v>12</v>
      </c>
      <c r="E1164" s="7" t="n">
        <v>1</v>
      </c>
      <c r="F1164" s="7" t="s">
        <v>5566</v>
      </c>
      <c r="G1164" s="12" t="str">
        <f aca="false">IFERROR(INDEX('Semrush Data'!$A$1:$Z$20000,MATCH(A1164,'Semrush Data'!$A$1:$A$20000,0),MATCH("Volume",'Semrush Data'!$A$1:$Z$1,0)),"")</f>
        <v/>
      </c>
      <c r="H1164" s="7" t="str">
        <f aca="false">IFERROR(INDEX('Semrush Data'!$A$1:$Z$20000,MATCH(A1164,'Semrush Data'!$A$1:$A$20000,0),MATCH("Keyword Difficulty*",'Semrush Data'!$A$1:$Z$1,0)),"")</f>
        <v/>
      </c>
      <c r="I1164" s="13" t="str">
        <f aca="false">IFERROR(INDEX('Semrush Data'!$A$1:$Z$20000,MATCH(A1164,'Semrush Data'!$A$1:$A$20000,0),MATCH("CPC*",'Semrush Data'!$A$1:$Z$1,0)),"")</f>
        <v/>
      </c>
      <c r="J1164" s="7" t="str">
        <f aca="false">IFERROR(INDEX('Semrush Data'!$A$1:$Z$20000,MATCH(A1164,'Semrush Data'!$A$1:$A$20000,0),MATCH("Intent",'Semrush Data'!$A$1:$Z$1,0)),"")</f>
        <v/>
      </c>
    </row>
    <row r="1165" customFormat="false" ht="15" hidden="false" customHeight="true" outlineLevel="0" collapsed="false">
      <c r="A1165" s="7" t="s">
        <v>4549</v>
      </c>
      <c r="B1165" s="7" t="s">
        <v>6814</v>
      </c>
      <c r="C1165" s="7" t="n">
        <v>2</v>
      </c>
      <c r="D1165" s="7" t="n">
        <v>12</v>
      </c>
      <c r="E1165" s="7" t="n">
        <v>1</v>
      </c>
      <c r="F1165" s="7" t="s">
        <v>4546</v>
      </c>
      <c r="G1165" s="12" t="str">
        <f aca="false">IFERROR(INDEX('Semrush Data'!$A$1:$Z$20000,MATCH(A1165,'Semrush Data'!$A$1:$A$20000,0),MATCH("Volume",'Semrush Data'!$A$1:$Z$1,0)),"")</f>
        <v/>
      </c>
      <c r="H1165" s="7" t="str">
        <f aca="false">IFERROR(INDEX('Semrush Data'!$A$1:$Z$20000,MATCH(A1165,'Semrush Data'!$A$1:$A$20000,0),MATCH("Keyword Difficulty*",'Semrush Data'!$A$1:$Z$1,0)),"")</f>
        <v/>
      </c>
      <c r="I1165" s="13" t="str">
        <f aca="false">IFERROR(INDEX('Semrush Data'!$A$1:$Z$20000,MATCH(A1165,'Semrush Data'!$A$1:$A$20000,0),MATCH("CPC*",'Semrush Data'!$A$1:$Z$1,0)),"")</f>
        <v/>
      </c>
      <c r="J1165" s="7" t="str">
        <f aca="false">IFERROR(INDEX('Semrush Data'!$A$1:$Z$20000,MATCH(A1165,'Semrush Data'!$A$1:$A$20000,0),MATCH("Intent",'Semrush Data'!$A$1:$Z$1,0)),"")</f>
        <v/>
      </c>
    </row>
    <row r="1166" customFormat="false" ht="15" hidden="false" customHeight="true" outlineLevel="0" collapsed="false">
      <c r="A1166" s="7" t="s">
        <v>5582</v>
      </c>
      <c r="B1166" s="7" t="s">
        <v>6814</v>
      </c>
      <c r="C1166" s="7" t="n">
        <v>2</v>
      </c>
      <c r="D1166" s="7" t="n">
        <v>12</v>
      </c>
      <c r="E1166" s="7" t="n">
        <v>1</v>
      </c>
      <c r="F1166" s="7" t="s">
        <v>5578</v>
      </c>
      <c r="G1166" s="12" t="str">
        <f aca="false">IFERROR(INDEX('Semrush Data'!$A$1:$Z$20000,MATCH(A1166,'Semrush Data'!$A$1:$A$20000,0),MATCH("Volume",'Semrush Data'!$A$1:$Z$1,0)),"")</f>
        <v/>
      </c>
      <c r="H1166" s="7" t="str">
        <f aca="false">IFERROR(INDEX('Semrush Data'!$A$1:$Z$20000,MATCH(A1166,'Semrush Data'!$A$1:$A$20000,0),MATCH("Keyword Difficulty*",'Semrush Data'!$A$1:$Z$1,0)),"")</f>
        <v/>
      </c>
      <c r="I1166" s="13" t="str">
        <f aca="false">IFERROR(INDEX('Semrush Data'!$A$1:$Z$20000,MATCH(A1166,'Semrush Data'!$A$1:$A$20000,0),MATCH("CPC*",'Semrush Data'!$A$1:$Z$1,0)),"")</f>
        <v/>
      </c>
      <c r="J1166" s="7" t="str">
        <f aca="false">IFERROR(INDEX('Semrush Data'!$A$1:$Z$20000,MATCH(A1166,'Semrush Data'!$A$1:$A$20000,0),MATCH("Intent",'Semrush Data'!$A$1:$Z$1,0)),"")</f>
        <v/>
      </c>
    </row>
    <row r="1167" customFormat="false" ht="15" hidden="false" customHeight="true" outlineLevel="0" collapsed="false">
      <c r="A1167" s="7" t="s">
        <v>5593</v>
      </c>
      <c r="B1167" s="7" t="s">
        <v>6814</v>
      </c>
      <c r="C1167" s="7" t="n">
        <v>2</v>
      </c>
      <c r="D1167" s="7" t="n">
        <v>12</v>
      </c>
      <c r="E1167" s="7" t="n">
        <v>1</v>
      </c>
      <c r="F1167" s="7" t="s">
        <v>5590</v>
      </c>
      <c r="G1167" s="12" t="str">
        <f aca="false">IFERROR(INDEX('Semrush Data'!$A$1:$Z$20000,MATCH(A1167,'Semrush Data'!$A$1:$A$20000,0),MATCH("Volume",'Semrush Data'!$A$1:$Z$1,0)),"")</f>
        <v/>
      </c>
      <c r="H1167" s="7" t="str">
        <f aca="false">IFERROR(INDEX('Semrush Data'!$A$1:$Z$20000,MATCH(A1167,'Semrush Data'!$A$1:$A$20000,0),MATCH("Keyword Difficulty*",'Semrush Data'!$A$1:$Z$1,0)),"")</f>
        <v/>
      </c>
      <c r="I1167" s="13" t="str">
        <f aca="false">IFERROR(INDEX('Semrush Data'!$A$1:$Z$20000,MATCH(A1167,'Semrush Data'!$A$1:$A$20000,0),MATCH("CPC*",'Semrush Data'!$A$1:$Z$1,0)),"")</f>
        <v/>
      </c>
      <c r="J1167" s="7" t="str">
        <f aca="false">IFERROR(INDEX('Semrush Data'!$A$1:$Z$20000,MATCH(A1167,'Semrush Data'!$A$1:$A$20000,0),MATCH("Intent",'Semrush Data'!$A$1:$Z$1,0)),"")</f>
        <v/>
      </c>
    </row>
    <row r="1168" customFormat="false" ht="15" hidden="false" customHeight="true" outlineLevel="0" collapsed="false">
      <c r="A1168" s="7" t="s">
        <v>5604</v>
      </c>
      <c r="B1168" s="7" t="s">
        <v>6814</v>
      </c>
      <c r="C1168" s="7" t="n">
        <v>2</v>
      </c>
      <c r="D1168" s="7" t="n">
        <v>12</v>
      </c>
      <c r="E1168" s="7" t="n">
        <v>1</v>
      </c>
      <c r="F1168" s="7" t="s">
        <v>5601</v>
      </c>
      <c r="G1168" s="12" t="str">
        <f aca="false">IFERROR(INDEX('Semrush Data'!$A$1:$Z$20000,MATCH(A1168,'Semrush Data'!$A$1:$A$20000,0),MATCH("Volume",'Semrush Data'!$A$1:$Z$1,0)),"")</f>
        <v/>
      </c>
      <c r="H1168" s="7" t="str">
        <f aca="false">IFERROR(INDEX('Semrush Data'!$A$1:$Z$20000,MATCH(A1168,'Semrush Data'!$A$1:$A$20000,0),MATCH("Keyword Difficulty*",'Semrush Data'!$A$1:$Z$1,0)),"")</f>
        <v/>
      </c>
      <c r="I1168" s="13" t="str">
        <f aca="false">IFERROR(INDEX('Semrush Data'!$A$1:$Z$20000,MATCH(A1168,'Semrush Data'!$A$1:$A$20000,0),MATCH("CPC*",'Semrush Data'!$A$1:$Z$1,0)),"")</f>
        <v/>
      </c>
      <c r="J1168" s="7" t="str">
        <f aca="false">IFERROR(INDEX('Semrush Data'!$A$1:$Z$20000,MATCH(A1168,'Semrush Data'!$A$1:$A$20000,0),MATCH("Intent",'Semrush Data'!$A$1:$Z$1,0)),"")</f>
        <v/>
      </c>
    </row>
    <row r="1169" customFormat="false" ht="15" hidden="false" customHeight="true" outlineLevel="0" collapsed="false">
      <c r="A1169" s="7" t="s">
        <v>5615</v>
      </c>
      <c r="B1169" s="7" t="s">
        <v>6814</v>
      </c>
      <c r="C1169" s="7" t="n">
        <v>2</v>
      </c>
      <c r="D1169" s="7" t="n">
        <v>12</v>
      </c>
      <c r="E1169" s="7" t="n">
        <v>1</v>
      </c>
      <c r="F1169" s="7" t="s">
        <v>5611</v>
      </c>
      <c r="G1169" s="12" t="str">
        <f aca="false">IFERROR(INDEX('Semrush Data'!$A$1:$Z$20000,MATCH(A1169,'Semrush Data'!$A$1:$A$20000,0),MATCH("Volume",'Semrush Data'!$A$1:$Z$1,0)),"")</f>
        <v/>
      </c>
      <c r="H1169" s="7" t="str">
        <f aca="false">IFERROR(INDEX('Semrush Data'!$A$1:$Z$20000,MATCH(A1169,'Semrush Data'!$A$1:$A$20000,0),MATCH("Keyword Difficulty*",'Semrush Data'!$A$1:$Z$1,0)),"")</f>
        <v/>
      </c>
      <c r="I1169" s="13" t="str">
        <f aca="false">IFERROR(INDEX('Semrush Data'!$A$1:$Z$20000,MATCH(A1169,'Semrush Data'!$A$1:$A$20000,0),MATCH("CPC*",'Semrush Data'!$A$1:$Z$1,0)),"")</f>
        <v/>
      </c>
      <c r="J1169" s="7" t="str">
        <f aca="false">IFERROR(INDEX('Semrush Data'!$A$1:$Z$20000,MATCH(A1169,'Semrush Data'!$A$1:$A$20000,0),MATCH("Intent",'Semrush Data'!$A$1:$Z$1,0)),"")</f>
        <v/>
      </c>
    </row>
    <row r="1170" customFormat="false" ht="15" hidden="false" customHeight="true" outlineLevel="0" collapsed="false">
      <c r="A1170" s="7" t="s">
        <v>5627</v>
      </c>
      <c r="B1170" s="7" t="s">
        <v>6814</v>
      </c>
      <c r="C1170" s="7" t="n">
        <v>2</v>
      </c>
      <c r="D1170" s="7" t="n">
        <v>12</v>
      </c>
      <c r="E1170" s="7" t="n">
        <v>1</v>
      </c>
      <c r="F1170" s="7" t="s">
        <v>5624</v>
      </c>
      <c r="G1170" s="12" t="str">
        <f aca="false">IFERROR(INDEX('Semrush Data'!$A$1:$Z$20000,MATCH(A1170,'Semrush Data'!$A$1:$A$20000,0),MATCH("Volume",'Semrush Data'!$A$1:$Z$1,0)),"")</f>
        <v/>
      </c>
      <c r="H1170" s="7" t="str">
        <f aca="false">IFERROR(INDEX('Semrush Data'!$A$1:$Z$20000,MATCH(A1170,'Semrush Data'!$A$1:$A$20000,0),MATCH("Keyword Difficulty*",'Semrush Data'!$A$1:$Z$1,0)),"")</f>
        <v/>
      </c>
      <c r="I1170" s="13" t="str">
        <f aca="false">IFERROR(INDEX('Semrush Data'!$A$1:$Z$20000,MATCH(A1170,'Semrush Data'!$A$1:$A$20000,0),MATCH("CPC*",'Semrush Data'!$A$1:$Z$1,0)),"")</f>
        <v/>
      </c>
      <c r="J1170" s="7" t="str">
        <f aca="false">IFERROR(INDEX('Semrush Data'!$A$1:$Z$20000,MATCH(A1170,'Semrush Data'!$A$1:$A$20000,0),MATCH("Intent",'Semrush Data'!$A$1:$Z$1,0)),"")</f>
        <v/>
      </c>
    </row>
    <row r="1171" customFormat="false" ht="15" hidden="false" customHeight="true" outlineLevel="0" collapsed="false">
      <c r="A1171" s="7" t="s">
        <v>5638</v>
      </c>
      <c r="B1171" s="7" t="s">
        <v>6814</v>
      </c>
      <c r="C1171" s="7" t="n">
        <v>2</v>
      </c>
      <c r="D1171" s="7" t="n">
        <v>12</v>
      </c>
      <c r="E1171" s="7" t="n">
        <v>1</v>
      </c>
      <c r="F1171" s="7" t="s">
        <v>5635</v>
      </c>
      <c r="G1171" s="12" t="str">
        <f aca="false">IFERROR(INDEX('Semrush Data'!$A$1:$Z$20000,MATCH(A1171,'Semrush Data'!$A$1:$A$20000,0),MATCH("Volume",'Semrush Data'!$A$1:$Z$1,0)),"")</f>
        <v/>
      </c>
      <c r="H1171" s="7" t="str">
        <f aca="false">IFERROR(INDEX('Semrush Data'!$A$1:$Z$20000,MATCH(A1171,'Semrush Data'!$A$1:$A$20000,0),MATCH("Keyword Difficulty*",'Semrush Data'!$A$1:$Z$1,0)),"")</f>
        <v/>
      </c>
      <c r="I1171" s="13" t="str">
        <f aca="false">IFERROR(INDEX('Semrush Data'!$A$1:$Z$20000,MATCH(A1171,'Semrush Data'!$A$1:$A$20000,0),MATCH("CPC*",'Semrush Data'!$A$1:$Z$1,0)),"")</f>
        <v/>
      </c>
      <c r="J1171" s="7" t="str">
        <f aca="false">IFERROR(INDEX('Semrush Data'!$A$1:$Z$20000,MATCH(A1171,'Semrush Data'!$A$1:$A$20000,0),MATCH("Intent",'Semrush Data'!$A$1:$Z$1,0)),"")</f>
        <v/>
      </c>
    </row>
    <row r="1172" customFormat="false" ht="15" hidden="false" customHeight="true" outlineLevel="0" collapsed="false">
      <c r="A1172" s="7" t="s">
        <v>5650</v>
      </c>
      <c r="B1172" s="7" t="s">
        <v>6814</v>
      </c>
      <c r="C1172" s="7" t="n">
        <v>2</v>
      </c>
      <c r="D1172" s="7" t="n">
        <v>12</v>
      </c>
      <c r="E1172" s="7" t="n">
        <v>1</v>
      </c>
      <c r="F1172" s="7" t="s">
        <v>5647</v>
      </c>
      <c r="G1172" s="12" t="str">
        <f aca="false">IFERROR(INDEX('Semrush Data'!$A$1:$Z$20000,MATCH(A1172,'Semrush Data'!$A$1:$A$20000,0),MATCH("Volume",'Semrush Data'!$A$1:$Z$1,0)),"")</f>
        <v/>
      </c>
      <c r="H1172" s="7" t="str">
        <f aca="false">IFERROR(INDEX('Semrush Data'!$A$1:$Z$20000,MATCH(A1172,'Semrush Data'!$A$1:$A$20000,0),MATCH("Keyword Difficulty*",'Semrush Data'!$A$1:$Z$1,0)),"")</f>
        <v/>
      </c>
      <c r="I1172" s="13" t="str">
        <f aca="false">IFERROR(INDEX('Semrush Data'!$A$1:$Z$20000,MATCH(A1172,'Semrush Data'!$A$1:$A$20000,0),MATCH("CPC*",'Semrush Data'!$A$1:$Z$1,0)),"")</f>
        <v/>
      </c>
      <c r="J1172" s="7" t="str">
        <f aca="false">IFERROR(INDEX('Semrush Data'!$A$1:$Z$20000,MATCH(A1172,'Semrush Data'!$A$1:$A$20000,0),MATCH("Intent",'Semrush Data'!$A$1:$Z$1,0)),"")</f>
        <v/>
      </c>
    </row>
    <row r="1173" customFormat="false" ht="15" hidden="false" customHeight="true" outlineLevel="0" collapsed="false">
      <c r="A1173" s="7" t="s">
        <v>5661</v>
      </c>
      <c r="B1173" s="7" t="s">
        <v>6814</v>
      </c>
      <c r="C1173" s="7" t="n">
        <v>2</v>
      </c>
      <c r="D1173" s="7" t="n">
        <v>12</v>
      </c>
      <c r="E1173" s="7" t="n">
        <v>1</v>
      </c>
      <c r="F1173" s="7" t="s">
        <v>5658</v>
      </c>
      <c r="G1173" s="12" t="str">
        <f aca="false">IFERROR(INDEX('Semrush Data'!$A$1:$Z$20000,MATCH(A1173,'Semrush Data'!$A$1:$A$20000,0),MATCH("Volume",'Semrush Data'!$A$1:$Z$1,0)),"")</f>
        <v/>
      </c>
      <c r="H1173" s="7" t="str">
        <f aca="false">IFERROR(INDEX('Semrush Data'!$A$1:$Z$20000,MATCH(A1173,'Semrush Data'!$A$1:$A$20000,0),MATCH("Keyword Difficulty*",'Semrush Data'!$A$1:$Z$1,0)),"")</f>
        <v/>
      </c>
      <c r="I1173" s="13" t="str">
        <f aca="false">IFERROR(INDEX('Semrush Data'!$A$1:$Z$20000,MATCH(A1173,'Semrush Data'!$A$1:$A$20000,0),MATCH("CPC*",'Semrush Data'!$A$1:$Z$1,0)),"")</f>
        <v/>
      </c>
      <c r="J1173" s="7" t="str">
        <f aca="false">IFERROR(INDEX('Semrush Data'!$A$1:$Z$20000,MATCH(A1173,'Semrush Data'!$A$1:$A$20000,0),MATCH("Intent",'Semrush Data'!$A$1:$Z$1,0)),"")</f>
        <v/>
      </c>
    </row>
    <row r="1174" customFormat="false" ht="15" hidden="false" customHeight="true" outlineLevel="0" collapsed="false">
      <c r="A1174" s="7" t="s">
        <v>5673</v>
      </c>
      <c r="B1174" s="7" t="s">
        <v>6814</v>
      </c>
      <c r="C1174" s="7" t="n">
        <v>2</v>
      </c>
      <c r="D1174" s="7" t="s">
        <v>6816</v>
      </c>
      <c r="E1174" s="7" t="n">
        <v>1</v>
      </c>
      <c r="F1174" s="7" t="s">
        <v>5669</v>
      </c>
      <c r="G1174" s="12" t="n">
        <f aca="false">IFERROR(INDEX('Semrush Data'!$A$1:$Z$20000,MATCH(A1174,'Semrush Data'!$A$1:$A$20000,0),MATCH("Volume",'Semrush Data'!$A$1:$Z$1,0)),"")</f>
        <v>0</v>
      </c>
      <c r="H1174" s="7" t="n">
        <f aca="false">IFERROR(INDEX('Semrush Data'!$A$1:$Z$20000,MATCH(A1174,'Semrush Data'!$A$1:$A$20000,0),MATCH("Keyword Difficulty*",'Semrush Data'!$A$1:$Z$1,0)),"")</f>
        <v>2</v>
      </c>
      <c r="I1174" s="13" t="n">
        <f aca="false">IFERROR(INDEX('Semrush Data'!$A$1:$Z$20000,MATCH(A1174,'Semrush Data'!$A$1:$A$20000,0),MATCH("CPC*",'Semrush Data'!$A$1:$Z$1,0)),"")</f>
        <v>0</v>
      </c>
      <c r="J1174" s="7" t="str">
        <f aca="false">IFERROR(INDEX('Semrush Data'!$A$1:$Z$20000,MATCH(A1174,'Semrush Data'!$A$1:$A$20000,0),MATCH("Intent",'Semrush Data'!$A$1:$Z$1,0)),"")</f>
        <v>Informational Transactional</v>
      </c>
    </row>
    <row r="1175" customFormat="false" ht="15" hidden="false" customHeight="true" outlineLevel="0" collapsed="false">
      <c r="A1175" s="7" t="s">
        <v>5686</v>
      </c>
      <c r="B1175" s="7" t="s">
        <v>6814</v>
      </c>
      <c r="C1175" s="7" t="n">
        <v>2</v>
      </c>
      <c r="D1175" s="7" t="s">
        <v>6816</v>
      </c>
      <c r="E1175" s="7" t="n">
        <v>1</v>
      </c>
      <c r="F1175" s="7" t="s">
        <v>5682</v>
      </c>
      <c r="G1175" s="12" t="n">
        <f aca="false">IFERROR(INDEX('Semrush Data'!$A$1:$Z$20000,MATCH(A1175,'Semrush Data'!$A$1:$A$20000,0),MATCH("Volume",'Semrush Data'!$A$1:$Z$1,0)),"")</f>
        <v>20</v>
      </c>
      <c r="H1175" s="7" t="n">
        <f aca="false">IFERROR(INDEX('Semrush Data'!$A$1:$Z$20000,MATCH(A1175,'Semrush Data'!$A$1:$A$20000,0),MATCH("Keyword Difficulty*",'Semrush Data'!$A$1:$Z$1,0)),"")</f>
        <v>9</v>
      </c>
      <c r="I1175" s="13" t="n">
        <f aca="false">IFERROR(INDEX('Semrush Data'!$A$1:$Z$20000,MATCH(A1175,'Semrush Data'!$A$1:$A$20000,0),MATCH("CPC*",'Semrush Data'!$A$1:$Z$1,0)),"")</f>
        <v>0</v>
      </c>
      <c r="J1175" s="7" t="str">
        <f aca="false">IFERROR(INDEX('Semrush Data'!$A$1:$Z$20000,MATCH(A1175,'Semrush Data'!$A$1:$A$20000,0),MATCH("Intent",'Semrush Data'!$A$1:$Z$1,0)),"")</f>
        <v>Navigational</v>
      </c>
    </row>
    <row r="1176" customFormat="false" ht="15" hidden="false" customHeight="true" outlineLevel="0" collapsed="false">
      <c r="A1176" s="7" t="s">
        <v>5699</v>
      </c>
      <c r="B1176" s="7" t="s">
        <v>6814</v>
      </c>
      <c r="C1176" s="7" t="n">
        <v>2</v>
      </c>
      <c r="D1176" s="7" t="n">
        <v>12</v>
      </c>
      <c r="E1176" s="7" t="n">
        <v>1</v>
      </c>
      <c r="F1176" s="7" t="s">
        <v>5695</v>
      </c>
      <c r="G1176" s="12" t="str">
        <f aca="false">IFERROR(INDEX('Semrush Data'!$A$1:$Z$20000,MATCH(A1176,'Semrush Data'!$A$1:$A$20000,0),MATCH("Volume",'Semrush Data'!$A$1:$Z$1,0)),"")</f>
        <v/>
      </c>
      <c r="H1176" s="7" t="str">
        <f aca="false">IFERROR(INDEX('Semrush Data'!$A$1:$Z$20000,MATCH(A1176,'Semrush Data'!$A$1:$A$20000,0),MATCH("Keyword Difficulty*",'Semrush Data'!$A$1:$Z$1,0)),"")</f>
        <v/>
      </c>
      <c r="I1176" s="13" t="str">
        <f aca="false">IFERROR(INDEX('Semrush Data'!$A$1:$Z$20000,MATCH(A1176,'Semrush Data'!$A$1:$A$20000,0),MATCH("CPC*",'Semrush Data'!$A$1:$Z$1,0)),"")</f>
        <v/>
      </c>
      <c r="J1176" s="7" t="str">
        <f aca="false">IFERROR(INDEX('Semrush Data'!$A$1:$Z$20000,MATCH(A1176,'Semrush Data'!$A$1:$A$20000,0),MATCH("Intent",'Semrush Data'!$A$1:$Z$1,0)),"")</f>
        <v/>
      </c>
    </row>
    <row r="1177" customFormat="false" ht="15" hidden="false" customHeight="true" outlineLevel="0" collapsed="false">
      <c r="A1177" s="7" t="s">
        <v>5711</v>
      </c>
      <c r="B1177" s="7" t="s">
        <v>6814</v>
      </c>
      <c r="C1177" s="7" t="n">
        <v>2</v>
      </c>
      <c r="D1177" s="7" t="n">
        <v>12</v>
      </c>
      <c r="E1177" s="7" t="n">
        <v>1</v>
      </c>
      <c r="F1177" s="7" t="s">
        <v>5708</v>
      </c>
      <c r="G1177" s="12" t="str">
        <f aca="false">IFERROR(INDEX('Semrush Data'!$A$1:$Z$20000,MATCH(A1177,'Semrush Data'!$A$1:$A$20000,0),MATCH("Volume",'Semrush Data'!$A$1:$Z$1,0)),"")</f>
        <v/>
      </c>
      <c r="H1177" s="7" t="str">
        <f aca="false">IFERROR(INDEX('Semrush Data'!$A$1:$Z$20000,MATCH(A1177,'Semrush Data'!$A$1:$A$20000,0),MATCH("Keyword Difficulty*",'Semrush Data'!$A$1:$Z$1,0)),"")</f>
        <v/>
      </c>
      <c r="I1177" s="13" t="str">
        <f aca="false">IFERROR(INDEX('Semrush Data'!$A$1:$Z$20000,MATCH(A1177,'Semrush Data'!$A$1:$A$20000,0),MATCH("CPC*",'Semrush Data'!$A$1:$Z$1,0)),"")</f>
        <v/>
      </c>
      <c r="J1177" s="7" t="str">
        <f aca="false">IFERROR(INDEX('Semrush Data'!$A$1:$Z$20000,MATCH(A1177,'Semrush Data'!$A$1:$A$20000,0),MATCH("Intent",'Semrush Data'!$A$1:$Z$1,0)),"")</f>
        <v/>
      </c>
    </row>
    <row r="1178" customFormat="false" ht="15" hidden="false" customHeight="true" outlineLevel="0" collapsed="false">
      <c r="A1178" s="7" t="s">
        <v>5722</v>
      </c>
      <c r="B1178" s="7" t="s">
        <v>6814</v>
      </c>
      <c r="C1178" s="7" t="n">
        <v>2</v>
      </c>
      <c r="D1178" s="7" t="n">
        <v>12</v>
      </c>
      <c r="E1178" s="7" t="n">
        <v>1</v>
      </c>
      <c r="F1178" s="7" t="s">
        <v>5719</v>
      </c>
      <c r="G1178" s="12" t="str">
        <f aca="false">IFERROR(INDEX('Semrush Data'!$A$1:$Z$20000,MATCH(A1178,'Semrush Data'!$A$1:$A$20000,0),MATCH("Volume",'Semrush Data'!$A$1:$Z$1,0)),"")</f>
        <v/>
      </c>
      <c r="H1178" s="7" t="str">
        <f aca="false">IFERROR(INDEX('Semrush Data'!$A$1:$Z$20000,MATCH(A1178,'Semrush Data'!$A$1:$A$20000,0),MATCH("Keyword Difficulty*",'Semrush Data'!$A$1:$Z$1,0)),"")</f>
        <v/>
      </c>
      <c r="I1178" s="13" t="str">
        <f aca="false">IFERROR(INDEX('Semrush Data'!$A$1:$Z$20000,MATCH(A1178,'Semrush Data'!$A$1:$A$20000,0),MATCH("CPC*",'Semrush Data'!$A$1:$Z$1,0)),"")</f>
        <v/>
      </c>
      <c r="J1178" s="7" t="str">
        <f aca="false">IFERROR(INDEX('Semrush Data'!$A$1:$Z$20000,MATCH(A1178,'Semrush Data'!$A$1:$A$20000,0),MATCH("Intent",'Semrush Data'!$A$1:$Z$1,0)),"")</f>
        <v/>
      </c>
    </row>
    <row r="1179" customFormat="false" ht="15" hidden="false" customHeight="true" outlineLevel="0" collapsed="false">
      <c r="A1179" s="7" t="s">
        <v>5846</v>
      </c>
      <c r="B1179" s="7" t="s">
        <v>6814</v>
      </c>
      <c r="C1179" s="7" t="n">
        <v>2</v>
      </c>
      <c r="D1179" s="7" t="s">
        <v>6816</v>
      </c>
      <c r="E1179" s="7" t="n">
        <v>1</v>
      </c>
      <c r="F1179" s="7" t="s">
        <v>5842</v>
      </c>
      <c r="G1179" s="12" t="n">
        <f aca="false">IFERROR(INDEX('Semrush Data'!$A$1:$Z$20000,MATCH(A1179,'Semrush Data'!$A$1:$A$20000,0),MATCH("Volume",'Semrush Data'!$A$1:$Z$1,0)),"")</f>
        <v>0</v>
      </c>
      <c r="H1179" s="7" t="n">
        <f aca="false">IFERROR(INDEX('Semrush Data'!$A$1:$Z$20000,MATCH(A1179,'Semrush Data'!$A$1:$A$20000,0),MATCH("Keyword Difficulty*",'Semrush Data'!$A$1:$Z$1,0)),"")</f>
        <v>10</v>
      </c>
      <c r="I1179" s="13" t="n">
        <f aca="false">IFERROR(INDEX('Semrush Data'!$A$1:$Z$20000,MATCH(A1179,'Semrush Data'!$A$1:$A$20000,0),MATCH("CPC*",'Semrush Data'!$A$1:$Z$1,0)),"")</f>
        <v>0</v>
      </c>
      <c r="J1179" s="7" t="str">
        <f aca="false">IFERROR(INDEX('Semrush Data'!$A$1:$Z$20000,MATCH(A1179,'Semrush Data'!$A$1:$A$20000,0),MATCH("Intent",'Semrush Data'!$A$1:$Z$1,0)),"")</f>
        <v>Informational Commercial</v>
      </c>
    </row>
    <row r="1180" customFormat="false" ht="15" hidden="false" customHeight="true" outlineLevel="0" collapsed="false">
      <c r="A1180" s="7" t="s">
        <v>5734</v>
      </c>
      <c r="B1180" s="7" t="s">
        <v>6814</v>
      </c>
      <c r="C1180" s="7" t="n">
        <v>2</v>
      </c>
      <c r="D1180" s="7" t="n">
        <v>12</v>
      </c>
      <c r="E1180" s="7" t="n">
        <v>1</v>
      </c>
      <c r="F1180" s="7" t="s">
        <v>5731</v>
      </c>
      <c r="G1180" s="12" t="str">
        <f aca="false">IFERROR(INDEX('Semrush Data'!$A$1:$Z$20000,MATCH(A1180,'Semrush Data'!$A$1:$A$20000,0),MATCH("Volume",'Semrush Data'!$A$1:$Z$1,0)),"")</f>
        <v/>
      </c>
      <c r="H1180" s="7" t="str">
        <f aca="false">IFERROR(INDEX('Semrush Data'!$A$1:$Z$20000,MATCH(A1180,'Semrush Data'!$A$1:$A$20000,0),MATCH("Keyword Difficulty*",'Semrush Data'!$A$1:$Z$1,0)),"")</f>
        <v/>
      </c>
      <c r="I1180" s="13" t="str">
        <f aca="false">IFERROR(INDEX('Semrush Data'!$A$1:$Z$20000,MATCH(A1180,'Semrush Data'!$A$1:$A$20000,0),MATCH("CPC*",'Semrush Data'!$A$1:$Z$1,0)),"")</f>
        <v/>
      </c>
      <c r="J1180" s="7" t="str">
        <f aca="false">IFERROR(INDEX('Semrush Data'!$A$1:$Z$20000,MATCH(A1180,'Semrush Data'!$A$1:$A$20000,0),MATCH("Intent",'Semrush Data'!$A$1:$Z$1,0)),"")</f>
        <v/>
      </c>
    </row>
    <row r="1181" customFormat="false" ht="15" hidden="false" customHeight="true" outlineLevel="0" collapsed="false">
      <c r="A1181" s="7" t="s">
        <v>5824</v>
      </c>
      <c r="B1181" s="7" t="s">
        <v>6814</v>
      </c>
      <c r="C1181" s="7" t="n">
        <v>2</v>
      </c>
      <c r="D1181" s="7" t="n">
        <v>12</v>
      </c>
      <c r="E1181" s="7" t="n">
        <v>1</v>
      </c>
      <c r="F1181" s="7" t="s">
        <v>5821</v>
      </c>
      <c r="G1181" s="12" t="str">
        <f aca="false">IFERROR(INDEX('Semrush Data'!$A$1:$Z$20000,MATCH(A1181,'Semrush Data'!$A$1:$A$20000,0),MATCH("Volume",'Semrush Data'!$A$1:$Z$1,0)),"")</f>
        <v/>
      </c>
      <c r="H1181" s="7" t="str">
        <f aca="false">IFERROR(INDEX('Semrush Data'!$A$1:$Z$20000,MATCH(A1181,'Semrush Data'!$A$1:$A$20000,0),MATCH("Keyword Difficulty*",'Semrush Data'!$A$1:$Z$1,0)),"")</f>
        <v/>
      </c>
      <c r="I1181" s="13" t="str">
        <f aca="false">IFERROR(INDEX('Semrush Data'!$A$1:$Z$20000,MATCH(A1181,'Semrush Data'!$A$1:$A$20000,0),MATCH("CPC*",'Semrush Data'!$A$1:$Z$1,0)),"")</f>
        <v/>
      </c>
      <c r="J1181" s="7" t="str">
        <f aca="false">IFERROR(INDEX('Semrush Data'!$A$1:$Z$20000,MATCH(A1181,'Semrush Data'!$A$1:$A$20000,0),MATCH("Intent",'Semrush Data'!$A$1:$Z$1,0)),"")</f>
        <v/>
      </c>
    </row>
    <row r="1182" customFormat="false" ht="15" hidden="false" customHeight="true" outlineLevel="0" collapsed="false">
      <c r="A1182" s="7" t="s">
        <v>5836</v>
      </c>
      <c r="B1182" s="7" t="s">
        <v>6814</v>
      </c>
      <c r="C1182" s="7" t="n">
        <v>2</v>
      </c>
      <c r="D1182" s="7" t="n">
        <v>12</v>
      </c>
      <c r="E1182" s="7" t="n">
        <v>1</v>
      </c>
      <c r="F1182" s="7" t="s">
        <v>5832</v>
      </c>
      <c r="G1182" s="12" t="str">
        <f aca="false">IFERROR(INDEX('Semrush Data'!$A$1:$Z$20000,MATCH(A1182,'Semrush Data'!$A$1:$A$20000,0),MATCH("Volume",'Semrush Data'!$A$1:$Z$1,0)),"")</f>
        <v/>
      </c>
      <c r="H1182" s="7" t="str">
        <f aca="false">IFERROR(INDEX('Semrush Data'!$A$1:$Z$20000,MATCH(A1182,'Semrush Data'!$A$1:$A$20000,0),MATCH("Keyword Difficulty*",'Semrush Data'!$A$1:$Z$1,0)),"")</f>
        <v/>
      </c>
      <c r="I1182" s="13" t="str">
        <f aca="false">IFERROR(INDEX('Semrush Data'!$A$1:$Z$20000,MATCH(A1182,'Semrush Data'!$A$1:$A$20000,0),MATCH("CPC*",'Semrush Data'!$A$1:$Z$1,0)),"")</f>
        <v/>
      </c>
      <c r="J1182" s="7" t="str">
        <f aca="false">IFERROR(INDEX('Semrush Data'!$A$1:$Z$20000,MATCH(A1182,'Semrush Data'!$A$1:$A$20000,0),MATCH("Intent",'Semrush Data'!$A$1:$Z$1,0)),"")</f>
        <v/>
      </c>
    </row>
    <row r="1183" customFormat="false" ht="15" hidden="false" customHeight="true" outlineLevel="0" collapsed="false">
      <c r="A1183" s="7" t="s">
        <v>5858</v>
      </c>
      <c r="B1183" s="7" t="s">
        <v>6814</v>
      </c>
      <c r="C1183" s="7" t="n">
        <v>2</v>
      </c>
      <c r="D1183" s="7" t="n">
        <v>12</v>
      </c>
      <c r="E1183" s="7" t="n">
        <v>1</v>
      </c>
      <c r="F1183" s="7" t="s">
        <v>5855</v>
      </c>
      <c r="G1183" s="12" t="str">
        <f aca="false">IFERROR(INDEX('Semrush Data'!$A$1:$Z$20000,MATCH(A1183,'Semrush Data'!$A$1:$A$20000,0),MATCH("Volume",'Semrush Data'!$A$1:$Z$1,0)),"")</f>
        <v/>
      </c>
      <c r="H1183" s="7" t="str">
        <f aca="false">IFERROR(INDEX('Semrush Data'!$A$1:$Z$20000,MATCH(A1183,'Semrush Data'!$A$1:$A$20000,0),MATCH("Keyword Difficulty*",'Semrush Data'!$A$1:$Z$1,0)),"")</f>
        <v/>
      </c>
      <c r="I1183" s="13" t="str">
        <f aca="false">IFERROR(INDEX('Semrush Data'!$A$1:$Z$20000,MATCH(A1183,'Semrush Data'!$A$1:$A$20000,0),MATCH("CPC*",'Semrush Data'!$A$1:$Z$1,0)),"")</f>
        <v/>
      </c>
      <c r="J1183" s="7" t="str">
        <f aca="false">IFERROR(INDEX('Semrush Data'!$A$1:$Z$20000,MATCH(A1183,'Semrush Data'!$A$1:$A$20000,0),MATCH("Intent",'Semrush Data'!$A$1:$Z$1,0)),"")</f>
        <v/>
      </c>
    </row>
    <row r="1184" customFormat="false" ht="15" hidden="false" customHeight="true" outlineLevel="0" collapsed="false">
      <c r="A1184" s="7" t="s">
        <v>5745</v>
      </c>
      <c r="B1184" s="7" t="s">
        <v>6814</v>
      </c>
      <c r="C1184" s="7" t="n">
        <v>2</v>
      </c>
      <c r="D1184" s="7" t="n">
        <v>12</v>
      </c>
      <c r="E1184" s="7" t="n">
        <v>1</v>
      </c>
      <c r="F1184" s="7" t="s">
        <v>5742</v>
      </c>
      <c r="G1184" s="12" t="str">
        <f aca="false">IFERROR(INDEX('Semrush Data'!$A$1:$Z$20000,MATCH(A1184,'Semrush Data'!$A$1:$A$20000,0),MATCH("Volume",'Semrush Data'!$A$1:$Z$1,0)),"")</f>
        <v/>
      </c>
      <c r="H1184" s="7" t="str">
        <f aca="false">IFERROR(INDEX('Semrush Data'!$A$1:$Z$20000,MATCH(A1184,'Semrush Data'!$A$1:$A$20000,0),MATCH("Keyword Difficulty*",'Semrush Data'!$A$1:$Z$1,0)),"")</f>
        <v/>
      </c>
      <c r="I1184" s="13" t="str">
        <f aca="false">IFERROR(INDEX('Semrush Data'!$A$1:$Z$20000,MATCH(A1184,'Semrush Data'!$A$1:$A$20000,0),MATCH("CPC*",'Semrush Data'!$A$1:$Z$1,0)),"")</f>
        <v/>
      </c>
      <c r="J1184" s="7" t="str">
        <f aca="false">IFERROR(INDEX('Semrush Data'!$A$1:$Z$20000,MATCH(A1184,'Semrush Data'!$A$1:$A$20000,0),MATCH("Intent",'Semrush Data'!$A$1:$Z$1,0)),"")</f>
        <v/>
      </c>
    </row>
    <row r="1185" customFormat="false" ht="15" hidden="false" customHeight="true" outlineLevel="0" collapsed="false">
      <c r="A1185" s="7" t="s">
        <v>5757</v>
      </c>
      <c r="B1185" s="7" t="s">
        <v>6814</v>
      </c>
      <c r="C1185" s="7" t="n">
        <v>2</v>
      </c>
      <c r="D1185" s="7" t="n">
        <v>12</v>
      </c>
      <c r="E1185" s="7" t="n">
        <v>1</v>
      </c>
      <c r="F1185" s="7" t="s">
        <v>5753</v>
      </c>
      <c r="G1185" s="12" t="str">
        <f aca="false">IFERROR(INDEX('Semrush Data'!$A$1:$Z$20000,MATCH(A1185,'Semrush Data'!$A$1:$A$20000,0),MATCH("Volume",'Semrush Data'!$A$1:$Z$1,0)),"")</f>
        <v/>
      </c>
      <c r="H1185" s="7" t="str">
        <f aca="false">IFERROR(INDEX('Semrush Data'!$A$1:$Z$20000,MATCH(A1185,'Semrush Data'!$A$1:$A$20000,0),MATCH("Keyword Difficulty*",'Semrush Data'!$A$1:$Z$1,0)),"")</f>
        <v/>
      </c>
      <c r="I1185" s="13" t="str">
        <f aca="false">IFERROR(INDEX('Semrush Data'!$A$1:$Z$20000,MATCH(A1185,'Semrush Data'!$A$1:$A$20000,0),MATCH("CPC*",'Semrush Data'!$A$1:$Z$1,0)),"")</f>
        <v/>
      </c>
      <c r="J1185" s="7" t="str">
        <f aca="false">IFERROR(INDEX('Semrush Data'!$A$1:$Z$20000,MATCH(A1185,'Semrush Data'!$A$1:$A$20000,0),MATCH("Intent",'Semrush Data'!$A$1:$Z$1,0)),"")</f>
        <v/>
      </c>
    </row>
    <row r="1186" customFormat="false" ht="15" hidden="false" customHeight="true" outlineLevel="0" collapsed="false">
      <c r="A1186" s="7" t="s">
        <v>5769</v>
      </c>
      <c r="B1186" s="7" t="s">
        <v>6814</v>
      </c>
      <c r="C1186" s="7" t="n">
        <v>2</v>
      </c>
      <c r="D1186" s="7" t="n">
        <v>12</v>
      </c>
      <c r="E1186" s="7" t="n">
        <v>1</v>
      </c>
      <c r="F1186" s="7" t="s">
        <v>5766</v>
      </c>
      <c r="G1186" s="12" t="str">
        <f aca="false">IFERROR(INDEX('Semrush Data'!$A$1:$Z$20000,MATCH(A1186,'Semrush Data'!$A$1:$A$20000,0),MATCH("Volume",'Semrush Data'!$A$1:$Z$1,0)),"")</f>
        <v/>
      </c>
      <c r="H1186" s="7" t="str">
        <f aca="false">IFERROR(INDEX('Semrush Data'!$A$1:$Z$20000,MATCH(A1186,'Semrush Data'!$A$1:$A$20000,0),MATCH("Keyword Difficulty*",'Semrush Data'!$A$1:$Z$1,0)),"")</f>
        <v/>
      </c>
      <c r="I1186" s="13" t="str">
        <f aca="false">IFERROR(INDEX('Semrush Data'!$A$1:$Z$20000,MATCH(A1186,'Semrush Data'!$A$1:$A$20000,0),MATCH("CPC*",'Semrush Data'!$A$1:$Z$1,0)),"")</f>
        <v/>
      </c>
      <c r="J1186" s="7" t="str">
        <f aca="false">IFERROR(INDEX('Semrush Data'!$A$1:$Z$20000,MATCH(A1186,'Semrush Data'!$A$1:$A$20000,0),MATCH("Intent",'Semrush Data'!$A$1:$Z$1,0)),"")</f>
        <v/>
      </c>
    </row>
    <row r="1187" customFormat="false" ht="15" hidden="false" customHeight="true" outlineLevel="0" collapsed="false">
      <c r="A1187" s="7" t="s">
        <v>5780</v>
      </c>
      <c r="B1187" s="7" t="s">
        <v>6814</v>
      </c>
      <c r="C1187" s="7" t="n">
        <v>2</v>
      </c>
      <c r="D1187" s="7" t="n">
        <v>12</v>
      </c>
      <c r="E1187" s="7" t="n">
        <v>1</v>
      </c>
      <c r="F1187" s="7" t="s">
        <v>5777</v>
      </c>
      <c r="G1187" s="12" t="str">
        <f aca="false">IFERROR(INDEX('Semrush Data'!$A$1:$Z$20000,MATCH(A1187,'Semrush Data'!$A$1:$A$20000,0),MATCH("Volume",'Semrush Data'!$A$1:$Z$1,0)),"")</f>
        <v/>
      </c>
      <c r="H1187" s="7" t="str">
        <f aca="false">IFERROR(INDEX('Semrush Data'!$A$1:$Z$20000,MATCH(A1187,'Semrush Data'!$A$1:$A$20000,0),MATCH("Keyword Difficulty*",'Semrush Data'!$A$1:$Z$1,0)),"")</f>
        <v/>
      </c>
      <c r="I1187" s="13" t="str">
        <f aca="false">IFERROR(INDEX('Semrush Data'!$A$1:$Z$20000,MATCH(A1187,'Semrush Data'!$A$1:$A$20000,0),MATCH("CPC*",'Semrush Data'!$A$1:$Z$1,0)),"")</f>
        <v/>
      </c>
      <c r="J1187" s="7" t="str">
        <f aca="false">IFERROR(INDEX('Semrush Data'!$A$1:$Z$20000,MATCH(A1187,'Semrush Data'!$A$1:$A$20000,0),MATCH("Intent",'Semrush Data'!$A$1:$Z$1,0)),"")</f>
        <v/>
      </c>
    </row>
    <row r="1188" customFormat="false" ht="15" hidden="false" customHeight="true" outlineLevel="0" collapsed="false">
      <c r="A1188" s="7" t="s">
        <v>5791</v>
      </c>
      <c r="B1188" s="7" t="s">
        <v>6814</v>
      </c>
      <c r="C1188" s="7" t="n">
        <v>2</v>
      </c>
      <c r="D1188" s="7" t="n">
        <v>12</v>
      </c>
      <c r="E1188" s="7" t="n">
        <v>1</v>
      </c>
      <c r="F1188" s="7" t="s">
        <v>5788</v>
      </c>
      <c r="G1188" s="12" t="str">
        <f aca="false">IFERROR(INDEX('Semrush Data'!$A$1:$Z$20000,MATCH(A1188,'Semrush Data'!$A$1:$A$20000,0),MATCH("Volume",'Semrush Data'!$A$1:$Z$1,0)),"")</f>
        <v/>
      </c>
      <c r="H1188" s="7" t="str">
        <f aca="false">IFERROR(INDEX('Semrush Data'!$A$1:$Z$20000,MATCH(A1188,'Semrush Data'!$A$1:$A$20000,0),MATCH("Keyword Difficulty*",'Semrush Data'!$A$1:$Z$1,0)),"")</f>
        <v/>
      </c>
      <c r="I1188" s="13" t="str">
        <f aca="false">IFERROR(INDEX('Semrush Data'!$A$1:$Z$20000,MATCH(A1188,'Semrush Data'!$A$1:$A$20000,0),MATCH("CPC*",'Semrush Data'!$A$1:$Z$1,0)),"")</f>
        <v/>
      </c>
      <c r="J1188" s="7" t="str">
        <f aca="false">IFERROR(INDEX('Semrush Data'!$A$1:$Z$20000,MATCH(A1188,'Semrush Data'!$A$1:$A$20000,0),MATCH("Intent",'Semrush Data'!$A$1:$Z$1,0)),"")</f>
        <v/>
      </c>
    </row>
    <row r="1189" customFormat="false" ht="15" hidden="false" customHeight="true" outlineLevel="0" collapsed="false">
      <c r="A1189" s="7" t="s">
        <v>5869</v>
      </c>
      <c r="B1189" s="7" t="s">
        <v>6814</v>
      </c>
      <c r="C1189" s="7" t="n">
        <v>2</v>
      </c>
      <c r="D1189" s="7" t="n">
        <v>12</v>
      </c>
      <c r="E1189" s="7" t="n">
        <v>1</v>
      </c>
      <c r="F1189" s="7" t="s">
        <v>5866</v>
      </c>
      <c r="G1189" s="12" t="str">
        <f aca="false">IFERROR(INDEX('Semrush Data'!$A$1:$Z$20000,MATCH(A1189,'Semrush Data'!$A$1:$A$20000,0),MATCH("Volume",'Semrush Data'!$A$1:$Z$1,0)),"")</f>
        <v/>
      </c>
      <c r="H1189" s="7" t="str">
        <f aca="false">IFERROR(INDEX('Semrush Data'!$A$1:$Z$20000,MATCH(A1189,'Semrush Data'!$A$1:$A$20000,0),MATCH("Keyword Difficulty*",'Semrush Data'!$A$1:$Z$1,0)),"")</f>
        <v/>
      </c>
      <c r="I1189" s="13" t="str">
        <f aca="false">IFERROR(INDEX('Semrush Data'!$A$1:$Z$20000,MATCH(A1189,'Semrush Data'!$A$1:$A$20000,0),MATCH("CPC*",'Semrush Data'!$A$1:$Z$1,0)),"")</f>
        <v/>
      </c>
      <c r="J1189" s="7" t="str">
        <f aca="false">IFERROR(INDEX('Semrush Data'!$A$1:$Z$20000,MATCH(A1189,'Semrush Data'!$A$1:$A$20000,0),MATCH("Intent",'Semrush Data'!$A$1:$Z$1,0)),"")</f>
        <v/>
      </c>
    </row>
    <row r="1190" customFormat="false" ht="15" hidden="false" customHeight="true" outlineLevel="0" collapsed="false">
      <c r="A1190" s="7" t="s">
        <v>5802</v>
      </c>
      <c r="B1190" s="7" t="s">
        <v>6814</v>
      </c>
      <c r="C1190" s="7" t="n">
        <v>2</v>
      </c>
      <c r="D1190" s="7" t="n">
        <v>12</v>
      </c>
      <c r="E1190" s="7" t="n">
        <v>1</v>
      </c>
      <c r="F1190" s="7" t="s">
        <v>5799</v>
      </c>
      <c r="G1190" s="12" t="str">
        <f aca="false">IFERROR(INDEX('Semrush Data'!$A$1:$Z$20000,MATCH(A1190,'Semrush Data'!$A$1:$A$20000,0),MATCH("Volume",'Semrush Data'!$A$1:$Z$1,0)),"")</f>
        <v/>
      </c>
      <c r="H1190" s="7" t="str">
        <f aca="false">IFERROR(INDEX('Semrush Data'!$A$1:$Z$20000,MATCH(A1190,'Semrush Data'!$A$1:$A$20000,0),MATCH("Keyword Difficulty*",'Semrush Data'!$A$1:$Z$1,0)),"")</f>
        <v/>
      </c>
      <c r="I1190" s="13" t="str">
        <f aca="false">IFERROR(INDEX('Semrush Data'!$A$1:$Z$20000,MATCH(A1190,'Semrush Data'!$A$1:$A$20000,0),MATCH("CPC*",'Semrush Data'!$A$1:$Z$1,0)),"")</f>
        <v/>
      </c>
      <c r="J1190" s="7" t="str">
        <f aca="false">IFERROR(INDEX('Semrush Data'!$A$1:$Z$20000,MATCH(A1190,'Semrush Data'!$A$1:$A$20000,0),MATCH("Intent",'Semrush Data'!$A$1:$Z$1,0)),"")</f>
        <v/>
      </c>
    </row>
    <row r="1191" customFormat="false" ht="15" hidden="false" customHeight="true" outlineLevel="0" collapsed="false">
      <c r="A1191" s="7" t="s">
        <v>5813</v>
      </c>
      <c r="B1191" s="7" t="s">
        <v>6814</v>
      </c>
      <c r="C1191" s="7" t="n">
        <v>2</v>
      </c>
      <c r="D1191" s="7" t="n">
        <v>12</v>
      </c>
      <c r="E1191" s="7" t="n">
        <v>1</v>
      </c>
      <c r="F1191" s="7" t="s">
        <v>5810</v>
      </c>
      <c r="G1191" s="12" t="str">
        <f aca="false">IFERROR(INDEX('Semrush Data'!$A$1:$Z$20000,MATCH(A1191,'Semrush Data'!$A$1:$A$20000,0),MATCH("Volume",'Semrush Data'!$A$1:$Z$1,0)),"")</f>
        <v/>
      </c>
      <c r="H1191" s="7" t="str">
        <f aca="false">IFERROR(INDEX('Semrush Data'!$A$1:$Z$20000,MATCH(A1191,'Semrush Data'!$A$1:$A$20000,0),MATCH("Keyword Difficulty*",'Semrush Data'!$A$1:$Z$1,0)),"")</f>
        <v/>
      </c>
      <c r="I1191" s="13" t="str">
        <f aca="false">IFERROR(INDEX('Semrush Data'!$A$1:$Z$20000,MATCH(A1191,'Semrush Data'!$A$1:$A$20000,0),MATCH("CPC*",'Semrush Data'!$A$1:$Z$1,0)),"")</f>
        <v/>
      </c>
      <c r="J1191" s="7" t="str">
        <f aca="false">IFERROR(INDEX('Semrush Data'!$A$1:$Z$20000,MATCH(A1191,'Semrush Data'!$A$1:$A$20000,0),MATCH("Intent",'Semrush Data'!$A$1:$Z$1,0)),"")</f>
        <v/>
      </c>
    </row>
    <row r="1192" customFormat="false" ht="15" hidden="false" customHeight="true" outlineLevel="0" collapsed="false">
      <c r="A1192" s="7" t="s">
        <v>5955</v>
      </c>
      <c r="B1192" s="7" t="s">
        <v>6814</v>
      </c>
      <c r="C1192" s="7" t="n">
        <v>2</v>
      </c>
      <c r="D1192" s="7" t="n">
        <v>12</v>
      </c>
      <c r="E1192" s="7" t="n">
        <v>1</v>
      </c>
      <c r="F1192" s="7" t="s">
        <v>5951</v>
      </c>
      <c r="G1192" s="12" t="str">
        <f aca="false">IFERROR(INDEX('Semrush Data'!$A$1:$Z$20000,MATCH(A1192,'Semrush Data'!$A$1:$A$20000,0),MATCH("Volume",'Semrush Data'!$A$1:$Z$1,0)),"")</f>
        <v/>
      </c>
      <c r="H1192" s="7" t="str">
        <f aca="false">IFERROR(INDEX('Semrush Data'!$A$1:$Z$20000,MATCH(A1192,'Semrush Data'!$A$1:$A$20000,0),MATCH("Keyword Difficulty*",'Semrush Data'!$A$1:$Z$1,0)),"")</f>
        <v/>
      </c>
      <c r="I1192" s="13" t="str">
        <f aca="false">IFERROR(INDEX('Semrush Data'!$A$1:$Z$20000,MATCH(A1192,'Semrush Data'!$A$1:$A$20000,0),MATCH("CPC*",'Semrush Data'!$A$1:$Z$1,0)),"")</f>
        <v/>
      </c>
      <c r="J1192" s="7" t="str">
        <f aca="false">IFERROR(INDEX('Semrush Data'!$A$1:$Z$20000,MATCH(A1192,'Semrush Data'!$A$1:$A$20000,0),MATCH("Intent",'Semrush Data'!$A$1:$Z$1,0)),"")</f>
        <v/>
      </c>
    </row>
    <row r="1193" customFormat="false" ht="15" hidden="false" customHeight="true" outlineLevel="0" collapsed="false">
      <c r="A1193" s="7" t="s">
        <v>5967</v>
      </c>
      <c r="B1193" s="7" t="s">
        <v>6814</v>
      </c>
      <c r="C1193" s="7" t="n">
        <v>2</v>
      </c>
      <c r="D1193" s="7" t="n">
        <v>12</v>
      </c>
      <c r="E1193" s="7" t="n">
        <v>1</v>
      </c>
      <c r="F1193" s="7" t="s">
        <v>5964</v>
      </c>
      <c r="G1193" s="12" t="str">
        <f aca="false">IFERROR(INDEX('Semrush Data'!$A$1:$Z$20000,MATCH(A1193,'Semrush Data'!$A$1:$A$20000,0),MATCH("Volume",'Semrush Data'!$A$1:$Z$1,0)),"")</f>
        <v/>
      </c>
      <c r="H1193" s="7" t="str">
        <f aca="false">IFERROR(INDEX('Semrush Data'!$A$1:$Z$20000,MATCH(A1193,'Semrush Data'!$A$1:$A$20000,0),MATCH("Keyword Difficulty*",'Semrush Data'!$A$1:$Z$1,0)),"")</f>
        <v/>
      </c>
      <c r="I1193" s="13" t="str">
        <f aca="false">IFERROR(INDEX('Semrush Data'!$A$1:$Z$20000,MATCH(A1193,'Semrush Data'!$A$1:$A$20000,0),MATCH("CPC*",'Semrush Data'!$A$1:$Z$1,0)),"")</f>
        <v/>
      </c>
      <c r="J1193" s="7" t="str">
        <f aca="false">IFERROR(INDEX('Semrush Data'!$A$1:$Z$20000,MATCH(A1193,'Semrush Data'!$A$1:$A$20000,0),MATCH("Intent",'Semrush Data'!$A$1:$Z$1,0)),"")</f>
        <v/>
      </c>
    </row>
    <row r="1194" customFormat="false" ht="15" hidden="false" customHeight="true" outlineLevel="0" collapsed="false">
      <c r="A1194" s="7" t="s">
        <v>5978</v>
      </c>
      <c r="B1194" s="7" t="s">
        <v>6814</v>
      </c>
      <c r="C1194" s="7" t="n">
        <v>2</v>
      </c>
      <c r="D1194" s="7" t="n">
        <v>12</v>
      </c>
      <c r="E1194" s="7" t="n">
        <v>1</v>
      </c>
      <c r="F1194" s="7" t="s">
        <v>5975</v>
      </c>
      <c r="G1194" s="12" t="str">
        <f aca="false">IFERROR(INDEX('Semrush Data'!$A$1:$Z$20000,MATCH(A1194,'Semrush Data'!$A$1:$A$20000,0),MATCH("Volume",'Semrush Data'!$A$1:$Z$1,0)),"")</f>
        <v/>
      </c>
      <c r="H1194" s="7" t="str">
        <f aca="false">IFERROR(INDEX('Semrush Data'!$A$1:$Z$20000,MATCH(A1194,'Semrush Data'!$A$1:$A$20000,0),MATCH("Keyword Difficulty*",'Semrush Data'!$A$1:$Z$1,0)),"")</f>
        <v/>
      </c>
      <c r="I1194" s="13" t="str">
        <f aca="false">IFERROR(INDEX('Semrush Data'!$A$1:$Z$20000,MATCH(A1194,'Semrush Data'!$A$1:$A$20000,0),MATCH("CPC*",'Semrush Data'!$A$1:$Z$1,0)),"")</f>
        <v/>
      </c>
      <c r="J1194" s="7" t="str">
        <f aca="false">IFERROR(INDEX('Semrush Data'!$A$1:$Z$20000,MATCH(A1194,'Semrush Data'!$A$1:$A$20000,0),MATCH("Intent",'Semrush Data'!$A$1:$Z$1,0)),"")</f>
        <v/>
      </c>
    </row>
    <row r="1195" customFormat="false" ht="15" hidden="false" customHeight="true" outlineLevel="0" collapsed="false">
      <c r="A1195" s="7" t="s">
        <v>5989</v>
      </c>
      <c r="B1195" s="7" t="s">
        <v>6814</v>
      </c>
      <c r="C1195" s="7" t="n">
        <v>2</v>
      </c>
      <c r="D1195" s="7" t="n">
        <v>12</v>
      </c>
      <c r="E1195" s="7" t="n">
        <v>1</v>
      </c>
      <c r="F1195" s="7" t="s">
        <v>5985</v>
      </c>
      <c r="G1195" s="12" t="str">
        <f aca="false">IFERROR(INDEX('Semrush Data'!$A$1:$Z$20000,MATCH(A1195,'Semrush Data'!$A$1:$A$20000,0),MATCH("Volume",'Semrush Data'!$A$1:$Z$1,0)),"")</f>
        <v/>
      </c>
      <c r="H1195" s="7" t="str">
        <f aca="false">IFERROR(INDEX('Semrush Data'!$A$1:$Z$20000,MATCH(A1195,'Semrush Data'!$A$1:$A$20000,0),MATCH("Keyword Difficulty*",'Semrush Data'!$A$1:$Z$1,0)),"")</f>
        <v/>
      </c>
      <c r="I1195" s="13" t="str">
        <f aca="false">IFERROR(INDEX('Semrush Data'!$A$1:$Z$20000,MATCH(A1195,'Semrush Data'!$A$1:$A$20000,0),MATCH("CPC*",'Semrush Data'!$A$1:$Z$1,0)),"")</f>
        <v/>
      </c>
      <c r="J1195" s="7" t="str">
        <f aca="false">IFERROR(INDEX('Semrush Data'!$A$1:$Z$20000,MATCH(A1195,'Semrush Data'!$A$1:$A$20000,0),MATCH("Intent",'Semrush Data'!$A$1:$Z$1,0)),"")</f>
        <v/>
      </c>
    </row>
    <row r="1196" customFormat="false" ht="15" hidden="false" customHeight="true" outlineLevel="0" collapsed="false">
      <c r="A1196" s="7" t="s">
        <v>6001</v>
      </c>
      <c r="B1196" s="7" t="s">
        <v>6814</v>
      </c>
      <c r="C1196" s="7" t="n">
        <v>2</v>
      </c>
      <c r="D1196" s="7" t="n">
        <v>12</v>
      </c>
      <c r="E1196" s="7" t="n">
        <v>1</v>
      </c>
      <c r="F1196" s="7" t="s">
        <v>5998</v>
      </c>
      <c r="G1196" s="12" t="str">
        <f aca="false">IFERROR(INDEX('Semrush Data'!$A$1:$Z$20000,MATCH(A1196,'Semrush Data'!$A$1:$A$20000,0),MATCH("Volume",'Semrush Data'!$A$1:$Z$1,0)),"")</f>
        <v/>
      </c>
      <c r="H1196" s="7" t="str">
        <f aca="false">IFERROR(INDEX('Semrush Data'!$A$1:$Z$20000,MATCH(A1196,'Semrush Data'!$A$1:$A$20000,0),MATCH("Keyword Difficulty*",'Semrush Data'!$A$1:$Z$1,0)),"")</f>
        <v/>
      </c>
      <c r="I1196" s="13" t="str">
        <f aca="false">IFERROR(INDEX('Semrush Data'!$A$1:$Z$20000,MATCH(A1196,'Semrush Data'!$A$1:$A$20000,0),MATCH("CPC*",'Semrush Data'!$A$1:$Z$1,0)),"")</f>
        <v/>
      </c>
      <c r="J1196" s="7" t="str">
        <f aca="false">IFERROR(INDEX('Semrush Data'!$A$1:$Z$20000,MATCH(A1196,'Semrush Data'!$A$1:$A$20000,0),MATCH("Intent",'Semrush Data'!$A$1:$Z$1,0)),"")</f>
        <v/>
      </c>
    </row>
    <row r="1197" customFormat="false" ht="15" hidden="false" customHeight="true" outlineLevel="0" collapsed="false">
      <c r="A1197" s="7" t="s">
        <v>6012</v>
      </c>
      <c r="B1197" s="7" t="s">
        <v>6814</v>
      </c>
      <c r="C1197" s="7" t="n">
        <v>2</v>
      </c>
      <c r="D1197" s="7" t="n">
        <v>12</v>
      </c>
      <c r="E1197" s="7" t="n">
        <v>1</v>
      </c>
      <c r="F1197" s="7" t="s">
        <v>6009</v>
      </c>
      <c r="G1197" s="12" t="str">
        <f aca="false">IFERROR(INDEX('Semrush Data'!$A$1:$Z$20000,MATCH(A1197,'Semrush Data'!$A$1:$A$20000,0),MATCH("Volume",'Semrush Data'!$A$1:$Z$1,0)),"")</f>
        <v/>
      </c>
      <c r="H1197" s="7" t="str">
        <f aca="false">IFERROR(INDEX('Semrush Data'!$A$1:$Z$20000,MATCH(A1197,'Semrush Data'!$A$1:$A$20000,0),MATCH("Keyword Difficulty*",'Semrush Data'!$A$1:$Z$1,0)),"")</f>
        <v/>
      </c>
      <c r="I1197" s="13" t="str">
        <f aca="false">IFERROR(INDEX('Semrush Data'!$A$1:$Z$20000,MATCH(A1197,'Semrush Data'!$A$1:$A$20000,0),MATCH("CPC*",'Semrush Data'!$A$1:$Z$1,0)),"")</f>
        <v/>
      </c>
      <c r="J1197" s="7" t="str">
        <f aca="false">IFERROR(INDEX('Semrush Data'!$A$1:$Z$20000,MATCH(A1197,'Semrush Data'!$A$1:$A$20000,0),MATCH("Intent",'Semrush Data'!$A$1:$Z$1,0)),"")</f>
        <v/>
      </c>
    </row>
    <row r="1198" customFormat="false" ht="15" hidden="false" customHeight="true" outlineLevel="0" collapsed="false">
      <c r="A1198" s="7" t="s">
        <v>6023</v>
      </c>
      <c r="B1198" s="7" t="s">
        <v>6814</v>
      </c>
      <c r="C1198" s="7" t="n">
        <v>2</v>
      </c>
      <c r="D1198" s="7" t="n">
        <v>12</v>
      </c>
      <c r="E1198" s="7" t="n">
        <v>1</v>
      </c>
      <c r="F1198" s="7" t="s">
        <v>6020</v>
      </c>
      <c r="G1198" s="12" t="str">
        <f aca="false">IFERROR(INDEX('Semrush Data'!$A$1:$Z$20000,MATCH(A1198,'Semrush Data'!$A$1:$A$20000,0),MATCH("Volume",'Semrush Data'!$A$1:$Z$1,0)),"")</f>
        <v/>
      </c>
      <c r="H1198" s="7" t="str">
        <f aca="false">IFERROR(INDEX('Semrush Data'!$A$1:$Z$20000,MATCH(A1198,'Semrush Data'!$A$1:$A$20000,0),MATCH("Keyword Difficulty*",'Semrush Data'!$A$1:$Z$1,0)),"")</f>
        <v/>
      </c>
      <c r="I1198" s="13" t="str">
        <f aca="false">IFERROR(INDEX('Semrush Data'!$A$1:$Z$20000,MATCH(A1198,'Semrush Data'!$A$1:$A$20000,0),MATCH("CPC*",'Semrush Data'!$A$1:$Z$1,0)),"")</f>
        <v/>
      </c>
      <c r="J1198" s="7" t="str">
        <f aca="false">IFERROR(INDEX('Semrush Data'!$A$1:$Z$20000,MATCH(A1198,'Semrush Data'!$A$1:$A$20000,0),MATCH("Intent",'Semrush Data'!$A$1:$Z$1,0)),"")</f>
        <v/>
      </c>
    </row>
    <row r="1199" customFormat="false" ht="15" hidden="false" customHeight="true" outlineLevel="0" collapsed="false">
      <c r="A1199" s="7" t="s">
        <v>6034</v>
      </c>
      <c r="B1199" s="7" t="s">
        <v>6814</v>
      </c>
      <c r="C1199" s="7" t="n">
        <v>2</v>
      </c>
      <c r="D1199" s="7" t="n">
        <v>12</v>
      </c>
      <c r="E1199" s="7" t="n">
        <v>1</v>
      </c>
      <c r="F1199" s="7" t="s">
        <v>6031</v>
      </c>
      <c r="G1199" s="12" t="str">
        <f aca="false">IFERROR(INDEX('Semrush Data'!$A$1:$Z$20000,MATCH(A1199,'Semrush Data'!$A$1:$A$20000,0),MATCH("Volume",'Semrush Data'!$A$1:$Z$1,0)),"")</f>
        <v/>
      </c>
      <c r="H1199" s="7" t="str">
        <f aca="false">IFERROR(INDEX('Semrush Data'!$A$1:$Z$20000,MATCH(A1199,'Semrush Data'!$A$1:$A$20000,0),MATCH("Keyword Difficulty*",'Semrush Data'!$A$1:$Z$1,0)),"")</f>
        <v/>
      </c>
      <c r="I1199" s="13" t="str">
        <f aca="false">IFERROR(INDEX('Semrush Data'!$A$1:$Z$20000,MATCH(A1199,'Semrush Data'!$A$1:$A$20000,0),MATCH("CPC*",'Semrush Data'!$A$1:$Z$1,0)),"")</f>
        <v/>
      </c>
      <c r="J1199" s="7" t="str">
        <f aca="false">IFERROR(INDEX('Semrush Data'!$A$1:$Z$20000,MATCH(A1199,'Semrush Data'!$A$1:$A$20000,0),MATCH("Intent",'Semrush Data'!$A$1:$Z$1,0)),"")</f>
        <v/>
      </c>
    </row>
    <row r="1200" customFormat="false" ht="15" hidden="false" customHeight="true" outlineLevel="0" collapsed="false">
      <c r="A1200" s="7" t="s">
        <v>6045</v>
      </c>
      <c r="B1200" s="7" t="s">
        <v>6814</v>
      </c>
      <c r="C1200" s="7" t="n">
        <v>2</v>
      </c>
      <c r="D1200" s="7" t="n">
        <v>12</v>
      </c>
      <c r="E1200" s="7" t="n">
        <v>1</v>
      </c>
      <c r="F1200" s="7" t="s">
        <v>6042</v>
      </c>
      <c r="G1200" s="12" t="str">
        <f aca="false">IFERROR(INDEX('Semrush Data'!$A$1:$Z$20000,MATCH(A1200,'Semrush Data'!$A$1:$A$20000,0),MATCH("Volume",'Semrush Data'!$A$1:$Z$1,0)),"")</f>
        <v/>
      </c>
      <c r="H1200" s="7" t="str">
        <f aca="false">IFERROR(INDEX('Semrush Data'!$A$1:$Z$20000,MATCH(A1200,'Semrush Data'!$A$1:$A$20000,0),MATCH("Keyword Difficulty*",'Semrush Data'!$A$1:$Z$1,0)),"")</f>
        <v/>
      </c>
      <c r="I1200" s="13" t="str">
        <f aca="false">IFERROR(INDEX('Semrush Data'!$A$1:$Z$20000,MATCH(A1200,'Semrush Data'!$A$1:$A$20000,0),MATCH("CPC*",'Semrush Data'!$A$1:$Z$1,0)),"")</f>
        <v/>
      </c>
      <c r="J1200" s="7" t="str">
        <f aca="false">IFERROR(INDEX('Semrush Data'!$A$1:$Z$20000,MATCH(A1200,'Semrush Data'!$A$1:$A$20000,0),MATCH("Intent",'Semrush Data'!$A$1:$Z$1,0)),"")</f>
        <v/>
      </c>
    </row>
    <row r="1201" customFormat="false" ht="15" hidden="false" customHeight="true" outlineLevel="0" collapsed="false">
      <c r="A1201" s="7" t="s">
        <v>6056</v>
      </c>
      <c r="B1201" s="7" t="s">
        <v>6814</v>
      </c>
      <c r="C1201" s="7" t="n">
        <v>2</v>
      </c>
      <c r="D1201" s="7" t="n">
        <v>12</v>
      </c>
      <c r="E1201" s="7" t="n">
        <v>1</v>
      </c>
      <c r="F1201" s="7" t="s">
        <v>6053</v>
      </c>
      <c r="G1201" s="12" t="str">
        <f aca="false">IFERROR(INDEX('Semrush Data'!$A$1:$Z$20000,MATCH(A1201,'Semrush Data'!$A$1:$A$20000,0),MATCH("Volume",'Semrush Data'!$A$1:$Z$1,0)),"")</f>
        <v/>
      </c>
      <c r="H1201" s="7" t="str">
        <f aca="false">IFERROR(INDEX('Semrush Data'!$A$1:$Z$20000,MATCH(A1201,'Semrush Data'!$A$1:$A$20000,0),MATCH("Keyword Difficulty*",'Semrush Data'!$A$1:$Z$1,0)),"")</f>
        <v/>
      </c>
      <c r="I1201" s="13" t="str">
        <f aca="false">IFERROR(INDEX('Semrush Data'!$A$1:$Z$20000,MATCH(A1201,'Semrush Data'!$A$1:$A$20000,0),MATCH("CPC*",'Semrush Data'!$A$1:$Z$1,0)),"")</f>
        <v/>
      </c>
      <c r="J1201" s="7" t="str">
        <f aca="false">IFERROR(INDEX('Semrush Data'!$A$1:$Z$20000,MATCH(A1201,'Semrush Data'!$A$1:$A$20000,0),MATCH("Intent",'Semrush Data'!$A$1:$Z$1,0)),"")</f>
        <v/>
      </c>
    </row>
    <row r="1202" customFormat="false" ht="15" hidden="false" customHeight="true" outlineLevel="0" collapsed="false">
      <c r="A1202" s="7" t="s">
        <v>6067</v>
      </c>
      <c r="B1202" s="7" t="s">
        <v>6814</v>
      </c>
      <c r="C1202" s="7" t="n">
        <v>2</v>
      </c>
      <c r="D1202" s="7" t="n">
        <v>13</v>
      </c>
      <c r="E1202" s="7" t="n">
        <v>1</v>
      </c>
      <c r="F1202" s="7" t="s">
        <v>6064</v>
      </c>
      <c r="G1202" s="12" t="str">
        <f aca="false">IFERROR(INDEX('Semrush Data'!$A$1:$Z$20000,MATCH(A1202,'Semrush Data'!$A$1:$A$20000,0),MATCH("Volume",'Semrush Data'!$A$1:$Z$1,0)),"")</f>
        <v/>
      </c>
      <c r="H1202" s="7" t="str">
        <f aca="false">IFERROR(INDEX('Semrush Data'!$A$1:$Z$20000,MATCH(A1202,'Semrush Data'!$A$1:$A$20000,0),MATCH("Keyword Difficulty*",'Semrush Data'!$A$1:$Z$1,0)),"")</f>
        <v/>
      </c>
      <c r="I1202" s="13" t="str">
        <f aca="false">IFERROR(INDEX('Semrush Data'!$A$1:$Z$20000,MATCH(A1202,'Semrush Data'!$A$1:$A$20000,0),MATCH("CPC*",'Semrush Data'!$A$1:$Z$1,0)),"")</f>
        <v/>
      </c>
      <c r="J1202" s="7" t="str">
        <f aca="false">IFERROR(INDEX('Semrush Data'!$A$1:$Z$20000,MATCH(A1202,'Semrush Data'!$A$1:$A$20000,0),MATCH("Intent",'Semrush Data'!$A$1:$Z$1,0)),"")</f>
        <v/>
      </c>
    </row>
    <row r="1203" customFormat="false" ht="15" hidden="false" customHeight="true" outlineLevel="0" collapsed="false">
      <c r="A1203" s="7" t="s">
        <v>6079</v>
      </c>
      <c r="B1203" s="7" t="s">
        <v>6814</v>
      </c>
      <c r="C1203" s="7" t="n">
        <v>2</v>
      </c>
      <c r="D1203" s="7" t="n">
        <v>13</v>
      </c>
      <c r="E1203" s="7" t="n">
        <v>1</v>
      </c>
      <c r="F1203" s="7" t="s">
        <v>6075</v>
      </c>
      <c r="G1203" s="12" t="str">
        <f aca="false">IFERROR(INDEX('Semrush Data'!$A$1:$Z$20000,MATCH(A1203,'Semrush Data'!$A$1:$A$20000,0),MATCH("Volume",'Semrush Data'!$A$1:$Z$1,0)),"")</f>
        <v/>
      </c>
      <c r="H1203" s="7" t="str">
        <f aca="false">IFERROR(INDEX('Semrush Data'!$A$1:$Z$20000,MATCH(A1203,'Semrush Data'!$A$1:$A$20000,0),MATCH("Keyword Difficulty*",'Semrush Data'!$A$1:$Z$1,0)),"")</f>
        <v/>
      </c>
      <c r="I1203" s="13" t="str">
        <f aca="false">IFERROR(INDEX('Semrush Data'!$A$1:$Z$20000,MATCH(A1203,'Semrush Data'!$A$1:$A$20000,0),MATCH("CPC*",'Semrush Data'!$A$1:$Z$1,0)),"")</f>
        <v/>
      </c>
      <c r="J1203" s="7" t="str">
        <f aca="false">IFERROR(INDEX('Semrush Data'!$A$1:$Z$20000,MATCH(A1203,'Semrush Data'!$A$1:$A$20000,0),MATCH("Intent",'Semrush Data'!$A$1:$Z$1,0)),"")</f>
        <v/>
      </c>
    </row>
    <row r="1204" customFormat="false" ht="15" hidden="false" customHeight="true" outlineLevel="0" collapsed="false">
      <c r="A1204" s="7" t="s">
        <v>6091</v>
      </c>
      <c r="B1204" s="7" t="s">
        <v>6814</v>
      </c>
      <c r="C1204" s="7" t="n">
        <v>2</v>
      </c>
      <c r="D1204" s="7" t="s">
        <v>6816</v>
      </c>
      <c r="E1204" s="7" t="n">
        <v>1</v>
      </c>
      <c r="F1204" s="7" t="s">
        <v>6088</v>
      </c>
      <c r="G1204" s="12" t="n">
        <f aca="false">IFERROR(INDEX('Semrush Data'!$A$1:$Z$20000,MATCH(A1204,'Semrush Data'!$A$1:$A$20000,0),MATCH("Volume",'Semrush Data'!$A$1:$Z$1,0)),"")</f>
        <v>0</v>
      </c>
      <c r="H1204" s="7" t="n">
        <f aca="false">IFERROR(INDEX('Semrush Data'!$A$1:$Z$20000,MATCH(A1204,'Semrush Data'!$A$1:$A$20000,0),MATCH("Keyword Difficulty*",'Semrush Data'!$A$1:$Z$1,0)),"")</f>
        <v>20</v>
      </c>
      <c r="I1204" s="13" t="n">
        <f aca="false">IFERROR(INDEX('Semrush Data'!$A$1:$Z$20000,MATCH(A1204,'Semrush Data'!$A$1:$A$20000,0),MATCH("CPC*",'Semrush Data'!$A$1:$Z$1,0)),"")</f>
        <v>0</v>
      </c>
      <c r="J1204" s="7" t="str">
        <f aca="false">IFERROR(INDEX('Semrush Data'!$A$1:$Z$20000,MATCH(A1204,'Semrush Data'!$A$1:$A$20000,0),MATCH("Intent",'Semrush Data'!$A$1:$Z$1,0)),"")</f>
        <v>Commercial</v>
      </c>
    </row>
    <row r="1205" customFormat="false" ht="15" hidden="false" customHeight="true" outlineLevel="0" collapsed="false">
      <c r="A1205" s="7" t="s">
        <v>6102</v>
      </c>
      <c r="B1205" s="7" t="s">
        <v>6814</v>
      </c>
      <c r="C1205" s="7" t="n">
        <v>2</v>
      </c>
      <c r="D1205" s="7" t="n">
        <v>13</v>
      </c>
      <c r="E1205" s="7" t="n">
        <v>1</v>
      </c>
      <c r="F1205" s="7" t="s">
        <v>6099</v>
      </c>
      <c r="G1205" s="12" t="str">
        <f aca="false">IFERROR(INDEX('Semrush Data'!$A$1:$Z$20000,MATCH(A1205,'Semrush Data'!$A$1:$A$20000,0),MATCH("Volume",'Semrush Data'!$A$1:$Z$1,0)),"")</f>
        <v/>
      </c>
      <c r="H1205" s="7" t="str">
        <f aca="false">IFERROR(INDEX('Semrush Data'!$A$1:$Z$20000,MATCH(A1205,'Semrush Data'!$A$1:$A$20000,0),MATCH("Keyword Difficulty*",'Semrush Data'!$A$1:$Z$1,0)),"")</f>
        <v/>
      </c>
      <c r="I1205" s="13" t="str">
        <f aca="false">IFERROR(INDEX('Semrush Data'!$A$1:$Z$20000,MATCH(A1205,'Semrush Data'!$A$1:$A$20000,0),MATCH("CPC*",'Semrush Data'!$A$1:$Z$1,0)),"")</f>
        <v/>
      </c>
      <c r="J1205" s="7" t="str">
        <f aca="false">IFERROR(INDEX('Semrush Data'!$A$1:$Z$20000,MATCH(A1205,'Semrush Data'!$A$1:$A$20000,0),MATCH("Intent",'Semrush Data'!$A$1:$Z$1,0)),"")</f>
        <v/>
      </c>
    </row>
    <row r="1206" customFormat="false" ht="15" hidden="false" customHeight="true" outlineLevel="0" collapsed="false">
      <c r="A1206" s="7" t="s">
        <v>6112</v>
      </c>
      <c r="B1206" s="7" t="s">
        <v>6814</v>
      </c>
      <c r="C1206" s="7" t="n">
        <v>2</v>
      </c>
      <c r="D1206" s="7" t="n">
        <v>13</v>
      </c>
      <c r="E1206" s="7" t="n">
        <v>2</v>
      </c>
      <c r="F1206" s="7" t="s">
        <v>6809</v>
      </c>
      <c r="G1206" s="12" t="str">
        <f aca="false">IFERROR(INDEX('Semrush Data'!$A$1:$Z$20000,MATCH(A1206,'Semrush Data'!$A$1:$A$20000,0),MATCH("Volume",'Semrush Data'!$A$1:$Z$1,0)),"")</f>
        <v/>
      </c>
      <c r="H1206" s="7" t="str">
        <f aca="false">IFERROR(INDEX('Semrush Data'!$A$1:$Z$20000,MATCH(A1206,'Semrush Data'!$A$1:$A$20000,0),MATCH("Keyword Difficulty*",'Semrush Data'!$A$1:$Z$1,0)),"")</f>
        <v/>
      </c>
      <c r="I1206" s="13" t="str">
        <f aca="false">IFERROR(INDEX('Semrush Data'!$A$1:$Z$20000,MATCH(A1206,'Semrush Data'!$A$1:$A$20000,0),MATCH("CPC*",'Semrush Data'!$A$1:$Z$1,0)),"")</f>
        <v/>
      </c>
      <c r="J1206" s="7" t="str">
        <f aca="false">IFERROR(INDEX('Semrush Data'!$A$1:$Z$20000,MATCH(A1206,'Semrush Data'!$A$1:$A$20000,0),MATCH("Intent",'Semrush Data'!$A$1:$Z$1,0)),"")</f>
        <v/>
      </c>
    </row>
    <row r="1207" customFormat="false" ht="15" hidden="false" customHeight="true" outlineLevel="0" collapsed="false">
      <c r="A1207" s="7" t="s">
        <v>6127</v>
      </c>
      <c r="B1207" s="7" t="s">
        <v>6814</v>
      </c>
      <c r="C1207" s="7" t="n">
        <v>2</v>
      </c>
      <c r="D1207" s="7" t="n">
        <v>13</v>
      </c>
      <c r="E1207" s="7" t="n">
        <v>1</v>
      </c>
      <c r="F1207" s="7" t="s">
        <v>6124</v>
      </c>
      <c r="G1207" s="12" t="str">
        <f aca="false">IFERROR(INDEX('Semrush Data'!$A$1:$Z$20000,MATCH(A1207,'Semrush Data'!$A$1:$A$20000,0),MATCH("Volume",'Semrush Data'!$A$1:$Z$1,0)),"")</f>
        <v/>
      </c>
      <c r="H1207" s="7" t="str">
        <f aca="false">IFERROR(INDEX('Semrush Data'!$A$1:$Z$20000,MATCH(A1207,'Semrush Data'!$A$1:$A$20000,0),MATCH("Keyword Difficulty*",'Semrush Data'!$A$1:$Z$1,0)),"")</f>
        <v/>
      </c>
      <c r="I1207" s="13" t="str">
        <f aca="false">IFERROR(INDEX('Semrush Data'!$A$1:$Z$20000,MATCH(A1207,'Semrush Data'!$A$1:$A$20000,0),MATCH("CPC*",'Semrush Data'!$A$1:$Z$1,0)),"")</f>
        <v/>
      </c>
      <c r="J1207" s="7" t="str">
        <f aca="false">IFERROR(INDEX('Semrush Data'!$A$1:$Z$20000,MATCH(A1207,'Semrush Data'!$A$1:$A$20000,0),MATCH("Intent",'Semrush Data'!$A$1:$Z$1,0)),"")</f>
        <v/>
      </c>
    </row>
    <row r="1208" customFormat="false" ht="15" hidden="false" customHeight="true" outlineLevel="0" collapsed="false">
      <c r="A1208" s="7" t="s">
        <v>6137</v>
      </c>
      <c r="B1208" s="7" t="s">
        <v>6814</v>
      </c>
      <c r="C1208" s="7" t="n">
        <v>2</v>
      </c>
      <c r="D1208" s="7" t="n">
        <v>13</v>
      </c>
      <c r="E1208" s="7" t="n">
        <v>1</v>
      </c>
      <c r="F1208" s="7" t="s">
        <v>6134</v>
      </c>
      <c r="G1208" s="12" t="str">
        <f aca="false">IFERROR(INDEX('Semrush Data'!$A$1:$Z$20000,MATCH(A1208,'Semrush Data'!$A$1:$A$20000,0),MATCH("Volume",'Semrush Data'!$A$1:$Z$1,0)),"")</f>
        <v/>
      </c>
      <c r="H1208" s="7" t="str">
        <f aca="false">IFERROR(INDEX('Semrush Data'!$A$1:$Z$20000,MATCH(A1208,'Semrush Data'!$A$1:$A$20000,0),MATCH("Keyword Difficulty*",'Semrush Data'!$A$1:$Z$1,0)),"")</f>
        <v/>
      </c>
      <c r="I1208" s="13" t="str">
        <f aca="false">IFERROR(INDEX('Semrush Data'!$A$1:$Z$20000,MATCH(A1208,'Semrush Data'!$A$1:$A$20000,0),MATCH("CPC*",'Semrush Data'!$A$1:$Z$1,0)),"")</f>
        <v/>
      </c>
      <c r="J1208" s="7" t="str">
        <f aca="false">IFERROR(INDEX('Semrush Data'!$A$1:$Z$20000,MATCH(A1208,'Semrush Data'!$A$1:$A$20000,0),MATCH("Intent",'Semrush Data'!$A$1:$Z$1,0)),"")</f>
        <v/>
      </c>
    </row>
    <row r="1209" customFormat="false" ht="15" hidden="false" customHeight="true" outlineLevel="0" collapsed="false">
      <c r="A1209" s="7" t="s">
        <v>6148</v>
      </c>
      <c r="B1209" s="7" t="s">
        <v>6814</v>
      </c>
      <c r="C1209" s="7" t="n">
        <v>2</v>
      </c>
      <c r="D1209" s="7" t="n">
        <v>13</v>
      </c>
      <c r="E1209" s="7" t="n">
        <v>1</v>
      </c>
      <c r="F1209" s="7" t="s">
        <v>6145</v>
      </c>
      <c r="G1209" s="12" t="str">
        <f aca="false">IFERROR(INDEX('Semrush Data'!$A$1:$Z$20000,MATCH(A1209,'Semrush Data'!$A$1:$A$20000,0),MATCH("Volume",'Semrush Data'!$A$1:$Z$1,0)),"")</f>
        <v/>
      </c>
      <c r="H1209" s="7" t="str">
        <f aca="false">IFERROR(INDEX('Semrush Data'!$A$1:$Z$20000,MATCH(A1209,'Semrush Data'!$A$1:$A$20000,0),MATCH("Keyword Difficulty*",'Semrush Data'!$A$1:$Z$1,0)),"")</f>
        <v/>
      </c>
      <c r="I1209" s="13" t="str">
        <f aca="false">IFERROR(INDEX('Semrush Data'!$A$1:$Z$20000,MATCH(A1209,'Semrush Data'!$A$1:$A$20000,0),MATCH("CPC*",'Semrush Data'!$A$1:$Z$1,0)),"")</f>
        <v/>
      </c>
      <c r="J1209" s="7" t="str">
        <f aca="false">IFERROR(INDEX('Semrush Data'!$A$1:$Z$20000,MATCH(A1209,'Semrush Data'!$A$1:$A$20000,0),MATCH("Intent",'Semrush Data'!$A$1:$Z$1,0)),"")</f>
        <v/>
      </c>
    </row>
    <row r="1210" customFormat="false" ht="15" hidden="false" customHeight="true" outlineLevel="0" collapsed="false">
      <c r="A1210" s="7" t="s">
        <v>6158</v>
      </c>
      <c r="B1210" s="7" t="s">
        <v>6814</v>
      </c>
      <c r="C1210" s="7" t="n">
        <v>2</v>
      </c>
      <c r="D1210" s="7" t="n">
        <v>13</v>
      </c>
      <c r="E1210" s="7" t="n">
        <v>1</v>
      </c>
      <c r="F1210" s="7" t="s">
        <v>6155</v>
      </c>
      <c r="G1210" s="12" t="str">
        <f aca="false">IFERROR(INDEX('Semrush Data'!$A$1:$Z$20000,MATCH(A1210,'Semrush Data'!$A$1:$A$20000,0),MATCH("Volume",'Semrush Data'!$A$1:$Z$1,0)),"")</f>
        <v/>
      </c>
      <c r="H1210" s="7" t="str">
        <f aca="false">IFERROR(INDEX('Semrush Data'!$A$1:$Z$20000,MATCH(A1210,'Semrush Data'!$A$1:$A$20000,0),MATCH("Keyword Difficulty*",'Semrush Data'!$A$1:$Z$1,0)),"")</f>
        <v/>
      </c>
      <c r="I1210" s="13" t="str">
        <f aca="false">IFERROR(INDEX('Semrush Data'!$A$1:$Z$20000,MATCH(A1210,'Semrush Data'!$A$1:$A$20000,0),MATCH("CPC*",'Semrush Data'!$A$1:$Z$1,0)),"")</f>
        <v/>
      </c>
      <c r="J1210" s="7" t="str">
        <f aca="false">IFERROR(INDEX('Semrush Data'!$A$1:$Z$20000,MATCH(A1210,'Semrush Data'!$A$1:$A$20000,0),MATCH("Intent",'Semrush Data'!$A$1:$Z$1,0)),"")</f>
        <v/>
      </c>
    </row>
    <row r="1211" customFormat="false" ht="15" hidden="false" customHeight="true" outlineLevel="0" collapsed="false">
      <c r="A1211" s="7" t="s">
        <v>6169</v>
      </c>
      <c r="B1211" s="7" t="s">
        <v>6814</v>
      </c>
      <c r="C1211" s="7" t="n">
        <v>2</v>
      </c>
      <c r="D1211" s="7" t="s">
        <v>6816</v>
      </c>
      <c r="E1211" s="7" t="n">
        <v>1</v>
      </c>
      <c r="F1211" s="7" t="s">
        <v>6166</v>
      </c>
      <c r="G1211" s="12" t="n">
        <f aca="false">IFERROR(INDEX('Semrush Data'!$A$1:$Z$20000,MATCH(A1211,'Semrush Data'!$A$1:$A$20000,0),MATCH("Volume",'Semrush Data'!$A$1:$Z$1,0)),"")</f>
        <v>0</v>
      </c>
      <c r="H1211" s="7" t="n">
        <f aca="false">IFERROR(INDEX('Semrush Data'!$A$1:$Z$20000,MATCH(A1211,'Semrush Data'!$A$1:$A$20000,0),MATCH("Keyword Difficulty*",'Semrush Data'!$A$1:$Z$1,0)),"")</f>
        <v>16</v>
      </c>
      <c r="I1211" s="13" t="n">
        <f aca="false">IFERROR(INDEX('Semrush Data'!$A$1:$Z$20000,MATCH(A1211,'Semrush Data'!$A$1:$A$20000,0),MATCH("CPC*",'Semrush Data'!$A$1:$Z$1,0)),"")</f>
        <v>0</v>
      </c>
      <c r="J1211" s="7" t="str">
        <f aca="false">IFERROR(INDEX('Semrush Data'!$A$1:$Z$20000,MATCH(A1211,'Semrush Data'!$A$1:$A$20000,0),MATCH("Intent",'Semrush Data'!$A$1:$Z$1,0)),"")</f>
        <v>Informational</v>
      </c>
    </row>
    <row r="1212" customFormat="false" ht="15" hidden="false" customHeight="true" outlineLevel="0" collapsed="false">
      <c r="A1212" s="7" t="s">
        <v>6180</v>
      </c>
      <c r="B1212" s="7" t="s">
        <v>6814</v>
      </c>
      <c r="C1212" s="7" t="n">
        <v>2</v>
      </c>
      <c r="D1212" s="7" t="n">
        <v>13</v>
      </c>
      <c r="E1212" s="7" t="n">
        <v>1</v>
      </c>
      <c r="F1212" s="7" t="s">
        <v>6177</v>
      </c>
      <c r="G1212" s="12" t="str">
        <f aca="false">IFERROR(INDEX('Semrush Data'!$A$1:$Z$20000,MATCH(A1212,'Semrush Data'!$A$1:$A$20000,0),MATCH("Volume",'Semrush Data'!$A$1:$Z$1,0)),"")</f>
        <v/>
      </c>
      <c r="H1212" s="7" t="str">
        <f aca="false">IFERROR(INDEX('Semrush Data'!$A$1:$Z$20000,MATCH(A1212,'Semrush Data'!$A$1:$A$20000,0),MATCH("Keyword Difficulty*",'Semrush Data'!$A$1:$Z$1,0)),"")</f>
        <v/>
      </c>
      <c r="I1212" s="13" t="str">
        <f aca="false">IFERROR(INDEX('Semrush Data'!$A$1:$Z$20000,MATCH(A1212,'Semrush Data'!$A$1:$A$20000,0),MATCH("CPC*",'Semrush Data'!$A$1:$Z$1,0)),"")</f>
        <v/>
      </c>
      <c r="J1212" s="7" t="str">
        <f aca="false">IFERROR(INDEX('Semrush Data'!$A$1:$Z$20000,MATCH(A1212,'Semrush Data'!$A$1:$A$20000,0),MATCH("Intent",'Semrush Data'!$A$1:$Z$1,0)),"")</f>
        <v/>
      </c>
    </row>
    <row r="1213" customFormat="false" ht="15" hidden="false" customHeight="true" outlineLevel="0" collapsed="false">
      <c r="A1213" s="7" t="s">
        <v>6191</v>
      </c>
      <c r="B1213" s="7" t="s">
        <v>6814</v>
      </c>
      <c r="C1213" s="7" t="n">
        <v>2</v>
      </c>
      <c r="D1213" s="7" t="n">
        <v>13</v>
      </c>
      <c r="E1213" s="7" t="n">
        <v>1</v>
      </c>
      <c r="F1213" s="7" t="s">
        <v>6188</v>
      </c>
      <c r="G1213" s="12" t="str">
        <f aca="false">IFERROR(INDEX('Semrush Data'!$A$1:$Z$20000,MATCH(A1213,'Semrush Data'!$A$1:$A$20000,0),MATCH("Volume",'Semrush Data'!$A$1:$Z$1,0)),"")</f>
        <v/>
      </c>
      <c r="H1213" s="7" t="str">
        <f aca="false">IFERROR(INDEX('Semrush Data'!$A$1:$Z$20000,MATCH(A1213,'Semrush Data'!$A$1:$A$20000,0),MATCH("Keyword Difficulty*",'Semrush Data'!$A$1:$Z$1,0)),"")</f>
        <v/>
      </c>
      <c r="I1213" s="13" t="str">
        <f aca="false">IFERROR(INDEX('Semrush Data'!$A$1:$Z$20000,MATCH(A1213,'Semrush Data'!$A$1:$A$20000,0),MATCH("CPC*",'Semrush Data'!$A$1:$Z$1,0)),"")</f>
        <v/>
      </c>
      <c r="J1213" s="7" t="str">
        <f aca="false">IFERROR(INDEX('Semrush Data'!$A$1:$Z$20000,MATCH(A1213,'Semrush Data'!$A$1:$A$20000,0),MATCH("Intent",'Semrush Data'!$A$1:$Z$1,0)),"")</f>
        <v/>
      </c>
    </row>
    <row r="1214" customFormat="false" ht="15" hidden="false" customHeight="true" outlineLevel="0" collapsed="false">
      <c r="A1214" s="7" t="s">
        <v>6200</v>
      </c>
      <c r="B1214" s="7" t="s">
        <v>6814</v>
      </c>
      <c r="C1214" s="7" t="n">
        <v>2</v>
      </c>
      <c r="D1214" s="7" t="s">
        <v>6815</v>
      </c>
      <c r="E1214" s="7" t="n">
        <v>1</v>
      </c>
      <c r="F1214" s="7" t="s">
        <v>102</v>
      </c>
      <c r="G1214" s="12" t="n">
        <f aca="false">IFERROR(INDEX('Semrush Data'!$A$1:$Z$20000,MATCH(A1214,'Semrush Data'!$A$1:$A$20000,0),MATCH("Volume",'Semrush Data'!$A$1:$Z$1,0)),"")</f>
        <v>20</v>
      </c>
      <c r="H1214" s="7" t="n">
        <f aca="false">IFERROR(INDEX('Semrush Data'!$A$1:$Z$20000,MATCH(A1214,'Semrush Data'!$A$1:$A$20000,0),MATCH("Keyword Difficulty*",'Semrush Data'!$A$1:$Z$1,0)),"")</f>
        <v>11</v>
      </c>
      <c r="I1214" s="13" t="n">
        <f aca="false">IFERROR(INDEX('Semrush Data'!$A$1:$Z$20000,MATCH(A1214,'Semrush Data'!$A$1:$A$20000,0),MATCH("CPC*",'Semrush Data'!$A$1:$Z$1,0)),"")</f>
        <v>0</v>
      </c>
      <c r="J1214" s="7" t="str">
        <f aca="false">IFERROR(INDEX('Semrush Data'!$A$1:$Z$20000,MATCH(A1214,'Semrush Data'!$A$1:$A$20000,0),MATCH("Intent",'Semrush Data'!$A$1:$Z$1,0)),"")</f>
        <v>Informational</v>
      </c>
    </row>
    <row r="1215" customFormat="false" ht="15" hidden="false" customHeight="true" outlineLevel="0" collapsed="false">
      <c r="A1215" s="7" t="s">
        <v>6212</v>
      </c>
      <c r="B1215" s="7" t="s">
        <v>6814</v>
      </c>
      <c r="C1215" s="7" t="n">
        <v>2</v>
      </c>
      <c r="D1215" s="7" t="n">
        <v>13</v>
      </c>
      <c r="E1215" s="7" t="n">
        <v>1</v>
      </c>
      <c r="F1215" s="7" t="s">
        <v>6209</v>
      </c>
      <c r="G1215" s="12" t="str">
        <f aca="false">IFERROR(INDEX('Semrush Data'!$A$1:$Z$20000,MATCH(A1215,'Semrush Data'!$A$1:$A$20000,0),MATCH("Volume",'Semrush Data'!$A$1:$Z$1,0)),"")</f>
        <v/>
      </c>
      <c r="H1215" s="7" t="str">
        <f aca="false">IFERROR(INDEX('Semrush Data'!$A$1:$Z$20000,MATCH(A1215,'Semrush Data'!$A$1:$A$20000,0),MATCH("Keyword Difficulty*",'Semrush Data'!$A$1:$Z$1,0)),"")</f>
        <v/>
      </c>
      <c r="I1215" s="13" t="str">
        <f aca="false">IFERROR(INDEX('Semrush Data'!$A$1:$Z$20000,MATCH(A1215,'Semrush Data'!$A$1:$A$20000,0),MATCH("CPC*",'Semrush Data'!$A$1:$Z$1,0)),"")</f>
        <v/>
      </c>
      <c r="J1215" s="7" t="str">
        <f aca="false">IFERROR(INDEX('Semrush Data'!$A$1:$Z$20000,MATCH(A1215,'Semrush Data'!$A$1:$A$20000,0),MATCH("Intent",'Semrush Data'!$A$1:$Z$1,0)),"")</f>
        <v/>
      </c>
    </row>
    <row r="1216" customFormat="false" ht="15" hidden="false" customHeight="true" outlineLevel="0" collapsed="false">
      <c r="A1216" s="7" t="s">
        <v>6223</v>
      </c>
      <c r="B1216" s="7" t="s">
        <v>6814</v>
      </c>
      <c r="C1216" s="7" t="n">
        <v>2</v>
      </c>
      <c r="D1216" s="7" t="n">
        <v>13</v>
      </c>
      <c r="E1216" s="7" t="n">
        <v>1</v>
      </c>
      <c r="F1216" s="7" t="s">
        <v>6220</v>
      </c>
      <c r="G1216" s="12" t="str">
        <f aca="false">IFERROR(INDEX('Semrush Data'!$A$1:$Z$20000,MATCH(A1216,'Semrush Data'!$A$1:$A$20000,0),MATCH("Volume",'Semrush Data'!$A$1:$Z$1,0)),"")</f>
        <v/>
      </c>
      <c r="H1216" s="7" t="str">
        <f aca="false">IFERROR(INDEX('Semrush Data'!$A$1:$Z$20000,MATCH(A1216,'Semrush Data'!$A$1:$A$20000,0),MATCH("Keyword Difficulty*",'Semrush Data'!$A$1:$Z$1,0)),"")</f>
        <v/>
      </c>
      <c r="I1216" s="13" t="str">
        <f aca="false">IFERROR(INDEX('Semrush Data'!$A$1:$Z$20000,MATCH(A1216,'Semrush Data'!$A$1:$A$20000,0),MATCH("CPC*",'Semrush Data'!$A$1:$Z$1,0)),"")</f>
        <v/>
      </c>
      <c r="J1216" s="7" t="str">
        <f aca="false">IFERROR(INDEX('Semrush Data'!$A$1:$Z$20000,MATCH(A1216,'Semrush Data'!$A$1:$A$20000,0),MATCH("Intent",'Semrush Data'!$A$1:$Z$1,0)),"")</f>
        <v/>
      </c>
    </row>
    <row r="1217" customFormat="false" ht="15" hidden="false" customHeight="true" outlineLevel="0" collapsed="false">
      <c r="A1217" s="7" t="s">
        <v>6234</v>
      </c>
      <c r="B1217" s="7" t="s">
        <v>6814</v>
      </c>
      <c r="C1217" s="7" t="n">
        <v>2</v>
      </c>
      <c r="D1217" s="7" t="n">
        <v>13</v>
      </c>
      <c r="E1217" s="7" t="n">
        <v>1</v>
      </c>
      <c r="F1217" s="7" t="s">
        <v>6231</v>
      </c>
      <c r="G1217" s="12" t="str">
        <f aca="false">IFERROR(INDEX('Semrush Data'!$A$1:$Z$20000,MATCH(A1217,'Semrush Data'!$A$1:$A$20000,0),MATCH("Volume",'Semrush Data'!$A$1:$Z$1,0)),"")</f>
        <v/>
      </c>
      <c r="H1217" s="7" t="str">
        <f aca="false">IFERROR(INDEX('Semrush Data'!$A$1:$Z$20000,MATCH(A1217,'Semrush Data'!$A$1:$A$20000,0),MATCH("Keyword Difficulty*",'Semrush Data'!$A$1:$Z$1,0)),"")</f>
        <v/>
      </c>
      <c r="I1217" s="13" t="str">
        <f aca="false">IFERROR(INDEX('Semrush Data'!$A$1:$Z$20000,MATCH(A1217,'Semrush Data'!$A$1:$A$20000,0),MATCH("CPC*",'Semrush Data'!$A$1:$Z$1,0)),"")</f>
        <v/>
      </c>
      <c r="J1217" s="7" t="str">
        <f aca="false">IFERROR(INDEX('Semrush Data'!$A$1:$Z$20000,MATCH(A1217,'Semrush Data'!$A$1:$A$20000,0),MATCH("Intent",'Semrush Data'!$A$1:$Z$1,0)),"")</f>
        <v/>
      </c>
    </row>
    <row r="1218" customFormat="false" ht="15" hidden="false" customHeight="true" outlineLevel="0" collapsed="false">
      <c r="A1218" s="7" t="s">
        <v>6245</v>
      </c>
      <c r="B1218" s="7" t="s">
        <v>6814</v>
      </c>
      <c r="C1218" s="7" t="n">
        <v>2</v>
      </c>
      <c r="D1218" s="7" t="n">
        <v>13</v>
      </c>
      <c r="E1218" s="7" t="n">
        <v>1</v>
      </c>
      <c r="F1218" s="7" t="s">
        <v>6242</v>
      </c>
      <c r="G1218" s="12" t="str">
        <f aca="false">IFERROR(INDEX('Semrush Data'!$A$1:$Z$20000,MATCH(A1218,'Semrush Data'!$A$1:$A$20000,0),MATCH("Volume",'Semrush Data'!$A$1:$Z$1,0)),"")</f>
        <v/>
      </c>
      <c r="H1218" s="7" t="str">
        <f aca="false">IFERROR(INDEX('Semrush Data'!$A$1:$Z$20000,MATCH(A1218,'Semrush Data'!$A$1:$A$20000,0),MATCH("Keyword Difficulty*",'Semrush Data'!$A$1:$Z$1,0)),"")</f>
        <v/>
      </c>
      <c r="I1218" s="13" t="str">
        <f aca="false">IFERROR(INDEX('Semrush Data'!$A$1:$Z$20000,MATCH(A1218,'Semrush Data'!$A$1:$A$20000,0),MATCH("CPC*",'Semrush Data'!$A$1:$Z$1,0)),"")</f>
        <v/>
      </c>
      <c r="J1218" s="7" t="str">
        <f aca="false">IFERROR(INDEX('Semrush Data'!$A$1:$Z$20000,MATCH(A1218,'Semrush Data'!$A$1:$A$20000,0),MATCH("Intent",'Semrush Data'!$A$1:$Z$1,0)),"")</f>
        <v/>
      </c>
    </row>
    <row r="1219" customFormat="false" ht="15" hidden="false" customHeight="true" outlineLevel="0" collapsed="false">
      <c r="A1219" s="7" t="s">
        <v>6255</v>
      </c>
      <c r="B1219" s="7" t="s">
        <v>6814</v>
      </c>
      <c r="C1219" s="7" t="n">
        <v>2</v>
      </c>
      <c r="D1219" s="7" t="n">
        <v>13</v>
      </c>
      <c r="E1219" s="7" t="n">
        <v>1</v>
      </c>
      <c r="F1219" s="7" t="s">
        <v>6252</v>
      </c>
      <c r="G1219" s="12" t="str">
        <f aca="false">IFERROR(INDEX('Semrush Data'!$A$1:$Z$20000,MATCH(A1219,'Semrush Data'!$A$1:$A$20000,0),MATCH("Volume",'Semrush Data'!$A$1:$Z$1,0)),"")</f>
        <v/>
      </c>
      <c r="H1219" s="7" t="str">
        <f aca="false">IFERROR(INDEX('Semrush Data'!$A$1:$Z$20000,MATCH(A1219,'Semrush Data'!$A$1:$A$20000,0),MATCH("Keyword Difficulty*",'Semrush Data'!$A$1:$Z$1,0)),"")</f>
        <v/>
      </c>
      <c r="I1219" s="13" t="str">
        <f aca="false">IFERROR(INDEX('Semrush Data'!$A$1:$Z$20000,MATCH(A1219,'Semrush Data'!$A$1:$A$20000,0),MATCH("CPC*",'Semrush Data'!$A$1:$Z$1,0)),"")</f>
        <v/>
      </c>
      <c r="J1219" s="7" t="str">
        <f aca="false">IFERROR(INDEX('Semrush Data'!$A$1:$Z$20000,MATCH(A1219,'Semrush Data'!$A$1:$A$20000,0),MATCH("Intent",'Semrush Data'!$A$1:$Z$1,0)),"")</f>
        <v/>
      </c>
    </row>
    <row r="1220" customFormat="false" ht="15" hidden="false" customHeight="true" outlineLevel="0" collapsed="false">
      <c r="A1220" s="7" t="s">
        <v>6266</v>
      </c>
      <c r="B1220" s="7" t="s">
        <v>6814</v>
      </c>
      <c r="C1220" s="7" t="n">
        <v>2</v>
      </c>
      <c r="D1220" s="7" t="n">
        <v>13</v>
      </c>
      <c r="E1220" s="7" t="n">
        <v>1</v>
      </c>
      <c r="F1220" s="7" t="s">
        <v>6263</v>
      </c>
      <c r="G1220" s="12" t="str">
        <f aca="false">IFERROR(INDEX('Semrush Data'!$A$1:$Z$20000,MATCH(A1220,'Semrush Data'!$A$1:$A$20000,0),MATCH("Volume",'Semrush Data'!$A$1:$Z$1,0)),"")</f>
        <v/>
      </c>
      <c r="H1220" s="7" t="str">
        <f aca="false">IFERROR(INDEX('Semrush Data'!$A$1:$Z$20000,MATCH(A1220,'Semrush Data'!$A$1:$A$20000,0),MATCH("Keyword Difficulty*",'Semrush Data'!$A$1:$Z$1,0)),"")</f>
        <v/>
      </c>
      <c r="I1220" s="13" t="str">
        <f aca="false">IFERROR(INDEX('Semrush Data'!$A$1:$Z$20000,MATCH(A1220,'Semrush Data'!$A$1:$A$20000,0),MATCH("CPC*",'Semrush Data'!$A$1:$Z$1,0)),"")</f>
        <v/>
      </c>
      <c r="J1220" s="7" t="str">
        <f aca="false">IFERROR(INDEX('Semrush Data'!$A$1:$Z$20000,MATCH(A1220,'Semrush Data'!$A$1:$A$20000,0),MATCH("Intent",'Semrush Data'!$A$1:$Z$1,0)),"")</f>
        <v/>
      </c>
    </row>
    <row r="1221" customFormat="false" ht="15" hidden="false" customHeight="true" outlineLevel="0" collapsed="false">
      <c r="A1221" s="7" t="s">
        <v>6278</v>
      </c>
      <c r="B1221" s="7" t="s">
        <v>6814</v>
      </c>
      <c r="C1221" s="7" t="n">
        <v>2</v>
      </c>
      <c r="D1221" s="7" t="n">
        <v>13</v>
      </c>
      <c r="E1221" s="7" t="n">
        <v>1</v>
      </c>
      <c r="F1221" s="7" t="s">
        <v>6274</v>
      </c>
      <c r="G1221" s="12" t="str">
        <f aca="false">IFERROR(INDEX('Semrush Data'!$A$1:$Z$20000,MATCH(A1221,'Semrush Data'!$A$1:$A$20000,0),MATCH("Volume",'Semrush Data'!$A$1:$Z$1,0)),"")</f>
        <v/>
      </c>
      <c r="H1221" s="7" t="str">
        <f aca="false">IFERROR(INDEX('Semrush Data'!$A$1:$Z$20000,MATCH(A1221,'Semrush Data'!$A$1:$A$20000,0),MATCH("Keyword Difficulty*",'Semrush Data'!$A$1:$Z$1,0)),"")</f>
        <v/>
      </c>
      <c r="I1221" s="13" t="str">
        <f aca="false">IFERROR(INDEX('Semrush Data'!$A$1:$Z$20000,MATCH(A1221,'Semrush Data'!$A$1:$A$20000,0),MATCH("CPC*",'Semrush Data'!$A$1:$Z$1,0)),"")</f>
        <v/>
      </c>
      <c r="J1221" s="7" t="str">
        <f aca="false">IFERROR(INDEX('Semrush Data'!$A$1:$Z$20000,MATCH(A1221,'Semrush Data'!$A$1:$A$20000,0),MATCH("Intent",'Semrush Data'!$A$1:$Z$1,0)),"")</f>
        <v/>
      </c>
    </row>
    <row r="1222" customFormat="false" ht="15" hidden="false" customHeight="true" outlineLevel="0" collapsed="false">
      <c r="A1222" s="7" t="s">
        <v>6289</v>
      </c>
      <c r="B1222" s="7" t="s">
        <v>6814</v>
      </c>
      <c r="C1222" s="7" t="n">
        <v>2</v>
      </c>
      <c r="D1222" s="7" t="n">
        <v>13</v>
      </c>
      <c r="E1222" s="7" t="n">
        <v>1</v>
      </c>
      <c r="F1222" s="7" t="s">
        <v>6286</v>
      </c>
      <c r="G1222" s="12" t="str">
        <f aca="false">IFERROR(INDEX('Semrush Data'!$A$1:$Z$20000,MATCH(A1222,'Semrush Data'!$A$1:$A$20000,0),MATCH("Volume",'Semrush Data'!$A$1:$Z$1,0)),"")</f>
        <v/>
      </c>
      <c r="H1222" s="7" t="str">
        <f aca="false">IFERROR(INDEX('Semrush Data'!$A$1:$Z$20000,MATCH(A1222,'Semrush Data'!$A$1:$A$20000,0),MATCH("Keyword Difficulty*",'Semrush Data'!$A$1:$Z$1,0)),"")</f>
        <v/>
      </c>
      <c r="I1222" s="13" t="str">
        <f aca="false">IFERROR(INDEX('Semrush Data'!$A$1:$Z$20000,MATCH(A1222,'Semrush Data'!$A$1:$A$20000,0),MATCH("CPC*",'Semrush Data'!$A$1:$Z$1,0)),"")</f>
        <v/>
      </c>
      <c r="J1222" s="7" t="str">
        <f aca="false">IFERROR(INDEX('Semrush Data'!$A$1:$Z$20000,MATCH(A1222,'Semrush Data'!$A$1:$A$20000,0),MATCH("Intent",'Semrush Data'!$A$1:$Z$1,0)),"")</f>
        <v/>
      </c>
    </row>
    <row r="1223" customFormat="false" ht="15" hidden="false" customHeight="true" outlineLevel="0" collapsed="false">
      <c r="A1223" s="7" t="s">
        <v>6329</v>
      </c>
      <c r="B1223" s="7" t="s">
        <v>6814</v>
      </c>
      <c r="C1223" s="7" t="n">
        <v>2</v>
      </c>
      <c r="D1223" s="7" t="s">
        <v>6815</v>
      </c>
      <c r="E1223" s="7" t="n">
        <v>1</v>
      </c>
      <c r="F1223" s="7" t="s">
        <v>48</v>
      </c>
      <c r="G1223" s="12" t="n">
        <f aca="false">IFERROR(INDEX('Semrush Data'!$A$1:$Z$20000,MATCH(A1223,'Semrush Data'!$A$1:$A$20000,0),MATCH("Volume",'Semrush Data'!$A$1:$Z$1,0)),"")</f>
        <v>40</v>
      </c>
      <c r="H1223" s="7" t="n">
        <f aca="false">IFERROR(INDEX('Semrush Data'!$A$1:$Z$20000,MATCH(A1223,'Semrush Data'!$A$1:$A$20000,0),MATCH("Keyword Difficulty*",'Semrush Data'!$A$1:$Z$1,0)),"")</f>
        <v>16</v>
      </c>
      <c r="I1223" s="13" t="n">
        <f aca="false">IFERROR(INDEX('Semrush Data'!$A$1:$Z$20000,MATCH(A1223,'Semrush Data'!$A$1:$A$20000,0),MATCH("CPC*",'Semrush Data'!$A$1:$Z$1,0)),"")</f>
        <v>0.45</v>
      </c>
      <c r="J1223" s="7" t="str">
        <f aca="false">IFERROR(INDEX('Semrush Data'!$A$1:$Z$20000,MATCH(A1223,'Semrush Data'!$A$1:$A$20000,0),MATCH("Intent",'Semrush Data'!$A$1:$Z$1,0)),"")</f>
        <v>Informational</v>
      </c>
    </row>
    <row r="1224" customFormat="false" ht="15" hidden="false" customHeight="true" outlineLevel="0" collapsed="false">
      <c r="A1224" s="7" t="s">
        <v>6321</v>
      </c>
      <c r="B1224" s="7" t="s">
        <v>6814</v>
      </c>
      <c r="C1224" s="7" t="n">
        <v>2</v>
      </c>
      <c r="D1224" s="7" t="s">
        <v>6815</v>
      </c>
      <c r="E1224" s="7" t="n">
        <v>1</v>
      </c>
      <c r="F1224" s="7" t="s">
        <v>94</v>
      </c>
      <c r="G1224" s="12" t="n">
        <f aca="false">IFERROR(INDEX('Semrush Data'!$A$1:$Z$20000,MATCH(A1224,'Semrush Data'!$A$1:$A$20000,0),MATCH("Volume",'Semrush Data'!$A$1:$Z$1,0)),"")</f>
        <v>20</v>
      </c>
      <c r="H1224" s="7" t="n">
        <f aca="false">IFERROR(INDEX('Semrush Data'!$A$1:$Z$20000,MATCH(A1224,'Semrush Data'!$A$1:$A$20000,0),MATCH("Keyword Difficulty*",'Semrush Data'!$A$1:$Z$1,0)),"")</f>
        <v>18</v>
      </c>
      <c r="I1224" s="13" t="n">
        <f aca="false">IFERROR(INDEX('Semrush Data'!$A$1:$Z$20000,MATCH(A1224,'Semrush Data'!$A$1:$A$20000,0),MATCH("CPC*",'Semrush Data'!$A$1:$Z$1,0)),"")</f>
        <v>0</v>
      </c>
      <c r="J1224" s="7" t="str">
        <f aca="false">IFERROR(INDEX('Semrush Data'!$A$1:$Z$20000,MATCH(A1224,'Semrush Data'!$A$1:$A$20000,0),MATCH("Intent",'Semrush Data'!$A$1:$Z$1,0)),"")</f>
        <v>Informational</v>
      </c>
    </row>
    <row r="1225" customFormat="false" ht="15" hidden="false" customHeight="true" outlineLevel="0" collapsed="false">
      <c r="A1225" s="7" t="s">
        <v>6300</v>
      </c>
      <c r="B1225" s="7" t="s">
        <v>6814</v>
      </c>
      <c r="C1225" s="7" t="n">
        <v>2</v>
      </c>
      <c r="D1225" s="7" t="s">
        <v>6815</v>
      </c>
      <c r="E1225" s="7" t="n">
        <v>1</v>
      </c>
      <c r="F1225" s="7" t="s">
        <v>66</v>
      </c>
      <c r="G1225" s="12" t="n">
        <f aca="false">IFERROR(INDEX('Semrush Data'!$A$1:$Z$20000,MATCH(A1225,'Semrush Data'!$A$1:$A$20000,0),MATCH("Volume",'Semrush Data'!$A$1:$Z$1,0)),"")</f>
        <v>20</v>
      </c>
      <c r="H1225" s="7" t="n">
        <f aca="false">IFERROR(INDEX('Semrush Data'!$A$1:$Z$20000,MATCH(A1225,'Semrush Data'!$A$1:$A$20000,0),MATCH("Keyword Difficulty*",'Semrush Data'!$A$1:$Z$1,0)),"")</f>
        <v>12</v>
      </c>
      <c r="I1225" s="13" t="n">
        <f aca="false">IFERROR(INDEX('Semrush Data'!$A$1:$Z$20000,MATCH(A1225,'Semrush Data'!$A$1:$A$20000,0),MATCH("CPC*",'Semrush Data'!$A$1:$Z$1,0)),"")</f>
        <v>0.78</v>
      </c>
      <c r="J1225" s="7" t="str">
        <f aca="false">IFERROR(INDEX('Semrush Data'!$A$1:$Z$20000,MATCH(A1225,'Semrush Data'!$A$1:$A$20000,0),MATCH("Intent",'Semrush Data'!$A$1:$Z$1,0)),"")</f>
        <v>Informational</v>
      </c>
    </row>
    <row r="1226" customFormat="false" ht="15" hidden="false" customHeight="true" outlineLevel="0" collapsed="false">
      <c r="A1226" s="7" t="s">
        <v>6337</v>
      </c>
      <c r="B1226" s="7" t="s">
        <v>6814</v>
      </c>
      <c r="C1226" s="7" t="n">
        <v>2</v>
      </c>
      <c r="D1226" s="7" t="s">
        <v>6815</v>
      </c>
      <c r="E1226" s="7" t="n">
        <v>1</v>
      </c>
      <c r="F1226" s="7" t="s">
        <v>54</v>
      </c>
      <c r="G1226" s="12" t="n">
        <f aca="false">IFERROR(INDEX('Semrush Data'!$A$1:$Z$20000,MATCH(A1226,'Semrush Data'!$A$1:$A$20000,0),MATCH("Volume",'Semrush Data'!$A$1:$Z$1,0)),"")</f>
        <v>20</v>
      </c>
      <c r="H1226" s="7" t="n">
        <f aca="false">IFERROR(INDEX('Semrush Data'!$A$1:$Z$20000,MATCH(A1226,'Semrush Data'!$A$1:$A$20000,0),MATCH("Keyword Difficulty*",'Semrush Data'!$A$1:$Z$1,0)),"")</f>
        <v>12</v>
      </c>
      <c r="I1226" s="13" t="n">
        <f aca="false">IFERROR(INDEX('Semrush Data'!$A$1:$Z$20000,MATCH(A1226,'Semrush Data'!$A$1:$A$20000,0),MATCH("CPC*",'Semrush Data'!$A$1:$Z$1,0)),"")</f>
        <v>0.59</v>
      </c>
      <c r="J1226" s="7" t="str">
        <f aca="false">IFERROR(INDEX('Semrush Data'!$A$1:$Z$20000,MATCH(A1226,'Semrush Data'!$A$1:$A$20000,0),MATCH("Intent",'Semrush Data'!$A$1:$Z$1,0)),"")</f>
        <v>Informational</v>
      </c>
    </row>
    <row r="1227" customFormat="false" ht="15" hidden="false" customHeight="true" outlineLevel="0" collapsed="false">
      <c r="A1227" s="7" t="s">
        <v>6309</v>
      </c>
      <c r="B1227" s="7" t="s">
        <v>6814</v>
      </c>
      <c r="C1227" s="7" t="n">
        <v>2</v>
      </c>
      <c r="D1227" s="7" t="s">
        <v>6815</v>
      </c>
      <c r="E1227" s="7" t="n">
        <v>2</v>
      </c>
      <c r="F1227" s="7" t="s">
        <v>6810</v>
      </c>
      <c r="G1227" s="12" t="n">
        <f aca="false">IFERROR(INDEX('Semrush Data'!$A$1:$Z$20000,MATCH(A1227,'Semrush Data'!$A$1:$A$20000,0),MATCH("Volume",'Semrush Data'!$A$1:$Z$1,0)),"")</f>
        <v>30</v>
      </c>
      <c r="H1227" s="7" t="n">
        <f aca="false">IFERROR(INDEX('Semrush Data'!$A$1:$Z$20000,MATCH(A1227,'Semrush Data'!$A$1:$A$20000,0),MATCH("Keyword Difficulty*",'Semrush Data'!$A$1:$Z$1,0)),"")</f>
        <v>13</v>
      </c>
      <c r="I1227" s="13" t="n">
        <f aca="false">IFERROR(INDEX('Semrush Data'!$A$1:$Z$20000,MATCH(A1227,'Semrush Data'!$A$1:$A$20000,0),MATCH("CPC*",'Semrush Data'!$A$1:$Z$1,0)),"")</f>
        <v>0</v>
      </c>
      <c r="J1227" s="7" t="str">
        <f aca="false">IFERROR(INDEX('Semrush Data'!$A$1:$Z$20000,MATCH(A1227,'Semrush Data'!$A$1:$A$20000,0),MATCH("Intent",'Semrush Data'!$A$1:$Z$1,0)),"")</f>
        <v>Informational</v>
      </c>
    </row>
    <row r="1228" customFormat="false" ht="15" hidden="false" customHeight="true" outlineLevel="0" collapsed="false">
      <c r="A1228" s="7" t="s">
        <v>6372</v>
      </c>
      <c r="B1228" s="7" t="s">
        <v>6814</v>
      </c>
      <c r="C1228" s="7" t="n">
        <v>2</v>
      </c>
      <c r="D1228" s="7" t="n">
        <v>13</v>
      </c>
      <c r="E1228" s="7" t="n">
        <v>1</v>
      </c>
      <c r="F1228" s="7" t="s">
        <v>6369</v>
      </c>
      <c r="G1228" s="12" t="str">
        <f aca="false">IFERROR(INDEX('Semrush Data'!$A$1:$Z$20000,MATCH(A1228,'Semrush Data'!$A$1:$A$20000,0),MATCH("Volume",'Semrush Data'!$A$1:$Z$1,0)),"")</f>
        <v/>
      </c>
      <c r="H1228" s="7" t="str">
        <f aca="false">IFERROR(INDEX('Semrush Data'!$A$1:$Z$20000,MATCH(A1228,'Semrush Data'!$A$1:$A$20000,0),MATCH("Keyword Difficulty*",'Semrush Data'!$A$1:$Z$1,0)),"")</f>
        <v/>
      </c>
      <c r="I1228" s="13" t="str">
        <f aca="false">IFERROR(INDEX('Semrush Data'!$A$1:$Z$20000,MATCH(A1228,'Semrush Data'!$A$1:$A$20000,0),MATCH("CPC*",'Semrush Data'!$A$1:$Z$1,0)),"")</f>
        <v/>
      </c>
      <c r="J1228" s="7" t="str">
        <f aca="false">IFERROR(INDEX('Semrush Data'!$A$1:$Z$20000,MATCH(A1228,'Semrush Data'!$A$1:$A$20000,0),MATCH("Intent",'Semrush Data'!$A$1:$Z$1,0)),"")</f>
        <v/>
      </c>
    </row>
    <row r="1229" customFormat="false" ht="15" hidden="false" customHeight="true" outlineLevel="0" collapsed="false">
      <c r="A1229" s="7" t="s">
        <v>6383</v>
      </c>
      <c r="B1229" s="7" t="s">
        <v>6814</v>
      </c>
      <c r="C1229" s="7" t="n">
        <v>2</v>
      </c>
      <c r="D1229" s="7" t="n">
        <v>13</v>
      </c>
      <c r="E1229" s="7" t="n">
        <v>1</v>
      </c>
      <c r="F1229" s="7" t="s">
        <v>6380</v>
      </c>
      <c r="G1229" s="12" t="str">
        <f aca="false">IFERROR(INDEX('Semrush Data'!$A$1:$Z$20000,MATCH(A1229,'Semrush Data'!$A$1:$A$20000,0),MATCH("Volume",'Semrush Data'!$A$1:$Z$1,0)),"")</f>
        <v/>
      </c>
      <c r="H1229" s="7" t="str">
        <f aca="false">IFERROR(INDEX('Semrush Data'!$A$1:$Z$20000,MATCH(A1229,'Semrush Data'!$A$1:$A$20000,0),MATCH("Keyword Difficulty*",'Semrush Data'!$A$1:$Z$1,0)),"")</f>
        <v/>
      </c>
      <c r="I1229" s="13" t="str">
        <f aca="false">IFERROR(INDEX('Semrush Data'!$A$1:$Z$20000,MATCH(A1229,'Semrush Data'!$A$1:$A$20000,0),MATCH("CPC*",'Semrush Data'!$A$1:$Z$1,0)),"")</f>
        <v/>
      </c>
      <c r="J1229" s="7" t="str">
        <f aca="false">IFERROR(INDEX('Semrush Data'!$A$1:$Z$20000,MATCH(A1229,'Semrush Data'!$A$1:$A$20000,0),MATCH("Intent",'Semrush Data'!$A$1:$Z$1,0)),"")</f>
        <v/>
      </c>
    </row>
    <row r="1230" customFormat="false" ht="15" hidden="false" customHeight="true" outlineLevel="0" collapsed="false">
      <c r="A1230" s="7" t="s">
        <v>6394</v>
      </c>
      <c r="B1230" s="7" t="s">
        <v>6814</v>
      </c>
      <c r="C1230" s="7" t="n">
        <v>2</v>
      </c>
      <c r="D1230" s="7" t="n">
        <v>13</v>
      </c>
      <c r="E1230" s="7" t="n">
        <v>1</v>
      </c>
      <c r="F1230" s="7" t="s">
        <v>6391</v>
      </c>
      <c r="G1230" s="12" t="str">
        <f aca="false">IFERROR(INDEX('Semrush Data'!$A$1:$Z$20000,MATCH(A1230,'Semrush Data'!$A$1:$A$20000,0),MATCH("Volume",'Semrush Data'!$A$1:$Z$1,0)),"")</f>
        <v/>
      </c>
      <c r="H1230" s="7" t="str">
        <f aca="false">IFERROR(INDEX('Semrush Data'!$A$1:$Z$20000,MATCH(A1230,'Semrush Data'!$A$1:$A$20000,0),MATCH("Keyword Difficulty*",'Semrush Data'!$A$1:$Z$1,0)),"")</f>
        <v/>
      </c>
      <c r="I1230" s="13" t="str">
        <f aca="false">IFERROR(INDEX('Semrush Data'!$A$1:$Z$20000,MATCH(A1230,'Semrush Data'!$A$1:$A$20000,0),MATCH("CPC*",'Semrush Data'!$A$1:$Z$1,0)),"")</f>
        <v/>
      </c>
      <c r="J1230" s="7" t="str">
        <f aca="false">IFERROR(INDEX('Semrush Data'!$A$1:$Z$20000,MATCH(A1230,'Semrush Data'!$A$1:$A$20000,0),MATCH("Intent",'Semrush Data'!$A$1:$Z$1,0)),"")</f>
        <v/>
      </c>
    </row>
    <row r="1231" customFormat="false" ht="15" hidden="false" customHeight="true" outlineLevel="0" collapsed="false">
      <c r="A1231" s="7" t="s">
        <v>6350</v>
      </c>
      <c r="B1231" s="7" t="s">
        <v>6814</v>
      </c>
      <c r="C1231" s="7" t="n">
        <v>2</v>
      </c>
      <c r="D1231" s="7" t="n">
        <v>13</v>
      </c>
      <c r="E1231" s="7" t="n">
        <v>1</v>
      </c>
      <c r="F1231" s="7" t="s">
        <v>6345</v>
      </c>
      <c r="G1231" s="12" t="str">
        <f aca="false">IFERROR(INDEX('Semrush Data'!$A$1:$Z$20000,MATCH(A1231,'Semrush Data'!$A$1:$A$20000,0),MATCH("Volume",'Semrush Data'!$A$1:$Z$1,0)),"")</f>
        <v/>
      </c>
      <c r="H1231" s="7" t="str">
        <f aca="false">IFERROR(INDEX('Semrush Data'!$A$1:$Z$20000,MATCH(A1231,'Semrush Data'!$A$1:$A$20000,0),MATCH("Keyword Difficulty*",'Semrush Data'!$A$1:$Z$1,0)),"")</f>
        <v/>
      </c>
      <c r="I1231" s="13" t="str">
        <f aca="false">IFERROR(INDEX('Semrush Data'!$A$1:$Z$20000,MATCH(A1231,'Semrush Data'!$A$1:$A$20000,0),MATCH("CPC*",'Semrush Data'!$A$1:$Z$1,0)),"")</f>
        <v/>
      </c>
      <c r="J1231" s="7" t="str">
        <f aca="false">IFERROR(INDEX('Semrush Data'!$A$1:$Z$20000,MATCH(A1231,'Semrush Data'!$A$1:$A$20000,0),MATCH("Intent",'Semrush Data'!$A$1:$Z$1,0)),"")</f>
        <v/>
      </c>
    </row>
    <row r="1232" customFormat="false" ht="15" hidden="false" customHeight="true" outlineLevel="0" collapsed="false">
      <c r="A1232" s="7" t="s">
        <v>6361</v>
      </c>
      <c r="B1232" s="7" t="s">
        <v>6814</v>
      </c>
      <c r="C1232" s="7" t="n">
        <v>2</v>
      </c>
      <c r="D1232" s="7" t="n">
        <v>13</v>
      </c>
      <c r="E1232" s="7" t="n">
        <v>1</v>
      </c>
      <c r="F1232" s="7" t="s">
        <v>6358</v>
      </c>
      <c r="G1232" s="12" t="str">
        <f aca="false">IFERROR(INDEX('Semrush Data'!$A$1:$Z$20000,MATCH(A1232,'Semrush Data'!$A$1:$A$20000,0),MATCH("Volume",'Semrush Data'!$A$1:$Z$1,0)),"")</f>
        <v/>
      </c>
      <c r="H1232" s="7" t="str">
        <f aca="false">IFERROR(INDEX('Semrush Data'!$A$1:$Z$20000,MATCH(A1232,'Semrush Data'!$A$1:$A$20000,0),MATCH("Keyword Difficulty*",'Semrush Data'!$A$1:$Z$1,0)),"")</f>
        <v/>
      </c>
      <c r="I1232" s="13" t="str">
        <f aca="false">IFERROR(INDEX('Semrush Data'!$A$1:$Z$20000,MATCH(A1232,'Semrush Data'!$A$1:$A$20000,0),MATCH("CPC*",'Semrush Data'!$A$1:$Z$1,0)),"")</f>
        <v/>
      </c>
      <c r="J1232" s="7" t="str">
        <f aca="false">IFERROR(INDEX('Semrush Data'!$A$1:$Z$20000,MATCH(A1232,'Semrush Data'!$A$1:$A$20000,0),MATCH("Intent",'Semrush Data'!$A$1:$Z$1,0)),"")</f>
        <v/>
      </c>
    </row>
    <row r="1233" customFormat="false" ht="15" hidden="false" customHeight="true" outlineLevel="0" collapsed="false">
      <c r="A1233" s="7" t="s">
        <v>6404</v>
      </c>
      <c r="B1233" s="7" t="s">
        <v>6814</v>
      </c>
      <c r="C1233" s="7" t="n">
        <v>2</v>
      </c>
      <c r="D1233" s="7" t="n">
        <v>13</v>
      </c>
      <c r="E1233" s="7" t="n">
        <v>1</v>
      </c>
      <c r="F1233" s="7" t="s">
        <v>6401</v>
      </c>
      <c r="G1233" s="12" t="str">
        <f aca="false">IFERROR(INDEX('Semrush Data'!$A$1:$Z$20000,MATCH(A1233,'Semrush Data'!$A$1:$A$20000,0),MATCH("Volume",'Semrush Data'!$A$1:$Z$1,0)),"")</f>
        <v/>
      </c>
      <c r="H1233" s="7" t="str">
        <f aca="false">IFERROR(INDEX('Semrush Data'!$A$1:$Z$20000,MATCH(A1233,'Semrush Data'!$A$1:$A$20000,0),MATCH("Keyword Difficulty*",'Semrush Data'!$A$1:$Z$1,0)),"")</f>
        <v/>
      </c>
      <c r="I1233" s="13" t="str">
        <f aca="false">IFERROR(INDEX('Semrush Data'!$A$1:$Z$20000,MATCH(A1233,'Semrush Data'!$A$1:$A$20000,0),MATCH("CPC*",'Semrush Data'!$A$1:$Z$1,0)),"")</f>
        <v/>
      </c>
      <c r="J1233" s="7" t="str">
        <f aca="false">IFERROR(INDEX('Semrush Data'!$A$1:$Z$20000,MATCH(A1233,'Semrush Data'!$A$1:$A$20000,0),MATCH("Intent",'Semrush Data'!$A$1:$Z$1,0)),"")</f>
        <v/>
      </c>
    </row>
    <row r="1234" customFormat="false" ht="15" hidden="false" customHeight="true" outlineLevel="0" collapsed="false">
      <c r="A1234" s="7" t="s">
        <v>6416</v>
      </c>
      <c r="B1234" s="7" t="s">
        <v>6814</v>
      </c>
      <c r="C1234" s="7" t="n">
        <v>2</v>
      </c>
      <c r="D1234" s="7" t="n">
        <v>13</v>
      </c>
      <c r="E1234" s="7" t="n">
        <v>1</v>
      </c>
      <c r="F1234" s="7" t="s">
        <v>6412</v>
      </c>
      <c r="G1234" s="12" t="str">
        <f aca="false">IFERROR(INDEX('Semrush Data'!$A$1:$Z$20000,MATCH(A1234,'Semrush Data'!$A$1:$A$20000,0),MATCH("Volume",'Semrush Data'!$A$1:$Z$1,0)),"")</f>
        <v/>
      </c>
      <c r="H1234" s="7" t="str">
        <f aca="false">IFERROR(INDEX('Semrush Data'!$A$1:$Z$20000,MATCH(A1234,'Semrush Data'!$A$1:$A$20000,0),MATCH("Keyword Difficulty*",'Semrush Data'!$A$1:$Z$1,0)),"")</f>
        <v/>
      </c>
      <c r="I1234" s="13" t="str">
        <f aca="false">IFERROR(INDEX('Semrush Data'!$A$1:$Z$20000,MATCH(A1234,'Semrush Data'!$A$1:$A$20000,0),MATCH("CPC*",'Semrush Data'!$A$1:$Z$1,0)),"")</f>
        <v/>
      </c>
      <c r="J1234" s="7" t="str">
        <f aca="false">IFERROR(INDEX('Semrush Data'!$A$1:$Z$20000,MATCH(A1234,'Semrush Data'!$A$1:$A$20000,0),MATCH("Intent",'Semrush Data'!$A$1:$Z$1,0)),"")</f>
        <v/>
      </c>
    </row>
    <row r="1235" customFormat="false" ht="15" hidden="false" customHeight="true" outlineLevel="0" collapsed="false">
      <c r="A1235" s="7" t="s">
        <v>1515</v>
      </c>
      <c r="B1235" s="7" t="s">
        <v>6814</v>
      </c>
      <c r="C1235" s="7" t="n">
        <v>2</v>
      </c>
      <c r="D1235" s="7" t="n">
        <v>13</v>
      </c>
      <c r="E1235" s="7" t="n">
        <v>1</v>
      </c>
      <c r="F1235" s="7" t="s">
        <v>474</v>
      </c>
      <c r="G1235" s="12" t="str">
        <f aca="false">IFERROR(INDEX('Semrush Data'!$A$1:$Z$20000,MATCH(A1235,'Semrush Data'!$A$1:$A$20000,0),MATCH("Volume",'Semrush Data'!$A$1:$Z$1,0)),"")</f>
        <v/>
      </c>
      <c r="H1235" s="7" t="str">
        <f aca="false">IFERROR(INDEX('Semrush Data'!$A$1:$Z$20000,MATCH(A1235,'Semrush Data'!$A$1:$A$20000,0),MATCH("Keyword Difficulty*",'Semrush Data'!$A$1:$Z$1,0)),"")</f>
        <v/>
      </c>
      <c r="I1235" s="13" t="str">
        <f aca="false">IFERROR(INDEX('Semrush Data'!$A$1:$Z$20000,MATCH(A1235,'Semrush Data'!$A$1:$A$20000,0),MATCH("CPC*",'Semrush Data'!$A$1:$Z$1,0)),"")</f>
        <v/>
      </c>
      <c r="J1235" s="7" t="str">
        <f aca="false">IFERROR(INDEX('Semrush Data'!$A$1:$Z$20000,MATCH(A1235,'Semrush Data'!$A$1:$A$20000,0),MATCH("Intent",'Semrush Data'!$A$1:$Z$1,0)),"")</f>
        <v/>
      </c>
    </row>
    <row r="1236" customFormat="false" ht="15" hidden="false" customHeight="true" outlineLevel="0" collapsed="false">
      <c r="A1236" s="7" t="s">
        <v>1751</v>
      </c>
      <c r="B1236" s="7" t="s">
        <v>6814</v>
      </c>
      <c r="C1236" s="7" t="n">
        <v>2</v>
      </c>
      <c r="D1236" s="7" t="n">
        <v>13</v>
      </c>
      <c r="E1236" s="7" t="n">
        <v>1</v>
      </c>
      <c r="F1236" s="7" t="s">
        <v>724</v>
      </c>
      <c r="G1236" s="12" t="str">
        <f aca="false">IFERROR(INDEX('Semrush Data'!$A$1:$Z$20000,MATCH(A1236,'Semrush Data'!$A$1:$A$20000,0),MATCH("Volume",'Semrush Data'!$A$1:$Z$1,0)),"")</f>
        <v/>
      </c>
      <c r="H1236" s="7" t="str">
        <f aca="false">IFERROR(INDEX('Semrush Data'!$A$1:$Z$20000,MATCH(A1236,'Semrush Data'!$A$1:$A$20000,0),MATCH("Keyword Difficulty*",'Semrush Data'!$A$1:$Z$1,0)),"")</f>
        <v/>
      </c>
      <c r="I1236" s="13" t="str">
        <f aca="false">IFERROR(INDEX('Semrush Data'!$A$1:$Z$20000,MATCH(A1236,'Semrush Data'!$A$1:$A$20000,0),MATCH("CPC*",'Semrush Data'!$A$1:$Z$1,0)),"")</f>
        <v/>
      </c>
      <c r="J1236" s="7" t="str">
        <f aca="false">IFERROR(INDEX('Semrush Data'!$A$1:$Z$20000,MATCH(A1236,'Semrush Data'!$A$1:$A$20000,0),MATCH("Intent",'Semrush Data'!$A$1:$Z$1,0)),"")</f>
        <v/>
      </c>
    </row>
    <row r="1237" customFormat="false" ht="15" hidden="false" customHeight="true" outlineLevel="0" collapsed="false">
      <c r="A1237" s="7" t="s">
        <v>1739</v>
      </c>
      <c r="B1237" s="7" t="s">
        <v>6814</v>
      </c>
      <c r="C1237" s="7" t="n">
        <v>2</v>
      </c>
      <c r="D1237" s="7" t="n">
        <v>13</v>
      </c>
      <c r="E1237" s="7" t="n">
        <v>1</v>
      </c>
      <c r="F1237" s="7" t="s">
        <v>714</v>
      </c>
      <c r="G1237" s="12" t="str">
        <f aca="false">IFERROR(INDEX('Semrush Data'!$A$1:$Z$20000,MATCH(A1237,'Semrush Data'!$A$1:$A$20000,0),MATCH("Volume",'Semrush Data'!$A$1:$Z$1,0)),"")</f>
        <v/>
      </c>
      <c r="H1237" s="7" t="str">
        <f aca="false">IFERROR(INDEX('Semrush Data'!$A$1:$Z$20000,MATCH(A1237,'Semrush Data'!$A$1:$A$20000,0),MATCH("Keyword Difficulty*",'Semrush Data'!$A$1:$Z$1,0)),"")</f>
        <v/>
      </c>
      <c r="I1237" s="13" t="str">
        <f aca="false">IFERROR(INDEX('Semrush Data'!$A$1:$Z$20000,MATCH(A1237,'Semrush Data'!$A$1:$A$20000,0),MATCH("CPC*",'Semrush Data'!$A$1:$Z$1,0)),"")</f>
        <v/>
      </c>
      <c r="J1237" s="7" t="str">
        <f aca="false">IFERROR(INDEX('Semrush Data'!$A$1:$Z$20000,MATCH(A1237,'Semrush Data'!$A$1:$A$20000,0),MATCH("Intent",'Semrush Data'!$A$1:$Z$1,0)),"")</f>
        <v/>
      </c>
    </row>
    <row r="1238" customFormat="false" ht="15" hidden="false" customHeight="true" outlineLevel="0" collapsed="false">
      <c r="A1238" s="7" t="s">
        <v>1847</v>
      </c>
      <c r="B1238" s="7" t="s">
        <v>6814</v>
      </c>
      <c r="C1238" s="7" t="n">
        <v>2</v>
      </c>
      <c r="D1238" s="7" t="n">
        <v>13</v>
      </c>
      <c r="E1238" s="7" t="n">
        <v>1</v>
      </c>
      <c r="F1238" s="7" t="s">
        <v>813</v>
      </c>
      <c r="G1238" s="12" t="str">
        <f aca="false">IFERROR(INDEX('Semrush Data'!$A$1:$Z$20000,MATCH(A1238,'Semrush Data'!$A$1:$A$20000,0),MATCH("Volume",'Semrush Data'!$A$1:$Z$1,0)),"")</f>
        <v/>
      </c>
      <c r="H1238" s="7" t="str">
        <f aca="false">IFERROR(INDEX('Semrush Data'!$A$1:$Z$20000,MATCH(A1238,'Semrush Data'!$A$1:$A$20000,0),MATCH("Keyword Difficulty*",'Semrush Data'!$A$1:$Z$1,0)),"")</f>
        <v/>
      </c>
      <c r="I1238" s="13" t="str">
        <f aca="false">IFERROR(INDEX('Semrush Data'!$A$1:$Z$20000,MATCH(A1238,'Semrush Data'!$A$1:$A$20000,0),MATCH("CPC*",'Semrush Data'!$A$1:$Z$1,0)),"")</f>
        <v/>
      </c>
      <c r="J1238" s="7" t="str">
        <f aca="false">IFERROR(INDEX('Semrush Data'!$A$1:$Z$20000,MATCH(A1238,'Semrush Data'!$A$1:$A$20000,0),MATCH("Intent",'Semrush Data'!$A$1:$Z$1,0)),"")</f>
        <v/>
      </c>
    </row>
    <row r="1239" customFormat="false" ht="15" hidden="false" customHeight="true" outlineLevel="0" collapsed="false">
      <c r="A1239" s="7" t="s">
        <v>1522</v>
      </c>
      <c r="B1239" s="7" t="s">
        <v>6814</v>
      </c>
      <c r="C1239" s="7" t="n">
        <v>2</v>
      </c>
      <c r="D1239" s="7" t="n">
        <v>13</v>
      </c>
      <c r="E1239" s="7" t="n">
        <v>1</v>
      </c>
      <c r="F1239" s="7" t="s">
        <v>481</v>
      </c>
      <c r="G1239" s="12" t="str">
        <f aca="false">IFERROR(INDEX('Semrush Data'!$A$1:$Z$20000,MATCH(A1239,'Semrush Data'!$A$1:$A$20000,0),MATCH("Volume",'Semrush Data'!$A$1:$Z$1,0)),"")</f>
        <v/>
      </c>
      <c r="H1239" s="7" t="str">
        <f aca="false">IFERROR(INDEX('Semrush Data'!$A$1:$Z$20000,MATCH(A1239,'Semrush Data'!$A$1:$A$20000,0),MATCH("Keyword Difficulty*",'Semrush Data'!$A$1:$Z$1,0)),"")</f>
        <v/>
      </c>
      <c r="I1239" s="13" t="str">
        <f aca="false">IFERROR(INDEX('Semrush Data'!$A$1:$Z$20000,MATCH(A1239,'Semrush Data'!$A$1:$A$20000,0),MATCH("CPC*",'Semrush Data'!$A$1:$Z$1,0)),"")</f>
        <v/>
      </c>
      <c r="J1239" s="7" t="str">
        <f aca="false">IFERROR(INDEX('Semrush Data'!$A$1:$Z$20000,MATCH(A1239,'Semrush Data'!$A$1:$A$20000,0),MATCH("Intent",'Semrush Data'!$A$1:$Z$1,0)),"")</f>
        <v/>
      </c>
    </row>
    <row r="1240" customFormat="false" ht="15" hidden="false" customHeight="true" outlineLevel="0" collapsed="false">
      <c r="A1240" s="7" t="s">
        <v>1530</v>
      </c>
      <c r="B1240" s="7" t="s">
        <v>6814</v>
      </c>
      <c r="C1240" s="7" t="n">
        <v>2</v>
      </c>
      <c r="D1240" s="7" t="n">
        <v>13</v>
      </c>
      <c r="E1240" s="7" t="n">
        <v>1</v>
      </c>
      <c r="F1240" s="7" t="s">
        <v>489</v>
      </c>
      <c r="G1240" s="12" t="str">
        <f aca="false">IFERROR(INDEX('Semrush Data'!$A$1:$Z$20000,MATCH(A1240,'Semrush Data'!$A$1:$A$20000,0),MATCH("Volume",'Semrush Data'!$A$1:$Z$1,0)),"")</f>
        <v/>
      </c>
      <c r="H1240" s="7" t="str">
        <f aca="false">IFERROR(INDEX('Semrush Data'!$A$1:$Z$20000,MATCH(A1240,'Semrush Data'!$A$1:$A$20000,0),MATCH("Keyword Difficulty*",'Semrush Data'!$A$1:$Z$1,0)),"")</f>
        <v/>
      </c>
      <c r="I1240" s="13" t="str">
        <f aca="false">IFERROR(INDEX('Semrush Data'!$A$1:$Z$20000,MATCH(A1240,'Semrush Data'!$A$1:$A$20000,0),MATCH("CPC*",'Semrush Data'!$A$1:$Z$1,0)),"")</f>
        <v/>
      </c>
      <c r="J1240" s="7" t="str">
        <f aca="false">IFERROR(INDEX('Semrush Data'!$A$1:$Z$20000,MATCH(A1240,'Semrush Data'!$A$1:$A$20000,0),MATCH("Intent",'Semrush Data'!$A$1:$Z$1,0)),"")</f>
        <v/>
      </c>
    </row>
    <row r="1241" customFormat="false" ht="15" hidden="false" customHeight="true" outlineLevel="0" collapsed="false">
      <c r="A1241" s="7" t="s">
        <v>1709</v>
      </c>
      <c r="B1241" s="7" t="s">
        <v>6814</v>
      </c>
      <c r="C1241" s="7" t="n">
        <v>2</v>
      </c>
      <c r="D1241" s="7" t="n">
        <v>13</v>
      </c>
      <c r="E1241" s="7" t="n">
        <v>1</v>
      </c>
      <c r="F1241" s="7" t="s">
        <v>687</v>
      </c>
      <c r="G1241" s="12" t="str">
        <f aca="false">IFERROR(INDEX('Semrush Data'!$A$1:$Z$20000,MATCH(A1241,'Semrush Data'!$A$1:$A$20000,0),MATCH("Volume",'Semrush Data'!$A$1:$Z$1,0)),"")</f>
        <v/>
      </c>
      <c r="H1241" s="7" t="str">
        <f aca="false">IFERROR(INDEX('Semrush Data'!$A$1:$Z$20000,MATCH(A1241,'Semrush Data'!$A$1:$A$20000,0),MATCH("Keyword Difficulty*",'Semrush Data'!$A$1:$Z$1,0)),"")</f>
        <v/>
      </c>
      <c r="I1241" s="13" t="str">
        <f aca="false">IFERROR(INDEX('Semrush Data'!$A$1:$Z$20000,MATCH(A1241,'Semrush Data'!$A$1:$A$20000,0),MATCH("CPC*",'Semrush Data'!$A$1:$Z$1,0)),"")</f>
        <v/>
      </c>
      <c r="J1241" s="7" t="str">
        <f aca="false">IFERROR(INDEX('Semrush Data'!$A$1:$Z$20000,MATCH(A1241,'Semrush Data'!$A$1:$A$20000,0),MATCH("Intent",'Semrush Data'!$A$1:$Z$1,0)),"")</f>
        <v/>
      </c>
    </row>
    <row r="1242" customFormat="false" ht="15" hidden="false" customHeight="true" outlineLevel="0" collapsed="false">
      <c r="A1242" s="7" t="s">
        <v>1715</v>
      </c>
      <c r="B1242" s="7" t="s">
        <v>6814</v>
      </c>
      <c r="C1242" s="7" t="n">
        <v>2</v>
      </c>
      <c r="D1242" s="7" t="n">
        <v>13</v>
      </c>
      <c r="E1242" s="7" t="n">
        <v>2</v>
      </c>
      <c r="F1242" s="7" t="s">
        <v>6811</v>
      </c>
      <c r="G1242" s="12" t="str">
        <f aca="false">IFERROR(INDEX('Semrush Data'!$A$1:$Z$20000,MATCH(A1242,'Semrush Data'!$A$1:$A$20000,0),MATCH("Volume",'Semrush Data'!$A$1:$Z$1,0)),"")</f>
        <v/>
      </c>
      <c r="H1242" s="7" t="str">
        <f aca="false">IFERROR(INDEX('Semrush Data'!$A$1:$Z$20000,MATCH(A1242,'Semrush Data'!$A$1:$A$20000,0),MATCH("Keyword Difficulty*",'Semrush Data'!$A$1:$Z$1,0)),"")</f>
        <v/>
      </c>
      <c r="I1242" s="13" t="str">
        <f aca="false">IFERROR(INDEX('Semrush Data'!$A$1:$Z$20000,MATCH(A1242,'Semrush Data'!$A$1:$A$20000,0),MATCH("CPC*",'Semrush Data'!$A$1:$Z$1,0)),"")</f>
        <v/>
      </c>
      <c r="J1242" s="7" t="str">
        <f aca="false">IFERROR(INDEX('Semrush Data'!$A$1:$Z$20000,MATCH(A1242,'Semrush Data'!$A$1:$A$20000,0),MATCH("Intent",'Semrush Data'!$A$1:$Z$1,0)),"")</f>
        <v/>
      </c>
    </row>
    <row r="1243" customFormat="false" ht="15" hidden="false" customHeight="true" outlineLevel="0" collapsed="false">
      <c r="A1243" s="7" t="s">
        <v>1817</v>
      </c>
      <c r="B1243" s="7" t="s">
        <v>6814</v>
      </c>
      <c r="C1243" s="7" t="n">
        <v>2</v>
      </c>
      <c r="D1243" s="7" t="n">
        <v>13</v>
      </c>
      <c r="E1243" s="7" t="n">
        <v>1</v>
      </c>
      <c r="F1243" s="7" t="s">
        <v>786</v>
      </c>
      <c r="G1243" s="12" t="str">
        <f aca="false">IFERROR(INDEX('Semrush Data'!$A$1:$Z$20000,MATCH(A1243,'Semrush Data'!$A$1:$A$20000,0),MATCH("Volume",'Semrush Data'!$A$1:$Z$1,0)),"")</f>
        <v/>
      </c>
      <c r="H1243" s="7" t="str">
        <f aca="false">IFERROR(INDEX('Semrush Data'!$A$1:$Z$20000,MATCH(A1243,'Semrush Data'!$A$1:$A$20000,0),MATCH("Keyword Difficulty*",'Semrush Data'!$A$1:$Z$1,0)),"")</f>
        <v/>
      </c>
      <c r="I1243" s="13" t="str">
        <f aca="false">IFERROR(INDEX('Semrush Data'!$A$1:$Z$20000,MATCH(A1243,'Semrush Data'!$A$1:$A$20000,0),MATCH("CPC*",'Semrush Data'!$A$1:$Z$1,0)),"")</f>
        <v/>
      </c>
      <c r="J1243" s="7" t="str">
        <f aca="false">IFERROR(INDEX('Semrush Data'!$A$1:$Z$20000,MATCH(A1243,'Semrush Data'!$A$1:$A$20000,0),MATCH("Intent",'Semrush Data'!$A$1:$Z$1,0)),"")</f>
        <v/>
      </c>
    </row>
    <row r="1244" customFormat="false" ht="15" hidden="false" customHeight="true" outlineLevel="0" collapsed="false">
      <c r="A1244" s="7" t="s">
        <v>1745</v>
      </c>
      <c r="B1244" s="7" t="s">
        <v>6814</v>
      </c>
      <c r="C1244" s="7" t="n">
        <v>2</v>
      </c>
      <c r="D1244" s="7" t="n">
        <v>13</v>
      </c>
      <c r="E1244" s="7" t="n">
        <v>1</v>
      </c>
      <c r="F1244" s="7" t="s">
        <v>719</v>
      </c>
      <c r="G1244" s="12" t="str">
        <f aca="false">IFERROR(INDEX('Semrush Data'!$A$1:$Z$20000,MATCH(A1244,'Semrush Data'!$A$1:$A$20000,0),MATCH("Volume",'Semrush Data'!$A$1:$Z$1,0)),"")</f>
        <v/>
      </c>
      <c r="H1244" s="7" t="str">
        <f aca="false">IFERROR(INDEX('Semrush Data'!$A$1:$Z$20000,MATCH(A1244,'Semrush Data'!$A$1:$A$20000,0),MATCH("Keyword Difficulty*",'Semrush Data'!$A$1:$Z$1,0)),"")</f>
        <v/>
      </c>
      <c r="I1244" s="13" t="str">
        <f aca="false">IFERROR(INDEX('Semrush Data'!$A$1:$Z$20000,MATCH(A1244,'Semrush Data'!$A$1:$A$20000,0),MATCH("CPC*",'Semrush Data'!$A$1:$Z$1,0)),"")</f>
        <v/>
      </c>
      <c r="J1244" s="7" t="str">
        <f aca="false">IFERROR(INDEX('Semrush Data'!$A$1:$Z$20000,MATCH(A1244,'Semrush Data'!$A$1:$A$20000,0),MATCH("Intent",'Semrush Data'!$A$1:$Z$1,0)),"")</f>
        <v/>
      </c>
    </row>
    <row r="1245" customFormat="false" ht="15" hidden="false" customHeight="true" outlineLevel="0" collapsed="false">
      <c r="A1245" s="7" t="s">
        <v>1538</v>
      </c>
      <c r="B1245" s="7" t="s">
        <v>6814</v>
      </c>
      <c r="C1245" s="7" t="n">
        <v>2</v>
      </c>
      <c r="D1245" s="7" t="n">
        <v>13</v>
      </c>
      <c r="E1245" s="7" t="n">
        <v>1</v>
      </c>
      <c r="F1245" s="7" t="s">
        <v>499</v>
      </c>
      <c r="G1245" s="12" t="str">
        <f aca="false">IFERROR(INDEX('Semrush Data'!$A$1:$Z$20000,MATCH(A1245,'Semrush Data'!$A$1:$A$20000,0),MATCH("Volume",'Semrush Data'!$A$1:$Z$1,0)),"")</f>
        <v/>
      </c>
      <c r="H1245" s="7" t="str">
        <f aca="false">IFERROR(INDEX('Semrush Data'!$A$1:$Z$20000,MATCH(A1245,'Semrush Data'!$A$1:$A$20000,0),MATCH("Keyword Difficulty*",'Semrush Data'!$A$1:$Z$1,0)),"")</f>
        <v/>
      </c>
      <c r="I1245" s="13" t="str">
        <f aca="false">IFERROR(INDEX('Semrush Data'!$A$1:$Z$20000,MATCH(A1245,'Semrush Data'!$A$1:$A$20000,0),MATCH("CPC*",'Semrush Data'!$A$1:$Z$1,0)),"")</f>
        <v/>
      </c>
      <c r="J1245" s="7" t="str">
        <f aca="false">IFERROR(INDEX('Semrush Data'!$A$1:$Z$20000,MATCH(A1245,'Semrush Data'!$A$1:$A$20000,0),MATCH("Intent",'Semrush Data'!$A$1:$Z$1,0)),"")</f>
        <v/>
      </c>
    </row>
    <row r="1246" customFormat="false" ht="15" hidden="false" customHeight="true" outlineLevel="0" collapsed="false">
      <c r="A1246" s="7" t="s">
        <v>1853</v>
      </c>
      <c r="B1246" s="7" t="s">
        <v>6814</v>
      </c>
      <c r="C1246" s="7" t="n">
        <v>2</v>
      </c>
      <c r="D1246" s="7" t="n">
        <v>13</v>
      </c>
      <c r="E1246" s="7" t="n">
        <v>1</v>
      </c>
      <c r="F1246" s="7" t="s">
        <v>818</v>
      </c>
      <c r="G1246" s="12" t="str">
        <f aca="false">IFERROR(INDEX('Semrush Data'!$A$1:$Z$20000,MATCH(A1246,'Semrush Data'!$A$1:$A$20000,0),MATCH("Volume",'Semrush Data'!$A$1:$Z$1,0)),"")</f>
        <v/>
      </c>
      <c r="H1246" s="7" t="str">
        <f aca="false">IFERROR(INDEX('Semrush Data'!$A$1:$Z$20000,MATCH(A1246,'Semrush Data'!$A$1:$A$20000,0),MATCH("Keyword Difficulty*",'Semrush Data'!$A$1:$Z$1,0)),"")</f>
        <v/>
      </c>
      <c r="I1246" s="13" t="str">
        <f aca="false">IFERROR(INDEX('Semrush Data'!$A$1:$Z$20000,MATCH(A1246,'Semrush Data'!$A$1:$A$20000,0),MATCH("CPC*",'Semrush Data'!$A$1:$Z$1,0)),"")</f>
        <v/>
      </c>
      <c r="J1246" s="7" t="str">
        <f aca="false">IFERROR(INDEX('Semrush Data'!$A$1:$Z$20000,MATCH(A1246,'Semrush Data'!$A$1:$A$20000,0),MATCH("Intent",'Semrush Data'!$A$1:$Z$1,0)),"")</f>
        <v/>
      </c>
    </row>
    <row r="1247" customFormat="false" ht="15" hidden="false" customHeight="true" outlineLevel="0" collapsed="false">
      <c r="A1247" s="7" t="s">
        <v>1787</v>
      </c>
      <c r="B1247" s="7" t="s">
        <v>6814</v>
      </c>
      <c r="C1247" s="7" t="n">
        <v>2</v>
      </c>
      <c r="D1247" s="7" t="n">
        <v>13</v>
      </c>
      <c r="E1247" s="7" t="n">
        <v>1</v>
      </c>
      <c r="F1247" s="7" t="s">
        <v>758</v>
      </c>
      <c r="G1247" s="12" t="str">
        <f aca="false">IFERROR(INDEX('Semrush Data'!$A$1:$Z$20000,MATCH(A1247,'Semrush Data'!$A$1:$A$20000,0),MATCH("Volume",'Semrush Data'!$A$1:$Z$1,0)),"")</f>
        <v/>
      </c>
      <c r="H1247" s="7" t="str">
        <f aca="false">IFERROR(INDEX('Semrush Data'!$A$1:$Z$20000,MATCH(A1247,'Semrush Data'!$A$1:$A$20000,0),MATCH("Keyword Difficulty*",'Semrush Data'!$A$1:$Z$1,0)),"")</f>
        <v/>
      </c>
      <c r="I1247" s="13" t="str">
        <f aca="false">IFERROR(INDEX('Semrush Data'!$A$1:$Z$20000,MATCH(A1247,'Semrush Data'!$A$1:$A$20000,0),MATCH("CPC*",'Semrush Data'!$A$1:$Z$1,0)),"")</f>
        <v/>
      </c>
      <c r="J1247" s="7" t="str">
        <f aca="false">IFERROR(INDEX('Semrush Data'!$A$1:$Z$20000,MATCH(A1247,'Semrush Data'!$A$1:$A$20000,0),MATCH("Intent",'Semrush Data'!$A$1:$Z$1,0)),"")</f>
        <v/>
      </c>
    </row>
    <row r="1248" customFormat="false" ht="15" hidden="false" customHeight="true" outlineLevel="0" collapsed="false">
      <c r="A1248" s="7" t="s">
        <v>1545</v>
      </c>
      <c r="B1248" s="7" t="s">
        <v>6814</v>
      </c>
      <c r="C1248" s="7" t="n">
        <v>2</v>
      </c>
      <c r="D1248" s="7" t="n">
        <v>13</v>
      </c>
      <c r="E1248" s="7" t="n">
        <v>1</v>
      </c>
      <c r="F1248" s="7" t="s">
        <v>509</v>
      </c>
      <c r="G1248" s="12" t="str">
        <f aca="false">IFERROR(INDEX('Semrush Data'!$A$1:$Z$20000,MATCH(A1248,'Semrush Data'!$A$1:$A$20000,0),MATCH("Volume",'Semrush Data'!$A$1:$Z$1,0)),"")</f>
        <v/>
      </c>
      <c r="H1248" s="7" t="str">
        <f aca="false">IFERROR(INDEX('Semrush Data'!$A$1:$Z$20000,MATCH(A1248,'Semrush Data'!$A$1:$A$20000,0),MATCH("Keyword Difficulty*",'Semrush Data'!$A$1:$Z$1,0)),"")</f>
        <v/>
      </c>
      <c r="I1248" s="13" t="str">
        <f aca="false">IFERROR(INDEX('Semrush Data'!$A$1:$Z$20000,MATCH(A1248,'Semrush Data'!$A$1:$A$20000,0),MATCH("CPC*",'Semrush Data'!$A$1:$Z$1,0)),"")</f>
        <v/>
      </c>
      <c r="J1248" s="7" t="str">
        <f aca="false">IFERROR(INDEX('Semrush Data'!$A$1:$Z$20000,MATCH(A1248,'Semrush Data'!$A$1:$A$20000,0),MATCH("Intent",'Semrush Data'!$A$1:$Z$1,0)),"")</f>
        <v/>
      </c>
    </row>
    <row r="1249" customFormat="false" ht="15" hidden="false" customHeight="true" outlineLevel="0" collapsed="false">
      <c r="A1249" s="7" t="s">
        <v>1454</v>
      </c>
      <c r="B1249" s="7" t="s">
        <v>6814</v>
      </c>
      <c r="C1249" s="7" t="n">
        <v>2</v>
      </c>
      <c r="D1249" s="7" t="n">
        <v>13</v>
      </c>
      <c r="E1249" s="7" t="n">
        <v>1</v>
      </c>
      <c r="F1249" s="7" t="s">
        <v>404</v>
      </c>
      <c r="G1249" s="12" t="str">
        <f aca="false">IFERROR(INDEX('Semrush Data'!$A$1:$Z$20000,MATCH(A1249,'Semrush Data'!$A$1:$A$20000,0),MATCH("Volume",'Semrush Data'!$A$1:$Z$1,0)),"")</f>
        <v/>
      </c>
      <c r="H1249" s="7" t="str">
        <f aca="false">IFERROR(INDEX('Semrush Data'!$A$1:$Z$20000,MATCH(A1249,'Semrush Data'!$A$1:$A$20000,0),MATCH("Keyword Difficulty*",'Semrush Data'!$A$1:$Z$1,0)),"")</f>
        <v/>
      </c>
      <c r="I1249" s="13" t="str">
        <f aca="false">IFERROR(INDEX('Semrush Data'!$A$1:$Z$20000,MATCH(A1249,'Semrush Data'!$A$1:$A$20000,0),MATCH("CPC*",'Semrush Data'!$A$1:$Z$1,0)),"")</f>
        <v/>
      </c>
      <c r="J1249" s="7" t="str">
        <f aca="false">IFERROR(INDEX('Semrush Data'!$A$1:$Z$20000,MATCH(A1249,'Semrush Data'!$A$1:$A$20000,0),MATCH("Intent",'Semrush Data'!$A$1:$Z$1,0)),"")</f>
        <v/>
      </c>
    </row>
    <row r="1250" customFormat="false" ht="15" hidden="false" customHeight="true" outlineLevel="0" collapsed="false">
      <c r="A1250" s="7" t="s">
        <v>1395</v>
      </c>
      <c r="B1250" s="7" t="s">
        <v>6814</v>
      </c>
      <c r="C1250" s="7" t="n">
        <v>2</v>
      </c>
      <c r="D1250" s="7" t="n">
        <v>13</v>
      </c>
      <c r="E1250" s="7" t="n">
        <v>1</v>
      </c>
      <c r="F1250" s="7" t="s">
        <v>334</v>
      </c>
      <c r="G1250" s="12" t="str">
        <f aca="false">IFERROR(INDEX('Semrush Data'!$A$1:$Z$20000,MATCH(A1250,'Semrush Data'!$A$1:$A$20000,0),MATCH("Volume",'Semrush Data'!$A$1:$Z$1,0)),"")</f>
        <v/>
      </c>
      <c r="H1250" s="7" t="str">
        <f aca="false">IFERROR(INDEX('Semrush Data'!$A$1:$Z$20000,MATCH(A1250,'Semrush Data'!$A$1:$A$20000,0),MATCH("Keyword Difficulty*",'Semrush Data'!$A$1:$Z$1,0)),"")</f>
        <v/>
      </c>
      <c r="I1250" s="13" t="str">
        <f aca="false">IFERROR(INDEX('Semrush Data'!$A$1:$Z$20000,MATCH(A1250,'Semrush Data'!$A$1:$A$20000,0),MATCH("CPC*",'Semrush Data'!$A$1:$Z$1,0)),"")</f>
        <v/>
      </c>
      <c r="J1250" s="7" t="str">
        <f aca="false">IFERROR(INDEX('Semrush Data'!$A$1:$Z$20000,MATCH(A1250,'Semrush Data'!$A$1:$A$20000,0),MATCH("Intent",'Semrush Data'!$A$1:$Z$1,0)),"")</f>
        <v/>
      </c>
    </row>
    <row r="1251" customFormat="false" ht="15" hidden="false" customHeight="true" outlineLevel="0" collapsed="false">
      <c r="A1251" s="7" t="s">
        <v>1433</v>
      </c>
      <c r="B1251" s="7" t="s">
        <v>6814</v>
      </c>
      <c r="C1251" s="7" t="n">
        <v>2</v>
      </c>
      <c r="D1251" s="7" t="n">
        <v>13</v>
      </c>
      <c r="E1251" s="7" t="n">
        <v>1</v>
      </c>
      <c r="F1251" s="7" t="s">
        <v>381</v>
      </c>
      <c r="G1251" s="12" t="str">
        <f aca="false">IFERROR(INDEX('Semrush Data'!$A$1:$Z$20000,MATCH(A1251,'Semrush Data'!$A$1:$A$20000,0),MATCH("Volume",'Semrush Data'!$A$1:$Z$1,0)),"")</f>
        <v/>
      </c>
      <c r="H1251" s="7" t="str">
        <f aca="false">IFERROR(INDEX('Semrush Data'!$A$1:$Z$20000,MATCH(A1251,'Semrush Data'!$A$1:$A$20000,0),MATCH("Keyword Difficulty*",'Semrush Data'!$A$1:$Z$1,0)),"")</f>
        <v/>
      </c>
      <c r="I1251" s="13" t="str">
        <f aca="false">IFERROR(INDEX('Semrush Data'!$A$1:$Z$20000,MATCH(A1251,'Semrush Data'!$A$1:$A$20000,0),MATCH("CPC*",'Semrush Data'!$A$1:$Z$1,0)),"")</f>
        <v/>
      </c>
      <c r="J1251" s="7" t="str">
        <f aca="false">IFERROR(INDEX('Semrush Data'!$A$1:$Z$20000,MATCH(A1251,'Semrush Data'!$A$1:$A$20000,0),MATCH("Intent",'Semrush Data'!$A$1:$Z$1,0)),"")</f>
        <v/>
      </c>
    </row>
    <row r="1252" customFormat="false" ht="15" hidden="false" customHeight="true" outlineLevel="0" collapsed="false">
      <c r="A1252" s="7" t="s">
        <v>1552</v>
      </c>
      <c r="B1252" s="7" t="s">
        <v>6814</v>
      </c>
      <c r="C1252" s="7" t="n">
        <v>2</v>
      </c>
      <c r="D1252" s="7" t="n">
        <v>13</v>
      </c>
      <c r="E1252" s="7" t="n">
        <v>1</v>
      </c>
      <c r="F1252" s="7" t="s">
        <v>517</v>
      </c>
      <c r="G1252" s="12" t="str">
        <f aca="false">IFERROR(INDEX('Semrush Data'!$A$1:$Z$20000,MATCH(A1252,'Semrush Data'!$A$1:$A$20000,0),MATCH("Volume",'Semrush Data'!$A$1:$Z$1,0)),"")</f>
        <v/>
      </c>
      <c r="H1252" s="7" t="str">
        <f aca="false">IFERROR(INDEX('Semrush Data'!$A$1:$Z$20000,MATCH(A1252,'Semrush Data'!$A$1:$A$20000,0),MATCH("Keyword Difficulty*",'Semrush Data'!$A$1:$Z$1,0)),"")</f>
        <v/>
      </c>
      <c r="I1252" s="13" t="str">
        <f aca="false">IFERROR(INDEX('Semrush Data'!$A$1:$Z$20000,MATCH(A1252,'Semrush Data'!$A$1:$A$20000,0),MATCH("CPC*",'Semrush Data'!$A$1:$Z$1,0)),"")</f>
        <v/>
      </c>
      <c r="J1252" s="7" t="str">
        <f aca="false">IFERROR(INDEX('Semrush Data'!$A$1:$Z$20000,MATCH(A1252,'Semrush Data'!$A$1:$A$20000,0),MATCH("Intent",'Semrush Data'!$A$1:$Z$1,0)),"")</f>
        <v/>
      </c>
    </row>
    <row r="1253" customFormat="false" ht="15" hidden="false" customHeight="true" outlineLevel="0" collapsed="false">
      <c r="A1253" s="7" t="s">
        <v>1558</v>
      </c>
      <c r="B1253" s="7" t="s">
        <v>6814</v>
      </c>
      <c r="C1253" s="7" t="n">
        <v>2</v>
      </c>
      <c r="D1253" s="7" t="n">
        <v>13</v>
      </c>
      <c r="E1253" s="7" t="n">
        <v>1</v>
      </c>
      <c r="F1253" s="7" t="s">
        <v>523</v>
      </c>
      <c r="G1253" s="12" t="str">
        <f aca="false">IFERROR(INDEX('Semrush Data'!$A$1:$Z$20000,MATCH(A1253,'Semrush Data'!$A$1:$A$20000,0),MATCH("Volume",'Semrush Data'!$A$1:$Z$1,0)),"")</f>
        <v/>
      </c>
      <c r="H1253" s="7" t="str">
        <f aca="false">IFERROR(INDEX('Semrush Data'!$A$1:$Z$20000,MATCH(A1253,'Semrush Data'!$A$1:$A$20000,0),MATCH("Keyword Difficulty*",'Semrush Data'!$A$1:$Z$1,0)),"")</f>
        <v/>
      </c>
      <c r="I1253" s="13" t="str">
        <f aca="false">IFERROR(INDEX('Semrush Data'!$A$1:$Z$20000,MATCH(A1253,'Semrush Data'!$A$1:$A$20000,0),MATCH("CPC*",'Semrush Data'!$A$1:$Z$1,0)),"")</f>
        <v/>
      </c>
      <c r="J1253" s="7" t="str">
        <f aca="false">IFERROR(INDEX('Semrush Data'!$A$1:$Z$20000,MATCH(A1253,'Semrush Data'!$A$1:$A$20000,0),MATCH("Intent",'Semrush Data'!$A$1:$Z$1,0)),"")</f>
        <v/>
      </c>
    </row>
    <row r="1254" customFormat="false" ht="15" hidden="false" customHeight="true" outlineLevel="0" collapsed="false">
      <c r="A1254" s="7" t="s">
        <v>1671</v>
      </c>
      <c r="B1254" s="7" t="s">
        <v>6814</v>
      </c>
      <c r="C1254" s="7" t="n">
        <v>2</v>
      </c>
      <c r="D1254" s="7" t="n">
        <v>13</v>
      </c>
      <c r="E1254" s="7" t="n">
        <v>1</v>
      </c>
      <c r="F1254" s="7" t="s">
        <v>650</v>
      </c>
      <c r="G1254" s="12" t="str">
        <f aca="false">IFERROR(INDEX('Semrush Data'!$A$1:$Z$20000,MATCH(A1254,'Semrush Data'!$A$1:$A$20000,0),MATCH("Volume",'Semrush Data'!$A$1:$Z$1,0)),"")</f>
        <v/>
      </c>
      <c r="H1254" s="7" t="str">
        <f aca="false">IFERROR(INDEX('Semrush Data'!$A$1:$Z$20000,MATCH(A1254,'Semrush Data'!$A$1:$A$20000,0),MATCH("Keyword Difficulty*",'Semrush Data'!$A$1:$Z$1,0)),"")</f>
        <v/>
      </c>
      <c r="I1254" s="13" t="str">
        <f aca="false">IFERROR(INDEX('Semrush Data'!$A$1:$Z$20000,MATCH(A1254,'Semrush Data'!$A$1:$A$20000,0),MATCH("CPC*",'Semrush Data'!$A$1:$Z$1,0)),"")</f>
        <v/>
      </c>
      <c r="J1254" s="7" t="str">
        <f aca="false">IFERROR(INDEX('Semrush Data'!$A$1:$Z$20000,MATCH(A1254,'Semrush Data'!$A$1:$A$20000,0),MATCH("Intent",'Semrush Data'!$A$1:$Z$1,0)),"")</f>
        <v/>
      </c>
    </row>
    <row r="1255" customFormat="false" ht="15" hidden="false" customHeight="true" outlineLevel="0" collapsed="false">
      <c r="A1255" s="7" t="s">
        <v>1461</v>
      </c>
      <c r="B1255" s="7" t="s">
        <v>6814</v>
      </c>
      <c r="C1255" s="7" t="n">
        <v>2</v>
      </c>
      <c r="D1255" s="7" t="n">
        <v>13</v>
      </c>
      <c r="E1255" s="7" t="n">
        <v>1</v>
      </c>
      <c r="F1255" s="7" t="s">
        <v>410</v>
      </c>
      <c r="G1255" s="12" t="str">
        <f aca="false">IFERROR(INDEX('Semrush Data'!$A$1:$Z$20000,MATCH(A1255,'Semrush Data'!$A$1:$A$20000,0),MATCH("Volume",'Semrush Data'!$A$1:$Z$1,0)),"")</f>
        <v/>
      </c>
      <c r="H1255" s="7" t="str">
        <f aca="false">IFERROR(INDEX('Semrush Data'!$A$1:$Z$20000,MATCH(A1255,'Semrush Data'!$A$1:$A$20000,0),MATCH("Keyword Difficulty*",'Semrush Data'!$A$1:$Z$1,0)),"")</f>
        <v/>
      </c>
      <c r="I1255" s="13" t="str">
        <f aca="false">IFERROR(INDEX('Semrush Data'!$A$1:$Z$20000,MATCH(A1255,'Semrush Data'!$A$1:$A$20000,0),MATCH("CPC*",'Semrush Data'!$A$1:$Z$1,0)),"")</f>
        <v/>
      </c>
      <c r="J1255" s="7" t="str">
        <f aca="false">IFERROR(INDEX('Semrush Data'!$A$1:$Z$20000,MATCH(A1255,'Semrush Data'!$A$1:$A$20000,0),MATCH("Intent",'Semrush Data'!$A$1:$Z$1,0)),"")</f>
        <v/>
      </c>
    </row>
    <row r="1256" customFormat="false" ht="15" hidden="false" customHeight="true" outlineLevel="0" collapsed="false">
      <c r="A1256" s="7" t="s">
        <v>1565</v>
      </c>
      <c r="B1256" s="7" t="s">
        <v>6814</v>
      </c>
      <c r="C1256" s="7" t="n">
        <v>2</v>
      </c>
      <c r="D1256" s="7" t="n">
        <v>13</v>
      </c>
      <c r="E1256" s="7" t="n">
        <v>1</v>
      </c>
      <c r="F1256" s="7" t="s">
        <v>532</v>
      </c>
      <c r="G1256" s="12" t="str">
        <f aca="false">IFERROR(INDEX('Semrush Data'!$A$1:$Z$20000,MATCH(A1256,'Semrush Data'!$A$1:$A$20000,0),MATCH("Volume",'Semrush Data'!$A$1:$Z$1,0)),"")</f>
        <v/>
      </c>
      <c r="H1256" s="7" t="str">
        <f aca="false">IFERROR(INDEX('Semrush Data'!$A$1:$Z$20000,MATCH(A1256,'Semrush Data'!$A$1:$A$20000,0),MATCH("Keyword Difficulty*",'Semrush Data'!$A$1:$Z$1,0)),"")</f>
        <v/>
      </c>
      <c r="I1256" s="13" t="str">
        <f aca="false">IFERROR(INDEX('Semrush Data'!$A$1:$Z$20000,MATCH(A1256,'Semrush Data'!$A$1:$A$20000,0),MATCH("CPC*",'Semrush Data'!$A$1:$Z$1,0)),"")</f>
        <v/>
      </c>
      <c r="J1256" s="7" t="str">
        <f aca="false">IFERROR(INDEX('Semrush Data'!$A$1:$Z$20000,MATCH(A1256,'Semrush Data'!$A$1:$A$20000,0),MATCH("Intent",'Semrush Data'!$A$1:$Z$1,0)),"")</f>
        <v/>
      </c>
    </row>
    <row r="1257" customFormat="false" ht="15" hidden="false" customHeight="true" outlineLevel="0" collapsed="false">
      <c r="A1257" s="7" t="s">
        <v>1570</v>
      </c>
      <c r="B1257" s="7" t="s">
        <v>6814</v>
      </c>
      <c r="C1257" s="7" t="n">
        <v>2</v>
      </c>
      <c r="D1257" s="7" t="n">
        <v>13</v>
      </c>
      <c r="E1257" s="7" t="n">
        <v>1</v>
      </c>
      <c r="F1257" s="7" t="s">
        <v>539</v>
      </c>
      <c r="G1257" s="12" t="str">
        <f aca="false">IFERROR(INDEX('Semrush Data'!$A$1:$Z$20000,MATCH(A1257,'Semrush Data'!$A$1:$A$20000,0),MATCH("Volume",'Semrush Data'!$A$1:$Z$1,0)),"")</f>
        <v/>
      </c>
      <c r="H1257" s="7" t="str">
        <f aca="false">IFERROR(INDEX('Semrush Data'!$A$1:$Z$20000,MATCH(A1257,'Semrush Data'!$A$1:$A$20000,0),MATCH("Keyword Difficulty*",'Semrush Data'!$A$1:$Z$1,0)),"")</f>
        <v/>
      </c>
      <c r="I1257" s="13" t="str">
        <f aca="false">IFERROR(INDEX('Semrush Data'!$A$1:$Z$20000,MATCH(A1257,'Semrush Data'!$A$1:$A$20000,0),MATCH("CPC*",'Semrush Data'!$A$1:$Z$1,0)),"")</f>
        <v/>
      </c>
      <c r="J1257" s="7" t="str">
        <f aca="false">IFERROR(INDEX('Semrush Data'!$A$1:$Z$20000,MATCH(A1257,'Semrush Data'!$A$1:$A$20000,0),MATCH("Intent",'Semrush Data'!$A$1:$Z$1,0)),"")</f>
        <v/>
      </c>
    </row>
    <row r="1258" customFormat="false" ht="15" hidden="false" customHeight="true" outlineLevel="0" collapsed="false">
      <c r="A1258" s="7" t="s">
        <v>1576</v>
      </c>
      <c r="B1258" s="7" t="s">
        <v>6814</v>
      </c>
      <c r="C1258" s="7" t="n">
        <v>2</v>
      </c>
      <c r="D1258" s="7" t="n">
        <v>13</v>
      </c>
      <c r="E1258" s="7" t="n">
        <v>1</v>
      </c>
      <c r="F1258" s="7" t="s">
        <v>545</v>
      </c>
      <c r="G1258" s="12" t="str">
        <f aca="false">IFERROR(INDEX('Semrush Data'!$A$1:$Z$20000,MATCH(A1258,'Semrush Data'!$A$1:$A$20000,0),MATCH("Volume",'Semrush Data'!$A$1:$Z$1,0)),"")</f>
        <v/>
      </c>
      <c r="H1258" s="7" t="str">
        <f aca="false">IFERROR(INDEX('Semrush Data'!$A$1:$Z$20000,MATCH(A1258,'Semrush Data'!$A$1:$A$20000,0),MATCH("Keyword Difficulty*",'Semrush Data'!$A$1:$Z$1,0)),"")</f>
        <v/>
      </c>
      <c r="I1258" s="13" t="str">
        <f aca="false">IFERROR(INDEX('Semrush Data'!$A$1:$Z$20000,MATCH(A1258,'Semrush Data'!$A$1:$A$20000,0),MATCH("CPC*",'Semrush Data'!$A$1:$Z$1,0)),"")</f>
        <v/>
      </c>
      <c r="J1258" s="7" t="str">
        <f aca="false">IFERROR(INDEX('Semrush Data'!$A$1:$Z$20000,MATCH(A1258,'Semrush Data'!$A$1:$A$20000,0),MATCH("Intent",'Semrush Data'!$A$1:$Z$1,0)),"")</f>
        <v/>
      </c>
    </row>
    <row r="1259" customFormat="false" ht="15" hidden="false" customHeight="true" outlineLevel="0" collapsed="false">
      <c r="A1259" s="7" t="s">
        <v>1403</v>
      </c>
      <c r="B1259" s="7" t="s">
        <v>6814</v>
      </c>
      <c r="C1259" s="7" t="n">
        <v>2</v>
      </c>
      <c r="D1259" s="7" t="n">
        <v>13</v>
      </c>
      <c r="E1259" s="7" t="n">
        <v>1</v>
      </c>
      <c r="F1259" s="7" t="s">
        <v>344</v>
      </c>
      <c r="G1259" s="12" t="str">
        <f aca="false">IFERROR(INDEX('Semrush Data'!$A$1:$Z$20000,MATCH(A1259,'Semrush Data'!$A$1:$A$20000,0),MATCH("Volume",'Semrush Data'!$A$1:$Z$1,0)),"")</f>
        <v/>
      </c>
      <c r="H1259" s="7" t="str">
        <f aca="false">IFERROR(INDEX('Semrush Data'!$A$1:$Z$20000,MATCH(A1259,'Semrush Data'!$A$1:$A$20000,0),MATCH("Keyword Difficulty*",'Semrush Data'!$A$1:$Z$1,0)),"")</f>
        <v/>
      </c>
      <c r="I1259" s="13" t="str">
        <f aca="false">IFERROR(INDEX('Semrush Data'!$A$1:$Z$20000,MATCH(A1259,'Semrush Data'!$A$1:$A$20000,0),MATCH("CPC*",'Semrush Data'!$A$1:$Z$1,0)),"")</f>
        <v/>
      </c>
      <c r="J1259" s="7" t="str">
        <f aca="false">IFERROR(INDEX('Semrush Data'!$A$1:$Z$20000,MATCH(A1259,'Semrush Data'!$A$1:$A$20000,0),MATCH("Intent",'Semrush Data'!$A$1:$Z$1,0)),"")</f>
        <v/>
      </c>
    </row>
    <row r="1260" customFormat="false" ht="15" hidden="false" customHeight="true" outlineLevel="0" collapsed="false">
      <c r="A1260" s="7" t="s">
        <v>1871</v>
      </c>
      <c r="B1260" s="7" t="s">
        <v>6814</v>
      </c>
      <c r="C1260" s="7" t="n">
        <v>2</v>
      </c>
      <c r="D1260" s="7" t="n">
        <v>13</v>
      </c>
      <c r="E1260" s="7" t="n">
        <v>1</v>
      </c>
      <c r="F1260" s="7" t="s">
        <v>835</v>
      </c>
      <c r="G1260" s="12" t="str">
        <f aca="false">IFERROR(INDEX('Semrush Data'!$A$1:$Z$20000,MATCH(A1260,'Semrush Data'!$A$1:$A$20000,0),MATCH("Volume",'Semrush Data'!$A$1:$Z$1,0)),"")</f>
        <v/>
      </c>
      <c r="H1260" s="7" t="str">
        <f aca="false">IFERROR(INDEX('Semrush Data'!$A$1:$Z$20000,MATCH(A1260,'Semrush Data'!$A$1:$A$20000,0),MATCH("Keyword Difficulty*",'Semrush Data'!$A$1:$Z$1,0)),"")</f>
        <v/>
      </c>
      <c r="I1260" s="13" t="str">
        <f aca="false">IFERROR(INDEX('Semrush Data'!$A$1:$Z$20000,MATCH(A1260,'Semrush Data'!$A$1:$A$20000,0),MATCH("CPC*",'Semrush Data'!$A$1:$Z$1,0)),"")</f>
        <v/>
      </c>
      <c r="J1260" s="7" t="str">
        <f aca="false">IFERROR(INDEX('Semrush Data'!$A$1:$Z$20000,MATCH(A1260,'Semrush Data'!$A$1:$A$20000,0),MATCH("Intent",'Semrush Data'!$A$1:$Z$1,0)),"")</f>
        <v/>
      </c>
    </row>
    <row r="1261" customFormat="false" ht="15" hidden="false" customHeight="true" outlineLevel="0" collapsed="false">
      <c r="A1261" s="7" t="s">
        <v>1775</v>
      </c>
      <c r="B1261" s="7" t="s">
        <v>6814</v>
      </c>
      <c r="C1261" s="7" t="n">
        <v>2</v>
      </c>
      <c r="D1261" s="7" t="n">
        <v>13</v>
      </c>
      <c r="E1261" s="7" t="n">
        <v>1</v>
      </c>
      <c r="F1261" s="7" t="s">
        <v>748</v>
      </c>
      <c r="G1261" s="12" t="str">
        <f aca="false">IFERROR(INDEX('Semrush Data'!$A$1:$Z$20000,MATCH(A1261,'Semrush Data'!$A$1:$A$20000,0),MATCH("Volume",'Semrush Data'!$A$1:$Z$1,0)),"")</f>
        <v/>
      </c>
      <c r="H1261" s="7" t="str">
        <f aca="false">IFERROR(INDEX('Semrush Data'!$A$1:$Z$20000,MATCH(A1261,'Semrush Data'!$A$1:$A$20000,0),MATCH("Keyword Difficulty*",'Semrush Data'!$A$1:$Z$1,0)),"")</f>
        <v/>
      </c>
      <c r="I1261" s="13" t="str">
        <f aca="false">IFERROR(INDEX('Semrush Data'!$A$1:$Z$20000,MATCH(A1261,'Semrush Data'!$A$1:$A$20000,0),MATCH("CPC*",'Semrush Data'!$A$1:$Z$1,0)),"")</f>
        <v/>
      </c>
      <c r="J1261" s="7" t="str">
        <f aca="false">IFERROR(INDEX('Semrush Data'!$A$1:$Z$20000,MATCH(A1261,'Semrush Data'!$A$1:$A$20000,0),MATCH("Intent",'Semrush Data'!$A$1:$Z$1,0)),"")</f>
        <v/>
      </c>
    </row>
    <row r="1262" customFormat="false" ht="15" hidden="false" customHeight="true" outlineLevel="0" collapsed="false">
      <c r="A1262" s="7" t="s">
        <v>1781</v>
      </c>
      <c r="B1262" s="7" t="s">
        <v>6814</v>
      </c>
      <c r="C1262" s="7" t="n">
        <v>2</v>
      </c>
      <c r="D1262" s="7" t="n">
        <v>13</v>
      </c>
      <c r="E1262" s="7" t="n">
        <v>1</v>
      </c>
      <c r="F1262" s="7" t="s">
        <v>753</v>
      </c>
      <c r="G1262" s="12" t="str">
        <f aca="false">IFERROR(INDEX('Semrush Data'!$A$1:$Z$20000,MATCH(A1262,'Semrush Data'!$A$1:$A$20000,0),MATCH("Volume",'Semrush Data'!$A$1:$Z$1,0)),"")</f>
        <v/>
      </c>
      <c r="H1262" s="7" t="str">
        <f aca="false">IFERROR(INDEX('Semrush Data'!$A$1:$Z$20000,MATCH(A1262,'Semrush Data'!$A$1:$A$20000,0),MATCH("Keyword Difficulty*",'Semrush Data'!$A$1:$Z$1,0)),"")</f>
        <v/>
      </c>
      <c r="I1262" s="13" t="str">
        <f aca="false">IFERROR(INDEX('Semrush Data'!$A$1:$Z$20000,MATCH(A1262,'Semrush Data'!$A$1:$A$20000,0),MATCH("CPC*",'Semrush Data'!$A$1:$Z$1,0)),"")</f>
        <v/>
      </c>
      <c r="J1262" s="7" t="str">
        <f aca="false">IFERROR(INDEX('Semrush Data'!$A$1:$Z$20000,MATCH(A1262,'Semrush Data'!$A$1:$A$20000,0),MATCH("Intent",'Semrush Data'!$A$1:$Z$1,0)),"")</f>
        <v/>
      </c>
    </row>
    <row r="1263" customFormat="false" ht="15" hidden="false" customHeight="true" outlineLevel="0" collapsed="false">
      <c r="A1263" s="7" t="s">
        <v>1793</v>
      </c>
      <c r="B1263" s="7" t="s">
        <v>6814</v>
      </c>
      <c r="C1263" s="7" t="n">
        <v>2</v>
      </c>
      <c r="D1263" s="7" t="n">
        <v>13</v>
      </c>
      <c r="E1263" s="7" t="n">
        <v>1</v>
      </c>
      <c r="F1263" s="7" t="s">
        <v>764</v>
      </c>
      <c r="G1263" s="12" t="str">
        <f aca="false">IFERROR(INDEX('Semrush Data'!$A$1:$Z$20000,MATCH(A1263,'Semrush Data'!$A$1:$A$20000,0),MATCH("Volume",'Semrush Data'!$A$1:$Z$1,0)),"")</f>
        <v/>
      </c>
      <c r="H1263" s="7" t="str">
        <f aca="false">IFERROR(INDEX('Semrush Data'!$A$1:$Z$20000,MATCH(A1263,'Semrush Data'!$A$1:$A$20000,0),MATCH("Keyword Difficulty*",'Semrush Data'!$A$1:$Z$1,0)),"")</f>
        <v/>
      </c>
      <c r="I1263" s="13" t="str">
        <f aca="false">IFERROR(INDEX('Semrush Data'!$A$1:$Z$20000,MATCH(A1263,'Semrush Data'!$A$1:$A$20000,0),MATCH("CPC*",'Semrush Data'!$A$1:$Z$1,0)),"")</f>
        <v/>
      </c>
      <c r="J1263" s="7" t="str">
        <f aca="false">IFERROR(INDEX('Semrush Data'!$A$1:$Z$20000,MATCH(A1263,'Semrush Data'!$A$1:$A$20000,0),MATCH("Intent",'Semrush Data'!$A$1:$Z$1,0)),"")</f>
        <v/>
      </c>
    </row>
    <row r="1264" customFormat="false" ht="15" hidden="false" customHeight="true" outlineLevel="0" collapsed="false">
      <c r="A1264" s="7" t="s">
        <v>1658</v>
      </c>
      <c r="B1264" s="7" t="s">
        <v>6814</v>
      </c>
      <c r="C1264" s="7" t="n">
        <v>2</v>
      </c>
      <c r="D1264" s="7" t="n">
        <v>13</v>
      </c>
      <c r="E1264" s="7" t="n">
        <v>1</v>
      </c>
      <c r="F1264" s="7" t="s">
        <v>637</v>
      </c>
      <c r="G1264" s="12" t="str">
        <f aca="false">IFERROR(INDEX('Semrush Data'!$A$1:$Z$20000,MATCH(A1264,'Semrush Data'!$A$1:$A$20000,0),MATCH("Volume",'Semrush Data'!$A$1:$Z$1,0)),"")</f>
        <v/>
      </c>
      <c r="H1264" s="7" t="str">
        <f aca="false">IFERROR(INDEX('Semrush Data'!$A$1:$Z$20000,MATCH(A1264,'Semrush Data'!$A$1:$A$20000,0),MATCH("Keyword Difficulty*",'Semrush Data'!$A$1:$Z$1,0)),"")</f>
        <v/>
      </c>
      <c r="I1264" s="13" t="str">
        <f aca="false">IFERROR(INDEX('Semrush Data'!$A$1:$Z$20000,MATCH(A1264,'Semrush Data'!$A$1:$A$20000,0),MATCH("CPC*",'Semrush Data'!$A$1:$Z$1,0)),"")</f>
        <v/>
      </c>
      <c r="J1264" s="7" t="str">
        <f aca="false">IFERROR(INDEX('Semrush Data'!$A$1:$Z$20000,MATCH(A1264,'Semrush Data'!$A$1:$A$20000,0),MATCH("Intent",'Semrush Data'!$A$1:$Z$1,0)),"")</f>
        <v/>
      </c>
    </row>
    <row r="1265" customFormat="false" ht="15" hidden="false" customHeight="true" outlineLevel="0" collapsed="false">
      <c r="A1265" s="7" t="s">
        <v>1685</v>
      </c>
      <c r="B1265" s="7" t="s">
        <v>6814</v>
      </c>
      <c r="C1265" s="7" t="n">
        <v>2</v>
      </c>
      <c r="D1265" s="7" t="n">
        <v>13</v>
      </c>
      <c r="E1265" s="7" t="n">
        <v>1</v>
      </c>
      <c r="F1265" s="7" t="s">
        <v>664</v>
      </c>
      <c r="G1265" s="12" t="str">
        <f aca="false">IFERROR(INDEX('Semrush Data'!$A$1:$Z$20000,MATCH(A1265,'Semrush Data'!$A$1:$A$20000,0),MATCH("Volume",'Semrush Data'!$A$1:$Z$1,0)),"")</f>
        <v/>
      </c>
      <c r="H1265" s="7" t="str">
        <f aca="false">IFERROR(INDEX('Semrush Data'!$A$1:$Z$20000,MATCH(A1265,'Semrush Data'!$A$1:$A$20000,0),MATCH("Keyword Difficulty*",'Semrush Data'!$A$1:$Z$1,0)),"")</f>
        <v/>
      </c>
      <c r="I1265" s="13" t="str">
        <f aca="false">IFERROR(INDEX('Semrush Data'!$A$1:$Z$20000,MATCH(A1265,'Semrush Data'!$A$1:$A$20000,0),MATCH("CPC*",'Semrush Data'!$A$1:$Z$1,0)),"")</f>
        <v/>
      </c>
      <c r="J1265" s="7" t="str">
        <f aca="false">IFERROR(INDEX('Semrush Data'!$A$1:$Z$20000,MATCH(A1265,'Semrush Data'!$A$1:$A$20000,0),MATCH("Intent",'Semrush Data'!$A$1:$Z$1,0)),"")</f>
        <v/>
      </c>
    </row>
    <row r="1266" customFormat="false" ht="15" hidden="false" customHeight="true" outlineLevel="0" collapsed="false">
      <c r="A1266" s="7" t="s">
        <v>1582</v>
      </c>
      <c r="B1266" s="7" t="s">
        <v>6814</v>
      </c>
      <c r="C1266" s="7" t="n">
        <v>2</v>
      </c>
      <c r="D1266" s="7" t="n">
        <v>13</v>
      </c>
      <c r="E1266" s="7" t="n">
        <v>1</v>
      </c>
      <c r="F1266" s="7" t="s">
        <v>551</v>
      </c>
      <c r="G1266" s="12" t="str">
        <f aca="false">IFERROR(INDEX('Semrush Data'!$A$1:$Z$20000,MATCH(A1266,'Semrush Data'!$A$1:$A$20000,0),MATCH("Volume",'Semrush Data'!$A$1:$Z$1,0)),"")</f>
        <v/>
      </c>
      <c r="H1266" s="7" t="str">
        <f aca="false">IFERROR(INDEX('Semrush Data'!$A$1:$Z$20000,MATCH(A1266,'Semrush Data'!$A$1:$A$20000,0),MATCH("Keyword Difficulty*",'Semrush Data'!$A$1:$Z$1,0)),"")</f>
        <v/>
      </c>
      <c r="I1266" s="13" t="str">
        <f aca="false">IFERROR(INDEX('Semrush Data'!$A$1:$Z$20000,MATCH(A1266,'Semrush Data'!$A$1:$A$20000,0),MATCH("CPC*",'Semrush Data'!$A$1:$Z$1,0)),"")</f>
        <v/>
      </c>
      <c r="J1266" s="7" t="str">
        <f aca="false">IFERROR(INDEX('Semrush Data'!$A$1:$Z$20000,MATCH(A1266,'Semrush Data'!$A$1:$A$20000,0),MATCH("Intent",'Semrush Data'!$A$1:$Z$1,0)),"")</f>
        <v/>
      </c>
    </row>
    <row r="1267" customFormat="false" ht="15" hidden="false" customHeight="true" outlineLevel="0" collapsed="false">
      <c r="A1267" s="7" t="s">
        <v>1440</v>
      </c>
      <c r="B1267" s="7" t="s">
        <v>6814</v>
      </c>
      <c r="C1267" s="7" t="n">
        <v>2</v>
      </c>
      <c r="D1267" s="7" t="n">
        <v>13</v>
      </c>
      <c r="E1267" s="7" t="n">
        <v>1</v>
      </c>
      <c r="F1267" s="7" t="s">
        <v>387</v>
      </c>
      <c r="G1267" s="12" t="str">
        <f aca="false">IFERROR(INDEX('Semrush Data'!$A$1:$Z$20000,MATCH(A1267,'Semrush Data'!$A$1:$A$20000,0),MATCH("Volume",'Semrush Data'!$A$1:$Z$1,0)),"")</f>
        <v/>
      </c>
      <c r="H1267" s="7" t="str">
        <f aca="false">IFERROR(INDEX('Semrush Data'!$A$1:$Z$20000,MATCH(A1267,'Semrush Data'!$A$1:$A$20000,0),MATCH("Keyword Difficulty*",'Semrush Data'!$A$1:$Z$1,0)),"")</f>
        <v/>
      </c>
      <c r="I1267" s="13" t="str">
        <f aca="false">IFERROR(INDEX('Semrush Data'!$A$1:$Z$20000,MATCH(A1267,'Semrush Data'!$A$1:$A$20000,0),MATCH("CPC*",'Semrush Data'!$A$1:$Z$1,0)),"")</f>
        <v/>
      </c>
      <c r="J1267" s="7" t="str">
        <f aca="false">IFERROR(INDEX('Semrush Data'!$A$1:$Z$20000,MATCH(A1267,'Semrush Data'!$A$1:$A$20000,0),MATCH("Intent",'Semrush Data'!$A$1:$Z$1,0)),"")</f>
        <v/>
      </c>
    </row>
    <row r="1268" customFormat="false" ht="15" hidden="false" customHeight="true" outlineLevel="0" collapsed="false">
      <c r="A1268" s="7" t="s">
        <v>1865</v>
      </c>
      <c r="B1268" s="7" t="s">
        <v>6814</v>
      </c>
      <c r="C1268" s="7" t="n">
        <v>2</v>
      </c>
      <c r="D1268" s="7" t="n">
        <v>13</v>
      </c>
      <c r="E1268" s="7" t="n">
        <v>1</v>
      </c>
      <c r="F1268" s="7" t="s">
        <v>830</v>
      </c>
      <c r="G1268" s="12" t="str">
        <f aca="false">IFERROR(INDEX('Semrush Data'!$A$1:$Z$20000,MATCH(A1268,'Semrush Data'!$A$1:$A$20000,0),MATCH("Volume",'Semrush Data'!$A$1:$Z$1,0)),"")</f>
        <v/>
      </c>
      <c r="H1268" s="7" t="str">
        <f aca="false">IFERROR(INDEX('Semrush Data'!$A$1:$Z$20000,MATCH(A1268,'Semrush Data'!$A$1:$A$20000,0),MATCH("Keyword Difficulty*",'Semrush Data'!$A$1:$Z$1,0)),"")</f>
        <v/>
      </c>
      <c r="I1268" s="13" t="str">
        <f aca="false">IFERROR(INDEX('Semrush Data'!$A$1:$Z$20000,MATCH(A1268,'Semrush Data'!$A$1:$A$20000,0),MATCH("CPC*",'Semrush Data'!$A$1:$Z$1,0)),"")</f>
        <v/>
      </c>
      <c r="J1268" s="7" t="str">
        <f aca="false">IFERROR(INDEX('Semrush Data'!$A$1:$Z$20000,MATCH(A1268,'Semrush Data'!$A$1:$A$20000,0),MATCH("Intent",'Semrush Data'!$A$1:$Z$1,0)),"")</f>
        <v/>
      </c>
    </row>
    <row r="1269" customFormat="false" ht="15" hidden="false" customHeight="true" outlineLevel="0" collapsed="false">
      <c r="A1269" s="7" t="s">
        <v>1589</v>
      </c>
      <c r="B1269" s="7" t="s">
        <v>6814</v>
      </c>
      <c r="C1269" s="7" t="n">
        <v>2</v>
      </c>
      <c r="D1269" s="7" t="n">
        <v>13</v>
      </c>
      <c r="E1269" s="7" t="n">
        <v>1</v>
      </c>
      <c r="F1269" s="7" t="s">
        <v>558</v>
      </c>
      <c r="G1269" s="12" t="str">
        <f aca="false">IFERROR(INDEX('Semrush Data'!$A$1:$Z$20000,MATCH(A1269,'Semrush Data'!$A$1:$A$20000,0),MATCH("Volume",'Semrush Data'!$A$1:$Z$1,0)),"")</f>
        <v/>
      </c>
      <c r="H1269" s="7" t="str">
        <f aca="false">IFERROR(INDEX('Semrush Data'!$A$1:$Z$20000,MATCH(A1269,'Semrush Data'!$A$1:$A$20000,0),MATCH("Keyword Difficulty*",'Semrush Data'!$A$1:$Z$1,0)),"")</f>
        <v/>
      </c>
      <c r="I1269" s="13" t="str">
        <f aca="false">IFERROR(INDEX('Semrush Data'!$A$1:$Z$20000,MATCH(A1269,'Semrush Data'!$A$1:$A$20000,0),MATCH("CPC*",'Semrush Data'!$A$1:$Z$1,0)),"")</f>
        <v/>
      </c>
      <c r="J1269" s="7" t="str">
        <f aca="false">IFERROR(INDEX('Semrush Data'!$A$1:$Z$20000,MATCH(A1269,'Semrush Data'!$A$1:$A$20000,0),MATCH("Intent",'Semrush Data'!$A$1:$Z$1,0)),"")</f>
        <v/>
      </c>
    </row>
    <row r="1270" customFormat="false" ht="15" hidden="false" customHeight="true" outlineLevel="0" collapsed="false">
      <c r="A1270" s="7" t="s">
        <v>1468</v>
      </c>
      <c r="B1270" s="7" t="s">
        <v>6814</v>
      </c>
      <c r="C1270" s="7" t="n">
        <v>2</v>
      </c>
      <c r="D1270" s="7" t="n">
        <v>13</v>
      </c>
      <c r="E1270" s="7" t="n">
        <v>1</v>
      </c>
      <c r="F1270" s="7" t="s">
        <v>420</v>
      </c>
      <c r="G1270" s="12" t="str">
        <f aca="false">IFERROR(INDEX('Semrush Data'!$A$1:$Z$20000,MATCH(A1270,'Semrush Data'!$A$1:$A$20000,0),MATCH("Volume",'Semrush Data'!$A$1:$Z$1,0)),"")</f>
        <v/>
      </c>
      <c r="H1270" s="7" t="str">
        <f aca="false">IFERROR(INDEX('Semrush Data'!$A$1:$Z$20000,MATCH(A1270,'Semrush Data'!$A$1:$A$20000,0),MATCH("Keyword Difficulty*",'Semrush Data'!$A$1:$Z$1,0)),"")</f>
        <v/>
      </c>
      <c r="I1270" s="13" t="str">
        <f aca="false">IFERROR(INDEX('Semrush Data'!$A$1:$Z$20000,MATCH(A1270,'Semrush Data'!$A$1:$A$20000,0),MATCH("CPC*",'Semrush Data'!$A$1:$Z$1,0)),"")</f>
        <v/>
      </c>
      <c r="J1270" s="7" t="str">
        <f aca="false">IFERROR(INDEX('Semrush Data'!$A$1:$Z$20000,MATCH(A1270,'Semrush Data'!$A$1:$A$20000,0),MATCH("Intent",'Semrush Data'!$A$1:$Z$1,0)),"")</f>
        <v/>
      </c>
    </row>
    <row r="1271" customFormat="false" ht="15" hidden="false" customHeight="true" outlineLevel="0" collapsed="false">
      <c r="A1271" s="7" t="s">
        <v>1386</v>
      </c>
      <c r="B1271" s="7" t="s">
        <v>6814</v>
      </c>
      <c r="C1271" s="7" t="n">
        <v>2</v>
      </c>
      <c r="D1271" s="7" t="n">
        <v>13</v>
      </c>
      <c r="E1271" s="7" t="n">
        <v>3</v>
      </c>
      <c r="F1271" s="7" t="s">
        <v>6812</v>
      </c>
      <c r="G1271" s="12" t="str">
        <f aca="false">IFERROR(INDEX('Semrush Data'!$A$1:$Z$20000,MATCH(A1271,'Semrush Data'!$A$1:$A$20000,0),MATCH("Volume",'Semrush Data'!$A$1:$Z$1,0)),"")</f>
        <v/>
      </c>
      <c r="H1271" s="7" t="str">
        <f aca="false">IFERROR(INDEX('Semrush Data'!$A$1:$Z$20000,MATCH(A1271,'Semrush Data'!$A$1:$A$20000,0),MATCH("Keyword Difficulty*",'Semrush Data'!$A$1:$Z$1,0)),"")</f>
        <v/>
      </c>
      <c r="I1271" s="13" t="str">
        <f aca="false">IFERROR(INDEX('Semrush Data'!$A$1:$Z$20000,MATCH(A1271,'Semrush Data'!$A$1:$A$20000,0),MATCH("CPC*",'Semrush Data'!$A$1:$Z$1,0)),"")</f>
        <v/>
      </c>
      <c r="J1271" s="7" t="str">
        <f aca="false">IFERROR(INDEX('Semrush Data'!$A$1:$Z$20000,MATCH(A1271,'Semrush Data'!$A$1:$A$20000,0),MATCH("Intent",'Semrush Data'!$A$1:$Z$1,0)),"")</f>
        <v/>
      </c>
    </row>
    <row r="1272" customFormat="false" ht="15" hidden="false" customHeight="true" outlineLevel="0" collapsed="false">
      <c r="A1272" s="7" t="s">
        <v>1829</v>
      </c>
      <c r="B1272" s="7" t="s">
        <v>6814</v>
      </c>
      <c r="C1272" s="7" t="n">
        <v>2</v>
      </c>
      <c r="D1272" s="7" t="n">
        <v>13</v>
      </c>
      <c r="E1272" s="7" t="n">
        <v>1</v>
      </c>
      <c r="F1272" s="7" t="s">
        <v>796</v>
      </c>
      <c r="G1272" s="12" t="str">
        <f aca="false">IFERROR(INDEX('Semrush Data'!$A$1:$Z$20000,MATCH(A1272,'Semrush Data'!$A$1:$A$20000,0),MATCH("Volume",'Semrush Data'!$A$1:$Z$1,0)),"")</f>
        <v/>
      </c>
      <c r="H1272" s="7" t="str">
        <f aca="false">IFERROR(INDEX('Semrush Data'!$A$1:$Z$20000,MATCH(A1272,'Semrush Data'!$A$1:$A$20000,0),MATCH("Keyword Difficulty*",'Semrush Data'!$A$1:$Z$1,0)),"")</f>
        <v/>
      </c>
      <c r="I1272" s="13" t="str">
        <f aca="false">IFERROR(INDEX('Semrush Data'!$A$1:$Z$20000,MATCH(A1272,'Semrush Data'!$A$1:$A$20000,0),MATCH("CPC*",'Semrush Data'!$A$1:$Z$1,0)),"")</f>
        <v/>
      </c>
      <c r="J1272" s="7" t="str">
        <f aca="false">IFERROR(INDEX('Semrush Data'!$A$1:$Z$20000,MATCH(A1272,'Semrush Data'!$A$1:$A$20000,0),MATCH("Intent",'Semrush Data'!$A$1:$Z$1,0)),"")</f>
        <v/>
      </c>
    </row>
    <row r="1273" customFormat="false" ht="15" hidden="false" customHeight="true" outlineLevel="0" collapsed="false">
      <c r="A1273" s="7" t="s">
        <v>1859</v>
      </c>
      <c r="B1273" s="7" t="s">
        <v>6814</v>
      </c>
      <c r="C1273" s="7" t="n">
        <v>2</v>
      </c>
      <c r="D1273" s="7" t="n">
        <v>13</v>
      </c>
      <c r="E1273" s="7" t="n">
        <v>1</v>
      </c>
      <c r="F1273" s="7" t="s">
        <v>823</v>
      </c>
      <c r="G1273" s="12" t="str">
        <f aca="false">IFERROR(INDEX('Semrush Data'!$A$1:$Z$20000,MATCH(A1273,'Semrush Data'!$A$1:$A$20000,0),MATCH("Volume",'Semrush Data'!$A$1:$Z$1,0)),"")</f>
        <v/>
      </c>
      <c r="H1273" s="7" t="str">
        <f aca="false">IFERROR(INDEX('Semrush Data'!$A$1:$Z$20000,MATCH(A1273,'Semrush Data'!$A$1:$A$20000,0),MATCH("Keyword Difficulty*",'Semrush Data'!$A$1:$Z$1,0)),"")</f>
        <v/>
      </c>
      <c r="I1273" s="13" t="str">
        <f aca="false">IFERROR(INDEX('Semrush Data'!$A$1:$Z$20000,MATCH(A1273,'Semrush Data'!$A$1:$A$20000,0),MATCH("CPC*",'Semrush Data'!$A$1:$Z$1,0)),"")</f>
        <v/>
      </c>
      <c r="J1273" s="7" t="str">
        <f aca="false">IFERROR(INDEX('Semrush Data'!$A$1:$Z$20000,MATCH(A1273,'Semrush Data'!$A$1:$A$20000,0),MATCH("Intent",'Semrush Data'!$A$1:$Z$1,0)),"")</f>
        <v/>
      </c>
    </row>
    <row r="1274" customFormat="false" ht="15" hidden="false" customHeight="true" outlineLevel="0" collapsed="false">
      <c r="A1274" s="7" t="s">
        <v>1598</v>
      </c>
      <c r="B1274" s="7" t="s">
        <v>6814</v>
      </c>
      <c r="C1274" s="7" t="n">
        <v>2</v>
      </c>
      <c r="D1274" s="7" t="n">
        <v>13</v>
      </c>
      <c r="E1274" s="7" t="n">
        <v>1</v>
      </c>
      <c r="F1274" s="7" t="s">
        <v>569</v>
      </c>
      <c r="G1274" s="12" t="str">
        <f aca="false">IFERROR(INDEX('Semrush Data'!$A$1:$Z$20000,MATCH(A1274,'Semrush Data'!$A$1:$A$20000,0),MATCH("Volume",'Semrush Data'!$A$1:$Z$1,0)),"")</f>
        <v/>
      </c>
      <c r="H1274" s="7" t="str">
        <f aca="false">IFERROR(INDEX('Semrush Data'!$A$1:$Z$20000,MATCH(A1274,'Semrush Data'!$A$1:$A$20000,0),MATCH("Keyword Difficulty*",'Semrush Data'!$A$1:$Z$1,0)),"")</f>
        <v/>
      </c>
      <c r="I1274" s="13" t="str">
        <f aca="false">IFERROR(INDEX('Semrush Data'!$A$1:$Z$20000,MATCH(A1274,'Semrush Data'!$A$1:$A$20000,0),MATCH("CPC*",'Semrush Data'!$A$1:$Z$1,0)),"")</f>
        <v/>
      </c>
      <c r="J1274" s="7" t="str">
        <f aca="false">IFERROR(INDEX('Semrush Data'!$A$1:$Z$20000,MATCH(A1274,'Semrush Data'!$A$1:$A$20000,0),MATCH("Intent",'Semrush Data'!$A$1:$Z$1,0)),"")</f>
        <v/>
      </c>
    </row>
    <row r="1275" customFormat="false" ht="15" hidden="false" customHeight="true" outlineLevel="0" collapsed="false">
      <c r="A1275" s="7" t="s">
        <v>1475</v>
      </c>
      <c r="B1275" s="7" t="s">
        <v>6814</v>
      </c>
      <c r="C1275" s="7" t="n">
        <v>2</v>
      </c>
      <c r="D1275" s="7" t="n">
        <v>13</v>
      </c>
      <c r="E1275" s="7" t="n">
        <v>1</v>
      </c>
      <c r="F1275" s="7" t="s">
        <v>429</v>
      </c>
      <c r="G1275" s="12" t="str">
        <f aca="false">IFERROR(INDEX('Semrush Data'!$A$1:$Z$20000,MATCH(A1275,'Semrush Data'!$A$1:$A$20000,0),MATCH("Volume",'Semrush Data'!$A$1:$Z$1,0)),"")</f>
        <v/>
      </c>
      <c r="H1275" s="7" t="str">
        <f aca="false">IFERROR(INDEX('Semrush Data'!$A$1:$Z$20000,MATCH(A1275,'Semrush Data'!$A$1:$A$20000,0),MATCH("Keyword Difficulty*",'Semrush Data'!$A$1:$Z$1,0)),"")</f>
        <v/>
      </c>
      <c r="I1275" s="13" t="str">
        <f aca="false">IFERROR(INDEX('Semrush Data'!$A$1:$Z$20000,MATCH(A1275,'Semrush Data'!$A$1:$A$20000,0),MATCH("CPC*",'Semrush Data'!$A$1:$Z$1,0)),"")</f>
        <v/>
      </c>
      <c r="J1275" s="7" t="str">
        <f aca="false">IFERROR(INDEX('Semrush Data'!$A$1:$Z$20000,MATCH(A1275,'Semrush Data'!$A$1:$A$20000,0),MATCH("Intent",'Semrush Data'!$A$1:$Z$1,0)),"")</f>
        <v/>
      </c>
    </row>
    <row r="1276" customFormat="false" ht="15" hidden="false" customHeight="true" outlineLevel="0" collapsed="false">
      <c r="A1276" s="7" t="s">
        <v>1604</v>
      </c>
      <c r="B1276" s="7" t="s">
        <v>6814</v>
      </c>
      <c r="C1276" s="7" t="n">
        <v>2</v>
      </c>
      <c r="D1276" s="7" t="n">
        <v>13</v>
      </c>
      <c r="E1276" s="7" t="n">
        <v>1</v>
      </c>
      <c r="F1276" s="7" t="s">
        <v>577</v>
      </c>
      <c r="G1276" s="12" t="str">
        <f aca="false">IFERROR(INDEX('Semrush Data'!$A$1:$Z$20000,MATCH(A1276,'Semrush Data'!$A$1:$A$20000,0),MATCH("Volume",'Semrush Data'!$A$1:$Z$1,0)),"")</f>
        <v/>
      </c>
      <c r="H1276" s="7" t="str">
        <f aca="false">IFERROR(INDEX('Semrush Data'!$A$1:$Z$20000,MATCH(A1276,'Semrush Data'!$A$1:$A$20000,0),MATCH("Keyword Difficulty*",'Semrush Data'!$A$1:$Z$1,0)),"")</f>
        <v/>
      </c>
      <c r="I1276" s="13" t="str">
        <f aca="false">IFERROR(INDEX('Semrush Data'!$A$1:$Z$20000,MATCH(A1276,'Semrush Data'!$A$1:$A$20000,0),MATCH("CPC*",'Semrush Data'!$A$1:$Z$1,0)),"")</f>
        <v/>
      </c>
      <c r="J1276" s="7" t="str">
        <f aca="false">IFERROR(INDEX('Semrush Data'!$A$1:$Z$20000,MATCH(A1276,'Semrush Data'!$A$1:$A$20000,0),MATCH("Intent",'Semrush Data'!$A$1:$Z$1,0)),"")</f>
        <v/>
      </c>
    </row>
    <row r="1277" customFormat="false" ht="15" hidden="false" customHeight="true" outlineLevel="0" collapsed="false">
      <c r="A1277" s="7" t="s">
        <v>1481</v>
      </c>
      <c r="B1277" s="7" t="s">
        <v>6814</v>
      </c>
      <c r="C1277" s="7" t="n">
        <v>2</v>
      </c>
      <c r="D1277" s="7" t="n">
        <v>13</v>
      </c>
      <c r="E1277" s="7" t="n">
        <v>1</v>
      </c>
      <c r="F1277" s="7" t="s">
        <v>436</v>
      </c>
      <c r="G1277" s="12" t="str">
        <f aca="false">IFERROR(INDEX('Semrush Data'!$A$1:$Z$20000,MATCH(A1277,'Semrush Data'!$A$1:$A$20000,0),MATCH("Volume",'Semrush Data'!$A$1:$Z$1,0)),"")</f>
        <v/>
      </c>
      <c r="H1277" s="7" t="str">
        <f aca="false">IFERROR(INDEX('Semrush Data'!$A$1:$Z$20000,MATCH(A1277,'Semrush Data'!$A$1:$A$20000,0),MATCH("Keyword Difficulty*",'Semrush Data'!$A$1:$Z$1,0)),"")</f>
        <v/>
      </c>
      <c r="I1277" s="13" t="str">
        <f aca="false">IFERROR(INDEX('Semrush Data'!$A$1:$Z$20000,MATCH(A1277,'Semrush Data'!$A$1:$A$20000,0),MATCH("CPC*",'Semrush Data'!$A$1:$Z$1,0)),"")</f>
        <v/>
      </c>
      <c r="J1277" s="7" t="str">
        <f aca="false">IFERROR(INDEX('Semrush Data'!$A$1:$Z$20000,MATCH(A1277,'Semrush Data'!$A$1:$A$20000,0),MATCH("Intent",'Semrush Data'!$A$1:$Z$1,0)),"")</f>
        <v/>
      </c>
    </row>
    <row r="1278" customFormat="false" ht="15" hidden="false" customHeight="true" outlineLevel="0" collapsed="false">
      <c r="A1278" s="7" t="s">
        <v>1835</v>
      </c>
      <c r="B1278" s="7" t="s">
        <v>6814</v>
      </c>
      <c r="C1278" s="7" t="n">
        <v>2</v>
      </c>
      <c r="D1278" s="7" t="n">
        <v>13</v>
      </c>
      <c r="E1278" s="7" t="n">
        <v>1</v>
      </c>
      <c r="F1278" s="7" t="s">
        <v>802</v>
      </c>
      <c r="G1278" s="12" t="str">
        <f aca="false">IFERROR(INDEX('Semrush Data'!$A$1:$Z$20000,MATCH(A1278,'Semrush Data'!$A$1:$A$20000,0),MATCH("Volume",'Semrush Data'!$A$1:$Z$1,0)),"")</f>
        <v/>
      </c>
      <c r="H1278" s="7" t="str">
        <f aca="false">IFERROR(INDEX('Semrush Data'!$A$1:$Z$20000,MATCH(A1278,'Semrush Data'!$A$1:$A$20000,0),MATCH("Keyword Difficulty*",'Semrush Data'!$A$1:$Z$1,0)),"")</f>
        <v/>
      </c>
      <c r="I1278" s="13" t="str">
        <f aca="false">IFERROR(INDEX('Semrush Data'!$A$1:$Z$20000,MATCH(A1278,'Semrush Data'!$A$1:$A$20000,0),MATCH("CPC*",'Semrush Data'!$A$1:$Z$1,0)),"")</f>
        <v/>
      </c>
      <c r="J1278" s="7" t="str">
        <f aca="false">IFERROR(INDEX('Semrush Data'!$A$1:$Z$20000,MATCH(A1278,'Semrush Data'!$A$1:$A$20000,0),MATCH("Intent",'Semrush Data'!$A$1:$Z$1,0)),"")</f>
        <v/>
      </c>
    </row>
    <row r="1279" customFormat="false" ht="15" hidden="false" customHeight="true" outlineLevel="0" collapsed="false">
      <c r="A1279" s="7" t="s">
        <v>1877</v>
      </c>
      <c r="B1279" s="7" t="s">
        <v>6814</v>
      </c>
      <c r="C1279" s="7" t="n">
        <v>2</v>
      </c>
      <c r="D1279" s="7" t="n">
        <v>13</v>
      </c>
      <c r="E1279" s="7" t="n">
        <v>1</v>
      </c>
      <c r="F1279" s="7" t="s">
        <v>840</v>
      </c>
      <c r="G1279" s="12" t="str">
        <f aca="false">IFERROR(INDEX('Semrush Data'!$A$1:$Z$20000,MATCH(A1279,'Semrush Data'!$A$1:$A$20000,0),MATCH("Volume",'Semrush Data'!$A$1:$Z$1,0)),"")</f>
        <v/>
      </c>
      <c r="H1279" s="7" t="str">
        <f aca="false">IFERROR(INDEX('Semrush Data'!$A$1:$Z$20000,MATCH(A1279,'Semrush Data'!$A$1:$A$20000,0),MATCH("Keyword Difficulty*",'Semrush Data'!$A$1:$Z$1,0)),"")</f>
        <v/>
      </c>
      <c r="I1279" s="13" t="str">
        <f aca="false">IFERROR(INDEX('Semrush Data'!$A$1:$Z$20000,MATCH(A1279,'Semrush Data'!$A$1:$A$20000,0),MATCH("CPC*",'Semrush Data'!$A$1:$Z$1,0)),"")</f>
        <v/>
      </c>
      <c r="J1279" s="7" t="str">
        <f aca="false">IFERROR(INDEX('Semrush Data'!$A$1:$Z$20000,MATCH(A1279,'Semrush Data'!$A$1:$A$20000,0),MATCH("Intent",'Semrush Data'!$A$1:$Z$1,0)),"")</f>
        <v/>
      </c>
    </row>
    <row r="1280" customFormat="false" ht="15" hidden="false" customHeight="true" outlineLevel="0" collapsed="false">
      <c r="A1280" s="7" t="s">
        <v>1610</v>
      </c>
      <c r="B1280" s="7" t="s">
        <v>6814</v>
      </c>
      <c r="C1280" s="7" t="n">
        <v>2</v>
      </c>
      <c r="D1280" s="7" t="n">
        <v>13</v>
      </c>
      <c r="E1280" s="7" t="n">
        <v>1</v>
      </c>
      <c r="F1280" s="7" t="s">
        <v>584</v>
      </c>
      <c r="G1280" s="12" t="str">
        <f aca="false">IFERROR(INDEX('Semrush Data'!$A$1:$Z$20000,MATCH(A1280,'Semrush Data'!$A$1:$A$20000,0),MATCH("Volume",'Semrush Data'!$A$1:$Z$1,0)),"")</f>
        <v/>
      </c>
      <c r="H1280" s="7" t="str">
        <f aca="false">IFERROR(INDEX('Semrush Data'!$A$1:$Z$20000,MATCH(A1280,'Semrush Data'!$A$1:$A$20000,0),MATCH("Keyword Difficulty*",'Semrush Data'!$A$1:$Z$1,0)),"")</f>
        <v/>
      </c>
      <c r="I1280" s="13" t="str">
        <f aca="false">IFERROR(INDEX('Semrush Data'!$A$1:$Z$20000,MATCH(A1280,'Semrush Data'!$A$1:$A$20000,0),MATCH("CPC*",'Semrush Data'!$A$1:$Z$1,0)),"")</f>
        <v/>
      </c>
      <c r="J1280" s="7" t="str">
        <f aca="false">IFERROR(INDEX('Semrush Data'!$A$1:$Z$20000,MATCH(A1280,'Semrush Data'!$A$1:$A$20000,0),MATCH("Intent",'Semrush Data'!$A$1:$Z$1,0)),"")</f>
        <v/>
      </c>
    </row>
    <row r="1281" customFormat="false" ht="15" hidden="false" customHeight="true" outlineLevel="0" collapsed="false">
      <c r="A1281" s="7" t="s">
        <v>1665</v>
      </c>
      <c r="B1281" s="7" t="s">
        <v>6814</v>
      </c>
      <c r="C1281" s="7" t="n">
        <v>2</v>
      </c>
      <c r="D1281" s="7" t="n">
        <v>13</v>
      </c>
      <c r="E1281" s="7" t="n">
        <v>1</v>
      </c>
      <c r="F1281" s="7" t="s">
        <v>644</v>
      </c>
      <c r="G1281" s="12" t="str">
        <f aca="false">IFERROR(INDEX('Semrush Data'!$A$1:$Z$20000,MATCH(A1281,'Semrush Data'!$A$1:$A$20000,0),MATCH("Volume",'Semrush Data'!$A$1:$Z$1,0)),"")</f>
        <v/>
      </c>
      <c r="H1281" s="7" t="str">
        <f aca="false">IFERROR(INDEX('Semrush Data'!$A$1:$Z$20000,MATCH(A1281,'Semrush Data'!$A$1:$A$20000,0),MATCH("Keyword Difficulty*",'Semrush Data'!$A$1:$Z$1,0)),"")</f>
        <v/>
      </c>
      <c r="I1281" s="13" t="str">
        <f aca="false">IFERROR(INDEX('Semrush Data'!$A$1:$Z$20000,MATCH(A1281,'Semrush Data'!$A$1:$A$20000,0),MATCH("CPC*",'Semrush Data'!$A$1:$Z$1,0)),"")</f>
        <v/>
      </c>
      <c r="J1281" s="7" t="str">
        <f aca="false">IFERROR(INDEX('Semrush Data'!$A$1:$Z$20000,MATCH(A1281,'Semrush Data'!$A$1:$A$20000,0),MATCH("Intent",'Semrush Data'!$A$1:$Z$1,0)),"")</f>
        <v/>
      </c>
    </row>
    <row r="1282" customFormat="false" ht="15" hidden="false" customHeight="true" outlineLevel="0" collapsed="false">
      <c r="A1282" s="7" t="s">
        <v>1618</v>
      </c>
      <c r="B1282" s="7" t="s">
        <v>6814</v>
      </c>
      <c r="C1282" s="7" t="n">
        <v>2</v>
      </c>
      <c r="D1282" s="7" t="n">
        <v>13</v>
      </c>
      <c r="E1282" s="7" t="n">
        <v>1</v>
      </c>
      <c r="F1282" s="7" t="s">
        <v>593</v>
      </c>
      <c r="G1282" s="12" t="str">
        <f aca="false">IFERROR(INDEX('Semrush Data'!$A$1:$Z$20000,MATCH(A1282,'Semrush Data'!$A$1:$A$20000,0),MATCH("Volume",'Semrush Data'!$A$1:$Z$1,0)),"")</f>
        <v/>
      </c>
      <c r="H1282" s="7" t="str">
        <f aca="false">IFERROR(INDEX('Semrush Data'!$A$1:$Z$20000,MATCH(A1282,'Semrush Data'!$A$1:$A$20000,0),MATCH("Keyword Difficulty*",'Semrush Data'!$A$1:$Z$1,0)),"")</f>
        <v/>
      </c>
      <c r="I1282" s="13" t="str">
        <f aca="false">IFERROR(INDEX('Semrush Data'!$A$1:$Z$20000,MATCH(A1282,'Semrush Data'!$A$1:$A$20000,0),MATCH("CPC*",'Semrush Data'!$A$1:$Z$1,0)),"")</f>
        <v/>
      </c>
      <c r="J1282" s="7" t="str">
        <f aca="false">IFERROR(INDEX('Semrush Data'!$A$1:$Z$20000,MATCH(A1282,'Semrush Data'!$A$1:$A$20000,0),MATCH("Intent",'Semrush Data'!$A$1:$Z$1,0)),"")</f>
        <v/>
      </c>
    </row>
    <row r="1283" customFormat="false" ht="15" hidden="false" customHeight="true" outlineLevel="0" collapsed="false">
      <c r="A1283" s="7" t="s">
        <v>1678</v>
      </c>
      <c r="B1283" s="7" t="s">
        <v>6814</v>
      </c>
      <c r="C1283" s="7" t="n">
        <v>2</v>
      </c>
      <c r="D1283" s="7" t="n">
        <v>13</v>
      </c>
      <c r="E1283" s="7" t="n">
        <v>1</v>
      </c>
      <c r="F1283" s="7" t="s">
        <v>657</v>
      </c>
      <c r="G1283" s="12" t="str">
        <f aca="false">IFERROR(INDEX('Semrush Data'!$A$1:$Z$20000,MATCH(A1283,'Semrush Data'!$A$1:$A$20000,0),MATCH("Volume",'Semrush Data'!$A$1:$Z$1,0)),"")</f>
        <v/>
      </c>
      <c r="H1283" s="7" t="str">
        <f aca="false">IFERROR(INDEX('Semrush Data'!$A$1:$Z$20000,MATCH(A1283,'Semrush Data'!$A$1:$A$20000,0),MATCH("Keyword Difficulty*",'Semrush Data'!$A$1:$Z$1,0)),"")</f>
        <v/>
      </c>
      <c r="I1283" s="13" t="str">
        <f aca="false">IFERROR(INDEX('Semrush Data'!$A$1:$Z$20000,MATCH(A1283,'Semrush Data'!$A$1:$A$20000,0),MATCH("CPC*",'Semrush Data'!$A$1:$Z$1,0)),"")</f>
        <v/>
      </c>
      <c r="J1283" s="7" t="str">
        <f aca="false">IFERROR(INDEX('Semrush Data'!$A$1:$Z$20000,MATCH(A1283,'Semrush Data'!$A$1:$A$20000,0),MATCH("Intent",'Semrush Data'!$A$1:$Z$1,0)),"")</f>
        <v/>
      </c>
    </row>
    <row r="1284" customFormat="false" ht="15" hidden="false" customHeight="true" outlineLevel="0" collapsed="false">
      <c r="A1284" s="7" t="s">
        <v>1487</v>
      </c>
      <c r="B1284" s="7" t="s">
        <v>6814</v>
      </c>
      <c r="C1284" s="7" t="n">
        <v>2</v>
      </c>
      <c r="D1284" s="7" t="n">
        <v>13</v>
      </c>
      <c r="E1284" s="7" t="n">
        <v>1</v>
      </c>
      <c r="F1284" s="7" t="s">
        <v>443</v>
      </c>
      <c r="G1284" s="12" t="str">
        <f aca="false">IFERROR(INDEX('Semrush Data'!$A$1:$Z$20000,MATCH(A1284,'Semrush Data'!$A$1:$A$20000,0),MATCH("Volume",'Semrush Data'!$A$1:$Z$1,0)),"")</f>
        <v/>
      </c>
      <c r="H1284" s="7" t="str">
        <f aca="false">IFERROR(INDEX('Semrush Data'!$A$1:$Z$20000,MATCH(A1284,'Semrush Data'!$A$1:$A$20000,0),MATCH("Keyword Difficulty*",'Semrush Data'!$A$1:$Z$1,0)),"")</f>
        <v/>
      </c>
      <c r="I1284" s="13" t="str">
        <f aca="false">IFERROR(INDEX('Semrush Data'!$A$1:$Z$20000,MATCH(A1284,'Semrush Data'!$A$1:$A$20000,0),MATCH("CPC*",'Semrush Data'!$A$1:$Z$1,0)),"")</f>
        <v/>
      </c>
      <c r="J1284" s="7" t="str">
        <f aca="false">IFERROR(INDEX('Semrush Data'!$A$1:$Z$20000,MATCH(A1284,'Semrush Data'!$A$1:$A$20000,0),MATCH("Intent",'Semrush Data'!$A$1:$Z$1,0)),"")</f>
        <v/>
      </c>
    </row>
    <row r="1285" customFormat="false" ht="15" hidden="false" customHeight="true" outlineLevel="0" collapsed="false">
      <c r="A1285" s="7" t="s">
        <v>1625</v>
      </c>
      <c r="B1285" s="7" t="s">
        <v>6814</v>
      </c>
      <c r="C1285" s="7" t="n">
        <v>2</v>
      </c>
      <c r="D1285" s="7" t="n">
        <v>13</v>
      </c>
      <c r="E1285" s="7" t="n">
        <v>2</v>
      </c>
      <c r="F1285" s="7" t="s">
        <v>6813</v>
      </c>
      <c r="G1285" s="12" t="str">
        <f aca="false">IFERROR(INDEX('Semrush Data'!$A$1:$Z$20000,MATCH(A1285,'Semrush Data'!$A$1:$A$20000,0),MATCH("Volume",'Semrush Data'!$A$1:$Z$1,0)),"")</f>
        <v/>
      </c>
      <c r="H1285" s="7" t="str">
        <f aca="false">IFERROR(INDEX('Semrush Data'!$A$1:$Z$20000,MATCH(A1285,'Semrush Data'!$A$1:$A$20000,0),MATCH("Keyword Difficulty*",'Semrush Data'!$A$1:$Z$1,0)),"")</f>
        <v/>
      </c>
      <c r="I1285" s="13" t="str">
        <f aca="false">IFERROR(INDEX('Semrush Data'!$A$1:$Z$20000,MATCH(A1285,'Semrush Data'!$A$1:$A$20000,0),MATCH("CPC*",'Semrush Data'!$A$1:$Z$1,0)),"")</f>
        <v/>
      </c>
      <c r="J1285" s="7" t="str">
        <f aca="false">IFERROR(INDEX('Semrush Data'!$A$1:$Z$20000,MATCH(A1285,'Semrush Data'!$A$1:$A$20000,0),MATCH("Intent",'Semrush Data'!$A$1:$Z$1,0)),"")</f>
        <v/>
      </c>
    </row>
    <row r="1286" customFormat="false" ht="15" hidden="false" customHeight="true" outlineLevel="0" collapsed="false">
      <c r="A1286" s="7" t="s">
        <v>1691</v>
      </c>
      <c r="B1286" s="7" t="s">
        <v>6814</v>
      </c>
      <c r="C1286" s="7" t="n">
        <v>2</v>
      </c>
      <c r="D1286" s="7" t="n">
        <v>13</v>
      </c>
      <c r="E1286" s="7" t="n">
        <v>1</v>
      </c>
      <c r="F1286" s="7" t="s">
        <v>669</v>
      </c>
      <c r="G1286" s="12" t="str">
        <f aca="false">IFERROR(INDEX('Semrush Data'!$A$1:$Z$20000,MATCH(A1286,'Semrush Data'!$A$1:$A$20000,0),MATCH("Volume",'Semrush Data'!$A$1:$Z$1,0)),"")</f>
        <v/>
      </c>
      <c r="H1286" s="7" t="str">
        <f aca="false">IFERROR(INDEX('Semrush Data'!$A$1:$Z$20000,MATCH(A1286,'Semrush Data'!$A$1:$A$20000,0),MATCH("Keyword Difficulty*",'Semrush Data'!$A$1:$Z$1,0)),"")</f>
        <v/>
      </c>
      <c r="I1286" s="13" t="str">
        <f aca="false">IFERROR(INDEX('Semrush Data'!$A$1:$Z$20000,MATCH(A1286,'Semrush Data'!$A$1:$A$20000,0),MATCH("CPC*",'Semrush Data'!$A$1:$Z$1,0)),"")</f>
        <v/>
      </c>
      <c r="J1286" s="7" t="str">
        <f aca="false">IFERROR(INDEX('Semrush Data'!$A$1:$Z$20000,MATCH(A1286,'Semrush Data'!$A$1:$A$20000,0),MATCH("Intent",'Semrush Data'!$A$1:$Z$1,0)),"")</f>
        <v/>
      </c>
    </row>
    <row r="1287" customFormat="false" ht="15" hidden="false" customHeight="true" outlineLevel="0" collapsed="false">
      <c r="A1287" s="7" t="s">
        <v>1494</v>
      </c>
      <c r="B1287" s="7" t="s">
        <v>6814</v>
      </c>
      <c r="C1287" s="7" t="n">
        <v>2</v>
      </c>
      <c r="D1287" s="7" t="n">
        <v>13</v>
      </c>
      <c r="E1287" s="7" t="n">
        <v>1</v>
      </c>
      <c r="F1287" s="7" t="s">
        <v>452</v>
      </c>
      <c r="G1287" s="12" t="str">
        <f aca="false">IFERROR(INDEX('Semrush Data'!$A$1:$Z$20000,MATCH(A1287,'Semrush Data'!$A$1:$A$20000,0),MATCH("Volume",'Semrush Data'!$A$1:$Z$1,0)),"")</f>
        <v/>
      </c>
      <c r="H1287" s="7" t="str">
        <f aca="false">IFERROR(INDEX('Semrush Data'!$A$1:$Z$20000,MATCH(A1287,'Semrush Data'!$A$1:$A$20000,0),MATCH("Keyword Difficulty*",'Semrush Data'!$A$1:$Z$1,0)),"")</f>
        <v/>
      </c>
      <c r="I1287" s="13" t="str">
        <f aca="false">IFERROR(INDEX('Semrush Data'!$A$1:$Z$20000,MATCH(A1287,'Semrush Data'!$A$1:$A$20000,0),MATCH("CPC*",'Semrush Data'!$A$1:$Z$1,0)),"")</f>
        <v/>
      </c>
      <c r="J1287" s="7" t="str">
        <f aca="false">IFERROR(INDEX('Semrush Data'!$A$1:$Z$20000,MATCH(A1287,'Semrush Data'!$A$1:$A$20000,0),MATCH("Intent",'Semrush Data'!$A$1:$Z$1,0)),"")</f>
        <v/>
      </c>
    </row>
    <row r="1288" customFormat="false" ht="15" hidden="false" customHeight="true" outlineLevel="0" collapsed="false">
      <c r="A1288" s="7" t="s">
        <v>1634</v>
      </c>
      <c r="B1288" s="7" t="s">
        <v>6814</v>
      </c>
      <c r="C1288" s="7" t="n">
        <v>2</v>
      </c>
      <c r="D1288" s="7" t="n">
        <v>13</v>
      </c>
      <c r="E1288" s="7" t="n">
        <v>1</v>
      </c>
      <c r="F1288" s="7" t="s">
        <v>611</v>
      </c>
      <c r="G1288" s="12" t="str">
        <f aca="false">IFERROR(INDEX('Semrush Data'!$A$1:$Z$20000,MATCH(A1288,'Semrush Data'!$A$1:$A$20000,0),MATCH("Volume",'Semrush Data'!$A$1:$Z$1,0)),"")</f>
        <v/>
      </c>
      <c r="H1288" s="7" t="str">
        <f aca="false">IFERROR(INDEX('Semrush Data'!$A$1:$Z$20000,MATCH(A1288,'Semrush Data'!$A$1:$A$20000,0),MATCH("Keyword Difficulty*",'Semrush Data'!$A$1:$Z$1,0)),"")</f>
        <v/>
      </c>
      <c r="I1288" s="13" t="str">
        <f aca="false">IFERROR(INDEX('Semrush Data'!$A$1:$Z$20000,MATCH(A1288,'Semrush Data'!$A$1:$A$20000,0),MATCH("CPC*",'Semrush Data'!$A$1:$Z$1,0)),"")</f>
        <v/>
      </c>
      <c r="J1288" s="7" t="str">
        <f aca="false">IFERROR(INDEX('Semrush Data'!$A$1:$Z$20000,MATCH(A1288,'Semrush Data'!$A$1:$A$20000,0),MATCH("Intent",'Semrush Data'!$A$1:$Z$1,0)),"")</f>
        <v/>
      </c>
    </row>
    <row r="1289" customFormat="false" ht="15" hidden="false" customHeight="true" outlineLevel="0" collapsed="false">
      <c r="A1289" s="7" t="s">
        <v>1501</v>
      </c>
      <c r="B1289" s="7" t="s">
        <v>6814</v>
      </c>
      <c r="C1289" s="7" t="n">
        <v>2</v>
      </c>
      <c r="D1289" s="7" t="n">
        <v>13</v>
      </c>
      <c r="E1289" s="7" t="n">
        <v>1</v>
      </c>
      <c r="F1289" s="7" t="s">
        <v>459</v>
      </c>
      <c r="G1289" s="12" t="str">
        <f aca="false">IFERROR(INDEX('Semrush Data'!$A$1:$Z$20000,MATCH(A1289,'Semrush Data'!$A$1:$A$20000,0),MATCH("Volume",'Semrush Data'!$A$1:$Z$1,0)),"")</f>
        <v/>
      </c>
      <c r="H1289" s="7" t="str">
        <f aca="false">IFERROR(INDEX('Semrush Data'!$A$1:$Z$20000,MATCH(A1289,'Semrush Data'!$A$1:$A$20000,0),MATCH("Keyword Difficulty*",'Semrush Data'!$A$1:$Z$1,0)),"")</f>
        <v/>
      </c>
      <c r="I1289" s="13" t="str">
        <f aca="false">IFERROR(INDEX('Semrush Data'!$A$1:$Z$20000,MATCH(A1289,'Semrush Data'!$A$1:$A$20000,0),MATCH("CPC*",'Semrush Data'!$A$1:$Z$1,0)),"")</f>
        <v/>
      </c>
      <c r="J1289" s="7" t="str">
        <f aca="false">IFERROR(INDEX('Semrush Data'!$A$1:$Z$20000,MATCH(A1289,'Semrush Data'!$A$1:$A$20000,0),MATCH("Intent",'Semrush Data'!$A$1:$Z$1,0)),"")</f>
        <v/>
      </c>
    </row>
    <row r="1290" customFormat="false" ht="15" hidden="false" customHeight="true" outlineLevel="0" collapsed="false">
      <c r="A1290" s="7" t="s">
        <v>1419</v>
      </c>
      <c r="B1290" s="7" t="s">
        <v>6814</v>
      </c>
      <c r="C1290" s="7" t="n">
        <v>2</v>
      </c>
      <c r="D1290" s="7" t="n">
        <v>13</v>
      </c>
      <c r="E1290" s="7" t="n">
        <v>1</v>
      </c>
      <c r="F1290" s="7" t="s">
        <v>363</v>
      </c>
      <c r="G1290" s="12" t="str">
        <f aca="false">IFERROR(INDEX('Semrush Data'!$A$1:$Z$20000,MATCH(A1290,'Semrush Data'!$A$1:$A$20000,0),MATCH("Volume",'Semrush Data'!$A$1:$Z$1,0)),"")</f>
        <v/>
      </c>
      <c r="H1290" s="7" t="str">
        <f aca="false">IFERROR(INDEX('Semrush Data'!$A$1:$Z$20000,MATCH(A1290,'Semrush Data'!$A$1:$A$20000,0),MATCH("Keyword Difficulty*",'Semrush Data'!$A$1:$Z$1,0)),"")</f>
        <v/>
      </c>
      <c r="I1290" s="13" t="str">
        <f aca="false">IFERROR(INDEX('Semrush Data'!$A$1:$Z$20000,MATCH(A1290,'Semrush Data'!$A$1:$A$20000,0),MATCH("CPC*",'Semrush Data'!$A$1:$Z$1,0)),"")</f>
        <v/>
      </c>
      <c r="J1290" s="7" t="str">
        <f aca="false">IFERROR(INDEX('Semrush Data'!$A$1:$Z$20000,MATCH(A1290,'Semrush Data'!$A$1:$A$20000,0),MATCH("Intent",'Semrush Data'!$A$1:$Z$1,0)),"")</f>
        <v/>
      </c>
    </row>
    <row r="1291" customFormat="false" ht="15" hidden="false" customHeight="true" outlineLevel="0" collapsed="false">
      <c r="A1291" s="7" t="s">
        <v>1640</v>
      </c>
      <c r="B1291" s="7" t="s">
        <v>6814</v>
      </c>
      <c r="C1291" s="7" t="n">
        <v>2</v>
      </c>
      <c r="D1291" s="7" t="n">
        <v>13</v>
      </c>
      <c r="E1291" s="7" t="n">
        <v>1</v>
      </c>
      <c r="F1291" s="7" t="s">
        <v>617</v>
      </c>
      <c r="G1291" s="12" t="str">
        <f aca="false">IFERROR(INDEX('Semrush Data'!$A$1:$Z$20000,MATCH(A1291,'Semrush Data'!$A$1:$A$20000,0),MATCH("Volume",'Semrush Data'!$A$1:$Z$1,0)),"")</f>
        <v/>
      </c>
      <c r="H1291" s="7" t="str">
        <f aca="false">IFERROR(INDEX('Semrush Data'!$A$1:$Z$20000,MATCH(A1291,'Semrush Data'!$A$1:$A$20000,0),MATCH("Keyword Difficulty*",'Semrush Data'!$A$1:$Z$1,0)),"")</f>
        <v/>
      </c>
      <c r="I1291" s="13" t="str">
        <f aca="false">IFERROR(INDEX('Semrush Data'!$A$1:$Z$20000,MATCH(A1291,'Semrush Data'!$A$1:$A$20000,0),MATCH("CPC*",'Semrush Data'!$A$1:$Z$1,0)),"")</f>
        <v/>
      </c>
      <c r="J1291" s="7" t="str">
        <f aca="false">IFERROR(INDEX('Semrush Data'!$A$1:$Z$20000,MATCH(A1291,'Semrush Data'!$A$1:$A$20000,0),MATCH("Intent",'Semrush Data'!$A$1:$Z$1,0)),"")</f>
        <v/>
      </c>
    </row>
    <row r="1292" customFormat="false" ht="15" hidden="false" customHeight="true" outlineLevel="0" collapsed="false">
      <c r="A1292" s="7" t="s">
        <v>1647</v>
      </c>
      <c r="B1292" s="7" t="s">
        <v>6814</v>
      </c>
      <c r="C1292" s="7" t="n">
        <v>2</v>
      </c>
      <c r="D1292" s="7" t="n">
        <v>13</v>
      </c>
      <c r="E1292" s="7" t="n">
        <v>1</v>
      </c>
      <c r="F1292" s="7" t="s">
        <v>623</v>
      </c>
      <c r="G1292" s="12" t="str">
        <f aca="false">IFERROR(INDEX('Semrush Data'!$A$1:$Z$20000,MATCH(A1292,'Semrush Data'!$A$1:$A$20000,0),MATCH("Volume",'Semrush Data'!$A$1:$Z$1,0)),"")</f>
        <v/>
      </c>
      <c r="H1292" s="7" t="str">
        <f aca="false">IFERROR(INDEX('Semrush Data'!$A$1:$Z$20000,MATCH(A1292,'Semrush Data'!$A$1:$A$20000,0),MATCH("Keyword Difficulty*",'Semrush Data'!$A$1:$Z$1,0)),"")</f>
        <v/>
      </c>
      <c r="I1292" s="13" t="str">
        <f aca="false">IFERROR(INDEX('Semrush Data'!$A$1:$Z$20000,MATCH(A1292,'Semrush Data'!$A$1:$A$20000,0),MATCH("CPC*",'Semrush Data'!$A$1:$Z$1,0)),"")</f>
        <v/>
      </c>
      <c r="J1292" s="7" t="str">
        <f aca="false">IFERROR(INDEX('Semrush Data'!$A$1:$Z$20000,MATCH(A1292,'Semrush Data'!$A$1:$A$20000,0),MATCH("Intent",'Semrush Data'!$A$1:$Z$1,0)),"")</f>
        <v/>
      </c>
    </row>
    <row r="1293" customFormat="false" ht="15" hidden="false" customHeight="true" outlineLevel="0" collapsed="false">
      <c r="A1293" s="7" t="s">
        <v>1733</v>
      </c>
      <c r="B1293" s="7" t="s">
        <v>6814</v>
      </c>
      <c r="C1293" s="7" t="n">
        <v>2</v>
      </c>
      <c r="D1293" s="7" t="n">
        <v>13</v>
      </c>
      <c r="E1293" s="7" t="n">
        <v>1</v>
      </c>
      <c r="F1293" s="7" t="s">
        <v>708</v>
      </c>
      <c r="G1293" s="12" t="str">
        <f aca="false">IFERROR(INDEX('Semrush Data'!$A$1:$Z$20000,MATCH(A1293,'Semrush Data'!$A$1:$A$20000,0),MATCH("Volume",'Semrush Data'!$A$1:$Z$1,0)),"")</f>
        <v/>
      </c>
      <c r="H1293" s="7" t="str">
        <f aca="false">IFERROR(INDEX('Semrush Data'!$A$1:$Z$20000,MATCH(A1293,'Semrush Data'!$A$1:$A$20000,0),MATCH("Keyword Difficulty*",'Semrush Data'!$A$1:$Z$1,0)),"")</f>
        <v/>
      </c>
      <c r="I1293" s="13" t="str">
        <f aca="false">IFERROR(INDEX('Semrush Data'!$A$1:$Z$20000,MATCH(A1293,'Semrush Data'!$A$1:$A$20000,0),MATCH("CPC*",'Semrush Data'!$A$1:$Z$1,0)),"")</f>
        <v/>
      </c>
      <c r="J1293" s="7" t="str">
        <f aca="false">IFERROR(INDEX('Semrush Data'!$A$1:$Z$20000,MATCH(A1293,'Semrush Data'!$A$1:$A$20000,0),MATCH("Intent",'Semrush Data'!$A$1:$Z$1,0)),"")</f>
        <v/>
      </c>
    </row>
    <row r="1294" customFormat="false" ht="15" hidden="false" customHeight="true" outlineLevel="0" collapsed="false">
      <c r="A1294" s="7" t="s">
        <v>1697</v>
      </c>
      <c r="B1294" s="7" t="s">
        <v>6814</v>
      </c>
      <c r="C1294" s="7" t="n">
        <v>2</v>
      </c>
      <c r="D1294" s="7" t="n">
        <v>13</v>
      </c>
      <c r="E1294" s="7" t="n">
        <v>1</v>
      </c>
      <c r="F1294" s="7" t="s">
        <v>674</v>
      </c>
      <c r="G1294" s="12" t="str">
        <f aca="false">IFERROR(INDEX('Semrush Data'!$A$1:$Z$20000,MATCH(A1294,'Semrush Data'!$A$1:$A$20000,0),MATCH("Volume",'Semrush Data'!$A$1:$Z$1,0)),"")</f>
        <v/>
      </c>
      <c r="H1294" s="7" t="str">
        <f aca="false">IFERROR(INDEX('Semrush Data'!$A$1:$Z$20000,MATCH(A1294,'Semrush Data'!$A$1:$A$20000,0),MATCH("Keyword Difficulty*",'Semrush Data'!$A$1:$Z$1,0)),"")</f>
        <v/>
      </c>
      <c r="I1294" s="13" t="str">
        <f aca="false">IFERROR(INDEX('Semrush Data'!$A$1:$Z$20000,MATCH(A1294,'Semrush Data'!$A$1:$A$20000,0),MATCH("CPC*",'Semrush Data'!$A$1:$Z$1,0)),"")</f>
        <v/>
      </c>
      <c r="J1294" s="7" t="str">
        <f aca="false">IFERROR(INDEX('Semrush Data'!$A$1:$Z$20000,MATCH(A1294,'Semrush Data'!$A$1:$A$20000,0),MATCH("Intent",'Semrush Data'!$A$1:$Z$1,0)),"")</f>
        <v/>
      </c>
    </row>
    <row r="1295" customFormat="false" ht="15" hidden="false" customHeight="true" outlineLevel="0" collapsed="false">
      <c r="A1295" s="7" t="s">
        <v>1769</v>
      </c>
      <c r="B1295" s="7" t="s">
        <v>6814</v>
      </c>
      <c r="C1295" s="7" t="n">
        <v>2</v>
      </c>
      <c r="D1295" s="7" t="n">
        <v>13</v>
      </c>
      <c r="E1295" s="7" t="n">
        <v>1</v>
      </c>
      <c r="F1295" s="7" t="s">
        <v>742</v>
      </c>
      <c r="G1295" s="12" t="str">
        <f aca="false">IFERROR(INDEX('Semrush Data'!$A$1:$Z$20000,MATCH(A1295,'Semrush Data'!$A$1:$A$20000,0),MATCH("Volume",'Semrush Data'!$A$1:$Z$1,0)),"")</f>
        <v/>
      </c>
      <c r="H1295" s="7" t="str">
        <f aca="false">IFERROR(INDEX('Semrush Data'!$A$1:$Z$20000,MATCH(A1295,'Semrush Data'!$A$1:$A$20000,0),MATCH("Keyword Difficulty*",'Semrush Data'!$A$1:$Z$1,0)),"")</f>
        <v/>
      </c>
      <c r="I1295" s="13" t="str">
        <f aca="false">IFERROR(INDEX('Semrush Data'!$A$1:$Z$20000,MATCH(A1295,'Semrush Data'!$A$1:$A$20000,0),MATCH("CPC*",'Semrush Data'!$A$1:$Z$1,0)),"")</f>
        <v/>
      </c>
      <c r="J1295" s="7" t="str">
        <f aca="false">IFERROR(INDEX('Semrush Data'!$A$1:$Z$20000,MATCH(A1295,'Semrush Data'!$A$1:$A$20000,0),MATCH("Intent",'Semrush Data'!$A$1:$Z$1,0)),"")</f>
        <v/>
      </c>
    </row>
    <row r="1296" customFormat="false" ht="15" hidden="false" customHeight="true" outlineLevel="0" collapsed="false">
      <c r="A1296" s="7" t="s">
        <v>1447</v>
      </c>
      <c r="B1296" s="7" t="s">
        <v>6814</v>
      </c>
      <c r="C1296" s="7" t="n">
        <v>2</v>
      </c>
      <c r="D1296" s="7" t="n">
        <v>13</v>
      </c>
      <c r="E1296" s="7" t="n">
        <v>1</v>
      </c>
      <c r="F1296" s="7" t="s">
        <v>394</v>
      </c>
      <c r="G1296" s="12" t="str">
        <f aca="false">IFERROR(INDEX('Semrush Data'!$A$1:$Z$20000,MATCH(A1296,'Semrush Data'!$A$1:$A$20000,0),MATCH("Volume",'Semrush Data'!$A$1:$Z$1,0)),"")</f>
        <v/>
      </c>
      <c r="H1296" s="7" t="str">
        <f aca="false">IFERROR(INDEX('Semrush Data'!$A$1:$Z$20000,MATCH(A1296,'Semrush Data'!$A$1:$A$20000,0),MATCH("Keyword Difficulty*",'Semrush Data'!$A$1:$Z$1,0)),"")</f>
        <v/>
      </c>
      <c r="I1296" s="13" t="str">
        <f aca="false">IFERROR(INDEX('Semrush Data'!$A$1:$Z$20000,MATCH(A1296,'Semrush Data'!$A$1:$A$20000,0),MATCH("CPC*",'Semrush Data'!$A$1:$Z$1,0)),"")</f>
        <v/>
      </c>
      <c r="J1296" s="7" t="str">
        <f aca="false">IFERROR(INDEX('Semrush Data'!$A$1:$Z$20000,MATCH(A1296,'Semrush Data'!$A$1:$A$20000,0),MATCH("Intent",'Semrush Data'!$A$1:$Z$1,0)),"")</f>
        <v/>
      </c>
    </row>
    <row r="1297" customFormat="false" ht="15" hidden="false" customHeight="true" outlineLevel="0" collapsed="false">
      <c r="A1297" s="7" t="s">
        <v>1377</v>
      </c>
      <c r="B1297" s="7" t="s">
        <v>6814</v>
      </c>
      <c r="C1297" s="7" t="n">
        <v>2</v>
      </c>
      <c r="D1297" s="7" t="n">
        <v>13</v>
      </c>
      <c r="E1297" s="7" t="n">
        <v>1</v>
      </c>
      <c r="F1297" s="7" t="s">
        <v>312</v>
      </c>
      <c r="G1297" s="12" t="str">
        <f aca="false">IFERROR(INDEX('Semrush Data'!$A$1:$Z$20000,MATCH(A1297,'Semrush Data'!$A$1:$A$20000,0),MATCH("Volume",'Semrush Data'!$A$1:$Z$1,0)),"")</f>
        <v/>
      </c>
      <c r="H1297" s="7" t="str">
        <f aca="false">IFERROR(INDEX('Semrush Data'!$A$1:$Z$20000,MATCH(A1297,'Semrush Data'!$A$1:$A$20000,0),MATCH("Keyword Difficulty*",'Semrush Data'!$A$1:$Z$1,0)),"")</f>
        <v/>
      </c>
      <c r="I1297" s="13" t="str">
        <f aca="false">IFERROR(INDEX('Semrush Data'!$A$1:$Z$20000,MATCH(A1297,'Semrush Data'!$A$1:$A$20000,0),MATCH("CPC*",'Semrush Data'!$A$1:$Z$1,0)),"")</f>
        <v/>
      </c>
      <c r="J1297" s="7" t="str">
        <f aca="false">IFERROR(INDEX('Semrush Data'!$A$1:$Z$20000,MATCH(A1297,'Semrush Data'!$A$1:$A$20000,0),MATCH("Intent",'Semrush Data'!$A$1:$Z$1,0)),"")</f>
        <v/>
      </c>
    </row>
    <row r="1298" customFormat="false" ht="15" hidden="false" customHeight="true" outlineLevel="0" collapsed="false">
      <c r="A1298" s="7" t="s">
        <v>1703</v>
      </c>
      <c r="B1298" s="7" t="s">
        <v>6814</v>
      </c>
      <c r="C1298" s="7" t="n">
        <v>2</v>
      </c>
      <c r="D1298" s="7" t="n">
        <v>13</v>
      </c>
      <c r="E1298" s="7" t="n">
        <v>1</v>
      </c>
      <c r="F1298" s="7" t="s">
        <v>680</v>
      </c>
      <c r="G1298" s="12" t="str">
        <f aca="false">IFERROR(INDEX('Semrush Data'!$A$1:$Z$20000,MATCH(A1298,'Semrush Data'!$A$1:$A$20000,0),MATCH("Volume",'Semrush Data'!$A$1:$Z$1,0)),"")</f>
        <v/>
      </c>
      <c r="H1298" s="7" t="str">
        <f aca="false">IFERROR(INDEX('Semrush Data'!$A$1:$Z$20000,MATCH(A1298,'Semrush Data'!$A$1:$A$20000,0),MATCH("Keyword Difficulty*",'Semrush Data'!$A$1:$Z$1,0)),"")</f>
        <v/>
      </c>
      <c r="I1298" s="13" t="str">
        <f aca="false">IFERROR(INDEX('Semrush Data'!$A$1:$Z$20000,MATCH(A1298,'Semrush Data'!$A$1:$A$20000,0),MATCH("CPC*",'Semrush Data'!$A$1:$Z$1,0)),"")</f>
        <v/>
      </c>
      <c r="J1298" s="7" t="str">
        <f aca="false">IFERROR(INDEX('Semrush Data'!$A$1:$Z$20000,MATCH(A1298,'Semrush Data'!$A$1:$A$20000,0),MATCH("Intent",'Semrush Data'!$A$1:$Z$1,0)),"")</f>
        <v/>
      </c>
    </row>
    <row r="1299" customFormat="false" ht="15" hidden="false" customHeight="true" outlineLevel="0" collapsed="false">
      <c r="A1299" s="7" t="s">
        <v>1823</v>
      </c>
      <c r="B1299" s="7" t="s">
        <v>6814</v>
      </c>
      <c r="C1299" s="7" t="n">
        <v>2</v>
      </c>
      <c r="D1299" s="7" t="n">
        <v>13</v>
      </c>
      <c r="E1299" s="7" t="n">
        <v>1</v>
      </c>
      <c r="F1299" s="7" t="s">
        <v>791</v>
      </c>
      <c r="G1299" s="12" t="str">
        <f aca="false">IFERROR(INDEX('Semrush Data'!$A$1:$Z$20000,MATCH(A1299,'Semrush Data'!$A$1:$A$20000,0),MATCH("Volume",'Semrush Data'!$A$1:$Z$1,0)),"")</f>
        <v/>
      </c>
      <c r="H1299" s="7" t="str">
        <f aca="false">IFERROR(INDEX('Semrush Data'!$A$1:$Z$20000,MATCH(A1299,'Semrush Data'!$A$1:$A$20000,0),MATCH("Keyword Difficulty*",'Semrush Data'!$A$1:$Z$1,0)),"")</f>
        <v/>
      </c>
      <c r="I1299" s="13" t="str">
        <f aca="false">IFERROR(INDEX('Semrush Data'!$A$1:$Z$20000,MATCH(A1299,'Semrush Data'!$A$1:$A$20000,0),MATCH("CPC*",'Semrush Data'!$A$1:$Z$1,0)),"")</f>
        <v/>
      </c>
      <c r="J1299" s="7" t="str">
        <f aca="false">IFERROR(INDEX('Semrush Data'!$A$1:$Z$20000,MATCH(A1299,'Semrush Data'!$A$1:$A$20000,0),MATCH("Intent",'Semrush Data'!$A$1:$Z$1,0)),"")</f>
        <v/>
      </c>
    </row>
    <row r="1300" customFormat="false" ht="15" hidden="false" customHeight="true" outlineLevel="0" collapsed="false">
      <c r="A1300" s="7" t="s">
        <v>1727</v>
      </c>
      <c r="B1300" s="7" t="s">
        <v>6814</v>
      </c>
      <c r="C1300" s="7" t="n">
        <v>2</v>
      </c>
      <c r="D1300" s="7" t="n">
        <v>13</v>
      </c>
      <c r="E1300" s="7" t="n">
        <v>1</v>
      </c>
      <c r="F1300" s="7" t="s">
        <v>703</v>
      </c>
      <c r="G1300" s="12" t="str">
        <f aca="false">IFERROR(INDEX('Semrush Data'!$A$1:$Z$20000,MATCH(A1300,'Semrush Data'!$A$1:$A$20000,0),MATCH("Volume",'Semrush Data'!$A$1:$Z$1,0)),"")</f>
        <v/>
      </c>
      <c r="H1300" s="7" t="str">
        <f aca="false">IFERROR(INDEX('Semrush Data'!$A$1:$Z$20000,MATCH(A1300,'Semrush Data'!$A$1:$A$20000,0),MATCH("Keyword Difficulty*",'Semrush Data'!$A$1:$Z$1,0)),"")</f>
        <v/>
      </c>
      <c r="I1300" s="13" t="str">
        <f aca="false">IFERROR(INDEX('Semrush Data'!$A$1:$Z$20000,MATCH(A1300,'Semrush Data'!$A$1:$A$20000,0),MATCH("CPC*",'Semrush Data'!$A$1:$Z$1,0)),"")</f>
        <v/>
      </c>
      <c r="J1300" s="7" t="str">
        <f aca="false">IFERROR(INDEX('Semrush Data'!$A$1:$Z$20000,MATCH(A1300,'Semrush Data'!$A$1:$A$20000,0),MATCH("Intent",'Semrush Data'!$A$1:$Z$1,0)),"")</f>
        <v/>
      </c>
    </row>
    <row r="1301" customFormat="false" ht="15" hidden="false" customHeight="true" outlineLevel="0" collapsed="false">
      <c r="A1301" s="7" t="s">
        <v>1411</v>
      </c>
      <c r="B1301" s="7" t="s">
        <v>6814</v>
      </c>
      <c r="C1301" s="7" t="n">
        <v>2</v>
      </c>
      <c r="D1301" s="7" t="n">
        <v>13</v>
      </c>
      <c r="E1301" s="7" t="n">
        <v>1</v>
      </c>
      <c r="F1301" s="7" t="s">
        <v>353</v>
      </c>
      <c r="G1301" s="12" t="str">
        <f aca="false">IFERROR(INDEX('Semrush Data'!$A$1:$Z$20000,MATCH(A1301,'Semrush Data'!$A$1:$A$20000,0),MATCH("Volume",'Semrush Data'!$A$1:$Z$1,0)),"")</f>
        <v/>
      </c>
      <c r="H1301" s="7" t="str">
        <f aca="false">IFERROR(INDEX('Semrush Data'!$A$1:$Z$20000,MATCH(A1301,'Semrush Data'!$A$1:$A$20000,0),MATCH("Keyword Difficulty*",'Semrush Data'!$A$1:$Z$1,0)),"")</f>
        <v/>
      </c>
      <c r="I1301" s="13" t="str">
        <f aca="false">IFERROR(INDEX('Semrush Data'!$A$1:$Z$20000,MATCH(A1301,'Semrush Data'!$A$1:$A$20000,0),MATCH("CPC*",'Semrush Data'!$A$1:$Z$1,0)),"")</f>
        <v/>
      </c>
      <c r="J1301" s="7" t="str">
        <f aca="false">IFERROR(INDEX('Semrush Data'!$A$1:$Z$20000,MATCH(A1301,'Semrush Data'!$A$1:$A$20000,0),MATCH("Intent",'Semrush Data'!$A$1:$Z$1,0)),"")</f>
        <v/>
      </c>
    </row>
    <row r="1302" customFormat="false" ht="15" hidden="false" customHeight="true" outlineLevel="0" collapsed="false">
      <c r="A1302" s="7" t="s">
        <v>1841</v>
      </c>
      <c r="B1302" s="7" t="s">
        <v>6814</v>
      </c>
      <c r="C1302" s="7" t="n">
        <v>2</v>
      </c>
      <c r="D1302" s="7" t="n">
        <v>14</v>
      </c>
      <c r="E1302" s="7" t="n">
        <v>1</v>
      </c>
      <c r="F1302" s="7" t="s">
        <v>808</v>
      </c>
      <c r="G1302" s="12" t="str">
        <f aca="false">IFERROR(INDEX('Semrush Data'!$A$1:$Z$20000,MATCH(A1302,'Semrush Data'!$A$1:$A$20000,0),MATCH("Volume",'Semrush Data'!$A$1:$Z$1,0)),"")</f>
        <v/>
      </c>
      <c r="H1302" s="7" t="str">
        <f aca="false">IFERROR(INDEX('Semrush Data'!$A$1:$Z$20000,MATCH(A1302,'Semrush Data'!$A$1:$A$20000,0),MATCH("Keyword Difficulty*",'Semrush Data'!$A$1:$Z$1,0)),"")</f>
        <v/>
      </c>
      <c r="I1302" s="13" t="str">
        <f aca="false">IFERROR(INDEX('Semrush Data'!$A$1:$Z$20000,MATCH(A1302,'Semrush Data'!$A$1:$A$20000,0),MATCH("CPC*",'Semrush Data'!$A$1:$Z$1,0)),"")</f>
        <v/>
      </c>
      <c r="J1302" s="7" t="str">
        <f aca="false">IFERROR(INDEX('Semrush Data'!$A$1:$Z$20000,MATCH(A1302,'Semrush Data'!$A$1:$A$20000,0),MATCH("Intent",'Semrush Data'!$A$1:$Z$1,0)),"")</f>
        <v/>
      </c>
    </row>
    <row r="1303" customFormat="false" ht="15" hidden="false" customHeight="true" outlineLevel="0" collapsed="false">
      <c r="A1303" s="7" t="s">
        <v>1763</v>
      </c>
      <c r="B1303" s="7" t="s">
        <v>6814</v>
      </c>
      <c r="C1303" s="7" t="n">
        <v>2</v>
      </c>
      <c r="D1303" s="7" t="n">
        <v>14</v>
      </c>
      <c r="E1303" s="7" t="n">
        <v>1</v>
      </c>
      <c r="F1303" s="7" t="s">
        <v>736</v>
      </c>
      <c r="G1303" s="12" t="str">
        <f aca="false">IFERROR(INDEX('Semrush Data'!$A$1:$Z$20000,MATCH(A1303,'Semrush Data'!$A$1:$A$20000,0),MATCH("Volume",'Semrush Data'!$A$1:$Z$1,0)),"")</f>
        <v/>
      </c>
      <c r="H1303" s="7" t="str">
        <f aca="false">IFERROR(INDEX('Semrush Data'!$A$1:$Z$20000,MATCH(A1303,'Semrush Data'!$A$1:$A$20000,0),MATCH("Keyword Difficulty*",'Semrush Data'!$A$1:$Z$1,0)),"")</f>
        <v/>
      </c>
      <c r="I1303" s="13" t="str">
        <f aca="false">IFERROR(INDEX('Semrush Data'!$A$1:$Z$20000,MATCH(A1303,'Semrush Data'!$A$1:$A$20000,0),MATCH("CPC*",'Semrush Data'!$A$1:$Z$1,0)),"")</f>
        <v/>
      </c>
      <c r="J1303" s="7" t="str">
        <f aca="false">IFERROR(INDEX('Semrush Data'!$A$1:$Z$20000,MATCH(A1303,'Semrush Data'!$A$1:$A$20000,0),MATCH("Intent",'Semrush Data'!$A$1:$Z$1,0)),"")</f>
        <v/>
      </c>
    </row>
    <row r="1304" customFormat="false" ht="15" hidden="false" customHeight="true" outlineLevel="0" collapsed="false">
      <c r="A1304" s="7" t="s">
        <v>1811</v>
      </c>
      <c r="B1304" s="7" t="s">
        <v>6814</v>
      </c>
      <c r="C1304" s="7" t="n">
        <v>2</v>
      </c>
      <c r="D1304" s="7" t="n">
        <v>14</v>
      </c>
      <c r="E1304" s="7" t="n">
        <v>1</v>
      </c>
      <c r="F1304" s="7" t="s">
        <v>781</v>
      </c>
      <c r="G1304" s="12" t="str">
        <f aca="false">IFERROR(INDEX('Semrush Data'!$A$1:$Z$20000,MATCH(A1304,'Semrush Data'!$A$1:$A$20000,0),MATCH("Volume",'Semrush Data'!$A$1:$Z$1,0)),"")</f>
        <v/>
      </c>
      <c r="H1304" s="7" t="str">
        <f aca="false">IFERROR(INDEX('Semrush Data'!$A$1:$Z$20000,MATCH(A1304,'Semrush Data'!$A$1:$A$20000,0),MATCH("Keyword Difficulty*",'Semrush Data'!$A$1:$Z$1,0)),"")</f>
        <v/>
      </c>
      <c r="I1304" s="13" t="str">
        <f aca="false">IFERROR(INDEX('Semrush Data'!$A$1:$Z$20000,MATCH(A1304,'Semrush Data'!$A$1:$A$20000,0),MATCH("CPC*",'Semrush Data'!$A$1:$Z$1,0)),"")</f>
        <v/>
      </c>
      <c r="J1304" s="7" t="str">
        <f aca="false">IFERROR(INDEX('Semrush Data'!$A$1:$Z$20000,MATCH(A1304,'Semrush Data'!$A$1:$A$20000,0),MATCH("Intent",'Semrush Data'!$A$1:$Z$1,0)),"")</f>
        <v/>
      </c>
    </row>
    <row r="1305" customFormat="false" ht="15" hidden="false" customHeight="true" outlineLevel="0" collapsed="false">
      <c r="A1305" s="7" t="s">
        <v>1721</v>
      </c>
      <c r="B1305" s="7" t="s">
        <v>6814</v>
      </c>
      <c r="C1305" s="7" t="n">
        <v>2</v>
      </c>
      <c r="D1305" s="7" t="n">
        <v>14</v>
      </c>
      <c r="E1305" s="7" t="n">
        <v>1</v>
      </c>
      <c r="F1305" s="7" t="s">
        <v>698</v>
      </c>
      <c r="G1305" s="12" t="str">
        <f aca="false">IFERROR(INDEX('Semrush Data'!$A$1:$Z$20000,MATCH(A1305,'Semrush Data'!$A$1:$A$20000,0),MATCH("Volume",'Semrush Data'!$A$1:$Z$1,0)),"")</f>
        <v/>
      </c>
      <c r="H1305" s="7" t="str">
        <f aca="false">IFERROR(INDEX('Semrush Data'!$A$1:$Z$20000,MATCH(A1305,'Semrush Data'!$A$1:$A$20000,0),MATCH("Keyword Difficulty*",'Semrush Data'!$A$1:$Z$1,0)),"")</f>
        <v/>
      </c>
      <c r="I1305" s="13" t="str">
        <f aca="false">IFERROR(INDEX('Semrush Data'!$A$1:$Z$20000,MATCH(A1305,'Semrush Data'!$A$1:$A$20000,0),MATCH("CPC*",'Semrush Data'!$A$1:$Z$1,0)),"")</f>
        <v/>
      </c>
      <c r="J1305" s="7" t="str">
        <f aca="false">IFERROR(INDEX('Semrush Data'!$A$1:$Z$20000,MATCH(A1305,'Semrush Data'!$A$1:$A$20000,0),MATCH("Intent",'Semrush Data'!$A$1:$Z$1,0)),"")</f>
        <v/>
      </c>
    </row>
    <row r="1306" customFormat="false" ht="15" hidden="false" customHeight="true" outlineLevel="0" collapsed="false">
      <c r="A1306" s="7" t="s">
        <v>1757</v>
      </c>
      <c r="B1306" s="7" t="s">
        <v>6814</v>
      </c>
      <c r="C1306" s="7" t="n">
        <v>2</v>
      </c>
      <c r="D1306" s="7" t="n">
        <v>14</v>
      </c>
      <c r="E1306" s="7" t="n">
        <v>1</v>
      </c>
      <c r="F1306" s="7" t="s">
        <v>730</v>
      </c>
      <c r="G1306" s="12" t="str">
        <f aca="false">IFERROR(INDEX('Semrush Data'!$A$1:$Z$20000,MATCH(A1306,'Semrush Data'!$A$1:$A$20000,0),MATCH("Volume",'Semrush Data'!$A$1:$Z$1,0)),"")</f>
        <v/>
      </c>
      <c r="H1306" s="7" t="str">
        <f aca="false">IFERROR(INDEX('Semrush Data'!$A$1:$Z$20000,MATCH(A1306,'Semrush Data'!$A$1:$A$20000,0),MATCH("Keyword Difficulty*",'Semrush Data'!$A$1:$Z$1,0)),"")</f>
        <v/>
      </c>
      <c r="I1306" s="13" t="str">
        <f aca="false">IFERROR(INDEX('Semrush Data'!$A$1:$Z$20000,MATCH(A1306,'Semrush Data'!$A$1:$A$20000,0),MATCH("CPC*",'Semrush Data'!$A$1:$Z$1,0)),"")</f>
        <v/>
      </c>
      <c r="J1306" s="7" t="str">
        <f aca="false">IFERROR(INDEX('Semrush Data'!$A$1:$Z$20000,MATCH(A1306,'Semrush Data'!$A$1:$A$20000,0),MATCH("Intent",'Semrush Data'!$A$1:$Z$1,0)),"")</f>
        <v/>
      </c>
    </row>
    <row r="1307" customFormat="false" ht="15" hidden="false" customHeight="true" outlineLevel="0" collapsed="false">
      <c r="A1307" s="7" t="s">
        <v>1805</v>
      </c>
      <c r="B1307" s="7" t="s">
        <v>6814</v>
      </c>
      <c r="C1307" s="7" t="n">
        <v>2</v>
      </c>
      <c r="D1307" s="7" t="n">
        <v>14</v>
      </c>
      <c r="E1307" s="7" t="n">
        <v>1</v>
      </c>
      <c r="F1307" s="7" t="s">
        <v>775</v>
      </c>
      <c r="G1307" s="12" t="str">
        <f aca="false">IFERROR(INDEX('Semrush Data'!$A$1:$Z$20000,MATCH(A1307,'Semrush Data'!$A$1:$A$20000,0),MATCH("Volume",'Semrush Data'!$A$1:$Z$1,0)),"")</f>
        <v/>
      </c>
      <c r="H1307" s="7" t="str">
        <f aca="false">IFERROR(INDEX('Semrush Data'!$A$1:$Z$20000,MATCH(A1307,'Semrush Data'!$A$1:$A$20000,0),MATCH("Keyword Difficulty*",'Semrush Data'!$A$1:$Z$1,0)),"")</f>
        <v/>
      </c>
      <c r="I1307" s="13" t="str">
        <f aca="false">IFERROR(INDEX('Semrush Data'!$A$1:$Z$20000,MATCH(A1307,'Semrush Data'!$A$1:$A$20000,0),MATCH("CPC*",'Semrush Data'!$A$1:$Z$1,0)),"")</f>
        <v/>
      </c>
      <c r="J1307" s="7" t="str">
        <f aca="false">IFERROR(INDEX('Semrush Data'!$A$1:$Z$20000,MATCH(A1307,'Semrush Data'!$A$1:$A$20000,0),MATCH("Intent",'Semrush Data'!$A$1:$Z$1,0)),"")</f>
        <v/>
      </c>
    </row>
    <row r="1308" customFormat="false" ht="15" hidden="false" customHeight="true" outlineLevel="0" collapsed="false">
      <c r="A1308" s="7" t="s">
        <v>1426</v>
      </c>
      <c r="B1308" s="7" t="s">
        <v>6814</v>
      </c>
      <c r="C1308" s="7" t="n">
        <v>2</v>
      </c>
      <c r="D1308" s="7" t="n">
        <v>14</v>
      </c>
      <c r="E1308" s="7" t="n">
        <v>1</v>
      </c>
      <c r="F1308" s="7" t="s">
        <v>372</v>
      </c>
      <c r="G1308" s="12" t="str">
        <f aca="false">IFERROR(INDEX('Semrush Data'!$A$1:$Z$20000,MATCH(A1308,'Semrush Data'!$A$1:$A$20000,0),MATCH("Volume",'Semrush Data'!$A$1:$Z$1,0)),"")</f>
        <v/>
      </c>
      <c r="H1308" s="7" t="str">
        <f aca="false">IFERROR(INDEX('Semrush Data'!$A$1:$Z$20000,MATCH(A1308,'Semrush Data'!$A$1:$A$20000,0),MATCH("Keyword Difficulty*",'Semrush Data'!$A$1:$Z$1,0)),"")</f>
        <v/>
      </c>
      <c r="I1308" s="13" t="str">
        <f aca="false">IFERROR(INDEX('Semrush Data'!$A$1:$Z$20000,MATCH(A1308,'Semrush Data'!$A$1:$A$20000,0),MATCH("CPC*",'Semrush Data'!$A$1:$Z$1,0)),"")</f>
        <v/>
      </c>
      <c r="J1308" s="7" t="str">
        <f aca="false">IFERROR(INDEX('Semrush Data'!$A$1:$Z$20000,MATCH(A1308,'Semrush Data'!$A$1:$A$20000,0),MATCH("Intent",'Semrush Data'!$A$1:$Z$1,0)),"")</f>
        <v/>
      </c>
    </row>
    <row r="1309" customFormat="false" ht="15" hidden="false" customHeight="true" outlineLevel="0" collapsed="false">
      <c r="A1309" s="7" t="s">
        <v>1652</v>
      </c>
      <c r="B1309" s="7" t="s">
        <v>6814</v>
      </c>
      <c r="C1309" s="7" t="n">
        <v>2</v>
      </c>
      <c r="D1309" s="7" t="n">
        <v>14</v>
      </c>
      <c r="E1309" s="7" t="n">
        <v>1</v>
      </c>
      <c r="F1309" s="7" t="s">
        <v>629</v>
      </c>
      <c r="G1309" s="12" t="str">
        <f aca="false">IFERROR(INDEX('Semrush Data'!$A$1:$Z$20000,MATCH(A1309,'Semrush Data'!$A$1:$A$20000,0),MATCH("Volume",'Semrush Data'!$A$1:$Z$1,0)),"")</f>
        <v/>
      </c>
      <c r="H1309" s="7" t="str">
        <f aca="false">IFERROR(INDEX('Semrush Data'!$A$1:$Z$20000,MATCH(A1309,'Semrush Data'!$A$1:$A$20000,0),MATCH("Keyword Difficulty*",'Semrush Data'!$A$1:$Z$1,0)),"")</f>
        <v/>
      </c>
      <c r="I1309" s="13" t="str">
        <f aca="false">IFERROR(INDEX('Semrush Data'!$A$1:$Z$20000,MATCH(A1309,'Semrush Data'!$A$1:$A$20000,0),MATCH("CPC*",'Semrush Data'!$A$1:$Z$1,0)),"")</f>
        <v/>
      </c>
      <c r="J1309" s="7" t="str">
        <f aca="false">IFERROR(INDEX('Semrush Data'!$A$1:$Z$20000,MATCH(A1309,'Semrush Data'!$A$1:$A$20000,0),MATCH("Intent",'Semrush Data'!$A$1:$Z$1,0)),"")</f>
        <v/>
      </c>
    </row>
    <row r="1310" customFormat="false" ht="15" hidden="false" customHeight="true" outlineLevel="0" collapsed="false">
      <c r="A1310" s="7" t="s">
        <v>1509</v>
      </c>
      <c r="B1310" s="7" t="s">
        <v>6814</v>
      </c>
      <c r="C1310" s="7" t="n">
        <v>2</v>
      </c>
      <c r="D1310" s="7" t="n">
        <v>14</v>
      </c>
      <c r="E1310" s="7" t="n">
        <v>1</v>
      </c>
      <c r="F1310" s="7" t="s">
        <v>468</v>
      </c>
      <c r="G1310" s="12" t="str">
        <f aca="false">IFERROR(INDEX('Semrush Data'!$A$1:$Z$20000,MATCH(A1310,'Semrush Data'!$A$1:$A$20000,0),MATCH("Volume",'Semrush Data'!$A$1:$Z$1,0)),"")</f>
        <v/>
      </c>
      <c r="H1310" s="7" t="str">
        <f aca="false">IFERROR(INDEX('Semrush Data'!$A$1:$Z$20000,MATCH(A1310,'Semrush Data'!$A$1:$A$20000,0),MATCH("Keyword Difficulty*",'Semrush Data'!$A$1:$Z$1,0)),"")</f>
        <v/>
      </c>
      <c r="I1310" s="13" t="str">
        <f aca="false">IFERROR(INDEX('Semrush Data'!$A$1:$Z$20000,MATCH(A1310,'Semrush Data'!$A$1:$A$20000,0),MATCH("CPC*",'Semrush Data'!$A$1:$Z$1,0)),"")</f>
        <v/>
      </c>
      <c r="J1310" s="7" t="str">
        <f aca="false">IFERROR(INDEX('Semrush Data'!$A$1:$Z$20000,MATCH(A1310,'Semrush Data'!$A$1:$A$20000,0),MATCH("Intent",'Semrush Data'!$A$1:$Z$1,0)),"")</f>
        <v/>
      </c>
    </row>
    <row r="1311" customFormat="false" ht="15" hidden="false" customHeight="true" outlineLevel="0" collapsed="false">
      <c r="A1311" s="7" t="s">
        <v>1799</v>
      </c>
      <c r="B1311" s="7" t="s">
        <v>6814</v>
      </c>
      <c r="C1311" s="7" t="n">
        <v>2</v>
      </c>
      <c r="D1311" s="7" t="n">
        <v>14</v>
      </c>
      <c r="E1311" s="7" t="n">
        <v>1</v>
      </c>
      <c r="F1311" s="7" t="s">
        <v>769</v>
      </c>
      <c r="G1311" s="12" t="str">
        <f aca="false">IFERROR(INDEX('Semrush Data'!$A$1:$Z$20000,MATCH(A1311,'Semrush Data'!$A$1:$A$20000,0),MATCH("Volume",'Semrush Data'!$A$1:$Z$1,0)),"")</f>
        <v/>
      </c>
      <c r="H1311" s="7" t="str">
        <f aca="false">IFERROR(INDEX('Semrush Data'!$A$1:$Z$20000,MATCH(A1311,'Semrush Data'!$A$1:$A$20000,0),MATCH("Keyword Difficulty*",'Semrush Data'!$A$1:$Z$1,0)),"")</f>
        <v/>
      </c>
      <c r="I1311" s="13" t="str">
        <f aca="false">IFERROR(INDEX('Semrush Data'!$A$1:$Z$20000,MATCH(A1311,'Semrush Data'!$A$1:$A$20000,0),MATCH("CPC*",'Semrush Data'!$A$1:$Z$1,0)),"")</f>
        <v/>
      </c>
      <c r="J1311" s="7" t="str">
        <f aca="false">IFERROR(INDEX('Semrush Data'!$A$1:$Z$20000,MATCH(A1311,'Semrush Data'!$A$1:$A$20000,0),MATCH("Intent",'Semrush Data'!$A$1:$Z$1,0)),"")</f>
        <v/>
      </c>
    </row>
    <row r="1312" customFormat="false" ht="15" hidden="false" customHeight="true" outlineLevel="0" collapsed="false">
      <c r="A1312" s="7" t="s">
        <v>6428</v>
      </c>
      <c r="B1312" s="7" t="s">
        <v>6814</v>
      </c>
      <c r="C1312" s="7" t="n">
        <v>2</v>
      </c>
      <c r="D1312" s="7" t="n">
        <v>14</v>
      </c>
      <c r="E1312" s="7" t="n">
        <v>1</v>
      </c>
      <c r="F1312" s="7" t="s">
        <v>6424</v>
      </c>
      <c r="G1312" s="12" t="str">
        <f aca="false">IFERROR(INDEX('Semrush Data'!$A$1:$Z$20000,MATCH(A1312,'Semrush Data'!$A$1:$A$20000,0),MATCH("Volume",'Semrush Data'!$A$1:$Z$1,0)),"")</f>
        <v/>
      </c>
      <c r="H1312" s="7" t="str">
        <f aca="false">IFERROR(INDEX('Semrush Data'!$A$1:$Z$20000,MATCH(A1312,'Semrush Data'!$A$1:$A$20000,0),MATCH("Keyword Difficulty*",'Semrush Data'!$A$1:$Z$1,0)),"")</f>
        <v/>
      </c>
      <c r="I1312" s="13" t="str">
        <f aca="false">IFERROR(INDEX('Semrush Data'!$A$1:$Z$20000,MATCH(A1312,'Semrush Data'!$A$1:$A$20000,0),MATCH("CPC*",'Semrush Data'!$A$1:$Z$1,0)),"")</f>
        <v/>
      </c>
      <c r="J1312" s="7" t="str">
        <f aca="false">IFERROR(INDEX('Semrush Data'!$A$1:$Z$20000,MATCH(A1312,'Semrush Data'!$A$1:$A$20000,0),MATCH("Intent",'Semrush Data'!$A$1:$Z$1,0)),"")</f>
        <v/>
      </c>
    </row>
    <row r="1313" customFormat="false" ht="15" hidden="false" customHeight="true" outlineLevel="0" collapsed="false">
      <c r="A1313" s="7" t="s">
        <v>2401</v>
      </c>
      <c r="B1313" s="7" t="s">
        <v>6817</v>
      </c>
      <c r="C1313" s="7" t="n">
        <v>2</v>
      </c>
      <c r="D1313" s="7" t="n">
        <v>14</v>
      </c>
      <c r="E1313" s="7" t="n">
        <v>1</v>
      </c>
      <c r="F1313" s="7" t="s">
        <v>2389</v>
      </c>
      <c r="G1313" s="12" t="str">
        <f aca="false">IFERROR(INDEX('Semrush Data'!$A$1:$Z$20000,MATCH(A1313,'Semrush Data'!$A$1:$A$20000,0),MATCH("Volume",'Semrush Data'!$A$1:$Z$1,0)),"")</f>
        <v/>
      </c>
      <c r="H1313" s="7" t="str">
        <f aca="false">IFERROR(INDEX('Semrush Data'!$A$1:$Z$20000,MATCH(A1313,'Semrush Data'!$A$1:$A$20000,0),MATCH("Keyword Difficulty*",'Semrush Data'!$A$1:$Z$1,0)),"")</f>
        <v/>
      </c>
      <c r="I1313" s="13" t="str">
        <f aca="false">IFERROR(INDEX('Semrush Data'!$A$1:$Z$20000,MATCH(A1313,'Semrush Data'!$A$1:$A$20000,0),MATCH("CPC*",'Semrush Data'!$A$1:$Z$1,0)),"")</f>
        <v/>
      </c>
      <c r="J1313" s="7" t="str">
        <f aca="false">IFERROR(INDEX('Semrush Data'!$A$1:$Z$20000,MATCH(A1313,'Semrush Data'!$A$1:$A$20000,0),MATCH("Intent",'Semrush Data'!$A$1:$Z$1,0)),"")</f>
        <v/>
      </c>
    </row>
    <row r="1314" customFormat="false" ht="15" hidden="false" customHeight="true" outlineLevel="0" collapsed="false">
      <c r="A1314" s="7" t="s">
        <v>2413</v>
      </c>
      <c r="B1314" s="7" t="s">
        <v>6817</v>
      </c>
      <c r="C1314" s="7" t="n">
        <v>2</v>
      </c>
      <c r="D1314" s="7" t="n">
        <v>14</v>
      </c>
      <c r="E1314" s="7" t="n">
        <v>1</v>
      </c>
      <c r="F1314" s="7" t="s">
        <v>2407</v>
      </c>
      <c r="G1314" s="12" t="str">
        <f aca="false">IFERROR(INDEX('Semrush Data'!$A$1:$Z$20000,MATCH(A1314,'Semrush Data'!$A$1:$A$20000,0),MATCH("Volume",'Semrush Data'!$A$1:$Z$1,0)),"")</f>
        <v/>
      </c>
      <c r="H1314" s="7" t="str">
        <f aca="false">IFERROR(INDEX('Semrush Data'!$A$1:$Z$20000,MATCH(A1314,'Semrush Data'!$A$1:$A$20000,0),MATCH("Keyword Difficulty*",'Semrush Data'!$A$1:$Z$1,0)),"")</f>
        <v/>
      </c>
      <c r="I1314" s="13" t="str">
        <f aca="false">IFERROR(INDEX('Semrush Data'!$A$1:$Z$20000,MATCH(A1314,'Semrush Data'!$A$1:$A$20000,0),MATCH("CPC*",'Semrush Data'!$A$1:$Z$1,0)),"")</f>
        <v/>
      </c>
      <c r="J1314" s="7" t="str">
        <f aca="false">IFERROR(INDEX('Semrush Data'!$A$1:$Z$20000,MATCH(A1314,'Semrush Data'!$A$1:$A$20000,0),MATCH("Intent",'Semrush Data'!$A$1:$Z$1,0)),"")</f>
        <v/>
      </c>
    </row>
    <row r="1315" customFormat="false" ht="15" hidden="false" customHeight="true" outlineLevel="0" collapsed="false">
      <c r="A1315" s="7" t="s">
        <v>2427</v>
      </c>
      <c r="B1315" s="7" t="s">
        <v>6817</v>
      </c>
      <c r="C1315" s="7" t="n">
        <v>2</v>
      </c>
      <c r="D1315" s="7" t="s">
        <v>6815</v>
      </c>
      <c r="E1315" s="7" t="n">
        <v>1</v>
      </c>
      <c r="F1315" s="7" t="s">
        <v>2418</v>
      </c>
      <c r="G1315" s="12" t="n">
        <f aca="false">IFERROR(INDEX('Semrush Data'!$A$1:$Z$20000,MATCH(A1315,'Semrush Data'!$A$1:$A$20000,0),MATCH("Volume",'Semrush Data'!$A$1:$Z$1,0)),"")</f>
        <v>30</v>
      </c>
      <c r="H1315" s="7" t="n">
        <f aca="false">IFERROR(INDEX('Semrush Data'!$A$1:$Z$20000,MATCH(A1315,'Semrush Data'!$A$1:$A$20000,0),MATCH("Keyword Difficulty*",'Semrush Data'!$A$1:$Z$1,0)),"")</f>
        <v>15</v>
      </c>
      <c r="I1315" s="13" t="n">
        <f aca="false">IFERROR(INDEX('Semrush Data'!$A$1:$Z$20000,MATCH(A1315,'Semrush Data'!$A$1:$A$20000,0),MATCH("CPC*",'Semrush Data'!$A$1:$Z$1,0)),"")</f>
        <v>0.36</v>
      </c>
      <c r="J1315" s="7" t="str">
        <f aca="false">IFERROR(INDEX('Semrush Data'!$A$1:$Z$20000,MATCH(A1315,'Semrush Data'!$A$1:$A$20000,0),MATCH("Intent",'Semrush Data'!$A$1:$Z$1,0)),"")</f>
        <v>Informational Transactional</v>
      </c>
    </row>
    <row r="1316" customFormat="false" ht="15" hidden="false" customHeight="true" outlineLevel="0" collapsed="false">
      <c r="A1316" s="7" t="s">
        <v>2451</v>
      </c>
      <c r="B1316" s="7" t="s">
        <v>6817</v>
      </c>
      <c r="C1316" s="7" t="n">
        <v>2</v>
      </c>
      <c r="D1316" s="7" t="s">
        <v>6816</v>
      </c>
      <c r="E1316" s="7" t="n">
        <v>1</v>
      </c>
      <c r="F1316" s="7" t="s">
        <v>2444</v>
      </c>
      <c r="G1316" s="12" t="n">
        <f aca="false">IFERROR(INDEX('Semrush Data'!$A$1:$Z$20000,MATCH(A1316,'Semrush Data'!$A$1:$A$20000,0),MATCH("Volume",'Semrush Data'!$A$1:$Z$1,0)),"")</f>
        <v>0</v>
      </c>
      <c r="H1316" s="7" t="n">
        <f aca="false">IFERROR(INDEX('Semrush Data'!$A$1:$Z$20000,MATCH(A1316,'Semrush Data'!$A$1:$A$20000,0),MATCH("Keyword Difficulty*",'Semrush Data'!$A$1:$Z$1,0)),"")</f>
        <v>10</v>
      </c>
      <c r="I1316" s="13" t="n">
        <f aca="false">IFERROR(INDEX('Semrush Data'!$A$1:$Z$20000,MATCH(A1316,'Semrush Data'!$A$1:$A$20000,0),MATCH("CPC*",'Semrush Data'!$A$1:$Z$1,0)),"")</f>
        <v>0</v>
      </c>
      <c r="J1316" s="7" t="str">
        <f aca="false">IFERROR(INDEX('Semrush Data'!$A$1:$Z$20000,MATCH(A1316,'Semrush Data'!$A$1:$A$20000,0),MATCH("Intent",'Semrush Data'!$A$1:$Z$1,0)),"")</f>
        <v>Informational Transactional</v>
      </c>
    </row>
    <row r="1317" customFormat="false" ht="15" hidden="false" customHeight="true" outlineLevel="0" collapsed="false">
      <c r="A1317" s="7" t="s">
        <v>2462</v>
      </c>
      <c r="B1317" s="7" t="s">
        <v>6817</v>
      </c>
      <c r="C1317" s="7" t="n">
        <v>2</v>
      </c>
      <c r="D1317" s="7" t="s">
        <v>6815</v>
      </c>
      <c r="E1317" s="7" t="n">
        <v>1</v>
      </c>
      <c r="F1317" s="7" t="s">
        <v>138</v>
      </c>
      <c r="G1317" s="12" t="n">
        <f aca="false">IFERROR(INDEX('Semrush Data'!$A$1:$Z$20000,MATCH(A1317,'Semrush Data'!$A$1:$A$20000,0),MATCH("Volume",'Semrush Data'!$A$1:$Z$1,0)),"")</f>
        <v>20</v>
      </c>
      <c r="H1317" s="7" t="n">
        <f aca="false">IFERROR(INDEX('Semrush Data'!$A$1:$Z$20000,MATCH(A1317,'Semrush Data'!$A$1:$A$20000,0),MATCH("Keyword Difficulty*",'Semrush Data'!$A$1:$Z$1,0)),"")</f>
        <v>13</v>
      </c>
      <c r="I1317" s="13" t="n">
        <f aca="false">IFERROR(INDEX('Semrush Data'!$A$1:$Z$20000,MATCH(A1317,'Semrush Data'!$A$1:$A$20000,0),MATCH("CPC*",'Semrush Data'!$A$1:$Z$1,0)),"")</f>
        <v>0</v>
      </c>
      <c r="J1317" s="7" t="str">
        <f aca="false">IFERROR(INDEX('Semrush Data'!$A$1:$Z$20000,MATCH(A1317,'Semrush Data'!$A$1:$A$20000,0),MATCH("Intent",'Semrush Data'!$A$1:$Z$1,0)),"")</f>
        <v>Informational Transactional</v>
      </c>
    </row>
    <row r="1318" customFormat="false" ht="15" hidden="false" customHeight="true" outlineLevel="0" collapsed="false">
      <c r="A1318" s="7" t="s">
        <v>2473</v>
      </c>
      <c r="B1318" s="7" t="s">
        <v>6817</v>
      </c>
      <c r="C1318" s="7" t="n">
        <v>2</v>
      </c>
      <c r="D1318" s="7" t="s">
        <v>6815</v>
      </c>
      <c r="E1318" s="7" t="n">
        <v>1</v>
      </c>
      <c r="F1318" s="7" t="s">
        <v>132</v>
      </c>
      <c r="G1318" s="12" t="n">
        <f aca="false">IFERROR(INDEX('Semrush Data'!$A$1:$Z$20000,MATCH(A1318,'Semrush Data'!$A$1:$A$20000,0),MATCH("Volume",'Semrush Data'!$A$1:$Z$1,0)),"")</f>
        <v>20</v>
      </c>
      <c r="H1318" s="7" t="n">
        <f aca="false">IFERROR(INDEX('Semrush Data'!$A$1:$Z$20000,MATCH(A1318,'Semrush Data'!$A$1:$A$20000,0),MATCH("Keyword Difficulty*",'Semrush Data'!$A$1:$Z$1,0)),"")</f>
        <v>13</v>
      </c>
      <c r="I1318" s="13" t="n">
        <f aca="false">IFERROR(INDEX('Semrush Data'!$A$1:$Z$20000,MATCH(A1318,'Semrush Data'!$A$1:$A$20000,0),MATCH("CPC*",'Semrush Data'!$A$1:$Z$1,0)),"")</f>
        <v>0</v>
      </c>
      <c r="J1318" s="7" t="str">
        <f aca="false">IFERROR(INDEX('Semrush Data'!$A$1:$Z$20000,MATCH(A1318,'Semrush Data'!$A$1:$A$20000,0),MATCH("Intent",'Semrush Data'!$A$1:$Z$1,0)),"")</f>
        <v>Informational</v>
      </c>
    </row>
    <row r="1319" customFormat="false" ht="15" hidden="false" customHeight="true" outlineLevel="0" collapsed="false">
      <c r="A1319" s="7" t="s">
        <v>2484</v>
      </c>
      <c r="B1319" s="7" t="s">
        <v>6817</v>
      </c>
      <c r="C1319" s="7" t="n">
        <v>2</v>
      </c>
      <c r="D1319" s="7" t="s">
        <v>6815</v>
      </c>
      <c r="E1319" s="7" t="n">
        <v>1</v>
      </c>
      <c r="F1319" s="7" t="s">
        <v>114</v>
      </c>
      <c r="G1319" s="12" t="n">
        <f aca="false">IFERROR(INDEX('Semrush Data'!$A$1:$Z$20000,MATCH(A1319,'Semrush Data'!$A$1:$A$20000,0),MATCH("Volume",'Semrush Data'!$A$1:$Z$1,0)),"")</f>
        <v>20</v>
      </c>
      <c r="H1319" s="7" t="n">
        <f aca="false">IFERROR(INDEX('Semrush Data'!$A$1:$Z$20000,MATCH(A1319,'Semrush Data'!$A$1:$A$20000,0),MATCH("Keyword Difficulty*",'Semrush Data'!$A$1:$Z$1,0)),"")</f>
        <v>9</v>
      </c>
      <c r="I1319" s="13" t="n">
        <f aca="false">IFERROR(INDEX('Semrush Data'!$A$1:$Z$20000,MATCH(A1319,'Semrush Data'!$A$1:$A$20000,0),MATCH("CPC*",'Semrush Data'!$A$1:$Z$1,0)),"")</f>
        <v>0</v>
      </c>
      <c r="J1319" s="7" t="str">
        <f aca="false">IFERROR(INDEX('Semrush Data'!$A$1:$Z$20000,MATCH(A1319,'Semrush Data'!$A$1:$A$20000,0),MATCH("Intent",'Semrush Data'!$A$1:$Z$1,0)),"")</f>
        <v>Informational</v>
      </c>
    </row>
    <row r="1320" customFormat="false" ht="15" hidden="false" customHeight="true" outlineLevel="0" collapsed="false">
      <c r="A1320" s="7" t="s">
        <v>5883</v>
      </c>
      <c r="B1320" s="7" t="s">
        <v>6817</v>
      </c>
      <c r="C1320" s="7" t="n">
        <v>2</v>
      </c>
      <c r="D1320" s="7" t="s">
        <v>6815</v>
      </c>
      <c r="E1320" s="7" t="n">
        <v>1</v>
      </c>
      <c r="F1320" s="7" t="s">
        <v>100</v>
      </c>
      <c r="G1320" s="12" t="n">
        <f aca="false">IFERROR(INDEX('Semrush Data'!$A$1:$Z$20000,MATCH(A1320,'Semrush Data'!$A$1:$A$20000,0),MATCH("Volume",'Semrush Data'!$A$1:$Z$1,0)),"")</f>
        <v>20</v>
      </c>
      <c r="H1320" s="7" t="n">
        <f aca="false">IFERROR(INDEX('Semrush Data'!$A$1:$Z$20000,MATCH(A1320,'Semrush Data'!$A$1:$A$20000,0),MATCH("Keyword Difficulty*",'Semrush Data'!$A$1:$Z$1,0)),"")</f>
        <v>18</v>
      </c>
      <c r="I1320" s="13" t="n">
        <f aca="false">IFERROR(INDEX('Semrush Data'!$A$1:$Z$20000,MATCH(A1320,'Semrush Data'!$A$1:$A$20000,0),MATCH("CPC*",'Semrush Data'!$A$1:$Z$1,0)),"")</f>
        <v>0</v>
      </c>
      <c r="J1320" s="7" t="str">
        <f aca="false">IFERROR(INDEX('Semrush Data'!$A$1:$Z$20000,MATCH(A1320,'Semrush Data'!$A$1:$A$20000,0),MATCH("Intent",'Semrush Data'!$A$1:$Z$1,0)),"")</f>
        <v>Informational</v>
      </c>
    </row>
    <row r="1321" customFormat="false" ht="15" hidden="false" customHeight="true" outlineLevel="0" collapsed="false">
      <c r="A1321" s="7" t="s">
        <v>2517</v>
      </c>
      <c r="B1321" s="7" t="s">
        <v>6817</v>
      </c>
      <c r="C1321" s="7" t="n">
        <v>2</v>
      </c>
      <c r="D1321" s="7" t="n">
        <v>14</v>
      </c>
      <c r="E1321" s="7" t="n">
        <v>1</v>
      </c>
      <c r="F1321" s="7" t="s">
        <v>2510</v>
      </c>
      <c r="G1321" s="12" t="str">
        <f aca="false">IFERROR(INDEX('Semrush Data'!$A$1:$Z$20000,MATCH(A1321,'Semrush Data'!$A$1:$A$20000,0),MATCH("Volume",'Semrush Data'!$A$1:$Z$1,0)),"")</f>
        <v/>
      </c>
      <c r="H1321" s="7" t="str">
        <f aca="false">IFERROR(INDEX('Semrush Data'!$A$1:$Z$20000,MATCH(A1321,'Semrush Data'!$A$1:$A$20000,0),MATCH("Keyword Difficulty*",'Semrush Data'!$A$1:$Z$1,0)),"")</f>
        <v/>
      </c>
      <c r="I1321" s="13" t="str">
        <f aca="false">IFERROR(INDEX('Semrush Data'!$A$1:$Z$20000,MATCH(A1321,'Semrush Data'!$A$1:$A$20000,0),MATCH("CPC*",'Semrush Data'!$A$1:$Z$1,0)),"")</f>
        <v/>
      </c>
      <c r="J1321" s="7" t="str">
        <f aca="false">IFERROR(INDEX('Semrush Data'!$A$1:$Z$20000,MATCH(A1321,'Semrush Data'!$A$1:$A$20000,0),MATCH("Intent",'Semrush Data'!$A$1:$Z$1,0)),"")</f>
        <v/>
      </c>
    </row>
    <row r="1322" customFormat="false" ht="15" hidden="false" customHeight="true" outlineLevel="0" collapsed="false">
      <c r="A1322" s="7" t="s">
        <v>2530</v>
      </c>
      <c r="B1322" s="7" t="s">
        <v>6817</v>
      </c>
      <c r="C1322" s="7" t="n">
        <v>2</v>
      </c>
      <c r="D1322" s="7" t="n">
        <v>14</v>
      </c>
      <c r="E1322" s="7" t="n">
        <v>1</v>
      </c>
      <c r="F1322" s="7" t="s">
        <v>2523</v>
      </c>
      <c r="G1322" s="12" t="str">
        <f aca="false">IFERROR(INDEX('Semrush Data'!$A$1:$Z$20000,MATCH(A1322,'Semrush Data'!$A$1:$A$20000,0),MATCH("Volume",'Semrush Data'!$A$1:$Z$1,0)),"")</f>
        <v/>
      </c>
      <c r="H1322" s="7" t="str">
        <f aca="false">IFERROR(INDEX('Semrush Data'!$A$1:$Z$20000,MATCH(A1322,'Semrush Data'!$A$1:$A$20000,0),MATCH("Keyword Difficulty*",'Semrush Data'!$A$1:$Z$1,0)),"")</f>
        <v/>
      </c>
      <c r="I1322" s="13" t="str">
        <f aca="false">IFERROR(INDEX('Semrush Data'!$A$1:$Z$20000,MATCH(A1322,'Semrush Data'!$A$1:$A$20000,0),MATCH("CPC*",'Semrush Data'!$A$1:$Z$1,0)),"")</f>
        <v/>
      </c>
      <c r="J1322" s="7" t="str">
        <f aca="false">IFERROR(INDEX('Semrush Data'!$A$1:$Z$20000,MATCH(A1322,'Semrush Data'!$A$1:$A$20000,0),MATCH("Intent",'Semrush Data'!$A$1:$Z$1,0)),"")</f>
        <v/>
      </c>
    </row>
    <row r="1323" customFormat="false" ht="15" hidden="false" customHeight="true" outlineLevel="0" collapsed="false">
      <c r="A1323" s="7" t="s">
        <v>2543</v>
      </c>
      <c r="B1323" s="7" t="s">
        <v>6817</v>
      </c>
      <c r="C1323" s="7" t="n">
        <v>2</v>
      </c>
      <c r="D1323" s="7" t="s">
        <v>6816</v>
      </c>
      <c r="E1323" s="7" t="n">
        <v>1</v>
      </c>
      <c r="F1323" s="7" t="s">
        <v>2536</v>
      </c>
      <c r="G1323" s="12" t="n">
        <f aca="false">IFERROR(INDEX('Semrush Data'!$A$1:$Z$20000,MATCH(A1323,'Semrush Data'!$A$1:$A$20000,0),MATCH("Volume",'Semrush Data'!$A$1:$Z$1,0)),"")</f>
        <v>20</v>
      </c>
      <c r="H1323" s="7" t="n">
        <f aca="false">IFERROR(INDEX('Semrush Data'!$A$1:$Z$20000,MATCH(A1323,'Semrush Data'!$A$1:$A$20000,0),MATCH("Keyword Difficulty*",'Semrush Data'!$A$1:$Z$1,0)),"")</f>
        <v>13</v>
      </c>
      <c r="I1323" s="13" t="n">
        <f aca="false">IFERROR(INDEX('Semrush Data'!$A$1:$Z$20000,MATCH(A1323,'Semrush Data'!$A$1:$A$20000,0),MATCH("CPC*",'Semrush Data'!$A$1:$Z$1,0)),"")</f>
        <v>0</v>
      </c>
      <c r="J1323" s="7" t="str">
        <f aca="false">IFERROR(INDEX('Semrush Data'!$A$1:$Z$20000,MATCH(A1323,'Semrush Data'!$A$1:$A$20000,0),MATCH("Intent",'Semrush Data'!$A$1:$Z$1,0)),"")</f>
        <v>Informational</v>
      </c>
    </row>
    <row r="1324" customFormat="false" ht="15" hidden="false" customHeight="true" outlineLevel="0" collapsed="false">
      <c r="A1324" s="7" t="s">
        <v>2555</v>
      </c>
      <c r="B1324" s="7" t="s">
        <v>6817</v>
      </c>
      <c r="C1324" s="7" t="n">
        <v>2</v>
      </c>
      <c r="D1324" s="7" t="s">
        <v>6816</v>
      </c>
      <c r="E1324" s="7" t="n">
        <v>1</v>
      </c>
      <c r="F1324" s="7" t="s">
        <v>2548</v>
      </c>
      <c r="G1324" s="12" t="n">
        <f aca="false">IFERROR(INDEX('Semrush Data'!$A$1:$Z$20000,MATCH(A1324,'Semrush Data'!$A$1:$A$20000,0),MATCH("Volume",'Semrush Data'!$A$1:$Z$1,0)),"")</f>
        <v>20</v>
      </c>
      <c r="H1324" s="7" t="n">
        <f aca="false">IFERROR(INDEX('Semrush Data'!$A$1:$Z$20000,MATCH(A1324,'Semrush Data'!$A$1:$A$20000,0),MATCH("Keyword Difficulty*",'Semrush Data'!$A$1:$Z$1,0)),"")</f>
        <v>6</v>
      </c>
      <c r="I1324" s="13" t="n">
        <f aca="false">IFERROR(INDEX('Semrush Data'!$A$1:$Z$20000,MATCH(A1324,'Semrush Data'!$A$1:$A$20000,0),MATCH("CPC*",'Semrush Data'!$A$1:$Z$1,0)),"")</f>
        <v>0</v>
      </c>
      <c r="J1324" s="7" t="str">
        <f aca="false">IFERROR(INDEX('Semrush Data'!$A$1:$Z$20000,MATCH(A1324,'Semrush Data'!$A$1:$A$20000,0),MATCH("Intent",'Semrush Data'!$A$1:$Z$1,0)),"")</f>
        <v>Informational</v>
      </c>
    </row>
    <row r="1325" customFormat="false" ht="15" hidden="false" customHeight="true" outlineLevel="0" collapsed="false">
      <c r="A1325" s="7" t="s">
        <v>2565</v>
      </c>
      <c r="B1325" s="7" t="s">
        <v>6817</v>
      </c>
      <c r="C1325" s="7" t="n">
        <v>2</v>
      </c>
      <c r="D1325" s="7" t="s">
        <v>6815</v>
      </c>
      <c r="E1325" s="7" t="n">
        <v>1</v>
      </c>
      <c r="F1325" s="7" t="s">
        <v>72</v>
      </c>
      <c r="G1325" s="12" t="n">
        <f aca="false">IFERROR(INDEX('Semrush Data'!$A$1:$Z$20000,MATCH(A1325,'Semrush Data'!$A$1:$A$20000,0),MATCH("Volume",'Semrush Data'!$A$1:$Z$1,0)),"")</f>
        <v>20</v>
      </c>
      <c r="H1325" s="7" t="n">
        <f aca="false">IFERROR(INDEX('Semrush Data'!$A$1:$Z$20000,MATCH(A1325,'Semrush Data'!$A$1:$A$20000,0),MATCH("Keyword Difficulty*",'Semrush Data'!$A$1:$Z$1,0)),"")</f>
        <v>12</v>
      </c>
      <c r="I1325" s="13" t="n">
        <f aca="false">IFERROR(INDEX('Semrush Data'!$A$1:$Z$20000,MATCH(A1325,'Semrush Data'!$A$1:$A$20000,0),MATCH("CPC*",'Semrush Data'!$A$1:$Z$1,0)),"")</f>
        <v>0</v>
      </c>
      <c r="J1325" s="7" t="str">
        <f aca="false">IFERROR(INDEX('Semrush Data'!$A$1:$Z$20000,MATCH(A1325,'Semrush Data'!$A$1:$A$20000,0),MATCH("Intent",'Semrush Data'!$A$1:$Z$1,0)),"")</f>
        <v>Transactional Navigational</v>
      </c>
    </row>
    <row r="1326" customFormat="false" ht="15" hidden="false" customHeight="true" outlineLevel="0" collapsed="false">
      <c r="A1326" s="7" t="s">
        <v>2682</v>
      </c>
      <c r="B1326" s="7" t="s">
        <v>6817</v>
      </c>
      <c r="C1326" s="7" t="n">
        <v>2</v>
      </c>
      <c r="D1326" s="7" t="n">
        <v>14</v>
      </c>
      <c r="E1326" s="7" t="n">
        <v>1</v>
      </c>
      <c r="F1326" s="7" t="s">
        <v>2675</v>
      </c>
      <c r="G1326" s="12" t="str">
        <f aca="false">IFERROR(INDEX('Semrush Data'!$A$1:$Z$20000,MATCH(A1326,'Semrush Data'!$A$1:$A$20000,0),MATCH("Volume",'Semrush Data'!$A$1:$Z$1,0)),"")</f>
        <v/>
      </c>
      <c r="H1326" s="7" t="str">
        <f aca="false">IFERROR(INDEX('Semrush Data'!$A$1:$Z$20000,MATCH(A1326,'Semrush Data'!$A$1:$A$20000,0),MATCH("Keyword Difficulty*",'Semrush Data'!$A$1:$Z$1,0)),"")</f>
        <v/>
      </c>
      <c r="I1326" s="13" t="str">
        <f aca="false">IFERROR(INDEX('Semrush Data'!$A$1:$Z$20000,MATCH(A1326,'Semrush Data'!$A$1:$A$20000,0),MATCH("CPC*",'Semrush Data'!$A$1:$Z$1,0)),"")</f>
        <v/>
      </c>
      <c r="J1326" s="7" t="str">
        <f aca="false">IFERROR(INDEX('Semrush Data'!$A$1:$Z$20000,MATCH(A1326,'Semrush Data'!$A$1:$A$20000,0),MATCH("Intent",'Semrush Data'!$A$1:$Z$1,0)),"")</f>
        <v/>
      </c>
    </row>
    <row r="1327" customFormat="false" ht="15" hidden="false" customHeight="true" outlineLevel="0" collapsed="false">
      <c r="A1327" s="7" t="s">
        <v>2573</v>
      </c>
      <c r="B1327" s="7" t="s">
        <v>6817</v>
      </c>
      <c r="C1327" s="7" t="n">
        <v>2</v>
      </c>
      <c r="D1327" s="7" t="s">
        <v>6815</v>
      </c>
      <c r="E1327" s="7" t="n">
        <v>1</v>
      </c>
      <c r="F1327" s="7" t="s">
        <v>106</v>
      </c>
      <c r="G1327" s="12" t="n">
        <f aca="false">IFERROR(INDEX('Semrush Data'!$A$1:$Z$20000,MATCH(A1327,'Semrush Data'!$A$1:$A$20000,0),MATCH("Volume",'Semrush Data'!$A$1:$Z$1,0)),"")</f>
        <v>20</v>
      </c>
      <c r="H1327" s="7" t="n">
        <f aca="false">IFERROR(INDEX('Semrush Data'!$A$1:$Z$20000,MATCH(A1327,'Semrush Data'!$A$1:$A$20000,0),MATCH("Keyword Difficulty*",'Semrush Data'!$A$1:$Z$1,0)),"")</f>
        <v>14</v>
      </c>
      <c r="I1327" s="13" t="n">
        <f aca="false">IFERROR(INDEX('Semrush Data'!$A$1:$Z$20000,MATCH(A1327,'Semrush Data'!$A$1:$A$20000,0),MATCH("CPC*",'Semrush Data'!$A$1:$Z$1,0)),"")</f>
        <v>0</v>
      </c>
      <c r="J1327" s="7" t="str">
        <f aca="false">IFERROR(INDEX('Semrush Data'!$A$1:$Z$20000,MATCH(A1327,'Semrush Data'!$A$1:$A$20000,0),MATCH("Intent",'Semrush Data'!$A$1:$Z$1,0)),"")</f>
        <v>Informational Transactional</v>
      </c>
    </row>
    <row r="1328" customFormat="false" ht="15" hidden="false" customHeight="true" outlineLevel="0" collapsed="false">
      <c r="A1328" s="7" t="s">
        <v>2584</v>
      </c>
      <c r="B1328" s="7" t="s">
        <v>6817</v>
      </c>
      <c r="C1328" s="7" t="n">
        <v>2</v>
      </c>
      <c r="D1328" s="7" t="s">
        <v>6816</v>
      </c>
      <c r="E1328" s="7" t="n">
        <v>1</v>
      </c>
      <c r="F1328" s="7" t="s">
        <v>2578</v>
      </c>
      <c r="G1328" s="12" t="n">
        <f aca="false">IFERROR(INDEX('Semrush Data'!$A$1:$Z$20000,MATCH(A1328,'Semrush Data'!$A$1:$A$20000,0),MATCH("Volume",'Semrush Data'!$A$1:$Z$1,0)),"")</f>
        <v>20</v>
      </c>
      <c r="H1328" s="7" t="n">
        <f aca="false">IFERROR(INDEX('Semrush Data'!$A$1:$Z$20000,MATCH(A1328,'Semrush Data'!$A$1:$A$20000,0),MATCH("Keyword Difficulty*",'Semrush Data'!$A$1:$Z$1,0)),"")</f>
        <v>12</v>
      </c>
      <c r="I1328" s="13" t="n">
        <f aca="false">IFERROR(INDEX('Semrush Data'!$A$1:$Z$20000,MATCH(A1328,'Semrush Data'!$A$1:$A$20000,0),MATCH("CPC*",'Semrush Data'!$A$1:$Z$1,0)),"")</f>
        <v>0</v>
      </c>
      <c r="J1328" s="7" t="str">
        <f aca="false">IFERROR(INDEX('Semrush Data'!$A$1:$Z$20000,MATCH(A1328,'Semrush Data'!$A$1:$A$20000,0),MATCH("Intent",'Semrush Data'!$A$1:$Z$1,0)),"")</f>
        <v>Informational Transactional</v>
      </c>
    </row>
    <row r="1329" customFormat="false" ht="15" hidden="false" customHeight="true" outlineLevel="0" collapsed="false">
      <c r="A1329" s="7" t="s">
        <v>2594</v>
      </c>
      <c r="B1329" s="7" t="s">
        <v>6817</v>
      </c>
      <c r="C1329" s="7" t="n">
        <v>2</v>
      </c>
      <c r="D1329" s="7" t="s">
        <v>6815</v>
      </c>
      <c r="E1329" s="7" t="n">
        <v>1</v>
      </c>
      <c r="F1329" s="7" t="s">
        <v>116</v>
      </c>
      <c r="G1329" s="12" t="n">
        <f aca="false">IFERROR(INDEX('Semrush Data'!$A$1:$Z$20000,MATCH(A1329,'Semrush Data'!$A$1:$A$20000,0),MATCH("Volume",'Semrush Data'!$A$1:$Z$1,0)),"")</f>
        <v>20</v>
      </c>
      <c r="H1329" s="7" t="n">
        <f aca="false">IFERROR(INDEX('Semrush Data'!$A$1:$Z$20000,MATCH(A1329,'Semrush Data'!$A$1:$A$20000,0),MATCH("Keyword Difficulty*",'Semrush Data'!$A$1:$Z$1,0)),"")</f>
        <v>11</v>
      </c>
      <c r="I1329" s="13" t="n">
        <f aca="false">IFERROR(INDEX('Semrush Data'!$A$1:$Z$20000,MATCH(A1329,'Semrush Data'!$A$1:$A$20000,0),MATCH("CPC*",'Semrush Data'!$A$1:$Z$1,0)),"")</f>
        <v>0</v>
      </c>
      <c r="J1329" s="7" t="str">
        <f aca="false">IFERROR(INDEX('Semrush Data'!$A$1:$Z$20000,MATCH(A1329,'Semrush Data'!$A$1:$A$20000,0),MATCH("Intent",'Semrush Data'!$A$1:$Z$1,0)),"")</f>
        <v>Informational Transactional</v>
      </c>
    </row>
    <row r="1330" customFormat="false" ht="15" hidden="false" customHeight="true" outlineLevel="0" collapsed="false">
      <c r="A1330" s="7" t="s">
        <v>2605</v>
      </c>
      <c r="B1330" s="7" t="s">
        <v>6817</v>
      </c>
      <c r="C1330" s="7" t="n">
        <v>2</v>
      </c>
      <c r="D1330" s="7" t="n">
        <v>14</v>
      </c>
      <c r="E1330" s="7" t="n">
        <v>1</v>
      </c>
      <c r="F1330" s="7" t="s">
        <v>2599</v>
      </c>
      <c r="G1330" s="12" t="str">
        <f aca="false">IFERROR(INDEX('Semrush Data'!$A$1:$Z$20000,MATCH(A1330,'Semrush Data'!$A$1:$A$20000,0),MATCH("Volume",'Semrush Data'!$A$1:$Z$1,0)),"")</f>
        <v/>
      </c>
      <c r="H1330" s="7" t="str">
        <f aca="false">IFERROR(INDEX('Semrush Data'!$A$1:$Z$20000,MATCH(A1330,'Semrush Data'!$A$1:$A$20000,0),MATCH("Keyword Difficulty*",'Semrush Data'!$A$1:$Z$1,0)),"")</f>
        <v/>
      </c>
      <c r="I1330" s="13" t="str">
        <f aca="false">IFERROR(INDEX('Semrush Data'!$A$1:$Z$20000,MATCH(A1330,'Semrush Data'!$A$1:$A$20000,0),MATCH("CPC*",'Semrush Data'!$A$1:$Z$1,0)),"")</f>
        <v/>
      </c>
      <c r="J1330" s="7" t="str">
        <f aca="false">IFERROR(INDEX('Semrush Data'!$A$1:$Z$20000,MATCH(A1330,'Semrush Data'!$A$1:$A$20000,0),MATCH("Intent",'Semrush Data'!$A$1:$Z$1,0)),"")</f>
        <v/>
      </c>
    </row>
    <row r="1331" customFormat="false" ht="15" hidden="false" customHeight="true" outlineLevel="0" collapsed="false">
      <c r="A1331" s="7" t="s">
        <v>2617</v>
      </c>
      <c r="B1331" s="7" t="s">
        <v>6817</v>
      </c>
      <c r="C1331" s="7" t="n">
        <v>2</v>
      </c>
      <c r="D1331" s="7" t="s">
        <v>6815</v>
      </c>
      <c r="E1331" s="7" t="n">
        <v>1</v>
      </c>
      <c r="F1331" s="7" t="s">
        <v>2611</v>
      </c>
      <c r="G1331" s="12" t="n">
        <f aca="false">IFERROR(INDEX('Semrush Data'!$A$1:$Z$20000,MATCH(A1331,'Semrush Data'!$A$1:$A$20000,0),MATCH("Volume",'Semrush Data'!$A$1:$Z$1,0)),"")</f>
        <v>30</v>
      </c>
      <c r="H1331" s="7" t="n">
        <f aca="false">IFERROR(INDEX('Semrush Data'!$A$1:$Z$20000,MATCH(A1331,'Semrush Data'!$A$1:$A$20000,0),MATCH("Keyword Difficulty*",'Semrush Data'!$A$1:$Z$1,0)),"")</f>
        <v>9</v>
      </c>
      <c r="I1331" s="13" t="n">
        <f aca="false">IFERROR(INDEX('Semrush Data'!$A$1:$Z$20000,MATCH(A1331,'Semrush Data'!$A$1:$A$20000,0),MATCH("CPC*",'Semrush Data'!$A$1:$Z$1,0)),"")</f>
        <v>0</v>
      </c>
      <c r="J1331" s="7" t="str">
        <f aca="false">IFERROR(INDEX('Semrush Data'!$A$1:$Z$20000,MATCH(A1331,'Semrush Data'!$A$1:$A$20000,0),MATCH("Intent",'Semrush Data'!$A$1:$Z$1,0)),"")</f>
        <v>Informational Transactional</v>
      </c>
    </row>
    <row r="1332" customFormat="false" ht="15" hidden="false" customHeight="true" outlineLevel="0" collapsed="false">
      <c r="A1332" s="7" t="s">
        <v>2628</v>
      </c>
      <c r="B1332" s="7" t="s">
        <v>6817</v>
      </c>
      <c r="C1332" s="7" t="n">
        <v>2</v>
      </c>
      <c r="D1332" s="7" t="n">
        <v>14</v>
      </c>
      <c r="E1332" s="7" t="n">
        <v>1</v>
      </c>
      <c r="F1332" s="7" t="s">
        <v>2622</v>
      </c>
      <c r="G1332" s="12" t="str">
        <f aca="false">IFERROR(INDEX('Semrush Data'!$A$1:$Z$20000,MATCH(A1332,'Semrush Data'!$A$1:$A$20000,0),MATCH("Volume",'Semrush Data'!$A$1:$Z$1,0)),"")</f>
        <v/>
      </c>
      <c r="H1332" s="7" t="str">
        <f aca="false">IFERROR(INDEX('Semrush Data'!$A$1:$Z$20000,MATCH(A1332,'Semrush Data'!$A$1:$A$20000,0),MATCH("Keyword Difficulty*",'Semrush Data'!$A$1:$Z$1,0)),"")</f>
        <v/>
      </c>
      <c r="I1332" s="13" t="str">
        <f aca="false">IFERROR(INDEX('Semrush Data'!$A$1:$Z$20000,MATCH(A1332,'Semrush Data'!$A$1:$A$20000,0),MATCH("CPC*",'Semrush Data'!$A$1:$Z$1,0)),"")</f>
        <v/>
      </c>
      <c r="J1332" s="7" t="str">
        <f aca="false">IFERROR(INDEX('Semrush Data'!$A$1:$Z$20000,MATCH(A1332,'Semrush Data'!$A$1:$A$20000,0),MATCH("Intent",'Semrush Data'!$A$1:$Z$1,0)),"")</f>
        <v/>
      </c>
    </row>
    <row r="1333" customFormat="false" ht="15" hidden="false" customHeight="true" outlineLevel="0" collapsed="false">
      <c r="A1333" s="7" t="s">
        <v>2637</v>
      </c>
      <c r="B1333" s="7" t="s">
        <v>6817</v>
      </c>
      <c r="C1333" s="7" t="n">
        <v>2</v>
      </c>
      <c r="D1333" s="7" t="s">
        <v>6815</v>
      </c>
      <c r="E1333" s="7" t="n">
        <v>1</v>
      </c>
      <c r="F1333" s="7" t="s">
        <v>92</v>
      </c>
      <c r="G1333" s="12" t="n">
        <f aca="false">IFERROR(INDEX('Semrush Data'!$A$1:$Z$20000,MATCH(A1333,'Semrush Data'!$A$1:$A$20000,0),MATCH("Volume",'Semrush Data'!$A$1:$Z$1,0)),"")</f>
        <v>10</v>
      </c>
      <c r="H1333" s="7" t="n">
        <f aca="false">IFERROR(INDEX('Semrush Data'!$A$1:$Z$20000,MATCH(A1333,'Semrush Data'!$A$1:$A$20000,0),MATCH("Keyword Difficulty*",'Semrush Data'!$A$1:$Z$1,0)),"")</f>
        <v>9</v>
      </c>
      <c r="I1333" s="13" t="n">
        <f aca="false">IFERROR(INDEX('Semrush Data'!$A$1:$Z$20000,MATCH(A1333,'Semrush Data'!$A$1:$A$20000,0),MATCH("CPC*",'Semrush Data'!$A$1:$Z$1,0)),"")</f>
        <v>0</v>
      </c>
      <c r="J1333" s="7" t="str">
        <f aca="false">IFERROR(INDEX('Semrush Data'!$A$1:$Z$20000,MATCH(A1333,'Semrush Data'!$A$1:$A$20000,0),MATCH("Intent",'Semrush Data'!$A$1:$Z$1,0)),"")</f>
        <v>Informational Transactional</v>
      </c>
    </row>
    <row r="1334" customFormat="false" ht="15" hidden="false" customHeight="true" outlineLevel="0" collapsed="false">
      <c r="A1334" s="7" t="s">
        <v>2648</v>
      </c>
      <c r="B1334" s="7" t="s">
        <v>6817</v>
      </c>
      <c r="C1334" s="7" t="n">
        <v>2</v>
      </c>
      <c r="D1334" s="7" t="s">
        <v>6816</v>
      </c>
      <c r="E1334" s="7" t="n">
        <v>1</v>
      </c>
      <c r="F1334" s="7" t="s">
        <v>2642</v>
      </c>
      <c r="G1334" s="12" t="n">
        <f aca="false">IFERROR(INDEX('Semrush Data'!$A$1:$Z$20000,MATCH(A1334,'Semrush Data'!$A$1:$A$20000,0),MATCH("Volume",'Semrush Data'!$A$1:$Z$1,0)),"")</f>
        <v>0</v>
      </c>
      <c r="H1334" s="7" t="n">
        <f aca="false">IFERROR(INDEX('Semrush Data'!$A$1:$Z$20000,MATCH(A1334,'Semrush Data'!$A$1:$A$20000,0),MATCH("Keyword Difficulty*",'Semrush Data'!$A$1:$Z$1,0)),"")</f>
        <v>13</v>
      </c>
      <c r="I1334" s="13" t="n">
        <f aca="false">IFERROR(INDEX('Semrush Data'!$A$1:$Z$20000,MATCH(A1334,'Semrush Data'!$A$1:$A$20000,0),MATCH("CPC*",'Semrush Data'!$A$1:$Z$1,0)),"")</f>
        <v>0</v>
      </c>
      <c r="J1334" s="7" t="str">
        <f aca="false">IFERROR(INDEX('Semrush Data'!$A$1:$Z$20000,MATCH(A1334,'Semrush Data'!$A$1:$A$20000,0),MATCH("Intent",'Semrush Data'!$A$1:$Z$1,0)),"")</f>
        <v>Informational Transactional</v>
      </c>
    </row>
    <row r="1335" customFormat="false" ht="15" hidden="false" customHeight="true" outlineLevel="0" collapsed="false">
      <c r="A1335" s="7" t="s">
        <v>2659</v>
      </c>
      <c r="B1335" s="7" t="s">
        <v>6817</v>
      </c>
      <c r="C1335" s="7" t="n">
        <v>2</v>
      </c>
      <c r="D1335" s="7" t="n">
        <v>14</v>
      </c>
      <c r="E1335" s="7" t="n">
        <v>1</v>
      </c>
      <c r="F1335" s="7" t="s">
        <v>2653</v>
      </c>
      <c r="G1335" s="12" t="str">
        <f aca="false">IFERROR(INDEX('Semrush Data'!$A$1:$Z$20000,MATCH(A1335,'Semrush Data'!$A$1:$A$20000,0),MATCH("Volume",'Semrush Data'!$A$1:$Z$1,0)),"")</f>
        <v/>
      </c>
      <c r="H1335" s="7" t="str">
        <f aca="false">IFERROR(INDEX('Semrush Data'!$A$1:$Z$20000,MATCH(A1335,'Semrush Data'!$A$1:$A$20000,0),MATCH("Keyword Difficulty*",'Semrush Data'!$A$1:$Z$1,0)),"")</f>
        <v/>
      </c>
      <c r="I1335" s="13" t="str">
        <f aca="false">IFERROR(INDEX('Semrush Data'!$A$1:$Z$20000,MATCH(A1335,'Semrush Data'!$A$1:$A$20000,0),MATCH("CPC*",'Semrush Data'!$A$1:$Z$1,0)),"")</f>
        <v/>
      </c>
      <c r="J1335" s="7" t="str">
        <f aca="false">IFERROR(INDEX('Semrush Data'!$A$1:$Z$20000,MATCH(A1335,'Semrush Data'!$A$1:$A$20000,0),MATCH("Intent",'Semrush Data'!$A$1:$Z$1,0)),"")</f>
        <v/>
      </c>
    </row>
    <row r="1336" customFormat="false" ht="15" hidden="false" customHeight="true" outlineLevel="0" collapsed="false">
      <c r="A1336" s="7" t="s">
        <v>2670</v>
      </c>
      <c r="B1336" s="7" t="s">
        <v>6817</v>
      </c>
      <c r="C1336" s="7" t="n">
        <v>2</v>
      </c>
      <c r="D1336" s="7" t="s">
        <v>6816</v>
      </c>
      <c r="E1336" s="7" t="n">
        <v>1</v>
      </c>
      <c r="F1336" s="7" t="s">
        <v>2664</v>
      </c>
      <c r="G1336" s="12" t="n">
        <f aca="false">IFERROR(INDEX('Semrush Data'!$A$1:$Z$20000,MATCH(A1336,'Semrush Data'!$A$1:$A$20000,0),MATCH("Volume",'Semrush Data'!$A$1:$Z$1,0)),"")</f>
        <v>10</v>
      </c>
      <c r="H1336" s="7" t="n">
        <f aca="false">IFERROR(INDEX('Semrush Data'!$A$1:$Z$20000,MATCH(A1336,'Semrush Data'!$A$1:$A$20000,0),MATCH("Keyword Difficulty*",'Semrush Data'!$A$1:$Z$1,0)),"")</f>
        <v>10</v>
      </c>
      <c r="I1336" s="13" t="n">
        <f aca="false">IFERROR(INDEX('Semrush Data'!$A$1:$Z$20000,MATCH(A1336,'Semrush Data'!$A$1:$A$20000,0),MATCH("CPC*",'Semrush Data'!$A$1:$Z$1,0)),"")</f>
        <v>0</v>
      </c>
      <c r="J1336" s="7" t="str">
        <f aca="false">IFERROR(INDEX('Semrush Data'!$A$1:$Z$20000,MATCH(A1336,'Semrush Data'!$A$1:$A$20000,0),MATCH("Intent",'Semrush Data'!$A$1:$Z$1,0)),"")</f>
        <v>Informational Transactional</v>
      </c>
    </row>
    <row r="1337" customFormat="false" ht="15" hidden="false" customHeight="true" outlineLevel="0" collapsed="false">
      <c r="A1337" s="7" t="s">
        <v>2695</v>
      </c>
      <c r="B1337" s="7" t="s">
        <v>6817</v>
      </c>
      <c r="C1337" s="7" t="n">
        <v>2</v>
      </c>
      <c r="D1337" s="7" t="n">
        <v>14</v>
      </c>
      <c r="E1337" s="7" t="n">
        <v>3</v>
      </c>
      <c r="F1337" s="7" t="s">
        <v>6784</v>
      </c>
      <c r="G1337" s="12" t="str">
        <f aca="false">IFERROR(INDEX('Semrush Data'!$A$1:$Z$20000,MATCH(A1337,'Semrush Data'!$A$1:$A$20000,0),MATCH("Volume",'Semrush Data'!$A$1:$Z$1,0)),"")</f>
        <v/>
      </c>
      <c r="H1337" s="7" t="str">
        <f aca="false">IFERROR(INDEX('Semrush Data'!$A$1:$Z$20000,MATCH(A1337,'Semrush Data'!$A$1:$A$20000,0),MATCH("Keyword Difficulty*",'Semrush Data'!$A$1:$Z$1,0)),"")</f>
        <v/>
      </c>
      <c r="I1337" s="13" t="str">
        <f aca="false">IFERROR(INDEX('Semrush Data'!$A$1:$Z$20000,MATCH(A1337,'Semrush Data'!$A$1:$A$20000,0),MATCH("CPC*",'Semrush Data'!$A$1:$Z$1,0)),"")</f>
        <v/>
      </c>
      <c r="J1337" s="7" t="str">
        <f aca="false">IFERROR(INDEX('Semrush Data'!$A$1:$Z$20000,MATCH(A1337,'Semrush Data'!$A$1:$A$20000,0),MATCH("Intent",'Semrush Data'!$A$1:$Z$1,0)),"")</f>
        <v/>
      </c>
    </row>
    <row r="1338" customFormat="false" ht="15" hidden="false" customHeight="true" outlineLevel="0" collapsed="false">
      <c r="A1338" s="7" t="s">
        <v>2709</v>
      </c>
      <c r="B1338" s="7" t="s">
        <v>6817</v>
      </c>
      <c r="C1338" s="7" t="n">
        <v>2</v>
      </c>
      <c r="D1338" s="7" t="n">
        <v>14</v>
      </c>
      <c r="E1338" s="7" t="n">
        <v>3</v>
      </c>
      <c r="F1338" s="7" t="s">
        <v>6785</v>
      </c>
      <c r="G1338" s="12" t="str">
        <f aca="false">IFERROR(INDEX('Semrush Data'!$A$1:$Z$20000,MATCH(A1338,'Semrush Data'!$A$1:$A$20000,0),MATCH("Volume",'Semrush Data'!$A$1:$Z$1,0)),"")</f>
        <v/>
      </c>
      <c r="H1338" s="7" t="str">
        <f aca="false">IFERROR(INDEX('Semrush Data'!$A$1:$Z$20000,MATCH(A1338,'Semrush Data'!$A$1:$A$20000,0),MATCH("Keyword Difficulty*",'Semrush Data'!$A$1:$Z$1,0)),"")</f>
        <v/>
      </c>
      <c r="I1338" s="13" t="str">
        <f aca="false">IFERROR(INDEX('Semrush Data'!$A$1:$Z$20000,MATCH(A1338,'Semrush Data'!$A$1:$A$20000,0),MATCH("CPC*",'Semrush Data'!$A$1:$Z$1,0)),"")</f>
        <v/>
      </c>
      <c r="J1338" s="7" t="str">
        <f aca="false">IFERROR(INDEX('Semrush Data'!$A$1:$Z$20000,MATCH(A1338,'Semrush Data'!$A$1:$A$20000,0),MATCH("Intent",'Semrush Data'!$A$1:$Z$1,0)),"")</f>
        <v/>
      </c>
    </row>
    <row r="1339" customFormat="false" ht="15" hidden="false" customHeight="true" outlineLevel="0" collapsed="false">
      <c r="A1339" s="7" t="s">
        <v>2722</v>
      </c>
      <c r="B1339" s="7" t="s">
        <v>6817</v>
      </c>
      <c r="C1339" s="7" t="n">
        <v>2</v>
      </c>
      <c r="D1339" s="7" t="n">
        <v>14</v>
      </c>
      <c r="E1339" s="7" t="n">
        <v>3</v>
      </c>
      <c r="F1339" s="7" t="s">
        <v>6786</v>
      </c>
      <c r="G1339" s="12" t="str">
        <f aca="false">IFERROR(INDEX('Semrush Data'!$A$1:$Z$20000,MATCH(A1339,'Semrush Data'!$A$1:$A$20000,0),MATCH("Volume",'Semrush Data'!$A$1:$Z$1,0)),"")</f>
        <v/>
      </c>
      <c r="H1339" s="7" t="str">
        <f aca="false">IFERROR(INDEX('Semrush Data'!$A$1:$Z$20000,MATCH(A1339,'Semrush Data'!$A$1:$A$20000,0),MATCH("Keyword Difficulty*",'Semrush Data'!$A$1:$Z$1,0)),"")</f>
        <v/>
      </c>
      <c r="I1339" s="13" t="str">
        <f aca="false">IFERROR(INDEX('Semrush Data'!$A$1:$Z$20000,MATCH(A1339,'Semrush Data'!$A$1:$A$20000,0),MATCH("CPC*",'Semrush Data'!$A$1:$Z$1,0)),"")</f>
        <v/>
      </c>
      <c r="J1339" s="7" t="str">
        <f aca="false">IFERROR(INDEX('Semrush Data'!$A$1:$Z$20000,MATCH(A1339,'Semrush Data'!$A$1:$A$20000,0),MATCH("Intent",'Semrush Data'!$A$1:$Z$1,0)),"")</f>
        <v/>
      </c>
    </row>
    <row r="1340" customFormat="false" ht="15" hidden="false" customHeight="true" outlineLevel="0" collapsed="false">
      <c r="A1340" s="7" t="s">
        <v>2734</v>
      </c>
      <c r="B1340" s="7" t="s">
        <v>6817</v>
      </c>
      <c r="C1340" s="7" t="n">
        <v>2</v>
      </c>
      <c r="D1340" s="7" t="n">
        <v>14</v>
      </c>
      <c r="E1340" s="7" t="n">
        <v>3</v>
      </c>
      <c r="F1340" s="7" t="s">
        <v>6787</v>
      </c>
      <c r="G1340" s="12" t="str">
        <f aca="false">IFERROR(INDEX('Semrush Data'!$A$1:$Z$20000,MATCH(A1340,'Semrush Data'!$A$1:$A$20000,0),MATCH("Volume",'Semrush Data'!$A$1:$Z$1,0)),"")</f>
        <v/>
      </c>
      <c r="H1340" s="7" t="str">
        <f aca="false">IFERROR(INDEX('Semrush Data'!$A$1:$Z$20000,MATCH(A1340,'Semrush Data'!$A$1:$A$20000,0),MATCH("Keyword Difficulty*",'Semrush Data'!$A$1:$Z$1,0)),"")</f>
        <v/>
      </c>
      <c r="I1340" s="13" t="str">
        <f aca="false">IFERROR(INDEX('Semrush Data'!$A$1:$Z$20000,MATCH(A1340,'Semrush Data'!$A$1:$A$20000,0),MATCH("CPC*",'Semrush Data'!$A$1:$Z$1,0)),"")</f>
        <v/>
      </c>
      <c r="J1340" s="7" t="str">
        <f aca="false">IFERROR(INDEX('Semrush Data'!$A$1:$Z$20000,MATCH(A1340,'Semrush Data'!$A$1:$A$20000,0),MATCH("Intent",'Semrush Data'!$A$1:$Z$1,0)),"")</f>
        <v/>
      </c>
    </row>
    <row r="1341" customFormat="false" ht="15" hidden="false" customHeight="true" outlineLevel="0" collapsed="false">
      <c r="A1341" s="7" t="s">
        <v>2747</v>
      </c>
      <c r="B1341" s="7" t="s">
        <v>6817</v>
      </c>
      <c r="C1341" s="7" t="n">
        <v>2</v>
      </c>
      <c r="D1341" s="7" t="n">
        <v>14</v>
      </c>
      <c r="E1341" s="7" t="n">
        <v>4</v>
      </c>
      <c r="F1341" s="7" t="s">
        <v>6788</v>
      </c>
      <c r="G1341" s="12" t="str">
        <f aca="false">IFERROR(INDEX('Semrush Data'!$A$1:$Z$20000,MATCH(A1341,'Semrush Data'!$A$1:$A$20000,0),MATCH("Volume",'Semrush Data'!$A$1:$Z$1,0)),"")</f>
        <v/>
      </c>
      <c r="H1341" s="7" t="str">
        <f aca="false">IFERROR(INDEX('Semrush Data'!$A$1:$Z$20000,MATCH(A1341,'Semrush Data'!$A$1:$A$20000,0),MATCH("Keyword Difficulty*",'Semrush Data'!$A$1:$Z$1,0)),"")</f>
        <v/>
      </c>
      <c r="I1341" s="13" t="str">
        <f aca="false">IFERROR(INDEX('Semrush Data'!$A$1:$Z$20000,MATCH(A1341,'Semrush Data'!$A$1:$A$20000,0),MATCH("CPC*",'Semrush Data'!$A$1:$Z$1,0)),"")</f>
        <v/>
      </c>
      <c r="J1341" s="7" t="str">
        <f aca="false">IFERROR(INDEX('Semrush Data'!$A$1:$Z$20000,MATCH(A1341,'Semrush Data'!$A$1:$A$20000,0),MATCH("Intent",'Semrush Data'!$A$1:$Z$1,0)),"")</f>
        <v/>
      </c>
    </row>
    <row r="1342" customFormat="false" ht="15" hidden="false" customHeight="true" outlineLevel="0" collapsed="false">
      <c r="A1342" s="7" t="s">
        <v>2764</v>
      </c>
      <c r="B1342" s="7" t="s">
        <v>6817</v>
      </c>
      <c r="C1342" s="7" t="n">
        <v>2</v>
      </c>
      <c r="D1342" s="7" t="s">
        <v>6815</v>
      </c>
      <c r="E1342" s="7" t="n">
        <v>1</v>
      </c>
      <c r="F1342" s="7" t="s">
        <v>136</v>
      </c>
      <c r="G1342" s="12" t="n">
        <f aca="false">IFERROR(INDEX('Semrush Data'!$A$1:$Z$20000,MATCH(A1342,'Semrush Data'!$A$1:$A$20000,0),MATCH("Volume",'Semrush Data'!$A$1:$Z$1,0)),"")</f>
        <v>20</v>
      </c>
      <c r="H1342" s="7" t="n">
        <f aca="false">IFERROR(INDEX('Semrush Data'!$A$1:$Z$20000,MATCH(A1342,'Semrush Data'!$A$1:$A$20000,0),MATCH("Keyword Difficulty*",'Semrush Data'!$A$1:$Z$1,0)),"")</f>
        <v>20</v>
      </c>
      <c r="I1342" s="13" t="n">
        <f aca="false">IFERROR(INDEX('Semrush Data'!$A$1:$Z$20000,MATCH(A1342,'Semrush Data'!$A$1:$A$20000,0),MATCH("CPC*",'Semrush Data'!$A$1:$Z$1,0)),"")</f>
        <v>0</v>
      </c>
      <c r="J1342" s="7" t="str">
        <f aca="false">IFERROR(INDEX('Semrush Data'!$A$1:$Z$20000,MATCH(A1342,'Semrush Data'!$A$1:$A$20000,0),MATCH("Intent",'Semrush Data'!$A$1:$Z$1,0)),"")</f>
        <v>Informational</v>
      </c>
    </row>
    <row r="1343" customFormat="false" ht="15" hidden="false" customHeight="true" outlineLevel="0" collapsed="false">
      <c r="A1343" s="7" t="s">
        <v>2779</v>
      </c>
      <c r="B1343" s="7" t="s">
        <v>6817</v>
      </c>
      <c r="C1343" s="7" t="n">
        <v>2</v>
      </c>
      <c r="D1343" s="7" t="n">
        <v>14</v>
      </c>
      <c r="E1343" s="7" t="n">
        <v>1</v>
      </c>
      <c r="F1343" s="7" t="s">
        <v>2770</v>
      </c>
      <c r="G1343" s="12" t="str">
        <f aca="false">IFERROR(INDEX('Semrush Data'!$A$1:$Z$20000,MATCH(A1343,'Semrush Data'!$A$1:$A$20000,0),MATCH("Volume",'Semrush Data'!$A$1:$Z$1,0)),"")</f>
        <v/>
      </c>
      <c r="H1343" s="7" t="str">
        <f aca="false">IFERROR(INDEX('Semrush Data'!$A$1:$Z$20000,MATCH(A1343,'Semrush Data'!$A$1:$A$20000,0),MATCH("Keyword Difficulty*",'Semrush Data'!$A$1:$Z$1,0)),"")</f>
        <v/>
      </c>
      <c r="I1343" s="13" t="str">
        <f aca="false">IFERROR(INDEX('Semrush Data'!$A$1:$Z$20000,MATCH(A1343,'Semrush Data'!$A$1:$A$20000,0),MATCH("CPC*",'Semrush Data'!$A$1:$Z$1,0)),"")</f>
        <v/>
      </c>
      <c r="J1343" s="7" t="str">
        <f aca="false">IFERROR(INDEX('Semrush Data'!$A$1:$Z$20000,MATCH(A1343,'Semrush Data'!$A$1:$A$20000,0),MATCH("Intent",'Semrush Data'!$A$1:$Z$1,0)),"")</f>
        <v/>
      </c>
    </row>
    <row r="1344" customFormat="false" ht="15" hidden="false" customHeight="true" outlineLevel="0" collapsed="false">
      <c r="A1344" s="7" t="s">
        <v>2790</v>
      </c>
      <c r="B1344" s="7" t="s">
        <v>6817</v>
      </c>
      <c r="C1344" s="7" t="n">
        <v>2</v>
      </c>
      <c r="D1344" s="7" t="n">
        <v>14</v>
      </c>
      <c r="E1344" s="7" t="n">
        <v>1</v>
      </c>
      <c r="F1344" s="7" t="s">
        <v>2784</v>
      </c>
      <c r="G1344" s="12" t="str">
        <f aca="false">IFERROR(INDEX('Semrush Data'!$A$1:$Z$20000,MATCH(A1344,'Semrush Data'!$A$1:$A$20000,0),MATCH("Volume",'Semrush Data'!$A$1:$Z$1,0)),"")</f>
        <v/>
      </c>
      <c r="H1344" s="7" t="str">
        <f aca="false">IFERROR(INDEX('Semrush Data'!$A$1:$Z$20000,MATCH(A1344,'Semrush Data'!$A$1:$A$20000,0),MATCH("Keyword Difficulty*",'Semrush Data'!$A$1:$Z$1,0)),"")</f>
        <v/>
      </c>
      <c r="I1344" s="13" t="str">
        <f aca="false">IFERROR(INDEX('Semrush Data'!$A$1:$Z$20000,MATCH(A1344,'Semrush Data'!$A$1:$A$20000,0),MATCH("CPC*",'Semrush Data'!$A$1:$Z$1,0)),"")</f>
        <v/>
      </c>
      <c r="J1344" s="7" t="str">
        <f aca="false">IFERROR(INDEX('Semrush Data'!$A$1:$Z$20000,MATCH(A1344,'Semrush Data'!$A$1:$A$20000,0),MATCH("Intent",'Semrush Data'!$A$1:$Z$1,0)),"")</f>
        <v/>
      </c>
    </row>
    <row r="1345" customFormat="false" ht="15" hidden="false" customHeight="true" outlineLevel="0" collapsed="false">
      <c r="A1345" s="7" t="s">
        <v>2801</v>
      </c>
      <c r="B1345" s="7" t="s">
        <v>6817</v>
      </c>
      <c r="C1345" s="7" t="n">
        <v>2</v>
      </c>
      <c r="D1345" s="7" t="n">
        <v>14</v>
      </c>
      <c r="E1345" s="7" t="n">
        <v>1</v>
      </c>
      <c r="F1345" s="7" t="s">
        <v>2795</v>
      </c>
      <c r="G1345" s="12" t="str">
        <f aca="false">IFERROR(INDEX('Semrush Data'!$A$1:$Z$20000,MATCH(A1345,'Semrush Data'!$A$1:$A$20000,0),MATCH("Volume",'Semrush Data'!$A$1:$Z$1,0)),"")</f>
        <v/>
      </c>
      <c r="H1345" s="7" t="str">
        <f aca="false">IFERROR(INDEX('Semrush Data'!$A$1:$Z$20000,MATCH(A1345,'Semrush Data'!$A$1:$A$20000,0),MATCH("Keyword Difficulty*",'Semrush Data'!$A$1:$Z$1,0)),"")</f>
        <v/>
      </c>
      <c r="I1345" s="13" t="str">
        <f aca="false">IFERROR(INDEX('Semrush Data'!$A$1:$Z$20000,MATCH(A1345,'Semrush Data'!$A$1:$A$20000,0),MATCH("CPC*",'Semrush Data'!$A$1:$Z$1,0)),"")</f>
        <v/>
      </c>
      <c r="J1345" s="7" t="str">
        <f aca="false">IFERROR(INDEX('Semrush Data'!$A$1:$Z$20000,MATCH(A1345,'Semrush Data'!$A$1:$A$20000,0),MATCH("Intent",'Semrush Data'!$A$1:$Z$1,0)),"")</f>
        <v/>
      </c>
    </row>
    <row r="1346" customFormat="false" ht="15" hidden="false" customHeight="true" outlineLevel="0" collapsed="false">
      <c r="A1346" s="7" t="s">
        <v>2814</v>
      </c>
      <c r="B1346" s="7" t="s">
        <v>6817</v>
      </c>
      <c r="C1346" s="7" t="n">
        <v>2</v>
      </c>
      <c r="D1346" s="7" t="n">
        <v>14</v>
      </c>
      <c r="E1346" s="7" t="n">
        <v>1</v>
      </c>
      <c r="F1346" s="7" t="s">
        <v>2807</v>
      </c>
      <c r="G1346" s="12" t="str">
        <f aca="false">IFERROR(INDEX('Semrush Data'!$A$1:$Z$20000,MATCH(A1346,'Semrush Data'!$A$1:$A$20000,0),MATCH("Volume",'Semrush Data'!$A$1:$Z$1,0)),"")</f>
        <v/>
      </c>
      <c r="H1346" s="7" t="str">
        <f aca="false">IFERROR(INDEX('Semrush Data'!$A$1:$Z$20000,MATCH(A1346,'Semrush Data'!$A$1:$A$20000,0),MATCH("Keyword Difficulty*",'Semrush Data'!$A$1:$Z$1,0)),"")</f>
        <v/>
      </c>
      <c r="I1346" s="13" t="str">
        <f aca="false">IFERROR(INDEX('Semrush Data'!$A$1:$Z$20000,MATCH(A1346,'Semrush Data'!$A$1:$A$20000,0),MATCH("CPC*",'Semrush Data'!$A$1:$Z$1,0)),"")</f>
        <v/>
      </c>
      <c r="J1346" s="7" t="str">
        <f aca="false">IFERROR(INDEX('Semrush Data'!$A$1:$Z$20000,MATCH(A1346,'Semrush Data'!$A$1:$A$20000,0),MATCH("Intent",'Semrush Data'!$A$1:$Z$1,0)),"")</f>
        <v/>
      </c>
    </row>
    <row r="1347" customFormat="false" ht="15" hidden="false" customHeight="true" outlineLevel="0" collapsed="false">
      <c r="A1347" s="7" t="s">
        <v>2826</v>
      </c>
      <c r="B1347" s="7" t="s">
        <v>6817</v>
      </c>
      <c r="C1347" s="7" t="n">
        <v>2</v>
      </c>
      <c r="D1347" s="7" t="n">
        <v>14</v>
      </c>
      <c r="E1347" s="7" t="n">
        <v>1</v>
      </c>
      <c r="F1347" s="7" t="s">
        <v>2820</v>
      </c>
      <c r="G1347" s="12" t="str">
        <f aca="false">IFERROR(INDEX('Semrush Data'!$A$1:$Z$20000,MATCH(A1347,'Semrush Data'!$A$1:$A$20000,0),MATCH("Volume",'Semrush Data'!$A$1:$Z$1,0)),"")</f>
        <v/>
      </c>
      <c r="H1347" s="7" t="str">
        <f aca="false">IFERROR(INDEX('Semrush Data'!$A$1:$Z$20000,MATCH(A1347,'Semrush Data'!$A$1:$A$20000,0),MATCH("Keyword Difficulty*",'Semrush Data'!$A$1:$Z$1,0)),"")</f>
        <v/>
      </c>
      <c r="I1347" s="13" t="str">
        <f aca="false">IFERROR(INDEX('Semrush Data'!$A$1:$Z$20000,MATCH(A1347,'Semrush Data'!$A$1:$A$20000,0),MATCH("CPC*",'Semrush Data'!$A$1:$Z$1,0)),"")</f>
        <v/>
      </c>
      <c r="J1347" s="7" t="str">
        <f aca="false">IFERROR(INDEX('Semrush Data'!$A$1:$Z$20000,MATCH(A1347,'Semrush Data'!$A$1:$A$20000,0),MATCH("Intent",'Semrush Data'!$A$1:$Z$1,0)),"")</f>
        <v/>
      </c>
    </row>
    <row r="1348" customFormat="false" ht="15" hidden="false" customHeight="true" outlineLevel="0" collapsed="false">
      <c r="A1348" s="7" t="s">
        <v>2838</v>
      </c>
      <c r="B1348" s="7" t="s">
        <v>6817</v>
      </c>
      <c r="C1348" s="7" t="n">
        <v>2</v>
      </c>
      <c r="D1348" s="7" t="n">
        <v>14</v>
      </c>
      <c r="E1348" s="7" t="n">
        <v>1</v>
      </c>
      <c r="F1348" s="7" t="s">
        <v>2831</v>
      </c>
      <c r="G1348" s="12" t="str">
        <f aca="false">IFERROR(INDEX('Semrush Data'!$A$1:$Z$20000,MATCH(A1348,'Semrush Data'!$A$1:$A$20000,0),MATCH("Volume",'Semrush Data'!$A$1:$Z$1,0)),"")</f>
        <v/>
      </c>
      <c r="H1348" s="7" t="str">
        <f aca="false">IFERROR(INDEX('Semrush Data'!$A$1:$Z$20000,MATCH(A1348,'Semrush Data'!$A$1:$A$20000,0),MATCH("Keyword Difficulty*",'Semrush Data'!$A$1:$Z$1,0)),"")</f>
        <v/>
      </c>
      <c r="I1348" s="13" t="str">
        <f aca="false">IFERROR(INDEX('Semrush Data'!$A$1:$Z$20000,MATCH(A1348,'Semrush Data'!$A$1:$A$20000,0),MATCH("CPC*",'Semrush Data'!$A$1:$Z$1,0)),"")</f>
        <v/>
      </c>
      <c r="J1348" s="7" t="str">
        <f aca="false">IFERROR(INDEX('Semrush Data'!$A$1:$Z$20000,MATCH(A1348,'Semrush Data'!$A$1:$A$20000,0),MATCH("Intent",'Semrush Data'!$A$1:$Z$1,0)),"")</f>
        <v/>
      </c>
    </row>
    <row r="1349" customFormat="false" ht="15" hidden="false" customHeight="true" outlineLevel="0" collapsed="false">
      <c r="A1349" s="7" t="s">
        <v>2851</v>
      </c>
      <c r="B1349" s="7" t="s">
        <v>6817</v>
      </c>
      <c r="C1349" s="7" t="n">
        <v>2</v>
      </c>
      <c r="D1349" s="7" t="n">
        <v>14</v>
      </c>
      <c r="E1349" s="7" t="n">
        <v>1</v>
      </c>
      <c r="F1349" s="7" t="s">
        <v>2844</v>
      </c>
      <c r="G1349" s="12" t="str">
        <f aca="false">IFERROR(INDEX('Semrush Data'!$A$1:$Z$20000,MATCH(A1349,'Semrush Data'!$A$1:$A$20000,0),MATCH("Volume",'Semrush Data'!$A$1:$Z$1,0)),"")</f>
        <v/>
      </c>
      <c r="H1349" s="7" t="str">
        <f aca="false">IFERROR(INDEX('Semrush Data'!$A$1:$Z$20000,MATCH(A1349,'Semrush Data'!$A$1:$A$20000,0),MATCH("Keyword Difficulty*",'Semrush Data'!$A$1:$Z$1,0)),"")</f>
        <v/>
      </c>
      <c r="I1349" s="13" t="str">
        <f aca="false">IFERROR(INDEX('Semrush Data'!$A$1:$Z$20000,MATCH(A1349,'Semrush Data'!$A$1:$A$20000,0),MATCH("CPC*",'Semrush Data'!$A$1:$Z$1,0)),"")</f>
        <v/>
      </c>
      <c r="J1349" s="7" t="str">
        <f aca="false">IFERROR(INDEX('Semrush Data'!$A$1:$Z$20000,MATCH(A1349,'Semrush Data'!$A$1:$A$20000,0),MATCH("Intent",'Semrush Data'!$A$1:$Z$1,0)),"")</f>
        <v/>
      </c>
    </row>
    <row r="1350" customFormat="false" ht="15" hidden="false" customHeight="true" outlineLevel="0" collapsed="false">
      <c r="A1350" s="7" t="s">
        <v>2864</v>
      </c>
      <c r="B1350" s="7" t="s">
        <v>6817</v>
      </c>
      <c r="C1350" s="7" t="n">
        <v>2</v>
      </c>
      <c r="D1350" s="7" t="s">
        <v>6816</v>
      </c>
      <c r="E1350" s="7" t="n">
        <v>1</v>
      </c>
      <c r="F1350" s="7" t="s">
        <v>2857</v>
      </c>
      <c r="G1350" s="12" t="n">
        <f aca="false">IFERROR(INDEX('Semrush Data'!$A$1:$Z$20000,MATCH(A1350,'Semrush Data'!$A$1:$A$20000,0),MATCH("Volume",'Semrush Data'!$A$1:$Z$1,0)),"")</f>
        <v>20</v>
      </c>
      <c r="H1350" s="7" t="n">
        <f aca="false">IFERROR(INDEX('Semrush Data'!$A$1:$Z$20000,MATCH(A1350,'Semrush Data'!$A$1:$A$20000,0),MATCH("Keyword Difficulty*",'Semrush Data'!$A$1:$Z$1,0)),"")</f>
        <v>13</v>
      </c>
      <c r="I1350" s="13" t="n">
        <f aca="false">IFERROR(INDEX('Semrush Data'!$A$1:$Z$20000,MATCH(A1350,'Semrush Data'!$A$1:$A$20000,0),MATCH("CPC*",'Semrush Data'!$A$1:$Z$1,0)),"")</f>
        <v>0</v>
      </c>
      <c r="J1350" s="7" t="str">
        <f aca="false">IFERROR(INDEX('Semrush Data'!$A$1:$Z$20000,MATCH(A1350,'Semrush Data'!$A$1:$A$20000,0),MATCH("Intent",'Semrush Data'!$A$1:$Z$1,0)),"")</f>
        <v>Informational</v>
      </c>
    </row>
    <row r="1351" customFormat="false" ht="15" hidden="false" customHeight="true" outlineLevel="0" collapsed="false">
      <c r="A1351" s="7" t="s">
        <v>2902</v>
      </c>
      <c r="B1351" s="7" t="s">
        <v>6817</v>
      </c>
      <c r="C1351" s="7" t="n">
        <v>2</v>
      </c>
      <c r="D1351" s="7" t="s">
        <v>6816</v>
      </c>
      <c r="E1351" s="7" t="n">
        <v>1</v>
      </c>
      <c r="F1351" s="7" t="s">
        <v>2896</v>
      </c>
      <c r="G1351" s="12" t="n">
        <f aca="false">IFERROR(INDEX('Semrush Data'!$A$1:$Z$20000,MATCH(A1351,'Semrush Data'!$A$1:$A$20000,0),MATCH("Volume",'Semrush Data'!$A$1:$Z$1,0)),"")</f>
        <v>20</v>
      </c>
      <c r="H1351" s="7" t="n">
        <f aca="false">IFERROR(INDEX('Semrush Data'!$A$1:$Z$20000,MATCH(A1351,'Semrush Data'!$A$1:$A$20000,0),MATCH("Keyword Difficulty*",'Semrush Data'!$A$1:$Z$1,0)),"")</f>
        <v>18</v>
      </c>
      <c r="I1351" s="13" t="n">
        <f aca="false">IFERROR(INDEX('Semrush Data'!$A$1:$Z$20000,MATCH(A1351,'Semrush Data'!$A$1:$A$20000,0),MATCH("CPC*",'Semrush Data'!$A$1:$Z$1,0)),"")</f>
        <v>0</v>
      </c>
      <c r="J1351" s="7" t="str">
        <f aca="false">IFERROR(INDEX('Semrush Data'!$A$1:$Z$20000,MATCH(A1351,'Semrush Data'!$A$1:$A$20000,0),MATCH("Intent",'Semrush Data'!$A$1:$Z$1,0)),"")</f>
        <v>Informational Transactional</v>
      </c>
    </row>
    <row r="1352" customFormat="false" ht="15" hidden="false" customHeight="true" outlineLevel="0" collapsed="false">
      <c r="A1352" s="7" t="s">
        <v>2937</v>
      </c>
      <c r="B1352" s="7" t="s">
        <v>6817</v>
      </c>
      <c r="C1352" s="7" t="n">
        <v>2</v>
      </c>
      <c r="D1352" s="7" t="s">
        <v>6815</v>
      </c>
      <c r="E1352" s="7" t="n">
        <v>1</v>
      </c>
      <c r="F1352" s="7" t="s">
        <v>84</v>
      </c>
      <c r="G1352" s="12" t="n">
        <f aca="false">IFERROR(INDEX('Semrush Data'!$A$1:$Z$20000,MATCH(A1352,'Semrush Data'!$A$1:$A$20000,0),MATCH("Volume",'Semrush Data'!$A$1:$Z$1,0)),"")</f>
        <v>20</v>
      </c>
      <c r="H1352" s="7" t="n">
        <f aca="false">IFERROR(INDEX('Semrush Data'!$A$1:$Z$20000,MATCH(A1352,'Semrush Data'!$A$1:$A$20000,0),MATCH("Keyword Difficulty*",'Semrush Data'!$A$1:$Z$1,0)),"")</f>
        <v>16</v>
      </c>
      <c r="I1352" s="13" t="n">
        <f aca="false">IFERROR(INDEX('Semrush Data'!$A$1:$Z$20000,MATCH(A1352,'Semrush Data'!$A$1:$A$20000,0),MATCH("CPC*",'Semrush Data'!$A$1:$Z$1,0)),"")</f>
        <v>0</v>
      </c>
      <c r="J1352" s="7" t="str">
        <f aca="false">IFERROR(INDEX('Semrush Data'!$A$1:$Z$20000,MATCH(A1352,'Semrush Data'!$A$1:$A$20000,0),MATCH("Intent",'Semrush Data'!$A$1:$Z$1,0)),"")</f>
        <v>Informational</v>
      </c>
    </row>
    <row r="1353" customFormat="false" ht="15" hidden="false" customHeight="true" outlineLevel="0" collapsed="false">
      <c r="A1353" s="7" t="s">
        <v>2924</v>
      </c>
      <c r="B1353" s="7" t="s">
        <v>6817</v>
      </c>
      <c r="C1353" s="7" t="n">
        <v>2</v>
      </c>
      <c r="D1353" s="7" t="n">
        <v>14</v>
      </c>
      <c r="E1353" s="7" t="n">
        <v>2</v>
      </c>
      <c r="F1353" s="7" t="s">
        <v>6789</v>
      </c>
      <c r="G1353" s="12" t="str">
        <f aca="false">IFERROR(INDEX('Semrush Data'!$A$1:$Z$20000,MATCH(A1353,'Semrush Data'!$A$1:$A$20000,0),MATCH("Volume",'Semrush Data'!$A$1:$Z$1,0)),"")</f>
        <v/>
      </c>
      <c r="H1353" s="7" t="str">
        <f aca="false">IFERROR(INDEX('Semrush Data'!$A$1:$Z$20000,MATCH(A1353,'Semrush Data'!$A$1:$A$20000,0),MATCH("Keyword Difficulty*",'Semrush Data'!$A$1:$Z$1,0)),"")</f>
        <v/>
      </c>
      <c r="I1353" s="13" t="str">
        <f aca="false">IFERROR(INDEX('Semrush Data'!$A$1:$Z$20000,MATCH(A1353,'Semrush Data'!$A$1:$A$20000,0),MATCH("CPC*",'Semrush Data'!$A$1:$Z$1,0)),"")</f>
        <v/>
      </c>
      <c r="J1353" s="7" t="str">
        <f aca="false">IFERROR(INDEX('Semrush Data'!$A$1:$Z$20000,MATCH(A1353,'Semrush Data'!$A$1:$A$20000,0),MATCH("Intent",'Semrush Data'!$A$1:$Z$1,0)),"")</f>
        <v/>
      </c>
    </row>
    <row r="1354" customFormat="false" ht="15" hidden="false" customHeight="true" outlineLevel="0" collapsed="false">
      <c r="A1354" s="7" t="s">
        <v>2981</v>
      </c>
      <c r="B1354" s="7" t="s">
        <v>6817</v>
      </c>
      <c r="C1354" s="7" t="n">
        <v>2</v>
      </c>
      <c r="D1354" s="7" t="n">
        <v>14</v>
      </c>
      <c r="E1354" s="7" t="n">
        <v>1</v>
      </c>
      <c r="F1354" s="7" t="s">
        <v>2973</v>
      </c>
      <c r="G1354" s="12" t="str">
        <f aca="false">IFERROR(INDEX('Semrush Data'!$A$1:$Z$20000,MATCH(A1354,'Semrush Data'!$A$1:$A$20000,0),MATCH("Volume",'Semrush Data'!$A$1:$Z$1,0)),"")</f>
        <v/>
      </c>
      <c r="H1354" s="7" t="str">
        <f aca="false">IFERROR(INDEX('Semrush Data'!$A$1:$Z$20000,MATCH(A1354,'Semrush Data'!$A$1:$A$20000,0),MATCH("Keyword Difficulty*",'Semrush Data'!$A$1:$Z$1,0)),"")</f>
        <v/>
      </c>
      <c r="I1354" s="13" t="str">
        <f aca="false">IFERROR(INDEX('Semrush Data'!$A$1:$Z$20000,MATCH(A1354,'Semrush Data'!$A$1:$A$20000,0),MATCH("CPC*",'Semrush Data'!$A$1:$Z$1,0)),"")</f>
        <v/>
      </c>
      <c r="J1354" s="7" t="str">
        <f aca="false">IFERROR(INDEX('Semrush Data'!$A$1:$Z$20000,MATCH(A1354,'Semrush Data'!$A$1:$A$20000,0),MATCH("Intent",'Semrush Data'!$A$1:$Z$1,0)),"")</f>
        <v/>
      </c>
    </row>
    <row r="1355" customFormat="false" ht="15" hidden="false" customHeight="true" outlineLevel="0" collapsed="false">
      <c r="A1355" s="7" t="s">
        <v>2890</v>
      </c>
      <c r="B1355" s="7" t="s">
        <v>6817</v>
      </c>
      <c r="C1355" s="7" t="n">
        <v>2</v>
      </c>
      <c r="D1355" s="7" t="s">
        <v>6816</v>
      </c>
      <c r="E1355" s="7" t="n">
        <v>1</v>
      </c>
      <c r="F1355" s="7" t="s">
        <v>2884</v>
      </c>
      <c r="G1355" s="12" t="n">
        <f aca="false">IFERROR(INDEX('Semrush Data'!$A$1:$Z$20000,MATCH(A1355,'Semrush Data'!$A$1:$A$20000,0),MATCH("Volume",'Semrush Data'!$A$1:$Z$1,0)),"")</f>
        <v>20</v>
      </c>
      <c r="H1355" s="7" t="n">
        <f aca="false">IFERROR(INDEX('Semrush Data'!$A$1:$Z$20000,MATCH(A1355,'Semrush Data'!$A$1:$A$20000,0),MATCH("Keyword Difficulty*",'Semrush Data'!$A$1:$Z$1,0)),"")</f>
        <v>20</v>
      </c>
      <c r="I1355" s="13" t="n">
        <f aca="false">IFERROR(INDEX('Semrush Data'!$A$1:$Z$20000,MATCH(A1355,'Semrush Data'!$A$1:$A$20000,0),MATCH("CPC*",'Semrush Data'!$A$1:$Z$1,0)),"")</f>
        <v>0</v>
      </c>
      <c r="J1355" s="7" t="str">
        <f aca="false">IFERROR(INDEX('Semrush Data'!$A$1:$Z$20000,MATCH(A1355,'Semrush Data'!$A$1:$A$20000,0),MATCH("Intent",'Semrush Data'!$A$1:$Z$1,0)),"")</f>
        <v>Informational Transactional</v>
      </c>
    </row>
    <row r="1356" customFormat="false" ht="15" hidden="false" customHeight="true" outlineLevel="0" collapsed="false">
      <c r="A1356" s="7" t="s">
        <v>2948</v>
      </c>
      <c r="B1356" s="7" t="s">
        <v>6817</v>
      </c>
      <c r="C1356" s="7" t="n">
        <v>2</v>
      </c>
      <c r="D1356" s="7" t="n">
        <v>14</v>
      </c>
      <c r="E1356" s="7" t="n">
        <v>1</v>
      </c>
      <c r="F1356" s="7" t="s">
        <v>2942</v>
      </c>
      <c r="G1356" s="12" t="str">
        <f aca="false">IFERROR(INDEX('Semrush Data'!$A$1:$Z$20000,MATCH(A1356,'Semrush Data'!$A$1:$A$20000,0),MATCH("Volume",'Semrush Data'!$A$1:$Z$1,0)),"")</f>
        <v/>
      </c>
      <c r="H1356" s="7" t="str">
        <f aca="false">IFERROR(INDEX('Semrush Data'!$A$1:$Z$20000,MATCH(A1356,'Semrush Data'!$A$1:$A$20000,0),MATCH("Keyword Difficulty*",'Semrush Data'!$A$1:$Z$1,0)),"")</f>
        <v/>
      </c>
      <c r="I1356" s="13" t="str">
        <f aca="false">IFERROR(INDEX('Semrush Data'!$A$1:$Z$20000,MATCH(A1356,'Semrush Data'!$A$1:$A$20000,0),MATCH("CPC*",'Semrush Data'!$A$1:$Z$1,0)),"")</f>
        <v/>
      </c>
      <c r="J1356" s="7" t="str">
        <f aca="false">IFERROR(INDEX('Semrush Data'!$A$1:$Z$20000,MATCH(A1356,'Semrush Data'!$A$1:$A$20000,0),MATCH("Intent",'Semrush Data'!$A$1:$Z$1,0)),"")</f>
        <v/>
      </c>
    </row>
    <row r="1357" customFormat="false" ht="15" hidden="false" customHeight="true" outlineLevel="0" collapsed="false">
      <c r="A1357" s="7" t="s">
        <v>2959</v>
      </c>
      <c r="B1357" s="7" t="s">
        <v>6817</v>
      </c>
      <c r="C1357" s="7" t="n">
        <v>2</v>
      </c>
      <c r="D1357" s="7" t="n">
        <v>14</v>
      </c>
      <c r="E1357" s="7" t="n">
        <v>1</v>
      </c>
      <c r="F1357" s="7" t="s">
        <v>2953</v>
      </c>
      <c r="G1357" s="12" t="str">
        <f aca="false">IFERROR(INDEX('Semrush Data'!$A$1:$Z$20000,MATCH(A1357,'Semrush Data'!$A$1:$A$20000,0),MATCH("Volume",'Semrush Data'!$A$1:$Z$1,0)),"")</f>
        <v/>
      </c>
      <c r="H1357" s="7" t="str">
        <f aca="false">IFERROR(INDEX('Semrush Data'!$A$1:$Z$20000,MATCH(A1357,'Semrush Data'!$A$1:$A$20000,0),MATCH("Keyword Difficulty*",'Semrush Data'!$A$1:$Z$1,0)),"")</f>
        <v/>
      </c>
      <c r="I1357" s="13" t="str">
        <f aca="false">IFERROR(INDEX('Semrush Data'!$A$1:$Z$20000,MATCH(A1357,'Semrush Data'!$A$1:$A$20000,0),MATCH("CPC*",'Semrush Data'!$A$1:$Z$1,0)),"")</f>
        <v/>
      </c>
      <c r="J1357" s="7" t="str">
        <f aca="false">IFERROR(INDEX('Semrush Data'!$A$1:$Z$20000,MATCH(A1357,'Semrush Data'!$A$1:$A$20000,0),MATCH("Intent",'Semrush Data'!$A$1:$Z$1,0)),"")</f>
        <v/>
      </c>
    </row>
    <row r="1358" customFormat="false" ht="15" hidden="false" customHeight="true" outlineLevel="0" collapsed="false">
      <c r="A1358" s="7" t="s">
        <v>2913</v>
      </c>
      <c r="B1358" s="7" t="s">
        <v>6817</v>
      </c>
      <c r="C1358" s="7" t="n">
        <v>2</v>
      </c>
      <c r="D1358" s="7" t="s">
        <v>6815</v>
      </c>
      <c r="E1358" s="7" t="n">
        <v>1</v>
      </c>
      <c r="F1358" s="7" t="s">
        <v>2907</v>
      </c>
      <c r="G1358" s="12" t="n">
        <f aca="false">IFERROR(INDEX('Semrush Data'!$A$1:$Z$20000,MATCH(A1358,'Semrush Data'!$A$1:$A$20000,0),MATCH("Volume",'Semrush Data'!$A$1:$Z$1,0)),"")</f>
        <v>20</v>
      </c>
      <c r="H1358" s="7" t="n">
        <f aca="false">IFERROR(INDEX('Semrush Data'!$A$1:$Z$20000,MATCH(A1358,'Semrush Data'!$A$1:$A$20000,0),MATCH("Keyword Difficulty*",'Semrush Data'!$A$1:$Z$1,0)),"")</f>
        <v>16</v>
      </c>
      <c r="I1358" s="13" t="n">
        <f aca="false">IFERROR(INDEX('Semrush Data'!$A$1:$Z$20000,MATCH(A1358,'Semrush Data'!$A$1:$A$20000,0),MATCH("CPC*",'Semrush Data'!$A$1:$Z$1,0)),"")</f>
        <v>0</v>
      </c>
      <c r="J1358" s="7" t="str">
        <f aca="false">IFERROR(INDEX('Semrush Data'!$A$1:$Z$20000,MATCH(A1358,'Semrush Data'!$A$1:$A$20000,0),MATCH("Intent",'Semrush Data'!$A$1:$Z$1,0)),"")</f>
        <v>Transactional</v>
      </c>
    </row>
    <row r="1359" customFormat="false" ht="15" hidden="false" customHeight="true" outlineLevel="0" collapsed="false">
      <c r="A1359" s="7" t="s">
        <v>3022</v>
      </c>
      <c r="B1359" s="7" t="s">
        <v>6817</v>
      </c>
      <c r="C1359" s="7" t="n">
        <v>2</v>
      </c>
      <c r="D1359" s="7" t="s">
        <v>6815</v>
      </c>
      <c r="E1359" s="7" t="n">
        <v>2</v>
      </c>
      <c r="F1359" s="7" t="s">
        <v>6791</v>
      </c>
      <c r="G1359" s="12" t="n">
        <f aca="false">IFERROR(INDEX('Semrush Data'!$A$1:$Z$20000,MATCH(A1359,'Semrush Data'!$A$1:$A$20000,0),MATCH("Volume",'Semrush Data'!$A$1:$Z$1,0)),"")</f>
        <v>140</v>
      </c>
      <c r="H1359" s="7" t="n">
        <f aca="false">IFERROR(INDEX('Semrush Data'!$A$1:$Z$20000,MATCH(A1359,'Semrush Data'!$A$1:$A$20000,0),MATCH("Keyword Difficulty*",'Semrush Data'!$A$1:$Z$1,0)),"")</f>
        <v>15</v>
      </c>
      <c r="I1359" s="13" t="n">
        <f aca="false">IFERROR(INDEX('Semrush Data'!$A$1:$Z$20000,MATCH(A1359,'Semrush Data'!$A$1:$A$20000,0),MATCH("CPC*",'Semrush Data'!$A$1:$Z$1,0)),"")</f>
        <v>0.46</v>
      </c>
      <c r="J1359" s="7" t="str">
        <f aca="false">IFERROR(INDEX('Semrush Data'!$A$1:$Z$20000,MATCH(A1359,'Semrush Data'!$A$1:$A$20000,0),MATCH("Intent",'Semrush Data'!$A$1:$Z$1,0)),"")</f>
        <v>Informational Transactional</v>
      </c>
    </row>
    <row r="1360" customFormat="false" ht="15" hidden="false" customHeight="true" outlineLevel="0" collapsed="false">
      <c r="A1360" s="7" t="s">
        <v>2993</v>
      </c>
      <c r="B1360" s="7" t="s">
        <v>6817</v>
      </c>
      <c r="C1360" s="7" t="n">
        <v>2</v>
      </c>
      <c r="D1360" s="7" t="s">
        <v>6815</v>
      </c>
      <c r="E1360" s="7" t="n">
        <v>2</v>
      </c>
      <c r="F1360" s="7" t="s">
        <v>6790</v>
      </c>
      <c r="G1360" s="12" t="n">
        <f aca="false">IFERROR(INDEX('Semrush Data'!$A$1:$Z$20000,MATCH(A1360,'Semrush Data'!$A$1:$A$20000,0),MATCH("Volume",'Semrush Data'!$A$1:$Z$1,0)),"")</f>
        <v>30</v>
      </c>
      <c r="H1360" s="7" t="n">
        <f aca="false">IFERROR(INDEX('Semrush Data'!$A$1:$Z$20000,MATCH(A1360,'Semrush Data'!$A$1:$A$20000,0),MATCH("Keyword Difficulty*",'Semrush Data'!$A$1:$Z$1,0)),"")</f>
        <v>14</v>
      </c>
      <c r="I1360" s="13" t="n">
        <f aca="false">IFERROR(INDEX('Semrush Data'!$A$1:$Z$20000,MATCH(A1360,'Semrush Data'!$A$1:$A$20000,0),MATCH("CPC*",'Semrush Data'!$A$1:$Z$1,0)),"")</f>
        <v>0</v>
      </c>
      <c r="J1360" s="7" t="str">
        <f aca="false">IFERROR(INDEX('Semrush Data'!$A$1:$Z$20000,MATCH(A1360,'Semrush Data'!$A$1:$A$20000,0),MATCH("Intent",'Semrush Data'!$A$1:$Z$1,0)),"")</f>
        <v>Informational Transactional</v>
      </c>
    </row>
    <row r="1361" customFormat="false" ht="15" hidden="false" customHeight="true" outlineLevel="0" collapsed="false">
      <c r="A1361" s="7" t="s">
        <v>3035</v>
      </c>
      <c r="B1361" s="7" t="s">
        <v>6817</v>
      </c>
      <c r="C1361" s="7" t="n">
        <v>2</v>
      </c>
      <c r="D1361" s="7" t="s">
        <v>6815</v>
      </c>
      <c r="E1361" s="7" t="n">
        <v>1</v>
      </c>
      <c r="F1361" s="7" t="s">
        <v>76</v>
      </c>
      <c r="G1361" s="12" t="n">
        <f aca="false">IFERROR(INDEX('Semrush Data'!$A$1:$Z$20000,MATCH(A1361,'Semrush Data'!$A$1:$A$20000,0),MATCH("Volume",'Semrush Data'!$A$1:$Z$1,0)),"")</f>
        <v>110</v>
      </c>
      <c r="H1361" s="7" t="n">
        <f aca="false">IFERROR(INDEX('Semrush Data'!$A$1:$Z$20000,MATCH(A1361,'Semrush Data'!$A$1:$A$20000,0),MATCH("Keyword Difficulty*",'Semrush Data'!$A$1:$Z$1,0)),"")</f>
        <v>17</v>
      </c>
      <c r="I1361" s="13" t="n">
        <f aca="false">IFERROR(INDEX('Semrush Data'!$A$1:$Z$20000,MATCH(A1361,'Semrush Data'!$A$1:$A$20000,0),MATCH("CPC*",'Semrush Data'!$A$1:$Z$1,0)),"")</f>
        <v>0.4</v>
      </c>
      <c r="J1361" s="7" t="str">
        <f aca="false">IFERROR(INDEX('Semrush Data'!$A$1:$Z$20000,MATCH(A1361,'Semrush Data'!$A$1:$A$20000,0),MATCH("Intent",'Semrush Data'!$A$1:$Z$1,0)),"")</f>
        <v>Informational</v>
      </c>
    </row>
    <row r="1362" customFormat="false" ht="15" hidden="false" customHeight="true" outlineLevel="0" collapsed="false">
      <c r="A1362" s="7" t="s">
        <v>3058</v>
      </c>
      <c r="B1362" s="7" t="s">
        <v>6817</v>
      </c>
      <c r="C1362" s="7" t="n">
        <v>2</v>
      </c>
      <c r="D1362" s="7" t="s">
        <v>6815</v>
      </c>
      <c r="E1362" s="7" t="n">
        <v>1</v>
      </c>
      <c r="F1362" s="7" t="s">
        <v>142</v>
      </c>
      <c r="G1362" s="12" t="n">
        <f aca="false">IFERROR(INDEX('Semrush Data'!$A$1:$Z$20000,MATCH(A1362,'Semrush Data'!$A$1:$A$20000,0),MATCH("Volume",'Semrush Data'!$A$1:$Z$1,0)),"")</f>
        <v>10</v>
      </c>
      <c r="H1362" s="7" t="n">
        <f aca="false">IFERROR(INDEX('Semrush Data'!$A$1:$Z$20000,MATCH(A1362,'Semrush Data'!$A$1:$A$20000,0),MATCH("Keyword Difficulty*",'Semrush Data'!$A$1:$Z$1,0)),"")</f>
        <v>13</v>
      </c>
      <c r="I1362" s="13" t="n">
        <f aca="false">IFERROR(INDEX('Semrush Data'!$A$1:$Z$20000,MATCH(A1362,'Semrush Data'!$A$1:$A$20000,0),MATCH("CPC*",'Semrush Data'!$A$1:$Z$1,0)),"")</f>
        <v>0</v>
      </c>
      <c r="J1362" s="7" t="str">
        <f aca="false">IFERROR(INDEX('Semrush Data'!$A$1:$Z$20000,MATCH(A1362,'Semrush Data'!$A$1:$A$20000,0),MATCH("Intent",'Semrush Data'!$A$1:$Z$1,0)),"")</f>
        <v>Informational Transactional</v>
      </c>
    </row>
    <row r="1363" customFormat="false" ht="15" hidden="false" customHeight="true" outlineLevel="0" collapsed="false">
      <c r="A1363" s="7" t="s">
        <v>3047</v>
      </c>
      <c r="B1363" s="7" t="s">
        <v>6817</v>
      </c>
      <c r="C1363" s="7" t="n">
        <v>2</v>
      </c>
      <c r="D1363" s="7" t="n">
        <v>14</v>
      </c>
      <c r="E1363" s="7" t="n">
        <v>1</v>
      </c>
      <c r="F1363" s="7" t="s">
        <v>3041</v>
      </c>
      <c r="G1363" s="12" t="str">
        <f aca="false">IFERROR(INDEX('Semrush Data'!$A$1:$Z$20000,MATCH(A1363,'Semrush Data'!$A$1:$A$20000,0),MATCH("Volume",'Semrush Data'!$A$1:$Z$1,0)),"")</f>
        <v/>
      </c>
      <c r="H1363" s="7" t="str">
        <f aca="false">IFERROR(INDEX('Semrush Data'!$A$1:$Z$20000,MATCH(A1363,'Semrush Data'!$A$1:$A$20000,0),MATCH("Keyword Difficulty*",'Semrush Data'!$A$1:$Z$1,0)),"")</f>
        <v/>
      </c>
      <c r="I1363" s="13" t="str">
        <f aca="false">IFERROR(INDEX('Semrush Data'!$A$1:$Z$20000,MATCH(A1363,'Semrush Data'!$A$1:$A$20000,0),MATCH("CPC*",'Semrush Data'!$A$1:$Z$1,0)),"")</f>
        <v/>
      </c>
      <c r="J1363" s="7" t="str">
        <f aca="false">IFERROR(INDEX('Semrush Data'!$A$1:$Z$20000,MATCH(A1363,'Semrush Data'!$A$1:$A$20000,0),MATCH("Intent",'Semrush Data'!$A$1:$Z$1,0)),"")</f>
        <v/>
      </c>
    </row>
    <row r="1364" customFormat="false" ht="15" hidden="false" customHeight="true" outlineLevel="0" collapsed="false">
      <c r="A1364" s="7" t="s">
        <v>3120</v>
      </c>
      <c r="B1364" s="7" t="s">
        <v>6817</v>
      </c>
      <c r="C1364" s="7" t="n">
        <v>2</v>
      </c>
      <c r="D1364" s="7" t="n">
        <v>14</v>
      </c>
      <c r="E1364" s="7" t="n">
        <v>1</v>
      </c>
      <c r="F1364" s="7" t="s">
        <v>3113</v>
      </c>
      <c r="G1364" s="12" t="str">
        <f aca="false">IFERROR(INDEX('Semrush Data'!$A$1:$Z$20000,MATCH(A1364,'Semrush Data'!$A$1:$A$20000,0),MATCH("Volume",'Semrush Data'!$A$1:$Z$1,0)),"")</f>
        <v/>
      </c>
      <c r="H1364" s="7" t="str">
        <f aca="false">IFERROR(INDEX('Semrush Data'!$A$1:$Z$20000,MATCH(A1364,'Semrush Data'!$A$1:$A$20000,0),MATCH("Keyword Difficulty*",'Semrush Data'!$A$1:$Z$1,0)),"")</f>
        <v/>
      </c>
      <c r="I1364" s="13" t="str">
        <f aca="false">IFERROR(INDEX('Semrush Data'!$A$1:$Z$20000,MATCH(A1364,'Semrush Data'!$A$1:$A$20000,0),MATCH("CPC*",'Semrush Data'!$A$1:$Z$1,0)),"")</f>
        <v/>
      </c>
      <c r="J1364" s="7" t="str">
        <f aca="false">IFERROR(INDEX('Semrush Data'!$A$1:$Z$20000,MATCH(A1364,'Semrush Data'!$A$1:$A$20000,0),MATCH("Intent",'Semrush Data'!$A$1:$Z$1,0)),"")</f>
        <v/>
      </c>
    </row>
    <row r="1365" customFormat="false" ht="15" hidden="false" customHeight="true" outlineLevel="0" collapsed="false">
      <c r="A1365" s="7" t="s">
        <v>3179</v>
      </c>
      <c r="B1365" s="7" t="s">
        <v>6817</v>
      </c>
      <c r="C1365" s="7" t="n">
        <v>2</v>
      </c>
      <c r="D1365" s="7" t="s">
        <v>6815</v>
      </c>
      <c r="E1365" s="7" t="n">
        <v>2</v>
      </c>
      <c r="F1365" s="7" t="s">
        <v>6792</v>
      </c>
      <c r="G1365" s="12" t="n">
        <f aca="false">IFERROR(INDEX('Semrush Data'!$A$1:$Z$20000,MATCH(A1365,'Semrush Data'!$A$1:$A$20000,0),MATCH("Volume",'Semrush Data'!$A$1:$Z$1,0)),"")</f>
        <v>210</v>
      </c>
      <c r="H1365" s="7" t="n">
        <f aca="false">IFERROR(INDEX('Semrush Data'!$A$1:$Z$20000,MATCH(A1365,'Semrush Data'!$A$1:$A$20000,0),MATCH("Keyword Difficulty*",'Semrush Data'!$A$1:$Z$1,0)),"")</f>
        <v>22</v>
      </c>
      <c r="I1365" s="13" t="n">
        <f aca="false">IFERROR(INDEX('Semrush Data'!$A$1:$Z$20000,MATCH(A1365,'Semrush Data'!$A$1:$A$20000,0),MATCH("CPC*",'Semrush Data'!$A$1:$Z$1,0)),"")</f>
        <v>0.4</v>
      </c>
      <c r="J1365" s="7" t="str">
        <f aca="false">IFERROR(INDEX('Semrush Data'!$A$1:$Z$20000,MATCH(A1365,'Semrush Data'!$A$1:$A$20000,0),MATCH("Intent",'Semrush Data'!$A$1:$Z$1,0)),"")</f>
        <v>Informational</v>
      </c>
    </row>
    <row r="1366" customFormat="false" ht="15" hidden="false" customHeight="true" outlineLevel="0" collapsed="false">
      <c r="A1366" s="7" t="s">
        <v>3170</v>
      </c>
      <c r="B1366" s="7" t="s">
        <v>6817</v>
      </c>
      <c r="C1366" s="7" t="n">
        <v>2</v>
      </c>
      <c r="D1366" s="7" t="n">
        <v>14</v>
      </c>
      <c r="E1366" s="7" t="n">
        <v>1</v>
      </c>
      <c r="F1366" s="7" t="s">
        <v>3164</v>
      </c>
      <c r="G1366" s="12" t="str">
        <f aca="false">IFERROR(INDEX('Semrush Data'!$A$1:$Z$20000,MATCH(A1366,'Semrush Data'!$A$1:$A$20000,0),MATCH("Volume",'Semrush Data'!$A$1:$Z$1,0)),"")</f>
        <v/>
      </c>
      <c r="H1366" s="7" t="str">
        <f aca="false">IFERROR(INDEX('Semrush Data'!$A$1:$Z$20000,MATCH(A1366,'Semrush Data'!$A$1:$A$20000,0),MATCH("Keyword Difficulty*",'Semrush Data'!$A$1:$Z$1,0)),"")</f>
        <v/>
      </c>
      <c r="I1366" s="13" t="str">
        <f aca="false">IFERROR(INDEX('Semrush Data'!$A$1:$Z$20000,MATCH(A1366,'Semrush Data'!$A$1:$A$20000,0),MATCH("CPC*",'Semrush Data'!$A$1:$Z$1,0)),"")</f>
        <v/>
      </c>
      <c r="J1366" s="7" t="str">
        <f aca="false">IFERROR(INDEX('Semrush Data'!$A$1:$Z$20000,MATCH(A1366,'Semrush Data'!$A$1:$A$20000,0),MATCH("Intent",'Semrush Data'!$A$1:$Z$1,0)),"")</f>
        <v/>
      </c>
    </row>
    <row r="1367" customFormat="false" ht="15" hidden="false" customHeight="true" outlineLevel="0" collapsed="false">
      <c r="A1367" s="7" t="s">
        <v>3191</v>
      </c>
      <c r="B1367" s="7" t="s">
        <v>6817</v>
      </c>
      <c r="C1367" s="7" t="n">
        <v>2</v>
      </c>
      <c r="D1367" s="7" t="n">
        <v>14</v>
      </c>
      <c r="E1367" s="7" t="n">
        <v>2</v>
      </c>
      <c r="F1367" s="7" t="s">
        <v>6794</v>
      </c>
      <c r="G1367" s="12" t="str">
        <f aca="false">IFERROR(INDEX('Semrush Data'!$A$1:$Z$20000,MATCH(A1367,'Semrush Data'!$A$1:$A$20000,0),MATCH("Volume",'Semrush Data'!$A$1:$Z$1,0)),"")</f>
        <v/>
      </c>
      <c r="H1367" s="7" t="str">
        <f aca="false">IFERROR(INDEX('Semrush Data'!$A$1:$Z$20000,MATCH(A1367,'Semrush Data'!$A$1:$A$20000,0),MATCH("Keyword Difficulty*",'Semrush Data'!$A$1:$Z$1,0)),"")</f>
        <v/>
      </c>
      <c r="I1367" s="13" t="str">
        <f aca="false">IFERROR(INDEX('Semrush Data'!$A$1:$Z$20000,MATCH(A1367,'Semrush Data'!$A$1:$A$20000,0),MATCH("CPC*",'Semrush Data'!$A$1:$Z$1,0)),"")</f>
        <v/>
      </c>
      <c r="J1367" s="7" t="str">
        <f aca="false">IFERROR(INDEX('Semrush Data'!$A$1:$Z$20000,MATCH(A1367,'Semrush Data'!$A$1:$A$20000,0),MATCH("Intent",'Semrush Data'!$A$1:$Z$1,0)),"")</f>
        <v/>
      </c>
    </row>
    <row r="1368" customFormat="false" ht="15" hidden="false" customHeight="true" outlineLevel="0" collapsed="false">
      <c r="A1368" s="7" t="s">
        <v>3129</v>
      </c>
      <c r="B1368" s="7" t="s">
        <v>6817</v>
      </c>
      <c r="C1368" s="7" t="n">
        <v>2</v>
      </c>
      <c r="D1368" s="7" t="s">
        <v>6815</v>
      </c>
      <c r="E1368" s="7" t="n">
        <v>2</v>
      </c>
      <c r="F1368" s="7" t="s">
        <v>6793</v>
      </c>
      <c r="G1368" s="12" t="n">
        <f aca="false">IFERROR(INDEX('Semrush Data'!$A$1:$Z$20000,MATCH(A1368,'Semrush Data'!$A$1:$A$20000,0),MATCH("Volume",'Semrush Data'!$A$1:$Z$1,0)),"")</f>
        <v>210</v>
      </c>
      <c r="H1368" s="7" t="n">
        <f aca="false">IFERROR(INDEX('Semrush Data'!$A$1:$Z$20000,MATCH(A1368,'Semrush Data'!$A$1:$A$20000,0),MATCH("Keyword Difficulty*",'Semrush Data'!$A$1:$Z$1,0)),"")</f>
        <v>13</v>
      </c>
      <c r="I1368" s="13" t="n">
        <f aca="false">IFERROR(INDEX('Semrush Data'!$A$1:$Z$20000,MATCH(A1368,'Semrush Data'!$A$1:$A$20000,0),MATCH("CPC*",'Semrush Data'!$A$1:$Z$1,0)),"")</f>
        <v>0.45</v>
      </c>
      <c r="J1368" s="7" t="str">
        <f aca="false">IFERROR(INDEX('Semrush Data'!$A$1:$Z$20000,MATCH(A1368,'Semrush Data'!$A$1:$A$20000,0),MATCH("Intent",'Semrush Data'!$A$1:$Z$1,0)),"")</f>
        <v>Informational Transactional</v>
      </c>
    </row>
    <row r="1369" customFormat="false" ht="15" hidden="false" customHeight="true" outlineLevel="0" collapsed="false">
      <c r="A1369" s="7" t="s">
        <v>3147</v>
      </c>
      <c r="B1369" s="7" t="s">
        <v>6817</v>
      </c>
      <c r="C1369" s="7" t="n">
        <v>2</v>
      </c>
      <c r="D1369" s="7" t="n">
        <v>14</v>
      </c>
      <c r="E1369" s="7" t="n">
        <v>1</v>
      </c>
      <c r="F1369" s="7" t="s">
        <v>3145</v>
      </c>
      <c r="G1369" s="12" t="str">
        <f aca="false">IFERROR(INDEX('Semrush Data'!$A$1:$Z$20000,MATCH(A1369,'Semrush Data'!$A$1:$A$20000,0),MATCH("Volume",'Semrush Data'!$A$1:$Z$1,0)),"")</f>
        <v/>
      </c>
      <c r="H1369" s="7" t="str">
        <f aca="false">IFERROR(INDEX('Semrush Data'!$A$1:$Z$20000,MATCH(A1369,'Semrush Data'!$A$1:$A$20000,0),MATCH("Keyword Difficulty*",'Semrush Data'!$A$1:$Z$1,0)),"")</f>
        <v/>
      </c>
      <c r="I1369" s="13" t="str">
        <f aca="false">IFERROR(INDEX('Semrush Data'!$A$1:$Z$20000,MATCH(A1369,'Semrush Data'!$A$1:$A$20000,0),MATCH("CPC*",'Semrush Data'!$A$1:$Z$1,0)),"")</f>
        <v/>
      </c>
      <c r="J1369" s="7" t="str">
        <f aca="false">IFERROR(INDEX('Semrush Data'!$A$1:$Z$20000,MATCH(A1369,'Semrush Data'!$A$1:$A$20000,0),MATCH("Intent",'Semrush Data'!$A$1:$Z$1,0)),"")</f>
        <v/>
      </c>
    </row>
    <row r="1370" customFormat="false" ht="15" hidden="false" customHeight="true" outlineLevel="0" collapsed="false">
      <c r="A1370" s="7" t="s">
        <v>3204</v>
      </c>
      <c r="B1370" s="7" t="s">
        <v>6817</v>
      </c>
      <c r="C1370" s="7" t="n">
        <v>2</v>
      </c>
      <c r="D1370" s="7" t="n">
        <v>14</v>
      </c>
      <c r="E1370" s="7" t="n">
        <v>1</v>
      </c>
      <c r="F1370" s="7" t="s">
        <v>3198</v>
      </c>
      <c r="G1370" s="12" t="str">
        <f aca="false">IFERROR(INDEX('Semrush Data'!$A$1:$Z$20000,MATCH(A1370,'Semrush Data'!$A$1:$A$20000,0),MATCH("Volume",'Semrush Data'!$A$1:$Z$1,0)),"")</f>
        <v/>
      </c>
      <c r="H1370" s="7" t="str">
        <f aca="false">IFERROR(INDEX('Semrush Data'!$A$1:$Z$20000,MATCH(A1370,'Semrush Data'!$A$1:$A$20000,0),MATCH("Keyword Difficulty*",'Semrush Data'!$A$1:$Z$1,0)),"")</f>
        <v/>
      </c>
      <c r="I1370" s="13" t="str">
        <f aca="false">IFERROR(INDEX('Semrush Data'!$A$1:$Z$20000,MATCH(A1370,'Semrush Data'!$A$1:$A$20000,0),MATCH("CPC*",'Semrush Data'!$A$1:$Z$1,0)),"")</f>
        <v/>
      </c>
      <c r="J1370" s="7" t="str">
        <f aca="false">IFERROR(INDEX('Semrush Data'!$A$1:$Z$20000,MATCH(A1370,'Semrush Data'!$A$1:$A$20000,0),MATCH("Intent",'Semrush Data'!$A$1:$Z$1,0)),"")</f>
        <v/>
      </c>
    </row>
    <row r="1371" customFormat="false" ht="15" hidden="false" customHeight="true" outlineLevel="0" collapsed="false">
      <c r="A1371" s="7" t="s">
        <v>3141</v>
      </c>
      <c r="B1371" s="7" t="s">
        <v>6817</v>
      </c>
      <c r="C1371" s="7" t="n">
        <v>2</v>
      </c>
      <c r="D1371" s="7" t="n">
        <v>14</v>
      </c>
      <c r="E1371" s="7" t="n">
        <v>1</v>
      </c>
      <c r="F1371" s="7" t="s">
        <v>3135</v>
      </c>
      <c r="G1371" s="12" t="str">
        <f aca="false">IFERROR(INDEX('Semrush Data'!$A$1:$Z$20000,MATCH(A1371,'Semrush Data'!$A$1:$A$20000,0),MATCH("Volume",'Semrush Data'!$A$1:$Z$1,0)),"")</f>
        <v/>
      </c>
      <c r="H1371" s="7" t="str">
        <f aca="false">IFERROR(INDEX('Semrush Data'!$A$1:$Z$20000,MATCH(A1371,'Semrush Data'!$A$1:$A$20000,0),MATCH("Keyword Difficulty*",'Semrush Data'!$A$1:$Z$1,0)),"")</f>
        <v/>
      </c>
      <c r="I1371" s="13" t="str">
        <f aca="false">IFERROR(INDEX('Semrush Data'!$A$1:$Z$20000,MATCH(A1371,'Semrush Data'!$A$1:$A$20000,0),MATCH("CPC*",'Semrush Data'!$A$1:$Z$1,0)),"")</f>
        <v/>
      </c>
      <c r="J1371" s="7" t="str">
        <f aca="false">IFERROR(INDEX('Semrush Data'!$A$1:$Z$20000,MATCH(A1371,'Semrush Data'!$A$1:$A$20000,0),MATCH("Intent",'Semrush Data'!$A$1:$Z$1,0)),"")</f>
        <v/>
      </c>
    </row>
    <row r="1372" customFormat="false" ht="15" hidden="false" customHeight="true" outlineLevel="0" collapsed="false">
      <c r="A1372" s="7" t="s">
        <v>3257</v>
      </c>
      <c r="B1372" s="7" t="s">
        <v>6817</v>
      </c>
      <c r="C1372" s="7" t="n">
        <v>2</v>
      </c>
      <c r="D1372" s="7" t="s">
        <v>6815</v>
      </c>
      <c r="E1372" s="7" t="n">
        <v>1</v>
      </c>
      <c r="F1372" s="7" t="s">
        <v>3250</v>
      </c>
      <c r="G1372" s="12" t="n">
        <f aca="false">IFERROR(INDEX('Semrush Data'!$A$1:$Z$20000,MATCH(A1372,'Semrush Data'!$A$1:$A$20000,0),MATCH("Volume",'Semrush Data'!$A$1:$Z$1,0)),"")</f>
        <v>20</v>
      </c>
      <c r="H1372" s="7" t="n">
        <f aca="false">IFERROR(INDEX('Semrush Data'!$A$1:$Z$20000,MATCH(A1372,'Semrush Data'!$A$1:$A$20000,0),MATCH("Keyword Difficulty*",'Semrush Data'!$A$1:$Z$1,0)),"")</f>
        <v>11</v>
      </c>
      <c r="I1372" s="13" t="n">
        <f aca="false">IFERROR(INDEX('Semrush Data'!$A$1:$Z$20000,MATCH(A1372,'Semrush Data'!$A$1:$A$20000,0),MATCH("CPC*",'Semrush Data'!$A$1:$Z$1,0)),"")</f>
        <v>0</v>
      </c>
      <c r="J1372" s="7" t="str">
        <f aca="false">IFERROR(INDEX('Semrush Data'!$A$1:$Z$20000,MATCH(A1372,'Semrush Data'!$A$1:$A$20000,0),MATCH("Intent",'Semrush Data'!$A$1:$Z$1,0)),"")</f>
        <v>Informational Transactional</v>
      </c>
    </row>
    <row r="1373" customFormat="false" ht="15" hidden="false" customHeight="true" outlineLevel="0" collapsed="false">
      <c r="A1373" s="7" t="s">
        <v>3266</v>
      </c>
      <c r="B1373" s="7" t="s">
        <v>6817</v>
      </c>
      <c r="C1373" s="7" t="n">
        <v>2</v>
      </c>
      <c r="D1373" s="7" t="s">
        <v>6815</v>
      </c>
      <c r="E1373" s="7" t="n">
        <v>1</v>
      </c>
      <c r="F1373" s="7" t="s">
        <v>128</v>
      </c>
      <c r="G1373" s="12" t="n">
        <f aca="false">IFERROR(INDEX('Semrush Data'!$A$1:$Z$20000,MATCH(A1373,'Semrush Data'!$A$1:$A$20000,0),MATCH("Volume",'Semrush Data'!$A$1:$Z$1,0)),"")</f>
        <v>20</v>
      </c>
      <c r="H1373" s="7" t="n">
        <f aca="false">IFERROR(INDEX('Semrush Data'!$A$1:$Z$20000,MATCH(A1373,'Semrush Data'!$A$1:$A$20000,0),MATCH("Keyword Difficulty*",'Semrush Data'!$A$1:$Z$1,0)),"")</f>
        <v>12</v>
      </c>
      <c r="I1373" s="13" t="n">
        <f aca="false">IFERROR(INDEX('Semrush Data'!$A$1:$Z$20000,MATCH(A1373,'Semrush Data'!$A$1:$A$20000,0),MATCH("CPC*",'Semrush Data'!$A$1:$Z$1,0)),"")</f>
        <v>0.79</v>
      </c>
      <c r="J1373" s="7" t="str">
        <f aca="false">IFERROR(INDEX('Semrush Data'!$A$1:$Z$20000,MATCH(A1373,'Semrush Data'!$A$1:$A$20000,0),MATCH("Intent",'Semrush Data'!$A$1:$Z$1,0)),"")</f>
        <v>Informational</v>
      </c>
    </row>
    <row r="1374" customFormat="false" ht="15" hidden="false" customHeight="true" outlineLevel="0" collapsed="false">
      <c r="A1374" s="7" t="s">
        <v>3217</v>
      </c>
      <c r="B1374" s="7" t="s">
        <v>6817</v>
      </c>
      <c r="C1374" s="7" t="n">
        <v>2</v>
      </c>
      <c r="D1374" s="7" t="s">
        <v>6815</v>
      </c>
      <c r="E1374" s="7" t="n">
        <v>1</v>
      </c>
      <c r="F1374" s="7" t="s">
        <v>3210</v>
      </c>
      <c r="G1374" s="12" t="n">
        <f aca="false">IFERROR(INDEX('Semrush Data'!$A$1:$Z$20000,MATCH(A1374,'Semrush Data'!$A$1:$A$20000,0),MATCH("Volume",'Semrush Data'!$A$1:$Z$1,0)),"")</f>
        <v>20</v>
      </c>
      <c r="H1374" s="7" t="n">
        <f aca="false">IFERROR(INDEX('Semrush Data'!$A$1:$Z$20000,MATCH(A1374,'Semrush Data'!$A$1:$A$20000,0),MATCH("Keyword Difficulty*",'Semrush Data'!$A$1:$Z$1,0)),"")</f>
        <v>12</v>
      </c>
      <c r="I1374" s="13" t="n">
        <f aca="false">IFERROR(INDEX('Semrush Data'!$A$1:$Z$20000,MATCH(A1374,'Semrush Data'!$A$1:$A$20000,0),MATCH("CPC*",'Semrush Data'!$A$1:$Z$1,0)),"")</f>
        <v>0</v>
      </c>
      <c r="J1374" s="7" t="str">
        <f aca="false">IFERROR(INDEX('Semrush Data'!$A$1:$Z$20000,MATCH(A1374,'Semrush Data'!$A$1:$A$20000,0),MATCH("Intent",'Semrush Data'!$A$1:$Z$1,0)),"")</f>
        <v>Informational</v>
      </c>
    </row>
    <row r="1375" customFormat="false" ht="15" hidden="false" customHeight="true" outlineLevel="0" collapsed="false">
      <c r="A1375" s="7" t="s">
        <v>3227</v>
      </c>
      <c r="B1375" s="7" t="s">
        <v>6817</v>
      </c>
      <c r="C1375" s="7" t="n">
        <v>2</v>
      </c>
      <c r="D1375" s="7" t="s">
        <v>6815</v>
      </c>
      <c r="E1375" s="7" t="n">
        <v>2</v>
      </c>
      <c r="F1375" s="7" t="s">
        <v>6795</v>
      </c>
      <c r="G1375" s="12" t="n">
        <f aca="false">IFERROR(INDEX('Semrush Data'!$A$1:$Z$20000,MATCH(A1375,'Semrush Data'!$A$1:$A$20000,0),MATCH("Volume",'Semrush Data'!$A$1:$Z$1,0)),"")</f>
        <v>20</v>
      </c>
      <c r="H1375" s="7" t="n">
        <f aca="false">IFERROR(INDEX('Semrush Data'!$A$1:$Z$20000,MATCH(A1375,'Semrush Data'!$A$1:$A$20000,0),MATCH("Keyword Difficulty*",'Semrush Data'!$A$1:$Z$1,0)),"")</f>
        <v>14</v>
      </c>
      <c r="I1375" s="13" t="n">
        <f aca="false">IFERROR(INDEX('Semrush Data'!$A$1:$Z$20000,MATCH(A1375,'Semrush Data'!$A$1:$A$20000,0),MATCH("CPC*",'Semrush Data'!$A$1:$Z$1,0)),"")</f>
        <v>0</v>
      </c>
      <c r="J1375" s="7" t="str">
        <f aca="false">IFERROR(INDEX('Semrush Data'!$A$1:$Z$20000,MATCH(A1375,'Semrush Data'!$A$1:$A$20000,0),MATCH("Intent",'Semrush Data'!$A$1:$Z$1,0)),"")</f>
        <v>Informational Transactional</v>
      </c>
    </row>
    <row r="1376" customFormat="false" ht="15" hidden="false" customHeight="true" outlineLevel="0" collapsed="false">
      <c r="A1376" s="7" t="s">
        <v>3240</v>
      </c>
      <c r="B1376" s="7" t="s">
        <v>6817</v>
      </c>
      <c r="C1376" s="7" t="n">
        <v>2</v>
      </c>
      <c r="D1376" s="7" t="n">
        <v>14</v>
      </c>
      <c r="E1376" s="7" t="n">
        <v>2</v>
      </c>
      <c r="F1376" s="7" t="s">
        <v>6796</v>
      </c>
      <c r="G1376" s="12" t="str">
        <f aca="false">IFERROR(INDEX('Semrush Data'!$A$1:$Z$20000,MATCH(A1376,'Semrush Data'!$A$1:$A$20000,0),MATCH("Volume",'Semrush Data'!$A$1:$Z$1,0)),"")</f>
        <v/>
      </c>
      <c r="H1376" s="7" t="str">
        <f aca="false">IFERROR(INDEX('Semrush Data'!$A$1:$Z$20000,MATCH(A1376,'Semrush Data'!$A$1:$A$20000,0),MATCH("Keyword Difficulty*",'Semrush Data'!$A$1:$Z$1,0)),"")</f>
        <v/>
      </c>
      <c r="I1376" s="13" t="str">
        <f aca="false">IFERROR(INDEX('Semrush Data'!$A$1:$Z$20000,MATCH(A1376,'Semrush Data'!$A$1:$A$20000,0),MATCH("CPC*",'Semrush Data'!$A$1:$Z$1,0)),"")</f>
        <v/>
      </c>
      <c r="J1376" s="7" t="str">
        <f aca="false">IFERROR(INDEX('Semrush Data'!$A$1:$Z$20000,MATCH(A1376,'Semrush Data'!$A$1:$A$20000,0),MATCH("Intent",'Semrush Data'!$A$1:$Z$1,0)),"")</f>
        <v/>
      </c>
    </row>
    <row r="1377" customFormat="false" ht="15" hidden="false" customHeight="true" outlineLevel="0" collapsed="false">
      <c r="A1377" s="7" t="s">
        <v>3275</v>
      </c>
      <c r="B1377" s="7" t="s">
        <v>6817</v>
      </c>
      <c r="C1377" s="7" t="n">
        <v>2</v>
      </c>
      <c r="D1377" s="7" t="s">
        <v>6815</v>
      </c>
      <c r="E1377" s="7" t="n">
        <v>1</v>
      </c>
      <c r="F1377" s="7" t="s">
        <v>144</v>
      </c>
      <c r="G1377" s="12" t="n">
        <f aca="false">IFERROR(INDEX('Semrush Data'!$A$1:$Z$20000,MATCH(A1377,'Semrush Data'!$A$1:$A$20000,0),MATCH("Volume",'Semrush Data'!$A$1:$Z$1,0)),"")</f>
        <v>10</v>
      </c>
      <c r="H1377" s="7" t="n">
        <f aca="false">IFERROR(INDEX('Semrush Data'!$A$1:$Z$20000,MATCH(A1377,'Semrush Data'!$A$1:$A$20000,0),MATCH("Keyword Difficulty*",'Semrush Data'!$A$1:$Z$1,0)),"")</f>
        <v>14</v>
      </c>
      <c r="I1377" s="13" t="n">
        <f aca="false">IFERROR(INDEX('Semrush Data'!$A$1:$Z$20000,MATCH(A1377,'Semrush Data'!$A$1:$A$20000,0),MATCH("CPC*",'Semrush Data'!$A$1:$Z$1,0)),"")</f>
        <v>0</v>
      </c>
      <c r="J1377" s="7" t="str">
        <f aca="false">IFERROR(INDEX('Semrush Data'!$A$1:$Z$20000,MATCH(A1377,'Semrush Data'!$A$1:$A$20000,0),MATCH("Intent",'Semrush Data'!$A$1:$Z$1,0)),"")</f>
        <v>Informational Transactional</v>
      </c>
    </row>
    <row r="1378" customFormat="false" ht="15" hidden="false" customHeight="true" outlineLevel="0" collapsed="false">
      <c r="A1378" s="7" t="s">
        <v>5946</v>
      </c>
      <c r="B1378" s="7" t="s">
        <v>6817</v>
      </c>
      <c r="C1378" s="7" t="n">
        <v>2</v>
      </c>
      <c r="D1378" s="7" t="n">
        <v>14</v>
      </c>
      <c r="E1378" s="7" t="n">
        <v>1</v>
      </c>
      <c r="F1378" s="7" t="s">
        <v>5940</v>
      </c>
      <c r="G1378" s="12" t="str">
        <f aca="false">IFERROR(INDEX('Semrush Data'!$A$1:$Z$20000,MATCH(A1378,'Semrush Data'!$A$1:$A$20000,0),MATCH("Volume",'Semrush Data'!$A$1:$Z$1,0)),"")</f>
        <v/>
      </c>
      <c r="H1378" s="7" t="str">
        <f aca="false">IFERROR(INDEX('Semrush Data'!$A$1:$Z$20000,MATCH(A1378,'Semrush Data'!$A$1:$A$20000,0),MATCH("Keyword Difficulty*",'Semrush Data'!$A$1:$Z$1,0)),"")</f>
        <v/>
      </c>
      <c r="I1378" s="13" t="str">
        <f aca="false">IFERROR(INDEX('Semrush Data'!$A$1:$Z$20000,MATCH(A1378,'Semrush Data'!$A$1:$A$20000,0),MATCH("CPC*",'Semrush Data'!$A$1:$Z$1,0)),"")</f>
        <v/>
      </c>
      <c r="J1378" s="7" t="str">
        <f aca="false">IFERROR(INDEX('Semrush Data'!$A$1:$Z$20000,MATCH(A1378,'Semrush Data'!$A$1:$A$20000,0),MATCH("Intent",'Semrush Data'!$A$1:$Z$1,0)),"")</f>
        <v/>
      </c>
    </row>
    <row r="1379" customFormat="false" ht="15" hidden="false" customHeight="true" outlineLevel="0" collapsed="false">
      <c r="A1379" s="7" t="s">
        <v>3286</v>
      </c>
      <c r="B1379" s="7" t="s">
        <v>6817</v>
      </c>
      <c r="C1379" s="7" t="n">
        <v>2</v>
      </c>
      <c r="D1379" s="7" t="s">
        <v>6815</v>
      </c>
      <c r="E1379" s="7" t="n">
        <v>1</v>
      </c>
      <c r="F1379" s="7" t="s">
        <v>68</v>
      </c>
      <c r="G1379" s="12" t="n">
        <f aca="false">IFERROR(INDEX('Semrush Data'!$A$1:$Z$20000,MATCH(A1379,'Semrush Data'!$A$1:$A$20000,0),MATCH("Volume",'Semrush Data'!$A$1:$Z$1,0)),"")</f>
        <v>170</v>
      </c>
      <c r="H1379" s="7" t="n">
        <f aca="false">IFERROR(INDEX('Semrush Data'!$A$1:$Z$20000,MATCH(A1379,'Semrush Data'!$A$1:$A$20000,0),MATCH("Keyword Difficulty*",'Semrush Data'!$A$1:$Z$1,0)),"")</f>
        <v>15</v>
      </c>
      <c r="I1379" s="13" t="n">
        <f aca="false">IFERROR(INDEX('Semrush Data'!$A$1:$Z$20000,MATCH(A1379,'Semrush Data'!$A$1:$A$20000,0),MATCH("CPC*",'Semrush Data'!$A$1:$Z$1,0)),"")</f>
        <v>0.61</v>
      </c>
      <c r="J1379" s="7" t="str">
        <f aca="false">IFERROR(INDEX('Semrush Data'!$A$1:$Z$20000,MATCH(A1379,'Semrush Data'!$A$1:$A$20000,0),MATCH("Intent",'Semrush Data'!$A$1:$Z$1,0)),"")</f>
        <v>Informational Transactional</v>
      </c>
    </row>
    <row r="1380" customFormat="false" ht="15" hidden="false" customHeight="true" outlineLevel="0" collapsed="false">
      <c r="A1380" s="7" t="s">
        <v>3298</v>
      </c>
      <c r="B1380" s="7" t="s">
        <v>6817</v>
      </c>
      <c r="C1380" s="7" t="n">
        <v>2</v>
      </c>
      <c r="D1380" s="7" t="s">
        <v>6816</v>
      </c>
      <c r="E1380" s="7" t="n">
        <v>1</v>
      </c>
      <c r="F1380" s="7" t="s">
        <v>3292</v>
      </c>
      <c r="G1380" s="12" t="n">
        <f aca="false">IFERROR(INDEX('Semrush Data'!$A$1:$Z$20000,MATCH(A1380,'Semrush Data'!$A$1:$A$20000,0),MATCH("Volume",'Semrush Data'!$A$1:$Z$1,0)),"")</f>
        <v>0</v>
      </c>
      <c r="H1380" s="7" t="n">
        <f aca="false">IFERROR(INDEX('Semrush Data'!$A$1:$Z$20000,MATCH(A1380,'Semrush Data'!$A$1:$A$20000,0),MATCH("Keyword Difficulty*",'Semrush Data'!$A$1:$Z$1,0)),"")</f>
        <v>9</v>
      </c>
      <c r="I1380" s="13" t="n">
        <f aca="false">IFERROR(INDEX('Semrush Data'!$A$1:$Z$20000,MATCH(A1380,'Semrush Data'!$A$1:$A$20000,0),MATCH("CPC*",'Semrush Data'!$A$1:$Z$1,0)),"")</f>
        <v>0</v>
      </c>
      <c r="J1380" s="7" t="str">
        <f aca="false">IFERROR(INDEX('Semrush Data'!$A$1:$Z$20000,MATCH(A1380,'Semrush Data'!$A$1:$A$20000,0),MATCH("Intent",'Semrush Data'!$A$1:$Z$1,0)),"")</f>
        <v>Informational</v>
      </c>
    </row>
    <row r="1381" customFormat="false" ht="15" hidden="false" customHeight="true" outlineLevel="0" collapsed="false">
      <c r="A1381" s="7" t="s">
        <v>3309</v>
      </c>
      <c r="B1381" s="7" t="s">
        <v>6817</v>
      </c>
      <c r="C1381" s="7" t="n">
        <v>2</v>
      </c>
      <c r="D1381" s="7" t="s">
        <v>6815</v>
      </c>
      <c r="E1381" s="7" t="n">
        <v>1</v>
      </c>
      <c r="F1381" s="7" t="s">
        <v>3303</v>
      </c>
      <c r="G1381" s="12" t="n">
        <f aca="false">IFERROR(INDEX('Semrush Data'!$A$1:$Z$20000,MATCH(A1381,'Semrush Data'!$A$1:$A$20000,0),MATCH("Volume",'Semrush Data'!$A$1:$Z$1,0)),"")</f>
        <v>10</v>
      </c>
      <c r="H1381" s="7" t="n">
        <f aca="false">IFERROR(INDEX('Semrush Data'!$A$1:$Z$20000,MATCH(A1381,'Semrush Data'!$A$1:$A$20000,0),MATCH("Keyword Difficulty*",'Semrush Data'!$A$1:$Z$1,0)),"")</f>
        <v>17</v>
      </c>
      <c r="I1381" s="13" t="n">
        <f aca="false">IFERROR(INDEX('Semrush Data'!$A$1:$Z$20000,MATCH(A1381,'Semrush Data'!$A$1:$A$20000,0),MATCH("CPC*",'Semrush Data'!$A$1:$Z$1,0)),"")</f>
        <v>0</v>
      </c>
      <c r="J1381" s="7" t="str">
        <f aca="false">IFERROR(INDEX('Semrush Data'!$A$1:$Z$20000,MATCH(A1381,'Semrush Data'!$A$1:$A$20000,0),MATCH("Intent",'Semrush Data'!$A$1:$Z$1,0)),"")</f>
        <v>Informational Transactional</v>
      </c>
    </row>
    <row r="1382" customFormat="false" ht="15" hidden="false" customHeight="true" outlineLevel="0" collapsed="false">
      <c r="A1382" s="7" t="s">
        <v>3320</v>
      </c>
      <c r="B1382" s="7" t="s">
        <v>6817</v>
      </c>
      <c r="C1382" s="7" t="n">
        <v>2</v>
      </c>
      <c r="D1382" s="7" t="s">
        <v>6816</v>
      </c>
      <c r="E1382" s="7" t="n">
        <v>1</v>
      </c>
      <c r="F1382" s="7" t="s">
        <v>3314</v>
      </c>
      <c r="G1382" s="12" t="n">
        <f aca="false">IFERROR(INDEX('Semrush Data'!$A$1:$Z$20000,MATCH(A1382,'Semrush Data'!$A$1:$A$20000,0),MATCH("Volume",'Semrush Data'!$A$1:$Z$1,0)),"")</f>
        <v>10</v>
      </c>
      <c r="H1382" s="7" t="n">
        <f aca="false">IFERROR(INDEX('Semrush Data'!$A$1:$Z$20000,MATCH(A1382,'Semrush Data'!$A$1:$A$20000,0),MATCH("Keyword Difficulty*",'Semrush Data'!$A$1:$Z$1,0)),"")</f>
        <v>15</v>
      </c>
      <c r="I1382" s="13" t="n">
        <f aca="false">IFERROR(INDEX('Semrush Data'!$A$1:$Z$20000,MATCH(A1382,'Semrush Data'!$A$1:$A$20000,0),MATCH("CPC*",'Semrush Data'!$A$1:$Z$1,0)),"")</f>
        <v>0.44</v>
      </c>
      <c r="J1382" s="7" t="str">
        <f aca="false">IFERROR(INDEX('Semrush Data'!$A$1:$Z$20000,MATCH(A1382,'Semrush Data'!$A$1:$A$20000,0),MATCH("Intent",'Semrush Data'!$A$1:$Z$1,0)),"")</f>
        <v>Navigational</v>
      </c>
    </row>
    <row r="1383" customFormat="false" ht="15" hidden="false" customHeight="true" outlineLevel="0" collapsed="false">
      <c r="A1383" s="7" t="s">
        <v>3363</v>
      </c>
      <c r="B1383" s="7" t="s">
        <v>6817</v>
      </c>
      <c r="C1383" s="7" t="n">
        <v>2</v>
      </c>
      <c r="D1383" s="7" t="s">
        <v>6816</v>
      </c>
      <c r="E1383" s="7" t="n">
        <v>1</v>
      </c>
      <c r="F1383" s="7" t="s">
        <v>3356</v>
      </c>
      <c r="G1383" s="12" t="n">
        <f aca="false">IFERROR(INDEX('Semrush Data'!$A$1:$Z$20000,MATCH(A1383,'Semrush Data'!$A$1:$A$20000,0),MATCH("Volume",'Semrush Data'!$A$1:$Z$1,0)),"")</f>
        <v>20</v>
      </c>
      <c r="H1383" s="7" t="n">
        <f aca="false">IFERROR(INDEX('Semrush Data'!$A$1:$Z$20000,MATCH(A1383,'Semrush Data'!$A$1:$A$20000,0),MATCH("Keyword Difficulty*",'Semrush Data'!$A$1:$Z$1,0)),"")</f>
        <v>19</v>
      </c>
      <c r="I1383" s="13" t="n">
        <f aca="false">IFERROR(INDEX('Semrush Data'!$A$1:$Z$20000,MATCH(A1383,'Semrush Data'!$A$1:$A$20000,0),MATCH("CPC*",'Semrush Data'!$A$1:$Z$1,0)),"")</f>
        <v>0</v>
      </c>
      <c r="J1383" s="7" t="str">
        <f aca="false">IFERROR(INDEX('Semrush Data'!$A$1:$Z$20000,MATCH(A1383,'Semrush Data'!$A$1:$A$20000,0),MATCH("Intent",'Semrush Data'!$A$1:$Z$1,0)),"")</f>
        <v>Informational</v>
      </c>
    </row>
    <row r="1384" customFormat="false" ht="15" hidden="false" customHeight="true" outlineLevel="0" collapsed="false">
      <c r="A1384" s="7" t="s">
        <v>3375</v>
      </c>
      <c r="B1384" s="7" t="s">
        <v>6817</v>
      </c>
      <c r="C1384" s="7" t="n">
        <v>2</v>
      </c>
      <c r="D1384" s="7" t="s">
        <v>6816</v>
      </c>
      <c r="E1384" s="7" t="n">
        <v>1</v>
      </c>
      <c r="F1384" s="7" t="s">
        <v>3369</v>
      </c>
      <c r="G1384" s="12" t="n">
        <f aca="false">IFERROR(INDEX('Semrush Data'!$A$1:$Z$20000,MATCH(A1384,'Semrush Data'!$A$1:$A$20000,0),MATCH("Volume",'Semrush Data'!$A$1:$Z$1,0)),"")</f>
        <v>20</v>
      </c>
      <c r="H1384" s="7" t="n">
        <f aca="false">IFERROR(INDEX('Semrush Data'!$A$1:$Z$20000,MATCH(A1384,'Semrush Data'!$A$1:$A$20000,0),MATCH("Keyword Difficulty*",'Semrush Data'!$A$1:$Z$1,0)),"")</f>
        <v>16</v>
      </c>
      <c r="I1384" s="13" t="n">
        <f aca="false">IFERROR(INDEX('Semrush Data'!$A$1:$Z$20000,MATCH(A1384,'Semrush Data'!$A$1:$A$20000,0),MATCH("CPC*",'Semrush Data'!$A$1:$Z$1,0)),"")</f>
        <v>0</v>
      </c>
      <c r="J1384" s="7" t="str">
        <f aca="false">IFERROR(INDEX('Semrush Data'!$A$1:$Z$20000,MATCH(A1384,'Semrush Data'!$A$1:$A$20000,0),MATCH("Intent",'Semrush Data'!$A$1:$Z$1,0)),"")</f>
        <v>Informational</v>
      </c>
    </row>
    <row r="1385" customFormat="false" ht="15" hidden="false" customHeight="true" outlineLevel="0" collapsed="false">
      <c r="A1385" s="7" t="s">
        <v>3386</v>
      </c>
      <c r="B1385" s="7" t="s">
        <v>6817</v>
      </c>
      <c r="C1385" s="7" t="n">
        <v>2</v>
      </c>
      <c r="D1385" s="7" t="n">
        <v>14</v>
      </c>
      <c r="E1385" s="7" t="n">
        <v>1</v>
      </c>
      <c r="F1385" s="7" t="s">
        <v>3380</v>
      </c>
      <c r="G1385" s="12" t="str">
        <f aca="false">IFERROR(INDEX('Semrush Data'!$A$1:$Z$20000,MATCH(A1385,'Semrush Data'!$A$1:$A$20000,0),MATCH("Volume",'Semrush Data'!$A$1:$Z$1,0)),"")</f>
        <v/>
      </c>
      <c r="H1385" s="7" t="str">
        <f aca="false">IFERROR(INDEX('Semrush Data'!$A$1:$Z$20000,MATCH(A1385,'Semrush Data'!$A$1:$A$20000,0),MATCH("Keyword Difficulty*",'Semrush Data'!$A$1:$Z$1,0)),"")</f>
        <v/>
      </c>
      <c r="I1385" s="13" t="str">
        <f aca="false">IFERROR(INDEX('Semrush Data'!$A$1:$Z$20000,MATCH(A1385,'Semrush Data'!$A$1:$A$20000,0),MATCH("CPC*",'Semrush Data'!$A$1:$Z$1,0)),"")</f>
        <v/>
      </c>
      <c r="J1385" s="7" t="str">
        <f aca="false">IFERROR(INDEX('Semrush Data'!$A$1:$Z$20000,MATCH(A1385,'Semrush Data'!$A$1:$A$20000,0),MATCH("Intent",'Semrush Data'!$A$1:$Z$1,0)),"")</f>
        <v/>
      </c>
    </row>
    <row r="1386" customFormat="false" ht="15" hidden="false" customHeight="true" outlineLevel="0" collapsed="false">
      <c r="A1386" s="7" t="s">
        <v>3396</v>
      </c>
      <c r="B1386" s="7" t="s">
        <v>6817</v>
      </c>
      <c r="C1386" s="7" t="n">
        <v>2</v>
      </c>
      <c r="D1386" s="7" t="s">
        <v>6815</v>
      </c>
      <c r="E1386" s="7" t="n">
        <v>1</v>
      </c>
      <c r="F1386" s="7" t="s">
        <v>108</v>
      </c>
      <c r="G1386" s="12" t="n">
        <f aca="false">IFERROR(INDEX('Semrush Data'!$A$1:$Z$20000,MATCH(A1386,'Semrush Data'!$A$1:$A$20000,0),MATCH("Volume",'Semrush Data'!$A$1:$Z$1,0)),"")</f>
        <v>20</v>
      </c>
      <c r="H1386" s="7" t="n">
        <f aca="false">IFERROR(INDEX('Semrush Data'!$A$1:$Z$20000,MATCH(A1386,'Semrush Data'!$A$1:$A$20000,0),MATCH("Keyword Difficulty*",'Semrush Data'!$A$1:$Z$1,0)),"")</f>
        <v>7</v>
      </c>
      <c r="I1386" s="13" t="n">
        <f aca="false">IFERROR(INDEX('Semrush Data'!$A$1:$Z$20000,MATCH(A1386,'Semrush Data'!$A$1:$A$20000,0),MATCH("CPC*",'Semrush Data'!$A$1:$Z$1,0)),"")</f>
        <v>0</v>
      </c>
      <c r="J1386" s="7" t="str">
        <f aca="false">IFERROR(INDEX('Semrush Data'!$A$1:$Z$20000,MATCH(A1386,'Semrush Data'!$A$1:$A$20000,0),MATCH("Intent",'Semrush Data'!$A$1:$Z$1,0)),"")</f>
        <v>Informational Transactional</v>
      </c>
    </row>
    <row r="1387" customFormat="false" ht="15" hidden="false" customHeight="true" outlineLevel="0" collapsed="false">
      <c r="A1387" s="7" t="s">
        <v>3429</v>
      </c>
      <c r="B1387" s="7" t="s">
        <v>6817</v>
      </c>
      <c r="C1387" s="7" t="n">
        <v>2</v>
      </c>
      <c r="D1387" s="7" t="n">
        <v>14</v>
      </c>
      <c r="E1387" s="7" t="n">
        <v>1</v>
      </c>
      <c r="F1387" s="7" t="s">
        <v>3423</v>
      </c>
      <c r="G1387" s="12" t="str">
        <f aca="false">IFERROR(INDEX('Semrush Data'!$A$1:$Z$20000,MATCH(A1387,'Semrush Data'!$A$1:$A$20000,0),MATCH("Volume",'Semrush Data'!$A$1:$Z$1,0)),"")</f>
        <v/>
      </c>
      <c r="H1387" s="7" t="str">
        <f aca="false">IFERROR(INDEX('Semrush Data'!$A$1:$Z$20000,MATCH(A1387,'Semrush Data'!$A$1:$A$20000,0),MATCH("Keyword Difficulty*",'Semrush Data'!$A$1:$Z$1,0)),"")</f>
        <v/>
      </c>
      <c r="I1387" s="13" t="str">
        <f aca="false">IFERROR(INDEX('Semrush Data'!$A$1:$Z$20000,MATCH(A1387,'Semrush Data'!$A$1:$A$20000,0),MATCH("CPC*",'Semrush Data'!$A$1:$Z$1,0)),"")</f>
        <v/>
      </c>
      <c r="J1387" s="7" t="str">
        <f aca="false">IFERROR(INDEX('Semrush Data'!$A$1:$Z$20000,MATCH(A1387,'Semrush Data'!$A$1:$A$20000,0),MATCH("Intent",'Semrush Data'!$A$1:$Z$1,0)),"")</f>
        <v/>
      </c>
    </row>
    <row r="1388" customFormat="false" ht="15" hidden="false" customHeight="true" outlineLevel="0" collapsed="false">
      <c r="A1388" s="7" t="s">
        <v>3418</v>
      </c>
      <c r="B1388" s="7" t="s">
        <v>6817</v>
      </c>
      <c r="C1388" s="7" t="n">
        <v>2</v>
      </c>
      <c r="D1388" s="7" t="n">
        <v>14</v>
      </c>
      <c r="E1388" s="7" t="n">
        <v>1</v>
      </c>
      <c r="F1388" s="7" t="s">
        <v>3411</v>
      </c>
      <c r="G1388" s="12" t="str">
        <f aca="false">IFERROR(INDEX('Semrush Data'!$A$1:$Z$20000,MATCH(A1388,'Semrush Data'!$A$1:$A$20000,0),MATCH("Volume",'Semrush Data'!$A$1:$Z$1,0)),"")</f>
        <v/>
      </c>
      <c r="H1388" s="7" t="str">
        <f aca="false">IFERROR(INDEX('Semrush Data'!$A$1:$Z$20000,MATCH(A1388,'Semrush Data'!$A$1:$A$20000,0),MATCH("Keyword Difficulty*",'Semrush Data'!$A$1:$Z$1,0)),"")</f>
        <v/>
      </c>
      <c r="I1388" s="13" t="str">
        <f aca="false">IFERROR(INDEX('Semrush Data'!$A$1:$Z$20000,MATCH(A1388,'Semrush Data'!$A$1:$A$20000,0),MATCH("CPC*",'Semrush Data'!$A$1:$Z$1,0)),"")</f>
        <v/>
      </c>
      <c r="J1388" s="7" t="str">
        <f aca="false">IFERROR(INDEX('Semrush Data'!$A$1:$Z$20000,MATCH(A1388,'Semrush Data'!$A$1:$A$20000,0),MATCH("Intent",'Semrush Data'!$A$1:$Z$1,0)),"")</f>
        <v/>
      </c>
    </row>
    <row r="1389" customFormat="false" ht="15" hidden="false" customHeight="true" outlineLevel="0" collapsed="false">
      <c r="A1389" s="7" t="s">
        <v>3450</v>
      </c>
      <c r="B1389" s="7" t="s">
        <v>6817</v>
      </c>
      <c r="C1389" s="7" t="n">
        <v>2</v>
      </c>
      <c r="D1389" s="7" t="s">
        <v>6815</v>
      </c>
      <c r="E1389" s="7" t="n">
        <v>1</v>
      </c>
      <c r="F1389" s="7" t="s">
        <v>118</v>
      </c>
      <c r="G1389" s="12" t="n">
        <f aca="false">IFERROR(INDEX('Semrush Data'!$A$1:$Z$20000,MATCH(A1389,'Semrush Data'!$A$1:$A$20000,0),MATCH("Volume",'Semrush Data'!$A$1:$Z$1,0)),"")</f>
        <v>20</v>
      </c>
      <c r="H1389" s="7" t="n">
        <f aca="false">IFERROR(INDEX('Semrush Data'!$A$1:$Z$20000,MATCH(A1389,'Semrush Data'!$A$1:$A$20000,0),MATCH("Keyword Difficulty*",'Semrush Data'!$A$1:$Z$1,0)),"")</f>
        <v>18</v>
      </c>
      <c r="I1389" s="13" t="n">
        <f aca="false">IFERROR(INDEX('Semrush Data'!$A$1:$Z$20000,MATCH(A1389,'Semrush Data'!$A$1:$A$20000,0),MATCH("CPC*",'Semrush Data'!$A$1:$Z$1,0)),"")</f>
        <v>0</v>
      </c>
      <c r="J1389" s="7" t="str">
        <f aca="false">IFERROR(INDEX('Semrush Data'!$A$1:$Z$20000,MATCH(A1389,'Semrush Data'!$A$1:$A$20000,0),MATCH("Intent",'Semrush Data'!$A$1:$Z$1,0)),"")</f>
        <v>Informational</v>
      </c>
    </row>
    <row r="1390" customFormat="false" ht="15" hidden="false" customHeight="true" outlineLevel="0" collapsed="false">
      <c r="A1390" s="7" t="s">
        <v>3440</v>
      </c>
      <c r="B1390" s="7" t="s">
        <v>6817</v>
      </c>
      <c r="C1390" s="7" t="n">
        <v>2</v>
      </c>
      <c r="D1390" s="7" t="n">
        <v>14</v>
      </c>
      <c r="E1390" s="7" t="n">
        <v>1</v>
      </c>
      <c r="F1390" s="7" t="s">
        <v>3433</v>
      </c>
      <c r="G1390" s="12" t="str">
        <f aca="false">IFERROR(INDEX('Semrush Data'!$A$1:$Z$20000,MATCH(A1390,'Semrush Data'!$A$1:$A$20000,0),MATCH("Volume",'Semrush Data'!$A$1:$Z$1,0)),"")</f>
        <v/>
      </c>
      <c r="H1390" s="7" t="str">
        <f aca="false">IFERROR(INDEX('Semrush Data'!$A$1:$Z$20000,MATCH(A1390,'Semrush Data'!$A$1:$A$20000,0),MATCH("Keyword Difficulty*",'Semrush Data'!$A$1:$Z$1,0)),"")</f>
        <v/>
      </c>
      <c r="I1390" s="13" t="str">
        <f aca="false">IFERROR(INDEX('Semrush Data'!$A$1:$Z$20000,MATCH(A1390,'Semrush Data'!$A$1:$A$20000,0),MATCH("CPC*",'Semrush Data'!$A$1:$Z$1,0)),"")</f>
        <v/>
      </c>
      <c r="J1390" s="7" t="str">
        <f aca="false">IFERROR(INDEX('Semrush Data'!$A$1:$Z$20000,MATCH(A1390,'Semrush Data'!$A$1:$A$20000,0),MATCH("Intent",'Semrush Data'!$A$1:$Z$1,0)),"")</f>
        <v/>
      </c>
    </row>
    <row r="1391" customFormat="false" ht="15" hidden="false" customHeight="true" outlineLevel="0" collapsed="false">
      <c r="A1391" s="7" t="s">
        <v>3463</v>
      </c>
      <c r="B1391" s="7" t="s">
        <v>6817</v>
      </c>
      <c r="C1391" s="7" t="n">
        <v>2</v>
      </c>
      <c r="D1391" s="7" t="s">
        <v>6815</v>
      </c>
      <c r="E1391" s="7" t="n">
        <v>1</v>
      </c>
      <c r="F1391" s="7" t="s">
        <v>3456</v>
      </c>
      <c r="G1391" s="12" t="n">
        <f aca="false">IFERROR(INDEX('Semrush Data'!$A$1:$Z$20000,MATCH(A1391,'Semrush Data'!$A$1:$A$20000,0),MATCH("Volume",'Semrush Data'!$A$1:$Z$1,0)),"")</f>
        <v>10</v>
      </c>
      <c r="H1391" s="7" t="n">
        <f aca="false">IFERROR(INDEX('Semrush Data'!$A$1:$Z$20000,MATCH(A1391,'Semrush Data'!$A$1:$A$20000,0),MATCH("Keyword Difficulty*",'Semrush Data'!$A$1:$Z$1,0)),"")</f>
        <v>9</v>
      </c>
      <c r="I1391" s="13" t="n">
        <f aca="false">IFERROR(INDEX('Semrush Data'!$A$1:$Z$20000,MATCH(A1391,'Semrush Data'!$A$1:$A$20000,0),MATCH("CPC*",'Semrush Data'!$A$1:$Z$1,0)),"")</f>
        <v>0</v>
      </c>
      <c r="J1391" s="7" t="str">
        <f aca="false">IFERROR(INDEX('Semrush Data'!$A$1:$Z$20000,MATCH(A1391,'Semrush Data'!$A$1:$A$20000,0),MATCH("Intent",'Semrush Data'!$A$1:$Z$1,0)),"")</f>
        <v>Informational Transactional</v>
      </c>
    </row>
    <row r="1392" customFormat="false" ht="15" hidden="false" customHeight="true" outlineLevel="0" collapsed="false">
      <c r="A1392" s="7" t="s">
        <v>3473</v>
      </c>
      <c r="B1392" s="7" t="s">
        <v>6817</v>
      </c>
      <c r="C1392" s="7" t="n">
        <v>2</v>
      </c>
      <c r="D1392" s="7" t="s">
        <v>6815</v>
      </c>
      <c r="E1392" s="7" t="n">
        <v>1</v>
      </c>
      <c r="F1392" s="7" t="s">
        <v>90</v>
      </c>
      <c r="G1392" s="12" t="n">
        <f aca="false">IFERROR(INDEX('Semrush Data'!$A$1:$Z$20000,MATCH(A1392,'Semrush Data'!$A$1:$A$20000,0),MATCH("Volume",'Semrush Data'!$A$1:$Z$1,0)),"")</f>
        <v>20</v>
      </c>
      <c r="H1392" s="7" t="n">
        <f aca="false">IFERROR(INDEX('Semrush Data'!$A$1:$Z$20000,MATCH(A1392,'Semrush Data'!$A$1:$A$20000,0),MATCH("Keyword Difficulty*",'Semrush Data'!$A$1:$Z$1,0)),"")</f>
        <v>10</v>
      </c>
      <c r="I1392" s="13" t="n">
        <f aca="false">IFERROR(INDEX('Semrush Data'!$A$1:$Z$20000,MATCH(A1392,'Semrush Data'!$A$1:$A$20000,0),MATCH("CPC*",'Semrush Data'!$A$1:$Z$1,0)),"")</f>
        <v>0</v>
      </c>
      <c r="J1392" s="7" t="str">
        <f aca="false">IFERROR(INDEX('Semrush Data'!$A$1:$Z$20000,MATCH(A1392,'Semrush Data'!$A$1:$A$20000,0),MATCH("Intent",'Semrush Data'!$A$1:$Z$1,0)),"")</f>
        <v>Informational Transactional</v>
      </c>
    </row>
    <row r="1393" customFormat="false" ht="15" hidden="false" customHeight="true" outlineLevel="0" collapsed="false">
      <c r="A1393" s="7" t="s">
        <v>3485</v>
      </c>
      <c r="B1393" s="7" t="s">
        <v>6817</v>
      </c>
      <c r="C1393" s="7" t="n">
        <v>2</v>
      </c>
      <c r="D1393" s="7" t="n">
        <v>14</v>
      </c>
      <c r="E1393" s="7" t="n">
        <v>1</v>
      </c>
      <c r="F1393" s="7" t="s">
        <v>3478</v>
      </c>
      <c r="G1393" s="12" t="str">
        <f aca="false">IFERROR(INDEX('Semrush Data'!$A$1:$Z$20000,MATCH(A1393,'Semrush Data'!$A$1:$A$20000,0),MATCH("Volume",'Semrush Data'!$A$1:$Z$1,0)),"")</f>
        <v/>
      </c>
      <c r="H1393" s="7" t="str">
        <f aca="false">IFERROR(INDEX('Semrush Data'!$A$1:$Z$20000,MATCH(A1393,'Semrush Data'!$A$1:$A$20000,0),MATCH("Keyword Difficulty*",'Semrush Data'!$A$1:$Z$1,0)),"")</f>
        <v/>
      </c>
      <c r="I1393" s="13" t="str">
        <f aca="false">IFERROR(INDEX('Semrush Data'!$A$1:$Z$20000,MATCH(A1393,'Semrush Data'!$A$1:$A$20000,0),MATCH("CPC*",'Semrush Data'!$A$1:$Z$1,0)),"")</f>
        <v/>
      </c>
      <c r="J1393" s="7" t="str">
        <f aca="false">IFERROR(INDEX('Semrush Data'!$A$1:$Z$20000,MATCH(A1393,'Semrush Data'!$A$1:$A$20000,0),MATCH("Intent",'Semrush Data'!$A$1:$Z$1,0)),"")</f>
        <v/>
      </c>
    </row>
    <row r="1394" customFormat="false" ht="15" hidden="false" customHeight="true" outlineLevel="0" collapsed="false">
      <c r="A1394" s="7" t="s">
        <v>3506</v>
      </c>
      <c r="B1394" s="7" t="s">
        <v>6817</v>
      </c>
      <c r="C1394" s="7" t="n">
        <v>2</v>
      </c>
      <c r="D1394" s="7" t="s">
        <v>6815</v>
      </c>
      <c r="E1394" s="7" t="n">
        <v>1</v>
      </c>
      <c r="F1394" s="7" t="s">
        <v>45</v>
      </c>
      <c r="G1394" s="12" t="n">
        <f aca="false">IFERROR(INDEX('Semrush Data'!$A$1:$Z$20000,MATCH(A1394,'Semrush Data'!$A$1:$A$20000,0),MATCH("Volume",'Semrush Data'!$A$1:$Z$1,0)),"")</f>
        <v>4400</v>
      </c>
      <c r="H1394" s="7" t="n">
        <f aca="false">IFERROR(INDEX('Semrush Data'!$A$1:$Z$20000,MATCH(A1394,'Semrush Data'!$A$1:$A$20000,0),MATCH("Keyword Difficulty*",'Semrush Data'!$A$1:$Z$1,0)),"")</f>
        <v>28</v>
      </c>
      <c r="I1394" s="13" t="n">
        <f aca="false">IFERROR(INDEX('Semrush Data'!$A$1:$Z$20000,MATCH(A1394,'Semrush Data'!$A$1:$A$20000,0),MATCH("CPC*",'Semrush Data'!$A$1:$Z$1,0)),"")</f>
        <v>0.69</v>
      </c>
      <c r="J1394" s="7" t="str">
        <f aca="false">IFERROR(INDEX('Semrush Data'!$A$1:$Z$20000,MATCH(A1394,'Semrush Data'!$A$1:$A$20000,0),MATCH("Intent",'Semrush Data'!$A$1:$Z$1,0)),"")</f>
        <v>Informational Transactional</v>
      </c>
    </row>
    <row r="1395" customFormat="false" ht="15" hidden="false" customHeight="true" outlineLevel="0" collapsed="false">
      <c r="A1395" s="7" t="s">
        <v>3519</v>
      </c>
      <c r="B1395" s="7" t="s">
        <v>6817</v>
      </c>
      <c r="C1395" s="7" t="n">
        <v>2</v>
      </c>
      <c r="D1395" s="7" t="s">
        <v>6816</v>
      </c>
      <c r="E1395" s="7" t="n">
        <v>1</v>
      </c>
      <c r="F1395" s="7" t="s">
        <v>3512</v>
      </c>
      <c r="G1395" s="12" t="n">
        <f aca="false">IFERROR(INDEX('Semrush Data'!$A$1:$Z$20000,MATCH(A1395,'Semrush Data'!$A$1:$A$20000,0),MATCH("Volume",'Semrush Data'!$A$1:$Z$1,0)),"")</f>
        <v>30</v>
      </c>
      <c r="H1395" s="7" t="n">
        <f aca="false">IFERROR(INDEX('Semrush Data'!$A$1:$Z$20000,MATCH(A1395,'Semrush Data'!$A$1:$A$20000,0),MATCH("Keyword Difficulty*",'Semrush Data'!$A$1:$Z$1,0)),"")</f>
        <v>20</v>
      </c>
      <c r="I1395" s="13" t="n">
        <f aca="false">IFERROR(INDEX('Semrush Data'!$A$1:$Z$20000,MATCH(A1395,'Semrush Data'!$A$1:$A$20000,0),MATCH("CPC*",'Semrush Data'!$A$1:$Z$1,0)),"")</f>
        <v>0</v>
      </c>
      <c r="J1395" s="7" t="str">
        <f aca="false">IFERROR(INDEX('Semrush Data'!$A$1:$Z$20000,MATCH(A1395,'Semrush Data'!$A$1:$A$20000,0),MATCH("Intent",'Semrush Data'!$A$1:$Z$1,0)),"")</f>
        <v>Informational Navigational</v>
      </c>
    </row>
    <row r="1396" customFormat="false" ht="15" hidden="false" customHeight="true" outlineLevel="0" collapsed="false">
      <c r="A1396" s="7" t="s">
        <v>3529</v>
      </c>
      <c r="B1396" s="7" t="s">
        <v>6817</v>
      </c>
      <c r="C1396" s="7" t="n">
        <v>2</v>
      </c>
      <c r="D1396" s="7" t="s">
        <v>6815</v>
      </c>
      <c r="E1396" s="7" t="n">
        <v>1</v>
      </c>
      <c r="F1396" s="7" t="s">
        <v>130</v>
      </c>
      <c r="G1396" s="12" t="n">
        <f aca="false">IFERROR(INDEX('Semrush Data'!$A$1:$Z$20000,MATCH(A1396,'Semrush Data'!$A$1:$A$20000,0),MATCH("Volume",'Semrush Data'!$A$1:$Z$1,0)),"")</f>
        <v>20</v>
      </c>
      <c r="H1396" s="7" t="n">
        <f aca="false">IFERROR(INDEX('Semrush Data'!$A$1:$Z$20000,MATCH(A1396,'Semrush Data'!$A$1:$A$20000,0),MATCH("Keyword Difficulty*",'Semrush Data'!$A$1:$Z$1,0)),"")</f>
        <v>10</v>
      </c>
      <c r="I1396" s="13" t="n">
        <f aca="false">IFERROR(INDEX('Semrush Data'!$A$1:$Z$20000,MATCH(A1396,'Semrush Data'!$A$1:$A$20000,0),MATCH("CPC*",'Semrush Data'!$A$1:$Z$1,0)),"")</f>
        <v>0</v>
      </c>
      <c r="J1396" s="7" t="str">
        <f aca="false">IFERROR(INDEX('Semrush Data'!$A$1:$Z$20000,MATCH(A1396,'Semrush Data'!$A$1:$A$20000,0),MATCH("Intent",'Semrush Data'!$A$1:$Z$1,0)),"")</f>
        <v>Informational Transactional</v>
      </c>
    </row>
    <row r="1397" customFormat="false" ht="15" hidden="false" customHeight="true" outlineLevel="0" collapsed="false">
      <c r="A1397" s="7" t="s">
        <v>3567</v>
      </c>
      <c r="B1397" s="7" t="s">
        <v>6817</v>
      </c>
      <c r="C1397" s="7" t="n">
        <v>2</v>
      </c>
      <c r="D1397" s="7" t="s">
        <v>6815</v>
      </c>
      <c r="E1397" s="7" t="n">
        <v>1</v>
      </c>
      <c r="F1397" s="7" t="s">
        <v>3559</v>
      </c>
      <c r="G1397" s="12" t="n">
        <f aca="false">IFERROR(INDEX('Semrush Data'!$A$1:$Z$20000,MATCH(A1397,'Semrush Data'!$A$1:$A$20000,0),MATCH("Volume",'Semrush Data'!$A$1:$Z$1,0)),"")</f>
        <v>110</v>
      </c>
      <c r="H1397" s="7" t="n">
        <f aca="false">IFERROR(INDEX('Semrush Data'!$A$1:$Z$20000,MATCH(A1397,'Semrush Data'!$A$1:$A$20000,0),MATCH("Keyword Difficulty*",'Semrush Data'!$A$1:$Z$1,0)),"")</f>
        <v>22</v>
      </c>
      <c r="I1397" s="13" t="n">
        <f aca="false">IFERROR(INDEX('Semrush Data'!$A$1:$Z$20000,MATCH(A1397,'Semrush Data'!$A$1:$A$20000,0),MATCH("CPC*",'Semrush Data'!$A$1:$Z$1,0)),"")</f>
        <v>0.53</v>
      </c>
      <c r="J1397" s="7" t="str">
        <f aca="false">IFERROR(INDEX('Semrush Data'!$A$1:$Z$20000,MATCH(A1397,'Semrush Data'!$A$1:$A$20000,0),MATCH("Intent",'Semrush Data'!$A$1:$Z$1,0)),"")</f>
        <v>Informational Transactional</v>
      </c>
    </row>
    <row r="1398" customFormat="false" ht="15" hidden="false" customHeight="true" outlineLevel="0" collapsed="false">
      <c r="A1398" s="7" t="s">
        <v>3626</v>
      </c>
      <c r="B1398" s="7" t="s">
        <v>6817</v>
      </c>
      <c r="C1398" s="7" t="n">
        <v>2</v>
      </c>
      <c r="D1398" s="7" t="s">
        <v>6815</v>
      </c>
      <c r="E1398" s="7" t="n">
        <v>1</v>
      </c>
      <c r="F1398" s="7" t="s">
        <v>3620</v>
      </c>
      <c r="G1398" s="12" t="n">
        <f aca="false">IFERROR(INDEX('Semrush Data'!$A$1:$Z$20000,MATCH(A1398,'Semrush Data'!$A$1:$A$20000,0),MATCH("Volume",'Semrush Data'!$A$1:$Z$1,0)),"")</f>
        <v>40</v>
      </c>
      <c r="H1398" s="7" t="n">
        <f aca="false">IFERROR(INDEX('Semrush Data'!$A$1:$Z$20000,MATCH(A1398,'Semrush Data'!$A$1:$A$20000,0),MATCH("Keyword Difficulty*",'Semrush Data'!$A$1:$Z$1,0)),"")</f>
        <v>22</v>
      </c>
      <c r="I1398" s="13" t="n">
        <f aca="false">IFERROR(INDEX('Semrush Data'!$A$1:$Z$20000,MATCH(A1398,'Semrush Data'!$A$1:$A$20000,0),MATCH("CPC*",'Semrush Data'!$A$1:$Z$1,0)),"")</f>
        <v>0.39</v>
      </c>
      <c r="J1398" s="7" t="str">
        <f aca="false">IFERROR(INDEX('Semrush Data'!$A$1:$Z$20000,MATCH(A1398,'Semrush Data'!$A$1:$A$20000,0),MATCH("Intent",'Semrush Data'!$A$1:$Z$1,0)),"")</f>
        <v>Informational</v>
      </c>
    </row>
    <row r="1399" customFormat="false" ht="15" hidden="false" customHeight="true" outlineLevel="0" collapsed="false">
      <c r="A1399" s="7" t="s">
        <v>3579</v>
      </c>
      <c r="B1399" s="7" t="s">
        <v>6817</v>
      </c>
      <c r="C1399" s="7" t="n">
        <v>2</v>
      </c>
      <c r="D1399" s="7" t="n">
        <v>14</v>
      </c>
      <c r="E1399" s="7" t="n">
        <v>1</v>
      </c>
      <c r="F1399" s="7" t="s">
        <v>3573</v>
      </c>
      <c r="G1399" s="12" t="str">
        <f aca="false">IFERROR(INDEX('Semrush Data'!$A$1:$Z$20000,MATCH(A1399,'Semrush Data'!$A$1:$A$20000,0),MATCH("Volume",'Semrush Data'!$A$1:$Z$1,0)),"")</f>
        <v/>
      </c>
      <c r="H1399" s="7" t="str">
        <f aca="false">IFERROR(INDEX('Semrush Data'!$A$1:$Z$20000,MATCH(A1399,'Semrush Data'!$A$1:$A$20000,0),MATCH("Keyword Difficulty*",'Semrush Data'!$A$1:$Z$1,0)),"")</f>
        <v/>
      </c>
      <c r="I1399" s="13" t="str">
        <f aca="false">IFERROR(INDEX('Semrush Data'!$A$1:$Z$20000,MATCH(A1399,'Semrush Data'!$A$1:$A$20000,0),MATCH("CPC*",'Semrush Data'!$A$1:$Z$1,0)),"")</f>
        <v/>
      </c>
      <c r="J1399" s="7" t="str">
        <f aca="false">IFERROR(INDEX('Semrush Data'!$A$1:$Z$20000,MATCH(A1399,'Semrush Data'!$A$1:$A$20000,0),MATCH("Intent",'Semrush Data'!$A$1:$Z$1,0)),"")</f>
        <v/>
      </c>
    </row>
    <row r="1400" customFormat="false" ht="15" hidden="false" customHeight="true" outlineLevel="0" collapsed="false">
      <c r="A1400" s="7" t="s">
        <v>3589</v>
      </c>
      <c r="B1400" s="7" t="s">
        <v>6817</v>
      </c>
      <c r="C1400" s="7" t="n">
        <v>2</v>
      </c>
      <c r="D1400" s="7" t="s">
        <v>6815</v>
      </c>
      <c r="E1400" s="7" t="n">
        <v>2</v>
      </c>
      <c r="F1400" s="7" t="s">
        <v>6799</v>
      </c>
      <c r="G1400" s="12" t="n">
        <f aca="false">IFERROR(INDEX('Semrush Data'!$A$1:$Z$20000,MATCH(A1400,'Semrush Data'!$A$1:$A$20000,0),MATCH("Volume",'Semrush Data'!$A$1:$Z$1,0)),"")</f>
        <v>140</v>
      </c>
      <c r="H1400" s="7" t="n">
        <f aca="false">IFERROR(INDEX('Semrush Data'!$A$1:$Z$20000,MATCH(A1400,'Semrush Data'!$A$1:$A$20000,0),MATCH("Keyword Difficulty*",'Semrush Data'!$A$1:$Z$1,0)),"")</f>
        <v>15</v>
      </c>
      <c r="I1400" s="13" t="n">
        <f aca="false">IFERROR(INDEX('Semrush Data'!$A$1:$Z$20000,MATCH(A1400,'Semrush Data'!$A$1:$A$20000,0),MATCH("CPC*",'Semrush Data'!$A$1:$Z$1,0)),"")</f>
        <v>0.55</v>
      </c>
      <c r="J1400" s="7" t="str">
        <f aca="false">IFERROR(INDEX('Semrush Data'!$A$1:$Z$20000,MATCH(A1400,'Semrush Data'!$A$1:$A$20000,0),MATCH("Intent",'Semrush Data'!$A$1:$Z$1,0)),"")</f>
        <v>Informational Transactional</v>
      </c>
    </row>
    <row r="1401" customFormat="false" ht="15" hidden="false" customHeight="true" outlineLevel="0" collapsed="false">
      <c r="A1401" s="7" t="s">
        <v>3615</v>
      </c>
      <c r="B1401" s="7" t="s">
        <v>6817</v>
      </c>
      <c r="C1401" s="7" t="n">
        <v>2</v>
      </c>
      <c r="D1401" s="7" t="n">
        <v>14</v>
      </c>
      <c r="E1401" s="7" t="n">
        <v>1</v>
      </c>
      <c r="F1401" s="7" t="s">
        <v>3609</v>
      </c>
      <c r="G1401" s="12" t="str">
        <f aca="false">IFERROR(INDEX('Semrush Data'!$A$1:$Z$20000,MATCH(A1401,'Semrush Data'!$A$1:$A$20000,0),MATCH("Volume",'Semrush Data'!$A$1:$Z$1,0)),"")</f>
        <v/>
      </c>
      <c r="H1401" s="7" t="str">
        <f aca="false">IFERROR(INDEX('Semrush Data'!$A$1:$Z$20000,MATCH(A1401,'Semrush Data'!$A$1:$A$20000,0),MATCH("Keyword Difficulty*",'Semrush Data'!$A$1:$Z$1,0)),"")</f>
        <v/>
      </c>
      <c r="I1401" s="13" t="str">
        <f aca="false">IFERROR(INDEX('Semrush Data'!$A$1:$Z$20000,MATCH(A1401,'Semrush Data'!$A$1:$A$20000,0),MATCH("CPC*",'Semrush Data'!$A$1:$Z$1,0)),"")</f>
        <v/>
      </c>
      <c r="J1401" s="7" t="str">
        <f aca="false">IFERROR(INDEX('Semrush Data'!$A$1:$Z$20000,MATCH(A1401,'Semrush Data'!$A$1:$A$20000,0),MATCH("Intent",'Semrush Data'!$A$1:$Z$1,0)),"")</f>
        <v/>
      </c>
    </row>
    <row r="1402" customFormat="false" ht="15" hidden="false" customHeight="true" outlineLevel="0" collapsed="false">
      <c r="A1402" s="7" t="s">
        <v>3604</v>
      </c>
      <c r="B1402" s="7" t="s">
        <v>6817</v>
      </c>
      <c r="C1402" s="7" t="n">
        <v>2</v>
      </c>
      <c r="D1402" s="7" t="s">
        <v>6816</v>
      </c>
      <c r="E1402" s="7" t="n">
        <v>1</v>
      </c>
      <c r="F1402" s="7" t="s">
        <v>3598</v>
      </c>
      <c r="G1402" s="12" t="n">
        <f aca="false">IFERROR(INDEX('Semrush Data'!$A$1:$Z$20000,MATCH(A1402,'Semrush Data'!$A$1:$A$20000,0),MATCH("Volume",'Semrush Data'!$A$1:$Z$1,0)),"")</f>
        <v>20</v>
      </c>
      <c r="H1402" s="7" t="n">
        <f aca="false">IFERROR(INDEX('Semrush Data'!$A$1:$Z$20000,MATCH(A1402,'Semrush Data'!$A$1:$A$20000,0),MATCH("Keyword Difficulty*",'Semrush Data'!$A$1:$Z$1,0)),"")</f>
        <v>14</v>
      </c>
      <c r="I1402" s="13" t="n">
        <f aca="false">IFERROR(INDEX('Semrush Data'!$A$1:$Z$20000,MATCH(A1402,'Semrush Data'!$A$1:$A$20000,0),MATCH("CPC*",'Semrush Data'!$A$1:$Z$1,0)),"")</f>
        <v>0</v>
      </c>
      <c r="J1402" s="7" t="str">
        <f aca="false">IFERROR(INDEX('Semrush Data'!$A$1:$Z$20000,MATCH(A1402,'Semrush Data'!$A$1:$A$20000,0),MATCH("Intent",'Semrush Data'!$A$1:$Z$1,0)),"")</f>
        <v>Informational</v>
      </c>
    </row>
    <row r="1403" customFormat="false" ht="15" hidden="false" customHeight="true" outlineLevel="0" collapsed="false">
      <c r="A1403" s="7" t="s">
        <v>3800</v>
      </c>
      <c r="B1403" s="7" t="s">
        <v>6817</v>
      </c>
      <c r="C1403" s="7" t="n">
        <v>2</v>
      </c>
      <c r="D1403" s="7" t="n">
        <v>15</v>
      </c>
      <c r="E1403" s="7" t="n">
        <v>1</v>
      </c>
      <c r="F1403" s="7" t="s">
        <v>3794</v>
      </c>
      <c r="G1403" s="12" t="str">
        <f aca="false">IFERROR(INDEX('Semrush Data'!$A$1:$Z$20000,MATCH(A1403,'Semrush Data'!$A$1:$A$20000,0),MATCH("Volume",'Semrush Data'!$A$1:$Z$1,0)),"")</f>
        <v/>
      </c>
      <c r="H1403" s="7" t="str">
        <f aca="false">IFERROR(INDEX('Semrush Data'!$A$1:$Z$20000,MATCH(A1403,'Semrush Data'!$A$1:$A$20000,0),MATCH("Keyword Difficulty*",'Semrush Data'!$A$1:$Z$1,0)),"")</f>
        <v/>
      </c>
      <c r="I1403" s="13" t="str">
        <f aca="false">IFERROR(INDEX('Semrush Data'!$A$1:$Z$20000,MATCH(A1403,'Semrush Data'!$A$1:$A$20000,0),MATCH("CPC*",'Semrush Data'!$A$1:$Z$1,0)),"")</f>
        <v/>
      </c>
      <c r="J1403" s="7" t="str">
        <f aca="false">IFERROR(INDEX('Semrush Data'!$A$1:$Z$20000,MATCH(A1403,'Semrush Data'!$A$1:$A$20000,0),MATCH("Intent",'Semrush Data'!$A$1:$Z$1,0)),"")</f>
        <v/>
      </c>
    </row>
    <row r="1404" customFormat="false" ht="15" hidden="false" customHeight="true" outlineLevel="0" collapsed="false">
      <c r="A1404" s="7" t="s">
        <v>3811</v>
      </c>
      <c r="B1404" s="7" t="s">
        <v>6817</v>
      </c>
      <c r="C1404" s="7" t="n">
        <v>2</v>
      </c>
      <c r="D1404" s="7" t="s">
        <v>6816</v>
      </c>
      <c r="E1404" s="7" t="n">
        <v>1</v>
      </c>
      <c r="F1404" s="7" t="s">
        <v>3805</v>
      </c>
      <c r="G1404" s="12" t="n">
        <f aca="false">IFERROR(INDEX('Semrush Data'!$A$1:$Z$20000,MATCH(A1404,'Semrush Data'!$A$1:$A$20000,0),MATCH("Volume",'Semrush Data'!$A$1:$Z$1,0)),"")</f>
        <v>20</v>
      </c>
      <c r="H1404" s="7" t="n">
        <f aca="false">IFERROR(INDEX('Semrush Data'!$A$1:$Z$20000,MATCH(A1404,'Semrush Data'!$A$1:$A$20000,0),MATCH("Keyword Difficulty*",'Semrush Data'!$A$1:$Z$1,0)),"")</f>
        <v>18</v>
      </c>
      <c r="I1404" s="13" t="n">
        <f aca="false">IFERROR(INDEX('Semrush Data'!$A$1:$Z$20000,MATCH(A1404,'Semrush Data'!$A$1:$A$20000,0),MATCH("CPC*",'Semrush Data'!$A$1:$Z$1,0)),"")</f>
        <v>0</v>
      </c>
      <c r="J1404" s="7" t="str">
        <f aca="false">IFERROR(INDEX('Semrush Data'!$A$1:$Z$20000,MATCH(A1404,'Semrush Data'!$A$1:$A$20000,0),MATCH("Intent",'Semrush Data'!$A$1:$Z$1,0)),"")</f>
        <v>Informational</v>
      </c>
    </row>
    <row r="1405" customFormat="false" ht="15" hidden="false" customHeight="true" outlineLevel="0" collapsed="false">
      <c r="A1405" s="7" t="s">
        <v>3823</v>
      </c>
      <c r="B1405" s="7" t="s">
        <v>6817</v>
      </c>
      <c r="C1405" s="7" t="n">
        <v>2</v>
      </c>
      <c r="D1405" s="7" t="n">
        <v>15</v>
      </c>
      <c r="E1405" s="7" t="n">
        <v>1</v>
      </c>
      <c r="F1405" s="7" t="s">
        <v>3817</v>
      </c>
      <c r="G1405" s="12" t="str">
        <f aca="false">IFERROR(INDEX('Semrush Data'!$A$1:$Z$20000,MATCH(A1405,'Semrush Data'!$A$1:$A$20000,0),MATCH("Volume",'Semrush Data'!$A$1:$Z$1,0)),"")</f>
        <v/>
      </c>
      <c r="H1405" s="7" t="str">
        <f aca="false">IFERROR(INDEX('Semrush Data'!$A$1:$Z$20000,MATCH(A1405,'Semrush Data'!$A$1:$A$20000,0),MATCH("Keyword Difficulty*",'Semrush Data'!$A$1:$Z$1,0)),"")</f>
        <v/>
      </c>
      <c r="I1405" s="13" t="str">
        <f aca="false">IFERROR(INDEX('Semrush Data'!$A$1:$Z$20000,MATCH(A1405,'Semrush Data'!$A$1:$A$20000,0),MATCH("CPC*",'Semrush Data'!$A$1:$Z$1,0)),"")</f>
        <v/>
      </c>
      <c r="J1405" s="7" t="str">
        <f aca="false">IFERROR(INDEX('Semrush Data'!$A$1:$Z$20000,MATCH(A1405,'Semrush Data'!$A$1:$A$20000,0),MATCH("Intent",'Semrush Data'!$A$1:$Z$1,0)),"")</f>
        <v/>
      </c>
    </row>
    <row r="1406" customFormat="false" ht="15" hidden="false" customHeight="true" outlineLevel="0" collapsed="false">
      <c r="A1406" s="7" t="s">
        <v>3834</v>
      </c>
      <c r="B1406" s="7" t="s">
        <v>6817</v>
      </c>
      <c r="C1406" s="7" t="n">
        <v>2</v>
      </c>
      <c r="D1406" s="7" t="n">
        <v>15</v>
      </c>
      <c r="E1406" s="7" t="n">
        <v>1</v>
      </c>
      <c r="F1406" s="7" t="s">
        <v>3828</v>
      </c>
      <c r="G1406" s="12" t="str">
        <f aca="false">IFERROR(INDEX('Semrush Data'!$A$1:$Z$20000,MATCH(A1406,'Semrush Data'!$A$1:$A$20000,0),MATCH("Volume",'Semrush Data'!$A$1:$Z$1,0)),"")</f>
        <v/>
      </c>
      <c r="H1406" s="7" t="str">
        <f aca="false">IFERROR(INDEX('Semrush Data'!$A$1:$Z$20000,MATCH(A1406,'Semrush Data'!$A$1:$A$20000,0),MATCH("Keyword Difficulty*",'Semrush Data'!$A$1:$Z$1,0)),"")</f>
        <v/>
      </c>
      <c r="I1406" s="13" t="str">
        <f aca="false">IFERROR(INDEX('Semrush Data'!$A$1:$Z$20000,MATCH(A1406,'Semrush Data'!$A$1:$A$20000,0),MATCH("CPC*",'Semrush Data'!$A$1:$Z$1,0)),"")</f>
        <v/>
      </c>
      <c r="J1406" s="7" t="str">
        <f aca="false">IFERROR(INDEX('Semrush Data'!$A$1:$Z$20000,MATCH(A1406,'Semrush Data'!$A$1:$A$20000,0),MATCH("Intent",'Semrush Data'!$A$1:$Z$1,0)),"")</f>
        <v/>
      </c>
    </row>
    <row r="1407" customFormat="false" ht="15" hidden="false" customHeight="true" outlineLevel="0" collapsed="false">
      <c r="A1407" s="7" t="s">
        <v>3685</v>
      </c>
      <c r="B1407" s="7" t="s">
        <v>6817</v>
      </c>
      <c r="C1407" s="7" t="n">
        <v>2</v>
      </c>
      <c r="D1407" s="7" t="n">
        <v>15</v>
      </c>
      <c r="E1407" s="7" t="n">
        <v>1</v>
      </c>
      <c r="F1407" s="7" t="s">
        <v>3678</v>
      </c>
      <c r="G1407" s="12" t="str">
        <f aca="false">IFERROR(INDEX('Semrush Data'!$A$1:$Z$20000,MATCH(A1407,'Semrush Data'!$A$1:$A$20000,0),MATCH("Volume",'Semrush Data'!$A$1:$Z$1,0)),"")</f>
        <v/>
      </c>
      <c r="H1407" s="7" t="str">
        <f aca="false">IFERROR(INDEX('Semrush Data'!$A$1:$Z$20000,MATCH(A1407,'Semrush Data'!$A$1:$A$20000,0),MATCH("Keyword Difficulty*",'Semrush Data'!$A$1:$Z$1,0)),"")</f>
        <v/>
      </c>
      <c r="I1407" s="13" t="str">
        <f aca="false">IFERROR(INDEX('Semrush Data'!$A$1:$Z$20000,MATCH(A1407,'Semrush Data'!$A$1:$A$20000,0),MATCH("CPC*",'Semrush Data'!$A$1:$Z$1,0)),"")</f>
        <v/>
      </c>
      <c r="J1407" s="7" t="str">
        <f aca="false">IFERROR(INDEX('Semrush Data'!$A$1:$Z$20000,MATCH(A1407,'Semrush Data'!$A$1:$A$20000,0),MATCH("Intent",'Semrush Data'!$A$1:$Z$1,0)),"")</f>
        <v/>
      </c>
    </row>
    <row r="1408" customFormat="false" ht="15" hidden="false" customHeight="true" outlineLevel="0" collapsed="false">
      <c r="A1408" s="7" t="s">
        <v>3698</v>
      </c>
      <c r="B1408" s="7" t="s">
        <v>6817</v>
      </c>
      <c r="C1408" s="7" t="n">
        <v>2</v>
      </c>
      <c r="D1408" s="7" t="n">
        <v>15</v>
      </c>
      <c r="E1408" s="7" t="n">
        <v>1</v>
      </c>
      <c r="F1408" s="7" t="s">
        <v>3691</v>
      </c>
      <c r="G1408" s="12" t="str">
        <f aca="false">IFERROR(INDEX('Semrush Data'!$A$1:$Z$20000,MATCH(A1408,'Semrush Data'!$A$1:$A$20000,0),MATCH("Volume",'Semrush Data'!$A$1:$Z$1,0)),"")</f>
        <v/>
      </c>
      <c r="H1408" s="7" t="str">
        <f aca="false">IFERROR(INDEX('Semrush Data'!$A$1:$Z$20000,MATCH(A1408,'Semrush Data'!$A$1:$A$20000,0),MATCH("Keyword Difficulty*",'Semrush Data'!$A$1:$Z$1,0)),"")</f>
        <v/>
      </c>
      <c r="I1408" s="13" t="str">
        <f aca="false">IFERROR(INDEX('Semrush Data'!$A$1:$Z$20000,MATCH(A1408,'Semrush Data'!$A$1:$A$20000,0),MATCH("CPC*",'Semrush Data'!$A$1:$Z$1,0)),"")</f>
        <v/>
      </c>
      <c r="J1408" s="7" t="str">
        <f aca="false">IFERROR(INDEX('Semrush Data'!$A$1:$Z$20000,MATCH(A1408,'Semrush Data'!$A$1:$A$20000,0),MATCH("Intent",'Semrush Data'!$A$1:$Z$1,0)),"")</f>
        <v/>
      </c>
    </row>
    <row r="1409" customFormat="false" ht="15" hidden="false" customHeight="true" outlineLevel="0" collapsed="false">
      <c r="A1409" s="7" t="s">
        <v>3710</v>
      </c>
      <c r="B1409" s="7" t="s">
        <v>6817</v>
      </c>
      <c r="C1409" s="7" t="n">
        <v>2</v>
      </c>
      <c r="D1409" s="7" t="n">
        <v>15</v>
      </c>
      <c r="E1409" s="7" t="n">
        <v>1</v>
      </c>
      <c r="F1409" s="7" t="s">
        <v>3704</v>
      </c>
      <c r="G1409" s="12" t="str">
        <f aca="false">IFERROR(INDEX('Semrush Data'!$A$1:$Z$20000,MATCH(A1409,'Semrush Data'!$A$1:$A$20000,0),MATCH("Volume",'Semrush Data'!$A$1:$Z$1,0)),"")</f>
        <v/>
      </c>
      <c r="H1409" s="7" t="str">
        <f aca="false">IFERROR(INDEX('Semrush Data'!$A$1:$Z$20000,MATCH(A1409,'Semrush Data'!$A$1:$A$20000,0),MATCH("Keyword Difficulty*",'Semrush Data'!$A$1:$Z$1,0)),"")</f>
        <v/>
      </c>
      <c r="I1409" s="13" t="str">
        <f aca="false">IFERROR(INDEX('Semrush Data'!$A$1:$Z$20000,MATCH(A1409,'Semrush Data'!$A$1:$A$20000,0),MATCH("CPC*",'Semrush Data'!$A$1:$Z$1,0)),"")</f>
        <v/>
      </c>
      <c r="J1409" s="7" t="str">
        <f aca="false">IFERROR(INDEX('Semrush Data'!$A$1:$Z$20000,MATCH(A1409,'Semrush Data'!$A$1:$A$20000,0),MATCH("Intent",'Semrush Data'!$A$1:$Z$1,0)),"")</f>
        <v/>
      </c>
    </row>
    <row r="1410" customFormat="false" ht="15" hidden="false" customHeight="true" outlineLevel="0" collapsed="false">
      <c r="A1410" s="7" t="s">
        <v>3721</v>
      </c>
      <c r="B1410" s="7" t="s">
        <v>6817</v>
      </c>
      <c r="C1410" s="7" t="n">
        <v>2</v>
      </c>
      <c r="D1410" s="7" t="n">
        <v>15</v>
      </c>
      <c r="E1410" s="7" t="n">
        <v>1</v>
      </c>
      <c r="F1410" s="7" t="s">
        <v>3715</v>
      </c>
      <c r="G1410" s="12" t="str">
        <f aca="false">IFERROR(INDEX('Semrush Data'!$A$1:$Z$20000,MATCH(A1410,'Semrush Data'!$A$1:$A$20000,0),MATCH("Volume",'Semrush Data'!$A$1:$Z$1,0)),"")</f>
        <v/>
      </c>
      <c r="H1410" s="7" t="str">
        <f aca="false">IFERROR(INDEX('Semrush Data'!$A$1:$Z$20000,MATCH(A1410,'Semrush Data'!$A$1:$A$20000,0),MATCH("Keyword Difficulty*",'Semrush Data'!$A$1:$Z$1,0)),"")</f>
        <v/>
      </c>
      <c r="I1410" s="13" t="str">
        <f aca="false">IFERROR(INDEX('Semrush Data'!$A$1:$Z$20000,MATCH(A1410,'Semrush Data'!$A$1:$A$20000,0),MATCH("CPC*",'Semrush Data'!$A$1:$Z$1,0)),"")</f>
        <v/>
      </c>
      <c r="J1410" s="7" t="str">
        <f aca="false">IFERROR(INDEX('Semrush Data'!$A$1:$Z$20000,MATCH(A1410,'Semrush Data'!$A$1:$A$20000,0),MATCH("Intent",'Semrush Data'!$A$1:$Z$1,0)),"")</f>
        <v/>
      </c>
    </row>
    <row r="1411" customFormat="false" ht="15" hidden="false" customHeight="true" outlineLevel="0" collapsed="false">
      <c r="A1411" s="7" t="s">
        <v>3732</v>
      </c>
      <c r="B1411" s="7" t="s">
        <v>6817</v>
      </c>
      <c r="C1411" s="7" t="n">
        <v>2</v>
      </c>
      <c r="D1411" s="7" t="n">
        <v>15</v>
      </c>
      <c r="E1411" s="7" t="n">
        <v>1</v>
      </c>
      <c r="F1411" s="7" t="s">
        <v>3726</v>
      </c>
      <c r="G1411" s="12" t="str">
        <f aca="false">IFERROR(INDEX('Semrush Data'!$A$1:$Z$20000,MATCH(A1411,'Semrush Data'!$A$1:$A$20000,0),MATCH("Volume",'Semrush Data'!$A$1:$Z$1,0)),"")</f>
        <v/>
      </c>
      <c r="H1411" s="7" t="str">
        <f aca="false">IFERROR(INDEX('Semrush Data'!$A$1:$Z$20000,MATCH(A1411,'Semrush Data'!$A$1:$A$20000,0),MATCH("Keyword Difficulty*",'Semrush Data'!$A$1:$Z$1,0)),"")</f>
        <v/>
      </c>
      <c r="I1411" s="13" t="str">
        <f aca="false">IFERROR(INDEX('Semrush Data'!$A$1:$Z$20000,MATCH(A1411,'Semrush Data'!$A$1:$A$20000,0),MATCH("CPC*",'Semrush Data'!$A$1:$Z$1,0)),"")</f>
        <v/>
      </c>
      <c r="J1411" s="7" t="str">
        <f aca="false">IFERROR(INDEX('Semrush Data'!$A$1:$Z$20000,MATCH(A1411,'Semrush Data'!$A$1:$A$20000,0),MATCH("Intent",'Semrush Data'!$A$1:$Z$1,0)),"")</f>
        <v/>
      </c>
    </row>
    <row r="1412" customFormat="false" ht="15" hidden="false" customHeight="true" outlineLevel="0" collapsed="false">
      <c r="A1412" s="7" t="s">
        <v>3744</v>
      </c>
      <c r="B1412" s="7" t="s">
        <v>6817</v>
      </c>
      <c r="C1412" s="7" t="n">
        <v>2</v>
      </c>
      <c r="D1412" s="7" t="n">
        <v>15</v>
      </c>
      <c r="E1412" s="7" t="n">
        <v>1</v>
      </c>
      <c r="F1412" s="7" t="s">
        <v>3738</v>
      </c>
      <c r="G1412" s="12" t="str">
        <f aca="false">IFERROR(INDEX('Semrush Data'!$A$1:$Z$20000,MATCH(A1412,'Semrush Data'!$A$1:$A$20000,0),MATCH("Volume",'Semrush Data'!$A$1:$Z$1,0)),"")</f>
        <v/>
      </c>
      <c r="H1412" s="7" t="str">
        <f aca="false">IFERROR(INDEX('Semrush Data'!$A$1:$Z$20000,MATCH(A1412,'Semrush Data'!$A$1:$A$20000,0),MATCH("Keyword Difficulty*",'Semrush Data'!$A$1:$Z$1,0)),"")</f>
        <v/>
      </c>
      <c r="I1412" s="13" t="str">
        <f aca="false">IFERROR(INDEX('Semrush Data'!$A$1:$Z$20000,MATCH(A1412,'Semrush Data'!$A$1:$A$20000,0),MATCH("CPC*",'Semrush Data'!$A$1:$Z$1,0)),"")</f>
        <v/>
      </c>
      <c r="J1412" s="7" t="str">
        <f aca="false">IFERROR(INDEX('Semrush Data'!$A$1:$Z$20000,MATCH(A1412,'Semrush Data'!$A$1:$A$20000,0),MATCH("Intent",'Semrush Data'!$A$1:$Z$1,0)),"")</f>
        <v/>
      </c>
    </row>
    <row r="1413" customFormat="false" ht="15" hidden="false" customHeight="true" outlineLevel="0" collapsed="false">
      <c r="A1413" s="7" t="s">
        <v>3755</v>
      </c>
      <c r="B1413" s="7" t="s">
        <v>6817</v>
      </c>
      <c r="C1413" s="7" t="n">
        <v>2</v>
      </c>
      <c r="D1413" s="7" t="n">
        <v>15</v>
      </c>
      <c r="E1413" s="7" t="n">
        <v>1</v>
      </c>
      <c r="F1413" s="7" t="s">
        <v>3749</v>
      </c>
      <c r="G1413" s="12" t="str">
        <f aca="false">IFERROR(INDEX('Semrush Data'!$A$1:$Z$20000,MATCH(A1413,'Semrush Data'!$A$1:$A$20000,0),MATCH("Volume",'Semrush Data'!$A$1:$Z$1,0)),"")</f>
        <v/>
      </c>
      <c r="H1413" s="7" t="str">
        <f aca="false">IFERROR(INDEX('Semrush Data'!$A$1:$Z$20000,MATCH(A1413,'Semrush Data'!$A$1:$A$20000,0),MATCH("Keyword Difficulty*",'Semrush Data'!$A$1:$Z$1,0)),"")</f>
        <v/>
      </c>
      <c r="I1413" s="13" t="str">
        <f aca="false">IFERROR(INDEX('Semrush Data'!$A$1:$Z$20000,MATCH(A1413,'Semrush Data'!$A$1:$A$20000,0),MATCH("CPC*",'Semrush Data'!$A$1:$Z$1,0)),"")</f>
        <v/>
      </c>
      <c r="J1413" s="7" t="str">
        <f aca="false">IFERROR(INDEX('Semrush Data'!$A$1:$Z$20000,MATCH(A1413,'Semrush Data'!$A$1:$A$20000,0),MATCH("Intent",'Semrush Data'!$A$1:$Z$1,0)),"")</f>
        <v/>
      </c>
    </row>
    <row r="1414" customFormat="false" ht="15" hidden="false" customHeight="true" outlineLevel="0" collapsed="false">
      <c r="A1414" s="7" t="s">
        <v>3766</v>
      </c>
      <c r="B1414" s="7" t="s">
        <v>6817</v>
      </c>
      <c r="C1414" s="7" t="n">
        <v>2</v>
      </c>
      <c r="D1414" s="7" t="n">
        <v>15</v>
      </c>
      <c r="E1414" s="7" t="n">
        <v>1</v>
      </c>
      <c r="F1414" s="7" t="s">
        <v>3760</v>
      </c>
      <c r="G1414" s="12" t="str">
        <f aca="false">IFERROR(INDEX('Semrush Data'!$A$1:$Z$20000,MATCH(A1414,'Semrush Data'!$A$1:$A$20000,0),MATCH("Volume",'Semrush Data'!$A$1:$Z$1,0)),"")</f>
        <v/>
      </c>
      <c r="H1414" s="7" t="str">
        <f aca="false">IFERROR(INDEX('Semrush Data'!$A$1:$Z$20000,MATCH(A1414,'Semrush Data'!$A$1:$A$20000,0),MATCH("Keyword Difficulty*",'Semrush Data'!$A$1:$Z$1,0)),"")</f>
        <v/>
      </c>
      <c r="I1414" s="13" t="str">
        <f aca="false">IFERROR(INDEX('Semrush Data'!$A$1:$Z$20000,MATCH(A1414,'Semrush Data'!$A$1:$A$20000,0),MATCH("CPC*",'Semrush Data'!$A$1:$Z$1,0)),"")</f>
        <v/>
      </c>
      <c r="J1414" s="7" t="str">
        <f aca="false">IFERROR(INDEX('Semrush Data'!$A$1:$Z$20000,MATCH(A1414,'Semrush Data'!$A$1:$A$20000,0),MATCH("Intent",'Semrush Data'!$A$1:$Z$1,0)),"")</f>
        <v/>
      </c>
    </row>
    <row r="1415" customFormat="false" ht="15" hidden="false" customHeight="true" outlineLevel="0" collapsed="false">
      <c r="A1415" s="7" t="s">
        <v>3777</v>
      </c>
      <c r="B1415" s="7" t="s">
        <v>6817</v>
      </c>
      <c r="C1415" s="7" t="n">
        <v>2</v>
      </c>
      <c r="D1415" s="7" t="n">
        <v>15</v>
      </c>
      <c r="E1415" s="7" t="n">
        <v>1</v>
      </c>
      <c r="F1415" s="7" t="s">
        <v>3771</v>
      </c>
      <c r="G1415" s="12" t="str">
        <f aca="false">IFERROR(INDEX('Semrush Data'!$A$1:$Z$20000,MATCH(A1415,'Semrush Data'!$A$1:$A$20000,0),MATCH("Volume",'Semrush Data'!$A$1:$Z$1,0)),"")</f>
        <v/>
      </c>
      <c r="H1415" s="7" t="str">
        <f aca="false">IFERROR(INDEX('Semrush Data'!$A$1:$Z$20000,MATCH(A1415,'Semrush Data'!$A$1:$A$20000,0),MATCH("Keyword Difficulty*",'Semrush Data'!$A$1:$Z$1,0)),"")</f>
        <v/>
      </c>
      <c r="I1415" s="13" t="str">
        <f aca="false">IFERROR(INDEX('Semrush Data'!$A$1:$Z$20000,MATCH(A1415,'Semrush Data'!$A$1:$A$20000,0),MATCH("CPC*",'Semrush Data'!$A$1:$Z$1,0)),"")</f>
        <v/>
      </c>
      <c r="J1415" s="7" t="str">
        <f aca="false">IFERROR(INDEX('Semrush Data'!$A$1:$Z$20000,MATCH(A1415,'Semrush Data'!$A$1:$A$20000,0),MATCH("Intent",'Semrush Data'!$A$1:$Z$1,0)),"")</f>
        <v/>
      </c>
    </row>
    <row r="1416" customFormat="false" ht="15" hidden="false" customHeight="true" outlineLevel="0" collapsed="false">
      <c r="A1416" s="7" t="s">
        <v>3788</v>
      </c>
      <c r="B1416" s="7" t="s">
        <v>6817</v>
      </c>
      <c r="C1416" s="7" t="n">
        <v>2</v>
      </c>
      <c r="D1416" s="7" t="n">
        <v>15</v>
      </c>
      <c r="E1416" s="7" t="n">
        <v>1</v>
      </c>
      <c r="F1416" s="7" t="s">
        <v>3782</v>
      </c>
      <c r="G1416" s="12" t="str">
        <f aca="false">IFERROR(INDEX('Semrush Data'!$A$1:$Z$20000,MATCH(A1416,'Semrush Data'!$A$1:$A$20000,0),MATCH("Volume",'Semrush Data'!$A$1:$Z$1,0)),"")</f>
        <v/>
      </c>
      <c r="H1416" s="7" t="str">
        <f aca="false">IFERROR(INDEX('Semrush Data'!$A$1:$Z$20000,MATCH(A1416,'Semrush Data'!$A$1:$A$20000,0),MATCH("Keyword Difficulty*",'Semrush Data'!$A$1:$Z$1,0)),"")</f>
        <v/>
      </c>
      <c r="I1416" s="13" t="str">
        <f aca="false">IFERROR(INDEX('Semrush Data'!$A$1:$Z$20000,MATCH(A1416,'Semrush Data'!$A$1:$A$20000,0),MATCH("CPC*",'Semrush Data'!$A$1:$Z$1,0)),"")</f>
        <v/>
      </c>
      <c r="J1416" s="7" t="str">
        <f aca="false">IFERROR(INDEX('Semrush Data'!$A$1:$Z$20000,MATCH(A1416,'Semrush Data'!$A$1:$A$20000,0),MATCH("Intent",'Semrush Data'!$A$1:$Z$1,0)),"")</f>
        <v/>
      </c>
    </row>
    <row r="1417" customFormat="false" ht="15" hidden="false" customHeight="true" outlineLevel="0" collapsed="false">
      <c r="A1417" s="7" t="s">
        <v>3844</v>
      </c>
      <c r="B1417" s="7" t="s">
        <v>6817</v>
      </c>
      <c r="C1417" s="7" t="n">
        <v>2</v>
      </c>
      <c r="D1417" s="7" t="s">
        <v>6815</v>
      </c>
      <c r="E1417" s="7" t="n">
        <v>1</v>
      </c>
      <c r="F1417" s="7" t="s">
        <v>120</v>
      </c>
      <c r="G1417" s="12" t="n">
        <f aca="false">IFERROR(INDEX('Semrush Data'!$A$1:$Z$20000,MATCH(A1417,'Semrush Data'!$A$1:$A$20000,0),MATCH("Volume",'Semrush Data'!$A$1:$Z$1,0)),"")</f>
        <v>20</v>
      </c>
      <c r="H1417" s="7" t="n">
        <f aca="false">IFERROR(INDEX('Semrush Data'!$A$1:$Z$20000,MATCH(A1417,'Semrush Data'!$A$1:$A$20000,0),MATCH("Keyword Difficulty*",'Semrush Data'!$A$1:$Z$1,0)),"")</f>
        <v>18</v>
      </c>
      <c r="I1417" s="13" t="n">
        <f aca="false">IFERROR(INDEX('Semrush Data'!$A$1:$Z$20000,MATCH(A1417,'Semrush Data'!$A$1:$A$20000,0),MATCH("CPC*",'Semrush Data'!$A$1:$Z$1,0)),"")</f>
        <v>0.46</v>
      </c>
      <c r="J1417" s="7" t="str">
        <f aca="false">IFERROR(INDEX('Semrush Data'!$A$1:$Z$20000,MATCH(A1417,'Semrush Data'!$A$1:$A$20000,0),MATCH("Intent",'Semrush Data'!$A$1:$Z$1,0)),"")</f>
        <v>Informational</v>
      </c>
    </row>
    <row r="1418" customFormat="false" ht="15" hidden="false" customHeight="true" outlineLevel="0" collapsed="false">
      <c r="A1418" s="7" t="s">
        <v>3856</v>
      </c>
      <c r="B1418" s="7" t="s">
        <v>6817</v>
      </c>
      <c r="C1418" s="7" t="n">
        <v>2</v>
      </c>
      <c r="D1418" s="7" t="n">
        <v>15</v>
      </c>
      <c r="E1418" s="7" t="n">
        <v>1</v>
      </c>
      <c r="F1418" s="7" t="s">
        <v>3850</v>
      </c>
      <c r="G1418" s="12" t="str">
        <f aca="false">IFERROR(INDEX('Semrush Data'!$A$1:$Z$20000,MATCH(A1418,'Semrush Data'!$A$1:$A$20000,0),MATCH("Volume",'Semrush Data'!$A$1:$Z$1,0)),"")</f>
        <v/>
      </c>
      <c r="H1418" s="7" t="str">
        <f aca="false">IFERROR(INDEX('Semrush Data'!$A$1:$Z$20000,MATCH(A1418,'Semrush Data'!$A$1:$A$20000,0),MATCH("Keyword Difficulty*",'Semrush Data'!$A$1:$Z$1,0)),"")</f>
        <v/>
      </c>
      <c r="I1418" s="13" t="str">
        <f aca="false">IFERROR(INDEX('Semrush Data'!$A$1:$Z$20000,MATCH(A1418,'Semrush Data'!$A$1:$A$20000,0),MATCH("CPC*",'Semrush Data'!$A$1:$Z$1,0)),"")</f>
        <v/>
      </c>
      <c r="J1418" s="7" t="str">
        <f aca="false">IFERROR(INDEX('Semrush Data'!$A$1:$Z$20000,MATCH(A1418,'Semrush Data'!$A$1:$A$20000,0),MATCH("Intent",'Semrush Data'!$A$1:$Z$1,0)),"")</f>
        <v/>
      </c>
    </row>
    <row r="1419" customFormat="false" ht="15" hidden="false" customHeight="true" outlineLevel="0" collapsed="false">
      <c r="A1419" s="7" t="s">
        <v>3868</v>
      </c>
      <c r="B1419" s="7" t="s">
        <v>6817</v>
      </c>
      <c r="C1419" s="7" t="n">
        <v>2</v>
      </c>
      <c r="D1419" s="7" t="n">
        <v>15</v>
      </c>
      <c r="E1419" s="7" t="n">
        <v>1</v>
      </c>
      <c r="F1419" s="7" t="s">
        <v>3861</v>
      </c>
      <c r="G1419" s="12" t="str">
        <f aca="false">IFERROR(INDEX('Semrush Data'!$A$1:$Z$20000,MATCH(A1419,'Semrush Data'!$A$1:$A$20000,0),MATCH("Volume",'Semrush Data'!$A$1:$Z$1,0)),"")</f>
        <v/>
      </c>
      <c r="H1419" s="7" t="str">
        <f aca="false">IFERROR(INDEX('Semrush Data'!$A$1:$Z$20000,MATCH(A1419,'Semrush Data'!$A$1:$A$20000,0),MATCH("Keyword Difficulty*",'Semrush Data'!$A$1:$Z$1,0)),"")</f>
        <v/>
      </c>
      <c r="I1419" s="13" t="str">
        <f aca="false">IFERROR(INDEX('Semrush Data'!$A$1:$Z$20000,MATCH(A1419,'Semrush Data'!$A$1:$A$20000,0),MATCH("CPC*",'Semrush Data'!$A$1:$Z$1,0)),"")</f>
        <v/>
      </c>
      <c r="J1419" s="7" t="str">
        <f aca="false">IFERROR(INDEX('Semrush Data'!$A$1:$Z$20000,MATCH(A1419,'Semrush Data'!$A$1:$A$20000,0),MATCH("Intent",'Semrush Data'!$A$1:$Z$1,0)),"")</f>
        <v/>
      </c>
    </row>
    <row r="1420" customFormat="false" ht="15" hidden="false" customHeight="true" outlineLevel="0" collapsed="false">
      <c r="A1420" s="7" t="s">
        <v>3890</v>
      </c>
      <c r="B1420" s="7" t="s">
        <v>6817</v>
      </c>
      <c r="C1420" s="7" t="n">
        <v>2</v>
      </c>
      <c r="D1420" s="7" t="n">
        <v>15</v>
      </c>
      <c r="E1420" s="7" t="n">
        <v>1</v>
      </c>
      <c r="F1420" s="7" t="s">
        <v>3884</v>
      </c>
      <c r="G1420" s="12" t="str">
        <f aca="false">IFERROR(INDEX('Semrush Data'!$A$1:$Z$20000,MATCH(A1420,'Semrush Data'!$A$1:$A$20000,0),MATCH("Volume",'Semrush Data'!$A$1:$Z$1,0)),"")</f>
        <v/>
      </c>
      <c r="H1420" s="7" t="str">
        <f aca="false">IFERROR(INDEX('Semrush Data'!$A$1:$Z$20000,MATCH(A1420,'Semrush Data'!$A$1:$A$20000,0),MATCH("Keyword Difficulty*",'Semrush Data'!$A$1:$Z$1,0)),"")</f>
        <v/>
      </c>
      <c r="I1420" s="13" t="str">
        <f aca="false">IFERROR(INDEX('Semrush Data'!$A$1:$Z$20000,MATCH(A1420,'Semrush Data'!$A$1:$A$20000,0),MATCH("CPC*",'Semrush Data'!$A$1:$Z$1,0)),"")</f>
        <v/>
      </c>
      <c r="J1420" s="7" t="str">
        <f aca="false">IFERROR(INDEX('Semrush Data'!$A$1:$Z$20000,MATCH(A1420,'Semrush Data'!$A$1:$A$20000,0),MATCH("Intent",'Semrush Data'!$A$1:$Z$1,0)),"")</f>
        <v/>
      </c>
    </row>
    <row r="1421" customFormat="false" ht="15" hidden="false" customHeight="true" outlineLevel="0" collapsed="false">
      <c r="A1421" s="7" t="s">
        <v>3879</v>
      </c>
      <c r="B1421" s="7" t="s">
        <v>6817</v>
      </c>
      <c r="C1421" s="7" t="n">
        <v>2</v>
      </c>
      <c r="D1421" s="7" t="n">
        <v>15</v>
      </c>
      <c r="E1421" s="7" t="n">
        <v>1</v>
      </c>
      <c r="F1421" s="7" t="s">
        <v>3873</v>
      </c>
      <c r="G1421" s="12" t="str">
        <f aca="false">IFERROR(INDEX('Semrush Data'!$A$1:$Z$20000,MATCH(A1421,'Semrush Data'!$A$1:$A$20000,0),MATCH("Volume",'Semrush Data'!$A$1:$Z$1,0)),"")</f>
        <v/>
      </c>
      <c r="H1421" s="7" t="str">
        <f aca="false">IFERROR(INDEX('Semrush Data'!$A$1:$Z$20000,MATCH(A1421,'Semrush Data'!$A$1:$A$20000,0),MATCH("Keyword Difficulty*",'Semrush Data'!$A$1:$Z$1,0)),"")</f>
        <v/>
      </c>
      <c r="I1421" s="13" t="str">
        <f aca="false">IFERROR(INDEX('Semrush Data'!$A$1:$Z$20000,MATCH(A1421,'Semrush Data'!$A$1:$A$20000,0),MATCH("CPC*",'Semrush Data'!$A$1:$Z$1,0)),"")</f>
        <v/>
      </c>
      <c r="J1421" s="7" t="str">
        <f aca="false">IFERROR(INDEX('Semrush Data'!$A$1:$Z$20000,MATCH(A1421,'Semrush Data'!$A$1:$A$20000,0),MATCH("Intent",'Semrush Data'!$A$1:$Z$1,0)),"")</f>
        <v/>
      </c>
    </row>
    <row r="1422" customFormat="false" ht="15" hidden="false" customHeight="true" outlineLevel="0" collapsed="false">
      <c r="A1422" s="7" t="s">
        <v>3901</v>
      </c>
      <c r="B1422" s="7" t="s">
        <v>6817</v>
      </c>
      <c r="C1422" s="7" t="n">
        <v>2</v>
      </c>
      <c r="D1422" s="7" t="n">
        <v>15</v>
      </c>
      <c r="E1422" s="7" t="n">
        <v>1</v>
      </c>
      <c r="F1422" s="7" t="s">
        <v>3895</v>
      </c>
      <c r="G1422" s="12" t="str">
        <f aca="false">IFERROR(INDEX('Semrush Data'!$A$1:$Z$20000,MATCH(A1422,'Semrush Data'!$A$1:$A$20000,0),MATCH("Volume",'Semrush Data'!$A$1:$Z$1,0)),"")</f>
        <v/>
      </c>
      <c r="H1422" s="7" t="str">
        <f aca="false">IFERROR(INDEX('Semrush Data'!$A$1:$Z$20000,MATCH(A1422,'Semrush Data'!$A$1:$A$20000,0),MATCH("Keyword Difficulty*",'Semrush Data'!$A$1:$Z$1,0)),"")</f>
        <v/>
      </c>
      <c r="I1422" s="13" t="str">
        <f aca="false">IFERROR(INDEX('Semrush Data'!$A$1:$Z$20000,MATCH(A1422,'Semrush Data'!$A$1:$A$20000,0),MATCH("CPC*",'Semrush Data'!$A$1:$Z$1,0)),"")</f>
        <v/>
      </c>
      <c r="J1422" s="7" t="str">
        <f aca="false">IFERROR(INDEX('Semrush Data'!$A$1:$Z$20000,MATCH(A1422,'Semrush Data'!$A$1:$A$20000,0),MATCH("Intent",'Semrush Data'!$A$1:$Z$1,0)),"")</f>
        <v/>
      </c>
    </row>
    <row r="1423" customFormat="false" ht="15" hidden="false" customHeight="true" outlineLevel="0" collapsed="false">
      <c r="A1423" s="7" t="s">
        <v>3912</v>
      </c>
      <c r="B1423" s="7" t="s">
        <v>6817</v>
      </c>
      <c r="C1423" s="7" t="n">
        <v>2</v>
      </c>
      <c r="D1423" s="7" t="s">
        <v>6816</v>
      </c>
      <c r="E1423" s="7" t="n">
        <v>1</v>
      </c>
      <c r="F1423" s="7" t="s">
        <v>3906</v>
      </c>
      <c r="G1423" s="12" t="n">
        <f aca="false">IFERROR(INDEX('Semrush Data'!$A$1:$Z$20000,MATCH(A1423,'Semrush Data'!$A$1:$A$20000,0),MATCH("Volume",'Semrush Data'!$A$1:$Z$1,0)),"")</f>
        <v>20</v>
      </c>
      <c r="H1423" s="7" t="n">
        <f aca="false">IFERROR(INDEX('Semrush Data'!$A$1:$Z$20000,MATCH(A1423,'Semrush Data'!$A$1:$A$20000,0),MATCH("Keyword Difficulty*",'Semrush Data'!$A$1:$Z$1,0)),"")</f>
        <v>12</v>
      </c>
      <c r="I1423" s="13" t="n">
        <f aca="false">IFERROR(INDEX('Semrush Data'!$A$1:$Z$20000,MATCH(A1423,'Semrush Data'!$A$1:$A$20000,0),MATCH("CPC*",'Semrush Data'!$A$1:$Z$1,0)),"")</f>
        <v>0</v>
      </c>
      <c r="J1423" s="7" t="str">
        <f aca="false">IFERROR(INDEX('Semrush Data'!$A$1:$Z$20000,MATCH(A1423,'Semrush Data'!$A$1:$A$20000,0),MATCH("Intent",'Semrush Data'!$A$1:$Z$1,0)),"")</f>
        <v>Informational Transactional</v>
      </c>
    </row>
    <row r="1424" customFormat="false" ht="15" hidden="false" customHeight="true" outlineLevel="0" collapsed="false">
      <c r="A1424" s="7" t="s">
        <v>3955</v>
      </c>
      <c r="B1424" s="7" t="s">
        <v>6817</v>
      </c>
      <c r="C1424" s="7" t="n">
        <v>2</v>
      </c>
      <c r="D1424" s="7" t="s">
        <v>6815</v>
      </c>
      <c r="E1424" s="7" t="n">
        <v>1</v>
      </c>
      <c r="F1424" s="7" t="s">
        <v>3948</v>
      </c>
      <c r="G1424" s="12" t="n">
        <f aca="false">IFERROR(INDEX('Semrush Data'!$A$1:$Z$20000,MATCH(A1424,'Semrush Data'!$A$1:$A$20000,0),MATCH("Volume",'Semrush Data'!$A$1:$Z$1,0)),"")</f>
        <v>20</v>
      </c>
      <c r="H1424" s="7" t="n">
        <f aca="false">IFERROR(INDEX('Semrush Data'!$A$1:$Z$20000,MATCH(A1424,'Semrush Data'!$A$1:$A$20000,0),MATCH("Keyword Difficulty*",'Semrush Data'!$A$1:$Z$1,0)),"")</f>
        <v>11</v>
      </c>
      <c r="I1424" s="13" t="n">
        <f aca="false">IFERROR(INDEX('Semrush Data'!$A$1:$Z$20000,MATCH(A1424,'Semrush Data'!$A$1:$A$20000,0),MATCH("CPC*",'Semrush Data'!$A$1:$Z$1,0)),"")</f>
        <v>0.52</v>
      </c>
      <c r="J1424" s="7" t="str">
        <f aca="false">IFERROR(INDEX('Semrush Data'!$A$1:$Z$20000,MATCH(A1424,'Semrush Data'!$A$1:$A$20000,0),MATCH("Intent",'Semrush Data'!$A$1:$Z$1,0)),"")</f>
        <v>Informational</v>
      </c>
    </row>
    <row r="1425" customFormat="false" ht="15" hidden="false" customHeight="true" outlineLevel="0" collapsed="false">
      <c r="A1425" s="7" t="s">
        <v>3968</v>
      </c>
      <c r="B1425" s="7" t="s">
        <v>6817</v>
      </c>
      <c r="C1425" s="7" t="n">
        <v>2</v>
      </c>
      <c r="D1425" s="7" t="n">
        <v>15</v>
      </c>
      <c r="E1425" s="7" t="n">
        <v>1</v>
      </c>
      <c r="F1425" s="7" t="s">
        <v>3961</v>
      </c>
      <c r="G1425" s="12" t="str">
        <f aca="false">IFERROR(INDEX('Semrush Data'!$A$1:$Z$20000,MATCH(A1425,'Semrush Data'!$A$1:$A$20000,0),MATCH("Volume",'Semrush Data'!$A$1:$Z$1,0)),"")</f>
        <v/>
      </c>
      <c r="H1425" s="7" t="str">
        <f aca="false">IFERROR(INDEX('Semrush Data'!$A$1:$Z$20000,MATCH(A1425,'Semrush Data'!$A$1:$A$20000,0),MATCH("Keyword Difficulty*",'Semrush Data'!$A$1:$Z$1,0)),"")</f>
        <v/>
      </c>
      <c r="I1425" s="13" t="str">
        <f aca="false">IFERROR(INDEX('Semrush Data'!$A$1:$Z$20000,MATCH(A1425,'Semrush Data'!$A$1:$A$20000,0),MATCH("CPC*",'Semrush Data'!$A$1:$Z$1,0)),"")</f>
        <v/>
      </c>
      <c r="J1425" s="7" t="str">
        <f aca="false">IFERROR(INDEX('Semrush Data'!$A$1:$Z$20000,MATCH(A1425,'Semrush Data'!$A$1:$A$20000,0),MATCH("Intent",'Semrush Data'!$A$1:$Z$1,0)),"")</f>
        <v/>
      </c>
    </row>
    <row r="1426" customFormat="false" ht="15" hidden="false" customHeight="true" outlineLevel="0" collapsed="false">
      <c r="A1426" s="7" t="s">
        <v>3978</v>
      </c>
      <c r="B1426" s="7" t="s">
        <v>6817</v>
      </c>
      <c r="C1426" s="7" t="n">
        <v>2</v>
      </c>
      <c r="D1426" s="7" t="s">
        <v>6815</v>
      </c>
      <c r="E1426" s="7" t="n">
        <v>1</v>
      </c>
      <c r="F1426" s="7" t="s">
        <v>126</v>
      </c>
      <c r="G1426" s="12" t="n">
        <f aca="false">IFERROR(INDEX('Semrush Data'!$A$1:$Z$20000,MATCH(A1426,'Semrush Data'!$A$1:$A$20000,0),MATCH("Volume",'Semrush Data'!$A$1:$Z$1,0)),"")</f>
        <v>20</v>
      </c>
      <c r="H1426" s="7" t="n">
        <f aca="false">IFERROR(INDEX('Semrush Data'!$A$1:$Z$20000,MATCH(A1426,'Semrush Data'!$A$1:$A$20000,0),MATCH("Keyword Difficulty*",'Semrush Data'!$A$1:$Z$1,0)),"")</f>
        <v>7</v>
      </c>
      <c r="I1426" s="13" t="n">
        <f aca="false">IFERROR(INDEX('Semrush Data'!$A$1:$Z$20000,MATCH(A1426,'Semrush Data'!$A$1:$A$20000,0),MATCH("CPC*",'Semrush Data'!$A$1:$Z$1,0)),"")</f>
        <v>0</v>
      </c>
      <c r="J1426" s="7" t="str">
        <f aca="false">IFERROR(INDEX('Semrush Data'!$A$1:$Z$20000,MATCH(A1426,'Semrush Data'!$A$1:$A$20000,0),MATCH("Intent",'Semrush Data'!$A$1:$Z$1,0)),"")</f>
        <v>Informational Transactional</v>
      </c>
    </row>
    <row r="1427" customFormat="false" ht="15" hidden="false" customHeight="true" outlineLevel="0" collapsed="false">
      <c r="A1427" s="7" t="s">
        <v>3990</v>
      </c>
      <c r="B1427" s="7" t="s">
        <v>6817</v>
      </c>
      <c r="C1427" s="7" t="n">
        <v>2</v>
      </c>
      <c r="D1427" s="7" t="s">
        <v>6816</v>
      </c>
      <c r="E1427" s="7" t="n">
        <v>1</v>
      </c>
      <c r="F1427" s="7" t="s">
        <v>3983</v>
      </c>
      <c r="G1427" s="12" t="n">
        <f aca="false">IFERROR(INDEX('Semrush Data'!$A$1:$Z$20000,MATCH(A1427,'Semrush Data'!$A$1:$A$20000,0),MATCH("Volume",'Semrush Data'!$A$1:$Z$1,0)),"")</f>
        <v>20</v>
      </c>
      <c r="H1427" s="7" t="n">
        <f aca="false">IFERROR(INDEX('Semrush Data'!$A$1:$Z$20000,MATCH(A1427,'Semrush Data'!$A$1:$A$20000,0),MATCH("Keyword Difficulty*",'Semrush Data'!$A$1:$Z$1,0)),"")</f>
        <v>12</v>
      </c>
      <c r="I1427" s="13" t="n">
        <f aca="false">IFERROR(INDEX('Semrush Data'!$A$1:$Z$20000,MATCH(A1427,'Semrush Data'!$A$1:$A$20000,0),MATCH("CPC*",'Semrush Data'!$A$1:$Z$1,0)),"")</f>
        <v>0</v>
      </c>
      <c r="J1427" s="7" t="str">
        <f aca="false">IFERROR(INDEX('Semrush Data'!$A$1:$Z$20000,MATCH(A1427,'Semrush Data'!$A$1:$A$20000,0),MATCH("Intent",'Semrush Data'!$A$1:$Z$1,0)),"")</f>
        <v>Informational Transactional</v>
      </c>
    </row>
    <row r="1428" customFormat="false" ht="15" hidden="false" customHeight="true" outlineLevel="0" collapsed="false">
      <c r="A1428" s="7" t="s">
        <v>4003</v>
      </c>
      <c r="B1428" s="7" t="s">
        <v>6817</v>
      </c>
      <c r="C1428" s="7" t="n">
        <v>2</v>
      </c>
      <c r="D1428" s="7" t="s">
        <v>6815</v>
      </c>
      <c r="E1428" s="7" t="n">
        <v>1</v>
      </c>
      <c r="F1428" s="7" t="s">
        <v>3996</v>
      </c>
      <c r="G1428" s="12" t="n">
        <f aca="false">IFERROR(INDEX('Semrush Data'!$A$1:$Z$20000,MATCH(A1428,'Semrush Data'!$A$1:$A$20000,0),MATCH("Volume",'Semrush Data'!$A$1:$Z$1,0)),"")</f>
        <v>20</v>
      </c>
      <c r="H1428" s="7" t="n">
        <f aca="false">IFERROR(INDEX('Semrush Data'!$A$1:$Z$20000,MATCH(A1428,'Semrush Data'!$A$1:$A$20000,0),MATCH("Keyword Difficulty*",'Semrush Data'!$A$1:$Z$1,0)),"")</f>
        <v>23</v>
      </c>
      <c r="I1428" s="13" t="n">
        <f aca="false">IFERROR(INDEX('Semrush Data'!$A$1:$Z$20000,MATCH(A1428,'Semrush Data'!$A$1:$A$20000,0),MATCH("CPC*",'Semrush Data'!$A$1:$Z$1,0)),"")</f>
        <v>0</v>
      </c>
      <c r="J1428" s="7" t="str">
        <f aca="false">IFERROR(INDEX('Semrush Data'!$A$1:$Z$20000,MATCH(A1428,'Semrush Data'!$A$1:$A$20000,0),MATCH("Intent",'Semrush Data'!$A$1:$Z$1,0)),"")</f>
        <v>Navigational</v>
      </c>
    </row>
    <row r="1429" customFormat="false" ht="15" hidden="false" customHeight="true" outlineLevel="0" collapsed="false">
      <c r="A1429" s="7" t="s">
        <v>4016</v>
      </c>
      <c r="B1429" s="7" t="s">
        <v>6817</v>
      </c>
      <c r="C1429" s="7" t="n">
        <v>2</v>
      </c>
      <c r="D1429" s="7" t="n">
        <v>15</v>
      </c>
      <c r="E1429" s="7" t="n">
        <v>1</v>
      </c>
      <c r="F1429" s="7" t="s">
        <v>4009</v>
      </c>
      <c r="G1429" s="12" t="str">
        <f aca="false">IFERROR(INDEX('Semrush Data'!$A$1:$Z$20000,MATCH(A1429,'Semrush Data'!$A$1:$A$20000,0),MATCH("Volume",'Semrush Data'!$A$1:$Z$1,0)),"")</f>
        <v/>
      </c>
      <c r="H1429" s="7" t="str">
        <f aca="false">IFERROR(INDEX('Semrush Data'!$A$1:$Z$20000,MATCH(A1429,'Semrush Data'!$A$1:$A$20000,0),MATCH("Keyword Difficulty*",'Semrush Data'!$A$1:$Z$1,0)),"")</f>
        <v/>
      </c>
      <c r="I1429" s="13" t="str">
        <f aca="false">IFERROR(INDEX('Semrush Data'!$A$1:$Z$20000,MATCH(A1429,'Semrush Data'!$A$1:$A$20000,0),MATCH("CPC*",'Semrush Data'!$A$1:$Z$1,0)),"")</f>
        <v/>
      </c>
      <c r="J1429" s="7" t="str">
        <f aca="false">IFERROR(INDEX('Semrush Data'!$A$1:$Z$20000,MATCH(A1429,'Semrush Data'!$A$1:$A$20000,0),MATCH("Intent",'Semrush Data'!$A$1:$Z$1,0)),"")</f>
        <v/>
      </c>
    </row>
    <row r="1430" customFormat="false" ht="15" hidden="false" customHeight="true" outlineLevel="0" collapsed="false">
      <c r="A1430" s="7" t="s">
        <v>4028</v>
      </c>
      <c r="B1430" s="7" t="s">
        <v>6817</v>
      </c>
      <c r="C1430" s="7" t="n">
        <v>2</v>
      </c>
      <c r="D1430" s="7" t="n">
        <v>15</v>
      </c>
      <c r="E1430" s="7" t="n">
        <v>1</v>
      </c>
      <c r="F1430" s="7" t="s">
        <v>4022</v>
      </c>
      <c r="G1430" s="12" t="str">
        <f aca="false">IFERROR(INDEX('Semrush Data'!$A$1:$Z$20000,MATCH(A1430,'Semrush Data'!$A$1:$A$20000,0),MATCH("Volume",'Semrush Data'!$A$1:$Z$1,0)),"")</f>
        <v/>
      </c>
      <c r="H1430" s="7" t="str">
        <f aca="false">IFERROR(INDEX('Semrush Data'!$A$1:$Z$20000,MATCH(A1430,'Semrush Data'!$A$1:$A$20000,0),MATCH("Keyword Difficulty*",'Semrush Data'!$A$1:$Z$1,0)),"")</f>
        <v/>
      </c>
      <c r="I1430" s="13" t="str">
        <f aca="false">IFERROR(INDEX('Semrush Data'!$A$1:$Z$20000,MATCH(A1430,'Semrush Data'!$A$1:$A$20000,0),MATCH("CPC*",'Semrush Data'!$A$1:$Z$1,0)),"")</f>
        <v/>
      </c>
      <c r="J1430" s="7" t="str">
        <f aca="false">IFERROR(INDEX('Semrush Data'!$A$1:$Z$20000,MATCH(A1430,'Semrush Data'!$A$1:$A$20000,0),MATCH("Intent",'Semrush Data'!$A$1:$Z$1,0)),"")</f>
        <v/>
      </c>
    </row>
    <row r="1431" customFormat="false" ht="15" hidden="false" customHeight="true" outlineLevel="0" collapsed="false">
      <c r="A1431" s="7" t="s">
        <v>4040</v>
      </c>
      <c r="B1431" s="7" t="s">
        <v>6817</v>
      </c>
      <c r="C1431" s="7" t="n">
        <v>2</v>
      </c>
      <c r="D1431" s="7" t="n">
        <v>15</v>
      </c>
      <c r="E1431" s="7" t="n">
        <v>1</v>
      </c>
      <c r="F1431" s="7" t="s">
        <v>4033</v>
      </c>
      <c r="G1431" s="12" t="str">
        <f aca="false">IFERROR(INDEX('Semrush Data'!$A$1:$Z$20000,MATCH(A1431,'Semrush Data'!$A$1:$A$20000,0),MATCH("Volume",'Semrush Data'!$A$1:$Z$1,0)),"")</f>
        <v/>
      </c>
      <c r="H1431" s="7" t="str">
        <f aca="false">IFERROR(INDEX('Semrush Data'!$A$1:$Z$20000,MATCH(A1431,'Semrush Data'!$A$1:$A$20000,0),MATCH("Keyword Difficulty*",'Semrush Data'!$A$1:$Z$1,0)),"")</f>
        <v/>
      </c>
      <c r="I1431" s="13" t="str">
        <f aca="false">IFERROR(INDEX('Semrush Data'!$A$1:$Z$20000,MATCH(A1431,'Semrush Data'!$A$1:$A$20000,0),MATCH("CPC*",'Semrush Data'!$A$1:$Z$1,0)),"")</f>
        <v/>
      </c>
      <c r="J1431" s="7" t="str">
        <f aca="false">IFERROR(INDEX('Semrush Data'!$A$1:$Z$20000,MATCH(A1431,'Semrush Data'!$A$1:$A$20000,0),MATCH("Intent",'Semrush Data'!$A$1:$Z$1,0)),"")</f>
        <v/>
      </c>
    </row>
    <row r="1432" customFormat="false" ht="15" hidden="false" customHeight="true" outlineLevel="0" collapsed="false">
      <c r="A1432" s="7" t="s">
        <v>4052</v>
      </c>
      <c r="B1432" s="7" t="s">
        <v>6817</v>
      </c>
      <c r="C1432" s="7" t="n">
        <v>2</v>
      </c>
      <c r="D1432" s="7" t="n">
        <v>15</v>
      </c>
      <c r="E1432" s="7" t="n">
        <v>1</v>
      </c>
      <c r="F1432" s="7" t="s">
        <v>4046</v>
      </c>
      <c r="G1432" s="12" t="str">
        <f aca="false">IFERROR(INDEX('Semrush Data'!$A$1:$Z$20000,MATCH(A1432,'Semrush Data'!$A$1:$A$20000,0),MATCH("Volume",'Semrush Data'!$A$1:$Z$1,0)),"")</f>
        <v/>
      </c>
      <c r="H1432" s="7" t="str">
        <f aca="false">IFERROR(INDEX('Semrush Data'!$A$1:$Z$20000,MATCH(A1432,'Semrush Data'!$A$1:$A$20000,0),MATCH("Keyword Difficulty*",'Semrush Data'!$A$1:$Z$1,0)),"")</f>
        <v/>
      </c>
      <c r="I1432" s="13" t="str">
        <f aca="false">IFERROR(INDEX('Semrush Data'!$A$1:$Z$20000,MATCH(A1432,'Semrush Data'!$A$1:$A$20000,0),MATCH("CPC*",'Semrush Data'!$A$1:$Z$1,0)),"")</f>
        <v/>
      </c>
      <c r="J1432" s="7" t="str">
        <f aca="false">IFERROR(INDEX('Semrush Data'!$A$1:$Z$20000,MATCH(A1432,'Semrush Data'!$A$1:$A$20000,0),MATCH("Intent",'Semrush Data'!$A$1:$Z$1,0)),"")</f>
        <v/>
      </c>
    </row>
    <row r="1433" customFormat="false" ht="15" hidden="false" customHeight="true" outlineLevel="0" collapsed="false">
      <c r="A1433" s="7" t="s">
        <v>4063</v>
      </c>
      <c r="B1433" s="7" t="s">
        <v>6817</v>
      </c>
      <c r="C1433" s="7" t="n">
        <v>2</v>
      </c>
      <c r="D1433" s="7" t="n">
        <v>15</v>
      </c>
      <c r="E1433" s="7" t="n">
        <v>1</v>
      </c>
      <c r="F1433" s="7" t="s">
        <v>4057</v>
      </c>
      <c r="G1433" s="12" t="str">
        <f aca="false">IFERROR(INDEX('Semrush Data'!$A$1:$Z$20000,MATCH(A1433,'Semrush Data'!$A$1:$A$20000,0),MATCH("Volume",'Semrush Data'!$A$1:$Z$1,0)),"")</f>
        <v/>
      </c>
      <c r="H1433" s="7" t="str">
        <f aca="false">IFERROR(INDEX('Semrush Data'!$A$1:$Z$20000,MATCH(A1433,'Semrush Data'!$A$1:$A$20000,0),MATCH("Keyword Difficulty*",'Semrush Data'!$A$1:$Z$1,0)),"")</f>
        <v/>
      </c>
      <c r="I1433" s="13" t="str">
        <f aca="false">IFERROR(INDEX('Semrush Data'!$A$1:$Z$20000,MATCH(A1433,'Semrush Data'!$A$1:$A$20000,0),MATCH("CPC*",'Semrush Data'!$A$1:$Z$1,0)),"")</f>
        <v/>
      </c>
      <c r="J1433" s="7" t="str">
        <f aca="false">IFERROR(INDEX('Semrush Data'!$A$1:$Z$20000,MATCH(A1433,'Semrush Data'!$A$1:$A$20000,0),MATCH("Intent",'Semrush Data'!$A$1:$Z$1,0)),"")</f>
        <v/>
      </c>
    </row>
    <row r="1434" customFormat="false" ht="15" hidden="false" customHeight="true" outlineLevel="0" collapsed="false">
      <c r="A1434" s="7" t="s">
        <v>4074</v>
      </c>
      <c r="B1434" s="7" t="s">
        <v>6817</v>
      </c>
      <c r="C1434" s="7" t="n">
        <v>2</v>
      </c>
      <c r="D1434" s="7" t="n">
        <v>15</v>
      </c>
      <c r="E1434" s="7" t="n">
        <v>1</v>
      </c>
      <c r="F1434" s="7" t="s">
        <v>4068</v>
      </c>
      <c r="G1434" s="12" t="str">
        <f aca="false">IFERROR(INDEX('Semrush Data'!$A$1:$Z$20000,MATCH(A1434,'Semrush Data'!$A$1:$A$20000,0),MATCH("Volume",'Semrush Data'!$A$1:$Z$1,0)),"")</f>
        <v/>
      </c>
      <c r="H1434" s="7" t="str">
        <f aca="false">IFERROR(INDEX('Semrush Data'!$A$1:$Z$20000,MATCH(A1434,'Semrush Data'!$A$1:$A$20000,0),MATCH("Keyword Difficulty*",'Semrush Data'!$A$1:$Z$1,0)),"")</f>
        <v/>
      </c>
      <c r="I1434" s="13" t="str">
        <f aca="false">IFERROR(INDEX('Semrush Data'!$A$1:$Z$20000,MATCH(A1434,'Semrush Data'!$A$1:$A$20000,0),MATCH("CPC*",'Semrush Data'!$A$1:$Z$1,0)),"")</f>
        <v/>
      </c>
      <c r="J1434" s="7" t="str">
        <f aca="false">IFERROR(INDEX('Semrush Data'!$A$1:$Z$20000,MATCH(A1434,'Semrush Data'!$A$1:$A$20000,0),MATCH("Intent",'Semrush Data'!$A$1:$Z$1,0)),"")</f>
        <v/>
      </c>
    </row>
    <row r="1435" customFormat="false" ht="15" hidden="false" customHeight="true" outlineLevel="0" collapsed="false">
      <c r="A1435" s="7" t="s">
        <v>4086</v>
      </c>
      <c r="B1435" s="7" t="s">
        <v>6817</v>
      </c>
      <c r="C1435" s="7" t="n">
        <v>2</v>
      </c>
      <c r="D1435" s="7" t="n">
        <v>15</v>
      </c>
      <c r="E1435" s="7" t="n">
        <v>1</v>
      </c>
      <c r="F1435" s="7" t="s">
        <v>4080</v>
      </c>
      <c r="G1435" s="12" t="str">
        <f aca="false">IFERROR(INDEX('Semrush Data'!$A$1:$Z$20000,MATCH(A1435,'Semrush Data'!$A$1:$A$20000,0),MATCH("Volume",'Semrush Data'!$A$1:$Z$1,0)),"")</f>
        <v/>
      </c>
      <c r="H1435" s="7" t="str">
        <f aca="false">IFERROR(INDEX('Semrush Data'!$A$1:$Z$20000,MATCH(A1435,'Semrush Data'!$A$1:$A$20000,0),MATCH("Keyword Difficulty*",'Semrush Data'!$A$1:$Z$1,0)),"")</f>
        <v/>
      </c>
      <c r="I1435" s="13" t="str">
        <f aca="false">IFERROR(INDEX('Semrush Data'!$A$1:$Z$20000,MATCH(A1435,'Semrush Data'!$A$1:$A$20000,0),MATCH("CPC*",'Semrush Data'!$A$1:$Z$1,0)),"")</f>
        <v/>
      </c>
      <c r="J1435" s="7" t="str">
        <f aca="false">IFERROR(INDEX('Semrush Data'!$A$1:$Z$20000,MATCH(A1435,'Semrush Data'!$A$1:$A$20000,0),MATCH("Intent",'Semrush Data'!$A$1:$Z$1,0)),"")</f>
        <v/>
      </c>
    </row>
    <row r="1436" customFormat="false" ht="15" hidden="false" customHeight="true" outlineLevel="0" collapsed="false">
      <c r="A1436" s="7" t="s">
        <v>4098</v>
      </c>
      <c r="B1436" s="7" t="s">
        <v>6817</v>
      </c>
      <c r="C1436" s="7" t="n">
        <v>2</v>
      </c>
      <c r="D1436" s="7" t="n">
        <v>15</v>
      </c>
      <c r="E1436" s="7" t="n">
        <v>1</v>
      </c>
      <c r="F1436" s="7" t="s">
        <v>4092</v>
      </c>
      <c r="G1436" s="12" t="str">
        <f aca="false">IFERROR(INDEX('Semrush Data'!$A$1:$Z$20000,MATCH(A1436,'Semrush Data'!$A$1:$A$20000,0),MATCH("Volume",'Semrush Data'!$A$1:$Z$1,0)),"")</f>
        <v/>
      </c>
      <c r="H1436" s="7" t="str">
        <f aca="false">IFERROR(INDEX('Semrush Data'!$A$1:$Z$20000,MATCH(A1436,'Semrush Data'!$A$1:$A$20000,0),MATCH("Keyword Difficulty*",'Semrush Data'!$A$1:$Z$1,0)),"")</f>
        <v/>
      </c>
      <c r="I1436" s="13" t="str">
        <f aca="false">IFERROR(INDEX('Semrush Data'!$A$1:$Z$20000,MATCH(A1436,'Semrush Data'!$A$1:$A$20000,0),MATCH("CPC*",'Semrush Data'!$A$1:$Z$1,0)),"")</f>
        <v/>
      </c>
      <c r="J1436" s="7" t="str">
        <f aca="false">IFERROR(INDEX('Semrush Data'!$A$1:$Z$20000,MATCH(A1436,'Semrush Data'!$A$1:$A$20000,0),MATCH("Intent",'Semrush Data'!$A$1:$Z$1,0)),"")</f>
        <v/>
      </c>
    </row>
    <row r="1437" customFormat="false" ht="15" hidden="false" customHeight="true" outlineLevel="0" collapsed="false">
      <c r="A1437" s="7" t="s">
        <v>4109</v>
      </c>
      <c r="B1437" s="7" t="s">
        <v>6817</v>
      </c>
      <c r="C1437" s="7" t="n">
        <v>2</v>
      </c>
      <c r="D1437" s="7" t="n">
        <v>15</v>
      </c>
      <c r="E1437" s="7" t="n">
        <v>1</v>
      </c>
      <c r="F1437" s="7" t="s">
        <v>4103</v>
      </c>
      <c r="G1437" s="12" t="str">
        <f aca="false">IFERROR(INDEX('Semrush Data'!$A$1:$Z$20000,MATCH(A1437,'Semrush Data'!$A$1:$A$20000,0),MATCH("Volume",'Semrush Data'!$A$1:$Z$1,0)),"")</f>
        <v/>
      </c>
      <c r="H1437" s="7" t="str">
        <f aca="false">IFERROR(INDEX('Semrush Data'!$A$1:$Z$20000,MATCH(A1437,'Semrush Data'!$A$1:$A$20000,0),MATCH("Keyword Difficulty*",'Semrush Data'!$A$1:$Z$1,0)),"")</f>
        <v/>
      </c>
      <c r="I1437" s="13" t="str">
        <f aca="false">IFERROR(INDEX('Semrush Data'!$A$1:$Z$20000,MATCH(A1437,'Semrush Data'!$A$1:$A$20000,0),MATCH("CPC*",'Semrush Data'!$A$1:$Z$1,0)),"")</f>
        <v/>
      </c>
      <c r="J1437" s="7" t="str">
        <f aca="false">IFERROR(INDEX('Semrush Data'!$A$1:$Z$20000,MATCH(A1437,'Semrush Data'!$A$1:$A$20000,0),MATCH("Intent",'Semrush Data'!$A$1:$Z$1,0)),"")</f>
        <v/>
      </c>
    </row>
    <row r="1438" customFormat="false" ht="15" hidden="false" customHeight="true" outlineLevel="0" collapsed="false">
      <c r="A1438" s="7" t="s">
        <v>4119</v>
      </c>
      <c r="B1438" s="7" t="s">
        <v>6817</v>
      </c>
      <c r="C1438" s="7" t="n">
        <v>2</v>
      </c>
      <c r="D1438" s="7" t="n">
        <v>15</v>
      </c>
      <c r="E1438" s="7" t="n">
        <v>1</v>
      </c>
      <c r="F1438" s="7" t="s">
        <v>4113</v>
      </c>
      <c r="G1438" s="12" t="str">
        <f aca="false">IFERROR(INDEX('Semrush Data'!$A$1:$Z$20000,MATCH(A1438,'Semrush Data'!$A$1:$A$20000,0),MATCH("Volume",'Semrush Data'!$A$1:$Z$1,0)),"")</f>
        <v/>
      </c>
      <c r="H1438" s="7" t="str">
        <f aca="false">IFERROR(INDEX('Semrush Data'!$A$1:$Z$20000,MATCH(A1438,'Semrush Data'!$A$1:$A$20000,0),MATCH("Keyword Difficulty*",'Semrush Data'!$A$1:$Z$1,0)),"")</f>
        <v/>
      </c>
      <c r="I1438" s="13" t="str">
        <f aca="false">IFERROR(INDEX('Semrush Data'!$A$1:$Z$20000,MATCH(A1438,'Semrush Data'!$A$1:$A$20000,0),MATCH("CPC*",'Semrush Data'!$A$1:$Z$1,0)),"")</f>
        <v/>
      </c>
      <c r="J1438" s="7" t="str">
        <f aca="false">IFERROR(INDEX('Semrush Data'!$A$1:$Z$20000,MATCH(A1438,'Semrush Data'!$A$1:$A$20000,0),MATCH("Intent",'Semrush Data'!$A$1:$Z$1,0)),"")</f>
        <v/>
      </c>
    </row>
    <row r="1439" customFormat="false" ht="15" hidden="false" customHeight="true" outlineLevel="0" collapsed="false">
      <c r="A1439" s="7" t="s">
        <v>4129</v>
      </c>
      <c r="B1439" s="7" t="s">
        <v>6817</v>
      </c>
      <c r="C1439" s="7" t="n">
        <v>2</v>
      </c>
      <c r="D1439" s="7" t="n">
        <v>15</v>
      </c>
      <c r="E1439" s="7" t="n">
        <v>1</v>
      </c>
      <c r="F1439" s="7" t="s">
        <v>4123</v>
      </c>
      <c r="G1439" s="12" t="str">
        <f aca="false">IFERROR(INDEX('Semrush Data'!$A$1:$Z$20000,MATCH(A1439,'Semrush Data'!$A$1:$A$20000,0),MATCH("Volume",'Semrush Data'!$A$1:$Z$1,0)),"")</f>
        <v/>
      </c>
      <c r="H1439" s="7" t="str">
        <f aca="false">IFERROR(INDEX('Semrush Data'!$A$1:$Z$20000,MATCH(A1439,'Semrush Data'!$A$1:$A$20000,0),MATCH("Keyword Difficulty*",'Semrush Data'!$A$1:$Z$1,0)),"")</f>
        <v/>
      </c>
      <c r="I1439" s="13" t="str">
        <f aca="false">IFERROR(INDEX('Semrush Data'!$A$1:$Z$20000,MATCH(A1439,'Semrush Data'!$A$1:$A$20000,0),MATCH("CPC*",'Semrush Data'!$A$1:$Z$1,0)),"")</f>
        <v/>
      </c>
      <c r="J1439" s="7" t="str">
        <f aca="false">IFERROR(INDEX('Semrush Data'!$A$1:$Z$20000,MATCH(A1439,'Semrush Data'!$A$1:$A$20000,0),MATCH("Intent",'Semrush Data'!$A$1:$Z$1,0)),"")</f>
        <v/>
      </c>
    </row>
    <row r="1440" customFormat="false" ht="15" hidden="false" customHeight="true" outlineLevel="0" collapsed="false">
      <c r="A1440" s="7" t="s">
        <v>4140</v>
      </c>
      <c r="B1440" s="7" t="s">
        <v>6817</v>
      </c>
      <c r="C1440" s="7" t="n">
        <v>2</v>
      </c>
      <c r="D1440" s="7" t="n">
        <v>15</v>
      </c>
      <c r="E1440" s="7" t="n">
        <v>1</v>
      </c>
      <c r="F1440" s="7" t="s">
        <v>4134</v>
      </c>
      <c r="G1440" s="12" t="str">
        <f aca="false">IFERROR(INDEX('Semrush Data'!$A$1:$Z$20000,MATCH(A1440,'Semrush Data'!$A$1:$A$20000,0),MATCH("Volume",'Semrush Data'!$A$1:$Z$1,0)),"")</f>
        <v/>
      </c>
      <c r="H1440" s="7" t="str">
        <f aca="false">IFERROR(INDEX('Semrush Data'!$A$1:$Z$20000,MATCH(A1440,'Semrush Data'!$A$1:$A$20000,0),MATCH("Keyword Difficulty*",'Semrush Data'!$A$1:$Z$1,0)),"")</f>
        <v/>
      </c>
      <c r="I1440" s="13" t="str">
        <f aca="false">IFERROR(INDEX('Semrush Data'!$A$1:$Z$20000,MATCH(A1440,'Semrush Data'!$A$1:$A$20000,0),MATCH("CPC*",'Semrush Data'!$A$1:$Z$1,0)),"")</f>
        <v/>
      </c>
      <c r="J1440" s="7" t="str">
        <f aca="false">IFERROR(INDEX('Semrush Data'!$A$1:$Z$20000,MATCH(A1440,'Semrush Data'!$A$1:$A$20000,0),MATCH("Intent",'Semrush Data'!$A$1:$Z$1,0)),"")</f>
        <v/>
      </c>
    </row>
    <row r="1441" customFormat="false" ht="15" hidden="false" customHeight="true" outlineLevel="0" collapsed="false">
      <c r="A1441" s="7" t="s">
        <v>4151</v>
      </c>
      <c r="B1441" s="7" t="s">
        <v>6817</v>
      </c>
      <c r="C1441" s="7" t="n">
        <v>2</v>
      </c>
      <c r="D1441" s="7" t="n">
        <v>15</v>
      </c>
      <c r="E1441" s="7" t="n">
        <v>1</v>
      </c>
      <c r="F1441" s="7" t="s">
        <v>4145</v>
      </c>
      <c r="G1441" s="12" t="str">
        <f aca="false">IFERROR(INDEX('Semrush Data'!$A$1:$Z$20000,MATCH(A1441,'Semrush Data'!$A$1:$A$20000,0),MATCH("Volume",'Semrush Data'!$A$1:$Z$1,0)),"")</f>
        <v/>
      </c>
      <c r="H1441" s="7" t="str">
        <f aca="false">IFERROR(INDEX('Semrush Data'!$A$1:$Z$20000,MATCH(A1441,'Semrush Data'!$A$1:$A$20000,0),MATCH("Keyword Difficulty*",'Semrush Data'!$A$1:$Z$1,0)),"")</f>
        <v/>
      </c>
      <c r="I1441" s="13" t="str">
        <f aca="false">IFERROR(INDEX('Semrush Data'!$A$1:$Z$20000,MATCH(A1441,'Semrush Data'!$A$1:$A$20000,0),MATCH("CPC*",'Semrush Data'!$A$1:$Z$1,0)),"")</f>
        <v/>
      </c>
      <c r="J1441" s="7" t="str">
        <f aca="false">IFERROR(INDEX('Semrush Data'!$A$1:$Z$20000,MATCH(A1441,'Semrush Data'!$A$1:$A$20000,0),MATCH("Intent",'Semrush Data'!$A$1:$Z$1,0)),"")</f>
        <v/>
      </c>
    </row>
    <row r="1442" customFormat="false" ht="15" hidden="false" customHeight="true" outlineLevel="0" collapsed="false">
      <c r="A1442" s="7" t="s">
        <v>4161</v>
      </c>
      <c r="B1442" s="7" t="s">
        <v>6817</v>
      </c>
      <c r="C1442" s="7" t="n">
        <v>2</v>
      </c>
      <c r="D1442" s="7" t="n">
        <v>15</v>
      </c>
      <c r="E1442" s="7" t="n">
        <v>1</v>
      </c>
      <c r="F1442" s="7" t="s">
        <v>4155</v>
      </c>
      <c r="G1442" s="12" t="str">
        <f aca="false">IFERROR(INDEX('Semrush Data'!$A$1:$Z$20000,MATCH(A1442,'Semrush Data'!$A$1:$A$20000,0),MATCH("Volume",'Semrush Data'!$A$1:$Z$1,0)),"")</f>
        <v/>
      </c>
      <c r="H1442" s="7" t="str">
        <f aca="false">IFERROR(INDEX('Semrush Data'!$A$1:$Z$20000,MATCH(A1442,'Semrush Data'!$A$1:$A$20000,0),MATCH("Keyword Difficulty*",'Semrush Data'!$A$1:$Z$1,0)),"")</f>
        <v/>
      </c>
      <c r="I1442" s="13" t="str">
        <f aca="false">IFERROR(INDEX('Semrush Data'!$A$1:$Z$20000,MATCH(A1442,'Semrush Data'!$A$1:$A$20000,0),MATCH("CPC*",'Semrush Data'!$A$1:$Z$1,0)),"")</f>
        <v/>
      </c>
      <c r="J1442" s="7" t="str">
        <f aca="false">IFERROR(INDEX('Semrush Data'!$A$1:$Z$20000,MATCH(A1442,'Semrush Data'!$A$1:$A$20000,0),MATCH("Intent",'Semrush Data'!$A$1:$Z$1,0)),"")</f>
        <v/>
      </c>
    </row>
    <row r="1443" customFormat="false" ht="15" hidden="false" customHeight="true" outlineLevel="0" collapsed="false">
      <c r="A1443" s="7" t="s">
        <v>4174</v>
      </c>
      <c r="B1443" s="7" t="s">
        <v>6817</v>
      </c>
      <c r="C1443" s="7" t="n">
        <v>2</v>
      </c>
      <c r="D1443" s="7" t="n">
        <v>15</v>
      </c>
      <c r="E1443" s="7" t="n">
        <v>1</v>
      </c>
      <c r="F1443" s="7" t="s">
        <v>4167</v>
      </c>
      <c r="G1443" s="12" t="str">
        <f aca="false">IFERROR(INDEX('Semrush Data'!$A$1:$Z$20000,MATCH(A1443,'Semrush Data'!$A$1:$A$20000,0),MATCH("Volume",'Semrush Data'!$A$1:$Z$1,0)),"")</f>
        <v/>
      </c>
      <c r="H1443" s="7" t="str">
        <f aca="false">IFERROR(INDEX('Semrush Data'!$A$1:$Z$20000,MATCH(A1443,'Semrush Data'!$A$1:$A$20000,0),MATCH("Keyword Difficulty*",'Semrush Data'!$A$1:$Z$1,0)),"")</f>
        <v/>
      </c>
      <c r="I1443" s="13" t="str">
        <f aca="false">IFERROR(INDEX('Semrush Data'!$A$1:$Z$20000,MATCH(A1443,'Semrush Data'!$A$1:$A$20000,0),MATCH("CPC*",'Semrush Data'!$A$1:$Z$1,0)),"")</f>
        <v/>
      </c>
      <c r="J1443" s="7" t="str">
        <f aca="false">IFERROR(INDEX('Semrush Data'!$A$1:$Z$20000,MATCH(A1443,'Semrush Data'!$A$1:$A$20000,0),MATCH("Intent",'Semrush Data'!$A$1:$Z$1,0)),"")</f>
        <v/>
      </c>
    </row>
    <row r="1444" customFormat="false" ht="15" hidden="false" customHeight="true" outlineLevel="0" collapsed="false">
      <c r="A1444" s="7" t="s">
        <v>4187</v>
      </c>
      <c r="B1444" s="7" t="s">
        <v>6817</v>
      </c>
      <c r="C1444" s="7" t="n">
        <v>2</v>
      </c>
      <c r="D1444" s="7" t="n">
        <v>15</v>
      </c>
      <c r="E1444" s="7" t="n">
        <v>1</v>
      </c>
      <c r="F1444" s="7" t="s">
        <v>4180</v>
      </c>
      <c r="G1444" s="12" t="str">
        <f aca="false">IFERROR(INDEX('Semrush Data'!$A$1:$Z$20000,MATCH(A1444,'Semrush Data'!$A$1:$A$20000,0),MATCH("Volume",'Semrush Data'!$A$1:$Z$1,0)),"")</f>
        <v/>
      </c>
      <c r="H1444" s="7" t="str">
        <f aca="false">IFERROR(INDEX('Semrush Data'!$A$1:$Z$20000,MATCH(A1444,'Semrush Data'!$A$1:$A$20000,0),MATCH("Keyword Difficulty*",'Semrush Data'!$A$1:$Z$1,0)),"")</f>
        <v/>
      </c>
      <c r="I1444" s="13" t="str">
        <f aca="false">IFERROR(INDEX('Semrush Data'!$A$1:$Z$20000,MATCH(A1444,'Semrush Data'!$A$1:$A$20000,0),MATCH("CPC*",'Semrush Data'!$A$1:$Z$1,0)),"")</f>
        <v/>
      </c>
      <c r="J1444" s="7" t="str">
        <f aca="false">IFERROR(INDEX('Semrush Data'!$A$1:$Z$20000,MATCH(A1444,'Semrush Data'!$A$1:$A$20000,0),MATCH("Intent",'Semrush Data'!$A$1:$Z$1,0)),"")</f>
        <v/>
      </c>
    </row>
    <row r="1445" customFormat="false" ht="15" hidden="false" customHeight="true" outlineLevel="0" collapsed="false">
      <c r="A1445" s="7" t="s">
        <v>4198</v>
      </c>
      <c r="B1445" s="7" t="s">
        <v>6817</v>
      </c>
      <c r="C1445" s="7" t="n">
        <v>2</v>
      </c>
      <c r="D1445" s="7" t="n">
        <v>15</v>
      </c>
      <c r="E1445" s="7" t="n">
        <v>1</v>
      </c>
      <c r="F1445" s="7" t="s">
        <v>4192</v>
      </c>
      <c r="G1445" s="12" t="str">
        <f aca="false">IFERROR(INDEX('Semrush Data'!$A$1:$Z$20000,MATCH(A1445,'Semrush Data'!$A$1:$A$20000,0),MATCH("Volume",'Semrush Data'!$A$1:$Z$1,0)),"")</f>
        <v/>
      </c>
      <c r="H1445" s="7" t="str">
        <f aca="false">IFERROR(INDEX('Semrush Data'!$A$1:$Z$20000,MATCH(A1445,'Semrush Data'!$A$1:$A$20000,0),MATCH("Keyword Difficulty*",'Semrush Data'!$A$1:$Z$1,0)),"")</f>
        <v/>
      </c>
      <c r="I1445" s="13" t="str">
        <f aca="false">IFERROR(INDEX('Semrush Data'!$A$1:$Z$20000,MATCH(A1445,'Semrush Data'!$A$1:$A$20000,0),MATCH("CPC*",'Semrush Data'!$A$1:$Z$1,0)),"")</f>
        <v/>
      </c>
      <c r="J1445" s="7" t="str">
        <f aca="false">IFERROR(INDEX('Semrush Data'!$A$1:$Z$20000,MATCH(A1445,'Semrush Data'!$A$1:$A$20000,0),MATCH("Intent",'Semrush Data'!$A$1:$Z$1,0)),"")</f>
        <v/>
      </c>
    </row>
    <row r="1446" customFormat="false" ht="15" hidden="false" customHeight="true" outlineLevel="0" collapsed="false">
      <c r="A1446" s="7" t="s">
        <v>4209</v>
      </c>
      <c r="B1446" s="7" t="s">
        <v>6817</v>
      </c>
      <c r="C1446" s="7" t="n">
        <v>2</v>
      </c>
      <c r="D1446" s="7" t="n">
        <v>15</v>
      </c>
      <c r="E1446" s="7" t="n">
        <v>1</v>
      </c>
      <c r="F1446" s="7" t="s">
        <v>4203</v>
      </c>
      <c r="G1446" s="12" t="str">
        <f aca="false">IFERROR(INDEX('Semrush Data'!$A$1:$Z$20000,MATCH(A1446,'Semrush Data'!$A$1:$A$20000,0),MATCH("Volume",'Semrush Data'!$A$1:$Z$1,0)),"")</f>
        <v/>
      </c>
      <c r="H1446" s="7" t="str">
        <f aca="false">IFERROR(INDEX('Semrush Data'!$A$1:$Z$20000,MATCH(A1446,'Semrush Data'!$A$1:$A$20000,0),MATCH("Keyword Difficulty*",'Semrush Data'!$A$1:$Z$1,0)),"")</f>
        <v/>
      </c>
      <c r="I1446" s="13" t="str">
        <f aca="false">IFERROR(INDEX('Semrush Data'!$A$1:$Z$20000,MATCH(A1446,'Semrush Data'!$A$1:$A$20000,0),MATCH("CPC*",'Semrush Data'!$A$1:$Z$1,0)),"")</f>
        <v/>
      </c>
      <c r="J1446" s="7" t="str">
        <f aca="false">IFERROR(INDEX('Semrush Data'!$A$1:$Z$20000,MATCH(A1446,'Semrush Data'!$A$1:$A$20000,0),MATCH("Intent",'Semrush Data'!$A$1:$Z$1,0)),"")</f>
        <v/>
      </c>
    </row>
    <row r="1447" customFormat="false" ht="15" hidden="false" customHeight="true" outlineLevel="0" collapsed="false">
      <c r="A1447" s="7" t="s">
        <v>4221</v>
      </c>
      <c r="B1447" s="7" t="s">
        <v>6817</v>
      </c>
      <c r="C1447" s="7" t="n">
        <v>2</v>
      </c>
      <c r="D1447" s="7" t="n">
        <v>15</v>
      </c>
      <c r="E1447" s="7" t="n">
        <v>1</v>
      </c>
      <c r="F1447" s="7" t="s">
        <v>4215</v>
      </c>
      <c r="G1447" s="12" t="str">
        <f aca="false">IFERROR(INDEX('Semrush Data'!$A$1:$Z$20000,MATCH(A1447,'Semrush Data'!$A$1:$A$20000,0),MATCH("Volume",'Semrush Data'!$A$1:$Z$1,0)),"")</f>
        <v/>
      </c>
      <c r="H1447" s="7" t="str">
        <f aca="false">IFERROR(INDEX('Semrush Data'!$A$1:$Z$20000,MATCH(A1447,'Semrush Data'!$A$1:$A$20000,0),MATCH("Keyword Difficulty*",'Semrush Data'!$A$1:$Z$1,0)),"")</f>
        <v/>
      </c>
      <c r="I1447" s="13" t="str">
        <f aca="false">IFERROR(INDEX('Semrush Data'!$A$1:$Z$20000,MATCH(A1447,'Semrush Data'!$A$1:$A$20000,0),MATCH("CPC*",'Semrush Data'!$A$1:$Z$1,0)),"")</f>
        <v/>
      </c>
      <c r="J1447" s="7" t="str">
        <f aca="false">IFERROR(INDEX('Semrush Data'!$A$1:$Z$20000,MATCH(A1447,'Semrush Data'!$A$1:$A$20000,0),MATCH("Intent",'Semrush Data'!$A$1:$Z$1,0)),"")</f>
        <v/>
      </c>
    </row>
    <row r="1448" customFormat="false" ht="15" hidden="false" customHeight="true" outlineLevel="0" collapsed="false">
      <c r="A1448" s="7" t="s">
        <v>4234</v>
      </c>
      <c r="B1448" s="7" t="s">
        <v>6817</v>
      </c>
      <c r="C1448" s="7" t="n">
        <v>2</v>
      </c>
      <c r="D1448" s="7" t="s">
        <v>6816</v>
      </c>
      <c r="E1448" s="7" t="n">
        <v>1</v>
      </c>
      <c r="F1448" s="7" t="s">
        <v>4226</v>
      </c>
      <c r="G1448" s="12" t="n">
        <f aca="false">IFERROR(INDEX('Semrush Data'!$A$1:$Z$20000,MATCH(A1448,'Semrush Data'!$A$1:$A$20000,0),MATCH("Volume",'Semrush Data'!$A$1:$Z$1,0)),"")</f>
        <v>0</v>
      </c>
      <c r="H1448" s="7" t="n">
        <f aca="false">IFERROR(INDEX('Semrush Data'!$A$1:$Z$20000,MATCH(A1448,'Semrush Data'!$A$1:$A$20000,0),MATCH("Keyword Difficulty*",'Semrush Data'!$A$1:$Z$1,0)),"")</f>
        <v>22</v>
      </c>
      <c r="I1448" s="13" t="n">
        <f aca="false">IFERROR(INDEX('Semrush Data'!$A$1:$Z$20000,MATCH(A1448,'Semrush Data'!$A$1:$A$20000,0),MATCH("CPC*",'Semrush Data'!$A$1:$Z$1,0)),"")</f>
        <v>0</v>
      </c>
      <c r="J1448" s="7" t="str">
        <f aca="false">IFERROR(INDEX('Semrush Data'!$A$1:$Z$20000,MATCH(A1448,'Semrush Data'!$A$1:$A$20000,0),MATCH("Intent",'Semrush Data'!$A$1:$Z$1,0)),"")</f>
        <v>Informational</v>
      </c>
    </row>
    <row r="1449" customFormat="false" ht="15" hidden="false" customHeight="true" outlineLevel="0" collapsed="false">
      <c r="A1449" s="7" t="s">
        <v>4246</v>
      </c>
      <c r="B1449" s="7" t="s">
        <v>6817</v>
      </c>
      <c r="C1449" s="7" t="n">
        <v>2</v>
      </c>
      <c r="D1449" s="7" t="n">
        <v>15</v>
      </c>
      <c r="E1449" s="7" t="n">
        <v>1</v>
      </c>
      <c r="F1449" s="7" t="s">
        <v>4240</v>
      </c>
      <c r="G1449" s="12" t="str">
        <f aca="false">IFERROR(INDEX('Semrush Data'!$A$1:$Z$20000,MATCH(A1449,'Semrush Data'!$A$1:$A$20000,0),MATCH("Volume",'Semrush Data'!$A$1:$Z$1,0)),"")</f>
        <v/>
      </c>
      <c r="H1449" s="7" t="str">
        <f aca="false">IFERROR(INDEX('Semrush Data'!$A$1:$Z$20000,MATCH(A1449,'Semrush Data'!$A$1:$A$20000,0),MATCH("Keyword Difficulty*",'Semrush Data'!$A$1:$Z$1,0)),"")</f>
        <v/>
      </c>
      <c r="I1449" s="13" t="str">
        <f aca="false">IFERROR(INDEX('Semrush Data'!$A$1:$Z$20000,MATCH(A1449,'Semrush Data'!$A$1:$A$20000,0),MATCH("CPC*",'Semrush Data'!$A$1:$Z$1,0)),"")</f>
        <v/>
      </c>
      <c r="J1449" s="7" t="str">
        <f aca="false">IFERROR(INDEX('Semrush Data'!$A$1:$Z$20000,MATCH(A1449,'Semrush Data'!$A$1:$A$20000,0),MATCH("Intent",'Semrush Data'!$A$1:$Z$1,0)),"")</f>
        <v/>
      </c>
    </row>
    <row r="1450" customFormat="false" ht="15" hidden="false" customHeight="true" outlineLevel="0" collapsed="false">
      <c r="A1450" s="7" t="s">
        <v>4258</v>
      </c>
      <c r="B1450" s="7" t="s">
        <v>6817</v>
      </c>
      <c r="C1450" s="7" t="n">
        <v>2</v>
      </c>
      <c r="D1450" s="7" t="n">
        <v>15</v>
      </c>
      <c r="E1450" s="7" t="n">
        <v>1</v>
      </c>
      <c r="F1450" s="7" t="s">
        <v>4252</v>
      </c>
      <c r="G1450" s="12" t="str">
        <f aca="false">IFERROR(INDEX('Semrush Data'!$A$1:$Z$20000,MATCH(A1450,'Semrush Data'!$A$1:$A$20000,0),MATCH("Volume",'Semrush Data'!$A$1:$Z$1,0)),"")</f>
        <v/>
      </c>
      <c r="H1450" s="7" t="str">
        <f aca="false">IFERROR(INDEX('Semrush Data'!$A$1:$Z$20000,MATCH(A1450,'Semrush Data'!$A$1:$A$20000,0),MATCH("Keyword Difficulty*",'Semrush Data'!$A$1:$Z$1,0)),"")</f>
        <v/>
      </c>
      <c r="I1450" s="13" t="str">
        <f aca="false">IFERROR(INDEX('Semrush Data'!$A$1:$Z$20000,MATCH(A1450,'Semrush Data'!$A$1:$A$20000,0),MATCH("CPC*",'Semrush Data'!$A$1:$Z$1,0)),"")</f>
        <v/>
      </c>
      <c r="J1450" s="7" t="str">
        <f aca="false">IFERROR(INDEX('Semrush Data'!$A$1:$Z$20000,MATCH(A1450,'Semrush Data'!$A$1:$A$20000,0),MATCH("Intent",'Semrush Data'!$A$1:$Z$1,0)),"")</f>
        <v/>
      </c>
    </row>
    <row r="1451" customFormat="false" ht="15" hidden="false" customHeight="true" outlineLevel="0" collapsed="false">
      <c r="A1451" s="7" t="s">
        <v>4269</v>
      </c>
      <c r="B1451" s="7" t="s">
        <v>6817</v>
      </c>
      <c r="C1451" s="7" t="n">
        <v>2</v>
      </c>
      <c r="D1451" s="7" t="n">
        <v>15</v>
      </c>
      <c r="E1451" s="7" t="n">
        <v>1</v>
      </c>
      <c r="F1451" s="7" t="s">
        <v>4263</v>
      </c>
      <c r="G1451" s="12" t="str">
        <f aca="false">IFERROR(INDEX('Semrush Data'!$A$1:$Z$20000,MATCH(A1451,'Semrush Data'!$A$1:$A$20000,0),MATCH("Volume",'Semrush Data'!$A$1:$Z$1,0)),"")</f>
        <v/>
      </c>
      <c r="H1451" s="7" t="str">
        <f aca="false">IFERROR(INDEX('Semrush Data'!$A$1:$Z$20000,MATCH(A1451,'Semrush Data'!$A$1:$A$20000,0),MATCH("Keyword Difficulty*",'Semrush Data'!$A$1:$Z$1,0)),"")</f>
        <v/>
      </c>
      <c r="I1451" s="13" t="str">
        <f aca="false">IFERROR(INDEX('Semrush Data'!$A$1:$Z$20000,MATCH(A1451,'Semrush Data'!$A$1:$A$20000,0),MATCH("CPC*",'Semrush Data'!$A$1:$Z$1,0)),"")</f>
        <v/>
      </c>
      <c r="J1451" s="7" t="str">
        <f aca="false">IFERROR(INDEX('Semrush Data'!$A$1:$Z$20000,MATCH(A1451,'Semrush Data'!$A$1:$A$20000,0),MATCH("Intent",'Semrush Data'!$A$1:$Z$1,0)),"")</f>
        <v/>
      </c>
    </row>
    <row r="1452" customFormat="false" ht="15" hidden="false" customHeight="true" outlineLevel="0" collapsed="false">
      <c r="A1452" s="7" t="s">
        <v>4278</v>
      </c>
      <c r="B1452" s="7" t="s">
        <v>6817</v>
      </c>
      <c r="C1452" s="7" t="n">
        <v>2</v>
      </c>
      <c r="D1452" s="7" t="s">
        <v>6815</v>
      </c>
      <c r="E1452" s="7" t="n">
        <v>1</v>
      </c>
      <c r="F1452" s="7" t="s">
        <v>80</v>
      </c>
      <c r="G1452" s="12" t="n">
        <f aca="false">IFERROR(INDEX('Semrush Data'!$A$1:$Z$20000,MATCH(A1452,'Semrush Data'!$A$1:$A$20000,0),MATCH("Volume",'Semrush Data'!$A$1:$Z$1,0)),"")</f>
        <v>0</v>
      </c>
      <c r="H1452" s="7" t="n">
        <f aca="false">IFERROR(INDEX('Semrush Data'!$A$1:$Z$20000,MATCH(A1452,'Semrush Data'!$A$1:$A$20000,0),MATCH("Keyword Difficulty*",'Semrush Data'!$A$1:$Z$1,0)),"")</f>
        <v>28</v>
      </c>
      <c r="I1452" s="13" t="n">
        <f aca="false">IFERROR(INDEX('Semrush Data'!$A$1:$Z$20000,MATCH(A1452,'Semrush Data'!$A$1:$A$20000,0),MATCH("CPC*",'Semrush Data'!$A$1:$Z$1,0)),"")</f>
        <v>0</v>
      </c>
      <c r="J1452" s="7" t="str">
        <f aca="false">IFERROR(INDEX('Semrush Data'!$A$1:$Z$20000,MATCH(A1452,'Semrush Data'!$A$1:$A$20000,0),MATCH("Intent",'Semrush Data'!$A$1:$Z$1,0)),"")</f>
        <v>Informational</v>
      </c>
    </row>
    <row r="1453" customFormat="false" ht="15" hidden="false" customHeight="true" outlineLevel="0" collapsed="false">
      <c r="A1453" s="7" t="s">
        <v>4290</v>
      </c>
      <c r="B1453" s="7" t="s">
        <v>6817</v>
      </c>
      <c r="C1453" s="7" t="n">
        <v>2</v>
      </c>
      <c r="D1453" s="7" t="n">
        <v>15</v>
      </c>
      <c r="E1453" s="7" t="n">
        <v>1</v>
      </c>
      <c r="F1453" s="7" t="s">
        <v>4284</v>
      </c>
      <c r="G1453" s="12" t="str">
        <f aca="false">IFERROR(INDEX('Semrush Data'!$A$1:$Z$20000,MATCH(A1453,'Semrush Data'!$A$1:$A$20000,0),MATCH("Volume",'Semrush Data'!$A$1:$Z$1,0)),"")</f>
        <v/>
      </c>
      <c r="H1453" s="7" t="str">
        <f aca="false">IFERROR(INDEX('Semrush Data'!$A$1:$Z$20000,MATCH(A1453,'Semrush Data'!$A$1:$A$20000,0),MATCH("Keyword Difficulty*",'Semrush Data'!$A$1:$Z$1,0)),"")</f>
        <v/>
      </c>
      <c r="I1453" s="13" t="str">
        <f aca="false">IFERROR(INDEX('Semrush Data'!$A$1:$Z$20000,MATCH(A1453,'Semrush Data'!$A$1:$A$20000,0),MATCH("CPC*",'Semrush Data'!$A$1:$Z$1,0)),"")</f>
        <v/>
      </c>
      <c r="J1453" s="7" t="str">
        <f aca="false">IFERROR(INDEX('Semrush Data'!$A$1:$Z$20000,MATCH(A1453,'Semrush Data'!$A$1:$A$20000,0),MATCH("Intent",'Semrush Data'!$A$1:$Z$1,0)),"")</f>
        <v/>
      </c>
    </row>
    <row r="1454" customFormat="false" ht="15" hidden="false" customHeight="true" outlineLevel="0" collapsed="false">
      <c r="A1454" s="7" t="s">
        <v>4301</v>
      </c>
      <c r="B1454" s="7" t="s">
        <v>6817</v>
      </c>
      <c r="C1454" s="7" t="n">
        <v>2</v>
      </c>
      <c r="D1454" s="7" t="n">
        <v>15</v>
      </c>
      <c r="E1454" s="7" t="n">
        <v>1</v>
      </c>
      <c r="F1454" s="7" t="s">
        <v>4295</v>
      </c>
      <c r="G1454" s="12" t="str">
        <f aca="false">IFERROR(INDEX('Semrush Data'!$A$1:$Z$20000,MATCH(A1454,'Semrush Data'!$A$1:$A$20000,0),MATCH("Volume",'Semrush Data'!$A$1:$Z$1,0)),"")</f>
        <v/>
      </c>
      <c r="H1454" s="7" t="str">
        <f aca="false">IFERROR(INDEX('Semrush Data'!$A$1:$Z$20000,MATCH(A1454,'Semrush Data'!$A$1:$A$20000,0),MATCH("Keyword Difficulty*",'Semrush Data'!$A$1:$Z$1,0)),"")</f>
        <v/>
      </c>
      <c r="I1454" s="13" t="str">
        <f aca="false">IFERROR(INDEX('Semrush Data'!$A$1:$Z$20000,MATCH(A1454,'Semrush Data'!$A$1:$A$20000,0),MATCH("CPC*",'Semrush Data'!$A$1:$Z$1,0)),"")</f>
        <v/>
      </c>
      <c r="J1454" s="7" t="str">
        <f aca="false">IFERROR(INDEX('Semrush Data'!$A$1:$Z$20000,MATCH(A1454,'Semrush Data'!$A$1:$A$20000,0),MATCH("Intent",'Semrush Data'!$A$1:$Z$1,0)),"")</f>
        <v/>
      </c>
    </row>
    <row r="1455" customFormat="false" ht="15" hidden="false" customHeight="true" outlineLevel="0" collapsed="false">
      <c r="A1455" s="7" t="s">
        <v>4312</v>
      </c>
      <c r="B1455" s="7" t="s">
        <v>6817</v>
      </c>
      <c r="C1455" s="7" t="n">
        <v>2</v>
      </c>
      <c r="D1455" s="7" t="n">
        <v>15</v>
      </c>
      <c r="E1455" s="7" t="n">
        <v>1</v>
      </c>
      <c r="F1455" s="7" t="s">
        <v>4306</v>
      </c>
      <c r="G1455" s="12" t="str">
        <f aca="false">IFERROR(INDEX('Semrush Data'!$A$1:$Z$20000,MATCH(A1455,'Semrush Data'!$A$1:$A$20000,0),MATCH("Volume",'Semrush Data'!$A$1:$Z$1,0)),"")</f>
        <v/>
      </c>
      <c r="H1455" s="7" t="str">
        <f aca="false">IFERROR(INDEX('Semrush Data'!$A$1:$Z$20000,MATCH(A1455,'Semrush Data'!$A$1:$A$20000,0),MATCH("Keyword Difficulty*",'Semrush Data'!$A$1:$Z$1,0)),"")</f>
        <v/>
      </c>
      <c r="I1455" s="13" t="str">
        <f aca="false">IFERROR(INDEX('Semrush Data'!$A$1:$Z$20000,MATCH(A1455,'Semrush Data'!$A$1:$A$20000,0),MATCH("CPC*",'Semrush Data'!$A$1:$Z$1,0)),"")</f>
        <v/>
      </c>
      <c r="J1455" s="7" t="str">
        <f aca="false">IFERROR(INDEX('Semrush Data'!$A$1:$Z$20000,MATCH(A1455,'Semrush Data'!$A$1:$A$20000,0),MATCH("Intent",'Semrush Data'!$A$1:$Z$1,0)),"")</f>
        <v/>
      </c>
    </row>
    <row r="1456" customFormat="false" ht="15" hidden="false" customHeight="true" outlineLevel="0" collapsed="false">
      <c r="A1456" s="7" t="s">
        <v>4323</v>
      </c>
      <c r="B1456" s="7" t="s">
        <v>6817</v>
      </c>
      <c r="C1456" s="7" t="n">
        <v>2</v>
      </c>
      <c r="D1456" s="7" t="s">
        <v>6815</v>
      </c>
      <c r="E1456" s="7" t="n">
        <v>1</v>
      </c>
      <c r="F1456" s="7" t="s">
        <v>4317</v>
      </c>
      <c r="G1456" s="12" t="n">
        <f aca="false">IFERROR(INDEX('Semrush Data'!$A$1:$Z$20000,MATCH(A1456,'Semrush Data'!$A$1:$A$20000,0),MATCH("Volume",'Semrush Data'!$A$1:$Z$1,0)),"")</f>
        <v>0</v>
      </c>
      <c r="H1456" s="7" t="n">
        <f aca="false">IFERROR(INDEX('Semrush Data'!$A$1:$Z$20000,MATCH(A1456,'Semrush Data'!$A$1:$A$20000,0),MATCH("Keyword Difficulty*",'Semrush Data'!$A$1:$Z$1,0)),"")</f>
        <v>22</v>
      </c>
      <c r="I1456" s="13" t="n">
        <f aca="false">IFERROR(INDEX('Semrush Data'!$A$1:$Z$20000,MATCH(A1456,'Semrush Data'!$A$1:$A$20000,0),MATCH("CPC*",'Semrush Data'!$A$1:$Z$1,0)),"")</f>
        <v>0</v>
      </c>
      <c r="J1456" s="7" t="str">
        <f aca="false">IFERROR(INDEX('Semrush Data'!$A$1:$Z$20000,MATCH(A1456,'Semrush Data'!$A$1:$A$20000,0),MATCH("Intent",'Semrush Data'!$A$1:$Z$1,0)),"")</f>
        <v>Informational</v>
      </c>
    </row>
    <row r="1457" customFormat="false" ht="15" hidden="false" customHeight="true" outlineLevel="0" collapsed="false">
      <c r="A1457" s="7" t="s">
        <v>4334</v>
      </c>
      <c r="B1457" s="7" t="s">
        <v>6817</v>
      </c>
      <c r="C1457" s="7" t="n">
        <v>2</v>
      </c>
      <c r="D1457" s="7" t="s">
        <v>6816</v>
      </c>
      <c r="E1457" s="7" t="n">
        <v>1</v>
      </c>
      <c r="F1457" s="7" t="s">
        <v>4328</v>
      </c>
      <c r="G1457" s="12" t="n">
        <f aca="false">IFERROR(INDEX('Semrush Data'!$A$1:$Z$20000,MATCH(A1457,'Semrush Data'!$A$1:$A$20000,0),MATCH("Volume",'Semrush Data'!$A$1:$Z$1,0)),"")</f>
        <v>0</v>
      </c>
      <c r="H1457" s="7" t="n">
        <f aca="false">IFERROR(INDEX('Semrush Data'!$A$1:$Z$20000,MATCH(A1457,'Semrush Data'!$A$1:$A$20000,0),MATCH("Keyword Difficulty*",'Semrush Data'!$A$1:$Z$1,0)),"")</f>
        <v>16</v>
      </c>
      <c r="I1457" s="13" t="n">
        <f aca="false">IFERROR(INDEX('Semrush Data'!$A$1:$Z$20000,MATCH(A1457,'Semrush Data'!$A$1:$A$20000,0),MATCH("CPC*",'Semrush Data'!$A$1:$Z$1,0)),"")</f>
        <v>0</v>
      </c>
      <c r="J1457" s="7" t="str">
        <f aca="false">IFERROR(INDEX('Semrush Data'!$A$1:$Z$20000,MATCH(A1457,'Semrush Data'!$A$1:$A$20000,0),MATCH("Intent",'Semrush Data'!$A$1:$Z$1,0)),"")</f>
        <v>Informational Transactional</v>
      </c>
    </row>
    <row r="1458" customFormat="false" ht="15" hidden="false" customHeight="true" outlineLevel="0" collapsed="false">
      <c r="A1458" s="7" t="s">
        <v>4346</v>
      </c>
      <c r="B1458" s="7" t="s">
        <v>6817</v>
      </c>
      <c r="C1458" s="7" t="n">
        <v>2</v>
      </c>
      <c r="D1458" s="7" t="s">
        <v>6816</v>
      </c>
      <c r="E1458" s="7" t="n">
        <v>1</v>
      </c>
      <c r="F1458" s="7" t="s">
        <v>4340</v>
      </c>
      <c r="G1458" s="12" t="n">
        <f aca="false">IFERROR(INDEX('Semrush Data'!$A$1:$Z$20000,MATCH(A1458,'Semrush Data'!$A$1:$A$20000,0),MATCH("Volume",'Semrush Data'!$A$1:$Z$1,0)),"")</f>
        <v>0</v>
      </c>
      <c r="H1458" s="7" t="n">
        <f aca="false">IFERROR(INDEX('Semrush Data'!$A$1:$Z$20000,MATCH(A1458,'Semrush Data'!$A$1:$A$20000,0),MATCH("Keyword Difficulty*",'Semrush Data'!$A$1:$Z$1,0)),"")</f>
        <v>22</v>
      </c>
      <c r="I1458" s="13" t="n">
        <f aca="false">IFERROR(INDEX('Semrush Data'!$A$1:$Z$20000,MATCH(A1458,'Semrush Data'!$A$1:$A$20000,0),MATCH("CPC*",'Semrush Data'!$A$1:$Z$1,0)),"")</f>
        <v>0</v>
      </c>
      <c r="J1458" s="7" t="str">
        <f aca="false">IFERROR(INDEX('Semrush Data'!$A$1:$Z$20000,MATCH(A1458,'Semrush Data'!$A$1:$A$20000,0),MATCH("Intent",'Semrush Data'!$A$1:$Z$1,0)),"")</f>
        <v>Informational</v>
      </c>
    </row>
    <row r="1459" customFormat="false" ht="15" hidden="false" customHeight="true" outlineLevel="0" collapsed="false">
      <c r="A1459" s="7" t="s">
        <v>4357</v>
      </c>
      <c r="B1459" s="7" t="s">
        <v>6817</v>
      </c>
      <c r="C1459" s="7" t="n">
        <v>2</v>
      </c>
      <c r="D1459" s="7" t="s">
        <v>6816</v>
      </c>
      <c r="E1459" s="7" t="n">
        <v>1</v>
      </c>
      <c r="F1459" s="7" t="s">
        <v>4351</v>
      </c>
      <c r="G1459" s="12" t="n">
        <f aca="false">IFERROR(INDEX('Semrush Data'!$A$1:$Z$20000,MATCH(A1459,'Semrush Data'!$A$1:$A$20000,0),MATCH("Volume",'Semrush Data'!$A$1:$Z$1,0)),"")</f>
        <v>0</v>
      </c>
      <c r="H1459" s="7" t="n">
        <f aca="false">IFERROR(INDEX('Semrush Data'!$A$1:$Z$20000,MATCH(A1459,'Semrush Data'!$A$1:$A$20000,0),MATCH("Keyword Difficulty*",'Semrush Data'!$A$1:$Z$1,0)),"")</f>
        <v>17</v>
      </c>
      <c r="I1459" s="13" t="n">
        <f aca="false">IFERROR(INDEX('Semrush Data'!$A$1:$Z$20000,MATCH(A1459,'Semrush Data'!$A$1:$A$20000,0),MATCH("CPC*",'Semrush Data'!$A$1:$Z$1,0)),"")</f>
        <v>0</v>
      </c>
      <c r="J1459" s="7" t="str">
        <f aca="false">IFERROR(INDEX('Semrush Data'!$A$1:$Z$20000,MATCH(A1459,'Semrush Data'!$A$1:$A$20000,0),MATCH("Intent",'Semrush Data'!$A$1:$Z$1,0)),"")</f>
        <v>Informational</v>
      </c>
    </row>
    <row r="1460" customFormat="false" ht="15" hidden="false" customHeight="true" outlineLevel="0" collapsed="false">
      <c r="A1460" s="7" t="s">
        <v>4368</v>
      </c>
      <c r="B1460" s="7" t="s">
        <v>6817</v>
      </c>
      <c r="C1460" s="7" t="n">
        <v>2</v>
      </c>
      <c r="D1460" s="7" t="n">
        <v>15</v>
      </c>
      <c r="E1460" s="7" t="n">
        <v>1</v>
      </c>
      <c r="F1460" s="7" t="s">
        <v>4362</v>
      </c>
      <c r="G1460" s="12" t="str">
        <f aca="false">IFERROR(INDEX('Semrush Data'!$A$1:$Z$20000,MATCH(A1460,'Semrush Data'!$A$1:$A$20000,0),MATCH("Volume",'Semrush Data'!$A$1:$Z$1,0)),"")</f>
        <v/>
      </c>
      <c r="H1460" s="7" t="str">
        <f aca="false">IFERROR(INDEX('Semrush Data'!$A$1:$Z$20000,MATCH(A1460,'Semrush Data'!$A$1:$A$20000,0),MATCH("Keyword Difficulty*",'Semrush Data'!$A$1:$Z$1,0)),"")</f>
        <v/>
      </c>
      <c r="I1460" s="13" t="str">
        <f aca="false">IFERROR(INDEX('Semrush Data'!$A$1:$Z$20000,MATCH(A1460,'Semrush Data'!$A$1:$A$20000,0),MATCH("CPC*",'Semrush Data'!$A$1:$Z$1,0)),"")</f>
        <v/>
      </c>
      <c r="J1460" s="7" t="str">
        <f aca="false">IFERROR(INDEX('Semrush Data'!$A$1:$Z$20000,MATCH(A1460,'Semrush Data'!$A$1:$A$20000,0),MATCH("Intent",'Semrush Data'!$A$1:$Z$1,0)),"")</f>
        <v/>
      </c>
    </row>
    <row r="1461" customFormat="false" ht="15" hidden="false" customHeight="true" outlineLevel="0" collapsed="false">
      <c r="A1461" s="7" t="s">
        <v>4377</v>
      </c>
      <c r="B1461" s="7" t="s">
        <v>6817</v>
      </c>
      <c r="C1461" s="7" t="n">
        <v>2</v>
      </c>
      <c r="D1461" s="7" t="s">
        <v>6815</v>
      </c>
      <c r="E1461" s="7" t="n">
        <v>1</v>
      </c>
      <c r="F1461" s="7" t="s">
        <v>96</v>
      </c>
      <c r="G1461" s="12" t="n">
        <f aca="false">IFERROR(INDEX('Semrush Data'!$A$1:$Z$20000,MATCH(A1461,'Semrush Data'!$A$1:$A$20000,0),MATCH("Volume",'Semrush Data'!$A$1:$Z$1,0)),"")</f>
        <v>0</v>
      </c>
      <c r="H1461" s="7" t="n">
        <f aca="false">IFERROR(INDEX('Semrush Data'!$A$1:$Z$20000,MATCH(A1461,'Semrush Data'!$A$1:$A$20000,0),MATCH("Keyword Difficulty*",'Semrush Data'!$A$1:$Z$1,0)),"")</f>
        <v>20</v>
      </c>
      <c r="I1461" s="13" t="n">
        <f aca="false">IFERROR(INDEX('Semrush Data'!$A$1:$Z$20000,MATCH(A1461,'Semrush Data'!$A$1:$A$20000,0),MATCH("CPC*",'Semrush Data'!$A$1:$Z$1,0)),"")</f>
        <v>0</v>
      </c>
      <c r="J1461" s="7" t="str">
        <f aca="false">IFERROR(INDEX('Semrush Data'!$A$1:$Z$20000,MATCH(A1461,'Semrush Data'!$A$1:$A$20000,0),MATCH("Intent",'Semrush Data'!$A$1:$Z$1,0)),"")</f>
        <v>Informational</v>
      </c>
    </row>
    <row r="1462" customFormat="false" ht="15" hidden="false" customHeight="true" outlineLevel="0" collapsed="false">
      <c r="A1462" s="7" t="s">
        <v>4388</v>
      </c>
      <c r="B1462" s="7" t="s">
        <v>6817</v>
      </c>
      <c r="C1462" s="7" t="n">
        <v>2</v>
      </c>
      <c r="D1462" s="7" t="s">
        <v>6816</v>
      </c>
      <c r="E1462" s="7" t="n">
        <v>1</v>
      </c>
      <c r="F1462" s="7" t="s">
        <v>4382</v>
      </c>
      <c r="G1462" s="12" t="n">
        <f aca="false">IFERROR(INDEX('Semrush Data'!$A$1:$Z$20000,MATCH(A1462,'Semrush Data'!$A$1:$A$20000,0),MATCH("Volume",'Semrush Data'!$A$1:$Z$1,0)),"")</f>
        <v>0</v>
      </c>
      <c r="H1462" s="7" t="n">
        <f aca="false">IFERROR(INDEX('Semrush Data'!$A$1:$Z$20000,MATCH(A1462,'Semrush Data'!$A$1:$A$20000,0),MATCH("Keyword Difficulty*",'Semrush Data'!$A$1:$Z$1,0)),"")</f>
        <v>24</v>
      </c>
      <c r="I1462" s="13" t="n">
        <f aca="false">IFERROR(INDEX('Semrush Data'!$A$1:$Z$20000,MATCH(A1462,'Semrush Data'!$A$1:$A$20000,0),MATCH("CPC*",'Semrush Data'!$A$1:$Z$1,0)),"")</f>
        <v>0</v>
      </c>
      <c r="J1462" s="7" t="str">
        <f aca="false">IFERROR(INDEX('Semrush Data'!$A$1:$Z$20000,MATCH(A1462,'Semrush Data'!$A$1:$A$20000,0),MATCH("Intent",'Semrush Data'!$A$1:$Z$1,0)),"")</f>
        <v>Informational Transactional</v>
      </c>
    </row>
    <row r="1463" customFormat="false" ht="15" hidden="false" customHeight="true" outlineLevel="0" collapsed="false">
      <c r="A1463" s="7" t="s">
        <v>4399</v>
      </c>
      <c r="B1463" s="7" t="s">
        <v>6817</v>
      </c>
      <c r="C1463" s="7" t="n">
        <v>2</v>
      </c>
      <c r="D1463" s="7" t="n">
        <v>15</v>
      </c>
      <c r="E1463" s="7" t="n">
        <v>1</v>
      </c>
      <c r="F1463" s="7" t="s">
        <v>4393</v>
      </c>
      <c r="G1463" s="12" t="str">
        <f aca="false">IFERROR(INDEX('Semrush Data'!$A$1:$Z$20000,MATCH(A1463,'Semrush Data'!$A$1:$A$20000,0),MATCH("Volume",'Semrush Data'!$A$1:$Z$1,0)),"")</f>
        <v/>
      </c>
      <c r="H1463" s="7" t="str">
        <f aca="false">IFERROR(INDEX('Semrush Data'!$A$1:$Z$20000,MATCH(A1463,'Semrush Data'!$A$1:$A$20000,0),MATCH("Keyword Difficulty*",'Semrush Data'!$A$1:$Z$1,0)),"")</f>
        <v/>
      </c>
      <c r="I1463" s="13" t="str">
        <f aca="false">IFERROR(INDEX('Semrush Data'!$A$1:$Z$20000,MATCH(A1463,'Semrush Data'!$A$1:$A$20000,0),MATCH("CPC*",'Semrush Data'!$A$1:$Z$1,0)),"")</f>
        <v/>
      </c>
      <c r="J1463" s="7" t="str">
        <f aca="false">IFERROR(INDEX('Semrush Data'!$A$1:$Z$20000,MATCH(A1463,'Semrush Data'!$A$1:$A$20000,0),MATCH("Intent",'Semrush Data'!$A$1:$Z$1,0)),"")</f>
        <v/>
      </c>
    </row>
    <row r="1464" customFormat="false" ht="15" hidden="false" customHeight="true" outlineLevel="0" collapsed="false">
      <c r="A1464" s="7" t="s">
        <v>4575</v>
      </c>
      <c r="B1464" s="7" t="s">
        <v>6817</v>
      </c>
      <c r="C1464" s="7" t="n">
        <v>2</v>
      </c>
      <c r="D1464" s="7" t="n">
        <v>15</v>
      </c>
      <c r="E1464" s="7" t="n">
        <v>1</v>
      </c>
      <c r="F1464" s="7" t="s">
        <v>4568</v>
      </c>
      <c r="G1464" s="12" t="str">
        <f aca="false">IFERROR(INDEX('Semrush Data'!$A$1:$Z$20000,MATCH(A1464,'Semrush Data'!$A$1:$A$20000,0),MATCH("Volume",'Semrush Data'!$A$1:$Z$1,0)),"")</f>
        <v/>
      </c>
      <c r="H1464" s="7" t="str">
        <f aca="false">IFERROR(INDEX('Semrush Data'!$A$1:$Z$20000,MATCH(A1464,'Semrush Data'!$A$1:$A$20000,0),MATCH("Keyword Difficulty*",'Semrush Data'!$A$1:$Z$1,0)),"")</f>
        <v/>
      </c>
      <c r="I1464" s="13" t="str">
        <f aca="false">IFERROR(INDEX('Semrush Data'!$A$1:$Z$20000,MATCH(A1464,'Semrush Data'!$A$1:$A$20000,0),MATCH("CPC*",'Semrush Data'!$A$1:$Z$1,0)),"")</f>
        <v/>
      </c>
      <c r="J1464" s="7" t="str">
        <f aca="false">IFERROR(INDEX('Semrush Data'!$A$1:$Z$20000,MATCH(A1464,'Semrush Data'!$A$1:$A$20000,0),MATCH("Intent",'Semrush Data'!$A$1:$Z$1,0)),"")</f>
        <v/>
      </c>
    </row>
    <row r="1465" customFormat="false" ht="15" hidden="false" customHeight="true" outlineLevel="0" collapsed="false">
      <c r="A1465" s="7" t="s">
        <v>4587</v>
      </c>
      <c r="B1465" s="7" t="s">
        <v>6817</v>
      </c>
      <c r="C1465" s="7" t="n">
        <v>2</v>
      </c>
      <c r="D1465" s="7" t="n">
        <v>15</v>
      </c>
      <c r="E1465" s="7" t="n">
        <v>1</v>
      </c>
      <c r="F1465" s="7" t="s">
        <v>4580</v>
      </c>
      <c r="G1465" s="12" t="str">
        <f aca="false">IFERROR(INDEX('Semrush Data'!$A$1:$Z$20000,MATCH(A1465,'Semrush Data'!$A$1:$A$20000,0),MATCH("Volume",'Semrush Data'!$A$1:$Z$1,0)),"")</f>
        <v/>
      </c>
      <c r="H1465" s="7" t="str">
        <f aca="false">IFERROR(INDEX('Semrush Data'!$A$1:$Z$20000,MATCH(A1465,'Semrush Data'!$A$1:$A$20000,0),MATCH("Keyword Difficulty*",'Semrush Data'!$A$1:$Z$1,0)),"")</f>
        <v/>
      </c>
      <c r="I1465" s="13" t="str">
        <f aca="false">IFERROR(INDEX('Semrush Data'!$A$1:$Z$20000,MATCH(A1465,'Semrush Data'!$A$1:$A$20000,0),MATCH("CPC*",'Semrush Data'!$A$1:$Z$1,0)),"")</f>
        <v/>
      </c>
      <c r="J1465" s="7" t="str">
        <f aca="false">IFERROR(INDEX('Semrush Data'!$A$1:$Z$20000,MATCH(A1465,'Semrush Data'!$A$1:$A$20000,0),MATCH("Intent",'Semrush Data'!$A$1:$Z$1,0)),"")</f>
        <v/>
      </c>
    </row>
    <row r="1466" customFormat="false" ht="15" hidden="false" customHeight="true" outlineLevel="0" collapsed="false">
      <c r="A1466" s="7" t="s">
        <v>4598</v>
      </c>
      <c r="B1466" s="7" t="s">
        <v>6817</v>
      </c>
      <c r="C1466" s="7" t="n">
        <v>2</v>
      </c>
      <c r="D1466" s="7" t="s">
        <v>6815</v>
      </c>
      <c r="E1466" s="7" t="n">
        <v>1</v>
      </c>
      <c r="F1466" s="7" t="s">
        <v>112</v>
      </c>
      <c r="G1466" s="12" t="n">
        <f aca="false">IFERROR(INDEX('Semrush Data'!$A$1:$Z$20000,MATCH(A1466,'Semrush Data'!$A$1:$A$20000,0),MATCH("Volume",'Semrush Data'!$A$1:$Z$1,0)),"")</f>
        <v>40</v>
      </c>
      <c r="H1466" s="7" t="n">
        <f aca="false">IFERROR(INDEX('Semrush Data'!$A$1:$Z$20000,MATCH(A1466,'Semrush Data'!$A$1:$A$20000,0),MATCH("Keyword Difficulty*",'Semrush Data'!$A$1:$Z$1,0)),"")</f>
        <v>24</v>
      </c>
      <c r="I1466" s="13" t="n">
        <f aca="false">IFERROR(INDEX('Semrush Data'!$A$1:$Z$20000,MATCH(A1466,'Semrush Data'!$A$1:$A$20000,0),MATCH("CPC*",'Semrush Data'!$A$1:$Z$1,0)),"")</f>
        <v>0.63</v>
      </c>
      <c r="J1466" s="7" t="str">
        <f aca="false">IFERROR(INDEX('Semrush Data'!$A$1:$Z$20000,MATCH(A1466,'Semrush Data'!$A$1:$A$20000,0),MATCH("Intent",'Semrush Data'!$A$1:$Z$1,0)),"")</f>
        <v>Informational</v>
      </c>
    </row>
    <row r="1467" customFormat="false" ht="15" hidden="false" customHeight="true" outlineLevel="0" collapsed="false">
      <c r="A1467" s="7" t="s">
        <v>4610</v>
      </c>
      <c r="B1467" s="7" t="s">
        <v>6817</v>
      </c>
      <c r="C1467" s="7" t="n">
        <v>2</v>
      </c>
      <c r="D1467" s="7" t="n">
        <v>15</v>
      </c>
      <c r="E1467" s="7" t="n">
        <v>1</v>
      </c>
      <c r="F1467" s="7" t="s">
        <v>4604</v>
      </c>
      <c r="G1467" s="12" t="str">
        <f aca="false">IFERROR(INDEX('Semrush Data'!$A$1:$Z$20000,MATCH(A1467,'Semrush Data'!$A$1:$A$20000,0),MATCH("Volume",'Semrush Data'!$A$1:$Z$1,0)),"")</f>
        <v/>
      </c>
      <c r="H1467" s="7" t="str">
        <f aca="false">IFERROR(INDEX('Semrush Data'!$A$1:$Z$20000,MATCH(A1467,'Semrush Data'!$A$1:$A$20000,0),MATCH("Keyword Difficulty*",'Semrush Data'!$A$1:$Z$1,0)),"")</f>
        <v/>
      </c>
      <c r="I1467" s="13" t="str">
        <f aca="false">IFERROR(INDEX('Semrush Data'!$A$1:$Z$20000,MATCH(A1467,'Semrush Data'!$A$1:$A$20000,0),MATCH("CPC*",'Semrush Data'!$A$1:$Z$1,0)),"")</f>
        <v/>
      </c>
      <c r="J1467" s="7" t="str">
        <f aca="false">IFERROR(INDEX('Semrush Data'!$A$1:$Z$20000,MATCH(A1467,'Semrush Data'!$A$1:$A$20000,0),MATCH("Intent",'Semrush Data'!$A$1:$Z$1,0)),"")</f>
        <v/>
      </c>
    </row>
    <row r="1468" customFormat="false" ht="15" hidden="false" customHeight="true" outlineLevel="0" collapsed="false">
      <c r="A1468" s="7" t="s">
        <v>4675</v>
      </c>
      <c r="B1468" s="7" t="s">
        <v>6817</v>
      </c>
      <c r="C1468" s="7" t="n">
        <v>2</v>
      </c>
      <c r="D1468" s="7" t="n">
        <v>15</v>
      </c>
      <c r="E1468" s="7" t="n">
        <v>1</v>
      </c>
      <c r="F1468" s="7" t="s">
        <v>4669</v>
      </c>
      <c r="G1468" s="12" t="str">
        <f aca="false">IFERROR(INDEX('Semrush Data'!$A$1:$Z$20000,MATCH(A1468,'Semrush Data'!$A$1:$A$20000,0),MATCH("Volume",'Semrush Data'!$A$1:$Z$1,0)),"")</f>
        <v/>
      </c>
      <c r="H1468" s="7" t="str">
        <f aca="false">IFERROR(INDEX('Semrush Data'!$A$1:$Z$20000,MATCH(A1468,'Semrush Data'!$A$1:$A$20000,0),MATCH("Keyword Difficulty*",'Semrush Data'!$A$1:$Z$1,0)),"")</f>
        <v/>
      </c>
      <c r="I1468" s="13" t="str">
        <f aca="false">IFERROR(INDEX('Semrush Data'!$A$1:$Z$20000,MATCH(A1468,'Semrush Data'!$A$1:$A$20000,0),MATCH("CPC*",'Semrush Data'!$A$1:$Z$1,0)),"")</f>
        <v/>
      </c>
      <c r="J1468" s="7" t="str">
        <f aca="false">IFERROR(INDEX('Semrush Data'!$A$1:$Z$20000,MATCH(A1468,'Semrush Data'!$A$1:$A$20000,0),MATCH("Intent",'Semrush Data'!$A$1:$Z$1,0)),"")</f>
        <v/>
      </c>
    </row>
    <row r="1469" customFormat="false" ht="15" hidden="false" customHeight="true" outlineLevel="0" collapsed="false">
      <c r="A1469" s="7" t="s">
        <v>4748</v>
      </c>
      <c r="B1469" s="7" t="s">
        <v>6817</v>
      </c>
      <c r="C1469" s="7" t="n">
        <v>2</v>
      </c>
      <c r="D1469" s="7" t="n">
        <v>15</v>
      </c>
      <c r="E1469" s="7" t="n">
        <v>1</v>
      </c>
      <c r="F1469" s="7" t="s">
        <v>4742</v>
      </c>
      <c r="G1469" s="12" t="str">
        <f aca="false">IFERROR(INDEX('Semrush Data'!$A$1:$Z$20000,MATCH(A1469,'Semrush Data'!$A$1:$A$20000,0),MATCH("Volume",'Semrush Data'!$A$1:$Z$1,0)),"")</f>
        <v/>
      </c>
      <c r="H1469" s="7" t="str">
        <f aca="false">IFERROR(INDEX('Semrush Data'!$A$1:$Z$20000,MATCH(A1469,'Semrush Data'!$A$1:$A$20000,0),MATCH("Keyword Difficulty*",'Semrush Data'!$A$1:$Z$1,0)),"")</f>
        <v/>
      </c>
      <c r="I1469" s="13" t="str">
        <f aca="false">IFERROR(INDEX('Semrush Data'!$A$1:$Z$20000,MATCH(A1469,'Semrush Data'!$A$1:$A$20000,0),MATCH("CPC*",'Semrush Data'!$A$1:$Z$1,0)),"")</f>
        <v/>
      </c>
      <c r="J1469" s="7" t="str">
        <f aca="false">IFERROR(INDEX('Semrush Data'!$A$1:$Z$20000,MATCH(A1469,'Semrush Data'!$A$1:$A$20000,0),MATCH("Intent",'Semrush Data'!$A$1:$Z$1,0)),"")</f>
        <v/>
      </c>
    </row>
    <row r="1470" customFormat="false" ht="15" hidden="false" customHeight="true" outlineLevel="0" collapsed="false">
      <c r="A1470" s="7" t="s">
        <v>4623</v>
      </c>
      <c r="B1470" s="7" t="s">
        <v>6817</v>
      </c>
      <c r="C1470" s="7" t="n">
        <v>2</v>
      </c>
      <c r="D1470" s="7" t="n">
        <v>15</v>
      </c>
      <c r="E1470" s="7" t="n">
        <v>1</v>
      </c>
      <c r="F1470" s="7" t="s">
        <v>4616</v>
      </c>
      <c r="G1470" s="12" t="str">
        <f aca="false">IFERROR(INDEX('Semrush Data'!$A$1:$Z$20000,MATCH(A1470,'Semrush Data'!$A$1:$A$20000,0),MATCH("Volume",'Semrush Data'!$A$1:$Z$1,0)),"")</f>
        <v/>
      </c>
      <c r="H1470" s="7" t="str">
        <f aca="false">IFERROR(INDEX('Semrush Data'!$A$1:$Z$20000,MATCH(A1470,'Semrush Data'!$A$1:$A$20000,0),MATCH("Keyword Difficulty*",'Semrush Data'!$A$1:$Z$1,0)),"")</f>
        <v/>
      </c>
      <c r="I1470" s="13" t="str">
        <f aca="false">IFERROR(INDEX('Semrush Data'!$A$1:$Z$20000,MATCH(A1470,'Semrush Data'!$A$1:$A$20000,0),MATCH("CPC*",'Semrush Data'!$A$1:$Z$1,0)),"")</f>
        <v/>
      </c>
      <c r="J1470" s="7" t="str">
        <f aca="false">IFERROR(INDEX('Semrush Data'!$A$1:$Z$20000,MATCH(A1470,'Semrush Data'!$A$1:$A$20000,0),MATCH("Intent",'Semrush Data'!$A$1:$Z$1,0)),"")</f>
        <v/>
      </c>
    </row>
    <row r="1471" customFormat="false" ht="15" hidden="false" customHeight="true" outlineLevel="0" collapsed="false">
      <c r="A1471" s="7" t="s">
        <v>4632</v>
      </c>
      <c r="B1471" s="7" t="s">
        <v>6817</v>
      </c>
      <c r="C1471" s="7" t="n">
        <v>2</v>
      </c>
      <c r="D1471" s="7" t="s">
        <v>6815</v>
      </c>
      <c r="E1471" s="7" t="n">
        <v>1</v>
      </c>
      <c r="F1471" s="7" t="s">
        <v>64</v>
      </c>
      <c r="G1471" s="12" t="n">
        <f aca="false">IFERROR(INDEX('Semrush Data'!$A$1:$Z$20000,MATCH(A1471,'Semrush Data'!$A$1:$A$20000,0),MATCH("Volume",'Semrush Data'!$A$1:$Z$1,0)),"")</f>
        <v>260</v>
      </c>
      <c r="H1471" s="7" t="n">
        <f aca="false">IFERROR(INDEX('Semrush Data'!$A$1:$Z$20000,MATCH(A1471,'Semrush Data'!$A$1:$A$20000,0),MATCH("Keyword Difficulty*",'Semrush Data'!$A$1:$Z$1,0)),"")</f>
        <v>24</v>
      </c>
      <c r="I1471" s="13" t="n">
        <f aca="false">IFERROR(INDEX('Semrush Data'!$A$1:$Z$20000,MATCH(A1471,'Semrush Data'!$A$1:$A$20000,0),MATCH("CPC*",'Semrush Data'!$A$1:$Z$1,0)),"")</f>
        <v>0.54</v>
      </c>
      <c r="J1471" s="7" t="str">
        <f aca="false">IFERROR(INDEX('Semrush Data'!$A$1:$Z$20000,MATCH(A1471,'Semrush Data'!$A$1:$A$20000,0),MATCH("Intent",'Semrush Data'!$A$1:$Z$1,0)),"")</f>
        <v>Informational Navigational</v>
      </c>
    </row>
    <row r="1472" customFormat="false" ht="15" hidden="false" customHeight="true" outlineLevel="0" collapsed="false">
      <c r="A1472" s="7" t="s">
        <v>4643</v>
      </c>
      <c r="B1472" s="7" t="s">
        <v>6817</v>
      </c>
      <c r="C1472" s="7" t="n">
        <v>2</v>
      </c>
      <c r="D1472" s="7" t="n">
        <v>15</v>
      </c>
      <c r="E1472" s="7" t="n">
        <v>1</v>
      </c>
      <c r="F1472" s="7" t="s">
        <v>4637</v>
      </c>
      <c r="G1472" s="12" t="str">
        <f aca="false">IFERROR(INDEX('Semrush Data'!$A$1:$Z$20000,MATCH(A1472,'Semrush Data'!$A$1:$A$20000,0),MATCH("Volume",'Semrush Data'!$A$1:$Z$1,0)),"")</f>
        <v/>
      </c>
      <c r="H1472" s="7" t="str">
        <f aca="false">IFERROR(INDEX('Semrush Data'!$A$1:$Z$20000,MATCH(A1472,'Semrush Data'!$A$1:$A$20000,0),MATCH("Keyword Difficulty*",'Semrush Data'!$A$1:$Z$1,0)),"")</f>
        <v/>
      </c>
      <c r="I1472" s="13" t="str">
        <f aca="false">IFERROR(INDEX('Semrush Data'!$A$1:$Z$20000,MATCH(A1472,'Semrush Data'!$A$1:$A$20000,0),MATCH("CPC*",'Semrush Data'!$A$1:$Z$1,0)),"")</f>
        <v/>
      </c>
      <c r="J1472" s="7" t="str">
        <f aca="false">IFERROR(INDEX('Semrush Data'!$A$1:$Z$20000,MATCH(A1472,'Semrush Data'!$A$1:$A$20000,0),MATCH("Intent",'Semrush Data'!$A$1:$Z$1,0)),"")</f>
        <v/>
      </c>
    </row>
    <row r="1473" customFormat="false" ht="15" hidden="false" customHeight="true" outlineLevel="0" collapsed="false">
      <c r="A1473" s="7" t="s">
        <v>4653</v>
      </c>
      <c r="B1473" s="7" t="s">
        <v>6817</v>
      </c>
      <c r="C1473" s="7" t="n">
        <v>2</v>
      </c>
      <c r="D1473" s="7" t="n">
        <v>15</v>
      </c>
      <c r="E1473" s="7" t="n">
        <v>1</v>
      </c>
      <c r="F1473" s="7" t="s">
        <v>4647</v>
      </c>
      <c r="G1473" s="12" t="str">
        <f aca="false">IFERROR(INDEX('Semrush Data'!$A$1:$Z$20000,MATCH(A1473,'Semrush Data'!$A$1:$A$20000,0),MATCH("Volume",'Semrush Data'!$A$1:$Z$1,0)),"")</f>
        <v/>
      </c>
      <c r="H1473" s="7" t="str">
        <f aca="false">IFERROR(INDEX('Semrush Data'!$A$1:$Z$20000,MATCH(A1473,'Semrush Data'!$A$1:$A$20000,0),MATCH("Keyword Difficulty*",'Semrush Data'!$A$1:$Z$1,0)),"")</f>
        <v/>
      </c>
      <c r="I1473" s="13" t="str">
        <f aca="false">IFERROR(INDEX('Semrush Data'!$A$1:$Z$20000,MATCH(A1473,'Semrush Data'!$A$1:$A$20000,0),MATCH("CPC*",'Semrush Data'!$A$1:$Z$1,0)),"")</f>
        <v/>
      </c>
      <c r="J1473" s="7" t="str">
        <f aca="false">IFERROR(INDEX('Semrush Data'!$A$1:$Z$20000,MATCH(A1473,'Semrush Data'!$A$1:$A$20000,0),MATCH("Intent",'Semrush Data'!$A$1:$Z$1,0)),"")</f>
        <v/>
      </c>
    </row>
    <row r="1474" customFormat="false" ht="15" hidden="false" customHeight="true" outlineLevel="0" collapsed="false">
      <c r="A1474" s="7" t="s">
        <v>4684</v>
      </c>
      <c r="B1474" s="7" t="s">
        <v>6817</v>
      </c>
      <c r="C1474" s="7" t="n">
        <v>2</v>
      </c>
      <c r="D1474" s="7" t="s">
        <v>6815</v>
      </c>
      <c r="E1474" s="7" t="n">
        <v>1</v>
      </c>
      <c r="F1474" s="7" t="s">
        <v>78</v>
      </c>
      <c r="G1474" s="12" t="n">
        <f aca="false">IFERROR(INDEX('Semrush Data'!$A$1:$Z$20000,MATCH(A1474,'Semrush Data'!$A$1:$A$20000,0),MATCH("Volume",'Semrush Data'!$A$1:$Z$1,0)),"")</f>
        <v>140</v>
      </c>
      <c r="H1474" s="7" t="n">
        <f aca="false">IFERROR(INDEX('Semrush Data'!$A$1:$Z$20000,MATCH(A1474,'Semrush Data'!$A$1:$A$20000,0),MATCH("Keyword Difficulty*",'Semrush Data'!$A$1:$Z$1,0)),"")</f>
        <v>25</v>
      </c>
      <c r="I1474" s="13" t="n">
        <f aca="false">IFERROR(INDEX('Semrush Data'!$A$1:$Z$20000,MATCH(A1474,'Semrush Data'!$A$1:$A$20000,0),MATCH("CPC*",'Semrush Data'!$A$1:$Z$1,0)),"")</f>
        <v>0.45</v>
      </c>
      <c r="J1474" s="7" t="str">
        <f aca="false">IFERROR(INDEX('Semrush Data'!$A$1:$Z$20000,MATCH(A1474,'Semrush Data'!$A$1:$A$20000,0),MATCH("Intent",'Semrush Data'!$A$1:$Z$1,0)),"")</f>
        <v>Informational Transactional</v>
      </c>
    </row>
    <row r="1475" customFormat="false" ht="15" hidden="false" customHeight="true" outlineLevel="0" collapsed="false">
      <c r="A1475" s="7" t="s">
        <v>4663</v>
      </c>
      <c r="B1475" s="7" t="s">
        <v>6817</v>
      </c>
      <c r="C1475" s="7" t="n">
        <v>2</v>
      </c>
      <c r="D1475" s="7" t="s">
        <v>6815</v>
      </c>
      <c r="E1475" s="7" t="n">
        <v>1</v>
      </c>
      <c r="F1475" s="7" t="s">
        <v>56</v>
      </c>
      <c r="G1475" s="12" t="n">
        <f aca="false">IFERROR(INDEX('Semrush Data'!$A$1:$Z$20000,MATCH(A1475,'Semrush Data'!$A$1:$A$20000,0),MATCH("Volume",'Semrush Data'!$A$1:$Z$1,0)),"")</f>
        <v>110</v>
      </c>
      <c r="H1475" s="7" t="n">
        <f aca="false">IFERROR(INDEX('Semrush Data'!$A$1:$Z$20000,MATCH(A1475,'Semrush Data'!$A$1:$A$20000,0),MATCH("Keyword Difficulty*",'Semrush Data'!$A$1:$Z$1,0)),"")</f>
        <v>19</v>
      </c>
      <c r="I1475" s="13" t="n">
        <f aca="false">IFERROR(INDEX('Semrush Data'!$A$1:$Z$20000,MATCH(A1475,'Semrush Data'!$A$1:$A$20000,0),MATCH("CPC*",'Semrush Data'!$A$1:$Z$1,0)),"")</f>
        <v>0.58</v>
      </c>
      <c r="J1475" s="7" t="str">
        <f aca="false">IFERROR(INDEX('Semrush Data'!$A$1:$Z$20000,MATCH(A1475,'Semrush Data'!$A$1:$A$20000,0),MATCH("Intent",'Semrush Data'!$A$1:$Z$1,0)),"")</f>
        <v>Informational</v>
      </c>
    </row>
    <row r="1476" customFormat="false" ht="15" hidden="false" customHeight="true" outlineLevel="0" collapsed="false">
      <c r="A1476" s="7" t="s">
        <v>4812</v>
      </c>
      <c r="B1476" s="7" t="s">
        <v>6817</v>
      </c>
      <c r="C1476" s="7" t="n">
        <v>2</v>
      </c>
      <c r="D1476" s="7" t="s">
        <v>6816</v>
      </c>
      <c r="E1476" s="7" t="n">
        <v>1</v>
      </c>
      <c r="F1476" s="7" t="s">
        <v>4806</v>
      </c>
      <c r="G1476" s="12" t="n">
        <f aca="false">IFERROR(INDEX('Semrush Data'!$A$1:$Z$20000,MATCH(A1476,'Semrush Data'!$A$1:$A$20000,0),MATCH("Volume",'Semrush Data'!$A$1:$Z$1,0)),"")</f>
        <v>20</v>
      </c>
      <c r="H1476" s="7" t="n">
        <f aca="false">IFERROR(INDEX('Semrush Data'!$A$1:$Z$20000,MATCH(A1476,'Semrush Data'!$A$1:$A$20000,0),MATCH("Keyword Difficulty*",'Semrush Data'!$A$1:$Z$1,0)),"")</f>
        <v>15</v>
      </c>
      <c r="I1476" s="13" t="n">
        <f aca="false">IFERROR(INDEX('Semrush Data'!$A$1:$Z$20000,MATCH(A1476,'Semrush Data'!$A$1:$A$20000,0),MATCH("CPC*",'Semrush Data'!$A$1:$Z$1,0)),"")</f>
        <v>0</v>
      </c>
      <c r="J1476" s="7" t="str">
        <f aca="false">IFERROR(INDEX('Semrush Data'!$A$1:$Z$20000,MATCH(A1476,'Semrush Data'!$A$1:$A$20000,0),MATCH("Intent",'Semrush Data'!$A$1:$Z$1,0)),"")</f>
        <v>Commercial</v>
      </c>
    </row>
    <row r="1477" customFormat="false" ht="15" hidden="false" customHeight="true" outlineLevel="0" collapsed="false">
      <c r="A1477" s="7" t="s">
        <v>4758</v>
      </c>
      <c r="B1477" s="7" t="s">
        <v>6817</v>
      </c>
      <c r="C1477" s="7" t="n">
        <v>2</v>
      </c>
      <c r="D1477" s="7" t="s">
        <v>6815</v>
      </c>
      <c r="E1477" s="7" t="n">
        <v>1</v>
      </c>
      <c r="F1477" s="7" t="s">
        <v>122</v>
      </c>
      <c r="G1477" s="12" t="n">
        <f aca="false">IFERROR(INDEX('Semrush Data'!$A$1:$Z$20000,MATCH(A1477,'Semrush Data'!$A$1:$A$20000,0),MATCH("Volume",'Semrush Data'!$A$1:$Z$1,0)),"")</f>
        <v>40</v>
      </c>
      <c r="H1477" s="7" t="n">
        <f aca="false">IFERROR(INDEX('Semrush Data'!$A$1:$Z$20000,MATCH(A1477,'Semrush Data'!$A$1:$A$20000,0),MATCH("Keyword Difficulty*",'Semrush Data'!$A$1:$Z$1,0)),"")</f>
        <v>20</v>
      </c>
      <c r="I1477" s="13" t="n">
        <f aca="false">IFERROR(INDEX('Semrush Data'!$A$1:$Z$20000,MATCH(A1477,'Semrush Data'!$A$1:$A$20000,0),MATCH("CPC*",'Semrush Data'!$A$1:$Z$1,0)),"")</f>
        <v>0.78</v>
      </c>
      <c r="J1477" s="7" t="str">
        <f aca="false">IFERROR(INDEX('Semrush Data'!$A$1:$Z$20000,MATCH(A1477,'Semrush Data'!$A$1:$A$20000,0),MATCH("Intent",'Semrush Data'!$A$1:$Z$1,0)),"")</f>
        <v>Informational Transactional</v>
      </c>
    </row>
    <row r="1478" customFormat="false" ht="15" hidden="false" customHeight="true" outlineLevel="0" collapsed="false">
      <c r="A1478" s="7" t="s">
        <v>4770</v>
      </c>
      <c r="B1478" s="7" t="s">
        <v>6817</v>
      </c>
      <c r="C1478" s="7" t="n">
        <v>2</v>
      </c>
      <c r="D1478" s="7" t="n">
        <v>15</v>
      </c>
      <c r="E1478" s="7" t="n">
        <v>1</v>
      </c>
      <c r="F1478" s="7" t="s">
        <v>4764</v>
      </c>
      <c r="G1478" s="12" t="str">
        <f aca="false">IFERROR(INDEX('Semrush Data'!$A$1:$Z$20000,MATCH(A1478,'Semrush Data'!$A$1:$A$20000,0),MATCH("Volume",'Semrush Data'!$A$1:$Z$1,0)),"")</f>
        <v/>
      </c>
      <c r="H1478" s="7" t="str">
        <f aca="false">IFERROR(INDEX('Semrush Data'!$A$1:$Z$20000,MATCH(A1478,'Semrush Data'!$A$1:$A$20000,0),MATCH("Keyword Difficulty*",'Semrush Data'!$A$1:$Z$1,0)),"")</f>
        <v/>
      </c>
      <c r="I1478" s="13" t="str">
        <f aca="false">IFERROR(INDEX('Semrush Data'!$A$1:$Z$20000,MATCH(A1478,'Semrush Data'!$A$1:$A$20000,0),MATCH("CPC*",'Semrush Data'!$A$1:$Z$1,0)),"")</f>
        <v/>
      </c>
      <c r="J1478" s="7" t="str">
        <f aca="false">IFERROR(INDEX('Semrush Data'!$A$1:$Z$20000,MATCH(A1478,'Semrush Data'!$A$1:$A$20000,0),MATCH("Intent",'Semrush Data'!$A$1:$Z$1,0)),"")</f>
        <v/>
      </c>
    </row>
    <row r="1479" customFormat="false" ht="15" hidden="false" customHeight="true" outlineLevel="0" collapsed="false">
      <c r="A1479" s="7" t="s">
        <v>4823</v>
      </c>
      <c r="B1479" s="7" t="s">
        <v>6817</v>
      </c>
      <c r="C1479" s="7" t="n">
        <v>2</v>
      </c>
      <c r="D1479" s="7" t="n">
        <v>15</v>
      </c>
      <c r="E1479" s="7" t="n">
        <v>1</v>
      </c>
      <c r="F1479" s="7" t="s">
        <v>4817</v>
      </c>
      <c r="G1479" s="12" t="str">
        <f aca="false">IFERROR(INDEX('Semrush Data'!$A$1:$Z$20000,MATCH(A1479,'Semrush Data'!$A$1:$A$20000,0),MATCH("Volume",'Semrush Data'!$A$1:$Z$1,0)),"")</f>
        <v/>
      </c>
      <c r="H1479" s="7" t="str">
        <f aca="false">IFERROR(INDEX('Semrush Data'!$A$1:$Z$20000,MATCH(A1479,'Semrush Data'!$A$1:$A$20000,0),MATCH("Keyword Difficulty*",'Semrush Data'!$A$1:$Z$1,0)),"")</f>
        <v/>
      </c>
      <c r="I1479" s="13" t="str">
        <f aca="false">IFERROR(INDEX('Semrush Data'!$A$1:$Z$20000,MATCH(A1479,'Semrush Data'!$A$1:$A$20000,0),MATCH("CPC*",'Semrush Data'!$A$1:$Z$1,0)),"")</f>
        <v/>
      </c>
      <c r="J1479" s="7" t="str">
        <f aca="false">IFERROR(INDEX('Semrush Data'!$A$1:$Z$20000,MATCH(A1479,'Semrush Data'!$A$1:$A$20000,0),MATCH("Intent",'Semrush Data'!$A$1:$Z$1,0)),"")</f>
        <v/>
      </c>
    </row>
    <row r="1480" customFormat="false" ht="15" hidden="false" customHeight="true" outlineLevel="0" collapsed="false">
      <c r="A1480" s="7" t="s">
        <v>4782</v>
      </c>
      <c r="B1480" s="7" t="s">
        <v>6817</v>
      </c>
      <c r="C1480" s="7" t="n">
        <v>2</v>
      </c>
      <c r="D1480" s="7" t="n">
        <v>15</v>
      </c>
      <c r="E1480" s="7" t="n">
        <v>1</v>
      </c>
      <c r="F1480" s="7" t="s">
        <v>4776</v>
      </c>
      <c r="G1480" s="12" t="str">
        <f aca="false">IFERROR(INDEX('Semrush Data'!$A$1:$Z$20000,MATCH(A1480,'Semrush Data'!$A$1:$A$20000,0),MATCH("Volume",'Semrush Data'!$A$1:$Z$1,0)),"")</f>
        <v/>
      </c>
      <c r="H1480" s="7" t="str">
        <f aca="false">IFERROR(INDEX('Semrush Data'!$A$1:$Z$20000,MATCH(A1480,'Semrush Data'!$A$1:$A$20000,0),MATCH("Keyword Difficulty*",'Semrush Data'!$A$1:$Z$1,0)),"")</f>
        <v/>
      </c>
      <c r="I1480" s="13" t="str">
        <f aca="false">IFERROR(INDEX('Semrush Data'!$A$1:$Z$20000,MATCH(A1480,'Semrush Data'!$A$1:$A$20000,0),MATCH("CPC*",'Semrush Data'!$A$1:$Z$1,0)),"")</f>
        <v/>
      </c>
      <c r="J1480" s="7" t="str">
        <f aca="false">IFERROR(INDEX('Semrush Data'!$A$1:$Z$20000,MATCH(A1480,'Semrush Data'!$A$1:$A$20000,0),MATCH("Intent",'Semrush Data'!$A$1:$Z$1,0)),"")</f>
        <v/>
      </c>
    </row>
    <row r="1481" customFormat="false" ht="15" hidden="false" customHeight="true" outlineLevel="0" collapsed="false">
      <c r="A1481" s="7" t="s">
        <v>4792</v>
      </c>
      <c r="B1481" s="7" t="s">
        <v>6817</v>
      </c>
      <c r="C1481" s="7" t="n">
        <v>2</v>
      </c>
      <c r="D1481" s="7" t="s">
        <v>6815</v>
      </c>
      <c r="E1481" s="7" t="n">
        <v>1</v>
      </c>
      <c r="F1481" s="7" t="s">
        <v>110</v>
      </c>
      <c r="G1481" s="12" t="n">
        <f aca="false">IFERROR(INDEX('Semrush Data'!$A$1:$Z$20000,MATCH(A1481,'Semrush Data'!$A$1:$A$20000,0),MATCH("Volume",'Semrush Data'!$A$1:$Z$1,0)),"")</f>
        <v>20</v>
      </c>
      <c r="H1481" s="7" t="n">
        <f aca="false">IFERROR(INDEX('Semrush Data'!$A$1:$Z$20000,MATCH(A1481,'Semrush Data'!$A$1:$A$20000,0),MATCH("Keyword Difficulty*",'Semrush Data'!$A$1:$Z$1,0)),"")</f>
        <v>18</v>
      </c>
      <c r="I1481" s="13" t="n">
        <f aca="false">IFERROR(INDEX('Semrush Data'!$A$1:$Z$20000,MATCH(A1481,'Semrush Data'!$A$1:$A$20000,0),MATCH("CPC*",'Semrush Data'!$A$1:$Z$1,0)),"")</f>
        <v>0.77</v>
      </c>
      <c r="J1481" s="7" t="str">
        <f aca="false">IFERROR(INDEX('Semrush Data'!$A$1:$Z$20000,MATCH(A1481,'Semrush Data'!$A$1:$A$20000,0),MATCH("Intent",'Semrush Data'!$A$1:$Z$1,0)),"")</f>
        <v>Informational Navigational</v>
      </c>
    </row>
    <row r="1482" customFormat="false" ht="15" hidden="false" customHeight="true" outlineLevel="0" collapsed="false">
      <c r="A1482" s="7" t="s">
        <v>4801</v>
      </c>
      <c r="B1482" s="7" t="s">
        <v>6817</v>
      </c>
      <c r="C1482" s="7" t="n">
        <v>2</v>
      </c>
      <c r="D1482" s="7" t="s">
        <v>6815</v>
      </c>
      <c r="E1482" s="7" t="n">
        <v>1</v>
      </c>
      <c r="F1482" s="7" t="s">
        <v>124</v>
      </c>
      <c r="G1482" s="12" t="n">
        <f aca="false">IFERROR(INDEX('Semrush Data'!$A$1:$Z$20000,MATCH(A1482,'Semrush Data'!$A$1:$A$20000,0),MATCH("Volume",'Semrush Data'!$A$1:$Z$1,0)),"")</f>
        <v>70</v>
      </c>
      <c r="H1482" s="7" t="n">
        <f aca="false">IFERROR(INDEX('Semrush Data'!$A$1:$Z$20000,MATCH(A1482,'Semrush Data'!$A$1:$A$20000,0),MATCH("Keyword Difficulty*",'Semrush Data'!$A$1:$Z$1,0)),"")</f>
        <v>20</v>
      </c>
      <c r="I1482" s="13" t="n">
        <f aca="false">IFERROR(INDEX('Semrush Data'!$A$1:$Z$20000,MATCH(A1482,'Semrush Data'!$A$1:$A$20000,0),MATCH("CPC*",'Semrush Data'!$A$1:$Z$1,0)),"")</f>
        <v>0.89</v>
      </c>
      <c r="J1482" s="7" t="str">
        <f aca="false">IFERROR(INDEX('Semrush Data'!$A$1:$Z$20000,MATCH(A1482,'Semrush Data'!$A$1:$A$20000,0),MATCH("Intent",'Semrush Data'!$A$1:$Z$1,0)),"")</f>
        <v>Informational Transactional</v>
      </c>
    </row>
    <row r="1483" customFormat="false" ht="15" hidden="false" customHeight="true" outlineLevel="0" collapsed="false">
      <c r="A1483" s="7" t="s">
        <v>4889</v>
      </c>
      <c r="B1483" s="7" t="s">
        <v>6817</v>
      </c>
      <c r="C1483" s="7" t="n">
        <v>2</v>
      </c>
      <c r="D1483" s="7" t="n">
        <v>15</v>
      </c>
      <c r="E1483" s="7" t="n">
        <v>2</v>
      </c>
      <c r="F1483" s="7" t="s">
        <v>6801</v>
      </c>
      <c r="G1483" s="12" t="str">
        <f aca="false">IFERROR(INDEX('Semrush Data'!$A$1:$Z$20000,MATCH(A1483,'Semrush Data'!$A$1:$A$20000,0),MATCH("Volume",'Semrush Data'!$A$1:$Z$1,0)),"")</f>
        <v/>
      </c>
      <c r="H1483" s="7" t="str">
        <f aca="false">IFERROR(INDEX('Semrush Data'!$A$1:$Z$20000,MATCH(A1483,'Semrush Data'!$A$1:$A$20000,0),MATCH("Keyword Difficulty*",'Semrush Data'!$A$1:$Z$1,0)),"")</f>
        <v/>
      </c>
      <c r="I1483" s="13" t="str">
        <f aca="false">IFERROR(INDEX('Semrush Data'!$A$1:$Z$20000,MATCH(A1483,'Semrush Data'!$A$1:$A$20000,0),MATCH("CPC*",'Semrush Data'!$A$1:$Z$1,0)),"")</f>
        <v/>
      </c>
      <c r="J1483" s="7" t="str">
        <f aca="false">IFERROR(INDEX('Semrush Data'!$A$1:$Z$20000,MATCH(A1483,'Semrush Data'!$A$1:$A$20000,0),MATCH("Intent",'Semrush Data'!$A$1:$Z$1,0)),"")</f>
        <v/>
      </c>
    </row>
    <row r="1484" customFormat="false" ht="15" hidden="false" customHeight="true" outlineLevel="0" collapsed="false">
      <c r="A1484" s="7" t="s">
        <v>4845</v>
      </c>
      <c r="B1484" s="7" t="s">
        <v>6817</v>
      </c>
      <c r="C1484" s="7" t="n">
        <v>2</v>
      </c>
      <c r="D1484" s="7" t="n">
        <v>15</v>
      </c>
      <c r="E1484" s="7" t="n">
        <v>1</v>
      </c>
      <c r="F1484" s="7" t="s">
        <v>4838</v>
      </c>
      <c r="G1484" s="12" t="str">
        <f aca="false">IFERROR(INDEX('Semrush Data'!$A$1:$Z$20000,MATCH(A1484,'Semrush Data'!$A$1:$A$20000,0),MATCH("Volume",'Semrush Data'!$A$1:$Z$1,0)),"")</f>
        <v/>
      </c>
      <c r="H1484" s="7" t="str">
        <f aca="false">IFERROR(INDEX('Semrush Data'!$A$1:$Z$20000,MATCH(A1484,'Semrush Data'!$A$1:$A$20000,0),MATCH("Keyword Difficulty*",'Semrush Data'!$A$1:$Z$1,0)),"")</f>
        <v/>
      </c>
      <c r="I1484" s="13" t="str">
        <f aca="false">IFERROR(INDEX('Semrush Data'!$A$1:$Z$20000,MATCH(A1484,'Semrush Data'!$A$1:$A$20000,0),MATCH("CPC*",'Semrush Data'!$A$1:$Z$1,0)),"")</f>
        <v/>
      </c>
      <c r="J1484" s="7" t="str">
        <f aca="false">IFERROR(INDEX('Semrush Data'!$A$1:$Z$20000,MATCH(A1484,'Semrush Data'!$A$1:$A$20000,0),MATCH("Intent",'Semrush Data'!$A$1:$Z$1,0)),"")</f>
        <v/>
      </c>
    </row>
    <row r="1485" customFormat="false" ht="15" hidden="false" customHeight="true" outlineLevel="0" collapsed="false">
      <c r="A1485" s="7" t="s">
        <v>4852</v>
      </c>
      <c r="B1485" s="7" t="s">
        <v>6817</v>
      </c>
      <c r="C1485" s="7" t="n">
        <v>2</v>
      </c>
      <c r="D1485" s="7" t="n">
        <v>15</v>
      </c>
      <c r="E1485" s="7" t="n">
        <v>1</v>
      </c>
      <c r="F1485" s="7" t="s">
        <v>4850</v>
      </c>
      <c r="G1485" s="12" t="str">
        <f aca="false">IFERROR(INDEX('Semrush Data'!$A$1:$Z$20000,MATCH(A1485,'Semrush Data'!$A$1:$A$20000,0),MATCH("Volume",'Semrush Data'!$A$1:$Z$1,0)),"")</f>
        <v/>
      </c>
      <c r="H1485" s="7" t="str">
        <f aca="false">IFERROR(INDEX('Semrush Data'!$A$1:$Z$20000,MATCH(A1485,'Semrush Data'!$A$1:$A$20000,0),MATCH("Keyword Difficulty*",'Semrush Data'!$A$1:$Z$1,0)),"")</f>
        <v/>
      </c>
      <c r="I1485" s="13" t="str">
        <f aca="false">IFERROR(INDEX('Semrush Data'!$A$1:$Z$20000,MATCH(A1485,'Semrush Data'!$A$1:$A$20000,0),MATCH("CPC*",'Semrush Data'!$A$1:$Z$1,0)),"")</f>
        <v/>
      </c>
      <c r="J1485" s="7" t="str">
        <f aca="false">IFERROR(INDEX('Semrush Data'!$A$1:$Z$20000,MATCH(A1485,'Semrush Data'!$A$1:$A$20000,0),MATCH("Intent",'Semrush Data'!$A$1:$Z$1,0)),"")</f>
        <v/>
      </c>
    </row>
    <row r="1486" customFormat="false" ht="15" hidden="false" customHeight="true" outlineLevel="0" collapsed="false">
      <c r="A1486" s="7" t="s">
        <v>4863</v>
      </c>
      <c r="B1486" s="7" t="s">
        <v>6817</v>
      </c>
      <c r="C1486" s="7" t="n">
        <v>2</v>
      </c>
      <c r="D1486" s="7" t="n">
        <v>15</v>
      </c>
      <c r="E1486" s="7" t="n">
        <v>1</v>
      </c>
      <c r="F1486" s="7" t="s">
        <v>4857</v>
      </c>
      <c r="G1486" s="12" t="str">
        <f aca="false">IFERROR(INDEX('Semrush Data'!$A$1:$Z$20000,MATCH(A1486,'Semrush Data'!$A$1:$A$20000,0),MATCH("Volume",'Semrush Data'!$A$1:$Z$1,0)),"")</f>
        <v/>
      </c>
      <c r="H1486" s="7" t="str">
        <f aca="false">IFERROR(INDEX('Semrush Data'!$A$1:$Z$20000,MATCH(A1486,'Semrush Data'!$A$1:$A$20000,0),MATCH("Keyword Difficulty*",'Semrush Data'!$A$1:$Z$1,0)),"")</f>
        <v/>
      </c>
      <c r="I1486" s="13" t="str">
        <f aca="false">IFERROR(INDEX('Semrush Data'!$A$1:$Z$20000,MATCH(A1486,'Semrush Data'!$A$1:$A$20000,0),MATCH("CPC*",'Semrush Data'!$A$1:$Z$1,0)),"")</f>
        <v/>
      </c>
      <c r="J1486" s="7" t="str">
        <f aca="false">IFERROR(INDEX('Semrush Data'!$A$1:$Z$20000,MATCH(A1486,'Semrush Data'!$A$1:$A$20000,0),MATCH("Intent",'Semrush Data'!$A$1:$Z$1,0)),"")</f>
        <v/>
      </c>
    </row>
    <row r="1487" customFormat="false" ht="15" hidden="false" customHeight="true" outlineLevel="0" collapsed="false">
      <c r="A1487" s="7" t="s">
        <v>4874</v>
      </c>
      <c r="B1487" s="7" t="s">
        <v>6817</v>
      </c>
      <c r="C1487" s="7" t="n">
        <v>2</v>
      </c>
      <c r="D1487" s="7" t="n">
        <v>15</v>
      </c>
      <c r="E1487" s="7" t="n">
        <v>2</v>
      </c>
      <c r="F1487" s="7" t="s">
        <v>6803</v>
      </c>
      <c r="G1487" s="12" t="str">
        <f aca="false">IFERROR(INDEX('Semrush Data'!$A$1:$Z$20000,MATCH(A1487,'Semrush Data'!$A$1:$A$20000,0),MATCH("Volume",'Semrush Data'!$A$1:$Z$1,0)),"")</f>
        <v/>
      </c>
      <c r="H1487" s="7" t="str">
        <f aca="false">IFERROR(INDEX('Semrush Data'!$A$1:$Z$20000,MATCH(A1487,'Semrush Data'!$A$1:$A$20000,0),MATCH("Keyword Difficulty*",'Semrush Data'!$A$1:$Z$1,0)),"")</f>
        <v/>
      </c>
      <c r="I1487" s="13" t="str">
        <f aca="false">IFERROR(INDEX('Semrush Data'!$A$1:$Z$20000,MATCH(A1487,'Semrush Data'!$A$1:$A$20000,0),MATCH("CPC*",'Semrush Data'!$A$1:$Z$1,0)),"")</f>
        <v/>
      </c>
      <c r="J1487" s="7" t="str">
        <f aca="false">IFERROR(INDEX('Semrush Data'!$A$1:$Z$20000,MATCH(A1487,'Semrush Data'!$A$1:$A$20000,0),MATCH("Intent",'Semrush Data'!$A$1:$Z$1,0)),"")</f>
        <v/>
      </c>
    </row>
    <row r="1488" customFormat="false" ht="15" hidden="false" customHeight="true" outlineLevel="0" collapsed="false">
      <c r="A1488" s="7" t="s">
        <v>4904</v>
      </c>
      <c r="B1488" s="7" t="s">
        <v>6817</v>
      </c>
      <c r="C1488" s="7" t="n">
        <v>2</v>
      </c>
      <c r="D1488" s="7" t="n">
        <v>15</v>
      </c>
      <c r="E1488" s="7" t="n">
        <v>1</v>
      </c>
      <c r="F1488" s="7" t="s">
        <v>4898</v>
      </c>
      <c r="G1488" s="12" t="str">
        <f aca="false">IFERROR(INDEX('Semrush Data'!$A$1:$Z$20000,MATCH(A1488,'Semrush Data'!$A$1:$A$20000,0),MATCH("Volume",'Semrush Data'!$A$1:$Z$1,0)),"")</f>
        <v/>
      </c>
      <c r="H1488" s="7" t="str">
        <f aca="false">IFERROR(INDEX('Semrush Data'!$A$1:$Z$20000,MATCH(A1488,'Semrush Data'!$A$1:$A$20000,0),MATCH("Keyword Difficulty*",'Semrush Data'!$A$1:$Z$1,0)),"")</f>
        <v/>
      </c>
      <c r="I1488" s="13" t="str">
        <f aca="false">IFERROR(INDEX('Semrush Data'!$A$1:$Z$20000,MATCH(A1488,'Semrush Data'!$A$1:$A$20000,0),MATCH("CPC*",'Semrush Data'!$A$1:$Z$1,0)),"")</f>
        <v/>
      </c>
      <c r="J1488" s="7" t="str">
        <f aca="false">IFERROR(INDEX('Semrush Data'!$A$1:$Z$20000,MATCH(A1488,'Semrush Data'!$A$1:$A$20000,0),MATCH("Intent",'Semrush Data'!$A$1:$Z$1,0)),"")</f>
        <v/>
      </c>
    </row>
    <row r="1489" customFormat="false" ht="15" hidden="false" customHeight="true" outlineLevel="0" collapsed="false">
      <c r="A1489" s="7" t="s">
        <v>4916</v>
      </c>
      <c r="B1489" s="7" t="s">
        <v>6817</v>
      </c>
      <c r="C1489" s="7" t="n">
        <v>2</v>
      </c>
      <c r="D1489" s="7" t="n">
        <v>15</v>
      </c>
      <c r="E1489" s="7" t="n">
        <v>1</v>
      </c>
      <c r="F1489" s="7" t="s">
        <v>4910</v>
      </c>
      <c r="G1489" s="12" t="str">
        <f aca="false">IFERROR(INDEX('Semrush Data'!$A$1:$Z$20000,MATCH(A1489,'Semrush Data'!$A$1:$A$20000,0),MATCH("Volume",'Semrush Data'!$A$1:$Z$1,0)),"")</f>
        <v/>
      </c>
      <c r="H1489" s="7" t="str">
        <f aca="false">IFERROR(INDEX('Semrush Data'!$A$1:$Z$20000,MATCH(A1489,'Semrush Data'!$A$1:$A$20000,0),MATCH("Keyword Difficulty*",'Semrush Data'!$A$1:$Z$1,0)),"")</f>
        <v/>
      </c>
      <c r="I1489" s="13" t="str">
        <f aca="false">IFERROR(INDEX('Semrush Data'!$A$1:$Z$20000,MATCH(A1489,'Semrush Data'!$A$1:$A$20000,0),MATCH("CPC*",'Semrush Data'!$A$1:$Z$1,0)),"")</f>
        <v/>
      </c>
      <c r="J1489" s="7" t="str">
        <f aca="false">IFERROR(INDEX('Semrush Data'!$A$1:$Z$20000,MATCH(A1489,'Semrush Data'!$A$1:$A$20000,0),MATCH("Intent",'Semrush Data'!$A$1:$Z$1,0)),"")</f>
        <v/>
      </c>
    </row>
    <row r="1490" customFormat="false" ht="15" hidden="false" customHeight="true" outlineLevel="0" collapsed="false">
      <c r="A1490" s="7" t="s">
        <v>4926</v>
      </c>
      <c r="B1490" s="7" t="s">
        <v>6817</v>
      </c>
      <c r="C1490" s="7" t="n">
        <v>2</v>
      </c>
      <c r="D1490" s="7" t="n">
        <v>15</v>
      </c>
      <c r="E1490" s="7" t="n">
        <v>1</v>
      </c>
      <c r="F1490" s="7" t="s">
        <v>4920</v>
      </c>
      <c r="G1490" s="12" t="str">
        <f aca="false">IFERROR(INDEX('Semrush Data'!$A$1:$Z$20000,MATCH(A1490,'Semrush Data'!$A$1:$A$20000,0),MATCH("Volume",'Semrush Data'!$A$1:$Z$1,0)),"")</f>
        <v/>
      </c>
      <c r="H1490" s="7" t="str">
        <f aca="false">IFERROR(INDEX('Semrush Data'!$A$1:$Z$20000,MATCH(A1490,'Semrush Data'!$A$1:$A$20000,0),MATCH("Keyword Difficulty*",'Semrush Data'!$A$1:$Z$1,0)),"")</f>
        <v/>
      </c>
      <c r="I1490" s="13" t="str">
        <f aca="false">IFERROR(INDEX('Semrush Data'!$A$1:$Z$20000,MATCH(A1490,'Semrush Data'!$A$1:$A$20000,0),MATCH("CPC*",'Semrush Data'!$A$1:$Z$1,0)),"")</f>
        <v/>
      </c>
      <c r="J1490" s="7" t="str">
        <f aca="false">IFERROR(INDEX('Semrush Data'!$A$1:$Z$20000,MATCH(A1490,'Semrush Data'!$A$1:$A$20000,0),MATCH("Intent",'Semrush Data'!$A$1:$Z$1,0)),"")</f>
        <v/>
      </c>
    </row>
    <row r="1491" customFormat="false" ht="15" hidden="false" customHeight="true" outlineLevel="0" collapsed="false">
      <c r="A1491" s="7" t="s">
        <v>4936</v>
      </c>
      <c r="B1491" s="7" t="s">
        <v>6817</v>
      </c>
      <c r="C1491" s="7" t="n">
        <v>2</v>
      </c>
      <c r="D1491" s="7" t="n">
        <v>15</v>
      </c>
      <c r="E1491" s="7" t="n">
        <v>2</v>
      </c>
      <c r="F1491" s="7" t="s">
        <v>6804</v>
      </c>
      <c r="G1491" s="12" t="str">
        <f aca="false">IFERROR(INDEX('Semrush Data'!$A$1:$Z$20000,MATCH(A1491,'Semrush Data'!$A$1:$A$20000,0),MATCH("Volume",'Semrush Data'!$A$1:$Z$1,0)),"")</f>
        <v/>
      </c>
      <c r="H1491" s="7" t="str">
        <f aca="false">IFERROR(INDEX('Semrush Data'!$A$1:$Z$20000,MATCH(A1491,'Semrush Data'!$A$1:$A$20000,0),MATCH("Keyword Difficulty*",'Semrush Data'!$A$1:$Z$1,0)),"")</f>
        <v/>
      </c>
      <c r="I1491" s="13" t="str">
        <f aca="false">IFERROR(INDEX('Semrush Data'!$A$1:$Z$20000,MATCH(A1491,'Semrush Data'!$A$1:$A$20000,0),MATCH("CPC*",'Semrush Data'!$A$1:$Z$1,0)),"")</f>
        <v/>
      </c>
      <c r="J1491" s="7" t="str">
        <f aca="false">IFERROR(INDEX('Semrush Data'!$A$1:$Z$20000,MATCH(A1491,'Semrush Data'!$A$1:$A$20000,0),MATCH("Intent",'Semrush Data'!$A$1:$Z$1,0)),"")</f>
        <v/>
      </c>
    </row>
    <row r="1492" customFormat="false" ht="15" hidden="false" customHeight="true" outlineLevel="0" collapsed="false">
      <c r="A1492" s="7" t="s">
        <v>4951</v>
      </c>
      <c r="B1492" s="7" t="s">
        <v>6817</v>
      </c>
      <c r="C1492" s="7" t="n">
        <v>2</v>
      </c>
      <c r="D1492" s="7" t="n">
        <v>15</v>
      </c>
      <c r="E1492" s="7" t="n">
        <v>2</v>
      </c>
      <c r="F1492" s="7" t="s">
        <v>6805</v>
      </c>
      <c r="G1492" s="12" t="str">
        <f aca="false">IFERROR(INDEX('Semrush Data'!$A$1:$Z$20000,MATCH(A1492,'Semrush Data'!$A$1:$A$20000,0),MATCH("Volume",'Semrush Data'!$A$1:$Z$1,0)),"")</f>
        <v/>
      </c>
      <c r="H1492" s="7" t="str">
        <f aca="false">IFERROR(INDEX('Semrush Data'!$A$1:$Z$20000,MATCH(A1492,'Semrush Data'!$A$1:$A$20000,0),MATCH("Keyword Difficulty*",'Semrush Data'!$A$1:$Z$1,0)),"")</f>
        <v/>
      </c>
      <c r="I1492" s="13" t="str">
        <f aca="false">IFERROR(INDEX('Semrush Data'!$A$1:$Z$20000,MATCH(A1492,'Semrush Data'!$A$1:$A$20000,0),MATCH("CPC*",'Semrush Data'!$A$1:$Z$1,0)),"")</f>
        <v/>
      </c>
      <c r="J1492" s="7" t="str">
        <f aca="false">IFERROR(INDEX('Semrush Data'!$A$1:$Z$20000,MATCH(A1492,'Semrush Data'!$A$1:$A$20000,0),MATCH("Intent",'Semrush Data'!$A$1:$Z$1,0)),"")</f>
        <v/>
      </c>
    </row>
    <row r="1493" customFormat="false" ht="15" hidden="false" customHeight="true" outlineLevel="0" collapsed="false">
      <c r="A1493" s="7" t="s">
        <v>4966</v>
      </c>
      <c r="B1493" s="7" t="s">
        <v>6817</v>
      </c>
      <c r="C1493" s="7" t="n">
        <v>2</v>
      </c>
      <c r="D1493" s="7" t="n">
        <v>15</v>
      </c>
      <c r="E1493" s="7" t="n">
        <v>2</v>
      </c>
      <c r="F1493" s="7" t="s">
        <v>6806</v>
      </c>
      <c r="G1493" s="12" t="str">
        <f aca="false">IFERROR(INDEX('Semrush Data'!$A$1:$Z$20000,MATCH(A1493,'Semrush Data'!$A$1:$A$20000,0),MATCH("Volume",'Semrush Data'!$A$1:$Z$1,0)),"")</f>
        <v/>
      </c>
      <c r="H1493" s="7" t="str">
        <f aca="false">IFERROR(INDEX('Semrush Data'!$A$1:$Z$20000,MATCH(A1493,'Semrush Data'!$A$1:$A$20000,0),MATCH("Keyword Difficulty*",'Semrush Data'!$A$1:$Z$1,0)),"")</f>
        <v/>
      </c>
      <c r="I1493" s="13" t="str">
        <f aca="false">IFERROR(INDEX('Semrush Data'!$A$1:$Z$20000,MATCH(A1493,'Semrush Data'!$A$1:$A$20000,0),MATCH("CPC*",'Semrush Data'!$A$1:$Z$1,0)),"")</f>
        <v/>
      </c>
      <c r="J1493" s="7" t="str">
        <f aca="false">IFERROR(INDEX('Semrush Data'!$A$1:$Z$20000,MATCH(A1493,'Semrush Data'!$A$1:$A$20000,0),MATCH("Intent",'Semrush Data'!$A$1:$Z$1,0)),"")</f>
        <v/>
      </c>
    </row>
    <row r="1494" customFormat="false" ht="15" hidden="false" customHeight="true" outlineLevel="0" collapsed="false">
      <c r="A1494" s="7" t="s">
        <v>4982</v>
      </c>
      <c r="B1494" s="7" t="s">
        <v>6817</v>
      </c>
      <c r="C1494" s="7" t="n">
        <v>2</v>
      </c>
      <c r="D1494" s="7" t="n">
        <v>15</v>
      </c>
      <c r="E1494" s="7" t="n">
        <v>2</v>
      </c>
      <c r="F1494" s="7" t="s">
        <v>6807</v>
      </c>
      <c r="G1494" s="12" t="str">
        <f aca="false">IFERROR(INDEX('Semrush Data'!$A$1:$Z$20000,MATCH(A1494,'Semrush Data'!$A$1:$A$20000,0),MATCH("Volume",'Semrush Data'!$A$1:$Z$1,0)),"")</f>
        <v/>
      </c>
      <c r="H1494" s="7" t="str">
        <f aca="false">IFERROR(INDEX('Semrush Data'!$A$1:$Z$20000,MATCH(A1494,'Semrush Data'!$A$1:$A$20000,0),MATCH("Keyword Difficulty*",'Semrush Data'!$A$1:$Z$1,0)),"")</f>
        <v/>
      </c>
      <c r="I1494" s="13" t="str">
        <f aca="false">IFERROR(INDEX('Semrush Data'!$A$1:$Z$20000,MATCH(A1494,'Semrush Data'!$A$1:$A$20000,0),MATCH("CPC*",'Semrush Data'!$A$1:$Z$1,0)),"")</f>
        <v/>
      </c>
      <c r="J1494" s="7" t="str">
        <f aca="false">IFERROR(INDEX('Semrush Data'!$A$1:$Z$20000,MATCH(A1494,'Semrush Data'!$A$1:$A$20000,0),MATCH("Intent",'Semrush Data'!$A$1:$Z$1,0)),"")</f>
        <v/>
      </c>
    </row>
    <row r="1495" customFormat="false" ht="15" hidden="false" customHeight="true" outlineLevel="0" collapsed="false">
      <c r="A1495" s="7" t="s">
        <v>5000</v>
      </c>
      <c r="B1495" s="7" t="s">
        <v>6817</v>
      </c>
      <c r="C1495" s="7" t="n">
        <v>2</v>
      </c>
      <c r="D1495" s="7" t="n">
        <v>15</v>
      </c>
      <c r="E1495" s="7" t="n">
        <v>1</v>
      </c>
      <c r="F1495" s="7" t="s">
        <v>4992</v>
      </c>
      <c r="G1495" s="12" t="str">
        <f aca="false">IFERROR(INDEX('Semrush Data'!$A$1:$Z$20000,MATCH(A1495,'Semrush Data'!$A$1:$A$20000,0),MATCH("Volume",'Semrush Data'!$A$1:$Z$1,0)),"")</f>
        <v/>
      </c>
      <c r="H1495" s="7" t="str">
        <f aca="false">IFERROR(INDEX('Semrush Data'!$A$1:$Z$20000,MATCH(A1495,'Semrush Data'!$A$1:$A$20000,0),MATCH("Keyword Difficulty*",'Semrush Data'!$A$1:$Z$1,0)),"")</f>
        <v/>
      </c>
      <c r="I1495" s="13" t="str">
        <f aca="false">IFERROR(INDEX('Semrush Data'!$A$1:$Z$20000,MATCH(A1495,'Semrush Data'!$A$1:$A$20000,0),MATCH("CPC*",'Semrush Data'!$A$1:$Z$1,0)),"")</f>
        <v/>
      </c>
      <c r="J1495" s="7" t="str">
        <f aca="false">IFERROR(INDEX('Semrush Data'!$A$1:$Z$20000,MATCH(A1495,'Semrush Data'!$A$1:$A$20000,0),MATCH("Intent",'Semrush Data'!$A$1:$Z$1,0)),"")</f>
        <v/>
      </c>
    </row>
    <row r="1496" customFormat="false" ht="15" hidden="false" customHeight="true" outlineLevel="0" collapsed="false">
      <c r="A1496" s="7" t="s">
        <v>5915</v>
      </c>
      <c r="B1496" s="7" t="s">
        <v>6817</v>
      </c>
      <c r="C1496" s="7" t="n">
        <v>2</v>
      </c>
      <c r="D1496" s="7" t="n">
        <v>15</v>
      </c>
      <c r="E1496" s="7" t="n">
        <v>1</v>
      </c>
      <c r="F1496" s="7" t="s">
        <v>5909</v>
      </c>
      <c r="G1496" s="12" t="str">
        <f aca="false">IFERROR(INDEX('Semrush Data'!$A$1:$Z$20000,MATCH(A1496,'Semrush Data'!$A$1:$A$20000,0),MATCH("Volume",'Semrush Data'!$A$1:$Z$1,0)),"")</f>
        <v/>
      </c>
      <c r="H1496" s="7" t="str">
        <f aca="false">IFERROR(INDEX('Semrush Data'!$A$1:$Z$20000,MATCH(A1496,'Semrush Data'!$A$1:$A$20000,0),MATCH("Keyword Difficulty*",'Semrush Data'!$A$1:$Z$1,0)),"")</f>
        <v/>
      </c>
      <c r="I1496" s="13" t="str">
        <f aca="false">IFERROR(INDEX('Semrush Data'!$A$1:$Z$20000,MATCH(A1496,'Semrush Data'!$A$1:$A$20000,0),MATCH("CPC*",'Semrush Data'!$A$1:$Z$1,0)),"")</f>
        <v/>
      </c>
      <c r="J1496" s="7" t="str">
        <f aca="false">IFERROR(INDEX('Semrush Data'!$A$1:$Z$20000,MATCH(A1496,'Semrush Data'!$A$1:$A$20000,0),MATCH("Intent",'Semrush Data'!$A$1:$Z$1,0)),"")</f>
        <v/>
      </c>
    </row>
    <row r="1497" customFormat="false" ht="15" hidden="false" customHeight="true" outlineLevel="0" collapsed="false">
      <c r="A1497" s="7" t="s">
        <v>5894</v>
      </c>
      <c r="B1497" s="7" t="s">
        <v>6817</v>
      </c>
      <c r="C1497" s="7" t="n">
        <v>2</v>
      </c>
      <c r="D1497" s="7" t="n">
        <v>15</v>
      </c>
      <c r="E1497" s="7" t="n">
        <v>1</v>
      </c>
      <c r="F1497" s="7" t="s">
        <v>5888</v>
      </c>
      <c r="G1497" s="12" t="str">
        <f aca="false">IFERROR(INDEX('Semrush Data'!$A$1:$Z$20000,MATCH(A1497,'Semrush Data'!$A$1:$A$20000,0),MATCH("Volume",'Semrush Data'!$A$1:$Z$1,0)),"")</f>
        <v/>
      </c>
      <c r="H1497" s="7" t="str">
        <f aca="false">IFERROR(INDEX('Semrush Data'!$A$1:$Z$20000,MATCH(A1497,'Semrush Data'!$A$1:$A$20000,0),MATCH("Keyword Difficulty*",'Semrush Data'!$A$1:$Z$1,0)),"")</f>
        <v/>
      </c>
      <c r="I1497" s="13" t="str">
        <f aca="false">IFERROR(INDEX('Semrush Data'!$A$1:$Z$20000,MATCH(A1497,'Semrush Data'!$A$1:$A$20000,0),MATCH("CPC*",'Semrush Data'!$A$1:$Z$1,0)),"")</f>
        <v/>
      </c>
      <c r="J1497" s="7" t="str">
        <f aca="false">IFERROR(INDEX('Semrush Data'!$A$1:$Z$20000,MATCH(A1497,'Semrush Data'!$A$1:$A$20000,0),MATCH("Intent",'Semrush Data'!$A$1:$Z$1,0)),"")</f>
        <v/>
      </c>
    </row>
    <row r="1498" customFormat="false" ht="15" hidden="false" customHeight="true" outlineLevel="0" collapsed="false">
      <c r="A1498" s="7" t="s">
        <v>5904</v>
      </c>
      <c r="B1498" s="7" t="s">
        <v>6817</v>
      </c>
      <c r="C1498" s="7" t="n">
        <v>2</v>
      </c>
      <c r="D1498" s="7" t="n">
        <v>15</v>
      </c>
      <c r="E1498" s="7" t="n">
        <v>1</v>
      </c>
      <c r="F1498" s="7" t="s">
        <v>5898</v>
      </c>
      <c r="G1498" s="12" t="str">
        <f aca="false">IFERROR(INDEX('Semrush Data'!$A$1:$Z$20000,MATCH(A1498,'Semrush Data'!$A$1:$A$20000,0),MATCH("Volume",'Semrush Data'!$A$1:$Z$1,0)),"")</f>
        <v/>
      </c>
      <c r="H1498" s="7" t="str">
        <f aca="false">IFERROR(INDEX('Semrush Data'!$A$1:$Z$20000,MATCH(A1498,'Semrush Data'!$A$1:$A$20000,0),MATCH("Keyword Difficulty*",'Semrush Data'!$A$1:$Z$1,0)),"")</f>
        <v/>
      </c>
      <c r="I1498" s="13" t="str">
        <f aca="false">IFERROR(INDEX('Semrush Data'!$A$1:$Z$20000,MATCH(A1498,'Semrush Data'!$A$1:$A$20000,0),MATCH("CPC*",'Semrush Data'!$A$1:$Z$1,0)),"")</f>
        <v/>
      </c>
      <c r="J1498" s="7" t="str">
        <f aca="false">IFERROR(INDEX('Semrush Data'!$A$1:$Z$20000,MATCH(A1498,'Semrush Data'!$A$1:$A$20000,0),MATCH("Intent",'Semrush Data'!$A$1:$Z$1,0)),"")</f>
        <v/>
      </c>
    </row>
    <row r="1499" customFormat="false" ht="15" hidden="false" customHeight="true" outlineLevel="0" collapsed="false">
      <c r="A1499" s="7" t="s">
        <v>5012</v>
      </c>
      <c r="B1499" s="7" t="s">
        <v>6817</v>
      </c>
      <c r="C1499" s="7" t="n">
        <v>2</v>
      </c>
      <c r="D1499" s="7" t="s">
        <v>6816</v>
      </c>
      <c r="E1499" s="7" t="n">
        <v>1</v>
      </c>
      <c r="F1499" s="7" t="s">
        <v>5005</v>
      </c>
      <c r="G1499" s="12" t="n">
        <f aca="false">IFERROR(INDEX('Semrush Data'!$A$1:$Z$20000,MATCH(A1499,'Semrush Data'!$A$1:$A$20000,0),MATCH("Volume",'Semrush Data'!$A$1:$Z$1,0)),"")</f>
        <v>0</v>
      </c>
      <c r="H1499" s="7" t="n">
        <f aca="false">IFERROR(INDEX('Semrush Data'!$A$1:$Z$20000,MATCH(A1499,'Semrush Data'!$A$1:$A$20000,0),MATCH("Keyword Difficulty*",'Semrush Data'!$A$1:$Z$1,0)),"")</f>
        <v>19</v>
      </c>
      <c r="I1499" s="13" t="n">
        <f aca="false">IFERROR(INDEX('Semrush Data'!$A$1:$Z$20000,MATCH(A1499,'Semrush Data'!$A$1:$A$20000,0),MATCH("CPC*",'Semrush Data'!$A$1:$Z$1,0)),"")</f>
        <v>0</v>
      </c>
      <c r="J1499" s="7" t="str">
        <f aca="false">IFERROR(INDEX('Semrush Data'!$A$1:$Z$20000,MATCH(A1499,'Semrush Data'!$A$1:$A$20000,0),MATCH("Intent",'Semrush Data'!$A$1:$Z$1,0)),"")</f>
        <v>Informational</v>
      </c>
    </row>
    <row r="1500" customFormat="false" ht="15" hidden="false" customHeight="true" outlineLevel="0" collapsed="false">
      <c r="A1500" s="7" t="s">
        <v>5064</v>
      </c>
      <c r="B1500" s="7" t="s">
        <v>6817</v>
      </c>
      <c r="C1500" s="7" t="n">
        <v>2</v>
      </c>
      <c r="D1500" s="7" t="s">
        <v>6815</v>
      </c>
      <c r="E1500" s="7" t="n">
        <v>1</v>
      </c>
      <c r="F1500" s="7" t="s">
        <v>104</v>
      </c>
      <c r="G1500" s="12" t="n">
        <f aca="false">IFERROR(INDEX('Semrush Data'!$A$1:$Z$20000,MATCH(A1500,'Semrush Data'!$A$1:$A$20000,0),MATCH("Volume",'Semrush Data'!$A$1:$Z$1,0)),"")</f>
        <v>20</v>
      </c>
      <c r="H1500" s="7" t="n">
        <f aca="false">IFERROR(INDEX('Semrush Data'!$A$1:$Z$20000,MATCH(A1500,'Semrush Data'!$A$1:$A$20000,0),MATCH("Keyword Difficulty*",'Semrush Data'!$A$1:$Z$1,0)),"")</f>
        <v>16</v>
      </c>
      <c r="I1500" s="13" t="n">
        <f aca="false">IFERROR(INDEX('Semrush Data'!$A$1:$Z$20000,MATCH(A1500,'Semrush Data'!$A$1:$A$20000,0),MATCH("CPC*",'Semrush Data'!$A$1:$Z$1,0)),"")</f>
        <v>0.57</v>
      </c>
      <c r="J1500" s="7" t="str">
        <f aca="false">IFERROR(INDEX('Semrush Data'!$A$1:$Z$20000,MATCH(A1500,'Semrush Data'!$A$1:$A$20000,0),MATCH("Intent",'Semrush Data'!$A$1:$Z$1,0)),"")</f>
        <v>Informational</v>
      </c>
    </row>
    <row r="1501" customFormat="false" ht="15" hidden="false" customHeight="true" outlineLevel="0" collapsed="false">
      <c r="A1501" s="7" t="s">
        <v>5046</v>
      </c>
      <c r="B1501" s="7" t="s">
        <v>6817</v>
      </c>
      <c r="C1501" s="7" t="n">
        <v>2</v>
      </c>
      <c r="D1501" s="7" t="n">
        <v>15</v>
      </c>
      <c r="E1501" s="7" t="n">
        <v>1</v>
      </c>
      <c r="F1501" s="7" t="s">
        <v>5040</v>
      </c>
      <c r="G1501" s="12" t="str">
        <f aca="false">IFERROR(INDEX('Semrush Data'!$A$1:$Z$20000,MATCH(A1501,'Semrush Data'!$A$1:$A$20000,0),MATCH("Volume",'Semrush Data'!$A$1:$Z$1,0)),"")</f>
        <v/>
      </c>
      <c r="H1501" s="7" t="str">
        <f aca="false">IFERROR(INDEX('Semrush Data'!$A$1:$Z$20000,MATCH(A1501,'Semrush Data'!$A$1:$A$20000,0),MATCH("Keyword Difficulty*",'Semrush Data'!$A$1:$Z$1,0)),"")</f>
        <v/>
      </c>
      <c r="I1501" s="13" t="str">
        <f aca="false">IFERROR(INDEX('Semrush Data'!$A$1:$Z$20000,MATCH(A1501,'Semrush Data'!$A$1:$A$20000,0),MATCH("CPC*",'Semrush Data'!$A$1:$Z$1,0)),"")</f>
        <v/>
      </c>
      <c r="J1501" s="7" t="str">
        <f aca="false">IFERROR(INDEX('Semrush Data'!$A$1:$Z$20000,MATCH(A1501,'Semrush Data'!$A$1:$A$20000,0),MATCH("Intent",'Semrush Data'!$A$1:$Z$1,0)),"")</f>
        <v/>
      </c>
    </row>
    <row r="1502" customFormat="false" ht="15" hidden="false" customHeight="true" outlineLevel="0" collapsed="false">
      <c r="A1502" s="7" t="s">
        <v>5024</v>
      </c>
      <c r="B1502" s="7" t="s">
        <v>6817</v>
      </c>
      <c r="C1502" s="7" t="n">
        <v>2</v>
      </c>
      <c r="D1502" s="7" t="s">
        <v>6815</v>
      </c>
      <c r="E1502" s="7" t="n">
        <v>1</v>
      </c>
      <c r="F1502" s="7" t="s">
        <v>62</v>
      </c>
      <c r="G1502" s="12" t="n">
        <f aca="false">IFERROR(INDEX('Semrush Data'!$A$1:$Z$20000,MATCH(A1502,'Semrush Data'!$A$1:$A$20000,0),MATCH("Volume",'Semrush Data'!$A$1:$Z$1,0)),"")</f>
        <v>170</v>
      </c>
      <c r="H1502" s="7" t="n">
        <f aca="false">IFERROR(INDEX('Semrush Data'!$A$1:$Z$20000,MATCH(A1502,'Semrush Data'!$A$1:$A$20000,0),MATCH("Keyword Difficulty*",'Semrush Data'!$A$1:$Z$1,0)),"")</f>
        <v>26</v>
      </c>
      <c r="I1502" s="13" t="n">
        <f aca="false">IFERROR(INDEX('Semrush Data'!$A$1:$Z$20000,MATCH(A1502,'Semrush Data'!$A$1:$A$20000,0),MATCH("CPC*",'Semrush Data'!$A$1:$Z$1,0)),"")</f>
        <v>0.44</v>
      </c>
      <c r="J1502" s="7" t="str">
        <f aca="false">IFERROR(INDEX('Semrush Data'!$A$1:$Z$20000,MATCH(A1502,'Semrush Data'!$A$1:$A$20000,0),MATCH("Intent",'Semrush Data'!$A$1:$Z$1,0)),"")</f>
        <v>Informational</v>
      </c>
    </row>
    <row r="1503" customFormat="false" ht="15" hidden="false" customHeight="true" outlineLevel="0" collapsed="false">
      <c r="A1503" s="7" t="s">
        <v>5055</v>
      </c>
      <c r="B1503" s="7" t="s">
        <v>6817</v>
      </c>
      <c r="C1503" s="7" t="n">
        <v>2</v>
      </c>
      <c r="D1503" s="7" t="s">
        <v>6815</v>
      </c>
      <c r="E1503" s="7" t="n">
        <v>1</v>
      </c>
      <c r="F1503" s="7" t="s">
        <v>86</v>
      </c>
      <c r="G1503" s="12" t="n">
        <f aca="false">IFERROR(INDEX('Semrush Data'!$A$1:$Z$20000,MATCH(A1503,'Semrush Data'!$A$1:$A$20000,0),MATCH("Volume",'Semrush Data'!$A$1:$Z$1,0)),"")</f>
        <v>90</v>
      </c>
      <c r="H1503" s="7" t="n">
        <f aca="false">IFERROR(INDEX('Semrush Data'!$A$1:$Z$20000,MATCH(A1503,'Semrush Data'!$A$1:$A$20000,0),MATCH("Keyword Difficulty*",'Semrush Data'!$A$1:$Z$1,0)),"")</f>
        <v>22</v>
      </c>
      <c r="I1503" s="13" t="n">
        <f aca="false">IFERROR(INDEX('Semrush Data'!$A$1:$Z$20000,MATCH(A1503,'Semrush Data'!$A$1:$A$20000,0),MATCH("CPC*",'Semrush Data'!$A$1:$Z$1,0)),"")</f>
        <v>0.34</v>
      </c>
      <c r="J1503" s="7" t="str">
        <f aca="false">IFERROR(INDEX('Semrush Data'!$A$1:$Z$20000,MATCH(A1503,'Semrush Data'!$A$1:$A$20000,0),MATCH("Intent",'Semrush Data'!$A$1:$Z$1,0)),"")</f>
        <v>Informational</v>
      </c>
    </row>
    <row r="1504" customFormat="false" ht="15" hidden="false" customHeight="true" outlineLevel="0" collapsed="false">
      <c r="A1504" s="7" t="s">
        <v>5035</v>
      </c>
      <c r="B1504" s="7" t="s">
        <v>6817</v>
      </c>
      <c r="C1504" s="7" t="n">
        <v>2</v>
      </c>
      <c r="D1504" s="7" t="n">
        <v>16</v>
      </c>
      <c r="E1504" s="7" t="n">
        <v>1</v>
      </c>
      <c r="F1504" s="7" t="s">
        <v>5029</v>
      </c>
      <c r="G1504" s="12" t="str">
        <f aca="false">IFERROR(INDEX('Semrush Data'!$A$1:$Z$20000,MATCH(A1504,'Semrush Data'!$A$1:$A$20000,0),MATCH("Volume",'Semrush Data'!$A$1:$Z$1,0)),"")</f>
        <v/>
      </c>
      <c r="H1504" s="7" t="str">
        <f aca="false">IFERROR(INDEX('Semrush Data'!$A$1:$Z$20000,MATCH(A1504,'Semrush Data'!$A$1:$A$20000,0),MATCH("Keyword Difficulty*",'Semrush Data'!$A$1:$Z$1,0)),"")</f>
        <v/>
      </c>
      <c r="I1504" s="13" t="str">
        <f aca="false">IFERROR(INDEX('Semrush Data'!$A$1:$Z$20000,MATCH(A1504,'Semrush Data'!$A$1:$A$20000,0),MATCH("CPC*",'Semrush Data'!$A$1:$Z$1,0)),"")</f>
        <v/>
      </c>
      <c r="J1504" s="7" t="str">
        <f aca="false">IFERROR(INDEX('Semrush Data'!$A$1:$Z$20000,MATCH(A1504,'Semrush Data'!$A$1:$A$20000,0),MATCH("Intent",'Semrush Data'!$A$1:$Z$1,0)),"")</f>
        <v/>
      </c>
    </row>
    <row r="1505" customFormat="false" ht="15" hidden="false" customHeight="true" outlineLevel="0" collapsed="false">
      <c r="A1505" s="7" t="s">
        <v>5077</v>
      </c>
      <c r="B1505" s="7" t="s">
        <v>6817</v>
      </c>
      <c r="C1505" s="7" t="n">
        <v>2</v>
      </c>
      <c r="D1505" s="7" t="n">
        <v>16</v>
      </c>
      <c r="E1505" s="7" t="n">
        <v>1</v>
      </c>
      <c r="F1505" s="7" t="s">
        <v>5069</v>
      </c>
      <c r="G1505" s="12" t="str">
        <f aca="false">IFERROR(INDEX('Semrush Data'!$A$1:$Z$20000,MATCH(A1505,'Semrush Data'!$A$1:$A$20000,0),MATCH("Volume",'Semrush Data'!$A$1:$Z$1,0)),"")</f>
        <v/>
      </c>
      <c r="H1505" s="7" t="str">
        <f aca="false">IFERROR(INDEX('Semrush Data'!$A$1:$Z$20000,MATCH(A1505,'Semrush Data'!$A$1:$A$20000,0),MATCH("Keyword Difficulty*",'Semrush Data'!$A$1:$Z$1,0)),"")</f>
        <v/>
      </c>
      <c r="I1505" s="13" t="str">
        <f aca="false">IFERROR(INDEX('Semrush Data'!$A$1:$Z$20000,MATCH(A1505,'Semrush Data'!$A$1:$A$20000,0),MATCH("CPC*",'Semrush Data'!$A$1:$Z$1,0)),"")</f>
        <v/>
      </c>
      <c r="J1505" s="7" t="str">
        <f aca="false">IFERROR(INDEX('Semrush Data'!$A$1:$Z$20000,MATCH(A1505,'Semrush Data'!$A$1:$A$20000,0),MATCH("Intent",'Semrush Data'!$A$1:$Z$1,0)),"")</f>
        <v/>
      </c>
    </row>
    <row r="1506" customFormat="false" ht="15" hidden="false" customHeight="true" outlineLevel="0" collapsed="false">
      <c r="A1506" s="7" t="s">
        <v>5103</v>
      </c>
      <c r="B1506" s="7" t="s">
        <v>6817</v>
      </c>
      <c r="C1506" s="7" t="n">
        <v>2</v>
      </c>
      <c r="D1506" s="7" t="n">
        <v>16</v>
      </c>
      <c r="E1506" s="7" t="n">
        <v>1</v>
      </c>
      <c r="F1506" s="7" t="s">
        <v>5095</v>
      </c>
      <c r="G1506" s="12" t="str">
        <f aca="false">IFERROR(INDEX('Semrush Data'!$A$1:$Z$20000,MATCH(A1506,'Semrush Data'!$A$1:$A$20000,0),MATCH("Volume",'Semrush Data'!$A$1:$Z$1,0)),"")</f>
        <v/>
      </c>
      <c r="H1506" s="7" t="str">
        <f aca="false">IFERROR(INDEX('Semrush Data'!$A$1:$Z$20000,MATCH(A1506,'Semrush Data'!$A$1:$A$20000,0),MATCH("Keyword Difficulty*",'Semrush Data'!$A$1:$Z$1,0)),"")</f>
        <v/>
      </c>
      <c r="I1506" s="13" t="str">
        <f aca="false">IFERROR(INDEX('Semrush Data'!$A$1:$Z$20000,MATCH(A1506,'Semrush Data'!$A$1:$A$20000,0),MATCH("CPC*",'Semrush Data'!$A$1:$Z$1,0)),"")</f>
        <v/>
      </c>
      <c r="J1506" s="7" t="str">
        <f aca="false">IFERROR(INDEX('Semrush Data'!$A$1:$Z$20000,MATCH(A1506,'Semrush Data'!$A$1:$A$20000,0),MATCH("Intent",'Semrush Data'!$A$1:$Z$1,0)),"")</f>
        <v/>
      </c>
    </row>
    <row r="1507" customFormat="false" ht="15" hidden="false" customHeight="true" outlineLevel="0" collapsed="false">
      <c r="A1507" s="7" t="s">
        <v>5136</v>
      </c>
      <c r="B1507" s="7" t="s">
        <v>6817</v>
      </c>
      <c r="C1507" s="7" t="n">
        <v>2</v>
      </c>
      <c r="D1507" s="7" t="n">
        <v>16</v>
      </c>
      <c r="E1507" s="7" t="n">
        <v>1</v>
      </c>
      <c r="F1507" s="7" t="s">
        <v>5130</v>
      </c>
      <c r="G1507" s="12" t="str">
        <f aca="false">IFERROR(INDEX('Semrush Data'!$A$1:$Z$20000,MATCH(A1507,'Semrush Data'!$A$1:$A$20000,0),MATCH("Volume",'Semrush Data'!$A$1:$Z$1,0)),"")</f>
        <v/>
      </c>
      <c r="H1507" s="7" t="str">
        <f aca="false">IFERROR(INDEX('Semrush Data'!$A$1:$Z$20000,MATCH(A1507,'Semrush Data'!$A$1:$A$20000,0),MATCH("Keyword Difficulty*",'Semrush Data'!$A$1:$Z$1,0)),"")</f>
        <v/>
      </c>
      <c r="I1507" s="13" t="str">
        <f aca="false">IFERROR(INDEX('Semrush Data'!$A$1:$Z$20000,MATCH(A1507,'Semrush Data'!$A$1:$A$20000,0),MATCH("CPC*",'Semrush Data'!$A$1:$Z$1,0)),"")</f>
        <v/>
      </c>
      <c r="J1507" s="7" t="str">
        <f aca="false">IFERROR(INDEX('Semrush Data'!$A$1:$Z$20000,MATCH(A1507,'Semrush Data'!$A$1:$A$20000,0),MATCH("Intent",'Semrush Data'!$A$1:$Z$1,0)),"")</f>
        <v/>
      </c>
    </row>
    <row r="1508" customFormat="false" ht="15" hidden="false" customHeight="true" outlineLevel="0" collapsed="false">
      <c r="A1508" s="7" t="s">
        <v>5146</v>
      </c>
      <c r="B1508" s="7" t="s">
        <v>6817</v>
      </c>
      <c r="C1508" s="7" t="n">
        <v>2</v>
      </c>
      <c r="D1508" s="7" t="s">
        <v>6815</v>
      </c>
      <c r="E1508" s="7" t="n">
        <v>1</v>
      </c>
      <c r="F1508" s="7" t="s">
        <v>5139</v>
      </c>
      <c r="G1508" s="12" t="n">
        <f aca="false">IFERROR(INDEX('Semrush Data'!$A$1:$Z$20000,MATCH(A1508,'Semrush Data'!$A$1:$A$20000,0),MATCH("Volume",'Semrush Data'!$A$1:$Z$1,0)),"")</f>
        <v>20</v>
      </c>
      <c r="H1508" s="7" t="n">
        <f aca="false">IFERROR(INDEX('Semrush Data'!$A$1:$Z$20000,MATCH(A1508,'Semrush Data'!$A$1:$A$20000,0),MATCH("Keyword Difficulty*",'Semrush Data'!$A$1:$Z$1,0)),"")</f>
        <v>18</v>
      </c>
      <c r="I1508" s="13" t="n">
        <f aca="false">IFERROR(INDEX('Semrush Data'!$A$1:$Z$20000,MATCH(A1508,'Semrush Data'!$A$1:$A$20000,0),MATCH("CPC*",'Semrush Data'!$A$1:$Z$1,0)),"")</f>
        <v>0</v>
      </c>
      <c r="J1508" s="7" t="str">
        <f aca="false">IFERROR(INDEX('Semrush Data'!$A$1:$Z$20000,MATCH(A1508,'Semrush Data'!$A$1:$A$20000,0),MATCH("Intent",'Semrush Data'!$A$1:$Z$1,0)),"")</f>
        <v>Informational</v>
      </c>
    </row>
    <row r="1509" customFormat="false" ht="15" hidden="false" customHeight="true" outlineLevel="0" collapsed="false">
      <c r="A1509" s="7" t="s">
        <v>5156</v>
      </c>
      <c r="B1509" s="7" t="s">
        <v>6817</v>
      </c>
      <c r="C1509" s="7" t="n">
        <v>2</v>
      </c>
      <c r="D1509" s="7" t="s">
        <v>6815</v>
      </c>
      <c r="E1509" s="7" t="n">
        <v>1</v>
      </c>
      <c r="F1509" s="7" t="s">
        <v>52</v>
      </c>
      <c r="G1509" s="12" t="n">
        <f aca="false">IFERROR(INDEX('Semrush Data'!$A$1:$Z$20000,MATCH(A1509,'Semrush Data'!$A$1:$A$20000,0),MATCH("Volume",'Semrush Data'!$A$1:$Z$1,0)),"")</f>
        <v>210</v>
      </c>
      <c r="H1509" s="7" t="n">
        <f aca="false">IFERROR(INDEX('Semrush Data'!$A$1:$Z$20000,MATCH(A1509,'Semrush Data'!$A$1:$A$20000,0),MATCH("Keyword Difficulty*",'Semrush Data'!$A$1:$Z$1,0)),"")</f>
        <v>20</v>
      </c>
      <c r="I1509" s="13" t="n">
        <f aca="false">IFERROR(INDEX('Semrush Data'!$A$1:$Z$20000,MATCH(A1509,'Semrush Data'!$A$1:$A$20000,0),MATCH("CPC*",'Semrush Data'!$A$1:$Z$1,0)),"")</f>
        <v>0.44</v>
      </c>
      <c r="J1509" s="7" t="str">
        <f aca="false">IFERROR(INDEX('Semrush Data'!$A$1:$Z$20000,MATCH(A1509,'Semrush Data'!$A$1:$A$20000,0),MATCH("Intent",'Semrush Data'!$A$1:$Z$1,0)),"")</f>
        <v>Informational</v>
      </c>
    </row>
    <row r="1510" customFormat="false" ht="15" hidden="false" customHeight="true" outlineLevel="0" collapsed="false">
      <c r="A1510" s="7" t="s">
        <v>5168</v>
      </c>
      <c r="B1510" s="7" t="s">
        <v>6817</v>
      </c>
      <c r="C1510" s="7" t="n">
        <v>2</v>
      </c>
      <c r="D1510" s="7" t="n">
        <v>16</v>
      </c>
      <c r="E1510" s="7" t="n">
        <v>1</v>
      </c>
      <c r="F1510" s="7" t="s">
        <v>5162</v>
      </c>
      <c r="G1510" s="12" t="str">
        <f aca="false">IFERROR(INDEX('Semrush Data'!$A$1:$Z$20000,MATCH(A1510,'Semrush Data'!$A$1:$A$20000,0),MATCH("Volume",'Semrush Data'!$A$1:$Z$1,0)),"")</f>
        <v/>
      </c>
      <c r="H1510" s="7" t="str">
        <f aca="false">IFERROR(INDEX('Semrush Data'!$A$1:$Z$20000,MATCH(A1510,'Semrush Data'!$A$1:$A$20000,0),MATCH("Keyword Difficulty*",'Semrush Data'!$A$1:$Z$1,0)),"")</f>
        <v/>
      </c>
      <c r="I1510" s="13" t="str">
        <f aca="false">IFERROR(INDEX('Semrush Data'!$A$1:$Z$20000,MATCH(A1510,'Semrush Data'!$A$1:$A$20000,0),MATCH("CPC*",'Semrush Data'!$A$1:$Z$1,0)),"")</f>
        <v/>
      </c>
      <c r="J1510" s="7" t="str">
        <f aca="false">IFERROR(INDEX('Semrush Data'!$A$1:$Z$20000,MATCH(A1510,'Semrush Data'!$A$1:$A$20000,0),MATCH("Intent",'Semrush Data'!$A$1:$Z$1,0)),"")</f>
        <v/>
      </c>
    </row>
    <row r="1511" customFormat="false" ht="15" hidden="false" customHeight="true" outlineLevel="0" collapsed="false">
      <c r="A1511" s="7" t="s">
        <v>5181</v>
      </c>
      <c r="B1511" s="7" t="s">
        <v>6817</v>
      </c>
      <c r="C1511" s="7" t="n">
        <v>2</v>
      </c>
      <c r="D1511" s="7" t="n">
        <v>16</v>
      </c>
      <c r="E1511" s="7" t="n">
        <v>3</v>
      </c>
      <c r="F1511" s="7" t="s">
        <v>6584</v>
      </c>
      <c r="G1511" s="12" t="str">
        <f aca="false">IFERROR(INDEX('Semrush Data'!$A$1:$Z$20000,MATCH(A1511,'Semrush Data'!$A$1:$A$20000,0),MATCH("Volume",'Semrush Data'!$A$1:$Z$1,0)),"")</f>
        <v/>
      </c>
      <c r="H1511" s="7" t="str">
        <f aca="false">IFERROR(INDEX('Semrush Data'!$A$1:$Z$20000,MATCH(A1511,'Semrush Data'!$A$1:$A$20000,0),MATCH("Keyword Difficulty*",'Semrush Data'!$A$1:$Z$1,0)),"")</f>
        <v/>
      </c>
      <c r="I1511" s="13" t="str">
        <f aca="false">IFERROR(INDEX('Semrush Data'!$A$1:$Z$20000,MATCH(A1511,'Semrush Data'!$A$1:$A$20000,0),MATCH("CPC*",'Semrush Data'!$A$1:$Z$1,0)),"")</f>
        <v/>
      </c>
      <c r="J1511" s="7" t="str">
        <f aca="false">IFERROR(INDEX('Semrush Data'!$A$1:$Z$20000,MATCH(A1511,'Semrush Data'!$A$1:$A$20000,0),MATCH("Intent",'Semrush Data'!$A$1:$Z$1,0)),"")</f>
        <v/>
      </c>
    </row>
    <row r="1512" customFormat="false" ht="15" hidden="false" customHeight="true" outlineLevel="0" collapsed="false">
      <c r="A1512" s="7" t="s">
        <v>5197</v>
      </c>
      <c r="B1512" s="7" t="s">
        <v>6817</v>
      </c>
      <c r="C1512" s="7" t="n">
        <v>2</v>
      </c>
      <c r="D1512" s="7" t="n">
        <v>16</v>
      </c>
      <c r="E1512" s="7" t="n">
        <v>1</v>
      </c>
      <c r="F1512" s="7" t="s">
        <v>5190</v>
      </c>
      <c r="G1512" s="12" t="str">
        <f aca="false">IFERROR(INDEX('Semrush Data'!$A$1:$Z$20000,MATCH(A1512,'Semrush Data'!$A$1:$A$20000,0),MATCH("Volume",'Semrush Data'!$A$1:$Z$1,0)),"")</f>
        <v/>
      </c>
      <c r="H1512" s="7" t="str">
        <f aca="false">IFERROR(INDEX('Semrush Data'!$A$1:$Z$20000,MATCH(A1512,'Semrush Data'!$A$1:$A$20000,0),MATCH("Keyword Difficulty*",'Semrush Data'!$A$1:$Z$1,0)),"")</f>
        <v/>
      </c>
      <c r="I1512" s="13" t="str">
        <f aca="false">IFERROR(INDEX('Semrush Data'!$A$1:$Z$20000,MATCH(A1512,'Semrush Data'!$A$1:$A$20000,0),MATCH("CPC*",'Semrush Data'!$A$1:$Z$1,0)),"")</f>
        <v/>
      </c>
      <c r="J1512" s="7" t="str">
        <f aca="false">IFERROR(INDEX('Semrush Data'!$A$1:$Z$20000,MATCH(A1512,'Semrush Data'!$A$1:$A$20000,0),MATCH("Intent",'Semrush Data'!$A$1:$Z$1,0)),"")</f>
        <v/>
      </c>
    </row>
    <row r="1513" customFormat="false" ht="15" hidden="false" customHeight="true" outlineLevel="0" collapsed="false">
      <c r="A1513" s="7" t="s">
        <v>5210</v>
      </c>
      <c r="B1513" s="7" t="s">
        <v>6817</v>
      </c>
      <c r="C1513" s="7" t="n">
        <v>2</v>
      </c>
      <c r="D1513" s="7" t="n">
        <v>16</v>
      </c>
      <c r="E1513" s="7" t="n">
        <v>1</v>
      </c>
      <c r="F1513" s="7" t="s">
        <v>5203</v>
      </c>
      <c r="G1513" s="12" t="str">
        <f aca="false">IFERROR(INDEX('Semrush Data'!$A$1:$Z$20000,MATCH(A1513,'Semrush Data'!$A$1:$A$20000,0),MATCH("Volume",'Semrush Data'!$A$1:$Z$1,0)),"")</f>
        <v/>
      </c>
      <c r="H1513" s="7" t="str">
        <f aca="false">IFERROR(INDEX('Semrush Data'!$A$1:$Z$20000,MATCH(A1513,'Semrush Data'!$A$1:$A$20000,0),MATCH("Keyword Difficulty*",'Semrush Data'!$A$1:$Z$1,0)),"")</f>
        <v/>
      </c>
      <c r="I1513" s="13" t="str">
        <f aca="false">IFERROR(INDEX('Semrush Data'!$A$1:$Z$20000,MATCH(A1513,'Semrush Data'!$A$1:$A$20000,0),MATCH("CPC*",'Semrush Data'!$A$1:$Z$1,0)),"")</f>
        <v/>
      </c>
      <c r="J1513" s="7" t="str">
        <f aca="false">IFERROR(INDEX('Semrush Data'!$A$1:$Z$20000,MATCH(A1513,'Semrush Data'!$A$1:$A$20000,0),MATCH("Intent",'Semrush Data'!$A$1:$Z$1,0)),"")</f>
        <v/>
      </c>
    </row>
    <row r="1514" customFormat="false" ht="15" hidden="false" customHeight="true" outlineLevel="0" collapsed="false">
      <c r="A1514" s="7" t="s">
        <v>5223</v>
      </c>
      <c r="B1514" s="7" t="s">
        <v>6817</v>
      </c>
      <c r="C1514" s="7" t="n">
        <v>2</v>
      </c>
      <c r="D1514" s="7" t="n">
        <v>16</v>
      </c>
      <c r="E1514" s="7" t="n">
        <v>1</v>
      </c>
      <c r="F1514" s="7" t="s">
        <v>5216</v>
      </c>
      <c r="G1514" s="12" t="str">
        <f aca="false">IFERROR(INDEX('Semrush Data'!$A$1:$Z$20000,MATCH(A1514,'Semrush Data'!$A$1:$A$20000,0),MATCH("Volume",'Semrush Data'!$A$1:$Z$1,0)),"")</f>
        <v/>
      </c>
      <c r="H1514" s="7" t="str">
        <f aca="false">IFERROR(INDEX('Semrush Data'!$A$1:$Z$20000,MATCH(A1514,'Semrush Data'!$A$1:$A$20000,0),MATCH("Keyword Difficulty*",'Semrush Data'!$A$1:$Z$1,0)),"")</f>
        <v/>
      </c>
      <c r="I1514" s="13" t="str">
        <f aca="false">IFERROR(INDEX('Semrush Data'!$A$1:$Z$20000,MATCH(A1514,'Semrush Data'!$A$1:$A$20000,0),MATCH("CPC*",'Semrush Data'!$A$1:$Z$1,0)),"")</f>
        <v/>
      </c>
      <c r="J1514" s="7" t="str">
        <f aca="false">IFERROR(INDEX('Semrush Data'!$A$1:$Z$20000,MATCH(A1514,'Semrush Data'!$A$1:$A$20000,0),MATCH("Intent",'Semrush Data'!$A$1:$Z$1,0)),"")</f>
        <v/>
      </c>
    </row>
    <row r="1515" customFormat="false" ht="15" hidden="false" customHeight="true" outlineLevel="0" collapsed="false">
      <c r="A1515" s="7" t="s">
        <v>5925</v>
      </c>
      <c r="B1515" s="7" t="s">
        <v>6817</v>
      </c>
      <c r="C1515" s="7" t="n">
        <v>2</v>
      </c>
      <c r="D1515" s="7" t="n">
        <v>16</v>
      </c>
      <c r="E1515" s="7" t="n">
        <v>1</v>
      </c>
      <c r="F1515" s="7" t="s">
        <v>5919</v>
      </c>
      <c r="G1515" s="12" t="str">
        <f aca="false">IFERROR(INDEX('Semrush Data'!$A$1:$Z$20000,MATCH(A1515,'Semrush Data'!$A$1:$A$20000,0),MATCH("Volume",'Semrush Data'!$A$1:$Z$1,0)),"")</f>
        <v/>
      </c>
      <c r="H1515" s="7" t="str">
        <f aca="false">IFERROR(INDEX('Semrush Data'!$A$1:$Z$20000,MATCH(A1515,'Semrush Data'!$A$1:$A$20000,0),MATCH("Keyword Difficulty*",'Semrush Data'!$A$1:$Z$1,0)),"")</f>
        <v/>
      </c>
      <c r="I1515" s="13" t="str">
        <f aca="false">IFERROR(INDEX('Semrush Data'!$A$1:$Z$20000,MATCH(A1515,'Semrush Data'!$A$1:$A$20000,0),MATCH("CPC*",'Semrush Data'!$A$1:$Z$1,0)),"")</f>
        <v/>
      </c>
      <c r="J1515" s="7" t="str">
        <f aca="false">IFERROR(INDEX('Semrush Data'!$A$1:$Z$20000,MATCH(A1515,'Semrush Data'!$A$1:$A$20000,0),MATCH("Intent",'Semrush Data'!$A$1:$Z$1,0)),"")</f>
        <v/>
      </c>
    </row>
    <row r="1516" customFormat="false" ht="15" hidden="false" customHeight="true" outlineLevel="0" collapsed="false">
      <c r="A1516" s="7" t="s">
        <v>5235</v>
      </c>
      <c r="B1516" s="7" t="s">
        <v>6817</v>
      </c>
      <c r="C1516" s="7" t="n">
        <v>2</v>
      </c>
      <c r="D1516" s="7" t="n">
        <v>16</v>
      </c>
      <c r="E1516" s="7" t="n">
        <v>1</v>
      </c>
      <c r="F1516" s="7" t="s">
        <v>5228</v>
      </c>
      <c r="G1516" s="12" t="str">
        <f aca="false">IFERROR(INDEX('Semrush Data'!$A$1:$Z$20000,MATCH(A1516,'Semrush Data'!$A$1:$A$20000,0),MATCH("Volume",'Semrush Data'!$A$1:$Z$1,0)),"")</f>
        <v/>
      </c>
      <c r="H1516" s="7" t="str">
        <f aca="false">IFERROR(INDEX('Semrush Data'!$A$1:$Z$20000,MATCH(A1516,'Semrush Data'!$A$1:$A$20000,0),MATCH("Keyword Difficulty*",'Semrush Data'!$A$1:$Z$1,0)),"")</f>
        <v/>
      </c>
      <c r="I1516" s="13" t="str">
        <f aca="false">IFERROR(INDEX('Semrush Data'!$A$1:$Z$20000,MATCH(A1516,'Semrush Data'!$A$1:$A$20000,0),MATCH("CPC*",'Semrush Data'!$A$1:$Z$1,0)),"")</f>
        <v/>
      </c>
      <c r="J1516" s="7" t="str">
        <f aca="false">IFERROR(INDEX('Semrush Data'!$A$1:$Z$20000,MATCH(A1516,'Semrush Data'!$A$1:$A$20000,0),MATCH("Intent",'Semrush Data'!$A$1:$Z$1,0)),"")</f>
        <v/>
      </c>
    </row>
    <row r="1517" customFormat="false" ht="15" hidden="false" customHeight="true" outlineLevel="0" collapsed="false">
      <c r="A1517" s="7" t="s">
        <v>5270</v>
      </c>
      <c r="B1517" s="7" t="s">
        <v>6817</v>
      </c>
      <c r="C1517" s="7" t="n">
        <v>2</v>
      </c>
      <c r="D1517" s="7" t="n">
        <v>16</v>
      </c>
      <c r="E1517" s="7" t="n">
        <v>1</v>
      </c>
      <c r="F1517" s="7" t="s">
        <v>5264</v>
      </c>
      <c r="G1517" s="12" t="str">
        <f aca="false">IFERROR(INDEX('Semrush Data'!$A$1:$Z$20000,MATCH(A1517,'Semrush Data'!$A$1:$A$20000,0),MATCH("Volume",'Semrush Data'!$A$1:$Z$1,0)),"")</f>
        <v/>
      </c>
      <c r="H1517" s="7" t="str">
        <f aca="false">IFERROR(INDEX('Semrush Data'!$A$1:$Z$20000,MATCH(A1517,'Semrush Data'!$A$1:$A$20000,0),MATCH("Keyword Difficulty*",'Semrush Data'!$A$1:$Z$1,0)),"")</f>
        <v/>
      </c>
      <c r="I1517" s="13" t="str">
        <f aca="false">IFERROR(INDEX('Semrush Data'!$A$1:$Z$20000,MATCH(A1517,'Semrush Data'!$A$1:$A$20000,0),MATCH("CPC*",'Semrush Data'!$A$1:$Z$1,0)),"")</f>
        <v/>
      </c>
      <c r="J1517" s="7" t="str">
        <f aca="false">IFERROR(INDEX('Semrush Data'!$A$1:$Z$20000,MATCH(A1517,'Semrush Data'!$A$1:$A$20000,0),MATCH("Intent",'Semrush Data'!$A$1:$Z$1,0)),"")</f>
        <v/>
      </c>
    </row>
    <row r="1518" customFormat="false" ht="15" hidden="false" customHeight="true" outlineLevel="0" collapsed="false">
      <c r="A1518" s="7" t="s">
        <v>5280</v>
      </c>
      <c r="B1518" s="7" t="s">
        <v>6817</v>
      </c>
      <c r="C1518" s="7" t="n">
        <v>2</v>
      </c>
      <c r="D1518" s="7" t="n">
        <v>16</v>
      </c>
      <c r="E1518" s="7" t="n">
        <v>1</v>
      </c>
      <c r="F1518" s="7" t="s">
        <v>5274</v>
      </c>
      <c r="G1518" s="12" t="str">
        <f aca="false">IFERROR(INDEX('Semrush Data'!$A$1:$Z$20000,MATCH(A1518,'Semrush Data'!$A$1:$A$20000,0),MATCH("Volume",'Semrush Data'!$A$1:$Z$1,0)),"")</f>
        <v/>
      </c>
      <c r="H1518" s="7" t="str">
        <f aca="false">IFERROR(INDEX('Semrush Data'!$A$1:$Z$20000,MATCH(A1518,'Semrush Data'!$A$1:$A$20000,0),MATCH("Keyword Difficulty*",'Semrush Data'!$A$1:$Z$1,0)),"")</f>
        <v/>
      </c>
      <c r="I1518" s="13" t="str">
        <f aca="false">IFERROR(INDEX('Semrush Data'!$A$1:$Z$20000,MATCH(A1518,'Semrush Data'!$A$1:$A$20000,0),MATCH("CPC*",'Semrush Data'!$A$1:$Z$1,0)),"")</f>
        <v/>
      </c>
      <c r="J1518" s="7" t="str">
        <f aca="false">IFERROR(INDEX('Semrush Data'!$A$1:$Z$20000,MATCH(A1518,'Semrush Data'!$A$1:$A$20000,0),MATCH("Intent",'Semrush Data'!$A$1:$Z$1,0)),"")</f>
        <v/>
      </c>
    </row>
    <row r="1519" customFormat="false" ht="15" hidden="false" customHeight="true" outlineLevel="0" collapsed="false">
      <c r="A1519" s="7" t="s">
        <v>5247</v>
      </c>
      <c r="B1519" s="7" t="s">
        <v>6817</v>
      </c>
      <c r="C1519" s="7" t="n">
        <v>2</v>
      </c>
      <c r="D1519" s="7" t="n">
        <v>16</v>
      </c>
      <c r="E1519" s="7" t="n">
        <v>1</v>
      </c>
      <c r="F1519" s="7" t="s">
        <v>5240</v>
      </c>
      <c r="G1519" s="12" t="str">
        <f aca="false">IFERROR(INDEX('Semrush Data'!$A$1:$Z$20000,MATCH(A1519,'Semrush Data'!$A$1:$A$20000,0),MATCH("Volume",'Semrush Data'!$A$1:$Z$1,0)),"")</f>
        <v/>
      </c>
      <c r="H1519" s="7" t="str">
        <f aca="false">IFERROR(INDEX('Semrush Data'!$A$1:$Z$20000,MATCH(A1519,'Semrush Data'!$A$1:$A$20000,0),MATCH("Keyword Difficulty*",'Semrush Data'!$A$1:$Z$1,0)),"")</f>
        <v/>
      </c>
      <c r="I1519" s="13" t="str">
        <f aca="false">IFERROR(INDEX('Semrush Data'!$A$1:$Z$20000,MATCH(A1519,'Semrush Data'!$A$1:$A$20000,0),MATCH("CPC*",'Semrush Data'!$A$1:$Z$1,0)),"")</f>
        <v/>
      </c>
      <c r="J1519" s="7" t="str">
        <f aca="false">IFERROR(INDEX('Semrush Data'!$A$1:$Z$20000,MATCH(A1519,'Semrush Data'!$A$1:$A$20000,0),MATCH("Intent",'Semrush Data'!$A$1:$Z$1,0)),"")</f>
        <v/>
      </c>
    </row>
    <row r="1520" customFormat="false" ht="15" hidden="false" customHeight="true" outlineLevel="0" collapsed="false">
      <c r="A1520" s="7" t="s">
        <v>5259</v>
      </c>
      <c r="B1520" s="7" t="s">
        <v>6817</v>
      </c>
      <c r="C1520" s="7" t="n">
        <v>2</v>
      </c>
      <c r="D1520" s="7" t="n">
        <v>16</v>
      </c>
      <c r="E1520" s="7" t="n">
        <v>1</v>
      </c>
      <c r="F1520" s="7" t="s">
        <v>5253</v>
      </c>
      <c r="G1520" s="12" t="str">
        <f aca="false">IFERROR(INDEX('Semrush Data'!$A$1:$Z$20000,MATCH(A1520,'Semrush Data'!$A$1:$A$20000,0),MATCH("Volume",'Semrush Data'!$A$1:$Z$1,0)),"")</f>
        <v/>
      </c>
      <c r="H1520" s="7" t="str">
        <f aca="false">IFERROR(INDEX('Semrush Data'!$A$1:$Z$20000,MATCH(A1520,'Semrush Data'!$A$1:$A$20000,0),MATCH("Keyword Difficulty*",'Semrush Data'!$A$1:$Z$1,0)),"")</f>
        <v/>
      </c>
      <c r="I1520" s="13" t="str">
        <f aca="false">IFERROR(INDEX('Semrush Data'!$A$1:$Z$20000,MATCH(A1520,'Semrush Data'!$A$1:$A$20000,0),MATCH("CPC*",'Semrush Data'!$A$1:$Z$1,0)),"")</f>
        <v/>
      </c>
      <c r="J1520" s="7" t="str">
        <f aca="false">IFERROR(INDEX('Semrush Data'!$A$1:$Z$20000,MATCH(A1520,'Semrush Data'!$A$1:$A$20000,0),MATCH("Intent",'Semrush Data'!$A$1:$Z$1,0)),"")</f>
        <v/>
      </c>
    </row>
    <row r="1521" customFormat="false" ht="15" hidden="false" customHeight="true" outlineLevel="0" collapsed="false">
      <c r="A1521" s="7" t="s">
        <v>5302</v>
      </c>
      <c r="B1521" s="7" t="s">
        <v>6817</v>
      </c>
      <c r="C1521" s="7" t="n">
        <v>2</v>
      </c>
      <c r="D1521" s="7" t="n">
        <v>16</v>
      </c>
      <c r="E1521" s="7" t="n">
        <v>1</v>
      </c>
      <c r="F1521" s="7" t="s">
        <v>5295</v>
      </c>
      <c r="G1521" s="12" t="str">
        <f aca="false">IFERROR(INDEX('Semrush Data'!$A$1:$Z$20000,MATCH(A1521,'Semrush Data'!$A$1:$A$20000,0),MATCH("Volume",'Semrush Data'!$A$1:$Z$1,0)),"")</f>
        <v/>
      </c>
      <c r="H1521" s="7" t="str">
        <f aca="false">IFERROR(INDEX('Semrush Data'!$A$1:$Z$20000,MATCH(A1521,'Semrush Data'!$A$1:$A$20000,0),MATCH("Keyword Difficulty*",'Semrush Data'!$A$1:$Z$1,0)),"")</f>
        <v/>
      </c>
      <c r="I1521" s="13" t="str">
        <f aca="false">IFERROR(INDEX('Semrush Data'!$A$1:$Z$20000,MATCH(A1521,'Semrush Data'!$A$1:$A$20000,0),MATCH("CPC*",'Semrush Data'!$A$1:$Z$1,0)),"")</f>
        <v/>
      </c>
      <c r="J1521" s="7" t="str">
        <f aca="false">IFERROR(INDEX('Semrush Data'!$A$1:$Z$20000,MATCH(A1521,'Semrush Data'!$A$1:$A$20000,0),MATCH("Intent",'Semrush Data'!$A$1:$Z$1,0)),"")</f>
        <v/>
      </c>
    </row>
    <row r="1522" customFormat="false" ht="15" hidden="false" customHeight="true" outlineLevel="0" collapsed="false">
      <c r="A1522" s="7" t="s">
        <v>5314</v>
      </c>
      <c r="B1522" s="7" t="s">
        <v>6817</v>
      </c>
      <c r="C1522" s="7" t="n">
        <v>2</v>
      </c>
      <c r="D1522" s="7" t="n">
        <v>16</v>
      </c>
      <c r="E1522" s="7" t="n">
        <v>1</v>
      </c>
      <c r="F1522" s="7" t="s">
        <v>5308</v>
      </c>
      <c r="G1522" s="12" t="str">
        <f aca="false">IFERROR(INDEX('Semrush Data'!$A$1:$Z$20000,MATCH(A1522,'Semrush Data'!$A$1:$A$20000,0),MATCH("Volume",'Semrush Data'!$A$1:$Z$1,0)),"")</f>
        <v/>
      </c>
      <c r="H1522" s="7" t="str">
        <f aca="false">IFERROR(INDEX('Semrush Data'!$A$1:$Z$20000,MATCH(A1522,'Semrush Data'!$A$1:$A$20000,0),MATCH("Keyword Difficulty*",'Semrush Data'!$A$1:$Z$1,0)),"")</f>
        <v/>
      </c>
      <c r="I1522" s="13" t="str">
        <f aca="false">IFERROR(INDEX('Semrush Data'!$A$1:$Z$20000,MATCH(A1522,'Semrush Data'!$A$1:$A$20000,0),MATCH("CPC*",'Semrush Data'!$A$1:$Z$1,0)),"")</f>
        <v/>
      </c>
      <c r="J1522" s="7" t="str">
        <f aca="false">IFERROR(INDEX('Semrush Data'!$A$1:$Z$20000,MATCH(A1522,'Semrush Data'!$A$1:$A$20000,0),MATCH("Intent",'Semrush Data'!$A$1:$Z$1,0)),"")</f>
        <v/>
      </c>
    </row>
    <row r="1523" customFormat="false" ht="15" hidden="false" customHeight="true" outlineLevel="0" collapsed="false">
      <c r="A1523" s="7" t="s">
        <v>5325</v>
      </c>
      <c r="B1523" s="7" t="s">
        <v>6817</v>
      </c>
      <c r="C1523" s="7" t="n">
        <v>2</v>
      </c>
      <c r="D1523" s="7" t="n">
        <v>16</v>
      </c>
      <c r="E1523" s="7" t="n">
        <v>1</v>
      </c>
      <c r="F1523" s="7" t="s">
        <v>5319</v>
      </c>
      <c r="G1523" s="12" t="str">
        <f aca="false">IFERROR(INDEX('Semrush Data'!$A$1:$Z$20000,MATCH(A1523,'Semrush Data'!$A$1:$A$20000,0),MATCH("Volume",'Semrush Data'!$A$1:$Z$1,0)),"")</f>
        <v/>
      </c>
      <c r="H1523" s="7" t="str">
        <f aca="false">IFERROR(INDEX('Semrush Data'!$A$1:$Z$20000,MATCH(A1523,'Semrush Data'!$A$1:$A$20000,0),MATCH("Keyword Difficulty*",'Semrush Data'!$A$1:$Z$1,0)),"")</f>
        <v/>
      </c>
      <c r="I1523" s="13" t="str">
        <f aca="false">IFERROR(INDEX('Semrush Data'!$A$1:$Z$20000,MATCH(A1523,'Semrush Data'!$A$1:$A$20000,0),MATCH("CPC*",'Semrush Data'!$A$1:$Z$1,0)),"")</f>
        <v/>
      </c>
      <c r="J1523" s="7" t="str">
        <f aca="false">IFERROR(INDEX('Semrush Data'!$A$1:$Z$20000,MATCH(A1523,'Semrush Data'!$A$1:$A$20000,0),MATCH("Intent",'Semrush Data'!$A$1:$Z$1,0)),"")</f>
        <v/>
      </c>
    </row>
    <row r="1524" customFormat="false" ht="15" hidden="false" customHeight="true" outlineLevel="0" collapsed="false">
      <c r="A1524" s="7" t="s">
        <v>5337</v>
      </c>
      <c r="B1524" s="7" t="s">
        <v>6817</v>
      </c>
      <c r="C1524" s="7" t="n">
        <v>2</v>
      </c>
      <c r="D1524" s="7" t="n">
        <v>16</v>
      </c>
      <c r="E1524" s="7" t="n">
        <v>1</v>
      </c>
      <c r="F1524" s="7" t="s">
        <v>5331</v>
      </c>
      <c r="G1524" s="12" t="str">
        <f aca="false">IFERROR(INDEX('Semrush Data'!$A$1:$Z$20000,MATCH(A1524,'Semrush Data'!$A$1:$A$20000,0),MATCH("Volume",'Semrush Data'!$A$1:$Z$1,0)),"")</f>
        <v/>
      </c>
      <c r="H1524" s="7" t="str">
        <f aca="false">IFERROR(INDEX('Semrush Data'!$A$1:$Z$20000,MATCH(A1524,'Semrush Data'!$A$1:$A$20000,0),MATCH("Keyword Difficulty*",'Semrush Data'!$A$1:$Z$1,0)),"")</f>
        <v/>
      </c>
      <c r="I1524" s="13" t="str">
        <f aca="false">IFERROR(INDEX('Semrush Data'!$A$1:$Z$20000,MATCH(A1524,'Semrush Data'!$A$1:$A$20000,0),MATCH("CPC*",'Semrush Data'!$A$1:$Z$1,0)),"")</f>
        <v/>
      </c>
      <c r="J1524" s="7" t="str">
        <f aca="false">IFERROR(INDEX('Semrush Data'!$A$1:$Z$20000,MATCH(A1524,'Semrush Data'!$A$1:$A$20000,0),MATCH("Intent",'Semrush Data'!$A$1:$Z$1,0)),"")</f>
        <v/>
      </c>
    </row>
    <row r="1525" customFormat="false" ht="15" hidden="false" customHeight="true" outlineLevel="0" collapsed="false">
      <c r="A1525" s="7" t="s">
        <v>5346</v>
      </c>
      <c r="B1525" s="7" t="s">
        <v>6817</v>
      </c>
      <c r="C1525" s="7" t="n">
        <v>2</v>
      </c>
      <c r="D1525" s="7" t="s">
        <v>6815</v>
      </c>
      <c r="E1525" s="7" t="n">
        <v>1</v>
      </c>
      <c r="F1525" s="7" t="s">
        <v>140</v>
      </c>
      <c r="G1525" s="12" t="n">
        <f aca="false">IFERROR(INDEX('Semrush Data'!$A$1:$Z$20000,MATCH(A1525,'Semrush Data'!$A$1:$A$20000,0),MATCH("Volume",'Semrush Data'!$A$1:$Z$1,0)),"")</f>
        <v>50</v>
      </c>
      <c r="H1525" s="7" t="n">
        <f aca="false">IFERROR(INDEX('Semrush Data'!$A$1:$Z$20000,MATCH(A1525,'Semrush Data'!$A$1:$A$20000,0),MATCH("Keyword Difficulty*",'Semrush Data'!$A$1:$Z$1,0)),"")</f>
        <v>13</v>
      </c>
      <c r="I1525" s="13" t="n">
        <f aca="false">IFERROR(INDEX('Semrush Data'!$A$1:$Z$20000,MATCH(A1525,'Semrush Data'!$A$1:$A$20000,0),MATCH("CPC*",'Semrush Data'!$A$1:$Z$1,0)),"")</f>
        <v>0</v>
      </c>
      <c r="J1525" s="7" t="str">
        <f aca="false">IFERROR(INDEX('Semrush Data'!$A$1:$Z$20000,MATCH(A1525,'Semrush Data'!$A$1:$A$20000,0),MATCH("Intent",'Semrush Data'!$A$1:$Z$1,0)),"")</f>
        <v>Navigational</v>
      </c>
    </row>
    <row r="1526" customFormat="false" ht="15" hidden="false" customHeight="true" outlineLevel="0" collapsed="false">
      <c r="A1526" s="7" t="s">
        <v>5358</v>
      </c>
      <c r="B1526" s="7" t="s">
        <v>6817</v>
      </c>
      <c r="C1526" s="7" t="n">
        <v>2</v>
      </c>
      <c r="D1526" s="7" t="n">
        <v>16</v>
      </c>
      <c r="E1526" s="7" t="n">
        <v>1</v>
      </c>
      <c r="F1526" s="7" t="s">
        <v>5352</v>
      </c>
      <c r="G1526" s="12" t="str">
        <f aca="false">IFERROR(INDEX('Semrush Data'!$A$1:$Z$20000,MATCH(A1526,'Semrush Data'!$A$1:$A$20000,0),MATCH("Volume",'Semrush Data'!$A$1:$Z$1,0)),"")</f>
        <v/>
      </c>
      <c r="H1526" s="7" t="str">
        <f aca="false">IFERROR(INDEX('Semrush Data'!$A$1:$Z$20000,MATCH(A1526,'Semrush Data'!$A$1:$A$20000,0),MATCH("Keyword Difficulty*",'Semrush Data'!$A$1:$Z$1,0)),"")</f>
        <v/>
      </c>
      <c r="I1526" s="13" t="str">
        <f aca="false">IFERROR(INDEX('Semrush Data'!$A$1:$Z$20000,MATCH(A1526,'Semrush Data'!$A$1:$A$20000,0),MATCH("CPC*",'Semrush Data'!$A$1:$Z$1,0)),"")</f>
        <v/>
      </c>
      <c r="J1526" s="7" t="str">
        <f aca="false">IFERROR(INDEX('Semrush Data'!$A$1:$Z$20000,MATCH(A1526,'Semrush Data'!$A$1:$A$20000,0),MATCH("Intent",'Semrush Data'!$A$1:$Z$1,0)),"")</f>
        <v/>
      </c>
    </row>
    <row r="1527" customFormat="false" ht="15" hidden="false" customHeight="true" outlineLevel="0" collapsed="false">
      <c r="A1527" s="7" t="s">
        <v>4410</v>
      </c>
      <c r="B1527" s="7" t="s">
        <v>6817</v>
      </c>
      <c r="C1527" s="7" t="n">
        <v>2</v>
      </c>
      <c r="D1527" s="7" t="n">
        <v>16</v>
      </c>
      <c r="E1527" s="7" t="n">
        <v>1</v>
      </c>
      <c r="F1527" s="7" t="s">
        <v>4404</v>
      </c>
      <c r="G1527" s="12" t="str">
        <f aca="false">IFERROR(INDEX('Semrush Data'!$A$1:$Z$20000,MATCH(A1527,'Semrush Data'!$A$1:$A$20000,0),MATCH("Volume",'Semrush Data'!$A$1:$Z$1,0)),"")</f>
        <v/>
      </c>
      <c r="H1527" s="7" t="str">
        <f aca="false">IFERROR(INDEX('Semrush Data'!$A$1:$Z$20000,MATCH(A1527,'Semrush Data'!$A$1:$A$20000,0),MATCH("Keyword Difficulty*",'Semrush Data'!$A$1:$Z$1,0)),"")</f>
        <v/>
      </c>
      <c r="I1527" s="13" t="str">
        <f aca="false">IFERROR(INDEX('Semrush Data'!$A$1:$Z$20000,MATCH(A1527,'Semrush Data'!$A$1:$A$20000,0),MATCH("CPC*",'Semrush Data'!$A$1:$Z$1,0)),"")</f>
        <v/>
      </c>
      <c r="J1527" s="7" t="str">
        <f aca="false">IFERROR(INDEX('Semrush Data'!$A$1:$Z$20000,MATCH(A1527,'Semrush Data'!$A$1:$A$20000,0),MATCH("Intent",'Semrush Data'!$A$1:$Z$1,0)),"")</f>
        <v/>
      </c>
    </row>
    <row r="1528" customFormat="false" ht="15" hidden="false" customHeight="true" outlineLevel="0" collapsed="false">
      <c r="A1528" s="7" t="s">
        <v>4420</v>
      </c>
      <c r="B1528" s="7" t="s">
        <v>6817</v>
      </c>
      <c r="C1528" s="7" t="n">
        <v>2</v>
      </c>
      <c r="D1528" s="7" t="n">
        <v>16</v>
      </c>
      <c r="E1528" s="7" t="n">
        <v>1</v>
      </c>
      <c r="F1528" s="7" t="s">
        <v>4414</v>
      </c>
      <c r="G1528" s="12" t="str">
        <f aca="false">IFERROR(INDEX('Semrush Data'!$A$1:$Z$20000,MATCH(A1528,'Semrush Data'!$A$1:$A$20000,0),MATCH("Volume",'Semrush Data'!$A$1:$Z$1,0)),"")</f>
        <v/>
      </c>
      <c r="H1528" s="7" t="str">
        <f aca="false">IFERROR(INDEX('Semrush Data'!$A$1:$Z$20000,MATCH(A1528,'Semrush Data'!$A$1:$A$20000,0),MATCH("Keyword Difficulty*",'Semrush Data'!$A$1:$Z$1,0)),"")</f>
        <v/>
      </c>
      <c r="I1528" s="13" t="str">
        <f aca="false">IFERROR(INDEX('Semrush Data'!$A$1:$Z$20000,MATCH(A1528,'Semrush Data'!$A$1:$A$20000,0),MATCH("CPC*",'Semrush Data'!$A$1:$Z$1,0)),"")</f>
        <v/>
      </c>
      <c r="J1528" s="7" t="str">
        <f aca="false">IFERROR(INDEX('Semrush Data'!$A$1:$Z$20000,MATCH(A1528,'Semrush Data'!$A$1:$A$20000,0),MATCH("Intent",'Semrush Data'!$A$1:$Z$1,0)),"")</f>
        <v/>
      </c>
    </row>
    <row r="1529" customFormat="false" ht="15" hidden="false" customHeight="true" outlineLevel="0" collapsed="false">
      <c r="A1529" s="7" t="s">
        <v>4431</v>
      </c>
      <c r="B1529" s="7" t="s">
        <v>6817</v>
      </c>
      <c r="C1529" s="7" t="n">
        <v>2</v>
      </c>
      <c r="D1529" s="7" t="n">
        <v>16</v>
      </c>
      <c r="E1529" s="7" t="n">
        <v>1</v>
      </c>
      <c r="F1529" s="7" t="s">
        <v>4425</v>
      </c>
      <c r="G1529" s="12" t="str">
        <f aca="false">IFERROR(INDEX('Semrush Data'!$A$1:$Z$20000,MATCH(A1529,'Semrush Data'!$A$1:$A$20000,0),MATCH("Volume",'Semrush Data'!$A$1:$Z$1,0)),"")</f>
        <v/>
      </c>
      <c r="H1529" s="7" t="str">
        <f aca="false">IFERROR(INDEX('Semrush Data'!$A$1:$Z$20000,MATCH(A1529,'Semrush Data'!$A$1:$A$20000,0),MATCH("Keyword Difficulty*",'Semrush Data'!$A$1:$Z$1,0)),"")</f>
        <v/>
      </c>
      <c r="I1529" s="13" t="str">
        <f aca="false">IFERROR(INDEX('Semrush Data'!$A$1:$Z$20000,MATCH(A1529,'Semrush Data'!$A$1:$A$20000,0),MATCH("CPC*",'Semrush Data'!$A$1:$Z$1,0)),"")</f>
        <v/>
      </c>
      <c r="J1529" s="7" t="str">
        <f aca="false">IFERROR(INDEX('Semrush Data'!$A$1:$Z$20000,MATCH(A1529,'Semrush Data'!$A$1:$A$20000,0),MATCH("Intent",'Semrush Data'!$A$1:$Z$1,0)),"")</f>
        <v/>
      </c>
    </row>
    <row r="1530" customFormat="false" ht="15" hidden="false" customHeight="true" outlineLevel="0" collapsed="false">
      <c r="A1530" s="7" t="s">
        <v>4441</v>
      </c>
      <c r="B1530" s="7" t="s">
        <v>6817</v>
      </c>
      <c r="C1530" s="7" t="n">
        <v>2</v>
      </c>
      <c r="D1530" s="7" t="n">
        <v>16</v>
      </c>
      <c r="E1530" s="7" t="n">
        <v>1</v>
      </c>
      <c r="F1530" s="7" t="s">
        <v>4435</v>
      </c>
      <c r="G1530" s="12" t="str">
        <f aca="false">IFERROR(INDEX('Semrush Data'!$A$1:$Z$20000,MATCH(A1530,'Semrush Data'!$A$1:$A$20000,0),MATCH("Volume",'Semrush Data'!$A$1:$Z$1,0)),"")</f>
        <v/>
      </c>
      <c r="H1530" s="7" t="str">
        <f aca="false">IFERROR(INDEX('Semrush Data'!$A$1:$Z$20000,MATCH(A1530,'Semrush Data'!$A$1:$A$20000,0),MATCH("Keyword Difficulty*",'Semrush Data'!$A$1:$Z$1,0)),"")</f>
        <v/>
      </c>
      <c r="I1530" s="13" t="str">
        <f aca="false">IFERROR(INDEX('Semrush Data'!$A$1:$Z$20000,MATCH(A1530,'Semrush Data'!$A$1:$A$20000,0),MATCH("CPC*",'Semrush Data'!$A$1:$Z$1,0)),"")</f>
        <v/>
      </c>
      <c r="J1530" s="7" t="str">
        <f aca="false">IFERROR(INDEX('Semrush Data'!$A$1:$Z$20000,MATCH(A1530,'Semrush Data'!$A$1:$A$20000,0),MATCH("Intent",'Semrush Data'!$A$1:$Z$1,0)),"")</f>
        <v/>
      </c>
    </row>
    <row r="1531" customFormat="false" ht="15" hidden="false" customHeight="true" outlineLevel="0" collapsed="false">
      <c r="A1531" s="7" t="s">
        <v>4451</v>
      </c>
      <c r="B1531" s="7" t="s">
        <v>6817</v>
      </c>
      <c r="C1531" s="7" t="n">
        <v>2</v>
      </c>
      <c r="D1531" s="7" t="n">
        <v>16</v>
      </c>
      <c r="E1531" s="7" t="n">
        <v>1</v>
      </c>
      <c r="F1531" s="7" t="s">
        <v>4445</v>
      </c>
      <c r="G1531" s="12" t="str">
        <f aca="false">IFERROR(INDEX('Semrush Data'!$A$1:$Z$20000,MATCH(A1531,'Semrush Data'!$A$1:$A$20000,0),MATCH("Volume",'Semrush Data'!$A$1:$Z$1,0)),"")</f>
        <v/>
      </c>
      <c r="H1531" s="7" t="str">
        <f aca="false">IFERROR(INDEX('Semrush Data'!$A$1:$Z$20000,MATCH(A1531,'Semrush Data'!$A$1:$A$20000,0),MATCH("Keyword Difficulty*",'Semrush Data'!$A$1:$Z$1,0)),"")</f>
        <v/>
      </c>
      <c r="I1531" s="13" t="str">
        <f aca="false">IFERROR(INDEX('Semrush Data'!$A$1:$Z$20000,MATCH(A1531,'Semrush Data'!$A$1:$A$20000,0),MATCH("CPC*",'Semrush Data'!$A$1:$Z$1,0)),"")</f>
        <v/>
      </c>
      <c r="J1531" s="7" t="str">
        <f aca="false">IFERROR(INDEX('Semrush Data'!$A$1:$Z$20000,MATCH(A1531,'Semrush Data'!$A$1:$A$20000,0),MATCH("Intent",'Semrush Data'!$A$1:$Z$1,0)),"")</f>
        <v/>
      </c>
    </row>
    <row r="1532" customFormat="false" ht="15" hidden="false" customHeight="true" outlineLevel="0" collapsed="false">
      <c r="A1532" s="7" t="s">
        <v>4461</v>
      </c>
      <c r="B1532" s="7" t="s">
        <v>6817</v>
      </c>
      <c r="C1532" s="7" t="n">
        <v>2</v>
      </c>
      <c r="D1532" s="7" t="n">
        <v>16</v>
      </c>
      <c r="E1532" s="7" t="n">
        <v>1</v>
      </c>
      <c r="F1532" s="7" t="s">
        <v>4455</v>
      </c>
      <c r="G1532" s="12" t="str">
        <f aca="false">IFERROR(INDEX('Semrush Data'!$A$1:$Z$20000,MATCH(A1532,'Semrush Data'!$A$1:$A$20000,0),MATCH("Volume",'Semrush Data'!$A$1:$Z$1,0)),"")</f>
        <v/>
      </c>
      <c r="H1532" s="7" t="str">
        <f aca="false">IFERROR(INDEX('Semrush Data'!$A$1:$Z$20000,MATCH(A1532,'Semrush Data'!$A$1:$A$20000,0),MATCH("Keyword Difficulty*",'Semrush Data'!$A$1:$Z$1,0)),"")</f>
        <v/>
      </c>
      <c r="I1532" s="13" t="str">
        <f aca="false">IFERROR(INDEX('Semrush Data'!$A$1:$Z$20000,MATCH(A1532,'Semrush Data'!$A$1:$A$20000,0),MATCH("CPC*",'Semrush Data'!$A$1:$Z$1,0)),"")</f>
        <v/>
      </c>
      <c r="J1532" s="7" t="str">
        <f aca="false">IFERROR(INDEX('Semrush Data'!$A$1:$Z$20000,MATCH(A1532,'Semrush Data'!$A$1:$A$20000,0),MATCH("Intent",'Semrush Data'!$A$1:$Z$1,0)),"")</f>
        <v/>
      </c>
    </row>
    <row r="1533" customFormat="false" ht="15" hidden="false" customHeight="true" outlineLevel="0" collapsed="false">
      <c r="A1533" s="7" t="s">
        <v>4471</v>
      </c>
      <c r="B1533" s="7" t="s">
        <v>6817</v>
      </c>
      <c r="C1533" s="7" t="n">
        <v>2</v>
      </c>
      <c r="D1533" s="7" t="n">
        <v>16</v>
      </c>
      <c r="E1533" s="7" t="n">
        <v>1</v>
      </c>
      <c r="F1533" s="7" t="s">
        <v>4465</v>
      </c>
      <c r="G1533" s="12" t="str">
        <f aca="false">IFERROR(INDEX('Semrush Data'!$A$1:$Z$20000,MATCH(A1533,'Semrush Data'!$A$1:$A$20000,0),MATCH("Volume",'Semrush Data'!$A$1:$Z$1,0)),"")</f>
        <v/>
      </c>
      <c r="H1533" s="7" t="str">
        <f aca="false">IFERROR(INDEX('Semrush Data'!$A$1:$Z$20000,MATCH(A1533,'Semrush Data'!$A$1:$A$20000,0),MATCH("Keyword Difficulty*",'Semrush Data'!$A$1:$Z$1,0)),"")</f>
        <v/>
      </c>
      <c r="I1533" s="13" t="str">
        <f aca="false">IFERROR(INDEX('Semrush Data'!$A$1:$Z$20000,MATCH(A1533,'Semrush Data'!$A$1:$A$20000,0),MATCH("CPC*",'Semrush Data'!$A$1:$Z$1,0)),"")</f>
        <v/>
      </c>
      <c r="J1533" s="7" t="str">
        <f aca="false">IFERROR(INDEX('Semrush Data'!$A$1:$Z$20000,MATCH(A1533,'Semrush Data'!$A$1:$A$20000,0),MATCH("Intent",'Semrush Data'!$A$1:$Z$1,0)),"")</f>
        <v/>
      </c>
    </row>
    <row r="1534" customFormat="false" ht="15" hidden="false" customHeight="true" outlineLevel="0" collapsed="false">
      <c r="A1534" s="7" t="s">
        <v>4482</v>
      </c>
      <c r="B1534" s="7" t="s">
        <v>6817</v>
      </c>
      <c r="C1534" s="7" t="n">
        <v>2</v>
      </c>
      <c r="D1534" s="7" t="n">
        <v>16</v>
      </c>
      <c r="E1534" s="7" t="n">
        <v>1</v>
      </c>
      <c r="F1534" s="7" t="s">
        <v>4476</v>
      </c>
      <c r="G1534" s="12" t="str">
        <f aca="false">IFERROR(INDEX('Semrush Data'!$A$1:$Z$20000,MATCH(A1534,'Semrush Data'!$A$1:$A$20000,0),MATCH("Volume",'Semrush Data'!$A$1:$Z$1,0)),"")</f>
        <v/>
      </c>
      <c r="H1534" s="7" t="str">
        <f aca="false">IFERROR(INDEX('Semrush Data'!$A$1:$Z$20000,MATCH(A1534,'Semrush Data'!$A$1:$A$20000,0),MATCH("Keyword Difficulty*",'Semrush Data'!$A$1:$Z$1,0)),"")</f>
        <v/>
      </c>
      <c r="I1534" s="13" t="str">
        <f aca="false">IFERROR(INDEX('Semrush Data'!$A$1:$Z$20000,MATCH(A1534,'Semrush Data'!$A$1:$A$20000,0),MATCH("CPC*",'Semrush Data'!$A$1:$Z$1,0)),"")</f>
        <v/>
      </c>
      <c r="J1534" s="7" t="str">
        <f aca="false">IFERROR(INDEX('Semrush Data'!$A$1:$Z$20000,MATCH(A1534,'Semrush Data'!$A$1:$A$20000,0),MATCH("Intent",'Semrush Data'!$A$1:$Z$1,0)),"")</f>
        <v/>
      </c>
    </row>
    <row r="1535" customFormat="false" ht="15" hidden="false" customHeight="true" outlineLevel="0" collapsed="false">
      <c r="A1535" s="7" t="s">
        <v>4492</v>
      </c>
      <c r="B1535" s="7" t="s">
        <v>6817</v>
      </c>
      <c r="C1535" s="7" t="n">
        <v>2</v>
      </c>
      <c r="D1535" s="7" t="n">
        <v>16</v>
      </c>
      <c r="E1535" s="7" t="n">
        <v>1</v>
      </c>
      <c r="F1535" s="7" t="s">
        <v>4486</v>
      </c>
      <c r="G1535" s="12" t="str">
        <f aca="false">IFERROR(INDEX('Semrush Data'!$A$1:$Z$20000,MATCH(A1535,'Semrush Data'!$A$1:$A$20000,0),MATCH("Volume",'Semrush Data'!$A$1:$Z$1,0)),"")</f>
        <v/>
      </c>
      <c r="H1535" s="7" t="str">
        <f aca="false">IFERROR(INDEX('Semrush Data'!$A$1:$Z$20000,MATCH(A1535,'Semrush Data'!$A$1:$A$20000,0),MATCH("Keyword Difficulty*",'Semrush Data'!$A$1:$Z$1,0)),"")</f>
        <v/>
      </c>
      <c r="I1535" s="13" t="str">
        <f aca="false">IFERROR(INDEX('Semrush Data'!$A$1:$Z$20000,MATCH(A1535,'Semrush Data'!$A$1:$A$20000,0),MATCH("CPC*",'Semrush Data'!$A$1:$Z$1,0)),"")</f>
        <v/>
      </c>
      <c r="J1535" s="7" t="str">
        <f aca="false">IFERROR(INDEX('Semrush Data'!$A$1:$Z$20000,MATCH(A1535,'Semrush Data'!$A$1:$A$20000,0),MATCH("Intent",'Semrush Data'!$A$1:$Z$1,0)),"")</f>
        <v/>
      </c>
    </row>
    <row r="1536" customFormat="false" ht="15" hidden="false" customHeight="true" outlineLevel="0" collapsed="false">
      <c r="A1536" s="7" t="s">
        <v>4502</v>
      </c>
      <c r="B1536" s="7" t="s">
        <v>6817</v>
      </c>
      <c r="C1536" s="7" t="n">
        <v>2</v>
      </c>
      <c r="D1536" s="7" t="n">
        <v>16</v>
      </c>
      <c r="E1536" s="7" t="n">
        <v>1</v>
      </c>
      <c r="F1536" s="7" t="s">
        <v>4496</v>
      </c>
      <c r="G1536" s="12" t="str">
        <f aca="false">IFERROR(INDEX('Semrush Data'!$A$1:$Z$20000,MATCH(A1536,'Semrush Data'!$A$1:$A$20000,0),MATCH("Volume",'Semrush Data'!$A$1:$Z$1,0)),"")</f>
        <v/>
      </c>
      <c r="H1536" s="7" t="str">
        <f aca="false">IFERROR(INDEX('Semrush Data'!$A$1:$Z$20000,MATCH(A1536,'Semrush Data'!$A$1:$A$20000,0),MATCH("Keyword Difficulty*",'Semrush Data'!$A$1:$Z$1,0)),"")</f>
        <v/>
      </c>
      <c r="I1536" s="13" t="str">
        <f aca="false">IFERROR(INDEX('Semrush Data'!$A$1:$Z$20000,MATCH(A1536,'Semrush Data'!$A$1:$A$20000,0),MATCH("CPC*",'Semrush Data'!$A$1:$Z$1,0)),"")</f>
        <v/>
      </c>
      <c r="J1536" s="7" t="str">
        <f aca="false">IFERROR(INDEX('Semrush Data'!$A$1:$Z$20000,MATCH(A1536,'Semrush Data'!$A$1:$A$20000,0),MATCH("Intent",'Semrush Data'!$A$1:$Z$1,0)),"")</f>
        <v/>
      </c>
    </row>
    <row r="1537" customFormat="false" ht="15" hidden="false" customHeight="true" outlineLevel="0" collapsed="false">
      <c r="A1537" s="7" t="s">
        <v>4512</v>
      </c>
      <c r="B1537" s="7" t="s">
        <v>6817</v>
      </c>
      <c r="C1537" s="7" t="n">
        <v>2</v>
      </c>
      <c r="D1537" s="7" t="n">
        <v>16</v>
      </c>
      <c r="E1537" s="7" t="n">
        <v>1</v>
      </c>
      <c r="F1537" s="7" t="s">
        <v>4506</v>
      </c>
      <c r="G1537" s="12" t="str">
        <f aca="false">IFERROR(INDEX('Semrush Data'!$A$1:$Z$20000,MATCH(A1537,'Semrush Data'!$A$1:$A$20000,0),MATCH("Volume",'Semrush Data'!$A$1:$Z$1,0)),"")</f>
        <v/>
      </c>
      <c r="H1537" s="7" t="str">
        <f aca="false">IFERROR(INDEX('Semrush Data'!$A$1:$Z$20000,MATCH(A1537,'Semrush Data'!$A$1:$A$20000,0),MATCH("Keyword Difficulty*",'Semrush Data'!$A$1:$Z$1,0)),"")</f>
        <v/>
      </c>
      <c r="I1537" s="13" t="str">
        <f aca="false">IFERROR(INDEX('Semrush Data'!$A$1:$Z$20000,MATCH(A1537,'Semrush Data'!$A$1:$A$20000,0),MATCH("CPC*",'Semrush Data'!$A$1:$Z$1,0)),"")</f>
        <v/>
      </c>
      <c r="J1537" s="7" t="str">
        <f aca="false">IFERROR(INDEX('Semrush Data'!$A$1:$Z$20000,MATCH(A1537,'Semrush Data'!$A$1:$A$20000,0),MATCH("Intent",'Semrush Data'!$A$1:$Z$1,0)),"")</f>
        <v/>
      </c>
    </row>
    <row r="1538" customFormat="false" ht="15" hidden="false" customHeight="true" outlineLevel="0" collapsed="false">
      <c r="A1538" s="7" t="s">
        <v>4522</v>
      </c>
      <c r="B1538" s="7" t="s">
        <v>6817</v>
      </c>
      <c r="C1538" s="7" t="n">
        <v>2</v>
      </c>
      <c r="D1538" s="7" t="n">
        <v>16</v>
      </c>
      <c r="E1538" s="7" t="n">
        <v>1</v>
      </c>
      <c r="F1538" s="7" t="s">
        <v>4516</v>
      </c>
      <c r="G1538" s="12" t="str">
        <f aca="false">IFERROR(INDEX('Semrush Data'!$A$1:$Z$20000,MATCH(A1538,'Semrush Data'!$A$1:$A$20000,0),MATCH("Volume",'Semrush Data'!$A$1:$Z$1,0)),"")</f>
        <v/>
      </c>
      <c r="H1538" s="7" t="str">
        <f aca="false">IFERROR(INDEX('Semrush Data'!$A$1:$Z$20000,MATCH(A1538,'Semrush Data'!$A$1:$A$20000,0),MATCH("Keyword Difficulty*",'Semrush Data'!$A$1:$Z$1,0)),"")</f>
        <v/>
      </c>
      <c r="I1538" s="13" t="str">
        <f aca="false">IFERROR(INDEX('Semrush Data'!$A$1:$Z$20000,MATCH(A1538,'Semrush Data'!$A$1:$A$20000,0),MATCH("CPC*",'Semrush Data'!$A$1:$Z$1,0)),"")</f>
        <v/>
      </c>
      <c r="J1538" s="7" t="str">
        <f aca="false">IFERROR(INDEX('Semrush Data'!$A$1:$Z$20000,MATCH(A1538,'Semrush Data'!$A$1:$A$20000,0),MATCH("Intent",'Semrush Data'!$A$1:$Z$1,0)),"")</f>
        <v/>
      </c>
    </row>
    <row r="1539" customFormat="false" ht="15" hidden="false" customHeight="true" outlineLevel="0" collapsed="false">
      <c r="A1539" s="7" t="s">
        <v>4532</v>
      </c>
      <c r="B1539" s="7" t="s">
        <v>6817</v>
      </c>
      <c r="C1539" s="7" t="n">
        <v>2</v>
      </c>
      <c r="D1539" s="7" t="n">
        <v>16</v>
      </c>
      <c r="E1539" s="7" t="n">
        <v>1</v>
      </c>
      <c r="F1539" s="7" t="s">
        <v>4526</v>
      </c>
      <c r="G1539" s="12" t="str">
        <f aca="false">IFERROR(INDEX('Semrush Data'!$A$1:$Z$20000,MATCH(A1539,'Semrush Data'!$A$1:$A$20000,0),MATCH("Volume",'Semrush Data'!$A$1:$Z$1,0)),"")</f>
        <v/>
      </c>
      <c r="H1539" s="7" t="str">
        <f aca="false">IFERROR(INDEX('Semrush Data'!$A$1:$Z$20000,MATCH(A1539,'Semrush Data'!$A$1:$A$20000,0),MATCH("Keyword Difficulty*",'Semrush Data'!$A$1:$Z$1,0)),"")</f>
        <v/>
      </c>
      <c r="I1539" s="13" t="str">
        <f aca="false">IFERROR(INDEX('Semrush Data'!$A$1:$Z$20000,MATCH(A1539,'Semrush Data'!$A$1:$A$20000,0),MATCH("CPC*",'Semrush Data'!$A$1:$Z$1,0)),"")</f>
        <v/>
      </c>
      <c r="J1539" s="7" t="str">
        <f aca="false">IFERROR(INDEX('Semrush Data'!$A$1:$Z$20000,MATCH(A1539,'Semrush Data'!$A$1:$A$20000,0),MATCH("Intent",'Semrush Data'!$A$1:$Z$1,0)),"")</f>
        <v/>
      </c>
    </row>
    <row r="1540" customFormat="false" ht="15" hidden="false" customHeight="true" outlineLevel="0" collapsed="false">
      <c r="A1540" s="7" t="s">
        <v>4542</v>
      </c>
      <c r="B1540" s="7" t="s">
        <v>6817</v>
      </c>
      <c r="C1540" s="7" t="n">
        <v>2</v>
      </c>
      <c r="D1540" s="7" t="n">
        <v>16</v>
      </c>
      <c r="E1540" s="7" t="n">
        <v>1</v>
      </c>
      <c r="F1540" s="7" t="s">
        <v>4536</v>
      </c>
      <c r="G1540" s="12" t="str">
        <f aca="false">IFERROR(INDEX('Semrush Data'!$A$1:$Z$20000,MATCH(A1540,'Semrush Data'!$A$1:$A$20000,0),MATCH("Volume",'Semrush Data'!$A$1:$Z$1,0)),"")</f>
        <v/>
      </c>
      <c r="H1540" s="7" t="str">
        <f aca="false">IFERROR(INDEX('Semrush Data'!$A$1:$Z$20000,MATCH(A1540,'Semrush Data'!$A$1:$A$20000,0),MATCH("Keyword Difficulty*",'Semrush Data'!$A$1:$Z$1,0)),"")</f>
        <v/>
      </c>
      <c r="I1540" s="13" t="str">
        <f aca="false">IFERROR(INDEX('Semrush Data'!$A$1:$Z$20000,MATCH(A1540,'Semrush Data'!$A$1:$A$20000,0),MATCH("CPC*",'Semrush Data'!$A$1:$Z$1,0)),"")</f>
        <v/>
      </c>
      <c r="J1540" s="7" t="str">
        <f aca="false">IFERROR(INDEX('Semrush Data'!$A$1:$Z$20000,MATCH(A1540,'Semrush Data'!$A$1:$A$20000,0),MATCH("Intent",'Semrush Data'!$A$1:$Z$1,0)),"")</f>
        <v/>
      </c>
    </row>
    <row r="1541" customFormat="false" ht="15" hidden="false" customHeight="true" outlineLevel="0" collapsed="false">
      <c r="A1541" s="7" t="s">
        <v>5371</v>
      </c>
      <c r="B1541" s="7" t="s">
        <v>6817</v>
      </c>
      <c r="C1541" s="7" t="n">
        <v>2</v>
      </c>
      <c r="D1541" s="7" t="n">
        <v>16</v>
      </c>
      <c r="E1541" s="7" t="n">
        <v>1</v>
      </c>
      <c r="F1541" s="7" t="s">
        <v>5363</v>
      </c>
      <c r="G1541" s="12" t="str">
        <f aca="false">IFERROR(INDEX('Semrush Data'!$A$1:$Z$20000,MATCH(A1541,'Semrush Data'!$A$1:$A$20000,0),MATCH("Volume",'Semrush Data'!$A$1:$Z$1,0)),"")</f>
        <v/>
      </c>
      <c r="H1541" s="7" t="str">
        <f aca="false">IFERROR(INDEX('Semrush Data'!$A$1:$Z$20000,MATCH(A1541,'Semrush Data'!$A$1:$A$20000,0),MATCH("Keyword Difficulty*",'Semrush Data'!$A$1:$Z$1,0)),"")</f>
        <v/>
      </c>
      <c r="I1541" s="13" t="str">
        <f aca="false">IFERROR(INDEX('Semrush Data'!$A$1:$Z$20000,MATCH(A1541,'Semrush Data'!$A$1:$A$20000,0),MATCH("CPC*",'Semrush Data'!$A$1:$Z$1,0)),"")</f>
        <v/>
      </c>
      <c r="J1541" s="7" t="str">
        <f aca="false">IFERROR(INDEX('Semrush Data'!$A$1:$Z$20000,MATCH(A1541,'Semrush Data'!$A$1:$A$20000,0),MATCH("Intent",'Semrush Data'!$A$1:$Z$1,0)),"")</f>
        <v/>
      </c>
    </row>
    <row r="1542" customFormat="false" ht="15" hidden="false" customHeight="true" outlineLevel="0" collapsed="false">
      <c r="A1542" s="7" t="s">
        <v>5384</v>
      </c>
      <c r="B1542" s="7" t="s">
        <v>6817</v>
      </c>
      <c r="C1542" s="7" t="n">
        <v>2</v>
      </c>
      <c r="D1542" s="7" t="s">
        <v>6816</v>
      </c>
      <c r="E1542" s="7" t="n">
        <v>1</v>
      </c>
      <c r="F1542" s="7" t="s">
        <v>5377</v>
      </c>
      <c r="G1542" s="12" t="n">
        <f aca="false">IFERROR(INDEX('Semrush Data'!$A$1:$Z$20000,MATCH(A1542,'Semrush Data'!$A$1:$A$20000,0),MATCH("Volume",'Semrush Data'!$A$1:$Z$1,0)),"")</f>
        <v>30</v>
      </c>
      <c r="H1542" s="7" t="n">
        <f aca="false">IFERROR(INDEX('Semrush Data'!$A$1:$Z$20000,MATCH(A1542,'Semrush Data'!$A$1:$A$20000,0),MATCH("Keyword Difficulty*",'Semrush Data'!$A$1:$Z$1,0)),"")</f>
        <v>10</v>
      </c>
      <c r="I1542" s="13" t="n">
        <f aca="false">IFERROR(INDEX('Semrush Data'!$A$1:$Z$20000,MATCH(A1542,'Semrush Data'!$A$1:$A$20000,0),MATCH("CPC*",'Semrush Data'!$A$1:$Z$1,0)),"")</f>
        <v>0</v>
      </c>
      <c r="J1542" s="7" t="str">
        <f aca="false">IFERROR(INDEX('Semrush Data'!$A$1:$Z$20000,MATCH(A1542,'Semrush Data'!$A$1:$A$20000,0),MATCH("Intent",'Semrush Data'!$A$1:$Z$1,0)),"")</f>
        <v>Informational Transactional</v>
      </c>
    </row>
    <row r="1543" customFormat="false" ht="15" hidden="false" customHeight="true" outlineLevel="0" collapsed="false">
      <c r="A1543" s="7" t="s">
        <v>5437</v>
      </c>
      <c r="B1543" s="7" t="s">
        <v>6817</v>
      </c>
      <c r="C1543" s="7" t="n">
        <v>2</v>
      </c>
      <c r="D1543" s="7" t="n">
        <v>16</v>
      </c>
      <c r="E1543" s="7" t="n">
        <v>1</v>
      </c>
      <c r="F1543" s="7" t="s">
        <v>5431</v>
      </c>
      <c r="G1543" s="12" t="str">
        <f aca="false">IFERROR(INDEX('Semrush Data'!$A$1:$Z$20000,MATCH(A1543,'Semrush Data'!$A$1:$A$20000,0),MATCH("Volume",'Semrush Data'!$A$1:$Z$1,0)),"")</f>
        <v/>
      </c>
      <c r="H1543" s="7" t="str">
        <f aca="false">IFERROR(INDEX('Semrush Data'!$A$1:$Z$20000,MATCH(A1543,'Semrush Data'!$A$1:$A$20000,0),MATCH("Keyword Difficulty*",'Semrush Data'!$A$1:$Z$1,0)),"")</f>
        <v/>
      </c>
      <c r="I1543" s="13" t="str">
        <f aca="false">IFERROR(INDEX('Semrush Data'!$A$1:$Z$20000,MATCH(A1543,'Semrush Data'!$A$1:$A$20000,0),MATCH("CPC*",'Semrush Data'!$A$1:$Z$1,0)),"")</f>
        <v/>
      </c>
      <c r="J1543" s="7" t="str">
        <f aca="false">IFERROR(INDEX('Semrush Data'!$A$1:$Z$20000,MATCH(A1543,'Semrush Data'!$A$1:$A$20000,0),MATCH("Intent",'Semrush Data'!$A$1:$Z$1,0)),"")</f>
        <v/>
      </c>
    </row>
    <row r="1544" customFormat="false" ht="15" hidden="false" customHeight="true" outlineLevel="0" collapsed="false">
      <c r="A1544" s="7" t="s">
        <v>5426</v>
      </c>
      <c r="B1544" s="7" t="s">
        <v>6817</v>
      </c>
      <c r="C1544" s="7" t="n">
        <v>2</v>
      </c>
      <c r="D1544" s="7" t="n">
        <v>16</v>
      </c>
      <c r="E1544" s="7" t="n">
        <v>1</v>
      </c>
      <c r="F1544" s="7" t="s">
        <v>5420</v>
      </c>
      <c r="G1544" s="12" t="str">
        <f aca="false">IFERROR(INDEX('Semrush Data'!$A$1:$Z$20000,MATCH(A1544,'Semrush Data'!$A$1:$A$20000,0),MATCH("Volume",'Semrush Data'!$A$1:$Z$1,0)),"")</f>
        <v/>
      </c>
      <c r="H1544" s="7" t="str">
        <f aca="false">IFERROR(INDEX('Semrush Data'!$A$1:$Z$20000,MATCH(A1544,'Semrush Data'!$A$1:$A$20000,0),MATCH("Keyword Difficulty*",'Semrush Data'!$A$1:$Z$1,0)),"")</f>
        <v/>
      </c>
      <c r="I1544" s="13" t="str">
        <f aca="false">IFERROR(INDEX('Semrush Data'!$A$1:$Z$20000,MATCH(A1544,'Semrush Data'!$A$1:$A$20000,0),MATCH("CPC*",'Semrush Data'!$A$1:$Z$1,0)),"")</f>
        <v/>
      </c>
      <c r="J1544" s="7" t="str">
        <f aca="false">IFERROR(INDEX('Semrush Data'!$A$1:$Z$20000,MATCH(A1544,'Semrush Data'!$A$1:$A$20000,0),MATCH("Intent",'Semrush Data'!$A$1:$Z$1,0)),"")</f>
        <v/>
      </c>
    </row>
    <row r="1545" customFormat="false" ht="15" hidden="false" customHeight="true" outlineLevel="0" collapsed="false">
      <c r="A1545" s="7" t="s">
        <v>5395</v>
      </c>
      <c r="B1545" s="7" t="s">
        <v>6817</v>
      </c>
      <c r="C1545" s="7" t="n">
        <v>2</v>
      </c>
      <c r="D1545" s="7" t="s">
        <v>6815</v>
      </c>
      <c r="E1545" s="7" t="n">
        <v>1</v>
      </c>
      <c r="F1545" s="7" t="s">
        <v>74</v>
      </c>
      <c r="G1545" s="12" t="n">
        <f aca="false">IFERROR(INDEX('Semrush Data'!$A$1:$Z$20000,MATCH(A1545,'Semrush Data'!$A$1:$A$20000,0),MATCH("Volume",'Semrush Data'!$A$1:$Z$1,0)),"")</f>
        <v>50</v>
      </c>
      <c r="H1545" s="7" t="n">
        <f aca="false">IFERROR(INDEX('Semrush Data'!$A$1:$Z$20000,MATCH(A1545,'Semrush Data'!$A$1:$A$20000,0),MATCH("Keyword Difficulty*",'Semrush Data'!$A$1:$Z$1,0)),"")</f>
        <v>19</v>
      </c>
      <c r="I1545" s="13" t="n">
        <f aca="false">IFERROR(INDEX('Semrush Data'!$A$1:$Z$20000,MATCH(A1545,'Semrush Data'!$A$1:$A$20000,0),MATCH("CPC*",'Semrush Data'!$A$1:$Z$1,0)),"")</f>
        <v>0</v>
      </c>
      <c r="J1545" s="7" t="str">
        <f aca="false">IFERROR(INDEX('Semrush Data'!$A$1:$Z$20000,MATCH(A1545,'Semrush Data'!$A$1:$A$20000,0),MATCH("Intent",'Semrush Data'!$A$1:$Z$1,0)),"")</f>
        <v>Informational</v>
      </c>
    </row>
    <row r="1546" customFormat="false" ht="15" hidden="false" customHeight="true" outlineLevel="0" collapsed="false">
      <c r="A1546" s="7" t="s">
        <v>5405</v>
      </c>
      <c r="B1546" s="7" t="s">
        <v>6817</v>
      </c>
      <c r="C1546" s="7" t="n">
        <v>2</v>
      </c>
      <c r="D1546" s="7" t="s">
        <v>6815</v>
      </c>
      <c r="E1546" s="7" t="n">
        <v>1</v>
      </c>
      <c r="F1546" s="7" t="s">
        <v>58</v>
      </c>
      <c r="G1546" s="12" t="n">
        <f aca="false">IFERROR(INDEX('Semrush Data'!$A$1:$Z$20000,MATCH(A1546,'Semrush Data'!$A$1:$A$20000,0),MATCH("Volume",'Semrush Data'!$A$1:$Z$1,0)),"")</f>
        <v>210</v>
      </c>
      <c r="H1546" s="7" t="n">
        <f aca="false">IFERROR(INDEX('Semrush Data'!$A$1:$Z$20000,MATCH(A1546,'Semrush Data'!$A$1:$A$20000,0),MATCH("Keyword Difficulty*",'Semrush Data'!$A$1:$Z$1,0)),"")</f>
        <v>15</v>
      </c>
      <c r="I1546" s="13" t="n">
        <f aca="false">IFERROR(INDEX('Semrush Data'!$A$1:$Z$20000,MATCH(A1546,'Semrush Data'!$A$1:$A$20000,0),MATCH("CPC*",'Semrush Data'!$A$1:$Z$1,0)),"")</f>
        <v>0.51</v>
      </c>
      <c r="J1546" s="7" t="str">
        <f aca="false">IFERROR(INDEX('Semrush Data'!$A$1:$Z$20000,MATCH(A1546,'Semrush Data'!$A$1:$A$20000,0),MATCH("Intent",'Semrush Data'!$A$1:$Z$1,0)),"")</f>
        <v>Informational Transactional</v>
      </c>
    </row>
    <row r="1547" customFormat="false" ht="15" hidden="false" customHeight="true" outlineLevel="0" collapsed="false">
      <c r="A1547" s="7" t="s">
        <v>5416</v>
      </c>
      <c r="B1547" s="7" t="s">
        <v>6817</v>
      </c>
      <c r="C1547" s="7" t="n">
        <v>2</v>
      </c>
      <c r="D1547" s="7" t="n">
        <v>16</v>
      </c>
      <c r="E1547" s="7" t="n">
        <v>1</v>
      </c>
      <c r="F1547" s="7" t="s">
        <v>5410</v>
      </c>
      <c r="G1547" s="12" t="str">
        <f aca="false">IFERROR(INDEX('Semrush Data'!$A$1:$Z$20000,MATCH(A1547,'Semrush Data'!$A$1:$A$20000,0),MATCH("Volume",'Semrush Data'!$A$1:$Z$1,0)),"")</f>
        <v/>
      </c>
      <c r="H1547" s="7" t="str">
        <f aca="false">IFERROR(INDEX('Semrush Data'!$A$1:$Z$20000,MATCH(A1547,'Semrush Data'!$A$1:$A$20000,0),MATCH("Keyword Difficulty*",'Semrush Data'!$A$1:$Z$1,0)),"")</f>
        <v/>
      </c>
      <c r="I1547" s="13" t="str">
        <f aca="false">IFERROR(INDEX('Semrush Data'!$A$1:$Z$20000,MATCH(A1547,'Semrush Data'!$A$1:$A$20000,0),MATCH("CPC*",'Semrush Data'!$A$1:$Z$1,0)),"")</f>
        <v/>
      </c>
      <c r="J1547" s="7" t="str">
        <f aca="false">IFERROR(INDEX('Semrush Data'!$A$1:$Z$20000,MATCH(A1547,'Semrush Data'!$A$1:$A$20000,0),MATCH("Intent",'Semrush Data'!$A$1:$Z$1,0)),"")</f>
        <v/>
      </c>
    </row>
    <row r="1548" customFormat="false" ht="15" hidden="false" customHeight="true" outlineLevel="0" collapsed="false">
      <c r="A1548" s="7" t="s">
        <v>5448</v>
      </c>
      <c r="B1548" s="7" t="s">
        <v>6817</v>
      </c>
      <c r="C1548" s="7" t="n">
        <v>2</v>
      </c>
      <c r="D1548" s="7" t="n">
        <v>16</v>
      </c>
      <c r="E1548" s="7" t="n">
        <v>1</v>
      </c>
      <c r="F1548" s="7" t="s">
        <v>5442</v>
      </c>
      <c r="G1548" s="12" t="str">
        <f aca="false">IFERROR(INDEX('Semrush Data'!$A$1:$Z$20000,MATCH(A1548,'Semrush Data'!$A$1:$A$20000,0),MATCH("Volume",'Semrush Data'!$A$1:$Z$1,0)),"")</f>
        <v/>
      </c>
      <c r="H1548" s="7" t="str">
        <f aca="false">IFERROR(INDEX('Semrush Data'!$A$1:$Z$20000,MATCH(A1548,'Semrush Data'!$A$1:$A$20000,0),MATCH("Keyword Difficulty*",'Semrush Data'!$A$1:$Z$1,0)),"")</f>
        <v/>
      </c>
      <c r="I1548" s="13" t="str">
        <f aca="false">IFERROR(INDEX('Semrush Data'!$A$1:$Z$20000,MATCH(A1548,'Semrush Data'!$A$1:$A$20000,0),MATCH("CPC*",'Semrush Data'!$A$1:$Z$1,0)),"")</f>
        <v/>
      </c>
      <c r="J1548" s="7" t="str">
        <f aca="false">IFERROR(INDEX('Semrush Data'!$A$1:$Z$20000,MATCH(A1548,'Semrush Data'!$A$1:$A$20000,0),MATCH("Intent",'Semrush Data'!$A$1:$Z$1,0)),"")</f>
        <v/>
      </c>
    </row>
    <row r="1549" customFormat="false" ht="15" hidden="false" customHeight="true" outlineLevel="0" collapsed="false">
      <c r="A1549" s="7" t="s">
        <v>5470</v>
      </c>
      <c r="B1549" s="7" t="s">
        <v>6817</v>
      </c>
      <c r="C1549" s="7" t="n">
        <v>2</v>
      </c>
      <c r="D1549" s="7" t="n">
        <v>16</v>
      </c>
      <c r="E1549" s="7" t="n">
        <v>1</v>
      </c>
      <c r="F1549" s="7" t="s">
        <v>5462</v>
      </c>
      <c r="G1549" s="12" t="str">
        <f aca="false">IFERROR(INDEX('Semrush Data'!$A$1:$Z$20000,MATCH(A1549,'Semrush Data'!$A$1:$A$20000,0),MATCH("Volume",'Semrush Data'!$A$1:$Z$1,0)),"")</f>
        <v/>
      </c>
      <c r="H1549" s="7" t="str">
        <f aca="false">IFERROR(INDEX('Semrush Data'!$A$1:$Z$20000,MATCH(A1549,'Semrush Data'!$A$1:$A$20000,0),MATCH("Keyword Difficulty*",'Semrush Data'!$A$1:$Z$1,0)),"")</f>
        <v/>
      </c>
      <c r="I1549" s="13" t="str">
        <f aca="false">IFERROR(INDEX('Semrush Data'!$A$1:$Z$20000,MATCH(A1549,'Semrush Data'!$A$1:$A$20000,0),MATCH("CPC*",'Semrush Data'!$A$1:$Z$1,0)),"")</f>
        <v/>
      </c>
      <c r="J1549" s="7" t="str">
        <f aca="false">IFERROR(INDEX('Semrush Data'!$A$1:$Z$20000,MATCH(A1549,'Semrush Data'!$A$1:$A$20000,0),MATCH("Intent",'Semrush Data'!$A$1:$Z$1,0)),"")</f>
        <v/>
      </c>
    </row>
    <row r="1550" customFormat="false" ht="15" hidden="false" customHeight="true" outlineLevel="0" collapsed="false">
      <c r="A1550" s="7" t="s">
        <v>5482</v>
      </c>
      <c r="B1550" s="7" t="s">
        <v>6817</v>
      </c>
      <c r="C1550" s="7" t="n">
        <v>2</v>
      </c>
      <c r="D1550" s="7" t="n">
        <v>16</v>
      </c>
      <c r="E1550" s="7" t="n">
        <v>1</v>
      </c>
      <c r="F1550" s="7" t="s">
        <v>5476</v>
      </c>
      <c r="G1550" s="12" t="str">
        <f aca="false">IFERROR(INDEX('Semrush Data'!$A$1:$Z$20000,MATCH(A1550,'Semrush Data'!$A$1:$A$20000,0),MATCH("Volume",'Semrush Data'!$A$1:$Z$1,0)),"")</f>
        <v/>
      </c>
      <c r="H1550" s="7" t="str">
        <f aca="false">IFERROR(INDEX('Semrush Data'!$A$1:$Z$20000,MATCH(A1550,'Semrush Data'!$A$1:$A$20000,0),MATCH("Keyword Difficulty*",'Semrush Data'!$A$1:$Z$1,0)),"")</f>
        <v/>
      </c>
      <c r="I1550" s="13" t="str">
        <f aca="false">IFERROR(INDEX('Semrush Data'!$A$1:$Z$20000,MATCH(A1550,'Semrush Data'!$A$1:$A$20000,0),MATCH("CPC*",'Semrush Data'!$A$1:$Z$1,0)),"")</f>
        <v/>
      </c>
      <c r="J1550" s="7" t="str">
        <f aca="false">IFERROR(INDEX('Semrush Data'!$A$1:$Z$20000,MATCH(A1550,'Semrush Data'!$A$1:$A$20000,0),MATCH("Intent",'Semrush Data'!$A$1:$Z$1,0)),"")</f>
        <v/>
      </c>
    </row>
    <row r="1551" customFormat="false" ht="15" hidden="false" customHeight="true" outlineLevel="0" collapsed="false">
      <c r="A1551" s="7" t="s">
        <v>5516</v>
      </c>
      <c r="B1551" s="7" t="s">
        <v>6817</v>
      </c>
      <c r="C1551" s="7" t="n">
        <v>2</v>
      </c>
      <c r="D1551" s="7" t="s">
        <v>6815</v>
      </c>
      <c r="E1551" s="7" t="n">
        <v>2</v>
      </c>
      <c r="F1551" s="7" t="s">
        <v>6808</v>
      </c>
      <c r="G1551" s="12" t="n">
        <f aca="false">IFERROR(INDEX('Semrush Data'!$A$1:$Z$20000,MATCH(A1551,'Semrush Data'!$A$1:$A$20000,0),MATCH("Volume",'Semrush Data'!$A$1:$Z$1,0)),"")</f>
        <v>20</v>
      </c>
      <c r="H1551" s="7" t="n">
        <f aca="false">IFERROR(INDEX('Semrush Data'!$A$1:$Z$20000,MATCH(A1551,'Semrush Data'!$A$1:$A$20000,0),MATCH("Keyword Difficulty*",'Semrush Data'!$A$1:$Z$1,0)),"")</f>
        <v>16</v>
      </c>
      <c r="I1551" s="13" t="n">
        <f aca="false">IFERROR(INDEX('Semrush Data'!$A$1:$Z$20000,MATCH(A1551,'Semrush Data'!$A$1:$A$20000,0),MATCH("CPC*",'Semrush Data'!$A$1:$Z$1,0)),"")</f>
        <v>0.5</v>
      </c>
      <c r="J1551" s="7" t="str">
        <f aca="false">IFERROR(INDEX('Semrush Data'!$A$1:$Z$20000,MATCH(A1551,'Semrush Data'!$A$1:$A$20000,0),MATCH("Intent",'Semrush Data'!$A$1:$Z$1,0)),"")</f>
        <v>Informational Transactional</v>
      </c>
    </row>
    <row r="1552" customFormat="false" ht="15" hidden="false" customHeight="true" outlineLevel="0" collapsed="false">
      <c r="A1552" s="7" t="s">
        <v>5495</v>
      </c>
      <c r="B1552" s="7" t="s">
        <v>6817</v>
      </c>
      <c r="C1552" s="7" t="n">
        <v>2</v>
      </c>
      <c r="D1552" s="7" t="n">
        <v>16</v>
      </c>
      <c r="E1552" s="7" t="n">
        <v>1</v>
      </c>
      <c r="F1552" s="7" t="s">
        <v>5488</v>
      </c>
      <c r="G1552" s="12" t="str">
        <f aca="false">IFERROR(INDEX('Semrush Data'!$A$1:$Z$20000,MATCH(A1552,'Semrush Data'!$A$1:$A$20000,0),MATCH("Volume",'Semrush Data'!$A$1:$Z$1,0)),"")</f>
        <v/>
      </c>
      <c r="H1552" s="7" t="str">
        <f aca="false">IFERROR(INDEX('Semrush Data'!$A$1:$Z$20000,MATCH(A1552,'Semrush Data'!$A$1:$A$20000,0),MATCH("Keyword Difficulty*",'Semrush Data'!$A$1:$Z$1,0)),"")</f>
        <v/>
      </c>
      <c r="I1552" s="13" t="str">
        <f aca="false">IFERROR(INDEX('Semrush Data'!$A$1:$Z$20000,MATCH(A1552,'Semrush Data'!$A$1:$A$20000,0),MATCH("CPC*",'Semrush Data'!$A$1:$Z$1,0)),"")</f>
        <v/>
      </c>
      <c r="J1552" s="7" t="str">
        <f aca="false">IFERROR(INDEX('Semrush Data'!$A$1:$Z$20000,MATCH(A1552,'Semrush Data'!$A$1:$A$20000,0),MATCH("Intent",'Semrush Data'!$A$1:$Z$1,0)),"")</f>
        <v/>
      </c>
    </row>
    <row r="1553" customFormat="false" ht="15" hidden="false" customHeight="true" outlineLevel="0" collapsed="false">
      <c r="A1553" s="7" t="s">
        <v>5507</v>
      </c>
      <c r="B1553" s="7" t="s">
        <v>6817</v>
      </c>
      <c r="C1553" s="7" t="n">
        <v>2</v>
      </c>
      <c r="D1553" s="7" t="n">
        <v>16</v>
      </c>
      <c r="E1553" s="7" t="n">
        <v>1</v>
      </c>
      <c r="F1553" s="7" t="s">
        <v>5501</v>
      </c>
      <c r="G1553" s="12" t="str">
        <f aca="false">IFERROR(INDEX('Semrush Data'!$A$1:$Z$20000,MATCH(A1553,'Semrush Data'!$A$1:$A$20000,0),MATCH("Volume",'Semrush Data'!$A$1:$Z$1,0)),"")</f>
        <v/>
      </c>
      <c r="H1553" s="7" t="str">
        <f aca="false">IFERROR(INDEX('Semrush Data'!$A$1:$Z$20000,MATCH(A1553,'Semrush Data'!$A$1:$A$20000,0),MATCH("Keyword Difficulty*",'Semrush Data'!$A$1:$Z$1,0)),"")</f>
        <v/>
      </c>
      <c r="I1553" s="13" t="str">
        <f aca="false">IFERROR(INDEX('Semrush Data'!$A$1:$Z$20000,MATCH(A1553,'Semrush Data'!$A$1:$A$20000,0),MATCH("CPC*",'Semrush Data'!$A$1:$Z$1,0)),"")</f>
        <v/>
      </c>
      <c r="J1553" s="7" t="str">
        <f aca="false">IFERROR(INDEX('Semrush Data'!$A$1:$Z$20000,MATCH(A1553,'Semrush Data'!$A$1:$A$20000,0),MATCH("Intent",'Semrush Data'!$A$1:$Z$1,0)),"")</f>
        <v/>
      </c>
    </row>
    <row r="1554" customFormat="false" ht="15" hidden="false" customHeight="true" outlineLevel="0" collapsed="false">
      <c r="A1554" s="7" t="s">
        <v>5527</v>
      </c>
      <c r="B1554" s="7" t="s">
        <v>6817</v>
      </c>
      <c r="C1554" s="7" t="n">
        <v>2</v>
      </c>
      <c r="D1554" s="7" t="s">
        <v>6815</v>
      </c>
      <c r="E1554" s="7" t="n">
        <v>1</v>
      </c>
      <c r="F1554" s="7" t="s">
        <v>70</v>
      </c>
      <c r="G1554" s="12" t="n">
        <f aca="false">IFERROR(INDEX('Semrush Data'!$A$1:$Z$20000,MATCH(A1554,'Semrush Data'!$A$1:$A$20000,0),MATCH("Volume",'Semrush Data'!$A$1:$Z$1,0)),"")</f>
        <v>20</v>
      </c>
      <c r="H1554" s="7" t="n">
        <f aca="false">IFERROR(INDEX('Semrush Data'!$A$1:$Z$20000,MATCH(A1554,'Semrush Data'!$A$1:$A$20000,0),MATCH("Keyword Difficulty*",'Semrush Data'!$A$1:$Z$1,0)),"")</f>
        <v>13</v>
      </c>
      <c r="I1554" s="13" t="n">
        <f aca="false">IFERROR(INDEX('Semrush Data'!$A$1:$Z$20000,MATCH(A1554,'Semrush Data'!$A$1:$A$20000,0),MATCH("CPC*",'Semrush Data'!$A$1:$Z$1,0)),"")</f>
        <v>0.35</v>
      </c>
      <c r="J1554" s="7" t="str">
        <f aca="false">IFERROR(INDEX('Semrush Data'!$A$1:$Z$20000,MATCH(A1554,'Semrush Data'!$A$1:$A$20000,0),MATCH("Intent",'Semrush Data'!$A$1:$Z$1,0)),"")</f>
        <v>Transactional</v>
      </c>
    </row>
    <row r="1555" customFormat="false" ht="15" hidden="false" customHeight="true" outlineLevel="0" collapsed="false">
      <c r="A1555" s="7" t="s">
        <v>5552</v>
      </c>
      <c r="B1555" s="7" t="s">
        <v>6817</v>
      </c>
      <c r="C1555" s="7" t="n">
        <v>2</v>
      </c>
      <c r="D1555" s="7" t="n">
        <v>16</v>
      </c>
      <c r="E1555" s="7" t="n">
        <v>1</v>
      </c>
      <c r="F1555" s="7" t="s">
        <v>5546</v>
      </c>
      <c r="G1555" s="12" t="str">
        <f aca="false">IFERROR(INDEX('Semrush Data'!$A$1:$Z$20000,MATCH(A1555,'Semrush Data'!$A$1:$A$20000,0),MATCH("Volume",'Semrush Data'!$A$1:$Z$1,0)),"")</f>
        <v/>
      </c>
      <c r="H1555" s="7" t="str">
        <f aca="false">IFERROR(INDEX('Semrush Data'!$A$1:$Z$20000,MATCH(A1555,'Semrush Data'!$A$1:$A$20000,0),MATCH("Keyword Difficulty*",'Semrush Data'!$A$1:$Z$1,0)),"")</f>
        <v/>
      </c>
      <c r="I1555" s="13" t="str">
        <f aca="false">IFERROR(INDEX('Semrush Data'!$A$1:$Z$20000,MATCH(A1555,'Semrush Data'!$A$1:$A$20000,0),MATCH("CPC*",'Semrush Data'!$A$1:$Z$1,0)),"")</f>
        <v/>
      </c>
      <c r="J1555" s="7" t="str">
        <f aca="false">IFERROR(INDEX('Semrush Data'!$A$1:$Z$20000,MATCH(A1555,'Semrush Data'!$A$1:$A$20000,0),MATCH("Intent",'Semrush Data'!$A$1:$Z$1,0)),"")</f>
        <v/>
      </c>
    </row>
    <row r="1556" customFormat="false" ht="15" hidden="false" customHeight="true" outlineLevel="0" collapsed="false">
      <c r="A1556" s="7" t="s">
        <v>5573</v>
      </c>
      <c r="B1556" s="7" t="s">
        <v>6817</v>
      </c>
      <c r="C1556" s="7" t="n">
        <v>2</v>
      </c>
      <c r="D1556" s="7" t="n">
        <v>16</v>
      </c>
      <c r="E1556" s="7" t="n">
        <v>1</v>
      </c>
      <c r="F1556" s="7" t="s">
        <v>5566</v>
      </c>
      <c r="G1556" s="12" t="str">
        <f aca="false">IFERROR(INDEX('Semrush Data'!$A$1:$Z$20000,MATCH(A1556,'Semrush Data'!$A$1:$A$20000,0),MATCH("Volume",'Semrush Data'!$A$1:$Z$1,0)),"")</f>
        <v/>
      </c>
      <c r="H1556" s="7" t="str">
        <f aca="false">IFERROR(INDEX('Semrush Data'!$A$1:$Z$20000,MATCH(A1556,'Semrush Data'!$A$1:$A$20000,0),MATCH("Keyword Difficulty*",'Semrush Data'!$A$1:$Z$1,0)),"")</f>
        <v/>
      </c>
      <c r="I1556" s="13" t="str">
        <f aca="false">IFERROR(INDEX('Semrush Data'!$A$1:$Z$20000,MATCH(A1556,'Semrush Data'!$A$1:$A$20000,0),MATCH("CPC*",'Semrush Data'!$A$1:$Z$1,0)),"")</f>
        <v/>
      </c>
      <c r="J1556" s="7" t="str">
        <f aca="false">IFERROR(INDEX('Semrush Data'!$A$1:$Z$20000,MATCH(A1556,'Semrush Data'!$A$1:$A$20000,0),MATCH("Intent",'Semrush Data'!$A$1:$Z$1,0)),"")</f>
        <v/>
      </c>
    </row>
    <row r="1557" customFormat="false" ht="15" hidden="false" customHeight="true" outlineLevel="0" collapsed="false">
      <c r="A1557" s="7" t="s">
        <v>4552</v>
      </c>
      <c r="B1557" s="7" t="s">
        <v>6817</v>
      </c>
      <c r="C1557" s="7" t="n">
        <v>2</v>
      </c>
      <c r="D1557" s="7" t="n">
        <v>16</v>
      </c>
      <c r="E1557" s="7" t="n">
        <v>1</v>
      </c>
      <c r="F1557" s="7" t="s">
        <v>4546</v>
      </c>
      <c r="G1557" s="12" t="str">
        <f aca="false">IFERROR(INDEX('Semrush Data'!$A$1:$Z$20000,MATCH(A1557,'Semrush Data'!$A$1:$A$20000,0),MATCH("Volume",'Semrush Data'!$A$1:$Z$1,0)),"")</f>
        <v/>
      </c>
      <c r="H1557" s="7" t="str">
        <f aca="false">IFERROR(INDEX('Semrush Data'!$A$1:$Z$20000,MATCH(A1557,'Semrush Data'!$A$1:$A$20000,0),MATCH("Keyword Difficulty*",'Semrush Data'!$A$1:$Z$1,0)),"")</f>
        <v/>
      </c>
      <c r="I1557" s="13" t="str">
        <f aca="false">IFERROR(INDEX('Semrush Data'!$A$1:$Z$20000,MATCH(A1557,'Semrush Data'!$A$1:$A$20000,0),MATCH("CPC*",'Semrush Data'!$A$1:$Z$1,0)),"")</f>
        <v/>
      </c>
      <c r="J1557" s="7" t="str">
        <f aca="false">IFERROR(INDEX('Semrush Data'!$A$1:$Z$20000,MATCH(A1557,'Semrush Data'!$A$1:$A$20000,0),MATCH("Intent",'Semrush Data'!$A$1:$Z$1,0)),"")</f>
        <v/>
      </c>
    </row>
    <row r="1558" customFormat="false" ht="15" hidden="false" customHeight="true" outlineLevel="0" collapsed="false">
      <c r="A1558" s="7" t="s">
        <v>5585</v>
      </c>
      <c r="B1558" s="7" t="s">
        <v>6817</v>
      </c>
      <c r="C1558" s="7" t="n">
        <v>2</v>
      </c>
      <c r="D1558" s="7" t="n">
        <v>16</v>
      </c>
      <c r="E1558" s="7" t="n">
        <v>1</v>
      </c>
      <c r="F1558" s="7" t="s">
        <v>5578</v>
      </c>
      <c r="G1558" s="12" t="str">
        <f aca="false">IFERROR(INDEX('Semrush Data'!$A$1:$Z$20000,MATCH(A1558,'Semrush Data'!$A$1:$A$20000,0),MATCH("Volume",'Semrush Data'!$A$1:$Z$1,0)),"")</f>
        <v/>
      </c>
      <c r="H1558" s="7" t="str">
        <f aca="false">IFERROR(INDEX('Semrush Data'!$A$1:$Z$20000,MATCH(A1558,'Semrush Data'!$A$1:$A$20000,0),MATCH("Keyword Difficulty*",'Semrush Data'!$A$1:$Z$1,0)),"")</f>
        <v/>
      </c>
      <c r="I1558" s="13" t="str">
        <f aca="false">IFERROR(INDEX('Semrush Data'!$A$1:$Z$20000,MATCH(A1558,'Semrush Data'!$A$1:$A$20000,0),MATCH("CPC*",'Semrush Data'!$A$1:$Z$1,0)),"")</f>
        <v/>
      </c>
      <c r="J1558" s="7" t="str">
        <f aca="false">IFERROR(INDEX('Semrush Data'!$A$1:$Z$20000,MATCH(A1558,'Semrush Data'!$A$1:$A$20000,0),MATCH("Intent",'Semrush Data'!$A$1:$Z$1,0)),"")</f>
        <v/>
      </c>
    </row>
    <row r="1559" customFormat="false" ht="15" hidden="false" customHeight="true" outlineLevel="0" collapsed="false">
      <c r="A1559" s="7" t="s">
        <v>5596</v>
      </c>
      <c r="B1559" s="7" t="s">
        <v>6817</v>
      </c>
      <c r="C1559" s="7" t="n">
        <v>2</v>
      </c>
      <c r="D1559" s="7" t="n">
        <v>16</v>
      </c>
      <c r="E1559" s="7" t="n">
        <v>1</v>
      </c>
      <c r="F1559" s="7" t="s">
        <v>5590</v>
      </c>
      <c r="G1559" s="12" t="str">
        <f aca="false">IFERROR(INDEX('Semrush Data'!$A$1:$Z$20000,MATCH(A1559,'Semrush Data'!$A$1:$A$20000,0),MATCH("Volume",'Semrush Data'!$A$1:$Z$1,0)),"")</f>
        <v/>
      </c>
      <c r="H1559" s="7" t="str">
        <f aca="false">IFERROR(INDEX('Semrush Data'!$A$1:$Z$20000,MATCH(A1559,'Semrush Data'!$A$1:$A$20000,0),MATCH("Keyword Difficulty*",'Semrush Data'!$A$1:$Z$1,0)),"")</f>
        <v/>
      </c>
      <c r="I1559" s="13" t="str">
        <f aca="false">IFERROR(INDEX('Semrush Data'!$A$1:$Z$20000,MATCH(A1559,'Semrush Data'!$A$1:$A$20000,0),MATCH("CPC*",'Semrush Data'!$A$1:$Z$1,0)),"")</f>
        <v/>
      </c>
      <c r="J1559" s="7" t="str">
        <f aca="false">IFERROR(INDEX('Semrush Data'!$A$1:$Z$20000,MATCH(A1559,'Semrush Data'!$A$1:$A$20000,0),MATCH("Intent",'Semrush Data'!$A$1:$Z$1,0)),"")</f>
        <v/>
      </c>
    </row>
    <row r="1560" customFormat="false" ht="15" hidden="false" customHeight="true" outlineLevel="0" collapsed="false">
      <c r="A1560" s="7" t="s">
        <v>5607</v>
      </c>
      <c r="B1560" s="7" t="s">
        <v>6817</v>
      </c>
      <c r="C1560" s="7" t="n">
        <v>2</v>
      </c>
      <c r="D1560" s="7" t="n">
        <v>16</v>
      </c>
      <c r="E1560" s="7" t="n">
        <v>1</v>
      </c>
      <c r="F1560" s="7" t="s">
        <v>5601</v>
      </c>
      <c r="G1560" s="12" t="str">
        <f aca="false">IFERROR(INDEX('Semrush Data'!$A$1:$Z$20000,MATCH(A1560,'Semrush Data'!$A$1:$A$20000,0),MATCH("Volume",'Semrush Data'!$A$1:$Z$1,0)),"")</f>
        <v/>
      </c>
      <c r="H1560" s="7" t="str">
        <f aca="false">IFERROR(INDEX('Semrush Data'!$A$1:$Z$20000,MATCH(A1560,'Semrush Data'!$A$1:$A$20000,0),MATCH("Keyword Difficulty*",'Semrush Data'!$A$1:$Z$1,0)),"")</f>
        <v/>
      </c>
      <c r="I1560" s="13" t="str">
        <f aca="false">IFERROR(INDEX('Semrush Data'!$A$1:$Z$20000,MATCH(A1560,'Semrush Data'!$A$1:$A$20000,0),MATCH("CPC*",'Semrush Data'!$A$1:$Z$1,0)),"")</f>
        <v/>
      </c>
      <c r="J1560" s="7" t="str">
        <f aca="false">IFERROR(INDEX('Semrush Data'!$A$1:$Z$20000,MATCH(A1560,'Semrush Data'!$A$1:$A$20000,0),MATCH("Intent",'Semrush Data'!$A$1:$Z$1,0)),"")</f>
        <v/>
      </c>
    </row>
    <row r="1561" customFormat="false" ht="15" hidden="false" customHeight="true" outlineLevel="0" collapsed="false">
      <c r="A1561" s="7" t="s">
        <v>5618</v>
      </c>
      <c r="B1561" s="7" t="s">
        <v>6817</v>
      </c>
      <c r="C1561" s="7" t="n">
        <v>2</v>
      </c>
      <c r="D1561" s="7" t="n">
        <v>16</v>
      </c>
      <c r="E1561" s="7" t="n">
        <v>1</v>
      </c>
      <c r="F1561" s="7" t="s">
        <v>5611</v>
      </c>
      <c r="G1561" s="12" t="str">
        <f aca="false">IFERROR(INDEX('Semrush Data'!$A$1:$Z$20000,MATCH(A1561,'Semrush Data'!$A$1:$A$20000,0),MATCH("Volume",'Semrush Data'!$A$1:$Z$1,0)),"")</f>
        <v/>
      </c>
      <c r="H1561" s="7" t="str">
        <f aca="false">IFERROR(INDEX('Semrush Data'!$A$1:$Z$20000,MATCH(A1561,'Semrush Data'!$A$1:$A$20000,0),MATCH("Keyword Difficulty*",'Semrush Data'!$A$1:$Z$1,0)),"")</f>
        <v/>
      </c>
      <c r="I1561" s="13" t="str">
        <f aca="false">IFERROR(INDEX('Semrush Data'!$A$1:$Z$20000,MATCH(A1561,'Semrush Data'!$A$1:$A$20000,0),MATCH("CPC*",'Semrush Data'!$A$1:$Z$1,0)),"")</f>
        <v/>
      </c>
      <c r="J1561" s="7" t="str">
        <f aca="false">IFERROR(INDEX('Semrush Data'!$A$1:$Z$20000,MATCH(A1561,'Semrush Data'!$A$1:$A$20000,0),MATCH("Intent",'Semrush Data'!$A$1:$Z$1,0)),"")</f>
        <v/>
      </c>
    </row>
    <row r="1562" customFormat="false" ht="15" hidden="false" customHeight="true" outlineLevel="0" collapsed="false">
      <c r="A1562" s="7" t="s">
        <v>5630</v>
      </c>
      <c r="B1562" s="7" t="s">
        <v>6817</v>
      </c>
      <c r="C1562" s="7" t="n">
        <v>2</v>
      </c>
      <c r="D1562" s="7" t="n">
        <v>16</v>
      </c>
      <c r="E1562" s="7" t="n">
        <v>1</v>
      </c>
      <c r="F1562" s="7" t="s">
        <v>5624</v>
      </c>
      <c r="G1562" s="12" t="str">
        <f aca="false">IFERROR(INDEX('Semrush Data'!$A$1:$Z$20000,MATCH(A1562,'Semrush Data'!$A$1:$A$20000,0),MATCH("Volume",'Semrush Data'!$A$1:$Z$1,0)),"")</f>
        <v/>
      </c>
      <c r="H1562" s="7" t="str">
        <f aca="false">IFERROR(INDEX('Semrush Data'!$A$1:$Z$20000,MATCH(A1562,'Semrush Data'!$A$1:$A$20000,0),MATCH("Keyword Difficulty*",'Semrush Data'!$A$1:$Z$1,0)),"")</f>
        <v/>
      </c>
      <c r="I1562" s="13" t="str">
        <f aca="false">IFERROR(INDEX('Semrush Data'!$A$1:$Z$20000,MATCH(A1562,'Semrush Data'!$A$1:$A$20000,0),MATCH("CPC*",'Semrush Data'!$A$1:$Z$1,0)),"")</f>
        <v/>
      </c>
      <c r="J1562" s="7" t="str">
        <f aca="false">IFERROR(INDEX('Semrush Data'!$A$1:$Z$20000,MATCH(A1562,'Semrush Data'!$A$1:$A$20000,0),MATCH("Intent",'Semrush Data'!$A$1:$Z$1,0)),"")</f>
        <v/>
      </c>
    </row>
    <row r="1563" customFormat="false" ht="15" hidden="false" customHeight="true" outlineLevel="0" collapsed="false">
      <c r="A1563" s="7" t="s">
        <v>5641</v>
      </c>
      <c r="B1563" s="7" t="s">
        <v>6817</v>
      </c>
      <c r="C1563" s="7" t="n">
        <v>2</v>
      </c>
      <c r="D1563" s="7" t="n">
        <v>16</v>
      </c>
      <c r="E1563" s="7" t="n">
        <v>1</v>
      </c>
      <c r="F1563" s="7" t="s">
        <v>5635</v>
      </c>
      <c r="G1563" s="12" t="str">
        <f aca="false">IFERROR(INDEX('Semrush Data'!$A$1:$Z$20000,MATCH(A1563,'Semrush Data'!$A$1:$A$20000,0),MATCH("Volume",'Semrush Data'!$A$1:$Z$1,0)),"")</f>
        <v/>
      </c>
      <c r="H1563" s="7" t="str">
        <f aca="false">IFERROR(INDEX('Semrush Data'!$A$1:$Z$20000,MATCH(A1563,'Semrush Data'!$A$1:$A$20000,0),MATCH("Keyword Difficulty*",'Semrush Data'!$A$1:$Z$1,0)),"")</f>
        <v/>
      </c>
      <c r="I1563" s="13" t="str">
        <f aca="false">IFERROR(INDEX('Semrush Data'!$A$1:$Z$20000,MATCH(A1563,'Semrush Data'!$A$1:$A$20000,0),MATCH("CPC*",'Semrush Data'!$A$1:$Z$1,0)),"")</f>
        <v/>
      </c>
      <c r="J1563" s="7" t="str">
        <f aca="false">IFERROR(INDEX('Semrush Data'!$A$1:$Z$20000,MATCH(A1563,'Semrush Data'!$A$1:$A$20000,0),MATCH("Intent",'Semrush Data'!$A$1:$Z$1,0)),"")</f>
        <v/>
      </c>
    </row>
    <row r="1564" customFormat="false" ht="15" hidden="false" customHeight="true" outlineLevel="0" collapsed="false">
      <c r="A1564" s="7" t="s">
        <v>5653</v>
      </c>
      <c r="B1564" s="7" t="s">
        <v>6817</v>
      </c>
      <c r="C1564" s="7" t="n">
        <v>2</v>
      </c>
      <c r="D1564" s="7" t="n">
        <v>16</v>
      </c>
      <c r="E1564" s="7" t="n">
        <v>1</v>
      </c>
      <c r="F1564" s="7" t="s">
        <v>5647</v>
      </c>
      <c r="G1564" s="12" t="str">
        <f aca="false">IFERROR(INDEX('Semrush Data'!$A$1:$Z$20000,MATCH(A1564,'Semrush Data'!$A$1:$A$20000,0),MATCH("Volume",'Semrush Data'!$A$1:$Z$1,0)),"")</f>
        <v/>
      </c>
      <c r="H1564" s="7" t="str">
        <f aca="false">IFERROR(INDEX('Semrush Data'!$A$1:$Z$20000,MATCH(A1564,'Semrush Data'!$A$1:$A$20000,0),MATCH("Keyword Difficulty*",'Semrush Data'!$A$1:$Z$1,0)),"")</f>
        <v/>
      </c>
      <c r="I1564" s="13" t="str">
        <f aca="false">IFERROR(INDEX('Semrush Data'!$A$1:$Z$20000,MATCH(A1564,'Semrush Data'!$A$1:$A$20000,0),MATCH("CPC*",'Semrush Data'!$A$1:$Z$1,0)),"")</f>
        <v/>
      </c>
      <c r="J1564" s="7" t="str">
        <f aca="false">IFERROR(INDEX('Semrush Data'!$A$1:$Z$20000,MATCH(A1564,'Semrush Data'!$A$1:$A$20000,0),MATCH("Intent",'Semrush Data'!$A$1:$Z$1,0)),"")</f>
        <v/>
      </c>
    </row>
    <row r="1565" customFormat="false" ht="15" hidden="false" customHeight="true" outlineLevel="0" collapsed="false">
      <c r="A1565" s="7" t="s">
        <v>5664</v>
      </c>
      <c r="B1565" s="7" t="s">
        <v>6817</v>
      </c>
      <c r="C1565" s="7" t="n">
        <v>2</v>
      </c>
      <c r="D1565" s="7" t="n">
        <v>16</v>
      </c>
      <c r="E1565" s="7" t="n">
        <v>1</v>
      </c>
      <c r="F1565" s="7" t="s">
        <v>5658</v>
      </c>
      <c r="G1565" s="12" t="str">
        <f aca="false">IFERROR(INDEX('Semrush Data'!$A$1:$Z$20000,MATCH(A1565,'Semrush Data'!$A$1:$A$20000,0),MATCH("Volume",'Semrush Data'!$A$1:$Z$1,0)),"")</f>
        <v/>
      </c>
      <c r="H1565" s="7" t="str">
        <f aca="false">IFERROR(INDEX('Semrush Data'!$A$1:$Z$20000,MATCH(A1565,'Semrush Data'!$A$1:$A$20000,0),MATCH("Keyword Difficulty*",'Semrush Data'!$A$1:$Z$1,0)),"")</f>
        <v/>
      </c>
      <c r="I1565" s="13" t="str">
        <f aca="false">IFERROR(INDEX('Semrush Data'!$A$1:$Z$20000,MATCH(A1565,'Semrush Data'!$A$1:$A$20000,0),MATCH("CPC*",'Semrush Data'!$A$1:$Z$1,0)),"")</f>
        <v/>
      </c>
      <c r="J1565" s="7" t="str">
        <f aca="false">IFERROR(INDEX('Semrush Data'!$A$1:$Z$20000,MATCH(A1565,'Semrush Data'!$A$1:$A$20000,0),MATCH("Intent",'Semrush Data'!$A$1:$Z$1,0)),"")</f>
        <v/>
      </c>
    </row>
    <row r="1566" customFormat="false" ht="15" hidden="false" customHeight="true" outlineLevel="0" collapsed="false">
      <c r="A1566" s="7" t="s">
        <v>5676</v>
      </c>
      <c r="B1566" s="7" t="s">
        <v>6817</v>
      </c>
      <c r="C1566" s="7" t="n">
        <v>2</v>
      </c>
      <c r="D1566" s="7" t="s">
        <v>6816</v>
      </c>
      <c r="E1566" s="7" t="n">
        <v>1</v>
      </c>
      <c r="F1566" s="7" t="s">
        <v>5669</v>
      </c>
      <c r="G1566" s="12" t="n">
        <f aca="false">IFERROR(INDEX('Semrush Data'!$A$1:$Z$20000,MATCH(A1566,'Semrush Data'!$A$1:$A$20000,0),MATCH("Volume",'Semrush Data'!$A$1:$Z$1,0)),"")</f>
        <v>0</v>
      </c>
      <c r="H1566" s="7" t="n">
        <f aca="false">IFERROR(INDEX('Semrush Data'!$A$1:$Z$20000,MATCH(A1566,'Semrush Data'!$A$1:$A$20000,0),MATCH("Keyword Difficulty*",'Semrush Data'!$A$1:$Z$1,0)),"")</f>
        <v>3</v>
      </c>
      <c r="I1566" s="13" t="n">
        <f aca="false">IFERROR(INDEX('Semrush Data'!$A$1:$Z$20000,MATCH(A1566,'Semrush Data'!$A$1:$A$20000,0),MATCH("CPC*",'Semrush Data'!$A$1:$Z$1,0)),"")</f>
        <v>0</v>
      </c>
      <c r="J1566" s="7" t="str">
        <f aca="false">IFERROR(INDEX('Semrush Data'!$A$1:$Z$20000,MATCH(A1566,'Semrush Data'!$A$1:$A$20000,0),MATCH("Intent",'Semrush Data'!$A$1:$Z$1,0)),"")</f>
        <v>Informational</v>
      </c>
    </row>
    <row r="1567" customFormat="false" ht="15" hidden="false" customHeight="true" outlineLevel="0" collapsed="false">
      <c r="A1567" s="7" t="s">
        <v>5689</v>
      </c>
      <c r="B1567" s="7" t="s">
        <v>6817</v>
      </c>
      <c r="C1567" s="7" t="n">
        <v>2</v>
      </c>
      <c r="D1567" s="7" t="s">
        <v>6816</v>
      </c>
      <c r="E1567" s="7" t="n">
        <v>1</v>
      </c>
      <c r="F1567" s="7" t="s">
        <v>5682</v>
      </c>
      <c r="G1567" s="12" t="n">
        <f aca="false">IFERROR(INDEX('Semrush Data'!$A$1:$Z$20000,MATCH(A1567,'Semrush Data'!$A$1:$A$20000,0),MATCH("Volume",'Semrush Data'!$A$1:$Z$1,0)),"")</f>
        <v>20</v>
      </c>
      <c r="H1567" s="7" t="n">
        <f aca="false">IFERROR(INDEX('Semrush Data'!$A$1:$Z$20000,MATCH(A1567,'Semrush Data'!$A$1:$A$20000,0),MATCH("Keyword Difficulty*",'Semrush Data'!$A$1:$Z$1,0)),"")</f>
        <v>18</v>
      </c>
      <c r="I1567" s="13" t="n">
        <f aca="false">IFERROR(INDEX('Semrush Data'!$A$1:$Z$20000,MATCH(A1567,'Semrush Data'!$A$1:$A$20000,0),MATCH("CPC*",'Semrush Data'!$A$1:$Z$1,0)),"")</f>
        <v>0</v>
      </c>
      <c r="J1567" s="7" t="str">
        <f aca="false">IFERROR(INDEX('Semrush Data'!$A$1:$Z$20000,MATCH(A1567,'Semrush Data'!$A$1:$A$20000,0),MATCH("Intent",'Semrush Data'!$A$1:$Z$1,0)),"")</f>
        <v>Navigational</v>
      </c>
    </row>
    <row r="1568" customFormat="false" ht="15" hidden="false" customHeight="true" outlineLevel="0" collapsed="false">
      <c r="A1568" s="7" t="s">
        <v>5702</v>
      </c>
      <c r="B1568" s="7" t="s">
        <v>6817</v>
      </c>
      <c r="C1568" s="7" t="n">
        <v>2</v>
      </c>
      <c r="D1568" s="7" t="n">
        <v>16</v>
      </c>
      <c r="E1568" s="7" t="n">
        <v>1</v>
      </c>
      <c r="F1568" s="7" t="s">
        <v>5695</v>
      </c>
      <c r="G1568" s="12" t="str">
        <f aca="false">IFERROR(INDEX('Semrush Data'!$A$1:$Z$20000,MATCH(A1568,'Semrush Data'!$A$1:$A$20000,0),MATCH("Volume",'Semrush Data'!$A$1:$Z$1,0)),"")</f>
        <v/>
      </c>
      <c r="H1568" s="7" t="str">
        <f aca="false">IFERROR(INDEX('Semrush Data'!$A$1:$Z$20000,MATCH(A1568,'Semrush Data'!$A$1:$A$20000,0),MATCH("Keyword Difficulty*",'Semrush Data'!$A$1:$Z$1,0)),"")</f>
        <v/>
      </c>
      <c r="I1568" s="13" t="str">
        <f aca="false">IFERROR(INDEX('Semrush Data'!$A$1:$Z$20000,MATCH(A1568,'Semrush Data'!$A$1:$A$20000,0),MATCH("CPC*",'Semrush Data'!$A$1:$Z$1,0)),"")</f>
        <v/>
      </c>
      <c r="J1568" s="7" t="str">
        <f aca="false">IFERROR(INDEX('Semrush Data'!$A$1:$Z$20000,MATCH(A1568,'Semrush Data'!$A$1:$A$20000,0),MATCH("Intent",'Semrush Data'!$A$1:$Z$1,0)),"")</f>
        <v/>
      </c>
    </row>
    <row r="1569" customFormat="false" ht="15" hidden="false" customHeight="true" outlineLevel="0" collapsed="false">
      <c r="A1569" s="7" t="s">
        <v>5714</v>
      </c>
      <c r="B1569" s="7" t="s">
        <v>6817</v>
      </c>
      <c r="C1569" s="7" t="n">
        <v>2</v>
      </c>
      <c r="D1569" s="7" t="n">
        <v>16</v>
      </c>
      <c r="E1569" s="7" t="n">
        <v>1</v>
      </c>
      <c r="F1569" s="7" t="s">
        <v>5708</v>
      </c>
      <c r="G1569" s="12" t="str">
        <f aca="false">IFERROR(INDEX('Semrush Data'!$A$1:$Z$20000,MATCH(A1569,'Semrush Data'!$A$1:$A$20000,0),MATCH("Volume",'Semrush Data'!$A$1:$Z$1,0)),"")</f>
        <v/>
      </c>
      <c r="H1569" s="7" t="str">
        <f aca="false">IFERROR(INDEX('Semrush Data'!$A$1:$Z$20000,MATCH(A1569,'Semrush Data'!$A$1:$A$20000,0),MATCH("Keyword Difficulty*",'Semrush Data'!$A$1:$Z$1,0)),"")</f>
        <v/>
      </c>
      <c r="I1569" s="13" t="str">
        <f aca="false">IFERROR(INDEX('Semrush Data'!$A$1:$Z$20000,MATCH(A1569,'Semrush Data'!$A$1:$A$20000,0),MATCH("CPC*",'Semrush Data'!$A$1:$Z$1,0)),"")</f>
        <v/>
      </c>
      <c r="J1569" s="7" t="str">
        <f aca="false">IFERROR(INDEX('Semrush Data'!$A$1:$Z$20000,MATCH(A1569,'Semrush Data'!$A$1:$A$20000,0),MATCH("Intent",'Semrush Data'!$A$1:$Z$1,0)),"")</f>
        <v/>
      </c>
    </row>
    <row r="1570" customFormat="false" ht="15" hidden="false" customHeight="true" outlineLevel="0" collapsed="false">
      <c r="A1570" s="7" t="s">
        <v>5725</v>
      </c>
      <c r="B1570" s="7" t="s">
        <v>6817</v>
      </c>
      <c r="C1570" s="7" t="n">
        <v>2</v>
      </c>
      <c r="D1570" s="7" t="n">
        <v>16</v>
      </c>
      <c r="E1570" s="7" t="n">
        <v>1</v>
      </c>
      <c r="F1570" s="7" t="s">
        <v>5719</v>
      </c>
      <c r="G1570" s="12" t="str">
        <f aca="false">IFERROR(INDEX('Semrush Data'!$A$1:$Z$20000,MATCH(A1570,'Semrush Data'!$A$1:$A$20000,0),MATCH("Volume",'Semrush Data'!$A$1:$Z$1,0)),"")</f>
        <v/>
      </c>
      <c r="H1570" s="7" t="str">
        <f aca="false">IFERROR(INDEX('Semrush Data'!$A$1:$Z$20000,MATCH(A1570,'Semrush Data'!$A$1:$A$20000,0),MATCH("Keyword Difficulty*",'Semrush Data'!$A$1:$Z$1,0)),"")</f>
        <v/>
      </c>
      <c r="I1570" s="13" t="str">
        <f aca="false">IFERROR(INDEX('Semrush Data'!$A$1:$Z$20000,MATCH(A1570,'Semrush Data'!$A$1:$A$20000,0),MATCH("CPC*",'Semrush Data'!$A$1:$Z$1,0)),"")</f>
        <v/>
      </c>
      <c r="J1570" s="7" t="str">
        <f aca="false">IFERROR(INDEX('Semrush Data'!$A$1:$Z$20000,MATCH(A1570,'Semrush Data'!$A$1:$A$20000,0),MATCH("Intent",'Semrush Data'!$A$1:$Z$1,0)),"")</f>
        <v/>
      </c>
    </row>
    <row r="1571" customFormat="false" ht="15" hidden="false" customHeight="true" outlineLevel="0" collapsed="false">
      <c r="A1571" s="7" t="s">
        <v>5849</v>
      </c>
      <c r="B1571" s="7" t="s">
        <v>6817</v>
      </c>
      <c r="C1571" s="7" t="n">
        <v>2</v>
      </c>
      <c r="D1571" s="7" t="s">
        <v>6816</v>
      </c>
      <c r="E1571" s="7" t="n">
        <v>1</v>
      </c>
      <c r="F1571" s="7" t="s">
        <v>5842</v>
      </c>
      <c r="G1571" s="12" t="n">
        <f aca="false">IFERROR(INDEX('Semrush Data'!$A$1:$Z$20000,MATCH(A1571,'Semrush Data'!$A$1:$A$20000,0),MATCH("Volume",'Semrush Data'!$A$1:$Z$1,0)),"")</f>
        <v>0</v>
      </c>
      <c r="H1571" s="7" t="n">
        <f aca="false">IFERROR(INDEX('Semrush Data'!$A$1:$Z$20000,MATCH(A1571,'Semrush Data'!$A$1:$A$20000,0),MATCH("Keyword Difficulty*",'Semrush Data'!$A$1:$Z$1,0)),"")</f>
        <v>19</v>
      </c>
      <c r="I1571" s="13" t="n">
        <f aca="false">IFERROR(INDEX('Semrush Data'!$A$1:$Z$20000,MATCH(A1571,'Semrush Data'!$A$1:$A$20000,0),MATCH("CPC*",'Semrush Data'!$A$1:$Z$1,0)),"")</f>
        <v>0</v>
      </c>
      <c r="J1571" s="7" t="str">
        <f aca="false">IFERROR(INDEX('Semrush Data'!$A$1:$Z$20000,MATCH(A1571,'Semrush Data'!$A$1:$A$20000,0),MATCH("Intent",'Semrush Data'!$A$1:$Z$1,0)),"")</f>
        <v>Commercial</v>
      </c>
    </row>
    <row r="1572" customFormat="false" ht="15" hidden="false" customHeight="true" outlineLevel="0" collapsed="false">
      <c r="A1572" s="7" t="s">
        <v>5737</v>
      </c>
      <c r="B1572" s="7" t="s">
        <v>6817</v>
      </c>
      <c r="C1572" s="7" t="n">
        <v>2</v>
      </c>
      <c r="D1572" s="7" t="n">
        <v>16</v>
      </c>
      <c r="E1572" s="7" t="n">
        <v>1</v>
      </c>
      <c r="F1572" s="7" t="s">
        <v>5731</v>
      </c>
      <c r="G1572" s="12" t="str">
        <f aca="false">IFERROR(INDEX('Semrush Data'!$A$1:$Z$20000,MATCH(A1572,'Semrush Data'!$A$1:$A$20000,0),MATCH("Volume",'Semrush Data'!$A$1:$Z$1,0)),"")</f>
        <v/>
      </c>
      <c r="H1572" s="7" t="str">
        <f aca="false">IFERROR(INDEX('Semrush Data'!$A$1:$Z$20000,MATCH(A1572,'Semrush Data'!$A$1:$A$20000,0),MATCH("Keyword Difficulty*",'Semrush Data'!$A$1:$Z$1,0)),"")</f>
        <v/>
      </c>
      <c r="I1572" s="13" t="str">
        <f aca="false">IFERROR(INDEX('Semrush Data'!$A$1:$Z$20000,MATCH(A1572,'Semrush Data'!$A$1:$A$20000,0),MATCH("CPC*",'Semrush Data'!$A$1:$Z$1,0)),"")</f>
        <v/>
      </c>
      <c r="J1572" s="7" t="str">
        <f aca="false">IFERROR(INDEX('Semrush Data'!$A$1:$Z$20000,MATCH(A1572,'Semrush Data'!$A$1:$A$20000,0),MATCH("Intent",'Semrush Data'!$A$1:$Z$1,0)),"")</f>
        <v/>
      </c>
    </row>
    <row r="1573" customFormat="false" ht="15" hidden="false" customHeight="true" outlineLevel="0" collapsed="false">
      <c r="A1573" s="7" t="s">
        <v>5827</v>
      </c>
      <c r="B1573" s="7" t="s">
        <v>6817</v>
      </c>
      <c r="C1573" s="7" t="n">
        <v>2</v>
      </c>
      <c r="D1573" s="7" t="n">
        <v>16</v>
      </c>
      <c r="E1573" s="7" t="n">
        <v>1</v>
      </c>
      <c r="F1573" s="7" t="s">
        <v>5821</v>
      </c>
      <c r="G1573" s="12" t="str">
        <f aca="false">IFERROR(INDEX('Semrush Data'!$A$1:$Z$20000,MATCH(A1573,'Semrush Data'!$A$1:$A$20000,0),MATCH("Volume",'Semrush Data'!$A$1:$Z$1,0)),"")</f>
        <v/>
      </c>
      <c r="H1573" s="7" t="str">
        <f aca="false">IFERROR(INDEX('Semrush Data'!$A$1:$Z$20000,MATCH(A1573,'Semrush Data'!$A$1:$A$20000,0),MATCH("Keyword Difficulty*",'Semrush Data'!$A$1:$Z$1,0)),"")</f>
        <v/>
      </c>
      <c r="I1573" s="13" t="str">
        <f aca="false">IFERROR(INDEX('Semrush Data'!$A$1:$Z$20000,MATCH(A1573,'Semrush Data'!$A$1:$A$20000,0),MATCH("CPC*",'Semrush Data'!$A$1:$Z$1,0)),"")</f>
        <v/>
      </c>
      <c r="J1573" s="7" t="str">
        <f aca="false">IFERROR(INDEX('Semrush Data'!$A$1:$Z$20000,MATCH(A1573,'Semrush Data'!$A$1:$A$20000,0),MATCH("Intent",'Semrush Data'!$A$1:$Z$1,0)),"")</f>
        <v/>
      </c>
    </row>
    <row r="1574" customFormat="false" ht="15" hidden="false" customHeight="true" outlineLevel="0" collapsed="false">
      <c r="A1574" s="7" t="s">
        <v>5861</v>
      </c>
      <c r="B1574" s="7" t="s">
        <v>6817</v>
      </c>
      <c r="C1574" s="7" t="n">
        <v>2</v>
      </c>
      <c r="D1574" s="7" t="n">
        <v>16</v>
      </c>
      <c r="E1574" s="7" t="n">
        <v>1</v>
      </c>
      <c r="F1574" s="7" t="s">
        <v>5855</v>
      </c>
      <c r="G1574" s="12" t="str">
        <f aca="false">IFERROR(INDEX('Semrush Data'!$A$1:$Z$20000,MATCH(A1574,'Semrush Data'!$A$1:$A$20000,0),MATCH("Volume",'Semrush Data'!$A$1:$Z$1,0)),"")</f>
        <v/>
      </c>
      <c r="H1574" s="7" t="str">
        <f aca="false">IFERROR(INDEX('Semrush Data'!$A$1:$Z$20000,MATCH(A1574,'Semrush Data'!$A$1:$A$20000,0),MATCH("Keyword Difficulty*",'Semrush Data'!$A$1:$Z$1,0)),"")</f>
        <v/>
      </c>
      <c r="I1574" s="13" t="str">
        <f aca="false">IFERROR(INDEX('Semrush Data'!$A$1:$Z$20000,MATCH(A1574,'Semrush Data'!$A$1:$A$20000,0),MATCH("CPC*",'Semrush Data'!$A$1:$Z$1,0)),"")</f>
        <v/>
      </c>
      <c r="J1574" s="7" t="str">
        <f aca="false">IFERROR(INDEX('Semrush Data'!$A$1:$Z$20000,MATCH(A1574,'Semrush Data'!$A$1:$A$20000,0),MATCH("Intent",'Semrush Data'!$A$1:$Z$1,0)),"")</f>
        <v/>
      </c>
    </row>
    <row r="1575" customFormat="false" ht="15" hidden="false" customHeight="true" outlineLevel="0" collapsed="false">
      <c r="A1575" s="7" t="s">
        <v>5748</v>
      </c>
      <c r="B1575" s="7" t="s">
        <v>6817</v>
      </c>
      <c r="C1575" s="7" t="n">
        <v>2</v>
      </c>
      <c r="D1575" s="7" t="n">
        <v>16</v>
      </c>
      <c r="E1575" s="7" t="n">
        <v>1</v>
      </c>
      <c r="F1575" s="7" t="s">
        <v>5742</v>
      </c>
      <c r="G1575" s="12" t="str">
        <f aca="false">IFERROR(INDEX('Semrush Data'!$A$1:$Z$20000,MATCH(A1575,'Semrush Data'!$A$1:$A$20000,0),MATCH("Volume",'Semrush Data'!$A$1:$Z$1,0)),"")</f>
        <v/>
      </c>
      <c r="H1575" s="7" t="str">
        <f aca="false">IFERROR(INDEX('Semrush Data'!$A$1:$Z$20000,MATCH(A1575,'Semrush Data'!$A$1:$A$20000,0),MATCH("Keyword Difficulty*",'Semrush Data'!$A$1:$Z$1,0)),"")</f>
        <v/>
      </c>
      <c r="I1575" s="13" t="str">
        <f aca="false">IFERROR(INDEX('Semrush Data'!$A$1:$Z$20000,MATCH(A1575,'Semrush Data'!$A$1:$A$20000,0),MATCH("CPC*",'Semrush Data'!$A$1:$Z$1,0)),"")</f>
        <v/>
      </c>
      <c r="J1575" s="7" t="str">
        <f aca="false">IFERROR(INDEX('Semrush Data'!$A$1:$Z$20000,MATCH(A1575,'Semrush Data'!$A$1:$A$20000,0),MATCH("Intent",'Semrush Data'!$A$1:$Z$1,0)),"")</f>
        <v/>
      </c>
    </row>
    <row r="1576" customFormat="false" ht="15" hidden="false" customHeight="true" outlineLevel="0" collapsed="false">
      <c r="A1576" s="7" t="s">
        <v>5760</v>
      </c>
      <c r="B1576" s="7" t="s">
        <v>6817</v>
      </c>
      <c r="C1576" s="7" t="n">
        <v>2</v>
      </c>
      <c r="D1576" s="7" t="n">
        <v>16</v>
      </c>
      <c r="E1576" s="7" t="n">
        <v>1</v>
      </c>
      <c r="F1576" s="7" t="s">
        <v>5753</v>
      </c>
      <c r="G1576" s="12" t="str">
        <f aca="false">IFERROR(INDEX('Semrush Data'!$A$1:$Z$20000,MATCH(A1576,'Semrush Data'!$A$1:$A$20000,0),MATCH("Volume",'Semrush Data'!$A$1:$Z$1,0)),"")</f>
        <v/>
      </c>
      <c r="H1576" s="7" t="str">
        <f aca="false">IFERROR(INDEX('Semrush Data'!$A$1:$Z$20000,MATCH(A1576,'Semrush Data'!$A$1:$A$20000,0),MATCH("Keyword Difficulty*",'Semrush Data'!$A$1:$Z$1,0)),"")</f>
        <v/>
      </c>
      <c r="I1576" s="13" t="str">
        <f aca="false">IFERROR(INDEX('Semrush Data'!$A$1:$Z$20000,MATCH(A1576,'Semrush Data'!$A$1:$A$20000,0),MATCH("CPC*",'Semrush Data'!$A$1:$Z$1,0)),"")</f>
        <v/>
      </c>
      <c r="J1576" s="7" t="str">
        <f aca="false">IFERROR(INDEX('Semrush Data'!$A$1:$Z$20000,MATCH(A1576,'Semrush Data'!$A$1:$A$20000,0),MATCH("Intent",'Semrush Data'!$A$1:$Z$1,0)),"")</f>
        <v/>
      </c>
    </row>
    <row r="1577" customFormat="false" ht="15" hidden="false" customHeight="true" outlineLevel="0" collapsed="false">
      <c r="A1577" s="7" t="s">
        <v>5772</v>
      </c>
      <c r="B1577" s="7" t="s">
        <v>6817</v>
      </c>
      <c r="C1577" s="7" t="n">
        <v>2</v>
      </c>
      <c r="D1577" s="7" t="n">
        <v>16</v>
      </c>
      <c r="E1577" s="7" t="n">
        <v>1</v>
      </c>
      <c r="F1577" s="7" t="s">
        <v>5766</v>
      </c>
      <c r="G1577" s="12" t="str">
        <f aca="false">IFERROR(INDEX('Semrush Data'!$A$1:$Z$20000,MATCH(A1577,'Semrush Data'!$A$1:$A$20000,0),MATCH("Volume",'Semrush Data'!$A$1:$Z$1,0)),"")</f>
        <v/>
      </c>
      <c r="H1577" s="7" t="str">
        <f aca="false">IFERROR(INDEX('Semrush Data'!$A$1:$Z$20000,MATCH(A1577,'Semrush Data'!$A$1:$A$20000,0),MATCH("Keyword Difficulty*",'Semrush Data'!$A$1:$Z$1,0)),"")</f>
        <v/>
      </c>
      <c r="I1577" s="13" t="str">
        <f aca="false">IFERROR(INDEX('Semrush Data'!$A$1:$Z$20000,MATCH(A1577,'Semrush Data'!$A$1:$A$20000,0),MATCH("CPC*",'Semrush Data'!$A$1:$Z$1,0)),"")</f>
        <v/>
      </c>
      <c r="J1577" s="7" t="str">
        <f aca="false">IFERROR(INDEX('Semrush Data'!$A$1:$Z$20000,MATCH(A1577,'Semrush Data'!$A$1:$A$20000,0),MATCH("Intent",'Semrush Data'!$A$1:$Z$1,0)),"")</f>
        <v/>
      </c>
    </row>
    <row r="1578" customFormat="false" ht="15" hidden="false" customHeight="true" outlineLevel="0" collapsed="false">
      <c r="A1578" s="7" t="s">
        <v>5783</v>
      </c>
      <c r="B1578" s="7" t="s">
        <v>6817</v>
      </c>
      <c r="C1578" s="7" t="n">
        <v>2</v>
      </c>
      <c r="D1578" s="7" t="n">
        <v>16</v>
      </c>
      <c r="E1578" s="7" t="n">
        <v>1</v>
      </c>
      <c r="F1578" s="7" t="s">
        <v>5777</v>
      </c>
      <c r="G1578" s="12" t="str">
        <f aca="false">IFERROR(INDEX('Semrush Data'!$A$1:$Z$20000,MATCH(A1578,'Semrush Data'!$A$1:$A$20000,0),MATCH("Volume",'Semrush Data'!$A$1:$Z$1,0)),"")</f>
        <v/>
      </c>
      <c r="H1578" s="7" t="str">
        <f aca="false">IFERROR(INDEX('Semrush Data'!$A$1:$Z$20000,MATCH(A1578,'Semrush Data'!$A$1:$A$20000,0),MATCH("Keyword Difficulty*",'Semrush Data'!$A$1:$Z$1,0)),"")</f>
        <v/>
      </c>
      <c r="I1578" s="13" t="str">
        <f aca="false">IFERROR(INDEX('Semrush Data'!$A$1:$Z$20000,MATCH(A1578,'Semrush Data'!$A$1:$A$20000,0),MATCH("CPC*",'Semrush Data'!$A$1:$Z$1,0)),"")</f>
        <v/>
      </c>
      <c r="J1578" s="7" t="str">
        <f aca="false">IFERROR(INDEX('Semrush Data'!$A$1:$Z$20000,MATCH(A1578,'Semrush Data'!$A$1:$A$20000,0),MATCH("Intent",'Semrush Data'!$A$1:$Z$1,0)),"")</f>
        <v/>
      </c>
    </row>
    <row r="1579" customFormat="false" ht="15" hidden="false" customHeight="true" outlineLevel="0" collapsed="false">
      <c r="A1579" s="7" t="s">
        <v>5794</v>
      </c>
      <c r="B1579" s="7" t="s">
        <v>6817</v>
      </c>
      <c r="C1579" s="7" t="n">
        <v>2</v>
      </c>
      <c r="D1579" s="7" t="n">
        <v>16</v>
      </c>
      <c r="E1579" s="7" t="n">
        <v>1</v>
      </c>
      <c r="F1579" s="7" t="s">
        <v>5788</v>
      </c>
      <c r="G1579" s="12" t="str">
        <f aca="false">IFERROR(INDEX('Semrush Data'!$A$1:$Z$20000,MATCH(A1579,'Semrush Data'!$A$1:$A$20000,0),MATCH("Volume",'Semrush Data'!$A$1:$Z$1,0)),"")</f>
        <v/>
      </c>
      <c r="H1579" s="7" t="str">
        <f aca="false">IFERROR(INDEX('Semrush Data'!$A$1:$Z$20000,MATCH(A1579,'Semrush Data'!$A$1:$A$20000,0),MATCH("Keyword Difficulty*",'Semrush Data'!$A$1:$Z$1,0)),"")</f>
        <v/>
      </c>
      <c r="I1579" s="13" t="str">
        <f aca="false">IFERROR(INDEX('Semrush Data'!$A$1:$Z$20000,MATCH(A1579,'Semrush Data'!$A$1:$A$20000,0),MATCH("CPC*",'Semrush Data'!$A$1:$Z$1,0)),"")</f>
        <v/>
      </c>
      <c r="J1579" s="7" t="str">
        <f aca="false">IFERROR(INDEX('Semrush Data'!$A$1:$Z$20000,MATCH(A1579,'Semrush Data'!$A$1:$A$20000,0),MATCH("Intent",'Semrush Data'!$A$1:$Z$1,0)),"")</f>
        <v/>
      </c>
    </row>
    <row r="1580" customFormat="false" ht="15" hidden="false" customHeight="true" outlineLevel="0" collapsed="false">
      <c r="A1580" s="7" t="s">
        <v>5872</v>
      </c>
      <c r="B1580" s="7" t="s">
        <v>6817</v>
      </c>
      <c r="C1580" s="7" t="n">
        <v>2</v>
      </c>
      <c r="D1580" s="7" t="n">
        <v>16</v>
      </c>
      <c r="E1580" s="7" t="n">
        <v>1</v>
      </c>
      <c r="F1580" s="7" t="s">
        <v>5866</v>
      </c>
      <c r="G1580" s="12" t="str">
        <f aca="false">IFERROR(INDEX('Semrush Data'!$A$1:$Z$20000,MATCH(A1580,'Semrush Data'!$A$1:$A$20000,0),MATCH("Volume",'Semrush Data'!$A$1:$Z$1,0)),"")</f>
        <v/>
      </c>
      <c r="H1580" s="7" t="str">
        <f aca="false">IFERROR(INDEX('Semrush Data'!$A$1:$Z$20000,MATCH(A1580,'Semrush Data'!$A$1:$A$20000,0),MATCH("Keyword Difficulty*",'Semrush Data'!$A$1:$Z$1,0)),"")</f>
        <v/>
      </c>
      <c r="I1580" s="13" t="str">
        <f aca="false">IFERROR(INDEX('Semrush Data'!$A$1:$Z$20000,MATCH(A1580,'Semrush Data'!$A$1:$A$20000,0),MATCH("CPC*",'Semrush Data'!$A$1:$Z$1,0)),"")</f>
        <v/>
      </c>
      <c r="J1580" s="7" t="str">
        <f aca="false">IFERROR(INDEX('Semrush Data'!$A$1:$Z$20000,MATCH(A1580,'Semrush Data'!$A$1:$A$20000,0),MATCH("Intent",'Semrush Data'!$A$1:$Z$1,0)),"")</f>
        <v/>
      </c>
    </row>
    <row r="1581" customFormat="false" ht="15" hidden="false" customHeight="true" outlineLevel="0" collapsed="false">
      <c r="A1581" s="7" t="s">
        <v>5805</v>
      </c>
      <c r="B1581" s="7" t="s">
        <v>6817</v>
      </c>
      <c r="C1581" s="7" t="n">
        <v>2</v>
      </c>
      <c r="D1581" s="7" t="n">
        <v>16</v>
      </c>
      <c r="E1581" s="7" t="n">
        <v>1</v>
      </c>
      <c r="F1581" s="7" t="s">
        <v>5799</v>
      </c>
      <c r="G1581" s="12" t="str">
        <f aca="false">IFERROR(INDEX('Semrush Data'!$A$1:$Z$20000,MATCH(A1581,'Semrush Data'!$A$1:$A$20000,0),MATCH("Volume",'Semrush Data'!$A$1:$Z$1,0)),"")</f>
        <v/>
      </c>
      <c r="H1581" s="7" t="str">
        <f aca="false">IFERROR(INDEX('Semrush Data'!$A$1:$Z$20000,MATCH(A1581,'Semrush Data'!$A$1:$A$20000,0),MATCH("Keyword Difficulty*",'Semrush Data'!$A$1:$Z$1,0)),"")</f>
        <v/>
      </c>
      <c r="I1581" s="13" t="str">
        <f aca="false">IFERROR(INDEX('Semrush Data'!$A$1:$Z$20000,MATCH(A1581,'Semrush Data'!$A$1:$A$20000,0),MATCH("CPC*",'Semrush Data'!$A$1:$Z$1,0)),"")</f>
        <v/>
      </c>
      <c r="J1581" s="7" t="str">
        <f aca="false">IFERROR(INDEX('Semrush Data'!$A$1:$Z$20000,MATCH(A1581,'Semrush Data'!$A$1:$A$20000,0),MATCH("Intent",'Semrush Data'!$A$1:$Z$1,0)),"")</f>
        <v/>
      </c>
    </row>
    <row r="1582" customFormat="false" ht="15" hidden="false" customHeight="true" outlineLevel="0" collapsed="false">
      <c r="A1582" s="7" t="s">
        <v>5816</v>
      </c>
      <c r="B1582" s="7" t="s">
        <v>6817</v>
      </c>
      <c r="C1582" s="7" t="n">
        <v>2</v>
      </c>
      <c r="D1582" s="7" t="n">
        <v>16</v>
      </c>
      <c r="E1582" s="7" t="n">
        <v>1</v>
      </c>
      <c r="F1582" s="7" t="s">
        <v>5810</v>
      </c>
      <c r="G1582" s="12" t="str">
        <f aca="false">IFERROR(INDEX('Semrush Data'!$A$1:$Z$20000,MATCH(A1582,'Semrush Data'!$A$1:$A$20000,0),MATCH("Volume",'Semrush Data'!$A$1:$Z$1,0)),"")</f>
        <v/>
      </c>
      <c r="H1582" s="7" t="str">
        <f aca="false">IFERROR(INDEX('Semrush Data'!$A$1:$Z$20000,MATCH(A1582,'Semrush Data'!$A$1:$A$20000,0),MATCH("Keyword Difficulty*",'Semrush Data'!$A$1:$Z$1,0)),"")</f>
        <v/>
      </c>
      <c r="I1582" s="13" t="str">
        <f aca="false">IFERROR(INDEX('Semrush Data'!$A$1:$Z$20000,MATCH(A1582,'Semrush Data'!$A$1:$A$20000,0),MATCH("CPC*",'Semrush Data'!$A$1:$Z$1,0)),"")</f>
        <v/>
      </c>
      <c r="J1582" s="7" t="str">
        <f aca="false">IFERROR(INDEX('Semrush Data'!$A$1:$Z$20000,MATCH(A1582,'Semrush Data'!$A$1:$A$20000,0),MATCH("Intent",'Semrush Data'!$A$1:$Z$1,0)),"")</f>
        <v/>
      </c>
    </row>
    <row r="1583" customFormat="false" ht="15" hidden="false" customHeight="true" outlineLevel="0" collapsed="false">
      <c r="A1583" s="7" t="s">
        <v>5958</v>
      </c>
      <c r="B1583" s="7" t="s">
        <v>6817</v>
      </c>
      <c r="C1583" s="7" t="n">
        <v>2</v>
      </c>
      <c r="D1583" s="7" t="n">
        <v>16</v>
      </c>
      <c r="E1583" s="7" t="n">
        <v>1</v>
      </c>
      <c r="F1583" s="7" t="s">
        <v>5951</v>
      </c>
      <c r="G1583" s="12" t="str">
        <f aca="false">IFERROR(INDEX('Semrush Data'!$A$1:$Z$20000,MATCH(A1583,'Semrush Data'!$A$1:$A$20000,0),MATCH("Volume",'Semrush Data'!$A$1:$Z$1,0)),"")</f>
        <v/>
      </c>
      <c r="H1583" s="7" t="str">
        <f aca="false">IFERROR(INDEX('Semrush Data'!$A$1:$Z$20000,MATCH(A1583,'Semrush Data'!$A$1:$A$20000,0),MATCH("Keyword Difficulty*",'Semrush Data'!$A$1:$Z$1,0)),"")</f>
        <v/>
      </c>
      <c r="I1583" s="13" t="str">
        <f aca="false">IFERROR(INDEX('Semrush Data'!$A$1:$Z$20000,MATCH(A1583,'Semrush Data'!$A$1:$A$20000,0),MATCH("CPC*",'Semrush Data'!$A$1:$Z$1,0)),"")</f>
        <v/>
      </c>
      <c r="J1583" s="7" t="str">
        <f aca="false">IFERROR(INDEX('Semrush Data'!$A$1:$Z$20000,MATCH(A1583,'Semrush Data'!$A$1:$A$20000,0),MATCH("Intent",'Semrush Data'!$A$1:$Z$1,0)),"")</f>
        <v/>
      </c>
    </row>
    <row r="1584" customFormat="false" ht="15" hidden="false" customHeight="true" outlineLevel="0" collapsed="false">
      <c r="A1584" s="7" t="s">
        <v>5970</v>
      </c>
      <c r="B1584" s="7" t="s">
        <v>6817</v>
      </c>
      <c r="C1584" s="7" t="n">
        <v>2</v>
      </c>
      <c r="D1584" s="7" t="n">
        <v>16</v>
      </c>
      <c r="E1584" s="7" t="n">
        <v>1</v>
      </c>
      <c r="F1584" s="7" t="s">
        <v>5964</v>
      </c>
      <c r="G1584" s="12" t="str">
        <f aca="false">IFERROR(INDEX('Semrush Data'!$A$1:$Z$20000,MATCH(A1584,'Semrush Data'!$A$1:$A$20000,0),MATCH("Volume",'Semrush Data'!$A$1:$Z$1,0)),"")</f>
        <v/>
      </c>
      <c r="H1584" s="7" t="str">
        <f aca="false">IFERROR(INDEX('Semrush Data'!$A$1:$Z$20000,MATCH(A1584,'Semrush Data'!$A$1:$A$20000,0),MATCH("Keyword Difficulty*",'Semrush Data'!$A$1:$Z$1,0)),"")</f>
        <v/>
      </c>
      <c r="I1584" s="13" t="str">
        <f aca="false">IFERROR(INDEX('Semrush Data'!$A$1:$Z$20000,MATCH(A1584,'Semrush Data'!$A$1:$A$20000,0),MATCH("CPC*",'Semrush Data'!$A$1:$Z$1,0)),"")</f>
        <v/>
      </c>
      <c r="J1584" s="7" t="str">
        <f aca="false">IFERROR(INDEX('Semrush Data'!$A$1:$Z$20000,MATCH(A1584,'Semrush Data'!$A$1:$A$20000,0),MATCH("Intent",'Semrush Data'!$A$1:$Z$1,0)),"")</f>
        <v/>
      </c>
    </row>
    <row r="1585" customFormat="false" ht="15" hidden="false" customHeight="true" outlineLevel="0" collapsed="false">
      <c r="A1585" s="7" t="s">
        <v>5981</v>
      </c>
      <c r="B1585" s="7" t="s">
        <v>6817</v>
      </c>
      <c r="C1585" s="7" t="n">
        <v>2</v>
      </c>
      <c r="D1585" s="7" t="n">
        <v>16</v>
      </c>
      <c r="E1585" s="7" t="n">
        <v>1</v>
      </c>
      <c r="F1585" s="7" t="s">
        <v>5975</v>
      </c>
      <c r="G1585" s="12" t="str">
        <f aca="false">IFERROR(INDEX('Semrush Data'!$A$1:$Z$20000,MATCH(A1585,'Semrush Data'!$A$1:$A$20000,0),MATCH("Volume",'Semrush Data'!$A$1:$Z$1,0)),"")</f>
        <v/>
      </c>
      <c r="H1585" s="7" t="str">
        <f aca="false">IFERROR(INDEX('Semrush Data'!$A$1:$Z$20000,MATCH(A1585,'Semrush Data'!$A$1:$A$20000,0),MATCH("Keyword Difficulty*",'Semrush Data'!$A$1:$Z$1,0)),"")</f>
        <v/>
      </c>
      <c r="I1585" s="13" t="str">
        <f aca="false">IFERROR(INDEX('Semrush Data'!$A$1:$Z$20000,MATCH(A1585,'Semrush Data'!$A$1:$A$20000,0),MATCH("CPC*",'Semrush Data'!$A$1:$Z$1,0)),"")</f>
        <v/>
      </c>
      <c r="J1585" s="7" t="str">
        <f aca="false">IFERROR(INDEX('Semrush Data'!$A$1:$Z$20000,MATCH(A1585,'Semrush Data'!$A$1:$A$20000,0),MATCH("Intent",'Semrush Data'!$A$1:$Z$1,0)),"")</f>
        <v/>
      </c>
    </row>
    <row r="1586" customFormat="false" ht="15" hidden="false" customHeight="true" outlineLevel="0" collapsed="false">
      <c r="A1586" s="7" t="s">
        <v>5992</v>
      </c>
      <c r="B1586" s="7" t="s">
        <v>6817</v>
      </c>
      <c r="C1586" s="7" t="n">
        <v>2</v>
      </c>
      <c r="D1586" s="7" t="n">
        <v>16</v>
      </c>
      <c r="E1586" s="7" t="n">
        <v>1</v>
      </c>
      <c r="F1586" s="7" t="s">
        <v>5985</v>
      </c>
      <c r="G1586" s="12" t="str">
        <f aca="false">IFERROR(INDEX('Semrush Data'!$A$1:$Z$20000,MATCH(A1586,'Semrush Data'!$A$1:$A$20000,0),MATCH("Volume",'Semrush Data'!$A$1:$Z$1,0)),"")</f>
        <v/>
      </c>
      <c r="H1586" s="7" t="str">
        <f aca="false">IFERROR(INDEX('Semrush Data'!$A$1:$Z$20000,MATCH(A1586,'Semrush Data'!$A$1:$A$20000,0),MATCH("Keyword Difficulty*",'Semrush Data'!$A$1:$Z$1,0)),"")</f>
        <v/>
      </c>
      <c r="I1586" s="13" t="str">
        <f aca="false">IFERROR(INDEX('Semrush Data'!$A$1:$Z$20000,MATCH(A1586,'Semrush Data'!$A$1:$A$20000,0),MATCH("CPC*",'Semrush Data'!$A$1:$Z$1,0)),"")</f>
        <v/>
      </c>
      <c r="J1586" s="7" t="str">
        <f aca="false">IFERROR(INDEX('Semrush Data'!$A$1:$Z$20000,MATCH(A1586,'Semrush Data'!$A$1:$A$20000,0),MATCH("Intent",'Semrush Data'!$A$1:$Z$1,0)),"")</f>
        <v/>
      </c>
    </row>
    <row r="1587" customFormat="false" ht="15" hidden="false" customHeight="true" outlineLevel="0" collapsed="false">
      <c r="A1587" s="7" t="s">
        <v>6004</v>
      </c>
      <c r="B1587" s="7" t="s">
        <v>6817</v>
      </c>
      <c r="C1587" s="7" t="n">
        <v>2</v>
      </c>
      <c r="D1587" s="7" t="n">
        <v>16</v>
      </c>
      <c r="E1587" s="7" t="n">
        <v>1</v>
      </c>
      <c r="F1587" s="7" t="s">
        <v>5998</v>
      </c>
      <c r="G1587" s="12" t="str">
        <f aca="false">IFERROR(INDEX('Semrush Data'!$A$1:$Z$20000,MATCH(A1587,'Semrush Data'!$A$1:$A$20000,0),MATCH("Volume",'Semrush Data'!$A$1:$Z$1,0)),"")</f>
        <v/>
      </c>
      <c r="H1587" s="7" t="str">
        <f aca="false">IFERROR(INDEX('Semrush Data'!$A$1:$Z$20000,MATCH(A1587,'Semrush Data'!$A$1:$A$20000,0),MATCH("Keyword Difficulty*",'Semrush Data'!$A$1:$Z$1,0)),"")</f>
        <v/>
      </c>
      <c r="I1587" s="13" t="str">
        <f aca="false">IFERROR(INDEX('Semrush Data'!$A$1:$Z$20000,MATCH(A1587,'Semrush Data'!$A$1:$A$20000,0),MATCH("CPC*",'Semrush Data'!$A$1:$Z$1,0)),"")</f>
        <v/>
      </c>
      <c r="J1587" s="7" t="str">
        <f aca="false">IFERROR(INDEX('Semrush Data'!$A$1:$Z$20000,MATCH(A1587,'Semrush Data'!$A$1:$A$20000,0),MATCH("Intent",'Semrush Data'!$A$1:$Z$1,0)),"")</f>
        <v/>
      </c>
    </row>
    <row r="1588" customFormat="false" ht="15" hidden="false" customHeight="true" outlineLevel="0" collapsed="false">
      <c r="A1588" s="7" t="s">
        <v>6015</v>
      </c>
      <c r="B1588" s="7" t="s">
        <v>6817</v>
      </c>
      <c r="C1588" s="7" t="n">
        <v>2</v>
      </c>
      <c r="D1588" s="7" t="n">
        <v>16</v>
      </c>
      <c r="E1588" s="7" t="n">
        <v>1</v>
      </c>
      <c r="F1588" s="7" t="s">
        <v>6009</v>
      </c>
      <c r="G1588" s="12" t="str">
        <f aca="false">IFERROR(INDEX('Semrush Data'!$A$1:$Z$20000,MATCH(A1588,'Semrush Data'!$A$1:$A$20000,0),MATCH("Volume",'Semrush Data'!$A$1:$Z$1,0)),"")</f>
        <v/>
      </c>
      <c r="H1588" s="7" t="str">
        <f aca="false">IFERROR(INDEX('Semrush Data'!$A$1:$Z$20000,MATCH(A1588,'Semrush Data'!$A$1:$A$20000,0),MATCH("Keyword Difficulty*",'Semrush Data'!$A$1:$Z$1,0)),"")</f>
        <v/>
      </c>
      <c r="I1588" s="13" t="str">
        <f aca="false">IFERROR(INDEX('Semrush Data'!$A$1:$Z$20000,MATCH(A1588,'Semrush Data'!$A$1:$A$20000,0),MATCH("CPC*",'Semrush Data'!$A$1:$Z$1,0)),"")</f>
        <v/>
      </c>
      <c r="J1588" s="7" t="str">
        <f aca="false">IFERROR(INDEX('Semrush Data'!$A$1:$Z$20000,MATCH(A1588,'Semrush Data'!$A$1:$A$20000,0),MATCH("Intent",'Semrush Data'!$A$1:$Z$1,0)),"")</f>
        <v/>
      </c>
    </row>
    <row r="1589" customFormat="false" ht="15" hidden="false" customHeight="true" outlineLevel="0" collapsed="false">
      <c r="A1589" s="7" t="s">
        <v>6026</v>
      </c>
      <c r="B1589" s="7" t="s">
        <v>6817</v>
      </c>
      <c r="C1589" s="7" t="n">
        <v>2</v>
      </c>
      <c r="D1589" s="7" t="n">
        <v>16</v>
      </c>
      <c r="E1589" s="7" t="n">
        <v>1</v>
      </c>
      <c r="F1589" s="7" t="s">
        <v>6020</v>
      </c>
      <c r="G1589" s="12" t="str">
        <f aca="false">IFERROR(INDEX('Semrush Data'!$A$1:$Z$20000,MATCH(A1589,'Semrush Data'!$A$1:$A$20000,0),MATCH("Volume",'Semrush Data'!$A$1:$Z$1,0)),"")</f>
        <v/>
      </c>
      <c r="H1589" s="7" t="str">
        <f aca="false">IFERROR(INDEX('Semrush Data'!$A$1:$Z$20000,MATCH(A1589,'Semrush Data'!$A$1:$A$20000,0),MATCH("Keyword Difficulty*",'Semrush Data'!$A$1:$Z$1,0)),"")</f>
        <v/>
      </c>
      <c r="I1589" s="13" t="str">
        <f aca="false">IFERROR(INDEX('Semrush Data'!$A$1:$Z$20000,MATCH(A1589,'Semrush Data'!$A$1:$A$20000,0),MATCH("CPC*",'Semrush Data'!$A$1:$Z$1,0)),"")</f>
        <v/>
      </c>
      <c r="J1589" s="7" t="str">
        <f aca="false">IFERROR(INDEX('Semrush Data'!$A$1:$Z$20000,MATCH(A1589,'Semrush Data'!$A$1:$A$20000,0),MATCH("Intent",'Semrush Data'!$A$1:$Z$1,0)),"")</f>
        <v/>
      </c>
    </row>
    <row r="1590" customFormat="false" ht="15" hidden="false" customHeight="true" outlineLevel="0" collapsed="false">
      <c r="A1590" s="7" t="s">
        <v>6037</v>
      </c>
      <c r="B1590" s="7" t="s">
        <v>6817</v>
      </c>
      <c r="C1590" s="7" t="n">
        <v>2</v>
      </c>
      <c r="D1590" s="7" t="n">
        <v>16</v>
      </c>
      <c r="E1590" s="7" t="n">
        <v>1</v>
      </c>
      <c r="F1590" s="7" t="s">
        <v>6031</v>
      </c>
      <c r="G1590" s="12" t="str">
        <f aca="false">IFERROR(INDEX('Semrush Data'!$A$1:$Z$20000,MATCH(A1590,'Semrush Data'!$A$1:$A$20000,0),MATCH("Volume",'Semrush Data'!$A$1:$Z$1,0)),"")</f>
        <v/>
      </c>
      <c r="H1590" s="7" t="str">
        <f aca="false">IFERROR(INDEX('Semrush Data'!$A$1:$Z$20000,MATCH(A1590,'Semrush Data'!$A$1:$A$20000,0),MATCH("Keyword Difficulty*",'Semrush Data'!$A$1:$Z$1,0)),"")</f>
        <v/>
      </c>
      <c r="I1590" s="13" t="str">
        <f aca="false">IFERROR(INDEX('Semrush Data'!$A$1:$Z$20000,MATCH(A1590,'Semrush Data'!$A$1:$A$20000,0),MATCH("CPC*",'Semrush Data'!$A$1:$Z$1,0)),"")</f>
        <v/>
      </c>
      <c r="J1590" s="7" t="str">
        <f aca="false">IFERROR(INDEX('Semrush Data'!$A$1:$Z$20000,MATCH(A1590,'Semrush Data'!$A$1:$A$20000,0),MATCH("Intent",'Semrush Data'!$A$1:$Z$1,0)),"")</f>
        <v/>
      </c>
    </row>
    <row r="1591" customFormat="false" ht="15" hidden="false" customHeight="true" outlineLevel="0" collapsed="false">
      <c r="A1591" s="7" t="s">
        <v>6048</v>
      </c>
      <c r="B1591" s="7" t="s">
        <v>6817</v>
      </c>
      <c r="C1591" s="7" t="n">
        <v>2</v>
      </c>
      <c r="D1591" s="7" t="n">
        <v>16</v>
      </c>
      <c r="E1591" s="7" t="n">
        <v>1</v>
      </c>
      <c r="F1591" s="7" t="s">
        <v>6042</v>
      </c>
      <c r="G1591" s="12" t="str">
        <f aca="false">IFERROR(INDEX('Semrush Data'!$A$1:$Z$20000,MATCH(A1591,'Semrush Data'!$A$1:$A$20000,0),MATCH("Volume",'Semrush Data'!$A$1:$Z$1,0)),"")</f>
        <v/>
      </c>
      <c r="H1591" s="7" t="str">
        <f aca="false">IFERROR(INDEX('Semrush Data'!$A$1:$Z$20000,MATCH(A1591,'Semrush Data'!$A$1:$A$20000,0),MATCH("Keyword Difficulty*",'Semrush Data'!$A$1:$Z$1,0)),"")</f>
        <v/>
      </c>
      <c r="I1591" s="13" t="str">
        <f aca="false">IFERROR(INDEX('Semrush Data'!$A$1:$Z$20000,MATCH(A1591,'Semrush Data'!$A$1:$A$20000,0),MATCH("CPC*",'Semrush Data'!$A$1:$Z$1,0)),"")</f>
        <v/>
      </c>
      <c r="J1591" s="7" t="str">
        <f aca="false">IFERROR(INDEX('Semrush Data'!$A$1:$Z$20000,MATCH(A1591,'Semrush Data'!$A$1:$A$20000,0),MATCH("Intent",'Semrush Data'!$A$1:$Z$1,0)),"")</f>
        <v/>
      </c>
    </row>
    <row r="1592" customFormat="false" ht="15" hidden="false" customHeight="true" outlineLevel="0" collapsed="false">
      <c r="A1592" s="7" t="s">
        <v>6059</v>
      </c>
      <c r="B1592" s="7" t="s">
        <v>6817</v>
      </c>
      <c r="C1592" s="7" t="n">
        <v>2</v>
      </c>
      <c r="D1592" s="7" t="n">
        <v>16</v>
      </c>
      <c r="E1592" s="7" t="n">
        <v>1</v>
      </c>
      <c r="F1592" s="7" t="s">
        <v>6053</v>
      </c>
      <c r="G1592" s="12" t="str">
        <f aca="false">IFERROR(INDEX('Semrush Data'!$A$1:$Z$20000,MATCH(A1592,'Semrush Data'!$A$1:$A$20000,0),MATCH("Volume",'Semrush Data'!$A$1:$Z$1,0)),"")</f>
        <v/>
      </c>
      <c r="H1592" s="7" t="str">
        <f aca="false">IFERROR(INDEX('Semrush Data'!$A$1:$Z$20000,MATCH(A1592,'Semrush Data'!$A$1:$A$20000,0),MATCH("Keyword Difficulty*",'Semrush Data'!$A$1:$Z$1,0)),"")</f>
        <v/>
      </c>
      <c r="I1592" s="13" t="str">
        <f aca="false">IFERROR(INDEX('Semrush Data'!$A$1:$Z$20000,MATCH(A1592,'Semrush Data'!$A$1:$A$20000,0),MATCH("CPC*",'Semrush Data'!$A$1:$Z$1,0)),"")</f>
        <v/>
      </c>
      <c r="J1592" s="7" t="str">
        <f aca="false">IFERROR(INDEX('Semrush Data'!$A$1:$Z$20000,MATCH(A1592,'Semrush Data'!$A$1:$A$20000,0),MATCH("Intent",'Semrush Data'!$A$1:$Z$1,0)),"")</f>
        <v/>
      </c>
    </row>
    <row r="1593" customFormat="false" ht="15" hidden="false" customHeight="true" outlineLevel="0" collapsed="false">
      <c r="A1593" s="7" t="s">
        <v>6070</v>
      </c>
      <c r="B1593" s="7" t="s">
        <v>6817</v>
      </c>
      <c r="C1593" s="7" t="n">
        <v>2</v>
      </c>
      <c r="D1593" s="7" t="n">
        <v>16</v>
      </c>
      <c r="E1593" s="7" t="n">
        <v>1</v>
      </c>
      <c r="F1593" s="7" t="s">
        <v>6064</v>
      </c>
      <c r="G1593" s="12" t="str">
        <f aca="false">IFERROR(INDEX('Semrush Data'!$A$1:$Z$20000,MATCH(A1593,'Semrush Data'!$A$1:$A$20000,0),MATCH("Volume",'Semrush Data'!$A$1:$Z$1,0)),"")</f>
        <v/>
      </c>
      <c r="H1593" s="7" t="str">
        <f aca="false">IFERROR(INDEX('Semrush Data'!$A$1:$Z$20000,MATCH(A1593,'Semrush Data'!$A$1:$A$20000,0),MATCH("Keyword Difficulty*",'Semrush Data'!$A$1:$Z$1,0)),"")</f>
        <v/>
      </c>
      <c r="I1593" s="13" t="str">
        <f aca="false">IFERROR(INDEX('Semrush Data'!$A$1:$Z$20000,MATCH(A1593,'Semrush Data'!$A$1:$A$20000,0),MATCH("CPC*",'Semrush Data'!$A$1:$Z$1,0)),"")</f>
        <v/>
      </c>
      <c r="J1593" s="7" t="str">
        <f aca="false">IFERROR(INDEX('Semrush Data'!$A$1:$Z$20000,MATCH(A1593,'Semrush Data'!$A$1:$A$20000,0),MATCH("Intent",'Semrush Data'!$A$1:$Z$1,0)),"")</f>
        <v/>
      </c>
    </row>
    <row r="1594" customFormat="false" ht="15" hidden="false" customHeight="true" outlineLevel="0" collapsed="false">
      <c r="A1594" s="7" t="s">
        <v>6082</v>
      </c>
      <c r="B1594" s="7" t="s">
        <v>6817</v>
      </c>
      <c r="C1594" s="7" t="n">
        <v>2</v>
      </c>
      <c r="D1594" s="7" t="n">
        <v>16</v>
      </c>
      <c r="E1594" s="7" t="n">
        <v>1</v>
      </c>
      <c r="F1594" s="7" t="s">
        <v>6075</v>
      </c>
      <c r="G1594" s="12" t="str">
        <f aca="false">IFERROR(INDEX('Semrush Data'!$A$1:$Z$20000,MATCH(A1594,'Semrush Data'!$A$1:$A$20000,0),MATCH("Volume",'Semrush Data'!$A$1:$Z$1,0)),"")</f>
        <v/>
      </c>
      <c r="H1594" s="7" t="str">
        <f aca="false">IFERROR(INDEX('Semrush Data'!$A$1:$Z$20000,MATCH(A1594,'Semrush Data'!$A$1:$A$20000,0),MATCH("Keyword Difficulty*",'Semrush Data'!$A$1:$Z$1,0)),"")</f>
        <v/>
      </c>
      <c r="I1594" s="13" t="str">
        <f aca="false">IFERROR(INDEX('Semrush Data'!$A$1:$Z$20000,MATCH(A1594,'Semrush Data'!$A$1:$A$20000,0),MATCH("CPC*",'Semrush Data'!$A$1:$Z$1,0)),"")</f>
        <v/>
      </c>
      <c r="J1594" s="7" t="str">
        <f aca="false">IFERROR(INDEX('Semrush Data'!$A$1:$Z$20000,MATCH(A1594,'Semrush Data'!$A$1:$A$20000,0),MATCH("Intent",'Semrush Data'!$A$1:$Z$1,0)),"")</f>
        <v/>
      </c>
    </row>
    <row r="1595" customFormat="false" ht="15" hidden="false" customHeight="true" outlineLevel="0" collapsed="false">
      <c r="A1595" s="7" t="s">
        <v>6094</v>
      </c>
      <c r="B1595" s="7" t="s">
        <v>6817</v>
      </c>
      <c r="C1595" s="7" t="n">
        <v>2</v>
      </c>
      <c r="D1595" s="7" t="s">
        <v>6816</v>
      </c>
      <c r="E1595" s="7" t="n">
        <v>1</v>
      </c>
      <c r="F1595" s="7" t="s">
        <v>6088</v>
      </c>
      <c r="G1595" s="12" t="n">
        <f aca="false">IFERROR(INDEX('Semrush Data'!$A$1:$Z$20000,MATCH(A1595,'Semrush Data'!$A$1:$A$20000,0),MATCH("Volume",'Semrush Data'!$A$1:$Z$1,0)),"")</f>
        <v>20</v>
      </c>
      <c r="H1595" s="7" t="n">
        <f aca="false">IFERROR(INDEX('Semrush Data'!$A$1:$Z$20000,MATCH(A1595,'Semrush Data'!$A$1:$A$20000,0),MATCH("Keyword Difficulty*",'Semrush Data'!$A$1:$Z$1,0)),"")</f>
        <v>13</v>
      </c>
      <c r="I1595" s="13" t="n">
        <f aca="false">IFERROR(INDEX('Semrush Data'!$A$1:$Z$20000,MATCH(A1595,'Semrush Data'!$A$1:$A$20000,0),MATCH("CPC*",'Semrush Data'!$A$1:$Z$1,0)),"")</f>
        <v>0</v>
      </c>
      <c r="J1595" s="7" t="str">
        <f aca="false">IFERROR(INDEX('Semrush Data'!$A$1:$Z$20000,MATCH(A1595,'Semrush Data'!$A$1:$A$20000,0),MATCH("Intent",'Semrush Data'!$A$1:$Z$1,0)),"")</f>
        <v>Informational</v>
      </c>
    </row>
    <row r="1596" customFormat="false" ht="15" hidden="false" customHeight="true" outlineLevel="0" collapsed="false">
      <c r="A1596" s="7" t="s">
        <v>6105</v>
      </c>
      <c r="B1596" s="7" t="s">
        <v>6817</v>
      </c>
      <c r="C1596" s="7" t="n">
        <v>2</v>
      </c>
      <c r="D1596" s="7" t="n">
        <v>16</v>
      </c>
      <c r="E1596" s="7" t="n">
        <v>1</v>
      </c>
      <c r="F1596" s="7" t="s">
        <v>6099</v>
      </c>
      <c r="G1596" s="12" t="str">
        <f aca="false">IFERROR(INDEX('Semrush Data'!$A$1:$Z$20000,MATCH(A1596,'Semrush Data'!$A$1:$A$20000,0),MATCH("Volume",'Semrush Data'!$A$1:$Z$1,0)),"")</f>
        <v/>
      </c>
      <c r="H1596" s="7" t="str">
        <f aca="false">IFERROR(INDEX('Semrush Data'!$A$1:$Z$20000,MATCH(A1596,'Semrush Data'!$A$1:$A$20000,0),MATCH("Keyword Difficulty*",'Semrush Data'!$A$1:$Z$1,0)),"")</f>
        <v/>
      </c>
      <c r="I1596" s="13" t="str">
        <f aca="false">IFERROR(INDEX('Semrush Data'!$A$1:$Z$20000,MATCH(A1596,'Semrush Data'!$A$1:$A$20000,0),MATCH("CPC*",'Semrush Data'!$A$1:$Z$1,0)),"")</f>
        <v/>
      </c>
      <c r="J1596" s="7" t="str">
        <f aca="false">IFERROR(INDEX('Semrush Data'!$A$1:$Z$20000,MATCH(A1596,'Semrush Data'!$A$1:$A$20000,0),MATCH("Intent",'Semrush Data'!$A$1:$Z$1,0)),"")</f>
        <v/>
      </c>
    </row>
    <row r="1597" customFormat="false" ht="15" hidden="false" customHeight="true" outlineLevel="0" collapsed="false">
      <c r="A1597" s="7" t="s">
        <v>6115</v>
      </c>
      <c r="B1597" s="7" t="s">
        <v>6817</v>
      </c>
      <c r="C1597" s="7" t="n">
        <v>2</v>
      </c>
      <c r="D1597" s="7" t="n">
        <v>16</v>
      </c>
      <c r="E1597" s="7" t="n">
        <v>2</v>
      </c>
      <c r="F1597" s="7" t="s">
        <v>6809</v>
      </c>
      <c r="G1597" s="12" t="str">
        <f aca="false">IFERROR(INDEX('Semrush Data'!$A$1:$Z$20000,MATCH(A1597,'Semrush Data'!$A$1:$A$20000,0),MATCH("Volume",'Semrush Data'!$A$1:$Z$1,0)),"")</f>
        <v/>
      </c>
      <c r="H1597" s="7" t="str">
        <f aca="false">IFERROR(INDEX('Semrush Data'!$A$1:$Z$20000,MATCH(A1597,'Semrush Data'!$A$1:$A$20000,0),MATCH("Keyword Difficulty*",'Semrush Data'!$A$1:$Z$1,0)),"")</f>
        <v/>
      </c>
      <c r="I1597" s="13" t="str">
        <f aca="false">IFERROR(INDEX('Semrush Data'!$A$1:$Z$20000,MATCH(A1597,'Semrush Data'!$A$1:$A$20000,0),MATCH("CPC*",'Semrush Data'!$A$1:$Z$1,0)),"")</f>
        <v/>
      </c>
      <c r="J1597" s="7" t="str">
        <f aca="false">IFERROR(INDEX('Semrush Data'!$A$1:$Z$20000,MATCH(A1597,'Semrush Data'!$A$1:$A$20000,0),MATCH("Intent",'Semrush Data'!$A$1:$Z$1,0)),"")</f>
        <v/>
      </c>
    </row>
    <row r="1598" customFormat="false" ht="15" hidden="false" customHeight="true" outlineLevel="0" collapsed="false">
      <c r="A1598" s="7" t="s">
        <v>6130</v>
      </c>
      <c r="B1598" s="7" t="s">
        <v>6817</v>
      </c>
      <c r="C1598" s="7" t="n">
        <v>2</v>
      </c>
      <c r="D1598" s="7" t="n">
        <v>16</v>
      </c>
      <c r="E1598" s="7" t="n">
        <v>1</v>
      </c>
      <c r="F1598" s="7" t="s">
        <v>6124</v>
      </c>
      <c r="G1598" s="12" t="str">
        <f aca="false">IFERROR(INDEX('Semrush Data'!$A$1:$Z$20000,MATCH(A1598,'Semrush Data'!$A$1:$A$20000,0),MATCH("Volume",'Semrush Data'!$A$1:$Z$1,0)),"")</f>
        <v/>
      </c>
      <c r="H1598" s="7" t="str">
        <f aca="false">IFERROR(INDEX('Semrush Data'!$A$1:$Z$20000,MATCH(A1598,'Semrush Data'!$A$1:$A$20000,0),MATCH("Keyword Difficulty*",'Semrush Data'!$A$1:$Z$1,0)),"")</f>
        <v/>
      </c>
      <c r="I1598" s="13" t="str">
        <f aca="false">IFERROR(INDEX('Semrush Data'!$A$1:$Z$20000,MATCH(A1598,'Semrush Data'!$A$1:$A$20000,0),MATCH("CPC*",'Semrush Data'!$A$1:$Z$1,0)),"")</f>
        <v/>
      </c>
      <c r="J1598" s="7" t="str">
        <f aca="false">IFERROR(INDEX('Semrush Data'!$A$1:$Z$20000,MATCH(A1598,'Semrush Data'!$A$1:$A$20000,0),MATCH("Intent",'Semrush Data'!$A$1:$Z$1,0)),"")</f>
        <v/>
      </c>
    </row>
    <row r="1599" customFormat="false" ht="15" hidden="false" customHeight="true" outlineLevel="0" collapsed="false">
      <c r="A1599" s="7" t="s">
        <v>6140</v>
      </c>
      <c r="B1599" s="7" t="s">
        <v>6817</v>
      </c>
      <c r="C1599" s="7" t="n">
        <v>2</v>
      </c>
      <c r="D1599" s="7" t="n">
        <v>16</v>
      </c>
      <c r="E1599" s="7" t="n">
        <v>1</v>
      </c>
      <c r="F1599" s="7" t="s">
        <v>6134</v>
      </c>
      <c r="G1599" s="12" t="str">
        <f aca="false">IFERROR(INDEX('Semrush Data'!$A$1:$Z$20000,MATCH(A1599,'Semrush Data'!$A$1:$A$20000,0),MATCH("Volume",'Semrush Data'!$A$1:$Z$1,0)),"")</f>
        <v/>
      </c>
      <c r="H1599" s="7" t="str">
        <f aca="false">IFERROR(INDEX('Semrush Data'!$A$1:$Z$20000,MATCH(A1599,'Semrush Data'!$A$1:$A$20000,0),MATCH("Keyword Difficulty*",'Semrush Data'!$A$1:$Z$1,0)),"")</f>
        <v/>
      </c>
      <c r="I1599" s="13" t="str">
        <f aca="false">IFERROR(INDEX('Semrush Data'!$A$1:$Z$20000,MATCH(A1599,'Semrush Data'!$A$1:$A$20000,0),MATCH("CPC*",'Semrush Data'!$A$1:$Z$1,0)),"")</f>
        <v/>
      </c>
      <c r="J1599" s="7" t="str">
        <f aca="false">IFERROR(INDEX('Semrush Data'!$A$1:$Z$20000,MATCH(A1599,'Semrush Data'!$A$1:$A$20000,0),MATCH("Intent",'Semrush Data'!$A$1:$Z$1,0)),"")</f>
        <v/>
      </c>
    </row>
    <row r="1600" customFormat="false" ht="15" hidden="false" customHeight="true" outlineLevel="0" collapsed="false">
      <c r="A1600" s="7" t="s">
        <v>6151</v>
      </c>
      <c r="B1600" s="7" t="s">
        <v>6817</v>
      </c>
      <c r="C1600" s="7" t="n">
        <v>2</v>
      </c>
      <c r="D1600" s="7" t="n">
        <v>16</v>
      </c>
      <c r="E1600" s="7" t="n">
        <v>1</v>
      </c>
      <c r="F1600" s="7" t="s">
        <v>6145</v>
      </c>
      <c r="G1600" s="12" t="str">
        <f aca="false">IFERROR(INDEX('Semrush Data'!$A$1:$Z$20000,MATCH(A1600,'Semrush Data'!$A$1:$A$20000,0),MATCH("Volume",'Semrush Data'!$A$1:$Z$1,0)),"")</f>
        <v/>
      </c>
      <c r="H1600" s="7" t="str">
        <f aca="false">IFERROR(INDEX('Semrush Data'!$A$1:$Z$20000,MATCH(A1600,'Semrush Data'!$A$1:$A$20000,0),MATCH("Keyword Difficulty*",'Semrush Data'!$A$1:$Z$1,0)),"")</f>
        <v/>
      </c>
      <c r="I1600" s="13" t="str">
        <f aca="false">IFERROR(INDEX('Semrush Data'!$A$1:$Z$20000,MATCH(A1600,'Semrush Data'!$A$1:$A$20000,0),MATCH("CPC*",'Semrush Data'!$A$1:$Z$1,0)),"")</f>
        <v/>
      </c>
      <c r="J1600" s="7" t="str">
        <f aca="false">IFERROR(INDEX('Semrush Data'!$A$1:$Z$20000,MATCH(A1600,'Semrush Data'!$A$1:$A$20000,0),MATCH("Intent",'Semrush Data'!$A$1:$Z$1,0)),"")</f>
        <v/>
      </c>
    </row>
    <row r="1601" customFormat="false" ht="15" hidden="false" customHeight="true" outlineLevel="0" collapsed="false">
      <c r="A1601" s="7" t="s">
        <v>6161</v>
      </c>
      <c r="B1601" s="7" t="s">
        <v>6817</v>
      </c>
      <c r="C1601" s="7" t="n">
        <v>2</v>
      </c>
      <c r="D1601" s="7" t="n">
        <v>16</v>
      </c>
      <c r="E1601" s="7" t="n">
        <v>1</v>
      </c>
      <c r="F1601" s="7" t="s">
        <v>6155</v>
      </c>
      <c r="G1601" s="12" t="str">
        <f aca="false">IFERROR(INDEX('Semrush Data'!$A$1:$Z$20000,MATCH(A1601,'Semrush Data'!$A$1:$A$20000,0),MATCH("Volume",'Semrush Data'!$A$1:$Z$1,0)),"")</f>
        <v/>
      </c>
      <c r="H1601" s="7" t="str">
        <f aca="false">IFERROR(INDEX('Semrush Data'!$A$1:$Z$20000,MATCH(A1601,'Semrush Data'!$A$1:$A$20000,0),MATCH("Keyword Difficulty*",'Semrush Data'!$A$1:$Z$1,0)),"")</f>
        <v/>
      </c>
      <c r="I1601" s="13" t="str">
        <f aca="false">IFERROR(INDEX('Semrush Data'!$A$1:$Z$20000,MATCH(A1601,'Semrush Data'!$A$1:$A$20000,0),MATCH("CPC*",'Semrush Data'!$A$1:$Z$1,0)),"")</f>
        <v/>
      </c>
      <c r="J1601" s="7" t="str">
        <f aca="false">IFERROR(INDEX('Semrush Data'!$A$1:$Z$20000,MATCH(A1601,'Semrush Data'!$A$1:$A$20000,0),MATCH("Intent",'Semrush Data'!$A$1:$Z$1,0)),"")</f>
        <v/>
      </c>
    </row>
    <row r="1602" customFormat="false" ht="15" hidden="false" customHeight="true" outlineLevel="0" collapsed="false">
      <c r="A1602" s="7" t="s">
        <v>6172</v>
      </c>
      <c r="B1602" s="7" t="s">
        <v>6817</v>
      </c>
      <c r="C1602" s="7" t="n">
        <v>2</v>
      </c>
      <c r="D1602" s="7" t="s">
        <v>6816</v>
      </c>
      <c r="E1602" s="7" t="n">
        <v>1</v>
      </c>
      <c r="F1602" s="7" t="s">
        <v>6166</v>
      </c>
      <c r="G1602" s="12" t="n">
        <f aca="false">IFERROR(INDEX('Semrush Data'!$A$1:$Z$20000,MATCH(A1602,'Semrush Data'!$A$1:$A$20000,0),MATCH("Volume",'Semrush Data'!$A$1:$Z$1,0)),"")</f>
        <v>20</v>
      </c>
      <c r="H1602" s="7" t="n">
        <f aca="false">IFERROR(INDEX('Semrush Data'!$A$1:$Z$20000,MATCH(A1602,'Semrush Data'!$A$1:$A$20000,0),MATCH("Keyword Difficulty*",'Semrush Data'!$A$1:$Z$1,0)),"")</f>
        <v>13</v>
      </c>
      <c r="I1602" s="13" t="n">
        <f aca="false">IFERROR(INDEX('Semrush Data'!$A$1:$Z$20000,MATCH(A1602,'Semrush Data'!$A$1:$A$20000,0),MATCH("CPC*",'Semrush Data'!$A$1:$Z$1,0)),"")</f>
        <v>0</v>
      </c>
      <c r="J1602" s="7" t="str">
        <f aca="false">IFERROR(INDEX('Semrush Data'!$A$1:$Z$20000,MATCH(A1602,'Semrush Data'!$A$1:$A$20000,0),MATCH("Intent",'Semrush Data'!$A$1:$Z$1,0)),"")</f>
        <v>Informational Transactional</v>
      </c>
    </row>
    <row r="1603" customFormat="false" ht="15" hidden="false" customHeight="true" outlineLevel="0" collapsed="false">
      <c r="A1603" s="7" t="s">
        <v>6183</v>
      </c>
      <c r="B1603" s="7" t="s">
        <v>6817</v>
      </c>
      <c r="C1603" s="7" t="n">
        <v>2</v>
      </c>
      <c r="D1603" s="7" t="n">
        <v>17</v>
      </c>
      <c r="E1603" s="7" t="n">
        <v>1</v>
      </c>
      <c r="F1603" s="7" t="s">
        <v>6177</v>
      </c>
      <c r="G1603" s="12" t="str">
        <f aca="false">IFERROR(INDEX('Semrush Data'!$A$1:$Z$20000,MATCH(A1603,'Semrush Data'!$A$1:$A$20000,0),MATCH("Volume",'Semrush Data'!$A$1:$Z$1,0)),"")</f>
        <v/>
      </c>
      <c r="H1603" s="7" t="str">
        <f aca="false">IFERROR(INDEX('Semrush Data'!$A$1:$Z$20000,MATCH(A1603,'Semrush Data'!$A$1:$A$20000,0),MATCH("Keyword Difficulty*",'Semrush Data'!$A$1:$Z$1,0)),"")</f>
        <v/>
      </c>
      <c r="I1603" s="13" t="str">
        <f aca="false">IFERROR(INDEX('Semrush Data'!$A$1:$Z$20000,MATCH(A1603,'Semrush Data'!$A$1:$A$20000,0),MATCH("CPC*",'Semrush Data'!$A$1:$Z$1,0)),"")</f>
        <v/>
      </c>
      <c r="J1603" s="7" t="str">
        <f aca="false">IFERROR(INDEX('Semrush Data'!$A$1:$Z$20000,MATCH(A1603,'Semrush Data'!$A$1:$A$20000,0),MATCH("Intent",'Semrush Data'!$A$1:$Z$1,0)),"")</f>
        <v/>
      </c>
    </row>
    <row r="1604" customFormat="false" ht="15" hidden="false" customHeight="true" outlineLevel="0" collapsed="false">
      <c r="A1604" s="7" t="s">
        <v>6194</v>
      </c>
      <c r="B1604" s="7" t="s">
        <v>6817</v>
      </c>
      <c r="C1604" s="7" t="n">
        <v>2</v>
      </c>
      <c r="D1604" s="7" t="n">
        <v>17</v>
      </c>
      <c r="E1604" s="7" t="n">
        <v>1</v>
      </c>
      <c r="F1604" s="7" t="s">
        <v>6188</v>
      </c>
      <c r="G1604" s="12" t="str">
        <f aca="false">IFERROR(INDEX('Semrush Data'!$A$1:$Z$20000,MATCH(A1604,'Semrush Data'!$A$1:$A$20000,0),MATCH("Volume",'Semrush Data'!$A$1:$Z$1,0)),"")</f>
        <v/>
      </c>
      <c r="H1604" s="7" t="str">
        <f aca="false">IFERROR(INDEX('Semrush Data'!$A$1:$Z$20000,MATCH(A1604,'Semrush Data'!$A$1:$A$20000,0),MATCH("Keyword Difficulty*",'Semrush Data'!$A$1:$Z$1,0)),"")</f>
        <v/>
      </c>
      <c r="I1604" s="13" t="str">
        <f aca="false">IFERROR(INDEX('Semrush Data'!$A$1:$Z$20000,MATCH(A1604,'Semrush Data'!$A$1:$A$20000,0),MATCH("CPC*",'Semrush Data'!$A$1:$Z$1,0)),"")</f>
        <v/>
      </c>
      <c r="J1604" s="7" t="str">
        <f aca="false">IFERROR(INDEX('Semrush Data'!$A$1:$Z$20000,MATCH(A1604,'Semrush Data'!$A$1:$A$20000,0),MATCH("Intent",'Semrush Data'!$A$1:$Z$1,0)),"")</f>
        <v/>
      </c>
    </row>
    <row r="1605" customFormat="false" ht="15" hidden="false" customHeight="true" outlineLevel="0" collapsed="false">
      <c r="A1605" s="7" t="s">
        <v>6203</v>
      </c>
      <c r="B1605" s="7" t="s">
        <v>6817</v>
      </c>
      <c r="C1605" s="7" t="n">
        <v>2</v>
      </c>
      <c r="D1605" s="7" t="s">
        <v>6815</v>
      </c>
      <c r="E1605" s="7" t="n">
        <v>1</v>
      </c>
      <c r="F1605" s="7" t="s">
        <v>102</v>
      </c>
      <c r="G1605" s="12" t="n">
        <f aca="false">IFERROR(INDEX('Semrush Data'!$A$1:$Z$20000,MATCH(A1605,'Semrush Data'!$A$1:$A$20000,0),MATCH("Volume",'Semrush Data'!$A$1:$Z$1,0)),"")</f>
        <v>20</v>
      </c>
      <c r="H1605" s="7" t="n">
        <f aca="false">IFERROR(INDEX('Semrush Data'!$A$1:$Z$20000,MATCH(A1605,'Semrush Data'!$A$1:$A$20000,0),MATCH("Keyword Difficulty*",'Semrush Data'!$A$1:$Z$1,0)),"")</f>
        <v>16</v>
      </c>
      <c r="I1605" s="13" t="n">
        <f aca="false">IFERROR(INDEX('Semrush Data'!$A$1:$Z$20000,MATCH(A1605,'Semrush Data'!$A$1:$A$20000,0),MATCH("CPC*",'Semrush Data'!$A$1:$Z$1,0)),"")</f>
        <v>0.66</v>
      </c>
      <c r="J1605" s="7" t="str">
        <f aca="false">IFERROR(INDEX('Semrush Data'!$A$1:$Z$20000,MATCH(A1605,'Semrush Data'!$A$1:$A$20000,0),MATCH("Intent",'Semrush Data'!$A$1:$Z$1,0)),"")</f>
        <v>Navigational</v>
      </c>
    </row>
    <row r="1606" customFormat="false" ht="15" hidden="false" customHeight="true" outlineLevel="0" collapsed="false">
      <c r="A1606" s="7" t="s">
        <v>6215</v>
      </c>
      <c r="B1606" s="7" t="s">
        <v>6817</v>
      </c>
      <c r="C1606" s="7" t="n">
        <v>2</v>
      </c>
      <c r="D1606" s="7" t="n">
        <v>17</v>
      </c>
      <c r="E1606" s="7" t="n">
        <v>1</v>
      </c>
      <c r="F1606" s="7" t="s">
        <v>6209</v>
      </c>
      <c r="G1606" s="12" t="str">
        <f aca="false">IFERROR(INDEX('Semrush Data'!$A$1:$Z$20000,MATCH(A1606,'Semrush Data'!$A$1:$A$20000,0),MATCH("Volume",'Semrush Data'!$A$1:$Z$1,0)),"")</f>
        <v/>
      </c>
      <c r="H1606" s="7" t="str">
        <f aca="false">IFERROR(INDEX('Semrush Data'!$A$1:$Z$20000,MATCH(A1606,'Semrush Data'!$A$1:$A$20000,0),MATCH("Keyword Difficulty*",'Semrush Data'!$A$1:$Z$1,0)),"")</f>
        <v/>
      </c>
      <c r="I1606" s="13" t="str">
        <f aca="false">IFERROR(INDEX('Semrush Data'!$A$1:$Z$20000,MATCH(A1606,'Semrush Data'!$A$1:$A$20000,0),MATCH("CPC*",'Semrush Data'!$A$1:$Z$1,0)),"")</f>
        <v/>
      </c>
      <c r="J1606" s="7" t="str">
        <f aca="false">IFERROR(INDEX('Semrush Data'!$A$1:$Z$20000,MATCH(A1606,'Semrush Data'!$A$1:$A$20000,0),MATCH("Intent",'Semrush Data'!$A$1:$Z$1,0)),"")</f>
        <v/>
      </c>
    </row>
    <row r="1607" customFormat="false" ht="15" hidden="false" customHeight="true" outlineLevel="0" collapsed="false">
      <c r="A1607" s="7" t="s">
        <v>6226</v>
      </c>
      <c r="B1607" s="7" t="s">
        <v>6817</v>
      </c>
      <c r="C1607" s="7" t="n">
        <v>2</v>
      </c>
      <c r="D1607" s="7" t="n">
        <v>17</v>
      </c>
      <c r="E1607" s="7" t="n">
        <v>1</v>
      </c>
      <c r="F1607" s="7" t="s">
        <v>6220</v>
      </c>
      <c r="G1607" s="12" t="str">
        <f aca="false">IFERROR(INDEX('Semrush Data'!$A$1:$Z$20000,MATCH(A1607,'Semrush Data'!$A$1:$A$20000,0),MATCH("Volume",'Semrush Data'!$A$1:$Z$1,0)),"")</f>
        <v/>
      </c>
      <c r="H1607" s="7" t="str">
        <f aca="false">IFERROR(INDEX('Semrush Data'!$A$1:$Z$20000,MATCH(A1607,'Semrush Data'!$A$1:$A$20000,0),MATCH("Keyword Difficulty*",'Semrush Data'!$A$1:$Z$1,0)),"")</f>
        <v/>
      </c>
      <c r="I1607" s="13" t="str">
        <f aca="false">IFERROR(INDEX('Semrush Data'!$A$1:$Z$20000,MATCH(A1607,'Semrush Data'!$A$1:$A$20000,0),MATCH("CPC*",'Semrush Data'!$A$1:$Z$1,0)),"")</f>
        <v/>
      </c>
      <c r="J1607" s="7" t="str">
        <f aca="false">IFERROR(INDEX('Semrush Data'!$A$1:$Z$20000,MATCH(A1607,'Semrush Data'!$A$1:$A$20000,0),MATCH("Intent",'Semrush Data'!$A$1:$Z$1,0)),"")</f>
        <v/>
      </c>
    </row>
    <row r="1608" customFormat="false" ht="15" hidden="false" customHeight="true" outlineLevel="0" collapsed="false">
      <c r="A1608" s="7" t="s">
        <v>6237</v>
      </c>
      <c r="B1608" s="7" t="s">
        <v>6817</v>
      </c>
      <c r="C1608" s="7" t="n">
        <v>2</v>
      </c>
      <c r="D1608" s="7" t="n">
        <v>17</v>
      </c>
      <c r="E1608" s="7" t="n">
        <v>1</v>
      </c>
      <c r="F1608" s="7" t="s">
        <v>6231</v>
      </c>
      <c r="G1608" s="12" t="str">
        <f aca="false">IFERROR(INDEX('Semrush Data'!$A$1:$Z$20000,MATCH(A1608,'Semrush Data'!$A$1:$A$20000,0),MATCH("Volume",'Semrush Data'!$A$1:$Z$1,0)),"")</f>
        <v/>
      </c>
      <c r="H1608" s="7" t="str">
        <f aca="false">IFERROR(INDEX('Semrush Data'!$A$1:$Z$20000,MATCH(A1608,'Semrush Data'!$A$1:$A$20000,0),MATCH("Keyword Difficulty*",'Semrush Data'!$A$1:$Z$1,0)),"")</f>
        <v/>
      </c>
      <c r="I1608" s="13" t="str">
        <f aca="false">IFERROR(INDEX('Semrush Data'!$A$1:$Z$20000,MATCH(A1608,'Semrush Data'!$A$1:$A$20000,0),MATCH("CPC*",'Semrush Data'!$A$1:$Z$1,0)),"")</f>
        <v/>
      </c>
      <c r="J1608" s="7" t="str">
        <f aca="false">IFERROR(INDEX('Semrush Data'!$A$1:$Z$20000,MATCH(A1608,'Semrush Data'!$A$1:$A$20000,0),MATCH("Intent",'Semrush Data'!$A$1:$Z$1,0)),"")</f>
        <v/>
      </c>
    </row>
    <row r="1609" customFormat="false" ht="15" hidden="false" customHeight="true" outlineLevel="0" collapsed="false">
      <c r="A1609" s="7" t="s">
        <v>6248</v>
      </c>
      <c r="B1609" s="7" t="s">
        <v>6817</v>
      </c>
      <c r="C1609" s="7" t="n">
        <v>2</v>
      </c>
      <c r="D1609" s="7" t="n">
        <v>17</v>
      </c>
      <c r="E1609" s="7" t="n">
        <v>1</v>
      </c>
      <c r="F1609" s="7" t="s">
        <v>6242</v>
      </c>
      <c r="G1609" s="12" t="str">
        <f aca="false">IFERROR(INDEX('Semrush Data'!$A$1:$Z$20000,MATCH(A1609,'Semrush Data'!$A$1:$A$20000,0),MATCH("Volume",'Semrush Data'!$A$1:$Z$1,0)),"")</f>
        <v/>
      </c>
      <c r="H1609" s="7" t="str">
        <f aca="false">IFERROR(INDEX('Semrush Data'!$A$1:$Z$20000,MATCH(A1609,'Semrush Data'!$A$1:$A$20000,0),MATCH("Keyword Difficulty*",'Semrush Data'!$A$1:$Z$1,0)),"")</f>
        <v/>
      </c>
      <c r="I1609" s="13" t="str">
        <f aca="false">IFERROR(INDEX('Semrush Data'!$A$1:$Z$20000,MATCH(A1609,'Semrush Data'!$A$1:$A$20000,0),MATCH("CPC*",'Semrush Data'!$A$1:$Z$1,0)),"")</f>
        <v/>
      </c>
      <c r="J1609" s="7" t="str">
        <f aca="false">IFERROR(INDEX('Semrush Data'!$A$1:$Z$20000,MATCH(A1609,'Semrush Data'!$A$1:$A$20000,0),MATCH("Intent",'Semrush Data'!$A$1:$Z$1,0)),"")</f>
        <v/>
      </c>
    </row>
    <row r="1610" customFormat="false" ht="15" hidden="false" customHeight="true" outlineLevel="0" collapsed="false">
      <c r="A1610" s="7" t="s">
        <v>6258</v>
      </c>
      <c r="B1610" s="7" t="s">
        <v>6817</v>
      </c>
      <c r="C1610" s="7" t="n">
        <v>2</v>
      </c>
      <c r="D1610" s="7" t="n">
        <v>17</v>
      </c>
      <c r="E1610" s="7" t="n">
        <v>1</v>
      </c>
      <c r="F1610" s="7" t="s">
        <v>6252</v>
      </c>
      <c r="G1610" s="12" t="str">
        <f aca="false">IFERROR(INDEX('Semrush Data'!$A$1:$Z$20000,MATCH(A1610,'Semrush Data'!$A$1:$A$20000,0),MATCH("Volume",'Semrush Data'!$A$1:$Z$1,0)),"")</f>
        <v/>
      </c>
      <c r="H1610" s="7" t="str">
        <f aca="false">IFERROR(INDEX('Semrush Data'!$A$1:$Z$20000,MATCH(A1610,'Semrush Data'!$A$1:$A$20000,0),MATCH("Keyword Difficulty*",'Semrush Data'!$A$1:$Z$1,0)),"")</f>
        <v/>
      </c>
      <c r="I1610" s="13" t="str">
        <f aca="false">IFERROR(INDEX('Semrush Data'!$A$1:$Z$20000,MATCH(A1610,'Semrush Data'!$A$1:$A$20000,0),MATCH("CPC*",'Semrush Data'!$A$1:$Z$1,0)),"")</f>
        <v/>
      </c>
      <c r="J1610" s="7" t="str">
        <f aca="false">IFERROR(INDEX('Semrush Data'!$A$1:$Z$20000,MATCH(A1610,'Semrush Data'!$A$1:$A$20000,0),MATCH("Intent",'Semrush Data'!$A$1:$Z$1,0)),"")</f>
        <v/>
      </c>
    </row>
    <row r="1611" customFormat="false" ht="15" hidden="false" customHeight="true" outlineLevel="0" collapsed="false">
      <c r="A1611" s="7" t="s">
        <v>6269</v>
      </c>
      <c r="B1611" s="7" t="s">
        <v>6817</v>
      </c>
      <c r="C1611" s="7" t="n">
        <v>2</v>
      </c>
      <c r="D1611" s="7" t="n">
        <v>17</v>
      </c>
      <c r="E1611" s="7" t="n">
        <v>1</v>
      </c>
      <c r="F1611" s="7" t="s">
        <v>6263</v>
      </c>
      <c r="G1611" s="12" t="str">
        <f aca="false">IFERROR(INDEX('Semrush Data'!$A$1:$Z$20000,MATCH(A1611,'Semrush Data'!$A$1:$A$20000,0),MATCH("Volume",'Semrush Data'!$A$1:$Z$1,0)),"")</f>
        <v/>
      </c>
      <c r="H1611" s="7" t="str">
        <f aca="false">IFERROR(INDEX('Semrush Data'!$A$1:$Z$20000,MATCH(A1611,'Semrush Data'!$A$1:$A$20000,0),MATCH("Keyword Difficulty*",'Semrush Data'!$A$1:$Z$1,0)),"")</f>
        <v/>
      </c>
      <c r="I1611" s="13" t="str">
        <f aca="false">IFERROR(INDEX('Semrush Data'!$A$1:$Z$20000,MATCH(A1611,'Semrush Data'!$A$1:$A$20000,0),MATCH("CPC*",'Semrush Data'!$A$1:$Z$1,0)),"")</f>
        <v/>
      </c>
      <c r="J1611" s="7" t="str">
        <f aca="false">IFERROR(INDEX('Semrush Data'!$A$1:$Z$20000,MATCH(A1611,'Semrush Data'!$A$1:$A$20000,0),MATCH("Intent",'Semrush Data'!$A$1:$Z$1,0)),"")</f>
        <v/>
      </c>
    </row>
    <row r="1612" customFormat="false" ht="15" hidden="false" customHeight="true" outlineLevel="0" collapsed="false">
      <c r="A1612" s="7" t="s">
        <v>6281</v>
      </c>
      <c r="B1612" s="7" t="s">
        <v>6817</v>
      </c>
      <c r="C1612" s="7" t="n">
        <v>2</v>
      </c>
      <c r="D1612" s="7" t="n">
        <v>17</v>
      </c>
      <c r="E1612" s="7" t="n">
        <v>1</v>
      </c>
      <c r="F1612" s="7" t="s">
        <v>6274</v>
      </c>
      <c r="G1612" s="12" t="str">
        <f aca="false">IFERROR(INDEX('Semrush Data'!$A$1:$Z$20000,MATCH(A1612,'Semrush Data'!$A$1:$A$20000,0),MATCH("Volume",'Semrush Data'!$A$1:$Z$1,0)),"")</f>
        <v/>
      </c>
      <c r="H1612" s="7" t="str">
        <f aca="false">IFERROR(INDEX('Semrush Data'!$A$1:$Z$20000,MATCH(A1612,'Semrush Data'!$A$1:$A$20000,0),MATCH("Keyword Difficulty*",'Semrush Data'!$A$1:$Z$1,0)),"")</f>
        <v/>
      </c>
      <c r="I1612" s="13" t="str">
        <f aca="false">IFERROR(INDEX('Semrush Data'!$A$1:$Z$20000,MATCH(A1612,'Semrush Data'!$A$1:$A$20000,0),MATCH("CPC*",'Semrush Data'!$A$1:$Z$1,0)),"")</f>
        <v/>
      </c>
      <c r="J1612" s="7" t="str">
        <f aca="false">IFERROR(INDEX('Semrush Data'!$A$1:$Z$20000,MATCH(A1612,'Semrush Data'!$A$1:$A$20000,0),MATCH("Intent",'Semrush Data'!$A$1:$Z$1,0)),"")</f>
        <v/>
      </c>
    </row>
    <row r="1613" customFormat="false" ht="15" hidden="false" customHeight="true" outlineLevel="0" collapsed="false">
      <c r="A1613" s="7" t="s">
        <v>6292</v>
      </c>
      <c r="B1613" s="7" t="s">
        <v>6817</v>
      </c>
      <c r="C1613" s="7" t="n">
        <v>2</v>
      </c>
      <c r="D1613" s="7" t="n">
        <v>17</v>
      </c>
      <c r="E1613" s="7" t="n">
        <v>1</v>
      </c>
      <c r="F1613" s="7" t="s">
        <v>6286</v>
      </c>
      <c r="G1613" s="12" t="str">
        <f aca="false">IFERROR(INDEX('Semrush Data'!$A$1:$Z$20000,MATCH(A1613,'Semrush Data'!$A$1:$A$20000,0),MATCH("Volume",'Semrush Data'!$A$1:$Z$1,0)),"")</f>
        <v/>
      </c>
      <c r="H1613" s="7" t="str">
        <f aca="false">IFERROR(INDEX('Semrush Data'!$A$1:$Z$20000,MATCH(A1613,'Semrush Data'!$A$1:$A$20000,0),MATCH("Keyword Difficulty*",'Semrush Data'!$A$1:$Z$1,0)),"")</f>
        <v/>
      </c>
      <c r="I1613" s="13" t="str">
        <f aca="false">IFERROR(INDEX('Semrush Data'!$A$1:$Z$20000,MATCH(A1613,'Semrush Data'!$A$1:$A$20000,0),MATCH("CPC*",'Semrush Data'!$A$1:$Z$1,0)),"")</f>
        <v/>
      </c>
      <c r="J1613" s="7" t="str">
        <f aca="false">IFERROR(INDEX('Semrush Data'!$A$1:$Z$20000,MATCH(A1613,'Semrush Data'!$A$1:$A$20000,0),MATCH("Intent",'Semrush Data'!$A$1:$Z$1,0)),"")</f>
        <v/>
      </c>
    </row>
    <row r="1614" customFormat="false" ht="15" hidden="false" customHeight="true" outlineLevel="0" collapsed="false">
      <c r="A1614" s="7" t="s">
        <v>6332</v>
      </c>
      <c r="B1614" s="7" t="s">
        <v>6817</v>
      </c>
      <c r="C1614" s="7" t="n">
        <v>2</v>
      </c>
      <c r="D1614" s="7" t="s">
        <v>6815</v>
      </c>
      <c r="E1614" s="7" t="n">
        <v>1</v>
      </c>
      <c r="F1614" s="7" t="s">
        <v>48</v>
      </c>
      <c r="G1614" s="12" t="n">
        <f aca="false">IFERROR(INDEX('Semrush Data'!$A$1:$Z$20000,MATCH(A1614,'Semrush Data'!$A$1:$A$20000,0),MATCH("Volume",'Semrush Data'!$A$1:$Z$1,0)),"")</f>
        <v>720</v>
      </c>
      <c r="H1614" s="7" t="n">
        <f aca="false">IFERROR(INDEX('Semrush Data'!$A$1:$Z$20000,MATCH(A1614,'Semrush Data'!$A$1:$A$20000,0),MATCH("Keyword Difficulty*",'Semrush Data'!$A$1:$Z$1,0)),"")</f>
        <v>20</v>
      </c>
      <c r="I1614" s="13" t="n">
        <f aca="false">IFERROR(INDEX('Semrush Data'!$A$1:$Z$20000,MATCH(A1614,'Semrush Data'!$A$1:$A$20000,0),MATCH("CPC*",'Semrush Data'!$A$1:$Z$1,0)),"")</f>
        <v>0.42</v>
      </c>
      <c r="J1614" s="7" t="str">
        <f aca="false">IFERROR(INDEX('Semrush Data'!$A$1:$Z$20000,MATCH(A1614,'Semrush Data'!$A$1:$A$20000,0),MATCH("Intent",'Semrush Data'!$A$1:$Z$1,0)),"")</f>
        <v>Informational</v>
      </c>
    </row>
    <row r="1615" customFormat="false" ht="15" hidden="false" customHeight="true" outlineLevel="0" collapsed="false">
      <c r="A1615" s="7" t="s">
        <v>6324</v>
      </c>
      <c r="B1615" s="7" t="s">
        <v>6817</v>
      </c>
      <c r="C1615" s="7" t="n">
        <v>2</v>
      </c>
      <c r="D1615" s="7" t="s">
        <v>6815</v>
      </c>
      <c r="E1615" s="7" t="n">
        <v>1</v>
      </c>
      <c r="F1615" s="7" t="s">
        <v>94</v>
      </c>
      <c r="G1615" s="12" t="n">
        <f aca="false">IFERROR(INDEX('Semrush Data'!$A$1:$Z$20000,MATCH(A1615,'Semrush Data'!$A$1:$A$20000,0),MATCH("Volume",'Semrush Data'!$A$1:$Z$1,0)),"")</f>
        <v>10</v>
      </c>
      <c r="H1615" s="7" t="n">
        <f aca="false">IFERROR(INDEX('Semrush Data'!$A$1:$Z$20000,MATCH(A1615,'Semrush Data'!$A$1:$A$20000,0),MATCH("Keyword Difficulty*",'Semrush Data'!$A$1:$Z$1,0)),"")</f>
        <v>15</v>
      </c>
      <c r="I1615" s="13" t="n">
        <f aca="false">IFERROR(INDEX('Semrush Data'!$A$1:$Z$20000,MATCH(A1615,'Semrush Data'!$A$1:$A$20000,0),MATCH("CPC*",'Semrush Data'!$A$1:$Z$1,0)),"")</f>
        <v>0.52</v>
      </c>
      <c r="J1615" s="7" t="str">
        <f aca="false">IFERROR(INDEX('Semrush Data'!$A$1:$Z$20000,MATCH(A1615,'Semrush Data'!$A$1:$A$20000,0),MATCH("Intent",'Semrush Data'!$A$1:$Z$1,0)),"")</f>
        <v>Transactional Navigational</v>
      </c>
    </row>
    <row r="1616" customFormat="false" ht="15" hidden="false" customHeight="true" outlineLevel="0" collapsed="false">
      <c r="A1616" s="7" t="s">
        <v>6303</v>
      </c>
      <c r="B1616" s="7" t="s">
        <v>6817</v>
      </c>
      <c r="C1616" s="7" t="n">
        <v>2</v>
      </c>
      <c r="D1616" s="7" t="s">
        <v>6815</v>
      </c>
      <c r="E1616" s="7" t="n">
        <v>1</v>
      </c>
      <c r="F1616" s="7" t="s">
        <v>66</v>
      </c>
      <c r="G1616" s="12" t="n">
        <f aca="false">IFERROR(INDEX('Semrush Data'!$A$1:$Z$20000,MATCH(A1616,'Semrush Data'!$A$1:$A$20000,0),MATCH("Volume",'Semrush Data'!$A$1:$Z$1,0)),"")</f>
        <v>140</v>
      </c>
      <c r="H1616" s="7" t="n">
        <f aca="false">IFERROR(INDEX('Semrush Data'!$A$1:$Z$20000,MATCH(A1616,'Semrush Data'!$A$1:$A$20000,0),MATCH("Keyword Difficulty*",'Semrush Data'!$A$1:$Z$1,0)),"")</f>
        <v>18</v>
      </c>
      <c r="I1616" s="13" t="n">
        <f aca="false">IFERROR(INDEX('Semrush Data'!$A$1:$Z$20000,MATCH(A1616,'Semrush Data'!$A$1:$A$20000,0),MATCH("CPC*",'Semrush Data'!$A$1:$Z$1,0)),"")</f>
        <v>0.7</v>
      </c>
      <c r="J1616" s="7" t="str">
        <f aca="false">IFERROR(INDEX('Semrush Data'!$A$1:$Z$20000,MATCH(A1616,'Semrush Data'!$A$1:$A$20000,0),MATCH("Intent",'Semrush Data'!$A$1:$Z$1,0)),"")</f>
        <v>Informational</v>
      </c>
    </row>
    <row r="1617" customFormat="false" ht="15" hidden="false" customHeight="true" outlineLevel="0" collapsed="false">
      <c r="A1617" s="7" t="s">
        <v>6340</v>
      </c>
      <c r="B1617" s="7" t="s">
        <v>6817</v>
      </c>
      <c r="C1617" s="7" t="n">
        <v>2</v>
      </c>
      <c r="D1617" s="7" t="s">
        <v>6815</v>
      </c>
      <c r="E1617" s="7" t="n">
        <v>1</v>
      </c>
      <c r="F1617" s="7" t="s">
        <v>54</v>
      </c>
      <c r="G1617" s="12" t="n">
        <f aca="false">IFERROR(INDEX('Semrush Data'!$A$1:$Z$20000,MATCH(A1617,'Semrush Data'!$A$1:$A$20000,0),MATCH("Volume",'Semrush Data'!$A$1:$Z$1,0)),"")</f>
        <v>1600</v>
      </c>
      <c r="H1617" s="7" t="n">
        <f aca="false">IFERROR(INDEX('Semrush Data'!$A$1:$Z$20000,MATCH(A1617,'Semrush Data'!$A$1:$A$20000,0),MATCH("Keyword Difficulty*",'Semrush Data'!$A$1:$Z$1,0)),"")</f>
        <v>16</v>
      </c>
      <c r="I1617" s="13" t="n">
        <f aca="false">IFERROR(INDEX('Semrush Data'!$A$1:$Z$20000,MATCH(A1617,'Semrush Data'!$A$1:$A$20000,0),MATCH("CPC*",'Semrush Data'!$A$1:$Z$1,0)),"")</f>
        <v>0.5</v>
      </c>
      <c r="J1617" s="7" t="str">
        <f aca="false">IFERROR(INDEX('Semrush Data'!$A$1:$Z$20000,MATCH(A1617,'Semrush Data'!$A$1:$A$20000,0),MATCH("Intent",'Semrush Data'!$A$1:$Z$1,0)),"")</f>
        <v>Informational</v>
      </c>
    </row>
    <row r="1618" customFormat="false" ht="15" hidden="false" customHeight="true" outlineLevel="0" collapsed="false">
      <c r="A1618" s="7" t="s">
        <v>6312</v>
      </c>
      <c r="B1618" s="7" t="s">
        <v>6817</v>
      </c>
      <c r="C1618" s="7" t="n">
        <v>2</v>
      </c>
      <c r="D1618" s="7" t="s">
        <v>6815</v>
      </c>
      <c r="E1618" s="7" t="n">
        <v>2</v>
      </c>
      <c r="F1618" s="7" t="s">
        <v>6810</v>
      </c>
      <c r="G1618" s="12" t="n">
        <f aca="false">IFERROR(INDEX('Semrush Data'!$A$1:$Z$20000,MATCH(A1618,'Semrush Data'!$A$1:$A$20000,0),MATCH("Volume",'Semrush Data'!$A$1:$Z$1,0)),"")</f>
        <v>320</v>
      </c>
      <c r="H1618" s="7" t="n">
        <f aca="false">IFERROR(INDEX('Semrush Data'!$A$1:$Z$20000,MATCH(A1618,'Semrush Data'!$A$1:$A$20000,0),MATCH("Keyword Difficulty*",'Semrush Data'!$A$1:$Z$1,0)),"")</f>
        <v>20</v>
      </c>
      <c r="I1618" s="13" t="n">
        <f aca="false">IFERROR(INDEX('Semrush Data'!$A$1:$Z$20000,MATCH(A1618,'Semrush Data'!$A$1:$A$20000,0),MATCH("CPC*",'Semrush Data'!$A$1:$Z$1,0)),"")</f>
        <v>0.62</v>
      </c>
      <c r="J1618" s="7" t="str">
        <f aca="false">IFERROR(INDEX('Semrush Data'!$A$1:$Z$20000,MATCH(A1618,'Semrush Data'!$A$1:$A$20000,0),MATCH("Intent",'Semrush Data'!$A$1:$Z$1,0)),"")</f>
        <v>Informational</v>
      </c>
    </row>
    <row r="1619" customFormat="false" ht="15" hidden="false" customHeight="true" outlineLevel="0" collapsed="false">
      <c r="A1619" s="7" t="s">
        <v>6375</v>
      </c>
      <c r="B1619" s="7" t="s">
        <v>6817</v>
      </c>
      <c r="C1619" s="7" t="n">
        <v>2</v>
      </c>
      <c r="D1619" s="7" t="n">
        <v>17</v>
      </c>
      <c r="E1619" s="7" t="n">
        <v>1</v>
      </c>
      <c r="F1619" s="7" t="s">
        <v>6369</v>
      </c>
      <c r="G1619" s="12" t="str">
        <f aca="false">IFERROR(INDEX('Semrush Data'!$A$1:$Z$20000,MATCH(A1619,'Semrush Data'!$A$1:$A$20000,0),MATCH("Volume",'Semrush Data'!$A$1:$Z$1,0)),"")</f>
        <v/>
      </c>
      <c r="H1619" s="7" t="str">
        <f aca="false">IFERROR(INDEX('Semrush Data'!$A$1:$Z$20000,MATCH(A1619,'Semrush Data'!$A$1:$A$20000,0),MATCH("Keyword Difficulty*",'Semrush Data'!$A$1:$Z$1,0)),"")</f>
        <v/>
      </c>
      <c r="I1619" s="13" t="str">
        <f aca="false">IFERROR(INDEX('Semrush Data'!$A$1:$Z$20000,MATCH(A1619,'Semrush Data'!$A$1:$A$20000,0),MATCH("CPC*",'Semrush Data'!$A$1:$Z$1,0)),"")</f>
        <v/>
      </c>
      <c r="J1619" s="7" t="str">
        <f aca="false">IFERROR(INDEX('Semrush Data'!$A$1:$Z$20000,MATCH(A1619,'Semrush Data'!$A$1:$A$20000,0),MATCH("Intent",'Semrush Data'!$A$1:$Z$1,0)),"")</f>
        <v/>
      </c>
    </row>
    <row r="1620" customFormat="false" ht="15" hidden="false" customHeight="true" outlineLevel="0" collapsed="false">
      <c r="A1620" s="7" t="s">
        <v>6386</v>
      </c>
      <c r="B1620" s="7" t="s">
        <v>6817</v>
      </c>
      <c r="C1620" s="7" t="n">
        <v>2</v>
      </c>
      <c r="D1620" s="7" t="n">
        <v>17</v>
      </c>
      <c r="E1620" s="7" t="n">
        <v>1</v>
      </c>
      <c r="F1620" s="7" t="s">
        <v>6380</v>
      </c>
      <c r="G1620" s="12" t="str">
        <f aca="false">IFERROR(INDEX('Semrush Data'!$A$1:$Z$20000,MATCH(A1620,'Semrush Data'!$A$1:$A$20000,0),MATCH("Volume",'Semrush Data'!$A$1:$Z$1,0)),"")</f>
        <v/>
      </c>
      <c r="H1620" s="7" t="str">
        <f aca="false">IFERROR(INDEX('Semrush Data'!$A$1:$Z$20000,MATCH(A1620,'Semrush Data'!$A$1:$A$20000,0),MATCH("Keyword Difficulty*",'Semrush Data'!$A$1:$Z$1,0)),"")</f>
        <v/>
      </c>
      <c r="I1620" s="13" t="str">
        <f aca="false">IFERROR(INDEX('Semrush Data'!$A$1:$Z$20000,MATCH(A1620,'Semrush Data'!$A$1:$A$20000,0),MATCH("CPC*",'Semrush Data'!$A$1:$Z$1,0)),"")</f>
        <v/>
      </c>
      <c r="J1620" s="7" t="str">
        <f aca="false">IFERROR(INDEX('Semrush Data'!$A$1:$Z$20000,MATCH(A1620,'Semrush Data'!$A$1:$A$20000,0),MATCH("Intent",'Semrush Data'!$A$1:$Z$1,0)),"")</f>
        <v/>
      </c>
    </row>
    <row r="1621" customFormat="false" ht="15" hidden="false" customHeight="true" outlineLevel="0" collapsed="false">
      <c r="A1621" s="7" t="s">
        <v>6364</v>
      </c>
      <c r="B1621" s="7" t="s">
        <v>6817</v>
      </c>
      <c r="C1621" s="7" t="n">
        <v>2</v>
      </c>
      <c r="D1621" s="7" t="n">
        <v>17</v>
      </c>
      <c r="E1621" s="7" t="n">
        <v>1</v>
      </c>
      <c r="F1621" s="7" t="s">
        <v>6358</v>
      </c>
      <c r="G1621" s="12" t="str">
        <f aca="false">IFERROR(INDEX('Semrush Data'!$A$1:$Z$20000,MATCH(A1621,'Semrush Data'!$A$1:$A$20000,0),MATCH("Volume",'Semrush Data'!$A$1:$Z$1,0)),"")</f>
        <v/>
      </c>
      <c r="H1621" s="7" t="str">
        <f aca="false">IFERROR(INDEX('Semrush Data'!$A$1:$Z$20000,MATCH(A1621,'Semrush Data'!$A$1:$A$20000,0),MATCH("Keyword Difficulty*",'Semrush Data'!$A$1:$Z$1,0)),"")</f>
        <v/>
      </c>
      <c r="I1621" s="13" t="str">
        <f aca="false">IFERROR(INDEX('Semrush Data'!$A$1:$Z$20000,MATCH(A1621,'Semrush Data'!$A$1:$A$20000,0),MATCH("CPC*",'Semrush Data'!$A$1:$Z$1,0)),"")</f>
        <v/>
      </c>
      <c r="J1621" s="7" t="str">
        <f aca="false">IFERROR(INDEX('Semrush Data'!$A$1:$Z$20000,MATCH(A1621,'Semrush Data'!$A$1:$A$20000,0),MATCH("Intent",'Semrush Data'!$A$1:$Z$1,0)),"")</f>
        <v/>
      </c>
    </row>
    <row r="1622" customFormat="false" ht="15" hidden="false" customHeight="true" outlineLevel="0" collapsed="false">
      <c r="A1622" s="7" t="s">
        <v>6353</v>
      </c>
      <c r="B1622" s="7" t="s">
        <v>6817</v>
      </c>
      <c r="C1622" s="7" t="n">
        <v>2</v>
      </c>
      <c r="D1622" s="7" t="n">
        <v>17</v>
      </c>
      <c r="E1622" s="7" t="n">
        <v>1</v>
      </c>
      <c r="F1622" s="7" t="s">
        <v>6345</v>
      </c>
      <c r="G1622" s="12" t="str">
        <f aca="false">IFERROR(INDEX('Semrush Data'!$A$1:$Z$20000,MATCH(A1622,'Semrush Data'!$A$1:$A$20000,0),MATCH("Volume",'Semrush Data'!$A$1:$Z$1,0)),"")</f>
        <v/>
      </c>
      <c r="H1622" s="7" t="str">
        <f aca="false">IFERROR(INDEX('Semrush Data'!$A$1:$Z$20000,MATCH(A1622,'Semrush Data'!$A$1:$A$20000,0),MATCH("Keyword Difficulty*",'Semrush Data'!$A$1:$Z$1,0)),"")</f>
        <v/>
      </c>
      <c r="I1622" s="13" t="str">
        <f aca="false">IFERROR(INDEX('Semrush Data'!$A$1:$Z$20000,MATCH(A1622,'Semrush Data'!$A$1:$A$20000,0),MATCH("CPC*",'Semrush Data'!$A$1:$Z$1,0)),"")</f>
        <v/>
      </c>
      <c r="J1622" s="7" t="str">
        <f aca="false">IFERROR(INDEX('Semrush Data'!$A$1:$Z$20000,MATCH(A1622,'Semrush Data'!$A$1:$A$20000,0),MATCH("Intent",'Semrush Data'!$A$1:$Z$1,0)),"")</f>
        <v/>
      </c>
    </row>
    <row r="1623" customFormat="false" ht="15" hidden="false" customHeight="true" outlineLevel="0" collapsed="false">
      <c r="A1623" s="7" t="s">
        <v>6419</v>
      </c>
      <c r="B1623" s="7" t="s">
        <v>6817</v>
      </c>
      <c r="C1623" s="7" t="n">
        <v>2</v>
      </c>
      <c r="D1623" s="7" t="n">
        <v>17</v>
      </c>
      <c r="E1623" s="7" t="n">
        <v>1</v>
      </c>
      <c r="F1623" s="7" t="s">
        <v>6412</v>
      </c>
      <c r="G1623" s="12" t="str">
        <f aca="false">IFERROR(INDEX('Semrush Data'!$A$1:$Z$20000,MATCH(A1623,'Semrush Data'!$A$1:$A$20000,0),MATCH("Volume",'Semrush Data'!$A$1:$Z$1,0)),"")</f>
        <v/>
      </c>
      <c r="H1623" s="7" t="str">
        <f aca="false">IFERROR(INDEX('Semrush Data'!$A$1:$Z$20000,MATCH(A1623,'Semrush Data'!$A$1:$A$20000,0),MATCH("Keyword Difficulty*",'Semrush Data'!$A$1:$Z$1,0)),"")</f>
        <v/>
      </c>
      <c r="I1623" s="13" t="str">
        <f aca="false">IFERROR(INDEX('Semrush Data'!$A$1:$Z$20000,MATCH(A1623,'Semrush Data'!$A$1:$A$20000,0),MATCH("CPC*",'Semrush Data'!$A$1:$Z$1,0)),"")</f>
        <v/>
      </c>
      <c r="J1623" s="7" t="str">
        <f aca="false">IFERROR(INDEX('Semrush Data'!$A$1:$Z$20000,MATCH(A1623,'Semrush Data'!$A$1:$A$20000,0),MATCH("Intent",'Semrush Data'!$A$1:$Z$1,0)),"")</f>
        <v/>
      </c>
    </row>
    <row r="1624" customFormat="false" ht="15" hidden="false" customHeight="true" outlineLevel="0" collapsed="false">
      <c r="A1624" s="7" t="s">
        <v>6431</v>
      </c>
      <c r="B1624" s="7" t="s">
        <v>6817</v>
      </c>
      <c r="C1624" s="7" t="n">
        <v>2</v>
      </c>
      <c r="D1624" s="7" t="n">
        <v>17</v>
      </c>
      <c r="E1624" s="7" t="n">
        <v>1</v>
      </c>
      <c r="F1624" s="7" t="s">
        <v>6424</v>
      </c>
      <c r="G1624" s="12" t="str">
        <f aca="false">IFERROR(INDEX('Semrush Data'!$A$1:$Z$20000,MATCH(A1624,'Semrush Data'!$A$1:$A$20000,0),MATCH("Volume",'Semrush Data'!$A$1:$Z$1,0)),"")</f>
        <v/>
      </c>
      <c r="H1624" s="7" t="str">
        <f aca="false">IFERROR(INDEX('Semrush Data'!$A$1:$Z$20000,MATCH(A1624,'Semrush Data'!$A$1:$A$20000,0),MATCH("Keyword Difficulty*",'Semrush Data'!$A$1:$Z$1,0)),"")</f>
        <v/>
      </c>
      <c r="I1624" s="13" t="str">
        <f aca="false">IFERROR(INDEX('Semrush Data'!$A$1:$Z$20000,MATCH(A1624,'Semrush Data'!$A$1:$A$20000,0),MATCH("CPC*",'Semrush Data'!$A$1:$Z$1,0)),"")</f>
        <v/>
      </c>
      <c r="J1624" s="7" t="str">
        <f aca="false">IFERROR(INDEX('Semrush Data'!$A$1:$Z$20000,MATCH(A1624,'Semrush Data'!$A$1:$A$20000,0),MATCH("Intent",'Semrush Data'!$A$1:$Z$1,0)),"")</f>
        <v/>
      </c>
    </row>
    <row r="1625" customFormat="false" ht="15" hidden="false" customHeight="true" outlineLevel="0" collapsed="false">
      <c r="A1625" s="7" t="s">
        <v>2399</v>
      </c>
      <c r="B1625" s="7" t="s">
        <v>1355</v>
      </c>
      <c r="C1625" s="7" t="n">
        <v>3</v>
      </c>
      <c r="D1625" s="7" t="n">
        <v>17</v>
      </c>
      <c r="E1625" s="7" t="n">
        <v>1</v>
      </c>
      <c r="F1625" s="7" t="s">
        <v>2389</v>
      </c>
      <c r="G1625" s="12" t="str">
        <f aca="false">IFERROR(INDEX('Semrush Data'!$A$1:$Z$20000,MATCH(A1625,'Semrush Data'!$A$1:$A$20000,0),MATCH("Volume",'Semrush Data'!$A$1:$Z$1,0)),"")</f>
        <v/>
      </c>
      <c r="H1625" s="7" t="str">
        <f aca="false">IFERROR(INDEX('Semrush Data'!$A$1:$Z$20000,MATCH(A1625,'Semrush Data'!$A$1:$A$20000,0),MATCH("Keyword Difficulty*",'Semrush Data'!$A$1:$Z$1,0)),"")</f>
        <v/>
      </c>
      <c r="I1625" s="13" t="str">
        <f aca="false">IFERROR(INDEX('Semrush Data'!$A$1:$Z$20000,MATCH(A1625,'Semrush Data'!$A$1:$A$20000,0),MATCH("CPC*",'Semrush Data'!$A$1:$Z$1,0)),"")</f>
        <v/>
      </c>
      <c r="J1625" s="7" t="str">
        <f aca="false">IFERROR(INDEX('Semrush Data'!$A$1:$Z$20000,MATCH(A1625,'Semrush Data'!$A$1:$A$20000,0),MATCH("Intent",'Semrush Data'!$A$1:$Z$1,0)),"")</f>
        <v/>
      </c>
    </row>
    <row r="1626" customFormat="false" ht="15" hidden="false" customHeight="true" outlineLevel="0" collapsed="false">
      <c r="A1626" s="7" t="s">
        <v>2411</v>
      </c>
      <c r="B1626" s="7" t="s">
        <v>1355</v>
      </c>
      <c r="C1626" s="7" t="n">
        <v>3</v>
      </c>
      <c r="D1626" s="7" t="n">
        <v>17</v>
      </c>
      <c r="E1626" s="7" t="n">
        <v>1</v>
      </c>
      <c r="F1626" s="7" t="s">
        <v>2407</v>
      </c>
      <c r="G1626" s="12" t="str">
        <f aca="false">IFERROR(INDEX('Semrush Data'!$A$1:$Z$20000,MATCH(A1626,'Semrush Data'!$A$1:$A$20000,0),MATCH("Volume",'Semrush Data'!$A$1:$Z$1,0)),"")</f>
        <v/>
      </c>
      <c r="H1626" s="7" t="str">
        <f aca="false">IFERROR(INDEX('Semrush Data'!$A$1:$Z$20000,MATCH(A1626,'Semrush Data'!$A$1:$A$20000,0),MATCH("Keyword Difficulty*",'Semrush Data'!$A$1:$Z$1,0)),"")</f>
        <v/>
      </c>
      <c r="I1626" s="13" t="str">
        <f aca="false">IFERROR(INDEX('Semrush Data'!$A$1:$Z$20000,MATCH(A1626,'Semrush Data'!$A$1:$A$20000,0),MATCH("CPC*",'Semrush Data'!$A$1:$Z$1,0)),"")</f>
        <v/>
      </c>
      <c r="J1626" s="7" t="str">
        <f aca="false">IFERROR(INDEX('Semrush Data'!$A$1:$Z$20000,MATCH(A1626,'Semrush Data'!$A$1:$A$20000,0),MATCH("Intent",'Semrush Data'!$A$1:$Z$1,0)),"")</f>
        <v/>
      </c>
    </row>
    <row r="1627" customFormat="false" ht="15" hidden="false" customHeight="true" outlineLevel="0" collapsed="false">
      <c r="A1627" s="7" t="s">
        <v>2496</v>
      </c>
      <c r="B1627" s="7" t="s">
        <v>1355</v>
      </c>
      <c r="C1627" s="7" t="n">
        <v>3</v>
      </c>
      <c r="D1627" s="7" t="n">
        <v>17</v>
      </c>
      <c r="E1627" s="7" t="n">
        <v>1</v>
      </c>
      <c r="F1627" s="7" t="s">
        <v>2490</v>
      </c>
      <c r="G1627" s="12" t="str">
        <f aca="false">IFERROR(INDEX('Semrush Data'!$A$1:$Z$20000,MATCH(A1627,'Semrush Data'!$A$1:$A$20000,0),MATCH("Volume",'Semrush Data'!$A$1:$Z$1,0)),"")</f>
        <v/>
      </c>
      <c r="H1627" s="7" t="str">
        <f aca="false">IFERROR(INDEX('Semrush Data'!$A$1:$Z$20000,MATCH(A1627,'Semrush Data'!$A$1:$A$20000,0),MATCH("Keyword Difficulty*",'Semrush Data'!$A$1:$Z$1,0)),"")</f>
        <v/>
      </c>
      <c r="I1627" s="13" t="str">
        <f aca="false">IFERROR(INDEX('Semrush Data'!$A$1:$Z$20000,MATCH(A1627,'Semrush Data'!$A$1:$A$20000,0),MATCH("CPC*",'Semrush Data'!$A$1:$Z$1,0)),"")</f>
        <v/>
      </c>
      <c r="J1627" s="7" t="str">
        <f aca="false">IFERROR(INDEX('Semrush Data'!$A$1:$Z$20000,MATCH(A1627,'Semrush Data'!$A$1:$A$20000,0),MATCH("Intent",'Semrush Data'!$A$1:$Z$1,0)),"")</f>
        <v/>
      </c>
    </row>
    <row r="1628" customFormat="false" ht="15" hidden="false" customHeight="true" outlineLevel="0" collapsed="false">
      <c r="A1628" s="7" t="s">
        <v>2438</v>
      </c>
      <c r="B1628" s="7" t="s">
        <v>1355</v>
      </c>
      <c r="C1628" s="7" t="n">
        <v>3</v>
      </c>
      <c r="D1628" s="7" t="n">
        <v>17</v>
      </c>
      <c r="E1628" s="7" t="n">
        <v>1</v>
      </c>
      <c r="F1628" s="7" t="s">
        <v>2433</v>
      </c>
      <c r="G1628" s="12" t="str">
        <f aca="false">IFERROR(INDEX('Semrush Data'!$A$1:$Z$20000,MATCH(A1628,'Semrush Data'!$A$1:$A$20000,0),MATCH("Volume",'Semrush Data'!$A$1:$Z$1,0)),"")</f>
        <v/>
      </c>
      <c r="H1628" s="7" t="str">
        <f aca="false">IFERROR(INDEX('Semrush Data'!$A$1:$Z$20000,MATCH(A1628,'Semrush Data'!$A$1:$A$20000,0),MATCH("Keyword Difficulty*",'Semrush Data'!$A$1:$Z$1,0)),"")</f>
        <v/>
      </c>
      <c r="I1628" s="13" t="str">
        <f aca="false">IFERROR(INDEX('Semrush Data'!$A$1:$Z$20000,MATCH(A1628,'Semrush Data'!$A$1:$A$20000,0),MATCH("CPC*",'Semrush Data'!$A$1:$Z$1,0)),"")</f>
        <v/>
      </c>
      <c r="J1628" s="7" t="str">
        <f aca="false">IFERROR(INDEX('Semrush Data'!$A$1:$Z$20000,MATCH(A1628,'Semrush Data'!$A$1:$A$20000,0),MATCH("Intent",'Semrush Data'!$A$1:$Z$1,0)),"")</f>
        <v/>
      </c>
    </row>
    <row r="1629" customFormat="false" ht="15" hidden="false" customHeight="true" outlineLevel="0" collapsed="false">
      <c r="A1629" s="7" t="s">
        <v>2425</v>
      </c>
      <c r="B1629" s="7" t="s">
        <v>1355</v>
      </c>
      <c r="C1629" s="7" t="n">
        <v>3</v>
      </c>
      <c r="D1629" s="7" t="n">
        <v>17</v>
      </c>
      <c r="E1629" s="7" t="n">
        <v>1</v>
      </c>
      <c r="F1629" s="7" t="s">
        <v>2418</v>
      </c>
      <c r="G1629" s="12" t="str">
        <f aca="false">IFERROR(INDEX('Semrush Data'!$A$1:$Z$20000,MATCH(A1629,'Semrush Data'!$A$1:$A$20000,0),MATCH("Volume",'Semrush Data'!$A$1:$Z$1,0)),"")</f>
        <v/>
      </c>
      <c r="H1629" s="7" t="str">
        <f aca="false">IFERROR(INDEX('Semrush Data'!$A$1:$Z$20000,MATCH(A1629,'Semrush Data'!$A$1:$A$20000,0),MATCH("Keyword Difficulty*",'Semrush Data'!$A$1:$Z$1,0)),"")</f>
        <v/>
      </c>
      <c r="I1629" s="13" t="str">
        <f aca="false">IFERROR(INDEX('Semrush Data'!$A$1:$Z$20000,MATCH(A1629,'Semrush Data'!$A$1:$A$20000,0),MATCH("CPC*",'Semrush Data'!$A$1:$Z$1,0)),"")</f>
        <v/>
      </c>
      <c r="J1629" s="7" t="str">
        <f aca="false">IFERROR(INDEX('Semrush Data'!$A$1:$Z$20000,MATCH(A1629,'Semrush Data'!$A$1:$A$20000,0),MATCH("Intent",'Semrush Data'!$A$1:$Z$1,0)),"")</f>
        <v/>
      </c>
    </row>
    <row r="1630" customFormat="false" ht="15" hidden="false" customHeight="true" outlineLevel="0" collapsed="false">
      <c r="A1630" s="7" t="s">
        <v>2506</v>
      </c>
      <c r="B1630" s="7" t="s">
        <v>1355</v>
      </c>
      <c r="C1630" s="7" t="n">
        <v>3</v>
      </c>
      <c r="D1630" s="7" t="n">
        <v>17</v>
      </c>
      <c r="E1630" s="7" t="n">
        <v>1</v>
      </c>
      <c r="F1630" s="7" t="s">
        <v>2501</v>
      </c>
      <c r="G1630" s="12" t="str">
        <f aca="false">IFERROR(INDEX('Semrush Data'!$A$1:$Z$20000,MATCH(A1630,'Semrush Data'!$A$1:$A$20000,0),MATCH("Volume",'Semrush Data'!$A$1:$Z$1,0)),"")</f>
        <v/>
      </c>
      <c r="H1630" s="7" t="str">
        <f aca="false">IFERROR(INDEX('Semrush Data'!$A$1:$Z$20000,MATCH(A1630,'Semrush Data'!$A$1:$A$20000,0),MATCH("Keyword Difficulty*",'Semrush Data'!$A$1:$Z$1,0)),"")</f>
        <v/>
      </c>
      <c r="I1630" s="13" t="str">
        <f aca="false">IFERROR(INDEX('Semrush Data'!$A$1:$Z$20000,MATCH(A1630,'Semrush Data'!$A$1:$A$20000,0),MATCH("CPC*",'Semrush Data'!$A$1:$Z$1,0)),"")</f>
        <v/>
      </c>
      <c r="J1630" s="7" t="str">
        <f aca="false">IFERROR(INDEX('Semrush Data'!$A$1:$Z$20000,MATCH(A1630,'Semrush Data'!$A$1:$A$20000,0),MATCH("Intent",'Semrush Data'!$A$1:$Z$1,0)),"")</f>
        <v/>
      </c>
    </row>
    <row r="1631" customFormat="false" ht="15" hidden="false" customHeight="true" outlineLevel="0" collapsed="false">
      <c r="A1631" s="7" t="s">
        <v>2449</v>
      </c>
      <c r="B1631" s="7" t="s">
        <v>1355</v>
      </c>
      <c r="C1631" s="7" t="n">
        <v>3</v>
      </c>
      <c r="D1631" s="7" t="n">
        <v>17</v>
      </c>
      <c r="E1631" s="7" t="n">
        <v>1</v>
      </c>
      <c r="F1631" s="7" t="s">
        <v>2444</v>
      </c>
      <c r="G1631" s="12" t="str">
        <f aca="false">IFERROR(INDEX('Semrush Data'!$A$1:$Z$20000,MATCH(A1631,'Semrush Data'!$A$1:$A$20000,0),MATCH("Volume",'Semrush Data'!$A$1:$Z$1,0)),"")</f>
        <v/>
      </c>
      <c r="H1631" s="7" t="str">
        <f aca="false">IFERROR(INDEX('Semrush Data'!$A$1:$Z$20000,MATCH(A1631,'Semrush Data'!$A$1:$A$20000,0),MATCH("Keyword Difficulty*",'Semrush Data'!$A$1:$Z$1,0)),"")</f>
        <v/>
      </c>
      <c r="I1631" s="13" t="str">
        <f aca="false">IFERROR(INDEX('Semrush Data'!$A$1:$Z$20000,MATCH(A1631,'Semrush Data'!$A$1:$A$20000,0),MATCH("CPC*",'Semrush Data'!$A$1:$Z$1,0)),"")</f>
        <v/>
      </c>
      <c r="J1631" s="7" t="str">
        <f aca="false">IFERROR(INDEX('Semrush Data'!$A$1:$Z$20000,MATCH(A1631,'Semrush Data'!$A$1:$A$20000,0),MATCH("Intent",'Semrush Data'!$A$1:$Z$1,0)),"")</f>
        <v/>
      </c>
    </row>
    <row r="1632" customFormat="false" ht="15" hidden="false" customHeight="true" outlineLevel="0" collapsed="false">
      <c r="A1632" s="7" t="s">
        <v>2460</v>
      </c>
      <c r="B1632" s="7" t="s">
        <v>1355</v>
      </c>
      <c r="C1632" s="7" t="n">
        <v>3</v>
      </c>
      <c r="D1632" s="7" t="n">
        <v>17</v>
      </c>
      <c r="E1632" s="7" t="n">
        <v>1</v>
      </c>
      <c r="F1632" s="7" t="s">
        <v>138</v>
      </c>
      <c r="G1632" s="12" t="str">
        <f aca="false">IFERROR(INDEX('Semrush Data'!$A$1:$Z$20000,MATCH(A1632,'Semrush Data'!$A$1:$A$20000,0),MATCH("Volume",'Semrush Data'!$A$1:$Z$1,0)),"")</f>
        <v/>
      </c>
      <c r="H1632" s="7" t="str">
        <f aca="false">IFERROR(INDEX('Semrush Data'!$A$1:$Z$20000,MATCH(A1632,'Semrush Data'!$A$1:$A$20000,0),MATCH("Keyword Difficulty*",'Semrush Data'!$A$1:$Z$1,0)),"")</f>
        <v/>
      </c>
      <c r="I1632" s="13" t="str">
        <f aca="false">IFERROR(INDEX('Semrush Data'!$A$1:$Z$20000,MATCH(A1632,'Semrush Data'!$A$1:$A$20000,0),MATCH("CPC*",'Semrush Data'!$A$1:$Z$1,0)),"")</f>
        <v/>
      </c>
      <c r="J1632" s="7" t="str">
        <f aca="false">IFERROR(INDEX('Semrush Data'!$A$1:$Z$20000,MATCH(A1632,'Semrush Data'!$A$1:$A$20000,0),MATCH("Intent",'Semrush Data'!$A$1:$Z$1,0)),"")</f>
        <v/>
      </c>
    </row>
    <row r="1633" customFormat="false" ht="15" hidden="false" customHeight="true" outlineLevel="0" collapsed="false">
      <c r="A1633" s="7" t="s">
        <v>2471</v>
      </c>
      <c r="B1633" s="7" t="s">
        <v>1355</v>
      </c>
      <c r="C1633" s="7" t="n">
        <v>3</v>
      </c>
      <c r="D1633" s="7" t="n">
        <v>17</v>
      </c>
      <c r="E1633" s="7" t="n">
        <v>1</v>
      </c>
      <c r="F1633" s="7" t="s">
        <v>132</v>
      </c>
      <c r="G1633" s="12" t="str">
        <f aca="false">IFERROR(INDEX('Semrush Data'!$A$1:$Z$20000,MATCH(A1633,'Semrush Data'!$A$1:$A$20000,0),MATCH("Volume",'Semrush Data'!$A$1:$Z$1,0)),"")</f>
        <v/>
      </c>
      <c r="H1633" s="7" t="str">
        <f aca="false">IFERROR(INDEX('Semrush Data'!$A$1:$Z$20000,MATCH(A1633,'Semrush Data'!$A$1:$A$20000,0),MATCH("Keyword Difficulty*",'Semrush Data'!$A$1:$Z$1,0)),"")</f>
        <v/>
      </c>
      <c r="I1633" s="13" t="str">
        <f aca="false">IFERROR(INDEX('Semrush Data'!$A$1:$Z$20000,MATCH(A1633,'Semrush Data'!$A$1:$A$20000,0),MATCH("CPC*",'Semrush Data'!$A$1:$Z$1,0)),"")</f>
        <v/>
      </c>
      <c r="J1633" s="7" t="str">
        <f aca="false">IFERROR(INDEX('Semrush Data'!$A$1:$Z$20000,MATCH(A1633,'Semrush Data'!$A$1:$A$20000,0),MATCH("Intent",'Semrush Data'!$A$1:$Z$1,0)),"")</f>
        <v/>
      </c>
    </row>
    <row r="1634" customFormat="false" ht="15" hidden="false" customHeight="true" outlineLevel="0" collapsed="false">
      <c r="A1634" s="7" t="s">
        <v>2482</v>
      </c>
      <c r="B1634" s="7" t="s">
        <v>1355</v>
      </c>
      <c r="C1634" s="7" t="n">
        <v>3</v>
      </c>
      <c r="D1634" s="7" t="n">
        <v>17</v>
      </c>
      <c r="E1634" s="7" t="n">
        <v>1</v>
      </c>
      <c r="F1634" s="7" t="s">
        <v>114</v>
      </c>
      <c r="G1634" s="12" t="str">
        <f aca="false">IFERROR(INDEX('Semrush Data'!$A$1:$Z$20000,MATCH(A1634,'Semrush Data'!$A$1:$A$20000,0),MATCH("Volume",'Semrush Data'!$A$1:$Z$1,0)),"")</f>
        <v/>
      </c>
      <c r="H1634" s="7" t="str">
        <f aca="false">IFERROR(INDEX('Semrush Data'!$A$1:$Z$20000,MATCH(A1634,'Semrush Data'!$A$1:$A$20000,0),MATCH("Keyword Difficulty*",'Semrush Data'!$A$1:$Z$1,0)),"")</f>
        <v/>
      </c>
      <c r="I1634" s="13" t="str">
        <f aca="false">IFERROR(INDEX('Semrush Data'!$A$1:$Z$20000,MATCH(A1634,'Semrush Data'!$A$1:$A$20000,0),MATCH("CPC*",'Semrush Data'!$A$1:$Z$1,0)),"")</f>
        <v/>
      </c>
      <c r="J1634" s="7" t="str">
        <f aca="false">IFERROR(INDEX('Semrush Data'!$A$1:$Z$20000,MATCH(A1634,'Semrush Data'!$A$1:$A$20000,0),MATCH("Intent",'Semrush Data'!$A$1:$Z$1,0)),"")</f>
        <v/>
      </c>
    </row>
    <row r="1635" customFormat="false" ht="15" hidden="false" customHeight="true" outlineLevel="0" collapsed="false">
      <c r="A1635" s="7" t="s">
        <v>5881</v>
      </c>
      <c r="B1635" s="7" t="s">
        <v>1355</v>
      </c>
      <c r="C1635" s="7" t="n">
        <v>3</v>
      </c>
      <c r="D1635" s="7" t="n">
        <v>17</v>
      </c>
      <c r="E1635" s="7" t="n">
        <v>1</v>
      </c>
      <c r="F1635" s="7" t="s">
        <v>100</v>
      </c>
      <c r="G1635" s="12" t="str">
        <f aca="false">IFERROR(INDEX('Semrush Data'!$A$1:$Z$20000,MATCH(A1635,'Semrush Data'!$A$1:$A$20000,0),MATCH("Volume",'Semrush Data'!$A$1:$Z$1,0)),"")</f>
        <v/>
      </c>
      <c r="H1635" s="7" t="str">
        <f aca="false">IFERROR(INDEX('Semrush Data'!$A$1:$Z$20000,MATCH(A1635,'Semrush Data'!$A$1:$A$20000,0),MATCH("Keyword Difficulty*",'Semrush Data'!$A$1:$Z$1,0)),"")</f>
        <v/>
      </c>
      <c r="I1635" s="13" t="str">
        <f aca="false">IFERROR(INDEX('Semrush Data'!$A$1:$Z$20000,MATCH(A1635,'Semrush Data'!$A$1:$A$20000,0),MATCH("CPC*",'Semrush Data'!$A$1:$Z$1,0)),"")</f>
        <v/>
      </c>
      <c r="J1635" s="7" t="str">
        <f aca="false">IFERROR(INDEX('Semrush Data'!$A$1:$Z$20000,MATCH(A1635,'Semrush Data'!$A$1:$A$20000,0),MATCH("Intent",'Semrush Data'!$A$1:$Z$1,0)),"")</f>
        <v/>
      </c>
    </row>
    <row r="1636" customFormat="false" ht="15" hidden="false" customHeight="true" outlineLevel="0" collapsed="false">
      <c r="A1636" s="7" t="s">
        <v>2515</v>
      </c>
      <c r="B1636" s="7" t="s">
        <v>1355</v>
      </c>
      <c r="C1636" s="7" t="n">
        <v>3</v>
      </c>
      <c r="D1636" s="7" t="n">
        <v>17</v>
      </c>
      <c r="E1636" s="7" t="n">
        <v>1</v>
      </c>
      <c r="F1636" s="7" t="s">
        <v>2510</v>
      </c>
      <c r="G1636" s="12" t="str">
        <f aca="false">IFERROR(INDEX('Semrush Data'!$A$1:$Z$20000,MATCH(A1636,'Semrush Data'!$A$1:$A$20000,0),MATCH("Volume",'Semrush Data'!$A$1:$Z$1,0)),"")</f>
        <v/>
      </c>
      <c r="H1636" s="7" t="str">
        <f aca="false">IFERROR(INDEX('Semrush Data'!$A$1:$Z$20000,MATCH(A1636,'Semrush Data'!$A$1:$A$20000,0),MATCH("Keyword Difficulty*",'Semrush Data'!$A$1:$Z$1,0)),"")</f>
        <v/>
      </c>
      <c r="I1636" s="13" t="str">
        <f aca="false">IFERROR(INDEX('Semrush Data'!$A$1:$Z$20000,MATCH(A1636,'Semrush Data'!$A$1:$A$20000,0),MATCH("CPC*",'Semrush Data'!$A$1:$Z$1,0)),"")</f>
        <v/>
      </c>
      <c r="J1636" s="7" t="str">
        <f aca="false">IFERROR(INDEX('Semrush Data'!$A$1:$Z$20000,MATCH(A1636,'Semrush Data'!$A$1:$A$20000,0),MATCH("Intent",'Semrush Data'!$A$1:$Z$1,0)),"")</f>
        <v/>
      </c>
    </row>
    <row r="1637" customFormat="false" ht="15" hidden="false" customHeight="true" outlineLevel="0" collapsed="false">
      <c r="A1637" s="7" t="s">
        <v>2528</v>
      </c>
      <c r="B1637" s="7" t="s">
        <v>1355</v>
      </c>
      <c r="C1637" s="7" t="n">
        <v>3</v>
      </c>
      <c r="D1637" s="7" t="n">
        <v>17</v>
      </c>
      <c r="E1637" s="7" t="n">
        <v>1</v>
      </c>
      <c r="F1637" s="7" t="s">
        <v>2523</v>
      </c>
      <c r="G1637" s="12" t="str">
        <f aca="false">IFERROR(INDEX('Semrush Data'!$A$1:$Z$20000,MATCH(A1637,'Semrush Data'!$A$1:$A$20000,0),MATCH("Volume",'Semrush Data'!$A$1:$Z$1,0)),"")</f>
        <v/>
      </c>
      <c r="H1637" s="7" t="str">
        <f aca="false">IFERROR(INDEX('Semrush Data'!$A$1:$Z$20000,MATCH(A1637,'Semrush Data'!$A$1:$A$20000,0),MATCH("Keyword Difficulty*",'Semrush Data'!$A$1:$Z$1,0)),"")</f>
        <v/>
      </c>
      <c r="I1637" s="13" t="str">
        <f aca="false">IFERROR(INDEX('Semrush Data'!$A$1:$Z$20000,MATCH(A1637,'Semrush Data'!$A$1:$A$20000,0),MATCH("CPC*",'Semrush Data'!$A$1:$Z$1,0)),"")</f>
        <v/>
      </c>
      <c r="J1637" s="7" t="str">
        <f aca="false">IFERROR(INDEX('Semrush Data'!$A$1:$Z$20000,MATCH(A1637,'Semrush Data'!$A$1:$A$20000,0),MATCH("Intent",'Semrush Data'!$A$1:$Z$1,0)),"")</f>
        <v/>
      </c>
    </row>
    <row r="1638" customFormat="false" ht="15" hidden="false" customHeight="true" outlineLevel="0" collapsed="false">
      <c r="A1638" s="7" t="s">
        <v>2541</v>
      </c>
      <c r="B1638" s="7" t="s">
        <v>1355</v>
      </c>
      <c r="C1638" s="7" t="n">
        <v>3</v>
      </c>
      <c r="D1638" s="7" t="n">
        <v>17</v>
      </c>
      <c r="E1638" s="7" t="n">
        <v>1</v>
      </c>
      <c r="F1638" s="7" t="s">
        <v>2536</v>
      </c>
      <c r="G1638" s="12" t="str">
        <f aca="false">IFERROR(INDEX('Semrush Data'!$A$1:$Z$20000,MATCH(A1638,'Semrush Data'!$A$1:$A$20000,0),MATCH("Volume",'Semrush Data'!$A$1:$Z$1,0)),"")</f>
        <v/>
      </c>
      <c r="H1638" s="7" t="str">
        <f aca="false">IFERROR(INDEX('Semrush Data'!$A$1:$Z$20000,MATCH(A1638,'Semrush Data'!$A$1:$A$20000,0),MATCH("Keyword Difficulty*",'Semrush Data'!$A$1:$Z$1,0)),"")</f>
        <v/>
      </c>
      <c r="I1638" s="13" t="str">
        <f aca="false">IFERROR(INDEX('Semrush Data'!$A$1:$Z$20000,MATCH(A1638,'Semrush Data'!$A$1:$A$20000,0),MATCH("CPC*",'Semrush Data'!$A$1:$Z$1,0)),"")</f>
        <v/>
      </c>
      <c r="J1638" s="7" t="str">
        <f aca="false">IFERROR(INDEX('Semrush Data'!$A$1:$Z$20000,MATCH(A1638,'Semrush Data'!$A$1:$A$20000,0),MATCH("Intent",'Semrush Data'!$A$1:$Z$1,0)),"")</f>
        <v/>
      </c>
    </row>
    <row r="1639" customFormat="false" ht="15" hidden="false" customHeight="true" outlineLevel="0" collapsed="false">
      <c r="A1639" s="7" t="s">
        <v>2553</v>
      </c>
      <c r="B1639" s="7" t="s">
        <v>1355</v>
      </c>
      <c r="C1639" s="7" t="n">
        <v>3</v>
      </c>
      <c r="D1639" s="7" t="n">
        <v>17</v>
      </c>
      <c r="E1639" s="7" t="n">
        <v>1</v>
      </c>
      <c r="F1639" s="7" t="s">
        <v>2548</v>
      </c>
      <c r="G1639" s="12" t="str">
        <f aca="false">IFERROR(INDEX('Semrush Data'!$A$1:$Z$20000,MATCH(A1639,'Semrush Data'!$A$1:$A$20000,0),MATCH("Volume",'Semrush Data'!$A$1:$Z$1,0)),"")</f>
        <v/>
      </c>
      <c r="H1639" s="7" t="str">
        <f aca="false">IFERROR(INDEX('Semrush Data'!$A$1:$Z$20000,MATCH(A1639,'Semrush Data'!$A$1:$A$20000,0),MATCH("Keyword Difficulty*",'Semrush Data'!$A$1:$Z$1,0)),"")</f>
        <v/>
      </c>
      <c r="I1639" s="13" t="str">
        <f aca="false">IFERROR(INDEX('Semrush Data'!$A$1:$Z$20000,MATCH(A1639,'Semrush Data'!$A$1:$A$20000,0),MATCH("CPC*",'Semrush Data'!$A$1:$Z$1,0)),"")</f>
        <v/>
      </c>
      <c r="J1639" s="7" t="str">
        <f aca="false">IFERROR(INDEX('Semrush Data'!$A$1:$Z$20000,MATCH(A1639,'Semrush Data'!$A$1:$A$20000,0),MATCH("Intent",'Semrush Data'!$A$1:$Z$1,0)),"")</f>
        <v/>
      </c>
    </row>
    <row r="1640" customFormat="false" ht="15" hidden="false" customHeight="true" outlineLevel="0" collapsed="false">
      <c r="A1640" s="7" t="s">
        <v>2680</v>
      </c>
      <c r="B1640" s="7" t="s">
        <v>1355</v>
      </c>
      <c r="C1640" s="7" t="n">
        <v>3</v>
      </c>
      <c r="D1640" s="7" t="n">
        <v>17</v>
      </c>
      <c r="E1640" s="7" t="n">
        <v>1</v>
      </c>
      <c r="F1640" s="7" t="s">
        <v>2675</v>
      </c>
      <c r="G1640" s="12" t="str">
        <f aca="false">IFERROR(INDEX('Semrush Data'!$A$1:$Z$20000,MATCH(A1640,'Semrush Data'!$A$1:$A$20000,0),MATCH("Volume",'Semrush Data'!$A$1:$Z$1,0)),"")</f>
        <v/>
      </c>
      <c r="H1640" s="7" t="str">
        <f aca="false">IFERROR(INDEX('Semrush Data'!$A$1:$Z$20000,MATCH(A1640,'Semrush Data'!$A$1:$A$20000,0),MATCH("Keyword Difficulty*",'Semrush Data'!$A$1:$Z$1,0)),"")</f>
        <v/>
      </c>
      <c r="I1640" s="13" t="str">
        <f aca="false">IFERROR(INDEX('Semrush Data'!$A$1:$Z$20000,MATCH(A1640,'Semrush Data'!$A$1:$A$20000,0),MATCH("CPC*",'Semrush Data'!$A$1:$Z$1,0)),"")</f>
        <v/>
      </c>
      <c r="J1640" s="7" t="str">
        <f aca="false">IFERROR(INDEX('Semrush Data'!$A$1:$Z$20000,MATCH(A1640,'Semrush Data'!$A$1:$A$20000,0),MATCH("Intent",'Semrush Data'!$A$1:$Z$1,0)),"")</f>
        <v/>
      </c>
    </row>
    <row r="1641" customFormat="false" ht="15" hidden="false" customHeight="true" outlineLevel="0" collapsed="false">
      <c r="A1641" s="7" t="s">
        <v>2571</v>
      </c>
      <c r="B1641" s="7" t="s">
        <v>1355</v>
      </c>
      <c r="C1641" s="7" t="n">
        <v>3</v>
      </c>
      <c r="D1641" s="7" t="n">
        <v>17</v>
      </c>
      <c r="E1641" s="7" t="n">
        <v>1</v>
      </c>
      <c r="F1641" s="7" t="s">
        <v>106</v>
      </c>
      <c r="G1641" s="12" t="str">
        <f aca="false">IFERROR(INDEX('Semrush Data'!$A$1:$Z$20000,MATCH(A1641,'Semrush Data'!$A$1:$A$20000,0),MATCH("Volume",'Semrush Data'!$A$1:$Z$1,0)),"")</f>
        <v/>
      </c>
      <c r="H1641" s="7" t="str">
        <f aca="false">IFERROR(INDEX('Semrush Data'!$A$1:$Z$20000,MATCH(A1641,'Semrush Data'!$A$1:$A$20000,0),MATCH("Keyword Difficulty*",'Semrush Data'!$A$1:$Z$1,0)),"")</f>
        <v/>
      </c>
      <c r="I1641" s="13" t="str">
        <f aca="false">IFERROR(INDEX('Semrush Data'!$A$1:$Z$20000,MATCH(A1641,'Semrush Data'!$A$1:$A$20000,0),MATCH("CPC*",'Semrush Data'!$A$1:$Z$1,0)),"")</f>
        <v/>
      </c>
      <c r="J1641" s="7" t="str">
        <f aca="false">IFERROR(INDEX('Semrush Data'!$A$1:$Z$20000,MATCH(A1641,'Semrush Data'!$A$1:$A$20000,0),MATCH("Intent",'Semrush Data'!$A$1:$Z$1,0)),"")</f>
        <v/>
      </c>
    </row>
    <row r="1642" customFormat="false" ht="15" hidden="false" customHeight="true" outlineLevel="0" collapsed="false">
      <c r="A1642" s="7" t="s">
        <v>2563</v>
      </c>
      <c r="B1642" s="7" t="s">
        <v>1355</v>
      </c>
      <c r="C1642" s="7" t="n">
        <v>3</v>
      </c>
      <c r="D1642" s="7" t="s">
        <v>6818</v>
      </c>
      <c r="E1642" s="7" t="n">
        <v>1</v>
      </c>
      <c r="F1642" s="7" t="s">
        <v>72</v>
      </c>
      <c r="G1642" s="12" t="str">
        <f aca="false">IFERROR(INDEX('Semrush Data'!$A$1:$Z$20000,MATCH(A1642,'Semrush Data'!$A$1:$A$20000,0),MATCH("Volume",'Semrush Data'!$A$1:$Z$1,0)),"")</f>
        <v/>
      </c>
      <c r="H1642" s="7" t="str">
        <f aca="false">IFERROR(INDEX('Semrush Data'!$A$1:$Z$20000,MATCH(A1642,'Semrush Data'!$A$1:$A$20000,0),MATCH("Keyword Difficulty*",'Semrush Data'!$A$1:$Z$1,0)),"")</f>
        <v/>
      </c>
      <c r="I1642" s="13" t="str">
        <f aca="false">IFERROR(INDEX('Semrush Data'!$A$1:$Z$20000,MATCH(A1642,'Semrush Data'!$A$1:$A$20000,0),MATCH("CPC*",'Semrush Data'!$A$1:$Z$1,0)),"")</f>
        <v/>
      </c>
      <c r="J1642" s="7" t="str">
        <f aca="false">IFERROR(INDEX('Semrush Data'!$A$1:$Z$20000,MATCH(A1642,'Semrush Data'!$A$1:$A$20000,0),MATCH("Intent",'Semrush Data'!$A$1:$Z$1,0)),"")</f>
        <v/>
      </c>
    </row>
    <row r="1643" customFormat="false" ht="15" hidden="false" customHeight="true" outlineLevel="0" collapsed="false">
      <c r="A1643" s="7" t="s">
        <v>2582</v>
      </c>
      <c r="B1643" s="7" t="s">
        <v>1355</v>
      </c>
      <c r="C1643" s="7" t="n">
        <v>3</v>
      </c>
      <c r="D1643" s="7" t="n">
        <v>17</v>
      </c>
      <c r="E1643" s="7" t="n">
        <v>1</v>
      </c>
      <c r="F1643" s="7" t="s">
        <v>2578</v>
      </c>
      <c r="G1643" s="12" t="str">
        <f aca="false">IFERROR(INDEX('Semrush Data'!$A$1:$Z$20000,MATCH(A1643,'Semrush Data'!$A$1:$A$20000,0),MATCH("Volume",'Semrush Data'!$A$1:$Z$1,0)),"")</f>
        <v/>
      </c>
      <c r="H1643" s="7" t="str">
        <f aca="false">IFERROR(INDEX('Semrush Data'!$A$1:$Z$20000,MATCH(A1643,'Semrush Data'!$A$1:$A$20000,0),MATCH("Keyword Difficulty*",'Semrush Data'!$A$1:$Z$1,0)),"")</f>
        <v/>
      </c>
      <c r="I1643" s="13" t="str">
        <f aca="false">IFERROR(INDEX('Semrush Data'!$A$1:$Z$20000,MATCH(A1643,'Semrush Data'!$A$1:$A$20000,0),MATCH("CPC*",'Semrush Data'!$A$1:$Z$1,0)),"")</f>
        <v/>
      </c>
      <c r="J1643" s="7" t="str">
        <f aca="false">IFERROR(INDEX('Semrush Data'!$A$1:$Z$20000,MATCH(A1643,'Semrush Data'!$A$1:$A$20000,0),MATCH("Intent",'Semrush Data'!$A$1:$Z$1,0)),"")</f>
        <v/>
      </c>
    </row>
    <row r="1644" customFormat="false" ht="15" hidden="false" customHeight="true" outlineLevel="0" collapsed="false">
      <c r="A1644" s="7" t="s">
        <v>2592</v>
      </c>
      <c r="B1644" s="7" t="s">
        <v>1355</v>
      </c>
      <c r="C1644" s="7" t="n">
        <v>3</v>
      </c>
      <c r="D1644" s="7" t="n">
        <v>17</v>
      </c>
      <c r="E1644" s="7" t="n">
        <v>1</v>
      </c>
      <c r="F1644" s="7" t="s">
        <v>116</v>
      </c>
      <c r="G1644" s="12" t="str">
        <f aca="false">IFERROR(INDEX('Semrush Data'!$A$1:$Z$20000,MATCH(A1644,'Semrush Data'!$A$1:$A$20000,0),MATCH("Volume",'Semrush Data'!$A$1:$Z$1,0)),"")</f>
        <v/>
      </c>
      <c r="H1644" s="7" t="str">
        <f aca="false">IFERROR(INDEX('Semrush Data'!$A$1:$Z$20000,MATCH(A1644,'Semrush Data'!$A$1:$A$20000,0),MATCH("Keyword Difficulty*",'Semrush Data'!$A$1:$Z$1,0)),"")</f>
        <v/>
      </c>
      <c r="I1644" s="13" t="str">
        <f aca="false">IFERROR(INDEX('Semrush Data'!$A$1:$Z$20000,MATCH(A1644,'Semrush Data'!$A$1:$A$20000,0),MATCH("CPC*",'Semrush Data'!$A$1:$Z$1,0)),"")</f>
        <v/>
      </c>
      <c r="J1644" s="7" t="str">
        <f aca="false">IFERROR(INDEX('Semrush Data'!$A$1:$Z$20000,MATCH(A1644,'Semrush Data'!$A$1:$A$20000,0),MATCH("Intent",'Semrush Data'!$A$1:$Z$1,0)),"")</f>
        <v/>
      </c>
    </row>
    <row r="1645" customFormat="false" ht="15" hidden="false" customHeight="true" outlineLevel="0" collapsed="false">
      <c r="A1645" s="7" t="s">
        <v>2603</v>
      </c>
      <c r="B1645" s="7" t="s">
        <v>1355</v>
      </c>
      <c r="C1645" s="7" t="n">
        <v>3</v>
      </c>
      <c r="D1645" s="7" t="n">
        <v>17</v>
      </c>
      <c r="E1645" s="7" t="n">
        <v>1</v>
      </c>
      <c r="F1645" s="7" t="s">
        <v>2599</v>
      </c>
      <c r="G1645" s="12" t="str">
        <f aca="false">IFERROR(INDEX('Semrush Data'!$A$1:$Z$20000,MATCH(A1645,'Semrush Data'!$A$1:$A$20000,0),MATCH("Volume",'Semrush Data'!$A$1:$Z$1,0)),"")</f>
        <v/>
      </c>
      <c r="H1645" s="7" t="str">
        <f aca="false">IFERROR(INDEX('Semrush Data'!$A$1:$Z$20000,MATCH(A1645,'Semrush Data'!$A$1:$A$20000,0),MATCH("Keyword Difficulty*",'Semrush Data'!$A$1:$Z$1,0)),"")</f>
        <v/>
      </c>
      <c r="I1645" s="13" t="str">
        <f aca="false">IFERROR(INDEX('Semrush Data'!$A$1:$Z$20000,MATCH(A1645,'Semrush Data'!$A$1:$A$20000,0),MATCH("CPC*",'Semrush Data'!$A$1:$Z$1,0)),"")</f>
        <v/>
      </c>
      <c r="J1645" s="7" t="str">
        <f aca="false">IFERROR(INDEX('Semrush Data'!$A$1:$Z$20000,MATCH(A1645,'Semrush Data'!$A$1:$A$20000,0),MATCH("Intent",'Semrush Data'!$A$1:$Z$1,0)),"")</f>
        <v/>
      </c>
    </row>
    <row r="1646" customFormat="false" ht="15" hidden="false" customHeight="true" outlineLevel="0" collapsed="false">
      <c r="A1646" s="7" t="s">
        <v>2615</v>
      </c>
      <c r="B1646" s="7" t="s">
        <v>1355</v>
      </c>
      <c r="C1646" s="7" t="n">
        <v>3</v>
      </c>
      <c r="D1646" s="7" t="n">
        <v>17</v>
      </c>
      <c r="E1646" s="7" t="n">
        <v>1</v>
      </c>
      <c r="F1646" s="7" t="s">
        <v>2611</v>
      </c>
      <c r="G1646" s="12" t="str">
        <f aca="false">IFERROR(INDEX('Semrush Data'!$A$1:$Z$20000,MATCH(A1646,'Semrush Data'!$A$1:$A$20000,0),MATCH("Volume",'Semrush Data'!$A$1:$Z$1,0)),"")</f>
        <v/>
      </c>
      <c r="H1646" s="7" t="str">
        <f aca="false">IFERROR(INDEX('Semrush Data'!$A$1:$Z$20000,MATCH(A1646,'Semrush Data'!$A$1:$A$20000,0),MATCH("Keyword Difficulty*",'Semrush Data'!$A$1:$Z$1,0)),"")</f>
        <v/>
      </c>
      <c r="I1646" s="13" t="str">
        <f aca="false">IFERROR(INDEX('Semrush Data'!$A$1:$Z$20000,MATCH(A1646,'Semrush Data'!$A$1:$A$20000,0),MATCH("CPC*",'Semrush Data'!$A$1:$Z$1,0)),"")</f>
        <v/>
      </c>
      <c r="J1646" s="7" t="str">
        <f aca="false">IFERROR(INDEX('Semrush Data'!$A$1:$Z$20000,MATCH(A1646,'Semrush Data'!$A$1:$A$20000,0),MATCH("Intent",'Semrush Data'!$A$1:$Z$1,0)),"")</f>
        <v/>
      </c>
    </row>
    <row r="1647" customFormat="false" ht="15" hidden="false" customHeight="true" outlineLevel="0" collapsed="false">
      <c r="A1647" s="7" t="s">
        <v>2626</v>
      </c>
      <c r="B1647" s="7" t="s">
        <v>1355</v>
      </c>
      <c r="C1647" s="7" t="n">
        <v>3</v>
      </c>
      <c r="D1647" s="7" t="n">
        <v>17</v>
      </c>
      <c r="E1647" s="7" t="n">
        <v>1</v>
      </c>
      <c r="F1647" s="7" t="s">
        <v>2622</v>
      </c>
      <c r="G1647" s="12" t="str">
        <f aca="false">IFERROR(INDEX('Semrush Data'!$A$1:$Z$20000,MATCH(A1647,'Semrush Data'!$A$1:$A$20000,0),MATCH("Volume",'Semrush Data'!$A$1:$Z$1,0)),"")</f>
        <v/>
      </c>
      <c r="H1647" s="7" t="str">
        <f aca="false">IFERROR(INDEX('Semrush Data'!$A$1:$Z$20000,MATCH(A1647,'Semrush Data'!$A$1:$A$20000,0),MATCH("Keyword Difficulty*",'Semrush Data'!$A$1:$Z$1,0)),"")</f>
        <v/>
      </c>
      <c r="I1647" s="13" t="str">
        <f aca="false">IFERROR(INDEX('Semrush Data'!$A$1:$Z$20000,MATCH(A1647,'Semrush Data'!$A$1:$A$20000,0),MATCH("CPC*",'Semrush Data'!$A$1:$Z$1,0)),"")</f>
        <v/>
      </c>
      <c r="J1647" s="7" t="str">
        <f aca="false">IFERROR(INDEX('Semrush Data'!$A$1:$Z$20000,MATCH(A1647,'Semrush Data'!$A$1:$A$20000,0),MATCH("Intent",'Semrush Data'!$A$1:$Z$1,0)),"")</f>
        <v/>
      </c>
    </row>
    <row r="1648" customFormat="false" ht="15" hidden="false" customHeight="true" outlineLevel="0" collapsed="false">
      <c r="A1648" s="7" t="s">
        <v>2646</v>
      </c>
      <c r="B1648" s="7" t="s">
        <v>1355</v>
      </c>
      <c r="C1648" s="7" t="n">
        <v>3</v>
      </c>
      <c r="D1648" s="7" t="n">
        <v>17</v>
      </c>
      <c r="E1648" s="7" t="n">
        <v>1</v>
      </c>
      <c r="F1648" s="7" t="s">
        <v>2642</v>
      </c>
      <c r="G1648" s="12" t="str">
        <f aca="false">IFERROR(INDEX('Semrush Data'!$A$1:$Z$20000,MATCH(A1648,'Semrush Data'!$A$1:$A$20000,0),MATCH("Volume",'Semrush Data'!$A$1:$Z$1,0)),"")</f>
        <v/>
      </c>
      <c r="H1648" s="7" t="str">
        <f aca="false">IFERROR(INDEX('Semrush Data'!$A$1:$Z$20000,MATCH(A1648,'Semrush Data'!$A$1:$A$20000,0),MATCH("Keyword Difficulty*",'Semrush Data'!$A$1:$Z$1,0)),"")</f>
        <v/>
      </c>
      <c r="I1648" s="13" t="str">
        <f aca="false">IFERROR(INDEX('Semrush Data'!$A$1:$Z$20000,MATCH(A1648,'Semrush Data'!$A$1:$A$20000,0),MATCH("CPC*",'Semrush Data'!$A$1:$Z$1,0)),"")</f>
        <v/>
      </c>
      <c r="J1648" s="7" t="str">
        <f aca="false">IFERROR(INDEX('Semrush Data'!$A$1:$Z$20000,MATCH(A1648,'Semrush Data'!$A$1:$A$20000,0),MATCH("Intent",'Semrush Data'!$A$1:$Z$1,0)),"")</f>
        <v/>
      </c>
    </row>
    <row r="1649" customFormat="false" ht="15" hidden="false" customHeight="true" outlineLevel="0" collapsed="false">
      <c r="A1649" s="7" t="s">
        <v>2657</v>
      </c>
      <c r="B1649" s="7" t="s">
        <v>1355</v>
      </c>
      <c r="C1649" s="7" t="n">
        <v>3</v>
      </c>
      <c r="D1649" s="7" t="n">
        <v>17</v>
      </c>
      <c r="E1649" s="7" t="n">
        <v>1</v>
      </c>
      <c r="F1649" s="7" t="s">
        <v>2653</v>
      </c>
      <c r="G1649" s="12" t="str">
        <f aca="false">IFERROR(INDEX('Semrush Data'!$A$1:$Z$20000,MATCH(A1649,'Semrush Data'!$A$1:$A$20000,0),MATCH("Volume",'Semrush Data'!$A$1:$Z$1,0)),"")</f>
        <v/>
      </c>
      <c r="H1649" s="7" t="str">
        <f aca="false">IFERROR(INDEX('Semrush Data'!$A$1:$Z$20000,MATCH(A1649,'Semrush Data'!$A$1:$A$20000,0),MATCH("Keyword Difficulty*",'Semrush Data'!$A$1:$Z$1,0)),"")</f>
        <v/>
      </c>
      <c r="I1649" s="13" t="str">
        <f aca="false">IFERROR(INDEX('Semrush Data'!$A$1:$Z$20000,MATCH(A1649,'Semrush Data'!$A$1:$A$20000,0),MATCH("CPC*",'Semrush Data'!$A$1:$Z$1,0)),"")</f>
        <v/>
      </c>
      <c r="J1649" s="7" t="str">
        <f aca="false">IFERROR(INDEX('Semrush Data'!$A$1:$Z$20000,MATCH(A1649,'Semrush Data'!$A$1:$A$20000,0),MATCH("Intent",'Semrush Data'!$A$1:$Z$1,0)),"")</f>
        <v/>
      </c>
    </row>
    <row r="1650" customFormat="false" ht="15" hidden="false" customHeight="true" outlineLevel="0" collapsed="false">
      <c r="A1650" s="7" t="s">
        <v>2668</v>
      </c>
      <c r="B1650" s="7" t="s">
        <v>1355</v>
      </c>
      <c r="C1650" s="7" t="n">
        <v>3</v>
      </c>
      <c r="D1650" s="7" t="n">
        <v>17</v>
      </c>
      <c r="E1650" s="7" t="n">
        <v>1</v>
      </c>
      <c r="F1650" s="7" t="s">
        <v>2664</v>
      </c>
      <c r="G1650" s="12" t="str">
        <f aca="false">IFERROR(INDEX('Semrush Data'!$A$1:$Z$20000,MATCH(A1650,'Semrush Data'!$A$1:$A$20000,0),MATCH("Volume",'Semrush Data'!$A$1:$Z$1,0)),"")</f>
        <v/>
      </c>
      <c r="H1650" s="7" t="str">
        <f aca="false">IFERROR(INDEX('Semrush Data'!$A$1:$Z$20000,MATCH(A1650,'Semrush Data'!$A$1:$A$20000,0),MATCH("Keyword Difficulty*",'Semrush Data'!$A$1:$Z$1,0)),"")</f>
        <v/>
      </c>
      <c r="I1650" s="13" t="str">
        <f aca="false">IFERROR(INDEX('Semrush Data'!$A$1:$Z$20000,MATCH(A1650,'Semrush Data'!$A$1:$A$20000,0),MATCH("CPC*",'Semrush Data'!$A$1:$Z$1,0)),"")</f>
        <v/>
      </c>
      <c r="J1650" s="7" t="str">
        <f aca="false">IFERROR(INDEX('Semrush Data'!$A$1:$Z$20000,MATCH(A1650,'Semrush Data'!$A$1:$A$20000,0),MATCH("Intent",'Semrush Data'!$A$1:$Z$1,0)),"")</f>
        <v/>
      </c>
    </row>
    <row r="1651" customFormat="false" ht="15" hidden="false" customHeight="true" outlineLevel="0" collapsed="false">
      <c r="A1651" s="7" t="s">
        <v>2635</v>
      </c>
      <c r="B1651" s="7" t="s">
        <v>1355</v>
      </c>
      <c r="C1651" s="7" t="n">
        <v>3</v>
      </c>
      <c r="D1651" s="7" t="n">
        <v>17</v>
      </c>
      <c r="E1651" s="7" t="n">
        <v>1</v>
      </c>
      <c r="F1651" s="7" t="s">
        <v>92</v>
      </c>
      <c r="G1651" s="12" t="str">
        <f aca="false">IFERROR(INDEX('Semrush Data'!$A$1:$Z$20000,MATCH(A1651,'Semrush Data'!$A$1:$A$20000,0),MATCH("Volume",'Semrush Data'!$A$1:$Z$1,0)),"")</f>
        <v/>
      </c>
      <c r="H1651" s="7" t="str">
        <f aca="false">IFERROR(INDEX('Semrush Data'!$A$1:$Z$20000,MATCH(A1651,'Semrush Data'!$A$1:$A$20000,0),MATCH("Keyword Difficulty*",'Semrush Data'!$A$1:$Z$1,0)),"")</f>
        <v/>
      </c>
      <c r="I1651" s="13" t="str">
        <f aca="false">IFERROR(INDEX('Semrush Data'!$A$1:$Z$20000,MATCH(A1651,'Semrush Data'!$A$1:$A$20000,0),MATCH("CPC*",'Semrush Data'!$A$1:$Z$1,0)),"")</f>
        <v/>
      </c>
      <c r="J1651" s="7" t="str">
        <f aca="false">IFERROR(INDEX('Semrush Data'!$A$1:$Z$20000,MATCH(A1651,'Semrush Data'!$A$1:$A$20000,0),MATCH("Intent",'Semrush Data'!$A$1:$Z$1,0)),"")</f>
        <v/>
      </c>
    </row>
    <row r="1652" customFormat="false" ht="15" hidden="false" customHeight="true" outlineLevel="0" collapsed="false">
      <c r="A1652" s="7" t="s">
        <v>2693</v>
      </c>
      <c r="B1652" s="7" t="s">
        <v>1355</v>
      </c>
      <c r="C1652" s="7" t="n">
        <v>3</v>
      </c>
      <c r="D1652" s="7" t="n">
        <v>17</v>
      </c>
      <c r="E1652" s="7" t="n">
        <v>3</v>
      </c>
      <c r="F1652" s="7" t="s">
        <v>6784</v>
      </c>
      <c r="G1652" s="12" t="str">
        <f aca="false">IFERROR(INDEX('Semrush Data'!$A$1:$Z$20000,MATCH(A1652,'Semrush Data'!$A$1:$A$20000,0),MATCH("Volume",'Semrush Data'!$A$1:$Z$1,0)),"")</f>
        <v/>
      </c>
      <c r="H1652" s="7" t="str">
        <f aca="false">IFERROR(INDEX('Semrush Data'!$A$1:$Z$20000,MATCH(A1652,'Semrush Data'!$A$1:$A$20000,0),MATCH("Keyword Difficulty*",'Semrush Data'!$A$1:$Z$1,0)),"")</f>
        <v/>
      </c>
      <c r="I1652" s="13" t="str">
        <f aca="false">IFERROR(INDEX('Semrush Data'!$A$1:$Z$20000,MATCH(A1652,'Semrush Data'!$A$1:$A$20000,0),MATCH("CPC*",'Semrush Data'!$A$1:$Z$1,0)),"")</f>
        <v/>
      </c>
      <c r="J1652" s="7" t="str">
        <f aca="false">IFERROR(INDEX('Semrush Data'!$A$1:$Z$20000,MATCH(A1652,'Semrush Data'!$A$1:$A$20000,0),MATCH("Intent",'Semrush Data'!$A$1:$Z$1,0)),"")</f>
        <v/>
      </c>
    </row>
    <row r="1653" customFormat="false" ht="15" hidden="false" customHeight="true" outlineLevel="0" collapsed="false">
      <c r="A1653" s="7" t="s">
        <v>2707</v>
      </c>
      <c r="B1653" s="7" t="s">
        <v>1355</v>
      </c>
      <c r="C1653" s="7" t="n">
        <v>3</v>
      </c>
      <c r="D1653" s="7" t="n">
        <v>17</v>
      </c>
      <c r="E1653" s="7" t="n">
        <v>3</v>
      </c>
      <c r="F1653" s="7" t="s">
        <v>6785</v>
      </c>
      <c r="G1653" s="12" t="str">
        <f aca="false">IFERROR(INDEX('Semrush Data'!$A$1:$Z$20000,MATCH(A1653,'Semrush Data'!$A$1:$A$20000,0),MATCH("Volume",'Semrush Data'!$A$1:$Z$1,0)),"")</f>
        <v/>
      </c>
      <c r="H1653" s="7" t="str">
        <f aca="false">IFERROR(INDEX('Semrush Data'!$A$1:$Z$20000,MATCH(A1653,'Semrush Data'!$A$1:$A$20000,0),MATCH("Keyword Difficulty*",'Semrush Data'!$A$1:$Z$1,0)),"")</f>
        <v/>
      </c>
      <c r="I1653" s="13" t="str">
        <f aca="false">IFERROR(INDEX('Semrush Data'!$A$1:$Z$20000,MATCH(A1653,'Semrush Data'!$A$1:$A$20000,0),MATCH("CPC*",'Semrush Data'!$A$1:$Z$1,0)),"")</f>
        <v/>
      </c>
      <c r="J1653" s="7" t="str">
        <f aca="false">IFERROR(INDEX('Semrush Data'!$A$1:$Z$20000,MATCH(A1653,'Semrush Data'!$A$1:$A$20000,0),MATCH("Intent",'Semrush Data'!$A$1:$Z$1,0)),"")</f>
        <v/>
      </c>
    </row>
    <row r="1654" customFormat="false" ht="15" hidden="false" customHeight="true" outlineLevel="0" collapsed="false">
      <c r="A1654" s="7" t="s">
        <v>2720</v>
      </c>
      <c r="B1654" s="7" t="s">
        <v>1355</v>
      </c>
      <c r="C1654" s="7" t="n">
        <v>3</v>
      </c>
      <c r="D1654" s="7" t="n">
        <v>17</v>
      </c>
      <c r="E1654" s="7" t="n">
        <v>3</v>
      </c>
      <c r="F1654" s="7" t="s">
        <v>6786</v>
      </c>
      <c r="G1654" s="12" t="str">
        <f aca="false">IFERROR(INDEX('Semrush Data'!$A$1:$Z$20000,MATCH(A1654,'Semrush Data'!$A$1:$A$20000,0),MATCH("Volume",'Semrush Data'!$A$1:$Z$1,0)),"")</f>
        <v/>
      </c>
      <c r="H1654" s="7" t="str">
        <f aca="false">IFERROR(INDEX('Semrush Data'!$A$1:$Z$20000,MATCH(A1654,'Semrush Data'!$A$1:$A$20000,0),MATCH("Keyword Difficulty*",'Semrush Data'!$A$1:$Z$1,0)),"")</f>
        <v/>
      </c>
      <c r="I1654" s="13" t="str">
        <f aca="false">IFERROR(INDEX('Semrush Data'!$A$1:$Z$20000,MATCH(A1654,'Semrush Data'!$A$1:$A$20000,0),MATCH("CPC*",'Semrush Data'!$A$1:$Z$1,0)),"")</f>
        <v/>
      </c>
      <c r="J1654" s="7" t="str">
        <f aca="false">IFERROR(INDEX('Semrush Data'!$A$1:$Z$20000,MATCH(A1654,'Semrush Data'!$A$1:$A$20000,0),MATCH("Intent",'Semrush Data'!$A$1:$Z$1,0)),"")</f>
        <v/>
      </c>
    </row>
    <row r="1655" customFormat="false" ht="15" hidden="false" customHeight="true" outlineLevel="0" collapsed="false">
      <c r="A1655" s="7" t="s">
        <v>2732</v>
      </c>
      <c r="B1655" s="7" t="s">
        <v>1355</v>
      </c>
      <c r="C1655" s="7" t="n">
        <v>3</v>
      </c>
      <c r="D1655" s="7" t="n">
        <v>17</v>
      </c>
      <c r="E1655" s="7" t="n">
        <v>3</v>
      </c>
      <c r="F1655" s="7" t="s">
        <v>6787</v>
      </c>
      <c r="G1655" s="12" t="str">
        <f aca="false">IFERROR(INDEX('Semrush Data'!$A$1:$Z$20000,MATCH(A1655,'Semrush Data'!$A$1:$A$20000,0),MATCH("Volume",'Semrush Data'!$A$1:$Z$1,0)),"")</f>
        <v/>
      </c>
      <c r="H1655" s="7" t="str">
        <f aca="false">IFERROR(INDEX('Semrush Data'!$A$1:$Z$20000,MATCH(A1655,'Semrush Data'!$A$1:$A$20000,0),MATCH("Keyword Difficulty*",'Semrush Data'!$A$1:$Z$1,0)),"")</f>
        <v/>
      </c>
      <c r="I1655" s="13" t="str">
        <f aca="false">IFERROR(INDEX('Semrush Data'!$A$1:$Z$20000,MATCH(A1655,'Semrush Data'!$A$1:$A$20000,0),MATCH("CPC*",'Semrush Data'!$A$1:$Z$1,0)),"")</f>
        <v/>
      </c>
      <c r="J1655" s="7" t="str">
        <f aca="false">IFERROR(INDEX('Semrush Data'!$A$1:$Z$20000,MATCH(A1655,'Semrush Data'!$A$1:$A$20000,0),MATCH("Intent",'Semrush Data'!$A$1:$Z$1,0)),"")</f>
        <v/>
      </c>
    </row>
    <row r="1656" customFormat="false" ht="15" hidden="false" customHeight="true" outlineLevel="0" collapsed="false">
      <c r="A1656" s="7" t="s">
        <v>2745</v>
      </c>
      <c r="B1656" s="7" t="s">
        <v>1355</v>
      </c>
      <c r="C1656" s="7" t="n">
        <v>3</v>
      </c>
      <c r="D1656" s="7" t="n">
        <v>17</v>
      </c>
      <c r="E1656" s="7" t="n">
        <v>4</v>
      </c>
      <c r="F1656" s="7" t="s">
        <v>6788</v>
      </c>
      <c r="G1656" s="12" t="str">
        <f aca="false">IFERROR(INDEX('Semrush Data'!$A$1:$Z$20000,MATCH(A1656,'Semrush Data'!$A$1:$A$20000,0),MATCH("Volume",'Semrush Data'!$A$1:$Z$1,0)),"")</f>
        <v/>
      </c>
      <c r="H1656" s="7" t="str">
        <f aca="false">IFERROR(INDEX('Semrush Data'!$A$1:$Z$20000,MATCH(A1656,'Semrush Data'!$A$1:$A$20000,0),MATCH("Keyword Difficulty*",'Semrush Data'!$A$1:$Z$1,0)),"")</f>
        <v/>
      </c>
      <c r="I1656" s="13" t="str">
        <f aca="false">IFERROR(INDEX('Semrush Data'!$A$1:$Z$20000,MATCH(A1656,'Semrush Data'!$A$1:$A$20000,0),MATCH("CPC*",'Semrush Data'!$A$1:$Z$1,0)),"")</f>
        <v/>
      </c>
      <c r="J1656" s="7" t="str">
        <f aca="false">IFERROR(INDEX('Semrush Data'!$A$1:$Z$20000,MATCH(A1656,'Semrush Data'!$A$1:$A$20000,0),MATCH("Intent",'Semrush Data'!$A$1:$Z$1,0)),"")</f>
        <v/>
      </c>
    </row>
    <row r="1657" customFormat="false" ht="15" hidden="false" customHeight="true" outlineLevel="0" collapsed="false">
      <c r="A1657" s="7" t="s">
        <v>2762</v>
      </c>
      <c r="B1657" s="7" t="s">
        <v>1355</v>
      </c>
      <c r="C1657" s="7" t="n">
        <v>3</v>
      </c>
      <c r="D1657" s="7" t="n">
        <v>17</v>
      </c>
      <c r="E1657" s="7" t="n">
        <v>1</v>
      </c>
      <c r="F1657" s="7" t="s">
        <v>136</v>
      </c>
      <c r="G1657" s="12" t="str">
        <f aca="false">IFERROR(INDEX('Semrush Data'!$A$1:$Z$20000,MATCH(A1657,'Semrush Data'!$A$1:$A$20000,0),MATCH("Volume",'Semrush Data'!$A$1:$Z$1,0)),"")</f>
        <v/>
      </c>
      <c r="H1657" s="7" t="str">
        <f aca="false">IFERROR(INDEX('Semrush Data'!$A$1:$Z$20000,MATCH(A1657,'Semrush Data'!$A$1:$A$20000,0),MATCH("Keyword Difficulty*",'Semrush Data'!$A$1:$Z$1,0)),"")</f>
        <v/>
      </c>
      <c r="I1657" s="13" t="str">
        <f aca="false">IFERROR(INDEX('Semrush Data'!$A$1:$Z$20000,MATCH(A1657,'Semrush Data'!$A$1:$A$20000,0),MATCH("CPC*",'Semrush Data'!$A$1:$Z$1,0)),"")</f>
        <v/>
      </c>
      <c r="J1657" s="7" t="str">
        <f aca="false">IFERROR(INDEX('Semrush Data'!$A$1:$Z$20000,MATCH(A1657,'Semrush Data'!$A$1:$A$20000,0),MATCH("Intent",'Semrush Data'!$A$1:$Z$1,0)),"")</f>
        <v/>
      </c>
    </row>
    <row r="1658" customFormat="false" ht="15" hidden="false" customHeight="true" outlineLevel="0" collapsed="false">
      <c r="A1658" s="7" t="s">
        <v>2777</v>
      </c>
      <c r="B1658" s="7" t="s">
        <v>1355</v>
      </c>
      <c r="C1658" s="7" t="n">
        <v>3</v>
      </c>
      <c r="D1658" s="7" t="n">
        <v>17</v>
      </c>
      <c r="E1658" s="7" t="n">
        <v>1</v>
      </c>
      <c r="F1658" s="7" t="s">
        <v>2770</v>
      </c>
      <c r="G1658" s="12" t="str">
        <f aca="false">IFERROR(INDEX('Semrush Data'!$A$1:$Z$20000,MATCH(A1658,'Semrush Data'!$A$1:$A$20000,0),MATCH("Volume",'Semrush Data'!$A$1:$Z$1,0)),"")</f>
        <v/>
      </c>
      <c r="H1658" s="7" t="str">
        <f aca="false">IFERROR(INDEX('Semrush Data'!$A$1:$Z$20000,MATCH(A1658,'Semrush Data'!$A$1:$A$20000,0),MATCH("Keyword Difficulty*",'Semrush Data'!$A$1:$Z$1,0)),"")</f>
        <v/>
      </c>
      <c r="I1658" s="13" t="str">
        <f aca="false">IFERROR(INDEX('Semrush Data'!$A$1:$Z$20000,MATCH(A1658,'Semrush Data'!$A$1:$A$20000,0),MATCH("CPC*",'Semrush Data'!$A$1:$Z$1,0)),"")</f>
        <v/>
      </c>
      <c r="J1658" s="7" t="str">
        <f aca="false">IFERROR(INDEX('Semrush Data'!$A$1:$Z$20000,MATCH(A1658,'Semrush Data'!$A$1:$A$20000,0),MATCH("Intent",'Semrush Data'!$A$1:$Z$1,0)),"")</f>
        <v/>
      </c>
    </row>
    <row r="1659" customFormat="false" ht="15" hidden="false" customHeight="true" outlineLevel="0" collapsed="false">
      <c r="A1659" s="7" t="s">
        <v>2788</v>
      </c>
      <c r="B1659" s="7" t="s">
        <v>1355</v>
      </c>
      <c r="C1659" s="7" t="n">
        <v>3</v>
      </c>
      <c r="D1659" s="7" t="n">
        <v>17</v>
      </c>
      <c r="E1659" s="7" t="n">
        <v>1</v>
      </c>
      <c r="F1659" s="7" t="s">
        <v>2784</v>
      </c>
      <c r="G1659" s="12" t="str">
        <f aca="false">IFERROR(INDEX('Semrush Data'!$A$1:$Z$20000,MATCH(A1659,'Semrush Data'!$A$1:$A$20000,0),MATCH("Volume",'Semrush Data'!$A$1:$Z$1,0)),"")</f>
        <v/>
      </c>
      <c r="H1659" s="7" t="str">
        <f aca="false">IFERROR(INDEX('Semrush Data'!$A$1:$Z$20000,MATCH(A1659,'Semrush Data'!$A$1:$A$20000,0),MATCH("Keyword Difficulty*",'Semrush Data'!$A$1:$Z$1,0)),"")</f>
        <v/>
      </c>
      <c r="I1659" s="13" t="str">
        <f aca="false">IFERROR(INDEX('Semrush Data'!$A$1:$Z$20000,MATCH(A1659,'Semrush Data'!$A$1:$A$20000,0),MATCH("CPC*",'Semrush Data'!$A$1:$Z$1,0)),"")</f>
        <v/>
      </c>
      <c r="J1659" s="7" t="str">
        <f aca="false">IFERROR(INDEX('Semrush Data'!$A$1:$Z$20000,MATCH(A1659,'Semrush Data'!$A$1:$A$20000,0),MATCH("Intent",'Semrush Data'!$A$1:$Z$1,0)),"")</f>
        <v/>
      </c>
    </row>
    <row r="1660" customFormat="false" ht="15" hidden="false" customHeight="true" outlineLevel="0" collapsed="false">
      <c r="A1660" s="7" t="s">
        <v>2799</v>
      </c>
      <c r="B1660" s="7" t="s">
        <v>1355</v>
      </c>
      <c r="C1660" s="7" t="n">
        <v>3</v>
      </c>
      <c r="D1660" s="7" t="n">
        <v>17</v>
      </c>
      <c r="E1660" s="7" t="n">
        <v>1</v>
      </c>
      <c r="F1660" s="7" t="s">
        <v>2795</v>
      </c>
      <c r="G1660" s="12" t="str">
        <f aca="false">IFERROR(INDEX('Semrush Data'!$A$1:$Z$20000,MATCH(A1660,'Semrush Data'!$A$1:$A$20000,0),MATCH("Volume",'Semrush Data'!$A$1:$Z$1,0)),"")</f>
        <v/>
      </c>
      <c r="H1660" s="7" t="str">
        <f aca="false">IFERROR(INDEX('Semrush Data'!$A$1:$Z$20000,MATCH(A1660,'Semrush Data'!$A$1:$A$20000,0),MATCH("Keyword Difficulty*",'Semrush Data'!$A$1:$Z$1,0)),"")</f>
        <v/>
      </c>
      <c r="I1660" s="13" t="str">
        <f aca="false">IFERROR(INDEX('Semrush Data'!$A$1:$Z$20000,MATCH(A1660,'Semrush Data'!$A$1:$A$20000,0),MATCH("CPC*",'Semrush Data'!$A$1:$Z$1,0)),"")</f>
        <v/>
      </c>
      <c r="J1660" s="7" t="str">
        <f aca="false">IFERROR(INDEX('Semrush Data'!$A$1:$Z$20000,MATCH(A1660,'Semrush Data'!$A$1:$A$20000,0),MATCH("Intent",'Semrush Data'!$A$1:$Z$1,0)),"")</f>
        <v/>
      </c>
    </row>
    <row r="1661" customFormat="false" ht="15" hidden="false" customHeight="true" outlineLevel="0" collapsed="false">
      <c r="A1661" s="7" t="s">
        <v>2812</v>
      </c>
      <c r="B1661" s="7" t="s">
        <v>1355</v>
      </c>
      <c r="C1661" s="7" t="n">
        <v>3</v>
      </c>
      <c r="D1661" s="7" t="n">
        <v>17</v>
      </c>
      <c r="E1661" s="7" t="n">
        <v>1</v>
      </c>
      <c r="F1661" s="7" t="s">
        <v>2807</v>
      </c>
      <c r="G1661" s="12" t="str">
        <f aca="false">IFERROR(INDEX('Semrush Data'!$A$1:$Z$20000,MATCH(A1661,'Semrush Data'!$A$1:$A$20000,0),MATCH("Volume",'Semrush Data'!$A$1:$Z$1,0)),"")</f>
        <v/>
      </c>
      <c r="H1661" s="7" t="str">
        <f aca="false">IFERROR(INDEX('Semrush Data'!$A$1:$Z$20000,MATCH(A1661,'Semrush Data'!$A$1:$A$20000,0),MATCH("Keyword Difficulty*",'Semrush Data'!$A$1:$Z$1,0)),"")</f>
        <v/>
      </c>
      <c r="I1661" s="13" t="str">
        <f aca="false">IFERROR(INDEX('Semrush Data'!$A$1:$Z$20000,MATCH(A1661,'Semrush Data'!$A$1:$A$20000,0),MATCH("CPC*",'Semrush Data'!$A$1:$Z$1,0)),"")</f>
        <v/>
      </c>
      <c r="J1661" s="7" t="str">
        <f aca="false">IFERROR(INDEX('Semrush Data'!$A$1:$Z$20000,MATCH(A1661,'Semrush Data'!$A$1:$A$20000,0),MATCH("Intent",'Semrush Data'!$A$1:$Z$1,0)),"")</f>
        <v/>
      </c>
    </row>
    <row r="1662" customFormat="false" ht="15" hidden="false" customHeight="true" outlineLevel="0" collapsed="false">
      <c r="A1662" s="7" t="s">
        <v>2824</v>
      </c>
      <c r="B1662" s="7" t="s">
        <v>1355</v>
      </c>
      <c r="C1662" s="7" t="n">
        <v>3</v>
      </c>
      <c r="D1662" s="7" t="n">
        <v>17</v>
      </c>
      <c r="E1662" s="7" t="n">
        <v>1</v>
      </c>
      <c r="F1662" s="7" t="s">
        <v>2820</v>
      </c>
      <c r="G1662" s="12" t="str">
        <f aca="false">IFERROR(INDEX('Semrush Data'!$A$1:$Z$20000,MATCH(A1662,'Semrush Data'!$A$1:$A$20000,0),MATCH("Volume",'Semrush Data'!$A$1:$Z$1,0)),"")</f>
        <v/>
      </c>
      <c r="H1662" s="7" t="str">
        <f aca="false">IFERROR(INDEX('Semrush Data'!$A$1:$Z$20000,MATCH(A1662,'Semrush Data'!$A$1:$A$20000,0),MATCH("Keyword Difficulty*",'Semrush Data'!$A$1:$Z$1,0)),"")</f>
        <v/>
      </c>
      <c r="I1662" s="13" t="str">
        <f aca="false">IFERROR(INDEX('Semrush Data'!$A$1:$Z$20000,MATCH(A1662,'Semrush Data'!$A$1:$A$20000,0),MATCH("CPC*",'Semrush Data'!$A$1:$Z$1,0)),"")</f>
        <v/>
      </c>
      <c r="J1662" s="7" t="str">
        <f aca="false">IFERROR(INDEX('Semrush Data'!$A$1:$Z$20000,MATCH(A1662,'Semrush Data'!$A$1:$A$20000,0),MATCH("Intent",'Semrush Data'!$A$1:$Z$1,0)),"")</f>
        <v/>
      </c>
    </row>
    <row r="1663" customFormat="false" ht="15" hidden="false" customHeight="true" outlineLevel="0" collapsed="false">
      <c r="A1663" s="7" t="s">
        <v>2836</v>
      </c>
      <c r="B1663" s="7" t="s">
        <v>1355</v>
      </c>
      <c r="C1663" s="7" t="n">
        <v>3</v>
      </c>
      <c r="D1663" s="7" t="n">
        <v>17</v>
      </c>
      <c r="E1663" s="7" t="n">
        <v>1</v>
      </c>
      <c r="F1663" s="7" t="s">
        <v>2831</v>
      </c>
      <c r="G1663" s="12" t="str">
        <f aca="false">IFERROR(INDEX('Semrush Data'!$A$1:$Z$20000,MATCH(A1663,'Semrush Data'!$A$1:$A$20000,0),MATCH("Volume",'Semrush Data'!$A$1:$Z$1,0)),"")</f>
        <v/>
      </c>
      <c r="H1663" s="7" t="str">
        <f aca="false">IFERROR(INDEX('Semrush Data'!$A$1:$Z$20000,MATCH(A1663,'Semrush Data'!$A$1:$A$20000,0),MATCH("Keyword Difficulty*",'Semrush Data'!$A$1:$Z$1,0)),"")</f>
        <v/>
      </c>
      <c r="I1663" s="13" t="str">
        <f aca="false">IFERROR(INDEX('Semrush Data'!$A$1:$Z$20000,MATCH(A1663,'Semrush Data'!$A$1:$A$20000,0),MATCH("CPC*",'Semrush Data'!$A$1:$Z$1,0)),"")</f>
        <v/>
      </c>
      <c r="J1663" s="7" t="str">
        <f aca="false">IFERROR(INDEX('Semrush Data'!$A$1:$Z$20000,MATCH(A1663,'Semrush Data'!$A$1:$A$20000,0),MATCH("Intent",'Semrush Data'!$A$1:$Z$1,0)),"")</f>
        <v/>
      </c>
    </row>
    <row r="1664" customFormat="false" ht="15" hidden="false" customHeight="true" outlineLevel="0" collapsed="false">
      <c r="A1664" s="7" t="s">
        <v>2849</v>
      </c>
      <c r="B1664" s="7" t="s">
        <v>1355</v>
      </c>
      <c r="C1664" s="7" t="n">
        <v>3</v>
      </c>
      <c r="D1664" s="7" t="n">
        <v>17</v>
      </c>
      <c r="E1664" s="7" t="n">
        <v>1</v>
      </c>
      <c r="F1664" s="7" t="s">
        <v>2844</v>
      </c>
      <c r="G1664" s="12" t="str">
        <f aca="false">IFERROR(INDEX('Semrush Data'!$A$1:$Z$20000,MATCH(A1664,'Semrush Data'!$A$1:$A$20000,0),MATCH("Volume",'Semrush Data'!$A$1:$Z$1,0)),"")</f>
        <v/>
      </c>
      <c r="H1664" s="7" t="str">
        <f aca="false">IFERROR(INDEX('Semrush Data'!$A$1:$Z$20000,MATCH(A1664,'Semrush Data'!$A$1:$A$20000,0),MATCH("Keyword Difficulty*",'Semrush Data'!$A$1:$Z$1,0)),"")</f>
        <v/>
      </c>
      <c r="I1664" s="13" t="str">
        <f aca="false">IFERROR(INDEX('Semrush Data'!$A$1:$Z$20000,MATCH(A1664,'Semrush Data'!$A$1:$A$20000,0),MATCH("CPC*",'Semrush Data'!$A$1:$Z$1,0)),"")</f>
        <v/>
      </c>
      <c r="J1664" s="7" t="str">
        <f aca="false">IFERROR(INDEX('Semrush Data'!$A$1:$Z$20000,MATCH(A1664,'Semrush Data'!$A$1:$A$20000,0),MATCH("Intent",'Semrush Data'!$A$1:$Z$1,0)),"")</f>
        <v/>
      </c>
    </row>
    <row r="1665" customFormat="false" ht="15" hidden="false" customHeight="true" outlineLevel="0" collapsed="false">
      <c r="A1665" s="7" t="s">
        <v>2862</v>
      </c>
      <c r="B1665" s="7" t="s">
        <v>1355</v>
      </c>
      <c r="C1665" s="7" t="n">
        <v>3</v>
      </c>
      <c r="D1665" s="7" t="n">
        <v>17</v>
      </c>
      <c r="E1665" s="7" t="n">
        <v>1</v>
      </c>
      <c r="F1665" s="7" t="s">
        <v>2857</v>
      </c>
      <c r="G1665" s="12" t="str">
        <f aca="false">IFERROR(INDEX('Semrush Data'!$A$1:$Z$20000,MATCH(A1665,'Semrush Data'!$A$1:$A$20000,0),MATCH("Volume",'Semrush Data'!$A$1:$Z$1,0)),"")</f>
        <v/>
      </c>
      <c r="H1665" s="7" t="str">
        <f aca="false">IFERROR(INDEX('Semrush Data'!$A$1:$Z$20000,MATCH(A1665,'Semrush Data'!$A$1:$A$20000,0),MATCH("Keyword Difficulty*",'Semrush Data'!$A$1:$Z$1,0)),"")</f>
        <v/>
      </c>
      <c r="I1665" s="13" t="str">
        <f aca="false">IFERROR(INDEX('Semrush Data'!$A$1:$Z$20000,MATCH(A1665,'Semrush Data'!$A$1:$A$20000,0),MATCH("CPC*",'Semrush Data'!$A$1:$Z$1,0)),"")</f>
        <v/>
      </c>
      <c r="J1665" s="7" t="str">
        <f aca="false">IFERROR(INDEX('Semrush Data'!$A$1:$Z$20000,MATCH(A1665,'Semrush Data'!$A$1:$A$20000,0),MATCH("Intent",'Semrush Data'!$A$1:$Z$1,0)),"")</f>
        <v/>
      </c>
    </row>
    <row r="1666" customFormat="false" ht="15" hidden="false" customHeight="true" outlineLevel="0" collapsed="false">
      <c r="A1666" s="7" t="s">
        <v>2900</v>
      </c>
      <c r="B1666" s="7" t="s">
        <v>1355</v>
      </c>
      <c r="C1666" s="7" t="n">
        <v>3</v>
      </c>
      <c r="D1666" s="7" t="n">
        <v>17</v>
      </c>
      <c r="E1666" s="7" t="n">
        <v>1</v>
      </c>
      <c r="F1666" s="7" t="s">
        <v>2896</v>
      </c>
      <c r="G1666" s="12" t="str">
        <f aca="false">IFERROR(INDEX('Semrush Data'!$A$1:$Z$20000,MATCH(A1666,'Semrush Data'!$A$1:$A$20000,0),MATCH("Volume",'Semrush Data'!$A$1:$Z$1,0)),"")</f>
        <v/>
      </c>
      <c r="H1666" s="7" t="str">
        <f aca="false">IFERROR(INDEX('Semrush Data'!$A$1:$Z$20000,MATCH(A1666,'Semrush Data'!$A$1:$A$20000,0),MATCH("Keyword Difficulty*",'Semrush Data'!$A$1:$Z$1,0)),"")</f>
        <v/>
      </c>
      <c r="I1666" s="13" t="str">
        <f aca="false">IFERROR(INDEX('Semrush Data'!$A$1:$Z$20000,MATCH(A1666,'Semrush Data'!$A$1:$A$20000,0),MATCH("CPC*",'Semrush Data'!$A$1:$Z$1,0)),"")</f>
        <v/>
      </c>
      <c r="J1666" s="7" t="str">
        <f aca="false">IFERROR(INDEX('Semrush Data'!$A$1:$Z$20000,MATCH(A1666,'Semrush Data'!$A$1:$A$20000,0),MATCH("Intent",'Semrush Data'!$A$1:$Z$1,0)),"")</f>
        <v/>
      </c>
    </row>
    <row r="1667" customFormat="false" ht="15" hidden="false" customHeight="true" outlineLevel="0" collapsed="false">
      <c r="A1667" s="7" t="s">
        <v>2935</v>
      </c>
      <c r="B1667" s="7" t="s">
        <v>1355</v>
      </c>
      <c r="C1667" s="7" t="n">
        <v>3</v>
      </c>
      <c r="D1667" s="7" t="s">
        <v>6818</v>
      </c>
      <c r="E1667" s="7" t="n">
        <v>1</v>
      </c>
      <c r="F1667" s="7" t="s">
        <v>84</v>
      </c>
      <c r="G1667" s="12" t="str">
        <f aca="false">IFERROR(INDEX('Semrush Data'!$A$1:$Z$20000,MATCH(A1667,'Semrush Data'!$A$1:$A$20000,0),MATCH("Volume",'Semrush Data'!$A$1:$Z$1,0)),"")</f>
        <v/>
      </c>
      <c r="H1667" s="7" t="str">
        <f aca="false">IFERROR(INDEX('Semrush Data'!$A$1:$Z$20000,MATCH(A1667,'Semrush Data'!$A$1:$A$20000,0),MATCH("Keyword Difficulty*",'Semrush Data'!$A$1:$Z$1,0)),"")</f>
        <v/>
      </c>
      <c r="I1667" s="13" t="str">
        <f aca="false">IFERROR(INDEX('Semrush Data'!$A$1:$Z$20000,MATCH(A1667,'Semrush Data'!$A$1:$A$20000,0),MATCH("CPC*",'Semrush Data'!$A$1:$Z$1,0)),"")</f>
        <v/>
      </c>
      <c r="J1667" s="7" t="str">
        <f aca="false">IFERROR(INDEX('Semrush Data'!$A$1:$Z$20000,MATCH(A1667,'Semrush Data'!$A$1:$A$20000,0),MATCH("Intent",'Semrush Data'!$A$1:$Z$1,0)),"")</f>
        <v/>
      </c>
    </row>
    <row r="1668" customFormat="false" ht="15" hidden="false" customHeight="true" outlineLevel="0" collapsed="false">
      <c r="A1668" s="7" t="s">
        <v>2922</v>
      </c>
      <c r="B1668" s="7" t="s">
        <v>1355</v>
      </c>
      <c r="C1668" s="7" t="n">
        <v>3</v>
      </c>
      <c r="D1668" s="7" t="n">
        <v>17</v>
      </c>
      <c r="E1668" s="7" t="n">
        <v>2</v>
      </c>
      <c r="F1668" s="7" t="s">
        <v>6789</v>
      </c>
      <c r="G1668" s="12" t="str">
        <f aca="false">IFERROR(INDEX('Semrush Data'!$A$1:$Z$20000,MATCH(A1668,'Semrush Data'!$A$1:$A$20000,0),MATCH("Volume",'Semrush Data'!$A$1:$Z$1,0)),"")</f>
        <v/>
      </c>
      <c r="H1668" s="7" t="str">
        <f aca="false">IFERROR(INDEX('Semrush Data'!$A$1:$Z$20000,MATCH(A1668,'Semrush Data'!$A$1:$A$20000,0),MATCH("Keyword Difficulty*",'Semrush Data'!$A$1:$Z$1,0)),"")</f>
        <v/>
      </c>
      <c r="I1668" s="13" t="str">
        <f aca="false">IFERROR(INDEX('Semrush Data'!$A$1:$Z$20000,MATCH(A1668,'Semrush Data'!$A$1:$A$20000,0),MATCH("CPC*",'Semrush Data'!$A$1:$Z$1,0)),"")</f>
        <v/>
      </c>
      <c r="J1668" s="7" t="str">
        <f aca="false">IFERROR(INDEX('Semrush Data'!$A$1:$Z$20000,MATCH(A1668,'Semrush Data'!$A$1:$A$20000,0),MATCH("Intent",'Semrush Data'!$A$1:$Z$1,0)),"")</f>
        <v/>
      </c>
    </row>
    <row r="1669" customFormat="false" ht="15" hidden="false" customHeight="true" outlineLevel="0" collapsed="false">
      <c r="A1669" s="7" t="s">
        <v>2878</v>
      </c>
      <c r="B1669" s="7" t="s">
        <v>1355</v>
      </c>
      <c r="C1669" s="7" t="n">
        <v>3</v>
      </c>
      <c r="D1669" s="7" t="n">
        <v>17</v>
      </c>
      <c r="E1669" s="7" t="n">
        <v>1</v>
      </c>
      <c r="F1669" s="7" t="s">
        <v>2870</v>
      </c>
      <c r="G1669" s="12" t="str">
        <f aca="false">IFERROR(INDEX('Semrush Data'!$A$1:$Z$20000,MATCH(A1669,'Semrush Data'!$A$1:$A$20000,0),MATCH("Volume",'Semrush Data'!$A$1:$Z$1,0)),"")</f>
        <v/>
      </c>
      <c r="H1669" s="7" t="str">
        <f aca="false">IFERROR(INDEX('Semrush Data'!$A$1:$Z$20000,MATCH(A1669,'Semrush Data'!$A$1:$A$20000,0),MATCH("Keyword Difficulty*",'Semrush Data'!$A$1:$Z$1,0)),"")</f>
        <v/>
      </c>
      <c r="I1669" s="13" t="str">
        <f aca="false">IFERROR(INDEX('Semrush Data'!$A$1:$Z$20000,MATCH(A1669,'Semrush Data'!$A$1:$A$20000,0),MATCH("CPC*",'Semrush Data'!$A$1:$Z$1,0)),"")</f>
        <v/>
      </c>
      <c r="J1669" s="7" t="str">
        <f aca="false">IFERROR(INDEX('Semrush Data'!$A$1:$Z$20000,MATCH(A1669,'Semrush Data'!$A$1:$A$20000,0),MATCH("Intent",'Semrush Data'!$A$1:$Z$1,0)),"")</f>
        <v/>
      </c>
    </row>
    <row r="1670" customFormat="false" ht="15" hidden="false" customHeight="true" outlineLevel="0" collapsed="false">
      <c r="A1670" s="7" t="s">
        <v>2968</v>
      </c>
      <c r="B1670" s="7" t="s">
        <v>1355</v>
      </c>
      <c r="C1670" s="7" t="n">
        <v>3</v>
      </c>
      <c r="D1670" s="7" t="n">
        <v>17</v>
      </c>
      <c r="E1670" s="7" t="n">
        <v>1</v>
      </c>
      <c r="F1670" s="7" t="s">
        <v>2964</v>
      </c>
      <c r="G1670" s="12" t="str">
        <f aca="false">IFERROR(INDEX('Semrush Data'!$A$1:$Z$20000,MATCH(A1670,'Semrush Data'!$A$1:$A$20000,0),MATCH("Volume",'Semrush Data'!$A$1:$Z$1,0)),"")</f>
        <v/>
      </c>
      <c r="H1670" s="7" t="str">
        <f aca="false">IFERROR(INDEX('Semrush Data'!$A$1:$Z$20000,MATCH(A1670,'Semrush Data'!$A$1:$A$20000,0),MATCH("Keyword Difficulty*",'Semrush Data'!$A$1:$Z$1,0)),"")</f>
        <v/>
      </c>
      <c r="I1670" s="13" t="str">
        <f aca="false">IFERROR(INDEX('Semrush Data'!$A$1:$Z$20000,MATCH(A1670,'Semrush Data'!$A$1:$A$20000,0),MATCH("CPC*",'Semrush Data'!$A$1:$Z$1,0)),"")</f>
        <v/>
      </c>
      <c r="J1670" s="7" t="str">
        <f aca="false">IFERROR(INDEX('Semrush Data'!$A$1:$Z$20000,MATCH(A1670,'Semrush Data'!$A$1:$A$20000,0),MATCH("Intent",'Semrush Data'!$A$1:$Z$1,0)),"")</f>
        <v/>
      </c>
    </row>
    <row r="1671" customFormat="false" ht="15" hidden="false" customHeight="true" outlineLevel="0" collapsed="false">
      <c r="A1671" s="7" t="s">
        <v>2979</v>
      </c>
      <c r="B1671" s="7" t="s">
        <v>1355</v>
      </c>
      <c r="C1671" s="7" t="n">
        <v>3</v>
      </c>
      <c r="D1671" s="7" t="n">
        <v>17</v>
      </c>
      <c r="E1671" s="7" t="n">
        <v>1</v>
      </c>
      <c r="F1671" s="7" t="s">
        <v>2973</v>
      </c>
      <c r="G1671" s="12" t="str">
        <f aca="false">IFERROR(INDEX('Semrush Data'!$A$1:$Z$20000,MATCH(A1671,'Semrush Data'!$A$1:$A$20000,0),MATCH("Volume",'Semrush Data'!$A$1:$Z$1,0)),"")</f>
        <v/>
      </c>
      <c r="H1671" s="7" t="str">
        <f aca="false">IFERROR(INDEX('Semrush Data'!$A$1:$Z$20000,MATCH(A1671,'Semrush Data'!$A$1:$A$20000,0),MATCH("Keyword Difficulty*",'Semrush Data'!$A$1:$Z$1,0)),"")</f>
        <v/>
      </c>
      <c r="I1671" s="13" t="str">
        <f aca="false">IFERROR(INDEX('Semrush Data'!$A$1:$Z$20000,MATCH(A1671,'Semrush Data'!$A$1:$A$20000,0),MATCH("CPC*",'Semrush Data'!$A$1:$Z$1,0)),"")</f>
        <v/>
      </c>
      <c r="J1671" s="7" t="str">
        <f aca="false">IFERROR(INDEX('Semrush Data'!$A$1:$Z$20000,MATCH(A1671,'Semrush Data'!$A$1:$A$20000,0),MATCH("Intent",'Semrush Data'!$A$1:$Z$1,0)),"")</f>
        <v/>
      </c>
    </row>
    <row r="1672" customFormat="false" ht="15" hidden="false" customHeight="true" outlineLevel="0" collapsed="false">
      <c r="A1672" s="7" t="s">
        <v>2888</v>
      </c>
      <c r="B1672" s="7" t="s">
        <v>1355</v>
      </c>
      <c r="C1672" s="7" t="n">
        <v>3</v>
      </c>
      <c r="D1672" s="7" t="n">
        <v>17</v>
      </c>
      <c r="E1672" s="7" t="n">
        <v>1</v>
      </c>
      <c r="F1672" s="7" t="s">
        <v>2884</v>
      </c>
      <c r="G1672" s="12" t="str">
        <f aca="false">IFERROR(INDEX('Semrush Data'!$A$1:$Z$20000,MATCH(A1672,'Semrush Data'!$A$1:$A$20000,0),MATCH("Volume",'Semrush Data'!$A$1:$Z$1,0)),"")</f>
        <v/>
      </c>
      <c r="H1672" s="7" t="str">
        <f aca="false">IFERROR(INDEX('Semrush Data'!$A$1:$Z$20000,MATCH(A1672,'Semrush Data'!$A$1:$A$20000,0),MATCH("Keyword Difficulty*",'Semrush Data'!$A$1:$Z$1,0)),"")</f>
        <v/>
      </c>
      <c r="I1672" s="13" t="str">
        <f aca="false">IFERROR(INDEX('Semrush Data'!$A$1:$Z$20000,MATCH(A1672,'Semrush Data'!$A$1:$A$20000,0),MATCH("CPC*",'Semrush Data'!$A$1:$Z$1,0)),"")</f>
        <v/>
      </c>
      <c r="J1672" s="7" t="str">
        <f aca="false">IFERROR(INDEX('Semrush Data'!$A$1:$Z$20000,MATCH(A1672,'Semrush Data'!$A$1:$A$20000,0),MATCH("Intent",'Semrush Data'!$A$1:$Z$1,0)),"")</f>
        <v/>
      </c>
    </row>
    <row r="1673" customFormat="false" ht="15" hidden="false" customHeight="true" outlineLevel="0" collapsed="false">
      <c r="A1673" s="7" t="s">
        <v>2946</v>
      </c>
      <c r="B1673" s="7" t="s">
        <v>1355</v>
      </c>
      <c r="C1673" s="7" t="n">
        <v>3</v>
      </c>
      <c r="D1673" s="7" t="n">
        <v>17</v>
      </c>
      <c r="E1673" s="7" t="n">
        <v>1</v>
      </c>
      <c r="F1673" s="7" t="s">
        <v>2942</v>
      </c>
      <c r="G1673" s="12" t="str">
        <f aca="false">IFERROR(INDEX('Semrush Data'!$A$1:$Z$20000,MATCH(A1673,'Semrush Data'!$A$1:$A$20000,0),MATCH("Volume",'Semrush Data'!$A$1:$Z$1,0)),"")</f>
        <v/>
      </c>
      <c r="H1673" s="7" t="str">
        <f aca="false">IFERROR(INDEX('Semrush Data'!$A$1:$Z$20000,MATCH(A1673,'Semrush Data'!$A$1:$A$20000,0),MATCH("Keyword Difficulty*",'Semrush Data'!$A$1:$Z$1,0)),"")</f>
        <v/>
      </c>
      <c r="I1673" s="13" t="str">
        <f aca="false">IFERROR(INDEX('Semrush Data'!$A$1:$Z$20000,MATCH(A1673,'Semrush Data'!$A$1:$A$20000,0),MATCH("CPC*",'Semrush Data'!$A$1:$Z$1,0)),"")</f>
        <v/>
      </c>
      <c r="J1673" s="7" t="str">
        <f aca="false">IFERROR(INDEX('Semrush Data'!$A$1:$Z$20000,MATCH(A1673,'Semrush Data'!$A$1:$A$20000,0),MATCH("Intent",'Semrush Data'!$A$1:$Z$1,0)),"")</f>
        <v/>
      </c>
    </row>
    <row r="1674" customFormat="false" ht="15" hidden="false" customHeight="true" outlineLevel="0" collapsed="false">
      <c r="A1674" s="7" t="s">
        <v>2957</v>
      </c>
      <c r="B1674" s="7" t="s">
        <v>1355</v>
      </c>
      <c r="C1674" s="7" t="n">
        <v>3</v>
      </c>
      <c r="D1674" s="7" t="n">
        <v>17</v>
      </c>
      <c r="E1674" s="7" t="n">
        <v>1</v>
      </c>
      <c r="F1674" s="7" t="s">
        <v>2953</v>
      </c>
      <c r="G1674" s="12" t="str">
        <f aca="false">IFERROR(INDEX('Semrush Data'!$A$1:$Z$20000,MATCH(A1674,'Semrush Data'!$A$1:$A$20000,0),MATCH("Volume",'Semrush Data'!$A$1:$Z$1,0)),"")</f>
        <v/>
      </c>
      <c r="H1674" s="7" t="str">
        <f aca="false">IFERROR(INDEX('Semrush Data'!$A$1:$Z$20000,MATCH(A1674,'Semrush Data'!$A$1:$A$20000,0),MATCH("Keyword Difficulty*",'Semrush Data'!$A$1:$Z$1,0)),"")</f>
        <v/>
      </c>
      <c r="I1674" s="13" t="str">
        <f aca="false">IFERROR(INDEX('Semrush Data'!$A$1:$Z$20000,MATCH(A1674,'Semrush Data'!$A$1:$A$20000,0),MATCH("CPC*",'Semrush Data'!$A$1:$Z$1,0)),"")</f>
        <v/>
      </c>
      <c r="J1674" s="7" t="str">
        <f aca="false">IFERROR(INDEX('Semrush Data'!$A$1:$Z$20000,MATCH(A1674,'Semrush Data'!$A$1:$A$20000,0),MATCH("Intent",'Semrush Data'!$A$1:$Z$1,0)),"")</f>
        <v/>
      </c>
    </row>
    <row r="1675" customFormat="false" ht="15" hidden="false" customHeight="true" outlineLevel="0" collapsed="false">
      <c r="A1675" s="7" t="s">
        <v>2911</v>
      </c>
      <c r="B1675" s="7" t="s">
        <v>1355</v>
      </c>
      <c r="C1675" s="7" t="n">
        <v>3</v>
      </c>
      <c r="D1675" s="7" t="n">
        <v>17</v>
      </c>
      <c r="E1675" s="7" t="n">
        <v>1</v>
      </c>
      <c r="F1675" s="7" t="s">
        <v>2907</v>
      </c>
      <c r="G1675" s="12" t="str">
        <f aca="false">IFERROR(INDEX('Semrush Data'!$A$1:$Z$20000,MATCH(A1675,'Semrush Data'!$A$1:$A$20000,0),MATCH("Volume",'Semrush Data'!$A$1:$Z$1,0)),"")</f>
        <v/>
      </c>
      <c r="H1675" s="7" t="str">
        <f aca="false">IFERROR(INDEX('Semrush Data'!$A$1:$Z$20000,MATCH(A1675,'Semrush Data'!$A$1:$A$20000,0),MATCH("Keyword Difficulty*",'Semrush Data'!$A$1:$Z$1,0)),"")</f>
        <v/>
      </c>
      <c r="I1675" s="13" t="str">
        <f aca="false">IFERROR(INDEX('Semrush Data'!$A$1:$Z$20000,MATCH(A1675,'Semrush Data'!$A$1:$A$20000,0),MATCH("CPC*",'Semrush Data'!$A$1:$Z$1,0)),"")</f>
        <v/>
      </c>
      <c r="J1675" s="7" t="str">
        <f aca="false">IFERROR(INDEX('Semrush Data'!$A$1:$Z$20000,MATCH(A1675,'Semrush Data'!$A$1:$A$20000,0),MATCH("Intent",'Semrush Data'!$A$1:$Z$1,0)),"")</f>
        <v/>
      </c>
    </row>
    <row r="1676" customFormat="false" ht="15" hidden="false" customHeight="true" outlineLevel="0" collapsed="false">
      <c r="A1676" s="7" t="s">
        <v>3009</v>
      </c>
      <c r="B1676" s="7" t="s">
        <v>1355</v>
      </c>
      <c r="C1676" s="7" t="n">
        <v>3</v>
      </c>
      <c r="D1676" s="7" t="n">
        <v>17</v>
      </c>
      <c r="E1676" s="7" t="n">
        <v>1</v>
      </c>
      <c r="F1676" s="7" t="s">
        <v>3004</v>
      </c>
      <c r="G1676" s="12" t="str">
        <f aca="false">IFERROR(INDEX('Semrush Data'!$A$1:$Z$20000,MATCH(A1676,'Semrush Data'!$A$1:$A$20000,0),MATCH("Volume",'Semrush Data'!$A$1:$Z$1,0)),"")</f>
        <v/>
      </c>
      <c r="H1676" s="7" t="str">
        <f aca="false">IFERROR(INDEX('Semrush Data'!$A$1:$Z$20000,MATCH(A1676,'Semrush Data'!$A$1:$A$20000,0),MATCH("Keyword Difficulty*",'Semrush Data'!$A$1:$Z$1,0)),"")</f>
        <v/>
      </c>
      <c r="I1676" s="13" t="str">
        <f aca="false">IFERROR(INDEX('Semrush Data'!$A$1:$Z$20000,MATCH(A1676,'Semrush Data'!$A$1:$A$20000,0),MATCH("CPC*",'Semrush Data'!$A$1:$Z$1,0)),"")</f>
        <v/>
      </c>
      <c r="J1676" s="7" t="str">
        <f aca="false">IFERROR(INDEX('Semrush Data'!$A$1:$Z$20000,MATCH(A1676,'Semrush Data'!$A$1:$A$20000,0),MATCH("Intent",'Semrush Data'!$A$1:$Z$1,0)),"")</f>
        <v/>
      </c>
    </row>
    <row r="1677" customFormat="false" ht="15" hidden="false" customHeight="true" outlineLevel="0" collapsed="false">
      <c r="A1677" s="7" t="s">
        <v>3020</v>
      </c>
      <c r="B1677" s="7" t="s">
        <v>1355</v>
      </c>
      <c r="C1677" s="7" t="n">
        <v>3</v>
      </c>
      <c r="D1677" s="7" t="n">
        <v>17</v>
      </c>
      <c r="E1677" s="7" t="n">
        <v>2</v>
      </c>
      <c r="F1677" s="7" t="s">
        <v>6791</v>
      </c>
      <c r="G1677" s="12" t="str">
        <f aca="false">IFERROR(INDEX('Semrush Data'!$A$1:$Z$20000,MATCH(A1677,'Semrush Data'!$A$1:$A$20000,0),MATCH("Volume",'Semrush Data'!$A$1:$Z$1,0)),"")</f>
        <v/>
      </c>
      <c r="H1677" s="7" t="str">
        <f aca="false">IFERROR(INDEX('Semrush Data'!$A$1:$Z$20000,MATCH(A1677,'Semrush Data'!$A$1:$A$20000,0),MATCH("Keyword Difficulty*",'Semrush Data'!$A$1:$Z$1,0)),"")</f>
        <v/>
      </c>
      <c r="I1677" s="13" t="str">
        <f aca="false">IFERROR(INDEX('Semrush Data'!$A$1:$Z$20000,MATCH(A1677,'Semrush Data'!$A$1:$A$20000,0),MATCH("CPC*",'Semrush Data'!$A$1:$Z$1,0)),"")</f>
        <v/>
      </c>
      <c r="J1677" s="7" t="str">
        <f aca="false">IFERROR(INDEX('Semrush Data'!$A$1:$Z$20000,MATCH(A1677,'Semrush Data'!$A$1:$A$20000,0),MATCH("Intent",'Semrush Data'!$A$1:$Z$1,0)),"")</f>
        <v/>
      </c>
    </row>
    <row r="1678" customFormat="false" ht="15" hidden="false" customHeight="true" outlineLevel="0" collapsed="false">
      <c r="A1678" s="7" t="s">
        <v>2991</v>
      </c>
      <c r="B1678" s="7" t="s">
        <v>1355</v>
      </c>
      <c r="C1678" s="7" t="n">
        <v>3</v>
      </c>
      <c r="D1678" s="7" t="n">
        <v>17</v>
      </c>
      <c r="E1678" s="7" t="n">
        <v>2</v>
      </c>
      <c r="F1678" s="7" t="s">
        <v>6790</v>
      </c>
      <c r="G1678" s="12" t="str">
        <f aca="false">IFERROR(INDEX('Semrush Data'!$A$1:$Z$20000,MATCH(A1678,'Semrush Data'!$A$1:$A$20000,0),MATCH("Volume",'Semrush Data'!$A$1:$Z$1,0)),"")</f>
        <v/>
      </c>
      <c r="H1678" s="7" t="str">
        <f aca="false">IFERROR(INDEX('Semrush Data'!$A$1:$Z$20000,MATCH(A1678,'Semrush Data'!$A$1:$A$20000,0),MATCH("Keyword Difficulty*",'Semrush Data'!$A$1:$Z$1,0)),"")</f>
        <v/>
      </c>
      <c r="I1678" s="13" t="str">
        <f aca="false">IFERROR(INDEX('Semrush Data'!$A$1:$Z$20000,MATCH(A1678,'Semrush Data'!$A$1:$A$20000,0),MATCH("CPC*",'Semrush Data'!$A$1:$Z$1,0)),"")</f>
        <v/>
      </c>
      <c r="J1678" s="7" t="str">
        <f aca="false">IFERROR(INDEX('Semrush Data'!$A$1:$Z$20000,MATCH(A1678,'Semrush Data'!$A$1:$A$20000,0),MATCH("Intent",'Semrush Data'!$A$1:$Z$1,0)),"")</f>
        <v/>
      </c>
    </row>
    <row r="1679" customFormat="false" ht="15" hidden="false" customHeight="true" outlineLevel="0" collapsed="false">
      <c r="A1679" s="7" t="s">
        <v>3067</v>
      </c>
      <c r="B1679" s="7" t="s">
        <v>1355</v>
      </c>
      <c r="C1679" s="7" t="n">
        <v>3</v>
      </c>
      <c r="D1679" s="7" t="n">
        <v>17</v>
      </c>
      <c r="E1679" s="7" t="n">
        <v>1</v>
      </c>
      <c r="F1679" s="7" t="s">
        <v>3063</v>
      </c>
      <c r="G1679" s="12" t="str">
        <f aca="false">IFERROR(INDEX('Semrush Data'!$A$1:$Z$20000,MATCH(A1679,'Semrush Data'!$A$1:$A$20000,0),MATCH("Volume",'Semrush Data'!$A$1:$Z$1,0)),"")</f>
        <v/>
      </c>
      <c r="H1679" s="7" t="str">
        <f aca="false">IFERROR(INDEX('Semrush Data'!$A$1:$Z$20000,MATCH(A1679,'Semrush Data'!$A$1:$A$20000,0),MATCH("Keyword Difficulty*",'Semrush Data'!$A$1:$Z$1,0)),"")</f>
        <v/>
      </c>
      <c r="I1679" s="13" t="str">
        <f aca="false">IFERROR(INDEX('Semrush Data'!$A$1:$Z$20000,MATCH(A1679,'Semrush Data'!$A$1:$A$20000,0),MATCH("CPC*",'Semrush Data'!$A$1:$Z$1,0)),"")</f>
        <v/>
      </c>
      <c r="J1679" s="7" t="str">
        <f aca="false">IFERROR(INDEX('Semrush Data'!$A$1:$Z$20000,MATCH(A1679,'Semrush Data'!$A$1:$A$20000,0),MATCH("Intent",'Semrush Data'!$A$1:$Z$1,0)),"")</f>
        <v/>
      </c>
    </row>
    <row r="1680" customFormat="false" ht="15" hidden="false" customHeight="true" outlineLevel="0" collapsed="false">
      <c r="A1680" s="7" t="s">
        <v>3033</v>
      </c>
      <c r="B1680" s="7" t="s">
        <v>1355</v>
      </c>
      <c r="C1680" s="7" t="n">
        <v>3</v>
      </c>
      <c r="D1680" s="7" t="s">
        <v>6818</v>
      </c>
      <c r="E1680" s="7" t="n">
        <v>1</v>
      </c>
      <c r="F1680" s="7" t="s">
        <v>76</v>
      </c>
      <c r="G1680" s="12" t="str">
        <f aca="false">IFERROR(INDEX('Semrush Data'!$A$1:$Z$20000,MATCH(A1680,'Semrush Data'!$A$1:$A$20000,0),MATCH("Volume",'Semrush Data'!$A$1:$Z$1,0)),"")</f>
        <v/>
      </c>
      <c r="H1680" s="7" t="str">
        <f aca="false">IFERROR(INDEX('Semrush Data'!$A$1:$Z$20000,MATCH(A1680,'Semrush Data'!$A$1:$A$20000,0),MATCH("Keyword Difficulty*",'Semrush Data'!$A$1:$Z$1,0)),"")</f>
        <v/>
      </c>
      <c r="I1680" s="13" t="str">
        <f aca="false">IFERROR(INDEX('Semrush Data'!$A$1:$Z$20000,MATCH(A1680,'Semrush Data'!$A$1:$A$20000,0),MATCH("CPC*",'Semrush Data'!$A$1:$Z$1,0)),"")</f>
        <v/>
      </c>
      <c r="J1680" s="7" t="str">
        <f aca="false">IFERROR(INDEX('Semrush Data'!$A$1:$Z$20000,MATCH(A1680,'Semrush Data'!$A$1:$A$20000,0),MATCH("Intent",'Semrush Data'!$A$1:$Z$1,0)),"")</f>
        <v/>
      </c>
    </row>
    <row r="1681" customFormat="false" ht="15" hidden="false" customHeight="true" outlineLevel="0" collapsed="false">
      <c r="A1681" s="7" t="s">
        <v>3077</v>
      </c>
      <c r="B1681" s="7" t="s">
        <v>1355</v>
      </c>
      <c r="C1681" s="7" t="n">
        <v>3</v>
      </c>
      <c r="D1681" s="7" t="n">
        <v>17</v>
      </c>
      <c r="E1681" s="7" t="n">
        <v>1</v>
      </c>
      <c r="F1681" s="7" t="s">
        <v>3073</v>
      </c>
      <c r="G1681" s="12" t="str">
        <f aca="false">IFERROR(INDEX('Semrush Data'!$A$1:$Z$20000,MATCH(A1681,'Semrush Data'!$A$1:$A$20000,0),MATCH("Volume",'Semrush Data'!$A$1:$Z$1,0)),"")</f>
        <v/>
      </c>
      <c r="H1681" s="7" t="str">
        <f aca="false">IFERROR(INDEX('Semrush Data'!$A$1:$Z$20000,MATCH(A1681,'Semrush Data'!$A$1:$A$20000,0),MATCH("Keyword Difficulty*",'Semrush Data'!$A$1:$Z$1,0)),"")</f>
        <v/>
      </c>
      <c r="I1681" s="13" t="str">
        <f aca="false">IFERROR(INDEX('Semrush Data'!$A$1:$Z$20000,MATCH(A1681,'Semrush Data'!$A$1:$A$20000,0),MATCH("CPC*",'Semrush Data'!$A$1:$Z$1,0)),"")</f>
        <v/>
      </c>
      <c r="J1681" s="7" t="str">
        <f aca="false">IFERROR(INDEX('Semrush Data'!$A$1:$Z$20000,MATCH(A1681,'Semrush Data'!$A$1:$A$20000,0),MATCH("Intent",'Semrush Data'!$A$1:$Z$1,0)),"")</f>
        <v/>
      </c>
    </row>
    <row r="1682" customFormat="false" ht="15" hidden="false" customHeight="true" outlineLevel="0" collapsed="false">
      <c r="A1682" s="7" t="s">
        <v>3087</v>
      </c>
      <c r="B1682" s="7" t="s">
        <v>1355</v>
      </c>
      <c r="C1682" s="7" t="n">
        <v>3</v>
      </c>
      <c r="D1682" s="7" t="n">
        <v>17</v>
      </c>
      <c r="E1682" s="7" t="n">
        <v>1</v>
      </c>
      <c r="F1682" s="7" t="s">
        <v>3083</v>
      </c>
      <c r="G1682" s="12" t="str">
        <f aca="false">IFERROR(INDEX('Semrush Data'!$A$1:$Z$20000,MATCH(A1682,'Semrush Data'!$A$1:$A$20000,0),MATCH("Volume",'Semrush Data'!$A$1:$Z$1,0)),"")</f>
        <v/>
      </c>
      <c r="H1682" s="7" t="str">
        <f aca="false">IFERROR(INDEX('Semrush Data'!$A$1:$Z$20000,MATCH(A1682,'Semrush Data'!$A$1:$A$20000,0),MATCH("Keyword Difficulty*",'Semrush Data'!$A$1:$Z$1,0)),"")</f>
        <v/>
      </c>
      <c r="I1682" s="13" t="str">
        <f aca="false">IFERROR(INDEX('Semrush Data'!$A$1:$Z$20000,MATCH(A1682,'Semrush Data'!$A$1:$A$20000,0),MATCH("CPC*",'Semrush Data'!$A$1:$Z$1,0)),"")</f>
        <v/>
      </c>
      <c r="J1682" s="7" t="str">
        <f aca="false">IFERROR(INDEX('Semrush Data'!$A$1:$Z$20000,MATCH(A1682,'Semrush Data'!$A$1:$A$20000,0),MATCH("Intent",'Semrush Data'!$A$1:$Z$1,0)),"")</f>
        <v/>
      </c>
    </row>
    <row r="1683" customFormat="false" ht="15" hidden="false" customHeight="true" outlineLevel="0" collapsed="false">
      <c r="A1683" s="7" t="s">
        <v>3097</v>
      </c>
      <c r="B1683" s="7" t="s">
        <v>1355</v>
      </c>
      <c r="C1683" s="7" t="n">
        <v>3</v>
      </c>
      <c r="D1683" s="7" t="n">
        <v>17</v>
      </c>
      <c r="E1683" s="7" t="n">
        <v>1</v>
      </c>
      <c r="F1683" s="7" t="s">
        <v>3093</v>
      </c>
      <c r="G1683" s="12" t="str">
        <f aca="false">IFERROR(INDEX('Semrush Data'!$A$1:$Z$20000,MATCH(A1683,'Semrush Data'!$A$1:$A$20000,0),MATCH("Volume",'Semrush Data'!$A$1:$Z$1,0)),"")</f>
        <v/>
      </c>
      <c r="H1683" s="7" t="str">
        <f aca="false">IFERROR(INDEX('Semrush Data'!$A$1:$Z$20000,MATCH(A1683,'Semrush Data'!$A$1:$A$20000,0),MATCH("Keyword Difficulty*",'Semrush Data'!$A$1:$Z$1,0)),"")</f>
        <v/>
      </c>
      <c r="I1683" s="13" t="str">
        <f aca="false">IFERROR(INDEX('Semrush Data'!$A$1:$Z$20000,MATCH(A1683,'Semrush Data'!$A$1:$A$20000,0),MATCH("CPC*",'Semrush Data'!$A$1:$Z$1,0)),"")</f>
        <v/>
      </c>
      <c r="J1683" s="7" t="str">
        <f aca="false">IFERROR(INDEX('Semrush Data'!$A$1:$Z$20000,MATCH(A1683,'Semrush Data'!$A$1:$A$20000,0),MATCH("Intent",'Semrush Data'!$A$1:$Z$1,0)),"")</f>
        <v/>
      </c>
    </row>
    <row r="1684" customFormat="false" ht="15" hidden="false" customHeight="true" outlineLevel="0" collapsed="false">
      <c r="A1684" s="7" t="s">
        <v>3056</v>
      </c>
      <c r="B1684" s="7" t="s">
        <v>1355</v>
      </c>
      <c r="C1684" s="7" t="n">
        <v>3</v>
      </c>
      <c r="D1684" s="7" t="n">
        <v>17</v>
      </c>
      <c r="E1684" s="7" t="n">
        <v>1</v>
      </c>
      <c r="F1684" s="7" t="s">
        <v>142</v>
      </c>
      <c r="G1684" s="12" t="str">
        <f aca="false">IFERROR(INDEX('Semrush Data'!$A$1:$Z$20000,MATCH(A1684,'Semrush Data'!$A$1:$A$20000,0),MATCH("Volume",'Semrush Data'!$A$1:$Z$1,0)),"")</f>
        <v/>
      </c>
      <c r="H1684" s="7" t="str">
        <f aca="false">IFERROR(INDEX('Semrush Data'!$A$1:$Z$20000,MATCH(A1684,'Semrush Data'!$A$1:$A$20000,0),MATCH("Keyword Difficulty*",'Semrush Data'!$A$1:$Z$1,0)),"")</f>
        <v/>
      </c>
      <c r="I1684" s="13" t="str">
        <f aca="false">IFERROR(INDEX('Semrush Data'!$A$1:$Z$20000,MATCH(A1684,'Semrush Data'!$A$1:$A$20000,0),MATCH("CPC*",'Semrush Data'!$A$1:$Z$1,0)),"")</f>
        <v/>
      </c>
      <c r="J1684" s="7" t="str">
        <f aca="false">IFERROR(INDEX('Semrush Data'!$A$1:$Z$20000,MATCH(A1684,'Semrush Data'!$A$1:$A$20000,0),MATCH("Intent",'Semrush Data'!$A$1:$Z$1,0)),"")</f>
        <v/>
      </c>
    </row>
    <row r="1685" customFormat="false" ht="15" hidden="false" customHeight="true" outlineLevel="0" collapsed="false">
      <c r="A1685" s="7" t="s">
        <v>3107</v>
      </c>
      <c r="B1685" s="7" t="s">
        <v>1355</v>
      </c>
      <c r="C1685" s="7" t="n">
        <v>3</v>
      </c>
      <c r="D1685" s="7" t="n">
        <v>17</v>
      </c>
      <c r="E1685" s="7" t="n">
        <v>1</v>
      </c>
      <c r="F1685" s="7" t="s">
        <v>3103</v>
      </c>
      <c r="G1685" s="12" t="str">
        <f aca="false">IFERROR(INDEX('Semrush Data'!$A$1:$Z$20000,MATCH(A1685,'Semrush Data'!$A$1:$A$20000,0),MATCH("Volume",'Semrush Data'!$A$1:$Z$1,0)),"")</f>
        <v/>
      </c>
      <c r="H1685" s="7" t="str">
        <f aca="false">IFERROR(INDEX('Semrush Data'!$A$1:$Z$20000,MATCH(A1685,'Semrush Data'!$A$1:$A$20000,0),MATCH("Keyword Difficulty*",'Semrush Data'!$A$1:$Z$1,0)),"")</f>
        <v/>
      </c>
      <c r="I1685" s="13" t="str">
        <f aca="false">IFERROR(INDEX('Semrush Data'!$A$1:$Z$20000,MATCH(A1685,'Semrush Data'!$A$1:$A$20000,0),MATCH("CPC*",'Semrush Data'!$A$1:$Z$1,0)),"")</f>
        <v/>
      </c>
      <c r="J1685" s="7" t="str">
        <f aca="false">IFERROR(INDEX('Semrush Data'!$A$1:$Z$20000,MATCH(A1685,'Semrush Data'!$A$1:$A$20000,0),MATCH("Intent",'Semrush Data'!$A$1:$Z$1,0)),"")</f>
        <v/>
      </c>
    </row>
    <row r="1686" customFormat="false" ht="15" hidden="false" customHeight="true" outlineLevel="0" collapsed="false">
      <c r="A1686" s="7" t="s">
        <v>3045</v>
      </c>
      <c r="B1686" s="7" t="s">
        <v>1355</v>
      </c>
      <c r="C1686" s="7" t="n">
        <v>3</v>
      </c>
      <c r="D1686" s="7" t="n">
        <v>17</v>
      </c>
      <c r="E1686" s="7" t="n">
        <v>1</v>
      </c>
      <c r="F1686" s="7" t="s">
        <v>3041</v>
      </c>
      <c r="G1686" s="12" t="str">
        <f aca="false">IFERROR(INDEX('Semrush Data'!$A$1:$Z$20000,MATCH(A1686,'Semrush Data'!$A$1:$A$20000,0),MATCH("Volume",'Semrush Data'!$A$1:$Z$1,0)),"")</f>
        <v/>
      </c>
      <c r="H1686" s="7" t="str">
        <f aca="false">IFERROR(INDEX('Semrush Data'!$A$1:$Z$20000,MATCH(A1686,'Semrush Data'!$A$1:$A$20000,0),MATCH("Keyword Difficulty*",'Semrush Data'!$A$1:$Z$1,0)),"")</f>
        <v/>
      </c>
      <c r="I1686" s="13" t="str">
        <f aca="false">IFERROR(INDEX('Semrush Data'!$A$1:$Z$20000,MATCH(A1686,'Semrush Data'!$A$1:$A$20000,0),MATCH("CPC*",'Semrush Data'!$A$1:$Z$1,0)),"")</f>
        <v/>
      </c>
      <c r="J1686" s="7" t="str">
        <f aca="false">IFERROR(INDEX('Semrush Data'!$A$1:$Z$20000,MATCH(A1686,'Semrush Data'!$A$1:$A$20000,0),MATCH("Intent",'Semrush Data'!$A$1:$Z$1,0)),"")</f>
        <v/>
      </c>
    </row>
    <row r="1687" customFormat="false" ht="15" hidden="false" customHeight="true" outlineLevel="0" collapsed="false">
      <c r="A1687" s="7" t="s">
        <v>3118</v>
      </c>
      <c r="B1687" s="7" t="s">
        <v>1355</v>
      </c>
      <c r="C1687" s="7" t="n">
        <v>3</v>
      </c>
      <c r="D1687" s="7" t="n">
        <v>17</v>
      </c>
      <c r="E1687" s="7" t="n">
        <v>1</v>
      </c>
      <c r="F1687" s="7" t="s">
        <v>3113</v>
      </c>
      <c r="G1687" s="12" t="str">
        <f aca="false">IFERROR(INDEX('Semrush Data'!$A$1:$Z$20000,MATCH(A1687,'Semrush Data'!$A$1:$A$20000,0),MATCH("Volume",'Semrush Data'!$A$1:$Z$1,0)),"")</f>
        <v/>
      </c>
      <c r="H1687" s="7" t="str">
        <f aca="false">IFERROR(INDEX('Semrush Data'!$A$1:$Z$20000,MATCH(A1687,'Semrush Data'!$A$1:$A$20000,0),MATCH("Keyword Difficulty*",'Semrush Data'!$A$1:$Z$1,0)),"")</f>
        <v/>
      </c>
      <c r="I1687" s="13" t="str">
        <f aca="false">IFERROR(INDEX('Semrush Data'!$A$1:$Z$20000,MATCH(A1687,'Semrush Data'!$A$1:$A$20000,0),MATCH("CPC*",'Semrush Data'!$A$1:$Z$1,0)),"")</f>
        <v/>
      </c>
      <c r="J1687" s="7" t="str">
        <f aca="false">IFERROR(INDEX('Semrush Data'!$A$1:$Z$20000,MATCH(A1687,'Semrush Data'!$A$1:$A$20000,0),MATCH("Intent",'Semrush Data'!$A$1:$Z$1,0)),"")</f>
        <v/>
      </c>
    </row>
    <row r="1688" customFormat="false" ht="15" hidden="false" customHeight="true" outlineLevel="0" collapsed="false">
      <c r="A1688" s="7" t="s">
        <v>3177</v>
      </c>
      <c r="B1688" s="7" t="s">
        <v>1355</v>
      </c>
      <c r="C1688" s="7" t="n">
        <v>3</v>
      </c>
      <c r="D1688" s="7" t="n">
        <v>17</v>
      </c>
      <c r="E1688" s="7" t="n">
        <v>2</v>
      </c>
      <c r="F1688" s="7" t="s">
        <v>6792</v>
      </c>
      <c r="G1688" s="12" t="str">
        <f aca="false">IFERROR(INDEX('Semrush Data'!$A$1:$Z$20000,MATCH(A1688,'Semrush Data'!$A$1:$A$20000,0),MATCH("Volume",'Semrush Data'!$A$1:$Z$1,0)),"")</f>
        <v/>
      </c>
      <c r="H1688" s="7" t="str">
        <f aca="false">IFERROR(INDEX('Semrush Data'!$A$1:$Z$20000,MATCH(A1688,'Semrush Data'!$A$1:$A$20000,0),MATCH("Keyword Difficulty*",'Semrush Data'!$A$1:$Z$1,0)),"")</f>
        <v/>
      </c>
      <c r="I1688" s="13" t="str">
        <f aca="false">IFERROR(INDEX('Semrush Data'!$A$1:$Z$20000,MATCH(A1688,'Semrush Data'!$A$1:$A$20000,0),MATCH("CPC*",'Semrush Data'!$A$1:$Z$1,0)),"")</f>
        <v/>
      </c>
      <c r="J1688" s="7" t="str">
        <f aca="false">IFERROR(INDEX('Semrush Data'!$A$1:$Z$20000,MATCH(A1688,'Semrush Data'!$A$1:$A$20000,0),MATCH("Intent",'Semrush Data'!$A$1:$Z$1,0)),"")</f>
        <v/>
      </c>
    </row>
    <row r="1689" customFormat="false" ht="15" hidden="false" customHeight="true" outlineLevel="0" collapsed="false">
      <c r="A1689" s="7" t="s">
        <v>3168</v>
      </c>
      <c r="B1689" s="7" t="s">
        <v>1355</v>
      </c>
      <c r="C1689" s="7" t="n">
        <v>3</v>
      </c>
      <c r="D1689" s="7" t="n">
        <v>17</v>
      </c>
      <c r="E1689" s="7" t="n">
        <v>1</v>
      </c>
      <c r="F1689" s="7" t="s">
        <v>3164</v>
      </c>
      <c r="G1689" s="12" t="str">
        <f aca="false">IFERROR(INDEX('Semrush Data'!$A$1:$Z$20000,MATCH(A1689,'Semrush Data'!$A$1:$A$20000,0),MATCH("Volume",'Semrush Data'!$A$1:$Z$1,0)),"")</f>
        <v/>
      </c>
      <c r="H1689" s="7" t="str">
        <f aca="false">IFERROR(INDEX('Semrush Data'!$A$1:$Z$20000,MATCH(A1689,'Semrush Data'!$A$1:$A$20000,0),MATCH("Keyword Difficulty*",'Semrush Data'!$A$1:$Z$1,0)),"")</f>
        <v/>
      </c>
      <c r="I1689" s="13" t="str">
        <f aca="false">IFERROR(INDEX('Semrush Data'!$A$1:$Z$20000,MATCH(A1689,'Semrush Data'!$A$1:$A$20000,0),MATCH("CPC*",'Semrush Data'!$A$1:$Z$1,0)),"")</f>
        <v/>
      </c>
      <c r="J1689" s="7" t="str">
        <f aca="false">IFERROR(INDEX('Semrush Data'!$A$1:$Z$20000,MATCH(A1689,'Semrush Data'!$A$1:$A$20000,0),MATCH("Intent",'Semrush Data'!$A$1:$Z$1,0)),"")</f>
        <v/>
      </c>
    </row>
    <row r="1690" customFormat="false" ht="15" hidden="false" customHeight="true" outlineLevel="0" collapsed="false">
      <c r="A1690" s="7" t="s">
        <v>3189</v>
      </c>
      <c r="B1690" s="7" t="s">
        <v>1355</v>
      </c>
      <c r="C1690" s="7" t="n">
        <v>3</v>
      </c>
      <c r="D1690" s="7" t="n">
        <v>17</v>
      </c>
      <c r="E1690" s="7" t="n">
        <v>2</v>
      </c>
      <c r="F1690" s="7" t="s">
        <v>6794</v>
      </c>
      <c r="G1690" s="12" t="str">
        <f aca="false">IFERROR(INDEX('Semrush Data'!$A$1:$Z$20000,MATCH(A1690,'Semrush Data'!$A$1:$A$20000,0),MATCH("Volume",'Semrush Data'!$A$1:$Z$1,0)),"")</f>
        <v/>
      </c>
      <c r="H1690" s="7" t="str">
        <f aca="false">IFERROR(INDEX('Semrush Data'!$A$1:$Z$20000,MATCH(A1690,'Semrush Data'!$A$1:$A$20000,0),MATCH("Keyword Difficulty*",'Semrush Data'!$A$1:$Z$1,0)),"")</f>
        <v/>
      </c>
      <c r="I1690" s="13" t="str">
        <f aca="false">IFERROR(INDEX('Semrush Data'!$A$1:$Z$20000,MATCH(A1690,'Semrush Data'!$A$1:$A$20000,0),MATCH("CPC*",'Semrush Data'!$A$1:$Z$1,0)),"")</f>
        <v/>
      </c>
      <c r="J1690" s="7" t="str">
        <f aca="false">IFERROR(INDEX('Semrush Data'!$A$1:$Z$20000,MATCH(A1690,'Semrush Data'!$A$1:$A$20000,0),MATCH("Intent",'Semrush Data'!$A$1:$Z$1,0)),"")</f>
        <v/>
      </c>
    </row>
    <row r="1691" customFormat="false" ht="15" hidden="false" customHeight="true" outlineLevel="0" collapsed="false">
      <c r="A1691" s="7" t="s">
        <v>3127</v>
      </c>
      <c r="B1691" s="7" t="s">
        <v>1355</v>
      </c>
      <c r="C1691" s="7" t="n">
        <v>3</v>
      </c>
      <c r="D1691" s="7" t="s">
        <v>6818</v>
      </c>
      <c r="E1691" s="7" t="n">
        <v>2</v>
      </c>
      <c r="F1691" s="7" t="s">
        <v>6793</v>
      </c>
      <c r="G1691" s="12" t="str">
        <f aca="false">IFERROR(INDEX('Semrush Data'!$A$1:$Z$20000,MATCH(A1691,'Semrush Data'!$A$1:$A$20000,0),MATCH("Volume",'Semrush Data'!$A$1:$Z$1,0)),"")</f>
        <v/>
      </c>
      <c r="H1691" s="7" t="str">
        <f aca="false">IFERROR(INDEX('Semrush Data'!$A$1:$Z$20000,MATCH(A1691,'Semrush Data'!$A$1:$A$20000,0),MATCH("Keyword Difficulty*",'Semrush Data'!$A$1:$Z$1,0)),"")</f>
        <v/>
      </c>
      <c r="I1691" s="13" t="str">
        <f aca="false">IFERROR(INDEX('Semrush Data'!$A$1:$Z$20000,MATCH(A1691,'Semrush Data'!$A$1:$A$20000,0),MATCH("CPC*",'Semrush Data'!$A$1:$Z$1,0)),"")</f>
        <v/>
      </c>
      <c r="J1691" s="7" t="str">
        <f aca="false">IFERROR(INDEX('Semrush Data'!$A$1:$Z$20000,MATCH(A1691,'Semrush Data'!$A$1:$A$20000,0),MATCH("Intent",'Semrush Data'!$A$1:$Z$1,0)),"")</f>
        <v/>
      </c>
    </row>
    <row r="1692" customFormat="false" ht="15" hidden="false" customHeight="true" outlineLevel="0" collapsed="false">
      <c r="A1692" s="7" t="s">
        <v>3202</v>
      </c>
      <c r="B1692" s="7" t="s">
        <v>1355</v>
      </c>
      <c r="C1692" s="7" t="n">
        <v>3</v>
      </c>
      <c r="D1692" s="7" t="n">
        <v>17</v>
      </c>
      <c r="E1692" s="7" t="n">
        <v>1</v>
      </c>
      <c r="F1692" s="7" t="s">
        <v>3198</v>
      </c>
      <c r="G1692" s="12" t="str">
        <f aca="false">IFERROR(INDEX('Semrush Data'!$A$1:$Z$20000,MATCH(A1692,'Semrush Data'!$A$1:$A$20000,0),MATCH("Volume",'Semrush Data'!$A$1:$Z$1,0)),"")</f>
        <v/>
      </c>
      <c r="H1692" s="7" t="str">
        <f aca="false">IFERROR(INDEX('Semrush Data'!$A$1:$Z$20000,MATCH(A1692,'Semrush Data'!$A$1:$A$20000,0),MATCH("Keyword Difficulty*",'Semrush Data'!$A$1:$Z$1,0)),"")</f>
        <v/>
      </c>
      <c r="I1692" s="13" t="str">
        <f aca="false">IFERROR(INDEX('Semrush Data'!$A$1:$Z$20000,MATCH(A1692,'Semrush Data'!$A$1:$A$20000,0),MATCH("CPC*",'Semrush Data'!$A$1:$Z$1,0)),"")</f>
        <v/>
      </c>
      <c r="J1692" s="7" t="str">
        <f aca="false">IFERROR(INDEX('Semrush Data'!$A$1:$Z$20000,MATCH(A1692,'Semrush Data'!$A$1:$A$20000,0),MATCH("Intent",'Semrush Data'!$A$1:$Z$1,0)),"")</f>
        <v/>
      </c>
    </row>
    <row r="1693" customFormat="false" ht="15" hidden="false" customHeight="true" outlineLevel="0" collapsed="false">
      <c r="A1693" s="7" t="s">
        <v>3157</v>
      </c>
      <c r="B1693" s="7" t="s">
        <v>1355</v>
      </c>
      <c r="C1693" s="7" t="n">
        <v>3</v>
      </c>
      <c r="D1693" s="7" t="n">
        <v>17</v>
      </c>
      <c r="E1693" s="7" t="n">
        <v>1</v>
      </c>
      <c r="F1693" s="7" t="s">
        <v>3152</v>
      </c>
      <c r="G1693" s="12" t="str">
        <f aca="false">IFERROR(INDEX('Semrush Data'!$A$1:$Z$20000,MATCH(A1693,'Semrush Data'!$A$1:$A$20000,0),MATCH("Volume",'Semrush Data'!$A$1:$Z$1,0)),"")</f>
        <v/>
      </c>
      <c r="H1693" s="7" t="str">
        <f aca="false">IFERROR(INDEX('Semrush Data'!$A$1:$Z$20000,MATCH(A1693,'Semrush Data'!$A$1:$A$20000,0),MATCH("Keyword Difficulty*",'Semrush Data'!$A$1:$Z$1,0)),"")</f>
        <v/>
      </c>
      <c r="I1693" s="13" t="str">
        <f aca="false">IFERROR(INDEX('Semrush Data'!$A$1:$Z$20000,MATCH(A1693,'Semrush Data'!$A$1:$A$20000,0),MATCH("CPC*",'Semrush Data'!$A$1:$Z$1,0)),"")</f>
        <v/>
      </c>
      <c r="J1693" s="7" t="str">
        <f aca="false">IFERROR(INDEX('Semrush Data'!$A$1:$Z$20000,MATCH(A1693,'Semrush Data'!$A$1:$A$20000,0),MATCH("Intent",'Semrush Data'!$A$1:$Z$1,0)),"")</f>
        <v/>
      </c>
    </row>
    <row r="1694" customFormat="false" ht="15" hidden="false" customHeight="true" outlineLevel="0" collapsed="false">
      <c r="A1694" s="7" t="s">
        <v>3139</v>
      </c>
      <c r="B1694" s="7" t="s">
        <v>1355</v>
      </c>
      <c r="C1694" s="7" t="n">
        <v>3</v>
      </c>
      <c r="D1694" s="7" t="n">
        <v>17</v>
      </c>
      <c r="E1694" s="7" t="n">
        <v>1</v>
      </c>
      <c r="F1694" s="7" t="s">
        <v>3135</v>
      </c>
      <c r="G1694" s="12" t="str">
        <f aca="false">IFERROR(INDEX('Semrush Data'!$A$1:$Z$20000,MATCH(A1694,'Semrush Data'!$A$1:$A$20000,0),MATCH("Volume",'Semrush Data'!$A$1:$Z$1,0)),"")</f>
        <v/>
      </c>
      <c r="H1694" s="7" t="str">
        <f aca="false">IFERROR(INDEX('Semrush Data'!$A$1:$Z$20000,MATCH(A1694,'Semrush Data'!$A$1:$A$20000,0),MATCH("Keyword Difficulty*",'Semrush Data'!$A$1:$Z$1,0)),"")</f>
        <v/>
      </c>
      <c r="I1694" s="13" t="str">
        <f aca="false">IFERROR(INDEX('Semrush Data'!$A$1:$Z$20000,MATCH(A1694,'Semrush Data'!$A$1:$A$20000,0),MATCH("CPC*",'Semrush Data'!$A$1:$Z$1,0)),"")</f>
        <v/>
      </c>
      <c r="J1694" s="7" t="str">
        <f aca="false">IFERROR(INDEX('Semrush Data'!$A$1:$Z$20000,MATCH(A1694,'Semrush Data'!$A$1:$A$20000,0),MATCH("Intent",'Semrush Data'!$A$1:$Z$1,0)),"")</f>
        <v/>
      </c>
    </row>
    <row r="1695" customFormat="false" ht="15" hidden="false" customHeight="true" outlineLevel="0" collapsed="false">
      <c r="A1695" s="7" t="s">
        <v>3255</v>
      </c>
      <c r="B1695" s="7" t="s">
        <v>1355</v>
      </c>
      <c r="C1695" s="7" t="n">
        <v>3</v>
      </c>
      <c r="D1695" s="7" t="n">
        <v>17</v>
      </c>
      <c r="E1695" s="7" t="n">
        <v>1</v>
      </c>
      <c r="F1695" s="7" t="s">
        <v>3250</v>
      </c>
      <c r="G1695" s="12" t="str">
        <f aca="false">IFERROR(INDEX('Semrush Data'!$A$1:$Z$20000,MATCH(A1695,'Semrush Data'!$A$1:$A$20000,0),MATCH("Volume",'Semrush Data'!$A$1:$Z$1,0)),"")</f>
        <v/>
      </c>
      <c r="H1695" s="7" t="str">
        <f aca="false">IFERROR(INDEX('Semrush Data'!$A$1:$Z$20000,MATCH(A1695,'Semrush Data'!$A$1:$A$20000,0),MATCH("Keyword Difficulty*",'Semrush Data'!$A$1:$Z$1,0)),"")</f>
        <v/>
      </c>
      <c r="I1695" s="13" t="str">
        <f aca="false">IFERROR(INDEX('Semrush Data'!$A$1:$Z$20000,MATCH(A1695,'Semrush Data'!$A$1:$A$20000,0),MATCH("CPC*",'Semrush Data'!$A$1:$Z$1,0)),"")</f>
        <v/>
      </c>
      <c r="J1695" s="7" t="str">
        <f aca="false">IFERROR(INDEX('Semrush Data'!$A$1:$Z$20000,MATCH(A1695,'Semrush Data'!$A$1:$A$20000,0),MATCH("Intent",'Semrush Data'!$A$1:$Z$1,0)),"")</f>
        <v/>
      </c>
    </row>
    <row r="1696" customFormat="false" ht="15" hidden="false" customHeight="true" outlineLevel="0" collapsed="false">
      <c r="A1696" s="7" t="s">
        <v>3264</v>
      </c>
      <c r="B1696" s="7" t="s">
        <v>1355</v>
      </c>
      <c r="C1696" s="7" t="n">
        <v>3</v>
      </c>
      <c r="D1696" s="7" t="n">
        <v>17</v>
      </c>
      <c r="E1696" s="7" t="n">
        <v>1</v>
      </c>
      <c r="F1696" s="7" t="s">
        <v>128</v>
      </c>
      <c r="G1696" s="12" t="str">
        <f aca="false">IFERROR(INDEX('Semrush Data'!$A$1:$Z$20000,MATCH(A1696,'Semrush Data'!$A$1:$A$20000,0),MATCH("Volume",'Semrush Data'!$A$1:$Z$1,0)),"")</f>
        <v/>
      </c>
      <c r="H1696" s="7" t="str">
        <f aca="false">IFERROR(INDEX('Semrush Data'!$A$1:$Z$20000,MATCH(A1696,'Semrush Data'!$A$1:$A$20000,0),MATCH("Keyword Difficulty*",'Semrush Data'!$A$1:$Z$1,0)),"")</f>
        <v/>
      </c>
      <c r="I1696" s="13" t="str">
        <f aca="false">IFERROR(INDEX('Semrush Data'!$A$1:$Z$20000,MATCH(A1696,'Semrush Data'!$A$1:$A$20000,0),MATCH("CPC*",'Semrush Data'!$A$1:$Z$1,0)),"")</f>
        <v/>
      </c>
      <c r="J1696" s="7" t="str">
        <f aca="false">IFERROR(INDEX('Semrush Data'!$A$1:$Z$20000,MATCH(A1696,'Semrush Data'!$A$1:$A$20000,0),MATCH("Intent",'Semrush Data'!$A$1:$Z$1,0)),"")</f>
        <v/>
      </c>
    </row>
    <row r="1697" customFormat="false" ht="15" hidden="false" customHeight="true" outlineLevel="0" collapsed="false">
      <c r="A1697" s="7" t="s">
        <v>3215</v>
      </c>
      <c r="B1697" s="7" t="s">
        <v>1355</v>
      </c>
      <c r="C1697" s="7" t="n">
        <v>3</v>
      </c>
      <c r="D1697" s="7" t="n">
        <v>17</v>
      </c>
      <c r="E1697" s="7" t="n">
        <v>1</v>
      </c>
      <c r="F1697" s="7" t="s">
        <v>3210</v>
      </c>
      <c r="G1697" s="12" t="str">
        <f aca="false">IFERROR(INDEX('Semrush Data'!$A$1:$Z$20000,MATCH(A1697,'Semrush Data'!$A$1:$A$20000,0),MATCH("Volume",'Semrush Data'!$A$1:$Z$1,0)),"")</f>
        <v/>
      </c>
      <c r="H1697" s="7" t="str">
        <f aca="false">IFERROR(INDEX('Semrush Data'!$A$1:$Z$20000,MATCH(A1697,'Semrush Data'!$A$1:$A$20000,0),MATCH("Keyword Difficulty*",'Semrush Data'!$A$1:$Z$1,0)),"")</f>
        <v/>
      </c>
      <c r="I1697" s="13" t="str">
        <f aca="false">IFERROR(INDEX('Semrush Data'!$A$1:$Z$20000,MATCH(A1697,'Semrush Data'!$A$1:$A$20000,0),MATCH("CPC*",'Semrush Data'!$A$1:$Z$1,0)),"")</f>
        <v/>
      </c>
      <c r="J1697" s="7" t="str">
        <f aca="false">IFERROR(INDEX('Semrush Data'!$A$1:$Z$20000,MATCH(A1697,'Semrush Data'!$A$1:$A$20000,0),MATCH("Intent",'Semrush Data'!$A$1:$Z$1,0)),"")</f>
        <v/>
      </c>
    </row>
    <row r="1698" customFormat="false" ht="15" hidden="false" customHeight="true" outlineLevel="0" collapsed="false">
      <c r="A1698" s="7" t="s">
        <v>3225</v>
      </c>
      <c r="B1698" s="7" t="s">
        <v>1355</v>
      </c>
      <c r="C1698" s="7" t="n">
        <v>3</v>
      </c>
      <c r="D1698" s="7" t="n">
        <v>17</v>
      </c>
      <c r="E1698" s="7" t="n">
        <v>2</v>
      </c>
      <c r="F1698" s="7" t="s">
        <v>6795</v>
      </c>
      <c r="G1698" s="12" t="str">
        <f aca="false">IFERROR(INDEX('Semrush Data'!$A$1:$Z$20000,MATCH(A1698,'Semrush Data'!$A$1:$A$20000,0),MATCH("Volume",'Semrush Data'!$A$1:$Z$1,0)),"")</f>
        <v/>
      </c>
      <c r="H1698" s="7" t="str">
        <f aca="false">IFERROR(INDEX('Semrush Data'!$A$1:$Z$20000,MATCH(A1698,'Semrush Data'!$A$1:$A$20000,0),MATCH("Keyword Difficulty*",'Semrush Data'!$A$1:$Z$1,0)),"")</f>
        <v/>
      </c>
      <c r="I1698" s="13" t="str">
        <f aca="false">IFERROR(INDEX('Semrush Data'!$A$1:$Z$20000,MATCH(A1698,'Semrush Data'!$A$1:$A$20000,0),MATCH("CPC*",'Semrush Data'!$A$1:$Z$1,0)),"")</f>
        <v/>
      </c>
      <c r="J1698" s="7" t="str">
        <f aca="false">IFERROR(INDEX('Semrush Data'!$A$1:$Z$20000,MATCH(A1698,'Semrush Data'!$A$1:$A$20000,0),MATCH("Intent",'Semrush Data'!$A$1:$Z$1,0)),"")</f>
        <v/>
      </c>
    </row>
    <row r="1699" customFormat="false" ht="15" hidden="false" customHeight="true" outlineLevel="0" collapsed="false">
      <c r="A1699" s="7" t="s">
        <v>3238</v>
      </c>
      <c r="B1699" s="7" t="s">
        <v>1355</v>
      </c>
      <c r="C1699" s="7" t="n">
        <v>3</v>
      </c>
      <c r="D1699" s="7" t="n">
        <v>17</v>
      </c>
      <c r="E1699" s="7" t="n">
        <v>2</v>
      </c>
      <c r="F1699" s="7" t="s">
        <v>6796</v>
      </c>
      <c r="G1699" s="12" t="str">
        <f aca="false">IFERROR(INDEX('Semrush Data'!$A$1:$Z$20000,MATCH(A1699,'Semrush Data'!$A$1:$A$20000,0),MATCH("Volume",'Semrush Data'!$A$1:$Z$1,0)),"")</f>
        <v/>
      </c>
      <c r="H1699" s="7" t="str">
        <f aca="false">IFERROR(INDEX('Semrush Data'!$A$1:$Z$20000,MATCH(A1699,'Semrush Data'!$A$1:$A$20000,0),MATCH("Keyword Difficulty*",'Semrush Data'!$A$1:$Z$1,0)),"")</f>
        <v/>
      </c>
      <c r="I1699" s="13" t="str">
        <f aca="false">IFERROR(INDEX('Semrush Data'!$A$1:$Z$20000,MATCH(A1699,'Semrush Data'!$A$1:$A$20000,0),MATCH("CPC*",'Semrush Data'!$A$1:$Z$1,0)),"")</f>
        <v/>
      </c>
      <c r="J1699" s="7" t="str">
        <f aca="false">IFERROR(INDEX('Semrush Data'!$A$1:$Z$20000,MATCH(A1699,'Semrush Data'!$A$1:$A$20000,0),MATCH("Intent",'Semrush Data'!$A$1:$Z$1,0)),"")</f>
        <v/>
      </c>
    </row>
    <row r="1700" customFormat="false" ht="15" hidden="false" customHeight="true" outlineLevel="0" collapsed="false">
      <c r="A1700" s="7" t="s">
        <v>3273</v>
      </c>
      <c r="B1700" s="7" t="s">
        <v>1355</v>
      </c>
      <c r="C1700" s="7" t="n">
        <v>3</v>
      </c>
      <c r="D1700" s="7" t="n">
        <v>17</v>
      </c>
      <c r="E1700" s="7" t="n">
        <v>1</v>
      </c>
      <c r="F1700" s="7" t="s">
        <v>144</v>
      </c>
      <c r="G1700" s="12" t="str">
        <f aca="false">IFERROR(INDEX('Semrush Data'!$A$1:$Z$20000,MATCH(A1700,'Semrush Data'!$A$1:$A$20000,0),MATCH("Volume",'Semrush Data'!$A$1:$Z$1,0)),"")</f>
        <v/>
      </c>
      <c r="H1700" s="7" t="str">
        <f aca="false">IFERROR(INDEX('Semrush Data'!$A$1:$Z$20000,MATCH(A1700,'Semrush Data'!$A$1:$A$20000,0),MATCH("Keyword Difficulty*",'Semrush Data'!$A$1:$Z$1,0)),"")</f>
        <v/>
      </c>
      <c r="I1700" s="13" t="str">
        <f aca="false">IFERROR(INDEX('Semrush Data'!$A$1:$Z$20000,MATCH(A1700,'Semrush Data'!$A$1:$A$20000,0),MATCH("CPC*",'Semrush Data'!$A$1:$Z$1,0)),"")</f>
        <v/>
      </c>
      <c r="J1700" s="7" t="str">
        <f aca="false">IFERROR(INDEX('Semrush Data'!$A$1:$Z$20000,MATCH(A1700,'Semrush Data'!$A$1:$A$20000,0),MATCH("Intent",'Semrush Data'!$A$1:$Z$1,0)),"")</f>
        <v/>
      </c>
    </row>
    <row r="1701" customFormat="false" ht="15" hidden="false" customHeight="true" outlineLevel="0" collapsed="false">
      <c r="A1701" s="7" t="s">
        <v>5944</v>
      </c>
      <c r="B1701" s="7" t="s">
        <v>1355</v>
      </c>
      <c r="C1701" s="7" t="n">
        <v>3</v>
      </c>
      <c r="D1701" s="7" t="n">
        <v>17</v>
      </c>
      <c r="E1701" s="7" t="n">
        <v>1</v>
      </c>
      <c r="F1701" s="7" t="s">
        <v>5940</v>
      </c>
      <c r="G1701" s="12" t="str">
        <f aca="false">IFERROR(INDEX('Semrush Data'!$A$1:$Z$20000,MATCH(A1701,'Semrush Data'!$A$1:$A$20000,0),MATCH("Volume",'Semrush Data'!$A$1:$Z$1,0)),"")</f>
        <v/>
      </c>
      <c r="H1701" s="7" t="str">
        <f aca="false">IFERROR(INDEX('Semrush Data'!$A$1:$Z$20000,MATCH(A1701,'Semrush Data'!$A$1:$A$20000,0),MATCH("Keyword Difficulty*",'Semrush Data'!$A$1:$Z$1,0)),"")</f>
        <v/>
      </c>
      <c r="I1701" s="13" t="str">
        <f aca="false">IFERROR(INDEX('Semrush Data'!$A$1:$Z$20000,MATCH(A1701,'Semrush Data'!$A$1:$A$20000,0),MATCH("CPC*",'Semrush Data'!$A$1:$Z$1,0)),"")</f>
        <v/>
      </c>
      <c r="J1701" s="7" t="str">
        <f aca="false">IFERROR(INDEX('Semrush Data'!$A$1:$Z$20000,MATCH(A1701,'Semrush Data'!$A$1:$A$20000,0),MATCH("Intent",'Semrush Data'!$A$1:$Z$1,0)),"")</f>
        <v/>
      </c>
    </row>
    <row r="1702" customFormat="false" ht="15" hidden="false" customHeight="true" outlineLevel="0" collapsed="false">
      <c r="A1702" s="7" t="s">
        <v>3339</v>
      </c>
      <c r="B1702" s="7" t="s">
        <v>1355</v>
      </c>
      <c r="C1702" s="7" t="n">
        <v>3</v>
      </c>
      <c r="D1702" s="7" t="n">
        <v>18</v>
      </c>
      <c r="E1702" s="7" t="n">
        <v>1</v>
      </c>
      <c r="F1702" s="7" t="s">
        <v>3335</v>
      </c>
      <c r="G1702" s="12" t="str">
        <f aca="false">IFERROR(INDEX('Semrush Data'!$A$1:$Z$20000,MATCH(A1702,'Semrush Data'!$A$1:$A$20000,0),MATCH("Volume",'Semrush Data'!$A$1:$Z$1,0)),"")</f>
        <v/>
      </c>
      <c r="H1702" s="7" t="str">
        <f aca="false">IFERROR(INDEX('Semrush Data'!$A$1:$Z$20000,MATCH(A1702,'Semrush Data'!$A$1:$A$20000,0),MATCH("Keyword Difficulty*",'Semrush Data'!$A$1:$Z$1,0)),"")</f>
        <v/>
      </c>
      <c r="I1702" s="13" t="str">
        <f aca="false">IFERROR(INDEX('Semrush Data'!$A$1:$Z$20000,MATCH(A1702,'Semrush Data'!$A$1:$A$20000,0),MATCH("CPC*",'Semrush Data'!$A$1:$Z$1,0)),"")</f>
        <v/>
      </c>
      <c r="J1702" s="7" t="str">
        <f aca="false">IFERROR(INDEX('Semrush Data'!$A$1:$Z$20000,MATCH(A1702,'Semrush Data'!$A$1:$A$20000,0),MATCH("Intent",'Semrush Data'!$A$1:$Z$1,0)),"")</f>
        <v/>
      </c>
    </row>
    <row r="1703" customFormat="false" ht="15" hidden="false" customHeight="true" outlineLevel="0" collapsed="false">
      <c r="A1703" s="7" t="s">
        <v>3350</v>
      </c>
      <c r="B1703" s="7" t="s">
        <v>1355</v>
      </c>
      <c r="C1703" s="7" t="n">
        <v>3</v>
      </c>
      <c r="D1703" s="7" t="n">
        <v>18</v>
      </c>
      <c r="E1703" s="7" t="n">
        <v>1</v>
      </c>
      <c r="F1703" s="7" t="s">
        <v>3346</v>
      </c>
      <c r="G1703" s="12" t="str">
        <f aca="false">IFERROR(INDEX('Semrush Data'!$A$1:$Z$20000,MATCH(A1703,'Semrush Data'!$A$1:$A$20000,0),MATCH("Volume",'Semrush Data'!$A$1:$Z$1,0)),"")</f>
        <v/>
      </c>
      <c r="H1703" s="7" t="str">
        <f aca="false">IFERROR(INDEX('Semrush Data'!$A$1:$Z$20000,MATCH(A1703,'Semrush Data'!$A$1:$A$20000,0),MATCH("Keyword Difficulty*",'Semrush Data'!$A$1:$Z$1,0)),"")</f>
        <v/>
      </c>
      <c r="I1703" s="13" t="str">
        <f aca="false">IFERROR(INDEX('Semrush Data'!$A$1:$Z$20000,MATCH(A1703,'Semrush Data'!$A$1:$A$20000,0),MATCH("CPC*",'Semrush Data'!$A$1:$Z$1,0)),"")</f>
        <v/>
      </c>
      <c r="J1703" s="7" t="str">
        <f aca="false">IFERROR(INDEX('Semrush Data'!$A$1:$Z$20000,MATCH(A1703,'Semrush Data'!$A$1:$A$20000,0),MATCH("Intent",'Semrush Data'!$A$1:$Z$1,0)),"")</f>
        <v/>
      </c>
    </row>
    <row r="1704" customFormat="false" ht="15" hidden="false" customHeight="true" outlineLevel="0" collapsed="false">
      <c r="A1704" s="7" t="s">
        <v>3329</v>
      </c>
      <c r="B1704" s="7" t="s">
        <v>1355</v>
      </c>
      <c r="C1704" s="7" t="n">
        <v>3</v>
      </c>
      <c r="D1704" s="7" t="n">
        <v>18</v>
      </c>
      <c r="E1704" s="7" t="n">
        <v>1</v>
      </c>
      <c r="F1704" s="7" t="s">
        <v>3325</v>
      </c>
      <c r="G1704" s="12" t="str">
        <f aca="false">IFERROR(INDEX('Semrush Data'!$A$1:$Z$20000,MATCH(A1704,'Semrush Data'!$A$1:$A$20000,0),MATCH("Volume",'Semrush Data'!$A$1:$Z$1,0)),"")</f>
        <v/>
      </c>
      <c r="H1704" s="7" t="str">
        <f aca="false">IFERROR(INDEX('Semrush Data'!$A$1:$Z$20000,MATCH(A1704,'Semrush Data'!$A$1:$A$20000,0),MATCH("Keyword Difficulty*",'Semrush Data'!$A$1:$Z$1,0)),"")</f>
        <v/>
      </c>
      <c r="I1704" s="13" t="str">
        <f aca="false">IFERROR(INDEX('Semrush Data'!$A$1:$Z$20000,MATCH(A1704,'Semrush Data'!$A$1:$A$20000,0),MATCH("CPC*",'Semrush Data'!$A$1:$Z$1,0)),"")</f>
        <v/>
      </c>
      <c r="J1704" s="7" t="str">
        <f aca="false">IFERROR(INDEX('Semrush Data'!$A$1:$Z$20000,MATCH(A1704,'Semrush Data'!$A$1:$A$20000,0),MATCH("Intent",'Semrush Data'!$A$1:$Z$1,0)),"")</f>
        <v/>
      </c>
    </row>
    <row r="1705" customFormat="false" ht="15" hidden="false" customHeight="true" outlineLevel="0" collapsed="false">
      <c r="A1705" s="7" t="s">
        <v>3296</v>
      </c>
      <c r="B1705" s="7" t="s">
        <v>1355</v>
      </c>
      <c r="C1705" s="7" t="n">
        <v>3</v>
      </c>
      <c r="D1705" s="7" t="n">
        <v>18</v>
      </c>
      <c r="E1705" s="7" t="n">
        <v>1</v>
      </c>
      <c r="F1705" s="7" t="s">
        <v>3292</v>
      </c>
      <c r="G1705" s="12" t="str">
        <f aca="false">IFERROR(INDEX('Semrush Data'!$A$1:$Z$20000,MATCH(A1705,'Semrush Data'!$A$1:$A$20000,0),MATCH("Volume",'Semrush Data'!$A$1:$Z$1,0)),"")</f>
        <v/>
      </c>
      <c r="H1705" s="7" t="str">
        <f aca="false">IFERROR(INDEX('Semrush Data'!$A$1:$Z$20000,MATCH(A1705,'Semrush Data'!$A$1:$A$20000,0),MATCH("Keyword Difficulty*",'Semrush Data'!$A$1:$Z$1,0)),"")</f>
        <v/>
      </c>
      <c r="I1705" s="13" t="str">
        <f aca="false">IFERROR(INDEX('Semrush Data'!$A$1:$Z$20000,MATCH(A1705,'Semrush Data'!$A$1:$A$20000,0),MATCH("CPC*",'Semrush Data'!$A$1:$Z$1,0)),"")</f>
        <v/>
      </c>
      <c r="J1705" s="7" t="str">
        <f aca="false">IFERROR(INDEX('Semrush Data'!$A$1:$Z$20000,MATCH(A1705,'Semrush Data'!$A$1:$A$20000,0),MATCH("Intent",'Semrush Data'!$A$1:$Z$1,0)),"")</f>
        <v/>
      </c>
    </row>
    <row r="1706" customFormat="false" ht="15" hidden="false" customHeight="true" outlineLevel="0" collapsed="false">
      <c r="A1706" s="7" t="s">
        <v>3307</v>
      </c>
      <c r="B1706" s="7" t="s">
        <v>1355</v>
      </c>
      <c r="C1706" s="7" t="n">
        <v>3</v>
      </c>
      <c r="D1706" s="7" t="n">
        <v>18</v>
      </c>
      <c r="E1706" s="7" t="n">
        <v>1</v>
      </c>
      <c r="F1706" s="7" t="s">
        <v>3303</v>
      </c>
      <c r="G1706" s="12" t="str">
        <f aca="false">IFERROR(INDEX('Semrush Data'!$A$1:$Z$20000,MATCH(A1706,'Semrush Data'!$A$1:$A$20000,0),MATCH("Volume",'Semrush Data'!$A$1:$Z$1,0)),"")</f>
        <v/>
      </c>
      <c r="H1706" s="7" t="str">
        <f aca="false">IFERROR(INDEX('Semrush Data'!$A$1:$Z$20000,MATCH(A1706,'Semrush Data'!$A$1:$A$20000,0),MATCH("Keyword Difficulty*",'Semrush Data'!$A$1:$Z$1,0)),"")</f>
        <v/>
      </c>
      <c r="I1706" s="13" t="str">
        <f aca="false">IFERROR(INDEX('Semrush Data'!$A$1:$Z$20000,MATCH(A1706,'Semrush Data'!$A$1:$A$20000,0),MATCH("CPC*",'Semrush Data'!$A$1:$Z$1,0)),"")</f>
        <v/>
      </c>
      <c r="J1706" s="7" t="str">
        <f aca="false">IFERROR(INDEX('Semrush Data'!$A$1:$Z$20000,MATCH(A1706,'Semrush Data'!$A$1:$A$20000,0),MATCH("Intent",'Semrush Data'!$A$1:$Z$1,0)),"")</f>
        <v/>
      </c>
    </row>
    <row r="1707" customFormat="false" ht="15" hidden="false" customHeight="true" outlineLevel="0" collapsed="false">
      <c r="A1707" s="7" t="s">
        <v>3284</v>
      </c>
      <c r="B1707" s="7" t="s">
        <v>1355</v>
      </c>
      <c r="C1707" s="7" t="n">
        <v>3</v>
      </c>
      <c r="D1707" s="7" t="s">
        <v>6818</v>
      </c>
      <c r="E1707" s="7" t="n">
        <v>1</v>
      </c>
      <c r="F1707" s="7" t="s">
        <v>68</v>
      </c>
      <c r="G1707" s="12" t="str">
        <f aca="false">IFERROR(INDEX('Semrush Data'!$A$1:$Z$20000,MATCH(A1707,'Semrush Data'!$A$1:$A$20000,0),MATCH("Volume",'Semrush Data'!$A$1:$Z$1,0)),"")</f>
        <v/>
      </c>
      <c r="H1707" s="7" t="str">
        <f aca="false">IFERROR(INDEX('Semrush Data'!$A$1:$Z$20000,MATCH(A1707,'Semrush Data'!$A$1:$A$20000,0),MATCH("Keyword Difficulty*",'Semrush Data'!$A$1:$Z$1,0)),"")</f>
        <v/>
      </c>
      <c r="I1707" s="13" t="str">
        <f aca="false">IFERROR(INDEX('Semrush Data'!$A$1:$Z$20000,MATCH(A1707,'Semrush Data'!$A$1:$A$20000,0),MATCH("CPC*",'Semrush Data'!$A$1:$Z$1,0)),"")</f>
        <v/>
      </c>
      <c r="J1707" s="7" t="str">
        <f aca="false">IFERROR(INDEX('Semrush Data'!$A$1:$Z$20000,MATCH(A1707,'Semrush Data'!$A$1:$A$20000,0),MATCH("Intent",'Semrush Data'!$A$1:$Z$1,0)),"")</f>
        <v/>
      </c>
    </row>
    <row r="1708" customFormat="false" ht="15" hidden="false" customHeight="true" outlineLevel="0" collapsed="false">
      <c r="A1708" s="7" t="s">
        <v>3318</v>
      </c>
      <c r="B1708" s="7" t="s">
        <v>1355</v>
      </c>
      <c r="C1708" s="7" t="n">
        <v>3</v>
      </c>
      <c r="D1708" s="7" t="n">
        <v>18</v>
      </c>
      <c r="E1708" s="7" t="n">
        <v>1</v>
      </c>
      <c r="F1708" s="7" t="s">
        <v>3314</v>
      </c>
      <c r="G1708" s="12" t="str">
        <f aca="false">IFERROR(INDEX('Semrush Data'!$A$1:$Z$20000,MATCH(A1708,'Semrush Data'!$A$1:$A$20000,0),MATCH("Volume",'Semrush Data'!$A$1:$Z$1,0)),"")</f>
        <v/>
      </c>
      <c r="H1708" s="7" t="str">
        <f aca="false">IFERROR(INDEX('Semrush Data'!$A$1:$Z$20000,MATCH(A1708,'Semrush Data'!$A$1:$A$20000,0),MATCH("Keyword Difficulty*",'Semrush Data'!$A$1:$Z$1,0)),"")</f>
        <v/>
      </c>
      <c r="I1708" s="13" t="str">
        <f aca="false">IFERROR(INDEX('Semrush Data'!$A$1:$Z$20000,MATCH(A1708,'Semrush Data'!$A$1:$A$20000,0),MATCH("CPC*",'Semrush Data'!$A$1:$Z$1,0)),"")</f>
        <v/>
      </c>
      <c r="J1708" s="7" t="str">
        <f aca="false">IFERROR(INDEX('Semrush Data'!$A$1:$Z$20000,MATCH(A1708,'Semrush Data'!$A$1:$A$20000,0),MATCH("Intent",'Semrush Data'!$A$1:$Z$1,0)),"")</f>
        <v/>
      </c>
    </row>
    <row r="1709" customFormat="false" ht="15" hidden="false" customHeight="true" outlineLevel="0" collapsed="false">
      <c r="A1709" s="7" t="s">
        <v>3361</v>
      </c>
      <c r="B1709" s="7" t="s">
        <v>1355</v>
      </c>
      <c r="C1709" s="7" t="n">
        <v>3</v>
      </c>
      <c r="D1709" s="7" t="n">
        <v>18</v>
      </c>
      <c r="E1709" s="7" t="n">
        <v>1</v>
      </c>
      <c r="F1709" s="7" t="s">
        <v>3356</v>
      </c>
      <c r="G1709" s="12" t="str">
        <f aca="false">IFERROR(INDEX('Semrush Data'!$A$1:$Z$20000,MATCH(A1709,'Semrush Data'!$A$1:$A$20000,0),MATCH("Volume",'Semrush Data'!$A$1:$Z$1,0)),"")</f>
        <v/>
      </c>
      <c r="H1709" s="7" t="str">
        <f aca="false">IFERROR(INDEX('Semrush Data'!$A$1:$Z$20000,MATCH(A1709,'Semrush Data'!$A$1:$A$20000,0),MATCH("Keyword Difficulty*",'Semrush Data'!$A$1:$Z$1,0)),"")</f>
        <v/>
      </c>
      <c r="I1709" s="13" t="str">
        <f aca="false">IFERROR(INDEX('Semrush Data'!$A$1:$Z$20000,MATCH(A1709,'Semrush Data'!$A$1:$A$20000,0),MATCH("CPC*",'Semrush Data'!$A$1:$Z$1,0)),"")</f>
        <v/>
      </c>
      <c r="J1709" s="7" t="str">
        <f aca="false">IFERROR(INDEX('Semrush Data'!$A$1:$Z$20000,MATCH(A1709,'Semrush Data'!$A$1:$A$20000,0),MATCH("Intent",'Semrush Data'!$A$1:$Z$1,0)),"")</f>
        <v/>
      </c>
    </row>
    <row r="1710" customFormat="false" ht="15" hidden="false" customHeight="true" outlineLevel="0" collapsed="false">
      <c r="A1710" s="7" t="s">
        <v>3373</v>
      </c>
      <c r="B1710" s="7" t="s">
        <v>1355</v>
      </c>
      <c r="C1710" s="7" t="n">
        <v>3</v>
      </c>
      <c r="D1710" s="7" t="n">
        <v>18</v>
      </c>
      <c r="E1710" s="7" t="n">
        <v>1</v>
      </c>
      <c r="F1710" s="7" t="s">
        <v>3369</v>
      </c>
      <c r="G1710" s="12" t="str">
        <f aca="false">IFERROR(INDEX('Semrush Data'!$A$1:$Z$20000,MATCH(A1710,'Semrush Data'!$A$1:$A$20000,0),MATCH("Volume",'Semrush Data'!$A$1:$Z$1,0)),"")</f>
        <v/>
      </c>
      <c r="H1710" s="7" t="str">
        <f aca="false">IFERROR(INDEX('Semrush Data'!$A$1:$Z$20000,MATCH(A1710,'Semrush Data'!$A$1:$A$20000,0),MATCH("Keyword Difficulty*",'Semrush Data'!$A$1:$Z$1,0)),"")</f>
        <v/>
      </c>
      <c r="I1710" s="13" t="str">
        <f aca="false">IFERROR(INDEX('Semrush Data'!$A$1:$Z$20000,MATCH(A1710,'Semrush Data'!$A$1:$A$20000,0),MATCH("CPC*",'Semrush Data'!$A$1:$Z$1,0)),"")</f>
        <v/>
      </c>
      <c r="J1710" s="7" t="str">
        <f aca="false">IFERROR(INDEX('Semrush Data'!$A$1:$Z$20000,MATCH(A1710,'Semrush Data'!$A$1:$A$20000,0),MATCH("Intent",'Semrush Data'!$A$1:$Z$1,0)),"")</f>
        <v/>
      </c>
    </row>
    <row r="1711" customFormat="false" ht="15" hidden="false" customHeight="true" outlineLevel="0" collapsed="false">
      <c r="A1711" s="7" t="s">
        <v>3406</v>
      </c>
      <c r="B1711" s="7" t="s">
        <v>1355</v>
      </c>
      <c r="C1711" s="7" t="n">
        <v>3</v>
      </c>
      <c r="D1711" s="7" t="n">
        <v>18</v>
      </c>
      <c r="E1711" s="7" t="n">
        <v>1</v>
      </c>
      <c r="F1711" s="7" t="s">
        <v>3402</v>
      </c>
      <c r="G1711" s="12" t="str">
        <f aca="false">IFERROR(INDEX('Semrush Data'!$A$1:$Z$20000,MATCH(A1711,'Semrush Data'!$A$1:$A$20000,0),MATCH("Volume",'Semrush Data'!$A$1:$Z$1,0)),"")</f>
        <v/>
      </c>
      <c r="H1711" s="7" t="str">
        <f aca="false">IFERROR(INDEX('Semrush Data'!$A$1:$Z$20000,MATCH(A1711,'Semrush Data'!$A$1:$A$20000,0),MATCH("Keyword Difficulty*",'Semrush Data'!$A$1:$Z$1,0)),"")</f>
        <v/>
      </c>
      <c r="I1711" s="13" t="str">
        <f aca="false">IFERROR(INDEX('Semrush Data'!$A$1:$Z$20000,MATCH(A1711,'Semrush Data'!$A$1:$A$20000,0),MATCH("CPC*",'Semrush Data'!$A$1:$Z$1,0)),"")</f>
        <v/>
      </c>
      <c r="J1711" s="7" t="str">
        <f aca="false">IFERROR(INDEX('Semrush Data'!$A$1:$Z$20000,MATCH(A1711,'Semrush Data'!$A$1:$A$20000,0),MATCH("Intent",'Semrush Data'!$A$1:$Z$1,0)),"")</f>
        <v/>
      </c>
    </row>
    <row r="1712" customFormat="false" ht="15" hidden="false" customHeight="true" outlineLevel="0" collapsed="false">
      <c r="A1712" s="7" t="s">
        <v>3384</v>
      </c>
      <c r="B1712" s="7" t="s">
        <v>1355</v>
      </c>
      <c r="C1712" s="7" t="n">
        <v>3</v>
      </c>
      <c r="D1712" s="7" t="n">
        <v>18</v>
      </c>
      <c r="E1712" s="7" t="n">
        <v>1</v>
      </c>
      <c r="F1712" s="7" t="s">
        <v>3380</v>
      </c>
      <c r="G1712" s="12" t="str">
        <f aca="false">IFERROR(INDEX('Semrush Data'!$A$1:$Z$20000,MATCH(A1712,'Semrush Data'!$A$1:$A$20000,0),MATCH("Volume",'Semrush Data'!$A$1:$Z$1,0)),"")</f>
        <v/>
      </c>
      <c r="H1712" s="7" t="str">
        <f aca="false">IFERROR(INDEX('Semrush Data'!$A$1:$Z$20000,MATCH(A1712,'Semrush Data'!$A$1:$A$20000,0),MATCH("Keyword Difficulty*",'Semrush Data'!$A$1:$Z$1,0)),"")</f>
        <v/>
      </c>
      <c r="I1712" s="13" t="str">
        <f aca="false">IFERROR(INDEX('Semrush Data'!$A$1:$Z$20000,MATCH(A1712,'Semrush Data'!$A$1:$A$20000,0),MATCH("CPC*",'Semrush Data'!$A$1:$Z$1,0)),"")</f>
        <v/>
      </c>
      <c r="J1712" s="7" t="str">
        <f aca="false">IFERROR(INDEX('Semrush Data'!$A$1:$Z$20000,MATCH(A1712,'Semrush Data'!$A$1:$A$20000,0),MATCH("Intent",'Semrush Data'!$A$1:$Z$1,0)),"")</f>
        <v/>
      </c>
    </row>
    <row r="1713" customFormat="false" ht="15" hidden="false" customHeight="true" outlineLevel="0" collapsed="false">
      <c r="A1713" s="7" t="s">
        <v>3394</v>
      </c>
      <c r="B1713" s="7" t="s">
        <v>1355</v>
      </c>
      <c r="C1713" s="7" t="n">
        <v>3</v>
      </c>
      <c r="D1713" s="7" t="n">
        <v>18</v>
      </c>
      <c r="E1713" s="7" t="n">
        <v>1</v>
      </c>
      <c r="F1713" s="7" t="s">
        <v>108</v>
      </c>
      <c r="G1713" s="12" t="str">
        <f aca="false">IFERROR(INDEX('Semrush Data'!$A$1:$Z$20000,MATCH(A1713,'Semrush Data'!$A$1:$A$20000,0),MATCH("Volume",'Semrush Data'!$A$1:$Z$1,0)),"")</f>
        <v/>
      </c>
      <c r="H1713" s="7" t="str">
        <f aca="false">IFERROR(INDEX('Semrush Data'!$A$1:$Z$20000,MATCH(A1713,'Semrush Data'!$A$1:$A$20000,0),MATCH("Keyword Difficulty*",'Semrush Data'!$A$1:$Z$1,0)),"")</f>
        <v/>
      </c>
      <c r="I1713" s="13" t="str">
        <f aca="false">IFERROR(INDEX('Semrush Data'!$A$1:$Z$20000,MATCH(A1713,'Semrush Data'!$A$1:$A$20000,0),MATCH("CPC*",'Semrush Data'!$A$1:$Z$1,0)),"")</f>
        <v/>
      </c>
      <c r="J1713" s="7" t="str">
        <f aca="false">IFERROR(INDEX('Semrush Data'!$A$1:$Z$20000,MATCH(A1713,'Semrush Data'!$A$1:$A$20000,0),MATCH("Intent",'Semrush Data'!$A$1:$Z$1,0)),"")</f>
        <v/>
      </c>
    </row>
    <row r="1714" customFormat="false" ht="15" hidden="false" customHeight="true" outlineLevel="0" collapsed="false">
      <c r="A1714" s="7" t="s">
        <v>3427</v>
      </c>
      <c r="B1714" s="7" t="s">
        <v>1355</v>
      </c>
      <c r="C1714" s="7" t="n">
        <v>3</v>
      </c>
      <c r="D1714" s="7" t="n">
        <v>18</v>
      </c>
      <c r="E1714" s="7" t="n">
        <v>1</v>
      </c>
      <c r="F1714" s="7" t="s">
        <v>3423</v>
      </c>
      <c r="G1714" s="12" t="str">
        <f aca="false">IFERROR(INDEX('Semrush Data'!$A$1:$Z$20000,MATCH(A1714,'Semrush Data'!$A$1:$A$20000,0),MATCH("Volume",'Semrush Data'!$A$1:$Z$1,0)),"")</f>
        <v/>
      </c>
      <c r="H1714" s="7" t="str">
        <f aca="false">IFERROR(INDEX('Semrush Data'!$A$1:$Z$20000,MATCH(A1714,'Semrush Data'!$A$1:$A$20000,0),MATCH("Keyword Difficulty*",'Semrush Data'!$A$1:$Z$1,0)),"")</f>
        <v/>
      </c>
      <c r="I1714" s="13" t="str">
        <f aca="false">IFERROR(INDEX('Semrush Data'!$A$1:$Z$20000,MATCH(A1714,'Semrush Data'!$A$1:$A$20000,0),MATCH("CPC*",'Semrush Data'!$A$1:$Z$1,0)),"")</f>
        <v/>
      </c>
      <c r="J1714" s="7" t="str">
        <f aca="false">IFERROR(INDEX('Semrush Data'!$A$1:$Z$20000,MATCH(A1714,'Semrush Data'!$A$1:$A$20000,0),MATCH("Intent",'Semrush Data'!$A$1:$Z$1,0)),"")</f>
        <v/>
      </c>
    </row>
    <row r="1715" customFormat="false" ht="15" hidden="false" customHeight="true" outlineLevel="0" collapsed="false">
      <c r="A1715" s="7" t="s">
        <v>3416</v>
      </c>
      <c r="B1715" s="7" t="s">
        <v>1355</v>
      </c>
      <c r="C1715" s="7" t="n">
        <v>3</v>
      </c>
      <c r="D1715" s="7" t="n">
        <v>18</v>
      </c>
      <c r="E1715" s="7" t="n">
        <v>1</v>
      </c>
      <c r="F1715" s="7" t="s">
        <v>3411</v>
      </c>
      <c r="G1715" s="12" t="str">
        <f aca="false">IFERROR(INDEX('Semrush Data'!$A$1:$Z$20000,MATCH(A1715,'Semrush Data'!$A$1:$A$20000,0),MATCH("Volume",'Semrush Data'!$A$1:$Z$1,0)),"")</f>
        <v/>
      </c>
      <c r="H1715" s="7" t="str">
        <f aca="false">IFERROR(INDEX('Semrush Data'!$A$1:$Z$20000,MATCH(A1715,'Semrush Data'!$A$1:$A$20000,0),MATCH("Keyword Difficulty*",'Semrush Data'!$A$1:$Z$1,0)),"")</f>
        <v/>
      </c>
      <c r="I1715" s="13" t="str">
        <f aca="false">IFERROR(INDEX('Semrush Data'!$A$1:$Z$20000,MATCH(A1715,'Semrush Data'!$A$1:$A$20000,0),MATCH("CPC*",'Semrush Data'!$A$1:$Z$1,0)),"")</f>
        <v/>
      </c>
      <c r="J1715" s="7" t="str">
        <f aca="false">IFERROR(INDEX('Semrush Data'!$A$1:$Z$20000,MATCH(A1715,'Semrush Data'!$A$1:$A$20000,0),MATCH("Intent",'Semrush Data'!$A$1:$Z$1,0)),"")</f>
        <v/>
      </c>
    </row>
    <row r="1716" customFormat="false" ht="15" hidden="false" customHeight="true" outlineLevel="0" collapsed="false">
      <c r="A1716" s="7" t="s">
        <v>3448</v>
      </c>
      <c r="B1716" s="7" t="s">
        <v>1355</v>
      </c>
      <c r="C1716" s="7" t="n">
        <v>3</v>
      </c>
      <c r="D1716" s="7" t="n">
        <v>18</v>
      </c>
      <c r="E1716" s="7" t="n">
        <v>1</v>
      </c>
      <c r="F1716" s="7" t="s">
        <v>118</v>
      </c>
      <c r="G1716" s="12" t="str">
        <f aca="false">IFERROR(INDEX('Semrush Data'!$A$1:$Z$20000,MATCH(A1716,'Semrush Data'!$A$1:$A$20000,0),MATCH("Volume",'Semrush Data'!$A$1:$Z$1,0)),"")</f>
        <v/>
      </c>
      <c r="H1716" s="7" t="str">
        <f aca="false">IFERROR(INDEX('Semrush Data'!$A$1:$Z$20000,MATCH(A1716,'Semrush Data'!$A$1:$A$20000,0),MATCH("Keyword Difficulty*",'Semrush Data'!$A$1:$Z$1,0)),"")</f>
        <v/>
      </c>
      <c r="I1716" s="13" t="str">
        <f aca="false">IFERROR(INDEX('Semrush Data'!$A$1:$Z$20000,MATCH(A1716,'Semrush Data'!$A$1:$A$20000,0),MATCH("CPC*",'Semrush Data'!$A$1:$Z$1,0)),"")</f>
        <v/>
      </c>
      <c r="J1716" s="7" t="str">
        <f aca="false">IFERROR(INDEX('Semrush Data'!$A$1:$Z$20000,MATCH(A1716,'Semrush Data'!$A$1:$A$20000,0),MATCH("Intent",'Semrush Data'!$A$1:$Z$1,0)),"")</f>
        <v/>
      </c>
    </row>
    <row r="1717" customFormat="false" ht="15" hidden="false" customHeight="true" outlineLevel="0" collapsed="false">
      <c r="A1717" s="7" t="s">
        <v>3438</v>
      </c>
      <c r="B1717" s="7" t="s">
        <v>1355</v>
      </c>
      <c r="C1717" s="7" t="n">
        <v>3</v>
      </c>
      <c r="D1717" s="7" t="n">
        <v>18</v>
      </c>
      <c r="E1717" s="7" t="n">
        <v>1</v>
      </c>
      <c r="F1717" s="7" t="s">
        <v>3433</v>
      </c>
      <c r="G1717" s="12" t="str">
        <f aca="false">IFERROR(INDEX('Semrush Data'!$A$1:$Z$20000,MATCH(A1717,'Semrush Data'!$A$1:$A$20000,0),MATCH("Volume",'Semrush Data'!$A$1:$Z$1,0)),"")</f>
        <v/>
      </c>
      <c r="H1717" s="7" t="str">
        <f aca="false">IFERROR(INDEX('Semrush Data'!$A$1:$Z$20000,MATCH(A1717,'Semrush Data'!$A$1:$A$20000,0),MATCH("Keyword Difficulty*",'Semrush Data'!$A$1:$Z$1,0)),"")</f>
        <v/>
      </c>
      <c r="I1717" s="13" t="str">
        <f aca="false">IFERROR(INDEX('Semrush Data'!$A$1:$Z$20000,MATCH(A1717,'Semrush Data'!$A$1:$A$20000,0),MATCH("CPC*",'Semrush Data'!$A$1:$Z$1,0)),"")</f>
        <v/>
      </c>
      <c r="J1717" s="7" t="str">
        <f aca="false">IFERROR(INDEX('Semrush Data'!$A$1:$Z$20000,MATCH(A1717,'Semrush Data'!$A$1:$A$20000,0),MATCH("Intent",'Semrush Data'!$A$1:$Z$1,0)),"")</f>
        <v/>
      </c>
    </row>
    <row r="1718" customFormat="false" ht="15" hidden="false" customHeight="true" outlineLevel="0" collapsed="false">
      <c r="A1718" s="7" t="s">
        <v>3461</v>
      </c>
      <c r="B1718" s="7" t="s">
        <v>1355</v>
      </c>
      <c r="C1718" s="7" t="n">
        <v>3</v>
      </c>
      <c r="D1718" s="7" t="n">
        <v>18</v>
      </c>
      <c r="E1718" s="7" t="n">
        <v>1</v>
      </c>
      <c r="F1718" s="7" t="s">
        <v>3456</v>
      </c>
      <c r="G1718" s="12" t="str">
        <f aca="false">IFERROR(INDEX('Semrush Data'!$A$1:$Z$20000,MATCH(A1718,'Semrush Data'!$A$1:$A$20000,0),MATCH("Volume",'Semrush Data'!$A$1:$Z$1,0)),"")</f>
        <v/>
      </c>
      <c r="H1718" s="7" t="str">
        <f aca="false">IFERROR(INDEX('Semrush Data'!$A$1:$Z$20000,MATCH(A1718,'Semrush Data'!$A$1:$A$20000,0),MATCH("Keyword Difficulty*",'Semrush Data'!$A$1:$Z$1,0)),"")</f>
        <v/>
      </c>
      <c r="I1718" s="13" t="str">
        <f aca="false">IFERROR(INDEX('Semrush Data'!$A$1:$Z$20000,MATCH(A1718,'Semrush Data'!$A$1:$A$20000,0),MATCH("CPC*",'Semrush Data'!$A$1:$Z$1,0)),"")</f>
        <v/>
      </c>
      <c r="J1718" s="7" t="str">
        <f aca="false">IFERROR(INDEX('Semrush Data'!$A$1:$Z$20000,MATCH(A1718,'Semrush Data'!$A$1:$A$20000,0),MATCH("Intent",'Semrush Data'!$A$1:$Z$1,0)),"")</f>
        <v/>
      </c>
    </row>
    <row r="1719" customFormat="false" ht="15" hidden="false" customHeight="true" outlineLevel="0" collapsed="false">
      <c r="A1719" s="7" t="s">
        <v>3471</v>
      </c>
      <c r="B1719" s="7" t="s">
        <v>1355</v>
      </c>
      <c r="C1719" s="7" t="n">
        <v>3</v>
      </c>
      <c r="D1719" s="7" t="n">
        <v>18</v>
      </c>
      <c r="E1719" s="7" t="n">
        <v>1</v>
      </c>
      <c r="F1719" s="7" t="s">
        <v>90</v>
      </c>
      <c r="G1719" s="12" t="str">
        <f aca="false">IFERROR(INDEX('Semrush Data'!$A$1:$Z$20000,MATCH(A1719,'Semrush Data'!$A$1:$A$20000,0),MATCH("Volume",'Semrush Data'!$A$1:$Z$1,0)),"")</f>
        <v/>
      </c>
      <c r="H1719" s="7" t="str">
        <f aca="false">IFERROR(INDEX('Semrush Data'!$A$1:$Z$20000,MATCH(A1719,'Semrush Data'!$A$1:$A$20000,0),MATCH("Keyword Difficulty*",'Semrush Data'!$A$1:$Z$1,0)),"")</f>
        <v/>
      </c>
      <c r="I1719" s="13" t="str">
        <f aca="false">IFERROR(INDEX('Semrush Data'!$A$1:$Z$20000,MATCH(A1719,'Semrush Data'!$A$1:$A$20000,0),MATCH("CPC*",'Semrush Data'!$A$1:$Z$1,0)),"")</f>
        <v/>
      </c>
      <c r="J1719" s="7" t="str">
        <f aca="false">IFERROR(INDEX('Semrush Data'!$A$1:$Z$20000,MATCH(A1719,'Semrush Data'!$A$1:$A$20000,0),MATCH("Intent",'Semrush Data'!$A$1:$Z$1,0)),"")</f>
        <v/>
      </c>
    </row>
    <row r="1720" customFormat="false" ht="15" hidden="false" customHeight="true" outlineLevel="0" collapsed="false">
      <c r="A1720" s="7" t="s">
        <v>2234</v>
      </c>
      <c r="B1720" s="7" t="s">
        <v>1355</v>
      </c>
      <c r="C1720" s="7" t="n">
        <v>3</v>
      </c>
      <c r="D1720" s="7" t="n">
        <v>18</v>
      </c>
      <c r="E1720" s="7" t="n">
        <v>1</v>
      </c>
      <c r="F1720" s="7" t="s">
        <v>1186</v>
      </c>
      <c r="G1720" s="12" t="str">
        <f aca="false">IFERROR(INDEX('Semrush Data'!$A$1:$Z$20000,MATCH(A1720,'Semrush Data'!$A$1:$A$20000,0),MATCH("Volume",'Semrush Data'!$A$1:$Z$1,0)),"")</f>
        <v/>
      </c>
      <c r="H1720" s="7" t="str">
        <f aca="false">IFERROR(INDEX('Semrush Data'!$A$1:$Z$20000,MATCH(A1720,'Semrush Data'!$A$1:$A$20000,0),MATCH("Keyword Difficulty*",'Semrush Data'!$A$1:$Z$1,0)),"")</f>
        <v/>
      </c>
      <c r="I1720" s="13" t="str">
        <f aca="false">IFERROR(INDEX('Semrush Data'!$A$1:$Z$20000,MATCH(A1720,'Semrush Data'!$A$1:$A$20000,0),MATCH("CPC*",'Semrush Data'!$A$1:$Z$1,0)),"")</f>
        <v/>
      </c>
      <c r="J1720" s="7" t="str">
        <f aca="false">IFERROR(INDEX('Semrush Data'!$A$1:$Z$20000,MATCH(A1720,'Semrush Data'!$A$1:$A$20000,0),MATCH("Intent",'Semrush Data'!$A$1:$Z$1,0)),"")</f>
        <v/>
      </c>
    </row>
    <row r="1721" customFormat="false" ht="15" hidden="false" customHeight="true" outlineLevel="0" collapsed="false">
      <c r="A1721" s="7" t="s">
        <v>1923</v>
      </c>
      <c r="B1721" s="7" t="s">
        <v>1355</v>
      </c>
      <c r="C1721" s="7" t="n">
        <v>3</v>
      </c>
      <c r="D1721" s="7" t="n">
        <v>18</v>
      </c>
      <c r="E1721" s="7" t="n">
        <v>1</v>
      </c>
      <c r="F1721" s="7" t="s">
        <v>879</v>
      </c>
      <c r="G1721" s="12" t="str">
        <f aca="false">IFERROR(INDEX('Semrush Data'!$A$1:$Z$20000,MATCH(A1721,'Semrush Data'!$A$1:$A$20000,0),MATCH("Volume",'Semrush Data'!$A$1:$Z$1,0)),"")</f>
        <v/>
      </c>
      <c r="H1721" s="7" t="str">
        <f aca="false">IFERROR(INDEX('Semrush Data'!$A$1:$Z$20000,MATCH(A1721,'Semrush Data'!$A$1:$A$20000,0),MATCH("Keyword Difficulty*",'Semrush Data'!$A$1:$Z$1,0)),"")</f>
        <v/>
      </c>
      <c r="I1721" s="13" t="str">
        <f aca="false">IFERROR(INDEX('Semrush Data'!$A$1:$Z$20000,MATCH(A1721,'Semrush Data'!$A$1:$A$20000,0),MATCH("CPC*",'Semrush Data'!$A$1:$Z$1,0)),"")</f>
        <v/>
      </c>
      <c r="J1721" s="7" t="str">
        <f aca="false">IFERROR(INDEX('Semrush Data'!$A$1:$Z$20000,MATCH(A1721,'Semrush Data'!$A$1:$A$20000,0),MATCH("Intent",'Semrush Data'!$A$1:$Z$1,0)),"")</f>
        <v/>
      </c>
    </row>
    <row r="1722" customFormat="false" ht="15" hidden="false" customHeight="true" outlineLevel="0" collapsed="false">
      <c r="A1722" s="7" t="s">
        <v>2325</v>
      </c>
      <c r="B1722" s="7" t="s">
        <v>1355</v>
      </c>
      <c r="C1722" s="7" t="n">
        <v>3</v>
      </c>
      <c r="D1722" s="7" t="n">
        <v>18</v>
      </c>
      <c r="E1722" s="7" t="n">
        <v>1</v>
      </c>
      <c r="F1722" s="7" t="s">
        <v>1278</v>
      </c>
      <c r="G1722" s="12" t="str">
        <f aca="false">IFERROR(INDEX('Semrush Data'!$A$1:$Z$20000,MATCH(A1722,'Semrush Data'!$A$1:$A$20000,0),MATCH("Volume",'Semrush Data'!$A$1:$Z$1,0)),"")</f>
        <v/>
      </c>
      <c r="H1722" s="7" t="str">
        <f aca="false">IFERROR(INDEX('Semrush Data'!$A$1:$Z$20000,MATCH(A1722,'Semrush Data'!$A$1:$A$20000,0),MATCH("Keyword Difficulty*",'Semrush Data'!$A$1:$Z$1,0)),"")</f>
        <v/>
      </c>
      <c r="I1722" s="13" t="str">
        <f aca="false">IFERROR(INDEX('Semrush Data'!$A$1:$Z$20000,MATCH(A1722,'Semrush Data'!$A$1:$A$20000,0),MATCH("CPC*",'Semrush Data'!$A$1:$Z$1,0)),"")</f>
        <v/>
      </c>
      <c r="J1722" s="7" t="str">
        <f aca="false">IFERROR(INDEX('Semrush Data'!$A$1:$Z$20000,MATCH(A1722,'Semrush Data'!$A$1:$A$20000,0),MATCH("Intent",'Semrush Data'!$A$1:$Z$1,0)),"")</f>
        <v/>
      </c>
    </row>
    <row r="1723" customFormat="false" ht="15" hidden="false" customHeight="true" outlineLevel="0" collapsed="false">
      <c r="A1723" s="7" t="s">
        <v>2260</v>
      </c>
      <c r="B1723" s="7" t="s">
        <v>1355</v>
      </c>
      <c r="C1723" s="7" t="n">
        <v>3</v>
      </c>
      <c r="D1723" s="7" t="n">
        <v>18</v>
      </c>
      <c r="E1723" s="7" t="n">
        <v>1</v>
      </c>
      <c r="F1723" s="7" t="s">
        <v>1212</v>
      </c>
      <c r="G1723" s="12" t="str">
        <f aca="false">IFERROR(INDEX('Semrush Data'!$A$1:$Z$20000,MATCH(A1723,'Semrush Data'!$A$1:$A$20000,0),MATCH("Volume",'Semrush Data'!$A$1:$Z$1,0)),"")</f>
        <v/>
      </c>
      <c r="H1723" s="7" t="str">
        <f aca="false">IFERROR(INDEX('Semrush Data'!$A$1:$Z$20000,MATCH(A1723,'Semrush Data'!$A$1:$A$20000,0),MATCH("Keyword Difficulty*",'Semrush Data'!$A$1:$Z$1,0)),"")</f>
        <v/>
      </c>
      <c r="I1723" s="13" t="str">
        <f aca="false">IFERROR(INDEX('Semrush Data'!$A$1:$Z$20000,MATCH(A1723,'Semrush Data'!$A$1:$A$20000,0),MATCH("CPC*",'Semrush Data'!$A$1:$Z$1,0)),"")</f>
        <v/>
      </c>
      <c r="J1723" s="7" t="str">
        <f aca="false">IFERROR(INDEX('Semrush Data'!$A$1:$Z$20000,MATCH(A1723,'Semrush Data'!$A$1:$A$20000,0),MATCH("Intent",'Semrush Data'!$A$1:$Z$1,0)),"")</f>
        <v/>
      </c>
    </row>
    <row r="1724" customFormat="false" ht="15" hidden="false" customHeight="true" outlineLevel="0" collapsed="false">
      <c r="A1724" s="7" t="s">
        <v>2266</v>
      </c>
      <c r="B1724" s="7" t="s">
        <v>1355</v>
      </c>
      <c r="C1724" s="7" t="n">
        <v>3</v>
      </c>
      <c r="D1724" s="7" t="n">
        <v>18</v>
      </c>
      <c r="E1724" s="7" t="n">
        <v>1</v>
      </c>
      <c r="F1724" s="7" t="s">
        <v>1218</v>
      </c>
      <c r="G1724" s="12" t="str">
        <f aca="false">IFERROR(INDEX('Semrush Data'!$A$1:$Z$20000,MATCH(A1724,'Semrush Data'!$A$1:$A$20000,0),MATCH("Volume",'Semrush Data'!$A$1:$Z$1,0)),"")</f>
        <v/>
      </c>
      <c r="H1724" s="7" t="str">
        <f aca="false">IFERROR(INDEX('Semrush Data'!$A$1:$Z$20000,MATCH(A1724,'Semrush Data'!$A$1:$A$20000,0),MATCH("Keyword Difficulty*",'Semrush Data'!$A$1:$Z$1,0)),"")</f>
        <v/>
      </c>
      <c r="I1724" s="13" t="str">
        <f aca="false">IFERROR(INDEX('Semrush Data'!$A$1:$Z$20000,MATCH(A1724,'Semrush Data'!$A$1:$A$20000,0),MATCH("CPC*",'Semrush Data'!$A$1:$Z$1,0)),"")</f>
        <v/>
      </c>
      <c r="J1724" s="7" t="str">
        <f aca="false">IFERROR(INDEX('Semrush Data'!$A$1:$Z$20000,MATCH(A1724,'Semrush Data'!$A$1:$A$20000,0),MATCH("Intent",'Semrush Data'!$A$1:$Z$1,0)),"")</f>
        <v/>
      </c>
    </row>
    <row r="1725" customFormat="false" ht="15" hidden="false" customHeight="true" outlineLevel="0" collapsed="false">
      <c r="A1725" s="7" t="s">
        <v>1900</v>
      </c>
      <c r="B1725" s="7" t="s">
        <v>1355</v>
      </c>
      <c r="C1725" s="7" t="n">
        <v>3</v>
      </c>
      <c r="D1725" s="7" t="n">
        <v>18</v>
      </c>
      <c r="E1725" s="7" t="n">
        <v>1</v>
      </c>
      <c r="F1725" s="7" t="s">
        <v>860</v>
      </c>
      <c r="G1725" s="12" t="str">
        <f aca="false">IFERROR(INDEX('Semrush Data'!$A$1:$Z$20000,MATCH(A1725,'Semrush Data'!$A$1:$A$20000,0),MATCH("Volume",'Semrush Data'!$A$1:$Z$1,0)),"")</f>
        <v/>
      </c>
      <c r="H1725" s="7" t="str">
        <f aca="false">IFERROR(INDEX('Semrush Data'!$A$1:$Z$20000,MATCH(A1725,'Semrush Data'!$A$1:$A$20000,0),MATCH("Keyword Difficulty*",'Semrush Data'!$A$1:$Z$1,0)),"")</f>
        <v/>
      </c>
      <c r="I1725" s="13" t="str">
        <f aca="false">IFERROR(INDEX('Semrush Data'!$A$1:$Z$20000,MATCH(A1725,'Semrush Data'!$A$1:$A$20000,0),MATCH("CPC*",'Semrush Data'!$A$1:$Z$1,0)),"")</f>
        <v/>
      </c>
      <c r="J1725" s="7" t="str">
        <f aca="false">IFERROR(INDEX('Semrush Data'!$A$1:$Z$20000,MATCH(A1725,'Semrush Data'!$A$1:$A$20000,0),MATCH("Intent",'Semrush Data'!$A$1:$Z$1,0)),"")</f>
        <v/>
      </c>
    </row>
    <row r="1726" customFormat="false" ht="15" hidden="false" customHeight="true" outlineLevel="0" collapsed="false">
      <c r="A1726" s="7" t="s">
        <v>2108</v>
      </c>
      <c r="B1726" s="7" t="s">
        <v>1355</v>
      </c>
      <c r="C1726" s="7" t="n">
        <v>3</v>
      </c>
      <c r="D1726" s="7" t="n">
        <v>18</v>
      </c>
      <c r="E1726" s="7" t="n">
        <v>1</v>
      </c>
      <c r="F1726" s="7" t="s">
        <v>1057</v>
      </c>
      <c r="G1726" s="12" t="str">
        <f aca="false">IFERROR(INDEX('Semrush Data'!$A$1:$Z$20000,MATCH(A1726,'Semrush Data'!$A$1:$A$20000,0),MATCH("Volume",'Semrush Data'!$A$1:$Z$1,0)),"")</f>
        <v/>
      </c>
      <c r="H1726" s="7" t="str">
        <f aca="false">IFERROR(INDEX('Semrush Data'!$A$1:$Z$20000,MATCH(A1726,'Semrush Data'!$A$1:$A$20000,0),MATCH("Keyword Difficulty*",'Semrush Data'!$A$1:$Z$1,0)),"")</f>
        <v/>
      </c>
      <c r="I1726" s="13" t="str">
        <f aca="false">IFERROR(INDEX('Semrush Data'!$A$1:$Z$20000,MATCH(A1726,'Semrush Data'!$A$1:$A$20000,0),MATCH("CPC*",'Semrush Data'!$A$1:$Z$1,0)),"")</f>
        <v/>
      </c>
      <c r="J1726" s="7" t="str">
        <f aca="false">IFERROR(INDEX('Semrush Data'!$A$1:$Z$20000,MATCH(A1726,'Semrush Data'!$A$1:$A$20000,0),MATCH("Intent",'Semrush Data'!$A$1:$Z$1,0)),"")</f>
        <v/>
      </c>
    </row>
    <row r="1727" customFormat="false" ht="15" hidden="false" customHeight="true" outlineLevel="0" collapsed="false">
      <c r="A1727" s="7" t="s">
        <v>2208</v>
      </c>
      <c r="B1727" s="7" t="s">
        <v>1355</v>
      </c>
      <c r="C1727" s="7" t="n">
        <v>3</v>
      </c>
      <c r="D1727" s="7" t="n">
        <v>18</v>
      </c>
      <c r="E1727" s="7" t="n">
        <v>1</v>
      </c>
      <c r="F1727" s="7" t="s">
        <v>1159</v>
      </c>
      <c r="G1727" s="12" t="str">
        <f aca="false">IFERROR(INDEX('Semrush Data'!$A$1:$Z$20000,MATCH(A1727,'Semrush Data'!$A$1:$A$20000,0),MATCH("Volume",'Semrush Data'!$A$1:$Z$1,0)),"")</f>
        <v/>
      </c>
      <c r="H1727" s="7" t="str">
        <f aca="false">IFERROR(INDEX('Semrush Data'!$A$1:$Z$20000,MATCH(A1727,'Semrush Data'!$A$1:$A$20000,0),MATCH("Keyword Difficulty*",'Semrush Data'!$A$1:$Z$1,0)),"")</f>
        <v/>
      </c>
      <c r="I1727" s="13" t="str">
        <f aca="false">IFERROR(INDEX('Semrush Data'!$A$1:$Z$20000,MATCH(A1727,'Semrush Data'!$A$1:$A$20000,0),MATCH("CPC*",'Semrush Data'!$A$1:$Z$1,0)),"")</f>
        <v/>
      </c>
      <c r="J1727" s="7" t="str">
        <f aca="false">IFERROR(INDEX('Semrush Data'!$A$1:$Z$20000,MATCH(A1727,'Semrush Data'!$A$1:$A$20000,0),MATCH("Intent",'Semrush Data'!$A$1:$Z$1,0)),"")</f>
        <v/>
      </c>
    </row>
    <row r="1728" customFormat="false" ht="15" hidden="false" customHeight="true" outlineLevel="0" collapsed="false">
      <c r="A1728" s="7" t="s">
        <v>1945</v>
      </c>
      <c r="B1728" s="7" t="s">
        <v>1355</v>
      </c>
      <c r="C1728" s="7" t="n">
        <v>3</v>
      </c>
      <c r="D1728" s="7" t="n">
        <v>18</v>
      </c>
      <c r="E1728" s="7" t="n">
        <v>1</v>
      </c>
      <c r="F1728" s="7" t="s">
        <v>898</v>
      </c>
      <c r="G1728" s="12" t="str">
        <f aca="false">IFERROR(INDEX('Semrush Data'!$A$1:$Z$20000,MATCH(A1728,'Semrush Data'!$A$1:$A$20000,0),MATCH("Volume",'Semrush Data'!$A$1:$Z$1,0)),"")</f>
        <v/>
      </c>
      <c r="H1728" s="7" t="str">
        <f aca="false">IFERROR(INDEX('Semrush Data'!$A$1:$Z$20000,MATCH(A1728,'Semrush Data'!$A$1:$A$20000,0),MATCH("Keyword Difficulty*",'Semrush Data'!$A$1:$Z$1,0)),"")</f>
        <v/>
      </c>
      <c r="I1728" s="13" t="str">
        <f aca="false">IFERROR(INDEX('Semrush Data'!$A$1:$Z$20000,MATCH(A1728,'Semrush Data'!$A$1:$A$20000,0),MATCH("CPC*",'Semrush Data'!$A$1:$Z$1,0)),"")</f>
        <v/>
      </c>
      <c r="J1728" s="7" t="str">
        <f aca="false">IFERROR(INDEX('Semrush Data'!$A$1:$Z$20000,MATCH(A1728,'Semrush Data'!$A$1:$A$20000,0),MATCH("Intent",'Semrush Data'!$A$1:$Z$1,0)),"")</f>
        <v/>
      </c>
    </row>
    <row r="1729" customFormat="false" ht="15" hidden="false" customHeight="true" outlineLevel="0" collapsed="false">
      <c r="A1729" s="7" t="s">
        <v>2202</v>
      </c>
      <c r="B1729" s="7" t="s">
        <v>1355</v>
      </c>
      <c r="C1729" s="7" t="n">
        <v>3</v>
      </c>
      <c r="D1729" s="7" t="n">
        <v>18</v>
      </c>
      <c r="E1729" s="7" t="n">
        <v>1</v>
      </c>
      <c r="F1729" s="7" t="s">
        <v>1153</v>
      </c>
      <c r="G1729" s="12" t="str">
        <f aca="false">IFERROR(INDEX('Semrush Data'!$A$1:$Z$20000,MATCH(A1729,'Semrush Data'!$A$1:$A$20000,0),MATCH("Volume",'Semrush Data'!$A$1:$Z$1,0)),"")</f>
        <v/>
      </c>
      <c r="H1729" s="7" t="str">
        <f aca="false">IFERROR(INDEX('Semrush Data'!$A$1:$Z$20000,MATCH(A1729,'Semrush Data'!$A$1:$A$20000,0),MATCH("Keyword Difficulty*",'Semrush Data'!$A$1:$Z$1,0)),"")</f>
        <v/>
      </c>
      <c r="I1729" s="13" t="str">
        <f aca="false">IFERROR(INDEX('Semrush Data'!$A$1:$Z$20000,MATCH(A1729,'Semrush Data'!$A$1:$A$20000,0),MATCH("CPC*",'Semrush Data'!$A$1:$Z$1,0)),"")</f>
        <v/>
      </c>
      <c r="J1729" s="7" t="str">
        <f aca="false">IFERROR(INDEX('Semrush Data'!$A$1:$Z$20000,MATCH(A1729,'Semrush Data'!$A$1:$A$20000,0),MATCH("Intent",'Semrush Data'!$A$1:$Z$1,0)),"")</f>
        <v/>
      </c>
    </row>
    <row r="1730" customFormat="false" ht="15" hidden="false" customHeight="true" outlineLevel="0" collapsed="false">
      <c r="A1730" s="7" t="s">
        <v>2141</v>
      </c>
      <c r="B1730" s="7" t="s">
        <v>1355</v>
      </c>
      <c r="C1730" s="7" t="n">
        <v>3</v>
      </c>
      <c r="D1730" s="7" t="n">
        <v>18</v>
      </c>
      <c r="E1730" s="7" t="n">
        <v>1</v>
      </c>
      <c r="F1730" s="7" t="s">
        <v>1090</v>
      </c>
      <c r="G1730" s="12" t="str">
        <f aca="false">IFERROR(INDEX('Semrush Data'!$A$1:$Z$20000,MATCH(A1730,'Semrush Data'!$A$1:$A$20000,0),MATCH("Volume",'Semrush Data'!$A$1:$Z$1,0)),"")</f>
        <v/>
      </c>
      <c r="H1730" s="7" t="str">
        <f aca="false">IFERROR(INDEX('Semrush Data'!$A$1:$Z$20000,MATCH(A1730,'Semrush Data'!$A$1:$A$20000,0),MATCH("Keyword Difficulty*",'Semrush Data'!$A$1:$Z$1,0)),"")</f>
        <v/>
      </c>
      <c r="I1730" s="13" t="str">
        <f aca="false">IFERROR(INDEX('Semrush Data'!$A$1:$Z$20000,MATCH(A1730,'Semrush Data'!$A$1:$A$20000,0),MATCH("CPC*",'Semrush Data'!$A$1:$Z$1,0)),"")</f>
        <v/>
      </c>
      <c r="J1730" s="7" t="str">
        <f aca="false">IFERROR(INDEX('Semrush Data'!$A$1:$Z$20000,MATCH(A1730,'Semrush Data'!$A$1:$A$20000,0),MATCH("Intent",'Semrush Data'!$A$1:$Z$1,0)),"")</f>
        <v/>
      </c>
    </row>
    <row r="1731" customFormat="false" ht="15" hidden="false" customHeight="true" outlineLevel="0" collapsed="false">
      <c r="A1731" s="7" t="s">
        <v>2221</v>
      </c>
      <c r="B1731" s="7" t="s">
        <v>1355</v>
      </c>
      <c r="C1731" s="7" t="n">
        <v>3</v>
      </c>
      <c r="D1731" s="7" t="n">
        <v>18</v>
      </c>
      <c r="E1731" s="7" t="n">
        <v>1</v>
      </c>
      <c r="F1731" s="7" t="s">
        <v>1172</v>
      </c>
      <c r="G1731" s="12" t="str">
        <f aca="false">IFERROR(INDEX('Semrush Data'!$A$1:$Z$20000,MATCH(A1731,'Semrush Data'!$A$1:$A$20000,0),MATCH("Volume",'Semrush Data'!$A$1:$Z$1,0)),"")</f>
        <v/>
      </c>
      <c r="H1731" s="7" t="str">
        <f aca="false">IFERROR(INDEX('Semrush Data'!$A$1:$Z$20000,MATCH(A1731,'Semrush Data'!$A$1:$A$20000,0),MATCH("Keyword Difficulty*",'Semrush Data'!$A$1:$Z$1,0)),"")</f>
        <v/>
      </c>
      <c r="I1731" s="13" t="str">
        <f aca="false">IFERROR(INDEX('Semrush Data'!$A$1:$Z$20000,MATCH(A1731,'Semrush Data'!$A$1:$A$20000,0),MATCH("CPC*",'Semrush Data'!$A$1:$Z$1,0)),"")</f>
        <v/>
      </c>
      <c r="J1731" s="7" t="str">
        <f aca="false">IFERROR(INDEX('Semrush Data'!$A$1:$Z$20000,MATCH(A1731,'Semrush Data'!$A$1:$A$20000,0),MATCH("Intent",'Semrush Data'!$A$1:$Z$1,0)),"")</f>
        <v/>
      </c>
    </row>
    <row r="1732" customFormat="false" ht="15" hidden="false" customHeight="true" outlineLevel="0" collapsed="false">
      <c r="A1732" s="7" t="s">
        <v>2129</v>
      </c>
      <c r="B1732" s="7" t="s">
        <v>1355</v>
      </c>
      <c r="C1732" s="7" t="n">
        <v>3</v>
      </c>
      <c r="D1732" s="7" t="n">
        <v>18</v>
      </c>
      <c r="E1732" s="7" t="n">
        <v>1</v>
      </c>
      <c r="F1732" s="7" t="s">
        <v>1075</v>
      </c>
      <c r="G1732" s="12" t="str">
        <f aca="false">IFERROR(INDEX('Semrush Data'!$A$1:$Z$20000,MATCH(A1732,'Semrush Data'!$A$1:$A$20000,0),MATCH("Volume",'Semrush Data'!$A$1:$Z$1,0)),"")</f>
        <v/>
      </c>
      <c r="H1732" s="7" t="str">
        <f aca="false">IFERROR(INDEX('Semrush Data'!$A$1:$Z$20000,MATCH(A1732,'Semrush Data'!$A$1:$A$20000,0),MATCH("Keyword Difficulty*",'Semrush Data'!$A$1:$Z$1,0)),"")</f>
        <v/>
      </c>
      <c r="I1732" s="13" t="str">
        <f aca="false">IFERROR(INDEX('Semrush Data'!$A$1:$Z$20000,MATCH(A1732,'Semrush Data'!$A$1:$A$20000,0),MATCH("CPC*",'Semrush Data'!$A$1:$Z$1,0)),"")</f>
        <v/>
      </c>
      <c r="J1732" s="7" t="str">
        <f aca="false">IFERROR(INDEX('Semrush Data'!$A$1:$Z$20000,MATCH(A1732,'Semrush Data'!$A$1:$A$20000,0),MATCH("Intent",'Semrush Data'!$A$1:$Z$1,0)),"")</f>
        <v/>
      </c>
    </row>
    <row r="1733" customFormat="false" ht="15" hidden="false" customHeight="true" outlineLevel="0" collapsed="false">
      <c r="A1733" s="7" t="s">
        <v>2290</v>
      </c>
      <c r="B1733" s="7" t="s">
        <v>1355</v>
      </c>
      <c r="C1733" s="7" t="n">
        <v>3</v>
      </c>
      <c r="D1733" s="7" t="n">
        <v>18</v>
      </c>
      <c r="E1733" s="7" t="n">
        <v>1</v>
      </c>
      <c r="F1733" s="7" t="s">
        <v>1242</v>
      </c>
      <c r="G1733" s="12" t="str">
        <f aca="false">IFERROR(INDEX('Semrush Data'!$A$1:$Z$20000,MATCH(A1733,'Semrush Data'!$A$1:$A$20000,0),MATCH("Volume",'Semrush Data'!$A$1:$Z$1,0)),"")</f>
        <v/>
      </c>
      <c r="H1733" s="7" t="str">
        <f aca="false">IFERROR(INDEX('Semrush Data'!$A$1:$Z$20000,MATCH(A1733,'Semrush Data'!$A$1:$A$20000,0),MATCH("Keyword Difficulty*",'Semrush Data'!$A$1:$Z$1,0)),"")</f>
        <v/>
      </c>
      <c r="I1733" s="13" t="str">
        <f aca="false">IFERROR(INDEX('Semrush Data'!$A$1:$Z$20000,MATCH(A1733,'Semrush Data'!$A$1:$A$20000,0),MATCH("CPC*",'Semrush Data'!$A$1:$Z$1,0)),"")</f>
        <v/>
      </c>
      <c r="J1733" s="7" t="str">
        <f aca="false">IFERROR(INDEX('Semrush Data'!$A$1:$Z$20000,MATCH(A1733,'Semrush Data'!$A$1:$A$20000,0),MATCH("Intent",'Semrush Data'!$A$1:$Z$1,0)),"")</f>
        <v/>
      </c>
    </row>
    <row r="1734" customFormat="false" ht="15" hidden="false" customHeight="true" outlineLevel="0" collapsed="false">
      <c r="A1734" s="7" t="s">
        <v>1907</v>
      </c>
      <c r="B1734" s="7" t="s">
        <v>1355</v>
      </c>
      <c r="C1734" s="7" t="n">
        <v>3</v>
      </c>
      <c r="D1734" s="7" t="n">
        <v>18</v>
      </c>
      <c r="E1734" s="7" t="n">
        <v>1</v>
      </c>
      <c r="F1734" s="7" t="s">
        <v>866</v>
      </c>
      <c r="G1734" s="12" t="str">
        <f aca="false">IFERROR(INDEX('Semrush Data'!$A$1:$Z$20000,MATCH(A1734,'Semrush Data'!$A$1:$A$20000,0),MATCH("Volume",'Semrush Data'!$A$1:$Z$1,0)),"")</f>
        <v/>
      </c>
      <c r="H1734" s="7" t="str">
        <f aca="false">IFERROR(INDEX('Semrush Data'!$A$1:$Z$20000,MATCH(A1734,'Semrush Data'!$A$1:$A$20000,0),MATCH("Keyword Difficulty*",'Semrush Data'!$A$1:$Z$1,0)),"")</f>
        <v/>
      </c>
      <c r="I1734" s="13" t="str">
        <f aca="false">IFERROR(INDEX('Semrush Data'!$A$1:$Z$20000,MATCH(A1734,'Semrush Data'!$A$1:$A$20000,0),MATCH("CPC*",'Semrush Data'!$A$1:$Z$1,0)),"")</f>
        <v/>
      </c>
      <c r="J1734" s="7" t="str">
        <f aca="false">IFERROR(INDEX('Semrush Data'!$A$1:$Z$20000,MATCH(A1734,'Semrush Data'!$A$1:$A$20000,0),MATCH("Intent",'Semrush Data'!$A$1:$Z$1,0)),"")</f>
        <v/>
      </c>
    </row>
    <row r="1735" customFormat="false" ht="15" hidden="false" customHeight="true" outlineLevel="0" collapsed="false">
      <c r="A1735" s="7" t="s">
        <v>2148</v>
      </c>
      <c r="B1735" s="7" t="s">
        <v>1355</v>
      </c>
      <c r="C1735" s="7" t="n">
        <v>3</v>
      </c>
      <c r="D1735" s="7" t="n">
        <v>18</v>
      </c>
      <c r="E1735" s="7" t="n">
        <v>1</v>
      </c>
      <c r="F1735" s="7" t="s">
        <v>1097</v>
      </c>
      <c r="G1735" s="12" t="str">
        <f aca="false">IFERROR(INDEX('Semrush Data'!$A$1:$Z$20000,MATCH(A1735,'Semrush Data'!$A$1:$A$20000,0),MATCH("Volume",'Semrush Data'!$A$1:$Z$1,0)),"")</f>
        <v/>
      </c>
      <c r="H1735" s="7" t="str">
        <f aca="false">IFERROR(INDEX('Semrush Data'!$A$1:$Z$20000,MATCH(A1735,'Semrush Data'!$A$1:$A$20000,0),MATCH("Keyword Difficulty*",'Semrush Data'!$A$1:$Z$1,0)),"")</f>
        <v/>
      </c>
      <c r="I1735" s="13" t="str">
        <f aca="false">IFERROR(INDEX('Semrush Data'!$A$1:$Z$20000,MATCH(A1735,'Semrush Data'!$A$1:$A$20000,0),MATCH("CPC*",'Semrush Data'!$A$1:$Z$1,0)),"")</f>
        <v/>
      </c>
      <c r="J1735" s="7" t="str">
        <f aca="false">IFERROR(INDEX('Semrush Data'!$A$1:$Z$20000,MATCH(A1735,'Semrush Data'!$A$1:$A$20000,0),MATCH("Intent",'Semrush Data'!$A$1:$Z$1,0)),"")</f>
        <v/>
      </c>
    </row>
    <row r="1736" customFormat="false" ht="15" hidden="false" customHeight="true" outlineLevel="0" collapsed="false">
      <c r="A1736" s="7" t="s">
        <v>1892</v>
      </c>
      <c r="B1736" s="7" t="s">
        <v>1355</v>
      </c>
      <c r="C1736" s="7" t="n">
        <v>3</v>
      </c>
      <c r="D1736" s="7" t="n">
        <v>18</v>
      </c>
      <c r="E1736" s="7" t="n">
        <v>1</v>
      </c>
      <c r="F1736" s="7" t="s">
        <v>854</v>
      </c>
      <c r="G1736" s="12" t="str">
        <f aca="false">IFERROR(INDEX('Semrush Data'!$A$1:$Z$20000,MATCH(A1736,'Semrush Data'!$A$1:$A$20000,0),MATCH("Volume",'Semrush Data'!$A$1:$Z$1,0)),"")</f>
        <v/>
      </c>
      <c r="H1736" s="7" t="str">
        <f aca="false">IFERROR(INDEX('Semrush Data'!$A$1:$Z$20000,MATCH(A1736,'Semrush Data'!$A$1:$A$20000,0),MATCH("Keyword Difficulty*",'Semrush Data'!$A$1:$Z$1,0)),"")</f>
        <v/>
      </c>
      <c r="I1736" s="13" t="str">
        <f aca="false">IFERROR(INDEX('Semrush Data'!$A$1:$Z$20000,MATCH(A1736,'Semrush Data'!$A$1:$A$20000,0),MATCH("CPC*",'Semrush Data'!$A$1:$Z$1,0)),"")</f>
        <v/>
      </c>
      <c r="J1736" s="7" t="str">
        <f aca="false">IFERROR(INDEX('Semrush Data'!$A$1:$Z$20000,MATCH(A1736,'Semrush Data'!$A$1:$A$20000,0),MATCH("Intent",'Semrush Data'!$A$1:$Z$1,0)),"")</f>
        <v/>
      </c>
    </row>
    <row r="1737" customFormat="false" ht="15" hidden="false" customHeight="true" outlineLevel="0" collapsed="false">
      <c r="A1737" s="7" t="s">
        <v>2161</v>
      </c>
      <c r="B1737" s="7" t="s">
        <v>1355</v>
      </c>
      <c r="C1737" s="7" t="n">
        <v>3</v>
      </c>
      <c r="D1737" s="7" t="n">
        <v>18</v>
      </c>
      <c r="E1737" s="7" t="n">
        <v>1</v>
      </c>
      <c r="F1737" s="7" t="s">
        <v>1111</v>
      </c>
      <c r="G1737" s="12" t="str">
        <f aca="false">IFERROR(INDEX('Semrush Data'!$A$1:$Z$20000,MATCH(A1737,'Semrush Data'!$A$1:$A$20000,0),MATCH("Volume",'Semrush Data'!$A$1:$Z$1,0)),"")</f>
        <v/>
      </c>
      <c r="H1737" s="7" t="str">
        <f aca="false">IFERROR(INDEX('Semrush Data'!$A$1:$Z$20000,MATCH(A1737,'Semrush Data'!$A$1:$A$20000,0),MATCH("Keyword Difficulty*",'Semrush Data'!$A$1:$Z$1,0)),"")</f>
        <v/>
      </c>
      <c r="I1737" s="13" t="str">
        <f aca="false">IFERROR(INDEX('Semrush Data'!$A$1:$Z$20000,MATCH(A1737,'Semrush Data'!$A$1:$A$20000,0),MATCH("CPC*",'Semrush Data'!$A$1:$Z$1,0)),"")</f>
        <v/>
      </c>
      <c r="J1737" s="7" t="str">
        <f aca="false">IFERROR(INDEX('Semrush Data'!$A$1:$Z$20000,MATCH(A1737,'Semrush Data'!$A$1:$A$20000,0),MATCH("Intent",'Semrush Data'!$A$1:$Z$1,0)),"")</f>
        <v/>
      </c>
    </row>
    <row r="1738" customFormat="false" ht="15" hidden="false" customHeight="true" outlineLevel="0" collapsed="false">
      <c r="A1738" s="7" t="s">
        <v>1885</v>
      </c>
      <c r="B1738" s="7" t="s">
        <v>1355</v>
      </c>
      <c r="C1738" s="7" t="n">
        <v>3</v>
      </c>
      <c r="D1738" s="7" t="n">
        <v>18</v>
      </c>
      <c r="E1738" s="7" t="n">
        <v>1</v>
      </c>
      <c r="F1738" s="7" t="s">
        <v>845</v>
      </c>
      <c r="G1738" s="12" t="str">
        <f aca="false">IFERROR(INDEX('Semrush Data'!$A$1:$Z$20000,MATCH(A1738,'Semrush Data'!$A$1:$A$20000,0),MATCH("Volume",'Semrush Data'!$A$1:$Z$1,0)),"")</f>
        <v/>
      </c>
      <c r="H1738" s="7" t="str">
        <f aca="false">IFERROR(INDEX('Semrush Data'!$A$1:$Z$20000,MATCH(A1738,'Semrush Data'!$A$1:$A$20000,0),MATCH("Keyword Difficulty*",'Semrush Data'!$A$1:$Z$1,0)),"")</f>
        <v/>
      </c>
      <c r="I1738" s="13" t="str">
        <f aca="false">IFERROR(INDEX('Semrush Data'!$A$1:$Z$20000,MATCH(A1738,'Semrush Data'!$A$1:$A$20000,0),MATCH("CPC*",'Semrush Data'!$A$1:$Z$1,0)),"")</f>
        <v/>
      </c>
      <c r="J1738" s="7" t="str">
        <f aca="false">IFERROR(INDEX('Semrush Data'!$A$1:$Z$20000,MATCH(A1738,'Semrush Data'!$A$1:$A$20000,0),MATCH("Intent",'Semrush Data'!$A$1:$Z$1,0)),"")</f>
        <v/>
      </c>
    </row>
    <row r="1739" customFormat="false" ht="15" hidden="false" customHeight="true" outlineLevel="0" collapsed="false">
      <c r="A1739" s="7" t="s">
        <v>2284</v>
      </c>
      <c r="B1739" s="7" t="s">
        <v>1355</v>
      </c>
      <c r="C1739" s="7" t="n">
        <v>3</v>
      </c>
      <c r="D1739" s="7" t="n">
        <v>18</v>
      </c>
      <c r="E1739" s="7" t="n">
        <v>1</v>
      </c>
      <c r="F1739" s="7" t="s">
        <v>1236</v>
      </c>
      <c r="G1739" s="12" t="str">
        <f aca="false">IFERROR(INDEX('Semrush Data'!$A$1:$Z$20000,MATCH(A1739,'Semrush Data'!$A$1:$A$20000,0),MATCH("Volume",'Semrush Data'!$A$1:$Z$1,0)),"")</f>
        <v/>
      </c>
      <c r="H1739" s="7" t="str">
        <f aca="false">IFERROR(INDEX('Semrush Data'!$A$1:$Z$20000,MATCH(A1739,'Semrush Data'!$A$1:$A$20000,0),MATCH("Keyword Difficulty*",'Semrush Data'!$A$1:$Z$1,0)),"")</f>
        <v/>
      </c>
      <c r="I1739" s="13" t="str">
        <f aca="false">IFERROR(INDEX('Semrush Data'!$A$1:$Z$20000,MATCH(A1739,'Semrush Data'!$A$1:$A$20000,0),MATCH("CPC*",'Semrush Data'!$A$1:$Z$1,0)),"")</f>
        <v/>
      </c>
      <c r="J1739" s="7" t="str">
        <f aca="false">IFERROR(INDEX('Semrush Data'!$A$1:$Z$20000,MATCH(A1739,'Semrush Data'!$A$1:$A$20000,0),MATCH("Intent",'Semrush Data'!$A$1:$Z$1,0)),"")</f>
        <v/>
      </c>
    </row>
    <row r="1740" customFormat="false" ht="15" hidden="false" customHeight="true" outlineLevel="0" collapsed="false">
      <c r="A1740" s="7" t="s">
        <v>2278</v>
      </c>
      <c r="B1740" s="7" t="s">
        <v>1355</v>
      </c>
      <c r="C1740" s="7" t="n">
        <v>3</v>
      </c>
      <c r="D1740" s="7" t="n">
        <v>18</v>
      </c>
      <c r="E1740" s="7" t="n">
        <v>1</v>
      </c>
      <c r="F1740" s="7" t="s">
        <v>1230</v>
      </c>
      <c r="G1740" s="12" t="str">
        <f aca="false">IFERROR(INDEX('Semrush Data'!$A$1:$Z$20000,MATCH(A1740,'Semrush Data'!$A$1:$A$20000,0),MATCH("Volume",'Semrush Data'!$A$1:$Z$1,0)),"")</f>
        <v/>
      </c>
      <c r="H1740" s="7" t="str">
        <f aca="false">IFERROR(INDEX('Semrush Data'!$A$1:$Z$20000,MATCH(A1740,'Semrush Data'!$A$1:$A$20000,0),MATCH("Keyword Difficulty*",'Semrush Data'!$A$1:$Z$1,0)),"")</f>
        <v/>
      </c>
      <c r="I1740" s="13" t="str">
        <f aca="false">IFERROR(INDEX('Semrush Data'!$A$1:$Z$20000,MATCH(A1740,'Semrush Data'!$A$1:$A$20000,0),MATCH("CPC*",'Semrush Data'!$A$1:$Z$1,0)),"")</f>
        <v/>
      </c>
      <c r="J1740" s="7" t="str">
        <f aca="false">IFERROR(INDEX('Semrush Data'!$A$1:$Z$20000,MATCH(A1740,'Semrush Data'!$A$1:$A$20000,0),MATCH("Intent",'Semrush Data'!$A$1:$Z$1,0)),"")</f>
        <v/>
      </c>
    </row>
    <row r="1741" customFormat="false" ht="15" hidden="false" customHeight="true" outlineLevel="0" collapsed="false">
      <c r="A1741" s="7" t="s">
        <v>2385</v>
      </c>
      <c r="B1741" s="7" t="s">
        <v>1355</v>
      </c>
      <c r="C1741" s="7" t="n">
        <v>3</v>
      </c>
      <c r="D1741" s="7" t="n">
        <v>18</v>
      </c>
      <c r="E1741" s="7" t="n">
        <v>1</v>
      </c>
      <c r="F1741" s="7" t="s">
        <v>1339</v>
      </c>
      <c r="G1741" s="12" t="str">
        <f aca="false">IFERROR(INDEX('Semrush Data'!$A$1:$Z$20000,MATCH(A1741,'Semrush Data'!$A$1:$A$20000,0),MATCH("Volume",'Semrush Data'!$A$1:$Z$1,0)),"")</f>
        <v/>
      </c>
      <c r="H1741" s="7" t="str">
        <f aca="false">IFERROR(INDEX('Semrush Data'!$A$1:$Z$20000,MATCH(A1741,'Semrush Data'!$A$1:$A$20000,0),MATCH("Keyword Difficulty*",'Semrush Data'!$A$1:$Z$1,0)),"")</f>
        <v/>
      </c>
      <c r="I1741" s="13" t="str">
        <f aca="false">IFERROR(INDEX('Semrush Data'!$A$1:$Z$20000,MATCH(A1741,'Semrush Data'!$A$1:$A$20000,0),MATCH("CPC*",'Semrush Data'!$A$1:$Z$1,0)),"")</f>
        <v/>
      </c>
      <c r="J1741" s="7" t="str">
        <f aca="false">IFERROR(INDEX('Semrush Data'!$A$1:$Z$20000,MATCH(A1741,'Semrush Data'!$A$1:$A$20000,0),MATCH("Intent",'Semrush Data'!$A$1:$Z$1,0)),"")</f>
        <v/>
      </c>
    </row>
    <row r="1742" customFormat="false" ht="15" hidden="false" customHeight="true" outlineLevel="0" collapsed="false">
      <c r="A1742" s="7" t="s">
        <v>2373</v>
      </c>
      <c r="B1742" s="7" t="s">
        <v>1355</v>
      </c>
      <c r="C1742" s="7" t="n">
        <v>3</v>
      </c>
      <c r="D1742" s="7" t="n">
        <v>18</v>
      </c>
      <c r="E1742" s="7" t="n">
        <v>1</v>
      </c>
      <c r="F1742" s="7" t="s">
        <v>1327</v>
      </c>
      <c r="G1742" s="12" t="str">
        <f aca="false">IFERROR(INDEX('Semrush Data'!$A$1:$Z$20000,MATCH(A1742,'Semrush Data'!$A$1:$A$20000,0),MATCH("Volume",'Semrush Data'!$A$1:$Z$1,0)),"")</f>
        <v/>
      </c>
      <c r="H1742" s="7" t="str">
        <f aca="false">IFERROR(INDEX('Semrush Data'!$A$1:$Z$20000,MATCH(A1742,'Semrush Data'!$A$1:$A$20000,0),MATCH("Keyword Difficulty*",'Semrush Data'!$A$1:$Z$1,0)),"")</f>
        <v/>
      </c>
      <c r="I1742" s="13" t="str">
        <f aca="false">IFERROR(INDEX('Semrush Data'!$A$1:$Z$20000,MATCH(A1742,'Semrush Data'!$A$1:$A$20000,0),MATCH("CPC*",'Semrush Data'!$A$1:$Z$1,0)),"")</f>
        <v/>
      </c>
      <c r="J1742" s="7" t="str">
        <f aca="false">IFERROR(INDEX('Semrush Data'!$A$1:$Z$20000,MATCH(A1742,'Semrush Data'!$A$1:$A$20000,0),MATCH("Intent",'Semrush Data'!$A$1:$Z$1,0)),"")</f>
        <v/>
      </c>
    </row>
    <row r="1743" customFormat="false" ht="15" hidden="false" customHeight="true" outlineLevel="0" collapsed="false">
      <c r="A1743" s="7" t="s">
        <v>1915</v>
      </c>
      <c r="B1743" s="7" t="s">
        <v>1355</v>
      </c>
      <c r="C1743" s="7" t="n">
        <v>3</v>
      </c>
      <c r="D1743" s="7" t="n">
        <v>18</v>
      </c>
      <c r="E1743" s="7" t="n">
        <v>1</v>
      </c>
      <c r="F1743" s="7" t="s">
        <v>873</v>
      </c>
      <c r="G1743" s="12" t="str">
        <f aca="false">IFERROR(INDEX('Semrush Data'!$A$1:$Z$20000,MATCH(A1743,'Semrush Data'!$A$1:$A$20000,0),MATCH("Volume",'Semrush Data'!$A$1:$Z$1,0)),"")</f>
        <v/>
      </c>
      <c r="H1743" s="7" t="str">
        <f aca="false">IFERROR(INDEX('Semrush Data'!$A$1:$Z$20000,MATCH(A1743,'Semrush Data'!$A$1:$A$20000,0),MATCH("Keyword Difficulty*",'Semrush Data'!$A$1:$Z$1,0)),"")</f>
        <v/>
      </c>
      <c r="I1743" s="13" t="str">
        <f aca="false">IFERROR(INDEX('Semrush Data'!$A$1:$Z$20000,MATCH(A1743,'Semrush Data'!$A$1:$A$20000,0),MATCH("CPC*",'Semrush Data'!$A$1:$Z$1,0)),"")</f>
        <v/>
      </c>
      <c r="J1743" s="7" t="str">
        <f aca="false">IFERROR(INDEX('Semrush Data'!$A$1:$Z$20000,MATCH(A1743,'Semrush Data'!$A$1:$A$20000,0),MATCH("Intent",'Semrush Data'!$A$1:$Z$1,0)),"")</f>
        <v/>
      </c>
    </row>
    <row r="1744" customFormat="false" ht="15" hidden="false" customHeight="true" outlineLevel="0" collapsed="false">
      <c r="A1744" s="7" t="s">
        <v>2361</v>
      </c>
      <c r="B1744" s="7" t="s">
        <v>1355</v>
      </c>
      <c r="C1744" s="7" t="n">
        <v>3</v>
      </c>
      <c r="D1744" s="7" t="n">
        <v>18</v>
      </c>
      <c r="E1744" s="7" t="n">
        <v>1</v>
      </c>
      <c r="F1744" s="7" t="s">
        <v>1315</v>
      </c>
      <c r="G1744" s="12" t="str">
        <f aca="false">IFERROR(INDEX('Semrush Data'!$A$1:$Z$20000,MATCH(A1744,'Semrush Data'!$A$1:$A$20000,0),MATCH("Volume",'Semrush Data'!$A$1:$Z$1,0)),"")</f>
        <v/>
      </c>
      <c r="H1744" s="7" t="str">
        <f aca="false">IFERROR(INDEX('Semrush Data'!$A$1:$Z$20000,MATCH(A1744,'Semrush Data'!$A$1:$A$20000,0),MATCH("Keyword Difficulty*",'Semrush Data'!$A$1:$Z$1,0)),"")</f>
        <v/>
      </c>
      <c r="I1744" s="13" t="str">
        <f aca="false">IFERROR(INDEX('Semrush Data'!$A$1:$Z$20000,MATCH(A1744,'Semrush Data'!$A$1:$A$20000,0),MATCH("CPC*",'Semrush Data'!$A$1:$Z$1,0)),"")</f>
        <v/>
      </c>
      <c r="J1744" s="7" t="str">
        <f aca="false">IFERROR(INDEX('Semrush Data'!$A$1:$Z$20000,MATCH(A1744,'Semrush Data'!$A$1:$A$20000,0),MATCH("Intent",'Semrush Data'!$A$1:$Z$1,0)),"")</f>
        <v/>
      </c>
    </row>
    <row r="1745" customFormat="false" ht="15" hidden="false" customHeight="true" outlineLevel="0" collapsed="false">
      <c r="A1745" s="7" t="s">
        <v>2040</v>
      </c>
      <c r="B1745" s="7" t="s">
        <v>1355</v>
      </c>
      <c r="C1745" s="7" t="n">
        <v>3</v>
      </c>
      <c r="D1745" s="7" t="n">
        <v>18</v>
      </c>
      <c r="E1745" s="7" t="n">
        <v>1</v>
      </c>
      <c r="F1745" s="7" t="s">
        <v>992</v>
      </c>
      <c r="G1745" s="12" t="str">
        <f aca="false">IFERROR(INDEX('Semrush Data'!$A$1:$Z$20000,MATCH(A1745,'Semrush Data'!$A$1:$A$20000,0),MATCH("Volume",'Semrush Data'!$A$1:$Z$1,0)),"")</f>
        <v/>
      </c>
      <c r="H1745" s="7" t="str">
        <f aca="false">IFERROR(INDEX('Semrush Data'!$A$1:$Z$20000,MATCH(A1745,'Semrush Data'!$A$1:$A$20000,0),MATCH("Keyword Difficulty*",'Semrush Data'!$A$1:$Z$1,0)),"")</f>
        <v/>
      </c>
      <c r="I1745" s="13" t="str">
        <f aca="false">IFERROR(INDEX('Semrush Data'!$A$1:$Z$20000,MATCH(A1745,'Semrush Data'!$A$1:$A$20000,0),MATCH("CPC*",'Semrush Data'!$A$1:$Z$1,0)),"")</f>
        <v/>
      </c>
      <c r="J1745" s="7" t="str">
        <f aca="false">IFERROR(INDEX('Semrush Data'!$A$1:$Z$20000,MATCH(A1745,'Semrush Data'!$A$1:$A$20000,0),MATCH("Intent",'Semrush Data'!$A$1:$Z$1,0)),"")</f>
        <v/>
      </c>
    </row>
    <row r="1746" customFormat="false" ht="15" hidden="false" customHeight="true" outlineLevel="0" collapsed="false">
      <c r="A1746" s="7" t="s">
        <v>2135</v>
      </c>
      <c r="B1746" s="7" t="s">
        <v>1355</v>
      </c>
      <c r="C1746" s="7" t="n">
        <v>3</v>
      </c>
      <c r="D1746" s="7" t="n">
        <v>18</v>
      </c>
      <c r="E1746" s="7" t="n">
        <v>1</v>
      </c>
      <c r="F1746" s="7" t="s">
        <v>1082</v>
      </c>
      <c r="G1746" s="12" t="str">
        <f aca="false">IFERROR(INDEX('Semrush Data'!$A$1:$Z$20000,MATCH(A1746,'Semrush Data'!$A$1:$A$20000,0),MATCH("Volume",'Semrush Data'!$A$1:$Z$1,0)),"")</f>
        <v/>
      </c>
      <c r="H1746" s="7" t="str">
        <f aca="false">IFERROR(INDEX('Semrush Data'!$A$1:$Z$20000,MATCH(A1746,'Semrush Data'!$A$1:$A$20000,0),MATCH("Keyword Difficulty*",'Semrush Data'!$A$1:$Z$1,0)),"")</f>
        <v/>
      </c>
      <c r="I1746" s="13" t="str">
        <f aca="false">IFERROR(INDEX('Semrush Data'!$A$1:$Z$20000,MATCH(A1746,'Semrush Data'!$A$1:$A$20000,0),MATCH("CPC*",'Semrush Data'!$A$1:$Z$1,0)),"")</f>
        <v/>
      </c>
      <c r="J1746" s="7" t="str">
        <f aca="false">IFERROR(INDEX('Semrush Data'!$A$1:$Z$20000,MATCH(A1746,'Semrush Data'!$A$1:$A$20000,0),MATCH("Intent",'Semrush Data'!$A$1:$Z$1,0)),"")</f>
        <v/>
      </c>
    </row>
    <row r="1747" customFormat="false" ht="15" hidden="false" customHeight="true" outlineLevel="0" collapsed="false">
      <c r="A1747" s="7" t="s">
        <v>2195</v>
      </c>
      <c r="B1747" s="7" t="s">
        <v>1355</v>
      </c>
      <c r="C1747" s="7" t="n">
        <v>3</v>
      </c>
      <c r="D1747" s="7" t="n">
        <v>18</v>
      </c>
      <c r="E1747" s="7" t="n">
        <v>1</v>
      </c>
      <c r="F1747" s="7" t="s">
        <v>1146</v>
      </c>
      <c r="G1747" s="12" t="str">
        <f aca="false">IFERROR(INDEX('Semrush Data'!$A$1:$Z$20000,MATCH(A1747,'Semrush Data'!$A$1:$A$20000,0),MATCH("Volume",'Semrush Data'!$A$1:$Z$1,0)),"")</f>
        <v/>
      </c>
      <c r="H1747" s="7" t="str">
        <f aca="false">IFERROR(INDEX('Semrush Data'!$A$1:$Z$20000,MATCH(A1747,'Semrush Data'!$A$1:$A$20000,0),MATCH("Keyword Difficulty*",'Semrush Data'!$A$1:$Z$1,0)),"")</f>
        <v/>
      </c>
      <c r="I1747" s="13" t="str">
        <f aca="false">IFERROR(INDEX('Semrush Data'!$A$1:$Z$20000,MATCH(A1747,'Semrush Data'!$A$1:$A$20000,0),MATCH("CPC*",'Semrush Data'!$A$1:$Z$1,0)),"")</f>
        <v/>
      </c>
      <c r="J1747" s="7" t="str">
        <f aca="false">IFERROR(INDEX('Semrush Data'!$A$1:$Z$20000,MATCH(A1747,'Semrush Data'!$A$1:$A$20000,0),MATCH("Intent",'Semrush Data'!$A$1:$Z$1,0)),"")</f>
        <v/>
      </c>
    </row>
    <row r="1748" customFormat="false" ht="15" hidden="false" customHeight="true" outlineLevel="0" collapsed="false">
      <c r="A1748" s="7" t="s">
        <v>2034</v>
      </c>
      <c r="B1748" s="7" t="s">
        <v>1355</v>
      </c>
      <c r="C1748" s="7" t="n">
        <v>3</v>
      </c>
      <c r="D1748" s="7" t="n">
        <v>18</v>
      </c>
      <c r="E1748" s="7" t="n">
        <v>1</v>
      </c>
      <c r="F1748" s="7" t="s">
        <v>985</v>
      </c>
      <c r="G1748" s="12" t="str">
        <f aca="false">IFERROR(INDEX('Semrush Data'!$A$1:$Z$20000,MATCH(A1748,'Semrush Data'!$A$1:$A$20000,0),MATCH("Volume",'Semrush Data'!$A$1:$Z$1,0)),"")</f>
        <v/>
      </c>
      <c r="H1748" s="7" t="str">
        <f aca="false">IFERROR(INDEX('Semrush Data'!$A$1:$Z$20000,MATCH(A1748,'Semrush Data'!$A$1:$A$20000,0),MATCH("Keyword Difficulty*",'Semrush Data'!$A$1:$Z$1,0)),"")</f>
        <v/>
      </c>
      <c r="I1748" s="13" t="str">
        <f aca="false">IFERROR(INDEX('Semrush Data'!$A$1:$Z$20000,MATCH(A1748,'Semrush Data'!$A$1:$A$20000,0),MATCH("CPC*",'Semrush Data'!$A$1:$Z$1,0)),"")</f>
        <v/>
      </c>
      <c r="J1748" s="7" t="str">
        <f aca="false">IFERROR(INDEX('Semrush Data'!$A$1:$Z$20000,MATCH(A1748,'Semrush Data'!$A$1:$A$20000,0),MATCH("Intent",'Semrush Data'!$A$1:$Z$1,0)),"")</f>
        <v/>
      </c>
    </row>
    <row r="1749" customFormat="false" ht="15" hidden="false" customHeight="true" outlineLevel="0" collapsed="false">
      <c r="A1749" s="7" t="s">
        <v>1973</v>
      </c>
      <c r="B1749" s="7" t="s">
        <v>1355</v>
      </c>
      <c r="C1749" s="7" t="n">
        <v>3</v>
      </c>
      <c r="D1749" s="7" t="n">
        <v>18</v>
      </c>
      <c r="E1749" s="7" t="n">
        <v>1</v>
      </c>
      <c r="F1749" s="7" t="s">
        <v>925</v>
      </c>
      <c r="G1749" s="12" t="str">
        <f aca="false">IFERROR(INDEX('Semrush Data'!$A$1:$Z$20000,MATCH(A1749,'Semrush Data'!$A$1:$A$20000,0),MATCH("Volume",'Semrush Data'!$A$1:$Z$1,0)),"")</f>
        <v/>
      </c>
      <c r="H1749" s="7" t="str">
        <f aca="false">IFERROR(INDEX('Semrush Data'!$A$1:$Z$20000,MATCH(A1749,'Semrush Data'!$A$1:$A$20000,0),MATCH("Keyword Difficulty*",'Semrush Data'!$A$1:$Z$1,0)),"")</f>
        <v/>
      </c>
      <c r="I1749" s="13" t="str">
        <f aca="false">IFERROR(INDEX('Semrush Data'!$A$1:$Z$20000,MATCH(A1749,'Semrush Data'!$A$1:$A$20000,0),MATCH("CPC*",'Semrush Data'!$A$1:$Z$1,0)),"")</f>
        <v/>
      </c>
      <c r="J1749" s="7" t="str">
        <f aca="false">IFERROR(INDEX('Semrush Data'!$A$1:$Z$20000,MATCH(A1749,'Semrush Data'!$A$1:$A$20000,0),MATCH("Intent",'Semrush Data'!$A$1:$Z$1,0)),"")</f>
        <v/>
      </c>
    </row>
    <row r="1750" customFormat="false" ht="15" hidden="false" customHeight="true" outlineLevel="0" collapsed="false">
      <c r="A1750" s="7" t="s">
        <v>2379</v>
      </c>
      <c r="B1750" s="7" t="s">
        <v>1355</v>
      </c>
      <c r="C1750" s="7" t="n">
        <v>3</v>
      </c>
      <c r="D1750" s="7" t="n">
        <v>18</v>
      </c>
      <c r="E1750" s="7" t="n">
        <v>1</v>
      </c>
      <c r="F1750" s="7" t="s">
        <v>1333</v>
      </c>
      <c r="G1750" s="12" t="str">
        <f aca="false">IFERROR(INDEX('Semrush Data'!$A$1:$Z$20000,MATCH(A1750,'Semrush Data'!$A$1:$A$20000,0),MATCH("Volume",'Semrush Data'!$A$1:$Z$1,0)),"")</f>
        <v/>
      </c>
      <c r="H1750" s="7" t="str">
        <f aca="false">IFERROR(INDEX('Semrush Data'!$A$1:$Z$20000,MATCH(A1750,'Semrush Data'!$A$1:$A$20000,0),MATCH("Keyword Difficulty*",'Semrush Data'!$A$1:$Z$1,0)),"")</f>
        <v/>
      </c>
      <c r="I1750" s="13" t="str">
        <f aca="false">IFERROR(INDEX('Semrush Data'!$A$1:$Z$20000,MATCH(A1750,'Semrush Data'!$A$1:$A$20000,0),MATCH("CPC*",'Semrush Data'!$A$1:$Z$1,0)),"")</f>
        <v/>
      </c>
      <c r="J1750" s="7" t="str">
        <f aca="false">IFERROR(INDEX('Semrush Data'!$A$1:$Z$20000,MATCH(A1750,'Semrush Data'!$A$1:$A$20000,0),MATCH("Intent",'Semrush Data'!$A$1:$Z$1,0)),"")</f>
        <v/>
      </c>
    </row>
    <row r="1751" customFormat="false" ht="15" hidden="false" customHeight="true" outlineLevel="0" collapsed="false">
      <c r="A1751" s="7" t="s">
        <v>2337</v>
      </c>
      <c r="B1751" s="7" t="s">
        <v>1355</v>
      </c>
      <c r="C1751" s="7" t="n">
        <v>3</v>
      </c>
      <c r="D1751" s="7" t="n">
        <v>18</v>
      </c>
      <c r="E1751" s="7" t="n">
        <v>1</v>
      </c>
      <c r="F1751" s="7" t="s">
        <v>1290</v>
      </c>
      <c r="G1751" s="12" t="str">
        <f aca="false">IFERROR(INDEX('Semrush Data'!$A$1:$Z$20000,MATCH(A1751,'Semrush Data'!$A$1:$A$20000,0),MATCH("Volume",'Semrush Data'!$A$1:$Z$1,0)),"")</f>
        <v/>
      </c>
      <c r="H1751" s="7" t="str">
        <f aca="false">IFERROR(INDEX('Semrush Data'!$A$1:$Z$20000,MATCH(A1751,'Semrush Data'!$A$1:$A$20000,0),MATCH("Keyword Difficulty*",'Semrush Data'!$A$1:$Z$1,0)),"")</f>
        <v/>
      </c>
      <c r="I1751" s="13" t="str">
        <f aca="false">IFERROR(INDEX('Semrush Data'!$A$1:$Z$20000,MATCH(A1751,'Semrush Data'!$A$1:$A$20000,0),MATCH("CPC*",'Semrush Data'!$A$1:$Z$1,0)),"")</f>
        <v/>
      </c>
      <c r="J1751" s="7" t="str">
        <f aca="false">IFERROR(INDEX('Semrush Data'!$A$1:$Z$20000,MATCH(A1751,'Semrush Data'!$A$1:$A$20000,0),MATCH("Intent",'Semrush Data'!$A$1:$Z$1,0)),"")</f>
        <v/>
      </c>
    </row>
    <row r="1752" customFormat="false" ht="15" hidden="false" customHeight="true" outlineLevel="0" collapsed="false">
      <c r="A1752" s="7" t="s">
        <v>2154</v>
      </c>
      <c r="B1752" s="7" t="s">
        <v>1355</v>
      </c>
      <c r="C1752" s="7" t="n">
        <v>3</v>
      </c>
      <c r="D1752" s="7" t="n">
        <v>18</v>
      </c>
      <c r="E1752" s="7" t="n">
        <v>1</v>
      </c>
      <c r="F1752" s="7" t="s">
        <v>1104</v>
      </c>
      <c r="G1752" s="12" t="str">
        <f aca="false">IFERROR(INDEX('Semrush Data'!$A$1:$Z$20000,MATCH(A1752,'Semrush Data'!$A$1:$A$20000,0),MATCH("Volume",'Semrush Data'!$A$1:$Z$1,0)),"")</f>
        <v/>
      </c>
      <c r="H1752" s="7" t="str">
        <f aca="false">IFERROR(INDEX('Semrush Data'!$A$1:$Z$20000,MATCH(A1752,'Semrush Data'!$A$1:$A$20000,0),MATCH("Keyword Difficulty*",'Semrush Data'!$A$1:$Z$1,0)),"")</f>
        <v/>
      </c>
      <c r="I1752" s="13" t="str">
        <f aca="false">IFERROR(INDEX('Semrush Data'!$A$1:$Z$20000,MATCH(A1752,'Semrush Data'!$A$1:$A$20000,0),MATCH("CPC*",'Semrush Data'!$A$1:$Z$1,0)),"")</f>
        <v/>
      </c>
      <c r="J1752" s="7" t="str">
        <f aca="false">IFERROR(INDEX('Semrush Data'!$A$1:$Z$20000,MATCH(A1752,'Semrush Data'!$A$1:$A$20000,0),MATCH("Intent",'Semrush Data'!$A$1:$Z$1,0)),"")</f>
        <v/>
      </c>
    </row>
    <row r="1753" customFormat="false" ht="15" hidden="false" customHeight="true" outlineLevel="0" collapsed="false">
      <c r="A1753" s="7" t="s">
        <v>2313</v>
      </c>
      <c r="B1753" s="7" t="s">
        <v>1355</v>
      </c>
      <c r="C1753" s="7" t="n">
        <v>3</v>
      </c>
      <c r="D1753" s="7" t="n">
        <v>18</v>
      </c>
      <c r="E1753" s="7" t="n">
        <v>1</v>
      </c>
      <c r="F1753" s="7" t="s">
        <v>1266</v>
      </c>
      <c r="G1753" s="12" t="str">
        <f aca="false">IFERROR(INDEX('Semrush Data'!$A$1:$Z$20000,MATCH(A1753,'Semrush Data'!$A$1:$A$20000,0),MATCH("Volume",'Semrush Data'!$A$1:$Z$1,0)),"")</f>
        <v/>
      </c>
      <c r="H1753" s="7" t="str">
        <f aca="false">IFERROR(INDEX('Semrush Data'!$A$1:$Z$20000,MATCH(A1753,'Semrush Data'!$A$1:$A$20000,0),MATCH("Keyword Difficulty*",'Semrush Data'!$A$1:$Z$1,0)),"")</f>
        <v/>
      </c>
      <c r="I1753" s="13" t="str">
        <f aca="false">IFERROR(INDEX('Semrush Data'!$A$1:$Z$20000,MATCH(A1753,'Semrush Data'!$A$1:$A$20000,0),MATCH("CPC*",'Semrush Data'!$A$1:$Z$1,0)),"")</f>
        <v/>
      </c>
      <c r="J1753" s="7" t="str">
        <f aca="false">IFERROR(INDEX('Semrush Data'!$A$1:$Z$20000,MATCH(A1753,'Semrush Data'!$A$1:$A$20000,0),MATCH("Intent",'Semrush Data'!$A$1:$Z$1,0)),"")</f>
        <v/>
      </c>
    </row>
    <row r="1754" customFormat="false" ht="15" hidden="false" customHeight="true" outlineLevel="0" collapsed="false">
      <c r="A1754" s="7" t="s">
        <v>2094</v>
      </c>
      <c r="B1754" s="7" t="s">
        <v>1355</v>
      </c>
      <c r="C1754" s="7" t="n">
        <v>3</v>
      </c>
      <c r="D1754" s="7" t="n">
        <v>18</v>
      </c>
      <c r="E1754" s="7" t="n">
        <v>1</v>
      </c>
      <c r="F1754" s="7" t="s">
        <v>1043</v>
      </c>
      <c r="G1754" s="12" t="str">
        <f aca="false">IFERROR(INDEX('Semrush Data'!$A$1:$Z$20000,MATCH(A1754,'Semrush Data'!$A$1:$A$20000,0),MATCH("Volume",'Semrush Data'!$A$1:$Z$1,0)),"")</f>
        <v/>
      </c>
      <c r="H1754" s="7" t="str">
        <f aca="false">IFERROR(INDEX('Semrush Data'!$A$1:$Z$20000,MATCH(A1754,'Semrush Data'!$A$1:$A$20000,0),MATCH("Keyword Difficulty*",'Semrush Data'!$A$1:$Z$1,0)),"")</f>
        <v/>
      </c>
      <c r="I1754" s="13" t="str">
        <f aca="false">IFERROR(INDEX('Semrush Data'!$A$1:$Z$20000,MATCH(A1754,'Semrush Data'!$A$1:$A$20000,0),MATCH("CPC*",'Semrush Data'!$A$1:$Z$1,0)),"")</f>
        <v/>
      </c>
      <c r="J1754" s="7" t="str">
        <f aca="false">IFERROR(INDEX('Semrush Data'!$A$1:$Z$20000,MATCH(A1754,'Semrush Data'!$A$1:$A$20000,0),MATCH("Intent",'Semrush Data'!$A$1:$Z$1,0)),"")</f>
        <v/>
      </c>
    </row>
    <row r="1755" customFormat="false" ht="15" hidden="false" customHeight="true" outlineLevel="0" collapsed="false">
      <c r="A1755" s="7" t="s">
        <v>2343</v>
      </c>
      <c r="B1755" s="7" t="s">
        <v>1355</v>
      </c>
      <c r="C1755" s="7" t="n">
        <v>3</v>
      </c>
      <c r="D1755" s="7" t="n">
        <v>18</v>
      </c>
      <c r="E1755" s="7" t="n">
        <v>1</v>
      </c>
      <c r="F1755" s="7" t="s">
        <v>1297</v>
      </c>
      <c r="G1755" s="12" t="str">
        <f aca="false">IFERROR(INDEX('Semrush Data'!$A$1:$Z$20000,MATCH(A1755,'Semrush Data'!$A$1:$A$20000,0),MATCH("Volume",'Semrush Data'!$A$1:$Z$1,0)),"")</f>
        <v/>
      </c>
      <c r="H1755" s="7" t="str">
        <f aca="false">IFERROR(INDEX('Semrush Data'!$A$1:$Z$20000,MATCH(A1755,'Semrush Data'!$A$1:$A$20000,0),MATCH("Keyword Difficulty*",'Semrush Data'!$A$1:$Z$1,0)),"")</f>
        <v/>
      </c>
      <c r="I1755" s="13" t="str">
        <f aca="false">IFERROR(INDEX('Semrush Data'!$A$1:$Z$20000,MATCH(A1755,'Semrush Data'!$A$1:$A$20000,0),MATCH("CPC*",'Semrush Data'!$A$1:$Z$1,0)),"")</f>
        <v/>
      </c>
      <c r="J1755" s="7" t="str">
        <f aca="false">IFERROR(INDEX('Semrush Data'!$A$1:$Z$20000,MATCH(A1755,'Semrush Data'!$A$1:$A$20000,0),MATCH("Intent",'Semrush Data'!$A$1:$Z$1,0)),"")</f>
        <v/>
      </c>
    </row>
    <row r="1756" customFormat="false" ht="15" hidden="false" customHeight="true" outlineLevel="0" collapsed="false">
      <c r="A1756" s="7" t="s">
        <v>2307</v>
      </c>
      <c r="B1756" s="7" t="s">
        <v>1355</v>
      </c>
      <c r="C1756" s="7" t="n">
        <v>3</v>
      </c>
      <c r="D1756" s="7" t="n">
        <v>18</v>
      </c>
      <c r="E1756" s="7" t="n">
        <v>1</v>
      </c>
      <c r="F1756" s="7" t="s">
        <v>1260</v>
      </c>
      <c r="G1756" s="12" t="str">
        <f aca="false">IFERROR(INDEX('Semrush Data'!$A$1:$Z$20000,MATCH(A1756,'Semrush Data'!$A$1:$A$20000,0),MATCH("Volume",'Semrush Data'!$A$1:$Z$1,0)),"")</f>
        <v/>
      </c>
      <c r="H1756" s="7" t="str">
        <f aca="false">IFERROR(INDEX('Semrush Data'!$A$1:$Z$20000,MATCH(A1756,'Semrush Data'!$A$1:$A$20000,0),MATCH("Keyword Difficulty*",'Semrush Data'!$A$1:$Z$1,0)),"")</f>
        <v/>
      </c>
      <c r="I1756" s="13" t="str">
        <f aca="false">IFERROR(INDEX('Semrush Data'!$A$1:$Z$20000,MATCH(A1756,'Semrush Data'!$A$1:$A$20000,0),MATCH("CPC*",'Semrush Data'!$A$1:$Z$1,0)),"")</f>
        <v/>
      </c>
      <c r="J1756" s="7" t="str">
        <f aca="false">IFERROR(INDEX('Semrush Data'!$A$1:$Z$20000,MATCH(A1756,'Semrush Data'!$A$1:$A$20000,0),MATCH("Intent",'Semrush Data'!$A$1:$Z$1,0)),"")</f>
        <v/>
      </c>
    </row>
    <row r="1757" customFormat="false" ht="15" hidden="false" customHeight="true" outlineLevel="0" collapsed="false">
      <c r="A1757" s="7" t="s">
        <v>2331</v>
      </c>
      <c r="B1757" s="7" t="s">
        <v>1355</v>
      </c>
      <c r="C1757" s="7" t="n">
        <v>3</v>
      </c>
      <c r="D1757" s="7" t="n">
        <v>18</v>
      </c>
      <c r="E1757" s="7" t="n">
        <v>1</v>
      </c>
      <c r="F1757" s="7" t="s">
        <v>1284</v>
      </c>
      <c r="G1757" s="12" t="str">
        <f aca="false">IFERROR(INDEX('Semrush Data'!$A$1:$Z$20000,MATCH(A1757,'Semrush Data'!$A$1:$A$20000,0),MATCH("Volume",'Semrush Data'!$A$1:$Z$1,0)),"")</f>
        <v/>
      </c>
      <c r="H1757" s="7" t="str">
        <f aca="false">IFERROR(INDEX('Semrush Data'!$A$1:$Z$20000,MATCH(A1757,'Semrush Data'!$A$1:$A$20000,0),MATCH("Keyword Difficulty*",'Semrush Data'!$A$1:$Z$1,0)),"")</f>
        <v/>
      </c>
      <c r="I1757" s="13" t="str">
        <f aca="false">IFERROR(INDEX('Semrush Data'!$A$1:$Z$20000,MATCH(A1757,'Semrush Data'!$A$1:$A$20000,0),MATCH("CPC*",'Semrush Data'!$A$1:$Z$1,0)),"")</f>
        <v/>
      </c>
      <c r="J1757" s="7" t="str">
        <f aca="false">IFERROR(INDEX('Semrush Data'!$A$1:$Z$20000,MATCH(A1757,'Semrush Data'!$A$1:$A$20000,0),MATCH("Intent",'Semrush Data'!$A$1:$Z$1,0)),"")</f>
        <v/>
      </c>
    </row>
    <row r="1758" customFormat="false" ht="15" hidden="false" customHeight="true" outlineLevel="0" collapsed="false">
      <c r="A1758" s="7" t="s">
        <v>2296</v>
      </c>
      <c r="B1758" s="7" t="s">
        <v>1355</v>
      </c>
      <c r="C1758" s="7" t="n">
        <v>3</v>
      </c>
      <c r="D1758" s="7" t="n">
        <v>18</v>
      </c>
      <c r="E1758" s="7" t="n">
        <v>1</v>
      </c>
      <c r="F1758" s="7" t="s">
        <v>1248</v>
      </c>
      <c r="G1758" s="12" t="str">
        <f aca="false">IFERROR(INDEX('Semrush Data'!$A$1:$Z$20000,MATCH(A1758,'Semrush Data'!$A$1:$A$20000,0),MATCH("Volume",'Semrush Data'!$A$1:$Z$1,0)),"")</f>
        <v/>
      </c>
      <c r="H1758" s="7" t="str">
        <f aca="false">IFERROR(INDEX('Semrush Data'!$A$1:$Z$20000,MATCH(A1758,'Semrush Data'!$A$1:$A$20000,0),MATCH("Keyword Difficulty*",'Semrush Data'!$A$1:$Z$1,0)),"")</f>
        <v/>
      </c>
      <c r="I1758" s="13" t="str">
        <f aca="false">IFERROR(INDEX('Semrush Data'!$A$1:$Z$20000,MATCH(A1758,'Semrush Data'!$A$1:$A$20000,0),MATCH("CPC*",'Semrush Data'!$A$1:$Z$1,0)),"")</f>
        <v/>
      </c>
      <c r="J1758" s="7" t="str">
        <f aca="false">IFERROR(INDEX('Semrush Data'!$A$1:$Z$20000,MATCH(A1758,'Semrush Data'!$A$1:$A$20000,0),MATCH("Intent",'Semrush Data'!$A$1:$Z$1,0)),"")</f>
        <v/>
      </c>
    </row>
    <row r="1759" customFormat="false" ht="15" hidden="false" customHeight="true" outlineLevel="0" collapsed="false">
      <c r="A1759" s="7" t="s">
        <v>2302</v>
      </c>
      <c r="B1759" s="7" t="s">
        <v>1355</v>
      </c>
      <c r="C1759" s="7" t="n">
        <v>3</v>
      </c>
      <c r="D1759" s="7" t="n">
        <v>18</v>
      </c>
      <c r="E1759" s="7" t="n">
        <v>1</v>
      </c>
      <c r="F1759" s="7" t="s">
        <v>1254</v>
      </c>
      <c r="G1759" s="12" t="str">
        <f aca="false">IFERROR(INDEX('Semrush Data'!$A$1:$Z$20000,MATCH(A1759,'Semrush Data'!$A$1:$A$20000,0),MATCH("Volume",'Semrush Data'!$A$1:$Z$1,0)),"")</f>
        <v/>
      </c>
      <c r="H1759" s="7" t="str">
        <f aca="false">IFERROR(INDEX('Semrush Data'!$A$1:$Z$20000,MATCH(A1759,'Semrush Data'!$A$1:$A$20000,0),MATCH("Keyword Difficulty*",'Semrush Data'!$A$1:$Z$1,0)),"")</f>
        <v/>
      </c>
      <c r="I1759" s="13" t="str">
        <f aca="false">IFERROR(INDEX('Semrush Data'!$A$1:$Z$20000,MATCH(A1759,'Semrush Data'!$A$1:$A$20000,0),MATCH("CPC*",'Semrush Data'!$A$1:$Z$1,0)),"")</f>
        <v/>
      </c>
      <c r="J1759" s="7" t="str">
        <f aca="false">IFERROR(INDEX('Semrush Data'!$A$1:$Z$20000,MATCH(A1759,'Semrush Data'!$A$1:$A$20000,0),MATCH("Intent",'Semrush Data'!$A$1:$Z$1,0)),"")</f>
        <v/>
      </c>
    </row>
    <row r="1760" customFormat="false" ht="15" hidden="false" customHeight="true" outlineLevel="0" collapsed="false">
      <c r="A1760" s="7" t="s">
        <v>1966</v>
      </c>
      <c r="B1760" s="7" t="s">
        <v>1355</v>
      </c>
      <c r="C1760" s="7" t="n">
        <v>3</v>
      </c>
      <c r="D1760" s="7" t="n">
        <v>18</v>
      </c>
      <c r="E1760" s="7" t="n">
        <v>1</v>
      </c>
      <c r="F1760" s="7" t="s">
        <v>918</v>
      </c>
      <c r="G1760" s="12" t="str">
        <f aca="false">IFERROR(INDEX('Semrush Data'!$A$1:$Z$20000,MATCH(A1760,'Semrush Data'!$A$1:$A$20000,0),MATCH("Volume",'Semrush Data'!$A$1:$Z$1,0)),"")</f>
        <v/>
      </c>
      <c r="H1760" s="7" t="str">
        <f aca="false">IFERROR(INDEX('Semrush Data'!$A$1:$Z$20000,MATCH(A1760,'Semrush Data'!$A$1:$A$20000,0),MATCH("Keyword Difficulty*",'Semrush Data'!$A$1:$Z$1,0)),"")</f>
        <v/>
      </c>
      <c r="I1760" s="13" t="str">
        <f aca="false">IFERROR(INDEX('Semrush Data'!$A$1:$Z$20000,MATCH(A1760,'Semrush Data'!$A$1:$A$20000,0),MATCH("CPC*",'Semrush Data'!$A$1:$Z$1,0)),"")</f>
        <v/>
      </c>
      <c r="J1760" s="7" t="str">
        <f aca="false">IFERROR(INDEX('Semrush Data'!$A$1:$Z$20000,MATCH(A1760,'Semrush Data'!$A$1:$A$20000,0),MATCH("Intent",'Semrush Data'!$A$1:$Z$1,0)),"")</f>
        <v/>
      </c>
    </row>
    <row r="1761" customFormat="false" ht="15" hidden="false" customHeight="true" outlineLevel="0" collapsed="false">
      <c r="A1761" s="7" t="s">
        <v>2272</v>
      </c>
      <c r="B1761" s="7" t="s">
        <v>1355</v>
      </c>
      <c r="C1761" s="7" t="n">
        <v>3</v>
      </c>
      <c r="D1761" s="7" t="n">
        <v>18</v>
      </c>
      <c r="E1761" s="7" t="n">
        <v>1</v>
      </c>
      <c r="F1761" s="7" t="s">
        <v>1224</v>
      </c>
      <c r="G1761" s="12" t="str">
        <f aca="false">IFERROR(INDEX('Semrush Data'!$A$1:$Z$20000,MATCH(A1761,'Semrush Data'!$A$1:$A$20000,0),MATCH("Volume",'Semrush Data'!$A$1:$Z$1,0)),"")</f>
        <v/>
      </c>
      <c r="H1761" s="7" t="str">
        <f aca="false">IFERROR(INDEX('Semrush Data'!$A$1:$Z$20000,MATCH(A1761,'Semrush Data'!$A$1:$A$20000,0),MATCH("Keyword Difficulty*",'Semrush Data'!$A$1:$Z$1,0)),"")</f>
        <v/>
      </c>
      <c r="I1761" s="13" t="str">
        <f aca="false">IFERROR(INDEX('Semrush Data'!$A$1:$Z$20000,MATCH(A1761,'Semrush Data'!$A$1:$A$20000,0),MATCH("CPC*",'Semrush Data'!$A$1:$Z$1,0)),"")</f>
        <v/>
      </c>
      <c r="J1761" s="7" t="str">
        <f aca="false">IFERROR(INDEX('Semrush Data'!$A$1:$Z$20000,MATCH(A1761,'Semrush Data'!$A$1:$A$20000,0),MATCH("Intent",'Semrush Data'!$A$1:$Z$1,0)),"")</f>
        <v/>
      </c>
    </row>
    <row r="1762" customFormat="false" ht="15" hidden="false" customHeight="true" outlineLevel="0" collapsed="false">
      <c r="A1762" s="7" t="s">
        <v>2087</v>
      </c>
      <c r="B1762" s="7" t="s">
        <v>1355</v>
      </c>
      <c r="C1762" s="7" t="n">
        <v>3</v>
      </c>
      <c r="D1762" s="7" t="n">
        <v>18</v>
      </c>
      <c r="E1762" s="7" t="n">
        <v>1</v>
      </c>
      <c r="F1762" s="7" t="s">
        <v>1037</v>
      </c>
      <c r="G1762" s="12" t="str">
        <f aca="false">IFERROR(INDEX('Semrush Data'!$A$1:$Z$20000,MATCH(A1762,'Semrush Data'!$A$1:$A$20000,0),MATCH("Volume",'Semrush Data'!$A$1:$Z$1,0)),"")</f>
        <v/>
      </c>
      <c r="H1762" s="7" t="str">
        <f aca="false">IFERROR(INDEX('Semrush Data'!$A$1:$Z$20000,MATCH(A1762,'Semrush Data'!$A$1:$A$20000,0),MATCH("Keyword Difficulty*",'Semrush Data'!$A$1:$Z$1,0)),"")</f>
        <v/>
      </c>
      <c r="I1762" s="13" t="str">
        <f aca="false">IFERROR(INDEX('Semrush Data'!$A$1:$Z$20000,MATCH(A1762,'Semrush Data'!$A$1:$A$20000,0),MATCH("CPC*",'Semrush Data'!$A$1:$Z$1,0)),"")</f>
        <v/>
      </c>
      <c r="J1762" s="7" t="str">
        <f aca="false">IFERROR(INDEX('Semrush Data'!$A$1:$Z$20000,MATCH(A1762,'Semrush Data'!$A$1:$A$20000,0),MATCH("Intent",'Semrush Data'!$A$1:$Z$1,0)),"")</f>
        <v/>
      </c>
    </row>
    <row r="1763" customFormat="false" ht="15" hidden="false" customHeight="true" outlineLevel="0" collapsed="false">
      <c r="A1763" s="7" t="s">
        <v>2355</v>
      </c>
      <c r="B1763" s="7" t="s">
        <v>1355</v>
      </c>
      <c r="C1763" s="7" t="n">
        <v>3</v>
      </c>
      <c r="D1763" s="7" t="n">
        <v>18</v>
      </c>
      <c r="E1763" s="7" t="n">
        <v>1</v>
      </c>
      <c r="F1763" s="7" t="s">
        <v>1309</v>
      </c>
      <c r="G1763" s="12" t="str">
        <f aca="false">IFERROR(INDEX('Semrush Data'!$A$1:$Z$20000,MATCH(A1763,'Semrush Data'!$A$1:$A$20000,0),MATCH("Volume",'Semrush Data'!$A$1:$Z$1,0)),"")</f>
        <v/>
      </c>
      <c r="H1763" s="7" t="str">
        <f aca="false">IFERROR(INDEX('Semrush Data'!$A$1:$Z$20000,MATCH(A1763,'Semrush Data'!$A$1:$A$20000,0),MATCH("Keyword Difficulty*",'Semrush Data'!$A$1:$Z$1,0)),"")</f>
        <v/>
      </c>
      <c r="I1763" s="13" t="str">
        <f aca="false">IFERROR(INDEX('Semrush Data'!$A$1:$Z$20000,MATCH(A1763,'Semrush Data'!$A$1:$A$20000,0),MATCH("CPC*",'Semrush Data'!$A$1:$Z$1,0)),"")</f>
        <v/>
      </c>
      <c r="J1763" s="7" t="str">
        <f aca="false">IFERROR(INDEX('Semrush Data'!$A$1:$Z$20000,MATCH(A1763,'Semrush Data'!$A$1:$A$20000,0),MATCH("Intent",'Semrush Data'!$A$1:$Z$1,0)),"")</f>
        <v/>
      </c>
    </row>
    <row r="1764" customFormat="false" ht="15" hidden="false" customHeight="true" outlineLevel="0" collapsed="false">
      <c r="A1764" s="7" t="s">
        <v>2054</v>
      </c>
      <c r="B1764" s="7" t="s">
        <v>1355</v>
      </c>
      <c r="C1764" s="7" t="n">
        <v>3</v>
      </c>
      <c r="D1764" s="7" t="n">
        <v>18</v>
      </c>
      <c r="E1764" s="7" t="n">
        <v>1</v>
      </c>
      <c r="F1764" s="7" t="s">
        <v>1006</v>
      </c>
      <c r="G1764" s="12" t="str">
        <f aca="false">IFERROR(INDEX('Semrush Data'!$A$1:$Z$20000,MATCH(A1764,'Semrush Data'!$A$1:$A$20000,0),MATCH("Volume",'Semrush Data'!$A$1:$Z$1,0)),"")</f>
        <v/>
      </c>
      <c r="H1764" s="7" t="str">
        <f aca="false">IFERROR(INDEX('Semrush Data'!$A$1:$Z$20000,MATCH(A1764,'Semrush Data'!$A$1:$A$20000,0),MATCH("Keyword Difficulty*",'Semrush Data'!$A$1:$Z$1,0)),"")</f>
        <v/>
      </c>
      <c r="I1764" s="13" t="str">
        <f aca="false">IFERROR(INDEX('Semrush Data'!$A$1:$Z$20000,MATCH(A1764,'Semrush Data'!$A$1:$A$20000,0),MATCH("CPC*",'Semrush Data'!$A$1:$Z$1,0)),"")</f>
        <v/>
      </c>
      <c r="J1764" s="7" t="str">
        <f aca="false">IFERROR(INDEX('Semrush Data'!$A$1:$Z$20000,MATCH(A1764,'Semrush Data'!$A$1:$A$20000,0),MATCH("Intent",'Semrush Data'!$A$1:$Z$1,0)),"")</f>
        <v/>
      </c>
    </row>
    <row r="1765" customFormat="false" ht="15" hidden="false" customHeight="true" outlineLevel="0" collapsed="false">
      <c r="A1765" s="7" t="s">
        <v>2241</v>
      </c>
      <c r="B1765" s="7" t="s">
        <v>1355</v>
      </c>
      <c r="C1765" s="7" t="n">
        <v>3</v>
      </c>
      <c r="D1765" s="7" t="n">
        <v>18</v>
      </c>
      <c r="E1765" s="7" t="n">
        <v>1</v>
      </c>
      <c r="F1765" s="7" t="s">
        <v>1194</v>
      </c>
      <c r="G1765" s="12" t="str">
        <f aca="false">IFERROR(INDEX('Semrush Data'!$A$1:$Z$20000,MATCH(A1765,'Semrush Data'!$A$1:$A$20000,0),MATCH("Volume",'Semrush Data'!$A$1:$Z$1,0)),"")</f>
        <v/>
      </c>
      <c r="H1765" s="7" t="str">
        <f aca="false">IFERROR(INDEX('Semrush Data'!$A$1:$Z$20000,MATCH(A1765,'Semrush Data'!$A$1:$A$20000,0),MATCH("Keyword Difficulty*",'Semrush Data'!$A$1:$Z$1,0)),"")</f>
        <v/>
      </c>
      <c r="I1765" s="13" t="str">
        <f aca="false">IFERROR(INDEX('Semrush Data'!$A$1:$Z$20000,MATCH(A1765,'Semrush Data'!$A$1:$A$20000,0),MATCH("CPC*",'Semrush Data'!$A$1:$Z$1,0)),"")</f>
        <v/>
      </c>
      <c r="J1765" s="7" t="str">
        <f aca="false">IFERROR(INDEX('Semrush Data'!$A$1:$Z$20000,MATCH(A1765,'Semrush Data'!$A$1:$A$20000,0),MATCH("Intent",'Semrush Data'!$A$1:$Z$1,0)),"")</f>
        <v/>
      </c>
    </row>
    <row r="1766" customFormat="false" ht="15" hidden="false" customHeight="true" outlineLevel="0" collapsed="false">
      <c r="A1766" s="7" t="s">
        <v>2080</v>
      </c>
      <c r="B1766" s="7" t="s">
        <v>1355</v>
      </c>
      <c r="C1766" s="7" t="n">
        <v>3</v>
      </c>
      <c r="D1766" s="7" t="n">
        <v>18</v>
      </c>
      <c r="E1766" s="7" t="n">
        <v>1</v>
      </c>
      <c r="F1766" s="7" t="s">
        <v>1031</v>
      </c>
      <c r="G1766" s="12" t="str">
        <f aca="false">IFERROR(INDEX('Semrush Data'!$A$1:$Z$20000,MATCH(A1766,'Semrush Data'!$A$1:$A$20000,0),MATCH("Volume",'Semrush Data'!$A$1:$Z$1,0)),"")</f>
        <v/>
      </c>
      <c r="H1766" s="7" t="str">
        <f aca="false">IFERROR(INDEX('Semrush Data'!$A$1:$Z$20000,MATCH(A1766,'Semrush Data'!$A$1:$A$20000,0),MATCH("Keyword Difficulty*",'Semrush Data'!$A$1:$Z$1,0)),"")</f>
        <v/>
      </c>
      <c r="I1766" s="13" t="str">
        <f aca="false">IFERROR(INDEX('Semrush Data'!$A$1:$Z$20000,MATCH(A1766,'Semrush Data'!$A$1:$A$20000,0),MATCH("CPC*",'Semrush Data'!$A$1:$Z$1,0)),"")</f>
        <v/>
      </c>
      <c r="J1766" s="7" t="str">
        <f aca="false">IFERROR(INDEX('Semrush Data'!$A$1:$Z$20000,MATCH(A1766,'Semrush Data'!$A$1:$A$20000,0),MATCH("Intent",'Semrush Data'!$A$1:$Z$1,0)),"")</f>
        <v/>
      </c>
    </row>
    <row r="1767" customFormat="false" ht="15" hidden="false" customHeight="true" outlineLevel="0" collapsed="false">
      <c r="A1767" s="7" t="s">
        <v>1993</v>
      </c>
      <c r="B1767" s="7" t="s">
        <v>1355</v>
      </c>
      <c r="C1767" s="7" t="n">
        <v>3</v>
      </c>
      <c r="D1767" s="7" t="n">
        <v>18</v>
      </c>
      <c r="E1767" s="7" t="n">
        <v>1</v>
      </c>
      <c r="F1767" s="7" t="s">
        <v>946</v>
      </c>
      <c r="G1767" s="12" t="str">
        <f aca="false">IFERROR(INDEX('Semrush Data'!$A$1:$Z$20000,MATCH(A1767,'Semrush Data'!$A$1:$A$20000,0),MATCH("Volume",'Semrush Data'!$A$1:$Z$1,0)),"")</f>
        <v/>
      </c>
      <c r="H1767" s="7" t="str">
        <f aca="false">IFERROR(INDEX('Semrush Data'!$A$1:$Z$20000,MATCH(A1767,'Semrush Data'!$A$1:$A$20000,0),MATCH("Keyword Difficulty*",'Semrush Data'!$A$1:$Z$1,0)),"")</f>
        <v/>
      </c>
      <c r="I1767" s="13" t="str">
        <f aca="false">IFERROR(INDEX('Semrush Data'!$A$1:$Z$20000,MATCH(A1767,'Semrush Data'!$A$1:$A$20000,0),MATCH("CPC*",'Semrush Data'!$A$1:$Z$1,0)),"")</f>
        <v/>
      </c>
      <c r="J1767" s="7" t="str">
        <f aca="false">IFERROR(INDEX('Semrush Data'!$A$1:$Z$20000,MATCH(A1767,'Semrush Data'!$A$1:$A$20000,0),MATCH("Intent",'Semrush Data'!$A$1:$Z$1,0)),"")</f>
        <v/>
      </c>
    </row>
    <row r="1768" customFormat="false" ht="15" hidden="false" customHeight="true" outlineLevel="0" collapsed="false">
      <c r="A1768" s="7" t="s">
        <v>2349</v>
      </c>
      <c r="B1768" s="7" t="s">
        <v>1355</v>
      </c>
      <c r="C1768" s="7" t="n">
        <v>3</v>
      </c>
      <c r="D1768" s="7" t="n">
        <v>18</v>
      </c>
      <c r="E1768" s="7" t="n">
        <v>1</v>
      </c>
      <c r="F1768" s="7" t="s">
        <v>1303</v>
      </c>
      <c r="G1768" s="12" t="str">
        <f aca="false">IFERROR(INDEX('Semrush Data'!$A$1:$Z$20000,MATCH(A1768,'Semrush Data'!$A$1:$A$20000,0),MATCH("Volume",'Semrush Data'!$A$1:$Z$1,0)),"")</f>
        <v/>
      </c>
      <c r="H1768" s="7" t="str">
        <f aca="false">IFERROR(INDEX('Semrush Data'!$A$1:$Z$20000,MATCH(A1768,'Semrush Data'!$A$1:$A$20000,0),MATCH("Keyword Difficulty*",'Semrush Data'!$A$1:$Z$1,0)),"")</f>
        <v/>
      </c>
      <c r="I1768" s="13" t="str">
        <f aca="false">IFERROR(INDEX('Semrush Data'!$A$1:$Z$20000,MATCH(A1768,'Semrush Data'!$A$1:$A$20000,0),MATCH("CPC*",'Semrush Data'!$A$1:$Z$1,0)),"")</f>
        <v/>
      </c>
      <c r="J1768" s="7" t="str">
        <f aca="false">IFERROR(INDEX('Semrush Data'!$A$1:$Z$20000,MATCH(A1768,'Semrush Data'!$A$1:$A$20000,0),MATCH("Intent",'Semrush Data'!$A$1:$Z$1,0)),"")</f>
        <v/>
      </c>
    </row>
    <row r="1769" customFormat="false" ht="15" hidden="false" customHeight="true" outlineLevel="0" collapsed="false">
      <c r="A1769" s="7" t="s">
        <v>2367</v>
      </c>
      <c r="B1769" s="7" t="s">
        <v>1355</v>
      </c>
      <c r="C1769" s="7" t="n">
        <v>3</v>
      </c>
      <c r="D1769" s="7" t="n">
        <v>18</v>
      </c>
      <c r="E1769" s="7" t="n">
        <v>1</v>
      </c>
      <c r="F1769" s="7" t="s">
        <v>1321</v>
      </c>
      <c r="G1769" s="12" t="str">
        <f aca="false">IFERROR(INDEX('Semrush Data'!$A$1:$Z$20000,MATCH(A1769,'Semrush Data'!$A$1:$A$20000,0),MATCH("Volume",'Semrush Data'!$A$1:$Z$1,0)),"")</f>
        <v/>
      </c>
      <c r="H1769" s="7" t="str">
        <f aca="false">IFERROR(INDEX('Semrush Data'!$A$1:$Z$20000,MATCH(A1769,'Semrush Data'!$A$1:$A$20000,0),MATCH("Keyword Difficulty*",'Semrush Data'!$A$1:$Z$1,0)),"")</f>
        <v/>
      </c>
      <c r="I1769" s="13" t="str">
        <f aca="false">IFERROR(INDEX('Semrush Data'!$A$1:$Z$20000,MATCH(A1769,'Semrush Data'!$A$1:$A$20000,0),MATCH("CPC*",'Semrush Data'!$A$1:$Z$1,0)),"")</f>
        <v/>
      </c>
      <c r="J1769" s="7" t="str">
        <f aca="false">IFERROR(INDEX('Semrush Data'!$A$1:$Z$20000,MATCH(A1769,'Semrush Data'!$A$1:$A$20000,0),MATCH("Intent",'Semrush Data'!$A$1:$Z$1,0)),"")</f>
        <v/>
      </c>
    </row>
    <row r="1770" customFormat="false" ht="15" hidden="false" customHeight="true" outlineLevel="0" collapsed="false">
      <c r="A1770" s="7" t="s">
        <v>2101</v>
      </c>
      <c r="B1770" s="7" t="s">
        <v>1355</v>
      </c>
      <c r="C1770" s="7" t="n">
        <v>3</v>
      </c>
      <c r="D1770" s="7" t="n">
        <v>18</v>
      </c>
      <c r="E1770" s="7" t="n">
        <v>1</v>
      </c>
      <c r="F1770" s="7" t="s">
        <v>1051</v>
      </c>
      <c r="G1770" s="12" t="str">
        <f aca="false">IFERROR(INDEX('Semrush Data'!$A$1:$Z$20000,MATCH(A1770,'Semrush Data'!$A$1:$A$20000,0),MATCH("Volume",'Semrush Data'!$A$1:$Z$1,0)),"")</f>
        <v/>
      </c>
      <c r="H1770" s="7" t="str">
        <f aca="false">IFERROR(INDEX('Semrush Data'!$A$1:$Z$20000,MATCH(A1770,'Semrush Data'!$A$1:$A$20000,0),MATCH("Keyword Difficulty*",'Semrush Data'!$A$1:$Z$1,0)),"")</f>
        <v/>
      </c>
      <c r="I1770" s="13" t="str">
        <f aca="false">IFERROR(INDEX('Semrush Data'!$A$1:$Z$20000,MATCH(A1770,'Semrush Data'!$A$1:$A$20000,0),MATCH("CPC*",'Semrush Data'!$A$1:$Z$1,0)),"")</f>
        <v/>
      </c>
      <c r="J1770" s="7" t="str">
        <f aca="false">IFERROR(INDEX('Semrush Data'!$A$1:$Z$20000,MATCH(A1770,'Semrush Data'!$A$1:$A$20000,0),MATCH("Intent",'Semrush Data'!$A$1:$Z$1,0)),"")</f>
        <v/>
      </c>
    </row>
    <row r="1771" customFormat="false" ht="15" hidden="false" customHeight="true" outlineLevel="0" collapsed="false">
      <c r="A1771" s="7" t="s">
        <v>1930</v>
      </c>
      <c r="B1771" s="7" t="s">
        <v>1355</v>
      </c>
      <c r="C1771" s="7" t="n">
        <v>3</v>
      </c>
      <c r="D1771" s="7" t="n">
        <v>18</v>
      </c>
      <c r="E1771" s="7" t="n">
        <v>1</v>
      </c>
      <c r="F1771" s="7" t="s">
        <v>885</v>
      </c>
      <c r="G1771" s="12" t="str">
        <f aca="false">IFERROR(INDEX('Semrush Data'!$A$1:$Z$20000,MATCH(A1771,'Semrush Data'!$A$1:$A$20000,0),MATCH("Volume",'Semrush Data'!$A$1:$Z$1,0)),"")</f>
        <v/>
      </c>
      <c r="H1771" s="7" t="str">
        <f aca="false">IFERROR(INDEX('Semrush Data'!$A$1:$Z$20000,MATCH(A1771,'Semrush Data'!$A$1:$A$20000,0),MATCH("Keyword Difficulty*",'Semrush Data'!$A$1:$Z$1,0)),"")</f>
        <v/>
      </c>
      <c r="I1771" s="13" t="str">
        <f aca="false">IFERROR(INDEX('Semrush Data'!$A$1:$Z$20000,MATCH(A1771,'Semrush Data'!$A$1:$A$20000,0),MATCH("CPC*",'Semrush Data'!$A$1:$Z$1,0)),"")</f>
        <v/>
      </c>
      <c r="J1771" s="7" t="str">
        <f aca="false">IFERROR(INDEX('Semrush Data'!$A$1:$Z$20000,MATCH(A1771,'Semrush Data'!$A$1:$A$20000,0),MATCH("Intent",'Semrush Data'!$A$1:$Z$1,0)),"")</f>
        <v/>
      </c>
    </row>
    <row r="1772" customFormat="false" ht="15" hidden="false" customHeight="true" outlineLevel="0" collapsed="false">
      <c r="A1772" s="7" t="s">
        <v>2029</v>
      </c>
      <c r="B1772" s="7" t="s">
        <v>1355</v>
      </c>
      <c r="C1772" s="7" t="n">
        <v>3</v>
      </c>
      <c r="D1772" s="7" t="n">
        <v>18</v>
      </c>
      <c r="E1772" s="7" t="n">
        <v>1</v>
      </c>
      <c r="F1772" s="7" t="s">
        <v>979</v>
      </c>
      <c r="G1772" s="12" t="str">
        <f aca="false">IFERROR(INDEX('Semrush Data'!$A$1:$Z$20000,MATCH(A1772,'Semrush Data'!$A$1:$A$20000,0),MATCH("Volume",'Semrush Data'!$A$1:$Z$1,0)),"")</f>
        <v/>
      </c>
      <c r="H1772" s="7" t="str">
        <f aca="false">IFERROR(INDEX('Semrush Data'!$A$1:$Z$20000,MATCH(A1772,'Semrush Data'!$A$1:$A$20000,0),MATCH("Keyword Difficulty*",'Semrush Data'!$A$1:$Z$1,0)),"")</f>
        <v/>
      </c>
      <c r="I1772" s="13" t="str">
        <f aca="false">IFERROR(INDEX('Semrush Data'!$A$1:$Z$20000,MATCH(A1772,'Semrush Data'!$A$1:$A$20000,0),MATCH("CPC*",'Semrush Data'!$A$1:$Z$1,0)),"")</f>
        <v/>
      </c>
      <c r="J1772" s="7" t="str">
        <f aca="false">IFERROR(INDEX('Semrush Data'!$A$1:$Z$20000,MATCH(A1772,'Semrush Data'!$A$1:$A$20000,0),MATCH("Intent",'Semrush Data'!$A$1:$Z$1,0)),"")</f>
        <v/>
      </c>
    </row>
    <row r="1773" customFormat="false" ht="15" hidden="false" customHeight="true" outlineLevel="0" collapsed="false">
      <c r="A1773" s="7" t="s">
        <v>2175</v>
      </c>
      <c r="B1773" s="7" t="s">
        <v>1355</v>
      </c>
      <c r="C1773" s="7" t="n">
        <v>3</v>
      </c>
      <c r="D1773" s="7" t="n">
        <v>18</v>
      </c>
      <c r="E1773" s="7" t="n">
        <v>1</v>
      </c>
      <c r="F1773" s="7" t="s">
        <v>1125</v>
      </c>
      <c r="G1773" s="12" t="str">
        <f aca="false">IFERROR(INDEX('Semrush Data'!$A$1:$Z$20000,MATCH(A1773,'Semrush Data'!$A$1:$A$20000,0),MATCH("Volume",'Semrush Data'!$A$1:$Z$1,0)),"")</f>
        <v/>
      </c>
      <c r="H1773" s="7" t="str">
        <f aca="false">IFERROR(INDEX('Semrush Data'!$A$1:$Z$20000,MATCH(A1773,'Semrush Data'!$A$1:$A$20000,0),MATCH("Keyword Difficulty*",'Semrush Data'!$A$1:$Z$1,0)),"")</f>
        <v/>
      </c>
      <c r="I1773" s="13" t="str">
        <f aca="false">IFERROR(INDEX('Semrush Data'!$A$1:$Z$20000,MATCH(A1773,'Semrush Data'!$A$1:$A$20000,0),MATCH("CPC*",'Semrush Data'!$A$1:$Z$1,0)),"")</f>
        <v/>
      </c>
      <c r="J1773" s="7" t="str">
        <f aca="false">IFERROR(INDEX('Semrush Data'!$A$1:$Z$20000,MATCH(A1773,'Semrush Data'!$A$1:$A$20000,0),MATCH("Intent",'Semrush Data'!$A$1:$Z$1,0)),"")</f>
        <v/>
      </c>
    </row>
    <row r="1774" customFormat="false" ht="15" hidden="false" customHeight="true" outlineLevel="0" collapsed="false">
      <c r="A1774" s="7" t="s">
        <v>1938</v>
      </c>
      <c r="B1774" s="7" t="s">
        <v>1355</v>
      </c>
      <c r="C1774" s="7" t="n">
        <v>3</v>
      </c>
      <c r="D1774" s="7" t="n">
        <v>18</v>
      </c>
      <c r="E1774" s="7" t="n">
        <v>1</v>
      </c>
      <c r="F1774" s="7" t="s">
        <v>892</v>
      </c>
      <c r="G1774" s="12" t="str">
        <f aca="false">IFERROR(INDEX('Semrush Data'!$A$1:$Z$20000,MATCH(A1774,'Semrush Data'!$A$1:$A$20000,0),MATCH("Volume",'Semrush Data'!$A$1:$Z$1,0)),"")</f>
        <v/>
      </c>
      <c r="H1774" s="7" t="str">
        <f aca="false">IFERROR(INDEX('Semrush Data'!$A$1:$Z$20000,MATCH(A1774,'Semrush Data'!$A$1:$A$20000,0),MATCH("Keyword Difficulty*",'Semrush Data'!$A$1:$Z$1,0)),"")</f>
        <v/>
      </c>
      <c r="I1774" s="13" t="str">
        <f aca="false">IFERROR(INDEX('Semrush Data'!$A$1:$Z$20000,MATCH(A1774,'Semrush Data'!$A$1:$A$20000,0),MATCH("CPC*",'Semrush Data'!$A$1:$Z$1,0)),"")</f>
        <v/>
      </c>
      <c r="J1774" s="7" t="str">
        <f aca="false">IFERROR(INDEX('Semrush Data'!$A$1:$Z$20000,MATCH(A1774,'Semrush Data'!$A$1:$A$20000,0),MATCH("Intent",'Semrush Data'!$A$1:$Z$1,0)),"")</f>
        <v/>
      </c>
    </row>
    <row r="1775" customFormat="false" ht="15" hidden="false" customHeight="true" outlineLevel="0" collapsed="false">
      <c r="A1775" s="7" t="s">
        <v>2168</v>
      </c>
      <c r="B1775" s="7" t="s">
        <v>1355</v>
      </c>
      <c r="C1775" s="7" t="n">
        <v>3</v>
      </c>
      <c r="D1775" s="7" t="n">
        <v>18</v>
      </c>
      <c r="E1775" s="7" t="n">
        <v>1</v>
      </c>
      <c r="F1775" s="7" t="s">
        <v>1118</v>
      </c>
      <c r="G1775" s="12" t="str">
        <f aca="false">IFERROR(INDEX('Semrush Data'!$A$1:$Z$20000,MATCH(A1775,'Semrush Data'!$A$1:$A$20000,0),MATCH("Volume",'Semrush Data'!$A$1:$Z$1,0)),"")</f>
        <v/>
      </c>
      <c r="H1775" s="7" t="str">
        <f aca="false">IFERROR(INDEX('Semrush Data'!$A$1:$Z$20000,MATCH(A1775,'Semrush Data'!$A$1:$A$20000,0),MATCH("Keyword Difficulty*",'Semrush Data'!$A$1:$Z$1,0)),"")</f>
        <v/>
      </c>
      <c r="I1775" s="13" t="str">
        <f aca="false">IFERROR(INDEX('Semrush Data'!$A$1:$Z$20000,MATCH(A1775,'Semrush Data'!$A$1:$A$20000,0),MATCH("CPC*",'Semrush Data'!$A$1:$Z$1,0)),"")</f>
        <v/>
      </c>
      <c r="J1775" s="7" t="str">
        <f aca="false">IFERROR(INDEX('Semrush Data'!$A$1:$Z$20000,MATCH(A1775,'Semrush Data'!$A$1:$A$20000,0),MATCH("Intent",'Semrush Data'!$A$1:$Z$1,0)),"")</f>
        <v/>
      </c>
    </row>
    <row r="1776" customFormat="false" ht="15" hidden="false" customHeight="true" outlineLevel="0" collapsed="false">
      <c r="A1776" s="7" t="s">
        <v>2115</v>
      </c>
      <c r="B1776" s="7" t="s">
        <v>1355</v>
      </c>
      <c r="C1776" s="7" t="n">
        <v>3</v>
      </c>
      <c r="D1776" s="7" t="n">
        <v>18</v>
      </c>
      <c r="E1776" s="7" t="n">
        <v>1</v>
      </c>
      <c r="F1776" s="7" t="s">
        <v>1063</v>
      </c>
      <c r="G1776" s="12" t="str">
        <f aca="false">IFERROR(INDEX('Semrush Data'!$A$1:$Z$20000,MATCH(A1776,'Semrush Data'!$A$1:$A$20000,0),MATCH("Volume",'Semrush Data'!$A$1:$Z$1,0)),"")</f>
        <v/>
      </c>
      <c r="H1776" s="7" t="str">
        <f aca="false">IFERROR(INDEX('Semrush Data'!$A$1:$Z$20000,MATCH(A1776,'Semrush Data'!$A$1:$A$20000,0),MATCH("Keyword Difficulty*",'Semrush Data'!$A$1:$Z$1,0)),"")</f>
        <v/>
      </c>
      <c r="I1776" s="13" t="str">
        <f aca="false">IFERROR(INDEX('Semrush Data'!$A$1:$Z$20000,MATCH(A1776,'Semrush Data'!$A$1:$A$20000,0),MATCH("CPC*",'Semrush Data'!$A$1:$Z$1,0)),"")</f>
        <v/>
      </c>
      <c r="J1776" s="7" t="str">
        <f aca="false">IFERROR(INDEX('Semrush Data'!$A$1:$Z$20000,MATCH(A1776,'Semrush Data'!$A$1:$A$20000,0),MATCH("Intent",'Semrush Data'!$A$1:$Z$1,0)),"")</f>
        <v/>
      </c>
    </row>
    <row r="1777" customFormat="false" ht="15" hidden="false" customHeight="true" outlineLevel="0" collapsed="false">
      <c r="A1777" s="7" t="s">
        <v>2181</v>
      </c>
      <c r="B1777" s="7" t="s">
        <v>1355</v>
      </c>
      <c r="C1777" s="7" t="n">
        <v>3</v>
      </c>
      <c r="D1777" s="7" t="n">
        <v>18</v>
      </c>
      <c r="E1777" s="7" t="n">
        <v>1</v>
      </c>
      <c r="F1777" s="7" t="s">
        <v>1132</v>
      </c>
      <c r="G1777" s="12" t="str">
        <f aca="false">IFERROR(INDEX('Semrush Data'!$A$1:$Z$20000,MATCH(A1777,'Semrush Data'!$A$1:$A$20000,0),MATCH("Volume",'Semrush Data'!$A$1:$Z$1,0)),"")</f>
        <v/>
      </c>
      <c r="H1777" s="7" t="str">
        <f aca="false">IFERROR(INDEX('Semrush Data'!$A$1:$Z$20000,MATCH(A1777,'Semrush Data'!$A$1:$A$20000,0),MATCH("Keyword Difficulty*",'Semrush Data'!$A$1:$Z$1,0)),"")</f>
        <v/>
      </c>
      <c r="I1777" s="13" t="str">
        <f aca="false">IFERROR(INDEX('Semrush Data'!$A$1:$Z$20000,MATCH(A1777,'Semrush Data'!$A$1:$A$20000,0),MATCH("CPC*",'Semrush Data'!$A$1:$Z$1,0)),"")</f>
        <v/>
      </c>
      <c r="J1777" s="7" t="str">
        <f aca="false">IFERROR(INDEX('Semrush Data'!$A$1:$Z$20000,MATCH(A1777,'Semrush Data'!$A$1:$A$20000,0),MATCH("Intent",'Semrush Data'!$A$1:$Z$1,0)),"")</f>
        <v/>
      </c>
    </row>
    <row r="1778" customFormat="false" ht="15" hidden="false" customHeight="true" outlineLevel="0" collapsed="false">
      <c r="A1778" s="7" t="s">
        <v>1953</v>
      </c>
      <c r="B1778" s="7" t="s">
        <v>1355</v>
      </c>
      <c r="C1778" s="7" t="n">
        <v>3</v>
      </c>
      <c r="D1778" s="7" t="n">
        <v>18</v>
      </c>
      <c r="E1778" s="7" t="n">
        <v>1</v>
      </c>
      <c r="F1778" s="7" t="s">
        <v>905</v>
      </c>
      <c r="G1778" s="12" t="str">
        <f aca="false">IFERROR(INDEX('Semrush Data'!$A$1:$Z$20000,MATCH(A1778,'Semrush Data'!$A$1:$A$20000,0),MATCH("Volume",'Semrush Data'!$A$1:$Z$1,0)),"")</f>
        <v/>
      </c>
      <c r="H1778" s="7" t="str">
        <f aca="false">IFERROR(INDEX('Semrush Data'!$A$1:$Z$20000,MATCH(A1778,'Semrush Data'!$A$1:$A$20000,0),MATCH("Keyword Difficulty*",'Semrush Data'!$A$1:$Z$1,0)),"")</f>
        <v/>
      </c>
      <c r="I1778" s="13" t="str">
        <f aca="false">IFERROR(INDEX('Semrush Data'!$A$1:$Z$20000,MATCH(A1778,'Semrush Data'!$A$1:$A$20000,0),MATCH("CPC*",'Semrush Data'!$A$1:$Z$1,0)),"")</f>
        <v/>
      </c>
      <c r="J1778" s="7" t="str">
        <f aca="false">IFERROR(INDEX('Semrush Data'!$A$1:$Z$20000,MATCH(A1778,'Semrush Data'!$A$1:$A$20000,0),MATCH("Intent",'Semrush Data'!$A$1:$Z$1,0)),"")</f>
        <v/>
      </c>
    </row>
    <row r="1779" customFormat="false" ht="15" hidden="false" customHeight="true" outlineLevel="0" collapsed="false">
      <c r="A1779" s="7" t="s">
        <v>2122</v>
      </c>
      <c r="B1779" s="7" t="s">
        <v>1355</v>
      </c>
      <c r="C1779" s="7" t="n">
        <v>3</v>
      </c>
      <c r="D1779" s="7" t="n">
        <v>18</v>
      </c>
      <c r="E1779" s="7" t="n">
        <v>2</v>
      </c>
      <c r="F1779" s="7" t="s">
        <v>6727</v>
      </c>
      <c r="G1779" s="12" t="str">
        <f aca="false">IFERROR(INDEX('Semrush Data'!$A$1:$Z$20000,MATCH(A1779,'Semrush Data'!$A$1:$A$20000,0),MATCH("Volume",'Semrush Data'!$A$1:$Z$1,0)),"")</f>
        <v/>
      </c>
      <c r="H1779" s="7" t="str">
        <f aca="false">IFERROR(INDEX('Semrush Data'!$A$1:$Z$20000,MATCH(A1779,'Semrush Data'!$A$1:$A$20000,0),MATCH("Keyword Difficulty*",'Semrush Data'!$A$1:$Z$1,0)),"")</f>
        <v/>
      </c>
      <c r="I1779" s="13" t="str">
        <f aca="false">IFERROR(INDEX('Semrush Data'!$A$1:$Z$20000,MATCH(A1779,'Semrush Data'!$A$1:$A$20000,0),MATCH("CPC*",'Semrush Data'!$A$1:$Z$1,0)),"")</f>
        <v/>
      </c>
      <c r="J1779" s="7" t="str">
        <f aca="false">IFERROR(INDEX('Semrush Data'!$A$1:$Z$20000,MATCH(A1779,'Semrush Data'!$A$1:$A$20000,0),MATCH("Intent",'Semrush Data'!$A$1:$Z$1,0)),"")</f>
        <v/>
      </c>
    </row>
    <row r="1780" customFormat="false" ht="15" hidden="false" customHeight="true" outlineLevel="0" collapsed="false">
      <c r="A1780" s="7" t="s">
        <v>1960</v>
      </c>
      <c r="B1780" s="7" t="s">
        <v>1355</v>
      </c>
      <c r="C1780" s="7" t="n">
        <v>3</v>
      </c>
      <c r="D1780" s="7" t="n">
        <v>18</v>
      </c>
      <c r="E1780" s="7" t="n">
        <v>1</v>
      </c>
      <c r="F1780" s="7" t="s">
        <v>911</v>
      </c>
      <c r="G1780" s="12" t="str">
        <f aca="false">IFERROR(INDEX('Semrush Data'!$A$1:$Z$20000,MATCH(A1780,'Semrush Data'!$A$1:$A$20000,0),MATCH("Volume",'Semrush Data'!$A$1:$Z$1,0)),"")</f>
        <v/>
      </c>
      <c r="H1780" s="7" t="str">
        <f aca="false">IFERROR(INDEX('Semrush Data'!$A$1:$Z$20000,MATCH(A1780,'Semrush Data'!$A$1:$A$20000,0),MATCH("Keyword Difficulty*",'Semrush Data'!$A$1:$Z$1,0)),"")</f>
        <v/>
      </c>
      <c r="I1780" s="13" t="str">
        <f aca="false">IFERROR(INDEX('Semrush Data'!$A$1:$Z$20000,MATCH(A1780,'Semrush Data'!$A$1:$A$20000,0),MATCH("CPC*",'Semrush Data'!$A$1:$Z$1,0)),"")</f>
        <v/>
      </c>
      <c r="J1780" s="7" t="str">
        <f aca="false">IFERROR(INDEX('Semrush Data'!$A$1:$Z$20000,MATCH(A1780,'Semrush Data'!$A$1:$A$20000,0),MATCH("Intent",'Semrush Data'!$A$1:$Z$1,0)),"")</f>
        <v/>
      </c>
    </row>
    <row r="1781" customFormat="false" ht="15" hidden="false" customHeight="true" outlineLevel="0" collapsed="false">
      <c r="A1781" s="7" t="s">
        <v>2074</v>
      </c>
      <c r="B1781" s="7" t="s">
        <v>1355</v>
      </c>
      <c r="C1781" s="7" t="n">
        <v>3</v>
      </c>
      <c r="D1781" s="7" t="n">
        <v>18</v>
      </c>
      <c r="E1781" s="7" t="n">
        <v>1</v>
      </c>
      <c r="F1781" s="7" t="s">
        <v>1025</v>
      </c>
      <c r="G1781" s="12" t="str">
        <f aca="false">IFERROR(INDEX('Semrush Data'!$A$1:$Z$20000,MATCH(A1781,'Semrush Data'!$A$1:$A$20000,0),MATCH("Volume",'Semrush Data'!$A$1:$Z$1,0)),"")</f>
        <v/>
      </c>
      <c r="H1781" s="7" t="str">
        <f aca="false">IFERROR(INDEX('Semrush Data'!$A$1:$Z$20000,MATCH(A1781,'Semrush Data'!$A$1:$A$20000,0),MATCH("Keyword Difficulty*",'Semrush Data'!$A$1:$Z$1,0)),"")</f>
        <v/>
      </c>
      <c r="I1781" s="13" t="str">
        <f aca="false">IFERROR(INDEX('Semrush Data'!$A$1:$Z$20000,MATCH(A1781,'Semrush Data'!$A$1:$A$20000,0),MATCH("CPC*",'Semrush Data'!$A$1:$Z$1,0)),"")</f>
        <v/>
      </c>
      <c r="J1781" s="7" t="str">
        <f aca="false">IFERROR(INDEX('Semrush Data'!$A$1:$Z$20000,MATCH(A1781,'Semrush Data'!$A$1:$A$20000,0),MATCH("Intent",'Semrush Data'!$A$1:$Z$1,0)),"")</f>
        <v/>
      </c>
    </row>
    <row r="1782" customFormat="false" ht="15" hidden="false" customHeight="true" outlineLevel="0" collapsed="false">
      <c r="A1782" s="7" t="s">
        <v>2319</v>
      </c>
      <c r="B1782" s="7" t="s">
        <v>1355</v>
      </c>
      <c r="C1782" s="7" t="n">
        <v>3</v>
      </c>
      <c r="D1782" s="7" t="n">
        <v>18</v>
      </c>
      <c r="E1782" s="7" t="n">
        <v>1</v>
      </c>
      <c r="F1782" s="7" t="s">
        <v>1272</v>
      </c>
      <c r="G1782" s="12" t="str">
        <f aca="false">IFERROR(INDEX('Semrush Data'!$A$1:$Z$20000,MATCH(A1782,'Semrush Data'!$A$1:$A$20000,0),MATCH("Volume",'Semrush Data'!$A$1:$Z$1,0)),"")</f>
        <v/>
      </c>
      <c r="H1782" s="7" t="str">
        <f aca="false">IFERROR(INDEX('Semrush Data'!$A$1:$Z$20000,MATCH(A1782,'Semrush Data'!$A$1:$A$20000,0),MATCH("Keyword Difficulty*",'Semrush Data'!$A$1:$Z$1,0)),"")</f>
        <v/>
      </c>
      <c r="I1782" s="13" t="str">
        <f aca="false">IFERROR(INDEX('Semrush Data'!$A$1:$Z$20000,MATCH(A1782,'Semrush Data'!$A$1:$A$20000,0),MATCH("CPC*",'Semrush Data'!$A$1:$Z$1,0)),"")</f>
        <v/>
      </c>
      <c r="J1782" s="7" t="str">
        <f aca="false">IFERROR(INDEX('Semrush Data'!$A$1:$Z$20000,MATCH(A1782,'Semrush Data'!$A$1:$A$20000,0),MATCH("Intent",'Semrush Data'!$A$1:$Z$1,0)),"")</f>
        <v/>
      </c>
    </row>
    <row r="1783" customFormat="false" ht="15" hidden="false" customHeight="true" outlineLevel="0" collapsed="false">
      <c r="A1783" s="7" t="s">
        <v>2068</v>
      </c>
      <c r="B1783" s="7" t="s">
        <v>1355</v>
      </c>
      <c r="C1783" s="7" t="n">
        <v>3</v>
      </c>
      <c r="D1783" s="7" t="n">
        <v>18</v>
      </c>
      <c r="E1783" s="7" t="n">
        <v>1</v>
      </c>
      <c r="F1783" s="7" t="s">
        <v>1019</v>
      </c>
      <c r="G1783" s="12" t="str">
        <f aca="false">IFERROR(INDEX('Semrush Data'!$A$1:$Z$20000,MATCH(A1783,'Semrush Data'!$A$1:$A$20000,0),MATCH("Volume",'Semrush Data'!$A$1:$Z$1,0)),"")</f>
        <v/>
      </c>
      <c r="H1783" s="7" t="str">
        <f aca="false">IFERROR(INDEX('Semrush Data'!$A$1:$Z$20000,MATCH(A1783,'Semrush Data'!$A$1:$A$20000,0),MATCH("Keyword Difficulty*",'Semrush Data'!$A$1:$Z$1,0)),"")</f>
        <v/>
      </c>
      <c r="I1783" s="13" t="str">
        <f aca="false">IFERROR(INDEX('Semrush Data'!$A$1:$Z$20000,MATCH(A1783,'Semrush Data'!$A$1:$A$20000,0),MATCH("CPC*",'Semrush Data'!$A$1:$Z$1,0)),"")</f>
        <v/>
      </c>
      <c r="J1783" s="7" t="str">
        <f aca="false">IFERROR(INDEX('Semrush Data'!$A$1:$Z$20000,MATCH(A1783,'Semrush Data'!$A$1:$A$20000,0),MATCH("Intent",'Semrush Data'!$A$1:$Z$1,0)),"")</f>
        <v/>
      </c>
    </row>
    <row r="1784" customFormat="false" ht="15" hidden="false" customHeight="true" outlineLevel="0" collapsed="false">
      <c r="A1784" s="7" t="s">
        <v>2247</v>
      </c>
      <c r="B1784" s="7" t="s">
        <v>1355</v>
      </c>
      <c r="C1784" s="7" t="n">
        <v>3</v>
      </c>
      <c r="D1784" s="7" t="n">
        <v>18</v>
      </c>
      <c r="E1784" s="7" t="n">
        <v>1</v>
      </c>
      <c r="F1784" s="7" t="s">
        <v>1200</v>
      </c>
      <c r="G1784" s="12" t="str">
        <f aca="false">IFERROR(INDEX('Semrush Data'!$A$1:$Z$20000,MATCH(A1784,'Semrush Data'!$A$1:$A$20000,0),MATCH("Volume",'Semrush Data'!$A$1:$Z$1,0)),"")</f>
        <v/>
      </c>
      <c r="H1784" s="7" t="str">
        <f aca="false">IFERROR(INDEX('Semrush Data'!$A$1:$Z$20000,MATCH(A1784,'Semrush Data'!$A$1:$A$20000,0),MATCH("Keyword Difficulty*",'Semrush Data'!$A$1:$Z$1,0)),"")</f>
        <v/>
      </c>
      <c r="I1784" s="13" t="str">
        <f aca="false">IFERROR(INDEX('Semrush Data'!$A$1:$Z$20000,MATCH(A1784,'Semrush Data'!$A$1:$A$20000,0),MATCH("CPC*",'Semrush Data'!$A$1:$Z$1,0)),"")</f>
        <v/>
      </c>
      <c r="J1784" s="7" t="str">
        <f aca="false">IFERROR(INDEX('Semrush Data'!$A$1:$Z$20000,MATCH(A1784,'Semrush Data'!$A$1:$A$20000,0),MATCH("Intent",'Semrush Data'!$A$1:$Z$1,0)),"")</f>
        <v/>
      </c>
    </row>
    <row r="1785" customFormat="false" ht="15" hidden="false" customHeight="true" outlineLevel="0" collapsed="false">
      <c r="A1785" s="7" t="s">
        <v>2188</v>
      </c>
      <c r="B1785" s="7" t="s">
        <v>1355</v>
      </c>
      <c r="C1785" s="7" t="n">
        <v>3</v>
      </c>
      <c r="D1785" s="7" t="n">
        <v>18</v>
      </c>
      <c r="E1785" s="7" t="n">
        <v>1</v>
      </c>
      <c r="F1785" s="7" t="s">
        <v>1139</v>
      </c>
      <c r="G1785" s="12" t="str">
        <f aca="false">IFERROR(INDEX('Semrush Data'!$A$1:$Z$20000,MATCH(A1785,'Semrush Data'!$A$1:$A$20000,0),MATCH("Volume",'Semrush Data'!$A$1:$Z$1,0)),"")</f>
        <v/>
      </c>
      <c r="H1785" s="7" t="str">
        <f aca="false">IFERROR(INDEX('Semrush Data'!$A$1:$Z$20000,MATCH(A1785,'Semrush Data'!$A$1:$A$20000,0),MATCH("Keyword Difficulty*",'Semrush Data'!$A$1:$Z$1,0)),"")</f>
        <v/>
      </c>
      <c r="I1785" s="13" t="str">
        <f aca="false">IFERROR(INDEX('Semrush Data'!$A$1:$Z$20000,MATCH(A1785,'Semrush Data'!$A$1:$A$20000,0),MATCH("CPC*",'Semrush Data'!$A$1:$Z$1,0)),"")</f>
        <v/>
      </c>
      <c r="J1785" s="7" t="str">
        <f aca="false">IFERROR(INDEX('Semrush Data'!$A$1:$Z$20000,MATCH(A1785,'Semrush Data'!$A$1:$A$20000,0),MATCH("Intent",'Semrush Data'!$A$1:$Z$1,0)),"")</f>
        <v/>
      </c>
    </row>
    <row r="1786" customFormat="false" ht="15" hidden="false" customHeight="true" outlineLevel="0" collapsed="false">
      <c r="A1786" s="7" t="s">
        <v>2061</v>
      </c>
      <c r="B1786" s="7" t="s">
        <v>1355</v>
      </c>
      <c r="C1786" s="7" t="n">
        <v>3</v>
      </c>
      <c r="D1786" s="7" t="n">
        <v>18</v>
      </c>
      <c r="E1786" s="7" t="n">
        <v>1</v>
      </c>
      <c r="F1786" s="7" t="s">
        <v>1013</v>
      </c>
      <c r="G1786" s="12" t="str">
        <f aca="false">IFERROR(INDEX('Semrush Data'!$A$1:$Z$20000,MATCH(A1786,'Semrush Data'!$A$1:$A$20000,0),MATCH("Volume",'Semrush Data'!$A$1:$Z$1,0)),"")</f>
        <v/>
      </c>
      <c r="H1786" s="7" t="str">
        <f aca="false">IFERROR(INDEX('Semrush Data'!$A$1:$Z$20000,MATCH(A1786,'Semrush Data'!$A$1:$A$20000,0),MATCH("Keyword Difficulty*",'Semrush Data'!$A$1:$Z$1,0)),"")</f>
        <v/>
      </c>
      <c r="I1786" s="13" t="str">
        <f aca="false">IFERROR(INDEX('Semrush Data'!$A$1:$Z$20000,MATCH(A1786,'Semrush Data'!$A$1:$A$20000,0),MATCH("CPC*",'Semrush Data'!$A$1:$Z$1,0)),"")</f>
        <v/>
      </c>
      <c r="J1786" s="7" t="str">
        <f aca="false">IFERROR(INDEX('Semrush Data'!$A$1:$Z$20000,MATCH(A1786,'Semrush Data'!$A$1:$A$20000,0),MATCH("Intent",'Semrush Data'!$A$1:$Z$1,0)),"")</f>
        <v/>
      </c>
    </row>
    <row r="1787" customFormat="false" ht="15" hidden="false" customHeight="true" outlineLevel="0" collapsed="false">
      <c r="A1787" s="7" t="s">
        <v>2008</v>
      </c>
      <c r="B1787" s="7" t="s">
        <v>1355</v>
      </c>
      <c r="C1787" s="7" t="n">
        <v>3</v>
      </c>
      <c r="D1787" s="7" t="n">
        <v>18</v>
      </c>
      <c r="E1787" s="7" t="n">
        <v>1</v>
      </c>
      <c r="F1787" s="7" t="s">
        <v>961</v>
      </c>
      <c r="G1787" s="12" t="str">
        <f aca="false">IFERROR(INDEX('Semrush Data'!$A$1:$Z$20000,MATCH(A1787,'Semrush Data'!$A$1:$A$20000,0),MATCH("Volume",'Semrush Data'!$A$1:$Z$1,0)),"")</f>
        <v/>
      </c>
      <c r="H1787" s="7" t="str">
        <f aca="false">IFERROR(INDEX('Semrush Data'!$A$1:$Z$20000,MATCH(A1787,'Semrush Data'!$A$1:$A$20000,0),MATCH("Keyword Difficulty*",'Semrush Data'!$A$1:$Z$1,0)),"")</f>
        <v/>
      </c>
      <c r="I1787" s="13" t="str">
        <f aca="false">IFERROR(INDEX('Semrush Data'!$A$1:$Z$20000,MATCH(A1787,'Semrush Data'!$A$1:$A$20000,0),MATCH("CPC*",'Semrush Data'!$A$1:$Z$1,0)),"")</f>
        <v/>
      </c>
      <c r="J1787" s="7" t="str">
        <f aca="false">IFERROR(INDEX('Semrush Data'!$A$1:$Z$20000,MATCH(A1787,'Semrush Data'!$A$1:$A$20000,0),MATCH("Intent",'Semrush Data'!$A$1:$Z$1,0)),"")</f>
        <v/>
      </c>
    </row>
    <row r="1788" customFormat="false" ht="15" hidden="false" customHeight="true" outlineLevel="0" collapsed="false">
      <c r="A1788" s="7" t="s">
        <v>2215</v>
      </c>
      <c r="B1788" s="7" t="s">
        <v>1355</v>
      </c>
      <c r="C1788" s="7" t="n">
        <v>3</v>
      </c>
      <c r="D1788" s="7" t="n">
        <v>18</v>
      </c>
      <c r="E1788" s="7" t="n">
        <v>1</v>
      </c>
      <c r="F1788" s="7" t="s">
        <v>1166</v>
      </c>
      <c r="G1788" s="12" t="str">
        <f aca="false">IFERROR(INDEX('Semrush Data'!$A$1:$Z$20000,MATCH(A1788,'Semrush Data'!$A$1:$A$20000,0),MATCH("Volume",'Semrush Data'!$A$1:$Z$1,0)),"")</f>
        <v/>
      </c>
      <c r="H1788" s="7" t="str">
        <f aca="false">IFERROR(INDEX('Semrush Data'!$A$1:$Z$20000,MATCH(A1788,'Semrush Data'!$A$1:$A$20000,0),MATCH("Keyword Difficulty*",'Semrush Data'!$A$1:$Z$1,0)),"")</f>
        <v/>
      </c>
      <c r="I1788" s="13" t="str">
        <f aca="false">IFERROR(INDEX('Semrush Data'!$A$1:$Z$20000,MATCH(A1788,'Semrush Data'!$A$1:$A$20000,0),MATCH("CPC*",'Semrush Data'!$A$1:$Z$1,0)),"")</f>
        <v/>
      </c>
      <c r="J1788" s="7" t="str">
        <f aca="false">IFERROR(INDEX('Semrush Data'!$A$1:$Z$20000,MATCH(A1788,'Semrush Data'!$A$1:$A$20000,0),MATCH("Intent",'Semrush Data'!$A$1:$Z$1,0)),"")</f>
        <v/>
      </c>
    </row>
    <row r="1789" customFormat="false" ht="15" hidden="false" customHeight="true" outlineLevel="0" collapsed="false">
      <c r="A1789" s="7" t="s">
        <v>2046</v>
      </c>
      <c r="B1789" s="7" t="s">
        <v>1355</v>
      </c>
      <c r="C1789" s="7" t="n">
        <v>3</v>
      </c>
      <c r="D1789" s="7" t="n">
        <v>18</v>
      </c>
      <c r="E1789" s="7" t="n">
        <v>1</v>
      </c>
      <c r="F1789" s="7" t="s">
        <v>999</v>
      </c>
      <c r="G1789" s="12" t="str">
        <f aca="false">IFERROR(INDEX('Semrush Data'!$A$1:$Z$20000,MATCH(A1789,'Semrush Data'!$A$1:$A$20000,0),MATCH("Volume",'Semrush Data'!$A$1:$Z$1,0)),"")</f>
        <v/>
      </c>
      <c r="H1789" s="7" t="str">
        <f aca="false">IFERROR(INDEX('Semrush Data'!$A$1:$Z$20000,MATCH(A1789,'Semrush Data'!$A$1:$A$20000,0),MATCH("Keyword Difficulty*",'Semrush Data'!$A$1:$Z$1,0)),"")</f>
        <v/>
      </c>
      <c r="I1789" s="13" t="str">
        <f aca="false">IFERROR(INDEX('Semrush Data'!$A$1:$Z$20000,MATCH(A1789,'Semrush Data'!$A$1:$A$20000,0),MATCH("CPC*",'Semrush Data'!$A$1:$Z$1,0)),"")</f>
        <v/>
      </c>
      <c r="J1789" s="7" t="str">
        <f aca="false">IFERROR(INDEX('Semrush Data'!$A$1:$Z$20000,MATCH(A1789,'Semrush Data'!$A$1:$A$20000,0),MATCH("Intent",'Semrush Data'!$A$1:$Z$1,0)),"")</f>
        <v/>
      </c>
    </row>
    <row r="1790" customFormat="false" ht="15" hidden="false" customHeight="true" outlineLevel="0" collapsed="false">
      <c r="A1790" s="7" t="s">
        <v>2021</v>
      </c>
      <c r="B1790" s="7" t="s">
        <v>1355</v>
      </c>
      <c r="C1790" s="7" t="n">
        <v>3</v>
      </c>
      <c r="D1790" s="7" t="n">
        <v>18</v>
      </c>
      <c r="E1790" s="7" t="n">
        <v>1</v>
      </c>
      <c r="F1790" s="7" t="s">
        <v>973</v>
      </c>
      <c r="G1790" s="12" t="str">
        <f aca="false">IFERROR(INDEX('Semrush Data'!$A$1:$Z$20000,MATCH(A1790,'Semrush Data'!$A$1:$A$20000,0),MATCH("Volume",'Semrush Data'!$A$1:$Z$1,0)),"")</f>
        <v/>
      </c>
      <c r="H1790" s="7" t="str">
        <f aca="false">IFERROR(INDEX('Semrush Data'!$A$1:$Z$20000,MATCH(A1790,'Semrush Data'!$A$1:$A$20000,0),MATCH("Keyword Difficulty*",'Semrush Data'!$A$1:$Z$1,0)),"")</f>
        <v/>
      </c>
      <c r="I1790" s="13" t="str">
        <f aca="false">IFERROR(INDEX('Semrush Data'!$A$1:$Z$20000,MATCH(A1790,'Semrush Data'!$A$1:$A$20000,0),MATCH("CPC*",'Semrush Data'!$A$1:$Z$1,0)),"")</f>
        <v/>
      </c>
      <c r="J1790" s="7" t="str">
        <f aca="false">IFERROR(INDEX('Semrush Data'!$A$1:$Z$20000,MATCH(A1790,'Semrush Data'!$A$1:$A$20000,0),MATCH("Intent",'Semrush Data'!$A$1:$Z$1,0)),"")</f>
        <v/>
      </c>
    </row>
    <row r="1791" customFormat="false" ht="15" hidden="false" customHeight="true" outlineLevel="0" collapsed="false">
      <c r="A1791" s="7" t="s">
        <v>2014</v>
      </c>
      <c r="B1791" s="7" t="s">
        <v>1355</v>
      </c>
      <c r="C1791" s="7" t="n">
        <v>3</v>
      </c>
      <c r="D1791" s="7" t="n">
        <v>18</v>
      </c>
      <c r="E1791" s="7" t="n">
        <v>1</v>
      </c>
      <c r="F1791" s="7" t="s">
        <v>967</v>
      </c>
      <c r="G1791" s="12" t="str">
        <f aca="false">IFERROR(INDEX('Semrush Data'!$A$1:$Z$20000,MATCH(A1791,'Semrush Data'!$A$1:$A$20000,0),MATCH("Volume",'Semrush Data'!$A$1:$Z$1,0)),"")</f>
        <v/>
      </c>
      <c r="H1791" s="7" t="str">
        <f aca="false">IFERROR(INDEX('Semrush Data'!$A$1:$Z$20000,MATCH(A1791,'Semrush Data'!$A$1:$A$20000,0),MATCH("Keyword Difficulty*",'Semrush Data'!$A$1:$Z$1,0)),"")</f>
        <v/>
      </c>
      <c r="I1791" s="13" t="str">
        <f aca="false">IFERROR(INDEX('Semrush Data'!$A$1:$Z$20000,MATCH(A1791,'Semrush Data'!$A$1:$A$20000,0),MATCH("CPC*",'Semrush Data'!$A$1:$Z$1,0)),"")</f>
        <v/>
      </c>
      <c r="J1791" s="7" t="str">
        <f aca="false">IFERROR(INDEX('Semrush Data'!$A$1:$Z$20000,MATCH(A1791,'Semrush Data'!$A$1:$A$20000,0),MATCH("Intent",'Semrush Data'!$A$1:$Z$1,0)),"")</f>
        <v/>
      </c>
    </row>
    <row r="1792" customFormat="false" ht="15" hidden="false" customHeight="true" outlineLevel="0" collapsed="false">
      <c r="A1792" s="7" t="s">
        <v>2228</v>
      </c>
      <c r="B1792" s="7" t="s">
        <v>1355</v>
      </c>
      <c r="C1792" s="7" t="n">
        <v>3</v>
      </c>
      <c r="D1792" s="7" t="n">
        <v>18</v>
      </c>
      <c r="E1792" s="7" t="n">
        <v>1</v>
      </c>
      <c r="F1792" s="7" t="s">
        <v>1179</v>
      </c>
      <c r="G1792" s="12" t="str">
        <f aca="false">IFERROR(INDEX('Semrush Data'!$A$1:$Z$20000,MATCH(A1792,'Semrush Data'!$A$1:$A$20000,0),MATCH("Volume",'Semrush Data'!$A$1:$Z$1,0)),"")</f>
        <v/>
      </c>
      <c r="H1792" s="7" t="str">
        <f aca="false">IFERROR(INDEX('Semrush Data'!$A$1:$Z$20000,MATCH(A1792,'Semrush Data'!$A$1:$A$20000,0),MATCH("Keyword Difficulty*",'Semrush Data'!$A$1:$Z$1,0)),"")</f>
        <v/>
      </c>
      <c r="I1792" s="13" t="str">
        <f aca="false">IFERROR(INDEX('Semrush Data'!$A$1:$Z$20000,MATCH(A1792,'Semrush Data'!$A$1:$A$20000,0),MATCH("CPC*",'Semrush Data'!$A$1:$Z$1,0)),"")</f>
        <v/>
      </c>
      <c r="J1792" s="7" t="str">
        <f aca="false">IFERROR(INDEX('Semrush Data'!$A$1:$Z$20000,MATCH(A1792,'Semrush Data'!$A$1:$A$20000,0),MATCH("Intent",'Semrush Data'!$A$1:$Z$1,0)),"")</f>
        <v/>
      </c>
    </row>
    <row r="1793" customFormat="false" ht="15" hidden="false" customHeight="true" outlineLevel="0" collapsed="false">
      <c r="A1793" s="7" t="s">
        <v>2001</v>
      </c>
      <c r="B1793" s="7" t="s">
        <v>1355</v>
      </c>
      <c r="C1793" s="7" t="n">
        <v>3</v>
      </c>
      <c r="D1793" s="7" t="n">
        <v>18</v>
      </c>
      <c r="E1793" s="7" t="n">
        <v>1</v>
      </c>
      <c r="F1793" s="7" t="s">
        <v>954</v>
      </c>
      <c r="G1793" s="12" t="str">
        <f aca="false">IFERROR(INDEX('Semrush Data'!$A$1:$Z$20000,MATCH(A1793,'Semrush Data'!$A$1:$A$20000,0),MATCH("Volume",'Semrush Data'!$A$1:$Z$1,0)),"")</f>
        <v/>
      </c>
      <c r="H1793" s="7" t="str">
        <f aca="false">IFERROR(INDEX('Semrush Data'!$A$1:$Z$20000,MATCH(A1793,'Semrush Data'!$A$1:$A$20000,0),MATCH("Keyword Difficulty*",'Semrush Data'!$A$1:$Z$1,0)),"")</f>
        <v/>
      </c>
      <c r="I1793" s="13" t="str">
        <f aca="false">IFERROR(INDEX('Semrush Data'!$A$1:$Z$20000,MATCH(A1793,'Semrush Data'!$A$1:$A$20000,0),MATCH("CPC*",'Semrush Data'!$A$1:$Z$1,0)),"")</f>
        <v/>
      </c>
      <c r="J1793" s="7" t="str">
        <f aca="false">IFERROR(INDEX('Semrush Data'!$A$1:$Z$20000,MATCH(A1793,'Semrush Data'!$A$1:$A$20000,0),MATCH("Intent",'Semrush Data'!$A$1:$Z$1,0)),"")</f>
        <v/>
      </c>
    </row>
    <row r="1794" customFormat="false" ht="15" hidden="false" customHeight="true" outlineLevel="0" collapsed="false">
      <c r="A1794" s="7" t="s">
        <v>2254</v>
      </c>
      <c r="B1794" s="7" t="s">
        <v>1355</v>
      </c>
      <c r="C1794" s="7" t="n">
        <v>3</v>
      </c>
      <c r="D1794" s="7" t="n">
        <v>18</v>
      </c>
      <c r="E1794" s="7" t="n">
        <v>1</v>
      </c>
      <c r="F1794" s="7" t="s">
        <v>1206</v>
      </c>
      <c r="G1794" s="12" t="str">
        <f aca="false">IFERROR(INDEX('Semrush Data'!$A$1:$Z$20000,MATCH(A1794,'Semrush Data'!$A$1:$A$20000,0),MATCH("Volume",'Semrush Data'!$A$1:$Z$1,0)),"")</f>
        <v/>
      </c>
      <c r="H1794" s="7" t="str">
        <f aca="false">IFERROR(INDEX('Semrush Data'!$A$1:$Z$20000,MATCH(A1794,'Semrush Data'!$A$1:$A$20000,0),MATCH("Keyword Difficulty*",'Semrush Data'!$A$1:$Z$1,0)),"")</f>
        <v/>
      </c>
      <c r="I1794" s="13" t="str">
        <f aca="false">IFERROR(INDEX('Semrush Data'!$A$1:$Z$20000,MATCH(A1794,'Semrush Data'!$A$1:$A$20000,0),MATCH("CPC*",'Semrush Data'!$A$1:$Z$1,0)),"")</f>
        <v/>
      </c>
      <c r="J1794" s="7" t="str">
        <f aca="false">IFERROR(INDEX('Semrush Data'!$A$1:$Z$20000,MATCH(A1794,'Semrush Data'!$A$1:$A$20000,0),MATCH("Intent",'Semrush Data'!$A$1:$Z$1,0)),"")</f>
        <v/>
      </c>
    </row>
    <row r="1795" customFormat="false" ht="15" hidden="false" customHeight="true" outlineLevel="0" collapsed="false">
      <c r="A1795" s="7" t="s">
        <v>1980</v>
      </c>
      <c r="B1795" s="7" t="s">
        <v>1355</v>
      </c>
      <c r="C1795" s="7" t="n">
        <v>3</v>
      </c>
      <c r="D1795" s="7" t="n">
        <v>18</v>
      </c>
      <c r="E1795" s="7" t="n">
        <v>1</v>
      </c>
      <c r="F1795" s="7" t="s">
        <v>932</v>
      </c>
      <c r="G1795" s="12" t="str">
        <f aca="false">IFERROR(INDEX('Semrush Data'!$A$1:$Z$20000,MATCH(A1795,'Semrush Data'!$A$1:$A$20000,0),MATCH("Volume",'Semrush Data'!$A$1:$Z$1,0)),"")</f>
        <v/>
      </c>
      <c r="H1795" s="7" t="str">
        <f aca="false">IFERROR(INDEX('Semrush Data'!$A$1:$Z$20000,MATCH(A1795,'Semrush Data'!$A$1:$A$20000,0),MATCH("Keyword Difficulty*",'Semrush Data'!$A$1:$Z$1,0)),"")</f>
        <v/>
      </c>
      <c r="I1795" s="13" t="str">
        <f aca="false">IFERROR(INDEX('Semrush Data'!$A$1:$Z$20000,MATCH(A1795,'Semrush Data'!$A$1:$A$20000,0),MATCH("CPC*",'Semrush Data'!$A$1:$Z$1,0)),"")</f>
        <v/>
      </c>
      <c r="J1795" s="7" t="str">
        <f aca="false">IFERROR(INDEX('Semrush Data'!$A$1:$Z$20000,MATCH(A1795,'Semrush Data'!$A$1:$A$20000,0),MATCH("Intent",'Semrush Data'!$A$1:$Z$1,0)),"")</f>
        <v/>
      </c>
    </row>
    <row r="1796" customFormat="false" ht="15" hidden="false" customHeight="true" outlineLevel="0" collapsed="false">
      <c r="A1796" s="7" t="s">
        <v>1987</v>
      </c>
      <c r="B1796" s="7" t="s">
        <v>1355</v>
      </c>
      <c r="C1796" s="7" t="n">
        <v>3</v>
      </c>
      <c r="D1796" s="7" t="n">
        <v>18</v>
      </c>
      <c r="E1796" s="7" t="n">
        <v>1</v>
      </c>
      <c r="F1796" s="7" t="s">
        <v>939</v>
      </c>
      <c r="G1796" s="12" t="str">
        <f aca="false">IFERROR(INDEX('Semrush Data'!$A$1:$Z$20000,MATCH(A1796,'Semrush Data'!$A$1:$A$20000,0),MATCH("Volume",'Semrush Data'!$A$1:$Z$1,0)),"")</f>
        <v/>
      </c>
      <c r="H1796" s="7" t="str">
        <f aca="false">IFERROR(INDEX('Semrush Data'!$A$1:$Z$20000,MATCH(A1796,'Semrush Data'!$A$1:$A$20000,0),MATCH("Keyword Difficulty*",'Semrush Data'!$A$1:$Z$1,0)),"")</f>
        <v/>
      </c>
      <c r="I1796" s="13" t="str">
        <f aca="false">IFERROR(INDEX('Semrush Data'!$A$1:$Z$20000,MATCH(A1796,'Semrush Data'!$A$1:$A$20000,0),MATCH("CPC*",'Semrush Data'!$A$1:$Z$1,0)),"")</f>
        <v/>
      </c>
      <c r="J1796" s="7" t="str">
        <f aca="false">IFERROR(INDEX('Semrush Data'!$A$1:$Z$20000,MATCH(A1796,'Semrush Data'!$A$1:$A$20000,0),MATCH("Intent",'Semrush Data'!$A$1:$Z$1,0)),"")</f>
        <v/>
      </c>
    </row>
    <row r="1797" customFormat="false" ht="15" hidden="false" customHeight="true" outlineLevel="0" collapsed="false">
      <c r="A1797" s="7" t="s">
        <v>3496</v>
      </c>
      <c r="B1797" s="7" t="s">
        <v>1355</v>
      </c>
      <c r="C1797" s="7" t="n">
        <v>3</v>
      </c>
      <c r="D1797" s="7" t="n">
        <v>18</v>
      </c>
      <c r="E1797" s="7" t="n">
        <v>1</v>
      </c>
      <c r="F1797" s="7" t="s">
        <v>3491</v>
      </c>
      <c r="G1797" s="12" t="str">
        <f aca="false">IFERROR(INDEX('Semrush Data'!$A$1:$Z$20000,MATCH(A1797,'Semrush Data'!$A$1:$A$20000,0),MATCH("Volume",'Semrush Data'!$A$1:$Z$1,0)),"")</f>
        <v/>
      </c>
      <c r="H1797" s="7" t="str">
        <f aca="false">IFERROR(INDEX('Semrush Data'!$A$1:$Z$20000,MATCH(A1797,'Semrush Data'!$A$1:$A$20000,0),MATCH("Keyword Difficulty*",'Semrush Data'!$A$1:$Z$1,0)),"")</f>
        <v/>
      </c>
      <c r="I1797" s="13" t="str">
        <f aca="false">IFERROR(INDEX('Semrush Data'!$A$1:$Z$20000,MATCH(A1797,'Semrush Data'!$A$1:$A$20000,0),MATCH("CPC*",'Semrush Data'!$A$1:$Z$1,0)),"")</f>
        <v/>
      </c>
      <c r="J1797" s="7" t="str">
        <f aca="false">IFERROR(INDEX('Semrush Data'!$A$1:$Z$20000,MATCH(A1797,'Semrush Data'!$A$1:$A$20000,0),MATCH("Intent",'Semrush Data'!$A$1:$Z$1,0)),"")</f>
        <v/>
      </c>
    </row>
    <row r="1798" customFormat="false" ht="15" hidden="false" customHeight="true" outlineLevel="0" collapsed="false">
      <c r="A1798" s="7" t="s">
        <v>3483</v>
      </c>
      <c r="B1798" s="7" t="s">
        <v>1355</v>
      </c>
      <c r="C1798" s="7" t="n">
        <v>3</v>
      </c>
      <c r="D1798" s="7" t="n">
        <v>18</v>
      </c>
      <c r="E1798" s="7" t="n">
        <v>1</v>
      </c>
      <c r="F1798" s="7" t="s">
        <v>3478</v>
      </c>
      <c r="G1798" s="12" t="str">
        <f aca="false">IFERROR(INDEX('Semrush Data'!$A$1:$Z$20000,MATCH(A1798,'Semrush Data'!$A$1:$A$20000,0),MATCH("Volume",'Semrush Data'!$A$1:$Z$1,0)),"")</f>
        <v/>
      </c>
      <c r="H1798" s="7" t="str">
        <f aca="false">IFERROR(INDEX('Semrush Data'!$A$1:$Z$20000,MATCH(A1798,'Semrush Data'!$A$1:$A$20000,0),MATCH("Keyword Difficulty*",'Semrush Data'!$A$1:$Z$1,0)),"")</f>
        <v/>
      </c>
      <c r="I1798" s="13" t="str">
        <f aca="false">IFERROR(INDEX('Semrush Data'!$A$1:$Z$20000,MATCH(A1798,'Semrush Data'!$A$1:$A$20000,0),MATCH("CPC*",'Semrush Data'!$A$1:$Z$1,0)),"")</f>
        <v/>
      </c>
      <c r="J1798" s="7" t="str">
        <f aca="false">IFERROR(INDEX('Semrush Data'!$A$1:$Z$20000,MATCH(A1798,'Semrush Data'!$A$1:$A$20000,0),MATCH("Intent",'Semrush Data'!$A$1:$Z$1,0)),"")</f>
        <v/>
      </c>
    </row>
    <row r="1799" customFormat="false" ht="15" hidden="false" customHeight="true" outlineLevel="0" collapsed="false">
      <c r="A1799" s="7" t="s">
        <v>3504</v>
      </c>
      <c r="B1799" s="7" t="s">
        <v>1355</v>
      </c>
      <c r="C1799" s="7" t="n">
        <v>3</v>
      </c>
      <c r="D1799" s="7" t="s">
        <v>6818</v>
      </c>
      <c r="E1799" s="7" t="n">
        <v>1</v>
      </c>
      <c r="F1799" s="7" t="s">
        <v>45</v>
      </c>
      <c r="G1799" s="12" t="str">
        <f aca="false">IFERROR(INDEX('Semrush Data'!$A$1:$Z$20000,MATCH(A1799,'Semrush Data'!$A$1:$A$20000,0),MATCH("Volume",'Semrush Data'!$A$1:$Z$1,0)),"")</f>
        <v/>
      </c>
      <c r="H1799" s="7" t="str">
        <f aca="false">IFERROR(INDEX('Semrush Data'!$A$1:$Z$20000,MATCH(A1799,'Semrush Data'!$A$1:$A$20000,0),MATCH("Keyword Difficulty*",'Semrush Data'!$A$1:$Z$1,0)),"")</f>
        <v/>
      </c>
      <c r="I1799" s="13" t="str">
        <f aca="false">IFERROR(INDEX('Semrush Data'!$A$1:$Z$20000,MATCH(A1799,'Semrush Data'!$A$1:$A$20000,0),MATCH("CPC*",'Semrush Data'!$A$1:$Z$1,0)),"")</f>
        <v/>
      </c>
      <c r="J1799" s="7" t="str">
        <f aca="false">IFERROR(INDEX('Semrush Data'!$A$1:$Z$20000,MATCH(A1799,'Semrush Data'!$A$1:$A$20000,0),MATCH("Intent",'Semrush Data'!$A$1:$Z$1,0)),"")</f>
        <v/>
      </c>
    </row>
    <row r="1800" customFormat="false" ht="15" hidden="false" customHeight="true" outlineLevel="0" collapsed="false">
      <c r="A1800" s="7" t="s">
        <v>3540</v>
      </c>
      <c r="B1800" s="7" t="s">
        <v>1355</v>
      </c>
      <c r="C1800" s="7" t="n">
        <v>3</v>
      </c>
      <c r="D1800" s="7" t="n">
        <v>18</v>
      </c>
      <c r="E1800" s="7" t="n">
        <v>1</v>
      </c>
      <c r="F1800" s="7" t="s">
        <v>3534</v>
      </c>
      <c r="G1800" s="12" t="str">
        <f aca="false">IFERROR(INDEX('Semrush Data'!$A$1:$Z$20000,MATCH(A1800,'Semrush Data'!$A$1:$A$20000,0),MATCH("Volume",'Semrush Data'!$A$1:$Z$1,0)),"")</f>
        <v/>
      </c>
      <c r="H1800" s="7" t="str">
        <f aca="false">IFERROR(INDEX('Semrush Data'!$A$1:$Z$20000,MATCH(A1800,'Semrush Data'!$A$1:$A$20000,0),MATCH("Keyword Difficulty*",'Semrush Data'!$A$1:$Z$1,0)),"")</f>
        <v/>
      </c>
      <c r="I1800" s="13" t="str">
        <f aca="false">IFERROR(INDEX('Semrush Data'!$A$1:$Z$20000,MATCH(A1800,'Semrush Data'!$A$1:$A$20000,0),MATCH("CPC*",'Semrush Data'!$A$1:$Z$1,0)),"")</f>
        <v/>
      </c>
      <c r="J1800" s="7" t="str">
        <f aca="false">IFERROR(INDEX('Semrush Data'!$A$1:$Z$20000,MATCH(A1800,'Semrush Data'!$A$1:$A$20000,0),MATCH("Intent",'Semrush Data'!$A$1:$Z$1,0)),"")</f>
        <v/>
      </c>
    </row>
    <row r="1801" customFormat="false" ht="15" hidden="false" customHeight="true" outlineLevel="0" collapsed="false">
      <c r="A1801" s="7" t="s">
        <v>3517</v>
      </c>
      <c r="B1801" s="7" t="s">
        <v>1355</v>
      </c>
      <c r="C1801" s="7" t="n">
        <v>3</v>
      </c>
      <c r="D1801" s="7" t="n">
        <v>18</v>
      </c>
      <c r="E1801" s="7" t="n">
        <v>1</v>
      </c>
      <c r="F1801" s="7" t="s">
        <v>3512</v>
      </c>
      <c r="G1801" s="12" t="str">
        <f aca="false">IFERROR(INDEX('Semrush Data'!$A$1:$Z$20000,MATCH(A1801,'Semrush Data'!$A$1:$A$20000,0),MATCH("Volume",'Semrush Data'!$A$1:$Z$1,0)),"")</f>
        <v/>
      </c>
      <c r="H1801" s="7" t="str">
        <f aca="false">IFERROR(INDEX('Semrush Data'!$A$1:$Z$20000,MATCH(A1801,'Semrush Data'!$A$1:$A$20000,0),MATCH("Keyword Difficulty*",'Semrush Data'!$A$1:$Z$1,0)),"")</f>
        <v/>
      </c>
      <c r="I1801" s="13" t="str">
        <f aca="false">IFERROR(INDEX('Semrush Data'!$A$1:$Z$20000,MATCH(A1801,'Semrush Data'!$A$1:$A$20000,0),MATCH("CPC*",'Semrush Data'!$A$1:$Z$1,0)),"")</f>
        <v/>
      </c>
      <c r="J1801" s="7" t="str">
        <f aca="false">IFERROR(INDEX('Semrush Data'!$A$1:$Z$20000,MATCH(A1801,'Semrush Data'!$A$1:$A$20000,0),MATCH("Intent",'Semrush Data'!$A$1:$Z$1,0)),"")</f>
        <v/>
      </c>
    </row>
    <row r="1802" customFormat="false" ht="15" hidden="false" customHeight="true" outlineLevel="0" collapsed="false">
      <c r="A1802" s="7" t="s">
        <v>3527</v>
      </c>
      <c r="B1802" s="7" t="s">
        <v>1355</v>
      </c>
      <c r="C1802" s="7" t="n">
        <v>3</v>
      </c>
      <c r="D1802" s="7" t="n">
        <v>19</v>
      </c>
      <c r="E1802" s="7" t="n">
        <v>1</v>
      </c>
      <c r="F1802" s="7" t="s">
        <v>130</v>
      </c>
      <c r="G1802" s="12" t="str">
        <f aca="false">IFERROR(INDEX('Semrush Data'!$A$1:$Z$20000,MATCH(A1802,'Semrush Data'!$A$1:$A$20000,0),MATCH("Volume",'Semrush Data'!$A$1:$Z$1,0)),"")</f>
        <v/>
      </c>
      <c r="H1802" s="7" t="str">
        <f aca="false">IFERROR(INDEX('Semrush Data'!$A$1:$Z$20000,MATCH(A1802,'Semrush Data'!$A$1:$A$20000,0),MATCH("Keyword Difficulty*",'Semrush Data'!$A$1:$Z$1,0)),"")</f>
        <v/>
      </c>
      <c r="I1802" s="13" t="str">
        <f aca="false">IFERROR(INDEX('Semrush Data'!$A$1:$Z$20000,MATCH(A1802,'Semrush Data'!$A$1:$A$20000,0),MATCH("CPC*",'Semrush Data'!$A$1:$Z$1,0)),"")</f>
        <v/>
      </c>
      <c r="J1802" s="7" t="str">
        <f aca="false">IFERROR(INDEX('Semrush Data'!$A$1:$Z$20000,MATCH(A1802,'Semrush Data'!$A$1:$A$20000,0),MATCH("Intent",'Semrush Data'!$A$1:$Z$1,0)),"")</f>
        <v/>
      </c>
    </row>
    <row r="1803" customFormat="false" ht="15" hidden="false" customHeight="true" outlineLevel="0" collapsed="false">
      <c r="A1803" s="7" t="s">
        <v>3552</v>
      </c>
      <c r="B1803" s="7" t="s">
        <v>1355</v>
      </c>
      <c r="C1803" s="7" t="n">
        <v>3</v>
      </c>
      <c r="D1803" s="7" t="n">
        <v>19</v>
      </c>
      <c r="E1803" s="7" t="n">
        <v>1</v>
      </c>
      <c r="F1803" s="7" t="s">
        <v>3547</v>
      </c>
      <c r="G1803" s="12" t="str">
        <f aca="false">IFERROR(INDEX('Semrush Data'!$A$1:$Z$20000,MATCH(A1803,'Semrush Data'!$A$1:$A$20000,0),MATCH("Volume",'Semrush Data'!$A$1:$Z$1,0)),"")</f>
        <v/>
      </c>
      <c r="H1803" s="7" t="str">
        <f aca="false">IFERROR(INDEX('Semrush Data'!$A$1:$Z$20000,MATCH(A1803,'Semrush Data'!$A$1:$A$20000,0),MATCH("Keyword Difficulty*",'Semrush Data'!$A$1:$Z$1,0)),"")</f>
        <v/>
      </c>
      <c r="I1803" s="13" t="str">
        <f aca="false">IFERROR(INDEX('Semrush Data'!$A$1:$Z$20000,MATCH(A1803,'Semrush Data'!$A$1:$A$20000,0),MATCH("CPC*",'Semrush Data'!$A$1:$Z$1,0)),"")</f>
        <v/>
      </c>
      <c r="J1803" s="7" t="str">
        <f aca="false">IFERROR(INDEX('Semrush Data'!$A$1:$Z$20000,MATCH(A1803,'Semrush Data'!$A$1:$A$20000,0),MATCH("Intent",'Semrush Data'!$A$1:$Z$1,0)),"")</f>
        <v/>
      </c>
    </row>
    <row r="1804" customFormat="false" ht="15" hidden="false" customHeight="true" outlineLevel="0" collapsed="false">
      <c r="A1804" s="7" t="s">
        <v>3635</v>
      </c>
      <c r="B1804" s="7" t="s">
        <v>1355</v>
      </c>
      <c r="C1804" s="7" t="n">
        <v>3</v>
      </c>
      <c r="D1804" s="7" t="n">
        <v>19</v>
      </c>
      <c r="E1804" s="7" t="n">
        <v>1</v>
      </c>
      <c r="F1804" s="7" t="s">
        <v>3631</v>
      </c>
      <c r="G1804" s="12" t="str">
        <f aca="false">IFERROR(INDEX('Semrush Data'!$A$1:$Z$20000,MATCH(A1804,'Semrush Data'!$A$1:$A$20000,0),MATCH("Volume",'Semrush Data'!$A$1:$Z$1,0)),"")</f>
        <v/>
      </c>
      <c r="H1804" s="7" t="str">
        <f aca="false">IFERROR(INDEX('Semrush Data'!$A$1:$Z$20000,MATCH(A1804,'Semrush Data'!$A$1:$A$20000,0),MATCH("Keyword Difficulty*",'Semrush Data'!$A$1:$Z$1,0)),"")</f>
        <v/>
      </c>
      <c r="I1804" s="13" t="str">
        <f aca="false">IFERROR(INDEX('Semrush Data'!$A$1:$Z$20000,MATCH(A1804,'Semrush Data'!$A$1:$A$20000,0),MATCH("CPC*",'Semrush Data'!$A$1:$Z$1,0)),"")</f>
        <v/>
      </c>
      <c r="J1804" s="7" t="str">
        <f aca="false">IFERROR(INDEX('Semrush Data'!$A$1:$Z$20000,MATCH(A1804,'Semrush Data'!$A$1:$A$20000,0),MATCH("Intent",'Semrush Data'!$A$1:$Z$1,0)),"")</f>
        <v/>
      </c>
    </row>
    <row r="1805" customFormat="false" ht="15" hidden="false" customHeight="true" outlineLevel="0" collapsed="false">
      <c r="A1805" s="7" t="s">
        <v>3565</v>
      </c>
      <c r="B1805" s="7" t="s">
        <v>1355</v>
      </c>
      <c r="C1805" s="7" t="n">
        <v>3</v>
      </c>
      <c r="D1805" s="7" t="n">
        <v>19</v>
      </c>
      <c r="E1805" s="7" t="n">
        <v>1</v>
      </c>
      <c r="F1805" s="7" t="s">
        <v>3559</v>
      </c>
      <c r="G1805" s="12" t="str">
        <f aca="false">IFERROR(INDEX('Semrush Data'!$A$1:$Z$20000,MATCH(A1805,'Semrush Data'!$A$1:$A$20000,0),MATCH("Volume",'Semrush Data'!$A$1:$Z$1,0)),"")</f>
        <v/>
      </c>
      <c r="H1805" s="7" t="str">
        <f aca="false">IFERROR(INDEX('Semrush Data'!$A$1:$Z$20000,MATCH(A1805,'Semrush Data'!$A$1:$A$20000,0),MATCH("Keyword Difficulty*",'Semrush Data'!$A$1:$Z$1,0)),"")</f>
        <v/>
      </c>
      <c r="I1805" s="13" t="str">
        <f aca="false">IFERROR(INDEX('Semrush Data'!$A$1:$Z$20000,MATCH(A1805,'Semrush Data'!$A$1:$A$20000,0),MATCH("CPC*",'Semrush Data'!$A$1:$Z$1,0)),"")</f>
        <v/>
      </c>
      <c r="J1805" s="7" t="str">
        <f aca="false">IFERROR(INDEX('Semrush Data'!$A$1:$Z$20000,MATCH(A1805,'Semrush Data'!$A$1:$A$20000,0),MATCH("Intent",'Semrush Data'!$A$1:$Z$1,0)),"")</f>
        <v/>
      </c>
    </row>
    <row r="1806" customFormat="false" ht="15" hidden="false" customHeight="true" outlineLevel="0" collapsed="false">
      <c r="A1806" s="7" t="s">
        <v>3646</v>
      </c>
      <c r="B1806" s="7" t="s">
        <v>1355</v>
      </c>
      <c r="C1806" s="7" t="n">
        <v>3</v>
      </c>
      <c r="D1806" s="7" t="n">
        <v>19</v>
      </c>
      <c r="E1806" s="7" t="n">
        <v>1</v>
      </c>
      <c r="F1806" s="7" t="s">
        <v>3642</v>
      </c>
      <c r="G1806" s="12" t="str">
        <f aca="false">IFERROR(INDEX('Semrush Data'!$A$1:$Z$20000,MATCH(A1806,'Semrush Data'!$A$1:$A$20000,0),MATCH("Volume",'Semrush Data'!$A$1:$Z$1,0)),"")</f>
        <v/>
      </c>
      <c r="H1806" s="7" t="str">
        <f aca="false">IFERROR(INDEX('Semrush Data'!$A$1:$Z$20000,MATCH(A1806,'Semrush Data'!$A$1:$A$20000,0),MATCH("Keyword Difficulty*",'Semrush Data'!$A$1:$Z$1,0)),"")</f>
        <v/>
      </c>
      <c r="I1806" s="13" t="str">
        <f aca="false">IFERROR(INDEX('Semrush Data'!$A$1:$Z$20000,MATCH(A1806,'Semrush Data'!$A$1:$A$20000,0),MATCH("CPC*",'Semrush Data'!$A$1:$Z$1,0)),"")</f>
        <v/>
      </c>
      <c r="J1806" s="7" t="str">
        <f aca="false">IFERROR(INDEX('Semrush Data'!$A$1:$Z$20000,MATCH(A1806,'Semrush Data'!$A$1:$A$20000,0),MATCH("Intent",'Semrush Data'!$A$1:$Z$1,0)),"")</f>
        <v/>
      </c>
    </row>
    <row r="1807" customFormat="false" ht="15" hidden="false" customHeight="true" outlineLevel="0" collapsed="false">
      <c r="A1807" s="7" t="s">
        <v>3624</v>
      </c>
      <c r="B1807" s="7" t="s">
        <v>1355</v>
      </c>
      <c r="C1807" s="7" t="n">
        <v>3</v>
      </c>
      <c r="D1807" s="7" t="n">
        <v>19</v>
      </c>
      <c r="E1807" s="7" t="n">
        <v>1</v>
      </c>
      <c r="F1807" s="7" t="s">
        <v>3620</v>
      </c>
      <c r="G1807" s="12" t="str">
        <f aca="false">IFERROR(INDEX('Semrush Data'!$A$1:$Z$20000,MATCH(A1807,'Semrush Data'!$A$1:$A$20000,0),MATCH("Volume",'Semrush Data'!$A$1:$Z$1,0)),"")</f>
        <v/>
      </c>
      <c r="H1807" s="7" t="str">
        <f aca="false">IFERROR(INDEX('Semrush Data'!$A$1:$Z$20000,MATCH(A1807,'Semrush Data'!$A$1:$A$20000,0),MATCH("Keyword Difficulty*",'Semrush Data'!$A$1:$Z$1,0)),"")</f>
        <v/>
      </c>
      <c r="I1807" s="13" t="str">
        <f aca="false">IFERROR(INDEX('Semrush Data'!$A$1:$Z$20000,MATCH(A1807,'Semrush Data'!$A$1:$A$20000,0),MATCH("CPC*",'Semrush Data'!$A$1:$Z$1,0)),"")</f>
        <v/>
      </c>
      <c r="J1807" s="7" t="str">
        <f aca="false">IFERROR(INDEX('Semrush Data'!$A$1:$Z$20000,MATCH(A1807,'Semrush Data'!$A$1:$A$20000,0),MATCH("Intent",'Semrush Data'!$A$1:$Z$1,0)),"")</f>
        <v/>
      </c>
    </row>
    <row r="1808" customFormat="false" ht="15" hidden="false" customHeight="true" outlineLevel="0" collapsed="false">
      <c r="A1808" s="7" t="s">
        <v>3656</v>
      </c>
      <c r="B1808" s="7" t="s">
        <v>1355</v>
      </c>
      <c r="C1808" s="7" t="n">
        <v>3</v>
      </c>
      <c r="D1808" s="7" t="n">
        <v>19</v>
      </c>
      <c r="E1808" s="7" t="n">
        <v>2</v>
      </c>
      <c r="F1808" s="7" t="s">
        <v>6798</v>
      </c>
      <c r="G1808" s="12" t="str">
        <f aca="false">IFERROR(INDEX('Semrush Data'!$A$1:$Z$20000,MATCH(A1808,'Semrush Data'!$A$1:$A$20000,0),MATCH("Volume",'Semrush Data'!$A$1:$Z$1,0)),"")</f>
        <v/>
      </c>
      <c r="H1808" s="7" t="str">
        <f aca="false">IFERROR(INDEX('Semrush Data'!$A$1:$Z$20000,MATCH(A1808,'Semrush Data'!$A$1:$A$20000,0),MATCH("Keyword Difficulty*",'Semrush Data'!$A$1:$Z$1,0)),"")</f>
        <v/>
      </c>
      <c r="I1808" s="13" t="str">
        <f aca="false">IFERROR(INDEX('Semrush Data'!$A$1:$Z$20000,MATCH(A1808,'Semrush Data'!$A$1:$A$20000,0),MATCH("CPC*",'Semrush Data'!$A$1:$Z$1,0)),"")</f>
        <v/>
      </c>
      <c r="J1808" s="7" t="str">
        <f aca="false">IFERROR(INDEX('Semrush Data'!$A$1:$Z$20000,MATCH(A1808,'Semrush Data'!$A$1:$A$20000,0),MATCH("Intent",'Semrush Data'!$A$1:$Z$1,0)),"")</f>
        <v/>
      </c>
    </row>
    <row r="1809" customFormat="false" ht="15" hidden="false" customHeight="true" outlineLevel="0" collapsed="false">
      <c r="A1809" s="7" t="s">
        <v>3577</v>
      </c>
      <c r="B1809" s="7" t="s">
        <v>1355</v>
      </c>
      <c r="C1809" s="7" t="n">
        <v>3</v>
      </c>
      <c r="D1809" s="7" t="n">
        <v>19</v>
      </c>
      <c r="E1809" s="7" t="n">
        <v>1</v>
      </c>
      <c r="F1809" s="7" t="s">
        <v>3573</v>
      </c>
      <c r="G1809" s="12" t="str">
        <f aca="false">IFERROR(INDEX('Semrush Data'!$A$1:$Z$20000,MATCH(A1809,'Semrush Data'!$A$1:$A$20000,0),MATCH("Volume",'Semrush Data'!$A$1:$Z$1,0)),"")</f>
        <v/>
      </c>
      <c r="H1809" s="7" t="str">
        <f aca="false">IFERROR(INDEX('Semrush Data'!$A$1:$Z$20000,MATCH(A1809,'Semrush Data'!$A$1:$A$20000,0),MATCH("Keyword Difficulty*",'Semrush Data'!$A$1:$Z$1,0)),"")</f>
        <v/>
      </c>
      <c r="I1809" s="13" t="str">
        <f aca="false">IFERROR(INDEX('Semrush Data'!$A$1:$Z$20000,MATCH(A1809,'Semrush Data'!$A$1:$A$20000,0),MATCH("CPC*",'Semrush Data'!$A$1:$Z$1,0)),"")</f>
        <v/>
      </c>
      <c r="J1809" s="7" t="str">
        <f aca="false">IFERROR(INDEX('Semrush Data'!$A$1:$Z$20000,MATCH(A1809,'Semrush Data'!$A$1:$A$20000,0),MATCH("Intent",'Semrush Data'!$A$1:$Z$1,0)),"")</f>
        <v/>
      </c>
    </row>
    <row r="1810" customFormat="false" ht="15" hidden="false" customHeight="true" outlineLevel="0" collapsed="false">
      <c r="A1810" s="7" t="s">
        <v>3667</v>
      </c>
      <c r="B1810" s="7" t="s">
        <v>1355</v>
      </c>
      <c r="C1810" s="7" t="n">
        <v>3</v>
      </c>
      <c r="D1810" s="7" t="n">
        <v>19</v>
      </c>
      <c r="E1810" s="7" t="n">
        <v>1</v>
      </c>
      <c r="F1810" s="7" t="s">
        <v>3663</v>
      </c>
      <c r="G1810" s="12" t="str">
        <f aca="false">IFERROR(INDEX('Semrush Data'!$A$1:$Z$20000,MATCH(A1810,'Semrush Data'!$A$1:$A$20000,0),MATCH("Volume",'Semrush Data'!$A$1:$Z$1,0)),"")</f>
        <v/>
      </c>
      <c r="H1810" s="7" t="str">
        <f aca="false">IFERROR(INDEX('Semrush Data'!$A$1:$Z$20000,MATCH(A1810,'Semrush Data'!$A$1:$A$20000,0),MATCH("Keyword Difficulty*",'Semrush Data'!$A$1:$Z$1,0)),"")</f>
        <v/>
      </c>
      <c r="I1810" s="13" t="str">
        <f aca="false">IFERROR(INDEX('Semrush Data'!$A$1:$Z$20000,MATCH(A1810,'Semrush Data'!$A$1:$A$20000,0),MATCH("CPC*",'Semrush Data'!$A$1:$Z$1,0)),"")</f>
        <v/>
      </c>
      <c r="J1810" s="7" t="str">
        <f aca="false">IFERROR(INDEX('Semrush Data'!$A$1:$Z$20000,MATCH(A1810,'Semrush Data'!$A$1:$A$20000,0),MATCH("Intent",'Semrush Data'!$A$1:$Z$1,0)),"")</f>
        <v/>
      </c>
    </row>
    <row r="1811" customFormat="false" ht="15" hidden="false" customHeight="true" outlineLevel="0" collapsed="false">
      <c r="A1811" s="7" t="s">
        <v>3613</v>
      </c>
      <c r="B1811" s="7" t="s">
        <v>1355</v>
      </c>
      <c r="C1811" s="7" t="n">
        <v>3</v>
      </c>
      <c r="D1811" s="7" t="n">
        <v>19</v>
      </c>
      <c r="E1811" s="7" t="n">
        <v>1</v>
      </c>
      <c r="F1811" s="7" t="s">
        <v>3609</v>
      </c>
      <c r="G1811" s="12" t="str">
        <f aca="false">IFERROR(INDEX('Semrush Data'!$A$1:$Z$20000,MATCH(A1811,'Semrush Data'!$A$1:$A$20000,0),MATCH("Volume",'Semrush Data'!$A$1:$Z$1,0)),"")</f>
        <v/>
      </c>
      <c r="H1811" s="7" t="str">
        <f aca="false">IFERROR(INDEX('Semrush Data'!$A$1:$Z$20000,MATCH(A1811,'Semrush Data'!$A$1:$A$20000,0),MATCH("Keyword Difficulty*",'Semrush Data'!$A$1:$Z$1,0)),"")</f>
        <v/>
      </c>
      <c r="I1811" s="13" t="str">
        <f aca="false">IFERROR(INDEX('Semrush Data'!$A$1:$Z$20000,MATCH(A1811,'Semrush Data'!$A$1:$A$20000,0),MATCH("CPC*",'Semrush Data'!$A$1:$Z$1,0)),"")</f>
        <v/>
      </c>
      <c r="J1811" s="7" t="str">
        <f aca="false">IFERROR(INDEX('Semrush Data'!$A$1:$Z$20000,MATCH(A1811,'Semrush Data'!$A$1:$A$20000,0),MATCH("Intent",'Semrush Data'!$A$1:$Z$1,0)),"")</f>
        <v/>
      </c>
    </row>
    <row r="1812" customFormat="false" ht="15" hidden="false" customHeight="true" outlineLevel="0" collapsed="false">
      <c r="A1812" s="7" t="s">
        <v>3602</v>
      </c>
      <c r="B1812" s="7" t="s">
        <v>1355</v>
      </c>
      <c r="C1812" s="7" t="n">
        <v>3</v>
      </c>
      <c r="D1812" s="7" t="n">
        <v>19</v>
      </c>
      <c r="E1812" s="7" t="n">
        <v>1</v>
      </c>
      <c r="F1812" s="7" t="s">
        <v>3598</v>
      </c>
      <c r="G1812" s="12" t="str">
        <f aca="false">IFERROR(INDEX('Semrush Data'!$A$1:$Z$20000,MATCH(A1812,'Semrush Data'!$A$1:$A$20000,0),MATCH("Volume",'Semrush Data'!$A$1:$Z$1,0)),"")</f>
        <v/>
      </c>
      <c r="H1812" s="7" t="str">
        <f aca="false">IFERROR(INDEX('Semrush Data'!$A$1:$Z$20000,MATCH(A1812,'Semrush Data'!$A$1:$A$20000,0),MATCH("Keyword Difficulty*",'Semrush Data'!$A$1:$Z$1,0)),"")</f>
        <v/>
      </c>
      <c r="I1812" s="13" t="str">
        <f aca="false">IFERROR(INDEX('Semrush Data'!$A$1:$Z$20000,MATCH(A1812,'Semrush Data'!$A$1:$A$20000,0),MATCH("CPC*",'Semrush Data'!$A$1:$Z$1,0)),"")</f>
        <v/>
      </c>
      <c r="J1812" s="7" t="str">
        <f aca="false">IFERROR(INDEX('Semrush Data'!$A$1:$Z$20000,MATCH(A1812,'Semrush Data'!$A$1:$A$20000,0),MATCH("Intent",'Semrush Data'!$A$1:$Z$1,0)),"")</f>
        <v/>
      </c>
    </row>
    <row r="1813" customFormat="false" ht="15" hidden="false" customHeight="true" outlineLevel="0" collapsed="false">
      <c r="A1813" s="7" t="s">
        <v>3587</v>
      </c>
      <c r="B1813" s="7" t="s">
        <v>1355</v>
      </c>
      <c r="C1813" s="7" t="n">
        <v>3</v>
      </c>
      <c r="D1813" s="7" t="n">
        <v>19</v>
      </c>
      <c r="E1813" s="7" t="n">
        <v>2</v>
      </c>
      <c r="F1813" s="7" t="s">
        <v>6799</v>
      </c>
      <c r="G1813" s="12" t="str">
        <f aca="false">IFERROR(INDEX('Semrush Data'!$A$1:$Z$20000,MATCH(A1813,'Semrush Data'!$A$1:$A$20000,0),MATCH("Volume",'Semrush Data'!$A$1:$Z$1,0)),"")</f>
        <v/>
      </c>
      <c r="H1813" s="7" t="str">
        <f aca="false">IFERROR(INDEX('Semrush Data'!$A$1:$Z$20000,MATCH(A1813,'Semrush Data'!$A$1:$A$20000,0),MATCH("Keyword Difficulty*",'Semrush Data'!$A$1:$Z$1,0)),"")</f>
        <v/>
      </c>
      <c r="I1813" s="13" t="str">
        <f aca="false">IFERROR(INDEX('Semrush Data'!$A$1:$Z$20000,MATCH(A1813,'Semrush Data'!$A$1:$A$20000,0),MATCH("CPC*",'Semrush Data'!$A$1:$Z$1,0)),"")</f>
        <v/>
      </c>
      <c r="J1813" s="7" t="str">
        <f aca="false">IFERROR(INDEX('Semrush Data'!$A$1:$Z$20000,MATCH(A1813,'Semrush Data'!$A$1:$A$20000,0),MATCH("Intent",'Semrush Data'!$A$1:$Z$1,0)),"")</f>
        <v/>
      </c>
    </row>
    <row r="1814" customFormat="false" ht="15" hidden="false" customHeight="true" outlineLevel="0" collapsed="false">
      <c r="A1814" s="7" t="s">
        <v>3798</v>
      </c>
      <c r="B1814" s="7" t="s">
        <v>1355</v>
      </c>
      <c r="C1814" s="7" t="n">
        <v>3</v>
      </c>
      <c r="D1814" s="7" t="n">
        <v>19</v>
      </c>
      <c r="E1814" s="7" t="n">
        <v>1</v>
      </c>
      <c r="F1814" s="7" t="s">
        <v>3794</v>
      </c>
      <c r="G1814" s="12" t="str">
        <f aca="false">IFERROR(INDEX('Semrush Data'!$A$1:$Z$20000,MATCH(A1814,'Semrush Data'!$A$1:$A$20000,0),MATCH("Volume",'Semrush Data'!$A$1:$Z$1,0)),"")</f>
        <v/>
      </c>
      <c r="H1814" s="7" t="str">
        <f aca="false">IFERROR(INDEX('Semrush Data'!$A$1:$Z$20000,MATCH(A1814,'Semrush Data'!$A$1:$A$20000,0),MATCH("Keyword Difficulty*",'Semrush Data'!$A$1:$Z$1,0)),"")</f>
        <v/>
      </c>
      <c r="I1814" s="13" t="str">
        <f aca="false">IFERROR(INDEX('Semrush Data'!$A$1:$Z$20000,MATCH(A1814,'Semrush Data'!$A$1:$A$20000,0),MATCH("CPC*",'Semrush Data'!$A$1:$Z$1,0)),"")</f>
        <v/>
      </c>
      <c r="J1814" s="7" t="str">
        <f aca="false">IFERROR(INDEX('Semrush Data'!$A$1:$Z$20000,MATCH(A1814,'Semrush Data'!$A$1:$A$20000,0),MATCH("Intent",'Semrush Data'!$A$1:$Z$1,0)),"")</f>
        <v/>
      </c>
    </row>
    <row r="1815" customFormat="false" ht="15" hidden="false" customHeight="true" outlineLevel="0" collapsed="false">
      <c r="A1815" s="7" t="s">
        <v>3809</v>
      </c>
      <c r="B1815" s="7" t="s">
        <v>1355</v>
      </c>
      <c r="C1815" s="7" t="n">
        <v>3</v>
      </c>
      <c r="D1815" s="7" t="n">
        <v>19</v>
      </c>
      <c r="E1815" s="7" t="n">
        <v>1</v>
      </c>
      <c r="F1815" s="7" t="s">
        <v>3805</v>
      </c>
      <c r="G1815" s="12" t="str">
        <f aca="false">IFERROR(INDEX('Semrush Data'!$A$1:$Z$20000,MATCH(A1815,'Semrush Data'!$A$1:$A$20000,0),MATCH("Volume",'Semrush Data'!$A$1:$Z$1,0)),"")</f>
        <v/>
      </c>
      <c r="H1815" s="7" t="str">
        <f aca="false">IFERROR(INDEX('Semrush Data'!$A$1:$Z$20000,MATCH(A1815,'Semrush Data'!$A$1:$A$20000,0),MATCH("Keyword Difficulty*",'Semrush Data'!$A$1:$Z$1,0)),"")</f>
        <v/>
      </c>
      <c r="I1815" s="13" t="str">
        <f aca="false">IFERROR(INDEX('Semrush Data'!$A$1:$Z$20000,MATCH(A1815,'Semrush Data'!$A$1:$A$20000,0),MATCH("CPC*",'Semrush Data'!$A$1:$Z$1,0)),"")</f>
        <v/>
      </c>
      <c r="J1815" s="7" t="str">
        <f aca="false">IFERROR(INDEX('Semrush Data'!$A$1:$Z$20000,MATCH(A1815,'Semrush Data'!$A$1:$A$20000,0),MATCH("Intent",'Semrush Data'!$A$1:$Z$1,0)),"")</f>
        <v/>
      </c>
    </row>
    <row r="1816" customFormat="false" ht="15" hidden="false" customHeight="true" outlineLevel="0" collapsed="false">
      <c r="A1816" s="7" t="s">
        <v>3821</v>
      </c>
      <c r="B1816" s="7" t="s">
        <v>1355</v>
      </c>
      <c r="C1816" s="7" t="n">
        <v>3</v>
      </c>
      <c r="D1816" s="7" t="n">
        <v>19</v>
      </c>
      <c r="E1816" s="7" t="n">
        <v>1</v>
      </c>
      <c r="F1816" s="7" t="s">
        <v>3817</v>
      </c>
      <c r="G1816" s="12" t="str">
        <f aca="false">IFERROR(INDEX('Semrush Data'!$A$1:$Z$20000,MATCH(A1816,'Semrush Data'!$A$1:$A$20000,0),MATCH("Volume",'Semrush Data'!$A$1:$Z$1,0)),"")</f>
        <v/>
      </c>
      <c r="H1816" s="7" t="str">
        <f aca="false">IFERROR(INDEX('Semrush Data'!$A$1:$Z$20000,MATCH(A1816,'Semrush Data'!$A$1:$A$20000,0),MATCH("Keyword Difficulty*",'Semrush Data'!$A$1:$Z$1,0)),"")</f>
        <v/>
      </c>
      <c r="I1816" s="13" t="str">
        <f aca="false">IFERROR(INDEX('Semrush Data'!$A$1:$Z$20000,MATCH(A1816,'Semrush Data'!$A$1:$A$20000,0),MATCH("CPC*",'Semrush Data'!$A$1:$Z$1,0)),"")</f>
        <v/>
      </c>
      <c r="J1816" s="7" t="str">
        <f aca="false">IFERROR(INDEX('Semrush Data'!$A$1:$Z$20000,MATCH(A1816,'Semrush Data'!$A$1:$A$20000,0),MATCH("Intent",'Semrush Data'!$A$1:$Z$1,0)),"")</f>
        <v/>
      </c>
    </row>
    <row r="1817" customFormat="false" ht="15" hidden="false" customHeight="true" outlineLevel="0" collapsed="false">
      <c r="A1817" s="7" t="s">
        <v>3832</v>
      </c>
      <c r="B1817" s="7" t="s">
        <v>1355</v>
      </c>
      <c r="C1817" s="7" t="n">
        <v>3</v>
      </c>
      <c r="D1817" s="7" t="n">
        <v>19</v>
      </c>
      <c r="E1817" s="7" t="n">
        <v>1</v>
      </c>
      <c r="F1817" s="7" t="s">
        <v>3828</v>
      </c>
      <c r="G1817" s="12" t="str">
        <f aca="false">IFERROR(INDEX('Semrush Data'!$A$1:$Z$20000,MATCH(A1817,'Semrush Data'!$A$1:$A$20000,0),MATCH("Volume",'Semrush Data'!$A$1:$Z$1,0)),"")</f>
        <v/>
      </c>
      <c r="H1817" s="7" t="str">
        <f aca="false">IFERROR(INDEX('Semrush Data'!$A$1:$Z$20000,MATCH(A1817,'Semrush Data'!$A$1:$A$20000,0),MATCH("Keyword Difficulty*",'Semrush Data'!$A$1:$Z$1,0)),"")</f>
        <v/>
      </c>
      <c r="I1817" s="13" t="str">
        <f aca="false">IFERROR(INDEX('Semrush Data'!$A$1:$Z$20000,MATCH(A1817,'Semrush Data'!$A$1:$A$20000,0),MATCH("CPC*",'Semrush Data'!$A$1:$Z$1,0)),"")</f>
        <v/>
      </c>
      <c r="J1817" s="7" t="str">
        <f aca="false">IFERROR(INDEX('Semrush Data'!$A$1:$Z$20000,MATCH(A1817,'Semrush Data'!$A$1:$A$20000,0),MATCH("Intent",'Semrush Data'!$A$1:$Z$1,0)),"")</f>
        <v/>
      </c>
    </row>
    <row r="1818" customFormat="false" ht="15" hidden="false" customHeight="true" outlineLevel="0" collapsed="false">
      <c r="A1818" s="7" t="s">
        <v>3683</v>
      </c>
      <c r="B1818" s="7" t="s">
        <v>1355</v>
      </c>
      <c r="C1818" s="7" t="n">
        <v>3</v>
      </c>
      <c r="D1818" s="7" t="n">
        <v>19</v>
      </c>
      <c r="E1818" s="7" t="n">
        <v>1</v>
      </c>
      <c r="F1818" s="7" t="s">
        <v>3678</v>
      </c>
      <c r="G1818" s="12" t="str">
        <f aca="false">IFERROR(INDEX('Semrush Data'!$A$1:$Z$20000,MATCH(A1818,'Semrush Data'!$A$1:$A$20000,0),MATCH("Volume",'Semrush Data'!$A$1:$Z$1,0)),"")</f>
        <v/>
      </c>
      <c r="H1818" s="7" t="str">
        <f aca="false">IFERROR(INDEX('Semrush Data'!$A$1:$Z$20000,MATCH(A1818,'Semrush Data'!$A$1:$A$20000,0),MATCH("Keyword Difficulty*",'Semrush Data'!$A$1:$Z$1,0)),"")</f>
        <v/>
      </c>
      <c r="I1818" s="13" t="str">
        <f aca="false">IFERROR(INDEX('Semrush Data'!$A$1:$Z$20000,MATCH(A1818,'Semrush Data'!$A$1:$A$20000,0),MATCH("CPC*",'Semrush Data'!$A$1:$Z$1,0)),"")</f>
        <v/>
      </c>
      <c r="J1818" s="7" t="str">
        <f aca="false">IFERROR(INDEX('Semrush Data'!$A$1:$Z$20000,MATCH(A1818,'Semrush Data'!$A$1:$A$20000,0),MATCH("Intent",'Semrush Data'!$A$1:$Z$1,0)),"")</f>
        <v/>
      </c>
    </row>
    <row r="1819" customFormat="false" ht="15" hidden="false" customHeight="true" outlineLevel="0" collapsed="false">
      <c r="A1819" s="7" t="s">
        <v>3696</v>
      </c>
      <c r="B1819" s="7" t="s">
        <v>1355</v>
      </c>
      <c r="C1819" s="7" t="n">
        <v>3</v>
      </c>
      <c r="D1819" s="7" t="n">
        <v>19</v>
      </c>
      <c r="E1819" s="7" t="n">
        <v>1</v>
      </c>
      <c r="F1819" s="7" t="s">
        <v>3691</v>
      </c>
      <c r="G1819" s="12" t="str">
        <f aca="false">IFERROR(INDEX('Semrush Data'!$A$1:$Z$20000,MATCH(A1819,'Semrush Data'!$A$1:$A$20000,0),MATCH("Volume",'Semrush Data'!$A$1:$Z$1,0)),"")</f>
        <v/>
      </c>
      <c r="H1819" s="7" t="str">
        <f aca="false">IFERROR(INDEX('Semrush Data'!$A$1:$Z$20000,MATCH(A1819,'Semrush Data'!$A$1:$A$20000,0),MATCH("Keyword Difficulty*",'Semrush Data'!$A$1:$Z$1,0)),"")</f>
        <v/>
      </c>
      <c r="I1819" s="13" t="str">
        <f aca="false">IFERROR(INDEX('Semrush Data'!$A$1:$Z$20000,MATCH(A1819,'Semrush Data'!$A$1:$A$20000,0),MATCH("CPC*",'Semrush Data'!$A$1:$Z$1,0)),"")</f>
        <v/>
      </c>
      <c r="J1819" s="7" t="str">
        <f aca="false">IFERROR(INDEX('Semrush Data'!$A$1:$Z$20000,MATCH(A1819,'Semrush Data'!$A$1:$A$20000,0),MATCH("Intent",'Semrush Data'!$A$1:$Z$1,0)),"")</f>
        <v/>
      </c>
    </row>
    <row r="1820" customFormat="false" ht="15" hidden="false" customHeight="true" outlineLevel="0" collapsed="false">
      <c r="A1820" s="7" t="s">
        <v>3708</v>
      </c>
      <c r="B1820" s="7" t="s">
        <v>1355</v>
      </c>
      <c r="C1820" s="7" t="n">
        <v>3</v>
      </c>
      <c r="D1820" s="7" t="n">
        <v>19</v>
      </c>
      <c r="E1820" s="7" t="n">
        <v>1</v>
      </c>
      <c r="F1820" s="7" t="s">
        <v>3704</v>
      </c>
      <c r="G1820" s="12" t="str">
        <f aca="false">IFERROR(INDEX('Semrush Data'!$A$1:$Z$20000,MATCH(A1820,'Semrush Data'!$A$1:$A$20000,0),MATCH("Volume",'Semrush Data'!$A$1:$Z$1,0)),"")</f>
        <v/>
      </c>
      <c r="H1820" s="7" t="str">
        <f aca="false">IFERROR(INDEX('Semrush Data'!$A$1:$Z$20000,MATCH(A1820,'Semrush Data'!$A$1:$A$20000,0),MATCH("Keyword Difficulty*",'Semrush Data'!$A$1:$Z$1,0)),"")</f>
        <v/>
      </c>
      <c r="I1820" s="13" t="str">
        <f aca="false">IFERROR(INDEX('Semrush Data'!$A$1:$Z$20000,MATCH(A1820,'Semrush Data'!$A$1:$A$20000,0),MATCH("CPC*",'Semrush Data'!$A$1:$Z$1,0)),"")</f>
        <v/>
      </c>
      <c r="J1820" s="7" t="str">
        <f aca="false">IFERROR(INDEX('Semrush Data'!$A$1:$Z$20000,MATCH(A1820,'Semrush Data'!$A$1:$A$20000,0),MATCH("Intent",'Semrush Data'!$A$1:$Z$1,0)),"")</f>
        <v/>
      </c>
    </row>
    <row r="1821" customFormat="false" ht="15" hidden="false" customHeight="true" outlineLevel="0" collapsed="false">
      <c r="A1821" s="7" t="s">
        <v>3719</v>
      </c>
      <c r="B1821" s="7" t="s">
        <v>1355</v>
      </c>
      <c r="C1821" s="7" t="n">
        <v>3</v>
      </c>
      <c r="D1821" s="7" t="n">
        <v>19</v>
      </c>
      <c r="E1821" s="7" t="n">
        <v>1</v>
      </c>
      <c r="F1821" s="7" t="s">
        <v>3715</v>
      </c>
      <c r="G1821" s="12" t="str">
        <f aca="false">IFERROR(INDEX('Semrush Data'!$A$1:$Z$20000,MATCH(A1821,'Semrush Data'!$A$1:$A$20000,0),MATCH("Volume",'Semrush Data'!$A$1:$Z$1,0)),"")</f>
        <v/>
      </c>
      <c r="H1821" s="7" t="str">
        <f aca="false">IFERROR(INDEX('Semrush Data'!$A$1:$Z$20000,MATCH(A1821,'Semrush Data'!$A$1:$A$20000,0),MATCH("Keyword Difficulty*",'Semrush Data'!$A$1:$Z$1,0)),"")</f>
        <v/>
      </c>
      <c r="I1821" s="13" t="str">
        <f aca="false">IFERROR(INDEX('Semrush Data'!$A$1:$Z$20000,MATCH(A1821,'Semrush Data'!$A$1:$A$20000,0),MATCH("CPC*",'Semrush Data'!$A$1:$Z$1,0)),"")</f>
        <v/>
      </c>
      <c r="J1821" s="7" t="str">
        <f aca="false">IFERROR(INDEX('Semrush Data'!$A$1:$Z$20000,MATCH(A1821,'Semrush Data'!$A$1:$A$20000,0),MATCH("Intent",'Semrush Data'!$A$1:$Z$1,0)),"")</f>
        <v/>
      </c>
    </row>
    <row r="1822" customFormat="false" ht="15" hidden="false" customHeight="true" outlineLevel="0" collapsed="false">
      <c r="A1822" s="7" t="s">
        <v>3730</v>
      </c>
      <c r="B1822" s="7" t="s">
        <v>1355</v>
      </c>
      <c r="C1822" s="7" t="n">
        <v>3</v>
      </c>
      <c r="D1822" s="7" t="n">
        <v>19</v>
      </c>
      <c r="E1822" s="7" t="n">
        <v>1</v>
      </c>
      <c r="F1822" s="7" t="s">
        <v>3726</v>
      </c>
      <c r="G1822" s="12" t="str">
        <f aca="false">IFERROR(INDEX('Semrush Data'!$A$1:$Z$20000,MATCH(A1822,'Semrush Data'!$A$1:$A$20000,0),MATCH("Volume",'Semrush Data'!$A$1:$Z$1,0)),"")</f>
        <v/>
      </c>
      <c r="H1822" s="7" t="str">
        <f aca="false">IFERROR(INDEX('Semrush Data'!$A$1:$Z$20000,MATCH(A1822,'Semrush Data'!$A$1:$A$20000,0),MATCH("Keyword Difficulty*",'Semrush Data'!$A$1:$Z$1,0)),"")</f>
        <v/>
      </c>
      <c r="I1822" s="13" t="str">
        <f aca="false">IFERROR(INDEX('Semrush Data'!$A$1:$Z$20000,MATCH(A1822,'Semrush Data'!$A$1:$A$20000,0),MATCH("CPC*",'Semrush Data'!$A$1:$Z$1,0)),"")</f>
        <v/>
      </c>
      <c r="J1822" s="7" t="str">
        <f aca="false">IFERROR(INDEX('Semrush Data'!$A$1:$Z$20000,MATCH(A1822,'Semrush Data'!$A$1:$A$20000,0),MATCH("Intent",'Semrush Data'!$A$1:$Z$1,0)),"")</f>
        <v/>
      </c>
    </row>
    <row r="1823" customFormat="false" ht="15" hidden="false" customHeight="true" outlineLevel="0" collapsed="false">
      <c r="A1823" s="7" t="s">
        <v>3742</v>
      </c>
      <c r="B1823" s="7" t="s">
        <v>1355</v>
      </c>
      <c r="C1823" s="7" t="n">
        <v>3</v>
      </c>
      <c r="D1823" s="7" t="n">
        <v>19</v>
      </c>
      <c r="E1823" s="7" t="n">
        <v>1</v>
      </c>
      <c r="F1823" s="7" t="s">
        <v>3738</v>
      </c>
      <c r="G1823" s="12" t="str">
        <f aca="false">IFERROR(INDEX('Semrush Data'!$A$1:$Z$20000,MATCH(A1823,'Semrush Data'!$A$1:$A$20000,0),MATCH("Volume",'Semrush Data'!$A$1:$Z$1,0)),"")</f>
        <v/>
      </c>
      <c r="H1823" s="7" t="str">
        <f aca="false">IFERROR(INDEX('Semrush Data'!$A$1:$Z$20000,MATCH(A1823,'Semrush Data'!$A$1:$A$20000,0),MATCH("Keyword Difficulty*",'Semrush Data'!$A$1:$Z$1,0)),"")</f>
        <v/>
      </c>
      <c r="I1823" s="13" t="str">
        <f aca="false">IFERROR(INDEX('Semrush Data'!$A$1:$Z$20000,MATCH(A1823,'Semrush Data'!$A$1:$A$20000,0),MATCH("CPC*",'Semrush Data'!$A$1:$Z$1,0)),"")</f>
        <v/>
      </c>
      <c r="J1823" s="7" t="str">
        <f aca="false">IFERROR(INDEX('Semrush Data'!$A$1:$Z$20000,MATCH(A1823,'Semrush Data'!$A$1:$A$20000,0),MATCH("Intent",'Semrush Data'!$A$1:$Z$1,0)),"")</f>
        <v/>
      </c>
    </row>
    <row r="1824" customFormat="false" ht="15" hidden="false" customHeight="true" outlineLevel="0" collapsed="false">
      <c r="A1824" s="7" t="s">
        <v>3753</v>
      </c>
      <c r="B1824" s="7" t="s">
        <v>1355</v>
      </c>
      <c r="C1824" s="7" t="n">
        <v>3</v>
      </c>
      <c r="D1824" s="7" t="n">
        <v>19</v>
      </c>
      <c r="E1824" s="7" t="n">
        <v>1</v>
      </c>
      <c r="F1824" s="7" t="s">
        <v>3749</v>
      </c>
      <c r="G1824" s="12" t="str">
        <f aca="false">IFERROR(INDEX('Semrush Data'!$A$1:$Z$20000,MATCH(A1824,'Semrush Data'!$A$1:$A$20000,0),MATCH("Volume",'Semrush Data'!$A$1:$Z$1,0)),"")</f>
        <v/>
      </c>
      <c r="H1824" s="7" t="str">
        <f aca="false">IFERROR(INDEX('Semrush Data'!$A$1:$Z$20000,MATCH(A1824,'Semrush Data'!$A$1:$A$20000,0),MATCH("Keyword Difficulty*",'Semrush Data'!$A$1:$Z$1,0)),"")</f>
        <v/>
      </c>
      <c r="I1824" s="13" t="str">
        <f aca="false">IFERROR(INDEX('Semrush Data'!$A$1:$Z$20000,MATCH(A1824,'Semrush Data'!$A$1:$A$20000,0),MATCH("CPC*",'Semrush Data'!$A$1:$Z$1,0)),"")</f>
        <v/>
      </c>
      <c r="J1824" s="7" t="str">
        <f aca="false">IFERROR(INDEX('Semrush Data'!$A$1:$Z$20000,MATCH(A1824,'Semrush Data'!$A$1:$A$20000,0),MATCH("Intent",'Semrush Data'!$A$1:$Z$1,0)),"")</f>
        <v/>
      </c>
    </row>
    <row r="1825" customFormat="false" ht="15" hidden="false" customHeight="true" outlineLevel="0" collapsed="false">
      <c r="A1825" s="7" t="s">
        <v>3764</v>
      </c>
      <c r="B1825" s="7" t="s">
        <v>1355</v>
      </c>
      <c r="C1825" s="7" t="n">
        <v>3</v>
      </c>
      <c r="D1825" s="7" t="n">
        <v>19</v>
      </c>
      <c r="E1825" s="7" t="n">
        <v>1</v>
      </c>
      <c r="F1825" s="7" t="s">
        <v>3760</v>
      </c>
      <c r="G1825" s="12" t="str">
        <f aca="false">IFERROR(INDEX('Semrush Data'!$A$1:$Z$20000,MATCH(A1825,'Semrush Data'!$A$1:$A$20000,0),MATCH("Volume",'Semrush Data'!$A$1:$Z$1,0)),"")</f>
        <v/>
      </c>
      <c r="H1825" s="7" t="str">
        <f aca="false">IFERROR(INDEX('Semrush Data'!$A$1:$Z$20000,MATCH(A1825,'Semrush Data'!$A$1:$A$20000,0),MATCH("Keyword Difficulty*",'Semrush Data'!$A$1:$Z$1,0)),"")</f>
        <v/>
      </c>
      <c r="I1825" s="13" t="str">
        <f aca="false">IFERROR(INDEX('Semrush Data'!$A$1:$Z$20000,MATCH(A1825,'Semrush Data'!$A$1:$A$20000,0),MATCH("CPC*",'Semrush Data'!$A$1:$Z$1,0)),"")</f>
        <v/>
      </c>
      <c r="J1825" s="7" t="str">
        <f aca="false">IFERROR(INDEX('Semrush Data'!$A$1:$Z$20000,MATCH(A1825,'Semrush Data'!$A$1:$A$20000,0),MATCH("Intent",'Semrush Data'!$A$1:$Z$1,0)),"")</f>
        <v/>
      </c>
    </row>
    <row r="1826" customFormat="false" ht="15" hidden="false" customHeight="true" outlineLevel="0" collapsed="false">
      <c r="A1826" s="7" t="s">
        <v>3775</v>
      </c>
      <c r="B1826" s="7" t="s">
        <v>1355</v>
      </c>
      <c r="C1826" s="7" t="n">
        <v>3</v>
      </c>
      <c r="D1826" s="7" t="n">
        <v>19</v>
      </c>
      <c r="E1826" s="7" t="n">
        <v>1</v>
      </c>
      <c r="F1826" s="7" t="s">
        <v>3771</v>
      </c>
      <c r="G1826" s="12" t="str">
        <f aca="false">IFERROR(INDEX('Semrush Data'!$A$1:$Z$20000,MATCH(A1826,'Semrush Data'!$A$1:$A$20000,0),MATCH("Volume",'Semrush Data'!$A$1:$Z$1,0)),"")</f>
        <v/>
      </c>
      <c r="H1826" s="7" t="str">
        <f aca="false">IFERROR(INDEX('Semrush Data'!$A$1:$Z$20000,MATCH(A1826,'Semrush Data'!$A$1:$A$20000,0),MATCH("Keyword Difficulty*",'Semrush Data'!$A$1:$Z$1,0)),"")</f>
        <v/>
      </c>
      <c r="I1826" s="13" t="str">
        <f aca="false">IFERROR(INDEX('Semrush Data'!$A$1:$Z$20000,MATCH(A1826,'Semrush Data'!$A$1:$A$20000,0),MATCH("CPC*",'Semrush Data'!$A$1:$Z$1,0)),"")</f>
        <v/>
      </c>
      <c r="J1826" s="7" t="str">
        <f aca="false">IFERROR(INDEX('Semrush Data'!$A$1:$Z$20000,MATCH(A1826,'Semrush Data'!$A$1:$A$20000,0),MATCH("Intent",'Semrush Data'!$A$1:$Z$1,0)),"")</f>
        <v/>
      </c>
    </row>
    <row r="1827" customFormat="false" ht="15" hidden="false" customHeight="true" outlineLevel="0" collapsed="false">
      <c r="A1827" s="7" t="s">
        <v>3786</v>
      </c>
      <c r="B1827" s="7" t="s">
        <v>1355</v>
      </c>
      <c r="C1827" s="7" t="n">
        <v>3</v>
      </c>
      <c r="D1827" s="7" t="n">
        <v>19</v>
      </c>
      <c r="E1827" s="7" t="n">
        <v>1</v>
      </c>
      <c r="F1827" s="7" t="s">
        <v>3782</v>
      </c>
      <c r="G1827" s="12" t="str">
        <f aca="false">IFERROR(INDEX('Semrush Data'!$A$1:$Z$20000,MATCH(A1827,'Semrush Data'!$A$1:$A$20000,0),MATCH("Volume",'Semrush Data'!$A$1:$Z$1,0)),"")</f>
        <v/>
      </c>
      <c r="H1827" s="7" t="str">
        <f aca="false">IFERROR(INDEX('Semrush Data'!$A$1:$Z$20000,MATCH(A1827,'Semrush Data'!$A$1:$A$20000,0),MATCH("Keyword Difficulty*",'Semrush Data'!$A$1:$Z$1,0)),"")</f>
        <v/>
      </c>
      <c r="I1827" s="13" t="str">
        <f aca="false">IFERROR(INDEX('Semrush Data'!$A$1:$Z$20000,MATCH(A1827,'Semrush Data'!$A$1:$A$20000,0),MATCH("CPC*",'Semrush Data'!$A$1:$Z$1,0)),"")</f>
        <v/>
      </c>
      <c r="J1827" s="7" t="str">
        <f aca="false">IFERROR(INDEX('Semrush Data'!$A$1:$Z$20000,MATCH(A1827,'Semrush Data'!$A$1:$A$20000,0),MATCH("Intent",'Semrush Data'!$A$1:$Z$1,0)),"")</f>
        <v/>
      </c>
    </row>
    <row r="1828" customFormat="false" ht="15" hidden="false" customHeight="true" outlineLevel="0" collapsed="false">
      <c r="A1828" s="7" t="s">
        <v>3842</v>
      </c>
      <c r="B1828" s="7" t="s">
        <v>1355</v>
      </c>
      <c r="C1828" s="7" t="n">
        <v>3</v>
      </c>
      <c r="D1828" s="7" t="n">
        <v>19</v>
      </c>
      <c r="E1828" s="7" t="n">
        <v>1</v>
      </c>
      <c r="F1828" s="7" t="s">
        <v>120</v>
      </c>
      <c r="G1828" s="12" t="str">
        <f aca="false">IFERROR(INDEX('Semrush Data'!$A$1:$Z$20000,MATCH(A1828,'Semrush Data'!$A$1:$A$20000,0),MATCH("Volume",'Semrush Data'!$A$1:$Z$1,0)),"")</f>
        <v/>
      </c>
      <c r="H1828" s="7" t="str">
        <f aca="false">IFERROR(INDEX('Semrush Data'!$A$1:$Z$20000,MATCH(A1828,'Semrush Data'!$A$1:$A$20000,0),MATCH("Keyword Difficulty*",'Semrush Data'!$A$1:$Z$1,0)),"")</f>
        <v/>
      </c>
      <c r="I1828" s="13" t="str">
        <f aca="false">IFERROR(INDEX('Semrush Data'!$A$1:$Z$20000,MATCH(A1828,'Semrush Data'!$A$1:$A$20000,0),MATCH("CPC*",'Semrush Data'!$A$1:$Z$1,0)),"")</f>
        <v/>
      </c>
      <c r="J1828" s="7" t="str">
        <f aca="false">IFERROR(INDEX('Semrush Data'!$A$1:$Z$20000,MATCH(A1828,'Semrush Data'!$A$1:$A$20000,0),MATCH("Intent",'Semrush Data'!$A$1:$Z$1,0)),"")</f>
        <v/>
      </c>
    </row>
    <row r="1829" customFormat="false" ht="15" hidden="false" customHeight="true" outlineLevel="0" collapsed="false">
      <c r="A1829" s="7" t="s">
        <v>3921</v>
      </c>
      <c r="B1829" s="7" t="s">
        <v>1355</v>
      </c>
      <c r="C1829" s="7" t="n">
        <v>3</v>
      </c>
      <c r="D1829" s="7" t="n">
        <v>19</v>
      </c>
      <c r="E1829" s="7" t="n">
        <v>1</v>
      </c>
      <c r="F1829" s="7" t="s">
        <v>3917</v>
      </c>
      <c r="G1829" s="12" t="str">
        <f aca="false">IFERROR(INDEX('Semrush Data'!$A$1:$Z$20000,MATCH(A1829,'Semrush Data'!$A$1:$A$20000,0),MATCH("Volume",'Semrush Data'!$A$1:$Z$1,0)),"")</f>
        <v/>
      </c>
      <c r="H1829" s="7" t="str">
        <f aca="false">IFERROR(INDEX('Semrush Data'!$A$1:$Z$20000,MATCH(A1829,'Semrush Data'!$A$1:$A$20000,0),MATCH("Keyword Difficulty*",'Semrush Data'!$A$1:$Z$1,0)),"")</f>
        <v/>
      </c>
      <c r="I1829" s="13" t="str">
        <f aca="false">IFERROR(INDEX('Semrush Data'!$A$1:$Z$20000,MATCH(A1829,'Semrush Data'!$A$1:$A$20000,0),MATCH("CPC*",'Semrush Data'!$A$1:$Z$1,0)),"")</f>
        <v/>
      </c>
      <c r="J1829" s="7" t="str">
        <f aca="false">IFERROR(INDEX('Semrush Data'!$A$1:$Z$20000,MATCH(A1829,'Semrush Data'!$A$1:$A$20000,0),MATCH("Intent",'Semrush Data'!$A$1:$Z$1,0)),"")</f>
        <v/>
      </c>
    </row>
    <row r="1830" customFormat="false" ht="15" hidden="false" customHeight="true" outlineLevel="0" collapsed="false">
      <c r="A1830" s="7" t="s">
        <v>3854</v>
      </c>
      <c r="B1830" s="7" t="s">
        <v>1355</v>
      </c>
      <c r="C1830" s="7" t="n">
        <v>3</v>
      </c>
      <c r="D1830" s="7" t="n">
        <v>19</v>
      </c>
      <c r="E1830" s="7" t="n">
        <v>1</v>
      </c>
      <c r="F1830" s="7" t="s">
        <v>3850</v>
      </c>
      <c r="G1830" s="12" t="str">
        <f aca="false">IFERROR(INDEX('Semrush Data'!$A$1:$Z$20000,MATCH(A1830,'Semrush Data'!$A$1:$A$20000,0),MATCH("Volume",'Semrush Data'!$A$1:$Z$1,0)),"")</f>
        <v/>
      </c>
      <c r="H1830" s="7" t="str">
        <f aca="false">IFERROR(INDEX('Semrush Data'!$A$1:$Z$20000,MATCH(A1830,'Semrush Data'!$A$1:$A$20000,0),MATCH("Keyword Difficulty*",'Semrush Data'!$A$1:$Z$1,0)),"")</f>
        <v/>
      </c>
      <c r="I1830" s="13" t="str">
        <f aca="false">IFERROR(INDEX('Semrush Data'!$A$1:$Z$20000,MATCH(A1830,'Semrush Data'!$A$1:$A$20000,0),MATCH("CPC*",'Semrush Data'!$A$1:$Z$1,0)),"")</f>
        <v/>
      </c>
      <c r="J1830" s="7" t="str">
        <f aca="false">IFERROR(INDEX('Semrush Data'!$A$1:$Z$20000,MATCH(A1830,'Semrush Data'!$A$1:$A$20000,0),MATCH("Intent",'Semrush Data'!$A$1:$Z$1,0)),"")</f>
        <v/>
      </c>
    </row>
    <row r="1831" customFormat="false" ht="15" hidden="false" customHeight="true" outlineLevel="0" collapsed="false">
      <c r="A1831" s="7" t="s">
        <v>3866</v>
      </c>
      <c r="B1831" s="7" t="s">
        <v>1355</v>
      </c>
      <c r="C1831" s="7" t="n">
        <v>3</v>
      </c>
      <c r="D1831" s="7" t="n">
        <v>19</v>
      </c>
      <c r="E1831" s="7" t="n">
        <v>1</v>
      </c>
      <c r="F1831" s="7" t="s">
        <v>3861</v>
      </c>
      <c r="G1831" s="12" t="str">
        <f aca="false">IFERROR(INDEX('Semrush Data'!$A$1:$Z$20000,MATCH(A1831,'Semrush Data'!$A$1:$A$20000,0),MATCH("Volume",'Semrush Data'!$A$1:$Z$1,0)),"")</f>
        <v/>
      </c>
      <c r="H1831" s="7" t="str">
        <f aca="false">IFERROR(INDEX('Semrush Data'!$A$1:$Z$20000,MATCH(A1831,'Semrush Data'!$A$1:$A$20000,0),MATCH("Keyword Difficulty*",'Semrush Data'!$A$1:$Z$1,0)),"")</f>
        <v/>
      </c>
      <c r="I1831" s="13" t="str">
        <f aca="false">IFERROR(INDEX('Semrush Data'!$A$1:$Z$20000,MATCH(A1831,'Semrush Data'!$A$1:$A$20000,0),MATCH("CPC*",'Semrush Data'!$A$1:$Z$1,0)),"")</f>
        <v/>
      </c>
      <c r="J1831" s="7" t="str">
        <f aca="false">IFERROR(INDEX('Semrush Data'!$A$1:$Z$20000,MATCH(A1831,'Semrush Data'!$A$1:$A$20000,0),MATCH("Intent",'Semrush Data'!$A$1:$Z$1,0)),"")</f>
        <v/>
      </c>
    </row>
    <row r="1832" customFormat="false" ht="15" hidden="false" customHeight="true" outlineLevel="0" collapsed="false">
      <c r="A1832" s="7" t="s">
        <v>3888</v>
      </c>
      <c r="B1832" s="7" t="s">
        <v>1355</v>
      </c>
      <c r="C1832" s="7" t="n">
        <v>3</v>
      </c>
      <c r="D1832" s="7" t="n">
        <v>19</v>
      </c>
      <c r="E1832" s="7" t="n">
        <v>1</v>
      </c>
      <c r="F1832" s="7" t="s">
        <v>3884</v>
      </c>
      <c r="G1832" s="12" t="str">
        <f aca="false">IFERROR(INDEX('Semrush Data'!$A$1:$Z$20000,MATCH(A1832,'Semrush Data'!$A$1:$A$20000,0),MATCH("Volume",'Semrush Data'!$A$1:$Z$1,0)),"")</f>
        <v/>
      </c>
      <c r="H1832" s="7" t="str">
        <f aca="false">IFERROR(INDEX('Semrush Data'!$A$1:$Z$20000,MATCH(A1832,'Semrush Data'!$A$1:$A$20000,0),MATCH("Keyword Difficulty*",'Semrush Data'!$A$1:$Z$1,0)),"")</f>
        <v/>
      </c>
      <c r="I1832" s="13" t="str">
        <f aca="false">IFERROR(INDEX('Semrush Data'!$A$1:$Z$20000,MATCH(A1832,'Semrush Data'!$A$1:$A$20000,0),MATCH("CPC*",'Semrush Data'!$A$1:$Z$1,0)),"")</f>
        <v/>
      </c>
      <c r="J1832" s="7" t="str">
        <f aca="false">IFERROR(INDEX('Semrush Data'!$A$1:$Z$20000,MATCH(A1832,'Semrush Data'!$A$1:$A$20000,0),MATCH("Intent",'Semrush Data'!$A$1:$Z$1,0)),"")</f>
        <v/>
      </c>
    </row>
    <row r="1833" customFormat="false" ht="15" hidden="false" customHeight="true" outlineLevel="0" collapsed="false">
      <c r="A1833" s="7" t="s">
        <v>3877</v>
      </c>
      <c r="B1833" s="7" t="s">
        <v>1355</v>
      </c>
      <c r="C1833" s="7" t="n">
        <v>3</v>
      </c>
      <c r="D1833" s="7" t="n">
        <v>19</v>
      </c>
      <c r="E1833" s="7" t="n">
        <v>1</v>
      </c>
      <c r="F1833" s="7" t="s">
        <v>3873</v>
      </c>
      <c r="G1833" s="12" t="str">
        <f aca="false">IFERROR(INDEX('Semrush Data'!$A$1:$Z$20000,MATCH(A1833,'Semrush Data'!$A$1:$A$20000,0),MATCH("Volume",'Semrush Data'!$A$1:$Z$1,0)),"")</f>
        <v/>
      </c>
      <c r="H1833" s="7" t="str">
        <f aca="false">IFERROR(INDEX('Semrush Data'!$A$1:$Z$20000,MATCH(A1833,'Semrush Data'!$A$1:$A$20000,0),MATCH("Keyword Difficulty*",'Semrush Data'!$A$1:$Z$1,0)),"")</f>
        <v/>
      </c>
      <c r="I1833" s="13" t="str">
        <f aca="false">IFERROR(INDEX('Semrush Data'!$A$1:$Z$20000,MATCH(A1833,'Semrush Data'!$A$1:$A$20000,0),MATCH("CPC*",'Semrush Data'!$A$1:$Z$1,0)),"")</f>
        <v/>
      </c>
      <c r="J1833" s="7" t="str">
        <f aca="false">IFERROR(INDEX('Semrush Data'!$A$1:$Z$20000,MATCH(A1833,'Semrush Data'!$A$1:$A$20000,0),MATCH("Intent",'Semrush Data'!$A$1:$Z$1,0)),"")</f>
        <v/>
      </c>
    </row>
    <row r="1834" customFormat="false" ht="15" hidden="false" customHeight="true" outlineLevel="0" collapsed="false">
      <c r="A1834" s="7" t="s">
        <v>3932</v>
      </c>
      <c r="B1834" s="7" t="s">
        <v>1355</v>
      </c>
      <c r="C1834" s="7" t="n">
        <v>3</v>
      </c>
      <c r="D1834" s="7" t="n">
        <v>19</v>
      </c>
      <c r="E1834" s="7" t="n">
        <v>1</v>
      </c>
      <c r="F1834" s="7" t="s">
        <v>3928</v>
      </c>
      <c r="G1834" s="12" t="str">
        <f aca="false">IFERROR(INDEX('Semrush Data'!$A$1:$Z$20000,MATCH(A1834,'Semrush Data'!$A$1:$A$20000,0),MATCH("Volume",'Semrush Data'!$A$1:$Z$1,0)),"")</f>
        <v/>
      </c>
      <c r="H1834" s="7" t="str">
        <f aca="false">IFERROR(INDEX('Semrush Data'!$A$1:$Z$20000,MATCH(A1834,'Semrush Data'!$A$1:$A$20000,0),MATCH("Keyword Difficulty*",'Semrush Data'!$A$1:$Z$1,0)),"")</f>
        <v/>
      </c>
      <c r="I1834" s="13" t="str">
        <f aca="false">IFERROR(INDEX('Semrush Data'!$A$1:$Z$20000,MATCH(A1834,'Semrush Data'!$A$1:$A$20000,0),MATCH("CPC*",'Semrush Data'!$A$1:$Z$1,0)),"")</f>
        <v/>
      </c>
      <c r="J1834" s="7" t="str">
        <f aca="false">IFERROR(INDEX('Semrush Data'!$A$1:$Z$20000,MATCH(A1834,'Semrush Data'!$A$1:$A$20000,0),MATCH("Intent",'Semrush Data'!$A$1:$Z$1,0)),"")</f>
        <v/>
      </c>
    </row>
    <row r="1835" customFormat="false" ht="15" hidden="false" customHeight="true" outlineLevel="0" collapsed="false">
      <c r="A1835" s="7" t="s">
        <v>3899</v>
      </c>
      <c r="B1835" s="7" t="s">
        <v>1355</v>
      </c>
      <c r="C1835" s="7" t="n">
        <v>3</v>
      </c>
      <c r="D1835" s="7" t="n">
        <v>19</v>
      </c>
      <c r="E1835" s="7" t="n">
        <v>1</v>
      </c>
      <c r="F1835" s="7" t="s">
        <v>3895</v>
      </c>
      <c r="G1835" s="12" t="str">
        <f aca="false">IFERROR(INDEX('Semrush Data'!$A$1:$Z$20000,MATCH(A1835,'Semrush Data'!$A$1:$A$20000,0),MATCH("Volume",'Semrush Data'!$A$1:$Z$1,0)),"")</f>
        <v/>
      </c>
      <c r="H1835" s="7" t="str">
        <f aca="false">IFERROR(INDEX('Semrush Data'!$A$1:$Z$20000,MATCH(A1835,'Semrush Data'!$A$1:$A$20000,0),MATCH("Keyword Difficulty*",'Semrush Data'!$A$1:$Z$1,0)),"")</f>
        <v/>
      </c>
      <c r="I1835" s="13" t="str">
        <f aca="false">IFERROR(INDEX('Semrush Data'!$A$1:$Z$20000,MATCH(A1835,'Semrush Data'!$A$1:$A$20000,0),MATCH("CPC*",'Semrush Data'!$A$1:$Z$1,0)),"")</f>
        <v/>
      </c>
      <c r="J1835" s="7" t="str">
        <f aca="false">IFERROR(INDEX('Semrush Data'!$A$1:$Z$20000,MATCH(A1835,'Semrush Data'!$A$1:$A$20000,0),MATCH("Intent",'Semrush Data'!$A$1:$Z$1,0)),"")</f>
        <v/>
      </c>
    </row>
    <row r="1836" customFormat="false" ht="15" hidden="false" customHeight="true" outlineLevel="0" collapsed="false">
      <c r="A1836" s="7" t="s">
        <v>3942</v>
      </c>
      <c r="B1836" s="7" t="s">
        <v>1355</v>
      </c>
      <c r="C1836" s="7" t="n">
        <v>3</v>
      </c>
      <c r="D1836" s="7" t="n">
        <v>19</v>
      </c>
      <c r="E1836" s="7" t="n">
        <v>1</v>
      </c>
      <c r="F1836" s="7" t="s">
        <v>3938</v>
      </c>
      <c r="G1836" s="12" t="str">
        <f aca="false">IFERROR(INDEX('Semrush Data'!$A$1:$Z$20000,MATCH(A1836,'Semrush Data'!$A$1:$A$20000,0),MATCH("Volume",'Semrush Data'!$A$1:$Z$1,0)),"")</f>
        <v/>
      </c>
      <c r="H1836" s="7" t="str">
        <f aca="false">IFERROR(INDEX('Semrush Data'!$A$1:$Z$20000,MATCH(A1836,'Semrush Data'!$A$1:$A$20000,0),MATCH("Keyword Difficulty*",'Semrush Data'!$A$1:$Z$1,0)),"")</f>
        <v/>
      </c>
      <c r="I1836" s="13" t="str">
        <f aca="false">IFERROR(INDEX('Semrush Data'!$A$1:$Z$20000,MATCH(A1836,'Semrush Data'!$A$1:$A$20000,0),MATCH("CPC*",'Semrush Data'!$A$1:$Z$1,0)),"")</f>
        <v/>
      </c>
      <c r="J1836" s="7" t="str">
        <f aca="false">IFERROR(INDEX('Semrush Data'!$A$1:$Z$20000,MATCH(A1836,'Semrush Data'!$A$1:$A$20000,0),MATCH("Intent",'Semrush Data'!$A$1:$Z$1,0)),"")</f>
        <v/>
      </c>
    </row>
    <row r="1837" customFormat="false" ht="15" hidden="false" customHeight="true" outlineLevel="0" collapsed="false">
      <c r="A1837" s="7" t="s">
        <v>3910</v>
      </c>
      <c r="B1837" s="7" t="s">
        <v>1355</v>
      </c>
      <c r="C1837" s="7" t="n">
        <v>3</v>
      </c>
      <c r="D1837" s="7" t="n">
        <v>19</v>
      </c>
      <c r="E1837" s="7" t="n">
        <v>1</v>
      </c>
      <c r="F1837" s="7" t="s">
        <v>3906</v>
      </c>
      <c r="G1837" s="12" t="str">
        <f aca="false">IFERROR(INDEX('Semrush Data'!$A$1:$Z$20000,MATCH(A1837,'Semrush Data'!$A$1:$A$20000,0),MATCH("Volume",'Semrush Data'!$A$1:$Z$1,0)),"")</f>
        <v/>
      </c>
      <c r="H1837" s="7" t="str">
        <f aca="false">IFERROR(INDEX('Semrush Data'!$A$1:$Z$20000,MATCH(A1837,'Semrush Data'!$A$1:$A$20000,0),MATCH("Keyword Difficulty*",'Semrush Data'!$A$1:$Z$1,0)),"")</f>
        <v/>
      </c>
      <c r="I1837" s="13" t="str">
        <f aca="false">IFERROR(INDEX('Semrush Data'!$A$1:$Z$20000,MATCH(A1837,'Semrush Data'!$A$1:$A$20000,0),MATCH("CPC*",'Semrush Data'!$A$1:$Z$1,0)),"")</f>
        <v/>
      </c>
      <c r="J1837" s="7" t="str">
        <f aca="false">IFERROR(INDEX('Semrush Data'!$A$1:$Z$20000,MATCH(A1837,'Semrush Data'!$A$1:$A$20000,0),MATCH("Intent",'Semrush Data'!$A$1:$Z$1,0)),"")</f>
        <v/>
      </c>
    </row>
    <row r="1838" customFormat="false" ht="15" hidden="false" customHeight="true" outlineLevel="0" collapsed="false">
      <c r="A1838" s="7" t="s">
        <v>3953</v>
      </c>
      <c r="B1838" s="7" t="s">
        <v>1355</v>
      </c>
      <c r="C1838" s="7" t="n">
        <v>3</v>
      </c>
      <c r="D1838" s="7" t="n">
        <v>19</v>
      </c>
      <c r="E1838" s="7" t="n">
        <v>1</v>
      </c>
      <c r="F1838" s="7" t="s">
        <v>3948</v>
      </c>
      <c r="G1838" s="12" t="str">
        <f aca="false">IFERROR(INDEX('Semrush Data'!$A$1:$Z$20000,MATCH(A1838,'Semrush Data'!$A$1:$A$20000,0),MATCH("Volume",'Semrush Data'!$A$1:$Z$1,0)),"")</f>
        <v/>
      </c>
      <c r="H1838" s="7" t="str">
        <f aca="false">IFERROR(INDEX('Semrush Data'!$A$1:$Z$20000,MATCH(A1838,'Semrush Data'!$A$1:$A$20000,0),MATCH("Keyword Difficulty*",'Semrush Data'!$A$1:$Z$1,0)),"")</f>
        <v/>
      </c>
      <c r="I1838" s="13" t="str">
        <f aca="false">IFERROR(INDEX('Semrush Data'!$A$1:$Z$20000,MATCH(A1838,'Semrush Data'!$A$1:$A$20000,0),MATCH("CPC*",'Semrush Data'!$A$1:$Z$1,0)),"")</f>
        <v/>
      </c>
      <c r="J1838" s="7" t="str">
        <f aca="false">IFERROR(INDEX('Semrush Data'!$A$1:$Z$20000,MATCH(A1838,'Semrush Data'!$A$1:$A$20000,0),MATCH("Intent",'Semrush Data'!$A$1:$Z$1,0)),"")</f>
        <v/>
      </c>
    </row>
    <row r="1839" customFormat="false" ht="15" hidden="false" customHeight="true" outlineLevel="0" collapsed="false">
      <c r="A1839" s="7" t="s">
        <v>3966</v>
      </c>
      <c r="B1839" s="7" t="s">
        <v>1355</v>
      </c>
      <c r="C1839" s="7" t="n">
        <v>3</v>
      </c>
      <c r="D1839" s="7" t="n">
        <v>19</v>
      </c>
      <c r="E1839" s="7" t="n">
        <v>1</v>
      </c>
      <c r="F1839" s="7" t="s">
        <v>3961</v>
      </c>
      <c r="G1839" s="12" t="str">
        <f aca="false">IFERROR(INDEX('Semrush Data'!$A$1:$Z$20000,MATCH(A1839,'Semrush Data'!$A$1:$A$20000,0),MATCH("Volume",'Semrush Data'!$A$1:$Z$1,0)),"")</f>
        <v/>
      </c>
      <c r="H1839" s="7" t="str">
        <f aca="false">IFERROR(INDEX('Semrush Data'!$A$1:$Z$20000,MATCH(A1839,'Semrush Data'!$A$1:$A$20000,0),MATCH("Keyword Difficulty*",'Semrush Data'!$A$1:$Z$1,0)),"")</f>
        <v/>
      </c>
      <c r="I1839" s="13" t="str">
        <f aca="false">IFERROR(INDEX('Semrush Data'!$A$1:$Z$20000,MATCH(A1839,'Semrush Data'!$A$1:$A$20000,0),MATCH("CPC*",'Semrush Data'!$A$1:$Z$1,0)),"")</f>
        <v/>
      </c>
      <c r="J1839" s="7" t="str">
        <f aca="false">IFERROR(INDEX('Semrush Data'!$A$1:$Z$20000,MATCH(A1839,'Semrush Data'!$A$1:$A$20000,0),MATCH("Intent",'Semrush Data'!$A$1:$Z$1,0)),"")</f>
        <v/>
      </c>
    </row>
    <row r="1840" customFormat="false" ht="15" hidden="false" customHeight="true" outlineLevel="0" collapsed="false">
      <c r="A1840" s="7" t="s">
        <v>3976</v>
      </c>
      <c r="B1840" s="7" t="s">
        <v>1355</v>
      </c>
      <c r="C1840" s="7" t="n">
        <v>3</v>
      </c>
      <c r="D1840" s="7" t="n">
        <v>19</v>
      </c>
      <c r="E1840" s="7" t="n">
        <v>1</v>
      </c>
      <c r="F1840" s="7" t="s">
        <v>126</v>
      </c>
      <c r="G1840" s="12" t="str">
        <f aca="false">IFERROR(INDEX('Semrush Data'!$A$1:$Z$20000,MATCH(A1840,'Semrush Data'!$A$1:$A$20000,0),MATCH("Volume",'Semrush Data'!$A$1:$Z$1,0)),"")</f>
        <v/>
      </c>
      <c r="H1840" s="7" t="str">
        <f aca="false">IFERROR(INDEX('Semrush Data'!$A$1:$Z$20000,MATCH(A1840,'Semrush Data'!$A$1:$A$20000,0),MATCH("Keyword Difficulty*",'Semrush Data'!$A$1:$Z$1,0)),"")</f>
        <v/>
      </c>
      <c r="I1840" s="13" t="str">
        <f aca="false">IFERROR(INDEX('Semrush Data'!$A$1:$Z$20000,MATCH(A1840,'Semrush Data'!$A$1:$A$20000,0),MATCH("CPC*",'Semrush Data'!$A$1:$Z$1,0)),"")</f>
        <v/>
      </c>
      <c r="J1840" s="7" t="str">
        <f aca="false">IFERROR(INDEX('Semrush Data'!$A$1:$Z$20000,MATCH(A1840,'Semrush Data'!$A$1:$A$20000,0),MATCH("Intent",'Semrush Data'!$A$1:$Z$1,0)),"")</f>
        <v/>
      </c>
    </row>
    <row r="1841" customFormat="false" ht="15" hidden="false" customHeight="true" outlineLevel="0" collapsed="false">
      <c r="A1841" s="7" t="s">
        <v>3988</v>
      </c>
      <c r="B1841" s="7" t="s">
        <v>1355</v>
      </c>
      <c r="C1841" s="7" t="n">
        <v>3</v>
      </c>
      <c r="D1841" s="7" t="n">
        <v>19</v>
      </c>
      <c r="E1841" s="7" t="n">
        <v>1</v>
      </c>
      <c r="F1841" s="7" t="s">
        <v>3983</v>
      </c>
      <c r="G1841" s="12" t="str">
        <f aca="false">IFERROR(INDEX('Semrush Data'!$A$1:$Z$20000,MATCH(A1841,'Semrush Data'!$A$1:$A$20000,0),MATCH("Volume",'Semrush Data'!$A$1:$Z$1,0)),"")</f>
        <v/>
      </c>
      <c r="H1841" s="7" t="str">
        <f aca="false">IFERROR(INDEX('Semrush Data'!$A$1:$Z$20000,MATCH(A1841,'Semrush Data'!$A$1:$A$20000,0),MATCH("Keyword Difficulty*",'Semrush Data'!$A$1:$Z$1,0)),"")</f>
        <v/>
      </c>
      <c r="I1841" s="13" t="str">
        <f aca="false">IFERROR(INDEX('Semrush Data'!$A$1:$Z$20000,MATCH(A1841,'Semrush Data'!$A$1:$A$20000,0),MATCH("CPC*",'Semrush Data'!$A$1:$Z$1,0)),"")</f>
        <v/>
      </c>
      <c r="J1841" s="7" t="str">
        <f aca="false">IFERROR(INDEX('Semrush Data'!$A$1:$Z$20000,MATCH(A1841,'Semrush Data'!$A$1:$A$20000,0),MATCH("Intent",'Semrush Data'!$A$1:$Z$1,0)),"")</f>
        <v/>
      </c>
    </row>
    <row r="1842" customFormat="false" ht="15" hidden="false" customHeight="true" outlineLevel="0" collapsed="false">
      <c r="A1842" s="7" t="s">
        <v>4001</v>
      </c>
      <c r="B1842" s="7" t="s">
        <v>1355</v>
      </c>
      <c r="C1842" s="7" t="n">
        <v>3</v>
      </c>
      <c r="D1842" s="7" t="n">
        <v>19</v>
      </c>
      <c r="E1842" s="7" t="n">
        <v>1</v>
      </c>
      <c r="F1842" s="7" t="s">
        <v>3996</v>
      </c>
      <c r="G1842" s="12" t="str">
        <f aca="false">IFERROR(INDEX('Semrush Data'!$A$1:$Z$20000,MATCH(A1842,'Semrush Data'!$A$1:$A$20000,0),MATCH("Volume",'Semrush Data'!$A$1:$Z$1,0)),"")</f>
        <v/>
      </c>
      <c r="H1842" s="7" t="str">
        <f aca="false">IFERROR(INDEX('Semrush Data'!$A$1:$Z$20000,MATCH(A1842,'Semrush Data'!$A$1:$A$20000,0),MATCH("Keyword Difficulty*",'Semrush Data'!$A$1:$Z$1,0)),"")</f>
        <v/>
      </c>
      <c r="I1842" s="13" t="str">
        <f aca="false">IFERROR(INDEX('Semrush Data'!$A$1:$Z$20000,MATCH(A1842,'Semrush Data'!$A$1:$A$20000,0),MATCH("CPC*",'Semrush Data'!$A$1:$Z$1,0)),"")</f>
        <v/>
      </c>
      <c r="J1842" s="7" t="str">
        <f aca="false">IFERROR(INDEX('Semrush Data'!$A$1:$Z$20000,MATCH(A1842,'Semrush Data'!$A$1:$A$20000,0),MATCH("Intent",'Semrush Data'!$A$1:$Z$1,0)),"")</f>
        <v/>
      </c>
    </row>
    <row r="1843" customFormat="false" ht="15" hidden="false" customHeight="true" outlineLevel="0" collapsed="false">
      <c r="A1843" s="7" t="s">
        <v>4014</v>
      </c>
      <c r="B1843" s="7" t="s">
        <v>1355</v>
      </c>
      <c r="C1843" s="7" t="n">
        <v>3</v>
      </c>
      <c r="D1843" s="7" t="n">
        <v>19</v>
      </c>
      <c r="E1843" s="7" t="n">
        <v>1</v>
      </c>
      <c r="F1843" s="7" t="s">
        <v>4009</v>
      </c>
      <c r="G1843" s="12" t="str">
        <f aca="false">IFERROR(INDEX('Semrush Data'!$A$1:$Z$20000,MATCH(A1843,'Semrush Data'!$A$1:$A$20000,0),MATCH("Volume",'Semrush Data'!$A$1:$Z$1,0)),"")</f>
        <v/>
      </c>
      <c r="H1843" s="7" t="str">
        <f aca="false">IFERROR(INDEX('Semrush Data'!$A$1:$Z$20000,MATCH(A1843,'Semrush Data'!$A$1:$A$20000,0),MATCH("Keyword Difficulty*",'Semrush Data'!$A$1:$Z$1,0)),"")</f>
        <v/>
      </c>
      <c r="I1843" s="13" t="str">
        <f aca="false">IFERROR(INDEX('Semrush Data'!$A$1:$Z$20000,MATCH(A1843,'Semrush Data'!$A$1:$A$20000,0),MATCH("CPC*",'Semrush Data'!$A$1:$Z$1,0)),"")</f>
        <v/>
      </c>
      <c r="J1843" s="7" t="str">
        <f aca="false">IFERROR(INDEX('Semrush Data'!$A$1:$Z$20000,MATCH(A1843,'Semrush Data'!$A$1:$A$20000,0),MATCH("Intent",'Semrush Data'!$A$1:$Z$1,0)),"")</f>
        <v/>
      </c>
    </row>
    <row r="1844" customFormat="false" ht="15" hidden="false" customHeight="true" outlineLevel="0" collapsed="false">
      <c r="A1844" s="7" t="s">
        <v>4026</v>
      </c>
      <c r="B1844" s="7" t="s">
        <v>1355</v>
      </c>
      <c r="C1844" s="7" t="n">
        <v>3</v>
      </c>
      <c r="D1844" s="7" t="n">
        <v>19</v>
      </c>
      <c r="E1844" s="7" t="n">
        <v>1</v>
      </c>
      <c r="F1844" s="7" t="s">
        <v>4022</v>
      </c>
      <c r="G1844" s="12" t="str">
        <f aca="false">IFERROR(INDEX('Semrush Data'!$A$1:$Z$20000,MATCH(A1844,'Semrush Data'!$A$1:$A$20000,0),MATCH("Volume",'Semrush Data'!$A$1:$Z$1,0)),"")</f>
        <v/>
      </c>
      <c r="H1844" s="7" t="str">
        <f aca="false">IFERROR(INDEX('Semrush Data'!$A$1:$Z$20000,MATCH(A1844,'Semrush Data'!$A$1:$A$20000,0),MATCH("Keyword Difficulty*",'Semrush Data'!$A$1:$Z$1,0)),"")</f>
        <v/>
      </c>
      <c r="I1844" s="13" t="str">
        <f aca="false">IFERROR(INDEX('Semrush Data'!$A$1:$Z$20000,MATCH(A1844,'Semrush Data'!$A$1:$A$20000,0),MATCH("CPC*",'Semrush Data'!$A$1:$Z$1,0)),"")</f>
        <v/>
      </c>
      <c r="J1844" s="7" t="str">
        <f aca="false">IFERROR(INDEX('Semrush Data'!$A$1:$Z$20000,MATCH(A1844,'Semrush Data'!$A$1:$A$20000,0),MATCH("Intent",'Semrush Data'!$A$1:$Z$1,0)),"")</f>
        <v/>
      </c>
    </row>
    <row r="1845" customFormat="false" ht="15" hidden="false" customHeight="true" outlineLevel="0" collapsed="false">
      <c r="A1845" s="7" t="s">
        <v>4038</v>
      </c>
      <c r="B1845" s="7" t="s">
        <v>1355</v>
      </c>
      <c r="C1845" s="7" t="n">
        <v>3</v>
      </c>
      <c r="D1845" s="7" t="n">
        <v>19</v>
      </c>
      <c r="E1845" s="7" t="n">
        <v>1</v>
      </c>
      <c r="F1845" s="7" t="s">
        <v>4033</v>
      </c>
      <c r="G1845" s="12" t="str">
        <f aca="false">IFERROR(INDEX('Semrush Data'!$A$1:$Z$20000,MATCH(A1845,'Semrush Data'!$A$1:$A$20000,0),MATCH("Volume",'Semrush Data'!$A$1:$Z$1,0)),"")</f>
        <v/>
      </c>
      <c r="H1845" s="7" t="str">
        <f aca="false">IFERROR(INDEX('Semrush Data'!$A$1:$Z$20000,MATCH(A1845,'Semrush Data'!$A$1:$A$20000,0),MATCH("Keyword Difficulty*",'Semrush Data'!$A$1:$Z$1,0)),"")</f>
        <v/>
      </c>
      <c r="I1845" s="13" t="str">
        <f aca="false">IFERROR(INDEX('Semrush Data'!$A$1:$Z$20000,MATCH(A1845,'Semrush Data'!$A$1:$A$20000,0),MATCH("CPC*",'Semrush Data'!$A$1:$Z$1,0)),"")</f>
        <v/>
      </c>
      <c r="J1845" s="7" t="str">
        <f aca="false">IFERROR(INDEX('Semrush Data'!$A$1:$Z$20000,MATCH(A1845,'Semrush Data'!$A$1:$A$20000,0),MATCH("Intent",'Semrush Data'!$A$1:$Z$1,0)),"")</f>
        <v/>
      </c>
    </row>
    <row r="1846" customFormat="false" ht="15" hidden="false" customHeight="true" outlineLevel="0" collapsed="false">
      <c r="A1846" s="7" t="s">
        <v>4050</v>
      </c>
      <c r="B1846" s="7" t="s">
        <v>1355</v>
      </c>
      <c r="C1846" s="7" t="n">
        <v>3</v>
      </c>
      <c r="D1846" s="7" t="n">
        <v>19</v>
      </c>
      <c r="E1846" s="7" t="n">
        <v>1</v>
      </c>
      <c r="F1846" s="7" t="s">
        <v>4046</v>
      </c>
      <c r="G1846" s="12" t="str">
        <f aca="false">IFERROR(INDEX('Semrush Data'!$A$1:$Z$20000,MATCH(A1846,'Semrush Data'!$A$1:$A$20000,0),MATCH("Volume",'Semrush Data'!$A$1:$Z$1,0)),"")</f>
        <v/>
      </c>
      <c r="H1846" s="7" t="str">
        <f aca="false">IFERROR(INDEX('Semrush Data'!$A$1:$Z$20000,MATCH(A1846,'Semrush Data'!$A$1:$A$20000,0),MATCH("Keyword Difficulty*",'Semrush Data'!$A$1:$Z$1,0)),"")</f>
        <v/>
      </c>
      <c r="I1846" s="13" t="str">
        <f aca="false">IFERROR(INDEX('Semrush Data'!$A$1:$Z$20000,MATCH(A1846,'Semrush Data'!$A$1:$A$20000,0),MATCH("CPC*",'Semrush Data'!$A$1:$Z$1,0)),"")</f>
        <v/>
      </c>
      <c r="J1846" s="7" t="str">
        <f aca="false">IFERROR(INDEX('Semrush Data'!$A$1:$Z$20000,MATCH(A1846,'Semrush Data'!$A$1:$A$20000,0),MATCH("Intent",'Semrush Data'!$A$1:$Z$1,0)),"")</f>
        <v/>
      </c>
    </row>
    <row r="1847" customFormat="false" ht="15" hidden="false" customHeight="true" outlineLevel="0" collapsed="false">
      <c r="A1847" s="7" t="s">
        <v>4061</v>
      </c>
      <c r="B1847" s="7" t="s">
        <v>1355</v>
      </c>
      <c r="C1847" s="7" t="n">
        <v>3</v>
      </c>
      <c r="D1847" s="7" t="n">
        <v>19</v>
      </c>
      <c r="E1847" s="7" t="n">
        <v>1</v>
      </c>
      <c r="F1847" s="7" t="s">
        <v>4057</v>
      </c>
      <c r="G1847" s="12" t="str">
        <f aca="false">IFERROR(INDEX('Semrush Data'!$A$1:$Z$20000,MATCH(A1847,'Semrush Data'!$A$1:$A$20000,0),MATCH("Volume",'Semrush Data'!$A$1:$Z$1,0)),"")</f>
        <v/>
      </c>
      <c r="H1847" s="7" t="str">
        <f aca="false">IFERROR(INDEX('Semrush Data'!$A$1:$Z$20000,MATCH(A1847,'Semrush Data'!$A$1:$A$20000,0),MATCH("Keyword Difficulty*",'Semrush Data'!$A$1:$Z$1,0)),"")</f>
        <v/>
      </c>
      <c r="I1847" s="13" t="str">
        <f aca="false">IFERROR(INDEX('Semrush Data'!$A$1:$Z$20000,MATCH(A1847,'Semrush Data'!$A$1:$A$20000,0),MATCH("CPC*",'Semrush Data'!$A$1:$Z$1,0)),"")</f>
        <v/>
      </c>
      <c r="J1847" s="7" t="str">
        <f aca="false">IFERROR(INDEX('Semrush Data'!$A$1:$Z$20000,MATCH(A1847,'Semrush Data'!$A$1:$A$20000,0),MATCH("Intent",'Semrush Data'!$A$1:$Z$1,0)),"")</f>
        <v/>
      </c>
    </row>
    <row r="1848" customFormat="false" ht="15" hidden="false" customHeight="true" outlineLevel="0" collapsed="false">
      <c r="A1848" s="7" t="s">
        <v>4072</v>
      </c>
      <c r="B1848" s="7" t="s">
        <v>1355</v>
      </c>
      <c r="C1848" s="7" t="n">
        <v>3</v>
      </c>
      <c r="D1848" s="7" t="n">
        <v>19</v>
      </c>
      <c r="E1848" s="7" t="n">
        <v>1</v>
      </c>
      <c r="F1848" s="7" t="s">
        <v>4068</v>
      </c>
      <c r="G1848" s="12" t="str">
        <f aca="false">IFERROR(INDEX('Semrush Data'!$A$1:$Z$20000,MATCH(A1848,'Semrush Data'!$A$1:$A$20000,0),MATCH("Volume",'Semrush Data'!$A$1:$Z$1,0)),"")</f>
        <v/>
      </c>
      <c r="H1848" s="7" t="str">
        <f aca="false">IFERROR(INDEX('Semrush Data'!$A$1:$Z$20000,MATCH(A1848,'Semrush Data'!$A$1:$A$20000,0),MATCH("Keyword Difficulty*",'Semrush Data'!$A$1:$Z$1,0)),"")</f>
        <v/>
      </c>
      <c r="I1848" s="13" t="str">
        <f aca="false">IFERROR(INDEX('Semrush Data'!$A$1:$Z$20000,MATCH(A1848,'Semrush Data'!$A$1:$A$20000,0),MATCH("CPC*",'Semrush Data'!$A$1:$Z$1,0)),"")</f>
        <v/>
      </c>
      <c r="J1848" s="7" t="str">
        <f aca="false">IFERROR(INDEX('Semrush Data'!$A$1:$Z$20000,MATCH(A1848,'Semrush Data'!$A$1:$A$20000,0),MATCH("Intent",'Semrush Data'!$A$1:$Z$1,0)),"")</f>
        <v/>
      </c>
    </row>
    <row r="1849" customFormat="false" ht="15" hidden="false" customHeight="true" outlineLevel="0" collapsed="false">
      <c r="A1849" s="7" t="s">
        <v>4084</v>
      </c>
      <c r="B1849" s="7" t="s">
        <v>1355</v>
      </c>
      <c r="C1849" s="7" t="n">
        <v>3</v>
      </c>
      <c r="D1849" s="7" t="n">
        <v>19</v>
      </c>
      <c r="E1849" s="7" t="n">
        <v>1</v>
      </c>
      <c r="F1849" s="7" t="s">
        <v>4080</v>
      </c>
      <c r="G1849" s="12" t="str">
        <f aca="false">IFERROR(INDEX('Semrush Data'!$A$1:$Z$20000,MATCH(A1849,'Semrush Data'!$A$1:$A$20000,0),MATCH("Volume",'Semrush Data'!$A$1:$Z$1,0)),"")</f>
        <v/>
      </c>
      <c r="H1849" s="7" t="str">
        <f aca="false">IFERROR(INDEX('Semrush Data'!$A$1:$Z$20000,MATCH(A1849,'Semrush Data'!$A$1:$A$20000,0),MATCH("Keyword Difficulty*",'Semrush Data'!$A$1:$Z$1,0)),"")</f>
        <v/>
      </c>
      <c r="I1849" s="13" t="str">
        <f aca="false">IFERROR(INDEX('Semrush Data'!$A$1:$Z$20000,MATCH(A1849,'Semrush Data'!$A$1:$A$20000,0),MATCH("CPC*",'Semrush Data'!$A$1:$Z$1,0)),"")</f>
        <v/>
      </c>
      <c r="J1849" s="7" t="str">
        <f aca="false">IFERROR(INDEX('Semrush Data'!$A$1:$Z$20000,MATCH(A1849,'Semrush Data'!$A$1:$A$20000,0),MATCH("Intent",'Semrush Data'!$A$1:$Z$1,0)),"")</f>
        <v/>
      </c>
    </row>
    <row r="1850" customFormat="false" ht="15" hidden="false" customHeight="true" outlineLevel="0" collapsed="false">
      <c r="A1850" s="7" t="s">
        <v>4096</v>
      </c>
      <c r="B1850" s="7" t="s">
        <v>1355</v>
      </c>
      <c r="C1850" s="7" t="n">
        <v>3</v>
      </c>
      <c r="D1850" s="7" t="n">
        <v>19</v>
      </c>
      <c r="E1850" s="7" t="n">
        <v>1</v>
      </c>
      <c r="F1850" s="7" t="s">
        <v>4092</v>
      </c>
      <c r="G1850" s="12" t="str">
        <f aca="false">IFERROR(INDEX('Semrush Data'!$A$1:$Z$20000,MATCH(A1850,'Semrush Data'!$A$1:$A$20000,0),MATCH("Volume",'Semrush Data'!$A$1:$Z$1,0)),"")</f>
        <v/>
      </c>
      <c r="H1850" s="7" t="str">
        <f aca="false">IFERROR(INDEX('Semrush Data'!$A$1:$Z$20000,MATCH(A1850,'Semrush Data'!$A$1:$A$20000,0),MATCH("Keyword Difficulty*",'Semrush Data'!$A$1:$Z$1,0)),"")</f>
        <v/>
      </c>
      <c r="I1850" s="13" t="str">
        <f aca="false">IFERROR(INDEX('Semrush Data'!$A$1:$Z$20000,MATCH(A1850,'Semrush Data'!$A$1:$A$20000,0),MATCH("CPC*",'Semrush Data'!$A$1:$Z$1,0)),"")</f>
        <v/>
      </c>
      <c r="J1850" s="7" t="str">
        <f aca="false">IFERROR(INDEX('Semrush Data'!$A$1:$Z$20000,MATCH(A1850,'Semrush Data'!$A$1:$A$20000,0),MATCH("Intent",'Semrush Data'!$A$1:$Z$1,0)),"")</f>
        <v/>
      </c>
    </row>
    <row r="1851" customFormat="false" ht="15" hidden="false" customHeight="true" outlineLevel="0" collapsed="false">
      <c r="A1851" s="7" t="s">
        <v>4107</v>
      </c>
      <c r="B1851" s="7" t="s">
        <v>1355</v>
      </c>
      <c r="C1851" s="7" t="n">
        <v>3</v>
      </c>
      <c r="D1851" s="7" t="n">
        <v>19</v>
      </c>
      <c r="E1851" s="7" t="n">
        <v>1</v>
      </c>
      <c r="F1851" s="7" t="s">
        <v>4103</v>
      </c>
      <c r="G1851" s="12" t="str">
        <f aca="false">IFERROR(INDEX('Semrush Data'!$A$1:$Z$20000,MATCH(A1851,'Semrush Data'!$A$1:$A$20000,0),MATCH("Volume",'Semrush Data'!$A$1:$Z$1,0)),"")</f>
        <v/>
      </c>
      <c r="H1851" s="7" t="str">
        <f aca="false">IFERROR(INDEX('Semrush Data'!$A$1:$Z$20000,MATCH(A1851,'Semrush Data'!$A$1:$A$20000,0),MATCH("Keyword Difficulty*",'Semrush Data'!$A$1:$Z$1,0)),"")</f>
        <v/>
      </c>
      <c r="I1851" s="13" t="str">
        <f aca="false">IFERROR(INDEX('Semrush Data'!$A$1:$Z$20000,MATCH(A1851,'Semrush Data'!$A$1:$A$20000,0),MATCH("CPC*",'Semrush Data'!$A$1:$Z$1,0)),"")</f>
        <v/>
      </c>
      <c r="J1851" s="7" t="str">
        <f aca="false">IFERROR(INDEX('Semrush Data'!$A$1:$Z$20000,MATCH(A1851,'Semrush Data'!$A$1:$A$20000,0),MATCH("Intent",'Semrush Data'!$A$1:$Z$1,0)),"")</f>
        <v/>
      </c>
    </row>
    <row r="1852" customFormat="false" ht="15" hidden="false" customHeight="true" outlineLevel="0" collapsed="false">
      <c r="A1852" s="7" t="s">
        <v>4117</v>
      </c>
      <c r="B1852" s="7" t="s">
        <v>1355</v>
      </c>
      <c r="C1852" s="7" t="n">
        <v>3</v>
      </c>
      <c r="D1852" s="7" t="n">
        <v>19</v>
      </c>
      <c r="E1852" s="7" t="n">
        <v>1</v>
      </c>
      <c r="F1852" s="7" t="s">
        <v>4113</v>
      </c>
      <c r="G1852" s="12" t="str">
        <f aca="false">IFERROR(INDEX('Semrush Data'!$A$1:$Z$20000,MATCH(A1852,'Semrush Data'!$A$1:$A$20000,0),MATCH("Volume",'Semrush Data'!$A$1:$Z$1,0)),"")</f>
        <v/>
      </c>
      <c r="H1852" s="7" t="str">
        <f aca="false">IFERROR(INDEX('Semrush Data'!$A$1:$Z$20000,MATCH(A1852,'Semrush Data'!$A$1:$A$20000,0),MATCH("Keyword Difficulty*",'Semrush Data'!$A$1:$Z$1,0)),"")</f>
        <v/>
      </c>
      <c r="I1852" s="13" t="str">
        <f aca="false">IFERROR(INDEX('Semrush Data'!$A$1:$Z$20000,MATCH(A1852,'Semrush Data'!$A$1:$A$20000,0),MATCH("CPC*",'Semrush Data'!$A$1:$Z$1,0)),"")</f>
        <v/>
      </c>
      <c r="J1852" s="7" t="str">
        <f aca="false">IFERROR(INDEX('Semrush Data'!$A$1:$Z$20000,MATCH(A1852,'Semrush Data'!$A$1:$A$20000,0),MATCH("Intent",'Semrush Data'!$A$1:$Z$1,0)),"")</f>
        <v/>
      </c>
    </row>
    <row r="1853" customFormat="false" ht="15" hidden="false" customHeight="true" outlineLevel="0" collapsed="false">
      <c r="A1853" s="7" t="s">
        <v>4127</v>
      </c>
      <c r="B1853" s="7" t="s">
        <v>1355</v>
      </c>
      <c r="C1853" s="7" t="n">
        <v>3</v>
      </c>
      <c r="D1853" s="7" t="n">
        <v>19</v>
      </c>
      <c r="E1853" s="7" t="n">
        <v>1</v>
      </c>
      <c r="F1853" s="7" t="s">
        <v>4123</v>
      </c>
      <c r="G1853" s="12" t="str">
        <f aca="false">IFERROR(INDEX('Semrush Data'!$A$1:$Z$20000,MATCH(A1853,'Semrush Data'!$A$1:$A$20000,0),MATCH("Volume",'Semrush Data'!$A$1:$Z$1,0)),"")</f>
        <v/>
      </c>
      <c r="H1853" s="7" t="str">
        <f aca="false">IFERROR(INDEX('Semrush Data'!$A$1:$Z$20000,MATCH(A1853,'Semrush Data'!$A$1:$A$20000,0),MATCH("Keyword Difficulty*",'Semrush Data'!$A$1:$Z$1,0)),"")</f>
        <v/>
      </c>
      <c r="I1853" s="13" t="str">
        <f aca="false">IFERROR(INDEX('Semrush Data'!$A$1:$Z$20000,MATCH(A1853,'Semrush Data'!$A$1:$A$20000,0),MATCH("CPC*",'Semrush Data'!$A$1:$Z$1,0)),"")</f>
        <v/>
      </c>
      <c r="J1853" s="7" t="str">
        <f aca="false">IFERROR(INDEX('Semrush Data'!$A$1:$Z$20000,MATCH(A1853,'Semrush Data'!$A$1:$A$20000,0),MATCH("Intent",'Semrush Data'!$A$1:$Z$1,0)),"")</f>
        <v/>
      </c>
    </row>
    <row r="1854" customFormat="false" ht="15" hidden="false" customHeight="true" outlineLevel="0" collapsed="false">
      <c r="A1854" s="7" t="s">
        <v>4138</v>
      </c>
      <c r="B1854" s="7" t="s">
        <v>1355</v>
      </c>
      <c r="C1854" s="7" t="n">
        <v>3</v>
      </c>
      <c r="D1854" s="7" t="n">
        <v>19</v>
      </c>
      <c r="E1854" s="7" t="n">
        <v>1</v>
      </c>
      <c r="F1854" s="7" t="s">
        <v>4134</v>
      </c>
      <c r="G1854" s="12" t="str">
        <f aca="false">IFERROR(INDEX('Semrush Data'!$A$1:$Z$20000,MATCH(A1854,'Semrush Data'!$A$1:$A$20000,0),MATCH("Volume",'Semrush Data'!$A$1:$Z$1,0)),"")</f>
        <v/>
      </c>
      <c r="H1854" s="7" t="str">
        <f aca="false">IFERROR(INDEX('Semrush Data'!$A$1:$Z$20000,MATCH(A1854,'Semrush Data'!$A$1:$A$20000,0),MATCH("Keyword Difficulty*",'Semrush Data'!$A$1:$Z$1,0)),"")</f>
        <v/>
      </c>
      <c r="I1854" s="13" t="str">
        <f aca="false">IFERROR(INDEX('Semrush Data'!$A$1:$Z$20000,MATCH(A1854,'Semrush Data'!$A$1:$A$20000,0),MATCH("CPC*",'Semrush Data'!$A$1:$Z$1,0)),"")</f>
        <v/>
      </c>
      <c r="J1854" s="7" t="str">
        <f aca="false">IFERROR(INDEX('Semrush Data'!$A$1:$Z$20000,MATCH(A1854,'Semrush Data'!$A$1:$A$20000,0),MATCH("Intent",'Semrush Data'!$A$1:$Z$1,0)),"")</f>
        <v/>
      </c>
    </row>
    <row r="1855" customFormat="false" ht="15" hidden="false" customHeight="true" outlineLevel="0" collapsed="false">
      <c r="A1855" s="7" t="s">
        <v>4149</v>
      </c>
      <c r="B1855" s="7" t="s">
        <v>1355</v>
      </c>
      <c r="C1855" s="7" t="n">
        <v>3</v>
      </c>
      <c r="D1855" s="7" t="n">
        <v>19</v>
      </c>
      <c r="E1855" s="7" t="n">
        <v>1</v>
      </c>
      <c r="F1855" s="7" t="s">
        <v>4145</v>
      </c>
      <c r="G1855" s="12" t="str">
        <f aca="false">IFERROR(INDEX('Semrush Data'!$A$1:$Z$20000,MATCH(A1855,'Semrush Data'!$A$1:$A$20000,0),MATCH("Volume",'Semrush Data'!$A$1:$Z$1,0)),"")</f>
        <v/>
      </c>
      <c r="H1855" s="7" t="str">
        <f aca="false">IFERROR(INDEX('Semrush Data'!$A$1:$Z$20000,MATCH(A1855,'Semrush Data'!$A$1:$A$20000,0),MATCH("Keyword Difficulty*",'Semrush Data'!$A$1:$Z$1,0)),"")</f>
        <v/>
      </c>
      <c r="I1855" s="13" t="str">
        <f aca="false">IFERROR(INDEX('Semrush Data'!$A$1:$Z$20000,MATCH(A1855,'Semrush Data'!$A$1:$A$20000,0),MATCH("CPC*",'Semrush Data'!$A$1:$Z$1,0)),"")</f>
        <v/>
      </c>
      <c r="J1855" s="7" t="str">
        <f aca="false">IFERROR(INDEX('Semrush Data'!$A$1:$Z$20000,MATCH(A1855,'Semrush Data'!$A$1:$A$20000,0),MATCH("Intent",'Semrush Data'!$A$1:$Z$1,0)),"")</f>
        <v/>
      </c>
    </row>
    <row r="1856" customFormat="false" ht="15" hidden="false" customHeight="true" outlineLevel="0" collapsed="false">
      <c r="A1856" s="7" t="s">
        <v>4159</v>
      </c>
      <c r="B1856" s="7" t="s">
        <v>1355</v>
      </c>
      <c r="C1856" s="7" t="n">
        <v>3</v>
      </c>
      <c r="D1856" s="7" t="n">
        <v>19</v>
      </c>
      <c r="E1856" s="7" t="n">
        <v>1</v>
      </c>
      <c r="F1856" s="7" t="s">
        <v>4155</v>
      </c>
      <c r="G1856" s="12" t="str">
        <f aca="false">IFERROR(INDEX('Semrush Data'!$A$1:$Z$20000,MATCH(A1856,'Semrush Data'!$A$1:$A$20000,0),MATCH("Volume",'Semrush Data'!$A$1:$Z$1,0)),"")</f>
        <v/>
      </c>
      <c r="H1856" s="7" t="str">
        <f aca="false">IFERROR(INDEX('Semrush Data'!$A$1:$Z$20000,MATCH(A1856,'Semrush Data'!$A$1:$A$20000,0),MATCH("Keyword Difficulty*",'Semrush Data'!$A$1:$Z$1,0)),"")</f>
        <v/>
      </c>
      <c r="I1856" s="13" t="str">
        <f aca="false">IFERROR(INDEX('Semrush Data'!$A$1:$Z$20000,MATCH(A1856,'Semrush Data'!$A$1:$A$20000,0),MATCH("CPC*",'Semrush Data'!$A$1:$Z$1,0)),"")</f>
        <v/>
      </c>
      <c r="J1856" s="7" t="str">
        <f aca="false">IFERROR(INDEX('Semrush Data'!$A$1:$Z$20000,MATCH(A1856,'Semrush Data'!$A$1:$A$20000,0),MATCH("Intent",'Semrush Data'!$A$1:$Z$1,0)),"")</f>
        <v/>
      </c>
    </row>
    <row r="1857" customFormat="false" ht="15" hidden="false" customHeight="true" outlineLevel="0" collapsed="false">
      <c r="A1857" s="7" t="s">
        <v>4172</v>
      </c>
      <c r="B1857" s="7" t="s">
        <v>1355</v>
      </c>
      <c r="C1857" s="7" t="n">
        <v>3</v>
      </c>
      <c r="D1857" s="7" t="n">
        <v>19</v>
      </c>
      <c r="E1857" s="7" t="n">
        <v>1</v>
      </c>
      <c r="F1857" s="7" t="s">
        <v>4167</v>
      </c>
      <c r="G1857" s="12" t="str">
        <f aca="false">IFERROR(INDEX('Semrush Data'!$A$1:$Z$20000,MATCH(A1857,'Semrush Data'!$A$1:$A$20000,0),MATCH("Volume",'Semrush Data'!$A$1:$Z$1,0)),"")</f>
        <v/>
      </c>
      <c r="H1857" s="7" t="str">
        <f aca="false">IFERROR(INDEX('Semrush Data'!$A$1:$Z$20000,MATCH(A1857,'Semrush Data'!$A$1:$A$20000,0),MATCH("Keyword Difficulty*",'Semrush Data'!$A$1:$Z$1,0)),"")</f>
        <v/>
      </c>
      <c r="I1857" s="13" t="str">
        <f aca="false">IFERROR(INDEX('Semrush Data'!$A$1:$Z$20000,MATCH(A1857,'Semrush Data'!$A$1:$A$20000,0),MATCH("CPC*",'Semrush Data'!$A$1:$Z$1,0)),"")</f>
        <v/>
      </c>
      <c r="J1857" s="7" t="str">
        <f aca="false">IFERROR(INDEX('Semrush Data'!$A$1:$Z$20000,MATCH(A1857,'Semrush Data'!$A$1:$A$20000,0),MATCH("Intent",'Semrush Data'!$A$1:$Z$1,0)),"")</f>
        <v/>
      </c>
    </row>
    <row r="1858" customFormat="false" ht="15" hidden="false" customHeight="true" outlineLevel="0" collapsed="false">
      <c r="A1858" s="7" t="s">
        <v>4185</v>
      </c>
      <c r="B1858" s="7" t="s">
        <v>1355</v>
      </c>
      <c r="C1858" s="7" t="n">
        <v>3</v>
      </c>
      <c r="D1858" s="7" t="n">
        <v>19</v>
      </c>
      <c r="E1858" s="7" t="n">
        <v>1</v>
      </c>
      <c r="F1858" s="7" t="s">
        <v>4180</v>
      </c>
      <c r="G1858" s="12" t="str">
        <f aca="false">IFERROR(INDEX('Semrush Data'!$A$1:$Z$20000,MATCH(A1858,'Semrush Data'!$A$1:$A$20000,0),MATCH("Volume",'Semrush Data'!$A$1:$Z$1,0)),"")</f>
        <v/>
      </c>
      <c r="H1858" s="7" t="str">
        <f aca="false">IFERROR(INDEX('Semrush Data'!$A$1:$Z$20000,MATCH(A1858,'Semrush Data'!$A$1:$A$20000,0),MATCH("Keyword Difficulty*",'Semrush Data'!$A$1:$Z$1,0)),"")</f>
        <v/>
      </c>
      <c r="I1858" s="13" t="str">
        <f aca="false">IFERROR(INDEX('Semrush Data'!$A$1:$Z$20000,MATCH(A1858,'Semrush Data'!$A$1:$A$20000,0),MATCH("CPC*",'Semrush Data'!$A$1:$Z$1,0)),"")</f>
        <v/>
      </c>
      <c r="J1858" s="7" t="str">
        <f aca="false">IFERROR(INDEX('Semrush Data'!$A$1:$Z$20000,MATCH(A1858,'Semrush Data'!$A$1:$A$20000,0),MATCH("Intent",'Semrush Data'!$A$1:$Z$1,0)),"")</f>
        <v/>
      </c>
    </row>
    <row r="1859" customFormat="false" ht="15" hidden="false" customHeight="true" outlineLevel="0" collapsed="false">
      <c r="A1859" s="7" t="s">
        <v>4196</v>
      </c>
      <c r="B1859" s="7" t="s">
        <v>1355</v>
      </c>
      <c r="C1859" s="7" t="n">
        <v>3</v>
      </c>
      <c r="D1859" s="7" t="n">
        <v>19</v>
      </c>
      <c r="E1859" s="7" t="n">
        <v>1</v>
      </c>
      <c r="F1859" s="7" t="s">
        <v>4192</v>
      </c>
      <c r="G1859" s="12" t="str">
        <f aca="false">IFERROR(INDEX('Semrush Data'!$A$1:$Z$20000,MATCH(A1859,'Semrush Data'!$A$1:$A$20000,0),MATCH("Volume",'Semrush Data'!$A$1:$Z$1,0)),"")</f>
        <v/>
      </c>
      <c r="H1859" s="7" t="str">
        <f aca="false">IFERROR(INDEX('Semrush Data'!$A$1:$Z$20000,MATCH(A1859,'Semrush Data'!$A$1:$A$20000,0),MATCH("Keyword Difficulty*",'Semrush Data'!$A$1:$Z$1,0)),"")</f>
        <v/>
      </c>
      <c r="I1859" s="13" t="str">
        <f aca="false">IFERROR(INDEX('Semrush Data'!$A$1:$Z$20000,MATCH(A1859,'Semrush Data'!$A$1:$A$20000,0),MATCH("CPC*",'Semrush Data'!$A$1:$Z$1,0)),"")</f>
        <v/>
      </c>
      <c r="J1859" s="7" t="str">
        <f aca="false">IFERROR(INDEX('Semrush Data'!$A$1:$Z$20000,MATCH(A1859,'Semrush Data'!$A$1:$A$20000,0),MATCH("Intent",'Semrush Data'!$A$1:$Z$1,0)),"")</f>
        <v/>
      </c>
    </row>
    <row r="1860" customFormat="false" ht="15" hidden="false" customHeight="true" outlineLevel="0" collapsed="false">
      <c r="A1860" s="7" t="s">
        <v>4207</v>
      </c>
      <c r="B1860" s="7" t="s">
        <v>1355</v>
      </c>
      <c r="C1860" s="7" t="n">
        <v>3</v>
      </c>
      <c r="D1860" s="7" t="n">
        <v>19</v>
      </c>
      <c r="E1860" s="7" t="n">
        <v>1</v>
      </c>
      <c r="F1860" s="7" t="s">
        <v>4203</v>
      </c>
      <c r="G1860" s="12" t="str">
        <f aca="false">IFERROR(INDEX('Semrush Data'!$A$1:$Z$20000,MATCH(A1860,'Semrush Data'!$A$1:$A$20000,0),MATCH("Volume",'Semrush Data'!$A$1:$Z$1,0)),"")</f>
        <v/>
      </c>
      <c r="H1860" s="7" t="str">
        <f aca="false">IFERROR(INDEX('Semrush Data'!$A$1:$Z$20000,MATCH(A1860,'Semrush Data'!$A$1:$A$20000,0),MATCH("Keyword Difficulty*",'Semrush Data'!$A$1:$Z$1,0)),"")</f>
        <v/>
      </c>
      <c r="I1860" s="13" t="str">
        <f aca="false">IFERROR(INDEX('Semrush Data'!$A$1:$Z$20000,MATCH(A1860,'Semrush Data'!$A$1:$A$20000,0),MATCH("CPC*",'Semrush Data'!$A$1:$Z$1,0)),"")</f>
        <v/>
      </c>
      <c r="J1860" s="7" t="str">
        <f aca="false">IFERROR(INDEX('Semrush Data'!$A$1:$Z$20000,MATCH(A1860,'Semrush Data'!$A$1:$A$20000,0),MATCH("Intent",'Semrush Data'!$A$1:$Z$1,0)),"")</f>
        <v/>
      </c>
    </row>
    <row r="1861" customFormat="false" ht="15" hidden="false" customHeight="true" outlineLevel="0" collapsed="false">
      <c r="A1861" s="7" t="s">
        <v>4219</v>
      </c>
      <c r="B1861" s="7" t="s">
        <v>1355</v>
      </c>
      <c r="C1861" s="7" t="n">
        <v>3</v>
      </c>
      <c r="D1861" s="7" t="n">
        <v>19</v>
      </c>
      <c r="E1861" s="7" t="n">
        <v>1</v>
      </c>
      <c r="F1861" s="7" t="s">
        <v>4215</v>
      </c>
      <c r="G1861" s="12" t="str">
        <f aca="false">IFERROR(INDEX('Semrush Data'!$A$1:$Z$20000,MATCH(A1861,'Semrush Data'!$A$1:$A$20000,0),MATCH("Volume",'Semrush Data'!$A$1:$Z$1,0)),"")</f>
        <v/>
      </c>
      <c r="H1861" s="7" t="str">
        <f aca="false">IFERROR(INDEX('Semrush Data'!$A$1:$Z$20000,MATCH(A1861,'Semrush Data'!$A$1:$A$20000,0),MATCH("Keyword Difficulty*",'Semrush Data'!$A$1:$Z$1,0)),"")</f>
        <v/>
      </c>
      <c r="I1861" s="13" t="str">
        <f aca="false">IFERROR(INDEX('Semrush Data'!$A$1:$Z$20000,MATCH(A1861,'Semrush Data'!$A$1:$A$20000,0),MATCH("CPC*",'Semrush Data'!$A$1:$Z$1,0)),"")</f>
        <v/>
      </c>
      <c r="J1861" s="7" t="str">
        <f aca="false">IFERROR(INDEX('Semrush Data'!$A$1:$Z$20000,MATCH(A1861,'Semrush Data'!$A$1:$A$20000,0),MATCH("Intent",'Semrush Data'!$A$1:$Z$1,0)),"")</f>
        <v/>
      </c>
    </row>
    <row r="1862" customFormat="false" ht="15" hidden="false" customHeight="true" outlineLevel="0" collapsed="false">
      <c r="A1862" s="7" t="s">
        <v>4232</v>
      </c>
      <c r="B1862" s="7" t="s">
        <v>1355</v>
      </c>
      <c r="C1862" s="7" t="n">
        <v>3</v>
      </c>
      <c r="D1862" s="7" t="n">
        <v>19</v>
      </c>
      <c r="E1862" s="7" t="n">
        <v>1</v>
      </c>
      <c r="F1862" s="7" t="s">
        <v>4226</v>
      </c>
      <c r="G1862" s="12" t="str">
        <f aca="false">IFERROR(INDEX('Semrush Data'!$A$1:$Z$20000,MATCH(A1862,'Semrush Data'!$A$1:$A$20000,0),MATCH("Volume",'Semrush Data'!$A$1:$Z$1,0)),"")</f>
        <v/>
      </c>
      <c r="H1862" s="7" t="str">
        <f aca="false">IFERROR(INDEX('Semrush Data'!$A$1:$Z$20000,MATCH(A1862,'Semrush Data'!$A$1:$A$20000,0),MATCH("Keyword Difficulty*",'Semrush Data'!$A$1:$Z$1,0)),"")</f>
        <v/>
      </c>
      <c r="I1862" s="13" t="str">
        <f aca="false">IFERROR(INDEX('Semrush Data'!$A$1:$Z$20000,MATCH(A1862,'Semrush Data'!$A$1:$A$20000,0),MATCH("CPC*",'Semrush Data'!$A$1:$Z$1,0)),"")</f>
        <v/>
      </c>
      <c r="J1862" s="7" t="str">
        <f aca="false">IFERROR(INDEX('Semrush Data'!$A$1:$Z$20000,MATCH(A1862,'Semrush Data'!$A$1:$A$20000,0),MATCH("Intent",'Semrush Data'!$A$1:$Z$1,0)),"")</f>
        <v/>
      </c>
    </row>
    <row r="1863" customFormat="false" ht="15" hidden="false" customHeight="true" outlineLevel="0" collapsed="false">
      <c r="A1863" s="7" t="s">
        <v>4244</v>
      </c>
      <c r="B1863" s="7" t="s">
        <v>1355</v>
      </c>
      <c r="C1863" s="7" t="n">
        <v>3</v>
      </c>
      <c r="D1863" s="7" t="n">
        <v>19</v>
      </c>
      <c r="E1863" s="7" t="n">
        <v>1</v>
      </c>
      <c r="F1863" s="7" t="s">
        <v>4240</v>
      </c>
      <c r="G1863" s="12" t="str">
        <f aca="false">IFERROR(INDEX('Semrush Data'!$A$1:$Z$20000,MATCH(A1863,'Semrush Data'!$A$1:$A$20000,0),MATCH("Volume",'Semrush Data'!$A$1:$Z$1,0)),"")</f>
        <v/>
      </c>
      <c r="H1863" s="7" t="str">
        <f aca="false">IFERROR(INDEX('Semrush Data'!$A$1:$Z$20000,MATCH(A1863,'Semrush Data'!$A$1:$A$20000,0),MATCH("Keyword Difficulty*",'Semrush Data'!$A$1:$Z$1,0)),"")</f>
        <v/>
      </c>
      <c r="I1863" s="13" t="str">
        <f aca="false">IFERROR(INDEX('Semrush Data'!$A$1:$Z$20000,MATCH(A1863,'Semrush Data'!$A$1:$A$20000,0),MATCH("CPC*",'Semrush Data'!$A$1:$Z$1,0)),"")</f>
        <v/>
      </c>
      <c r="J1863" s="7" t="str">
        <f aca="false">IFERROR(INDEX('Semrush Data'!$A$1:$Z$20000,MATCH(A1863,'Semrush Data'!$A$1:$A$20000,0),MATCH("Intent",'Semrush Data'!$A$1:$Z$1,0)),"")</f>
        <v/>
      </c>
    </row>
    <row r="1864" customFormat="false" ht="15" hidden="false" customHeight="true" outlineLevel="0" collapsed="false">
      <c r="A1864" s="7" t="s">
        <v>4256</v>
      </c>
      <c r="B1864" s="7" t="s">
        <v>1355</v>
      </c>
      <c r="C1864" s="7" t="n">
        <v>3</v>
      </c>
      <c r="D1864" s="7" t="n">
        <v>19</v>
      </c>
      <c r="E1864" s="7" t="n">
        <v>1</v>
      </c>
      <c r="F1864" s="7" t="s">
        <v>4252</v>
      </c>
      <c r="G1864" s="12" t="str">
        <f aca="false">IFERROR(INDEX('Semrush Data'!$A$1:$Z$20000,MATCH(A1864,'Semrush Data'!$A$1:$A$20000,0),MATCH("Volume",'Semrush Data'!$A$1:$Z$1,0)),"")</f>
        <v/>
      </c>
      <c r="H1864" s="7" t="str">
        <f aca="false">IFERROR(INDEX('Semrush Data'!$A$1:$Z$20000,MATCH(A1864,'Semrush Data'!$A$1:$A$20000,0),MATCH("Keyword Difficulty*",'Semrush Data'!$A$1:$Z$1,0)),"")</f>
        <v/>
      </c>
      <c r="I1864" s="13" t="str">
        <f aca="false">IFERROR(INDEX('Semrush Data'!$A$1:$Z$20000,MATCH(A1864,'Semrush Data'!$A$1:$A$20000,0),MATCH("CPC*",'Semrush Data'!$A$1:$Z$1,0)),"")</f>
        <v/>
      </c>
      <c r="J1864" s="7" t="str">
        <f aca="false">IFERROR(INDEX('Semrush Data'!$A$1:$Z$20000,MATCH(A1864,'Semrush Data'!$A$1:$A$20000,0),MATCH("Intent",'Semrush Data'!$A$1:$Z$1,0)),"")</f>
        <v/>
      </c>
    </row>
    <row r="1865" customFormat="false" ht="15" hidden="false" customHeight="true" outlineLevel="0" collapsed="false">
      <c r="A1865" s="7" t="s">
        <v>4267</v>
      </c>
      <c r="B1865" s="7" t="s">
        <v>1355</v>
      </c>
      <c r="C1865" s="7" t="n">
        <v>3</v>
      </c>
      <c r="D1865" s="7" t="n">
        <v>19</v>
      </c>
      <c r="E1865" s="7" t="n">
        <v>1</v>
      </c>
      <c r="F1865" s="7" t="s">
        <v>4263</v>
      </c>
      <c r="G1865" s="12" t="str">
        <f aca="false">IFERROR(INDEX('Semrush Data'!$A$1:$Z$20000,MATCH(A1865,'Semrush Data'!$A$1:$A$20000,0),MATCH("Volume",'Semrush Data'!$A$1:$Z$1,0)),"")</f>
        <v/>
      </c>
      <c r="H1865" s="7" t="str">
        <f aca="false">IFERROR(INDEX('Semrush Data'!$A$1:$Z$20000,MATCH(A1865,'Semrush Data'!$A$1:$A$20000,0),MATCH("Keyword Difficulty*",'Semrush Data'!$A$1:$Z$1,0)),"")</f>
        <v/>
      </c>
      <c r="I1865" s="13" t="str">
        <f aca="false">IFERROR(INDEX('Semrush Data'!$A$1:$Z$20000,MATCH(A1865,'Semrush Data'!$A$1:$A$20000,0),MATCH("CPC*",'Semrush Data'!$A$1:$Z$1,0)),"")</f>
        <v/>
      </c>
      <c r="J1865" s="7" t="str">
        <f aca="false">IFERROR(INDEX('Semrush Data'!$A$1:$Z$20000,MATCH(A1865,'Semrush Data'!$A$1:$A$20000,0),MATCH("Intent",'Semrush Data'!$A$1:$Z$1,0)),"")</f>
        <v/>
      </c>
    </row>
    <row r="1866" customFormat="false" ht="15" hidden="false" customHeight="true" outlineLevel="0" collapsed="false">
      <c r="A1866" s="7" t="s">
        <v>4276</v>
      </c>
      <c r="B1866" s="7" t="s">
        <v>1355</v>
      </c>
      <c r="C1866" s="7" t="n">
        <v>3</v>
      </c>
      <c r="D1866" s="7" t="s">
        <v>6818</v>
      </c>
      <c r="E1866" s="7" t="n">
        <v>1</v>
      </c>
      <c r="F1866" s="7" t="s">
        <v>80</v>
      </c>
      <c r="G1866" s="12" t="str">
        <f aca="false">IFERROR(INDEX('Semrush Data'!$A$1:$Z$20000,MATCH(A1866,'Semrush Data'!$A$1:$A$20000,0),MATCH("Volume",'Semrush Data'!$A$1:$Z$1,0)),"")</f>
        <v/>
      </c>
      <c r="H1866" s="7" t="str">
        <f aca="false">IFERROR(INDEX('Semrush Data'!$A$1:$Z$20000,MATCH(A1866,'Semrush Data'!$A$1:$A$20000,0),MATCH("Keyword Difficulty*",'Semrush Data'!$A$1:$Z$1,0)),"")</f>
        <v/>
      </c>
      <c r="I1866" s="13" t="str">
        <f aca="false">IFERROR(INDEX('Semrush Data'!$A$1:$Z$20000,MATCH(A1866,'Semrush Data'!$A$1:$A$20000,0),MATCH("CPC*",'Semrush Data'!$A$1:$Z$1,0)),"")</f>
        <v/>
      </c>
      <c r="J1866" s="7" t="str">
        <f aca="false">IFERROR(INDEX('Semrush Data'!$A$1:$Z$20000,MATCH(A1866,'Semrush Data'!$A$1:$A$20000,0),MATCH("Intent",'Semrush Data'!$A$1:$Z$1,0)),"")</f>
        <v/>
      </c>
    </row>
    <row r="1867" customFormat="false" ht="15" hidden="false" customHeight="true" outlineLevel="0" collapsed="false">
      <c r="A1867" s="7" t="s">
        <v>4288</v>
      </c>
      <c r="B1867" s="7" t="s">
        <v>1355</v>
      </c>
      <c r="C1867" s="7" t="n">
        <v>3</v>
      </c>
      <c r="D1867" s="7" t="n">
        <v>19</v>
      </c>
      <c r="E1867" s="7" t="n">
        <v>1</v>
      </c>
      <c r="F1867" s="7" t="s">
        <v>4284</v>
      </c>
      <c r="G1867" s="12" t="str">
        <f aca="false">IFERROR(INDEX('Semrush Data'!$A$1:$Z$20000,MATCH(A1867,'Semrush Data'!$A$1:$A$20000,0),MATCH("Volume",'Semrush Data'!$A$1:$Z$1,0)),"")</f>
        <v/>
      </c>
      <c r="H1867" s="7" t="str">
        <f aca="false">IFERROR(INDEX('Semrush Data'!$A$1:$Z$20000,MATCH(A1867,'Semrush Data'!$A$1:$A$20000,0),MATCH("Keyword Difficulty*",'Semrush Data'!$A$1:$Z$1,0)),"")</f>
        <v/>
      </c>
      <c r="I1867" s="13" t="str">
        <f aca="false">IFERROR(INDEX('Semrush Data'!$A$1:$Z$20000,MATCH(A1867,'Semrush Data'!$A$1:$A$20000,0),MATCH("CPC*",'Semrush Data'!$A$1:$Z$1,0)),"")</f>
        <v/>
      </c>
      <c r="J1867" s="7" t="str">
        <f aca="false">IFERROR(INDEX('Semrush Data'!$A$1:$Z$20000,MATCH(A1867,'Semrush Data'!$A$1:$A$20000,0),MATCH("Intent",'Semrush Data'!$A$1:$Z$1,0)),"")</f>
        <v/>
      </c>
    </row>
    <row r="1868" customFormat="false" ht="15" hidden="false" customHeight="true" outlineLevel="0" collapsed="false">
      <c r="A1868" s="7" t="s">
        <v>4299</v>
      </c>
      <c r="B1868" s="7" t="s">
        <v>1355</v>
      </c>
      <c r="C1868" s="7" t="n">
        <v>3</v>
      </c>
      <c r="D1868" s="7" t="n">
        <v>19</v>
      </c>
      <c r="E1868" s="7" t="n">
        <v>1</v>
      </c>
      <c r="F1868" s="7" t="s">
        <v>4295</v>
      </c>
      <c r="G1868" s="12" t="str">
        <f aca="false">IFERROR(INDEX('Semrush Data'!$A$1:$Z$20000,MATCH(A1868,'Semrush Data'!$A$1:$A$20000,0),MATCH("Volume",'Semrush Data'!$A$1:$Z$1,0)),"")</f>
        <v/>
      </c>
      <c r="H1868" s="7" t="str">
        <f aca="false">IFERROR(INDEX('Semrush Data'!$A$1:$Z$20000,MATCH(A1868,'Semrush Data'!$A$1:$A$20000,0),MATCH("Keyword Difficulty*",'Semrush Data'!$A$1:$Z$1,0)),"")</f>
        <v/>
      </c>
      <c r="I1868" s="13" t="str">
        <f aca="false">IFERROR(INDEX('Semrush Data'!$A$1:$Z$20000,MATCH(A1868,'Semrush Data'!$A$1:$A$20000,0),MATCH("CPC*",'Semrush Data'!$A$1:$Z$1,0)),"")</f>
        <v/>
      </c>
      <c r="J1868" s="7" t="str">
        <f aca="false">IFERROR(INDEX('Semrush Data'!$A$1:$Z$20000,MATCH(A1868,'Semrush Data'!$A$1:$A$20000,0),MATCH("Intent",'Semrush Data'!$A$1:$Z$1,0)),"")</f>
        <v/>
      </c>
    </row>
    <row r="1869" customFormat="false" ht="15" hidden="false" customHeight="true" outlineLevel="0" collapsed="false">
      <c r="A1869" s="7" t="s">
        <v>4310</v>
      </c>
      <c r="B1869" s="7" t="s">
        <v>1355</v>
      </c>
      <c r="C1869" s="7" t="n">
        <v>3</v>
      </c>
      <c r="D1869" s="7" t="n">
        <v>19</v>
      </c>
      <c r="E1869" s="7" t="n">
        <v>1</v>
      </c>
      <c r="F1869" s="7" t="s">
        <v>4306</v>
      </c>
      <c r="G1869" s="12" t="str">
        <f aca="false">IFERROR(INDEX('Semrush Data'!$A$1:$Z$20000,MATCH(A1869,'Semrush Data'!$A$1:$A$20000,0),MATCH("Volume",'Semrush Data'!$A$1:$Z$1,0)),"")</f>
        <v/>
      </c>
      <c r="H1869" s="7" t="str">
        <f aca="false">IFERROR(INDEX('Semrush Data'!$A$1:$Z$20000,MATCH(A1869,'Semrush Data'!$A$1:$A$20000,0),MATCH("Keyword Difficulty*",'Semrush Data'!$A$1:$Z$1,0)),"")</f>
        <v/>
      </c>
      <c r="I1869" s="13" t="str">
        <f aca="false">IFERROR(INDEX('Semrush Data'!$A$1:$Z$20000,MATCH(A1869,'Semrush Data'!$A$1:$A$20000,0),MATCH("CPC*",'Semrush Data'!$A$1:$Z$1,0)),"")</f>
        <v/>
      </c>
      <c r="J1869" s="7" t="str">
        <f aca="false">IFERROR(INDEX('Semrush Data'!$A$1:$Z$20000,MATCH(A1869,'Semrush Data'!$A$1:$A$20000,0),MATCH("Intent",'Semrush Data'!$A$1:$Z$1,0)),"")</f>
        <v/>
      </c>
    </row>
    <row r="1870" customFormat="false" ht="15" hidden="false" customHeight="true" outlineLevel="0" collapsed="false">
      <c r="A1870" s="7" t="s">
        <v>4321</v>
      </c>
      <c r="B1870" s="7" t="s">
        <v>1355</v>
      </c>
      <c r="C1870" s="7" t="n">
        <v>3</v>
      </c>
      <c r="D1870" s="7" t="n">
        <v>19</v>
      </c>
      <c r="E1870" s="7" t="n">
        <v>1</v>
      </c>
      <c r="F1870" s="7" t="s">
        <v>4317</v>
      </c>
      <c r="G1870" s="12" t="str">
        <f aca="false">IFERROR(INDEX('Semrush Data'!$A$1:$Z$20000,MATCH(A1870,'Semrush Data'!$A$1:$A$20000,0),MATCH("Volume",'Semrush Data'!$A$1:$Z$1,0)),"")</f>
        <v/>
      </c>
      <c r="H1870" s="7" t="str">
        <f aca="false">IFERROR(INDEX('Semrush Data'!$A$1:$Z$20000,MATCH(A1870,'Semrush Data'!$A$1:$A$20000,0),MATCH("Keyword Difficulty*",'Semrush Data'!$A$1:$Z$1,0)),"")</f>
        <v/>
      </c>
      <c r="I1870" s="13" t="str">
        <f aca="false">IFERROR(INDEX('Semrush Data'!$A$1:$Z$20000,MATCH(A1870,'Semrush Data'!$A$1:$A$20000,0),MATCH("CPC*",'Semrush Data'!$A$1:$Z$1,0)),"")</f>
        <v/>
      </c>
      <c r="J1870" s="7" t="str">
        <f aca="false">IFERROR(INDEX('Semrush Data'!$A$1:$Z$20000,MATCH(A1870,'Semrush Data'!$A$1:$A$20000,0),MATCH("Intent",'Semrush Data'!$A$1:$Z$1,0)),"")</f>
        <v/>
      </c>
    </row>
    <row r="1871" customFormat="false" ht="15" hidden="false" customHeight="true" outlineLevel="0" collapsed="false">
      <c r="A1871" s="7" t="s">
        <v>4332</v>
      </c>
      <c r="B1871" s="7" t="s">
        <v>1355</v>
      </c>
      <c r="C1871" s="7" t="n">
        <v>3</v>
      </c>
      <c r="D1871" s="7" t="n">
        <v>19</v>
      </c>
      <c r="E1871" s="7" t="n">
        <v>1</v>
      </c>
      <c r="F1871" s="7" t="s">
        <v>4328</v>
      </c>
      <c r="G1871" s="12" t="str">
        <f aca="false">IFERROR(INDEX('Semrush Data'!$A$1:$Z$20000,MATCH(A1871,'Semrush Data'!$A$1:$A$20000,0),MATCH("Volume",'Semrush Data'!$A$1:$Z$1,0)),"")</f>
        <v/>
      </c>
      <c r="H1871" s="7" t="str">
        <f aca="false">IFERROR(INDEX('Semrush Data'!$A$1:$Z$20000,MATCH(A1871,'Semrush Data'!$A$1:$A$20000,0),MATCH("Keyword Difficulty*",'Semrush Data'!$A$1:$Z$1,0)),"")</f>
        <v/>
      </c>
      <c r="I1871" s="13" t="str">
        <f aca="false">IFERROR(INDEX('Semrush Data'!$A$1:$Z$20000,MATCH(A1871,'Semrush Data'!$A$1:$A$20000,0),MATCH("CPC*",'Semrush Data'!$A$1:$Z$1,0)),"")</f>
        <v/>
      </c>
      <c r="J1871" s="7" t="str">
        <f aca="false">IFERROR(INDEX('Semrush Data'!$A$1:$Z$20000,MATCH(A1871,'Semrush Data'!$A$1:$A$20000,0),MATCH("Intent",'Semrush Data'!$A$1:$Z$1,0)),"")</f>
        <v/>
      </c>
    </row>
    <row r="1872" customFormat="false" ht="15" hidden="false" customHeight="true" outlineLevel="0" collapsed="false">
      <c r="A1872" s="7" t="s">
        <v>4562</v>
      </c>
      <c r="B1872" s="7" t="s">
        <v>1355</v>
      </c>
      <c r="C1872" s="7" t="n">
        <v>3</v>
      </c>
      <c r="D1872" s="7" t="n">
        <v>19</v>
      </c>
      <c r="E1872" s="7" t="n">
        <v>1</v>
      </c>
      <c r="F1872" s="7" t="s">
        <v>4557</v>
      </c>
      <c r="G1872" s="12" t="str">
        <f aca="false">IFERROR(INDEX('Semrush Data'!$A$1:$Z$20000,MATCH(A1872,'Semrush Data'!$A$1:$A$20000,0),MATCH("Volume",'Semrush Data'!$A$1:$Z$1,0)),"")</f>
        <v/>
      </c>
      <c r="H1872" s="7" t="str">
        <f aca="false">IFERROR(INDEX('Semrush Data'!$A$1:$Z$20000,MATCH(A1872,'Semrush Data'!$A$1:$A$20000,0),MATCH("Keyword Difficulty*",'Semrush Data'!$A$1:$Z$1,0)),"")</f>
        <v/>
      </c>
      <c r="I1872" s="13" t="str">
        <f aca="false">IFERROR(INDEX('Semrush Data'!$A$1:$Z$20000,MATCH(A1872,'Semrush Data'!$A$1:$A$20000,0),MATCH("CPC*",'Semrush Data'!$A$1:$Z$1,0)),"")</f>
        <v/>
      </c>
      <c r="J1872" s="7" t="str">
        <f aca="false">IFERROR(INDEX('Semrush Data'!$A$1:$Z$20000,MATCH(A1872,'Semrush Data'!$A$1:$A$20000,0),MATCH("Intent",'Semrush Data'!$A$1:$Z$1,0)),"")</f>
        <v/>
      </c>
    </row>
    <row r="1873" customFormat="false" ht="15" hidden="false" customHeight="true" outlineLevel="0" collapsed="false">
      <c r="A1873" s="7" t="s">
        <v>4344</v>
      </c>
      <c r="B1873" s="7" t="s">
        <v>1355</v>
      </c>
      <c r="C1873" s="7" t="n">
        <v>3</v>
      </c>
      <c r="D1873" s="7" t="n">
        <v>19</v>
      </c>
      <c r="E1873" s="7" t="n">
        <v>1</v>
      </c>
      <c r="F1873" s="7" t="s">
        <v>4340</v>
      </c>
      <c r="G1873" s="12" t="str">
        <f aca="false">IFERROR(INDEX('Semrush Data'!$A$1:$Z$20000,MATCH(A1873,'Semrush Data'!$A$1:$A$20000,0),MATCH("Volume",'Semrush Data'!$A$1:$Z$1,0)),"")</f>
        <v/>
      </c>
      <c r="H1873" s="7" t="str">
        <f aca="false">IFERROR(INDEX('Semrush Data'!$A$1:$Z$20000,MATCH(A1873,'Semrush Data'!$A$1:$A$20000,0),MATCH("Keyword Difficulty*",'Semrush Data'!$A$1:$Z$1,0)),"")</f>
        <v/>
      </c>
      <c r="I1873" s="13" t="str">
        <f aca="false">IFERROR(INDEX('Semrush Data'!$A$1:$Z$20000,MATCH(A1873,'Semrush Data'!$A$1:$A$20000,0),MATCH("CPC*",'Semrush Data'!$A$1:$Z$1,0)),"")</f>
        <v/>
      </c>
      <c r="J1873" s="7" t="str">
        <f aca="false">IFERROR(INDEX('Semrush Data'!$A$1:$Z$20000,MATCH(A1873,'Semrush Data'!$A$1:$A$20000,0),MATCH("Intent",'Semrush Data'!$A$1:$Z$1,0)),"")</f>
        <v/>
      </c>
    </row>
    <row r="1874" customFormat="false" ht="15" hidden="false" customHeight="true" outlineLevel="0" collapsed="false">
      <c r="A1874" s="7" t="s">
        <v>4355</v>
      </c>
      <c r="B1874" s="7" t="s">
        <v>1355</v>
      </c>
      <c r="C1874" s="7" t="n">
        <v>3</v>
      </c>
      <c r="D1874" s="7" t="n">
        <v>19</v>
      </c>
      <c r="E1874" s="7" t="n">
        <v>1</v>
      </c>
      <c r="F1874" s="7" t="s">
        <v>4351</v>
      </c>
      <c r="G1874" s="12" t="str">
        <f aca="false">IFERROR(INDEX('Semrush Data'!$A$1:$Z$20000,MATCH(A1874,'Semrush Data'!$A$1:$A$20000,0),MATCH("Volume",'Semrush Data'!$A$1:$Z$1,0)),"")</f>
        <v/>
      </c>
      <c r="H1874" s="7" t="str">
        <f aca="false">IFERROR(INDEX('Semrush Data'!$A$1:$Z$20000,MATCH(A1874,'Semrush Data'!$A$1:$A$20000,0),MATCH("Keyword Difficulty*",'Semrush Data'!$A$1:$Z$1,0)),"")</f>
        <v/>
      </c>
      <c r="I1874" s="13" t="str">
        <f aca="false">IFERROR(INDEX('Semrush Data'!$A$1:$Z$20000,MATCH(A1874,'Semrush Data'!$A$1:$A$20000,0),MATCH("CPC*",'Semrush Data'!$A$1:$Z$1,0)),"")</f>
        <v/>
      </c>
      <c r="J1874" s="7" t="str">
        <f aca="false">IFERROR(INDEX('Semrush Data'!$A$1:$Z$20000,MATCH(A1874,'Semrush Data'!$A$1:$A$20000,0),MATCH("Intent",'Semrush Data'!$A$1:$Z$1,0)),"")</f>
        <v/>
      </c>
    </row>
    <row r="1875" customFormat="false" ht="15" hidden="false" customHeight="true" outlineLevel="0" collapsed="false">
      <c r="A1875" s="7" t="s">
        <v>4366</v>
      </c>
      <c r="B1875" s="7" t="s">
        <v>1355</v>
      </c>
      <c r="C1875" s="7" t="n">
        <v>3</v>
      </c>
      <c r="D1875" s="7" t="n">
        <v>19</v>
      </c>
      <c r="E1875" s="7" t="n">
        <v>1</v>
      </c>
      <c r="F1875" s="7" t="s">
        <v>4362</v>
      </c>
      <c r="G1875" s="12" t="str">
        <f aca="false">IFERROR(INDEX('Semrush Data'!$A$1:$Z$20000,MATCH(A1875,'Semrush Data'!$A$1:$A$20000,0),MATCH("Volume",'Semrush Data'!$A$1:$Z$1,0)),"")</f>
        <v/>
      </c>
      <c r="H1875" s="7" t="str">
        <f aca="false">IFERROR(INDEX('Semrush Data'!$A$1:$Z$20000,MATCH(A1875,'Semrush Data'!$A$1:$A$20000,0),MATCH("Keyword Difficulty*",'Semrush Data'!$A$1:$Z$1,0)),"")</f>
        <v/>
      </c>
      <c r="I1875" s="13" t="str">
        <f aca="false">IFERROR(INDEX('Semrush Data'!$A$1:$Z$20000,MATCH(A1875,'Semrush Data'!$A$1:$A$20000,0),MATCH("CPC*",'Semrush Data'!$A$1:$Z$1,0)),"")</f>
        <v/>
      </c>
      <c r="J1875" s="7" t="str">
        <f aca="false">IFERROR(INDEX('Semrush Data'!$A$1:$Z$20000,MATCH(A1875,'Semrush Data'!$A$1:$A$20000,0),MATCH("Intent",'Semrush Data'!$A$1:$Z$1,0)),"")</f>
        <v/>
      </c>
    </row>
    <row r="1876" customFormat="false" ht="15" hidden="false" customHeight="true" outlineLevel="0" collapsed="false">
      <c r="A1876" s="7" t="s">
        <v>4375</v>
      </c>
      <c r="B1876" s="7" t="s">
        <v>1355</v>
      </c>
      <c r="C1876" s="7" t="n">
        <v>3</v>
      </c>
      <c r="D1876" s="7" t="n">
        <v>19</v>
      </c>
      <c r="E1876" s="7" t="n">
        <v>1</v>
      </c>
      <c r="F1876" s="7" t="s">
        <v>96</v>
      </c>
      <c r="G1876" s="12" t="str">
        <f aca="false">IFERROR(INDEX('Semrush Data'!$A$1:$Z$20000,MATCH(A1876,'Semrush Data'!$A$1:$A$20000,0),MATCH("Volume",'Semrush Data'!$A$1:$Z$1,0)),"")</f>
        <v/>
      </c>
      <c r="H1876" s="7" t="str">
        <f aca="false">IFERROR(INDEX('Semrush Data'!$A$1:$Z$20000,MATCH(A1876,'Semrush Data'!$A$1:$A$20000,0),MATCH("Keyword Difficulty*",'Semrush Data'!$A$1:$Z$1,0)),"")</f>
        <v/>
      </c>
      <c r="I1876" s="13" t="str">
        <f aca="false">IFERROR(INDEX('Semrush Data'!$A$1:$Z$20000,MATCH(A1876,'Semrush Data'!$A$1:$A$20000,0),MATCH("CPC*",'Semrush Data'!$A$1:$Z$1,0)),"")</f>
        <v/>
      </c>
      <c r="J1876" s="7" t="str">
        <f aca="false">IFERROR(INDEX('Semrush Data'!$A$1:$Z$20000,MATCH(A1876,'Semrush Data'!$A$1:$A$20000,0),MATCH("Intent",'Semrush Data'!$A$1:$Z$1,0)),"")</f>
        <v/>
      </c>
    </row>
    <row r="1877" customFormat="false" ht="15" hidden="false" customHeight="true" outlineLevel="0" collapsed="false">
      <c r="A1877" s="7" t="s">
        <v>4386</v>
      </c>
      <c r="B1877" s="7" t="s">
        <v>1355</v>
      </c>
      <c r="C1877" s="7" t="n">
        <v>3</v>
      </c>
      <c r="D1877" s="7" t="n">
        <v>19</v>
      </c>
      <c r="E1877" s="7" t="n">
        <v>1</v>
      </c>
      <c r="F1877" s="7" t="s">
        <v>4382</v>
      </c>
      <c r="G1877" s="12" t="str">
        <f aca="false">IFERROR(INDEX('Semrush Data'!$A$1:$Z$20000,MATCH(A1877,'Semrush Data'!$A$1:$A$20000,0),MATCH("Volume",'Semrush Data'!$A$1:$Z$1,0)),"")</f>
        <v/>
      </c>
      <c r="H1877" s="7" t="str">
        <f aca="false">IFERROR(INDEX('Semrush Data'!$A$1:$Z$20000,MATCH(A1877,'Semrush Data'!$A$1:$A$20000,0),MATCH("Keyword Difficulty*",'Semrush Data'!$A$1:$Z$1,0)),"")</f>
        <v/>
      </c>
      <c r="I1877" s="13" t="str">
        <f aca="false">IFERROR(INDEX('Semrush Data'!$A$1:$Z$20000,MATCH(A1877,'Semrush Data'!$A$1:$A$20000,0),MATCH("CPC*",'Semrush Data'!$A$1:$Z$1,0)),"")</f>
        <v/>
      </c>
      <c r="J1877" s="7" t="str">
        <f aca="false">IFERROR(INDEX('Semrush Data'!$A$1:$Z$20000,MATCH(A1877,'Semrush Data'!$A$1:$A$20000,0),MATCH("Intent",'Semrush Data'!$A$1:$Z$1,0)),"")</f>
        <v/>
      </c>
    </row>
    <row r="1878" customFormat="false" ht="15" hidden="false" customHeight="true" outlineLevel="0" collapsed="false">
      <c r="A1878" s="7" t="s">
        <v>4397</v>
      </c>
      <c r="B1878" s="7" t="s">
        <v>1355</v>
      </c>
      <c r="C1878" s="7" t="n">
        <v>3</v>
      </c>
      <c r="D1878" s="7" t="n">
        <v>19</v>
      </c>
      <c r="E1878" s="7" t="n">
        <v>1</v>
      </c>
      <c r="F1878" s="7" t="s">
        <v>4393</v>
      </c>
      <c r="G1878" s="12" t="str">
        <f aca="false">IFERROR(INDEX('Semrush Data'!$A$1:$Z$20000,MATCH(A1878,'Semrush Data'!$A$1:$A$20000,0),MATCH("Volume",'Semrush Data'!$A$1:$Z$1,0)),"")</f>
        <v/>
      </c>
      <c r="H1878" s="7" t="str">
        <f aca="false">IFERROR(INDEX('Semrush Data'!$A$1:$Z$20000,MATCH(A1878,'Semrush Data'!$A$1:$A$20000,0),MATCH("Keyword Difficulty*",'Semrush Data'!$A$1:$Z$1,0)),"")</f>
        <v/>
      </c>
      <c r="I1878" s="13" t="str">
        <f aca="false">IFERROR(INDEX('Semrush Data'!$A$1:$Z$20000,MATCH(A1878,'Semrush Data'!$A$1:$A$20000,0),MATCH("CPC*",'Semrush Data'!$A$1:$Z$1,0)),"")</f>
        <v/>
      </c>
      <c r="J1878" s="7" t="str">
        <f aca="false">IFERROR(INDEX('Semrush Data'!$A$1:$Z$20000,MATCH(A1878,'Semrush Data'!$A$1:$A$20000,0),MATCH("Intent",'Semrush Data'!$A$1:$Z$1,0)),"")</f>
        <v/>
      </c>
    </row>
    <row r="1879" customFormat="false" ht="15" hidden="false" customHeight="true" outlineLevel="0" collapsed="false">
      <c r="A1879" s="7" t="s">
        <v>4573</v>
      </c>
      <c r="B1879" s="7" t="s">
        <v>1355</v>
      </c>
      <c r="C1879" s="7" t="n">
        <v>3</v>
      </c>
      <c r="D1879" s="7" t="n">
        <v>19</v>
      </c>
      <c r="E1879" s="7" t="n">
        <v>1</v>
      </c>
      <c r="F1879" s="7" t="s">
        <v>4568</v>
      </c>
      <c r="G1879" s="12" t="str">
        <f aca="false">IFERROR(INDEX('Semrush Data'!$A$1:$Z$20000,MATCH(A1879,'Semrush Data'!$A$1:$A$20000,0),MATCH("Volume",'Semrush Data'!$A$1:$Z$1,0)),"")</f>
        <v/>
      </c>
      <c r="H1879" s="7" t="str">
        <f aca="false">IFERROR(INDEX('Semrush Data'!$A$1:$Z$20000,MATCH(A1879,'Semrush Data'!$A$1:$A$20000,0),MATCH("Keyword Difficulty*",'Semrush Data'!$A$1:$Z$1,0)),"")</f>
        <v/>
      </c>
      <c r="I1879" s="13" t="str">
        <f aca="false">IFERROR(INDEX('Semrush Data'!$A$1:$Z$20000,MATCH(A1879,'Semrush Data'!$A$1:$A$20000,0),MATCH("CPC*",'Semrush Data'!$A$1:$Z$1,0)),"")</f>
        <v/>
      </c>
      <c r="J1879" s="7" t="str">
        <f aca="false">IFERROR(INDEX('Semrush Data'!$A$1:$Z$20000,MATCH(A1879,'Semrush Data'!$A$1:$A$20000,0),MATCH("Intent",'Semrush Data'!$A$1:$Z$1,0)),"")</f>
        <v/>
      </c>
    </row>
    <row r="1880" customFormat="false" ht="15" hidden="false" customHeight="true" outlineLevel="0" collapsed="false">
      <c r="A1880" s="7" t="s">
        <v>4585</v>
      </c>
      <c r="B1880" s="7" t="s">
        <v>1355</v>
      </c>
      <c r="C1880" s="7" t="n">
        <v>3</v>
      </c>
      <c r="D1880" s="7" t="n">
        <v>19</v>
      </c>
      <c r="E1880" s="7" t="n">
        <v>1</v>
      </c>
      <c r="F1880" s="7" t="s">
        <v>4580</v>
      </c>
      <c r="G1880" s="12" t="str">
        <f aca="false">IFERROR(INDEX('Semrush Data'!$A$1:$Z$20000,MATCH(A1880,'Semrush Data'!$A$1:$A$20000,0),MATCH("Volume",'Semrush Data'!$A$1:$Z$1,0)),"")</f>
        <v/>
      </c>
      <c r="H1880" s="7" t="str">
        <f aca="false">IFERROR(INDEX('Semrush Data'!$A$1:$Z$20000,MATCH(A1880,'Semrush Data'!$A$1:$A$20000,0),MATCH("Keyword Difficulty*",'Semrush Data'!$A$1:$Z$1,0)),"")</f>
        <v/>
      </c>
      <c r="I1880" s="13" t="str">
        <f aca="false">IFERROR(INDEX('Semrush Data'!$A$1:$Z$20000,MATCH(A1880,'Semrush Data'!$A$1:$A$20000,0),MATCH("CPC*",'Semrush Data'!$A$1:$Z$1,0)),"")</f>
        <v/>
      </c>
      <c r="J1880" s="7" t="str">
        <f aca="false">IFERROR(INDEX('Semrush Data'!$A$1:$Z$20000,MATCH(A1880,'Semrush Data'!$A$1:$A$20000,0),MATCH("Intent",'Semrush Data'!$A$1:$Z$1,0)),"")</f>
        <v/>
      </c>
    </row>
    <row r="1881" customFormat="false" ht="15" hidden="false" customHeight="true" outlineLevel="0" collapsed="false">
      <c r="A1881" s="7" t="s">
        <v>4596</v>
      </c>
      <c r="B1881" s="7" t="s">
        <v>1355</v>
      </c>
      <c r="C1881" s="7" t="n">
        <v>3</v>
      </c>
      <c r="D1881" s="7" t="n">
        <v>19</v>
      </c>
      <c r="E1881" s="7" t="n">
        <v>1</v>
      </c>
      <c r="F1881" s="7" t="s">
        <v>112</v>
      </c>
      <c r="G1881" s="12" t="str">
        <f aca="false">IFERROR(INDEX('Semrush Data'!$A$1:$Z$20000,MATCH(A1881,'Semrush Data'!$A$1:$A$20000,0),MATCH("Volume",'Semrush Data'!$A$1:$Z$1,0)),"")</f>
        <v/>
      </c>
      <c r="H1881" s="7" t="str">
        <f aca="false">IFERROR(INDEX('Semrush Data'!$A$1:$Z$20000,MATCH(A1881,'Semrush Data'!$A$1:$A$20000,0),MATCH("Keyword Difficulty*",'Semrush Data'!$A$1:$Z$1,0)),"")</f>
        <v/>
      </c>
      <c r="I1881" s="13" t="str">
        <f aca="false">IFERROR(INDEX('Semrush Data'!$A$1:$Z$20000,MATCH(A1881,'Semrush Data'!$A$1:$A$20000,0),MATCH("CPC*",'Semrush Data'!$A$1:$Z$1,0)),"")</f>
        <v/>
      </c>
      <c r="J1881" s="7" t="str">
        <f aca="false">IFERROR(INDEX('Semrush Data'!$A$1:$Z$20000,MATCH(A1881,'Semrush Data'!$A$1:$A$20000,0),MATCH("Intent",'Semrush Data'!$A$1:$Z$1,0)),"")</f>
        <v/>
      </c>
    </row>
    <row r="1882" customFormat="false" ht="15" hidden="false" customHeight="true" outlineLevel="0" collapsed="false">
      <c r="A1882" s="7" t="s">
        <v>4608</v>
      </c>
      <c r="B1882" s="7" t="s">
        <v>1355</v>
      </c>
      <c r="C1882" s="7" t="n">
        <v>3</v>
      </c>
      <c r="D1882" s="7" t="n">
        <v>19</v>
      </c>
      <c r="E1882" s="7" t="n">
        <v>1</v>
      </c>
      <c r="F1882" s="7" t="s">
        <v>4604</v>
      </c>
      <c r="G1882" s="12" t="str">
        <f aca="false">IFERROR(INDEX('Semrush Data'!$A$1:$Z$20000,MATCH(A1882,'Semrush Data'!$A$1:$A$20000,0),MATCH("Volume",'Semrush Data'!$A$1:$Z$1,0)),"")</f>
        <v/>
      </c>
      <c r="H1882" s="7" t="str">
        <f aca="false">IFERROR(INDEX('Semrush Data'!$A$1:$Z$20000,MATCH(A1882,'Semrush Data'!$A$1:$A$20000,0),MATCH("Keyword Difficulty*",'Semrush Data'!$A$1:$Z$1,0)),"")</f>
        <v/>
      </c>
      <c r="I1882" s="13" t="str">
        <f aca="false">IFERROR(INDEX('Semrush Data'!$A$1:$Z$20000,MATCH(A1882,'Semrush Data'!$A$1:$A$20000,0),MATCH("CPC*",'Semrush Data'!$A$1:$Z$1,0)),"")</f>
        <v/>
      </c>
      <c r="J1882" s="7" t="str">
        <f aca="false">IFERROR(INDEX('Semrush Data'!$A$1:$Z$20000,MATCH(A1882,'Semrush Data'!$A$1:$A$20000,0),MATCH("Intent",'Semrush Data'!$A$1:$Z$1,0)),"")</f>
        <v/>
      </c>
    </row>
    <row r="1883" customFormat="false" ht="15" hidden="false" customHeight="true" outlineLevel="0" collapsed="false">
      <c r="A1883" s="7" t="s">
        <v>4694</v>
      </c>
      <c r="B1883" s="7" t="s">
        <v>1355</v>
      </c>
      <c r="C1883" s="7" t="n">
        <v>3</v>
      </c>
      <c r="D1883" s="7" t="n">
        <v>19</v>
      </c>
      <c r="E1883" s="7" t="n">
        <v>1</v>
      </c>
      <c r="F1883" s="7" t="s">
        <v>4690</v>
      </c>
      <c r="G1883" s="12" t="str">
        <f aca="false">IFERROR(INDEX('Semrush Data'!$A$1:$Z$20000,MATCH(A1883,'Semrush Data'!$A$1:$A$20000,0),MATCH("Volume",'Semrush Data'!$A$1:$Z$1,0)),"")</f>
        <v/>
      </c>
      <c r="H1883" s="7" t="str">
        <f aca="false">IFERROR(INDEX('Semrush Data'!$A$1:$Z$20000,MATCH(A1883,'Semrush Data'!$A$1:$A$20000,0),MATCH("Keyword Difficulty*",'Semrush Data'!$A$1:$Z$1,0)),"")</f>
        <v/>
      </c>
      <c r="I1883" s="13" t="str">
        <f aca="false">IFERROR(INDEX('Semrush Data'!$A$1:$Z$20000,MATCH(A1883,'Semrush Data'!$A$1:$A$20000,0),MATCH("CPC*",'Semrush Data'!$A$1:$Z$1,0)),"")</f>
        <v/>
      </c>
      <c r="J1883" s="7" t="str">
        <f aca="false">IFERROR(INDEX('Semrush Data'!$A$1:$Z$20000,MATCH(A1883,'Semrush Data'!$A$1:$A$20000,0),MATCH("Intent",'Semrush Data'!$A$1:$Z$1,0)),"")</f>
        <v/>
      </c>
    </row>
    <row r="1884" customFormat="false" ht="15" hidden="false" customHeight="true" outlineLevel="0" collapsed="false">
      <c r="A1884" s="7" t="s">
        <v>4673</v>
      </c>
      <c r="B1884" s="7" t="s">
        <v>1355</v>
      </c>
      <c r="C1884" s="7" t="n">
        <v>3</v>
      </c>
      <c r="D1884" s="7" t="n">
        <v>19</v>
      </c>
      <c r="E1884" s="7" t="n">
        <v>1</v>
      </c>
      <c r="F1884" s="7" t="s">
        <v>4669</v>
      </c>
      <c r="G1884" s="12" t="str">
        <f aca="false">IFERROR(INDEX('Semrush Data'!$A$1:$Z$20000,MATCH(A1884,'Semrush Data'!$A$1:$A$20000,0),MATCH("Volume",'Semrush Data'!$A$1:$Z$1,0)),"")</f>
        <v/>
      </c>
      <c r="H1884" s="7" t="str">
        <f aca="false">IFERROR(INDEX('Semrush Data'!$A$1:$Z$20000,MATCH(A1884,'Semrush Data'!$A$1:$A$20000,0),MATCH("Keyword Difficulty*",'Semrush Data'!$A$1:$Z$1,0)),"")</f>
        <v/>
      </c>
      <c r="I1884" s="13" t="str">
        <f aca="false">IFERROR(INDEX('Semrush Data'!$A$1:$Z$20000,MATCH(A1884,'Semrush Data'!$A$1:$A$20000,0),MATCH("CPC*",'Semrush Data'!$A$1:$Z$1,0)),"")</f>
        <v/>
      </c>
      <c r="J1884" s="7" t="str">
        <f aca="false">IFERROR(INDEX('Semrush Data'!$A$1:$Z$20000,MATCH(A1884,'Semrush Data'!$A$1:$A$20000,0),MATCH("Intent",'Semrush Data'!$A$1:$Z$1,0)),"")</f>
        <v/>
      </c>
    </row>
    <row r="1885" customFormat="false" ht="15" hidden="false" customHeight="true" outlineLevel="0" collapsed="false">
      <c r="A1885" s="7" t="s">
        <v>4746</v>
      </c>
      <c r="B1885" s="7" t="s">
        <v>1355</v>
      </c>
      <c r="C1885" s="7" t="n">
        <v>3</v>
      </c>
      <c r="D1885" s="7" t="n">
        <v>19</v>
      </c>
      <c r="E1885" s="7" t="n">
        <v>1</v>
      </c>
      <c r="F1885" s="7" t="s">
        <v>4742</v>
      </c>
      <c r="G1885" s="12" t="str">
        <f aca="false">IFERROR(INDEX('Semrush Data'!$A$1:$Z$20000,MATCH(A1885,'Semrush Data'!$A$1:$A$20000,0),MATCH("Volume",'Semrush Data'!$A$1:$Z$1,0)),"")</f>
        <v/>
      </c>
      <c r="H1885" s="7" t="str">
        <f aca="false">IFERROR(INDEX('Semrush Data'!$A$1:$Z$20000,MATCH(A1885,'Semrush Data'!$A$1:$A$20000,0),MATCH("Keyword Difficulty*",'Semrush Data'!$A$1:$Z$1,0)),"")</f>
        <v/>
      </c>
      <c r="I1885" s="13" t="str">
        <f aca="false">IFERROR(INDEX('Semrush Data'!$A$1:$Z$20000,MATCH(A1885,'Semrush Data'!$A$1:$A$20000,0),MATCH("CPC*",'Semrush Data'!$A$1:$Z$1,0)),"")</f>
        <v/>
      </c>
      <c r="J1885" s="7" t="str">
        <f aca="false">IFERROR(INDEX('Semrush Data'!$A$1:$Z$20000,MATCH(A1885,'Semrush Data'!$A$1:$A$20000,0),MATCH("Intent",'Semrush Data'!$A$1:$Z$1,0)),"")</f>
        <v/>
      </c>
    </row>
    <row r="1886" customFormat="false" ht="15" hidden="false" customHeight="true" outlineLevel="0" collapsed="false">
      <c r="A1886" s="7" t="s">
        <v>4621</v>
      </c>
      <c r="B1886" s="7" t="s">
        <v>1355</v>
      </c>
      <c r="C1886" s="7" t="n">
        <v>3</v>
      </c>
      <c r="D1886" s="7" t="n">
        <v>19</v>
      </c>
      <c r="E1886" s="7" t="n">
        <v>1</v>
      </c>
      <c r="F1886" s="7" t="s">
        <v>4616</v>
      </c>
      <c r="G1886" s="12" t="str">
        <f aca="false">IFERROR(INDEX('Semrush Data'!$A$1:$Z$20000,MATCH(A1886,'Semrush Data'!$A$1:$A$20000,0),MATCH("Volume",'Semrush Data'!$A$1:$Z$1,0)),"")</f>
        <v/>
      </c>
      <c r="H1886" s="7" t="str">
        <f aca="false">IFERROR(INDEX('Semrush Data'!$A$1:$Z$20000,MATCH(A1886,'Semrush Data'!$A$1:$A$20000,0),MATCH("Keyword Difficulty*",'Semrush Data'!$A$1:$Z$1,0)),"")</f>
        <v/>
      </c>
      <c r="I1886" s="13" t="str">
        <f aca="false">IFERROR(INDEX('Semrush Data'!$A$1:$Z$20000,MATCH(A1886,'Semrush Data'!$A$1:$A$20000,0),MATCH("CPC*",'Semrush Data'!$A$1:$Z$1,0)),"")</f>
        <v/>
      </c>
      <c r="J1886" s="7" t="str">
        <f aca="false">IFERROR(INDEX('Semrush Data'!$A$1:$Z$20000,MATCH(A1886,'Semrush Data'!$A$1:$A$20000,0),MATCH("Intent",'Semrush Data'!$A$1:$Z$1,0)),"")</f>
        <v/>
      </c>
    </row>
    <row r="1887" customFormat="false" ht="15" hidden="false" customHeight="true" outlineLevel="0" collapsed="false">
      <c r="A1887" s="7" t="s">
        <v>4630</v>
      </c>
      <c r="B1887" s="7" t="s">
        <v>1355</v>
      </c>
      <c r="C1887" s="7" t="n">
        <v>3</v>
      </c>
      <c r="D1887" s="7" t="s">
        <v>6818</v>
      </c>
      <c r="E1887" s="7" t="n">
        <v>1</v>
      </c>
      <c r="F1887" s="7" t="s">
        <v>64</v>
      </c>
      <c r="G1887" s="12" t="str">
        <f aca="false">IFERROR(INDEX('Semrush Data'!$A$1:$Z$20000,MATCH(A1887,'Semrush Data'!$A$1:$A$20000,0),MATCH("Volume",'Semrush Data'!$A$1:$Z$1,0)),"")</f>
        <v/>
      </c>
      <c r="H1887" s="7" t="str">
        <f aca="false">IFERROR(INDEX('Semrush Data'!$A$1:$Z$20000,MATCH(A1887,'Semrush Data'!$A$1:$A$20000,0),MATCH("Keyword Difficulty*",'Semrush Data'!$A$1:$Z$1,0)),"")</f>
        <v/>
      </c>
      <c r="I1887" s="13" t="str">
        <f aca="false">IFERROR(INDEX('Semrush Data'!$A$1:$Z$20000,MATCH(A1887,'Semrush Data'!$A$1:$A$20000,0),MATCH("CPC*",'Semrush Data'!$A$1:$Z$1,0)),"")</f>
        <v/>
      </c>
      <c r="J1887" s="7" t="str">
        <f aca="false">IFERROR(INDEX('Semrush Data'!$A$1:$Z$20000,MATCH(A1887,'Semrush Data'!$A$1:$A$20000,0),MATCH("Intent",'Semrush Data'!$A$1:$Z$1,0)),"")</f>
        <v/>
      </c>
    </row>
    <row r="1888" customFormat="false" ht="15" hidden="false" customHeight="true" outlineLevel="0" collapsed="false">
      <c r="A1888" s="7" t="s">
        <v>4705</v>
      </c>
      <c r="B1888" s="7" t="s">
        <v>1355</v>
      </c>
      <c r="C1888" s="7" t="n">
        <v>3</v>
      </c>
      <c r="D1888" s="7" t="n">
        <v>19</v>
      </c>
      <c r="E1888" s="7" t="n">
        <v>1</v>
      </c>
      <c r="F1888" s="7" t="s">
        <v>4700</v>
      </c>
      <c r="G1888" s="12" t="str">
        <f aca="false">IFERROR(INDEX('Semrush Data'!$A$1:$Z$20000,MATCH(A1888,'Semrush Data'!$A$1:$A$20000,0),MATCH("Volume",'Semrush Data'!$A$1:$Z$1,0)),"")</f>
        <v/>
      </c>
      <c r="H1888" s="7" t="str">
        <f aca="false">IFERROR(INDEX('Semrush Data'!$A$1:$Z$20000,MATCH(A1888,'Semrush Data'!$A$1:$A$20000,0),MATCH("Keyword Difficulty*",'Semrush Data'!$A$1:$Z$1,0)),"")</f>
        <v/>
      </c>
      <c r="I1888" s="13" t="str">
        <f aca="false">IFERROR(INDEX('Semrush Data'!$A$1:$Z$20000,MATCH(A1888,'Semrush Data'!$A$1:$A$20000,0),MATCH("CPC*",'Semrush Data'!$A$1:$Z$1,0)),"")</f>
        <v/>
      </c>
      <c r="J1888" s="7" t="str">
        <f aca="false">IFERROR(INDEX('Semrush Data'!$A$1:$Z$20000,MATCH(A1888,'Semrush Data'!$A$1:$A$20000,0),MATCH("Intent",'Semrush Data'!$A$1:$Z$1,0)),"")</f>
        <v/>
      </c>
    </row>
    <row r="1889" customFormat="false" ht="15" hidden="false" customHeight="true" outlineLevel="0" collapsed="false">
      <c r="A1889" s="7" t="s">
        <v>4641</v>
      </c>
      <c r="B1889" s="7" t="s">
        <v>1355</v>
      </c>
      <c r="C1889" s="7" t="n">
        <v>3</v>
      </c>
      <c r="D1889" s="7" t="n">
        <v>19</v>
      </c>
      <c r="E1889" s="7" t="n">
        <v>1</v>
      </c>
      <c r="F1889" s="7" t="s">
        <v>4637</v>
      </c>
      <c r="G1889" s="12" t="str">
        <f aca="false">IFERROR(INDEX('Semrush Data'!$A$1:$Z$20000,MATCH(A1889,'Semrush Data'!$A$1:$A$20000,0),MATCH("Volume",'Semrush Data'!$A$1:$Z$1,0)),"")</f>
        <v/>
      </c>
      <c r="H1889" s="7" t="str">
        <f aca="false">IFERROR(INDEX('Semrush Data'!$A$1:$Z$20000,MATCH(A1889,'Semrush Data'!$A$1:$A$20000,0),MATCH("Keyword Difficulty*",'Semrush Data'!$A$1:$Z$1,0)),"")</f>
        <v/>
      </c>
      <c r="I1889" s="13" t="str">
        <f aca="false">IFERROR(INDEX('Semrush Data'!$A$1:$Z$20000,MATCH(A1889,'Semrush Data'!$A$1:$A$20000,0),MATCH("CPC*",'Semrush Data'!$A$1:$Z$1,0)),"")</f>
        <v/>
      </c>
      <c r="J1889" s="7" t="str">
        <f aca="false">IFERROR(INDEX('Semrush Data'!$A$1:$Z$20000,MATCH(A1889,'Semrush Data'!$A$1:$A$20000,0),MATCH("Intent",'Semrush Data'!$A$1:$Z$1,0)),"")</f>
        <v/>
      </c>
    </row>
    <row r="1890" customFormat="false" ht="15" hidden="false" customHeight="true" outlineLevel="0" collapsed="false">
      <c r="A1890" s="7" t="s">
        <v>4716</v>
      </c>
      <c r="B1890" s="7" t="s">
        <v>1355</v>
      </c>
      <c r="C1890" s="7" t="n">
        <v>3</v>
      </c>
      <c r="D1890" s="7" t="n">
        <v>19</v>
      </c>
      <c r="E1890" s="7" t="n">
        <v>1</v>
      </c>
      <c r="F1890" s="7" t="s">
        <v>4712</v>
      </c>
      <c r="G1890" s="12" t="str">
        <f aca="false">IFERROR(INDEX('Semrush Data'!$A$1:$Z$20000,MATCH(A1890,'Semrush Data'!$A$1:$A$20000,0),MATCH("Volume",'Semrush Data'!$A$1:$Z$1,0)),"")</f>
        <v/>
      </c>
      <c r="H1890" s="7" t="str">
        <f aca="false">IFERROR(INDEX('Semrush Data'!$A$1:$Z$20000,MATCH(A1890,'Semrush Data'!$A$1:$A$20000,0),MATCH("Keyword Difficulty*",'Semrush Data'!$A$1:$Z$1,0)),"")</f>
        <v/>
      </c>
      <c r="I1890" s="13" t="str">
        <f aca="false">IFERROR(INDEX('Semrush Data'!$A$1:$Z$20000,MATCH(A1890,'Semrush Data'!$A$1:$A$20000,0),MATCH("CPC*",'Semrush Data'!$A$1:$Z$1,0)),"")</f>
        <v/>
      </c>
      <c r="J1890" s="7" t="str">
        <f aca="false">IFERROR(INDEX('Semrush Data'!$A$1:$Z$20000,MATCH(A1890,'Semrush Data'!$A$1:$A$20000,0),MATCH("Intent",'Semrush Data'!$A$1:$Z$1,0)),"")</f>
        <v/>
      </c>
    </row>
    <row r="1891" customFormat="false" ht="15" hidden="false" customHeight="true" outlineLevel="0" collapsed="false">
      <c r="A1891" s="7" t="s">
        <v>4651</v>
      </c>
      <c r="B1891" s="7" t="s">
        <v>1355</v>
      </c>
      <c r="C1891" s="7" t="n">
        <v>3</v>
      </c>
      <c r="D1891" s="7" t="n">
        <v>19</v>
      </c>
      <c r="E1891" s="7" t="n">
        <v>1</v>
      </c>
      <c r="F1891" s="7" t="s">
        <v>4647</v>
      </c>
      <c r="G1891" s="12" t="str">
        <f aca="false">IFERROR(INDEX('Semrush Data'!$A$1:$Z$20000,MATCH(A1891,'Semrush Data'!$A$1:$A$20000,0),MATCH("Volume",'Semrush Data'!$A$1:$Z$1,0)),"")</f>
        <v/>
      </c>
      <c r="H1891" s="7" t="str">
        <f aca="false">IFERROR(INDEX('Semrush Data'!$A$1:$Z$20000,MATCH(A1891,'Semrush Data'!$A$1:$A$20000,0),MATCH("Keyword Difficulty*",'Semrush Data'!$A$1:$Z$1,0)),"")</f>
        <v/>
      </c>
      <c r="I1891" s="13" t="str">
        <f aca="false">IFERROR(INDEX('Semrush Data'!$A$1:$Z$20000,MATCH(A1891,'Semrush Data'!$A$1:$A$20000,0),MATCH("CPC*",'Semrush Data'!$A$1:$Z$1,0)),"")</f>
        <v/>
      </c>
      <c r="J1891" s="7" t="str">
        <f aca="false">IFERROR(INDEX('Semrush Data'!$A$1:$Z$20000,MATCH(A1891,'Semrush Data'!$A$1:$A$20000,0),MATCH("Intent",'Semrush Data'!$A$1:$Z$1,0)),"")</f>
        <v/>
      </c>
    </row>
    <row r="1892" customFormat="false" ht="15" hidden="false" customHeight="true" outlineLevel="0" collapsed="false">
      <c r="A1892" s="7" t="s">
        <v>4682</v>
      </c>
      <c r="B1892" s="7" t="s">
        <v>1355</v>
      </c>
      <c r="C1892" s="7" t="n">
        <v>3</v>
      </c>
      <c r="D1892" s="7" t="s">
        <v>6818</v>
      </c>
      <c r="E1892" s="7" t="n">
        <v>1</v>
      </c>
      <c r="F1892" s="7" t="s">
        <v>78</v>
      </c>
      <c r="G1892" s="12" t="str">
        <f aca="false">IFERROR(INDEX('Semrush Data'!$A$1:$Z$20000,MATCH(A1892,'Semrush Data'!$A$1:$A$20000,0),MATCH("Volume",'Semrush Data'!$A$1:$Z$1,0)),"")</f>
        <v/>
      </c>
      <c r="H1892" s="7" t="str">
        <f aca="false">IFERROR(INDEX('Semrush Data'!$A$1:$Z$20000,MATCH(A1892,'Semrush Data'!$A$1:$A$20000,0),MATCH("Keyword Difficulty*",'Semrush Data'!$A$1:$Z$1,0)),"")</f>
        <v/>
      </c>
      <c r="I1892" s="13" t="str">
        <f aca="false">IFERROR(INDEX('Semrush Data'!$A$1:$Z$20000,MATCH(A1892,'Semrush Data'!$A$1:$A$20000,0),MATCH("CPC*",'Semrush Data'!$A$1:$Z$1,0)),"")</f>
        <v/>
      </c>
      <c r="J1892" s="7" t="str">
        <f aca="false">IFERROR(INDEX('Semrush Data'!$A$1:$Z$20000,MATCH(A1892,'Semrush Data'!$A$1:$A$20000,0),MATCH("Intent",'Semrush Data'!$A$1:$Z$1,0)),"")</f>
        <v/>
      </c>
    </row>
    <row r="1893" customFormat="false" ht="15" hidden="false" customHeight="true" outlineLevel="0" collapsed="false">
      <c r="A1893" s="7" t="s">
        <v>4661</v>
      </c>
      <c r="B1893" s="7" t="s">
        <v>1355</v>
      </c>
      <c r="C1893" s="7" t="n">
        <v>3</v>
      </c>
      <c r="D1893" s="7" t="s">
        <v>6818</v>
      </c>
      <c r="E1893" s="7" t="n">
        <v>1</v>
      </c>
      <c r="F1893" s="7" t="s">
        <v>56</v>
      </c>
      <c r="G1893" s="12" t="str">
        <f aca="false">IFERROR(INDEX('Semrush Data'!$A$1:$Z$20000,MATCH(A1893,'Semrush Data'!$A$1:$A$20000,0),MATCH("Volume",'Semrush Data'!$A$1:$Z$1,0)),"")</f>
        <v/>
      </c>
      <c r="H1893" s="7" t="str">
        <f aca="false">IFERROR(INDEX('Semrush Data'!$A$1:$Z$20000,MATCH(A1893,'Semrush Data'!$A$1:$A$20000,0),MATCH("Keyword Difficulty*",'Semrush Data'!$A$1:$Z$1,0)),"")</f>
        <v/>
      </c>
      <c r="I1893" s="13" t="str">
        <f aca="false">IFERROR(INDEX('Semrush Data'!$A$1:$Z$20000,MATCH(A1893,'Semrush Data'!$A$1:$A$20000,0),MATCH("CPC*",'Semrush Data'!$A$1:$Z$1,0)),"")</f>
        <v/>
      </c>
      <c r="J1893" s="7" t="str">
        <f aca="false">IFERROR(INDEX('Semrush Data'!$A$1:$Z$20000,MATCH(A1893,'Semrush Data'!$A$1:$A$20000,0),MATCH("Intent",'Semrush Data'!$A$1:$Z$1,0)),"")</f>
        <v/>
      </c>
    </row>
    <row r="1894" customFormat="false" ht="15" hidden="false" customHeight="true" outlineLevel="0" collapsed="false">
      <c r="A1894" s="7" t="s">
        <v>4726</v>
      </c>
      <c r="B1894" s="7" t="s">
        <v>1355</v>
      </c>
      <c r="C1894" s="7" t="n">
        <v>3</v>
      </c>
      <c r="D1894" s="7" t="n">
        <v>19</v>
      </c>
      <c r="E1894" s="7" t="n">
        <v>1</v>
      </c>
      <c r="F1894" s="7" t="s">
        <v>4722</v>
      </c>
      <c r="G1894" s="12" t="str">
        <f aca="false">IFERROR(INDEX('Semrush Data'!$A$1:$Z$20000,MATCH(A1894,'Semrush Data'!$A$1:$A$20000,0),MATCH("Volume",'Semrush Data'!$A$1:$Z$1,0)),"")</f>
        <v/>
      </c>
      <c r="H1894" s="7" t="str">
        <f aca="false">IFERROR(INDEX('Semrush Data'!$A$1:$Z$20000,MATCH(A1894,'Semrush Data'!$A$1:$A$20000,0),MATCH("Keyword Difficulty*",'Semrush Data'!$A$1:$Z$1,0)),"")</f>
        <v/>
      </c>
      <c r="I1894" s="13" t="str">
        <f aca="false">IFERROR(INDEX('Semrush Data'!$A$1:$Z$20000,MATCH(A1894,'Semrush Data'!$A$1:$A$20000,0),MATCH("CPC*",'Semrush Data'!$A$1:$Z$1,0)),"")</f>
        <v/>
      </c>
      <c r="J1894" s="7" t="str">
        <f aca="false">IFERROR(INDEX('Semrush Data'!$A$1:$Z$20000,MATCH(A1894,'Semrush Data'!$A$1:$A$20000,0),MATCH("Intent",'Semrush Data'!$A$1:$Z$1,0)),"")</f>
        <v/>
      </c>
    </row>
    <row r="1895" customFormat="false" ht="15" hidden="false" customHeight="true" outlineLevel="0" collapsed="false">
      <c r="A1895" s="7" t="s">
        <v>4736</v>
      </c>
      <c r="B1895" s="7" t="s">
        <v>1355</v>
      </c>
      <c r="C1895" s="7" t="n">
        <v>3</v>
      </c>
      <c r="D1895" s="7" t="n">
        <v>19</v>
      </c>
      <c r="E1895" s="7" t="n">
        <v>1</v>
      </c>
      <c r="F1895" s="7" t="s">
        <v>4732</v>
      </c>
      <c r="G1895" s="12" t="str">
        <f aca="false">IFERROR(INDEX('Semrush Data'!$A$1:$Z$20000,MATCH(A1895,'Semrush Data'!$A$1:$A$20000,0),MATCH("Volume",'Semrush Data'!$A$1:$Z$1,0)),"")</f>
        <v/>
      </c>
      <c r="H1895" s="7" t="str">
        <f aca="false">IFERROR(INDEX('Semrush Data'!$A$1:$Z$20000,MATCH(A1895,'Semrush Data'!$A$1:$A$20000,0),MATCH("Keyword Difficulty*",'Semrush Data'!$A$1:$Z$1,0)),"")</f>
        <v/>
      </c>
      <c r="I1895" s="13" t="str">
        <f aca="false">IFERROR(INDEX('Semrush Data'!$A$1:$Z$20000,MATCH(A1895,'Semrush Data'!$A$1:$A$20000,0),MATCH("CPC*",'Semrush Data'!$A$1:$Z$1,0)),"")</f>
        <v/>
      </c>
      <c r="J1895" s="7" t="str">
        <f aca="false">IFERROR(INDEX('Semrush Data'!$A$1:$Z$20000,MATCH(A1895,'Semrush Data'!$A$1:$A$20000,0),MATCH("Intent",'Semrush Data'!$A$1:$Z$1,0)),"")</f>
        <v/>
      </c>
    </row>
    <row r="1896" customFormat="false" ht="15" hidden="false" customHeight="true" outlineLevel="0" collapsed="false">
      <c r="A1896" s="7" t="s">
        <v>4810</v>
      </c>
      <c r="B1896" s="7" t="s">
        <v>1355</v>
      </c>
      <c r="C1896" s="7" t="n">
        <v>3</v>
      </c>
      <c r="D1896" s="7" t="n">
        <v>19</v>
      </c>
      <c r="E1896" s="7" t="n">
        <v>1</v>
      </c>
      <c r="F1896" s="7" t="s">
        <v>4806</v>
      </c>
      <c r="G1896" s="12" t="str">
        <f aca="false">IFERROR(INDEX('Semrush Data'!$A$1:$Z$20000,MATCH(A1896,'Semrush Data'!$A$1:$A$20000,0),MATCH("Volume",'Semrush Data'!$A$1:$Z$1,0)),"")</f>
        <v/>
      </c>
      <c r="H1896" s="7" t="str">
        <f aca="false">IFERROR(INDEX('Semrush Data'!$A$1:$Z$20000,MATCH(A1896,'Semrush Data'!$A$1:$A$20000,0),MATCH("Keyword Difficulty*",'Semrush Data'!$A$1:$Z$1,0)),"")</f>
        <v/>
      </c>
      <c r="I1896" s="13" t="str">
        <f aca="false">IFERROR(INDEX('Semrush Data'!$A$1:$Z$20000,MATCH(A1896,'Semrush Data'!$A$1:$A$20000,0),MATCH("CPC*",'Semrush Data'!$A$1:$Z$1,0)),"")</f>
        <v/>
      </c>
      <c r="J1896" s="7" t="str">
        <f aca="false">IFERROR(INDEX('Semrush Data'!$A$1:$Z$20000,MATCH(A1896,'Semrush Data'!$A$1:$A$20000,0),MATCH("Intent",'Semrush Data'!$A$1:$Z$1,0)),"")</f>
        <v/>
      </c>
    </row>
    <row r="1897" customFormat="false" ht="15" hidden="false" customHeight="true" outlineLevel="0" collapsed="false">
      <c r="A1897" s="7" t="s">
        <v>4756</v>
      </c>
      <c r="B1897" s="7" t="s">
        <v>1355</v>
      </c>
      <c r="C1897" s="7" t="n">
        <v>3</v>
      </c>
      <c r="D1897" s="7" t="n">
        <v>19</v>
      </c>
      <c r="E1897" s="7" t="n">
        <v>1</v>
      </c>
      <c r="F1897" s="7" t="s">
        <v>122</v>
      </c>
      <c r="G1897" s="12" t="str">
        <f aca="false">IFERROR(INDEX('Semrush Data'!$A$1:$Z$20000,MATCH(A1897,'Semrush Data'!$A$1:$A$20000,0),MATCH("Volume",'Semrush Data'!$A$1:$Z$1,0)),"")</f>
        <v/>
      </c>
      <c r="H1897" s="7" t="str">
        <f aca="false">IFERROR(INDEX('Semrush Data'!$A$1:$Z$20000,MATCH(A1897,'Semrush Data'!$A$1:$A$20000,0),MATCH("Keyword Difficulty*",'Semrush Data'!$A$1:$Z$1,0)),"")</f>
        <v/>
      </c>
      <c r="I1897" s="13" t="str">
        <f aca="false">IFERROR(INDEX('Semrush Data'!$A$1:$Z$20000,MATCH(A1897,'Semrush Data'!$A$1:$A$20000,0),MATCH("CPC*",'Semrush Data'!$A$1:$Z$1,0)),"")</f>
        <v/>
      </c>
      <c r="J1897" s="7" t="str">
        <f aca="false">IFERROR(INDEX('Semrush Data'!$A$1:$Z$20000,MATCH(A1897,'Semrush Data'!$A$1:$A$20000,0),MATCH("Intent",'Semrush Data'!$A$1:$Z$1,0)),"")</f>
        <v/>
      </c>
    </row>
    <row r="1898" customFormat="false" ht="15" hidden="false" customHeight="true" outlineLevel="0" collapsed="false">
      <c r="A1898" s="7" t="s">
        <v>4768</v>
      </c>
      <c r="B1898" s="7" t="s">
        <v>1355</v>
      </c>
      <c r="C1898" s="7" t="n">
        <v>3</v>
      </c>
      <c r="D1898" s="7" t="n">
        <v>19</v>
      </c>
      <c r="E1898" s="7" t="n">
        <v>1</v>
      </c>
      <c r="F1898" s="7" t="s">
        <v>4764</v>
      </c>
      <c r="G1898" s="12" t="str">
        <f aca="false">IFERROR(INDEX('Semrush Data'!$A$1:$Z$20000,MATCH(A1898,'Semrush Data'!$A$1:$A$20000,0),MATCH("Volume",'Semrush Data'!$A$1:$Z$1,0)),"")</f>
        <v/>
      </c>
      <c r="H1898" s="7" t="str">
        <f aca="false">IFERROR(INDEX('Semrush Data'!$A$1:$Z$20000,MATCH(A1898,'Semrush Data'!$A$1:$A$20000,0),MATCH("Keyword Difficulty*",'Semrush Data'!$A$1:$Z$1,0)),"")</f>
        <v/>
      </c>
      <c r="I1898" s="13" t="str">
        <f aca="false">IFERROR(INDEX('Semrush Data'!$A$1:$Z$20000,MATCH(A1898,'Semrush Data'!$A$1:$A$20000,0),MATCH("CPC*",'Semrush Data'!$A$1:$Z$1,0)),"")</f>
        <v/>
      </c>
      <c r="J1898" s="7" t="str">
        <f aca="false">IFERROR(INDEX('Semrush Data'!$A$1:$Z$20000,MATCH(A1898,'Semrush Data'!$A$1:$A$20000,0),MATCH("Intent",'Semrush Data'!$A$1:$Z$1,0)),"")</f>
        <v/>
      </c>
    </row>
    <row r="1899" customFormat="false" ht="15" hidden="false" customHeight="true" outlineLevel="0" collapsed="false">
      <c r="A1899" s="7" t="s">
        <v>4821</v>
      </c>
      <c r="B1899" s="7" t="s">
        <v>1355</v>
      </c>
      <c r="C1899" s="7" t="n">
        <v>3</v>
      </c>
      <c r="D1899" s="7" t="n">
        <v>19</v>
      </c>
      <c r="E1899" s="7" t="n">
        <v>1</v>
      </c>
      <c r="F1899" s="7" t="s">
        <v>4817</v>
      </c>
      <c r="G1899" s="12" t="str">
        <f aca="false">IFERROR(INDEX('Semrush Data'!$A$1:$Z$20000,MATCH(A1899,'Semrush Data'!$A$1:$A$20000,0),MATCH("Volume",'Semrush Data'!$A$1:$Z$1,0)),"")</f>
        <v/>
      </c>
      <c r="H1899" s="7" t="str">
        <f aca="false">IFERROR(INDEX('Semrush Data'!$A$1:$Z$20000,MATCH(A1899,'Semrush Data'!$A$1:$A$20000,0),MATCH("Keyword Difficulty*",'Semrush Data'!$A$1:$Z$1,0)),"")</f>
        <v/>
      </c>
      <c r="I1899" s="13" t="str">
        <f aca="false">IFERROR(INDEX('Semrush Data'!$A$1:$Z$20000,MATCH(A1899,'Semrush Data'!$A$1:$A$20000,0),MATCH("CPC*",'Semrush Data'!$A$1:$Z$1,0)),"")</f>
        <v/>
      </c>
      <c r="J1899" s="7" t="str">
        <f aca="false">IFERROR(INDEX('Semrush Data'!$A$1:$Z$20000,MATCH(A1899,'Semrush Data'!$A$1:$A$20000,0),MATCH("Intent",'Semrush Data'!$A$1:$Z$1,0)),"")</f>
        <v/>
      </c>
    </row>
    <row r="1900" customFormat="false" ht="15" hidden="false" customHeight="true" outlineLevel="0" collapsed="false">
      <c r="A1900" s="7" t="s">
        <v>4832</v>
      </c>
      <c r="B1900" s="7" t="s">
        <v>1355</v>
      </c>
      <c r="C1900" s="7" t="n">
        <v>3</v>
      </c>
      <c r="D1900" s="7" t="n">
        <v>19</v>
      </c>
      <c r="E1900" s="7" t="n">
        <v>1</v>
      </c>
      <c r="F1900" s="7" t="s">
        <v>4828</v>
      </c>
      <c r="G1900" s="12" t="str">
        <f aca="false">IFERROR(INDEX('Semrush Data'!$A$1:$Z$20000,MATCH(A1900,'Semrush Data'!$A$1:$A$20000,0),MATCH("Volume",'Semrush Data'!$A$1:$Z$1,0)),"")</f>
        <v/>
      </c>
      <c r="H1900" s="7" t="str">
        <f aca="false">IFERROR(INDEX('Semrush Data'!$A$1:$Z$20000,MATCH(A1900,'Semrush Data'!$A$1:$A$20000,0),MATCH("Keyword Difficulty*",'Semrush Data'!$A$1:$Z$1,0)),"")</f>
        <v/>
      </c>
      <c r="I1900" s="13" t="str">
        <f aca="false">IFERROR(INDEX('Semrush Data'!$A$1:$Z$20000,MATCH(A1900,'Semrush Data'!$A$1:$A$20000,0),MATCH("CPC*",'Semrush Data'!$A$1:$Z$1,0)),"")</f>
        <v/>
      </c>
      <c r="J1900" s="7" t="str">
        <f aca="false">IFERROR(INDEX('Semrush Data'!$A$1:$Z$20000,MATCH(A1900,'Semrush Data'!$A$1:$A$20000,0),MATCH("Intent",'Semrush Data'!$A$1:$Z$1,0)),"")</f>
        <v/>
      </c>
    </row>
    <row r="1901" customFormat="false" ht="15" hidden="false" customHeight="true" outlineLevel="0" collapsed="false">
      <c r="A1901" s="7" t="s">
        <v>4780</v>
      </c>
      <c r="B1901" s="7" t="s">
        <v>1355</v>
      </c>
      <c r="C1901" s="7" t="n">
        <v>3</v>
      </c>
      <c r="D1901" s="7" t="n">
        <v>19</v>
      </c>
      <c r="E1901" s="7" t="n">
        <v>1</v>
      </c>
      <c r="F1901" s="7" t="s">
        <v>4776</v>
      </c>
      <c r="G1901" s="12" t="str">
        <f aca="false">IFERROR(INDEX('Semrush Data'!$A$1:$Z$20000,MATCH(A1901,'Semrush Data'!$A$1:$A$20000,0),MATCH("Volume",'Semrush Data'!$A$1:$Z$1,0)),"")</f>
        <v/>
      </c>
      <c r="H1901" s="7" t="str">
        <f aca="false">IFERROR(INDEX('Semrush Data'!$A$1:$Z$20000,MATCH(A1901,'Semrush Data'!$A$1:$A$20000,0),MATCH("Keyword Difficulty*",'Semrush Data'!$A$1:$Z$1,0)),"")</f>
        <v/>
      </c>
      <c r="I1901" s="13" t="str">
        <f aca="false">IFERROR(INDEX('Semrush Data'!$A$1:$Z$20000,MATCH(A1901,'Semrush Data'!$A$1:$A$20000,0),MATCH("CPC*",'Semrush Data'!$A$1:$Z$1,0)),"")</f>
        <v/>
      </c>
      <c r="J1901" s="7" t="str">
        <f aca="false">IFERROR(INDEX('Semrush Data'!$A$1:$Z$20000,MATCH(A1901,'Semrush Data'!$A$1:$A$20000,0),MATCH("Intent",'Semrush Data'!$A$1:$Z$1,0)),"")</f>
        <v/>
      </c>
    </row>
    <row r="1902" customFormat="false" ht="15" hidden="false" customHeight="true" outlineLevel="0" collapsed="false">
      <c r="A1902" s="7" t="s">
        <v>4790</v>
      </c>
      <c r="B1902" s="7" t="s">
        <v>1355</v>
      </c>
      <c r="C1902" s="7" t="n">
        <v>3</v>
      </c>
      <c r="D1902" s="7" t="n">
        <v>20</v>
      </c>
      <c r="E1902" s="7" t="n">
        <v>1</v>
      </c>
      <c r="F1902" s="7" t="s">
        <v>110</v>
      </c>
      <c r="G1902" s="12" t="str">
        <f aca="false">IFERROR(INDEX('Semrush Data'!$A$1:$Z$20000,MATCH(A1902,'Semrush Data'!$A$1:$A$20000,0),MATCH("Volume",'Semrush Data'!$A$1:$Z$1,0)),"")</f>
        <v/>
      </c>
      <c r="H1902" s="7" t="str">
        <f aca="false">IFERROR(INDEX('Semrush Data'!$A$1:$Z$20000,MATCH(A1902,'Semrush Data'!$A$1:$A$20000,0),MATCH("Keyword Difficulty*",'Semrush Data'!$A$1:$Z$1,0)),"")</f>
        <v/>
      </c>
      <c r="I1902" s="13" t="str">
        <f aca="false">IFERROR(INDEX('Semrush Data'!$A$1:$Z$20000,MATCH(A1902,'Semrush Data'!$A$1:$A$20000,0),MATCH("CPC*",'Semrush Data'!$A$1:$Z$1,0)),"")</f>
        <v/>
      </c>
      <c r="J1902" s="7" t="str">
        <f aca="false">IFERROR(INDEX('Semrush Data'!$A$1:$Z$20000,MATCH(A1902,'Semrush Data'!$A$1:$A$20000,0),MATCH("Intent",'Semrush Data'!$A$1:$Z$1,0)),"")</f>
        <v/>
      </c>
    </row>
    <row r="1903" customFormat="false" ht="15" hidden="false" customHeight="true" outlineLevel="0" collapsed="false">
      <c r="A1903" s="7" t="s">
        <v>4799</v>
      </c>
      <c r="B1903" s="7" t="s">
        <v>1355</v>
      </c>
      <c r="C1903" s="7" t="n">
        <v>3</v>
      </c>
      <c r="D1903" s="7" t="n">
        <v>20</v>
      </c>
      <c r="E1903" s="7" t="n">
        <v>1</v>
      </c>
      <c r="F1903" s="7" t="s">
        <v>124</v>
      </c>
      <c r="G1903" s="12" t="str">
        <f aca="false">IFERROR(INDEX('Semrush Data'!$A$1:$Z$20000,MATCH(A1903,'Semrush Data'!$A$1:$A$20000,0),MATCH("Volume",'Semrush Data'!$A$1:$Z$1,0)),"")</f>
        <v/>
      </c>
      <c r="H1903" s="7" t="str">
        <f aca="false">IFERROR(INDEX('Semrush Data'!$A$1:$Z$20000,MATCH(A1903,'Semrush Data'!$A$1:$A$20000,0),MATCH("Keyword Difficulty*",'Semrush Data'!$A$1:$Z$1,0)),"")</f>
        <v/>
      </c>
      <c r="I1903" s="13" t="str">
        <f aca="false">IFERROR(INDEX('Semrush Data'!$A$1:$Z$20000,MATCH(A1903,'Semrush Data'!$A$1:$A$20000,0),MATCH("CPC*",'Semrush Data'!$A$1:$Z$1,0)),"")</f>
        <v/>
      </c>
      <c r="J1903" s="7" t="str">
        <f aca="false">IFERROR(INDEX('Semrush Data'!$A$1:$Z$20000,MATCH(A1903,'Semrush Data'!$A$1:$A$20000,0),MATCH("Intent",'Semrush Data'!$A$1:$Z$1,0)),"")</f>
        <v/>
      </c>
    </row>
    <row r="1904" customFormat="false" ht="15" hidden="false" customHeight="true" outlineLevel="0" collapsed="false">
      <c r="A1904" s="7" t="s">
        <v>4887</v>
      </c>
      <c r="B1904" s="7" t="s">
        <v>1355</v>
      </c>
      <c r="C1904" s="7" t="n">
        <v>3</v>
      </c>
      <c r="D1904" s="7" t="n">
        <v>20</v>
      </c>
      <c r="E1904" s="7" t="n">
        <v>2</v>
      </c>
      <c r="F1904" s="7" t="s">
        <v>6801</v>
      </c>
      <c r="G1904" s="12" t="str">
        <f aca="false">IFERROR(INDEX('Semrush Data'!$A$1:$Z$20000,MATCH(A1904,'Semrush Data'!$A$1:$A$20000,0),MATCH("Volume",'Semrush Data'!$A$1:$Z$1,0)),"")</f>
        <v/>
      </c>
      <c r="H1904" s="7" t="str">
        <f aca="false">IFERROR(INDEX('Semrush Data'!$A$1:$Z$20000,MATCH(A1904,'Semrush Data'!$A$1:$A$20000,0),MATCH("Keyword Difficulty*",'Semrush Data'!$A$1:$Z$1,0)),"")</f>
        <v/>
      </c>
      <c r="I1904" s="13" t="str">
        <f aca="false">IFERROR(INDEX('Semrush Data'!$A$1:$Z$20000,MATCH(A1904,'Semrush Data'!$A$1:$A$20000,0),MATCH("CPC*",'Semrush Data'!$A$1:$Z$1,0)),"")</f>
        <v/>
      </c>
      <c r="J1904" s="7" t="str">
        <f aca="false">IFERROR(INDEX('Semrush Data'!$A$1:$Z$20000,MATCH(A1904,'Semrush Data'!$A$1:$A$20000,0),MATCH("Intent",'Semrush Data'!$A$1:$Z$1,0)),"")</f>
        <v/>
      </c>
    </row>
    <row r="1905" customFormat="false" ht="15" hidden="false" customHeight="true" outlineLevel="0" collapsed="false">
      <c r="A1905" s="7" t="s">
        <v>4843</v>
      </c>
      <c r="B1905" s="7" t="s">
        <v>1355</v>
      </c>
      <c r="C1905" s="7" t="n">
        <v>3</v>
      </c>
      <c r="D1905" s="7" t="n">
        <v>20</v>
      </c>
      <c r="E1905" s="7" t="n">
        <v>2</v>
      </c>
      <c r="F1905" s="7" t="s">
        <v>6802</v>
      </c>
      <c r="G1905" s="12" t="str">
        <f aca="false">IFERROR(INDEX('Semrush Data'!$A$1:$Z$20000,MATCH(A1905,'Semrush Data'!$A$1:$A$20000,0),MATCH("Volume",'Semrush Data'!$A$1:$Z$1,0)),"")</f>
        <v/>
      </c>
      <c r="H1905" s="7" t="str">
        <f aca="false">IFERROR(INDEX('Semrush Data'!$A$1:$Z$20000,MATCH(A1905,'Semrush Data'!$A$1:$A$20000,0),MATCH("Keyword Difficulty*",'Semrush Data'!$A$1:$Z$1,0)),"")</f>
        <v/>
      </c>
      <c r="I1905" s="13" t="str">
        <f aca="false">IFERROR(INDEX('Semrush Data'!$A$1:$Z$20000,MATCH(A1905,'Semrush Data'!$A$1:$A$20000,0),MATCH("CPC*",'Semrush Data'!$A$1:$Z$1,0)),"")</f>
        <v/>
      </c>
      <c r="J1905" s="7" t="str">
        <f aca="false">IFERROR(INDEX('Semrush Data'!$A$1:$Z$20000,MATCH(A1905,'Semrush Data'!$A$1:$A$20000,0),MATCH("Intent",'Semrush Data'!$A$1:$Z$1,0)),"")</f>
        <v/>
      </c>
    </row>
    <row r="1906" customFormat="false" ht="15" hidden="false" customHeight="true" outlineLevel="0" collapsed="false">
      <c r="A1906" s="7" t="s">
        <v>4861</v>
      </c>
      <c r="B1906" s="7" t="s">
        <v>1355</v>
      </c>
      <c r="C1906" s="7" t="n">
        <v>3</v>
      </c>
      <c r="D1906" s="7" t="n">
        <v>20</v>
      </c>
      <c r="E1906" s="7" t="n">
        <v>1</v>
      </c>
      <c r="F1906" s="7" t="s">
        <v>4857</v>
      </c>
      <c r="G1906" s="12" t="str">
        <f aca="false">IFERROR(INDEX('Semrush Data'!$A$1:$Z$20000,MATCH(A1906,'Semrush Data'!$A$1:$A$20000,0),MATCH("Volume",'Semrush Data'!$A$1:$Z$1,0)),"")</f>
        <v/>
      </c>
      <c r="H1906" s="7" t="str">
        <f aca="false">IFERROR(INDEX('Semrush Data'!$A$1:$Z$20000,MATCH(A1906,'Semrush Data'!$A$1:$A$20000,0),MATCH("Keyword Difficulty*",'Semrush Data'!$A$1:$Z$1,0)),"")</f>
        <v/>
      </c>
      <c r="I1906" s="13" t="str">
        <f aca="false">IFERROR(INDEX('Semrush Data'!$A$1:$Z$20000,MATCH(A1906,'Semrush Data'!$A$1:$A$20000,0),MATCH("CPC*",'Semrush Data'!$A$1:$Z$1,0)),"")</f>
        <v/>
      </c>
      <c r="J1906" s="7" t="str">
        <f aca="false">IFERROR(INDEX('Semrush Data'!$A$1:$Z$20000,MATCH(A1906,'Semrush Data'!$A$1:$A$20000,0),MATCH("Intent",'Semrush Data'!$A$1:$Z$1,0)),"")</f>
        <v/>
      </c>
    </row>
    <row r="1907" customFormat="false" ht="15" hidden="false" customHeight="true" outlineLevel="0" collapsed="false">
      <c r="A1907" s="7" t="s">
        <v>4872</v>
      </c>
      <c r="B1907" s="7" t="s">
        <v>1355</v>
      </c>
      <c r="C1907" s="7" t="n">
        <v>3</v>
      </c>
      <c r="D1907" s="7" t="n">
        <v>20</v>
      </c>
      <c r="E1907" s="7" t="n">
        <v>2</v>
      </c>
      <c r="F1907" s="7" t="s">
        <v>6803</v>
      </c>
      <c r="G1907" s="12" t="str">
        <f aca="false">IFERROR(INDEX('Semrush Data'!$A$1:$Z$20000,MATCH(A1907,'Semrush Data'!$A$1:$A$20000,0),MATCH("Volume",'Semrush Data'!$A$1:$Z$1,0)),"")</f>
        <v/>
      </c>
      <c r="H1907" s="7" t="str">
        <f aca="false">IFERROR(INDEX('Semrush Data'!$A$1:$Z$20000,MATCH(A1907,'Semrush Data'!$A$1:$A$20000,0),MATCH("Keyword Difficulty*",'Semrush Data'!$A$1:$Z$1,0)),"")</f>
        <v/>
      </c>
      <c r="I1907" s="13" t="str">
        <f aca="false">IFERROR(INDEX('Semrush Data'!$A$1:$Z$20000,MATCH(A1907,'Semrush Data'!$A$1:$A$20000,0),MATCH("CPC*",'Semrush Data'!$A$1:$Z$1,0)),"")</f>
        <v/>
      </c>
      <c r="J1907" s="7" t="str">
        <f aca="false">IFERROR(INDEX('Semrush Data'!$A$1:$Z$20000,MATCH(A1907,'Semrush Data'!$A$1:$A$20000,0),MATCH("Intent",'Semrush Data'!$A$1:$Z$1,0)),"")</f>
        <v/>
      </c>
    </row>
    <row r="1908" customFormat="false" ht="15" hidden="false" customHeight="true" outlineLevel="0" collapsed="false">
      <c r="A1908" s="7" t="s">
        <v>4902</v>
      </c>
      <c r="B1908" s="7" t="s">
        <v>1355</v>
      </c>
      <c r="C1908" s="7" t="n">
        <v>3</v>
      </c>
      <c r="D1908" s="7" t="n">
        <v>20</v>
      </c>
      <c r="E1908" s="7" t="n">
        <v>1</v>
      </c>
      <c r="F1908" s="7" t="s">
        <v>4898</v>
      </c>
      <c r="G1908" s="12" t="str">
        <f aca="false">IFERROR(INDEX('Semrush Data'!$A$1:$Z$20000,MATCH(A1908,'Semrush Data'!$A$1:$A$20000,0),MATCH("Volume",'Semrush Data'!$A$1:$Z$1,0)),"")</f>
        <v/>
      </c>
      <c r="H1908" s="7" t="str">
        <f aca="false">IFERROR(INDEX('Semrush Data'!$A$1:$Z$20000,MATCH(A1908,'Semrush Data'!$A$1:$A$20000,0),MATCH("Keyword Difficulty*",'Semrush Data'!$A$1:$Z$1,0)),"")</f>
        <v/>
      </c>
      <c r="I1908" s="13" t="str">
        <f aca="false">IFERROR(INDEX('Semrush Data'!$A$1:$Z$20000,MATCH(A1908,'Semrush Data'!$A$1:$A$20000,0),MATCH("CPC*",'Semrush Data'!$A$1:$Z$1,0)),"")</f>
        <v/>
      </c>
      <c r="J1908" s="7" t="str">
        <f aca="false">IFERROR(INDEX('Semrush Data'!$A$1:$Z$20000,MATCH(A1908,'Semrush Data'!$A$1:$A$20000,0),MATCH("Intent",'Semrush Data'!$A$1:$Z$1,0)),"")</f>
        <v/>
      </c>
    </row>
    <row r="1909" customFormat="false" ht="15" hidden="false" customHeight="true" outlineLevel="0" collapsed="false">
      <c r="A1909" s="7" t="s">
        <v>4914</v>
      </c>
      <c r="B1909" s="7" t="s">
        <v>1355</v>
      </c>
      <c r="C1909" s="7" t="n">
        <v>3</v>
      </c>
      <c r="D1909" s="7" t="n">
        <v>20</v>
      </c>
      <c r="E1909" s="7" t="n">
        <v>1</v>
      </c>
      <c r="F1909" s="7" t="s">
        <v>4910</v>
      </c>
      <c r="G1909" s="12" t="str">
        <f aca="false">IFERROR(INDEX('Semrush Data'!$A$1:$Z$20000,MATCH(A1909,'Semrush Data'!$A$1:$A$20000,0),MATCH("Volume",'Semrush Data'!$A$1:$Z$1,0)),"")</f>
        <v/>
      </c>
      <c r="H1909" s="7" t="str">
        <f aca="false">IFERROR(INDEX('Semrush Data'!$A$1:$Z$20000,MATCH(A1909,'Semrush Data'!$A$1:$A$20000,0),MATCH("Keyword Difficulty*",'Semrush Data'!$A$1:$Z$1,0)),"")</f>
        <v/>
      </c>
      <c r="I1909" s="13" t="str">
        <f aca="false">IFERROR(INDEX('Semrush Data'!$A$1:$Z$20000,MATCH(A1909,'Semrush Data'!$A$1:$A$20000,0),MATCH("CPC*",'Semrush Data'!$A$1:$Z$1,0)),"")</f>
        <v/>
      </c>
      <c r="J1909" s="7" t="str">
        <f aca="false">IFERROR(INDEX('Semrush Data'!$A$1:$Z$20000,MATCH(A1909,'Semrush Data'!$A$1:$A$20000,0),MATCH("Intent",'Semrush Data'!$A$1:$Z$1,0)),"")</f>
        <v/>
      </c>
    </row>
    <row r="1910" customFormat="false" ht="15" hidden="false" customHeight="true" outlineLevel="0" collapsed="false">
      <c r="A1910" s="7" t="s">
        <v>4924</v>
      </c>
      <c r="B1910" s="7" t="s">
        <v>1355</v>
      </c>
      <c r="C1910" s="7" t="n">
        <v>3</v>
      </c>
      <c r="D1910" s="7" t="n">
        <v>20</v>
      </c>
      <c r="E1910" s="7" t="n">
        <v>1</v>
      </c>
      <c r="F1910" s="7" t="s">
        <v>4920</v>
      </c>
      <c r="G1910" s="12" t="str">
        <f aca="false">IFERROR(INDEX('Semrush Data'!$A$1:$Z$20000,MATCH(A1910,'Semrush Data'!$A$1:$A$20000,0),MATCH("Volume",'Semrush Data'!$A$1:$Z$1,0)),"")</f>
        <v/>
      </c>
      <c r="H1910" s="7" t="str">
        <f aca="false">IFERROR(INDEX('Semrush Data'!$A$1:$Z$20000,MATCH(A1910,'Semrush Data'!$A$1:$A$20000,0),MATCH("Keyword Difficulty*",'Semrush Data'!$A$1:$Z$1,0)),"")</f>
        <v/>
      </c>
      <c r="I1910" s="13" t="str">
        <f aca="false">IFERROR(INDEX('Semrush Data'!$A$1:$Z$20000,MATCH(A1910,'Semrush Data'!$A$1:$A$20000,0),MATCH("CPC*",'Semrush Data'!$A$1:$Z$1,0)),"")</f>
        <v/>
      </c>
      <c r="J1910" s="7" t="str">
        <f aca="false">IFERROR(INDEX('Semrush Data'!$A$1:$Z$20000,MATCH(A1910,'Semrush Data'!$A$1:$A$20000,0),MATCH("Intent",'Semrush Data'!$A$1:$Z$1,0)),"")</f>
        <v/>
      </c>
    </row>
    <row r="1911" customFormat="false" ht="15" hidden="false" customHeight="true" outlineLevel="0" collapsed="false">
      <c r="A1911" s="7" t="s">
        <v>4934</v>
      </c>
      <c r="B1911" s="7" t="s">
        <v>1355</v>
      </c>
      <c r="C1911" s="7" t="n">
        <v>3</v>
      </c>
      <c r="D1911" s="7" t="n">
        <v>20</v>
      </c>
      <c r="E1911" s="7" t="n">
        <v>2</v>
      </c>
      <c r="F1911" s="7" t="s">
        <v>6804</v>
      </c>
      <c r="G1911" s="12" t="str">
        <f aca="false">IFERROR(INDEX('Semrush Data'!$A$1:$Z$20000,MATCH(A1911,'Semrush Data'!$A$1:$A$20000,0),MATCH("Volume",'Semrush Data'!$A$1:$Z$1,0)),"")</f>
        <v/>
      </c>
      <c r="H1911" s="7" t="str">
        <f aca="false">IFERROR(INDEX('Semrush Data'!$A$1:$Z$20000,MATCH(A1911,'Semrush Data'!$A$1:$A$20000,0),MATCH("Keyword Difficulty*",'Semrush Data'!$A$1:$Z$1,0)),"")</f>
        <v/>
      </c>
      <c r="I1911" s="13" t="str">
        <f aca="false">IFERROR(INDEX('Semrush Data'!$A$1:$Z$20000,MATCH(A1911,'Semrush Data'!$A$1:$A$20000,0),MATCH("CPC*",'Semrush Data'!$A$1:$Z$1,0)),"")</f>
        <v/>
      </c>
      <c r="J1911" s="7" t="str">
        <f aca="false">IFERROR(INDEX('Semrush Data'!$A$1:$Z$20000,MATCH(A1911,'Semrush Data'!$A$1:$A$20000,0),MATCH("Intent",'Semrush Data'!$A$1:$Z$1,0)),"")</f>
        <v/>
      </c>
    </row>
    <row r="1912" customFormat="false" ht="15" hidden="false" customHeight="true" outlineLevel="0" collapsed="false">
      <c r="A1912" s="7" t="s">
        <v>4949</v>
      </c>
      <c r="B1912" s="7" t="s">
        <v>1355</v>
      </c>
      <c r="C1912" s="7" t="n">
        <v>3</v>
      </c>
      <c r="D1912" s="7" t="n">
        <v>20</v>
      </c>
      <c r="E1912" s="7" t="n">
        <v>2</v>
      </c>
      <c r="F1912" s="7" t="s">
        <v>6805</v>
      </c>
      <c r="G1912" s="12" t="str">
        <f aca="false">IFERROR(INDEX('Semrush Data'!$A$1:$Z$20000,MATCH(A1912,'Semrush Data'!$A$1:$A$20000,0),MATCH("Volume",'Semrush Data'!$A$1:$Z$1,0)),"")</f>
        <v/>
      </c>
      <c r="H1912" s="7" t="str">
        <f aca="false">IFERROR(INDEX('Semrush Data'!$A$1:$Z$20000,MATCH(A1912,'Semrush Data'!$A$1:$A$20000,0),MATCH("Keyword Difficulty*",'Semrush Data'!$A$1:$Z$1,0)),"")</f>
        <v/>
      </c>
      <c r="I1912" s="13" t="str">
        <f aca="false">IFERROR(INDEX('Semrush Data'!$A$1:$Z$20000,MATCH(A1912,'Semrush Data'!$A$1:$A$20000,0),MATCH("CPC*",'Semrush Data'!$A$1:$Z$1,0)),"")</f>
        <v/>
      </c>
      <c r="J1912" s="7" t="str">
        <f aca="false">IFERROR(INDEX('Semrush Data'!$A$1:$Z$20000,MATCH(A1912,'Semrush Data'!$A$1:$A$20000,0),MATCH("Intent",'Semrush Data'!$A$1:$Z$1,0)),"")</f>
        <v/>
      </c>
    </row>
    <row r="1913" customFormat="false" ht="15" hidden="false" customHeight="true" outlineLevel="0" collapsed="false">
      <c r="A1913" s="7" t="s">
        <v>4964</v>
      </c>
      <c r="B1913" s="7" t="s">
        <v>1355</v>
      </c>
      <c r="C1913" s="7" t="n">
        <v>3</v>
      </c>
      <c r="D1913" s="7" t="n">
        <v>20</v>
      </c>
      <c r="E1913" s="7" t="n">
        <v>2</v>
      </c>
      <c r="F1913" s="7" t="s">
        <v>6806</v>
      </c>
      <c r="G1913" s="12" t="str">
        <f aca="false">IFERROR(INDEX('Semrush Data'!$A$1:$Z$20000,MATCH(A1913,'Semrush Data'!$A$1:$A$20000,0),MATCH("Volume",'Semrush Data'!$A$1:$Z$1,0)),"")</f>
        <v/>
      </c>
      <c r="H1913" s="7" t="str">
        <f aca="false">IFERROR(INDEX('Semrush Data'!$A$1:$Z$20000,MATCH(A1913,'Semrush Data'!$A$1:$A$20000,0),MATCH("Keyword Difficulty*",'Semrush Data'!$A$1:$Z$1,0)),"")</f>
        <v/>
      </c>
      <c r="I1913" s="13" t="str">
        <f aca="false">IFERROR(INDEX('Semrush Data'!$A$1:$Z$20000,MATCH(A1913,'Semrush Data'!$A$1:$A$20000,0),MATCH("CPC*",'Semrush Data'!$A$1:$Z$1,0)),"")</f>
        <v/>
      </c>
      <c r="J1913" s="7" t="str">
        <f aca="false">IFERROR(INDEX('Semrush Data'!$A$1:$Z$20000,MATCH(A1913,'Semrush Data'!$A$1:$A$20000,0),MATCH("Intent",'Semrush Data'!$A$1:$Z$1,0)),"")</f>
        <v/>
      </c>
    </row>
    <row r="1914" customFormat="false" ht="15" hidden="false" customHeight="true" outlineLevel="0" collapsed="false">
      <c r="A1914" s="7" t="s">
        <v>4980</v>
      </c>
      <c r="B1914" s="7" t="s">
        <v>1355</v>
      </c>
      <c r="C1914" s="7" t="n">
        <v>3</v>
      </c>
      <c r="D1914" s="7" t="n">
        <v>20</v>
      </c>
      <c r="E1914" s="7" t="n">
        <v>2</v>
      </c>
      <c r="F1914" s="7" t="s">
        <v>6807</v>
      </c>
      <c r="G1914" s="12" t="str">
        <f aca="false">IFERROR(INDEX('Semrush Data'!$A$1:$Z$20000,MATCH(A1914,'Semrush Data'!$A$1:$A$20000,0),MATCH("Volume",'Semrush Data'!$A$1:$Z$1,0)),"")</f>
        <v/>
      </c>
      <c r="H1914" s="7" t="str">
        <f aca="false">IFERROR(INDEX('Semrush Data'!$A$1:$Z$20000,MATCH(A1914,'Semrush Data'!$A$1:$A$20000,0),MATCH("Keyword Difficulty*",'Semrush Data'!$A$1:$Z$1,0)),"")</f>
        <v/>
      </c>
      <c r="I1914" s="13" t="str">
        <f aca="false">IFERROR(INDEX('Semrush Data'!$A$1:$Z$20000,MATCH(A1914,'Semrush Data'!$A$1:$A$20000,0),MATCH("CPC*",'Semrush Data'!$A$1:$Z$1,0)),"")</f>
        <v/>
      </c>
      <c r="J1914" s="7" t="str">
        <f aca="false">IFERROR(INDEX('Semrush Data'!$A$1:$Z$20000,MATCH(A1914,'Semrush Data'!$A$1:$A$20000,0),MATCH("Intent",'Semrush Data'!$A$1:$Z$1,0)),"")</f>
        <v/>
      </c>
    </row>
    <row r="1915" customFormat="false" ht="15" hidden="false" customHeight="true" outlineLevel="0" collapsed="false">
      <c r="A1915" s="7" t="s">
        <v>4998</v>
      </c>
      <c r="B1915" s="7" t="s">
        <v>1355</v>
      </c>
      <c r="C1915" s="7" t="n">
        <v>3</v>
      </c>
      <c r="D1915" s="7" t="n">
        <v>20</v>
      </c>
      <c r="E1915" s="7" t="n">
        <v>1</v>
      </c>
      <c r="F1915" s="7" t="s">
        <v>4992</v>
      </c>
      <c r="G1915" s="12" t="str">
        <f aca="false">IFERROR(INDEX('Semrush Data'!$A$1:$Z$20000,MATCH(A1915,'Semrush Data'!$A$1:$A$20000,0),MATCH("Volume",'Semrush Data'!$A$1:$Z$1,0)),"")</f>
        <v/>
      </c>
      <c r="H1915" s="7" t="str">
        <f aca="false">IFERROR(INDEX('Semrush Data'!$A$1:$Z$20000,MATCH(A1915,'Semrush Data'!$A$1:$A$20000,0),MATCH("Keyword Difficulty*",'Semrush Data'!$A$1:$Z$1,0)),"")</f>
        <v/>
      </c>
      <c r="I1915" s="13" t="str">
        <f aca="false">IFERROR(INDEX('Semrush Data'!$A$1:$Z$20000,MATCH(A1915,'Semrush Data'!$A$1:$A$20000,0),MATCH("CPC*",'Semrush Data'!$A$1:$Z$1,0)),"")</f>
        <v/>
      </c>
      <c r="J1915" s="7" t="str">
        <f aca="false">IFERROR(INDEX('Semrush Data'!$A$1:$Z$20000,MATCH(A1915,'Semrush Data'!$A$1:$A$20000,0),MATCH("Intent",'Semrush Data'!$A$1:$Z$1,0)),"")</f>
        <v/>
      </c>
    </row>
    <row r="1916" customFormat="false" ht="15" hidden="false" customHeight="true" outlineLevel="0" collapsed="false">
      <c r="A1916" s="7" t="s">
        <v>5935</v>
      </c>
      <c r="B1916" s="7" t="s">
        <v>1355</v>
      </c>
      <c r="C1916" s="7" t="n">
        <v>3</v>
      </c>
      <c r="D1916" s="7" t="n">
        <v>20</v>
      </c>
      <c r="E1916" s="7" t="n">
        <v>1</v>
      </c>
      <c r="F1916" s="7" t="s">
        <v>5930</v>
      </c>
      <c r="G1916" s="12" t="str">
        <f aca="false">IFERROR(INDEX('Semrush Data'!$A$1:$Z$20000,MATCH(A1916,'Semrush Data'!$A$1:$A$20000,0),MATCH("Volume",'Semrush Data'!$A$1:$Z$1,0)),"")</f>
        <v/>
      </c>
      <c r="H1916" s="7" t="str">
        <f aca="false">IFERROR(INDEX('Semrush Data'!$A$1:$Z$20000,MATCH(A1916,'Semrush Data'!$A$1:$A$20000,0),MATCH("Keyword Difficulty*",'Semrush Data'!$A$1:$Z$1,0)),"")</f>
        <v/>
      </c>
      <c r="I1916" s="13" t="str">
        <f aca="false">IFERROR(INDEX('Semrush Data'!$A$1:$Z$20000,MATCH(A1916,'Semrush Data'!$A$1:$A$20000,0),MATCH("CPC*",'Semrush Data'!$A$1:$Z$1,0)),"")</f>
        <v/>
      </c>
      <c r="J1916" s="7" t="str">
        <f aca="false">IFERROR(INDEX('Semrush Data'!$A$1:$Z$20000,MATCH(A1916,'Semrush Data'!$A$1:$A$20000,0),MATCH("Intent",'Semrush Data'!$A$1:$Z$1,0)),"")</f>
        <v/>
      </c>
    </row>
    <row r="1917" customFormat="false" ht="15" hidden="false" customHeight="true" outlineLevel="0" collapsed="false">
      <c r="A1917" s="7" t="s">
        <v>5913</v>
      </c>
      <c r="B1917" s="7" t="s">
        <v>1355</v>
      </c>
      <c r="C1917" s="7" t="n">
        <v>3</v>
      </c>
      <c r="D1917" s="7" t="n">
        <v>20</v>
      </c>
      <c r="E1917" s="7" t="n">
        <v>1</v>
      </c>
      <c r="F1917" s="7" t="s">
        <v>5909</v>
      </c>
      <c r="G1917" s="12" t="str">
        <f aca="false">IFERROR(INDEX('Semrush Data'!$A$1:$Z$20000,MATCH(A1917,'Semrush Data'!$A$1:$A$20000,0),MATCH("Volume",'Semrush Data'!$A$1:$Z$1,0)),"")</f>
        <v/>
      </c>
      <c r="H1917" s="7" t="str">
        <f aca="false">IFERROR(INDEX('Semrush Data'!$A$1:$Z$20000,MATCH(A1917,'Semrush Data'!$A$1:$A$20000,0),MATCH("Keyword Difficulty*",'Semrush Data'!$A$1:$Z$1,0)),"")</f>
        <v/>
      </c>
      <c r="I1917" s="13" t="str">
        <f aca="false">IFERROR(INDEX('Semrush Data'!$A$1:$Z$20000,MATCH(A1917,'Semrush Data'!$A$1:$A$20000,0),MATCH("CPC*",'Semrush Data'!$A$1:$Z$1,0)),"")</f>
        <v/>
      </c>
      <c r="J1917" s="7" t="str">
        <f aca="false">IFERROR(INDEX('Semrush Data'!$A$1:$Z$20000,MATCH(A1917,'Semrush Data'!$A$1:$A$20000,0),MATCH("Intent",'Semrush Data'!$A$1:$Z$1,0)),"")</f>
        <v/>
      </c>
    </row>
    <row r="1918" customFormat="false" ht="15" hidden="false" customHeight="true" outlineLevel="0" collapsed="false">
      <c r="A1918" s="7" t="s">
        <v>5892</v>
      </c>
      <c r="B1918" s="7" t="s">
        <v>1355</v>
      </c>
      <c r="C1918" s="7" t="n">
        <v>3</v>
      </c>
      <c r="D1918" s="7" t="n">
        <v>20</v>
      </c>
      <c r="E1918" s="7" t="n">
        <v>1</v>
      </c>
      <c r="F1918" s="7" t="s">
        <v>5888</v>
      </c>
      <c r="G1918" s="12" t="str">
        <f aca="false">IFERROR(INDEX('Semrush Data'!$A$1:$Z$20000,MATCH(A1918,'Semrush Data'!$A$1:$A$20000,0),MATCH("Volume",'Semrush Data'!$A$1:$Z$1,0)),"")</f>
        <v/>
      </c>
      <c r="H1918" s="7" t="str">
        <f aca="false">IFERROR(INDEX('Semrush Data'!$A$1:$Z$20000,MATCH(A1918,'Semrush Data'!$A$1:$A$20000,0),MATCH("Keyword Difficulty*",'Semrush Data'!$A$1:$Z$1,0)),"")</f>
        <v/>
      </c>
      <c r="I1918" s="13" t="str">
        <f aca="false">IFERROR(INDEX('Semrush Data'!$A$1:$Z$20000,MATCH(A1918,'Semrush Data'!$A$1:$A$20000,0),MATCH("CPC*",'Semrush Data'!$A$1:$Z$1,0)),"")</f>
        <v/>
      </c>
      <c r="J1918" s="7" t="str">
        <f aca="false">IFERROR(INDEX('Semrush Data'!$A$1:$Z$20000,MATCH(A1918,'Semrush Data'!$A$1:$A$20000,0),MATCH("Intent",'Semrush Data'!$A$1:$Z$1,0)),"")</f>
        <v/>
      </c>
    </row>
    <row r="1919" customFormat="false" ht="15" hidden="false" customHeight="true" outlineLevel="0" collapsed="false">
      <c r="A1919" s="7" t="s">
        <v>5902</v>
      </c>
      <c r="B1919" s="7" t="s">
        <v>1355</v>
      </c>
      <c r="C1919" s="7" t="n">
        <v>3</v>
      </c>
      <c r="D1919" s="7" t="n">
        <v>20</v>
      </c>
      <c r="E1919" s="7" t="n">
        <v>1</v>
      </c>
      <c r="F1919" s="7" t="s">
        <v>5898</v>
      </c>
      <c r="G1919" s="12" t="str">
        <f aca="false">IFERROR(INDEX('Semrush Data'!$A$1:$Z$20000,MATCH(A1919,'Semrush Data'!$A$1:$A$20000,0),MATCH("Volume",'Semrush Data'!$A$1:$Z$1,0)),"")</f>
        <v/>
      </c>
      <c r="H1919" s="7" t="str">
        <f aca="false">IFERROR(INDEX('Semrush Data'!$A$1:$Z$20000,MATCH(A1919,'Semrush Data'!$A$1:$A$20000,0),MATCH("Keyword Difficulty*",'Semrush Data'!$A$1:$Z$1,0)),"")</f>
        <v/>
      </c>
      <c r="I1919" s="13" t="str">
        <f aca="false">IFERROR(INDEX('Semrush Data'!$A$1:$Z$20000,MATCH(A1919,'Semrush Data'!$A$1:$A$20000,0),MATCH("CPC*",'Semrush Data'!$A$1:$Z$1,0)),"")</f>
        <v/>
      </c>
      <c r="J1919" s="7" t="str">
        <f aca="false">IFERROR(INDEX('Semrush Data'!$A$1:$Z$20000,MATCH(A1919,'Semrush Data'!$A$1:$A$20000,0),MATCH("Intent",'Semrush Data'!$A$1:$Z$1,0)),"")</f>
        <v/>
      </c>
    </row>
    <row r="1920" customFormat="false" ht="15" hidden="false" customHeight="true" outlineLevel="0" collapsed="false">
      <c r="A1920" s="7" t="s">
        <v>5010</v>
      </c>
      <c r="B1920" s="7" t="s">
        <v>1355</v>
      </c>
      <c r="C1920" s="7" t="n">
        <v>3</v>
      </c>
      <c r="D1920" s="7" t="n">
        <v>20</v>
      </c>
      <c r="E1920" s="7" t="n">
        <v>1</v>
      </c>
      <c r="F1920" s="7" t="s">
        <v>5005</v>
      </c>
      <c r="G1920" s="12" t="str">
        <f aca="false">IFERROR(INDEX('Semrush Data'!$A$1:$Z$20000,MATCH(A1920,'Semrush Data'!$A$1:$A$20000,0),MATCH("Volume",'Semrush Data'!$A$1:$Z$1,0)),"")</f>
        <v/>
      </c>
      <c r="H1920" s="7" t="str">
        <f aca="false">IFERROR(INDEX('Semrush Data'!$A$1:$Z$20000,MATCH(A1920,'Semrush Data'!$A$1:$A$20000,0),MATCH("Keyword Difficulty*",'Semrush Data'!$A$1:$Z$1,0)),"")</f>
        <v/>
      </c>
      <c r="I1920" s="13" t="str">
        <f aca="false">IFERROR(INDEX('Semrush Data'!$A$1:$Z$20000,MATCH(A1920,'Semrush Data'!$A$1:$A$20000,0),MATCH("CPC*",'Semrush Data'!$A$1:$Z$1,0)),"")</f>
        <v/>
      </c>
      <c r="J1920" s="7" t="str">
        <f aca="false">IFERROR(INDEX('Semrush Data'!$A$1:$Z$20000,MATCH(A1920,'Semrush Data'!$A$1:$A$20000,0),MATCH("Intent",'Semrush Data'!$A$1:$Z$1,0)),"")</f>
        <v/>
      </c>
    </row>
    <row r="1921" customFormat="false" ht="15" hidden="false" customHeight="true" outlineLevel="0" collapsed="false">
      <c r="A1921" s="7" t="s">
        <v>5062</v>
      </c>
      <c r="B1921" s="7" t="s">
        <v>1355</v>
      </c>
      <c r="C1921" s="7" t="n">
        <v>3</v>
      </c>
      <c r="D1921" s="7" t="n">
        <v>20</v>
      </c>
      <c r="E1921" s="7" t="n">
        <v>1</v>
      </c>
      <c r="F1921" s="7" t="s">
        <v>104</v>
      </c>
      <c r="G1921" s="12" t="str">
        <f aca="false">IFERROR(INDEX('Semrush Data'!$A$1:$Z$20000,MATCH(A1921,'Semrush Data'!$A$1:$A$20000,0),MATCH("Volume",'Semrush Data'!$A$1:$Z$1,0)),"")</f>
        <v/>
      </c>
      <c r="H1921" s="7" t="str">
        <f aca="false">IFERROR(INDEX('Semrush Data'!$A$1:$Z$20000,MATCH(A1921,'Semrush Data'!$A$1:$A$20000,0),MATCH("Keyword Difficulty*",'Semrush Data'!$A$1:$Z$1,0)),"")</f>
        <v/>
      </c>
      <c r="I1921" s="13" t="str">
        <f aca="false">IFERROR(INDEX('Semrush Data'!$A$1:$Z$20000,MATCH(A1921,'Semrush Data'!$A$1:$A$20000,0),MATCH("CPC*",'Semrush Data'!$A$1:$Z$1,0)),"")</f>
        <v/>
      </c>
      <c r="J1921" s="7" t="str">
        <f aca="false">IFERROR(INDEX('Semrush Data'!$A$1:$Z$20000,MATCH(A1921,'Semrush Data'!$A$1:$A$20000,0),MATCH("Intent",'Semrush Data'!$A$1:$Z$1,0)),"")</f>
        <v/>
      </c>
    </row>
    <row r="1922" customFormat="false" ht="15" hidden="false" customHeight="true" outlineLevel="0" collapsed="false">
      <c r="A1922" s="7" t="s">
        <v>5044</v>
      </c>
      <c r="B1922" s="7" t="s">
        <v>1355</v>
      </c>
      <c r="C1922" s="7" t="n">
        <v>3</v>
      </c>
      <c r="D1922" s="7" t="n">
        <v>20</v>
      </c>
      <c r="E1922" s="7" t="n">
        <v>1</v>
      </c>
      <c r="F1922" s="7" t="s">
        <v>5040</v>
      </c>
      <c r="G1922" s="12" t="str">
        <f aca="false">IFERROR(INDEX('Semrush Data'!$A$1:$Z$20000,MATCH(A1922,'Semrush Data'!$A$1:$A$20000,0),MATCH("Volume",'Semrush Data'!$A$1:$Z$1,0)),"")</f>
        <v/>
      </c>
      <c r="H1922" s="7" t="str">
        <f aca="false">IFERROR(INDEX('Semrush Data'!$A$1:$Z$20000,MATCH(A1922,'Semrush Data'!$A$1:$A$20000,0),MATCH("Keyword Difficulty*",'Semrush Data'!$A$1:$Z$1,0)),"")</f>
        <v/>
      </c>
      <c r="I1922" s="13" t="str">
        <f aca="false">IFERROR(INDEX('Semrush Data'!$A$1:$Z$20000,MATCH(A1922,'Semrush Data'!$A$1:$A$20000,0),MATCH("CPC*",'Semrush Data'!$A$1:$Z$1,0)),"")</f>
        <v/>
      </c>
      <c r="J1922" s="7" t="str">
        <f aca="false">IFERROR(INDEX('Semrush Data'!$A$1:$Z$20000,MATCH(A1922,'Semrush Data'!$A$1:$A$20000,0),MATCH("Intent",'Semrush Data'!$A$1:$Z$1,0)),"")</f>
        <v/>
      </c>
    </row>
    <row r="1923" customFormat="false" ht="15" hidden="false" customHeight="true" outlineLevel="0" collapsed="false">
      <c r="A1923" s="7" t="s">
        <v>5022</v>
      </c>
      <c r="B1923" s="7" t="s">
        <v>1355</v>
      </c>
      <c r="C1923" s="7" t="n">
        <v>3</v>
      </c>
      <c r="D1923" s="7" t="s">
        <v>6818</v>
      </c>
      <c r="E1923" s="7" t="n">
        <v>1</v>
      </c>
      <c r="F1923" s="7" t="s">
        <v>62</v>
      </c>
      <c r="G1923" s="12" t="str">
        <f aca="false">IFERROR(INDEX('Semrush Data'!$A$1:$Z$20000,MATCH(A1923,'Semrush Data'!$A$1:$A$20000,0),MATCH("Volume",'Semrush Data'!$A$1:$Z$1,0)),"")</f>
        <v/>
      </c>
      <c r="H1923" s="7" t="str">
        <f aca="false">IFERROR(INDEX('Semrush Data'!$A$1:$Z$20000,MATCH(A1923,'Semrush Data'!$A$1:$A$20000,0),MATCH("Keyword Difficulty*",'Semrush Data'!$A$1:$Z$1,0)),"")</f>
        <v/>
      </c>
      <c r="I1923" s="13" t="str">
        <f aca="false">IFERROR(INDEX('Semrush Data'!$A$1:$Z$20000,MATCH(A1923,'Semrush Data'!$A$1:$A$20000,0),MATCH("CPC*",'Semrush Data'!$A$1:$Z$1,0)),"")</f>
        <v/>
      </c>
      <c r="J1923" s="7" t="str">
        <f aca="false">IFERROR(INDEX('Semrush Data'!$A$1:$Z$20000,MATCH(A1923,'Semrush Data'!$A$1:$A$20000,0),MATCH("Intent",'Semrush Data'!$A$1:$Z$1,0)),"")</f>
        <v/>
      </c>
    </row>
    <row r="1924" customFormat="false" ht="15" hidden="false" customHeight="true" outlineLevel="0" collapsed="false">
      <c r="A1924" s="7" t="s">
        <v>5053</v>
      </c>
      <c r="B1924" s="7" t="s">
        <v>1355</v>
      </c>
      <c r="C1924" s="7" t="n">
        <v>3</v>
      </c>
      <c r="D1924" s="7" t="n">
        <v>20</v>
      </c>
      <c r="E1924" s="7" t="n">
        <v>1</v>
      </c>
      <c r="F1924" s="7" t="s">
        <v>86</v>
      </c>
      <c r="G1924" s="12" t="str">
        <f aca="false">IFERROR(INDEX('Semrush Data'!$A$1:$Z$20000,MATCH(A1924,'Semrush Data'!$A$1:$A$20000,0),MATCH("Volume",'Semrush Data'!$A$1:$Z$1,0)),"")</f>
        <v/>
      </c>
      <c r="H1924" s="7" t="str">
        <f aca="false">IFERROR(INDEX('Semrush Data'!$A$1:$Z$20000,MATCH(A1924,'Semrush Data'!$A$1:$A$20000,0),MATCH("Keyword Difficulty*",'Semrush Data'!$A$1:$Z$1,0)),"")</f>
        <v/>
      </c>
      <c r="I1924" s="13" t="str">
        <f aca="false">IFERROR(INDEX('Semrush Data'!$A$1:$Z$20000,MATCH(A1924,'Semrush Data'!$A$1:$A$20000,0),MATCH("CPC*",'Semrush Data'!$A$1:$Z$1,0)),"")</f>
        <v/>
      </c>
      <c r="J1924" s="7" t="str">
        <f aca="false">IFERROR(INDEX('Semrush Data'!$A$1:$Z$20000,MATCH(A1924,'Semrush Data'!$A$1:$A$20000,0),MATCH("Intent",'Semrush Data'!$A$1:$Z$1,0)),"")</f>
        <v/>
      </c>
    </row>
    <row r="1925" customFormat="false" ht="15" hidden="false" customHeight="true" outlineLevel="0" collapsed="false">
      <c r="A1925" s="7" t="s">
        <v>5033</v>
      </c>
      <c r="B1925" s="7" t="s">
        <v>1355</v>
      </c>
      <c r="C1925" s="7" t="n">
        <v>3</v>
      </c>
      <c r="D1925" s="7" t="n">
        <v>20</v>
      </c>
      <c r="E1925" s="7" t="n">
        <v>1</v>
      </c>
      <c r="F1925" s="7" t="s">
        <v>5029</v>
      </c>
      <c r="G1925" s="12" t="str">
        <f aca="false">IFERROR(INDEX('Semrush Data'!$A$1:$Z$20000,MATCH(A1925,'Semrush Data'!$A$1:$A$20000,0),MATCH("Volume",'Semrush Data'!$A$1:$Z$1,0)),"")</f>
        <v/>
      </c>
      <c r="H1925" s="7" t="str">
        <f aca="false">IFERROR(INDEX('Semrush Data'!$A$1:$Z$20000,MATCH(A1925,'Semrush Data'!$A$1:$A$20000,0),MATCH("Keyword Difficulty*",'Semrush Data'!$A$1:$Z$1,0)),"")</f>
        <v/>
      </c>
      <c r="I1925" s="13" t="str">
        <f aca="false">IFERROR(INDEX('Semrush Data'!$A$1:$Z$20000,MATCH(A1925,'Semrush Data'!$A$1:$A$20000,0),MATCH("CPC*",'Semrush Data'!$A$1:$Z$1,0)),"")</f>
        <v/>
      </c>
      <c r="J1925" s="7" t="str">
        <f aca="false">IFERROR(INDEX('Semrush Data'!$A$1:$Z$20000,MATCH(A1925,'Semrush Data'!$A$1:$A$20000,0),MATCH("Intent",'Semrush Data'!$A$1:$Z$1,0)),"")</f>
        <v/>
      </c>
    </row>
    <row r="1926" customFormat="false" ht="15" hidden="false" customHeight="true" outlineLevel="0" collapsed="false">
      <c r="A1926" s="7" t="s">
        <v>5088</v>
      </c>
      <c r="B1926" s="7" t="s">
        <v>1355</v>
      </c>
      <c r="C1926" s="7" t="n">
        <v>3</v>
      </c>
      <c r="D1926" s="7" t="n">
        <v>20</v>
      </c>
      <c r="E1926" s="7" t="n">
        <v>1</v>
      </c>
      <c r="F1926" s="7" t="s">
        <v>5083</v>
      </c>
      <c r="G1926" s="12" t="str">
        <f aca="false">IFERROR(INDEX('Semrush Data'!$A$1:$Z$20000,MATCH(A1926,'Semrush Data'!$A$1:$A$20000,0),MATCH("Volume",'Semrush Data'!$A$1:$Z$1,0)),"")</f>
        <v/>
      </c>
      <c r="H1926" s="7" t="str">
        <f aca="false">IFERROR(INDEX('Semrush Data'!$A$1:$Z$20000,MATCH(A1926,'Semrush Data'!$A$1:$A$20000,0),MATCH("Keyword Difficulty*",'Semrush Data'!$A$1:$Z$1,0)),"")</f>
        <v/>
      </c>
      <c r="I1926" s="13" t="str">
        <f aca="false">IFERROR(INDEX('Semrush Data'!$A$1:$Z$20000,MATCH(A1926,'Semrush Data'!$A$1:$A$20000,0),MATCH("CPC*",'Semrush Data'!$A$1:$Z$1,0)),"")</f>
        <v/>
      </c>
      <c r="J1926" s="7" t="str">
        <f aca="false">IFERROR(INDEX('Semrush Data'!$A$1:$Z$20000,MATCH(A1926,'Semrush Data'!$A$1:$A$20000,0),MATCH("Intent",'Semrush Data'!$A$1:$Z$1,0)),"")</f>
        <v/>
      </c>
    </row>
    <row r="1927" customFormat="false" ht="15" hidden="false" customHeight="true" outlineLevel="0" collapsed="false">
      <c r="A1927" s="7" t="s">
        <v>5075</v>
      </c>
      <c r="B1927" s="7" t="s">
        <v>1355</v>
      </c>
      <c r="C1927" s="7" t="n">
        <v>3</v>
      </c>
      <c r="D1927" s="7" t="n">
        <v>20</v>
      </c>
      <c r="E1927" s="7" t="n">
        <v>1</v>
      </c>
      <c r="F1927" s="7" t="s">
        <v>5069</v>
      </c>
      <c r="G1927" s="12" t="str">
        <f aca="false">IFERROR(INDEX('Semrush Data'!$A$1:$Z$20000,MATCH(A1927,'Semrush Data'!$A$1:$A$20000,0),MATCH("Volume",'Semrush Data'!$A$1:$Z$1,0)),"")</f>
        <v/>
      </c>
      <c r="H1927" s="7" t="str">
        <f aca="false">IFERROR(INDEX('Semrush Data'!$A$1:$Z$20000,MATCH(A1927,'Semrush Data'!$A$1:$A$20000,0),MATCH("Keyword Difficulty*",'Semrush Data'!$A$1:$Z$1,0)),"")</f>
        <v/>
      </c>
      <c r="I1927" s="13" t="str">
        <f aca="false">IFERROR(INDEX('Semrush Data'!$A$1:$Z$20000,MATCH(A1927,'Semrush Data'!$A$1:$A$20000,0),MATCH("CPC*",'Semrush Data'!$A$1:$Z$1,0)),"")</f>
        <v/>
      </c>
      <c r="J1927" s="7" t="str">
        <f aca="false">IFERROR(INDEX('Semrush Data'!$A$1:$Z$20000,MATCH(A1927,'Semrush Data'!$A$1:$A$20000,0),MATCH("Intent",'Semrush Data'!$A$1:$Z$1,0)),"")</f>
        <v/>
      </c>
    </row>
    <row r="1928" customFormat="false" ht="15" hidden="false" customHeight="true" outlineLevel="0" collapsed="false">
      <c r="A1928" s="7" t="s">
        <v>5101</v>
      </c>
      <c r="B1928" s="7" t="s">
        <v>1355</v>
      </c>
      <c r="C1928" s="7" t="n">
        <v>3</v>
      </c>
      <c r="D1928" s="7" t="n">
        <v>20</v>
      </c>
      <c r="E1928" s="7" t="n">
        <v>1</v>
      </c>
      <c r="F1928" s="7" t="s">
        <v>5095</v>
      </c>
      <c r="G1928" s="12" t="str">
        <f aca="false">IFERROR(INDEX('Semrush Data'!$A$1:$Z$20000,MATCH(A1928,'Semrush Data'!$A$1:$A$20000,0),MATCH("Volume",'Semrush Data'!$A$1:$Z$1,0)),"")</f>
        <v/>
      </c>
      <c r="H1928" s="7" t="str">
        <f aca="false">IFERROR(INDEX('Semrush Data'!$A$1:$Z$20000,MATCH(A1928,'Semrush Data'!$A$1:$A$20000,0),MATCH("Keyword Difficulty*",'Semrush Data'!$A$1:$Z$1,0)),"")</f>
        <v/>
      </c>
      <c r="I1928" s="13" t="str">
        <f aca="false">IFERROR(INDEX('Semrush Data'!$A$1:$Z$20000,MATCH(A1928,'Semrush Data'!$A$1:$A$20000,0),MATCH("CPC*",'Semrush Data'!$A$1:$Z$1,0)),"")</f>
        <v/>
      </c>
      <c r="J1928" s="7" t="str">
        <f aca="false">IFERROR(INDEX('Semrush Data'!$A$1:$Z$20000,MATCH(A1928,'Semrush Data'!$A$1:$A$20000,0),MATCH("Intent",'Semrush Data'!$A$1:$Z$1,0)),"")</f>
        <v/>
      </c>
    </row>
    <row r="1929" customFormat="false" ht="15" hidden="false" customHeight="true" outlineLevel="0" collapsed="false">
      <c r="A1929" s="7" t="s">
        <v>5112</v>
      </c>
      <c r="B1929" s="7" t="s">
        <v>1355</v>
      </c>
      <c r="C1929" s="7" t="n">
        <v>3</v>
      </c>
      <c r="D1929" s="7" t="n">
        <v>20</v>
      </c>
      <c r="E1929" s="7" t="n">
        <v>1</v>
      </c>
      <c r="F1929" s="7" t="s">
        <v>5108</v>
      </c>
      <c r="G1929" s="12" t="str">
        <f aca="false">IFERROR(INDEX('Semrush Data'!$A$1:$Z$20000,MATCH(A1929,'Semrush Data'!$A$1:$A$20000,0),MATCH("Volume",'Semrush Data'!$A$1:$Z$1,0)),"")</f>
        <v/>
      </c>
      <c r="H1929" s="7" t="str">
        <f aca="false">IFERROR(INDEX('Semrush Data'!$A$1:$Z$20000,MATCH(A1929,'Semrush Data'!$A$1:$A$20000,0),MATCH("Keyword Difficulty*",'Semrush Data'!$A$1:$Z$1,0)),"")</f>
        <v/>
      </c>
      <c r="I1929" s="13" t="str">
        <f aca="false">IFERROR(INDEX('Semrush Data'!$A$1:$Z$20000,MATCH(A1929,'Semrush Data'!$A$1:$A$20000,0),MATCH("CPC*",'Semrush Data'!$A$1:$Z$1,0)),"")</f>
        <v/>
      </c>
      <c r="J1929" s="7" t="str">
        <f aca="false">IFERROR(INDEX('Semrush Data'!$A$1:$Z$20000,MATCH(A1929,'Semrush Data'!$A$1:$A$20000,0),MATCH("Intent",'Semrush Data'!$A$1:$Z$1,0)),"")</f>
        <v/>
      </c>
    </row>
    <row r="1930" customFormat="false" ht="15" hidden="false" customHeight="true" outlineLevel="0" collapsed="false">
      <c r="A1930" s="7" t="s">
        <v>5124</v>
      </c>
      <c r="B1930" s="7" t="s">
        <v>1355</v>
      </c>
      <c r="C1930" s="7" t="n">
        <v>3</v>
      </c>
      <c r="D1930" s="7" t="n">
        <v>20</v>
      </c>
      <c r="E1930" s="7" t="n">
        <v>1</v>
      </c>
      <c r="F1930" s="7" t="s">
        <v>5118</v>
      </c>
      <c r="G1930" s="12" t="str">
        <f aca="false">IFERROR(INDEX('Semrush Data'!$A$1:$Z$20000,MATCH(A1930,'Semrush Data'!$A$1:$A$20000,0),MATCH("Volume",'Semrush Data'!$A$1:$Z$1,0)),"")</f>
        <v/>
      </c>
      <c r="H1930" s="7" t="str">
        <f aca="false">IFERROR(INDEX('Semrush Data'!$A$1:$Z$20000,MATCH(A1930,'Semrush Data'!$A$1:$A$20000,0),MATCH("Keyword Difficulty*",'Semrush Data'!$A$1:$Z$1,0)),"")</f>
        <v/>
      </c>
      <c r="I1930" s="13" t="str">
        <f aca="false">IFERROR(INDEX('Semrush Data'!$A$1:$Z$20000,MATCH(A1930,'Semrush Data'!$A$1:$A$20000,0),MATCH("CPC*",'Semrush Data'!$A$1:$Z$1,0)),"")</f>
        <v/>
      </c>
      <c r="J1930" s="7" t="str">
        <f aca="false">IFERROR(INDEX('Semrush Data'!$A$1:$Z$20000,MATCH(A1930,'Semrush Data'!$A$1:$A$20000,0),MATCH("Intent",'Semrush Data'!$A$1:$Z$1,0)),"")</f>
        <v/>
      </c>
    </row>
    <row r="1931" customFormat="false" ht="15" hidden="false" customHeight="true" outlineLevel="0" collapsed="false">
      <c r="A1931" s="7" t="s">
        <v>5134</v>
      </c>
      <c r="B1931" s="7" t="s">
        <v>1355</v>
      </c>
      <c r="C1931" s="7" t="n">
        <v>3</v>
      </c>
      <c r="D1931" s="7" t="n">
        <v>20</v>
      </c>
      <c r="E1931" s="7" t="n">
        <v>1</v>
      </c>
      <c r="F1931" s="7" t="s">
        <v>5130</v>
      </c>
      <c r="G1931" s="12" t="str">
        <f aca="false">IFERROR(INDEX('Semrush Data'!$A$1:$Z$20000,MATCH(A1931,'Semrush Data'!$A$1:$A$20000,0),MATCH("Volume",'Semrush Data'!$A$1:$Z$1,0)),"")</f>
        <v/>
      </c>
      <c r="H1931" s="7" t="str">
        <f aca="false">IFERROR(INDEX('Semrush Data'!$A$1:$Z$20000,MATCH(A1931,'Semrush Data'!$A$1:$A$20000,0),MATCH("Keyword Difficulty*",'Semrush Data'!$A$1:$Z$1,0)),"")</f>
        <v/>
      </c>
      <c r="I1931" s="13" t="str">
        <f aca="false">IFERROR(INDEX('Semrush Data'!$A$1:$Z$20000,MATCH(A1931,'Semrush Data'!$A$1:$A$20000,0),MATCH("CPC*",'Semrush Data'!$A$1:$Z$1,0)),"")</f>
        <v/>
      </c>
      <c r="J1931" s="7" t="str">
        <f aca="false">IFERROR(INDEX('Semrush Data'!$A$1:$Z$20000,MATCH(A1931,'Semrush Data'!$A$1:$A$20000,0),MATCH("Intent",'Semrush Data'!$A$1:$Z$1,0)),"")</f>
        <v/>
      </c>
    </row>
    <row r="1932" customFormat="false" ht="15" hidden="false" customHeight="true" outlineLevel="0" collapsed="false">
      <c r="A1932" s="7" t="s">
        <v>5144</v>
      </c>
      <c r="B1932" s="7" t="s">
        <v>1355</v>
      </c>
      <c r="C1932" s="7" t="n">
        <v>3</v>
      </c>
      <c r="D1932" s="7" t="n">
        <v>20</v>
      </c>
      <c r="E1932" s="7" t="n">
        <v>1</v>
      </c>
      <c r="F1932" s="7" t="s">
        <v>5139</v>
      </c>
      <c r="G1932" s="12" t="str">
        <f aca="false">IFERROR(INDEX('Semrush Data'!$A$1:$Z$20000,MATCH(A1932,'Semrush Data'!$A$1:$A$20000,0),MATCH("Volume",'Semrush Data'!$A$1:$Z$1,0)),"")</f>
        <v/>
      </c>
      <c r="H1932" s="7" t="str">
        <f aca="false">IFERROR(INDEX('Semrush Data'!$A$1:$Z$20000,MATCH(A1932,'Semrush Data'!$A$1:$A$20000,0),MATCH("Keyword Difficulty*",'Semrush Data'!$A$1:$Z$1,0)),"")</f>
        <v/>
      </c>
      <c r="I1932" s="13" t="str">
        <f aca="false">IFERROR(INDEX('Semrush Data'!$A$1:$Z$20000,MATCH(A1932,'Semrush Data'!$A$1:$A$20000,0),MATCH("CPC*",'Semrush Data'!$A$1:$Z$1,0)),"")</f>
        <v/>
      </c>
      <c r="J1932" s="7" t="str">
        <f aca="false">IFERROR(INDEX('Semrush Data'!$A$1:$Z$20000,MATCH(A1932,'Semrush Data'!$A$1:$A$20000,0),MATCH("Intent",'Semrush Data'!$A$1:$Z$1,0)),"")</f>
        <v/>
      </c>
    </row>
    <row r="1933" customFormat="false" ht="15" hidden="false" customHeight="true" outlineLevel="0" collapsed="false">
      <c r="A1933" s="7" t="s">
        <v>5166</v>
      </c>
      <c r="B1933" s="7" t="s">
        <v>1355</v>
      </c>
      <c r="C1933" s="7" t="n">
        <v>3</v>
      </c>
      <c r="D1933" s="7" t="n">
        <v>20</v>
      </c>
      <c r="E1933" s="7" t="n">
        <v>1</v>
      </c>
      <c r="F1933" s="7" t="s">
        <v>5162</v>
      </c>
      <c r="G1933" s="12" t="str">
        <f aca="false">IFERROR(INDEX('Semrush Data'!$A$1:$Z$20000,MATCH(A1933,'Semrush Data'!$A$1:$A$20000,0),MATCH("Volume",'Semrush Data'!$A$1:$Z$1,0)),"")</f>
        <v/>
      </c>
      <c r="H1933" s="7" t="str">
        <f aca="false">IFERROR(INDEX('Semrush Data'!$A$1:$Z$20000,MATCH(A1933,'Semrush Data'!$A$1:$A$20000,0),MATCH("Keyword Difficulty*",'Semrush Data'!$A$1:$Z$1,0)),"")</f>
        <v/>
      </c>
      <c r="I1933" s="13" t="str">
        <f aca="false">IFERROR(INDEX('Semrush Data'!$A$1:$Z$20000,MATCH(A1933,'Semrush Data'!$A$1:$A$20000,0),MATCH("CPC*",'Semrush Data'!$A$1:$Z$1,0)),"")</f>
        <v/>
      </c>
      <c r="J1933" s="7" t="str">
        <f aca="false">IFERROR(INDEX('Semrush Data'!$A$1:$Z$20000,MATCH(A1933,'Semrush Data'!$A$1:$A$20000,0),MATCH("Intent",'Semrush Data'!$A$1:$Z$1,0)),"")</f>
        <v/>
      </c>
    </row>
    <row r="1934" customFormat="false" ht="15" hidden="false" customHeight="true" outlineLevel="0" collapsed="false">
      <c r="A1934" s="7" t="s">
        <v>5154</v>
      </c>
      <c r="B1934" s="7" t="s">
        <v>1355</v>
      </c>
      <c r="C1934" s="7" t="n">
        <v>3</v>
      </c>
      <c r="D1934" s="7" t="s">
        <v>6818</v>
      </c>
      <c r="E1934" s="7" t="n">
        <v>1</v>
      </c>
      <c r="F1934" s="7" t="s">
        <v>52</v>
      </c>
      <c r="G1934" s="12" t="str">
        <f aca="false">IFERROR(INDEX('Semrush Data'!$A$1:$Z$20000,MATCH(A1934,'Semrush Data'!$A$1:$A$20000,0),MATCH("Volume",'Semrush Data'!$A$1:$Z$1,0)),"")</f>
        <v/>
      </c>
      <c r="H1934" s="7" t="str">
        <f aca="false">IFERROR(INDEX('Semrush Data'!$A$1:$Z$20000,MATCH(A1934,'Semrush Data'!$A$1:$A$20000,0),MATCH("Keyword Difficulty*",'Semrush Data'!$A$1:$Z$1,0)),"")</f>
        <v/>
      </c>
      <c r="I1934" s="13" t="str">
        <f aca="false">IFERROR(INDEX('Semrush Data'!$A$1:$Z$20000,MATCH(A1934,'Semrush Data'!$A$1:$A$20000,0),MATCH("CPC*",'Semrush Data'!$A$1:$Z$1,0)),"")</f>
        <v/>
      </c>
      <c r="J1934" s="7" t="str">
        <f aca="false">IFERROR(INDEX('Semrush Data'!$A$1:$Z$20000,MATCH(A1934,'Semrush Data'!$A$1:$A$20000,0),MATCH("Intent",'Semrush Data'!$A$1:$Z$1,0)),"")</f>
        <v/>
      </c>
    </row>
    <row r="1935" customFormat="false" ht="15" hidden="false" customHeight="true" outlineLevel="0" collapsed="false">
      <c r="A1935" s="7" t="s">
        <v>5179</v>
      </c>
      <c r="B1935" s="7" t="s">
        <v>1355</v>
      </c>
      <c r="C1935" s="7" t="n">
        <v>3</v>
      </c>
      <c r="D1935" s="7" t="n">
        <v>20</v>
      </c>
      <c r="E1935" s="7" t="n">
        <v>3</v>
      </c>
      <c r="F1935" s="7" t="s">
        <v>6584</v>
      </c>
      <c r="G1935" s="12" t="str">
        <f aca="false">IFERROR(INDEX('Semrush Data'!$A$1:$Z$20000,MATCH(A1935,'Semrush Data'!$A$1:$A$20000,0),MATCH("Volume",'Semrush Data'!$A$1:$Z$1,0)),"")</f>
        <v/>
      </c>
      <c r="H1935" s="7" t="str">
        <f aca="false">IFERROR(INDEX('Semrush Data'!$A$1:$Z$20000,MATCH(A1935,'Semrush Data'!$A$1:$A$20000,0),MATCH("Keyword Difficulty*",'Semrush Data'!$A$1:$Z$1,0)),"")</f>
        <v/>
      </c>
      <c r="I1935" s="13" t="str">
        <f aca="false">IFERROR(INDEX('Semrush Data'!$A$1:$Z$20000,MATCH(A1935,'Semrush Data'!$A$1:$A$20000,0),MATCH("CPC*",'Semrush Data'!$A$1:$Z$1,0)),"")</f>
        <v/>
      </c>
      <c r="J1935" s="7" t="str">
        <f aca="false">IFERROR(INDEX('Semrush Data'!$A$1:$Z$20000,MATCH(A1935,'Semrush Data'!$A$1:$A$20000,0),MATCH("Intent",'Semrush Data'!$A$1:$Z$1,0)),"")</f>
        <v/>
      </c>
    </row>
    <row r="1936" customFormat="false" ht="15" hidden="false" customHeight="true" outlineLevel="0" collapsed="false">
      <c r="A1936" s="7" t="s">
        <v>5195</v>
      </c>
      <c r="B1936" s="7" t="s">
        <v>1355</v>
      </c>
      <c r="C1936" s="7" t="n">
        <v>3</v>
      </c>
      <c r="D1936" s="7" t="n">
        <v>20</v>
      </c>
      <c r="E1936" s="7" t="n">
        <v>1</v>
      </c>
      <c r="F1936" s="7" t="s">
        <v>5190</v>
      </c>
      <c r="G1936" s="12" t="str">
        <f aca="false">IFERROR(INDEX('Semrush Data'!$A$1:$Z$20000,MATCH(A1936,'Semrush Data'!$A$1:$A$20000,0),MATCH("Volume",'Semrush Data'!$A$1:$Z$1,0)),"")</f>
        <v/>
      </c>
      <c r="H1936" s="7" t="str">
        <f aca="false">IFERROR(INDEX('Semrush Data'!$A$1:$Z$20000,MATCH(A1936,'Semrush Data'!$A$1:$A$20000,0),MATCH("Keyword Difficulty*",'Semrush Data'!$A$1:$Z$1,0)),"")</f>
        <v/>
      </c>
      <c r="I1936" s="13" t="str">
        <f aca="false">IFERROR(INDEX('Semrush Data'!$A$1:$Z$20000,MATCH(A1936,'Semrush Data'!$A$1:$A$20000,0),MATCH("CPC*",'Semrush Data'!$A$1:$Z$1,0)),"")</f>
        <v/>
      </c>
      <c r="J1936" s="7" t="str">
        <f aca="false">IFERROR(INDEX('Semrush Data'!$A$1:$Z$20000,MATCH(A1936,'Semrush Data'!$A$1:$A$20000,0),MATCH("Intent",'Semrush Data'!$A$1:$Z$1,0)),"")</f>
        <v/>
      </c>
    </row>
    <row r="1937" customFormat="false" ht="15" hidden="false" customHeight="true" outlineLevel="0" collapsed="false">
      <c r="A1937" s="7" t="s">
        <v>5208</v>
      </c>
      <c r="B1937" s="7" t="s">
        <v>1355</v>
      </c>
      <c r="C1937" s="7" t="n">
        <v>3</v>
      </c>
      <c r="D1937" s="7" t="n">
        <v>20</v>
      </c>
      <c r="E1937" s="7" t="n">
        <v>1</v>
      </c>
      <c r="F1937" s="7" t="s">
        <v>5203</v>
      </c>
      <c r="G1937" s="12" t="str">
        <f aca="false">IFERROR(INDEX('Semrush Data'!$A$1:$Z$20000,MATCH(A1937,'Semrush Data'!$A$1:$A$20000,0),MATCH("Volume",'Semrush Data'!$A$1:$Z$1,0)),"")</f>
        <v/>
      </c>
      <c r="H1937" s="7" t="str">
        <f aca="false">IFERROR(INDEX('Semrush Data'!$A$1:$Z$20000,MATCH(A1937,'Semrush Data'!$A$1:$A$20000,0),MATCH("Keyword Difficulty*",'Semrush Data'!$A$1:$Z$1,0)),"")</f>
        <v/>
      </c>
      <c r="I1937" s="13" t="str">
        <f aca="false">IFERROR(INDEX('Semrush Data'!$A$1:$Z$20000,MATCH(A1937,'Semrush Data'!$A$1:$A$20000,0),MATCH("CPC*",'Semrush Data'!$A$1:$Z$1,0)),"")</f>
        <v/>
      </c>
      <c r="J1937" s="7" t="str">
        <f aca="false">IFERROR(INDEX('Semrush Data'!$A$1:$Z$20000,MATCH(A1937,'Semrush Data'!$A$1:$A$20000,0),MATCH("Intent",'Semrush Data'!$A$1:$Z$1,0)),"")</f>
        <v/>
      </c>
    </row>
    <row r="1938" customFormat="false" ht="15" hidden="false" customHeight="true" outlineLevel="0" collapsed="false">
      <c r="A1938" s="7" t="s">
        <v>5221</v>
      </c>
      <c r="B1938" s="7" t="s">
        <v>1355</v>
      </c>
      <c r="C1938" s="7" t="n">
        <v>3</v>
      </c>
      <c r="D1938" s="7" t="n">
        <v>20</v>
      </c>
      <c r="E1938" s="7" t="n">
        <v>1</v>
      </c>
      <c r="F1938" s="7" t="s">
        <v>5216</v>
      </c>
      <c r="G1938" s="12" t="str">
        <f aca="false">IFERROR(INDEX('Semrush Data'!$A$1:$Z$20000,MATCH(A1938,'Semrush Data'!$A$1:$A$20000,0),MATCH("Volume",'Semrush Data'!$A$1:$Z$1,0)),"")</f>
        <v/>
      </c>
      <c r="H1938" s="7" t="str">
        <f aca="false">IFERROR(INDEX('Semrush Data'!$A$1:$Z$20000,MATCH(A1938,'Semrush Data'!$A$1:$A$20000,0),MATCH("Keyword Difficulty*",'Semrush Data'!$A$1:$Z$1,0)),"")</f>
        <v/>
      </c>
      <c r="I1938" s="13" t="str">
        <f aca="false">IFERROR(INDEX('Semrush Data'!$A$1:$Z$20000,MATCH(A1938,'Semrush Data'!$A$1:$A$20000,0),MATCH("CPC*",'Semrush Data'!$A$1:$Z$1,0)),"")</f>
        <v/>
      </c>
      <c r="J1938" s="7" t="str">
        <f aca="false">IFERROR(INDEX('Semrush Data'!$A$1:$Z$20000,MATCH(A1938,'Semrush Data'!$A$1:$A$20000,0),MATCH("Intent",'Semrush Data'!$A$1:$Z$1,0)),"")</f>
        <v/>
      </c>
    </row>
    <row r="1939" customFormat="false" ht="15" hidden="false" customHeight="true" outlineLevel="0" collapsed="false">
      <c r="A1939" s="7" t="s">
        <v>5923</v>
      </c>
      <c r="B1939" s="7" t="s">
        <v>1355</v>
      </c>
      <c r="C1939" s="7" t="n">
        <v>3</v>
      </c>
      <c r="D1939" s="7" t="n">
        <v>20</v>
      </c>
      <c r="E1939" s="7" t="n">
        <v>1</v>
      </c>
      <c r="F1939" s="7" t="s">
        <v>5919</v>
      </c>
      <c r="G1939" s="12" t="str">
        <f aca="false">IFERROR(INDEX('Semrush Data'!$A$1:$Z$20000,MATCH(A1939,'Semrush Data'!$A$1:$A$20000,0),MATCH("Volume",'Semrush Data'!$A$1:$Z$1,0)),"")</f>
        <v/>
      </c>
      <c r="H1939" s="7" t="str">
        <f aca="false">IFERROR(INDEX('Semrush Data'!$A$1:$Z$20000,MATCH(A1939,'Semrush Data'!$A$1:$A$20000,0),MATCH("Keyword Difficulty*",'Semrush Data'!$A$1:$Z$1,0)),"")</f>
        <v/>
      </c>
      <c r="I1939" s="13" t="str">
        <f aca="false">IFERROR(INDEX('Semrush Data'!$A$1:$Z$20000,MATCH(A1939,'Semrush Data'!$A$1:$A$20000,0),MATCH("CPC*",'Semrush Data'!$A$1:$Z$1,0)),"")</f>
        <v/>
      </c>
      <c r="J1939" s="7" t="str">
        <f aca="false">IFERROR(INDEX('Semrush Data'!$A$1:$Z$20000,MATCH(A1939,'Semrush Data'!$A$1:$A$20000,0),MATCH("Intent",'Semrush Data'!$A$1:$Z$1,0)),"")</f>
        <v/>
      </c>
    </row>
    <row r="1940" customFormat="false" ht="15" hidden="false" customHeight="true" outlineLevel="0" collapsed="false">
      <c r="A1940" s="7" t="s">
        <v>5233</v>
      </c>
      <c r="B1940" s="7" t="s">
        <v>1355</v>
      </c>
      <c r="C1940" s="7" t="n">
        <v>3</v>
      </c>
      <c r="D1940" s="7" t="n">
        <v>20</v>
      </c>
      <c r="E1940" s="7" t="n">
        <v>1</v>
      </c>
      <c r="F1940" s="7" t="s">
        <v>5228</v>
      </c>
      <c r="G1940" s="12" t="str">
        <f aca="false">IFERROR(INDEX('Semrush Data'!$A$1:$Z$20000,MATCH(A1940,'Semrush Data'!$A$1:$A$20000,0),MATCH("Volume",'Semrush Data'!$A$1:$Z$1,0)),"")</f>
        <v/>
      </c>
      <c r="H1940" s="7" t="str">
        <f aca="false">IFERROR(INDEX('Semrush Data'!$A$1:$Z$20000,MATCH(A1940,'Semrush Data'!$A$1:$A$20000,0),MATCH("Keyword Difficulty*",'Semrush Data'!$A$1:$Z$1,0)),"")</f>
        <v/>
      </c>
      <c r="I1940" s="13" t="str">
        <f aca="false">IFERROR(INDEX('Semrush Data'!$A$1:$Z$20000,MATCH(A1940,'Semrush Data'!$A$1:$A$20000,0),MATCH("CPC*",'Semrush Data'!$A$1:$Z$1,0)),"")</f>
        <v/>
      </c>
      <c r="J1940" s="7" t="str">
        <f aca="false">IFERROR(INDEX('Semrush Data'!$A$1:$Z$20000,MATCH(A1940,'Semrush Data'!$A$1:$A$20000,0),MATCH("Intent",'Semrush Data'!$A$1:$Z$1,0)),"")</f>
        <v/>
      </c>
    </row>
    <row r="1941" customFormat="false" ht="15" hidden="false" customHeight="true" outlineLevel="0" collapsed="false">
      <c r="A1941" s="7" t="s">
        <v>5268</v>
      </c>
      <c r="B1941" s="7" t="s">
        <v>1355</v>
      </c>
      <c r="C1941" s="7" t="n">
        <v>3</v>
      </c>
      <c r="D1941" s="7" t="n">
        <v>20</v>
      </c>
      <c r="E1941" s="7" t="n">
        <v>1</v>
      </c>
      <c r="F1941" s="7" t="s">
        <v>5264</v>
      </c>
      <c r="G1941" s="12" t="str">
        <f aca="false">IFERROR(INDEX('Semrush Data'!$A$1:$Z$20000,MATCH(A1941,'Semrush Data'!$A$1:$A$20000,0),MATCH("Volume",'Semrush Data'!$A$1:$Z$1,0)),"")</f>
        <v/>
      </c>
      <c r="H1941" s="7" t="str">
        <f aca="false">IFERROR(INDEX('Semrush Data'!$A$1:$Z$20000,MATCH(A1941,'Semrush Data'!$A$1:$A$20000,0),MATCH("Keyword Difficulty*",'Semrush Data'!$A$1:$Z$1,0)),"")</f>
        <v/>
      </c>
      <c r="I1941" s="13" t="str">
        <f aca="false">IFERROR(INDEX('Semrush Data'!$A$1:$Z$20000,MATCH(A1941,'Semrush Data'!$A$1:$A$20000,0),MATCH("CPC*",'Semrush Data'!$A$1:$Z$1,0)),"")</f>
        <v/>
      </c>
      <c r="J1941" s="7" t="str">
        <f aca="false">IFERROR(INDEX('Semrush Data'!$A$1:$Z$20000,MATCH(A1941,'Semrush Data'!$A$1:$A$20000,0),MATCH("Intent",'Semrush Data'!$A$1:$Z$1,0)),"")</f>
        <v/>
      </c>
    </row>
    <row r="1942" customFormat="false" ht="15" hidden="false" customHeight="true" outlineLevel="0" collapsed="false">
      <c r="A1942" s="7" t="s">
        <v>5291</v>
      </c>
      <c r="B1942" s="7" t="s">
        <v>1355</v>
      </c>
      <c r="C1942" s="7" t="n">
        <v>3</v>
      </c>
      <c r="D1942" s="7" t="n">
        <v>20</v>
      </c>
      <c r="E1942" s="7" t="n">
        <v>1</v>
      </c>
      <c r="F1942" s="7" t="s">
        <v>5286</v>
      </c>
      <c r="G1942" s="12" t="str">
        <f aca="false">IFERROR(INDEX('Semrush Data'!$A$1:$Z$20000,MATCH(A1942,'Semrush Data'!$A$1:$A$20000,0),MATCH("Volume",'Semrush Data'!$A$1:$Z$1,0)),"")</f>
        <v/>
      </c>
      <c r="H1942" s="7" t="str">
        <f aca="false">IFERROR(INDEX('Semrush Data'!$A$1:$Z$20000,MATCH(A1942,'Semrush Data'!$A$1:$A$20000,0),MATCH("Keyword Difficulty*",'Semrush Data'!$A$1:$Z$1,0)),"")</f>
        <v/>
      </c>
      <c r="I1942" s="13" t="str">
        <f aca="false">IFERROR(INDEX('Semrush Data'!$A$1:$Z$20000,MATCH(A1942,'Semrush Data'!$A$1:$A$20000,0),MATCH("CPC*",'Semrush Data'!$A$1:$Z$1,0)),"")</f>
        <v/>
      </c>
      <c r="J1942" s="7" t="str">
        <f aca="false">IFERROR(INDEX('Semrush Data'!$A$1:$Z$20000,MATCH(A1942,'Semrush Data'!$A$1:$A$20000,0),MATCH("Intent",'Semrush Data'!$A$1:$Z$1,0)),"")</f>
        <v/>
      </c>
    </row>
    <row r="1943" customFormat="false" ht="15" hidden="false" customHeight="true" outlineLevel="0" collapsed="false">
      <c r="A1943" s="7" t="s">
        <v>5278</v>
      </c>
      <c r="B1943" s="7" t="s">
        <v>1355</v>
      </c>
      <c r="C1943" s="7" t="n">
        <v>3</v>
      </c>
      <c r="D1943" s="7" t="n">
        <v>20</v>
      </c>
      <c r="E1943" s="7" t="n">
        <v>1</v>
      </c>
      <c r="F1943" s="7" t="s">
        <v>5274</v>
      </c>
      <c r="G1943" s="12" t="str">
        <f aca="false">IFERROR(INDEX('Semrush Data'!$A$1:$Z$20000,MATCH(A1943,'Semrush Data'!$A$1:$A$20000,0),MATCH("Volume",'Semrush Data'!$A$1:$Z$1,0)),"")</f>
        <v/>
      </c>
      <c r="H1943" s="7" t="str">
        <f aca="false">IFERROR(INDEX('Semrush Data'!$A$1:$Z$20000,MATCH(A1943,'Semrush Data'!$A$1:$A$20000,0),MATCH("Keyword Difficulty*",'Semrush Data'!$A$1:$Z$1,0)),"")</f>
        <v/>
      </c>
      <c r="I1943" s="13" t="str">
        <f aca="false">IFERROR(INDEX('Semrush Data'!$A$1:$Z$20000,MATCH(A1943,'Semrush Data'!$A$1:$A$20000,0),MATCH("CPC*",'Semrush Data'!$A$1:$Z$1,0)),"")</f>
        <v/>
      </c>
      <c r="J1943" s="7" t="str">
        <f aca="false">IFERROR(INDEX('Semrush Data'!$A$1:$Z$20000,MATCH(A1943,'Semrush Data'!$A$1:$A$20000,0),MATCH("Intent",'Semrush Data'!$A$1:$Z$1,0)),"")</f>
        <v/>
      </c>
    </row>
    <row r="1944" customFormat="false" ht="15" hidden="false" customHeight="true" outlineLevel="0" collapsed="false">
      <c r="A1944" s="7" t="s">
        <v>5245</v>
      </c>
      <c r="B1944" s="7" t="s">
        <v>1355</v>
      </c>
      <c r="C1944" s="7" t="n">
        <v>3</v>
      </c>
      <c r="D1944" s="7" t="n">
        <v>20</v>
      </c>
      <c r="E1944" s="7" t="n">
        <v>1</v>
      </c>
      <c r="F1944" s="7" t="s">
        <v>5240</v>
      </c>
      <c r="G1944" s="12" t="str">
        <f aca="false">IFERROR(INDEX('Semrush Data'!$A$1:$Z$20000,MATCH(A1944,'Semrush Data'!$A$1:$A$20000,0),MATCH("Volume",'Semrush Data'!$A$1:$Z$1,0)),"")</f>
        <v/>
      </c>
      <c r="H1944" s="7" t="str">
        <f aca="false">IFERROR(INDEX('Semrush Data'!$A$1:$Z$20000,MATCH(A1944,'Semrush Data'!$A$1:$A$20000,0),MATCH("Keyword Difficulty*",'Semrush Data'!$A$1:$Z$1,0)),"")</f>
        <v/>
      </c>
      <c r="I1944" s="13" t="str">
        <f aca="false">IFERROR(INDEX('Semrush Data'!$A$1:$Z$20000,MATCH(A1944,'Semrush Data'!$A$1:$A$20000,0),MATCH("CPC*",'Semrush Data'!$A$1:$Z$1,0)),"")</f>
        <v/>
      </c>
      <c r="J1944" s="7" t="str">
        <f aca="false">IFERROR(INDEX('Semrush Data'!$A$1:$Z$20000,MATCH(A1944,'Semrush Data'!$A$1:$A$20000,0),MATCH("Intent",'Semrush Data'!$A$1:$Z$1,0)),"")</f>
        <v/>
      </c>
    </row>
    <row r="1945" customFormat="false" ht="15" hidden="false" customHeight="true" outlineLevel="0" collapsed="false">
      <c r="A1945" s="7" t="s">
        <v>5257</v>
      </c>
      <c r="B1945" s="7" t="s">
        <v>1355</v>
      </c>
      <c r="C1945" s="7" t="n">
        <v>3</v>
      </c>
      <c r="D1945" s="7" t="n">
        <v>20</v>
      </c>
      <c r="E1945" s="7" t="n">
        <v>1</v>
      </c>
      <c r="F1945" s="7" t="s">
        <v>5253</v>
      </c>
      <c r="G1945" s="12" t="str">
        <f aca="false">IFERROR(INDEX('Semrush Data'!$A$1:$Z$20000,MATCH(A1945,'Semrush Data'!$A$1:$A$20000,0),MATCH("Volume",'Semrush Data'!$A$1:$Z$1,0)),"")</f>
        <v/>
      </c>
      <c r="H1945" s="7" t="str">
        <f aca="false">IFERROR(INDEX('Semrush Data'!$A$1:$Z$20000,MATCH(A1945,'Semrush Data'!$A$1:$A$20000,0),MATCH("Keyword Difficulty*",'Semrush Data'!$A$1:$Z$1,0)),"")</f>
        <v/>
      </c>
      <c r="I1945" s="13" t="str">
        <f aca="false">IFERROR(INDEX('Semrush Data'!$A$1:$Z$20000,MATCH(A1945,'Semrush Data'!$A$1:$A$20000,0),MATCH("CPC*",'Semrush Data'!$A$1:$Z$1,0)),"")</f>
        <v/>
      </c>
      <c r="J1945" s="7" t="str">
        <f aca="false">IFERROR(INDEX('Semrush Data'!$A$1:$Z$20000,MATCH(A1945,'Semrush Data'!$A$1:$A$20000,0),MATCH("Intent",'Semrush Data'!$A$1:$Z$1,0)),"")</f>
        <v/>
      </c>
    </row>
    <row r="1946" customFormat="false" ht="15" hidden="false" customHeight="true" outlineLevel="0" collapsed="false">
      <c r="A1946" s="7" t="s">
        <v>5300</v>
      </c>
      <c r="B1946" s="7" t="s">
        <v>1355</v>
      </c>
      <c r="C1946" s="7" t="n">
        <v>3</v>
      </c>
      <c r="D1946" s="7" t="n">
        <v>20</v>
      </c>
      <c r="E1946" s="7" t="n">
        <v>1</v>
      </c>
      <c r="F1946" s="7" t="s">
        <v>5295</v>
      </c>
      <c r="G1946" s="12" t="str">
        <f aca="false">IFERROR(INDEX('Semrush Data'!$A$1:$Z$20000,MATCH(A1946,'Semrush Data'!$A$1:$A$20000,0),MATCH("Volume",'Semrush Data'!$A$1:$Z$1,0)),"")</f>
        <v/>
      </c>
      <c r="H1946" s="7" t="str">
        <f aca="false">IFERROR(INDEX('Semrush Data'!$A$1:$Z$20000,MATCH(A1946,'Semrush Data'!$A$1:$A$20000,0),MATCH("Keyword Difficulty*",'Semrush Data'!$A$1:$Z$1,0)),"")</f>
        <v/>
      </c>
      <c r="I1946" s="13" t="str">
        <f aca="false">IFERROR(INDEX('Semrush Data'!$A$1:$Z$20000,MATCH(A1946,'Semrush Data'!$A$1:$A$20000,0),MATCH("CPC*",'Semrush Data'!$A$1:$Z$1,0)),"")</f>
        <v/>
      </c>
      <c r="J1946" s="7" t="str">
        <f aca="false">IFERROR(INDEX('Semrush Data'!$A$1:$Z$20000,MATCH(A1946,'Semrush Data'!$A$1:$A$20000,0),MATCH("Intent",'Semrush Data'!$A$1:$Z$1,0)),"")</f>
        <v/>
      </c>
    </row>
    <row r="1947" customFormat="false" ht="15" hidden="false" customHeight="true" outlineLevel="0" collapsed="false">
      <c r="A1947" s="7" t="s">
        <v>5312</v>
      </c>
      <c r="B1947" s="7" t="s">
        <v>1355</v>
      </c>
      <c r="C1947" s="7" t="n">
        <v>3</v>
      </c>
      <c r="D1947" s="7" t="n">
        <v>20</v>
      </c>
      <c r="E1947" s="7" t="n">
        <v>1</v>
      </c>
      <c r="F1947" s="7" t="s">
        <v>5308</v>
      </c>
      <c r="G1947" s="12" t="str">
        <f aca="false">IFERROR(INDEX('Semrush Data'!$A$1:$Z$20000,MATCH(A1947,'Semrush Data'!$A$1:$A$20000,0),MATCH("Volume",'Semrush Data'!$A$1:$Z$1,0)),"")</f>
        <v/>
      </c>
      <c r="H1947" s="7" t="str">
        <f aca="false">IFERROR(INDEX('Semrush Data'!$A$1:$Z$20000,MATCH(A1947,'Semrush Data'!$A$1:$A$20000,0),MATCH("Keyword Difficulty*",'Semrush Data'!$A$1:$Z$1,0)),"")</f>
        <v/>
      </c>
      <c r="I1947" s="13" t="str">
        <f aca="false">IFERROR(INDEX('Semrush Data'!$A$1:$Z$20000,MATCH(A1947,'Semrush Data'!$A$1:$A$20000,0),MATCH("CPC*",'Semrush Data'!$A$1:$Z$1,0)),"")</f>
        <v/>
      </c>
      <c r="J1947" s="7" t="str">
        <f aca="false">IFERROR(INDEX('Semrush Data'!$A$1:$Z$20000,MATCH(A1947,'Semrush Data'!$A$1:$A$20000,0),MATCH("Intent",'Semrush Data'!$A$1:$Z$1,0)),"")</f>
        <v/>
      </c>
    </row>
    <row r="1948" customFormat="false" ht="15" hidden="false" customHeight="true" outlineLevel="0" collapsed="false">
      <c r="A1948" s="7" t="s">
        <v>5323</v>
      </c>
      <c r="B1948" s="7" t="s">
        <v>1355</v>
      </c>
      <c r="C1948" s="7" t="n">
        <v>3</v>
      </c>
      <c r="D1948" s="7" t="n">
        <v>20</v>
      </c>
      <c r="E1948" s="7" t="n">
        <v>1</v>
      </c>
      <c r="F1948" s="7" t="s">
        <v>5319</v>
      </c>
      <c r="G1948" s="12" t="str">
        <f aca="false">IFERROR(INDEX('Semrush Data'!$A$1:$Z$20000,MATCH(A1948,'Semrush Data'!$A$1:$A$20000,0),MATCH("Volume",'Semrush Data'!$A$1:$Z$1,0)),"")</f>
        <v/>
      </c>
      <c r="H1948" s="7" t="str">
        <f aca="false">IFERROR(INDEX('Semrush Data'!$A$1:$Z$20000,MATCH(A1948,'Semrush Data'!$A$1:$A$20000,0),MATCH("Keyword Difficulty*",'Semrush Data'!$A$1:$Z$1,0)),"")</f>
        <v/>
      </c>
      <c r="I1948" s="13" t="str">
        <f aca="false">IFERROR(INDEX('Semrush Data'!$A$1:$Z$20000,MATCH(A1948,'Semrush Data'!$A$1:$A$20000,0),MATCH("CPC*",'Semrush Data'!$A$1:$Z$1,0)),"")</f>
        <v/>
      </c>
      <c r="J1948" s="7" t="str">
        <f aca="false">IFERROR(INDEX('Semrush Data'!$A$1:$Z$20000,MATCH(A1948,'Semrush Data'!$A$1:$A$20000,0),MATCH("Intent",'Semrush Data'!$A$1:$Z$1,0)),"")</f>
        <v/>
      </c>
    </row>
    <row r="1949" customFormat="false" ht="15" hidden="false" customHeight="true" outlineLevel="0" collapsed="false">
      <c r="A1949" s="7" t="s">
        <v>5335</v>
      </c>
      <c r="B1949" s="7" t="s">
        <v>1355</v>
      </c>
      <c r="C1949" s="7" t="n">
        <v>3</v>
      </c>
      <c r="D1949" s="7" t="n">
        <v>20</v>
      </c>
      <c r="E1949" s="7" t="n">
        <v>1</v>
      </c>
      <c r="F1949" s="7" t="s">
        <v>5331</v>
      </c>
      <c r="G1949" s="12" t="str">
        <f aca="false">IFERROR(INDEX('Semrush Data'!$A$1:$Z$20000,MATCH(A1949,'Semrush Data'!$A$1:$A$20000,0),MATCH("Volume",'Semrush Data'!$A$1:$Z$1,0)),"")</f>
        <v/>
      </c>
      <c r="H1949" s="7" t="str">
        <f aca="false">IFERROR(INDEX('Semrush Data'!$A$1:$Z$20000,MATCH(A1949,'Semrush Data'!$A$1:$A$20000,0),MATCH("Keyword Difficulty*",'Semrush Data'!$A$1:$Z$1,0)),"")</f>
        <v/>
      </c>
      <c r="I1949" s="13" t="str">
        <f aca="false">IFERROR(INDEX('Semrush Data'!$A$1:$Z$20000,MATCH(A1949,'Semrush Data'!$A$1:$A$20000,0),MATCH("CPC*",'Semrush Data'!$A$1:$Z$1,0)),"")</f>
        <v/>
      </c>
      <c r="J1949" s="7" t="str">
        <f aca="false">IFERROR(INDEX('Semrush Data'!$A$1:$Z$20000,MATCH(A1949,'Semrush Data'!$A$1:$A$20000,0),MATCH("Intent",'Semrush Data'!$A$1:$Z$1,0)),"")</f>
        <v/>
      </c>
    </row>
    <row r="1950" customFormat="false" ht="15" hidden="false" customHeight="true" outlineLevel="0" collapsed="false">
      <c r="A1950" s="7" t="s">
        <v>5344</v>
      </c>
      <c r="B1950" s="7" t="s">
        <v>1355</v>
      </c>
      <c r="C1950" s="7" t="n">
        <v>3</v>
      </c>
      <c r="D1950" s="7" t="n">
        <v>20</v>
      </c>
      <c r="E1950" s="7" t="n">
        <v>1</v>
      </c>
      <c r="F1950" s="7" t="s">
        <v>140</v>
      </c>
      <c r="G1950" s="12" t="str">
        <f aca="false">IFERROR(INDEX('Semrush Data'!$A$1:$Z$20000,MATCH(A1950,'Semrush Data'!$A$1:$A$20000,0),MATCH("Volume",'Semrush Data'!$A$1:$Z$1,0)),"")</f>
        <v/>
      </c>
      <c r="H1950" s="7" t="str">
        <f aca="false">IFERROR(INDEX('Semrush Data'!$A$1:$Z$20000,MATCH(A1950,'Semrush Data'!$A$1:$A$20000,0),MATCH("Keyword Difficulty*",'Semrush Data'!$A$1:$Z$1,0)),"")</f>
        <v/>
      </c>
      <c r="I1950" s="13" t="str">
        <f aca="false">IFERROR(INDEX('Semrush Data'!$A$1:$Z$20000,MATCH(A1950,'Semrush Data'!$A$1:$A$20000,0),MATCH("CPC*",'Semrush Data'!$A$1:$Z$1,0)),"")</f>
        <v/>
      </c>
      <c r="J1950" s="7" t="str">
        <f aca="false">IFERROR(INDEX('Semrush Data'!$A$1:$Z$20000,MATCH(A1950,'Semrush Data'!$A$1:$A$20000,0),MATCH("Intent",'Semrush Data'!$A$1:$Z$1,0)),"")</f>
        <v/>
      </c>
    </row>
    <row r="1951" customFormat="false" ht="15" hidden="false" customHeight="true" outlineLevel="0" collapsed="false">
      <c r="A1951" s="7" t="s">
        <v>5356</v>
      </c>
      <c r="B1951" s="7" t="s">
        <v>1355</v>
      </c>
      <c r="C1951" s="7" t="n">
        <v>3</v>
      </c>
      <c r="D1951" s="7" t="n">
        <v>20</v>
      </c>
      <c r="E1951" s="7" t="n">
        <v>1</v>
      </c>
      <c r="F1951" s="7" t="s">
        <v>5352</v>
      </c>
      <c r="G1951" s="12" t="str">
        <f aca="false">IFERROR(INDEX('Semrush Data'!$A$1:$Z$20000,MATCH(A1951,'Semrush Data'!$A$1:$A$20000,0),MATCH("Volume",'Semrush Data'!$A$1:$Z$1,0)),"")</f>
        <v/>
      </c>
      <c r="H1951" s="7" t="str">
        <f aca="false">IFERROR(INDEX('Semrush Data'!$A$1:$Z$20000,MATCH(A1951,'Semrush Data'!$A$1:$A$20000,0),MATCH("Keyword Difficulty*",'Semrush Data'!$A$1:$Z$1,0)),"")</f>
        <v/>
      </c>
      <c r="I1951" s="13" t="str">
        <f aca="false">IFERROR(INDEX('Semrush Data'!$A$1:$Z$20000,MATCH(A1951,'Semrush Data'!$A$1:$A$20000,0),MATCH("CPC*",'Semrush Data'!$A$1:$Z$1,0)),"")</f>
        <v/>
      </c>
      <c r="J1951" s="7" t="str">
        <f aca="false">IFERROR(INDEX('Semrush Data'!$A$1:$Z$20000,MATCH(A1951,'Semrush Data'!$A$1:$A$20000,0),MATCH("Intent",'Semrush Data'!$A$1:$Z$1,0)),"")</f>
        <v/>
      </c>
    </row>
    <row r="1952" customFormat="false" ht="15" hidden="false" customHeight="true" outlineLevel="0" collapsed="false">
      <c r="A1952" s="7" t="s">
        <v>4408</v>
      </c>
      <c r="B1952" s="7" t="s">
        <v>1355</v>
      </c>
      <c r="C1952" s="7" t="n">
        <v>3</v>
      </c>
      <c r="D1952" s="7" t="n">
        <v>20</v>
      </c>
      <c r="E1952" s="7" t="n">
        <v>1</v>
      </c>
      <c r="F1952" s="7" t="s">
        <v>4404</v>
      </c>
      <c r="G1952" s="12" t="str">
        <f aca="false">IFERROR(INDEX('Semrush Data'!$A$1:$Z$20000,MATCH(A1952,'Semrush Data'!$A$1:$A$20000,0),MATCH("Volume",'Semrush Data'!$A$1:$Z$1,0)),"")</f>
        <v/>
      </c>
      <c r="H1952" s="7" t="str">
        <f aca="false">IFERROR(INDEX('Semrush Data'!$A$1:$Z$20000,MATCH(A1952,'Semrush Data'!$A$1:$A$20000,0),MATCH("Keyword Difficulty*",'Semrush Data'!$A$1:$Z$1,0)),"")</f>
        <v/>
      </c>
      <c r="I1952" s="13" t="str">
        <f aca="false">IFERROR(INDEX('Semrush Data'!$A$1:$Z$20000,MATCH(A1952,'Semrush Data'!$A$1:$A$20000,0),MATCH("CPC*",'Semrush Data'!$A$1:$Z$1,0)),"")</f>
        <v/>
      </c>
      <c r="J1952" s="7" t="str">
        <f aca="false">IFERROR(INDEX('Semrush Data'!$A$1:$Z$20000,MATCH(A1952,'Semrush Data'!$A$1:$A$20000,0),MATCH("Intent",'Semrush Data'!$A$1:$Z$1,0)),"")</f>
        <v/>
      </c>
    </row>
    <row r="1953" customFormat="false" ht="15" hidden="false" customHeight="true" outlineLevel="0" collapsed="false">
      <c r="A1953" s="7" t="s">
        <v>4418</v>
      </c>
      <c r="B1953" s="7" t="s">
        <v>1355</v>
      </c>
      <c r="C1953" s="7" t="n">
        <v>3</v>
      </c>
      <c r="D1953" s="7" t="n">
        <v>20</v>
      </c>
      <c r="E1953" s="7" t="n">
        <v>1</v>
      </c>
      <c r="F1953" s="7" t="s">
        <v>4414</v>
      </c>
      <c r="G1953" s="12" t="str">
        <f aca="false">IFERROR(INDEX('Semrush Data'!$A$1:$Z$20000,MATCH(A1953,'Semrush Data'!$A$1:$A$20000,0),MATCH("Volume",'Semrush Data'!$A$1:$Z$1,0)),"")</f>
        <v/>
      </c>
      <c r="H1953" s="7" t="str">
        <f aca="false">IFERROR(INDEX('Semrush Data'!$A$1:$Z$20000,MATCH(A1953,'Semrush Data'!$A$1:$A$20000,0),MATCH("Keyword Difficulty*",'Semrush Data'!$A$1:$Z$1,0)),"")</f>
        <v/>
      </c>
      <c r="I1953" s="13" t="str">
        <f aca="false">IFERROR(INDEX('Semrush Data'!$A$1:$Z$20000,MATCH(A1953,'Semrush Data'!$A$1:$A$20000,0),MATCH("CPC*",'Semrush Data'!$A$1:$Z$1,0)),"")</f>
        <v/>
      </c>
      <c r="J1953" s="7" t="str">
        <f aca="false">IFERROR(INDEX('Semrush Data'!$A$1:$Z$20000,MATCH(A1953,'Semrush Data'!$A$1:$A$20000,0),MATCH("Intent",'Semrush Data'!$A$1:$Z$1,0)),"")</f>
        <v/>
      </c>
    </row>
    <row r="1954" customFormat="false" ht="15" hidden="false" customHeight="true" outlineLevel="0" collapsed="false">
      <c r="A1954" s="7" t="s">
        <v>4429</v>
      </c>
      <c r="B1954" s="7" t="s">
        <v>1355</v>
      </c>
      <c r="C1954" s="7" t="n">
        <v>3</v>
      </c>
      <c r="D1954" s="7" t="n">
        <v>20</v>
      </c>
      <c r="E1954" s="7" t="n">
        <v>1</v>
      </c>
      <c r="F1954" s="7" t="s">
        <v>4425</v>
      </c>
      <c r="G1954" s="12" t="str">
        <f aca="false">IFERROR(INDEX('Semrush Data'!$A$1:$Z$20000,MATCH(A1954,'Semrush Data'!$A$1:$A$20000,0),MATCH("Volume",'Semrush Data'!$A$1:$Z$1,0)),"")</f>
        <v/>
      </c>
      <c r="H1954" s="7" t="str">
        <f aca="false">IFERROR(INDEX('Semrush Data'!$A$1:$Z$20000,MATCH(A1954,'Semrush Data'!$A$1:$A$20000,0),MATCH("Keyword Difficulty*",'Semrush Data'!$A$1:$Z$1,0)),"")</f>
        <v/>
      </c>
      <c r="I1954" s="13" t="str">
        <f aca="false">IFERROR(INDEX('Semrush Data'!$A$1:$Z$20000,MATCH(A1954,'Semrush Data'!$A$1:$A$20000,0),MATCH("CPC*",'Semrush Data'!$A$1:$Z$1,0)),"")</f>
        <v/>
      </c>
      <c r="J1954" s="7" t="str">
        <f aca="false">IFERROR(INDEX('Semrush Data'!$A$1:$Z$20000,MATCH(A1954,'Semrush Data'!$A$1:$A$20000,0),MATCH("Intent",'Semrush Data'!$A$1:$Z$1,0)),"")</f>
        <v/>
      </c>
    </row>
    <row r="1955" customFormat="false" ht="15" hidden="false" customHeight="true" outlineLevel="0" collapsed="false">
      <c r="A1955" s="7" t="s">
        <v>4439</v>
      </c>
      <c r="B1955" s="7" t="s">
        <v>1355</v>
      </c>
      <c r="C1955" s="7" t="n">
        <v>3</v>
      </c>
      <c r="D1955" s="7" t="n">
        <v>20</v>
      </c>
      <c r="E1955" s="7" t="n">
        <v>1</v>
      </c>
      <c r="F1955" s="7" t="s">
        <v>4435</v>
      </c>
      <c r="G1955" s="12" t="str">
        <f aca="false">IFERROR(INDEX('Semrush Data'!$A$1:$Z$20000,MATCH(A1955,'Semrush Data'!$A$1:$A$20000,0),MATCH("Volume",'Semrush Data'!$A$1:$Z$1,0)),"")</f>
        <v/>
      </c>
      <c r="H1955" s="7" t="str">
        <f aca="false">IFERROR(INDEX('Semrush Data'!$A$1:$Z$20000,MATCH(A1955,'Semrush Data'!$A$1:$A$20000,0),MATCH("Keyword Difficulty*",'Semrush Data'!$A$1:$Z$1,0)),"")</f>
        <v/>
      </c>
      <c r="I1955" s="13" t="str">
        <f aca="false">IFERROR(INDEX('Semrush Data'!$A$1:$Z$20000,MATCH(A1955,'Semrush Data'!$A$1:$A$20000,0),MATCH("CPC*",'Semrush Data'!$A$1:$Z$1,0)),"")</f>
        <v/>
      </c>
      <c r="J1955" s="7" t="str">
        <f aca="false">IFERROR(INDEX('Semrush Data'!$A$1:$Z$20000,MATCH(A1955,'Semrush Data'!$A$1:$A$20000,0),MATCH("Intent",'Semrush Data'!$A$1:$Z$1,0)),"")</f>
        <v/>
      </c>
    </row>
    <row r="1956" customFormat="false" ht="15" hidden="false" customHeight="true" outlineLevel="0" collapsed="false">
      <c r="A1956" s="7" t="s">
        <v>4449</v>
      </c>
      <c r="B1956" s="7" t="s">
        <v>1355</v>
      </c>
      <c r="C1956" s="7" t="n">
        <v>3</v>
      </c>
      <c r="D1956" s="7" t="n">
        <v>20</v>
      </c>
      <c r="E1956" s="7" t="n">
        <v>1</v>
      </c>
      <c r="F1956" s="7" t="s">
        <v>4445</v>
      </c>
      <c r="G1956" s="12" t="str">
        <f aca="false">IFERROR(INDEX('Semrush Data'!$A$1:$Z$20000,MATCH(A1956,'Semrush Data'!$A$1:$A$20000,0),MATCH("Volume",'Semrush Data'!$A$1:$Z$1,0)),"")</f>
        <v/>
      </c>
      <c r="H1956" s="7" t="str">
        <f aca="false">IFERROR(INDEX('Semrush Data'!$A$1:$Z$20000,MATCH(A1956,'Semrush Data'!$A$1:$A$20000,0),MATCH("Keyword Difficulty*",'Semrush Data'!$A$1:$Z$1,0)),"")</f>
        <v/>
      </c>
      <c r="I1956" s="13" t="str">
        <f aca="false">IFERROR(INDEX('Semrush Data'!$A$1:$Z$20000,MATCH(A1956,'Semrush Data'!$A$1:$A$20000,0),MATCH("CPC*",'Semrush Data'!$A$1:$Z$1,0)),"")</f>
        <v/>
      </c>
      <c r="J1956" s="7" t="str">
        <f aca="false">IFERROR(INDEX('Semrush Data'!$A$1:$Z$20000,MATCH(A1956,'Semrush Data'!$A$1:$A$20000,0),MATCH("Intent",'Semrush Data'!$A$1:$Z$1,0)),"")</f>
        <v/>
      </c>
    </row>
    <row r="1957" customFormat="false" ht="15" hidden="false" customHeight="true" outlineLevel="0" collapsed="false">
      <c r="A1957" s="7" t="s">
        <v>4459</v>
      </c>
      <c r="B1957" s="7" t="s">
        <v>1355</v>
      </c>
      <c r="C1957" s="7" t="n">
        <v>3</v>
      </c>
      <c r="D1957" s="7" t="n">
        <v>20</v>
      </c>
      <c r="E1957" s="7" t="n">
        <v>1</v>
      </c>
      <c r="F1957" s="7" t="s">
        <v>4455</v>
      </c>
      <c r="G1957" s="12" t="str">
        <f aca="false">IFERROR(INDEX('Semrush Data'!$A$1:$Z$20000,MATCH(A1957,'Semrush Data'!$A$1:$A$20000,0),MATCH("Volume",'Semrush Data'!$A$1:$Z$1,0)),"")</f>
        <v/>
      </c>
      <c r="H1957" s="7" t="str">
        <f aca="false">IFERROR(INDEX('Semrush Data'!$A$1:$Z$20000,MATCH(A1957,'Semrush Data'!$A$1:$A$20000,0),MATCH("Keyword Difficulty*",'Semrush Data'!$A$1:$Z$1,0)),"")</f>
        <v/>
      </c>
      <c r="I1957" s="13" t="str">
        <f aca="false">IFERROR(INDEX('Semrush Data'!$A$1:$Z$20000,MATCH(A1957,'Semrush Data'!$A$1:$A$20000,0),MATCH("CPC*",'Semrush Data'!$A$1:$Z$1,0)),"")</f>
        <v/>
      </c>
      <c r="J1957" s="7" t="str">
        <f aca="false">IFERROR(INDEX('Semrush Data'!$A$1:$Z$20000,MATCH(A1957,'Semrush Data'!$A$1:$A$20000,0),MATCH("Intent",'Semrush Data'!$A$1:$Z$1,0)),"")</f>
        <v/>
      </c>
    </row>
    <row r="1958" customFormat="false" ht="15" hidden="false" customHeight="true" outlineLevel="0" collapsed="false">
      <c r="A1958" s="7" t="s">
        <v>4469</v>
      </c>
      <c r="B1958" s="7" t="s">
        <v>1355</v>
      </c>
      <c r="C1958" s="7" t="n">
        <v>3</v>
      </c>
      <c r="D1958" s="7" t="n">
        <v>20</v>
      </c>
      <c r="E1958" s="7" t="n">
        <v>1</v>
      </c>
      <c r="F1958" s="7" t="s">
        <v>4465</v>
      </c>
      <c r="G1958" s="12" t="str">
        <f aca="false">IFERROR(INDEX('Semrush Data'!$A$1:$Z$20000,MATCH(A1958,'Semrush Data'!$A$1:$A$20000,0),MATCH("Volume",'Semrush Data'!$A$1:$Z$1,0)),"")</f>
        <v/>
      </c>
      <c r="H1958" s="7" t="str">
        <f aca="false">IFERROR(INDEX('Semrush Data'!$A$1:$Z$20000,MATCH(A1958,'Semrush Data'!$A$1:$A$20000,0),MATCH("Keyword Difficulty*",'Semrush Data'!$A$1:$Z$1,0)),"")</f>
        <v/>
      </c>
      <c r="I1958" s="13" t="str">
        <f aca="false">IFERROR(INDEX('Semrush Data'!$A$1:$Z$20000,MATCH(A1958,'Semrush Data'!$A$1:$A$20000,0),MATCH("CPC*",'Semrush Data'!$A$1:$Z$1,0)),"")</f>
        <v/>
      </c>
      <c r="J1958" s="7" t="str">
        <f aca="false">IFERROR(INDEX('Semrush Data'!$A$1:$Z$20000,MATCH(A1958,'Semrush Data'!$A$1:$A$20000,0),MATCH("Intent",'Semrush Data'!$A$1:$Z$1,0)),"")</f>
        <v/>
      </c>
    </row>
    <row r="1959" customFormat="false" ht="15" hidden="false" customHeight="true" outlineLevel="0" collapsed="false">
      <c r="A1959" s="7" t="s">
        <v>4480</v>
      </c>
      <c r="B1959" s="7" t="s">
        <v>1355</v>
      </c>
      <c r="C1959" s="7" t="n">
        <v>3</v>
      </c>
      <c r="D1959" s="7" t="n">
        <v>20</v>
      </c>
      <c r="E1959" s="7" t="n">
        <v>1</v>
      </c>
      <c r="F1959" s="7" t="s">
        <v>4476</v>
      </c>
      <c r="G1959" s="12" t="str">
        <f aca="false">IFERROR(INDEX('Semrush Data'!$A$1:$Z$20000,MATCH(A1959,'Semrush Data'!$A$1:$A$20000,0),MATCH("Volume",'Semrush Data'!$A$1:$Z$1,0)),"")</f>
        <v/>
      </c>
      <c r="H1959" s="7" t="str">
        <f aca="false">IFERROR(INDEX('Semrush Data'!$A$1:$Z$20000,MATCH(A1959,'Semrush Data'!$A$1:$A$20000,0),MATCH("Keyword Difficulty*",'Semrush Data'!$A$1:$Z$1,0)),"")</f>
        <v/>
      </c>
      <c r="I1959" s="13" t="str">
        <f aca="false">IFERROR(INDEX('Semrush Data'!$A$1:$Z$20000,MATCH(A1959,'Semrush Data'!$A$1:$A$20000,0),MATCH("CPC*",'Semrush Data'!$A$1:$Z$1,0)),"")</f>
        <v/>
      </c>
      <c r="J1959" s="7" t="str">
        <f aca="false">IFERROR(INDEX('Semrush Data'!$A$1:$Z$20000,MATCH(A1959,'Semrush Data'!$A$1:$A$20000,0),MATCH("Intent",'Semrush Data'!$A$1:$Z$1,0)),"")</f>
        <v/>
      </c>
    </row>
    <row r="1960" customFormat="false" ht="15" hidden="false" customHeight="true" outlineLevel="0" collapsed="false">
      <c r="A1960" s="7" t="s">
        <v>4490</v>
      </c>
      <c r="B1960" s="7" t="s">
        <v>1355</v>
      </c>
      <c r="C1960" s="7" t="n">
        <v>3</v>
      </c>
      <c r="D1960" s="7" t="n">
        <v>20</v>
      </c>
      <c r="E1960" s="7" t="n">
        <v>1</v>
      </c>
      <c r="F1960" s="7" t="s">
        <v>4486</v>
      </c>
      <c r="G1960" s="12" t="str">
        <f aca="false">IFERROR(INDEX('Semrush Data'!$A$1:$Z$20000,MATCH(A1960,'Semrush Data'!$A$1:$A$20000,0),MATCH("Volume",'Semrush Data'!$A$1:$Z$1,0)),"")</f>
        <v/>
      </c>
      <c r="H1960" s="7" t="str">
        <f aca="false">IFERROR(INDEX('Semrush Data'!$A$1:$Z$20000,MATCH(A1960,'Semrush Data'!$A$1:$A$20000,0),MATCH("Keyword Difficulty*",'Semrush Data'!$A$1:$Z$1,0)),"")</f>
        <v/>
      </c>
      <c r="I1960" s="13" t="str">
        <f aca="false">IFERROR(INDEX('Semrush Data'!$A$1:$Z$20000,MATCH(A1960,'Semrush Data'!$A$1:$A$20000,0),MATCH("CPC*",'Semrush Data'!$A$1:$Z$1,0)),"")</f>
        <v/>
      </c>
      <c r="J1960" s="7" t="str">
        <f aca="false">IFERROR(INDEX('Semrush Data'!$A$1:$Z$20000,MATCH(A1960,'Semrush Data'!$A$1:$A$20000,0),MATCH("Intent",'Semrush Data'!$A$1:$Z$1,0)),"")</f>
        <v/>
      </c>
    </row>
    <row r="1961" customFormat="false" ht="15" hidden="false" customHeight="true" outlineLevel="0" collapsed="false">
      <c r="A1961" s="7" t="s">
        <v>4500</v>
      </c>
      <c r="B1961" s="7" t="s">
        <v>1355</v>
      </c>
      <c r="C1961" s="7" t="n">
        <v>3</v>
      </c>
      <c r="D1961" s="7" t="n">
        <v>20</v>
      </c>
      <c r="E1961" s="7" t="n">
        <v>1</v>
      </c>
      <c r="F1961" s="7" t="s">
        <v>4496</v>
      </c>
      <c r="G1961" s="12" t="str">
        <f aca="false">IFERROR(INDEX('Semrush Data'!$A$1:$Z$20000,MATCH(A1961,'Semrush Data'!$A$1:$A$20000,0),MATCH("Volume",'Semrush Data'!$A$1:$Z$1,0)),"")</f>
        <v/>
      </c>
      <c r="H1961" s="7" t="str">
        <f aca="false">IFERROR(INDEX('Semrush Data'!$A$1:$Z$20000,MATCH(A1961,'Semrush Data'!$A$1:$A$20000,0),MATCH("Keyword Difficulty*",'Semrush Data'!$A$1:$Z$1,0)),"")</f>
        <v/>
      </c>
      <c r="I1961" s="13" t="str">
        <f aca="false">IFERROR(INDEX('Semrush Data'!$A$1:$Z$20000,MATCH(A1961,'Semrush Data'!$A$1:$A$20000,0),MATCH("CPC*",'Semrush Data'!$A$1:$Z$1,0)),"")</f>
        <v/>
      </c>
      <c r="J1961" s="7" t="str">
        <f aca="false">IFERROR(INDEX('Semrush Data'!$A$1:$Z$20000,MATCH(A1961,'Semrush Data'!$A$1:$A$20000,0),MATCH("Intent",'Semrush Data'!$A$1:$Z$1,0)),"")</f>
        <v/>
      </c>
    </row>
    <row r="1962" customFormat="false" ht="15" hidden="false" customHeight="true" outlineLevel="0" collapsed="false">
      <c r="A1962" s="7" t="s">
        <v>4510</v>
      </c>
      <c r="B1962" s="7" t="s">
        <v>1355</v>
      </c>
      <c r="C1962" s="7" t="n">
        <v>3</v>
      </c>
      <c r="D1962" s="7" t="n">
        <v>20</v>
      </c>
      <c r="E1962" s="7" t="n">
        <v>1</v>
      </c>
      <c r="F1962" s="7" t="s">
        <v>4506</v>
      </c>
      <c r="G1962" s="12" t="str">
        <f aca="false">IFERROR(INDEX('Semrush Data'!$A$1:$Z$20000,MATCH(A1962,'Semrush Data'!$A$1:$A$20000,0),MATCH("Volume",'Semrush Data'!$A$1:$Z$1,0)),"")</f>
        <v/>
      </c>
      <c r="H1962" s="7" t="str">
        <f aca="false">IFERROR(INDEX('Semrush Data'!$A$1:$Z$20000,MATCH(A1962,'Semrush Data'!$A$1:$A$20000,0),MATCH("Keyword Difficulty*",'Semrush Data'!$A$1:$Z$1,0)),"")</f>
        <v/>
      </c>
      <c r="I1962" s="13" t="str">
        <f aca="false">IFERROR(INDEX('Semrush Data'!$A$1:$Z$20000,MATCH(A1962,'Semrush Data'!$A$1:$A$20000,0),MATCH("CPC*",'Semrush Data'!$A$1:$Z$1,0)),"")</f>
        <v/>
      </c>
      <c r="J1962" s="7" t="str">
        <f aca="false">IFERROR(INDEX('Semrush Data'!$A$1:$Z$20000,MATCH(A1962,'Semrush Data'!$A$1:$A$20000,0),MATCH("Intent",'Semrush Data'!$A$1:$Z$1,0)),"")</f>
        <v/>
      </c>
    </row>
    <row r="1963" customFormat="false" ht="15" hidden="false" customHeight="true" outlineLevel="0" collapsed="false">
      <c r="A1963" s="7" t="s">
        <v>4520</v>
      </c>
      <c r="B1963" s="7" t="s">
        <v>1355</v>
      </c>
      <c r="C1963" s="7" t="n">
        <v>3</v>
      </c>
      <c r="D1963" s="7" t="n">
        <v>20</v>
      </c>
      <c r="E1963" s="7" t="n">
        <v>1</v>
      </c>
      <c r="F1963" s="7" t="s">
        <v>4516</v>
      </c>
      <c r="G1963" s="12" t="str">
        <f aca="false">IFERROR(INDEX('Semrush Data'!$A$1:$Z$20000,MATCH(A1963,'Semrush Data'!$A$1:$A$20000,0),MATCH("Volume",'Semrush Data'!$A$1:$Z$1,0)),"")</f>
        <v/>
      </c>
      <c r="H1963" s="7" t="str">
        <f aca="false">IFERROR(INDEX('Semrush Data'!$A$1:$Z$20000,MATCH(A1963,'Semrush Data'!$A$1:$A$20000,0),MATCH("Keyword Difficulty*",'Semrush Data'!$A$1:$Z$1,0)),"")</f>
        <v/>
      </c>
      <c r="I1963" s="13" t="str">
        <f aca="false">IFERROR(INDEX('Semrush Data'!$A$1:$Z$20000,MATCH(A1963,'Semrush Data'!$A$1:$A$20000,0),MATCH("CPC*",'Semrush Data'!$A$1:$Z$1,0)),"")</f>
        <v/>
      </c>
      <c r="J1963" s="7" t="str">
        <f aca="false">IFERROR(INDEX('Semrush Data'!$A$1:$Z$20000,MATCH(A1963,'Semrush Data'!$A$1:$A$20000,0),MATCH("Intent",'Semrush Data'!$A$1:$Z$1,0)),"")</f>
        <v/>
      </c>
    </row>
    <row r="1964" customFormat="false" ht="15" hidden="false" customHeight="true" outlineLevel="0" collapsed="false">
      <c r="A1964" s="7" t="s">
        <v>4530</v>
      </c>
      <c r="B1964" s="7" t="s">
        <v>1355</v>
      </c>
      <c r="C1964" s="7" t="n">
        <v>3</v>
      </c>
      <c r="D1964" s="7" t="n">
        <v>20</v>
      </c>
      <c r="E1964" s="7" t="n">
        <v>1</v>
      </c>
      <c r="F1964" s="7" t="s">
        <v>4526</v>
      </c>
      <c r="G1964" s="12" t="str">
        <f aca="false">IFERROR(INDEX('Semrush Data'!$A$1:$Z$20000,MATCH(A1964,'Semrush Data'!$A$1:$A$20000,0),MATCH("Volume",'Semrush Data'!$A$1:$Z$1,0)),"")</f>
        <v/>
      </c>
      <c r="H1964" s="7" t="str">
        <f aca="false">IFERROR(INDEX('Semrush Data'!$A$1:$Z$20000,MATCH(A1964,'Semrush Data'!$A$1:$A$20000,0),MATCH("Keyword Difficulty*",'Semrush Data'!$A$1:$Z$1,0)),"")</f>
        <v/>
      </c>
      <c r="I1964" s="13" t="str">
        <f aca="false">IFERROR(INDEX('Semrush Data'!$A$1:$Z$20000,MATCH(A1964,'Semrush Data'!$A$1:$A$20000,0),MATCH("CPC*",'Semrush Data'!$A$1:$Z$1,0)),"")</f>
        <v/>
      </c>
      <c r="J1964" s="7" t="str">
        <f aca="false">IFERROR(INDEX('Semrush Data'!$A$1:$Z$20000,MATCH(A1964,'Semrush Data'!$A$1:$A$20000,0),MATCH("Intent",'Semrush Data'!$A$1:$Z$1,0)),"")</f>
        <v/>
      </c>
    </row>
    <row r="1965" customFormat="false" ht="15" hidden="false" customHeight="true" outlineLevel="0" collapsed="false">
      <c r="A1965" s="7" t="s">
        <v>4540</v>
      </c>
      <c r="B1965" s="7" t="s">
        <v>1355</v>
      </c>
      <c r="C1965" s="7" t="n">
        <v>3</v>
      </c>
      <c r="D1965" s="7" t="n">
        <v>20</v>
      </c>
      <c r="E1965" s="7" t="n">
        <v>1</v>
      </c>
      <c r="F1965" s="7" t="s">
        <v>4536</v>
      </c>
      <c r="G1965" s="12" t="str">
        <f aca="false">IFERROR(INDEX('Semrush Data'!$A$1:$Z$20000,MATCH(A1965,'Semrush Data'!$A$1:$A$20000,0),MATCH("Volume",'Semrush Data'!$A$1:$Z$1,0)),"")</f>
        <v/>
      </c>
      <c r="H1965" s="7" t="str">
        <f aca="false">IFERROR(INDEX('Semrush Data'!$A$1:$Z$20000,MATCH(A1965,'Semrush Data'!$A$1:$A$20000,0),MATCH("Keyword Difficulty*",'Semrush Data'!$A$1:$Z$1,0)),"")</f>
        <v/>
      </c>
      <c r="I1965" s="13" t="str">
        <f aca="false">IFERROR(INDEX('Semrush Data'!$A$1:$Z$20000,MATCH(A1965,'Semrush Data'!$A$1:$A$20000,0),MATCH("CPC*",'Semrush Data'!$A$1:$Z$1,0)),"")</f>
        <v/>
      </c>
      <c r="J1965" s="7" t="str">
        <f aca="false">IFERROR(INDEX('Semrush Data'!$A$1:$Z$20000,MATCH(A1965,'Semrush Data'!$A$1:$A$20000,0),MATCH("Intent",'Semrush Data'!$A$1:$Z$1,0)),"")</f>
        <v/>
      </c>
    </row>
    <row r="1966" customFormat="false" ht="15" hidden="false" customHeight="true" outlineLevel="0" collapsed="false">
      <c r="A1966" s="7" t="s">
        <v>5369</v>
      </c>
      <c r="B1966" s="7" t="s">
        <v>1355</v>
      </c>
      <c r="C1966" s="7" t="n">
        <v>3</v>
      </c>
      <c r="D1966" s="7" t="n">
        <v>20</v>
      </c>
      <c r="E1966" s="7" t="n">
        <v>1</v>
      </c>
      <c r="F1966" s="7" t="s">
        <v>5363</v>
      </c>
      <c r="G1966" s="12" t="str">
        <f aca="false">IFERROR(INDEX('Semrush Data'!$A$1:$Z$20000,MATCH(A1966,'Semrush Data'!$A$1:$A$20000,0),MATCH("Volume",'Semrush Data'!$A$1:$Z$1,0)),"")</f>
        <v/>
      </c>
      <c r="H1966" s="7" t="str">
        <f aca="false">IFERROR(INDEX('Semrush Data'!$A$1:$Z$20000,MATCH(A1966,'Semrush Data'!$A$1:$A$20000,0),MATCH("Keyword Difficulty*",'Semrush Data'!$A$1:$Z$1,0)),"")</f>
        <v/>
      </c>
      <c r="I1966" s="13" t="str">
        <f aca="false">IFERROR(INDEX('Semrush Data'!$A$1:$Z$20000,MATCH(A1966,'Semrush Data'!$A$1:$A$20000,0),MATCH("CPC*",'Semrush Data'!$A$1:$Z$1,0)),"")</f>
        <v/>
      </c>
      <c r="J1966" s="7" t="str">
        <f aca="false">IFERROR(INDEX('Semrush Data'!$A$1:$Z$20000,MATCH(A1966,'Semrush Data'!$A$1:$A$20000,0),MATCH("Intent",'Semrush Data'!$A$1:$Z$1,0)),"")</f>
        <v/>
      </c>
    </row>
    <row r="1967" customFormat="false" ht="15" hidden="false" customHeight="true" outlineLevel="0" collapsed="false">
      <c r="A1967" s="7" t="s">
        <v>5382</v>
      </c>
      <c r="B1967" s="7" t="s">
        <v>1355</v>
      </c>
      <c r="C1967" s="7" t="n">
        <v>3</v>
      </c>
      <c r="D1967" s="7" t="n">
        <v>20</v>
      </c>
      <c r="E1967" s="7" t="n">
        <v>1</v>
      </c>
      <c r="F1967" s="7" t="s">
        <v>5377</v>
      </c>
      <c r="G1967" s="12" t="str">
        <f aca="false">IFERROR(INDEX('Semrush Data'!$A$1:$Z$20000,MATCH(A1967,'Semrush Data'!$A$1:$A$20000,0),MATCH("Volume",'Semrush Data'!$A$1:$Z$1,0)),"")</f>
        <v/>
      </c>
      <c r="H1967" s="7" t="str">
        <f aca="false">IFERROR(INDEX('Semrush Data'!$A$1:$Z$20000,MATCH(A1967,'Semrush Data'!$A$1:$A$20000,0),MATCH("Keyword Difficulty*",'Semrush Data'!$A$1:$Z$1,0)),"")</f>
        <v/>
      </c>
      <c r="I1967" s="13" t="str">
        <f aca="false">IFERROR(INDEX('Semrush Data'!$A$1:$Z$20000,MATCH(A1967,'Semrush Data'!$A$1:$A$20000,0),MATCH("CPC*",'Semrush Data'!$A$1:$Z$1,0)),"")</f>
        <v/>
      </c>
      <c r="J1967" s="7" t="str">
        <f aca="false">IFERROR(INDEX('Semrush Data'!$A$1:$Z$20000,MATCH(A1967,'Semrush Data'!$A$1:$A$20000,0),MATCH("Intent",'Semrush Data'!$A$1:$Z$1,0)),"")</f>
        <v/>
      </c>
    </row>
    <row r="1968" customFormat="false" ht="15" hidden="false" customHeight="true" outlineLevel="0" collapsed="false">
      <c r="A1968" s="7" t="s">
        <v>5435</v>
      </c>
      <c r="B1968" s="7" t="s">
        <v>1355</v>
      </c>
      <c r="C1968" s="7" t="n">
        <v>3</v>
      </c>
      <c r="D1968" s="7" t="n">
        <v>20</v>
      </c>
      <c r="E1968" s="7" t="n">
        <v>1</v>
      </c>
      <c r="F1968" s="7" t="s">
        <v>5431</v>
      </c>
      <c r="G1968" s="12" t="str">
        <f aca="false">IFERROR(INDEX('Semrush Data'!$A$1:$Z$20000,MATCH(A1968,'Semrush Data'!$A$1:$A$20000,0),MATCH("Volume",'Semrush Data'!$A$1:$Z$1,0)),"")</f>
        <v/>
      </c>
      <c r="H1968" s="7" t="str">
        <f aca="false">IFERROR(INDEX('Semrush Data'!$A$1:$Z$20000,MATCH(A1968,'Semrush Data'!$A$1:$A$20000,0),MATCH("Keyword Difficulty*",'Semrush Data'!$A$1:$Z$1,0)),"")</f>
        <v/>
      </c>
      <c r="I1968" s="13" t="str">
        <f aca="false">IFERROR(INDEX('Semrush Data'!$A$1:$Z$20000,MATCH(A1968,'Semrush Data'!$A$1:$A$20000,0),MATCH("CPC*",'Semrush Data'!$A$1:$Z$1,0)),"")</f>
        <v/>
      </c>
      <c r="J1968" s="7" t="str">
        <f aca="false">IFERROR(INDEX('Semrush Data'!$A$1:$Z$20000,MATCH(A1968,'Semrush Data'!$A$1:$A$20000,0),MATCH("Intent",'Semrush Data'!$A$1:$Z$1,0)),"")</f>
        <v/>
      </c>
    </row>
    <row r="1969" customFormat="false" ht="15" hidden="false" customHeight="true" outlineLevel="0" collapsed="false">
      <c r="A1969" s="7" t="s">
        <v>5424</v>
      </c>
      <c r="B1969" s="7" t="s">
        <v>1355</v>
      </c>
      <c r="C1969" s="7" t="n">
        <v>3</v>
      </c>
      <c r="D1969" s="7" t="n">
        <v>20</v>
      </c>
      <c r="E1969" s="7" t="n">
        <v>1</v>
      </c>
      <c r="F1969" s="7" t="s">
        <v>5420</v>
      </c>
      <c r="G1969" s="12" t="str">
        <f aca="false">IFERROR(INDEX('Semrush Data'!$A$1:$Z$20000,MATCH(A1969,'Semrush Data'!$A$1:$A$20000,0),MATCH("Volume",'Semrush Data'!$A$1:$Z$1,0)),"")</f>
        <v/>
      </c>
      <c r="H1969" s="7" t="str">
        <f aca="false">IFERROR(INDEX('Semrush Data'!$A$1:$Z$20000,MATCH(A1969,'Semrush Data'!$A$1:$A$20000,0),MATCH("Keyword Difficulty*",'Semrush Data'!$A$1:$Z$1,0)),"")</f>
        <v/>
      </c>
      <c r="I1969" s="13" t="str">
        <f aca="false">IFERROR(INDEX('Semrush Data'!$A$1:$Z$20000,MATCH(A1969,'Semrush Data'!$A$1:$A$20000,0),MATCH("CPC*",'Semrush Data'!$A$1:$Z$1,0)),"")</f>
        <v/>
      </c>
      <c r="J1969" s="7" t="str">
        <f aca="false">IFERROR(INDEX('Semrush Data'!$A$1:$Z$20000,MATCH(A1969,'Semrush Data'!$A$1:$A$20000,0),MATCH("Intent",'Semrush Data'!$A$1:$Z$1,0)),"")</f>
        <v/>
      </c>
    </row>
    <row r="1970" customFormat="false" ht="15" hidden="false" customHeight="true" outlineLevel="0" collapsed="false">
      <c r="A1970" s="7" t="s">
        <v>5393</v>
      </c>
      <c r="B1970" s="7" t="s">
        <v>1355</v>
      </c>
      <c r="C1970" s="7" t="n">
        <v>3</v>
      </c>
      <c r="D1970" s="7" t="s">
        <v>6818</v>
      </c>
      <c r="E1970" s="7" t="n">
        <v>1</v>
      </c>
      <c r="F1970" s="7" t="s">
        <v>74</v>
      </c>
      <c r="G1970" s="12" t="str">
        <f aca="false">IFERROR(INDEX('Semrush Data'!$A$1:$Z$20000,MATCH(A1970,'Semrush Data'!$A$1:$A$20000,0),MATCH("Volume",'Semrush Data'!$A$1:$Z$1,0)),"")</f>
        <v/>
      </c>
      <c r="H1970" s="7" t="str">
        <f aca="false">IFERROR(INDEX('Semrush Data'!$A$1:$Z$20000,MATCH(A1970,'Semrush Data'!$A$1:$A$20000,0),MATCH("Keyword Difficulty*",'Semrush Data'!$A$1:$Z$1,0)),"")</f>
        <v/>
      </c>
      <c r="I1970" s="13" t="str">
        <f aca="false">IFERROR(INDEX('Semrush Data'!$A$1:$Z$20000,MATCH(A1970,'Semrush Data'!$A$1:$A$20000,0),MATCH("CPC*",'Semrush Data'!$A$1:$Z$1,0)),"")</f>
        <v/>
      </c>
      <c r="J1970" s="7" t="str">
        <f aca="false">IFERROR(INDEX('Semrush Data'!$A$1:$Z$20000,MATCH(A1970,'Semrush Data'!$A$1:$A$20000,0),MATCH("Intent",'Semrush Data'!$A$1:$Z$1,0)),"")</f>
        <v/>
      </c>
    </row>
    <row r="1971" customFormat="false" ht="15" hidden="false" customHeight="true" outlineLevel="0" collapsed="false">
      <c r="A1971" s="7" t="s">
        <v>5456</v>
      </c>
      <c r="B1971" s="7" t="s">
        <v>1355</v>
      </c>
      <c r="C1971" s="7" t="n">
        <v>3</v>
      </c>
      <c r="D1971" s="7" t="n">
        <v>20</v>
      </c>
      <c r="E1971" s="7" t="n">
        <v>1</v>
      </c>
      <c r="F1971" s="7" t="s">
        <v>5452</v>
      </c>
      <c r="G1971" s="12" t="str">
        <f aca="false">IFERROR(INDEX('Semrush Data'!$A$1:$Z$20000,MATCH(A1971,'Semrush Data'!$A$1:$A$20000,0),MATCH("Volume",'Semrush Data'!$A$1:$Z$1,0)),"")</f>
        <v/>
      </c>
      <c r="H1971" s="7" t="str">
        <f aca="false">IFERROR(INDEX('Semrush Data'!$A$1:$Z$20000,MATCH(A1971,'Semrush Data'!$A$1:$A$20000,0),MATCH("Keyword Difficulty*",'Semrush Data'!$A$1:$Z$1,0)),"")</f>
        <v/>
      </c>
      <c r="I1971" s="13" t="str">
        <f aca="false">IFERROR(INDEX('Semrush Data'!$A$1:$Z$20000,MATCH(A1971,'Semrush Data'!$A$1:$A$20000,0),MATCH("CPC*",'Semrush Data'!$A$1:$Z$1,0)),"")</f>
        <v/>
      </c>
      <c r="J1971" s="7" t="str">
        <f aca="false">IFERROR(INDEX('Semrush Data'!$A$1:$Z$20000,MATCH(A1971,'Semrush Data'!$A$1:$A$20000,0),MATCH("Intent",'Semrush Data'!$A$1:$Z$1,0)),"")</f>
        <v/>
      </c>
    </row>
    <row r="1972" customFormat="false" ht="15" hidden="false" customHeight="true" outlineLevel="0" collapsed="false">
      <c r="A1972" s="7" t="s">
        <v>5414</v>
      </c>
      <c r="B1972" s="7" t="s">
        <v>1355</v>
      </c>
      <c r="C1972" s="7" t="n">
        <v>3</v>
      </c>
      <c r="D1972" s="7" t="n">
        <v>20</v>
      </c>
      <c r="E1972" s="7" t="n">
        <v>1</v>
      </c>
      <c r="F1972" s="7" t="s">
        <v>5410</v>
      </c>
      <c r="G1972" s="12" t="str">
        <f aca="false">IFERROR(INDEX('Semrush Data'!$A$1:$Z$20000,MATCH(A1972,'Semrush Data'!$A$1:$A$20000,0),MATCH("Volume",'Semrush Data'!$A$1:$Z$1,0)),"")</f>
        <v/>
      </c>
      <c r="H1972" s="7" t="str">
        <f aca="false">IFERROR(INDEX('Semrush Data'!$A$1:$Z$20000,MATCH(A1972,'Semrush Data'!$A$1:$A$20000,0),MATCH("Keyword Difficulty*",'Semrush Data'!$A$1:$Z$1,0)),"")</f>
        <v/>
      </c>
      <c r="I1972" s="13" t="str">
        <f aca="false">IFERROR(INDEX('Semrush Data'!$A$1:$Z$20000,MATCH(A1972,'Semrush Data'!$A$1:$A$20000,0),MATCH("CPC*",'Semrush Data'!$A$1:$Z$1,0)),"")</f>
        <v/>
      </c>
      <c r="J1972" s="7" t="str">
        <f aca="false">IFERROR(INDEX('Semrush Data'!$A$1:$Z$20000,MATCH(A1972,'Semrush Data'!$A$1:$A$20000,0),MATCH("Intent",'Semrush Data'!$A$1:$Z$1,0)),"")</f>
        <v/>
      </c>
    </row>
    <row r="1973" customFormat="false" ht="15" hidden="false" customHeight="true" outlineLevel="0" collapsed="false">
      <c r="A1973" s="7" t="s">
        <v>5446</v>
      </c>
      <c r="B1973" s="7" t="s">
        <v>1355</v>
      </c>
      <c r="C1973" s="7" t="n">
        <v>3</v>
      </c>
      <c r="D1973" s="7" t="n">
        <v>20</v>
      </c>
      <c r="E1973" s="7" t="n">
        <v>1</v>
      </c>
      <c r="F1973" s="7" t="s">
        <v>5442</v>
      </c>
      <c r="G1973" s="12" t="str">
        <f aca="false">IFERROR(INDEX('Semrush Data'!$A$1:$Z$20000,MATCH(A1973,'Semrush Data'!$A$1:$A$20000,0),MATCH("Volume",'Semrush Data'!$A$1:$Z$1,0)),"")</f>
        <v/>
      </c>
      <c r="H1973" s="7" t="str">
        <f aca="false">IFERROR(INDEX('Semrush Data'!$A$1:$Z$20000,MATCH(A1973,'Semrush Data'!$A$1:$A$20000,0),MATCH("Keyword Difficulty*",'Semrush Data'!$A$1:$Z$1,0)),"")</f>
        <v/>
      </c>
      <c r="I1973" s="13" t="str">
        <f aca="false">IFERROR(INDEX('Semrush Data'!$A$1:$Z$20000,MATCH(A1973,'Semrush Data'!$A$1:$A$20000,0),MATCH("CPC*",'Semrush Data'!$A$1:$Z$1,0)),"")</f>
        <v/>
      </c>
      <c r="J1973" s="7" t="str">
        <f aca="false">IFERROR(INDEX('Semrush Data'!$A$1:$Z$20000,MATCH(A1973,'Semrush Data'!$A$1:$A$20000,0),MATCH("Intent",'Semrush Data'!$A$1:$Z$1,0)),"")</f>
        <v/>
      </c>
    </row>
    <row r="1974" customFormat="false" ht="15" hidden="false" customHeight="true" outlineLevel="0" collapsed="false">
      <c r="A1974" s="7" t="s">
        <v>5403</v>
      </c>
      <c r="B1974" s="7" t="s">
        <v>1355</v>
      </c>
      <c r="C1974" s="7" t="n">
        <v>3</v>
      </c>
      <c r="D1974" s="7" t="s">
        <v>6818</v>
      </c>
      <c r="E1974" s="7" t="n">
        <v>1</v>
      </c>
      <c r="F1974" s="7" t="s">
        <v>58</v>
      </c>
      <c r="G1974" s="12" t="str">
        <f aca="false">IFERROR(INDEX('Semrush Data'!$A$1:$Z$20000,MATCH(A1974,'Semrush Data'!$A$1:$A$20000,0),MATCH("Volume",'Semrush Data'!$A$1:$Z$1,0)),"")</f>
        <v/>
      </c>
      <c r="H1974" s="7" t="str">
        <f aca="false">IFERROR(INDEX('Semrush Data'!$A$1:$Z$20000,MATCH(A1974,'Semrush Data'!$A$1:$A$20000,0),MATCH("Keyword Difficulty*",'Semrush Data'!$A$1:$Z$1,0)),"")</f>
        <v/>
      </c>
      <c r="I1974" s="13" t="str">
        <f aca="false">IFERROR(INDEX('Semrush Data'!$A$1:$Z$20000,MATCH(A1974,'Semrush Data'!$A$1:$A$20000,0),MATCH("CPC*",'Semrush Data'!$A$1:$Z$1,0)),"")</f>
        <v/>
      </c>
      <c r="J1974" s="7" t="str">
        <f aca="false">IFERROR(INDEX('Semrush Data'!$A$1:$Z$20000,MATCH(A1974,'Semrush Data'!$A$1:$A$20000,0),MATCH("Intent",'Semrush Data'!$A$1:$Z$1,0)),"")</f>
        <v/>
      </c>
    </row>
    <row r="1975" customFormat="false" ht="15" hidden="false" customHeight="true" outlineLevel="0" collapsed="false">
      <c r="A1975" s="7" t="s">
        <v>5468</v>
      </c>
      <c r="B1975" s="7" t="s">
        <v>1355</v>
      </c>
      <c r="C1975" s="7" t="n">
        <v>3</v>
      </c>
      <c r="D1975" s="7" t="n">
        <v>20</v>
      </c>
      <c r="E1975" s="7" t="n">
        <v>1</v>
      </c>
      <c r="F1975" s="7" t="s">
        <v>5462</v>
      </c>
      <c r="G1975" s="12" t="str">
        <f aca="false">IFERROR(INDEX('Semrush Data'!$A$1:$Z$20000,MATCH(A1975,'Semrush Data'!$A$1:$A$20000,0),MATCH("Volume",'Semrush Data'!$A$1:$Z$1,0)),"")</f>
        <v/>
      </c>
      <c r="H1975" s="7" t="str">
        <f aca="false">IFERROR(INDEX('Semrush Data'!$A$1:$Z$20000,MATCH(A1975,'Semrush Data'!$A$1:$A$20000,0),MATCH("Keyword Difficulty*",'Semrush Data'!$A$1:$Z$1,0)),"")</f>
        <v/>
      </c>
      <c r="I1975" s="13" t="str">
        <f aca="false">IFERROR(INDEX('Semrush Data'!$A$1:$Z$20000,MATCH(A1975,'Semrush Data'!$A$1:$A$20000,0),MATCH("CPC*",'Semrush Data'!$A$1:$Z$1,0)),"")</f>
        <v/>
      </c>
      <c r="J1975" s="7" t="str">
        <f aca="false">IFERROR(INDEX('Semrush Data'!$A$1:$Z$20000,MATCH(A1975,'Semrush Data'!$A$1:$A$20000,0),MATCH("Intent",'Semrush Data'!$A$1:$Z$1,0)),"")</f>
        <v/>
      </c>
    </row>
    <row r="1976" customFormat="false" ht="15" hidden="false" customHeight="true" outlineLevel="0" collapsed="false">
      <c r="A1976" s="7" t="s">
        <v>5480</v>
      </c>
      <c r="B1976" s="7" t="s">
        <v>1355</v>
      </c>
      <c r="C1976" s="7" t="n">
        <v>3</v>
      </c>
      <c r="D1976" s="7" t="n">
        <v>20</v>
      </c>
      <c r="E1976" s="7" t="n">
        <v>1</v>
      </c>
      <c r="F1976" s="7" t="s">
        <v>5476</v>
      </c>
      <c r="G1976" s="12" t="str">
        <f aca="false">IFERROR(INDEX('Semrush Data'!$A$1:$Z$20000,MATCH(A1976,'Semrush Data'!$A$1:$A$20000,0),MATCH("Volume",'Semrush Data'!$A$1:$Z$1,0)),"")</f>
        <v/>
      </c>
      <c r="H1976" s="7" t="str">
        <f aca="false">IFERROR(INDEX('Semrush Data'!$A$1:$Z$20000,MATCH(A1976,'Semrush Data'!$A$1:$A$20000,0),MATCH("Keyword Difficulty*",'Semrush Data'!$A$1:$Z$1,0)),"")</f>
        <v/>
      </c>
      <c r="I1976" s="13" t="str">
        <f aca="false">IFERROR(INDEX('Semrush Data'!$A$1:$Z$20000,MATCH(A1976,'Semrush Data'!$A$1:$A$20000,0),MATCH("CPC*",'Semrush Data'!$A$1:$Z$1,0)),"")</f>
        <v/>
      </c>
      <c r="J1976" s="7" t="str">
        <f aca="false">IFERROR(INDEX('Semrush Data'!$A$1:$Z$20000,MATCH(A1976,'Semrush Data'!$A$1:$A$20000,0),MATCH("Intent",'Semrush Data'!$A$1:$Z$1,0)),"")</f>
        <v/>
      </c>
    </row>
    <row r="1977" customFormat="false" ht="15" hidden="false" customHeight="true" outlineLevel="0" collapsed="false">
      <c r="A1977" s="7" t="s">
        <v>5514</v>
      </c>
      <c r="B1977" s="7" t="s">
        <v>1355</v>
      </c>
      <c r="C1977" s="7" t="n">
        <v>3</v>
      </c>
      <c r="D1977" s="7" t="s">
        <v>6818</v>
      </c>
      <c r="E1977" s="7" t="n">
        <v>2</v>
      </c>
      <c r="F1977" s="7" t="s">
        <v>6808</v>
      </c>
      <c r="G1977" s="12" t="str">
        <f aca="false">IFERROR(INDEX('Semrush Data'!$A$1:$Z$20000,MATCH(A1977,'Semrush Data'!$A$1:$A$20000,0),MATCH("Volume",'Semrush Data'!$A$1:$Z$1,0)),"")</f>
        <v/>
      </c>
      <c r="H1977" s="7" t="str">
        <f aca="false">IFERROR(INDEX('Semrush Data'!$A$1:$Z$20000,MATCH(A1977,'Semrush Data'!$A$1:$A$20000,0),MATCH("Keyword Difficulty*",'Semrush Data'!$A$1:$Z$1,0)),"")</f>
        <v/>
      </c>
      <c r="I1977" s="13" t="str">
        <f aca="false">IFERROR(INDEX('Semrush Data'!$A$1:$Z$20000,MATCH(A1977,'Semrush Data'!$A$1:$A$20000,0),MATCH("CPC*",'Semrush Data'!$A$1:$Z$1,0)),"")</f>
        <v/>
      </c>
      <c r="J1977" s="7" t="str">
        <f aca="false">IFERROR(INDEX('Semrush Data'!$A$1:$Z$20000,MATCH(A1977,'Semrush Data'!$A$1:$A$20000,0),MATCH("Intent",'Semrush Data'!$A$1:$Z$1,0)),"")</f>
        <v/>
      </c>
    </row>
    <row r="1978" customFormat="false" ht="15" hidden="false" customHeight="true" outlineLevel="0" collapsed="false">
      <c r="A1978" s="7" t="s">
        <v>5493</v>
      </c>
      <c r="B1978" s="7" t="s">
        <v>1355</v>
      </c>
      <c r="C1978" s="7" t="n">
        <v>3</v>
      </c>
      <c r="D1978" s="7" t="n">
        <v>20</v>
      </c>
      <c r="E1978" s="7" t="n">
        <v>1</v>
      </c>
      <c r="F1978" s="7" t="s">
        <v>5488</v>
      </c>
      <c r="G1978" s="12" t="str">
        <f aca="false">IFERROR(INDEX('Semrush Data'!$A$1:$Z$20000,MATCH(A1978,'Semrush Data'!$A$1:$A$20000,0),MATCH("Volume",'Semrush Data'!$A$1:$Z$1,0)),"")</f>
        <v/>
      </c>
      <c r="H1978" s="7" t="str">
        <f aca="false">IFERROR(INDEX('Semrush Data'!$A$1:$Z$20000,MATCH(A1978,'Semrush Data'!$A$1:$A$20000,0),MATCH("Keyword Difficulty*",'Semrush Data'!$A$1:$Z$1,0)),"")</f>
        <v/>
      </c>
      <c r="I1978" s="13" t="str">
        <f aca="false">IFERROR(INDEX('Semrush Data'!$A$1:$Z$20000,MATCH(A1978,'Semrush Data'!$A$1:$A$20000,0),MATCH("CPC*",'Semrush Data'!$A$1:$Z$1,0)),"")</f>
        <v/>
      </c>
      <c r="J1978" s="7" t="str">
        <f aca="false">IFERROR(INDEX('Semrush Data'!$A$1:$Z$20000,MATCH(A1978,'Semrush Data'!$A$1:$A$20000,0),MATCH("Intent",'Semrush Data'!$A$1:$Z$1,0)),"")</f>
        <v/>
      </c>
    </row>
    <row r="1979" customFormat="false" ht="15" hidden="false" customHeight="true" outlineLevel="0" collapsed="false">
      <c r="A1979" s="7" t="s">
        <v>5505</v>
      </c>
      <c r="B1979" s="7" t="s">
        <v>1355</v>
      </c>
      <c r="C1979" s="7" t="n">
        <v>3</v>
      </c>
      <c r="D1979" s="7" t="n">
        <v>20</v>
      </c>
      <c r="E1979" s="7" t="n">
        <v>1</v>
      </c>
      <c r="F1979" s="7" t="s">
        <v>5501</v>
      </c>
      <c r="G1979" s="12" t="str">
        <f aca="false">IFERROR(INDEX('Semrush Data'!$A$1:$Z$20000,MATCH(A1979,'Semrush Data'!$A$1:$A$20000,0),MATCH("Volume",'Semrush Data'!$A$1:$Z$1,0)),"")</f>
        <v/>
      </c>
      <c r="H1979" s="7" t="str">
        <f aca="false">IFERROR(INDEX('Semrush Data'!$A$1:$Z$20000,MATCH(A1979,'Semrush Data'!$A$1:$A$20000,0),MATCH("Keyword Difficulty*",'Semrush Data'!$A$1:$Z$1,0)),"")</f>
        <v/>
      </c>
      <c r="I1979" s="13" t="str">
        <f aca="false">IFERROR(INDEX('Semrush Data'!$A$1:$Z$20000,MATCH(A1979,'Semrush Data'!$A$1:$A$20000,0),MATCH("CPC*",'Semrush Data'!$A$1:$Z$1,0)),"")</f>
        <v/>
      </c>
      <c r="J1979" s="7" t="str">
        <f aca="false">IFERROR(INDEX('Semrush Data'!$A$1:$Z$20000,MATCH(A1979,'Semrush Data'!$A$1:$A$20000,0),MATCH("Intent",'Semrush Data'!$A$1:$Z$1,0)),"")</f>
        <v/>
      </c>
    </row>
    <row r="1980" customFormat="false" ht="15" hidden="false" customHeight="true" outlineLevel="0" collapsed="false">
      <c r="A1980" s="7" t="s">
        <v>5525</v>
      </c>
      <c r="B1980" s="7" t="s">
        <v>1355</v>
      </c>
      <c r="C1980" s="7" t="n">
        <v>3</v>
      </c>
      <c r="D1980" s="7" t="s">
        <v>6818</v>
      </c>
      <c r="E1980" s="7" t="n">
        <v>1</v>
      </c>
      <c r="F1980" s="7" t="s">
        <v>70</v>
      </c>
      <c r="G1980" s="12" t="str">
        <f aca="false">IFERROR(INDEX('Semrush Data'!$A$1:$Z$20000,MATCH(A1980,'Semrush Data'!$A$1:$A$20000,0),MATCH("Volume",'Semrush Data'!$A$1:$Z$1,0)),"")</f>
        <v/>
      </c>
      <c r="H1980" s="7" t="str">
        <f aca="false">IFERROR(INDEX('Semrush Data'!$A$1:$Z$20000,MATCH(A1980,'Semrush Data'!$A$1:$A$20000,0),MATCH("Keyword Difficulty*",'Semrush Data'!$A$1:$Z$1,0)),"")</f>
        <v/>
      </c>
      <c r="I1980" s="13" t="str">
        <f aca="false">IFERROR(INDEX('Semrush Data'!$A$1:$Z$20000,MATCH(A1980,'Semrush Data'!$A$1:$A$20000,0),MATCH("CPC*",'Semrush Data'!$A$1:$Z$1,0)),"")</f>
        <v/>
      </c>
      <c r="J1980" s="7" t="str">
        <f aca="false">IFERROR(INDEX('Semrush Data'!$A$1:$Z$20000,MATCH(A1980,'Semrush Data'!$A$1:$A$20000,0),MATCH("Intent",'Semrush Data'!$A$1:$Z$1,0)),"")</f>
        <v/>
      </c>
    </row>
    <row r="1981" customFormat="false" ht="15" hidden="false" customHeight="true" outlineLevel="0" collapsed="false">
      <c r="A1981" s="7" t="s">
        <v>5561</v>
      </c>
      <c r="B1981" s="7" t="s">
        <v>1355</v>
      </c>
      <c r="C1981" s="7" t="n">
        <v>3</v>
      </c>
      <c r="D1981" s="7" t="n">
        <v>20</v>
      </c>
      <c r="E1981" s="7" t="n">
        <v>1</v>
      </c>
      <c r="F1981" s="7" t="s">
        <v>5556</v>
      </c>
      <c r="G1981" s="12" t="str">
        <f aca="false">IFERROR(INDEX('Semrush Data'!$A$1:$Z$20000,MATCH(A1981,'Semrush Data'!$A$1:$A$20000,0),MATCH("Volume",'Semrush Data'!$A$1:$Z$1,0)),"")</f>
        <v/>
      </c>
      <c r="H1981" s="7" t="str">
        <f aca="false">IFERROR(INDEX('Semrush Data'!$A$1:$Z$20000,MATCH(A1981,'Semrush Data'!$A$1:$A$20000,0),MATCH("Keyword Difficulty*",'Semrush Data'!$A$1:$Z$1,0)),"")</f>
        <v/>
      </c>
      <c r="I1981" s="13" t="str">
        <f aca="false">IFERROR(INDEX('Semrush Data'!$A$1:$Z$20000,MATCH(A1981,'Semrush Data'!$A$1:$A$20000,0),MATCH("CPC*",'Semrush Data'!$A$1:$Z$1,0)),"")</f>
        <v/>
      </c>
      <c r="J1981" s="7" t="str">
        <f aca="false">IFERROR(INDEX('Semrush Data'!$A$1:$Z$20000,MATCH(A1981,'Semrush Data'!$A$1:$A$20000,0),MATCH("Intent",'Semrush Data'!$A$1:$Z$1,0)),"")</f>
        <v/>
      </c>
    </row>
    <row r="1982" customFormat="false" ht="15" hidden="false" customHeight="true" outlineLevel="0" collapsed="false">
      <c r="A1982" s="7" t="s">
        <v>5540</v>
      </c>
      <c r="B1982" s="7" t="s">
        <v>1355</v>
      </c>
      <c r="C1982" s="7" t="n">
        <v>3</v>
      </c>
      <c r="D1982" s="7" t="n">
        <v>20</v>
      </c>
      <c r="E1982" s="7" t="n">
        <v>1</v>
      </c>
      <c r="F1982" s="7" t="s">
        <v>5533</v>
      </c>
      <c r="G1982" s="12" t="str">
        <f aca="false">IFERROR(INDEX('Semrush Data'!$A$1:$Z$20000,MATCH(A1982,'Semrush Data'!$A$1:$A$20000,0),MATCH("Volume",'Semrush Data'!$A$1:$Z$1,0)),"")</f>
        <v/>
      </c>
      <c r="H1982" s="7" t="str">
        <f aca="false">IFERROR(INDEX('Semrush Data'!$A$1:$Z$20000,MATCH(A1982,'Semrush Data'!$A$1:$A$20000,0),MATCH("Keyword Difficulty*",'Semrush Data'!$A$1:$Z$1,0)),"")</f>
        <v/>
      </c>
      <c r="I1982" s="13" t="str">
        <f aca="false">IFERROR(INDEX('Semrush Data'!$A$1:$Z$20000,MATCH(A1982,'Semrush Data'!$A$1:$A$20000,0),MATCH("CPC*",'Semrush Data'!$A$1:$Z$1,0)),"")</f>
        <v/>
      </c>
      <c r="J1982" s="7" t="str">
        <f aca="false">IFERROR(INDEX('Semrush Data'!$A$1:$Z$20000,MATCH(A1982,'Semrush Data'!$A$1:$A$20000,0),MATCH("Intent",'Semrush Data'!$A$1:$Z$1,0)),"")</f>
        <v/>
      </c>
    </row>
    <row r="1983" customFormat="false" ht="15" hidden="false" customHeight="true" outlineLevel="0" collapsed="false">
      <c r="A1983" s="7" t="s">
        <v>5550</v>
      </c>
      <c r="B1983" s="7" t="s">
        <v>1355</v>
      </c>
      <c r="C1983" s="7" t="n">
        <v>3</v>
      </c>
      <c r="D1983" s="7" t="n">
        <v>20</v>
      </c>
      <c r="E1983" s="7" t="n">
        <v>1</v>
      </c>
      <c r="F1983" s="7" t="s">
        <v>5546</v>
      </c>
      <c r="G1983" s="12" t="str">
        <f aca="false">IFERROR(INDEX('Semrush Data'!$A$1:$Z$20000,MATCH(A1983,'Semrush Data'!$A$1:$A$20000,0),MATCH("Volume",'Semrush Data'!$A$1:$Z$1,0)),"")</f>
        <v/>
      </c>
      <c r="H1983" s="7" t="str">
        <f aca="false">IFERROR(INDEX('Semrush Data'!$A$1:$Z$20000,MATCH(A1983,'Semrush Data'!$A$1:$A$20000,0),MATCH("Keyword Difficulty*",'Semrush Data'!$A$1:$Z$1,0)),"")</f>
        <v/>
      </c>
      <c r="I1983" s="13" t="str">
        <f aca="false">IFERROR(INDEX('Semrush Data'!$A$1:$Z$20000,MATCH(A1983,'Semrush Data'!$A$1:$A$20000,0),MATCH("CPC*",'Semrush Data'!$A$1:$Z$1,0)),"")</f>
        <v/>
      </c>
      <c r="J1983" s="7" t="str">
        <f aca="false">IFERROR(INDEX('Semrush Data'!$A$1:$Z$20000,MATCH(A1983,'Semrush Data'!$A$1:$A$20000,0),MATCH("Intent",'Semrush Data'!$A$1:$Z$1,0)),"")</f>
        <v/>
      </c>
    </row>
    <row r="1984" customFormat="false" ht="15" hidden="false" customHeight="true" outlineLevel="0" collapsed="false">
      <c r="A1984" s="7" t="s">
        <v>5571</v>
      </c>
      <c r="B1984" s="7" t="s">
        <v>1355</v>
      </c>
      <c r="C1984" s="7" t="n">
        <v>3</v>
      </c>
      <c r="D1984" s="7" t="n">
        <v>20</v>
      </c>
      <c r="E1984" s="7" t="n">
        <v>1</v>
      </c>
      <c r="F1984" s="7" t="s">
        <v>5566</v>
      </c>
      <c r="G1984" s="12" t="str">
        <f aca="false">IFERROR(INDEX('Semrush Data'!$A$1:$Z$20000,MATCH(A1984,'Semrush Data'!$A$1:$A$20000,0),MATCH("Volume",'Semrush Data'!$A$1:$Z$1,0)),"")</f>
        <v/>
      </c>
      <c r="H1984" s="7" t="str">
        <f aca="false">IFERROR(INDEX('Semrush Data'!$A$1:$Z$20000,MATCH(A1984,'Semrush Data'!$A$1:$A$20000,0),MATCH("Keyword Difficulty*",'Semrush Data'!$A$1:$Z$1,0)),"")</f>
        <v/>
      </c>
      <c r="I1984" s="13" t="str">
        <f aca="false">IFERROR(INDEX('Semrush Data'!$A$1:$Z$20000,MATCH(A1984,'Semrush Data'!$A$1:$A$20000,0),MATCH("CPC*",'Semrush Data'!$A$1:$Z$1,0)),"")</f>
        <v/>
      </c>
      <c r="J1984" s="7" t="str">
        <f aca="false">IFERROR(INDEX('Semrush Data'!$A$1:$Z$20000,MATCH(A1984,'Semrush Data'!$A$1:$A$20000,0),MATCH("Intent",'Semrush Data'!$A$1:$Z$1,0)),"")</f>
        <v/>
      </c>
    </row>
    <row r="1985" customFormat="false" ht="15" hidden="false" customHeight="true" outlineLevel="0" collapsed="false">
      <c r="A1985" s="7" t="s">
        <v>4550</v>
      </c>
      <c r="B1985" s="7" t="s">
        <v>1355</v>
      </c>
      <c r="C1985" s="7" t="n">
        <v>3</v>
      </c>
      <c r="D1985" s="7" t="n">
        <v>20</v>
      </c>
      <c r="E1985" s="7" t="n">
        <v>1</v>
      </c>
      <c r="F1985" s="7" t="s">
        <v>4546</v>
      </c>
      <c r="G1985" s="12" t="str">
        <f aca="false">IFERROR(INDEX('Semrush Data'!$A$1:$Z$20000,MATCH(A1985,'Semrush Data'!$A$1:$A$20000,0),MATCH("Volume",'Semrush Data'!$A$1:$Z$1,0)),"")</f>
        <v/>
      </c>
      <c r="H1985" s="7" t="str">
        <f aca="false">IFERROR(INDEX('Semrush Data'!$A$1:$Z$20000,MATCH(A1985,'Semrush Data'!$A$1:$A$20000,0),MATCH("Keyword Difficulty*",'Semrush Data'!$A$1:$Z$1,0)),"")</f>
        <v/>
      </c>
      <c r="I1985" s="13" t="str">
        <f aca="false">IFERROR(INDEX('Semrush Data'!$A$1:$Z$20000,MATCH(A1985,'Semrush Data'!$A$1:$A$20000,0),MATCH("CPC*",'Semrush Data'!$A$1:$Z$1,0)),"")</f>
        <v/>
      </c>
      <c r="J1985" s="7" t="str">
        <f aca="false">IFERROR(INDEX('Semrush Data'!$A$1:$Z$20000,MATCH(A1985,'Semrush Data'!$A$1:$A$20000,0),MATCH("Intent",'Semrush Data'!$A$1:$Z$1,0)),"")</f>
        <v/>
      </c>
    </row>
    <row r="1986" customFormat="false" ht="15" hidden="false" customHeight="true" outlineLevel="0" collapsed="false">
      <c r="A1986" s="7" t="s">
        <v>5583</v>
      </c>
      <c r="B1986" s="7" t="s">
        <v>1355</v>
      </c>
      <c r="C1986" s="7" t="n">
        <v>3</v>
      </c>
      <c r="D1986" s="7" t="n">
        <v>20</v>
      </c>
      <c r="E1986" s="7" t="n">
        <v>1</v>
      </c>
      <c r="F1986" s="7" t="s">
        <v>5578</v>
      </c>
      <c r="G1986" s="12" t="str">
        <f aca="false">IFERROR(INDEX('Semrush Data'!$A$1:$Z$20000,MATCH(A1986,'Semrush Data'!$A$1:$A$20000,0),MATCH("Volume",'Semrush Data'!$A$1:$Z$1,0)),"")</f>
        <v/>
      </c>
      <c r="H1986" s="7" t="str">
        <f aca="false">IFERROR(INDEX('Semrush Data'!$A$1:$Z$20000,MATCH(A1986,'Semrush Data'!$A$1:$A$20000,0),MATCH("Keyword Difficulty*",'Semrush Data'!$A$1:$Z$1,0)),"")</f>
        <v/>
      </c>
      <c r="I1986" s="13" t="str">
        <f aca="false">IFERROR(INDEX('Semrush Data'!$A$1:$Z$20000,MATCH(A1986,'Semrush Data'!$A$1:$A$20000,0),MATCH("CPC*",'Semrush Data'!$A$1:$Z$1,0)),"")</f>
        <v/>
      </c>
      <c r="J1986" s="7" t="str">
        <f aca="false">IFERROR(INDEX('Semrush Data'!$A$1:$Z$20000,MATCH(A1986,'Semrush Data'!$A$1:$A$20000,0),MATCH("Intent",'Semrush Data'!$A$1:$Z$1,0)),"")</f>
        <v/>
      </c>
    </row>
    <row r="1987" customFormat="false" ht="15" hidden="false" customHeight="true" outlineLevel="0" collapsed="false">
      <c r="A1987" s="7" t="s">
        <v>5594</v>
      </c>
      <c r="B1987" s="7" t="s">
        <v>1355</v>
      </c>
      <c r="C1987" s="7" t="n">
        <v>3</v>
      </c>
      <c r="D1987" s="7" t="n">
        <v>20</v>
      </c>
      <c r="E1987" s="7" t="n">
        <v>1</v>
      </c>
      <c r="F1987" s="7" t="s">
        <v>5590</v>
      </c>
      <c r="G1987" s="12" t="str">
        <f aca="false">IFERROR(INDEX('Semrush Data'!$A$1:$Z$20000,MATCH(A1987,'Semrush Data'!$A$1:$A$20000,0),MATCH("Volume",'Semrush Data'!$A$1:$Z$1,0)),"")</f>
        <v/>
      </c>
      <c r="H1987" s="7" t="str">
        <f aca="false">IFERROR(INDEX('Semrush Data'!$A$1:$Z$20000,MATCH(A1987,'Semrush Data'!$A$1:$A$20000,0),MATCH("Keyword Difficulty*",'Semrush Data'!$A$1:$Z$1,0)),"")</f>
        <v/>
      </c>
      <c r="I1987" s="13" t="str">
        <f aca="false">IFERROR(INDEX('Semrush Data'!$A$1:$Z$20000,MATCH(A1987,'Semrush Data'!$A$1:$A$20000,0),MATCH("CPC*",'Semrush Data'!$A$1:$Z$1,0)),"")</f>
        <v/>
      </c>
      <c r="J1987" s="7" t="str">
        <f aca="false">IFERROR(INDEX('Semrush Data'!$A$1:$Z$20000,MATCH(A1987,'Semrush Data'!$A$1:$A$20000,0),MATCH("Intent",'Semrush Data'!$A$1:$Z$1,0)),"")</f>
        <v/>
      </c>
    </row>
    <row r="1988" customFormat="false" ht="15" hidden="false" customHeight="true" outlineLevel="0" collapsed="false">
      <c r="A1988" s="7" t="s">
        <v>5605</v>
      </c>
      <c r="B1988" s="7" t="s">
        <v>1355</v>
      </c>
      <c r="C1988" s="7" t="n">
        <v>3</v>
      </c>
      <c r="D1988" s="7" t="n">
        <v>20</v>
      </c>
      <c r="E1988" s="7" t="n">
        <v>1</v>
      </c>
      <c r="F1988" s="7" t="s">
        <v>5601</v>
      </c>
      <c r="G1988" s="12" t="str">
        <f aca="false">IFERROR(INDEX('Semrush Data'!$A$1:$Z$20000,MATCH(A1988,'Semrush Data'!$A$1:$A$20000,0),MATCH("Volume",'Semrush Data'!$A$1:$Z$1,0)),"")</f>
        <v/>
      </c>
      <c r="H1988" s="7" t="str">
        <f aca="false">IFERROR(INDEX('Semrush Data'!$A$1:$Z$20000,MATCH(A1988,'Semrush Data'!$A$1:$A$20000,0),MATCH("Keyword Difficulty*",'Semrush Data'!$A$1:$Z$1,0)),"")</f>
        <v/>
      </c>
      <c r="I1988" s="13" t="str">
        <f aca="false">IFERROR(INDEX('Semrush Data'!$A$1:$Z$20000,MATCH(A1988,'Semrush Data'!$A$1:$A$20000,0),MATCH("CPC*",'Semrush Data'!$A$1:$Z$1,0)),"")</f>
        <v/>
      </c>
      <c r="J1988" s="7" t="str">
        <f aca="false">IFERROR(INDEX('Semrush Data'!$A$1:$Z$20000,MATCH(A1988,'Semrush Data'!$A$1:$A$20000,0),MATCH("Intent",'Semrush Data'!$A$1:$Z$1,0)),"")</f>
        <v/>
      </c>
    </row>
    <row r="1989" customFormat="false" ht="15" hidden="false" customHeight="true" outlineLevel="0" collapsed="false">
      <c r="A1989" s="7" t="s">
        <v>5616</v>
      </c>
      <c r="B1989" s="7" t="s">
        <v>1355</v>
      </c>
      <c r="C1989" s="7" t="n">
        <v>3</v>
      </c>
      <c r="D1989" s="7" t="n">
        <v>20</v>
      </c>
      <c r="E1989" s="7" t="n">
        <v>1</v>
      </c>
      <c r="F1989" s="7" t="s">
        <v>5611</v>
      </c>
      <c r="G1989" s="12" t="str">
        <f aca="false">IFERROR(INDEX('Semrush Data'!$A$1:$Z$20000,MATCH(A1989,'Semrush Data'!$A$1:$A$20000,0),MATCH("Volume",'Semrush Data'!$A$1:$Z$1,0)),"")</f>
        <v/>
      </c>
      <c r="H1989" s="7" t="str">
        <f aca="false">IFERROR(INDEX('Semrush Data'!$A$1:$Z$20000,MATCH(A1989,'Semrush Data'!$A$1:$A$20000,0),MATCH("Keyword Difficulty*",'Semrush Data'!$A$1:$Z$1,0)),"")</f>
        <v/>
      </c>
      <c r="I1989" s="13" t="str">
        <f aca="false">IFERROR(INDEX('Semrush Data'!$A$1:$Z$20000,MATCH(A1989,'Semrush Data'!$A$1:$A$20000,0),MATCH("CPC*",'Semrush Data'!$A$1:$Z$1,0)),"")</f>
        <v/>
      </c>
      <c r="J1989" s="7" t="str">
        <f aca="false">IFERROR(INDEX('Semrush Data'!$A$1:$Z$20000,MATCH(A1989,'Semrush Data'!$A$1:$A$20000,0),MATCH("Intent",'Semrush Data'!$A$1:$Z$1,0)),"")</f>
        <v/>
      </c>
    </row>
    <row r="1990" customFormat="false" ht="15" hidden="false" customHeight="true" outlineLevel="0" collapsed="false">
      <c r="A1990" s="7" t="s">
        <v>5628</v>
      </c>
      <c r="B1990" s="7" t="s">
        <v>1355</v>
      </c>
      <c r="C1990" s="7" t="n">
        <v>3</v>
      </c>
      <c r="D1990" s="7" t="n">
        <v>20</v>
      </c>
      <c r="E1990" s="7" t="n">
        <v>1</v>
      </c>
      <c r="F1990" s="7" t="s">
        <v>5624</v>
      </c>
      <c r="G1990" s="12" t="str">
        <f aca="false">IFERROR(INDEX('Semrush Data'!$A$1:$Z$20000,MATCH(A1990,'Semrush Data'!$A$1:$A$20000,0),MATCH("Volume",'Semrush Data'!$A$1:$Z$1,0)),"")</f>
        <v/>
      </c>
      <c r="H1990" s="7" t="str">
        <f aca="false">IFERROR(INDEX('Semrush Data'!$A$1:$Z$20000,MATCH(A1990,'Semrush Data'!$A$1:$A$20000,0),MATCH("Keyword Difficulty*",'Semrush Data'!$A$1:$Z$1,0)),"")</f>
        <v/>
      </c>
      <c r="I1990" s="13" t="str">
        <f aca="false">IFERROR(INDEX('Semrush Data'!$A$1:$Z$20000,MATCH(A1990,'Semrush Data'!$A$1:$A$20000,0),MATCH("CPC*",'Semrush Data'!$A$1:$Z$1,0)),"")</f>
        <v/>
      </c>
      <c r="J1990" s="7" t="str">
        <f aca="false">IFERROR(INDEX('Semrush Data'!$A$1:$Z$20000,MATCH(A1990,'Semrush Data'!$A$1:$A$20000,0),MATCH("Intent",'Semrush Data'!$A$1:$Z$1,0)),"")</f>
        <v/>
      </c>
    </row>
    <row r="1991" customFormat="false" ht="15" hidden="false" customHeight="true" outlineLevel="0" collapsed="false">
      <c r="A1991" s="7" t="s">
        <v>5639</v>
      </c>
      <c r="B1991" s="7" t="s">
        <v>1355</v>
      </c>
      <c r="C1991" s="7" t="n">
        <v>3</v>
      </c>
      <c r="D1991" s="7" t="n">
        <v>20</v>
      </c>
      <c r="E1991" s="7" t="n">
        <v>1</v>
      </c>
      <c r="F1991" s="7" t="s">
        <v>5635</v>
      </c>
      <c r="G1991" s="12" t="str">
        <f aca="false">IFERROR(INDEX('Semrush Data'!$A$1:$Z$20000,MATCH(A1991,'Semrush Data'!$A$1:$A$20000,0),MATCH("Volume",'Semrush Data'!$A$1:$Z$1,0)),"")</f>
        <v/>
      </c>
      <c r="H1991" s="7" t="str">
        <f aca="false">IFERROR(INDEX('Semrush Data'!$A$1:$Z$20000,MATCH(A1991,'Semrush Data'!$A$1:$A$20000,0),MATCH("Keyword Difficulty*",'Semrush Data'!$A$1:$Z$1,0)),"")</f>
        <v/>
      </c>
      <c r="I1991" s="13" t="str">
        <f aca="false">IFERROR(INDEX('Semrush Data'!$A$1:$Z$20000,MATCH(A1991,'Semrush Data'!$A$1:$A$20000,0),MATCH("CPC*",'Semrush Data'!$A$1:$Z$1,0)),"")</f>
        <v/>
      </c>
      <c r="J1991" s="7" t="str">
        <f aca="false">IFERROR(INDEX('Semrush Data'!$A$1:$Z$20000,MATCH(A1991,'Semrush Data'!$A$1:$A$20000,0),MATCH("Intent",'Semrush Data'!$A$1:$Z$1,0)),"")</f>
        <v/>
      </c>
    </row>
    <row r="1992" customFormat="false" ht="15" hidden="false" customHeight="true" outlineLevel="0" collapsed="false">
      <c r="A1992" s="7" t="s">
        <v>5651</v>
      </c>
      <c r="B1992" s="7" t="s">
        <v>1355</v>
      </c>
      <c r="C1992" s="7" t="n">
        <v>3</v>
      </c>
      <c r="D1992" s="7" t="n">
        <v>20</v>
      </c>
      <c r="E1992" s="7" t="n">
        <v>1</v>
      </c>
      <c r="F1992" s="7" t="s">
        <v>5647</v>
      </c>
      <c r="G1992" s="12" t="str">
        <f aca="false">IFERROR(INDEX('Semrush Data'!$A$1:$Z$20000,MATCH(A1992,'Semrush Data'!$A$1:$A$20000,0),MATCH("Volume",'Semrush Data'!$A$1:$Z$1,0)),"")</f>
        <v/>
      </c>
      <c r="H1992" s="7" t="str">
        <f aca="false">IFERROR(INDEX('Semrush Data'!$A$1:$Z$20000,MATCH(A1992,'Semrush Data'!$A$1:$A$20000,0),MATCH("Keyword Difficulty*",'Semrush Data'!$A$1:$Z$1,0)),"")</f>
        <v/>
      </c>
      <c r="I1992" s="13" t="str">
        <f aca="false">IFERROR(INDEX('Semrush Data'!$A$1:$Z$20000,MATCH(A1992,'Semrush Data'!$A$1:$A$20000,0),MATCH("CPC*",'Semrush Data'!$A$1:$Z$1,0)),"")</f>
        <v/>
      </c>
      <c r="J1992" s="7" t="str">
        <f aca="false">IFERROR(INDEX('Semrush Data'!$A$1:$Z$20000,MATCH(A1992,'Semrush Data'!$A$1:$A$20000,0),MATCH("Intent",'Semrush Data'!$A$1:$Z$1,0)),"")</f>
        <v/>
      </c>
    </row>
    <row r="1993" customFormat="false" ht="15" hidden="false" customHeight="true" outlineLevel="0" collapsed="false">
      <c r="A1993" s="7" t="s">
        <v>5662</v>
      </c>
      <c r="B1993" s="7" t="s">
        <v>1355</v>
      </c>
      <c r="C1993" s="7" t="n">
        <v>3</v>
      </c>
      <c r="D1993" s="7" t="n">
        <v>20</v>
      </c>
      <c r="E1993" s="7" t="n">
        <v>1</v>
      </c>
      <c r="F1993" s="7" t="s">
        <v>5658</v>
      </c>
      <c r="G1993" s="12" t="str">
        <f aca="false">IFERROR(INDEX('Semrush Data'!$A$1:$Z$20000,MATCH(A1993,'Semrush Data'!$A$1:$A$20000,0),MATCH("Volume",'Semrush Data'!$A$1:$Z$1,0)),"")</f>
        <v/>
      </c>
      <c r="H1993" s="7" t="str">
        <f aca="false">IFERROR(INDEX('Semrush Data'!$A$1:$Z$20000,MATCH(A1993,'Semrush Data'!$A$1:$A$20000,0),MATCH("Keyword Difficulty*",'Semrush Data'!$A$1:$Z$1,0)),"")</f>
        <v/>
      </c>
      <c r="I1993" s="13" t="str">
        <f aca="false">IFERROR(INDEX('Semrush Data'!$A$1:$Z$20000,MATCH(A1993,'Semrush Data'!$A$1:$A$20000,0),MATCH("CPC*",'Semrush Data'!$A$1:$Z$1,0)),"")</f>
        <v/>
      </c>
      <c r="J1993" s="7" t="str">
        <f aca="false">IFERROR(INDEX('Semrush Data'!$A$1:$Z$20000,MATCH(A1993,'Semrush Data'!$A$1:$A$20000,0),MATCH("Intent",'Semrush Data'!$A$1:$Z$1,0)),"")</f>
        <v/>
      </c>
    </row>
    <row r="1994" customFormat="false" ht="15" hidden="false" customHeight="true" outlineLevel="0" collapsed="false">
      <c r="A1994" s="7" t="s">
        <v>5674</v>
      </c>
      <c r="B1994" s="7" t="s">
        <v>1355</v>
      </c>
      <c r="C1994" s="7" t="n">
        <v>3</v>
      </c>
      <c r="D1994" s="7" t="n">
        <v>20</v>
      </c>
      <c r="E1994" s="7" t="n">
        <v>1</v>
      </c>
      <c r="F1994" s="7" t="s">
        <v>5669</v>
      </c>
      <c r="G1994" s="12" t="str">
        <f aca="false">IFERROR(INDEX('Semrush Data'!$A$1:$Z$20000,MATCH(A1994,'Semrush Data'!$A$1:$A$20000,0),MATCH("Volume",'Semrush Data'!$A$1:$Z$1,0)),"")</f>
        <v/>
      </c>
      <c r="H1994" s="7" t="str">
        <f aca="false">IFERROR(INDEX('Semrush Data'!$A$1:$Z$20000,MATCH(A1994,'Semrush Data'!$A$1:$A$20000,0),MATCH("Keyword Difficulty*",'Semrush Data'!$A$1:$Z$1,0)),"")</f>
        <v/>
      </c>
      <c r="I1994" s="13" t="str">
        <f aca="false">IFERROR(INDEX('Semrush Data'!$A$1:$Z$20000,MATCH(A1994,'Semrush Data'!$A$1:$A$20000,0),MATCH("CPC*",'Semrush Data'!$A$1:$Z$1,0)),"")</f>
        <v/>
      </c>
      <c r="J1994" s="7" t="str">
        <f aca="false">IFERROR(INDEX('Semrush Data'!$A$1:$Z$20000,MATCH(A1994,'Semrush Data'!$A$1:$A$20000,0),MATCH("Intent",'Semrush Data'!$A$1:$Z$1,0)),"")</f>
        <v/>
      </c>
    </row>
    <row r="1995" customFormat="false" ht="15" hidden="false" customHeight="true" outlineLevel="0" collapsed="false">
      <c r="A1995" s="7" t="s">
        <v>5687</v>
      </c>
      <c r="B1995" s="7" t="s">
        <v>1355</v>
      </c>
      <c r="C1995" s="7" t="n">
        <v>3</v>
      </c>
      <c r="D1995" s="7" t="n">
        <v>20</v>
      </c>
      <c r="E1995" s="7" t="n">
        <v>1</v>
      </c>
      <c r="F1995" s="7" t="s">
        <v>5682</v>
      </c>
      <c r="G1995" s="12" t="str">
        <f aca="false">IFERROR(INDEX('Semrush Data'!$A$1:$Z$20000,MATCH(A1995,'Semrush Data'!$A$1:$A$20000,0),MATCH("Volume",'Semrush Data'!$A$1:$Z$1,0)),"")</f>
        <v/>
      </c>
      <c r="H1995" s="7" t="str">
        <f aca="false">IFERROR(INDEX('Semrush Data'!$A$1:$Z$20000,MATCH(A1995,'Semrush Data'!$A$1:$A$20000,0),MATCH("Keyword Difficulty*",'Semrush Data'!$A$1:$Z$1,0)),"")</f>
        <v/>
      </c>
      <c r="I1995" s="13" t="str">
        <f aca="false">IFERROR(INDEX('Semrush Data'!$A$1:$Z$20000,MATCH(A1995,'Semrush Data'!$A$1:$A$20000,0),MATCH("CPC*",'Semrush Data'!$A$1:$Z$1,0)),"")</f>
        <v/>
      </c>
      <c r="J1995" s="7" t="str">
        <f aca="false">IFERROR(INDEX('Semrush Data'!$A$1:$Z$20000,MATCH(A1995,'Semrush Data'!$A$1:$A$20000,0),MATCH("Intent",'Semrush Data'!$A$1:$Z$1,0)),"")</f>
        <v/>
      </c>
    </row>
    <row r="1996" customFormat="false" ht="15" hidden="false" customHeight="true" outlineLevel="0" collapsed="false">
      <c r="A1996" s="7" t="s">
        <v>5700</v>
      </c>
      <c r="B1996" s="7" t="s">
        <v>1355</v>
      </c>
      <c r="C1996" s="7" t="n">
        <v>3</v>
      </c>
      <c r="D1996" s="7" t="n">
        <v>20</v>
      </c>
      <c r="E1996" s="7" t="n">
        <v>1</v>
      </c>
      <c r="F1996" s="7" t="s">
        <v>5695</v>
      </c>
      <c r="G1996" s="12" t="str">
        <f aca="false">IFERROR(INDEX('Semrush Data'!$A$1:$Z$20000,MATCH(A1996,'Semrush Data'!$A$1:$A$20000,0),MATCH("Volume",'Semrush Data'!$A$1:$Z$1,0)),"")</f>
        <v/>
      </c>
      <c r="H1996" s="7" t="str">
        <f aca="false">IFERROR(INDEX('Semrush Data'!$A$1:$Z$20000,MATCH(A1996,'Semrush Data'!$A$1:$A$20000,0),MATCH("Keyword Difficulty*",'Semrush Data'!$A$1:$Z$1,0)),"")</f>
        <v/>
      </c>
      <c r="I1996" s="13" t="str">
        <f aca="false">IFERROR(INDEX('Semrush Data'!$A$1:$Z$20000,MATCH(A1996,'Semrush Data'!$A$1:$A$20000,0),MATCH("CPC*",'Semrush Data'!$A$1:$Z$1,0)),"")</f>
        <v/>
      </c>
      <c r="J1996" s="7" t="str">
        <f aca="false">IFERROR(INDEX('Semrush Data'!$A$1:$Z$20000,MATCH(A1996,'Semrush Data'!$A$1:$A$20000,0),MATCH("Intent",'Semrush Data'!$A$1:$Z$1,0)),"")</f>
        <v/>
      </c>
    </row>
    <row r="1997" customFormat="false" ht="15" hidden="false" customHeight="true" outlineLevel="0" collapsed="false">
      <c r="A1997" s="7" t="s">
        <v>5712</v>
      </c>
      <c r="B1997" s="7" t="s">
        <v>1355</v>
      </c>
      <c r="C1997" s="7" t="n">
        <v>3</v>
      </c>
      <c r="D1997" s="7" t="n">
        <v>20</v>
      </c>
      <c r="E1997" s="7" t="n">
        <v>1</v>
      </c>
      <c r="F1997" s="7" t="s">
        <v>5708</v>
      </c>
      <c r="G1997" s="12" t="str">
        <f aca="false">IFERROR(INDEX('Semrush Data'!$A$1:$Z$20000,MATCH(A1997,'Semrush Data'!$A$1:$A$20000,0),MATCH("Volume",'Semrush Data'!$A$1:$Z$1,0)),"")</f>
        <v/>
      </c>
      <c r="H1997" s="7" t="str">
        <f aca="false">IFERROR(INDEX('Semrush Data'!$A$1:$Z$20000,MATCH(A1997,'Semrush Data'!$A$1:$A$20000,0),MATCH("Keyword Difficulty*",'Semrush Data'!$A$1:$Z$1,0)),"")</f>
        <v/>
      </c>
      <c r="I1997" s="13" t="str">
        <f aca="false">IFERROR(INDEX('Semrush Data'!$A$1:$Z$20000,MATCH(A1997,'Semrush Data'!$A$1:$A$20000,0),MATCH("CPC*",'Semrush Data'!$A$1:$Z$1,0)),"")</f>
        <v/>
      </c>
      <c r="J1997" s="7" t="str">
        <f aca="false">IFERROR(INDEX('Semrush Data'!$A$1:$Z$20000,MATCH(A1997,'Semrush Data'!$A$1:$A$20000,0),MATCH("Intent",'Semrush Data'!$A$1:$Z$1,0)),"")</f>
        <v/>
      </c>
    </row>
    <row r="1998" customFormat="false" ht="15" hidden="false" customHeight="true" outlineLevel="0" collapsed="false">
      <c r="A1998" s="7" t="s">
        <v>5723</v>
      </c>
      <c r="B1998" s="7" t="s">
        <v>1355</v>
      </c>
      <c r="C1998" s="7" t="n">
        <v>3</v>
      </c>
      <c r="D1998" s="7" t="n">
        <v>20</v>
      </c>
      <c r="E1998" s="7" t="n">
        <v>1</v>
      </c>
      <c r="F1998" s="7" t="s">
        <v>5719</v>
      </c>
      <c r="G1998" s="12" t="str">
        <f aca="false">IFERROR(INDEX('Semrush Data'!$A$1:$Z$20000,MATCH(A1998,'Semrush Data'!$A$1:$A$20000,0),MATCH("Volume",'Semrush Data'!$A$1:$Z$1,0)),"")</f>
        <v/>
      </c>
      <c r="H1998" s="7" t="str">
        <f aca="false">IFERROR(INDEX('Semrush Data'!$A$1:$Z$20000,MATCH(A1998,'Semrush Data'!$A$1:$A$20000,0),MATCH("Keyword Difficulty*",'Semrush Data'!$A$1:$Z$1,0)),"")</f>
        <v/>
      </c>
      <c r="I1998" s="13" t="str">
        <f aca="false">IFERROR(INDEX('Semrush Data'!$A$1:$Z$20000,MATCH(A1998,'Semrush Data'!$A$1:$A$20000,0),MATCH("CPC*",'Semrush Data'!$A$1:$Z$1,0)),"")</f>
        <v/>
      </c>
      <c r="J1998" s="7" t="str">
        <f aca="false">IFERROR(INDEX('Semrush Data'!$A$1:$Z$20000,MATCH(A1998,'Semrush Data'!$A$1:$A$20000,0),MATCH("Intent",'Semrush Data'!$A$1:$Z$1,0)),"")</f>
        <v/>
      </c>
    </row>
    <row r="1999" customFormat="false" ht="15" hidden="false" customHeight="true" outlineLevel="0" collapsed="false">
      <c r="A1999" s="7" t="s">
        <v>5847</v>
      </c>
      <c r="B1999" s="7" t="s">
        <v>1355</v>
      </c>
      <c r="C1999" s="7" t="n">
        <v>3</v>
      </c>
      <c r="D1999" s="7" t="n">
        <v>20</v>
      </c>
      <c r="E1999" s="7" t="n">
        <v>1</v>
      </c>
      <c r="F1999" s="7" t="s">
        <v>5842</v>
      </c>
      <c r="G1999" s="12" t="str">
        <f aca="false">IFERROR(INDEX('Semrush Data'!$A$1:$Z$20000,MATCH(A1999,'Semrush Data'!$A$1:$A$20000,0),MATCH("Volume",'Semrush Data'!$A$1:$Z$1,0)),"")</f>
        <v/>
      </c>
      <c r="H1999" s="7" t="str">
        <f aca="false">IFERROR(INDEX('Semrush Data'!$A$1:$Z$20000,MATCH(A1999,'Semrush Data'!$A$1:$A$20000,0),MATCH("Keyword Difficulty*",'Semrush Data'!$A$1:$Z$1,0)),"")</f>
        <v/>
      </c>
      <c r="I1999" s="13" t="str">
        <f aca="false">IFERROR(INDEX('Semrush Data'!$A$1:$Z$20000,MATCH(A1999,'Semrush Data'!$A$1:$A$20000,0),MATCH("CPC*",'Semrush Data'!$A$1:$Z$1,0)),"")</f>
        <v/>
      </c>
      <c r="J1999" s="7" t="str">
        <f aca="false">IFERROR(INDEX('Semrush Data'!$A$1:$Z$20000,MATCH(A1999,'Semrush Data'!$A$1:$A$20000,0),MATCH("Intent",'Semrush Data'!$A$1:$Z$1,0)),"")</f>
        <v/>
      </c>
    </row>
    <row r="2000" customFormat="false" ht="15" hidden="false" customHeight="true" outlineLevel="0" collapsed="false">
      <c r="A2000" s="7" t="s">
        <v>5735</v>
      </c>
      <c r="B2000" s="7" t="s">
        <v>1355</v>
      </c>
      <c r="C2000" s="7" t="n">
        <v>3</v>
      </c>
      <c r="D2000" s="7" t="n">
        <v>20</v>
      </c>
      <c r="E2000" s="7" t="n">
        <v>1</v>
      </c>
      <c r="F2000" s="7" t="s">
        <v>5731</v>
      </c>
      <c r="G2000" s="12" t="str">
        <f aca="false">IFERROR(INDEX('Semrush Data'!$A$1:$Z$20000,MATCH(A2000,'Semrush Data'!$A$1:$A$20000,0),MATCH("Volume",'Semrush Data'!$A$1:$Z$1,0)),"")</f>
        <v/>
      </c>
      <c r="H2000" s="7" t="str">
        <f aca="false">IFERROR(INDEX('Semrush Data'!$A$1:$Z$20000,MATCH(A2000,'Semrush Data'!$A$1:$A$20000,0),MATCH("Keyword Difficulty*",'Semrush Data'!$A$1:$Z$1,0)),"")</f>
        <v/>
      </c>
      <c r="I2000" s="13" t="str">
        <f aca="false">IFERROR(INDEX('Semrush Data'!$A$1:$Z$20000,MATCH(A2000,'Semrush Data'!$A$1:$A$20000,0),MATCH("CPC*",'Semrush Data'!$A$1:$Z$1,0)),"")</f>
        <v/>
      </c>
      <c r="J2000" s="7" t="str">
        <f aca="false">IFERROR(INDEX('Semrush Data'!$A$1:$Z$20000,MATCH(A2000,'Semrush Data'!$A$1:$A$20000,0),MATCH("Intent",'Semrush Data'!$A$1:$Z$1,0)),"")</f>
        <v/>
      </c>
    </row>
    <row r="2001" customFormat="false" ht="15" hidden="false" customHeight="true" outlineLevel="0" collapsed="false">
      <c r="A2001" s="7" t="s">
        <v>5825</v>
      </c>
      <c r="B2001" s="7" t="s">
        <v>1355</v>
      </c>
      <c r="C2001" s="7" t="n">
        <v>3</v>
      </c>
      <c r="D2001" s="7" t="n">
        <v>20</v>
      </c>
      <c r="E2001" s="7" t="n">
        <v>1</v>
      </c>
      <c r="F2001" s="7" t="s">
        <v>5821</v>
      </c>
      <c r="G2001" s="12" t="str">
        <f aca="false">IFERROR(INDEX('Semrush Data'!$A$1:$Z$20000,MATCH(A2001,'Semrush Data'!$A$1:$A$20000,0),MATCH("Volume",'Semrush Data'!$A$1:$Z$1,0)),"")</f>
        <v/>
      </c>
      <c r="H2001" s="7" t="str">
        <f aca="false">IFERROR(INDEX('Semrush Data'!$A$1:$Z$20000,MATCH(A2001,'Semrush Data'!$A$1:$A$20000,0),MATCH("Keyword Difficulty*",'Semrush Data'!$A$1:$Z$1,0)),"")</f>
        <v/>
      </c>
      <c r="I2001" s="13" t="str">
        <f aca="false">IFERROR(INDEX('Semrush Data'!$A$1:$Z$20000,MATCH(A2001,'Semrush Data'!$A$1:$A$20000,0),MATCH("CPC*",'Semrush Data'!$A$1:$Z$1,0)),"")</f>
        <v/>
      </c>
      <c r="J2001" s="7" t="str">
        <f aca="false">IFERROR(INDEX('Semrush Data'!$A$1:$Z$20000,MATCH(A2001,'Semrush Data'!$A$1:$A$20000,0),MATCH("Intent",'Semrush Data'!$A$1:$Z$1,0)),"")</f>
        <v/>
      </c>
    </row>
    <row r="2002" customFormat="false" ht="15" hidden="false" customHeight="true" outlineLevel="0" collapsed="false">
      <c r="A2002" s="7" t="s">
        <v>5837</v>
      </c>
      <c r="B2002" s="7" t="s">
        <v>1355</v>
      </c>
      <c r="C2002" s="7" t="n">
        <v>3</v>
      </c>
      <c r="D2002" s="7" t="n">
        <v>21</v>
      </c>
      <c r="E2002" s="7" t="n">
        <v>1</v>
      </c>
      <c r="F2002" s="7" t="s">
        <v>5832</v>
      </c>
      <c r="G2002" s="12" t="str">
        <f aca="false">IFERROR(INDEX('Semrush Data'!$A$1:$Z$20000,MATCH(A2002,'Semrush Data'!$A$1:$A$20000,0),MATCH("Volume",'Semrush Data'!$A$1:$Z$1,0)),"")</f>
        <v/>
      </c>
      <c r="H2002" s="7" t="str">
        <f aca="false">IFERROR(INDEX('Semrush Data'!$A$1:$Z$20000,MATCH(A2002,'Semrush Data'!$A$1:$A$20000,0),MATCH("Keyword Difficulty*",'Semrush Data'!$A$1:$Z$1,0)),"")</f>
        <v/>
      </c>
      <c r="I2002" s="13" t="str">
        <f aca="false">IFERROR(INDEX('Semrush Data'!$A$1:$Z$20000,MATCH(A2002,'Semrush Data'!$A$1:$A$20000,0),MATCH("CPC*",'Semrush Data'!$A$1:$Z$1,0)),"")</f>
        <v/>
      </c>
      <c r="J2002" s="7" t="str">
        <f aca="false">IFERROR(INDEX('Semrush Data'!$A$1:$Z$20000,MATCH(A2002,'Semrush Data'!$A$1:$A$20000,0),MATCH("Intent",'Semrush Data'!$A$1:$Z$1,0)),"")</f>
        <v/>
      </c>
    </row>
    <row r="2003" customFormat="false" ht="15" hidden="false" customHeight="true" outlineLevel="0" collapsed="false">
      <c r="A2003" s="7" t="s">
        <v>5859</v>
      </c>
      <c r="B2003" s="7" t="s">
        <v>1355</v>
      </c>
      <c r="C2003" s="7" t="n">
        <v>3</v>
      </c>
      <c r="D2003" s="7" t="n">
        <v>21</v>
      </c>
      <c r="E2003" s="7" t="n">
        <v>1</v>
      </c>
      <c r="F2003" s="7" t="s">
        <v>5855</v>
      </c>
      <c r="G2003" s="12" t="str">
        <f aca="false">IFERROR(INDEX('Semrush Data'!$A$1:$Z$20000,MATCH(A2003,'Semrush Data'!$A$1:$A$20000,0),MATCH("Volume",'Semrush Data'!$A$1:$Z$1,0)),"")</f>
        <v/>
      </c>
      <c r="H2003" s="7" t="str">
        <f aca="false">IFERROR(INDEX('Semrush Data'!$A$1:$Z$20000,MATCH(A2003,'Semrush Data'!$A$1:$A$20000,0),MATCH("Keyword Difficulty*",'Semrush Data'!$A$1:$Z$1,0)),"")</f>
        <v/>
      </c>
      <c r="I2003" s="13" t="str">
        <f aca="false">IFERROR(INDEX('Semrush Data'!$A$1:$Z$20000,MATCH(A2003,'Semrush Data'!$A$1:$A$20000,0),MATCH("CPC*",'Semrush Data'!$A$1:$Z$1,0)),"")</f>
        <v/>
      </c>
      <c r="J2003" s="7" t="str">
        <f aca="false">IFERROR(INDEX('Semrush Data'!$A$1:$Z$20000,MATCH(A2003,'Semrush Data'!$A$1:$A$20000,0),MATCH("Intent",'Semrush Data'!$A$1:$Z$1,0)),"")</f>
        <v/>
      </c>
    </row>
    <row r="2004" customFormat="false" ht="15" hidden="false" customHeight="true" outlineLevel="0" collapsed="false">
      <c r="A2004" s="7" t="s">
        <v>5746</v>
      </c>
      <c r="B2004" s="7" t="s">
        <v>1355</v>
      </c>
      <c r="C2004" s="7" t="n">
        <v>3</v>
      </c>
      <c r="D2004" s="7" t="n">
        <v>21</v>
      </c>
      <c r="E2004" s="7" t="n">
        <v>1</v>
      </c>
      <c r="F2004" s="7" t="s">
        <v>5742</v>
      </c>
      <c r="G2004" s="12" t="str">
        <f aca="false">IFERROR(INDEX('Semrush Data'!$A$1:$Z$20000,MATCH(A2004,'Semrush Data'!$A$1:$A$20000,0),MATCH("Volume",'Semrush Data'!$A$1:$Z$1,0)),"")</f>
        <v/>
      </c>
      <c r="H2004" s="7" t="str">
        <f aca="false">IFERROR(INDEX('Semrush Data'!$A$1:$Z$20000,MATCH(A2004,'Semrush Data'!$A$1:$A$20000,0),MATCH("Keyword Difficulty*",'Semrush Data'!$A$1:$Z$1,0)),"")</f>
        <v/>
      </c>
      <c r="I2004" s="13" t="str">
        <f aca="false">IFERROR(INDEX('Semrush Data'!$A$1:$Z$20000,MATCH(A2004,'Semrush Data'!$A$1:$A$20000,0),MATCH("CPC*",'Semrush Data'!$A$1:$Z$1,0)),"")</f>
        <v/>
      </c>
      <c r="J2004" s="7" t="str">
        <f aca="false">IFERROR(INDEX('Semrush Data'!$A$1:$Z$20000,MATCH(A2004,'Semrush Data'!$A$1:$A$20000,0),MATCH("Intent",'Semrush Data'!$A$1:$Z$1,0)),"")</f>
        <v/>
      </c>
    </row>
    <row r="2005" customFormat="false" ht="15" hidden="false" customHeight="true" outlineLevel="0" collapsed="false">
      <c r="A2005" s="7" t="s">
        <v>5758</v>
      </c>
      <c r="B2005" s="7" t="s">
        <v>1355</v>
      </c>
      <c r="C2005" s="7" t="n">
        <v>3</v>
      </c>
      <c r="D2005" s="7" t="n">
        <v>21</v>
      </c>
      <c r="E2005" s="7" t="n">
        <v>1</v>
      </c>
      <c r="F2005" s="7" t="s">
        <v>5753</v>
      </c>
      <c r="G2005" s="12" t="str">
        <f aca="false">IFERROR(INDEX('Semrush Data'!$A$1:$Z$20000,MATCH(A2005,'Semrush Data'!$A$1:$A$20000,0),MATCH("Volume",'Semrush Data'!$A$1:$Z$1,0)),"")</f>
        <v/>
      </c>
      <c r="H2005" s="7" t="str">
        <f aca="false">IFERROR(INDEX('Semrush Data'!$A$1:$Z$20000,MATCH(A2005,'Semrush Data'!$A$1:$A$20000,0),MATCH("Keyword Difficulty*",'Semrush Data'!$A$1:$Z$1,0)),"")</f>
        <v/>
      </c>
      <c r="I2005" s="13" t="str">
        <f aca="false">IFERROR(INDEX('Semrush Data'!$A$1:$Z$20000,MATCH(A2005,'Semrush Data'!$A$1:$A$20000,0),MATCH("CPC*",'Semrush Data'!$A$1:$Z$1,0)),"")</f>
        <v/>
      </c>
      <c r="J2005" s="7" t="str">
        <f aca="false">IFERROR(INDEX('Semrush Data'!$A$1:$Z$20000,MATCH(A2005,'Semrush Data'!$A$1:$A$20000,0),MATCH("Intent",'Semrush Data'!$A$1:$Z$1,0)),"")</f>
        <v/>
      </c>
    </row>
    <row r="2006" customFormat="false" ht="15" hidden="false" customHeight="true" outlineLevel="0" collapsed="false">
      <c r="A2006" s="7" t="s">
        <v>5770</v>
      </c>
      <c r="B2006" s="7" t="s">
        <v>1355</v>
      </c>
      <c r="C2006" s="7" t="n">
        <v>3</v>
      </c>
      <c r="D2006" s="7" t="n">
        <v>21</v>
      </c>
      <c r="E2006" s="7" t="n">
        <v>1</v>
      </c>
      <c r="F2006" s="7" t="s">
        <v>5766</v>
      </c>
      <c r="G2006" s="12" t="str">
        <f aca="false">IFERROR(INDEX('Semrush Data'!$A$1:$Z$20000,MATCH(A2006,'Semrush Data'!$A$1:$A$20000,0),MATCH("Volume",'Semrush Data'!$A$1:$Z$1,0)),"")</f>
        <v/>
      </c>
      <c r="H2006" s="7" t="str">
        <f aca="false">IFERROR(INDEX('Semrush Data'!$A$1:$Z$20000,MATCH(A2006,'Semrush Data'!$A$1:$A$20000,0),MATCH("Keyword Difficulty*",'Semrush Data'!$A$1:$Z$1,0)),"")</f>
        <v/>
      </c>
      <c r="I2006" s="13" t="str">
        <f aca="false">IFERROR(INDEX('Semrush Data'!$A$1:$Z$20000,MATCH(A2006,'Semrush Data'!$A$1:$A$20000,0),MATCH("CPC*",'Semrush Data'!$A$1:$Z$1,0)),"")</f>
        <v/>
      </c>
      <c r="J2006" s="7" t="str">
        <f aca="false">IFERROR(INDEX('Semrush Data'!$A$1:$Z$20000,MATCH(A2006,'Semrush Data'!$A$1:$A$20000,0),MATCH("Intent",'Semrush Data'!$A$1:$Z$1,0)),"")</f>
        <v/>
      </c>
    </row>
    <row r="2007" customFormat="false" ht="15" hidden="false" customHeight="true" outlineLevel="0" collapsed="false">
      <c r="A2007" s="7" t="s">
        <v>5781</v>
      </c>
      <c r="B2007" s="7" t="s">
        <v>1355</v>
      </c>
      <c r="C2007" s="7" t="n">
        <v>3</v>
      </c>
      <c r="D2007" s="7" t="n">
        <v>21</v>
      </c>
      <c r="E2007" s="7" t="n">
        <v>1</v>
      </c>
      <c r="F2007" s="7" t="s">
        <v>5777</v>
      </c>
      <c r="G2007" s="12" t="str">
        <f aca="false">IFERROR(INDEX('Semrush Data'!$A$1:$Z$20000,MATCH(A2007,'Semrush Data'!$A$1:$A$20000,0),MATCH("Volume",'Semrush Data'!$A$1:$Z$1,0)),"")</f>
        <v/>
      </c>
      <c r="H2007" s="7" t="str">
        <f aca="false">IFERROR(INDEX('Semrush Data'!$A$1:$Z$20000,MATCH(A2007,'Semrush Data'!$A$1:$A$20000,0),MATCH("Keyword Difficulty*",'Semrush Data'!$A$1:$Z$1,0)),"")</f>
        <v/>
      </c>
      <c r="I2007" s="13" t="str">
        <f aca="false">IFERROR(INDEX('Semrush Data'!$A$1:$Z$20000,MATCH(A2007,'Semrush Data'!$A$1:$A$20000,0),MATCH("CPC*",'Semrush Data'!$A$1:$Z$1,0)),"")</f>
        <v/>
      </c>
      <c r="J2007" s="7" t="str">
        <f aca="false">IFERROR(INDEX('Semrush Data'!$A$1:$Z$20000,MATCH(A2007,'Semrush Data'!$A$1:$A$20000,0),MATCH("Intent",'Semrush Data'!$A$1:$Z$1,0)),"")</f>
        <v/>
      </c>
    </row>
    <row r="2008" customFormat="false" ht="15" hidden="false" customHeight="true" outlineLevel="0" collapsed="false">
      <c r="A2008" s="7" t="s">
        <v>5792</v>
      </c>
      <c r="B2008" s="7" t="s">
        <v>1355</v>
      </c>
      <c r="C2008" s="7" t="n">
        <v>3</v>
      </c>
      <c r="D2008" s="7" t="n">
        <v>21</v>
      </c>
      <c r="E2008" s="7" t="n">
        <v>1</v>
      </c>
      <c r="F2008" s="7" t="s">
        <v>5788</v>
      </c>
      <c r="G2008" s="12" t="str">
        <f aca="false">IFERROR(INDEX('Semrush Data'!$A$1:$Z$20000,MATCH(A2008,'Semrush Data'!$A$1:$A$20000,0),MATCH("Volume",'Semrush Data'!$A$1:$Z$1,0)),"")</f>
        <v/>
      </c>
      <c r="H2008" s="7" t="str">
        <f aca="false">IFERROR(INDEX('Semrush Data'!$A$1:$Z$20000,MATCH(A2008,'Semrush Data'!$A$1:$A$20000,0),MATCH("Keyword Difficulty*",'Semrush Data'!$A$1:$Z$1,0)),"")</f>
        <v/>
      </c>
      <c r="I2008" s="13" t="str">
        <f aca="false">IFERROR(INDEX('Semrush Data'!$A$1:$Z$20000,MATCH(A2008,'Semrush Data'!$A$1:$A$20000,0),MATCH("CPC*",'Semrush Data'!$A$1:$Z$1,0)),"")</f>
        <v/>
      </c>
      <c r="J2008" s="7" t="str">
        <f aca="false">IFERROR(INDEX('Semrush Data'!$A$1:$Z$20000,MATCH(A2008,'Semrush Data'!$A$1:$A$20000,0),MATCH("Intent",'Semrush Data'!$A$1:$Z$1,0)),"")</f>
        <v/>
      </c>
    </row>
    <row r="2009" customFormat="false" ht="15" hidden="false" customHeight="true" outlineLevel="0" collapsed="false">
      <c r="A2009" s="7" t="s">
        <v>5870</v>
      </c>
      <c r="B2009" s="7" t="s">
        <v>1355</v>
      </c>
      <c r="C2009" s="7" t="n">
        <v>3</v>
      </c>
      <c r="D2009" s="7" t="n">
        <v>21</v>
      </c>
      <c r="E2009" s="7" t="n">
        <v>1</v>
      </c>
      <c r="F2009" s="7" t="s">
        <v>5866</v>
      </c>
      <c r="G2009" s="12" t="str">
        <f aca="false">IFERROR(INDEX('Semrush Data'!$A$1:$Z$20000,MATCH(A2009,'Semrush Data'!$A$1:$A$20000,0),MATCH("Volume",'Semrush Data'!$A$1:$Z$1,0)),"")</f>
        <v/>
      </c>
      <c r="H2009" s="7" t="str">
        <f aca="false">IFERROR(INDEX('Semrush Data'!$A$1:$Z$20000,MATCH(A2009,'Semrush Data'!$A$1:$A$20000,0),MATCH("Keyword Difficulty*",'Semrush Data'!$A$1:$Z$1,0)),"")</f>
        <v/>
      </c>
      <c r="I2009" s="13" t="str">
        <f aca="false">IFERROR(INDEX('Semrush Data'!$A$1:$Z$20000,MATCH(A2009,'Semrush Data'!$A$1:$A$20000,0),MATCH("CPC*",'Semrush Data'!$A$1:$Z$1,0)),"")</f>
        <v/>
      </c>
      <c r="J2009" s="7" t="str">
        <f aca="false">IFERROR(INDEX('Semrush Data'!$A$1:$Z$20000,MATCH(A2009,'Semrush Data'!$A$1:$A$20000,0),MATCH("Intent",'Semrush Data'!$A$1:$Z$1,0)),"")</f>
        <v/>
      </c>
    </row>
    <row r="2010" customFormat="false" ht="15" hidden="false" customHeight="true" outlineLevel="0" collapsed="false">
      <c r="A2010" s="7" t="s">
        <v>5803</v>
      </c>
      <c r="B2010" s="7" t="s">
        <v>1355</v>
      </c>
      <c r="C2010" s="7" t="n">
        <v>3</v>
      </c>
      <c r="D2010" s="7" t="n">
        <v>21</v>
      </c>
      <c r="E2010" s="7" t="n">
        <v>1</v>
      </c>
      <c r="F2010" s="7" t="s">
        <v>5799</v>
      </c>
      <c r="G2010" s="12" t="str">
        <f aca="false">IFERROR(INDEX('Semrush Data'!$A$1:$Z$20000,MATCH(A2010,'Semrush Data'!$A$1:$A$20000,0),MATCH("Volume",'Semrush Data'!$A$1:$Z$1,0)),"")</f>
        <v/>
      </c>
      <c r="H2010" s="7" t="str">
        <f aca="false">IFERROR(INDEX('Semrush Data'!$A$1:$Z$20000,MATCH(A2010,'Semrush Data'!$A$1:$A$20000,0),MATCH("Keyword Difficulty*",'Semrush Data'!$A$1:$Z$1,0)),"")</f>
        <v/>
      </c>
      <c r="I2010" s="13" t="str">
        <f aca="false">IFERROR(INDEX('Semrush Data'!$A$1:$Z$20000,MATCH(A2010,'Semrush Data'!$A$1:$A$20000,0),MATCH("CPC*",'Semrush Data'!$A$1:$Z$1,0)),"")</f>
        <v/>
      </c>
      <c r="J2010" s="7" t="str">
        <f aca="false">IFERROR(INDEX('Semrush Data'!$A$1:$Z$20000,MATCH(A2010,'Semrush Data'!$A$1:$A$20000,0),MATCH("Intent",'Semrush Data'!$A$1:$Z$1,0)),"")</f>
        <v/>
      </c>
    </row>
    <row r="2011" customFormat="false" ht="15" hidden="false" customHeight="true" outlineLevel="0" collapsed="false">
      <c r="A2011" s="7" t="s">
        <v>5814</v>
      </c>
      <c r="B2011" s="7" t="s">
        <v>1355</v>
      </c>
      <c r="C2011" s="7" t="n">
        <v>3</v>
      </c>
      <c r="D2011" s="7" t="n">
        <v>21</v>
      </c>
      <c r="E2011" s="7" t="n">
        <v>1</v>
      </c>
      <c r="F2011" s="7" t="s">
        <v>5810</v>
      </c>
      <c r="G2011" s="12" t="str">
        <f aca="false">IFERROR(INDEX('Semrush Data'!$A$1:$Z$20000,MATCH(A2011,'Semrush Data'!$A$1:$A$20000,0),MATCH("Volume",'Semrush Data'!$A$1:$Z$1,0)),"")</f>
        <v/>
      </c>
      <c r="H2011" s="7" t="str">
        <f aca="false">IFERROR(INDEX('Semrush Data'!$A$1:$Z$20000,MATCH(A2011,'Semrush Data'!$A$1:$A$20000,0),MATCH("Keyword Difficulty*",'Semrush Data'!$A$1:$Z$1,0)),"")</f>
        <v/>
      </c>
      <c r="I2011" s="13" t="str">
        <f aca="false">IFERROR(INDEX('Semrush Data'!$A$1:$Z$20000,MATCH(A2011,'Semrush Data'!$A$1:$A$20000,0),MATCH("CPC*",'Semrush Data'!$A$1:$Z$1,0)),"")</f>
        <v/>
      </c>
      <c r="J2011" s="7" t="str">
        <f aca="false">IFERROR(INDEX('Semrush Data'!$A$1:$Z$20000,MATCH(A2011,'Semrush Data'!$A$1:$A$20000,0),MATCH("Intent",'Semrush Data'!$A$1:$Z$1,0)),"")</f>
        <v/>
      </c>
    </row>
    <row r="2012" customFormat="false" ht="15" hidden="false" customHeight="true" outlineLevel="0" collapsed="false">
      <c r="A2012" s="7" t="s">
        <v>5956</v>
      </c>
      <c r="B2012" s="7" t="s">
        <v>1355</v>
      </c>
      <c r="C2012" s="7" t="n">
        <v>3</v>
      </c>
      <c r="D2012" s="7" t="n">
        <v>21</v>
      </c>
      <c r="E2012" s="7" t="n">
        <v>1</v>
      </c>
      <c r="F2012" s="7" t="s">
        <v>5951</v>
      </c>
      <c r="G2012" s="12" t="str">
        <f aca="false">IFERROR(INDEX('Semrush Data'!$A$1:$Z$20000,MATCH(A2012,'Semrush Data'!$A$1:$A$20000,0),MATCH("Volume",'Semrush Data'!$A$1:$Z$1,0)),"")</f>
        <v/>
      </c>
      <c r="H2012" s="7" t="str">
        <f aca="false">IFERROR(INDEX('Semrush Data'!$A$1:$Z$20000,MATCH(A2012,'Semrush Data'!$A$1:$A$20000,0),MATCH("Keyword Difficulty*",'Semrush Data'!$A$1:$Z$1,0)),"")</f>
        <v/>
      </c>
      <c r="I2012" s="13" t="str">
        <f aca="false">IFERROR(INDEX('Semrush Data'!$A$1:$Z$20000,MATCH(A2012,'Semrush Data'!$A$1:$A$20000,0),MATCH("CPC*",'Semrush Data'!$A$1:$Z$1,0)),"")</f>
        <v/>
      </c>
      <c r="J2012" s="7" t="str">
        <f aca="false">IFERROR(INDEX('Semrush Data'!$A$1:$Z$20000,MATCH(A2012,'Semrush Data'!$A$1:$A$20000,0),MATCH("Intent",'Semrush Data'!$A$1:$Z$1,0)),"")</f>
        <v/>
      </c>
    </row>
    <row r="2013" customFormat="false" ht="15" hidden="false" customHeight="true" outlineLevel="0" collapsed="false">
      <c r="A2013" s="7" t="s">
        <v>5968</v>
      </c>
      <c r="B2013" s="7" t="s">
        <v>1355</v>
      </c>
      <c r="C2013" s="7" t="n">
        <v>3</v>
      </c>
      <c r="D2013" s="7" t="n">
        <v>21</v>
      </c>
      <c r="E2013" s="7" t="n">
        <v>1</v>
      </c>
      <c r="F2013" s="7" t="s">
        <v>5964</v>
      </c>
      <c r="G2013" s="12" t="str">
        <f aca="false">IFERROR(INDEX('Semrush Data'!$A$1:$Z$20000,MATCH(A2013,'Semrush Data'!$A$1:$A$20000,0),MATCH("Volume",'Semrush Data'!$A$1:$Z$1,0)),"")</f>
        <v/>
      </c>
      <c r="H2013" s="7" t="str">
        <f aca="false">IFERROR(INDEX('Semrush Data'!$A$1:$Z$20000,MATCH(A2013,'Semrush Data'!$A$1:$A$20000,0),MATCH("Keyword Difficulty*",'Semrush Data'!$A$1:$Z$1,0)),"")</f>
        <v/>
      </c>
      <c r="I2013" s="13" t="str">
        <f aca="false">IFERROR(INDEX('Semrush Data'!$A$1:$Z$20000,MATCH(A2013,'Semrush Data'!$A$1:$A$20000,0),MATCH("CPC*",'Semrush Data'!$A$1:$Z$1,0)),"")</f>
        <v/>
      </c>
      <c r="J2013" s="7" t="str">
        <f aca="false">IFERROR(INDEX('Semrush Data'!$A$1:$Z$20000,MATCH(A2013,'Semrush Data'!$A$1:$A$20000,0),MATCH("Intent",'Semrush Data'!$A$1:$Z$1,0)),"")</f>
        <v/>
      </c>
    </row>
    <row r="2014" customFormat="false" ht="15" hidden="false" customHeight="true" outlineLevel="0" collapsed="false">
      <c r="A2014" s="7" t="s">
        <v>5979</v>
      </c>
      <c r="B2014" s="7" t="s">
        <v>1355</v>
      </c>
      <c r="C2014" s="7" t="n">
        <v>3</v>
      </c>
      <c r="D2014" s="7" t="n">
        <v>21</v>
      </c>
      <c r="E2014" s="7" t="n">
        <v>1</v>
      </c>
      <c r="F2014" s="7" t="s">
        <v>5975</v>
      </c>
      <c r="G2014" s="12" t="str">
        <f aca="false">IFERROR(INDEX('Semrush Data'!$A$1:$Z$20000,MATCH(A2014,'Semrush Data'!$A$1:$A$20000,0),MATCH("Volume",'Semrush Data'!$A$1:$Z$1,0)),"")</f>
        <v/>
      </c>
      <c r="H2014" s="7" t="str">
        <f aca="false">IFERROR(INDEX('Semrush Data'!$A$1:$Z$20000,MATCH(A2014,'Semrush Data'!$A$1:$A$20000,0),MATCH("Keyword Difficulty*",'Semrush Data'!$A$1:$Z$1,0)),"")</f>
        <v/>
      </c>
      <c r="I2014" s="13" t="str">
        <f aca="false">IFERROR(INDEX('Semrush Data'!$A$1:$Z$20000,MATCH(A2014,'Semrush Data'!$A$1:$A$20000,0),MATCH("CPC*",'Semrush Data'!$A$1:$Z$1,0)),"")</f>
        <v/>
      </c>
      <c r="J2014" s="7" t="str">
        <f aca="false">IFERROR(INDEX('Semrush Data'!$A$1:$Z$20000,MATCH(A2014,'Semrush Data'!$A$1:$A$20000,0),MATCH("Intent",'Semrush Data'!$A$1:$Z$1,0)),"")</f>
        <v/>
      </c>
    </row>
    <row r="2015" customFormat="false" ht="15" hidden="false" customHeight="true" outlineLevel="0" collapsed="false">
      <c r="A2015" s="7" t="s">
        <v>5990</v>
      </c>
      <c r="B2015" s="7" t="s">
        <v>1355</v>
      </c>
      <c r="C2015" s="7" t="n">
        <v>3</v>
      </c>
      <c r="D2015" s="7" t="n">
        <v>21</v>
      </c>
      <c r="E2015" s="7" t="n">
        <v>1</v>
      </c>
      <c r="F2015" s="7" t="s">
        <v>5985</v>
      </c>
      <c r="G2015" s="12" t="str">
        <f aca="false">IFERROR(INDEX('Semrush Data'!$A$1:$Z$20000,MATCH(A2015,'Semrush Data'!$A$1:$A$20000,0),MATCH("Volume",'Semrush Data'!$A$1:$Z$1,0)),"")</f>
        <v/>
      </c>
      <c r="H2015" s="7" t="str">
        <f aca="false">IFERROR(INDEX('Semrush Data'!$A$1:$Z$20000,MATCH(A2015,'Semrush Data'!$A$1:$A$20000,0),MATCH("Keyword Difficulty*",'Semrush Data'!$A$1:$Z$1,0)),"")</f>
        <v/>
      </c>
      <c r="I2015" s="13" t="str">
        <f aca="false">IFERROR(INDEX('Semrush Data'!$A$1:$Z$20000,MATCH(A2015,'Semrush Data'!$A$1:$A$20000,0),MATCH("CPC*",'Semrush Data'!$A$1:$Z$1,0)),"")</f>
        <v/>
      </c>
      <c r="J2015" s="7" t="str">
        <f aca="false">IFERROR(INDEX('Semrush Data'!$A$1:$Z$20000,MATCH(A2015,'Semrush Data'!$A$1:$A$20000,0),MATCH("Intent",'Semrush Data'!$A$1:$Z$1,0)),"")</f>
        <v/>
      </c>
    </row>
    <row r="2016" customFormat="false" ht="15" hidden="false" customHeight="true" outlineLevel="0" collapsed="false">
      <c r="A2016" s="7" t="s">
        <v>6002</v>
      </c>
      <c r="B2016" s="7" t="s">
        <v>1355</v>
      </c>
      <c r="C2016" s="7" t="n">
        <v>3</v>
      </c>
      <c r="D2016" s="7" t="n">
        <v>21</v>
      </c>
      <c r="E2016" s="7" t="n">
        <v>1</v>
      </c>
      <c r="F2016" s="7" t="s">
        <v>5998</v>
      </c>
      <c r="G2016" s="12" t="str">
        <f aca="false">IFERROR(INDEX('Semrush Data'!$A$1:$Z$20000,MATCH(A2016,'Semrush Data'!$A$1:$A$20000,0),MATCH("Volume",'Semrush Data'!$A$1:$Z$1,0)),"")</f>
        <v/>
      </c>
      <c r="H2016" s="7" t="str">
        <f aca="false">IFERROR(INDEX('Semrush Data'!$A$1:$Z$20000,MATCH(A2016,'Semrush Data'!$A$1:$A$20000,0),MATCH("Keyword Difficulty*",'Semrush Data'!$A$1:$Z$1,0)),"")</f>
        <v/>
      </c>
      <c r="I2016" s="13" t="str">
        <f aca="false">IFERROR(INDEX('Semrush Data'!$A$1:$Z$20000,MATCH(A2016,'Semrush Data'!$A$1:$A$20000,0),MATCH("CPC*",'Semrush Data'!$A$1:$Z$1,0)),"")</f>
        <v/>
      </c>
      <c r="J2016" s="7" t="str">
        <f aca="false">IFERROR(INDEX('Semrush Data'!$A$1:$Z$20000,MATCH(A2016,'Semrush Data'!$A$1:$A$20000,0),MATCH("Intent",'Semrush Data'!$A$1:$Z$1,0)),"")</f>
        <v/>
      </c>
    </row>
    <row r="2017" customFormat="false" ht="15" hidden="false" customHeight="true" outlineLevel="0" collapsed="false">
      <c r="A2017" s="7" t="s">
        <v>6013</v>
      </c>
      <c r="B2017" s="7" t="s">
        <v>1355</v>
      </c>
      <c r="C2017" s="7" t="n">
        <v>3</v>
      </c>
      <c r="D2017" s="7" t="n">
        <v>21</v>
      </c>
      <c r="E2017" s="7" t="n">
        <v>1</v>
      </c>
      <c r="F2017" s="7" t="s">
        <v>6009</v>
      </c>
      <c r="G2017" s="12" t="str">
        <f aca="false">IFERROR(INDEX('Semrush Data'!$A$1:$Z$20000,MATCH(A2017,'Semrush Data'!$A$1:$A$20000,0),MATCH("Volume",'Semrush Data'!$A$1:$Z$1,0)),"")</f>
        <v/>
      </c>
      <c r="H2017" s="7" t="str">
        <f aca="false">IFERROR(INDEX('Semrush Data'!$A$1:$Z$20000,MATCH(A2017,'Semrush Data'!$A$1:$A$20000,0),MATCH("Keyword Difficulty*",'Semrush Data'!$A$1:$Z$1,0)),"")</f>
        <v/>
      </c>
      <c r="I2017" s="13" t="str">
        <f aca="false">IFERROR(INDEX('Semrush Data'!$A$1:$Z$20000,MATCH(A2017,'Semrush Data'!$A$1:$A$20000,0),MATCH("CPC*",'Semrush Data'!$A$1:$Z$1,0)),"")</f>
        <v/>
      </c>
      <c r="J2017" s="7" t="str">
        <f aca="false">IFERROR(INDEX('Semrush Data'!$A$1:$Z$20000,MATCH(A2017,'Semrush Data'!$A$1:$A$20000,0),MATCH("Intent",'Semrush Data'!$A$1:$Z$1,0)),"")</f>
        <v/>
      </c>
    </row>
    <row r="2018" customFormat="false" ht="15" hidden="false" customHeight="true" outlineLevel="0" collapsed="false">
      <c r="A2018" s="7" t="s">
        <v>6024</v>
      </c>
      <c r="B2018" s="7" t="s">
        <v>1355</v>
      </c>
      <c r="C2018" s="7" t="n">
        <v>3</v>
      </c>
      <c r="D2018" s="7" t="n">
        <v>21</v>
      </c>
      <c r="E2018" s="7" t="n">
        <v>1</v>
      </c>
      <c r="F2018" s="7" t="s">
        <v>6020</v>
      </c>
      <c r="G2018" s="12" t="str">
        <f aca="false">IFERROR(INDEX('Semrush Data'!$A$1:$Z$20000,MATCH(A2018,'Semrush Data'!$A$1:$A$20000,0),MATCH("Volume",'Semrush Data'!$A$1:$Z$1,0)),"")</f>
        <v/>
      </c>
      <c r="H2018" s="7" t="str">
        <f aca="false">IFERROR(INDEX('Semrush Data'!$A$1:$Z$20000,MATCH(A2018,'Semrush Data'!$A$1:$A$20000,0),MATCH("Keyword Difficulty*",'Semrush Data'!$A$1:$Z$1,0)),"")</f>
        <v/>
      </c>
      <c r="I2018" s="13" t="str">
        <f aca="false">IFERROR(INDEX('Semrush Data'!$A$1:$Z$20000,MATCH(A2018,'Semrush Data'!$A$1:$A$20000,0),MATCH("CPC*",'Semrush Data'!$A$1:$Z$1,0)),"")</f>
        <v/>
      </c>
      <c r="J2018" s="7" t="str">
        <f aca="false">IFERROR(INDEX('Semrush Data'!$A$1:$Z$20000,MATCH(A2018,'Semrush Data'!$A$1:$A$20000,0),MATCH("Intent",'Semrush Data'!$A$1:$Z$1,0)),"")</f>
        <v/>
      </c>
    </row>
    <row r="2019" customFormat="false" ht="15" hidden="false" customHeight="true" outlineLevel="0" collapsed="false">
      <c r="A2019" s="7" t="s">
        <v>6035</v>
      </c>
      <c r="B2019" s="7" t="s">
        <v>1355</v>
      </c>
      <c r="C2019" s="7" t="n">
        <v>3</v>
      </c>
      <c r="D2019" s="7" t="n">
        <v>21</v>
      </c>
      <c r="E2019" s="7" t="n">
        <v>1</v>
      </c>
      <c r="F2019" s="7" t="s">
        <v>6031</v>
      </c>
      <c r="G2019" s="12" t="str">
        <f aca="false">IFERROR(INDEX('Semrush Data'!$A$1:$Z$20000,MATCH(A2019,'Semrush Data'!$A$1:$A$20000,0),MATCH("Volume",'Semrush Data'!$A$1:$Z$1,0)),"")</f>
        <v/>
      </c>
      <c r="H2019" s="7" t="str">
        <f aca="false">IFERROR(INDEX('Semrush Data'!$A$1:$Z$20000,MATCH(A2019,'Semrush Data'!$A$1:$A$20000,0),MATCH("Keyword Difficulty*",'Semrush Data'!$A$1:$Z$1,0)),"")</f>
        <v/>
      </c>
      <c r="I2019" s="13" t="str">
        <f aca="false">IFERROR(INDEX('Semrush Data'!$A$1:$Z$20000,MATCH(A2019,'Semrush Data'!$A$1:$A$20000,0),MATCH("CPC*",'Semrush Data'!$A$1:$Z$1,0)),"")</f>
        <v/>
      </c>
      <c r="J2019" s="7" t="str">
        <f aca="false">IFERROR(INDEX('Semrush Data'!$A$1:$Z$20000,MATCH(A2019,'Semrush Data'!$A$1:$A$20000,0),MATCH("Intent",'Semrush Data'!$A$1:$Z$1,0)),"")</f>
        <v/>
      </c>
    </row>
    <row r="2020" customFormat="false" ht="15" hidden="false" customHeight="true" outlineLevel="0" collapsed="false">
      <c r="A2020" s="7" t="s">
        <v>6046</v>
      </c>
      <c r="B2020" s="7" t="s">
        <v>1355</v>
      </c>
      <c r="C2020" s="7" t="n">
        <v>3</v>
      </c>
      <c r="D2020" s="7" t="n">
        <v>21</v>
      </c>
      <c r="E2020" s="7" t="n">
        <v>1</v>
      </c>
      <c r="F2020" s="7" t="s">
        <v>6042</v>
      </c>
      <c r="G2020" s="12" t="str">
        <f aca="false">IFERROR(INDEX('Semrush Data'!$A$1:$Z$20000,MATCH(A2020,'Semrush Data'!$A$1:$A$20000,0),MATCH("Volume",'Semrush Data'!$A$1:$Z$1,0)),"")</f>
        <v/>
      </c>
      <c r="H2020" s="7" t="str">
        <f aca="false">IFERROR(INDEX('Semrush Data'!$A$1:$Z$20000,MATCH(A2020,'Semrush Data'!$A$1:$A$20000,0),MATCH("Keyword Difficulty*",'Semrush Data'!$A$1:$Z$1,0)),"")</f>
        <v/>
      </c>
      <c r="I2020" s="13" t="str">
        <f aca="false">IFERROR(INDEX('Semrush Data'!$A$1:$Z$20000,MATCH(A2020,'Semrush Data'!$A$1:$A$20000,0),MATCH("CPC*",'Semrush Data'!$A$1:$Z$1,0)),"")</f>
        <v/>
      </c>
      <c r="J2020" s="7" t="str">
        <f aca="false">IFERROR(INDEX('Semrush Data'!$A$1:$Z$20000,MATCH(A2020,'Semrush Data'!$A$1:$A$20000,0),MATCH("Intent",'Semrush Data'!$A$1:$Z$1,0)),"")</f>
        <v/>
      </c>
    </row>
    <row r="2021" customFormat="false" ht="15" hidden="false" customHeight="true" outlineLevel="0" collapsed="false">
      <c r="A2021" s="7" t="s">
        <v>6057</v>
      </c>
      <c r="B2021" s="7" t="s">
        <v>1355</v>
      </c>
      <c r="C2021" s="7" t="n">
        <v>3</v>
      </c>
      <c r="D2021" s="7" t="n">
        <v>21</v>
      </c>
      <c r="E2021" s="7" t="n">
        <v>1</v>
      </c>
      <c r="F2021" s="7" t="s">
        <v>6053</v>
      </c>
      <c r="G2021" s="12" t="str">
        <f aca="false">IFERROR(INDEX('Semrush Data'!$A$1:$Z$20000,MATCH(A2021,'Semrush Data'!$A$1:$A$20000,0),MATCH("Volume",'Semrush Data'!$A$1:$Z$1,0)),"")</f>
        <v/>
      </c>
      <c r="H2021" s="7" t="str">
        <f aca="false">IFERROR(INDEX('Semrush Data'!$A$1:$Z$20000,MATCH(A2021,'Semrush Data'!$A$1:$A$20000,0),MATCH("Keyword Difficulty*",'Semrush Data'!$A$1:$Z$1,0)),"")</f>
        <v/>
      </c>
      <c r="I2021" s="13" t="str">
        <f aca="false">IFERROR(INDEX('Semrush Data'!$A$1:$Z$20000,MATCH(A2021,'Semrush Data'!$A$1:$A$20000,0),MATCH("CPC*",'Semrush Data'!$A$1:$Z$1,0)),"")</f>
        <v/>
      </c>
      <c r="J2021" s="7" t="str">
        <f aca="false">IFERROR(INDEX('Semrush Data'!$A$1:$Z$20000,MATCH(A2021,'Semrush Data'!$A$1:$A$20000,0),MATCH("Intent",'Semrush Data'!$A$1:$Z$1,0)),"")</f>
        <v/>
      </c>
    </row>
    <row r="2022" customFormat="false" ht="15" hidden="false" customHeight="true" outlineLevel="0" collapsed="false">
      <c r="A2022" s="7" t="s">
        <v>6068</v>
      </c>
      <c r="B2022" s="7" t="s">
        <v>1355</v>
      </c>
      <c r="C2022" s="7" t="n">
        <v>3</v>
      </c>
      <c r="D2022" s="7" t="n">
        <v>21</v>
      </c>
      <c r="E2022" s="7" t="n">
        <v>1</v>
      </c>
      <c r="F2022" s="7" t="s">
        <v>6064</v>
      </c>
      <c r="G2022" s="12" t="str">
        <f aca="false">IFERROR(INDEX('Semrush Data'!$A$1:$Z$20000,MATCH(A2022,'Semrush Data'!$A$1:$A$20000,0),MATCH("Volume",'Semrush Data'!$A$1:$Z$1,0)),"")</f>
        <v/>
      </c>
      <c r="H2022" s="7" t="str">
        <f aca="false">IFERROR(INDEX('Semrush Data'!$A$1:$Z$20000,MATCH(A2022,'Semrush Data'!$A$1:$A$20000,0),MATCH("Keyword Difficulty*",'Semrush Data'!$A$1:$Z$1,0)),"")</f>
        <v/>
      </c>
      <c r="I2022" s="13" t="str">
        <f aca="false">IFERROR(INDEX('Semrush Data'!$A$1:$Z$20000,MATCH(A2022,'Semrush Data'!$A$1:$A$20000,0),MATCH("CPC*",'Semrush Data'!$A$1:$Z$1,0)),"")</f>
        <v/>
      </c>
      <c r="J2022" s="7" t="str">
        <f aca="false">IFERROR(INDEX('Semrush Data'!$A$1:$Z$20000,MATCH(A2022,'Semrush Data'!$A$1:$A$20000,0),MATCH("Intent",'Semrush Data'!$A$1:$Z$1,0)),"")</f>
        <v/>
      </c>
    </row>
    <row r="2023" customFormat="false" ht="15" hidden="false" customHeight="true" outlineLevel="0" collapsed="false">
      <c r="A2023" s="7" t="s">
        <v>6080</v>
      </c>
      <c r="B2023" s="7" t="s">
        <v>1355</v>
      </c>
      <c r="C2023" s="7" t="n">
        <v>3</v>
      </c>
      <c r="D2023" s="7" t="n">
        <v>21</v>
      </c>
      <c r="E2023" s="7" t="n">
        <v>1</v>
      </c>
      <c r="F2023" s="7" t="s">
        <v>6075</v>
      </c>
      <c r="G2023" s="12" t="str">
        <f aca="false">IFERROR(INDEX('Semrush Data'!$A$1:$Z$20000,MATCH(A2023,'Semrush Data'!$A$1:$A$20000,0),MATCH("Volume",'Semrush Data'!$A$1:$Z$1,0)),"")</f>
        <v/>
      </c>
      <c r="H2023" s="7" t="str">
        <f aca="false">IFERROR(INDEX('Semrush Data'!$A$1:$Z$20000,MATCH(A2023,'Semrush Data'!$A$1:$A$20000,0),MATCH("Keyword Difficulty*",'Semrush Data'!$A$1:$Z$1,0)),"")</f>
        <v/>
      </c>
      <c r="I2023" s="13" t="str">
        <f aca="false">IFERROR(INDEX('Semrush Data'!$A$1:$Z$20000,MATCH(A2023,'Semrush Data'!$A$1:$A$20000,0),MATCH("CPC*",'Semrush Data'!$A$1:$Z$1,0)),"")</f>
        <v/>
      </c>
      <c r="J2023" s="7" t="str">
        <f aca="false">IFERROR(INDEX('Semrush Data'!$A$1:$Z$20000,MATCH(A2023,'Semrush Data'!$A$1:$A$20000,0),MATCH("Intent",'Semrush Data'!$A$1:$Z$1,0)),"")</f>
        <v/>
      </c>
    </row>
    <row r="2024" customFormat="false" ht="15" hidden="false" customHeight="true" outlineLevel="0" collapsed="false">
      <c r="A2024" s="7" t="s">
        <v>6092</v>
      </c>
      <c r="B2024" s="7" t="s">
        <v>1355</v>
      </c>
      <c r="C2024" s="7" t="n">
        <v>3</v>
      </c>
      <c r="D2024" s="7" t="n">
        <v>21</v>
      </c>
      <c r="E2024" s="7" t="n">
        <v>1</v>
      </c>
      <c r="F2024" s="7" t="s">
        <v>6088</v>
      </c>
      <c r="G2024" s="12" t="str">
        <f aca="false">IFERROR(INDEX('Semrush Data'!$A$1:$Z$20000,MATCH(A2024,'Semrush Data'!$A$1:$A$20000,0),MATCH("Volume",'Semrush Data'!$A$1:$Z$1,0)),"")</f>
        <v/>
      </c>
      <c r="H2024" s="7" t="str">
        <f aca="false">IFERROR(INDEX('Semrush Data'!$A$1:$Z$20000,MATCH(A2024,'Semrush Data'!$A$1:$A$20000,0),MATCH("Keyword Difficulty*",'Semrush Data'!$A$1:$Z$1,0)),"")</f>
        <v/>
      </c>
      <c r="I2024" s="13" t="str">
        <f aca="false">IFERROR(INDEX('Semrush Data'!$A$1:$Z$20000,MATCH(A2024,'Semrush Data'!$A$1:$A$20000,0),MATCH("CPC*",'Semrush Data'!$A$1:$Z$1,0)),"")</f>
        <v/>
      </c>
      <c r="J2024" s="7" t="str">
        <f aca="false">IFERROR(INDEX('Semrush Data'!$A$1:$Z$20000,MATCH(A2024,'Semrush Data'!$A$1:$A$20000,0),MATCH("Intent",'Semrush Data'!$A$1:$Z$1,0)),"")</f>
        <v/>
      </c>
    </row>
    <row r="2025" customFormat="false" ht="15" hidden="false" customHeight="true" outlineLevel="0" collapsed="false">
      <c r="A2025" s="7" t="s">
        <v>6103</v>
      </c>
      <c r="B2025" s="7" t="s">
        <v>1355</v>
      </c>
      <c r="C2025" s="7" t="n">
        <v>3</v>
      </c>
      <c r="D2025" s="7" t="n">
        <v>21</v>
      </c>
      <c r="E2025" s="7" t="n">
        <v>1</v>
      </c>
      <c r="F2025" s="7" t="s">
        <v>6099</v>
      </c>
      <c r="G2025" s="12" t="str">
        <f aca="false">IFERROR(INDEX('Semrush Data'!$A$1:$Z$20000,MATCH(A2025,'Semrush Data'!$A$1:$A$20000,0),MATCH("Volume",'Semrush Data'!$A$1:$Z$1,0)),"")</f>
        <v/>
      </c>
      <c r="H2025" s="7" t="str">
        <f aca="false">IFERROR(INDEX('Semrush Data'!$A$1:$Z$20000,MATCH(A2025,'Semrush Data'!$A$1:$A$20000,0),MATCH("Keyword Difficulty*",'Semrush Data'!$A$1:$Z$1,0)),"")</f>
        <v/>
      </c>
      <c r="I2025" s="13" t="str">
        <f aca="false">IFERROR(INDEX('Semrush Data'!$A$1:$Z$20000,MATCH(A2025,'Semrush Data'!$A$1:$A$20000,0),MATCH("CPC*",'Semrush Data'!$A$1:$Z$1,0)),"")</f>
        <v/>
      </c>
      <c r="J2025" s="7" t="str">
        <f aca="false">IFERROR(INDEX('Semrush Data'!$A$1:$Z$20000,MATCH(A2025,'Semrush Data'!$A$1:$A$20000,0),MATCH("Intent",'Semrush Data'!$A$1:$Z$1,0)),"")</f>
        <v/>
      </c>
    </row>
    <row r="2026" customFormat="false" ht="15" hidden="false" customHeight="true" outlineLevel="0" collapsed="false">
      <c r="A2026" s="7" t="s">
        <v>6113</v>
      </c>
      <c r="B2026" s="7" t="s">
        <v>1355</v>
      </c>
      <c r="C2026" s="7" t="n">
        <v>3</v>
      </c>
      <c r="D2026" s="7" t="n">
        <v>21</v>
      </c>
      <c r="E2026" s="7" t="n">
        <v>2</v>
      </c>
      <c r="F2026" s="7" t="s">
        <v>6809</v>
      </c>
      <c r="G2026" s="12" t="str">
        <f aca="false">IFERROR(INDEX('Semrush Data'!$A$1:$Z$20000,MATCH(A2026,'Semrush Data'!$A$1:$A$20000,0),MATCH("Volume",'Semrush Data'!$A$1:$Z$1,0)),"")</f>
        <v/>
      </c>
      <c r="H2026" s="7" t="str">
        <f aca="false">IFERROR(INDEX('Semrush Data'!$A$1:$Z$20000,MATCH(A2026,'Semrush Data'!$A$1:$A$20000,0),MATCH("Keyword Difficulty*",'Semrush Data'!$A$1:$Z$1,0)),"")</f>
        <v/>
      </c>
      <c r="I2026" s="13" t="str">
        <f aca="false">IFERROR(INDEX('Semrush Data'!$A$1:$Z$20000,MATCH(A2026,'Semrush Data'!$A$1:$A$20000,0),MATCH("CPC*",'Semrush Data'!$A$1:$Z$1,0)),"")</f>
        <v/>
      </c>
      <c r="J2026" s="7" t="str">
        <f aca="false">IFERROR(INDEX('Semrush Data'!$A$1:$Z$20000,MATCH(A2026,'Semrush Data'!$A$1:$A$20000,0),MATCH("Intent",'Semrush Data'!$A$1:$Z$1,0)),"")</f>
        <v/>
      </c>
    </row>
    <row r="2027" customFormat="false" ht="15" hidden="false" customHeight="true" outlineLevel="0" collapsed="false">
      <c r="A2027" s="7" t="s">
        <v>6128</v>
      </c>
      <c r="B2027" s="7" t="s">
        <v>1355</v>
      </c>
      <c r="C2027" s="7" t="n">
        <v>3</v>
      </c>
      <c r="D2027" s="7" t="n">
        <v>21</v>
      </c>
      <c r="E2027" s="7" t="n">
        <v>1</v>
      </c>
      <c r="F2027" s="7" t="s">
        <v>6124</v>
      </c>
      <c r="G2027" s="12" t="str">
        <f aca="false">IFERROR(INDEX('Semrush Data'!$A$1:$Z$20000,MATCH(A2027,'Semrush Data'!$A$1:$A$20000,0),MATCH("Volume",'Semrush Data'!$A$1:$Z$1,0)),"")</f>
        <v/>
      </c>
      <c r="H2027" s="7" t="str">
        <f aca="false">IFERROR(INDEX('Semrush Data'!$A$1:$Z$20000,MATCH(A2027,'Semrush Data'!$A$1:$A$20000,0),MATCH("Keyword Difficulty*",'Semrush Data'!$A$1:$Z$1,0)),"")</f>
        <v/>
      </c>
      <c r="I2027" s="13" t="str">
        <f aca="false">IFERROR(INDEX('Semrush Data'!$A$1:$Z$20000,MATCH(A2027,'Semrush Data'!$A$1:$A$20000,0),MATCH("CPC*",'Semrush Data'!$A$1:$Z$1,0)),"")</f>
        <v/>
      </c>
      <c r="J2027" s="7" t="str">
        <f aca="false">IFERROR(INDEX('Semrush Data'!$A$1:$Z$20000,MATCH(A2027,'Semrush Data'!$A$1:$A$20000,0),MATCH("Intent",'Semrush Data'!$A$1:$Z$1,0)),"")</f>
        <v/>
      </c>
    </row>
    <row r="2028" customFormat="false" ht="15" hidden="false" customHeight="true" outlineLevel="0" collapsed="false">
      <c r="A2028" s="7" t="s">
        <v>6138</v>
      </c>
      <c r="B2028" s="7" t="s">
        <v>1355</v>
      </c>
      <c r="C2028" s="7" t="n">
        <v>3</v>
      </c>
      <c r="D2028" s="7" t="n">
        <v>21</v>
      </c>
      <c r="E2028" s="7" t="n">
        <v>1</v>
      </c>
      <c r="F2028" s="7" t="s">
        <v>6134</v>
      </c>
      <c r="G2028" s="12" t="str">
        <f aca="false">IFERROR(INDEX('Semrush Data'!$A$1:$Z$20000,MATCH(A2028,'Semrush Data'!$A$1:$A$20000,0),MATCH("Volume",'Semrush Data'!$A$1:$Z$1,0)),"")</f>
        <v/>
      </c>
      <c r="H2028" s="7" t="str">
        <f aca="false">IFERROR(INDEX('Semrush Data'!$A$1:$Z$20000,MATCH(A2028,'Semrush Data'!$A$1:$A$20000,0),MATCH("Keyword Difficulty*",'Semrush Data'!$A$1:$Z$1,0)),"")</f>
        <v/>
      </c>
      <c r="I2028" s="13" t="str">
        <f aca="false">IFERROR(INDEX('Semrush Data'!$A$1:$Z$20000,MATCH(A2028,'Semrush Data'!$A$1:$A$20000,0),MATCH("CPC*",'Semrush Data'!$A$1:$Z$1,0)),"")</f>
        <v/>
      </c>
      <c r="J2028" s="7" t="str">
        <f aca="false">IFERROR(INDEX('Semrush Data'!$A$1:$Z$20000,MATCH(A2028,'Semrush Data'!$A$1:$A$20000,0),MATCH("Intent",'Semrush Data'!$A$1:$Z$1,0)),"")</f>
        <v/>
      </c>
    </row>
    <row r="2029" customFormat="false" ht="15" hidden="false" customHeight="true" outlineLevel="0" collapsed="false">
      <c r="A2029" s="7" t="s">
        <v>6149</v>
      </c>
      <c r="B2029" s="7" t="s">
        <v>1355</v>
      </c>
      <c r="C2029" s="7" t="n">
        <v>3</v>
      </c>
      <c r="D2029" s="7" t="n">
        <v>21</v>
      </c>
      <c r="E2029" s="7" t="n">
        <v>1</v>
      </c>
      <c r="F2029" s="7" t="s">
        <v>6145</v>
      </c>
      <c r="G2029" s="12" t="str">
        <f aca="false">IFERROR(INDEX('Semrush Data'!$A$1:$Z$20000,MATCH(A2029,'Semrush Data'!$A$1:$A$20000,0),MATCH("Volume",'Semrush Data'!$A$1:$Z$1,0)),"")</f>
        <v/>
      </c>
      <c r="H2029" s="7" t="str">
        <f aca="false">IFERROR(INDEX('Semrush Data'!$A$1:$Z$20000,MATCH(A2029,'Semrush Data'!$A$1:$A$20000,0),MATCH("Keyword Difficulty*",'Semrush Data'!$A$1:$Z$1,0)),"")</f>
        <v/>
      </c>
      <c r="I2029" s="13" t="str">
        <f aca="false">IFERROR(INDEX('Semrush Data'!$A$1:$Z$20000,MATCH(A2029,'Semrush Data'!$A$1:$A$20000,0),MATCH("CPC*",'Semrush Data'!$A$1:$Z$1,0)),"")</f>
        <v/>
      </c>
      <c r="J2029" s="7" t="str">
        <f aca="false">IFERROR(INDEX('Semrush Data'!$A$1:$Z$20000,MATCH(A2029,'Semrush Data'!$A$1:$A$20000,0),MATCH("Intent",'Semrush Data'!$A$1:$Z$1,0)),"")</f>
        <v/>
      </c>
    </row>
    <row r="2030" customFormat="false" ht="15" hidden="false" customHeight="true" outlineLevel="0" collapsed="false">
      <c r="A2030" s="7" t="s">
        <v>6159</v>
      </c>
      <c r="B2030" s="7" t="s">
        <v>1355</v>
      </c>
      <c r="C2030" s="7" t="n">
        <v>3</v>
      </c>
      <c r="D2030" s="7" t="n">
        <v>21</v>
      </c>
      <c r="E2030" s="7" t="n">
        <v>1</v>
      </c>
      <c r="F2030" s="7" t="s">
        <v>6155</v>
      </c>
      <c r="G2030" s="12" t="str">
        <f aca="false">IFERROR(INDEX('Semrush Data'!$A$1:$Z$20000,MATCH(A2030,'Semrush Data'!$A$1:$A$20000,0),MATCH("Volume",'Semrush Data'!$A$1:$Z$1,0)),"")</f>
        <v/>
      </c>
      <c r="H2030" s="7" t="str">
        <f aca="false">IFERROR(INDEX('Semrush Data'!$A$1:$Z$20000,MATCH(A2030,'Semrush Data'!$A$1:$A$20000,0),MATCH("Keyword Difficulty*",'Semrush Data'!$A$1:$Z$1,0)),"")</f>
        <v/>
      </c>
      <c r="I2030" s="13" t="str">
        <f aca="false">IFERROR(INDEX('Semrush Data'!$A$1:$Z$20000,MATCH(A2030,'Semrush Data'!$A$1:$A$20000,0),MATCH("CPC*",'Semrush Data'!$A$1:$Z$1,0)),"")</f>
        <v/>
      </c>
      <c r="J2030" s="7" t="str">
        <f aca="false">IFERROR(INDEX('Semrush Data'!$A$1:$Z$20000,MATCH(A2030,'Semrush Data'!$A$1:$A$20000,0),MATCH("Intent",'Semrush Data'!$A$1:$Z$1,0)),"")</f>
        <v/>
      </c>
    </row>
    <row r="2031" customFormat="false" ht="15" hidden="false" customHeight="true" outlineLevel="0" collapsed="false">
      <c r="A2031" s="7" t="s">
        <v>6170</v>
      </c>
      <c r="B2031" s="7" t="s">
        <v>1355</v>
      </c>
      <c r="C2031" s="7" t="n">
        <v>3</v>
      </c>
      <c r="D2031" s="7" t="n">
        <v>21</v>
      </c>
      <c r="E2031" s="7" t="n">
        <v>1</v>
      </c>
      <c r="F2031" s="7" t="s">
        <v>6166</v>
      </c>
      <c r="G2031" s="12" t="str">
        <f aca="false">IFERROR(INDEX('Semrush Data'!$A$1:$Z$20000,MATCH(A2031,'Semrush Data'!$A$1:$A$20000,0),MATCH("Volume",'Semrush Data'!$A$1:$Z$1,0)),"")</f>
        <v/>
      </c>
      <c r="H2031" s="7" t="str">
        <f aca="false">IFERROR(INDEX('Semrush Data'!$A$1:$Z$20000,MATCH(A2031,'Semrush Data'!$A$1:$A$20000,0),MATCH("Keyword Difficulty*",'Semrush Data'!$A$1:$Z$1,0)),"")</f>
        <v/>
      </c>
      <c r="I2031" s="13" t="str">
        <f aca="false">IFERROR(INDEX('Semrush Data'!$A$1:$Z$20000,MATCH(A2031,'Semrush Data'!$A$1:$A$20000,0),MATCH("CPC*",'Semrush Data'!$A$1:$Z$1,0)),"")</f>
        <v/>
      </c>
      <c r="J2031" s="7" t="str">
        <f aca="false">IFERROR(INDEX('Semrush Data'!$A$1:$Z$20000,MATCH(A2031,'Semrush Data'!$A$1:$A$20000,0),MATCH("Intent",'Semrush Data'!$A$1:$Z$1,0)),"")</f>
        <v/>
      </c>
    </row>
    <row r="2032" customFormat="false" ht="15" hidden="false" customHeight="true" outlineLevel="0" collapsed="false">
      <c r="A2032" s="7" t="s">
        <v>6181</v>
      </c>
      <c r="B2032" s="7" t="s">
        <v>1355</v>
      </c>
      <c r="C2032" s="7" t="n">
        <v>3</v>
      </c>
      <c r="D2032" s="7" t="n">
        <v>21</v>
      </c>
      <c r="E2032" s="7" t="n">
        <v>1</v>
      </c>
      <c r="F2032" s="7" t="s">
        <v>6177</v>
      </c>
      <c r="G2032" s="12" t="str">
        <f aca="false">IFERROR(INDEX('Semrush Data'!$A$1:$Z$20000,MATCH(A2032,'Semrush Data'!$A$1:$A$20000,0),MATCH("Volume",'Semrush Data'!$A$1:$Z$1,0)),"")</f>
        <v/>
      </c>
      <c r="H2032" s="7" t="str">
        <f aca="false">IFERROR(INDEX('Semrush Data'!$A$1:$Z$20000,MATCH(A2032,'Semrush Data'!$A$1:$A$20000,0),MATCH("Keyword Difficulty*",'Semrush Data'!$A$1:$Z$1,0)),"")</f>
        <v/>
      </c>
      <c r="I2032" s="13" t="str">
        <f aca="false">IFERROR(INDEX('Semrush Data'!$A$1:$Z$20000,MATCH(A2032,'Semrush Data'!$A$1:$A$20000,0),MATCH("CPC*",'Semrush Data'!$A$1:$Z$1,0)),"")</f>
        <v/>
      </c>
      <c r="J2032" s="7" t="str">
        <f aca="false">IFERROR(INDEX('Semrush Data'!$A$1:$Z$20000,MATCH(A2032,'Semrush Data'!$A$1:$A$20000,0),MATCH("Intent",'Semrush Data'!$A$1:$Z$1,0)),"")</f>
        <v/>
      </c>
    </row>
    <row r="2033" customFormat="false" ht="15" hidden="false" customHeight="true" outlineLevel="0" collapsed="false">
      <c r="A2033" s="7" t="s">
        <v>6192</v>
      </c>
      <c r="B2033" s="7" t="s">
        <v>1355</v>
      </c>
      <c r="C2033" s="7" t="n">
        <v>3</v>
      </c>
      <c r="D2033" s="7" t="n">
        <v>21</v>
      </c>
      <c r="E2033" s="7" t="n">
        <v>1</v>
      </c>
      <c r="F2033" s="7" t="s">
        <v>6188</v>
      </c>
      <c r="G2033" s="12" t="str">
        <f aca="false">IFERROR(INDEX('Semrush Data'!$A$1:$Z$20000,MATCH(A2033,'Semrush Data'!$A$1:$A$20000,0),MATCH("Volume",'Semrush Data'!$A$1:$Z$1,0)),"")</f>
        <v/>
      </c>
      <c r="H2033" s="7" t="str">
        <f aca="false">IFERROR(INDEX('Semrush Data'!$A$1:$Z$20000,MATCH(A2033,'Semrush Data'!$A$1:$A$20000,0),MATCH("Keyword Difficulty*",'Semrush Data'!$A$1:$Z$1,0)),"")</f>
        <v/>
      </c>
      <c r="I2033" s="13" t="str">
        <f aca="false">IFERROR(INDEX('Semrush Data'!$A$1:$Z$20000,MATCH(A2033,'Semrush Data'!$A$1:$A$20000,0),MATCH("CPC*",'Semrush Data'!$A$1:$Z$1,0)),"")</f>
        <v/>
      </c>
      <c r="J2033" s="7" t="str">
        <f aca="false">IFERROR(INDEX('Semrush Data'!$A$1:$Z$20000,MATCH(A2033,'Semrush Data'!$A$1:$A$20000,0),MATCH("Intent",'Semrush Data'!$A$1:$Z$1,0)),"")</f>
        <v/>
      </c>
    </row>
    <row r="2034" customFormat="false" ht="15" hidden="false" customHeight="true" outlineLevel="0" collapsed="false">
      <c r="A2034" s="7" t="s">
        <v>6201</v>
      </c>
      <c r="B2034" s="7" t="s">
        <v>1355</v>
      </c>
      <c r="C2034" s="7" t="n">
        <v>3</v>
      </c>
      <c r="D2034" s="7" t="n">
        <v>21</v>
      </c>
      <c r="E2034" s="7" t="n">
        <v>1</v>
      </c>
      <c r="F2034" s="7" t="s">
        <v>102</v>
      </c>
      <c r="G2034" s="12" t="str">
        <f aca="false">IFERROR(INDEX('Semrush Data'!$A$1:$Z$20000,MATCH(A2034,'Semrush Data'!$A$1:$A$20000,0),MATCH("Volume",'Semrush Data'!$A$1:$Z$1,0)),"")</f>
        <v/>
      </c>
      <c r="H2034" s="7" t="str">
        <f aca="false">IFERROR(INDEX('Semrush Data'!$A$1:$Z$20000,MATCH(A2034,'Semrush Data'!$A$1:$A$20000,0),MATCH("Keyword Difficulty*",'Semrush Data'!$A$1:$Z$1,0)),"")</f>
        <v/>
      </c>
      <c r="I2034" s="13" t="str">
        <f aca="false">IFERROR(INDEX('Semrush Data'!$A$1:$Z$20000,MATCH(A2034,'Semrush Data'!$A$1:$A$20000,0),MATCH("CPC*",'Semrush Data'!$A$1:$Z$1,0)),"")</f>
        <v/>
      </c>
      <c r="J2034" s="7" t="str">
        <f aca="false">IFERROR(INDEX('Semrush Data'!$A$1:$Z$20000,MATCH(A2034,'Semrush Data'!$A$1:$A$20000,0),MATCH("Intent",'Semrush Data'!$A$1:$Z$1,0)),"")</f>
        <v/>
      </c>
    </row>
    <row r="2035" customFormat="false" ht="15" hidden="false" customHeight="true" outlineLevel="0" collapsed="false">
      <c r="A2035" s="7" t="s">
        <v>6213</v>
      </c>
      <c r="B2035" s="7" t="s">
        <v>1355</v>
      </c>
      <c r="C2035" s="7" t="n">
        <v>3</v>
      </c>
      <c r="D2035" s="7" t="n">
        <v>21</v>
      </c>
      <c r="E2035" s="7" t="n">
        <v>1</v>
      </c>
      <c r="F2035" s="7" t="s">
        <v>6209</v>
      </c>
      <c r="G2035" s="12" t="str">
        <f aca="false">IFERROR(INDEX('Semrush Data'!$A$1:$Z$20000,MATCH(A2035,'Semrush Data'!$A$1:$A$20000,0),MATCH("Volume",'Semrush Data'!$A$1:$Z$1,0)),"")</f>
        <v/>
      </c>
      <c r="H2035" s="7" t="str">
        <f aca="false">IFERROR(INDEX('Semrush Data'!$A$1:$Z$20000,MATCH(A2035,'Semrush Data'!$A$1:$A$20000,0),MATCH("Keyword Difficulty*",'Semrush Data'!$A$1:$Z$1,0)),"")</f>
        <v/>
      </c>
      <c r="I2035" s="13" t="str">
        <f aca="false">IFERROR(INDEX('Semrush Data'!$A$1:$Z$20000,MATCH(A2035,'Semrush Data'!$A$1:$A$20000,0),MATCH("CPC*",'Semrush Data'!$A$1:$Z$1,0)),"")</f>
        <v/>
      </c>
      <c r="J2035" s="7" t="str">
        <f aca="false">IFERROR(INDEX('Semrush Data'!$A$1:$Z$20000,MATCH(A2035,'Semrush Data'!$A$1:$A$20000,0),MATCH("Intent",'Semrush Data'!$A$1:$Z$1,0)),"")</f>
        <v/>
      </c>
    </row>
    <row r="2036" customFormat="false" ht="15" hidden="false" customHeight="true" outlineLevel="0" collapsed="false">
      <c r="A2036" s="7" t="s">
        <v>6224</v>
      </c>
      <c r="B2036" s="7" t="s">
        <v>1355</v>
      </c>
      <c r="C2036" s="7" t="n">
        <v>3</v>
      </c>
      <c r="D2036" s="7" t="n">
        <v>21</v>
      </c>
      <c r="E2036" s="7" t="n">
        <v>1</v>
      </c>
      <c r="F2036" s="7" t="s">
        <v>6220</v>
      </c>
      <c r="G2036" s="12" t="str">
        <f aca="false">IFERROR(INDEX('Semrush Data'!$A$1:$Z$20000,MATCH(A2036,'Semrush Data'!$A$1:$A$20000,0),MATCH("Volume",'Semrush Data'!$A$1:$Z$1,0)),"")</f>
        <v/>
      </c>
      <c r="H2036" s="7" t="str">
        <f aca="false">IFERROR(INDEX('Semrush Data'!$A$1:$Z$20000,MATCH(A2036,'Semrush Data'!$A$1:$A$20000,0),MATCH("Keyword Difficulty*",'Semrush Data'!$A$1:$Z$1,0)),"")</f>
        <v/>
      </c>
      <c r="I2036" s="13" t="str">
        <f aca="false">IFERROR(INDEX('Semrush Data'!$A$1:$Z$20000,MATCH(A2036,'Semrush Data'!$A$1:$A$20000,0),MATCH("CPC*",'Semrush Data'!$A$1:$Z$1,0)),"")</f>
        <v/>
      </c>
      <c r="J2036" s="7" t="str">
        <f aca="false">IFERROR(INDEX('Semrush Data'!$A$1:$Z$20000,MATCH(A2036,'Semrush Data'!$A$1:$A$20000,0),MATCH("Intent",'Semrush Data'!$A$1:$Z$1,0)),"")</f>
        <v/>
      </c>
    </row>
    <row r="2037" customFormat="false" ht="15" hidden="false" customHeight="true" outlineLevel="0" collapsed="false">
      <c r="A2037" s="7" t="s">
        <v>6235</v>
      </c>
      <c r="B2037" s="7" t="s">
        <v>1355</v>
      </c>
      <c r="C2037" s="7" t="n">
        <v>3</v>
      </c>
      <c r="D2037" s="7" t="n">
        <v>21</v>
      </c>
      <c r="E2037" s="7" t="n">
        <v>1</v>
      </c>
      <c r="F2037" s="7" t="s">
        <v>6231</v>
      </c>
      <c r="G2037" s="12" t="str">
        <f aca="false">IFERROR(INDEX('Semrush Data'!$A$1:$Z$20000,MATCH(A2037,'Semrush Data'!$A$1:$A$20000,0),MATCH("Volume",'Semrush Data'!$A$1:$Z$1,0)),"")</f>
        <v/>
      </c>
      <c r="H2037" s="7" t="str">
        <f aca="false">IFERROR(INDEX('Semrush Data'!$A$1:$Z$20000,MATCH(A2037,'Semrush Data'!$A$1:$A$20000,0),MATCH("Keyword Difficulty*",'Semrush Data'!$A$1:$Z$1,0)),"")</f>
        <v/>
      </c>
      <c r="I2037" s="13" t="str">
        <f aca="false">IFERROR(INDEX('Semrush Data'!$A$1:$Z$20000,MATCH(A2037,'Semrush Data'!$A$1:$A$20000,0),MATCH("CPC*",'Semrush Data'!$A$1:$Z$1,0)),"")</f>
        <v/>
      </c>
      <c r="J2037" s="7" t="str">
        <f aca="false">IFERROR(INDEX('Semrush Data'!$A$1:$Z$20000,MATCH(A2037,'Semrush Data'!$A$1:$A$20000,0),MATCH("Intent",'Semrush Data'!$A$1:$Z$1,0)),"")</f>
        <v/>
      </c>
    </row>
    <row r="2038" customFormat="false" ht="15" hidden="false" customHeight="true" outlineLevel="0" collapsed="false">
      <c r="A2038" s="7" t="s">
        <v>6246</v>
      </c>
      <c r="B2038" s="7" t="s">
        <v>1355</v>
      </c>
      <c r="C2038" s="7" t="n">
        <v>3</v>
      </c>
      <c r="D2038" s="7" t="n">
        <v>21</v>
      </c>
      <c r="E2038" s="7" t="n">
        <v>1</v>
      </c>
      <c r="F2038" s="7" t="s">
        <v>6242</v>
      </c>
      <c r="G2038" s="12" t="str">
        <f aca="false">IFERROR(INDEX('Semrush Data'!$A$1:$Z$20000,MATCH(A2038,'Semrush Data'!$A$1:$A$20000,0),MATCH("Volume",'Semrush Data'!$A$1:$Z$1,0)),"")</f>
        <v/>
      </c>
      <c r="H2038" s="7" t="str">
        <f aca="false">IFERROR(INDEX('Semrush Data'!$A$1:$Z$20000,MATCH(A2038,'Semrush Data'!$A$1:$A$20000,0),MATCH("Keyword Difficulty*",'Semrush Data'!$A$1:$Z$1,0)),"")</f>
        <v/>
      </c>
      <c r="I2038" s="13" t="str">
        <f aca="false">IFERROR(INDEX('Semrush Data'!$A$1:$Z$20000,MATCH(A2038,'Semrush Data'!$A$1:$A$20000,0),MATCH("CPC*",'Semrush Data'!$A$1:$Z$1,0)),"")</f>
        <v/>
      </c>
      <c r="J2038" s="7" t="str">
        <f aca="false">IFERROR(INDEX('Semrush Data'!$A$1:$Z$20000,MATCH(A2038,'Semrush Data'!$A$1:$A$20000,0),MATCH("Intent",'Semrush Data'!$A$1:$Z$1,0)),"")</f>
        <v/>
      </c>
    </row>
    <row r="2039" customFormat="false" ht="15" hidden="false" customHeight="true" outlineLevel="0" collapsed="false">
      <c r="A2039" s="7" t="s">
        <v>6256</v>
      </c>
      <c r="B2039" s="7" t="s">
        <v>1355</v>
      </c>
      <c r="C2039" s="7" t="n">
        <v>3</v>
      </c>
      <c r="D2039" s="7" t="n">
        <v>21</v>
      </c>
      <c r="E2039" s="7" t="n">
        <v>1</v>
      </c>
      <c r="F2039" s="7" t="s">
        <v>6252</v>
      </c>
      <c r="G2039" s="12" t="str">
        <f aca="false">IFERROR(INDEX('Semrush Data'!$A$1:$Z$20000,MATCH(A2039,'Semrush Data'!$A$1:$A$20000,0),MATCH("Volume",'Semrush Data'!$A$1:$Z$1,0)),"")</f>
        <v/>
      </c>
      <c r="H2039" s="7" t="str">
        <f aca="false">IFERROR(INDEX('Semrush Data'!$A$1:$Z$20000,MATCH(A2039,'Semrush Data'!$A$1:$A$20000,0),MATCH("Keyword Difficulty*",'Semrush Data'!$A$1:$Z$1,0)),"")</f>
        <v/>
      </c>
      <c r="I2039" s="13" t="str">
        <f aca="false">IFERROR(INDEX('Semrush Data'!$A$1:$Z$20000,MATCH(A2039,'Semrush Data'!$A$1:$A$20000,0),MATCH("CPC*",'Semrush Data'!$A$1:$Z$1,0)),"")</f>
        <v/>
      </c>
      <c r="J2039" s="7" t="str">
        <f aca="false">IFERROR(INDEX('Semrush Data'!$A$1:$Z$20000,MATCH(A2039,'Semrush Data'!$A$1:$A$20000,0),MATCH("Intent",'Semrush Data'!$A$1:$Z$1,0)),"")</f>
        <v/>
      </c>
    </row>
    <row r="2040" customFormat="false" ht="15" hidden="false" customHeight="true" outlineLevel="0" collapsed="false">
      <c r="A2040" s="7" t="s">
        <v>6267</v>
      </c>
      <c r="B2040" s="7" t="s">
        <v>1355</v>
      </c>
      <c r="C2040" s="7" t="n">
        <v>3</v>
      </c>
      <c r="D2040" s="7" t="n">
        <v>21</v>
      </c>
      <c r="E2040" s="7" t="n">
        <v>1</v>
      </c>
      <c r="F2040" s="7" t="s">
        <v>6263</v>
      </c>
      <c r="G2040" s="12" t="str">
        <f aca="false">IFERROR(INDEX('Semrush Data'!$A$1:$Z$20000,MATCH(A2040,'Semrush Data'!$A$1:$A$20000,0),MATCH("Volume",'Semrush Data'!$A$1:$Z$1,0)),"")</f>
        <v/>
      </c>
      <c r="H2040" s="7" t="str">
        <f aca="false">IFERROR(INDEX('Semrush Data'!$A$1:$Z$20000,MATCH(A2040,'Semrush Data'!$A$1:$A$20000,0),MATCH("Keyword Difficulty*",'Semrush Data'!$A$1:$Z$1,0)),"")</f>
        <v/>
      </c>
      <c r="I2040" s="13" t="str">
        <f aca="false">IFERROR(INDEX('Semrush Data'!$A$1:$Z$20000,MATCH(A2040,'Semrush Data'!$A$1:$A$20000,0),MATCH("CPC*",'Semrush Data'!$A$1:$Z$1,0)),"")</f>
        <v/>
      </c>
      <c r="J2040" s="7" t="str">
        <f aca="false">IFERROR(INDEX('Semrush Data'!$A$1:$Z$20000,MATCH(A2040,'Semrush Data'!$A$1:$A$20000,0),MATCH("Intent",'Semrush Data'!$A$1:$Z$1,0)),"")</f>
        <v/>
      </c>
    </row>
    <row r="2041" customFormat="false" ht="15" hidden="false" customHeight="true" outlineLevel="0" collapsed="false">
      <c r="A2041" s="7" t="s">
        <v>6279</v>
      </c>
      <c r="B2041" s="7" t="s">
        <v>1355</v>
      </c>
      <c r="C2041" s="7" t="n">
        <v>3</v>
      </c>
      <c r="D2041" s="7" t="n">
        <v>21</v>
      </c>
      <c r="E2041" s="7" t="n">
        <v>1</v>
      </c>
      <c r="F2041" s="7" t="s">
        <v>6274</v>
      </c>
      <c r="G2041" s="12" t="str">
        <f aca="false">IFERROR(INDEX('Semrush Data'!$A$1:$Z$20000,MATCH(A2041,'Semrush Data'!$A$1:$A$20000,0),MATCH("Volume",'Semrush Data'!$A$1:$Z$1,0)),"")</f>
        <v/>
      </c>
      <c r="H2041" s="7" t="str">
        <f aca="false">IFERROR(INDEX('Semrush Data'!$A$1:$Z$20000,MATCH(A2041,'Semrush Data'!$A$1:$A$20000,0),MATCH("Keyword Difficulty*",'Semrush Data'!$A$1:$Z$1,0)),"")</f>
        <v/>
      </c>
      <c r="I2041" s="13" t="str">
        <f aca="false">IFERROR(INDEX('Semrush Data'!$A$1:$Z$20000,MATCH(A2041,'Semrush Data'!$A$1:$A$20000,0),MATCH("CPC*",'Semrush Data'!$A$1:$Z$1,0)),"")</f>
        <v/>
      </c>
      <c r="J2041" s="7" t="str">
        <f aca="false">IFERROR(INDEX('Semrush Data'!$A$1:$Z$20000,MATCH(A2041,'Semrush Data'!$A$1:$A$20000,0),MATCH("Intent",'Semrush Data'!$A$1:$Z$1,0)),"")</f>
        <v/>
      </c>
    </row>
    <row r="2042" customFormat="false" ht="15" hidden="false" customHeight="true" outlineLevel="0" collapsed="false">
      <c r="A2042" s="7" t="s">
        <v>6290</v>
      </c>
      <c r="B2042" s="7" t="s">
        <v>1355</v>
      </c>
      <c r="C2042" s="7" t="n">
        <v>3</v>
      </c>
      <c r="D2042" s="7" t="n">
        <v>21</v>
      </c>
      <c r="E2042" s="7" t="n">
        <v>1</v>
      </c>
      <c r="F2042" s="7" t="s">
        <v>6286</v>
      </c>
      <c r="G2042" s="12" t="str">
        <f aca="false">IFERROR(INDEX('Semrush Data'!$A$1:$Z$20000,MATCH(A2042,'Semrush Data'!$A$1:$A$20000,0),MATCH("Volume",'Semrush Data'!$A$1:$Z$1,0)),"")</f>
        <v/>
      </c>
      <c r="H2042" s="7" t="str">
        <f aca="false">IFERROR(INDEX('Semrush Data'!$A$1:$Z$20000,MATCH(A2042,'Semrush Data'!$A$1:$A$20000,0),MATCH("Keyword Difficulty*",'Semrush Data'!$A$1:$Z$1,0)),"")</f>
        <v/>
      </c>
      <c r="I2042" s="13" t="str">
        <f aca="false">IFERROR(INDEX('Semrush Data'!$A$1:$Z$20000,MATCH(A2042,'Semrush Data'!$A$1:$A$20000,0),MATCH("CPC*",'Semrush Data'!$A$1:$Z$1,0)),"")</f>
        <v/>
      </c>
      <c r="J2042" s="7" t="str">
        <f aca="false">IFERROR(INDEX('Semrush Data'!$A$1:$Z$20000,MATCH(A2042,'Semrush Data'!$A$1:$A$20000,0),MATCH("Intent",'Semrush Data'!$A$1:$Z$1,0)),"")</f>
        <v/>
      </c>
    </row>
    <row r="2043" customFormat="false" ht="15" hidden="false" customHeight="true" outlineLevel="0" collapsed="false">
      <c r="A2043" s="7" t="s">
        <v>6330</v>
      </c>
      <c r="B2043" s="7" t="s">
        <v>1355</v>
      </c>
      <c r="C2043" s="7" t="n">
        <v>3</v>
      </c>
      <c r="D2043" s="7" t="s">
        <v>6818</v>
      </c>
      <c r="E2043" s="7" t="n">
        <v>1</v>
      </c>
      <c r="F2043" s="7" t="s">
        <v>48</v>
      </c>
      <c r="G2043" s="12" t="str">
        <f aca="false">IFERROR(INDEX('Semrush Data'!$A$1:$Z$20000,MATCH(A2043,'Semrush Data'!$A$1:$A$20000,0),MATCH("Volume",'Semrush Data'!$A$1:$Z$1,0)),"")</f>
        <v/>
      </c>
      <c r="H2043" s="7" t="str">
        <f aca="false">IFERROR(INDEX('Semrush Data'!$A$1:$Z$20000,MATCH(A2043,'Semrush Data'!$A$1:$A$20000,0),MATCH("Keyword Difficulty*",'Semrush Data'!$A$1:$Z$1,0)),"")</f>
        <v/>
      </c>
      <c r="I2043" s="13" t="str">
        <f aca="false">IFERROR(INDEX('Semrush Data'!$A$1:$Z$20000,MATCH(A2043,'Semrush Data'!$A$1:$A$20000,0),MATCH("CPC*",'Semrush Data'!$A$1:$Z$1,0)),"")</f>
        <v/>
      </c>
      <c r="J2043" s="7" t="str">
        <f aca="false">IFERROR(INDEX('Semrush Data'!$A$1:$Z$20000,MATCH(A2043,'Semrush Data'!$A$1:$A$20000,0),MATCH("Intent",'Semrush Data'!$A$1:$Z$1,0)),"")</f>
        <v/>
      </c>
    </row>
    <row r="2044" customFormat="false" ht="15" hidden="false" customHeight="true" outlineLevel="0" collapsed="false">
      <c r="A2044" s="7" t="s">
        <v>6322</v>
      </c>
      <c r="B2044" s="7" t="s">
        <v>1355</v>
      </c>
      <c r="C2044" s="7" t="n">
        <v>3</v>
      </c>
      <c r="D2044" s="7" t="n">
        <v>21</v>
      </c>
      <c r="E2044" s="7" t="n">
        <v>1</v>
      </c>
      <c r="F2044" s="7" t="s">
        <v>94</v>
      </c>
      <c r="G2044" s="12" t="str">
        <f aca="false">IFERROR(INDEX('Semrush Data'!$A$1:$Z$20000,MATCH(A2044,'Semrush Data'!$A$1:$A$20000,0),MATCH("Volume",'Semrush Data'!$A$1:$Z$1,0)),"")</f>
        <v/>
      </c>
      <c r="H2044" s="7" t="str">
        <f aca="false">IFERROR(INDEX('Semrush Data'!$A$1:$Z$20000,MATCH(A2044,'Semrush Data'!$A$1:$A$20000,0),MATCH("Keyword Difficulty*",'Semrush Data'!$A$1:$Z$1,0)),"")</f>
        <v/>
      </c>
      <c r="I2044" s="13" t="str">
        <f aca="false">IFERROR(INDEX('Semrush Data'!$A$1:$Z$20000,MATCH(A2044,'Semrush Data'!$A$1:$A$20000,0),MATCH("CPC*",'Semrush Data'!$A$1:$Z$1,0)),"")</f>
        <v/>
      </c>
      <c r="J2044" s="7" t="str">
        <f aca="false">IFERROR(INDEX('Semrush Data'!$A$1:$Z$20000,MATCH(A2044,'Semrush Data'!$A$1:$A$20000,0),MATCH("Intent",'Semrush Data'!$A$1:$Z$1,0)),"")</f>
        <v/>
      </c>
    </row>
    <row r="2045" customFormat="false" ht="15" hidden="false" customHeight="true" outlineLevel="0" collapsed="false">
      <c r="A2045" s="7" t="s">
        <v>6301</v>
      </c>
      <c r="B2045" s="7" t="s">
        <v>1355</v>
      </c>
      <c r="C2045" s="7" t="n">
        <v>3</v>
      </c>
      <c r="D2045" s="7" t="s">
        <v>6818</v>
      </c>
      <c r="E2045" s="7" t="n">
        <v>1</v>
      </c>
      <c r="F2045" s="7" t="s">
        <v>66</v>
      </c>
      <c r="G2045" s="12" t="str">
        <f aca="false">IFERROR(INDEX('Semrush Data'!$A$1:$Z$20000,MATCH(A2045,'Semrush Data'!$A$1:$A$20000,0),MATCH("Volume",'Semrush Data'!$A$1:$Z$1,0)),"")</f>
        <v/>
      </c>
      <c r="H2045" s="7" t="str">
        <f aca="false">IFERROR(INDEX('Semrush Data'!$A$1:$Z$20000,MATCH(A2045,'Semrush Data'!$A$1:$A$20000,0),MATCH("Keyword Difficulty*",'Semrush Data'!$A$1:$Z$1,0)),"")</f>
        <v/>
      </c>
      <c r="I2045" s="13" t="str">
        <f aca="false">IFERROR(INDEX('Semrush Data'!$A$1:$Z$20000,MATCH(A2045,'Semrush Data'!$A$1:$A$20000,0),MATCH("CPC*",'Semrush Data'!$A$1:$Z$1,0)),"")</f>
        <v/>
      </c>
      <c r="J2045" s="7" t="str">
        <f aca="false">IFERROR(INDEX('Semrush Data'!$A$1:$Z$20000,MATCH(A2045,'Semrush Data'!$A$1:$A$20000,0),MATCH("Intent",'Semrush Data'!$A$1:$Z$1,0)),"")</f>
        <v/>
      </c>
    </row>
    <row r="2046" customFormat="false" ht="15" hidden="false" customHeight="true" outlineLevel="0" collapsed="false">
      <c r="A2046" s="7" t="s">
        <v>6338</v>
      </c>
      <c r="B2046" s="7" t="s">
        <v>1355</v>
      </c>
      <c r="C2046" s="7" t="n">
        <v>3</v>
      </c>
      <c r="D2046" s="7" t="s">
        <v>6818</v>
      </c>
      <c r="E2046" s="7" t="n">
        <v>1</v>
      </c>
      <c r="F2046" s="7" t="s">
        <v>54</v>
      </c>
      <c r="G2046" s="12" t="str">
        <f aca="false">IFERROR(INDEX('Semrush Data'!$A$1:$Z$20000,MATCH(A2046,'Semrush Data'!$A$1:$A$20000,0),MATCH("Volume",'Semrush Data'!$A$1:$Z$1,0)),"")</f>
        <v/>
      </c>
      <c r="H2046" s="7" t="str">
        <f aca="false">IFERROR(INDEX('Semrush Data'!$A$1:$Z$20000,MATCH(A2046,'Semrush Data'!$A$1:$A$20000,0),MATCH("Keyword Difficulty*",'Semrush Data'!$A$1:$Z$1,0)),"")</f>
        <v/>
      </c>
      <c r="I2046" s="13" t="str">
        <f aca="false">IFERROR(INDEX('Semrush Data'!$A$1:$Z$20000,MATCH(A2046,'Semrush Data'!$A$1:$A$20000,0),MATCH("CPC*",'Semrush Data'!$A$1:$Z$1,0)),"")</f>
        <v/>
      </c>
      <c r="J2046" s="7" t="str">
        <f aca="false">IFERROR(INDEX('Semrush Data'!$A$1:$Z$20000,MATCH(A2046,'Semrush Data'!$A$1:$A$20000,0),MATCH("Intent",'Semrush Data'!$A$1:$Z$1,0)),"")</f>
        <v/>
      </c>
    </row>
    <row r="2047" customFormat="false" ht="15" hidden="false" customHeight="true" outlineLevel="0" collapsed="false">
      <c r="A2047" s="7" t="s">
        <v>6310</v>
      </c>
      <c r="B2047" s="7" t="s">
        <v>1355</v>
      </c>
      <c r="C2047" s="7" t="n">
        <v>3</v>
      </c>
      <c r="D2047" s="7" t="s">
        <v>6818</v>
      </c>
      <c r="E2047" s="7" t="n">
        <v>2</v>
      </c>
      <c r="F2047" s="7" t="s">
        <v>6810</v>
      </c>
      <c r="G2047" s="12" t="str">
        <f aca="false">IFERROR(INDEX('Semrush Data'!$A$1:$Z$20000,MATCH(A2047,'Semrush Data'!$A$1:$A$20000,0),MATCH("Volume",'Semrush Data'!$A$1:$Z$1,0)),"")</f>
        <v/>
      </c>
      <c r="H2047" s="7" t="str">
        <f aca="false">IFERROR(INDEX('Semrush Data'!$A$1:$Z$20000,MATCH(A2047,'Semrush Data'!$A$1:$A$20000,0),MATCH("Keyword Difficulty*",'Semrush Data'!$A$1:$Z$1,0)),"")</f>
        <v/>
      </c>
      <c r="I2047" s="13" t="str">
        <f aca="false">IFERROR(INDEX('Semrush Data'!$A$1:$Z$20000,MATCH(A2047,'Semrush Data'!$A$1:$A$20000,0),MATCH("CPC*",'Semrush Data'!$A$1:$Z$1,0)),"")</f>
        <v/>
      </c>
      <c r="J2047" s="7" t="str">
        <f aca="false">IFERROR(INDEX('Semrush Data'!$A$1:$Z$20000,MATCH(A2047,'Semrush Data'!$A$1:$A$20000,0),MATCH("Intent",'Semrush Data'!$A$1:$Z$1,0)),"")</f>
        <v/>
      </c>
    </row>
    <row r="2048" customFormat="false" ht="15" hidden="false" customHeight="true" outlineLevel="0" collapsed="false">
      <c r="A2048" s="7" t="s">
        <v>6373</v>
      </c>
      <c r="B2048" s="7" t="s">
        <v>1355</v>
      </c>
      <c r="C2048" s="7" t="n">
        <v>3</v>
      </c>
      <c r="D2048" s="7" t="n">
        <v>21</v>
      </c>
      <c r="E2048" s="7" t="n">
        <v>1</v>
      </c>
      <c r="F2048" s="7" t="s">
        <v>6369</v>
      </c>
      <c r="G2048" s="12" t="str">
        <f aca="false">IFERROR(INDEX('Semrush Data'!$A$1:$Z$20000,MATCH(A2048,'Semrush Data'!$A$1:$A$20000,0),MATCH("Volume",'Semrush Data'!$A$1:$Z$1,0)),"")</f>
        <v/>
      </c>
      <c r="H2048" s="7" t="str">
        <f aca="false">IFERROR(INDEX('Semrush Data'!$A$1:$Z$20000,MATCH(A2048,'Semrush Data'!$A$1:$A$20000,0),MATCH("Keyword Difficulty*",'Semrush Data'!$A$1:$Z$1,0)),"")</f>
        <v/>
      </c>
      <c r="I2048" s="13" t="str">
        <f aca="false">IFERROR(INDEX('Semrush Data'!$A$1:$Z$20000,MATCH(A2048,'Semrush Data'!$A$1:$A$20000,0),MATCH("CPC*",'Semrush Data'!$A$1:$Z$1,0)),"")</f>
        <v/>
      </c>
      <c r="J2048" s="7" t="str">
        <f aca="false">IFERROR(INDEX('Semrush Data'!$A$1:$Z$20000,MATCH(A2048,'Semrush Data'!$A$1:$A$20000,0),MATCH("Intent",'Semrush Data'!$A$1:$Z$1,0)),"")</f>
        <v/>
      </c>
    </row>
    <row r="2049" customFormat="false" ht="15" hidden="false" customHeight="true" outlineLevel="0" collapsed="false">
      <c r="A2049" s="7" t="s">
        <v>6384</v>
      </c>
      <c r="B2049" s="7" t="s">
        <v>1355</v>
      </c>
      <c r="C2049" s="7" t="n">
        <v>3</v>
      </c>
      <c r="D2049" s="7" t="n">
        <v>21</v>
      </c>
      <c r="E2049" s="7" t="n">
        <v>1</v>
      </c>
      <c r="F2049" s="7" t="s">
        <v>6380</v>
      </c>
      <c r="G2049" s="12" t="str">
        <f aca="false">IFERROR(INDEX('Semrush Data'!$A$1:$Z$20000,MATCH(A2049,'Semrush Data'!$A$1:$A$20000,0),MATCH("Volume",'Semrush Data'!$A$1:$Z$1,0)),"")</f>
        <v/>
      </c>
      <c r="H2049" s="7" t="str">
        <f aca="false">IFERROR(INDEX('Semrush Data'!$A$1:$Z$20000,MATCH(A2049,'Semrush Data'!$A$1:$A$20000,0),MATCH("Keyword Difficulty*",'Semrush Data'!$A$1:$Z$1,0)),"")</f>
        <v/>
      </c>
      <c r="I2049" s="13" t="str">
        <f aca="false">IFERROR(INDEX('Semrush Data'!$A$1:$Z$20000,MATCH(A2049,'Semrush Data'!$A$1:$A$20000,0),MATCH("CPC*",'Semrush Data'!$A$1:$Z$1,0)),"")</f>
        <v/>
      </c>
      <c r="J2049" s="7" t="str">
        <f aca="false">IFERROR(INDEX('Semrush Data'!$A$1:$Z$20000,MATCH(A2049,'Semrush Data'!$A$1:$A$20000,0),MATCH("Intent",'Semrush Data'!$A$1:$Z$1,0)),"")</f>
        <v/>
      </c>
    </row>
    <row r="2050" customFormat="false" ht="15" hidden="false" customHeight="true" outlineLevel="0" collapsed="false">
      <c r="A2050" s="7" t="s">
        <v>6395</v>
      </c>
      <c r="B2050" s="7" t="s">
        <v>1355</v>
      </c>
      <c r="C2050" s="7" t="n">
        <v>3</v>
      </c>
      <c r="D2050" s="7" t="n">
        <v>21</v>
      </c>
      <c r="E2050" s="7" t="n">
        <v>1</v>
      </c>
      <c r="F2050" s="7" t="s">
        <v>6391</v>
      </c>
      <c r="G2050" s="12" t="str">
        <f aca="false">IFERROR(INDEX('Semrush Data'!$A$1:$Z$20000,MATCH(A2050,'Semrush Data'!$A$1:$A$20000,0),MATCH("Volume",'Semrush Data'!$A$1:$Z$1,0)),"")</f>
        <v/>
      </c>
      <c r="H2050" s="7" t="str">
        <f aca="false">IFERROR(INDEX('Semrush Data'!$A$1:$Z$20000,MATCH(A2050,'Semrush Data'!$A$1:$A$20000,0),MATCH("Keyword Difficulty*",'Semrush Data'!$A$1:$Z$1,0)),"")</f>
        <v/>
      </c>
      <c r="I2050" s="13" t="str">
        <f aca="false">IFERROR(INDEX('Semrush Data'!$A$1:$Z$20000,MATCH(A2050,'Semrush Data'!$A$1:$A$20000,0),MATCH("CPC*",'Semrush Data'!$A$1:$Z$1,0)),"")</f>
        <v/>
      </c>
      <c r="J2050" s="7" t="str">
        <f aca="false">IFERROR(INDEX('Semrush Data'!$A$1:$Z$20000,MATCH(A2050,'Semrush Data'!$A$1:$A$20000,0),MATCH("Intent",'Semrush Data'!$A$1:$Z$1,0)),"")</f>
        <v/>
      </c>
    </row>
    <row r="2051" customFormat="false" ht="15" hidden="false" customHeight="true" outlineLevel="0" collapsed="false">
      <c r="A2051" s="7" t="s">
        <v>6351</v>
      </c>
      <c r="B2051" s="7" t="s">
        <v>1355</v>
      </c>
      <c r="C2051" s="7" t="n">
        <v>3</v>
      </c>
      <c r="D2051" s="7" t="n">
        <v>21</v>
      </c>
      <c r="E2051" s="7" t="n">
        <v>1</v>
      </c>
      <c r="F2051" s="7" t="s">
        <v>6345</v>
      </c>
      <c r="G2051" s="12" t="str">
        <f aca="false">IFERROR(INDEX('Semrush Data'!$A$1:$Z$20000,MATCH(A2051,'Semrush Data'!$A$1:$A$20000,0),MATCH("Volume",'Semrush Data'!$A$1:$Z$1,0)),"")</f>
        <v/>
      </c>
      <c r="H2051" s="7" t="str">
        <f aca="false">IFERROR(INDEX('Semrush Data'!$A$1:$Z$20000,MATCH(A2051,'Semrush Data'!$A$1:$A$20000,0),MATCH("Keyword Difficulty*",'Semrush Data'!$A$1:$Z$1,0)),"")</f>
        <v/>
      </c>
      <c r="I2051" s="13" t="str">
        <f aca="false">IFERROR(INDEX('Semrush Data'!$A$1:$Z$20000,MATCH(A2051,'Semrush Data'!$A$1:$A$20000,0),MATCH("CPC*",'Semrush Data'!$A$1:$Z$1,0)),"")</f>
        <v/>
      </c>
      <c r="J2051" s="7" t="str">
        <f aca="false">IFERROR(INDEX('Semrush Data'!$A$1:$Z$20000,MATCH(A2051,'Semrush Data'!$A$1:$A$20000,0),MATCH("Intent",'Semrush Data'!$A$1:$Z$1,0)),"")</f>
        <v/>
      </c>
    </row>
    <row r="2052" customFormat="false" ht="15" hidden="false" customHeight="true" outlineLevel="0" collapsed="false">
      <c r="A2052" s="7" t="s">
        <v>6362</v>
      </c>
      <c r="B2052" s="7" t="s">
        <v>1355</v>
      </c>
      <c r="C2052" s="7" t="n">
        <v>3</v>
      </c>
      <c r="D2052" s="7" t="n">
        <v>21</v>
      </c>
      <c r="E2052" s="7" t="n">
        <v>1</v>
      </c>
      <c r="F2052" s="7" t="s">
        <v>6358</v>
      </c>
      <c r="G2052" s="12" t="str">
        <f aca="false">IFERROR(INDEX('Semrush Data'!$A$1:$Z$20000,MATCH(A2052,'Semrush Data'!$A$1:$A$20000,0),MATCH("Volume",'Semrush Data'!$A$1:$Z$1,0)),"")</f>
        <v/>
      </c>
      <c r="H2052" s="7" t="str">
        <f aca="false">IFERROR(INDEX('Semrush Data'!$A$1:$Z$20000,MATCH(A2052,'Semrush Data'!$A$1:$A$20000,0),MATCH("Keyword Difficulty*",'Semrush Data'!$A$1:$Z$1,0)),"")</f>
        <v/>
      </c>
      <c r="I2052" s="13" t="str">
        <f aca="false">IFERROR(INDEX('Semrush Data'!$A$1:$Z$20000,MATCH(A2052,'Semrush Data'!$A$1:$A$20000,0),MATCH("CPC*",'Semrush Data'!$A$1:$Z$1,0)),"")</f>
        <v/>
      </c>
      <c r="J2052" s="7" t="str">
        <f aca="false">IFERROR(INDEX('Semrush Data'!$A$1:$Z$20000,MATCH(A2052,'Semrush Data'!$A$1:$A$20000,0),MATCH("Intent",'Semrush Data'!$A$1:$Z$1,0)),"")</f>
        <v/>
      </c>
    </row>
    <row r="2053" customFormat="false" ht="15" hidden="false" customHeight="true" outlineLevel="0" collapsed="false">
      <c r="A2053" s="7" t="s">
        <v>6405</v>
      </c>
      <c r="B2053" s="7" t="s">
        <v>1355</v>
      </c>
      <c r="C2053" s="7" t="n">
        <v>3</v>
      </c>
      <c r="D2053" s="7" t="n">
        <v>21</v>
      </c>
      <c r="E2053" s="7" t="n">
        <v>1</v>
      </c>
      <c r="F2053" s="7" t="s">
        <v>6401</v>
      </c>
      <c r="G2053" s="12" t="str">
        <f aca="false">IFERROR(INDEX('Semrush Data'!$A$1:$Z$20000,MATCH(A2053,'Semrush Data'!$A$1:$A$20000,0),MATCH("Volume",'Semrush Data'!$A$1:$Z$1,0)),"")</f>
        <v/>
      </c>
      <c r="H2053" s="7" t="str">
        <f aca="false">IFERROR(INDEX('Semrush Data'!$A$1:$Z$20000,MATCH(A2053,'Semrush Data'!$A$1:$A$20000,0),MATCH("Keyword Difficulty*",'Semrush Data'!$A$1:$Z$1,0)),"")</f>
        <v/>
      </c>
      <c r="I2053" s="13" t="str">
        <f aca="false">IFERROR(INDEX('Semrush Data'!$A$1:$Z$20000,MATCH(A2053,'Semrush Data'!$A$1:$A$20000,0),MATCH("CPC*",'Semrush Data'!$A$1:$Z$1,0)),"")</f>
        <v/>
      </c>
      <c r="J2053" s="7" t="str">
        <f aca="false">IFERROR(INDEX('Semrush Data'!$A$1:$Z$20000,MATCH(A2053,'Semrush Data'!$A$1:$A$20000,0),MATCH("Intent",'Semrush Data'!$A$1:$Z$1,0)),"")</f>
        <v/>
      </c>
    </row>
    <row r="2054" customFormat="false" ht="15" hidden="false" customHeight="true" outlineLevel="0" collapsed="false">
      <c r="A2054" s="7" t="s">
        <v>6417</v>
      </c>
      <c r="B2054" s="7" t="s">
        <v>1355</v>
      </c>
      <c r="C2054" s="7" t="n">
        <v>3</v>
      </c>
      <c r="D2054" s="7" t="n">
        <v>21</v>
      </c>
      <c r="E2054" s="7" t="n">
        <v>1</v>
      </c>
      <c r="F2054" s="7" t="s">
        <v>6412</v>
      </c>
      <c r="G2054" s="12" t="str">
        <f aca="false">IFERROR(INDEX('Semrush Data'!$A$1:$Z$20000,MATCH(A2054,'Semrush Data'!$A$1:$A$20000,0),MATCH("Volume",'Semrush Data'!$A$1:$Z$1,0)),"")</f>
        <v/>
      </c>
      <c r="H2054" s="7" t="str">
        <f aca="false">IFERROR(INDEX('Semrush Data'!$A$1:$Z$20000,MATCH(A2054,'Semrush Data'!$A$1:$A$20000,0),MATCH("Keyword Difficulty*",'Semrush Data'!$A$1:$Z$1,0)),"")</f>
        <v/>
      </c>
      <c r="I2054" s="13" t="str">
        <f aca="false">IFERROR(INDEX('Semrush Data'!$A$1:$Z$20000,MATCH(A2054,'Semrush Data'!$A$1:$A$20000,0),MATCH("CPC*",'Semrush Data'!$A$1:$Z$1,0)),"")</f>
        <v/>
      </c>
      <c r="J2054" s="7" t="str">
        <f aca="false">IFERROR(INDEX('Semrush Data'!$A$1:$Z$20000,MATCH(A2054,'Semrush Data'!$A$1:$A$20000,0),MATCH("Intent",'Semrush Data'!$A$1:$Z$1,0)),"")</f>
        <v/>
      </c>
    </row>
    <row r="2055" customFormat="false" ht="15" hidden="false" customHeight="true" outlineLevel="0" collapsed="false">
      <c r="A2055" s="7" t="s">
        <v>1516</v>
      </c>
      <c r="B2055" s="7" t="s">
        <v>1355</v>
      </c>
      <c r="C2055" s="7" t="n">
        <v>3</v>
      </c>
      <c r="D2055" s="7" t="n">
        <v>21</v>
      </c>
      <c r="E2055" s="7" t="n">
        <v>1</v>
      </c>
      <c r="F2055" s="7" t="s">
        <v>474</v>
      </c>
      <c r="G2055" s="12" t="str">
        <f aca="false">IFERROR(INDEX('Semrush Data'!$A$1:$Z$20000,MATCH(A2055,'Semrush Data'!$A$1:$A$20000,0),MATCH("Volume",'Semrush Data'!$A$1:$Z$1,0)),"")</f>
        <v/>
      </c>
      <c r="H2055" s="7" t="str">
        <f aca="false">IFERROR(INDEX('Semrush Data'!$A$1:$Z$20000,MATCH(A2055,'Semrush Data'!$A$1:$A$20000,0),MATCH("Keyword Difficulty*",'Semrush Data'!$A$1:$Z$1,0)),"")</f>
        <v/>
      </c>
      <c r="I2055" s="13" t="str">
        <f aca="false">IFERROR(INDEX('Semrush Data'!$A$1:$Z$20000,MATCH(A2055,'Semrush Data'!$A$1:$A$20000,0),MATCH("CPC*",'Semrush Data'!$A$1:$Z$1,0)),"")</f>
        <v/>
      </c>
      <c r="J2055" s="7" t="str">
        <f aca="false">IFERROR(INDEX('Semrush Data'!$A$1:$Z$20000,MATCH(A2055,'Semrush Data'!$A$1:$A$20000,0),MATCH("Intent",'Semrush Data'!$A$1:$Z$1,0)),"")</f>
        <v/>
      </c>
    </row>
    <row r="2056" customFormat="false" ht="15" hidden="false" customHeight="true" outlineLevel="0" collapsed="false">
      <c r="A2056" s="7" t="s">
        <v>1752</v>
      </c>
      <c r="B2056" s="7" t="s">
        <v>1355</v>
      </c>
      <c r="C2056" s="7" t="n">
        <v>3</v>
      </c>
      <c r="D2056" s="7" t="n">
        <v>21</v>
      </c>
      <c r="E2056" s="7" t="n">
        <v>1</v>
      </c>
      <c r="F2056" s="7" t="s">
        <v>724</v>
      </c>
      <c r="G2056" s="12" t="str">
        <f aca="false">IFERROR(INDEX('Semrush Data'!$A$1:$Z$20000,MATCH(A2056,'Semrush Data'!$A$1:$A$20000,0),MATCH("Volume",'Semrush Data'!$A$1:$Z$1,0)),"")</f>
        <v/>
      </c>
      <c r="H2056" s="7" t="str">
        <f aca="false">IFERROR(INDEX('Semrush Data'!$A$1:$Z$20000,MATCH(A2056,'Semrush Data'!$A$1:$A$20000,0),MATCH("Keyword Difficulty*",'Semrush Data'!$A$1:$Z$1,0)),"")</f>
        <v/>
      </c>
      <c r="I2056" s="13" t="str">
        <f aca="false">IFERROR(INDEX('Semrush Data'!$A$1:$Z$20000,MATCH(A2056,'Semrush Data'!$A$1:$A$20000,0),MATCH("CPC*",'Semrush Data'!$A$1:$Z$1,0)),"")</f>
        <v/>
      </c>
      <c r="J2056" s="7" t="str">
        <f aca="false">IFERROR(INDEX('Semrush Data'!$A$1:$Z$20000,MATCH(A2056,'Semrush Data'!$A$1:$A$20000,0),MATCH("Intent",'Semrush Data'!$A$1:$Z$1,0)),"")</f>
        <v/>
      </c>
    </row>
    <row r="2057" customFormat="false" ht="15" hidden="false" customHeight="true" outlineLevel="0" collapsed="false">
      <c r="A2057" s="7" t="s">
        <v>1740</v>
      </c>
      <c r="B2057" s="7" t="s">
        <v>1355</v>
      </c>
      <c r="C2057" s="7" t="n">
        <v>3</v>
      </c>
      <c r="D2057" s="7" t="n">
        <v>21</v>
      </c>
      <c r="E2057" s="7" t="n">
        <v>1</v>
      </c>
      <c r="F2057" s="7" t="s">
        <v>714</v>
      </c>
      <c r="G2057" s="12" t="str">
        <f aca="false">IFERROR(INDEX('Semrush Data'!$A$1:$Z$20000,MATCH(A2057,'Semrush Data'!$A$1:$A$20000,0),MATCH("Volume",'Semrush Data'!$A$1:$Z$1,0)),"")</f>
        <v/>
      </c>
      <c r="H2057" s="7" t="str">
        <f aca="false">IFERROR(INDEX('Semrush Data'!$A$1:$Z$20000,MATCH(A2057,'Semrush Data'!$A$1:$A$20000,0),MATCH("Keyword Difficulty*",'Semrush Data'!$A$1:$Z$1,0)),"")</f>
        <v/>
      </c>
      <c r="I2057" s="13" t="str">
        <f aca="false">IFERROR(INDEX('Semrush Data'!$A$1:$Z$20000,MATCH(A2057,'Semrush Data'!$A$1:$A$20000,0),MATCH("CPC*",'Semrush Data'!$A$1:$Z$1,0)),"")</f>
        <v/>
      </c>
      <c r="J2057" s="7" t="str">
        <f aca="false">IFERROR(INDEX('Semrush Data'!$A$1:$Z$20000,MATCH(A2057,'Semrush Data'!$A$1:$A$20000,0),MATCH("Intent",'Semrush Data'!$A$1:$Z$1,0)),"")</f>
        <v/>
      </c>
    </row>
    <row r="2058" customFormat="false" ht="15" hidden="false" customHeight="true" outlineLevel="0" collapsed="false">
      <c r="A2058" s="7" t="s">
        <v>1848</v>
      </c>
      <c r="B2058" s="7" t="s">
        <v>1355</v>
      </c>
      <c r="C2058" s="7" t="n">
        <v>3</v>
      </c>
      <c r="D2058" s="7" t="n">
        <v>21</v>
      </c>
      <c r="E2058" s="7" t="n">
        <v>1</v>
      </c>
      <c r="F2058" s="7" t="s">
        <v>813</v>
      </c>
      <c r="G2058" s="12" t="str">
        <f aca="false">IFERROR(INDEX('Semrush Data'!$A$1:$Z$20000,MATCH(A2058,'Semrush Data'!$A$1:$A$20000,0),MATCH("Volume",'Semrush Data'!$A$1:$Z$1,0)),"")</f>
        <v/>
      </c>
      <c r="H2058" s="7" t="str">
        <f aca="false">IFERROR(INDEX('Semrush Data'!$A$1:$Z$20000,MATCH(A2058,'Semrush Data'!$A$1:$A$20000,0),MATCH("Keyword Difficulty*",'Semrush Data'!$A$1:$Z$1,0)),"")</f>
        <v/>
      </c>
      <c r="I2058" s="13" t="str">
        <f aca="false">IFERROR(INDEX('Semrush Data'!$A$1:$Z$20000,MATCH(A2058,'Semrush Data'!$A$1:$A$20000,0),MATCH("CPC*",'Semrush Data'!$A$1:$Z$1,0)),"")</f>
        <v/>
      </c>
      <c r="J2058" s="7" t="str">
        <f aca="false">IFERROR(INDEX('Semrush Data'!$A$1:$Z$20000,MATCH(A2058,'Semrush Data'!$A$1:$A$20000,0),MATCH("Intent",'Semrush Data'!$A$1:$Z$1,0)),"")</f>
        <v/>
      </c>
    </row>
    <row r="2059" customFormat="false" ht="15" hidden="false" customHeight="true" outlineLevel="0" collapsed="false">
      <c r="A2059" s="7" t="s">
        <v>1523</v>
      </c>
      <c r="B2059" s="7" t="s">
        <v>1355</v>
      </c>
      <c r="C2059" s="7" t="n">
        <v>3</v>
      </c>
      <c r="D2059" s="7" t="n">
        <v>21</v>
      </c>
      <c r="E2059" s="7" t="n">
        <v>1</v>
      </c>
      <c r="F2059" s="7" t="s">
        <v>481</v>
      </c>
      <c r="G2059" s="12" t="str">
        <f aca="false">IFERROR(INDEX('Semrush Data'!$A$1:$Z$20000,MATCH(A2059,'Semrush Data'!$A$1:$A$20000,0),MATCH("Volume",'Semrush Data'!$A$1:$Z$1,0)),"")</f>
        <v/>
      </c>
      <c r="H2059" s="7" t="str">
        <f aca="false">IFERROR(INDEX('Semrush Data'!$A$1:$Z$20000,MATCH(A2059,'Semrush Data'!$A$1:$A$20000,0),MATCH("Keyword Difficulty*",'Semrush Data'!$A$1:$Z$1,0)),"")</f>
        <v/>
      </c>
      <c r="I2059" s="13" t="str">
        <f aca="false">IFERROR(INDEX('Semrush Data'!$A$1:$Z$20000,MATCH(A2059,'Semrush Data'!$A$1:$A$20000,0),MATCH("CPC*",'Semrush Data'!$A$1:$Z$1,0)),"")</f>
        <v/>
      </c>
      <c r="J2059" s="7" t="str">
        <f aca="false">IFERROR(INDEX('Semrush Data'!$A$1:$Z$20000,MATCH(A2059,'Semrush Data'!$A$1:$A$20000,0),MATCH("Intent",'Semrush Data'!$A$1:$Z$1,0)),"")</f>
        <v/>
      </c>
    </row>
    <row r="2060" customFormat="false" ht="15" hidden="false" customHeight="true" outlineLevel="0" collapsed="false">
      <c r="A2060" s="7" t="s">
        <v>1531</v>
      </c>
      <c r="B2060" s="7" t="s">
        <v>1355</v>
      </c>
      <c r="C2060" s="7" t="n">
        <v>3</v>
      </c>
      <c r="D2060" s="7" t="n">
        <v>21</v>
      </c>
      <c r="E2060" s="7" t="n">
        <v>1</v>
      </c>
      <c r="F2060" s="7" t="s">
        <v>489</v>
      </c>
      <c r="G2060" s="12" t="str">
        <f aca="false">IFERROR(INDEX('Semrush Data'!$A$1:$Z$20000,MATCH(A2060,'Semrush Data'!$A$1:$A$20000,0),MATCH("Volume",'Semrush Data'!$A$1:$Z$1,0)),"")</f>
        <v/>
      </c>
      <c r="H2060" s="7" t="str">
        <f aca="false">IFERROR(INDEX('Semrush Data'!$A$1:$Z$20000,MATCH(A2060,'Semrush Data'!$A$1:$A$20000,0),MATCH("Keyword Difficulty*",'Semrush Data'!$A$1:$Z$1,0)),"")</f>
        <v/>
      </c>
      <c r="I2060" s="13" t="str">
        <f aca="false">IFERROR(INDEX('Semrush Data'!$A$1:$Z$20000,MATCH(A2060,'Semrush Data'!$A$1:$A$20000,0),MATCH("CPC*",'Semrush Data'!$A$1:$Z$1,0)),"")</f>
        <v/>
      </c>
      <c r="J2060" s="7" t="str">
        <f aca="false">IFERROR(INDEX('Semrush Data'!$A$1:$Z$20000,MATCH(A2060,'Semrush Data'!$A$1:$A$20000,0),MATCH("Intent",'Semrush Data'!$A$1:$Z$1,0)),"")</f>
        <v/>
      </c>
    </row>
    <row r="2061" customFormat="false" ht="15" hidden="false" customHeight="true" outlineLevel="0" collapsed="false">
      <c r="A2061" s="7" t="s">
        <v>1710</v>
      </c>
      <c r="B2061" s="7" t="s">
        <v>1355</v>
      </c>
      <c r="C2061" s="7" t="n">
        <v>3</v>
      </c>
      <c r="D2061" s="7" t="n">
        <v>21</v>
      </c>
      <c r="E2061" s="7" t="n">
        <v>1</v>
      </c>
      <c r="F2061" s="7" t="s">
        <v>687</v>
      </c>
      <c r="G2061" s="12" t="str">
        <f aca="false">IFERROR(INDEX('Semrush Data'!$A$1:$Z$20000,MATCH(A2061,'Semrush Data'!$A$1:$A$20000,0),MATCH("Volume",'Semrush Data'!$A$1:$Z$1,0)),"")</f>
        <v/>
      </c>
      <c r="H2061" s="7" t="str">
        <f aca="false">IFERROR(INDEX('Semrush Data'!$A$1:$Z$20000,MATCH(A2061,'Semrush Data'!$A$1:$A$20000,0),MATCH("Keyword Difficulty*",'Semrush Data'!$A$1:$Z$1,0)),"")</f>
        <v/>
      </c>
      <c r="I2061" s="13" t="str">
        <f aca="false">IFERROR(INDEX('Semrush Data'!$A$1:$Z$20000,MATCH(A2061,'Semrush Data'!$A$1:$A$20000,0),MATCH("CPC*",'Semrush Data'!$A$1:$Z$1,0)),"")</f>
        <v/>
      </c>
      <c r="J2061" s="7" t="str">
        <f aca="false">IFERROR(INDEX('Semrush Data'!$A$1:$Z$20000,MATCH(A2061,'Semrush Data'!$A$1:$A$20000,0),MATCH("Intent",'Semrush Data'!$A$1:$Z$1,0)),"")</f>
        <v/>
      </c>
    </row>
    <row r="2062" customFormat="false" ht="15" hidden="false" customHeight="true" outlineLevel="0" collapsed="false">
      <c r="A2062" s="7" t="s">
        <v>1716</v>
      </c>
      <c r="B2062" s="7" t="s">
        <v>1355</v>
      </c>
      <c r="C2062" s="7" t="n">
        <v>3</v>
      </c>
      <c r="D2062" s="7" t="n">
        <v>21</v>
      </c>
      <c r="E2062" s="7" t="n">
        <v>2</v>
      </c>
      <c r="F2062" s="7" t="s">
        <v>6811</v>
      </c>
      <c r="G2062" s="12" t="str">
        <f aca="false">IFERROR(INDEX('Semrush Data'!$A$1:$Z$20000,MATCH(A2062,'Semrush Data'!$A$1:$A$20000,0),MATCH("Volume",'Semrush Data'!$A$1:$Z$1,0)),"")</f>
        <v/>
      </c>
      <c r="H2062" s="7" t="str">
        <f aca="false">IFERROR(INDEX('Semrush Data'!$A$1:$Z$20000,MATCH(A2062,'Semrush Data'!$A$1:$A$20000,0),MATCH("Keyword Difficulty*",'Semrush Data'!$A$1:$Z$1,0)),"")</f>
        <v/>
      </c>
      <c r="I2062" s="13" t="str">
        <f aca="false">IFERROR(INDEX('Semrush Data'!$A$1:$Z$20000,MATCH(A2062,'Semrush Data'!$A$1:$A$20000,0),MATCH("CPC*",'Semrush Data'!$A$1:$Z$1,0)),"")</f>
        <v/>
      </c>
      <c r="J2062" s="7" t="str">
        <f aca="false">IFERROR(INDEX('Semrush Data'!$A$1:$Z$20000,MATCH(A2062,'Semrush Data'!$A$1:$A$20000,0),MATCH("Intent",'Semrush Data'!$A$1:$Z$1,0)),"")</f>
        <v/>
      </c>
    </row>
    <row r="2063" customFormat="false" ht="15" hidden="false" customHeight="true" outlineLevel="0" collapsed="false">
      <c r="A2063" s="7" t="s">
        <v>1818</v>
      </c>
      <c r="B2063" s="7" t="s">
        <v>1355</v>
      </c>
      <c r="C2063" s="7" t="n">
        <v>3</v>
      </c>
      <c r="D2063" s="7" t="n">
        <v>21</v>
      </c>
      <c r="E2063" s="7" t="n">
        <v>1</v>
      </c>
      <c r="F2063" s="7" t="s">
        <v>786</v>
      </c>
      <c r="G2063" s="12" t="str">
        <f aca="false">IFERROR(INDEX('Semrush Data'!$A$1:$Z$20000,MATCH(A2063,'Semrush Data'!$A$1:$A$20000,0),MATCH("Volume",'Semrush Data'!$A$1:$Z$1,0)),"")</f>
        <v/>
      </c>
      <c r="H2063" s="7" t="str">
        <f aca="false">IFERROR(INDEX('Semrush Data'!$A$1:$Z$20000,MATCH(A2063,'Semrush Data'!$A$1:$A$20000,0),MATCH("Keyword Difficulty*",'Semrush Data'!$A$1:$Z$1,0)),"")</f>
        <v/>
      </c>
      <c r="I2063" s="13" t="str">
        <f aca="false">IFERROR(INDEX('Semrush Data'!$A$1:$Z$20000,MATCH(A2063,'Semrush Data'!$A$1:$A$20000,0),MATCH("CPC*",'Semrush Data'!$A$1:$Z$1,0)),"")</f>
        <v/>
      </c>
      <c r="J2063" s="7" t="str">
        <f aca="false">IFERROR(INDEX('Semrush Data'!$A$1:$Z$20000,MATCH(A2063,'Semrush Data'!$A$1:$A$20000,0),MATCH("Intent",'Semrush Data'!$A$1:$Z$1,0)),"")</f>
        <v/>
      </c>
    </row>
    <row r="2064" customFormat="false" ht="15" hidden="false" customHeight="true" outlineLevel="0" collapsed="false">
      <c r="A2064" s="7" t="s">
        <v>1746</v>
      </c>
      <c r="B2064" s="7" t="s">
        <v>1355</v>
      </c>
      <c r="C2064" s="7" t="n">
        <v>3</v>
      </c>
      <c r="D2064" s="7" t="n">
        <v>21</v>
      </c>
      <c r="E2064" s="7" t="n">
        <v>1</v>
      </c>
      <c r="F2064" s="7" t="s">
        <v>719</v>
      </c>
      <c r="G2064" s="12" t="str">
        <f aca="false">IFERROR(INDEX('Semrush Data'!$A$1:$Z$20000,MATCH(A2064,'Semrush Data'!$A$1:$A$20000,0),MATCH("Volume",'Semrush Data'!$A$1:$Z$1,0)),"")</f>
        <v/>
      </c>
      <c r="H2064" s="7" t="str">
        <f aca="false">IFERROR(INDEX('Semrush Data'!$A$1:$Z$20000,MATCH(A2064,'Semrush Data'!$A$1:$A$20000,0),MATCH("Keyword Difficulty*",'Semrush Data'!$A$1:$Z$1,0)),"")</f>
        <v/>
      </c>
      <c r="I2064" s="13" t="str">
        <f aca="false">IFERROR(INDEX('Semrush Data'!$A$1:$Z$20000,MATCH(A2064,'Semrush Data'!$A$1:$A$20000,0),MATCH("CPC*",'Semrush Data'!$A$1:$Z$1,0)),"")</f>
        <v/>
      </c>
      <c r="J2064" s="7" t="str">
        <f aca="false">IFERROR(INDEX('Semrush Data'!$A$1:$Z$20000,MATCH(A2064,'Semrush Data'!$A$1:$A$20000,0),MATCH("Intent",'Semrush Data'!$A$1:$Z$1,0)),"")</f>
        <v/>
      </c>
    </row>
    <row r="2065" customFormat="false" ht="15" hidden="false" customHeight="true" outlineLevel="0" collapsed="false">
      <c r="A2065" s="7" t="s">
        <v>1539</v>
      </c>
      <c r="B2065" s="7" t="s">
        <v>1355</v>
      </c>
      <c r="C2065" s="7" t="n">
        <v>3</v>
      </c>
      <c r="D2065" s="7" t="n">
        <v>21</v>
      </c>
      <c r="E2065" s="7" t="n">
        <v>1</v>
      </c>
      <c r="F2065" s="7" t="s">
        <v>499</v>
      </c>
      <c r="G2065" s="12" t="str">
        <f aca="false">IFERROR(INDEX('Semrush Data'!$A$1:$Z$20000,MATCH(A2065,'Semrush Data'!$A$1:$A$20000,0),MATCH("Volume",'Semrush Data'!$A$1:$Z$1,0)),"")</f>
        <v/>
      </c>
      <c r="H2065" s="7" t="str">
        <f aca="false">IFERROR(INDEX('Semrush Data'!$A$1:$Z$20000,MATCH(A2065,'Semrush Data'!$A$1:$A$20000,0),MATCH("Keyword Difficulty*",'Semrush Data'!$A$1:$Z$1,0)),"")</f>
        <v/>
      </c>
      <c r="I2065" s="13" t="str">
        <f aca="false">IFERROR(INDEX('Semrush Data'!$A$1:$Z$20000,MATCH(A2065,'Semrush Data'!$A$1:$A$20000,0),MATCH("CPC*",'Semrush Data'!$A$1:$Z$1,0)),"")</f>
        <v/>
      </c>
      <c r="J2065" s="7" t="str">
        <f aca="false">IFERROR(INDEX('Semrush Data'!$A$1:$Z$20000,MATCH(A2065,'Semrush Data'!$A$1:$A$20000,0),MATCH("Intent",'Semrush Data'!$A$1:$Z$1,0)),"")</f>
        <v/>
      </c>
    </row>
    <row r="2066" customFormat="false" ht="15" hidden="false" customHeight="true" outlineLevel="0" collapsed="false">
      <c r="A2066" s="7" t="s">
        <v>1854</v>
      </c>
      <c r="B2066" s="7" t="s">
        <v>1355</v>
      </c>
      <c r="C2066" s="7" t="n">
        <v>3</v>
      </c>
      <c r="D2066" s="7" t="n">
        <v>21</v>
      </c>
      <c r="E2066" s="7" t="n">
        <v>1</v>
      </c>
      <c r="F2066" s="7" t="s">
        <v>818</v>
      </c>
      <c r="G2066" s="12" t="str">
        <f aca="false">IFERROR(INDEX('Semrush Data'!$A$1:$Z$20000,MATCH(A2066,'Semrush Data'!$A$1:$A$20000,0),MATCH("Volume",'Semrush Data'!$A$1:$Z$1,0)),"")</f>
        <v/>
      </c>
      <c r="H2066" s="7" t="str">
        <f aca="false">IFERROR(INDEX('Semrush Data'!$A$1:$Z$20000,MATCH(A2066,'Semrush Data'!$A$1:$A$20000,0),MATCH("Keyword Difficulty*",'Semrush Data'!$A$1:$Z$1,0)),"")</f>
        <v/>
      </c>
      <c r="I2066" s="13" t="str">
        <f aca="false">IFERROR(INDEX('Semrush Data'!$A$1:$Z$20000,MATCH(A2066,'Semrush Data'!$A$1:$A$20000,0),MATCH("CPC*",'Semrush Data'!$A$1:$Z$1,0)),"")</f>
        <v/>
      </c>
      <c r="J2066" s="7" t="str">
        <f aca="false">IFERROR(INDEX('Semrush Data'!$A$1:$Z$20000,MATCH(A2066,'Semrush Data'!$A$1:$A$20000,0),MATCH("Intent",'Semrush Data'!$A$1:$Z$1,0)),"")</f>
        <v/>
      </c>
    </row>
    <row r="2067" customFormat="false" ht="15" hidden="false" customHeight="true" outlineLevel="0" collapsed="false">
      <c r="A2067" s="7" t="s">
        <v>1788</v>
      </c>
      <c r="B2067" s="7" t="s">
        <v>1355</v>
      </c>
      <c r="C2067" s="7" t="n">
        <v>3</v>
      </c>
      <c r="D2067" s="7" t="n">
        <v>21</v>
      </c>
      <c r="E2067" s="7" t="n">
        <v>1</v>
      </c>
      <c r="F2067" s="7" t="s">
        <v>758</v>
      </c>
      <c r="G2067" s="12" t="str">
        <f aca="false">IFERROR(INDEX('Semrush Data'!$A$1:$Z$20000,MATCH(A2067,'Semrush Data'!$A$1:$A$20000,0),MATCH("Volume",'Semrush Data'!$A$1:$Z$1,0)),"")</f>
        <v/>
      </c>
      <c r="H2067" s="7" t="str">
        <f aca="false">IFERROR(INDEX('Semrush Data'!$A$1:$Z$20000,MATCH(A2067,'Semrush Data'!$A$1:$A$20000,0),MATCH("Keyword Difficulty*",'Semrush Data'!$A$1:$Z$1,0)),"")</f>
        <v/>
      </c>
      <c r="I2067" s="13" t="str">
        <f aca="false">IFERROR(INDEX('Semrush Data'!$A$1:$Z$20000,MATCH(A2067,'Semrush Data'!$A$1:$A$20000,0),MATCH("CPC*",'Semrush Data'!$A$1:$Z$1,0)),"")</f>
        <v/>
      </c>
      <c r="J2067" s="7" t="str">
        <f aca="false">IFERROR(INDEX('Semrush Data'!$A$1:$Z$20000,MATCH(A2067,'Semrush Data'!$A$1:$A$20000,0),MATCH("Intent",'Semrush Data'!$A$1:$Z$1,0)),"")</f>
        <v/>
      </c>
    </row>
    <row r="2068" customFormat="false" ht="15" hidden="false" customHeight="true" outlineLevel="0" collapsed="false">
      <c r="A2068" s="7" t="s">
        <v>1546</v>
      </c>
      <c r="B2068" s="7" t="s">
        <v>1355</v>
      </c>
      <c r="C2068" s="7" t="n">
        <v>3</v>
      </c>
      <c r="D2068" s="7" t="n">
        <v>21</v>
      </c>
      <c r="E2068" s="7" t="n">
        <v>1</v>
      </c>
      <c r="F2068" s="7" t="s">
        <v>509</v>
      </c>
      <c r="G2068" s="12" t="str">
        <f aca="false">IFERROR(INDEX('Semrush Data'!$A$1:$Z$20000,MATCH(A2068,'Semrush Data'!$A$1:$A$20000,0),MATCH("Volume",'Semrush Data'!$A$1:$Z$1,0)),"")</f>
        <v/>
      </c>
      <c r="H2068" s="7" t="str">
        <f aca="false">IFERROR(INDEX('Semrush Data'!$A$1:$Z$20000,MATCH(A2068,'Semrush Data'!$A$1:$A$20000,0),MATCH("Keyword Difficulty*",'Semrush Data'!$A$1:$Z$1,0)),"")</f>
        <v/>
      </c>
      <c r="I2068" s="13" t="str">
        <f aca="false">IFERROR(INDEX('Semrush Data'!$A$1:$Z$20000,MATCH(A2068,'Semrush Data'!$A$1:$A$20000,0),MATCH("CPC*",'Semrush Data'!$A$1:$Z$1,0)),"")</f>
        <v/>
      </c>
      <c r="J2068" s="7" t="str">
        <f aca="false">IFERROR(INDEX('Semrush Data'!$A$1:$Z$20000,MATCH(A2068,'Semrush Data'!$A$1:$A$20000,0),MATCH("Intent",'Semrush Data'!$A$1:$Z$1,0)),"")</f>
        <v/>
      </c>
    </row>
    <row r="2069" customFormat="false" ht="15" hidden="false" customHeight="true" outlineLevel="0" collapsed="false">
      <c r="A2069" s="7" t="s">
        <v>1455</v>
      </c>
      <c r="B2069" s="7" t="s">
        <v>1355</v>
      </c>
      <c r="C2069" s="7" t="n">
        <v>3</v>
      </c>
      <c r="D2069" s="7" t="n">
        <v>21</v>
      </c>
      <c r="E2069" s="7" t="n">
        <v>1</v>
      </c>
      <c r="F2069" s="7" t="s">
        <v>404</v>
      </c>
      <c r="G2069" s="12" t="str">
        <f aca="false">IFERROR(INDEX('Semrush Data'!$A$1:$Z$20000,MATCH(A2069,'Semrush Data'!$A$1:$A$20000,0),MATCH("Volume",'Semrush Data'!$A$1:$Z$1,0)),"")</f>
        <v/>
      </c>
      <c r="H2069" s="7" t="str">
        <f aca="false">IFERROR(INDEX('Semrush Data'!$A$1:$Z$20000,MATCH(A2069,'Semrush Data'!$A$1:$A$20000,0),MATCH("Keyword Difficulty*",'Semrush Data'!$A$1:$Z$1,0)),"")</f>
        <v/>
      </c>
      <c r="I2069" s="13" t="str">
        <f aca="false">IFERROR(INDEX('Semrush Data'!$A$1:$Z$20000,MATCH(A2069,'Semrush Data'!$A$1:$A$20000,0),MATCH("CPC*",'Semrush Data'!$A$1:$Z$1,0)),"")</f>
        <v/>
      </c>
      <c r="J2069" s="7" t="str">
        <f aca="false">IFERROR(INDEX('Semrush Data'!$A$1:$Z$20000,MATCH(A2069,'Semrush Data'!$A$1:$A$20000,0),MATCH("Intent",'Semrush Data'!$A$1:$Z$1,0)),"")</f>
        <v/>
      </c>
    </row>
    <row r="2070" customFormat="false" ht="15" hidden="false" customHeight="true" outlineLevel="0" collapsed="false">
      <c r="A2070" s="7" t="s">
        <v>1396</v>
      </c>
      <c r="B2070" s="7" t="s">
        <v>1355</v>
      </c>
      <c r="C2070" s="7" t="n">
        <v>3</v>
      </c>
      <c r="D2070" s="7" t="n">
        <v>21</v>
      </c>
      <c r="E2070" s="7" t="n">
        <v>1</v>
      </c>
      <c r="F2070" s="7" t="s">
        <v>334</v>
      </c>
      <c r="G2070" s="12" t="str">
        <f aca="false">IFERROR(INDEX('Semrush Data'!$A$1:$Z$20000,MATCH(A2070,'Semrush Data'!$A$1:$A$20000,0),MATCH("Volume",'Semrush Data'!$A$1:$Z$1,0)),"")</f>
        <v/>
      </c>
      <c r="H2070" s="7" t="str">
        <f aca="false">IFERROR(INDEX('Semrush Data'!$A$1:$Z$20000,MATCH(A2070,'Semrush Data'!$A$1:$A$20000,0),MATCH("Keyword Difficulty*",'Semrush Data'!$A$1:$Z$1,0)),"")</f>
        <v/>
      </c>
      <c r="I2070" s="13" t="str">
        <f aca="false">IFERROR(INDEX('Semrush Data'!$A$1:$Z$20000,MATCH(A2070,'Semrush Data'!$A$1:$A$20000,0),MATCH("CPC*",'Semrush Data'!$A$1:$Z$1,0)),"")</f>
        <v/>
      </c>
      <c r="J2070" s="7" t="str">
        <f aca="false">IFERROR(INDEX('Semrush Data'!$A$1:$Z$20000,MATCH(A2070,'Semrush Data'!$A$1:$A$20000,0),MATCH("Intent",'Semrush Data'!$A$1:$Z$1,0)),"")</f>
        <v/>
      </c>
    </row>
    <row r="2071" customFormat="false" ht="15" hidden="false" customHeight="true" outlineLevel="0" collapsed="false">
      <c r="A2071" s="7" t="s">
        <v>1434</v>
      </c>
      <c r="B2071" s="7" t="s">
        <v>1355</v>
      </c>
      <c r="C2071" s="7" t="n">
        <v>3</v>
      </c>
      <c r="D2071" s="7" t="n">
        <v>21</v>
      </c>
      <c r="E2071" s="7" t="n">
        <v>1</v>
      </c>
      <c r="F2071" s="7" t="s">
        <v>381</v>
      </c>
      <c r="G2071" s="12" t="str">
        <f aca="false">IFERROR(INDEX('Semrush Data'!$A$1:$Z$20000,MATCH(A2071,'Semrush Data'!$A$1:$A$20000,0),MATCH("Volume",'Semrush Data'!$A$1:$Z$1,0)),"")</f>
        <v/>
      </c>
      <c r="H2071" s="7" t="str">
        <f aca="false">IFERROR(INDEX('Semrush Data'!$A$1:$Z$20000,MATCH(A2071,'Semrush Data'!$A$1:$A$20000,0),MATCH("Keyword Difficulty*",'Semrush Data'!$A$1:$Z$1,0)),"")</f>
        <v/>
      </c>
      <c r="I2071" s="13" t="str">
        <f aca="false">IFERROR(INDEX('Semrush Data'!$A$1:$Z$20000,MATCH(A2071,'Semrush Data'!$A$1:$A$20000,0),MATCH("CPC*",'Semrush Data'!$A$1:$Z$1,0)),"")</f>
        <v/>
      </c>
      <c r="J2071" s="7" t="str">
        <f aca="false">IFERROR(INDEX('Semrush Data'!$A$1:$Z$20000,MATCH(A2071,'Semrush Data'!$A$1:$A$20000,0),MATCH("Intent",'Semrush Data'!$A$1:$Z$1,0)),"")</f>
        <v/>
      </c>
    </row>
    <row r="2072" customFormat="false" ht="15" hidden="false" customHeight="true" outlineLevel="0" collapsed="false">
      <c r="A2072" s="7" t="s">
        <v>1553</v>
      </c>
      <c r="B2072" s="7" t="s">
        <v>1355</v>
      </c>
      <c r="C2072" s="7" t="n">
        <v>3</v>
      </c>
      <c r="D2072" s="7" t="n">
        <v>21</v>
      </c>
      <c r="E2072" s="7" t="n">
        <v>1</v>
      </c>
      <c r="F2072" s="7" t="s">
        <v>517</v>
      </c>
      <c r="G2072" s="12" t="str">
        <f aca="false">IFERROR(INDEX('Semrush Data'!$A$1:$Z$20000,MATCH(A2072,'Semrush Data'!$A$1:$A$20000,0),MATCH("Volume",'Semrush Data'!$A$1:$Z$1,0)),"")</f>
        <v/>
      </c>
      <c r="H2072" s="7" t="str">
        <f aca="false">IFERROR(INDEX('Semrush Data'!$A$1:$Z$20000,MATCH(A2072,'Semrush Data'!$A$1:$A$20000,0),MATCH("Keyword Difficulty*",'Semrush Data'!$A$1:$Z$1,0)),"")</f>
        <v/>
      </c>
      <c r="I2072" s="13" t="str">
        <f aca="false">IFERROR(INDEX('Semrush Data'!$A$1:$Z$20000,MATCH(A2072,'Semrush Data'!$A$1:$A$20000,0),MATCH("CPC*",'Semrush Data'!$A$1:$Z$1,0)),"")</f>
        <v/>
      </c>
      <c r="J2072" s="7" t="str">
        <f aca="false">IFERROR(INDEX('Semrush Data'!$A$1:$Z$20000,MATCH(A2072,'Semrush Data'!$A$1:$A$20000,0),MATCH("Intent",'Semrush Data'!$A$1:$Z$1,0)),"")</f>
        <v/>
      </c>
    </row>
    <row r="2073" customFormat="false" ht="15" hidden="false" customHeight="true" outlineLevel="0" collapsed="false">
      <c r="A2073" s="7" t="s">
        <v>1559</v>
      </c>
      <c r="B2073" s="7" t="s">
        <v>1355</v>
      </c>
      <c r="C2073" s="7" t="n">
        <v>3</v>
      </c>
      <c r="D2073" s="7" t="n">
        <v>21</v>
      </c>
      <c r="E2073" s="7" t="n">
        <v>1</v>
      </c>
      <c r="F2073" s="7" t="s">
        <v>523</v>
      </c>
      <c r="G2073" s="12" t="str">
        <f aca="false">IFERROR(INDEX('Semrush Data'!$A$1:$Z$20000,MATCH(A2073,'Semrush Data'!$A$1:$A$20000,0),MATCH("Volume",'Semrush Data'!$A$1:$Z$1,0)),"")</f>
        <v/>
      </c>
      <c r="H2073" s="7" t="str">
        <f aca="false">IFERROR(INDEX('Semrush Data'!$A$1:$Z$20000,MATCH(A2073,'Semrush Data'!$A$1:$A$20000,0),MATCH("Keyword Difficulty*",'Semrush Data'!$A$1:$Z$1,0)),"")</f>
        <v/>
      </c>
      <c r="I2073" s="13" t="str">
        <f aca="false">IFERROR(INDEX('Semrush Data'!$A$1:$Z$20000,MATCH(A2073,'Semrush Data'!$A$1:$A$20000,0),MATCH("CPC*",'Semrush Data'!$A$1:$Z$1,0)),"")</f>
        <v/>
      </c>
      <c r="J2073" s="7" t="str">
        <f aca="false">IFERROR(INDEX('Semrush Data'!$A$1:$Z$20000,MATCH(A2073,'Semrush Data'!$A$1:$A$20000,0),MATCH("Intent",'Semrush Data'!$A$1:$Z$1,0)),"")</f>
        <v/>
      </c>
    </row>
    <row r="2074" customFormat="false" ht="15" hidden="false" customHeight="true" outlineLevel="0" collapsed="false">
      <c r="A2074" s="7" t="s">
        <v>1672</v>
      </c>
      <c r="B2074" s="7" t="s">
        <v>1355</v>
      </c>
      <c r="C2074" s="7" t="n">
        <v>3</v>
      </c>
      <c r="D2074" s="7" t="n">
        <v>21</v>
      </c>
      <c r="E2074" s="7" t="n">
        <v>1</v>
      </c>
      <c r="F2074" s="7" t="s">
        <v>650</v>
      </c>
      <c r="G2074" s="12" t="str">
        <f aca="false">IFERROR(INDEX('Semrush Data'!$A$1:$Z$20000,MATCH(A2074,'Semrush Data'!$A$1:$A$20000,0),MATCH("Volume",'Semrush Data'!$A$1:$Z$1,0)),"")</f>
        <v/>
      </c>
      <c r="H2074" s="7" t="str">
        <f aca="false">IFERROR(INDEX('Semrush Data'!$A$1:$Z$20000,MATCH(A2074,'Semrush Data'!$A$1:$A$20000,0),MATCH("Keyword Difficulty*",'Semrush Data'!$A$1:$Z$1,0)),"")</f>
        <v/>
      </c>
      <c r="I2074" s="13" t="str">
        <f aca="false">IFERROR(INDEX('Semrush Data'!$A$1:$Z$20000,MATCH(A2074,'Semrush Data'!$A$1:$A$20000,0),MATCH("CPC*",'Semrush Data'!$A$1:$Z$1,0)),"")</f>
        <v/>
      </c>
      <c r="J2074" s="7" t="str">
        <f aca="false">IFERROR(INDEX('Semrush Data'!$A$1:$Z$20000,MATCH(A2074,'Semrush Data'!$A$1:$A$20000,0),MATCH("Intent",'Semrush Data'!$A$1:$Z$1,0)),"")</f>
        <v/>
      </c>
    </row>
    <row r="2075" customFormat="false" ht="15" hidden="false" customHeight="true" outlineLevel="0" collapsed="false">
      <c r="A2075" s="7" t="s">
        <v>1462</v>
      </c>
      <c r="B2075" s="7" t="s">
        <v>1355</v>
      </c>
      <c r="C2075" s="7" t="n">
        <v>3</v>
      </c>
      <c r="D2075" s="7" t="n">
        <v>21</v>
      </c>
      <c r="E2075" s="7" t="n">
        <v>1</v>
      </c>
      <c r="F2075" s="7" t="s">
        <v>410</v>
      </c>
      <c r="G2075" s="12" t="str">
        <f aca="false">IFERROR(INDEX('Semrush Data'!$A$1:$Z$20000,MATCH(A2075,'Semrush Data'!$A$1:$A$20000,0),MATCH("Volume",'Semrush Data'!$A$1:$Z$1,0)),"")</f>
        <v/>
      </c>
      <c r="H2075" s="7" t="str">
        <f aca="false">IFERROR(INDEX('Semrush Data'!$A$1:$Z$20000,MATCH(A2075,'Semrush Data'!$A$1:$A$20000,0),MATCH("Keyword Difficulty*",'Semrush Data'!$A$1:$Z$1,0)),"")</f>
        <v/>
      </c>
      <c r="I2075" s="13" t="str">
        <f aca="false">IFERROR(INDEX('Semrush Data'!$A$1:$Z$20000,MATCH(A2075,'Semrush Data'!$A$1:$A$20000,0),MATCH("CPC*",'Semrush Data'!$A$1:$Z$1,0)),"")</f>
        <v/>
      </c>
      <c r="J2075" s="7" t="str">
        <f aca="false">IFERROR(INDEX('Semrush Data'!$A$1:$Z$20000,MATCH(A2075,'Semrush Data'!$A$1:$A$20000,0),MATCH("Intent",'Semrush Data'!$A$1:$Z$1,0)),"")</f>
        <v/>
      </c>
    </row>
    <row r="2076" customFormat="false" ht="15" hidden="false" customHeight="true" outlineLevel="0" collapsed="false">
      <c r="A2076" s="7" t="s">
        <v>1566</v>
      </c>
      <c r="B2076" s="7" t="s">
        <v>1355</v>
      </c>
      <c r="C2076" s="7" t="n">
        <v>3</v>
      </c>
      <c r="D2076" s="7" t="n">
        <v>21</v>
      </c>
      <c r="E2076" s="7" t="n">
        <v>1</v>
      </c>
      <c r="F2076" s="7" t="s">
        <v>532</v>
      </c>
      <c r="G2076" s="12" t="str">
        <f aca="false">IFERROR(INDEX('Semrush Data'!$A$1:$Z$20000,MATCH(A2076,'Semrush Data'!$A$1:$A$20000,0),MATCH("Volume",'Semrush Data'!$A$1:$Z$1,0)),"")</f>
        <v/>
      </c>
      <c r="H2076" s="7" t="str">
        <f aca="false">IFERROR(INDEX('Semrush Data'!$A$1:$Z$20000,MATCH(A2076,'Semrush Data'!$A$1:$A$20000,0),MATCH("Keyword Difficulty*",'Semrush Data'!$A$1:$Z$1,0)),"")</f>
        <v/>
      </c>
      <c r="I2076" s="13" t="str">
        <f aca="false">IFERROR(INDEX('Semrush Data'!$A$1:$Z$20000,MATCH(A2076,'Semrush Data'!$A$1:$A$20000,0),MATCH("CPC*",'Semrush Data'!$A$1:$Z$1,0)),"")</f>
        <v/>
      </c>
      <c r="J2076" s="7" t="str">
        <f aca="false">IFERROR(INDEX('Semrush Data'!$A$1:$Z$20000,MATCH(A2076,'Semrush Data'!$A$1:$A$20000,0),MATCH("Intent",'Semrush Data'!$A$1:$Z$1,0)),"")</f>
        <v/>
      </c>
    </row>
    <row r="2077" customFormat="false" ht="15" hidden="false" customHeight="true" outlineLevel="0" collapsed="false">
      <c r="A2077" s="7" t="s">
        <v>1571</v>
      </c>
      <c r="B2077" s="7" t="s">
        <v>1355</v>
      </c>
      <c r="C2077" s="7" t="n">
        <v>3</v>
      </c>
      <c r="D2077" s="7" t="n">
        <v>21</v>
      </c>
      <c r="E2077" s="7" t="n">
        <v>1</v>
      </c>
      <c r="F2077" s="7" t="s">
        <v>539</v>
      </c>
      <c r="G2077" s="12" t="str">
        <f aca="false">IFERROR(INDEX('Semrush Data'!$A$1:$Z$20000,MATCH(A2077,'Semrush Data'!$A$1:$A$20000,0),MATCH("Volume",'Semrush Data'!$A$1:$Z$1,0)),"")</f>
        <v/>
      </c>
      <c r="H2077" s="7" t="str">
        <f aca="false">IFERROR(INDEX('Semrush Data'!$A$1:$Z$20000,MATCH(A2077,'Semrush Data'!$A$1:$A$20000,0),MATCH("Keyword Difficulty*",'Semrush Data'!$A$1:$Z$1,0)),"")</f>
        <v/>
      </c>
      <c r="I2077" s="13" t="str">
        <f aca="false">IFERROR(INDEX('Semrush Data'!$A$1:$Z$20000,MATCH(A2077,'Semrush Data'!$A$1:$A$20000,0),MATCH("CPC*",'Semrush Data'!$A$1:$Z$1,0)),"")</f>
        <v/>
      </c>
      <c r="J2077" s="7" t="str">
        <f aca="false">IFERROR(INDEX('Semrush Data'!$A$1:$Z$20000,MATCH(A2077,'Semrush Data'!$A$1:$A$20000,0),MATCH("Intent",'Semrush Data'!$A$1:$Z$1,0)),"")</f>
        <v/>
      </c>
    </row>
    <row r="2078" customFormat="false" ht="15" hidden="false" customHeight="true" outlineLevel="0" collapsed="false">
      <c r="A2078" s="7" t="s">
        <v>1577</v>
      </c>
      <c r="B2078" s="7" t="s">
        <v>1355</v>
      </c>
      <c r="C2078" s="7" t="n">
        <v>3</v>
      </c>
      <c r="D2078" s="7" t="n">
        <v>21</v>
      </c>
      <c r="E2078" s="7" t="n">
        <v>1</v>
      </c>
      <c r="F2078" s="7" t="s">
        <v>545</v>
      </c>
      <c r="G2078" s="12" t="str">
        <f aca="false">IFERROR(INDEX('Semrush Data'!$A$1:$Z$20000,MATCH(A2078,'Semrush Data'!$A$1:$A$20000,0),MATCH("Volume",'Semrush Data'!$A$1:$Z$1,0)),"")</f>
        <v/>
      </c>
      <c r="H2078" s="7" t="str">
        <f aca="false">IFERROR(INDEX('Semrush Data'!$A$1:$Z$20000,MATCH(A2078,'Semrush Data'!$A$1:$A$20000,0),MATCH("Keyword Difficulty*",'Semrush Data'!$A$1:$Z$1,0)),"")</f>
        <v/>
      </c>
      <c r="I2078" s="13" t="str">
        <f aca="false">IFERROR(INDEX('Semrush Data'!$A$1:$Z$20000,MATCH(A2078,'Semrush Data'!$A$1:$A$20000,0),MATCH("CPC*",'Semrush Data'!$A$1:$Z$1,0)),"")</f>
        <v/>
      </c>
      <c r="J2078" s="7" t="str">
        <f aca="false">IFERROR(INDEX('Semrush Data'!$A$1:$Z$20000,MATCH(A2078,'Semrush Data'!$A$1:$A$20000,0),MATCH("Intent",'Semrush Data'!$A$1:$Z$1,0)),"")</f>
        <v/>
      </c>
    </row>
    <row r="2079" customFormat="false" ht="15" hidden="false" customHeight="true" outlineLevel="0" collapsed="false">
      <c r="A2079" s="7" t="s">
        <v>1404</v>
      </c>
      <c r="B2079" s="7" t="s">
        <v>1355</v>
      </c>
      <c r="C2079" s="7" t="n">
        <v>3</v>
      </c>
      <c r="D2079" s="7" t="n">
        <v>21</v>
      </c>
      <c r="E2079" s="7" t="n">
        <v>1</v>
      </c>
      <c r="F2079" s="7" t="s">
        <v>344</v>
      </c>
      <c r="G2079" s="12" t="str">
        <f aca="false">IFERROR(INDEX('Semrush Data'!$A$1:$Z$20000,MATCH(A2079,'Semrush Data'!$A$1:$A$20000,0),MATCH("Volume",'Semrush Data'!$A$1:$Z$1,0)),"")</f>
        <v/>
      </c>
      <c r="H2079" s="7" t="str">
        <f aca="false">IFERROR(INDEX('Semrush Data'!$A$1:$Z$20000,MATCH(A2079,'Semrush Data'!$A$1:$A$20000,0),MATCH("Keyword Difficulty*",'Semrush Data'!$A$1:$Z$1,0)),"")</f>
        <v/>
      </c>
      <c r="I2079" s="13" t="str">
        <f aca="false">IFERROR(INDEX('Semrush Data'!$A$1:$Z$20000,MATCH(A2079,'Semrush Data'!$A$1:$A$20000,0),MATCH("CPC*",'Semrush Data'!$A$1:$Z$1,0)),"")</f>
        <v/>
      </c>
      <c r="J2079" s="7" t="str">
        <f aca="false">IFERROR(INDEX('Semrush Data'!$A$1:$Z$20000,MATCH(A2079,'Semrush Data'!$A$1:$A$20000,0),MATCH("Intent",'Semrush Data'!$A$1:$Z$1,0)),"")</f>
        <v/>
      </c>
    </row>
    <row r="2080" customFormat="false" ht="15" hidden="false" customHeight="true" outlineLevel="0" collapsed="false">
      <c r="A2080" s="7" t="s">
        <v>1872</v>
      </c>
      <c r="B2080" s="7" t="s">
        <v>1355</v>
      </c>
      <c r="C2080" s="7" t="n">
        <v>3</v>
      </c>
      <c r="D2080" s="7" t="n">
        <v>21</v>
      </c>
      <c r="E2080" s="7" t="n">
        <v>1</v>
      </c>
      <c r="F2080" s="7" t="s">
        <v>835</v>
      </c>
      <c r="G2080" s="12" t="str">
        <f aca="false">IFERROR(INDEX('Semrush Data'!$A$1:$Z$20000,MATCH(A2080,'Semrush Data'!$A$1:$A$20000,0),MATCH("Volume",'Semrush Data'!$A$1:$Z$1,0)),"")</f>
        <v/>
      </c>
      <c r="H2080" s="7" t="str">
        <f aca="false">IFERROR(INDEX('Semrush Data'!$A$1:$Z$20000,MATCH(A2080,'Semrush Data'!$A$1:$A$20000,0),MATCH("Keyword Difficulty*",'Semrush Data'!$A$1:$Z$1,0)),"")</f>
        <v/>
      </c>
      <c r="I2080" s="13" t="str">
        <f aca="false">IFERROR(INDEX('Semrush Data'!$A$1:$Z$20000,MATCH(A2080,'Semrush Data'!$A$1:$A$20000,0),MATCH("CPC*",'Semrush Data'!$A$1:$Z$1,0)),"")</f>
        <v/>
      </c>
      <c r="J2080" s="7" t="str">
        <f aca="false">IFERROR(INDEX('Semrush Data'!$A$1:$Z$20000,MATCH(A2080,'Semrush Data'!$A$1:$A$20000,0),MATCH("Intent",'Semrush Data'!$A$1:$Z$1,0)),"")</f>
        <v/>
      </c>
    </row>
    <row r="2081" customFormat="false" ht="15" hidden="false" customHeight="true" outlineLevel="0" collapsed="false">
      <c r="A2081" s="7" t="s">
        <v>1776</v>
      </c>
      <c r="B2081" s="7" t="s">
        <v>1355</v>
      </c>
      <c r="C2081" s="7" t="n">
        <v>3</v>
      </c>
      <c r="D2081" s="7" t="n">
        <v>21</v>
      </c>
      <c r="E2081" s="7" t="n">
        <v>1</v>
      </c>
      <c r="F2081" s="7" t="s">
        <v>748</v>
      </c>
      <c r="G2081" s="12" t="str">
        <f aca="false">IFERROR(INDEX('Semrush Data'!$A$1:$Z$20000,MATCH(A2081,'Semrush Data'!$A$1:$A$20000,0),MATCH("Volume",'Semrush Data'!$A$1:$Z$1,0)),"")</f>
        <v/>
      </c>
      <c r="H2081" s="7" t="str">
        <f aca="false">IFERROR(INDEX('Semrush Data'!$A$1:$Z$20000,MATCH(A2081,'Semrush Data'!$A$1:$A$20000,0),MATCH("Keyword Difficulty*",'Semrush Data'!$A$1:$Z$1,0)),"")</f>
        <v/>
      </c>
      <c r="I2081" s="13" t="str">
        <f aca="false">IFERROR(INDEX('Semrush Data'!$A$1:$Z$20000,MATCH(A2081,'Semrush Data'!$A$1:$A$20000,0),MATCH("CPC*",'Semrush Data'!$A$1:$Z$1,0)),"")</f>
        <v/>
      </c>
      <c r="J2081" s="7" t="str">
        <f aca="false">IFERROR(INDEX('Semrush Data'!$A$1:$Z$20000,MATCH(A2081,'Semrush Data'!$A$1:$A$20000,0),MATCH("Intent",'Semrush Data'!$A$1:$Z$1,0)),"")</f>
        <v/>
      </c>
    </row>
    <row r="2082" customFormat="false" ht="15" hidden="false" customHeight="true" outlineLevel="0" collapsed="false">
      <c r="A2082" s="7" t="s">
        <v>1782</v>
      </c>
      <c r="B2082" s="7" t="s">
        <v>1355</v>
      </c>
      <c r="C2082" s="7" t="n">
        <v>3</v>
      </c>
      <c r="D2082" s="7" t="n">
        <v>21</v>
      </c>
      <c r="E2082" s="7" t="n">
        <v>1</v>
      </c>
      <c r="F2082" s="7" t="s">
        <v>753</v>
      </c>
      <c r="G2082" s="12" t="str">
        <f aca="false">IFERROR(INDEX('Semrush Data'!$A$1:$Z$20000,MATCH(A2082,'Semrush Data'!$A$1:$A$20000,0),MATCH("Volume",'Semrush Data'!$A$1:$Z$1,0)),"")</f>
        <v/>
      </c>
      <c r="H2082" s="7" t="str">
        <f aca="false">IFERROR(INDEX('Semrush Data'!$A$1:$Z$20000,MATCH(A2082,'Semrush Data'!$A$1:$A$20000,0),MATCH("Keyword Difficulty*",'Semrush Data'!$A$1:$Z$1,0)),"")</f>
        <v/>
      </c>
      <c r="I2082" s="13" t="str">
        <f aca="false">IFERROR(INDEX('Semrush Data'!$A$1:$Z$20000,MATCH(A2082,'Semrush Data'!$A$1:$A$20000,0),MATCH("CPC*",'Semrush Data'!$A$1:$Z$1,0)),"")</f>
        <v/>
      </c>
      <c r="J2082" s="7" t="str">
        <f aca="false">IFERROR(INDEX('Semrush Data'!$A$1:$Z$20000,MATCH(A2082,'Semrush Data'!$A$1:$A$20000,0),MATCH("Intent",'Semrush Data'!$A$1:$Z$1,0)),"")</f>
        <v/>
      </c>
    </row>
    <row r="2083" customFormat="false" ht="15" hidden="false" customHeight="true" outlineLevel="0" collapsed="false">
      <c r="A2083" s="7" t="s">
        <v>1794</v>
      </c>
      <c r="B2083" s="7" t="s">
        <v>1355</v>
      </c>
      <c r="C2083" s="7" t="n">
        <v>3</v>
      </c>
      <c r="D2083" s="7" t="n">
        <v>21</v>
      </c>
      <c r="E2083" s="7" t="n">
        <v>1</v>
      </c>
      <c r="F2083" s="7" t="s">
        <v>764</v>
      </c>
      <c r="G2083" s="12" t="str">
        <f aca="false">IFERROR(INDEX('Semrush Data'!$A$1:$Z$20000,MATCH(A2083,'Semrush Data'!$A$1:$A$20000,0),MATCH("Volume",'Semrush Data'!$A$1:$Z$1,0)),"")</f>
        <v/>
      </c>
      <c r="H2083" s="7" t="str">
        <f aca="false">IFERROR(INDEX('Semrush Data'!$A$1:$Z$20000,MATCH(A2083,'Semrush Data'!$A$1:$A$20000,0),MATCH("Keyword Difficulty*",'Semrush Data'!$A$1:$Z$1,0)),"")</f>
        <v/>
      </c>
      <c r="I2083" s="13" t="str">
        <f aca="false">IFERROR(INDEX('Semrush Data'!$A$1:$Z$20000,MATCH(A2083,'Semrush Data'!$A$1:$A$20000,0),MATCH("CPC*",'Semrush Data'!$A$1:$Z$1,0)),"")</f>
        <v/>
      </c>
      <c r="J2083" s="7" t="str">
        <f aca="false">IFERROR(INDEX('Semrush Data'!$A$1:$Z$20000,MATCH(A2083,'Semrush Data'!$A$1:$A$20000,0),MATCH("Intent",'Semrush Data'!$A$1:$Z$1,0)),"")</f>
        <v/>
      </c>
    </row>
    <row r="2084" customFormat="false" ht="15" hidden="false" customHeight="true" outlineLevel="0" collapsed="false">
      <c r="A2084" s="7" t="s">
        <v>1659</v>
      </c>
      <c r="B2084" s="7" t="s">
        <v>1355</v>
      </c>
      <c r="C2084" s="7" t="n">
        <v>3</v>
      </c>
      <c r="D2084" s="7" t="n">
        <v>21</v>
      </c>
      <c r="E2084" s="7" t="n">
        <v>1</v>
      </c>
      <c r="F2084" s="7" t="s">
        <v>637</v>
      </c>
      <c r="G2084" s="12" t="str">
        <f aca="false">IFERROR(INDEX('Semrush Data'!$A$1:$Z$20000,MATCH(A2084,'Semrush Data'!$A$1:$A$20000,0),MATCH("Volume",'Semrush Data'!$A$1:$Z$1,0)),"")</f>
        <v/>
      </c>
      <c r="H2084" s="7" t="str">
        <f aca="false">IFERROR(INDEX('Semrush Data'!$A$1:$Z$20000,MATCH(A2084,'Semrush Data'!$A$1:$A$20000,0),MATCH("Keyword Difficulty*",'Semrush Data'!$A$1:$Z$1,0)),"")</f>
        <v/>
      </c>
      <c r="I2084" s="13" t="str">
        <f aca="false">IFERROR(INDEX('Semrush Data'!$A$1:$Z$20000,MATCH(A2084,'Semrush Data'!$A$1:$A$20000,0),MATCH("CPC*",'Semrush Data'!$A$1:$Z$1,0)),"")</f>
        <v/>
      </c>
      <c r="J2084" s="7" t="str">
        <f aca="false">IFERROR(INDEX('Semrush Data'!$A$1:$Z$20000,MATCH(A2084,'Semrush Data'!$A$1:$A$20000,0),MATCH("Intent",'Semrush Data'!$A$1:$Z$1,0)),"")</f>
        <v/>
      </c>
    </row>
    <row r="2085" customFormat="false" ht="15" hidden="false" customHeight="true" outlineLevel="0" collapsed="false">
      <c r="A2085" s="7" t="s">
        <v>1686</v>
      </c>
      <c r="B2085" s="7" t="s">
        <v>1355</v>
      </c>
      <c r="C2085" s="7" t="n">
        <v>3</v>
      </c>
      <c r="D2085" s="7" t="n">
        <v>21</v>
      </c>
      <c r="E2085" s="7" t="n">
        <v>1</v>
      </c>
      <c r="F2085" s="7" t="s">
        <v>664</v>
      </c>
      <c r="G2085" s="12" t="str">
        <f aca="false">IFERROR(INDEX('Semrush Data'!$A$1:$Z$20000,MATCH(A2085,'Semrush Data'!$A$1:$A$20000,0),MATCH("Volume",'Semrush Data'!$A$1:$Z$1,0)),"")</f>
        <v/>
      </c>
      <c r="H2085" s="7" t="str">
        <f aca="false">IFERROR(INDEX('Semrush Data'!$A$1:$Z$20000,MATCH(A2085,'Semrush Data'!$A$1:$A$20000,0),MATCH("Keyword Difficulty*",'Semrush Data'!$A$1:$Z$1,0)),"")</f>
        <v/>
      </c>
      <c r="I2085" s="13" t="str">
        <f aca="false">IFERROR(INDEX('Semrush Data'!$A$1:$Z$20000,MATCH(A2085,'Semrush Data'!$A$1:$A$20000,0),MATCH("CPC*",'Semrush Data'!$A$1:$Z$1,0)),"")</f>
        <v/>
      </c>
      <c r="J2085" s="7" t="str">
        <f aca="false">IFERROR(INDEX('Semrush Data'!$A$1:$Z$20000,MATCH(A2085,'Semrush Data'!$A$1:$A$20000,0),MATCH("Intent",'Semrush Data'!$A$1:$Z$1,0)),"")</f>
        <v/>
      </c>
    </row>
    <row r="2086" customFormat="false" ht="15" hidden="false" customHeight="true" outlineLevel="0" collapsed="false">
      <c r="A2086" s="7" t="s">
        <v>1583</v>
      </c>
      <c r="B2086" s="7" t="s">
        <v>1355</v>
      </c>
      <c r="C2086" s="7" t="n">
        <v>3</v>
      </c>
      <c r="D2086" s="7" t="n">
        <v>21</v>
      </c>
      <c r="E2086" s="7" t="n">
        <v>1</v>
      </c>
      <c r="F2086" s="7" t="s">
        <v>551</v>
      </c>
      <c r="G2086" s="12" t="str">
        <f aca="false">IFERROR(INDEX('Semrush Data'!$A$1:$Z$20000,MATCH(A2086,'Semrush Data'!$A$1:$A$20000,0),MATCH("Volume",'Semrush Data'!$A$1:$Z$1,0)),"")</f>
        <v/>
      </c>
      <c r="H2086" s="7" t="str">
        <f aca="false">IFERROR(INDEX('Semrush Data'!$A$1:$Z$20000,MATCH(A2086,'Semrush Data'!$A$1:$A$20000,0),MATCH("Keyword Difficulty*",'Semrush Data'!$A$1:$Z$1,0)),"")</f>
        <v/>
      </c>
      <c r="I2086" s="13" t="str">
        <f aca="false">IFERROR(INDEX('Semrush Data'!$A$1:$Z$20000,MATCH(A2086,'Semrush Data'!$A$1:$A$20000,0),MATCH("CPC*",'Semrush Data'!$A$1:$Z$1,0)),"")</f>
        <v/>
      </c>
      <c r="J2086" s="7" t="str">
        <f aca="false">IFERROR(INDEX('Semrush Data'!$A$1:$Z$20000,MATCH(A2086,'Semrush Data'!$A$1:$A$20000,0),MATCH("Intent",'Semrush Data'!$A$1:$Z$1,0)),"")</f>
        <v/>
      </c>
    </row>
    <row r="2087" customFormat="false" ht="15" hidden="false" customHeight="true" outlineLevel="0" collapsed="false">
      <c r="A2087" s="7" t="s">
        <v>1441</v>
      </c>
      <c r="B2087" s="7" t="s">
        <v>1355</v>
      </c>
      <c r="C2087" s="7" t="n">
        <v>3</v>
      </c>
      <c r="D2087" s="7" t="n">
        <v>21</v>
      </c>
      <c r="E2087" s="7" t="n">
        <v>1</v>
      </c>
      <c r="F2087" s="7" t="s">
        <v>387</v>
      </c>
      <c r="G2087" s="12" t="str">
        <f aca="false">IFERROR(INDEX('Semrush Data'!$A$1:$Z$20000,MATCH(A2087,'Semrush Data'!$A$1:$A$20000,0),MATCH("Volume",'Semrush Data'!$A$1:$Z$1,0)),"")</f>
        <v/>
      </c>
      <c r="H2087" s="7" t="str">
        <f aca="false">IFERROR(INDEX('Semrush Data'!$A$1:$Z$20000,MATCH(A2087,'Semrush Data'!$A$1:$A$20000,0),MATCH("Keyword Difficulty*",'Semrush Data'!$A$1:$Z$1,0)),"")</f>
        <v/>
      </c>
      <c r="I2087" s="13" t="str">
        <f aca="false">IFERROR(INDEX('Semrush Data'!$A$1:$Z$20000,MATCH(A2087,'Semrush Data'!$A$1:$A$20000,0),MATCH("CPC*",'Semrush Data'!$A$1:$Z$1,0)),"")</f>
        <v/>
      </c>
      <c r="J2087" s="7" t="str">
        <f aca="false">IFERROR(INDEX('Semrush Data'!$A$1:$Z$20000,MATCH(A2087,'Semrush Data'!$A$1:$A$20000,0),MATCH("Intent",'Semrush Data'!$A$1:$Z$1,0)),"")</f>
        <v/>
      </c>
    </row>
    <row r="2088" customFormat="false" ht="15" hidden="false" customHeight="true" outlineLevel="0" collapsed="false">
      <c r="A2088" s="7" t="s">
        <v>1866</v>
      </c>
      <c r="B2088" s="7" t="s">
        <v>1355</v>
      </c>
      <c r="C2088" s="7" t="n">
        <v>3</v>
      </c>
      <c r="D2088" s="7" t="n">
        <v>21</v>
      </c>
      <c r="E2088" s="7" t="n">
        <v>1</v>
      </c>
      <c r="F2088" s="7" t="s">
        <v>830</v>
      </c>
      <c r="G2088" s="12" t="str">
        <f aca="false">IFERROR(INDEX('Semrush Data'!$A$1:$Z$20000,MATCH(A2088,'Semrush Data'!$A$1:$A$20000,0),MATCH("Volume",'Semrush Data'!$A$1:$Z$1,0)),"")</f>
        <v/>
      </c>
      <c r="H2088" s="7" t="str">
        <f aca="false">IFERROR(INDEX('Semrush Data'!$A$1:$Z$20000,MATCH(A2088,'Semrush Data'!$A$1:$A$20000,0),MATCH("Keyword Difficulty*",'Semrush Data'!$A$1:$Z$1,0)),"")</f>
        <v/>
      </c>
      <c r="I2088" s="13" t="str">
        <f aca="false">IFERROR(INDEX('Semrush Data'!$A$1:$Z$20000,MATCH(A2088,'Semrush Data'!$A$1:$A$20000,0),MATCH("CPC*",'Semrush Data'!$A$1:$Z$1,0)),"")</f>
        <v/>
      </c>
      <c r="J2088" s="7" t="str">
        <f aca="false">IFERROR(INDEX('Semrush Data'!$A$1:$Z$20000,MATCH(A2088,'Semrush Data'!$A$1:$A$20000,0),MATCH("Intent",'Semrush Data'!$A$1:$Z$1,0)),"")</f>
        <v/>
      </c>
    </row>
    <row r="2089" customFormat="false" ht="15" hidden="false" customHeight="true" outlineLevel="0" collapsed="false">
      <c r="A2089" s="7" t="s">
        <v>1590</v>
      </c>
      <c r="B2089" s="7" t="s">
        <v>1355</v>
      </c>
      <c r="C2089" s="7" t="n">
        <v>3</v>
      </c>
      <c r="D2089" s="7" t="n">
        <v>21</v>
      </c>
      <c r="E2089" s="7" t="n">
        <v>1</v>
      </c>
      <c r="F2089" s="7" t="s">
        <v>558</v>
      </c>
      <c r="G2089" s="12" t="str">
        <f aca="false">IFERROR(INDEX('Semrush Data'!$A$1:$Z$20000,MATCH(A2089,'Semrush Data'!$A$1:$A$20000,0),MATCH("Volume",'Semrush Data'!$A$1:$Z$1,0)),"")</f>
        <v/>
      </c>
      <c r="H2089" s="7" t="str">
        <f aca="false">IFERROR(INDEX('Semrush Data'!$A$1:$Z$20000,MATCH(A2089,'Semrush Data'!$A$1:$A$20000,0),MATCH("Keyword Difficulty*",'Semrush Data'!$A$1:$Z$1,0)),"")</f>
        <v/>
      </c>
      <c r="I2089" s="13" t="str">
        <f aca="false">IFERROR(INDEX('Semrush Data'!$A$1:$Z$20000,MATCH(A2089,'Semrush Data'!$A$1:$A$20000,0),MATCH("CPC*",'Semrush Data'!$A$1:$Z$1,0)),"")</f>
        <v/>
      </c>
      <c r="J2089" s="7" t="str">
        <f aca="false">IFERROR(INDEX('Semrush Data'!$A$1:$Z$20000,MATCH(A2089,'Semrush Data'!$A$1:$A$20000,0),MATCH("Intent",'Semrush Data'!$A$1:$Z$1,0)),"")</f>
        <v/>
      </c>
    </row>
    <row r="2090" customFormat="false" ht="15" hidden="false" customHeight="true" outlineLevel="0" collapsed="false">
      <c r="A2090" s="7" t="s">
        <v>1469</v>
      </c>
      <c r="B2090" s="7" t="s">
        <v>1355</v>
      </c>
      <c r="C2090" s="7" t="n">
        <v>3</v>
      </c>
      <c r="D2090" s="7" t="n">
        <v>21</v>
      </c>
      <c r="E2090" s="7" t="n">
        <v>1</v>
      </c>
      <c r="F2090" s="7" t="s">
        <v>420</v>
      </c>
      <c r="G2090" s="12" t="str">
        <f aca="false">IFERROR(INDEX('Semrush Data'!$A$1:$Z$20000,MATCH(A2090,'Semrush Data'!$A$1:$A$20000,0),MATCH("Volume",'Semrush Data'!$A$1:$Z$1,0)),"")</f>
        <v/>
      </c>
      <c r="H2090" s="7" t="str">
        <f aca="false">IFERROR(INDEX('Semrush Data'!$A$1:$Z$20000,MATCH(A2090,'Semrush Data'!$A$1:$A$20000,0),MATCH("Keyword Difficulty*",'Semrush Data'!$A$1:$Z$1,0)),"")</f>
        <v/>
      </c>
      <c r="I2090" s="13" t="str">
        <f aca="false">IFERROR(INDEX('Semrush Data'!$A$1:$Z$20000,MATCH(A2090,'Semrush Data'!$A$1:$A$20000,0),MATCH("CPC*",'Semrush Data'!$A$1:$Z$1,0)),"")</f>
        <v/>
      </c>
      <c r="J2090" s="7" t="str">
        <f aca="false">IFERROR(INDEX('Semrush Data'!$A$1:$Z$20000,MATCH(A2090,'Semrush Data'!$A$1:$A$20000,0),MATCH("Intent",'Semrush Data'!$A$1:$Z$1,0)),"")</f>
        <v/>
      </c>
    </row>
    <row r="2091" customFormat="false" ht="15" hidden="false" customHeight="true" outlineLevel="0" collapsed="false">
      <c r="A2091" s="7" t="s">
        <v>1387</v>
      </c>
      <c r="B2091" s="7" t="s">
        <v>1355</v>
      </c>
      <c r="C2091" s="7" t="n">
        <v>3</v>
      </c>
      <c r="D2091" s="7" t="n">
        <v>21</v>
      </c>
      <c r="E2091" s="7" t="n">
        <v>3</v>
      </c>
      <c r="F2091" s="7" t="s">
        <v>6812</v>
      </c>
      <c r="G2091" s="12" t="str">
        <f aca="false">IFERROR(INDEX('Semrush Data'!$A$1:$Z$20000,MATCH(A2091,'Semrush Data'!$A$1:$A$20000,0),MATCH("Volume",'Semrush Data'!$A$1:$Z$1,0)),"")</f>
        <v/>
      </c>
      <c r="H2091" s="7" t="str">
        <f aca="false">IFERROR(INDEX('Semrush Data'!$A$1:$Z$20000,MATCH(A2091,'Semrush Data'!$A$1:$A$20000,0),MATCH("Keyword Difficulty*",'Semrush Data'!$A$1:$Z$1,0)),"")</f>
        <v/>
      </c>
      <c r="I2091" s="13" t="str">
        <f aca="false">IFERROR(INDEX('Semrush Data'!$A$1:$Z$20000,MATCH(A2091,'Semrush Data'!$A$1:$A$20000,0),MATCH("CPC*",'Semrush Data'!$A$1:$Z$1,0)),"")</f>
        <v/>
      </c>
      <c r="J2091" s="7" t="str">
        <f aca="false">IFERROR(INDEX('Semrush Data'!$A$1:$Z$20000,MATCH(A2091,'Semrush Data'!$A$1:$A$20000,0),MATCH("Intent",'Semrush Data'!$A$1:$Z$1,0)),"")</f>
        <v/>
      </c>
    </row>
    <row r="2092" customFormat="false" ht="15" hidden="false" customHeight="true" outlineLevel="0" collapsed="false">
      <c r="A2092" s="7" t="s">
        <v>1830</v>
      </c>
      <c r="B2092" s="7" t="s">
        <v>1355</v>
      </c>
      <c r="C2092" s="7" t="n">
        <v>3</v>
      </c>
      <c r="D2092" s="7" t="n">
        <v>21</v>
      </c>
      <c r="E2092" s="7" t="n">
        <v>1</v>
      </c>
      <c r="F2092" s="7" t="s">
        <v>796</v>
      </c>
      <c r="G2092" s="12" t="str">
        <f aca="false">IFERROR(INDEX('Semrush Data'!$A$1:$Z$20000,MATCH(A2092,'Semrush Data'!$A$1:$A$20000,0),MATCH("Volume",'Semrush Data'!$A$1:$Z$1,0)),"")</f>
        <v/>
      </c>
      <c r="H2092" s="7" t="str">
        <f aca="false">IFERROR(INDEX('Semrush Data'!$A$1:$Z$20000,MATCH(A2092,'Semrush Data'!$A$1:$A$20000,0),MATCH("Keyword Difficulty*",'Semrush Data'!$A$1:$Z$1,0)),"")</f>
        <v/>
      </c>
      <c r="I2092" s="13" t="str">
        <f aca="false">IFERROR(INDEX('Semrush Data'!$A$1:$Z$20000,MATCH(A2092,'Semrush Data'!$A$1:$A$20000,0),MATCH("CPC*",'Semrush Data'!$A$1:$Z$1,0)),"")</f>
        <v/>
      </c>
      <c r="J2092" s="7" t="str">
        <f aca="false">IFERROR(INDEX('Semrush Data'!$A$1:$Z$20000,MATCH(A2092,'Semrush Data'!$A$1:$A$20000,0),MATCH("Intent",'Semrush Data'!$A$1:$Z$1,0)),"")</f>
        <v/>
      </c>
    </row>
    <row r="2093" customFormat="false" ht="15" hidden="false" customHeight="true" outlineLevel="0" collapsed="false">
      <c r="A2093" s="7" t="s">
        <v>1860</v>
      </c>
      <c r="B2093" s="7" t="s">
        <v>1355</v>
      </c>
      <c r="C2093" s="7" t="n">
        <v>3</v>
      </c>
      <c r="D2093" s="7" t="n">
        <v>21</v>
      </c>
      <c r="E2093" s="7" t="n">
        <v>1</v>
      </c>
      <c r="F2093" s="7" t="s">
        <v>823</v>
      </c>
      <c r="G2093" s="12" t="str">
        <f aca="false">IFERROR(INDEX('Semrush Data'!$A$1:$Z$20000,MATCH(A2093,'Semrush Data'!$A$1:$A$20000,0),MATCH("Volume",'Semrush Data'!$A$1:$Z$1,0)),"")</f>
        <v/>
      </c>
      <c r="H2093" s="7" t="str">
        <f aca="false">IFERROR(INDEX('Semrush Data'!$A$1:$Z$20000,MATCH(A2093,'Semrush Data'!$A$1:$A$20000,0),MATCH("Keyword Difficulty*",'Semrush Data'!$A$1:$Z$1,0)),"")</f>
        <v/>
      </c>
      <c r="I2093" s="13" t="str">
        <f aca="false">IFERROR(INDEX('Semrush Data'!$A$1:$Z$20000,MATCH(A2093,'Semrush Data'!$A$1:$A$20000,0),MATCH("CPC*",'Semrush Data'!$A$1:$Z$1,0)),"")</f>
        <v/>
      </c>
      <c r="J2093" s="7" t="str">
        <f aca="false">IFERROR(INDEX('Semrush Data'!$A$1:$Z$20000,MATCH(A2093,'Semrush Data'!$A$1:$A$20000,0),MATCH("Intent",'Semrush Data'!$A$1:$Z$1,0)),"")</f>
        <v/>
      </c>
    </row>
    <row r="2094" customFormat="false" ht="15" hidden="false" customHeight="true" outlineLevel="0" collapsed="false">
      <c r="A2094" s="7" t="s">
        <v>1599</v>
      </c>
      <c r="B2094" s="7" t="s">
        <v>1355</v>
      </c>
      <c r="C2094" s="7" t="n">
        <v>3</v>
      </c>
      <c r="D2094" s="7" t="n">
        <v>21</v>
      </c>
      <c r="E2094" s="7" t="n">
        <v>1</v>
      </c>
      <c r="F2094" s="7" t="s">
        <v>569</v>
      </c>
      <c r="G2094" s="12" t="str">
        <f aca="false">IFERROR(INDEX('Semrush Data'!$A$1:$Z$20000,MATCH(A2094,'Semrush Data'!$A$1:$A$20000,0),MATCH("Volume",'Semrush Data'!$A$1:$Z$1,0)),"")</f>
        <v/>
      </c>
      <c r="H2094" s="7" t="str">
        <f aca="false">IFERROR(INDEX('Semrush Data'!$A$1:$Z$20000,MATCH(A2094,'Semrush Data'!$A$1:$A$20000,0),MATCH("Keyword Difficulty*",'Semrush Data'!$A$1:$Z$1,0)),"")</f>
        <v/>
      </c>
      <c r="I2094" s="13" t="str">
        <f aca="false">IFERROR(INDEX('Semrush Data'!$A$1:$Z$20000,MATCH(A2094,'Semrush Data'!$A$1:$A$20000,0),MATCH("CPC*",'Semrush Data'!$A$1:$Z$1,0)),"")</f>
        <v/>
      </c>
      <c r="J2094" s="7" t="str">
        <f aca="false">IFERROR(INDEX('Semrush Data'!$A$1:$Z$20000,MATCH(A2094,'Semrush Data'!$A$1:$A$20000,0),MATCH("Intent",'Semrush Data'!$A$1:$Z$1,0)),"")</f>
        <v/>
      </c>
    </row>
    <row r="2095" customFormat="false" ht="15" hidden="false" customHeight="true" outlineLevel="0" collapsed="false">
      <c r="A2095" s="7" t="s">
        <v>1476</v>
      </c>
      <c r="B2095" s="7" t="s">
        <v>1355</v>
      </c>
      <c r="C2095" s="7" t="n">
        <v>3</v>
      </c>
      <c r="D2095" s="7" t="n">
        <v>21</v>
      </c>
      <c r="E2095" s="7" t="n">
        <v>1</v>
      </c>
      <c r="F2095" s="7" t="s">
        <v>429</v>
      </c>
      <c r="G2095" s="12" t="str">
        <f aca="false">IFERROR(INDEX('Semrush Data'!$A$1:$Z$20000,MATCH(A2095,'Semrush Data'!$A$1:$A$20000,0),MATCH("Volume",'Semrush Data'!$A$1:$Z$1,0)),"")</f>
        <v/>
      </c>
      <c r="H2095" s="7" t="str">
        <f aca="false">IFERROR(INDEX('Semrush Data'!$A$1:$Z$20000,MATCH(A2095,'Semrush Data'!$A$1:$A$20000,0),MATCH("Keyword Difficulty*",'Semrush Data'!$A$1:$Z$1,0)),"")</f>
        <v/>
      </c>
      <c r="I2095" s="13" t="str">
        <f aca="false">IFERROR(INDEX('Semrush Data'!$A$1:$Z$20000,MATCH(A2095,'Semrush Data'!$A$1:$A$20000,0),MATCH("CPC*",'Semrush Data'!$A$1:$Z$1,0)),"")</f>
        <v/>
      </c>
      <c r="J2095" s="7" t="str">
        <f aca="false">IFERROR(INDEX('Semrush Data'!$A$1:$Z$20000,MATCH(A2095,'Semrush Data'!$A$1:$A$20000,0),MATCH("Intent",'Semrush Data'!$A$1:$Z$1,0)),"")</f>
        <v/>
      </c>
    </row>
    <row r="2096" customFormat="false" ht="15" hidden="false" customHeight="true" outlineLevel="0" collapsed="false">
      <c r="A2096" s="7" t="s">
        <v>1605</v>
      </c>
      <c r="B2096" s="7" t="s">
        <v>1355</v>
      </c>
      <c r="C2096" s="7" t="n">
        <v>3</v>
      </c>
      <c r="D2096" s="7" t="n">
        <v>21</v>
      </c>
      <c r="E2096" s="7" t="n">
        <v>1</v>
      </c>
      <c r="F2096" s="7" t="s">
        <v>577</v>
      </c>
      <c r="G2096" s="12" t="str">
        <f aca="false">IFERROR(INDEX('Semrush Data'!$A$1:$Z$20000,MATCH(A2096,'Semrush Data'!$A$1:$A$20000,0),MATCH("Volume",'Semrush Data'!$A$1:$Z$1,0)),"")</f>
        <v/>
      </c>
      <c r="H2096" s="7" t="str">
        <f aca="false">IFERROR(INDEX('Semrush Data'!$A$1:$Z$20000,MATCH(A2096,'Semrush Data'!$A$1:$A$20000,0),MATCH("Keyword Difficulty*",'Semrush Data'!$A$1:$Z$1,0)),"")</f>
        <v/>
      </c>
      <c r="I2096" s="13" t="str">
        <f aca="false">IFERROR(INDEX('Semrush Data'!$A$1:$Z$20000,MATCH(A2096,'Semrush Data'!$A$1:$A$20000,0),MATCH("CPC*",'Semrush Data'!$A$1:$Z$1,0)),"")</f>
        <v/>
      </c>
      <c r="J2096" s="7" t="str">
        <f aca="false">IFERROR(INDEX('Semrush Data'!$A$1:$Z$20000,MATCH(A2096,'Semrush Data'!$A$1:$A$20000,0),MATCH("Intent",'Semrush Data'!$A$1:$Z$1,0)),"")</f>
        <v/>
      </c>
    </row>
    <row r="2097" customFormat="false" ht="15" hidden="false" customHeight="true" outlineLevel="0" collapsed="false">
      <c r="A2097" s="7" t="s">
        <v>1482</v>
      </c>
      <c r="B2097" s="7" t="s">
        <v>1355</v>
      </c>
      <c r="C2097" s="7" t="n">
        <v>3</v>
      </c>
      <c r="D2097" s="7" t="n">
        <v>21</v>
      </c>
      <c r="E2097" s="7" t="n">
        <v>1</v>
      </c>
      <c r="F2097" s="7" t="s">
        <v>436</v>
      </c>
      <c r="G2097" s="12" t="str">
        <f aca="false">IFERROR(INDEX('Semrush Data'!$A$1:$Z$20000,MATCH(A2097,'Semrush Data'!$A$1:$A$20000,0),MATCH("Volume",'Semrush Data'!$A$1:$Z$1,0)),"")</f>
        <v/>
      </c>
      <c r="H2097" s="7" t="str">
        <f aca="false">IFERROR(INDEX('Semrush Data'!$A$1:$Z$20000,MATCH(A2097,'Semrush Data'!$A$1:$A$20000,0),MATCH("Keyword Difficulty*",'Semrush Data'!$A$1:$Z$1,0)),"")</f>
        <v/>
      </c>
      <c r="I2097" s="13" t="str">
        <f aca="false">IFERROR(INDEX('Semrush Data'!$A$1:$Z$20000,MATCH(A2097,'Semrush Data'!$A$1:$A$20000,0),MATCH("CPC*",'Semrush Data'!$A$1:$Z$1,0)),"")</f>
        <v/>
      </c>
      <c r="J2097" s="7" t="str">
        <f aca="false">IFERROR(INDEX('Semrush Data'!$A$1:$Z$20000,MATCH(A2097,'Semrush Data'!$A$1:$A$20000,0),MATCH("Intent",'Semrush Data'!$A$1:$Z$1,0)),"")</f>
        <v/>
      </c>
    </row>
    <row r="2098" customFormat="false" ht="15" hidden="false" customHeight="true" outlineLevel="0" collapsed="false">
      <c r="A2098" s="7" t="s">
        <v>1836</v>
      </c>
      <c r="B2098" s="7" t="s">
        <v>1355</v>
      </c>
      <c r="C2098" s="7" t="n">
        <v>3</v>
      </c>
      <c r="D2098" s="7" t="n">
        <v>21</v>
      </c>
      <c r="E2098" s="7" t="n">
        <v>1</v>
      </c>
      <c r="F2098" s="7" t="s">
        <v>802</v>
      </c>
      <c r="G2098" s="12" t="str">
        <f aca="false">IFERROR(INDEX('Semrush Data'!$A$1:$Z$20000,MATCH(A2098,'Semrush Data'!$A$1:$A$20000,0),MATCH("Volume",'Semrush Data'!$A$1:$Z$1,0)),"")</f>
        <v/>
      </c>
      <c r="H2098" s="7" t="str">
        <f aca="false">IFERROR(INDEX('Semrush Data'!$A$1:$Z$20000,MATCH(A2098,'Semrush Data'!$A$1:$A$20000,0),MATCH("Keyword Difficulty*",'Semrush Data'!$A$1:$Z$1,0)),"")</f>
        <v/>
      </c>
      <c r="I2098" s="13" t="str">
        <f aca="false">IFERROR(INDEX('Semrush Data'!$A$1:$Z$20000,MATCH(A2098,'Semrush Data'!$A$1:$A$20000,0),MATCH("CPC*",'Semrush Data'!$A$1:$Z$1,0)),"")</f>
        <v/>
      </c>
      <c r="J2098" s="7" t="str">
        <f aca="false">IFERROR(INDEX('Semrush Data'!$A$1:$Z$20000,MATCH(A2098,'Semrush Data'!$A$1:$A$20000,0),MATCH("Intent",'Semrush Data'!$A$1:$Z$1,0)),"")</f>
        <v/>
      </c>
    </row>
    <row r="2099" customFormat="false" ht="15" hidden="false" customHeight="true" outlineLevel="0" collapsed="false">
      <c r="A2099" s="7" t="s">
        <v>1878</v>
      </c>
      <c r="B2099" s="7" t="s">
        <v>1355</v>
      </c>
      <c r="C2099" s="7" t="n">
        <v>3</v>
      </c>
      <c r="D2099" s="7" t="n">
        <v>21</v>
      </c>
      <c r="E2099" s="7" t="n">
        <v>1</v>
      </c>
      <c r="F2099" s="7" t="s">
        <v>840</v>
      </c>
      <c r="G2099" s="12" t="str">
        <f aca="false">IFERROR(INDEX('Semrush Data'!$A$1:$Z$20000,MATCH(A2099,'Semrush Data'!$A$1:$A$20000,0),MATCH("Volume",'Semrush Data'!$A$1:$Z$1,0)),"")</f>
        <v/>
      </c>
      <c r="H2099" s="7" t="str">
        <f aca="false">IFERROR(INDEX('Semrush Data'!$A$1:$Z$20000,MATCH(A2099,'Semrush Data'!$A$1:$A$20000,0),MATCH("Keyword Difficulty*",'Semrush Data'!$A$1:$Z$1,0)),"")</f>
        <v/>
      </c>
      <c r="I2099" s="13" t="str">
        <f aca="false">IFERROR(INDEX('Semrush Data'!$A$1:$Z$20000,MATCH(A2099,'Semrush Data'!$A$1:$A$20000,0),MATCH("CPC*",'Semrush Data'!$A$1:$Z$1,0)),"")</f>
        <v/>
      </c>
      <c r="J2099" s="7" t="str">
        <f aca="false">IFERROR(INDEX('Semrush Data'!$A$1:$Z$20000,MATCH(A2099,'Semrush Data'!$A$1:$A$20000,0),MATCH("Intent",'Semrush Data'!$A$1:$Z$1,0)),"")</f>
        <v/>
      </c>
    </row>
    <row r="2100" customFormat="false" ht="15" hidden="false" customHeight="true" outlineLevel="0" collapsed="false">
      <c r="A2100" s="7" t="s">
        <v>1611</v>
      </c>
      <c r="B2100" s="7" t="s">
        <v>1355</v>
      </c>
      <c r="C2100" s="7" t="n">
        <v>3</v>
      </c>
      <c r="D2100" s="7" t="n">
        <v>21</v>
      </c>
      <c r="E2100" s="7" t="n">
        <v>1</v>
      </c>
      <c r="F2100" s="7" t="s">
        <v>584</v>
      </c>
      <c r="G2100" s="12" t="str">
        <f aca="false">IFERROR(INDEX('Semrush Data'!$A$1:$Z$20000,MATCH(A2100,'Semrush Data'!$A$1:$A$20000,0),MATCH("Volume",'Semrush Data'!$A$1:$Z$1,0)),"")</f>
        <v/>
      </c>
      <c r="H2100" s="7" t="str">
        <f aca="false">IFERROR(INDEX('Semrush Data'!$A$1:$Z$20000,MATCH(A2100,'Semrush Data'!$A$1:$A$20000,0),MATCH("Keyword Difficulty*",'Semrush Data'!$A$1:$Z$1,0)),"")</f>
        <v/>
      </c>
      <c r="I2100" s="13" t="str">
        <f aca="false">IFERROR(INDEX('Semrush Data'!$A$1:$Z$20000,MATCH(A2100,'Semrush Data'!$A$1:$A$20000,0),MATCH("CPC*",'Semrush Data'!$A$1:$Z$1,0)),"")</f>
        <v/>
      </c>
      <c r="J2100" s="7" t="str">
        <f aca="false">IFERROR(INDEX('Semrush Data'!$A$1:$Z$20000,MATCH(A2100,'Semrush Data'!$A$1:$A$20000,0),MATCH("Intent",'Semrush Data'!$A$1:$Z$1,0)),"")</f>
        <v/>
      </c>
    </row>
    <row r="2101" customFormat="false" ht="15" hidden="false" customHeight="true" outlineLevel="0" collapsed="false">
      <c r="A2101" s="7" t="s">
        <v>1666</v>
      </c>
      <c r="B2101" s="7" t="s">
        <v>1355</v>
      </c>
      <c r="C2101" s="7" t="n">
        <v>3</v>
      </c>
      <c r="D2101" s="7" t="n">
        <v>21</v>
      </c>
      <c r="E2101" s="7" t="n">
        <v>1</v>
      </c>
      <c r="F2101" s="7" t="s">
        <v>644</v>
      </c>
      <c r="G2101" s="12" t="str">
        <f aca="false">IFERROR(INDEX('Semrush Data'!$A$1:$Z$20000,MATCH(A2101,'Semrush Data'!$A$1:$A$20000,0),MATCH("Volume",'Semrush Data'!$A$1:$Z$1,0)),"")</f>
        <v/>
      </c>
      <c r="H2101" s="7" t="str">
        <f aca="false">IFERROR(INDEX('Semrush Data'!$A$1:$Z$20000,MATCH(A2101,'Semrush Data'!$A$1:$A$20000,0),MATCH("Keyword Difficulty*",'Semrush Data'!$A$1:$Z$1,0)),"")</f>
        <v/>
      </c>
      <c r="I2101" s="13" t="str">
        <f aca="false">IFERROR(INDEX('Semrush Data'!$A$1:$Z$20000,MATCH(A2101,'Semrush Data'!$A$1:$A$20000,0),MATCH("CPC*",'Semrush Data'!$A$1:$Z$1,0)),"")</f>
        <v/>
      </c>
      <c r="J2101" s="7" t="str">
        <f aca="false">IFERROR(INDEX('Semrush Data'!$A$1:$Z$20000,MATCH(A2101,'Semrush Data'!$A$1:$A$20000,0),MATCH("Intent",'Semrush Data'!$A$1:$Z$1,0)),"")</f>
        <v/>
      </c>
    </row>
    <row r="2102" customFormat="false" ht="15" hidden="false" customHeight="true" outlineLevel="0" collapsed="false">
      <c r="A2102" s="7" t="s">
        <v>1619</v>
      </c>
      <c r="B2102" s="7" t="s">
        <v>1355</v>
      </c>
      <c r="C2102" s="7" t="n">
        <v>3</v>
      </c>
      <c r="D2102" s="7" t="n">
        <v>22</v>
      </c>
      <c r="E2102" s="7" t="n">
        <v>1</v>
      </c>
      <c r="F2102" s="7" t="s">
        <v>593</v>
      </c>
      <c r="G2102" s="12" t="str">
        <f aca="false">IFERROR(INDEX('Semrush Data'!$A$1:$Z$20000,MATCH(A2102,'Semrush Data'!$A$1:$A$20000,0),MATCH("Volume",'Semrush Data'!$A$1:$Z$1,0)),"")</f>
        <v/>
      </c>
      <c r="H2102" s="7" t="str">
        <f aca="false">IFERROR(INDEX('Semrush Data'!$A$1:$Z$20000,MATCH(A2102,'Semrush Data'!$A$1:$A$20000,0),MATCH("Keyword Difficulty*",'Semrush Data'!$A$1:$Z$1,0)),"")</f>
        <v/>
      </c>
      <c r="I2102" s="13" t="str">
        <f aca="false">IFERROR(INDEX('Semrush Data'!$A$1:$Z$20000,MATCH(A2102,'Semrush Data'!$A$1:$A$20000,0),MATCH("CPC*",'Semrush Data'!$A$1:$Z$1,0)),"")</f>
        <v/>
      </c>
      <c r="J2102" s="7" t="str">
        <f aca="false">IFERROR(INDEX('Semrush Data'!$A$1:$Z$20000,MATCH(A2102,'Semrush Data'!$A$1:$A$20000,0),MATCH("Intent",'Semrush Data'!$A$1:$Z$1,0)),"")</f>
        <v/>
      </c>
    </row>
    <row r="2103" customFormat="false" ht="15" hidden="false" customHeight="true" outlineLevel="0" collapsed="false">
      <c r="A2103" s="7" t="s">
        <v>1679</v>
      </c>
      <c r="B2103" s="7" t="s">
        <v>1355</v>
      </c>
      <c r="C2103" s="7" t="n">
        <v>3</v>
      </c>
      <c r="D2103" s="7" t="n">
        <v>22</v>
      </c>
      <c r="E2103" s="7" t="n">
        <v>1</v>
      </c>
      <c r="F2103" s="7" t="s">
        <v>657</v>
      </c>
      <c r="G2103" s="12" t="str">
        <f aca="false">IFERROR(INDEX('Semrush Data'!$A$1:$Z$20000,MATCH(A2103,'Semrush Data'!$A$1:$A$20000,0),MATCH("Volume",'Semrush Data'!$A$1:$Z$1,0)),"")</f>
        <v/>
      </c>
      <c r="H2103" s="7" t="str">
        <f aca="false">IFERROR(INDEX('Semrush Data'!$A$1:$Z$20000,MATCH(A2103,'Semrush Data'!$A$1:$A$20000,0),MATCH("Keyword Difficulty*",'Semrush Data'!$A$1:$Z$1,0)),"")</f>
        <v/>
      </c>
      <c r="I2103" s="13" t="str">
        <f aca="false">IFERROR(INDEX('Semrush Data'!$A$1:$Z$20000,MATCH(A2103,'Semrush Data'!$A$1:$A$20000,0),MATCH("CPC*",'Semrush Data'!$A$1:$Z$1,0)),"")</f>
        <v/>
      </c>
      <c r="J2103" s="7" t="str">
        <f aca="false">IFERROR(INDEX('Semrush Data'!$A$1:$Z$20000,MATCH(A2103,'Semrush Data'!$A$1:$A$20000,0),MATCH("Intent",'Semrush Data'!$A$1:$Z$1,0)),"")</f>
        <v/>
      </c>
    </row>
    <row r="2104" customFormat="false" ht="15" hidden="false" customHeight="true" outlineLevel="0" collapsed="false">
      <c r="A2104" s="7" t="s">
        <v>1488</v>
      </c>
      <c r="B2104" s="7" t="s">
        <v>1355</v>
      </c>
      <c r="C2104" s="7" t="n">
        <v>3</v>
      </c>
      <c r="D2104" s="7" t="n">
        <v>22</v>
      </c>
      <c r="E2104" s="7" t="n">
        <v>1</v>
      </c>
      <c r="F2104" s="7" t="s">
        <v>443</v>
      </c>
      <c r="G2104" s="12" t="str">
        <f aca="false">IFERROR(INDEX('Semrush Data'!$A$1:$Z$20000,MATCH(A2104,'Semrush Data'!$A$1:$A$20000,0),MATCH("Volume",'Semrush Data'!$A$1:$Z$1,0)),"")</f>
        <v/>
      </c>
      <c r="H2104" s="7" t="str">
        <f aca="false">IFERROR(INDEX('Semrush Data'!$A$1:$Z$20000,MATCH(A2104,'Semrush Data'!$A$1:$A$20000,0),MATCH("Keyword Difficulty*",'Semrush Data'!$A$1:$Z$1,0)),"")</f>
        <v/>
      </c>
      <c r="I2104" s="13" t="str">
        <f aca="false">IFERROR(INDEX('Semrush Data'!$A$1:$Z$20000,MATCH(A2104,'Semrush Data'!$A$1:$A$20000,0),MATCH("CPC*",'Semrush Data'!$A$1:$Z$1,0)),"")</f>
        <v/>
      </c>
      <c r="J2104" s="7" t="str">
        <f aca="false">IFERROR(INDEX('Semrush Data'!$A$1:$Z$20000,MATCH(A2104,'Semrush Data'!$A$1:$A$20000,0),MATCH("Intent",'Semrush Data'!$A$1:$Z$1,0)),"")</f>
        <v/>
      </c>
    </row>
    <row r="2105" customFormat="false" ht="15" hidden="false" customHeight="true" outlineLevel="0" collapsed="false">
      <c r="A2105" s="7" t="s">
        <v>1626</v>
      </c>
      <c r="B2105" s="7" t="s">
        <v>1355</v>
      </c>
      <c r="C2105" s="7" t="n">
        <v>3</v>
      </c>
      <c r="D2105" s="7" t="n">
        <v>22</v>
      </c>
      <c r="E2105" s="7" t="n">
        <v>2</v>
      </c>
      <c r="F2105" s="7" t="s">
        <v>6813</v>
      </c>
      <c r="G2105" s="12" t="str">
        <f aca="false">IFERROR(INDEX('Semrush Data'!$A$1:$Z$20000,MATCH(A2105,'Semrush Data'!$A$1:$A$20000,0),MATCH("Volume",'Semrush Data'!$A$1:$Z$1,0)),"")</f>
        <v/>
      </c>
      <c r="H2105" s="7" t="str">
        <f aca="false">IFERROR(INDEX('Semrush Data'!$A$1:$Z$20000,MATCH(A2105,'Semrush Data'!$A$1:$A$20000,0),MATCH("Keyword Difficulty*",'Semrush Data'!$A$1:$Z$1,0)),"")</f>
        <v/>
      </c>
      <c r="I2105" s="13" t="str">
        <f aca="false">IFERROR(INDEX('Semrush Data'!$A$1:$Z$20000,MATCH(A2105,'Semrush Data'!$A$1:$A$20000,0),MATCH("CPC*",'Semrush Data'!$A$1:$Z$1,0)),"")</f>
        <v/>
      </c>
      <c r="J2105" s="7" t="str">
        <f aca="false">IFERROR(INDEX('Semrush Data'!$A$1:$Z$20000,MATCH(A2105,'Semrush Data'!$A$1:$A$20000,0),MATCH("Intent",'Semrush Data'!$A$1:$Z$1,0)),"")</f>
        <v/>
      </c>
    </row>
    <row r="2106" customFormat="false" ht="15" hidden="false" customHeight="true" outlineLevel="0" collapsed="false">
      <c r="A2106" s="7" t="s">
        <v>1692</v>
      </c>
      <c r="B2106" s="7" t="s">
        <v>1355</v>
      </c>
      <c r="C2106" s="7" t="n">
        <v>3</v>
      </c>
      <c r="D2106" s="7" t="n">
        <v>22</v>
      </c>
      <c r="E2106" s="7" t="n">
        <v>1</v>
      </c>
      <c r="F2106" s="7" t="s">
        <v>669</v>
      </c>
      <c r="G2106" s="12" t="str">
        <f aca="false">IFERROR(INDEX('Semrush Data'!$A$1:$Z$20000,MATCH(A2106,'Semrush Data'!$A$1:$A$20000,0),MATCH("Volume",'Semrush Data'!$A$1:$Z$1,0)),"")</f>
        <v/>
      </c>
      <c r="H2106" s="7" t="str">
        <f aca="false">IFERROR(INDEX('Semrush Data'!$A$1:$Z$20000,MATCH(A2106,'Semrush Data'!$A$1:$A$20000,0),MATCH("Keyword Difficulty*",'Semrush Data'!$A$1:$Z$1,0)),"")</f>
        <v/>
      </c>
      <c r="I2106" s="13" t="str">
        <f aca="false">IFERROR(INDEX('Semrush Data'!$A$1:$Z$20000,MATCH(A2106,'Semrush Data'!$A$1:$A$20000,0),MATCH("CPC*",'Semrush Data'!$A$1:$Z$1,0)),"")</f>
        <v/>
      </c>
      <c r="J2106" s="7" t="str">
        <f aca="false">IFERROR(INDEX('Semrush Data'!$A$1:$Z$20000,MATCH(A2106,'Semrush Data'!$A$1:$A$20000,0),MATCH("Intent",'Semrush Data'!$A$1:$Z$1,0)),"")</f>
        <v/>
      </c>
    </row>
    <row r="2107" customFormat="false" ht="15" hidden="false" customHeight="true" outlineLevel="0" collapsed="false">
      <c r="A2107" s="7" t="s">
        <v>1495</v>
      </c>
      <c r="B2107" s="7" t="s">
        <v>1355</v>
      </c>
      <c r="C2107" s="7" t="n">
        <v>3</v>
      </c>
      <c r="D2107" s="7" t="n">
        <v>22</v>
      </c>
      <c r="E2107" s="7" t="n">
        <v>1</v>
      </c>
      <c r="F2107" s="7" t="s">
        <v>452</v>
      </c>
      <c r="G2107" s="12" t="str">
        <f aca="false">IFERROR(INDEX('Semrush Data'!$A$1:$Z$20000,MATCH(A2107,'Semrush Data'!$A$1:$A$20000,0),MATCH("Volume",'Semrush Data'!$A$1:$Z$1,0)),"")</f>
        <v/>
      </c>
      <c r="H2107" s="7" t="str">
        <f aca="false">IFERROR(INDEX('Semrush Data'!$A$1:$Z$20000,MATCH(A2107,'Semrush Data'!$A$1:$A$20000,0),MATCH("Keyword Difficulty*",'Semrush Data'!$A$1:$Z$1,0)),"")</f>
        <v/>
      </c>
      <c r="I2107" s="13" t="str">
        <f aca="false">IFERROR(INDEX('Semrush Data'!$A$1:$Z$20000,MATCH(A2107,'Semrush Data'!$A$1:$A$20000,0),MATCH("CPC*",'Semrush Data'!$A$1:$Z$1,0)),"")</f>
        <v/>
      </c>
      <c r="J2107" s="7" t="str">
        <f aca="false">IFERROR(INDEX('Semrush Data'!$A$1:$Z$20000,MATCH(A2107,'Semrush Data'!$A$1:$A$20000,0),MATCH("Intent",'Semrush Data'!$A$1:$Z$1,0)),"")</f>
        <v/>
      </c>
    </row>
    <row r="2108" customFormat="false" ht="15" hidden="false" customHeight="true" outlineLevel="0" collapsed="false">
      <c r="A2108" s="7" t="s">
        <v>1635</v>
      </c>
      <c r="B2108" s="7" t="s">
        <v>1355</v>
      </c>
      <c r="C2108" s="7" t="n">
        <v>3</v>
      </c>
      <c r="D2108" s="7" t="n">
        <v>22</v>
      </c>
      <c r="E2108" s="7" t="n">
        <v>1</v>
      </c>
      <c r="F2108" s="7" t="s">
        <v>611</v>
      </c>
      <c r="G2108" s="12" t="str">
        <f aca="false">IFERROR(INDEX('Semrush Data'!$A$1:$Z$20000,MATCH(A2108,'Semrush Data'!$A$1:$A$20000,0),MATCH("Volume",'Semrush Data'!$A$1:$Z$1,0)),"")</f>
        <v/>
      </c>
      <c r="H2108" s="7" t="str">
        <f aca="false">IFERROR(INDEX('Semrush Data'!$A$1:$Z$20000,MATCH(A2108,'Semrush Data'!$A$1:$A$20000,0),MATCH("Keyword Difficulty*",'Semrush Data'!$A$1:$Z$1,0)),"")</f>
        <v/>
      </c>
      <c r="I2108" s="13" t="str">
        <f aca="false">IFERROR(INDEX('Semrush Data'!$A$1:$Z$20000,MATCH(A2108,'Semrush Data'!$A$1:$A$20000,0),MATCH("CPC*",'Semrush Data'!$A$1:$Z$1,0)),"")</f>
        <v/>
      </c>
      <c r="J2108" s="7" t="str">
        <f aca="false">IFERROR(INDEX('Semrush Data'!$A$1:$Z$20000,MATCH(A2108,'Semrush Data'!$A$1:$A$20000,0),MATCH("Intent",'Semrush Data'!$A$1:$Z$1,0)),"")</f>
        <v/>
      </c>
    </row>
    <row r="2109" customFormat="false" ht="15" hidden="false" customHeight="true" outlineLevel="0" collapsed="false">
      <c r="A2109" s="7" t="s">
        <v>1502</v>
      </c>
      <c r="B2109" s="7" t="s">
        <v>1355</v>
      </c>
      <c r="C2109" s="7" t="n">
        <v>3</v>
      </c>
      <c r="D2109" s="7" t="n">
        <v>22</v>
      </c>
      <c r="E2109" s="7" t="n">
        <v>1</v>
      </c>
      <c r="F2109" s="7" t="s">
        <v>459</v>
      </c>
      <c r="G2109" s="12" t="str">
        <f aca="false">IFERROR(INDEX('Semrush Data'!$A$1:$Z$20000,MATCH(A2109,'Semrush Data'!$A$1:$A$20000,0),MATCH("Volume",'Semrush Data'!$A$1:$Z$1,0)),"")</f>
        <v/>
      </c>
      <c r="H2109" s="7" t="str">
        <f aca="false">IFERROR(INDEX('Semrush Data'!$A$1:$Z$20000,MATCH(A2109,'Semrush Data'!$A$1:$A$20000,0),MATCH("Keyword Difficulty*",'Semrush Data'!$A$1:$Z$1,0)),"")</f>
        <v/>
      </c>
      <c r="I2109" s="13" t="str">
        <f aca="false">IFERROR(INDEX('Semrush Data'!$A$1:$Z$20000,MATCH(A2109,'Semrush Data'!$A$1:$A$20000,0),MATCH("CPC*",'Semrush Data'!$A$1:$Z$1,0)),"")</f>
        <v/>
      </c>
      <c r="J2109" s="7" t="str">
        <f aca="false">IFERROR(INDEX('Semrush Data'!$A$1:$Z$20000,MATCH(A2109,'Semrush Data'!$A$1:$A$20000,0),MATCH("Intent",'Semrush Data'!$A$1:$Z$1,0)),"")</f>
        <v/>
      </c>
    </row>
    <row r="2110" customFormat="false" ht="15" hidden="false" customHeight="true" outlineLevel="0" collapsed="false">
      <c r="A2110" s="7" t="s">
        <v>1420</v>
      </c>
      <c r="B2110" s="7" t="s">
        <v>1355</v>
      </c>
      <c r="C2110" s="7" t="n">
        <v>3</v>
      </c>
      <c r="D2110" s="7" t="n">
        <v>22</v>
      </c>
      <c r="E2110" s="7" t="n">
        <v>1</v>
      </c>
      <c r="F2110" s="7" t="s">
        <v>363</v>
      </c>
      <c r="G2110" s="12" t="str">
        <f aca="false">IFERROR(INDEX('Semrush Data'!$A$1:$Z$20000,MATCH(A2110,'Semrush Data'!$A$1:$A$20000,0),MATCH("Volume",'Semrush Data'!$A$1:$Z$1,0)),"")</f>
        <v/>
      </c>
      <c r="H2110" s="7" t="str">
        <f aca="false">IFERROR(INDEX('Semrush Data'!$A$1:$Z$20000,MATCH(A2110,'Semrush Data'!$A$1:$A$20000,0),MATCH("Keyword Difficulty*",'Semrush Data'!$A$1:$Z$1,0)),"")</f>
        <v/>
      </c>
      <c r="I2110" s="13" t="str">
        <f aca="false">IFERROR(INDEX('Semrush Data'!$A$1:$Z$20000,MATCH(A2110,'Semrush Data'!$A$1:$A$20000,0),MATCH("CPC*",'Semrush Data'!$A$1:$Z$1,0)),"")</f>
        <v/>
      </c>
      <c r="J2110" s="7" t="str">
        <f aca="false">IFERROR(INDEX('Semrush Data'!$A$1:$Z$20000,MATCH(A2110,'Semrush Data'!$A$1:$A$20000,0),MATCH("Intent",'Semrush Data'!$A$1:$Z$1,0)),"")</f>
        <v/>
      </c>
    </row>
    <row r="2111" customFormat="false" ht="15" hidden="false" customHeight="true" outlineLevel="0" collapsed="false">
      <c r="A2111" s="7" t="s">
        <v>1641</v>
      </c>
      <c r="B2111" s="7" t="s">
        <v>1355</v>
      </c>
      <c r="C2111" s="7" t="n">
        <v>3</v>
      </c>
      <c r="D2111" s="7" t="n">
        <v>22</v>
      </c>
      <c r="E2111" s="7" t="n">
        <v>1</v>
      </c>
      <c r="F2111" s="7" t="s">
        <v>617</v>
      </c>
      <c r="G2111" s="12" t="str">
        <f aca="false">IFERROR(INDEX('Semrush Data'!$A$1:$Z$20000,MATCH(A2111,'Semrush Data'!$A$1:$A$20000,0),MATCH("Volume",'Semrush Data'!$A$1:$Z$1,0)),"")</f>
        <v/>
      </c>
      <c r="H2111" s="7" t="str">
        <f aca="false">IFERROR(INDEX('Semrush Data'!$A$1:$Z$20000,MATCH(A2111,'Semrush Data'!$A$1:$A$20000,0),MATCH("Keyword Difficulty*",'Semrush Data'!$A$1:$Z$1,0)),"")</f>
        <v/>
      </c>
      <c r="I2111" s="13" t="str">
        <f aca="false">IFERROR(INDEX('Semrush Data'!$A$1:$Z$20000,MATCH(A2111,'Semrush Data'!$A$1:$A$20000,0),MATCH("CPC*",'Semrush Data'!$A$1:$Z$1,0)),"")</f>
        <v/>
      </c>
      <c r="J2111" s="7" t="str">
        <f aca="false">IFERROR(INDEX('Semrush Data'!$A$1:$Z$20000,MATCH(A2111,'Semrush Data'!$A$1:$A$20000,0),MATCH("Intent",'Semrush Data'!$A$1:$Z$1,0)),"")</f>
        <v/>
      </c>
    </row>
    <row r="2112" customFormat="false" ht="15" hidden="false" customHeight="true" outlineLevel="0" collapsed="false">
      <c r="A2112" s="7" t="s">
        <v>1648</v>
      </c>
      <c r="B2112" s="7" t="s">
        <v>1355</v>
      </c>
      <c r="C2112" s="7" t="n">
        <v>3</v>
      </c>
      <c r="D2112" s="7" t="n">
        <v>22</v>
      </c>
      <c r="E2112" s="7" t="n">
        <v>1</v>
      </c>
      <c r="F2112" s="7" t="s">
        <v>623</v>
      </c>
      <c r="G2112" s="12" t="str">
        <f aca="false">IFERROR(INDEX('Semrush Data'!$A$1:$Z$20000,MATCH(A2112,'Semrush Data'!$A$1:$A$20000,0),MATCH("Volume",'Semrush Data'!$A$1:$Z$1,0)),"")</f>
        <v/>
      </c>
      <c r="H2112" s="7" t="str">
        <f aca="false">IFERROR(INDEX('Semrush Data'!$A$1:$Z$20000,MATCH(A2112,'Semrush Data'!$A$1:$A$20000,0),MATCH("Keyword Difficulty*",'Semrush Data'!$A$1:$Z$1,0)),"")</f>
        <v/>
      </c>
      <c r="I2112" s="13" t="str">
        <f aca="false">IFERROR(INDEX('Semrush Data'!$A$1:$Z$20000,MATCH(A2112,'Semrush Data'!$A$1:$A$20000,0),MATCH("CPC*",'Semrush Data'!$A$1:$Z$1,0)),"")</f>
        <v/>
      </c>
      <c r="J2112" s="7" t="str">
        <f aca="false">IFERROR(INDEX('Semrush Data'!$A$1:$Z$20000,MATCH(A2112,'Semrush Data'!$A$1:$A$20000,0),MATCH("Intent",'Semrush Data'!$A$1:$Z$1,0)),"")</f>
        <v/>
      </c>
    </row>
    <row r="2113" customFormat="false" ht="15" hidden="false" customHeight="true" outlineLevel="0" collapsed="false">
      <c r="A2113" s="7" t="s">
        <v>1734</v>
      </c>
      <c r="B2113" s="7" t="s">
        <v>1355</v>
      </c>
      <c r="C2113" s="7" t="n">
        <v>3</v>
      </c>
      <c r="D2113" s="7" t="n">
        <v>22</v>
      </c>
      <c r="E2113" s="7" t="n">
        <v>1</v>
      </c>
      <c r="F2113" s="7" t="s">
        <v>708</v>
      </c>
      <c r="G2113" s="12" t="str">
        <f aca="false">IFERROR(INDEX('Semrush Data'!$A$1:$Z$20000,MATCH(A2113,'Semrush Data'!$A$1:$A$20000,0),MATCH("Volume",'Semrush Data'!$A$1:$Z$1,0)),"")</f>
        <v/>
      </c>
      <c r="H2113" s="7" t="str">
        <f aca="false">IFERROR(INDEX('Semrush Data'!$A$1:$Z$20000,MATCH(A2113,'Semrush Data'!$A$1:$A$20000,0),MATCH("Keyword Difficulty*",'Semrush Data'!$A$1:$Z$1,0)),"")</f>
        <v/>
      </c>
      <c r="I2113" s="13" t="str">
        <f aca="false">IFERROR(INDEX('Semrush Data'!$A$1:$Z$20000,MATCH(A2113,'Semrush Data'!$A$1:$A$20000,0),MATCH("CPC*",'Semrush Data'!$A$1:$Z$1,0)),"")</f>
        <v/>
      </c>
      <c r="J2113" s="7" t="str">
        <f aca="false">IFERROR(INDEX('Semrush Data'!$A$1:$Z$20000,MATCH(A2113,'Semrush Data'!$A$1:$A$20000,0),MATCH("Intent",'Semrush Data'!$A$1:$Z$1,0)),"")</f>
        <v/>
      </c>
    </row>
    <row r="2114" customFormat="false" ht="15" hidden="false" customHeight="true" outlineLevel="0" collapsed="false">
      <c r="A2114" s="7" t="s">
        <v>1698</v>
      </c>
      <c r="B2114" s="7" t="s">
        <v>1355</v>
      </c>
      <c r="C2114" s="7" t="n">
        <v>3</v>
      </c>
      <c r="D2114" s="7" t="n">
        <v>22</v>
      </c>
      <c r="E2114" s="7" t="n">
        <v>1</v>
      </c>
      <c r="F2114" s="7" t="s">
        <v>674</v>
      </c>
      <c r="G2114" s="12" t="str">
        <f aca="false">IFERROR(INDEX('Semrush Data'!$A$1:$Z$20000,MATCH(A2114,'Semrush Data'!$A$1:$A$20000,0),MATCH("Volume",'Semrush Data'!$A$1:$Z$1,0)),"")</f>
        <v/>
      </c>
      <c r="H2114" s="7" t="str">
        <f aca="false">IFERROR(INDEX('Semrush Data'!$A$1:$Z$20000,MATCH(A2114,'Semrush Data'!$A$1:$A$20000,0),MATCH("Keyword Difficulty*",'Semrush Data'!$A$1:$Z$1,0)),"")</f>
        <v/>
      </c>
      <c r="I2114" s="13" t="str">
        <f aca="false">IFERROR(INDEX('Semrush Data'!$A$1:$Z$20000,MATCH(A2114,'Semrush Data'!$A$1:$A$20000,0),MATCH("CPC*",'Semrush Data'!$A$1:$Z$1,0)),"")</f>
        <v/>
      </c>
      <c r="J2114" s="7" t="str">
        <f aca="false">IFERROR(INDEX('Semrush Data'!$A$1:$Z$20000,MATCH(A2114,'Semrush Data'!$A$1:$A$20000,0),MATCH("Intent",'Semrush Data'!$A$1:$Z$1,0)),"")</f>
        <v/>
      </c>
    </row>
    <row r="2115" customFormat="false" ht="15" hidden="false" customHeight="true" outlineLevel="0" collapsed="false">
      <c r="A2115" s="7" t="s">
        <v>1770</v>
      </c>
      <c r="B2115" s="7" t="s">
        <v>1355</v>
      </c>
      <c r="C2115" s="7" t="n">
        <v>3</v>
      </c>
      <c r="D2115" s="7" t="n">
        <v>22</v>
      </c>
      <c r="E2115" s="7" t="n">
        <v>1</v>
      </c>
      <c r="F2115" s="7" t="s">
        <v>742</v>
      </c>
      <c r="G2115" s="12" t="str">
        <f aca="false">IFERROR(INDEX('Semrush Data'!$A$1:$Z$20000,MATCH(A2115,'Semrush Data'!$A$1:$A$20000,0),MATCH("Volume",'Semrush Data'!$A$1:$Z$1,0)),"")</f>
        <v/>
      </c>
      <c r="H2115" s="7" t="str">
        <f aca="false">IFERROR(INDEX('Semrush Data'!$A$1:$Z$20000,MATCH(A2115,'Semrush Data'!$A$1:$A$20000,0),MATCH("Keyword Difficulty*",'Semrush Data'!$A$1:$Z$1,0)),"")</f>
        <v/>
      </c>
      <c r="I2115" s="13" t="str">
        <f aca="false">IFERROR(INDEX('Semrush Data'!$A$1:$Z$20000,MATCH(A2115,'Semrush Data'!$A$1:$A$20000,0),MATCH("CPC*",'Semrush Data'!$A$1:$Z$1,0)),"")</f>
        <v/>
      </c>
      <c r="J2115" s="7" t="str">
        <f aca="false">IFERROR(INDEX('Semrush Data'!$A$1:$Z$20000,MATCH(A2115,'Semrush Data'!$A$1:$A$20000,0),MATCH("Intent",'Semrush Data'!$A$1:$Z$1,0)),"")</f>
        <v/>
      </c>
    </row>
    <row r="2116" customFormat="false" ht="15" hidden="false" customHeight="true" outlineLevel="0" collapsed="false">
      <c r="A2116" s="7" t="s">
        <v>1448</v>
      </c>
      <c r="B2116" s="7" t="s">
        <v>1355</v>
      </c>
      <c r="C2116" s="7" t="n">
        <v>3</v>
      </c>
      <c r="D2116" s="7" t="n">
        <v>22</v>
      </c>
      <c r="E2116" s="7" t="n">
        <v>1</v>
      </c>
      <c r="F2116" s="7" t="s">
        <v>394</v>
      </c>
      <c r="G2116" s="12" t="str">
        <f aca="false">IFERROR(INDEX('Semrush Data'!$A$1:$Z$20000,MATCH(A2116,'Semrush Data'!$A$1:$A$20000,0),MATCH("Volume",'Semrush Data'!$A$1:$Z$1,0)),"")</f>
        <v/>
      </c>
      <c r="H2116" s="7" t="str">
        <f aca="false">IFERROR(INDEX('Semrush Data'!$A$1:$Z$20000,MATCH(A2116,'Semrush Data'!$A$1:$A$20000,0),MATCH("Keyword Difficulty*",'Semrush Data'!$A$1:$Z$1,0)),"")</f>
        <v/>
      </c>
      <c r="I2116" s="13" t="str">
        <f aca="false">IFERROR(INDEX('Semrush Data'!$A$1:$Z$20000,MATCH(A2116,'Semrush Data'!$A$1:$A$20000,0),MATCH("CPC*",'Semrush Data'!$A$1:$Z$1,0)),"")</f>
        <v/>
      </c>
      <c r="J2116" s="7" t="str">
        <f aca="false">IFERROR(INDEX('Semrush Data'!$A$1:$Z$20000,MATCH(A2116,'Semrush Data'!$A$1:$A$20000,0),MATCH("Intent",'Semrush Data'!$A$1:$Z$1,0)),"")</f>
        <v/>
      </c>
    </row>
    <row r="2117" customFormat="false" ht="15" hidden="false" customHeight="true" outlineLevel="0" collapsed="false">
      <c r="A2117" s="7" t="s">
        <v>1378</v>
      </c>
      <c r="B2117" s="7" t="s">
        <v>1355</v>
      </c>
      <c r="C2117" s="7" t="n">
        <v>3</v>
      </c>
      <c r="D2117" s="7" t="n">
        <v>22</v>
      </c>
      <c r="E2117" s="7" t="n">
        <v>1</v>
      </c>
      <c r="F2117" s="7" t="s">
        <v>312</v>
      </c>
      <c r="G2117" s="12" t="str">
        <f aca="false">IFERROR(INDEX('Semrush Data'!$A$1:$Z$20000,MATCH(A2117,'Semrush Data'!$A$1:$A$20000,0),MATCH("Volume",'Semrush Data'!$A$1:$Z$1,0)),"")</f>
        <v/>
      </c>
      <c r="H2117" s="7" t="str">
        <f aca="false">IFERROR(INDEX('Semrush Data'!$A$1:$Z$20000,MATCH(A2117,'Semrush Data'!$A$1:$A$20000,0),MATCH("Keyword Difficulty*",'Semrush Data'!$A$1:$Z$1,0)),"")</f>
        <v/>
      </c>
      <c r="I2117" s="13" t="str">
        <f aca="false">IFERROR(INDEX('Semrush Data'!$A$1:$Z$20000,MATCH(A2117,'Semrush Data'!$A$1:$A$20000,0),MATCH("CPC*",'Semrush Data'!$A$1:$Z$1,0)),"")</f>
        <v/>
      </c>
      <c r="J2117" s="7" t="str">
        <f aca="false">IFERROR(INDEX('Semrush Data'!$A$1:$Z$20000,MATCH(A2117,'Semrush Data'!$A$1:$A$20000,0),MATCH("Intent",'Semrush Data'!$A$1:$Z$1,0)),"")</f>
        <v/>
      </c>
    </row>
    <row r="2118" customFormat="false" ht="15" hidden="false" customHeight="true" outlineLevel="0" collapsed="false">
      <c r="A2118" s="7" t="s">
        <v>1704</v>
      </c>
      <c r="B2118" s="7" t="s">
        <v>1355</v>
      </c>
      <c r="C2118" s="7" t="n">
        <v>3</v>
      </c>
      <c r="D2118" s="7" t="n">
        <v>22</v>
      </c>
      <c r="E2118" s="7" t="n">
        <v>1</v>
      </c>
      <c r="F2118" s="7" t="s">
        <v>680</v>
      </c>
      <c r="G2118" s="12" t="str">
        <f aca="false">IFERROR(INDEX('Semrush Data'!$A$1:$Z$20000,MATCH(A2118,'Semrush Data'!$A$1:$A$20000,0),MATCH("Volume",'Semrush Data'!$A$1:$Z$1,0)),"")</f>
        <v/>
      </c>
      <c r="H2118" s="7" t="str">
        <f aca="false">IFERROR(INDEX('Semrush Data'!$A$1:$Z$20000,MATCH(A2118,'Semrush Data'!$A$1:$A$20000,0),MATCH("Keyword Difficulty*",'Semrush Data'!$A$1:$Z$1,0)),"")</f>
        <v/>
      </c>
      <c r="I2118" s="13" t="str">
        <f aca="false">IFERROR(INDEX('Semrush Data'!$A$1:$Z$20000,MATCH(A2118,'Semrush Data'!$A$1:$A$20000,0),MATCH("CPC*",'Semrush Data'!$A$1:$Z$1,0)),"")</f>
        <v/>
      </c>
      <c r="J2118" s="7" t="str">
        <f aca="false">IFERROR(INDEX('Semrush Data'!$A$1:$Z$20000,MATCH(A2118,'Semrush Data'!$A$1:$A$20000,0),MATCH("Intent",'Semrush Data'!$A$1:$Z$1,0)),"")</f>
        <v/>
      </c>
    </row>
    <row r="2119" customFormat="false" ht="15" hidden="false" customHeight="true" outlineLevel="0" collapsed="false">
      <c r="A2119" s="7" t="s">
        <v>1824</v>
      </c>
      <c r="B2119" s="7" t="s">
        <v>1355</v>
      </c>
      <c r="C2119" s="7" t="n">
        <v>3</v>
      </c>
      <c r="D2119" s="7" t="n">
        <v>22</v>
      </c>
      <c r="E2119" s="7" t="n">
        <v>1</v>
      </c>
      <c r="F2119" s="7" t="s">
        <v>791</v>
      </c>
      <c r="G2119" s="12" t="str">
        <f aca="false">IFERROR(INDEX('Semrush Data'!$A$1:$Z$20000,MATCH(A2119,'Semrush Data'!$A$1:$A$20000,0),MATCH("Volume",'Semrush Data'!$A$1:$Z$1,0)),"")</f>
        <v/>
      </c>
      <c r="H2119" s="7" t="str">
        <f aca="false">IFERROR(INDEX('Semrush Data'!$A$1:$Z$20000,MATCH(A2119,'Semrush Data'!$A$1:$A$20000,0),MATCH("Keyword Difficulty*",'Semrush Data'!$A$1:$Z$1,0)),"")</f>
        <v/>
      </c>
      <c r="I2119" s="13" t="str">
        <f aca="false">IFERROR(INDEX('Semrush Data'!$A$1:$Z$20000,MATCH(A2119,'Semrush Data'!$A$1:$A$20000,0),MATCH("CPC*",'Semrush Data'!$A$1:$Z$1,0)),"")</f>
        <v/>
      </c>
      <c r="J2119" s="7" t="str">
        <f aca="false">IFERROR(INDEX('Semrush Data'!$A$1:$Z$20000,MATCH(A2119,'Semrush Data'!$A$1:$A$20000,0),MATCH("Intent",'Semrush Data'!$A$1:$Z$1,0)),"")</f>
        <v/>
      </c>
    </row>
    <row r="2120" customFormat="false" ht="15" hidden="false" customHeight="true" outlineLevel="0" collapsed="false">
      <c r="A2120" s="7" t="s">
        <v>1728</v>
      </c>
      <c r="B2120" s="7" t="s">
        <v>1355</v>
      </c>
      <c r="C2120" s="7" t="n">
        <v>3</v>
      </c>
      <c r="D2120" s="7" t="n">
        <v>22</v>
      </c>
      <c r="E2120" s="7" t="n">
        <v>1</v>
      </c>
      <c r="F2120" s="7" t="s">
        <v>703</v>
      </c>
      <c r="G2120" s="12" t="str">
        <f aca="false">IFERROR(INDEX('Semrush Data'!$A$1:$Z$20000,MATCH(A2120,'Semrush Data'!$A$1:$A$20000,0),MATCH("Volume",'Semrush Data'!$A$1:$Z$1,0)),"")</f>
        <v/>
      </c>
      <c r="H2120" s="7" t="str">
        <f aca="false">IFERROR(INDEX('Semrush Data'!$A$1:$Z$20000,MATCH(A2120,'Semrush Data'!$A$1:$A$20000,0),MATCH("Keyword Difficulty*",'Semrush Data'!$A$1:$Z$1,0)),"")</f>
        <v/>
      </c>
      <c r="I2120" s="13" t="str">
        <f aca="false">IFERROR(INDEX('Semrush Data'!$A$1:$Z$20000,MATCH(A2120,'Semrush Data'!$A$1:$A$20000,0),MATCH("CPC*",'Semrush Data'!$A$1:$Z$1,0)),"")</f>
        <v/>
      </c>
      <c r="J2120" s="7" t="str">
        <f aca="false">IFERROR(INDEX('Semrush Data'!$A$1:$Z$20000,MATCH(A2120,'Semrush Data'!$A$1:$A$20000,0),MATCH("Intent",'Semrush Data'!$A$1:$Z$1,0)),"")</f>
        <v/>
      </c>
    </row>
    <row r="2121" customFormat="false" ht="15" hidden="false" customHeight="true" outlineLevel="0" collapsed="false">
      <c r="A2121" s="7" t="s">
        <v>1412</v>
      </c>
      <c r="B2121" s="7" t="s">
        <v>1355</v>
      </c>
      <c r="C2121" s="7" t="n">
        <v>3</v>
      </c>
      <c r="D2121" s="7" t="n">
        <v>22</v>
      </c>
      <c r="E2121" s="7" t="n">
        <v>1</v>
      </c>
      <c r="F2121" s="7" t="s">
        <v>353</v>
      </c>
      <c r="G2121" s="12" t="str">
        <f aca="false">IFERROR(INDEX('Semrush Data'!$A$1:$Z$20000,MATCH(A2121,'Semrush Data'!$A$1:$A$20000,0),MATCH("Volume",'Semrush Data'!$A$1:$Z$1,0)),"")</f>
        <v/>
      </c>
      <c r="H2121" s="7" t="str">
        <f aca="false">IFERROR(INDEX('Semrush Data'!$A$1:$Z$20000,MATCH(A2121,'Semrush Data'!$A$1:$A$20000,0),MATCH("Keyword Difficulty*",'Semrush Data'!$A$1:$Z$1,0)),"")</f>
        <v/>
      </c>
      <c r="I2121" s="13" t="str">
        <f aca="false">IFERROR(INDEX('Semrush Data'!$A$1:$Z$20000,MATCH(A2121,'Semrush Data'!$A$1:$A$20000,0),MATCH("CPC*",'Semrush Data'!$A$1:$Z$1,0)),"")</f>
        <v/>
      </c>
      <c r="J2121" s="7" t="str">
        <f aca="false">IFERROR(INDEX('Semrush Data'!$A$1:$Z$20000,MATCH(A2121,'Semrush Data'!$A$1:$A$20000,0),MATCH("Intent",'Semrush Data'!$A$1:$Z$1,0)),"")</f>
        <v/>
      </c>
    </row>
    <row r="2122" customFormat="false" ht="15" hidden="false" customHeight="true" outlineLevel="0" collapsed="false">
      <c r="A2122" s="7" t="s">
        <v>1842</v>
      </c>
      <c r="B2122" s="7" t="s">
        <v>1355</v>
      </c>
      <c r="C2122" s="7" t="n">
        <v>3</v>
      </c>
      <c r="D2122" s="7" t="n">
        <v>22</v>
      </c>
      <c r="E2122" s="7" t="n">
        <v>1</v>
      </c>
      <c r="F2122" s="7" t="s">
        <v>808</v>
      </c>
      <c r="G2122" s="12" t="str">
        <f aca="false">IFERROR(INDEX('Semrush Data'!$A$1:$Z$20000,MATCH(A2122,'Semrush Data'!$A$1:$A$20000,0),MATCH("Volume",'Semrush Data'!$A$1:$Z$1,0)),"")</f>
        <v/>
      </c>
      <c r="H2122" s="7" t="str">
        <f aca="false">IFERROR(INDEX('Semrush Data'!$A$1:$Z$20000,MATCH(A2122,'Semrush Data'!$A$1:$A$20000,0),MATCH("Keyword Difficulty*",'Semrush Data'!$A$1:$Z$1,0)),"")</f>
        <v/>
      </c>
      <c r="I2122" s="13" t="str">
        <f aca="false">IFERROR(INDEX('Semrush Data'!$A$1:$Z$20000,MATCH(A2122,'Semrush Data'!$A$1:$A$20000,0),MATCH("CPC*",'Semrush Data'!$A$1:$Z$1,0)),"")</f>
        <v/>
      </c>
      <c r="J2122" s="7" t="str">
        <f aca="false">IFERROR(INDEX('Semrush Data'!$A$1:$Z$20000,MATCH(A2122,'Semrush Data'!$A$1:$A$20000,0),MATCH("Intent",'Semrush Data'!$A$1:$Z$1,0)),"")</f>
        <v/>
      </c>
    </row>
    <row r="2123" customFormat="false" ht="15" hidden="false" customHeight="true" outlineLevel="0" collapsed="false">
      <c r="A2123" s="7" t="s">
        <v>1764</v>
      </c>
      <c r="B2123" s="7" t="s">
        <v>1355</v>
      </c>
      <c r="C2123" s="7" t="n">
        <v>3</v>
      </c>
      <c r="D2123" s="7" t="n">
        <v>22</v>
      </c>
      <c r="E2123" s="7" t="n">
        <v>1</v>
      </c>
      <c r="F2123" s="7" t="s">
        <v>736</v>
      </c>
      <c r="G2123" s="12" t="str">
        <f aca="false">IFERROR(INDEX('Semrush Data'!$A$1:$Z$20000,MATCH(A2123,'Semrush Data'!$A$1:$A$20000,0),MATCH("Volume",'Semrush Data'!$A$1:$Z$1,0)),"")</f>
        <v/>
      </c>
      <c r="H2123" s="7" t="str">
        <f aca="false">IFERROR(INDEX('Semrush Data'!$A$1:$Z$20000,MATCH(A2123,'Semrush Data'!$A$1:$A$20000,0),MATCH("Keyword Difficulty*",'Semrush Data'!$A$1:$Z$1,0)),"")</f>
        <v/>
      </c>
      <c r="I2123" s="13" t="str">
        <f aca="false">IFERROR(INDEX('Semrush Data'!$A$1:$Z$20000,MATCH(A2123,'Semrush Data'!$A$1:$A$20000,0),MATCH("CPC*",'Semrush Data'!$A$1:$Z$1,0)),"")</f>
        <v/>
      </c>
      <c r="J2123" s="7" t="str">
        <f aca="false">IFERROR(INDEX('Semrush Data'!$A$1:$Z$20000,MATCH(A2123,'Semrush Data'!$A$1:$A$20000,0),MATCH("Intent",'Semrush Data'!$A$1:$Z$1,0)),"")</f>
        <v/>
      </c>
    </row>
    <row r="2124" customFormat="false" ht="15" hidden="false" customHeight="true" outlineLevel="0" collapsed="false">
      <c r="A2124" s="7" t="s">
        <v>1812</v>
      </c>
      <c r="B2124" s="7" t="s">
        <v>1355</v>
      </c>
      <c r="C2124" s="7" t="n">
        <v>3</v>
      </c>
      <c r="D2124" s="7" t="n">
        <v>22</v>
      </c>
      <c r="E2124" s="7" t="n">
        <v>1</v>
      </c>
      <c r="F2124" s="7" t="s">
        <v>781</v>
      </c>
      <c r="G2124" s="12" t="str">
        <f aca="false">IFERROR(INDEX('Semrush Data'!$A$1:$Z$20000,MATCH(A2124,'Semrush Data'!$A$1:$A$20000,0),MATCH("Volume",'Semrush Data'!$A$1:$Z$1,0)),"")</f>
        <v/>
      </c>
      <c r="H2124" s="7" t="str">
        <f aca="false">IFERROR(INDEX('Semrush Data'!$A$1:$Z$20000,MATCH(A2124,'Semrush Data'!$A$1:$A$20000,0),MATCH("Keyword Difficulty*",'Semrush Data'!$A$1:$Z$1,0)),"")</f>
        <v/>
      </c>
      <c r="I2124" s="13" t="str">
        <f aca="false">IFERROR(INDEX('Semrush Data'!$A$1:$Z$20000,MATCH(A2124,'Semrush Data'!$A$1:$A$20000,0),MATCH("CPC*",'Semrush Data'!$A$1:$Z$1,0)),"")</f>
        <v/>
      </c>
      <c r="J2124" s="7" t="str">
        <f aca="false">IFERROR(INDEX('Semrush Data'!$A$1:$Z$20000,MATCH(A2124,'Semrush Data'!$A$1:$A$20000,0),MATCH("Intent",'Semrush Data'!$A$1:$Z$1,0)),"")</f>
        <v/>
      </c>
    </row>
    <row r="2125" customFormat="false" ht="15" hidden="false" customHeight="true" outlineLevel="0" collapsed="false">
      <c r="A2125" s="7" t="s">
        <v>1722</v>
      </c>
      <c r="B2125" s="7" t="s">
        <v>1355</v>
      </c>
      <c r="C2125" s="7" t="n">
        <v>3</v>
      </c>
      <c r="D2125" s="7" t="n">
        <v>22</v>
      </c>
      <c r="E2125" s="7" t="n">
        <v>1</v>
      </c>
      <c r="F2125" s="7" t="s">
        <v>698</v>
      </c>
      <c r="G2125" s="12" t="str">
        <f aca="false">IFERROR(INDEX('Semrush Data'!$A$1:$Z$20000,MATCH(A2125,'Semrush Data'!$A$1:$A$20000,0),MATCH("Volume",'Semrush Data'!$A$1:$Z$1,0)),"")</f>
        <v/>
      </c>
      <c r="H2125" s="7" t="str">
        <f aca="false">IFERROR(INDEX('Semrush Data'!$A$1:$Z$20000,MATCH(A2125,'Semrush Data'!$A$1:$A$20000,0),MATCH("Keyword Difficulty*",'Semrush Data'!$A$1:$Z$1,0)),"")</f>
        <v/>
      </c>
      <c r="I2125" s="13" t="str">
        <f aca="false">IFERROR(INDEX('Semrush Data'!$A$1:$Z$20000,MATCH(A2125,'Semrush Data'!$A$1:$A$20000,0),MATCH("CPC*",'Semrush Data'!$A$1:$Z$1,0)),"")</f>
        <v/>
      </c>
      <c r="J2125" s="7" t="str">
        <f aca="false">IFERROR(INDEX('Semrush Data'!$A$1:$Z$20000,MATCH(A2125,'Semrush Data'!$A$1:$A$20000,0),MATCH("Intent",'Semrush Data'!$A$1:$Z$1,0)),"")</f>
        <v/>
      </c>
    </row>
    <row r="2126" customFormat="false" ht="15" hidden="false" customHeight="true" outlineLevel="0" collapsed="false">
      <c r="A2126" s="7" t="s">
        <v>1758</v>
      </c>
      <c r="B2126" s="7" t="s">
        <v>1355</v>
      </c>
      <c r="C2126" s="7" t="n">
        <v>3</v>
      </c>
      <c r="D2126" s="7" t="n">
        <v>22</v>
      </c>
      <c r="E2126" s="7" t="n">
        <v>1</v>
      </c>
      <c r="F2126" s="7" t="s">
        <v>730</v>
      </c>
      <c r="G2126" s="12" t="str">
        <f aca="false">IFERROR(INDEX('Semrush Data'!$A$1:$Z$20000,MATCH(A2126,'Semrush Data'!$A$1:$A$20000,0),MATCH("Volume",'Semrush Data'!$A$1:$Z$1,0)),"")</f>
        <v/>
      </c>
      <c r="H2126" s="7" t="str">
        <f aca="false">IFERROR(INDEX('Semrush Data'!$A$1:$Z$20000,MATCH(A2126,'Semrush Data'!$A$1:$A$20000,0),MATCH("Keyword Difficulty*",'Semrush Data'!$A$1:$Z$1,0)),"")</f>
        <v/>
      </c>
      <c r="I2126" s="13" t="str">
        <f aca="false">IFERROR(INDEX('Semrush Data'!$A$1:$Z$20000,MATCH(A2126,'Semrush Data'!$A$1:$A$20000,0),MATCH("CPC*",'Semrush Data'!$A$1:$Z$1,0)),"")</f>
        <v/>
      </c>
      <c r="J2126" s="7" t="str">
        <f aca="false">IFERROR(INDEX('Semrush Data'!$A$1:$Z$20000,MATCH(A2126,'Semrush Data'!$A$1:$A$20000,0),MATCH("Intent",'Semrush Data'!$A$1:$Z$1,0)),"")</f>
        <v/>
      </c>
    </row>
    <row r="2127" customFormat="false" ht="15" hidden="false" customHeight="true" outlineLevel="0" collapsed="false">
      <c r="A2127" s="7" t="s">
        <v>1806</v>
      </c>
      <c r="B2127" s="7" t="s">
        <v>1355</v>
      </c>
      <c r="C2127" s="7" t="n">
        <v>3</v>
      </c>
      <c r="D2127" s="7" t="n">
        <v>22</v>
      </c>
      <c r="E2127" s="7" t="n">
        <v>1</v>
      </c>
      <c r="F2127" s="7" t="s">
        <v>775</v>
      </c>
      <c r="G2127" s="12" t="str">
        <f aca="false">IFERROR(INDEX('Semrush Data'!$A$1:$Z$20000,MATCH(A2127,'Semrush Data'!$A$1:$A$20000,0),MATCH("Volume",'Semrush Data'!$A$1:$Z$1,0)),"")</f>
        <v/>
      </c>
      <c r="H2127" s="7" t="str">
        <f aca="false">IFERROR(INDEX('Semrush Data'!$A$1:$Z$20000,MATCH(A2127,'Semrush Data'!$A$1:$A$20000,0),MATCH("Keyword Difficulty*",'Semrush Data'!$A$1:$Z$1,0)),"")</f>
        <v/>
      </c>
      <c r="I2127" s="13" t="str">
        <f aca="false">IFERROR(INDEX('Semrush Data'!$A$1:$Z$20000,MATCH(A2127,'Semrush Data'!$A$1:$A$20000,0),MATCH("CPC*",'Semrush Data'!$A$1:$Z$1,0)),"")</f>
        <v/>
      </c>
      <c r="J2127" s="7" t="str">
        <f aca="false">IFERROR(INDEX('Semrush Data'!$A$1:$Z$20000,MATCH(A2127,'Semrush Data'!$A$1:$A$20000,0),MATCH("Intent",'Semrush Data'!$A$1:$Z$1,0)),"")</f>
        <v/>
      </c>
    </row>
    <row r="2128" customFormat="false" ht="15" hidden="false" customHeight="true" outlineLevel="0" collapsed="false">
      <c r="A2128" s="7" t="s">
        <v>1427</v>
      </c>
      <c r="B2128" s="7" t="s">
        <v>1355</v>
      </c>
      <c r="C2128" s="7" t="n">
        <v>3</v>
      </c>
      <c r="D2128" s="7" t="n">
        <v>22</v>
      </c>
      <c r="E2128" s="7" t="n">
        <v>1</v>
      </c>
      <c r="F2128" s="7" t="s">
        <v>372</v>
      </c>
      <c r="G2128" s="12" t="str">
        <f aca="false">IFERROR(INDEX('Semrush Data'!$A$1:$Z$20000,MATCH(A2128,'Semrush Data'!$A$1:$A$20000,0),MATCH("Volume",'Semrush Data'!$A$1:$Z$1,0)),"")</f>
        <v/>
      </c>
      <c r="H2128" s="7" t="str">
        <f aca="false">IFERROR(INDEX('Semrush Data'!$A$1:$Z$20000,MATCH(A2128,'Semrush Data'!$A$1:$A$20000,0),MATCH("Keyword Difficulty*",'Semrush Data'!$A$1:$Z$1,0)),"")</f>
        <v/>
      </c>
      <c r="I2128" s="13" t="str">
        <f aca="false">IFERROR(INDEX('Semrush Data'!$A$1:$Z$20000,MATCH(A2128,'Semrush Data'!$A$1:$A$20000,0),MATCH("CPC*",'Semrush Data'!$A$1:$Z$1,0)),"")</f>
        <v/>
      </c>
      <c r="J2128" s="7" t="str">
        <f aca="false">IFERROR(INDEX('Semrush Data'!$A$1:$Z$20000,MATCH(A2128,'Semrush Data'!$A$1:$A$20000,0),MATCH("Intent",'Semrush Data'!$A$1:$Z$1,0)),"")</f>
        <v/>
      </c>
    </row>
    <row r="2129" customFormat="false" ht="15" hidden="false" customHeight="true" outlineLevel="0" collapsed="false">
      <c r="A2129" s="7" t="s">
        <v>1653</v>
      </c>
      <c r="B2129" s="7" t="s">
        <v>1355</v>
      </c>
      <c r="C2129" s="7" t="n">
        <v>3</v>
      </c>
      <c r="D2129" s="7" t="n">
        <v>22</v>
      </c>
      <c r="E2129" s="7" t="n">
        <v>1</v>
      </c>
      <c r="F2129" s="7" t="s">
        <v>629</v>
      </c>
      <c r="G2129" s="12" t="str">
        <f aca="false">IFERROR(INDEX('Semrush Data'!$A$1:$Z$20000,MATCH(A2129,'Semrush Data'!$A$1:$A$20000,0),MATCH("Volume",'Semrush Data'!$A$1:$Z$1,0)),"")</f>
        <v/>
      </c>
      <c r="H2129" s="7" t="str">
        <f aca="false">IFERROR(INDEX('Semrush Data'!$A$1:$Z$20000,MATCH(A2129,'Semrush Data'!$A$1:$A$20000,0),MATCH("Keyword Difficulty*",'Semrush Data'!$A$1:$Z$1,0)),"")</f>
        <v/>
      </c>
      <c r="I2129" s="13" t="str">
        <f aca="false">IFERROR(INDEX('Semrush Data'!$A$1:$Z$20000,MATCH(A2129,'Semrush Data'!$A$1:$A$20000,0),MATCH("CPC*",'Semrush Data'!$A$1:$Z$1,0)),"")</f>
        <v/>
      </c>
      <c r="J2129" s="7" t="str">
        <f aca="false">IFERROR(INDEX('Semrush Data'!$A$1:$Z$20000,MATCH(A2129,'Semrush Data'!$A$1:$A$20000,0),MATCH("Intent",'Semrush Data'!$A$1:$Z$1,0)),"")</f>
        <v/>
      </c>
    </row>
    <row r="2130" customFormat="false" ht="15" hidden="false" customHeight="true" outlineLevel="0" collapsed="false">
      <c r="A2130" s="7" t="s">
        <v>1510</v>
      </c>
      <c r="B2130" s="7" t="s">
        <v>1355</v>
      </c>
      <c r="C2130" s="7" t="n">
        <v>3</v>
      </c>
      <c r="D2130" s="7" t="n">
        <v>22</v>
      </c>
      <c r="E2130" s="7" t="n">
        <v>1</v>
      </c>
      <c r="F2130" s="7" t="s">
        <v>468</v>
      </c>
      <c r="G2130" s="12" t="str">
        <f aca="false">IFERROR(INDEX('Semrush Data'!$A$1:$Z$20000,MATCH(A2130,'Semrush Data'!$A$1:$A$20000,0),MATCH("Volume",'Semrush Data'!$A$1:$Z$1,0)),"")</f>
        <v/>
      </c>
      <c r="H2130" s="7" t="str">
        <f aca="false">IFERROR(INDEX('Semrush Data'!$A$1:$Z$20000,MATCH(A2130,'Semrush Data'!$A$1:$A$20000,0),MATCH("Keyword Difficulty*",'Semrush Data'!$A$1:$Z$1,0)),"")</f>
        <v/>
      </c>
      <c r="I2130" s="13" t="str">
        <f aca="false">IFERROR(INDEX('Semrush Data'!$A$1:$Z$20000,MATCH(A2130,'Semrush Data'!$A$1:$A$20000,0),MATCH("CPC*",'Semrush Data'!$A$1:$Z$1,0)),"")</f>
        <v/>
      </c>
      <c r="J2130" s="7" t="str">
        <f aca="false">IFERROR(INDEX('Semrush Data'!$A$1:$Z$20000,MATCH(A2130,'Semrush Data'!$A$1:$A$20000,0),MATCH("Intent",'Semrush Data'!$A$1:$Z$1,0)),"")</f>
        <v/>
      </c>
    </row>
    <row r="2131" customFormat="false" ht="15" hidden="false" customHeight="true" outlineLevel="0" collapsed="false">
      <c r="A2131" s="7" t="s">
        <v>1800</v>
      </c>
      <c r="B2131" s="7" t="s">
        <v>1355</v>
      </c>
      <c r="C2131" s="7" t="n">
        <v>3</v>
      </c>
      <c r="D2131" s="7" t="n">
        <v>22</v>
      </c>
      <c r="E2131" s="7" t="n">
        <v>1</v>
      </c>
      <c r="F2131" s="7" t="s">
        <v>769</v>
      </c>
      <c r="G2131" s="12" t="str">
        <f aca="false">IFERROR(INDEX('Semrush Data'!$A$1:$Z$20000,MATCH(A2131,'Semrush Data'!$A$1:$A$20000,0),MATCH("Volume",'Semrush Data'!$A$1:$Z$1,0)),"")</f>
        <v/>
      </c>
      <c r="H2131" s="7" t="str">
        <f aca="false">IFERROR(INDEX('Semrush Data'!$A$1:$Z$20000,MATCH(A2131,'Semrush Data'!$A$1:$A$20000,0),MATCH("Keyword Difficulty*",'Semrush Data'!$A$1:$Z$1,0)),"")</f>
        <v/>
      </c>
      <c r="I2131" s="13" t="str">
        <f aca="false">IFERROR(INDEX('Semrush Data'!$A$1:$Z$20000,MATCH(A2131,'Semrush Data'!$A$1:$A$20000,0),MATCH("CPC*",'Semrush Data'!$A$1:$Z$1,0)),"")</f>
        <v/>
      </c>
      <c r="J2131" s="7" t="str">
        <f aca="false">IFERROR(INDEX('Semrush Data'!$A$1:$Z$20000,MATCH(A2131,'Semrush Data'!$A$1:$A$20000,0),MATCH("Intent",'Semrush Data'!$A$1:$Z$1,0)),"")</f>
        <v/>
      </c>
    </row>
    <row r="2132" customFormat="false" ht="15" hidden="false" customHeight="true" outlineLevel="0" collapsed="false">
      <c r="A2132" s="7" t="s">
        <v>6429</v>
      </c>
      <c r="B2132" s="7" t="s">
        <v>1355</v>
      </c>
      <c r="C2132" s="7" t="n">
        <v>3</v>
      </c>
      <c r="D2132" s="7" t="n">
        <v>22</v>
      </c>
      <c r="E2132" s="7" t="n">
        <v>1</v>
      </c>
      <c r="F2132" s="7" t="s">
        <v>6424</v>
      </c>
      <c r="G2132" s="12" t="str">
        <f aca="false">IFERROR(INDEX('Semrush Data'!$A$1:$Z$20000,MATCH(A2132,'Semrush Data'!$A$1:$A$20000,0),MATCH("Volume",'Semrush Data'!$A$1:$Z$1,0)),"")</f>
        <v/>
      </c>
      <c r="H2132" s="7" t="str">
        <f aca="false">IFERROR(INDEX('Semrush Data'!$A$1:$Z$20000,MATCH(A2132,'Semrush Data'!$A$1:$A$20000,0),MATCH("Keyword Difficulty*",'Semrush Data'!$A$1:$Z$1,0)),"")</f>
        <v/>
      </c>
      <c r="I2132" s="13" t="str">
        <f aca="false">IFERROR(INDEX('Semrush Data'!$A$1:$Z$20000,MATCH(A2132,'Semrush Data'!$A$1:$A$20000,0),MATCH("CPC*",'Semrush Data'!$A$1:$Z$1,0)),"")</f>
        <v/>
      </c>
      <c r="J2132" s="7" t="str">
        <f aca="false">IFERROR(INDEX('Semrush Data'!$A$1:$Z$20000,MATCH(A2132,'Semrush Data'!$A$1:$A$20000,0),MATCH("Intent",'Semrush Data'!$A$1:$Z$1,0)),"")</f>
        <v/>
      </c>
    </row>
    <row r="2133" customFormat="false" ht="15" hidden="false" customHeight="true" outlineLevel="0" collapsed="false">
      <c r="A2133" s="7" t="s">
        <v>6819</v>
      </c>
      <c r="B2133" s="7" t="s">
        <v>6820</v>
      </c>
      <c r="C2133" s="7" t="n">
        <v>3</v>
      </c>
      <c r="D2133" s="7" t="n">
        <v>22</v>
      </c>
      <c r="E2133" s="7" t="n">
        <v>1</v>
      </c>
      <c r="F2133" s="7" t="s">
        <v>2389</v>
      </c>
      <c r="G2133" s="12" t="str">
        <f aca="false">IFERROR(INDEX('Semrush Data'!$A$1:$Z$20000,MATCH(A2133,'Semrush Data'!$A$1:$A$20000,0),MATCH("Volume",'Semrush Data'!$A$1:$Z$1,0)),"")</f>
        <v/>
      </c>
      <c r="H2133" s="7" t="str">
        <f aca="false">IFERROR(INDEX('Semrush Data'!$A$1:$Z$20000,MATCH(A2133,'Semrush Data'!$A$1:$A$20000,0),MATCH("Keyword Difficulty*",'Semrush Data'!$A$1:$Z$1,0)),"")</f>
        <v/>
      </c>
      <c r="I2133" s="13" t="str">
        <f aca="false">IFERROR(INDEX('Semrush Data'!$A$1:$Z$20000,MATCH(A2133,'Semrush Data'!$A$1:$A$20000,0),MATCH("CPC*",'Semrush Data'!$A$1:$Z$1,0)),"")</f>
        <v/>
      </c>
      <c r="J2133" s="7" t="str">
        <f aca="false">IFERROR(INDEX('Semrush Data'!$A$1:$Z$20000,MATCH(A2133,'Semrush Data'!$A$1:$A$20000,0),MATCH("Intent",'Semrush Data'!$A$1:$Z$1,0)),"")</f>
        <v/>
      </c>
    </row>
    <row r="2134" customFormat="false" ht="15" hidden="false" customHeight="true" outlineLevel="0" collapsed="false">
      <c r="A2134" s="7" t="s">
        <v>6821</v>
      </c>
      <c r="B2134" s="7" t="s">
        <v>6820</v>
      </c>
      <c r="C2134" s="7" t="n">
        <v>3</v>
      </c>
      <c r="D2134" s="7" t="n">
        <v>22</v>
      </c>
      <c r="E2134" s="7" t="n">
        <v>1</v>
      </c>
      <c r="F2134" s="7" t="s">
        <v>2389</v>
      </c>
      <c r="G2134" s="12" t="str">
        <f aca="false">IFERROR(INDEX('Semrush Data'!$A$1:$Z$20000,MATCH(A2134,'Semrush Data'!$A$1:$A$20000,0),MATCH("Volume",'Semrush Data'!$A$1:$Z$1,0)),"")</f>
        <v/>
      </c>
      <c r="H2134" s="7" t="str">
        <f aca="false">IFERROR(INDEX('Semrush Data'!$A$1:$Z$20000,MATCH(A2134,'Semrush Data'!$A$1:$A$20000,0),MATCH("Keyword Difficulty*",'Semrush Data'!$A$1:$Z$1,0)),"")</f>
        <v/>
      </c>
      <c r="I2134" s="13" t="str">
        <f aca="false">IFERROR(INDEX('Semrush Data'!$A$1:$Z$20000,MATCH(A2134,'Semrush Data'!$A$1:$A$20000,0),MATCH("CPC*",'Semrush Data'!$A$1:$Z$1,0)),"")</f>
        <v/>
      </c>
      <c r="J2134" s="7" t="str">
        <f aca="false">IFERROR(INDEX('Semrush Data'!$A$1:$Z$20000,MATCH(A2134,'Semrush Data'!$A$1:$A$20000,0),MATCH("Intent",'Semrush Data'!$A$1:$Z$1,0)),"")</f>
        <v/>
      </c>
    </row>
    <row r="2135" customFormat="false" ht="15" hidden="false" customHeight="true" outlineLevel="0" collapsed="false">
      <c r="A2135" s="7" t="s">
        <v>6822</v>
      </c>
      <c r="B2135" s="7" t="s">
        <v>6820</v>
      </c>
      <c r="C2135" s="7" t="n">
        <v>3</v>
      </c>
      <c r="D2135" s="7" t="n">
        <v>22</v>
      </c>
      <c r="E2135" s="7" t="n">
        <v>1</v>
      </c>
      <c r="F2135" s="7" t="s">
        <v>2407</v>
      </c>
      <c r="G2135" s="12" t="str">
        <f aca="false">IFERROR(INDEX('Semrush Data'!$A$1:$Z$20000,MATCH(A2135,'Semrush Data'!$A$1:$A$20000,0),MATCH("Volume",'Semrush Data'!$A$1:$Z$1,0)),"")</f>
        <v/>
      </c>
      <c r="H2135" s="7" t="str">
        <f aca="false">IFERROR(INDEX('Semrush Data'!$A$1:$Z$20000,MATCH(A2135,'Semrush Data'!$A$1:$A$20000,0),MATCH("Keyword Difficulty*",'Semrush Data'!$A$1:$Z$1,0)),"")</f>
        <v/>
      </c>
      <c r="I2135" s="13" t="str">
        <f aca="false">IFERROR(INDEX('Semrush Data'!$A$1:$Z$20000,MATCH(A2135,'Semrush Data'!$A$1:$A$20000,0),MATCH("CPC*",'Semrush Data'!$A$1:$Z$1,0)),"")</f>
        <v/>
      </c>
      <c r="J2135" s="7" t="str">
        <f aca="false">IFERROR(INDEX('Semrush Data'!$A$1:$Z$20000,MATCH(A2135,'Semrush Data'!$A$1:$A$20000,0),MATCH("Intent",'Semrush Data'!$A$1:$Z$1,0)),"")</f>
        <v/>
      </c>
    </row>
    <row r="2136" customFormat="false" ht="15" hidden="false" customHeight="true" outlineLevel="0" collapsed="false">
      <c r="A2136" s="7" t="s">
        <v>6823</v>
      </c>
      <c r="B2136" s="7" t="s">
        <v>6820</v>
      </c>
      <c r="C2136" s="7" t="n">
        <v>3</v>
      </c>
      <c r="D2136" s="7" t="n">
        <v>22</v>
      </c>
      <c r="E2136" s="7" t="n">
        <v>1</v>
      </c>
      <c r="F2136" s="7" t="s">
        <v>2407</v>
      </c>
      <c r="G2136" s="12" t="str">
        <f aca="false">IFERROR(INDEX('Semrush Data'!$A$1:$Z$20000,MATCH(A2136,'Semrush Data'!$A$1:$A$20000,0),MATCH("Volume",'Semrush Data'!$A$1:$Z$1,0)),"")</f>
        <v/>
      </c>
      <c r="H2136" s="7" t="str">
        <f aca="false">IFERROR(INDEX('Semrush Data'!$A$1:$Z$20000,MATCH(A2136,'Semrush Data'!$A$1:$A$20000,0),MATCH("Keyword Difficulty*",'Semrush Data'!$A$1:$Z$1,0)),"")</f>
        <v/>
      </c>
      <c r="I2136" s="13" t="str">
        <f aca="false">IFERROR(INDEX('Semrush Data'!$A$1:$Z$20000,MATCH(A2136,'Semrush Data'!$A$1:$A$20000,0),MATCH("CPC*",'Semrush Data'!$A$1:$Z$1,0)),"")</f>
        <v/>
      </c>
      <c r="J2136" s="7" t="str">
        <f aca="false">IFERROR(INDEX('Semrush Data'!$A$1:$Z$20000,MATCH(A2136,'Semrush Data'!$A$1:$A$20000,0),MATCH("Intent",'Semrush Data'!$A$1:$Z$1,0)),"")</f>
        <v/>
      </c>
    </row>
    <row r="2137" customFormat="false" ht="15" hidden="false" customHeight="true" outlineLevel="0" collapsed="false">
      <c r="A2137" s="7" t="s">
        <v>6824</v>
      </c>
      <c r="B2137" s="7" t="s">
        <v>6820</v>
      </c>
      <c r="C2137" s="7" t="n">
        <v>3</v>
      </c>
      <c r="D2137" s="7" t="n">
        <v>22</v>
      </c>
      <c r="E2137" s="7" t="n">
        <v>1</v>
      </c>
      <c r="F2137" s="7" t="s">
        <v>2407</v>
      </c>
      <c r="G2137" s="12" t="str">
        <f aca="false">IFERROR(INDEX('Semrush Data'!$A$1:$Z$20000,MATCH(A2137,'Semrush Data'!$A$1:$A$20000,0),MATCH("Volume",'Semrush Data'!$A$1:$Z$1,0)),"")</f>
        <v/>
      </c>
      <c r="H2137" s="7" t="str">
        <f aca="false">IFERROR(INDEX('Semrush Data'!$A$1:$Z$20000,MATCH(A2137,'Semrush Data'!$A$1:$A$20000,0),MATCH("Keyword Difficulty*",'Semrush Data'!$A$1:$Z$1,0)),"")</f>
        <v/>
      </c>
      <c r="I2137" s="13" t="str">
        <f aca="false">IFERROR(INDEX('Semrush Data'!$A$1:$Z$20000,MATCH(A2137,'Semrush Data'!$A$1:$A$20000,0),MATCH("CPC*",'Semrush Data'!$A$1:$Z$1,0)),"")</f>
        <v/>
      </c>
      <c r="J2137" s="7" t="str">
        <f aca="false">IFERROR(INDEX('Semrush Data'!$A$1:$Z$20000,MATCH(A2137,'Semrush Data'!$A$1:$A$20000,0),MATCH("Intent",'Semrush Data'!$A$1:$Z$1,0)),"")</f>
        <v/>
      </c>
    </row>
    <row r="2138" customFormat="false" ht="15" hidden="false" customHeight="true" outlineLevel="0" collapsed="false">
      <c r="A2138" s="7" t="s">
        <v>6825</v>
      </c>
      <c r="B2138" s="7" t="s">
        <v>6820</v>
      </c>
      <c r="C2138" s="7" t="n">
        <v>3</v>
      </c>
      <c r="D2138" s="7" t="n">
        <v>22</v>
      </c>
      <c r="E2138" s="7" t="n">
        <v>1</v>
      </c>
      <c r="F2138" s="7" t="s">
        <v>2407</v>
      </c>
      <c r="G2138" s="12" t="str">
        <f aca="false">IFERROR(INDEX('Semrush Data'!$A$1:$Z$20000,MATCH(A2138,'Semrush Data'!$A$1:$A$20000,0),MATCH("Volume",'Semrush Data'!$A$1:$Z$1,0)),"")</f>
        <v/>
      </c>
      <c r="H2138" s="7" t="str">
        <f aca="false">IFERROR(INDEX('Semrush Data'!$A$1:$Z$20000,MATCH(A2138,'Semrush Data'!$A$1:$A$20000,0),MATCH("Keyword Difficulty*",'Semrush Data'!$A$1:$Z$1,0)),"")</f>
        <v/>
      </c>
      <c r="I2138" s="13" t="str">
        <f aca="false">IFERROR(INDEX('Semrush Data'!$A$1:$Z$20000,MATCH(A2138,'Semrush Data'!$A$1:$A$20000,0),MATCH("CPC*",'Semrush Data'!$A$1:$Z$1,0)),"")</f>
        <v/>
      </c>
      <c r="J2138" s="7" t="str">
        <f aca="false">IFERROR(INDEX('Semrush Data'!$A$1:$Z$20000,MATCH(A2138,'Semrush Data'!$A$1:$A$20000,0),MATCH("Intent",'Semrush Data'!$A$1:$Z$1,0)),"")</f>
        <v/>
      </c>
    </row>
    <row r="2139" customFormat="false" ht="15" hidden="false" customHeight="true" outlineLevel="0" collapsed="false">
      <c r="A2139" s="7" t="s">
        <v>6826</v>
      </c>
      <c r="B2139" s="7" t="s">
        <v>6820</v>
      </c>
      <c r="C2139" s="7" t="n">
        <v>3</v>
      </c>
      <c r="D2139" s="7" t="n">
        <v>22</v>
      </c>
      <c r="E2139" s="7" t="n">
        <v>1</v>
      </c>
      <c r="F2139" s="7" t="s">
        <v>2407</v>
      </c>
      <c r="G2139" s="12" t="str">
        <f aca="false">IFERROR(INDEX('Semrush Data'!$A$1:$Z$20000,MATCH(A2139,'Semrush Data'!$A$1:$A$20000,0),MATCH("Volume",'Semrush Data'!$A$1:$Z$1,0)),"")</f>
        <v/>
      </c>
      <c r="H2139" s="7" t="str">
        <f aca="false">IFERROR(INDEX('Semrush Data'!$A$1:$Z$20000,MATCH(A2139,'Semrush Data'!$A$1:$A$20000,0),MATCH("Keyword Difficulty*",'Semrush Data'!$A$1:$Z$1,0)),"")</f>
        <v/>
      </c>
      <c r="I2139" s="13" t="str">
        <f aca="false">IFERROR(INDEX('Semrush Data'!$A$1:$Z$20000,MATCH(A2139,'Semrush Data'!$A$1:$A$20000,0),MATCH("CPC*",'Semrush Data'!$A$1:$Z$1,0)),"")</f>
        <v/>
      </c>
      <c r="J2139" s="7" t="str">
        <f aca="false">IFERROR(INDEX('Semrush Data'!$A$1:$Z$20000,MATCH(A2139,'Semrush Data'!$A$1:$A$20000,0),MATCH("Intent",'Semrush Data'!$A$1:$Z$1,0)),"")</f>
        <v/>
      </c>
    </row>
    <row r="2140" customFormat="false" ht="15" hidden="false" customHeight="true" outlineLevel="0" collapsed="false">
      <c r="A2140" s="7" t="s">
        <v>6827</v>
      </c>
      <c r="B2140" s="7" t="s">
        <v>6820</v>
      </c>
      <c r="C2140" s="7" t="n">
        <v>3</v>
      </c>
      <c r="D2140" s="7" t="n">
        <v>22</v>
      </c>
      <c r="E2140" s="7" t="n">
        <v>1</v>
      </c>
      <c r="F2140" s="7" t="s">
        <v>2490</v>
      </c>
      <c r="G2140" s="12" t="str">
        <f aca="false">IFERROR(INDEX('Semrush Data'!$A$1:$Z$20000,MATCH(A2140,'Semrush Data'!$A$1:$A$20000,0),MATCH("Volume",'Semrush Data'!$A$1:$Z$1,0)),"")</f>
        <v/>
      </c>
      <c r="H2140" s="7" t="str">
        <f aca="false">IFERROR(INDEX('Semrush Data'!$A$1:$Z$20000,MATCH(A2140,'Semrush Data'!$A$1:$A$20000,0),MATCH("Keyword Difficulty*",'Semrush Data'!$A$1:$Z$1,0)),"")</f>
        <v/>
      </c>
      <c r="I2140" s="13" t="str">
        <f aca="false">IFERROR(INDEX('Semrush Data'!$A$1:$Z$20000,MATCH(A2140,'Semrush Data'!$A$1:$A$20000,0),MATCH("CPC*",'Semrush Data'!$A$1:$Z$1,0)),"")</f>
        <v/>
      </c>
      <c r="J2140" s="7" t="str">
        <f aca="false">IFERROR(INDEX('Semrush Data'!$A$1:$Z$20000,MATCH(A2140,'Semrush Data'!$A$1:$A$20000,0),MATCH("Intent",'Semrush Data'!$A$1:$Z$1,0)),"")</f>
        <v/>
      </c>
    </row>
    <row r="2141" customFormat="false" ht="15" hidden="false" customHeight="true" outlineLevel="0" collapsed="false">
      <c r="A2141" s="7" t="s">
        <v>6828</v>
      </c>
      <c r="B2141" s="7" t="s">
        <v>6820</v>
      </c>
      <c r="C2141" s="7" t="n">
        <v>3</v>
      </c>
      <c r="D2141" s="7" t="n">
        <v>22</v>
      </c>
      <c r="E2141" s="7" t="n">
        <v>1</v>
      </c>
      <c r="F2141" s="7" t="s">
        <v>2490</v>
      </c>
      <c r="G2141" s="12" t="str">
        <f aca="false">IFERROR(INDEX('Semrush Data'!$A$1:$Z$20000,MATCH(A2141,'Semrush Data'!$A$1:$A$20000,0),MATCH("Volume",'Semrush Data'!$A$1:$Z$1,0)),"")</f>
        <v/>
      </c>
      <c r="H2141" s="7" t="str">
        <f aca="false">IFERROR(INDEX('Semrush Data'!$A$1:$Z$20000,MATCH(A2141,'Semrush Data'!$A$1:$A$20000,0),MATCH("Keyword Difficulty*",'Semrush Data'!$A$1:$Z$1,0)),"")</f>
        <v/>
      </c>
      <c r="I2141" s="13" t="str">
        <f aca="false">IFERROR(INDEX('Semrush Data'!$A$1:$Z$20000,MATCH(A2141,'Semrush Data'!$A$1:$A$20000,0),MATCH("CPC*",'Semrush Data'!$A$1:$Z$1,0)),"")</f>
        <v/>
      </c>
      <c r="J2141" s="7" t="str">
        <f aca="false">IFERROR(INDEX('Semrush Data'!$A$1:$Z$20000,MATCH(A2141,'Semrush Data'!$A$1:$A$20000,0),MATCH("Intent",'Semrush Data'!$A$1:$Z$1,0)),"")</f>
        <v/>
      </c>
    </row>
    <row r="2142" customFormat="false" ht="15" hidden="false" customHeight="true" outlineLevel="0" collapsed="false">
      <c r="A2142" s="7" t="s">
        <v>6829</v>
      </c>
      <c r="B2142" s="7" t="s">
        <v>6820</v>
      </c>
      <c r="C2142" s="7" t="n">
        <v>3</v>
      </c>
      <c r="D2142" s="7" t="n">
        <v>22</v>
      </c>
      <c r="E2142" s="7" t="n">
        <v>1</v>
      </c>
      <c r="F2142" s="7" t="s">
        <v>2433</v>
      </c>
      <c r="G2142" s="12" t="str">
        <f aca="false">IFERROR(INDEX('Semrush Data'!$A$1:$Z$20000,MATCH(A2142,'Semrush Data'!$A$1:$A$20000,0),MATCH("Volume",'Semrush Data'!$A$1:$Z$1,0)),"")</f>
        <v/>
      </c>
      <c r="H2142" s="7" t="str">
        <f aca="false">IFERROR(INDEX('Semrush Data'!$A$1:$Z$20000,MATCH(A2142,'Semrush Data'!$A$1:$A$20000,0),MATCH("Keyword Difficulty*",'Semrush Data'!$A$1:$Z$1,0)),"")</f>
        <v/>
      </c>
      <c r="I2142" s="13" t="str">
        <f aca="false">IFERROR(INDEX('Semrush Data'!$A$1:$Z$20000,MATCH(A2142,'Semrush Data'!$A$1:$A$20000,0),MATCH("CPC*",'Semrush Data'!$A$1:$Z$1,0)),"")</f>
        <v/>
      </c>
      <c r="J2142" s="7" t="str">
        <f aca="false">IFERROR(INDEX('Semrush Data'!$A$1:$Z$20000,MATCH(A2142,'Semrush Data'!$A$1:$A$20000,0),MATCH("Intent",'Semrush Data'!$A$1:$Z$1,0)),"")</f>
        <v/>
      </c>
    </row>
    <row r="2143" customFormat="false" ht="15" hidden="false" customHeight="true" outlineLevel="0" collapsed="false">
      <c r="A2143" s="7" t="s">
        <v>6830</v>
      </c>
      <c r="B2143" s="7" t="s">
        <v>6820</v>
      </c>
      <c r="C2143" s="7" t="n">
        <v>3</v>
      </c>
      <c r="D2143" s="7" t="n">
        <v>22</v>
      </c>
      <c r="E2143" s="7" t="n">
        <v>1</v>
      </c>
      <c r="F2143" s="7" t="s">
        <v>2433</v>
      </c>
      <c r="G2143" s="12" t="str">
        <f aca="false">IFERROR(INDEX('Semrush Data'!$A$1:$Z$20000,MATCH(A2143,'Semrush Data'!$A$1:$A$20000,0),MATCH("Volume",'Semrush Data'!$A$1:$Z$1,0)),"")</f>
        <v/>
      </c>
      <c r="H2143" s="7" t="str">
        <f aca="false">IFERROR(INDEX('Semrush Data'!$A$1:$Z$20000,MATCH(A2143,'Semrush Data'!$A$1:$A$20000,0),MATCH("Keyword Difficulty*",'Semrush Data'!$A$1:$Z$1,0)),"")</f>
        <v/>
      </c>
      <c r="I2143" s="13" t="str">
        <f aca="false">IFERROR(INDEX('Semrush Data'!$A$1:$Z$20000,MATCH(A2143,'Semrush Data'!$A$1:$A$20000,0),MATCH("CPC*",'Semrush Data'!$A$1:$Z$1,0)),"")</f>
        <v/>
      </c>
      <c r="J2143" s="7" t="str">
        <f aca="false">IFERROR(INDEX('Semrush Data'!$A$1:$Z$20000,MATCH(A2143,'Semrush Data'!$A$1:$A$20000,0),MATCH("Intent",'Semrush Data'!$A$1:$Z$1,0)),"")</f>
        <v/>
      </c>
    </row>
    <row r="2144" customFormat="false" ht="15" hidden="false" customHeight="true" outlineLevel="0" collapsed="false">
      <c r="A2144" s="7" t="s">
        <v>6831</v>
      </c>
      <c r="B2144" s="7" t="s">
        <v>6820</v>
      </c>
      <c r="C2144" s="7" t="n">
        <v>3</v>
      </c>
      <c r="D2144" s="7" t="n">
        <v>22</v>
      </c>
      <c r="E2144" s="7" t="n">
        <v>1</v>
      </c>
      <c r="F2144" s="7" t="s">
        <v>2433</v>
      </c>
      <c r="G2144" s="12" t="str">
        <f aca="false">IFERROR(INDEX('Semrush Data'!$A$1:$Z$20000,MATCH(A2144,'Semrush Data'!$A$1:$A$20000,0),MATCH("Volume",'Semrush Data'!$A$1:$Z$1,0)),"")</f>
        <v/>
      </c>
      <c r="H2144" s="7" t="str">
        <f aca="false">IFERROR(INDEX('Semrush Data'!$A$1:$Z$20000,MATCH(A2144,'Semrush Data'!$A$1:$A$20000,0),MATCH("Keyword Difficulty*",'Semrush Data'!$A$1:$Z$1,0)),"")</f>
        <v/>
      </c>
      <c r="I2144" s="13" t="str">
        <f aca="false">IFERROR(INDEX('Semrush Data'!$A$1:$Z$20000,MATCH(A2144,'Semrush Data'!$A$1:$A$20000,0),MATCH("CPC*",'Semrush Data'!$A$1:$Z$1,0)),"")</f>
        <v/>
      </c>
      <c r="J2144" s="7" t="str">
        <f aca="false">IFERROR(INDEX('Semrush Data'!$A$1:$Z$20000,MATCH(A2144,'Semrush Data'!$A$1:$A$20000,0),MATCH("Intent",'Semrush Data'!$A$1:$Z$1,0)),"")</f>
        <v/>
      </c>
    </row>
    <row r="2145" customFormat="false" ht="15" hidden="false" customHeight="true" outlineLevel="0" collapsed="false">
      <c r="A2145" s="7" t="s">
        <v>6832</v>
      </c>
      <c r="B2145" s="7" t="s">
        <v>6820</v>
      </c>
      <c r="C2145" s="7" t="n">
        <v>3</v>
      </c>
      <c r="D2145" s="7" t="n">
        <v>22</v>
      </c>
      <c r="E2145" s="7" t="n">
        <v>1</v>
      </c>
      <c r="F2145" s="7" t="s">
        <v>2418</v>
      </c>
      <c r="G2145" s="12" t="str">
        <f aca="false">IFERROR(INDEX('Semrush Data'!$A$1:$Z$20000,MATCH(A2145,'Semrush Data'!$A$1:$A$20000,0),MATCH("Volume",'Semrush Data'!$A$1:$Z$1,0)),"")</f>
        <v/>
      </c>
      <c r="H2145" s="7" t="str">
        <f aca="false">IFERROR(INDEX('Semrush Data'!$A$1:$Z$20000,MATCH(A2145,'Semrush Data'!$A$1:$A$20000,0),MATCH("Keyword Difficulty*",'Semrush Data'!$A$1:$Z$1,0)),"")</f>
        <v/>
      </c>
      <c r="I2145" s="13" t="str">
        <f aca="false">IFERROR(INDEX('Semrush Data'!$A$1:$Z$20000,MATCH(A2145,'Semrush Data'!$A$1:$A$20000,0),MATCH("CPC*",'Semrush Data'!$A$1:$Z$1,0)),"")</f>
        <v/>
      </c>
      <c r="J2145" s="7" t="str">
        <f aca="false">IFERROR(INDEX('Semrush Data'!$A$1:$Z$20000,MATCH(A2145,'Semrush Data'!$A$1:$A$20000,0),MATCH("Intent",'Semrush Data'!$A$1:$Z$1,0)),"")</f>
        <v/>
      </c>
    </row>
    <row r="2146" customFormat="false" ht="15" hidden="false" customHeight="true" outlineLevel="0" collapsed="false">
      <c r="A2146" s="7" t="s">
        <v>6833</v>
      </c>
      <c r="B2146" s="7" t="s">
        <v>6820</v>
      </c>
      <c r="C2146" s="7" t="n">
        <v>3</v>
      </c>
      <c r="D2146" s="7" t="n">
        <v>22</v>
      </c>
      <c r="E2146" s="7" t="n">
        <v>1</v>
      </c>
      <c r="F2146" s="7" t="s">
        <v>2418</v>
      </c>
      <c r="G2146" s="12" t="str">
        <f aca="false">IFERROR(INDEX('Semrush Data'!$A$1:$Z$20000,MATCH(A2146,'Semrush Data'!$A$1:$A$20000,0),MATCH("Volume",'Semrush Data'!$A$1:$Z$1,0)),"")</f>
        <v/>
      </c>
      <c r="H2146" s="7" t="str">
        <f aca="false">IFERROR(INDEX('Semrush Data'!$A$1:$Z$20000,MATCH(A2146,'Semrush Data'!$A$1:$A$20000,0),MATCH("Keyword Difficulty*",'Semrush Data'!$A$1:$Z$1,0)),"")</f>
        <v/>
      </c>
      <c r="I2146" s="13" t="str">
        <f aca="false">IFERROR(INDEX('Semrush Data'!$A$1:$Z$20000,MATCH(A2146,'Semrush Data'!$A$1:$A$20000,0),MATCH("CPC*",'Semrush Data'!$A$1:$Z$1,0)),"")</f>
        <v/>
      </c>
      <c r="J2146" s="7" t="str">
        <f aca="false">IFERROR(INDEX('Semrush Data'!$A$1:$Z$20000,MATCH(A2146,'Semrush Data'!$A$1:$A$20000,0),MATCH("Intent",'Semrush Data'!$A$1:$Z$1,0)),"")</f>
        <v/>
      </c>
    </row>
    <row r="2147" customFormat="false" ht="15" hidden="false" customHeight="true" outlineLevel="0" collapsed="false">
      <c r="A2147" s="7" t="s">
        <v>6834</v>
      </c>
      <c r="B2147" s="7" t="s">
        <v>6820</v>
      </c>
      <c r="C2147" s="7" t="n">
        <v>3</v>
      </c>
      <c r="D2147" s="7" t="n">
        <v>22</v>
      </c>
      <c r="E2147" s="7" t="n">
        <v>1</v>
      </c>
      <c r="F2147" s="7" t="s">
        <v>2418</v>
      </c>
      <c r="G2147" s="12" t="str">
        <f aca="false">IFERROR(INDEX('Semrush Data'!$A$1:$Z$20000,MATCH(A2147,'Semrush Data'!$A$1:$A$20000,0),MATCH("Volume",'Semrush Data'!$A$1:$Z$1,0)),"")</f>
        <v/>
      </c>
      <c r="H2147" s="7" t="str">
        <f aca="false">IFERROR(INDEX('Semrush Data'!$A$1:$Z$20000,MATCH(A2147,'Semrush Data'!$A$1:$A$20000,0),MATCH("Keyword Difficulty*",'Semrush Data'!$A$1:$Z$1,0)),"")</f>
        <v/>
      </c>
      <c r="I2147" s="13" t="str">
        <f aca="false">IFERROR(INDEX('Semrush Data'!$A$1:$Z$20000,MATCH(A2147,'Semrush Data'!$A$1:$A$20000,0),MATCH("CPC*",'Semrush Data'!$A$1:$Z$1,0)),"")</f>
        <v/>
      </c>
      <c r="J2147" s="7" t="str">
        <f aca="false">IFERROR(INDEX('Semrush Data'!$A$1:$Z$20000,MATCH(A2147,'Semrush Data'!$A$1:$A$20000,0),MATCH("Intent",'Semrush Data'!$A$1:$Z$1,0)),"")</f>
        <v/>
      </c>
    </row>
    <row r="2148" customFormat="false" ht="15" hidden="false" customHeight="true" outlineLevel="0" collapsed="false">
      <c r="A2148" s="7" t="s">
        <v>6835</v>
      </c>
      <c r="B2148" s="7" t="s">
        <v>6820</v>
      </c>
      <c r="C2148" s="7" t="n">
        <v>3</v>
      </c>
      <c r="D2148" s="7" t="n">
        <v>22</v>
      </c>
      <c r="E2148" s="7" t="n">
        <v>1</v>
      </c>
      <c r="F2148" s="7" t="s">
        <v>2418</v>
      </c>
      <c r="G2148" s="12" t="str">
        <f aca="false">IFERROR(INDEX('Semrush Data'!$A$1:$Z$20000,MATCH(A2148,'Semrush Data'!$A$1:$A$20000,0),MATCH("Volume",'Semrush Data'!$A$1:$Z$1,0)),"")</f>
        <v/>
      </c>
      <c r="H2148" s="7" t="str">
        <f aca="false">IFERROR(INDEX('Semrush Data'!$A$1:$Z$20000,MATCH(A2148,'Semrush Data'!$A$1:$A$20000,0),MATCH("Keyword Difficulty*",'Semrush Data'!$A$1:$Z$1,0)),"")</f>
        <v/>
      </c>
      <c r="I2148" s="13" t="str">
        <f aca="false">IFERROR(INDEX('Semrush Data'!$A$1:$Z$20000,MATCH(A2148,'Semrush Data'!$A$1:$A$20000,0),MATCH("CPC*",'Semrush Data'!$A$1:$Z$1,0)),"")</f>
        <v/>
      </c>
      <c r="J2148" s="7" t="str">
        <f aca="false">IFERROR(INDEX('Semrush Data'!$A$1:$Z$20000,MATCH(A2148,'Semrush Data'!$A$1:$A$20000,0),MATCH("Intent",'Semrush Data'!$A$1:$Z$1,0)),"")</f>
        <v/>
      </c>
    </row>
    <row r="2149" customFormat="false" ht="15" hidden="false" customHeight="true" outlineLevel="0" collapsed="false">
      <c r="A2149" s="7" t="s">
        <v>6836</v>
      </c>
      <c r="B2149" s="7" t="s">
        <v>6820</v>
      </c>
      <c r="C2149" s="7" t="n">
        <v>3</v>
      </c>
      <c r="D2149" s="7" t="n">
        <v>22</v>
      </c>
      <c r="E2149" s="7" t="n">
        <v>1</v>
      </c>
      <c r="F2149" s="7" t="s">
        <v>2444</v>
      </c>
      <c r="G2149" s="12" t="str">
        <f aca="false">IFERROR(INDEX('Semrush Data'!$A$1:$Z$20000,MATCH(A2149,'Semrush Data'!$A$1:$A$20000,0),MATCH("Volume",'Semrush Data'!$A$1:$Z$1,0)),"")</f>
        <v/>
      </c>
      <c r="H2149" s="7" t="str">
        <f aca="false">IFERROR(INDEX('Semrush Data'!$A$1:$Z$20000,MATCH(A2149,'Semrush Data'!$A$1:$A$20000,0),MATCH("Keyword Difficulty*",'Semrush Data'!$A$1:$Z$1,0)),"")</f>
        <v/>
      </c>
      <c r="I2149" s="13" t="str">
        <f aca="false">IFERROR(INDEX('Semrush Data'!$A$1:$Z$20000,MATCH(A2149,'Semrush Data'!$A$1:$A$20000,0),MATCH("CPC*",'Semrush Data'!$A$1:$Z$1,0)),"")</f>
        <v/>
      </c>
      <c r="J2149" s="7" t="str">
        <f aca="false">IFERROR(INDEX('Semrush Data'!$A$1:$Z$20000,MATCH(A2149,'Semrush Data'!$A$1:$A$20000,0),MATCH("Intent",'Semrush Data'!$A$1:$Z$1,0)),"")</f>
        <v/>
      </c>
    </row>
    <row r="2150" customFormat="false" ht="15" hidden="false" customHeight="true" outlineLevel="0" collapsed="false">
      <c r="A2150" s="7" t="s">
        <v>6837</v>
      </c>
      <c r="B2150" s="7" t="s">
        <v>6820</v>
      </c>
      <c r="C2150" s="7" t="n">
        <v>3</v>
      </c>
      <c r="D2150" s="7" t="n">
        <v>22</v>
      </c>
      <c r="E2150" s="7" t="n">
        <v>1</v>
      </c>
      <c r="F2150" s="7" t="s">
        <v>2444</v>
      </c>
      <c r="G2150" s="12" t="str">
        <f aca="false">IFERROR(INDEX('Semrush Data'!$A$1:$Z$20000,MATCH(A2150,'Semrush Data'!$A$1:$A$20000,0),MATCH("Volume",'Semrush Data'!$A$1:$Z$1,0)),"")</f>
        <v/>
      </c>
      <c r="H2150" s="7" t="str">
        <f aca="false">IFERROR(INDEX('Semrush Data'!$A$1:$Z$20000,MATCH(A2150,'Semrush Data'!$A$1:$A$20000,0),MATCH("Keyword Difficulty*",'Semrush Data'!$A$1:$Z$1,0)),"")</f>
        <v/>
      </c>
      <c r="I2150" s="13" t="str">
        <f aca="false">IFERROR(INDEX('Semrush Data'!$A$1:$Z$20000,MATCH(A2150,'Semrush Data'!$A$1:$A$20000,0),MATCH("CPC*",'Semrush Data'!$A$1:$Z$1,0)),"")</f>
        <v/>
      </c>
      <c r="J2150" s="7" t="str">
        <f aca="false">IFERROR(INDEX('Semrush Data'!$A$1:$Z$20000,MATCH(A2150,'Semrush Data'!$A$1:$A$20000,0),MATCH("Intent",'Semrush Data'!$A$1:$Z$1,0)),"")</f>
        <v/>
      </c>
    </row>
    <row r="2151" customFormat="false" ht="15" hidden="false" customHeight="true" outlineLevel="0" collapsed="false">
      <c r="A2151" s="7" t="s">
        <v>6838</v>
      </c>
      <c r="B2151" s="7" t="s">
        <v>6820</v>
      </c>
      <c r="C2151" s="7" t="n">
        <v>3</v>
      </c>
      <c r="D2151" s="7" t="n">
        <v>22</v>
      </c>
      <c r="E2151" s="7" t="n">
        <v>1</v>
      </c>
      <c r="F2151" s="7" t="s">
        <v>2444</v>
      </c>
      <c r="G2151" s="12" t="str">
        <f aca="false">IFERROR(INDEX('Semrush Data'!$A$1:$Z$20000,MATCH(A2151,'Semrush Data'!$A$1:$A$20000,0),MATCH("Volume",'Semrush Data'!$A$1:$Z$1,0)),"")</f>
        <v/>
      </c>
      <c r="H2151" s="7" t="str">
        <f aca="false">IFERROR(INDEX('Semrush Data'!$A$1:$Z$20000,MATCH(A2151,'Semrush Data'!$A$1:$A$20000,0),MATCH("Keyword Difficulty*",'Semrush Data'!$A$1:$Z$1,0)),"")</f>
        <v/>
      </c>
      <c r="I2151" s="13" t="str">
        <f aca="false">IFERROR(INDEX('Semrush Data'!$A$1:$Z$20000,MATCH(A2151,'Semrush Data'!$A$1:$A$20000,0),MATCH("CPC*",'Semrush Data'!$A$1:$Z$1,0)),"")</f>
        <v/>
      </c>
      <c r="J2151" s="7" t="str">
        <f aca="false">IFERROR(INDEX('Semrush Data'!$A$1:$Z$20000,MATCH(A2151,'Semrush Data'!$A$1:$A$20000,0),MATCH("Intent",'Semrush Data'!$A$1:$Z$1,0)),"")</f>
        <v/>
      </c>
    </row>
    <row r="2152" customFormat="false" ht="15" hidden="false" customHeight="true" outlineLevel="0" collapsed="false">
      <c r="A2152" s="7" t="s">
        <v>6839</v>
      </c>
      <c r="B2152" s="7" t="s">
        <v>6820</v>
      </c>
      <c r="C2152" s="7" t="n">
        <v>3</v>
      </c>
      <c r="D2152" s="7" t="n">
        <v>22</v>
      </c>
      <c r="E2152" s="7" t="n">
        <v>1</v>
      </c>
      <c r="F2152" s="7" t="s">
        <v>2444</v>
      </c>
      <c r="G2152" s="12" t="str">
        <f aca="false">IFERROR(INDEX('Semrush Data'!$A$1:$Z$20000,MATCH(A2152,'Semrush Data'!$A$1:$A$20000,0),MATCH("Volume",'Semrush Data'!$A$1:$Z$1,0)),"")</f>
        <v/>
      </c>
      <c r="H2152" s="7" t="str">
        <f aca="false">IFERROR(INDEX('Semrush Data'!$A$1:$Z$20000,MATCH(A2152,'Semrush Data'!$A$1:$A$20000,0),MATCH("Keyword Difficulty*",'Semrush Data'!$A$1:$Z$1,0)),"")</f>
        <v/>
      </c>
      <c r="I2152" s="13" t="str">
        <f aca="false">IFERROR(INDEX('Semrush Data'!$A$1:$Z$20000,MATCH(A2152,'Semrush Data'!$A$1:$A$20000,0),MATCH("CPC*",'Semrush Data'!$A$1:$Z$1,0)),"")</f>
        <v/>
      </c>
      <c r="J2152" s="7" t="str">
        <f aca="false">IFERROR(INDEX('Semrush Data'!$A$1:$Z$20000,MATCH(A2152,'Semrush Data'!$A$1:$A$20000,0),MATCH("Intent",'Semrush Data'!$A$1:$Z$1,0)),"")</f>
        <v/>
      </c>
    </row>
    <row r="2153" customFormat="false" ht="15" hidden="false" customHeight="true" outlineLevel="0" collapsed="false">
      <c r="A2153" s="7" t="s">
        <v>6840</v>
      </c>
      <c r="B2153" s="7" t="s">
        <v>6820</v>
      </c>
      <c r="C2153" s="7" t="n">
        <v>3</v>
      </c>
      <c r="D2153" s="7" t="n">
        <v>22</v>
      </c>
      <c r="E2153" s="7" t="n">
        <v>1</v>
      </c>
      <c r="F2153" s="7" t="s">
        <v>2444</v>
      </c>
      <c r="G2153" s="12" t="str">
        <f aca="false">IFERROR(INDEX('Semrush Data'!$A$1:$Z$20000,MATCH(A2153,'Semrush Data'!$A$1:$A$20000,0),MATCH("Volume",'Semrush Data'!$A$1:$Z$1,0)),"")</f>
        <v/>
      </c>
      <c r="H2153" s="7" t="str">
        <f aca="false">IFERROR(INDEX('Semrush Data'!$A$1:$Z$20000,MATCH(A2153,'Semrush Data'!$A$1:$A$20000,0),MATCH("Keyword Difficulty*",'Semrush Data'!$A$1:$Z$1,0)),"")</f>
        <v/>
      </c>
      <c r="I2153" s="13" t="str">
        <f aca="false">IFERROR(INDEX('Semrush Data'!$A$1:$Z$20000,MATCH(A2153,'Semrush Data'!$A$1:$A$20000,0),MATCH("CPC*",'Semrush Data'!$A$1:$Z$1,0)),"")</f>
        <v/>
      </c>
      <c r="J2153" s="7" t="str">
        <f aca="false">IFERROR(INDEX('Semrush Data'!$A$1:$Z$20000,MATCH(A2153,'Semrush Data'!$A$1:$A$20000,0),MATCH("Intent",'Semrush Data'!$A$1:$Z$1,0)),"")</f>
        <v/>
      </c>
    </row>
    <row r="2154" customFormat="false" ht="15" hidden="false" customHeight="true" outlineLevel="0" collapsed="false">
      <c r="A2154" s="7" t="s">
        <v>6841</v>
      </c>
      <c r="B2154" s="7" t="s">
        <v>6820</v>
      </c>
      <c r="C2154" s="7" t="n">
        <v>3</v>
      </c>
      <c r="D2154" s="7" t="n">
        <v>22</v>
      </c>
      <c r="E2154" s="7" t="n">
        <v>1</v>
      </c>
      <c r="F2154" s="7" t="s">
        <v>138</v>
      </c>
      <c r="G2154" s="12" t="str">
        <f aca="false">IFERROR(INDEX('Semrush Data'!$A$1:$Z$20000,MATCH(A2154,'Semrush Data'!$A$1:$A$20000,0),MATCH("Volume",'Semrush Data'!$A$1:$Z$1,0)),"")</f>
        <v/>
      </c>
      <c r="H2154" s="7" t="str">
        <f aca="false">IFERROR(INDEX('Semrush Data'!$A$1:$Z$20000,MATCH(A2154,'Semrush Data'!$A$1:$A$20000,0),MATCH("Keyword Difficulty*",'Semrush Data'!$A$1:$Z$1,0)),"")</f>
        <v/>
      </c>
      <c r="I2154" s="13" t="str">
        <f aca="false">IFERROR(INDEX('Semrush Data'!$A$1:$Z$20000,MATCH(A2154,'Semrush Data'!$A$1:$A$20000,0),MATCH("CPC*",'Semrush Data'!$A$1:$Z$1,0)),"")</f>
        <v/>
      </c>
      <c r="J2154" s="7" t="str">
        <f aca="false">IFERROR(INDEX('Semrush Data'!$A$1:$Z$20000,MATCH(A2154,'Semrush Data'!$A$1:$A$20000,0),MATCH("Intent",'Semrush Data'!$A$1:$Z$1,0)),"")</f>
        <v/>
      </c>
    </row>
    <row r="2155" customFormat="false" ht="15" hidden="false" customHeight="true" outlineLevel="0" collapsed="false">
      <c r="A2155" s="7" t="s">
        <v>6842</v>
      </c>
      <c r="B2155" s="7" t="s">
        <v>6820</v>
      </c>
      <c r="C2155" s="7" t="n">
        <v>3</v>
      </c>
      <c r="D2155" s="7" t="s">
        <v>6843</v>
      </c>
      <c r="E2155" s="7" t="n">
        <v>1</v>
      </c>
      <c r="F2155" s="7" t="s">
        <v>138</v>
      </c>
      <c r="G2155" s="12" t="str">
        <f aca="false">IFERROR(INDEX('Semrush Data'!$A$1:$Z$20000,MATCH(A2155,'Semrush Data'!$A$1:$A$20000,0),MATCH("Volume",'Semrush Data'!$A$1:$Z$1,0)),"")</f>
        <v/>
      </c>
      <c r="H2155" s="7" t="str">
        <f aca="false">IFERROR(INDEX('Semrush Data'!$A$1:$Z$20000,MATCH(A2155,'Semrush Data'!$A$1:$A$20000,0),MATCH("Keyword Difficulty*",'Semrush Data'!$A$1:$Z$1,0)),"")</f>
        <v/>
      </c>
      <c r="I2155" s="13" t="str">
        <f aca="false">IFERROR(INDEX('Semrush Data'!$A$1:$Z$20000,MATCH(A2155,'Semrush Data'!$A$1:$A$20000,0),MATCH("CPC*",'Semrush Data'!$A$1:$Z$1,0)),"")</f>
        <v/>
      </c>
      <c r="J2155" s="7" t="str">
        <f aca="false">IFERROR(INDEX('Semrush Data'!$A$1:$Z$20000,MATCH(A2155,'Semrush Data'!$A$1:$A$20000,0),MATCH("Intent",'Semrush Data'!$A$1:$Z$1,0)),"")</f>
        <v/>
      </c>
    </row>
    <row r="2156" customFormat="false" ht="15" hidden="false" customHeight="true" outlineLevel="0" collapsed="false">
      <c r="A2156" s="7" t="s">
        <v>6844</v>
      </c>
      <c r="B2156" s="7" t="s">
        <v>6820</v>
      </c>
      <c r="C2156" s="7" t="n">
        <v>3</v>
      </c>
      <c r="D2156" s="7" t="n">
        <v>22</v>
      </c>
      <c r="E2156" s="7" t="n">
        <v>1</v>
      </c>
      <c r="F2156" s="7" t="s">
        <v>138</v>
      </c>
      <c r="G2156" s="12" t="str">
        <f aca="false">IFERROR(INDEX('Semrush Data'!$A$1:$Z$20000,MATCH(A2156,'Semrush Data'!$A$1:$A$20000,0),MATCH("Volume",'Semrush Data'!$A$1:$Z$1,0)),"")</f>
        <v/>
      </c>
      <c r="H2156" s="7" t="str">
        <f aca="false">IFERROR(INDEX('Semrush Data'!$A$1:$Z$20000,MATCH(A2156,'Semrush Data'!$A$1:$A$20000,0),MATCH("Keyword Difficulty*",'Semrush Data'!$A$1:$Z$1,0)),"")</f>
        <v/>
      </c>
      <c r="I2156" s="13" t="str">
        <f aca="false">IFERROR(INDEX('Semrush Data'!$A$1:$Z$20000,MATCH(A2156,'Semrush Data'!$A$1:$A$20000,0),MATCH("CPC*",'Semrush Data'!$A$1:$Z$1,0)),"")</f>
        <v/>
      </c>
      <c r="J2156" s="7" t="str">
        <f aca="false">IFERROR(INDEX('Semrush Data'!$A$1:$Z$20000,MATCH(A2156,'Semrush Data'!$A$1:$A$20000,0),MATCH("Intent",'Semrush Data'!$A$1:$Z$1,0)),"")</f>
        <v/>
      </c>
    </row>
    <row r="2157" customFormat="false" ht="15" hidden="false" customHeight="true" outlineLevel="0" collapsed="false">
      <c r="A2157" s="7" t="s">
        <v>6845</v>
      </c>
      <c r="B2157" s="7" t="s">
        <v>6820</v>
      </c>
      <c r="C2157" s="7" t="n">
        <v>3</v>
      </c>
      <c r="D2157" s="7" t="n">
        <v>22</v>
      </c>
      <c r="E2157" s="7" t="n">
        <v>1</v>
      </c>
      <c r="F2157" s="7" t="s">
        <v>138</v>
      </c>
      <c r="G2157" s="12" t="str">
        <f aca="false">IFERROR(INDEX('Semrush Data'!$A$1:$Z$20000,MATCH(A2157,'Semrush Data'!$A$1:$A$20000,0),MATCH("Volume",'Semrush Data'!$A$1:$Z$1,0)),"")</f>
        <v/>
      </c>
      <c r="H2157" s="7" t="str">
        <f aca="false">IFERROR(INDEX('Semrush Data'!$A$1:$Z$20000,MATCH(A2157,'Semrush Data'!$A$1:$A$20000,0),MATCH("Keyword Difficulty*",'Semrush Data'!$A$1:$Z$1,0)),"")</f>
        <v/>
      </c>
      <c r="I2157" s="13" t="str">
        <f aca="false">IFERROR(INDEX('Semrush Data'!$A$1:$Z$20000,MATCH(A2157,'Semrush Data'!$A$1:$A$20000,0),MATCH("CPC*",'Semrush Data'!$A$1:$Z$1,0)),"")</f>
        <v/>
      </c>
      <c r="J2157" s="7" t="str">
        <f aca="false">IFERROR(INDEX('Semrush Data'!$A$1:$Z$20000,MATCH(A2157,'Semrush Data'!$A$1:$A$20000,0),MATCH("Intent",'Semrush Data'!$A$1:$Z$1,0)),"")</f>
        <v/>
      </c>
    </row>
    <row r="2158" customFormat="false" ht="15" hidden="false" customHeight="true" outlineLevel="0" collapsed="false">
      <c r="A2158" s="7" t="s">
        <v>6846</v>
      </c>
      <c r="B2158" s="7" t="s">
        <v>6820</v>
      </c>
      <c r="C2158" s="7" t="n">
        <v>3</v>
      </c>
      <c r="D2158" s="7" t="s">
        <v>6843</v>
      </c>
      <c r="E2158" s="7" t="n">
        <v>1</v>
      </c>
      <c r="F2158" s="7" t="s">
        <v>138</v>
      </c>
      <c r="G2158" s="12" t="str">
        <f aca="false">IFERROR(INDEX('Semrush Data'!$A$1:$Z$20000,MATCH(A2158,'Semrush Data'!$A$1:$A$20000,0),MATCH("Volume",'Semrush Data'!$A$1:$Z$1,0)),"")</f>
        <v/>
      </c>
      <c r="H2158" s="7" t="str">
        <f aca="false">IFERROR(INDEX('Semrush Data'!$A$1:$Z$20000,MATCH(A2158,'Semrush Data'!$A$1:$A$20000,0),MATCH("Keyword Difficulty*",'Semrush Data'!$A$1:$Z$1,0)),"")</f>
        <v/>
      </c>
      <c r="I2158" s="13" t="str">
        <f aca="false">IFERROR(INDEX('Semrush Data'!$A$1:$Z$20000,MATCH(A2158,'Semrush Data'!$A$1:$A$20000,0),MATCH("CPC*",'Semrush Data'!$A$1:$Z$1,0)),"")</f>
        <v/>
      </c>
      <c r="J2158" s="7" t="str">
        <f aca="false">IFERROR(INDEX('Semrush Data'!$A$1:$Z$20000,MATCH(A2158,'Semrush Data'!$A$1:$A$20000,0),MATCH("Intent",'Semrush Data'!$A$1:$Z$1,0)),"")</f>
        <v/>
      </c>
    </row>
    <row r="2159" customFormat="false" ht="15" hidden="false" customHeight="true" outlineLevel="0" collapsed="false">
      <c r="A2159" s="7" t="s">
        <v>6847</v>
      </c>
      <c r="B2159" s="7" t="s">
        <v>6820</v>
      </c>
      <c r="C2159" s="7" t="n">
        <v>3</v>
      </c>
      <c r="D2159" s="7" t="n">
        <v>22</v>
      </c>
      <c r="E2159" s="7" t="n">
        <v>1</v>
      </c>
      <c r="F2159" s="7" t="s">
        <v>132</v>
      </c>
      <c r="G2159" s="12" t="str">
        <f aca="false">IFERROR(INDEX('Semrush Data'!$A$1:$Z$20000,MATCH(A2159,'Semrush Data'!$A$1:$A$20000,0),MATCH("Volume",'Semrush Data'!$A$1:$Z$1,0)),"")</f>
        <v/>
      </c>
      <c r="H2159" s="7" t="str">
        <f aca="false">IFERROR(INDEX('Semrush Data'!$A$1:$Z$20000,MATCH(A2159,'Semrush Data'!$A$1:$A$20000,0),MATCH("Keyword Difficulty*",'Semrush Data'!$A$1:$Z$1,0)),"")</f>
        <v/>
      </c>
      <c r="I2159" s="13" t="str">
        <f aca="false">IFERROR(INDEX('Semrush Data'!$A$1:$Z$20000,MATCH(A2159,'Semrush Data'!$A$1:$A$20000,0),MATCH("CPC*",'Semrush Data'!$A$1:$Z$1,0)),"")</f>
        <v/>
      </c>
      <c r="J2159" s="7" t="str">
        <f aca="false">IFERROR(INDEX('Semrush Data'!$A$1:$Z$20000,MATCH(A2159,'Semrush Data'!$A$1:$A$20000,0),MATCH("Intent",'Semrush Data'!$A$1:$Z$1,0)),"")</f>
        <v/>
      </c>
    </row>
    <row r="2160" customFormat="false" ht="15" hidden="false" customHeight="true" outlineLevel="0" collapsed="false">
      <c r="A2160" s="7" t="s">
        <v>6848</v>
      </c>
      <c r="B2160" s="7" t="s">
        <v>6820</v>
      </c>
      <c r="C2160" s="7" t="n">
        <v>3</v>
      </c>
      <c r="D2160" s="7" t="n">
        <v>22</v>
      </c>
      <c r="E2160" s="7" t="n">
        <v>1</v>
      </c>
      <c r="F2160" s="7" t="s">
        <v>132</v>
      </c>
      <c r="G2160" s="12" t="str">
        <f aca="false">IFERROR(INDEX('Semrush Data'!$A$1:$Z$20000,MATCH(A2160,'Semrush Data'!$A$1:$A$20000,0),MATCH("Volume",'Semrush Data'!$A$1:$Z$1,0)),"")</f>
        <v/>
      </c>
      <c r="H2160" s="7" t="str">
        <f aca="false">IFERROR(INDEX('Semrush Data'!$A$1:$Z$20000,MATCH(A2160,'Semrush Data'!$A$1:$A$20000,0),MATCH("Keyword Difficulty*",'Semrush Data'!$A$1:$Z$1,0)),"")</f>
        <v/>
      </c>
      <c r="I2160" s="13" t="str">
        <f aca="false">IFERROR(INDEX('Semrush Data'!$A$1:$Z$20000,MATCH(A2160,'Semrush Data'!$A$1:$A$20000,0),MATCH("CPC*",'Semrush Data'!$A$1:$Z$1,0)),"")</f>
        <v/>
      </c>
      <c r="J2160" s="7" t="str">
        <f aca="false">IFERROR(INDEX('Semrush Data'!$A$1:$Z$20000,MATCH(A2160,'Semrush Data'!$A$1:$A$20000,0),MATCH("Intent",'Semrush Data'!$A$1:$Z$1,0)),"")</f>
        <v/>
      </c>
    </row>
    <row r="2161" customFormat="false" ht="15" hidden="false" customHeight="true" outlineLevel="0" collapsed="false">
      <c r="A2161" s="7" t="s">
        <v>6849</v>
      </c>
      <c r="B2161" s="7" t="s">
        <v>6820</v>
      </c>
      <c r="C2161" s="7" t="n">
        <v>3</v>
      </c>
      <c r="D2161" s="7" t="s">
        <v>6843</v>
      </c>
      <c r="E2161" s="7" t="n">
        <v>1</v>
      </c>
      <c r="F2161" s="7" t="s">
        <v>132</v>
      </c>
      <c r="G2161" s="12" t="str">
        <f aca="false">IFERROR(INDEX('Semrush Data'!$A$1:$Z$20000,MATCH(A2161,'Semrush Data'!$A$1:$A$20000,0),MATCH("Volume",'Semrush Data'!$A$1:$Z$1,0)),"")</f>
        <v/>
      </c>
      <c r="H2161" s="7" t="str">
        <f aca="false">IFERROR(INDEX('Semrush Data'!$A$1:$Z$20000,MATCH(A2161,'Semrush Data'!$A$1:$A$20000,0),MATCH("Keyword Difficulty*",'Semrush Data'!$A$1:$Z$1,0)),"")</f>
        <v/>
      </c>
      <c r="I2161" s="13" t="str">
        <f aca="false">IFERROR(INDEX('Semrush Data'!$A$1:$Z$20000,MATCH(A2161,'Semrush Data'!$A$1:$A$20000,0),MATCH("CPC*",'Semrush Data'!$A$1:$Z$1,0)),"")</f>
        <v/>
      </c>
      <c r="J2161" s="7" t="str">
        <f aca="false">IFERROR(INDEX('Semrush Data'!$A$1:$Z$20000,MATCH(A2161,'Semrush Data'!$A$1:$A$20000,0),MATCH("Intent",'Semrush Data'!$A$1:$Z$1,0)),"")</f>
        <v/>
      </c>
    </row>
    <row r="2162" customFormat="false" ht="15" hidden="false" customHeight="true" outlineLevel="0" collapsed="false">
      <c r="A2162" s="7" t="s">
        <v>6850</v>
      </c>
      <c r="B2162" s="7" t="s">
        <v>6820</v>
      </c>
      <c r="C2162" s="7" t="n">
        <v>3</v>
      </c>
      <c r="D2162" s="7" t="s">
        <v>6843</v>
      </c>
      <c r="E2162" s="7" t="n">
        <v>1</v>
      </c>
      <c r="F2162" s="7" t="s">
        <v>132</v>
      </c>
      <c r="G2162" s="12" t="str">
        <f aca="false">IFERROR(INDEX('Semrush Data'!$A$1:$Z$20000,MATCH(A2162,'Semrush Data'!$A$1:$A$20000,0),MATCH("Volume",'Semrush Data'!$A$1:$Z$1,0)),"")</f>
        <v/>
      </c>
      <c r="H2162" s="7" t="str">
        <f aca="false">IFERROR(INDEX('Semrush Data'!$A$1:$Z$20000,MATCH(A2162,'Semrush Data'!$A$1:$A$20000,0),MATCH("Keyword Difficulty*",'Semrush Data'!$A$1:$Z$1,0)),"")</f>
        <v/>
      </c>
      <c r="I2162" s="13" t="str">
        <f aca="false">IFERROR(INDEX('Semrush Data'!$A$1:$Z$20000,MATCH(A2162,'Semrush Data'!$A$1:$A$20000,0),MATCH("CPC*",'Semrush Data'!$A$1:$Z$1,0)),"")</f>
        <v/>
      </c>
      <c r="J2162" s="7" t="str">
        <f aca="false">IFERROR(INDEX('Semrush Data'!$A$1:$Z$20000,MATCH(A2162,'Semrush Data'!$A$1:$A$20000,0),MATCH("Intent",'Semrush Data'!$A$1:$Z$1,0)),"")</f>
        <v/>
      </c>
    </row>
    <row r="2163" customFormat="false" ht="15" hidden="false" customHeight="true" outlineLevel="0" collapsed="false">
      <c r="A2163" s="7" t="s">
        <v>6851</v>
      </c>
      <c r="B2163" s="7" t="s">
        <v>6820</v>
      </c>
      <c r="C2163" s="7" t="n">
        <v>3</v>
      </c>
      <c r="D2163" s="7" t="n">
        <v>22</v>
      </c>
      <c r="E2163" s="7" t="n">
        <v>1</v>
      </c>
      <c r="F2163" s="7" t="s">
        <v>114</v>
      </c>
      <c r="G2163" s="12" t="str">
        <f aca="false">IFERROR(INDEX('Semrush Data'!$A$1:$Z$20000,MATCH(A2163,'Semrush Data'!$A$1:$A$20000,0),MATCH("Volume",'Semrush Data'!$A$1:$Z$1,0)),"")</f>
        <v/>
      </c>
      <c r="H2163" s="7" t="str">
        <f aca="false">IFERROR(INDEX('Semrush Data'!$A$1:$Z$20000,MATCH(A2163,'Semrush Data'!$A$1:$A$20000,0),MATCH("Keyword Difficulty*",'Semrush Data'!$A$1:$Z$1,0)),"")</f>
        <v/>
      </c>
      <c r="I2163" s="13" t="str">
        <f aca="false">IFERROR(INDEX('Semrush Data'!$A$1:$Z$20000,MATCH(A2163,'Semrush Data'!$A$1:$A$20000,0),MATCH("CPC*",'Semrush Data'!$A$1:$Z$1,0)),"")</f>
        <v/>
      </c>
      <c r="J2163" s="7" t="str">
        <f aca="false">IFERROR(INDEX('Semrush Data'!$A$1:$Z$20000,MATCH(A2163,'Semrush Data'!$A$1:$A$20000,0),MATCH("Intent",'Semrush Data'!$A$1:$Z$1,0)),"")</f>
        <v/>
      </c>
    </row>
    <row r="2164" customFormat="false" ht="15" hidden="false" customHeight="true" outlineLevel="0" collapsed="false">
      <c r="A2164" s="7" t="s">
        <v>6852</v>
      </c>
      <c r="B2164" s="7" t="s">
        <v>6820</v>
      </c>
      <c r="C2164" s="7" t="n">
        <v>3</v>
      </c>
      <c r="D2164" s="7" t="n">
        <v>22</v>
      </c>
      <c r="E2164" s="7" t="n">
        <v>1</v>
      </c>
      <c r="F2164" s="7" t="s">
        <v>114</v>
      </c>
      <c r="G2164" s="12" t="str">
        <f aca="false">IFERROR(INDEX('Semrush Data'!$A$1:$Z$20000,MATCH(A2164,'Semrush Data'!$A$1:$A$20000,0),MATCH("Volume",'Semrush Data'!$A$1:$Z$1,0)),"")</f>
        <v/>
      </c>
      <c r="H2164" s="7" t="str">
        <f aca="false">IFERROR(INDEX('Semrush Data'!$A$1:$Z$20000,MATCH(A2164,'Semrush Data'!$A$1:$A$20000,0),MATCH("Keyword Difficulty*",'Semrush Data'!$A$1:$Z$1,0)),"")</f>
        <v/>
      </c>
      <c r="I2164" s="13" t="str">
        <f aca="false">IFERROR(INDEX('Semrush Data'!$A$1:$Z$20000,MATCH(A2164,'Semrush Data'!$A$1:$A$20000,0),MATCH("CPC*",'Semrush Data'!$A$1:$Z$1,0)),"")</f>
        <v/>
      </c>
      <c r="J2164" s="7" t="str">
        <f aca="false">IFERROR(INDEX('Semrush Data'!$A$1:$Z$20000,MATCH(A2164,'Semrush Data'!$A$1:$A$20000,0),MATCH("Intent",'Semrush Data'!$A$1:$Z$1,0)),"")</f>
        <v/>
      </c>
    </row>
    <row r="2165" customFormat="false" ht="15" hidden="false" customHeight="true" outlineLevel="0" collapsed="false">
      <c r="A2165" s="7" t="s">
        <v>6853</v>
      </c>
      <c r="B2165" s="7" t="s">
        <v>6820</v>
      </c>
      <c r="C2165" s="7" t="n">
        <v>3</v>
      </c>
      <c r="D2165" s="7" t="s">
        <v>6818</v>
      </c>
      <c r="E2165" s="7" t="n">
        <v>1</v>
      </c>
      <c r="F2165" s="7" t="s">
        <v>114</v>
      </c>
      <c r="G2165" s="12" t="str">
        <f aca="false">IFERROR(INDEX('Semrush Data'!$A$1:$Z$20000,MATCH(A2165,'Semrush Data'!$A$1:$A$20000,0),MATCH("Volume",'Semrush Data'!$A$1:$Z$1,0)),"")</f>
        <v/>
      </c>
      <c r="H2165" s="7" t="str">
        <f aca="false">IFERROR(INDEX('Semrush Data'!$A$1:$Z$20000,MATCH(A2165,'Semrush Data'!$A$1:$A$20000,0),MATCH("Keyword Difficulty*",'Semrush Data'!$A$1:$Z$1,0)),"")</f>
        <v/>
      </c>
      <c r="I2165" s="13" t="str">
        <f aca="false">IFERROR(INDEX('Semrush Data'!$A$1:$Z$20000,MATCH(A2165,'Semrush Data'!$A$1:$A$20000,0),MATCH("CPC*",'Semrush Data'!$A$1:$Z$1,0)),"")</f>
        <v/>
      </c>
      <c r="J2165" s="7" t="str">
        <f aca="false">IFERROR(INDEX('Semrush Data'!$A$1:$Z$20000,MATCH(A2165,'Semrush Data'!$A$1:$A$20000,0),MATCH("Intent",'Semrush Data'!$A$1:$Z$1,0)),"")</f>
        <v/>
      </c>
    </row>
    <row r="2166" customFormat="false" ht="15" hidden="false" customHeight="true" outlineLevel="0" collapsed="false">
      <c r="A2166" s="7" t="s">
        <v>6854</v>
      </c>
      <c r="B2166" s="7" t="s">
        <v>6820</v>
      </c>
      <c r="C2166" s="7" t="n">
        <v>3</v>
      </c>
      <c r="D2166" s="7" t="n">
        <v>22</v>
      </c>
      <c r="E2166" s="7" t="n">
        <v>1</v>
      </c>
      <c r="F2166" s="7" t="s">
        <v>114</v>
      </c>
      <c r="G2166" s="12" t="str">
        <f aca="false">IFERROR(INDEX('Semrush Data'!$A$1:$Z$20000,MATCH(A2166,'Semrush Data'!$A$1:$A$20000,0),MATCH("Volume",'Semrush Data'!$A$1:$Z$1,0)),"")</f>
        <v/>
      </c>
      <c r="H2166" s="7" t="str">
        <f aca="false">IFERROR(INDEX('Semrush Data'!$A$1:$Z$20000,MATCH(A2166,'Semrush Data'!$A$1:$A$20000,0),MATCH("Keyword Difficulty*",'Semrush Data'!$A$1:$Z$1,0)),"")</f>
        <v/>
      </c>
      <c r="I2166" s="13" t="str">
        <f aca="false">IFERROR(INDEX('Semrush Data'!$A$1:$Z$20000,MATCH(A2166,'Semrush Data'!$A$1:$A$20000,0),MATCH("CPC*",'Semrush Data'!$A$1:$Z$1,0)),"")</f>
        <v/>
      </c>
      <c r="J2166" s="7" t="str">
        <f aca="false">IFERROR(INDEX('Semrush Data'!$A$1:$Z$20000,MATCH(A2166,'Semrush Data'!$A$1:$A$20000,0),MATCH("Intent",'Semrush Data'!$A$1:$Z$1,0)),"")</f>
        <v/>
      </c>
    </row>
    <row r="2167" customFormat="false" ht="15" hidden="false" customHeight="true" outlineLevel="0" collapsed="false">
      <c r="A2167" s="7" t="s">
        <v>6855</v>
      </c>
      <c r="B2167" s="7" t="s">
        <v>6820</v>
      </c>
      <c r="C2167" s="7" t="n">
        <v>3</v>
      </c>
      <c r="D2167" s="7" t="s">
        <v>6818</v>
      </c>
      <c r="E2167" s="7" t="n">
        <v>1</v>
      </c>
      <c r="F2167" s="7" t="s">
        <v>114</v>
      </c>
      <c r="G2167" s="12" t="str">
        <f aca="false">IFERROR(INDEX('Semrush Data'!$A$1:$Z$20000,MATCH(A2167,'Semrush Data'!$A$1:$A$20000,0),MATCH("Volume",'Semrush Data'!$A$1:$Z$1,0)),"")</f>
        <v/>
      </c>
      <c r="H2167" s="7" t="str">
        <f aca="false">IFERROR(INDEX('Semrush Data'!$A$1:$Z$20000,MATCH(A2167,'Semrush Data'!$A$1:$A$20000,0),MATCH("Keyword Difficulty*",'Semrush Data'!$A$1:$Z$1,0)),"")</f>
        <v/>
      </c>
      <c r="I2167" s="13" t="str">
        <f aca="false">IFERROR(INDEX('Semrush Data'!$A$1:$Z$20000,MATCH(A2167,'Semrush Data'!$A$1:$A$20000,0),MATCH("CPC*",'Semrush Data'!$A$1:$Z$1,0)),"")</f>
        <v/>
      </c>
      <c r="J2167" s="7" t="str">
        <f aca="false">IFERROR(INDEX('Semrush Data'!$A$1:$Z$20000,MATCH(A2167,'Semrush Data'!$A$1:$A$20000,0),MATCH("Intent",'Semrush Data'!$A$1:$Z$1,0)),"")</f>
        <v/>
      </c>
    </row>
    <row r="2168" customFormat="false" ht="15" hidden="false" customHeight="true" outlineLevel="0" collapsed="false">
      <c r="A2168" s="7" t="s">
        <v>6856</v>
      </c>
      <c r="B2168" s="7" t="s">
        <v>6820</v>
      </c>
      <c r="C2168" s="7" t="n">
        <v>3</v>
      </c>
      <c r="D2168" s="7" t="n">
        <v>22</v>
      </c>
      <c r="E2168" s="7" t="n">
        <v>1</v>
      </c>
      <c r="F2168" s="7" t="s">
        <v>100</v>
      </c>
      <c r="G2168" s="12" t="str">
        <f aca="false">IFERROR(INDEX('Semrush Data'!$A$1:$Z$20000,MATCH(A2168,'Semrush Data'!$A$1:$A$20000,0),MATCH("Volume",'Semrush Data'!$A$1:$Z$1,0)),"")</f>
        <v/>
      </c>
      <c r="H2168" s="7" t="str">
        <f aca="false">IFERROR(INDEX('Semrush Data'!$A$1:$Z$20000,MATCH(A2168,'Semrush Data'!$A$1:$A$20000,0),MATCH("Keyword Difficulty*",'Semrush Data'!$A$1:$Z$1,0)),"")</f>
        <v/>
      </c>
      <c r="I2168" s="13" t="str">
        <f aca="false">IFERROR(INDEX('Semrush Data'!$A$1:$Z$20000,MATCH(A2168,'Semrush Data'!$A$1:$A$20000,0),MATCH("CPC*",'Semrush Data'!$A$1:$Z$1,0)),"")</f>
        <v/>
      </c>
      <c r="J2168" s="7" t="str">
        <f aca="false">IFERROR(INDEX('Semrush Data'!$A$1:$Z$20000,MATCH(A2168,'Semrush Data'!$A$1:$A$20000,0),MATCH("Intent",'Semrush Data'!$A$1:$Z$1,0)),"")</f>
        <v/>
      </c>
    </row>
    <row r="2169" customFormat="false" ht="15" hidden="false" customHeight="true" outlineLevel="0" collapsed="false">
      <c r="A2169" s="7" t="s">
        <v>6857</v>
      </c>
      <c r="B2169" s="7" t="s">
        <v>6820</v>
      </c>
      <c r="C2169" s="7" t="n">
        <v>3</v>
      </c>
      <c r="D2169" s="7" t="s">
        <v>6818</v>
      </c>
      <c r="E2169" s="7" t="n">
        <v>1</v>
      </c>
      <c r="F2169" s="7" t="s">
        <v>100</v>
      </c>
      <c r="G2169" s="12" t="str">
        <f aca="false">IFERROR(INDEX('Semrush Data'!$A$1:$Z$20000,MATCH(A2169,'Semrush Data'!$A$1:$A$20000,0),MATCH("Volume",'Semrush Data'!$A$1:$Z$1,0)),"")</f>
        <v/>
      </c>
      <c r="H2169" s="7" t="str">
        <f aca="false">IFERROR(INDEX('Semrush Data'!$A$1:$Z$20000,MATCH(A2169,'Semrush Data'!$A$1:$A$20000,0),MATCH("Keyword Difficulty*",'Semrush Data'!$A$1:$Z$1,0)),"")</f>
        <v/>
      </c>
      <c r="I2169" s="13" t="str">
        <f aca="false">IFERROR(INDEX('Semrush Data'!$A$1:$Z$20000,MATCH(A2169,'Semrush Data'!$A$1:$A$20000,0),MATCH("CPC*",'Semrush Data'!$A$1:$Z$1,0)),"")</f>
        <v/>
      </c>
      <c r="J2169" s="7" t="str">
        <f aca="false">IFERROR(INDEX('Semrush Data'!$A$1:$Z$20000,MATCH(A2169,'Semrush Data'!$A$1:$A$20000,0),MATCH("Intent",'Semrush Data'!$A$1:$Z$1,0)),"")</f>
        <v/>
      </c>
    </row>
    <row r="2170" customFormat="false" ht="15" hidden="false" customHeight="true" outlineLevel="0" collapsed="false">
      <c r="A2170" s="7" t="s">
        <v>6858</v>
      </c>
      <c r="B2170" s="7" t="s">
        <v>6820</v>
      </c>
      <c r="C2170" s="7" t="n">
        <v>3</v>
      </c>
      <c r="D2170" s="7" t="n">
        <v>22</v>
      </c>
      <c r="E2170" s="7" t="n">
        <v>1</v>
      </c>
      <c r="F2170" s="7" t="s">
        <v>100</v>
      </c>
      <c r="G2170" s="12" t="str">
        <f aca="false">IFERROR(INDEX('Semrush Data'!$A$1:$Z$20000,MATCH(A2170,'Semrush Data'!$A$1:$A$20000,0),MATCH("Volume",'Semrush Data'!$A$1:$Z$1,0)),"")</f>
        <v/>
      </c>
      <c r="H2170" s="7" t="str">
        <f aca="false">IFERROR(INDEX('Semrush Data'!$A$1:$Z$20000,MATCH(A2170,'Semrush Data'!$A$1:$A$20000,0),MATCH("Keyword Difficulty*",'Semrush Data'!$A$1:$Z$1,0)),"")</f>
        <v/>
      </c>
      <c r="I2170" s="13" t="str">
        <f aca="false">IFERROR(INDEX('Semrush Data'!$A$1:$Z$20000,MATCH(A2170,'Semrush Data'!$A$1:$A$20000,0),MATCH("CPC*",'Semrush Data'!$A$1:$Z$1,0)),"")</f>
        <v/>
      </c>
      <c r="J2170" s="7" t="str">
        <f aca="false">IFERROR(INDEX('Semrush Data'!$A$1:$Z$20000,MATCH(A2170,'Semrush Data'!$A$1:$A$20000,0),MATCH("Intent",'Semrush Data'!$A$1:$Z$1,0)),"")</f>
        <v/>
      </c>
    </row>
    <row r="2171" customFormat="false" ht="15" hidden="false" customHeight="true" outlineLevel="0" collapsed="false">
      <c r="A2171" s="7" t="s">
        <v>6859</v>
      </c>
      <c r="B2171" s="7" t="s">
        <v>6820</v>
      </c>
      <c r="C2171" s="7" t="n">
        <v>3</v>
      </c>
      <c r="D2171" s="7" t="s">
        <v>6818</v>
      </c>
      <c r="E2171" s="7" t="n">
        <v>1</v>
      </c>
      <c r="F2171" s="7" t="s">
        <v>100</v>
      </c>
      <c r="G2171" s="12" t="str">
        <f aca="false">IFERROR(INDEX('Semrush Data'!$A$1:$Z$20000,MATCH(A2171,'Semrush Data'!$A$1:$A$20000,0),MATCH("Volume",'Semrush Data'!$A$1:$Z$1,0)),"")</f>
        <v/>
      </c>
      <c r="H2171" s="7" t="str">
        <f aca="false">IFERROR(INDEX('Semrush Data'!$A$1:$Z$20000,MATCH(A2171,'Semrush Data'!$A$1:$A$20000,0),MATCH("Keyword Difficulty*",'Semrush Data'!$A$1:$Z$1,0)),"")</f>
        <v/>
      </c>
      <c r="I2171" s="13" t="str">
        <f aca="false">IFERROR(INDEX('Semrush Data'!$A$1:$Z$20000,MATCH(A2171,'Semrush Data'!$A$1:$A$20000,0),MATCH("CPC*",'Semrush Data'!$A$1:$Z$1,0)),"")</f>
        <v/>
      </c>
      <c r="J2171" s="7" t="str">
        <f aca="false">IFERROR(INDEX('Semrush Data'!$A$1:$Z$20000,MATCH(A2171,'Semrush Data'!$A$1:$A$20000,0),MATCH("Intent",'Semrush Data'!$A$1:$Z$1,0)),"")</f>
        <v/>
      </c>
    </row>
    <row r="2172" customFormat="false" ht="15" hidden="false" customHeight="true" outlineLevel="0" collapsed="false">
      <c r="A2172" s="7" t="s">
        <v>6860</v>
      </c>
      <c r="B2172" s="7" t="s">
        <v>6820</v>
      </c>
      <c r="C2172" s="7" t="n">
        <v>3</v>
      </c>
      <c r="D2172" s="7" t="n">
        <v>22</v>
      </c>
      <c r="E2172" s="7" t="n">
        <v>1</v>
      </c>
      <c r="F2172" s="7" t="s">
        <v>2642</v>
      </c>
      <c r="G2172" s="12" t="str">
        <f aca="false">IFERROR(INDEX('Semrush Data'!$A$1:$Z$20000,MATCH(A2172,'Semrush Data'!$A$1:$A$20000,0),MATCH("Volume",'Semrush Data'!$A$1:$Z$1,0)),"")</f>
        <v/>
      </c>
      <c r="H2172" s="7" t="str">
        <f aca="false">IFERROR(INDEX('Semrush Data'!$A$1:$Z$20000,MATCH(A2172,'Semrush Data'!$A$1:$A$20000,0),MATCH("Keyword Difficulty*",'Semrush Data'!$A$1:$Z$1,0)),"")</f>
        <v/>
      </c>
      <c r="I2172" s="13" t="str">
        <f aca="false">IFERROR(INDEX('Semrush Data'!$A$1:$Z$20000,MATCH(A2172,'Semrush Data'!$A$1:$A$20000,0),MATCH("CPC*",'Semrush Data'!$A$1:$Z$1,0)),"")</f>
        <v/>
      </c>
      <c r="J2172" s="7" t="str">
        <f aca="false">IFERROR(INDEX('Semrush Data'!$A$1:$Z$20000,MATCH(A2172,'Semrush Data'!$A$1:$A$20000,0),MATCH("Intent",'Semrush Data'!$A$1:$Z$1,0)),"")</f>
        <v/>
      </c>
    </row>
    <row r="2173" customFormat="false" ht="15" hidden="false" customHeight="true" outlineLevel="0" collapsed="false">
      <c r="A2173" s="7" t="s">
        <v>6861</v>
      </c>
      <c r="B2173" s="7" t="s">
        <v>6820</v>
      </c>
      <c r="C2173" s="7" t="n">
        <v>3</v>
      </c>
      <c r="D2173" s="7" t="n">
        <v>22</v>
      </c>
      <c r="E2173" s="7" t="n">
        <v>1</v>
      </c>
      <c r="F2173" s="7" t="s">
        <v>2510</v>
      </c>
      <c r="G2173" s="12" t="str">
        <f aca="false">IFERROR(INDEX('Semrush Data'!$A$1:$Z$20000,MATCH(A2173,'Semrush Data'!$A$1:$A$20000,0),MATCH("Volume",'Semrush Data'!$A$1:$Z$1,0)),"")</f>
        <v/>
      </c>
      <c r="H2173" s="7" t="str">
        <f aca="false">IFERROR(INDEX('Semrush Data'!$A$1:$Z$20000,MATCH(A2173,'Semrush Data'!$A$1:$A$20000,0),MATCH("Keyword Difficulty*",'Semrush Data'!$A$1:$Z$1,0)),"")</f>
        <v/>
      </c>
      <c r="I2173" s="13" t="str">
        <f aca="false">IFERROR(INDEX('Semrush Data'!$A$1:$Z$20000,MATCH(A2173,'Semrush Data'!$A$1:$A$20000,0),MATCH("CPC*",'Semrush Data'!$A$1:$Z$1,0)),"")</f>
        <v/>
      </c>
      <c r="J2173" s="7" t="str">
        <f aca="false">IFERROR(INDEX('Semrush Data'!$A$1:$Z$20000,MATCH(A2173,'Semrush Data'!$A$1:$A$20000,0),MATCH("Intent",'Semrush Data'!$A$1:$Z$1,0)),"")</f>
        <v/>
      </c>
    </row>
    <row r="2174" customFormat="false" ht="15" hidden="false" customHeight="true" outlineLevel="0" collapsed="false">
      <c r="A2174" s="7" t="s">
        <v>6862</v>
      </c>
      <c r="B2174" s="7" t="s">
        <v>6820</v>
      </c>
      <c r="C2174" s="7" t="n">
        <v>3</v>
      </c>
      <c r="D2174" s="7" t="n">
        <v>22</v>
      </c>
      <c r="E2174" s="7" t="n">
        <v>1</v>
      </c>
      <c r="F2174" s="7" t="s">
        <v>2510</v>
      </c>
      <c r="G2174" s="12" t="str">
        <f aca="false">IFERROR(INDEX('Semrush Data'!$A$1:$Z$20000,MATCH(A2174,'Semrush Data'!$A$1:$A$20000,0),MATCH("Volume",'Semrush Data'!$A$1:$Z$1,0)),"")</f>
        <v/>
      </c>
      <c r="H2174" s="7" t="str">
        <f aca="false">IFERROR(INDEX('Semrush Data'!$A$1:$Z$20000,MATCH(A2174,'Semrush Data'!$A$1:$A$20000,0),MATCH("Keyword Difficulty*",'Semrush Data'!$A$1:$Z$1,0)),"")</f>
        <v/>
      </c>
      <c r="I2174" s="13" t="str">
        <f aca="false">IFERROR(INDEX('Semrush Data'!$A$1:$Z$20000,MATCH(A2174,'Semrush Data'!$A$1:$A$20000,0),MATCH("CPC*",'Semrush Data'!$A$1:$Z$1,0)),"")</f>
        <v/>
      </c>
      <c r="J2174" s="7" t="str">
        <f aca="false">IFERROR(INDEX('Semrush Data'!$A$1:$Z$20000,MATCH(A2174,'Semrush Data'!$A$1:$A$20000,0),MATCH("Intent",'Semrush Data'!$A$1:$Z$1,0)),"")</f>
        <v/>
      </c>
    </row>
    <row r="2175" customFormat="false" ht="15" hidden="false" customHeight="true" outlineLevel="0" collapsed="false">
      <c r="A2175" s="7" t="s">
        <v>6863</v>
      </c>
      <c r="B2175" s="7" t="s">
        <v>6820</v>
      </c>
      <c r="C2175" s="7" t="n">
        <v>3</v>
      </c>
      <c r="D2175" s="7" t="n">
        <v>22</v>
      </c>
      <c r="E2175" s="7" t="n">
        <v>1</v>
      </c>
      <c r="F2175" s="7" t="s">
        <v>2510</v>
      </c>
      <c r="G2175" s="12" t="str">
        <f aca="false">IFERROR(INDEX('Semrush Data'!$A$1:$Z$20000,MATCH(A2175,'Semrush Data'!$A$1:$A$20000,0),MATCH("Volume",'Semrush Data'!$A$1:$Z$1,0)),"")</f>
        <v/>
      </c>
      <c r="H2175" s="7" t="str">
        <f aca="false">IFERROR(INDEX('Semrush Data'!$A$1:$Z$20000,MATCH(A2175,'Semrush Data'!$A$1:$A$20000,0),MATCH("Keyword Difficulty*",'Semrush Data'!$A$1:$Z$1,0)),"")</f>
        <v/>
      </c>
      <c r="I2175" s="13" t="str">
        <f aca="false">IFERROR(INDEX('Semrush Data'!$A$1:$Z$20000,MATCH(A2175,'Semrush Data'!$A$1:$A$20000,0),MATCH("CPC*",'Semrush Data'!$A$1:$Z$1,0)),"")</f>
        <v/>
      </c>
      <c r="J2175" s="7" t="str">
        <f aca="false">IFERROR(INDEX('Semrush Data'!$A$1:$Z$20000,MATCH(A2175,'Semrush Data'!$A$1:$A$20000,0),MATCH("Intent",'Semrush Data'!$A$1:$Z$1,0)),"")</f>
        <v/>
      </c>
    </row>
    <row r="2176" customFormat="false" ht="15" hidden="false" customHeight="true" outlineLevel="0" collapsed="false">
      <c r="A2176" s="7" t="s">
        <v>6864</v>
      </c>
      <c r="B2176" s="7" t="s">
        <v>6820</v>
      </c>
      <c r="C2176" s="7" t="n">
        <v>3</v>
      </c>
      <c r="D2176" s="7" t="n">
        <v>22</v>
      </c>
      <c r="E2176" s="7" t="n">
        <v>1</v>
      </c>
      <c r="F2176" s="7" t="s">
        <v>2510</v>
      </c>
      <c r="G2176" s="12" t="str">
        <f aca="false">IFERROR(INDEX('Semrush Data'!$A$1:$Z$20000,MATCH(A2176,'Semrush Data'!$A$1:$A$20000,0),MATCH("Volume",'Semrush Data'!$A$1:$Z$1,0)),"")</f>
        <v/>
      </c>
      <c r="H2176" s="7" t="str">
        <f aca="false">IFERROR(INDEX('Semrush Data'!$A$1:$Z$20000,MATCH(A2176,'Semrush Data'!$A$1:$A$20000,0),MATCH("Keyword Difficulty*",'Semrush Data'!$A$1:$Z$1,0)),"")</f>
        <v/>
      </c>
      <c r="I2176" s="13" t="str">
        <f aca="false">IFERROR(INDEX('Semrush Data'!$A$1:$Z$20000,MATCH(A2176,'Semrush Data'!$A$1:$A$20000,0),MATCH("CPC*",'Semrush Data'!$A$1:$Z$1,0)),"")</f>
        <v/>
      </c>
      <c r="J2176" s="7" t="str">
        <f aca="false">IFERROR(INDEX('Semrush Data'!$A$1:$Z$20000,MATCH(A2176,'Semrush Data'!$A$1:$A$20000,0),MATCH("Intent",'Semrush Data'!$A$1:$Z$1,0)),"")</f>
        <v/>
      </c>
    </row>
    <row r="2177" customFormat="false" ht="15" hidden="false" customHeight="true" outlineLevel="0" collapsed="false">
      <c r="A2177" s="7" t="s">
        <v>6865</v>
      </c>
      <c r="B2177" s="7" t="s">
        <v>6820</v>
      </c>
      <c r="C2177" s="7" t="n">
        <v>3</v>
      </c>
      <c r="D2177" s="7" t="n">
        <v>22</v>
      </c>
      <c r="E2177" s="7" t="n">
        <v>1</v>
      </c>
      <c r="F2177" s="7" t="s">
        <v>2510</v>
      </c>
      <c r="G2177" s="12" t="str">
        <f aca="false">IFERROR(INDEX('Semrush Data'!$A$1:$Z$20000,MATCH(A2177,'Semrush Data'!$A$1:$A$20000,0),MATCH("Volume",'Semrush Data'!$A$1:$Z$1,0)),"")</f>
        <v/>
      </c>
      <c r="H2177" s="7" t="str">
        <f aca="false">IFERROR(INDEX('Semrush Data'!$A$1:$Z$20000,MATCH(A2177,'Semrush Data'!$A$1:$A$20000,0),MATCH("Keyword Difficulty*",'Semrush Data'!$A$1:$Z$1,0)),"")</f>
        <v/>
      </c>
      <c r="I2177" s="13" t="str">
        <f aca="false">IFERROR(INDEX('Semrush Data'!$A$1:$Z$20000,MATCH(A2177,'Semrush Data'!$A$1:$A$20000,0),MATCH("CPC*",'Semrush Data'!$A$1:$Z$1,0)),"")</f>
        <v/>
      </c>
      <c r="J2177" s="7" t="str">
        <f aca="false">IFERROR(INDEX('Semrush Data'!$A$1:$Z$20000,MATCH(A2177,'Semrush Data'!$A$1:$A$20000,0),MATCH("Intent",'Semrush Data'!$A$1:$Z$1,0)),"")</f>
        <v/>
      </c>
    </row>
    <row r="2178" customFormat="false" ht="15" hidden="false" customHeight="true" outlineLevel="0" collapsed="false">
      <c r="A2178" s="7" t="s">
        <v>6866</v>
      </c>
      <c r="B2178" s="7" t="s">
        <v>6820</v>
      </c>
      <c r="C2178" s="7" t="n">
        <v>3</v>
      </c>
      <c r="D2178" s="7" t="n">
        <v>22</v>
      </c>
      <c r="E2178" s="7" t="n">
        <v>1</v>
      </c>
      <c r="F2178" s="7" t="s">
        <v>2523</v>
      </c>
      <c r="G2178" s="12" t="str">
        <f aca="false">IFERROR(INDEX('Semrush Data'!$A$1:$Z$20000,MATCH(A2178,'Semrush Data'!$A$1:$A$20000,0),MATCH("Volume",'Semrush Data'!$A$1:$Z$1,0)),"")</f>
        <v/>
      </c>
      <c r="H2178" s="7" t="str">
        <f aca="false">IFERROR(INDEX('Semrush Data'!$A$1:$Z$20000,MATCH(A2178,'Semrush Data'!$A$1:$A$20000,0),MATCH("Keyword Difficulty*",'Semrush Data'!$A$1:$Z$1,0)),"")</f>
        <v/>
      </c>
      <c r="I2178" s="13" t="str">
        <f aca="false">IFERROR(INDEX('Semrush Data'!$A$1:$Z$20000,MATCH(A2178,'Semrush Data'!$A$1:$A$20000,0),MATCH("CPC*",'Semrush Data'!$A$1:$Z$1,0)),"")</f>
        <v/>
      </c>
      <c r="J2178" s="7" t="str">
        <f aca="false">IFERROR(INDEX('Semrush Data'!$A$1:$Z$20000,MATCH(A2178,'Semrush Data'!$A$1:$A$20000,0),MATCH("Intent",'Semrush Data'!$A$1:$Z$1,0)),"")</f>
        <v/>
      </c>
    </row>
    <row r="2179" customFormat="false" ht="15" hidden="false" customHeight="true" outlineLevel="0" collapsed="false">
      <c r="A2179" s="7" t="s">
        <v>6867</v>
      </c>
      <c r="B2179" s="7" t="s">
        <v>6820</v>
      </c>
      <c r="C2179" s="7" t="n">
        <v>3</v>
      </c>
      <c r="D2179" s="7" t="n">
        <v>22</v>
      </c>
      <c r="E2179" s="7" t="n">
        <v>1</v>
      </c>
      <c r="F2179" s="7" t="s">
        <v>2523</v>
      </c>
      <c r="G2179" s="12" t="str">
        <f aca="false">IFERROR(INDEX('Semrush Data'!$A$1:$Z$20000,MATCH(A2179,'Semrush Data'!$A$1:$A$20000,0),MATCH("Volume",'Semrush Data'!$A$1:$Z$1,0)),"")</f>
        <v/>
      </c>
      <c r="H2179" s="7" t="str">
        <f aca="false">IFERROR(INDEX('Semrush Data'!$A$1:$Z$20000,MATCH(A2179,'Semrush Data'!$A$1:$A$20000,0),MATCH("Keyword Difficulty*",'Semrush Data'!$A$1:$Z$1,0)),"")</f>
        <v/>
      </c>
      <c r="I2179" s="13" t="str">
        <f aca="false">IFERROR(INDEX('Semrush Data'!$A$1:$Z$20000,MATCH(A2179,'Semrush Data'!$A$1:$A$20000,0),MATCH("CPC*",'Semrush Data'!$A$1:$Z$1,0)),"")</f>
        <v/>
      </c>
      <c r="J2179" s="7" t="str">
        <f aca="false">IFERROR(INDEX('Semrush Data'!$A$1:$Z$20000,MATCH(A2179,'Semrush Data'!$A$1:$A$20000,0),MATCH("Intent",'Semrush Data'!$A$1:$Z$1,0)),"")</f>
        <v/>
      </c>
    </row>
    <row r="2180" customFormat="false" ht="15" hidden="false" customHeight="true" outlineLevel="0" collapsed="false">
      <c r="A2180" s="7" t="s">
        <v>6868</v>
      </c>
      <c r="B2180" s="7" t="s">
        <v>6820</v>
      </c>
      <c r="C2180" s="7" t="n">
        <v>3</v>
      </c>
      <c r="D2180" s="7" t="n">
        <v>22</v>
      </c>
      <c r="E2180" s="7" t="n">
        <v>1</v>
      </c>
      <c r="F2180" s="7" t="s">
        <v>2523</v>
      </c>
      <c r="G2180" s="12" t="str">
        <f aca="false">IFERROR(INDEX('Semrush Data'!$A$1:$Z$20000,MATCH(A2180,'Semrush Data'!$A$1:$A$20000,0),MATCH("Volume",'Semrush Data'!$A$1:$Z$1,0)),"")</f>
        <v/>
      </c>
      <c r="H2180" s="7" t="str">
        <f aca="false">IFERROR(INDEX('Semrush Data'!$A$1:$Z$20000,MATCH(A2180,'Semrush Data'!$A$1:$A$20000,0),MATCH("Keyword Difficulty*",'Semrush Data'!$A$1:$Z$1,0)),"")</f>
        <v/>
      </c>
      <c r="I2180" s="13" t="str">
        <f aca="false">IFERROR(INDEX('Semrush Data'!$A$1:$Z$20000,MATCH(A2180,'Semrush Data'!$A$1:$A$20000,0),MATCH("CPC*",'Semrush Data'!$A$1:$Z$1,0)),"")</f>
        <v/>
      </c>
      <c r="J2180" s="7" t="str">
        <f aca="false">IFERROR(INDEX('Semrush Data'!$A$1:$Z$20000,MATCH(A2180,'Semrush Data'!$A$1:$A$20000,0),MATCH("Intent",'Semrush Data'!$A$1:$Z$1,0)),"")</f>
        <v/>
      </c>
    </row>
    <row r="2181" customFormat="false" ht="15" hidden="false" customHeight="true" outlineLevel="0" collapsed="false">
      <c r="A2181" s="7" t="s">
        <v>6869</v>
      </c>
      <c r="B2181" s="7" t="s">
        <v>6820</v>
      </c>
      <c r="C2181" s="7" t="n">
        <v>3</v>
      </c>
      <c r="D2181" s="7" t="n">
        <v>22</v>
      </c>
      <c r="E2181" s="7" t="n">
        <v>1</v>
      </c>
      <c r="F2181" s="7" t="s">
        <v>2523</v>
      </c>
      <c r="G2181" s="12" t="str">
        <f aca="false">IFERROR(INDEX('Semrush Data'!$A$1:$Z$20000,MATCH(A2181,'Semrush Data'!$A$1:$A$20000,0),MATCH("Volume",'Semrush Data'!$A$1:$Z$1,0)),"")</f>
        <v/>
      </c>
      <c r="H2181" s="7" t="str">
        <f aca="false">IFERROR(INDEX('Semrush Data'!$A$1:$Z$20000,MATCH(A2181,'Semrush Data'!$A$1:$A$20000,0),MATCH("Keyword Difficulty*",'Semrush Data'!$A$1:$Z$1,0)),"")</f>
        <v/>
      </c>
      <c r="I2181" s="13" t="str">
        <f aca="false">IFERROR(INDEX('Semrush Data'!$A$1:$Z$20000,MATCH(A2181,'Semrush Data'!$A$1:$A$20000,0),MATCH("CPC*",'Semrush Data'!$A$1:$Z$1,0)),"")</f>
        <v/>
      </c>
      <c r="J2181" s="7" t="str">
        <f aca="false">IFERROR(INDEX('Semrush Data'!$A$1:$Z$20000,MATCH(A2181,'Semrush Data'!$A$1:$A$20000,0),MATCH("Intent",'Semrush Data'!$A$1:$Z$1,0)),"")</f>
        <v/>
      </c>
    </row>
    <row r="2182" customFormat="false" ht="15" hidden="false" customHeight="true" outlineLevel="0" collapsed="false">
      <c r="A2182" s="7" t="s">
        <v>6870</v>
      </c>
      <c r="B2182" s="7" t="s">
        <v>6820</v>
      </c>
      <c r="C2182" s="7" t="n">
        <v>3</v>
      </c>
      <c r="D2182" s="7" t="n">
        <v>22</v>
      </c>
      <c r="E2182" s="7" t="n">
        <v>1</v>
      </c>
      <c r="F2182" s="7" t="s">
        <v>2523</v>
      </c>
      <c r="G2182" s="12" t="str">
        <f aca="false">IFERROR(INDEX('Semrush Data'!$A$1:$Z$20000,MATCH(A2182,'Semrush Data'!$A$1:$A$20000,0),MATCH("Volume",'Semrush Data'!$A$1:$Z$1,0)),"")</f>
        <v/>
      </c>
      <c r="H2182" s="7" t="str">
        <f aca="false">IFERROR(INDEX('Semrush Data'!$A$1:$Z$20000,MATCH(A2182,'Semrush Data'!$A$1:$A$20000,0),MATCH("Keyword Difficulty*",'Semrush Data'!$A$1:$Z$1,0)),"")</f>
        <v/>
      </c>
      <c r="I2182" s="13" t="str">
        <f aca="false">IFERROR(INDEX('Semrush Data'!$A$1:$Z$20000,MATCH(A2182,'Semrush Data'!$A$1:$A$20000,0),MATCH("CPC*",'Semrush Data'!$A$1:$Z$1,0)),"")</f>
        <v/>
      </c>
      <c r="J2182" s="7" t="str">
        <f aca="false">IFERROR(INDEX('Semrush Data'!$A$1:$Z$20000,MATCH(A2182,'Semrush Data'!$A$1:$A$20000,0),MATCH("Intent",'Semrush Data'!$A$1:$Z$1,0)),"")</f>
        <v/>
      </c>
    </row>
    <row r="2183" customFormat="false" ht="15" hidden="false" customHeight="true" outlineLevel="0" collapsed="false">
      <c r="A2183" s="7" t="s">
        <v>6871</v>
      </c>
      <c r="B2183" s="7" t="s">
        <v>6820</v>
      </c>
      <c r="C2183" s="7" t="n">
        <v>3</v>
      </c>
      <c r="D2183" s="7" t="n">
        <v>22</v>
      </c>
      <c r="E2183" s="7" t="n">
        <v>1</v>
      </c>
      <c r="F2183" s="7" t="s">
        <v>2536</v>
      </c>
      <c r="G2183" s="12" t="str">
        <f aca="false">IFERROR(INDEX('Semrush Data'!$A$1:$Z$20000,MATCH(A2183,'Semrush Data'!$A$1:$A$20000,0),MATCH("Volume",'Semrush Data'!$A$1:$Z$1,0)),"")</f>
        <v/>
      </c>
      <c r="H2183" s="7" t="str">
        <f aca="false">IFERROR(INDEX('Semrush Data'!$A$1:$Z$20000,MATCH(A2183,'Semrush Data'!$A$1:$A$20000,0),MATCH("Keyword Difficulty*",'Semrush Data'!$A$1:$Z$1,0)),"")</f>
        <v/>
      </c>
      <c r="I2183" s="13" t="str">
        <f aca="false">IFERROR(INDEX('Semrush Data'!$A$1:$Z$20000,MATCH(A2183,'Semrush Data'!$A$1:$A$20000,0),MATCH("CPC*",'Semrush Data'!$A$1:$Z$1,0)),"")</f>
        <v/>
      </c>
      <c r="J2183" s="7" t="str">
        <f aca="false">IFERROR(INDEX('Semrush Data'!$A$1:$Z$20000,MATCH(A2183,'Semrush Data'!$A$1:$A$20000,0),MATCH("Intent",'Semrush Data'!$A$1:$Z$1,0)),"")</f>
        <v/>
      </c>
    </row>
    <row r="2184" customFormat="false" ht="15" hidden="false" customHeight="true" outlineLevel="0" collapsed="false">
      <c r="A2184" s="7" t="s">
        <v>6872</v>
      </c>
      <c r="B2184" s="7" t="s">
        <v>6820</v>
      </c>
      <c r="C2184" s="7" t="n">
        <v>3</v>
      </c>
      <c r="D2184" s="7" t="n">
        <v>22</v>
      </c>
      <c r="E2184" s="7" t="n">
        <v>1</v>
      </c>
      <c r="F2184" s="7" t="s">
        <v>2536</v>
      </c>
      <c r="G2184" s="12" t="str">
        <f aca="false">IFERROR(INDEX('Semrush Data'!$A$1:$Z$20000,MATCH(A2184,'Semrush Data'!$A$1:$A$20000,0),MATCH("Volume",'Semrush Data'!$A$1:$Z$1,0)),"")</f>
        <v/>
      </c>
      <c r="H2184" s="7" t="str">
        <f aca="false">IFERROR(INDEX('Semrush Data'!$A$1:$Z$20000,MATCH(A2184,'Semrush Data'!$A$1:$A$20000,0),MATCH("Keyword Difficulty*",'Semrush Data'!$A$1:$Z$1,0)),"")</f>
        <v/>
      </c>
      <c r="I2184" s="13" t="str">
        <f aca="false">IFERROR(INDEX('Semrush Data'!$A$1:$Z$20000,MATCH(A2184,'Semrush Data'!$A$1:$A$20000,0),MATCH("CPC*",'Semrush Data'!$A$1:$Z$1,0)),"")</f>
        <v/>
      </c>
      <c r="J2184" s="7" t="str">
        <f aca="false">IFERROR(INDEX('Semrush Data'!$A$1:$Z$20000,MATCH(A2184,'Semrush Data'!$A$1:$A$20000,0),MATCH("Intent",'Semrush Data'!$A$1:$Z$1,0)),"")</f>
        <v/>
      </c>
    </row>
    <row r="2185" customFormat="false" ht="15" hidden="false" customHeight="true" outlineLevel="0" collapsed="false">
      <c r="A2185" s="7" t="s">
        <v>6873</v>
      </c>
      <c r="B2185" s="7" t="s">
        <v>6820</v>
      </c>
      <c r="C2185" s="7" t="n">
        <v>3</v>
      </c>
      <c r="D2185" s="7" t="n">
        <v>22</v>
      </c>
      <c r="E2185" s="7" t="n">
        <v>1</v>
      </c>
      <c r="F2185" s="7" t="s">
        <v>2536</v>
      </c>
      <c r="G2185" s="12" t="str">
        <f aca="false">IFERROR(INDEX('Semrush Data'!$A$1:$Z$20000,MATCH(A2185,'Semrush Data'!$A$1:$A$20000,0),MATCH("Volume",'Semrush Data'!$A$1:$Z$1,0)),"")</f>
        <v/>
      </c>
      <c r="H2185" s="7" t="str">
        <f aca="false">IFERROR(INDEX('Semrush Data'!$A$1:$Z$20000,MATCH(A2185,'Semrush Data'!$A$1:$A$20000,0),MATCH("Keyword Difficulty*",'Semrush Data'!$A$1:$Z$1,0)),"")</f>
        <v/>
      </c>
      <c r="I2185" s="13" t="str">
        <f aca="false">IFERROR(INDEX('Semrush Data'!$A$1:$Z$20000,MATCH(A2185,'Semrush Data'!$A$1:$A$20000,0),MATCH("CPC*",'Semrush Data'!$A$1:$Z$1,0)),"")</f>
        <v/>
      </c>
      <c r="J2185" s="7" t="str">
        <f aca="false">IFERROR(INDEX('Semrush Data'!$A$1:$Z$20000,MATCH(A2185,'Semrush Data'!$A$1:$A$20000,0),MATCH("Intent",'Semrush Data'!$A$1:$Z$1,0)),"")</f>
        <v/>
      </c>
    </row>
    <row r="2186" customFormat="false" ht="15" hidden="false" customHeight="true" outlineLevel="0" collapsed="false">
      <c r="A2186" s="7" t="s">
        <v>6874</v>
      </c>
      <c r="B2186" s="7" t="s">
        <v>6820</v>
      </c>
      <c r="C2186" s="7" t="n">
        <v>3</v>
      </c>
      <c r="D2186" s="7" t="n">
        <v>22</v>
      </c>
      <c r="E2186" s="7" t="n">
        <v>1</v>
      </c>
      <c r="F2186" s="7" t="s">
        <v>2536</v>
      </c>
      <c r="G2186" s="12" t="str">
        <f aca="false">IFERROR(INDEX('Semrush Data'!$A$1:$Z$20000,MATCH(A2186,'Semrush Data'!$A$1:$A$20000,0),MATCH("Volume",'Semrush Data'!$A$1:$Z$1,0)),"")</f>
        <v/>
      </c>
      <c r="H2186" s="7" t="str">
        <f aca="false">IFERROR(INDEX('Semrush Data'!$A$1:$Z$20000,MATCH(A2186,'Semrush Data'!$A$1:$A$20000,0),MATCH("Keyword Difficulty*",'Semrush Data'!$A$1:$Z$1,0)),"")</f>
        <v/>
      </c>
      <c r="I2186" s="13" t="str">
        <f aca="false">IFERROR(INDEX('Semrush Data'!$A$1:$Z$20000,MATCH(A2186,'Semrush Data'!$A$1:$A$20000,0),MATCH("CPC*",'Semrush Data'!$A$1:$Z$1,0)),"")</f>
        <v/>
      </c>
      <c r="J2186" s="7" t="str">
        <f aca="false">IFERROR(INDEX('Semrush Data'!$A$1:$Z$20000,MATCH(A2186,'Semrush Data'!$A$1:$A$20000,0),MATCH("Intent",'Semrush Data'!$A$1:$Z$1,0)),"")</f>
        <v/>
      </c>
    </row>
    <row r="2187" customFormat="false" ht="15" hidden="false" customHeight="true" outlineLevel="0" collapsed="false">
      <c r="A2187" s="7" t="s">
        <v>6875</v>
      </c>
      <c r="B2187" s="7" t="s">
        <v>6820</v>
      </c>
      <c r="C2187" s="7" t="n">
        <v>3</v>
      </c>
      <c r="D2187" s="7" t="n">
        <v>22</v>
      </c>
      <c r="E2187" s="7" t="n">
        <v>1</v>
      </c>
      <c r="F2187" s="7" t="s">
        <v>2536</v>
      </c>
      <c r="G2187" s="12" t="str">
        <f aca="false">IFERROR(INDEX('Semrush Data'!$A$1:$Z$20000,MATCH(A2187,'Semrush Data'!$A$1:$A$20000,0),MATCH("Volume",'Semrush Data'!$A$1:$Z$1,0)),"")</f>
        <v/>
      </c>
      <c r="H2187" s="7" t="str">
        <f aca="false">IFERROR(INDEX('Semrush Data'!$A$1:$Z$20000,MATCH(A2187,'Semrush Data'!$A$1:$A$20000,0),MATCH("Keyword Difficulty*",'Semrush Data'!$A$1:$Z$1,0)),"")</f>
        <v/>
      </c>
      <c r="I2187" s="13" t="str">
        <f aca="false">IFERROR(INDEX('Semrush Data'!$A$1:$Z$20000,MATCH(A2187,'Semrush Data'!$A$1:$A$20000,0),MATCH("CPC*",'Semrush Data'!$A$1:$Z$1,0)),"")</f>
        <v/>
      </c>
      <c r="J2187" s="7" t="str">
        <f aca="false">IFERROR(INDEX('Semrush Data'!$A$1:$Z$20000,MATCH(A2187,'Semrush Data'!$A$1:$A$20000,0),MATCH("Intent",'Semrush Data'!$A$1:$Z$1,0)),"")</f>
        <v/>
      </c>
    </row>
    <row r="2188" customFormat="false" ht="15" hidden="false" customHeight="true" outlineLevel="0" collapsed="false">
      <c r="A2188" s="7" t="s">
        <v>6876</v>
      </c>
      <c r="B2188" s="7" t="s">
        <v>6820</v>
      </c>
      <c r="C2188" s="7" t="n">
        <v>3</v>
      </c>
      <c r="D2188" s="7" t="n">
        <v>22</v>
      </c>
      <c r="E2188" s="7" t="n">
        <v>1</v>
      </c>
      <c r="F2188" s="7" t="s">
        <v>2548</v>
      </c>
      <c r="G2188" s="12" t="str">
        <f aca="false">IFERROR(INDEX('Semrush Data'!$A$1:$Z$20000,MATCH(A2188,'Semrush Data'!$A$1:$A$20000,0),MATCH("Volume",'Semrush Data'!$A$1:$Z$1,0)),"")</f>
        <v/>
      </c>
      <c r="H2188" s="7" t="str">
        <f aca="false">IFERROR(INDEX('Semrush Data'!$A$1:$Z$20000,MATCH(A2188,'Semrush Data'!$A$1:$A$20000,0),MATCH("Keyword Difficulty*",'Semrush Data'!$A$1:$Z$1,0)),"")</f>
        <v/>
      </c>
      <c r="I2188" s="13" t="str">
        <f aca="false">IFERROR(INDEX('Semrush Data'!$A$1:$Z$20000,MATCH(A2188,'Semrush Data'!$A$1:$A$20000,0),MATCH("CPC*",'Semrush Data'!$A$1:$Z$1,0)),"")</f>
        <v/>
      </c>
      <c r="J2188" s="7" t="str">
        <f aca="false">IFERROR(INDEX('Semrush Data'!$A$1:$Z$20000,MATCH(A2188,'Semrush Data'!$A$1:$A$20000,0),MATCH("Intent",'Semrush Data'!$A$1:$Z$1,0)),"")</f>
        <v/>
      </c>
    </row>
    <row r="2189" customFormat="false" ht="15" hidden="false" customHeight="true" outlineLevel="0" collapsed="false">
      <c r="A2189" s="7" t="s">
        <v>6877</v>
      </c>
      <c r="B2189" s="7" t="s">
        <v>6820</v>
      </c>
      <c r="C2189" s="7" t="n">
        <v>3</v>
      </c>
      <c r="D2189" s="7" t="n">
        <v>22</v>
      </c>
      <c r="E2189" s="7" t="n">
        <v>1</v>
      </c>
      <c r="F2189" s="7" t="s">
        <v>2548</v>
      </c>
      <c r="G2189" s="12" t="str">
        <f aca="false">IFERROR(INDEX('Semrush Data'!$A$1:$Z$20000,MATCH(A2189,'Semrush Data'!$A$1:$A$20000,0),MATCH("Volume",'Semrush Data'!$A$1:$Z$1,0)),"")</f>
        <v/>
      </c>
      <c r="H2189" s="7" t="str">
        <f aca="false">IFERROR(INDEX('Semrush Data'!$A$1:$Z$20000,MATCH(A2189,'Semrush Data'!$A$1:$A$20000,0),MATCH("Keyword Difficulty*",'Semrush Data'!$A$1:$Z$1,0)),"")</f>
        <v/>
      </c>
      <c r="I2189" s="13" t="str">
        <f aca="false">IFERROR(INDEX('Semrush Data'!$A$1:$Z$20000,MATCH(A2189,'Semrush Data'!$A$1:$A$20000,0),MATCH("CPC*",'Semrush Data'!$A$1:$Z$1,0)),"")</f>
        <v/>
      </c>
      <c r="J2189" s="7" t="str">
        <f aca="false">IFERROR(INDEX('Semrush Data'!$A$1:$Z$20000,MATCH(A2189,'Semrush Data'!$A$1:$A$20000,0),MATCH("Intent",'Semrush Data'!$A$1:$Z$1,0)),"")</f>
        <v/>
      </c>
    </row>
    <row r="2190" customFormat="false" ht="15" hidden="false" customHeight="true" outlineLevel="0" collapsed="false">
      <c r="A2190" s="7" t="s">
        <v>6878</v>
      </c>
      <c r="B2190" s="7" t="s">
        <v>6820</v>
      </c>
      <c r="C2190" s="7" t="n">
        <v>3</v>
      </c>
      <c r="D2190" s="7" t="n">
        <v>22</v>
      </c>
      <c r="E2190" s="7" t="n">
        <v>1</v>
      </c>
      <c r="F2190" s="7" t="s">
        <v>2548</v>
      </c>
      <c r="G2190" s="12" t="str">
        <f aca="false">IFERROR(INDEX('Semrush Data'!$A$1:$Z$20000,MATCH(A2190,'Semrush Data'!$A$1:$A$20000,0),MATCH("Volume",'Semrush Data'!$A$1:$Z$1,0)),"")</f>
        <v/>
      </c>
      <c r="H2190" s="7" t="str">
        <f aca="false">IFERROR(INDEX('Semrush Data'!$A$1:$Z$20000,MATCH(A2190,'Semrush Data'!$A$1:$A$20000,0),MATCH("Keyword Difficulty*",'Semrush Data'!$A$1:$Z$1,0)),"")</f>
        <v/>
      </c>
      <c r="I2190" s="13" t="str">
        <f aca="false">IFERROR(INDEX('Semrush Data'!$A$1:$Z$20000,MATCH(A2190,'Semrush Data'!$A$1:$A$20000,0),MATCH("CPC*",'Semrush Data'!$A$1:$Z$1,0)),"")</f>
        <v/>
      </c>
      <c r="J2190" s="7" t="str">
        <f aca="false">IFERROR(INDEX('Semrush Data'!$A$1:$Z$20000,MATCH(A2190,'Semrush Data'!$A$1:$A$20000,0),MATCH("Intent",'Semrush Data'!$A$1:$Z$1,0)),"")</f>
        <v/>
      </c>
    </row>
    <row r="2191" customFormat="false" ht="15" hidden="false" customHeight="true" outlineLevel="0" collapsed="false">
      <c r="A2191" s="7" t="s">
        <v>6879</v>
      </c>
      <c r="B2191" s="7" t="s">
        <v>6820</v>
      </c>
      <c r="C2191" s="7" t="n">
        <v>3</v>
      </c>
      <c r="D2191" s="7" t="n">
        <v>22</v>
      </c>
      <c r="E2191" s="7" t="n">
        <v>1</v>
      </c>
      <c r="F2191" s="7" t="s">
        <v>2548</v>
      </c>
      <c r="G2191" s="12" t="str">
        <f aca="false">IFERROR(INDEX('Semrush Data'!$A$1:$Z$20000,MATCH(A2191,'Semrush Data'!$A$1:$A$20000,0),MATCH("Volume",'Semrush Data'!$A$1:$Z$1,0)),"")</f>
        <v/>
      </c>
      <c r="H2191" s="7" t="str">
        <f aca="false">IFERROR(INDEX('Semrush Data'!$A$1:$Z$20000,MATCH(A2191,'Semrush Data'!$A$1:$A$20000,0),MATCH("Keyword Difficulty*",'Semrush Data'!$A$1:$Z$1,0)),"")</f>
        <v/>
      </c>
      <c r="I2191" s="13" t="str">
        <f aca="false">IFERROR(INDEX('Semrush Data'!$A$1:$Z$20000,MATCH(A2191,'Semrush Data'!$A$1:$A$20000,0),MATCH("CPC*",'Semrush Data'!$A$1:$Z$1,0)),"")</f>
        <v/>
      </c>
      <c r="J2191" s="7" t="str">
        <f aca="false">IFERROR(INDEX('Semrush Data'!$A$1:$Z$20000,MATCH(A2191,'Semrush Data'!$A$1:$A$20000,0),MATCH("Intent",'Semrush Data'!$A$1:$Z$1,0)),"")</f>
        <v/>
      </c>
    </row>
    <row r="2192" customFormat="false" ht="15" hidden="false" customHeight="true" outlineLevel="0" collapsed="false">
      <c r="A2192" s="7" t="s">
        <v>6880</v>
      </c>
      <c r="B2192" s="7" t="s">
        <v>6820</v>
      </c>
      <c r="C2192" s="7" t="n">
        <v>3</v>
      </c>
      <c r="D2192" s="7" t="n">
        <v>22</v>
      </c>
      <c r="E2192" s="7" t="n">
        <v>1</v>
      </c>
      <c r="F2192" s="7" t="s">
        <v>2548</v>
      </c>
      <c r="G2192" s="12" t="str">
        <f aca="false">IFERROR(INDEX('Semrush Data'!$A$1:$Z$20000,MATCH(A2192,'Semrush Data'!$A$1:$A$20000,0),MATCH("Volume",'Semrush Data'!$A$1:$Z$1,0)),"")</f>
        <v/>
      </c>
      <c r="H2192" s="7" t="str">
        <f aca="false">IFERROR(INDEX('Semrush Data'!$A$1:$Z$20000,MATCH(A2192,'Semrush Data'!$A$1:$A$20000,0),MATCH("Keyword Difficulty*",'Semrush Data'!$A$1:$Z$1,0)),"")</f>
        <v/>
      </c>
      <c r="I2192" s="13" t="str">
        <f aca="false">IFERROR(INDEX('Semrush Data'!$A$1:$Z$20000,MATCH(A2192,'Semrush Data'!$A$1:$A$20000,0),MATCH("CPC*",'Semrush Data'!$A$1:$Z$1,0)),"")</f>
        <v/>
      </c>
      <c r="J2192" s="7" t="str">
        <f aca="false">IFERROR(INDEX('Semrush Data'!$A$1:$Z$20000,MATCH(A2192,'Semrush Data'!$A$1:$A$20000,0),MATCH("Intent",'Semrush Data'!$A$1:$Z$1,0)),"")</f>
        <v/>
      </c>
    </row>
    <row r="2193" customFormat="false" ht="15" hidden="false" customHeight="true" outlineLevel="0" collapsed="false">
      <c r="A2193" s="7" t="s">
        <v>6881</v>
      </c>
      <c r="B2193" s="7" t="s">
        <v>6820</v>
      </c>
      <c r="C2193" s="7" t="n">
        <v>3</v>
      </c>
      <c r="D2193" s="7" t="n">
        <v>22</v>
      </c>
      <c r="E2193" s="7" t="n">
        <v>1</v>
      </c>
      <c r="F2193" s="7" t="s">
        <v>2675</v>
      </c>
      <c r="G2193" s="12" t="str">
        <f aca="false">IFERROR(INDEX('Semrush Data'!$A$1:$Z$20000,MATCH(A2193,'Semrush Data'!$A$1:$A$20000,0),MATCH("Volume",'Semrush Data'!$A$1:$Z$1,0)),"")</f>
        <v/>
      </c>
      <c r="H2193" s="7" t="str">
        <f aca="false">IFERROR(INDEX('Semrush Data'!$A$1:$Z$20000,MATCH(A2193,'Semrush Data'!$A$1:$A$20000,0),MATCH("Keyword Difficulty*",'Semrush Data'!$A$1:$Z$1,0)),"")</f>
        <v/>
      </c>
      <c r="I2193" s="13" t="str">
        <f aca="false">IFERROR(INDEX('Semrush Data'!$A$1:$Z$20000,MATCH(A2193,'Semrush Data'!$A$1:$A$20000,0),MATCH("CPC*",'Semrush Data'!$A$1:$Z$1,0)),"")</f>
        <v/>
      </c>
      <c r="J2193" s="7" t="str">
        <f aca="false">IFERROR(INDEX('Semrush Data'!$A$1:$Z$20000,MATCH(A2193,'Semrush Data'!$A$1:$A$20000,0),MATCH("Intent",'Semrush Data'!$A$1:$Z$1,0)),"")</f>
        <v/>
      </c>
    </row>
    <row r="2194" customFormat="false" ht="15" hidden="false" customHeight="true" outlineLevel="0" collapsed="false">
      <c r="A2194" s="7" t="s">
        <v>6882</v>
      </c>
      <c r="B2194" s="7" t="s">
        <v>6820</v>
      </c>
      <c r="C2194" s="7" t="n">
        <v>3</v>
      </c>
      <c r="D2194" s="7" t="n">
        <v>22</v>
      </c>
      <c r="E2194" s="7" t="n">
        <v>1</v>
      </c>
      <c r="F2194" s="7" t="s">
        <v>2675</v>
      </c>
      <c r="G2194" s="12" t="str">
        <f aca="false">IFERROR(INDEX('Semrush Data'!$A$1:$Z$20000,MATCH(A2194,'Semrush Data'!$A$1:$A$20000,0),MATCH("Volume",'Semrush Data'!$A$1:$Z$1,0)),"")</f>
        <v/>
      </c>
      <c r="H2194" s="7" t="str">
        <f aca="false">IFERROR(INDEX('Semrush Data'!$A$1:$Z$20000,MATCH(A2194,'Semrush Data'!$A$1:$A$20000,0),MATCH("Keyword Difficulty*",'Semrush Data'!$A$1:$Z$1,0)),"")</f>
        <v/>
      </c>
      <c r="I2194" s="13" t="str">
        <f aca="false">IFERROR(INDEX('Semrush Data'!$A$1:$Z$20000,MATCH(A2194,'Semrush Data'!$A$1:$A$20000,0),MATCH("CPC*",'Semrush Data'!$A$1:$Z$1,0)),"")</f>
        <v/>
      </c>
      <c r="J2194" s="7" t="str">
        <f aca="false">IFERROR(INDEX('Semrush Data'!$A$1:$Z$20000,MATCH(A2194,'Semrush Data'!$A$1:$A$20000,0),MATCH("Intent",'Semrush Data'!$A$1:$Z$1,0)),"")</f>
        <v/>
      </c>
    </row>
    <row r="2195" customFormat="false" ht="15" hidden="false" customHeight="true" outlineLevel="0" collapsed="false">
      <c r="A2195" s="7" t="s">
        <v>6883</v>
      </c>
      <c r="B2195" s="7" t="s">
        <v>6820</v>
      </c>
      <c r="C2195" s="7" t="n">
        <v>3</v>
      </c>
      <c r="D2195" s="7" t="n">
        <v>22</v>
      </c>
      <c r="E2195" s="7" t="n">
        <v>1</v>
      </c>
      <c r="F2195" s="7" t="s">
        <v>2675</v>
      </c>
      <c r="G2195" s="12" t="str">
        <f aca="false">IFERROR(INDEX('Semrush Data'!$A$1:$Z$20000,MATCH(A2195,'Semrush Data'!$A$1:$A$20000,0),MATCH("Volume",'Semrush Data'!$A$1:$Z$1,0)),"")</f>
        <v/>
      </c>
      <c r="H2195" s="7" t="str">
        <f aca="false">IFERROR(INDEX('Semrush Data'!$A$1:$Z$20000,MATCH(A2195,'Semrush Data'!$A$1:$A$20000,0),MATCH("Keyword Difficulty*",'Semrush Data'!$A$1:$Z$1,0)),"")</f>
        <v/>
      </c>
      <c r="I2195" s="13" t="str">
        <f aca="false">IFERROR(INDEX('Semrush Data'!$A$1:$Z$20000,MATCH(A2195,'Semrush Data'!$A$1:$A$20000,0),MATCH("CPC*",'Semrush Data'!$A$1:$Z$1,0)),"")</f>
        <v/>
      </c>
      <c r="J2195" s="7" t="str">
        <f aca="false">IFERROR(INDEX('Semrush Data'!$A$1:$Z$20000,MATCH(A2195,'Semrush Data'!$A$1:$A$20000,0),MATCH("Intent",'Semrush Data'!$A$1:$Z$1,0)),"")</f>
        <v/>
      </c>
    </row>
    <row r="2196" customFormat="false" ht="15" hidden="false" customHeight="true" outlineLevel="0" collapsed="false">
      <c r="A2196" s="7" t="s">
        <v>6884</v>
      </c>
      <c r="B2196" s="7" t="s">
        <v>6820</v>
      </c>
      <c r="C2196" s="7" t="n">
        <v>3</v>
      </c>
      <c r="D2196" s="7" t="n">
        <v>22</v>
      </c>
      <c r="E2196" s="7" t="n">
        <v>1</v>
      </c>
      <c r="F2196" s="7" t="s">
        <v>2675</v>
      </c>
      <c r="G2196" s="12" t="str">
        <f aca="false">IFERROR(INDEX('Semrush Data'!$A$1:$Z$20000,MATCH(A2196,'Semrush Data'!$A$1:$A$20000,0),MATCH("Volume",'Semrush Data'!$A$1:$Z$1,0)),"")</f>
        <v/>
      </c>
      <c r="H2196" s="7" t="str">
        <f aca="false">IFERROR(INDEX('Semrush Data'!$A$1:$Z$20000,MATCH(A2196,'Semrush Data'!$A$1:$A$20000,0),MATCH("Keyword Difficulty*",'Semrush Data'!$A$1:$Z$1,0)),"")</f>
        <v/>
      </c>
      <c r="I2196" s="13" t="str">
        <f aca="false">IFERROR(INDEX('Semrush Data'!$A$1:$Z$20000,MATCH(A2196,'Semrush Data'!$A$1:$A$20000,0),MATCH("CPC*",'Semrush Data'!$A$1:$Z$1,0)),"")</f>
        <v/>
      </c>
      <c r="J2196" s="7" t="str">
        <f aca="false">IFERROR(INDEX('Semrush Data'!$A$1:$Z$20000,MATCH(A2196,'Semrush Data'!$A$1:$A$20000,0),MATCH("Intent",'Semrush Data'!$A$1:$Z$1,0)),"")</f>
        <v/>
      </c>
    </row>
    <row r="2197" customFormat="false" ht="15" hidden="false" customHeight="true" outlineLevel="0" collapsed="false">
      <c r="A2197" s="7" t="s">
        <v>6885</v>
      </c>
      <c r="B2197" s="7" t="s">
        <v>6820</v>
      </c>
      <c r="C2197" s="7" t="n">
        <v>3</v>
      </c>
      <c r="D2197" s="7" t="n">
        <v>22</v>
      </c>
      <c r="E2197" s="7" t="n">
        <v>1</v>
      </c>
      <c r="F2197" s="7" t="s">
        <v>106</v>
      </c>
      <c r="G2197" s="12" t="str">
        <f aca="false">IFERROR(INDEX('Semrush Data'!$A$1:$Z$20000,MATCH(A2197,'Semrush Data'!$A$1:$A$20000,0),MATCH("Volume",'Semrush Data'!$A$1:$Z$1,0)),"")</f>
        <v/>
      </c>
      <c r="H2197" s="7" t="str">
        <f aca="false">IFERROR(INDEX('Semrush Data'!$A$1:$Z$20000,MATCH(A2197,'Semrush Data'!$A$1:$A$20000,0),MATCH("Keyword Difficulty*",'Semrush Data'!$A$1:$Z$1,0)),"")</f>
        <v/>
      </c>
      <c r="I2197" s="13" t="str">
        <f aca="false">IFERROR(INDEX('Semrush Data'!$A$1:$Z$20000,MATCH(A2197,'Semrush Data'!$A$1:$A$20000,0),MATCH("CPC*",'Semrush Data'!$A$1:$Z$1,0)),"")</f>
        <v/>
      </c>
      <c r="J2197" s="7" t="str">
        <f aca="false">IFERROR(INDEX('Semrush Data'!$A$1:$Z$20000,MATCH(A2197,'Semrush Data'!$A$1:$A$20000,0),MATCH("Intent",'Semrush Data'!$A$1:$Z$1,0)),"")</f>
        <v/>
      </c>
    </row>
    <row r="2198" customFormat="false" ht="15" hidden="false" customHeight="true" outlineLevel="0" collapsed="false">
      <c r="A2198" s="7" t="s">
        <v>6886</v>
      </c>
      <c r="B2198" s="7" t="s">
        <v>6820</v>
      </c>
      <c r="C2198" s="7" t="n">
        <v>3</v>
      </c>
      <c r="D2198" s="7" t="s">
        <v>6818</v>
      </c>
      <c r="E2198" s="7" t="n">
        <v>1</v>
      </c>
      <c r="F2198" s="7" t="s">
        <v>106</v>
      </c>
      <c r="G2198" s="12" t="str">
        <f aca="false">IFERROR(INDEX('Semrush Data'!$A$1:$Z$20000,MATCH(A2198,'Semrush Data'!$A$1:$A$20000,0),MATCH("Volume",'Semrush Data'!$A$1:$Z$1,0)),"")</f>
        <v/>
      </c>
      <c r="H2198" s="7" t="str">
        <f aca="false">IFERROR(INDEX('Semrush Data'!$A$1:$Z$20000,MATCH(A2198,'Semrush Data'!$A$1:$A$20000,0),MATCH("Keyword Difficulty*",'Semrush Data'!$A$1:$Z$1,0)),"")</f>
        <v/>
      </c>
      <c r="I2198" s="13" t="str">
        <f aca="false">IFERROR(INDEX('Semrush Data'!$A$1:$Z$20000,MATCH(A2198,'Semrush Data'!$A$1:$A$20000,0),MATCH("CPC*",'Semrush Data'!$A$1:$Z$1,0)),"")</f>
        <v/>
      </c>
      <c r="J2198" s="7" t="str">
        <f aca="false">IFERROR(INDEX('Semrush Data'!$A$1:$Z$20000,MATCH(A2198,'Semrush Data'!$A$1:$A$20000,0),MATCH("Intent",'Semrush Data'!$A$1:$Z$1,0)),"")</f>
        <v/>
      </c>
    </row>
    <row r="2199" customFormat="false" ht="15" hidden="false" customHeight="true" outlineLevel="0" collapsed="false">
      <c r="A2199" s="7" t="s">
        <v>6887</v>
      </c>
      <c r="B2199" s="7" t="s">
        <v>6820</v>
      </c>
      <c r="C2199" s="7" t="n">
        <v>3</v>
      </c>
      <c r="D2199" s="7" t="n">
        <v>22</v>
      </c>
      <c r="E2199" s="7" t="n">
        <v>1</v>
      </c>
      <c r="F2199" s="7" t="s">
        <v>106</v>
      </c>
      <c r="G2199" s="12" t="str">
        <f aca="false">IFERROR(INDEX('Semrush Data'!$A$1:$Z$20000,MATCH(A2199,'Semrush Data'!$A$1:$A$20000,0),MATCH("Volume",'Semrush Data'!$A$1:$Z$1,0)),"")</f>
        <v/>
      </c>
      <c r="H2199" s="7" t="str">
        <f aca="false">IFERROR(INDEX('Semrush Data'!$A$1:$Z$20000,MATCH(A2199,'Semrush Data'!$A$1:$A$20000,0),MATCH("Keyword Difficulty*",'Semrush Data'!$A$1:$Z$1,0)),"")</f>
        <v/>
      </c>
      <c r="I2199" s="13" t="str">
        <f aca="false">IFERROR(INDEX('Semrush Data'!$A$1:$Z$20000,MATCH(A2199,'Semrush Data'!$A$1:$A$20000,0),MATCH("CPC*",'Semrush Data'!$A$1:$Z$1,0)),"")</f>
        <v/>
      </c>
      <c r="J2199" s="7" t="str">
        <f aca="false">IFERROR(INDEX('Semrush Data'!$A$1:$Z$20000,MATCH(A2199,'Semrush Data'!$A$1:$A$20000,0),MATCH("Intent",'Semrush Data'!$A$1:$Z$1,0)),"")</f>
        <v/>
      </c>
    </row>
    <row r="2200" customFormat="false" ht="15" hidden="false" customHeight="true" outlineLevel="0" collapsed="false">
      <c r="A2200" s="7" t="s">
        <v>6888</v>
      </c>
      <c r="B2200" s="7" t="s">
        <v>6820</v>
      </c>
      <c r="C2200" s="7" t="n">
        <v>3</v>
      </c>
      <c r="D2200" s="7" t="s">
        <v>6818</v>
      </c>
      <c r="E2200" s="7" t="n">
        <v>1</v>
      </c>
      <c r="F2200" s="7" t="s">
        <v>106</v>
      </c>
      <c r="G2200" s="12" t="str">
        <f aca="false">IFERROR(INDEX('Semrush Data'!$A$1:$Z$20000,MATCH(A2200,'Semrush Data'!$A$1:$A$20000,0),MATCH("Volume",'Semrush Data'!$A$1:$Z$1,0)),"")</f>
        <v/>
      </c>
      <c r="H2200" s="7" t="str">
        <f aca="false">IFERROR(INDEX('Semrush Data'!$A$1:$Z$20000,MATCH(A2200,'Semrush Data'!$A$1:$A$20000,0),MATCH("Keyword Difficulty*",'Semrush Data'!$A$1:$Z$1,0)),"")</f>
        <v/>
      </c>
      <c r="I2200" s="13" t="str">
        <f aca="false">IFERROR(INDEX('Semrush Data'!$A$1:$Z$20000,MATCH(A2200,'Semrush Data'!$A$1:$A$20000,0),MATCH("CPC*",'Semrush Data'!$A$1:$Z$1,0)),"")</f>
        <v/>
      </c>
      <c r="J2200" s="7" t="str">
        <f aca="false">IFERROR(INDEX('Semrush Data'!$A$1:$Z$20000,MATCH(A2200,'Semrush Data'!$A$1:$A$20000,0),MATCH("Intent",'Semrush Data'!$A$1:$Z$1,0)),"")</f>
        <v/>
      </c>
    </row>
    <row r="2201" customFormat="false" ht="15" hidden="false" customHeight="true" outlineLevel="0" collapsed="false">
      <c r="A2201" s="7" t="s">
        <v>6889</v>
      </c>
      <c r="B2201" s="7" t="s">
        <v>6820</v>
      </c>
      <c r="C2201" s="7" t="n">
        <v>3</v>
      </c>
      <c r="D2201" s="7" t="n">
        <v>22</v>
      </c>
      <c r="E2201" s="7" t="n">
        <v>1</v>
      </c>
      <c r="F2201" s="7" t="s">
        <v>2578</v>
      </c>
      <c r="G2201" s="12" t="str">
        <f aca="false">IFERROR(INDEX('Semrush Data'!$A$1:$Z$20000,MATCH(A2201,'Semrush Data'!$A$1:$A$20000,0),MATCH("Volume",'Semrush Data'!$A$1:$Z$1,0)),"")</f>
        <v/>
      </c>
      <c r="H2201" s="7" t="str">
        <f aca="false">IFERROR(INDEX('Semrush Data'!$A$1:$Z$20000,MATCH(A2201,'Semrush Data'!$A$1:$A$20000,0),MATCH("Keyword Difficulty*",'Semrush Data'!$A$1:$Z$1,0)),"")</f>
        <v/>
      </c>
      <c r="I2201" s="13" t="str">
        <f aca="false">IFERROR(INDEX('Semrush Data'!$A$1:$Z$20000,MATCH(A2201,'Semrush Data'!$A$1:$A$20000,0),MATCH("CPC*",'Semrush Data'!$A$1:$Z$1,0)),"")</f>
        <v/>
      </c>
      <c r="J2201" s="7" t="str">
        <f aca="false">IFERROR(INDEX('Semrush Data'!$A$1:$Z$20000,MATCH(A2201,'Semrush Data'!$A$1:$A$20000,0),MATCH("Intent",'Semrush Data'!$A$1:$Z$1,0)),"")</f>
        <v/>
      </c>
    </row>
    <row r="2202" customFormat="false" ht="15" hidden="false" customHeight="true" outlineLevel="0" collapsed="false">
      <c r="A2202" s="7" t="s">
        <v>6890</v>
      </c>
      <c r="B2202" s="7" t="s">
        <v>6820</v>
      </c>
      <c r="C2202" s="7" t="n">
        <v>3</v>
      </c>
      <c r="D2202" s="7" t="n">
        <v>23</v>
      </c>
      <c r="E2202" s="7" t="n">
        <v>1</v>
      </c>
      <c r="F2202" s="7" t="s">
        <v>2578</v>
      </c>
      <c r="G2202" s="12" t="str">
        <f aca="false">IFERROR(INDEX('Semrush Data'!$A$1:$Z$20000,MATCH(A2202,'Semrush Data'!$A$1:$A$20000,0),MATCH("Volume",'Semrush Data'!$A$1:$Z$1,0)),"")</f>
        <v/>
      </c>
      <c r="H2202" s="7" t="str">
        <f aca="false">IFERROR(INDEX('Semrush Data'!$A$1:$Z$20000,MATCH(A2202,'Semrush Data'!$A$1:$A$20000,0),MATCH("Keyword Difficulty*",'Semrush Data'!$A$1:$Z$1,0)),"")</f>
        <v/>
      </c>
      <c r="I2202" s="13" t="str">
        <f aca="false">IFERROR(INDEX('Semrush Data'!$A$1:$Z$20000,MATCH(A2202,'Semrush Data'!$A$1:$A$20000,0),MATCH("CPC*",'Semrush Data'!$A$1:$Z$1,0)),"")</f>
        <v/>
      </c>
      <c r="J2202" s="7" t="str">
        <f aca="false">IFERROR(INDEX('Semrush Data'!$A$1:$Z$20000,MATCH(A2202,'Semrush Data'!$A$1:$A$20000,0),MATCH("Intent",'Semrush Data'!$A$1:$Z$1,0)),"")</f>
        <v/>
      </c>
    </row>
    <row r="2203" customFormat="false" ht="15" hidden="false" customHeight="true" outlineLevel="0" collapsed="false">
      <c r="A2203" s="7" t="s">
        <v>6891</v>
      </c>
      <c r="B2203" s="7" t="s">
        <v>6820</v>
      </c>
      <c r="C2203" s="7" t="n">
        <v>3</v>
      </c>
      <c r="D2203" s="7" t="n">
        <v>23</v>
      </c>
      <c r="E2203" s="7" t="n">
        <v>1</v>
      </c>
      <c r="F2203" s="7" t="s">
        <v>2578</v>
      </c>
      <c r="G2203" s="12" t="str">
        <f aca="false">IFERROR(INDEX('Semrush Data'!$A$1:$Z$20000,MATCH(A2203,'Semrush Data'!$A$1:$A$20000,0),MATCH("Volume",'Semrush Data'!$A$1:$Z$1,0)),"")</f>
        <v/>
      </c>
      <c r="H2203" s="7" t="str">
        <f aca="false">IFERROR(INDEX('Semrush Data'!$A$1:$Z$20000,MATCH(A2203,'Semrush Data'!$A$1:$A$20000,0),MATCH("Keyword Difficulty*",'Semrush Data'!$A$1:$Z$1,0)),"")</f>
        <v/>
      </c>
      <c r="I2203" s="13" t="str">
        <f aca="false">IFERROR(INDEX('Semrush Data'!$A$1:$Z$20000,MATCH(A2203,'Semrush Data'!$A$1:$A$20000,0),MATCH("CPC*",'Semrush Data'!$A$1:$Z$1,0)),"")</f>
        <v/>
      </c>
      <c r="J2203" s="7" t="str">
        <f aca="false">IFERROR(INDEX('Semrush Data'!$A$1:$Z$20000,MATCH(A2203,'Semrush Data'!$A$1:$A$20000,0),MATCH("Intent",'Semrush Data'!$A$1:$Z$1,0)),"")</f>
        <v/>
      </c>
    </row>
    <row r="2204" customFormat="false" ht="15" hidden="false" customHeight="true" outlineLevel="0" collapsed="false">
      <c r="A2204" s="7" t="s">
        <v>6892</v>
      </c>
      <c r="B2204" s="7" t="s">
        <v>6820</v>
      </c>
      <c r="C2204" s="7" t="n">
        <v>3</v>
      </c>
      <c r="D2204" s="7" t="n">
        <v>23</v>
      </c>
      <c r="E2204" s="7" t="n">
        <v>1</v>
      </c>
      <c r="F2204" s="7" t="s">
        <v>2578</v>
      </c>
      <c r="G2204" s="12" t="str">
        <f aca="false">IFERROR(INDEX('Semrush Data'!$A$1:$Z$20000,MATCH(A2204,'Semrush Data'!$A$1:$A$20000,0),MATCH("Volume",'Semrush Data'!$A$1:$Z$1,0)),"")</f>
        <v/>
      </c>
      <c r="H2204" s="7" t="str">
        <f aca="false">IFERROR(INDEX('Semrush Data'!$A$1:$Z$20000,MATCH(A2204,'Semrush Data'!$A$1:$A$20000,0),MATCH("Keyword Difficulty*",'Semrush Data'!$A$1:$Z$1,0)),"")</f>
        <v/>
      </c>
      <c r="I2204" s="13" t="str">
        <f aca="false">IFERROR(INDEX('Semrush Data'!$A$1:$Z$20000,MATCH(A2204,'Semrush Data'!$A$1:$A$20000,0),MATCH("CPC*",'Semrush Data'!$A$1:$Z$1,0)),"")</f>
        <v/>
      </c>
      <c r="J2204" s="7" t="str">
        <f aca="false">IFERROR(INDEX('Semrush Data'!$A$1:$Z$20000,MATCH(A2204,'Semrush Data'!$A$1:$A$20000,0),MATCH("Intent",'Semrush Data'!$A$1:$Z$1,0)),"")</f>
        <v/>
      </c>
    </row>
    <row r="2205" customFormat="false" ht="15" hidden="false" customHeight="true" outlineLevel="0" collapsed="false">
      <c r="A2205" s="7" t="s">
        <v>6893</v>
      </c>
      <c r="B2205" s="7" t="s">
        <v>6820</v>
      </c>
      <c r="C2205" s="7" t="n">
        <v>3</v>
      </c>
      <c r="D2205" s="7" t="n">
        <v>23</v>
      </c>
      <c r="E2205" s="7" t="n">
        <v>1</v>
      </c>
      <c r="F2205" s="7" t="s">
        <v>2578</v>
      </c>
      <c r="G2205" s="12" t="str">
        <f aca="false">IFERROR(INDEX('Semrush Data'!$A$1:$Z$20000,MATCH(A2205,'Semrush Data'!$A$1:$A$20000,0),MATCH("Volume",'Semrush Data'!$A$1:$Z$1,0)),"")</f>
        <v/>
      </c>
      <c r="H2205" s="7" t="str">
        <f aca="false">IFERROR(INDEX('Semrush Data'!$A$1:$Z$20000,MATCH(A2205,'Semrush Data'!$A$1:$A$20000,0),MATCH("Keyword Difficulty*",'Semrush Data'!$A$1:$Z$1,0)),"")</f>
        <v/>
      </c>
      <c r="I2205" s="13" t="str">
        <f aca="false">IFERROR(INDEX('Semrush Data'!$A$1:$Z$20000,MATCH(A2205,'Semrush Data'!$A$1:$A$20000,0),MATCH("CPC*",'Semrush Data'!$A$1:$Z$1,0)),"")</f>
        <v/>
      </c>
      <c r="J2205" s="7" t="str">
        <f aca="false">IFERROR(INDEX('Semrush Data'!$A$1:$Z$20000,MATCH(A2205,'Semrush Data'!$A$1:$A$20000,0),MATCH("Intent",'Semrush Data'!$A$1:$Z$1,0)),"")</f>
        <v/>
      </c>
    </row>
    <row r="2206" customFormat="false" ht="15" hidden="false" customHeight="true" outlineLevel="0" collapsed="false">
      <c r="A2206" s="7" t="s">
        <v>6894</v>
      </c>
      <c r="B2206" s="7" t="s">
        <v>6820</v>
      </c>
      <c r="C2206" s="7" t="n">
        <v>3</v>
      </c>
      <c r="D2206" s="7" t="n">
        <v>23</v>
      </c>
      <c r="E2206" s="7" t="n">
        <v>1</v>
      </c>
      <c r="F2206" s="7" t="s">
        <v>116</v>
      </c>
      <c r="G2206" s="12" t="str">
        <f aca="false">IFERROR(INDEX('Semrush Data'!$A$1:$Z$20000,MATCH(A2206,'Semrush Data'!$A$1:$A$20000,0),MATCH("Volume",'Semrush Data'!$A$1:$Z$1,0)),"")</f>
        <v/>
      </c>
      <c r="H2206" s="7" t="str">
        <f aca="false">IFERROR(INDEX('Semrush Data'!$A$1:$Z$20000,MATCH(A2206,'Semrush Data'!$A$1:$A$20000,0),MATCH("Keyword Difficulty*",'Semrush Data'!$A$1:$Z$1,0)),"")</f>
        <v/>
      </c>
      <c r="I2206" s="13" t="str">
        <f aca="false">IFERROR(INDEX('Semrush Data'!$A$1:$Z$20000,MATCH(A2206,'Semrush Data'!$A$1:$A$20000,0),MATCH("CPC*",'Semrush Data'!$A$1:$Z$1,0)),"")</f>
        <v/>
      </c>
      <c r="J2206" s="7" t="str">
        <f aca="false">IFERROR(INDEX('Semrush Data'!$A$1:$Z$20000,MATCH(A2206,'Semrush Data'!$A$1:$A$20000,0),MATCH("Intent",'Semrush Data'!$A$1:$Z$1,0)),"")</f>
        <v/>
      </c>
    </row>
    <row r="2207" customFormat="false" ht="15" hidden="false" customHeight="true" outlineLevel="0" collapsed="false">
      <c r="A2207" s="7" t="s">
        <v>6895</v>
      </c>
      <c r="B2207" s="7" t="s">
        <v>6820</v>
      </c>
      <c r="C2207" s="7" t="n">
        <v>3</v>
      </c>
      <c r="D2207" s="7" t="n">
        <v>23</v>
      </c>
      <c r="E2207" s="7" t="n">
        <v>1</v>
      </c>
      <c r="F2207" s="7" t="s">
        <v>116</v>
      </c>
      <c r="G2207" s="12" t="str">
        <f aca="false">IFERROR(INDEX('Semrush Data'!$A$1:$Z$20000,MATCH(A2207,'Semrush Data'!$A$1:$A$20000,0),MATCH("Volume",'Semrush Data'!$A$1:$Z$1,0)),"")</f>
        <v/>
      </c>
      <c r="H2207" s="7" t="str">
        <f aca="false">IFERROR(INDEX('Semrush Data'!$A$1:$Z$20000,MATCH(A2207,'Semrush Data'!$A$1:$A$20000,0),MATCH("Keyword Difficulty*",'Semrush Data'!$A$1:$Z$1,0)),"")</f>
        <v/>
      </c>
      <c r="I2207" s="13" t="str">
        <f aca="false">IFERROR(INDEX('Semrush Data'!$A$1:$Z$20000,MATCH(A2207,'Semrush Data'!$A$1:$A$20000,0),MATCH("CPC*",'Semrush Data'!$A$1:$Z$1,0)),"")</f>
        <v/>
      </c>
      <c r="J2207" s="7" t="str">
        <f aca="false">IFERROR(INDEX('Semrush Data'!$A$1:$Z$20000,MATCH(A2207,'Semrush Data'!$A$1:$A$20000,0),MATCH("Intent",'Semrush Data'!$A$1:$Z$1,0)),"")</f>
        <v/>
      </c>
    </row>
    <row r="2208" customFormat="false" ht="15" hidden="false" customHeight="true" outlineLevel="0" collapsed="false">
      <c r="A2208" s="7" t="s">
        <v>6896</v>
      </c>
      <c r="B2208" s="7" t="s">
        <v>6820</v>
      </c>
      <c r="C2208" s="7" t="n">
        <v>3</v>
      </c>
      <c r="D2208" s="7" t="s">
        <v>6818</v>
      </c>
      <c r="E2208" s="7" t="n">
        <v>1</v>
      </c>
      <c r="F2208" s="7" t="s">
        <v>116</v>
      </c>
      <c r="G2208" s="12" t="str">
        <f aca="false">IFERROR(INDEX('Semrush Data'!$A$1:$Z$20000,MATCH(A2208,'Semrush Data'!$A$1:$A$20000,0),MATCH("Volume",'Semrush Data'!$A$1:$Z$1,0)),"")</f>
        <v/>
      </c>
      <c r="H2208" s="7" t="str">
        <f aca="false">IFERROR(INDEX('Semrush Data'!$A$1:$Z$20000,MATCH(A2208,'Semrush Data'!$A$1:$A$20000,0),MATCH("Keyword Difficulty*",'Semrush Data'!$A$1:$Z$1,0)),"")</f>
        <v/>
      </c>
      <c r="I2208" s="13" t="str">
        <f aca="false">IFERROR(INDEX('Semrush Data'!$A$1:$Z$20000,MATCH(A2208,'Semrush Data'!$A$1:$A$20000,0),MATCH("CPC*",'Semrush Data'!$A$1:$Z$1,0)),"")</f>
        <v/>
      </c>
      <c r="J2208" s="7" t="str">
        <f aca="false">IFERROR(INDEX('Semrush Data'!$A$1:$Z$20000,MATCH(A2208,'Semrush Data'!$A$1:$A$20000,0),MATCH("Intent",'Semrush Data'!$A$1:$Z$1,0)),"")</f>
        <v/>
      </c>
    </row>
    <row r="2209" customFormat="false" ht="15" hidden="false" customHeight="true" outlineLevel="0" collapsed="false">
      <c r="A2209" s="7" t="s">
        <v>6897</v>
      </c>
      <c r="B2209" s="7" t="s">
        <v>6820</v>
      </c>
      <c r="C2209" s="7" t="n">
        <v>3</v>
      </c>
      <c r="D2209" s="7" t="n">
        <v>23</v>
      </c>
      <c r="E2209" s="7" t="n">
        <v>1</v>
      </c>
      <c r="F2209" s="7" t="s">
        <v>116</v>
      </c>
      <c r="G2209" s="12" t="str">
        <f aca="false">IFERROR(INDEX('Semrush Data'!$A$1:$Z$20000,MATCH(A2209,'Semrush Data'!$A$1:$A$20000,0),MATCH("Volume",'Semrush Data'!$A$1:$Z$1,0)),"")</f>
        <v/>
      </c>
      <c r="H2209" s="7" t="str">
        <f aca="false">IFERROR(INDEX('Semrush Data'!$A$1:$Z$20000,MATCH(A2209,'Semrush Data'!$A$1:$A$20000,0),MATCH("Keyword Difficulty*",'Semrush Data'!$A$1:$Z$1,0)),"")</f>
        <v/>
      </c>
      <c r="I2209" s="13" t="str">
        <f aca="false">IFERROR(INDEX('Semrush Data'!$A$1:$Z$20000,MATCH(A2209,'Semrush Data'!$A$1:$A$20000,0),MATCH("CPC*",'Semrush Data'!$A$1:$Z$1,0)),"")</f>
        <v/>
      </c>
      <c r="J2209" s="7" t="str">
        <f aca="false">IFERROR(INDEX('Semrush Data'!$A$1:$Z$20000,MATCH(A2209,'Semrush Data'!$A$1:$A$20000,0),MATCH("Intent",'Semrush Data'!$A$1:$Z$1,0)),"")</f>
        <v/>
      </c>
    </row>
    <row r="2210" customFormat="false" ht="15" hidden="false" customHeight="true" outlineLevel="0" collapsed="false">
      <c r="A2210" s="7" t="s">
        <v>6898</v>
      </c>
      <c r="B2210" s="7" t="s">
        <v>6820</v>
      </c>
      <c r="C2210" s="7" t="n">
        <v>3</v>
      </c>
      <c r="D2210" s="7" t="s">
        <v>6818</v>
      </c>
      <c r="E2210" s="7" t="n">
        <v>1</v>
      </c>
      <c r="F2210" s="7" t="s">
        <v>116</v>
      </c>
      <c r="G2210" s="12" t="str">
        <f aca="false">IFERROR(INDEX('Semrush Data'!$A$1:$Z$20000,MATCH(A2210,'Semrush Data'!$A$1:$A$20000,0),MATCH("Volume",'Semrush Data'!$A$1:$Z$1,0)),"")</f>
        <v/>
      </c>
      <c r="H2210" s="7" t="str">
        <f aca="false">IFERROR(INDEX('Semrush Data'!$A$1:$Z$20000,MATCH(A2210,'Semrush Data'!$A$1:$A$20000,0),MATCH("Keyword Difficulty*",'Semrush Data'!$A$1:$Z$1,0)),"")</f>
        <v/>
      </c>
      <c r="I2210" s="13" t="str">
        <f aca="false">IFERROR(INDEX('Semrush Data'!$A$1:$Z$20000,MATCH(A2210,'Semrush Data'!$A$1:$A$20000,0),MATCH("CPC*",'Semrush Data'!$A$1:$Z$1,0)),"")</f>
        <v/>
      </c>
      <c r="J2210" s="7" t="str">
        <f aca="false">IFERROR(INDEX('Semrush Data'!$A$1:$Z$20000,MATCH(A2210,'Semrush Data'!$A$1:$A$20000,0),MATCH("Intent",'Semrush Data'!$A$1:$Z$1,0)),"")</f>
        <v/>
      </c>
    </row>
    <row r="2211" customFormat="false" ht="15" hidden="false" customHeight="true" outlineLevel="0" collapsed="false">
      <c r="A2211" s="7" t="s">
        <v>6899</v>
      </c>
      <c r="B2211" s="7" t="s">
        <v>6820</v>
      </c>
      <c r="C2211" s="7" t="n">
        <v>3</v>
      </c>
      <c r="D2211" s="7" t="n">
        <v>23</v>
      </c>
      <c r="E2211" s="7" t="n">
        <v>1</v>
      </c>
      <c r="F2211" s="7" t="s">
        <v>2599</v>
      </c>
      <c r="G2211" s="12" t="str">
        <f aca="false">IFERROR(INDEX('Semrush Data'!$A$1:$Z$20000,MATCH(A2211,'Semrush Data'!$A$1:$A$20000,0),MATCH("Volume",'Semrush Data'!$A$1:$Z$1,0)),"")</f>
        <v/>
      </c>
      <c r="H2211" s="7" t="str">
        <f aca="false">IFERROR(INDEX('Semrush Data'!$A$1:$Z$20000,MATCH(A2211,'Semrush Data'!$A$1:$A$20000,0),MATCH("Keyword Difficulty*",'Semrush Data'!$A$1:$Z$1,0)),"")</f>
        <v/>
      </c>
      <c r="I2211" s="13" t="str">
        <f aca="false">IFERROR(INDEX('Semrush Data'!$A$1:$Z$20000,MATCH(A2211,'Semrush Data'!$A$1:$A$20000,0),MATCH("CPC*",'Semrush Data'!$A$1:$Z$1,0)),"")</f>
        <v/>
      </c>
      <c r="J2211" s="7" t="str">
        <f aca="false">IFERROR(INDEX('Semrush Data'!$A$1:$Z$20000,MATCH(A2211,'Semrush Data'!$A$1:$A$20000,0),MATCH("Intent",'Semrush Data'!$A$1:$Z$1,0)),"")</f>
        <v/>
      </c>
    </row>
    <row r="2212" customFormat="false" ht="15" hidden="false" customHeight="true" outlineLevel="0" collapsed="false">
      <c r="A2212" s="7" t="s">
        <v>6900</v>
      </c>
      <c r="B2212" s="7" t="s">
        <v>6820</v>
      </c>
      <c r="C2212" s="7" t="n">
        <v>3</v>
      </c>
      <c r="D2212" s="7" t="n">
        <v>23</v>
      </c>
      <c r="E2212" s="7" t="n">
        <v>1</v>
      </c>
      <c r="F2212" s="7" t="s">
        <v>2599</v>
      </c>
      <c r="G2212" s="12" t="str">
        <f aca="false">IFERROR(INDEX('Semrush Data'!$A$1:$Z$20000,MATCH(A2212,'Semrush Data'!$A$1:$A$20000,0),MATCH("Volume",'Semrush Data'!$A$1:$Z$1,0)),"")</f>
        <v/>
      </c>
      <c r="H2212" s="7" t="str">
        <f aca="false">IFERROR(INDEX('Semrush Data'!$A$1:$Z$20000,MATCH(A2212,'Semrush Data'!$A$1:$A$20000,0),MATCH("Keyword Difficulty*",'Semrush Data'!$A$1:$Z$1,0)),"")</f>
        <v/>
      </c>
      <c r="I2212" s="13" t="str">
        <f aca="false">IFERROR(INDEX('Semrush Data'!$A$1:$Z$20000,MATCH(A2212,'Semrush Data'!$A$1:$A$20000,0),MATCH("CPC*",'Semrush Data'!$A$1:$Z$1,0)),"")</f>
        <v/>
      </c>
      <c r="J2212" s="7" t="str">
        <f aca="false">IFERROR(INDEX('Semrush Data'!$A$1:$Z$20000,MATCH(A2212,'Semrush Data'!$A$1:$A$20000,0),MATCH("Intent",'Semrush Data'!$A$1:$Z$1,0)),"")</f>
        <v/>
      </c>
    </row>
    <row r="2213" customFormat="false" ht="15" hidden="false" customHeight="true" outlineLevel="0" collapsed="false">
      <c r="A2213" s="7" t="s">
        <v>6901</v>
      </c>
      <c r="B2213" s="7" t="s">
        <v>6820</v>
      </c>
      <c r="C2213" s="7" t="n">
        <v>3</v>
      </c>
      <c r="D2213" s="7" t="n">
        <v>23</v>
      </c>
      <c r="E2213" s="7" t="n">
        <v>1</v>
      </c>
      <c r="F2213" s="7" t="s">
        <v>2599</v>
      </c>
      <c r="G2213" s="12" t="str">
        <f aca="false">IFERROR(INDEX('Semrush Data'!$A$1:$Z$20000,MATCH(A2213,'Semrush Data'!$A$1:$A$20000,0),MATCH("Volume",'Semrush Data'!$A$1:$Z$1,0)),"")</f>
        <v/>
      </c>
      <c r="H2213" s="7" t="str">
        <f aca="false">IFERROR(INDEX('Semrush Data'!$A$1:$Z$20000,MATCH(A2213,'Semrush Data'!$A$1:$A$20000,0),MATCH("Keyword Difficulty*",'Semrush Data'!$A$1:$Z$1,0)),"")</f>
        <v/>
      </c>
      <c r="I2213" s="13" t="str">
        <f aca="false">IFERROR(INDEX('Semrush Data'!$A$1:$Z$20000,MATCH(A2213,'Semrush Data'!$A$1:$A$20000,0),MATCH("CPC*",'Semrush Data'!$A$1:$Z$1,0)),"")</f>
        <v/>
      </c>
      <c r="J2213" s="7" t="str">
        <f aca="false">IFERROR(INDEX('Semrush Data'!$A$1:$Z$20000,MATCH(A2213,'Semrush Data'!$A$1:$A$20000,0),MATCH("Intent",'Semrush Data'!$A$1:$Z$1,0)),"")</f>
        <v/>
      </c>
    </row>
    <row r="2214" customFormat="false" ht="15" hidden="false" customHeight="true" outlineLevel="0" collapsed="false">
      <c r="A2214" s="7" t="s">
        <v>6902</v>
      </c>
      <c r="B2214" s="7" t="s">
        <v>6820</v>
      </c>
      <c r="C2214" s="7" t="n">
        <v>3</v>
      </c>
      <c r="D2214" s="7" t="n">
        <v>23</v>
      </c>
      <c r="E2214" s="7" t="n">
        <v>1</v>
      </c>
      <c r="F2214" s="7" t="s">
        <v>2599</v>
      </c>
      <c r="G2214" s="12" t="str">
        <f aca="false">IFERROR(INDEX('Semrush Data'!$A$1:$Z$20000,MATCH(A2214,'Semrush Data'!$A$1:$A$20000,0),MATCH("Volume",'Semrush Data'!$A$1:$Z$1,0)),"")</f>
        <v/>
      </c>
      <c r="H2214" s="7" t="str">
        <f aca="false">IFERROR(INDEX('Semrush Data'!$A$1:$Z$20000,MATCH(A2214,'Semrush Data'!$A$1:$A$20000,0),MATCH("Keyword Difficulty*",'Semrush Data'!$A$1:$Z$1,0)),"")</f>
        <v/>
      </c>
      <c r="I2214" s="13" t="str">
        <f aca="false">IFERROR(INDEX('Semrush Data'!$A$1:$Z$20000,MATCH(A2214,'Semrush Data'!$A$1:$A$20000,0),MATCH("CPC*",'Semrush Data'!$A$1:$Z$1,0)),"")</f>
        <v/>
      </c>
      <c r="J2214" s="7" t="str">
        <f aca="false">IFERROR(INDEX('Semrush Data'!$A$1:$Z$20000,MATCH(A2214,'Semrush Data'!$A$1:$A$20000,0),MATCH("Intent",'Semrush Data'!$A$1:$Z$1,0)),"")</f>
        <v/>
      </c>
    </row>
    <row r="2215" customFormat="false" ht="15" hidden="false" customHeight="true" outlineLevel="0" collapsed="false">
      <c r="A2215" s="7" t="s">
        <v>6903</v>
      </c>
      <c r="B2215" s="7" t="s">
        <v>6820</v>
      </c>
      <c r="C2215" s="7" t="n">
        <v>3</v>
      </c>
      <c r="D2215" s="7" t="n">
        <v>23</v>
      </c>
      <c r="E2215" s="7" t="n">
        <v>1</v>
      </c>
      <c r="F2215" s="7" t="s">
        <v>2599</v>
      </c>
      <c r="G2215" s="12" t="str">
        <f aca="false">IFERROR(INDEX('Semrush Data'!$A$1:$Z$20000,MATCH(A2215,'Semrush Data'!$A$1:$A$20000,0),MATCH("Volume",'Semrush Data'!$A$1:$Z$1,0)),"")</f>
        <v/>
      </c>
      <c r="H2215" s="7" t="str">
        <f aca="false">IFERROR(INDEX('Semrush Data'!$A$1:$Z$20000,MATCH(A2215,'Semrush Data'!$A$1:$A$20000,0),MATCH("Keyword Difficulty*",'Semrush Data'!$A$1:$Z$1,0)),"")</f>
        <v/>
      </c>
      <c r="I2215" s="13" t="str">
        <f aca="false">IFERROR(INDEX('Semrush Data'!$A$1:$Z$20000,MATCH(A2215,'Semrush Data'!$A$1:$A$20000,0),MATCH("CPC*",'Semrush Data'!$A$1:$Z$1,0)),"")</f>
        <v/>
      </c>
      <c r="J2215" s="7" t="str">
        <f aca="false">IFERROR(INDEX('Semrush Data'!$A$1:$Z$20000,MATCH(A2215,'Semrush Data'!$A$1:$A$20000,0),MATCH("Intent",'Semrush Data'!$A$1:$Z$1,0)),"")</f>
        <v/>
      </c>
    </row>
    <row r="2216" customFormat="false" ht="15" hidden="false" customHeight="true" outlineLevel="0" collapsed="false">
      <c r="A2216" s="7" t="s">
        <v>6904</v>
      </c>
      <c r="B2216" s="7" t="s">
        <v>6820</v>
      </c>
      <c r="C2216" s="7" t="n">
        <v>3</v>
      </c>
      <c r="D2216" s="7" t="n">
        <v>23</v>
      </c>
      <c r="E2216" s="7" t="n">
        <v>1</v>
      </c>
      <c r="F2216" s="7" t="s">
        <v>2611</v>
      </c>
      <c r="G2216" s="12" t="str">
        <f aca="false">IFERROR(INDEX('Semrush Data'!$A$1:$Z$20000,MATCH(A2216,'Semrush Data'!$A$1:$A$20000,0),MATCH("Volume",'Semrush Data'!$A$1:$Z$1,0)),"")</f>
        <v/>
      </c>
      <c r="H2216" s="7" t="str">
        <f aca="false">IFERROR(INDEX('Semrush Data'!$A$1:$Z$20000,MATCH(A2216,'Semrush Data'!$A$1:$A$20000,0),MATCH("Keyword Difficulty*",'Semrush Data'!$A$1:$Z$1,0)),"")</f>
        <v/>
      </c>
      <c r="I2216" s="13" t="str">
        <f aca="false">IFERROR(INDEX('Semrush Data'!$A$1:$Z$20000,MATCH(A2216,'Semrush Data'!$A$1:$A$20000,0),MATCH("CPC*",'Semrush Data'!$A$1:$Z$1,0)),"")</f>
        <v/>
      </c>
      <c r="J2216" s="7" t="str">
        <f aca="false">IFERROR(INDEX('Semrush Data'!$A$1:$Z$20000,MATCH(A2216,'Semrush Data'!$A$1:$A$20000,0),MATCH("Intent",'Semrush Data'!$A$1:$Z$1,0)),"")</f>
        <v/>
      </c>
    </row>
    <row r="2217" customFormat="false" ht="15" hidden="false" customHeight="true" outlineLevel="0" collapsed="false">
      <c r="A2217" s="7" t="s">
        <v>6905</v>
      </c>
      <c r="B2217" s="7" t="s">
        <v>6820</v>
      </c>
      <c r="C2217" s="7" t="n">
        <v>3</v>
      </c>
      <c r="D2217" s="7" t="n">
        <v>23</v>
      </c>
      <c r="E2217" s="7" t="n">
        <v>1</v>
      </c>
      <c r="F2217" s="7" t="s">
        <v>2622</v>
      </c>
      <c r="G2217" s="12" t="str">
        <f aca="false">IFERROR(INDEX('Semrush Data'!$A$1:$Z$20000,MATCH(A2217,'Semrush Data'!$A$1:$A$20000,0),MATCH("Volume",'Semrush Data'!$A$1:$Z$1,0)),"")</f>
        <v/>
      </c>
      <c r="H2217" s="7" t="str">
        <f aca="false">IFERROR(INDEX('Semrush Data'!$A$1:$Z$20000,MATCH(A2217,'Semrush Data'!$A$1:$A$20000,0),MATCH("Keyword Difficulty*",'Semrush Data'!$A$1:$Z$1,0)),"")</f>
        <v/>
      </c>
      <c r="I2217" s="13" t="str">
        <f aca="false">IFERROR(INDEX('Semrush Data'!$A$1:$Z$20000,MATCH(A2217,'Semrush Data'!$A$1:$A$20000,0),MATCH("CPC*",'Semrush Data'!$A$1:$Z$1,0)),"")</f>
        <v/>
      </c>
      <c r="J2217" s="7" t="str">
        <f aca="false">IFERROR(INDEX('Semrush Data'!$A$1:$Z$20000,MATCH(A2217,'Semrush Data'!$A$1:$A$20000,0),MATCH("Intent",'Semrush Data'!$A$1:$Z$1,0)),"")</f>
        <v/>
      </c>
    </row>
    <row r="2218" customFormat="false" ht="15" hidden="false" customHeight="true" outlineLevel="0" collapsed="false">
      <c r="A2218" s="7" t="s">
        <v>6906</v>
      </c>
      <c r="B2218" s="7" t="s">
        <v>6820</v>
      </c>
      <c r="C2218" s="7" t="n">
        <v>3</v>
      </c>
      <c r="D2218" s="7" t="n">
        <v>23</v>
      </c>
      <c r="E2218" s="7" t="n">
        <v>1</v>
      </c>
      <c r="F2218" s="7" t="s">
        <v>2622</v>
      </c>
      <c r="G2218" s="12" t="str">
        <f aca="false">IFERROR(INDEX('Semrush Data'!$A$1:$Z$20000,MATCH(A2218,'Semrush Data'!$A$1:$A$20000,0),MATCH("Volume",'Semrush Data'!$A$1:$Z$1,0)),"")</f>
        <v/>
      </c>
      <c r="H2218" s="7" t="str">
        <f aca="false">IFERROR(INDEX('Semrush Data'!$A$1:$Z$20000,MATCH(A2218,'Semrush Data'!$A$1:$A$20000,0),MATCH("Keyword Difficulty*",'Semrush Data'!$A$1:$Z$1,0)),"")</f>
        <v/>
      </c>
      <c r="I2218" s="13" t="str">
        <f aca="false">IFERROR(INDEX('Semrush Data'!$A$1:$Z$20000,MATCH(A2218,'Semrush Data'!$A$1:$A$20000,0),MATCH("CPC*",'Semrush Data'!$A$1:$Z$1,0)),"")</f>
        <v/>
      </c>
      <c r="J2218" s="7" t="str">
        <f aca="false">IFERROR(INDEX('Semrush Data'!$A$1:$Z$20000,MATCH(A2218,'Semrush Data'!$A$1:$A$20000,0),MATCH("Intent",'Semrush Data'!$A$1:$Z$1,0)),"")</f>
        <v/>
      </c>
    </row>
    <row r="2219" customFormat="false" ht="15" hidden="false" customHeight="true" outlineLevel="0" collapsed="false">
      <c r="A2219" s="7" t="s">
        <v>6907</v>
      </c>
      <c r="B2219" s="7" t="s">
        <v>6820</v>
      </c>
      <c r="C2219" s="7" t="n">
        <v>3</v>
      </c>
      <c r="D2219" s="7" t="n">
        <v>23</v>
      </c>
      <c r="E2219" s="7" t="n">
        <v>1</v>
      </c>
      <c r="F2219" s="7" t="s">
        <v>2622</v>
      </c>
      <c r="G2219" s="12" t="str">
        <f aca="false">IFERROR(INDEX('Semrush Data'!$A$1:$Z$20000,MATCH(A2219,'Semrush Data'!$A$1:$A$20000,0),MATCH("Volume",'Semrush Data'!$A$1:$Z$1,0)),"")</f>
        <v/>
      </c>
      <c r="H2219" s="7" t="str">
        <f aca="false">IFERROR(INDEX('Semrush Data'!$A$1:$Z$20000,MATCH(A2219,'Semrush Data'!$A$1:$A$20000,0),MATCH("Keyword Difficulty*",'Semrush Data'!$A$1:$Z$1,0)),"")</f>
        <v/>
      </c>
      <c r="I2219" s="13" t="str">
        <f aca="false">IFERROR(INDEX('Semrush Data'!$A$1:$Z$20000,MATCH(A2219,'Semrush Data'!$A$1:$A$20000,0),MATCH("CPC*",'Semrush Data'!$A$1:$Z$1,0)),"")</f>
        <v/>
      </c>
      <c r="J2219" s="7" t="str">
        <f aca="false">IFERROR(INDEX('Semrush Data'!$A$1:$Z$20000,MATCH(A2219,'Semrush Data'!$A$1:$A$20000,0),MATCH("Intent",'Semrush Data'!$A$1:$Z$1,0)),"")</f>
        <v/>
      </c>
    </row>
    <row r="2220" customFormat="false" ht="15" hidden="false" customHeight="true" outlineLevel="0" collapsed="false">
      <c r="A2220" s="7" t="s">
        <v>2638</v>
      </c>
      <c r="B2220" s="7" t="s">
        <v>6820</v>
      </c>
      <c r="C2220" s="7" t="n">
        <v>3</v>
      </c>
      <c r="D2220" s="7" t="s">
        <v>6818</v>
      </c>
      <c r="E2220" s="7" t="n">
        <v>1</v>
      </c>
      <c r="F2220" s="7" t="s">
        <v>92</v>
      </c>
      <c r="G2220" s="12" t="str">
        <f aca="false">IFERROR(INDEX('Semrush Data'!$A$1:$Z$20000,MATCH(A2220,'Semrush Data'!$A$1:$A$20000,0),MATCH("Volume",'Semrush Data'!$A$1:$Z$1,0)),"")</f>
        <v/>
      </c>
      <c r="H2220" s="7" t="str">
        <f aca="false">IFERROR(INDEX('Semrush Data'!$A$1:$Z$20000,MATCH(A2220,'Semrush Data'!$A$1:$A$20000,0),MATCH("Keyword Difficulty*",'Semrush Data'!$A$1:$Z$1,0)),"")</f>
        <v/>
      </c>
      <c r="I2220" s="13" t="str">
        <f aca="false">IFERROR(INDEX('Semrush Data'!$A$1:$Z$20000,MATCH(A2220,'Semrush Data'!$A$1:$A$20000,0),MATCH("CPC*",'Semrush Data'!$A$1:$Z$1,0)),"")</f>
        <v/>
      </c>
      <c r="J2220" s="7" t="str">
        <f aca="false">IFERROR(INDEX('Semrush Data'!$A$1:$Z$20000,MATCH(A2220,'Semrush Data'!$A$1:$A$20000,0),MATCH("Intent",'Semrush Data'!$A$1:$Z$1,0)),"")</f>
        <v/>
      </c>
    </row>
    <row r="2221" customFormat="false" ht="15" hidden="false" customHeight="true" outlineLevel="0" collapsed="false">
      <c r="A2221" s="7" t="s">
        <v>6908</v>
      </c>
      <c r="B2221" s="7" t="s">
        <v>6820</v>
      </c>
      <c r="C2221" s="7" t="n">
        <v>3</v>
      </c>
      <c r="D2221" s="7" t="n">
        <v>23</v>
      </c>
      <c r="E2221" s="7" t="n">
        <v>1</v>
      </c>
      <c r="F2221" s="7" t="s">
        <v>2642</v>
      </c>
      <c r="G2221" s="12" t="str">
        <f aca="false">IFERROR(INDEX('Semrush Data'!$A$1:$Z$20000,MATCH(A2221,'Semrush Data'!$A$1:$A$20000,0),MATCH("Volume",'Semrush Data'!$A$1:$Z$1,0)),"")</f>
        <v/>
      </c>
      <c r="H2221" s="7" t="str">
        <f aca="false">IFERROR(INDEX('Semrush Data'!$A$1:$Z$20000,MATCH(A2221,'Semrush Data'!$A$1:$A$20000,0),MATCH("Keyword Difficulty*",'Semrush Data'!$A$1:$Z$1,0)),"")</f>
        <v/>
      </c>
      <c r="I2221" s="13" t="str">
        <f aca="false">IFERROR(INDEX('Semrush Data'!$A$1:$Z$20000,MATCH(A2221,'Semrush Data'!$A$1:$A$20000,0),MATCH("CPC*",'Semrush Data'!$A$1:$Z$1,0)),"")</f>
        <v/>
      </c>
      <c r="J2221" s="7" t="str">
        <f aca="false">IFERROR(INDEX('Semrush Data'!$A$1:$Z$20000,MATCH(A2221,'Semrush Data'!$A$1:$A$20000,0),MATCH("Intent",'Semrush Data'!$A$1:$Z$1,0)),"")</f>
        <v/>
      </c>
    </row>
    <row r="2222" customFormat="false" ht="15" hidden="false" customHeight="true" outlineLevel="0" collapsed="false">
      <c r="A2222" s="7" t="s">
        <v>6909</v>
      </c>
      <c r="B2222" s="7" t="s">
        <v>6820</v>
      </c>
      <c r="C2222" s="7" t="n">
        <v>3</v>
      </c>
      <c r="D2222" s="7" t="n">
        <v>23</v>
      </c>
      <c r="E2222" s="7" t="n">
        <v>1</v>
      </c>
      <c r="F2222" s="7" t="s">
        <v>2642</v>
      </c>
      <c r="G2222" s="12" t="str">
        <f aca="false">IFERROR(INDEX('Semrush Data'!$A$1:$Z$20000,MATCH(A2222,'Semrush Data'!$A$1:$A$20000,0),MATCH("Volume",'Semrush Data'!$A$1:$Z$1,0)),"")</f>
        <v/>
      </c>
      <c r="H2222" s="7" t="str">
        <f aca="false">IFERROR(INDEX('Semrush Data'!$A$1:$Z$20000,MATCH(A2222,'Semrush Data'!$A$1:$A$20000,0),MATCH("Keyword Difficulty*",'Semrush Data'!$A$1:$Z$1,0)),"")</f>
        <v/>
      </c>
      <c r="I2222" s="13" t="str">
        <f aca="false">IFERROR(INDEX('Semrush Data'!$A$1:$Z$20000,MATCH(A2222,'Semrush Data'!$A$1:$A$20000,0),MATCH("CPC*",'Semrush Data'!$A$1:$Z$1,0)),"")</f>
        <v/>
      </c>
      <c r="J2222" s="7" t="str">
        <f aca="false">IFERROR(INDEX('Semrush Data'!$A$1:$Z$20000,MATCH(A2222,'Semrush Data'!$A$1:$A$20000,0),MATCH("Intent",'Semrush Data'!$A$1:$Z$1,0)),"")</f>
        <v/>
      </c>
    </row>
    <row r="2223" customFormat="false" ht="15" hidden="false" customHeight="true" outlineLevel="0" collapsed="false">
      <c r="A2223" s="7" t="s">
        <v>6910</v>
      </c>
      <c r="B2223" s="7" t="s">
        <v>6820</v>
      </c>
      <c r="C2223" s="7" t="n">
        <v>3</v>
      </c>
      <c r="D2223" s="7" t="n">
        <v>23</v>
      </c>
      <c r="E2223" s="7" t="n">
        <v>1</v>
      </c>
      <c r="F2223" s="7" t="s">
        <v>2653</v>
      </c>
      <c r="G2223" s="12" t="str">
        <f aca="false">IFERROR(INDEX('Semrush Data'!$A$1:$Z$20000,MATCH(A2223,'Semrush Data'!$A$1:$A$20000,0),MATCH("Volume",'Semrush Data'!$A$1:$Z$1,0)),"")</f>
        <v/>
      </c>
      <c r="H2223" s="7" t="str">
        <f aca="false">IFERROR(INDEX('Semrush Data'!$A$1:$Z$20000,MATCH(A2223,'Semrush Data'!$A$1:$A$20000,0),MATCH("Keyword Difficulty*",'Semrush Data'!$A$1:$Z$1,0)),"")</f>
        <v/>
      </c>
      <c r="I2223" s="13" t="str">
        <f aca="false">IFERROR(INDEX('Semrush Data'!$A$1:$Z$20000,MATCH(A2223,'Semrush Data'!$A$1:$A$20000,0),MATCH("CPC*",'Semrush Data'!$A$1:$Z$1,0)),"")</f>
        <v/>
      </c>
      <c r="J2223" s="7" t="str">
        <f aca="false">IFERROR(INDEX('Semrush Data'!$A$1:$Z$20000,MATCH(A2223,'Semrush Data'!$A$1:$A$20000,0),MATCH("Intent",'Semrush Data'!$A$1:$Z$1,0)),"")</f>
        <v/>
      </c>
    </row>
    <row r="2224" customFormat="false" ht="15" hidden="false" customHeight="true" outlineLevel="0" collapsed="false">
      <c r="A2224" s="7" t="s">
        <v>6911</v>
      </c>
      <c r="B2224" s="7" t="s">
        <v>6820</v>
      </c>
      <c r="C2224" s="7" t="n">
        <v>3</v>
      </c>
      <c r="D2224" s="7" t="n">
        <v>23</v>
      </c>
      <c r="E2224" s="7" t="n">
        <v>1</v>
      </c>
      <c r="F2224" s="7" t="s">
        <v>2653</v>
      </c>
      <c r="G2224" s="12" t="str">
        <f aca="false">IFERROR(INDEX('Semrush Data'!$A$1:$Z$20000,MATCH(A2224,'Semrush Data'!$A$1:$A$20000,0),MATCH("Volume",'Semrush Data'!$A$1:$Z$1,0)),"")</f>
        <v/>
      </c>
      <c r="H2224" s="7" t="str">
        <f aca="false">IFERROR(INDEX('Semrush Data'!$A$1:$Z$20000,MATCH(A2224,'Semrush Data'!$A$1:$A$20000,0),MATCH("Keyword Difficulty*",'Semrush Data'!$A$1:$Z$1,0)),"")</f>
        <v/>
      </c>
      <c r="I2224" s="13" t="str">
        <f aca="false">IFERROR(INDEX('Semrush Data'!$A$1:$Z$20000,MATCH(A2224,'Semrush Data'!$A$1:$A$20000,0),MATCH("CPC*",'Semrush Data'!$A$1:$Z$1,0)),"")</f>
        <v/>
      </c>
      <c r="J2224" s="7" t="str">
        <f aca="false">IFERROR(INDEX('Semrush Data'!$A$1:$Z$20000,MATCH(A2224,'Semrush Data'!$A$1:$A$20000,0),MATCH("Intent",'Semrush Data'!$A$1:$Z$1,0)),"")</f>
        <v/>
      </c>
    </row>
    <row r="2225" customFormat="false" ht="15" hidden="false" customHeight="true" outlineLevel="0" collapsed="false">
      <c r="A2225" s="7" t="s">
        <v>6912</v>
      </c>
      <c r="B2225" s="7" t="s">
        <v>6820</v>
      </c>
      <c r="C2225" s="7" t="n">
        <v>3</v>
      </c>
      <c r="D2225" s="7" t="n">
        <v>23</v>
      </c>
      <c r="E2225" s="7" t="n">
        <v>1</v>
      </c>
      <c r="F2225" s="7" t="s">
        <v>2664</v>
      </c>
      <c r="G2225" s="12" t="str">
        <f aca="false">IFERROR(INDEX('Semrush Data'!$A$1:$Z$20000,MATCH(A2225,'Semrush Data'!$A$1:$A$20000,0),MATCH("Volume",'Semrush Data'!$A$1:$Z$1,0)),"")</f>
        <v/>
      </c>
      <c r="H2225" s="7" t="str">
        <f aca="false">IFERROR(INDEX('Semrush Data'!$A$1:$Z$20000,MATCH(A2225,'Semrush Data'!$A$1:$A$20000,0),MATCH("Keyword Difficulty*",'Semrush Data'!$A$1:$Z$1,0)),"")</f>
        <v/>
      </c>
      <c r="I2225" s="13" t="str">
        <f aca="false">IFERROR(INDEX('Semrush Data'!$A$1:$Z$20000,MATCH(A2225,'Semrush Data'!$A$1:$A$20000,0),MATCH("CPC*",'Semrush Data'!$A$1:$Z$1,0)),"")</f>
        <v/>
      </c>
      <c r="J2225" s="7" t="str">
        <f aca="false">IFERROR(INDEX('Semrush Data'!$A$1:$Z$20000,MATCH(A2225,'Semrush Data'!$A$1:$A$20000,0),MATCH("Intent",'Semrush Data'!$A$1:$Z$1,0)),"")</f>
        <v/>
      </c>
    </row>
    <row r="2226" customFormat="false" ht="15" hidden="false" customHeight="true" outlineLevel="0" collapsed="false">
      <c r="A2226" s="7" t="s">
        <v>6913</v>
      </c>
      <c r="B2226" s="7" t="s">
        <v>6820</v>
      </c>
      <c r="C2226" s="7" t="n">
        <v>3</v>
      </c>
      <c r="D2226" s="7" t="n">
        <v>23</v>
      </c>
      <c r="E2226" s="7" t="n">
        <v>1</v>
      </c>
      <c r="F2226" s="7" t="s">
        <v>2664</v>
      </c>
      <c r="G2226" s="12" t="str">
        <f aca="false">IFERROR(INDEX('Semrush Data'!$A$1:$Z$20000,MATCH(A2226,'Semrush Data'!$A$1:$A$20000,0),MATCH("Volume",'Semrush Data'!$A$1:$Z$1,0)),"")</f>
        <v/>
      </c>
      <c r="H2226" s="7" t="str">
        <f aca="false">IFERROR(INDEX('Semrush Data'!$A$1:$Z$20000,MATCH(A2226,'Semrush Data'!$A$1:$A$20000,0),MATCH("Keyword Difficulty*",'Semrush Data'!$A$1:$Z$1,0)),"")</f>
        <v/>
      </c>
      <c r="I2226" s="13" t="str">
        <f aca="false">IFERROR(INDEX('Semrush Data'!$A$1:$Z$20000,MATCH(A2226,'Semrush Data'!$A$1:$A$20000,0),MATCH("CPC*",'Semrush Data'!$A$1:$Z$1,0)),"")</f>
        <v/>
      </c>
      <c r="J2226" s="7" t="str">
        <f aca="false">IFERROR(INDEX('Semrush Data'!$A$1:$Z$20000,MATCH(A2226,'Semrush Data'!$A$1:$A$20000,0),MATCH("Intent",'Semrush Data'!$A$1:$Z$1,0)),"")</f>
        <v/>
      </c>
    </row>
    <row r="2227" customFormat="false" ht="15" hidden="false" customHeight="true" outlineLevel="0" collapsed="false">
      <c r="A2227" s="7" t="s">
        <v>6914</v>
      </c>
      <c r="B2227" s="7" t="s">
        <v>6820</v>
      </c>
      <c r="C2227" s="7" t="n">
        <v>3</v>
      </c>
      <c r="D2227" s="7" t="n">
        <v>23</v>
      </c>
      <c r="E2227" s="7" t="n">
        <v>1</v>
      </c>
      <c r="F2227" s="7" t="s">
        <v>2664</v>
      </c>
      <c r="G2227" s="12" t="str">
        <f aca="false">IFERROR(INDEX('Semrush Data'!$A$1:$Z$20000,MATCH(A2227,'Semrush Data'!$A$1:$A$20000,0),MATCH("Volume",'Semrush Data'!$A$1:$Z$1,0)),"")</f>
        <v/>
      </c>
      <c r="H2227" s="7" t="str">
        <f aca="false">IFERROR(INDEX('Semrush Data'!$A$1:$Z$20000,MATCH(A2227,'Semrush Data'!$A$1:$A$20000,0),MATCH("Keyword Difficulty*",'Semrush Data'!$A$1:$Z$1,0)),"")</f>
        <v/>
      </c>
      <c r="I2227" s="13" t="str">
        <f aca="false">IFERROR(INDEX('Semrush Data'!$A$1:$Z$20000,MATCH(A2227,'Semrush Data'!$A$1:$A$20000,0),MATCH("CPC*",'Semrush Data'!$A$1:$Z$1,0)),"")</f>
        <v/>
      </c>
      <c r="J2227" s="7" t="str">
        <f aca="false">IFERROR(INDEX('Semrush Data'!$A$1:$Z$20000,MATCH(A2227,'Semrush Data'!$A$1:$A$20000,0),MATCH("Intent",'Semrush Data'!$A$1:$Z$1,0)),"")</f>
        <v/>
      </c>
    </row>
    <row r="2228" customFormat="false" ht="15" hidden="false" customHeight="true" outlineLevel="0" collapsed="false">
      <c r="A2228" s="7" t="s">
        <v>6915</v>
      </c>
      <c r="B2228" s="7" t="s">
        <v>6820</v>
      </c>
      <c r="C2228" s="7" t="n">
        <v>3</v>
      </c>
      <c r="D2228" s="7" t="n">
        <v>23</v>
      </c>
      <c r="E2228" s="7" t="n">
        <v>1</v>
      </c>
      <c r="F2228" s="7" t="s">
        <v>2664</v>
      </c>
      <c r="G2228" s="12" t="str">
        <f aca="false">IFERROR(INDEX('Semrush Data'!$A$1:$Z$20000,MATCH(A2228,'Semrush Data'!$A$1:$A$20000,0),MATCH("Volume",'Semrush Data'!$A$1:$Z$1,0)),"")</f>
        <v/>
      </c>
      <c r="H2228" s="7" t="str">
        <f aca="false">IFERROR(INDEX('Semrush Data'!$A$1:$Z$20000,MATCH(A2228,'Semrush Data'!$A$1:$A$20000,0),MATCH("Keyword Difficulty*",'Semrush Data'!$A$1:$Z$1,0)),"")</f>
        <v/>
      </c>
      <c r="I2228" s="13" t="str">
        <f aca="false">IFERROR(INDEX('Semrush Data'!$A$1:$Z$20000,MATCH(A2228,'Semrush Data'!$A$1:$A$20000,0),MATCH("CPC*",'Semrush Data'!$A$1:$Z$1,0)),"")</f>
        <v/>
      </c>
      <c r="J2228" s="7" t="str">
        <f aca="false">IFERROR(INDEX('Semrush Data'!$A$1:$Z$20000,MATCH(A2228,'Semrush Data'!$A$1:$A$20000,0),MATCH("Intent",'Semrush Data'!$A$1:$Z$1,0)),"")</f>
        <v/>
      </c>
    </row>
    <row r="2229" customFormat="false" ht="15" hidden="false" customHeight="true" outlineLevel="0" collapsed="false">
      <c r="A2229" s="7" t="s">
        <v>2697</v>
      </c>
      <c r="B2229" s="7" t="s">
        <v>6820</v>
      </c>
      <c r="C2229" s="7" t="n">
        <v>3</v>
      </c>
      <c r="D2229" s="7" t="n">
        <v>23</v>
      </c>
      <c r="E2229" s="7" t="n">
        <v>3</v>
      </c>
      <c r="F2229" s="7" t="s">
        <v>6784</v>
      </c>
      <c r="G2229" s="12" t="str">
        <f aca="false">IFERROR(INDEX('Semrush Data'!$A$1:$Z$20000,MATCH(A2229,'Semrush Data'!$A$1:$A$20000,0),MATCH("Volume",'Semrush Data'!$A$1:$Z$1,0)),"")</f>
        <v/>
      </c>
      <c r="H2229" s="7" t="str">
        <f aca="false">IFERROR(INDEX('Semrush Data'!$A$1:$Z$20000,MATCH(A2229,'Semrush Data'!$A$1:$A$20000,0),MATCH("Keyword Difficulty*",'Semrush Data'!$A$1:$Z$1,0)),"")</f>
        <v/>
      </c>
      <c r="I2229" s="13" t="str">
        <f aca="false">IFERROR(INDEX('Semrush Data'!$A$1:$Z$20000,MATCH(A2229,'Semrush Data'!$A$1:$A$20000,0),MATCH("CPC*",'Semrush Data'!$A$1:$Z$1,0)),"")</f>
        <v/>
      </c>
      <c r="J2229" s="7" t="str">
        <f aca="false">IFERROR(INDEX('Semrush Data'!$A$1:$Z$20000,MATCH(A2229,'Semrush Data'!$A$1:$A$20000,0),MATCH("Intent",'Semrush Data'!$A$1:$Z$1,0)),"")</f>
        <v/>
      </c>
    </row>
    <row r="2230" customFormat="false" ht="15" hidden="false" customHeight="true" outlineLevel="0" collapsed="false">
      <c r="A2230" s="7" t="s">
        <v>2710</v>
      </c>
      <c r="B2230" s="7" t="s">
        <v>6820</v>
      </c>
      <c r="C2230" s="7" t="n">
        <v>3</v>
      </c>
      <c r="D2230" s="7" t="n">
        <v>23</v>
      </c>
      <c r="E2230" s="7" t="n">
        <v>3</v>
      </c>
      <c r="F2230" s="7" t="s">
        <v>6785</v>
      </c>
      <c r="G2230" s="12" t="str">
        <f aca="false">IFERROR(INDEX('Semrush Data'!$A$1:$Z$20000,MATCH(A2230,'Semrush Data'!$A$1:$A$20000,0),MATCH("Volume",'Semrush Data'!$A$1:$Z$1,0)),"")</f>
        <v/>
      </c>
      <c r="H2230" s="7" t="str">
        <f aca="false">IFERROR(INDEX('Semrush Data'!$A$1:$Z$20000,MATCH(A2230,'Semrush Data'!$A$1:$A$20000,0),MATCH("Keyword Difficulty*",'Semrush Data'!$A$1:$Z$1,0)),"")</f>
        <v/>
      </c>
      <c r="I2230" s="13" t="str">
        <f aca="false">IFERROR(INDEX('Semrush Data'!$A$1:$Z$20000,MATCH(A2230,'Semrush Data'!$A$1:$A$20000,0),MATCH("CPC*",'Semrush Data'!$A$1:$Z$1,0)),"")</f>
        <v/>
      </c>
      <c r="J2230" s="7" t="str">
        <f aca="false">IFERROR(INDEX('Semrush Data'!$A$1:$Z$20000,MATCH(A2230,'Semrush Data'!$A$1:$A$20000,0),MATCH("Intent",'Semrush Data'!$A$1:$Z$1,0)),"")</f>
        <v/>
      </c>
    </row>
    <row r="2231" customFormat="false" ht="15" hidden="false" customHeight="true" outlineLevel="0" collapsed="false">
      <c r="A2231" s="7" t="s">
        <v>2735</v>
      </c>
      <c r="B2231" s="7" t="s">
        <v>6820</v>
      </c>
      <c r="C2231" s="7" t="n">
        <v>3</v>
      </c>
      <c r="D2231" s="7" t="n">
        <v>23</v>
      </c>
      <c r="E2231" s="7" t="n">
        <v>3</v>
      </c>
      <c r="F2231" s="7" t="s">
        <v>6787</v>
      </c>
      <c r="G2231" s="12" t="str">
        <f aca="false">IFERROR(INDEX('Semrush Data'!$A$1:$Z$20000,MATCH(A2231,'Semrush Data'!$A$1:$A$20000,0),MATCH("Volume",'Semrush Data'!$A$1:$Z$1,0)),"")</f>
        <v/>
      </c>
      <c r="H2231" s="7" t="str">
        <f aca="false">IFERROR(INDEX('Semrush Data'!$A$1:$Z$20000,MATCH(A2231,'Semrush Data'!$A$1:$A$20000,0),MATCH("Keyword Difficulty*",'Semrush Data'!$A$1:$Z$1,0)),"")</f>
        <v/>
      </c>
      <c r="I2231" s="13" t="str">
        <f aca="false">IFERROR(INDEX('Semrush Data'!$A$1:$Z$20000,MATCH(A2231,'Semrush Data'!$A$1:$A$20000,0),MATCH("CPC*",'Semrush Data'!$A$1:$Z$1,0)),"")</f>
        <v/>
      </c>
      <c r="J2231" s="7" t="str">
        <f aca="false">IFERROR(INDEX('Semrush Data'!$A$1:$Z$20000,MATCH(A2231,'Semrush Data'!$A$1:$A$20000,0),MATCH("Intent",'Semrush Data'!$A$1:$Z$1,0)),"")</f>
        <v/>
      </c>
    </row>
    <row r="2232" customFormat="false" ht="15" hidden="false" customHeight="true" outlineLevel="0" collapsed="false">
      <c r="A2232" s="7" t="s">
        <v>6916</v>
      </c>
      <c r="B2232" s="7" t="s">
        <v>6820</v>
      </c>
      <c r="C2232" s="7" t="n">
        <v>3</v>
      </c>
      <c r="D2232" s="7" t="n">
        <v>23</v>
      </c>
      <c r="E2232" s="7" t="n">
        <v>1</v>
      </c>
      <c r="F2232" s="7" t="s">
        <v>136</v>
      </c>
      <c r="G2232" s="12" t="str">
        <f aca="false">IFERROR(INDEX('Semrush Data'!$A$1:$Z$20000,MATCH(A2232,'Semrush Data'!$A$1:$A$20000,0),MATCH("Volume",'Semrush Data'!$A$1:$Z$1,0)),"")</f>
        <v/>
      </c>
      <c r="H2232" s="7" t="str">
        <f aca="false">IFERROR(INDEX('Semrush Data'!$A$1:$Z$20000,MATCH(A2232,'Semrush Data'!$A$1:$A$20000,0),MATCH("Keyword Difficulty*",'Semrush Data'!$A$1:$Z$1,0)),"")</f>
        <v/>
      </c>
      <c r="I2232" s="13" t="str">
        <f aca="false">IFERROR(INDEX('Semrush Data'!$A$1:$Z$20000,MATCH(A2232,'Semrush Data'!$A$1:$A$20000,0),MATCH("CPC*",'Semrush Data'!$A$1:$Z$1,0)),"")</f>
        <v/>
      </c>
      <c r="J2232" s="7" t="str">
        <f aca="false">IFERROR(INDEX('Semrush Data'!$A$1:$Z$20000,MATCH(A2232,'Semrush Data'!$A$1:$A$20000,0),MATCH("Intent",'Semrush Data'!$A$1:$Z$1,0)),"")</f>
        <v/>
      </c>
    </row>
    <row r="2233" customFormat="false" ht="15" hidden="false" customHeight="true" outlineLevel="0" collapsed="false">
      <c r="A2233" s="7" t="s">
        <v>6917</v>
      </c>
      <c r="B2233" s="7" t="s">
        <v>6820</v>
      </c>
      <c r="C2233" s="7" t="n">
        <v>3</v>
      </c>
      <c r="D2233" s="7" t="n">
        <v>23</v>
      </c>
      <c r="E2233" s="7" t="n">
        <v>1</v>
      </c>
      <c r="F2233" s="7" t="s">
        <v>136</v>
      </c>
      <c r="G2233" s="12" t="str">
        <f aca="false">IFERROR(INDEX('Semrush Data'!$A$1:$Z$20000,MATCH(A2233,'Semrush Data'!$A$1:$A$20000,0),MATCH("Volume",'Semrush Data'!$A$1:$Z$1,0)),"")</f>
        <v/>
      </c>
      <c r="H2233" s="7" t="str">
        <f aca="false">IFERROR(INDEX('Semrush Data'!$A$1:$Z$20000,MATCH(A2233,'Semrush Data'!$A$1:$A$20000,0),MATCH("Keyword Difficulty*",'Semrush Data'!$A$1:$Z$1,0)),"")</f>
        <v/>
      </c>
      <c r="I2233" s="13" t="str">
        <f aca="false">IFERROR(INDEX('Semrush Data'!$A$1:$Z$20000,MATCH(A2233,'Semrush Data'!$A$1:$A$20000,0),MATCH("CPC*",'Semrush Data'!$A$1:$Z$1,0)),"")</f>
        <v/>
      </c>
      <c r="J2233" s="7" t="str">
        <f aca="false">IFERROR(INDEX('Semrush Data'!$A$1:$Z$20000,MATCH(A2233,'Semrush Data'!$A$1:$A$20000,0),MATCH("Intent",'Semrush Data'!$A$1:$Z$1,0)),"")</f>
        <v/>
      </c>
    </row>
    <row r="2234" customFormat="false" ht="15" hidden="false" customHeight="true" outlineLevel="0" collapsed="false">
      <c r="A2234" s="7" t="s">
        <v>6918</v>
      </c>
      <c r="B2234" s="7" t="s">
        <v>6820</v>
      </c>
      <c r="C2234" s="7" t="n">
        <v>3</v>
      </c>
      <c r="D2234" s="7" t="n">
        <v>23</v>
      </c>
      <c r="E2234" s="7" t="n">
        <v>1</v>
      </c>
      <c r="F2234" s="7" t="s">
        <v>136</v>
      </c>
      <c r="G2234" s="12" t="str">
        <f aca="false">IFERROR(INDEX('Semrush Data'!$A$1:$Z$20000,MATCH(A2234,'Semrush Data'!$A$1:$A$20000,0),MATCH("Volume",'Semrush Data'!$A$1:$Z$1,0)),"")</f>
        <v/>
      </c>
      <c r="H2234" s="7" t="str">
        <f aca="false">IFERROR(INDEX('Semrush Data'!$A$1:$Z$20000,MATCH(A2234,'Semrush Data'!$A$1:$A$20000,0),MATCH("Keyword Difficulty*",'Semrush Data'!$A$1:$Z$1,0)),"")</f>
        <v/>
      </c>
      <c r="I2234" s="13" t="str">
        <f aca="false">IFERROR(INDEX('Semrush Data'!$A$1:$Z$20000,MATCH(A2234,'Semrush Data'!$A$1:$A$20000,0),MATCH("CPC*",'Semrush Data'!$A$1:$Z$1,0)),"")</f>
        <v/>
      </c>
      <c r="J2234" s="7" t="str">
        <f aca="false">IFERROR(INDEX('Semrush Data'!$A$1:$Z$20000,MATCH(A2234,'Semrush Data'!$A$1:$A$20000,0),MATCH("Intent",'Semrush Data'!$A$1:$Z$1,0)),"")</f>
        <v/>
      </c>
    </row>
    <row r="2235" customFormat="false" ht="15" hidden="false" customHeight="true" outlineLevel="0" collapsed="false">
      <c r="A2235" s="7" t="s">
        <v>6919</v>
      </c>
      <c r="B2235" s="7" t="s">
        <v>6820</v>
      </c>
      <c r="C2235" s="7" t="n">
        <v>3</v>
      </c>
      <c r="D2235" s="7" t="n">
        <v>23</v>
      </c>
      <c r="E2235" s="7" t="n">
        <v>1</v>
      </c>
      <c r="F2235" s="7" t="s">
        <v>136</v>
      </c>
      <c r="G2235" s="12" t="str">
        <f aca="false">IFERROR(INDEX('Semrush Data'!$A$1:$Z$20000,MATCH(A2235,'Semrush Data'!$A$1:$A$20000,0),MATCH("Volume",'Semrush Data'!$A$1:$Z$1,0)),"")</f>
        <v/>
      </c>
      <c r="H2235" s="7" t="str">
        <f aca="false">IFERROR(INDEX('Semrush Data'!$A$1:$Z$20000,MATCH(A2235,'Semrush Data'!$A$1:$A$20000,0),MATCH("Keyword Difficulty*",'Semrush Data'!$A$1:$Z$1,0)),"")</f>
        <v/>
      </c>
      <c r="I2235" s="13" t="str">
        <f aca="false">IFERROR(INDEX('Semrush Data'!$A$1:$Z$20000,MATCH(A2235,'Semrush Data'!$A$1:$A$20000,0),MATCH("CPC*",'Semrush Data'!$A$1:$Z$1,0)),"")</f>
        <v/>
      </c>
      <c r="J2235" s="7" t="str">
        <f aca="false">IFERROR(INDEX('Semrush Data'!$A$1:$Z$20000,MATCH(A2235,'Semrush Data'!$A$1:$A$20000,0),MATCH("Intent",'Semrush Data'!$A$1:$Z$1,0)),"")</f>
        <v/>
      </c>
    </row>
    <row r="2236" customFormat="false" ht="15" hidden="false" customHeight="true" outlineLevel="0" collapsed="false">
      <c r="A2236" s="7" t="s">
        <v>6920</v>
      </c>
      <c r="B2236" s="7" t="s">
        <v>6820</v>
      </c>
      <c r="C2236" s="7" t="n">
        <v>3</v>
      </c>
      <c r="D2236" s="7" t="s">
        <v>6843</v>
      </c>
      <c r="E2236" s="7" t="n">
        <v>1</v>
      </c>
      <c r="F2236" s="7" t="s">
        <v>136</v>
      </c>
      <c r="G2236" s="12" t="str">
        <f aca="false">IFERROR(INDEX('Semrush Data'!$A$1:$Z$20000,MATCH(A2236,'Semrush Data'!$A$1:$A$20000,0),MATCH("Volume",'Semrush Data'!$A$1:$Z$1,0)),"")</f>
        <v/>
      </c>
      <c r="H2236" s="7" t="str">
        <f aca="false">IFERROR(INDEX('Semrush Data'!$A$1:$Z$20000,MATCH(A2236,'Semrush Data'!$A$1:$A$20000,0),MATCH("Keyword Difficulty*",'Semrush Data'!$A$1:$Z$1,0)),"")</f>
        <v/>
      </c>
      <c r="I2236" s="13" t="str">
        <f aca="false">IFERROR(INDEX('Semrush Data'!$A$1:$Z$20000,MATCH(A2236,'Semrush Data'!$A$1:$A$20000,0),MATCH("CPC*",'Semrush Data'!$A$1:$Z$1,0)),"")</f>
        <v/>
      </c>
      <c r="J2236" s="7" t="str">
        <f aca="false">IFERROR(INDEX('Semrush Data'!$A$1:$Z$20000,MATCH(A2236,'Semrush Data'!$A$1:$A$20000,0),MATCH("Intent",'Semrush Data'!$A$1:$Z$1,0)),"")</f>
        <v/>
      </c>
    </row>
    <row r="2237" customFormat="false" ht="15" hidden="false" customHeight="true" outlineLevel="0" collapsed="false">
      <c r="A2237" s="7" t="s">
        <v>6921</v>
      </c>
      <c r="B2237" s="7" t="s">
        <v>6820</v>
      </c>
      <c r="C2237" s="7" t="n">
        <v>3</v>
      </c>
      <c r="D2237" s="7" t="s">
        <v>6843</v>
      </c>
      <c r="E2237" s="7" t="n">
        <v>1</v>
      </c>
      <c r="F2237" s="7" t="s">
        <v>136</v>
      </c>
      <c r="G2237" s="12" t="str">
        <f aca="false">IFERROR(INDEX('Semrush Data'!$A$1:$Z$20000,MATCH(A2237,'Semrush Data'!$A$1:$A$20000,0),MATCH("Volume",'Semrush Data'!$A$1:$Z$1,0)),"")</f>
        <v/>
      </c>
      <c r="H2237" s="7" t="str">
        <f aca="false">IFERROR(INDEX('Semrush Data'!$A$1:$Z$20000,MATCH(A2237,'Semrush Data'!$A$1:$A$20000,0),MATCH("Keyword Difficulty*",'Semrush Data'!$A$1:$Z$1,0)),"")</f>
        <v/>
      </c>
      <c r="I2237" s="13" t="str">
        <f aca="false">IFERROR(INDEX('Semrush Data'!$A$1:$Z$20000,MATCH(A2237,'Semrush Data'!$A$1:$A$20000,0),MATCH("CPC*",'Semrush Data'!$A$1:$Z$1,0)),"")</f>
        <v/>
      </c>
      <c r="J2237" s="7" t="str">
        <f aca="false">IFERROR(INDEX('Semrush Data'!$A$1:$Z$20000,MATCH(A2237,'Semrush Data'!$A$1:$A$20000,0),MATCH("Intent",'Semrush Data'!$A$1:$Z$1,0)),"")</f>
        <v/>
      </c>
    </row>
    <row r="2238" customFormat="false" ht="15" hidden="false" customHeight="true" outlineLevel="0" collapsed="false">
      <c r="A2238" s="7" t="s">
        <v>5947</v>
      </c>
      <c r="B2238" s="7" t="s">
        <v>6820</v>
      </c>
      <c r="C2238" s="7" t="n">
        <v>3</v>
      </c>
      <c r="D2238" s="7" t="n">
        <v>23</v>
      </c>
      <c r="E2238" s="7" t="n">
        <v>1</v>
      </c>
      <c r="F2238" s="7" t="s">
        <v>5940</v>
      </c>
      <c r="G2238" s="12" t="str">
        <f aca="false">IFERROR(INDEX('Semrush Data'!$A$1:$Z$20000,MATCH(A2238,'Semrush Data'!$A$1:$A$20000,0),MATCH("Volume",'Semrush Data'!$A$1:$Z$1,0)),"")</f>
        <v/>
      </c>
      <c r="H2238" s="7" t="str">
        <f aca="false">IFERROR(INDEX('Semrush Data'!$A$1:$Z$20000,MATCH(A2238,'Semrush Data'!$A$1:$A$20000,0),MATCH("Keyword Difficulty*",'Semrush Data'!$A$1:$Z$1,0)),"")</f>
        <v/>
      </c>
      <c r="I2238" s="13" t="str">
        <f aca="false">IFERROR(INDEX('Semrush Data'!$A$1:$Z$20000,MATCH(A2238,'Semrush Data'!$A$1:$A$20000,0),MATCH("CPC*",'Semrush Data'!$A$1:$Z$1,0)),"")</f>
        <v/>
      </c>
      <c r="J2238" s="7" t="str">
        <f aca="false">IFERROR(INDEX('Semrush Data'!$A$1:$Z$20000,MATCH(A2238,'Semrush Data'!$A$1:$A$20000,0),MATCH("Intent",'Semrush Data'!$A$1:$Z$1,0)),"")</f>
        <v/>
      </c>
    </row>
    <row r="2239" customFormat="false" ht="15" hidden="false" customHeight="true" outlineLevel="0" collapsed="false">
      <c r="A2239" s="7" t="s">
        <v>6922</v>
      </c>
      <c r="B2239" s="7" t="s">
        <v>6820</v>
      </c>
      <c r="C2239" s="7" t="n">
        <v>3</v>
      </c>
      <c r="D2239" s="7" t="n">
        <v>23</v>
      </c>
      <c r="E2239" s="7" t="n">
        <v>1</v>
      </c>
      <c r="F2239" s="7" t="s">
        <v>2795</v>
      </c>
      <c r="G2239" s="12" t="str">
        <f aca="false">IFERROR(INDEX('Semrush Data'!$A$1:$Z$20000,MATCH(A2239,'Semrush Data'!$A$1:$A$20000,0),MATCH("Volume",'Semrush Data'!$A$1:$Z$1,0)),"")</f>
        <v/>
      </c>
      <c r="H2239" s="7" t="str">
        <f aca="false">IFERROR(INDEX('Semrush Data'!$A$1:$Z$20000,MATCH(A2239,'Semrush Data'!$A$1:$A$20000,0),MATCH("Keyword Difficulty*",'Semrush Data'!$A$1:$Z$1,0)),"")</f>
        <v/>
      </c>
      <c r="I2239" s="13" t="str">
        <f aca="false">IFERROR(INDEX('Semrush Data'!$A$1:$Z$20000,MATCH(A2239,'Semrush Data'!$A$1:$A$20000,0),MATCH("CPC*",'Semrush Data'!$A$1:$Z$1,0)),"")</f>
        <v/>
      </c>
      <c r="J2239" s="7" t="str">
        <f aca="false">IFERROR(INDEX('Semrush Data'!$A$1:$Z$20000,MATCH(A2239,'Semrush Data'!$A$1:$A$20000,0),MATCH("Intent",'Semrush Data'!$A$1:$Z$1,0)),"")</f>
        <v/>
      </c>
    </row>
    <row r="2240" customFormat="false" ht="15" hidden="false" customHeight="true" outlineLevel="0" collapsed="false">
      <c r="A2240" s="7" t="s">
        <v>6923</v>
      </c>
      <c r="B2240" s="7" t="s">
        <v>6820</v>
      </c>
      <c r="C2240" s="7" t="n">
        <v>3</v>
      </c>
      <c r="D2240" s="7" t="n">
        <v>23</v>
      </c>
      <c r="E2240" s="7" t="n">
        <v>1</v>
      </c>
      <c r="F2240" s="7" t="s">
        <v>2795</v>
      </c>
      <c r="G2240" s="12" t="str">
        <f aca="false">IFERROR(INDEX('Semrush Data'!$A$1:$Z$20000,MATCH(A2240,'Semrush Data'!$A$1:$A$20000,0),MATCH("Volume",'Semrush Data'!$A$1:$Z$1,0)),"")</f>
        <v/>
      </c>
      <c r="H2240" s="7" t="str">
        <f aca="false">IFERROR(INDEX('Semrush Data'!$A$1:$Z$20000,MATCH(A2240,'Semrush Data'!$A$1:$A$20000,0),MATCH("Keyword Difficulty*",'Semrush Data'!$A$1:$Z$1,0)),"")</f>
        <v/>
      </c>
      <c r="I2240" s="13" t="str">
        <f aca="false">IFERROR(INDEX('Semrush Data'!$A$1:$Z$20000,MATCH(A2240,'Semrush Data'!$A$1:$A$20000,0),MATCH("CPC*",'Semrush Data'!$A$1:$Z$1,0)),"")</f>
        <v/>
      </c>
      <c r="J2240" s="7" t="str">
        <f aca="false">IFERROR(INDEX('Semrush Data'!$A$1:$Z$20000,MATCH(A2240,'Semrush Data'!$A$1:$A$20000,0),MATCH("Intent",'Semrush Data'!$A$1:$Z$1,0)),"")</f>
        <v/>
      </c>
    </row>
    <row r="2241" customFormat="false" ht="15" hidden="false" customHeight="true" outlineLevel="0" collapsed="false">
      <c r="A2241" s="7" t="s">
        <v>6924</v>
      </c>
      <c r="B2241" s="7" t="s">
        <v>6820</v>
      </c>
      <c r="C2241" s="7" t="n">
        <v>3</v>
      </c>
      <c r="D2241" s="7" t="n">
        <v>23</v>
      </c>
      <c r="E2241" s="7" t="n">
        <v>1</v>
      </c>
      <c r="F2241" s="7" t="s">
        <v>2795</v>
      </c>
      <c r="G2241" s="12" t="str">
        <f aca="false">IFERROR(INDEX('Semrush Data'!$A$1:$Z$20000,MATCH(A2241,'Semrush Data'!$A$1:$A$20000,0),MATCH("Volume",'Semrush Data'!$A$1:$Z$1,0)),"")</f>
        <v/>
      </c>
      <c r="H2241" s="7" t="str">
        <f aca="false">IFERROR(INDEX('Semrush Data'!$A$1:$Z$20000,MATCH(A2241,'Semrush Data'!$A$1:$A$20000,0),MATCH("Keyword Difficulty*",'Semrush Data'!$A$1:$Z$1,0)),"")</f>
        <v/>
      </c>
      <c r="I2241" s="13" t="str">
        <f aca="false">IFERROR(INDEX('Semrush Data'!$A$1:$Z$20000,MATCH(A2241,'Semrush Data'!$A$1:$A$20000,0),MATCH("CPC*",'Semrush Data'!$A$1:$Z$1,0)),"")</f>
        <v/>
      </c>
      <c r="J2241" s="7" t="str">
        <f aca="false">IFERROR(INDEX('Semrush Data'!$A$1:$Z$20000,MATCH(A2241,'Semrush Data'!$A$1:$A$20000,0),MATCH("Intent",'Semrush Data'!$A$1:$Z$1,0)),"")</f>
        <v/>
      </c>
    </row>
    <row r="2242" customFormat="false" ht="15" hidden="false" customHeight="true" outlineLevel="0" collapsed="false">
      <c r="A2242" s="7" t="s">
        <v>6925</v>
      </c>
      <c r="B2242" s="7" t="s">
        <v>6820</v>
      </c>
      <c r="C2242" s="7" t="n">
        <v>3</v>
      </c>
      <c r="D2242" s="7" t="n">
        <v>23</v>
      </c>
      <c r="E2242" s="7" t="n">
        <v>1</v>
      </c>
      <c r="F2242" s="7" t="s">
        <v>2807</v>
      </c>
      <c r="G2242" s="12" t="str">
        <f aca="false">IFERROR(INDEX('Semrush Data'!$A$1:$Z$20000,MATCH(A2242,'Semrush Data'!$A$1:$A$20000,0),MATCH("Volume",'Semrush Data'!$A$1:$Z$1,0)),"")</f>
        <v/>
      </c>
      <c r="H2242" s="7" t="str">
        <f aca="false">IFERROR(INDEX('Semrush Data'!$A$1:$Z$20000,MATCH(A2242,'Semrush Data'!$A$1:$A$20000,0),MATCH("Keyword Difficulty*",'Semrush Data'!$A$1:$Z$1,0)),"")</f>
        <v/>
      </c>
      <c r="I2242" s="13" t="str">
        <f aca="false">IFERROR(INDEX('Semrush Data'!$A$1:$Z$20000,MATCH(A2242,'Semrush Data'!$A$1:$A$20000,0),MATCH("CPC*",'Semrush Data'!$A$1:$Z$1,0)),"")</f>
        <v/>
      </c>
      <c r="J2242" s="7" t="str">
        <f aca="false">IFERROR(INDEX('Semrush Data'!$A$1:$Z$20000,MATCH(A2242,'Semrush Data'!$A$1:$A$20000,0),MATCH("Intent",'Semrush Data'!$A$1:$Z$1,0)),"")</f>
        <v/>
      </c>
    </row>
    <row r="2243" customFormat="false" ht="15" hidden="false" customHeight="true" outlineLevel="0" collapsed="false">
      <c r="A2243" s="7" t="s">
        <v>6926</v>
      </c>
      <c r="B2243" s="7" t="s">
        <v>6820</v>
      </c>
      <c r="C2243" s="7" t="n">
        <v>3</v>
      </c>
      <c r="D2243" s="7" t="n">
        <v>23</v>
      </c>
      <c r="E2243" s="7" t="n">
        <v>1</v>
      </c>
      <c r="F2243" s="7" t="s">
        <v>2807</v>
      </c>
      <c r="G2243" s="12" t="str">
        <f aca="false">IFERROR(INDEX('Semrush Data'!$A$1:$Z$20000,MATCH(A2243,'Semrush Data'!$A$1:$A$20000,0),MATCH("Volume",'Semrush Data'!$A$1:$Z$1,0)),"")</f>
        <v/>
      </c>
      <c r="H2243" s="7" t="str">
        <f aca="false">IFERROR(INDEX('Semrush Data'!$A$1:$Z$20000,MATCH(A2243,'Semrush Data'!$A$1:$A$20000,0),MATCH("Keyword Difficulty*",'Semrush Data'!$A$1:$Z$1,0)),"")</f>
        <v/>
      </c>
      <c r="I2243" s="13" t="str">
        <f aca="false">IFERROR(INDEX('Semrush Data'!$A$1:$Z$20000,MATCH(A2243,'Semrush Data'!$A$1:$A$20000,0),MATCH("CPC*",'Semrush Data'!$A$1:$Z$1,0)),"")</f>
        <v/>
      </c>
      <c r="J2243" s="7" t="str">
        <f aca="false">IFERROR(INDEX('Semrush Data'!$A$1:$Z$20000,MATCH(A2243,'Semrush Data'!$A$1:$A$20000,0),MATCH("Intent",'Semrush Data'!$A$1:$Z$1,0)),"")</f>
        <v/>
      </c>
    </row>
    <row r="2244" customFormat="false" ht="15" hidden="false" customHeight="true" outlineLevel="0" collapsed="false">
      <c r="A2244" s="7" t="s">
        <v>6927</v>
      </c>
      <c r="B2244" s="7" t="s">
        <v>6820</v>
      </c>
      <c r="C2244" s="7" t="n">
        <v>3</v>
      </c>
      <c r="D2244" s="7" t="n">
        <v>23</v>
      </c>
      <c r="E2244" s="7" t="n">
        <v>1</v>
      </c>
      <c r="F2244" s="7" t="s">
        <v>2807</v>
      </c>
      <c r="G2244" s="12" t="str">
        <f aca="false">IFERROR(INDEX('Semrush Data'!$A$1:$Z$20000,MATCH(A2244,'Semrush Data'!$A$1:$A$20000,0),MATCH("Volume",'Semrush Data'!$A$1:$Z$1,0)),"")</f>
        <v/>
      </c>
      <c r="H2244" s="7" t="str">
        <f aca="false">IFERROR(INDEX('Semrush Data'!$A$1:$Z$20000,MATCH(A2244,'Semrush Data'!$A$1:$A$20000,0),MATCH("Keyword Difficulty*",'Semrush Data'!$A$1:$Z$1,0)),"")</f>
        <v/>
      </c>
      <c r="I2244" s="13" t="str">
        <f aca="false">IFERROR(INDEX('Semrush Data'!$A$1:$Z$20000,MATCH(A2244,'Semrush Data'!$A$1:$A$20000,0),MATCH("CPC*",'Semrush Data'!$A$1:$Z$1,0)),"")</f>
        <v/>
      </c>
      <c r="J2244" s="7" t="str">
        <f aca="false">IFERROR(INDEX('Semrush Data'!$A$1:$Z$20000,MATCH(A2244,'Semrush Data'!$A$1:$A$20000,0),MATCH("Intent",'Semrush Data'!$A$1:$Z$1,0)),"")</f>
        <v/>
      </c>
    </row>
    <row r="2245" customFormat="false" ht="15" hidden="false" customHeight="true" outlineLevel="0" collapsed="false">
      <c r="A2245" s="7" t="s">
        <v>6928</v>
      </c>
      <c r="B2245" s="7" t="s">
        <v>6820</v>
      </c>
      <c r="C2245" s="7" t="n">
        <v>3</v>
      </c>
      <c r="D2245" s="7" t="n">
        <v>23</v>
      </c>
      <c r="E2245" s="7" t="n">
        <v>1</v>
      </c>
      <c r="F2245" s="7" t="s">
        <v>2807</v>
      </c>
      <c r="G2245" s="12" t="str">
        <f aca="false">IFERROR(INDEX('Semrush Data'!$A$1:$Z$20000,MATCH(A2245,'Semrush Data'!$A$1:$A$20000,0),MATCH("Volume",'Semrush Data'!$A$1:$Z$1,0)),"")</f>
        <v/>
      </c>
      <c r="H2245" s="7" t="str">
        <f aca="false">IFERROR(INDEX('Semrush Data'!$A$1:$Z$20000,MATCH(A2245,'Semrush Data'!$A$1:$A$20000,0),MATCH("Keyword Difficulty*",'Semrush Data'!$A$1:$Z$1,0)),"")</f>
        <v/>
      </c>
      <c r="I2245" s="13" t="str">
        <f aca="false">IFERROR(INDEX('Semrush Data'!$A$1:$Z$20000,MATCH(A2245,'Semrush Data'!$A$1:$A$20000,0),MATCH("CPC*",'Semrush Data'!$A$1:$Z$1,0)),"")</f>
        <v/>
      </c>
      <c r="J2245" s="7" t="str">
        <f aca="false">IFERROR(INDEX('Semrush Data'!$A$1:$Z$20000,MATCH(A2245,'Semrush Data'!$A$1:$A$20000,0),MATCH("Intent",'Semrush Data'!$A$1:$Z$1,0)),"")</f>
        <v/>
      </c>
    </row>
    <row r="2246" customFormat="false" ht="15" hidden="false" customHeight="true" outlineLevel="0" collapsed="false">
      <c r="A2246" s="7" t="s">
        <v>6929</v>
      </c>
      <c r="B2246" s="7" t="s">
        <v>6820</v>
      </c>
      <c r="C2246" s="7" t="n">
        <v>3</v>
      </c>
      <c r="D2246" s="7" t="n">
        <v>23</v>
      </c>
      <c r="E2246" s="7" t="n">
        <v>1</v>
      </c>
      <c r="F2246" s="7" t="s">
        <v>2807</v>
      </c>
      <c r="G2246" s="12" t="str">
        <f aca="false">IFERROR(INDEX('Semrush Data'!$A$1:$Z$20000,MATCH(A2246,'Semrush Data'!$A$1:$A$20000,0),MATCH("Volume",'Semrush Data'!$A$1:$Z$1,0)),"")</f>
        <v/>
      </c>
      <c r="H2246" s="7" t="str">
        <f aca="false">IFERROR(INDEX('Semrush Data'!$A$1:$Z$20000,MATCH(A2246,'Semrush Data'!$A$1:$A$20000,0),MATCH("Keyword Difficulty*",'Semrush Data'!$A$1:$Z$1,0)),"")</f>
        <v/>
      </c>
      <c r="I2246" s="13" t="str">
        <f aca="false">IFERROR(INDEX('Semrush Data'!$A$1:$Z$20000,MATCH(A2246,'Semrush Data'!$A$1:$A$20000,0),MATCH("CPC*",'Semrush Data'!$A$1:$Z$1,0)),"")</f>
        <v/>
      </c>
      <c r="J2246" s="7" t="str">
        <f aca="false">IFERROR(INDEX('Semrush Data'!$A$1:$Z$20000,MATCH(A2246,'Semrush Data'!$A$1:$A$20000,0),MATCH("Intent",'Semrush Data'!$A$1:$Z$1,0)),"")</f>
        <v/>
      </c>
    </row>
    <row r="2247" customFormat="false" ht="15" hidden="false" customHeight="true" outlineLevel="0" collapsed="false">
      <c r="A2247" s="7" t="s">
        <v>6930</v>
      </c>
      <c r="B2247" s="7" t="s">
        <v>6820</v>
      </c>
      <c r="C2247" s="7" t="n">
        <v>3</v>
      </c>
      <c r="D2247" s="7" t="n">
        <v>23</v>
      </c>
      <c r="E2247" s="7" t="n">
        <v>1</v>
      </c>
      <c r="F2247" s="7" t="s">
        <v>2820</v>
      </c>
      <c r="G2247" s="12" t="str">
        <f aca="false">IFERROR(INDEX('Semrush Data'!$A$1:$Z$20000,MATCH(A2247,'Semrush Data'!$A$1:$A$20000,0),MATCH("Volume",'Semrush Data'!$A$1:$Z$1,0)),"")</f>
        <v/>
      </c>
      <c r="H2247" s="7" t="str">
        <f aca="false">IFERROR(INDEX('Semrush Data'!$A$1:$Z$20000,MATCH(A2247,'Semrush Data'!$A$1:$A$20000,0),MATCH("Keyword Difficulty*",'Semrush Data'!$A$1:$Z$1,0)),"")</f>
        <v/>
      </c>
      <c r="I2247" s="13" t="str">
        <f aca="false">IFERROR(INDEX('Semrush Data'!$A$1:$Z$20000,MATCH(A2247,'Semrush Data'!$A$1:$A$20000,0),MATCH("CPC*",'Semrush Data'!$A$1:$Z$1,0)),"")</f>
        <v/>
      </c>
      <c r="J2247" s="7" t="str">
        <f aca="false">IFERROR(INDEX('Semrush Data'!$A$1:$Z$20000,MATCH(A2247,'Semrush Data'!$A$1:$A$20000,0),MATCH("Intent",'Semrush Data'!$A$1:$Z$1,0)),"")</f>
        <v/>
      </c>
    </row>
    <row r="2248" customFormat="false" ht="15" hidden="false" customHeight="true" outlineLevel="0" collapsed="false">
      <c r="A2248" s="7" t="s">
        <v>6931</v>
      </c>
      <c r="B2248" s="7" t="s">
        <v>6820</v>
      </c>
      <c r="C2248" s="7" t="n">
        <v>3</v>
      </c>
      <c r="D2248" s="7" t="n">
        <v>23</v>
      </c>
      <c r="E2248" s="7" t="n">
        <v>1</v>
      </c>
      <c r="F2248" s="7" t="s">
        <v>2820</v>
      </c>
      <c r="G2248" s="12" t="str">
        <f aca="false">IFERROR(INDEX('Semrush Data'!$A$1:$Z$20000,MATCH(A2248,'Semrush Data'!$A$1:$A$20000,0),MATCH("Volume",'Semrush Data'!$A$1:$Z$1,0)),"")</f>
        <v/>
      </c>
      <c r="H2248" s="7" t="str">
        <f aca="false">IFERROR(INDEX('Semrush Data'!$A$1:$Z$20000,MATCH(A2248,'Semrush Data'!$A$1:$A$20000,0),MATCH("Keyword Difficulty*",'Semrush Data'!$A$1:$Z$1,0)),"")</f>
        <v/>
      </c>
      <c r="I2248" s="13" t="str">
        <f aca="false">IFERROR(INDEX('Semrush Data'!$A$1:$Z$20000,MATCH(A2248,'Semrush Data'!$A$1:$A$20000,0),MATCH("CPC*",'Semrush Data'!$A$1:$Z$1,0)),"")</f>
        <v/>
      </c>
      <c r="J2248" s="7" t="str">
        <f aca="false">IFERROR(INDEX('Semrush Data'!$A$1:$Z$20000,MATCH(A2248,'Semrush Data'!$A$1:$A$20000,0),MATCH("Intent",'Semrush Data'!$A$1:$Z$1,0)),"")</f>
        <v/>
      </c>
    </row>
    <row r="2249" customFormat="false" ht="15" hidden="false" customHeight="true" outlineLevel="0" collapsed="false">
      <c r="A2249" s="7" t="s">
        <v>6932</v>
      </c>
      <c r="B2249" s="7" t="s">
        <v>6820</v>
      </c>
      <c r="C2249" s="7" t="n">
        <v>3</v>
      </c>
      <c r="D2249" s="7" t="n">
        <v>23</v>
      </c>
      <c r="E2249" s="7" t="n">
        <v>1</v>
      </c>
      <c r="F2249" s="7" t="s">
        <v>2820</v>
      </c>
      <c r="G2249" s="12" t="str">
        <f aca="false">IFERROR(INDEX('Semrush Data'!$A$1:$Z$20000,MATCH(A2249,'Semrush Data'!$A$1:$A$20000,0),MATCH("Volume",'Semrush Data'!$A$1:$Z$1,0)),"")</f>
        <v/>
      </c>
      <c r="H2249" s="7" t="str">
        <f aca="false">IFERROR(INDEX('Semrush Data'!$A$1:$Z$20000,MATCH(A2249,'Semrush Data'!$A$1:$A$20000,0),MATCH("Keyword Difficulty*",'Semrush Data'!$A$1:$Z$1,0)),"")</f>
        <v/>
      </c>
      <c r="I2249" s="13" t="str">
        <f aca="false">IFERROR(INDEX('Semrush Data'!$A$1:$Z$20000,MATCH(A2249,'Semrush Data'!$A$1:$A$20000,0),MATCH("CPC*",'Semrush Data'!$A$1:$Z$1,0)),"")</f>
        <v/>
      </c>
      <c r="J2249" s="7" t="str">
        <f aca="false">IFERROR(INDEX('Semrush Data'!$A$1:$Z$20000,MATCH(A2249,'Semrush Data'!$A$1:$A$20000,0),MATCH("Intent",'Semrush Data'!$A$1:$Z$1,0)),"")</f>
        <v/>
      </c>
    </row>
    <row r="2250" customFormat="false" ht="15" hidden="false" customHeight="true" outlineLevel="0" collapsed="false">
      <c r="A2250" s="7" t="s">
        <v>6933</v>
      </c>
      <c r="B2250" s="7" t="s">
        <v>6820</v>
      </c>
      <c r="C2250" s="7" t="n">
        <v>3</v>
      </c>
      <c r="D2250" s="7" t="n">
        <v>23</v>
      </c>
      <c r="E2250" s="7" t="n">
        <v>1</v>
      </c>
      <c r="F2250" s="7" t="s">
        <v>2820</v>
      </c>
      <c r="G2250" s="12" t="str">
        <f aca="false">IFERROR(INDEX('Semrush Data'!$A$1:$Z$20000,MATCH(A2250,'Semrush Data'!$A$1:$A$20000,0),MATCH("Volume",'Semrush Data'!$A$1:$Z$1,0)),"")</f>
        <v/>
      </c>
      <c r="H2250" s="7" t="str">
        <f aca="false">IFERROR(INDEX('Semrush Data'!$A$1:$Z$20000,MATCH(A2250,'Semrush Data'!$A$1:$A$20000,0),MATCH("Keyword Difficulty*",'Semrush Data'!$A$1:$Z$1,0)),"")</f>
        <v/>
      </c>
      <c r="I2250" s="13" t="str">
        <f aca="false">IFERROR(INDEX('Semrush Data'!$A$1:$Z$20000,MATCH(A2250,'Semrush Data'!$A$1:$A$20000,0),MATCH("CPC*",'Semrush Data'!$A$1:$Z$1,0)),"")</f>
        <v/>
      </c>
      <c r="J2250" s="7" t="str">
        <f aca="false">IFERROR(INDEX('Semrush Data'!$A$1:$Z$20000,MATCH(A2250,'Semrush Data'!$A$1:$A$20000,0),MATCH("Intent",'Semrush Data'!$A$1:$Z$1,0)),"")</f>
        <v/>
      </c>
    </row>
    <row r="2251" customFormat="false" ht="15" hidden="false" customHeight="true" outlineLevel="0" collapsed="false">
      <c r="A2251" s="7" t="s">
        <v>6934</v>
      </c>
      <c r="B2251" s="7" t="s">
        <v>6820</v>
      </c>
      <c r="C2251" s="7" t="n">
        <v>3</v>
      </c>
      <c r="D2251" s="7" t="n">
        <v>23</v>
      </c>
      <c r="E2251" s="7" t="n">
        <v>1</v>
      </c>
      <c r="F2251" s="7" t="s">
        <v>2820</v>
      </c>
      <c r="G2251" s="12" t="str">
        <f aca="false">IFERROR(INDEX('Semrush Data'!$A$1:$Z$20000,MATCH(A2251,'Semrush Data'!$A$1:$A$20000,0),MATCH("Volume",'Semrush Data'!$A$1:$Z$1,0)),"")</f>
        <v/>
      </c>
      <c r="H2251" s="7" t="str">
        <f aca="false">IFERROR(INDEX('Semrush Data'!$A$1:$Z$20000,MATCH(A2251,'Semrush Data'!$A$1:$A$20000,0),MATCH("Keyword Difficulty*",'Semrush Data'!$A$1:$Z$1,0)),"")</f>
        <v/>
      </c>
      <c r="I2251" s="13" t="str">
        <f aca="false">IFERROR(INDEX('Semrush Data'!$A$1:$Z$20000,MATCH(A2251,'Semrush Data'!$A$1:$A$20000,0),MATCH("CPC*",'Semrush Data'!$A$1:$Z$1,0)),"")</f>
        <v/>
      </c>
      <c r="J2251" s="7" t="str">
        <f aca="false">IFERROR(INDEX('Semrush Data'!$A$1:$Z$20000,MATCH(A2251,'Semrush Data'!$A$1:$A$20000,0),MATCH("Intent",'Semrush Data'!$A$1:$Z$1,0)),"")</f>
        <v/>
      </c>
    </row>
    <row r="2252" customFormat="false" ht="15" hidden="false" customHeight="true" outlineLevel="0" collapsed="false">
      <c r="A2252" s="7" t="s">
        <v>6935</v>
      </c>
      <c r="B2252" s="7" t="s">
        <v>6820</v>
      </c>
      <c r="C2252" s="7" t="n">
        <v>3</v>
      </c>
      <c r="D2252" s="7" t="n">
        <v>23</v>
      </c>
      <c r="E2252" s="7" t="n">
        <v>1</v>
      </c>
      <c r="F2252" s="7" t="s">
        <v>2831</v>
      </c>
      <c r="G2252" s="12" t="str">
        <f aca="false">IFERROR(INDEX('Semrush Data'!$A$1:$Z$20000,MATCH(A2252,'Semrush Data'!$A$1:$A$20000,0),MATCH("Volume",'Semrush Data'!$A$1:$Z$1,0)),"")</f>
        <v/>
      </c>
      <c r="H2252" s="7" t="str">
        <f aca="false">IFERROR(INDEX('Semrush Data'!$A$1:$Z$20000,MATCH(A2252,'Semrush Data'!$A$1:$A$20000,0),MATCH("Keyword Difficulty*",'Semrush Data'!$A$1:$Z$1,0)),"")</f>
        <v/>
      </c>
      <c r="I2252" s="13" t="str">
        <f aca="false">IFERROR(INDEX('Semrush Data'!$A$1:$Z$20000,MATCH(A2252,'Semrush Data'!$A$1:$A$20000,0),MATCH("CPC*",'Semrush Data'!$A$1:$Z$1,0)),"")</f>
        <v/>
      </c>
      <c r="J2252" s="7" t="str">
        <f aca="false">IFERROR(INDEX('Semrush Data'!$A$1:$Z$20000,MATCH(A2252,'Semrush Data'!$A$1:$A$20000,0),MATCH("Intent",'Semrush Data'!$A$1:$Z$1,0)),"")</f>
        <v/>
      </c>
    </row>
    <row r="2253" customFormat="false" ht="15" hidden="false" customHeight="true" outlineLevel="0" collapsed="false">
      <c r="A2253" s="7" t="s">
        <v>6936</v>
      </c>
      <c r="B2253" s="7" t="s">
        <v>6820</v>
      </c>
      <c r="C2253" s="7" t="n">
        <v>3</v>
      </c>
      <c r="D2253" s="7" t="n">
        <v>23</v>
      </c>
      <c r="E2253" s="7" t="n">
        <v>1</v>
      </c>
      <c r="F2253" s="7" t="s">
        <v>2831</v>
      </c>
      <c r="G2253" s="12" t="str">
        <f aca="false">IFERROR(INDEX('Semrush Data'!$A$1:$Z$20000,MATCH(A2253,'Semrush Data'!$A$1:$A$20000,0),MATCH("Volume",'Semrush Data'!$A$1:$Z$1,0)),"")</f>
        <v/>
      </c>
      <c r="H2253" s="7" t="str">
        <f aca="false">IFERROR(INDEX('Semrush Data'!$A$1:$Z$20000,MATCH(A2253,'Semrush Data'!$A$1:$A$20000,0),MATCH("Keyword Difficulty*",'Semrush Data'!$A$1:$Z$1,0)),"")</f>
        <v/>
      </c>
      <c r="I2253" s="13" t="str">
        <f aca="false">IFERROR(INDEX('Semrush Data'!$A$1:$Z$20000,MATCH(A2253,'Semrush Data'!$A$1:$A$20000,0),MATCH("CPC*",'Semrush Data'!$A$1:$Z$1,0)),"")</f>
        <v/>
      </c>
      <c r="J2253" s="7" t="str">
        <f aca="false">IFERROR(INDEX('Semrush Data'!$A$1:$Z$20000,MATCH(A2253,'Semrush Data'!$A$1:$A$20000,0),MATCH("Intent",'Semrush Data'!$A$1:$Z$1,0)),"")</f>
        <v/>
      </c>
    </row>
    <row r="2254" customFormat="false" ht="15" hidden="false" customHeight="true" outlineLevel="0" collapsed="false">
      <c r="A2254" s="7" t="s">
        <v>6937</v>
      </c>
      <c r="B2254" s="7" t="s">
        <v>6820</v>
      </c>
      <c r="C2254" s="7" t="n">
        <v>3</v>
      </c>
      <c r="D2254" s="7" t="n">
        <v>23</v>
      </c>
      <c r="E2254" s="7" t="n">
        <v>1</v>
      </c>
      <c r="F2254" s="7" t="s">
        <v>2831</v>
      </c>
      <c r="G2254" s="12" t="str">
        <f aca="false">IFERROR(INDEX('Semrush Data'!$A$1:$Z$20000,MATCH(A2254,'Semrush Data'!$A$1:$A$20000,0),MATCH("Volume",'Semrush Data'!$A$1:$Z$1,0)),"")</f>
        <v/>
      </c>
      <c r="H2254" s="7" t="str">
        <f aca="false">IFERROR(INDEX('Semrush Data'!$A$1:$Z$20000,MATCH(A2254,'Semrush Data'!$A$1:$A$20000,0),MATCH("Keyword Difficulty*",'Semrush Data'!$A$1:$Z$1,0)),"")</f>
        <v/>
      </c>
      <c r="I2254" s="13" t="str">
        <f aca="false">IFERROR(INDEX('Semrush Data'!$A$1:$Z$20000,MATCH(A2254,'Semrush Data'!$A$1:$A$20000,0),MATCH("CPC*",'Semrush Data'!$A$1:$Z$1,0)),"")</f>
        <v/>
      </c>
      <c r="J2254" s="7" t="str">
        <f aca="false">IFERROR(INDEX('Semrush Data'!$A$1:$Z$20000,MATCH(A2254,'Semrush Data'!$A$1:$A$20000,0),MATCH("Intent",'Semrush Data'!$A$1:$Z$1,0)),"")</f>
        <v/>
      </c>
    </row>
    <row r="2255" customFormat="false" ht="15" hidden="false" customHeight="true" outlineLevel="0" collapsed="false">
      <c r="A2255" s="7" t="s">
        <v>6938</v>
      </c>
      <c r="B2255" s="7" t="s">
        <v>6820</v>
      </c>
      <c r="C2255" s="7" t="n">
        <v>3</v>
      </c>
      <c r="D2255" s="7" t="n">
        <v>23</v>
      </c>
      <c r="E2255" s="7" t="n">
        <v>1</v>
      </c>
      <c r="F2255" s="7" t="s">
        <v>2831</v>
      </c>
      <c r="G2255" s="12" t="str">
        <f aca="false">IFERROR(INDEX('Semrush Data'!$A$1:$Z$20000,MATCH(A2255,'Semrush Data'!$A$1:$A$20000,0),MATCH("Volume",'Semrush Data'!$A$1:$Z$1,0)),"")</f>
        <v/>
      </c>
      <c r="H2255" s="7" t="str">
        <f aca="false">IFERROR(INDEX('Semrush Data'!$A$1:$Z$20000,MATCH(A2255,'Semrush Data'!$A$1:$A$20000,0),MATCH("Keyword Difficulty*",'Semrush Data'!$A$1:$Z$1,0)),"")</f>
        <v/>
      </c>
      <c r="I2255" s="13" t="str">
        <f aca="false">IFERROR(INDEX('Semrush Data'!$A$1:$Z$20000,MATCH(A2255,'Semrush Data'!$A$1:$A$20000,0),MATCH("CPC*",'Semrush Data'!$A$1:$Z$1,0)),"")</f>
        <v/>
      </c>
      <c r="J2255" s="7" t="str">
        <f aca="false">IFERROR(INDEX('Semrush Data'!$A$1:$Z$20000,MATCH(A2255,'Semrush Data'!$A$1:$A$20000,0),MATCH("Intent",'Semrush Data'!$A$1:$Z$1,0)),"")</f>
        <v/>
      </c>
    </row>
    <row r="2256" customFormat="false" ht="15" hidden="false" customHeight="true" outlineLevel="0" collapsed="false">
      <c r="A2256" s="7" t="s">
        <v>6939</v>
      </c>
      <c r="B2256" s="7" t="s">
        <v>6820</v>
      </c>
      <c r="C2256" s="7" t="n">
        <v>3</v>
      </c>
      <c r="D2256" s="7" t="n">
        <v>23</v>
      </c>
      <c r="E2256" s="7" t="n">
        <v>1</v>
      </c>
      <c r="F2256" s="7" t="s">
        <v>2831</v>
      </c>
      <c r="G2256" s="12" t="str">
        <f aca="false">IFERROR(INDEX('Semrush Data'!$A$1:$Z$20000,MATCH(A2256,'Semrush Data'!$A$1:$A$20000,0),MATCH("Volume",'Semrush Data'!$A$1:$Z$1,0)),"")</f>
        <v/>
      </c>
      <c r="H2256" s="7" t="str">
        <f aca="false">IFERROR(INDEX('Semrush Data'!$A$1:$Z$20000,MATCH(A2256,'Semrush Data'!$A$1:$A$20000,0),MATCH("Keyword Difficulty*",'Semrush Data'!$A$1:$Z$1,0)),"")</f>
        <v/>
      </c>
      <c r="I2256" s="13" t="str">
        <f aca="false">IFERROR(INDEX('Semrush Data'!$A$1:$Z$20000,MATCH(A2256,'Semrush Data'!$A$1:$A$20000,0),MATCH("CPC*",'Semrush Data'!$A$1:$Z$1,0)),"")</f>
        <v/>
      </c>
      <c r="J2256" s="7" t="str">
        <f aca="false">IFERROR(INDEX('Semrush Data'!$A$1:$Z$20000,MATCH(A2256,'Semrush Data'!$A$1:$A$20000,0),MATCH("Intent",'Semrush Data'!$A$1:$Z$1,0)),"")</f>
        <v/>
      </c>
    </row>
    <row r="2257" customFormat="false" ht="15" hidden="false" customHeight="true" outlineLevel="0" collapsed="false">
      <c r="A2257" s="7" t="s">
        <v>6940</v>
      </c>
      <c r="B2257" s="7" t="s">
        <v>6820</v>
      </c>
      <c r="C2257" s="7" t="n">
        <v>3</v>
      </c>
      <c r="D2257" s="7" t="n">
        <v>23</v>
      </c>
      <c r="E2257" s="7" t="n">
        <v>1</v>
      </c>
      <c r="F2257" s="7" t="s">
        <v>2844</v>
      </c>
      <c r="G2257" s="12" t="str">
        <f aca="false">IFERROR(INDEX('Semrush Data'!$A$1:$Z$20000,MATCH(A2257,'Semrush Data'!$A$1:$A$20000,0),MATCH("Volume",'Semrush Data'!$A$1:$Z$1,0)),"")</f>
        <v/>
      </c>
      <c r="H2257" s="7" t="str">
        <f aca="false">IFERROR(INDEX('Semrush Data'!$A$1:$Z$20000,MATCH(A2257,'Semrush Data'!$A$1:$A$20000,0),MATCH("Keyword Difficulty*",'Semrush Data'!$A$1:$Z$1,0)),"")</f>
        <v/>
      </c>
      <c r="I2257" s="13" t="str">
        <f aca="false">IFERROR(INDEX('Semrush Data'!$A$1:$Z$20000,MATCH(A2257,'Semrush Data'!$A$1:$A$20000,0),MATCH("CPC*",'Semrush Data'!$A$1:$Z$1,0)),"")</f>
        <v/>
      </c>
      <c r="J2257" s="7" t="str">
        <f aca="false">IFERROR(INDEX('Semrush Data'!$A$1:$Z$20000,MATCH(A2257,'Semrush Data'!$A$1:$A$20000,0),MATCH("Intent",'Semrush Data'!$A$1:$Z$1,0)),"")</f>
        <v/>
      </c>
    </row>
    <row r="2258" customFormat="false" ht="15" hidden="false" customHeight="true" outlineLevel="0" collapsed="false">
      <c r="A2258" s="7" t="s">
        <v>6941</v>
      </c>
      <c r="B2258" s="7" t="s">
        <v>6820</v>
      </c>
      <c r="C2258" s="7" t="n">
        <v>3</v>
      </c>
      <c r="D2258" s="7" t="n">
        <v>23</v>
      </c>
      <c r="E2258" s="7" t="n">
        <v>1</v>
      </c>
      <c r="F2258" s="7" t="s">
        <v>2844</v>
      </c>
      <c r="G2258" s="12" t="str">
        <f aca="false">IFERROR(INDEX('Semrush Data'!$A$1:$Z$20000,MATCH(A2258,'Semrush Data'!$A$1:$A$20000,0),MATCH("Volume",'Semrush Data'!$A$1:$Z$1,0)),"")</f>
        <v/>
      </c>
      <c r="H2258" s="7" t="str">
        <f aca="false">IFERROR(INDEX('Semrush Data'!$A$1:$Z$20000,MATCH(A2258,'Semrush Data'!$A$1:$A$20000,0),MATCH("Keyword Difficulty*",'Semrush Data'!$A$1:$Z$1,0)),"")</f>
        <v/>
      </c>
      <c r="I2258" s="13" t="str">
        <f aca="false">IFERROR(INDEX('Semrush Data'!$A$1:$Z$20000,MATCH(A2258,'Semrush Data'!$A$1:$A$20000,0),MATCH("CPC*",'Semrush Data'!$A$1:$Z$1,0)),"")</f>
        <v/>
      </c>
      <c r="J2258" s="7" t="str">
        <f aca="false">IFERROR(INDEX('Semrush Data'!$A$1:$Z$20000,MATCH(A2258,'Semrush Data'!$A$1:$A$20000,0),MATCH("Intent",'Semrush Data'!$A$1:$Z$1,0)),"")</f>
        <v/>
      </c>
    </row>
    <row r="2259" customFormat="false" ht="15" hidden="false" customHeight="true" outlineLevel="0" collapsed="false">
      <c r="A2259" s="7" t="s">
        <v>6942</v>
      </c>
      <c r="B2259" s="7" t="s">
        <v>6820</v>
      </c>
      <c r="C2259" s="7" t="n">
        <v>3</v>
      </c>
      <c r="D2259" s="7" t="n">
        <v>23</v>
      </c>
      <c r="E2259" s="7" t="n">
        <v>1</v>
      </c>
      <c r="F2259" s="7" t="s">
        <v>2844</v>
      </c>
      <c r="G2259" s="12" t="str">
        <f aca="false">IFERROR(INDEX('Semrush Data'!$A$1:$Z$20000,MATCH(A2259,'Semrush Data'!$A$1:$A$20000,0),MATCH("Volume",'Semrush Data'!$A$1:$Z$1,0)),"")</f>
        <v/>
      </c>
      <c r="H2259" s="7" t="str">
        <f aca="false">IFERROR(INDEX('Semrush Data'!$A$1:$Z$20000,MATCH(A2259,'Semrush Data'!$A$1:$A$20000,0),MATCH("Keyword Difficulty*",'Semrush Data'!$A$1:$Z$1,0)),"")</f>
        <v/>
      </c>
      <c r="I2259" s="13" t="str">
        <f aca="false">IFERROR(INDEX('Semrush Data'!$A$1:$Z$20000,MATCH(A2259,'Semrush Data'!$A$1:$A$20000,0),MATCH("CPC*",'Semrush Data'!$A$1:$Z$1,0)),"")</f>
        <v/>
      </c>
      <c r="J2259" s="7" t="str">
        <f aca="false">IFERROR(INDEX('Semrush Data'!$A$1:$Z$20000,MATCH(A2259,'Semrush Data'!$A$1:$A$20000,0),MATCH("Intent",'Semrush Data'!$A$1:$Z$1,0)),"")</f>
        <v/>
      </c>
    </row>
    <row r="2260" customFormat="false" ht="15" hidden="false" customHeight="true" outlineLevel="0" collapsed="false">
      <c r="A2260" s="7" t="s">
        <v>6943</v>
      </c>
      <c r="B2260" s="7" t="s">
        <v>6820</v>
      </c>
      <c r="C2260" s="7" t="n">
        <v>3</v>
      </c>
      <c r="D2260" s="7" t="n">
        <v>23</v>
      </c>
      <c r="E2260" s="7" t="n">
        <v>1</v>
      </c>
      <c r="F2260" s="7" t="s">
        <v>2844</v>
      </c>
      <c r="G2260" s="12" t="str">
        <f aca="false">IFERROR(INDEX('Semrush Data'!$A$1:$Z$20000,MATCH(A2260,'Semrush Data'!$A$1:$A$20000,0),MATCH("Volume",'Semrush Data'!$A$1:$Z$1,0)),"")</f>
        <v/>
      </c>
      <c r="H2260" s="7" t="str">
        <f aca="false">IFERROR(INDEX('Semrush Data'!$A$1:$Z$20000,MATCH(A2260,'Semrush Data'!$A$1:$A$20000,0),MATCH("Keyword Difficulty*",'Semrush Data'!$A$1:$Z$1,0)),"")</f>
        <v/>
      </c>
      <c r="I2260" s="13" t="str">
        <f aca="false">IFERROR(INDEX('Semrush Data'!$A$1:$Z$20000,MATCH(A2260,'Semrush Data'!$A$1:$A$20000,0),MATCH("CPC*",'Semrush Data'!$A$1:$Z$1,0)),"")</f>
        <v/>
      </c>
      <c r="J2260" s="7" t="str">
        <f aca="false">IFERROR(INDEX('Semrush Data'!$A$1:$Z$20000,MATCH(A2260,'Semrush Data'!$A$1:$A$20000,0),MATCH("Intent",'Semrush Data'!$A$1:$Z$1,0)),"")</f>
        <v/>
      </c>
    </row>
    <row r="2261" customFormat="false" ht="15" hidden="false" customHeight="true" outlineLevel="0" collapsed="false">
      <c r="A2261" s="7" t="s">
        <v>6944</v>
      </c>
      <c r="B2261" s="7" t="s">
        <v>6820</v>
      </c>
      <c r="C2261" s="7" t="n">
        <v>3</v>
      </c>
      <c r="D2261" s="7" t="n">
        <v>23</v>
      </c>
      <c r="E2261" s="7" t="n">
        <v>1</v>
      </c>
      <c r="F2261" s="7" t="s">
        <v>2857</v>
      </c>
      <c r="G2261" s="12" t="str">
        <f aca="false">IFERROR(INDEX('Semrush Data'!$A$1:$Z$20000,MATCH(A2261,'Semrush Data'!$A$1:$A$20000,0),MATCH("Volume",'Semrush Data'!$A$1:$Z$1,0)),"")</f>
        <v/>
      </c>
      <c r="H2261" s="7" t="str">
        <f aca="false">IFERROR(INDEX('Semrush Data'!$A$1:$Z$20000,MATCH(A2261,'Semrush Data'!$A$1:$A$20000,0),MATCH("Keyword Difficulty*",'Semrush Data'!$A$1:$Z$1,0)),"")</f>
        <v/>
      </c>
      <c r="I2261" s="13" t="str">
        <f aca="false">IFERROR(INDEX('Semrush Data'!$A$1:$Z$20000,MATCH(A2261,'Semrush Data'!$A$1:$A$20000,0),MATCH("CPC*",'Semrush Data'!$A$1:$Z$1,0)),"")</f>
        <v/>
      </c>
      <c r="J2261" s="7" t="str">
        <f aca="false">IFERROR(INDEX('Semrush Data'!$A$1:$Z$20000,MATCH(A2261,'Semrush Data'!$A$1:$A$20000,0),MATCH("Intent",'Semrush Data'!$A$1:$Z$1,0)),"")</f>
        <v/>
      </c>
    </row>
    <row r="2262" customFormat="false" ht="15" hidden="false" customHeight="true" outlineLevel="0" collapsed="false">
      <c r="A2262" s="7" t="s">
        <v>6945</v>
      </c>
      <c r="B2262" s="7" t="s">
        <v>6820</v>
      </c>
      <c r="C2262" s="7" t="n">
        <v>3</v>
      </c>
      <c r="D2262" s="7" t="n">
        <v>23</v>
      </c>
      <c r="E2262" s="7" t="n">
        <v>1</v>
      </c>
      <c r="F2262" s="7" t="s">
        <v>2857</v>
      </c>
      <c r="G2262" s="12" t="str">
        <f aca="false">IFERROR(INDEX('Semrush Data'!$A$1:$Z$20000,MATCH(A2262,'Semrush Data'!$A$1:$A$20000,0),MATCH("Volume",'Semrush Data'!$A$1:$Z$1,0)),"")</f>
        <v/>
      </c>
      <c r="H2262" s="7" t="str">
        <f aca="false">IFERROR(INDEX('Semrush Data'!$A$1:$Z$20000,MATCH(A2262,'Semrush Data'!$A$1:$A$20000,0),MATCH("Keyword Difficulty*",'Semrush Data'!$A$1:$Z$1,0)),"")</f>
        <v/>
      </c>
      <c r="I2262" s="13" t="str">
        <f aca="false">IFERROR(INDEX('Semrush Data'!$A$1:$Z$20000,MATCH(A2262,'Semrush Data'!$A$1:$A$20000,0),MATCH("CPC*",'Semrush Data'!$A$1:$Z$1,0)),"")</f>
        <v/>
      </c>
      <c r="J2262" s="7" t="str">
        <f aca="false">IFERROR(INDEX('Semrush Data'!$A$1:$Z$20000,MATCH(A2262,'Semrush Data'!$A$1:$A$20000,0),MATCH("Intent",'Semrush Data'!$A$1:$Z$1,0)),"")</f>
        <v/>
      </c>
    </row>
    <row r="2263" customFormat="false" ht="15" hidden="false" customHeight="true" outlineLevel="0" collapsed="false">
      <c r="A2263" s="7" t="s">
        <v>6946</v>
      </c>
      <c r="B2263" s="7" t="s">
        <v>6820</v>
      </c>
      <c r="C2263" s="7" t="n">
        <v>3</v>
      </c>
      <c r="D2263" s="7" t="n">
        <v>23</v>
      </c>
      <c r="E2263" s="7" t="n">
        <v>1</v>
      </c>
      <c r="F2263" s="7" t="s">
        <v>2857</v>
      </c>
      <c r="G2263" s="12" t="str">
        <f aca="false">IFERROR(INDEX('Semrush Data'!$A$1:$Z$20000,MATCH(A2263,'Semrush Data'!$A$1:$A$20000,0),MATCH("Volume",'Semrush Data'!$A$1:$Z$1,0)),"")</f>
        <v/>
      </c>
      <c r="H2263" s="7" t="str">
        <f aca="false">IFERROR(INDEX('Semrush Data'!$A$1:$Z$20000,MATCH(A2263,'Semrush Data'!$A$1:$A$20000,0),MATCH("Keyword Difficulty*",'Semrush Data'!$A$1:$Z$1,0)),"")</f>
        <v/>
      </c>
      <c r="I2263" s="13" t="str">
        <f aca="false">IFERROR(INDEX('Semrush Data'!$A$1:$Z$20000,MATCH(A2263,'Semrush Data'!$A$1:$A$20000,0),MATCH("CPC*",'Semrush Data'!$A$1:$Z$1,0)),"")</f>
        <v/>
      </c>
      <c r="J2263" s="7" t="str">
        <f aca="false">IFERROR(INDEX('Semrush Data'!$A$1:$Z$20000,MATCH(A2263,'Semrush Data'!$A$1:$A$20000,0),MATCH("Intent",'Semrush Data'!$A$1:$Z$1,0)),"")</f>
        <v/>
      </c>
    </row>
    <row r="2264" customFormat="false" ht="15" hidden="false" customHeight="true" outlineLevel="0" collapsed="false">
      <c r="A2264" s="7" t="s">
        <v>6947</v>
      </c>
      <c r="B2264" s="7" t="s">
        <v>6820</v>
      </c>
      <c r="C2264" s="7" t="n">
        <v>3</v>
      </c>
      <c r="D2264" s="7" t="n">
        <v>23</v>
      </c>
      <c r="E2264" s="7" t="n">
        <v>1</v>
      </c>
      <c r="F2264" s="7" t="s">
        <v>2896</v>
      </c>
      <c r="G2264" s="12" t="str">
        <f aca="false">IFERROR(INDEX('Semrush Data'!$A$1:$Z$20000,MATCH(A2264,'Semrush Data'!$A$1:$A$20000,0),MATCH("Volume",'Semrush Data'!$A$1:$Z$1,0)),"")</f>
        <v/>
      </c>
      <c r="H2264" s="7" t="str">
        <f aca="false">IFERROR(INDEX('Semrush Data'!$A$1:$Z$20000,MATCH(A2264,'Semrush Data'!$A$1:$A$20000,0),MATCH("Keyword Difficulty*",'Semrush Data'!$A$1:$Z$1,0)),"")</f>
        <v/>
      </c>
      <c r="I2264" s="13" t="str">
        <f aca="false">IFERROR(INDEX('Semrush Data'!$A$1:$Z$20000,MATCH(A2264,'Semrush Data'!$A$1:$A$20000,0),MATCH("CPC*",'Semrush Data'!$A$1:$Z$1,0)),"")</f>
        <v/>
      </c>
      <c r="J2264" s="7" t="str">
        <f aca="false">IFERROR(INDEX('Semrush Data'!$A$1:$Z$20000,MATCH(A2264,'Semrush Data'!$A$1:$A$20000,0),MATCH("Intent",'Semrush Data'!$A$1:$Z$1,0)),"")</f>
        <v/>
      </c>
    </row>
    <row r="2265" customFormat="false" ht="15" hidden="false" customHeight="true" outlineLevel="0" collapsed="false">
      <c r="A2265" s="7" t="s">
        <v>6948</v>
      </c>
      <c r="B2265" s="7" t="s">
        <v>6820</v>
      </c>
      <c r="C2265" s="7" t="n">
        <v>3</v>
      </c>
      <c r="D2265" s="7" t="n">
        <v>23</v>
      </c>
      <c r="E2265" s="7" t="n">
        <v>1</v>
      </c>
      <c r="F2265" s="7" t="s">
        <v>2896</v>
      </c>
      <c r="G2265" s="12" t="str">
        <f aca="false">IFERROR(INDEX('Semrush Data'!$A$1:$Z$20000,MATCH(A2265,'Semrush Data'!$A$1:$A$20000,0),MATCH("Volume",'Semrush Data'!$A$1:$Z$1,0)),"")</f>
        <v/>
      </c>
      <c r="H2265" s="7" t="str">
        <f aca="false">IFERROR(INDEX('Semrush Data'!$A$1:$Z$20000,MATCH(A2265,'Semrush Data'!$A$1:$A$20000,0),MATCH("Keyword Difficulty*",'Semrush Data'!$A$1:$Z$1,0)),"")</f>
        <v/>
      </c>
      <c r="I2265" s="13" t="str">
        <f aca="false">IFERROR(INDEX('Semrush Data'!$A$1:$Z$20000,MATCH(A2265,'Semrush Data'!$A$1:$A$20000,0),MATCH("CPC*",'Semrush Data'!$A$1:$Z$1,0)),"")</f>
        <v/>
      </c>
      <c r="J2265" s="7" t="str">
        <f aca="false">IFERROR(INDEX('Semrush Data'!$A$1:$Z$20000,MATCH(A2265,'Semrush Data'!$A$1:$A$20000,0),MATCH("Intent",'Semrush Data'!$A$1:$Z$1,0)),"")</f>
        <v/>
      </c>
    </row>
    <row r="2266" customFormat="false" ht="15" hidden="false" customHeight="true" outlineLevel="0" collapsed="false">
      <c r="A2266" s="7" t="s">
        <v>6949</v>
      </c>
      <c r="B2266" s="7" t="s">
        <v>6820</v>
      </c>
      <c r="C2266" s="7" t="n">
        <v>3</v>
      </c>
      <c r="D2266" s="7" t="n">
        <v>23</v>
      </c>
      <c r="E2266" s="7" t="n">
        <v>1</v>
      </c>
      <c r="F2266" s="7" t="s">
        <v>2896</v>
      </c>
      <c r="G2266" s="12" t="str">
        <f aca="false">IFERROR(INDEX('Semrush Data'!$A$1:$Z$20000,MATCH(A2266,'Semrush Data'!$A$1:$A$20000,0),MATCH("Volume",'Semrush Data'!$A$1:$Z$1,0)),"")</f>
        <v/>
      </c>
      <c r="H2266" s="7" t="str">
        <f aca="false">IFERROR(INDEX('Semrush Data'!$A$1:$Z$20000,MATCH(A2266,'Semrush Data'!$A$1:$A$20000,0),MATCH("Keyword Difficulty*",'Semrush Data'!$A$1:$Z$1,0)),"")</f>
        <v/>
      </c>
      <c r="I2266" s="13" t="str">
        <f aca="false">IFERROR(INDEX('Semrush Data'!$A$1:$Z$20000,MATCH(A2266,'Semrush Data'!$A$1:$A$20000,0),MATCH("CPC*",'Semrush Data'!$A$1:$Z$1,0)),"")</f>
        <v/>
      </c>
      <c r="J2266" s="7" t="str">
        <f aca="false">IFERROR(INDEX('Semrush Data'!$A$1:$Z$20000,MATCH(A2266,'Semrush Data'!$A$1:$A$20000,0),MATCH("Intent",'Semrush Data'!$A$1:$Z$1,0)),"")</f>
        <v/>
      </c>
    </row>
    <row r="2267" customFormat="false" ht="15" hidden="false" customHeight="true" outlineLevel="0" collapsed="false">
      <c r="A2267" s="7" t="s">
        <v>6950</v>
      </c>
      <c r="B2267" s="7" t="s">
        <v>6820</v>
      </c>
      <c r="C2267" s="7" t="n">
        <v>3</v>
      </c>
      <c r="D2267" s="7" t="n">
        <v>23</v>
      </c>
      <c r="E2267" s="7" t="n">
        <v>1</v>
      </c>
      <c r="F2267" s="7" t="s">
        <v>2896</v>
      </c>
      <c r="G2267" s="12" t="str">
        <f aca="false">IFERROR(INDEX('Semrush Data'!$A$1:$Z$20000,MATCH(A2267,'Semrush Data'!$A$1:$A$20000,0),MATCH("Volume",'Semrush Data'!$A$1:$Z$1,0)),"")</f>
        <v/>
      </c>
      <c r="H2267" s="7" t="str">
        <f aca="false">IFERROR(INDEX('Semrush Data'!$A$1:$Z$20000,MATCH(A2267,'Semrush Data'!$A$1:$A$20000,0),MATCH("Keyword Difficulty*",'Semrush Data'!$A$1:$Z$1,0)),"")</f>
        <v/>
      </c>
      <c r="I2267" s="13" t="str">
        <f aca="false">IFERROR(INDEX('Semrush Data'!$A$1:$Z$20000,MATCH(A2267,'Semrush Data'!$A$1:$A$20000,0),MATCH("CPC*",'Semrush Data'!$A$1:$Z$1,0)),"")</f>
        <v/>
      </c>
      <c r="J2267" s="7" t="str">
        <f aca="false">IFERROR(INDEX('Semrush Data'!$A$1:$Z$20000,MATCH(A2267,'Semrush Data'!$A$1:$A$20000,0),MATCH("Intent",'Semrush Data'!$A$1:$Z$1,0)),"")</f>
        <v/>
      </c>
    </row>
    <row r="2268" customFormat="false" ht="15" hidden="false" customHeight="true" outlineLevel="0" collapsed="false">
      <c r="A2268" s="7" t="s">
        <v>6951</v>
      </c>
      <c r="B2268" s="7" t="s">
        <v>6820</v>
      </c>
      <c r="C2268" s="7" t="n">
        <v>3</v>
      </c>
      <c r="D2268" s="7" t="n">
        <v>23</v>
      </c>
      <c r="E2268" s="7" t="n">
        <v>1</v>
      </c>
      <c r="F2268" s="7" t="s">
        <v>2896</v>
      </c>
      <c r="G2268" s="12" t="str">
        <f aca="false">IFERROR(INDEX('Semrush Data'!$A$1:$Z$20000,MATCH(A2268,'Semrush Data'!$A$1:$A$20000,0),MATCH("Volume",'Semrush Data'!$A$1:$Z$1,0)),"")</f>
        <v/>
      </c>
      <c r="H2268" s="7" t="str">
        <f aca="false">IFERROR(INDEX('Semrush Data'!$A$1:$Z$20000,MATCH(A2268,'Semrush Data'!$A$1:$A$20000,0),MATCH("Keyword Difficulty*",'Semrush Data'!$A$1:$Z$1,0)),"")</f>
        <v/>
      </c>
      <c r="I2268" s="13" t="str">
        <f aca="false">IFERROR(INDEX('Semrush Data'!$A$1:$Z$20000,MATCH(A2268,'Semrush Data'!$A$1:$A$20000,0),MATCH("CPC*",'Semrush Data'!$A$1:$Z$1,0)),"")</f>
        <v/>
      </c>
      <c r="J2268" s="7" t="str">
        <f aca="false">IFERROR(INDEX('Semrush Data'!$A$1:$Z$20000,MATCH(A2268,'Semrush Data'!$A$1:$A$20000,0),MATCH("Intent",'Semrush Data'!$A$1:$Z$1,0)),"")</f>
        <v/>
      </c>
    </row>
    <row r="2269" customFormat="false" ht="15" hidden="false" customHeight="true" outlineLevel="0" collapsed="false">
      <c r="A2269" s="7" t="s">
        <v>6952</v>
      </c>
      <c r="B2269" s="7" t="s">
        <v>6820</v>
      </c>
      <c r="C2269" s="7" t="n">
        <v>3</v>
      </c>
      <c r="D2269" s="7" t="s">
        <v>6818</v>
      </c>
      <c r="E2269" s="7" t="n">
        <v>1</v>
      </c>
      <c r="F2269" s="7" t="s">
        <v>84</v>
      </c>
      <c r="G2269" s="12" t="str">
        <f aca="false">IFERROR(INDEX('Semrush Data'!$A$1:$Z$20000,MATCH(A2269,'Semrush Data'!$A$1:$A$20000,0),MATCH("Volume",'Semrush Data'!$A$1:$Z$1,0)),"")</f>
        <v/>
      </c>
      <c r="H2269" s="7" t="str">
        <f aca="false">IFERROR(INDEX('Semrush Data'!$A$1:$Z$20000,MATCH(A2269,'Semrush Data'!$A$1:$A$20000,0),MATCH("Keyword Difficulty*",'Semrush Data'!$A$1:$Z$1,0)),"")</f>
        <v/>
      </c>
      <c r="I2269" s="13" t="str">
        <f aca="false">IFERROR(INDEX('Semrush Data'!$A$1:$Z$20000,MATCH(A2269,'Semrush Data'!$A$1:$A$20000,0),MATCH("CPC*",'Semrush Data'!$A$1:$Z$1,0)),"")</f>
        <v/>
      </c>
      <c r="J2269" s="7" t="str">
        <f aca="false">IFERROR(INDEX('Semrush Data'!$A$1:$Z$20000,MATCH(A2269,'Semrush Data'!$A$1:$A$20000,0),MATCH("Intent",'Semrush Data'!$A$1:$Z$1,0)),"")</f>
        <v/>
      </c>
    </row>
    <row r="2270" customFormat="false" ht="15" hidden="false" customHeight="true" outlineLevel="0" collapsed="false">
      <c r="A2270" s="7" t="s">
        <v>6953</v>
      </c>
      <c r="B2270" s="7" t="s">
        <v>6820</v>
      </c>
      <c r="C2270" s="7" t="n">
        <v>3</v>
      </c>
      <c r="D2270" s="7" t="n">
        <v>23</v>
      </c>
      <c r="E2270" s="7" t="n">
        <v>1</v>
      </c>
      <c r="F2270" s="7" t="s">
        <v>84</v>
      </c>
      <c r="G2270" s="12" t="str">
        <f aca="false">IFERROR(INDEX('Semrush Data'!$A$1:$Z$20000,MATCH(A2270,'Semrush Data'!$A$1:$A$20000,0),MATCH("Volume",'Semrush Data'!$A$1:$Z$1,0)),"")</f>
        <v/>
      </c>
      <c r="H2270" s="7" t="str">
        <f aca="false">IFERROR(INDEX('Semrush Data'!$A$1:$Z$20000,MATCH(A2270,'Semrush Data'!$A$1:$A$20000,0),MATCH("Keyword Difficulty*",'Semrush Data'!$A$1:$Z$1,0)),"")</f>
        <v/>
      </c>
      <c r="I2270" s="13" t="str">
        <f aca="false">IFERROR(INDEX('Semrush Data'!$A$1:$Z$20000,MATCH(A2270,'Semrush Data'!$A$1:$A$20000,0),MATCH("CPC*",'Semrush Data'!$A$1:$Z$1,0)),"")</f>
        <v/>
      </c>
      <c r="J2270" s="7" t="str">
        <f aca="false">IFERROR(INDEX('Semrush Data'!$A$1:$Z$20000,MATCH(A2270,'Semrush Data'!$A$1:$A$20000,0),MATCH("Intent",'Semrush Data'!$A$1:$Z$1,0)),"")</f>
        <v/>
      </c>
    </row>
    <row r="2271" customFormat="false" ht="15" hidden="false" customHeight="true" outlineLevel="0" collapsed="false">
      <c r="A2271" s="7" t="s">
        <v>6954</v>
      </c>
      <c r="B2271" s="7" t="s">
        <v>6820</v>
      </c>
      <c r="C2271" s="7" t="n">
        <v>3</v>
      </c>
      <c r="D2271" s="7" t="n">
        <v>23</v>
      </c>
      <c r="E2271" s="7" t="n">
        <v>1</v>
      </c>
      <c r="F2271" s="7" t="s">
        <v>84</v>
      </c>
      <c r="G2271" s="12" t="str">
        <f aca="false">IFERROR(INDEX('Semrush Data'!$A$1:$Z$20000,MATCH(A2271,'Semrush Data'!$A$1:$A$20000,0),MATCH("Volume",'Semrush Data'!$A$1:$Z$1,0)),"")</f>
        <v/>
      </c>
      <c r="H2271" s="7" t="str">
        <f aca="false">IFERROR(INDEX('Semrush Data'!$A$1:$Z$20000,MATCH(A2271,'Semrush Data'!$A$1:$A$20000,0),MATCH("Keyword Difficulty*",'Semrush Data'!$A$1:$Z$1,0)),"")</f>
        <v/>
      </c>
      <c r="I2271" s="13" t="str">
        <f aca="false">IFERROR(INDEX('Semrush Data'!$A$1:$Z$20000,MATCH(A2271,'Semrush Data'!$A$1:$A$20000,0),MATCH("CPC*",'Semrush Data'!$A$1:$Z$1,0)),"")</f>
        <v/>
      </c>
      <c r="J2271" s="7" t="str">
        <f aca="false">IFERROR(INDEX('Semrush Data'!$A$1:$Z$20000,MATCH(A2271,'Semrush Data'!$A$1:$A$20000,0),MATCH("Intent",'Semrush Data'!$A$1:$Z$1,0)),"")</f>
        <v/>
      </c>
    </row>
    <row r="2272" customFormat="false" ht="15" hidden="false" customHeight="true" outlineLevel="0" collapsed="false">
      <c r="A2272" s="7" t="s">
        <v>6955</v>
      </c>
      <c r="B2272" s="7" t="s">
        <v>6820</v>
      </c>
      <c r="C2272" s="7" t="n">
        <v>3</v>
      </c>
      <c r="D2272" s="7" t="s">
        <v>6818</v>
      </c>
      <c r="E2272" s="7" t="n">
        <v>1</v>
      </c>
      <c r="F2272" s="7" t="s">
        <v>84</v>
      </c>
      <c r="G2272" s="12" t="str">
        <f aca="false">IFERROR(INDEX('Semrush Data'!$A$1:$Z$20000,MATCH(A2272,'Semrush Data'!$A$1:$A$20000,0),MATCH("Volume",'Semrush Data'!$A$1:$Z$1,0)),"")</f>
        <v/>
      </c>
      <c r="H2272" s="7" t="str">
        <f aca="false">IFERROR(INDEX('Semrush Data'!$A$1:$Z$20000,MATCH(A2272,'Semrush Data'!$A$1:$A$20000,0),MATCH("Keyword Difficulty*",'Semrush Data'!$A$1:$Z$1,0)),"")</f>
        <v/>
      </c>
      <c r="I2272" s="13" t="str">
        <f aca="false">IFERROR(INDEX('Semrush Data'!$A$1:$Z$20000,MATCH(A2272,'Semrush Data'!$A$1:$A$20000,0),MATCH("CPC*",'Semrush Data'!$A$1:$Z$1,0)),"")</f>
        <v/>
      </c>
      <c r="J2272" s="7" t="str">
        <f aca="false">IFERROR(INDEX('Semrush Data'!$A$1:$Z$20000,MATCH(A2272,'Semrush Data'!$A$1:$A$20000,0),MATCH("Intent",'Semrush Data'!$A$1:$Z$1,0)),"")</f>
        <v/>
      </c>
    </row>
    <row r="2273" customFormat="false" ht="15" hidden="false" customHeight="true" outlineLevel="0" collapsed="false">
      <c r="A2273" s="7" t="s">
        <v>6956</v>
      </c>
      <c r="B2273" s="7" t="s">
        <v>6820</v>
      </c>
      <c r="C2273" s="7" t="n">
        <v>3</v>
      </c>
      <c r="D2273" s="7" t="n">
        <v>23</v>
      </c>
      <c r="E2273" s="7" t="n">
        <v>1</v>
      </c>
      <c r="F2273" s="7" t="s">
        <v>84</v>
      </c>
      <c r="G2273" s="12" t="str">
        <f aca="false">IFERROR(INDEX('Semrush Data'!$A$1:$Z$20000,MATCH(A2273,'Semrush Data'!$A$1:$A$20000,0),MATCH("Volume",'Semrush Data'!$A$1:$Z$1,0)),"")</f>
        <v/>
      </c>
      <c r="H2273" s="7" t="str">
        <f aca="false">IFERROR(INDEX('Semrush Data'!$A$1:$Z$20000,MATCH(A2273,'Semrush Data'!$A$1:$A$20000,0),MATCH("Keyword Difficulty*",'Semrush Data'!$A$1:$Z$1,0)),"")</f>
        <v/>
      </c>
      <c r="I2273" s="13" t="str">
        <f aca="false">IFERROR(INDEX('Semrush Data'!$A$1:$Z$20000,MATCH(A2273,'Semrush Data'!$A$1:$A$20000,0),MATCH("CPC*",'Semrush Data'!$A$1:$Z$1,0)),"")</f>
        <v/>
      </c>
      <c r="J2273" s="7" t="str">
        <f aca="false">IFERROR(INDEX('Semrush Data'!$A$1:$Z$20000,MATCH(A2273,'Semrush Data'!$A$1:$A$20000,0),MATCH("Intent",'Semrush Data'!$A$1:$Z$1,0)),"")</f>
        <v/>
      </c>
    </row>
    <row r="2274" customFormat="false" ht="15" hidden="false" customHeight="true" outlineLevel="0" collapsed="false">
      <c r="A2274" s="7" t="s">
        <v>6957</v>
      </c>
      <c r="B2274" s="7" t="s">
        <v>6820</v>
      </c>
      <c r="C2274" s="7" t="n">
        <v>3</v>
      </c>
      <c r="D2274" s="7" t="n">
        <v>23</v>
      </c>
      <c r="E2274" s="7" t="n">
        <v>1</v>
      </c>
      <c r="F2274" s="7" t="s">
        <v>2884</v>
      </c>
      <c r="G2274" s="12" t="str">
        <f aca="false">IFERROR(INDEX('Semrush Data'!$A$1:$Z$20000,MATCH(A2274,'Semrush Data'!$A$1:$A$20000,0),MATCH("Volume",'Semrush Data'!$A$1:$Z$1,0)),"")</f>
        <v/>
      </c>
      <c r="H2274" s="7" t="str">
        <f aca="false">IFERROR(INDEX('Semrush Data'!$A$1:$Z$20000,MATCH(A2274,'Semrush Data'!$A$1:$A$20000,0),MATCH("Keyword Difficulty*",'Semrush Data'!$A$1:$Z$1,0)),"")</f>
        <v/>
      </c>
      <c r="I2274" s="13" t="str">
        <f aca="false">IFERROR(INDEX('Semrush Data'!$A$1:$Z$20000,MATCH(A2274,'Semrush Data'!$A$1:$A$20000,0),MATCH("CPC*",'Semrush Data'!$A$1:$Z$1,0)),"")</f>
        <v/>
      </c>
      <c r="J2274" s="7" t="str">
        <f aca="false">IFERROR(INDEX('Semrush Data'!$A$1:$Z$20000,MATCH(A2274,'Semrush Data'!$A$1:$A$20000,0),MATCH("Intent",'Semrush Data'!$A$1:$Z$1,0)),"")</f>
        <v/>
      </c>
    </row>
    <row r="2275" customFormat="false" ht="15" hidden="false" customHeight="true" outlineLevel="0" collapsed="false">
      <c r="A2275" s="7" t="s">
        <v>6958</v>
      </c>
      <c r="B2275" s="7" t="s">
        <v>6820</v>
      </c>
      <c r="C2275" s="7" t="n">
        <v>3</v>
      </c>
      <c r="D2275" s="7" t="n">
        <v>23</v>
      </c>
      <c r="E2275" s="7" t="n">
        <v>1</v>
      </c>
      <c r="F2275" s="7" t="s">
        <v>2884</v>
      </c>
      <c r="G2275" s="12" t="str">
        <f aca="false">IFERROR(INDEX('Semrush Data'!$A$1:$Z$20000,MATCH(A2275,'Semrush Data'!$A$1:$A$20000,0),MATCH("Volume",'Semrush Data'!$A$1:$Z$1,0)),"")</f>
        <v/>
      </c>
      <c r="H2275" s="7" t="str">
        <f aca="false">IFERROR(INDEX('Semrush Data'!$A$1:$Z$20000,MATCH(A2275,'Semrush Data'!$A$1:$A$20000,0),MATCH("Keyword Difficulty*",'Semrush Data'!$A$1:$Z$1,0)),"")</f>
        <v/>
      </c>
      <c r="I2275" s="13" t="str">
        <f aca="false">IFERROR(INDEX('Semrush Data'!$A$1:$Z$20000,MATCH(A2275,'Semrush Data'!$A$1:$A$20000,0),MATCH("CPC*",'Semrush Data'!$A$1:$Z$1,0)),"")</f>
        <v/>
      </c>
      <c r="J2275" s="7" t="str">
        <f aca="false">IFERROR(INDEX('Semrush Data'!$A$1:$Z$20000,MATCH(A2275,'Semrush Data'!$A$1:$A$20000,0),MATCH("Intent",'Semrush Data'!$A$1:$Z$1,0)),"")</f>
        <v/>
      </c>
    </row>
    <row r="2276" customFormat="false" ht="15" hidden="false" customHeight="true" outlineLevel="0" collapsed="false">
      <c r="A2276" s="7" t="s">
        <v>6959</v>
      </c>
      <c r="B2276" s="7" t="s">
        <v>6820</v>
      </c>
      <c r="C2276" s="7" t="n">
        <v>3</v>
      </c>
      <c r="D2276" s="7" t="n">
        <v>23</v>
      </c>
      <c r="E2276" s="7" t="n">
        <v>1</v>
      </c>
      <c r="F2276" s="7" t="s">
        <v>2884</v>
      </c>
      <c r="G2276" s="12" t="str">
        <f aca="false">IFERROR(INDEX('Semrush Data'!$A$1:$Z$20000,MATCH(A2276,'Semrush Data'!$A$1:$A$20000,0),MATCH("Volume",'Semrush Data'!$A$1:$Z$1,0)),"")</f>
        <v/>
      </c>
      <c r="H2276" s="7" t="str">
        <f aca="false">IFERROR(INDEX('Semrush Data'!$A$1:$Z$20000,MATCH(A2276,'Semrush Data'!$A$1:$A$20000,0),MATCH("Keyword Difficulty*",'Semrush Data'!$A$1:$Z$1,0)),"")</f>
        <v/>
      </c>
      <c r="I2276" s="13" t="str">
        <f aca="false">IFERROR(INDEX('Semrush Data'!$A$1:$Z$20000,MATCH(A2276,'Semrush Data'!$A$1:$A$20000,0),MATCH("CPC*",'Semrush Data'!$A$1:$Z$1,0)),"")</f>
        <v/>
      </c>
      <c r="J2276" s="7" t="str">
        <f aca="false">IFERROR(INDEX('Semrush Data'!$A$1:$Z$20000,MATCH(A2276,'Semrush Data'!$A$1:$A$20000,0),MATCH("Intent",'Semrush Data'!$A$1:$Z$1,0)),"")</f>
        <v/>
      </c>
    </row>
    <row r="2277" customFormat="false" ht="15" hidden="false" customHeight="true" outlineLevel="0" collapsed="false">
      <c r="A2277" s="7" t="s">
        <v>6960</v>
      </c>
      <c r="B2277" s="7" t="s">
        <v>6820</v>
      </c>
      <c r="C2277" s="7" t="n">
        <v>3</v>
      </c>
      <c r="D2277" s="7" t="n">
        <v>23</v>
      </c>
      <c r="E2277" s="7" t="n">
        <v>1</v>
      </c>
      <c r="F2277" s="7" t="s">
        <v>2884</v>
      </c>
      <c r="G2277" s="12" t="str">
        <f aca="false">IFERROR(INDEX('Semrush Data'!$A$1:$Z$20000,MATCH(A2277,'Semrush Data'!$A$1:$A$20000,0),MATCH("Volume",'Semrush Data'!$A$1:$Z$1,0)),"")</f>
        <v/>
      </c>
      <c r="H2277" s="7" t="str">
        <f aca="false">IFERROR(INDEX('Semrush Data'!$A$1:$Z$20000,MATCH(A2277,'Semrush Data'!$A$1:$A$20000,0),MATCH("Keyword Difficulty*",'Semrush Data'!$A$1:$Z$1,0)),"")</f>
        <v/>
      </c>
      <c r="I2277" s="13" t="str">
        <f aca="false">IFERROR(INDEX('Semrush Data'!$A$1:$Z$20000,MATCH(A2277,'Semrush Data'!$A$1:$A$20000,0),MATCH("CPC*",'Semrush Data'!$A$1:$Z$1,0)),"")</f>
        <v/>
      </c>
      <c r="J2277" s="7" t="str">
        <f aca="false">IFERROR(INDEX('Semrush Data'!$A$1:$Z$20000,MATCH(A2277,'Semrush Data'!$A$1:$A$20000,0),MATCH("Intent",'Semrush Data'!$A$1:$Z$1,0)),"")</f>
        <v/>
      </c>
    </row>
    <row r="2278" customFormat="false" ht="15" hidden="false" customHeight="true" outlineLevel="0" collapsed="false">
      <c r="A2278" s="7" t="s">
        <v>6961</v>
      </c>
      <c r="B2278" s="7" t="s">
        <v>6820</v>
      </c>
      <c r="C2278" s="7" t="n">
        <v>3</v>
      </c>
      <c r="D2278" s="7" t="n">
        <v>23</v>
      </c>
      <c r="E2278" s="7" t="n">
        <v>1</v>
      </c>
      <c r="F2278" s="7" t="s">
        <v>2942</v>
      </c>
      <c r="G2278" s="12" t="str">
        <f aca="false">IFERROR(INDEX('Semrush Data'!$A$1:$Z$20000,MATCH(A2278,'Semrush Data'!$A$1:$A$20000,0),MATCH("Volume",'Semrush Data'!$A$1:$Z$1,0)),"")</f>
        <v/>
      </c>
      <c r="H2278" s="7" t="str">
        <f aca="false">IFERROR(INDEX('Semrush Data'!$A$1:$Z$20000,MATCH(A2278,'Semrush Data'!$A$1:$A$20000,0),MATCH("Keyword Difficulty*",'Semrush Data'!$A$1:$Z$1,0)),"")</f>
        <v/>
      </c>
      <c r="I2278" s="13" t="str">
        <f aca="false">IFERROR(INDEX('Semrush Data'!$A$1:$Z$20000,MATCH(A2278,'Semrush Data'!$A$1:$A$20000,0),MATCH("CPC*",'Semrush Data'!$A$1:$Z$1,0)),"")</f>
        <v/>
      </c>
      <c r="J2278" s="7" t="str">
        <f aca="false">IFERROR(INDEX('Semrush Data'!$A$1:$Z$20000,MATCH(A2278,'Semrush Data'!$A$1:$A$20000,0),MATCH("Intent",'Semrush Data'!$A$1:$Z$1,0)),"")</f>
        <v/>
      </c>
    </row>
    <row r="2279" customFormat="false" ht="15" hidden="false" customHeight="true" outlineLevel="0" collapsed="false">
      <c r="A2279" s="7" t="s">
        <v>6962</v>
      </c>
      <c r="B2279" s="7" t="s">
        <v>6820</v>
      </c>
      <c r="C2279" s="7" t="n">
        <v>3</v>
      </c>
      <c r="D2279" s="7" t="n">
        <v>23</v>
      </c>
      <c r="E2279" s="7" t="n">
        <v>1</v>
      </c>
      <c r="F2279" s="7" t="s">
        <v>2942</v>
      </c>
      <c r="G2279" s="12" t="str">
        <f aca="false">IFERROR(INDEX('Semrush Data'!$A$1:$Z$20000,MATCH(A2279,'Semrush Data'!$A$1:$A$20000,0),MATCH("Volume",'Semrush Data'!$A$1:$Z$1,0)),"")</f>
        <v/>
      </c>
      <c r="H2279" s="7" t="str">
        <f aca="false">IFERROR(INDEX('Semrush Data'!$A$1:$Z$20000,MATCH(A2279,'Semrush Data'!$A$1:$A$20000,0),MATCH("Keyword Difficulty*",'Semrush Data'!$A$1:$Z$1,0)),"")</f>
        <v/>
      </c>
      <c r="I2279" s="13" t="str">
        <f aca="false">IFERROR(INDEX('Semrush Data'!$A$1:$Z$20000,MATCH(A2279,'Semrush Data'!$A$1:$A$20000,0),MATCH("CPC*",'Semrush Data'!$A$1:$Z$1,0)),"")</f>
        <v/>
      </c>
      <c r="J2279" s="7" t="str">
        <f aca="false">IFERROR(INDEX('Semrush Data'!$A$1:$Z$20000,MATCH(A2279,'Semrush Data'!$A$1:$A$20000,0),MATCH("Intent",'Semrush Data'!$A$1:$Z$1,0)),"")</f>
        <v/>
      </c>
    </row>
    <row r="2280" customFormat="false" ht="15" hidden="false" customHeight="true" outlineLevel="0" collapsed="false">
      <c r="A2280" s="7" t="s">
        <v>6963</v>
      </c>
      <c r="B2280" s="7" t="s">
        <v>6820</v>
      </c>
      <c r="C2280" s="7" t="n">
        <v>3</v>
      </c>
      <c r="D2280" s="7" t="n">
        <v>23</v>
      </c>
      <c r="E2280" s="7" t="n">
        <v>1</v>
      </c>
      <c r="F2280" s="7" t="s">
        <v>2953</v>
      </c>
      <c r="G2280" s="12" t="str">
        <f aca="false">IFERROR(INDEX('Semrush Data'!$A$1:$Z$20000,MATCH(A2280,'Semrush Data'!$A$1:$A$20000,0),MATCH("Volume",'Semrush Data'!$A$1:$Z$1,0)),"")</f>
        <v/>
      </c>
      <c r="H2280" s="7" t="str">
        <f aca="false">IFERROR(INDEX('Semrush Data'!$A$1:$Z$20000,MATCH(A2280,'Semrush Data'!$A$1:$A$20000,0),MATCH("Keyword Difficulty*",'Semrush Data'!$A$1:$Z$1,0)),"")</f>
        <v/>
      </c>
      <c r="I2280" s="13" t="str">
        <f aca="false">IFERROR(INDEX('Semrush Data'!$A$1:$Z$20000,MATCH(A2280,'Semrush Data'!$A$1:$A$20000,0),MATCH("CPC*",'Semrush Data'!$A$1:$Z$1,0)),"")</f>
        <v/>
      </c>
      <c r="J2280" s="7" t="str">
        <f aca="false">IFERROR(INDEX('Semrush Data'!$A$1:$Z$20000,MATCH(A2280,'Semrush Data'!$A$1:$A$20000,0),MATCH("Intent",'Semrush Data'!$A$1:$Z$1,0)),"")</f>
        <v/>
      </c>
    </row>
    <row r="2281" customFormat="false" ht="15" hidden="false" customHeight="true" outlineLevel="0" collapsed="false">
      <c r="A2281" s="7" t="s">
        <v>6964</v>
      </c>
      <c r="B2281" s="7" t="s">
        <v>6820</v>
      </c>
      <c r="C2281" s="7" t="n">
        <v>3</v>
      </c>
      <c r="D2281" s="7" t="n">
        <v>23</v>
      </c>
      <c r="E2281" s="7" t="n">
        <v>1</v>
      </c>
      <c r="F2281" s="7" t="s">
        <v>2953</v>
      </c>
      <c r="G2281" s="12" t="str">
        <f aca="false">IFERROR(INDEX('Semrush Data'!$A$1:$Z$20000,MATCH(A2281,'Semrush Data'!$A$1:$A$20000,0),MATCH("Volume",'Semrush Data'!$A$1:$Z$1,0)),"")</f>
        <v/>
      </c>
      <c r="H2281" s="7" t="str">
        <f aca="false">IFERROR(INDEX('Semrush Data'!$A$1:$Z$20000,MATCH(A2281,'Semrush Data'!$A$1:$A$20000,0),MATCH("Keyword Difficulty*",'Semrush Data'!$A$1:$Z$1,0)),"")</f>
        <v/>
      </c>
      <c r="I2281" s="13" t="str">
        <f aca="false">IFERROR(INDEX('Semrush Data'!$A$1:$Z$20000,MATCH(A2281,'Semrush Data'!$A$1:$A$20000,0),MATCH("CPC*",'Semrush Data'!$A$1:$Z$1,0)),"")</f>
        <v/>
      </c>
      <c r="J2281" s="7" t="str">
        <f aca="false">IFERROR(INDEX('Semrush Data'!$A$1:$Z$20000,MATCH(A2281,'Semrush Data'!$A$1:$A$20000,0),MATCH("Intent",'Semrush Data'!$A$1:$Z$1,0)),"")</f>
        <v/>
      </c>
    </row>
    <row r="2282" customFormat="false" ht="15" hidden="false" customHeight="true" outlineLevel="0" collapsed="false">
      <c r="A2282" s="7" t="s">
        <v>6965</v>
      </c>
      <c r="B2282" s="7" t="s">
        <v>6820</v>
      </c>
      <c r="C2282" s="7" t="n">
        <v>3</v>
      </c>
      <c r="D2282" s="7" t="n">
        <v>23</v>
      </c>
      <c r="E2282" s="7" t="n">
        <v>1</v>
      </c>
      <c r="F2282" s="7" t="s">
        <v>2953</v>
      </c>
      <c r="G2282" s="12" t="str">
        <f aca="false">IFERROR(INDEX('Semrush Data'!$A$1:$Z$20000,MATCH(A2282,'Semrush Data'!$A$1:$A$20000,0),MATCH("Volume",'Semrush Data'!$A$1:$Z$1,0)),"")</f>
        <v/>
      </c>
      <c r="H2282" s="7" t="str">
        <f aca="false">IFERROR(INDEX('Semrush Data'!$A$1:$Z$20000,MATCH(A2282,'Semrush Data'!$A$1:$A$20000,0),MATCH("Keyword Difficulty*",'Semrush Data'!$A$1:$Z$1,0)),"")</f>
        <v/>
      </c>
      <c r="I2282" s="13" t="str">
        <f aca="false">IFERROR(INDEX('Semrush Data'!$A$1:$Z$20000,MATCH(A2282,'Semrush Data'!$A$1:$A$20000,0),MATCH("CPC*",'Semrush Data'!$A$1:$Z$1,0)),"")</f>
        <v/>
      </c>
      <c r="J2282" s="7" t="str">
        <f aca="false">IFERROR(INDEX('Semrush Data'!$A$1:$Z$20000,MATCH(A2282,'Semrush Data'!$A$1:$A$20000,0),MATCH("Intent",'Semrush Data'!$A$1:$Z$1,0)),"")</f>
        <v/>
      </c>
    </row>
    <row r="2283" customFormat="false" ht="15" hidden="false" customHeight="true" outlineLevel="0" collapsed="false">
      <c r="A2283" s="7" t="s">
        <v>6966</v>
      </c>
      <c r="B2283" s="7" t="s">
        <v>6820</v>
      </c>
      <c r="C2283" s="7" t="n">
        <v>3</v>
      </c>
      <c r="D2283" s="7" t="n">
        <v>23</v>
      </c>
      <c r="E2283" s="7" t="n">
        <v>1</v>
      </c>
      <c r="F2283" s="7" t="s">
        <v>2953</v>
      </c>
      <c r="G2283" s="12" t="str">
        <f aca="false">IFERROR(INDEX('Semrush Data'!$A$1:$Z$20000,MATCH(A2283,'Semrush Data'!$A$1:$A$20000,0),MATCH("Volume",'Semrush Data'!$A$1:$Z$1,0)),"")</f>
        <v/>
      </c>
      <c r="H2283" s="7" t="str">
        <f aca="false">IFERROR(INDEX('Semrush Data'!$A$1:$Z$20000,MATCH(A2283,'Semrush Data'!$A$1:$A$20000,0),MATCH("Keyword Difficulty*",'Semrush Data'!$A$1:$Z$1,0)),"")</f>
        <v/>
      </c>
      <c r="I2283" s="13" t="str">
        <f aca="false">IFERROR(INDEX('Semrush Data'!$A$1:$Z$20000,MATCH(A2283,'Semrush Data'!$A$1:$A$20000,0),MATCH("CPC*",'Semrush Data'!$A$1:$Z$1,0)),"")</f>
        <v/>
      </c>
      <c r="J2283" s="7" t="str">
        <f aca="false">IFERROR(INDEX('Semrush Data'!$A$1:$Z$20000,MATCH(A2283,'Semrush Data'!$A$1:$A$20000,0),MATCH("Intent",'Semrush Data'!$A$1:$Z$1,0)),"")</f>
        <v/>
      </c>
    </row>
    <row r="2284" customFormat="false" ht="15" hidden="false" customHeight="true" outlineLevel="0" collapsed="false">
      <c r="A2284" s="7" t="s">
        <v>6967</v>
      </c>
      <c r="B2284" s="7" t="s">
        <v>6820</v>
      </c>
      <c r="C2284" s="7" t="n">
        <v>3</v>
      </c>
      <c r="D2284" s="7" t="n">
        <v>23</v>
      </c>
      <c r="E2284" s="7" t="n">
        <v>1</v>
      </c>
      <c r="F2284" s="7" t="s">
        <v>2953</v>
      </c>
      <c r="G2284" s="12" t="str">
        <f aca="false">IFERROR(INDEX('Semrush Data'!$A$1:$Z$20000,MATCH(A2284,'Semrush Data'!$A$1:$A$20000,0),MATCH("Volume",'Semrush Data'!$A$1:$Z$1,0)),"")</f>
        <v/>
      </c>
      <c r="H2284" s="7" t="str">
        <f aca="false">IFERROR(INDEX('Semrush Data'!$A$1:$Z$20000,MATCH(A2284,'Semrush Data'!$A$1:$A$20000,0),MATCH("Keyword Difficulty*",'Semrush Data'!$A$1:$Z$1,0)),"")</f>
        <v/>
      </c>
      <c r="I2284" s="13" t="str">
        <f aca="false">IFERROR(INDEX('Semrush Data'!$A$1:$Z$20000,MATCH(A2284,'Semrush Data'!$A$1:$A$20000,0),MATCH("CPC*",'Semrush Data'!$A$1:$Z$1,0)),"")</f>
        <v/>
      </c>
      <c r="J2284" s="7" t="str">
        <f aca="false">IFERROR(INDEX('Semrush Data'!$A$1:$Z$20000,MATCH(A2284,'Semrush Data'!$A$1:$A$20000,0),MATCH("Intent",'Semrush Data'!$A$1:$Z$1,0)),"")</f>
        <v/>
      </c>
    </row>
    <row r="2285" customFormat="false" ht="15" hidden="false" customHeight="true" outlineLevel="0" collapsed="false">
      <c r="A2285" s="7" t="s">
        <v>6968</v>
      </c>
      <c r="B2285" s="7" t="s">
        <v>6820</v>
      </c>
      <c r="C2285" s="7" t="n">
        <v>3</v>
      </c>
      <c r="D2285" s="7" t="n">
        <v>23</v>
      </c>
      <c r="E2285" s="7" t="n">
        <v>1</v>
      </c>
      <c r="F2285" s="7" t="s">
        <v>2907</v>
      </c>
      <c r="G2285" s="12" t="str">
        <f aca="false">IFERROR(INDEX('Semrush Data'!$A$1:$Z$20000,MATCH(A2285,'Semrush Data'!$A$1:$A$20000,0),MATCH("Volume",'Semrush Data'!$A$1:$Z$1,0)),"")</f>
        <v/>
      </c>
      <c r="H2285" s="7" t="str">
        <f aca="false">IFERROR(INDEX('Semrush Data'!$A$1:$Z$20000,MATCH(A2285,'Semrush Data'!$A$1:$A$20000,0),MATCH("Keyword Difficulty*",'Semrush Data'!$A$1:$Z$1,0)),"")</f>
        <v/>
      </c>
      <c r="I2285" s="13" t="str">
        <f aca="false">IFERROR(INDEX('Semrush Data'!$A$1:$Z$20000,MATCH(A2285,'Semrush Data'!$A$1:$A$20000,0),MATCH("CPC*",'Semrush Data'!$A$1:$Z$1,0)),"")</f>
        <v/>
      </c>
      <c r="J2285" s="7" t="str">
        <f aca="false">IFERROR(INDEX('Semrush Data'!$A$1:$Z$20000,MATCH(A2285,'Semrush Data'!$A$1:$A$20000,0),MATCH("Intent",'Semrush Data'!$A$1:$Z$1,0)),"")</f>
        <v/>
      </c>
    </row>
    <row r="2286" customFormat="false" ht="15" hidden="false" customHeight="true" outlineLevel="0" collapsed="false">
      <c r="A2286" s="7" t="s">
        <v>6969</v>
      </c>
      <c r="B2286" s="7" t="s">
        <v>6820</v>
      </c>
      <c r="C2286" s="7" t="n">
        <v>3</v>
      </c>
      <c r="D2286" s="7" t="n">
        <v>23</v>
      </c>
      <c r="E2286" s="7" t="n">
        <v>1</v>
      </c>
      <c r="F2286" s="7" t="s">
        <v>2907</v>
      </c>
      <c r="G2286" s="12" t="str">
        <f aca="false">IFERROR(INDEX('Semrush Data'!$A$1:$Z$20000,MATCH(A2286,'Semrush Data'!$A$1:$A$20000,0),MATCH("Volume",'Semrush Data'!$A$1:$Z$1,0)),"")</f>
        <v/>
      </c>
      <c r="H2286" s="7" t="str">
        <f aca="false">IFERROR(INDEX('Semrush Data'!$A$1:$Z$20000,MATCH(A2286,'Semrush Data'!$A$1:$A$20000,0),MATCH("Keyword Difficulty*",'Semrush Data'!$A$1:$Z$1,0)),"")</f>
        <v/>
      </c>
      <c r="I2286" s="13" t="str">
        <f aca="false">IFERROR(INDEX('Semrush Data'!$A$1:$Z$20000,MATCH(A2286,'Semrush Data'!$A$1:$A$20000,0),MATCH("CPC*",'Semrush Data'!$A$1:$Z$1,0)),"")</f>
        <v/>
      </c>
      <c r="J2286" s="7" t="str">
        <f aca="false">IFERROR(INDEX('Semrush Data'!$A$1:$Z$20000,MATCH(A2286,'Semrush Data'!$A$1:$A$20000,0),MATCH("Intent",'Semrush Data'!$A$1:$Z$1,0)),"")</f>
        <v/>
      </c>
    </row>
    <row r="2287" customFormat="false" ht="15" hidden="false" customHeight="true" outlineLevel="0" collapsed="false">
      <c r="A2287" s="7" t="s">
        <v>6970</v>
      </c>
      <c r="B2287" s="7" t="s">
        <v>6820</v>
      </c>
      <c r="C2287" s="7" t="n">
        <v>3</v>
      </c>
      <c r="D2287" s="7" t="n">
        <v>23</v>
      </c>
      <c r="E2287" s="7" t="n">
        <v>1</v>
      </c>
      <c r="F2287" s="7" t="s">
        <v>2907</v>
      </c>
      <c r="G2287" s="12" t="str">
        <f aca="false">IFERROR(INDEX('Semrush Data'!$A$1:$Z$20000,MATCH(A2287,'Semrush Data'!$A$1:$A$20000,0),MATCH("Volume",'Semrush Data'!$A$1:$Z$1,0)),"")</f>
        <v/>
      </c>
      <c r="H2287" s="7" t="str">
        <f aca="false">IFERROR(INDEX('Semrush Data'!$A$1:$Z$20000,MATCH(A2287,'Semrush Data'!$A$1:$A$20000,0),MATCH("Keyword Difficulty*",'Semrush Data'!$A$1:$Z$1,0)),"")</f>
        <v/>
      </c>
      <c r="I2287" s="13" t="str">
        <f aca="false">IFERROR(INDEX('Semrush Data'!$A$1:$Z$20000,MATCH(A2287,'Semrush Data'!$A$1:$A$20000,0),MATCH("CPC*",'Semrush Data'!$A$1:$Z$1,0)),"")</f>
        <v/>
      </c>
      <c r="J2287" s="7" t="str">
        <f aca="false">IFERROR(INDEX('Semrush Data'!$A$1:$Z$20000,MATCH(A2287,'Semrush Data'!$A$1:$A$20000,0),MATCH("Intent",'Semrush Data'!$A$1:$Z$1,0)),"")</f>
        <v/>
      </c>
    </row>
    <row r="2288" customFormat="false" ht="15" hidden="false" customHeight="true" outlineLevel="0" collapsed="false">
      <c r="A2288" s="7" t="s">
        <v>6971</v>
      </c>
      <c r="B2288" s="7" t="s">
        <v>6820</v>
      </c>
      <c r="C2288" s="7" t="n">
        <v>3</v>
      </c>
      <c r="D2288" s="7" t="n">
        <v>23</v>
      </c>
      <c r="E2288" s="7" t="n">
        <v>1</v>
      </c>
      <c r="F2288" s="7" t="s">
        <v>2907</v>
      </c>
      <c r="G2288" s="12" t="str">
        <f aca="false">IFERROR(INDEX('Semrush Data'!$A$1:$Z$20000,MATCH(A2288,'Semrush Data'!$A$1:$A$20000,0),MATCH("Volume",'Semrush Data'!$A$1:$Z$1,0)),"")</f>
        <v/>
      </c>
      <c r="H2288" s="7" t="str">
        <f aca="false">IFERROR(INDEX('Semrush Data'!$A$1:$Z$20000,MATCH(A2288,'Semrush Data'!$A$1:$A$20000,0),MATCH("Keyword Difficulty*",'Semrush Data'!$A$1:$Z$1,0)),"")</f>
        <v/>
      </c>
      <c r="I2288" s="13" t="str">
        <f aca="false">IFERROR(INDEX('Semrush Data'!$A$1:$Z$20000,MATCH(A2288,'Semrush Data'!$A$1:$A$20000,0),MATCH("CPC*",'Semrush Data'!$A$1:$Z$1,0)),"")</f>
        <v/>
      </c>
      <c r="J2288" s="7" t="str">
        <f aca="false">IFERROR(INDEX('Semrush Data'!$A$1:$Z$20000,MATCH(A2288,'Semrush Data'!$A$1:$A$20000,0),MATCH("Intent",'Semrush Data'!$A$1:$Z$1,0)),"")</f>
        <v/>
      </c>
    </row>
    <row r="2289" customFormat="false" ht="15" hidden="false" customHeight="true" outlineLevel="0" collapsed="false">
      <c r="A2289" s="7" t="s">
        <v>6972</v>
      </c>
      <c r="B2289" s="7" t="s">
        <v>6820</v>
      </c>
      <c r="C2289" s="7" t="n">
        <v>3</v>
      </c>
      <c r="D2289" s="7" t="n">
        <v>23</v>
      </c>
      <c r="E2289" s="7" t="n">
        <v>1</v>
      </c>
      <c r="F2289" s="7" t="s">
        <v>2907</v>
      </c>
      <c r="G2289" s="12" t="str">
        <f aca="false">IFERROR(INDEX('Semrush Data'!$A$1:$Z$20000,MATCH(A2289,'Semrush Data'!$A$1:$A$20000,0),MATCH("Volume",'Semrush Data'!$A$1:$Z$1,0)),"")</f>
        <v/>
      </c>
      <c r="H2289" s="7" t="str">
        <f aca="false">IFERROR(INDEX('Semrush Data'!$A$1:$Z$20000,MATCH(A2289,'Semrush Data'!$A$1:$A$20000,0),MATCH("Keyword Difficulty*",'Semrush Data'!$A$1:$Z$1,0)),"")</f>
        <v/>
      </c>
      <c r="I2289" s="13" t="str">
        <f aca="false">IFERROR(INDEX('Semrush Data'!$A$1:$Z$20000,MATCH(A2289,'Semrush Data'!$A$1:$A$20000,0),MATCH("CPC*",'Semrush Data'!$A$1:$Z$1,0)),"")</f>
        <v/>
      </c>
      <c r="J2289" s="7" t="str">
        <f aca="false">IFERROR(INDEX('Semrush Data'!$A$1:$Z$20000,MATCH(A2289,'Semrush Data'!$A$1:$A$20000,0),MATCH("Intent",'Semrush Data'!$A$1:$Z$1,0)),"")</f>
        <v/>
      </c>
    </row>
    <row r="2290" customFormat="false" ht="15" hidden="false" customHeight="true" outlineLevel="0" collapsed="false">
      <c r="A2290" s="7" t="s">
        <v>6973</v>
      </c>
      <c r="B2290" s="7" t="s">
        <v>6820</v>
      </c>
      <c r="C2290" s="7" t="n">
        <v>3</v>
      </c>
      <c r="D2290" s="7" t="n">
        <v>23</v>
      </c>
      <c r="E2290" s="7" t="n">
        <v>1</v>
      </c>
      <c r="F2290" s="7" t="s">
        <v>3004</v>
      </c>
      <c r="G2290" s="12" t="str">
        <f aca="false">IFERROR(INDEX('Semrush Data'!$A$1:$Z$20000,MATCH(A2290,'Semrush Data'!$A$1:$A$20000,0),MATCH("Volume",'Semrush Data'!$A$1:$Z$1,0)),"")</f>
        <v/>
      </c>
      <c r="H2290" s="7" t="str">
        <f aca="false">IFERROR(INDEX('Semrush Data'!$A$1:$Z$20000,MATCH(A2290,'Semrush Data'!$A$1:$A$20000,0),MATCH("Keyword Difficulty*",'Semrush Data'!$A$1:$Z$1,0)),"")</f>
        <v/>
      </c>
      <c r="I2290" s="13" t="str">
        <f aca="false">IFERROR(INDEX('Semrush Data'!$A$1:$Z$20000,MATCH(A2290,'Semrush Data'!$A$1:$A$20000,0),MATCH("CPC*",'Semrush Data'!$A$1:$Z$1,0)),"")</f>
        <v/>
      </c>
      <c r="J2290" s="7" t="str">
        <f aca="false">IFERROR(INDEX('Semrush Data'!$A$1:$Z$20000,MATCH(A2290,'Semrush Data'!$A$1:$A$20000,0),MATCH("Intent",'Semrush Data'!$A$1:$Z$1,0)),"")</f>
        <v/>
      </c>
    </row>
    <row r="2291" customFormat="false" ht="15" hidden="false" customHeight="true" outlineLevel="0" collapsed="false">
      <c r="A2291" s="7" t="s">
        <v>6974</v>
      </c>
      <c r="B2291" s="7" t="s">
        <v>6820</v>
      </c>
      <c r="C2291" s="7" t="n">
        <v>3</v>
      </c>
      <c r="D2291" s="7" t="n">
        <v>23</v>
      </c>
      <c r="E2291" s="7" t="n">
        <v>1</v>
      </c>
      <c r="F2291" s="7" t="s">
        <v>3004</v>
      </c>
      <c r="G2291" s="12" t="str">
        <f aca="false">IFERROR(INDEX('Semrush Data'!$A$1:$Z$20000,MATCH(A2291,'Semrush Data'!$A$1:$A$20000,0),MATCH("Volume",'Semrush Data'!$A$1:$Z$1,0)),"")</f>
        <v/>
      </c>
      <c r="H2291" s="7" t="str">
        <f aca="false">IFERROR(INDEX('Semrush Data'!$A$1:$Z$20000,MATCH(A2291,'Semrush Data'!$A$1:$A$20000,0),MATCH("Keyword Difficulty*",'Semrush Data'!$A$1:$Z$1,0)),"")</f>
        <v/>
      </c>
      <c r="I2291" s="13" t="str">
        <f aca="false">IFERROR(INDEX('Semrush Data'!$A$1:$Z$20000,MATCH(A2291,'Semrush Data'!$A$1:$A$20000,0),MATCH("CPC*",'Semrush Data'!$A$1:$Z$1,0)),"")</f>
        <v/>
      </c>
      <c r="J2291" s="7" t="str">
        <f aca="false">IFERROR(INDEX('Semrush Data'!$A$1:$Z$20000,MATCH(A2291,'Semrush Data'!$A$1:$A$20000,0),MATCH("Intent",'Semrush Data'!$A$1:$Z$1,0)),"")</f>
        <v/>
      </c>
    </row>
    <row r="2292" customFormat="false" ht="15" hidden="false" customHeight="true" outlineLevel="0" collapsed="false">
      <c r="A2292" s="7" t="s">
        <v>6975</v>
      </c>
      <c r="B2292" s="7" t="s">
        <v>6820</v>
      </c>
      <c r="C2292" s="7" t="n">
        <v>3</v>
      </c>
      <c r="D2292" s="7" t="n">
        <v>23</v>
      </c>
      <c r="E2292" s="7" t="n">
        <v>1</v>
      </c>
      <c r="F2292" s="7" t="s">
        <v>3004</v>
      </c>
      <c r="G2292" s="12" t="str">
        <f aca="false">IFERROR(INDEX('Semrush Data'!$A$1:$Z$20000,MATCH(A2292,'Semrush Data'!$A$1:$A$20000,0),MATCH("Volume",'Semrush Data'!$A$1:$Z$1,0)),"")</f>
        <v/>
      </c>
      <c r="H2292" s="7" t="str">
        <f aca="false">IFERROR(INDEX('Semrush Data'!$A$1:$Z$20000,MATCH(A2292,'Semrush Data'!$A$1:$A$20000,0),MATCH("Keyword Difficulty*",'Semrush Data'!$A$1:$Z$1,0)),"")</f>
        <v/>
      </c>
      <c r="I2292" s="13" t="str">
        <f aca="false">IFERROR(INDEX('Semrush Data'!$A$1:$Z$20000,MATCH(A2292,'Semrush Data'!$A$1:$A$20000,0),MATCH("CPC*",'Semrush Data'!$A$1:$Z$1,0)),"")</f>
        <v/>
      </c>
      <c r="J2292" s="7" t="str">
        <f aca="false">IFERROR(INDEX('Semrush Data'!$A$1:$Z$20000,MATCH(A2292,'Semrush Data'!$A$1:$A$20000,0),MATCH("Intent",'Semrush Data'!$A$1:$Z$1,0)),"")</f>
        <v/>
      </c>
    </row>
    <row r="2293" customFormat="false" ht="15" hidden="false" customHeight="true" outlineLevel="0" collapsed="false">
      <c r="A2293" s="7" t="s">
        <v>6976</v>
      </c>
      <c r="B2293" s="7" t="s">
        <v>6820</v>
      </c>
      <c r="C2293" s="7" t="n">
        <v>3</v>
      </c>
      <c r="D2293" s="7" t="n">
        <v>23</v>
      </c>
      <c r="E2293" s="7" t="n">
        <v>1</v>
      </c>
      <c r="F2293" s="7" t="s">
        <v>3004</v>
      </c>
      <c r="G2293" s="12" t="str">
        <f aca="false">IFERROR(INDEX('Semrush Data'!$A$1:$Z$20000,MATCH(A2293,'Semrush Data'!$A$1:$A$20000,0),MATCH("Volume",'Semrush Data'!$A$1:$Z$1,0)),"")</f>
        <v/>
      </c>
      <c r="H2293" s="7" t="str">
        <f aca="false">IFERROR(INDEX('Semrush Data'!$A$1:$Z$20000,MATCH(A2293,'Semrush Data'!$A$1:$A$20000,0),MATCH("Keyword Difficulty*",'Semrush Data'!$A$1:$Z$1,0)),"")</f>
        <v/>
      </c>
      <c r="I2293" s="13" t="str">
        <f aca="false">IFERROR(INDEX('Semrush Data'!$A$1:$Z$20000,MATCH(A2293,'Semrush Data'!$A$1:$A$20000,0),MATCH("CPC*",'Semrush Data'!$A$1:$Z$1,0)),"")</f>
        <v/>
      </c>
      <c r="J2293" s="7" t="str">
        <f aca="false">IFERROR(INDEX('Semrush Data'!$A$1:$Z$20000,MATCH(A2293,'Semrush Data'!$A$1:$A$20000,0),MATCH("Intent",'Semrush Data'!$A$1:$Z$1,0)),"")</f>
        <v/>
      </c>
    </row>
    <row r="2294" customFormat="false" ht="15" hidden="false" customHeight="true" outlineLevel="0" collapsed="false">
      <c r="A2294" s="7" t="s">
        <v>6977</v>
      </c>
      <c r="B2294" s="7" t="s">
        <v>6820</v>
      </c>
      <c r="C2294" s="7" t="n">
        <v>3</v>
      </c>
      <c r="D2294" s="7" t="n">
        <v>23</v>
      </c>
      <c r="E2294" s="7" t="n">
        <v>2</v>
      </c>
      <c r="F2294" s="7" t="s">
        <v>6791</v>
      </c>
      <c r="G2294" s="12" t="str">
        <f aca="false">IFERROR(INDEX('Semrush Data'!$A$1:$Z$20000,MATCH(A2294,'Semrush Data'!$A$1:$A$20000,0),MATCH("Volume",'Semrush Data'!$A$1:$Z$1,0)),"")</f>
        <v/>
      </c>
      <c r="H2294" s="7" t="str">
        <f aca="false">IFERROR(INDEX('Semrush Data'!$A$1:$Z$20000,MATCH(A2294,'Semrush Data'!$A$1:$A$20000,0),MATCH("Keyword Difficulty*",'Semrush Data'!$A$1:$Z$1,0)),"")</f>
        <v/>
      </c>
      <c r="I2294" s="13" t="str">
        <f aca="false">IFERROR(INDEX('Semrush Data'!$A$1:$Z$20000,MATCH(A2294,'Semrush Data'!$A$1:$A$20000,0),MATCH("CPC*",'Semrush Data'!$A$1:$Z$1,0)),"")</f>
        <v/>
      </c>
      <c r="J2294" s="7" t="str">
        <f aca="false">IFERROR(INDEX('Semrush Data'!$A$1:$Z$20000,MATCH(A2294,'Semrush Data'!$A$1:$A$20000,0),MATCH("Intent",'Semrush Data'!$A$1:$Z$1,0)),"")</f>
        <v/>
      </c>
    </row>
    <row r="2295" customFormat="false" ht="15" hidden="false" customHeight="true" outlineLevel="0" collapsed="false">
      <c r="A2295" s="7" t="s">
        <v>6978</v>
      </c>
      <c r="B2295" s="7" t="s">
        <v>6820</v>
      </c>
      <c r="C2295" s="7" t="n">
        <v>3</v>
      </c>
      <c r="D2295" s="7" t="n">
        <v>23</v>
      </c>
      <c r="E2295" s="7" t="n">
        <v>2</v>
      </c>
      <c r="F2295" s="7" t="s">
        <v>6791</v>
      </c>
      <c r="G2295" s="12" t="str">
        <f aca="false">IFERROR(INDEX('Semrush Data'!$A$1:$Z$20000,MATCH(A2295,'Semrush Data'!$A$1:$A$20000,0),MATCH("Volume",'Semrush Data'!$A$1:$Z$1,0)),"")</f>
        <v/>
      </c>
      <c r="H2295" s="7" t="str">
        <f aca="false">IFERROR(INDEX('Semrush Data'!$A$1:$Z$20000,MATCH(A2295,'Semrush Data'!$A$1:$A$20000,0),MATCH("Keyword Difficulty*",'Semrush Data'!$A$1:$Z$1,0)),"")</f>
        <v/>
      </c>
      <c r="I2295" s="13" t="str">
        <f aca="false">IFERROR(INDEX('Semrush Data'!$A$1:$Z$20000,MATCH(A2295,'Semrush Data'!$A$1:$A$20000,0),MATCH("CPC*",'Semrush Data'!$A$1:$Z$1,0)),"")</f>
        <v/>
      </c>
      <c r="J2295" s="7" t="str">
        <f aca="false">IFERROR(INDEX('Semrush Data'!$A$1:$Z$20000,MATCH(A2295,'Semrush Data'!$A$1:$A$20000,0),MATCH("Intent",'Semrush Data'!$A$1:$Z$1,0)),"")</f>
        <v/>
      </c>
    </row>
    <row r="2296" customFormat="false" ht="15" hidden="false" customHeight="true" outlineLevel="0" collapsed="false">
      <c r="A2296" s="7" t="s">
        <v>6979</v>
      </c>
      <c r="B2296" s="7" t="s">
        <v>6820</v>
      </c>
      <c r="C2296" s="7" t="n">
        <v>3</v>
      </c>
      <c r="D2296" s="7" t="n">
        <v>23</v>
      </c>
      <c r="E2296" s="7" t="n">
        <v>2</v>
      </c>
      <c r="F2296" s="7" t="s">
        <v>6791</v>
      </c>
      <c r="G2296" s="12" t="str">
        <f aca="false">IFERROR(INDEX('Semrush Data'!$A$1:$Z$20000,MATCH(A2296,'Semrush Data'!$A$1:$A$20000,0),MATCH("Volume",'Semrush Data'!$A$1:$Z$1,0)),"")</f>
        <v/>
      </c>
      <c r="H2296" s="7" t="str">
        <f aca="false">IFERROR(INDEX('Semrush Data'!$A$1:$Z$20000,MATCH(A2296,'Semrush Data'!$A$1:$A$20000,0),MATCH("Keyword Difficulty*",'Semrush Data'!$A$1:$Z$1,0)),"")</f>
        <v/>
      </c>
      <c r="I2296" s="13" t="str">
        <f aca="false">IFERROR(INDEX('Semrush Data'!$A$1:$Z$20000,MATCH(A2296,'Semrush Data'!$A$1:$A$20000,0),MATCH("CPC*",'Semrush Data'!$A$1:$Z$1,0)),"")</f>
        <v/>
      </c>
      <c r="J2296" s="7" t="str">
        <f aca="false">IFERROR(INDEX('Semrush Data'!$A$1:$Z$20000,MATCH(A2296,'Semrush Data'!$A$1:$A$20000,0),MATCH("Intent",'Semrush Data'!$A$1:$Z$1,0)),"")</f>
        <v/>
      </c>
    </row>
    <row r="2297" customFormat="false" ht="15" hidden="false" customHeight="true" outlineLevel="0" collapsed="false">
      <c r="A2297" s="7" t="s">
        <v>6980</v>
      </c>
      <c r="B2297" s="7" t="s">
        <v>6820</v>
      </c>
      <c r="C2297" s="7" t="n">
        <v>3</v>
      </c>
      <c r="D2297" s="7" t="n">
        <v>23</v>
      </c>
      <c r="E2297" s="7" t="n">
        <v>2</v>
      </c>
      <c r="F2297" s="7" t="s">
        <v>6791</v>
      </c>
      <c r="G2297" s="12" t="str">
        <f aca="false">IFERROR(INDEX('Semrush Data'!$A$1:$Z$20000,MATCH(A2297,'Semrush Data'!$A$1:$A$20000,0),MATCH("Volume",'Semrush Data'!$A$1:$Z$1,0)),"")</f>
        <v/>
      </c>
      <c r="H2297" s="7" t="str">
        <f aca="false">IFERROR(INDEX('Semrush Data'!$A$1:$Z$20000,MATCH(A2297,'Semrush Data'!$A$1:$A$20000,0),MATCH("Keyword Difficulty*",'Semrush Data'!$A$1:$Z$1,0)),"")</f>
        <v/>
      </c>
      <c r="I2297" s="13" t="str">
        <f aca="false">IFERROR(INDEX('Semrush Data'!$A$1:$Z$20000,MATCH(A2297,'Semrush Data'!$A$1:$A$20000,0),MATCH("CPC*",'Semrush Data'!$A$1:$Z$1,0)),"")</f>
        <v/>
      </c>
      <c r="J2297" s="7" t="str">
        <f aca="false">IFERROR(INDEX('Semrush Data'!$A$1:$Z$20000,MATCH(A2297,'Semrush Data'!$A$1:$A$20000,0),MATCH("Intent",'Semrush Data'!$A$1:$Z$1,0)),"")</f>
        <v/>
      </c>
    </row>
    <row r="2298" customFormat="false" ht="15" hidden="false" customHeight="true" outlineLevel="0" collapsed="false">
      <c r="A2298" s="7" t="s">
        <v>6981</v>
      </c>
      <c r="B2298" s="7" t="s">
        <v>6820</v>
      </c>
      <c r="C2298" s="7" t="n">
        <v>3</v>
      </c>
      <c r="D2298" s="7" t="n">
        <v>23</v>
      </c>
      <c r="E2298" s="7" t="n">
        <v>2</v>
      </c>
      <c r="F2298" s="7" t="s">
        <v>6791</v>
      </c>
      <c r="G2298" s="12" t="str">
        <f aca="false">IFERROR(INDEX('Semrush Data'!$A$1:$Z$20000,MATCH(A2298,'Semrush Data'!$A$1:$A$20000,0),MATCH("Volume",'Semrush Data'!$A$1:$Z$1,0)),"")</f>
        <v/>
      </c>
      <c r="H2298" s="7" t="str">
        <f aca="false">IFERROR(INDEX('Semrush Data'!$A$1:$Z$20000,MATCH(A2298,'Semrush Data'!$A$1:$A$20000,0),MATCH("Keyword Difficulty*",'Semrush Data'!$A$1:$Z$1,0)),"")</f>
        <v/>
      </c>
      <c r="I2298" s="13" t="str">
        <f aca="false">IFERROR(INDEX('Semrush Data'!$A$1:$Z$20000,MATCH(A2298,'Semrush Data'!$A$1:$A$20000,0),MATCH("CPC*",'Semrush Data'!$A$1:$Z$1,0)),"")</f>
        <v/>
      </c>
      <c r="J2298" s="7" t="str">
        <f aca="false">IFERROR(INDEX('Semrush Data'!$A$1:$Z$20000,MATCH(A2298,'Semrush Data'!$A$1:$A$20000,0),MATCH("Intent",'Semrush Data'!$A$1:$Z$1,0)),"")</f>
        <v/>
      </c>
    </row>
    <row r="2299" customFormat="false" ht="15" hidden="false" customHeight="true" outlineLevel="0" collapsed="false">
      <c r="A2299" s="7" t="s">
        <v>6982</v>
      </c>
      <c r="B2299" s="7" t="s">
        <v>6820</v>
      </c>
      <c r="C2299" s="7" t="n">
        <v>3</v>
      </c>
      <c r="D2299" s="7" t="n">
        <v>23</v>
      </c>
      <c r="E2299" s="7" t="n">
        <v>2</v>
      </c>
      <c r="F2299" s="7" t="s">
        <v>6790</v>
      </c>
      <c r="G2299" s="12" t="str">
        <f aca="false">IFERROR(INDEX('Semrush Data'!$A$1:$Z$20000,MATCH(A2299,'Semrush Data'!$A$1:$A$20000,0),MATCH("Volume",'Semrush Data'!$A$1:$Z$1,0)),"")</f>
        <v/>
      </c>
      <c r="H2299" s="7" t="str">
        <f aca="false">IFERROR(INDEX('Semrush Data'!$A$1:$Z$20000,MATCH(A2299,'Semrush Data'!$A$1:$A$20000,0),MATCH("Keyword Difficulty*",'Semrush Data'!$A$1:$Z$1,0)),"")</f>
        <v/>
      </c>
      <c r="I2299" s="13" t="str">
        <f aca="false">IFERROR(INDEX('Semrush Data'!$A$1:$Z$20000,MATCH(A2299,'Semrush Data'!$A$1:$A$20000,0),MATCH("CPC*",'Semrush Data'!$A$1:$Z$1,0)),"")</f>
        <v/>
      </c>
      <c r="J2299" s="7" t="str">
        <f aca="false">IFERROR(INDEX('Semrush Data'!$A$1:$Z$20000,MATCH(A2299,'Semrush Data'!$A$1:$A$20000,0),MATCH("Intent",'Semrush Data'!$A$1:$Z$1,0)),"")</f>
        <v/>
      </c>
    </row>
    <row r="2300" customFormat="false" ht="15" hidden="false" customHeight="true" outlineLevel="0" collapsed="false">
      <c r="A2300" s="7" t="s">
        <v>6983</v>
      </c>
      <c r="B2300" s="7" t="s">
        <v>6820</v>
      </c>
      <c r="C2300" s="7" t="n">
        <v>3</v>
      </c>
      <c r="D2300" s="7" t="n">
        <v>23</v>
      </c>
      <c r="E2300" s="7" t="n">
        <v>2</v>
      </c>
      <c r="F2300" s="7" t="s">
        <v>6790</v>
      </c>
      <c r="G2300" s="12" t="str">
        <f aca="false">IFERROR(INDEX('Semrush Data'!$A$1:$Z$20000,MATCH(A2300,'Semrush Data'!$A$1:$A$20000,0),MATCH("Volume",'Semrush Data'!$A$1:$Z$1,0)),"")</f>
        <v/>
      </c>
      <c r="H2300" s="7" t="str">
        <f aca="false">IFERROR(INDEX('Semrush Data'!$A$1:$Z$20000,MATCH(A2300,'Semrush Data'!$A$1:$A$20000,0),MATCH("Keyword Difficulty*",'Semrush Data'!$A$1:$Z$1,0)),"")</f>
        <v/>
      </c>
      <c r="I2300" s="13" t="str">
        <f aca="false">IFERROR(INDEX('Semrush Data'!$A$1:$Z$20000,MATCH(A2300,'Semrush Data'!$A$1:$A$20000,0),MATCH("CPC*",'Semrush Data'!$A$1:$Z$1,0)),"")</f>
        <v/>
      </c>
      <c r="J2300" s="7" t="str">
        <f aca="false">IFERROR(INDEX('Semrush Data'!$A$1:$Z$20000,MATCH(A2300,'Semrush Data'!$A$1:$A$20000,0),MATCH("Intent",'Semrush Data'!$A$1:$Z$1,0)),"")</f>
        <v/>
      </c>
    </row>
    <row r="2301" customFormat="false" ht="15" hidden="false" customHeight="true" outlineLevel="0" collapsed="false">
      <c r="A2301" s="7" t="s">
        <v>6984</v>
      </c>
      <c r="B2301" s="7" t="s">
        <v>6820</v>
      </c>
      <c r="C2301" s="7" t="n">
        <v>3</v>
      </c>
      <c r="D2301" s="7" t="n">
        <v>23</v>
      </c>
      <c r="E2301" s="7" t="n">
        <v>2</v>
      </c>
      <c r="F2301" s="7" t="s">
        <v>6790</v>
      </c>
      <c r="G2301" s="12" t="str">
        <f aca="false">IFERROR(INDEX('Semrush Data'!$A$1:$Z$20000,MATCH(A2301,'Semrush Data'!$A$1:$A$20000,0),MATCH("Volume",'Semrush Data'!$A$1:$Z$1,0)),"")</f>
        <v/>
      </c>
      <c r="H2301" s="7" t="str">
        <f aca="false">IFERROR(INDEX('Semrush Data'!$A$1:$Z$20000,MATCH(A2301,'Semrush Data'!$A$1:$A$20000,0),MATCH("Keyword Difficulty*",'Semrush Data'!$A$1:$Z$1,0)),"")</f>
        <v/>
      </c>
      <c r="I2301" s="13" t="str">
        <f aca="false">IFERROR(INDEX('Semrush Data'!$A$1:$Z$20000,MATCH(A2301,'Semrush Data'!$A$1:$A$20000,0),MATCH("CPC*",'Semrush Data'!$A$1:$Z$1,0)),"")</f>
        <v/>
      </c>
      <c r="J2301" s="7" t="str">
        <f aca="false">IFERROR(INDEX('Semrush Data'!$A$1:$Z$20000,MATCH(A2301,'Semrush Data'!$A$1:$A$20000,0),MATCH("Intent",'Semrush Data'!$A$1:$Z$1,0)),"")</f>
        <v/>
      </c>
    </row>
    <row r="2302" customFormat="false" ht="15" hidden="false" customHeight="true" outlineLevel="0" collapsed="false">
      <c r="A2302" s="7" t="s">
        <v>6985</v>
      </c>
      <c r="B2302" s="7" t="s">
        <v>6820</v>
      </c>
      <c r="C2302" s="7" t="n">
        <v>3</v>
      </c>
      <c r="D2302" s="7" t="n">
        <v>24</v>
      </c>
      <c r="E2302" s="7" t="n">
        <v>1</v>
      </c>
      <c r="F2302" s="7" t="s">
        <v>3103</v>
      </c>
      <c r="G2302" s="12" t="str">
        <f aca="false">IFERROR(INDEX('Semrush Data'!$A$1:$Z$20000,MATCH(A2302,'Semrush Data'!$A$1:$A$20000,0),MATCH("Volume",'Semrush Data'!$A$1:$Z$1,0)),"")</f>
        <v/>
      </c>
      <c r="H2302" s="7" t="str">
        <f aca="false">IFERROR(INDEX('Semrush Data'!$A$1:$Z$20000,MATCH(A2302,'Semrush Data'!$A$1:$A$20000,0),MATCH("Keyword Difficulty*",'Semrush Data'!$A$1:$Z$1,0)),"")</f>
        <v/>
      </c>
      <c r="I2302" s="13" t="str">
        <f aca="false">IFERROR(INDEX('Semrush Data'!$A$1:$Z$20000,MATCH(A2302,'Semrush Data'!$A$1:$A$20000,0),MATCH("CPC*",'Semrush Data'!$A$1:$Z$1,0)),"")</f>
        <v/>
      </c>
      <c r="J2302" s="7" t="str">
        <f aca="false">IFERROR(INDEX('Semrush Data'!$A$1:$Z$20000,MATCH(A2302,'Semrush Data'!$A$1:$A$20000,0),MATCH("Intent",'Semrush Data'!$A$1:$Z$1,0)),"")</f>
        <v/>
      </c>
    </row>
    <row r="2303" customFormat="false" ht="15" hidden="false" customHeight="true" outlineLevel="0" collapsed="false">
      <c r="A2303" s="7" t="s">
        <v>6986</v>
      </c>
      <c r="B2303" s="7" t="s">
        <v>6820</v>
      </c>
      <c r="C2303" s="7" t="n">
        <v>3</v>
      </c>
      <c r="D2303" s="7" t="n">
        <v>24</v>
      </c>
      <c r="E2303" s="7" t="n">
        <v>1</v>
      </c>
      <c r="F2303" s="7" t="s">
        <v>3063</v>
      </c>
      <c r="G2303" s="12" t="str">
        <f aca="false">IFERROR(INDEX('Semrush Data'!$A$1:$Z$20000,MATCH(A2303,'Semrush Data'!$A$1:$A$20000,0),MATCH("Volume",'Semrush Data'!$A$1:$Z$1,0)),"")</f>
        <v/>
      </c>
      <c r="H2303" s="7" t="str">
        <f aca="false">IFERROR(INDEX('Semrush Data'!$A$1:$Z$20000,MATCH(A2303,'Semrush Data'!$A$1:$A$20000,0),MATCH("Keyword Difficulty*",'Semrush Data'!$A$1:$Z$1,0)),"")</f>
        <v/>
      </c>
      <c r="I2303" s="13" t="str">
        <f aca="false">IFERROR(INDEX('Semrush Data'!$A$1:$Z$20000,MATCH(A2303,'Semrush Data'!$A$1:$A$20000,0),MATCH("CPC*",'Semrush Data'!$A$1:$Z$1,0)),"")</f>
        <v/>
      </c>
      <c r="J2303" s="7" t="str">
        <f aca="false">IFERROR(INDEX('Semrush Data'!$A$1:$Z$20000,MATCH(A2303,'Semrush Data'!$A$1:$A$20000,0),MATCH("Intent",'Semrush Data'!$A$1:$Z$1,0)),"")</f>
        <v/>
      </c>
    </row>
    <row r="2304" customFormat="false" ht="15" hidden="false" customHeight="true" outlineLevel="0" collapsed="false">
      <c r="A2304" s="7" t="s">
        <v>6987</v>
      </c>
      <c r="B2304" s="7" t="s">
        <v>6820</v>
      </c>
      <c r="C2304" s="7" t="n">
        <v>3</v>
      </c>
      <c r="D2304" s="7" t="n">
        <v>24</v>
      </c>
      <c r="E2304" s="7" t="n">
        <v>1</v>
      </c>
      <c r="F2304" s="7" t="s">
        <v>3063</v>
      </c>
      <c r="G2304" s="12" t="str">
        <f aca="false">IFERROR(INDEX('Semrush Data'!$A$1:$Z$20000,MATCH(A2304,'Semrush Data'!$A$1:$A$20000,0),MATCH("Volume",'Semrush Data'!$A$1:$Z$1,0)),"")</f>
        <v/>
      </c>
      <c r="H2304" s="7" t="str">
        <f aca="false">IFERROR(INDEX('Semrush Data'!$A$1:$Z$20000,MATCH(A2304,'Semrush Data'!$A$1:$A$20000,0),MATCH("Keyword Difficulty*",'Semrush Data'!$A$1:$Z$1,0)),"")</f>
        <v/>
      </c>
      <c r="I2304" s="13" t="str">
        <f aca="false">IFERROR(INDEX('Semrush Data'!$A$1:$Z$20000,MATCH(A2304,'Semrush Data'!$A$1:$A$20000,0),MATCH("CPC*",'Semrush Data'!$A$1:$Z$1,0)),"")</f>
        <v/>
      </c>
      <c r="J2304" s="7" t="str">
        <f aca="false">IFERROR(INDEX('Semrush Data'!$A$1:$Z$20000,MATCH(A2304,'Semrush Data'!$A$1:$A$20000,0),MATCH("Intent",'Semrush Data'!$A$1:$Z$1,0)),"")</f>
        <v/>
      </c>
    </row>
    <row r="2305" customFormat="false" ht="15" hidden="false" customHeight="true" outlineLevel="0" collapsed="false">
      <c r="A2305" s="7" t="s">
        <v>6988</v>
      </c>
      <c r="B2305" s="7" t="s">
        <v>6820</v>
      </c>
      <c r="C2305" s="7" t="n">
        <v>3</v>
      </c>
      <c r="D2305" s="7" t="n">
        <v>24</v>
      </c>
      <c r="E2305" s="7" t="n">
        <v>1</v>
      </c>
      <c r="F2305" s="7" t="s">
        <v>3063</v>
      </c>
      <c r="G2305" s="12" t="str">
        <f aca="false">IFERROR(INDEX('Semrush Data'!$A$1:$Z$20000,MATCH(A2305,'Semrush Data'!$A$1:$A$20000,0),MATCH("Volume",'Semrush Data'!$A$1:$Z$1,0)),"")</f>
        <v/>
      </c>
      <c r="H2305" s="7" t="str">
        <f aca="false">IFERROR(INDEX('Semrush Data'!$A$1:$Z$20000,MATCH(A2305,'Semrush Data'!$A$1:$A$20000,0),MATCH("Keyword Difficulty*",'Semrush Data'!$A$1:$Z$1,0)),"")</f>
        <v/>
      </c>
      <c r="I2305" s="13" t="str">
        <f aca="false">IFERROR(INDEX('Semrush Data'!$A$1:$Z$20000,MATCH(A2305,'Semrush Data'!$A$1:$A$20000,0),MATCH("CPC*",'Semrush Data'!$A$1:$Z$1,0)),"")</f>
        <v/>
      </c>
      <c r="J2305" s="7" t="str">
        <f aca="false">IFERROR(INDEX('Semrush Data'!$A$1:$Z$20000,MATCH(A2305,'Semrush Data'!$A$1:$A$20000,0),MATCH("Intent",'Semrush Data'!$A$1:$Z$1,0)),"")</f>
        <v/>
      </c>
    </row>
    <row r="2306" customFormat="false" ht="15" hidden="false" customHeight="true" outlineLevel="0" collapsed="false">
      <c r="A2306" s="7" t="s">
        <v>6989</v>
      </c>
      <c r="B2306" s="7" t="s">
        <v>6820</v>
      </c>
      <c r="C2306" s="7" t="n">
        <v>3</v>
      </c>
      <c r="D2306" s="7" t="n">
        <v>24</v>
      </c>
      <c r="E2306" s="7" t="n">
        <v>1</v>
      </c>
      <c r="F2306" s="7" t="s">
        <v>3063</v>
      </c>
      <c r="G2306" s="12" t="str">
        <f aca="false">IFERROR(INDEX('Semrush Data'!$A$1:$Z$20000,MATCH(A2306,'Semrush Data'!$A$1:$A$20000,0),MATCH("Volume",'Semrush Data'!$A$1:$Z$1,0)),"")</f>
        <v/>
      </c>
      <c r="H2306" s="7" t="str">
        <f aca="false">IFERROR(INDEX('Semrush Data'!$A$1:$Z$20000,MATCH(A2306,'Semrush Data'!$A$1:$A$20000,0),MATCH("Keyword Difficulty*",'Semrush Data'!$A$1:$Z$1,0)),"")</f>
        <v/>
      </c>
      <c r="I2306" s="13" t="str">
        <f aca="false">IFERROR(INDEX('Semrush Data'!$A$1:$Z$20000,MATCH(A2306,'Semrush Data'!$A$1:$A$20000,0),MATCH("CPC*",'Semrush Data'!$A$1:$Z$1,0)),"")</f>
        <v/>
      </c>
      <c r="J2306" s="7" t="str">
        <f aca="false">IFERROR(INDEX('Semrush Data'!$A$1:$Z$20000,MATCH(A2306,'Semrush Data'!$A$1:$A$20000,0),MATCH("Intent",'Semrush Data'!$A$1:$Z$1,0)),"")</f>
        <v/>
      </c>
    </row>
    <row r="2307" customFormat="false" ht="15" hidden="false" customHeight="true" outlineLevel="0" collapsed="false">
      <c r="A2307" s="7" t="s">
        <v>6990</v>
      </c>
      <c r="B2307" s="7" t="s">
        <v>6820</v>
      </c>
      <c r="C2307" s="7" t="n">
        <v>3</v>
      </c>
      <c r="D2307" s="7" t="n">
        <v>24</v>
      </c>
      <c r="E2307" s="7" t="n">
        <v>1</v>
      </c>
      <c r="F2307" s="7" t="s">
        <v>3063</v>
      </c>
      <c r="G2307" s="12" t="str">
        <f aca="false">IFERROR(INDEX('Semrush Data'!$A$1:$Z$20000,MATCH(A2307,'Semrush Data'!$A$1:$A$20000,0),MATCH("Volume",'Semrush Data'!$A$1:$Z$1,0)),"")</f>
        <v/>
      </c>
      <c r="H2307" s="7" t="str">
        <f aca="false">IFERROR(INDEX('Semrush Data'!$A$1:$Z$20000,MATCH(A2307,'Semrush Data'!$A$1:$A$20000,0),MATCH("Keyword Difficulty*",'Semrush Data'!$A$1:$Z$1,0)),"")</f>
        <v/>
      </c>
      <c r="I2307" s="13" t="str">
        <f aca="false">IFERROR(INDEX('Semrush Data'!$A$1:$Z$20000,MATCH(A2307,'Semrush Data'!$A$1:$A$20000,0),MATCH("CPC*",'Semrush Data'!$A$1:$Z$1,0)),"")</f>
        <v/>
      </c>
      <c r="J2307" s="7" t="str">
        <f aca="false">IFERROR(INDEX('Semrush Data'!$A$1:$Z$20000,MATCH(A2307,'Semrush Data'!$A$1:$A$20000,0),MATCH("Intent",'Semrush Data'!$A$1:$Z$1,0)),"")</f>
        <v/>
      </c>
    </row>
    <row r="2308" customFormat="false" ht="15" hidden="false" customHeight="true" outlineLevel="0" collapsed="false">
      <c r="A2308" s="7" t="s">
        <v>6991</v>
      </c>
      <c r="B2308" s="7" t="s">
        <v>6820</v>
      </c>
      <c r="C2308" s="7" t="n">
        <v>3</v>
      </c>
      <c r="D2308" s="7" t="n">
        <v>24</v>
      </c>
      <c r="E2308" s="7" t="n">
        <v>1</v>
      </c>
      <c r="F2308" s="7" t="s">
        <v>3063</v>
      </c>
      <c r="G2308" s="12" t="str">
        <f aca="false">IFERROR(INDEX('Semrush Data'!$A$1:$Z$20000,MATCH(A2308,'Semrush Data'!$A$1:$A$20000,0),MATCH("Volume",'Semrush Data'!$A$1:$Z$1,0)),"")</f>
        <v/>
      </c>
      <c r="H2308" s="7" t="str">
        <f aca="false">IFERROR(INDEX('Semrush Data'!$A$1:$Z$20000,MATCH(A2308,'Semrush Data'!$A$1:$A$20000,0),MATCH("Keyword Difficulty*",'Semrush Data'!$A$1:$Z$1,0)),"")</f>
        <v/>
      </c>
      <c r="I2308" s="13" t="str">
        <f aca="false">IFERROR(INDEX('Semrush Data'!$A$1:$Z$20000,MATCH(A2308,'Semrush Data'!$A$1:$A$20000,0),MATCH("CPC*",'Semrush Data'!$A$1:$Z$1,0)),"")</f>
        <v/>
      </c>
      <c r="J2308" s="7" t="str">
        <f aca="false">IFERROR(INDEX('Semrush Data'!$A$1:$Z$20000,MATCH(A2308,'Semrush Data'!$A$1:$A$20000,0),MATCH("Intent",'Semrush Data'!$A$1:$Z$1,0)),"")</f>
        <v/>
      </c>
    </row>
    <row r="2309" customFormat="false" ht="15" hidden="false" customHeight="true" outlineLevel="0" collapsed="false">
      <c r="A2309" s="7" t="s">
        <v>6992</v>
      </c>
      <c r="B2309" s="7" t="s">
        <v>6820</v>
      </c>
      <c r="C2309" s="7" t="n">
        <v>3</v>
      </c>
      <c r="D2309" s="7" t="n">
        <v>24</v>
      </c>
      <c r="E2309" s="7" t="n">
        <v>1</v>
      </c>
      <c r="F2309" s="7" t="s">
        <v>76</v>
      </c>
      <c r="G2309" s="12" t="str">
        <f aca="false">IFERROR(INDEX('Semrush Data'!$A$1:$Z$20000,MATCH(A2309,'Semrush Data'!$A$1:$A$20000,0),MATCH("Volume",'Semrush Data'!$A$1:$Z$1,0)),"")</f>
        <v/>
      </c>
      <c r="H2309" s="7" t="str">
        <f aca="false">IFERROR(INDEX('Semrush Data'!$A$1:$Z$20000,MATCH(A2309,'Semrush Data'!$A$1:$A$20000,0),MATCH("Keyword Difficulty*",'Semrush Data'!$A$1:$Z$1,0)),"")</f>
        <v/>
      </c>
      <c r="I2309" s="13" t="str">
        <f aca="false">IFERROR(INDEX('Semrush Data'!$A$1:$Z$20000,MATCH(A2309,'Semrush Data'!$A$1:$A$20000,0),MATCH("CPC*",'Semrush Data'!$A$1:$Z$1,0)),"")</f>
        <v/>
      </c>
      <c r="J2309" s="7" t="str">
        <f aca="false">IFERROR(INDEX('Semrush Data'!$A$1:$Z$20000,MATCH(A2309,'Semrush Data'!$A$1:$A$20000,0),MATCH("Intent",'Semrush Data'!$A$1:$Z$1,0)),"")</f>
        <v/>
      </c>
    </row>
    <row r="2310" customFormat="false" ht="15" hidden="false" customHeight="true" outlineLevel="0" collapsed="false">
      <c r="A2310" s="7" t="s">
        <v>6993</v>
      </c>
      <c r="B2310" s="7" t="s">
        <v>6820</v>
      </c>
      <c r="C2310" s="7" t="n">
        <v>3</v>
      </c>
      <c r="D2310" s="7" t="s">
        <v>6818</v>
      </c>
      <c r="E2310" s="7" t="n">
        <v>1</v>
      </c>
      <c r="F2310" s="7" t="s">
        <v>76</v>
      </c>
      <c r="G2310" s="12" t="str">
        <f aca="false">IFERROR(INDEX('Semrush Data'!$A$1:$Z$20000,MATCH(A2310,'Semrush Data'!$A$1:$A$20000,0),MATCH("Volume",'Semrush Data'!$A$1:$Z$1,0)),"")</f>
        <v/>
      </c>
      <c r="H2310" s="7" t="str">
        <f aca="false">IFERROR(INDEX('Semrush Data'!$A$1:$Z$20000,MATCH(A2310,'Semrush Data'!$A$1:$A$20000,0),MATCH("Keyword Difficulty*",'Semrush Data'!$A$1:$Z$1,0)),"")</f>
        <v/>
      </c>
      <c r="I2310" s="13" t="str">
        <f aca="false">IFERROR(INDEX('Semrush Data'!$A$1:$Z$20000,MATCH(A2310,'Semrush Data'!$A$1:$A$20000,0),MATCH("CPC*",'Semrush Data'!$A$1:$Z$1,0)),"")</f>
        <v/>
      </c>
      <c r="J2310" s="7" t="str">
        <f aca="false">IFERROR(INDEX('Semrush Data'!$A$1:$Z$20000,MATCH(A2310,'Semrush Data'!$A$1:$A$20000,0),MATCH("Intent",'Semrush Data'!$A$1:$Z$1,0)),"")</f>
        <v/>
      </c>
    </row>
    <row r="2311" customFormat="false" ht="15" hidden="false" customHeight="true" outlineLevel="0" collapsed="false">
      <c r="A2311" s="7" t="s">
        <v>6994</v>
      </c>
      <c r="B2311" s="7" t="s">
        <v>6820</v>
      </c>
      <c r="C2311" s="7" t="n">
        <v>3</v>
      </c>
      <c r="D2311" s="7" t="s">
        <v>6818</v>
      </c>
      <c r="E2311" s="7" t="n">
        <v>1</v>
      </c>
      <c r="F2311" s="7" t="s">
        <v>76</v>
      </c>
      <c r="G2311" s="12" t="str">
        <f aca="false">IFERROR(INDEX('Semrush Data'!$A$1:$Z$20000,MATCH(A2311,'Semrush Data'!$A$1:$A$20000,0),MATCH("Volume",'Semrush Data'!$A$1:$Z$1,0)),"")</f>
        <v/>
      </c>
      <c r="H2311" s="7" t="str">
        <f aca="false">IFERROR(INDEX('Semrush Data'!$A$1:$Z$20000,MATCH(A2311,'Semrush Data'!$A$1:$A$20000,0),MATCH("Keyword Difficulty*",'Semrush Data'!$A$1:$Z$1,0)),"")</f>
        <v/>
      </c>
      <c r="I2311" s="13" t="str">
        <f aca="false">IFERROR(INDEX('Semrush Data'!$A$1:$Z$20000,MATCH(A2311,'Semrush Data'!$A$1:$A$20000,0),MATCH("CPC*",'Semrush Data'!$A$1:$Z$1,0)),"")</f>
        <v/>
      </c>
      <c r="J2311" s="7" t="str">
        <f aca="false">IFERROR(INDEX('Semrush Data'!$A$1:$Z$20000,MATCH(A2311,'Semrush Data'!$A$1:$A$20000,0),MATCH("Intent",'Semrush Data'!$A$1:$Z$1,0)),"")</f>
        <v/>
      </c>
    </row>
    <row r="2312" customFormat="false" ht="15" hidden="false" customHeight="true" outlineLevel="0" collapsed="false">
      <c r="A2312" s="7" t="s">
        <v>6995</v>
      </c>
      <c r="B2312" s="7" t="s">
        <v>6820</v>
      </c>
      <c r="C2312" s="7" t="n">
        <v>3</v>
      </c>
      <c r="D2312" s="7" t="n">
        <v>24</v>
      </c>
      <c r="E2312" s="7" t="n">
        <v>1</v>
      </c>
      <c r="F2312" s="7" t="s">
        <v>76</v>
      </c>
      <c r="G2312" s="12" t="str">
        <f aca="false">IFERROR(INDEX('Semrush Data'!$A$1:$Z$20000,MATCH(A2312,'Semrush Data'!$A$1:$A$20000,0),MATCH("Volume",'Semrush Data'!$A$1:$Z$1,0)),"")</f>
        <v/>
      </c>
      <c r="H2312" s="7" t="str">
        <f aca="false">IFERROR(INDEX('Semrush Data'!$A$1:$Z$20000,MATCH(A2312,'Semrush Data'!$A$1:$A$20000,0),MATCH("Keyword Difficulty*",'Semrush Data'!$A$1:$Z$1,0)),"")</f>
        <v/>
      </c>
      <c r="I2312" s="13" t="str">
        <f aca="false">IFERROR(INDEX('Semrush Data'!$A$1:$Z$20000,MATCH(A2312,'Semrush Data'!$A$1:$A$20000,0),MATCH("CPC*",'Semrush Data'!$A$1:$Z$1,0)),"")</f>
        <v/>
      </c>
      <c r="J2312" s="7" t="str">
        <f aca="false">IFERROR(INDEX('Semrush Data'!$A$1:$Z$20000,MATCH(A2312,'Semrush Data'!$A$1:$A$20000,0),MATCH("Intent",'Semrush Data'!$A$1:$Z$1,0)),"")</f>
        <v/>
      </c>
    </row>
    <row r="2313" customFormat="false" ht="15" hidden="false" customHeight="true" outlineLevel="0" collapsed="false">
      <c r="A2313" s="7" t="s">
        <v>6996</v>
      </c>
      <c r="B2313" s="7" t="s">
        <v>6820</v>
      </c>
      <c r="C2313" s="7" t="n">
        <v>3</v>
      </c>
      <c r="D2313" s="7" t="n">
        <v>24</v>
      </c>
      <c r="E2313" s="7" t="n">
        <v>1</v>
      </c>
      <c r="F2313" s="7" t="s">
        <v>3073</v>
      </c>
      <c r="G2313" s="12" t="str">
        <f aca="false">IFERROR(INDEX('Semrush Data'!$A$1:$Z$20000,MATCH(A2313,'Semrush Data'!$A$1:$A$20000,0),MATCH("Volume",'Semrush Data'!$A$1:$Z$1,0)),"")</f>
        <v/>
      </c>
      <c r="H2313" s="7" t="str">
        <f aca="false">IFERROR(INDEX('Semrush Data'!$A$1:$Z$20000,MATCH(A2313,'Semrush Data'!$A$1:$A$20000,0),MATCH("Keyword Difficulty*",'Semrush Data'!$A$1:$Z$1,0)),"")</f>
        <v/>
      </c>
      <c r="I2313" s="13" t="str">
        <f aca="false">IFERROR(INDEX('Semrush Data'!$A$1:$Z$20000,MATCH(A2313,'Semrush Data'!$A$1:$A$20000,0),MATCH("CPC*",'Semrush Data'!$A$1:$Z$1,0)),"")</f>
        <v/>
      </c>
      <c r="J2313" s="7" t="str">
        <f aca="false">IFERROR(INDEX('Semrush Data'!$A$1:$Z$20000,MATCH(A2313,'Semrush Data'!$A$1:$A$20000,0),MATCH("Intent",'Semrush Data'!$A$1:$Z$1,0)),"")</f>
        <v/>
      </c>
    </row>
    <row r="2314" customFormat="false" ht="15" hidden="false" customHeight="true" outlineLevel="0" collapsed="false">
      <c r="A2314" s="7" t="s">
        <v>6997</v>
      </c>
      <c r="B2314" s="7" t="s">
        <v>6820</v>
      </c>
      <c r="C2314" s="7" t="n">
        <v>3</v>
      </c>
      <c r="D2314" s="7" t="n">
        <v>24</v>
      </c>
      <c r="E2314" s="7" t="n">
        <v>1</v>
      </c>
      <c r="F2314" s="7" t="s">
        <v>3073</v>
      </c>
      <c r="G2314" s="12" t="str">
        <f aca="false">IFERROR(INDEX('Semrush Data'!$A$1:$Z$20000,MATCH(A2314,'Semrush Data'!$A$1:$A$20000,0),MATCH("Volume",'Semrush Data'!$A$1:$Z$1,0)),"")</f>
        <v/>
      </c>
      <c r="H2314" s="7" t="str">
        <f aca="false">IFERROR(INDEX('Semrush Data'!$A$1:$Z$20000,MATCH(A2314,'Semrush Data'!$A$1:$A$20000,0),MATCH("Keyword Difficulty*",'Semrush Data'!$A$1:$Z$1,0)),"")</f>
        <v/>
      </c>
      <c r="I2314" s="13" t="str">
        <f aca="false">IFERROR(INDEX('Semrush Data'!$A$1:$Z$20000,MATCH(A2314,'Semrush Data'!$A$1:$A$20000,0),MATCH("CPC*",'Semrush Data'!$A$1:$Z$1,0)),"")</f>
        <v/>
      </c>
      <c r="J2314" s="7" t="str">
        <f aca="false">IFERROR(INDEX('Semrush Data'!$A$1:$Z$20000,MATCH(A2314,'Semrush Data'!$A$1:$A$20000,0),MATCH("Intent",'Semrush Data'!$A$1:$Z$1,0)),"")</f>
        <v/>
      </c>
    </row>
    <row r="2315" customFormat="false" ht="15" hidden="false" customHeight="true" outlineLevel="0" collapsed="false">
      <c r="A2315" s="7" t="s">
        <v>6998</v>
      </c>
      <c r="B2315" s="7" t="s">
        <v>6820</v>
      </c>
      <c r="C2315" s="7" t="n">
        <v>3</v>
      </c>
      <c r="D2315" s="7" t="n">
        <v>24</v>
      </c>
      <c r="E2315" s="7" t="n">
        <v>1</v>
      </c>
      <c r="F2315" s="7" t="s">
        <v>3073</v>
      </c>
      <c r="G2315" s="12" t="str">
        <f aca="false">IFERROR(INDEX('Semrush Data'!$A$1:$Z$20000,MATCH(A2315,'Semrush Data'!$A$1:$A$20000,0),MATCH("Volume",'Semrush Data'!$A$1:$Z$1,0)),"")</f>
        <v/>
      </c>
      <c r="H2315" s="7" t="str">
        <f aca="false">IFERROR(INDEX('Semrush Data'!$A$1:$Z$20000,MATCH(A2315,'Semrush Data'!$A$1:$A$20000,0),MATCH("Keyword Difficulty*",'Semrush Data'!$A$1:$Z$1,0)),"")</f>
        <v/>
      </c>
      <c r="I2315" s="13" t="str">
        <f aca="false">IFERROR(INDEX('Semrush Data'!$A$1:$Z$20000,MATCH(A2315,'Semrush Data'!$A$1:$A$20000,0),MATCH("CPC*",'Semrush Data'!$A$1:$Z$1,0)),"")</f>
        <v/>
      </c>
      <c r="J2315" s="7" t="str">
        <f aca="false">IFERROR(INDEX('Semrush Data'!$A$1:$Z$20000,MATCH(A2315,'Semrush Data'!$A$1:$A$20000,0),MATCH("Intent",'Semrush Data'!$A$1:$Z$1,0)),"")</f>
        <v/>
      </c>
    </row>
    <row r="2316" customFormat="false" ht="15" hidden="false" customHeight="true" outlineLevel="0" collapsed="false">
      <c r="A2316" s="7" t="s">
        <v>6999</v>
      </c>
      <c r="B2316" s="7" t="s">
        <v>6820</v>
      </c>
      <c r="C2316" s="7" t="n">
        <v>3</v>
      </c>
      <c r="D2316" s="7" t="n">
        <v>24</v>
      </c>
      <c r="E2316" s="7" t="n">
        <v>1</v>
      </c>
      <c r="F2316" s="7" t="s">
        <v>3073</v>
      </c>
      <c r="G2316" s="12" t="str">
        <f aca="false">IFERROR(INDEX('Semrush Data'!$A$1:$Z$20000,MATCH(A2316,'Semrush Data'!$A$1:$A$20000,0),MATCH("Volume",'Semrush Data'!$A$1:$Z$1,0)),"")</f>
        <v/>
      </c>
      <c r="H2316" s="7" t="str">
        <f aca="false">IFERROR(INDEX('Semrush Data'!$A$1:$Z$20000,MATCH(A2316,'Semrush Data'!$A$1:$A$20000,0),MATCH("Keyword Difficulty*",'Semrush Data'!$A$1:$Z$1,0)),"")</f>
        <v/>
      </c>
      <c r="I2316" s="13" t="str">
        <f aca="false">IFERROR(INDEX('Semrush Data'!$A$1:$Z$20000,MATCH(A2316,'Semrush Data'!$A$1:$A$20000,0),MATCH("CPC*",'Semrush Data'!$A$1:$Z$1,0)),"")</f>
        <v/>
      </c>
      <c r="J2316" s="7" t="str">
        <f aca="false">IFERROR(INDEX('Semrush Data'!$A$1:$Z$20000,MATCH(A2316,'Semrush Data'!$A$1:$A$20000,0),MATCH("Intent",'Semrush Data'!$A$1:$Z$1,0)),"")</f>
        <v/>
      </c>
    </row>
    <row r="2317" customFormat="false" ht="15" hidden="false" customHeight="true" outlineLevel="0" collapsed="false">
      <c r="A2317" s="7" t="s">
        <v>7000</v>
      </c>
      <c r="B2317" s="7" t="s">
        <v>6820</v>
      </c>
      <c r="C2317" s="7" t="n">
        <v>3</v>
      </c>
      <c r="D2317" s="7" t="n">
        <v>24</v>
      </c>
      <c r="E2317" s="7" t="n">
        <v>1</v>
      </c>
      <c r="F2317" s="7" t="s">
        <v>3073</v>
      </c>
      <c r="G2317" s="12" t="str">
        <f aca="false">IFERROR(INDEX('Semrush Data'!$A$1:$Z$20000,MATCH(A2317,'Semrush Data'!$A$1:$A$20000,0),MATCH("Volume",'Semrush Data'!$A$1:$Z$1,0)),"")</f>
        <v/>
      </c>
      <c r="H2317" s="7" t="str">
        <f aca="false">IFERROR(INDEX('Semrush Data'!$A$1:$Z$20000,MATCH(A2317,'Semrush Data'!$A$1:$A$20000,0),MATCH("Keyword Difficulty*",'Semrush Data'!$A$1:$Z$1,0)),"")</f>
        <v/>
      </c>
      <c r="I2317" s="13" t="str">
        <f aca="false">IFERROR(INDEX('Semrush Data'!$A$1:$Z$20000,MATCH(A2317,'Semrush Data'!$A$1:$A$20000,0),MATCH("CPC*",'Semrush Data'!$A$1:$Z$1,0)),"")</f>
        <v/>
      </c>
      <c r="J2317" s="7" t="str">
        <f aca="false">IFERROR(INDEX('Semrush Data'!$A$1:$Z$20000,MATCH(A2317,'Semrush Data'!$A$1:$A$20000,0),MATCH("Intent",'Semrush Data'!$A$1:$Z$1,0)),"")</f>
        <v/>
      </c>
    </row>
    <row r="2318" customFormat="false" ht="15" hidden="false" customHeight="true" outlineLevel="0" collapsed="false">
      <c r="A2318" s="7" t="s">
        <v>7001</v>
      </c>
      <c r="B2318" s="7" t="s">
        <v>6820</v>
      </c>
      <c r="C2318" s="7" t="n">
        <v>3</v>
      </c>
      <c r="D2318" s="7" t="n">
        <v>24</v>
      </c>
      <c r="E2318" s="7" t="n">
        <v>1</v>
      </c>
      <c r="F2318" s="7" t="s">
        <v>3083</v>
      </c>
      <c r="G2318" s="12" t="str">
        <f aca="false">IFERROR(INDEX('Semrush Data'!$A$1:$Z$20000,MATCH(A2318,'Semrush Data'!$A$1:$A$20000,0),MATCH("Volume",'Semrush Data'!$A$1:$Z$1,0)),"")</f>
        <v/>
      </c>
      <c r="H2318" s="7" t="str">
        <f aca="false">IFERROR(INDEX('Semrush Data'!$A$1:$Z$20000,MATCH(A2318,'Semrush Data'!$A$1:$A$20000,0),MATCH("Keyword Difficulty*",'Semrush Data'!$A$1:$Z$1,0)),"")</f>
        <v/>
      </c>
      <c r="I2318" s="13" t="str">
        <f aca="false">IFERROR(INDEX('Semrush Data'!$A$1:$Z$20000,MATCH(A2318,'Semrush Data'!$A$1:$A$20000,0),MATCH("CPC*",'Semrush Data'!$A$1:$Z$1,0)),"")</f>
        <v/>
      </c>
      <c r="J2318" s="7" t="str">
        <f aca="false">IFERROR(INDEX('Semrush Data'!$A$1:$Z$20000,MATCH(A2318,'Semrush Data'!$A$1:$A$20000,0),MATCH("Intent",'Semrush Data'!$A$1:$Z$1,0)),"")</f>
        <v/>
      </c>
    </row>
    <row r="2319" customFormat="false" ht="15" hidden="false" customHeight="true" outlineLevel="0" collapsed="false">
      <c r="A2319" s="7" t="s">
        <v>7002</v>
      </c>
      <c r="B2319" s="7" t="s">
        <v>6820</v>
      </c>
      <c r="C2319" s="7" t="n">
        <v>3</v>
      </c>
      <c r="D2319" s="7" t="n">
        <v>24</v>
      </c>
      <c r="E2319" s="7" t="n">
        <v>1</v>
      </c>
      <c r="F2319" s="7" t="s">
        <v>3083</v>
      </c>
      <c r="G2319" s="12" t="str">
        <f aca="false">IFERROR(INDEX('Semrush Data'!$A$1:$Z$20000,MATCH(A2319,'Semrush Data'!$A$1:$A$20000,0),MATCH("Volume",'Semrush Data'!$A$1:$Z$1,0)),"")</f>
        <v/>
      </c>
      <c r="H2319" s="7" t="str">
        <f aca="false">IFERROR(INDEX('Semrush Data'!$A$1:$Z$20000,MATCH(A2319,'Semrush Data'!$A$1:$A$20000,0),MATCH("Keyword Difficulty*",'Semrush Data'!$A$1:$Z$1,0)),"")</f>
        <v/>
      </c>
      <c r="I2319" s="13" t="str">
        <f aca="false">IFERROR(INDEX('Semrush Data'!$A$1:$Z$20000,MATCH(A2319,'Semrush Data'!$A$1:$A$20000,0),MATCH("CPC*",'Semrush Data'!$A$1:$Z$1,0)),"")</f>
        <v/>
      </c>
      <c r="J2319" s="7" t="str">
        <f aca="false">IFERROR(INDEX('Semrush Data'!$A$1:$Z$20000,MATCH(A2319,'Semrush Data'!$A$1:$A$20000,0),MATCH("Intent",'Semrush Data'!$A$1:$Z$1,0)),"")</f>
        <v/>
      </c>
    </row>
    <row r="2320" customFormat="false" ht="15" hidden="false" customHeight="true" outlineLevel="0" collapsed="false">
      <c r="A2320" s="7" t="s">
        <v>7003</v>
      </c>
      <c r="B2320" s="7" t="s">
        <v>6820</v>
      </c>
      <c r="C2320" s="7" t="n">
        <v>3</v>
      </c>
      <c r="D2320" s="7" t="n">
        <v>24</v>
      </c>
      <c r="E2320" s="7" t="n">
        <v>1</v>
      </c>
      <c r="F2320" s="7" t="s">
        <v>3083</v>
      </c>
      <c r="G2320" s="12" t="str">
        <f aca="false">IFERROR(INDEX('Semrush Data'!$A$1:$Z$20000,MATCH(A2320,'Semrush Data'!$A$1:$A$20000,0),MATCH("Volume",'Semrush Data'!$A$1:$Z$1,0)),"")</f>
        <v/>
      </c>
      <c r="H2320" s="7" t="str">
        <f aca="false">IFERROR(INDEX('Semrush Data'!$A$1:$Z$20000,MATCH(A2320,'Semrush Data'!$A$1:$A$20000,0),MATCH("Keyword Difficulty*",'Semrush Data'!$A$1:$Z$1,0)),"")</f>
        <v/>
      </c>
      <c r="I2320" s="13" t="str">
        <f aca="false">IFERROR(INDEX('Semrush Data'!$A$1:$Z$20000,MATCH(A2320,'Semrush Data'!$A$1:$A$20000,0),MATCH("CPC*",'Semrush Data'!$A$1:$Z$1,0)),"")</f>
        <v/>
      </c>
      <c r="J2320" s="7" t="str">
        <f aca="false">IFERROR(INDEX('Semrush Data'!$A$1:$Z$20000,MATCH(A2320,'Semrush Data'!$A$1:$A$20000,0),MATCH("Intent",'Semrush Data'!$A$1:$Z$1,0)),"")</f>
        <v/>
      </c>
    </row>
    <row r="2321" customFormat="false" ht="15" hidden="false" customHeight="true" outlineLevel="0" collapsed="false">
      <c r="A2321" s="7" t="s">
        <v>7004</v>
      </c>
      <c r="B2321" s="7" t="s">
        <v>6820</v>
      </c>
      <c r="C2321" s="7" t="n">
        <v>3</v>
      </c>
      <c r="D2321" s="7" t="n">
        <v>24</v>
      </c>
      <c r="E2321" s="7" t="n">
        <v>1</v>
      </c>
      <c r="F2321" s="7" t="s">
        <v>3093</v>
      </c>
      <c r="G2321" s="12" t="str">
        <f aca="false">IFERROR(INDEX('Semrush Data'!$A$1:$Z$20000,MATCH(A2321,'Semrush Data'!$A$1:$A$20000,0),MATCH("Volume",'Semrush Data'!$A$1:$Z$1,0)),"")</f>
        <v/>
      </c>
      <c r="H2321" s="7" t="str">
        <f aca="false">IFERROR(INDEX('Semrush Data'!$A$1:$Z$20000,MATCH(A2321,'Semrush Data'!$A$1:$A$20000,0),MATCH("Keyword Difficulty*",'Semrush Data'!$A$1:$Z$1,0)),"")</f>
        <v/>
      </c>
      <c r="I2321" s="13" t="str">
        <f aca="false">IFERROR(INDEX('Semrush Data'!$A$1:$Z$20000,MATCH(A2321,'Semrush Data'!$A$1:$A$20000,0),MATCH("CPC*",'Semrush Data'!$A$1:$Z$1,0)),"")</f>
        <v/>
      </c>
      <c r="J2321" s="7" t="str">
        <f aca="false">IFERROR(INDEX('Semrush Data'!$A$1:$Z$20000,MATCH(A2321,'Semrush Data'!$A$1:$A$20000,0),MATCH("Intent",'Semrush Data'!$A$1:$Z$1,0)),"")</f>
        <v/>
      </c>
    </row>
    <row r="2322" customFormat="false" ht="15" hidden="false" customHeight="true" outlineLevel="0" collapsed="false">
      <c r="A2322" s="7" t="s">
        <v>7005</v>
      </c>
      <c r="B2322" s="7" t="s">
        <v>6820</v>
      </c>
      <c r="C2322" s="7" t="n">
        <v>3</v>
      </c>
      <c r="D2322" s="7" t="n">
        <v>24</v>
      </c>
      <c r="E2322" s="7" t="n">
        <v>1</v>
      </c>
      <c r="F2322" s="7" t="s">
        <v>3093</v>
      </c>
      <c r="G2322" s="12" t="str">
        <f aca="false">IFERROR(INDEX('Semrush Data'!$A$1:$Z$20000,MATCH(A2322,'Semrush Data'!$A$1:$A$20000,0),MATCH("Volume",'Semrush Data'!$A$1:$Z$1,0)),"")</f>
        <v/>
      </c>
      <c r="H2322" s="7" t="str">
        <f aca="false">IFERROR(INDEX('Semrush Data'!$A$1:$Z$20000,MATCH(A2322,'Semrush Data'!$A$1:$A$20000,0),MATCH("Keyword Difficulty*",'Semrush Data'!$A$1:$Z$1,0)),"")</f>
        <v/>
      </c>
      <c r="I2322" s="13" t="str">
        <f aca="false">IFERROR(INDEX('Semrush Data'!$A$1:$Z$20000,MATCH(A2322,'Semrush Data'!$A$1:$A$20000,0),MATCH("CPC*",'Semrush Data'!$A$1:$Z$1,0)),"")</f>
        <v/>
      </c>
      <c r="J2322" s="7" t="str">
        <f aca="false">IFERROR(INDEX('Semrush Data'!$A$1:$Z$20000,MATCH(A2322,'Semrush Data'!$A$1:$A$20000,0),MATCH("Intent",'Semrush Data'!$A$1:$Z$1,0)),"")</f>
        <v/>
      </c>
    </row>
    <row r="2323" customFormat="false" ht="15" hidden="false" customHeight="true" outlineLevel="0" collapsed="false">
      <c r="A2323" s="7" t="s">
        <v>7006</v>
      </c>
      <c r="B2323" s="7" t="s">
        <v>6820</v>
      </c>
      <c r="C2323" s="7" t="n">
        <v>3</v>
      </c>
      <c r="D2323" s="7" t="n">
        <v>24</v>
      </c>
      <c r="E2323" s="7" t="n">
        <v>1</v>
      </c>
      <c r="F2323" s="7" t="s">
        <v>3093</v>
      </c>
      <c r="G2323" s="12" t="str">
        <f aca="false">IFERROR(INDEX('Semrush Data'!$A$1:$Z$20000,MATCH(A2323,'Semrush Data'!$A$1:$A$20000,0),MATCH("Volume",'Semrush Data'!$A$1:$Z$1,0)),"")</f>
        <v/>
      </c>
      <c r="H2323" s="7" t="str">
        <f aca="false">IFERROR(INDEX('Semrush Data'!$A$1:$Z$20000,MATCH(A2323,'Semrush Data'!$A$1:$A$20000,0),MATCH("Keyword Difficulty*",'Semrush Data'!$A$1:$Z$1,0)),"")</f>
        <v/>
      </c>
      <c r="I2323" s="13" t="str">
        <f aca="false">IFERROR(INDEX('Semrush Data'!$A$1:$Z$20000,MATCH(A2323,'Semrush Data'!$A$1:$A$20000,0),MATCH("CPC*",'Semrush Data'!$A$1:$Z$1,0)),"")</f>
        <v/>
      </c>
      <c r="J2323" s="7" t="str">
        <f aca="false">IFERROR(INDEX('Semrush Data'!$A$1:$Z$20000,MATCH(A2323,'Semrush Data'!$A$1:$A$20000,0),MATCH("Intent",'Semrush Data'!$A$1:$Z$1,0)),"")</f>
        <v/>
      </c>
    </row>
    <row r="2324" customFormat="false" ht="15" hidden="false" customHeight="true" outlineLevel="0" collapsed="false">
      <c r="A2324" s="7" t="s">
        <v>7007</v>
      </c>
      <c r="B2324" s="7" t="s">
        <v>6820</v>
      </c>
      <c r="C2324" s="7" t="n">
        <v>3</v>
      </c>
      <c r="D2324" s="7" t="n">
        <v>24</v>
      </c>
      <c r="E2324" s="7" t="n">
        <v>1</v>
      </c>
      <c r="F2324" s="7" t="s">
        <v>3093</v>
      </c>
      <c r="G2324" s="12" t="str">
        <f aca="false">IFERROR(INDEX('Semrush Data'!$A$1:$Z$20000,MATCH(A2324,'Semrush Data'!$A$1:$A$20000,0),MATCH("Volume",'Semrush Data'!$A$1:$Z$1,0)),"")</f>
        <v/>
      </c>
      <c r="H2324" s="7" t="str">
        <f aca="false">IFERROR(INDEX('Semrush Data'!$A$1:$Z$20000,MATCH(A2324,'Semrush Data'!$A$1:$A$20000,0),MATCH("Keyword Difficulty*",'Semrush Data'!$A$1:$Z$1,0)),"")</f>
        <v/>
      </c>
      <c r="I2324" s="13" t="str">
        <f aca="false">IFERROR(INDEX('Semrush Data'!$A$1:$Z$20000,MATCH(A2324,'Semrush Data'!$A$1:$A$20000,0),MATCH("CPC*",'Semrush Data'!$A$1:$Z$1,0)),"")</f>
        <v/>
      </c>
      <c r="J2324" s="7" t="str">
        <f aca="false">IFERROR(INDEX('Semrush Data'!$A$1:$Z$20000,MATCH(A2324,'Semrush Data'!$A$1:$A$20000,0),MATCH("Intent",'Semrush Data'!$A$1:$Z$1,0)),"")</f>
        <v/>
      </c>
    </row>
    <row r="2325" customFormat="false" ht="15" hidden="false" customHeight="true" outlineLevel="0" collapsed="false">
      <c r="A2325" s="7" t="s">
        <v>7008</v>
      </c>
      <c r="B2325" s="7" t="s">
        <v>6820</v>
      </c>
      <c r="C2325" s="7" t="n">
        <v>3</v>
      </c>
      <c r="D2325" s="7" t="n">
        <v>24</v>
      </c>
      <c r="E2325" s="7" t="n">
        <v>1</v>
      </c>
      <c r="F2325" s="7" t="s">
        <v>3093</v>
      </c>
      <c r="G2325" s="12" t="str">
        <f aca="false">IFERROR(INDEX('Semrush Data'!$A$1:$Z$20000,MATCH(A2325,'Semrush Data'!$A$1:$A$20000,0),MATCH("Volume",'Semrush Data'!$A$1:$Z$1,0)),"")</f>
        <v/>
      </c>
      <c r="H2325" s="7" t="str">
        <f aca="false">IFERROR(INDEX('Semrush Data'!$A$1:$Z$20000,MATCH(A2325,'Semrush Data'!$A$1:$A$20000,0),MATCH("Keyword Difficulty*",'Semrush Data'!$A$1:$Z$1,0)),"")</f>
        <v/>
      </c>
      <c r="I2325" s="13" t="str">
        <f aca="false">IFERROR(INDEX('Semrush Data'!$A$1:$Z$20000,MATCH(A2325,'Semrush Data'!$A$1:$A$20000,0),MATCH("CPC*",'Semrush Data'!$A$1:$Z$1,0)),"")</f>
        <v/>
      </c>
      <c r="J2325" s="7" t="str">
        <f aca="false">IFERROR(INDEX('Semrush Data'!$A$1:$Z$20000,MATCH(A2325,'Semrush Data'!$A$1:$A$20000,0),MATCH("Intent",'Semrush Data'!$A$1:$Z$1,0)),"")</f>
        <v/>
      </c>
    </row>
    <row r="2326" customFormat="false" ht="15" hidden="false" customHeight="true" outlineLevel="0" collapsed="false">
      <c r="A2326" s="7" t="s">
        <v>7009</v>
      </c>
      <c r="B2326" s="7" t="s">
        <v>6820</v>
      </c>
      <c r="C2326" s="7" t="n">
        <v>3</v>
      </c>
      <c r="D2326" s="7" t="n">
        <v>24</v>
      </c>
      <c r="E2326" s="7" t="n">
        <v>1</v>
      </c>
      <c r="F2326" s="7" t="s">
        <v>3093</v>
      </c>
      <c r="G2326" s="12" t="str">
        <f aca="false">IFERROR(INDEX('Semrush Data'!$A$1:$Z$20000,MATCH(A2326,'Semrush Data'!$A$1:$A$20000,0),MATCH("Volume",'Semrush Data'!$A$1:$Z$1,0)),"")</f>
        <v/>
      </c>
      <c r="H2326" s="7" t="str">
        <f aca="false">IFERROR(INDEX('Semrush Data'!$A$1:$Z$20000,MATCH(A2326,'Semrush Data'!$A$1:$A$20000,0),MATCH("Keyword Difficulty*",'Semrush Data'!$A$1:$Z$1,0)),"")</f>
        <v/>
      </c>
      <c r="I2326" s="13" t="str">
        <f aca="false">IFERROR(INDEX('Semrush Data'!$A$1:$Z$20000,MATCH(A2326,'Semrush Data'!$A$1:$A$20000,0),MATCH("CPC*",'Semrush Data'!$A$1:$Z$1,0)),"")</f>
        <v/>
      </c>
      <c r="J2326" s="7" t="str">
        <f aca="false">IFERROR(INDEX('Semrush Data'!$A$1:$Z$20000,MATCH(A2326,'Semrush Data'!$A$1:$A$20000,0),MATCH("Intent",'Semrush Data'!$A$1:$Z$1,0)),"")</f>
        <v/>
      </c>
    </row>
    <row r="2327" customFormat="false" ht="15" hidden="false" customHeight="true" outlineLevel="0" collapsed="false">
      <c r="A2327" s="7" t="s">
        <v>7010</v>
      </c>
      <c r="B2327" s="7" t="s">
        <v>6820</v>
      </c>
      <c r="C2327" s="7" t="n">
        <v>3</v>
      </c>
      <c r="D2327" s="7" t="n">
        <v>24</v>
      </c>
      <c r="E2327" s="7" t="n">
        <v>1</v>
      </c>
      <c r="F2327" s="7" t="s">
        <v>142</v>
      </c>
      <c r="G2327" s="12" t="str">
        <f aca="false">IFERROR(INDEX('Semrush Data'!$A$1:$Z$20000,MATCH(A2327,'Semrush Data'!$A$1:$A$20000,0),MATCH("Volume",'Semrush Data'!$A$1:$Z$1,0)),"")</f>
        <v/>
      </c>
      <c r="H2327" s="7" t="str">
        <f aca="false">IFERROR(INDEX('Semrush Data'!$A$1:$Z$20000,MATCH(A2327,'Semrush Data'!$A$1:$A$20000,0),MATCH("Keyword Difficulty*",'Semrush Data'!$A$1:$Z$1,0)),"")</f>
        <v/>
      </c>
      <c r="I2327" s="13" t="str">
        <f aca="false">IFERROR(INDEX('Semrush Data'!$A$1:$Z$20000,MATCH(A2327,'Semrush Data'!$A$1:$A$20000,0),MATCH("CPC*",'Semrush Data'!$A$1:$Z$1,0)),"")</f>
        <v/>
      </c>
      <c r="J2327" s="7" t="str">
        <f aca="false">IFERROR(INDEX('Semrush Data'!$A$1:$Z$20000,MATCH(A2327,'Semrush Data'!$A$1:$A$20000,0),MATCH("Intent",'Semrush Data'!$A$1:$Z$1,0)),"")</f>
        <v/>
      </c>
    </row>
    <row r="2328" customFormat="false" ht="15" hidden="false" customHeight="true" outlineLevel="0" collapsed="false">
      <c r="A2328" s="7" t="s">
        <v>7011</v>
      </c>
      <c r="B2328" s="7" t="s">
        <v>6820</v>
      </c>
      <c r="C2328" s="7" t="n">
        <v>3</v>
      </c>
      <c r="D2328" s="7" t="s">
        <v>6843</v>
      </c>
      <c r="E2328" s="7" t="n">
        <v>1</v>
      </c>
      <c r="F2328" s="7" t="s">
        <v>142</v>
      </c>
      <c r="G2328" s="12" t="str">
        <f aca="false">IFERROR(INDEX('Semrush Data'!$A$1:$Z$20000,MATCH(A2328,'Semrush Data'!$A$1:$A$20000,0),MATCH("Volume",'Semrush Data'!$A$1:$Z$1,0)),"")</f>
        <v/>
      </c>
      <c r="H2328" s="7" t="str">
        <f aca="false">IFERROR(INDEX('Semrush Data'!$A$1:$Z$20000,MATCH(A2328,'Semrush Data'!$A$1:$A$20000,0),MATCH("Keyword Difficulty*",'Semrush Data'!$A$1:$Z$1,0)),"")</f>
        <v/>
      </c>
      <c r="I2328" s="13" t="str">
        <f aca="false">IFERROR(INDEX('Semrush Data'!$A$1:$Z$20000,MATCH(A2328,'Semrush Data'!$A$1:$A$20000,0),MATCH("CPC*",'Semrush Data'!$A$1:$Z$1,0)),"")</f>
        <v/>
      </c>
      <c r="J2328" s="7" t="str">
        <f aca="false">IFERROR(INDEX('Semrush Data'!$A$1:$Z$20000,MATCH(A2328,'Semrush Data'!$A$1:$A$20000,0),MATCH("Intent",'Semrush Data'!$A$1:$Z$1,0)),"")</f>
        <v/>
      </c>
    </row>
    <row r="2329" customFormat="false" ht="15" hidden="false" customHeight="true" outlineLevel="0" collapsed="false">
      <c r="A2329" s="7" t="s">
        <v>7012</v>
      </c>
      <c r="B2329" s="7" t="s">
        <v>6820</v>
      </c>
      <c r="C2329" s="7" t="n">
        <v>3</v>
      </c>
      <c r="D2329" s="7" t="n">
        <v>24</v>
      </c>
      <c r="E2329" s="7" t="n">
        <v>1</v>
      </c>
      <c r="F2329" s="7" t="s">
        <v>142</v>
      </c>
      <c r="G2329" s="12" t="str">
        <f aca="false">IFERROR(INDEX('Semrush Data'!$A$1:$Z$20000,MATCH(A2329,'Semrush Data'!$A$1:$A$20000,0),MATCH("Volume",'Semrush Data'!$A$1:$Z$1,0)),"")</f>
        <v/>
      </c>
      <c r="H2329" s="7" t="str">
        <f aca="false">IFERROR(INDEX('Semrush Data'!$A$1:$Z$20000,MATCH(A2329,'Semrush Data'!$A$1:$A$20000,0),MATCH("Keyword Difficulty*",'Semrush Data'!$A$1:$Z$1,0)),"")</f>
        <v/>
      </c>
      <c r="I2329" s="13" t="str">
        <f aca="false">IFERROR(INDEX('Semrush Data'!$A$1:$Z$20000,MATCH(A2329,'Semrush Data'!$A$1:$A$20000,0),MATCH("CPC*",'Semrush Data'!$A$1:$Z$1,0)),"")</f>
        <v/>
      </c>
      <c r="J2329" s="7" t="str">
        <f aca="false">IFERROR(INDEX('Semrush Data'!$A$1:$Z$20000,MATCH(A2329,'Semrush Data'!$A$1:$A$20000,0),MATCH("Intent",'Semrush Data'!$A$1:$Z$1,0)),"")</f>
        <v/>
      </c>
    </row>
    <row r="2330" customFormat="false" ht="15" hidden="false" customHeight="true" outlineLevel="0" collapsed="false">
      <c r="A2330" s="7" t="s">
        <v>7013</v>
      </c>
      <c r="B2330" s="7" t="s">
        <v>6820</v>
      </c>
      <c r="C2330" s="7" t="n">
        <v>3</v>
      </c>
      <c r="D2330" s="7" t="n">
        <v>24</v>
      </c>
      <c r="E2330" s="7" t="n">
        <v>1</v>
      </c>
      <c r="F2330" s="7" t="s">
        <v>142</v>
      </c>
      <c r="G2330" s="12" t="str">
        <f aca="false">IFERROR(INDEX('Semrush Data'!$A$1:$Z$20000,MATCH(A2330,'Semrush Data'!$A$1:$A$20000,0),MATCH("Volume",'Semrush Data'!$A$1:$Z$1,0)),"")</f>
        <v/>
      </c>
      <c r="H2330" s="7" t="str">
        <f aca="false">IFERROR(INDEX('Semrush Data'!$A$1:$Z$20000,MATCH(A2330,'Semrush Data'!$A$1:$A$20000,0),MATCH("Keyword Difficulty*",'Semrush Data'!$A$1:$Z$1,0)),"")</f>
        <v/>
      </c>
      <c r="I2330" s="13" t="str">
        <f aca="false">IFERROR(INDEX('Semrush Data'!$A$1:$Z$20000,MATCH(A2330,'Semrush Data'!$A$1:$A$20000,0),MATCH("CPC*",'Semrush Data'!$A$1:$Z$1,0)),"")</f>
        <v/>
      </c>
      <c r="J2330" s="7" t="str">
        <f aca="false">IFERROR(INDEX('Semrush Data'!$A$1:$Z$20000,MATCH(A2330,'Semrush Data'!$A$1:$A$20000,0),MATCH("Intent",'Semrush Data'!$A$1:$Z$1,0)),"")</f>
        <v/>
      </c>
    </row>
    <row r="2331" customFormat="false" ht="15" hidden="false" customHeight="true" outlineLevel="0" collapsed="false">
      <c r="A2331" s="7" t="s">
        <v>7014</v>
      </c>
      <c r="B2331" s="7" t="s">
        <v>6820</v>
      </c>
      <c r="C2331" s="7" t="n">
        <v>3</v>
      </c>
      <c r="D2331" s="7" t="s">
        <v>6843</v>
      </c>
      <c r="E2331" s="7" t="n">
        <v>1</v>
      </c>
      <c r="F2331" s="7" t="s">
        <v>142</v>
      </c>
      <c r="G2331" s="12" t="str">
        <f aca="false">IFERROR(INDEX('Semrush Data'!$A$1:$Z$20000,MATCH(A2331,'Semrush Data'!$A$1:$A$20000,0),MATCH("Volume",'Semrush Data'!$A$1:$Z$1,0)),"")</f>
        <v/>
      </c>
      <c r="H2331" s="7" t="str">
        <f aca="false">IFERROR(INDEX('Semrush Data'!$A$1:$Z$20000,MATCH(A2331,'Semrush Data'!$A$1:$A$20000,0),MATCH("Keyword Difficulty*",'Semrush Data'!$A$1:$Z$1,0)),"")</f>
        <v/>
      </c>
      <c r="I2331" s="13" t="str">
        <f aca="false">IFERROR(INDEX('Semrush Data'!$A$1:$Z$20000,MATCH(A2331,'Semrush Data'!$A$1:$A$20000,0),MATCH("CPC*",'Semrush Data'!$A$1:$Z$1,0)),"")</f>
        <v/>
      </c>
      <c r="J2331" s="7" t="str">
        <f aca="false">IFERROR(INDEX('Semrush Data'!$A$1:$Z$20000,MATCH(A2331,'Semrush Data'!$A$1:$A$20000,0),MATCH("Intent",'Semrush Data'!$A$1:$Z$1,0)),"")</f>
        <v/>
      </c>
    </row>
    <row r="2332" customFormat="false" ht="15" hidden="false" customHeight="true" outlineLevel="0" collapsed="false">
      <c r="A2332" s="7" t="s">
        <v>7015</v>
      </c>
      <c r="B2332" s="7" t="s">
        <v>6820</v>
      </c>
      <c r="C2332" s="7" t="n">
        <v>3</v>
      </c>
      <c r="D2332" s="7" t="n">
        <v>24</v>
      </c>
      <c r="E2332" s="7" t="n">
        <v>1</v>
      </c>
      <c r="F2332" s="7" t="s">
        <v>3103</v>
      </c>
      <c r="G2332" s="12" t="str">
        <f aca="false">IFERROR(INDEX('Semrush Data'!$A$1:$Z$20000,MATCH(A2332,'Semrush Data'!$A$1:$A$20000,0),MATCH("Volume",'Semrush Data'!$A$1:$Z$1,0)),"")</f>
        <v/>
      </c>
      <c r="H2332" s="7" t="str">
        <f aca="false">IFERROR(INDEX('Semrush Data'!$A$1:$Z$20000,MATCH(A2332,'Semrush Data'!$A$1:$A$20000,0),MATCH("Keyword Difficulty*",'Semrush Data'!$A$1:$Z$1,0)),"")</f>
        <v/>
      </c>
      <c r="I2332" s="13" t="str">
        <f aca="false">IFERROR(INDEX('Semrush Data'!$A$1:$Z$20000,MATCH(A2332,'Semrush Data'!$A$1:$A$20000,0),MATCH("CPC*",'Semrush Data'!$A$1:$Z$1,0)),"")</f>
        <v/>
      </c>
      <c r="J2332" s="7" t="str">
        <f aca="false">IFERROR(INDEX('Semrush Data'!$A$1:$Z$20000,MATCH(A2332,'Semrush Data'!$A$1:$A$20000,0),MATCH("Intent",'Semrush Data'!$A$1:$Z$1,0)),"")</f>
        <v/>
      </c>
    </row>
    <row r="2333" customFormat="false" ht="15" hidden="false" customHeight="true" outlineLevel="0" collapsed="false">
      <c r="A2333" s="7" t="s">
        <v>7016</v>
      </c>
      <c r="B2333" s="7" t="s">
        <v>6820</v>
      </c>
      <c r="C2333" s="7" t="n">
        <v>3</v>
      </c>
      <c r="D2333" s="7" t="n">
        <v>24</v>
      </c>
      <c r="E2333" s="7" t="n">
        <v>1</v>
      </c>
      <c r="F2333" s="7" t="s">
        <v>3103</v>
      </c>
      <c r="G2333" s="12" t="str">
        <f aca="false">IFERROR(INDEX('Semrush Data'!$A$1:$Z$20000,MATCH(A2333,'Semrush Data'!$A$1:$A$20000,0),MATCH("Volume",'Semrush Data'!$A$1:$Z$1,0)),"")</f>
        <v/>
      </c>
      <c r="H2333" s="7" t="str">
        <f aca="false">IFERROR(INDEX('Semrush Data'!$A$1:$Z$20000,MATCH(A2333,'Semrush Data'!$A$1:$A$20000,0),MATCH("Keyword Difficulty*",'Semrush Data'!$A$1:$Z$1,0)),"")</f>
        <v/>
      </c>
      <c r="I2333" s="13" t="str">
        <f aca="false">IFERROR(INDEX('Semrush Data'!$A$1:$Z$20000,MATCH(A2333,'Semrush Data'!$A$1:$A$20000,0),MATCH("CPC*",'Semrush Data'!$A$1:$Z$1,0)),"")</f>
        <v/>
      </c>
      <c r="J2333" s="7" t="str">
        <f aca="false">IFERROR(INDEX('Semrush Data'!$A$1:$Z$20000,MATCH(A2333,'Semrush Data'!$A$1:$A$20000,0),MATCH("Intent",'Semrush Data'!$A$1:$Z$1,0)),"")</f>
        <v/>
      </c>
    </row>
    <row r="2334" customFormat="false" ht="15" hidden="false" customHeight="true" outlineLevel="0" collapsed="false">
      <c r="A2334" s="7" t="s">
        <v>7017</v>
      </c>
      <c r="B2334" s="7" t="s">
        <v>6820</v>
      </c>
      <c r="C2334" s="7" t="n">
        <v>3</v>
      </c>
      <c r="D2334" s="7" t="n">
        <v>24</v>
      </c>
      <c r="E2334" s="7" t="n">
        <v>1</v>
      </c>
      <c r="F2334" s="7" t="s">
        <v>3103</v>
      </c>
      <c r="G2334" s="12" t="str">
        <f aca="false">IFERROR(INDEX('Semrush Data'!$A$1:$Z$20000,MATCH(A2334,'Semrush Data'!$A$1:$A$20000,0),MATCH("Volume",'Semrush Data'!$A$1:$Z$1,0)),"")</f>
        <v/>
      </c>
      <c r="H2334" s="7" t="str">
        <f aca="false">IFERROR(INDEX('Semrush Data'!$A$1:$Z$20000,MATCH(A2334,'Semrush Data'!$A$1:$A$20000,0),MATCH("Keyword Difficulty*",'Semrush Data'!$A$1:$Z$1,0)),"")</f>
        <v/>
      </c>
      <c r="I2334" s="13" t="str">
        <f aca="false">IFERROR(INDEX('Semrush Data'!$A$1:$Z$20000,MATCH(A2334,'Semrush Data'!$A$1:$A$20000,0),MATCH("CPC*",'Semrush Data'!$A$1:$Z$1,0)),"")</f>
        <v/>
      </c>
      <c r="J2334" s="7" t="str">
        <f aca="false">IFERROR(INDEX('Semrush Data'!$A$1:$Z$20000,MATCH(A2334,'Semrush Data'!$A$1:$A$20000,0),MATCH("Intent",'Semrush Data'!$A$1:$Z$1,0)),"")</f>
        <v/>
      </c>
    </row>
    <row r="2335" customFormat="false" ht="15" hidden="false" customHeight="true" outlineLevel="0" collapsed="false">
      <c r="A2335" s="7" t="s">
        <v>7018</v>
      </c>
      <c r="B2335" s="7" t="s">
        <v>6820</v>
      </c>
      <c r="C2335" s="7" t="n">
        <v>3</v>
      </c>
      <c r="D2335" s="7" t="n">
        <v>24</v>
      </c>
      <c r="E2335" s="7" t="n">
        <v>1</v>
      </c>
      <c r="F2335" s="7" t="s">
        <v>3103</v>
      </c>
      <c r="G2335" s="12" t="str">
        <f aca="false">IFERROR(INDEX('Semrush Data'!$A$1:$Z$20000,MATCH(A2335,'Semrush Data'!$A$1:$A$20000,0),MATCH("Volume",'Semrush Data'!$A$1:$Z$1,0)),"")</f>
        <v/>
      </c>
      <c r="H2335" s="7" t="str">
        <f aca="false">IFERROR(INDEX('Semrush Data'!$A$1:$Z$20000,MATCH(A2335,'Semrush Data'!$A$1:$A$20000,0),MATCH("Keyword Difficulty*",'Semrush Data'!$A$1:$Z$1,0)),"")</f>
        <v/>
      </c>
      <c r="I2335" s="13" t="str">
        <f aca="false">IFERROR(INDEX('Semrush Data'!$A$1:$Z$20000,MATCH(A2335,'Semrush Data'!$A$1:$A$20000,0),MATCH("CPC*",'Semrush Data'!$A$1:$Z$1,0)),"")</f>
        <v/>
      </c>
      <c r="J2335" s="7" t="str">
        <f aca="false">IFERROR(INDEX('Semrush Data'!$A$1:$Z$20000,MATCH(A2335,'Semrush Data'!$A$1:$A$20000,0),MATCH("Intent",'Semrush Data'!$A$1:$Z$1,0)),"")</f>
        <v/>
      </c>
    </row>
    <row r="2336" customFormat="false" ht="15" hidden="false" customHeight="true" outlineLevel="0" collapsed="false">
      <c r="A2336" s="7" t="s">
        <v>7019</v>
      </c>
      <c r="B2336" s="7" t="s">
        <v>6820</v>
      </c>
      <c r="C2336" s="7" t="n">
        <v>3</v>
      </c>
      <c r="D2336" s="7" t="n">
        <v>24</v>
      </c>
      <c r="E2336" s="7" t="n">
        <v>1</v>
      </c>
      <c r="F2336" s="7" t="s">
        <v>3103</v>
      </c>
      <c r="G2336" s="12" t="str">
        <f aca="false">IFERROR(INDEX('Semrush Data'!$A$1:$Z$20000,MATCH(A2336,'Semrush Data'!$A$1:$A$20000,0),MATCH("Volume",'Semrush Data'!$A$1:$Z$1,0)),"")</f>
        <v/>
      </c>
      <c r="H2336" s="7" t="str">
        <f aca="false">IFERROR(INDEX('Semrush Data'!$A$1:$Z$20000,MATCH(A2336,'Semrush Data'!$A$1:$A$20000,0),MATCH("Keyword Difficulty*",'Semrush Data'!$A$1:$Z$1,0)),"")</f>
        <v/>
      </c>
      <c r="I2336" s="13" t="str">
        <f aca="false">IFERROR(INDEX('Semrush Data'!$A$1:$Z$20000,MATCH(A2336,'Semrush Data'!$A$1:$A$20000,0),MATCH("CPC*",'Semrush Data'!$A$1:$Z$1,0)),"")</f>
        <v/>
      </c>
      <c r="J2336" s="7" t="str">
        <f aca="false">IFERROR(INDEX('Semrush Data'!$A$1:$Z$20000,MATCH(A2336,'Semrush Data'!$A$1:$A$20000,0),MATCH("Intent",'Semrush Data'!$A$1:$Z$1,0)),"")</f>
        <v/>
      </c>
    </row>
    <row r="2337" customFormat="false" ht="15" hidden="false" customHeight="true" outlineLevel="0" collapsed="false">
      <c r="A2337" s="7" t="s">
        <v>7020</v>
      </c>
      <c r="B2337" s="7" t="s">
        <v>6820</v>
      </c>
      <c r="C2337" s="7" t="n">
        <v>3</v>
      </c>
      <c r="D2337" s="7" t="n">
        <v>24</v>
      </c>
      <c r="E2337" s="7" t="n">
        <v>1</v>
      </c>
      <c r="F2337" s="7" t="s">
        <v>3041</v>
      </c>
      <c r="G2337" s="12" t="str">
        <f aca="false">IFERROR(INDEX('Semrush Data'!$A$1:$Z$20000,MATCH(A2337,'Semrush Data'!$A$1:$A$20000,0),MATCH("Volume",'Semrush Data'!$A$1:$Z$1,0)),"")</f>
        <v/>
      </c>
      <c r="H2337" s="7" t="str">
        <f aca="false">IFERROR(INDEX('Semrush Data'!$A$1:$Z$20000,MATCH(A2337,'Semrush Data'!$A$1:$A$20000,0),MATCH("Keyword Difficulty*",'Semrush Data'!$A$1:$Z$1,0)),"")</f>
        <v/>
      </c>
      <c r="I2337" s="13" t="str">
        <f aca="false">IFERROR(INDEX('Semrush Data'!$A$1:$Z$20000,MATCH(A2337,'Semrush Data'!$A$1:$A$20000,0),MATCH("CPC*",'Semrush Data'!$A$1:$Z$1,0)),"")</f>
        <v/>
      </c>
      <c r="J2337" s="7" t="str">
        <f aca="false">IFERROR(INDEX('Semrush Data'!$A$1:$Z$20000,MATCH(A2337,'Semrush Data'!$A$1:$A$20000,0),MATCH("Intent",'Semrush Data'!$A$1:$Z$1,0)),"")</f>
        <v/>
      </c>
    </row>
    <row r="2338" customFormat="false" ht="15" hidden="false" customHeight="true" outlineLevel="0" collapsed="false">
      <c r="A2338" s="7" t="s">
        <v>7021</v>
      </c>
      <c r="B2338" s="7" t="s">
        <v>6820</v>
      </c>
      <c r="C2338" s="7" t="n">
        <v>3</v>
      </c>
      <c r="D2338" s="7" t="n">
        <v>24</v>
      </c>
      <c r="E2338" s="7" t="n">
        <v>1</v>
      </c>
      <c r="F2338" s="7" t="s">
        <v>3041</v>
      </c>
      <c r="G2338" s="12" t="str">
        <f aca="false">IFERROR(INDEX('Semrush Data'!$A$1:$Z$20000,MATCH(A2338,'Semrush Data'!$A$1:$A$20000,0),MATCH("Volume",'Semrush Data'!$A$1:$Z$1,0)),"")</f>
        <v/>
      </c>
      <c r="H2338" s="7" t="str">
        <f aca="false">IFERROR(INDEX('Semrush Data'!$A$1:$Z$20000,MATCH(A2338,'Semrush Data'!$A$1:$A$20000,0),MATCH("Keyword Difficulty*",'Semrush Data'!$A$1:$Z$1,0)),"")</f>
        <v/>
      </c>
      <c r="I2338" s="13" t="str">
        <f aca="false">IFERROR(INDEX('Semrush Data'!$A$1:$Z$20000,MATCH(A2338,'Semrush Data'!$A$1:$A$20000,0),MATCH("CPC*",'Semrush Data'!$A$1:$Z$1,0)),"")</f>
        <v/>
      </c>
      <c r="J2338" s="7" t="str">
        <f aca="false">IFERROR(INDEX('Semrush Data'!$A$1:$Z$20000,MATCH(A2338,'Semrush Data'!$A$1:$A$20000,0),MATCH("Intent",'Semrush Data'!$A$1:$Z$1,0)),"")</f>
        <v/>
      </c>
    </row>
    <row r="2339" customFormat="false" ht="15" hidden="false" customHeight="true" outlineLevel="0" collapsed="false">
      <c r="A2339" s="7" t="s">
        <v>7022</v>
      </c>
      <c r="B2339" s="7" t="s">
        <v>6820</v>
      </c>
      <c r="C2339" s="7" t="n">
        <v>3</v>
      </c>
      <c r="D2339" s="7" t="n">
        <v>24</v>
      </c>
      <c r="E2339" s="7" t="n">
        <v>1</v>
      </c>
      <c r="F2339" s="7" t="s">
        <v>3041</v>
      </c>
      <c r="G2339" s="12" t="str">
        <f aca="false">IFERROR(INDEX('Semrush Data'!$A$1:$Z$20000,MATCH(A2339,'Semrush Data'!$A$1:$A$20000,0),MATCH("Volume",'Semrush Data'!$A$1:$Z$1,0)),"")</f>
        <v/>
      </c>
      <c r="H2339" s="7" t="str">
        <f aca="false">IFERROR(INDEX('Semrush Data'!$A$1:$Z$20000,MATCH(A2339,'Semrush Data'!$A$1:$A$20000,0),MATCH("Keyword Difficulty*",'Semrush Data'!$A$1:$Z$1,0)),"")</f>
        <v/>
      </c>
      <c r="I2339" s="13" t="str">
        <f aca="false">IFERROR(INDEX('Semrush Data'!$A$1:$Z$20000,MATCH(A2339,'Semrush Data'!$A$1:$A$20000,0),MATCH("CPC*",'Semrush Data'!$A$1:$Z$1,0)),"")</f>
        <v/>
      </c>
      <c r="J2339" s="7" t="str">
        <f aca="false">IFERROR(INDEX('Semrush Data'!$A$1:$Z$20000,MATCH(A2339,'Semrush Data'!$A$1:$A$20000,0),MATCH("Intent",'Semrush Data'!$A$1:$Z$1,0)),"")</f>
        <v/>
      </c>
    </row>
    <row r="2340" customFormat="false" ht="15" hidden="false" customHeight="true" outlineLevel="0" collapsed="false">
      <c r="A2340" s="7" t="s">
        <v>7023</v>
      </c>
      <c r="B2340" s="7" t="s">
        <v>6820</v>
      </c>
      <c r="C2340" s="7" t="n">
        <v>3</v>
      </c>
      <c r="D2340" s="7" t="n">
        <v>24</v>
      </c>
      <c r="E2340" s="7" t="n">
        <v>1</v>
      </c>
      <c r="F2340" s="7" t="s">
        <v>3041</v>
      </c>
      <c r="G2340" s="12" t="str">
        <f aca="false">IFERROR(INDEX('Semrush Data'!$A$1:$Z$20000,MATCH(A2340,'Semrush Data'!$A$1:$A$20000,0),MATCH("Volume",'Semrush Data'!$A$1:$Z$1,0)),"")</f>
        <v/>
      </c>
      <c r="H2340" s="7" t="str">
        <f aca="false">IFERROR(INDEX('Semrush Data'!$A$1:$Z$20000,MATCH(A2340,'Semrush Data'!$A$1:$A$20000,0),MATCH("Keyword Difficulty*",'Semrush Data'!$A$1:$Z$1,0)),"")</f>
        <v/>
      </c>
      <c r="I2340" s="13" t="str">
        <f aca="false">IFERROR(INDEX('Semrush Data'!$A$1:$Z$20000,MATCH(A2340,'Semrush Data'!$A$1:$A$20000,0),MATCH("CPC*",'Semrush Data'!$A$1:$Z$1,0)),"")</f>
        <v/>
      </c>
      <c r="J2340" s="7" t="str">
        <f aca="false">IFERROR(INDEX('Semrush Data'!$A$1:$Z$20000,MATCH(A2340,'Semrush Data'!$A$1:$A$20000,0),MATCH("Intent",'Semrush Data'!$A$1:$Z$1,0)),"")</f>
        <v/>
      </c>
    </row>
    <row r="2341" customFormat="false" ht="15" hidden="false" customHeight="true" outlineLevel="0" collapsed="false">
      <c r="A2341" s="7" t="s">
        <v>7024</v>
      </c>
      <c r="B2341" s="7" t="s">
        <v>6820</v>
      </c>
      <c r="C2341" s="7" t="n">
        <v>3</v>
      </c>
      <c r="D2341" s="7" t="n">
        <v>24</v>
      </c>
      <c r="E2341" s="7" t="n">
        <v>1</v>
      </c>
      <c r="F2341" s="7" t="s">
        <v>3041</v>
      </c>
      <c r="G2341" s="12" t="str">
        <f aca="false">IFERROR(INDEX('Semrush Data'!$A$1:$Z$20000,MATCH(A2341,'Semrush Data'!$A$1:$A$20000,0),MATCH("Volume",'Semrush Data'!$A$1:$Z$1,0)),"")</f>
        <v/>
      </c>
      <c r="H2341" s="7" t="str">
        <f aca="false">IFERROR(INDEX('Semrush Data'!$A$1:$Z$20000,MATCH(A2341,'Semrush Data'!$A$1:$A$20000,0),MATCH("Keyword Difficulty*",'Semrush Data'!$A$1:$Z$1,0)),"")</f>
        <v/>
      </c>
      <c r="I2341" s="13" t="str">
        <f aca="false">IFERROR(INDEX('Semrush Data'!$A$1:$Z$20000,MATCH(A2341,'Semrush Data'!$A$1:$A$20000,0),MATCH("CPC*",'Semrush Data'!$A$1:$Z$1,0)),"")</f>
        <v/>
      </c>
      <c r="J2341" s="7" t="str">
        <f aca="false">IFERROR(INDEX('Semrush Data'!$A$1:$Z$20000,MATCH(A2341,'Semrush Data'!$A$1:$A$20000,0),MATCH("Intent",'Semrush Data'!$A$1:$Z$1,0)),"")</f>
        <v/>
      </c>
    </row>
    <row r="2342" customFormat="false" ht="15" hidden="false" customHeight="true" outlineLevel="0" collapsed="false">
      <c r="A2342" s="7" t="s">
        <v>7025</v>
      </c>
      <c r="B2342" s="7" t="s">
        <v>6820</v>
      </c>
      <c r="C2342" s="7" t="n">
        <v>3</v>
      </c>
      <c r="D2342" s="7" t="n">
        <v>24</v>
      </c>
      <c r="E2342" s="7" t="n">
        <v>2</v>
      </c>
      <c r="F2342" s="7" t="s">
        <v>6792</v>
      </c>
      <c r="G2342" s="12" t="str">
        <f aca="false">IFERROR(INDEX('Semrush Data'!$A$1:$Z$20000,MATCH(A2342,'Semrush Data'!$A$1:$A$20000,0),MATCH("Volume",'Semrush Data'!$A$1:$Z$1,0)),"")</f>
        <v/>
      </c>
      <c r="H2342" s="7" t="str">
        <f aca="false">IFERROR(INDEX('Semrush Data'!$A$1:$Z$20000,MATCH(A2342,'Semrush Data'!$A$1:$A$20000,0),MATCH("Keyword Difficulty*",'Semrush Data'!$A$1:$Z$1,0)),"")</f>
        <v/>
      </c>
      <c r="I2342" s="13" t="str">
        <f aca="false">IFERROR(INDEX('Semrush Data'!$A$1:$Z$20000,MATCH(A2342,'Semrush Data'!$A$1:$A$20000,0),MATCH("CPC*",'Semrush Data'!$A$1:$Z$1,0)),"")</f>
        <v/>
      </c>
      <c r="J2342" s="7" t="str">
        <f aca="false">IFERROR(INDEX('Semrush Data'!$A$1:$Z$20000,MATCH(A2342,'Semrush Data'!$A$1:$A$20000,0),MATCH("Intent",'Semrush Data'!$A$1:$Z$1,0)),"")</f>
        <v/>
      </c>
    </row>
    <row r="2343" customFormat="false" ht="15" hidden="false" customHeight="true" outlineLevel="0" collapsed="false">
      <c r="A2343" s="7" t="s">
        <v>7026</v>
      </c>
      <c r="B2343" s="7" t="s">
        <v>6820</v>
      </c>
      <c r="C2343" s="7" t="n">
        <v>3</v>
      </c>
      <c r="D2343" s="7" t="n">
        <v>24</v>
      </c>
      <c r="E2343" s="7" t="n">
        <v>2</v>
      </c>
      <c r="F2343" s="7" t="s">
        <v>6792</v>
      </c>
      <c r="G2343" s="12" t="str">
        <f aca="false">IFERROR(INDEX('Semrush Data'!$A$1:$Z$20000,MATCH(A2343,'Semrush Data'!$A$1:$A$20000,0),MATCH("Volume",'Semrush Data'!$A$1:$Z$1,0)),"")</f>
        <v/>
      </c>
      <c r="H2343" s="7" t="str">
        <f aca="false">IFERROR(INDEX('Semrush Data'!$A$1:$Z$20000,MATCH(A2343,'Semrush Data'!$A$1:$A$20000,0),MATCH("Keyword Difficulty*",'Semrush Data'!$A$1:$Z$1,0)),"")</f>
        <v/>
      </c>
      <c r="I2343" s="13" t="str">
        <f aca="false">IFERROR(INDEX('Semrush Data'!$A$1:$Z$20000,MATCH(A2343,'Semrush Data'!$A$1:$A$20000,0),MATCH("CPC*",'Semrush Data'!$A$1:$Z$1,0)),"")</f>
        <v/>
      </c>
      <c r="J2343" s="7" t="str">
        <f aca="false">IFERROR(INDEX('Semrush Data'!$A$1:$Z$20000,MATCH(A2343,'Semrush Data'!$A$1:$A$20000,0),MATCH("Intent",'Semrush Data'!$A$1:$Z$1,0)),"")</f>
        <v/>
      </c>
    </row>
    <row r="2344" customFormat="false" ht="15" hidden="false" customHeight="true" outlineLevel="0" collapsed="false">
      <c r="A2344" s="7" t="s">
        <v>7027</v>
      </c>
      <c r="B2344" s="7" t="s">
        <v>6820</v>
      </c>
      <c r="C2344" s="7" t="n">
        <v>3</v>
      </c>
      <c r="D2344" s="7" t="s">
        <v>6818</v>
      </c>
      <c r="E2344" s="7" t="n">
        <v>2</v>
      </c>
      <c r="F2344" s="7" t="s">
        <v>6792</v>
      </c>
      <c r="G2344" s="12" t="str">
        <f aca="false">IFERROR(INDEX('Semrush Data'!$A$1:$Z$20000,MATCH(A2344,'Semrush Data'!$A$1:$A$20000,0),MATCH("Volume",'Semrush Data'!$A$1:$Z$1,0)),"")</f>
        <v/>
      </c>
      <c r="H2344" s="7" t="str">
        <f aca="false">IFERROR(INDEX('Semrush Data'!$A$1:$Z$20000,MATCH(A2344,'Semrush Data'!$A$1:$A$20000,0),MATCH("Keyword Difficulty*",'Semrush Data'!$A$1:$Z$1,0)),"")</f>
        <v/>
      </c>
      <c r="I2344" s="13" t="str">
        <f aca="false">IFERROR(INDEX('Semrush Data'!$A$1:$Z$20000,MATCH(A2344,'Semrush Data'!$A$1:$A$20000,0),MATCH("CPC*",'Semrush Data'!$A$1:$Z$1,0)),"")</f>
        <v/>
      </c>
      <c r="J2344" s="7" t="str">
        <f aca="false">IFERROR(INDEX('Semrush Data'!$A$1:$Z$20000,MATCH(A2344,'Semrush Data'!$A$1:$A$20000,0),MATCH("Intent",'Semrush Data'!$A$1:$Z$1,0)),"")</f>
        <v/>
      </c>
    </row>
    <row r="2345" customFormat="false" ht="15" hidden="false" customHeight="true" outlineLevel="0" collapsed="false">
      <c r="A2345" s="7" t="s">
        <v>7028</v>
      </c>
      <c r="B2345" s="7" t="s">
        <v>6820</v>
      </c>
      <c r="C2345" s="7" t="n">
        <v>3</v>
      </c>
      <c r="D2345" s="7" t="n">
        <v>24</v>
      </c>
      <c r="E2345" s="7" t="n">
        <v>2</v>
      </c>
      <c r="F2345" s="7" t="s">
        <v>6792</v>
      </c>
      <c r="G2345" s="12" t="str">
        <f aca="false">IFERROR(INDEX('Semrush Data'!$A$1:$Z$20000,MATCH(A2345,'Semrush Data'!$A$1:$A$20000,0),MATCH("Volume",'Semrush Data'!$A$1:$Z$1,0)),"")</f>
        <v/>
      </c>
      <c r="H2345" s="7" t="str">
        <f aca="false">IFERROR(INDEX('Semrush Data'!$A$1:$Z$20000,MATCH(A2345,'Semrush Data'!$A$1:$A$20000,0),MATCH("Keyword Difficulty*",'Semrush Data'!$A$1:$Z$1,0)),"")</f>
        <v/>
      </c>
      <c r="I2345" s="13" t="str">
        <f aca="false">IFERROR(INDEX('Semrush Data'!$A$1:$Z$20000,MATCH(A2345,'Semrush Data'!$A$1:$A$20000,0),MATCH("CPC*",'Semrush Data'!$A$1:$Z$1,0)),"")</f>
        <v/>
      </c>
      <c r="J2345" s="7" t="str">
        <f aca="false">IFERROR(INDEX('Semrush Data'!$A$1:$Z$20000,MATCH(A2345,'Semrush Data'!$A$1:$A$20000,0),MATCH("Intent",'Semrush Data'!$A$1:$Z$1,0)),"")</f>
        <v/>
      </c>
    </row>
    <row r="2346" customFormat="false" ht="15" hidden="false" customHeight="true" outlineLevel="0" collapsed="false">
      <c r="A2346" s="7" t="s">
        <v>7029</v>
      </c>
      <c r="B2346" s="7" t="s">
        <v>6820</v>
      </c>
      <c r="C2346" s="7" t="n">
        <v>3</v>
      </c>
      <c r="D2346" s="7" t="s">
        <v>6818</v>
      </c>
      <c r="E2346" s="7" t="n">
        <v>2</v>
      </c>
      <c r="F2346" s="7" t="s">
        <v>6792</v>
      </c>
      <c r="G2346" s="12" t="str">
        <f aca="false">IFERROR(INDEX('Semrush Data'!$A$1:$Z$20000,MATCH(A2346,'Semrush Data'!$A$1:$A$20000,0),MATCH("Volume",'Semrush Data'!$A$1:$Z$1,0)),"")</f>
        <v/>
      </c>
      <c r="H2346" s="7" t="str">
        <f aca="false">IFERROR(INDEX('Semrush Data'!$A$1:$Z$20000,MATCH(A2346,'Semrush Data'!$A$1:$A$20000,0),MATCH("Keyword Difficulty*",'Semrush Data'!$A$1:$Z$1,0)),"")</f>
        <v/>
      </c>
      <c r="I2346" s="13" t="str">
        <f aca="false">IFERROR(INDEX('Semrush Data'!$A$1:$Z$20000,MATCH(A2346,'Semrush Data'!$A$1:$A$20000,0),MATCH("CPC*",'Semrush Data'!$A$1:$Z$1,0)),"")</f>
        <v/>
      </c>
      <c r="J2346" s="7" t="str">
        <f aca="false">IFERROR(INDEX('Semrush Data'!$A$1:$Z$20000,MATCH(A2346,'Semrush Data'!$A$1:$A$20000,0),MATCH("Intent",'Semrush Data'!$A$1:$Z$1,0)),"")</f>
        <v/>
      </c>
    </row>
    <row r="2347" customFormat="false" ht="15" hidden="false" customHeight="true" outlineLevel="0" collapsed="false">
      <c r="A2347" s="7" t="s">
        <v>7030</v>
      </c>
      <c r="B2347" s="7" t="s">
        <v>6820</v>
      </c>
      <c r="C2347" s="7" t="n">
        <v>3</v>
      </c>
      <c r="D2347" s="7" t="s">
        <v>6818</v>
      </c>
      <c r="E2347" s="7" t="n">
        <v>2</v>
      </c>
      <c r="F2347" s="7" t="s">
        <v>6793</v>
      </c>
      <c r="G2347" s="12" t="str">
        <f aca="false">IFERROR(INDEX('Semrush Data'!$A$1:$Z$20000,MATCH(A2347,'Semrush Data'!$A$1:$A$20000,0),MATCH("Volume",'Semrush Data'!$A$1:$Z$1,0)),"")</f>
        <v/>
      </c>
      <c r="H2347" s="7" t="str">
        <f aca="false">IFERROR(INDEX('Semrush Data'!$A$1:$Z$20000,MATCH(A2347,'Semrush Data'!$A$1:$A$20000,0),MATCH("Keyword Difficulty*",'Semrush Data'!$A$1:$Z$1,0)),"")</f>
        <v/>
      </c>
      <c r="I2347" s="13" t="str">
        <f aca="false">IFERROR(INDEX('Semrush Data'!$A$1:$Z$20000,MATCH(A2347,'Semrush Data'!$A$1:$A$20000,0),MATCH("CPC*",'Semrush Data'!$A$1:$Z$1,0)),"")</f>
        <v/>
      </c>
      <c r="J2347" s="7" t="str">
        <f aca="false">IFERROR(INDEX('Semrush Data'!$A$1:$Z$20000,MATCH(A2347,'Semrush Data'!$A$1:$A$20000,0),MATCH("Intent",'Semrush Data'!$A$1:$Z$1,0)),"")</f>
        <v/>
      </c>
    </row>
    <row r="2348" customFormat="false" ht="15" hidden="false" customHeight="true" outlineLevel="0" collapsed="false">
      <c r="A2348" s="7" t="s">
        <v>7031</v>
      </c>
      <c r="B2348" s="7" t="s">
        <v>6820</v>
      </c>
      <c r="C2348" s="7" t="n">
        <v>3</v>
      </c>
      <c r="D2348" s="7" t="s">
        <v>6818</v>
      </c>
      <c r="E2348" s="7" t="n">
        <v>2</v>
      </c>
      <c r="F2348" s="7" t="s">
        <v>6793</v>
      </c>
      <c r="G2348" s="12" t="str">
        <f aca="false">IFERROR(INDEX('Semrush Data'!$A$1:$Z$20000,MATCH(A2348,'Semrush Data'!$A$1:$A$20000,0),MATCH("Volume",'Semrush Data'!$A$1:$Z$1,0)),"")</f>
        <v/>
      </c>
      <c r="H2348" s="7" t="str">
        <f aca="false">IFERROR(INDEX('Semrush Data'!$A$1:$Z$20000,MATCH(A2348,'Semrush Data'!$A$1:$A$20000,0),MATCH("Keyword Difficulty*",'Semrush Data'!$A$1:$Z$1,0)),"")</f>
        <v/>
      </c>
      <c r="I2348" s="13" t="str">
        <f aca="false">IFERROR(INDEX('Semrush Data'!$A$1:$Z$20000,MATCH(A2348,'Semrush Data'!$A$1:$A$20000,0),MATCH("CPC*",'Semrush Data'!$A$1:$Z$1,0)),"")</f>
        <v/>
      </c>
      <c r="J2348" s="7" t="str">
        <f aca="false">IFERROR(INDEX('Semrush Data'!$A$1:$Z$20000,MATCH(A2348,'Semrush Data'!$A$1:$A$20000,0),MATCH("Intent",'Semrush Data'!$A$1:$Z$1,0)),"")</f>
        <v/>
      </c>
    </row>
    <row r="2349" customFormat="false" ht="15" hidden="false" customHeight="true" outlineLevel="0" collapsed="false">
      <c r="A2349" s="7" t="s">
        <v>7032</v>
      </c>
      <c r="B2349" s="7" t="s">
        <v>6820</v>
      </c>
      <c r="C2349" s="7" t="n">
        <v>3</v>
      </c>
      <c r="D2349" s="7" t="n">
        <v>24</v>
      </c>
      <c r="E2349" s="7" t="n">
        <v>2</v>
      </c>
      <c r="F2349" s="7" t="s">
        <v>6793</v>
      </c>
      <c r="G2349" s="12" t="str">
        <f aca="false">IFERROR(INDEX('Semrush Data'!$A$1:$Z$20000,MATCH(A2349,'Semrush Data'!$A$1:$A$20000,0),MATCH("Volume",'Semrush Data'!$A$1:$Z$1,0)),"")</f>
        <v/>
      </c>
      <c r="H2349" s="7" t="str">
        <f aca="false">IFERROR(INDEX('Semrush Data'!$A$1:$Z$20000,MATCH(A2349,'Semrush Data'!$A$1:$A$20000,0),MATCH("Keyword Difficulty*",'Semrush Data'!$A$1:$Z$1,0)),"")</f>
        <v/>
      </c>
      <c r="I2349" s="13" t="str">
        <f aca="false">IFERROR(INDEX('Semrush Data'!$A$1:$Z$20000,MATCH(A2349,'Semrush Data'!$A$1:$A$20000,0),MATCH("CPC*",'Semrush Data'!$A$1:$Z$1,0)),"")</f>
        <v/>
      </c>
      <c r="J2349" s="7" t="str">
        <f aca="false">IFERROR(INDEX('Semrush Data'!$A$1:$Z$20000,MATCH(A2349,'Semrush Data'!$A$1:$A$20000,0),MATCH("Intent",'Semrush Data'!$A$1:$Z$1,0)),"")</f>
        <v/>
      </c>
    </row>
    <row r="2350" customFormat="false" ht="15" hidden="false" customHeight="true" outlineLevel="0" collapsed="false">
      <c r="A2350" s="7" t="s">
        <v>7033</v>
      </c>
      <c r="B2350" s="7" t="s">
        <v>6820</v>
      </c>
      <c r="C2350" s="7" t="n">
        <v>3</v>
      </c>
      <c r="D2350" s="7" t="n">
        <v>24</v>
      </c>
      <c r="E2350" s="7" t="n">
        <v>1</v>
      </c>
      <c r="F2350" s="7" t="s">
        <v>3152</v>
      </c>
      <c r="G2350" s="12" t="str">
        <f aca="false">IFERROR(INDEX('Semrush Data'!$A$1:$Z$20000,MATCH(A2350,'Semrush Data'!$A$1:$A$20000,0),MATCH("Volume",'Semrush Data'!$A$1:$Z$1,0)),"")</f>
        <v/>
      </c>
      <c r="H2350" s="7" t="str">
        <f aca="false">IFERROR(INDEX('Semrush Data'!$A$1:$Z$20000,MATCH(A2350,'Semrush Data'!$A$1:$A$20000,0),MATCH("Keyword Difficulty*",'Semrush Data'!$A$1:$Z$1,0)),"")</f>
        <v/>
      </c>
      <c r="I2350" s="13" t="str">
        <f aca="false">IFERROR(INDEX('Semrush Data'!$A$1:$Z$20000,MATCH(A2350,'Semrush Data'!$A$1:$A$20000,0),MATCH("CPC*",'Semrush Data'!$A$1:$Z$1,0)),"")</f>
        <v/>
      </c>
      <c r="J2350" s="7" t="str">
        <f aca="false">IFERROR(INDEX('Semrush Data'!$A$1:$Z$20000,MATCH(A2350,'Semrush Data'!$A$1:$A$20000,0),MATCH("Intent",'Semrush Data'!$A$1:$Z$1,0)),"")</f>
        <v/>
      </c>
    </row>
    <row r="2351" customFormat="false" ht="15" hidden="false" customHeight="true" outlineLevel="0" collapsed="false">
      <c r="A2351" s="7" t="s">
        <v>7034</v>
      </c>
      <c r="B2351" s="7" t="s">
        <v>6820</v>
      </c>
      <c r="C2351" s="7" t="n">
        <v>3</v>
      </c>
      <c r="D2351" s="7" t="n">
        <v>24</v>
      </c>
      <c r="E2351" s="7" t="n">
        <v>1</v>
      </c>
      <c r="F2351" s="7" t="s">
        <v>3152</v>
      </c>
      <c r="G2351" s="12" t="str">
        <f aca="false">IFERROR(INDEX('Semrush Data'!$A$1:$Z$20000,MATCH(A2351,'Semrush Data'!$A$1:$A$20000,0),MATCH("Volume",'Semrush Data'!$A$1:$Z$1,0)),"")</f>
        <v/>
      </c>
      <c r="H2351" s="7" t="str">
        <f aca="false">IFERROR(INDEX('Semrush Data'!$A$1:$Z$20000,MATCH(A2351,'Semrush Data'!$A$1:$A$20000,0),MATCH("Keyword Difficulty*",'Semrush Data'!$A$1:$Z$1,0)),"")</f>
        <v/>
      </c>
      <c r="I2351" s="13" t="str">
        <f aca="false">IFERROR(INDEX('Semrush Data'!$A$1:$Z$20000,MATCH(A2351,'Semrush Data'!$A$1:$A$20000,0),MATCH("CPC*",'Semrush Data'!$A$1:$Z$1,0)),"")</f>
        <v/>
      </c>
      <c r="J2351" s="7" t="str">
        <f aca="false">IFERROR(INDEX('Semrush Data'!$A$1:$Z$20000,MATCH(A2351,'Semrush Data'!$A$1:$A$20000,0),MATCH("Intent",'Semrush Data'!$A$1:$Z$1,0)),"")</f>
        <v/>
      </c>
    </row>
    <row r="2352" customFormat="false" ht="15" hidden="false" customHeight="true" outlineLevel="0" collapsed="false">
      <c r="A2352" s="7" t="s">
        <v>7035</v>
      </c>
      <c r="B2352" s="7" t="s">
        <v>6820</v>
      </c>
      <c r="C2352" s="7" t="n">
        <v>3</v>
      </c>
      <c r="D2352" s="7" t="n">
        <v>24</v>
      </c>
      <c r="E2352" s="7" t="n">
        <v>1</v>
      </c>
      <c r="F2352" s="7" t="s">
        <v>3152</v>
      </c>
      <c r="G2352" s="12" t="str">
        <f aca="false">IFERROR(INDEX('Semrush Data'!$A$1:$Z$20000,MATCH(A2352,'Semrush Data'!$A$1:$A$20000,0),MATCH("Volume",'Semrush Data'!$A$1:$Z$1,0)),"")</f>
        <v/>
      </c>
      <c r="H2352" s="7" t="str">
        <f aca="false">IFERROR(INDEX('Semrush Data'!$A$1:$Z$20000,MATCH(A2352,'Semrush Data'!$A$1:$A$20000,0),MATCH("Keyword Difficulty*",'Semrush Data'!$A$1:$Z$1,0)),"")</f>
        <v/>
      </c>
      <c r="I2352" s="13" t="str">
        <f aca="false">IFERROR(INDEX('Semrush Data'!$A$1:$Z$20000,MATCH(A2352,'Semrush Data'!$A$1:$A$20000,0),MATCH("CPC*",'Semrush Data'!$A$1:$Z$1,0)),"")</f>
        <v/>
      </c>
      <c r="J2352" s="7" t="str">
        <f aca="false">IFERROR(INDEX('Semrush Data'!$A$1:$Z$20000,MATCH(A2352,'Semrush Data'!$A$1:$A$20000,0),MATCH("Intent",'Semrush Data'!$A$1:$Z$1,0)),"")</f>
        <v/>
      </c>
    </row>
    <row r="2353" customFormat="false" ht="15" hidden="false" customHeight="true" outlineLevel="0" collapsed="false">
      <c r="A2353" s="7" t="s">
        <v>7036</v>
      </c>
      <c r="B2353" s="7" t="s">
        <v>6820</v>
      </c>
      <c r="C2353" s="7" t="n">
        <v>3</v>
      </c>
      <c r="D2353" s="7" t="n">
        <v>24</v>
      </c>
      <c r="E2353" s="7" t="n">
        <v>1</v>
      </c>
      <c r="F2353" s="7" t="s">
        <v>3152</v>
      </c>
      <c r="G2353" s="12" t="str">
        <f aca="false">IFERROR(INDEX('Semrush Data'!$A$1:$Z$20000,MATCH(A2353,'Semrush Data'!$A$1:$A$20000,0),MATCH("Volume",'Semrush Data'!$A$1:$Z$1,0)),"")</f>
        <v/>
      </c>
      <c r="H2353" s="7" t="str">
        <f aca="false">IFERROR(INDEX('Semrush Data'!$A$1:$Z$20000,MATCH(A2353,'Semrush Data'!$A$1:$A$20000,0),MATCH("Keyword Difficulty*",'Semrush Data'!$A$1:$Z$1,0)),"")</f>
        <v/>
      </c>
      <c r="I2353" s="13" t="str">
        <f aca="false">IFERROR(INDEX('Semrush Data'!$A$1:$Z$20000,MATCH(A2353,'Semrush Data'!$A$1:$A$20000,0),MATCH("CPC*",'Semrush Data'!$A$1:$Z$1,0)),"")</f>
        <v/>
      </c>
      <c r="J2353" s="7" t="str">
        <f aca="false">IFERROR(INDEX('Semrush Data'!$A$1:$Z$20000,MATCH(A2353,'Semrush Data'!$A$1:$A$20000,0),MATCH("Intent",'Semrush Data'!$A$1:$Z$1,0)),"")</f>
        <v/>
      </c>
    </row>
    <row r="2354" customFormat="false" ht="15" hidden="false" customHeight="true" outlineLevel="0" collapsed="false">
      <c r="A2354" s="7" t="s">
        <v>7037</v>
      </c>
      <c r="B2354" s="7" t="s">
        <v>6820</v>
      </c>
      <c r="C2354" s="7" t="n">
        <v>3</v>
      </c>
      <c r="D2354" s="7" t="n">
        <v>24</v>
      </c>
      <c r="E2354" s="7" t="n">
        <v>1</v>
      </c>
      <c r="F2354" s="7" t="s">
        <v>3152</v>
      </c>
      <c r="G2354" s="12" t="str">
        <f aca="false">IFERROR(INDEX('Semrush Data'!$A$1:$Z$20000,MATCH(A2354,'Semrush Data'!$A$1:$A$20000,0),MATCH("Volume",'Semrush Data'!$A$1:$Z$1,0)),"")</f>
        <v/>
      </c>
      <c r="H2354" s="7" t="str">
        <f aca="false">IFERROR(INDEX('Semrush Data'!$A$1:$Z$20000,MATCH(A2354,'Semrush Data'!$A$1:$A$20000,0),MATCH("Keyword Difficulty*",'Semrush Data'!$A$1:$Z$1,0)),"")</f>
        <v/>
      </c>
      <c r="I2354" s="13" t="str">
        <f aca="false">IFERROR(INDEX('Semrush Data'!$A$1:$Z$20000,MATCH(A2354,'Semrush Data'!$A$1:$A$20000,0),MATCH("CPC*",'Semrush Data'!$A$1:$Z$1,0)),"")</f>
        <v/>
      </c>
      <c r="J2354" s="7" t="str">
        <f aca="false">IFERROR(INDEX('Semrush Data'!$A$1:$Z$20000,MATCH(A2354,'Semrush Data'!$A$1:$A$20000,0),MATCH("Intent",'Semrush Data'!$A$1:$Z$1,0)),"")</f>
        <v/>
      </c>
    </row>
    <row r="2355" customFormat="false" ht="15" hidden="false" customHeight="true" outlineLevel="0" collapsed="false">
      <c r="A2355" s="7" t="s">
        <v>3206</v>
      </c>
      <c r="B2355" s="7" t="s">
        <v>6820</v>
      </c>
      <c r="C2355" s="7" t="n">
        <v>3</v>
      </c>
      <c r="D2355" s="7" t="n">
        <v>24</v>
      </c>
      <c r="E2355" s="7" t="n">
        <v>1</v>
      </c>
      <c r="F2355" s="7" t="s">
        <v>3198</v>
      </c>
      <c r="G2355" s="12" t="str">
        <f aca="false">IFERROR(INDEX('Semrush Data'!$A$1:$Z$20000,MATCH(A2355,'Semrush Data'!$A$1:$A$20000,0),MATCH("Volume",'Semrush Data'!$A$1:$Z$1,0)),"")</f>
        <v/>
      </c>
      <c r="H2355" s="7" t="str">
        <f aca="false">IFERROR(INDEX('Semrush Data'!$A$1:$Z$20000,MATCH(A2355,'Semrush Data'!$A$1:$A$20000,0),MATCH("Keyword Difficulty*",'Semrush Data'!$A$1:$Z$1,0)),"")</f>
        <v/>
      </c>
      <c r="I2355" s="13" t="str">
        <f aca="false">IFERROR(INDEX('Semrush Data'!$A$1:$Z$20000,MATCH(A2355,'Semrush Data'!$A$1:$A$20000,0),MATCH("CPC*",'Semrush Data'!$A$1:$Z$1,0)),"")</f>
        <v/>
      </c>
      <c r="J2355" s="7" t="str">
        <f aca="false">IFERROR(INDEX('Semrush Data'!$A$1:$Z$20000,MATCH(A2355,'Semrush Data'!$A$1:$A$20000,0),MATCH("Intent",'Semrush Data'!$A$1:$Z$1,0)),"")</f>
        <v/>
      </c>
    </row>
    <row r="2356" customFormat="false" ht="15" hidden="false" customHeight="true" outlineLevel="0" collapsed="false">
      <c r="A2356" s="7" t="s">
        <v>7038</v>
      </c>
      <c r="B2356" s="7" t="s">
        <v>6820</v>
      </c>
      <c r="C2356" s="7" t="n">
        <v>3</v>
      </c>
      <c r="D2356" s="7" t="n">
        <v>24</v>
      </c>
      <c r="E2356" s="7" t="n">
        <v>1</v>
      </c>
      <c r="F2356" s="7" t="s">
        <v>128</v>
      </c>
      <c r="G2356" s="12" t="str">
        <f aca="false">IFERROR(INDEX('Semrush Data'!$A$1:$Z$20000,MATCH(A2356,'Semrush Data'!$A$1:$A$20000,0),MATCH("Volume",'Semrush Data'!$A$1:$Z$1,0)),"")</f>
        <v/>
      </c>
      <c r="H2356" s="7" t="str">
        <f aca="false">IFERROR(INDEX('Semrush Data'!$A$1:$Z$20000,MATCH(A2356,'Semrush Data'!$A$1:$A$20000,0),MATCH("Keyword Difficulty*",'Semrush Data'!$A$1:$Z$1,0)),"")</f>
        <v/>
      </c>
      <c r="I2356" s="13" t="str">
        <f aca="false">IFERROR(INDEX('Semrush Data'!$A$1:$Z$20000,MATCH(A2356,'Semrush Data'!$A$1:$A$20000,0),MATCH("CPC*",'Semrush Data'!$A$1:$Z$1,0)),"")</f>
        <v/>
      </c>
      <c r="J2356" s="7" t="str">
        <f aca="false">IFERROR(INDEX('Semrush Data'!$A$1:$Z$20000,MATCH(A2356,'Semrush Data'!$A$1:$A$20000,0),MATCH("Intent",'Semrush Data'!$A$1:$Z$1,0)),"")</f>
        <v/>
      </c>
    </row>
    <row r="2357" customFormat="false" ht="15" hidden="false" customHeight="true" outlineLevel="0" collapsed="false">
      <c r="A2357" s="7" t="s">
        <v>7039</v>
      </c>
      <c r="B2357" s="7" t="s">
        <v>6820</v>
      </c>
      <c r="C2357" s="7" t="n">
        <v>3</v>
      </c>
      <c r="D2357" s="7" t="s">
        <v>6843</v>
      </c>
      <c r="E2357" s="7" t="n">
        <v>1</v>
      </c>
      <c r="F2357" s="7" t="s">
        <v>128</v>
      </c>
      <c r="G2357" s="12" t="str">
        <f aca="false">IFERROR(INDEX('Semrush Data'!$A$1:$Z$20000,MATCH(A2357,'Semrush Data'!$A$1:$A$20000,0),MATCH("Volume",'Semrush Data'!$A$1:$Z$1,0)),"")</f>
        <v/>
      </c>
      <c r="H2357" s="7" t="str">
        <f aca="false">IFERROR(INDEX('Semrush Data'!$A$1:$Z$20000,MATCH(A2357,'Semrush Data'!$A$1:$A$20000,0),MATCH("Keyword Difficulty*",'Semrush Data'!$A$1:$Z$1,0)),"")</f>
        <v/>
      </c>
      <c r="I2357" s="13" t="str">
        <f aca="false">IFERROR(INDEX('Semrush Data'!$A$1:$Z$20000,MATCH(A2357,'Semrush Data'!$A$1:$A$20000,0),MATCH("CPC*",'Semrush Data'!$A$1:$Z$1,0)),"")</f>
        <v/>
      </c>
      <c r="J2357" s="7" t="str">
        <f aca="false">IFERROR(INDEX('Semrush Data'!$A$1:$Z$20000,MATCH(A2357,'Semrush Data'!$A$1:$A$20000,0),MATCH("Intent",'Semrush Data'!$A$1:$Z$1,0)),"")</f>
        <v/>
      </c>
    </row>
    <row r="2358" customFormat="false" ht="15" hidden="false" customHeight="true" outlineLevel="0" collapsed="false">
      <c r="A2358" s="7" t="s">
        <v>7040</v>
      </c>
      <c r="B2358" s="7" t="s">
        <v>6820</v>
      </c>
      <c r="C2358" s="7" t="n">
        <v>3</v>
      </c>
      <c r="D2358" s="7" t="s">
        <v>6843</v>
      </c>
      <c r="E2358" s="7" t="n">
        <v>1</v>
      </c>
      <c r="F2358" s="7" t="s">
        <v>128</v>
      </c>
      <c r="G2358" s="12" t="str">
        <f aca="false">IFERROR(INDEX('Semrush Data'!$A$1:$Z$20000,MATCH(A2358,'Semrush Data'!$A$1:$A$20000,0),MATCH("Volume",'Semrush Data'!$A$1:$Z$1,0)),"")</f>
        <v/>
      </c>
      <c r="H2358" s="7" t="str">
        <f aca="false">IFERROR(INDEX('Semrush Data'!$A$1:$Z$20000,MATCH(A2358,'Semrush Data'!$A$1:$A$20000,0),MATCH("Keyword Difficulty*",'Semrush Data'!$A$1:$Z$1,0)),"")</f>
        <v/>
      </c>
      <c r="I2358" s="13" t="str">
        <f aca="false">IFERROR(INDEX('Semrush Data'!$A$1:$Z$20000,MATCH(A2358,'Semrush Data'!$A$1:$A$20000,0),MATCH("CPC*",'Semrush Data'!$A$1:$Z$1,0)),"")</f>
        <v/>
      </c>
      <c r="J2358" s="7" t="str">
        <f aca="false">IFERROR(INDEX('Semrush Data'!$A$1:$Z$20000,MATCH(A2358,'Semrush Data'!$A$1:$A$20000,0),MATCH("Intent",'Semrush Data'!$A$1:$Z$1,0)),"")</f>
        <v/>
      </c>
    </row>
    <row r="2359" customFormat="false" ht="15" hidden="false" customHeight="true" outlineLevel="0" collapsed="false">
      <c r="A2359" s="7" t="s">
        <v>7041</v>
      </c>
      <c r="B2359" s="7" t="s">
        <v>6820</v>
      </c>
      <c r="C2359" s="7" t="n">
        <v>3</v>
      </c>
      <c r="D2359" s="7" t="n">
        <v>24</v>
      </c>
      <c r="E2359" s="7" t="n">
        <v>1</v>
      </c>
      <c r="F2359" s="7" t="s">
        <v>3210</v>
      </c>
      <c r="G2359" s="12" t="str">
        <f aca="false">IFERROR(INDEX('Semrush Data'!$A$1:$Z$20000,MATCH(A2359,'Semrush Data'!$A$1:$A$20000,0),MATCH("Volume",'Semrush Data'!$A$1:$Z$1,0)),"")</f>
        <v/>
      </c>
      <c r="H2359" s="7" t="str">
        <f aca="false">IFERROR(INDEX('Semrush Data'!$A$1:$Z$20000,MATCH(A2359,'Semrush Data'!$A$1:$A$20000,0),MATCH("Keyword Difficulty*",'Semrush Data'!$A$1:$Z$1,0)),"")</f>
        <v/>
      </c>
      <c r="I2359" s="13" t="str">
        <f aca="false">IFERROR(INDEX('Semrush Data'!$A$1:$Z$20000,MATCH(A2359,'Semrush Data'!$A$1:$A$20000,0),MATCH("CPC*",'Semrush Data'!$A$1:$Z$1,0)),"")</f>
        <v/>
      </c>
      <c r="J2359" s="7" t="str">
        <f aca="false">IFERROR(INDEX('Semrush Data'!$A$1:$Z$20000,MATCH(A2359,'Semrush Data'!$A$1:$A$20000,0),MATCH("Intent",'Semrush Data'!$A$1:$Z$1,0)),"")</f>
        <v/>
      </c>
    </row>
    <row r="2360" customFormat="false" ht="15" hidden="false" customHeight="true" outlineLevel="0" collapsed="false">
      <c r="A2360" s="7" t="s">
        <v>7042</v>
      </c>
      <c r="B2360" s="7" t="s">
        <v>6820</v>
      </c>
      <c r="C2360" s="7" t="n">
        <v>3</v>
      </c>
      <c r="D2360" s="7" t="n">
        <v>24</v>
      </c>
      <c r="E2360" s="7" t="n">
        <v>1</v>
      </c>
      <c r="F2360" s="7" t="s">
        <v>3210</v>
      </c>
      <c r="G2360" s="12" t="str">
        <f aca="false">IFERROR(INDEX('Semrush Data'!$A$1:$Z$20000,MATCH(A2360,'Semrush Data'!$A$1:$A$20000,0),MATCH("Volume",'Semrush Data'!$A$1:$Z$1,0)),"")</f>
        <v/>
      </c>
      <c r="H2360" s="7" t="str">
        <f aca="false">IFERROR(INDEX('Semrush Data'!$A$1:$Z$20000,MATCH(A2360,'Semrush Data'!$A$1:$A$20000,0),MATCH("Keyword Difficulty*",'Semrush Data'!$A$1:$Z$1,0)),"")</f>
        <v/>
      </c>
      <c r="I2360" s="13" t="str">
        <f aca="false">IFERROR(INDEX('Semrush Data'!$A$1:$Z$20000,MATCH(A2360,'Semrush Data'!$A$1:$A$20000,0),MATCH("CPC*",'Semrush Data'!$A$1:$Z$1,0)),"")</f>
        <v/>
      </c>
      <c r="J2360" s="7" t="str">
        <f aca="false">IFERROR(INDEX('Semrush Data'!$A$1:$Z$20000,MATCH(A2360,'Semrush Data'!$A$1:$A$20000,0),MATCH("Intent",'Semrush Data'!$A$1:$Z$1,0)),"")</f>
        <v/>
      </c>
    </row>
    <row r="2361" customFormat="false" ht="15" hidden="false" customHeight="true" outlineLevel="0" collapsed="false">
      <c r="A2361" s="7" t="s">
        <v>7043</v>
      </c>
      <c r="B2361" s="7" t="s">
        <v>6820</v>
      </c>
      <c r="C2361" s="7" t="n">
        <v>3</v>
      </c>
      <c r="D2361" s="7" t="n">
        <v>24</v>
      </c>
      <c r="E2361" s="7" t="n">
        <v>1</v>
      </c>
      <c r="F2361" s="7" t="s">
        <v>3210</v>
      </c>
      <c r="G2361" s="12" t="str">
        <f aca="false">IFERROR(INDEX('Semrush Data'!$A$1:$Z$20000,MATCH(A2361,'Semrush Data'!$A$1:$A$20000,0),MATCH("Volume",'Semrush Data'!$A$1:$Z$1,0)),"")</f>
        <v/>
      </c>
      <c r="H2361" s="7" t="str">
        <f aca="false">IFERROR(INDEX('Semrush Data'!$A$1:$Z$20000,MATCH(A2361,'Semrush Data'!$A$1:$A$20000,0),MATCH("Keyword Difficulty*",'Semrush Data'!$A$1:$Z$1,0)),"")</f>
        <v/>
      </c>
      <c r="I2361" s="13" t="str">
        <f aca="false">IFERROR(INDEX('Semrush Data'!$A$1:$Z$20000,MATCH(A2361,'Semrush Data'!$A$1:$A$20000,0),MATCH("CPC*",'Semrush Data'!$A$1:$Z$1,0)),"")</f>
        <v/>
      </c>
      <c r="J2361" s="7" t="str">
        <f aca="false">IFERROR(INDEX('Semrush Data'!$A$1:$Z$20000,MATCH(A2361,'Semrush Data'!$A$1:$A$20000,0),MATCH("Intent",'Semrush Data'!$A$1:$Z$1,0)),"")</f>
        <v/>
      </c>
    </row>
    <row r="2362" customFormat="false" ht="15" hidden="false" customHeight="true" outlineLevel="0" collapsed="false">
      <c r="A2362" s="7" t="s">
        <v>7044</v>
      </c>
      <c r="B2362" s="7" t="s">
        <v>6820</v>
      </c>
      <c r="C2362" s="7" t="n">
        <v>3</v>
      </c>
      <c r="D2362" s="7" t="n">
        <v>24</v>
      </c>
      <c r="E2362" s="7" t="n">
        <v>1</v>
      </c>
      <c r="F2362" s="7" t="s">
        <v>3210</v>
      </c>
      <c r="G2362" s="12" t="str">
        <f aca="false">IFERROR(INDEX('Semrush Data'!$A$1:$Z$20000,MATCH(A2362,'Semrush Data'!$A$1:$A$20000,0),MATCH("Volume",'Semrush Data'!$A$1:$Z$1,0)),"")</f>
        <v/>
      </c>
      <c r="H2362" s="7" t="str">
        <f aca="false">IFERROR(INDEX('Semrush Data'!$A$1:$Z$20000,MATCH(A2362,'Semrush Data'!$A$1:$A$20000,0),MATCH("Keyword Difficulty*",'Semrush Data'!$A$1:$Z$1,0)),"")</f>
        <v/>
      </c>
      <c r="I2362" s="13" t="str">
        <f aca="false">IFERROR(INDEX('Semrush Data'!$A$1:$Z$20000,MATCH(A2362,'Semrush Data'!$A$1:$A$20000,0),MATCH("CPC*",'Semrush Data'!$A$1:$Z$1,0)),"")</f>
        <v/>
      </c>
      <c r="J2362" s="7" t="str">
        <f aca="false">IFERROR(INDEX('Semrush Data'!$A$1:$Z$20000,MATCH(A2362,'Semrush Data'!$A$1:$A$20000,0),MATCH("Intent",'Semrush Data'!$A$1:$Z$1,0)),"")</f>
        <v/>
      </c>
    </row>
    <row r="2363" customFormat="false" ht="15" hidden="false" customHeight="true" outlineLevel="0" collapsed="false">
      <c r="A2363" s="7" t="s">
        <v>7045</v>
      </c>
      <c r="B2363" s="7" t="s">
        <v>6820</v>
      </c>
      <c r="C2363" s="7" t="n">
        <v>3</v>
      </c>
      <c r="D2363" s="7" t="n">
        <v>24</v>
      </c>
      <c r="E2363" s="7" t="n">
        <v>1</v>
      </c>
      <c r="F2363" s="7" t="s">
        <v>3210</v>
      </c>
      <c r="G2363" s="12" t="str">
        <f aca="false">IFERROR(INDEX('Semrush Data'!$A$1:$Z$20000,MATCH(A2363,'Semrush Data'!$A$1:$A$20000,0),MATCH("Volume",'Semrush Data'!$A$1:$Z$1,0)),"")</f>
        <v/>
      </c>
      <c r="H2363" s="7" t="str">
        <f aca="false">IFERROR(INDEX('Semrush Data'!$A$1:$Z$20000,MATCH(A2363,'Semrush Data'!$A$1:$A$20000,0),MATCH("Keyword Difficulty*",'Semrush Data'!$A$1:$Z$1,0)),"")</f>
        <v/>
      </c>
      <c r="I2363" s="13" t="str">
        <f aca="false">IFERROR(INDEX('Semrush Data'!$A$1:$Z$20000,MATCH(A2363,'Semrush Data'!$A$1:$A$20000,0),MATCH("CPC*",'Semrush Data'!$A$1:$Z$1,0)),"")</f>
        <v/>
      </c>
      <c r="J2363" s="7" t="str">
        <f aca="false">IFERROR(INDEX('Semrush Data'!$A$1:$Z$20000,MATCH(A2363,'Semrush Data'!$A$1:$A$20000,0),MATCH("Intent",'Semrush Data'!$A$1:$Z$1,0)),"")</f>
        <v/>
      </c>
    </row>
    <row r="2364" customFormat="false" ht="15" hidden="false" customHeight="true" outlineLevel="0" collapsed="false">
      <c r="A2364" s="7" t="s">
        <v>7046</v>
      </c>
      <c r="B2364" s="7" t="s">
        <v>6820</v>
      </c>
      <c r="C2364" s="7" t="n">
        <v>3</v>
      </c>
      <c r="D2364" s="7" t="n">
        <v>24</v>
      </c>
      <c r="E2364" s="7" t="n">
        <v>2</v>
      </c>
      <c r="F2364" s="7" t="s">
        <v>6795</v>
      </c>
      <c r="G2364" s="12" t="str">
        <f aca="false">IFERROR(INDEX('Semrush Data'!$A$1:$Z$20000,MATCH(A2364,'Semrush Data'!$A$1:$A$20000,0),MATCH("Volume",'Semrush Data'!$A$1:$Z$1,0)),"")</f>
        <v/>
      </c>
      <c r="H2364" s="7" t="str">
        <f aca="false">IFERROR(INDEX('Semrush Data'!$A$1:$Z$20000,MATCH(A2364,'Semrush Data'!$A$1:$A$20000,0),MATCH("Keyword Difficulty*",'Semrush Data'!$A$1:$Z$1,0)),"")</f>
        <v/>
      </c>
      <c r="I2364" s="13" t="str">
        <f aca="false">IFERROR(INDEX('Semrush Data'!$A$1:$Z$20000,MATCH(A2364,'Semrush Data'!$A$1:$A$20000,0),MATCH("CPC*",'Semrush Data'!$A$1:$Z$1,0)),"")</f>
        <v/>
      </c>
      <c r="J2364" s="7" t="str">
        <f aca="false">IFERROR(INDEX('Semrush Data'!$A$1:$Z$20000,MATCH(A2364,'Semrush Data'!$A$1:$A$20000,0),MATCH("Intent",'Semrush Data'!$A$1:$Z$1,0)),"")</f>
        <v/>
      </c>
    </row>
    <row r="2365" customFormat="false" ht="15" hidden="false" customHeight="true" outlineLevel="0" collapsed="false">
      <c r="A2365" s="7" t="s">
        <v>7047</v>
      </c>
      <c r="B2365" s="7" t="s">
        <v>6820</v>
      </c>
      <c r="C2365" s="7" t="n">
        <v>3</v>
      </c>
      <c r="D2365" s="7" t="n">
        <v>24</v>
      </c>
      <c r="E2365" s="7" t="n">
        <v>2</v>
      </c>
      <c r="F2365" s="7" t="s">
        <v>6795</v>
      </c>
      <c r="G2365" s="12" t="str">
        <f aca="false">IFERROR(INDEX('Semrush Data'!$A$1:$Z$20000,MATCH(A2365,'Semrush Data'!$A$1:$A$20000,0),MATCH("Volume",'Semrush Data'!$A$1:$Z$1,0)),"")</f>
        <v/>
      </c>
      <c r="H2365" s="7" t="str">
        <f aca="false">IFERROR(INDEX('Semrush Data'!$A$1:$Z$20000,MATCH(A2365,'Semrush Data'!$A$1:$A$20000,0),MATCH("Keyword Difficulty*",'Semrush Data'!$A$1:$Z$1,0)),"")</f>
        <v/>
      </c>
      <c r="I2365" s="13" t="str">
        <f aca="false">IFERROR(INDEX('Semrush Data'!$A$1:$Z$20000,MATCH(A2365,'Semrush Data'!$A$1:$A$20000,0),MATCH("CPC*",'Semrush Data'!$A$1:$Z$1,0)),"")</f>
        <v/>
      </c>
      <c r="J2365" s="7" t="str">
        <f aca="false">IFERROR(INDEX('Semrush Data'!$A$1:$Z$20000,MATCH(A2365,'Semrush Data'!$A$1:$A$20000,0),MATCH("Intent",'Semrush Data'!$A$1:$Z$1,0)),"")</f>
        <v/>
      </c>
    </row>
    <row r="2366" customFormat="false" ht="15" hidden="false" customHeight="true" outlineLevel="0" collapsed="false">
      <c r="A2366" s="7" t="s">
        <v>7048</v>
      </c>
      <c r="B2366" s="7" t="s">
        <v>6820</v>
      </c>
      <c r="C2366" s="7" t="n">
        <v>3</v>
      </c>
      <c r="D2366" s="7" t="n">
        <v>24</v>
      </c>
      <c r="E2366" s="7" t="n">
        <v>2</v>
      </c>
      <c r="F2366" s="7" t="s">
        <v>6795</v>
      </c>
      <c r="G2366" s="12" t="str">
        <f aca="false">IFERROR(INDEX('Semrush Data'!$A$1:$Z$20000,MATCH(A2366,'Semrush Data'!$A$1:$A$20000,0),MATCH("Volume",'Semrush Data'!$A$1:$Z$1,0)),"")</f>
        <v/>
      </c>
      <c r="H2366" s="7" t="str">
        <f aca="false">IFERROR(INDEX('Semrush Data'!$A$1:$Z$20000,MATCH(A2366,'Semrush Data'!$A$1:$A$20000,0),MATCH("Keyword Difficulty*",'Semrush Data'!$A$1:$Z$1,0)),"")</f>
        <v/>
      </c>
      <c r="I2366" s="13" t="str">
        <f aca="false">IFERROR(INDEX('Semrush Data'!$A$1:$Z$20000,MATCH(A2366,'Semrush Data'!$A$1:$A$20000,0),MATCH("CPC*",'Semrush Data'!$A$1:$Z$1,0)),"")</f>
        <v/>
      </c>
      <c r="J2366" s="7" t="str">
        <f aca="false">IFERROR(INDEX('Semrush Data'!$A$1:$Z$20000,MATCH(A2366,'Semrush Data'!$A$1:$A$20000,0),MATCH("Intent",'Semrush Data'!$A$1:$Z$1,0)),"")</f>
        <v/>
      </c>
    </row>
    <row r="2367" customFormat="false" ht="15" hidden="false" customHeight="true" outlineLevel="0" collapsed="false">
      <c r="A2367" s="7" t="s">
        <v>7049</v>
      </c>
      <c r="B2367" s="7" t="s">
        <v>6820</v>
      </c>
      <c r="C2367" s="7" t="n">
        <v>3</v>
      </c>
      <c r="D2367" s="7" t="s">
        <v>6843</v>
      </c>
      <c r="E2367" s="7" t="n">
        <v>2</v>
      </c>
      <c r="F2367" s="7" t="s">
        <v>6795</v>
      </c>
      <c r="G2367" s="12" t="str">
        <f aca="false">IFERROR(INDEX('Semrush Data'!$A$1:$Z$20000,MATCH(A2367,'Semrush Data'!$A$1:$A$20000,0),MATCH("Volume",'Semrush Data'!$A$1:$Z$1,0)),"")</f>
        <v/>
      </c>
      <c r="H2367" s="7" t="str">
        <f aca="false">IFERROR(INDEX('Semrush Data'!$A$1:$Z$20000,MATCH(A2367,'Semrush Data'!$A$1:$A$20000,0),MATCH("Keyword Difficulty*",'Semrush Data'!$A$1:$Z$1,0)),"")</f>
        <v/>
      </c>
      <c r="I2367" s="13" t="str">
        <f aca="false">IFERROR(INDEX('Semrush Data'!$A$1:$Z$20000,MATCH(A2367,'Semrush Data'!$A$1:$A$20000,0),MATCH("CPC*",'Semrush Data'!$A$1:$Z$1,0)),"")</f>
        <v/>
      </c>
      <c r="J2367" s="7" t="str">
        <f aca="false">IFERROR(INDEX('Semrush Data'!$A$1:$Z$20000,MATCH(A2367,'Semrush Data'!$A$1:$A$20000,0),MATCH("Intent",'Semrush Data'!$A$1:$Z$1,0)),"")</f>
        <v/>
      </c>
    </row>
    <row r="2368" customFormat="false" ht="15" hidden="false" customHeight="true" outlineLevel="0" collapsed="false">
      <c r="A2368" s="7" t="s">
        <v>7050</v>
      </c>
      <c r="B2368" s="7" t="s">
        <v>6820</v>
      </c>
      <c r="C2368" s="7" t="n">
        <v>3</v>
      </c>
      <c r="D2368" s="7" t="s">
        <v>6843</v>
      </c>
      <c r="E2368" s="7" t="n">
        <v>2</v>
      </c>
      <c r="F2368" s="7" t="s">
        <v>6795</v>
      </c>
      <c r="G2368" s="12" t="str">
        <f aca="false">IFERROR(INDEX('Semrush Data'!$A$1:$Z$20000,MATCH(A2368,'Semrush Data'!$A$1:$A$20000,0),MATCH("Volume",'Semrush Data'!$A$1:$Z$1,0)),"")</f>
        <v/>
      </c>
      <c r="H2368" s="7" t="str">
        <f aca="false">IFERROR(INDEX('Semrush Data'!$A$1:$Z$20000,MATCH(A2368,'Semrush Data'!$A$1:$A$20000,0),MATCH("Keyword Difficulty*",'Semrush Data'!$A$1:$Z$1,0)),"")</f>
        <v/>
      </c>
      <c r="I2368" s="13" t="str">
        <f aca="false">IFERROR(INDEX('Semrush Data'!$A$1:$Z$20000,MATCH(A2368,'Semrush Data'!$A$1:$A$20000,0),MATCH("CPC*",'Semrush Data'!$A$1:$Z$1,0)),"")</f>
        <v/>
      </c>
      <c r="J2368" s="7" t="str">
        <f aca="false">IFERROR(INDEX('Semrush Data'!$A$1:$Z$20000,MATCH(A2368,'Semrush Data'!$A$1:$A$20000,0),MATCH("Intent",'Semrush Data'!$A$1:$Z$1,0)),"")</f>
        <v/>
      </c>
    </row>
    <row r="2369" customFormat="false" ht="15" hidden="false" customHeight="true" outlineLevel="0" collapsed="false">
      <c r="A2369" s="7" t="s">
        <v>7051</v>
      </c>
      <c r="B2369" s="7" t="s">
        <v>6820</v>
      </c>
      <c r="C2369" s="7" t="n">
        <v>3</v>
      </c>
      <c r="D2369" s="7" t="n">
        <v>24</v>
      </c>
      <c r="E2369" s="7" t="n">
        <v>2</v>
      </c>
      <c r="F2369" s="7" t="s">
        <v>6796</v>
      </c>
      <c r="G2369" s="12" t="str">
        <f aca="false">IFERROR(INDEX('Semrush Data'!$A$1:$Z$20000,MATCH(A2369,'Semrush Data'!$A$1:$A$20000,0),MATCH("Volume",'Semrush Data'!$A$1:$Z$1,0)),"")</f>
        <v/>
      </c>
      <c r="H2369" s="7" t="str">
        <f aca="false">IFERROR(INDEX('Semrush Data'!$A$1:$Z$20000,MATCH(A2369,'Semrush Data'!$A$1:$A$20000,0),MATCH("Keyword Difficulty*",'Semrush Data'!$A$1:$Z$1,0)),"")</f>
        <v/>
      </c>
      <c r="I2369" s="13" t="str">
        <f aca="false">IFERROR(INDEX('Semrush Data'!$A$1:$Z$20000,MATCH(A2369,'Semrush Data'!$A$1:$A$20000,0),MATCH("CPC*",'Semrush Data'!$A$1:$Z$1,0)),"")</f>
        <v/>
      </c>
      <c r="J2369" s="7" t="str">
        <f aca="false">IFERROR(INDEX('Semrush Data'!$A$1:$Z$20000,MATCH(A2369,'Semrush Data'!$A$1:$A$20000,0),MATCH("Intent",'Semrush Data'!$A$1:$Z$1,0)),"")</f>
        <v/>
      </c>
    </row>
    <row r="2370" customFormat="false" ht="15" hidden="false" customHeight="true" outlineLevel="0" collapsed="false">
      <c r="A2370" s="7" t="s">
        <v>7052</v>
      </c>
      <c r="B2370" s="7" t="s">
        <v>6820</v>
      </c>
      <c r="C2370" s="7" t="n">
        <v>3</v>
      </c>
      <c r="D2370" s="7" t="n">
        <v>24</v>
      </c>
      <c r="E2370" s="7" t="n">
        <v>2</v>
      </c>
      <c r="F2370" s="7" t="s">
        <v>6796</v>
      </c>
      <c r="G2370" s="12" t="str">
        <f aca="false">IFERROR(INDEX('Semrush Data'!$A$1:$Z$20000,MATCH(A2370,'Semrush Data'!$A$1:$A$20000,0),MATCH("Volume",'Semrush Data'!$A$1:$Z$1,0)),"")</f>
        <v/>
      </c>
      <c r="H2370" s="7" t="str">
        <f aca="false">IFERROR(INDEX('Semrush Data'!$A$1:$Z$20000,MATCH(A2370,'Semrush Data'!$A$1:$A$20000,0),MATCH("Keyword Difficulty*",'Semrush Data'!$A$1:$Z$1,0)),"")</f>
        <v/>
      </c>
      <c r="I2370" s="13" t="str">
        <f aca="false">IFERROR(INDEX('Semrush Data'!$A$1:$Z$20000,MATCH(A2370,'Semrush Data'!$A$1:$A$20000,0),MATCH("CPC*",'Semrush Data'!$A$1:$Z$1,0)),"")</f>
        <v/>
      </c>
      <c r="J2370" s="7" t="str">
        <f aca="false">IFERROR(INDEX('Semrush Data'!$A$1:$Z$20000,MATCH(A2370,'Semrush Data'!$A$1:$A$20000,0),MATCH("Intent",'Semrush Data'!$A$1:$Z$1,0)),"")</f>
        <v/>
      </c>
    </row>
    <row r="2371" customFormat="false" ht="15" hidden="false" customHeight="true" outlineLevel="0" collapsed="false">
      <c r="A2371" s="7" t="s">
        <v>7053</v>
      </c>
      <c r="B2371" s="7" t="s">
        <v>6820</v>
      </c>
      <c r="C2371" s="7" t="n">
        <v>3</v>
      </c>
      <c r="D2371" s="7" t="n">
        <v>24</v>
      </c>
      <c r="E2371" s="7" t="n">
        <v>2</v>
      </c>
      <c r="F2371" s="7" t="s">
        <v>6796</v>
      </c>
      <c r="G2371" s="12" t="str">
        <f aca="false">IFERROR(INDEX('Semrush Data'!$A$1:$Z$20000,MATCH(A2371,'Semrush Data'!$A$1:$A$20000,0),MATCH("Volume",'Semrush Data'!$A$1:$Z$1,0)),"")</f>
        <v/>
      </c>
      <c r="H2371" s="7" t="str">
        <f aca="false">IFERROR(INDEX('Semrush Data'!$A$1:$Z$20000,MATCH(A2371,'Semrush Data'!$A$1:$A$20000,0),MATCH("Keyword Difficulty*",'Semrush Data'!$A$1:$Z$1,0)),"")</f>
        <v/>
      </c>
      <c r="I2371" s="13" t="str">
        <f aca="false">IFERROR(INDEX('Semrush Data'!$A$1:$Z$20000,MATCH(A2371,'Semrush Data'!$A$1:$A$20000,0),MATCH("CPC*",'Semrush Data'!$A$1:$Z$1,0)),"")</f>
        <v/>
      </c>
      <c r="J2371" s="7" t="str">
        <f aca="false">IFERROR(INDEX('Semrush Data'!$A$1:$Z$20000,MATCH(A2371,'Semrush Data'!$A$1:$A$20000,0),MATCH("Intent",'Semrush Data'!$A$1:$Z$1,0)),"")</f>
        <v/>
      </c>
    </row>
    <row r="2372" customFormat="false" ht="15" hidden="false" customHeight="true" outlineLevel="0" collapsed="false">
      <c r="A2372" s="7" t="s">
        <v>7054</v>
      </c>
      <c r="B2372" s="7" t="s">
        <v>6820</v>
      </c>
      <c r="C2372" s="7" t="n">
        <v>3</v>
      </c>
      <c r="D2372" s="7" t="n">
        <v>24</v>
      </c>
      <c r="E2372" s="7" t="n">
        <v>2</v>
      </c>
      <c r="F2372" s="7" t="s">
        <v>6796</v>
      </c>
      <c r="G2372" s="12" t="str">
        <f aca="false">IFERROR(INDEX('Semrush Data'!$A$1:$Z$20000,MATCH(A2372,'Semrush Data'!$A$1:$A$20000,0),MATCH("Volume",'Semrush Data'!$A$1:$Z$1,0)),"")</f>
        <v/>
      </c>
      <c r="H2372" s="7" t="str">
        <f aca="false">IFERROR(INDEX('Semrush Data'!$A$1:$Z$20000,MATCH(A2372,'Semrush Data'!$A$1:$A$20000,0),MATCH("Keyword Difficulty*",'Semrush Data'!$A$1:$Z$1,0)),"")</f>
        <v/>
      </c>
      <c r="I2372" s="13" t="str">
        <f aca="false">IFERROR(INDEX('Semrush Data'!$A$1:$Z$20000,MATCH(A2372,'Semrush Data'!$A$1:$A$20000,0),MATCH("CPC*",'Semrush Data'!$A$1:$Z$1,0)),"")</f>
        <v/>
      </c>
      <c r="J2372" s="7" t="str">
        <f aca="false">IFERROR(INDEX('Semrush Data'!$A$1:$Z$20000,MATCH(A2372,'Semrush Data'!$A$1:$A$20000,0),MATCH("Intent",'Semrush Data'!$A$1:$Z$1,0)),"")</f>
        <v/>
      </c>
    </row>
    <row r="2373" customFormat="false" ht="15" hidden="false" customHeight="true" outlineLevel="0" collapsed="false">
      <c r="A2373" s="7" t="s">
        <v>7055</v>
      </c>
      <c r="B2373" s="7" t="s">
        <v>6820</v>
      </c>
      <c r="C2373" s="7" t="n">
        <v>3</v>
      </c>
      <c r="D2373" s="7" t="n">
        <v>24</v>
      </c>
      <c r="E2373" s="7" t="n">
        <v>2</v>
      </c>
      <c r="F2373" s="7" t="s">
        <v>6796</v>
      </c>
      <c r="G2373" s="12" t="str">
        <f aca="false">IFERROR(INDEX('Semrush Data'!$A$1:$Z$20000,MATCH(A2373,'Semrush Data'!$A$1:$A$20000,0),MATCH("Volume",'Semrush Data'!$A$1:$Z$1,0)),"")</f>
        <v/>
      </c>
      <c r="H2373" s="7" t="str">
        <f aca="false">IFERROR(INDEX('Semrush Data'!$A$1:$Z$20000,MATCH(A2373,'Semrush Data'!$A$1:$A$20000,0),MATCH("Keyword Difficulty*",'Semrush Data'!$A$1:$Z$1,0)),"")</f>
        <v/>
      </c>
      <c r="I2373" s="13" t="str">
        <f aca="false">IFERROR(INDEX('Semrush Data'!$A$1:$Z$20000,MATCH(A2373,'Semrush Data'!$A$1:$A$20000,0),MATCH("CPC*",'Semrush Data'!$A$1:$Z$1,0)),"")</f>
        <v/>
      </c>
      <c r="J2373" s="7" t="str">
        <f aca="false">IFERROR(INDEX('Semrush Data'!$A$1:$Z$20000,MATCH(A2373,'Semrush Data'!$A$1:$A$20000,0),MATCH("Intent",'Semrush Data'!$A$1:$Z$1,0)),"")</f>
        <v/>
      </c>
    </row>
    <row r="2374" customFormat="false" ht="15" hidden="false" customHeight="true" outlineLevel="0" collapsed="false">
      <c r="A2374" s="7" t="s">
        <v>7056</v>
      </c>
      <c r="B2374" s="7" t="s">
        <v>6820</v>
      </c>
      <c r="C2374" s="7" t="n">
        <v>3</v>
      </c>
      <c r="D2374" s="7" t="n">
        <v>24</v>
      </c>
      <c r="E2374" s="7" t="n">
        <v>2</v>
      </c>
      <c r="F2374" s="7" t="s">
        <v>6796</v>
      </c>
      <c r="G2374" s="12" t="str">
        <f aca="false">IFERROR(INDEX('Semrush Data'!$A$1:$Z$20000,MATCH(A2374,'Semrush Data'!$A$1:$A$20000,0),MATCH("Volume",'Semrush Data'!$A$1:$Z$1,0)),"")</f>
        <v/>
      </c>
      <c r="H2374" s="7" t="str">
        <f aca="false">IFERROR(INDEX('Semrush Data'!$A$1:$Z$20000,MATCH(A2374,'Semrush Data'!$A$1:$A$20000,0),MATCH("Keyword Difficulty*",'Semrush Data'!$A$1:$Z$1,0)),"")</f>
        <v/>
      </c>
      <c r="I2374" s="13" t="str">
        <f aca="false">IFERROR(INDEX('Semrush Data'!$A$1:$Z$20000,MATCH(A2374,'Semrush Data'!$A$1:$A$20000,0),MATCH("CPC*",'Semrush Data'!$A$1:$Z$1,0)),"")</f>
        <v/>
      </c>
      <c r="J2374" s="7" t="str">
        <f aca="false">IFERROR(INDEX('Semrush Data'!$A$1:$Z$20000,MATCH(A2374,'Semrush Data'!$A$1:$A$20000,0),MATCH("Intent",'Semrush Data'!$A$1:$Z$1,0)),"")</f>
        <v/>
      </c>
    </row>
    <row r="2375" customFormat="false" ht="15" hidden="false" customHeight="true" outlineLevel="0" collapsed="false">
      <c r="A2375" s="7" t="s">
        <v>7057</v>
      </c>
      <c r="B2375" s="7" t="s">
        <v>6820</v>
      </c>
      <c r="C2375" s="7" t="n">
        <v>3</v>
      </c>
      <c r="D2375" s="7" t="n">
        <v>24</v>
      </c>
      <c r="E2375" s="7" t="n">
        <v>1</v>
      </c>
      <c r="F2375" s="7" t="s">
        <v>144</v>
      </c>
      <c r="G2375" s="12" t="str">
        <f aca="false">IFERROR(INDEX('Semrush Data'!$A$1:$Z$20000,MATCH(A2375,'Semrush Data'!$A$1:$A$20000,0),MATCH("Volume",'Semrush Data'!$A$1:$Z$1,0)),"")</f>
        <v/>
      </c>
      <c r="H2375" s="7" t="str">
        <f aca="false">IFERROR(INDEX('Semrush Data'!$A$1:$Z$20000,MATCH(A2375,'Semrush Data'!$A$1:$A$20000,0),MATCH("Keyword Difficulty*",'Semrush Data'!$A$1:$Z$1,0)),"")</f>
        <v/>
      </c>
      <c r="I2375" s="13" t="str">
        <f aca="false">IFERROR(INDEX('Semrush Data'!$A$1:$Z$20000,MATCH(A2375,'Semrush Data'!$A$1:$A$20000,0),MATCH("CPC*",'Semrush Data'!$A$1:$Z$1,0)),"")</f>
        <v/>
      </c>
      <c r="J2375" s="7" t="str">
        <f aca="false">IFERROR(INDEX('Semrush Data'!$A$1:$Z$20000,MATCH(A2375,'Semrush Data'!$A$1:$A$20000,0),MATCH("Intent",'Semrush Data'!$A$1:$Z$1,0)),"")</f>
        <v/>
      </c>
    </row>
    <row r="2376" customFormat="false" ht="15" hidden="false" customHeight="true" outlineLevel="0" collapsed="false">
      <c r="A2376" s="7" t="s">
        <v>7058</v>
      </c>
      <c r="B2376" s="7" t="s">
        <v>6820</v>
      </c>
      <c r="C2376" s="7" t="n">
        <v>3</v>
      </c>
      <c r="D2376" s="7" t="n">
        <v>24</v>
      </c>
      <c r="E2376" s="7" t="n">
        <v>1</v>
      </c>
      <c r="F2376" s="7" t="s">
        <v>144</v>
      </c>
      <c r="G2376" s="12" t="str">
        <f aca="false">IFERROR(INDEX('Semrush Data'!$A$1:$Z$20000,MATCH(A2376,'Semrush Data'!$A$1:$A$20000,0),MATCH("Volume",'Semrush Data'!$A$1:$Z$1,0)),"")</f>
        <v/>
      </c>
      <c r="H2376" s="7" t="str">
        <f aca="false">IFERROR(INDEX('Semrush Data'!$A$1:$Z$20000,MATCH(A2376,'Semrush Data'!$A$1:$A$20000,0),MATCH("Keyword Difficulty*",'Semrush Data'!$A$1:$Z$1,0)),"")</f>
        <v/>
      </c>
      <c r="I2376" s="13" t="str">
        <f aca="false">IFERROR(INDEX('Semrush Data'!$A$1:$Z$20000,MATCH(A2376,'Semrush Data'!$A$1:$A$20000,0),MATCH("CPC*",'Semrush Data'!$A$1:$Z$1,0)),"")</f>
        <v/>
      </c>
      <c r="J2376" s="7" t="str">
        <f aca="false">IFERROR(INDEX('Semrush Data'!$A$1:$Z$20000,MATCH(A2376,'Semrush Data'!$A$1:$A$20000,0),MATCH("Intent",'Semrush Data'!$A$1:$Z$1,0)),"")</f>
        <v/>
      </c>
    </row>
    <row r="2377" customFormat="false" ht="15" hidden="false" customHeight="true" outlineLevel="0" collapsed="false">
      <c r="A2377" s="7" t="s">
        <v>7059</v>
      </c>
      <c r="B2377" s="7" t="s">
        <v>6820</v>
      </c>
      <c r="C2377" s="7" t="n">
        <v>3</v>
      </c>
      <c r="D2377" s="7" t="s">
        <v>6843</v>
      </c>
      <c r="E2377" s="7" t="n">
        <v>1</v>
      </c>
      <c r="F2377" s="7" t="s">
        <v>144</v>
      </c>
      <c r="G2377" s="12" t="str">
        <f aca="false">IFERROR(INDEX('Semrush Data'!$A$1:$Z$20000,MATCH(A2377,'Semrush Data'!$A$1:$A$20000,0),MATCH("Volume",'Semrush Data'!$A$1:$Z$1,0)),"")</f>
        <v/>
      </c>
      <c r="H2377" s="7" t="str">
        <f aca="false">IFERROR(INDEX('Semrush Data'!$A$1:$Z$20000,MATCH(A2377,'Semrush Data'!$A$1:$A$20000,0),MATCH("Keyword Difficulty*",'Semrush Data'!$A$1:$Z$1,0)),"")</f>
        <v/>
      </c>
      <c r="I2377" s="13" t="str">
        <f aca="false">IFERROR(INDEX('Semrush Data'!$A$1:$Z$20000,MATCH(A2377,'Semrush Data'!$A$1:$A$20000,0),MATCH("CPC*",'Semrush Data'!$A$1:$Z$1,0)),"")</f>
        <v/>
      </c>
      <c r="J2377" s="7" t="str">
        <f aca="false">IFERROR(INDEX('Semrush Data'!$A$1:$Z$20000,MATCH(A2377,'Semrush Data'!$A$1:$A$20000,0),MATCH("Intent",'Semrush Data'!$A$1:$Z$1,0)),"")</f>
        <v/>
      </c>
    </row>
    <row r="2378" customFormat="false" ht="15" hidden="false" customHeight="true" outlineLevel="0" collapsed="false">
      <c r="A2378" s="7" t="s">
        <v>7060</v>
      </c>
      <c r="B2378" s="7" t="s">
        <v>6820</v>
      </c>
      <c r="C2378" s="7" t="n">
        <v>3</v>
      </c>
      <c r="D2378" s="7" t="n">
        <v>24</v>
      </c>
      <c r="E2378" s="7" t="n">
        <v>1</v>
      </c>
      <c r="F2378" s="7" t="s">
        <v>144</v>
      </c>
      <c r="G2378" s="12" t="str">
        <f aca="false">IFERROR(INDEX('Semrush Data'!$A$1:$Z$20000,MATCH(A2378,'Semrush Data'!$A$1:$A$20000,0),MATCH("Volume",'Semrush Data'!$A$1:$Z$1,0)),"")</f>
        <v/>
      </c>
      <c r="H2378" s="7" t="str">
        <f aca="false">IFERROR(INDEX('Semrush Data'!$A$1:$Z$20000,MATCH(A2378,'Semrush Data'!$A$1:$A$20000,0),MATCH("Keyword Difficulty*",'Semrush Data'!$A$1:$Z$1,0)),"")</f>
        <v/>
      </c>
      <c r="I2378" s="13" t="str">
        <f aca="false">IFERROR(INDEX('Semrush Data'!$A$1:$Z$20000,MATCH(A2378,'Semrush Data'!$A$1:$A$20000,0),MATCH("CPC*",'Semrush Data'!$A$1:$Z$1,0)),"")</f>
        <v/>
      </c>
      <c r="J2378" s="7" t="str">
        <f aca="false">IFERROR(INDEX('Semrush Data'!$A$1:$Z$20000,MATCH(A2378,'Semrush Data'!$A$1:$A$20000,0),MATCH("Intent",'Semrush Data'!$A$1:$Z$1,0)),"")</f>
        <v/>
      </c>
    </row>
    <row r="2379" customFormat="false" ht="15" hidden="false" customHeight="true" outlineLevel="0" collapsed="false">
      <c r="A2379" s="7" t="s">
        <v>7061</v>
      </c>
      <c r="B2379" s="7" t="s">
        <v>6820</v>
      </c>
      <c r="C2379" s="7" t="n">
        <v>3</v>
      </c>
      <c r="D2379" s="7" t="s">
        <v>6843</v>
      </c>
      <c r="E2379" s="7" t="n">
        <v>1</v>
      </c>
      <c r="F2379" s="7" t="s">
        <v>144</v>
      </c>
      <c r="G2379" s="12" t="str">
        <f aca="false">IFERROR(INDEX('Semrush Data'!$A$1:$Z$20000,MATCH(A2379,'Semrush Data'!$A$1:$A$20000,0),MATCH("Volume",'Semrush Data'!$A$1:$Z$1,0)),"")</f>
        <v/>
      </c>
      <c r="H2379" s="7" t="str">
        <f aca="false">IFERROR(INDEX('Semrush Data'!$A$1:$Z$20000,MATCH(A2379,'Semrush Data'!$A$1:$A$20000,0),MATCH("Keyword Difficulty*",'Semrush Data'!$A$1:$Z$1,0)),"")</f>
        <v/>
      </c>
      <c r="I2379" s="13" t="str">
        <f aca="false">IFERROR(INDEX('Semrush Data'!$A$1:$Z$20000,MATCH(A2379,'Semrush Data'!$A$1:$A$20000,0),MATCH("CPC*",'Semrush Data'!$A$1:$Z$1,0)),"")</f>
        <v/>
      </c>
      <c r="J2379" s="7" t="str">
        <f aca="false">IFERROR(INDEX('Semrush Data'!$A$1:$Z$20000,MATCH(A2379,'Semrush Data'!$A$1:$A$20000,0),MATCH("Intent",'Semrush Data'!$A$1:$Z$1,0)),"")</f>
        <v/>
      </c>
    </row>
    <row r="2380" customFormat="false" ht="15" hidden="false" customHeight="true" outlineLevel="0" collapsed="false">
      <c r="A2380" s="7" t="s">
        <v>7062</v>
      </c>
      <c r="B2380" s="7" t="s">
        <v>6820</v>
      </c>
      <c r="C2380" s="7" t="n">
        <v>3</v>
      </c>
      <c r="D2380" s="7" t="s">
        <v>6843</v>
      </c>
      <c r="E2380" s="7" t="n">
        <v>1</v>
      </c>
      <c r="F2380" s="7" t="s">
        <v>1097</v>
      </c>
      <c r="G2380" s="12" t="str">
        <f aca="false">IFERROR(INDEX('Semrush Data'!$A$1:$Z$20000,MATCH(A2380,'Semrush Data'!$A$1:$A$20000,0),MATCH("Volume",'Semrush Data'!$A$1:$Z$1,0)),"")</f>
        <v/>
      </c>
      <c r="H2380" s="7" t="str">
        <f aca="false">IFERROR(INDEX('Semrush Data'!$A$1:$Z$20000,MATCH(A2380,'Semrush Data'!$A$1:$A$20000,0),MATCH("Keyword Difficulty*",'Semrush Data'!$A$1:$Z$1,0)),"")</f>
        <v/>
      </c>
      <c r="I2380" s="13" t="str">
        <f aca="false">IFERROR(INDEX('Semrush Data'!$A$1:$Z$20000,MATCH(A2380,'Semrush Data'!$A$1:$A$20000,0),MATCH("CPC*",'Semrush Data'!$A$1:$Z$1,0)),"")</f>
        <v/>
      </c>
      <c r="J2380" s="7" t="str">
        <f aca="false">IFERROR(INDEX('Semrush Data'!$A$1:$Z$20000,MATCH(A2380,'Semrush Data'!$A$1:$A$20000,0),MATCH("Intent",'Semrush Data'!$A$1:$Z$1,0)),"")</f>
        <v/>
      </c>
    </row>
    <row r="2381" customFormat="false" ht="15" hidden="false" customHeight="true" outlineLevel="0" collapsed="false">
      <c r="A2381" s="7" t="s">
        <v>7063</v>
      </c>
      <c r="B2381" s="7" t="s">
        <v>6820</v>
      </c>
      <c r="C2381" s="7" t="n">
        <v>3</v>
      </c>
      <c r="D2381" s="7" t="n">
        <v>24</v>
      </c>
      <c r="E2381" s="7" t="n">
        <v>1</v>
      </c>
      <c r="F2381" s="7" t="s">
        <v>3335</v>
      </c>
      <c r="G2381" s="12" t="str">
        <f aca="false">IFERROR(INDEX('Semrush Data'!$A$1:$Z$20000,MATCH(A2381,'Semrush Data'!$A$1:$A$20000,0),MATCH("Volume",'Semrush Data'!$A$1:$Z$1,0)),"")</f>
        <v/>
      </c>
      <c r="H2381" s="7" t="str">
        <f aca="false">IFERROR(INDEX('Semrush Data'!$A$1:$Z$20000,MATCH(A2381,'Semrush Data'!$A$1:$A$20000,0),MATCH("Keyword Difficulty*",'Semrush Data'!$A$1:$Z$1,0)),"")</f>
        <v/>
      </c>
      <c r="I2381" s="13" t="str">
        <f aca="false">IFERROR(INDEX('Semrush Data'!$A$1:$Z$20000,MATCH(A2381,'Semrush Data'!$A$1:$A$20000,0),MATCH("CPC*",'Semrush Data'!$A$1:$Z$1,0)),"")</f>
        <v/>
      </c>
      <c r="J2381" s="7" t="str">
        <f aca="false">IFERROR(INDEX('Semrush Data'!$A$1:$Z$20000,MATCH(A2381,'Semrush Data'!$A$1:$A$20000,0),MATCH("Intent",'Semrush Data'!$A$1:$Z$1,0)),"")</f>
        <v/>
      </c>
    </row>
    <row r="2382" customFormat="false" ht="15" hidden="false" customHeight="true" outlineLevel="0" collapsed="false">
      <c r="A2382" s="7" t="s">
        <v>7064</v>
      </c>
      <c r="B2382" s="7" t="s">
        <v>6820</v>
      </c>
      <c r="C2382" s="7" t="n">
        <v>3</v>
      </c>
      <c r="D2382" s="7" t="n">
        <v>24</v>
      </c>
      <c r="E2382" s="7" t="n">
        <v>1</v>
      </c>
      <c r="F2382" s="7" t="s">
        <v>3335</v>
      </c>
      <c r="G2382" s="12" t="str">
        <f aca="false">IFERROR(INDEX('Semrush Data'!$A$1:$Z$20000,MATCH(A2382,'Semrush Data'!$A$1:$A$20000,0),MATCH("Volume",'Semrush Data'!$A$1:$Z$1,0)),"")</f>
        <v/>
      </c>
      <c r="H2382" s="7" t="str">
        <f aca="false">IFERROR(INDEX('Semrush Data'!$A$1:$Z$20000,MATCH(A2382,'Semrush Data'!$A$1:$A$20000,0),MATCH("Keyword Difficulty*",'Semrush Data'!$A$1:$Z$1,0)),"")</f>
        <v/>
      </c>
      <c r="I2382" s="13" t="str">
        <f aca="false">IFERROR(INDEX('Semrush Data'!$A$1:$Z$20000,MATCH(A2382,'Semrush Data'!$A$1:$A$20000,0),MATCH("CPC*",'Semrush Data'!$A$1:$Z$1,0)),"")</f>
        <v/>
      </c>
      <c r="J2382" s="7" t="str">
        <f aca="false">IFERROR(INDEX('Semrush Data'!$A$1:$Z$20000,MATCH(A2382,'Semrush Data'!$A$1:$A$20000,0),MATCH("Intent",'Semrush Data'!$A$1:$Z$1,0)),"")</f>
        <v/>
      </c>
    </row>
    <row r="2383" customFormat="false" ht="15" hidden="false" customHeight="true" outlineLevel="0" collapsed="false">
      <c r="A2383" s="7" t="s">
        <v>7065</v>
      </c>
      <c r="B2383" s="7" t="s">
        <v>6820</v>
      </c>
      <c r="C2383" s="7" t="n">
        <v>3</v>
      </c>
      <c r="D2383" s="7" t="n">
        <v>24</v>
      </c>
      <c r="E2383" s="7" t="n">
        <v>1</v>
      </c>
      <c r="F2383" s="7" t="s">
        <v>3346</v>
      </c>
      <c r="G2383" s="12" t="str">
        <f aca="false">IFERROR(INDEX('Semrush Data'!$A$1:$Z$20000,MATCH(A2383,'Semrush Data'!$A$1:$A$20000,0),MATCH("Volume",'Semrush Data'!$A$1:$Z$1,0)),"")</f>
        <v/>
      </c>
      <c r="H2383" s="7" t="str">
        <f aca="false">IFERROR(INDEX('Semrush Data'!$A$1:$Z$20000,MATCH(A2383,'Semrush Data'!$A$1:$A$20000,0),MATCH("Keyword Difficulty*",'Semrush Data'!$A$1:$Z$1,0)),"")</f>
        <v/>
      </c>
      <c r="I2383" s="13" t="str">
        <f aca="false">IFERROR(INDEX('Semrush Data'!$A$1:$Z$20000,MATCH(A2383,'Semrush Data'!$A$1:$A$20000,0),MATCH("CPC*",'Semrush Data'!$A$1:$Z$1,0)),"")</f>
        <v/>
      </c>
      <c r="J2383" s="7" t="str">
        <f aca="false">IFERROR(INDEX('Semrush Data'!$A$1:$Z$20000,MATCH(A2383,'Semrush Data'!$A$1:$A$20000,0),MATCH("Intent",'Semrush Data'!$A$1:$Z$1,0)),"")</f>
        <v/>
      </c>
    </row>
    <row r="2384" customFormat="false" ht="15" hidden="false" customHeight="true" outlineLevel="0" collapsed="false">
      <c r="A2384" s="7" t="s">
        <v>7066</v>
      </c>
      <c r="B2384" s="7" t="s">
        <v>6820</v>
      </c>
      <c r="C2384" s="7" t="n">
        <v>3</v>
      </c>
      <c r="D2384" s="7" t="n">
        <v>24</v>
      </c>
      <c r="E2384" s="7" t="n">
        <v>1</v>
      </c>
      <c r="F2384" s="7" t="s">
        <v>3346</v>
      </c>
      <c r="G2384" s="12" t="str">
        <f aca="false">IFERROR(INDEX('Semrush Data'!$A$1:$Z$20000,MATCH(A2384,'Semrush Data'!$A$1:$A$20000,0),MATCH("Volume",'Semrush Data'!$A$1:$Z$1,0)),"")</f>
        <v/>
      </c>
      <c r="H2384" s="7" t="str">
        <f aca="false">IFERROR(INDEX('Semrush Data'!$A$1:$Z$20000,MATCH(A2384,'Semrush Data'!$A$1:$A$20000,0),MATCH("Keyword Difficulty*",'Semrush Data'!$A$1:$Z$1,0)),"")</f>
        <v/>
      </c>
      <c r="I2384" s="13" t="str">
        <f aca="false">IFERROR(INDEX('Semrush Data'!$A$1:$Z$20000,MATCH(A2384,'Semrush Data'!$A$1:$A$20000,0),MATCH("CPC*",'Semrush Data'!$A$1:$Z$1,0)),"")</f>
        <v/>
      </c>
      <c r="J2384" s="7" t="str">
        <f aca="false">IFERROR(INDEX('Semrush Data'!$A$1:$Z$20000,MATCH(A2384,'Semrush Data'!$A$1:$A$20000,0),MATCH("Intent",'Semrush Data'!$A$1:$Z$1,0)),"")</f>
        <v/>
      </c>
    </row>
    <row r="2385" customFormat="false" ht="15" hidden="false" customHeight="true" outlineLevel="0" collapsed="false">
      <c r="A2385" s="7" t="s">
        <v>7067</v>
      </c>
      <c r="B2385" s="7" t="s">
        <v>6820</v>
      </c>
      <c r="C2385" s="7" t="n">
        <v>3</v>
      </c>
      <c r="D2385" s="7" t="n">
        <v>24</v>
      </c>
      <c r="E2385" s="7" t="n">
        <v>1</v>
      </c>
      <c r="F2385" s="7" t="s">
        <v>3346</v>
      </c>
      <c r="G2385" s="12" t="str">
        <f aca="false">IFERROR(INDEX('Semrush Data'!$A$1:$Z$20000,MATCH(A2385,'Semrush Data'!$A$1:$A$20000,0),MATCH("Volume",'Semrush Data'!$A$1:$Z$1,0)),"")</f>
        <v/>
      </c>
      <c r="H2385" s="7" t="str">
        <f aca="false">IFERROR(INDEX('Semrush Data'!$A$1:$Z$20000,MATCH(A2385,'Semrush Data'!$A$1:$A$20000,0),MATCH("Keyword Difficulty*",'Semrush Data'!$A$1:$Z$1,0)),"")</f>
        <v/>
      </c>
      <c r="I2385" s="13" t="str">
        <f aca="false">IFERROR(INDEX('Semrush Data'!$A$1:$Z$20000,MATCH(A2385,'Semrush Data'!$A$1:$A$20000,0),MATCH("CPC*",'Semrush Data'!$A$1:$Z$1,0)),"")</f>
        <v/>
      </c>
      <c r="J2385" s="7" t="str">
        <f aca="false">IFERROR(INDEX('Semrush Data'!$A$1:$Z$20000,MATCH(A2385,'Semrush Data'!$A$1:$A$20000,0),MATCH("Intent",'Semrush Data'!$A$1:$Z$1,0)),"")</f>
        <v/>
      </c>
    </row>
    <row r="2386" customFormat="false" ht="15" hidden="false" customHeight="true" outlineLevel="0" collapsed="false">
      <c r="A2386" s="7" t="s">
        <v>7068</v>
      </c>
      <c r="B2386" s="7" t="s">
        <v>6820</v>
      </c>
      <c r="C2386" s="7" t="n">
        <v>3</v>
      </c>
      <c r="D2386" s="7" t="n">
        <v>24</v>
      </c>
      <c r="E2386" s="7" t="n">
        <v>1</v>
      </c>
      <c r="F2386" s="7" t="s">
        <v>3325</v>
      </c>
      <c r="G2386" s="12" t="str">
        <f aca="false">IFERROR(INDEX('Semrush Data'!$A$1:$Z$20000,MATCH(A2386,'Semrush Data'!$A$1:$A$20000,0),MATCH("Volume",'Semrush Data'!$A$1:$Z$1,0)),"")</f>
        <v/>
      </c>
      <c r="H2386" s="7" t="str">
        <f aca="false">IFERROR(INDEX('Semrush Data'!$A$1:$Z$20000,MATCH(A2386,'Semrush Data'!$A$1:$A$20000,0),MATCH("Keyword Difficulty*",'Semrush Data'!$A$1:$Z$1,0)),"")</f>
        <v/>
      </c>
      <c r="I2386" s="13" t="str">
        <f aca="false">IFERROR(INDEX('Semrush Data'!$A$1:$Z$20000,MATCH(A2386,'Semrush Data'!$A$1:$A$20000,0),MATCH("CPC*",'Semrush Data'!$A$1:$Z$1,0)),"")</f>
        <v/>
      </c>
      <c r="J2386" s="7" t="str">
        <f aca="false">IFERROR(INDEX('Semrush Data'!$A$1:$Z$20000,MATCH(A2386,'Semrush Data'!$A$1:$A$20000,0),MATCH("Intent",'Semrush Data'!$A$1:$Z$1,0)),"")</f>
        <v/>
      </c>
    </row>
    <row r="2387" customFormat="false" ht="15" hidden="false" customHeight="true" outlineLevel="0" collapsed="false">
      <c r="A2387" s="7" t="s">
        <v>7069</v>
      </c>
      <c r="B2387" s="7" t="s">
        <v>6820</v>
      </c>
      <c r="C2387" s="7" t="n">
        <v>3</v>
      </c>
      <c r="D2387" s="7" t="n">
        <v>24</v>
      </c>
      <c r="E2387" s="7" t="n">
        <v>1</v>
      </c>
      <c r="F2387" s="7" t="s">
        <v>68</v>
      </c>
      <c r="G2387" s="12" t="str">
        <f aca="false">IFERROR(INDEX('Semrush Data'!$A$1:$Z$20000,MATCH(A2387,'Semrush Data'!$A$1:$A$20000,0),MATCH("Volume",'Semrush Data'!$A$1:$Z$1,0)),"")</f>
        <v/>
      </c>
      <c r="H2387" s="7" t="str">
        <f aca="false">IFERROR(INDEX('Semrush Data'!$A$1:$Z$20000,MATCH(A2387,'Semrush Data'!$A$1:$A$20000,0),MATCH("Keyword Difficulty*",'Semrush Data'!$A$1:$Z$1,0)),"")</f>
        <v/>
      </c>
      <c r="I2387" s="13" t="str">
        <f aca="false">IFERROR(INDEX('Semrush Data'!$A$1:$Z$20000,MATCH(A2387,'Semrush Data'!$A$1:$A$20000,0),MATCH("CPC*",'Semrush Data'!$A$1:$Z$1,0)),"")</f>
        <v/>
      </c>
      <c r="J2387" s="7" t="str">
        <f aca="false">IFERROR(INDEX('Semrush Data'!$A$1:$Z$20000,MATCH(A2387,'Semrush Data'!$A$1:$A$20000,0),MATCH("Intent",'Semrush Data'!$A$1:$Z$1,0)),"")</f>
        <v/>
      </c>
    </row>
    <row r="2388" customFormat="false" ht="15" hidden="false" customHeight="true" outlineLevel="0" collapsed="false">
      <c r="A2388" s="7" t="s">
        <v>7070</v>
      </c>
      <c r="B2388" s="7" t="s">
        <v>6820</v>
      </c>
      <c r="C2388" s="7" t="n">
        <v>3</v>
      </c>
      <c r="D2388" s="7" t="n">
        <v>24</v>
      </c>
      <c r="E2388" s="7" t="n">
        <v>1</v>
      </c>
      <c r="F2388" s="7" t="s">
        <v>3325</v>
      </c>
      <c r="G2388" s="12" t="str">
        <f aca="false">IFERROR(INDEX('Semrush Data'!$A$1:$Z$20000,MATCH(A2388,'Semrush Data'!$A$1:$A$20000,0),MATCH("Volume",'Semrush Data'!$A$1:$Z$1,0)),"")</f>
        <v/>
      </c>
      <c r="H2388" s="7" t="str">
        <f aca="false">IFERROR(INDEX('Semrush Data'!$A$1:$Z$20000,MATCH(A2388,'Semrush Data'!$A$1:$A$20000,0),MATCH("Keyword Difficulty*",'Semrush Data'!$A$1:$Z$1,0)),"")</f>
        <v/>
      </c>
      <c r="I2388" s="13" t="str">
        <f aca="false">IFERROR(INDEX('Semrush Data'!$A$1:$Z$20000,MATCH(A2388,'Semrush Data'!$A$1:$A$20000,0),MATCH("CPC*",'Semrush Data'!$A$1:$Z$1,0)),"")</f>
        <v/>
      </c>
      <c r="J2388" s="7" t="str">
        <f aca="false">IFERROR(INDEX('Semrush Data'!$A$1:$Z$20000,MATCH(A2388,'Semrush Data'!$A$1:$A$20000,0),MATCH("Intent",'Semrush Data'!$A$1:$Z$1,0)),"")</f>
        <v/>
      </c>
    </row>
    <row r="2389" customFormat="false" ht="15" hidden="false" customHeight="true" outlineLevel="0" collapsed="false">
      <c r="A2389" s="7" t="s">
        <v>7071</v>
      </c>
      <c r="B2389" s="7" t="s">
        <v>6820</v>
      </c>
      <c r="C2389" s="7" t="n">
        <v>3</v>
      </c>
      <c r="D2389" s="7" t="n">
        <v>24</v>
      </c>
      <c r="E2389" s="7" t="n">
        <v>1</v>
      </c>
      <c r="F2389" s="7" t="s">
        <v>3325</v>
      </c>
      <c r="G2389" s="12" t="str">
        <f aca="false">IFERROR(INDEX('Semrush Data'!$A$1:$Z$20000,MATCH(A2389,'Semrush Data'!$A$1:$A$20000,0),MATCH("Volume",'Semrush Data'!$A$1:$Z$1,0)),"")</f>
        <v/>
      </c>
      <c r="H2389" s="7" t="str">
        <f aca="false">IFERROR(INDEX('Semrush Data'!$A$1:$Z$20000,MATCH(A2389,'Semrush Data'!$A$1:$A$20000,0),MATCH("Keyword Difficulty*",'Semrush Data'!$A$1:$Z$1,0)),"")</f>
        <v/>
      </c>
      <c r="I2389" s="13" t="str">
        <f aca="false">IFERROR(INDEX('Semrush Data'!$A$1:$Z$20000,MATCH(A2389,'Semrush Data'!$A$1:$A$20000,0),MATCH("CPC*",'Semrush Data'!$A$1:$Z$1,0)),"")</f>
        <v/>
      </c>
      <c r="J2389" s="7" t="str">
        <f aca="false">IFERROR(INDEX('Semrush Data'!$A$1:$Z$20000,MATCH(A2389,'Semrush Data'!$A$1:$A$20000,0),MATCH("Intent",'Semrush Data'!$A$1:$Z$1,0)),"")</f>
        <v/>
      </c>
    </row>
    <row r="2390" customFormat="false" ht="15" hidden="false" customHeight="true" outlineLevel="0" collapsed="false">
      <c r="A2390" s="7" t="s">
        <v>7072</v>
      </c>
      <c r="B2390" s="7" t="s">
        <v>6820</v>
      </c>
      <c r="C2390" s="7" t="n">
        <v>3</v>
      </c>
      <c r="D2390" s="7" t="n">
        <v>24</v>
      </c>
      <c r="E2390" s="7" t="n">
        <v>1</v>
      </c>
      <c r="F2390" s="7" t="s">
        <v>3325</v>
      </c>
      <c r="G2390" s="12" t="str">
        <f aca="false">IFERROR(INDEX('Semrush Data'!$A$1:$Z$20000,MATCH(A2390,'Semrush Data'!$A$1:$A$20000,0),MATCH("Volume",'Semrush Data'!$A$1:$Z$1,0)),"")</f>
        <v/>
      </c>
      <c r="H2390" s="7" t="str">
        <f aca="false">IFERROR(INDEX('Semrush Data'!$A$1:$Z$20000,MATCH(A2390,'Semrush Data'!$A$1:$A$20000,0),MATCH("Keyword Difficulty*",'Semrush Data'!$A$1:$Z$1,0)),"")</f>
        <v/>
      </c>
      <c r="I2390" s="13" t="str">
        <f aca="false">IFERROR(INDEX('Semrush Data'!$A$1:$Z$20000,MATCH(A2390,'Semrush Data'!$A$1:$A$20000,0),MATCH("CPC*",'Semrush Data'!$A$1:$Z$1,0)),"")</f>
        <v/>
      </c>
      <c r="J2390" s="7" t="str">
        <f aca="false">IFERROR(INDEX('Semrush Data'!$A$1:$Z$20000,MATCH(A2390,'Semrush Data'!$A$1:$A$20000,0),MATCH("Intent",'Semrush Data'!$A$1:$Z$1,0)),"")</f>
        <v/>
      </c>
    </row>
    <row r="2391" customFormat="false" ht="15" hidden="false" customHeight="true" outlineLevel="0" collapsed="false">
      <c r="A2391" s="7" t="s">
        <v>7073</v>
      </c>
      <c r="B2391" s="7" t="s">
        <v>6820</v>
      </c>
      <c r="C2391" s="7" t="n">
        <v>3</v>
      </c>
      <c r="D2391" s="7" t="n">
        <v>24</v>
      </c>
      <c r="E2391" s="7" t="n">
        <v>1</v>
      </c>
      <c r="F2391" s="7" t="s">
        <v>3292</v>
      </c>
      <c r="G2391" s="12" t="str">
        <f aca="false">IFERROR(INDEX('Semrush Data'!$A$1:$Z$20000,MATCH(A2391,'Semrush Data'!$A$1:$A$20000,0),MATCH("Volume",'Semrush Data'!$A$1:$Z$1,0)),"")</f>
        <v/>
      </c>
      <c r="H2391" s="7" t="str">
        <f aca="false">IFERROR(INDEX('Semrush Data'!$A$1:$Z$20000,MATCH(A2391,'Semrush Data'!$A$1:$A$20000,0),MATCH("Keyword Difficulty*",'Semrush Data'!$A$1:$Z$1,0)),"")</f>
        <v/>
      </c>
      <c r="I2391" s="13" t="str">
        <f aca="false">IFERROR(INDEX('Semrush Data'!$A$1:$Z$20000,MATCH(A2391,'Semrush Data'!$A$1:$A$20000,0),MATCH("CPC*",'Semrush Data'!$A$1:$Z$1,0)),"")</f>
        <v/>
      </c>
      <c r="J2391" s="7" t="str">
        <f aca="false">IFERROR(INDEX('Semrush Data'!$A$1:$Z$20000,MATCH(A2391,'Semrush Data'!$A$1:$A$20000,0),MATCH("Intent",'Semrush Data'!$A$1:$Z$1,0)),"")</f>
        <v/>
      </c>
    </row>
    <row r="2392" customFormat="false" ht="15" hidden="false" customHeight="true" outlineLevel="0" collapsed="false">
      <c r="A2392" s="7" t="s">
        <v>7074</v>
      </c>
      <c r="B2392" s="7" t="s">
        <v>6820</v>
      </c>
      <c r="C2392" s="7" t="n">
        <v>3</v>
      </c>
      <c r="D2392" s="7" t="n">
        <v>24</v>
      </c>
      <c r="E2392" s="7" t="n">
        <v>1</v>
      </c>
      <c r="F2392" s="7" t="s">
        <v>3292</v>
      </c>
      <c r="G2392" s="12" t="str">
        <f aca="false">IFERROR(INDEX('Semrush Data'!$A$1:$Z$20000,MATCH(A2392,'Semrush Data'!$A$1:$A$20000,0),MATCH("Volume",'Semrush Data'!$A$1:$Z$1,0)),"")</f>
        <v/>
      </c>
      <c r="H2392" s="7" t="str">
        <f aca="false">IFERROR(INDEX('Semrush Data'!$A$1:$Z$20000,MATCH(A2392,'Semrush Data'!$A$1:$A$20000,0),MATCH("Keyword Difficulty*",'Semrush Data'!$A$1:$Z$1,0)),"")</f>
        <v/>
      </c>
      <c r="I2392" s="13" t="str">
        <f aca="false">IFERROR(INDEX('Semrush Data'!$A$1:$Z$20000,MATCH(A2392,'Semrush Data'!$A$1:$A$20000,0),MATCH("CPC*",'Semrush Data'!$A$1:$Z$1,0)),"")</f>
        <v/>
      </c>
      <c r="J2392" s="7" t="str">
        <f aca="false">IFERROR(INDEX('Semrush Data'!$A$1:$Z$20000,MATCH(A2392,'Semrush Data'!$A$1:$A$20000,0),MATCH("Intent",'Semrush Data'!$A$1:$Z$1,0)),"")</f>
        <v/>
      </c>
    </row>
    <row r="2393" customFormat="false" ht="15" hidden="false" customHeight="true" outlineLevel="0" collapsed="false">
      <c r="A2393" s="7" t="s">
        <v>7075</v>
      </c>
      <c r="B2393" s="7" t="s">
        <v>6820</v>
      </c>
      <c r="C2393" s="7" t="n">
        <v>3</v>
      </c>
      <c r="D2393" s="7" t="n">
        <v>24</v>
      </c>
      <c r="E2393" s="7" t="n">
        <v>1</v>
      </c>
      <c r="F2393" s="7" t="s">
        <v>3292</v>
      </c>
      <c r="G2393" s="12" t="str">
        <f aca="false">IFERROR(INDEX('Semrush Data'!$A$1:$Z$20000,MATCH(A2393,'Semrush Data'!$A$1:$A$20000,0),MATCH("Volume",'Semrush Data'!$A$1:$Z$1,0)),"")</f>
        <v/>
      </c>
      <c r="H2393" s="7" t="str">
        <f aca="false">IFERROR(INDEX('Semrush Data'!$A$1:$Z$20000,MATCH(A2393,'Semrush Data'!$A$1:$A$20000,0),MATCH("Keyword Difficulty*",'Semrush Data'!$A$1:$Z$1,0)),"")</f>
        <v/>
      </c>
      <c r="I2393" s="13" t="str">
        <f aca="false">IFERROR(INDEX('Semrush Data'!$A$1:$Z$20000,MATCH(A2393,'Semrush Data'!$A$1:$A$20000,0),MATCH("CPC*",'Semrush Data'!$A$1:$Z$1,0)),"")</f>
        <v/>
      </c>
      <c r="J2393" s="7" t="str">
        <f aca="false">IFERROR(INDEX('Semrush Data'!$A$1:$Z$20000,MATCH(A2393,'Semrush Data'!$A$1:$A$20000,0),MATCH("Intent",'Semrush Data'!$A$1:$Z$1,0)),"")</f>
        <v/>
      </c>
    </row>
    <row r="2394" customFormat="false" ht="15" hidden="false" customHeight="true" outlineLevel="0" collapsed="false">
      <c r="A2394" s="7" t="s">
        <v>7076</v>
      </c>
      <c r="B2394" s="7" t="s">
        <v>6820</v>
      </c>
      <c r="C2394" s="7" t="n">
        <v>3</v>
      </c>
      <c r="D2394" s="7" t="n">
        <v>24</v>
      </c>
      <c r="E2394" s="7" t="n">
        <v>1</v>
      </c>
      <c r="F2394" s="7" t="s">
        <v>3292</v>
      </c>
      <c r="G2394" s="12" t="str">
        <f aca="false">IFERROR(INDEX('Semrush Data'!$A$1:$Z$20000,MATCH(A2394,'Semrush Data'!$A$1:$A$20000,0),MATCH("Volume",'Semrush Data'!$A$1:$Z$1,0)),"")</f>
        <v/>
      </c>
      <c r="H2394" s="7" t="str">
        <f aca="false">IFERROR(INDEX('Semrush Data'!$A$1:$Z$20000,MATCH(A2394,'Semrush Data'!$A$1:$A$20000,0),MATCH("Keyword Difficulty*",'Semrush Data'!$A$1:$Z$1,0)),"")</f>
        <v/>
      </c>
      <c r="I2394" s="13" t="str">
        <f aca="false">IFERROR(INDEX('Semrush Data'!$A$1:$Z$20000,MATCH(A2394,'Semrush Data'!$A$1:$A$20000,0),MATCH("CPC*",'Semrush Data'!$A$1:$Z$1,0)),"")</f>
        <v/>
      </c>
      <c r="J2394" s="7" t="str">
        <f aca="false">IFERROR(INDEX('Semrush Data'!$A$1:$Z$20000,MATCH(A2394,'Semrush Data'!$A$1:$A$20000,0),MATCH("Intent",'Semrush Data'!$A$1:$Z$1,0)),"")</f>
        <v/>
      </c>
    </row>
    <row r="2395" customFormat="false" ht="15" hidden="false" customHeight="true" outlineLevel="0" collapsed="false">
      <c r="A2395" s="7" t="s">
        <v>7077</v>
      </c>
      <c r="B2395" s="7" t="s">
        <v>6820</v>
      </c>
      <c r="C2395" s="7" t="n">
        <v>3</v>
      </c>
      <c r="D2395" s="7" t="n">
        <v>24</v>
      </c>
      <c r="E2395" s="7" t="n">
        <v>1</v>
      </c>
      <c r="F2395" s="7" t="s">
        <v>3292</v>
      </c>
      <c r="G2395" s="12" t="str">
        <f aca="false">IFERROR(INDEX('Semrush Data'!$A$1:$Z$20000,MATCH(A2395,'Semrush Data'!$A$1:$A$20000,0),MATCH("Volume",'Semrush Data'!$A$1:$Z$1,0)),"")</f>
        <v/>
      </c>
      <c r="H2395" s="7" t="str">
        <f aca="false">IFERROR(INDEX('Semrush Data'!$A$1:$Z$20000,MATCH(A2395,'Semrush Data'!$A$1:$A$20000,0),MATCH("Keyword Difficulty*",'Semrush Data'!$A$1:$Z$1,0)),"")</f>
        <v/>
      </c>
      <c r="I2395" s="13" t="str">
        <f aca="false">IFERROR(INDEX('Semrush Data'!$A$1:$Z$20000,MATCH(A2395,'Semrush Data'!$A$1:$A$20000,0),MATCH("CPC*",'Semrush Data'!$A$1:$Z$1,0)),"")</f>
        <v/>
      </c>
      <c r="J2395" s="7" t="str">
        <f aca="false">IFERROR(INDEX('Semrush Data'!$A$1:$Z$20000,MATCH(A2395,'Semrush Data'!$A$1:$A$20000,0),MATCH("Intent",'Semrush Data'!$A$1:$Z$1,0)),"")</f>
        <v/>
      </c>
    </row>
    <row r="2396" customFormat="false" ht="15" hidden="false" customHeight="true" outlineLevel="0" collapsed="false">
      <c r="A2396" s="7" t="s">
        <v>7078</v>
      </c>
      <c r="B2396" s="7" t="s">
        <v>6820</v>
      </c>
      <c r="C2396" s="7" t="n">
        <v>3</v>
      </c>
      <c r="D2396" s="7" t="s">
        <v>6818</v>
      </c>
      <c r="E2396" s="7" t="n">
        <v>1</v>
      </c>
      <c r="F2396" s="7" t="s">
        <v>68</v>
      </c>
      <c r="G2396" s="12" t="str">
        <f aca="false">IFERROR(INDEX('Semrush Data'!$A$1:$Z$20000,MATCH(A2396,'Semrush Data'!$A$1:$A$20000,0),MATCH("Volume",'Semrush Data'!$A$1:$Z$1,0)),"")</f>
        <v/>
      </c>
      <c r="H2396" s="7" t="str">
        <f aca="false">IFERROR(INDEX('Semrush Data'!$A$1:$Z$20000,MATCH(A2396,'Semrush Data'!$A$1:$A$20000,0),MATCH("Keyword Difficulty*",'Semrush Data'!$A$1:$Z$1,0)),"")</f>
        <v/>
      </c>
      <c r="I2396" s="13" t="str">
        <f aca="false">IFERROR(INDEX('Semrush Data'!$A$1:$Z$20000,MATCH(A2396,'Semrush Data'!$A$1:$A$20000,0),MATCH("CPC*",'Semrush Data'!$A$1:$Z$1,0)),"")</f>
        <v/>
      </c>
      <c r="J2396" s="7" t="str">
        <f aca="false">IFERROR(INDEX('Semrush Data'!$A$1:$Z$20000,MATCH(A2396,'Semrush Data'!$A$1:$A$20000,0),MATCH("Intent",'Semrush Data'!$A$1:$Z$1,0)),"")</f>
        <v/>
      </c>
    </row>
    <row r="2397" customFormat="false" ht="15" hidden="false" customHeight="true" outlineLevel="0" collapsed="false">
      <c r="A2397" s="7" t="s">
        <v>7079</v>
      </c>
      <c r="B2397" s="7" t="s">
        <v>6820</v>
      </c>
      <c r="C2397" s="7" t="n">
        <v>3</v>
      </c>
      <c r="D2397" s="7" t="n">
        <v>24</v>
      </c>
      <c r="E2397" s="7" t="n">
        <v>1</v>
      </c>
      <c r="F2397" s="7" t="s">
        <v>3303</v>
      </c>
      <c r="G2397" s="12" t="str">
        <f aca="false">IFERROR(INDEX('Semrush Data'!$A$1:$Z$20000,MATCH(A2397,'Semrush Data'!$A$1:$A$20000,0),MATCH("Volume",'Semrush Data'!$A$1:$Z$1,0)),"")</f>
        <v/>
      </c>
      <c r="H2397" s="7" t="str">
        <f aca="false">IFERROR(INDEX('Semrush Data'!$A$1:$Z$20000,MATCH(A2397,'Semrush Data'!$A$1:$A$20000,0),MATCH("Keyword Difficulty*",'Semrush Data'!$A$1:$Z$1,0)),"")</f>
        <v/>
      </c>
      <c r="I2397" s="13" t="str">
        <f aca="false">IFERROR(INDEX('Semrush Data'!$A$1:$Z$20000,MATCH(A2397,'Semrush Data'!$A$1:$A$20000,0),MATCH("CPC*",'Semrush Data'!$A$1:$Z$1,0)),"")</f>
        <v/>
      </c>
      <c r="J2397" s="7" t="str">
        <f aca="false">IFERROR(INDEX('Semrush Data'!$A$1:$Z$20000,MATCH(A2397,'Semrush Data'!$A$1:$A$20000,0),MATCH("Intent",'Semrush Data'!$A$1:$Z$1,0)),"")</f>
        <v/>
      </c>
    </row>
    <row r="2398" customFormat="false" ht="15" hidden="false" customHeight="true" outlineLevel="0" collapsed="false">
      <c r="A2398" s="7" t="s">
        <v>7080</v>
      </c>
      <c r="B2398" s="7" t="s">
        <v>6820</v>
      </c>
      <c r="C2398" s="7" t="n">
        <v>3</v>
      </c>
      <c r="D2398" s="7" t="n">
        <v>24</v>
      </c>
      <c r="E2398" s="7" t="n">
        <v>1</v>
      </c>
      <c r="F2398" s="7" t="s">
        <v>3303</v>
      </c>
      <c r="G2398" s="12" t="str">
        <f aca="false">IFERROR(INDEX('Semrush Data'!$A$1:$Z$20000,MATCH(A2398,'Semrush Data'!$A$1:$A$20000,0),MATCH("Volume",'Semrush Data'!$A$1:$Z$1,0)),"")</f>
        <v/>
      </c>
      <c r="H2398" s="7" t="str">
        <f aca="false">IFERROR(INDEX('Semrush Data'!$A$1:$Z$20000,MATCH(A2398,'Semrush Data'!$A$1:$A$20000,0),MATCH("Keyword Difficulty*",'Semrush Data'!$A$1:$Z$1,0)),"")</f>
        <v/>
      </c>
      <c r="I2398" s="13" t="str">
        <f aca="false">IFERROR(INDEX('Semrush Data'!$A$1:$Z$20000,MATCH(A2398,'Semrush Data'!$A$1:$A$20000,0),MATCH("CPC*",'Semrush Data'!$A$1:$Z$1,0)),"")</f>
        <v/>
      </c>
      <c r="J2398" s="7" t="str">
        <f aca="false">IFERROR(INDEX('Semrush Data'!$A$1:$Z$20000,MATCH(A2398,'Semrush Data'!$A$1:$A$20000,0),MATCH("Intent",'Semrush Data'!$A$1:$Z$1,0)),"")</f>
        <v/>
      </c>
    </row>
    <row r="2399" customFormat="false" ht="15" hidden="false" customHeight="true" outlineLevel="0" collapsed="false">
      <c r="A2399" s="7" t="s">
        <v>7081</v>
      </c>
      <c r="B2399" s="7" t="s">
        <v>6820</v>
      </c>
      <c r="C2399" s="7" t="n">
        <v>3</v>
      </c>
      <c r="D2399" s="7" t="n">
        <v>24</v>
      </c>
      <c r="E2399" s="7" t="n">
        <v>1</v>
      </c>
      <c r="F2399" s="7" t="s">
        <v>3303</v>
      </c>
      <c r="G2399" s="12" t="str">
        <f aca="false">IFERROR(INDEX('Semrush Data'!$A$1:$Z$20000,MATCH(A2399,'Semrush Data'!$A$1:$A$20000,0),MATCH("Volume",'Semrush Data'!$A$1:$Z$1,0)),"")</f>
        <v/>
      </c>
      <c r="H2399" s="7" t="str">
        <f aca="false">IFERROR(INDEX('Semrush Data'!$A$1:$Z$20000,MATCH(A2399,'Semrush Data'!$A$1:$A$20000,0),MATCH("Keyword Difficulty*",'Semrush Data'!$A$1:$Z$1,0)),"")</f>
        <v/>
      </c>
      <c r="I2399" s="13" t="str">
        <f aca="false">IFERROR(INDEX('Semrush Data'!$A$1:$Z$20000,MATCH(A2399,'Semrush Data'!$A$1:$A$20000,0),MATCH("CPC*",'Semrush Data'!$A$1:$Z$1,0)),"")</f>
        <v/>
      </c>
      <c r="J2399" s="7" t="str">
        <f aca="false">IFERROR(INDEX('Semrush Data'!$A$1:$Z$20000,MATCH(A2399,'Semrush Data'!$A$1:$A$20000,0),MATCH("Intent",'Semrush Data'!$A$1:$Z$1,0)),"")</f>
        <v/>
      </c>
    </row>
    <row r="2400" customFormat="false" ht="15" hidden="false" customHeight="true" outlineLevel="0" collapsed="false">
      <c r="A2400" s="7" t="s">
        <v>7082</v>
      </c>
      <c r="B2400" s="7" t="s">
        <v>6820</v>
      </c>
      <c r="C2400" s="7" t="n">
        <v>3</v>
      </c>
      <c r="D2400" s="7" t="n">
        <v>24</v>
      </c>
      <c r="E2400" s="7" t="n">
        <v>1</v>
      </c>
      <c r="F2400" s="7" t="s">
        <v>3303</v>
      </c>
      <c r="G2400" s="12" t="str">
        <f aca="false">IFERROR(INDEX('Semrush Data'!$A$1:$Z$20000,MATCH(A2400,'Semrush Data'!$A$1:$A$20000,0),MATCH("Volume",'Semrush Data'!$A$1:$Z$1,0)),"")</f>
        <v/>
      </c>
      <c r="H2400" s="7" t="str">
        <f aca="false">IFERROR(INDEX('Semrush Data'!$A$1:$Z$20000,MATCH(A2400,'Semrush Data'!$A$1:$A$20000,0),MATCH("Keyword Difficulty*",'Semrush Data'!$A$1:$Z$1,0)),"")</f>
        <v/>
      </c>
      <c r="I2400" s="13" t="str">
        <f aca="false">IFERROR(INDEX('Semrush Data'!$A$1:$Z$20000,MATCH(A2400,'Semrush Data'!$A$1:$A$20000,0),MATCH("CPC*",'Semrush Data'!$A$1:$Z$1,0)),"")</f>
        <v/>
      </c>
      <c r="J2400" s="7" t="str">
        <f aca="false">IFERROR(INDEX('Semrush Data'!$A$1:$Z$20000,MATCH(A2400,'Semrush Data'!$A$1:$A$20000,0),MATCH("Intent",'Semrush Data'!$A$1:$Z$1,0)),"")</f>
        <v/>
      </c>
    </row>
    <row r="2401" customFormat="false" ht="15" hidden="false" customHeight="true" outlineLevel="0" collapsed="false">
      <c r="A2401" s="7" t="s">
        <v>7083</v>
      </c>
      <c r="B2401" s="7" t="s">
        <v>6820</v>
      </c>
      <c r="C2401" s="7" t="n">
        <v>3</v>
      </c>
      <c r="D2401" s="7" t="n">
        <v>24</v>
      </c>
      <c r="E2401" s="7" t="n">
        <v>1</v>
      </c>
      <c r="F2401" s="7" t="s">
        <v>3303</v>
      </c>
      <c r="G2401" s="12" t="str">
        <f aca="false">IFERROR(INDEX('Semrush Data'!$A$1:$Z$20000,MATCH(A2401,'Semrush Data'!$A$1:$A$20000,0),MATCH("Volume",'Semrush Data'!$A$1:$Z$1,0)),"")</f>
        <v/>
      </c>
      <c r="H2401" s="7" t="str">
        <f aca="false">IFERROR(INDEX('Semrush Data'!$A$1:$Z$20000,MATCH(A2401,'Semrush Data'!$A$1:$A$20000,0),MATCH("Keyword Difficulty*",'Semrush Data'!$A$1:$Z$1,0)),"")</f>
        <v/>
      </c>
      <c r="I2401" s="13" t="str">
        <f aca="false">IFERROR(INDEX('Semrush Data'!$A$1:$Z$20000,MATCH(A2401,'Semrush Data'!$A$1:$A$20000,0),MATCH("CPC*",'Semrush Data'!$A$1:$Z$1,0)),"")</f>
        <v/>
      </c>
      <c r="J2401" s="7" t="str">
        <f aca="false">IFERROR(INDEX('Semrush Data'!$A$1:$Z$20000,MATCH(A2401,'Semrush Data'!$A$1:$A$20000,0),MATCH("Intent",'Semrush Data'!$A$1:$Z$1,0)),"")</f>
        <v/>
      </c>
    </row>
    <row r="2402" customFormat="false" ht="15" hidden="false" customHeight="true" outlineLevel="0" collapsed="false">
      <c r="A2402" s="7" t="s">
        <v>7084</v>
      </c>
      <c r="B2402" s="7" t="s">
        <v>6820</v>
      </c>
      <c r="C2402" s="7" t="n">
        <v>3</v>
      </c>
      <c r="D2402" s="7" t="n">
        <v>25</v>
      </c>
      <c r="E2402" s="7" t="n">
        <v>1</v>
      </c>
      <c r="F2402" s="7" t="s">
        <v>3303</v>
      </c>
      <c r="G2402" s="12" t="str">
        <f aca="false">IFERROR(INDEX('Semrush Data'!$A$1:$Z$20000,MATCH(A2402,'Semrush Data'!$A$1:$A$20000,0),MATCH("Volume",'Semrush Data'!$A$1:$Z$1,0)),"")</f>
        <v/>
      </c>
      <c r="H2402" s="7" t="str">
        <f aca="false">IFERROR(INDEX('Semrush Data'!$A$1:$Z$20000,MATCH(A2402,'Semrush Data'!$A$1:$A$20000,0),MATCH("Keyword Difficulty*",'Semrush Data'!$A$1:$Z$1,0)),"")</f>
        <v/>
      </c>
      <c r="I2402" s="13" t="str">
        <f aca="false">IFERROR(INDEX('Semrush Data'!$A$1:$Z$20000,MATCH(A2402,'Semrush Data'!$A$1:$A$20000,0),MATCH("CPC*",'Semrush Data'!$A$1:$Z$1,0)),"")</f>
        <v/>
      </c>
      <c r="J2402" s="7" t="str">
        <f aca="false">IFERROR(INDEX('Semrush Data'!$A$1:$Z$20000,MATCH(A2402,'Semrush Data'!$A$1:$A$20000,0),MATCH("Intent",'Semrush Data'!$A$1:$Z$1,0)),"")</f>
        <v/>
      </c>
    </row>
    <row r="2403" customFormat="false" ht="15" hidden="false" customHeight="true" outlineLevel="0" collapsed="false">
      <c r="A2403" s="7" t="s">
        <v>7085</v>
      </c>
      <c r="B2403" s="7" t="s">
        <v>6820</v>
      </c>
      <c r="C2403" s="7" t="n">
        <v>3</v>
      </c>
      <c r="D2403" s="7" t="n">
        <v>25</v>
      </c>
      <c r="E2403" s="7" t="n">
        <v>1</v>
      </c>
      <c r="F2403" s="7" t="s">
        <v>68</v>
      </c>
      <c r="G2403" s="12" t="str">
        <f aca="false">IFERROR(INDEX('Semrush Data'!$A$1:$Z$20000,MATCH(A2403,'Semrush Data'!$A$1:$A$20000,0),MATCH("Volume",'Semrush Data'!$A$1:$Z$1,0)),"")</f>
        <v/>
      </c>
      <c r="H2403" s="7" t="str">
        <f aca="false">IFERROR(INDEX('Semrush Data'!$A$1:$Z$20000,MATCH(A2403,'Semrush Data'!$A$1:$A$20000,0),MATCH("Keyword Difficulty*",'Semrush Data'!$A$1:$Z$1,0)),"")</f>
        <v/>
      </c>
      <c r="I2403" s="13" t="str">
        <f aca="false">IFERROR(INDEX('Semrush Data'!$A$1:$Z$20000,MATCH(A2403,'Semrush Data'!$A$1:$A$20000,0),MATCH("CPC*",'Semrush Data'!$A$1:$Z$1,0)),"")</f>
        <v/>
      </c>
      <c r="J2403" s="7" t="str">
        <f aca="false">IFERROR(INDEX('Semrush Data'!$A$1:$Z$20000,MATCH(A2403,'Semrush Data'!$A$1:$A$20000,0),MATCH("Intent",'Semrush Data'!$A$1:$Z$1,0)),"")</f>
        <v/>
      </c>
    </row>
    <row r="2404" customFormat="false" ht="15" hidden="false" customHeight="true" outlineLevel="0" collapsed="false">
      <c r="A2404" s="7" t="s">
        <v>7086</v>
      </c>
      <c r="B2404" s="7" t="s">
        <v>6820</v>
      </c>
      <c r="C2404" s="7" t="n">
        <v>3</v>
      </c>
      <c r="D2404" s="7" t="s">
        <v>6818</v>
      </c>
      <c r="E2404" s="7" t="n">
        <v>1</v>
      </c>
      <c r="F2404" s="7" t="s">
        <v>68</v>
      </c>
      <c r="G2404" s="12" t="str">
        <f aca="false">IFERROR(INDEX('Semrush Data'!$A$1:$Z$20000,MATCH(A2404,'Semrush Data'!$A$1:$A$20000,0),MATCH("Volume",'Semrush Data'!$A$1:$Z$1,0)),"")</f>
        <v/>
      </c>
      <c r="H2404" s="7" t="str">
        <f aca="false">IFERROR(INDEX('Semrush Data'!$A$1:$Z$20000,MATCH(A2404,'Semrush Data'!$A$1:$A$20000,0),MATCH("Keyword Difficulty*",'Semrush Data'!$A$1:$Z$1,0)),"")</f>
        <v/>
      </c>
      <c r="I2404" s="13" t="str">
        <f aca="false">IFERROR(INDEX('Semrush Data'!$A$1:$Z$20000,MATCH(A2404,'Semrush Data'!$A$1:$A$20000,0),MATCH("CPC*",'Semrush Data'!$A$1:$Z$1,0)),"")</f>
        <v/>
      </c>
      <c r="J2404" s="7" t="str">
        <f aca="false">IFERROR(INDEX('Semrush Data'!$A$1:$Z$20000,MATCH(A2404,'Semrush Data'!$A$1:$A$20000,0),MATCH("Intent",'Semrush Data'!$A$1:$Z$1,0)),"")</f>
        <v/>
      </c>
    </row>
    <row r="2405" customFormat="false" ht="15" hidden="false" customHeight="true" outlineLevel="0" collapsed="false">
      <c r="A2405" s="7" t="s">
        <v>7087</v>
      </c>
      <c r="B2405" s="7" t="s">
        <v>6820</v>
      </c>
      <c r="C2405" s="7" t="n">
        <v>3</v>
      </c>
      <c r="D2405" s="7" t="n">
        <v>25</v>
      </c>
      <c r="E2405" s="7" t="n">
        <v>1</v>
      </c>
      <c r="F2405" s="7" t="s">
        <v>3325</v>
      </c>
      <c r="G2405" s="12" t="str">
        <f aca="false">IFERROR(INDEX('Semrush Data'!$A$1:$Z$20000,MATCH(A2405,'Semrush Data'!$A$1:$A$20000,0),MATCH("Volume",'Semrush Data'!$A$1:$Z$1,0)),"")</f>
        <v/>
      </c>
      <c r="H2405" s="7" t="str">
        <f aca="false">IFERROR(INDEX('Semrush Data'!$A$1:$Z$20000,MATCH(A2405,'Semrush Data'!$A$1:$A$20000,0),MATCH("Keyword Difficulty*",'Semrush Data'!$A$1:$Z$1,0)),"")</f>
        <v/>
      </c>
      <c r="I2405" s="13" t="str">
        <f aca="false">IFERROR(INDEX('Semrush Data'!$A$1:$Z$20000,MATCH(A2405,'Semrush Data'!$A$1:$A$20000,0),MATCH("CPC*",'Semrush Data'!$A$1:$Z$1,0)),"")</f>
        <v/>
      </c>
      <c r="J2405" s="7" t="str">
        <f aca="false">IFERROR(INDEX('Semrush Data'!$A$1:$Z$20000,MATCH(A2405,'Semrush Data'!$A$1:$A$20000,0),MATCH("Intent",'Semrush Data'!$A$1:$Z$1,0)),"")</f>
        <v/>
      </c>
    </row>
    <row r="2406" customFormat="false" ht="15" hidden="false" customHeight="true" outlineLevel="0" collapsed="false">
      <c r="A2406" s="7" t="s">
        <v>7088</v>
      </c>
      <c r="B2406" s="7" t="s">
        <v>6820</v>
      </c>
      <c r="C2406" s="7" t="n">
        <v>3</v>
      </c>
      <c r="D2406" s="7" t="n">
        <v>25</v>
      </c>
      <c r="E2406" s="7" t="n">
        <v>1</v>
      </c>
      <c r="F2406" s="7" t="s">
        <v>3335</v>
      </c>
      <c r="G2406" s="12" t="str">
        <f aca="false">IFERROR(INDEX('Semrush Data'!$A$1:$Z$20000,MATCH(A2406,'Semrush Data'!$A$1:$A$20000,0),MATCH("Volume",'Semrush Data'!$A$1:$Z$1,0)),"")</f>
        <v/>
      </c>
      <c r="H2406" s="7" t="str">
        <f aca="false">IFERROR(INDEX('Semrush Data'!$A$1:$Z$20000,MATCH(A2406,'Semrush Data'!$A$1:$A$20000,0),MATCH("Keyword Difficulty*",'Semrush Data'!$A$1:$Z$1,0)),"")</f>
        <v/>
      </c>
      <c r="I2406" s="13" t="str">
        <f aca="false">IFERROR(INDEX('Semrush Data'!$A$1:$Z$20000,MATCH(A2406,'Semrush Data'!$A$1:$A$20000,0),MATCH("CPC*",'Semrush Data'!$A$1:$Z$1,0)),"")</f>
        <v/>
      </c>
      <c r="J2406" s="7" t="str">
        <f aca="false">IFERROR(INDEX('Semrush Data'!$A$1:$Z$20000,MATCH(A2406,'Semrush Data'!$A$1:$A$20000,0),MATCH("Intent",'Semrush Data'!$A$1:$Z$1,0)),"")</f>
        <v/>
      </c>
    </row>
    <row r="2407" customFormat="false" ht="15" hidden="false" customHeight="true" outlineLevel="0" collapsed="false">
      <c r="A2407" s="7" t="s">
        <v>7089</v>
      </c>
      <c r="B2407" s="7" t="s">
        <v>6820</v>
      </c>
      <c r="C2407" s="7" t="n">
        <v>3</v>
      </c>
      <c r="D2407" s="7" t="n">
        <v>25</v>
      </c>
      <c r="E2407" s="7" t="n">
        <v>1</v>
      </c>
      <c r="F2407" s="7" t="s">
        <v>3314</v>
      </c>
      <c r="G2407" s="12" t="str">
        <f aca="false">IFERROR(INDEX('Semrush Data'!$A$1:$Z$20000,MATCH(A2407,'Semrush Data'!$A$1:$A$20000,0),MATCH("Volume",'Semrush Data'!$A$1:$Z$1,0)),"")</f>
        <v/>
      </c>
      <c r="H2407" s="7" t="str">
        <f aca="false">IFERROR(INDEX('Semrush Data'!$A$1:$Z$20000,MATCH(A2407,'Semrush Data'!$A$1:$A$20000,0),MATCH("Keyword Difficulty*",'Semrush Data'!$A$1:$Z$1,0)),"")</f>
        <v/>
      </c>
      <c r="I2407" s="13" t="str">
        <f aca="false">IFERROR(INDEX('Semrush Data'!$A$1:$Z$20000,MATCH(A2407,'Semrush Data'!$A$1:$A$20000,0),MATCH("CPC*",'Semrush Data'!$A$1:$Z$1,0)),"")</f>
        <v/>
      </c>
      <c r="J2407" s="7" t="str">
        <f aca="false">IFERROR(INDEX('Semrush Data'!$A$1:$Z$20000,MATCH(A2407,'Semrush Data'!$A$1:$A$20000,0),MATCH("Intent",'Semrush Data'!$A$1:$Z$1,0)),"")</f>
        <v/>
      </c>
    </row>
    <row r="2408" customFormat="false" ht="15" hidden="false" customHeight="true" outlineLevel="0" collapsed="false">
      <c r="A2408" s="7" t="s">
        <v>7090</v>
      </c>
      <c r="B2408" s="7" t="s">
        <v>6820</v>
      </c>
      <c r="C2408" s="7" t="n">
        <v>3</v>
      </c>
      <c r="D2408" s="7" t="n">
        <v>25</v>
      </c>
      <c r="E2408" s="7" t="n">
        <v>1</v>
      </c>
      <c r="F2408" s="7" t="s">
        <v>3314</v>
      </c>
      <c r="G2408" s="12" t="str">
        <f aca="false">IFERROR(INDEX('Semrush Data'!$A$1:$Z$20000,MATCH(A2408,'Semrush Data'!$A$1:$A$20000,0),MATCH("Volume",'Semrush Data'!$A$1:$Z$1,0)),"")</f>
        <v/>
      </c>
      <c r="H2408" s="7" t="str">
        <f aca="false">IFERROR(INDEX('Semrush Data'!$A$1:$Z$20000,MATCH(A2408,'Semrush Data'!$A$1:$A$20000,0),MATCH("Keyword Difficulty*",'Semrush Data'!$A$1:$Z$1,0)),"")</f>
        <v/>
      </c>
      <c r="I2408" s="13" t="str">
        <f aca="false">IFERROR(INDEX('Semrush Data'!$A$1:$Z$20000,MATCH(A2408,'Semrush Data'!$A$1:$A$20000,0),MATCH("CPC*",'Semrush Data'!$A$1:$Z$1,0)),"")</f>
        <v/>
      </c>
      <c r="J2408" s="7" t="str">
        <f aca="false">IFERROR(INDEX('Semrush Data'!$A$1:$Z$20000,MATCH(A2408,'Semrush Data'!$A$1:$A$20000,0),MATCH("Intent",'Semrush Data'!$A$1:$Z$1,0)),"")</f>
        <v/>
      </c>
    </row>
    <row r="2409" customFormat="false" ht="15" hidden="false" customHeight="true" outlineLevel="0" collapsed="false">
      <c r="A2409" s="7" t="s">
        <v>7091</v>
      </c>
      <c r="B2409" s="7" t="s">
        <v>6820</v>
      </c>
      <c r="C2409" s="7" t="n">
        <v>3</v>
      </c>
      <c r="D2409" s="7" t="n">
        <v>25</v>
      </c>
      <c r="E2409" s="7" t="n">
        <v>1</v>
      </c>
      <c r="F2409" s="7" t="s">
        <v>3314</v>
      </c>
      <c r="G2409" s="12" t="str">
        <f aca="false">IFERROR(INDEX('Semrush Data'!$A$1:$Z$20000,MATCH(A2409,'Semrush Data'!$A$1:$A$20000,0),MATCH("Volume",'Semrush Data'!$A$1:$Z$1,0)),"")</f>
        <v/>
      </c>
      <c r="H2409" s="7" t="str">
        <f aca="false">IFERROR(INDEX('Semrush Data'!$A$1:$Z$20000,MATCH(A2409,'Semrush Data'!$A$1:$A$20000,0),MATCH("Keyword Difficulty*",'Semrush Data'!$A$1:$Z$1,0)),"")</f>
        <v/>
      </c>
      <c r="I2409" s="13" t="str">
        <f aca="false">IFERROR(INDEX('Semrush Data'!$A$1:$Z$20000,MATCH(A2409,'Semrush Data'!$A$1:$A$20000,0),MATCH("CPC*",'Semrush Data'!$A$1:$Z$1,0)),"")</f>
        <v/>
      </c>
      <c r="J2409" s="7" t="str">
        <f aca="false">IFERROR(INDEX('Semrush Data'!$A$1:$Z$20000,MATCH(A2409,'Semrush Data'!$A$1:$A$20000,0),MATCH("Intent",'Semrush Data'!$A$1:$Z$1,0)),"")</f>
        <v/>
      </c>
    </row>
    <row r="2410" customFormat="false" ht="15" hidden="false" customHeight="true" outlineLevel="0" collapsed="false">
      <c r="A2410" s="7" t="s">
        <v>7092</v>
      </c>
      <c r="B2410" s="7" t="s">
        <v>6820</v>
      </c>
      <c r="C2410" s="7" t="n">
        <v>3</v>
      </c>
      <c r="D2410" s="7" t="n">
        <v>25</v>
      </c>
      <c r="E2410" s="7" t="n">
        <v>1</v>
      </c>
      <c r="F2410" s="7" t="s">
        <v>3314</v>
      </c>
      <c r="G2410" s="12" t="str">
        <f aca="false">IFERROR(INDEX('Semrush Data'!$A$1:$Z$20000,MATCH(A2410,'Semrush Data'!$A$1:$A$20000,0),MATCH("Volume",'Semrush Data'!$A$1:$Z$1,0)),"")</f>
        <v/>
      </c>
      <c r="H2410" s="7" t="str">
        <f aca="false">IFERROR(INDEX('Semrush Data'!$A$1:$Z$20000,MATCH(A2410,'Semrush Data'!$A$1:$A$20000,0),MATCH("Keyword Difficulty*",'Semrush Data'!$A$1:$Z$1,0)),"")</f>
        <v/>
      </c>
      <c r="I2410" s="13" t="str">
        <f aca="false">IFERROR(INDEX('Semrush Data'!$A$1:$Z$20000,MATCH(A2410,'Semrush Data'!$A$1:$A$20000,0),MATCH("CPC*",'Semrush Data'!$A$1:$Z$1,0)),"")</f>
        <v/>
      </c>
      <c r="J2410" s="7" t="str">
        <f aca="false">IFERROR(INDEX('Semrush Data'!$A$1:$Z$20000,MATCH(A2410,'Semrush Data'!$A$1:$A$20000,0),MATCH("Intent",'Semrush Data'!$A$1:$Z$1,0)),"")</f>
        <v/>
      </c>
    </row>
    <row r="2411" customFormat="false" ht="15" hidden="false" customHeight="true" outlineLevel="0" collapsed="false">
      <c r="A2411" s="7" t="s">
        <v>7093</v>
      </c>
      <c r="B2411" s="7" t="s">
        <v>6820</v>
      </c>
      <c r="C2411" s="7" t="n">
        <v>3</v>
      </c>
      <c r="D2411" s="7" t="n">
        <v>25</v>
      </c>
      <c r="E2411" s="7" t="n">
        <v>1</v>
      </c>
      <c r="F2411" s="7" t="s">
        <v>3314</v>
      </c>
      <c r="G2411" s="12" t="str">
        <f aca="false">IFERROR(INDEX('Semrush Data'!$A$1:$Z$20000,MATCH(A2411,'Semrush Data'!$A$1:$A$20000,0),MATCH("Volume",'Semrush Data'!$A$1:$Z$1,0)),"")</f>
        <v/>
      </c>
      <c r="H2411" s="7" t="str">
        <f aca="false">IFERROR(INDEX('Semrush Data'!$A$1:$Z$20000,MATCH(A2411,'Semrush Data'!$A$1:$A$20000,0),MATCH("Keyword Difficulty*",'Semrush Data'!$A$1:$Z$1,0)),"")</f>
        <v/>
      </c>
      <c r="I2411" s="13" t="str">
        <f aca="false">IFERROR(INDEX('Semrush Data'!$A$1:$Z$20000,MATCH(A2411,'Semrush Data'!$A$1:$A$20000,0),MATCH("CPC*",'Semrush Data'!$A$1:$Z$1,0)),"")</f>
        <v/>
      </c>
      <c r="J2411" s="7" t="str">
        <f aca="false">IFERROR(INDEX('Semrush Data'!$A$1:$Z$20000,MATCH(A2411,'Semrush Data'!$A$1:$A$20000,0),MATCH("Intent",'Semrush Data'!$A$1:$Z$1,0)),"")</f>
        <v/>
      </c>
    </row>
    <row r="2412" customFormat="false" ht="15" hidden="false" customHeight="true" outlineLevel="0" collapsed="false">
      <c r="A2412" s="7" t="s">
        <v>7094</v>
      </c>
      <c r="B2412" s="7" t="s">
        <v>6820</v>
      </c>
      <c r="C2412" s="7" t="n">
        <v>3</v>
      </c>
      <c r="D2412" s="7" t="n">
        <v>25</v>
      </c>
      <c r="E2412" s="7" t="n">
        <v>1</v>
      </c>
      <c r="F2412" s="7" t="s">
        <v>3346</v>
      </c>
      <c r="G2412" s="12" t="str">
        <f aca="false">IFERROR(INDEX('Semrush Data'!$A$1:$Z$20000,MATCH(A2412,'Semrush Data'!$A$1:$A$20000,0),MATCH("Volume",'Semrush Data'!$A$1:$Z$1,0)),"")</f>
        <v/>
      </c>
      <c r="H2412" s="7" t="str">
        <f aca="false">IFERROR(INDEX('Semrush Data'!$A$1:$Z$20000,MATCH(A2412,'Semrush Data'!$A$1:$A$20000,0),MATCH("Keyword Difficulty*",'Semrush Data'!$A$1:$Z$1,0)),"")</f>
        <v/>
      </c>
      <c r="I2412" s="13" t="str">
        <f aca="false">IFERROR(INDEX('Semrush Data'!$A$1:$Z$20000,MATCH(A2412,'Semrush Data'!$A$1:$A$20000,0),MATCH("CPC*",'Semrush Data'!$A$1:$Z$1,0)),"")</f>
        <v/>
      </c>
      <c r="J2412" s="7" t="str">
        <f aca="false">IFERROR(INDEX('Semrush Data'!$A$1:$Z$20000,MATCH(A2412,'Semrush Data'!$A$1:$A$20000,0),MATCH("Intent",'Semrush Data'!$A$1:$Z$1,0)),"")</f>
        <v/>
      </c>
    </row>
    <row r="2413" customFormat="false" ht="15" hidden="false" customHeight="true" outlineLevel="0" collapsed="false">
      <c r="A2413" s="7" t="s">
        <v>7095</v>
      </c>
      <c r="B2413" s="7" t="s">
        <v>6820</v>
      </c>
      <c r="C2413" s="7" t="n">
        <v>3</v>
      </c>
      <c r="D2413" s="7" t="n">
        <v>25</v>
      </c>
      <c r="E2413" s="7" t="n">
        <v>1</v>
      </c>
      <c r="F2413" s="7" t="s">
        <v>3356</v>
      </c>
      <c r="G2413" s="12" t="str">
        <f aca="false">IFERROR(INDEX('Semrush Data'!$A$1:$Z$20000,MATCH(A2413,'Semrush Data'!$A$1:$A$20000,0),MATCH("Volume",'Semrush Data'!$A$1:$Z$1,0)),"")</f>
        <v/>
      </c>
      <c r="H2413" s="7" t="str">
        <f aca="false">IFERROR(INDEX('Semrush Data'!$A$1:$Z$20000,MATCH(A2413,'Semrush Data'!$A$1:$A$20000,0),MATCH("Keyword Difficulty*",'Semrush Data'!$A$1:$Z$1,0)),"")</f>
        <v/>
      </c>
      <c r="I2413" s="13" t="str">
        <f aca="false">IFERROR(INDEX('Semrush Data'!$A$1:$Z$20000,MATCH(A2413,'Semrush Data'!$A$1:$A$20000,0),MATCH("CPC*",'Semrush Data'!$A$1:$Z$1,0)),"")</f>
        <v/>
      </c>
      <c r="J2413" s="7" t="str">
        <f aca="false">IFERROR(INDEX('Semrush Data'!$A$1:$Z$20000,MATCH(A2413,'Semrush Data'!$A$1:$A$20000,0),MATCH("Intent",'Semrush Data'!$A$1:$Z$1,0)),"")</f>
        <v/>
      </c>
    </row>
    <row r="2414" customFormat="false" ht="15" hidden="false" customHeight="true" outlineLevel="0" collapsed="false">
      <c r="A2414" s="7" t="s">
        <v>7096</v>
      </c>
      <c r="B2414" s="7" t="s">
        <v>6820</v>
      </c>
      <c r="C2414" s="7" t="n">
        <v>3</v>
      </c>
      <c r="D2414" s="7" t="n">
        <v>25</v>
      </c>
      <c r="E2414" s="7" t="n">
        <v>1</v>
      </c>
      <c r="F2414" s="7" t="s">
        <v>3356</v>
      </c>
      <c r="G2414" s="12" t="str">
        <f aca="false">IFERROR(INDEX('Semrush Data'!$A$1:$Z$20000,MATCH(A2414,'Semrush Data'!$A$1:$A$20000,0),MATCH("Volume",'Semrush Data'!$A$1:$Z$1,0)),"")</f>
        <v/>
      </c>
      <c r="H2414" s="7" t="str">
        <f aca="false">IFERROR(INDEX('Semrush Data'!$A$1:$Z$20000,MATCH(A2414,'Semrush Data'!$A$1:$A$20000,0),MATCH("Keyword Difficulty*",'Semrush Data'!$A$1:$Z$1,0)),"")</f>
        <v/>
      </c>
      <c r="I2414" s="13" t="str">
        <f aca="false">IFERROR(INDEX('Semrush Data'!$A$1:$Z$20000,MATCH(A2414,'Semrush Data'!$A$1:$A$20000,0),MATCH("CPC*",'Semrush Data'!$A$1:$Z$1,0)),"")</f>
        <v/>
      </c>
      <c r="J2414" s="7" t="str">
        <f aca="false">IFERROR(INDEX('Semrush Data'!$A$1:$Z$20000,MATCH(A2414,'Semrush Data'!$A$1:$A$20000,0),MATCH("Intent",'Semrush Data'!$A$1:$Z$1,0)),"")</f>
        <v/>
      </c>
    </row>
    <row r="2415" customFormat="false" ht="15" hidden="false" customHeight="true" outlineLevel="0" collapsed="false">
      <c r="A2415" s="7" t="s">
        <v>7097</v>
      </c>
      <c r="B2415" s="7" t="s">
        <v>6820</v>
      </c>
      <c r="C2415" s="7" t="n">
        <v>3</v>
      </c>
      <c r="D2415" s="7" t="n">
        <v>25</v>
      </c>
      <c r="E2415" s="7" t="n">
        <v>1</v>
      </c>
      <c r="F2415" s="7" t="s">
        <v>3356</v>
      </c>
      <c r="G2415" s="12" t="str">
        <f aca="false">IFERROR(INDEX('Semrush Data'!$A$1:$Z$20000,MATCH(A2415,'Semrush Data'!$A$1:$A$20000,0),MATCH("Volume",'Semrush Data'!$A$1:$Z$1,0)),"")</f>
        <v/>
      </c>
      <c r="H2415" s="7" t="str">
        <f aca="false">IFERROR(INDEX('Semrush Data'!$A$1:$Z$20000,MATCH(A2415,'Semrush Data'!$A$1:$A$20000,0),MATCH("Keyword Difficulty*",'Semrush Data'!$A$1:$Z$1,0)),"")</f>
        <v/>
      </c>
      <c r="I2415" s="13" t="str">
        <f aca="false">IFERROR(INDEX('Semrush Data'!$A$1:$Z$20000,MATCH(A2415,'Semrush Data'!$A$1:$A$20000,0),MATCH("CPC*",'Semrush Data'!$A$1:$Z$1,0)),"")</f>
        <v/>
      </c>
      <c r="J2415" s="7" t="str">
        <f aca="false">IFERROR(INDEX('Semrush Data'!$A$1:$Z$20000,MATCH(A2415,'Semrush Data'!$A$1:$A$20000,0),MATCH("Intent",'Semrush Data'!$A$1:$Z$1,0)),"")</f>
        <v/>
      </c>
    </row>
    <row r="2416" customFormat="false" ht="15" hidden="false" customHeight="true" outlineLevel="0" collapsed="false">
      <c r="A2416" s="7" t="s">
        <v>7098</v>
      </c>
      <c r="B2416" s="7" t="s">
        <v>6820</v>
      </c>
      <c r="C2416" s="7" t="n">
        <v>3</v>
      </c>
      <c r="D2416" s="7" t="n">
        <v>25</v>
      </c>
      <c r="E2416" s="7" t="n">
        <v>1</v>
      </c>
      <c r="F2416" s="7" t="s">
        <v>3356</v>
      </c>
      <c r="G2416" s="12" t="str">
        <f aca="false">IFERROR(INDEX('Semrush Data'!$A$1:$Z$20000,MATCH(A2416,'Semrush Data'!$A$1:$A$20000,0),MATCH("Volume",'Semrush Data'!$A$1:$Z$1,0)),"")</f>
        <v/>
      </c>
      <c r="H2416" s="7" t="str">
        <f aca="false">IFERROR(INDEX('Semrush Data'!$A$1:$Z$20000,MATCH(A2416,'Semrush Data'!$A$1:$A$20000,0),MATCH("Keyword Difficulty*",'Semrush Data'!$A$1:$Z$1,0)),"")</f>
        <v/>
      </c>
      <c r="I2416" s="13" t="str">
        <f aca="false">IFERROR(INDEX('Semrush Data'!$A$1:$Z$20000,MATCH(A2416,'Semrush Data'!$A$1:$A$20000,0),MATCH("CPC*",'Semrush Data'!$A$1:$Z$1,0)),"")</f>
        <v/>
      </c>
      <c r="J2416" s="7" t="str">
        <f aca="false">IFERROR(INDEX('Semrush Data'!$A$1:$Z$20000,MATCH(A2416,'Semrush Data'!$A$1:$A$20000,0),MATCH("Intent",'Semrush Data'!$A$1:$Z$1,0)),"")</f>
        <v/>
      </c>
    </row>
    <row r="2417" customFormat="false" ht="15" hidden="false" customHeight="true" outlineLevel="0" collapsed="false">
      <c r="A2417" s="7" t="s">
        <v>7099</v>
      </c>
      <c r="B2417" s="7" t="s">
        <v>6820</v>
      </c>
      <c r="C2417" s="7" t="n">
        <v>3</v>
      </c>
      <c r="D2417" s="7" t="n">
        <v>25</v>
      </c>
      <c r="E2417" s="7" t="n">
        <v>1</v>
      </c>
      <c r="F2417" s="7" t="s">
        <v>3369</v>
      </c>
      <c r="G2417" s="12" t="str">
        <f aca="false">IFERROR(INDEX('Semrush Data'!$A$1:$Z$20000,MATCH(A2417,'Semrush Data'!$A$1:$A$20000,0),MATCH("Volume",'Semrush Data'!$A$1:$Z$1,0)),"")</f>
        <v/>
      </c>
      <c r="H2417" s="7" t="str">
        <f aca="false">IFERROR(INDEX('Semrush Data'!$A$1:$Z$20000,MATCH(A2417,'Semrush Data'!$A$1:$A$20000,0),MATCH("Keyword Difficulty*",'Semrush Data'!$A$1:$Z$1,0)),"")</f>
        <v/>
      </c>
      <c r="I2417" s="13" t="str">
        <f aca="false">IFERROR(INDEX('Semrush Data'!$A$1:$Z$20000,MATCH(A2417,'Semrush Data'!$A$1:$A$20000,0),MATCH("CPC*",'Semrush Data'!$A$1:$Z$1,0)),"")</f>
        <v/>
      </c>
      <c r="J2417" s="7" t="str">
        <f aca="false">IFERROR(INDEX('Semrush Data'!$A$1:$Z$20000,MATCH(A2417,'Semrush Data'!$A$1:$A$20000,0),MATCH("Intent",'Semrush Data'!$A$1:$Z$1,0)),"")</f>
        <v/>
      </c>
    </row>
    <row r="2418" customFormat="false" ht="15" hidden="false" customHeight="true" outlineLevel="0" collapsed="false">
      <c r="A2418" s="7" t="s">
        <v>7100</v>
      </c>
      <c r="B2418" s="7" t="s">
        <v>6820</v>
      </c>
      <c r="C2418" s="7" t="n">
        <v>3</v>
      </c>
      <c r="D2418" s="7" t="n">
        <v>25</v>
      </c>
      <c r="E2418" s="7" t="n">
        <v>1</v>
      </c>
      <c r="F2418" s="7" t="s">
        <v>3369</v>
      </c>
      <c r="G2418" s="12" t="str">
        <f aca="false">IFERROR(INDEX('Semrush Data'!$A$1:$Z$20000,MATCH(A2418,'Semrush Data'!$A$1:$A$20000,0),MATCH("Volume",'Semrush Data'!$A$1:$Z$1,0)),"")</f>
        <v/>
      </c>
      <c r="H2418" s="7" t="str">
        <f aca="false">IFERROR(INDEX('Semrush Data'!$A$1:$Z$20000,MATCH(A2418,'Semrush Data'!$A$1:$A$20000,0),MATCH("Keyword Difficulty*",'Semrush Data'!$A$1:$Z$1,0)),"")</f>
        <v/>
      </c>
      <c r="I2418" s="13" t="str">
        <f aca="false">IFERROR(INDEX('Semrush Data'!$A$1:$Z$20000,MATCH(A2418,'Semrush Data'!$A$1:$A$20000,0),MATCH("CPC*",'Semrush Data'!$A$1:$Z$1,0)),"")</f>
        <v/>
      </c>
      <c r="J2418" s="7" t="str">
        <f aca="false">IFERROR(INDEX('Semrush Data'!$A$1:$Z$20000,MATCH(A2418,'Semrush Data'!$A$1:$A$20000,0),MATCH("Intent",'Semrush Data'!$A$1:$Z$1,0)),"")</f>
        <v/>
      </c>
    </row>
    <row r="2419" customFormat="false" ht="15" hidden="false" customHeight="true" outlineLevel="0" collapsed="false">
      <c r="A2419" s="7" t="s">
        <v>7101</v>
      </c>
      <c r="B2419" s="7" t="s">
        <v>6820</v>
      </c>
      <c r="C2419" s="7" t="n">
        <v>3</v>
      </c>
      <c r="D2419" s="7" t="n">
        <v>25</v>
      </c>
      <c r="E2419" s="7" t="n">
        <v>1</v>
      </c>
      <c r="F2419" s="7" t="s">
        <v>3369</v>
      </c>
      <c r="G2419" s="12" t="str">
        <f aca="false">IFERROR(INDEX('Semrush Data'!$A$1:$Z$20000,MATCH(A2419,'Semrush Data'!$A$1:$A$20000,0),MATCH("Volume",'Semrush Data'!$A$1:$Z$1,0)),"")</f>
        <v/>
      </c>
      <c r="H2419" s="7" t="str">
        <f aca="false">IFERROR(INDEX('Semrush Data'!$A$1:$Z$20000,MATCH(A2419,'Semrush Data'!$A$1:$A$20000,0),MATCH("Keyword Difficulty*",'Semrush Data'!$A$1:$Z$1,0)),"")</f>
        <v/>
      </c>
      <c r="I2419" s="13" t="str">
        <f aca="false">IFERROR(INDEX('Semrush Data'!$A$1:$Z$20000,MATCH(A2419,'Semrush Data'!$A$1:$A$20000,0),MATCH("CPC*",'Semrush Data'!$A$1:$Z$1,0)),"")</f>
        <v/>
      </c>
      <c r="J2419" s="7" t="str">
        <f aca="false">IFERROR(INDEX('Semrush Data'!$A$1:$Z$20000,MATCH(A2419,'Semrush Data'!$A$1:$A$20000,0),MATCH("Intent",'Semrush Data'!$A$1:$Z$1,0)),"")</f>
        <v/>
      </c>
    </row>
    <row r="2420" customFormat="false" ht="15" hidden="false" customHeight="true" outlineLevel="0" collapsed="false">
      <c r="A2420" s="7" t="s">
        <v>7102</v>
      </c>
      <c r="B2420" s="7" t="s">
        <v>6820</v>
      </c>
      <c r="C2420" s="7" t="n">
        <v>3</v>
      </c>
      <c r="D2420" s="7" t="n">
        <v>25</v>
      </c>
      <c r="E2420" s="7" t="n">
        <v>1</v>
      </c>
      <c r="F2420" s="7" t="s">
        <v>3369</v>
      </c>
      <c r="G2420" s="12" t="str">
        <f aca="false">IFERROR(INDEX('Semrush Data'!$A$1:$Z$20000,MATCH(A2420,'Semrush Data'!$A$1:$A$20000,0),MATCH("Volume",'Semrush Data'!$A$1:$Z$1,0)),"")</f>
        <v/>
      </c>
      <c r="H2420" s="7" t="str">
        <f aca="false">IFERROR(INDEX('Semrush Data'!$A$1:$Z$20000,MATCH(A2420,'Semrush Data'!$A$1:$A$20000,0),MATCH("Keyword Difficulty*",'Semrush Data'!$A$1:$Z$1,0)),"")</f>
        <v/>
      </c>
      <c r="I2420" s="13" t="str">
        <f aca="false">IFERROR(INDEX('Semrush Data'!$A$1:$Z$20000,MATCH(A2420,'Semrush Data'!$A$1:$A$20000,0),MATCH("CPC*",'Semrush Data'!$A$1:$Z$1,0)),"")</f>
        <v/>
      </c>
      <c r="J2420" s="7" t="str">
        <f aca="false">IFERROR(INDEX('Semrush Data'!$A$1:$Z$20000,MATCH(A2420,'Semrush Data'!$A$1:$A$20000,0),MATCH("Intent",'Semrush Data'!$A$1:$Z$1,0)),"")</f>
        <v/>
      </c>
    </row>
    <row r="2421" customFormat="false" ht="15" hidden="false" customHeight="true" outlineLevel="0" collapsed="false">
      <c r="A2421" s="7" t="s">
        <v>7103</v>
      </c>
      <c r="B2421" s="7" t="s">
        <v>6820</v>
      </c>
      <c r="C2421" s="7" t="n">
        <v>3</v>
      </c>
      <c r="D2421" s="7" t="n">
        <v>25</v>
      </c>
      <c r="E2421" s="7" t="n">
        <v>1</v>
      </c>
      <c r="F2421" s="7" t="s">
        <v>3380</v>
      </c>
      <c r="G2421" s="12" t="str">
        <f aca="false">IFERROR(INDEX('Semrush Data'!$A$1:$Z$20000,MATCH(A2421,'Semrush Data'!$A$1:$A$20000,0),MATCH("Volume",'Semrush Data'!$A$1:$Z$1,0)),"")</f>
        <v/>
      </c>
      <c r="H2421" s="7" t="str">
        <f aca="false">IFERROR(INDEX('Semrush Data'!$A$1:$Z$20000,MATCH(A2421,'Semrush Data'!$A$1:$A$20000,0),MATCH("Keyword Difficulty*",'Semrush Data'!$A$1:$Z$1,0)),"")</f>
        <v/>
      </c>
      <c r="I2421" s="13" t="str">
        <f aca="false">IFERROR(INDEX('Semrush Data'!$A$1:$Z$20000,MATCH(A2421,'Semrush Data'!$A$1:$A$20000,0),MATCH("CPC*",'Semrush Data'!$A$1:$Z$1,0)),"")</f>
        <v/>
      </c>
      <c r="J2421" s="7" t="str">
        <f aca="false">IFERROR(INDEX('Semrush Data'!$A$1:$Z$20000,MATCH(A2421,'Semrush Data'!$A$1:$A$20000,0),MATCH("Intent",'Semrush Data'!$A$1:$Z$1,0)),"")</f>
        <v/>
      </c>
    </row>
    <row r="2422" customFormat="false" ht="15" hidden="false" customHeight="true" outlineLevel="0" collapsed="false">
      <c r="A2422" s="7" t="s">
        <v>7104</v>
      </c>
      <c r="B2422" s="7" t="s">
        <v>6820</v>
      </c>
      <c r="C2422" s="7" t="n">
        <v>3</v>
      </c>
      <c r="D2422" s="7" t="n">
        <v>25</v>
      </c>
      <c r="E2422" s="7" t="n">
        <v>1</v>
      </c>
      <c r="F2422" s="7" t="s">
        <v>3380</v>
      </c>
      <c r="G2422" s="12" t="str">
        <f aca="false">IFERROR(INDEX('Semrush Data'!$A$1:$Z$20000,MATCH(A2422,'Semrush Data'!$A$1:$A$20000,0),MATCH("Volume",'Semrush Data'!$A$1:$Z$1,0)),"")</f>
        <v/>
      </c>
      <c r="H2422" s="7" t="str">
        <f aca="false">IFERROR(INDEX('Semrush Data'!$A$1:$Z$20000,MATCH(A2422,'Semrush Data'!$A$1:$A$20000,0),MATCH("Keyword Difficulty*",'Semrush Data'!$A$1:$Z$1,0)),"")</f>
        <v/>
      </c>
      <c r="I2422" s="13" t="str">
        <f aca="false">IFERROR(INDEX('Semrush Data'!$A$1:$Z$20000,MATCH(A2422,'Semrush Data'!$A$1:$A$20000,0),MATCH("CPC*",'Semrush Data'!$A$1:$Z$1,0)),"")</f>
        <v/>
      </c>
      <c r="J2422" s="7" t="str">
        <f aca="false">IFERROR(INDEX('Semrush Data'!$A$1:$Z$20000,MATCH(A2422,'Semrush Data'!$A$1:$A$20000,0),MATCH("Intent",'Semrush Data'!$A$1:$Z$1,0)),"")</f>
        <v/>
      </c>
    </row>
    <row r="2423" customFormat="false" ht="15" hidden="false" customHeight="true" outlineLevel="0" collapsed="false">
      <c r="A2423" s="7" t="s">
        <v>7105</v>
      </c>
      <c r="B2423" s="7" t="s">
        <v>6820</v>
      </c>
      <c r="C2423" s="7" t="n">
        <v>3</v>
      </c>
      <c r="D2423" s="7" t="n">
        <v>25</v>
      </c>
      <c r="E2423" s="7" t="n">
        <v>1</v>
      </c>
      <c r="F2423" s="7" t="s">
        <v>3380</v>
      </c>
      <c r="G2423" s="12" t="str">
        <f aca="false">IFERROR(INDEX('Semrush Data'!$A$1:$Z$20000,MATCH(A2423,'Semrush Data'!$A$1:$A$20000,0),MATCH("Volume",'Semrush Data'!$A$1:$Z$1,0)),"")</f>
        <v/>
      </c>
      <c r="H2423" s="7" t="str">
        <f aca="false">IFERROR(INDEX('Semrush Data'!$A$1:$Z$20000,MATCH(A2423,'Semrush Data'!$A$1:$A$20000,0),MATCH("Keyword Difficulty*",'Semrush Data'!$A$1:$Z$1,0)),"")</f>
        <v/>
      </c>
      <c r="I2423" s="13" t="str">
        <f aca="false">IFERROR(INDEX('Semrush Data'!$A$1:$Z$20000,MATCH(A2423,'Semrush Data'!$A$1:$A$20000,0),MATCH("CPC*",'Semrush Data'!$A$1:$Z$1,0)),"")</f>
        <v/>
      </c>
      <c r="J2423" s="7" t="str">
        <f aca="false">IFERROR(INDEX('Semrush Data'!$A$1:$Z$20000,MATCH(A2423,'Semrush Data'!$A$1:$A$20000,0),MATCH("Intent",'Semrush Data'!$A$1:$Z$1,0)),"")</f>
        <v/>
      </c>
    </row>
    <row r="2424" customFormat="false" ht="15" hidden="false" customHeight="true" outlineLevel="0" collapsed="false">
      <c r="A2424" s="7" t="s">
        <v>7106</v>
      </c>
      <c r="B2424" s="7" t="s">
        <v>6820</v>
      </c>
      <c r="C2424" s="7" t="n">
        <v>3</v>
      </c>
      <c r="D2424" s="7" t="n">
        <v>25</v>
      </c>
      <c r="E2424" s="7" t="n">
        <v>1</v>
      </c>
      <c r="F2424" s="7" t="s">
        <v>3380</v>
      </c>
      <c r="G2424" s="12" t="str">
        <f aca="false">IFERROR(INDEX('Semrush Data'!$A$1:$Z$20000,MATCH(A2424,'Semrush Data'!$A$1:$A$20000,0),MATCH("Volume",'Semrush Data'!$A$1:$Z$1,0)),"")</f>
        <v/>
      </c>
      <c r="H2424" s="7" t="str">
        <f aca="false">IFERROR(INDEX('Semrush Data'!$A$1:$Z$20000,MATCH(A2424,'Semrush Data'!$A$1:$A$20000,0),MATCH("Keyword Difficulty*",'Semrush Data'!$A$1:$Z$1,0)),"")</f>
        <v/>
      </c>
      <c r="I2424" s="13" t="str">
        <f aca="false">IFERROR(INDEX('Semrush Data'!$A$1:$Z$20000,MATCH(A2424,'Semrush Data'!$A$1:$A$20000,0),MATCH("CPC*",'Semrush Data'!$A$1:$Z$1,0)),"")</f>
        <v/>
      </c>
      <c r="J2424" s="7" t="str">
        <f aca="false">IFERROR(INDEX('Semrush Data'!$A$1:$Z$20000,MATCH(A2424,'Semrush Data'!$A$1:$A$20000,0),MATCH("Intent",'Semrush Data'!$A$1:$Z$1,0)),"")</f>
        <v/>
      </c>
    </row>
    <row r="2425" customFormat="false" ht="15" hidden="false" customHeight="true" outlineLevel="0" collapsed="false">
      <c r="A2425" s="7" t="s">
        <v>7107</v>
      </c>
      <c r="B2425" s="7" t="s">
        <v>6820</v>
      </c>
      <c r="C2425" s="7" t="n">
        <v>3</v>
      </c>
      <c r="D2425" s="7" t="s">
        <v>6818</v>
      </c>
      <c r="E2425" s="7" t="n">
        <v>1</v>
      </c>
      <c r="F2425" s="7" t="s">
        <v>108</v>
      </c>
      <c r="G2425" s="12" t="str">
        <f aca="false">IFERROR(INDEX('Semrush Data'!$A$1:$Z$20000,MATCH(A2425,'Semrush Data'!$A$1:$A$20000,0),MATCH("Volume",'Semrush Data'!$A$1:$Z$1,0)),"")</f>
        <v/>
      </c>
      <c r="H2425" s="7" t="str">
        <f aca="false">IFERROR(INDEX('Semrush Data'!$A$1:$Z$20000,MATCH(A2425,'Semrush Data'!$A$1:$A$20000,0),MATCH("Keyword Difficulty*",'Semrush Data'!$A$1:$Z$1,0)),"")</f>
        <v/>
      </c>
      <c r="I2425" s="13" t="str">
        <f aca="false">IFERROR(INDEX('Semrush Data'!$A$1:$Z$20000,MATCH(A2425,'Semrush Data'!$A$1:$A$20000,0),MATCH("CPC*",'Semrush Data'!$A$1:$Z$1,0)),"")</f>
        <v/>
      </c>
      <c r="J2425" s="7" t="str">
        <f aca="false">IFERROR(INDEX('Semrush Data'!$A$1:$Z$20000,MATCH(A2425,'Semrush Data'!$A$1:$A$20000,0),MATCH("Intent",'Semrush Data'!$A$1:$Z$1,0)),"")</f>
        <v/>
      </c>
    </row>
    <row r="2426" customFormat="false" ht="15" hidden="false" customHeight="true" outlineLevel="0" collapsed="false">
      <c r="A2426" s="7" t="s">
        <v>7108</v>
      </c>
      <c r="B2426" s="7" t="s">
        <v>6820</v>
      </c>
      <c r="C2426" s="7" t="n">
        <v>3</v>
      </c>
      <c r="D2426" s="7" t="n">
        <v>25</v>
      </c>
      <c r="E2426" s="7" t="n">
        <v>1</v>
      </c>
      <c r="F2426" s="7" t="s">
        <v>108</v>
      </c>
      <c r="G2426" s="12" t="str">
        <f aca="false">IFERROR(INDEX('Semrush Data'!$A$1:$Z$20000,MATCH(A2426,'Semrush Data'!$A$1:$A$20000,0),MATCH("Volume",'Semrush Data'!$A$1:$Z$1,0)),"")</f>
        <v/>
      </c>
      <c r="H2426" s="7" t="str">
        <f aca="false">IFERROR(INDEX('Semrush Data'!$A$1:$Z$20000,MATCH(A2426,'Semrush Data'!$A$1:$A$20000,0),MATCH("Keyword Difficulty*",'Semrush Data'!$A$1:$Z$1,0)),"")</f>
        <v/>
      </c>
      <c r="I2426" s="13" t="str">
        <f aca="false">IFERROR(INDEX('Semrush Data'!$A$1:$Z$20000,MATCH(A2426,'Semrush Data'!$A$1:$A$20000,0),MATCH("CPC*",'Semrush Data'!$A$1:$Z$1,0)),"")</f>
        <v/>
      </c>
      <c r="J2426" s="7" t="str">
        <f aca="false">IFERROR(INDEX('Semrush Data'!$A$1:$Z$20000,MATCH(A2426,'Semrush Data'!$A$1:$A$20000,0),MATCH("Intent",'Semrush Data'!$A$1:$Z$1,0)),"")</f>
        <v/>
      </c>
    </row>
    <row r="2427" customFormat="false" ht="15" hidden="false" customHeight="true" outlineLevel="0" collapsed="false">
      <c r="A2427" s="7" t="s">
        <v>7109</v>
      </c>
      <c r="B2427" s="7" t="s">
        <v>6820</v>
      </c>
      <c r="C2427" s="7" t="n">
        <v>3</v>
      </c>
      <c r="D2427" s="7" t="n">
        <v>25</v>
      </c>
      <c r="E2427" s="7" t="n">
        <v>1</v>
      </c>
      <c r="F2427" s="7" t="s">
        <v>108</v>
      </c>
      <c r="G2427" s="12" t="str">
        <f aca="false">IFERROR(INDEX('Semrush Data'!$A$1:$Z$20000,MATCH(A2427,'Semrush Data'!$A$1:$A$20000,0),MATCH("Volume",'Semrush Data'!$A$1:$Z$1,0)),"")</f>
        <v/>
      </c>
      <c r="H2427" s="7" t="str">
        <f aca="false">IFERROR(INDEX('Semrush Data'!$A$1:$Z$20000,MATCH(A2427,'Semrush Data'!$A$1:$A$20000,0),MATCH("Keyword Difficulty*",'Semrush Data'!$A$1:$Z$1,0)),"")</f>
        <v/>
      </c>
      <c r="I2427" s="13" t="str">
        <f aca="false">IFERROR(INDEX('Semrush Data'!$A$1:$Z$20000,MATCH(A2427,'Semrush Data'!$A$1:$A$20000,0),MATCH("CPC*",'Semrush Data'!$A$1:$Z$1,0)),"")</f>
        <v/>
      </c>
      <c r="J2427" s="7" t="str">
        <f aca="false">IFERROR(INDEX('Semrush Data'!$A$1:$Z$20000,MATCH(A2427,'Semrush Data'!$A$1:$A$20000,0),MATCH("Intent",'Semrush Data'!$A$1:$Z$1,0)),"")</f>
        <v/>
      </c>
    </row>
    <row r="2428" customFormat="false" ht="15" hidden="false" customHeight="true" outlineLevel="0" collapsed="false">
      <c r="A2428" s="7" t="s">
        <v>7110</v>
      </c>
      <c r="B2428" s="7" t="s">
        <v>6820</v>
      </c>
      <c r="C2428" s="7" t="n">
        <v>3</v>
      </c>
      <c r="D2428" s="7" t="s">
        <v>6818</v>
      </c>
      <c r="E2428" s="7" t="n">
        <v>1</v>
      </c>
      <c r="F2428" s="7" t="s">
        <v>108</v>
      </c>
      <c r="G2428" s="12" t="str">
        <f aca="false">IFERROR(INDEX('Semrush Data'!$A$1:$Z$20000,MATCH(A2428,'Semrush Data'!$A$1:$A$20000,0),MATCH("Volume",'Semrush Data'!$A$1:$Z$1,0)),"")</f>
        <v/>
      </c>
      <c r="H2428" s="7" t="str">
        <f aca="false">IFERROR(INDEX('Semrush Data'!$A$1:$Z$20000,MATCH(A2428,'Semrush Data'!$A$1:$A$20000,0),MATCH("Keyword Difficulty*",'Semrush Data'!$A$1:$Z$1,0)),"")</f>
        <v/>
      </c>
      <c r="I2428" s="13" t="str">
        <f aca="false">IFERROR(INDEX('Semrush Data'!$A$1:$Z$20000,MATCH(A2428,'Semrush Data'!$A$1:$A$20000,0),MATCH("CPC*",'Semrush Data'!$A$1:$Z$1,0)),"")</f>
        <v/>
      </c>
      <c r="J2428" s="7" t="str">
        <f aca="false">IFERROR(INDEX('Semrush Data'!$A$1:$Z$20000,MATCH(A2428,'Semrush Data'!$A$1:$A$20000,0),MATCH("Intent",'Semrush Data'!$A$1:$Z$1,0)),"")</f>
        <v/>
      </c>
    </row>
    <row r="2429" customFormat="false" ht="15" hidden="false" customHeight="true" outlineLevel="0" collapsed="false">
      <c r="A2429" s="7" t="s">
        <v>5427</v>
      </c>
      <c r="B2429" s="7" t="s">
        <v>6820</v>
      </c>
      <c r="C2429" s="7" t="n">
        <v>3</v>
      </c>
      <c r="D2429" s="7" t="n">
        <v>25</v>
      </c>
      <c r="E2429" s="7" t="n">
        <v>2</v>
      </c>
      <c r="F2429" s="7" t="s">
        <v>7111</v>
      </c>
      <c r="G2429" s="12" t="str">
        <f aca="false">IFERROR(INDEX('Semrush Data'!$A$1:$Z$20000,MATCH(A2429,'Semrush Data'!$A$1:$A$20000,0),MATCH("Volume",'Semrush Data'!$A$1:$Z$1,0)),"")</f>
        <v/>
      </c>
      <c r="H2429" s="7" t="str">
        <f aca="false">IFERROR(INDEX('Semrush Data'!$A$1:$Z$20000,MATCH(A2429,'Semrush Data'!$A$1:$A$20000,0),MATCH("Keyword Difficulty*",'Semrush Data'!$A$1:$Z$1,0)),"")</f>
        <v/>
      </c>
      <c r="I2429" s="13" t="str">
        <f aca="false">IFERROR(INDEX('Semrush Data'!$A$1:$Z$20000,MATCH(A2429,'Semrush Data'!$A$1:$A$20000,0),MATCH("CPC*",'Semrush Data'!$A$1:$Z$1,0)),"")</f>
        <v/>
      </c>
      <c r="J2429" s="7" t="str">
        <f aca="false">IFERROR(INDEX('Semrush Data'!$A$1:$Z$20000,MATCH(A2429,'Semrush Data'!$A$1:$A$20000,0),MATCH("Intent",'Semrush Data'!$A$1:$Z$1,0)),"")</f>
        <v/>
      </c>
    </row>
    <row r="2430" customFormat="false" ht="15" hidden="false" customHeight="true" outlineLevel="0" collapsed="false">
      <c r="A2430" s="7" t="s">
        <v>7112</v>
      </c>
      <c r="B2430" s="7" t="s">
        <v>6820</v>
      </c>
      <c r="C2430" s="7" t="n">
        <v>3</v>
      </c>
      <c r="D2430" s="7" t="n">
        <v>25</v>
      </c>
      <c r="E2430" s="7" t="n">
        <v>1</v>
      </c>
      <c r="F2430" s="7" t="s">
        <v>118</v>
      </c>
      <c r="G2430" s="12" t="str">
        <f aca="false">IFERROR(INDEX('Semrush Data'!$A$1:$Z$20000,MATCH(A2430,'Semrush Data'!$A$1:$A$20000,0),MATCH("Volume",'Semrush Data'!$A$1:$Z$1,0)),"")</f>
        <v/>
      </c>
      <c r="H2430" s="7" t="str">
        <f aca="false">IFERROR(INDEX('Semrush Data'!$A$1:$Z$20000,MATCH(A2430,'Semrush Data'!$A$1:$A$20000,0),MATCH("Keyword Difficulty*",'Semrush Data'!$A$1:$Z$1,0)),"")</f>
        <v/>
      </c>
      <c r="I2430" s="13" t="str">
        <f aca="false">IFERROR(INDEX('Semrush Data'!$A$1:$Z$20000,MATCH(A2430,'Semrush Data'!$A$1:$A$20000,0),MATCH("CPC*",'Semrush Data'!$A$1:$Z$1,0)),"")</f>
        <v/>
      </c>
      <c r="J2430" s="7" t="str">
        <f aca="false">IFERROR(INDEX('Semrush Data'!$A$1:$Z$20000,MATCH(A2430,'Semrush Data'!$A$1:$A$20000,0),MATCH("Intent",'Semrush Data'!$A$1:$Z$1,0)),"")</f>
        <v/>
      </c>
    </row>
    <row r="2431" customFormat="false" ht="15" hidden="false" customHeight="true" outlineLevel="0" collapsed="false">
      <c r="A2431" s="7" t="s">
        <v>7113</v>
      </c>
      <c r="B2431" s="7" t="s">
        <v>6820</v>
      </c>
      <c r="C2431" s="7" t="n">
        <v>3</v>
      </c>
      <c r="D2431" s="7" t="s">
        <v>6818</v>
      </c>
      <c r="E2431" s="7" t="n">
        <v>1</v>
      </c>
      <c r="F2431" s="7" t="s">
        <v>118</v>
      </c>
      <c r="G2431" s="12" t="str">
        <f aca="false">IFERROR(INDEX('Semrush Data'!$A$1:$Z$20000,MATCH(A2431,'Semrush Data'!$A$1:$A$20000,0),MATCH("Volume",'Semrush Data'!$A$1:$Z$1,0)),"")</f>
        <v/>
      </c>
      <c r="H2431" s="7" t="str">
        <f aca="false">IFERROR(INDEX('Semrush Data'!$A$1:$Z$20000,MATCH(A2431,'Semrush Data'!$A$1:$A$20000,0),MATCH("Keyword Difficulty*",'Semrush Data'!$A$1:$Z$1,0)),"")</f>
        <v/>
      </c>
      <c r="I2431" s="13" t="str">
        <f aca="false">IFERROR(INDEX('Semrush Data'!$A$1:$Z$20000,MATCH(A2431,'Semrush Data'!$A$1:$A$20000,0),MATCH("CPC*",'Semrush Data'!$A$1:$Z$1,0)),"")</f>
        <v/>
      </c>
      <c r="J2431" s="7" t="str">
        <f aca="false">IFERROR(INDEX('Semrush Data'!$A$1:$Z$20000,MATCH(A2431,'Semrush Data'!$A$1:$A$20000,0),MATCH("Intent",'Semrush Data'!$A$1:$Z$1,0)),"")</f>
        <v/>
      </c>
    </row>
    <row r="2432" customFormat="false" ht="15" hidden="false" customHeight="true" outlineLevel="0" collapsed="false">
      <c r="A2432" s="7" t="s">
        <v>7114</v>
      </c>
      <c r="B2432" s="7" t="s">
        <v>6820</v>
      </c>
      <c r="C2432" s="7" t="n">
        <v>3</v>
      </c>
      <c r="D2432" s="7" t="n">
        <v>25</v>
      </c>
      <c r="E2432" s="7" t="n">
        <v>1</v>
      </c>
      <c r="F2432" s="7" t="s">
        <v>118</v>
      </c>
      <c r="G2432" s="12" t="str">
        <f aca="false">IFERROR(INDEX('Semrush Data'!$A$1:$Z$20000,MATCH(A2432,'Semrush Data'!$A$1:$A$20000,0),MATCH("Volume",'Semrush Data'!$A$1:$Z$1,0)),"")</f>
        <v/>
      </c>
      <c r="H2432" s="7" t="str">
        <f aca="false">IFERROR(INDEX('Semrush Data'!$A$1:$Z$20000,MATCH(A2432,'Semrush Data'!$A$1:$A$20000,0),MATCH("Keyword Difficulty*",'Semrush Data'!$A$1:$Z$1,0)),"")</f>
        <v/>
      </c>
      <c r="I2432" s="13" t="str">
        <f aca="false">IFERROR(INDEX('Semrush Data'!$A$1:$Z$20000,MATCH(A2432,'Semrush Data'!$A$1:$A$20000,0),MATCH("CPC*",'Semrush Data'!$A$1:$Z$1,0)),"")</f>
        <v/>
      </c>
      <c r="J2432" s="7" t="str">
        <f aca="false">IFERROR(INDEX('Semrush Data'!$A$1:$Z$20000,MATCH(A2432,'Semrush Data'!$A$1:$A$20000,0),MATCH("Intent",'Semrush Data'!$A$1:$Z$1,0)),"")</f>
        <v/>
      </c>
    </row>
    <row r="2433" customFormat="false" ht="15" hidden="false" customHeight="true" outlineLevel="0" collapsed="false">
      <c r="A2433" s="7" t="s">
        <v>7115</v>
      </c>
      <c r="B2433" s="7" t="s">
        <v>6820</v>
      </c>
      <c r="C2433" s="7" t="n">
        <v>3</v>
      </c>
      <c r="D2433" s="7" t="n">
        <v>25</v>
      </c>
      <c r="E2433" s="7" t="n">
        <v>1</v>
      </c>
      <c r="F2433" s="7" t="s">
        <v>118</v>
      </c>
      <c r="G2433" s="12" t="str">
        <f aca="false">IFERROR(INDEX('Semrush Data'!$A$1:$Z$20000,MATCH(A2433,'Semrush Data'!$A$1:$A$20000,0),MATCH("Volume",'Semrush Data'!$A$1:$Z$1,0)),"")</f>
        <v/>
      </c>
      <c r="H2433" s="7" t="str">
        <f aca="false">IFERROR(INDEX('Semrush Data'!$A$1:$Z$20000,MATCH(A2433,'Semrush Data'!$A$1:$A$20000,0),MATCH("Keyword Difficulty*",'Semrush Data'!$A$1:$Z$1,0)),"")</f>
        <v/>
      </c>
      <c r="I2433" s="13" t="str">
        <f aca="false">IFERROR(INDEX('Semrush Data'!$A$1:$Z$20000,MATCH(A2433,'Semrush Data'!$A$1:$A$20000,0),MATCH("CPC*",'Semrush Data'!$A$1:$Z$1,0)),"")</f>
        <v/>
      </c>
      <c r="J2433" s="7" t="str">
        <f aca="false">IFERROR(INDEX('Semrush Data'!$A$1:$Z$20000,MATCH(A2433,'Semrush Data'!$A$1:$A$20000,0),MATCH("Intent",'Semrush Data'!$A$1:$Z$1,0)),"")</f>
        <v/>
      </c>
    </row>
    <row r="2434" customFormat="false" ht="15" hidden="false" customHeight="true" outlineLevel="0" collapsed="false">
      <c r="A2434" s="7" t="s">
        <v>7116</v>
      </c>
      <c r="B2434" s="7" t="s">
        <v>6820</v>
      </c>
      <c r="C2434" s="7" t="n">
        <v>3</v>
      </c>
      <c r="D2434" s="7" t="s">
        <v>6818</v>
      </c>
      <c r="E2434" s="7" t="n">
        <v>1</v>
      </c>
      <c r="F2434" s="7" t="s">
        <v>118</v>
      </c>
      <c r="G2434" s="12" t="str">
        <f aca="false">IFERROR(INDEX('Semrush Data'!$A$1:$Z$20000,MATCH(A2434,'Semrush Data'!$A$1:$A$20000,0),MATCH("Volume",'Semrush Data'!$A$1:$Z$1,0)),"")</f>
        <v/>
      </c>
      <c r="H2434" s="7" t="str">
        <f aca="false">IFERROR(INDEX('Semrush Data'!$A$1:$Z$20000,MATCH(A2434,'Semrush Data'!$A$1:$A$20000,0),MATCH("Keyword Difficulty*",'Semrush Data'!$A$1:$Z$1,0)),"")</f>
        <v/>
      </c>
      <c r="I2434" s="13" t="str">
        <f aca="false">IFERROR(INDEX('Semrush Data'!$A$1:$Z$20000,MATCH(A2434,'Semrush Data'!$A$1:$A$20000,0),MATCH("CPC*",'Semrush Data'!$A$1:$Z$1,0)),"")</f>
        <v/>
      </c>
      <c r="J2434" s="7" t="str">
        <f aca="false">IFERROR(INDEX('Semrush Data'!$A$1:$Z$20000,MATCH(A2434,'Semrush Data'!$A$1:$A$20000,0),MATCH("Intent",'Semrush Data'!$A$1:$Z$1,0)),"")</f>
        <v/>
      </c>
    </row>
    <row r="2435" customFormat="false" ht="15" hidden="false" customHeight="true" outlineLevel="0" collapsed="false">
      <c r="A2435" s="7" t="s">
        <v>7117</v>
      </c>
      <c r="B2435" s="7" t="s">
        <v>6820</v>
      </c>
      <c r="C2435" s="7" t="n">
        <v>3</v>
      </c>
      <c r="D2435" s="7" t="n">
        <v>25</v>
      </c>
      <c r="E2435" s="7" t="n">
        <v>1</v>
      </c>
      <c r="F2435" s="7" t="s">
        <v>3433</v>
      </c>
      <c r="G2435" s="12" t="str">
        <f aca="false">IFERROR(INDEX('Semrush Data'!$A$1:$Z$20000,MATCH(A2435,'Semrush Data'!$A$1:$A$20000,0),MATCH("Volume",'Semrush Data'!$A$1:$Z$1,0)),"")</f>
        <v/>
      </c>
      <c r="H2435" s="7" t="str">
        <f aca="false">IFERROR(INDEX('Semrush Data'!$A$1:$Z$20000,MATCH(A2435,'Semrush Data'!$A$1:$A$20000,0),MATCH("Keyword Difficulty*",'Semrush Data'!$A$1:$Z$1,0)),"")</f>
        <v/>
      </c>
      <c r="I2435" s="13" t="str">
        <f aca="false">IFERROR(INDEX('Semrush Data'!$A$1:$Z$20000,MATCH(A2435,'Semrush Data'!$A$1:$A$20000,0),MATCH("CPC*",'Semrush Data'!$A$1:$Z$1,0)),"")</f>
        <v/>
      </c>
      <c r="J2435" s="7" t="str">
        <f aca="false">IFERROR(INDEX('Semrush Data'!$A$1:$Z$20000,MATCH(A2435,'Semrush Data'!$A$1:$A$20000,0),MATCH("Intent",'Semrush Data'!$A$1:$Z$1,0)),"")</f>
        <v/>
      </c>
    </row>
    <row r="2436" customFormat="false" ht="15" hidden="false" customHeight="true" outlineLevel="0" collapsed="false">
      <c r="A2436" s="7" t="s">
        <v>7118</v>
      </c>
      <c r="B2436" s="7" t="s">
        <v>6820</v>
      </c>
      <c r="C2436" s="7" t="n">
        <v>3</v>
      </c>
      <c r="D2436" s="7" t="n">
        <v>25</v>
      </c>
      <c r="E2436" s="7" t="n">
        <v>1</v>
      </c>
      <c r="F2436" s="7" t="s">
        <v>3433</v>
      </c>
      <c r="G2436" s="12" t="str">
        <f aca="false">IFERROR(INDEX('Semrush Data'!$A$1:$Z$20000,MATCH(A2436,'Semrush Data'!$A$1:$A$20000,0),MATCH("Volume",'Semrush Data'!$A$1:$Z$1,0)),"")</f>
        <v/>
      </c>
      <c r="H2436" s="7" t="str">
        <f aca="false">IFERROR(INDEX('Semrush Data'!$A$1:$Z$20000,MATCH(A2436,'Semrush Data'!$A$1:$A$20000,0),MATCH("Keyword Difficulty*",'Semrush Data'!$A$1:$Z$1,0)),"")</f>
        <v/>
      </c>
      <c r="I2436" s="13" t="str">
        <f aca="false">IFERROR(INDEX('Semrush Data'!$A$1:$Z$20000,MATCH(A2436,'Semrush Data'!$A$1:$A$20000,0),MATCH("CPC*",'Semrush Data'!$A$1:$Z$1,0)),"")</f>
        <v/>
      </c>
      <c r="J2436" s="7" t="str">
        <f aca="false">IFERROR(INDEX('Semrush Data'!$A$1:$Z$20000,MATCH(A2436,'Semrush Data'!$A$1:$A$20000,0),MATCH("Intent",'Semrush Data'!$A$1:$Z$1,0)),"")</f>
        <v/>
      </c>
    </row>
    <row r="2437" customFormat="false" ht="15" hidden="false" customHeight="true" outlineLevel="0" collapsed="false">
      <c r="A2437" s="7" t="s">
        <v>7119</v>
      </c>
      <c r="B2437" s="7" t="s">
        <v>6820</v>
      </c>
      <c r="C2437" s="7" t="n">
        <v>3</v>
      </c>
      <c r="D2437" s="7" t="n">
        <v>25</v>
      </c>
      <c r="E2437" s="7" t="n">
        <v>1</v>
      </c>
      <c r="F2437" s="7" t="s">
        <v>3433</v>
      </c>
      <c r="G2437" s="12" t="str">
        <f aca="false">IFERROR(INDEX('Semrush Data'!$A$1:$Z$20000,MATCH(A2437,'Semrush Data'!$A$1:$A$20000,0),MATCH("Volume",'Semrush Data'!$A$1:$Z$1,0)),"")</f>
        <v/>
      </c>
      <c r="H2437" s="7" t="str">
        <f aca="false">IFERROR(INDEX('Semrush Data'!$A$1:$Z$20000,MATCH(A2437,'Semrush Data'!$A$1:$A$20000,0),MATCH("Keyword Difficulty*",'Semrush Data'!$A$1:$Z$1,0)),"")</f>
        <v/>
      </c>
      <c r="I2437" s="13" t="str">
        <f aca="false">IFERROR(INDEX('Semrush Data'!$A$1:$Z$20000,MATCH(A2437,'Semrush Data'!$A$1:$A$20000,0),MATCH("CPC*",'Semrush Data'!$A$1:$Z$1,0)),"")</f>
        <v/>
      </c>
      <c r="J2437" s="7" t="str">
        <f aca="false">IFERROR(INDEX('Semrush Data'!$A$1:$Z$20000,MATCH(A2437,'Semrush Data'!$A$1:$A$20000,0),MATCH("Intent",'Semrush Data'!$A$1:$Z$1,0)),"")</f>
        <v/>
      </c>
    </row>
    <row r="2438" customFormat="false" ht="15" hidden="false" customHeight="true" outlineLevel="0" collapsed="false">
      <c r="A2438" s="7" t="s">
        <v>7120</v>
      </c>
      <c r="B2438" s="7" t="s">
        <v>6820</v>
      </c>
      <c r="C2438" s="7" t="n">
        <v>3</v>
      </c>
      <c r="D2438" s="7" t="n">
        <v>25</v>
      </c>
      <c r="E2438" s="7" t="n">
        <v>1</v>
      </c>
      <c r="F2438" s="7" t="s">
        <v>3433</v>
      </c>
      <c r="G2438" s="12" t="str">
        <f aca="false">IFERROR(INDEX('Semrush Data'!$A$1:$Z$20000,MATCH(A2438,'Semrush Data'!$A$1:$A$20000,0),MATCH("Volume",'Semrush Data'!$A$1:$Z$1,0)),"")</f>
        <v/>
      </c>
      <c r="H2438" s="7" t="str">
        <f aca="false">IFERROR(INDEX('Semrush Data'!$A$1:$Z$20000,MATCH(A2438,'Semrush Data'!$A$1:$A$20000,0),MATCH("Keyword Difficulty*",'Semrush Data'!$A$1:$Z$1,0)),"")</f>
        <v/>
      </c>
      <c r="I2438" s="13" t="str">
        <f aca="false">IFERROR(INDEX('Semrush Data'!$A$1:$Z$20000,MATCH(A2438,'Semrush Data'!$A$1:$A$20000,0),MATCH("CPC*",'Semrush Data'!$A$1:$Z$1,0)),"")</f>
        <v/>
      </c>
      <c r="J2438" s="7" t="str">
        <f aca="false">IFERROR(INDEX('Semrush Data'!$A$1:$Z$20000,MATCH(A2438,'Semrush Data'!$A$1:$A$20000,0),MATCH("Intent",'Semrush Data'!$A$1:$Z$1,0)),"")</f>
        <v/>
      </c>
    </row>
    <row r="2439" customFormat="false" ht="15" hidden="false" customHeight="true" outlineLevel="0" collapsed="false">
      <c r="A2439" s="7" t="s">
        <v>7121</v>
      </c>
      <c r="B2439" s="7" t="s">
        <v>6820</v>
      </c>
      <c r="C2439" s="7" t="n">
        <v>3</v>
      </c>
      <c r="D2439" s="7" t="n">
        <v>25</v>
      </c>
      <c r="E2439" s="7" t="n">
        <v>1</v>
      </c>
      <c r="F2439" s="7" t="s">
        <v>3433</v>
      </c>
      <c r="G2439" s="12" t="str">
        <f aca="false">IFERROR(INDEX('Semrush Data'!$A$1:$Z$20000,MATCH(A2439,'Semrush Data'!$A$1:$A$20000,0),MATCH("Volume",'Semrush Data'!$A$1:$Z$1,0)),"")</f>
        <v/>
      </c>
      <c r="H2439" s="7" t="str">
        <f aca="false">IFERROR(INDEX('Semrush Data'!$A$1:$Z$20000,MATCH(A2439,'Semrush Data'!$A$1:$A$20000,0),MATCH("Keyword Difficulty*",'Semrush Data'!$A$1:$Z$1,0)),"")</f>
        <v/>
      </c>
      <c r="I2439" s="13" t="str">
        <f aca="false">IFERROR(INDEX('Semrush Data'!$A$1:$Z$20000,MATCH(A2439,'Semrush Data'!$A$1:$A$20000,0),MATCH("CPC*",'Semrush Data'!$A$1:$Z$1,0)),"")</f>
        <v/>
      </c>
      <c r="J2439" s="7" t="str">
        <f aca="false">IFERROR(INDEX('Semrush Data'!$A$1:$Z$20000,MATCH(A2439,'Semrush Data'!$A$1:$A$20000,0),MATCH("Intent",'Semrush Data'!$A$1:$Z$1,0)),"")</f>
        <v/>
      </c>
    </row>
    <row r="2440" customFormat="false" ht="15" hidden="false" customHeight="true" outlineLevel="0" collapsed="false">
      <c r="A2440" s="7" t="s">
        <v>7122</v>
      </c>
      <c r="B2440" s="7" t="s">
        <v>6820</v>
      </c>
      <c r="C2440" s="7" t="n">
        <v>3</v>
      </c>
      <c r="D2440" s="7" t="n">
        <v>25</v>
      </c>
      <c r="E2440" s="7" t="n">
        <v>1</v>
      </c>
      <c r="F2440" s="7" t="s">
        <v>3456</v>
      </c>
      <c r="G2440" s="12" t="str">
        <f aca="false">IFERROR(INDEX('Semrush Data'!$A$1:$Z$20000,MATCH(A2440,'Semrush Data'!$A$1:$A$20000,0),MATCH("Volume",'Semrush Data'!$A$1:$Z$1,0)),"")</f>
        <v/>
      </c>
      <c r="H2440" s="7" t="str">
        <f aca="false">IFERROR(INDEX('Semrush Data'!$A$1:$Z$20000,MATCH(A2440,'Semrush Data'!$A$1:$A$20000,0),MATCH("Keyword Difficulty*",'Semrush Data'!$A$1:$Z$1,0)),"")</f>
        <v/>
      </c>
      <c r="I2440" s="13" t="str">
        <f aca="false">IFERROR(INDEX('Semrush Data'!$A$1:$Z$20000,MATCH(A2440,'Semrush Data'!$A$1:$A$20000,0),MATCH("CPC*",'Semrush Data'!$A$1:$Z$1,0)),"")</f>
        <v/>
      </c>
      <c r="J2440" s="7" t="str">
        <f aca="false">IFERROR(INDEX('Semrush Data'!$A$1:$Z$20000,MATCH(A2440,'Semrush Data'!$A$1:$A$20000,0),MATCH("Intent",'Semrush Data'!$A$1:$Z$1,0)),"")</f>
        <v/>
      </c>
    </row>
    <row r="2441" customFormat="false" ht="15" hidden="false" customHeight="true" outlineLevel="0" collapsed="false">
      <c r="A2441" s="7" t="s">
        <v>7123</v>
      </c>
      <c r="B2441" s="7" t="s">
        <v>6820</v>
      </c>
      <c r="C2441" s="7" t="n">
        <v>3</v>
      </c>
      <c r="D2441" s="7" t="n">
        <v>25</v>
      </c>
      <c r="E2441" s="7" t="n">
        <v>1</v>
      </c>
      <c r="F2441" s="7" t="s">
        <v>3456</v>
      </c>
      <c r="G2441" s="12" t="str">
        <f aca="false">IFERROR(INDEX('Semrush Data'!$A$1:$Z$20000,MATCH(A2441,'Semrush Data'!$A$1:$A$20000,0),MATCH("Volume",'Semrush Data'!$A$1:$Z$1,0)),"")</f>
        <v/>
      </c>
      <c r="H2441" s="7" t="str">
        <f aca="false">IFERROR(INDEX('Semrush Data'!$A$1:$Z$20000,MATCH(A2441,'Semrush Data'!$A$1:$A$20000,0),MATCH("Keyword Difficulty*",'Semrush Data'!$A$1:$Z$1,0)),"")</f>
        <v/>
      </c>
      <c r="I2441" s="13" t="str">
        <f aca="false">IFERROR(INDEX('Semrush Data'!$A$1:$Z$20000,MATCH(A2441,'Semrush Data'!$A$1:$A$20000,0),MATCH("CPC*",'Semrush Data'!$A$1:$Z$1,0)),"")</f>
        <v/>
      </c>
      <c r="J2441" s="7" t="str">
        <f aca="false">IFERROR(INDEX('Semrush Data'!$A$1:$Z$20000,MATCH(A2441,'Semrush Data'!$A$1:$A$20000,0),MATCH("Intent",'Semrush Data'!$A$1:$Z$1,0)),"")</f>
        <v/>
      </c>
    </row>
    <row r="2442" customFormat="false" ht="15" hidden="false" customHeight="true" outlineLevel="0" collapsed="false">
      <c r="A2442" s="7" t="s">
        <v>7124</v>
      </c>
      <c r="B2442" s="7" t="s">
        <v>6820</v>
      </c>
      <c r="C2442" s="7" t="n">
        <v>3</v>
      </c>
      <c r="D2442" s="7" t="n">
        <v>25</v>
      </c>
      <c r="E2442" s="7" t="n">
        <v>1</v>
      </c>
      <c r="F2442" s="7" t="s">
        <v>3456</v>
      </c>
      <c r="G2442" s="12" t="str">
        <f aca="false">IFERROR(INDEX('Semrush Data'!$A$1:$Z$20000,MATCH(A2442,'Semrush Data'!$A$1:$A$20000,0),MATCH("Volume",'Semrush Data'!$A$1:$Z$1,0)),"")</f>
        <v/>
      </c>
      <c r="H2442" s="7" t="str">
        <f aca="false">IFERROR(INDEX('Semrush Data'!$A$1:$Z$20000,MATCH(A2442,'Semrush Data'!$A$1:$A$20000,0),MATCH("Keyword Difficulty*",'Semrush Data'!$A$1:$Z$1,0)),"")</f>
        <v/>
      </c>
      <c r="I2442" s="13" t="str">
        <f aca="false">IFERROR(INDEX('Semrush Data'!$A$1:$Z$20000,MATCH(A2442,'Semrush Data'!$A$1:$A$20000,0),MATCH("CPC*",'Semrush Data'!$A$1:$Z$1,0)),"")</f>
        <v/>
      </c>
      <c r="J2442" s="7" t="str">
        <f aca="false">IFERROR(INDEX('Semrush Data'!$A$1:$Z$20000,MATCH(A2442,'Semrush Data'!$A$1:$A$20000,0),MATCH("Intent",'Semrush Data'!$A$1:$Z$1,0)),"")</f>
        <v/>
      </c>
    </row>
    <row r="2443" customFormat="false" ht="15" hidden="false" customHeight="true" outlineLevel="0" collapsed="false">
      <c r="A2443" s="7" t="s">
        <v>7125</v>
      </c>
      <c r="B2443" s="7" t="s">
        <v>6820</v>
      </c>
      <c r="C2443" s="7" t="n">
        <v>3</v>
      </c>
      <c r="D2443" s="7" t="n">
        <v>25</v>
      </c>
      <c r="E2443" s="7" t="n">
        <v>1</v>
      </c>
      <c r="F2443" s="7" t="s">
        <v>3456</v>
      </c>
      <c r="G2443" s="12" t="str">
        <f aca="false">IFERROR(INDEX('Semrush Data'!$A$1:$Z$20000,MATCH(A2443,'Semrush Data'!$A$1:$A$20000,0),MATCH("Volume",'Semrush Data'!$A$1:$Z$1,0)),"")</f>
        <v/>
      </c>
      <c r="H2443" s="7" t="str">
        <f aca="false">IFERROR(INDEX('Semrush Data'!$A$1:$Z$20000,MATCH(A2443,'Semrush Data'!$A$1:$A$20000,0),MATCH("Keyword Difficulty*",'Semrush Data'!$A$1:$Z$1,0)),"")</f>
        <v/>
      </c>
      <c r="I2443" s="13" t="str">
        <f aca="false">IFERROR(INDEX('Semrush Data'!$A$1:$Z$20000,MATCH(A2443,'Semrush Data'!$A$1:$A$20000,0),MATCH("CPC*",'Semrush Data'!$A$1:$Z$1,0)),"")</f>
        <v/>
      </c>
      <c r="J2443" s="7" t="str">
        <f aca="false">IFERROR(INDEX('Semrush Data'!$A$1:$Z$20000,MATCH(A2443,'Semrush Data'!$A$1:$A$20000,0),MATCH("Intent",'Semrush Data'!$A$1:$Z$1,0)),"")</f>
        <v/>
      </c>
    </row>
    <row r="2444" customFormat="false" ht="15" hidden="false" customHeight="true" outlineLevel="0" collapsed="false">
      <c r="A2444" s="7" t="s">
        <v>7126</v>
      </c>
      <c r="B2444" s="7" t="s">
        <v>6820</v>
      </c>
      <c r="C2444" s="7" t="n">
        <v>3</v>
      </c>
      <c r="D2444" s="7" t="n">
        <v>25</v>
      </c>
      <c r="E2444" s="7" t="n">
        <v>1</v>
      </c>
      <c r="F2444" s="7" t="s">
        <v>3456</v>
      </c>
      <c r="G2444" s="12" t="str">
        <f aca="false">IFERROR(INDEX('Semrush Data'!$A$1:$Z$20000,MATCH(A2444,'Semrush Data'!$A$1:$A$20000,0),MATCH("Volume",'Semrush Data'!$A$1:$Z$1,0)),"")</f>
        <v/>
      </c>
      <c r="H2444" s="7" t="str">
        <f aca="false">IFERROR(INDEX('Semrush Data'!$A$1:$Z$20000,MATCH(A2444,'Semrush Data'!$A$1:$A$20000,0),MATCH("Keyword Difficulty*",'Semrush Data'!$A$1:$Z$1,0)),"")</f>
        <v/>
      </c>
      <c r="I2444" s="13" t="str">
        <f aca="false">IFERROR(INDEX('Semrush Data'!$A$1:$Z$20000,MATCH(A2444,'Semrush Data'!$A$1:$A$20000,0),MATCH("CPC*",'Semrush Data'!$A$1:$Z$1,0)),"")</f>
        <v/>
      </c>
      <c r="J2444" s="7" t="str">
        <f aca="false">IFERROR(INDEX('Semrush Data'!$A$1:$Z$20000,MATCH(A2444,'Semrush Data'!$A$1:$A$20000,0),MATCH("Intent",'Semrush Data'!$A$1:$Z$1,0)),"")</f>
        <v/>
      </c>
    </row>
    <row r="2445" customFormat="false" ht="15" hidden="false" customHeight="true" outlineLevel="0" collapsed="false">
      <c r="A2445" s="7" t="s">
        <v>7127</v>
      </c>
      <c r="B2445" s="7" t="s">
        <v>6820</v>
      </c>
      <c r="C2445" s="7" t="n">
        <v>3</v>
      </c>
      <c r="D2445" s="7" t="n">
        <v>25</v>
      </c>
      <c r="E2445" s="7" t="n">
        <v>1</v>
      </c>
      <c r="F2445" s="7" t="s">
        <v>90</v>
      </c>
      <c r="G2445" s="12" t="str">
        <f aca="false">IFERROR(INDEX('Semrush Data'!$A$1:$Z$20000,MATCH(A2445,'Semrush Data'!$A$1:$A$20000,0),MATCH("Volume",'Semrush Data'!$A$1:$Z$1,0)),"")</f>
        <v/>
      </c>
      <c r="H2445" s="7" t="str">
        <f aca="false">IFERROR(INDEX('Semrush Data'!$A$1:$Z$20000,MATCH(A2445,'Semrush Data'!$A$1:$A$20000,0),MATCH("Keyword Difficulty*",'Semrush Data'!$A$1:$Z$1,0)),"")</f>
        <v/>
      </c>
      <c r="I2445" s="13" t="str">
        <f aca="false">IFERROR(INDEX('Semrush Data'!$A$1:$Z$20000,MATCH(A2445,'Semrush Data'!$A$1:$A$20000,0),MATCH("CPC*",'Semrush Data'!$A$1:$Z$1,0)),"")</f>
        <v/>
      </c>
      <c r="J2445" s="7" t="str">
        <f aca="false">IFERROR(INDEX('Semrush Data'!$A$1:$Z$20000,MATCH(A2445,'Semrush Data'!$A$1:$A$20000,0),MATCH("Intent",'Semrush Data'!$A$1:$Z$1,0)),"")</f>
        <v/>
      </c>
    </row>
    <row r="2446" customFormat="false" ht="15" hidden="false" customHeight="true" outlineLevel="0" collapsed="false">
      <c r="A2446" s="7" t="s">
        <v>7128</v>
      </c>
      <c r="B2446" s="7" t="s">
        <v>6820</v>
      </c>
      <c r="C2446" s="7" t="n">
        <v>3</v>
      </c>
      <c r="D2446" s="7" t="n">
        <v>25</v>
      </c>
      <c r="E2446" s="7" t="n">
        <v>1</v>
      </c>
      <c r="F2446" s="7" t="s">
        <v>90</v>
      </c>
      <c r="G2446" s="12" t="str">
        <f aca="false">IFERROR(INDEX('Semrush Data'!$A$1:$Z$20000,MATCH(A2446,'Semrush Data'!$A$1:$A$20000,0),MATCH("Volume",'Semrush Data'!$A$1:$Z$1,0)),"")</f>
        <v/>
      </c>
      <c r="H2446" s="7" t="str">
        <f aca="false">IFERROR(INDEX('Semrush Data'!$A$1:$Z$20000,MATCH(A2446,'Semrush Data'!$A$1:$A$20000,0),MATCH("Keyword Difficulty*",'Semrush Data'!$A$1:$Z$1,0)),"")</f>
        <v/>
      </c>
      <c r="I2446" s="13" t="str">
        <f aca="false">IFERROR(INDEX('Semrush Data'!$A$1:$Z$20000,MATCH(A2446,'Semrush Data'!$A$1:$A$20000,0),MATCH("CPC*",'Semrush Data'!$A$1:$Z$1,0)),"")</f>
        <v/>
      </c>
      <c r="J2446" s="7" t="str">
        <f aca="false">IFERROR(INDEX('Semrush Data'!$A$1:$Z$20000,MATCH(A2446,'Semrush Data'!$A$1:$A$20000,0),MATCH("Intent",'Semrush Data'!$A$1:$Z$1,0)),"")</f>
        <v/>
      </c>
    </row>
    <row r="2447" customFormat="false" ht="15" hidden="false" customHeight="true" outlineLevel="0" collapsed="false">
      <c r="A2447" s="7" t="s">
        <v>7129</v>
      </c>
      <c r="B2447" s="7" t="s">
        <v>6820</v>
      </c>
      <c r="C2447" s="7" t="n">
        <v>3</v>
      </c>
      <c r="D2447" s="7" t="s">
        <v>6818</v>
      </c>
      <c r="E2447" s="7" t="n">
        <v>1</v>
      </c>
      <c r="F2447" s="7" t="s">
        <v>90</v>
      </c>
      <c r="G2447" s="12" t="str">
        <f aca="false">IFERROR(INDEX('Semrush Data'!$A$1:$Z$20000,MATCH(A2447,'Semrush Data'!$A$1:$A$20000,0),MATCH("Volume",'Semrush Data'!$A$1:$Z$1,0)),"")</f>
        <v/>
      </c>
      <c r="H2447" s="7" t="str">
        <f aca="false">IFERROR(INDEX('Semrush Data'!$A$1:$Z$20000,MATCH(A2447,'Semrush Data'!$A$1:$A$20000,0),MATCH("Keyword Difficulty*",'Semrush Data'!$A$1:$Z$1,0)),"")</f>
        <v/>
      </c>
      <c r="I2447" s="13" t="str">
        <f aca="false">IFERROR(INDEX('Semrush Data'!$A$1:$Z$20000,MATCH(A2447,'Semrush Data'!$A$1:$A$20000,0),MATCH("CPC*",'Semrush Data'!$A$1:$Z$1,0)),"")</f>
        <v/>
      </c>
      <c r="J2447" s="7" t="str">
        <f aca="false">IFERROR(INDEX('Semrush Data'!$A$1:$Z$20000,MATCH(A2447,'Semrush Data'!$A$1:$A$20000,0),MATCH("Intent",'Semrush Data'!$A$1:$Z$1,0)),"")</f>
        <v/>
      </c>
    </row>
    <row r="2448" customFormat="false" ht="15" hidden="false" customHeight="true" outlineLevel="0" collapsed="false">
      <c r="A2448" s="7" t="s">
        <v>7130</v>
      </c>
      <c r="B2448" s="7" t="s">
        <v>6820</v>
      </c>
      <c r="C2448" s="7" t="n">
        <v>3</v>
      </c>
      <c r="D2448" s="7" t="n">
        <v>25</v>
      </c>
      <c r="E2448" s="7" t="n">
        <v>1</v>
      </c>
      <c r="F2448" s="7" t="s">
        <v>90</v>
      </c>
      <c r="G2448" s="12" t="str">
        <f aca="false">IFERROR(INDEX('Semrush Data'!$A$1:$Z$20000,MATCH(A2448,'Semrush Data'!$A$1:$A$20000,0),MATCH("Volume",'Semrush Data'!$A$1:$Z$1,0)),"")</f>
        <v/>
      </c>
      <c r="H2448" s="7" t="str">
        <f aca="false">IFERROR(INDEX('Semrush Data'!$A$1:$Z$20000,MATCH(A2448,'Semrush Data'!$A$1:$A$20000,0),MATCH("Keyword Difficulty*",'Semrush Data'!$A$1:$Z$1,0)),"")</f>
        <v/>
      </c>
      <c r="I2448" s="13" t="str">
        <f aca="false">IFERROR(INDEX('Semrush Data'!$A$1:$Z$20000,MATCH(A2448,'Semrush Data'!$A$1:$A$20000,0),MATCH("CPC*",'Semrush Data'!$A$1:$Z$1,0)),"")</f>
        <v/>
      </c>
      <c r="J2448" s="7" t="str">
        <f aca="false">IFERROR(INDEX('Semrush Data'!$A$1:$Z$20000,MATCH(A2448,'Semrush Data'!$A$1:$A$20000,0),MATCH("Intent",'Semrush Data'!$A$1:$Z$1,0)),"")</f>
        <v/>
      </c>
    </row>
    <row r="2449" customFormat="false" ht="15" hidden="false" customHeight="true" outlineLevel="0" collapsed="false">
      <c r="A2449" s="7" t="s">
        <v>7131</v>
      </c>
      <c r="B2449" s="7" t="s">
        <v>6820</v>
      </c>
      <c r="C2449" s="7" t="n">
        <v>3</v>
      </c>
      <c r="D2449" s="7" t="s">
        <v>6818</v>
      </c>
      <c r="E2449" s="7" t="n">
        <v>1</v>
      </c>
      <c r="F2449" s="7" t="s">
        <v>90</v>
      </c>
      <c r="G2449" s="12" t="str">
        <f aca="false">IFERROR(INDEX('Semrush Data'!$A$1:$Z$20000,MATCH(A2449,'Semrush Data'!$A$1:$A$20000,0),MATCH("Volume",'Semrush Data'!$A$1:$Z$1,0)),"")</f>
        <v/>
      </c>
      <c r="H2449" s="7" t="str">
        <f aca="false">IFERROR(INDEX('Semrush Data'!$A$1:$Z$20000,MATCH(A2449,'Semrush Data'!$A$1:$A$20000,0),MATCH("Keyword Difficulty*",'Semrush Data'!$A$1:$Z$1,0)),"")</f>
        <v/>
      </c>
      <c r="I2449" s="13" t="str">
        <f aca="false">IFERROR(INDEX('Semrush Data'!$A$1:$Z$20000,MATCH(A2449,'Semrush Data'!$A$1:$A$20000,0),MATCH("CPC*",'Semrush Data'!$A$1:$Z$1,0)),"")</f>
        <v/>
      </c>
      <c r="J2449" s="7" t="str">
        <f aca="false">IFERROR(INDEX('Semrush Data'!$A$1:$Z$20000,MATCH(A2449,'Semrush Data'!$A$1:$A$20000,0),MATCH("Intent",'Semrush Data'!$A$1:$Z$1,0)),"")</f>
        <v/>
      </c>
    </row>
    <row r="2450" customFormat="false" ht="15" hidden="false" customHeight="true" outlineLevel="0" collapsed="false">
      <c r="A2450" s="7" t="s">
        <v>1193</v>
      </c>
      <c r="B2450" s="7" t="s">
        <v>6820</v>
      </c>
      <c r="C2450" s="7" t="n">
        <v>3</v>
      </c>
      <c r="D2450" s="7" t="s">
        <v>6843</v>
      </c>
      <c r="E2450" s="7" t="n">
        <v>1</v>
      </c>
      <c r="F2450" s="7" t="s">
        <v>1186</v>
      </c>
      <c r="G2450" s="12" t="str">
        <f aca="false">IFERROR(INDEX('Semrush Data'!$A$1:$Z$20000,MATCH(A2450,'Semrush Data'!$A$1:$A$20000,0),MATCH("Volume",'Semrush Data'!$A$1:$Z$1,0)),"")</f>
        <v/>
      </c>
      <c r="H2450" s="7" t="str">
        <f aca="false">IFERROR(INDEX('Semrush Data'!$A$1:$Z$20000,MATCH(A2450,'Semrush Data'!$A$1:$A$20000,0),MATCH("Keyword Difficulty*",'Semrush Data'!$A$1:$Z$1,0)),"")</f>
        <v/>
      </c>
      <c r="I2450" s="13" t="str">
        <f aca="false">IFERROR(INDEX('Semrush Data'!$A$1:$Z$20000,MATCH(A2450,'Semrush Data'!$A$1:$A$20000,0),MATCH("CPC*",'Semrush Data'!$A$1:$Z$1,0)),"")</f>
        <v/>
      </c>
      <c r="J2450" s="7" t="str">
        <f aca="false">IFERROR(INDEX('Semrush Data'!$A$1:$Z$20000,MATCH(A2450,'Semrush Data'!$A$1:$A$20000,0),MATCH("Intent",'Semrush Data'!$A$1:$Z$1,0)),"")</f>
        <v/>
      </c>
    </row>
    <row r="2451" customFormat="false" ht="15" hidden="false" customHeight="true" outlineLevel="0" collapsed="false">
      <c r="A2451" s="7" t="s">
        <v>1131</v>
      </c>
      <c r="B2451" s="7" t="s">
        <v>6820</v>
      </c>
      <c r="C2451" s="7" t="n">
        <v>3</v>
      </c>
      <c r="D2451" s="7" t="s">
        <v>6843</v>
      </c>
      <c r="E2451" s="7" t="n">
        <v>1</v>
      </c>
      <c r="F2451" s="7" t="s">
        <v>1125</v>
      </c>
      <c r="G2451" s="12" t="str">
        <f aca="false">IFERROR(INDEX('Semrush Data'!$A$1:$Z$20000,MATCH(A2451,'Semrush Data'!$A$1:$A$20000,0),MATCH("Volume",'Semrush Data'!$A$1:$Z$1,0)),"")</f>
        <v/>
      </c>
      <c r="H2451" s="7" t="str">
        <f aca="false">IFERROR(INDEX('Semrush Data'!$A$1:$Z$20000,MATCH(A2451,'Semrush Data'!$A$1:$A$20000,0),MATCH("Keyword Difficulty*",'Semrush Data'!$A$1:$Z$1,0)),"")</f>
        <v/>
      </c>
      <c r="I2451" s="13" t="str">
        <f aca="false">IFERROR(INDEX('Semrush Data'!$A$1:$Z$20000,MATCH(A2451,'Semrush Data'!$A$1:$A$20000,0),MATCH("CPC*",'Semrush Data'!$A$1:$Z$1,0)),"")</f>
        <v/>
      </c>
      <c r="J2451" s="7" t="str">
        <f aca="false">IFERROR(INDEX('Semrush Data'!$A$1:$Z$20000,MATCH(A2451,'Semrush Data'!$A$1:$A$20000,0),MATCH("Intent",'Semrush Data'!$A$1:$Z$1,0)),"")</f>
        <v/>
      </c>
    </row>
    <row r="2452" customFormat="false" ht="15" hidden="false" customHeight="true" outlineLevel="0" collapsed="false">
      <c r="A2452" s="7" t="s">
        <v>7132</v>
      </c>
      <c r="B2452" s="7" t="s">
        <v>6820</v>
      </c>
      <c r="C2452" s="7" t="n">
        <v>3</v>
      </c>
      <c r="D2452" s="7" t="n">
        <v>25</v>
      </c>
      <c r="E2452" s="7" t="n">
        <v>1</v>
      </c>
      <c r="F2452" s="7" t="s">
        <v>1118</v>
      </c>
      <c r="G2452" s="12" t="str">
        <f aca="false">IFERROR(INDEX('Semrush Data'!$A$1:$Z$20000,MATCH(A2452,'Semrush Data'!$A$1:$A$20000,0),MATCH("Volume",'Semrush Data'!$A$1:$Z$1,0)),"")</f>
        <v/>
      </c>
      <c r="H2452" s="7" t="str">
        <f aca="false">IFERROR(INDEX('Semrush Data'!$A$1:$Z$20000,MATCH(A2452,'Semrush Data'!$A$1:$A$20000,0),MATCH("Keyword Difficulty*",'Semrush Data'!$A$1:$Z$1,0)),"")</f>
        <v/>
      </c>
      <c r="I2452" s="13" t="str">
        <f aca="false">IFERROR(INDEX('Semrush Data'!$A$1:$Z$20000,MATCH(A2452,'Semrush Data'!$A$1:$A$20000,0),MATCH("CPC*",'Semrush Data'!$A$1:$Z$1,0)),"")</f>
        <v/>
      </c>
      <c r="J2452" s="7" t="str">
        <f aca="false">IFERROR(INDEX('Semrush Data'!$A$1:$Z$20000,MATCH(A2452,'Semrush Data'!$A$1:$A$20000,0),MATCH("Intent",'Semrush Data'!$A$1:$Z$1,0)),"")</f>
        <v/>
      </c>
    </row>
    <row r="2453" customFormat="false" ht="15" hidden="false" customHeight="true" outlineLevel="0" collapsed="false">
      <c r="A2453" s="7" t="s">
        <v>7133</v>
      </c>
      <c r="B2453" s="7" t="s">
        <v>6820</v>
      </c>
      <c r="C2453" s="7" t="n">
        <v>3</v>
      </c>
      <c r="D2453" s="7" t="s">
        <v>6843</v>
      </c>
      <c r="E2453" s="7" t="n">
        <v>1</v>
      </c>
      <c r="F2453" s="7" t="s">
        <v>1118</v>
      </c>
      <c r="G2453" s="12" t="str">
        <f aca="false">IFERROR(INDEX('Semrush Data'!$A$1:$Z$20000,MATCH(A2453,'Semrush Data'!$A$1:$A$20000,0),MATCH("Volume",'Semrush Data'!$A$1:$Z$1,0)),"")</f>
        <v/>
      </c>
      <c r="H2453" s="7" t="str">
        <f aca="false">IFERROR(INDEX('Semrush Data'!$A$1:$Z$20000,MATCH(A2453,'Semrush Data'!$A$1:$A$20000,0),MATCH("Keyword Difficulty*",'Semrush Data'!$A$1:$Z$1,0)),"")</f>
        <v/>
      </c>
      <c r="I2453" s="13" t="str">
        <f aca="false">IFERROR(INDEX('Semrush Data'!$A$1:$Z$20000,MATCH(A2453,'Semrush Data'!$A$1:$A$20000,0),MATCH("CPC*",'Semrush Data'!$A$1:$Z$1,0)),"")</f>
        <v/>
      </c>
      <c r="J2453" s="7" t="str">
        <f aca="false">IFERROR(INDEX('Semrush Data'!$A$1:$Z$20000,MATCH(A2453,'Semrush Data'!$A$1:$A$20000,0),MATCH("Intent",'Semrush Data'!$A$1:$Z$1,0)),"")</f>
        <v/>
      </c>
    </row>
    <row r="2454" customFormat="false" ht="15" hidden="false" customHeight="true" outlineLevel="0" collapsed="false">
      <c r="A2454" s="7" t="s">
        <v>7134</v>
      </c>
      <c r="B2454" s="7" t="s">
        <v>6820</v>
      </c>
      <c r="C2454" s="7" t="n">
        <v>3</v>
      </c>
      <c r="D2454" s="7" t="n">
        <v>25</v>
      </c>
      <c r="E2454" s="7" t="n">
        <v>1</v>
      </c>
      <c r="F2454" s="7" t="s">
        <v>898</v>
      </c>
      <c r="G2454" s="12" t="str">
        <f aca="false">IFERROR(INDEX('Semrush Data'!$A$1:$Z$20000,MATCH(A2454,'Semrush Data'!$A$1:$A$20000,0),MATCH("Volume",'Semrush Data'!$A$1:$Z$1,0)),"")</f>
        <v/>
      </c>
      <c r="H2454" s="7" t="str">
        <f aca="false">IFERROR(INDEX('Semrush Data'!$A$1:$Z$20000,MATCH(A2454,'Semrush Data'!$A$1:$A$20000,0),MATCH("Keyword Difficulty*",'Semrush Data'!$A$1:$Z$1,0)),"")</f>
        <v/>
      </c>
      <c r="I2454" s="13" t="str">
        <f aca="false">IFERROR(INDEX('Semrush Data'!$A$1:$Z$20000,MATCH(A2454,'Semrush Data'!$A$1:$A$20000,0),MATCH("CPC*",'Semrush Data'!$A$1:$Z$1,0)),"")</f>
        <v/>
      </c>
      <c r="J2454" s="7" t="str">
        <f aca="false">IFERROR(INDEX('Semrush Data'!$A$1:$Z$20000,MATCH(A2454,'Semrush Data'!$A$1:$A$20000,0),MATCH("Intent",'Semrush Data'!$A$1:$Z$1,0)),"")</f>
        <v/>
      </c>
    </row>
    <row r="2455" customFormat="false" ht="15" hidden="false" customHeight="true" outlineLevel="0" collapsed="false">
      <c r="A2455" s="7" t="s">
        <v>7135</v>
      </c>
      <c r="B2455" s="7" t="s">
        <v>6820</v>
      </c>
      <c r="C2455" s="7" t="n">
        <v>3</v>
      </c>
      <c r="D2455" s="7" t="s">
        <v>6843</v>
      </c>
      <c r="E2455" s="7" t="n">
        <v>1</v>
      </c>
      <c r="F2455" s="7" t="s">
        <v>898</v>
      </c>
      <c r="G2455" s="12" t="str">
        <f aca="false">IFERROR(INDEX('Semrush Data'!$A$1:$Z$20000,MATCH(A2455,'Semrush Data'!$A$1:$A$20000,0),MATCH("Volume",'Semrush Data'!$A$1:$Z$1,0)),"")</f>
        <v/>
      </c>
      <c r="H2455" s="7" t="str">
        <f aca="false">IFERROR(INDEX('Semrush Data'!$A$1:$Z$20000,MATCH(A2455,'Semrush Data'!$A$1:$A$20000,0),MATCH("Keyword Difficulty*",'Semrush Data'!$A$1:$Z$1,0)),"")</f>
        <v/>
      </c>
      <c r="I2455" s="13" t="str">
        <f aca="false">IFERROR(INDEX('Semrush Data'!$A$1:$Z$20000,MATCH(A2455,'Semrush Data'!$A$1:$A$20000,0),MATCH("CPC*",'Semrush Data'!$A$1:$Z$1,0)),"")</f>
        <v/>
      </c>
      <c r="J2455" s="7" t="str">
        <f aca="false">IFERROR(INDEX('Semrush Data'!$A$1:$Z$20000,MATCH(A2455,'Semrush Data'!$A$1:$A$20000,0),MATCH("Intent",'Semrush Data'!$A$1:$Z$1,0)),"")</f>
        <v/>
      </c>
    </row>
    <row r="2456" customFormat="false" ht="15" hidden="false" customHeight="true" outlineLevel="0" collapsed="false">
      <c r="A2456" s="7" t="s">
        <v>7136</v>
      </c>
      <c r="B2456" s="7" t="s">
        <v>6820</v>
      </c>
      <c r="C2456" s="7" t="n">
        <v>3</v>
      </c>
      <c r="D2456" s="7" t="s">
        <v>6843</v>
      </c>
      <c r="E2456" s="7" t="n">
        <v>1</v>
      </c>
      <c r="F2456" s="7" t="s">
        <v>1159</v>
      </c>
      <c r="G2456" s="12" t="str">
        <f aca="false">IFERROR(INDEX('Semrush Data'!$A$1:$Z$20000,MATCH(A2456,'Semrush Data'!$A$1:$A$20000,0),MATCH("Volume",'Semrush Data'!$A$1:$Z$1,0)),"")</f>
        <v/>
      </c>
      <c r="H2456" s="7" t="str">
        <f aca="false">IFERROR(INDEX('Semrush Data'!$A$1:$Z$20000,MATCH(A2456,'Semrush Data'!$A$1:$A$20000,0),MATCH("Keyword Difficulty*",'Semrush Data'!$A$1:$Z$1,0)),"")</f>
        <v/>
      </c>
      <c r="I2456" s="13" t="str">
        <f aca="false">IFERROR(INDEX('Semrush Data'!$A$1:$Z$20000,MATCH(A2456,'Semrush Data'!$A$1:$A$20000,0),MATCH("CPC*",'Semrush Data'!$A$1:$Z$1,0)),"")</f>
        <v/>
      </c>
      <c r="J2456" s="7" t="str">
        <f aca="false">IFERROR(INDEX('Semrush Data'!$A$1:$Z$20000,MATCH(A2456,'Semrush Data'!$A$1:$A$20000,0),MATCH("Intent",'Semrush Data'!$A$1:$Z$1,0)),"")</f>
        <v/>
      </c>
    </row>
    <row r="2457" customFormat="false" ht="15" hidden="false" customHeight="true" outlineLevel="0" collapsed="false">
      <c r="A2457" s="7" t="s">
        <v>7137</v>
      </c>
      <c r="B2457" s="7" t="s">
        <v>6820</v>
      </c>
      <c r="C2457" s="7" t="n">
        <v>3</v>
      </c>
      <c r="D2457" s="7" t="n">
        <v>25</v>
      </c>
      <c r="E2457" s="7" t="n">
        <v>1</v>
      </c>
      <c r="F2457" s="7" t="s">
        <v>1090</v>
      </c>
      <c r="G2457" s="12" t="str">
        <f aca="false">IFERROR(INDEX('Semrush Data'!$A$1:$Z$20000,MATCH(A2457,'Semrush Data'!$A$1:$A$20000,0),MATCH("Volume",'Semrush Data'!$A$1:$Z$1,0)),"")</f>
        <v/>
      </c>
      <c r="H2457" s="7" t="str">
        <f aca="false">IFERROR(INDEX('Semrush Data'!$A$1:$Z$20000,MATCH(A2457,'Semrush Data'!$A$1:$A$20000,0),MATCH("Keyword Difficulty*",'Semrush Data'!$A$1:$Z$1,0)),"")</f>
        <v/>
      </c>
      <c r="I2457" s="13" t="str">
        <f aca="false">IFERROR(INDEX('Semrush Data'!$A$1:$Z$20000,MATCH(A2457,'Semrush Data'!$A$1:$A$20000,0),MATCH("CPC*",'Semrush Data'!$A$1:$Z$1,0)),"")</f>
        <v/>
      </c>
      <c r="J2457" s="7" t="str">
        <f aca="false">IFERROR(INDEX('Semrush Data'!$A$1:$Z$20000,MATCH(A2457,'Semrush Data'!$A$1:$A$20000,0),MATCH("Intent",'Semrush Data'!$A$1:$Z$1,0)),"")</f>
        <v/>
      </c>
    </row>
    <row r="2458" customFormat="false" ht="15" hidden="false" customHeight="true" outlineLevel="0" collapsed="false">
      <c r="A2458" s="7" t="s">
        <v>7138</v>
      </c>
      <c r="B2458" s="7" t="s">
        <v>6820</v>
      </c>
      <c r="C2458" s="7" t="n">
        <v>3</v>
      </c>
      <c r="D2458" s="7" t="s">
        <v>6843</v>
      </c>
      <c r="E2458" s="7" t="n">
        <v>1</v>
      </c>
      <c r="F2458" s="7" t="s">
        <v>1090</v>
      </c>
      <c r="G2458" s="12" t="str">
        <f aca="false">IFERROR(INDEX('Semrush Data'!$A$1:$Z$20000,MATCH(A2458,'Semrush Data'!$A$1:$A$20000,0),MATCH("Volume",'Semrush Data'!$A$1:$Z$1,0)),"")</f>
        <v/>
      </c>
      <c r="H2458" s="7" t="str">
        <f aca="false">IFERROR(INDEX('Semrush Data'!$A$1:$Z$20000,MATCH(A2458,'Semrush Data'!$A$1:$A$20000,0),MATCH("Keyword Difficulty*",'Semrush Data'!$A$1:$Z$1,0)),"")</f>
        <v/>
      </c>
      <c r="I2458" s="13" t="str">
        <f aca="false">IFERROR(INDEX('Semrush Data'!$A$1:$Z$20000,MATCH(A2458,'Semrush Data'!$A$1:$A$20000,0),MATCH("CPC*",'Semrush Data'!$A$1:$Z$1,0)),"")</f>
        <v/>
      </c>
      <c r="J2458" s="7" t="str">
        <f aca="false">IFERROR(INDEX('Semrush Data'!$A$1:$Z$20000,MATCH(A2458,'Semrush Data'!$A$1:$A$20000,0),MATCH("Intent",'Semrush Data'!$A$1:$Z$1,0)),"")</f>
        <v/>
      </c>
    </row>
    <row r="2459" customFormat="false" ht="15" hidden="false" customHeight="true" outlineLevel="0" collapsed="false">
      <c r="A2459" s="7" t="s">
        <v>1178</v>
      </c>
      <c r="B2459" s="7" t="s">
        <v>6820</v>
      </c>
      <c r="C2459" s="7" t="n">
        <v>3</v>
      </c>
      <c r="D2459" s="7" t="s">
        <v>6843</v>
      </c>
      <c r="E2459" s="7" t="n">
        <v>2</v>
      </c>
      <c r="F2459" s="7" t="s">
        <v>7139</v>
      </c>
      <c r="G2459" s="12" t="str">
        <f aca="false">IFERROR(INDEX('Semrush Data'!$A$1:$Z$20000,MATCH(A2459,'Semrush Data'!$A$1:$A$20000,0),MATCH("Volume",'Semrush Data'!$A$1:$Z$1,0)),"")</f>
        <v/>
      </c>
      <c r="H2459" s="7" t="str">
        <f aca="false">IFERROR(INDEX('Semrush Data'!$A$1:$Z$20000,MATCH(A2459,'Semrush Data'!$A$1:$A$20000,0),MATCH("Keyword Difficulty*",'Semrush Data'!$A$1:$Z$1,0)),"")</f>
        <v/>
      </c>
      <c r="I2459" s="13" t="str">
        <f aca="false">IFERROR(INDEX('Semrush Data'!$A$1:$Z$20000,MATCH(A2459,'Semrush Data'!$A$1:$A$20000,0),MATCH("CPC*",'Semrush Data'!$A$1:$Z$1,0)),"")</f>
        <v/>
      </c>
      <c r="J2459" s="7" t="str">
        <f aca="false">IFERROR(INDEX('Semrush Data'!$A$1:$Z$20000,MATCH(A2459,'Semrush Data'!$A$1:$A$20000,0),MATCH("Intent",'Semrush Data'!$A$1:$Z$1,0)),"")</f>
        <v/>
      </c>
    </row>
    <row r="2460" customFormat="false" ht="15" hidden="false" customHeight="true" outlineLevel="0" collapsed="false">
      <c r="A2460" s="7" t="s">
        <v>7140</v>
      </c>
      <c r="B2460" s="7" t="s">
        <v>6820</v>
      </c>
      <c r="C2460" s="7" t="n">
        <v>3</v>
      </c>
      <c r="D2460" s="7" t="s">
        <v>6843</v>
      </c>
      <c r="E2460" s="7" t="n">
        <v>1</v>
      </c>
      <c r="F2460" s="7" t="s">
        <v>1075</v>
      </c>
      <c r="G2460" s="12" t="str">
        <f aca="false">IFERROR(INDEX('Semrush Data'!$A$1:$Z$20000,MATCH(A2460,'Semrush Data'!$A$1:$A$20000,0),MATCH("Volume",'Semrush Data'!$A$1:$Z$1,0)),"")</f>
        <v/>
      </c>
      <c r="H2460" s="7" t="str">
        <f aca="false">IFERROR(INDEX('Semrush Data'!$A$1:$Z$20000,MATCH(A2460,'Semrush Data'!$A$1:$A$20000,0),MATCH("Keyword Difficulty*",'Semrush Data'!$A$1:$Z$1,0)),"")</f>
        <v/>
      </c>
      <c r="I2460" s="13" t="str">
        <f aca="false">IFERROR(INDEX('Semrush Data'!$A$1:$Z$20000,MATCH(A2460,'Semrush Data'!$A$1:$A$20000,0),MATCH("CPC*",'Semrush Data'!$A$1:$Z$1,0)),"")</f>
        <v/>
      </c>
      <c r="J2460" s="7" t="str">
        <f aca="false">IFERROR(INDEX('Semrush Data'!$A$1:$Z$20000,MATCH(A2460,'Semrush Data'!$A$1:$A$20000,0),MATCH("Intent",'Semrush Data'!$A$1:$Z$1,0)),"")</f>
        <v/>
      </c>
    </row>
    <row r="2461" customFormat="false" ht="15" hidden="false" customHeight="true" outlineLevel="0" collapsed="false">
      <c r="A2461" s="7" t="s">
        <v>7141</v>
      </c>
      <c r="B2461" s="7" t="s">
        <v>6820</v>
      </c>
      <c r="C2461" s="7" t="n">
        <v>3</v>
      </c>
      <c r="D2461" s="7" t="n">
        <v>25</v>
      </c>
      <c r="E2461" s="7" t="n">
        <v>1</v>
      </c>
      <c r="F2461" s="7" t="s">
        <v>866</v>
      </c>
      <c r="G2461" s="12" t="str">
        <f aca="false">IFERROR(INDEX('Semrush Data'!$A$1:$Z$20000,MATCH(A2461,'Semrush Data'!$A$1:$A$20000,0),MATCH("Volume",'Semrush Data'!$A$1:$Z$1,0)),"")</f>
        <v/>
      </c>
      <c r="H2461" s="7" t="str">
        <f aca="false">IFERROR(INDEX('Semrush Data'!$A$1:$Z$20000,MATCH(A2461,'Semrush Data'!$A$1:$A$20000,0),MATCH("Keyword Difficulty*",'Semrush Data'!$A$1:$Z$1,0)),"")</f>
        <v/>
      </c>
      <c r="I2461" s="13" t="str">
        <f aca="false">IFERROR(INDEX('Semrush Data'!$A$1:$Z$20000,MATCH(A2461,'Semrush Data'!$A$1:$A$20000,0),MATCH("CPC*",'Semrush Data'!$A$1:$Z$1,0)),"")</f>
        <v/>
      </c>
      <c r="J2461" s="7" t="str">
        <f aca="false">IFERROR(INDEX('Semrush Data'!$A$1:$Z$20000,MATCH(A2461,'Semrush Data'!$A$1:$A$20000,0),MATCH("Intent",'Semrush Data'!$A$1:$Z$1,0)),"")</f>
        <v/>
      </c>
    </row>
    <row r="2462" customFormat="false" ht="15" hidden="false" customHeight="true" outlineLevel="0" collapsed="false">
      <c r="A2462" s="7" t="s">
        <v>7142</v>
      </c>
      <c r="B2462" s="7" t="s">
        <v>6820</v>
      </c>
      <c r="C2462" s="7" t="n">
        <v>3</v>
      </c>
      <c r="D2462" s="7" t="s">
        <v>6843</v>
      </c>
      <c r="E2462" s="7" t="n">
        <v>1</v>
      </c>
      <c r="F2462" s="7" t="s">
        <v>866</v>
      </c>
      <c r="G2462" s="12" t="str">
        <f aca="false">IFERROR(INDEX('Semrush Data'!$A$1:$Z$20000,MATCH(A2462,'Semrush Data'!$A$1:$A$20000,0),MATCH("Volume",'Semrush Data'!$A$1:$Z$1,0)),"")</f>
        <v/>
      </c>
      <c r="H2462" s="7" t="str">
        <f aca="false">IFERROR(INDEX('Semrush Data'!$A$1:$Z$20000,MATCH(A2462,'Semrush Data'!$A$1:$A$20000,0),MATCH("Keyword Difficulty*",'Semrush Data'!$A$1:$Z$1,0)),"")</f>
        <v/>
      </c>
      <c r="I2462" s="13" t="str">
        <f aca="false">IFERROR(INDEX('Semrush Data'!$A$1:$Z$20000,MATCH(A2462,'Semrush Data'!$A$1:$A$20000,0),MATCH("CPC*",'Semrush Data'!$A$1:$Z$1,0)),"")</f>
        <v/>
      </c>
      <c r="J2462" s="7" t="str">
        <f aca="false">IFERROR(INDEX('Semrush Data'!$A$1:$Z$20000,MATCH(A2462,'Semrush Data'!$A$1:$A$20000,0),MATCH("Intent",'Semrush Data'!$A$1:$Z$1,0)),"")</f>
        <v/>
      </c>
    </row>
    <row r="2463" customFormat="false" ht="15" hidden="false" customHeight="true" outlineLevel="0" collapsed="false">
      <c r="A2463" s="7" t="s">
        <v>7143</v>
      </c>
      <c r="B2463" s="7" t="s">
        <v>6820</v>
      </c>
      <c r="C2463" s="7" t="n">
        <v>3</v>
      </c>
      <c r="D2463" s="7" t="n">
        <v>25</v>
      </c>
      <c r="E2463" s="7" t="n">
        <v>1</v>
      </c>
      <c r="F2463" s="7" t="s">
        <v>1111</v>
      </c>
      <c r="G2463" s="12" t="str">
        <f aca="false">IFERROR(INDEX('Semrush Data'!$A$1:$Z$20000,MATCH(A2463,'Semrush Data'!$A$1:$A$20000,0),MATCH("Volume",'Semrush Data'!$A$1:$Z$1,0)),"")</f>
        <v/>
      </c>
      <c r="H2463" s="7" t="str">
        <f aca="false">IFERROR(INDEX('Semrush Data'!$A$1:$Z$20000,MATCH(A2463,'Semrush Data'!$A$1:$A$20000,0),MATCH("Keyword Difficulty*",'Semrush Data'!$A$1:$Z$1,0)),"")</f>
        <v/>
      </c>
      <c r="I2463" s="13" t="str">
        <f aca="false">IFERROR(INDEX('Semrush Data'!$A$1:$Z$20000,MATCH(A2463,'Semrush Data'!$A$1:$A$20000,0),MATCH("CPC*",'Semrush Data'!$A$1:$Z$1,0)),"")</f>
        <v/>
      </c>
      <c r="J2463" s="7" t="str">
        <f aca="false">IFERROR(INDEX('Semrush Data'!$A$1:$Z$20000,MATCH(A2463,'Semrush Data'!$A$1:$A$20000,0),MATCH("Intent",'Semrush Data'!$A$1:$Z$1,0)),"")</f>
        <v/>
      </c>
    </row>
    <row r="2464" customFormat="false" ht="15" hidden="false" customHeight="true" outlineLevel="0" collapsed="false">
      <c r="A2464" s="7" t="s">
        <v>7144</v>
      </c>
      <c r="B2464" s="7" t="s">
        <v>6820</v>
      </c>
      <c r="C2464" s="7" t="n">
        <v>3</v>
      </c>
      <c r="D2464" s="7" t="n">
        <v>25</v>
      </c>
      <c r="E2464" s="7" t="n">
        <v>1</v>
      </c>
      <c r="F2464" s="7" t="s">
        <v>1111</v>
      </c>
      <c r="G2464" s="12" t="str">
        <f aca="false">IFERROR(INDEX('Semrush Data'!$A$1:$Z$20000,MATCH(A2464,'Semrush Data'!$A$1:$A$20000,0),MATCH("Volume",'Semrush Data'!$A$1:$Z$1,0)),"")</f>
        <v/>
      </c>
      <c r="H2464" s="7" t="str">
        <f aca="false">IFERROR(INDEX('Semrush Data'!$A$1:$Z$20000,MATCH(A2464,'Semrush Data'!$A$1:$A$20000,0),MATCH("Keyword Difficulty*",'Semrush Data'!$A$1:$Z$1,0)),"")</f>
        <v/>
      </c>
      <c r="I2464" s="13" t="str">
        <f aca="false">IFERROR(INDEX('Semrush Data'!$A$1:$Z$20000,MATCH(A2464,'Semrush Data'!$A$1:$A$20000,0),MATCH("CPC*",'Semrush Data'!$A$1:$Z$1,0)),"")</f>
        <v/>
      </c>
      <c r="J2464" s="7" t="str">
        <f aca="false">IFERROR(INDEX('Semrush Data'!$A$1:$Z$20000,MATCH(A2464,'Semrush Data'!$A$1:$A$20000,0),MATCH("Intent",'Semrush Data'!$A$1:$Z$1,0)),"")</f>
        <v/>
      </c>
    </row>
    <row r="2465" customFormat="false" ht="15" hidden="false" customHeight="true" outlineLevel="0" collapsed="false">
      <c r="A2465" s="7" t="s">
        <v>7145</v>
      </c>
      <c r="B2465" s="7" t="s">
        <v>6820</v>
      </c>
      <c r="C2465" s="7" t="n">
        <v>3</v>
      </c>
      <c r="D2465" s="7" t="n">
        <v>25</v>
      </c>
      <c r="E2465" s="7" t="n">
        <v>1</v>
      </c>
      <c r="F2465" s="7" t="s">
        <v>1111</v>
      </c>
      <c r="G2465" s="12" t="str">
        <f aca="false">IFERROR(INDEX('Semrush Data'!$A$1:$Z$20000,MATCH(A2465,'Semrush Data'!$A$1:$A$20000,0),MATCH("Volume",'Semrush Data'!$A$1:$Z$1,0)),"")</f>
        <v/>
      </c>
      <c r="H2465" s="7" t="str">
        <f aca="false">IFERROR(INDEX('Semrush Data'!$A$1:$Z$20000,MATCH(A2465,'Semrush Data'!$A$1:$A$20000,0),MATCH("Keyword Difficulty*",'Semrush Data'!$A$1:$Z$1,0)),"")</f>
        <v/>
      </c>
      <c r="I2465" s="13" t="str">
        <f aca="false">IFERROR(INDEX('Semrush Data'!$A$1:$Z$20000,MATCH(A2465,'Semrush Data'!$A$1:$A$20000,0),MATCH("CPC*",'Semrush Data'!$A$1:$Z$1,0)),"")</f>
        <v/>
      </c>
      <c r="J2465" s="7" t="str">
        <f aca="false">IFERROR(INDEX('Semrush Data'!$A$1:$Z$20000,MATCH(A2465,'Semrush Data'!$A$1:$A$20000,0),MATCH("Intent",'Semrush Data'!$A$1:$Z$1,0)),"")</f>
        <v/>
      </c>
    </row>
    <row r="2466" customFormat="false" ht="15" hidden="false" customHeight="true" outlineLevel="0" collapsed="false">
      <c r="A2466" s="7" t="s">
        <v>7146</v>
      </c>
      <c r="B2466" s="7" t="s">
        <v>6820</v>
      </c>
      <c r="C2466" s="7" t="n">
        <v>3</v>
      </c>
      <c r="D2466" s="7" t="n">
        <v>25</v>
      </c>
      <c r="E2466" s="7" t="n">
        <v>1</v>
      </c>
      <c r="F2466" s="7" t="s">
        <v>1111</v>
      </c>
      <c r="G2466" s="12" t="str">
        <f aca="false">IFERROR(INDEX('Semrush Data'!$A$1:$Z$20000,MATCH(A2466,'Semrush Data'!$A$1:$A$20000,0),MATCH("Volume",'Semrush Data'!$A$1:$Z$1,0)),"")</f>
        <v/>
      </c>
      <c r="H2466" s="7" t="str">
        <f aca="false">IFERROR(INDEX('Semrush Data'!$A$1:$Z$20000,MATCH(A2466,'Semrush Data'!$A$1:$A$20000,0),MATCH("Keyword Difficulty*",'Semrush Data'!$A$1:$Z$1,0)),"")</f>
        <v/>
      </c>
      <c r="I2466" s="13" t="str">
        <f aca="false">IFERROR(INDEX('Semrush Data'!$A$1:$Z$20000,MATCH(A2466,'Semrush Data'!$A$1:$A$20000,0),MATCH("CPC*",'Semrush Data'!$A$1:$Z$1,0)),"")</f>
        <v/>
      </c>
      <c r="J2466" s="7" t="str">
        <f aca="false">IFERROR(INDEX('Semrush Data'!$A$1:$Z$20000,MATCH(A2466,'Semrush Data'!$A$1:$A$20000,0),MATCH("Intent",'Semrush Data'!$A$1:$Z$1,0)),"")</f>
        <v/>
      </c>
    </row>
    <row r="2467" customFormat="false" ht="15" hidden="false" customHeight="true" outlineLevel="0" collapsed="false">
      <c r="A2467" s="7" t="s">
        <v>7147</v>
      </c>
      <c r="B2467" s="7" t="s">
        <v>6820</v>
      </c>
      <c r="C2467" s="7" t="n">
        <v>3</v>
      </c>
      <c r="D2467" s="7" t="s">
        <v>6843</v>
      </c>
      <c r="E2467" s="7" t="n">
        <v>1</v>
      </c>
      <c r="F2467" s="7" t="s">
        <v>1111</v>
      </c>
      <c r="G2467" s="12" t="str">
        <f aca="false">IFERROR(INDEX('Semrush Data'!$A$1:$Z$20000,MATCH(A2467,'Semrush Data'!$A$1:$A$20000,0),MATCH("Volume",'Semrush Data'!$A$1:$Z$1,0)),"")</f>
        <v/>
      </c>
      <c r="H2467" s="7" t="str">
        <f aca="false">IFERROR(INDEX('Semrush Data'!$A$1:$Z$20000,MATCH(A2467,'Semrush Data'!$A$1:$A$20000,0),MATCH("Keyword Difficulty*",'Semrush Data'!$A$1:$Z$1,0)),"")</f>
        <v/>
      </c>
      <c r="I2467" s="13" t="str">
        <f aca="false">IFERROR(INDEX('Semrush Data'!$A$1:$Z$20000,MATCH(A2467,'Semrush Data'!$A$1:$A$20000,0),MATCH("CPC*",'Semrush Data'!$A$1:$Z$1,0)),"")</f>
        <v/>
      </c>
      <c r="J2467" s="7" t="str">
        <f aca="false">IFERROR(INDEX('Semrush Data'!$A$1:$Z$20000,MATCH(A2467,'Semrush Data'!$A$1:$A$20000,0),MATCH("Intent",'Semrush Data'!$A$1:$Z$1,0)),"")</f>
        <v/>
      </c>
    </row>
    <row r="2468" customFormat="false" ht="15" hidden="false" customHeight="true" outlineLevel="0" collapsed="false">
      <c r="A2468" s="7" t="s">
        <v>7148</v>
      </c>
      <c r="B2468" s="7" t="s">
        <v>6820</v>
      </c>
      <c r="C2468" s="7" t="n">
        <v>3</v>
      </c>
      <c r="D2468" s="7" t="n">
        <v>25</v>
      </c>
      <c r="E2468" s="7" t="n">
        <v>1</v>
      </c>
      <c r="F2468" s="7" t="s">
        <v>1097</v>
      </c>
      <c r="G2468" s="12" t="str">
        <f aca="false">IFERROR(INDEX('Semrush Data'!$A$1:$Z$20000,MATCH(A2468,'Semrush Data'!$A$1:$A$20000,0),MATCH("Volume",'Semrush Data'!$A$1:$Z$1,0)),"")</f>
        <v/>
      </c>
      <c r="H2468" s="7" t="str">
        <f aca="false">IFERROR(INDEX('Semrush Data'!$A$1:$Z$20000,MATCH(A2468,'Semrush Data'!$A$1:$A$20000,0),MATCH("Keyword Difficulty*",'Semrush Data'!$A$1:$Z$1,0)),"")</f>
        <v/>
      </c>
      <c r="I2468" s="13" t="str">
        <f aca="false">IFERROR(INDEX('Semrush Data'!$A$1:$Z$20000,MATCH(A2468,'Semrush Data'!$A$1:$A$20000,0),MATCH("CPC*",'Semrush Data'!$A$1:$Z$1,0)),"")</f>
        <v/>
      </c>
      <c r="J2468" s="7" t="str">
        <f aca="false">IFERROR(INDEX('Semrush Data'!$A$1:$Z$20000,MATCH(A2468,'Semrush Data'!$A$1:$A$20000,0),MATCH("Intent",'Semrush Data'!$A$1:$Z$1,0)),"")</f>
        <v/>
      </c>
    </row>
    <row r="2469" customFormat="false" ht="15" hidden="false" customHeight="true" outlineLevel="0" collapsed="false">
      <c r="A2469" s="7" t="s">
        <v>7149</v>
      </c>
      <c r="B2469" s="7" t="s">
        <v>6820</v>
      </c>
      <c r="C2469" s="7" t="n">
        <v>3</v>
      </c>
      <c r="D2469" s="7" t="n">
        <v>25</v>
      </c>
      <c r="E2469" s="7" t="n">
        <v>1</v>
      </c>
      <c r="F2469" s="7" t="s">
        <v>1097</v>
      </c>
      <c r="G2469" s="12" t="str">
        <f aca="false">IFERROR(INDEX('Semrush Data'!$A$1:$Z$20000,MATCH(A2469,'Semrush Data'!$A$1:$A$20000,0),MATCH("Volume",'Semrush Data'!$A$1:$Z$1,0)),"")</f>
        <v/>
      </c>
      <c r="H2469" s="7" t="str">
        <f aca="false">IFERROR(INDEX('Semrush Data'!$A$1:$Z$20000,MATCH(A2469,'Semrush Data'!$A$1:$A$20000,0),MATCH("Keyword Difficulty*",'Semrush Data'!$A$1:$Z$1,0)),"")</f>
        <v/>
      </c>
      <c r="I2469" s="13" t="str">
        <f aca="false">IFERROR(INDEX('Semrush Data'!$A$1:$Z$20000,MATCH(A2469,'Semrush Data'!$A$1:$A$20000,0),MATCH("CPC*",'Semrush Data'!$A$1:$Z$1,0)),"")</f>
        <v/>
      </c>
      <c r="J2469" s="7" t="str">
        <f aca="false">IFERROR(INDEX('Semrush Data'!$A$1:$Z$20000,MATCH(A2469,'Semrush Data'!$A$1:$A$20000,0),MATCH("Intent",'Semrush Data'!$A$1:$Z$1,0)),"")</f>
        <v/>
      </c>
    </row>
    <row r="2470" customFormat="false" ht="15" hidden="false" customHeight="true" outlineLevel="0" collapsed="false">
      <c r="A2470" s="7" t="s">
        <v>7150</v>
      </c>
      <c r="B2470" s="7" t="s">
        <v>6820</v>
      </c>
      <c r="C2470" s="7" t="n">
        <v>3</v>
      </c>
      <c r="D2470" s="7" t="n">
        <v>25</v>
      </c>
      <c r="E2470" s="7" t="n">
        <v>1</v>
      </c>
      <c r="F2470" s="7" t="s">
        <v>1097</v>
      </c>
      <c r="G2470" s="12" t="str">
        <f aca="false">IFERROR(INDEX('Semrush Data'!$A$1:$Z$20000,MATCH(A2470,'Semrush Data'!$A$1:$A$20000,0),MATCH("Volume",'Semrush Data'!$A$1:$Z$1,0)),"")</f>
        <v/>
      </c>
      <c r="H2470" s="7" t="str">
        <f aca="false">IFERROR(INDEX('Semrush Data'!$A$1:$Z$20000,MATCH(A2470,'Semrush Data'!$A$1:$A$20000,0),MATCH("Keyword Difficulty*",'Semrush Data'!$A$1:$Z$1,0)),"")</f>
        <v/>
      </c>
      <c r="I2470" s="13" t="str">
        <f aca="false">IFERROR(INDEX('Semrush Data'!$A$1:$Z$20000,MATCH(A2470,'Semrush Data'!$A$1:$A$20000,0),MATCH("CPC*",'Semrush Data'!$A$1:$Z$1,0)),"")</f>
        <v/>
      </c>
      <c r="J2470" s="7" t="str">
        <f aca="false">IFERROR(INDEX('Semrush Data'!$A$1:$Z$20000,MATCH(A2470,'Semrush Data'!$A$1:$A$20000,0),MATCH("Intent",'Semrush Data'!$A$1:$Z$1,0)),"")</f>
        <v/>
      </c>
    </row>
    <row r="2471" customFormat="false" ht="15" hidden="false" customHeight="true" outlineLevel="0" collapsed="false">
      <c r="A2471" s="7" t="s">
        <v>998</v>
      </c>
      <c r="B2471" s="7" t="s">
        <v>6820</v>
      </c>
      <c r="C2471" s="7" t="n">
        <v>3</v>
      </c>
      <c r="D2471" s="7" t="s">
        <v>6843</v>
      </c>
      <c r="E2471" s="7" t="n">
        <v>1</v>
      </c>
      <c r="F2471" s="7" t="s">
        <v>992</v>
      </c>
      <c r="G2471" s="12" t="str">
        <f aca="false">IFERROR(INDEX('Semrush Data'!$A$1:$Z$20000,MATCH(A2471,'Semrush Data'!$A$1:$A$20000,0),MATCH("Volume",'Semrush Data'!$A$1:$Z$1,0)),"")</f>
        <v/>
      </c>
      <c r="H2471" s="7" t="str">
        <f aca="false">IFERROR(INDEX('Semrush Data'!$A$1:$Z$20000,MATCH(A2471,'Semrush Data'!$A$1:$A$20000,0),MATCH("Keyword Difficulty*",'Semrush Data'!$A$1:$Z$1,0)),"")</f>
        <v/>
      </c>
      <c r="I2471" s="13" t="str">
        <f aca="false">IFERROR(INDEX('Semrush Data'!$A$1:$Z$20000,MATCH(A2471,'Semrush Data'!$A$1:$A$20000,0),MATCH("CPC*",'Semrush Data'!$A$1:$Z$1,0)),"")</f>
        <v/>
      </c>
      <c r="J2471" s="7" t="str">
        <f aca="false">IFERROR(INDEX('Semrush Data'!$A$1:$Z$20000,MATCH(A2471,'Semrush Data'!$A$1:$A$20000,0),MATCH("Intent",'Semrush Data'!$A$1:$Z$1,0)),"")</f>
        <v/>
      </c>
    </row>
    <row r="2472" customFormat="false" ht="15" hidden="false" customHeight="true" outlineLevel="0" collapsed="false">
      <c r="A2472" s="7" t="s">
        <v>7151</v>
      </c>
      <c r="B2472" s="7" t="s">
        <v>6820</v>
      </c>
      <c r="C2472" s="7" t="n">
        <v>3</v>
      </c>
      <c r="D2472" s="7" t="n">
        <v>25</v>
      </c>
      <c r="E2472" s="7" t="n">
        <v>1</v>
      </c>
      <c r="F2472" s="7" t="s">
        <v>1146</v>
      </c>
      <c r="G2472" s="12" t="str">
        <f aca="false">IFERROR(INDEX('Semrush Data'!$A$1:$Z$20000,MATCH(A2472,'Semrush Data'!$A$1:$A$20000,0),MATCH("Volume",'Semrush Data'!$A$1:$Z$1,0)),"")</f>
        <v/>
      </c>
      <c r="H2472" s="7" t="str">
        <f aca="false">IFERROR(INDEX('Semrush Data'!$A$1:$Z$20000,MATCH(A2472,'Semrush Data'!$A$1:$A$20000,0),MATCH("Keyword Difficulty*",'Semrush Data'!$A$1:$Z$1,0)),"")</f>
        <v/>
      </c>
      <c r="I2472" s="13" t="str">
        <f aca="false">IFERROR(INDEX('Semrush Data'!$A$1:$Z$20000,MATCH(A2472,'Semrush Data'!$A$1:$A$20000,0),MATCH("CPC*",'Semrush Data'!$A$1:$Z$1,0)),"")</f>
        <v/>
      </c>
      <c r="J2472" s="7" t="str">
        <f aca="false">IFERROR(INDEX('Semrush Data'!$A$1:$Z$20000,MATCH(A2472,'Semrush Data'!$A$1:$A$20000,0),MATCH("Intent",'Semrush Data'!$A$1:$Z$1,0)),"")</f>
        <v/>
      </c>
    </row>
    <row r="2473" customFormat="false" ht="15" hidden="false" customHeight="true" outlineLevel="0" collapsed="false">
      <c r="A2473" s="7" t="s">
        <v>7152</v>
      </c>
      <c r="B2473" s="7" t="s">
        <v>6820</v>
      </c>
      <c r="C2473" s="7" t="n">
        <v>3</v>
      </c>
      <c r="D2473" s="7" t="n">
        <v>25</v>
      </c>
      <c r="E2473" s="7" t="n">
        <v>1</v>
      </c>
      <c r="F2473" s="7" t="s">
        <v>1146</v>
      </c>
      <c r="G2473" s="12" t="str">
        <f aca="false">IFERROR(INDEX('Semrush Data'!$A$1:$Z$20000,MATCH(A2473,'Semrush Data'!$A$1:$A$20000,0),MATCH("Volume",'Semrush Data'!$A$1:$Z$1,0)),"")</f>
        <v/>
      </c>
      <c r="H2473" s="7" t="str">
        <f aca="false">IFERROR(INDEX('Semrush Data'!$A$1:$Z$20000,MATCH(A2473,'Semrush Data'!$A$1:$A$20000,0),MATCH("Keyword Difficulty*",'Semrush Data'!$A$1:$Z$1,0)),"")</f>
        <v/>
      </c>
      <c r="I2473" s="13" t="str">
        <f aca="false">IFERROR(INDEX('Semrush Data'!$A$1:$Z$20000,MATCH(A2473,'Semrush Data'!$A$1:$A$20000,0),MATCH("CPC*",'Semrush Data'!$A$1:$Z$1,0)),"")</f>
        <v/>
      </c>
      <c r="J2473" s="7" t="str">
        <f aca="false">IFERROR(INDEX('Semrush Data'!$A$1:$Z$20000,MATCH(A2473,'Semrush Data'!$A$1:$A$20000,0),MATCH("Intent",'Semrush Data'!$A$1:$Z$1,0)),"")</f>
        <v/>
      </c>
    </row>
    <row r="2474" customFormat="false" ht="15" hidden="false" customHeight="true" outlineLevel="0" collapsed="false">
      <c r="A2474" s="7" t="s">
        <v>7153</v>
      </c>
      <c r="B2474" s="7" t="s">
        <v>6820</v>
      </c>
      <c r="C2474" s="7" t="n">
        <v>3</v>
      </c>
      <c r="D2474" s="7" t="s">
        <v>6843</v>
      </c>
      <c r="E2474" s="7" t="n">
        <v>1</v>
      </c>
      <c r="F2474" s="7" t="s">
        <v>1146</v>
      </c>
      <c r="G2474" s="12" t="str">
        <f aca="false">IFERROR(INDEX('Semrush Data'!$A$1:$Z$20000,MATCH(A2474,'Semrush Data'!$A$1:$A$20000,0),MATCH("Volume",'Semrush Data'!$A$1:$Z$1,0)),"")</f>
        <v/>
      </c>
      <c r="H2474" s="7" t="str">
        <f aca="false">IFERROR(INDEX('Semrush Data'!$A$1:$Z$20000,MATCH(A2474,'Semrush Data'!$A$1:$A$20000,0),MATCH("Keyword Difficulty*",'Semrush Data'!$A$1:$Z$1,0)),"")</f>
        <v/>
      </c>
      <c r="I2474" s="13" t="str">
        <f aca="false">IFERROR(INDEX('Semrush Data'!$A$1:$Z$20000,MATCH(A2474,'Semrush Data'!$A$1:$A$20000,0),MATCH("CPC*",'Semrush Data'!$A$1:$Z$1,0)),"")</f>
        <v/>
      </c>
      <c r="J2474" s="7" t="str">
        <f aca="false">IFERROR(INDEX('Semrush Data'!$A$1:$Z$20000,MATCH(A2474,'Semrush Data'!$A$1:$A$20000,0),MATCH("Intent",'Semrush Data'!$A$1:$Z$1,0)),"")</f>
        <v/>
      </c>
    </row>
    <row r="2475" customFormat="false" ht="15" hidden="false" customHeight="true" outlineLevel="0" collapsed="false">
      <c r="A2475" s="7" t="s">
        <v>7154</v>
      </c>
      <c r="B2475" s="7" t="s">
        <v>6820</v>
      </c>
      <c r="C2475" s="7" t="n">
        <v>3</v>
      </c>
      <c r="D2475" s="7" t="n">
        <v>25</v>
      </c>
      <c r="E2475" s="7" t="n">
        <v>1</v>
      </c>
      <c r="F2475" s="7" t="s">
        <v>1146</v>
      </c>
      <c r="G2475" s="12" t="str">
        <f aca="false">IFERROR(INDEX('Semrush Data'!$A$1:$Z$20000,MATCH(A2475,'Semrush Data'!$A$1:$A$20000,0),MATCH("Volume",'Semrush Data'!$A$1:$Z$1,0)),"")</f>
        <v/>
      </c>
      <c r="H2475" s="7" t="str">
        <f aca="false">IFERROR(INDEX('Semrush Data'!$A$1:$Z$20000,MATCH(A2475,'Semrush Data'!$A$1:$A$20000,0),MATCH("Keyword Difficulty*",'Semrush Data'!$A$1:$Z$1,0)),"")</f>
        <v/>
      </c>
      <c r="I2475" s="13" t="str">
        <f aca="false">IFERROR(INDEX('Semrush Data'!$A$1:$Z$20000,MATCH(A2475,'Semrush Data'!$A$1:$A$20000,0),MATCH("CPC*",'Semrush Data'!$A$1:$Z$1,0)),"")</f>
        <v/>
      </c>
      <c r="J2475" s="7" t="str">
        <f aca="false">IFERROR(INDEX('Semrush Data'!$A$1:$Z$20000,MATCH(A2475,'Semrush Data'!$A$1:$A$20000,0),MATCH("Intent",'Semrush Data'!$A$1:$Z$1,0)),"")</f>
        <v/>
      </c>
    </row>
    <row r="2476" customFormat="false" ht="15" hidden="false" customHeight="true" outlineLevel="0" collapsed="false">
      <c r="A2476" s="7" t="s">
        <v>7155</v>
      </c>
      <c r="B2476" s="7" t="s">
        <v>6820</v>
      </c>
      <c r="C2476" s="7" t="n">
        <v>3</v>
      </c>
      <c r="D2476" s="7" t="n">
        <v>25</v>
      </c>
      <c r="E2476" s="7" t="n">
        <v>1</v>
      </c>
      <c r="F2476" s="7" t="s">
        <v>1146</v>
      </c>
      <c r="G2476" s="12" t="str">
        <f aca="false">IFERROR(INDEX('Semrush Data'!$A$1:$Z$20000,MATCH(A2476,'Semrush Data'!$A$1:$A$20000,0),MATCH("Volume",'Semrush Data'!$A$1:$Z$1,0)),"")</f>
        <v/>
      </c>
      <c r="H2476" s="7" t="str">
        <f aca="false">IFERROR(INDEX('Semrush Data'!$A$1:$Z$20000,MATCH(A2476,'Semrush Data'!$A$1:$A$20000,0),MATCH("Keyword Difficulty*",'Semrush Data'!$A$1:$Z$1,0)),"")</f>
        <v/>
      </c>
      <c r="I2476" s="13" t="str">
        <f aca="false">IFERROR(INDEX('Semrush Data'!$A$1:$Z$20000,MATCH(A2476,'Semrush Data'!$A$1:$A$20000,0),MATCH("CPC*",'Semrush Data'!$A$1:$Z$1,0)),"")</f>
        <v/>
      </c>
      <c r="J2476" s="7" t="str">
        <f aca="false">IFERROR(INDEX('Semrush Data'!$A$1:$Z$20000,MATCH(A2476,'Semrush Data'!$A$1:$A$20000,0),MATCH("Intent",'Semrush Data'!$A$1:$Z$1,0)),"")</f>
        <v/>
      </c>
    </row>
    <row r="2477" customFormat="false" ht="15" hidden="false" customHeight="true" outlineLevel="0" collapsed="false">
      <c r="A2477" s="7" t="s">
        <v>7156</v>
      </c>
      <c r="B2477" s="7" t="s">
        <v>6820</v>
      </c>
      <c r="C2477" s="7" t="n">
        <v>3</v>
      </c>
      <c r="D2477" s="7" t="n">
        <v>25</v>
      </c>
      <c r="E2477" s="7" t="n">
        <v>1</v>
      </c>
      <c r="F2477" s="7" t="s">
        <v>1146</v>
      </c>
      <c r="G2477" s="12" t="str">
        <f aca="false">IFERROR(INDEX('Semrush Data'!$A$1:$Z$20000,MATCH(A2477,'Semrush Data'!$A$1:$A$20000,0),MATCH("Volume",'Semrush Data'!$A$1:$Z$1,0)),"")</f>
        <v/>
      </c>
      <c r="H2477" s="7" t="str">
        <f aca="false">IFERROR(INDEX('Semrush Data'!$A$1:$Z$20000,MATCH(A2477,'Semrush Data'!$A$1:$A$20000,0),MATCH("Keyword Difficulty*",'Semrush Data'!$A$1:$Z$1,0)),"")</f>
        <v/>
      </c>
      <c r="I2477" s="13" t="str">
        <f aca="false">IFERROR(INDEX('Semrush Data'!$A$1:$Z$20000,MATCH(A2477,'Semrush Data'!$A$1:$A$20000,0),MATCH("CPC*",'Semrush Data'!$A$1:$Z$1,0)),"")</f>
        <v/>
      </c>
      <c r="J2477" s="7" t="str">
        <f aca="false">IFERROR(INDEX('Semrush Data'!$A$1:$Z$20000,MATCH(A2477,'Semrush Data'!$A$1:$A$20000,0),MATCH("Intent",'Semrush Data'!$A$1:$Z$1,0)),"")</f>
        <v/>
      </c>
    </row>
    <row r="2478" customFormat="false" ht="15" hidden="false" customHeight="true" outlineLevel="0" collapsed="false">
      <c r="A2478" s="7" t="s">
        <v>991</v>
      </c>
      <c r="B2478" s="7" t="s">
        <v>6820</v>
      </c>
      <c r="C2478" s="7" t="n">
        <v>3</v>
      </c>
      <c r="D2478" s="7" t="s">
        <v>6843</v>
      </c>
      <c r="E2478" s="7" t="n">
        <v>1</v>
      </c>
      <c r="F2478" s="7" t="s">
        <v>985</v>
      </c>
      <c r="G2478" s="12" t="str">
        <f aca="false">IFERROR(INDEX('Semrush Data'!$A$1:$Z$20000,MATCH(A2478,'Semrush Data'!$A$1:$A$20000,0),MATCH("Volume",'Semrush Data'!$A$1:$Z$1,0)),"")</f>
        <v/>
      </c>
      <c r="H2478" s="7" t="str">
        <f aca="false">IFERROR(INDEX('Semrush Data'!$A$1:$Z$20000,MATCH(A2478,'Semrush Data'!$A$1:$A$20000,0),MATCH("Keyword Difficulty*",'Semrush Data'!$A$1:$Z$1,0)),"")</f>
        <v/>
      </c>
      <c r="I2478" s="13" t="str">
        <f aca="false">IFERROR(INDEX('Semrush Data'!$A$1:$Z$20000,MATCH(A2478,'Semrush Data'!$A$1:$A$20000,0),MATCH("CPC*",'Semrush Data'!$A$1:$Z$1,0)),"")</f>
        <v/>
      </c>
      <c r="J2478" s="7" t="str">
        <f aca="false">IFERROR(INDEX('Semrush Data'!$A$1:$Z$20000,MATCH(A2478,'Semrush Data'!$A$1:$A$20000,0),MATCH("Intent",'Semrush Data'!$A$1:$Z$1,0)),"")</f>
        <v/>
      </c>
    </row>
    <row r="2479" customFormat="false" ht="15" hidden="false" customHeight="true" outlineLevel="0" collapsed="false">
      <c r="A2479" s="7" t="s">
        <v>1296</v>
      </c>
      <c r="B2479" s="7" t="s">
        <v>6820</v>
      </c>
      <c r="C2479" s="7" t="n">
        <v>3</v>
      </c>
      <c r="D2479" s="7" t="s">
        <v>6843</v>
      </c>
      <c r="E2479" s="7" t="n">
        <v>1</v>
      </c>
      <c r="F2479" s="7" t="s">
        <v>1290</v>
      </c>
      <c r="G2479" s="12" t="str">
        <f aca="false">IFERROR(INDEX('Semrush Data'!$A$1:$Z$20000,MATCH(A2479,'Semrush Data'!$A$1:$A$20000,0),MATCH("Volume",'Semrush Data'!$A$1:$Z$1,0)),"")</f>
        <v/>
      </c>
      <c r="H2479" s="7" t="str">
        <f aca="false">IFERROR(INDEX('Semrush Data'!$A$1:$Z$20000,MATCH(A2479,'Semrush Data'!$A$1:$A$20000,0),MATCH("Keyword Difficulty*",'Semrush Data'!$A$1:$Z$1,0)),"")</f>
        <v/>
      </c>
      <c r="I2479" s="13" t="str">
        <f aca="false">IFERROR(INDEX('Semrush Data'!$A$1:$Z$20000,MATCH(A2479,'Semrush Data'!$A$1:$A$20000,0),MATCH("CPC*",'Semrush Data'!$A$1:$Z$1,0)),"")</f>
        <v/>
      </c>
      <c r="J2479" s="7" t="str">
        <f aca="false">IFERROR(INDEX('Semrush Data'!$A$1:$Z$20000,MATCH(A2479,'Semrush Data'!$A$1:$A$20000,0),MATCH("Intent",'Semrush Data'!$A$1:$Z$1,0)),"")</f>
        <v/>
      </c>
    </row>
    <row r="2480" customFormat="false" ht="15" hidden="false" customHeight="true" outlineLevel="0" collapsed="false">
      <c r="A2480" s="7" t="s">
        <v>7157</v>
      </c>
      <c r="B2480" s="7" t="s">
        <v>6820</v>
      </c>
      <c r="C2480" s="7" t="n">
        <v>3</v>
      </c>
      <c r="D2480" s="7" t="n">
        <v>25</v>
      </c>
      <c r="E2480" s="7" t="n">
        <v>1</v>
      </c>
      <c r="F2480" s="7" t="s">
        <v>1104</v>
      </c>
      <c r="G2480" s="12" t="str">
        <f aca="false">IFERROR(INDEX('Semrush Data'!$A$1:$Z$20000,MATCH(A2480,'Semrush Data'!$A$1:$A$20000,0),MATCH("Volume",'Semrush Data'!$A$1:$Z$1,0)),"")</f>
        <v/>
      </c>
      <c r="H2480" s="7" t="str">
        <f aca="false">IFERROR(INDEX('Semrush Data'!$A$1:$Z$20000,MATCH(A2480,'Semrush Data'!$A$1:$A$20000,0),MATCH("Keyword Difficulty*",'Semrush Data'!$A$1:$Z$1,0)),"")</f>
        <v/>
      </c>
      <c r="I2480" s="13" t="str">
        <f aca="false">IFERROR(INDEX('Semrush Data'!$A$1:$Z$20000,MATCH(A2480,'Semrush Data'!$A$1:$A$20000,0),MATCH("CPC*",'Semrush Data'!$A$1:$Z$1,0)),"")</f>
        <v/>
      </c>
      <c r="J2480" s="7" t="str">
        <f aca="false">IFERROR(INDEX('Semrush Data'!$A$1:$Z$20000,MATCH(A2480,'Semrush Data'!$A$1:$A$20000,0),MATCH("Intent",'Semrush Data'!$A$1:$Z$1,0)),"")</f>
        <v/>
      </c>
    </row>
    <row r="2481" customFormat="false" ht="15" hidden="false" customHeight="true" outlineLevel="0" collapsed="false">
      <c r="A2481" s="7" t="s">
        <v>7158</v>
      </c>
      <c r="B2481" s="7" t="s">
        <v>6820</v>
      </c>
      <c r="C2481" s="7" t="n">
        <v>3</v>
      </c>
      <c r="D2481" s="7" t="n">
        <v>25</v>
      </c>
      <c r="E2481" s="7" t="n">
        <v>1</v>
      </c>
      <c r="F2481" s="7" t="s">
        <v>1104</v>
      </c>
      <c r="G2481" s="12" t="str">
        <f aca="false">IFERROR(INDEX('Semrush Data'!$A$1:$Z$20000,MATCH(A2481,'Semrush Data'!$A$1:$A$20000,0),MATCH("Volume",'Semrush Data'!$A$1:$Z$1,0)),"")</f>
        <v/>
      </c>
      <c r="H2481" s="7" t="str">
        <f aca="false">IFERROR(INDEX('Semrush Data'!$A$1:$Z$20000,MATCH(A2481,'Semrush Data'!$A$1:$A$20000,0),MATCH("Keyword Difficulty*",'Semrush Data'!$A$1:$Z$1,0)),"")</f>
        <v/>
      </c>
      <c r="I2481" s="13" t="str">
        <f aca="false">IFERROR(INDEX('Semrush Data'!$A$1:$Z$20000,MATCH(A2481,'Semrush Data'!$A$1:$A$20000,0),MATCH("CPC*",'Semrush Data'!$A$1:$Z$1,0)),"")</f>
        <v/>
      </c>
      <c r="J2481" s="7" t="str">
        <f aca="false">IFERROR(INDEX('Semrush Data'!$A$1:$Z$20000,MATCH(A2481,'Semrush Data'!$A$1:$A$20000,0),MATCH("Intent",'Semrush Data'!$A$1:$Z$1,0)),"")</f>
        <v/>
      </c>
    </row>
    <row r="2482" customFormat="false" ht="15" hidden="false" customHeight="true" outlineLevel="0" collapsed="false">
      <c r="A2482" s="7" t="s">
        <v>7159</v>
      </c>
      <c r="B2482" s="7" t="s">
        <v>6820</v>
      </c>
      <c r="C2482" s="7" t="n">
        <v>3</v>
      </c>
      <c r="D2482" s="7" t="n">
        <v>25</v>
      </c>
      <c r="E2482" s="7" t="n">
        <v>1</v>
      </c>
      <c r="F2482" s="7" t="s">
        <v>1104</v>
      </c>
      <c r="G2482" s="12" t="str">
        <f aca="false">IFERROR(INDEX('Semrush Data'!$A$1:$Z$20000,MATCH(A2482,'Semrush Data'!$A$1:$A$20000,0),MATCH("Volume",'Semrush Data'!$A$1:$Z$1,0)),"")</f>
        <v/>
      </c>
      <c r="H2482" s="7" t="str">
        <f aca="false">IFERROR(INDEX('Semrush Data'!$A$1:$Z$20000,MATCH(A2482,'Semrush Data'!$A$1:$A$20000,0),MATCH("Keyword Difficulty*",'Semrush Data'!$A$1:$Z$1,0)),"")</f>
        <v/>
      </c>
      <c r="I2482" s="13" t="str">
        <f aca="false">IFERROR(INDEX('Semrush Data'!$A$1:$Z$20000,MATCH(A2482,'Semrush Data'!$A$1:$A$20000,0),MATCH("CPC*",'Semrush Data'!$A$1:$Z$1,0)),"")</f>
        <v/>
      </c>
      <c r="J2482" s="7" t="str">
        <f aca="false">IFERROR(INDEX('Semrush Data'!$A$1:$Z$20000,MATCH(A2482,'Semrush Data'!$A$1:$A$20000,0),MATCH("Intent",'Semrush Data'!$A$1:$Z$1,0)),"")</f>
        <v/>
      </c>
    </row>
    <row r="2483" customFormat="false" ht="15" hidden="false" customHeight="true" outlineLevel="0" collapsed="false">
      <c r="A2483" s="7" t="s">
        <v>7160</v>
      </c>
      <c r="B2483" s="7" t="s">
        <v>6820</v>
      </c>
      <c r="C2483" s="7" t="n">
        <v>3</v>
      </c>
      <c r="D2483" s="7" t="s">
        <v>6843</v>
      </c>
      <c r="E2483" s="7" t="n">
        <v>1</v>
      </c>
      <c r="F2483" s="7" t="s">
        <v>1104</v>
      </c>
      <c r="G2483" s="12" t="str">
        <f aca="false">IFERROR(INDEX('Semrush Data'!$A$1:$Z$20000,MATCH(A2483,'Semrush Data'!$A$1:$A$20000,0),MATCH("Volume",'Semrush Data'!$A$1:$Z$1,0)),"")</f>
        <v/>
      </c>
      <c r="H2483" s="7" t="str">
        <f aca="false">IFERROR(INDEX('Semrush Data'!$A$1:$Z$20000,MATCH(A2483,'Semrush Data'!$A$1:$A$20000,0),MATCH("Keyword Difficulty*",'Semrush Data'!$A$1:$Z$1,0)),"")</f>
        <v/>
      </c>
      <c r="I2483" s="13" t="str">
        <f aca="false">IFERROR(INDEX('Semrush Data'!$A$1:$Z$20000,MATCH(A2483,'Semrush Data'!$A$1:$A$20000,0),MATCH("CPC*",'Semrush Data'!$A$1:$Z$1,0)),"")</f>
        <v/>
      </c>
      <c r="J2483" s="7" t="str">
        <f aca="false">IFERROR(INDEX('Semrush Data'!$A$1:$Z$20000,MATCH(A2483,'Semrush Data'!$A$1:$A$20000,0),MATCH("Intent",'Semrush Data'!$A$1:$Z$1,0)),"")</f>
        <v/>
      </c>
    </row>
    <row r="2484" customFormat="false" ht="15" hidden="false" customHeight="true" outlineLevel="0" collapsed="false">
      <c r="A2484" s="7" t="s">
        <v>7161</v>
      </c>
      <c r="B2484" s="7" t="s">
        <v>6820</v>
      </c>
      <c r="C2484" s="7" t="n">
        <v>3</v>
      </c>
      <c r="D2484" s="7" t="n">
        <v>25</v>
      </c>
      <c r="E2484" s="7" t="n">
        <v>1</v>
      </c>
      <c r="F2484" s="7" t="s">
        <v>1043</v>
      </c>
      <c r="G2484" s="12" t="str">
        <f aca="false">IFERROR(INDEX('Semrush Data'!$A$1:$Z$20000,MATCH(A2484,'Semrush Data'!$A$1:$A$20000,0),MATCH("Volume",'Semrush Data'!$A$1:$Z$1,0)),"")</f>
        <v/>
      </c>
      <c r="H2484" s="7" t="str">
        <f aca="false">IFERROR(INDEX('Semrush Data'!$A$1:$Z$20000,MATCH(A2484,'Semrush Data'!$A$1:$A$20000,0),MATCH("Keyword Difficulty*",'Semrush Data'!$A$1:$Z$1,0)),"")</f>
        <v/>
      </c>
      <c r="I2484" s="13" t="str">
        <f aca="false">IFERROR(INDEX('Semrush Data'!$A$1:$Z$20000,MATCH(A2484,'Semrush Data'!$A$1:$A$20000,0),MATCH("CPC*",'Semrush Data'!$A$1:$Z$1,0)),"")</f>
        <v/>
      </c>
      <c r="J2484" s="7" t="str">
        <f aca="false">IFERROR(INDEX('Semrush Data'!$A$1:$Z$20000,MATCH(A2484,'Semrush Data'!$A$1:$A$20000,0),MATCH("Intent",'Semrush Data'!$A$1:$Z$1,0)),"")</f>
        <v/>
      </c>
    </row>
    <row r="2485" customFormat="false" ht="15" hidden="false" customHeight="true" outlineLevel="0" collapsed="false">
      <c r="A2485" s="7" t="s">
        <v>7162</v>
      </c>
      <c r="B2485" s="7" t="s">
        <v>6820</v>
      </c>
      <c r="C2485" s="7" t="n">
        <v>3</v>
      </c>
      <c r="D2485" s="7" t="n">
        <v>25</v>
      </c>
      <c r="E2485" s="7" t="n">
        <v>1</v>
      </c>
      <c r="F2485" s="7" t="s">
        <v>1043</v>
      </c>
      <c r="G2485" s="12" t="str">
        <f aca="false">IFERROR(INDEX('Semrush Data'!$A$1:$Z$20000,MATCH(A2485,'Semrush Data'!$A$1:$A$20000,0),MATCH("Volume",'Semrush Data'!$A$1:$Z$1,0)),"")</f>
        <v/>
      </c>
      <c r="H2485" s="7" t="str">
        <f aca="false">IFERROR(INDEX('Semrush Data'!$A$1:$Z$20000,MATCH(A2485,'Semrush Data'!$A$1:$A$20000,0),MATCH("Keyword Difficulty*",'Semrush Data'!$A$1:$Z$1,0)),"")</f>
        <v/>
      </c>
      <c r="I2485" s="13" t="str">
        <f aca="false">IFERROR(INDEX('Semrush Data'!$A$1:$Z$20000,MATCH(A2485,'Semrush Data'!$A$1:$A$20000,0),MATCH("CPC*",'Semrush Data'!$A$1:$Z$1,0)),"")</f>
        <v/>
      </c>
      <c r="J2485" s="7" t="str">
        <f aca="false">IFERROR(INDEX('Semrush Data'!$A$1:$Z$20000,MATCH(A2485,'Semrush Data'!$A$1:$A$20000,0),MATCH("Intent",'Semrush Data'!$A$1:$Z$1,0)),"")</f>
        <v/>
      </c>
    </row>
    <row r="2486" customFormat="false" ht="15" hidden="false" customHeight="true" outlineLevel="0" collapsed="false">
      <c r="A2486" s="7" t="s">
        <v>7163</v>
      </c>
      <c r="B2486" s="7" t="s">
        <v>6820</v>
      </c>
      <c r="C2486" s="7" t="n">
        <v>3</v>
      </c>
      <c r="D2486" s="7" t="n">
        <v>25</v>
      </c>
      <c r="E2486" s="7" t="n">
        <v>1</v>
      </c>
      <c r="F2486" s="7" t="s">
        <v>1043</v>
      </c>
      <c r="G2486" s="12" t="str">
        <f aca="false">IFERROR(INDEX('Semrush Data'!$A$1:$Z$20000,MATCH(A2486,'Semrush Data'!$A$1:$A$20000,0),MATCH("Volume",'Semrush Data'!$A$1:$Z$1,0)),"")</f>
        <v/>
      </c>
      <c r="H2486" s="7" t="str">
        <f aca="false">IFERROR(INDEX('Semrush Data'!$A$1:$Z$20000,MATCH(A2486,'Semrush Data'!$A$1:$A$20000,0),MATCH("Keyword Difficulty*",'Semrush Data'!$A$1:$Z$1,0)),"")</f>
        <v/>
      </c>
      <c r="I2486" s="13" t="str">
        <f aca="false">IFERROR(INDEX('Semrush Data'!$A$1:$Z$20000,MATCH(A2486,'Semrush Data'!$A$1:$A$20000,0),MATCH("CPC*",'Semrush Data'!$A$1:$Z$1,0)),"")</f>
        <v/>
      </c>
      <c r="J2486" s="7" t="str">
        <f aca="false">IFERROR(INDEX('Semrush Data'!$A$1:$Z$20000,MATCH(A2486,'Semrush Data'!$A$1:$A$20000,0),MATCH("Intent",'Semrush Data'!$A$1:$Z$1,0)),"")</f>
        <v/>
      </c>
    </row>
    <row r="2487" customFormat="false" ht="15" hidden="false" customHeight="true" outlineLevel="0" collapsed="false">
      <c r="A2487" s="7" t="s">
        <v>7164</v>
      </c>
      <c r="B2487" s="7" t="s">
        <v>6820</v>
      </c>
      <c r="C2487" s="7" t="n">
        <v>3</v>
      </c>
      <c r="D2487" s="7" t="n">
        <v>25</v>
      </c>
      <c r="E2487" s="7" t="n">
        <v>1</v>
      </c>
      <c r="F2487" s="7" t="s">
        <v>1043</v>
      </c>
      <c r="G2487" s="12" t="str">
        <f aca="false">IFERROR(INDEX('Semrush Data'!$A$1:$Z$20000,MATCH(A2487,'Semrush Data'!$A$1:$A$20000,0),MATCH("Volume",'Semrush Data'!$A$1:$Z$1,0)),"")</f>
        <v/>
      </c>
      <c r="H2487" s="7" t="str">
        <f aca="false">IFERROR(INDEX('Semrush Data'!$A$1:$Z$20000,MATCH(A2487,'Semrush Data'!$A$1:$A$20000,0),MATCH("Keyword Difficulty*",'Semrush Data'!$A$1:$Z$1,0)),"")</f>
        <v/>
      </c>
      <c r="I2487" s="13" t="str">
        <f aca="false">IFERROR(INDEX('Semrush Data'!$A$1:$Z$20000,MATCH(A2487,'Semrush Data'!$A$1:$A$20000,0),MATCH("CPC*",'Semrush Data'!$A$1:$Z$1,0)),"")</f>
        <v/>
      </c>
      <c r="J2487" s="7" t="str">
        <f aca="false">IFERROR(INDEX('Semrush Data'!$A$1:$Z$20000,MATCH(A2487,'Semrush Data'!$A$1:$A$20000,0),MATCH("Intent",'Semrush Data'!$A$1:$Z$1,0)),"")</f>
        <v/>
      </c>
    </row>
    <row r="2488" customFormat="false" ht="15" hidden="false" customHeight="true" outlineLevel="0" collapsed="false">
      <c r="A2488" s="7" t="s">
        <v>7165</v>
      </c>
      <c r="B2488" s="7" t="s">
        <v>6820</v>
      </c>
      <c r="C2488" s="7" t="n">
        <v>3</v>
      </c>
      <c r="D2488" s="7" t="s">
        <v>6843</v>
      </c>
      <c r="E2488" s="7" t="n">
        <v>1</v>
      </c>
      <c r="F2488" s="7" t="s">
        <v>1043</v>
      </c>
      <c r="G2488" s="12" t="str">
        <f aca="false">IFERROR(INDEX('Semrush Data'!$A$1:$Z$20000,MATCH(A2488,'Semrush Data'!$A$1:$A$20000,0),MATCH("Volume",'Semrush Data'!$A$1:$Z$1,0)),"")</f>
        <v/>
      </c>
      <c r="H2488" s="7" t="str">
        <f aca="false">IFERROR(INDEX('Semrush Data'!$A$1:$Z$20000,MATCH(A2488,'Semrush Data'!$A$1:$A$20000,0),MATCH("Keyword Difficulty*",'Semrush Data'!$A$1:$Z$1,0)),"")</f>
        <v/>
      </c>
      <c r="I2488" s="13" t="str">
        <f aca="false">IFERROR(INDEX('Semrush Data'!$A$1:$Z$20000,MATCH(A2488,'Semrush Data'!$A$1:$A$20000,0),MATCH("CPC*",'Semrush Data'!$A$1:$Z$1,0)),"")</f>
        <v/>
      </c>
      <c r="J2488" s="7" t="str">
        <f aca="false">IFERROR(INDEX('Semrush Data'!$A$1:$Z$20000,MATCH(A2488,'Semrush Data'!$A$1:$A$20000,0),MATCH("Intent",'Semrush Data'!$A$1:$Z$1,0)),"")</f>
        <v/>
      </c>
    </row>
    <row r="2489" customFormat="false" ht="15" hidden="false" customHeight="true" outlineLevel="0" collapsed="false">
      <c r="A2489" s="7" t="s">
        <v>7166</v>
      </c>
      <c r="B2489" s="7" t="s">
        <v>6820</v>
      </c>
      <c r="C2489" s="7" t="n">
        <v>3</v>
      </c>
      <c r="D2489" s="7" t="n">
        <v>25</v>
      </c>
      <c r="E2489" s="7" t="n">
        <v>1</v>
      </c>
      <c r="F2489" s="7" t="s">
        <v>1006</v>
      </c>
      <c r="G2489" s="12" t="str">
        <f aca="false">IFERROR(INDEX('Semrush Data'!$A$1:$Z$20000,MATCH(A2489,'Semrush Data'!$A$1:$A$20000,0),MATCH("Volume",'Semrush Data'!$A$1:$Z$1,0)),"")</f>
        <v/>
      </c>
      <c r="H2489" s="7" t="str">
        <f aca="false">IFERROR(INDEX('Semrush Data'!$A$1:$Z$20000,MATCH(A2489,'Semrush Data'!$A$1:$A$20000,0),MATCH("Keyword Difficulty*",'Semrush Data'!$A$1:$Z$1,0)),"")</f>
        <v/>
      </c>
      <c r="I2489" s="13" t="str">
        <f aca="false">IFERROR(INDEX('Semrush Data'!$A$1:$Z$20000,MATCH(A2489,'Semrush Data'!$A$1:$A$20000,0),MATCH("CPC*",'Semrush Data'!$A$1:$Z$1,0)),"")</f>
        <v/>
      </c>
      <c r="J2489" s="7" t="str">
        <f aca="false">IFERROR(INDEX('Semrush Data'!$A$1:$Z$20000,MATCH(A2489,'Semrush Data'!$A$1:$A$20000,0),MATCH("Intent",'Semrush Data'!$A$1:$Z$1,0)),"")</f>
        <v/>
      </c>
    </row>
    <row r="2490" customFormat="false" ht="15" hidden="false" customHeight="true" outlineLevel="0" collapsed="false">
      <c r="A2490" s="7" t="s">
        <v>7167</v>
      </c>
      <c r="B2490" s="7" t="s">
        <v>6820</v>
      </c>
      <c r="C2490" s="7" t="n">
        <v>3</v>
      </c>
      <c r="D2490" s="7" t="s">
        <v>6843</v>
      </c>
      <c r="E2490" s="7" t="n">
        <v>1</v>
      </c>
      <c r="F2490" s="7" t="s">
        <v>1006</v>
      </c>
      <c r="G2490" s="12" t="str">
        <f aca="false">IFERROR(INDEX('Semrush Data'!$A$1:$Z$20000,MATCH(A2490,'Semrush Data'!$A$1:$A$20000,0),MATCH("Volume",'Semrush Data'!$A$1:$Z$1,0)),"")</f>
        <v/>
      </c>
      <c r="H2490" s="7" t="str">
        <f aca="false">IFERROR(INDEX('Semrush Data'!$A$1:$Z$20000,MATCH(A2490,'Semrush Data'!$A$1:$A$20000,0),MATCH("Keyword Difficulty*",'Semrush Data'!$A$1:$Z$1,0)),"")</f>
        <v/>
      </c>
      <c r="I2490" s="13" t="str">
        <f aca="false">IFERROR(INDEX('Semrush Data'!$A$1:$Z$20000,MATCH(A2490,'Semrush Data'!$A$1:$A$20000,0),MATCH("CPC*",'Semrush Data'!$A$1:$Z$1,0)),"")</f>
        <v/>
      </c>
      <c r="J2490" s="7" t="str">
        <f aca="false">IFERROR(INDEX('Semrush Data'!$A$1:$Z$20000,MATCH(A2490,'Semrush Data'!$A$1:$A$20000,0),MATCH("Intent",'Semrush Data'!$A$1:$Z$1,0)),"")</f>
        <v/>
      </c>
    </row>
    <row r="2491" customFormat="false" ht="15" hidden="false" customHeight="true" outlineLevel="0" collapsed="false">
      <c r="A2491" s="7" t="s">
        <v>953</v>
      </c>
      <c r="B2491" s="7" t="s">
        <v>6820</v>
      </c>
      <c r="C2491" s="7" t="n">
        <v>3</v>
      </c>
      <c r="D2491" s="7" t="s">
        <v>6843</v>
      </c>
      <c r="E2491" s="7" t="n">
        <v>1</v>
      </c>
      <c r="F2491" s="7" t="s">
        <v>946</v>
      </c>
      <c r="G2491" s="12" t="str">
        <f aca="false">IFERROR(INDEX('Semrush Data'!$A$1:$Z$20000,MATCH(A2491,'Semrush Data'!$A$1:$A$20000,0),MATCH("Volume",'Semrush Data'!$A$1:$Z$1,0)),"")</f>
        <v/>
      </c>
      <c r="H2491" s="7" t="str">
        <f aca="false">IFERROR(INDEX('Semrush Data'!$A$1:$Z$20000,MATCH(A2491,'Semrush Data'!$A$1:$A$20000,0),MATCH("Keyword Difficulty*",'Semrush Data'!$A$1:$Z$1,0)),"")</f>
        <v/>
      </c>
      <c r="I2491" s="13" t="str">
        <f aca="false">IFERROR(INDEX('Semrush Data'!$A$1:$Z$20000,MATCH(A2491,'Semrush Data'!$A$1:$A$20000,0),MATCH("CPC*",'Semrush Data'!$A$1:$Z$1,0)),"")</f>
        <v/>
      </c>
      <c r="J2491" s="7" t="str">
        <f aca="false">IFERROR(INDEX('Semrush Data'!$A$1:$Z$20000,MATCH(A2491,'Semrush Data'!$A$1:$A$20000,0),MATCH("Intent",'Semrush Data'!$A$1:$Z$1,0)),"")</f>
        <v/>
      </c>
    </row>
    <row r="2492" customFormat="false" ht="15" hidden="false" customHeight="true" outlineLevel="0" collapsed="false">
      <c r="A2492" s="7" t="s">
        <v>7168</v>
      </c>
      <c r="B2492" s="7" t="s">
        <v>6820</v>
      </c>
      <c r="C2492" s="7" t="n">
        <v>3</v>
      </c>
      <c r="D2492" s="7" t="n">
        <v>25</v>
      </c>
      <c r="E2492" s="7" t="n">
        <v>1</v>
      </c>
      <c r="F2492" s="7" t="s">
        <v>1132</v>
      </c>
      <c r="G2492" s="12" t="str">
        <f aca="false">IFERROR(INDEX('Semrush Data'!$A$1:$Z$20000,MATCH(A2492,'Semrush Data'!$A$1:$A$20000,0),MATCH("Volume",'Semrush Data'!$A$1:$Z$1,0)),"")</f>
        <v/>
      </c>
      <c r="H2492" s="7" t="str">
        <f aca="false">IFERROR(INDEX('Semrush Data'!$A$1:$Z$20000,MATCH(A2492,'Semrush Data'!$A$1:$A$20000,0),MATCH("Keyword Difficulty*",'Semrush Data'!$A$1:$Z$1,0)),"")</f>
        <v/>
      </c>
      <c r="I2492" s="13" t="str">
        <f aca="false">IFERROR(INDEX('Semrush Data'!$A$1:$Z$20000,MATCH(A2492,'Semrush Data'!$A$1:$A$20000,0),MATCH("CPC*",'Semrush Data'!$A$1:$Z$1,0)),"")</f>
        <v/>
      </c>
      <c r="J2492" s="7" t="str">
        <f aca="false">IFERROR(INDEX('Semrush Data'!$A$1:$Z$20000,MATCH(A2492,'Semrush Data'!$A$1:$A$20000,0),MATCH("Intent",'Semrush Data'!$A$1:$Z$1,0)),"")</f>
        <v/>
      </c>
    </row>
    <row r="2493" customFormat="false" ht="15" hidden="false" customHeight="true" outlineLevel="0" collapsed="false">
      <c r="A2493" s="7" t="s">
        <v>7169</v>
      </c>
      <c r="B2493" s="7" t="s">
        <v>6820</v>
      </c>
      <c r="C2493" s="7" t="n">
        <v>3</v>
      </c>
      <c r="D2493" s="7" t="n">
        <v>25</v>
      </c>
      <c r="E2493" s="7" t="n">
        <v>1</v>
      </c>
      <c r="F2493" s="7" t="s">
        <v>1132</v>
      </c>
      <c r="G2493" s="12" t="str">
        <f aca="false">IFERROR(INDEX('Semrush Data'!$A$1:$Z$20000,MATCH(A2493,'Semrush Data'!$A$1:$A$20000,0),MATCH("Volume",'Semrush Data'!$A$1:$Z$1,0)),"")</f>
        <v/>
      </c>
      <c r="H2493" s="7" t="str">
        <f aca="false">IFERROR(INDEX('Semrush Data'!$A$1:$Z$20000,MATCH(A2493,'Semrush Data'!$A$1:$A$20000,0),MATCH("Keyword Difficulty*",'Semrush Data'!$A$1:$Z$1,0)),"")</f>
        <v/>
      </c>
      <c r="I2493" s="13" t="str">
        <f aca="false">IFERROR(INDEX('Semrush Data'!$A$1:$Z$20000,MATCH(A2493,'Semrush Data'!$A$1:$A$20000,0),MATCH("CPC*",'Semrush Data'!$A$1:$Z$1,0)),"")</f>
        <v/>
      </c>
      <c r="J2493" s="7" t="str">
        <f aca="false">IFERROR(INDEX('Semrush Data'!$A$1:$Z$20000,MATCH(A2493,'Semrush Data'!$A$1:$A$20000,0),MATCH("Intent",'Semrush Data'!$A$1:$Z$1,0)),"")</f>
        <v/>
      </c>
    </row>
    <row r="2494" customFormat="false" ht="15" hidden="false" customHeight="true" outlineLevel="0" collapsed="false">
      <c r="A2494" s="7" t="s">
        <v>7170</v>
      </c>
      <c r="B2494" s="7" t="s">
        <v>6820</v>
      </c>
      <c r="C2494" s="7" t="n">
        <v>3</v>
      </c>
      <c r="D2494" s="7" t="n">
        <v>25</v>
      </c>
      <c r="E2494" s="7" t="n">
        <v>1</v>
      </c>
      <c r="F2494" s="7" t="s">
        <v>1132</v>
      </c>
      <c r="G2494" s="12" t="str">
        <f aca="false">IFERROR(INDEX('Semrush Data'!$A$1:$Z$20000,MATCH(A2494,'Semrush Data'!$A$1:$A$20000,0),MATCH("Volume",'Semrush Data'!$A$1:$Z$1,0)),"")</f>
        <v/>
      </c>
      <c r="H2494" s="7" t="str">
        <f aca="false">IFERROR(INDEX('Semrush Data'!$A$1:$Z$20000,MATCH(A2494,'Semrush Data'!$A$1:$A$20000,0),MATCH("Keyword Difficulty*",'Semrush Data'!$A$1:$Z$1,0)),"")</f>
        <v/>
      </c>
      <c r="I2494" s="13" t="str">
        <f aca="false">IFERROR(INDEX('Semrush Data'!$A$1:$Z$20000,MATCH(A2494,'Semrush Data'!$A$1:$A$20000,0),MATCH("CPC*",'Semrush Data'!$A$1:$Z$1,0)),"")</f>
        <v/>
      </c>
      <c r="J2494" s="7" t="str">
        <f aca="false">IFERROR(INDEX('Semrush Data'!$A$1:$Z$20000,MATCH(A2494,'Semrush Data'!$A$1:$A$20000,0),MATCH("Intent",'Semrush Data'!$A$1:$Z$1,0)),"")</f>
        <v/>
      </c>
    </row>
    <row r="2495" customFormat="false" ht="15" hidden="false" customHeight="true" outlineLevel="0" collapsed="false">
      <c r="A2495" s="7" t="s">
        <v>7171</v>
      </c>
      <c r="B2495" s="7" t="s">
        <v>6820</v>
      </c>
      <c r="C2495" s="7" t="n">
        <v>3</v>
      </c>
      <c r="D2495" s="7" t="s">
        <v>6843</v>
      </c>
      <c r="E2495" s="7" t="n">
        <v>1</v>
      </c>
      <c r="F2495" s="7" t="s">
        <v>1132</v>
      </c>
      <c r="G2495" s="12" t="str">
        <f aca="false">IFERROR(INDEX('Semrush Data'!$A$1:$Z$20000,MATCH(A2495,'Semrush Data'!$A$1:$A$20000,0),MATCH("Volume",'Semrush Data'!$A$1:$Z$1,0)),"")</f>
        <v/>
      </c>
      <c r="H2495" s="7" t="str">
        <f aca="false">IFERROR(INDEX('Semrush Data'!$A$1:$Z$20000,MATCH(A2495,'Semrush Data'!$A$1:$A$20000,0),MATCH("Keyword Difficulty*",'Semrush Data'!$A$1:$Z$1,0)),"")</f>
        <v/>
      </c>
      <c r="I2495" s="13" t="str">
        <f aca="false">IFERROR(INDEX('Semrush Data'!$A$1:$Z$20000,MATCH(A2495,'Semrush Data'!$A$1:$A$20000,0),MATCH("CPC*",'Semrush Data'!$A$1:$Z$1,0)),"")</f>
        <v/>
      </c>
      <c r="J2495" s="7" t="str">
        <f aca="false">IFERROR(INDEX('Semrush Data'!$A$1:$Z$20000,MATCH(A2495,'Semrush Data'!$A$1:$A$20000,0),MATCH("Intent",'Semrush Data'!$A$1:$Z$1,0)),"")</f>
        <v/>
      </c>
    </row>
    <row r="2496" customFormat="false" ht="15" hidden="false" customHeight="true" outlineLevel="0" collapsed="false">
      <c r="A2496" s="7" t="s">
        <v>917</v>
      </c>
      <c r="B2496" s="7" t="s">
        <v>6820</v>
      </c>
      <c r="C2496" s="7" t="n">
        <v>3</v>
      </c>
      <c r="D2496" s="7" t="s">
        <v>6843</v>
      </c>
      <c r="E2496" s="7" t="n">
        <v>1</v>
      </c>
      <c r="F2496" s="7" t="s">
        <v>911</v>
      </c>
      <c r="G2496" s="12" t="str">
        <f aca="false">IFERROR(INDEX('Semrush Data'!$A$1:$Z$20000,MATCH(A2496,'Semrush Data'!$A$1:$A$20000,0),MATCH("Volume",'Semrush Data'!$A$1:$Z$1,0)),"")</f>
        <v/>
      </c>
      <c r="H2496" s="7" t="str">
        <f aca="false">IFERROR(INDEX('Semrush Data'!$A$1:$Z$20000,MATCH(A2496,'Semrush Data'!$A$1:$A$20000,0),MATCH("Keyword Difficulty*",'Semrush Data'!$A$1:$Z$1,0)),"")</f>
        <v/>
      </c>
      <c r="I2496" s="13" t="str">
        <f aca="false">IFERROR(INDEX('Semrush Data'!$A$1:$Z$20000,MATCH(A2496,'Semrush Data'!$A$1:$A$20000,0),MATCH("CPC*",'Semrush Data'!$A$1:$Z$1,0)),"")</f>
        <v/>
      </c>
      <c r="J2496" s="7" t="str">
        <f aca="false">IFERROR(INDEX('Semrush Data'!$A$1:$Z$20000,MATCH(A2496,'Semrush Data'!$A$1:$A$20000,0),MATCH("Intent",'Semrush Data'!$A$1:$Z$1,0)),"")</f>
        <v/>
      </c>
    </row>
    <row r="2497" customFormat="false" ht="15" hidden="false" customHeight="true" outlineLevel="0" collapsed="false">
      <c r="A2497" s="7" t="s">
        <v>7172</v>
      </c>
      <c r="B2497" s="7" t="s">
        <v>6820</v>
      </c>
      <c r="C2497" s="7" t="n">
        <v>3</v>
      </c>
      <c r="D2497" s="7" t="n">
        <v>25</v>
      </c>
      <c r="E2497" s="7" t="n">
        <v>1</v>
      </c>
      <c r="F2497" s="7" t="s">
        <v>1139</v>
      </c>
      <c r="G2497" s="12" t="str">
        <f aca="false">IFERROR(INDEX('Semrush Data'!$A$1:$Z$20000,MATCH(A2497,'Semrush Data'!$A$1:$A$20000,0),MATCH("Volume",'Semrush Data'!$A$1:$Z$1,0)),"")</f>
        <v/>
      </c>
      <c r="H2497" s="7" t="str">
        <f aca="false">IFERROR(INDEX('Semrush Data'!$A$1:$Z$20000,MATCH(A2497,'Semrush Data'!$A$1:$A$20000,0),MATCH("Keyword Difficulty*",'Semrush Data'!$A$1:$Z$1,0)),"")</f>
        <v/>
      </c>
      <c r="I2497" s="13" t="str">
        <f aca="false">IFERROR(INDEX('Semrush Data'!$A$1:$Z$20000,MATCH(A2497,'Semrush Data'!$A$1:$A$20000,0),MATCH("CPC*",'Semrush Data'!$A$1:$Z$1,0)),"")</f>
        <v/>
      </c>
      <c r="J2497" s="7" t="str">
        <f aca="false">IFERROR(INDEX('Semrush Data'!$A$1:$Z$20000,MATCH(A2497,'Semrush Data'!$A$1:$A$20000,0),MATCH("Intent",'Semrush Data'!$A$1:$Z$1,0)),"")</f>
        <v/>
      </c>
    </row>
    <row r="2498" customFormat="false" ht="15" hidden="false" customHeight="true" outlineLevel="0" collapsed="false">
      <c r="A2498" s="7" t="s">
        <v>7173</v>
      </c>
      <c r="B2498" s="7" t="s">
        <v>6820</v>
      </c>
      <c r="C2498" s="7" t="n">
        <v>3</v>
      </c>
      <c r="D2498" s="7" t="n">
        <v>25</v>
      </c>
      <c r="E2498" s="7" t="n">
        <v>1</v>
      </c>
      <c r="F2498" s="7" t="s">
        <v>1139</v>
      </c>
      <c r="G2498" s="12" t="str">
        <f aca="false">IFERROR(INDEX('Semrush Data'!$A$1:$Z$20000,MATCH(A2498,'Semrush Data'!$A$1:$A$20000,0),MATCH("Volume",'Semrush Data'!$A$1:$Z$1,0)),"")</f>
        <v/>
      </c>
      <c r="H2498" s="7" t="str">
        <f aca="false">IFERROR(INDEX('Semrush Data'!$A$1:$Z$20000,MATCH(A2498,'Semrush Data'!$A$1:$A$20000,0),MATCH("Keyword Difficulty*",'Semrush Data'!$A$1:$Z$1,0)),"")</f>
        <v/>
      </c>
      <c r="I2498" s="13" t="str">
        <f aca="false">IFERROR(INDEX('Semrush Data'!$A$1:$Z$20000,MATCH(A2498,'Semrush Data'!$A$1:$A$20000,0),MATCH("CPC*",'Semrush Data'!$A$1:$Z$1,0)),"")</f>
        <v/>
      </c>
      <c r="J2498" s="7" t="str">
        <f aca="false">IFERROR(INDEX('Semrush Data'!$A$1:$Z$20000,MATCH(A2498,'Semrush Data'!$A$1:$A$20000,0),MATCH("Intent",'Semrush Data'!$A$1:$Z$1,0)),"")</f>
        <v/>
      </c>
    </row>
    <row r="2499" customFormat="false" ht="15" hidden="false" customHeight="true" outlineLevel="0" collapsed="false">
      <c r="A2499" s="7" t="s">
        <v>7174</v>
      </c>
      <c r="B2499" s="7" t="s">
        <v>6820</v>
      </c>
      <c r="C2499" s="7" t="n">
        <v>3</v>
      </c>
      <c r="D2499" s="7" t="n">
        <v>25</v>
      </c>
      <c r="E2499" s="7" t="n">
        <v>1</v>
      </c>
      <c r="F2499" s="7" t="s">
        <v>1139</v>
      </c>
      <c r="G2499" s="12" t="str">
        <f aca="false">IFERROR(INDEX('Semrush Data'!$A$1:$Z$20000,MATCH(A2499,'Semrush Data'!$A$1:$A$20000,0),MATCH("Volume",'Semrush Data'!$A$1:$Z$1,0)),"")</f>
        <v/>
      </c>
      <c r="H2499" s="7" t="str">
        <f aca="false">IFERROR(INDEX('Semrush Data'!$A$1:$Z$20000,MATCH(A2499,'Semrush Data'!$A$1:$A$20000,0),MATCH("Keyword Difficulty*",'Semrush Data'!$A$1:$Z$1,0)),"")</f>
        <v/>
      </c>
      <c r="I2499" s="13" t="str">
        <f aca="false">IFERROR(INDEX('Semrush Data'!$A$1:$Z$20000,MATCH(A2499,'Semrush Data'!$A$1:$A$20000,0),MATCH("CPC*",'Semrush Data'!$A$1:$Z$1,0)),"")</f>
        <v/>
      </c>
      <c r="J2499" s="7" t="str">
        <f aca="false">IFERROR(INDEX('Semrush Data'!$A$1:$Z$20000,MATCH(A2499,'Semrush Data'!$A$1:$A$20000,0),MATCH("Intent",'Semrush Data'!$A$1:$Z$1,0)),"")</f>
        <v/>
      </c>
    </row>
    <row r="2500" customFormat="false" ht="15" hidden="false" customHeight="true" outlineLevel="0" collapsed="false">
      <c r="A2500" s="7" t="s">
        <v>7175</v>
      </c>
      <c r="B2500" s="7" t="s">
        <v>6820</v>
      </c>
      <c r="C2500" s="7" t="n">
        <v>3</v>
      </c>
      <c r="D2500" s="7" t="s">
        <v>6843</v>
      </c>
      <c r="E2500" s="7" t="n">
        <v>1</v>
      </c>
      <c r="F2500" s="7" t="s">
        <v>1139</v>
      </c>
      <c r="G2500" s="12" t="str">
        <f aca="false">IFERROR(INDEX('Semrush Data'!$A$1:$Z$20000,MATCH(A2500,'Semrush Data'!$A$1:$A$20000,0),MATCH("Volume",'Semrush Data'!$A$1:$Z$1,0)),"")</f>
        <v/>
      </c>
      <c r="H2500" s="7" t="str">
        <f aca="false">IFERROR(INDEX('Semrush Data'!$A$1:$Z$20000,MATCH(A2500,'Semrush Data'!$A$1:$A$20000,0),MATCH("Keyword Difficulty*",'Semrush Data'!$A$1:$Z$1,0)),"")</f>
        <v/>
      </c>
      <c r="I2500" s="13" t="str">
        <f aca="false">IFERROR(INDEX('Semrush Data'!$A$1:$Z$20000,MATCH(A2500,'Semrush Data'!$A$1:$A$20000,0),MATCH("CPC*",'Semrush Data'!$A$1:$Z$1,0)),"")</f>
        <v/>
      </c>
      <c r="J2500" s="7" t="str">
        <f aca="false">IFERROR(INDEX('Semrush Data'!$A$1:$Z$20000,MATCH(A2500,'Semrush Data'!$A$1:$A$20000,0),MATCH("Intent",'Semrush Data'!$A$1:$Z$1,0)),"")</f>
        <v/>
      </c>
    </row>
    <row r="2501" customFormat="false" ht="15" hidden="false" customHeight="true" outlineLevel="0" collapsed="false">
      <c r="A2501" s="7" t="s">
        <v>7176</v>
      </c>
      <c r="B2501" s="7" t="s">
        <v>6820</v>
      </c>
      <c r="C2501" s="7" t="n">
        <v>3</v>
      </c>
      <c r="D2501" s="7" t="n">
        <v>25</v>
      </c>
      <c r="E2501" s="7" t="n">
        <v>1</v>
      </c>
      <c r="F2501" s="7" t="s">
        <v>999</v>
      </c>
      <c r="G2501" s="12" t="str">
        <f aca="false">IFERROR(INDEX('Semrush Data'!$A$1:$Z$20000,MATCH(A2501,'Semrush Data'!$A$1:$A$20000,0),MATCH("Volume",'Semrush Data'!$A$1:$Z$1,0)),"")</f>
        <v/>
      </c>
      <c r="H2501" s="7" t="str">
        <f aca="false">IFERROR(INDEX('Semrush Data'!$A$1:$Z$20000,MATCH(A2501,'Semrush Data'!$A$1:$A$20000,0),MATCH("Keyword Difficulty*",'Semrush Data'!$A$1:$Z$1,0)),"")</f>
        <v/>
      </c>
      <c r="I2501" s="13" t="str">
        <f aca="false">IFERROR(INDEX('Semrush Data'!$A$1:$Z$20000,MATCH(A2501,'Semrush Data'!$A$1:$A$20000,0),MATCH("CPC*",'Semrush Data'!$A$1:$Z$1,0)),"")</f>
        <v/>
      </c>
      <c r="J2501" s="7" t="str">
        <f aca="false">IFERROR(INDEX('Semrush Data'!$A$1:$Z$20000,MATCH(A2501,'Semrush Data'!$A$1:$A$20000,0),MATCH("Intent",'Semrush Data'!$A$1:$Z$1,0)),"")</f>
        <v/>
      </c>
    </row>
    <row r="2502" customFormat="false" ht="15" hidden="false" customHeight="true" outlineLevel="0" collapsed="false">
      <c r="A2502" s="7" t="s">
        <v>7177</v>
      </c>
      <c r="B2502" s="7" t="s">
        <v>6820</v>
      </c>
      <c r="C2502" s="7" t="n">
        <v>3</v>
      </c>
      <c r="D2502" s="7" t="n">
        <v>26</v>
      </c>
      <c r="E2502" s="7" t="n">
        <v>1</v>
      </c>
      <c r="F2502" s="7" t="s">
        <v>999</v>
      </c>
      <c r="G2502" s="12" t="str">
        <f aca="false">IFERROR(INDEX('Semrush Data'!$A$1:$Z$20000,MATCH(A2502,'Semrush Data'!$A$1:$A$20000,0),MATCH("Volume",'Semrush Data'!$A$1:$Z$1,0)),"")</f>
        <v/>
      </c>
      <c r="H2502" s="7" t="str">
        <f aca="false">IFERROR(INDEX('Semrush Data'!$A$1:$Z$20000,MATCH(A2502,'Semrush Data'!$A$1:$A$20000,0),MATCH("Keyword Difficulty*",'Semrush Data'!$A$1:$Z$1,0)),"")</f>
        <v/>
      </c>
      <c r="I2502" s="13" t="str">
        <f aca="false">IFERROR(INDEX('Semrush Data'!$A$1:$Z$20000,MATCH(A2502,'Semrush Data'!$A$1:$A$20000,0),MATCH("CPC*",'Semrush Data'!$A$1:$Z$1,0)),"")</f>
        <v/>
      </c>
      <c r="J2502" s="7" t="str">
        <f aca="false">IFERROR(INDEX('Semrush Data'!$A$1:$Z$20000,MATCH(A2502,'Semrush Data'!$A$1:$A$20000,0),MATCH("Intent",'Semrush Data'!$A$1:$Z$1,0)),"")</f>
        <v/>
      </c>
    </row>
    <row r="2503" customFormat="false" ht="15" hidden="false" customHeight="true" outlineLevel="0" collapsed="false">
      <c r="A2503" s="7" t="s">
        <v>7178</v>
      </c>
      <c r="B2503" s="7" t="s">
        <v>6820</v>
      </c>
      <c r="C2503" s="7" t="n">
        <v>3</v>
      </c>
      <c r="D2503" s="7" t="s">
        <v>6843</v>
      </c>
      <c r="E2503" s="7" t="n">
        <v>1</v>
      </c>
      <c r="F2503" s="7" t="s">
        <v>999</v>
      </c>
      <c r="G2503" s="12" t="str">
        <f aca="false">IFERROR(INDEX('Semrush Data'!$A$1:$Z$20000,MATCH(A2503,'Semrush Data'!$A$1:$A$20000,0),MATCH("Volume",'Semrush Data'!$A$1:$Z$1,0)),"")</f>
        <v/>
      </c>
      <c r="H2503" s="7" t="str">
        <f aca="false">IFERROR(INDEX('Semrush Data'!$A$1:$Z$20000,MATCH(A2503,'Semrush Data'!$A$1:$A$20000,0),MATCH("Keyword Difficulty*",'Semrush Data'!$A$1:$Z$1,0)),"")</f>
        <v/>
      </c>
      <c r="I2503" s="13" t="str">
        <f aca="false">IFERROR(INDEX('Semrush Data'!$A$1:$Z$20000,MATCH(A2503,'Semrush Data'!$A$1:$A$20000,0),MATCH("CPC*",'Semrush Data'!$A$1:$Z$1,0)),"")</f>
        <v/>
      </c>
      <c r="J2503" s="7" t="str">
        <f aca="false">IFERROR(INDEX('Semrush Data'!$A$1:$Z$20000,MATCH(A2503,'Semrush Data'!$A$1:$A$20000,0),MATCH("Intent",'Semrush Data'!$A$1:$Z$1,0)),"")</f>
        <v/>
      </c>
    </row>
    <row r="2504" customFormat="false" ht="15" hidden="false" customHeight="true" outlineLevel="0" collapsed="false">
      <c r="A2504" s="7" t="s">
        <v>7179</v>
      </c>
      <c r="B2504" s="7" t="s">
        <v>6820</v>
      </c>
      <c r="C2504" s="7" t="n">
        <v>3</v>
      </c>
      <c r="D2504" s="7" t="n">
        <v>26</v>
      </c>
      <c r="E2504" s="7" t="n">
        <v>1</v>
      </c>
      <c r="F2504" s="7" t="s">
        <v>1179</v>
      </c>
      <c r="G2504" s="12" t="str">
        <f aca="false">IFERROR(INDEX('Semrush Data'!$A$1:$Z$20000,MATCH(A2504,'Semrush Data'!$A$1:$A$20000,0),MATCH("Volume",'Semrush Data'!$A$1:$Z$1,0)),"")</f>
        <v/>
      </c>
      <c r="H2504" s="7" t="str">
        <f aca="false">IFERROR(INDEX('Semrush Data'!$A$1:$Z$20000,MATCH(A2504,'Semrush Data'!$A$1:$A$20000,0),MATCH("Keyword Difficulty*",'Semrush Data'!$A$1:$Z$1,0)),"")</f>
        <v/>
      </c>
      <c r="I2504" s="13" t="str">
        <f aca="false">IFERROR(INDEX('Semrush Data'!$A$1:$Z$20000,MATCH(A2504,'Semrush Data'!$A$1:$A$20000,0),MATCH("CPC*",'Semrush Data'!$A$1:$Z$1,0)),"")</f>
        <v/>
      </c>
      <c r="J2504" s="7" t="str">
        <f aca="false">IFERROR(INDEX('Semrush Data'!$A$1:$Z$20000,MATCH(A2504,'Semrush Data'!$A$1:$A$20000,0),MATCH("Intent",'Semrush Data'!$A$1:$Z$1,0)),"")</f>
        <v/>
      </c>
    </row>
    <row r="2505" customFormat="false" ht="15" hidden="false" customHeight="true" outlineLevel="0" collapsed="false">
      <c r="A2505" s="7" t="s">
        <v>7180</v>
      </c>
      <c r="B2505" s="7" t="s">
        <v>6820</v>
      </c>
      <c r="C2505" s="7" t="n">
        <v>3</v>
      </c>
      <c r="D2505" s="7" t="n">
        <v>26</v>
      </c>
      <c r="E2505" s="7" t="n">
        <v>1</v>
      </c>
      <c r="F2505" s="7" t="s">
        <v>1179</v>
      </c>
      <c r="G2505" s="12" t="str">
        <f aca="false">IFERROR(INDEX('Semrush Data'!$A$1:$Z$20000,MATCH(A2505,'Semrush Data'!$A$1:$A$20000,0),MATCH("Volume",'Semrush Data'!$A$1:$Z$1,0)),"")</f>
        <v/>
      </c>
      <c r="H2505" s="7" t="str">
        <f aca="false">IFERROR(INDEX('Semrush Data'!$A$1:$Z$20000,MATCH(A2505,'Semrush Data'!$A$1:$A$20000,0),MATCH("Keyword Difficulty*",'Semrush Data'!$A$1:$Z$1,0)),"")</f>
        <v/>
      </c>
      <c r="I2505" s="13" t="str">
        <f aca="false">IFERROR(INDEX('Semrush Data'!$A$1:$Z$20000,MATCH(A2505,'Semrush Data'!$A$1:$A$20000,0),MATCH("CPC*",'Semrush Data'!$A$1:$Z$1,0)),"")</f>
        <v/>
      </c>
      <c r="J2505" s="7" t="str">
        <f aca="false">IFERROR(INDEX('Semrush Data'!$A$1:$Z$20000,MATCH(A2505,'Semrush Data'!$A$1:$A$20000,0),MATCH("Intent",'Semrush Data'!$A$1:$Z$1,0)),"")</f>
        <v/>
      </c>
    </row>
    <row r="2506" customFormat="false" ht="15" hidden="false" customHeight="true" outlineLevel="0" collapsed="false">
      <c r="A2506" s="7" t="s">
        <v>7181</v>
      </c>
      <c r="B2506" s="7" t="s">
        <v>6820</v>
      </c>
      <c r="C2506" s="7" t="n">
        <v>3</v>
      </c>
      <c r="D2506" s="7" t="n">
        <v>26</v>
      </c>
      <c r="E2506" s="7" t="n">
        <v>1</v>
      </c>
      <c r="F2506" s="7" t="s">
        <v>1179</v>
      </c>
      <c r="G2506" s="12" t="str">
        <f aca="false">IFERROR(INDEX('Semrush Data'!$A$1:$Z$20000,MATCH(A2506,'Semrush Data'!$A$1:$A$20000,0),MATCH("Volume",'Semrush Data'!$A$1:$Z$1,0)),"")</f>
        <v/>
      </c>
      <c r="H2506" s="7" t="str">
        <f aca="false">IFERROR(INDEX('Semrush Data'!$A$1:$Z$20000,MATCH(A2506,'Semrush Data'!$A$1:$A$20000,0),MATCH("Keyword Difficulty*",'Semrush Data'!$A$1:$Z$1,0)),"")</f>
        <v/>
      </c>
      <c r="I2506" s="13" t="str">
        <f aca="false">IFERROR(INDEX('Semrush Data'!$A$1:$Z$20000,MATCH(A2506,'Semrush Data'!$A$1:$A$20000,0),MATCH("CPC*",'Semrush Data'!$A$1:$Z$1,0)),"")</f>
        <v/>
      </c>
      <c r="J2506" s="7" t="str">
        <f aca="false">IFERROR(INDEX('Semrush Data'!$A$1:$Z$20000,MATCH(A2506,'Semrush Data'!$A$1:$A$20000,0),MATCH("Intent",'Semrush Data'!$A$1:$Z$1,0)),"")</f>
        <v/>
      </c>
    </row>
    <row r="2507" customFormat="false" ht="15" hidden="false" customHeight="true" outlineLevel="0" collapsed="false">
      <c r="A2507" s="7" t="s">
        <v>7182</v>
      </c>
      <c r="B2507" s="7" t="s">
        <v>6820</v>
      </c>
      <c r="C2507" s="7" t="n">
        <v>3</v>
      </c>
      <c r="D2507" s="7" t="n">
        <v>26</v>
      </c>
      <c r="E2507" s="7" t="n">
        <v>1</v>
      </c>
      <c r="F2507" s="7" t="s">
        <v>1179</v>
      </c>
      <c r="G2507" s="12" t="str">
        <f aca="false">IFERROR(INDEX('Semrush Data'!$A$1:$Z$20000,MATCH(A2507,'Semrush Data'!$A$1:$A$20000,0),MATCH("Volume",'Semrush Data'!$A$1:$Z$1,0)),"")</f>
        <v/>
      </c>
      <c r="H2507" s="7" t="str">
        <f aca="false">IFERROR(INDEX('Semrush Data'!$A$1:$Z$20000,MATCH(A2507,'Semrush Data'!$A$1:$A$20000,0),MATCH("Keyword Difficulty*",'Semrush Data'!$A$1:$Z$1,0)),"")</f>
        <v/>
      </c>
      <c r="I2507" s="13" t="str">
        <f aca="false">IFERROR(INDEX('Semrush Data'!$A$1:$Z$20000,MATCH(A2507,'Semrush Data'!$A$1:$A$20000,0),MATCH("CPC*",'Semrush Data'!$A$1:$Z$1,0)),"")</f>
        <v/>
      </c>
      <c r="J2507" s="7" t="str">
        <f aca="false">IFERROR(INDEX('Semrush Data'!$A$1:$Z$20000,MATCH(A2507,'Semrush Data'!$A$1:$A$20000,0),MATCH("Intent",'Semrush Data'!$A$1:$Z$1,0)),"")</f>
        <v/>
      </c>
    </row>
    <row r="2508" customFormat="false" ht="15" hidden="false" customHeight="true" outlineLevel="0" collapsed="false">
      <c r="A2508" s="7" t="s">
        <v>7183</v>
      </c>
      <c r="B2508" s="7" t="s">
        <v>6820</v>
      </c>
      <c r="C2508" s="7" t="n">
        <v>3</v>
      </c>
      <c r="D2508" s="7" t="s">
        <v>6843</v>
      </c>
      <c r="E2508" s="7" t="n">
        <v>1</v>
      </c>
      <c r="F2508" s="7" t="s">
        <v>1179</v>
      </c>
      <c r="G2508" s="12" t="str">
        <f aca="false">IFERROR(INDEX('Semrush Data'!$A$1:$Z$20000,MATCH(A2508,'Semrush Data'!$A$1:$A$20000,0),MATCH("Volume",'Semrush Data'!$A$1:$Z$1,0)),"")</f>
        <v/>
      </c>
      <c r="H2508" s="7" t="str">
        <f aca="false">IFERROR(INDEX('Semrush Data'!$A$1:$Z$20000,MATCH(A2508,'Semrush Data'!$A$1:$A$20000,0),MATCH("Keyword Difficulty*",'Semrush Data'!$A$1:$Z$1,0)),"")</f>
        <v/>
      </c>
      <c r="I2508" s="13" t="str">
        <f aca="false">IFERROR(INDEX('Semrush Data'!$A$1:$Z$20000,MATCH(A2508,'Semrush Data'!$A$1:$A$20000,0),MATCH("CPC*",'Semrush Data'!$A$1:$Z$1,0)),"")</f>
        <v/>
      </c>
      <c r="J2508" s="7" t="str">
        <f aca="false">IFERROR(INDEX('Semrush Data'!$A$1:$Z$20000,MATCH(A2508,'Semrush Data'!$A$1:$A$20000,0),MATCH("Intent",'Semrush Data'!$A$1:$Z$1,0)),"")</f>
        <v/>
      </c>
    </row>
    <row r="2509" customFormat="false" ht="15" hidden="false" customHeight="true" outlineLevel="0" collapsed="false">
      <c r="A2509" s="7" t="s">
        <v>7184</v>
      </c>
      <c r="B2509" s="7" t="s">
        <v>6820</v>
      </c>
      <c r="C2509" s="7" t="n">
        <v>3</v>
      </c>
      <c r="D2509" s="7" t="s">
        <v>6843</v>
      </c>
      <c r="E2509" s="7" t="n">
        <v>1</v>
      </c>
      <c r="F2509" s="7" t="s">
        <v>954</v>
      </c>
      <c r="G2509" s="12" t="str">
        <f aca="false">IFERROR(INDEX('Semrush Data'!$A$1:$Z$20000,MATCH(A2509,'Semrush Data'!$A$1:$A$20000,0),MATCH("Volume",'Semrush Data'!$A$1:$Z$1,0)),"")</f>
        <v/>
      </c>
      <c r="H2509" s="7" t="str">
        <f aca="false">IFERROR(INDEX('Semrush Data'!$A$1:$Z$20000,MATCH(A2509,'Semrush Data'!$A$1:$A$20000,0),MATCH("Keyword Difficulty*",'Semrush Data'!$A$1:$Z$1,0)),"")</f>
        <v/>
      </c>
      <c r="I2509" s="13" t="str">
        <f aca="false">IFERROR(INDEX('Semrush Data'!$A$1:$Z$20000,MATCH(A2509,'Semrush Data'!$A$1:$A$20000,0),MATCH("CPC*",'Semrush Data'!$A$1:$Z$1,0)),"")</f>
        <v/>
      </c>
      <c r="J2509" s="7" t="str">
        <f aca="false">IFERROR(INDEX('Semrush Data'!$A$1:$Z$20000,MATCH(A2509,'Semrush Data'!$A$1:$A$20000,0),MATCH("Intent",'Semrush Data'!$A$1:$Z$1,0)),"")</f>
        <v/>
      </c>
    </row>
    <row r="2510" customFormat="false" ht="15" hidden="false" customHeight="true" outlineLevel="0" collapsed="false">
      <c r="A2510" s="7" t="s">
        <v>938</v>
      </c>
      <c r="B2510" s="7" t="s">
        <v>6820</v>
      </c>
      <c r="C2510" s="7" t="n">
        <v>3</v>
      </c>
      <c r="D2510" s="7" t="s">
        <v>6843</v>
      </c>
      <c r="E2510" s="7" t="n">
        <v>1</v>
      </c>
      <c r="F2510" s="7" t="s">
        <v>932</v>
      </c>
      <c r="G2510" s="12" t="str">
        <f aca="false">IFERROR(INDEX('Semrush Data'!$A$1:$Z$20000,MATCH(A2510,'Semrush Data'!$A$1:$A$20000,0),MATCH("Volume",'Semrush Data'!$A$1:$Z$1,0)),"")</f>
        <v/>
      </c>
      <c r="H2510" s="7" t="str">
        <f aca="false">IFERROR(INDEX('Semrush Data'!$A$1:$Z$20000,MATCH(A2510,'Semrush Data'!$A$1:$A$20000,0),MATCH("Keyword Difficulty*",'Semrush Data'!$A$1:$Z$1,0)),"")</f>
        <v/>
      </c>
      <c r="I2510" s="13" t="str">
        <f aca="false">IFERROR(INDEX('Semrush Data'!$A$1:$Z$20000,MATCH(A2510,'Semrush Data'!$A$1:$A$20000,0),MATCH("CPC*",'Semrush Data'!$A$1:$Z$1,0)),"")</f>
        <v/>
      </c>
      <c r="J2510" s="7" t="str">
        <f aca="false">IFERROR(INDEX('Semrush Data'!$A$1:$Z$20000,MATCH(A2510,'Semrush Data'!$A$1:$A$20000,0),MATCH("Intent",'Semrush Data'!$A$1:$Z$1,0)),"")</f>
        <v/>
      </c>
    </row>
    <row r="2511" customFormat="false" ht="15" hidden="false" customHeight="true" outlineLevel="0" collapsed="false">
      <c r="A2511" s="7" t="s">
        <v>945</v>
      </c>
      <c r="B2511" s="7" t="s">
        <v>6820</v>
      </c>
      <c r="C2511" s="7" t="n">
        <v>3</v>
      </c>
      <c r="D2511" s="7" t="s">
        <v>6843</v>
      </c>
      <c r="E2511" s="7" t="n">
        <v>1</v>
      </c>
      <c r="F2511" s="7" t="s">
        <v>939</v>
      </c>
      <c r="G2511" s="12" t="str">
        <f aca="false">IFERROR(INDEX('Semrush Data'!$A$1:$Z$20000,MATCH(A2511,'Semrush Data'!$A$1:$A$20000,0),MATCH("Volume",'Semrush Data'!$A$1:$Z$1,0)),"")</f>
        <v/>
      </c>
      <c r="H2511" s="7" t="str">
        <f aca="false">IFERROR(INDEX('Semrush Data'!$A$1:$Z$20000,MATCH(A2511,'Semrush Data'!$A$1:$A$20000,0),MATCH("Keyword Difficulty*",'Semrush Data'!$A$1:$Z$1,0)),"")</f>
        <v/>
      </c>
      <c r="I2511" s="13" t="str">
        <f aca="false">IFERROR(INDEX('Semrush Data'!$A$1:$Z$20000,MATCH(A2511,'Semrush Data'!$A$1:$A$20000,0),MATCH("CPC*",'Semrush Data'!$A$1:$Z$1,0)),"")</f>
        <v/>
      </c>
      <c r="J2511" s="7" t="str">
        <f aca="false">IFERROR(INDEX('Semrush Data'!$A$1:$Z$20000,MATCH(A2511,'Semrush Data'!$A$1:$A$20000,0),MATCH("Intent",'Semrush Data'!$A$1:$Z$1,0)),"")</f>
        <v/>
      </c>
    </row>
    <row r="2512" customFormat="false" ht="15" hidden="false" customHeight="true" outlineLevel="0" collapsed="false">
      <c r="A2512" s="7" t="s">
        <v>7185</v>
      </c>
      <c r="B2512" s="7" t="s">
        <v>6820</v>
      </c>
      <c r="C2512" s="7" t="n">
        <v>3</v>
      </c>
      <c r="D2512" s="7" t="n">
        <v>26</v>
      </c>
      <c r="E2512" s="7" t="n">
        <v>1</v>
      </c>
      <c r="F2512" s="7" t="s">
        <v>3478</v>
      </c>
      <c r="G2512" s="12" t="str">
        <f aca="false">IFERROR(INDEX('Semrush Data'!$A$1:$Z$20000,MATCH(A2512,'Semrush Data'!$A$1:$A$20000,0),MATCH("Volume",'Semrush Data'!$A$1:$Z$1,0)),"")</f>
        <v/>
      </c>
      <c r="H2512" s="7" t="str">
        <f aca="false">IFERROR(INDEX('Semrush Data'!$A$1:$Z$20000,MATCH(A2512,'Semrush Data'!$A$1:$A$20000,0),MATCH("Keyword Difficulty*",'Semrush Data'!$A$1:$Z$1,0)),"")</f>
        <v/>
      </c>
      <c r="I2512" s="13" t="str">
        <f aca="false">IFERROR(INDEX('Semrush Data'!$A$1:$Z$20000,MATCH(A2512,'Semrush Data'!$A$1:$A$20000,0),MATCH("CPC*",'Semrush Data'!$A$1:$Z$1,0)),"")</f>
        <v/>
      </c>
      <c r="J2512" s="7" t="str">
        <f aca="false">IFERROR(INDEX('Semrush Data'!$A$1:$Z$20000,MATCH(A2512,'Semrush Data'!$A$1:$A$20000,0),MATCH("Intent",'Semrush Data'!$A$1:$Z$1,0)),"")</f>
        <v/>
      </c>
    </row>
    <row r="2513" customFormat="false" ht="15" hidden="false" customHeight="true" outlineLevel="0" collapsed="false">
      <c r="A2513" s="7" t="s">
        <v>7186</v>
      </c>
      <c r="B2513" s="7" t="s">
        <v>6820</v>
      </c>
      <c r="C2513" s="7" t="n">
        <v>3</v>
      </c>
      <c r="D2513" s="7" t="n">
        <v>26</v>
      </c>
      <c r="E2513" s="7" t="n">
        <v>1</v>
      </c>
      <c r="F2513" s="7" t="s">
        <v>3478</v>
      </c>
      <c r="G2513" s="12" t="str">
        <f aca="false">IFERROR(INDEX('Semrush Data'!$A$1:$Z$20000,MATCH(A2513,'Semrush Data'!$A$1:$A$20000,0),MATCH("Volume",'Semrush Data'!$A$1:$Z$1,0)),"")</f>
        <v/>
      </c>
      <c r="H2513" s="7" t="str">
        <f aca="false">IFERROR(INDEX('Semrush Data'!$A$1:$Z$20000,MATCH(A2513,'Semrush Data'!$A$1:$A$20000,0),MATCH("Keyword Difficulty*",'Semrush Data'!$A$1:$Z$1,0)),"")</f>
        <v/>
      </c>
      <c r="I2513" s="13" t="str">
        <f aca="false">IFERROR(INDEX('Semrush Data'!$A$1:$Z$20000,MATCH(A2513,'Semrush Data'!$A$1:$A$20000,0),MATCH("CPC*",'Semrush Data'!$A$1:$Z$1,0)),"")</f>
        <v/>
      </c>
      <c r="J2513" s="7" t="str">
        <f aca="false">IFERROR(INDEX('Semrush Data'!$A$1:$Z$20000,MATCH(A2513,'Semrush Data'!$A$1:$A$20000,0),MATCH("Intent",'Semrush Data'!$A$1:$Z$1,0)),"")</f>
        <v/>
      </c>
    </row>
    <row r="2514" customFormat="false" ht="15" hidden="false" customHeight="true" outlineLevel="0" collapsed="false">
      <c r="A2514" s="7" t="s">
        <v>7187</v>
      </c>
      <c r="B2514" s="7" t="s">
        <v>6820</v>
      </c>
      <c r="C2514" s="7" t="n">
        <v>3</v>
      </c>
      <c r="D2514" s="7" t="n">
        <v>26</v>
      </c>
      <c r="E2514" s="7" t="n">
        <v>1</v>
      </c>
      <c r="F2514" s="7" t="s">
        <v>3478</v>
      </c>
      <c r="G2514" s="12" t="str">
        <f aca="false">IFERROR(INDEX('Semrush Data'!$A$1:$Z$20000,MATCH(A2514,'Semrush Data'!$A$1:$A$20000,0),MATCH("Volume",'Semrush Data'!$A$1:$Z$1,0)),"")</f>
        <v/>
      </c>
      <c r="H2514" s="7" t="str">
        <f aca="false">IFERROR(INDEX('Semrush Data'!$A$1:$Z$20000,MATCH(A2514,'Semrush Data'!$A$1:$A$20000,0),MATCH("Keyword Difficulty*",'Semrush Data'!$A$1:$Z$1,0)),"")</f>
        <v/>
      </c>
      <c r="I2514" s="13" t="str">
        <f aca="false">IFERROR(INDEX('Semrush Data'!$A$1:$Z$20000,MATCH(A2514,'Semrush Data'!$A$1:$A$20000,0),MATCH("CPC*",'Semrush Data'!$A$1:$Z$1,0)),"")</f>
        <v/>
      </c>
      <c r="J2514" s="7" t="str">
        <f aca="false">IFERROR(INDEX('Semrush Data'!$A$1:$Z$20000,MATCH(A2514,'Semrush Data'!$A$1:$A$20000,0),MATCH("Intent",'Semrush Data'!$A$1:$Z$1,0)),"")</f>
        <v/>
      </c>
    </row>
    <row r="2515" customFormat="false" ht="15" hidden="false" customHeight="true" outlineLevel="0" collapsed="false">
      <c r="A2515" s="7" t="s">
        <v>7188</v>
      </c>
      <c r="B2515" s="7" t="s">
        <v>6820</v>
      </c>
      <c r="C2515" s="7" t="n">
        <v>3</v>
      </c>
      <c r="D2515" s="7" t="n">
        <v>26</v>
      </c>
      <c r="E2515" s="7" t="n">
        <v>1</v>
      </c>
      <c r="F2515" s="7" t="s">
        <v>3478</v>
      </c>
      <c r="G2515" s="12" t="str">
        <f aca="false">IFERROR(INDEX('Semrush Data'!$A$1:$Z$20000,MATCH(A2515,'Semrush Data'!$A$1:$A$20000,0),MATCH("Volume",'Semrush Data'!$A$1:$Z$1,0)),"")</f>
        <v/>
      </c>
      <c r="H2515" s="7" t="str">
        <f aca="false">IFERROR(INDEX('Semrush Data'!$A$1:$Z$20000,MATCH(A2515,'Semrush Data'!$A$1:$A$20000,0),MATCH("Keyword Difficulty*",'Semrush Data'!$A$1:$Z$1,0)),"")</f>
        <v/>
      </c>
      <c r="I2515" s="13" t="str">
        <f aca="false">IFERROR(INDEX('Semrush Data'!$A$1:$Z$20000,MATCH(A2515,'Semrush Data'!$A$1:$A$20000,0),MATCH("CPC*",'Semrush Data'!$A$1:$Z$1,0)),"")</f>
        <v/>
      </c>
      <c r="J2515" s="7" t="str">
        <f aca="false">IFERROR(INDEX('Semrush Data'!$A$1:$Z$20000,MATCH(A2515,'Semrush Data'!$A$1:$A$20000,0),MATCH("Intent",'Semrush Data'!$A$1:$Z$1,0)),"")</f>
        <v/>
      </c>
    </row>
    <row r="2516" customFormat="false" ht="15" hidden="false" customHeight="true" outlineLevel="0" collapsed="false">
      <c r="A2516" s="7" t="s">
        <v>7189</v>
      </c>
      <c r="B2516" s="7" t="s">
        <v>6820</v>
      </c>
      <c r="C2516" s="7" t="n">
        <v>3</v>
      </c>
      <c r="D2516" s="7" t="n">
        <v>26</v>
      </c>
      <c r="E2516" s="7" t="n">
        <v>1</v>
      </c>
      <c r="F2516" s="7" t="s">
        <v>45</v>
      </c>
      <c r="G2516" s="12" t="str">
        <f aca="false">IFERROR(INDEX('Semrush Data'!$A$1:$Z$20000,MATCH(A2516,'Semrush Data'!$A$1:$A$20000,0),MATCH("Volume",'Semrush Data'!$A$1:$Z$1,0)),"")</f>
        <v/>
      </c>
      <c r="H2516" s="7" t="str">
        <f aca="false">IFERROR(INDEX('Semrush Data'!$A$1:$Z$20000,MATCH(A2516,'Semrush Data'!$A$1:$A$20000,0),MATCH("Keyword Difficulty*",'Semrush Data'!$A$1:$Z$1,0)),"")</f>
        <v/>
      </c>
      <c r="I2516" s="13" t="str">
        <f aca="false">IFERROR(INDEX('Semrush Data'!$A$1:$Z$20000,MATCH(A2516,'Semrush Data'!$A$1:$A$20000,0),MATCH("CPC*",'Semrush Data'!$A$1:$Z$1,0)),"")</f>
        <v/>
      </c>
      <c r="J2516" s="7" t="str">
        <f aca="false">IFERROR(INDEX('Semrush Data'!$A$1:$Z$20000,MATCH(A2516,'Semrush Data'!$A$1:$A$20000,0),MATCH("Intent",'Semrush Data'!$A$1:$Z$1,0)),"")</f>
        <v/>
      </c>
    </row>
    <row r="2517" customFormat="false" ht="15" hidden="false" customHeight="true" outlineLevel="0" collapsed="false">
      <c r="A2517" s="7" t="s">
        <v>7190</v>
      </c>
      <c r="B2517" s="7" t="s">
        <v>6820</v>
      </c>
      <c r="C2517" s="7" t="n">
        <v>3</v>
      </c>
      <c r="D2517" s="7" t="n">
        <v>26</v>
      </c>
      <c r="E2517" s="7" t="n">
        <v>1</v>
      </c>
      <c r="F2517" s="7" t="s">
        <v>45</v>
      </c>
      <c r="G2517" s="12" t="str">
        <f aca="false">IFERROR(INDEX('Semrush Data'!$A$1:$Z$20000,MATCH(A2517,'Semrush Data'!$A$1:$A$20000,0),MATCH("Volume",'Semrush Data'!$A$1:$Z$1,0)),"")</f>
        <v/>
      </c>
      <c r="H2517" s="7" t="str">
        <f aca="false">IFERROR(INDEX('Semrush Data'!$A$1:$Z$20000,MATCH(A2517,'Semrush Data'!$A$1:$A$20000,0),MATCH("Keyword Difficulty*",'Semrush Data'!$A$1:$Z$1,0)),"")</f>
        <v/>
      </c>
      <c r="I2517" s="13" t="str">
        <f aca="false">IFERROR(INDEX('Semrush Data'!$A$1:$Z$20000,MATCH(A2517,'Semrush Data'!$A$1:$A$20000,0),MATCH("CPC*",'Semrush Data'!$A$1:$Z$1,0)),"")</f>
        <v/>
      </c>
      <c r="J2517" s="7" t="str">
        <f aca="false">IFERROR(INDEX('Semrush Data'!$A$1:$Z$20000,MATCH(A2517,'Semrush Data'!$A$1:$A$20000,0),MATCH("Intent",'Semrush Data'!$A$1:$Z$1,0)),"")</f>
        <v/>
      </c>
    </row>
    <row r="2518" customFormat="false" ht="15" hidden="false" customHeight="true" outlineLevel="0" collapsed="false">
      <c r="A2518" s="7" t="s">
        <v>7191</v>
      </c>
      <c r="B2518" s="7" t="s">
        <v>6820</v>
      </c>
      <c r="C2518" s="7" t="n">
        <v>3</v>
      </c>
      <c r="D2518" s="7" t="s">
        <v>6818</v>
      </c>
      <c r="E2518" s="7" t="n">
        <v>1</v>
      </c>
      <c r="F2518" s="7" t="s">
        <v>45</v>
      </c>
      <c r="G2518" s="12" t="str">
        <f aca="false">IFERROR(INDEX('Semrush Data'!$A$1:$Z$20000,MATCH(A2518,'Semrush Data'!$A$1:$A$20000,0),MATCH("Volume",'Semrush Data'!$A$1:$Z$1,0)),"")</f>
        <v/>
      </c>
      <c r="H2518" s="7" t="str">
        <f aca="false">IFERROR(INDEX('Semrush Data'!$A$1:$Z$20000,MATCH(A2518,'Semrush Data'!$A$1:$A$20000,0),MATCH("Keyword Difficulty*",'Semrush Data'!$A$1:$Z$1,0)),"")</f>
        <v/>
      </c>
      <c r="I2518" s="13" t="str">
        <f aca="false">IFERROR(INDEX('Semrush Data'!$A$1:$Z$20000,MATCH(A2518,'Semrush Data'!$A$1:$A$20000,0),MATCH("CPC*",'Semrush Data'!$A$1:$Z$1,0)),"")</f>
        <v/>
      </c>
      <c r="J2518" s="7" t="str">
        <f aca="false">IFERROR(INDEX('Semrush Data'!$A$1:$Z$20000,MATCH(A2518,'Semrush Data'!$A$1:$A$20000,0),MATCH("Intent",'Semrush Data'!$A$1:$Z$1,0)),"")</f>
        <v/>
      </c>
    </row>
    <row r="2519" customFormat="false" ht="15" hidden="false" customHeight="true" outlineLevel="0" collapsed="false">
      <c r="A2519" s="7" t="s">
        <v>7192</v>
      </c>
      <c r="B2519" s="7" t="s">
        <v>6820</v>
      </c>
      <c r="C2519" s="7" t="n">
        <v>3</v>
      </c>
      <c r="D2519" s="7" t="s">
        <v>6818</v>
      </c>
      <c r="E2519" s="7" t="n">
        <v>1</v>
      </c>
      <c r="F2519" s="7" t="s">
        <v>45</v>
      </c>
      <c r="G2519" s="12" t="str">
        <f aca="false">IFERROR(INDEX('Semrush Data'!$A$1:$Z$20000,MATCH(A2519,'Semrush Data'!$A$1:$A$20000,0),MATCH("Volume",'Semrush Data'!$A$1:$Z$1,0)),"")</f>
        <v/>
      </c>
      <c r="H2519" s="7" t="str">
        <f aca="false">IFERROR(INDEX('Semrush Data'!$A$1:$Z$20000,MATCH(A2519,'Semrush Data'!$A$1:$A$20000,0),MATCH("Keyword Difficulty*",'Semrush Data'!$A$1:$Z$1,0)),"")</f>
        <v/>
      </c>
      <c r="I2519" s="13" t="str">
        <f aca="false">IFERROR(INDEX('Semrush Data'!$A$1:$Z$20000,MATCH(A2519,'Semrush Data'!$A$1:$A$20000,0),MATCH("CPC*",'Semrush Data'!$A$1:$Z$1,0)),"")</f>
        <v/>
      </c>
      <c r="J2519" s="7" t="str">
        <f aca="false">IFERROR(INDEX('Semrush Data'!$A$1:$Z$20000,MATCH(A2519,'Semrush Data'!$A$1:$A$20000,0),MATCH("Intent",'Semrush Data'!$A$1:$Z$1,0)),"")</f>
        <v/>
      </c>
    </row>
    <row r="2520" customFormat="false" ht="15" hidden="false" customHeight="true" outlineLevel="0" collapsed="false">
      <c r="A2520" s="7" t="s">
        <v>7193</v>
      </c>
      <c r="B2520" s="7" t="s">
        <v>6820</v>
      </c>
      <c r="C2520" s="7" t="n">
        <v>3</v>
      </c>
      <c r="D2520" s="7" t="n">
        <v>26</v>
      </c>
      <c r="E2520" s="7" t="n">
        <v>1</v>
      </c>
      <c r="F2520" s="7" t="s">
        <v>3534</v>
      </c>
      <c r="G2520" s="12" t="str">
        <f aca="false">IFERROR(INDEX('Semrush Data'!$A$1:$Z$20000,MATCH(A2520,'Semrush Data'!$A$1:$A$20000,0),MATCH("Volume",'Semrush Data'!$A$1:$Z$1,0)),"")</f>
        <v/>
      </c>
      <c r="H2520" s="7" t="str">
        <f aca="false">IFERROR(INDEX('Semrush Data'!$A$1:$Z$20000,MATCH(A2520,'Semrush Data'!$A$1:$A$20000,0),MATCH("Keyword Difficulty*",'Semrush Data'!$A$1:$Z$1,0)),"")</f>
        <v/>
      </c>
      <c r="I2520" s="13" t="str">
        <f aca="false">IFERROR(INDEX('Semrush Data'!$A$1:$Z$20000,MATCH(A2520,'Semrush Data'!$A$1:$A$20000,0),MATCH("CPC*",'Semrush Data'!$A$1:$Z$1,0)),"")</f>
        <v/>
      </c>
      <c r="J2520" s="7" t="str">
        <f aca="false">IFERROR(INDEX('Semrush Data'!$A$1:$Z$20000,MATCH(A2520,'Semrush Data'!$A$1:$A$20000,0),MATCH("Intent",'Semrush Data'!$A$1:$Z$1,0)),"")</f>
        <v/>
      </c>
    </row>
    <row r="2521" customFormat="false" ht="15" hidden="false" customHeight="true" outlineLevel="0" collapsed="false">
      <c r="A2521" s="7" t="s">
        <v>7194</v>
      </c>
      <c r="B2521" s="7" t="s">
        <v>6820</v>
      </c>
      <c r="C2521" s="7" t="n">
        <v>3</v>
      </c>
      <c r="D2521" s="7" t="n">
        <v>26</v>
      </c>
      <c r="E2521" s="7" t="n">
        <v>1</v>
      </c>
      <c r="F2521" s="7" t="s">
        <v>3534</v>
      </c>
      <c r="G2521" s="12" t="str">
        <f aca="false">IFERROR(INDEX('Semrush Data'!$A$1:$Z$20000,MATCH(A2521,'Semrush Data'!$A$1:$A$20000,0),MATCH("Volume",'Semrush Data'!$A$1:$Z$1,0)),"")</f>
        <v/>
      </c>
      <c r="H2521" s="7" t="str">
        <f aca="false">IFERROR(INDEX('Semrush Data'!$A$1:$Z$20000,MATCH(A2521,'Semrush Data'!$A$1:$A$20000,0),MATCH("Keyword Difficulty*",'Semrush Data'!$A$1:$Z$1,0)),"")</f>
        <v/>
      </c>
      <c r="I2521" s="13" t="str">
        <f aca="false">IFERROR(INDEX('Semrush Data'!$A$1:$Z$20000,MATCH(A2521,'Semrush Data'!$A$1:$A$20000,0),MATCH("CPC*",'Semrush Data'!$A$1:$Z$1,0)),"")</f>
        <v/>
      </c>
      <c r="J2521" s="7" t="str">
        <f aca="false">IFERROR(INDEX('Semrush Data'!$A$1:$Z$20000,MATCH(A2521,'Semrush Data'!$A$1:$A$20000,0),MATCH("Intent",'Semrush Data'!$A$1:$Z$1,0)),"")</f>
        <v/>
      </c>
    </row>
    <row r="2522" customFormat="false" ht="15" hidden="false" customHeight="true" outlineLevel="0" collapsed="false">
      <c r="A2522" s="7" t="s">
        <v>7195</v>
      </c>
      <c r="B2522" s="7" t="s">
        <v>6820</v>
      </c>
      <c r="C2522" s="7" t="n">
        <v>3</v>
      </c>
      <c r="D2522" s="7" t="n">
        <v>26</v>
      </c>
      <c r="E2522" s="7" t="n">
        <v>1</v>
      </c>
      <c r="F2522" s="7" t="s">
        <v>3534</v>
      </c>
      <c r="G2522" s="12" t="str">
        <f aca="false">IFERROR(INDEX('Semrush Data'!$A$1:$Z$20000,MATCH(A2522,'Semrush Data'!$A$1:$A$20000,0),MATCH("Volume",'Semrush Data'!$A$1:$Z$1,0)),"")</f>
        <v/>
      </c>
      <c r="H2522" s="7" t="str">
        <f aca="false">IFERROR(INDEX('Semrush Data'!$A$1:$Z$20000,MATCH(A2522,'Semrush Data'!$A$1:$A$20000,0),MATCH("Keyword Difficulty*",'Semrush Data'!$A$1:$Z$1,0)),"")</f>
        <v/>
      </c>
      <c r="I2522" s="13" t="str">
        <f aca="false">IFERROR(INDEX('Semrush Data'!$A$1:$Z$20000,MATCH(A2522,'Semrush Data'!$A$1:$A$20000,0),MATCH("CPC*",'Semrush Data'!$A$1:$Z$1,0)),"")</f>
        <v/>
      </c>
      <c r="J2522" s="7" t="str">
        <f aca="false">IFERROR(INDEX('Semrush Data'!$A$1:$Z$20000,MATCH(A2522,'Semrush Data'!$A$1:$A$20000,0),MATCH("Intent",'Semrush Data'!$A$1:$Z$1,0)),"")</f>
        <v/>
      </c>
    </row>
    <row r="2523" customFormat="false" ht="15" hidden="false" customHeight="true" outlineLevel="0" collapsed="false">
      <c r="A2523" s="7" t="s">
        <v>7196</v>
      </c>
      <c r="B2523" s="7" t="s">
        <v>6820</v>
      </c>
      <c r="C2523" s="7" t="n">
        <v>3</v>
      </c>
      <c r="D2523" s="7" t="n">
        <v>26</v>
      </c>
      <c r="E2523" s="7" t="n">
        <v>1</v>
      </c>
      <c r="F2523" s="7" t="s">
        <v>3534</v>
      </c>
      <c r="G2523" s="12" t="str">
        <f aca="false">IFERROR(INDEX('Semrush Data'!$A$1:$Z$20000,MATCH(A2523,'Semrush Data'!$A$1:$A$20000,0),MATCH("Volume",'Semrush Data'!$A$1:$Z$1,0)),"")</f>
        <v/>
      </c>
      <c r="H2523" s="7" t="str">
        <f aca="false">IFERROR(INDEX('Semrush Data'!$A$1:$Z$20000,MATCH(A2523,'Semrush Data'!$A$1:$A$20000,0),MATCH("Keyword Difficulty*",'Semrush Data'!$A$1:$Z$1,0)),"")</f>
        <v/>
      </c>
      <c r="I2523" s="13" t="str">
        <f aca="false">IFERROR(INDEX('Semrush Data'!$A$1:$Z$20000,MATCH(A2523,'Semrush Data'!$A$1:$A$20000,0),MATCH("CPC*",'Semrush Data'!$A$1:$Z$1,0)),"")</f>
        <v/>
      </c>
      <c r="J2523" s="7" t="str">
        <f aca="false">IFERROR(INDEX('Semrush Data'!$A$1:$Z$20000,MATCH(A2523,'Semrush Data'!$A$1:$A$20000,0),MATCH("Intent",'Semrush Data'!$A$1:$Z$1,0)),"")</f>
        <v/>
      </c>
    </row>
    <row r="2524" customFormat="false" ht="15" hidden="false" customHeight="true" outlineLevel="0" collapsed="false">
      <c r="A2524" s="7" t="s">
        <v>7197</v>
      </c>
      <c r="B2524" s="7" t="s">
        <v>6820</v>
      </c>
      <c r="C2524" s="7" t="n">
        <v>3</v>
      </c>
      <c r="D2524" s="7" t="n">
        <v>26</v>
      </c>
      <c r="E2524" s="7" t="n">
        <v>1</v>
      </c>
      <c r="F2524" s="7" t="s">
        <v>3512</v>
      </c>
      <c r="G2524" s="12" t="str">
        <f aca="false">IFERROR(INDEX('Semrush Data'!$A$1:$Z$20000,MATCH(A2524,'Semrush Data'!$A$1:$A$20000,0),MATCH("Volume",'Semrush Data'!$A$1:$Z$1,0)),"")</f>
        <v/>
      </c>
      <c r="H2524" s="7" t="str">
        <f aca="false">IFERROR(INDEX('Semrush Data'!$A$1:$Z$20000,MATCH(A2524,'Semrush Data'!$A$1:$A$20000,0),MATCH("Keyword Difficulty*",'Semrush Data'!$A$1:$Z$1,0)),"")</f>
        <v/>
      </c>
      <c r="I2524" s="13" t="str">
        <f aca="false">IFERROR(INDEX('Semrush Data'!$A$1:$Z$20000,MATCH(A2524,'Semrush Data'!$A$1:$A$20000,0),MATCH("CPC*",'Semrush Data'!$A$1:$Z$1,0)),"")</f>
        <v/>
      </c>
      <c r="J2524" s="7" t="str">
        <f aca="false">IFERROR(INDEX('Semrush Data'!$A$1:$Z$20000,MATCH(A2524,'Semrush Data'!$A$1:$A$20000,0),MATCH("Intent",'Semrush Data'!$A$1:$Z$1,0)),"")</f>
        <v/>
      </c>
    </row>
    <row r="2525" customFormat="false" ht="15" hidden="false" customHeight="true" outlineLevel="0" collapsed="false">
      <c r="A2525" s="7" t="s">
        <v>7198</v>
      </c>
      <c r="B2525" s="7" t="s">
        <v>6820</v>
      </c>
      <c r="C2525" s="7" t="n">
        <v>3</v>
      </c>
      <c r="D2525" s="7" t="n">
        <v>26</v>
      </c>
      <c r="E2525" s="7" t="n">
        <v>1</v>
      </c>
      <c r="F2525" s="7" t="s">
        <v>3512</v>
      </c>
      <c r="G2525" s="12" t="str">
        <f aca="false">IFERROR(INDEX('Semrush Data'!$A$1:$Z$20000,MATCH(A2525,'Semrush Data'!$A$1:$A$20000,0),MATCH("Volume",'Semrush Data'!$A$1:$Z$1,0)),"")</f>
        <v/>
      </c>
      <c r="H2525" s="7" t="str">
        <f aca="false">IFERROR(INDEX('Semrush Data'!$A$1:$Z$20000,MATCH(A2525,'Semrush Data'!$A$1:$A$20000,0),MATCH("Keyword Difficulty*",'Semrush Data'!$A$1:$Z$1,0)),"")</f>
        <v/>
      </c>
      <c r="I2525" s="13" t="str">
        <f aca="false">IFERROR(INDEX('Semrush Data'!$A$1:$Z$20000,MATCH(A2525,'Semrush Data'!$A$1:$A$20000,0),MATCH("CPC*",'Semrush Data'!$A$1:$Z$1,0)),"")</f>
        <v/>
      </c>
      <c r="J2525" s="7" t="str">
        <f aca="false">IFERROR(INDEX('Semrush Data'!$A$1:$Z$20000,MATCH(A2525,'Semrush Data'!$A$1:$A$20000,0),MATCH("Intent",'Semrush Data'!$A$1:$Z$1,0)),"")</f>
        <v/>
      </c>
    </row>
    <row r="2526" customFormat="false" ht="15" hidden="false" customHeight="true" outlineLevel="0" collapsed="false">
      <c r="A2526" s="7" t="s">
        <v>7199</v>
      </c>
      <c r="B2526" s="7" t="s">
        <v>6820</v>
      </c>
      <c r="C2526" s="7" t="n">
        <v>3</v>
      </c>
      <c r="D2526" s="7" t="n">
        <v>26</v>
      </c>
      <c r="E2526" s="7" t="n">
        <v>1</v>
      </c>
      <c r="F2526" s="7" t="s">
        <v>3512</v>
      </c>
      <c r="G2526" s="12" t="str">
        <f aca="false">IFERROR(INDEX('Semrush Data'!$A$1:$Z$20000,MATCH(A2526,'Semrush Data'!$A$1:$A$20000,0),MATCH("Volume",'Semrush Data'!$A$1:$Z$1,0)),"")</f>
        <v/>
      </c>
      <c r="H2526" s="7" t="str">
        <f aca="false">IFERROR(INDEX('Semrush Data'!$A$1:$Z$20000,MATCH(A2526,'Semrush Data'!$A$1:$A$20000,0),MATCH("Keyword Difficulty*",'Semrush Data'!$A$1:$Z$1,0)),"")</f>
        <v/>
      </c>
      <c r="I2526" s="13" t="str">
        <f aca="false">IFERROR(INDEX('Semrush Data'!$A$1:$Z$20000,MATCH(A2526,'Semrush Data'!$A$1:$A$20000,0),MATCH("CPC*",'Semrush Data'!$A$1:$Z$1,0)),"")</f>
        <v/>
      </c>
      <c r="J2526" s="7" t="str">
        <f aca="false">IFERROR(INDEX('Semrush Data'!$A$1:$Z$20000,MATCH(A2526,'Semrush Data'!$A$1:$A$20000,0),MATCH("Intent",'Semrush Data'!$A$1:$Z$1,0)),"")</f>
        <v/>
      </c>
    </row>
    <row r="2527" customFormat="false" ht="15" hidden="false" customHeight="true" outlineLevel="0" collapsed="false">
      <c r="A2527" s="7" t="s">
        <v>7200</v>
      </c>
      <c r="B2527" s="7" t="s">
        <v>6820</v>
      </c>
      <c r="C2527" s="7" t="n">
        <v>3</v>
      </c>
      <c r="D2527" s="7" t="n">
        <v>26</v>
      </c>
      <c r="E2527" s="7" t="n">
        <v>1</v>
      </c>
      <c r="F2527" s="7" t="s">
        <v>3512</v>
      </c>
      <c r="G2527" s="12" t="str">
        <f aca="false">IFERROR(INDEX('Semrush Data'!$A$1:$Z$20000,MATCH(A2527,'Semrush Data'!$A$1:$A$20000,0),MATCH("Volume",'Semrush Data'!$A$1:$Z$1,0)),"")</f>
        <v/>
      </c>
      <c r="H2527" s="7" t="str">
        <f aca="false">IFERROR(INDEX('Semrush Data'!$A$1:$Z$20000,MATCH(A2527,'Semrush Data'!$A$1:$A$20000,0),MATCH("Keyword Difficulty*",'Semrush Data'!$A$1:$Z$1,0)),"")</f>
        <v/>
      </c>
      <c r="I2527" s="13" t="str">
        <f aca="false">IFERROR(INDEX('Semrush Data'!$A$1:$Z$20000,MATCH(A2527,'Semrush Data'!$A$1:$A$20000,0),MATCH("CPC*",'Semrush Data'!$A$1:$Z$1,0)),"")</f>
        <v/>
      </c>
      <c r="J2527" s="7" t="str">
        <f aca="false">IFERROR(INDEX('Semrush Data'!$A$1:$Z$20000,MATCH(A2527,'Semrush Data'!$A$1:$A$20000,0),MATCH("Intent",'Semrush Data'!$A$1:$Z$1,0)),"")</f>
        <v/>
      </c>
    </row>
    <row r="2528" customFormat="false" ht="15" hidden="false" customHeight="true" outlineLevel="0" collapsed="false">
      <c r="A2528" s="7" t="s">
        <v>7201</v>
      </c>
      <c r="B2528" s="7" t="s">
        <v>6820</v>
      </c>
      <c r="C2528" s="7" t="n">
        <v>3</v>
      </c>
      <c r="D2528" s="7" t="n">
        <v>26</v>
      </c>
      <c r="E2528" s="7" t="n">
        <v>1</v>
      </c>
      <c r="F2528" s="7" t="s">
        <v>3512</v>
      </c>
      <c r="G2528" s="12" t="str">
        <f aca="false">IFERROR(INDEX('Semrush Data'!$A$1:$Z$20000,MATCH(A2528,'Semrush Data'!$A$1:$A$20000,0),MATCH("Volume",'Semrush Data'!$A$1:$Z$1,0)),"")</f>
        <v/>
      </c>
      <c r="H2528" s="7" t="str">
        <f aca="false">IFERROR(INDEX('Semrush Data'!$A$1:$Z$20000,MATCH(A2528,'Semrush Data'!$A$1:$A$20000,0),MATCH("Keyword Difficulty*",'Semrush Data'!$A$1:$Z$1,0)),"")</f>
        <v/>
      </c>
      <c r="I2528" s="13" t="str">
        <f aca="false">IFERROR(INDEX('Semrush Data'!$A$1:$Z$20000,MATCH(A2528,'Semrush Data'!$A$1:$A$20000,0),MATCH("CPC*",'Semrush Data'!$A$1:$Z$1,0)),"")</f>
        <v/>
      </c>
      <c r="J2528" s="7" t="str">
        <f aca="false">IFERROR(INDEX('Semrush Data'!$A$1:$Z$20000,MATCH(A2528,'Semrush Data'!$A$1:$A$20000,0),MATCH("Intent",'Semrush Data'!$A$1:$Z$1,0)),"")</f>
        <v/>
      </c>
    </row>
    <row r="2529" customFormat="false" ht="15" hidden="false" customHeight="true" outlineLevel="0" collapsed="false">
      <c r="A2529" s="7" t="s">
        <v>7202</v>
      </c>
      <c r="B2529" s="7" t="s">
        <v>6820</v>
      </c>
      <c r="C2529" s="7" t="n">
        <v>3</v>
      </c>
      <c r="D2529" s="7" t="n">
        <v>26</v>
      </c>
      <c r="E2529" s="7" t="n">
        <v>1</v>
      </c>
      <c r="F2529" s="7" t="s">
        <v>130</v>
      </c>
      <c r="G2529" s="12" t="str">
        <f aca="false">IFERROR(INDEX('Semrush Data'!$A$1:$Z$20000,MATCH(A2529,'Semrush Data'!$A$1:$A$20000,0),MATCH("Volume",'Semrush Data'!$A$1:$Z$1,0)),"")</f>
        <v/>
      </c>
      <c r="H2529" s="7" t="str">
        <f aca="false">IFERROR(INDEX('Semrush Data'!$A$1:$Z$20000,MATCH(A2529,'Semrush Data'!$A$1:$A$20000,0),MATCH("Keyword Difficulty*",'Semrush Data'!$A$1:$Z$1,0)),"")</f>
        <v/>
      </c>
      <c r="I2529" s="13" t="str">
        <f aca="false">IFERROR(INDEX('Semrush Data'!$A$1:$Z$20000,MATCH(A2529,'Semrush Data'!$A$1:$A$20000,0),MATCH("CPC*",'Semrush Data'!$A$1:$Z$1,0)),"")</f>
        <v/>
      </c>
      <c r="J2529" s="7" t="str">
        <f aca="false">IFERROR(INDEX('Semrush Data'!$A$1:$Z$20000,MATCH(A2529,'Semrush Data'!$A$1:$A$20000,0),MATCH("Intent",'Semrush Data'!$A$1:$Z$1,0)),"")</f>
        <v/>
      </c>
    </row>
    <row r="2530" customFormat="false" ht="15" hidden="false" customHeight="true" outlineLevel="0" collapsed="false">
      <c r="A2530" s="7" t="s">
        <v>7203</v>
      </c>
      <c r="B2530" s="7" t="s">
        <v>6820</v>
      </c>
      <c r="C2530" s="7" t="n">
        <v>3</v>
      </c>
      <c r="D2530" s="7" t="n">
        <v>26</v>
      </c>
      <c r="E2530" s="7" t="n">
        <v>1</v>
      </c>
      <c r="F2530" s="7" t="s">
        <v>130</v>
      </c>
      <c r="G2530" s="12" t="str">
        <f aca="false">IFERROR(INDEX('Semrush Data'!$A$1:$Z$20000,MATCH(A2530,'Semrush Data'!$A$1:$A$20000,0),MATCH("Volume",'Semrush Data'!$A$1:$Z$1,0)),"")</f>
        <v/>
      </c>
      <c r="H2530" s="7" t="str">
        <f aca="false">IFERROR(INDEX('Semrush Data'!$A$1:$Z$20000,MATCH(A2530,'Semrush Data'!$A$1:$A$20000,0),MATCH("Keyword Difficulty*",'Semrush Data'!$A$1:$Z$1,0)),"")</f>
        <v/>
      </c>
      <c r="I2530" s="13" t="str">
        <f aca="false">IFERROR(INDEX('Semrush Data'!$A$1:$Z$20000,MATCH(A2530,'Semrush Data'!$A$1:$A$20000,0),MATCH("CPC*",'Semrush Data'!$A$1:$Z$1,0)),"")</f>
        <v/>
      </c>
      <c r="J2530" s="7" t="str">
        <f aca="false">IFERROR(INDEX('Semrush Data'!$A$1:$Z$20000,MATCH(A2530,'Semrush Data'!$A$1:$A$20000,0),MATCH("Intent",'Semrush Data'!$A$1:$Z$1,0)),"")</f>
        <v/>
      </c>
    </row>
    <row r="2531" customFormat="false" ht="15" hidden="false" customHeight="true" outlineLevel="0" collapsed="false">
      <c r="A2531" s="7" t="s">
        <v>7204</v>
      </c>
      <c r="B2531" s="7" t="s">
        <v>6820</v>
      </c>
      <c r="C2531" s="7" t="n">
        <v>3</v>
      </c>
      <c r="D2531" s="7" t="s">
        <v>6843</v>
      </c>
      <c r="E2531" s="7" t="n">
        <v>1</v>
      </c>
      <c r="F2531" s="7" t="s">
        <v>130</v>
      </c>
      <c r="G2531" s="12" t="str">
        <f aca="false">IFERROR(INDEX('Semrush Data'!$A$1:$Z$20000,MATCH(A2531,'Semrush Data'!$A$1:$A$20000,0),MATCH("Volume",'Semrush Data'!$A$1:$Z$1,0)),"")</f>
        <v/>
      </c>
      <c r="H2531" s="7" t="str">
        <f aca="false">IFERROR(INDEX('Semrush Data'!$A$1:$Z$20000,MATCH(A2531,'Semrush Data'!$A$1:$A$20000,0),MATCH("Keyword Difficulty*",'Semrush Data'!$A$1:$Z$1,0)),"")</f>
        <v/>
      </c>
      <c r="I2531" s="13" t="str">
        <f aca="false">IFERROR(INDEX('Semrush Data'!$A$1:$Z$20000,MATCH(A2531,'Semrush Data'!$A$1:$A$20000,0),MATCH("CPC*",'Semrush Data'!$A$1:$Z$1,0)),"")</f>
        <v/>
      </c>
      <c r="J2531" s="7" t="str">
        <f aca="false">IFERROR(INDEX('Semrush Data'!$A$1:$Z$20000,MATCH(A2531,'Semrush Data'!$A$1:$A$20000,0),MATCH("Intent",'Semrush Data'!$A$1:$Z$1,0)),"")</f>
        <v/>
      </c>
    </row>
    <row r="2532" customFormat="false" ht="15" hidden="false" customHeight="true" outlineLevel="0" collapsed="false">
      <c r="A2532" s="7" t="s">
        <v>7205</v>
      </c>
      <c r="B2532" s="7" t="s">
        <v>6820</v>
      </c>
      <c r="C2532" s="7" t="n">
        <v>3</v>
      </c>
      <c r="D2532" s="7" t="n">
        <v>26</v>
      </c>
      <c r="E2532" s="7" t="n">
        <v>1</v>
      </c>
      <c r="F2532" s="7" t="s">
        <v>130</v>
      </c>
      <c r="G2532" s="12" t="str">
        <f aca="false">IFERROR(INDEX('Semrush Data'!$A$1:$Z$20000,MATCH(A2532,'Semrush Data'!$A$1:$A$20000,0),MATCH("Volume",'Semrush Data'!$A$1:$Z$1,0)),"")</f>
        <v/>
      </c>
      <c r="H2532" s="7" t="str">
        <f aca="false">IFERROR(INDEX('Semrush Data'!$A$1:$Z$20000,MATCH(A2532,'Semrush Data'!$A$1:$A$20000,0),MATCH("Keyword Difficulty*",'Semrush Data'!$A$1:$Z$1,0)),"")</f>
        <v/>
      </c>
      <c r="I2532" s="13" t="str">
        <f aca="false">IFERROR(INDEX('Semrush Data'!$A$1:$Z$20000,MATCH(A2532,'Semrush Data'!$A$1:$A$20000,0),MATCH("CPC*",'Semrush Data'!$A$1:$Z$1,0)),"")</f>
        <v/>
      </c>
      <c r="J2532" s="7" t="str">
        <f aca="false">IFERROR(INDEX('Semrush Data'!$A$1:$Z$20000,MATCH(A2532,'Semrush Data'!$A$1:$A$20000,0),MATCH("Intent",'Semrush Data'!$A$1:$Z$1,0)),"")</f>
        <v/>
      </c>
    </row>
    <row r="2533" customFormat="false" ht="15" hidden="false" customHeight="true" outlineLevel="0" collapsed="false">
      <c r="A2533" s="7" t="s">
        <v>7206</v>
      </c>
      <c r="B2533" s="7" t="s">
        <v>6820</v>
      </c>
      <c r="C2533" s="7" t="n">
        <v>3</v>
      </c>
      <c r="D2533" s="7" t="s">
        <v>6843</v>
      </c>
      <c r="E2533" s="7" t="n">
        <v>1</v>
      </c>
      <c r="F2533" s="7" t="s">
        <v>130</v>
      </c>
      <c r="G2533" s="12" t="str">
        <f aca="false">IFERROR(INDEX('Semrush Data'!$A$1:$Z$20000,MATCH(A2533,'Semrush Data'!$A$1:$A$20000,0),MATCH("Volume",'Semrush Data'!$A$1:$Z$1,0)),"")</f>
        <v/>
      </c>
      <c r="H2533" s="7" t="str">
        <f aca="false">IFERROR(INDEX('Semrush Data'!$A$1:$Z$20000,MATCH(A2533,'Semrush Data'!$A$1:$A$20000,0),MATCH("Keyword Difficulty*",'Semrush Data'!$A$1:$Z$1,0)),"")</f>
        <v/>
      </c>
      <c r="I2533" s="13" t="str">
        <f aca="false">IFERROR(INDEX('Semrush Data'!$A$1:$Z$20000,MATCH(A2533,'Semrush Data'!$A$1:$A$20000,0),MATCH("CPC*",'Semrush Data'!$A$1:$Z$1,0)),"")</f>
        <v/>
      </c>
      <c r="J2533" s="7" t="str">
        <f aca="false">IFERROR(INDEX('Semrush Data'!$A$1:$Z$20000,MATCH(A2533,'Semrush Data'!$A$1:$A$20000,0),MATCH("Intent",'Semrush Data'!$A$1:$Z$1,0)),"")</f>
        <v/>
      </c>
    </row>
    <row r="2534" customFormat="false" ht="15" hidden="false" customHeight="true" outlineLevel="0" collapsed="false">
      <c r="A2534" s="7" t="s">
        <v>7207</v>
      </c>
      <c r="B2534" s="7" t="s">
        <v>6820</v>
      </c>
      <c r="C2534" s="7" t="n">
        <v>3</v>
      </c>
      <c r="D2534" s="7" t="n">
        <v>26</v>
      </c>
      <c r="E2534" s="7" t="n">
        <v>1</v>
      </c>
      <c r="F2534" s="7" t="s">
        <v>3547</v>
      </c>
      <c r="G2534" s="12" t="str">
        <f aca="false">IFERROR(INDEX('Semrush Data'!$A$1:$Z$20000,MATCH(A2534,'Semrush Data'!$A$1:$A$20000,0),MATCH("Volume",'Semrush Data'!$A$1:$Z$1,0)),"")</f>
        <v/>
      </c>
      <c r="H2534" s="7" t="str">
        <f aca="false">IFERROR(INDEX('Semrush Data'!$A$1:$Z$20000,MATCH(A2534,'Semrush Data'!$A$1:$A$20000,0),MATCH("Keyword Difficulty*",'Semrush Data'!$A$1:$Z$1,0)),"")</f>
        <v/>
      </c>
      <c r="I2534" s="13" t="str">
        <f aca="false">IFERROR(INDEX('Semrush Data'!$A$1:$Z$20000,MATCH(A2534,'Semrush Data'!$A$1:$A$20000,0),MATCH("CPC*",'Semrush Data'!$A$1:$Z$1,0)),"")</f>
        <v/>
      </c>
      <c r="J2534" s="7" t="str">
        <f aca="false">IFERROR(INDEX('Semrush Data'!$A$1:$Z$20000,MATCH(A2534,'Semrush Data'!$A$1:$A$20000,0),MATCH("Intent",'Semrush Data'!$A$1:$Z$1,0)),"")</f>
        <v/>
      </c>
    </row>
    <row r="2535" customFormat="false" ht="15" hidden="false" customHeight="true" outlineLevel="0" collapsed="false">
      <c r="A2535" s="7" t="s">
        <v>7208</v>
      </c>
      <c r="B2535" s="7" t="s">
        <v>6820</v>
      </c>
      <c r="C2535" s="7" t="n">
        <v>3</v>
      </c>
      <c r="D2535" s="7" t="n">
        <v>26</v>
      </c>
      <c r="E2535" s="7" t="n">
        <v>1</v>
      </c>
      <c r="F2535" s="7" t="s">
        <v>3547</v>
      </c>
      <c r="G2535" s="12" t="str">
        <f aca="false">IFERROR(INDEX('Semrush Data'!$A$1:$Z$20000,MATCH(A2535,'Semrush Data'!$A$1:$A$20000,0),MATCH("Volume",'Semrush Data'!$A$1:$Z$1,0)),"")</f>
        <v/>
      </c>
      <c r="H2535" s="7" t="str">
        <f aca="false">IFERROR(INDEX('Semrush Data'!$A$1:$Z$20000,MATCH(A2535,'Semrush Data'!$A$1:$A$20000,0),MATCH("Keyword Difficulty*",'Semrush Data'!$A$1:$Z$1,0)),"")</f>
        <v/>
      </c>
      <c r="I2535" s="13" t="str">
        <f aca="false">IFERROR(INDEX('Semrush Data'!$A$1:$Z$20000,MATCH(A2535,'Semrush Data'!$A$1:$A$20000,0),MATCH("CPC*",'Semrush Data'!$A$1:$Z$1,0)),"")</f>
        <v/>
      </c>
      <c r="J2535" s="7" t="str">
        <f aca="false">IFERROR(INDEX('Semrush Data'!$A$1:$Z$20000,MATCH(A2535,'Semrush Data'!$A$1:$A$20000,0),MATCH("Intent",'Semrush Data'!$A$1:$Z$1,0)),"")</f>
        <v/>
      </c>
    </row>
    <row r="2536" customFormat="false" ht="15" hidden="false" customHeight="true" outlineLevel="0" collapsed="false">
      <c r="A2536" s="7" t="s">
        <v>7209</v>
      </c>
      <c r="B2536" s="7" t="s">
        <v>6820</v>
      </c>
      <c r="C2536" s="7" t="n">
        <v>3</v>
      </c>
      <c r="D2536" s="7" t="n">
        <v>26</v>
      </c>
      <c r="E2536" s="7" t="n">
        <v>1</v>
      </c>
      <c r="F2536" s="7" t="s">
        <v>3547</v>
      </c>
      <c r="G2536" s="12" t="str">
        <f aca="false">IFERROR(INDEX('Semrush Data'!$A$1:$Z$20000,MATCH(A2536,'Semrush Data'!$A$1:$A$20000,0),MATCH("Volume",'Semrush Data'!$A$1:$Z$1,0)),"")</f>
        <v/>
      </c>
      <c r="H2536" s="7" t="str">
        <f aca="false">IFERROR(INDEX('Semrush Data'!$A$1:$Z$20000,MATCH(A2536,'Semrush Data'!$A$1:$A$20000,0),MATCH("Keyword Difficulty*",'Semrush Data'!$A$1:$Z$1,0)),"")</f>
        <v/>
      </c>
      <c r="I2536" s="13" t="str">
        <f aca="false">IFERROR(INDEX('Semrush Data'!$A$1:$Z$20000,MATCH(A2536,'Semrush Data'!$A$1:$A$20000,0),MATCH("CPC*",'Semrush Data'!$A$1:$Z$1,0)),"")</f>
        <v/>
      </c>
      <c r="J2536" s="7" t="str">
        <f aca="false">IFERROR(INDEX('Semrush Data'!$A$1:$Z$20000,MATCH(A2536,'Semrush Data'!$A$1:$A$20000,0),MATCH("Intent",'Semrush Data'!$A$1:$Z$1,0)),"")</f>
        <v/>
      </c>
    </row>
    <row r="2537" customFormat="false" ht="15" hidden="false" customHeight="true" outlineLevel="0" collapsed="false">
      <c r="A2537" s="7" t="s">
        <v>7210</v>
      </c>
      <c r="B2537" s="7" t="s">
        <v>6820</v>
      </c>
      <c r="C2537" s="7" t="n">
        <v>3</v>
      </c>
      <c r="D2537" s="7" t="n">
        <v>26</v>
      </c>
      <c r="E2537" s="7" t="n">
        <v>1</v>
      </c>
      <c r="F2537" s="7" t="s">
        <v>3547</v>
      </c>
      <c r="G2537" s="12" t="str">
        <f aca="false">IFERROR(INDEX('Semrush Data'!$A$1:$Z$20000,MATCH(A2537,'Semrush Data'!$A$1:$A$20000,0),MATCH("Volume",'Semrush Data'!$A$1:$Z$1,0)),"")</f>
        <v/>
      </c>
      <c r="H2537" s="7" t="str">
        <f aca="false">IFERROR(INDEX('Semrush Data'!$A$1:$Z$20000,MATCH(A2537,'Semrush Data'!$A$1:$A$20000,0),MATCH("Keyword Difficulty*",'Semrush Data'!$A$1:$Z$1,0)),"")</f>
        <v/>
      </c>
      <c r="I2537" s="13" t="str">
        <f aca="false">IFERROR(INDEX('Semrush Data'!$A$1:$Z$20000,MATCH(A2537,'Semrush Data'!$A$1:$A$20000,0),MATCH("CPC*",'Semrush Data'!$A$1:$Z$1,0)),"")</f>
        <v/>
      </c>
      <c r="J2537" s="7" t="str">
        <f aca="false">IFERROR(INDEX('Semrush Data'!$A$1:$Z$20000,MATCH(A2537,'Semrush Data'!$A$1:$A$20000,0),MATCH("Intent",'Semrush Data'!$A$1:$Z$1,0)),"")</f>
        <v/>
      </c>
    </row>
    <row r="2538" customFormat="false" ht="15" hidden="false" customHeight="true" outlineLevel="0" collapsed="false">
      <c r="A2538" s="7" t="s">
        <v>7211</v>
      </c>
      <c r="B2538" s="7" t="s">
        <v>6820</v>
      </c>
      <c r="C2538" s="7" t="n">
        <v>3</v>
      </c>
      <c r="D2538" s="7" t="n">
        <v>26</v>
      </c>
      <c r="E2538" s="7" t="n">
        <v>1</v>
      </c>
      <c r="F2538" s="7" t="s">
        <v>3559</v>
      </c>
      <c r="G2538" s="12" t="str">
        <f aca="false">IFERROR(INDEX('Semrush Data'!$A$1:$Z$20000,MATCH(A2538,'Semrush Data'!$A$1:$A$20000,0),MATCH("Volume",'Semrush Data'!$A$1:$Z$1,0)),"")</f>
        <v/>
      </c>
      <c r="H2538" s="7" t="str">
        <f aca="false">IFERROR(INDEX('Semrush Data'!$A$1:$Z$20000,MATCH(A2538,'Semrush Data'!$A$1:$A$20000,0),MATCH("Keyword Difficulty*",'Semrush Data'!$A$1:$Z$1,0)),"")</f>
        <v/>
      </c>
      <c r="I2538" s="13" t="str">
        <f aca="false">IFERROR(INDEX('Semrush Data'!$A$1:$Z$20000,MATCH(A2538,'Semrush Data'!$A$1:$A$20000,0),MATCH("CPC*",'Semrush Data'!$A$1:$Z$1,0)),"")</f>
        <v/>
      </c>
      <c r="J2538" s="7" t="str">
        <f aca="false">IFERROR(INDEX('Semrush Data'!$A$1:$Z$20000,MATCH(A2538,'Semrush Data'!$A$1:$A$20000,0),MATCH("Intent",'Semrush Data'!$A$1:$Z$1,0)),"")</f>
        <v/>
      </c>
    </row>
    <row r="2539" customFormat="false" ht="15" hidden="false" customHeight="true" outlineLevel="0" collapsed="false">
      <c r="A2539" s="7" t="s">
        <v>7212</v>
      </c>
      <c r="B2539" s="7" t="s">
        <v>6820</v>
      </c>
      <c r="C2539" s="7" t="n">
        <v>3</v>
      </c>
      <c r="D2539" s="7" t="n">
        <v>26</v>
      </c>
      <c r="E2539" s="7" t="n">
        <v>1</v>
      </c>
      <c r="F2539" s="7" t="s">
        <v>3559</v>
      </c>
      <c r="G2539" s="12" t="str">
        <f aca="false">IFERROR(INDEX('Semrush Data'!$A$1:$Z$20000,MATCH(A2539,'Semrush Data'!$A$1:$A$20000,0),MATCH("Volume",'Semrush Data'!$A$1:$Z$1,0)),"")</f>
        <v/>
      </c>
      <c r="H2539" s="7" t="str">
        <f aca="false">IFERROR(INDEX('Semrush Data'!$A$1:$Z$20000,MATCH(A2539,'Semrush Data'!$A$1:$A$20000,0),MATCH("Keyword Difficulty*",'Semrush Data'!$A$1:$Z$1,0)),"")</f>
        <v/>
      </c>
      <c r="I2539" s="13" t="str">
        <f aca="false">IFERROR(INDEX('Semrush Data'!$A$1:$Z$20000,MATCH(A2539,'Semrush Data'!$A$1:$A$20000,0),MATCH("CPC*",'Semrush Data'!$A$1:$Z$1,0)),"")</f>
        <v/>
      </c>
      <c r="J2539" s="7" t="str">
        <f aca="false">IFERROR(INDEX('Semrush Data'!$A$1:$Z$20000,MATCH(A2539,'Semrush Data'!$A$1:$A$20000,0),MATCH("Intent",'Semrush Data'!$A$1:$Z$1,0)),"")</f>
        <v/>
      </c>
    </row>
    <row r="2540" customFormat="false" ht="15" hidden="false" customHeight="true" outlineLevel="0" collapsed="false">
      <c r="A2540" s="7" t="s">
        <v>7213</v>
      </c>
      <c r="B2540" s="7" t="s">
        <v>6820</v>
      </c>
      <c r="C2540" s="7" t="n">
        <v>3</v>
      </c>
      <c r="D2540" s="7" t="n">
        <v>26</v>
      </c>
      <c r="E2540" s="7" t="n">
        <v>1</v>
      </c>
      <c r="F2540" s="7" t="s">
        <v>3559</v>
      </c>
      <c r="G2540" s="12" t="str">
        <f aca="false">IFERROR(INDEX('Semrush Data'!$A$1:$Z$20000,MATCH(A2540,'Semrush Data'!$A$1:$A$20000,0),MATCH("Volume",'Semrush Data'!$A$1:$Z$1,0)),"")</f>
        <v/>
      </c>
      <c r="H2540" s="7" t="str">
        <f aca="false">IFERROR(INDEX('Semrush Data'!$A$1:$Z$20000,MATCH(A2540,'Semrush Data'!$A$1:$A$20000,0),MATCH("Keyword Difficulty*",'Semrush Data'!$A$1:$Z$1,0)),"")</f>
        <v/>
      </c>
      <c r="I2540" s="13" t="str">
        <f aca="false">IFERROR(INDEX('Semrush Data'!$A$1:$Z$20000,MATCH(A2540,'Semrush Data'!$A$1:$A$20000,0),MATCH("CPC*",'Semrush Data'!$A$1:$Z$1,0)),"")</f>
        <v/>
      </c>
      <c r="J2540" s="7" t="str">
        <f aca="false">IFERROR(INDEX('Semrush Data'!$A$1:$Z$20000,MATCH(A2540,'Semrush Data'!$A$1:$A$20000,0),MATCH("Intent",'Semrush Data'!$A$1:$Z$1,0)),"")</f>
        <v/>
      </c>
    </row>
    <row r="2541" customFormat="false" ht="15" hidden="false" customHeight="true" outlineLevel="0" collapsed="false">
      <c r="A2541" s="7" t="s">
        <v>7214</v>
      </c>
      <c r="B2541" s="7" t="s">
        <v>6820</v>
      </c>
      <c r="C2541" s="7" t="n">
        <v>3</v>
      </c>
      <c r="D2541" s="7" t="n">
        <v>26</v>
      </c>
      <c r="E2541" s="7" t="n">
        <v>1</v>
      </c>
      <c r="F2541" s="7" t="s">
        <v>3559</v>
      </c>
      <c r="G2541" s="12" t="str">
        <f aca="false">IFERROR(INDEX('Semrush Data'!$A$1:$Z$20000,MATCH(A2541,'Semrush Data'!$A$1:$A$20000,0),MATCH("Volume",'Semrush Data'!$A$1:$Z$1,0)),"")</f>
        <v/>
      </c>
      <c r="H2541" s="7" t="str">
        <f aca="false">IFERROR(INDEX('Semrush Data'!$A$1:$Z$20000,MATCH(A2541,'Semrush Data'!$A$1:$A$20000,0),MATCH("Keyword Difficulty*",'Semrush Data'!$A$1:$Z$1,0)),"")</f>
        <v/>
      </c>
      <c r="I2541" s="13" t="str">
        <f aca="false">IFERROR(INDEX('Semrush Data'!$A$1:$Z$20000,MATCH(A2541,'Semrush Data'!$A$1:$A$20000,0),MATCH("CPC*",'Semrush Data'!$A$1:$Z$1,0)),"")</f>
        <v/>
      </c>
      <c r="J2541" s="7" t="str">
        <f aca="false">IFERROR(INDEX('Semrush Data'!$A$1:$Z$20000,MATCH(A2541,'Semrush Data'!$A$1:$A$20000,0),MATCH("Intent",'Semrush Data'!$A$1:$Z$1,0)),"")</f>
        <v/>
      </c>
    </row>
    <row r="2542" customFormat="false" ht="15" hidden="false" customHeight="true" outlineLevel="0" collapsed="false">
      <c r="A2542" s="7" t="s">
        <v>7215</v>
      </c>
      <c r="B2542" s="7" t="s">
        <v>6820</v>
      </c>
      <c r="C2542" s="7" t="n">
        <v>3</v>
      </c>
      <c r="D2542" s="7" t="n">
        <v>26</v>
      </c>
      <c r="E2542" s="7" t="n">
        <v>1</v>
      </c>
      <c r="F2542" s="7" t="s">
        <v>3642</v>
      </c>
      <c r="G2542" s="12" t="str">
        <f aca="false">IFERROR(INDEX('Semrush Data'!$A$1:$Z$20000,MATCH(A2542,'Semrush Data'!$A$1:$A$20000,0),MATCH("Volume",'Semrush Data'!$A$1:$Z$1,0)),"")</f>
        <v/>
      </c>
      <c r="H2542" s="7" t="str">
        <f aca="false">IFERROR(INDEX('Semrush Data'!$A$1:$Z$20000,MATCH(A2542,'Semrush Data'!$A$1:$A$20000,0),MATCH("Keyword Difficulty*",'Semrush Data'!$A$1:$Z$1,0)),"")</f>
        <v/>
      </c>
      <c r="I2542" s="13" t="str">
        <f aca="false">IFERROR(INDEX('Semrush Data'!$A$1:$Z$20000,MATCH(A2542,'Semrush Data'!$A$1:$A$20000,0),MATCH("CPC*",'Semrush Data'!$A$1:$Z$1,0)),"")</f>
        <v/>
      </c>
      <c r="J2542" s="7" t="str">
        <f aca="false">IFERROR(INDEX('Semrush Data'!$A$1:$Z$20000,MATCH(A2542,'Semrush Data'!$A$1:$A$20000,0),MATCH("Intent",'Semrush Data'!$A$1:$Z$1,0)),"")</f>
        <v/>
      </c>
    </row>
    <row r="2543" customFormat="false" ht="15" hidden="false" customHeight="true" outlineLevel="0" collapsed="false">
      <c r="A2543" s="7" t="s">
        <v>7216</v>
      </c>
      <c r="B2543" s="7" t="s">
        <v>6820</v>
      </c>
      <c r="C2543" s="7" t="n">
        <v>3</v>
      </c>
      <c r="D2543" s="7" t="n">
        <v>26</v>
      </c>
      <c r="E2543" s="7" t="n">
        <v>1</v>
      </c>
      <c r="F2543" s="7" t="s">
        <v>3642</v>
      </c>
      <c r="G2543" s="12" t="str">
        <f aca="false">IFERROR(INDEX('Semrush Data'!$A$1:$Z$20000,MATCH(A2543,'Semrush Data'!$A$1:$A$20000,0),MATCH("Volume",'Semrush Data'!$A$1:$Z$1,0)),"")</f>
        <v/>
      </c>
      <c r="H2543" s="7" t="str">
        <f aca="false">IFERROR(INDEX('Semrush Data'!$A$1:$Z$20000,MATCH(A2543,'Semrush Data'!$A$1:$A$20000,0),MATCH("Keyword Difficulty*",'Semrush Data'!$A$1:$Z$1,0)),"")</f>
        <v/>
      </c>
      <c r="I2543" s="13" t="str">
        <f aca="false">IFERROR(INDEX('Semrush Data'!$A$1:$Z$20000,MATCH(A2543,'Semrush Data'!$A$1:$A$20000,0),MATCH("CPC*",'Semrush Data'!$A$1:$Z$1,0)),"")</f>
        <v/>
      </c>
      <c r="J2543" s="7" t="str">
        <f aca="false">IFERROR(INDEX('Semrush Data'!$A$1:$Z$20000,MATCH(A2543,'Semrush Data'!$A$1:$A$20000,0),MATCH("Intent",'Semrush Data'!$A$1:$Z$1,0)),"")</f>
        <v/>
      </c>
    </row>
    <row r="2544" customFormat="false" ht="15" hidden="false" customHeight="true" outlineLevel="0" collapsed="false">
      <c r="A2544" s="7" t="s">
        <v>7217</v>
      </c>
      <c r="B2544" s="7" t="s">
        <v>6820</v>
      </c>
      <c r="C2544" s="7" t="n">
        <v>3</v>
      </c>
      <c r="D2544" s="7" t="n">
        <v>26</v>
      </c>
      <c r="E2544" s="7" t="n">
        <v>1</v>
      </c>
      <c r="F2544" s="7" t="s">
        <v>3642</v>
      </c>
      <c r="G2544" s="12" t="str">
        <f aca="false">IFERROR(INDEX('Semrush Data'!$A$1:$Z$20000,MATCH(A2544,'Semrush Data'!$A$1:$A$20000,0),MATCH("Volume",'Semrush Data'!$A$1:$Z$1,0)),"")</f>
        <v/>
      </c>
      <c r="H2544" s="7" t="str">
        <f aca="false">IFERROR(INDEX('Semrush Data'!$A$1:$Z$20000,MATCH(A2544,'Semrush Data'!$A$1:$A$20000,0),MATCH("Keyword Difficulty*",'Semrush Data'!$A$1:$Z$1,0)),"")</f>
        <v/>
      </c>
      <c r="I2544" s="13" t="str">
        <f aca="false">IFERROR(INDEX('Semrush Data'!$A$1:$Z$20000,MATCH(A2544,'Semrush Data'!$A$1:$A$20000,0),MATCH("CPC*",'Semrush Data'!$A$1:$Z$1,0)),"")</f>
        <v/>
      </c>
      <c r="J2544" s="7" t="str">
        <f aca="false">IFERROR(INDEX('Semrush Data'!$A$1:$Z$20000,MATCH(A2544,'Semrush Data'!$A$1:$A$20000,0),MATCH("Intent",'Semrush Data'!$A$1:$Z$1,0)),"")</f>
        <v/>
      </c>
    </row>
    <row r="2545" customFormat="false" ht="15" hidden="false" customHeight="true" outlineLevel="0" collapsed="false">
      <c r="A2545" s="7" t="s">
        <v>7218</v>
      </c>
      <c r="B2545" s="7" t="s">
        <v>6820</v>
      </c>
      <c r="C2545" s="7" t="n">
        <v>3</v>
      </c>
      <c r="D2545" s="7" t="n">
        <v>26</v>
      </c>
      <c r="E2545" s="7" t="n">
        <v>1</v>
      </c>
      <c r="F2545" s="7" t="s">
        <v>3620</v>
      </c>
      <c r="G2545" s="12" t="str">
        <f aca="false">IFERROR(INDEX('Semrush Data'!$A$1:$Z$20000,MATCH(A2545,'Semrush Data'!$A$1:$A$20000,0),MATCH("Volume",'Semrush Data'!$A$1:$Z$1,0)),"")</f>
        <v/>
      </c>
      <c r="H2545" s="7" t="str">
        <f aca="false">IFERROR(INDEX('Semrush Data'!$A$1:$Z$20000,MATCH(A2545,'Semrush Data'!$A$1:$A$20000,0),MATCH("Keyword Difficulty*",'Semrush Data'!$A$1:$Z$1,0)),"")</f>
        <v/>
      </c>
      <c r="I2545" s="13" t="str">
        <f aca="false">IFERROR(INDEX('Semrush Data'!$A$1:$Z$20000,MATCH(A2545,'Semrush Data'!$A$1:$A$20000,0),MATCH("CPC*",'Semrush Data'!$A$1:$Z$1,0)),"")</f>
        <v/>
      </c>
      <c r="J2545" s="7" t="str">
        <f aca="false">IFERROR(INDEX('Semrush Data'!$A$1:$Z$20000,MATCH(A2545,'Semrush Data'!$A$1:$A$20000,0),MATCH("Intent",'Semrush Data'!$A$1:$Z$1,0)),"")</f>
        <v/>
      </c>
    </row>
    <row r="2546" customFormat="false" ht="15" hidden="false" customHeight="true" outlineLevel="0" collapsed="false">
      <c r="A2546" s="7" t="s">
        <v>7219</v>
      </c>
      <c r="B2546" s="7" t="s">
        <v>6820</v>
      </c>
      <c r="C2546" s="7" t="n">
        <v>3</v>
      </c>
      <c r="D2546" s="7" t="n">
        <v>26</v>
      </c>
      <c r="E2546" s="7" t="n">
        <v>1</v>
      </c>
      <c r="F2546" s="7" t="s">
        <v>3620</v>
      </c>
      <c r="G2546" s="12" t="str">
        <f aca="false">IFERROR(INDEX('Semrush Data'!$A$1:$Z$20000,MATCH(A2546,'Semrush Data'!$A$1:$A$20000,0),MATCH("Volume",'Semrush Data'!$A$1:$Z$1,0)),"")</f>
        <v/>
      </c>
      <c r="H2546" s="7" t="str">
        <f aca="false">IFERROR(INDEX('Semrush Data'!$A$1:$Z$20000,MATCH(A2546,'Semrush Data'!$A$1:$A$20000,0),MATCH("Keyword Difficulty*",'Semrush Data'!$A$1:$Z$1,0)),"")</f>
        <v/>
      </c>
      <c r="I2546" s="13" t="str">
        <f aca="false">IFERROR(INDEX('Semrush Data'!$A$1:$Z$20000,MATCH(A2546,'Semrush Data'!$A$1:$A$20000,0),MATCH("CPC*",'Semrush Data'!$A$1:$Z$1,0)),"")</f>
        <v/>
      </c>
      <c r="J2546" s="7" t="str">
        <f aca="false">IFERROR(INDEX('Semrush Data'!$A$1:$Z$20000,MATCH(A2546,'Semrush Data'!$A$1:$A$20000,0),MATCH("Intent",'Semrush Data'!$A$1:$Z$1,0)),"")</f>
        <v/>
      </c>
    </row>
    <row r="2547" customFormat="false" ht="15" hidden="false" customHeight="true" outlineLevel="0" collapsed="false">
      <c r="A2547" s="7" t="s">
        <v>7220</v>
      </c>
      <c r="B2547" s="7" t="s">
        <v>6820</v>
      </c>
      <c r="C2547" s="7" t="n">
        <v>3</v>
      </c>
      <c r="D2547" s="7" t="n">
        <v>26</v>
      </c>
      <c r="E2547" s="7" t="n">
        <v>1</v>
      </c>
      <c r="F2547" s="7" t="s">
        <v>3620</v>
      </c>
      <c r="G2547" s="12" t="str">
        <f aca="false">IFERROR(INDEX('Semrush Data'!$A$1:$Z$20000,MATCH(A2547,'Semrush Data'!$A$1:$A$20000,0),MATCH("Volume",'Semrush Data'!$A$1:$Z$1,0)),"")</f>
        <v/>
      </c>
      <c r="H2547" s="7" t="str">
        <f aca="false">IFERROR(INDEX('Semrush Data'!$A$1:$Z$20000,MATCH(A2547,'Semrush Data'!$A$1:$A$20000,0),MATCH("Keyword Difficulty*",'Semrush Data'!$A$1:$Z$1,0)),"")</f>
        <v/>
      </c>
      <c r="I2547" s="13" t="str">
        <f aca="false">IFERROR(INDEX('Semrush Data'!$A$1:$Z$20000,MATCH(A2547,'Semrush Data'!$A$1:$A$20000,0),MATCH("CPC*",'Semrush Data'!$A$1:$Z$1,0)),"")</f>
        <v/>
      </c>
      <c r="J2547" s="7" t="str">
        <f aca="false">IFERROR(INDEX('Semrush Data'!$A$1:$Z$20000,MATCH(A2547,'Semrush Data'!$A$1:$A$20000,0),MATCH("Intent",'Semrush Data'!$A$1:$Z$1,0)),"")</f>
        <v/>
      </c>
    </row>
    <row r="2548" customFormat="false" ht="15" hidden="false" customHeight="true" outlineLevel="0" collapsed="false">
      <c r="A2548" s="7" t="s">
        <v>7221</v>
      </c>
      <c r="B2548" s="7" t="s">
        <v>6820</v>
      </c>
      <c r="C2548" s="7" t="n">
        <v>3</v>
      </c>
      <c r="D2548" s="7" t="n">
        <v>26</v>
      </c>
      <c r="E2548" s="7" t="n">
        <v>1</v>
      </c>
      <c r="F2548" s="7" t="s">
        <v>3620</v>
      </c>
      <c r="G2548" s="12" t="str">
        <f aca="false">IFERROR(INDEX('Semrush Data'!$A$1:$Z$20000,MATCH(A2548,'Semrush Data'!$A$1:$A$20000,0),MATCH("Volume",'Semrush Data'!$A$1:$Z$1,0)),"")</f>
        <v/>
      </c>
      <c r="H2548" s="7" t="str">
        <f aca="false">IFERROR(INDEX('Semrush Data'!$A$1:$Z$20000,MATCH(A2548,'Semrush Data'!$A$1:$A$20000,0),MATCH("Keyword Difficulty*",'Semrush Data'!$A$1:$Z$1,0)),"")</f>
        <v/>
      </c>
      <c r="I2548" s="13" t="str">
        <f aca="false">IFERROR(INDEX('Semrush Data'!$A$1:$Z$20000,MATCH(A2548,'Semrush Data'!$A$1:$A$20000,0),MATCH("CPC*",'Semrush Data'!$A$1:$Z$1,0)),"")</f>
        <v/>
      </c>
      <c r="J2548" s="7" t="str">
        <f aca="false">IFERROR(INDEX('Semrush Data'!$A$1:$Z$20000,MATCH(A2548,'Semrush Data'!$A$1:$A$20000,0),MATCH("Intent",'Semrush Data'!$A$1:$Z$1,0)),"")</f>
        <v/>
      </c>
    </row>
    <row r="2549" customFormat="false" ht="15" hidden="false" customHeight="true" outlineLevel="0" collapsed="false">
      <c r="A2549" s="7" t="s">
        <v>7222</v>
      </c>
      <c r="B2549" s="7" t="s">
        <v>6820</v>
      </c>
      <c r="C2549" s="7" t="n">
        <v>3</v>
      </c>
      <c r="D2549" s="7" t="n">
        <v>26</v>
      </c>
      <c r="E2549" s="7" t="n">
        <v>1</v>
      </c>
      <c r="F2549" s="7" t="s">
        <v>3620</v>
      </c>
      <c r="G2549" s="12" t="str">
        <f aca="false">IFERROR(INDEX('Semrush Data'!$A$1:$Z$20000,MATCH(A2549,'Semrush Data'!$A$1:$A$20000,0),MATCH("Volume",'Semrush Data'!$A$1:$Z$1,0)),"")</f>
        <v/>
      </c>
      <c r="H2549" s="7" t="str">
        <f aca="false">IFERROR(INDEX('Semrush Data'!$A$1:$Z$20000,MATCH(A2549,'Semrush Data'!$A$1:$A$20000,0),MATCH("Keyword Difficulty*",'Semrush Data'!$A$1:$Z$1,0)),"")</f>
        <v/>
      </c>
      <c r="I2549" s="13" t="str">
        <f aca="false">IFERROR(INDEX('Semrush Data'!$A$1:$Z$20000,MATCH(A2549,'Semrush Data'!$A$1:$A$20000,0),MATCH("CPC*",'Semrush Data'!$A$1:$Z$1,0)),"")</f>
        <v/>
      </c>
      <c r="J2549" s="7" t="str">
        <f aca="false">IFERROR(INDEX('Semrush Data'!$A$1:$Z$20000,MATCH(A2549,'Semrush Data'!$A$1:$A$20000,0),MATCH("Intent",'Semrush Data'!$A$1:$Z$1,0)),"")</f>
        <v/>
      </c>
    </row>
    <row r="2550" customFormat="false" ht="15" hidden="false" customHeight="true" outlineLevel="0" collapsed="false">
      <c r="A2550" s="7" t="s">
        <v>7223</v>
      </c>
      <c r="B2550" s="7" t="s">
        <v>6820</v>
      </c>
      <c r="C2550" s="7" t="n">
        <v>3</v>
      </c>
      <c r="D2550" s="7" t="n">
        <v>26</v>
      </c>
      <c r="E2550" s="7" t="n">
        <v>1</v>
      </c>
      <c r="F2550" s="7" t="s">
        <v>3573</v>
      </c>
      <c r="G2550" s="12" t="str">
        <f aca="false">IFERROR(INDEX('Semrush Data'!$A$1:$Z$20000,MATCH(A2550,'Semrush Data'!$A$1:$A$20000,0),MATCH("Volume",'Semrush Data'!$A$1:$Z$1,0)),"")</f>
        <v/>
      </c>
      <c r="H2550" s="7" t="str">
        <f aca="false">IFERROR(INDEX('Semrush Data'!$A$1:$Z$20000,MATCH(A2550,'Semrush Data'!$A$1:$A$20000,0),MATCH("Keyword Difficulty*",'Semrush Data'!$A$1:$Z$1,0)),"")</f>
        <v/>
      </c>
      <c r="I2550" s="13" t="str">
        <f aca="false">IFERROR(INDEX('Semrush Data'!$A$1:$Z$20000,MATCH(A2550,'Semrush Data'!$A$1:$A$20000,0),MATCH("CPC*",'Semrush Data'!$A$1:$Z$1,0)),"")</f>
        <v/>
      </c>
      <c r="J2550" s="7" t="str">
        <f aca="false">IFERROR(INDEX('Semrush Data'!$A$1:$Z$20000,MATCH(A2550,'Semrush Data'!$A$1:$A$20000,0),MATCH("Intent",'Semrush Data'!$A$1:$Z$1,0)),"")</f>
        <v/>
      </c>
    </row>
    <row r="2551" customFormat="false" ht="15" hidden="false" customHeight="true" outlineLevel="0" collapsed="false">
      <c r="A2551" s="7" t="s">
        <v>7224</v>
      </c>
      <c r="B2551" s="7" t="s">
        <v>6820</v>
      </c>
      <c r="C2551" s="7" t="n">
        <v>3</v>
      </c>
      <c r="D2551" s="7" t="n">
        <v>26</v>
      </c>
      <c r="E2551" s="7" t="n">
        <v>1</v>
      </c>
      <c r="F2551" s="7" t="s">
        <v>3573</v>
      </c>
      <c r="G2551" s="12" t="str">
        <f aca="false">IFERROR(INDEX('Semrush Data'!$A$1:$Z$20000,MATCH(A2551,'Semrush Data'!$A$1:$A$20000,0),MATCH("Volume",'Semrush Data'!$A$1:$Z$1,0)),"")</f>
        <v/>
      </c>
      <c r="H2551" s="7" t="str">
        <f aca="false">IFERROR(INDEX('Semrush Data'!$A$1:$Z$20000,MATCH(A2551,'Semrush Data'!$A$1:$A$20000,0),MATCH("Keyword Difficulty*",'Semrush Data'!$A$1:$Z$1,0)),"")</f>
        <v/>
      </c>
      <c r="I2551" s="13" t="str">
        <f aca="false">IFERROR(INDEX('Semrush Data'!$A$1:$Z$20000,MATCH(A2551,'Semrush Data'!$A$1:$A$20000,0),MATCH("CPC*",'Semrush Data'!$A$1:$Z$1,0)),"")</f>
        <v/>
      </c>
      <c r="J2551" s="7" t="str">
        <f aca="false">IFERROR(INDEX('Semrush Data'!$A$1:$Z$20000,MATCH(A2551,'Semrush Data'!$A$1:$A$20000,0),MATCH("Intent",'Semrush Data'!$A$1:$Z$1,0)),"")</f>
        <v/>
      </c>
    </row>
    <row r="2552" customFormat="false" ht="15" hidden="false" customHeight="true" outlineLevel="0" collapsed="false">
      <c r="A2552" s="7" t="s">
        <v>7225</v>
      </c>
      <c r="B2552" s="7" t="s">
        <v>6820</v>
      </c>
      <c r="C2552" s="7" t="n">
        <v>3</v>
      </c>
      <c r="D2552" s="7" t="s">
        <v>6818</v>
      </c>
      <c r="E2552" s="7" t="n">
        <v>2</v>
      </c>
      <c r="F2552" s="7" t="s">
        <v>6799</v>
      </c>
      <c r="G2552" s="12" t="str">
        <f aca="false">IFERROR(INDEX('Semrush Data'!$A$1:$Z$20000,MATCH(A2552,'Semrush Data'!$A$1:$A$20000,0),MATCH("Volume",'Semrush Data'!$A$1:$Z$1,0)),"")</f>
        <v/>
      </c>
      <c r="H2552" s="7" t="str">
        <f aca="false">IFERROR(INDEX('Semrush Data'!$A$1:$Z$20000,MATCH(A2552,'Semrush Data'!$A$1:$A$20000,0),MATCH("Keyword Difficulty*",'Semrush Data'!$A$1:$Z$1,0)),"")</f>
        <v/>
      </c>
      <c r="I2552" s="13" t="str">
        <f aca="false">IFERROR(INDEX('Semrush Data'!$A$1:$Z$20000,MATCH(A2552,'Semrush Data'!$A$1:$A$20000,0),MATCH("CPC*",'Semrush Data'!$A$1:$Z$1,0)),"")</f>
        <v/>
      </c>
      <c r="J2552" s="7" t="str">
        <f aca="false">IFERROR(INDEX('Semrush Data'!$A$1:$Z$20000,MATCH(A2552,'Semrush Data'!$A$1:$A$20000,0),MATCH("Intent",'Semrush Data'!$A$1:$Z$1,0)),"")</f>
        <v/>
      </c>
    </row>
    <row r="2553" customFormat="false" ht="15" hidden="false" customHeight="true" outlineLevel="0" collapsed="false">
      <c r="A2553" s="7" t="s">
        <v>7226</v>
      </c>
      <c r="B2553" s="7" t="s">
        <v>6820</v>
      </c>
      <c r="C2553" s="7" t="n">
        <v>3</v>
      </c>
      <c r="D2553" s="7" t="s">
        <v>6818</v>
      </c>
      <c r="E2553" s="7" t="n">
        <v>2</v>
      </c>
      <c r="F2553" s="7" t="s">
        <v>6799</v>
      </c>
      <c r="G2553" s="12" t="str">
        <f aca="false">IFERROR(INDEX('Semrush Data'!$A$1:$Z$20000,MATCH(A2553,'Semrush Data'!$A$1:$A$20000,0),MATCH("Volume",'Semrush Data'!$A$1:$Z$1,0)),"")</f>
        <v/>
      </c>
      <c r="H2553" s="7" t="str">
        <f aca="false">IFERROR(INDEX('Semrush Data'!$A$1:$Z$20000,MATCH(A2553,'Semrush Data'!$A$1:$A$20000,0),MATCH("Keyword Difficulty*",'Semrush Data'!$A$1:$Z$1,0)),"")</f>
        <v/>
      </c>
      <c r="I2553" s="13" t="str">
        <f aca="false">IFERROR(INDEX('Semrush Data'!$A$1:$Z$20000,MATCH(A2553,'Semrush Data'!$A$1:$A$20000,0),MATCH("CPC*",'Semrush Data'!$A$1:$Z$1,0)),"")</f>
        <v/>
      </c>
      <c r="J2553" s="7" t="str">
        <f aca="false">IFERROR(INDEX('Semrush Data'!$A$1:$Z$20000,MATCH(A2553,'Semrush Data'!$A$1:$A$20000,0),MATCH("Intent",'Semrush Data'!$A$1:$Z$1,0)),"")</f>
        <v/>
      </c>
    </row>
    <row r="2554" customFormat="false" ht="15" hidden="false" customHeight="true" outlineLevel="0" collapsed="false">
      <c r="A2554" s="7" t="s">
        <v>7227</v>
      </c>
      <c r="B2554" s="7" t="s">
        <v>6820</v>
      </c>
      <c r="C2554" s="7" t="n">
        <v>3</v>
      </c>
      <c r="D2554" s="7" t="n">
        <v>26</v>
      </c>
      <c r="E2554" s="7" t="n">
        <v>2</v>
      </c>
      <c r="F2554" s="7" t="s">
        <v>6799</v>
      </c>
      <c r="G2554" s="12" t="str">
        <f aca="false">IFERROR(INDEX('Semrush Data'!$A$1:$Z$20000,MATCH(A2554,'Semrush Data'!$A$1:$A$20000,0),MATCH("Volume",'Semrush Data'!$A$1:$Z$1,0)),"")</f>
        <v/>
      </c>
      <c r="H2554" s="7" t="str">
        <f aca="false">IFERROR(INDEX('Semrush Data'!$A$1:$Z$20000,MATCH(A2554,'Semrush Data'!$A$1:$A$20000,0),MATCH("Keyword Difficulty*",'Semrush Data'!$A$1:$Z$1,0)),"")</f>
        <v/>
      </c>
      <c r="I2554" s="13" t="str">
        <f aca="false">IFERROR(INDEX('Semrush Data'!$A$1:$Z$20000,MATCH(A2554,'Semrush Data'!$A$1:$A$20000,0),MATCH("CPC*",'Semrush Data'!$A$1:$Z$1,0)),"")</f>
        <v/>
      </c>
      <c r="J2554" s="7" t="str">
        <f aca="false">IFERROR(INDEX('Semrush Data'!$A$1:$Z$20000,MATCH(A2554,'Semrush Data'!$A$1:$A$20000,0),MATCH("Intent",'Semrush Data'!$A$1:$Z$1,0)),"")</f>
        <v/>
      </c>
    </row>
    <row r="2555" customFormat="false" ht="15" hidden="false" customHeight="true" outlineLevel="0" collapsed="false">
      <c r="A2555" s="7" t="s">
        <v>7228</v>
      </c>
      <c r="B2555" s="7" t="s">
        <v>6820</v>
      </c>
      <c r="C2555" s="7" t="n">
        <v>3</v>
      </c>
      <c r="D2555" s="7" t="n">
        <v>26</v>
      </c>
      <c r="E2555" s="7" t="n">
        <v>2</v>
      </c>
      <c r="F2555" s="7" t="s">
        <v>6799</v>
      </c>
      <c r="G2555" s="12" t="str">
        <f aca="false">IFERROR(INDEX('Semrush Data'!$A$1:$Z$20000,MATCH(A2555,'Semrush Data'!$A$1:$A$20000,0),MATCH("Volume",'Semrush Data'!$A$1:$Z$1,0)),"")</f>
        <v/>
      </c>
      <c r="H2555" s="7" t="str">
        <f aca="false">IFERROR(INDEX('Semrush Data'!$A$1:$Z$20000,MATCH(A2555,'Semrush Data'!$A$1:$A$20000,0),MATCH("Keyword Difficulty*",'Semrush Data'!$A$1:$Z$1,0)),"")</f>
        <v/>
      </c>
      <c r="I2555" s="13" t="str">
        <f aca="false">IFERROR(INDEX('Semrush Data'!$A$1:$Z$20000,MATCH(A2555,'Semrush Data'!$A$1:$A$20000,0),MATCH("CPC*",'Semrush Data'!$A$1:$Z$1,0)),"")</f>
        <v/>
      </c>
      <c r="J2555" s="7" t="str">
        <f aca="false">IFERROR(INDEX('Semrush Data'!$A$1:$Z$20000,MATCH(A2555,'Semrush Data'!$A$1:$A$20000,0),MATCH("Intent",'Semrush Data'!$A$1:$Z$1,0)),"")</f>
        <v/>
      </c>
    </row>
    <row r="2556" customFormat="false" ht="15" hidden="false" customHeight="true" outlineLevel="0" collapsed="false">
      <c r="A2556" s="7" t="s">
        <v>7229</v>
      </c>
      <c r="B2556" s="7" t="s">
        <v>6820</v>
      </c>
      <c r="C2556" s="7" t="n">
        <v>3</v>
      </c>
      <c r="D2556" s="7" t="n">
        <v>26</v>
      </c>
      <c r="E2556" s="7" t="n">
        <v>1</v>
      </c>
      <c r="F2556" s="7" t="s">
        <v>3663</v>
      </c>
      <c r="G2556" s="12" t="str">
        <f aca="false">IFERROR(INDEX('Semrush Data'!$A$1:$Z$20000,MATCH(A2556,'Semrush Data'!$A$1:$A$20000,0),MATCH("Volume",'Semrush Data'!$A$1:$Z$1,0)),"")</f>
        <v/>
      </c>
      <c r="H2556" s="7" t="str">
        <f aca="false">IFERROR(INDEX('Semrush Data'!$A$1:$Z$20000,MATCH(A2556,'Semrush Data'!$A$1:$A$20000,0),MATCH("Keyword Difficulty*",'Semrush Data'!$A$1:$Z$1,0)),"")</f>
        <v/>
      </c>
      <c r="I2556" s="13" t="str">
        <f aca="false">IFERROR(INDEX('Semrush Data'!$A$1:$Z$20000,MATCH(A2556,'Semrush Data'!$A$1:$A$20000,0),MATCH("CPC*",'Semrush Data'!$A$1:$Z$1,0)),"")</f>
        <v/>
      </c>
      <c r="J2556" s="7" t="str">
        <f aca="false">IFERROR(INDEX('Semrush Data'!$A$1:$Z$20000,MATCH(A2556,'Semrush Data'!$A$1:$A$20000,0),MATCH("Intent",'Semrush Data'!$A$1:$Z$1,0)),"")</f>
        <v/>
      </c>
    </row>
    <row r="2557" customFormat="false" ht="15" hidden="false" customHeight="true" outlineLevel="0" collapsed="false">
      <c r="A2557" s="7" t="s">
        <v>7230</v>
      </c>
      <c r="B2557" s="7" t="s">
        <v>6820</v>
      </c>
      <c r="C2557" s="7" t="n">
        <v>3</v>
      </c>
      <c r="D2557" s="7" t="n">
        <v>26</v>
      </c>
      <c r="E2557" s="7" t="n">
        <v>1</v>
      </c>
      <c r="F2557" s="7" t="s">
        <v>3609</v>
      </c>
      <c r="G2557" s="12" t="str">
        <f aca="false">IFERROR(INDEX('Semrush Data'!$A$1:$Z$20000,MATCH(A2557,'Semrush Data'!$A$1:$A$20000,0),MATCH("Volume",'Semrush Data'!$A$1:$Z$1,0)),"")</f>
        <v/>
      </c>
      <c r="H2557" s="7" t="str">
        <f aca="false">IFERROR(INDEX('Semrush Data'!$A$1:$Z$20000,MATCH(A2557,'Semrush Data'!$A$1:$A$20000,0),MATCH("Keyword Difficulty*",'Semrush Data'!$A$1:$Z$1,0)),"")</f>
        <v/>
      </c>
      <c r="I2557" s="13" t="str">
        <f aca="false">IFERROR(INDEX('Semrush Data'!$A$1:$Z$20000,MATCH(A2557,'Semrush Data'!$A$1:$A$20000,0),MATCH("CPC*",'Semrush Data'!$A$1:$Z$1,0)),"")</f>
        <v/>
      </c>
      <c r="J2557" s="7" t="str">
        <f aca="false">IFERROR(INDEX('Semrush Data'!$A$1:$Z$20000,MATCH(A2557,'Semrush Data'!$A$1:$A$20000,0),MATCH("Intent",'Semrush Data'!$A$1:$Z$1,0)),"")</f>
        <v/>
      </c>
    </row>
    <row r="2558" customFormat="false" ht="15" hidden="false" customHeight="true" outlineLevel="0" collapsed="false">
      <c r="A2558" s="7" t="s">
        <v>7231</v>
      </c>
      <c r="B2558" s="7" t="s">
        <v>6820</v>
      </c>
      <c r="C2558" s="7" t="n">
        <v>3</v>
      </c>
      <c r="D2558" s="7" t="n">
        <v>26</v>
      </c>
      <c r="E2558" s="7" t="n">
        <v>1</v>
      </c>
      <c r="F2558" s="7" t="s">
        <v>3609</v>
      </c>
      <c r="G2558" s="12" t="str">
        <f aca="false">IFERROR(INDEX('Semrush Data'!$A$1:$Z$20000,MATCH(A2558,'Semrush Data'!$A$1:$A$20000,0),MATCH("Volume",'Semrush Data'!$A$1:$Z$1,0)),"")</f>
        <v/>
      </c>
      <c r="H2558" s="7" t="str">
        <f aca="false">IFERROR(INDEX('Semrush Data'!$A$1:$Z$20000,MATCH(A2558,'Semrush Data'!$A$1:$A$20000,0),MATCH("Keyword Difficulty*",'Semrush Data'!$A$1:$Z$1,0)),"")</f>
        <v/>
      </c>
      <c r="I2558" s="13" t="str">
        <f aca="false">IFERROR(INDEX('Semrush Data'!$A$1:$Z$20000,MATCH(A2558,'Semrush Data'!$A$1:$A$20000,0),MATCH("CPC*",'Semrush Data'!$A$1:$Z$1,0)),"")</f>
        <v/>
      </c>
      <c r="J2558" s="7" t="str">
        <f aca="false">IFERROR(INDEX('Semrush Data'!$A$1:$Z$20000,MATCH(A2558,'Semrush Data'!$A$1:$A$20000,0),MATCH("Intent",'Semrush Data'!$A$1:$Z$1,0)),"")</f>
        <v/>
      </c>
    </row>
    <row r="2559" customFormat="false" ht="15" hidden="false" customHeight="true" outlineLevel="0" collapsed="false">
      <c r="A2559" s="7" t="s">
        <v>7232</v>
      </c>
      <c r="B2559" s="7" t="s">
        <v>6820</v>
      </c>
      <c r="C2559" s="7" t="n">
        <v>3</v>
      </c>
      <c r="D2559" s="7" t="n">
        <v>26</v>
      </c>
      <c r="E2559" s="7" t="n">
        <v>1</v>
      </c>
      <c r="F2559" s="7" t="s">
        <v>3598</v>
      </c>
      <c r="G2559" s="12" t="str">
        <f aca="false">IFERROR(INDEX('Semrush Data'!$A$1:$Z$20000,MATCH(A2559,'Semrush Data'!$A$1:$A$20000,0),MATCH("Volume",'Semrush Data'!$A$1:$Z$1,0)),"")</f>
        <v/>
      </c>
      <c r="H2559" s="7" t="str">
        <f aca="false">IFERROR(INDEX('Semrush Data'!$A$1:$Z$20000,MATCH(A2559,'Semrush Data'!$A$1:$A$20000,0),MATCH("Keyword Difficulty*",'Semrush Data'!$A$1:$Z$1,0)),"")</f>
        <v/>
      </c>
      <c r="I2559" s="13" t="str">
        <f aca="false">IFERROR(INDEX('Semrush Data'!$A$1:$Z$20000,MATCH(A2559,'Semrush Data'!$A$1:$A$20000,0),MATCH("CPC*",'Semrush Data'!$A$1:$Z$1,0)),"")</f>
        <v/>
      </c>
      <c r="J2559" s="7" t="str">
        <f aca="false">IFERROR(INDEX('Semrush Data'!$A$1:$Z$20000,MATCH(A2559,'Semrush Data'!$A$1:$A$20000,0),MATCH("Intent",'Semrush Data'!$A$1:$Z$1,0)),"")</f>
        <v/>
      </c>
    </row>
    <row r="2560" customFormat="false" ht="15" hidden="false" customHeight="true" outlineLevel="0" collapsed="false">
      <c r="A2560" s="7" t="s">
        <v>7233</v>
      </c>
      <c r="B2560" s="7" t="s">
        <v>6820</v>
      </c>
      <c r="C2560" s="7" t="n">
        <v>3</v>
      </c>
      <c r="D2560" s="7" t="n">
        <v>26</v>
      </c>
      <c r="E2560" s="7" t="n">
        <v>1</v>
      </c>
      <c r="F2560" s="7" t="s">
        <v>3598</v>
      </c>
      <c r="G2560" s="12" t="str">
        <f aca="false">IFERROR(INDEX('Semrush Data'!$A$1:$Z$20000,MATCH(A2560,'Semrush Data'!$A$1:$A$20000,0),MATCH("Volume",'Semrush Data'!$A$1:$Z$1,0)),"")</f>
        <v/>
      </c>
      <c r="H2560" s="7" t="str">
        <f aca="false">IFERROR(INDEX('Semrush Data'!$A$1:$Z$20000,MATCH(A2560,'Semrush Data'!$A$1:$A$20000,0),MATCH("Keyword Difficulty*",'Semrush Data'!$A$1:$Z$1,0)),"")</f>
        <v/>
      </c>
      <c r="I2560" s="13" t="str">
        <f aca="false">IFERROR(INDEX('Semrush Data'!$A$1:$Z$20000,MATCH(A2560,'Semrush Data'!$A$1:$A$20000,0),MATCH("CPC*",'Semrush Data'!$A$1:$Z$1,0)),"")</f>
        <v/>
      </c>
      <c r="J2560" s="7" t="str">
        <f aca="false">IFERROR(INDEX('Semrush Data'!$A$1:$Z$20000,MATCH(A2560,'Semrush Data'!$A$1:$A$20000,0),MATCH("Intent",'Semrush Data'!$A$1:$Z$1,0)),"")</f>
        <v/>
      </c>
    </row>
    <row r="2561" customFormat="false" ht="15" hidden="false" customHeight="true" outlineLevel="0" collapsed="false">
      <c r="A2561" s="7" t="s">
        <v>7234</v>
      </c>
      <c r="B2561" s="7" t="s">
        <v>6820</v>
      </c>
      <c r="C2561" s="7" t="n">
        <v>3</v>
      </c>
      <c r="D2561" s="7" t="n">
        <v>26</v>
      </c>
      <c r="E2561" s="7" t="n">
        <v>1</v>
      </c>
      <c r="F2561" s="7" t="s">
        <v>3598</v>
      </c>
      <c r="G2561" s="12" t="str">
        <f aca="false">IFERROR(INDEX('Semrush Data'!$A$1:$Z$20000,MATCH(A2561,'Semrush Data'!$A$1:$A$20000,0),MATCH("Volume",'Semrush Data'!$A$1:$Z$1,0)),"")</f>
        <v/>
      </c>
      <c r="H2561" s="7" t="str">
        <f aca="false">IFERROR(INDEX('Semrush Data'!$A$1:$Z$20000,MATCH(A2561,'Semrush Data'!$A$1:$A$20000,0),MATCH("Keyword Difficulty*",'Semrush Data'!$A$1:$Z$1,0)),"")</f>
        <v/>
      </c>
      <c r="I2561" s="13" t="str">
        <f aca="false">IFERROR(INDEX('Semrush Data'!$A$1:$Z$20000,MATCH(A2561,'Semrush Data'!$A$1:$A$20000,0),MATCH("CPC*",'Semrush Data'!$A$1:$Z$1,0)),"")</f>
        <v/>
      </c>
      <c r="J2561" s="7" t="str">
        <f aca="false">IFERROR(INDEX('Semrush Data'!$A$1:$Z$20000,MATCH(A2561,'Semrush Data'!$A$1:$A$20000,0),MATCH("Intent",'Semrush Data'!$A$1:$Z$1,0)),"")</f>
        <v/>
      </c>
    </row>
    <row r="2562" customFormat="false" ht="15" hidden="false" customHeight="true" outlineLevel="0" collapsed="false">
      <c r="A2562" s="7" t="s">
        <v>7235</v>
      </c>
      <c r="B2562" s="7" t="s">
        <v>6820</v>
      </c>
      <c r="C2562" s="7" t="n">
        <v>3</v>
      </c>
      <c r="D2562" s="7" t="n">
        <v>26</v>
      </c>
      <c r="E2562" s="7" t="n">
        <v>1</v>
      </c>
      <c r="F2562" s="7" t="s">
        <v>3598</v>
      </c>
      <c r="G2562" s="12" t="str">
        <f aca="false">IFERROR(INDEX('Semrush Data'!$A$1:$Z$20000,MATCH(A2562,'Semrush Data'!$A$1:$A$20000,0),MATCH("Volume",'Semrush Data'!$A$1:$Z$1,0)),"")</f>
        <v/>
      </c>
      <c r="H2562" s="7" t="str">
        <f aca="false">IFERROR(INDEX('Semrush Data'!$A$1:$Z$20000,MATCH(A2562,'Semrush Data'!$A$1:$A$20000,0),MATCH("Keyword Difficulty*",'Semrush Data'!$A$1:$Z$1,0)),"")</f>
        <v/>
      </c>
      <c r="I2562" s="13" t="str">
        <f aca="false">IFERROR(INDEX('Semrush Data'!$A$1:$Z$20000,MATCH(A2562,'Semrush Data'!$A$1:$A$20000,0),MATCH("CPC*",'Semrush Data'!$A$1:$Z$1,0)),"")</f>
        <v/>
      </c>
      <c r="J2562" s="7" t="str">
        <f aca="false">IFERROR(INDEX('Semrush Data'!$A$1:$Z$20000,MATCH(A2562,'Semrush Data'!$A$1:$A$20000,0),MATCH("Intent",'Semrush Data'!$A$1:$Z$1,0)),"")</f>
        <v/>
      </c>
    </row>
    <row r="2563" customFormat="false" ht="15" hidden="false" customHeight="true" outlineLevel="0" collapsed="false">
      <c r="A2563" s="7" t="s">
        <v>7236</v>
      </c>
      <c r="B2563" s="7" t="s">
        <v>6820</v>
      </c>
      <c r="C2563" s="7" t="n">
        <v>3</v>
      </c>
      <c r="D2563" s="7" t="n">
        <v>26</v>
      </c>
      <c r="E2563" s="7" t="n">
        <v>1</v>
      </c>
      <c r="F2563" s="7" t="s">
        <v>3598</v>
      </c>
      <c r="G2563" s="12" t="str">
        <f aca="false">IFERROR(INDEX('Semrush Data'!$A$1:$Z$20000,MATCH(A2563,'Semrush Data'!$A$1:$A$20000,0),MATCH("Volume",'Semrush Data'!$A$1:$Z$1,0)),"")</f>
        <v/>
      </c>
      <c r="H2563" s="7" t="str">
        <f aca="false">IFERROR(INDEX('Semrush Data'!$A$1:$Z$20000,MATCH(A2563,'Semrush Data'!$A$1:$A$20000,0),MATCH("Keyword Difficulty*",'Semrush Data'!$A$1:$Z$1,0)),"")</f>
        <v/>
      </c>
      <c r="I2563" s="13" t="str">
        <f aca="false">IFERROR(INDEX('Semrush Data'!$A$1:$Z$20000,MATCH(A2563,'Semrush Data'!$A$1:$A$20000,0),MATCH("CPC*",'Semrush Data'!$A$1:$Z$1,0)),"")</f>
        <v/>
      </c>
      <c r="J2563" s="7" t="str">
        <f aca="false">IFERROR(INDEX('Semrush Data'!$A$1:$Z$20000,MATCH(A2563,'Semrush Data'!$A$1:$A$20000,0),MATCH("Intent",'Semrush Data'!$A$1:$Z$1,0)),"")</f>
        <v/>
      </c>
    </row>
    <row r="2564" customFormat="false" ht="15" hidden="false" customHeight="true" outlineLevel="0" collapsed="false">
      <c r="A2564" s="7" t="s">
        <v>7237</v>
      </c>
      <c r="B2564" s="7" t="s">
        <v>6820</v>
      </c>
      <c r="C2564" s="7" t="n">
        <v>3</v>
      </c>
      <c r="D2564" s="7" t="n">
        <v>26</v>
      </c>
      <c r="E2564" s="7" t="n">
        <v>2</v>
      </c>
      <c r="F2564" s="7" t="s">
        <v>6799</v>
      </c>
      <c r="G2564" s="12" t="str">
        <f aca="false">IFERROR(INDEX('Semrush Data'!$A$1:$Z$20000,MATCH(A2564,'Semrush Data'!$A$1:$A$20000,0),MATCH("Volume",'Semrush Data'!$A$1:$Z$1,0)),"")</f>
        <v/>
      </c>
      <c r="H2564" s="7" t="str">
        <f aca="false">IFERROR(INDEX('Semrush Data'!$A$1:$Z$20000,MATCH(A2564,'Semrush Data'!$A$1:$A$20000,0),MATCH("Keyword Difficulty*",'Semrush Data'!$A$1:$Z$1,0)),"")</f>
        <v/>
      </c>
      <c r="I2564" s="13" t="str">
        <f aca="false">IFERROR(INDEX('Semrush Data'!$A$1:$Z$20000,MATCH(A2564,'Semrush Data'!$A$1:$A$20000,0),MATCH("CPC*",'Semrush Data'!$A$1:$Z$1,0)),"")</f>
        <v/>
      </c>
      <c r="J2564" s="7" t="str">
        <f aca="false">IFERROR(INDEX('Semrush Data'!$A$1:$Z$20000,MATCH(A2564,'Semrush Data'!$A$1:$A$20000,0),MATCH("Intent",'Semrush Data'!$A$1:$Z$1,0)),"")</f>
        <v/>
      </c>
    </row>
    <row r="2565" customFormat="false" ht="15" hidden="false" customHeight="true" outlineLevel="0" collapsed="false">
      <c r="A2565" s="7" t="s">
        <v>7238</v>
      </c>
      <c r="B2565" s="7" t="s">
        <v>6820</v>
      </c>
      <c r="C2565" s="7" t="n">
        <v>3</v>
      </c>
      <c r="D2565" s="7" t="n">
        <v>26</v>
      </c>
      <c r="E2565" s="7" t="n">
        <v>1</v>
      </c>
      <c r="F2565" s="7" t="s">
        <v>3642</v>
      </c>
      <c r="G2565" s="12" t="str">
        <f aca="false">IFERROR(INDEX('Semrush Data'!$A$1:$Z$20000,MATCH(A2565,'Semrush Data'!$A$1:$A$20000,0),MATCH("Volume",'Semrush Data'!$A$1:$Z$1,0)),"")</f>
        <v/>
      </c>
      <c r="H2565" s="7" t="str">
        <f aca="false">IFERROR(INDEX('Semrush Data'!$A$1:$Z$20000,MATCH(A2565,'Semrush Data'!$A$1:$A$20000,0),MATCH("Keyword Difficulty*",'Semrush Data'!$A$1:$Z$1,0)),"")</f>
        <v/>
      </c>
      <c r="I2565" s="13" t="str">
        <f aca="false">IFERROR(INDEX('Semrush Data'!$A$1:$Z$20000,MATCH(A2565,'Semrush Data'!$A$1:$A$20000,0),MATCH("CPC*",'Semrush Data'!$A$1:$Z$1,0)),"")</f>
        <v/>
      </c>
      <c r="J2565" s="7" t="str">
        <f aca="false">IFERROR(INDEX('Semrush Data'!$A$1:$Z$20000,MATCH(A2565,'Semrush Data'!$A$1:$A$20000,0),MATCH("Intent",'Semrush Data'!$A$1:$Z$1,0)),"")</f>
        <v/>
      </c>
    </row>
    <row r="2566" customFormat="false" ht="15" hidden="false" customHeight="true" outlineLevel="0" collapsed="false">
      <c r="A2566" s="7" t="s">
        <v>7239</v>
      </c>
      <c r="B2566" s="7" t="s">
        <v>6820</v>
      </c>
      <c r="C2566" s="7" t="n">
        <v>3</v>
      </c>
      <c r="D2566" s="7" t="n">
        <v>26</v>
      </c>
      <c r="E2566" s="7" t="n">
        <v>2</v>
      </c>
      <c r="F2566" s="7" t="s">
        <v>6798</v>
      </c>
      <c r="G2566" s="12" t="str">
        <f aca="false">IFERROR(INDEX('Semrush Data'!$A$1:$Z$20000,MATCH(A2566,'Semrush Data'!$A$1:$A$20000,0),MATCH("Volume",'Semrush Data'!$A$1:$Z$1,0)),"")</f>
        <v/>
      </c>
      <c r="H2566" s="7" t="str">
        <f aca="false">IFERROR(INDEX('Semrush Data'!$A$1:$Z$20000,MATCH(A2566,'Semrush Data'!$A$1:$A$20000,0),MATCH("Keyword Difficulty*",'Semrush Data'!$A$1:$Z$1,0)),"")</f>
        <v/>
      </c>
      <c r="I2566" s="13" t="str">
        <f aca="false">IFERROR(INDEX('Semrush Data'!$A$1:$Z$20000,MATCH(A2566,'Semrush Data'!$A$1:$A$20000,0),MATCH("CPC*",'Semrush Data'!$A$1:$Z$1,0)),"")</f>
        <v/>
      </c>
      <c r="J2566" s="7" t="str">
        <f aca="false">IFERROR(INDEX('Semrush Data'!$A$1:$Z$20000,MATCH(A2566,'Semrush Data'!$A$1:$A$20000,0),MATCH("Intent",'Semrush Data'!$A$1:$Z$1,0)),"")</f>
        <v/>
      </c>
    </row>
    <row r="2567" customFormat="false" ht="15" hidden="false" customHeight="true" outlineLevel="0" collapsed="false">
      <c r="A2567" s="7" t="s">
        <v>7240</v>
      </c>
      <c r="B2567" s="7" t="s">
        <v>6820</v>
      </c>
      <c r="C2567" s="7" t="n">
        <v>3</v>
      </c>
      <c r="D2567" s="7" t="n">
        <v>26</v>
      </c>
      <c r="E2567" s="7" t="n">
        <v>2</v>
      </c>
      <c r="F2567" s="7" t="s">
        <v>6798</v>
      </c>
      <c r="G2567" s="12" t="str">
        <f aca="false">IFERROR(INDEX('Semrush Data'!$A$1:$Z$20000,MATCH(A2567,'Semrush Data'!$A$1:$A$20000,0),MATCH("Volume",'Semrush Data'!$A$1:$Z$1,0)),"")</f>
        <v/>
      </c>
      <c r="H2567" s="7" t="str">
        <f aca="false">IFERROR(INDEX('Semrush Data'!$A$1:$Z$20000,MATCH(A2567,'Semrush Data'!$A$1:$A$20000,0),MATCH("Keyword Difficulty*",'Semrush Data'!$A$1:$Z$1,0)),"")</f>
        <v/>
      </c>
      <c r="I2567" s="13" t="str">
        <f aca="false">IFERROR(INDEX('Semrush Data'!$A$1:$Z$20000,MATCH(A2567,'Semrush Data'!$A$1:$A$20000,0),MATCH("CPC*",'Semrush Data'!$A$1:$Z$1,0)),"")</f>
        <v/>
      </c>
      <c r="J2567" s="7" t="str">
        <f aca="false">IFERROR(INDEX('Semrush Data'!$A$1:$Z$20000,MATCH(A2567,'Semrush Data'!$A$1:$A$20000,0),MATCH("Intent",'Semrush Data'!$A$1:$Z$1,0)),"")</f>
        <v/>
      </c>
    </row>
    <row r="2568" customFormat="false" ht="15" hidden="false" customHeight="true" outlineLevel="0" collapsed="false">
      <c r="A2568" s="7" t="s">
        <v>7241</v>
      </c>
      <c r="B2568" s="7" t="s">
        <v>6820</v>
      </c>
      <c r="C2568" s="7" t="n">
        <v>3</v>
      </c>
      <c r="D2568" s="7" t="n">
        <v>26</v>
      </c>
      <c r="E2568" s="7" t="n">
        <v>1</v>
      </c>
      <c r="F2568" s="7" t="s">
        <v>3631</v>
      </c>
      <c r="G2568" s="12" t="str">
        <f aca="false">IFERROR(INDEX('Semrush Data'!$A$1:$Z$20000,MATCH(A2568,'Semrush Data'!$A$1:$A$20000,0),MATCH("Volume",'Semrush Data'!$A$1:$Z$1,0)),"")</f>
        <v/>
      </c>
      <c r="H2568" s="7" t="str">
        <f aca="false">IFERROR(INDEX('Semrush Data'!$A$1:$Z$20000,MATCH(A2568,'Semrush Data'!$A$1:$A$20000,0),MATCH("Keyword Difficulty*",'Semrush Data'!$A$1:$Z$1,0)),"")</f>
        <v/>
      </c>
      <c r="I2568" s="13" t="str">
        <f aca="false">IFERROR(INDEX('Semrush Data'!$A$1:$Z$20000,MATCH(A2568,'Semrush Data'!$A$1:$A$20000,0),MATCH("CPC*",'Semrush Data'!$A$1:$Z$1,0)),"")</f>
        <v/>
      </c>
      <c r="J2568" s="7" t="str">
        <f aca="false">IFERROR(INDEX('Semrush Data'!$A$1:$Z$20000,MATCH(A2568,'Semrush Data'!$A$1:$A$20000,0),MATCH("Intent",'Semrush Data'!$A$1:$Z$1,0)),"")</f>
        <v/>
      </c>
    </row>
    <row r="2569" customFormat="false" ht="15" hidden="false" customHeight="true" outlineLevel="0" collapsed="false">
      <c r="A2569" s="7" t="s">
        <v>7242</v>
      </c>
      <c r="B2569" s="7" t="s">
        <v>6820</v>
      </c>
      <c r="C2569" s="7" t="n">
        <v>3</v>
      </c>
      <c r="D2569" s="7" t="n">
        <v>26</v>
      </c>
      <c r="E2569" s="7" t="n">
        <v>1</v>
      </c>
      <c r="F2569" s="7" t="s">
        <v>3631</v>
      </c>
      <c r="G2569" s="12" t="str">
        <f aca="false">IFERROR(INDEX('Semrush Data'!$A$1:$Z$20000,MATCH(A2569,'Semrush Data'!$A$1:$A$20000,0),MATCH("Volume",'Semrush Data'!$A$1:$Z$1,0)),"")</f>
        <v/>
      </c>
      <c r="H2569" s="7" t="str">
        <f aca="false">IFERROR(INDEX('Semrush Data'!$A$1:$Z$20000,MATCH(A2569,'Semrush Data'!$A$1:$A$20000,0),MATCH("Keyword Difficulty*",'Semrush Data'!$A$1:$Z$1,0)),"")</f>
        <v/>
      </c>
      <c r="I2569" s="13" t="str">
        <f aca="false">IFERROR(INDEX('Semrush Data'!$A$1:$Z$20000,MATCH(A2569,'Semrush Data'!$A$1:$A$20000,0),MATCH("CPC*",'Semrush Data'!$A$1:$Z$1,0)),"")</f>
        <v/>
      </c>
      <c r="J2569" s="7" t="str">
        <f aca="false">IFERROR(INDEX('Semrush Data'!$A$1:$Z$20000,MATCH(A2569,'Semrush Data'!$A$1:$A$20000,0),MATCH("Intent",'Semrush Data'!$A$1:$Z$1,0)),"")</f>
        <v/>
      </c>
    </row>
    <row r="2570" customFormat="false" ht="15" hidden="false" customHeight="true" outlineLevel="0" collapsed="false">
      <c r="A2570" s="7" t="s">
        <v>7243</v>
      </c>
      <c r="B2570" s="7" t="s">
        <v>6820</v>
      </c>
      <c r="C2570" s="7" t="n">
        <v>3</v>
      </c>
      <c r="D2570" s="7" t="n">
        <v>26</v>
      </c>
      <c r="E2570" s="7" t="n">
        <v>1</v>
      </c>
      <c r="F2570" s="7" t="s">
        <v>3631</v>
      </c>
      <c r="G2570" s="12" t="str">
        <f aca="false">IFERROR(INDEX('Semrush Data'!$A$1:$Z$20000,MATCH(A2570,'Semrush Data'!$A$1:$A$20000,0),MATCH("Volume",'Semrush Data'!$A$1:$Z$1,0)),"")</f>
        <v/>
      </c>
      <c r="H2570" s="7" t="str">
        <f aca="false">IFERROR(INDEX('Semrush Data'!$A$1:$Z$20000,MATCH(A2570,'Semrush Data'!$A$1:$A$20000,0),MATCH("Keyword Difficulty*",'Semrush Data'!$A$1:$Z$1,0)),"")</f>
        <v/>
      </c>
      <c r="I2570" s="13" t="str">
        <f aca="false">IFERROR(INDEX('Semrush Data'!$A$1:$Z$20000,MATCH(A2570,'Semrush Data'!$A$1:$A$20000,0),MATCH("CPC*",'Semrush Data'!$A$1:$Z$1,0)),"")</f>
        <v/>
      </c>
      <c r="J2570" s="7" t="str">
        <f aca="false">IFERROR(INDEX('Semrush Data'!$A$1:$Z$20000,MATCH(A2570,'Semrush Data'!$A$1:$A$20000,0),MATCH("Intent",'Semrush Data'!$A$1:$Z$1,0)),"")</f>
        <v/>
      </c>
    </row>
    <row r="2571" customFormat="false" ht="15" hidden="false" customHeight="true" outlineLevel="0" collapsed="false">
      <c r="A2571" s="7" t="s">
        <v>7244</v>
      </c>
      <c r="B2571" s="7" t="s">
        <v>6820</v>
      </c>
      <c r="C2571" s="7" t="n">
        <v>3</v>
      </c>
      <c r="D2571" s="7" t="n">
        <v>26</v>
      </c>
      <c r="E2571" s="7" t="n">
        <v>1</v>
      </c>
      <c r="F2571" s="7" t="s">
        <v>3631</v>
      </c>
      <c r="G2571" s="12" t="str">
        <f aca="false">IFERROR(INDEX('Semrush Data'!$A$1:$Z$20000,MATCH(A2571,'Semrush Data'!$A$1:$A$20000,0),MATCH("Volume",'Semrush Data'!$A$1:$Z$1,0)),"")</f>
        <v/>
      </c>
      <c r="H2571" s="7" t="str">
        <f aca="false">IFERROR(INDEX('Semrush Data'!$A$1:$Z$20000,MATCH(A2571,'Semrush Data'!$A$1:$A$20000,0),MATCH("Keyword Difficulty*",'Semrush Data'!$A$1:$Z$1,0)),"")</f>
        <v/>
      </c>
      <c r="I2571" s="13" t="str">
        <f aca="false">IFERROR(INDEX('Semrush Data'!$A$1:$Z$20000,MATCH(A2571,'Semrush Data'!$A$1:$A$20000,0),MATCH("CPC*",'Semrush Data'!$A$1:$Z$1,0)),"")</f>
        <v/>
      </c>
      <c r="J2571" s="7" t="str">
        <f aca="false">IFERROR(INDEX('Semrush Data'!$A$1:$Z$20000,MATCH(A2571,'Semrush Data'!$A$1:$A$20000,0),MATCH("Intent",'Semrush Data'!$A$1:$Z$1,0)),"")</f>
        <v/>
      </c>
    </row>
    <row r="2572" customFormat="false" ht="15" hidden="false" customHeight="true" outlineLevel="0" collapsed="false">
      <c r="A2572" s="7" t="s">
        <v>7245</v>
      </c>
      <c r="B2572" s="7" t="s">
        <v>6820</v>
      </c>
      <c r="C2572" s="7" t="n">
        <v>3</v>
      </c>
      <c r="D2572" s="7" t="n">
        <v>26</v>
      </c>
      <c r="E2572" s="7" t="n">
        <v>1</v>
      </c>
      <c r="F2572" s="7" t="s">
        <v>3642</v>
      </c>
      <c r="G2572" s="12" t="str">
        <f aca="false">IFERROR(INDEX('Semrush Data'!$A$1:$Z$20000,MATCH(A2572,'Semrush Data'!$A$1:$A$20000,0),MATCH("Volume",'Semrush Data'!$A$1:$Z$1,0)),"")</f>
        <v/>
      </c>
      <c r="H2572" s="7" t="str">
        <f aca="false">IFERROR(INDEX('Semrush Data'!$A$1:$Z$20000,MATCH(A2572,'Semrush Data'!$A$1:$A$20000,0),MATCH("Keyword Difficulty*",'Semrush Data'!$A$1:$Z$1,0)),"")</f>
        <v/>
      </c>
      <c r="I2572" s="13" t="str">
        <f aca="false">IFERROR(INDEX('Semrush Data'!$A$1:$Z$20000,MATCH(A2572,'Semrush Data'!$A$1:$A$20000,0),MATCH("CPC*",'Semrush Data'!$A$1:$Z$1,0)),"")</f>
        <v/>
      </c>
      <c r="J2572" s="7" t="str">
        <f aca="false">IFERROR(INDEX('Semrush Data'!$A$1:$Z$20000,MATCH(A2572,'Semrush Data'!$A$1:$A$20000,0),MATCH("Intent",'Semrush Data'!$A$1:$Z$1,0)),"")</f>
        <v/>
      </c>
    </row>
    <row r="2573" customFormat="false" ht="15" hidden="false" customHeight="true" outlineLevel="0" collapsed="false">
      <c r="A2573" s="7" t="s">
        <v>7246</v>
      </c>
      <c r="B2573" s="7" t="s">
        <v>6820</v>
      </c>
      <c r="C2573" s="7" t="n">
        <v>3</v>
      </c>
      <c r="D2573" s="7" t="n">
        <v>26</v>
      </c>
      <c r="E2573" s="7" t="n">
        <v>1</v>
      </c>
      <c r="F2573" s="7" t="s">
        <v>3642</v>
      </c>
      <c r="G2573" s="12" t="str">
        <f aca="false">IFERROR(INDEX('Semrush Data'!$A$1:$Z$20000,MATCH(A2573,'Semrush Data'!$A$1:$A$20000,0),MATCH("Volume",'Semrush Data'!$A$1:$Z$1,0)),"")</f>
        <v/>
      </c>
      <c r="H2573" s="7" t="str">
        <f aca="false">IFERROR(INDEX('Semrush Data'!$A$1:$Z$20000,MATCH(A2573,'Semrush Data'!$A$1:$A$20000,0),MATCH("Keyword Difficulty*",'Semrush Data'!$A$1:$Z$1,0)),"")</f>
        <v/>
      </c>
      <c r="I2573" s="13" t="str">
        <f aca="false">IFERROR(INDEX('Semrush Data'!$A$1:$Z$20000,MATCH(A2573,'Semrush Data'!$A$1:$A$20000,0),MATCH("CPC*",'Semrush Data'!$A$1:$Z$1,0)),"")</f>
        <v/>
      </c>
      <c r="J2573" s="7" t="str">
        <f aca="false">IFERROR(INDEX('Semrush Data'!$A$1:$Z$20000,MATCH(A2573,'Semrush Data'!$A$1:$A$20000,0),MATCH("Intent",'Semrush Data'!$A$1:$Z$1,0)),"")</f>
        <v/>
      </c>
    </row>
    <row r="2574" customFormat="false" ht="15" hidden="false" customHeight="true" outlineLevel="0" collapsed="false">
      <c r="A2574" s="7" t="s">
        <v>7247</v>
      </c>
      <c r="B2574" s="7" t="s">
        <v>6820</v>
      </c>
      <c r="C2574" s="7" t="n">
        <v>3</v>
      </c>
      <c r="D2574" s="7" t="n">
        <v>26</v>
      </c>
      <c r="E2574" s="7" t="n">
        <v>2</v>
      </c>
      <c r="F2574" s="7" t="s">
        <v>6798</v>
      </c>
      <c r="G2574" s="12" t="str">
        <f aca="false">IFERROR(INDEX('Semrush Data'!$A$1:$Z$20000,MATCH(A2574,'Semrush Data'!$A$1:$A$20000,0),MATCH("Volume",'Semrush Data'!$A$1:$Z$1,0)),"")</f>
        <v/>
      </c>
      <c r="H2574" s="7" t="str">
        <f aca="false">IFERROR(INDEX('Semrush Data'!$A$1:$Z$20000,MATCH(A2574,'Semrush Data'!$A$1:$A$20000,0),MATCH("Keyword Difficulty*",'Semrush Data'!$A$1:$Z$1,0)),"")</f>
        <v/>
      </c>
      <c r="I2574" s="13" t="str">
        <f aca="false">IFERROR(INDEX('Semrush Data'!$A$1:$Z$20000,MATCH(A2574,'Semrush Data'!$A$1:$A$20000,0),MATCH("CPC*",'Semrush Data'!$A$1:$Z$1,0)),"")</f>
        <v/>
      </c>
      <c r="J2574" s="7" t="str">
        <f aca="false">IFERROR(INDEX('Semrush Data'!$A$1:$Z$20000,MATCH(A2574,'Semrush Data'!$A$1:$A$20000,0),MATCH("Intent",'Semrush Data'!$A$1:$Z$1,0)),"")</f>
        <v/>
      </c>
    </row>
    <row r="2575" customFormat="false" ht="15" hidden="false" customHeight="true" outlineLevel="0" collapsed="false">
      <c r="A2575" s="7" t="s">
        <v>7248</v>
      </c>
      <c r="B2575" s="7" t="s">
        <v>6820</v>
      </c>
      <c r="C2575" s="7" t="n">
        <v>3</v>
      </c>
      <c r="D2575" s="7" t="n">
        <v>26</v>
      </c>
      <c r="E2575" s="7" t="n">
        <v>2</v>
      </c>
      <c r="F2575" s="7" t="s">
        <v>6798</v>
      </c>
      <c r="G2575" s="12" t="str">
        <f aca="false">IFERROR(INDEX('Semrush Data'!$A$1:$Z$20000,MATCH(A2575,'Semrush Data'!$A$1:$A$20000,0),MATCH("Volume",'Semrush Data'!$A$1:$Z$1,0)),"")</f>
        <v/>
      </c>
      <c r="H2575" s="7" t="str">
        <f aca="false">IFERROR(INDEX('Semrush Data'!$A$1:$Z$20000,MATCH(A2575,'Semrush Data'!$A$1:$A$20000,0),MATCH("Keyword Difficulty*",'Semrush Data'!$A$1:$Z$1,0)),"")</f>
        <v/>
      </c>
      <c r="I2575" s="13" t="str">
        <f aca="false">IFERROR(INDEX('Semrush Data'!$A$1:$Z$20000,MATCH(A2575,'Semrush Data'!$A$1:$A$20000,0),MATCH("CPC*",'Semrush Data'!$A$1:$Z$1,0)),"")</f>
        <v/>
      </c>
      <c r="J2575" s="7" t="str">
        <f aca="false">IFERROR(INDEX('Semrush Data'!$A$1:$Z$20000,MATCH(A2575,'Semrush Data'!$A$1:$A$20000,0),MATCH("Intent",'Semrush Data'!$A$1:$Z$1,0)),"")</f>
        <v/>
      </c>
    </row>
    <row r="2576" customFormat="false" ht="15" hidden="false" customHeight="true" outlineLevel="0" collapsed="false">
      <c r="A2576" s="7" t="s">
        <v>7249</v>
      </c>
      <c r="B2576" s="7" t="s">
        <v>6820</v>
      </c>
      <c r="C2576" s="7" t="n">
        <v>3</v>
      </c>
      <c r="D2576" s="7" t="n">
        <v>26</v>
      </c>
      <c r="E2576" s="7" t="n">
        <v>2</v>
      </c>
      <c r="F2576" s="7" t="s">
        <v>6798</v>
      </c>
      <c r="G2576" s="12" t="str">
        <f aca="false">IFERROR(INDEX('Semrush Data'!$A$1:$Z$20000,MATCH(A2576,'Semrush Data'!$A$1:$A$20000,0),MATCH("Volume",'Semrush Data'!$A$1:$Z$1,0)),"")</f>
        <v/>
      </c>
      <c r="H2576" s="7" t="str">
        <f aca="false">IFERROR(INDEX('Semrush Data'!$A$1:$Z$20000,MATCH(A2576,'Semrush Data'!$A$1:$A$20000,0),MATCH("Keyword Difficulty*",'Semrush Data'!$A$1:$Z$1,0)),"")</f>
        <v/>
      </c>
      <c r="I2576" s="13" t="str">
        <f aca="false">IFERROR(INDEX('Semrush Data'!$A$1:$Z$20000,MATCH(A2576,'Semrush Data'!$A$1:$A$20000,0),MATCH("CPC*",'Semrush Data'!$A$1:$Z$1,0)),"")</f>
        <v/>
      </c>
      <c r="J2576" s="7" t="str">
        <f aca="false">IFERROR(INDEX('Semrush Data'!$A$1:$Z$20000,MATCH(A2576,'Semrush Data'!$A$1:$A$20000,0),MATCH("Intent",'Semrush Data'!$A$1:$Z$1,0)),"")</f>
        <v/>
      </c>
    </row>
    <row r="2577" customFormat="false" ht="15" hidden="false" customHeight="true" outlineLevel="0" collapsed="false">
      <c r="A2577" s="7" t="s">
        <v>7250</v>
      </c>
      <c r="B2577" s="7" t="s">
        <v>6820</v>
      </c>
      <c r="C2577" s="7" t="n">
        <v>3</v>
      </c>
      <c r="D2577" s="7" t="n">
        <v>26</v>
      </c>
      <c r="E2577" s="7" t="n">
        <v>2</v>
      </c>
      <c r="F2577" s="7" t="s">
        <v>6798</v>
      </c>
      <c r="G2577" s="12" t="str">
        <f aca="false">IFERROR(INDEX('Semrush Data'!$A$1:$Z$20000,MATCH(A2577,'Semrush Data'!$A$1:$A$20000,0),MATCH("Volume",'Semrush Data'!$A$1:$Z$1,0)),"")</f>
        <v/>
      </c>
      <c r="H2577" s="7" t="str">
        <f aca="false">IFERROR(INDEX('Semrush Data'!$A$1:$Z$20000,MATCH(A2577,'Semrush Data'!$A$1:$A$20000,0),MATCH("Keyword Difficulty*",'Semrush Data'!$A$1:$Z$1,0)),"")</f>
        <v/>
      </c>
      <c r="I2577" s="13" t="str">
        <f aca="false">IFERROR(INDEX('Semrush Data'!$A$1:$Z$20000,MATCH(A2577,'Semrush Data'!$A$1:$A$20000,0),MATCH("CPC*",'Semrush Data'!$A$1:$Z$1,0)),"")</f>
        <v/>
      </c>
      <c r="J2577" s="7" t="str">
        <f aca="false">IFERROR(INDEX('Semrush Data'!$A$1:$Z$20000,MATCH(A2577,'Semrush Data'!$A$1:$A$20000,0),MATCH("Intent",'Semrush Data'!$A$1:$Z$1,0)),"")</f>
        <v/>
      </c>
    </row>
    <row r="2578" customFormat="false" ht="15" hidden="false" customHeight="true" outlineLevel="0" collapsed="false">
      <c r="A2578" s="7" t="s">
        <v>7251</v>
      </c>
      <c r="B2578" s="7" t="s">
        <v>6820</v>
      </c>
      <c r="C2578" s="7" t="n">
        <v>3</v>
      </c>
      <c r="D2578" s="7" t="n">
        <v>26</v>
      </c>
      <c r="E2578" s="7" t="n">
        <v>1</v>
      </c>
      <c r="F2578" s="7" t="s">
        <v>3663</v>
      </c>
      <c r="G2578" s="12" t="str">
        <f aca="false">IFERROR(INDEX('Semrush Data'!$A$1:$Z$20000,MATCH(A2578,'Semrush Data'!$A$1:$A$20000,0),MATCH("Volume",'Semrush Data'!$A$1:$Z$1,0)),"")</f>
        <v/>
      </c>
      <c r="H2578" s="7" t="str">
        <f aca="false">IFERROR(INDEX('Semrush Data'!$A$1:$Z$20000,MATCH(A2578,'Semrush Data'!$A$1:$A$20000,0),MATCH("Keyword Difficulty*",'Semrush Data'!$A$1:$Z$1,0)),"")</f>
        <v/>
      </c>
      <c r="I2578" s="13" t="str">
        <f aca="false">IFERROR(INDEX('Semrush Data'!$A$1:$Z$20000,MATCH(A2578,'Semrush Data'!$A$1:$A$20000,0),MATCH("CPC*",'Semrush Data'!$A$1:$Z$1,0)),"")</f>
        <v/>
      </c>
      <c r="J2578" s="7" t="str">
        <f aca="false">IFERROR(INDEX('Semrush Data'!$A$1:$Z$20000,MATCH(A2578,'Semrush Data'!$A$1:$A$20000,0),MATCH("Intent",'Semrush Data'!$A$1:$Z$1,0)),"")</f>
        <v/>
      </c>
    </row>
    <row r="2579" customFormat="false" ht="15" hidden="false" customHeight="true" outlineLevel="0" collapsed="false">
      <c r="A2579" s="7" t="s">
        <v>7252</v>
      </c>
      <c r="B2579" s="7" t="s">
        <v>6820</v>
      </c>
      <c r="C2579" s="7" t="n">
        <v>3</v>
      </c>
      <c r="D2579" s="7" t="n">
        <v>26</v>
      </c>
      <c r="E2579" s="7" t="n">
        <v>1</v>
      </c>
      <c r="F2579" s="7" t="s">
        <v>3609</v>
      </c>
      <c r="G2579" s="12" t="str">
        <f aca="false">IFERROR(INDEX('Semrush Data'!$A$1:$Z$20000,MATCH(A2579,'Semrush Data'!$A$1:$A$20000,0),MATCH("Volume",'Semrush Data'!$A$1:$Z$1,0)),"")</f>
        <v/>
      </c>
      <c r="H2579" s="7" t="str">
        <f aca="false">IFERROR(INDEX('Semrush Data'!$A$1:$Z$20000,MATCH(A2579,'Semrush Data'!$A$1:$A$20000,0),MATCH("Keyword Difficulty*",'Semrush Data'!$A$1:$Z$1,0)),"")</f>
        <v/>
      </c>
      <c r="I2579" s="13" t="str">
        <f aca="false">IFERROR(INDEX('Semrush Data'!$A$1:$Z$20000,MATCH(A2579,'Semrush Data'!$A$1:$A$20000,0),MATCH("CPC*",'Semrush Data'!$A$1:$Z$1,0)),"")</f>
        <v/>
      </c>
      <c r="J2579" s="7" t="str">
        <f aca="false">IFERROR(INDEX('Semrush Data'!$A$1:$Z$20000,MATCH(A2579,'Semrush Data'!$A$1:$A$20000,0),MATCH("Intent",'Semrush Data'!$A$1:$Z$1,0)),"")</f>
        <v/>
      </c>
    </row>
    <row r="2580" customFormat="false" ht="15" hidden="false" customHeight="true" outlineLevel="0" collapsed="false">
      <c r="A2580" s="7" t="s">
        <v>7253</v>
      </c>
      <c r="B2580" s="7" t="s">
        <v>6820</v>
      </c>
      <c r="C2580" s="7" t="n">
        <v>3</v>
      </c>
      <c r="D2580" s="7" t="n">
        <v>26</v>
      </c>
      <c r="E2580" s="7" t="n">
        <v>1</v>
      </c>
      <c r="F2580" s="7" t="s">
        <v>3609</v>
      </c>
      <c r="G2580" s="12" t="str">
        <f aca="false">IFERROR(INDEX('Semrush Data'!$A$1:$Z$20000,MATCH(A2580,'Semrush Data'!$A$1:$A$20000,0),MATCH("Volume",'Semrush Data'!$A$1:$Z$1,0)),"")</f>
        <v/>
      </c>
      <c r="H2580" s="7" t="str">
        <f aca="false">IFERROR(INDEX('Semrush Data'!$A$1:$Z$20000,MATCH(A2580,'Semrush Data'!$A$1:$A$20000,0),MATCH("Keyword Difficulty*",'Semrush Data'!$A$1:$Z$1,0)),"")</f>
        <v/>
      </c>
      <c r="I2580" s="13" t="str">
        <f aca="false">IFERROR(INDEX('Semrush Data'!$A$1:$Z$20000,MATCH(A2580,'Semrush Data'!$A$1:$A$20000,0),MATCH("CPC*",'Semrush Data'!$A$1:$Z$1,0)),"")</f>
        <v/>
      </c>
      <c r="J2580" s="7" t="str">
        <f aca="false">IFERROR(INDEX('Semrush Data'!$A$1:$Z$20000,MATCH(A2580,'Semrush Data'!$A$1:$A$20000,0),MATCH("Intent",'Semrush Data'!$A$1:$Z$1,0)),"")</f>
        <v/>
      </c>
    </row>
    <row r="2581" customFormat="false" ht="15" hidden="false" customHeight="true" outlineLevel="0" collapsed="false">
      <c r="A2581" s="7" t="s">
        <v>7254</v>
      </c>
      <c r="B2581" s="7" t="s">
        <v>6820</v>
      </c>
      <c r="C2581" s="7" t="n">
        <v>3</v>
      </c>
      <c r="D2581" s="7" t="n">
        <v>26</v>
      </c>
      <c r="E2581" s="7" t="n">
        <v>1</v>
      </c>
      <c r="F2581" s="7" t="s">
        <v>3609</v>
      </c>
      <c r="G2581" s="12" t="str">
        <f aca="false">IFERROR(INDEX('Semrush Data'!$A$1:$Z$20000,MATCH(A2581,'Semrush Data'!$A$1:$A$20000,0),MATCH("Volume",'Semrush Data'!$A$1:$Z$1,0)),"")</f>
        <v/>
      </c>
      <c r="H2581" s="7" t="str">
        <f aca="false">IFERROR(INDEX('Semrush Data'!$A$1:$Z$20000,MATCH(A2581,'Semrush Data'!$A$1:$A$20000,0),MATCH("Keyword Difficulty*",'Semrush Data'!$A$1:$Z$1,0)),"")</f>
        <v/>
      </c>
      <c r="I2581" s="13" t="str">
        <f aca="false">IFERROR(INDEX('Semrush Data'!$A$1:$Z$20000,MATCH(A2581,'Semrush Data'!$A$1:$A$20000,0),MATCH("CPC*",'Semrush Data'!$A$1:$Z$1,0)),"")</f>
        <v/>
      </c>
      <c r="J2581" s="7" t="str">
        <f aca="false">IFERROR(INDEX('Semrush Data'!$A$1:$Z$20000,MATCH(A2581,'Semrush Data'!$A$1:$A$20000,0),MATCH("Intent",'Semrush Data'!$A$1:$Z$1,0)),"")</f>
        <v/>
      </c>
    </row>
    <row r="2582" customFormat="false" ht="15" hidden="false" customHeight="true" outlineLevel="0" collapsed="false">
      <c r="A2582" s="7" t="s">
        <v>7255</v>
      </c>
      <c r="B2582" s="7" t="s">
        <v>6820</v>
      </c>
      <c r="C2582" s="7" t="n">
        <v>3</v>
      </c>
      <c r="D2582" s="7" t="n">
        <v>26</v>
      </c>
      <c r="E2582" s="7" t="n">
        <v>1</v>
      </c>
      <c r="F2582" s="7" t="s">
        <v>3663</v>
      </c>
      <c r="G2582" s="12" t="str">
        <f aca="false">IFERROR(INDEX('Semrush Data'!$A$1:$Z$20000,MATCH(A2582,'Semrush Data'!$A$1:$A$20000,0),MATCH("Volume",'Semrush Data'!$A$1:$Z$1,0)),"")</f>
        <v/>
      </c>
      <c r="H2582" s="7" t="str">
        <f aca="false">IFERROR(INDEX('Semrush Data'!$A$1:$Z$20000,MATCH(A2582,'Semrush Data'!$A$1:$A$20000,0),MATCH("Keyword Difficulty*",'Semrush Data'!$A$1:$Z$1,0)),"")</f>
        <v/>
      </c>
      <c r="I2582" s="13" t="str">
        <f aca="false">IFERROR(INDEX('Semrush Data'!$A$1:$Z$20000,MATCH(A2582,'Semrush Data'!$A$1:$A$20000,0),MATCH("CPC*",'Semrush Data'!$A$1:$Z$1,0)),"")</f>
        <v/>
      </c>
      <c r="J2582" s="7" t="str">
        <f aca="false">IFERROR(INDEX('Semrush Data'!$A$1:$Z$20000,MATCH(A2582,'Semrush Data'!$A$1:$A$20000,0),MATCH("Intent",'Semrush Data'!$A$1:$Z$1,0)),"")</f>
        <v/>
      </c>
    </row>
    <row r="2583" customFormat="false" ht="15" hidden="false" customHeight="true" outlineLevel="0" collapsed="false">
      <c r="A2583" s="7" t="s">
        <v>7256</v>
      </c>
      <c r="B2583" s="7" t="s">
        <v>6820</v>
      </c>
      <c r="C2583" s="7" t="n">
        <v>3</v>
      </c>
      <c r="D2583" s="7" t="n">
        <v>26</v>
      </c>
      <c r="E2583" s="7" t="n">
        <v>1</v>
      </c>
      <c r="F2583" s="7" t="s">
        <v>3663</v>
      </c>
      <c r="G2583" s="12" t="str">
        <f aca="false">IFERROR(INDEX('Semrush Data'!$A$1:$Z$20000,MATCH(A2583,'Semrush Data'!$A$1:$A$20000,0),MATCH("Volume",'Semrush Data'!$A$1:$Z$1,0)),"")</f>
        <v/>
      </c>
      <c r="H2583" s="7" t="str">
        <f aca="false">IFERROR(INDEX('Semrush Data'!$A$1:$Z$20000,MATCH(A2583,'Semrush Data'!$A$1:$A$20000,0),MATCH("Keyword Difficulty*",'Semrush Data'!$A$1:$Z$1,0)),"")</f>
        <v/>
      </c>
      <c r="I2583" s="13" t="str">
        <f aca="false">IFERROR(INDEX('Semrush Data'!$A$1:$Z$20000,MATCH(A2583,'Semrush Data'!$A$1:$A$20000,0),MATCH("CPC*",'Semrush Data'!$A$1:$Z$1,0)),"")</f>
        <v/>
      </c>
      <c r="J2583" s="7" t="str">
        <f aca="false">IFERROR(INDEX('Semrush Data'!$A$1:$Z$20000,MATCH(A2583,'Semrush Data'!$A$1:$A$20000,0),MATCH("Intent",'Semrush Data'!$A$1:$Z$1,0)),"")</f>
        <v/>
      </c>
    </row>
    <row r="2584" customFormat="false" ht="15" hidden="false" customHeight="true" outlineLevel="0" collapsed="false">
      <c r="A2584" s="7" t="s">
        <v>7257</v>
      </c>
      <c r="B2584" s="7" t="s">
        <v>6820</v>
      </c>
      <c r="C2584" s="7" t="n">
        <v>3</v>
      </c>
      <c r="D2584" s="7" t="n">
        <v>26</v>
      </c>
      <c r="E2584" s="7" t="n">
        <v>1</v>
      </c>
      <c r="F2584" s="7" t="s">
        <v>3663</v>
      </c>
      <c r="G2584" s="12" t="str">
        <f aca="false">IFERROR(INDEX('Semrush Data'!$A$1:$Z$20000,MATCH(A2584,'Semrush Data'!$A$1:$A$20000,0),MATCH("Volume",'Semrush Data'!$A$1:$Z$1,0)),"")</f>
        <v/>
      </c>
      <c r="H2584" s="7" t="str">
        <f aca="false">IFERROR(INDEX('Semrush Data'!$A$1:$Z$20000,MATCH(A2584,'Semrush Data'!$A$1:$A$20000,0),MATCH("Keyword Difficulty*",'Semrush Data'!$A$1:$Z$1,0)),"")</f>
        <v/>
      </c>
      <c r="I2584" s="13" t="str">
        <f aca="false">IFERROR(INDEX('Semrush Data'!$A$1:$Z$20000,MATCH(A2584,'Semrush Data'!$A$1:$A$20000,0),MATCH("CPC*",'Semrush Data'!$A$1:$Z$1,0)),"")</f>
        <v/>
      </c>
      <c r="J2584" s="7" t="str">
        <f aca="false">IFERROR(INDEX('Semrush Data'!$A$1:$Z$20000,MATCH(A2584,'Semrush Data'!$A$1:$A$20000,0),MATCH("Intent",'Semrush Data'!$A$1:$Z$1,0)),"")</f>
        <v/>
      </c>
    </row>
    <row r="2585" customFormat="false" ht="15" hidden="false" customHeight="true" outlineLevel="0" collapsed="false">
      <c r="A2585" s="7" t="s">
        <v>7258</v>
      </c>
      <c r="B2585" s="7" t="s">
        <v>6820</v>
      </c>
      <c r="C2585" s="7" t="n">
        <v>3</v>
      </c>
      <c r="D2585" s="7" t="n">
        <v>26</v>
      </c>
      <c r="E2585" s="7" t="n">
        <v>1</v>
      </c>
      <c r="F2585" s="7" t="s">
        <v>3704</v>
      </c>
      <c r="G2585" s="12" t="str">
        <f aca="false">IFERROR(INDEX('Semrush Data'!$A$1:$Z$20000,MATCH(A2585,'Semrush Data'!$A$1:$A$20000,0),MATCH("Volume",'Semrush Data'!$A$1:$Z$1,0)),"")</f>
        <v/>
      </c>
      <c r="H2585" s="7" t="str">
        <f aca="false">IFERROR(INDEX('Semrush Data'!$A$1:$Z$20000,MATCH(A2585,'Semrush Data'!$A$1:$A$20000,0),MATCH("Keyword Difficulty*",'Semrush Data'!$A$1:$Z$1,0)),"")</f>
        <v/>
      </c>
      <c r="I2585" s="13" t="str">
        <f aca="false">IFERROR(INDEX('Semrush Data'!$A$1:$Z$20000,MATCH(A2585,'Semrush Data'!$A$1:$A$20000,0),MATCH("CPC*",'Semrush Data'!$A$1:$Z$1,0)),"")</f>
        <v/>
      </c>
      <c r="J2585" s="7" t="str">
        <f aca="false">IFERROR(INDEX('Semrush Data'!$A$1:$Z$20000,MATCH(A2585,'Semrush Data'!$A$1:$A$20000,0),MATCH("Intent",'Semrush Data'!$A$1:$Z$1,0)),"")</f>
        <v/>
      </c>
    </row>
    <row r="2586" customFormat="false" ht="15" hidden="false" customHeight="true" outlineLevel="0" collapsed="false">
      <c r="A2586" s="7" t="s">
        <v>7259</v>
      </c>
      <c r="B2586" s="7" t="s">
        <v>6820</v>
      </c>
      <c r="C2586" s="7" t="n">
        <v>3</v>
      </c>
      <c r="D2586" s="7" t="n">
        <v>26</v>
      </c>
      <c r="E2586" s="7" t="n">
        <v>1</v>
      </c>
      <c r="F2586" s="7" t="s">
        <v>3715</v>
      </c>
      <c r="G2586" s="12" t="str">
        <f aca="false">IFERROR(INDEX('Semrush Data'!$A$1:$Z$20000,MATCH(A2586,'Semrush Data'!$A$1:$A$20000,0),MATCH("Volume",'Semrush Data'!$A$1:$Z$1,0)),"")</f>
        <v/>
      </c>
      <c r="H2586" s="7" t="str">
        <f aca="false">IFERROR(INDEX('Semrush Data'!$A$1:$Z$20000,MATCH(A2586,'Semrush Data'!$A$1:$A$20000,0),MATCH("Keyword Difficulty*",'Semrush Data'!$A$1:$Z$1,0)),"")</f>
        <v/>
      </c>
      <c r="I2586" s="13" t="str">
        <f aca="false">IFERROR(INDEX('Semrush Data'!$A$1:$Z$20000,MATCH(A2586,'Semrush Data'!$A$1:$A$20000,0),MATCH("CPC*",'Semrush Data'!$A$1:$Z$1,0)),"")</f>
        <v/>
      </c>
      <c r="J2586" s="7" t="str">
        <f aca="false">IFERROR(INDEX('Semrush Data'!$A$1:$Z$20000,MATCH(A2586,'Semrush Data'!$A$1:$A$20000,0),MATCH("Intent",'Semrush Data'!$A$1:$Z$1,0)),"")</f>
        <v/>
      </c>
    </row>
    <row r="2587" customFormat="false" ht="15" hidden="false" customHeight="true" outlineLevel="0" collapsed="false">
      <c r="A2587" s="7" t="s">
        <v>7260</v>
      </c>
      <c r="B2587" s="7" t="s">
        <v>6820</v>
      </c>
      <c r="C2587" s="7" t="n">
        <v>3</v>
      </c>
      <c r="D2587" s="7" t="n">
        <v>26</v>
      </c>
      <c r="E2587" s="7" t="n">
        <v>1</v>
      </c>
      <c r="F2587" s="7" t="s">
        <v>3794</v>
      </c>
      <c r="G2587" s="12" t="str">
        <f aca="false">IFERROR(INDEX('Semrush Data'!$A$1:$Z$20000,MATCH(A2587,'Semrush Data'!$A$1:$A$20000,0),MATCH("Volume",'Semrush Data'!$A$1:$Z$1,0)),"")</f>
        <v/>
      </c>
      <c r="H2587" s="7" t="str">
        <f aca="false">IFERROR(INDEX('Semrush Data'!$A$1:$Z$20000,MATCH(A2587,'Semrush Data'!$A$1:$A$20000,0),MATCH("Keyword Difficulty*",'Semrush Data'!$A$1:$Z$1,0)),"")</f>
        <v/>
      </c>
      <c r="I2587" s="13" t="str">
        <f aca="false">IFERROR(INDEX('Semrush Data'!$A$1:$Z$20000,MATCH(A2587,'Semrush Data'!$A$1:$A$20000,0),MATCH("CPC*",'Semrush Data'!$A$1:$Z$1,0)),"")</f>
        <v/>
      </c>
      <c r="J2587" s="7" t="str">
        <f aca="false">IFERROR(INDEX('Semrush Data'!$A$1:$Z$20000,MATCH(A2587,'Semrush Data'!$A$1:$A$20000,0),MATCH("Intent",'Semrush Data'!$A$1:$Z$1,0)),"")</f>
        <v/>
      </c>
    </row>
    <row r="2588" customFormat="false" ht="15" hidden="false" customHeight="true" outlineLevel="0" collapsed="false">
      <c r="A2588" s="7" t="s">
        <v>7261</v>
      </c>
      <c r="B2588" s="7" t="s">
        <v>6820</v>
      </c>
      <c r="C2588" s="7" t="n">
        <v>3</v>
      </c>
      <c r="D2588" s="7" t="n">
        <v>26</v>
      </c>
      <c r="E2588" s="7" t="n">
        <v>1</v>
      </c>
      <c r="F2588" s="7" t="s">
        <v>3794</v>
      </c>
      <c r="G2588" s="12" t="str">
        <f aca="false">IFERROR(INDEX('Semrush Data'!$A$1:$Z$20000,MATCH(A2588,'Semrush Data'!$A$1:$A$20000,0),MATCH("Volume",'Semrush Data'!$A$1:$Z$1,0)),"")</f>
        <v/>
      </c>
      <c r="H2588" s="7" t="str">
        <f aca="false">IFERROR(INDEX('Semrush Data'!$A$1:$Z$20000,MATCH(A2588,'Semrush Data'!$A$1:$A$20000,0),MATCH("Keyword Difficulty*",'Semrush Data'!$A$1:$Z$1,0)),"")</f>
        <v/>
      </c>
      <c r="I2588" s="13" t="str">
        <f aca="false">IFERROR(INDEX('Semrush Data'!$A$1:$Z$20000,MATCH(A2588,'Semrush Data'!$A$1:$A$20000,0),MATCH("CPC*",'Semrush Data'!$A$1:$Z$1,0)),"")</f>
        <v/>
      </c>
      <c r="J2588" s="7" t="str">
        <f aca="false">IFERROR(INDEX('Semrush Data'!$A$1:$Z$20000,MATCH(A2588,'Semrush Data'!$A$1:$A$20000,0),MATCH("Intent",'Semrush Data'!$A$1:$Z$1,0)),"")</f>
        <v/>
      </c>
    </row>
    <row r="2589" customFormat="false" ht="15" hidden="false" customHeight="true" outlineLevel="0" collapsed="false">
      <c r="A2589" s="7" t="s">
        <v>7262</v>
      </c>
      <c r="B2589" s="7" t="s">
        <v>6820</v>
      </c>
      <c r="C2589" s="7" t="n">
        <v>3</v>
      </c>
      <c r="D2589" s="7" t="n">
        <v>26</v>
      </c>
      <c r="E2589" s="7" t="n">
        <v>1</v>
      </c>
      <c r="F2589" s="7" t="s">
        <v>3794</v>
      </c>
      <c r="G2589" s="12" t="str">
        <f aca="false">IFERROR(INDEX('Semrush Data'!$A$1:$Z$20000,MATCH(A2589,'Semrush Data'!$A$1:$A$20000,0),MATCH("Volume",'Semrush Data'!$A$1:$Z$1,0)),"")</f>
        <v/>
      </c>
      <c r="H2589" s="7" t="str">
        <f aca="false">IFERROR(INDEX('Semrush Data'!$A$1:$Z$20000,MATCH(A2589,'Semrush Data'!$A$1:$A$20000,0),MATCH("Keyword Difficulty*",'Semrush Data'!$A$1:$Z$1,0)),"")</f>
        <v/>
      </c>
      <c r="I2589" s="13" t="str">
        <f aca="false">IFERROR(INDEX('Semrush Data'!$A$1:$Z$20000,MATCH(A2589,'Semrush Data'!$A$1:$A$20000,0),MATCH("CPC*",'Semrush Data'!$A$1:$Z$1,0)),"")</f>
        <v/>
      </c>
      <c r="J2589" s="7" t="str">
        <f aca="false">IFERROR(INDEX('Semrush Data'!$A$1:$Z$20000,MATCH(A2589,'Semrush Data'!$A$1:$A$20000,0),MATCH("Intent",'Semrush Data'!$A$1:$Z$1,0)),"")</f>
        <v/>
      </c>
    </row>
    <row r="2590" customFormat="false" ht="15" hidden="false" customHeight="true" outlineLevel="0" collapsed="false">
      <c r="A2590" s="7" t="s">
        <v>7263</v>
      </c>
      <c r="B2590" s="7" t="s">
        <v>6820</v>
      </c>
      <c r="C2590" s="7" t="n">
        <v>3</v>
      </c>
      <c r="D2590" s="7" t="n">
        <v>26</v>
      </c>
      <c r="E2590" s="7" t="n">
        <v>1</v>
      </c>
      <c r="F2590" s="7" t="s">
        <v>3794</v>
      </c>
      <c r="G2590" s="12" t="str">
        <f aca="false">IFERROR(INDEX('Semrush Data'!$A$1:$Z$20000,MATCH(A2590,'Semrush Data'!$A$1:$A$20000,0),MATCH("Volume",'Semrush Data'!$A$1:$Z$1,0)),"")</f>
        <v/>
      </c>
      <c r="H2590" s="7" t="str">
        <f aca="false">IFERROR(INDEX('Semrush Data'!$A$1:$Z$20000,MATCH(A2590,'Semrush Data'!$A$1:$A$20000,0),MATCH("Keyword Difficulty*",'Semrush Data'!$A$1:$Z$1,0)),"")</f>
        <v/>
      </c>
      <c r="I2590" s="13" t="str">
        <f aca="false">IFERROR(INDEX('Semrush Data'!$A$1:$Z$20000,MATCH(A2590,'Semrush Data'!$A$1:$A$20000,0),MATCH("CPC*",'Semrush Data'!$A$1:$Z$1,0)),"")</f>
        <v/>
      </c>
      <c r="J2590" s="7" t="str">
        <f aca="false">IFERROR(INDEX('Semrush Data'!$A$1:$Z$20000,MATCH(A2590,'Semrush Data'!$A$1:$A$20000,0),MATCH("Intent",'Semrush Data'!$A$1:$Z$1,0)),"")</f>
        <v/>
      </c>
    </row>
    <row r="2591" customFormat="false" ht="15" hidden="false" customHeight="true" outlineLevel="0" collapsed="false">
      <c r="A2591" s="7" t="s">
        <v>7264</v>
      </c>
      <c r="B2591" s="7" t="s">
        <v>6820</v>
      </c>
      <c r="C2591" s="7" t="n">
        <v>3</v>
      </c>
      <c r="D2591" s="7" t="n">
        <v>26</v>
      </c>
      <c r="E2591" s="7" t="n">
        <v>1</v>
      </c>
      <c r="F2591" s="7" t="s">
        <v>3805</v>
      </c>
      <c r="G2591" s="12" t="str">
        <f aca="false">IFERROR(INDEX('Semrush Data'!$A$1:$Z$20000,MATCH(A2591,'Semrush Data'!$A$1:$A$20000,0),MATCH("Volume",'Semrush Data'!$A$1:$Z$1,0)),"")</f>
        <v/>
      </c>
      <c r="H2591" s="7" t="str">
        <f aca="false">IFERROR(INDEX('Semrush Data'!$A$1:$Z$20000,MATCH(A2591,'Semrush Data'!$A$1:$A$20000,0),MATCH("Keyword Difficulty*",'Semrush Data'!$A$1:$Z$1,0)),"")</f>
        <v/>
      </c>
      <c r="I2591" s="13" t="str">
        <f aca="false">IFERROR(INDEX('Semrush Data'!$A$1:$Z$20000,MATCH(A2591,'Semrush Data'!$A$1:$A$20000,0),MATCH("CPC*",'Semrush Data'!$A$1:$Z$1,0)),"")</f>
        <v/>
      </c>
      <c r="J2591" s="7" t="str">
        <f aca="false">IFERROR(INDEX('Semrush Data'!$A$1:$Z$20000,MATCH(A2591,'Semrush Data'!$A$1:$A$20000,0),MATCH("Intent",'Semrush Data'!$A$1:$Z$1,0)),"")</f>
        <v/>
      </c>
    </row>
    <row r="2592" customFormat="false" ht="15" hidden="false" customHeight="true" outlineLevel="0" collapsed="false">
      <c r="A2592" s="7" t="s">
        <v>7265</v>
      </c>
      <c r="B2592" s="7" t="s">
        <v>6820</v>
      </c>
      <c r="C2592" s="7" t="n">
        <v>3</v>
      </c>
      <c r="D2592" s="7" t="n">
        <v>26</v>
      </c>
      <c r="E2592" s="7" t="n">
        <v>1</v>
      </c>
      <c r="F2592" s="7" t="s">
        <v>3805</v>
      </c>
      <c r="G2592" s="12" t="str">
        <f aca="false">IFERROR(INDEX('Semrush Data'!$A$1:$Z$20000,MATCH(A2592,'Semrush Data'!$A$1:$A$20000,0),MATCH("Volume",'Semrush Data'!$A$1:$Z$1,0)),"")</f>
        <v/>
      </c>
      <c r="H2592" s="7" t="str">
        <f aca="false">IFERROR(INDEX('Semrush Data'!$A$1:$Z$20000,MATCH(A2592,'Semrush Data'!$A$1:$A$20000,0),MATCH("Keyword Difficulty*",'Semrush Data'!$A$1:$Z$1,0)),"")</f>
        <v/>
      </c>
      <c r="I2592" s="13" t="str">
        <f aca="false">IFERROR(INDEX('Semrush Data'!$A$1:$Z$20000,MATCH(A2592,'Semrush Data'!$A$1:$A$20000,0),MATCH("CPC*",'Semrush Data'!$A$1:$Z$1,0)),"")</f>
        <v/>
      </c>
      <c r="J2592" s="7" t="str">
        <f aca="false">IFERROR(INDEX('Semrush Data'!$A$1:$Z$20000,MATCH(A2592,'Semrush Data'!$A$1:$A$20000,0),MATCH("Intent",'Semrush Data'!$A$1:$Z$1,0)),"")</f>
        <v/>
      </c>
    </row>
    <row r="2593" customFormat="false" ht="15" hidden="false" customHeight="true" outlineLevel="0" collapsed="false">
      <c r="A2593" s="7" t="s">
        <v>7266</v>
      </c>
      <c r="B2593" s="7" t="s">
        <v>6820</v>
      </c>
      <c r="C2593" s="7" t="n">
        <v>3</v>
      </c>
      <c r="D2593" s="7" t="n">
        <v>26</v>
      </c>
      <c r="E2593" s="7" t="n">
        <v>1</v>
      </c>
      <c r="F2593" s="7" t="s">
        <v>3805</v>
      </c>
      <c r="G2593" s="12" t="str">
        <f aca="false">IFERROR(INDEX('Semrush Data'!$A$1:$Z$20000,MATCH(A2593,'Semrush Data'!$A$1:$A$20000,0),MATCH("Volume",'Semrush Data'!$A$1:$Z$1,0)),"")</f>
        <v/>
      </c>
      <c r="H2593" s="7" t="str">
        <f aca="false">IFERROR(INDEX('Semrush Data'!$A$1:$Z$20000,MATCH(A2593,'Semrush Data'!$A$1:$A$20000,0),MATCH("Keyword Difficulty*",'Semrush Data'!$A$1:$Z$1,0)),"")</f>
        <v/>
      </c>
      <c r="I2593" s="13" t="str">
        <f aca="false">IFERROR(INDEX('Semrush Data'!$A$1:$Z$20000,MATCH(A2593,'Semrush Data'!$A$1:$A$20000,0),MATCH("CPC*",'Semrush Data'!$A$1:$Z$1,0)),"")</f>
        <v/>
      </c>
      <c r="J2593" s="7" t="str">
        <f aca="false">IFERROR(INDEX('Semrush Data'!$A$1:$Z$20000,MATCH(A2593,'Semrush Data'!$A$1:$A$20000,0),MATCH("Intent",'Semrush Data'!$A$1:$Z$1,0)),"")</f>
        <v/>
      </c>
    </row>
    <row r="2594" customFormat="false" ht="15" hidden="false" customHeight="true" outlineLevel="0" collapsed="false">
      <c r="A2594" s="7" t="s">
        <v>7267</v>
      </c>
      <c r="B2594" s="7" t="s">
        <v>6820</v>
      </c>
      <c r="C2594" s="7" t="n">
        <v>3</v>
      </c>
      <c r="D2594" s="7" t="n">
        <v>26</v>
      </c>
      <c r="E2594" s="7" t="n">
        <v>1</v>
      </c>
      <c r="F2594" s="7" t="s">
        <v>3805</v>
      </c>
      <c r="G2594" s="12" t="str">
        <f aca="false">IFERROR(INDEX('Semrush Data'!$A$1:$Z$20000,MATCH(A2594,'Semrush Data'!$A$1:$A$20000,0),MATCH("Volume",'Semrush Data'!$A$1:$Z$1,0)),"")</f>
        <v/>
      </c>
      <c r="H2594" s="7" t="str">
        <f aca="false">IFERROR(INDEX('Semrush Data'!$A$1:$Z$20000,MATCH(A2594,'Semrush Data'!$A$1:$A$20000,0),MATCH("Keyword Difficulty*",'Semrush Data'!$A$1:$Z$1,0)),"")</f>
        <v/>
      </c>
      <c r="I2594" s="13" t="str">
        <f aca="false">IFERROR(INDEX('Semrush Data'!$A$1:$Z$20000,MATCH(A2594,'Semrush Data'!$A$1:$A$20000,0),MATCH("CPC*",'Semrush Data'!$A$1:$Z$1,0)),"")</f>
        <v/>
      </c>
      <c r="J2594" s="7" t="str">
        <f aca="false">IFERROR(INDEX('Semrush Data'!$A$1:$Z$20000,MATCH(A2594,'Semrush Data'!$A$1:$A$20000,0),MATCH("Intent",'Semrush Data'!$A$1:$Z$1,0)),"")</f>
        <v/>
      </c>
    </row>
    <row r="2595" customFormat="false" ht="15" hidden="false" customHeight="true" outlineLevel="0" collapsed="false">
      <c r="A2595" s="7" t="s">
        <v>7268</v>
      </c>
      <c r="B2595" s="7" t="s">
        <v>6820</v>
      </c>
      <c r="C2595" s="7" t="n">
        <v>3</v>
      </c>
      <c r="D2595" s="7" t="n">
        <v>26</v>
      </c>
      <c r="E2595" s="7" t="n">
        <v>1</v>
      </c>
      <c r="F2595" s="7" t="s">
        <v>3817</v>
      </c>
      <c r="G2595" s="12" t="str">
        <f aca="false">IFERROR(INDEX('Semrush Data'!$A$1:$Z$20000,MATCH(A2595,'Semrush Data'!$A$1:$A$20000,0),MATCH("Volume",'Semrush Data'!$A$1:$Z$1,0)),"")</f>
        <v/>
      </c>
      <c r="H2595" s="7" t="str">
        <f aca="false">IFERROR(INDEX('Semrush Data'!$A$1:$Z$20000,MATCH(A2595,'Semrush Data'!$A$1:$A$20000,0),MATCH("Keyword Difficulty*",'Semrush Data'!$A$1:$Z$1,0)),"")</f>
        <v/>
      </c>
      <c r="I2595" s="13" t="str">
        <f aca="false">IFERROR(INDEX('Semrush Data'!$A$1:$Z$20000,MATCH(A2595,'Semrush Data'!$A$1:$A$20000,0),MATCH("CPC*",'Semrush Data'!$A$1:$Z$1,0)),"")</f>
        <v/>
      </c>
      <c r="J2595" s="7" t="str">
        <f aca="false">IFERROR(INDEX('Semrush Data'!$A$1:$Z$20000,MATCH(A2595,'Semrush Data'!$A$1:$A$20000,0),MATCH("Intent",'Semrush Data'!$A$1:$Z$1,0)),"")</f>
        <v/>
      </c>
    </row>
    <row r="2596" customFormat="false" ht="15" hidden="false" customHeight="true" outlineLevel="0" collapsed="false">
      <c r="A2596" s="7" t="s">
        <v>7269</v>
      </c>
      <c r="B2596" s="7" t="s">
        <v>6820</v>
      </c>
      <c r="C2596" s="7" t="n">
        <v>3</v>
      </c>
      <c r="D2596" s="7" t="n">
        <v>26</v>
      </c>
      <c r="E2596" s="7" t="n">
        <v>1</v>
      </c>
      <c r="F2596" s="7" t="s">
        <v>3817</v>
      </c>
      <c r="G2596" s="12" t="str">
        <f aca="false">IFERROR(INDEX('Semrush Data'!$A$1:$Z$20000,MATCH(A2596,'Semrush Data'!$A$1:$A$20000,0),MATCH("Volume",'Semrush Data'!$A$1:$Z$1,0)),"")</f>
        <v/>
      </c>
      <c r="H2596" s="7" t="str">
        <f aca="false">IFERROR(INDEX('Semrush Data'!$A$1:$Z$20000,MATCH(A2596,'Semrush Data'!$A$1:$A$20000,0),MATCH("Keyword Difficulty*",'Semrush Data'!$A$1:$Z$1,0)),"")</f>
        <v/>
      </c>
      <c r="I2596" s="13" t="str">
        <f aca="false">IFERROR(INDEX('Semrush Data'!$A$1:$Z$20000,MATCH(A2596,'Semrush Data'!$A$1:$A$20000,0),MATCH("CPC*",'Semrush Data'!$A$1:$Z$1,0)),"")</f>
        <v/>
      </c>
      <c r="J2596" s="7" t="str">
        <f aca="false">IFERROR(INDEX('Semrush Data'!$A$1:$Z$20000,MATCH(A2596,'Semrush Data'!$A$1:$A$20000,0),MATCH("Intent",'Semrush Data'!$A$1:$Z$1,0)),"")</f>
        <v/>
      </c>
    </row>
    <row r="2597" customFormat="false" ht="15" hidden="false" customHeight="true" outlineLevel="0" collapsed="false">
      <c r="A2597" s="7" t="s">
        <v>7270</v>
      </c>
      <c r="B2597" s="7" t="s">
        <v>6820</v>
      </c>
      <c r="C2597" s="7" t="n">
        <v>3</v>
      </c>
      <c r="D2597" s="7" t="n">
        <v>26</v>
      </c>
      <c r="E2597" s="7" t="n">
        <v>1</v>
      </c>
      <c r="F2597" s="7" t="s">
        <v>3817</v>
      </c>
      <c r="G2597" s="12" t="str">
        <f aca="false">IFERROR(INDEX('Semrush Data'!$A$1:$Z$20000,MATCH(A2597,'Semrush Data'!$A$1:$A$20000,0),MATCH("Volume",'Semrush Data'!$A$1:$Z$1,0)),"")</f>
        <v/>
      </c>
      <c r="H2597" s="7" t="str">
        <f aca="false">IFERROR(INDEX('Semrush Data'!$A$1:$Z$20000,MATCH(A2597,'Semrush Data'!$A$1:$A$20000,0),MATCH("Keyword Difficulty*",'Semrush Data'!$A$1:$Z$1,0)),"")</f>
        <v/>
      </c>
      <c r="I2597" s="13" t="str">
        <f aca="false">IFERROR(INDEX('Semrush Data'!$A$1:$Z$20000,MATCH(A2597,'Semrush Data'!$A$1:$A$20000,0),MATCH("CPC*",'Semrush Data'!$A$1:$Z$1,0)),"")</f>
        <v/>
      </c>
      <c r="J2597" s="7" t="str">
        <f aca="false">IFERROR(INDEX('Semrush Data'!$A$1:$Z$20000,MATCH(A2597,'Semrush Data'!$A$1:$A$20000,0),MATCH("Intent",'Semrush Data'!$A$1:$Z$1,0)),"")</f>
        <v/>
      </c>
    </row>
    <row r="2598" customFormat="false" ht="15" hidden="false" customHeight="true" outlineLevel="0" collapsed="false">
      <c r="A2598" s="7" t="s">
        <v>7271</v>
      </c>
      <c r="B2598" s="7" t="s">
        <v>6820</v>
      </c>
      <c r="C2598" s="7" t="n">
        <v>3</v>
      </c>
      <c r="D2598" s="7" t="n">
        <v>26</v>
      </c>
      <c r="E2598" s="7" t="n">
        <v>1</v>
      </c>
      <c r="F2598" s="7" t="s">
        <v>3817</v>
      </c>
      <c r="G2598" s="12" t="str">
        <f aca="false">IFERROR(INDEX('Semrush Data'!$A$1:$Z$20000,MATCH(A2598,'Semrush Data'!$A$1:$A$20000,0),MATCH("Volume",'Semrush Data'!$A$1:$Z$1,0)),"")</f>
        <v/>
      </c>
      <c r="H2598" s="7" t="str">
        <f aca="false">IFERROR(INDEX('Semrush Data'!$A$1:$Z$20000,MATCH(A2598,'Semrush Data'!$A$1:$A$20000,0),MATCH("Keyword Difficulty*",'Semrush Data'!$A$1:$Z$1,0)),"")</f>
        <v/>
      </c>
      <c r="I2598" s="13" t="str">
        <f aca="false">IFERROR(INDEX('Semrush Data'!$A$1:$Z$20000,MATCH(A2598,'Semrush Data'!$A$1:$A$20000,0),MATCH("CPC*",'Semrush Data'!$A$1:$Z$1,0)),"")</f>
        <v/>
      </c>
      <c r="J2598" s="7" t="str">
        <f aca="false">IFERROR(INDEX('Semrush Data'!$A$1:$Z$20000,MATCH(A2598,'Semrush Data'!$A$1:$A$20000,0),MATCH("Intent",'Semrush Data'!$A$1:$Z$1,0)),"")</f>
        <v/>
      </c>
    </row>
    <row r="2599" customFormat="false" ht="15" hidden="false" customHeight="true" outlineLevel="0" collapsed="false">
      <c r="A2599" s="7" t="s">
        <v>7272</v>
      </c>
      <c r="B2599" s="7" t="s">
        <v>6820</v>
      </c>
      <c r="C2599" s="7" t="n">
        <v>3</v>
      </c>
      <c r="D2599" s="7" t="n">
        <v>26</v>
      </c>
      <c r="E2599" s="7" t="n">
        <v>1</v>
      </c>
      <c r="F2599" s="7" t="s">
        <v>3817</v>
      </c>
      <c r="G2599" s="12" t="str">
        <f aca="false">IFERROR(INDEX('Semrush Data'!$A$1:$Z$20000,MATCH(A2599,'Semrush Data'!$A$1:$A$20000,0),MATCH("Volume",'Semrush Data'!$A$1:$Z$1,0)),"")</f>
        <v/>
      </c>
      <c r="H2599" s="7" t="str">
        <f aca="false">IFERROR(INDEX('Semrush Data'!$A$1:$Z$20000,MATCH(A2599,'Semrush Data'!$A$1:$A$20000,0),MATCH("Keyword Difficulty*",'Semrush Data'!$A$1:$Z$1,0)),"")</f>
        <v/>
      </c>
      <c r="I2599" s="13" t="str">
        <f aca="false">IFERROR(INDEX('Semrush Data'!$A$1:$Z$20000,MATCH(A2599,'Semrush Data'!$A$1:$A$20000,0),MATCH("CPC*",'Semrush Data'!$A$1:$Z$1,0)),"")</f>
        <v/>
      </c>
      <c r="J2599" s="7" t="str">
        <f aca="false">IFERROR(INDEX('Semrush Data'!$A$1:$Z$20000,MATCH(A2599,'Semrush Data'!$A$1:$A$20000,0),MATCH("Intent",'Semrush Data'!$A$1:$Z$1,0)),"")</f>
        <v/>
      </c>
    </row>
    <row r="2600" customFormat="false" ht="15" hidden="false" customHeight="true" outlineLevel="0" collapsed="false">
      <c r="A2600" s="7" t="s">
        <v>7273</v>
      </c>
      <c r="B2600" s="7" t="s">
        <v>6820</v>
      </c>
      <c r="C2600" s="7" t="n">
        <v>3</v>
      </c>
      <c r="D2600" s="7" t="n">
        <v>26</v>
      </c>
      <c r="E2600" s="7" t="n">
        <v>1</v>
      </c>
      <c r="F2600" s="7" t="s">
        <v>3828</v>
      </c>
      <c r="G2600" s="12" t="str">
        <f aca="false">IFERROR(INDEX('Semrush Data'!$A$1:$Z$20000,MATCH(A2600,'Semrush Data'!$A$1:$A$20000,0),MATCH("Volume",'Semrush Data'!$A$1:$Z$1,0)),"")</f>
        <v/>
      </c>
      <c r="H2600" s="7" t="str">
        <f aca="false">IFERROR(INDEX('Semrush Data'!$A$1:$Z$20000,MATCH(A2600,'Semrush Data'!$A$1:$A$20000,0),MATCH("Keyword Difficulty*",'Semrush Data'!$A$1:$Z$1,0)),"")</f>
        <v/>
      </c>
      <c r="I2600" s="13" t="str">
        <f aca="false">IFERROR(INDEX('Semrush Data'!$A$1:$Z$20000,MATCH(A2600,'Semrush Data'!$A$1:$A$20000,0),MATCH("CPC*",'Semrush Data'!$A$1:$Z$1,0)),"")</f>
        <v/>
      </c>
      <c r="J2600" s="7" t="str">
        <f aca="false">IFERROR(INDEX('Semrush Data'!$A$1:$Z$20000,MATCH(A2600,'Semrush Data'!$A$1:$A$20000,0),MATCH("Intent",'Semrush Data'!$A$1:$Z$1,0)),"")</f>
        <v/>
      </c>
    </row>
    <row r="2601" customFormat="false" ht="15" hidden="false" customHeight="true" outlineLevel="0" collapsed="false">
      <c r="A2601" s="7" t="s">
        <v>7274</v>
      </c>
      <c r="B2601" s="7" t="s">
        <v>6820</v>
      </c>
      <c r="C2601" s="7" t="n">
        <v>3</v>
      </c>
      <c r="D2601" s="7" t="n">
        <v>26</v>
      </c>
      <c r="E2601" s="7" t="n">
        <v>1</v>
      </c>
      <c r="F2601" s="7" t="s">
        <v>3828</v>
      </c>
      <c r="G2601" s="12" t="str">
        <f aca="false">IFERROR(INDEX('Semrush Data'!$A$1:$Z$20000,MATCH(A2601,'Semrush Data'!$A$1:$A$20000,0),MATCH("Volume",'Semrush Data'!$A$1:$Z$1,0)),"")</f>
        <v/>
      </c>
      <c r="H2601" s="7" t="str">
        <f aca="false">IFERROR(INDEX('Semrush Data'!$A$1:$Z$20000,MATCH(A2601,'Semrush Data'!$A$1:$A$20000,0),MATCH("Keyword Difficulty*",'Semrush Data'!$A$1:$Z$1,0)),"")</f>
        <v/>
      </c>
      <c r="I2601" s="13" t="str">
        <f aca="false">IFERROR(INDEX('Semrush Data'!$A$1:$Z$20000,MATCH(A2601,'Semrush Data'!$A$1:$A$20000,0),MATCH("CPC*",'Semrush Data'!$A$1:$Z$1,0)),"")</f>
        <v/>
      </c>
      <c r="J2601" s="7" t="str">
        <f aca="false">IFERROR(INDEX('Semrush Data'!$A$1:$Z$20000,MATCH(A2601,'Semrush Data'!$A$1:$A$20000,0),MATCH("Intent",'Semrush Data'!$A$1:$Z$1,0)),"")</f>
        <v/>
      </c>
    </row>
    <row r="2602" customFormat="false" ht="15" hidden="false" customHeight="true" outlineLevel="0" collapsed="false">
      <c r="A2602" s="7" t="s">
        <v>7275</v>
      </c>
      <c r="B2602" s="7" t="s">
        <v>6820</v>
      </c>
      <c r="C2602" s="7" t="n">
        <v>3</v>
      </c>
      <c r="D2602" s="7" t="n">
        <v>27</v>
      </c>
      <c r="E2602" s="7" t="n">
        <v>1</v>
      </c>
      <c r="F2602" s="7" t="s">
        <v>3828</v>
      </c>
      <c r="G2602" s="12" t="str">
        <f aca="false">IFERROR(INDEX('Semrush Data'!$A$1:$Z$20000,MATCH(A2602,'Semrush Data'!$A$1:$A$20000,0),MATCH("Volume",'Semrush Data'!$A$1:$Z$1,0)),"")</f>
        <v/>
      </c>
      <c r="H2602" s="7" t="str">
        <f aca="false">IFERROR(INDEX('Semrush Data'!$A$1:$Z$20000,MATCH(A2602,'Semrush Data'!$A$1:$A$20000,0),MATCH("Keyword Difficulty*",'Semrush Data'!$A$1:$Z$1,0)),"")</f>
        <v/>
      </c>
      <c r="I2602" s="13" t="str">
        <f aca="false">IFERROR(INDEX('Semrush Data'!$A$1:$Z$20000,MATCH(A2602,'Semrush Data'!$A$1:$A$20000,0),MATCH("CPC*",'Semrush Data'!$A$1:$Z$1,0)),"")</f>
        <v/>
      </c>
      <c r="J2602" s="7" t="str">
        <f aca="false">IFERROR(INDEX('Semrush Data'!$A$1:$Z$20000,MATCH(A2602,'Semrush Data'!$A$1:$A$20000,0),MATCH("Intent",'Semrush Data'!$A$1:$Z$1,0)),"")</f>
        <v/>
      </c>
    </row>
    <row r="2603" customFormat="false" ht="15" hidden="false" customHeight="true" outlineLevel="0" collapsed="false">
      <c r="A2603" s="7" t="s">
        <v>7276</v>
      </c>
      <c r="B2603" s="7" t="s">
        <v>6820</v>
      </c>
      <c r="C2603" s="7" t="n">
        <v>3</v>
      </c>
      <c r="D2603" s="7" t="n">
        <v>27</v>
      </c>
      <c r="E2603" s="7" t="n">
        <v>1</v>
      </c>
      <c r="F2603" s="7" t="s">
        <v>3828</v>
      </c>
      <c r="G2603" s="12" t="str">
        <f aca="false">IFERROR(INDEX('Semrush Data'!$A$1:$Z$20000,MATCH(A2603,'Semrush Data'!$A$1:$A$20000,0),MATCH("Volume",'Semrush Data'!$A$1:$Z$1,0)),"")</f>
        <v/>
      </c>
      <c r="H2603" s="7" t="str">
        <f aca="false">IFERROR(INDEX('Semrush Data'!$A$1:$Z$20000,MATCH(A2603,'Semrush Data'!$A$1:$A$20000,0),MATCH("Keyword Difficulty*",'Semrush Data'!$A$1:$Z$1,0)),"")</f>
        <v/>
      </c>
      <c r="I2603" s="13" t="str">
        <f aca="false">IFERROR(INDEX('Semrush Data'!$A$1:$Z$20000,MATCH(A2603,'Semrush Data'!$A$1:$A$20000,0),MATCH("CPC*",'Semrush Data'!$A$1:$Z$1,0)),"")</f>
        <v/>
      </c>
      <c r="J2603" s="7" t="str">
        <f aca="false">IFERROR(INDEX('Semrush Data'!$A$1:$Z$20000,MATCH(A2603,'Semrush Data'!$A$1:$A$20000,0),MATCH("Intent",'Semrush Data'!$A$1:$Z$1,0)),"")</f>
        <v/>
      </c>
    </row>
    <row r="2604" customFormat="false" ht="15" hidden="false" customHeight="true" outlineLevel="0" collapsed="false">
      <c r="A2604" s="7" t="s">
        <v>7277</v>
      </c>
      <c r="B2604" s="7" t="s">
        <v>6820</v>
      </c>
      <c r="C2604" s="7" t="n">
        <v>3</v>
      </c>
      <c r="D2604" s="7" t="n">
        <v>27</v>
      </c>
      <c r="E2604" s="7" t="n">
        <v>1</v>
      </c>
      <c r="F2604" s="7" t="s">
        <v>3828</v>
      </c>
      <c r="G2604" s="12" t="str">
        <f aca="false">IFERROR(INDEX('Semrush Data'!$A$1:$Z$20000,MATCH(A2604,'Semrush Data'!$A$1:$A$20000,0),MATCH("Volume",'Semrush Data'!$A$1:$Z$1,0)),"")</f>
        <v/>
      </c>
      <c r="H2604" s="7" t="str">
        <f aca="false">IFERROR(INDEX('Semrush Data'!$A$1:$Z$20000,MATCH(A2604,'Semrush Data'!$A$1:$A$20000,0),MATCH("Keyword Difficulty*",'Semrush Data'!$A$1:$Z$1,0)),"")</f>
        <v/>
      </c>
      <c r="I2604" s="13" t="str">
        <f aca="false">IFERROR(INDEX('Semrush Data'!$A$1:$Z$20000,MATCH(A2604,'Semrush Data'!$A$1:$A$20000,0),MATCH("CPC*",'Semrush Data'!$A$1:$Z$1,0)),"")</f>
        <v/>
      </c>
      <c r="J2604" s="7" t="str">
        <f aca="false">IFERROR(INDEX('Semrush Data'!$A$1:$Z$20000,MATCH(A2604,'Semrush Data'!$A$1:$A$20000,0),MATCH("Intent",'Semrush Data'!$A$1:$Z$1,0)),"")</f>
        <v/>
      </c>
    </row>
    <row r="2605" customFormat="false" ht="15" hidden="false" customHeight="true" outlineLevel="0" collapsed="false">
      <c r="A2605" s="7" t="s">
        <v>7278</v>
      </c>
      <c r="B2605" s="7" t="s">
        <v>6820</v>
      </c>
      <c r="C2605" s="7" t="n">
        <v>3</v>
      </c>
      <c r="D2605" s="7" t="n">
        <v>27</v>
      </c>
      <c r="E2605" s="7" t="n">
        <v>1</v>
      </c>
      <c r="F2605" s="7" t="s">
        <v>3691</v>
      </c>
      <c r="G2605" s="12" t="str">
        <f aca="false">IFERROR(INDEX('Semrush Data'!$A$1:$Z$20000,MATCH(A2605,'Semrush Data'!$A$1:$A$20000,0),MATCH("Volume",'Semrush Data'!$A$1:$Z$1,0)),"")</f>
        <v/>
      </c>
      <c r="H2605" s="7" t="str">
        <f aca="false">IFERROR(INDEX('Semrush Data'!$A$1:$Z$20000,MATCH(A2605,'Semrush Data'!$A$1:$A$20000,0),MATCH("Keyword Difficulty*",'Semrush Data'!$A$1:$Z$1,0)),"")</f>
        <v/>
      </c>
      <c r="I2605" s="13" t="str">
        <f aca="false">IFERROR(INDEX('Semrush Data'!$A$1:$Z$20000,MATCH(A2605,'Semrush Data'!$A$1:$A$20000,0),MATCH("CPC*",'Semrush Data'!$A$1:$Z$1,0)),"")</f>
        <v/>
      </c>
      <c r="J2605" s="7" t="str">
        <f aca="false">IFERROR(INDEX('Semrush Data'!$A$1:$Z$20000,MATCH(A2605,'Semrush Data'!$A$1:$A$20000,0),MATCH("Intent",'Semrush Data'!$A$1:$Z$1,0)),"")</f>
        <v/>
      </c>
    </row>
    <row r="2606" customFormat="false" ht="15" hidden="false" customHeight="true" outlineLevel="0" collapsed="false">
      <c r="A2606" s="7" t="s">
        <v>7279</v>
      </c>
      <c r="B2606" s="7" t="s">
        <v>6820</v>
      </c>
      <c r="C2606" s="7" t="n">
        <v>3</v>
      </c>
      <c r="D2606" s="7" t="n">
        <v>27</v>
      </c>
      <c r="E2606" s="7" t="n">
        <v>1</v>
      </c>
      <c r="F2606" s="7" t="s">
        <v>3704</v>
      </c>
      <c r="G2606" s="12" t="str">
        <f aca="false">IFERROR(INDEX('Semrush Data'!$A$1:$Z$20000,MATCH(A2606,'Semrush Data'!$A$1:$A$20000,0),MATCH("Volume",'Semrush Data'!$A$1:$Z$1,0)),"")</f>
        <v/>
      </c>
      <c r="H2606" s="7" t="str">
        <f aca="false">IFERROR(INDEX('Semrush Data'!$A$1:$Z$20000,MATCH(A2606,'Semrush Data'!$A$1:$A$20000,0),MATCH("Keyword Difficulty*",'Semrush Data'!$A$1:$Z$1,0)),"")</f>
        <v/>
      </c>
      <c r="I2606" s="13" t="str">
        <f aca="false">IFERROR(INDEX('Semrush Data'!$A$1:$Z$20000,MATCH(A2606,'Semrush Data'!$A$1:$A$20000,0),MATCH("CPC*",'Semrush Data'!$A$1:$Z$1,0)),"")</f>
        <v/>
      </c>
      <c r="J2606" s="7" t="str">
        <f aca="false">IFERROR(INDEX('Semrush Data'!$A$1:$Z$20000,MATCH(A2606,'Semrush Data'!$A$1:$A$20000,0),MATCH("Intent",'Semrush Data'!$A$1:$Z$1,0)),"")</f>
        <v/>
      </c>
    </row>
    <row r="2607" customFormat="false" ht="15" hidden="false" customHeight="true" outlineLevel="0" collapsed="false">
      <c r="A2607" s="7" t="s">
        <v>7280</v>
      </c>
      <c r="B2607" s="7" t="s">
        <v>6820</v>
      </c>
      <c r="C2607" s="7" t="n">
        <v>3</v>
      </c>
      <c r="D2607" s="7" t="n">
        <v>27</v>
      </c>
      <c r="E2607" s="7" t="n">
        <v>1</v>
      </c>
      <c r="F2607" s="7" t="s">
        <v>3704</v>
      </c>
      <c r="G2607" s="12" t="str">
        <f aca="false">IFERROR(INDEX('Semrush Data'!$A$1:$Z$20000,MATCH(A2607,'Semrush Data'!$A$1:$A$20000,0),MATCH("Volume",'Semrush Data'!$A$1:$Z$1,0)),"")</f>
        <v/>
      </c>
      <c r="H2607" s="7" t="str">
        <f aca="false">IFERROR(INDEX('Semrush Data'!$A$1:$Z$20000,MATCH(A2607,'Semrush Data'!$A$1:$A$20000,0),MATCH("Keyword Difficulty*",'Semrush Data'!$A$1:$Z$1,0)),"")</f>
        <v/>
      </c>
      <c r="I2607" s="13" t="str">
        <f aca="false">IFERROR(INDEX('Semrush Data'!$A$1:$Z$20000,MATCH(A2607,'Semrush Data'!$A$1:$A$20000,0),MATCH("CPC*",'Semrush Data'!$A$1:$Z$1,0)),"")</f>
        <v/>
      </c>
      <c r="J2607" s="7" t="str">
        <f aca="false">IFERROR(INDEX('Semrush Data'!$A$1:$Z$20000,MATCH(A2607,'Semrush Data'!$A$1:$A$20000,0),MATCH("Intent",'Semrush Data'!$A$1:$Z$1,0)),"")</f>
        <v/>
      </c>
    </row>
    <row r="2608" customFormat="false" ht="15" hidden="false" customHeight="true" outlineLevel="0" collapsed="false">
      <c r="A2608" s="7" t="s">
        <v>7281</v>
      </c>
      <c r="B2608" s="7" t="s">
        <v>6820</v>
      </c>
      <c r="C2608" s="7" t="n">
        <v>3</v>
      </c>
      <c r="D2608" s="7" t="n">
        <v>27</v>
      </c>
      <c r="E2608" s="7" t="n">
        <v>1</v>
      </c>
      <c r="F2608" s="7" t="s">
        <v>3715</v>
      </c>
      <c r="G2608" s="12" t="str">
        <f aca="false">IFERROR(INDEX('Semrush Data'!$A$1:$Z$20000,MATCH(A2608,'Semrush Data'!$A$1:$A$20000,0),MATCH("Volume",'Semrush Data'!$A$1:$Z$1,0)),"")</f>
        <v/>
      </c>
      <c r="H2608" s="7" t="str">
        <f aca="false">IFERROR(INDEX('Semrush Data'!$A$1:$Z$20000,MATCH(A2608,'Semrush Data'!$A$1:$A$20000,0),MATCH("Keyword Difficulty*",'Semrush Data'!$A$1:$Z$1,0)),"")</f>
        <v/>
      </c>
      <c r="I2608" s="13" t="str">
        <f aca="false">IFERROR(INDEX('Semrush Data'!$A$1:$Z$20000,MATCH(A2608,'Semrush Data'!$A$1:$A$20000,0),MATCH("CPC*",'Semrush Data'!$A$1:$Z$1,0)),"")</f>
        <v/>
      </c>
      <c r="J2608" s="7" t="str">
        <f aca="false">IFERROR(INDEX('Semrush Data'!$A$1:$Z$20000,MATCH(A2608,'Semrush Data'!$A$1:$A$20000,0),MATCH("Intent",'Semrush Data'!$A$1:$Z$1,0)),"")</f>
        <v/>
      </c>
    </row>
    <row r="2609" customFormat="false" ht="15" hidden="false" customHeight="true" outlineLevel="0" collapsed="false">
      <c r="A2609" s="7" t="s">
        <v>7282</v>
      </c>
      <c r="B2609" s="7" t="s">
        <v>6820</v>
      </c>
      <c r="C2609" s="7" t="n">
        <v>3</v>
      </c>
      <c r="D2609" s="7" t="n">
        <v>27</v>
      </c>
      <c r="E2609" s="7" t="n">
        <v>1</v>
      </c>
      <c r="F2609" s="7" t="s">
        <v>3678</v>
      </c>
      <c r="G2609" s="12" t="str">
        <f aca="false">IFERROR(INDEX('Semrush Data'!$A$1:$Z$20000,MATCH(A2609,'Semrush Data'!$A$1:$A$20000,0),MATCH("Volume",'Semrush Data'!$A$1:$Z$1,0)),"")</f>
        <v/>
      </c>
      <c r="H2609" s="7" t="str">
        <f aca="false">IFERROR(INDEX('Semrush Data'!$A$1:$Z$20000,MATCH(A2609,'Semrush Data'!$A$1:$A$20000,0),MATCH("Keyword Difficulty*",'Semrush Data'!$A$1:$Z$1,0)),"")</f>
        <v/>
      </c>
      <c r="I2609" s="13" t="str">
        <f aca="false">IFERROR(INDEX('Semrush Data'!$A$1:$Z$20000,MATCH(A2609,'Semrush Data'!$A$1:$A$20000,0),MATCH("CPC*",'Semrush Data'!$A$1:$Z$1,0)),"")</f>
        <v/>
      </c>
      <c r="J2609" s="7" t="str">
        <f aca="false">IFERROR(INDEX('Semrush Data'!$A$1:$Z$20000,MATCH(A2609,'Semrush Data'!$A$1:$A$20000,0),MATCH("Intent",'Semrush Data'!$A$1:$Z$1,0)),"")</f>
        <v/>
      </c>
    </row>
    <row r="2610" customFormat="false" ht="15" hidden="false" customHeight="true" outlineLevel="0" collapsed="false">
      <c r="A2610" s="7" t="s">
        <v>7283</v>
      </c>
      <c r="B2610" s="7" t="s">
        <v>6820</v>
      </c>
      <c r="C2610" s="7" t="n">
        <v>3</v>
      </c>
      <c r="D2610" s="7" t="n">
        <v>27</v>
      </c>
      <c r="E2610" s="7" t="n">
        <v>1</v>
      </c>
      <c r="F2610" s="7" t="s">
        <v>3678</v>
      </c>
      <c r="G2610" s="12" t="str">
        <f aca="false">IFERROR(INDEX('Semrush Data'!$A$1:$Z$20000,MATCH(A2610,'Semrush Data'!$A$1:$A$20000,0),MATCH("Volume",'Semrush Data'!$A$1:$Z$1,0)),"")</f>
        <v/>
      </c>
      <c r="H2610" s="7" t="str">
        <f aca="false">IFERROR(INDEX('Semrush Data'!$A$1:$Z$20000,MATCH(A2610,'Semrush Data'!$A$1:$A$20000,0),MATCH("Keyword Difficulty*",'Semrush Data'!$A$1:$Z$1,0)),"")</f>
        <v/>
      </c>
      <c r="I2610" s="13" t="str">
        <f aca="false">IFERROR(INDEX('Semrush Data'!$A$1:$Z$20000,MATCH(A2610,'Semrush Data'!$A$1:$A$20000,0),MATCH("CPC*",'Semrush Data'!$A$1:$Z$1,0)),"")</f>
        <v/>
      </c>
      <c r="J2610" s="7" t="str">
        <f aca="false">IFERROR(INDEX('Semrush Data'!$A$1:$Z$20000,MATCH(A2610,'Semrush Data'!$A$1:$A$20000,0),MATCH("Intent",'Semrush Data'!$A$1:$Z$1,0)),"")</f>
        <v/>
      </c>
    </row>
    <row r="2611" customFormat="false" ht="15" hidden="false" customHeight="true" outlineLevel="0" collapsed="false">
      <c r="A2611" s="7" t="s">
        <v>7284</v>
      </c>
      <c r="B2611" s="7" t="s">
        <v>6820</v>
      </c>
      <c r="C2611" s="7" t="n">
        <v>3</v>
      </c>
      <c r="D2611" s="7" t="n">
        <v>27</v>
      </c>
      <c r="E2611" s="7" t="n">
        <v>1</v>
      </c>
      <c r="F2611" s="7" t="s">
        <v>3678</v>
      </c>
      <c r="G2611" s="12" t="str">
        <f aca="false">IFERROR(INDEX('Semrush Data'!$A$1:$Z$20000,MATCH(A2611,'Semrush Data'!$A$1:$A$20000,0),MATCH("Volume",'Semrush Data'!$A$1:$Z$1,0)),"")</f>
        <v/>
      </c>
      <c r="H2611" s="7" t="str">
        <f aca="false">IFERROR(INDEX('Semrush Data'!$A$1:$Z$20000,MATCH(A2611,'Semrush Data'!$A$1:$A$20000,0),MATCH("Keyword Difficulty*",'Semrush Data'!$A$1:$Z$1,0)),"")</f>
        <v/>
      </c>
      <c r="I2611" s="13" t="str">
        <f aca="false">IFERROR(INDEX('Semrush Data'!$A$1:$Z$20000,MATCH(A2611,'Semrush Data'!$A$1:$A$20000,0),MATCH("CPC*",'Semrush Data'!$A$1:$Z$1,0)),"")</f>
        <v/>
      </c>
      <c r="J2611" s="7" t="str">
        <f aca="false">IFERROR(INDEX('Semrush Data'!$A$1:$Z$20000,MATCH(A2611,'Semrush Data'!$A$1:$A$20000,0),MATCH("Intent",'Semrush Data'!$A$1:$Z$1,0)),"")</f>
        <v/>
      </c>
    </row>
    <row r="2612" customFormat="false" ht="15" hidden="false" customHeight="true" outlineLevel="0" collapsed="false">
      <c r="A2612" s="7" t="s">
        <v>7285</v>
      </c>
      <c r="B2612" s="7" t="s">
        <v>6820</v>
      </c>
      <c r="C2612" s="7" t="n">
        <v>3</v>
      </c>
      <c r="D2612" s="7" t="n">
        <v>27</v>
      </c>
      <c r="E2612" s="7" t="n">
        <v>1</v>
      </c>
      <c r="F2612" s="7" t="s">
        <v>3678</v>
      </c>
      <c r="G2612" s="12" t="str">
        <f aca="false">IFERROR(INDEX('Semrush Data'!$A$1:$Z$20000,MATCH(A2612,'Semrush Data'!$A$1:$A$20000,0),MATCH("Volume",'Semrush Data'!$A$1:$Z$1,0)),"")</f>
        <v/>
      </c>
      <c r="H2612" s="7" t="str">
        <f aca="false">IFERROR(INDEX('Semrush Data'!$A$1:$Z$20000,MATCH(A2612,'Semrush Data'!$A$1:$A$20000,0),MATCH("Keyword Difficulty*",'Semrush Data'!$A$1:$Z$1,0)),"")</f>
        <v/>
      </c>
      <c r="I2612" s="13" t="str">
        <f aca="false">IFERROR(INDEX('Semrush Data'!$A$1:$Z$20000,MATCH(A2612,'Semrush Data'!$A$1:$A$20000,0),MATCH("CPC*",'Semrush Data'!$A$1:$Z$1,0)),"")</f>
        <v/>
      </c>
      <c r="J2612" s="7" t="str">
        <f aca="false">IFERROR(INDEX('Semrush Data'!$A$1:$Z$20000,MATCH(A2612,'Semrush Data'!$A$1:$A$20000,0),MATCH("Intent",'Semrush Data'!$A$1:$Z$1,0)),"")</f>
        <v/>
      </c>
    </row>
    <row r="2613" customFormat="false" ht="15" hidden="false" customHeight="true" outlineLevel="0" collapsed="false">
      <c r="A2613" s="7" t="s">
        <v>7286</v>
      </c>
      <c r="B2613" s="7" t="s">
        <v>6820</v>
      </c>
      <c r="C2613" s="7" t="n">
        <v>3</v>
      </c>
      <c r="D2613" s="7" t="n">
        <v>27</v>
      </c>
      <c r="E2613" s="7" t="n">
        <v>1</v>
      </c>
      <c r="F2613" s="7" t="s">
        <v>3678</v>
      </c>
      <c r="G2613" s="12" t="str">
        <f aca="false">IFERROR(INDEX('Semrush Data'!$A$1:$Z$20000,MATCH(A2613,'Semrush Data'!$A$1:$A$20000,0),MATCH("Volume",'Semrush Data'!$A$1:$Z$1,0)),"")</f>
        <v/>
      </c>
      <c r="H2613" s="7" t="str">
        <f aca="false">IFERROR(INDEX('Semrush Data'!$A$1:$Z$20000,MATCH(A2613,'Semrush Data'!$A$1:$A$20000,0),MATCH("Keyword Difficulty*",'Semrush Data'!$A$1:$Z$1,0)),"")</f>
        <v/>
      </c>
      <c r="I2613" s="13" t="str">
        <f aca="false">IFERROR(INDEX('Semrush Data'!$A$1:$Z$20000,MATCH(A2613,'Semrush Data'!$A$1:$A$20000,0),MATCH("CPC*",'Semrush Data'!$A$1:$Z$1,0)),"")</f>
        <v/>
      </c>
      <c r="J2613" s="7" t="str">
        <f aca="false">IFERROR(INDEX('Semrush Data'!$A$1:$Z$20000,MATCH(A2613,'Semrush Data'!$A$1:$A$20000,0),MATCH("Intent",'Semrush Data'!$A$1:$Z$1,0)),"")</f>
        <v/>
      </c>
    </row>
    <row r="2614" customFormat="false" ht="15" hidden="false" customHeight="true" outlineLevel="0" collapsed="false">
      <c r="A2614" s="7" t="s">
        <v>7287</v>
      </c>
      <c r="B2614" s="7" t="s">
        <v>6820</v>
      </c>
      <c r="C2614" s="7" t="n">
        <v>3</v>
      </c>
      <c r="D2614" s="7" t="n">
        <v>27</v>
      </c>
      <c r="E2614" s="7" t="n">
        <v>1</v>
      </c>
      <c r="F2614" s="7" t="s">
        <v>3691</v>
      </c>
      <c r="G2614" s="12" t="str">
        <f aca="false">IFERROR(INDEX('Semrush Data'!$A$1:$Z$20000,MATCH(A2614,'Semrush Data'!$A$1:$A$20000,0),MATCH("Volume",'Semrush Data'!$A$1:$Z$1,0)),"")</f>
        <v/>
      </c>
      <c r="H2614" s="7" t="str">
        <f aca="false">IFERROR(INDEX('Semrush Data'!$A$1:$Z$20000,MATCH(A2614,'Semrush Data'!$A$1:$A$20000,0),MATCH("Keyword Difficulty*",'Semrush Data'!$A$1:$Z$1,0)),"")</f>
        <v/>
      </c>
      <c r="I2614" s="13" t="str">
        <f aca="false">IFERROR(INDEX('Semrush Data'!$A$1:$Z$20000,MATCH(A2614,'Semrush Data'!$A$1:$A$20000,0),MATCH("CPC*",'Semrush Data'!$A$1:$Z$1,0)),"")</f>
        <v/>
      </c>
      <c r="J2614" s="7" t="str">
        <f aca="false">IFERROR(INDEX('Semrush Data'!$A$1:$Z$20000,MATCH(A2614,'Semrush Data'!$A$1:$A$20000,0),MATCH("Intent",'Semrush Data'!$A$1:$Z$1,0)),"")</f>
        <v/>
      </c>
    </row>
    <row r="2615" customFormat="false" ht="15" hidden="false" customHeight="true" outlineLevel="0" collapsed="false">
      <c r="A2615" s="7" t="s">
        <v>7288</v>
      </c>
      <c r="B2615" s="7" t="s">
        <v>6820</v>
      </c>
      <c r="C2615" s="7" t="n">
        <v>3</v>
      </c>
      <c r="D2615" s="7" t="n">
        <v>27</v>
      </c>
      <c r="E2615" s="7" t="n">
        <v>1</v>
      </c>
      <c r="F2615" s="7" t="s">
        <v>3691</v>
      </c>
      <c r="G2615" s="12" t="str">
        <f aca="false">IFERROR(INDEX('Semrush Data'!$A$1:$Z$20000,MATCH(A2615,'Semrush Data'!$A$1:$A$20000,0),MATCH("Volume",'Semrush Data'!$A$1:$Z$1,0)),"")</f>
        <v/>
      </c>
      <c r="H2615" s="7" t="str">
        <f aca="false">IFERROR(INDEX('Semrush Data'!$A$1:$Z$20000,MATCH(A2615,'Semrush Data'!$A$1:$A$20000,0),MATCH("Keyword Difficulty*",'Semrush Data'!$A$1:$Z$1,0)),"")</f>
        <v/>
      </c>
      <c r="I2615" s="13" t="str">
        <f aca="false">IFERROR(INDEX('Semrush Data'!$A$1:$Z$20000,MATCH(A2615,'Semrush Data'!$A$1:$A$20000,0),MATCH("CPC*",'Semrush Data'!$A$1:$Z$1,0)),"")</f>
        <v/>
      </c>
      <c r="J2615" s="7" t="str">
        <f aca="false">IFERROR(INDEX('Semrush Data'!$A$1:$Z$20000,MATCH(A2615,'Semrush Data'!$A$1:$A$20000,0),MATCH("Intent",'Semrush Data'!$A$1:$Z$1,0)),"")</f>
        <v/>
      </c>
    </row>
    <row r="2616" customFormat="false" ht="15" hidden="false" customHeight="true" outlineLevel="0" collapsed="false">
      <c r="A2616" s="7" t="s">
        <v>7289</v>
      </c>
      <c r="B2616" s="7" t="s">
        <v>6820</v>
      </c>
      <c r="C2616" s="7" t="n">
        <v>3</v>
      </c>
      <c r="D2616" s="7" t="n">
        <v>27</v>
      </c>
      <c r="E2616" s="7" t="n">
        <v>1</v>
      </c>
      <c r="F2616" s="7" t="s">
        <v>3691</v>
      </c>
      <c r="G2616" s="12" t="str">
        <f aca="false">IFERROR(INDEX('Semrush Data'!$A$1:$Z$20000,MATCH(A2616,'Semrush Data'!$A$1:$A$20000,0),MATCH("Volume",'Semrush Data'!$A$1:$Z$1,0)),"")</f>
        <v/>
      </c>
      <c r="H2616" s="7" t="str">
        <f aca="false">IFERROR(INDEX('Semrush Data'!$A$1:$Z$20000,MATCH(A2616,'Semrush Data'!$A$1:$A$20000,0),MATCH("Keyword Difficulty*",'Semrush Data'!$A$1:$Z$1,0)),"")</f>
        <v/>
      </c>
      <c r="I2616" s="13" t="str">
        <f aca="false">IFERROR(INDEX('Semrush Data'!$A$1:$Z$20000,MATCH(A2616,'Semrush Data'!$A$1:$A$20000,0),MATCH("CPC*",'Semrush Data'!$A$1:$Z$1,0)),"")</f>
        <v/>
      </c>
      <c r="J2616" s="7" t="str">
        <f aca="false">IFERROR(INDEX('Semrush Data'!$A$1:$Z$20000,MATCH(A2616,'Semrush Data'!$A$1:$A$20000,0),MATCH("Intent",'Semrush Data'!$A$1:$Z$1,0)),"")</f>
        <v/>
      </c>
    </row>
    <row r="2617" customFormat="false" ht="15" hidden="false" customHeight="true" outlineLevel="0" collapsed="false">
      <c r="A2617" s="7" t="s">
        <v>7290</v>
      </c>
      <c r="B2617" s="7" t="s">
        <v>6820</v>
      </c>
      <c r="C2617" s="7" t="n">
        <v>3</v>
      </c>
      <c r="D2617" s="7" t="n">
        <v>27</v>
      </c>
      <c r="E2617" s="7" t="n">
        <v>1</v>
      </c>
      <c r="F2617" s="7" t="s">
        <v>3704</v>
      </c>
      <c r="G2617" s="12" t="str">
        <f aca="false">IFERROR(INDEX('Semrush Data'!$A$1:$Z$20000,MATCH(A2617,'Semrush Data'!$A$1:$A$20000,0),MATCH("Volume",'Semrush Data'!$A$1:$Z$1,0)),"")</f>
        <v/>
      </c>
      <c r="H2617" s="7" t="str">
        <f aca="false">IFERROR(INDEX('Semrush Data'!$A$1:$Z$20000,MATCH(A2617,'Semrush Data'!$A$1:$A$20000,0),MATCH("Keyword Difficulty*",'Semrush Data'!$A$1:$Z$1,0)),"")</f>
        <v/>
      </c>
      <c r="I2617" s="13" t="str">
        <f aca="false">IFERROR(INDEX('Semrush Data'!$A$1:$Z$20000,MATCH(A2617,'Semrush Data'!$A$1:$A$20000,0),MATCH("CPC*",'Semrush Data'!$A$1:$Z$1,0)),"")</f>
        <v/>
      </c>
      <c r="J2617" s="7" t="str">
        <f aca="false">IFERROR(INDEX('Semrush Data'!$A$1:$Z$20000,MATCH(A2617,'Semrush Data'!$A$1:$A$20000,0),MATCH("Intent",'Semrush Data'!$A$1:$Z$1,0)),"")</f>
        <v/>
      </c>
    </row>
    <row r="2618" customFormat="false" ht="15" hidden="false" customHeight="true" outlineLevel="0" collapsed="false">
      <c r="A2618" s="7" t="s">
        <v>7291</v>
      </c>
      <c r="B2618" s="7" t="s">
        <v>6820</v>
      </c>
      <c r="C2618" s="7" t="n">
        <v>3</v>
      </c>
      <c r="D2618" s="7" t="n">
        <v>27</v>
      </c>
      <c r="E2618" s="7" t="n">
        <v>1</v>
      </c>
      <c r="F2618" s="7" t="s">
        <v>3715</v>
      </c>
      <c r="G2618" s="12" t="str">
        <f aca="false">IFERROR(INDEX('Semrush Data'!$A$1:$Z$20000,MATCH(A2618,'Semrush Data'!$A$1:$A$20000,0),MATCH("Volume",'Semrush Data'!$A$1:$Z$1,0)),"")</f>
        <v/>
      </c>
      <c r="H2618" s="7" t="str">
        <f aca="false">IFERROR(INDEX('Semrush Data'!$A$1:$Z$20000,MATCH(A2618,'Semrush Data'!$A$1:$A$20000,0),MATCH("Keyword Difficulty*",'Semrush Data'!$A$1:$Z$1,0)),"")</f>
        <v/>
      </c>
      <c r="I2618" s="13" t="str">
        <f aca="false">IFERROR(INDEX('Semrush Data'!$A$1:$Z$20000,MATCH(A2618,'Semrush Data'!$A$1:$A$20000,0),MATCH("CPC*",'Semrush Data'!$A$1:$Z$1,0)),"")</f>
        <v/>
      </c>
      <c r="J2618" s="7" t="str">
        <f aca="false">IFERROR(INDEX('Semrush Data'!$A$1:$Z$20000,MATCH(A2618,'Semrush Data'!$A$1:$A$20000,0),MATCH("Intent",'Semrush Data'!$A$1:$Z$1,0)),"")</f>
        <v/>
      </c>
    </row>
    <row r="2619" customFormat="false" ht="15" hidden="false" customHeight="true" outlineLevel="0" collapsed="false">
      <c r="A2619" s="7" t="s">
        <v>7292</v>
      </c>
      <c r="B2619" s="7" t="s">
        <v>6820</v>
      </c>
      <c r="C2619" s="7" t="n">
        <v>3</v>
      </c>
      <c r="D2619" s="7" t="n">
        <v>27</v>
      </c>
      <c r="E2619" s="7" t="n">
        <v>1</v>
      </c>
      <c r="F2619" s="7" t="s">
        <v>3715</v>
      </c>
      <c r="G2619" s="12" t="str">
        <f aca="false">IFERROR(INDEX('Semrush Data'!$A$1:$Z$20000,MATCH(A2619,'Semrush Data'!$A$1:$A$20000,0),MATCH("Volume",'Semrush Data'!$A$1:$Z$1,0)),"")</f>
        <v/>
      </c>
      <c r="H2619" s="7" t="str">
        <f aca="false">IFERROR(INDEX('Semrush Data'!$A$1:$Z$20000,MATCH(A2619,'Semrush Data'!$A$1:$A$20000,0),MATCH("Keyword Difficulty*",'Semrush Data'!$A$1:$Z$1,0)),"")</f>
        <v/>
      </c>
      <c r="I2619" s="13" t="str">
        <f aca="false">IFERROR(INDEX('Semrush Data'!$A$1:$Z$20000,MATCH(A2619,'Semrush Data'!$A$1:$A$20000,0),MATCH("CPC*",'Semrush Data'!$A$1:$Z$1,0)),"")</f>
        <v/>
      </c>
      <c r="J2619" s="7" t="str">
        <f aca="false">IFERROR(INDEX('Semrush Data'!$A$1:$Z$20000,MATCH(A2619,'Semrush Data'!$A$1:$A$20000,0),MATCH("Intent",'Semrush Data'!$A$1:$Z$1,0)),"")</f>
        <v/>
      </c>
    </row>
    <row r="2620" customFormat="false" ht="15" hidden="false" customHeight="true" outlineLevel="0" collapsed="false">
      <c r="A2620" s="7" t="s">
        <v>7293</v>
      </c>
      <c r="B2620" s="7" t="s">
        <v>6820</v>
      </c>
      <c r="C2620" s="7" t="n">
        <v>3</v>
      </c>
      <c r="D2620" s="7" t="n">
        <v>27</v>
      </c>
      <c r="E2620" s="7" t="n">
        <v>1</v>
      </c>
      <c r="F2620" s="7" t="s">
        <v>3715</v>
      </c>
      <c r="G2620" s="12" t="str">
        <f aca="false">IFERROR(INDEX('Semrush Data'!$A$1:$Z$20000,MATCH(A2620,'Semrush Data'!$A$1:$A$20000,0),MATCH("Volume",'Semrush Data'!$A$1:$Z$1,0)),"")</f>
        <v/>
      </c>
      <c r="H2620" s="7" t="str">
        <f aca="false">IFERROR(INDEX('Semrush Data'!$A$1:$Z$20000,MATCH(A2620,'Semrush Data'!$A$1:$A$20000,0),MATCH("Keyword Difficulty*",'Semrush Data'!$A$1:$Z$1,0)),"")</f>
        <v/>
      </c>
      <c r="I2620" s="13" t="str">
        <f aca="false">IFERROR(INDEX('Semrush Data'!$A$1:$Z$20000,MATCH(A2620,'Semrush Data'!$A$1:$A$20000,0),MATCH("CPC*",'Semrush Data'!$A$1:$Z$1,0)),"")</f>
        <v/>
      </c>
      <c r="J2620" s="7" t="str">
        <f aca="false">IFERROR(INDEX('Semrush Data'!$A$1:$Z$20000,MATCH(A2620,'Semrush Data'!$A$1:$A$20000,0),MATCH("Intent",'Semrush Data'!$A$1:$Z$1,0)),"")</f>
        <v/>
      </c>
    </row>
    <row r="2621" customFormat="false" ht="15" hidden="false" customHeight="true" outlineLevel="0" collapsed="false">
      <c r="A2621" s="7" t="s">
        <v>7294</v>
      </c>
      <c r="B2621" s="7" t="s">
        <v>6820</v>
      </c>
      <c r="C2621" s="7" t="n">
        <v>3</v>
      </c>
      <c r="D2621" s="7" t="n">
        <v>27</v>
      </c>
      <c r="E2621" s="7" t="n">
        <v>1</v>
      </c>
      <c r="F2621" s="7" t="s">
        <v>3726</v>
      </c>
      <c r="G2621" s="12" t="str">
        <f aca="false">IFERROR(INDEX('Semrush Data'!$A$1:$Z$20000,MATCH(A2621,'Semrush Data'!$A$1:$A$20000,0),MATCH("Volume",'Semrush Data'!$A$1:$Z$1,0)),"")</f>
        <v/>
      </c>
      <c r="H2621" s="7" t="str">
        <f aca="false">IFERROR(INDEX('Semrush Data'!$A$1:$Z$20000,MATCH(A2621,'Semrush Data'!$A$1:$A$20000,0),MATCH("Keyword Difficulty*",'Semrush Data'!$A$1:$Z$1,0)),"")</f>
        <v/>
      </c>
      <c r="I2621" s="13" t="str">
        <f aca="false">IFERROR(INDEX('Semrush Data'!$A$1:$Z$20000,MATCH(A2621,'Semrush Data'!$A$1:$A$20000,0),MATCH("CPC*",'Semrush Data'!$A$1:$Z$1,0)),"")</f>
        <v/>
      </c>
      <c r="J2621" s="7" t="str">
        <f aca="false">IFERROR(INDEX('Semrush Data'!$A$1:$Z$20000,MATCH(A2621,'Semrush Data'!$A$1:$A$20000,0),MATCH("Intent",'Semrush Data'!$A$1:$Z$1,0)),"")</f>
        <v/>
      </c>
    </row>
    <row r="2622" customFormat="false" ht="15" hidden="false" customHeight="true" outlineLevel="0" collapsed="false">
      <c r="A2622" s="7" t="s">
        <v>7295</v>
      </c>
      <c r="B2622" s="7" t="s">
        <v>6820</v>
      </c>
      <c r="C2622" s="7" t="n">
        <v>3</v>
      </c>
      <c r="D2622" s="7" t="n">
        <v>27</v>
      </c>
      <c r="E2622" s="7" t="n">
        <v>1</v>
      </c>
      <c r="F2622" s="7" t="s">
        <v>3726</v>
      </c>
      <c r="G2622" s="12" t="str">
        <f aca="false">IFERROR(INDEX('Semrush Data'!$A$1:$Z$20000,MATCH(A2622,'Semrush Data'!$A$1:$A$20000,0),MATCH("Volume",'Semrush Data'!$A$1:$Z$1,0)),"")</f>
        <v/>
      </c>
      <c r="H2622" s="7" t="str">
        <f aca="false">IFERROR(INDEX('Semrush Data'!$A$1:$Z$20000,MATCH(A2622,'Semrush Data'!$A$1:$A$20000,0),MATCH("Keyword Difficulty*",'Semrush Data'!$A$1:$Z$1,0)),"")</f>
        <v/>
      </c>
      <c r="I2622" s="13" t="str">
        <f aca="false">IFERROR(INDEX('Semrush Data'!$A$1:$Z$20000,MATCH(A2622,'Semrush Data'!$A$1:$A$20000,0),MATCH("CPC*",'Semrush Data'!$A$1:$Z$1,0)),"")</f>
        <v/>
      </c>
      <c r="J2622" s="7" t="str">
        <f aca="false">IFERROR(INDEX('Semrush Data'!$A$1:$Z$20000,MATCH(A2622,'Semrush Data'!$A$1:$A$20000,0),MATCH("Intent",'Semrush Data'!$A$1:$Z$1,0)),"")</f>
        <v/>
      </c>
    </row>
    <row r="2623" customFormat="false" ht="15" hidden="false" customHeight="true" outlineLevel="0" collapsed="false">
      <c r="A2623" s="7" t="s">
        <v>7296</v>
      </c>
      <c r="B2623" s="7" t="s">
        <v>6820</v>
      </c>
      <c r="C2623" s="7" t="n">
        <v>3</v>
      </c>
      <c r="D2623" s="7" t="n">
        <v>27</v>
      </c>
      <c r="E2623" s="7" t="n">
        <v>1</v>
      </c>
      <c r="F2623" s="7" t="s">
        <v>3738</v>
      </c>
      <c r="G2623" s="12" t="str">
        <f aca="false">IFERROR(INDEX('Semrush Data'!$A$1:$Z$20000,MATCH(A2623,'Semrush Data'!$A$1:$A$20000,0),MATCH("Volume",'Semrush Data'!$A$1:$Z$1,0)),"")</f>
        <v/>
      </c>
      <c r="H2623" s="7" t="str">
        <f aca="false">IFERROR(INDEX('Semrush Data'!$A$1:$Z$20000,MATCH(A2623,'Semrush Data'!$A$1:$A$20000,0),MATCH("Keyword Difficulty*",'Semrush Data'!$A$1:$Z$1,0)),"")</f>
        <v/>
      </c>
      <c r="I2623" s="13" t="str">
        <f aca="false">IFERROR(INDEX('Semrush Data'!$A$1:$Z$20000,MATCH(A2623,'Semrush Data'!$A$1:$A$20000,0),MATCH("CPC*",'Semrush Data'!$A$1:$Z$1,0)),"")</f>
        <v/>
      </c>
      <c r="J2623" s="7" t="str">
        <f aca="false">IFERROR(INDEX('Semrush Data'!$A$1:$Z$20000,MATCH(A2623,'Semrush Data'!$A$1:$A$20000,0),MATCH("Intent",'Semrush Data'!$A$1:$Z$1,0)),"")</f>
        <v/>
      </c>
    </row>
    <row r="2624" customFormat="false" ht="15" hidden="false" customHeight="true" outlineLevel="0" collapsed="false">
      <c r="A2624" s="7" t="s">
        <v>7297</v>
      </c>
      <c r="B2624" s="7" t="s">
        <v>6820</v>
      </c>
      <c r="C2624" s="7" t="n">
        <v>3</v>
      </c>
      <c r="D2624" s="7" t="n">
        <v>27</v>
      </c>
      <c r="E2624" s="7" t="n">
        <v>1</v>
      </c>
      <c r="F2624" s="7" t="s">
        <v>3738</v>
      </c>
      <c r="G2624" s="12" t="str">
        <f aca="false">IFERROR(INDEX('Semrush Data'!$A$1:$Z$20000,MATCH(A2624,'Semrush Data'!$A$1:$A$20000,0),MATCH("Volume",'Semrush Data'!$A$1:$Z$1,0)),"")</f>
        <v/>
      </c>
      <c r="H2624" s="7" t="str">
        <f aca="false">IFERROR(INDEX('Semrush Data'!$A$1:$Z$20000,MATCH(A2624,'Semrush Data'!$A$1:$A$20000,0),MATCH("Keyword Difficulty*",'Semrush Data'!$A$1:$Z$1,0)),"")</f>
        <v/>
      </c>
      <c r="I2624" s="13" t="str">
        <f aca="false">IFERROR(INDEX('Semrush Data'!$A$1:$Z$20000,MATCH(A2624,'Semrush Data'!$A$1:$A$20000,0),MATCH("CPC*",'Semrush Data'!$A$1:$Z$1,0)),"")</f>
        <v/>
      </c>
      <c r="J2624" s="7" t="str">
        <f aca="false">IFERROR(INDEX('Semrush Data'!$A$1:$Z$20000,MATCH(A2624,'Semrush Data'!$A$1:$A$20000,0),MATCH("Intent",'Semrush Data'!$A$1:$Z$1,0)),"")</f>
        <v/>
      </c>
    </row>
    <row r="2625" customFormat="false" ht="15" hidden="false" customHeight="true" outlineLevel="0" collapsed="false">
      <c r="A2625" s="7" t="s">
        <v>7298</v>
      </c>
      <c r="B2625" s="7" t="s">
        <v>6820</v>
      </c>
      <c r="C2625" s="7" t="n">
        <v>3</v>
      </c>
      <c r="D2625" s="7" t="n">
        <v>27</v>
      </c>
      <c r="E2625" s="7" t="n">
        <v>1</v>
      </c>
      <c r="F2625" s="7" t="s">
        <v>3738</v>
      </c>
      <c r="G2625" s="12" t="str">
        <f aca="false">IFERROR(INDEX('Semrush Data'!$A$1:$Z$20000,MATCH(A2625,'Semrush Data'!$A$1:$A$20000,0),MATCH("Volume",'Semrush Data'!$A$1:$Z$1,0)),"")</f>
        <v/>
      </c>
      <c r="H2625" s="7" t="str">
        <f aca="false">IFERROR(INDEX('Semrush Data'!$A$1:$Z$20000,MATCH(A2625,'Semrush Data'!$A$1:$A$20000,0),MATCH("Keyword Difficulty*",'Semrush Data'!$A$1:$Z$1,0)),"")</f>
        <v/>
      </c>
      <c r="I2625" s="13" t="str">
        <f aca="false">IFERROR(INDEX('Semrush Data'!$A$1:$Z$20000,MATCH(A2625,'Semrush Data'!$A$1:$A$20000,0),MATCH("CPC*",'Semrush Data'!$A$1:$Z$1,0)),"")</f>
        <v/>
      </c>
      <c r="J2625" s="7" t="str">
        <f aca="false">IFERROR(INDEX('Semrush Data'!$A$1:$Z$20000,MATCH(A2625,'Semrush Data'!$A$1:$A$20000,0),MATCH("Intent",'Semrush Data'!$A$1:$Z$1,0)),"")</f>
        <v/>
      </c>
    </row>
    <row r="2626" customFormat="false" ht="15" hidden="false" customHeight="true" outlineLevel="0" collapsed="false">
      <c r="A2626" s="7" t="s">
        <v>7299</v>
      </c>
      <c r="B2626" s="7" t="s">
        <v>6820</v>
      </c>
      <c r="C2626" s="7" t="n">
        <v>3</v>
      </c>
      <c r="D2626" s="7" t="n">
        <v>27</v>
      </c>
      <c r="E2626" s="7" t="n">
        <v>1</v>
      </c>
      <c r="F2626" s="7" t="s">
        <v>3738</v>
      </c>
      <c r="G2626" s="12" t="str">
        <f aca="false">IFERROR(INDEX('Semrush Data'!$A$1:$Z$20000,MATCH(A2626,'Semrush Data'!$A$1:$A$20000,0),MATCH("Volume",'Semrush Data'!$A$1:$Z$1,0)),"")</f>
        <v/>
      </c>
      <c r="H2626" s="7" t="str">
        <f aca="false">IFERROR(INDEX('Semrush Data'!$A$1:$Z$20000,MATCH(A2626,'Semrush Data'!$A$1:$A$20000,0),MATCH("Keyword Difficulty*",'Semrush Data'!$A$1:$Z$1,0)),"")</f>
        <v/>
      </c>
      <c r="I2626" s="13" t="str">
        <f aca="false">IFERROR(INDEX('Semrush Data'!$A$1:$Z$20000,MATCH(A2626,'Semrush Data'!$A$1:$A$20000,0),MATCH("CPC*",'Semrush Data'!$A$1:$Z$1,0)),"")</f>
        <v/>
      </c>
      <c r="J2626" s="7" t="str">
        <f aca="false">IFERROR(INDEX('Semrush Data'!$A$1:$Z$20000,MATCH(A2626,'Semrush Data'!$A$1:$A$20000,0),MATCH("Intent",'Semrush Data'!$A$1:$Z$1,0)),"")</f>
        <v/>
      </c>
    </row>
    <row r="2627" customFormat="false" ht="15" hidden="false" customHeight="true" outlineLevel="0" collapsed="false">
      <c r="A2627" s="7" t="s">
        <v>7300</v>
      </c>
      <c r="B2627" s="7" t="s">
        <v>6820</v>
      </c>
      <c r="C2627" s="7" t="n">
        <v>3</v>
      </c>
      <c r="D2627" s="7" t="n">
        <v>27</v>
      </c>
      <c r="E2627" s="7" t="n">
        <v>1</v>
      </c>
      <c r="F2627" s="7" t="s">
        <v>3738</v>
      </c>
      <c r="G2627" s="12" t="str">
        <f aca="false">IFERROR(INDEX('Semrush Data'!$A$1:$Z$20000,MATCH(A2627,'Semrush Data'!$A$1:$A$20000,0),MATCH("Volume",'Semrush Data'!$A$1:$Z$1,0)),"")</f>
        <v/>
      </c>
      <c r="H2627" s="7" t="str">
        <f aca="false">IFERROR(INDEX('Semrush Data'!$A$1:$Z$20000,MATCH(A2627,'Semrush Data'!$A$1:$A$20000,0),MATCH("Keyword Difficulty*",'Semrush Data'!$A$1:$Z$1,0)),"")</f>
        <v/>
      </c>
      <c r="I2627" s="13" t="str">
        <f aca="false">IFERROR(INDEX('Semrush Data'!$A$1:$Z$20000,MATCH(A2627,'Semrush Data'!$A$1:$A$20000,0),MATCH("CPC*",'Semrush Data'!$A$1:$Z$1,0)),"")</f>
        <v/>
      </c>
      <c r="J2627" s="7" t="str">
        <f aca="false">IFERROR(INDEX('Semrush Data'!$A$1:$Z$20000,MATCH(A2627,'Semrush Data'!$A$1:$A$20000,0),MATCH("Intent",'Semrush Data'!$A$1:$Z$1,0)),"")</f>
        <v/>
      </c>
    </row>
    <row r="2628" customFormat="false" ht="15" hidden="false" customHeight="true" outlineLevel="0" collapsed="false">
      <c r="A2628" s="7" t="s">
        <v>7301</v>
      </c>
      <c r="B2628" s="7" t="s">
        <v>6820</v>
      </c>
      <c r="C2628" s="7" t="n">
        <v>3</v>
      </c>
      <c r="D2628" s="7" t="n">
        <v>27</v>
      </c>
      <c r="E2628" s="7" t="n">
        <v>1</v>
      </c>
      <c r="F2628" s="7" t="s">
        <v>3749</v>
      </c>
      <c r="G2628" s="12" t="str">
        <f aca="false">IFERROR(INDEX('Semrush Data'!$A$1:$Z$20000,MATCH(A2628,'Semrush Data'!$A$1:$A$20000,0),MATCH("Volume",'Semrush Data'!$A$1:$Z$1,0)),"")</f>
        <v/>
      </c>
      <c r="H2628" s="7" t="str">
        <f aca="false">IFERROR(INDEX('Semrush Data'!$A$1:$Z$20000,MATCH(A2628,'Semrush Data'!$A$1:$A$20000,0),MATCH("Keyword Difficulty*",'Semrush Data'!$A$1:$Z$1,0)),"")</f>
        <v/>
      </c>
      <c r="I2628" s="13" t="str">
        <f aca="false">IFERROR(INDEX('Semrush Data'!$A$1:$Z$20000,MATCH(A2628,'Semrush Data'!$A$1:$A$20000,0),MATCH("CPC*",'Semrush Data'!$A$1:$Z$1,0)),"")</f>
        <v/>
      </c>
      <c r="J2628" s="7" t="str">
        <f aca="false">IFERROR(INDEX('Semrush Data'!$A$1:$Z$20000,MATCH(A2628,'Semrush Data'!$A$1:$A$20000,0),MATCH("Intent",'Semrush Data'!$A$1:$Z$1,0)),"")</f>
        <v/>
      </c>
    </row>
    <row r="2629" customFormat="false" ht="15" hidden="false" customHeight="true" outlineLevel="0" collapsed="false">
      <c r="A2629" s="7" t="s">
        <v>7302</v>
      </c>
      <c r="B2629" s="7" t="s">
        <v>6820</v>
      </c>
      <c r="C2629" s="7" t="n">
        <v>3</v>
      </c>
      <c r="D2629" s="7" t="n">
        <v>27</v>
      </c>
      <c r="E2629" s="7" t="n">
        <v>1</v>
      </c>
      <c r="F2629" s="7" t="s">
        <v>3760</v>
      </c>
      <c r="G2629" s="12" t="str">
        <f aca="false">IFERROR(INDEX('Semrush Data'!$A$1:$Z$20000,MATCH(A2629,'Semrush Data'!$A$1:$A$20000,0),MATCH("Volume",'Semrush Data'!$A$1:$Z$1,0)),"")</f>
        <v/>
      </c>
      <c r="H2629" s="7" t="str">
        <f aca="false">IFERROR(INDEX('Semrush Data'!$A$1:$Z$20000,MATCH(A2629,'Semrush Data'!$A$1:$A$20000,0),MATCH("Keyword Difficulty*",'Semrush Data'!$A$1:$Z$1,0)),"")</f>
        <v/>
      </c>
      <c r="I2629" s="13" t="str">
        <f aca="false">IFERROR(INDEX('Semrush Data'!$A$1:$Z$20000,MATCH(A2629,'Semrush Data'!$A$1:$A$20000,0),MATCH("CPC*",'Semrush Data'!$A$1:$Z$1,0)),"")</f>
        <v/>
      </c>
      <c r="J2629" s="7" t="str">
        <f aca="false">IFERROR(INDEX('Semrush Data'!$A$1:$Z$20000,MATCH(A2629,'Semrush Data'!$A$1:$A$20000,0),MATCH("Intent",'Semrush Data'!$A$1:$Z$1,0)),"")</f>
        <v/>
      </c>
    </row>
    <row r="2630" customFormat="false" ht="15" hidden="false" customHeight="true" outlineLevel="0" collapsed="false">
      <c r="A2630" s="7" t="s">
        <v>7303</v>
      </c>
      <c r="B2630" s="7" t="s">
        <v>6820</v>
      </c>
      <c r="C2630" s="7" t="n">
        <v>3</v>
      </c>
      <c r="D2630" s="7" t="n">
        <v>27</v>
      </c>
      <c r="E2630" s="7" t="n">
        <v>1</v>
      </c>
      <c r="F2630" s="7" t="s">
        <v>3760</v>
      </c>
      <c r="G2630" s="12" t="str">
        <f aca="false">IFERROR(INDEX('Semrush Data'!$A$1:$Z$20000,MATCH(A2630,'Semrush Data'!$A$1:$A$20000,0),MATCH("Volume",'Semrush Data'!$A$1:$Z$1,0)),"")</f>
        <v/>
      </c>
      <c r="H2630" s="7" t="str">
        <f aca="false">IFERROR(INDEX('Semrush Data'!$A$1:$Z$20000,MATCH(A2630,'Semrush Data'!$A$1:$A$20000,0),MATCH("Keyword Difficulty*",'Semrush Data'!$A$1:$Z$1,0)),"")</f>
        <v/>
      </c>
      <c r="I2630" s="13" t="str">
        <f aca="false">IFERROR(INDEX('Semrush Data'!$A$1:$Z$20000,MATCH(A2630,'Semrush Data'!$A$1:$A$20000,0),MATCH("CPC*",'Semrush Data'!$A$1:$Z$1,0)),"")</f>
        <v/>
      </c>
      <c r="J2630" s="7" t="str">
        <f aca="false">IFERROR(INDEX('Semrush Data'!$A$1:$Z$20000,MATCH(A2630,'Semrush Data'!$A$1:$A$20000,0),MATCH("Intent",'Semrush Data'!$A$1:$Z$1,0)),"")</f>
        <v/>
      </c>
    </row>
    <row r="2631" customFormat="false" ht="15" hidden="false" customHeight="true" outlineLevel="0" collapsed="false">
      <c r="A2631" s="7" t="s">
        <v>7304</v>
      </c>
      <c r="B2631" s="7" t="s">
        <v>6820</v>
      </c>
      <c r="C2631" s="7" t="n">
        <v>3</v>
      </c>
      <c r="D2631" s="7" t="n">
        <v>27</v>
      </c>
      <c r="E2631" s="7" t="n">
        <v>1</v>
      </c>
      <c r="F2631" s="7" t="s">
        <v>3760</v>
      </c>
      <c r="G2631" s="12" t="str">
        <f aca="false">IFERROR(INDEX('Semrush Data'!$A$1:$Z$20000,MATCH(A2631,'Semrush Data'!$A$1:$A$20000,0),MATCH("Volume",'Semrush Data'!$A$1:$Z$1,0)),"")</f>
        <v/>
      </c>
      <c r="H2631" s="7" t="str">
        <f aca="false">IFERROR(INDEX('Semrush Data'!$A$1:$Z$20000,MATCH(A2631,'Semrush Data'!$A$1:$A$20000,0),MATCH("Keyword Difficulty*",'Semrush Data'!$A$1:$Z$1,0)),"")</f>
        <v/>
      </c>
      <c r="I2631" s="13" t="str">
        <f aca="false">IFERROR(INDEX('Semrush Data'!$A$1:$Z$20000,MATCH(A2631,'Semrush Data'!$A$1:$A$20000,0),MATCH("CPC*",'Semrush Data'!$A$1:$Z$1,0)),"")</f>
        <v/>
      </c>
      <c r="J2631" s="7" t="str">
        <f aca="false">IFERROR(INDEX('Semrush Data'!$A$1:$Z$20000,MATCH(A2631,'Semrush Data'!$A$1:$A$20000,0),MATCH("Intent",'Semrush Data'!$A$1:$Z$1,0)),"")</f>
        <v/>
      </c>
    </row>
    <row r="2632" customFormat="false" ht="15" hidden="false" customHeight="true" outlineLevel="0" collapsed="false">
      <c r="A2632" s="7" t="s">
        <v>7305</v>
      </c>
      <c r="B2632" s="7" t="s">
        <v>6820</v>
      </c>
      <c r="C2632" s="7" t="n">
        <v>3</v>
      </c>
      <c r="D2632" s="7" t="n">
        <v>27</v>
      </c>
      <c r="E2632" s="7" t="n">
        <v>1</v>
      </c>
      <c r="F2632" s="7" t="s">
        <v>3771</v>
      </c>
      <c r="G2632" s="12" t="str">
        <f aca="false">IFERROR(INDEX('Semrush Data'!$A$1:$Z$20000,MATCH(A2632,'Semrush Data'!$A$1:$A$20000,0),MATCH("Volume",'Semrush Data'!$A$1:$Z$1,0)),"")</f>
        <v/>
      </c>
      <c r="H2632" s="7" t="str">
        <f aca="false">IFERROR(INDEX('Semrush Data'!$A$1:$Z$20000,MATCH(A2632,'Semrush Data'!$A$1:$A$20000,0),MATCH("Keyword Difficulty*",'Semrush Data'!$A$1:$Z$1,0)),"")</f>
        <v/>
      </c>
      <c r="I2632" s="13" t="str">
        <f aca="false">IFERROR(INDEX('Semrush Data'!$A$1:$Z$20000,MATCH(A2632,'Semrush Data'!$A$1:$A$20000,0),MATCH("CPC*",'Semrush Data'!$A$1:$Z$1,0)),"")</f>
        <v/>
      </c>
      <c r="J2632" s="7" t="str">
        <f aca="false">IFERROR(INDEX('Semrush Data'!$A$1:$Z$20000,MATCH(A2632,'Semrush Data'!$A$1:$A$20000,0),MATCH("Intent",'Semrush Data'!$A$1:$Z$1,0)),"")</f>
        <v/>
      </c>
    </row>
    <row r="2633" customFormat="false" ht="15" hidden="false" customHeight="true" outlineLevel="0" collapsed="false">
      <c r="A2633" s="7" t="s">
        <v>7306</v>
      </c>
      <c r="B2633" s="7" t="s">
        <v>6820</v>
      </c>
      <c r="C2633" s="7" t="n">
        <v>3</v>
      </c>
      <c r="D2633" s="7" t="n">
        <v>27</v>
      </c>
      <c r="E2633" s="7" t="n">
        <v>1</v>
      </c>
      <c r="F2633" s="7" t="s">
        <v>3771</v>
      </c>
      <c r="G2633" s="12" t="str">
        <f aca="false">IFERROR(INDEX('Semrush Data'!$A$1:$Z$20000,MATCH(A2633,'Semrush Data'!$A$1:$A$20000,0),MATCH("Volume",'Semrush Data'!$A$1:$Z$1,0)),"")</f>
        <v/>
      </c>
      <c r="H2633" s="7" t="str">
        <f aca="false">IFERROR(INDEX('Semrush Data'!$A$1:$Z$20000,MATCH(A2633,'Semrush Data'!$A$1:$A$20000,0),MATCH("Keyword Difficulty*",'Semrush Data'!$A$1:$Z$1,0)),"")</f>
        <v/>
      </c>
      <c r="I2633" s="13" t="str">
        <f aca="false">IFERROR(INDEX('Semrush Data'!$A$1:$Z$20000,MATCH(A2633,'Semrush Data'!$A$1:$A$20000,0),MATCH("CPC*",'Semrush Data'!$A$1:$Z$1,0)),"")</f>
        <v/>
      </c>
      <c r="J2633" s="7" t="str">
        <f aca="false">IFERROR(INDEX('Semrush Data'!$A$1:$Z$20000,MATCH(A2633,'Semrush Data'!$A$1:$A$20000,0),MATCH("Intent",'Semrush Data'!$A$1:$Z$1,0)),"")</f>
        <v/>
      </c>
    </row>
    <row r="2634" customFormat="false" ht="15" hidden="false" customHeight="true" outlineLevel="0" collapsed="false">
      <c r="A2634" s="7" t="s">
        <v>7307</v>
      </c>
      <c r="B2634" s="7" t="s">
        <v>6820</v>
      </c>
      <c r="C2634" s="7" t="n">
        <v>3</v>
      </c>
      <c r="D2634" s="7" t="n">
        <v>27</v>
      </c>
      <c r="E2634" s="7" t="n">
        <v>2</v>
      </c>
      <c r="F2634" s="7" t="s">
        <v>7308</v>
      </c>
      <c r="G2634" s="12" t="str">
        <f aca="false">IFERROR(INDEX('Semrush Data'!$A$1:$Z$20000,MATCH(A2634,'Semrush Data'!$A$1:$A$20000,0),MATCH("Volume",'Semrush Data'!$A$1:$Z$1,0)),"")</f>
        <v/>
      </c>
      <c r="H2634" s="7" t="str">
        <f aca="false">IFERROR(INDEX('Semrush Data'!$A$1:$Z$20000,MATCH(A2634,'Semrush Data'!$A$1:$A$20000,0),MATCH("Keyword Difficulty*",'Semrush Data'!$A$1:$Z$1,0)),"")</f>
        <v/>
      </c>
      <c r="I2634" s="13" t="str">
        <f aca="false">IFERROR(INDEX('Semrush Data'!$A$1:$Z$20000,MATCH(A2634,'Semrush Data'!$A$1:$A$20000,0),MATCH("CPC*",'Semrush Data'!$A$1:$Z$1,0)),"")</f>
        <v/>
      </c>
      <c r="J2634" s="7" t="str">
        <f aca="false">IFERROR(INDEX('Semrush Data'!$A$1:$Z$20000,MATCH(A2634,'Semrush Data'!$A$1:$A$20000,0),MATCH("Intent",'Semrush Data'!$A$1:$Z$1,0)),"")</f>
        <v/>
      </c>
    </row>
    <row r="2635" customFormat="false" ht="15" hidden="false" customHeight="true" outlineLevel="0" collapsed="false">
      <c r="A2635" s="7" t="s">
        <v>7309</v>
      </c>
      <c r="B2635" s="7" t="s">
        <v>6820</v>
      </c>
      <c r="C2635" s="7" t="n">
        <v>3</v>
      </c>
      <c r="D2635" s="7" t="n">
        <v>27</v>
      </c>
      <c r="E2635" s="7" t="n">
        <v>1</v>
      </c>
      <c r="F2635" s="7" t="s">
        <v>3782</v>
      </c>
      <c r="G2635" s="12" t="str">
        <f aca="false">IFERROR(INDEX('Semrush Data'!$A$1:$Z$20000,MATCH(A2635,'Semrush Data'!$A$1:$A$20000,0),MATCH("Volume",'Semrush Data'!$A$1:$Z$1,0)),"")</f>
        <v/>
      </c>
      <c r="H2635" s="7" t="str">
        <f aca="false">IFERROR(INDEX('Semrush Data'!$A$1:$Z$20000,MATCH(A2635,'Semrush Data'!$A$1:$A$20000,0),MATCH("Keyword Difficulty*",'Semrush Data'!$A$1:$Z$1,0)),"")</f>
        <v/>
      </c>
      <c r="I2635" s="13" t="str">
        <f aca="false">IFERROR(INDEX('Semrush Data'!$A$1:$Z$20000,MATCH(A2635,'Semrush Data'!$A$1:$A$20000,0),MATCH("CPC*",'Semrush Data'!$A$1:$Z$1,0)),"")</f>
        <v/>
      </c>
      <c r="J2635" s="7" t="str">
        <f aca="false">IFERROR(INDEX('Semrush Data'!$A$1:$Z$20000,MATCH(A2635,'Semrush Data'!$A$1:$A$20000,0),MATCH("Intent",'Semrush Data'!$A$1:$Z$1,0)),"")</f>
        <v/>
      </c>
    </row>
    <row r="2636" customFormat="false" ht="15" hidden="false" customHeight="true" outlineLevel="0" collapsed="false">
      <c r="A2636" s="7" t="s">
        <v>7310</v>
      </c>
      <c r="B2636" s="7" t="s">
        <v>6820</v>
      </c>
      <c r="C2636" s="7" t="n">
        <v>3</v>
      </c>
      <c r="D2636" s="7" t="n">
        <v>27</v>
      </c>
      <c r="E2636" s="7" t="n">
        <v>1</v>
      </c>
      <c r="F2636" s="7" t="s">
        <v>3782</v>
      </c>
      <c r="G2636" s="12" t="str">
        <f aca="false">IFERROR(INDEX('Semrush Data'!$A$1:$Z$20000,MATCH(A2636,'Semrush Data'!$A$1:$A$20000,0),MATCH("Volume",'Semrush Data'!$A$1:$Z$1,0)),"")</f>
        <v/>
      </c>
      <c r="H2636" s="7" t="str">
        <f aca="false">IFERROR(INDEX('Semrush Data'!$A$1:$Z$20000,MATCH(A2636,'Semrush Data'!$A$1:$A$20000,0),MATCH("Keyword Difficulty*",'Semrush Data'!$A$1:$Z$1,0)),"")</f>
        <v/>
      </c>
      <c r="I2636" s="13" t="str">
        <f aca="false">IFERROR(INDEX('Semrush Data'!$A$1:$Z$20000,MATCH(A2636,'Semrush Data'!$A$1:$A$20000,0),MATCH("CPC*",'Semrush Data'!$A$1:$Z$1,0)),"")</f>
        <v/>
      </c>
      <c r="J2636" s="7" t="str">
        <f aca="false">IFERROR(INDEX('Semrush Data'!$A$1:$Z$20000,MATCH(A2636,'Semrush Data'!$A$1:$A$20000,0),MATCH("Intent",'Semrush Data'!$A$1:$Z$1,0)),"")</f>
        <v/>
      </c>
    </row>
    <row r="2637" customFormat="false" ht="15" hidden="false" customHeight="true" outlineLevel="0" collapsed="false">
      <c r="A2637" s="7" t="s">
        <v>7311</v>
      </c>
      <c r="B2637" s="7" t="s">
        <v>6820</v>
      </c>
      <c r="C2637" s="7" t="n">
        <v>3</v>
      </c>
      <c r="D2637" s="7" t="n">
        <v>27</v>
      </c>
      <c r="E2637" s="7" t="n">
        <v>1</v>
      </c>
      <c r="F2637" s="7" t="s">
        <v>3726</v>
      </c>
      <c r="G2637" s="12" t="str">
        <f aca="false">IFERROR(INDEX('Semrush Data'!$A$1:$Z$20000,MATCH(A2637,'Semrush Data'!$A$1:$A$20000,0),MATCH("Volume",'Semrush Data'!$A$1:$Z$1,0)),"")</f>
        <v/>
      </c>
      <c r="H2637" s="7" t="str">
        <f aca="false">IFERROR(INDEX('Semrush Data'!$A$1:$Z$20000,MATCH(A2637,'Semrush Data'!$A$1:$A$20000,0),MATCH("Keyword Difficulty*",'Semrush Data'!$A$1:$Z$1,0)),"")</f>
        <v/>
      </c>
      <c r="I2637" s="13" t="str">
        <f aca="false">IFERROR(INDEX('Semrush Data'!$A$1:$Z$20000,MATCH(A2637,'Semrush Data'!$A$1:$A$20000,0),MATCH("CPC*",'Semrush Data'!$A$1:$Z$1,0)),"")</f>
        <v/>
      </c>
      <c r="J2637" s="7" t="str">
        <f aca="false">IFERROR(INDEX('Semrush Data'!$A$1:$Z$20000,MATCH(A2637,'Semrush Data'!$A$1:$A$20000,0),MATCH("Intent",'Semrush Data'!$A$1:$Z$1,0)),"")</f>
        <v/>
      </c>
    </row>
    <row r="2638" customFormat="false" ht="15" hidden="false" customHeight="true" outlineLevel="0" collapsed="false">
      <c r="A2638" s="7" t="s">
        <v>7312</v>
      </c>
      <c r="B2638" s="7" t="s">
        <v>6820</v>
      </c>
      <c r="C2638" s="7" t="n">
        <v>3</v>
      </c>
      <c r="D2638" s="7" t="n">
        <v>27</v>
      </c>
      <c r="E2638" s="7" t="n">
        <v>1</v>
      </c>
      <c r="F2638" s="7" t="s">
        <v>3749</v>
      </c>
      <c r="G2638" s="12" t="str">
        <f aca="false">IFERROR(INDEX('Semrush Data'!$A$1:$Z$20000,MATCH(A2638,'Semrush Data'!$A$1:$A$20000,0),MATCH("Volume",'Semrush Data'!$A$1:$Z$1,0)),"")</f>
        <v/>
      </c>
      <c r="H2638" s="7" t="str">
        <f aca="false">IFERROR(INDEX('Semrush Data'!$A$1:$Z$20000,MATCH(A2638,'Semrush Data'!$A$1:$A$20000,0),MATCH("Keyword Difficulty*",'Semrush Data'!$A$1:$Z$1,0)),"")</f>
        <v/>
      </c>
      <c r="I2638" s="13" t="str">
        <f aca="false">IFERROR(INDEX('Semrush Data'!$A$1:$Z$20000,MATCH(A2638,'Semrush Data'!$A$1:$A$20000,0),MATCH("CPC*",'Semrush Data'!$A$1:$Z$1,0)),"")</f>
        <v/>
      </c>
      <c r="J2638" s="7" t="str">
        <f aca="false">IFERROR(INDEX('Semrush Data'!$A$1:$Z$20000,MATCH(A2638,'Semrush Data'!$A$1:$A$20000,0),MATCH("Intent",'Semrush Data'!$A$1:$Z$1,0)),"")</f>
        <v/>
      </c>
    </row>
    <row r="2639" customFormat="false" ht="15" hidden="false" customHeight="true" outlineLevel="0" collapsed="false">
      <c r="A2639" s="7" t="s">
        <v>7313</v>
      </c>
      <c r="B2639" s="7" t="s">
        <v>6820</v>
      </c>
      <c r="C2639" s="7" t="n">
        <v>3</v>
      </c>
      <c r="D2639" s="7" t="n">
        <v>27</v>
      </c>
      <c r="E2639" s="7" t="n">
        <v>1</v>
      </c>
      <c r="F2639" s="7" t="s">
        <v>3749</v>
      </c>
      <c r="G2639" s="12" t="str">
        <f aca="false">IFERROR(INDEX('Semrush Data'!$A$1:$Z$20000,MATCH(A2639,'Semrush Data'!$A$1:$A$20000,0),MATCH("Volume",'Semrush Data'!$A$1:$Z$1,0)),"")</f>
        <v/>
      </c>
      <c r="H2639" s="7" t="str">
        <f aca="false">IFERROR(INDEX('Semrush Data'!$A$1:$Z$20000,MATCH(A2639,'Semrush Data'!$A$1:$A$20000,0),MATCH("Keyword Difficulty*",'Semrush Data'!$A$1:$Z$1,0)),"")</f>
        <v/>
      </c>
      <c r="I2639" s="13" t="str">
        <f aca="false">IFERROR(INDEX('Semrush Data'!$A$1:$Z$20000,MATCH(A2639,'Semrush Data'!$A$1:$A$20000,0),MATCH("CPC*",'Semrush Data'!$A$1:$Z$1,0)),"")</f>
        <v/>
      </c>
      <c r="J2639" s="7" t="str">
        <f aca="false">IFERROR(INDEX('Semrush Data'!$A$1:$Z$20000,MATCH(A2639,'Semrush Data'!$A$1:$A$20000,0),MATCH("Intent",'Semrush Data'!$A$1:$Z$1,0)),"")</f>
        <v/>
      </c>
    </row>
    <row r="2640" customFormat="false" ht="15" hidden="false" customHeight="true" outlineLevel="0" collapsed="false">
      <c r="A2640" s="7" t="s">
        <v>7314</v>
      </c>
      <c r="B2640" s="7" t="s">
        <v>6820</v>
      </c>
      <c r="C2640" s="7" t="n">
        <v>3</v>
      </c>
      <c r="D2640" s="7" t="n">
        <v>27</v>
      </c>
      <c r="E2640" s="7" t="n">
        <v>1</v>
      </c>
      <c r="F2640" s="7" t="s">
        <v>3760</v>
      </c>
      <c r="G2640" s="12" t="str">
        <f aca="false">IFERROR(INDEX('Semrush Data'!$A$1:$Z$20000,MATCH(A2640,'Semrush Data'!$A$1:$A$20000,0),MATCH("Volume",'Semrush Data'!$A$1:$Z$1,0)),"")</f>
        <v/>
      </c>
      <c r="H2640" s="7" t="str">
        <f aca="false">IFERROR(INDEX('Semrush Data'!$A$1:$Z$20000,MATCH(A2640,'Semrush Data'!$A$1:$A$20000,0),MATCH("Keyword Difficulty*",'Semrush Data'!$A$1:$Z$1,0)),"")</f>
        <v/>
      </c>
      <c r="I2640" s="13" t="str">
        <f aca="false">IFERROR(INDEX('Semrush Data'!$A$1:$Z$20000,MATCH(A2640,'Semrush Data'!$A$1:$A$20000,0),MATCH("CPC*",'Semrush Data'!$A$1:$Z$1,0)),"")</f>
        <v/>
      </c>
      <c r="J2640" s="7" t="str">
        <f aca="false">IFERROR(INDEX('Semrush Data'!$A$1:$Z$20000,MATCH(A2640,'Semrush Data'!$A$1:$A$20000,0),MATCH("Intent",'Semrush Data'!$A$1:$Z$1,0)),"")</f>
        <v/>
      </c>
    </row>
    <row r="2641" customFormat="false" ht="15" hidden="false" customHeight="true" outlineLevel="0" collapsed="false">
      <c r="A2641" s="7" t="s">
        <v>7315</v>
      </c>
      <c r="B2641" s="7" t="s">
        <v>6820</v>
      </c>
      <c r="C2641" s="7" t="n">
        <v>3</v>
      </c>
      <c r="D2641" s="7" t="n">
        <v>27</v>
      </c>
      <c r="E2641" s="7" t="n">
        <v>1</v>
      </c>
      <c r="F2641" s="7" t="s">
        <v>3771</v>
      </c>
      <c r="G2641" s="12" t="str">
        <f aca="false">IFERROR(INDEX('Semrush Data'!$A$1:$Z$20000,MATCH(A2641,'Semrush Data'!$A$1:$A$20000,0),MATCH("Volume",'Semrush Data'!$A$1:$Z$1,0)),"")</f>
        <v/>
      </c>
      <c r="H2641" s="7" t="str">
        <f aca="false">IFERROR(INDEX('Semrush Data'!$A$1:$Z$20000,MATCH(A2641,'Semrush Data'!$A$1:$A$20000,0),MATCH("Keyword Difficulty*",'Semrush Data'!$A$1:$Z$1,0)),"")</f>
        <v/>
      </c>
      <c r="I2641" s="13" t="str">
        <f aca="false">IFERROR(INDEX('Semrush Data'!$A$1:$Z$20000,MATCH(A2641,'Semrush Data'!$A$1:$A$20000,0),MATCH("CPC*",'Semrush Data'!$A$1:$Z$1,0)),"")</f>
        <v/>
      </c>
      <c r="J2641" s="7" t="str">
        <f aca="false">IFERROR(INDEX('Semrush Data'!$A$1:$Z$20000,MATCH(A2641,'Semrush Data'!$A$1:$A$20000,0),MATCH("Intent",'Semrush Data'!$A$1:$Z$1,0)),"")</f>
        <v/>
      </c>
    </row>
    <row r="2642" customFormat="false" ht="15" hidden="false" customHeight="true" outlineLevel="0" collapsed="false">
      <c r="A2642" s="7" t="s">
        <v>7316</v>
      </c>
      <c r="B2642" s="7" t="s">
        <v>6820</v>
      </c>
      <c r="C2642" s="7" t="n">
        <v>3</v>
      </c>
      <c r="D2642" s="7" t="n">
        <v>27</v>
      </c>
      <c r="E2642" s="7" t="n">
        <v>1</v>
      </c>
      <c r="F2642" s="7" t="s">
        <v>3782</v>
      </c>
      <c r="G2642" s="12" t="str">
        <f aca="false">IFERROR(INDEX('Semrush Data'!$A$1:$Z$20000,MATCH(A2642,'Semrush Data'!$A$1:$A$20000,0),MATCH("Volume",'Semrush Data'!$A$1:$Z$1,0)),"")</f>
        <v/>
      </c>
      <c r="H2642" s="7" t="str">
        <f aca="false">IFERROR(INDEX('Semrush Data'!$A$1:$Z$20000,MATCH(A2642,'Semrush Data'!$A$1:$A$20000,0),MATCH("Keyword Difficulty*",'Semrush Data'!$A$1:$Z$1,0)),"")</f>
        <v/>
      </c>
      <c r="I2642" s="13" t="str">
        <f aca="false">IFERROR(INDEX('Semrush Data'!$A$1:$Z$20000,MATCH(A2642,'Semrush Data'!$A$1:$A$20000,0),MATCH("CPC*",'Semrush Data'!$A$1:$Z$1,0)),"")</f>
        <v/>
      </c>
      <c r="J2642" s="7" t="str">
        <f aca="false">IFERROR(INDEX('Semrush Data'!$A$1:$Z$20000,MATCH(A2642,'Semrush Data'!$A$1:$A$20000,0),MATCH("Intent",'Semrush Data'!$A$1:$Z$1,0)),"")</f>
        <v/>
      </c>
    </row>
    <row r="2643" customFormat="false" ht="15" hidden="false" customHeight="true" outlineLevel="0" collapsed="false">
      <c r="A2643" s="7" t="s">
        <v>7317</v>
      </c>
      <c r="B2643" s="7" t="s">
        <v>6820</v>
      </c>
      <c r="C2643" s="7" t="n">
        <v>3</v>
      </c>
      <c r="D2643" s="7" t="n">
        <v>27</v>
      </c>
      <c r="E2643" s="7" t="n">
        <v>1</v>
      </c>
      <c r="F2643" s="7" t="s">
        <v>3928</v>
      </c>
      <c r="G2643" s="12" t="str">
        <f aca="false">IFERROR(INDEX('Semrush Data'!$A$1:$Z$20000,MATCH(A2643,'Semrush Data'!$A$1:$A$20000,0),MATCH("Volume",'Semrush Data'!$A$1:$Z$1,0)),"")</f>
        <v/>
      </c>
      <c r="H2643" s="7" t="str">
        <f aca="false">IFERROR(INDEX('Semrush Data'!$A$1:$Z$20000,MATCH(A2643,'Semrush Data'!$A$1:$A$20000,0),MATCH("Keyword Difficulty*",'Semrush Data'!$A$1:$Z$1,0)),"")</f>
        <v/>
      </c>
      <c r="I2643" s="13" t="str">
        <f aca="false">IFERROR(INDEX('Semrush Data'!$A$1:$Z$20000,MATCH(A2643,'Semrush Data'!$A$1:$A$20000,0),MATCH("CPC*",'Semrush Data'!$A$1:$Z$1,0)),"")</f>
        <v/>
      </c>
      <c r="J2643" s="7" t="str">
        <f aca="false">IFERROR(INDEX('Semrush Data'!$A$1:$Z$20000,MATCH(A2643,'Semrush Data'!$A$1:$A$20000,0),MATCH("Intent",'Semrush Data'!$A$1:$Z$1,0)),"")</f>
        <v/>
      </c>
    </row>
    <row r="2644" customFormat="false" ht="15" hidden="false" customHeight="true" outlineLevel="0" collapsed="false">
      <c r="A2644" s="7" t="s">
        <v>7318</v>
      </c>
      <c r="B2644" s="7" t="s">
        <v>6820</v>
      </c>
      <c r="C2644" s="7" t="n">
        <v>3</v>
      </c>
      <c r="D2644" s="7" t="n">
        <v>27</v>
      </c>
      <c r="E2644" s="7" t="n">
        <v>1</v>
      </c>
      <c r="F2644" s="7" t="s">
        <v>120</v>
      </c>
      <c r="G2644" s="12" t="str">
        <f aca="false">IFERROR(INDEX('Semrush Data'!$A$1:$Z$20000,MATCH(A2644,'Semrush Data'!$A$1:$A$20000,0),MATCH("Volume",'Semrush Data'!$A$1:$Z$1,0)),"")</f>
        <v/>
      </c>
      <c r="H2644" s="7" t="str">
        <f aca="false">IFERROR(INDEX('Semrush Data'!$A$1:$Z$20000,MATCH(A2644,'Semrush Data'!$A$1:$A$20000,0),MATCH("Keyword Difficulty*",'Semrush Data'!$A$1:$Z$1,0)),"")</f>
        <v/>
      </c>
      <c r="I2644" s="13" t="str">
        <f aca="false">IFERROR(INDEX('Semrush Data'!$A$1:$Z$20000,MATCH(A2644,'Semrush Data'!$A$1:$A$20000,0),MATCH("CPC*",'Semrush Data'!$A$1:$Z$1,0)),"")</f>
        <v/>
      </c>
      <c r="J2644" s="7" t="str">
        <f aca="false">IFERROR(INDEX('Semrush Data'!$A$1:$Z$20000,MATCH(A2644,'Semrush Data'!$A$1:$A$20000,0),MATCH("Intent",'Semrush Data'!$A$1:$Z$1,0)),"")</f>
        <v/>
      </c>
    </row>
    <row r="2645" customFormat="false" ht="15" hidden="false" customHeight="true" outlineLevel="0" collapsed="false">
      <c r="A2645" s="7" t="s">
        <v>7319</v>
      </c>
      <c r="B2645" s="7" t="s">
        <v>6820</v>
      </c>
      <c r="C2645" s="7" t="n">
        <v>3</v>
      </c>
      <c r="D2645" s="7" t="n">
        <v>27</v>
      </c>
      <c r="E2645" s="7" t="n">
        <v>1</v>
      </c>
      <c r="F2645" s="7" t="s">
        <v>120</v>
      </c>
      <c r="G2645" s="12" t="str">
        <f aca="false">IFERROR(INDEX('Semrush Data'!$A$1:$Z$20000,MATCH(A2645,'Semrush Data'!$A$1:$A$20000,0),MATCH("Volume",'Semrush Data'!$A$1:$Z$1,0)),"")</f>
        <v/>
      </c>
      <c r="H2645" s="7" t="str">
        <f aca="false">IFERROR(INDEX('Semrush Data'!$A$1:$Z$20000,MATCH(A2645,'Semrush Data'!$A$1:$A$20000,0),MATCH("Keyword Difficulty*",'Semrush Data'!$A$1:$Z$1,0)),"")</f>
        <v/>
      </c>
      <c r="I2645" s="13" t="str">
        <f aca="false">IFERROR(INDEX('Semrush Data'!$A$1:$Z$20000,MATCH(A2645,'Semrush Data'!$A$1:$A$20000,0),MATCH("CPC*",'Semrush Data'!$A$1:$Z$1,0)),"")</f>
        <v/>
      </c>
      <c r="J2645" s="7" t="str">
        <f aca="false">IFERROR(INDEX('Semrush Data'!$A$1:$Z$20000,MATCH(A2645,'Semrush Data'!$A$1:$A$20000,0),MATCH("Intent",'Semrush Data'!$A$1:$Z$1,0)),"")</f>
        <v/>
      </c>
    </row>
    <row r="2646" customFormat="false" ht="15" hidden="false" customHeight="true" outlineLevel="0" collapsed="false">
      <c r="A2646" s="7" t="s">
        <v>7320</v>
      </c>
      <c r="B2646" s="7" t="s">
        <v>6820</v>
      </c>
      <c r="C2646" s="7" t="n">
        <v>3</v>
      </c>
      <c r="D2646" s="7" t="s">
        <v>6818</v>
      </c>
      <c r="E2646" s="7" t="n">
        <v>1</v>
      </c>
      <c r="F2646" s="7" t="s">
        <v>120</v>
      </c>
      <c r="G2646" s="12" t="str">
        <f aca="false">IFERROR(INDEX('Semrush Data'!$A$1:$Z$20000,MATCH(A2646,'Semrush Data'!$A$1:$A$20000,0),MATCH("Volume",'Semrush Data'!$A$1:$Z$1,0)),"")</f>
        <v/>
      </c>
      <c r="H2646" s="7" t="str">
        <f aca="false">IFERROR(INDEX('Semrush Data'!$A$1:$Z$20000,MATCH(A2646,'Semrush Data'!$A$1:$A$20000,0),MATCH("Keyword Difficulty*",'Semrush Data'!$A$1:$Z$1,0)),"")</f>
        <v/>
      </c>
      <c r="I2646" s="13" t="str">
        <f aca="false">IFERROR(INDEX('Semrush Data'!$A$1:$Z$20000,MATCH(A2646,'Semrush Data'!$A$1:$A$20000,0),MATCH("CPC*",'Semrush Data'!$A$1:$Z$1,0)),"")</f>
        <v/>
      </c>
      <c r="J2646" s="7" t="str">
        <f aca="false">IFERROR(INDEX('Semrush Data'!$A$1:$Z$20000,MATCH(A2646,'Semrush Data'!$A$1:$A$20000,0),MATCH("Intent",'Semrush Data'!$A$1:$Z$1,0)),"")</f>
        <v/>
      </c>
    </row>
    <row r="2647" customFormat="false" ht="15" hidden="false" customHeight="true" outlineLevel="0" collapsed="false">
      <c r="A2647" s="7" t="s">
        <v>7321</v>
      </c>
      <c r="B2647" s="7" t="s">
        <v>6820</v>
      </c>
      <c r="C2647" s="7" t="n">
        <v>3</v>
      </c>
      <c r="D2647" s="7" t="n">
        <v>27</v>
      </c>
      <c r="E2647" s="7" t="n">
        <v>1</v>
      </c>
      <c r="F2647" s="7" t="s">
        <v>120</v>
      </c>
      <c r="G2647" s="12" t="str">
        <f aca="false">IFERROR(INDEX('Semrush Data'!$A$1:$Z$20000,MATCH(A2647,'Semrush Data'!$A$1:$A$20000,0),MATCH("Volume",'Semrush Data'!$A$1:$Z$1,0)),"")</f>
        <v/>
      </c>
      <c r="H2647" s="7" t="str">
        <f aca="false">IFERROR(INDEX('Semrush Data'!$A$1:$Z$20000,MATCH(A2647,'Semrush Data'!$A$1:$A$20000,0),MATCH("Keyword Difficulty*",'Semrush Data'!$A$1:$Z$1,0)),"")</f>
        <v/>
      </c>
      <c r="I2647" s="13" t="str">
        <f aca="false">IFERROR(INDEX('Semrush Data'!$A$1:$Z$20000,MATCH(A2647,'Semrush Data'!$A$1:$A$20000,0),MATCH("CPC*",'Semrush Data'!$A$1:$Z$1,0)),"")</f>
        <v/>
      </c>
      <c r="J2647" s="7" t="str">
        <f aca="false">IFERROR(INDEX('Semrush Data'!$A$1:$Z$20000,MATCH(A2647,'Semrush Data'!$A$1:$A$20000,0),MATCH("Intent",'Semrush Data'!$A$1:$Z$1,0)),"")</f>
        <v/>
      </c>
    </row>
    <row r="2648" customFormat="false" ht="15" hidden="false" customHeight="true" outlineLevel="0" collapsed="false">
      <c r="A2648" s="7" t="s">
        <v>7322</v>
      </c>
      <c r="B2648" s="7" t="s">
        <v>6820</v>
      </c>
      <c r="C2648" s="7" t="n">
        <v>3</v>
      </c>
      <c r="D2648" s="7" t="s">
        <v>6818</v>
      </c>
      <c r="E2648" s="7" t="n">
        <v>1</v>
      </c>
      <c r="F2648" s="7" t="s">
        <v>120</v>
      </c>
      <c r="G2648" s="12" t="str">
        <f aca="false">IFERROR(INDEX('Semrush Data'!$A$1:$Z$20000,MATCH(A2648,'Semrush Data'!$A$1:$A$20000,0),MATCH("Volume",'Semrush Data'!$A$1:$Z$1,0)),"")</f>
        <v/>
      </c>
      <c r="H2648" s="7" t="str">
        <f aca="false">IFERROR(INDEX('Semrush Data'!$A$1:$Z$20000,MATCH(A2648,'Semrush Data'!$A$1:$A$20000,0),MATCH("Keyword Difficulty*",'Semrush Data'!$A$1:$Z$1,0)),"")</f>
        <v/>
      </c>
      <c r="I2648" s="13" t="str">
        <f aca="false">IFERROR(INDEX('Semrush Data'!$A$1:$Z$20000,MATCH(A2648,'Semrush Data'!$A$1:$A$20000,0),MATCH("CPC*",'Semrush Data'!$A$1:$Z$1,0)),"")</f>
        <v/>
      </c>
      <c r="J2648" s="7" t="str">
        <f aca="false">IFERROR(INDEX('Semrush Data'!$A$1:$Z$20000,MATCH(A2648,'Semrush Data'!$A$1:$A$20000,0),MATCH("Intent",'Semrush Data'!$A$1:$Z$1,0)),"")</f>
        <v/>
      </c>
    </row>
    <row r="2649" customFormat="false" ht="15" hidden="false" customHeight="true" outlineLevel="0" collapsed="false">
      <c r="A2649" s="7" t="s">
        <v>3924</v>
      </c>
      <c r="B2649" s="7" t="s">
        <v>6820</v>
      </c>
      <c r="C2649" s="7" t="n">
        <v>3</v>
      </c>
      <c r="D2649" s="7" t="n">
        <v>27</v>
      </c>
      <c r="E2649" s="7" t="n">
        <v>1</v>
      </c>
      <c r="F2649" s="7" t="s">
        <v>3917</v>
      </c>
      <c r="G2649" s="12" t="str">
        <f aca="false">IFERROR(INDEX('Semrush Data'!$A$1:$Z$20000,MATCH(A2649,'Semrush Data'!$A$1:$A$20000,0),MATCH("Volume",'Semrush Data'!$A$1:$Z$1,0)),"")</f>
        <v/>
      </c>
      <c r="H2649" s="7" t="str">
        <f aca="false">IFERROR(INDEX('Semrush Data'!$A$1:$Z$20000,MATCH(A2649,'Semrush Data'!$A$1:$A$20000,0),MATCH("Keyword Difficulty*",'Semrush Data'!$A$1:$Z$1,0)),"")</f>
        <v/>
      </c>
      <c r="I2649" s="13" t="str">
        <f aca="false">IFERROR(INDEX('Semrush Data'!$A$1:$Z$20000,MATCH(A2649,'Semrush Data'!$A$1:$A$20000,0),MATCH("CPC*",'Semrush Data'!$A$1:$Z$1,0)),"")</f>
        <v/>
      </c>
      <c r="J2649" s="7" t="str">
        <f aca="false">IFERROR(INDEX('Semrush Data'!$A$1:$Z$20000,MATCH(A2649,'Semrush Data'!$A$1:$A$20000,0),MATCH("Intent",'Semrush Data'!$A$1:$Z$1,0)),"")</f>
        <v/>
      </c>
    </row>
    <row r="2650" customFormat="false" ht="15" hidden="false" customHeight="true" outlineLevel="0" collapsed="false">
      <c r="A2650" s="7" t="s">
        <v>7323</v>
      </c>
      <c r="B2650" s="7" t="s">
        <v>6820</v>
      </c>
      <c r="C2650" s="7" t="n">
        <v>3</v>
      </c>
      <c r="D2650" s="7" t="n">
        <v>27</v>
      </c>
      <c r="E2650" s="7" t="n">
        <v>1</v>
      </c>
      <c r="F2650" s="7" t="s">
        <v>3884</v>
      </c>
      <c r="G2650" s="12" t="str">
        <f aca="false">IFERROR(INDEX('Semrush Data'!$A$1:$Z$20000,MATCH(A2650,'Semrush Data'!$A$1:$A$20000,0),MATCH("Volume",'Semrush Data'!$A$1:$Z$1,0)),"")</f>
        <v/>
      </c>
      <c r="H2650" s="7" t="str">
        <f aca="false">IFERROR(INDEX('Semrush Data'!$A$1:$Z$20000,MATCH(A2650,'Semrush Data'!$A$1:$A$20000,0),MATCH("Keyword Difficulty*",'Semrush Data'!$A$1:$Z$1,0)),"")</f>
        <v/>
      </c>
      <c r="I2650" s="13" t="str">
        <f aca="false">IFERROR(INDEX('Semrush Data'!$A$1:$Z$20000,MATCH(A2650,'Semrush Data'!$A$1:$A$20000,0),MATCH("CPC*",'Semrush Data'!$A$1:$Z$1,0)),"")</f>
        <v/>
      </c>
      <c r="J2650" s="7" t="str">
        <f aca="false">IFERROR(INDEX('Semrush Data'!$A$1:$Z$20000,MATCH(A2650,'Semrush Data'!$A$1:$A$20000,0),MATCH("Intent",'Semrush Data'!$A$1:$Z$1,0)),"")</f>
        <v/>
      </c>
    </row>
    <row r="2651" customFormat="false" ht="15" hidden="false" customHeight="true" outlineLevel="0" collapsed="false">
      <c r="A2651" s="7" t="s">
        <v>7324</v>
      </c>
      <c r="B2651" s="7" t="s">
        <v>6820</v>
      </c>
      <c r="C2651" s="7" t="n">
        <v>3</v>
      </c>
      <c r="D2651" s="7" t="n">
        <v>27</v>
      </c>
      <c r="E2651" s="7" t="n">
        <v>1</v>
      </c>
      <c r="F2651" s="7" t="s">
        <v>3873</v>
      </c>
      <c r="G2651" s="12" t="str">
        <f aca="false">IFERROR(INDEX('Semrush Data'!$A$1:$Z$20000,MATCH(A2651,'Semrush Data'!$A$1:$A$20000,0),MATCH("Volume",'Semrush Data'!$A$1:$Z$1,0)),"")</f>
        <v/>
      </c>
      <c r="H2651" s="7" t="str">
        <f aca="false">IFERROR(INDEX('Semrush Data'!$A$1:$Z$20000,MATCH(A2651,'Semrush Data'!$A$1:$A$20000,0),MATCH("Keyword Difficulty*",'Semrush Data'!$A$1:$Z$1,0)),"")</f>
        <v/>
      </c>
      <c r="I2651" s="13" t="str">
        <f aca="false">IFERROR(INDEX('Semrush Data'!$A$1:$Z$20000,MATCH(A2651,'Semrush Data'!$A$1:$A$20000,0),MATCH("CPC*",'Semrush Data'!$A$1:$Z$1,0)),"")</f>
        <v/>
      </c>
      <c r="J2651" s="7" t="str">
        <f aca="false">IFERROR(INDEX('Semrush Data'!$A$1:$Z$20000,MATCH(A2651,'Semrush Data'!$A$1:$A$20000,0),MATCH("Intent",'Semrush Data'!$A$1:$Z$1,0)),"")</f>
        <v/>
      </c>
    </row>
    <row r="2652" customFormat="false" ht="15" hidden="false" customHeight="true" outlineLevel="0" collapsed="false">
      <c r="A2652" s="7" t="s">
        <v>7325</v>
      </c>
      <c r="B2652" s="7" t="s">
        <v>6820</v>
      </c>
      <c r="C2652" s="7" t="n">
        <v>3</v>
      </c>
      <c r="D2652" s="7" t="n">
        <v>27</v>
      </c>
      <c r="E2652" s="7" t="n">
        <v>1</v>
      </c>
      <c r="F2652" s="7" t="s">
        <v>3873</v>
      </c>
      <c r="G2652" s="12" t="str">
        <f aca="false">IFERROR(INDEX('Semrush Data'!$A$1:$Z$20000,MATCH(A2652,'Semrush Data'!$A$1:$A$20000,0),MATCH("Volume",'Semrush Data'!$A$1:$Z$1,0)),"")</f>
        <v/>
      </c>
      <c r="H2652" s="7" t="str">
        <f aca="false">IFERROR(INDEX('Semrush Data'!$A$1:$Z$20000,MATCH(A2652,'Semrush Data'!$A$1:$A$20000,0),MATCH("Keyword Difficulty*",'Semrush Data'!$A$1:$Z$1,0)),"")</f>
        <v/>
      </c>
      <c r="I2652" s="13" t="str">
        <f aca="false">IFERROR(INDEX('Semrush Data'!$A$1:$Z$20000,MATCH(A2652,'Semrush Data'!$A$1:$A$20000,0),MATCH("CPC*",'Semrush Data'!$A$1:$Z$1,0)),"")</f>
        <v/>
      </c>
      <c r="J2652" s="7" t="str">
        <f aca="false">IFERROR(INDEX('Semrush Data'!$A$1:$Z$20000,MATCH(A2652,'Semrush Data'!$A$1:$A$20000,0),MATCH("Intent",'Semrush Data'!$A$1:$Z$1,0)),"")</f>
        <v/>
      </c>
    </row>
    <row r="2653" customFormat="false" ht="15" hidden="false" customHeight="true" outlineLevel="0" collapsed="false">
      <c r="A2653" s="7" t="s">
        <v>7326</v>
      </c>
      <c r="B2653" s="7" t="s">
        <v>6820</v>
      </c>
      <c r="C2653" s="7" t="n">
        <v>3</v>
      </c>
      <c r="D2653" s="7" t="n">
        <v>27</v>
      </c>
      <c r="E2653" s="7" t="n">
        <v>1</v>
      </c>
      <c r="F2653" s="7" t="s">
        <v>3873</v>
      </c>
      <c r="G2653" s="12" t="str">
        <f aca="false">IFERROR(INDEX('Semrush Data'!$A$1:$Z$20000,MATCH(A2653,'Semrush Data'!$A$1:$A$20000,0),MATCH("Volume",'Semrush Data'!$A$1:$Z$1,0)),"")</f>
        <v/>
      </c>
      <c r="H2653" s="7" t="str">
        <f aca="false">IFERROR(INDEX('Semrush Data'!$A$1:$Z$20000,MATCH(A2653,'Semrush Data'!$A$1:$A$20000,0),MATCH("Keyword Difficulty*",'Semrush Data'!$A$1:$Z$1,0)),"")</f>
        <v/>
      </c>
      <c r="I2653" s="13" t="str">
        <f aca="false">IFERROR(INDEX('Semrush Data'!$A$1:$Z$20000,MATCH(A2653,'Semrush Data'!$A$1:$A$20000,0),MATCH("CPC*",'Semrush Data'!$A$1:$Z$1,0)),"")</f>
        <v/>
      </c>
      <c r="J2653" s="7" t="str">
        <f aca="false">IFERROR(INDEX('Semrush Data'!$A$1:$Z$20000,MATCH(A2653,'Semrush Data'!$A$1:$A$20000,0),MATCH("Intent",'Semrush Data'!$A$1:$Z$1,0)),"")</f>
        <v/>
      </c>
    </row>
    <row r="2654" customFormat="false" ht="15" hidden="false" customHeight="true" outlineLevel="0" collapsed="false">
      <c r="A2654" s="7" t="s">
        <v>7327</v>
      </c>
      <c r="B2654" s="7" t="s">
        <v>6820</v>
      </c>
      <c r="C2654" s="7" t="n">
        <v>3</v>
      </c>
      <c r="D2654" s="7" t="n">
        <v>27</v>
      </c>
      <c r="E2654" s="7" t="n">
        <v>1</v>
      </c>
      <c r="F2654" s="7" t="s">
        <v>3873</v>
      </c>
      <c r="G2654" s="12" t="str">
        <f aca="false">IFERROR(INDEX('Semrush Data'!$A$1:$Z$20000,MATCH(A2654,'Semrush Data'!$A$1:$A$20000,0),MATCH("Volume",'Semrush Data'!$A$1:$Z$1,0)),"")</f>
        <v/>
      </c>
      <c r="H2654" s="7" t="str">
        <f aca="false">IFERROR(INDEX('Semrush Data'!$A$1:$Z$20000,MATCH(A2654,'Semrush Data'!$A$1:$A$20000,0),MATCH("Keyword Difficulty*",'Semrush Data'!$A$1:$Z$1,0)),"")</f>
        <v/>
      </c>
      <c r="I2654" s="13" t="str">
        <f aca="false">IFERROR(INDEX('Semrush Data'!$A$1:$Z$20000,MATCH(A2654,'Semrush Data'!$A$1:$A$20000,0),MATCH("CPC*",'Semrush Data'!$A$1:$Z$1,0)),"")</f>
        <v/>
      </c>
      <c r="J2654" s="7" t="str">
        <f aca="false">IFERROR(INDEX('Semrush Data'!$A$1:$Z$20000,MATCH(A2654,'Semrush Data'!$A$1:$A$20000,0),MATCH("Intent",'Semrush Data'!$A$1:$Z$1,0)),"")</f>
        <v/>
      </c>
    </row>
    <row r="2655" customFormat="false" ht="15" hidden="false" customHeight="true" outlineLevel="0" collapsed="false">
      <c r="A2655" s="7" t="s">
        <v>7328</v>
      </c>
      <c r="B2655" s="7" t="s">
        <v>6820</v>
      </c>
      <c r="C2655" s="7" t="n">
        <v>3</v>
      </c>
      <c r="D2655" s="7" t="n">
        <v>27</v>
      </c>
      <c r="E2655" s="7" t="n">
        <v>1</v>
      </c>
      <c r="F2655" s="7" t="s">
        <v>3873</v>
      </c>
      <c r="G2655" s="12" t="str">
        <f aca="false">IFERROR(INDEX('Semrush Data'!$A$1:$Z$20000,MATCH(A2655,'Semrush Data'!$A$1:$A$20000,0),MATCH("Volume",'Semrush Data'!$A$1:$Z$1,0)),"")</f>
        <v/>
      </c>
      <c r="H2655" s="7" t="str">
        <f aca="false">IFERROR(INDEX('Semrush Data'!$A$1:$Z$20000,MATCH(A2655,'Semrush Data'!$A$1:$A$20000,0),MATCH("Keyword Difficulty*",'Semrush Data'!$A$1:$Z$1,0)),"")</f>
        <v/>
      </c>
      <c r="I2655" s="13" t="str">
        <f aca="false">IFERROR(INDEX('Semrush Data'!$A$1:$Z$20000,MATCH(A2655,'Semrush Data'!$A$1:$A$20000,0),MATCH("CPC*",'Semrush Data'!$A$1:$Z$1,0)),"")</f>
        <v/>
      </c>
      <c r="J2655" s="7" t="str">
        <f aca="false">IFERROR(INDEX('Semrush Data'!$A$1:$Z$20000,MATCH(A2655,'Semrush Data'!$A$1:$A$20000,0),MATCH("Intent",'Semrush Data'!$A$1:$Z$1,0)),"")</f>
        <v/>
      </c>
    </row>
    <row r="2656" customFormat="false" ht="15" hidden="false" customHeight="true" outlineLevel="0" collapsed="false">
      <c r="A2656" s="7" t="s">
        <v>7329</v>
      </c>
      <c r="B2656" s="7" t="s">
        <v>6820</v>
      </c>
      <c r="C2656" s="7" t="n">
        <v>3</v>
      </c>
      <c r="D2656" s="7" t="n">
        <v>27</v>
      </c>
      <c r="E2656" s="7" t="n">
        <v>1</v>
      </c>
      <c r="F2656" s="7" t="s">
        <v>3884</v>
      </c>
      <c r="G2656" s="12" t="str">
        <f aca="false">IFERROR(INDEX('Semrush Data'!$A$1:$Z$20000,MATCH(A2656,'Semrush Data'!$A$1:$A$20000,0),MATCH("Volume",'Semrush Data'!$A$1:$Z$1,0)),"")</f>
        <v/>
      </c>
      <c r="H2656" s="7" t="str">
        <f aca="false">IFERROR(INDEX('Semrush Data'!$A$1:$Z$20000,MATCH(A2656,'Semrush Data'!$A$1:$A$20000,0),MATCH("Keyword Difficulty*",'Semrush Data'!$A$1:$Z$1,0)),"")</f>
        <v/>
      </c>
      <c r="I2656" s="13" t="str">
        <f aca="false">IFERROR(INDEX('Semrush Data'!$A$1:$Z$20000,MATCH(A2656,'Semrush Data'!$A$1:$A$20000,0),MATCH("CPC*",'Semrush Data'!$A$1:$Z$1,0)),"")</f>
        <v/>
      </c>
      <c r="J2656" s="7" t="str">
        <f aca="false">IFERROR(INDEX('Semrush Data'!$A$1:$Z$20000,MATCH(A2656,'Semrush Data'!$A$1:$A$20000,0),MATCH("Intent",'Semrush Data'!$A$1:$Z$1,0)),"")</f>
        <v/>
      </c>
    </row>
    <row r="2657" customFormat="false" ht="15" hidden="false" customHeight="true" outlineLevel="0" collapsed="false">
      <c r="A2657" s="7" t="s">
        <v>7330</v>
      </c>
      <c r="B2657" s="7" t="s">
        <v>6820</v>
      </c>
      <c r="C2657" s="7" t="n">
        <v>3</v>
      </c>
      <c r="D2657" s="7" t="n">
        <v>27</v>
      </c>
      <c r="E2657" s="7" t="n">
        <v>1</v>
      </c>
      <c r="F2657" s="7" t="s">
        <v>3928</v>
      </c>
      <c r="G2657" s="12" t="str">
        <f aca="false">IFERROR(INDEX('Semrush Data'!$A$1:$Z$20000,MATCH(A2657,'Semrush Data'!$A$1:$A$20000,0),MATCH("Volume",'Semrush Data'!$A$1:$Z$1,0)),"")</f>
        <v/>
      </c>
      <c r="H2657" s="7" t="str">
        <f aca="false">IFERROR(INDEX('Semrush Data'!$A$1:$Z$20000,MATCH(A2657,'Semrush Data'!$A$1:$A$20000,0),MATCH("Keyword Difficulty*",'Semrush Data'!$A$1:$Z$1,0)),"")</f>
        <v/>
      </c>
      <c r="I2657" s="13" t="str">
        <f aca="false">IFERROR(INDEX('Semrush Data'!$A$1:$Z$20000,MATCH(A2657,'Semrush Data'!$A$1:$A$20000,0),MATCH("CPC*",'Semrush Data'!$A$1:$Z$1,0)),"")</f>
        <v/>
      </c>
      <c r="J2657" s="7" t="str">
        <f aca="false">IFERROR(INDEX('Semrush Data'!$A$1:$Z$20000,MATCH(A2657,'Semrush Data'!$A$1:$A$20000,0),MATCH("Intent",'Semrush Data'!$A$1:$Z$1,0)),"")</f>
        <v/>
      </c>
    </row>
    <row r="2658" customFormat="false" ht="15" hidden="false" customHeight="true" outlineLevel="0" collapsed="false">
      <c r="A2658" s="7" t="s">
        <v>7331</v>
      </c>
      <c r="B2658" s="7" t="s">
        <v>6820</v>
      </c>
      <c r="C2658" s="7" t="n">
        <v>3</v>
      </c>
      <c r="D2658" s="7" t="n">
        <v>27</v>
      </c>
      <c r="E2658" s="7" t="n">
        <v>1</v>
      </c>
      <c r="F2658" s="7" t="s">
        <v>3928</v>
      </c>
      <c r="G2658" s="12" t="str">
        <f aca="false">IFERROR(INDEX('Semrush Data'!$A$1:$Z$20000,MATCH(A2658,'Semrush Data'!$A$1:$A$20000,0),MATCH("Volume",'Semrush Data'!$A$1:$Z$1,0)),"")</f>
        <v/>
      </c>
      <c r="H2658" s="7" t="str">
        <f aca="false">IFERROR(INDEX('Semrush Data'!$A$1:$Z$20000,MATCH(A2658,'Semrush Data'!$A$1:$A$20000,0),MATCH("Keyword Difficulty*",'Semrush Data'!$A$1:$Z$1,0)),"")</f>
        <v/>
      </c>
      <c r="I2658" s="13" t="str">
        <f aca="false">IFERROR(INDEX('Semrush Data'!$A$1:$Z$20000,MATCH(A2658,'Semrush Data'!$A$1:$A$20000,0),MATCH("CPC*",'Semrush Data'!$A$1:$Z$1,0)),"")</f>
        <v/>
      </c>
      <c r="J2658" s="7" t="str">
        <f aca="false">IFERROR(INDEX('Semrush Data'!$A$1:$Z$20000,MATCH(A2658,'Semrush Data'!$A$1:$A$20000,0),MATCH("Intent",'Semrush Data'!$A$1:$Z$1,0)),"")</f>
        <v/>
      </c>
    </row>
    <row r="2659" customFormat="false" ht="15" hidden="false" customHeight="true" outlineLevel="0" collapsed="false">
      <c r="A2659" s="7" t="s">
        <v>7332</v>
      </c>
      <c r="B2659" s="7" t="s">
        <v>6820</v>
      </c>
      <c r="C2659" s="7" t="n">
        <v>3</v>
      </c>
      <c r="D2659" s="7" t="n">
        <v>27</v>
      </c>
      <c r="E2659" s="7" t="n">
        <v>1</v>
      </c>
      <c r="F2659" s="7" t="s">
        <v>3928</v>
      </c>
      <c r="G2659" s="12" t="str">
        <f aca="false">IFERROR(INDEX('Semrush Data'!$A$1:$Z$20000,MATCH(A2659,'Semrush Data'!$A$1:$A$20000,0),MATCH("Volume",'Semrush Data'!$A$1:$Z$1,0)),"")</f>
        <v/>
      </c>
      <c r="H2659" s="7" t="str">
        <f aca="false">IFERROR(INDEX('Semrush Data'!$A$1:$Z$20000,MATCH(A2659,'Semrush Data'!$A$1:$A$20000,0),MATCH("Keyword Difficulty*",'Semrush Data'!$A$1:$Z$1,0)),"")</f>
        <v/>
      </c>
      <c r="I2659" s="13" t="str">
        <f aca="false">IFERROR(INDEX('Semrush Data'!$A$1:$Z$20000,MATCH(A2659,'Semrush Data'!$A$1:$A$20000,0),MATCH("CPC*",'Semrush Data'!$A$1:$Z$1,0)),"")</f>
        <v/>
      </c>
      <c r="J2659" s="7" t="str">
        <f aca="false">IFERROR(INDEX('Semrush Data'!$A$1:$Z$20000,MATCH(A2659,'Semrush Data'!$A$1:$A$20000,0),MATCH("Intent",'Semrush Data'!$A$1:$Z$1,0)),"")</f>
        <v/>
      </c>
    </row>
    <row r="2660" customFormat="false" ht="15" hidden="false" customHeight="true" outlineLevel="0" collapsed="false">
      <c r="A2660" s="7" t="s">
        <v>7333</v>
      </c>
      <c r="B2660" s="7" t="s">
        <v>6820</v>
      </c>
      <c r="C2660" s="7" t="n">
        <v>3</v>
      </c>
      <c r="D2660" s="7" t="n">
        <v>27</v>
      </c>
      <c r="E2660" s="7" t="n">
        <v>1</v>
      </c>
      <c r="F2660" s="7" t="s">
        <v>3895</v>
      </c>
      <c r="G2660" s="12" t="str">
        <f aca="false">IFERROR(INDEX('Semrush Data'!$A$1:$Z$20000,MATCH(A2660,'Semrush Data'!$A$1:$A$20000,0),MATCH("Volume",'Semrush Data'!$A$1:$Z$1,0)),"")</f>
        <v/>
      </c>
      <c r="H2660" s="7" t="str">
        <f aca="false">IFERROR(INDEX('Semrush Data'!$A$1:$Z$20000,MATCH(A2660,'Semrush Data'!$A$1:$A$20000,0),MATCH("Keyword Difficulty*",'Semrush Data'!$A$1:$Z$1,0)),"")</f>
        <v/>
      </c>
      <c r="I2660" s="13" t="str">
        <f aca="false">IFERROR(INDEX('Semrush Data'!$A$1:$Z$20000,MATCH(A2660,'Semrush Data'!$A$1:$A$20000,0),MATCH("CPC*",'Semrush Data'!$A$1:$Z$1,0)),"")</f>
        <v/>
      </c>
      <c r="J2660" s="7" t="str">
        <f aca="false">IFERROR(INDEX('Semrush Data'!$A$1:$Z$20000,MATCH(A2660,'Semrush Data'!$A$1:$A$20000,0),MATCH("Intent",'Semrush Data'!$A$1:$Z$1,0)),"")</f>
        <v/>
      </c>
    </row>
    <row r="2661" customFormat="false" ht="15" hidden="false" customHeight="true" outlineLevel="0" collapsed="false">
      <c r="A2661" s="7" t="s">
        <v>7334</v>
      </c>
      <c r="B2661" s="7" t="s">
        <v>6820</v>
      </c>
      <c r="C2661" s="7" t="n">
        <v>3</v>
      </c>
      <c r="D2661" s="7" t="n">
        <v>27</v>
      </c>
      <c r="E2661" s="7" t="n">
        <v>1</v>
      </c>
      <c r="F2661" s="7" t="s">
        <v>3895</v>
      </c>
      <c r="G2661" s="12" t="str">
        <f aca="false">IFERROR(INDEX('Semrush Data'!$A$1:$Z$20000,MATCH(A2661,'Semrush Data'!$A$1:$A$20000,0),MATCH("Volume",'Semrush Data'!$A$1:$Z$1,0)),"")</f>
        <v/>
      </c>
      <c r="H2661" s="7" t="str">
        <f aca="false">IFERROR(INDEX('Semrush Data'!$A$1:$Z$20000,MATCH(A2661,'Semrush Data'!$A$1:$A$20000,0),MATCH("Keyword Difficulty*",'Semrush Data'!$A$1:$Z$1,0)),"")</f>
        <v/>
      </c>
      <c r="I2661" s="13" t="str">
        <f aca="false">IFERROR(INDEX('Semrush Data'!$A$1:$Z$20000,MATCH(A2661,'Semrush Data'!$A$1:$A$20000,0),MATCH("CPC*",'Semrush Data'!$A$1:$Z$1,0)),"")</f>
        <v/>
      </c>
      <c r="J2661" s="7" t="str">
        <f aca="false">IFERROR(INDEX('Semrush Data'!$A$1:$Z$20000,MATCH(A2661,'Semrush Data'!$A$1:$A$20000,0),MATCH("Intent",'Semrush Data'!$A$1:$Z$1,0)),"")</f>
        <v/>
      </c>
    </row>
    <row r="2662" customFormat="false" ht="15" hidden="false" customHeight="true" outlineLevel="0" collapsed="false">
      <c r="A2662" s="7" t="s">
        <v>7335</v>
      </c>
      <c r="B2662" s="7" t="s">
        <v>6820</v>
      </c>
      <c r="C2662" s="7" t="n">
        <v>3</v>
      </c>
      <c r="D2662" s="7" t="n">
        <v>27</v>
      </c>
      <c r="E2662" s="7" t="n">
        <v>1</v>
      </c>
      <c r="F2662" s="7" t="s">
        <v>3895</v>
      </c>
      <c r="G2662" s="12" t="str">
        <f aca="false">IFERROR(INDEX('Semrush Data'!$A$1:$Z$20000,MATCH(A2662,'Semrush Data'!$A$1:$A$20000,0),MATCH("Volume",'Semrush Data'!$A$1:$Z$1,0)),"")</f>
        <v/>
      </c>
      <c r="H2662" s="7" t="str">
        <f aca="false">IFERROR(INDEX('Semrush Data'!$A$1:$Z$20000,MATCH(A2662,'Semrush Data'!$A$1:$A$20000,0),MATCH("Keyword Difficulty*",'Semrush Data'!$A$1:$Z$1,0)),"")</f>
        <v/>
      </c>
      <c r="I2662" s="13" t="str">
        <f aca="false">IFERROR(INDEX('Semrush Data'!$A$1:$Z$20000,MATCH(A2662,'Semrush Data'!$A$1:$A$20000,0),MATCH("CPC*",'Semrush Data'!$A$1:$Z$1,0)),"")</f>
        <v/>
      </c>
      <c r="J2662" s="7" t="str">
        <f aca="false">IFERROR(INDEX('Semrush Data'!$A$1:$Z$20000,MATCH(A2662,'Semrush Data'!$A$1:$A$20000,0),MATCH("Intent",'Semrush Data'!$A$1:$Z$1,0)),"")</f>
        <v/>
      </c>
    </row>
    <row r="2663" customFormat="false" ht="15" hidden="false" customHeight="true" outlineLevel="0" collapsed="false">
      <c r="A2663" s="7" t="s">
        <v>7336</v>
      </c>
      <c r="B2663" s="7" t="s">
        <v>6820</v>
      </c>
      <c r="C2663" s="7" t="n">
        <v>3</v>
      </c>
      <c r="D2663" s="7" t="n">
        <v>27</v>
      </c>
      <c r="E2663" s="7" t="n">
        <v>1</v>
      </c>
      <c r="F2663" s="7" t="s">
        <v>3895</v>
      </c>
      <c r="G2663" s="12" t="str">
        <f aca="false">IFERROR(INDEX('Semrush Data'!$A$1:$Z$20000,MATCH(A2663,'Semrush Data'!$A$1:$A$20000,0),MATCH("Volume",'Semrush Data'!$A$1:$Z$1,0)),"")</f>
        <v/>
      </c>
      <c r="H2663" s="7" t="str">
        <f aca="false">IFERROR(INDEX('Semrush Data'!$A$1:$Z$20000,MATCH(A2663,'Semrush Data'!$A$1:$A$20000,0),MATCH("Keyword Difficulty*",'Semrush Data'!$A$1:$Z$1,0)),"")</f>
        <v/>
      </c>
      <c r="I2663" s="13" t="str">
        <f aca="false">IFERROR(INDEX('Semrush Data'!$A$1:$Z$20000,MATCH(A2663,'Semrush Data'!$A$1:$A$20000,0),MATCH("CPC*",'Semrush Data'!$A$1:$Z$1,0)),"")</f>
        <v/>
      </c>
      <c r="J2663" s="7" t="str">
        <f aca="false">IFERROR(INDEX('Semrush Data'!$A$1:$Z$20000,MATCH(A2663,'Semrush Data'!$A$1:$A$20000,0),MATCH("Intent",'Semrush Data'!$A$1:$Z$1,0)),"")</f>
        <v/>
      </c>
    </row>
    <row r="2664" customFormat="false" ht="15" hidden="false" customHeight="true" outlineLevel="0" collapsed="false">
      <c r="A2664" s="7" t="s">
        <v>7337</v>
      </c>
      <c r="B2664" s="7" t="s">
        <v>6820</v>
      </c>
      <c r="C2664" s="7" t="n">
        <v>3</v>
      </c>
      <c r="D2664" s="7" t="n">
        <v>27</v>
      </c>
      <c r="E2664" s="7" t="n">
        <v>1</v>
      </c>
      <c r="F2664" s="7" t="s">
        <v>3895</v>
      </c>
      <c r="G2664" s="12" t="str">
        <f aca="false">IFERROR(INDEX('Semrush Data'!$A$1:$Z$20000,MATCH(A2664,'Semrush Data'!$A$1:$A$20000,0),MATCH("Volume",'Semrush Data'!$A$1:$Z$1,0)),"")</f>
        <v/>
      </c>
      <c r="H2664" s="7" t="str">
        <f aca="false">IFERROR(INDEX('Semrush Data'!$A$1:$Z$20000,MATCH(A2664,'Semrush Data'!$A$1:$A$20000,0),MATCH("Keyword Difficulty*",'Semrush Data'!$A$1:$Z$1,0)),"")</f>
        <v/>
      </c>
      <c r="I2664" s="13" t="str">
        <f aca="false">IFERROR(INDEX('Semrush Data'!$A$1:$Z$20000,MATCH(A2664,'Semrush Data'!$A$1:$A$20000,0),MATCH("CPC*",'Semrush Data'!$A$1:$Z$1,0)),"")</f>
        <v/>
      </c>
      <c r="J2664" s="7" t="str">
        <f aca="false">IFERROR(INDEX('Semrush Data'!$A$1:$Z$20000,MATCH(A2664,'Semrush Data'!$A$1:$A$20000,0),MATCH("Intent",'Semrush Data'!$A$1:$Z$1,0)),"")</f>
        <v/>
      </c>
    </row>
    <row r="2665" customFormat="false" ht="15" hidden="false" customHeight="true" outlineLevel="0" collapsed="false">
      <c r="A2665" s="7" t="s">
        <v>3944</v>
      </c>
      <c r="B2665" s="7" t="s">
        <v>6820</v>
      </c>
      <c r="C2665" s="7" t="n">
        <v>3</v>
      </c>
      <c r="D2665" s="7" t="n">
        <v>27</v>
      </c>
      <c r="E2665" s="7" t="n">
        <v>1</v>
      </c>
      <c r="F2665" s="7" t="s">
        <v>3938</v>
      </c>
      <c r="G2665" s="12" t="str">
        <f aca="false">IFERROR(INDEX('Semrush Data'!$A$1:$Z$20000,MATCH(A2665,'Semrush Data'!$A$1:$A$20000,0),MATCH("Volume",'Semrush Data'!$A$1:$Z$1,0)),"")</f>
        <v/>
      </c>
      <c r="H2665" s="7" t="str">
        <f aca="false">IFERROR(INDEX('Semrush Data'!$A$1:$Z$20000,MATCH(A2665,'Semrush Data'!$A$1:$A$20000,0),MATCH("Keyword Difficulty*",'Semrush Data'!$A$1:$Z$1,0)),"")</f>
        <v/>
      </c>
      <c r="I2665" s="13" t="str">
        <f aca="false">IFERROR(INDEX('Semrush Data'!$A$1:$Z$20000,MATCH(A2665,'Semrush Data'!$A$1:$A$20000,0),MATCH("CPC*",'Semrush Data'!$A$1:$Z$1,0)),"")</f>
        <v/>
      </c>
      <c r="J2665" s="7" t="str">
        <f aca="false">IFERROR(INDEX('Semrush Data'!$A$1:$Z$20000,MATCH(A2665,'Semrush Data'!$A$1:$A$20000,0),MATCH("Intent",'Semrush Data'!$A$1:$Z$1,0)),"")</f>
        <v/>
      </c>
    </row>
    <row r="2666" customFormat="false" ht="15" hidden="false" customHeight="true" outlineLevel="0" collapsed="false">
      <c r="A2666" s="7" t="s">
        <v>7338</v>
      </c>
      <c r="B2666" s="7" t="s">
        <v>6820</v>
      </c>
      <c r="C2666" s="7" t="n">
        <v>3</v>
      </c>
      <c r="D2666" s="7" t="n">
        <v>27</v>
      </c>
      <c r="E2666" s="7" t="n">
        <v>1</v>
      </c>
      <c r="F2666" s="7" t="s">
        <v>3884</v>
      </c>
      <c r="G2666" s="12" t="str">
        <f aca="false">IFERROR(INDEX('Semrush Data'!$A$1:$Z$20000,MATCH(A2666,'Semrush Data'!$A$1:$A$20000,0),MATCH("Volume",'Semrush Data'!$A$1:$Z$1,0)),"")</f>
        <v/>
      </c>
      <c r="H2666" s="7" t="str">
        <f aca="false">IFERROR(INDEX('Semrush Data'!$A$1:$Z$20000,MATCH(A2666,'Semrush Data'!$A$1:$A$20000,0),MATCH("Keyword Difficulty*",'Semrush Data'!$A$1:$Z$1,0)),"")</f>
        <v/>
      </c>
      <c r="I2666" s="13" t="str">
        <f aca="false">IFERROR(INDEX('Semrush Data'!$A$1:$Z$20000,MATCH(A2666,'Semrush Data'!$A$1:$A$20000,0),MATCH("CPC*",'Semrush Data'!$A$1:$Z$1,0)),"")</f>
        <v/>
      </c>
      <c r="J2666" s="7" t="str">
        <f aca="false">IFERROR(INDEX('Semrush Data'!$A$1:$Z$20000,MATCH(A2666,'Semrush Data'!$A$1:$A$20000,0),MATCH("Intent",'Semrush Data'!$A$1:$Z$1,0)),"")</f>
        <v/>
      </c>
    </row>
    <row r="2667" customFormat="false" ht="15" hidden="false" customHeight="true" outlineLevel="0" collapsed="false">
      <c r="A2667" s="7" t="s">
        <v>7339</v>
      </c>
      <c r="B2667" s="7" t="s">
        <v>6820</v>
      </c>
      <c r="C2667" s="7" t="n">
        <v>3</v>
      </c>
      <c r="D2667" s="7" t="n">
        <v>27</v>
      </c>
      <c r="E2667" s="7" t="n">
        <v>1</v>
      </c>
      <c r="F2667" s="7" t="s">
        <v>3928</v>
      </c>
      <c r="G2667" s="12" t="str">
        <f aca="false">IFERROR(INDEX('Semrush Data'!$A$1:$Z$20000,MATCH(A2667,'Semrush Data'!$A$1:$A$20000,0),MATCH("Volume",'Semrush Data'!$A$1:$Z$1,0)),"")</f>
        <v/>
      </c>
      <c r="H2667" s="7" t="str">
        <f aca="false">IFERROR(INDEX('Semrush Data'!$A$1:$Z$20000,MATCH(A2667,'Semrush Data'!$A$1:$A$20000,0),MATCH("Keyword Difficulty*",'Semrush Data'!$A$1:$Z$1,0)),"")</f>
        <v/>
      </c>
      <c r="I2667" s="13" t="str">
        <f aca="false">IFERROR(INDEX('Semrush Data'!$A$1:$Z$20000,MATCH(A2667,'Semrush Data'!$A$1:$A$20000,0),MATCH("CPC*",'Semrush Data'!$A$1:$Z$1,0)),"")</f>
        <v/>
      </c>
      <c r="J2667" s="7" t="str">
        <f aca="false">IFERROR(INDEX('Semrush Data'!$A$1:$Z$20000,MATCH(A2667,'Semrush Data'!$A$1:$A$20000,0),MATCH("Intent",'Semrush Data'!$A$1:$Z$1,0)),"")</f>
        <v/>
      </c>
    </row>
    <row r="2668" customFormat="false" ht="15" hidden="false" customHeight="true" outlineLevel="0" collapsed="false">
      <c r="A2668" s="7" t="s">
        <v>7340</v>
      </c>
      <c r="B2668" s="7" t="s">
        <v>6820</v>
      </c>
      <c r="C2668" s="7" t="n">
        <v>3</v>
      </c>
      <c r="D2668" s="7" t="n">
        <v>27</v>
      </c>
      <c r="E2668" s="7" t="n">
        <v>1</v>
      </c>
      <c r="F2668" s="7" t="s">
        <v>3906</v>
      </c>
      <c r="G2668" s="12" t="str">
        <f aca="false">IFERROR(INDEX('Semrush Data'!$A$1:$Z$20000,MATCH(A2668,'Semrush Data'!$A$1:$A$20000,0),MATCH("Volume",'Semrush Data'!$A$1:$Z$1,0)),"")</f>
        <v/>
      </c>
      <c r="H2668" s="7" t="str">
        <f aca="false">IFERROR(INDEX('Semrush Data'!$A$1:$Z$20000,MATCH(A2668,'Semrush Data'!$A$1:$A$20000,0),MATCH("Keyword Difficulty*",'Semrush Data'!$A$1:$Z$1,0)),"")</f>
        <v/>
      </c>
      <c r="I2668" s="13" t="str">
        <f aca="false">IFERROR(INDEX('Semrush Data'!$A$1:$Z$20000,MATCH(A2668,'Semrush Data'!$A$1:$A$20000,0),MATCH("CPC*",'Semrush Data'!$A$1:$Z$1,0)),"")</f>
        <v/>
      </c>
      <c r="J2668" s="7" t="str">
        <f aca="false">IFERROR(INDEX('Semrush Data'!$A$1:$Z$20000,MATCH(A2668,'Semrush Data'!$A$1:$A$20000,0),MATCH("Intent",'Semrush Data'!$A$1:$Z$1,0)),"")</f>
        <v/>
      </c>
    </row>
    <row r="2669" customFormat="false" ht="15" hidden="false" customHeight="true" outlineLevel="0" collapsed="false">
      <c r="A2669" s="7" t="s">
        <v>7341</v>
      </c>
      <c r="B2669" s="7" t="s">
        <v>6820</v>
      </c>
      <c r="C2669" s="7" t="n">
        <v>3</v>
      </c>
      <c r="D2669" s="7" t="n">
        <v>27</v>
      </c>
      <c r="E2669" s="7" t="n">
        <v>1</v>
      </c>
      <c r="F2669" s="7" t="s">
        <v>3906</v>
      </c>
      <c r="G2669" s="12" t="str">
        <f aca="false">IFERROR(INDEX('Semrush Data'!$A$1:$Z$20000,MATCH(A2669,'Semrush Data'!$A$1:$A$20000,0),MATCH("Volume",'Semrush Data'!$A$1:$Z$1,0)),"")</f>
        <v/>
      </c>
      <c r="H2669" s="7" t="str">
        <f aca="false">IFERROR(INDEX('Semrush Data'!$A$1:$Z$20000,MATCH(A2669,'Semrush Data'!$A$1:$A$20000,0),MATCH("Keyword Difficulty*",'Semrush Data'!$A$1:$Z$1,0)),"")</f>
        <v/>
      </c>
      <c r="I2669" s="13" t="str">
        <f aca="false">IFERROR(INDEX('Semrush Data'!$A$1:$Z$20000,MATCH(A2669,'Semrush Data'!$A$1:$A$20000,0),MATCH("CPC*",'Semrush Data'!$A$1:$Z$1,0)),"")</f>
        <v/>
      </c>
      <c r="J2669" s="7" t="str">
        <f aca="false">IFERROR(INDEX('Semrush Data'!$A$1:$Z$20000,MATCH(A2669,'Semrush Data'!$A$1:$A$20000,0),MATCH("Intent",'Semrush Data'!$A$1:$Z$1,0)),"")</f>
        <v/>
      </c>
    </row>
    <row r="2670" customFormat="false" ht="15" hidden="false" customHeight="true" outlineLevel="0" collapsed="false">
      <c r="A2670" s="7" t="s">
        <v>7342</v>
      </c>
      <c r="B2670" s="7" t="s">
        <v>6820</v>
      </c>
      <c r="C2670" s="7" t="n">
        <v>3</v>
      </c>
      <c r="D2670" s="7" t="n">
        <v>27</v>
      </c>
      <c r="E2670" s="7" t="n">
        <v>1</v>
      </c>
      <c r="F2670" s="7" t="s">
        <v>3906</v>
      </c>
      <c r="G2670" s="12" t="str">
        <f aca="false">IFERROR(INDEX('Semrush Data'!$A$1:$Z$20000,MATCH(A2670,'Semrush Data'!$A$1:$A$20000,0),MATCH("Volume",'Semrush Data'!$A$1:$Z$1,0)),"")</f>
        <v/>
      </c>
      <c r="H2670" s="7" t="str">
        <f aca="false">IFERROR(INDEX('Semrush Data'!$A$1:$Z$20000,MATCH(A2670,'Semrush Data'!$A$1:$A$20000,0),MATCH("Keyword Difficulty*",'Semrush Data'!$A$1:$Z$1,0)),"")</f>
        <v/>
      </c>
      <c r="I2670" s="13" t="str">
        <f aca="false">IFERROR(INDEX('Semrush Data'!$A$1:$Z$20000,MATCH(A2670,'Semrush Data'!$A$1:$A$20000,0),MATCH("CPC*",'Semrush Data'!$A$1:$Z$1,0)),"")</f>
        <v/>
      </c>
      <c r="J2670" s="7" t="str">
        <f aca="false">IFERROR(INDEX('Semrush Data'!$A$1:$Z$20000,MATCH(A2670,'Semrush Data'!$A$1:$A$20000,0),MATCH("Intent",'Semrush Data'!$A$1:$Z$1,0)),"")</f>
        <v/>
      </c>
    </row>
    <row r="2671" customFormat="false" ht="15" hidden="false" customHeight="true" outlineLevel="0" collapsed="false">
      <c r="A2671" s="7" t="s">
        <v>7343</v>
      </c>
      <c r="B2671" s="7" t="s">
        <v>6820</v>
      </c>
      <c r="C2671" s="7" t="n">
        <v>3</v>
      </c>
      <c r="D2671" s="7" t="n">
        <v>27</v>
      </c>
      <c r="E2671" s="7" t="n">
        <v>1</v>
      </c>
      <c r="F2671" s="7" t="s">
        <v>3906</v>
      </c>
      <c r="G2671" s="12" t="str">
        <f aca="false">IFERROR(INDEX('Semrush Data'!$A$1:$Z$20000,MATCH(A2671,'Semrush Data'!$A$1:$A$20000,0),MATCH("Volume",'Semrush Data'!$A$1:$Z$1,0)),"")</f>
        <v/>
      </c>
      <c r="H2671" s="7" t="str">
        <f aca="false">IFERROR(INDEX('Semrush Data'!$A$1:$Z$20000,MATCH(A2671,'Semrush Data'!$A$1:$A$20000,0),MATCH("Keyword Difficulty*",'Semrush Data'!$A$1:$Z$1,0)),"")</f>
        <v/>
      </c>
      <c r="I2671" s="13" t="str">
        <f aca="false">IFERROR(INDEX('Semrush Data'!$A$1:$Z$20000,MATCH(A2671,'Semrush Data'!$A$1:$A$20000,0),MATCH("CPC*",'Semrush Data'!$A$1:$Z$1,0)),"")</f>
        <v/>
      </c>
      <c r="J2671" s="7" t="str">
        <f aca="false">IFERROR(INDEX('Semrush Data'!$A$1:$Z$20000,MATCH(A2671,'Semrush Data'!$A$1:$A$20000,0),MATCH("Intent",'Semrush Data'!$A$1:$Z$1,0)),"")</f>
        <v/>
      </c>
    </row>
    <row r="2672" customFormat="false" ht="15" hidden="false" customHeight="true" outlineLevel="0" collapsed="false">
      <c r="A2672" s="7" t="s">
        <v>7344</v>
      </c>
      <c r="B2672" s="7" t="s">
        <v>6820</v>
      </c>
      <c r="C2672" s="7" t="n">
        <v>3</v>
      </c>
      <c r="D2672" s="7" t="n">
        <v>27</v>
      </c>
      <c r="E2672" s="7" t="n">
        <v>1</v>
      </c>
      <c r="F2672" s="7" t="s">
        <v>3906</v>
      </c>
      <c r="G2672" s="12" t="str">
        <f aca="false">IFERROR(INDEX('Semrush Data'!$A$1:$Z$20000,MATCH(A2672,'Semrush Data'!$A$1:$A$20000,0),MATCH("Volume",'Semrush Data'!$A$1:$Z$1,0)),"")</f>
        <v/>
      </c>
      <c r="H2672" s="7" t="str">
        <f aca="false">IFERROR(INDEX('Semrush Data'!$A$1:$Z$20000,MATCH(A2672,'Semrush Data'!$A$1:$A$20000,0),MATCH("Keyword Difficulty*",'Semrush Data'!$A$1:$Z$1,0)),"")</f>
        <v/>
      </c>
      <c r="I2672" s="13" t="str">
        <f aca="false">IFERROR(INDEX('Semrush Data'!$A$1:$Z$20000,MATCH(A2672,'Semrush Data'!$A$1:$A$20000,0),MATCH("CPC*",'Semrush Data'!$A$1:$Z$1,0)),"")</f>
        <v/>
      </c>
      <c r="J2672" s="7" t="str">
        <f aca="false">IFERROR(INDEX('Semrush Data'!$A$1:$Z$20000,MATCH(A2672,'Semrush Data'!$A$1:$A$20000,0),MATCH("Intent",'Semrush Data'!$A$1:$Z$1,0)),"")</f>
        <v/>
      </c>
    </row>
    <row r="2673" customFormat="false" ht="15" hidden="false" customHeight="true" outlineLevel="0" collapsed="false">
      <c r="A2673" s="7" t="s">
        <v>7345</v>
      </c>
      <c r="B2673" s="7" t="s">
        <v>6820</v>
      </c>
      <c r="C2673" s="7" t="n">
        <v>3</v>
      </c>
      <c r="D2673" s="7" t="n">
        <v>27</v>
      </c>
      <c r="E2673" s="7" t="n">
        <v>1</v>
      </c>
      <c r="F2673" s="7" t="s">
        <v>3948</v>
      </c>
      <c r="G2673" s="12" t="str">
        <f aca="false">IFERROR(INDEX('Semrush Data'!$A$1:$Z$20000,MATCH(A2673,'Semrush Data'!$A$1:$A$20000,0),MATCH("Volume",'Semrush Data'!$A$1:$Z$1,0)),"")</f>
        <v/>
      </c>
      <c r="H2673" s="7" t="str">
        <f aca="false">IFERROR(INDEX('Semrush Data'!$A$1:$Z$20000,MATCH(A2673,'Semrush Data'!$A$1:$A$20000,0),MATCH("Keyword Difficulty*",'Semrush Data'!$A$1:$Z$1,0)),"")</f>
        <v/>
      </c>
      <c r="I2673" s="13" t="str">
        <f aca="false">IFERROR(INDEX('Semrush Data'!$A$1:$Z$20000,MATCH(A2673,'Semrush Data'!$A$1:$A$20000,0),MATCH("CPC*",'Semrush Data'!$A$1:$Z$1,0)),"")</f>
        <v/>
      </c>
      <c r="J2673" s="7" t="str">
        <f aca="false">IFERROR(INDEX('Semrush Data'!$A$1:$Z$20000,MATCH(A2673,'Semrush Data'!$A$1:$A$20000,0),MATCH("Intent",'Semrush Data'!$A$1:$Z$1,0)),"")</f>
        <v/>
      </c>
    </row>
    <row r="2674" customFormat="false" ht="15" hidden="false" customHeight="true" outlineLevel="0" collapsed="false">
      <c r="A2674" s="7" t="s">
        <v>7346</v>
      </c>
      <c r="B2674" s="7" t="s">
        <v>6820</v>
      </c>
      <c r="C2674" s="7" t="n">
        <v>3</v>
      </c>
      <c r="D2674" s="7" t="n">
        <v>27</v>
      </c>
      <c r="E2674" s="7" t="n">
        <v>1</v>
      </c>
      <c r="F2674" s="7" t="s">
        <v>3948</v>
      </c>
      <c r="G2674" s="12" t="str">
        <f aca="false">IFERROR(INDEX('Semrush Data'!$A$1:$Z$20000,MATCH(A2674,'Semrush Data'!$A$1:$A$20000,0),MATCH("Volume",'Semrush Data'!$A$1:$Z$1,0)),"")</f>
        <v/>
      </c>
      <c r="H2674" s="7" t="str">
        <f aca="false">IFERROR(INDEX('Semrush Data'!$A$1:$Z$20000,MATCH(A2674,'Semrush Data'!$A$1:$A$20000,0),MATCH("Keyword Difficulty*",'Semrush Data'!$A$1:$Z$1,0)),"")</f>
        <v/>
      </c>
      <c r="I2674" s="13" t="str">
        <f aca="false">IFERROR(INDEX('Semrush Data'!$A$1:$Z$20000,MATCH(A2674,'Semrush Data'!$A$1:$A$20000,0),MATCH("CPC*",'Semrush Data'!$A$1:$Z$1,0)),"")</f>
        <v/>
      </c>
      <c r="J2674" s="7" t="str">
        <f aca="false">IFERROR(INDEX('Semrush Data'!$A$1:$Z$20000,MATCH(A2674,'Semrush Data'!$A$1:$A$20000,0),MATCH("Intent",'Semrush Data'!$A$1:$Z$1,0)),"")</f>
        <v/>
      </c>
    </row>
    <row r="2675" customFormat="false" ht="15" hidden="false" customHeight="true" outlineLevel="0" collapsed="false">
      <c r="A2675" s="7" t="s">
        <v>7347</v>
      </c>
      <c r="B2675" s="7" t="s">
        <v>6820</v>
      </c>
      <c r="C2675" s="7" t="n">
        <v>3</v>
      </c>
      <c r="D2675" s="7" t="n">
        <v>27</v>
      </c>
      <c r="E2675" s="7" t="n">
        <v>1</v>
      </c>
      <c r="F2675" s="7" t="s">
        <v>3948</v>
      </c>
      <c r="G2675" s="12" t="str">
        <f aca="false">IFERROR(INDEX('Semrush Data'!$A$1:$Z$20000,MATCH(A2675,'Semrush Data'!$A$1:$A$20000,0),MATCH("Volume",'Semrush Data'!$A$1:$Z$1,0)),"")</f>
        <v/>
      </c>
      <c r="H2675" s="7" t="str">
        <f aca="false">IFERROR(INDEX('Semrush Data'!$A$1:$Z$20000,MATCH(A2675,'Semrush Data'!$A$1:$A$20000,0),MATCH("Keyword Difficulty*",'Semrush Data'!$A$1:$Z$1,0)),"")</f>
        <v/>
      </c>
      <c r="I2675" s="13" t="str">
        <f aca="false">IFERROR(INDEX('Semrush Data'!$A$1:$Z$20000,MATCH(A2675,'Semrush Data'!$A$1:$A$20000,0),MATCH("CPC*",'Semrush Data'!$A$1:$Z$1,0)),"")</f>
        <v/>
      </c>
      <c r="J2675" s="7" t="str">
        <f aca="false">IFERROR(INDEX('Semrush Data'!$A$1:$Z$20000,MATCH(A2675,'Semrush Data'!$A$1:$A$20000,0),MATCH("Intent",'Semrush Data'!$A$1:$Z$1,0)),"")</f>
        <v/>
      </c>
    </row>
    <row r="2676" customFormat="false" ht="15" hidden="false" customHeight="true" outlineLevel="0" collapsed="false">
      <c r="A2676" s="7" t="s">
        <v>7348</v>
      </c>
      <c r="B2676" s="7" t="s">
        <v>6820</v>
      </c>
      <c r="C2676" s="7" t="n">
        <v>3</v>
      </c>
      <c r="D2676" s="7" t="n">
        <v>27</v>
      </c>
      <c r="E2676" s="7" t="n">
        <v>1</v>
      </c>
      <c r="F2676" s="7" t="s">
        <v>3948</v>
      </c>
      <c r="G2676" s="12" t="str">
        <f aca="false">IFERROR(INDEX('Semrush Data'!$A$1:$Z$20000,MATCH(A2676,'Semrush Data'!$A$1:$A$20000,0),MATCH("Volume",'Semrush Data'!$A$1:$Z$1,0)),"")</f>
        <v/>
      </c>
      <c r="H2676" s="7" t="str">
        <f aca="false">IFERROR(INDEX('Semrush Data'!$A$1:$Z$20000,MATCH(A2676,'Semrush Data'!$A$1:$A$20000,0),MATCH("Keyword Difficulty*",'Semrush Data'!$A$1:$Z$1,0)),"")</f>
        <v/>
      </c>
      <c r="I2676" s="13" t="str">
        <f aca="false">IFERROR(INDEX('Semrush Data'!$A$1:$Z$20000,MATCH(A2676,'Semrush Data'!$A$1:$A$20000,0),MATCH("CPC*",'Semrush Data'!$A$1:$Z$1,0)),"")</f>
        <v/>
      </c>
      <c r="J2676" s="7" t="str">
        <f aca="false">IFERROR(INDEX('Semrush Data'!$A$1:$Z$20000,MATCH(A2676,'Semrush Data'!$A$1:$A$20000,0),MATCH("Intent",'Semrush Data'!$A$1:$Z$1,0)),"")</f>
        <v/>
      </c>
    </row>
    <row r="2677" customFormat="false" ht="15" hidden="false" customHeight="true" outlineLevel="0" collapsed="false">
      <c r="A2677" s="7" t="s">
        <v>7349</v>
      </c>
      <c r="B2677" s="7" t="s">
        <v>6820</v>
      </c>
      <c r="C2677" s="7" t="n">
        <v>3</v>
      </c>
      <c r="D2677" s="7" t="n">
        <v>27</v>
      </c>
      <c r="E2677" s="7" t="n">
        <v>1</v>
      </c>
      <c r="F2677" s="7" t="s">
        <v>3948</v>
      </c>
      <c r="G2677" s="12" t="str">
        <f aca="false">IFERROR(INDEX('Semrush Data'!$A$1:$Z$20000,MATCH(A2677,'Semrush Data'!$A$1:$A$20000,0),MATCH("Volume",'Semrush Data'!$A$1:$Z$1,0)),"")</f>
        <v/>
      </c>
      <c r="H2677" s="7" t="str">
        <f aca="false">IFERROR(INDEX('Semrush Data'!$A$1:$Z$20000,MATCH(A2677,'Semrush Data'!$A$1:$A$20000,0),MATCH("Keyword Difficulty*",'Semrush Data'!$A$1:$Z$1,0)),"")</f>
        <v/>
      </c>
      <c r="I2677" s="13" t="str">
        <f aca="false">IFERROR(INDEX('Semrush Data'!$A$1:$Z$20000,MATCH(A2677,'Semrush Data'!$A$1:$A$20000,0),MATCH("CPC*",'Semrush Data'!$A$1:$Z$1,0)),"")</f>
        <v/>
      </c>
      <c r="J2677" s="7" t="str">
        <f aca="false">IFERROR(INDEX('Semrush Data'!$A$1:$Z$20000,MATCH(A2677,'Semrush Data'!$A$1:$A$20000,0),MATCH("Intent",'Semrush Data'!$A$1:$Z$1,0)),"")</f>
        <v/>
      </c>
    </row>
    <row r="2678" customFormat="false" ht="15" hidden="false" customHeight="true" outlineLevel="0" collapsed="false">
      <c r="A2678" s="7" t="s">
        <v>7350</v>
      </c>
      <c r="B2678" s="7" t="s">
        <v>6820</v>
      </c>
      <c r="C2678" s="7" t="n">
        <v>3</v>
      </c>
      <c r="D2678" s="7" t="n">
        <v>27</v>
      </c>
      <c r="E2678" s="7" t="n">
        <v>1</v>
      </c>
      <c r="F2678" s="7" t="s">
        <v>3961</v>
      </c>
      <c r="G2678" s="12" t="str">
        <f aca="false">IFERROR(INDEX('Semrush Data'!$A$1:$Z$20000,MATCH(A2678,'Semrush Data'!$A$1:$A$20000,0),MATCH("Volume",'Semrush Data'!$A$1:$Z$1,0)),"")</f>
        <v/>
      </c>
      <c r="H2678" s="7" t="str">
        <f aca="false">IFERROR(INDEX('Semrush Data'!$A$1:$Z$20000,MATCH(A2678,'Semrush Data'!$A$1:$A$20000,0),MATCH("Keyword Difficulty*",'Semrush Data'!$A$1:$Z$1,0)),"")</f>
        <v/>
      </c>
      <c r="I2678" s="13" t="str">
        <f aca="false">IFERROR(INDEX('Semrush Data'!$A$1:$Z$20000,MATCH(A2678,'Semrush Data'!$A$1:$A$20000,0),MATCH("CPC*",'Semrush Data'!$A$1:$Z$1,0)),"")</f>
        <v/>
      </c>
      <c r="J2678" s="7" t="str">
        <f aca="false">IFERROR(INDEX('Semrush Data'!$A$1:$Z$20000,MATCH(A2678,'Semrush Data'!$A$1:$A$20000,0),MATCH("Intent",'Semrush Data'!$A$1:$Z$1,0)),"")</f>
        <v/>
      </c>
    </row>
    <row r="2679" customFormat="false" ht="15" hidden="false" customHeight="true" outlineLevel="0" collapsed="false">
      <c r="A2679" s="7" t="s">
        <v>7351</v>
      </c>
      <c r="B2679" s="7" t="s">
        <v>6820</v>
      </c>
      <c r="C2679" s="7" t="n">
        <v>3</v>
      </c>
      <c r="D2679" s="7" t="n">
        <v>27</v>
      </c>
      <c r="E2679" s="7" t="n">
        <v>1</v>
      </c>
      <c r="F2679" s="7" t="s">
        <v>3961</v>
      </c>
      <c r="G2679" s="12" t="str">
        <f aca="false">IFERROR(INDEX('Semrush Data'!$A$1:$Z$20000,MATCH(A2679,'Semrush Data'!$A$1:$A$20000,0),MATCH("Volume",'Semrush Data'!$A$1:$Z$1,0)),"")</f>
        <v/>
      </c>
      <c r="H2679" s="7" t="str">
        <f aca="false">IFERROR(INDEX('Semrush Data'!$A$1:$Z$20000,MATCH(A2679,'Semrush Data'!$A$1:$A$20000,0),MATCH("Keyword Difficulty*",'Semrush Data'!$A$1:$Z$1,0)),"")</f>
        <v/>
      </c>
      <c r="I2679" s="13" t="str">
        <f aca="false">IFERROR(INDEX('Semrush Data'!$A$1:$Z$20000,MATCH(A2679,'Semrush Data'!$A$1:$A$20000,0),MATCH("CPC*",'Semrush Data'!$A$1:$Z$1,0)),"")</f>
        <v/>
      </c>
      <c r="J2679" s="7" t="str">
        <f aca="false">IFERROR(INDEX('Semrush Data'!$A$1:$Z$20000,MATCH(A2679,'Semrush Data'!$A$1:$A$20000,0),MATCH("Intent",'Semrush Data'!$A$1:$Z$1,0)),"")</f>
        <v/>
      </c>
    </row>
    <row r="2680" customFormat="false" ht="15" hidden="false" customHeight="true" outlineLevel="0" collapsed="false">
      <c r="A2680" s="7" t="s">
        <v>7352</v>
      </c>
      <c r="B2680" s="7" t="s">
        <v>6820</v>
      </c>
      <c r="C2680" s="7" t="n">
        <v>3</v>
      </c>
      <c r="D2680" s="7" t="n">
        <v>27</v>
      </c>
      <c r="E2680" s="7" t="n">
        <v>1</v>
      </c>
      <c r="F2680" s="7" t="s">
        <v>3961</v>
      </c>
      <c r="G2680" s="12" t="str">
        <f aca="false">IFERROR(INDEX('Semrush Data'!$A$1:$Z$20000,MATCH(A2680,'Semrush Data'!$A$1:$A$20000,0),MATCH("Volume",'Semrush Data'!$A$1:$Z$1,0)),"")</f>
        <v/>
      </c>
      <c r="H2680" s="7" t="str">
        <f aca="false">IFERROR(INDEX('Semrush Data'!$A$1:$Z$20000,MATCH(A2680,'Semrush Data'!$A$1:$A$20000,0),MATCH("Keyword Difficulty*",'Semrush Data'!$A$1:$Z$1,0)),"")</f>
        <v/>
      </c>
      <c r="I2680" s="13" t="str">
        <f aca="false">IFERROR(INDEX('Semrush Data'!$A$1:$Z$20000,MATCH(A2680,'Semrush Data'!$A$1:$A$20000,0),MATCH("CPC*",'Semrush Data'!$A$1:$Z$1,0)),"")</f>
        <v/>
      </c>
      <c r="J2680" s="7" t="str">
        <f aca="false">IFERROR(INDEX('Semrush Data'!$A$1:$Z$20000,MATCH(A2680,'Semrush Data'!$A$1:$A$20000,0),MATCH("Intent",'Semrush Data'!$A$1:$Z$1,0)),"")</f>
        <v/>
      </c>
    </row>
    <row r="2681" customFormat="false" ht="15" hidden="false" customHeight="true" outlineLevel="0" collapsed="false">
      <c r="A2681" s="7" t="s">
        <v>7353</v>
      </c>
      <c r="B2681" s="7" t="s">
        <v>6820</v>
      </c>
      <c r="C2681" s="7" t="n">
        <v>3</v>
      </c>
      <c r="D2681" s="7" t="n">
        <v>27</v>
      </c>
      <c r="E2681" s="7" t="n">
        <v>1</v>
      </c>
      <c r="F2681" s="7" t="s">
        <v>126</v>
      </c>
      <c r="G2681" s="12" t="str">
        <f aca="false">IFERROR(INDEX('Semrush Data'!$A$1:$Z$20000,MATCH(A2681,'Semrush Data'!$A$1:$A$20000,0),MATCH("Volume",'Semrush Data'!$A$1:$Z$1,0)),"")</f>
        <v/>
      </c>
      <c r="H2681" s="7" t="str">
        <f aca="false">IFERROR(INDEX('Semrush Data'!$A$1:$Z$20000,MATCH(A2681,'Semrush Data'!$A$1:$A$20000,0),MATCH("Keyword Difficulty*",'Semrush Data'!$A$1:$Z$1,0)),"")</f>
        <v/>
      </c>
      <c r="I2681" s="13" t="str">
        <f aca="false">IFERROR(INDEX('Semrush Data'!$A$1:$Z$20000,MATCH(A2681,'Semrush Data'!$A$1:$A$20000,0),MATCH("CPC*",'Semrush Data'!$A$1:$Z$1,0)),"")</f>
        <v/>
      </c>
      <c r="J2681" s="7" t="str">
        <f aca="false">IFERROR(INDEX('Semrush Data'!$A$1:$Z$20000,MATCH(A2681,'Semrush Data'!$A$1:$A$20000,0),MATCH("Intent",'Semrush Data'!$A$1:$Z$1,0)),"")</f>
        <v/>
      </c>
    </row>
    <row r="2682" customFormat="false" ht="15" hidden="false" customHeight="true" outlineLevel="0" collapsed="false">
      <c r="A2682" s="7" t="s">
        <v>7354</v>
      </c>
      <c r="B2682" s="7" t="s">
        <v>6820</v>
      </c>
      <c r="C2682" s="7" t="n">
        <v>3</v>
      </c>
      <c r="D2682" s="7" t="s">
        <v>6843</v>
      </c>
      <c r="E2682" s="7" t="n">
        <v>1</v>
      </c>
      <c r="F2682" s="7" t="s">
        <v>126</v>
      </c>
      <c r="G2682" s="12" t="str">
        <f aca="false">IFERROR(INDEX('Semrush Data'!$A$1:$Z$20000,MATCH(A2682,'Semrush Data'!$A$1:$A$20000,0),MATCH("Volume",'Semrush Data'!$A$1:$Z$1,0)),"")</f>
        <v/>
      </c>
      <c r="H2682" s="7" t="str">
        <f aca="false">IFERROR(INDEX('Semrush Data'!$A$1:$Z$20000,MATCH(A2682,'Semrush Data'!$A$1:$A$20000,0),MATCH("Keyword Difficulty*",'Semrush Data'!$A$1:$Z$1,0)),"")</f>
        <v/>
      </c>
      <c r="I2682" s="13" t="str">
        <f aca="false">IFERROR(INDEX('Semrush Data'!$A$1:$Z$20000,MATCH(A2682,'Semrush Data'!$A$1:$A$20000,0),MATCH("CPC*",'Semrush Data'!$A$1:$Z$1,0)),"")</f>
        <v/>
      </c>
      <c r="J2682" s="7" t="str">
        <f aca="false">IFERROR(INDEX('Semrush Data'!$A$1:$Z$20000,MATCH(A2682,'Semrush Data'!$A$1:$A$20000,0),MATCH("Intent",'Semrush Data'!$A$1:$Z$1,0)),"")</f>
        <v/>
      </c>
    </row>
    <row r="2683" customFormat="false" ht="15" hidden="false" customHeight="true" outlineLevel="0" collapsed="false">
      <c r="A2683" s="7" t="s">
        <v>7355</v>
      </c>
      <c r="B2683" s="7" t="s">
        <v>6820</v>
      </c>
      <c r="C2683" s="7" t="n">
        <v>3</v>
      </c>
      <c r="D2683" s="7" t="n">
        <v>27</v>
      </c>
      <c r="E2683" s="7" t="n">
        <v>1</v>
      </c>
      <c r="F2683" s="7" t="s">
        <v>126</v>
      </c>
      <c r="G2683" s="12" t="str">
        <f aca="false">IFERROR(INDEX('Semrush Data'!$A$1:$Z$20000,MATCH(A2683,'Semrush Data'!$A$1:$A$20000,0),MATCH("Volume",'Semrush Data'!$A$1:$Z$1,0)),"")</f>
        <v/>
      </c>
      <c r="H2683" s="7" t="str">
        <f aca="false">IFERROR(INDEX('Semrush Data'!$A$1:$Z$20000,MATCH(A2683,'Semrush Data'!$A$1:$A$20000,0),MATCH("Keyword Difficulty*",'Semrush Data'!$A$1:$Z$1,0)),"")</f>
        <v/>
      </c>
      <c r="I2683" s="13" t="str">
        <f aca="false">IFERROR(INDEX('Semrush Data'!$A$1:$Z$20000,MATCH(A2683,'Semrush Data'!$A$1:$A$20000,0),MATCH("CPC*",'Semrush Data'!$A$1:$Z$1,0)),"")</f>
        <v/>
      </c>
      <c r="J2683" s="7" t="str">
        <f aca="false">IFERROR(INDEX('Semrush Data'!$A$1:$Z$20000,MATCH(A2683,'Semrush Data'!$A$1:$A$20000,0),MATCH("Intent",'Semrush Data'!$A$1:$Z$1,0)),"")</f>
        <v/>
      </c>
    </row>
    <row r="2684" customFormat="false" ht="15" hidden="false" customHeight="true" outlineLevel="0" collapsed="false">
      <c r="A2684" s="7" t="s">
        <v>7356</v>
      </c>
      <c r="B2684" s="7" t="s">
        <v>6820</v>
      </c>
      <c r="C2684" s="7" t="n">
        <v>3</v>
      </c>
      <c r="D2684" s="7" t="s">
        <v>6843</v>
      </c>
      <c r="E2684" s="7" t="n">
        <v>1</v>
      </c>
      <c r="F2684" s="7" t="s">
        <v>126</v>
      </c>
      <c r="G2684" s="12" t="str">
        <f aca="false">IFERROR(INDEX('Semrush Data'!$A$1:$Z$20000,MATCH(A2684,'Semrush Data'!$A$1:$A$20000,0),MATCH("Volume",'Semrush Data'!$A$1:$Z$1,0)),"")</f>
        <v/>
      </c>
      <c r="H2684" s="7" t="str">
        <f aca="false">IFERROR(INDEX('Semrush Data'!$A$1:$Z$20000,MATCH(A2684,'Semrush Data'!$A$1:$A$20000,0),MATCH("Keyword Difficulty*",'Semrush Data'!$A$1:$Z$1,0)),"")</f>
        <v/>
      </c>
      <c r="I2684" s="13" t="str">
        <f aca="false">IFERROR(INDEX('Semrush Data'!$A$1:$Z$20000,MATCH(A2684,'Semrush Data'!$A$1:$A$20000,0),MATCH("CPC*",'Semrush Data'!$A$1:$Z$1,0)),"")</f>
        <v/>
      </c>
      <c r="J2684" s="7" t="str">
        <f aca="false">IFERROR(INDEX('Semrush Data'!$A$1:$Z$20000,MATCH(A2684,'Semrush Data'!$A$1:$A$20000,0),MATCH("Intent",'Semrush Data'!$A$1:$Z$1,0)),"")</f>
        <v/>
      </c>
    </row>
    <row r="2685" customFormat="false" ht="15" hidden="false" customHeight="true" outlineLevel="0" collapsed="false">
      <c r="A2685" s="7" t="s">
        <v>7357</v>
      </c>
      <c r="B2685" s="7" t="s">
        <v>6820</v>
      </c>
      <c r="C2685" s="7" t="n">
        <v>3</v>
      </c>
      <c r="D2685" s="7" t="n">
        <v>27</v>
      </c>
      <c r="E2685" s="7" t="n">
        <v>1</v>
      </c>
      <c r="F2685" s="7" t="s">
        <v>126</v>
      </c>
      <c r="G2685" s="12" t="str">
        <f aca="false">IFERROR(INDEX('Semrush Data'!$A$1:$Z$20000,MATCH(A2685,'Semrush Data'!$A$1:$A$20000,0),MATCH("Volume",'Semrush Data'!$A$1:$Z$1,0)),"")</f>
        <v/>
      </c>
      <c r="H2685" s="7" t="str">
        <f aca="false">IFERROR(INDEX('Semrush Data'!$A$1:$Z$20000,MATCH(A2685,'Semrush Data'!$A$1:$A$20000,0),MATCH("Keyword Difficulty*",'Semrush Data'!$A$1:$Z$1,0)),"")</f>
        <v/>
      </c>
      <c r="I2685" s="13" t="str">
        <f aca="false">IFERROR(INDEX('Semrush Data'!$A$1:$Z$20000,MATCH(A2685,'Semrush Data'!$A$1:$A$20000,0),MATCH("CPC*",'Semrush Data'!$A$1:$Z$1,0)),"")</f>
        <v/>
      </c>
      <c r="J2685" s="7" t="str">
        <f aca="false">IFERROR(INDEX('Semrush Data'!$A$1:$Z$20000,MATCH(A2685,'Semrush Data'!$A$1:$A$20000,0),MATCH("Intent",'Semrush Data'!$A$1:$Z$1,0)),"")</f>
        <v/>
      </c>
    </row>
    <row r="2686" customFormat="false" ht="15" hidden="false" customHeight="true" outlineLevel="0" collapsed="false">
      <c r="A2686" s="7" t="s">
        <v>7358</v>
      </c>
      <c r="B2686" s="7" t="s">
        <v>6820</v>
      </c>
      <c r="C2686" s="7" t="n">
        <v>3</v>
      </c>
      <c r="D2686" s="7" t="n">
        <v>27</v>
      </c>
      <c r="E2686" s="7" t="n">
        <v>1</v>
      </c>
      <c r="F2686" s="7" t="s">
        <v>3983</v>
      </c>
      <c r="G2686" s="12" t="str">
        <f aca="false">IFERROR(INDEX('Semrush Data'!$A$1:$Z$20000,MATCH(A2686,'Semrush Data'!$A$1:$A$20000,0),MATCH("Volume",'Semrush Data'!$A$1:$Z$1,0)),"")</f>
        <v/>
      </c>
      <c r="H2686" s="7" t="str">
        <f aca="false">IFERROR(INDEX('Semrush Data'!$A$1:$Z$20000,MATCH(A2686,'Semrush Data'!$A$1:$A$20000,0),MATCH("Keyword Difficulty*",'Semrush Data'!$A$1:$Z$1,0)),"")</f>
        <v/>
      </c>
      <c r="I2686" s="13" t="str">
        <f aca="false">IFERROR(INDEX('Semrush Data'!$A$1:$Z$20000,MATCH(A2686,'Semrush Data'!$A$1:$A$20000,0),MATCH("CPC*",'Semrush Data'!$A$1:$Z$1,0)),"")</f>
        <v/>
      </c>
      <c r="J2686" s="7" t="str">
        <f aca="false">IFERROR(INDEX('Semrush Data'!$A$1:$Z$20000,MATCH(A2686,'Semrush Data'!$A$1:$A$20000,0),MATCH("Intent",'Semrush Data'!$A$1:$Z$1,0)),"")</f>
        <v/>
      </c>
    </row>
    <row r="2687" customFormat="false" ht="15" hidden="false" customHeight="true" outlineLevel="0" collapsed="false">
      <c r="A2687" s="7" t="s">
        <v>7359</v>
      </c>
      <c r="B2687" s="7" t="s">
        <v>6820</v>
      </c>
      <c r="C2687" s="7" t="n">
        <v>3</v>
      </c>
      <c r="D2687" s="7" t="n">
        <v>27</v>
      </c>
      <c r="E2687" s="7" t="n">
        <v>1</v>
      </c>
      <c r="F2687" s="7" t="s">
        <v>3983</v>
      </c>
      <c r="G2687" s="12" t="str">
        <f aca="false">IFERROR(INDEX('Semrush Data'!$A$1:$Z$20000,MATCH(A2687,'Semrush Data'!$A$1:$A$20000,0),MATCH("Volume",'Semrush Data'!$A$1:$Z$1,0)),"")</f>
        <v/>
      </c>
      <c r="H2687" s="7" t="str">
        <f aca="false">IFERROR(INDEX('Semrush Data'!$A$1:$Z$20000,MATCH(A2687,'Semrush Data'!$A$1:$A$20000,0),MATCH("Keyword Difficulty*",'Semrush Data'!$A$1:$Z$1,0)),"")</f>
        <v/>
      </c>
      <c r="I2687" s="13" t="str">
        <f aca="false">IFERROR(INDEX('Semrush Data'!$A$1:$Z$20000,MATCH(A2687,'Semrush Data'!$A$1:$A$20000,0),MATCH("CPC*",'Semrush Data'!$A$1:$Z$1,0)),"")</f>
        <v/>
      </c>
      <c r="J2687" s="7" t="str">
        <f aca="false">IFERROR(INDEX('Semrush Data'!$A$1:$Z$20000,MATCH(A2687,'Semrush Data'!$A$1:$A$20000,0),MATCH("Intent",'Semrush Data'!$A$1:$Z$1,0)),"")</f>
        <v/>
      </c>
    </row>
    <row r="2688" customFormat="false" ht="15" hidden="false" customHeight="true" outlineLevel="0" collapsed="false">
      <c r="A2688" s="7" t="s">
        <v>7360</v>
      </c>
      <c r="B2688" s="7" t="s">
        <v>6820</v>
      </c>
      <c r="C2688" s="7" t="n">
        <v>3</v>
      </c>
      <c r="D2688" s="7" t="n">
        <v>27</v>
      </c>
      <c r="E2688" s="7" t="n">
        <v>1</v>
      </c>
      <c r="F2688" s="7" t="s">
        <v>3983</v>
      </c>
      <c r="G2688" s="12" t="str">
        <f aca="false">IFERROR(INDEX('Semrush Data'!$A$1:$Z$20000,MATCH(A2688,'Semrush Data'!$A$1:$A$20000,0),MATCH("Volume",'Semrush Data'!$A$1:$Z$1,0)),"")</f>
        <v/>
      </c>
      <c r="H2688" s="7" t="str">
        <f aca="false">IFERROR(INDEX('Semrush Data'!$A$1:$Z$20000,MATCH(A2688,'Semrush Data'!$A$1:$A$20000,0),MATCH("Keyword Difficulty*",'Semrush Data'!$A$1:$Z$1,0)),"")</f>
        <v/>
      </c>
      <c r="I2688" s="13" t="str">
        <f aca="false">IFERROR(INDEX('Semrush Data'!$A$1:$Z$20000,MATCH(A2688,'Semrush Data'!$A$1:$A$20000,0),MATCH("CPC*",'Semrush Data'!$A$1:$Z$1,0)),"")</f>
        <v/>
      </c>
      <c r="J2688" s="7" t="str">
        <f aca="false">IFERROR(INDEX('Semrush Data'!$A$1:$Z$20000,MATCH(A2688,'Semrush Data'!$A$1:$A$20000,0),MATCH("Intent",'Semrush Data'!$A$1:$Z$1,0)),"")</f>
        <v/>
      </c>
    </row>
    <row r="2689" customFormat="false" ht="15" hidden="false" customHeight="true" outlineLevel="0" collapsed="false">
      <c r="A2689" s="7" t="s">
        <v>7361</v>
      </c>
      <c r="B2689" s="7" t="s">
        <v>6820</v>
      </c>
      <c r="C2689" s="7" t="n">
        <v>3</v>
      </c>
      <c r="D2689" s="7" t="n">
        <v>27</v>
      </c>
      <c r="E2689" s="7" t="n">
        <v>1</v>
      </c>
      <c r="F2689" s="7" t="s">
        <v>3983</v>
      </c>
      <c r="G2689" s="12" t="str">
        <f aca="false">IFERROR(INDEX('Semrush Data'!$A$1:$Z$20000,MATCH(A2689,'Semrush Data'!$A$1:$A$20000,0),MATCH("Volume",'Semrush Data'!$A$1:$Z$1,0)),"")</f>
        <v/>
      </c>
      <c r="H2689" s="7" t="str">
        <f aca="false">IFERROR(INDEX('Semrush Data'!$A$1:$Z$20000,MATCH(A2689,'Semrush Data'!$A$1:$A$20000,0),MATCH("Keyword Difficulty*",'Semrush Data'!$A$1:$Z$1,0)),"")</f>
        <v/>
      </c>
      <c r="I2689" s="13" t="str">
        <f aca="false">IFERROR(INDEX('Semrush Data'!$A$1:$Z$20000,MATCH(A2689,'Semrush Data'!$A$1:$A$20000,0),MATCH("CPC*",'Semrush Data'!$A$1:$Z$1,0)),"")</f>
        <v/>
      </c>
      <c r="J2689" s="7" t="str">
        <f aca="false">IFERROR(INDEX('Semrush Data'!$A$1:$Z$20000,MATCH(A2689,'Semrush Data'!$A$1:$A$20000,0),MATCH("Intent",'Semrush Data'!$A$1:$Z$1,0)),"")</f>
        <v/>
      </c>
    </row>
    <row r="2690" customFormat="false" ht="15" hidden="false" customHeight="true" outlineLevel="0" collapsed="false">
      <c r="A2690" s="7" t="s">
        <v>7362</v>
      </c>
      <c r="B2690" s="7" t="s">
        <v>6820</v>
      </c>
      <c r="C2690" s="7" t="n">
        <v>3</v>
      </c>
      <c r="D2690" s="7" t="n">
        <v>27</v>
      </c>
      <c r="E2690" s="7" t="n">
        <v>1</v>
      </c>
      <c r="F2690" s="7" t="s">
        <v>3983</v>
      </c>
      <c r="G2690" s="12" t="str">
        <f aca="false">IFERROR(INDEX('Semrush Data'!$A$1:$Z$20000,MATCH(A2690,'Semrush Data'!$A$1:$A$20000,0),MATCH("Volume",'Semrush Data'!$A$1:$Z$1,0)),"")</f>
        <v/>
      </c>
      <c r="H2690" s="7" t="str">
        <f aca="false">IFERROR(INDEX('Semrush Data'!$A$1:$Z$20000,MATCH(A2690,'Semrush Data'!$A$1:$A$20000,0),MATCH("Keyword Difficulty*",'Semrush Data'!$A$1:$Z$1,0)),"")</f>
        <v/>
      </c>
      <c r="I2690" s="13" t="str">
        <f aca="false">IFERROR(INDEX('Semrush Data'!$A$1:$Z$20000,MATCH(A2690,'Semrush Data'!$A$1:$A$20000,0),MATCH("CPC*",'Semrush Data'!$A$1:$Z$1,0)),"")</f>
        <v/>
      </c>
      <c r="J2690" s="7" t="str">
        <f aca="false">IFERROR(INDEX('Semrush Data'!$A$1:$Z$20000,MATCH(A2690,'Semrush Data'!$A$1:$A$20000,0),MATCH("Intent",'Semrush Data'!$A$1:$Z$1,0)),"")</f>
        <v/>
      </c>
    </row>
    <row r="2691" customFormat="false" ht="15" hidden="false" customHeight="true" outlineLevel="0" collapsed="false">
      <c r="A2691" s="7" t="s">
        <v>7363</v>
      </c>
      <c r="B2691" s="7" t="s">
        <v>6820</v>
      </c>
      <c r="C2691" s="7" t="n">
        <v>3</v>
      </c>
      <c r="D2691" s="7" t="n">
        <v>27</v>
      </c>
      <c r="E2691" s="7" t="n">
        <v>1</v>
      </c>
      <c r="F2691" s="7" t="s">
        <v>3996</v>
      </c>
      <c r="G2691" s="12" t="str">
        <f aca="false">IFERROR(INDEX('Semrush Data'!$A$1:$Z$20000,MATCH(A2691,'Semrush Data'!$A$1:$A$20000,0),MATCH("Volume",'Semrush Data'!$A$1:$Z$1,0)),"")</f>
        <v/>
      </c>
      <c r="H2691" s="7" t="str">
        <f aca="false">IFERROR(INDEX('Semrush Data'!$A$1:$Z$20000,MATCH(A2691,'Semrush Data'!$A$1:$A$20000,0),MATCH("Keyword Difficulty*",'Semrush Data'!$A$1:$Z$1,0)),"")</f>
        <v/>
      </c>
      <c r="I2691" s="13" t="str">
        <f aca="false">IFERROR(INDEX('Semrush Data'!$A$1:$Z$20000,MATCH(A2691,'Semrush Data'!$A$1:$A$20000,0),MATCH("CPC*",'Semrush Data'!$A$1:$Z$1,0)),"")</f>
        <v/>
      </c>
      <c r="J2691" s="7" t="str">
        <f aca="false">IFERROR(INDEX('Semrush Data'!$A$1:$Z$20000,MATCH(A2691,'Semrush Data'!$A$1:$A$20000,0),MATCH("Intent",'Semrush Data'!$A$1:$Z$1,0)),"")</f>
        <v/>
      </c>
    </row>
    <row r="2692" customFormat="false" ht="15" hidden="false" customHeight="true" outlineLevel="0" collapsed="false">
      <c r="A2692" s="7" t="s">
        <v>7364</v>
      </c>
      <c r="B2692" s="7" t="s">
        <v>6820</v>
      </c>
      <c r="C2692" s="7" t="n">
        <v>3</v>
      </c>
      <c r="D2692" s="7" t="n">
        <v>27</v>
      </c>
      <c r="E2692" s="7" t="n">
        <v>1</v>
      </c>
      <c r="F2692" s="7" t="s">
        <v>3996</v>
      </c>
      <c r="G2692" s="12" t="str">
        <f aca="false">IFERROR(INDEX('Semrush Data'!$A$1:$Z$20000,MATCH(A2692,'Semrush Data'!$A$1:$A$20000,0),MATCH("Volume",'Semrush Data'!$A$1:$Z$1,0)),"")</f>
        <v/>
      </c>
      <c r="H2692" s="7" t="str">
        <f aca="false">IFERROR(INDEX('Semrush Data'!$A$1:$Z$20000,MATCH(A2692,'Semrush Data'!$A$1:$A$20000,0),MATCH("Keyword Difficulty*",'Semrush Data'!$A$1:$Z$1,0)),"")</f>
        <v/>
      </c>
      <c r="I2692" s="13" t="str">
        <f aca="false">IFERROR(INDEX('Semrush Data'!$A$1:$Z$20000,MATCH(A2692,'Semrush Data'!$A$1:$A$20000,0),MATCH("CPC*",'Semrush Data'!$A$1:$Z$1,0)),"")</f>
        <v/>
      </c>
      <c r="J2692" s="7" t="str">
        <f aca="false">IFERROR(INDEX('Semrush Data'!$A$1:$Z$20000,MATCH(A2692,'Semrush Data'!$A$1:$A$20000,0),MATCH("Intent",'Semrush Data'!$A$1:$Z$1,0)),"")</f>
        <v/>
      </c>
    </row>
    <row r="2693" customFormat="false" ht="15" hidden="false" customHeight="true" outlineLevel="0" collapsed="false">
      <c r="A2693" s="7" t="s">
        <v>7365</v>
      </c>
      <c r="B2693" s="7" t="s">
        <v>6820</v>
      </c>
      <c r="C2693" s="7" t="n">
        <v>3</v>
      </c>
      <c r="D2693" s="7" t="n">
        <v>27</v>
      </c>
      <c r="E2693" s="7" t="n">
        <v>1</v>
      </c>
      <c r="F2693" s="7" t="s">
        <v>3996</v>
      </c>
      <c r="G2693" s="12" t="str">
        <f aca="false">IFERROR(INDEX('Semrush Data'!$A$1:$Z$20000,MATCH(A2693,'Semrush Data'!$A$1:$A$20000,0),MATCH("Volume",'Semrush Data'!$A$1:$Z$1,0)),"")</f>
        <v/>
      </c>
      <c r="H2693" s="7" t="str">
        <f aca="false">IFERROR(INDEX('Semrush Data'!$A$1:$Z$20000,MATCH(A2693,'Semrush Data'!$A$1:$A$20000,0),MATCH("Keyword Difficulty*",'Semrush Data'!$A$1:$Z$1,0)),"")</f>
        <v/>
      </c>
      <c r="I2693" s="13" t="str">
        <f aca="false">IFERROR(INDEX('Semrush Data'!$A$1:$Z$20000,MATCH(A2693,'Semrush Data'!$A$1:$A$20000,0),MATCH("CPC*",'Semrush Data'!$A$1:$Z$1,0)),"")</f>
        <v/>
      </c>
      <c r="J2693" s="7" t="str">
        <f aca="false">IFERROR(INDEX('Semrush Data'!$A$1:$Z$20000,MATCH(A2693,'Semrush Data'!$A$1:$A$20000,0),MATCH("Intent",'Semrush Data'!$A$1:$Z$1,0)),"")</f>
        <v/>
      </c>
    </row>
    <row r="2694" customFormat="false" ht="15" hidden="false" customHeight="true" outlineLevel="0" collapsed="false">
      <c r="A2694" s="7" t="s">
        <v>7366</v>
      </c>
      <c r="B2694" s="7" t="s">
        <v>6820</v>
      </c>
      <c r="C2694" s="7" t="n">
        <v>3</v>
      </c>
      <c r="D2694" s="7" t="n">
        <v>27</v>
      </c>
      <c r="E2694" s="7" t="n">
        <v>1</v>
      </c>
      <c r="F2694" s="7" t="s">
        <v>3996</v>
      </c>
      <c r="G2694" s="12" t="str">
        <f aca="false">IFERROR(INDEX('Semrush Data'!$A$1:$Z$20000,MATCH(A2694,'Semrush Data'!$A$1:$A$20000,0),MATCH("Volume",'Semrush Data'!$A$1:$Z$1,0)),"")</f>
        <v/>
      </c>
      <c r="H2694" s="7" t="str">
        <f aca="false">IFERROR(INDEX('Semrush Data'!$A$1:$Z$20000,MATCH(A2694,'Semrush Data'!$A$1:$A$20000,0),MATCH("Keyword Difficulty*",'Semrush Data'!$A$1:$Z$1,0)),"")</f>
        <v/>
      </c>
      <c r="I2694" s="13" t="str">
        <f aca="false">IFERROR(INDEX('Semrush Data'!$A$1:$Z$20000,MATCH(A2694,'Semrush Data'!$A$1:$A$20000,0),MATCH("CPC*",'Semrush Data'!$A$1:$Z$1,0)),"")</f>
        <v/>
      </c>
      <c r="J2694" s="7" t="str">
        <f aca="false">IFERROR(INDEX('Semrush Data'!$A$1:$Z$20000,MATCH(A2694,'Semrush Data'!$A$1:$A$20000,0),MATCH("Intent",'Semrush Data'!$A$1:$Z$1,0)),"")</f>
        <v/>
      </c>
    </row>
    <row r="2695" customFormat="false" ht="15" hidden="false" customHeight="true" outlineLevel="0" collapsed="false">
      <c r="A2695" s="7" t="s">
        <v>7367</v>
      </c>
      <c r="B2695" s="7" t="s">
        <v>6820</v>
      </c>
      <c r="C2695" s="7" t="n">
        <v>3</v>
      </c>
      <c r="D2695" s="7" t="n">
        <v>27</v>
      </c>
      <c r="E2695" s="7" t="n">
        <v>1</v>
      </c>
      <c r="F2695" s="7" t="s">
        <v>3996</v>
      </c>
      <c r="G2695" s="12" t="str">
        <f aca="false">IFERROR(INDEX('Semrush Data'!$A$1:$Z$20000,MATCH(A2695,'Semrush Data'!$A$1:$A$20000,0),MATCH("Volume",'Semrush Data'!$A$1:$Z$1,0)),"")</f>
        <v/>
      </c>
      <c r="H2695" s="7" t="str">
        <f aca="false">IFERROR(INDEX('Semrush Data'!$A$1:$Z$20000,MATCH(A2695,'Semrush Data'!$A$1:$A$20000,0),MATCH("Keyword Difficulty*",'Semrush Data'!$A$1:$Z$1,0)),"")</f>
        <v/>
      </c>
      <c r="I2695" s="13" t="str">
        <f aca="false">IFERROR(INDEX('Semrush Data'!$A$1:$Z$20000,MATCH(A2695,'Semrush Data'!$A$1:$A$20000,0),MATCH("CPC*",'Semrush Data'!$A$1:$Z$1,0)),"")</f>
        <v/>
      </c>
      <c r="J2695" s="7" t="str">
        <f aca="false">IFERROR(INDEX('Semrush Data'!$A$1:$Z$20000,MATCH(A2695,'Semrush Data'!$A$1:$A$20000,0),MATCH("Intent",'Semrush Data'!$A$1:$Z$1,0)),"")</f>
        <v/>
      </c>
    </row>
    <row r="2696" customFormat="false" ht="15" hidden="false" customHeight="true" outlineLevel="0" collapsed="false">
      <c r="A2696" s="7" t="s">
        <v>7368</v>
      </c>
      <c r="B2696" s="7" t="s">
        <v>6820</v>
      </c>
      <c r="C2696" s="7" t="n">
        <v>3</v>
      </c>
      <c r="D2696" s="7" t="n">
        <v>27</v>
      </c>
      <c r="E2696" s="7" t="n">
        <v>1</v>
      </c>
      <c r="F2696" s="7" t="s">
        <v>3996</v>
      </c>
      <c r="G2696" s="12" t="str">
        <f aca="false">IFERROR(INDEX('Semrush Data'!$A$1:$Z$20000,MATCH(A2696,'Semrush Data'!$A$1:$A$20000,0),MATCH("Volume",'Semrush Data'!$A$1:$Z$1,0)),"")</f>
        <v/>
      </c>
      <c r="H2696" s="7" t="str">
        <f aca="false">IFERROR(INDEX('Semrush Data'!$A$1:$Z$20000,MATCH(A2696,'Semrush Data'!$A$1:$A$20000,0),MATCH("Keyword Difficulty*",'Semrush Data'!$A$1:$Z$1,0)),"")</f>
        <v/>
      </c>
      <c r="I2696" s="13" t="str">
        <f aca="false">IFERROR(INDEX('Semrush Data'!$A$1:$Z$20000,MATCH(A2696,'Semrush Data'!$A$1:$A$20000,0),MATCH("CPC*",'Semrush Data'!$A$1:$Z$1,0)),"")</f>
        <v/>
      </c>
      <c r="J2696" s="7" t="str">
        <f aca="false">IFERROR(INDEX('Semrush Data'!$A$1:$Z$20000,MATCH(A2696,'Semrush Data'!$A$1:$A$20000,0),MATCH("Intent",'Semrush Data'!$A$1:$Z$1,0)),"")</f>
        <v/>
      </c>
    </row>
    <row r="2697" customFormat="false" ht="15" hidden="false" customHeight="true" outlineLevel="0" collapsed="false">
      <c r="A2697" s="7" t="s">
        <v>4029</v>
      </c>
      <c r="B2697" s="7" t="s">
        <v>6820</v>
      </c>
      <c r="C2697" s="7" t="n">
        <v>3</v>
      </c>
      <c r="D2697" s="7" t="n">
        <v>27</v>
      </c>
      <c r="E2697" s="7" t="n">
        <v>1</v>
      </c>
      <c r="F2697" s="7" t="s">
        <v>4022</v>
      </c>
      <c r="G2697" s="12" t="str">
        <f aca="false">IFERROR(INDEX('Semrush Data'!$A$1:$Z$20000,MATCH(A2697,'Semrush Data'!$A$1:$A$20000,0),MATCH("Volume",'Semrush Data'!$A$1:$Z$1,0)),"")</f>
        <v/>
      </c>
      <c r="H2697" s="7" t="str">
        <f aca="false">IFERROR(INDEX('Semrush Data'!$A$1:$Z$20000,MATCH(A2697,'Semrush Data'!$A$1:$A$20000,0),MATCH("Keyword Difficulty*",'Semrush Data'!$A$1:$Z$1,0)),"")</f>
        <v/>
      </c>
      <c r="I2697" s="13" t="str">
        <f aca="false">IFERROR(INDEX('Semrush Data'!$A$1:$Z$20000,MATCH(A2697,'Semrush Data'!$A$1:$A$20000,0),MATCH("CPC*",'Semrush Data'!$A$1:$Z$1,0)),"")</f>
        <v/>
      </c>
      <c r="J2697" s="7" t="str">
        <f aca="false">IFERROR(INDEX('Semrush Data'!$A$1:$Z$20000,MATCH(A2697,'Semrush Data'!$A$1:$A$20000,0),MATCH("Intent",'Semrush Data'!$A$1:$Z$1,0)),"")</f>
        <v/>
      </c>
    </row>
    <row r="2698" customFormat="false" ht="15" hidden="false" customHeight="true" outlineLevel="0" collapsed="false">
      <c r="A2698" s="7" t="s">
        <v>4018</v>
      </c>
      <c r="B2698" s="7" t="s">
        <v>6820</v>
      </c>
      <c r="C2698" s="7" t="n">
        <v>3</v>
      </c>
      <c r="D2698" s="7" t="n">
        <v>27</v>
      </c>
      <c r="E2698" s="7" t="n">
        <v>1</v>
      </c>
      <c r="F2698" s="7" t="s">
        <v>4009</v>
      </c>
      <c r="G2698" s="12" t="str">
        <f aca="false">IFERROR(INDEX('Semrush Data'!$A$1:$Z$20000,MATCH(A2698,'Semrush Data'!$A$1:$A$20000,0),MATCH("Volume",'Semrush Data'!$A$1:$Z$1,0)),"")</f>
        <v/>
      </c>
      <c r="H2698" s="7" t="str">
        <f aca="false">IFERROR(INDEX('Semrush Data'!$A$1:$Z$20000,MATCH(A2698,'Semrush Data'!$A$1:$A$20000,0),MATCH("Keyword Difficulty*",'Semrush Data'!$A$1:$Z$1,0)),"")</f>
        <v/>
      </c>
      <c r="I2698" s="13" t="str">
        <f aca="false">IFERROR(INDEX('Semrush Data'!$A$1:$Z$20000,MATCH(A2698,'Semrush Data'!$A$1:$A$20000,0),MATCH("CPC*",'Semrush Data'!$A$1:$Z$1,0)),"")</f>
        <v/>
      </c>
      <c r="J2698" s="7" t="str">
        <f aca="false">IFERROR(INDEX('Semrush Data'!$A$1:$Z$20000,MATCH(A2698,'Semrush Data'!$A$1:$A$20000,0),MATCH("Intent",'Semrush Data'!$A$1:$Z$1,0)),"")</f>
        <v/>
      </c>
    </row>
    <row r="2699" customFormat="false" ht="15" hidden="false" customHeight="true" outlineLevel="0" collapsed="false">
      <c r="A2699" s="7" t="s">
        <v>4042</v>
      </c>
      <c r="B2699" s="7" t="s">
        <v>6820</v>
      </c>
      <c r="C2699" s="7" t="n">
        <v>3</v>
      </c>
      <c r="D2699" s="7" t="n">
        <v>27</v>
      </c>
      <c r="E2699" s="7" t="n">
        <v>1</v>
      </c>
      <c r="F2699" s="7" t="s">
        <v>4033</v>
      </c>
      <c r="G2699" s="12" t="str">
        <f aca="false">IFERROR(INDEX('Semrush Data'!$A$1:$Z$20000,MATCH(A2699,'Semrush Data'!$A$1:$A$20000,0),MATCH("Volume",'Semrush Data'!$A$1:$Z$1,0)),"")</f>
        <v/>
      </c>
      <c r="H2699" s="7" t="str">
        <f aca="false">IFERROR(INDEX('Semrush Data'!$A$1:$Z$20000,MATCH(A2699,'Semrush Data'!$A$1:$A$20000,0),MATCH("Keyword Difficulty*",'Semrush Data'!$A$1:$Z$1,0)),"")</f>
        <v/>
      </c>
      <c r="I2699" s="13" t="str">
        <f aca="false">IFERROR(INDEX('Semrush Data'!$A$1:$Z$20000,MATCH(A2699,'Semrush Data'!$A$1:$A$20000,0),MATCH("CPC*",'Semrush Data'!$A$1:$Z$1,0)),"")</f>
        <v/>
      </c>
      <c r="J2699" s="7" t="str">
        <f aca="false">IFERROR(INDEX('Semrush Data'!$A$1:$Z$20000,MATCH(A2699,'Semrush Data'!$A$1:$A$20000,0),MATCH("Intent",'Semrush Data'!$A$1:$Z$1,0)),"")</f>
        <v/>
      </c>
    </row>
    <row r="2700" customFormat="false" ht="15" hidden="false" customHeight="true" outlineLevel="0" collapsed="false">
      <c r="A2700" s="7" t="s">
        <v>4053</v>
      </c>
      <c r="B2700" s="7" t="s">
        <v>6820</v>
      </c>
      <c r="C2700" s="7" t="n">
        <v>3</v>
      </c>
      <c r="D2700" s="7" t="n">
        <v>27</v>
      </c>
      <c r="E2700" s="7" t="n">
        <v>1</v>
      </c>
      <c r="F2700" s="7" t="s">
        <v>4046</v>
      </c>
      <c r="G2700" s="12" t="str">
        <f aca="false">IFERROR(INDEX('Semrush Data'!$A$1:$Z$20000,MATCH(A2700,'Semrush Data'!$A$1:$A$20000,0),MATCH("Volume",'Semrush Data'!$A$1:$Z$1,0)),"")</f>
        <v/>
      </c>
      <c r="H2700" s="7" t="str">
        <f aca="false">IFERROR(INDEX('Semrush Data'!$A$1:$Z$20000,MATCH(A2700,'Semrush Data'!$A$1:$A$20000,0),MATCH("Keyword Difficulty*",'Semrush Data'!$A$1:$Z$1,0)),"")</f>
        <v/>
      </c>
      <c r="I2700" s="13" t="str">
        <f aca="false">IFERROR(INDEX('Semrush Data'!$A$1:$Z$20000,MATCH(A2700,'Semrush Data'!$A$1:$A$20000,0),MATCH("CPC*",'Semrush Data'!$A$1:$Z$1,0)),"")</f>
        <v/>
      </c>
      <c r="J2700" s="7" t="str">
        <f aca="false">IFERROR(INDEX('Semrush Data'!$A$1:$Z$20000,MATCH(A2700,'Semrush Data'!$A$1:$A$20000,0),MATCH("Intent",'Semrush Data'!$A$1:$Z$1,0)),"")</f>
        <v/>
      </c>
    </row>
    <row r="2701" customFormat="false" ht="15" hidden="false" customHeight="true" outlineLevel="0" collapsed="false">
      <c r="A2701" s="7" t="s">
        <v>7369</v>
      </c>
      <c r="B2701" s="7" t="s">
        <v>6820</v>
      </c>
      <c r="C2701" s="7" t="n">
        <v>3</v>
      </c>
      <c r="D2701" s="7" t="n">
        <v>27</v>
      </c>
      <c r="E2701" s="7" t="n">
        <v>1</v>
      </c>
      <c r="F2701" s="7" t="s">
        <v>4057</v>
      </c>
      <c r="G2701" s="12" t="str">
        <f aca="false">IFERROR(INDEX('Semrush Data'!$A$1:$Z$20000,MATCH(A2701,'Semrush Data'!$A$1:$A$20000,0),MATCH("Volume",'Semrush Data'!$A$1:$Z$1,0)),"")</f>
        <v/>
      </c>
      <c r="H2701" s="7" t="str">
        <f aca="false">IFERROR(INDEX('Semrush Data'!$A$1:$Z$20000,MATCH(A2701,'Semrush Data'!$A$1:$A$20000,0),MATCH("Keyword Difficulty*",'Semrush Data'!$A$1:$Z$1,0)),"")</f>
        <v/>
      </c>
      <c r="I2701" s="13" t="str">
        <f aca="false">IFERROR(INDEX('Semrush Data'!$A$1:$Z$20000,MATCH(A2701,'Semrush Data'!$A$1:$A$20000,0),MATCH("CPC*",'Semrush Data'!$A$1:$Z$1,0)),"")</f>
        <v/>
      </c>
      <c r="J2701" s="7" t="str">
        <f aca="false">IFERROR(INDEX('Semrush Data'!$A$1:$Z$20000,MATCH(A2701,'Semrush Data'!$A$1:$A$20000,0),MATCH("Intent",'Semrush Data'!$A$1:$Z$1,0)),"")</f>
        <v/>
      </c>
    </row>
    <row r="2702" customFormat="false" ht="15" hidden="false" customHeight="true" outlineLevel="0" collapsed="false">
      <c r="A2702" s="7" t="s">
        <v>4076</v>
      </c>
      <c r="B2702" s="7" t="s">
        <v>6820</v>
      </c>
      <c r="C2702" s="7" t="n">
        <v>3</v>
      </c>
      <c r="D2702" s="7" t="n">
        <v>28</v>
      </c>
      <c r="E2702" s="7" t="n">
        <v>1</v>
      </c>
      <c r="F2702" s="7" t="s">
        <v>4068</v>
      </c>
      <c r="G2702" s="12" t="str">
        <f aca="false">IFERROR(INDEX('Semrush Data'!$A$1:$Z$20000,MATCH(A2702,'Semrush Data'!$A$1:$A$20000,0),MATCH("Volume",'Semrush Data'!$A$1:$Z$1,0)),"")</f>
        <v/>
      </c>
      <c r="H2702" s="7" t="str">
        <f aca="false">IFERROR(INDEX('Semrush Data'!$A$1:$Z$20000,MATCH(A2702,'Semrush Data'!$A$1:$A$20000,0),MATCH("Keyword Difficulty*",'Semrush Data'!$A$1:$Z$1,0)),"")</f>
        <v/>
      </c>
      <c r="I2702" s="13" t="str">
        <f aca="false">IFERROR(INDEX('Semrush Data'!$A$1:$Z$20000,MATCH(A2702,'Semrush Data'!$A$1:$A$20000,0),MATCH("CPC*",'Semrush Data'!$A$1:$Z$1,0)),"")</f>
        <v/>
      </c>
      <c r="J2702" s="7" t="str">
        <f aca="false">IFERROR(INDEX('Semrush Data'!$A$1:$Z$20000,MATCH(A2702,'Semrush Data'!$A$1:$A$20000,0),MATCH("Intent",'Semrush Data'!$A$1:$Z$1,0)),"")</f>
        <v/>
      </c>
    </row>
    <row r="2703" customFormat="false" ht="15" hidden="false" customHeight="true" outlineLevel="0" collapsed="false">
      <c r="A2703" s="7" t="s">
        <v>7370</v>
      </c>
      <c r="B2703" s="7" t="s">
        <v>6820</v>
      </c>
      <c r="C2703" s="7" t="n">
        <v>3</v>
      </c>
      <c r="D2703" s="7" t="n">
        <v>28</v>
      </c>
      <c r="E2703" s="7" t="n">
        <v>1</v>
      </c>
      <c r="F2703" s="7" t="s">
        <v>4080</v>
      </c>
      <c r="G2703" s="12" t="str">
        <f aca="false">IFERROR(INDEX('Semrush Data'!$A$1:$Z$20000,MATCH(A2703,'Semrush Data'!$A$1:$A$20000,0),MATCH("Volume",'Semrush Data'!$A$1:$Z$1,0)),"")</f>
        <v/>
      </c>
      <c r="H2703" s="7" t="str">
        <f aca="false">IFERROR(INDEX('Semrush Data'!$A$1:$Z$20000,MATCH(A2703,'Semrush Data'!$A$1:$A$20000,0),MATCH("Keyword Difficulty*",'Semrush Data'!$A$1:$Z$1,0)),"")</f>
        <v/>
      </c>
      <c r="I2703" s="13" t="str">
        <f aca="false">IFERROR(INDEX('Semrush Data'!$A$1:$Z$20000,MATCH(A2703,'Semrush Data'!$A$1:$A$20000,0),MATCH("CPC*",'Semrush Data'!$A$1:$Z$1,0)),"")</f>
        <v/>
      </c>
      <c r="J2703" s="7" t="str">
        <f aca="false">IFERROR(INDEX('Semrush Data'!$A$1:$Z$20000,MATCH(A2703,'Semrush Data'!$A$1:$A$20000,0),MATCH("Intent",'Semrush Data'!$A$1:$Z$1,0)),"")</f>
        <v/>
      </c>
    </row>
    <row r="2704" customFormat="false" ht="15" hidden="false" customHeight="true" outlineLevel="0" collapsed="false">
      <c r="A2704" s="7" t="s">
        <v>7371</v>
      </c>
      <c r="B2704" s="7" t="s">
        <v>6820</v>
      </c>
      <c r="C2704" s="7" t="n">
        <v>3</v>
      </c>
      <c r="D2704" s="7" t="n">
        <v>28</v>
      </c>
      <c r="E2704" s="7" t="n">
        <v>1</v>
      </c>
      <c r="F2704" s="7" t="s">
        <v>4080</v>
      </c>
      <c r="G2704" s="12" t="str">
        <f aca="false">IFERROR(INDEX('Semrush Data'!$A$1:$Z$20000,MATCH(A2704,'Semrush Data'!$A$1:$A$20000,0),MATCH("Volume",'Semrush Data'!$A$1:$Z$1,0)),"")</f>
        <v/>
      </c>
      <c r="H2704" s="7" t="str">
        <f aca="false">IFERROR(INDEX('Semrush Data'!$A$1:$Z$20000,MATCH(A2704,'Semrush Data'!$A$1:$A$20000,0),MATCH("Keyword Difficulty*",'Semrush Data'!$A$1:$Z$1,0)),"")</f>
        <v/>
      </c>
      <c r="I2704" s="13" t="str">
        <f aca="false">IFERROR(INDEX('Semrush Data'!$A$1:$Z$20000,MATCH(A2704,'Semrush Data'!$A$1:$A$20000,0),MATCH("CPC*",'Semrush Data'!$A$1:$Z$1,0)),"")</f>
        <v/>
      </c>
      <c r="J2704" s="7" t="str">
        <f aca="false">IFERROR(INDEX('Semrush Data'!$A$1:$Z$20000,MATCH(A2704,'Semrush Data'!$A$1:$A$20000,0),MATCH("Intent",'Semrush Data'!$A$1:$Z$1,0)),"")</f>
        <v/>
      </c>
    </row>
    <row r="2705" customFormat="false" ht="15" hidden="false" customHeight="true" outlineLevel="0" collapsed="false">
      <c r="A2705" s="7" t="s">
        <v>7372</v>
      </c>
      <c r="B2705" s="7" t="s">
        <v>6820</v>
      </c>
      <c r="C2705" s="7" t="n">
        <v>3</v>
      </c>
      <c r="D2705" s="7" t="n">
        <v>28</v>
      </c>
      <c r="E2705" s="7" t="n">
        <v>1</v>
      </c>
      <c r="F2705" s="7" t="s">
        <v>4092</v>
      </c>
      <c r="G2705" s="12" t="str">
        <f aca="false">IFERROR(INDEX('Semrush Data'!$A$1:$Z$20000,MATCH(A2705,'Semrush Data'!$A$1:$A$20000,0),MATCH("Volume",'Semrush Data'!$A$1:$Z$1,0)),"")</f>
        <v/>
      </c>
      <c r="H2705" s="7" t="str">
        <f aca="false">IFERROR(INDEX('Semrush Data'!$A$1:$Z$20000,MATCH(A2705,'Semrush Data'!$A$1:$A$20000,0),MATCH("Keyword Difficulty*",'Semrush Data'!$A$1:$Z$1,0)),"")</f>
        <v/>
      </c>
      <c r="I2705" s="13" t="str">
        <f aca="false">IFERROR(INDEX('Semrush Data'!$A$1:$Z$20000,MATCH(A2705,'Semrush Data'!$A$1:$A$20000,0),MATCH("CPC*",'Semrush Data'!$A$1:$Z$1,0)),"")</f>
        <v/>
      </c>
      <c r="J2705" s="7" t="str">
        <f aca="false">IFERROR(INDEX('Semrush Data'!$A$1:$Z$20000,MATCH(A2705,'Semrush Data'!$A$1:$A$20000,0),MATCH("Intent",'Semrush Data'!$A$1:$Z$1,0)),"")</f>
        <v/>
      </c>
    </row>
    <row r="2706" customFormat="false" ht="15" hidden="false" customHeight="true" outlineLevel="0" collapsed="false">
      <c r="A2706" s="7" t="s">
        <v>7373</v>
      </c>
      <c r="B2706" s="7" t="s">
        <v>6820</v>
      </c>
      <c r="C2706" s="7" t="n">
        <v>3</v>
      </c>
      <c r="D2706" s="7" t="n">
        <v>28</v>
      </c>
      <c r="E2706" s="7" t="n">
        <v>1</v>
      </c>
      <c r="F2706" s="7" t="s">
        <v>4092</v>
      </c>
      <c r="G2706" s="12" t="str">
        <f aca="false">IFERROR(INDEX('Semrush Data'!$A$1:$Z$20000,MATCH(A2706,'Semrush Data'!$A$1:$A$20000,0),MATCH("Volume",'Semrush Data'!$A$1:$Z$1,0)),"")</f>
        <v/>
      </c>
      <c r="H2706" s="7" t="str">
        <f aca="false">IFERROR(INDEX('Semrush Data'!$A$1:$Z$20000,MATCH(A2706,'Semrush Data'!$A$1:$A$20000,0),MATCH("Keyword Difficulty*",'Semrush Data'!$A$1:$Z$1,0)),"")</f>
        <v/>
      </c>
      <c r="I2706" s="13" t="str">
        <f aca="false">IFERROR(INDEX('Semrush Data'!$A$1:$Z$20000,MATCH(A2706,'Semrush Data'!$A$1:$A$20000,0),MATCH("CPC*",'Semrush Data'!$A$1:$Z$1,0)),"")</f>
        <v/>
      </c>
      <c r="J2706" s="7" t="str">
        <f aca="false">IFERROR(INDEX('Semrush Data'!$A$1:$Z$20000,MATCH(A2706,'Semrush Data'!$A$1:$A$20000,0),MATCH("Intent",'Semrush Data'!$A$1:$Z$1,0)),"")</f>
        <v/>
      </c>
    </row>
    <row r="2707" customFormat="false" ht="15" hidden="false" customHeight="true" outlineLevel="0" collapsed="false">
      <c r="A2707" s="7" t="s">
        <v>4130</v>
      </c>
      <c r="B2707" s="7" t="s">
        <v>6820</v>
      </c>
      <c r="C2707" s="7" t="n">
        <v>3</v>
      </c>
      <c r="D2707" s="7" t="n">
        <v>28</v>
      </c>
      <c r="E2707" s="7" t="n">
        <v>1</v>
      </c>
      <c r="F2707" s="7" t="s">
        <v>4123</v>
      </c>
      <c r="G2707" s="12" t="str">
        <f aca="false">IFERROR(INDEX('Semrush Data'!$A$1:$Z$20000,MATCH(A2707,'Semrush Data'!$A$1:$A$20000,0),MATCH("Volume",'Semrush Data'!$A$1:$Z$1,0)),"")</f>
        <v/>
      </c>
      <c r="H2707" s="7" t="str">
        <f aca="false">IFERROR(INDEX('Semrush Data'!$A$1:$Z$20000,MATCH(A2707,'Semrush Data'!$A$1:$A$20000,0),MATCH("Keyword Difficulty*",'Semrush Data'!$A$1:$Z$1,0)),"")</f>
        <v/>
      </c>
      <c r="I2707" s="13" t="str">
        <f aca="false">IFERROR(INDEX('Semrush Data'!$A$1:$Z$20000,MATCH(A2707,'Semrush Data'!$A$1:$A$20000,0),MATCH("CPC*",'Semrush Data'!$A$1:$Z$1,0)),"")</f>
        <v/>
      </c>
      <c r="J2707" s="7" t="str">
        <f aca="false">IFERROR(INDEX('Semrush Data'!$A$1:$Z$20000,MATCH(A2707,'Semrush Data'!$A$1:$A$20000,0),MATCH("Intent",'Semrush Data'!$A$1:$Z$1,0)),"")</f>
        <v/>
      </c>
    </row>
    <row r="2708" customFormat="false" ht="15" hidden="false" customHeight="true" outlineLevel="0" collapsed="false">
      <c r="A2708" s="7" t="s">
        <v>7374</v>
      </c>
      <c r="B2708" s="7" t="s">
        <v>6820</v>
      </c>
      <c r="C2708" s="7" t="n">
        <v>3</v>
      </c>
      <c r="D2708" s="7" t="n">
        <v>28</v>
      </c>
      <c r="E2708" s="7" t="n">
        <v>1</v>
      </c>
      <c r="F2708" s="7" t="s">
        <v>4134</v>
      </c>
      <c r="G2708" s="12" t="str">
        <f aca="false">IFERROR(INDEX('Semrush Data'!$A$1:$Z$20000,MATCH(A2708,'Semrush Data'!$A$1:$A$20000,0),MATCH("Volume",'Semrush Data'!$A$1:$Z$1,0)),"")</f>
        <v/>
      </c>
      <c r="H2708" s="7" t="str">
        <f aca="false">IFERROR(INDEX('Semrush Data'!$A$1:$Z$20000,MATCH(A2708,'Semrush Data'!$A$1:$A$20000,0),MATCH("Keyword Difficulty*",'Semrush Data'!$A$1:$Z$1,0)),"")</f>
        <v/>
      </c>
      <c r="I2708" s="13" t="str">
        <f aca="false">IFERROR(INDEX('Semrush Data'!$A$1:$Z$20000,MATCH(A2708,'Semrush Data'!$A$1:$A$20000,0),MATCH("CPC*",'Semrush Data'!$A$1:$Z$1,0)),"")</f>
        <v/>
      </c>
      <c r="J2708" s="7" t="str">
        <f aca="false">IFERROR(INDEX('Semrush Data'!$A$1:$Z$20000,MATCH(A2708,'Semrush Data'!$A$1:$A$20000,0),MATCH("Intent",'Semrush Data'!$A$1:$Z$1,0)),"")</f>
        <v/>
      </c>
    </row>
    <row r="2709" customFormat="false" ht="15" hidden="false" customHeight="true" outlineLevel="0" collapsed="false">
      <c r="A2709" s="7" t="s">
        <v>4176</v>
      </c>
      <c r="B2709" s="7" t="s">
        <v>6820</v>
      </c>
      <c r="C2709" s="7" t="n">
        <v>3</v>
      </c>
      <c r="D2709" s="7" t="n">
        <v>28</v>
      </c>
      <c r="E2709" s="7" t="n">
        <v>1</v>
      </c>
      <c r="F2709" s="7" t="s">
        <v>4167</v>
      </c>
      <c r="G2709" s="12" t="str">
        <f aca="false">IFERROR(INDEX('Semrush Data'!$A$1:$Z$20000,MATCH(A2709,'Semrush Data'!$A$1:$A$20000,0),MATCH("Volume",'Semrush Data'!$A$1:$Z$1,0)),"")</f>
        <v/>
      </c>
      <c r="H2709" s="7" t="str">
        <f aca="false">IFERROR(INDEX('Semrush Data'!$A$1:$Z$20000,MATCH(A2709,'Semrush Data'!$A$1:$A$20000,0),MATCH("Keyword Difficulty*",'Semrush Data'!$A$1:$Z$1,0)),"")</f>
        <v/>
      </c>
      <c r="I2709" s="13" t="str">
        <f aca="false">IFERROR(INDEX('Semrush Data'!$A$1:$Z$20000,MATCH(A2709,'Semrush Data'!$A$1:$A$20000,0),MATCH("CPC*",'Semrush Data'!$A$1:$Z$1,0)),"")</f>
        <v/>
      </c>
      <c r="J2709" s="7" t="str">
        <f aca="false">IFERROR(INDEX('Semrush Data'!$A$1:$Z$20000,MATCH(A2709,'Semrush Data'!$A$1:$A$20000,0),MATCH("Intent",'Semrush Data'!$A$1:$Z$1,0)),"")</f>
        <v/>
      </c>
    </row>
    <row r="2710" customFormat="false" ht="15" hidden="false" customHeight="true" outlineLevel="0" collapsed="false">
      <c r="A2710" s="7" t="s">
        <v>4163</v>
      </c>
      <c r="B2710" s="7" t="s">
        <v>6820</v>
      </c>
      <c r="C2710" s="7" t="n">
        <v>3</v>
      </c>
      <c r="D2710" s="7" t="n">
        <v>28</v>
      </c>
      <c r="E2710" s="7" t="n">
        <v>1</v>
      </c>
      <c r="F2710" s="7" t="s">
        <v>4155</v>
      </c>
      <c r="G2710" s="12" t="str">
        <f aca="false">IFERROR(INDEX('Semrush Data'!$A$1:$Z$20000,MATCH(A2710,'Semrush Data'!$A$1:$A$20000,0),MATCH("Volume",'Semrush Data'!$A$1:$Z$1,0)),"")</f>
        <v/>
      </c>
      <c r="H2710" s="7" t="str">
        <f aca="false">IFERROR(INDEX('Semrush Data'!$A$1:$Z$20000,MATCH(A2710,'Semrush Data'!$A$1:$A$20000,0),MATCH("Keyword Difficulty*",'Semrush Data'!$A$1:$Z$1,0)),"")</f>
        <v/>
      </c>
      <c r="I2710" s="13" t="str">
        <f aca="false">IFERROR(INDEX('Semrush Data'!$A$1:$Z$20000,MATCH(A2710,'Semrush Data'!$A$1:$A$20000,0),MATCH("CPC*",'Semrush Data'!$A$1:$Z$1,0)),"")</f>
        <v/>
      </c>
      <c r="J2710" s="7" t="str">
        <f aca="false">IFERROR(INDEX('Semrush Data'!$A$1:$Z$20000,MATCH(A2710,'Semrush Data'!$A$1:$A$20000,0),MATCH("Intent",'Semrush Data'!$A$1:$Z$1,0)),"")</f>
        <v/>
      </c>
    </row>
    <row r="2711" customFormat="false" ht="15" hidden="false" customHeight="true" outlineLevel="0" collapsed="false">
      <c r="A2711" s="7" t="s">
        <v>7375</v>
      </c>
      <c r="B2711" s="7" t="s">
        <v>6820</v>
      </c>
      <c r="C2711" s="7" t="n">
        <v>3</v>
      </c>
      <c r="D2711" s="7" t="n">
        <v>28</v>
      </c>
      <c r="E2711" s="7" t="n">
        <v>1</v>
      </c>
      <c r="F2711" s="7" t="s">
        <v>4192</v>
      </c>
      <c r="G2711" s="12" t="str">
        <f aca="false">IFERROR(INDEX('Semrush Data'!$A$1:$Z$20000,MATCH(A2711,'Semrush Data'!$A$1:$A$20000,0),MATCH("Volume",'Semrush Data'!$A$1:$Z$1,0)),"")</f>
        <v/>
      </c>
      <c r="H2711" s="7" t="str">
        <f aca="false">IFERROR(INDEX('Semrush Data'!$A$1:$Z$20000,MATCH(A2711,'Semrush Data'!$A$1:$A$20000,0),MATCH("Keyword Difficulty*",'Semrush Data'!$A$1:$Z$1,0)),"")</f>
        <v/>
      </c>
      <c r="I2711" s="13" t="str">
        <f aca="false">IFERROR(INDEX('Semrush Data'!$A$1:$Z$20000,MATCH(A2711,'Semrush Data'!$A$1:$A$20000,0),MATCH("CPC*",'Semrush Data'!$A$1:$Z$1,0)),"")</f>
        <v/>
      </c>
      <c r="J2711" s="7" t="str">
        <f aca="false">IFERROR(INDEX('Semrush Data'!$A$1:$Z$20000,MATCH(A2711,'Semrush Data'!$A$1:$A$20000,0),MATCH("Intent",'Semrush Data'!$A$1:$Z$1,0)),"")</f>
        <v/>
      </c>
    </row>
    <row r="2712" customFormat="false" ht="15" hidden="false" customHeight="true" outlineLevel="0" collapsed="false">
      <c r="A2712" s="7" t="s">
        <v>7376</v>
      </c>
      <c r="B2712" s="7" t="s">
        <v>6820</v>
      </c>
      <c r="C2712" s="7" t="n">
        <v>3</v>
      </c>
      <c r="D2712" s="7" t="n">
        <v>28</v>
      </c>
      <c r="E2712" s="7" t="n">
        <v>1</v>
      </c>
      <c r="F2712" s="7" t="s">
        <v>4192</v>
      </c>
      <c r="G2712" s="12" t="str">
        <f aca="false">IFERROR(INDEX('Semrush Data'!$A$1:$Z$20000,MATCH(A2712,'Semrush Data'!$A$1:$A$20000,0),MATCH("Volume",'Semrush Data'!$A$1:$Z$1,0)),"")</f>
        <v/>
      </c>
      <c r="H2712" s="7" t="str">
        <f aca="false">IFERROR(INDEX('Semrush Data'!$A$1:$Z$20000,MATCH(A2712,'Semrush Data'!$A$1:$A$20000,0),MATCH("Keyword Difficulty*",'Semrush Data'!$A$1:$Z$1,0)),"")</f>
        <v/>
      </c>
      <c r="I2712" s="13" t="str">
        <f aca="false">IFERROR(INDEX('Semrush Data'!$A$1:$Z$20000,MATCH(A2712,'Semrush Data'!$A$1:$A$20000,0),MATCH("CPC*",'Semrush Data'!$A$1:$Z$1,0)),"")</f>
        <v/>
      </c>
      <c r="J2712" s="7" t="str">
        <f aca="false">IFERROR(INDEX('Semrush Data'!$A$1:$Z$20000,MATCH(A2712,'Semrush Data'!$A$1:$A$20000,0),MATCH("Intent",'Semrush Data'!$A$1:$Z$1,0)),"")</f>
        <v/>
      </c>
    </row>
    <row r="2713" customFormat="false" ht="15" hidden="false" customHeight="true" outlineLevel="0" collapsed="false">
      <c r="A2713" s="7" t="s">
        <v>7377</v>
      </c>
      <c r="B2713" s="7" t="s">
        <v>6820</v>
      </c>
      <c r="C2713" s="7" t="n">
        <v>3</v>
      </c>
      <c r="D2713" s="7" t="n">
        <v>28</v>
      </c>
      <c r="E2713" s="7" t="n">
        <v>1</v>
      </c>
      <c r="F2713" s="7" t="s">
        <v>4203</v>
      </c>
      <c r="G2713" s="12" t="str">
        <f aca="false">IFERROR(INDEX('Semrush Data'!$A$1:$Z$20000,MATCH(A2713,'Semrush Data'!$A$1:$A$20000,0),MATCH("Volume",'Semrush Data'!$A$1:$Z$1,0)),"")</f>
        <v/>
      </c>
      <c r="H2713" s="7" t="str">
        <f aca="false">IFERROR(INDEX('Semrush Data'!$A$1:$Z$20000,MATCH(A2713,'Semrush Data'!$A$1:$A$20000,0),MATCH("Keyword Difficulty*",'Semrush Data'!$A$1:$Z$1,0)),"")</f>
        <v/>
      </c>
      <c r="I2713" s="13" t="str">
        <f aca="false">IFERROR(INDEX('Semrush Data'!$A$1:$Z$20000,MATCH(A2713,'Semrush Data'!$A$1:$A$20000,0),MATCH("CPC*",'Semrush Data'!$A$1:$Z$1,0)),"")</f>
        <v/>
      </c>
      <c r="J2713" s="7" t="str">
        <f aca="false">IFERROR(INDEX('Semrush Data'!$A$1:$Z$20000,MATCH(A2713,'Semrush Data'!$A$1:$A$20000,0),MATCH("Intent",'Semrush Data'!$A$1:$Z$1,0)),"")</f>
        <v/>
      </c>
    </row>
    <row r="2714" customFormat="false" ht="15" hidden="false" customHeight="true" outlineLevel="0" collapsed="false">
      <c r="A2714" s="7" t="s">
        <v>7378</v>
      </c>
      <c r="B2714" s="7" t="s">
        <v>6820</v>
      </c>
      <c r="C2714" s="7" t="n">
        <v>3</v>
      </c>
      <c r="D2714" s="7" t="n">
        <v>28</v>
      </c>
      <c r="E2714" s="7" t="n">
        <v>1</v>
      </c>
      <c r="F2714" s="7" t="s">
        <v>4203</v>
      </c>
      <c r="G2714" s="12" t="str">
        <f aca="false">IFERROR(INDEX('Semrush Data'!$A$1:$Z$20000,MATCH(A2714,'Semrush Data'!$A$1:$A$20000,0),MATCH("Volume",'Semrush Data'!$A$1:$Z$1,0)),"")</f>
        <v/>
      </c>
      <c r="H2714" s="7" t="str">
        <f aca="false">IFERROR(INDEX('Semrush Data'!$A$1:$Z$20000,MATCH(A2714,'Semrush Data'!$A$1:$A$20000,0),MATCH("Keyword Difficulty*",'Semrush Data'!$A$1:$Z$1,0)),"")</f>
        <v/>
      </c>
      <c r="I2714" s="13" t="str">
        <f aca="false">IFERROR(INDEX('Semrush Data'!$A$1:$Z$20000,MATCH(A2714,'Semrush Data'!$A$1:$A$20000,0),MATCH("CPC*",'Semrush Data'!$A$1:$Z$1,0)),"")</f>
        <v/>
      </c>
      <c r="J2714" s="7" t="str">
        <f aca="false">IFERROR(INDEX('Semrush Data'!$A$1:$Z$20000,MATCH(A2714,'Semrush Data'!$A$1:$A$20000,0),MATCH("Intent",'Semrush Data'!$A$1:$Z$1,0)),"")</f>
        <v/>
      </c>
    </row>
    <row r="2715" customFormat="false" ht="15" hidden="false" customHeight="true" outlineLevel="0" collapsed="false">
      <c r="A2715" s="7" t="s">
        <v>7379</v>
      </c>
      <c r="B2715" s="7" t="s">
        <v>6820</v>
      </c>
      <c r="C2715" s="7" t="n">
        <v>3</v>
      </c>
      <c r="D2715" s="7" t="n">
        <v>28</v>
      </c>
      <c r="E2715" s="7" t="n">
        <v>1</v>
      </c>
      <c r="F2715" s="7" t="s">
        <v>4215</v>
      </c>
      <c r="G2715" s="12" t="str">
        <f aca="false">IFERROR(INDEX('Semrush Data'!$A$1:$Z$20000,MATCH(A2715,'Semrush Data'!$A$1:$A$20000,0),MATCH("Volume",'Semrush Data'!$A$1:$Z$1,0)),"")</f>
        <v/>
      </c>
      <c r="H2715" s="7" t="str">
        <f aca="false">IFERROR(INDEX('Semrush Data'!$A$1:$Z$20000,MATCH(A2715,'Semrush Data'!$A$1:$A$20000,0),MATCH("Keyword Difficulty*",'Semrush Data'!$A$1:$Z$1,0)),"")</f>
        <v/>
      </c>
      <c r="I2715" s="13" t="str">
        <f aca="false">IFERROR(INDEX('Semrush Data'!$A$1:$Z$20000,MATCH(A2715,'Semrush Data'!$A$1:$A$20000,0),MATCH("CPC*",'Semrush Data'!$A$1:$Z$1,0)),"")</f>
        <v/>
      </c>
      <c r="J2715" s="7" t="str">
        <f aca="false">IFERROR(INDEX('Semrush Data'!$A$1:$Z$20000,MATCH(A2715,'Semrush Data'!$A$1:$A$20000,0),MATCH("Intent",'Semrush Data'!$A$1:$Z$1,0)),"")</f>
        <v/>
      </c>
    </row>
    <row r="2716" customFormat="false" ht="15" hidden="false" customHeight="true" outlineLevel="0" collapsed="false">
      <c r="A2716" s="7" t="s">
        <v>7380</v>
      </c>
      <c r="B2716" s="7" t="s">
        <v>6820</v>
      </c>
      <c r="C2716" s="7" t="n">
        <v>3</v>
      </c>
      <c r="D2716" s="7" t="n">
        <v>28</v>
      </c>
      <c r="E2716" s="7" t="n">
        <v>1</v>
      </c>
      <c r="F2716" s="7" t="s">
        <v>4215</v>
      </c>
      <c r="G2716" s="12" t="str">
        <f aca="false">IFERROR(INDEX('Semrush Data'!$A$1:$Z$20000,MATCH(A2716,'Semrush Data'!$A$1:$A$20000,0),MATCH("Volume",'Semrush Data'!$A$1:$Z$1,0)),"")</f>
        <v/>
      </c>
      <c r="H2716" s="7" t="str">
        <f aca="false">IFERROR(INDEX('Semrush Data'!$A$1:$Z$20000,MATCH(A2716,'Semrush Data'!$A$1:$A$20000,0),MATCH("Keyword Difficulty*",'Semrush Data'!$A$1:$Z$1,0)),"")</f>
        <v/>
      </c>
      <c r="I2716" s="13" t="str">
        <f aca="false">IFERROR(INDEX('Semrush Data'!$A$1:$Z$20000,MATCH(A2716,'Semrush Data'!$A$1:$A$20000,0),MATCH("CPC*",'Semrush Data'!$A$1:$Z$1,0)),"")</f>
        <v/>
      </c>
      <c r="J2716" s="7" t="str">
        <f aca="false">IFERROR(INDEX('Semrush Data'!$A$1:$Z$20000,MATCH(A2716,'Semrush Data'!$A$1:$A$20000,0),MATCH("Intent",'Semrush Data'!$A$1:$Z$1,0)),"")</f>
        <v/>
      </c>
    </row>
    <row r="2717" customFormat="false" ht="15" hidden="false" customHeight="true" outlineLevel="0" collapsed="false">
      <c r="A2717" s="7" t="s">
        <v>7381</v>
      </c>
      <c r="B2717" s="7" t="s">
        <v>6820</v>
      </c>
      <c r="C2717" s="7" t="n">
        <v>3</v>
      </c>
      <c r="D2717" s="7" t="n">
        <v>28</v>
      </c>
      <c r="E2717" s="7" t="n">
        <v>1</v>
      </c>
      <c r="F2717" s="7" t="s">
        <v>4226</v>
      </c>
      <c r="G2717" s="12" t="str">
        <f aca="false">IFERROR(INDEX('Semrush Data'!$A$1:$Z$20000,MATCH(A2717,'Semrush Data'!$A$1:$A$20000,0),MATCH("Volume",'Semrush Data'!$A$1:$Z$1,0)),"")</f>
        <v/>
      </c>
      <c r="H2717" s="7" t="str">
        <f aca="false">IFERROR(INDEX('Semrush Data'!$A$1:$Z$20000,MATCH(A2717,'Semrush Data'!$A$1:$A$20000,0),MATCH("Keyword Difficulty*",'Semrush Data'!$A$1:$Z$1,0)),"")</f>
        <v/>
      </c>
      <c r="I2717" s="13" t="str">
        <f aca="false">IFERROR(INDEX('Semrush Data'!$A$1:$Z$20000,MATCH(A2717,'Semrush Data'!$A$1:$A$20000,0),MATCH("CPC*",'Semrush Data'!$A$1:$Z$1,0)),"")</f>
        <v/>
      </c>
      <c r="J2717" s="7" t="str">
        <f aca="false">IFERROR(INDEX('Semrush Data'!$A$1:$Z$20000,MATCH(A2717,'Semrush Data'!$A$1:$A$20000,0),MATCH("Intent",'Semrush Data'!$A$1:$Z$1,0)),"")</f>
        <v/>
      </c>
    </row>
    <row r="2718" customFormat="false" ht="15" hidden="false" customHeight="true" outlineLevel="0" collapsed="false">
      <c r="A2718" s="7" t="s">
        <v>7382</v>
      </c>
      <c r="B2718" s="7" t="s">
        <v>6820</v>
      </c>
      <c r="C2718" s="7" t="n">
        <v>3</v>
      </c>
      <c r="D2718" s="7" t="n">
        <v>28</v>
      </c>
      <c r="E2718" s="7" t="n">
        <v>1</v>
      </c>
      <c r="F2718" s="7" t="s">
        <v>4226</v>
      </c>
      <c r="G2718" s="12" t="str">
        <f aca="false">IFERROR(INDEX('Semrush Data'!$A$1:$Z$20000,MATCH(A2718,'Semrush Data'!$A$1:$A$20000,0),MATCH("Volume",'Semrush Data'!$A$1:$Z$1,0)),"")</f>
        <v/>
      </c>
      <c r="H2718" s="7" t="str">
        <f aca="false">IFERROR(INDEX('Semrush Data'!$A$1:$Z$20000,MATCH(A2718,'Semrush Data'!$A$1:$A$20000,0),MATCH("Keyword Difficulty*",'Semrush Data'!$A$1:$Z$1,0)),"")</f>
        <v/>
      </c>
      <c r="I2718" s="13" t="str">
        <f aca="false">IFERROR(INDEX('Semrush Data'!$A$1:$Z$20000,MATCH(A2718,'Semrush Data'!$A$1:$A$20000,0),MATCH("CPC*",'Semrush Data'!$A$1:$Z$1,0)),"")</f>
        <v/>
      </c>
      <c r="J2718" s="7" t="str">
        <f aca="false">IFERROR(INDEX('Semrush Data'!$A$1:$Z$20000,MATCH(A2718,'Semrush Data'!$A$1:$A$20000,0),MATCH("Intent",'Semrush Data'!$A$1:$Z$1,0)),"")</f>
        <v/>
      </c>
    </row>
    <row r="2719" customFormat="false" ht="15" hidden="false" customHeight="true" outlineLevel="0" collapsed="false">
      <c r="A2719" s="7" t="s">
        <v>7383</v>
      </c>
      <c r="B2719" s="7" t="s">
        <v>6820</v>
      </c>
      <c r="C2719" s="7" t="n">
        <v>3</v>
      </c>
      <c r="D2719" s="7" t="n">
        <v>28</v>
      </c>
      <c r="E2719" s="7" t="n">
        <v>1</v>
      </c>
      <c r="F2719" s="7" t="s">
        <v>4226</v>
      </c>
      <c r="G2719" s="12" t="str">
        <f aca="false">IFERROR(INDEX('Semrush Data'!$A$1:$Z$20000,MATCH(A2719,'Semrush Data'!$A$1:$A$20000,0),MATCH("Volume",'Semrush Data'!$A$1:$Z$1,0)),"")</f>
        <v/>
      </c>
      <c r="H2719" s="7" t="str">
        <f aca="false">IFERROR(INDEX('Semrush Data'!$A$1:$Z$20000,MATCH(A2719,'Semrush Data'!$A$1:$A$20000,0),MATCH("Keyword Difficulty*",'Semrush Data'!$A$1:$Z$1,0)),"")</f>
        <v/>
      </c>
      <c r="I2719" s="13" t="str">
        <f aca="false">IFERROR(INDEX('Semrush Data'!$A$1:$Z$20000,MATCH(A2719,'Semrush Data'!$A$1:$A$20000,0),MATCH("CPC*",'Semrush Data'!$A$1:$Z$1,0)),"")</f>
        <v/>
      </c>
      <c r="J2719" s="7" t="str">
        <f aca="false">IFERROR(INDEX('Semrush Data'!$A$1:$Z$20000,MATCH(A2719,'Semrush Data'!$A$1:$A$20000,0),MATCH("Intent",'Semrush Data'!$A$1:$Z$1,0)),"")</f>
        <v/>
      </c>
    </row>
    <row r="2720" customFormat="false" ht="15" hidden="false" customHeight="true" outlineLevel="0" collapsed="false">
      <c r="A2720" s="7" t="s">
        <v>7384</v>
      </c>
      <c r="B2720" s="7" t="s">
        <v>6820</v>
      </c>
      <c r="C2720" s="7" t="n">
        <v>3</v>
      </c>
      <c r="D2720" s="7" t="n">
        <v>28</v>
      </c>
      <c r="E2720" s="7" t="n">
        <v>1</v>
      </c>
      <c r="F2720" s="7" t="s">
        <v>4226</v>
      </c>
      <c r="G2720" s="12" t="str">
        <f aca="false">IFERROR(INDEX('Semrush Data'!$A$1:$Z$20000,MATCH(A2720,'Semrush Data'!$A$1:$A$20000,0),MATCH("Volume",'Semrush Data'!$A$1:$Z$1,0)),"")</f>
        <v/>
      </c>
      <c r="H2720" s="7" t="str">
        <f aca="false">IFERROR(INDEX('Semrush Data'!$A$1:$Z$20000,MATCH(A2720,'Semrush Data'!$A$1:$A$20000,0),MATCH("Keyword Difficulty*",'Semrush Data'!$A$1:$Z$1,0)),"")</f>
        <v/>
      </c>
      <c r="I2720" s="13" t="str">
        <f aca="false">IFERROR(INDEX('Semrush Data'!$A$1:$Z$20000,MATCH(A2720,'Semrush Data'!$A$1:$A$20000,0),MATCH("CPC*",'Semrush Data'!$A$1:$Z$1,0)),"")</f>
        <v/>
      </c>
      <c r="J2720" s="7" t="str">
        <f aca="false">IFERROR(INDEX('Semrush Data'!$A$1:$Z$20000,MATCH(A2720,'Semrush Data'!$A$1:$A$20000,0),MATCH("Intent",'Semrush Data'!$A$1:$Z$1,0)),"")</f>
        <v/>
      </c>
    </row>
    <row r="2721" customFormat="false" ht="15" hidden="false" customHeight="true" outlineLevel="0" collapsed="false">
      <c r="A2721" s="7" t="s">
        <v>7385</v>
      </c>
      <c r="B2721" s="7" t="s">
        <v>6820</v>
      </c>
      <c r="C2721" s="7" t="n">
        <v>3</v>
      </c>
      <c r="D2721" s="7" t="n">
        <v>28</v>
      </c>
      <c r="E2721" s="7" t="n">
        <v>1</v>
      </c>
      <c r="F2721" s="7" t="s">
        <v>4226</v>
      </c>
      <c r="G2721" s="12" t="str">
        <f aca="false">IFERROR(INDEX('Semrush Data'!$A$1:$Z$20000,MATCH(A2721,'Semrush Data'!$A$1:$A$20000,0),MATCH("Volume",'Semrush Data'!$A$1:$Z$1,0)),"")</f>
        <v/>
      </c>
      <c r="H2721" s="7" t="str">
        <f aca="false">IFERROR(INDEX('Semrush Data'!$A$1:$Z$20000,MATCH(A2721,'Semrush Data'!$A$1:$A$20000,0),MATCH("Keyword Difficulty*",'Semrush Data'!$A$1:$Z$1,0)),"")</f>
        <v/>
      </c>
      <c r="I2721" s="13" t="str">
        <f aca="false">IFERROR(INDEX('Semrush Data'!$A$1:$Z$20000,MATCH(A2721,'Semrush Data'!$A$1:$A$20000,0),MATCH("CPC*",'Semrush Data'!$A$1:$Z$1,0)),"")</f>
        <v/>
      </c>
      <c r="J2721" s="7" t="str">
        <f aca="false">IFERROR(INDEX('Semrush Data'!$A$1:$Z$20000,MATCH(A2721,'Semrush Data'!$A$1:$A$20000,0),MATCH("Intent",'Semrush Data'!$A$1:$Z$1,0)),"")</f>
        <v/>
      </c>
    </row>
    <row r="2722" customFormat="false" ht="15" hidden="false" customHeight="true" outlineLevel="0" collapsed="false">
      <c r="A2722" s="7" t="s">
        <v>7386</v>
      </c>
      <c r="B2722" s="7" t="s">
        <v>6820</v>
      </c>
      <c r="C2722" s="7" t="n">
        <v>3</v>
      </c>
      <c r="D2722" s="7" t="n">
        <v>28</v>
      </c>
      <c r="E2722" s="7" t="n">
        <v>1</v>
      </c>
      <c r="F2722" s="7" t="s">
        <v>4240</v>
      </c>
      <c r="G2722" s="12" t="str">
        <f aca="false">IFERROR(INDEX('Semrush Data'!$A$1:$Z$20000,MATCH(A2722,'Semrush Data'!$A$1:$A$20000,0),MATCH("Volume",'Semrush Data'!$A$1:$Z$1,0)),"")</f>
        <v/>
      </c>
      <c r="H2722" s="7" t="str">
        <f aca="false">IFERROR(INDEX('Semrush Data'!$A$1:$Z$20000,MATCH(A2722,'Semrush Data'!$A$1:$A$20000,0),MATCH("Keyword Difficulty*",'Semrush Data'!$A$1:$Z$1,0)),"")</f>
        <v/>
      </c>
      <c r="I2722" s="13" t="str">
        <f aca="false">IFERROR(INDEX('Semrush Data'!$A$1:$Z$20000,MATCH(A2722,'Semrush Data'!$A$1:$A$20000,0),MATCH("CPC*",'Semrush Data'!$A$1:$Z$1,0)),"")</f>
        <v/>
      </c>
      <c r="J2722" s="7" t="str">
        <f aca="false">IFERROR(INDEX('Semrush Data'!$A$1:$Z$20000,MATCH(A2722,'Semrush Data'!$A$1:$A$20000,0),MATCH("Intent",'Semrush Data'!$A$1:$Z$1,0)),"")</f>
        <v/>
      </c>
    </row>
    <row r="2723" customFormat="false" ht="15" hidden="false" customHeight="true" outlineLevel="0" collapsed="false">
      <c r="A2723" s="7" t="s">
        <v>7387</v>
      </c>
      <c r="B2723" s="7" t="s">
        <v>6820</v>
      </c>
      <c r="C2723" s="7" t="n">
        <v>3</v>
      </c>
      <c r="D2723" s="7" t="n">
        <v>28</v>
      </c>
      <c r="E2723" s="7" t="n">
        <v>1</v>
      </c>
      <c r="F2723" s="7" t="s">
        <v>4240</v>
      </c>
      <c r="G2723" s="12" t="str">
        <f aca="false">IFERROR(INDEX('Semrush Data'!$A$1:$Z$20000,MATCH(A2723,'Semrush Data'!$A$1:$A$20000,0),MATCH("Volume",'Semrush Data'!$A$1:$Z$1,0)),"")</f>
        <v/>
      </c>
      <c r="H2723" s="7" t="str">
        <f aca="false">IFERROR(INDEX('Semrush Data'!$A$1:$Z$20000,MATCH(A2723,'Semrush Data'!$A$1:$A$20000,0),MATCH("Keyword Difficulty*",'Semrush Data'!$A$1:$Z$1,0)),"")</f>
        <v/>
      </c>
      <c r="I2723" s="13" t="str">
        <f aca="false">IFERROR(INDEX('Semrush Data'!$A$1:$Z$20000,MATCH(A2723,'Semrush Data'!$A$1:$A$20000,0),MATCH("CPC*",'Semrush Data'!$A$1:$Z$1,0)),"")</f>
        <v/>
      </c>
      <c r="J2723" s="7" t="str">
        <f aca="false">IFERROR(INDEX('Semrush Data'!$A$1:$Z$20000,MATCH(A2723,'Semrush Data'!$A$1:$A$20000,0),MATCH("Intent",'Semrush Data'!$A$1:$Z$1,0)),"")</f>
        <v/>
      </c>
    </row>
    <row r="2724" customFormat="false" ht="15" hidden="false" customHeight="true" outlineLevel="0" collapsed="false">
      <c r="A2724" s="7" t="s">
        <v>7388</v>
      </c>
      <c r="B2724" s="7" t="s">
        <v>6820</v>
      </c>
      <c r="C2724" s="7" t="n">
        <v>3</v>
      </c>
      <c r="D2724" s="7" t="n">
        <v>28</v>
      </c>
      <c r="E2724" s="7" t="n">
        <v>1</v>
      </c>
      <c r="F2724" s="7" t="s">
        <v>4240</v>
      </c>
      <c r="G2724" s="12" t="str">
        <f aca="false">IFERROR(INDEX('Semrush Data'!$A$1:$Z$20000,MATCH(A2724,'Semrush Data'!$A$1:$A$20000,0),MATCH("Volume",'Semrush Data'!$A$1:$Z$1,0)),"")</f>
        <v/>
      </c>
      <c r="H2724" s="7" t="str">
        <f aca="false">IFERROR(INDEX('Semrush Data'!$A$1:$Z$20000,MATCH(A2724,'Semrush Data'!$A$1:$A$20000,0),MATCH("Keyword Difficulty*",'Semrush Data'!$A$1:$Z$1,0)),"")</f>
        <v/>
      </c>
      <c r="I2724" s="13" t="str">
        <f aca="false">IFERROR(INDEX('Semrush Data'!$A$1:$Z$20000,MATCH(A2724,'Semrush Data'!$A$1:$A$20000,0),MATCH("CPC*",'Semrush Data'!$A$1:$Z$1,0)),"")</f>
        <v/>
      </c>
      <c r="J2724" s="7" t="str">
        <f aca="false">IFERROR(INDEX('Semrush Data'!$A$1:$Z$20000,MATCH(A2724,'Semrush Data'!$A$1:$A$20000,0),MATCH("Intent",'Semrush Data'!$A$1:$Z$1,0)),"")</f>
        <v/>
      </c>
    </row>
    <row r="2725" customFormat="false" ht="15" hidden="false" customHeight="true" outlineLevel="0" collapsed="false">
      <c r="A2725" s="7" t="s">
        <v>7389</v>
      </c>
      <c r="B2725" s="7" t="s">
        <v>6820</v>
      </c>
      <c r="C2725" s="7" t="n">
        <v>3</v>
      </c>
      <c r="D2725" s="7" t="n">
        <v>28</v>
      </c>
      <c r="E2725" s="7" t="n">
        <v>1</v>
      </c>
      <c r="F2725" s="7" t="s">
        <v>4240</v>
      </c>
      <c r="G2725" s="12" t="str">
        <f aca="false">IFERROR(INDEX('Semrush Data'!$A$1:$Z$20000,MATCH(A2725,'Semrush Data'!$A$1:$A$20000,0),MATCH("Volume",'Semrush Data'!$A$1:$Z$1,0)),"")</f>
        <v/>
      </c>
      <c r="H2725" s="7" t="str">
        <f aca="false">IFERROR(INDEX('Semrush Data'!$A$1:$Z$20000,MATCH(A2725,'Semrush Data'!$A$1:$A$20000,0),MATCH("Keyword Difficulty*",'Semrush Data'!$A$1:$Z$1,0)),"")</f>
        <v/>
      </c>
      <c r="I2725" s="13" t="str">
        <f aca="false">IFERROR(INDEX('Semrush Data'!$A$1:$Z$20000,MATCH(A2725,'Semrush Data'!$A$1:$A$20000,0),MATCH("CPC*",'Semrush Data'!$A$1:$Z$1,0)),"")</f>
        <v/>
      </c>
      <c r="J2725" s="7" t="str">
        <f aca="false">IFERROR(INDEX('Semrush Data'!$A$1:$Z$20000,MATCH(A2725,'Semrush Data'!$A$1:$A$20000,0),MATCH("Intent",'Semrush Data'!$A$1:$Z$1,0)),"")</f>
        <v/>
      </c>
    </row>
    <row r="2726" customFormat="false" ht="15" hidden="false" customHeight="true" outlineLevel="0" collapsed="false">
      <c r="A2726" s="7" t="s">
        <v>7390</v>
      </c>
      <c r="B2726" s="7" t="s">
        <v>6820</v>
      </c>
      <c r="C2726" s="7" t="n">
        <v>3</v>
      </c>
      <c r="D2726" s="7" t="n">
        <v>28</v>
      </c>
      <c r="E2726" s="7" t="n">
        <v>1</v>
      </c>
      <c r="F2726" s="7" t="s">
        <v>4240</v>
      </c>
      <c r="G2726" s="12" t="str">
        <f aca="false">IFERROR(INDEX('Semrush Data'!$A$1:$Z$20000,MATCH(A2726,'Semrush Data'!$A$1:$A$20000,0),MATCH("Volume",'Semrush Data'!$A$1:$Z$1,0)),"")</f>
        <v/>
      </c>
      <c r="H2726" s="7" t="str">
        <f aca="false">IFERROR(INDEX('Semrush Data'!$A$1:$Z$20000,MATCH(A2726,'Semrush Data'!$A$1:$A$20000,0),MATCH("Keyword Difficulty*",'Semrush Data'!$A$1:$Z$1,0)),"")</f>
        <v/>
      </c>
      <c r="I2726" s="13" t="str">
        <f aca="false">IFERROR(INDEX('Semrush Data'!$A$1:$Z$20000,MATCH(A2726,'Semrush Data'!$A$1:$A$20000,0),MATCH("CPC*",'Semrush Data'!$A$1:$Z$1,0)),"")</f>
        <v/>
      </c>
      <c r="J2726" s="7" t="str">
        <f aca="false">IFERROR(INDEX('Semrush Data'!$A$1:$Z$20000,MATCH(A2726,'Semrush Data'!$A$1:$A$20000,0),MATCH("Intent",'Semrush Data'!$A$1:$Z$1,0)),"")</f>
        <v/>
      </c>
    </row>
    <row r="2727" customFormat="false" ht="15" hidden="false" customHeight="true" outlineLevel="0" collapsed="false">
      <c r="A2727" s="7" t="s">
        <v>7391</v>
      </c>
      <c r="B2727" s="7" t="s">
        <v>6820</v>
      </c>
      <c r="C2727" s="7" t="n">
        <v>3</v>
      </c>
      <c r="D2727" s="7" t="n">
        <v>28</v>
      </c>
      <c r="E2727" s="7" t="n">
        <v>1</v>
      </c>
      <c r="F2727" s="7" t="s">
        <v>4252</v>
      </c>
      <c r="G2727" s="12" t="str">
        <f aca="false">IFERROR(INDEX('Semrush Data'!$A$1:$Z$20000,MATCH(A2727,'Semrush Data'!$A$1:$A$20000,0),MATCH("Volume",'Semrush Data'!$A$1:$Z$1,0)),"")</f>
        <v/>
      </c>
      <c r="H2727" s="7" t="str">
        <f aca="false">IFERROR(INDEX('Semrush Data'!$A$1:$Z$20000,MATCH(A2727,'Semrush Data'!$A$1:$A$20000,0),MATCH("Keyword Difficulty*",'Semrush Data'!$A$1:$Z$1,0)),"")</f>
        <v/>
      </c>
      <c r="I2727" s="13" t="str">
        <f aca="false">IFERROR(INDEX('Semrush Data'!$A$1:$Z$20000,MATCH(A2727,'Semrush Data'!$A$1:$A$20000,0),MATCH("CPC*",'Semrush Data'!$A$1:$Z$1,0)),"")</f>
        <v/>
      </c>
      <c r="J2727" s="7" t="str">
        <f aca="false">IFERROR(INDEX('Semrush Data'!$A$1:$Z$20000,MATCH(A2727,'Semrush Data'!$A$1:$A$20000,0),MATCH("Intent",'Semrush Data'!$A$1:$Z$1,0)),"")</f>
        <v/>
      </c>
    </row>
    <row r="2728" customFormat="false" ht="15" hidden="false" customHeight="true" outlineLevel="0" collapsed="false">
      <c r="A2728" s="7" t="s">
        <v>7392</v>
      </c>
      <c r="B2728" s="7" t="s">
        <v>6820</v>
      </c>
      <c r="C2728" s="7" t="n">
        <v>3</v>
      </c>
      <c r="D2728" s="7" t="n">
        <v>28</v>
      </c>
      <c r="E2728" s="7" t="n">
        <v>1</v>
      </c>
      <c r="F2728" s="7" t="s">
        <v>4252</v>
      </c>
      <c r="G2728" s="12" t="str">
        <f aca="false">IFERROR(INDEX('Semrush Data'!$A$1:$Z$20000,MATCH(A2728,'Semrush Data'!$A$1:$A$20000,0),MATCH("Volume",'Semrush Data'!$A$1:$Z$1,0)),"")</f>
        <v/>
      </c>
      <c r="H2728" s="7" t="str">
        <f aca="false">IFERROR(INDEX('Semrush Data'!$A$1:$Z$20000,MATCH(A2728,'Semrush Data'!$A$1:$A$20000,0),MATCH("Keyword Difficulty*",'Semrush Data'!$A$1:$Z$1,0)),"")</f>
        <v/>
      </c>
      <c r="I2728" s="13" t="str">
        <f aca="false">IFERROR(INDEX('Semrush Data'!$A$1:$Z$20000,MATCH(A2728,'Semrush Data'!$A$1:$A$20000,0),MATCH("CPC*",'Semrush Data'!$A$1:$Z$1,0)),"")</f>
        <v/>
      </c>
      <c r="J2728" s="7" t="str">
        <f aca="false">IFERROR(INDEX('Semrush Data'!$A$1:$Z$20000,MATCH(A2728,'Semrush Data'!$A$1:$A$20000,0),MATCH("Intent",'Semrush Data'!$A$1:$Z$1,0)),"")</f>
        <v/>
      </c>
    </row>
    <row r="2729" customFormat="false" ht="15" hidden="false" customHeight="true" outlineLevel="0" collapsed="false">
      <c r="A2729" s="7" t="s">
        <v>7393</v>
      </c>
      <c r="B2729" s="7" t="s">
        <v>6820</v>
      </c>
      <c r="C2729" s="7" t="n">
        <v>3</v>
      </c>
      <c r="D2729" s="7" t="n">
        <v>28</v>
      </c>
      <c r="E2729" s="7" t="n">
        <v>1</v>
      </c>
      <c r="F2729" s="7" t="s">
        <v>4252</v>
      </c>
      <c r="G2729" s="12" t="str">
        <f aca="false">IFERROR(INDEX('Semrush Data'!$A$1:$Z$20000,MATCH(A2729,'Semrush Data'!$A$1:$A$20000,0),MATCH("Volume",'Semrush Data'!$A$1:$Z$1,0)),"")</f>
        <v/>
      </c>
      <c r="H2729" s="7" t="str">
        <f aca="false">IFERROR(INDEX('Semrush Data'!$A$1:$Z$20000,MATCH(A2729,'Semrush Data'!$A$1:$A$20000,0),MATCH("Keyword Difficulty*",'Semrush Data'!$A$1:$Z$1,0)),"")</f>
        <v/>
      </c>
      <c r="I2729" s="13" t="str">
        <f aca="false">IFERROR(INDEX('Semrush Data'!$A$1:$Z$20000,MATCH(A2729,'Semrush Data'!$A$1:$A$20000,0),MATCH("CPC*",'Semrush Data'!$A$1:$Z$1,0)),"")</f>
        <v/>
      </c>
      <c r="J2729" s="7" t="str">
        <f aca="false">IFERROR(INDEX('Semrush Data'!$A$1:$Z$20000,MATCH(A2729,'Semrush Data'!$A$1:$A$20000,0),MATCH("Intent",'Semrush Data'!$A$1:$Z$1,0)),"")</f>
        <v/>
      </c>
    </row>
    <row r="2730" customFormat="false" ht="15" hidden="false" customHeight="true" outlineLevel="0" collapsed="false">
      <c r="A2730" s="7" t="s">
        <v>7394</v>
      </c>
      <c r="B2730" s="7" t="s">
        <v>6820</v>
      </c>
      <c r="C2730" s="7" t="n">
        <v>3</v>
      </c>
      <c r="D2730" s="7" t="n">
        <v>28</v>
      </c>
      <c r="E2730" s="7" t="n">
        <v>1</v>
      </c>
      <c r="F2730" s="7" t="s">
        <v>4252</v>
      </c>
      <c r="G2730" s="12" t="str">
        <f aca="false">IFERROR(INDEX('Semrush Data'!$A$1:$Z$20000,MATCH(A2730,'Semrush Data'!$A$1:$A$20000,0),MATCH("Volume",'Semrush Data'!$A$1:$Z$1,0)),"")</f>
        <v/>
      </c>
      <c r="H2730" s="7" t="str">
        <f aca="false">IFERROR(INDEX('Semrush Data'!$A$1:$Z$20000,MATCH(A2730,'Semrush Data'!$A$1:$A$20000,0),MATCH("Keyword Difficulty*",'Semrush Data'!$A$1:$Z$1,0)),"")</f>
        <v/>
      </c>
      <c r="I2730" s="13" t="str">
        <f aca="false">IFERROR(INDEX('Semrush Data'!$A$1:$Z$20000,MATCH(A2730,'Semrush Data'!$A$1:$A$20000,0),MATCH("CPC*",'Semrush Data'!$A$1:$Z$1,0)),"")</f>
        <v/>
      </c>
      <c r="J2730" s="7" t="str">
        <f aca="false">IFERROR(INDEX('Semrush Data'!$A$1:$Z$20000,MATCH(A2730,'Semrush Data'!$A$1:$A$20000,0),MATCH("Intent",'Semrush Data'!$A$1:$Z$1,0)),"")</f>
        <v/>
      </c>
    </row>
    <row r="2731" customFormat="false" ht="15" hidden="false" customHeight="true" outlineLevel="0" collapsed="false">
      <c r="A2731" s="7" t="s">
        <v>7395</v>
      </c>
      <c r="B2731" s="7" t="s">
        <v>6820</v>
      </c>
      <c r="C2731" s="7" t="n">
        <v>3</v>
      </c>
      <c r="D2731" s="7" t="n">
        <v>28</v>
      </c>
      <c r="E2731" s="7" t="n">
        <v>1</v>
      </c>
      <c r="F2731" s="7" t="s">
        <v>4263</v>
      </c>
      <c r="G2731" s="12" t="str">
        <f aca="false">IFERROR(INDEX('Semrush Data'!$A$1:$Z$20000,MATCH(A2731,'Semrush Data'!$A$1:$A$20000,0),MATCH("Volume",'Semrush Data'!$A$1:$Z$1,0)),"")</f>
        <v/>
      </c>
      <c r="H2731" s="7" t="str">
        <f aca="false">IFERROR(INDEX('Semrush Data'!$A$1:$Z$20000,MATCH(A2731,'Semrush Data'!$A$1:$A$20000,0),MATCH("Keyword Difficulty*",'Semrush Data'!$A$1:$Z$1,0)),"")</f>
        <v/>
      </c>
      <c r="I2731" s="13" t="str">
        <f aca="false">IFERROR(INDEX('Semrush Data'!$A$1:$Z$20000,MATCH(A2731,'Semrush Data'!$A$1:$A$20000,0),MATCH("CPC*",'Semrush Data'!$A$1:$Z$1,0)),"")</f>
        <v/>
      </c>
      <c r="J2731" s="7" t="str">
        <f aca="false">IFERROR(INDEX('Semrush Data'!$A$1:$Z$20000,MATCH(A2731,'Semrush Data'!$A$1:$A$20000,0),MATCH("Intent",'Semrush Data'!$A$1:$Z$1,0)),"")</f>
        <v/>
      </c>
    </row>
    <row r="2732" customFormat="false" ht="15" hidden="false" customHeight="true" outlineLevel="0" collapsed="false">
      <c r="A2732" s="7" t="s">
        <v>7396</v>
      </c>
      <c r="B2732" s="7" t="s">
        <v>6820</v>
      </c>
      <c r="C2732" s="7" t="n">
        <v>3</v>
      </c>
      <c r="D2732" s="7" t="n">
        <v>28</v>
      </c>
      <c r="E2732" s="7" t="n">
        <v>1</v>
      </c>
      <c r="F2732" s="7" t="s">
        <v>4263</v>
      </c>
      <c r="G2732" s="12" t="str">
        <f aca="false">IFERROR(INDEX('Semrush Data'!$A$1:$Z$20000,MATCH(A2732,'Semrush Data'!$A$1:$A$20000,0),MATCH("Volume",'Semrush Data'!$A$1:$Z$1,0)),"")</f>
        <v/>
      </c>
      <c r="H2732" s="7" t="str">
        <f aca="false">IFERROR(INDEX('Semrush Data'!$A$1:$Z$20000,MATCH(A2732,'Semrush Data'!$A$1:$A$20000,0),MATCH("Keyword Difficulty*",'Semrush Data'!$A$1:$Z$1,0)),"")</f>
        <v/>
      </c>
      <c r="I2732" s="13" t="str">
        <f aca="false">IFERROR(INDEX('Semrush Data'!$A$1:$Z$20000,MATCH(A2732,'Semrush Data'!$A$1:$A$20000,0),MATCH("CPC*",'Semrush Data'!$A$1:$Z$1,0)),"")</f>
        <v/>
      </c>
      <c r="J2732" s="7" t="str">
        <f aca="false">IFERROR(INDEX('Semrush Data'!$A$1:$Z$20000,MATCH(A2732,'Semrush Data'!$A$1:$A$20000,0),MATCH("Intent",'Semrush Data'!$A$1:$Z$1,0)),"")</f>
        <v/>
      </c>
    </row>
    <row r="2733" customFormat="false" ht="15" hidden="false" customHeight="true" outlineLevel="0" collapsed="false">
      <c r="A2733" s="7" t="s">
        <v>7397</v>
      </c>
      <c r="B2733" s="7" t="s">
        <v>6820</v>
      </c>
      <c r="C2733" s="7" t="n">
        <v>3</v>
      </c>
      <c r="D2733" s="7" t="n">
        <v>28</v>
      </c>
      <c r="E2733" s="7" t="n">
        <v>1</v>
      </c>
      <c r="F2733" s="7" t="s">
        <v>4263</v>
      </c>
      <c r="G2733" s="12" t="str">
        <f aca="false">IFERROR(INDEX('Semrush Data'!$A$1:$Z$20000,MATCH(A2733,'Semrush Data'!$A$1:$A$20000,0),MATCH("Volume",'Semrush Data'!$A$1:$Z$1,0)),"")</f>
        <v/>
      </c>
      <c r="H2733" s="7" t="str">
        <f aca="false">IFERROR(INDEX('Semrush Data'!$A$1:$Z$20000,MATCH(A2733,'Semrush Data'!$A$1:$A$20000,0),MATCH("Keyword Difficulty*",'Semrush Data'!$A$1:$Z$1,0)),"")</f>
        <v/>
      </c>
      <c r="I2733" s="13" t="str">
        <f aca="false">IFERROR(INDEX('Semrush Data'!$A$1:$Z$20000,MATCH(A2733,'Semrush Data'!$A$1:$A$20000,0),MATCH("CPC*",'Semrush Data'!$A$1:$Z$1,0)),"")</f>
        <v/>
      </c>
      <c r="J2733" s="7" t="str">
        <f aca="false">IFERROR(INDEX('Semrush Data'!$A$1:$Z$20000,MATCH(A2733,'Semrush Data'!$A$1:$A$20000,0),MATCH("Intent",'Semrush Data'!$A$1:$Z$1,0)),"")</f>
        <v/>
      </c>
    </row>
    <row r="2734" customFormat="false" ht="15" hidden="false" customHeight="true" outlineLevel="0" collapsed="false">
      <c r="A2734" s="7" t="s">
        <v>7398</v>
      </c>
      <c r="B2734" s="7" t="s">
        <v>6820</v>
      </c>
      <c r="C2734" s="7" t="n">
        <v>3</v>
      </c>
      <c r="D2734" s="7" t="n">
        <v>28</v>
      </c>
      <c r="E2734" s="7" t="n">
        <v>1</v>
      </c>
      <c r="F2734" s="7" t="s">
        <v>4263</v>
      </c>
      <c r="G2734" s="12" t="str">
        <f aca="false">IFERROR(INDEX('Semrush Data'!$A$1:$Z$20000,MATCH(A2734,'Semrush Data'!$A$1:$A$20000,0),MATCH("Volume",'Semrush Data'!$A$1:$Z$1,0)),"")</f>
        <v/>
      </c>
      <c r="H2734" s="7" t="str">
        <f aca="false">IFERROR(INDEX('Semrush Data'!$A$1:$Z$20000,MATCH(A2734,'Semrush Data'!$A$1:$A$20000,0),MATCH("Keyword Difficulty*",'Semrush Data'!$A$1:$Z$1,0)),"")</f>
        <v/>
      </c>
      <c r="I2734" s="13" t="str">
        <f aca="false">IFERROR(INDEX('Semrush Data'!$A$1:$Z$20000,MATCH(A2734,'Semrush Data'!$A$1:$A$20000,0),MATCH("CPC*",'Semrush Data'!$A$1:$Z$1,0)),"")</f>
        <v/>
      </c>
      <c r="J2734" s="7" t="str">
        <f aca="false">IFERROR(INDEX('Semrush Data'!$A$1:$Z$20000,MATCH(A2734,'Semrush Data'!$A$1:$A$20000,0),MATCH("Intent",'Semrush Data'!$A$1:$Z$1,0)),"")</f>
        <v/>
      </c>
    </row>
    <row r="2735" customFormat="false" ht="15" hidden="false" customHeight="true" outlineLevel="0" collapsed="false">
      <c r="A2735" s="7" t="s">
        <v>7399</v>
      </c>
      <c r="B2735" s="7" t="s">
        <v>6820</v>
      </c>
      <c r="C2735" s="7" t="n">
        <v>3</v>
      </c>
      <c r="D2735" s="7" t="n">
        <v>28</v>
      </c>
      <c r="E2735" s="7" t="n">
        <v>1</v>
      </c>
      <c r="F2735" s="7" t="s">
        <v>4263</v>
      </c>
      <c r="G2735" s="12" t="str">
        <f aca="false">IFERROR(INDEX('Semrush Data'!$A$1:$Z$20000,MATCH(A2735,'Semrush Data'!$A$1:$A$20000,0),MATCH("Volume",'Semrush Data'!$A$1:$Z$1,0)),"")</f>
        <v/>
      </c>
      <c r="H2735" s="7" t="str">
        <f aca="false">IFERROR(INDEX('Semrush Data'!$A$1:$Z$20000,MATCH(A2735,'Semrush Data'!$A$1:$A$20000,0),MATCH("Keyword Difficulty*",'Semrush Data'!$A$1:$Z$1,0)),"")</f>
        <v/>
      </c>
      <c r="I2735" s="13" t="str">
        <f aca="false">IFERROR(INDEX('Semrush Data'!$A$1:$Z$20000,MATCH(A2735,'Semrush Data'!$A$1:$A$20000,0),MATCH("CPC*",'Semrush Data'!$A$1:$Z$1,0)),"")</f>
        <v/>
      </c>
      <c r="J2735" s="7" t="str">
        <f aca="false">IFERROR(INDEX('Semrush Data'!$A$1:$Z$20000,MATCH(A2735,'Semrush Data'!$A$1:$A$20000,0),MATCH("Intent",'Semrush Data'!$A$1:$Z$1,0)),"")</f>
        <v/>
      </c>
    </row>
    <row r="2736" customFormat="false" ht="15" hidden="false" customHeight="true" outlineLevel="0" collapsed="false">
      <c r="A2736" s="7" t="s">
        <v>7400</v>
      </c>
      <c r="B2736" s="7" t="s">
        <v>6820</v>
      </c>
      <c r="C2736" s="7" t="n">
        <v>3</v>
      </c>
      <c r="D2736" s="7" t="s">
        <v>6818</v>
      </c>
      <c r="E2736" s="7" t="n">
        <v>1</v>
      </c>
      <c r="F2736" s="7" t="s">
        <v>80</v>
      </c>
      <c r="G2736" s="12" t="str">
        <f aca="false">IFERROR(INDEX('Semrush Data'!$A$1:$Z$20000,MATCH(A2736,'Semrush Data'!$A$1:$A$20000,0),MATCH("Volume",'Semrush Data'!$A$1:$Z$1,0)),"")</f>
        <v/>
      </c>
      <c r="H2736" s="7" t="str">
        <f aca="false">IFERROR(INDEX('Semrush Data'!$A$1:$Z$20000,MATCH(A2736,'Semrush Data'!$A$1:$A$20000,0),MATCH("Keyword Difficulty*",'Semrush Data'!$A$1:$Z$1,0)),"")</f>
        <v/>
      </c>
      <c r="I2736" s="13" t="str">
        <f aca="false">IFERROR(INDEX('Semrush Data'!$A$1:$Z$20000,MATCH(A2736,'Semrush Data'!$A$1:$A$20000,0),MATCH("CPC*",'Semrush Data'!$A$1:$Z$1,0)),"")</f>
        <v/>
      </c>
      <c r="J2736" s="7" t="str">
        <f aca="false">IFERROR(INDEX('Semrush Data'!$A$1:$Z$20000,MATCH(A2736,'Semrush Data'!$A$1:$A$20000,0),MATCH("Intent",'Semrush Data'!$A$1:$Z$1,0)),"")</f>
        <v/>
      </c>
    </row>
    <row r="2737" customFormat="false" ht="15" hidden="false" customHeight="true" outlineLevel="0" collapsed="false">
      <c r="A2737" s="7" t="s">
        <v>7401</v>
      </c>
      <c r="B2737" s="7" t="s">
        <v>6820</v>
      </c>
      <c r="C2737" s="7" t="n">
        <v>3</v>
      </c>
      <c r="D2737" s="7" t="n">
        <v>28</v>
      </c>
      <c r="E2737" s="7" t="n">
        <v>1</v>
      </c>
      <c r="F2737" s="7" t="s">
        <v>80</v>
      </c>
      <c r="G2737" s="12" t="str">
        <f aca="false">IFERROR(INDEX('Semrush Data'!$A$1:$Z$20000,MATCH(A2737,'Semrush Data'!$A$1:$A$20000,0),MATCH("Volume",'Semrush Data'!$A$1:$Z$1,0)),"")</f>
        <v/>
      </c>
      <c r="H2737" s="7" t="str">
        <f aca="false">IFERROR(INDEX('Semrush Data'!$A$1:$Z$20000,MATCH(A2737,'Semrush Data'!$A$1:$A$20000,0),MATCH("Keyword Difficulty*",'Semrush Data'!$A$1:$Z$1,0)),"")</f>
        <v/>
      </c>
      <c r="I2737" s="13" t="str">
        <f aca="false">IFERROR(INDEX('Semrush Data'!$A$1:$Z$20000,MATCH(A2737,'Semrush Data'!$A$1:$A$20000,0),MATCH("CPC*",'Semrush Data'!$A$1:$Z$1,0)),"")</f>
        <v/>
      </c>
      <c r="J2737" s="7" t="str">
        <f aca="false">IFERROR(INDEX('Semrush Data'!$A$1:$Z$20000,MATCH(A2737,'Semrush Data'!$A$1:$A$20000,0),MATCH("Intent",'Semrush Data'!$A$1:$Z$1,0)),"")</f>
        <v/>
      </c>
    </row>
    <row r="2738" customFormat="false" ht="15" hidden="false" customHeight="true" outlineLevel="0" collapsed="false">
      <c r="A2738" s="7" t="s">
        <v>7402</v>
      </c>
      <c r="B2738" s="7" t="s">
        <v>6820</v>
      </c>
      <c r="C2738" s="7" t="n">
        <v>3</v>
      </c>
      <c r="D2738" s="7" t="n">
        <v>28</v>
      </c>
      <c r="E2738" s="7" t="n">
        <v>1</v>
      </c>
      <c r="F2738" s="7" t="s">
        <v>80</v>
      </c>
      <c r="G2738" s="12" t="str">
        <f aca="false">IFERROR(INDEX('Semrush Data'!$A$1:$Z$20000,MATCH(A2738,'Semrush Data'!$A$1:$A$20000,0),MATCH("Volume",'Semrush Data'!$A$1:$Z$1,0)),"")</f>
        <v/>
      </c>
      <c r="H2738" s="7" t="str">
        <f aca="false">IFERROR(INDEX('Semrush Data'!$A$1:$Z$20000,MATCH(A2738,'Semrush Data'!$A$1:$A$20000,0),MATCH("Keyword Difficulty*",'Semrush Data'!$A$1:$Z$1,0)),"")</f>
        <v/>
      </c>
      <c r="I2738" s="13" t="str">
        <f aca="false">IFERROR(INDEX('Semrush Data'!$A$1:$Z$20000,MATCH(A2738,'Semrush Data'!$A$1:$A$20000,0),MATCH("CPC*",'Semrush Data'!$A$1:$Z$1,0)),"")</f>
        <v/>
      </c>
      <c r="J2738" s="7" t="str">
        <f aca="false">IFERROR(INDEX('Semrush Data'!$A$1:$Z$20000,MATCH(A2738,'Semrush Data'!$A$1:$A$20000,0),MATCH("Intent",'Semrush Data'!$A$1:$Z$1,0)),"")</f>
        <v/>
      </c>
    </row>
    <row r="2739" customFormat="false" ht="15" hidden="false" customHeight="true" outlineLevel="0" collapsed="false">
      <c r="A2739" s="7" t="s">
        <v>7403</v>
      </c>
      <c r="B2739" s="7" t="s">
        <v>6820</v>
      </c>
      <c r="C2739" s="7" t="n">
        <v>3</v>
      </c>
      <c r="D2739" s="7" t="s">
        <v>6818</v>
      </c>
      <c r="E2739" s="7" t="n">
        <v>1</v>
      </c>
      <c r="F2739" s="7" t="s">
        <v>80</v>
      </c>
      <c r="G2739" s="12" t="str">
        <f aca="false">IFERROR(INDEX('Semrush Data'!$A$1:$Z$20000,MATCH(A2739,'Semrush Data'!$A$1:$A$20000,0),MATCH("Volume",'Semrush Data'!$A$1:$Z$1,0)),"")</f>
        <v/>
      </c>
      <c r="H2739" s="7" t="str">
        <f aca="false">IFERROR(INDEX('Semrush Data'!$A$1:$Z$20000,MATCH(A2739,'Semrush Data'!$A$1:$A$20000,0),MATCH("Keyword Difficulty*",'Semrush Data'!$A$1:$Z$1,0)),"")</f>
        <v/>
      </c>
      <c r="I2739" s="13" t="str">
        <f aca="false">IFERROR(INDEX('Semrush Data'!$A$1:$Z$20000,MATCH(A2739,'Semrush Data'!$A$1:$A$20000,0),MATCH("CPC*",'Semrush Data'!$A$1:$Z$1,0)),"")</f>
        <v/>
      </c>
      <c r="J2739" s="7" t="str">
        <f aca="false">IFERROR(INDEX('Semrush Data'!$A$1:$Z$20000,MATCH(A2739,'Semrush Data'!$A$1:$A$20000,0),MATCH("Intent",'Semrush Data'!$A$1:$Z$1,0)),"")</f>
        <v/>
      </c>
    </row>
    <row r="2740" customFormat="false" ht="15" hidden="false" customHeight="true" outlineLevel="0" collapsed="false">
      <c r="A2740" s="7" t="s">
        <v>7404</v>
      </c>
      <c r="B2740" s="7" t="s">
        <v>6820</v>
      </c>
      <c r="C2740" s="7" t="n">
        <v>3</v>
      </c>
      <c r="D2740" s="7" t="n">
        <v>28</v>
      </c>
      <c r="E2740" s="7" t="n">
        <v>1</v>
      </c>
      <c r="F2740" s="7" t="s">
        <v>4284</v>
      </c>
      <c r="G2740" s="12" t="str">
        <f aca="false">IFERROR(INDEX('Semrush Data'!$A$1:$Z$20000,MATCH(A2740,'Semrush Data'!$A$1:$A$20000,0),MATCH("Volume",'Semrush Data'!$A$1:$Z$1,0)),"")</f>
        <v/>
      </c>
      <c r="H2740" s="7" t="str">
        <f aca="false">IFERROR(INDEX('Semrush Data'!$A$1:$Z$20000,MATCH(A2740,'Semrush Data'!$A$1:$A$20000,0),MATCH("Keyword Difficulty*",'Semrush Data'!$A$1:$Z$1,0)),"")</f>
        <v/>
      </c>
      <c r="I2740" s="13" t="str">
        <f aca="false">IFERROR(INDEX('Semrush Data'!$A$1:$Z$20000,MATCH(A2740,'Semrush Data'!$A$1:$A$20000,0),MATCH("CPC*",'Semrush Data'!$A$1:$Z$1,0)),"")</f>
        <v/>
      </c>
      <c r="J2740" s="7" t="str">
        <f aca="false">IFERROR(INDEX('Semrush Data'!$A$1:$Z$20000,MATCH(A2740,'Semrush Data'!$A$1:$A$20000,0),MATCH("Intent",'Semrush Data'!$A$1:$Z$1,0)),"")</f>
        <v/>
      </c>
    </row>
    <row r="2741" customFormat="false" ht="15" hidden="false" customHeight="true" outlineLevel="0" collapsed="false">
      <c r="A2741" s="7" t="s">
        <v>7405</v>
      </c>
      <c r="B2741" s="7" t="s">
        <v>6820</v>
      </c>
      <c r="C2741" s="7" t="n">
        <v>3</v>
      </c>
      <c r="D2741" s="7" t="n">
        <v>28</v>
      </c>
      <c r="E2741" s="7" t="n">
        <v>1</v>
      </c>
      <c r="F2741" s="7" t="s">
        <v>4284</v>
      </c>
      <c r="G2741" s="12" t="str">
        <f aca="false">IFERROR(INDEX('Semrush Data'!$A$1:$Z$20000,MATCH(A2741,'Semrush Data'!$A$1:$A$20000,0),MATCH("Volume",'Semrush Data'!$A$1:$Z$1,0)),"")</f>
        <v/>
      </c>
      <c r="H2741" s="7" t="str">
        <f aca="false">IFERROR(INDEX('Semrush Data'!$A$1:$Z$20000,MATCH(A2741,'Semrush Data'!$A$1:$A$20000,0),MATCH("Keyword Difficulty*",'Semrush Data'!$A$1:$Z$1,0)),"")</f>
        <v/>
      </c>
      <c r="I2741" s="13" t="str">
        <f aca="false">IFERROR(INDEX('Semrush Data'!$A$1:$Z$20000,MATCH(A2741,'Semrush Data'!$A$1:$A$20000,0),MATCH("CPC*",'Semrush Data'!$A$1:$Z$1,0)),"")</f>
        <v/>
      </c>
      <c r="J2741" s="7" t="str">
        <f aca="false">IFERROR(INDEX('Semrush Data'!$A$1:$Z$20000,MATCH(A2741,'Semrush Data'!$A$1:$A$20000,0),MATCH("Intent",'Semrush Data'!$A$1:$Z$1,0)),"")</f>
        <v/>
      </c>
    </row>
    <row r="2742" customFormat="false" ht="15" hidden="false" customHeight="true" outlineLevel="0" collapsed="false">
      <c r="A2742" s="7" t="s">
        <v>7406</v>
      </c>
      <c r="B2742" s="7" t="s">
        <v>6820</v>
      </c>
      <c r="C2742" s="7" t="n">
        <v>3</v>
      </c>
      <c r="D2742" s="7" t="n">
        <v>28</v>
      </c>
      <c r="E2742" s="7" t="n">
        <v>1</v>
      </c>
      <c r="F2742" s="7" t="s">
        <v>4284</v>
      </c>
      <c r="G2742" s="12" t="str">
        <f aca="false">IFERROR(INDEX('Semrush Data'!$A$1:$Z$20000,MATCH(A2742,'Semrush Data'!$A$1:$A$20000,0),MATCH("Volume",'Semrush Data'!$A$1:$Z$1,0)),"")</f>
        <v/>
      </c>
      <c r="H2742" s="7" t="str">
        <f aca="false">IFERROR(INDEX('Semrush Data'!$A$1:$Z$20000,MATCH(A2742,'Semrush Data'!$A$1:$A$20000,0),MATCH("Keyword Difficulty*",'Semrush Data'!$A$1:$Z$1,0)),"")</f>
        <v/>
      </c>
      <c r="I2742" s="13" t="str">
        <f aca="false">IFERROR(INDEX('Semrush Data'!$A$1:$Z$20000,MATCH(A2742,'Semrush Data'!$A$1:$A$20000,0),MATCH("CPC*",'Semrush Data'!$A$1:$Z$1,0)),"")</f>
        <v/>
      </c>
      <c r="J2742" s="7" t="str">
        <f aca="false">IFERROR(INDEX('Semrush Data'!$A$1:$Z$20000,MATCH(A2742,'Semrush Data'!$A$1:$A$20000,0),MATCH("Intent",'Semrush Data'!$A$1:$Z$1,0)),"")</f>
        <v/>
      </c>
    </row>
    <row r="2743" customFormat="false" ht="15" hidden="false" customHeight="true" outlineLevel="0" collapsed="false">
      <c r="A2743" s="7" t="s">
        <v>7407</v>
      </c>
      <c r="B2743" s="7" t="s">
        <v>6820</v>
      </c>
      <c r="C2743" s="7" t="n">
        <v>3</v>
      </c>
      <c r="D2743" s="7" t="n">
        <v>28</v>
      </c>
      <c r="E2743" s="7" t="n">
        <v>1</v>
      </c>
      <c r="F2743" s="7" t="s">
        <v>4295</v>
      </c>
      <c r="G2743" s="12" t="str">
        <f aca="false">IFERROR(INDEX('Semrush Data'!$A$1:$Z$20000,MATCH(A2743,'Semrush Data'!$A$1:$A$20000,0),MATCH("Volume",'Semrush Data'!$A$1:$Z$1,0)),"")</f>
        <v/>
      </c>
      <c r="H2743" s="7" t="str">
        <f aca="false">IFERROR(INDEX('Semrush Data'!$A$1:$Z$20000,MATCH(A2743,'Semrush Data'!$A$1:$A$20000,0),MATCH("Keyword Difficulty*",'Semrush Data'!$A$1:$Z$1,0)),"")</f>
        <v/>
      </c>
      <c r="I2743" s="13" t="str">
        <f aca="false">IFERROR(INDEX('Semrush Data'!$A$1:$Z$20000,MATCH(A2743,'Semrush Data'!$A$1:$A$20000,0),MATCH("CPC*",'Semrush Data'!$A$1:$Z$1,0)),"")</f>
        <v/>
      </c>
      <c r="J2743" s="7" t="str">
        <f aca="false">IFERROR(INDEX('Semrush Data'!$A$1:$Z$20000,MATCH(A2743,'Semrush Data'!$A$1:$A$20000,0),MATCH("Intent",'Semrush Data'!$A$1:$Z$1,0)),"")</f>
        <v/>
      </c>
    </row>
    <row r="2744" customFormat="false" ht="15" hidden="false" customHeight="true" outlineLevel="0" collapsed="false">
      <c r="A2744" s="7" t="s">
        <v>7408</v>
      </c>
      <c r="B2744" s="7" t="s">
        <v>6820</v>
      </c>
      <c r="C2744" s="7" t="n">
        <v>3</v>
      </c>
      <c r="D2744" s="7" t="n">
        <v>28</v>
      </c>
      <c r="E2744" s="7" t="n">
        <v>1</v>
      </c>
      <c r="F2744" s="7" t="s">
        <v>4295</v>
      </c>
      <c r="G2744" s="12" t="str">
        <f aca="false">IFERROR(INDEX('Semrush Data'!$A$1:$Z$20000,MATCH(A2744,'Semrush Data'!$A$1:$A$20000,0),MATCH("Volume",'Semrush Data'!$A$1:$Z$1,0)),"")</f>
        <v/>
      </c>
      <c r="H2744" s="7" t="str">
        <f aca="false">IFERROR(INDEX('Semrush Data'!$A$1:$Z$20000,MATCH(A2744,'Semrush Data'!$A$1:$A$20000,0),MATCH("Keyword Difficulty*",'Semrush Data'!$A$1:$Z$1,0)),"")</f>
        <v/>
      </c>
      <c r="I2744" s="13" t="str">
        <f aca="false">IFERROR(INDEX('Semrush Data'!$A$1:$Z$20000,MATCH(A2744,'Semrush Data'!$A$1:$A$20000,0),MATCH("CPC*",'Semrush Data'!$A$1:$Z$1,0)),"")</f>
        <v/>
      </c>
      <c r="J2744" s="7" t="str">
        <f aca="false">IFERROR(INDEX('Semrush Data'!$A$1:$Z$20000,MATCH(A2744,'Semrush Data'!$A$1:$A$20000,0),MATCH("Intent",'Semrush Data'!$A$1:$Z$1,0)),"")</f>
        <v/>
      </c>
    </row>
    <row r="2745" customFormat="false" ht="15" hidden="false" customHeight="true" outlineLevel="0" collapsed="false">
      <c r="A2745" s="7" t="s">
        <v>7409</v>
      </c>
      <c r="B2745" s="7" t="s">
        <v>6820</v>
      </c>
      <c r="C2745" s="7" t="n">
        <v>3</v>
      </c>
      <c r="D2745" s="7" t="n">
        <v>28</v>
      </c>
      <c r="E2745" s="7" t="n">
        <v>1</v>
      </c>
      <c r="F2745" s="7" t="s">
        <v>4295</v>
      </c>
      <c r="G2745" s="12" t="str">
        <f aca="false">IFERROR(INDEX('Semrush Data'!$A$1:$Z$20000,MATCH(A2745,'Semrush Data'!$A$1:$A$20000,0),MATCH("Volume",'Semrush Data'!$A$1:$Z$1,0)),"")</f>
        <v/>
      </c>
      <c r="H2745" s="7" t="str">
        <f aca="false">IFERROR(INDEX('Semrush Data'!$A$1:$Z$20000,MATCH(A2745,'Semrush Data'!$A$1:$A$20000,0),MATCH("Keyword Difficulty*",'Semrush Data'!$A$1:$Z$1,0)),"")</f>
        <v/>
      </c>
      <c r="I2745" s="13" t="str">
        <f aca="false">IFERROR(INDEX('Semrush Data'!$A$1:$Z$20000,MATCH(A2745,'Semrush Data'!$A$1:$A$20000,0),MATCH("CPC*",'Semrush Data'!$A$1:$Z$1,0)),"")</f>
        <v/>
      </c>
      <c r="J2745" s="7" t="str">
        <f aca="false">IFERROR(INDEX('Semrush Data'!$A$1:$Z$20000,MATCH(A2745,'Semrush Data'!$A$1:$A$20000,0),MATCH("Intent",'Semrush Data'!$A$1:$Z$1,0)),"")</f>
        <v/>
      </c>
    </row>
    <row r="2746" customFormat="false" ht="15" hidden="false" customHeight="true" outlineLevel="0" collapsed="false">
      <c r="A2746" s="7" t="s">
        <v>7410</v>
      </c>
      <c r="B2746" s="7" t="s">
        <v>6820</v>
      </c>
      <c r="C2746" s="7" t="n">
        <v>3</v>
      </c>
      <c r="D2746" s="7" t="n">
        <v>28</v>
      </c>
      <c r="E2746" s="7" t="n">
        <v>1</v>
      </c>
      <c r="F2746" s="7" t="s">
        <v>4306</v>
      </c>
      <c r="G2746" s="12" t="str">
        <f aca="false">IFERROR(INDEX('Semrush Data'!$A$1:$Z$20000,MATCH(A2746,'Semrush Data'!$A$1:$A$20000,0),MATCH("Volume",'Semrush Data'!$A$1:$Z$1,0)),"")</f>
        <v/>
      </c>
      <c r="H2746" s="7" t="str">
        <f aca="false">IFERROR(INDEX('Semrush Data'!$A$1:$Z$20000,MATCH(A2746,'Semrush Data'!$A$1:$A$20000,0),MATCH("Keyword Difficulty*",'Semrush Data'!$A$1:$Z$1,0)),"")</f>
        <v/>
      </c>
      <c r="I2746" s="13" t="str">
        <f aca="false">IFERROR(INDEX('Semrush Data'!$A$1:$Z$20000,MATCH(A2746,'Semrush Data'!$A$1:$A$20000,0),MATCH("CPC*",'Semrush Data'!$A$1:$Z$1,0)),"")</f>
        <v/>
      </c>
      <c r="J2746" s="7" t="str">
        <f aca="false">IFERROR(INDEX('Semrush Data'!$A$1:$Z$20000,MATCH(A2746,'Semrush Data'!$A$1:$A$20000,0),MATCH("Intent",'Semrush Data'!$A$1:$Z$1,0)),"")</f>
        <v/>
      </c>
    </row>
    <row r="2747" customFormat="false" ht="15" hidden="false" customHeight="true" outlineLevel="0" collapsed="false">
      <c r="A2747" s="7" t="s">
        <v>7411</v>
      </c>
      <c r="B2747" s="7" t="s">
        <v>6820</v>
      </c>
      <c r="C2747" s="7" t="n">
        <v>3</v>
      </c>
      <c r="D2747" s="7" t="n">
        <v>28</v>
      </c>
      <c r="E2747" s="7" t="n">
        <v>1</v>
      </c>
      <c r="F2747" s="7" t="s">
        <v>4306</v>
      </c>
      <c r="G2747" s="12" t="str">
        <f aca="false">IFERROR(INDEX('Semrush Data'!$A$1:$Z$20000,MATCH(A2747,'Semrush Data'!$A$1:$A$20000,0),MATCH("Volume",'Semrush Data'!$A$1:$Z$1,0)),"")</f>
        <v/>
      </c>
      <c r="H2747" s="7" t="str">
        <f aca="false">IFERROR(INDEX('Semrush Data'!$A$1:$Z$20000,MATCH(A2747,'Semrush Data'!$A$1:$A$20000,0),MATCH("Keyword Difficulty*",'Semrush Data'!$A$1:$Z$1,0)),"")</f>
        <v/>
      </c>
      <c r="I2747" s="13" t="str">
        <f aca="false">IFERROR(INDEX('Semrush Data'!$A$1:$Z$20000,MATCH(A2747,'Semrush Data'!$A$1:$A$20000,0),MATCH("CPC*",'Semrush Data'!$A$1:$Z$1,0)),"")</f>
        <v/>
      </c>
      <c r="J2747" s="7" t="str">
        <f aca="false">IFERROR(INDEX('Semrush Data'!$A$1:$Z$20000,MATCH(A2747,'Semrush Data'!$A$1:$A$20000,0),MATCH("Intent",'Semrush Data'!$A$1:$Z$1,0)),"")</f>
        <v/>
      </c>
    </row>
    <row r="2748" customFormat="false" ht="15" hidden="false" customHeight="true" outlineLevel="0" collapsed="false">
      <c r="A2748" s="7" t="s">
        <v>7412</v>
      </c>
      <c r="B2748" s="7" t="s">
        <v>6820</v>
      </c>
      <c r="C2748" s="7" t="n">
        <v>3</v>
      </c>
      <c r="D2748" s="7" t="n">
        <v>28</v>
      </c>
      <c r="E2748" s="7" t="n">
        <v>1</v>
      </c>
      <c r="F2748" s="7" t="s">
        <v>4306</v>
      </c>
      <c r="G2748" s="12" t="str">
        <f aca="false">IFERROR(INDEX('Semrush Data'!$A$1:$Z$20000,MATCH(A2748,'Semrush Data'!$A$1:$A$20000,0),MATCH("Volume",'Semrush Data'!$A$1:$Z$1,0)),"")</f>
        <v/>
      </c>
      <c r="H2748" s="7" t="str">
        <f aca="false">IFERROR(INDEX('Semrush Data'!$A$1:$Z$20000,MATCH(A2748,'Semrush Data'!$A$1:$A$20000,0),MATCH("Keyword Difficulty*",'Semrush Data'!$A$1:$Z$1,0)),"")</f>
        <v/>
      </c>
      <c r="I2748" s="13" t="str">
        <f aca="false">IFERROR(INDEX('Semrush Data'!$A$1:$Z$20000,MATCH(A2748,'Semrush Data'!$A$1:$A$20000,0),MATCH("CPC*",'Semrush Data'!$A$1:$Z$1,0)),"")</f>
        <v/>
      </c>
      <c r="J2748" s="7" t="str">
        <f aca="false">IFERROR(INDEX('Semrush Data'!$A$1:$Z$20000,MATCH(A2748,'Semrush Data'!$A$1:$A$20000,0),MATCH("Intent",'Semrush Data'!$A$1:$Z$1,0)),"")</f>
        <v/>
      </c>
    </row>
    <row r="2749" customFormat="false" ht="15" hidden="false" customHeight="true" outlineLevel="0" collapsed="false">
      <c r="A2749" s="7" t="s">
        <v>7413</v>
      </c>
      <c r="B2749" s="7" t="s">
        <v>6820</v>
      </c>
      <c r="C2749" s="7" t="n">
        <v>3</v>
      </c>
      <c r="D2749" s="7" t="n">
        <v>28</v>
      </c>
      <c r="E2749" s="7" t="n">
        <v>1</v>
      </c>
      <c r="F2749" s="7" t="s">
        <v>4306</v>
      </c>
      <c r="G2749" s="12" t="str">
        <f aca="false">IFERROR(INDEX('Semrush Data'!$A$1:$Z$20000,MATCH(A2749,'Semrush Data'!$A$1:$A$20000,0),MATCH("Volume",'Semrush Data'!$A$1:$Z$1,0)),"")</f>
        <v/>
      </c>
      <c r="H2749" s="7" t="str">
        <f aca="false">IFERROR(INDEX('Semrush Data'!$A$1:$Z$20000,MATCH(A2749,'Semrush Data'!$A$1:$A$20000,0),MATCH("Keyword Difficulty*",'Semrush Data'!$A$1:$Z$1,0)),"")</f>
        <v/>
      </c>
      <c r="I2749" s="13" t="str">
        <f aca="false">IFERROR(INDEX('Semrush Data'!$A$1:$Z$20000,MATCH(A2749,'Semrush Data'!$A$1:$A$20000,0),MATCH("CPC*",'Semrush Data'!$A$1:$Z$1,0)),"")</f>
        <v/>
      </c>
      <c r="J2749" s="7" t="str">
        <f aca="false">IFERROR(INDEX('Semrush Data'!$A$1:$Z$20000,MATCH(A2749,'Semrush Data'!$A$1:$A$20000,0),MATCH("Intent",'Semrush Data'!$A$1:$Z$1,0)),"")</f>
        <v/>
      </c>
    </row>
    <row r="2750" customFormat="false" ht="15" hidden="false" customHeight="true" outlineLevel="0" collapsed="false">
      <c r="A2750" s="7" t="s">
        <v>7414</v>
      </c>
      <c r="B2750" s="7" t="s">
        <v>6820</v>
      </c>
      <c r="C2750" s="7" t="n">
        <v>3</v>
      </c>
      <c r="D2750" s="7" t="n">
        <v>28</v>
      </c>
      <c r="E2750" s="7" t="n">
        <v>1</v>
      </c>
      <c r="F2750" s="7" t="s">
        <v>4306</v>
      </c>
      <c r="G2750" s="12" t="str">
        <f aca="false">IFERROR(INDEX('Semrush Data'!$A$1:$Z$20000,MATCH(A2750,'Semrush Data'!$A$1:$A$20000,0),MATCH("Volume",'Semrush Data'!$A$1:$Z$1,0)),"")</f>
        <v/>
      </c>
      <c r="H2750" s="7" t="str">
        <f aca="false">IFERROR(INDEX('Semrush Data'!$A$1:$Z$20000,MATCH(A2750,'Semrush Data'!$A$1:$A$20000,0),MATCH("Keyword Difficulty*",'Semrush Data'!$A$1:$Z$1,0)),"")</f>
        <v/>
      </c>
      <c r="I2750" s="13" t="str">
        <f aca="false">IFERROR(INDEX('Semrush Data'!$A$1:$Z$20000,MATCH(A2750,'Semrush Data'!$A$1:$A$20000,0),MATCH("CPC*",'Semrush Data'!$A$1:$Z$1,0)),"")</f>
        <v/>
      </c>
      <c r="J2750" s="7" t="str">
        <f aca="false">IFERROR(INDEX('Semrush Data'!$A$1:$Z$20000,MATCH(A2750,'Semrush Data'!$A$1:$A$20000,0),MATCH("Intent",'Semrush Data'!$A$1:$Z$1,0)),"")</f>
        <v/>
      </c>
    </row>
    <row r="2751" customFormat="false" ht="15" hidden="false" customHeight="true" outlineLevel="0" collapsed="false">
      <c r="A2751" s="7" t="s">
        <v>7415</v>
      </c>
      <c r="B2751" s="7" t="s">
        <v>6820</v>
      </c>
      <c r="C2751" s="7" t="n">
        <v>3</v>
      </c>
      <c r="D2751" s="7" t="n">
        <v>28</v>
      </c>
      <c r="E2751" s="7" t="n">
        <v>1</v>
      </c>
      <c r="F2751" s="7" t="s">
        <v>4317</v>
      </c>
      <c r="G2751" s="12" t="str">
        <f aca="false">IFERROR(INDEX('Semrush Data'!$A$1:$Z$20000,MATCH(A2751,'Semrush Data'!$A$1:$A$20000,0),MATCH("Volume",'Semrush Data'!$A$1:$Z$1,0)),"")</f>
        <v/>
      </c>
      <c r="H2751" s="7" t="str">
        <f aca="false">IFERROR(INDEX('Semrush Data'!$A$1:$Z$20000,MATCH(A2751,'Semrush Data'!$A$1:$A$20000,0),MATCH("Keyword Difficulty*",'Semrush Data'!$A$1:$Z$1,0)),"")</f>
        <v/>
      </c>
      <c r="I2751" s="13" t="str">
        <f aca="false">IFERROR(INDEX('Semrush Data'!$A$1:$Z$20000,MATCH(A2751,'Semrush Data'!$A$1:$A$20000,0),MATCH("CPC*",'Semrush Data'!$A$1:$Z$1,0)),"")</f>
        <v/>
      </c>
      <c r="J2751" s="7" t="str">
        <f aca="false">IFERROR(INDEX('Semrush Data'!$A$1:$Z$20000,MATCH(A2751,'Semrush Data'!$A$1:$A$20000,0),MATCH("Intent",'Semrush Data'!$A$1:$Z$1,0)),"")</f>
        <v/>
      </c>
    </row>
    <row r="2752" customFormat="false" ht="15" hidden="false" customHeight="true" outlineLevel="0" collapsed="false">
      <c r="A2752" s="7" t="s">
        <v>7416</v>
      </c>
      <c r="B2752" s="7" t="s">
        <v>6820</v>
      </c>
      <c r="C2752" s="7" t="n">
        <v>3</v>
      </c>
      <c r="D2752" s="7" t="n">
        <v>28</v>
      </c>
      <c r="E2752" s="7" t="n">
        <v>1</v>
      </c>
      <c r="F2752" s="7" t="s">
        <v>4317</v>
      </c>
      <c r="G2752" s="12" t="str">
        <f aca="false">IFERROR(INDEX('Semrush Data'!$A$1:$Z$20000,MATCH(A2752,'Semrush Data'!$A$1:$A$20000,0),MATCH("Volume",'Semrush Data'!$A$1:$Z$1,0)),"")</f>
        <v/>
      </c>
      <c r="H2752" s="7" t="str">
        <f aca="false">IFERROR(INDEX('Semrush Data'!$A$1:$Z$20000,MATCH(A2752,'Semrush Data'!$A$1:$A$20000,0),MATCH("Keyword Difficulty*",'Semrush Data'!$A$1:$Z$1,0)),"")</f>
        <v/>
      </c>
      <c r="I2752" s="13" t="str">
        <f aca="false">IFERROR(INDEX('Semrush Data'!$A$1:$Z$20000,MATCH(A2752,'Semrush Data'!$A$1:$A$20000,0),MATCH("CPC*",'Semrush Data'!$A$1:$Z$1,0)),"")</f>
        <v/>
      </c>
      <c r="J2752" s="7" t="str">
        <f aca="false">IFERROR(INDEX('Semrush Data'!$A$1:$Z$20000,MATCH(A2752,'Semrush Data'!$A$1:$A$20000,0),MATCH("Intent",'Semrush Data'!$A$1:$Z$1,0)),"")</f>
        <v/>
      </c>
    </row>
    <row r="2753" customFormat="false" ht="15" hidden="false" customHeight="true" outlineLevel="0" collapsed="false">
      <c r="A2753" s="7" t="s">
        <v>7417</v>
      </c>
      <c r="B2753" s="7" t="s">
        <v>6820</v>
      </c>
      <c r="C2753" s="7" t="n">
        <v>3</v>
      </c>
      <c r="D2753" s="7" t="n">
        <v>28</v>
      </c>
      <c r="E2753" s="7" t="n">
        <v>1</v>
      </c>
      <c r="F2753" s="7" t="s">
        <v>4317</v>
      </c>
      <c r="G2753" s="12" t="str">
        <f aca="false">IFERROR(INDEX('Semrush Data'!$A$1:$Z$20000,MATCH(A2753,'Semrush Data'!$A$1:$A$20000,0),MATCH("Volume",'Semrush Data'!$A$1:$Z$1,0)),"")</f>
        <v/>
      </c>
      <c r="H2753" s="7" t="str">
        <f aca="false">IFERROR(INDEX('Semrush Data'!$A$1:$Z$20000,MATCH(A2753,'Semrush Data'!$A$1:$A$20000,0),MATCH("Keyword Difficulty*",'Semrush Data'!$A$1:$Z$1,0)),"")</f>
        <v/>
      </c>
      <c r="I2753" s="13" t="str">
        <f aca="false">IFERROR(INDEX('Semrush Data'!$A$1:$Z$20000,MATCH(A2753,'Semrush Data'!$A$1:$A$20000,0),MATCH("CPC*",'Semrush Data'!$A$1:$Z$1,0)),"")</f>
        <v/>
      </c>
      <c r="J2753" s="7" t="str">
        <f aca="false">IFERROR(INDEX('Semrush Data'!$A$1:$Z$20000,MATCH(A2753,'Semrush Data'!$A$1:$A$20000,0),MATCH("Intent",'Semrush Data'!$A$1:$Z$1,0)),"")</f>
        <v/>
      </c>
    </row>
    <row r="2754" customFormat="false" ht="15" hidden="false" customHeight="true" outlineLevel="0" collapsed="false">
      <c r="A2754" s="7" t="s">
        <v>7418</v>
      </c>
      <c r="B2754" s="7" t="s">
        <v>6820</v>
      </c>
      <c r="C2754" s="7" t="n">
        <v>3</v>
      </c>
      <c r="D2754" s="7" t="n">
        <v>28</v>
      </c>
      <c r="E2754" s="7" t="n">
        <v>1</v>
      </c>
      <c r="F2754" s="7" t="s">
        <v>4317</v>
      </c>
      <c r="G2754" s="12" t="str">
        <f aca="false">IFERROR(INDEX('Semrush Data'!$A$1:$Z$20000,MATCH(A2754,'Semrush Data'!$A$1:$A$20000,0),MATCH("Volume",'Semrush Data'!$A$1:$Z$1,0)),"")</f>
        <v/>
      </c>
      <c r="H2754" s="7" t="str">
        <f aca="false">IFERROR(INDEX('Semrush Data'!$A$1:$Z$20000,MATCH(A2754,'Semrush Data'!$A$1:$A$20000,0),MATCH("Keyword Difficulty*",'Semrush Data'!$A$1:$Z$1,0)),"")</f>
        <v/>
      </c>
      <c r="I2754" s="13" t="str">
        <f aca="false">IFERROR(INDEX('Semrush Data'!$A$1:$Z$20000,MATCH(A2754,'Semrush Data'!$A$1:$A$20000,0),MATCH("CPC*",'Semrush Data'!$A$1:$Z$1,0)),"")</f>
        <v/>
      </c>
      <c r="J2754" s="7" t="str">
        <f aca="false">IFERROR(INDEX('Semrush Data'!$A$1:$Z$20000,MATCH(A2754,'Semrush Data'!$A$1:$A$20000,0),MATCH("Intent",'Semrush Data'!$A$1:$Z$1,0)),"")</f>
        <v/>
      </c>
    </row>
    <row r="2755" customFormat="false" ht="15" hidden="false" customHeight="true" outlineLevel="0" collapsed="false">
      <c r="A2755" s="7" t="s">
        <v>7419</v>
      </c>
      <c r="B2755" s="7" t="s">
        <v>6820</v>
      </c>
      <c r="C2755" s="7" t="n">
        <v>3</v>
      </c>
      <c r="D2755" s="7" t="n">
        <v>28</v>
      </c>
      <c r="E2755" s="7" t="n">
        <v>1</v>
      </c>
      <c r="F2755" s="7" t="s">
        <v>4328</v>
      </c>
      <c r="G2755" s="12" t="str">
        <f aca="false">IFERROR(INDEX('Semrush Data'!$A$1:$Z$20000,MATCH(A2755,'Semrush Data'!$A$1:$A$20000,0),MATCH("Volume",'Semrush Data'!$A$1:$Z$1,0)),"")</f>
        <v/>
      </c>
      <c r="H2755" s="7" t="str">
        <f aca="false">IFERROR(INDEX('Semrush Data'!$A$1:$Z$20000,MATCH(A2755,'Semrush Data'!$A$1:$A$20000,0),MATCH("Keyword Difficulty*",'Semrush Data'!$A$1:$Z$1,0)),"")</f>
        <v/>
      </c>
      <c r="I2755" s="13" t="str">
        <f aca="false">IFERROR(INDEX('Semrush Data'!$A$1:$Z$20000,MATCH(A2755,'Semrush Data'!$A$1:$A$20000,0),MATCH("CPC*",'Semrush Data'!$A$1:$Z$1,0)),"")</f>
        <v/>
      </c>
      <c r="J2755" s="7" t="str">
        <f aca="false">IFERROR(INDEX('Semrush Data'!$A$1:$Z$20000,MATCH(A2755,'Semrush Data'!$A$1:$A$20000,0),MATCH("Intent",'Semrush Data'!$A$1:$Z$1,0)),"")</f>
        <v/>
      </c>
    </row>
    <row r="2756" customFormat="false" ht="15" hidden="false" customHeight="true" outlineLevel="0" collapsed="false">
      <c r="A2756" s="7" t="s">
        <v>7420</v>
      </c>
      <c r="B2756" s="7" t="s">
        <v>6820</v>
      </c>
      <c r="C2756" s="7" t="n">
        <v>3</v>
      </c>
      <c r="D2756" s="7" t="n">
        <v>28</v>
      </c>
      <c r="E2756" s="7" t="n">
        <v>1</v>
      </c>
      <c r="F2756" s="7" t="s">
        <v>4328</v>
      </c>
      <c r="G2756" s="12" t="str">
        <f aca="false">IFERROR(INDEX('Semrush Data'!$A$1:$Z$20000,MATCH(A2756,'Semrush Data'!$A$1:$A$20000,0),MATCH("Volume",'Semrush Data'!$A$1:$Z$1,0)),"")</f>
        <v/>
      </c>
      <c r="H2756" s="7" t="str">
        <f aca="false">IFERROR(INDEX('Semrush Data'!$A$1:$Z$20000,MATCH(A2756,'Semrush Data'!$A$1:$A$20000,0),MATCH("Keyword Difficulty*",'Semrush Data'!$A$1:$Z$1,0)),"")</f>
        <v/>
      </c>
      <c r="I2756" s="13" t="str">
        <f aca="false">IFERROR(INDEX('Semrush Data'!$A$1:$Z$20000,MATCH(A2756,'Semrush Data'!$A$1:$A$20000,0),MATCH("CPC*",'Semrush Data'!$A$1:$Z$1,0)),"")</f>
        <v/>
      </c>
      <c r="J2756" s="7" t="str">
        <f aca="false">IFERROR(INDEX('Semrush Data'!$A$1:$Z$20000,MATCH(A2756,'Semrush Data'!$A$1:$A$20000,0),MATCH("Intent",'Semrush Data'!$A$1:$Z$1,0)),"")</f>
        <v/>
      </c>
    </row>
    <row r="2757" customFormat="false" ht="15" hidden="false" customHeight="true" outlineLevel="0" collapsed="false">
      <c r="A2757" s="7" t="s">
        <v>7421</v>
      </c>
      <c r="B2757" s="7" t="s">
        <v>6820</v>
      </c>
      <c r="C2757" s="7" t="n">
        <v>3</v>
      </c>
      <c r="D2757" s="7" t="n">
        <v>28</v>
      </c>
      <c r="E2757" s="7" t="n">
        <v>1</v>
      </c>
      <c r="F2757" s="7" t="s">
        <v>4328</v>
      </c>
      <c r="G2757" s="12" t="str">
        <f aca="false">IFERROR(INDEX('Semrush Data'!$A$1:$Z$20000,MATCH(A2757,'Semrush Data'!$A$1:$A$20000,0),MATCH("Volume",'Semrush Data'!$A$1:$Z$1,0)),"")</f>
        <v/>
      </c>
      <c r="H2757" s="7" t="str">
        <f aca="false">IFERROR(INDEX('Semrush Data'!$A$1:$Z$20000,MATCH(A2757,'Semrush Data'!$A$1:$A$20000,0),MATCH("Keyword Difficulty*",'Semrush Data'!$A$1:$Z$1,0)),"")</f>
        <v/>
      </c>
      <c r="I2757" s="13" t="str">
        <f aca="false">IFERROR(INDEX('Semrush Data'!$A$1:$Z$20000,MATCH(A2757,'Semrush Data'!$A$1:$A$20000,0),MATCH("CPC*",'Semrush Data'!$A$1:$Z$1,0)),"")</f>
        <v/>
      </c>
      <c r="J2757" s="7" t="str">
        <f aca="false">IFERROR(INDEX('Semrush Data'!$A$1:$Z$20000,MATCH(A2757,'Semrush Data'!$A$1:$A$20000,0),MATCH("Intent",'Semrush Data'!$A$1:$Z$1,0)),"")</f>
        <v/>
      </c>
    </row>
    <row r="2758" customFormat="false" ht="15" hidden="false" customHeight="true" outlineLevel="0" collapsed="false">
      <c r="A2758" s="7" t="s">
        <v>7422</v>
      </c>
      <c r="B2758" s="7" t="s">
        <v>6820</v>
      </c>
      <c r="C2758" s="7" t="n">
        <v>3</v>
      </c>
      <c r="D2758" s="7" t="n">
        <v>28</v>
      </c>
      <c r="E2758" s="7" t="n">
        <v>1</v>
      </c>
      <c r="F2758" s="7" t="s">
        <v>4328</v>
      </c>
      <c r="G2758" s="12" t="str">
        <f aca="false">IFERROR(INDEX('Semrush Data'!$A$1:$Z$20000,MATCH(A2758,'Semrush Data'!$A$1:$A$20000,0),MATCH("Volume",'Semrush Data'!$A$1:$Z$1,0)),"")</f>
        <v/>
      </c>
      <c r="H2758" s="7" t="str">
        <f aca="false">IFERROR(INDEX('Semrush Data'!$A$1:$Z$20000,MATCH(A2758,'Semrush Data'!$A$1:$A$20000,0),MATCH("Keyword Difficulty*",'Semrush Data'!$A$1:$Z$1,0)),"")</f>
        <v/>
      </c>
      <c r="I2758" s="13" t="str">
        <f aca="false">IFERROR(INDEX('Semrush Data'!$A$1:$Z$20000,MATCH(A2758,'Semrush Data'!$A$1:$A$20000,0),MATCH("CPC*",'Semrush Data'!$A$1:$Z$1,0)),"")</f>
        <v/>
      </c>
      <c r="J2758" s="7" t="str">
        <f aca="false">IFERROR(INDEX('Semrush Data'!$A$1:$Z$20000,MATCH(A2758,'Semrush Data'!$A$1:$A$20000,0),MATCH("Intent",'Semrush Data'!$A$1:$Z$1,0)),"")</f>
        <v/>
      </c>
    </row>
    <row r="2759" customFormat="false" ht="15" hidden="false" customHeight="true" outlineLevel="0" collapsed="false">
      <c r="A2759" s="7" t="s">
        <v>7423</v>
      </c>
      <c r="B2759" s="7" t="s">
        <v>6820</v>
      </c>
      <c r="C2759" s="7" t="n">
        <v>3</v>
      </c>
      <c r="D2759" s="7" t="n">
        <v>28</v>
      </c>
      <c r="E2759" s="7" t="n">
        <v>1</v>
      </c>
      <c r="F2759" s="7" t="s">
        <v>4340</v>
      </c>
      <c r="G2759" s="12" t="str">
        <f aca="false">IFERROR(INDEX('Semrush Data'!$A$1:$Z$20000,MATCH(A2759,'Semrush Data'!$A$1:$A$20000,0),MATCH("Volume",'Semrush Data'!$A$1:$Z$1,0)),"")</f>
        <v/>
      </c>
      <c r="H2759" s="7" t="str">
        <f aca="false">IFERROR(INDEX('Semrush Data'!$A$1:$Z$20000,MATCH(A2759,'Semrush Data'!$A$1:$A$20000,0),MATCH("Keyword Difficulty*",'Semrush Data'!$A$1:$Z$1,0)),"")</f>
        <v/>
      </c>
      <c r="I2759" s="13" t="str">
        <f aca="false">IFERROR(INDEX('Semrush Data'!$A$1:$Z$20000,MATCH(A2759,'Semrush Data'!$A$1:$A$20000,0),MATCH("CPC*",'Semrush Data'!$A$1:$Z$1,0)),"")</f>
        <v/>
      </c>
      <c r="J2759" s="7" t="str">
        <f aca="false">IFERROR(INDEX('Semrush Data'!$A$1:$Z$20000,MATCH(A2759,'Semrush Data'!$A$1:$A$20000,0),MATCH("Intent",'Semrush Data'!$A$1:$Z$1,0)),"")</f>
        <v/>
      </c>
    </row>
    <row r="2760" customFormat="false" ht="15" hidden="false" customHeight="true" outlineLevel="0" collapsed="false">
      <c r="A2760" s="7" t="s">
        <v>7424</v>
      </c>
      <c r="B2760" s="7" t="s">
        <v>6820</v>
      </c>
      <c r="C2760" s="7" t="n">
        <v>3</v>
      </c>
      <c r="D2760" s="7" t="n">
        <v>28</v>
      </c>
      <c r="E2760" s="7" t="n">
        <v>2</v>
      </c>
      <c r="F2760" s="7" t="s">
        <v>7425</v>
      </c>
      <c r="G2760" s="12" t="str">
        <f aca="false">IFERROR(INDEX('Semrush Data'!$A$1:$Z$20000,MATCH(A2760,'Semrush Data'!$A$1:$A$20000,0),MATCH("Volume",'Semrush Data'!$A$1:$Z$1,0)),"")</f>
        <v/>
      </c>
      <c r="H2760" s="7" t="str">
        <f aca="false">IFERROR(INDEX('Semrush Data'!$A$1:$Z$20000,MATCH(A2760,'Semrush Data'!$A$1:$A$20000,0),MATCH("Keyword Difficulty*",'Semrush Data'!$A$1:$Z$1,0)),"")</f>
        <v/>
      </c>
      <c r="I2760" s="13" t="str">
        <f aca="false">IFERROR(INDEX('Semrush Data'!$A$1:$Z$20000,MATCH(A2760,'Semrush Data'!$A$1:$A$20000,0),MATCH("CPC*",'Semrush Data'!$A$1:$Z$1,0)),"")</f>
        <v/>
      </c>
      <c r="J2760" s="7" t="str">
        <f aca="false">IFERROR(INDEX('Semrush Data'!$A$1:$Z$20000,MATCH(A2760,'Semrush Data'!$A$1:$A$20000,0),MATCH("Intent",'Semrush Data'!$A$1:$Z$1,0)),"")</f>
        <v/>
      </c>
    </row>
    <row r="2761" customFormat="false" ht="15" hidden="false" customHeight="true" outlineLevel="0" collapsed="false">
      <c r="A2761" s="7" t="s">
        <v>7426</v>
      </c>
      <c r="B2761" s="7" t="s">
        <v>6820</v>
      </c>
      <c r="C2761" s="7" t="n">
        <v>3</v>
      </c>
      <c r="D2761" s="7" t="n">
        <v>28</v>
      </c>
      <c r="E2761" s="7" t="n">
        <v>1</v>
      </c>
      <c r="F2761" s="7" t="s">
        <v>4557</v>
      </c>
      <c r="G2761" s="12" t="str">
        <f aca="false">IFERROR(INDEX('Semrush Data'!$A$1:$Z$20000,MATCH(A2761,'Semrush Data'!$A$1:$A$20000,0),MATCH("Volume",'Semrush Data'!$A$1:$Z$1,0)),"")</f>
        <v/>
      </c>
      <c r="H2761" s="7" t="str">
        <f aca="false">IFERROR(INDEX('Semrush Data'!$A$1:$Z$20000,MATCH(A2761,'Semrush Data'!$A$1:$A$20000,0),MATCH("Keyword Difficulty*",'Semrush Data'!$A$1:$Z$1,0)),"")</f>
        <v/>
      </c>
      <c r="I2761" s="13" t="str">
        <f aca="false">IFERROR(INDEX('Semrush Data'!$A$1:$Z$20000,MATCH(A2761,'Semrush Data'!$A$1:$A$20000,0),MATCH("CPC*",'Semrush Data'!$A$1:$Z$1,0)),"")</f>
        <v/>
      </c>
      <c r="J2761" s="7" t="str">
        <f aca="false">IFERROR(INDEX('Semrush Data'!$A$1:$Z$20000,MATCH(A2761,'Semrush Data'!$A$1:$A$20000,0),MATCH("Intent",'Semrush Data'!$A$1:$Z$1,0)),"")</f>
        <v/>
      </c>
    </row>
    <row r="2762" customFormat="false" ht="15" hidden="false" customHeight="true" outlineLevel="0" collapsed="false">
      <c r="A2762" s="7" t="s">
        <v>7427</v>
      </c>
      <c r="B2762" s="7" t="s">
        <v>6820</v>
      </c>
      <c r="C2762" s="7" t="n">
        <v>3</v>
      </c>
      <c r="D2762" s="7" t="n">
        <v>28</v>
      </c>
      <c r="E2762" s="7" t="n">
        <v>1</v>
      </c>
      <c r="F2762" s="7" t="s">
        <v>4557</v>
      </c>
      <c r="G2762" s="12" t="str">
        <f aca="false">IFERROR(INDEX('Semrush Data'!$A$1:$Z$20000,MATCH(A2762,'Semrush Data'!$A$1:$A$20000,0),MATCH("Volume",'Semrush Data'!$A$1:$Z$1,0)),"")</f>
        <v/>
      </c>
      <c r="H2762" s="7" t="str">
        <f aca="false">IFERROR(INDEX('Semrush Data'!$A$1:$Z$20000,MATCH(A2762,'Semrush Data'!$A$1:$A$20000,0),MATCH("Keyword Difficulty*",'Semrush Data'!$A$1:$Z$1,0)),"")</f>
        <v/>
      </c>
      <c r="I2762" s="13" t="str">
        <f aca="false">IFERROR(INDEX('Semrush Data'!$A$1:$Z$20000,MATCH(A2762,'Semrush Data'!$A$1:$A$20000,0),MATCH("CPC*",'Semrush Data'!$A$1:$Z$1,0)),"")</f>
        <v/>
      </c>
      <c r="J2762" s="7" t="str">
        <f aca="false">IFERROR(INDEX('Semrush Data'!$A$1:$Z$20000,MATCH(A2762,'Semrush Data'!$A$1:$A$20000,0),MATCH("Intent",'Semrush Data'!$A$1:$Z$1,0)),"")</f>
        <v/>
      </c>
    </row>
    <row r="2763" customFormat="false" ht="15" hidden="false" customHeight="true" outlineLevel="0" collapsed="false">
      <c r="A2763" s="7" t="s">
        <v>7428</v>
      </c>
      <c r="B2763" s="7" t="s">
        <v>6820</v>
      </c>
      <c r="C2763" s="7" t="n">
        <v>3</v>
      </c>
      <c r="D2763" s="7" t="n">
        <v>28</v>
      </c>
      <c r="E2763" s="7" t="n">
        <v>1</v>
      </c>
      <c r="F2763" s="7" t="s">
        <v>4557</v>
      </c>
      <c r="G2763" s="12" t="str">
        <f aca="false">IFERROR(INDEX('Semrush Data'!$A$1:$Z$20000,MATCH(A2763,'Semrush Data'!$A$1:$A$20000,0),MATCH("Volume",'Semrush Data'!$A$1:$Z$1,0)),"")</f>
        <v/>
      </c>
      <c r="H2763" s="7" t="str">
        <f aca="false">IFERROR(INDEX('Semrush Data'!$A$1:$Z$20000,MATCH(A2763,'Semrush Data'!$A$1:$A$20000,0),MATCH("Keyword Difficulty*",'Semrush Data'!$A$1:$Z$1,0)),"")</f>
        <v/>
      </c>
      <c r="I2763" s="13" t="str">
        <f aca="false">IFERROR(INDEX('Semrush Data'!$A$1:$Z$20000,MATCH(A2763,'Semrush Data'!$A$1:$A$20000,0),MATCH("CPC*",'Semrush Data'!$A$1:$Z$1,0)),"")</f>
        <v/>
      </c>
      <c r="J2763" s="7" t="str">
        <f aca="false">IFERROR(INDEX('Semrush Data'!$A$1:$Z$20000,MATCH(A2763,'Semrush Data'!$A$1:$A$20000,0),MATCH("Intent",'Semrush Data'!$A$1:$Z$1,0)),"")</f>
        <v/>
      </c>
    </row>
    <row r="2764" customFormat="false" ht="15" hidden="false" customHeight="true" outlineLevel="0" collapsed="false">
      <c r="A2764" s="7" t="s">
        <v>7429</v>
      </c>
      <c r="B2764" s="7" t="s">
        <v>6820</v>
      </c>
      <c r="C2764" s="7" t="n">
        <v>3</v>
      </c>
      <c r="D2764" s="7" t="n">
        <v>28</v>
      </c>
      <c r="E2764" s="7" t="n">
        <v>1</v>
      </c>
      <c r="F2764" s="7" t="s">
        <v>4557</v>
      </c>
      <c r="G2764" s="12" t="str">
        <f aca="false">IFERROR(INDEX('Semrush Data'!$A$1:$Z$20000,MATCH(A2764,'Semrush Data'!$A$1:$A$20000,0),MATCH("Volume",'Semrush Data'!$A$1:$Z$1,0)),"")</f>
        <v/>
      </c>
      <c r="H2764" s="7" t="str">
        <f aca="false">IFERROR(INDEX('Semrush Data'!$A$1:$Z$20000,MATCH(A2764,'Semrush Data'!$A$1:$A$20000,0),MATCH("Keyword Difficulty*",'Semrush Data'!$A$1:$Z$1,0)),"")</f>
        <v/>
      </c>
      <c r="I2764" s="13" t="str">
        <f aca="false">IFERROR(INDEX('Semrush Data'!$A$1:$Z$20000,MATCH(A2764,'Semrush Data'!$A$1:$A$20000,0),MATCH("CPC*",'Semrush Data'!$A$1:$Z$1,0)),"")</f>
        <v/>
      </c>
      <c r="J2764" s="7" t="str">
        <f aca="false">IFERROR(INDEX('Semrush Data'!$A$1:$Z$20000,MATCH(A2764,'Semrush Data'!$A$1:$A$20000,0),MATCH("Intent",'Semrush Data'!$A$1:$Z$1,0)),"")</f>
        <v/>
      </c>
    </row>
    <row r="2765" customFormat="false" ht="15" hidden="false" customHeight="true" outlineLevel="0" collapsed="false">
      <c r="A2765" s="7" t="s">
        <v>7430</v>
      </c>
      <c r="B2765" s="7" t="s">
        <v>6820</v>
      </c>
      <c r="C2765" s="7" t="n">
        <v>3</v>
      </c>
      <c r="D2765" s="7" t="n">
        <v>28</v>
      </c>
      <c r="E2765" s="7" t="n">
        <v>1</v>
      </c>
      <c r="F2765" s="7" t="s">
        <v>4340</v>
      </c>
      <c r="G2765" s="12" t="str">
        <f aca="false">IFERROR(INDEX('Semrush Data'!$A$1:$Z$20000,MATCH(A2765,'Semrush Data'!$A$1:$A$20000,0),MATCH("Volume",'Semrush Data'!$A$1:$Z$1,0)),"")</f>
        <v/>
      </c>
      <c r="H2765" s="7" t="str">
        <f aca="false">IFERROR(INDEX('Semrush Data'!$A$1:$Z$20000,MATCH(A2765,'Semrush Data'!$A$1:$A$20000,0),MATCH("Keyword Difficulty*",'Semrush Data'!$A$1:$Z$1,0)),"")</f>
        <v/>
      </c>
      <c r="I2765" s="13" t="str">
        <f aca="false">IFERROR(INDEX('Semrush Data'!$A$1:$Z$20000,MATCH(A2765,'Semrush Data'!$A$1:$A$20000,0),MATCH("CPC*",'Semrush Data'!$A$1:$Z$1,0)),"")</f>
        <v/>
      </c>
      <c r="J2765" s="7" t="str">
        <f aca="false">IFERROR(INDEX('Semrush Data'!$A$1:$Z$20000,MATCH(A2765,'Semrush Data'!$A$1:$A$20000,0),MATCH("Intent",'Semrush Data'!$A$1:$Z$1,0)),"")</f>
        <v/>
      </c>
    </row>
    <row r="2766" customFormat="false" ht="15" hidden="false" customHeight="true" outlineLevel="0" collapsed="false">
      <c r="A2766" s="7" t="s">
        <v>7431</v>
      </c>
      <c r="B2766" s="7" t="s">
        <v>6820</v>
      </c>
      <c r="C2766" s="7" t="n">
        <v>3</v>
      </c>
      <c r="D2766" s="7" t="n">
        <v>28</v>
      </c>
      <c r="E2766" s="7" t="n">
        <v>1</v>
      </c>
      <c r="F2766" s="7" t="s">
        <v>4340</v>
      </c>
      <c r="G2766" s="12" t="str">
        <f aca="false">IFERROR(INDEX('Semrush Data'!$A$1:$Z$20000,MATCH(A2766,'Semrush Data'!$A$1:$A$20000,0),MATCH("Volume",'Semrush Data'!$A$1:$Z$1,0)),"")</f>
        <v/>
      </c>
      <c r="H2766" s="7" t="str">
        <f aca="false">IFERROR(INDEX('Semrush Data'!$A$1:$Z$20000,MATCH(A2766,'Semrush Data'!$A$1:$A$20000,0),MATCH("Keyword Difficulty*",'Semrush Data'!$A$1:$Z$1,0)),"")</f>
        <v/>
      </c>
      <c r="I2766" s="13" t="str">
        <f aca="false">IFERROR(INDEX('Semrush Data'!$A$1:$Z$20000,MATCH(A2766,'Semrush Data'!$A$1:$A$20000,0),MATCH("CPC*",'Semrush Data'!$A$1:$Z$1,0)),"")</f>
        <v/>
      </c>
      <c r="J2766" s="7" t="str">
        <f aca="false">IFERROR(INDEX('Semrush Data'!$A$1:$Z$20000,MATCH(A2766,'Semrush Data'!$A$1:$A$20000,0),MATCH("Intent",'Semrush Data'!$A$1:$Z$1,0)),"")</f>
        <v/>
      </c>
    </row>
    <row r="2767" customFormat="false" ht="15" hidden="false" customHeight="true" outlineLevel="0" collapsed="false">
      <c r="A2767" s="7" t="s">
        <v>7432</v>
      </c>
      <c r="B2767" s="7" t="s">
        <v>6820</v>
      </c>
      <c r="C2767" s="7" t="n">
        <v>3</v>
      </c>
      <c r="D2767" s="7" t="n">
        <v>28</v>
      </c>
      <c r="E2767" s="7" t="n">
        <v>1</v>
      </c>
      <c r="F2767" s="7" t="s">
        <v>4340</v>
      </c>
      <c r="G2767" s="12" t="str">
        <f aca="false">IFERROR(INDEX('Semrush Data'!$A$1:$Z$20000,MATCH(A2767,'Semrush Data'!$A$1:$A$20000,0),MATCH("Volume",'Semrush Data'!$A$1:$Z$1,0)),"")</f>
        <v/>
      </c>
      <c r="H2767" s="7" t="str">
        <f aca="false">IFERROR(INDEX('Semrush Data'!$A$1:$Z$20000,MATCH(A2767,'Semrush Data'!$A$1:$A$20000,0),MATCH("Keyword Difficulty*",'Semrush Data'!$A$1:$Z$1,0)),"")</f>
        <v/>
      </c>
      <c r="I2767" s="13" t="str">
        <f aca="false">IFERROR(INDEX('Semrush Data'!$A$1:$Z$20000,MATCH(A2767,'Semrush Data'!$A$1:$A$20000,0),MATCH("CPC*",'Semrush Data'!$A$1:$Z$1,0)),"")</f>
        <v/>
      </c>
      <c r="J2767" s="7" t="str">
        <f aca="false">IFERROR(INDEX('Semrush Data'!$A$1:$Z$20000,MATCH(A2767,'Semrush Data'!$A$1:$A$20000,0),MATCH("Intent",'Semrush Data'!$A$1:$Z$1,0)),"")</f>
        <v/>
      </c>
    </row>
    <row r="2768" customFormat="false" ht="15" hidden="false" customHeight="true" outlineLevel="0" collapsed="false">
      <c r="A2768" s="7" t="s">
        <v>7433</v>
      </c>
      <c r="B2768" s="7" t="s">
        <v>6820</v>
      </c>
      <c r="C2768" s="7" t="n">
        <v>3</v>
      </c>
      <c r="D2768" s="7" t="n">
        <v>28</v>
      </c>
      <c r="E2768" s="7" t="n">
        <v>1</v>
      </c>
      <c r="F2768" s="7" t="s">
        <v>4351</v>
      </c>
      <c r="G2768" s="12" t="str">
        <f aca="false">IFERROR(INDEX('Semrush Data'!$A$1:$Z$20000,MATCH(A2768,'Semrush Data'!$A$1:$A$20000,0),MATCH("Volume",'Semrush Data'!$A$1:$Z$1,0)),"")</f>
        <v/>
      </c>
      <c r="H2768" s="7" t="str">
        <f aca="false">IFERROR(INDEX('Semrush Data'!$A$1:$Z$20000,MATCH(A2768,'Semrush Data'!$A$1:$A$20000,0),MATCH("Keyword Difficulty*",'Semrush Data'!$A$1:$Z$1,0)),"")</f>
        <v/>
      </c>
      <c r="I2768" s="13" t="str">
        <f aca="false">IFERROR(INDEX('Semrush Data'!$A$1:$Z$20000,MATCH(A2768,'Semrush Data'!$A$1:$A$20000,0),MATCH("CPC*",'Semrush Data'!$A$1:$Z$1,0)),"")</f>
        <v/>
      </c>
      <c r="J2768" s="7" t="str">
        <f aca="false">IFERROR(INDEX('Semrush Data'!$A$1:$Z$20000,MATCH(A2768,'Semrush Data'!$A$1:$A$20000,0),MATCH("Intent",'Semrush Data'!$A$1:$Z$1,0)),"")</f>
        <v/>
      </c>
    </row>
    <row r="2769" customFormat="false" ht="15" hidden="false" customHeight="true" outlineLevel="0" collapsed="false">
      <c r="A2769" s="7" t="s">
        <v>7434</v>
      </c>
      <c r="B2769" s="7" t="s">
        <v>6820</v>
      </c>
      <c r="C2769" s="7" t="n">
        <v>3</v>
      </c>
      <c r="D2769" s="7" t="n">
        <v>28</v>
      </c>
      <c r="E2769" s="7" t="n">
        <v>1</v>
      </c>
      <c r="F2769" s="7" t="s">
        <v>4351</v>
      </c>
      <c r="G2769" s="12" t="str">
        <f aca="false">IFERROR(INDEX('Semrush Data'!$A$1:$Z$20000,MATCH(A2769,'Semrush Data'!$A$1:$A$20000,0),MATCH("Volume",'Semrush Data'!$A$1:$Z$1,0)),"")</f>
        <v/>
      </c>
      <c r="H2769" s="7" t="str">
        <f aca="false">IFERROR(INDEX('Semrush Data'!$A$1:$Z$20000,MATCH(A2769,'Semrush Data'!$A$1:$A$20000,0),MATCH("Keyword Difficulty*",'Semrush Data'!$A$1:$Z$1,0)),"")</f>
        <v/>
      </c>
      <c r="I2769" s="13" t="str">
        <f aca="false">IFERROR(INDEX('Semrush Data'!$A$1:$Z$20000,MATCH(A2769,'Semrush Data'!$A$1:$A$20000,0),MATCH("CPC*",'Semrush Data'!$A$1:$Z$1,0)),"")</f>
        <v/>
      </c>
      <c r="J2769" s="7" t="str">
        <f aca="false">IFERROR(INDEX('Semrush Data'!$A$1:$Z$20000,MATCH(A2769,'Semrush Data'!$A$1:$A$20000,0),MATCH("Intent",'Semrush Data'!$A$1:$Z$1,0)),"")</f>
        <v/>
      </c>
    </row>
    <row r="2770" customFormat="false" ht="15" hidden="false" customHeight="true" outlineLevel="0" collapsed="false">
      <c r="A2770" s="7" t="s">
        <v>7435</v>
      </c>
      <c r="B2770" s="7" t="s">
        <v>6820</v>
      </c>
      <c r="C2770" s="7" t="n">
        <v>3</v>
      </c>
      <c r="D2770" s="7" t="n">
        <v>28</v>
      </c>
      <c r="E2770" s="7" t="n">
        <v>1</v>
      </c>
      <c r="F2770" s="7" t="s">
        <v>4351</v>
      </c>
      <c r="G2770" s="12" t="str">
        <f aca="false">IFERROR(INDEX('Semrush Data'!$A$1:$Z$20000,MATCH(A2770,'Semrush Data'!$A$1:$A$20000,0),MATCH("Volume",'Semrush Data'!$A$1:$Z$1,0)),"")</f>
        <v/>
      </c>
      <c r="H2770" s="7" t="str">
        <f aca="false">IFERROR(INDEX('Semrush Data'!$A$1:$Z$20000,MATCH(A2770,'Semrush Data'!$A$1:$A$20000,0),MATCH("Keyword Difficulty*",'Semrush Data'!$A$1:$Z$1,0)),"")</f>
        <v/>
      </c>
      <c r="I2770" s="13" t="str">
        <f aca="false">IFERROR(INDEX('Semrush Data'!$A$1:$Z$20000,MATCH(A2770,'Semrush Data'!$A$1:$A$20000,0),MATCH("CPC*",'Semrush Data'!$A$1:$Z$1,0)),"")</f>
        <v/>
      </c>
      <c r="J2770" s="7" t="str">
        <f aca="false">IFERROR(INDEX('Semrush Data'!$A$1:$Z$20000,MATCH(A2770,'Semrush Data'!$A$1:$A$20000,0),MATCH("Intent",'Semrush Data'!$A$1:$Z$1,0)),"")</f>
        <v/>
      </c>
    </row>
    <row r="2771" customFormat="false" ht="15" hidden="false" customHeight="true" outlineLevel="0" collapsed="false">
      <c r="A2771" s="7" t="s">
        <v>7436</v>
      </c>
      <c r="B2771" s="7" t="s">
        <v>6820</v>
      </c>
      <c r="C2771" s="7" t="n">
        <v>3</v>
      </c>
      <c r="D2771" s="7" t="n">
        <v>28</v>
      </c>
      <c r="E2771" s="7" t="n">
        <v>1</v>
      </c>
      <c r="F2771" s="7" t="s">
        <v>4351</v>
      </c>
      <c r="G2771" s="12" t="str">
        <f aca="false">IFERROR(INDEX('Semrush Data'!$A$1:$Z$20000,MATCH(A2771,'Semrush Data'!$A$1:$A$20000,0),MATCH("Volume",'Semrush Data'!$A$1:$Z$1,0)),"")</f>
        <v/>
      </c>
      <c r="H2771" s="7" t="str">
        <f aca="false">IFERROR(INDEX('Semrush Data'!$A$1:$Z$20000,MATCH(A2771,'Semrush Data'!$A$1:$A$20000,0),MATCH("Keyword Difficulty*",'Semrush Data'!$A$1:$Z$1,0)),"")</f>
        <v/>
      </c>
      <c r="I2771" s="13" t="str">
        <f aca="false">IFERROR(INDEX('Semrush Data'!$A$1:$Z$20000,MATCH(A2771,'Semrush Data'!$A$1:$A$20000,0),MATCH("CPC*",'Semrush Data'!$A$1:$Z$1,0)),"")</f>
        <v/>
      </c>
      <c r="J2771" s="7" t="str">
        <f aca="false">IFERROR(INDEX('Semrush Data'!$A$1:$Z$20000,MATCH(A2771,'Semrush Data'!$A$1:$A$20000,0),MATCH("Intent",'Semrush Data'!$A$1:$Z$1,0)),"")</f>
        <v/>
      </c>
    </row>
    <row r="2772" customFormat="false" ht="15" hidden="false" customHeight="true" outlineLevel="0" collapsed="false">
      <c r="A2772" s="7" t="s">
        <v>7437</v>
      </c>
      <c r="B2772" s="7" t="s">
        <v>6820</v>
      </c>
      <c r="C2772" s="7" t="n">
        <v>3</v>
      </c>
      <c r="D2772" s="7" t="n">
        <v>28</v>
      </c>
      <c r="E2772" s="7" t="n">
        <v>1</v>
      </c>
      <c r="F2772" s="7" t="s">
        <v>4351</v>
      </c>
      <c r="G2772" s="12" t="str">
        <f aca="false">IFERROR(INDEX('Semrush Data'!$A$1:$Z$20000,MATCH(A2772,'Semrush Data'!$A$1:$A$20000,0),MATCH("Volume",'Semrush Data'!$A$1:$Z$1,0)),"")</f>
        <v/>
      </c>
      <c r="H2772" s="7" t="str">
        <f aca="false">IFERROR(INDEX('Semrush Data'!$A$1:$Z$20000,MATCH(A2772,'Semrush Data'!$A$1:$A$20000,0),MATCH("Keyword Difficulty*",'Semrush Data'!$A$1:$Z$1,0)),"")</f>
        <v/>
      </c>
      <c r="I2772" s="13" t="str">
        <f aca="false">IFERROR(INDEX('Semrush Data'!$A$1:$Z$20000,MATCH(A2772,'Semrush Data'!$A$1:$A$20000,0),MATCH("CPC*",'Semrush Data'!$A$1:$Z$1,0)),"")</f>
        <v/>
      </c>
      <c r="J2772" s="7" t="str">
        <f aca="false">IFERROR(INDEX('Semrush Data'!$A$1:$Z$20000,MATCH(A2772,'Semrush Data'!$A$1:$A$20000,0),MATCH("Intent",'Semrush Data'!$A$1:$Z$1,0)),"")</f>
        <v/>
      </c>
    </row>
    <row r="2773" customFormat="false" ht="15" hidden="false" customHeight="true" outlineLevel="0" collapsed="false">
      <c r="A2773" s="7" t="s">
        <v>7438</v>
      </c>
      <c r="B2773" s="7" t="s">
        <v>6820</v>
      </c>
      <c r="C2773" s="7" t="n">
        <v>3</v>
      </c>
      <c r="D2773" s="7" t="n">
        <v>28</v>
      </c>
      <c r="E2773" s="7" t="n">
        <v>1</v>
      </c>
      <c r="F2773" s="7" t="s">
        <v>4362</v>
      </c>
      <c r="G2773" s="12" t="str">
        <f aca="false">IFERROR(INDEX('Semrush Data'!$A$1:$Z$20000,MATCH(A2773,'Semrush Data'!$A$1:$A$20000,0),MATCH("Volume",'Semrush Data'!$A$1:$Z$1,0)),"")</f>
        <v/>
      </c>
      <c r="H2773" s="7" t="str">
        <f aca="false">IFERROR(INDEX('Semrush Data'!$A$1:$Z$20000,MATCH(A2773,'Semrush Data'!$A$1:$A$20000,0),MATCH("Keyword Difficulty*",'Semrush Data'!$A$1:$Z$1,0)),"")</f>
        <v/>
      </c>
      <c r="I2773" s="13" t="str">
        <f aca="false">IFERROR(INDEX('Semrush Data'!$A$1:$Z$20000,MATCH(A2773,'Semrush Data'!$A$1:$A$20000,0),MATCH("CPC*",'Semrush Data'!$A$1:$Z$1,0)),"")</f>
        <v/>
      </c>
      <c r="J2773" s="7" t="str">
        <f aca="false">IFERROR(INDEX('Semrush Data'!$A$1:$Z$20000,MATCH(A2773,'Semrush Data'!$A$1:$A$20000,0),MATCH("Intent",'Semrush Data'!$A$1:$Z$1,0)),"")</f>
        <v/>
      </c>
    </row>
    <row r="2774" customFormat="false" ht="15" hidden="false" customHeight="true" outlineLevel="0" collapsed="false">
      <c r="A2774" s="7" t="s">
        <v>7439</v>
      </c>
      <c r="B2774" s="7" t="s">
        <v>6820</v>
      </c>
      <c r="C2774" s="7" t="n">
        <v>3</v>
      </c>
      <c r="D2774" s="7" t="n">
        <v>28</v>
      </c>
      <c r="E2774" s="7" t="n">
        <v>1</v>
      </c>
      <c r="F2774" s="7" t="s">
        <v>4362</v>
      </c>
      <c r="G2774" s="12" t="str">
        <f aca="false">IFERROR(INDEX('Semrush Data'!$A$1:$Z$20000,MATCH(A2774,'Semrush Data'!$A$1:$A$20000,0),MATCH("Volume",'Semrush Data'!$A$1:$Z$1,0)),"")</f>
        <v/>
      </c>
      <c r="H2774" s="7" t="str">
        <f aca="false">IFERROR(INDEX('Semrush Data'!$A$1:$Z$20000,MATCH(A2774,'Semrush Data'!$A$1:$A$20000,0),MATCH("Keyword Difficulty*",'Semrush Data'!$A$1:$Z$1,0)),"")</f>
        <v/>
      </c>
      <c r="I2774" s="13" t="str">
        <f aca="false">IFERROR(INDEX('Semrush Data'!$A$1:$Z$20000,MATCH(A2774,'Semrush Data'!$A$1:$A$20000,0),MATCH("CPC*",'Semrush Data'!$A$1:$Z$1,0)),"")</f>
        <v/>
      </c>
      <c r="J2774" s="7" t="str">
        <f aca="false">IFERROR(INDEX('Semrush Data'!$A$1:$Z$20000,MATCH(A2774,'Semrush Data'!$A$1:$A$20000,0),MATCH("Intent",'Semrush Data'!$A$1:$Z$1,0)),"")</f>
        <v/>
      </c>
    </row>
    <row r="2775" customFormat="false" ht="15" hidden="false" customHeight="true" outlineLevel="0" collapsed="false">
      <c r="A2775" s="7" t="s">
        <v>7440</v>
      </c>
      <c r="B2775" s="7" t="s">
        <v>6820</v>
      </c>
      <c r="C2775" s="7" t="n">
        <v>3</v>
      </c>
      <c r="D2775" s="7" t="n">
        <v>28</v>
      </c>
      <c r="E2775" s="7" t="n">
        <v>1</v>
      </c>
      <c r="F2775" s="7" t="s">
        <v>4362</v>
      </c>
      <c r="G2775" s="12" t="str">
        <f aca="false">IFERROR(INDEX('Semrush Data'!$A$1:$Z$20000,MATCH(A2775,'Semrush Data'!$A$1:$A$20000,0),MATCH("Volume",'Semrush Data'!$A$1:$Z$1,0)),"")</f>
        <v/>
      </c>
      <c r="H2775" s="7" t="str">
        <f aca="false">IFERROR(INDEX('Semrush Data'!$A$1:$Z$20000,MATCH(A2775,'Semrush Data'!$A$1:$A$20000,0),MATCH("Keyword Difficulty*",'Semrush Data'!$A$1:$Z$1,0)),"")</f>
        <v/>
      </c>
      <c r="I2775" s="13" t="str">
        <f aca="false">IFERROR(INDEX('Semrush Data'!$A$1:$Z$20000,MATCH(A2775,'Semrush Data'!$A$1:$A$20000,0),MATCH("CPC*",'Semrush Data'!$A$1:$Z$1,0)),"")</f>
        <v/>
      </c>
      <c r="J2775" s="7" t="str">
        <f aca="false">IFERROR(INDEX('Semrush Data'!$A$1:$Z$20000,MATCH(A2775,'Semrush Data'!$A$1:$A$20000,0),MATCH("Intent",'Semrush Data'!$A$1:$Z$1,0)),"")</f>
        <v/>
      </c>
    </row>
    <row r="2776" customFormat="false" ht="15" hidden="false" customHeight="true" outlineLevel="0" collapsed="false">
      <c r="A2776" s="7" t="s">
        <v>7441</v>
      </c>
      <c r="B2776" s="7" t="s">
        <v>6820</v>
      </c>
      <c r="C2776" s="7" t="n">
        <v>3</v>
      </c>
      <c r="D2776" s="7" t="n">
        <v>28</v>
      </c>
      <c r="E2776" s="7" t="n">
        <v>1</v>
      </c>
      <c r="F2776" s="7" t="s">
        <v>4362</v>
      </c>
      <c r="G2776" s="12" t="str">
        <f aca="false">IFERROR(INDEX('Semrush Data'!$A$1:$Z$20000,MATCH(A2776,'Semrush Data'!$A$1:$A$20000,0),MATCH("Volume",'Semrush Data'!$A$1:$Z$1,0)),"")</f>
        <v/>
      </c>
      <c r="H2776" s="7" t="str">
        <f aca="false">IFERROR(INDEX('Semrush Data'!$A$1:$Z$20000,MATCH(A2776,'Semrush Data'!$A$1:$A$20000,0),MATCH("Keyword Difficulty*",'Semrush Data'!$A$1:$Z$1,0)),"")</f>
        <v/>
      </c>
      <c r="I2776" s="13" t="str">
        <f aca="false">IFERROR(INDEX('Semrush Data'!$A$1:$Z$20000,MATCH(A2776,'Semrush Data'!$A$1:$A$20000,0),MATCH("CPC*",'Semrush Data'!$A$1:$Z$1,0)),"")</f>
        <v/>
      </c>
      <c r="J2776" s="7" t="str">
        <f aca="false">IFERROR(INDEX('Semrush Data'!$A$1:$Z$20000,MATCH(A2776,'Semrush Data'!$A$1:$A$20000,0),MATCH("Intent",'Semrush Data'!$A$1:$Z$1,0)),"")</f>
        <v/>
      </c>
    </row>
    <row r="2777" customFormat="false" ht="15" hidden="false" customHeight="true" outlineLevel="0" collapsed="false">
      <c r="A2777" s="7" t="s">
        <v>7442</v>
      </c>
      <c r="B2777" s="7" t="s">
        <v>6820</v>
      </c>
      <c r="C2777" s="7" t="n">
        <v>3</v>
      </c>
      <c r="D2777" s="7" t="s">
        <v>6818</v>
      </c>
      <c r="E2777" s="7" t="n">
        <v>1</v>
      </c>
      <c r="F2777" s="7" t="s">
        <v>96</v>
      </c>
      <c r="G2777" s="12" t="str">
        <f aca="false">IFERROR(INDEX('Semrush Data'!$A$1:$Z$20000,MATCH(A2777,'Semrush Data'!$A$1:$A$20000,0),MATCH("Volume",'Semrush Data'!$A$1:$Z$1,0)),"")</f>
        <v/>
      </c>
      <c r="H2777" s="7" t="str">
        <f aca="false">IFERROR(INDEX('Semrush Data'!$A$1:$Z$20000,MATCH(A2777,'Semrush Data'!$A$1:$A$20000,0),MATCH("Keyword Difficulty*",'Semrush Data'!$A$1:$Z$1,0)),"")</f>
        <v/>
      </c>
      <c r="I2777" s="13" t="str">
        <f aca="false">IFERROR(INDEX('Semrush Data'!$A$1:$Z$20000,MATCH(A2777,'Semrush Data'!$A$1:$A$20000,0),MATCH("CPC*",'Semrush Data'!$A$1:$Z$1,0)),"")</f>
        <v/>
      </c>
      <c r="J2777" s="7" t="str">
        <f aca="false">IFERROR(INDEX('Semrush Data'!$A$1:$Z$20000,MATCH(A2777,'Semrush Data'!$A$1:$A$20000,0),MATCH("Intent",'Semrush Data'!$A$1:$Z$1,0)),"")</f>
        <v/>
      </c>
    </row>
    <row r="2778" customFormat="false" ht="15" hidden="false" customHeight="true" outlineLevel="0" collapsed="false">
      <c r="A2778" s="7" t="s">
        <v>7443</v>
      </c>
      <c r="B2778" s="7" t="s">
        <v>6820</v>
      </c>
      <c r="C2778" s="7" t="n">
        <v>3</v>
      </c>
      <c r="D2778" s="7" t="n">
        <v>28</v>
      </c>
      <c r="E2778" s="7" t="n">
        <v>1</v>
      </c>
      <c r="F2778" s="7" t="s">
        <v>96</v>
      </c>
      <c r="G2778" s="12" t="str">
        <f aca="false">IFERROR(INDEX('Semrush Data'!$A$1:$Z$20000,MATCH(A2778,'Semrush Data'!$A$1:$A$20000,0),MATCH("Volume",'Semrush Data'!$A$1:$Z$1,0)),"")</f>
        <v/>
      </c>
      <c r="H2778" s="7" t="str">
        <f aca="false">IFERROR(INDEX('Semrush Data'!$A$1:$Z$20000,MATCH(A2778,'Semrush Data'!$A$1:$A$20000,0),MATCH("Keyword Difficulty*",'Semrush Data'!$A$1:$Z$1,0)),"")</f>
        <v/>
      </c>
      <c r="I2778" s="13" t="str">
        <f aca="false">IFERROR(INDEX('Semrush Data'!$A$1:$Z$20000,MATCH(A2778,'Semrush Data'!$A$1:$A$20000,0),MATCH("CPC*",'Semrush Data'!$A$1:$Z$1,0)),"")</f>
        <v/>
      </c>
      <c r="J2778" s="7" t="str">
        <f aca="false">IFERROR(INDEX('Semrush Data'!$A$1:$Z$20000,MATCH(A2778,'Semrush Data'!$A$1:$A$20000,0),MATCH("Intent",'Semrush Data'!$A$1:$Z$1,0)),"")</f>
        <v/>
      </c>
    </row>
    <row r="2779" customFormat="false" ht="15" hidden="false" customHeight="true" outlineLevel="0" collapsed="false">
      <c r="A2779" s="7" t="s">
        <v>7444</v>
      </c>
      <c r="B2779" s="7" t="s">
        <v>6820</v>
      </c>
      <c r="C2779" s="7" t="n">
        <v>3</v>
      </c>
      <c r="D2779" s="7" t="n">
        <v>28</v>
      </c>
      <c r="E2779" s="7" t="n">
        <v>1</v>
      </c>
      <c r="F2779" s="7" t="s">
        <v>96</v>
      </c>
      <c r="G2779" s="12" t="str">
        <f aca="false">IFERROR(INDEX('Semrush Data'!$A$1:$Z$20000,MATCH(A2779,'Semrush Data'!$A$1:$A$20000,0),MATCH("Volume",'Semrush Data'!$A$1:$Z$1,0)),"")</f>
        <v/>
      </c>
      <c r="H2779" s="7" t="str">
        <f aca="false">IFERROR(INDEX('Semrush Data'!$A$1:$Z$20000,MATCH(A2779,'Semrush Data'!$A$1:$A$20000,0),MATCH("Keyword Difficulty*",'Semrush Data'!$A$1:$Z$1,0)),"")</f>
        <v/>
      </c>
      <c r="I2779" s="13" t="str">
        <f aca="false">IFERROR(INDEX('Semrush Data'!$A$1:$Z$20000,MATCH(A2779,'Semrush Data'!$A$1:$A$20000,0),MATCH("CPC*",'Semrush Data'!$A$1:$Z$1,0)),"")</f>
        <v/>
      </c>
      <c r="J2779" s="7" t="str">
        <f aca="false">IFERROR(INDEX('Semrush Data'!$A$1:$Z$20000,MATCH(A2779,'Semrush Data'!$A$1:$A$20000,0),MATCH("Intent",'Semrush Data'!$A$1:$Z$1,0)),"")</f>
        <v/>
      </c>
    </row>
    <row r="2780" customFormat="false" ht="15" hidden="false" customHeight="true" outlineLevel="0" collapsed="false">
      <c r="A2780" s="7" t="s">
        <v>7445</v>
      </c>
      <c r="B2780" s="7" t="s">
        <v>6820</v>
      </c>
      <c r="C2780" s="7" t="n">
        <v>3</v>
      </c>
      <c r="D2780" s="7" t="n">
        <v>28</v>
      </c>
      <c r="E2780" s="7" t="n">
        <v>1</v>
      </c>
      <c r="F2780" s="7" t="s">
        <v>96</v>
      </c>
      <c r="G2780" s="12" t="str">
        <f aca="false">IFERROR(INDEX('Semrush Data'!$A$1:$Z$20000,MATCH(A2780,'Semrush Data'!$A$1:$A$20000,0),MATCH("Volume",'Semrush Data'!$A$1:$Z$1,0)),"")</f>
        <v/>
      </c>
      <c r="H2780" s="7" t="str">
        <f aca="false">IFERROR(INDEX('Semrush Data'!$A$1:$Z$20000,MATCH(A2780,'Semrush Data'!$A$1:$A$20000,0),MATCH("Keyword Difficulty*",'Semrush Data'!$A$1:$Z$1,0)),"")</f>
        <v/>
      </c>
      <c r="I2780" s="13" t="str">
        <f aca="false">IFERROR(INDEX('Semrush Data'!$A$1:$Z$20000,MATCH(A2780,'Semrush Data'!$A$1:$A$20000,0),MATCH("CPC*",'Semrush Data'!$A$1:$Z$1,0)),"")</f>
        <v/>
      </c>
      <c r="J2780" s="7" t="str">
        <f aca="false">IFERROR(INDEX('Semrush Data'!$A$1:$Z$20000,MATCH(A2780,'Semrush Data'!$A$1:$A$20000,0),MATCH("Intent",'Semrush Data'!$A$1:$Z$1,0)),"")</f>
        <v/>
      </c>
    </row>
    <row r="2781" customFormat="false" ht="15" hidden="false" customHeight="true" outlineLevel="0" collapsed="false">
      <c r="A2781" s="7" t="s">
        <v>7446</v>
      </c>
      <c r="B2781" s="7" t="s">
        <v>6820</v>
      </c>
      <c r="C2781" s="7" t="n">
        <v>3</v>
      </c>
      <c r="D2781" s="7" t="s">
        <v>6818</v>
      </c>
      <c r="E2781" s="7" t="n">
        <v>1</v>
      </c>
      <c r="F2781" s="7" t="s">
        <v>96</v>
      </c>
      <c r="G2781" s="12" t="str">
        <f aca="false">IFERROR(INDEX('Semrush Data'!$A$1:$Z$20000,MATCH(A2781,'Semrush Data'!$A$1:$A$20000,0),MATCH("Volume",'Semrush Data'!$A$1:$Z$1,0)),"")</f>
        <v/>
      </c>
      <c r="H2781" s="7" t="str">
        <f aca="false">IFERROR(INDEX('Semrush Data'!$A$1:$Z$20000,MATCH(A2781,'Semrush Data'!$A$1:$A$20000,0),MATCH("Keyword Difficulty*",'Semrush Data'!$A$1:$Z$1,0)),"")</f>
        <v/>
      </c>
      <c r="I2781" s="13" t="str">
        <f aca="false">IFERROR(INDEX('Semrush Data'!$A$1:$Z$20000,MATCH(A2781,'Semrush Data'!$A$1:$A$20000,0),MATCH("CPC*",'Semrush Data'!$A$1:$Z$1,0)),"")</f>
        <v/>
      </c>
      <c r="J2781" s="7" t="str">
        <f aca="false">IFERROR(INDEX('Semrush Data'!$A$1:$Z$20000,MATCH(A2781,'Semrush Data'!$A$1:$A$20000,0),MATCH("Intent",'Semrush Data'!$A$1:$Z$1,0)),"")</f>
        <v/>
      </c>
    </row>
    <row r="2782" customFormat="false" ht="15" hidden="false" customHeight="true" outlineLevel="0" collapsed="false">
      <c r="A2782" s="7" t="s">
        <v>7447</v>
      </c>
      <c r="B2782" s="7" t="s">
        <v>6820</v>
      </c>
      <c r="C2782" s="7" t="n">
        <v>3</v>
      </c>
      <c r="D2782" s="7" t="n">
        <v>28</v>
      </c>
      <c r="E2782" s="7" t="n">
        <v>1</v>
      </c>
      <c r="F2782" s="7" t="s">
        <v>4382</v>
      </c>
      <c r="G2782" s="12" t="str">
        <f aca="false">IFERROR(INDEX('Semrush Data'!$A$1:$Z$20000,MATCH(A2782,'Semrush Data'!$A$1:$A$20000,0),MATCH("Volume",'Semrush Data'!$A$1:$Z$1,0)),"")</f>
        <v/>
      </c>
      <c r="H2782" s="7" t="str">
        <f aca="false">IFERROR(INDEX('Semrush Data'!$A$1:$Z$20000,MATCH(A2782,'Semrush Data'!$A$1:$A$20000,0),MATCH("Keyword Difficulty*",'Semrush Data'!$A$1:$Z$1,0)),"")</f>
        <v/>
      </c>
      <c r="I2782" s="13" t="str">
        <f aca="false">IFERROR(INDEX('Semrush Data'!$A$1:$Z$20000,MATCH(A2782,'Semrush Data'!$A$1:$A$20000,0),MATCH("CPC*",'Semrush Data'!$A$1:$Z$1,0)),"")</f>
        <v/>
      </c>
      <c r="J2782" s="7" t="str">
        <f aca="false">IFERROR(INDEX('Semrush Data'!$A$1:$Z$20000,MATCH(A2782,'Semrush Data'!$A$1:$A$20000,0),MATCH("Intent",'Semrush Data'!$A$1:$Z$1,0)),"")</f>
        <v/>
      </c>
    </row>
    <row r="2783" customFormat="false" ht="15" hidden="false" customHeight="true" outlineLevel="0" collapsed="false">
      <c r="A2783" s="7" t="s">
        <v>7448</v>
      </c>
      <c r="B2783" s="7" t="s">
        <v>6820</v>
      </c>
      <c r="C2783" s="7" t="n">
        <v>3</v>
      </c>
      <c r="D2783" s="7" t="n">
        <v>28</v>
      </c>
      <c r="E2783" s="7" t="n">
        <v>1</v>
      </c>
      <c r="F2783" s="7" t="s">
        <v>4382</v>
      </c>
      <c r="G2783" s="12" t="str">
        <f aca="false">IFERROR(INDEX('Semrush Data'!$A$1:$Z$20000,MATCH(A2783,'Semrush Data'!$A$1:$A$20000,0),MATCH("Volume",'Semrush Data'!$A$1:$Z$1,0)),"")</f>
        <v/>
      </c>
      <c r="H2783" s="7" t="str">
        <f aca="false">IFERROR(INDEX('Semrush Data'!$A$1:$Z$20000,MATCH(A2783,'Semrush Data'!$A$1:$A$20000,0),MATCH("Keyword Difficulty*",'Semrush Data'!$A$1:$Z$1,0)),"")</f>
        <v/>
      </c>
      <c r="I2783" s="13" t="str">
        <f aca="false">IFERROR(INDEX('Semrush Data'!$A$1:$Z$20000,MATCH(A2783,'Semrush Data'!$A$1:$A$20000,0),MATCH("CPC*",'Semrush Data'!$A$1:$Z$1,0)),"")</f>
        <v/>
      </c>
      <c r="J2783" s="7" t="str">
        <f aca="false">IFERROR(INDEX('Semrush Data'!$A$1:$Z$20000,MATCH(A2783,'Semrush Data'!$A$1:$A$20000,0),MATCH("Intent",'Semrush Data'!$A$1:$Z$1,0)),"")</f>
        <v/>
      </c>
    </row>
    <row r="2784" customFormat="false" ht="15" hidden="false" customHeight="true" outlineLevel="0" collapsed="false">
      <c r="A2784" s="7" t="s">
        <v>7449</v>
      </c>
      <c r="B2784" s="7" t="s">
        <v>6820</v>
      </c>
      <c r="C2784" s="7" t="n">
        <v>3</v>
      </c>
      <c r="D2784" s="7" t="n">
        <v>28</v>
      </c>
      <c r="E2784" s="7" t="n">
        <v>1</v>
      </c>
      <c r="F2784" s="7" t="s">
        <v>4382</v>
      </c>
      <c r="G2784" s="12" t="str">
        <f aca="false">IFERROR(INDEX('Semrush Data'!$A$1:$Z$20000,MATCH(A2784,'Semrush Data'!$A$1:$A$20000,0),MATCH("Volume",'Semrush Data'!$A$1:$Z$1,0)),"")</f>
        <v/>
      </c>
      <c r="H2784" s="7" t="str">
        <f aca="false">IFERROR(INDEX('Semrush Data'!$A$1:$Z$20000,MATCH(A2784,'Semrush Data'!$A$1:$A$20000,0),MATCH("Keyword Difficulty*",'Semrush Data'!$A$1:$Z$1,0)),"")</f>
        <v/>
      </c>
      <c r="I2784" s="13" t="str">
        <f aca="false">IFERROR(INDEX('Semrush Data'!$A$1:$Z$20000,MATCH(A2784,'Semrush Data'!$A$1:$A$20000,0),MATCH("CPC*",'Semrush Data'!$A$1:$Z$1,0)),"")</f>
        <v/>
      </c>
      <c r="J2784" s="7" t="str">
        <f aca="false">IFERROR(INDEX('Semrush Data'!$A$1:$Z$20000,MATCH(A2784,'Semrush Data'!$A$1:$A$20000,0),MATCH("Intent",'Semrush Data'!$A$1:$Z$1,0)),"")</f>
        <v/>
      </c>
    </row>
    <row r="2785" customFormat="false" ht="15" hidden="false" customHeight="true" outlineLevel="0" collapsed="false">
      <c r="A2785" s="7" t="s">
        <v>7450</v>
      </c>
      <c r="B2785" s="7" t="s">
        <v>6820</v>
      </c>
      <c r="C2785" s="7" t="n">
        <v>3</v>
      </c>
      <c r="D2785" s="7" t="n">
        <v>28</v>
      </c>
      <c r="E2785" s="7" t="n">
        <v>1</v>
      </c>
      <c r="F2785" s="7" t="s">
        <v>4382</v>
      </c>
      <c r="G2785" s="12" t="str">
        <f aca="false">IFERROR(INDEX('Semrush Data'!$A$1:$Z$20000,MATCH(A2785,'Semrush Data'!$A$1:$A$20000,0),MATCH("Volume",'Semrush Data'!$A$1:$Z$1,0)),"")</f>
        <v/>
      </c>
      <c r="H2785" s="7" t="str">
        <f aca="false">IFERROR(INDEX('Semrush Data'!$A$1:$Z$20000,MATCH(A2785,'Semrush Data'!$A$1:$A$20000,0),MATCH("Keyword Difficulty*",'Semrush Data'!$A$1:$Z$1,0)),"")</f>
        <v/>
      </c>
      <c r="I2785" s="13" t="str">
        <f aca="false">IFERROR(INDEX('Semrush Data'!$A$1:$Z$20000,MATCH(A2785,'Semrush Data'!$A$1:$A$20000,0),MATCH("CPC*",'Semrush Data'!$A$1:$Z$1,0)),"")</f>
        <v/>
      </c>
      <c r="J2785" s="7" t="str">
        <f aca="false">IFERROR(INDEX('Semrush Data'!$A$1:$Z$20000,MATCH(A2785,'Semrush Data'!$A$1:$A$20000,0),MATCH("Intent",'Semrush Data'!$A$1:$Z$1,0)),"")</f>
        <v/>
      </c>
    </row>
    <row r="2786" customFormat="false" ht="15" hidden="false" customHeight="true" outlineLevel="0" collapsed="false">
      <c r="A2786" s="7" t="s">
        <v>7451</v>
      </c>
      <c r="B2786" s="7" t="s">
        <v>6820</v>
      </c>
      <c r="C2786" s="7" t="n">
        <v>3</v>
      </c>
      <c r="D2786" s="7" t="n">
        <v>28</v>
      </c>
      <c r="E2786" s="7" t="n">
        <v>1</v>
      </c>
      <c r="F2786" s="7" t="s">
        <v>4393</v>
      </c>
      <c r="G2786" s="12" t="str">
        <f aca="false">IFERROR(INDEX('Semrush Data'!$A$1:$Z$20000,MATCH(A2786,'Semrush Data'!$A$1:$A$20000,0),MATCH("Volume",'Semrush Data'!$A$1:$Z$1,0)),"")</f>
        <v/>
      </c>
      <c r="H2786" s="7" t="str">
        <f aca="false">IFERROR(INDEX('Semrush Data'!$A$1:$Z$20000,MATCH(A2786,'Semrush Data'!$A$1:$A$20000,0),MATCH("Keyword Difficulty*",'Semrush Data'!$A$1:$Z$1,0)),"")</f>
        <v/>
      </c>
      <c r="I2786" s="13" t="str">
        <f aca="false">IFERROR(INDEX('Semrush Data'!$A$1:$Z$20000,MATCH(A2786,'Semrush Data'!$A$1:$A$20000,0),MATCH("CPC*",'Semrush Data'!$A$1:$Z$1,0)),"")</f>
        <v/>
      </c>
      <c r="J2786" s="7" t="str">
        <f aca="false">IFERROR(INDEX('Semrush Data'!$A$1:$Z$20000,MATCH(A2786,'Semrush Data'!$A$1:$A$20000,0),MATCH("Intent",'Semrush Data'!$A$1:$Z$1,0)),"")</f>
        <v/>
      </c>
    </row>
    <row r="2787" customFormat="false" ht="15" hidden="false" customHeight="true" outlineLevel="0" collapsed="false">
      <c r="A2787" s="7" t="s">
        <v>7452</v>
      </c>
      <c r="B2787" s="7" t="s">
        <v>6820</v>
      </c>
      <c r="C2787" s="7" t="n">
        <v>3</v>
      </c>
      <c r="D2787" s="7" t="n">
        <v>28</v>
      </c>
      <c r="E2787" s="7" t="n">
        <v>1</v>
      </c>
      <c r="F2787" s="7" t="s">
        <v>4393</v>
      </c>
      <c r="G2787" s="12" t="str">
        <f aca="false">IFERROR(INDEX('Semrush Data'!$A$1:$Z$20000,MATCH(A2787,'Semrush Data'!$A$1:$A$20000,0),MATCH("Volume",'Semrush Data'!$A$1:$Z$1,0)),"")</f>
        <v/>
      </c>
      <c r="H2787" s="7" t="str">
        <f aca="false">IFERROR(INDEX('Semrush Data'!$A$1:$Z$20000,MATCH(A2787,'Semrush Data'!$A$1:$A$20000,0),MATCH("Keyword Difficulty*",'Semrush Data'!$A$1:$Z$1,0)),"")</f>
        <v/>
      </c>
      <c r="I2787" s="13" t="str">
        <f aca="false">IFERROR(INDEX('Semrush Data'!$A$1:$Z$20000,MATCH(A2787,'Semrush Data'!$A$1:$A$20000,0),MATCH("CPC*",'Semrush Data'!$A$1:$Z$1,0)),"")</f>
        <v/>
      </c>
      <c r="J2787" s="7" t="str">
        <f aca="false">IFERROR(INDEX('Semrush Data'!$A$1:$Z$20000,MATCH(A2787,'Semrush Data'!$A$1:$A$20000,0),MATCH("Intent",'Semrush Data'!$A$1:$Z$1,0)),"")</f>
        <v/>
      </c>
    </row>
    <row r="2788" customFormat="false" ht="15" hidden="false" customHeight="true" outlineLevel="0" collapsed="false">
      <c r="A2788" s="7" t="s">
        <v>7453</v>
      </c>
      <c r="B2788" s="7" t="s">
        <v>6820</v>
      </c>
      <c r="C2788" s="7" t="n">
        <v>3</v>
      </c>
      <c r="D2788" s="7" t="n">
        <v>28</v>
      </c>
      <c r="E2788" s="7" t="n">
        <v>1</v>
      </c>
      <c r="F2788" s="7" t="s">
        <v>4393</v>
      </c>
      <c r="G2788" s="12" t="str">
        <f aca="false">IFERROR(INDEX('Semrush Data'!$A$1:$Z$20000,MATCH(A2788,'Semrush Data'!$A$1:$A$20000,0),MATCH("Volume",'Semrush Data'!$A$1:$Z$1,0)),"")</f>
        <v/>
      </c>
      <c r="H2788" s="7" t="str">
        <f aca="false">IFERROR(INDEX('Semrush Data'!$A$1:$Z$20000,MATCH(A2788,'Semrush Data'!$A$1:$A$20000,0),MATCH("Keyword Difficulty*",'Semrush Data'!$A$1:$Z$1,0)),"")</f>
        <v/>
      </c>
      <c r="I2788" s="13" t="str">
        <f aca="false">IFERROR(INDEX('Semrush Data'!$A$1:$Z$20000,MATCH(A2788,'Semrush Data'!$A$1:$A$20000,0),MATCH("CPC*",'Semrush Data'!$A$1:$Z$1,0)),"")</f>
        <v/>
      </c>
      <c r="J2788" s="7" t="str">
        <f aca="false">IFERROR(INDEX('Semrush Data'!$A$1:$Z$20000,MATCH(A2788,'Semrush Data'!$A$1:$A$20000,0),MATCH("Intent",'Semrush Data'!$A$1:$Z$1,0)),"")</f>
        <v/>
      </c>
    </row>
    <row r="2789" customFormat="false" ht="15" hidden="false" customHeight="true" outlineLevel="0" collapsed="false">
      <c r="A2789" s="7" t="s">
        <v>7454</v>
      </c>
      <c r="B2789" s="7" t="s">
        <v>6820</v>
      </c>
      <c r="C2789" s="7" t="n">
        <v>3</v>
      </c>
      <c r="D2789" s="7" t="n">
        <v>28</v>
      </c>
      <c r="E2789" s="7" t="n">
        <v>1</v>
      </c>
      <c r="F2789" s="7" t="s">
        <v>4580</v>
      </c>
      <c r="G2789" s="12" t="str">
        <f aca="false">IFERROR(INDEX('Semrush Data'!$A$1:$Z$20000,MATCH(A2789,'Semrush Data'!$A$1:$A$20000,0),MATCH("Volume",'Semrush Data'!$A$1:$Z$1,0)),"")</f>
        <v/>
      </c>
      <c r="H2789" s="7" t="str">
        <f aca="false">IFERROR(INDEX('Semrush Data'!$A$1:$Z$20000,MATCH(A2789,'Semrush Data'!$A$1:$A$20000,0),MATCH("Keyword Difficulty*",'Semrush Data'!$A$1:$Z$1,0)),"")</f>
        <v/>
      </c>
      <c r="I2789" s="13" t="str">
        <f aca="false">IFERROR(INDEX('Semrush Data'!$A$1:$Z$20000,MATCH(A2789,'Semrush Data'!$A$1:$A$20000,0),MATCH("CPC*",'Semrush Data'!$A$1:$Z$1,0)),"")</f>
        <v/>
      </c>
      <c r="J2789" s="7" t="str">
        <f aca="false">IFERROR(INDEX('Semrush Data'!$A$1:$Z$20000,MATCH(A2789,'Semrush Data'!$A$1:$A$20000,0),MATCH("Intent",'Semrush Data'!$A$1:$Z$1,0)),"")</f>
        <v/>
      </c>
    </row>
    <row r="2790" customFormat="false" ht="15" hidden="false" customHeight="true" outlineLevel="0" collapsed="false">
      <c r="A2790" s="7" t="s">
        <v>7455</v>
      </c>
      <c r="B2790" s="7" t="s">
        <v>6820</v>
      </c>
      <c r="C2790" s="7" t="n">
        <v>3</v>
      </c>
      <c r="D2790" s="7" t="n">
        <v>28</v>
      </c>
      <c r="E2790" s="7" t="n">
        <v>1</v>
      </c>
      <c r="F2790" s="7" t="s">
        <v>4580</v>
      </c>
      <c r="G2790" s="12" t="str">
        <f aca="false">IFERROR(INDEX('Semrush Data'!$A$1:$Z$20000,MATCH(A2790,'Semrush Data'!$A$1:$A$20000,0),MATCH("Volume",'Semrush Data'!$A$1:$Z$1,0)),"")</f>
        <v/>
      </c>
      <c r="H2790" s="7" t="str">
        <f aca="false">IFERROR(INDEX('Semrush Data'!$A$1:$Z$20000,MATCH(A2790,'Semrush Data'!$A$1:$A$20000,0),MATCH("Keyword Difficulty*",'Semrush Data'!$A$1:$Z$1,0)),"")</f>
        <v/>
      </c>
      <c r="I2790" s="13" t="str">
        <f aca="false">IFERROR(INDEX('Semrush Data'!$A$1:$Z$20000,MATCH(A2790,'Semrush Data'!$A$1:$A$20000,0),MATCH("CPC*",'Semrush Data'!$A$1:$Z$1,0)),"")</f>
        <v/>
      </c>
      <c r="J2790" s="7" t="str">
        <f aca="false">IFERROR(INDEX('Semrush Data'!$A$1:$Z$20000,MATCH(A2790,'Semrush Data'!$A$1:$A$20000,0),MATCH("Intent",'Semrush Data'!$A$1:$Z$1,0)),"")</f>
        <v/>
      </c>
    </row>
    <row r="2791" customFormat="false" ht="15" hidden="false" customHeight="true" outlineLevel="0" collapsed="false">
      <c r="A2791" s="7" t="s">
        <v>7456</v>
      </c>
      <c r="B2791" s="7" t="s">
        <v>6820</v>
      </c>
      <c r="C2791" s="7" t="n">
        <v>3</v>
      </c>
      <c r="D2791" s="7" t="n">
        <v>28</v>
      </c>
      <c r="E2791" s="7" t="n">
        <v>1</v>
      </c>
      <c r="F2791" s="7" t="s">
        <v>4580</v>
      </c>
      <c r="G2791" s="12" t="str">
        <f aca="false">IFERROR(INDEX('Semrush Data'!$A$1:$Z$20000,MATCH(A2791,'Semrush Data'!$A$1:$A$20000,0),MATCH("Volume",'Semrush Data'!$A$1:$Z$1,0)),"")</f>
        <v/>
      </c>
      <c r="H2791" s="7" t="str">
        <f aca="false">IFERROR(INDEX('Semrush Data'!$A$1:$Z$20000,MATCH(A2791,'Semrush Data'!$A$1:$A$20000,0),MATCH("Keyword Difficulty*",'Semrush Data'!$A$1:$Z$1,0)),"")</f>
        <v/>
      </c>
      <c r="I2791" s="13" t="str">
        <f aca="false">IFERROR(INDEX('Semrush Data'!$A$1:$Z$20000,MATCH(A2791,'Semrush Data'!$A$1:$A$20000,0),MATCH("CPC*",'Semrush Data'!$A$1:$Z$1,0)),"")</f>
        <v/>
      </c>
      <c r="J2791" s="7" t="str">
        <f aca="false">IFERROR(INDEX('Semrush Data'!$A$1:$Z$20000,MATCH(A2791,'Semrush Data'!$A$1:$A$20000,0),MATCH("Intent",'Semrush Data'!$A$1:$Z$1,0)),"")</f>
        <v/>
      </c>
    </row>
    <row r="2792" customFormat="false" ht="15" hidden="false" customHeight="true" outlineLevel="0" collapsed="false">
      <c r="A2792" s="7" t="s">
        <v>7457</v>
      </c>
      <c r="B2792" s="7" t="s">
        <v>6820</v>
      </c>
      <c r="C2792" s="7" t="n">
        <v>3</v>
      </c>
      <c r="D2792" s="7" t="n">
        <v>28</v>
      </c>
      <c r="E2792" s="7" t="n">
        <v>1</v>
      </c>
      <c r="F2792" s="7" t="s">
        <v>112</v>
      </c>
      <c r="G2792" s="12" t="str">
        <f aca="false">IFERROR(INDEX('Semrush Data'!$A$1:$Z$20000,MATCH(A2792,'Semrush Data'!$A$1:$A$20000,0),MATCH("Volume",'Semrush Data'!$A$1:$Z$1,0)),"")</f>
        <v/>
      </c>
      <c r="H2792" s="7" t="str">
        <f aca="false">IFERROR(INDEX('Semrush Data'!$A$1:$Z$20000,MATCH(A2792,'Semrush Data'!$A$1:$A$20000,0),MATCH("Keyword Difficulty*",'Semrush Data'!$A$1:$Z$1,0)),"")</f>
        <v/>
      </c>
      <c r="I2792" s="13" t="str">
        <f aca="false">IFERROR(INDEX('Semrush Data'!$A$1:$Z$20000,MATCH(A2792,'Semrush Data'!$A$1:$A$20000,0),MATCH("CPC*",'Semrush Data'!$A$1:$Z$1,0)),"")</f>
        <v/>
      </c>
      <c r="J2792" s="7" t="str">
        <f aca="false">IFERROR(INDEX('Semrush Data'!$A$1:$Z$20000,MATCH(A2792,'Semrush Data'!$A$1:$A$20000,0),MATCH("Intent",'Semrush Data'!$A$1:$Z$1,0)),"")</f>
        <v/>
      </c>
    </row>
    <row r="2793" customFormat="false" ht="15" hidden="false" customHeight="true" outlineLevel="0" collapsed="false">
      <c r="A2793" s="7" t="s">
        <v>7458</v>
      </c>
      <c r="B2793" s="7" t="s">
        <v>6820</v>
      </c>
      <c r="C2793" s="7" t="n">
        <v>3</v>
      </c>
      <c r="D2793" s="7" t="n">
        <v>28</v>
      </c>
      <c r="E2793" s="7" t="n">
        <v>1</v>
      </c>
      <c r="F2793" s="7" t="s">
        <v>112</v>
      </c>
      <c r="G2793" s="12" t="str">
        <f aca="false">IFERROR(INDEX('Semrush Data'!$A$1:$Z$20000,MATCH(A2793,'Semrush Data'!$A$1:$A$20000,0),MATCH("Volume",'Semrush Data'!$A$1:$Z$1,0)),"")</f>
        <v/>
      </c>
      <c r="H2793" s="7" t="str">
        <f aca="false">IFERROR(INDEX('Semrush Data'!$A$1:$Z$20000,MATCH(A2793,'Semrush Data'!$A$1:$A$20000,0),MATCH("Keyword Difficulty*",'Semrush Data'!$A$1:$Z$1,0)),"")</f>
        <v/>
      </c>
      <c r="I2793" s="13" t="str">
        <f aca="false">IFERROR(INDEX('Semrush Data'!$A$1:$Z$20000,MATCH(A2793,'Semrush Data'!$A$1:$A$20000,0),MATCH("CPC*",'Semrush Data'!$A$1:$Z$1,0)),"")</f>
        <v/>
      </c>
      <c r="J2793" s="7" t="str">
        <f aca="false">IFERROR(INDEX('Semrush Data'!$A$1:$Z$20000,MATCH(A2793,'Semrush Data'!$A$1:$A$20000,0),MATCH("Intent",'Semrush Data'!$A$1:$Z$1,0)),"")</f>
        <v/>
      </c>
    </row>
    <row r="2794" customFormat="false" ht="15" hidden="false" customHeight="true" outlineLevel="0" collapsed="false">
      <c r="A2794" s="7" t="s">
        <v>7459</v>
      </c>
      <c r="B2794" s="7" t="s">
        <v>6820</v>
      </c>
      <c r="C2794" s="7" t="n">
        <v>3</v>
      </c>
      <c r="D2794" s="7" t="n">
        <v>28</v>
      </c>
      <c r="E2794" s="7" t="n">
        <v>1</v>
      </c>
      <c r="F2794" s="7" t="s">
        <v>112</v>
      </c>
      <c r="G2794" s="12" t="str">
        <f aca="false">IFERROR(INDEX('Semrush Data'!$A$1:$Z$20000,MATCH(A2794,'Semrush Data'!$A$1:$A$20000,0),MATCH("Volume",'Semrush Data'!$A$1:$Z$1,0)),"")</f>
        <v/>
      </c>
      <c r="H2794" s="7" t="str">
        <f aca="false">IFERROR(INDEX('Semrush Data'!$A$1:$Z$20000,MATCH(A2794,'Semrush Data'!$A$1:$A$20000,0),MATCH("Keyword Difficulty*",'Semrush Data'!$A$1:$Z$1,0)),"")</f>
        <v/>
      </c>
      <c r="I2794" s="13" t="str">
        <f aca="false">IFERROR(INDEX('Semrush Data'!$A$1:$Z$20000,MATCH(A2794,'Semrush Data'!$A$1:$A$20000,0),MATCH("CPC*",'Semrush Data'!$A$1:$Z$1,0)),"")</f>
        <v/>
      </c>
      <c r="J2794" s="7" t="str">
        <f aca="false">IFERROR(INDEX('Semrush Data'!$A$1:$Z$20000,MATCH(A2794,'Semrush Data'!$A$1:$A$20000,0),MATCH("Intent",'Semrush Data'!$A$1:$Z$1,0)),"")</f>
        <v/>
      </c>
    </row>
    <row r="2795" customFormat="false" ht="15" hidden="false" customHeight="true" outlineLevel="0" collapsed="false">
      <c r="A2795" s="7" t="s">
        <v>7460</v>
      </c>
      <c r="B2795" s="7" t="s">
        <v>6820</v>
      </c>
      <c r="C2795" s="7" t="n">
        <v>3</v>
      </c>
      <c r="D2795" s="7" t="n">
        <v>28</v>
      </c>
      <c r="E2795" s="7" t="n">
        <v>1</v>
      </c>
      <c r="F2795" s="7" t="s">
        <v>112</v>
      </c>
      <c r="G2795" s="12" t="str">
        <f aca="false">IFERROR(INDEX('Semrush Data'!$A$1:$Z$20000,MATCH(A2795,'Semrush Data'!$A$1:$A$20000,0),MATCH("Volume",'Semrush Data'!$A$1:$Z$1,0)),"")</f>
        <v/>
      </c>
      <c r="H2795" s="7" t="str">
        <f aca="false">IFERROR(INDEX('Semrush Data'!$A$1:$Z$20000,MATCH(A2795,'Semrush Data'!$A$1:$A$20000,0),MATCH("Keyword Difficulty*",'Semrush Data'!$A$1:$Z$1,0)),"")</f>
        <v/>
      </c>
      <c r="I2795" s="13" t="str">
        <f aca="false">IFERROR(INDEX('Semrush Data'!$A$1:$Z$20000,MATCH(A2795,'Semrush Data'!$A$1:$A$20000,0),MATCH("CPC*",'Semrush Data'!$A$1:$Z$1,0)),"")</f>
        <v/>
      </c>
      <c r="J2795" s="7" t="str">
        <f aca="false">IFERROR(INDEX('Semrush Data'!$A$1:$Z$20000,MATCH(A2795,'Semrush Data'!$A$1:$A$20000,0),MATCH("Intent",'Semrush Data'!$A$1:$Z$1,0)),"")</f>
        <v/>
      </c>
    </row>
    <row r="2796" customFormat="false" ht="15" hidden="false" customHeight="true" outlineLevel="0" collapsed="false">
      <c r="A2796" s="7" t="s">
        <v>7461</v>
      </c>
      <c r="B2796" s="7" t="s">
        <v>6820</v>
      </c>
      <c r="C2796" s="7" t="n">
        <v>3</v>
      </c>
      <c r="D2796" s="7" t="s">
        <v>6818</v>
      </c>
      <c r="E2796" s="7" t="n">
        <v>1</v>
      </c>
      <c r="F2796" s="7" t="s">
        <v>112</v>
      </c>
      <c r="G2796" s="12" t="str">
        <f aca="false">IFERROR(INDEX('Semrush Data'!$A$1:$Z$20000,MATCH(A2796,'Semrush Data'!$A$1:$A$20000,0),MATCH("Volume",'Semrush Data'!$A$1:$Z$1,0)),"")</f>
        <v/>
      </c>
      <c r="H2796" s="7" t="str">
        <f aca="false">IFERROR(INDEX('Semrush Data'!$A$1:$Z$20000,MATCH(A2796,'Semrush Data'!$A$1:$A$20000,0),MATCH("Keyword Difficulty*",'Semrush Data'!$A$1:$Z$1,0)),"")</f>
        <v/>
      </c>
      <c r="I2796" s="13" t="str">
        <f aca="false">IFERROR(INDEX('Semrush Data'!$A$1:$Z$20000,MATCH(A2796,'Semrush Data'!$A$1:$A$20000,0),MATCH("CPC*",'Semrush Data'!$A$1:$Z$1,0)),"")</f>
        <v/>
      </c>
      <c r="J2796" s="7" t="str">
        <f aca="false">IFERROR(INDEX('Semrush Data'!$A$1:$Z$20000,MATCH(A2796,'Semrush Data'!$A$1:$A$20000,0),MATCH("Intent",'Semrush Data'!$A$1:$Z$1,0)),"")</f>
        <v/>
      </c>
    </row>
    <row r="2797" customFormat="false" ht="15" hidden="false" customHeight="true" outlineLevel="0" collapsed="false">
      <c r="A2797" s="7" t="s">
        <v>7462</v>
      </c>
      <c r="B2797" s="7" t="s">
        <v>6820</v>
      </c>
      <c r="C2797" s="7" t="n">
        <v>3</v>
      </c>
      <c r="D2797" s="7" t="s">
        <v>6818</v>
      </c>
      <c r="E2797" s="7" t="n">
        <v>1</v>
      </c>
      <c r="F2797" s="7" t="s">
        <v>112</v>
      </c>
      <c r="G2797" s="12" t="str">
        <f aca="false">IFERROR(INDEX('Semrush Data'!$A$1:$Z$20000,MATCH(A2797,'Semrush Data'!$A$1:$A$20000,0),MATCH("Volume",'Semrush Data'!$A$1:$Z$1,0)),"")</f>
        <v/>
      </c>
      <c r="H2797" s="7" t="str">
        <f aca="false">IFERROR(INDEX('Semrush Data'!$A$1:$Z$20000,MATCH(A2797,'Semrush Data'!$A$1:$A$20000,0),MATCH("Keyword Difficulty*",'Semrush Data'!$A$1:$Z$1,0)),"")</f>
        <v/>
      </c>
      <c r="I2797" s="13" t="str">
        <f aca="false">IFERROR(INDEX('Semrush Data'!$A$1:$Z$20000,MATCH(A2797,'Semrush Data'!$A$1:$A$20000,0),MATCH("CPC*",'Semrush Data'!$A$1:$Z$1,0)),"")</f>
        <v/>
      </c>
      <c r="J2797" s="7" t="str">
        <f aca="false">IFERROR(INDEX('Semrush Data'!$A$1:$Z$20000,MATCH(A2797,'Semrush Data'!$A$1:$A$20000,0),MATCH("Intent",'Semrush Data'!$A$1:$Z$1,0)),"")</f>
        <v/>
      </c>
    </row>
    <row r="2798" customFormat="false" ht="15" hidden="false" customHeight="true" outlineLevel="0" collapsed="false">
      <c r="A2798" s="7" t="s">
        <v>7463</v>
      </c>
      <c r="B2798" s="7" t="s">
        <v>6820</v>
      </c>
      <c r="C2798" s="7" t="n">
        <v>3</v>
      </c>
      <c r="D2798" s="7" t="n">
        <v>28</v>
      </c>
      <c r="E2798" s="7" t="n">
        <v>1</v>
      </c>
      <c r="F2798" s="7" t="s">
        <v>4604</v>
      </c>
      <c r="G2798" s="12" t="str">
        <f aca="false">IFERROR(INDEX('Semrush Data'!$A$1:$Z$20000,MATCH(A2798,'Semrush Data'!$A$1:$A$20000,0),MATCH("Volume",'Semrush Data'!$A$1:$Z$1,0)),"")</f>
        <v/>
      </c>
      <c r="H2798" s="7" t="str">
        <f aca="false">IFERROR(INDEX('Semrush Data'!$A$1:$Z$20000,MATCH(A2798,'Semrush Data'!$A$1:$A$20000,0),MATCH("Keyword Difficulty*",'Semrush Data'!$A$1:$Z$1,0)),"")</f>
        <v/>
      </c>
      <c r="I2798" s="13" t="str">
        <f aca="false">IFERROR(INDEX('Semrush Data'!$A$1:$Z$20000,MATCH(A2798,'Semrush Data'!$A$1:$A$20000,0),MATCH("CPC*",'Semrush Data'!$A$1:$Z$1,0)),"")</f>
        <v/>
      </c>
      <c r="J2798" s="7" t="str">
        <f aca="false">IFERROR(INDEX('Semrush Data'!$A$1:$Z$20000,MATCH(A2798,'Semrush Data'!$A$1:$A$20000,0),MATCH("Intent",'Semrush Data'!$A$1:$Z$1,0)),"")</f>
        <v/>
      </c>
    </row>
    <row r="2799" customFormat="false" ht="15" hidden="false" customHeight="true" outlineLevel="0" collapsed="false">
      <c r="A2799" s="7" t="s">
        <v>7464</v>
      </c>
      <c r="B2799" s="7" t="s">
        <v>6820</v>
      </c>
      <c r="C2799" s="7" t="n">
        <v>3</v>
      </c>
      <c r="D2799" s="7" t="n">
        <v>28</v>
      </c>
      <c r="E2799" s="7" t="n">
        <v>1</v>
      </c>
      <c r="F2799" s="7" t="s">
        <v>4604</v>
      </c>
      <c r="G2799" s="12" t="str">
        <f aca="false">IFERROR(INDEX('Semrush Data'!$A$1:$Z$20000,MATCH(A2799,'Semrush Data'!$A$1:$A$20000,0),MATCH("Volume",'Semrush Data'!$A$1:$Z$1,0)),"")</f>
        <v/>
      </c>
      <c r="H2799" s="7" t="str">
        <f aca="false">IFERROR(INDEX('Semrush Data'!$A$1:$Z$20000,MATCH(A2799,'Semrush Data'!$A$1:$A$20000,0),MATCH("Keyword Difficulty*",'Semrush Data'!$A$1:$Z$1,0)),"")</f>
        <v/>
      </c>
      <c r="I2799" s="13" t="str">
        <f aca="false">IFERROR(INDEX('Semrush Data'!$A$1:$Z$20000,MATCH(A2799,'Semrush Data'!$A$1:$A$20000,0),MATCH("CPC*",'Semrush Data'!$A$1:$Z$1,0)),"")</f>
        <v/>
      </c>
      <c r="J2799" s="7" t="str">
        <f aca="false">IFERROR(INDEX('Semrush Data'!$A$1:$Z$20000,MATCH(A2799,'Semrush Data'!$A$1:$A$20000,0),MATCH("Intent",'Semrush Data'!$A$1:$Z$1,0)),"")</f>
        <v/>
      </c>
    </row>
    <row r="2800" customFormat="false" ht="15" hidden="false" customHeight="true" outlineLevel="0" collapsed="false">
      <c r="A2800" s="7" t="s">
        <v>7465</v>
      </c>
      <c r="B2800" s="7" t="s">
        <v>6820</v>
      </c>
      <c r="C2800" s="7" t="n">
        <v>3</v>
      </c>
      <c r="D2800" s="7" t="n">
        <v>28</v>
      </c>
      <c r="E2800" s="7" t="n">
        <v>1</v>
      </c>
      <c r="F2800" s="7" t="s">
        <v>4604</v>
      </c>
      <c r="G2800" s="12" t="str">
        <f aca="false">IFERROR(INDEX('Semrush Data'!$A$1:$Z$20000,MATCH(A2800,'Semrush Data'!$A$1:$A$20000,0),MATCH("Volume",'Semrush Data'!$A$1:$Z$1,0)),"")</f>
        <v/>
      </c>
      <c r="H2800" s="7" t="str">
        <f aca="false">IFERROR(INDEX('Semrush Data'!$A$1:$Z$20000,MATCH(A2800,'Semrush Data'!$A$1:$A$20000,0),MATCH("Keyword Difficulty*",'Semrush Data'!$A$1:$Z$1,0)),"")</f>
        <v/>
      </c>
      <c r="I2800" s="13" t="str">
        <f aca="false">IFERROR(INDEX('Semrush Data'!$A$1:$Z$20000,MATCH(A2800,'Semrush Data'!$A$1:$A$20000,0),MATCH("CPC*",'Semrush Data'!$A$1:$Z$1,0)),"")</f>
        <v/>
      </c>
      <c r="J2800" s="7" t="str">
        <f aca="false">IFERROR(INDEX('Semrush Data'!$A$1:$Z$20000,MATCH(A2800,'Semrush Data'!$A$1:$A$20000,0),MATCH("Intent",'Semrush Data'!$A$1:$Z$1,0)),"")</f>
        <v/>
      </c>
    </row>
    <row r="2801" customFormat="false" ht="15" hidden="false" customHeight="true" outlineLevel="0" collapsed="false">
      <c r="A2801" s="7" t="s">
        <v>7466</v>
      </c>
      <c r="B2801" s="7" t="s">
        <v>6820</v>
      </c>
      <c r="C2801" s="7" t="n">
        <v>3</v>
      </c>
      <c r="D2801" s="7" t="n">
        <v>28</v>
      </c>
      <c r="E2801" s="7" t="n">
        <v>1</v>
      </c>
      <c r="F2801" s="7" t="s">
        <v>4604</v>
      </c>
      <c r="G2801" s="12" t="str">
        <f aca="false">IFERROR(INDEX('Semrush Data'!$A$1:$Z$20000,MATCH(A2801,'Semrush Data'!$A$1:$A$20000,0),MATCH("Volume",'Semrush Data'!$A$1:$Z$1,0)),"")</f>
        <v/>
      </c>
      <c r="H2801" s="7" t="str">
        <f aca="false">IFERROR(INDEX('Semrush Data'!$A$1:$Z$20000,MATCH(A2801,'Semrush Data'!$A$1:$A$20000,0),MATCH("Keyword Difficulty*",'Semrush Data'!$A$1:$Z$1,0)),"")</f>
        <v/>
      </c>
      <c r="I2801" s="13" t="str">
        <f aca="false">IFERROR(INDEX('Semrush Data'!$A$1:$Z$20000,MATCH(A2801,'Semrush Data'!$A$1:$A$20000,0),MATCH("CPC*",'Semrush Data'!$A$1:$Z$1,0)),"")</f>
        <v/>
      </c>
      <c r="J2801" s="7" t="str">
        <f aca="false">IFERROR(INDEX('Semrush Data'!$A$1:$Z$20000,MATCH(A2801,'Semrush Data'!$A$1:$A$20000,0),MATCH("Intent",'Semrush Data'!$A$1:$Z$1,0)),"")</f>
        <v/>
      </c>
    </row>
    <row r="2802" customFormat="false" ht="15" hidden="false" customHeight="true" outlineLevel="0" collapsed="false">
      <c r="A2802" s="7" t="s">
        <v>7467</v>
      </c>
      <c r="B2802" s="7" t="s">
        <v>6820</v>
      </c>
      <c r="C2802" s="7" t="n">
        <v>3</v>
      </c>
      <c r="D2802" s="7" t="n">
        <v>29</v>
      </c>
      <c r="E2802" s="7" t="n">
        <v>1</v>
      </c>
      <c r="F2802" s="7" t="s">
        <v>4604</v>
      </c>
      <c r="G2802" s="12" t="str">
        <f aca="false">IFERROR(INDEX('Semrush Data'!$A$1:$Z$20000,MATCH(A2802,'Semrush Data'!$A$1:$A$20000,0),MATCH("Volume",'Semrush Data'!$A$1:$Z$1,0)),"")</f>
        <v/>
      </c>
      <c r="H2802" s="7" t="str">
        <f aca="false">IFERROR(INDEX('Semrush Data'!$A$1:$Z$20000,MATCH(A2802,'Semrush Data'!$A$1:$A$20000,0),MATCH("Keyword Difficulty*",'Semrush Data'!$A$1:$Z$1,0)),"")</f>
        <v/>
      </c>
      <c r="I2802" s="13" t="str">
        <f aca="false">IFERROR(INDEX('Semrush Data'!$A$1:$Z$20000,MATCH(A2802,'Semrush Data'!$A$1:$A$20000,0),MATCH("CPC*",'Semrush Data'!$A$1:$Z$1,0)),"")</f>
        <v/>
      </c>
      <c r="J2802" s="7" t="str">
        <f aca="false">IFERROR(INDEX('Semrush Data'!$A$1:$Z$20000,MATCH(A2802,'Semrush Data'!$A$1:$A$20000,0),MATCH("Intent",'Semrush Data'!$A$1:$Z$1,0)),"")</f>
        <v/>
      </c>
    </row>
    <row r="2803" customFormat="false" ht="15" hidden="false" customHeight="true" outlineLevel="0" collapsed="false">
      <c r="A2803" s="7" t="s">
        <v>7468</v>
      </c>
      <c r="B2803" s="7" t="s">
        <v>6820</v>
      </c>
      <c r="C2803" s="7" t="n">
        <v>3</v>
      </c>
      <c r="D2803" s="7" t="n">
        <v>29</v>
      </c>
      <c r="E2803" s="7" t="n">
        <v>1</v>
      </c>
      <c r="F2803" s="7" t="s">
        <v>4604</v>
      </c>
      <c r="G2803" s="12" t="str">
        <f aca="false">IFERROR(INDEX('Semrush Data'!$A$1:$Z$20000,MATCH(A2803,'Semrush Data'!$A$1:$A$20000,0),MATCH("Volume",'Semrush Data'!$A$1:$Z$1,0)),"")</f>
        <v/>
      </c>
      <c r="H2803" s="7" t="str">
        <f aca="false">IFERROR(INDEX('Semrush Data'!$A$1:$Z$20000,MATCH(A2803,'Semrush Data'!$A$1:$A$20000,0),MATCH("Keyword Difficulty*",'Semrush Data'!$A$1:$Z$1,0)),"")</f>
        <v/>
      </c>
      <c r="I2803" s="13" t="str">
        <f aca="false">IFERROR(INDEX('Semrush Data'!$A$1:$Z$20000,MATCH(A2803,'Semrush Data'!$A$1:$A$20000,0),MATCH("CPC*",'Semrush Data'!$A$1:$Z$1,0)),"")</f>
        <v/>
      </c>
      <c r="J2803" s="7" t="str">
        <f aca="false">IFERROR(INDEX('Semrush Data'!$A$1:$Z$20000,MATCH(A2803,'Semrush Data'!$A$1:$A$20000,0),MATCH("Intent",'Semrush Data'!$A$1:$Z$1,0)),"")</f>
        <v/>
      </c>
    </row>
    <row r="2804" customFormat="false" ht="15" hidden="false" customHeight="true" outlineLevel="0" collapsed="false">
      <c r="A2804" s="7" t="s">
        <v>7469</v>
      </c>
      <c r="B2804" s="7" t="s">
        <v>6820</v>
      </c>
      <c r="C2804" s="7" t="n">
        <v>3</v>
      </c>
      <c r="D2804" s="7" t="n">
        <v>29</v>
      </c>
      <c r="E2804" s="7" t="n">
        <v>1</v>
      </c>
      <c r="F2804" s="7" t="s">
        <v>4742</v>
      </c>
      <c r="G2804" s="12" t="str">
        <f aca="false">IFERROR(INDEX('Semrush Data'!$A$1:$Z$20000,MATCH(A2804,'Semrush Data'!$A$1:$A$20000,0),MATCH("Volume",'Semrush Data'!$A$1:$Z$1,0)),"")</f>
        <v/>
      </c>
      <c r="H2804" s="7" t="str">
        <f aca="false">IFERROR(INDEX('Semrush Data'!$A$1:$Z$20000,MATCH(A2804,'Semrush Data'!$A$1:$A$20000,0),MATCH("Keyword Difficulty*",'Semrush Data'!$A$1:$Z$1,0)),"")</f>
        <v/>
      </c>
      <c r="I2804" s="13" t="str">
        <f aca="false">IFERROR(INDEX('Semrush Data'!$A$1:$Z$20000,MATCH(A2804,'Semrush Data'!$A$1:$A$20000,0),MATCH("CPC*",'Semrush Data'!$A$1:$Z$1,0)),"")</f>
        <v/>
      </c>
      <c r="J2804" s="7" t="str">
        <f aca="false">IFERROR(INDEX('Semrush Data'!$A$1:$Z$20000,MATCH(A2804,'Semrush Data'!$A$1:$A$20000,0),MATCH("Intent",'Semrush Data'!$A$1:$Z$1,0)),"")</f>
        <v/>
      </c>
    </row>
    <row r="2805" customFormat="false" ht="15" hidden="false" customHeight="true" outlineLevel="0" collapsed="false">
      <c r="A2805" s="7" t="s">
        <v>7470</v>
      </c>
      <c r="B2805" s="7" t="s">
        <v>6820</v>
      </c>
      <c r="C2805" s="7" t="n">
        <v>3</v>
      </c>
      <c r="D2805" s="7" t="n">
        <v>29</v>
      </c>
      <c r="E2805" s="7" t="n">
        <v>1</v>
      </c>
      <c r="F2805" s="7" t="s">
        <v>4690</v>
      </c>
      <c r="G2805" s="12" t="str">
        <f aca="false">IFERROR(INDEX('Semrush Data'!$A$1:$Z$20000,MATCH(A2805,'Semrush Data'!$A$1:$A$20000,0),MATCH("Volume",'Semrush Data'!$A$1:$Z$1,0)),"")</f>
        <v/>
      </c>
      <c r="H2805" s="7" t="str">
        <f aca="false">IFERROR(INDEX('Semrush Data'!$A$1:$Z$20000,MATCH(A2805,'Semrush Data'!$A$1:$A$20000,0),MATCH("Keyword Difficulty*",'Semrush Data'!$A$1:$Z$1,0)),"")</f>
        <v/>
      </c>
      <c r="I2805" s="13" t="str">
        <f aca="false">IFERROR(INDEX('Semrush Data'!$A$1:$Z$20000,MATCH(A2805,'Semrush Data'!$A$1:$A$20000,0),MATCH("CPC*",'Semrush Data'!$A$1:$Z$1,0)),"")</f>
        <v/>
      </c>
      <c r="J2805" s="7" t="str">
        <f aca="false">IFERROR(INDEX('Semrush Data'!$A$1:$Z$20000,MATCH(A2805,'Semrush Data'!$A$1:$A$20000,0),MATCH("Intent",'Semrush Data'!$A$1:$Z$1,0)),"")</f>
        <v/>
      </c>
    </row>
    <row r="2806" customFormat="false" ht="15" hidden="false" customHeight="true" outlineLevel="0" collapsed="false">
      <c r="A2806" s="7" t="s">
        <v>7471</v>
      </c>
      <c r="B2806" s="7" t="s">
        <v>6820</v>
      </c>
      <c r="C2806" s="7" t="n">
        <v>3</v>
      </c>
      <c r="D2806" s="7" t="n">
        <v>29</v>
      </c>
      <c r="E2806" s="7" t="n">
        <v>1</v>
      </c>
      <c r="F2806" s="7" t="s">
        <v>4690</v>
      </c>
      <c r="G2806" s="12" t="str">
        <f aca="false">IFERROR(INDEX('Semrush Data'!$A$1:$Z$20000,MATCH(A2806,'Semrush Data'!$A$1:$A$20000,0),MATCH("Volume",'Semrush Data'!$A$1:$Z$1,0)),"")</f>
        <v/>
      </c>
      <c r="H2806" s="7" t="str">
        <f aca="false">IFERROR(INDEX('Semrush Data'!$A$1:$Z$20000,MATCH(A2806,'Semrush Data'!$A$1:$A$20000,0),MATCH("Keyword Difficulty*",'Semrush Data'!$A$1:$Z$1,0)),"")</f>
        <v/>
      </c>
      <c r="I2806" s="13" t="str">
        <f aca="false">IFERROR(INDEX('Semrush Data'!$A$1:$Z$20000,MATCH(A2806,'Semrush Data'!$A$1:$A$20000,0),MATCH("CPC*",'Semrush Data'!$A$1:$Z$1,0)),"")</f>
        <v/>
      </c>
      <c r="J2806" s="7" t="str">
        <f aca="false">IFERROR(INDEX('Semrush Data'!$A$1:$Z$20000,MATCH(A2806,'Semrush Data'!$A$1:$A$20000,0),MATCH("Intent",'Semrush Data'!$A$1:$Z$1,0)),"")</f>
        <v/>
      </c>
    </row>
    <row r="2807" customFormat="false" ht="15" hidden="false" customHeight="true" outlineLevel="0" collapsed="false">
      <c r="A2807" s="7" t="s">
        <v>7472</v>
      </c>
      <c r="B2807" s="7" t="s">
        <v>6820</v>
      </c>
      <c r="C2807" s="7" t="n">
        <v>3</v>
      </c>
      <c r="D2807" s="7" t="n">
        <v>29</v>
      </c>
      <c r="E2807" s="7" t="n">
        <v>1</v>
      </c>
      <c r="F2807" s="7" t="s">
        <v>4690</v>
      </c>
      <c r="G2807" s="12" t="str">
        <f aca="false">IFERROR(INDEX('Semrush Data'!$A$1:$Z$20000,MATCH(A2807,'Semrush Data'!$A$1:$A$20000,0),MATCH("Volume",'Semrush Data'!$A$1:$Z$1,0)),"")</f>
        <v/>
      </c>
      <c r="H2807" s="7" t="str">
        <f aca="false">IFERROR(INDEX('Semrush Data'!$A$1:$Z$20000,MATCH(A2807,'Semrush Data'!$A$1:$A$20000,0),MATCH("Keyword Difficulty*",'Semrush Data'!$A$1:$Z$1,0)),"")</f>
        <v/>
      </c>
      <c r="I2807" s="13" t="str">
        <f aca="false">IFERROR(INDEX('Semrush Data'!$A$1:$Z$20000,MATCH(A2807,'Semrush Data'!$A$1:$A$20000,0),MATCH("CPC*",'Semrush Data'!$A$1:$Z$1,0)),"")</f>
        <v/>
      </c>
      <c r="J2807" s="7" t="str">
        <f aca="false">IFERROR(INDEX('Semrush Data'!$A$1:$Z$20000,MATCH(A2807,'Semrush Data'!$A$1:$A$20000,0),MATCH("Intent",'Semrush Data'!$A$1:$Z$1,0)),"")</f>
        <v/>
      </c>
    </row>
    <row r="2808" customFormat="false" ht="15" hidden="false" customHeight="true" outlineLevel="0" collapsed="false">
      <c r="A2808" s="7" t="s">
        <v>7473</v>
      </c>
      <c r="B2808" s="7" t="s">
        <v>6820</v>
      </c>
      <c r="C2808" s="7" t="n">
        <v>3</v>
      </c>
      <c r="D2808" s="7" t="n">
        <v>29</v>
      </c>
      <c r="E2808" s="7" t="n">
        <v>1</v>
      </c>
      <c r="F2808" s="7" t="s">
        <v>4690</v>
      </c>
      <c r="G2808" s="12" t="str">
        <f aca="false">IFERROR(INDEX('Semrush Data'!$A$1:$Z$20000,MATCH(A2808,'Semrush Data'!$A$1:$A$20000,0),MATCH("Volume",'Semrush Data'!$A$1:$Z$1,0)),"")</f>
        <v/>
      </c>
      <c r="H2808" s="7" t="str">
        <f aca="false">IFERROR(INDEX('Semrush Data'!$A$1:$Z$20000,MATCH(A2808,'Semrush Data'!$A$1:$A$20000,0),MATCH("Keyword Difficulty*",'Semrush Data'!$A$1:$Z$1,0)),"")</f>
        <v/>
      </c>
      <c r="I2808" s="13" t="str">
        <f aca="false">IFERROR(INDEX('Semrush Data'!$A$1:$Z$20000,MATCH(A2808,'Semrush Data'!$A$1:$A$20000,0),MATCH("CPC*",'Semrush Data'!$A$1:$Z$1,0)),"")</f>
        <v/>
      </c>
      <c r="J2808" s="7" t="str">
        <f aca="false">IFERROR(INDEX('Semrush Data'!$A$1:$Z$20000,MATCH(A2808,'Semrush Data'!$A$1:$A$20000,0),MATCH("Intent",'Semrush Data'!$A$1:$Z$1,0)),"")</f>
        <v/>
      </c>
    </row>
    <row r="2809" customFormat="false" ht="15" hidden="false" customHeight="true" outlineLevel="0" collapsed="false">
      <c r="A2809" s="7" t="s">
        <v>7474</v>
      </c>
      <c r="B2809" s="7" t="s">
        <v>6820</v>
      </c>
      <c r="C2809" s="7" t="n">
        <v>3</v>
      </c>
      <c r="D2809" s="7" t="n">
        <v>29</v>
      </c>
      <c r="E2809" s="7" t="n">
        <v>1</v>
      </c>
      <c r="F2809" s="7" t="s">
        <v>4669</v>
      </c>
      <c r="G2809" s="12" t="str">
        <f aca="false">IFERROR(INDEX('Semrush Data'!$A$1:$Z$20000,MATCH(A2809,'Semrush Data'!$A$1:$A$20000,0),MATCH("Volume",'Semrush Data'!$A$1:$Z$1,0)),"")</f>
        <v/>
      </c>
      <c r="H2809" s="7" t="str">
        <f aca="false">IFERROR(INDEX('Semrush Data'!$A$1:$Z$20000,MATCH(A2809,'Semrush Data'!$A$1:$A$20000,0),MATCH("Keyword Difficulty*",'Semrush Data'!$A$1:$Z$1,0)),"")</f>
        <v/>
      </c>
      <c r="I2809" s="13" t="str">
        <f aca="false">IFERROR(INDEX('Semrush Data'!$A$1:$Z$20000,MATCH(A2809,'Semrush Data'!$A$1:$A$20000,0),MATCH("CPC*",'Semrush Data'!$A$1:$Z$1,0)),"")</f>
        <v/>
      </c>
      <c r="J2809" s="7" t="str">
        <f aca="false">IFERROR(INDEX('Semrush Data'!$A$1:$Z$20000,MATCH(A2809,'Semrush Data'!$A$1:$A$20000,0),MATCH("Intent",'Semrush Data'!$A$1:$Z$1,0)),"")</f>
        <v/>
      </c>
    </row>
    <row r="2810" customFormat="false" ht="15" hidden="false" customHeight="true" outlineLevel="0" collapsed="false">
      <c r="A2810" s="7" t="s">
        <v>7475</v>
      </c>
      <c r="B2810" s="7" t="s">
        <v>6820</v>
      </c>
      <c r="C2810" s="7" t="n">
        <v>3</v>
      </c>
      <c r="D2810" s="7" t="n">
        <v>29</v>
      </c>
      <c r="E2810" s="7" t="n">
        <v>1</v>
      </c>
      <c r="F2810" s="7" t="s">
        <v>4742</v>
      </c>
      <c r="G2810" s="12" t="str">
        <f aca="false">IFERROR(INDEX('Semrush Data'!$A$1:$Z$20000,MATCH(A2810,'Semrush Data'!$A$1:$A$20000,0),MATCH("Volume",'Semrush Data'!$A$1:$Z$1,0)),"")</f>
        <v/>
      </c>
      <c r="H2810" s="7" t="str">
        <f aca="false">IFERROR(INDEX('Semrush Data'!$A$1:$Z$20000,MATCH(A2810,'Semrush Data'!$A$1:$A$20000,0),MATCH("Keyword Difficulty*",'Semrush Data'!$A$1:$Z$1,0)),"")</f>
        <v/>
      </c>
      <c r="I2810" s="13" t="str">
        <f aca="false">IFERROR(INDEX('Semrush Data'!$A$1:$Z$20000,MATCH(A2810,'Semrush Data'!$A$1:$A$20000,0),MATCH("CPC*",'Semrush Data'!$A$1:$Z$1,0)),"")</f>
        <v/>
      </c>
      <c r="J2810" s="7" t="str">
        <f aca="false">IFERROR(INDEX('Semrush Data'!$A$1:$Z$20000,MATCH(A2810,'Semrush Data'!$A$1:$A$20000,0),MATCH("Intent",'Semrush Data'!$A$1:$Z$1,0)),"")</f>
        <v/>
      </c>
    </row>
    <row r="2811" customFormat="false" ht="15" hidden="false" customHeight="true" outlineLevel="0" collapsed="false">
      <c r="A2811" s="7" t="s">
        <v>7476</v>
      </c>
      <c r="B2811" s="7" t="s">
        <v>6820</v>
      </c>
      <c r="C2811" s="7" t="n">
        <v>3</v>
      </c>
      <c r="D2811" s="7" t="n">
        <v>29</v>
      </c>
      <c r="E2811" s="7" t="n">
        <v>1</v>
      </c>
      <c r="F2811" s="7" t="s">
        <v>4669</v>
      </c>
      <c r="G2811" s="12" t="str">
        <f aca="false">IFERROR(INDEX('Semrush Data'!$A$1:$Z$20000,MATCH(A2811,'Semrush Data'!$A$1:$A$20000,0),MATCH("Volume",'Semrush Data'!$A$1:$Z$1,0)),"")</f>
        <v/>
      </c>
      <c r="H2811" s="7" t="str">
        <f aca="false">IFERROR(INDEX('Semrush Data'!$A$1:$Z$20000,MATCH(A2811,'Semrush Data'!$A$1:$A$20000,0),MATCH("Keyword Difficulty*",'Semrush Data'!$A$1:$Z$1,0)),"")</f>
        <v/>
      </c>
      <c r="I2811" s="13" t="str">
        <f aca="false">IFERROR(INDEX('Semrush Data'!$A$1:$Z$20000,MATCH(A2811,'Semrush Data'!$A$1:$A$20000,0),MATCH("CPC*",'Semrush Data'!$A$1:$Z$1,0)),"")</f>
        <v/>
      </c>
      <c r="J2811" s="7" t="str">
        <f aca="false">IFERROR(INDEX('Semrush Data'!$A$1:$Z$20000,MATCH(A2811,'Semrush Data'!$A$1:$A$20000,0),MATCH("Intent",'Semrush Data'!$A$1:$Z$1,0)),"")</f>
        <v/>
      </c>
    </row>
    <row r="2812" customFormat="false" ht="15" hidden="false" customHeight="true" outlineLevel="0" collapsed="false">
      <c r="A2812" s="7" t="s">
        <v>7477</v>
      </c>
      <c r="B2812" s="7" t="s">
        <v>6820</v>
      </c>
      <c r="C2812" s="7" t="n">
        <v>3</v>
      </c>
      <c r="D2812" s="7" t="n">
        <v>29</v>
      </c>
      <c r="E2812" s="7" t="n">
        <v>1</v>
      </c>
      <c r="F2812" s="7" t="s">
        <v>4669</v>
      </c>
      <c r="G2812" s="12" t="str">
        <f aca="false">IFERROR(INDEX('Semrush Data'!$A$1:$Z$20000,MATCH(A2812,'Semrush Data'!$A$1:$A$20000,0),MATCH("Volume",'Semrush Data'!$A$1:$Z$1,0)),"")</f>
        <v/>
      </c>
      <c r="H2812" s="7" t="str">
        <f aca="false">IFERROR(INDEX('Semrush Data'!$A$1:$Z$20000,MATCH(A2812,'Semrush Data'!$A$1:$A$20000,0),MATCH("Keyword Difficulty*",'Semrush Data'!$A$1:$Z$1,0)),"")</f>
        <v/>
      </c>
      <c r="I2812" s="13" t="str">
        <f aca="false">IFERROR(INDEX('Semrush Data'!$A$1:$Z$20000,MATCH(A2812,'Semrush Data'!$A$1:$A$20000,0),MATCH("CPC*",'Semrush Data'!$A$1:$Z$1,0)),"")</f>
        <v/>
      </c>
      <c r="J2812" s="7" t="str">
        <f aca="false">IFERROR(INDEX('Semrush Data'!$A$1:$Z$20000,MATCH(A2812,'Semrush Data'!$A$1:$A$20000,0),MATCH("Intent",'Semrush Data'!$A$1:$Z$1,0)),"")</f>
        <v/>
      </c>
    </row>
    <row r="2813" customFormat="false" ht="15" hidden="false" customHeight="true" outlineLevel="0" collapsed="false">
      <c r="A2813" s="7" t="s">
        <v>7478</v>
      </c>
      <c r="B2813" s="7" t="s">
        <v>6820</v>
      </c>
      <c r="C2813" s="7" t="n">
        <v>3</v>
      </c>
      <c r="D2813" s="7" t="n">
        <v>29</v>
      </c>
      <c r="E2813" s="7" t="n">
        <v>1</v>
      </c>
      <c r="F2813" s="7" t="s">
        <v>4742</v>
      </c>
      <c r="G2813" s="12" t="str">
        <f aca="false">IFERROR(INDEX('Semrush Data'!$A$1:$Z$20000,MATCH(A2813,'Semrush Data'!$A$1:$A$20000,0),MATCH("Volume",'Semrush Data'!$A$1:$Z$1,0)),"")</f>
        <v/>
      </c>
      <c r="H2813" s="7" t="str">
        <f aca="false">IFERROR(INDEX('Semrush Data'!$A$1:$Z$20000,MATCH(A2813,'Semrush Data'!$A$1:$A$20000,0),MATCH("Keyword Difficulty*",'Semrush Data'!$A$1:$Z$1,0)),"")</f>
        <v/>
      </c>
      <c r="I2813" s="13" t="str">
        <f aca="false">IFERROR(INDEX('Semrush Data'!$A$1:$Z$20000,MATCH(A2813,'Semrush Data'!$A$1:$A$20000,0),MATCH("CPC*",'Semrush Data'!$A$1:$Z$1,0)),"")</f>
        <v/>
      </c>
      <c r="J2813" s="7" t="str">
        <f aca="false">IFERROR(INDEX('Semrush Data'!$A$1:$Z$20000,MATCH(A2813,'Semrush Data'!$A$1:$A$20000,0),MATCH("Intent",'Semrush Data'!$A$1:$Z$1,0)),"")</f>
        <v/>
      </c>
    </row>
    <row r="2814" customFormat="false" ht="15" hidden="false" customHeight="true" outlineLevel="0" collapsed="false">
      <c r="A2814" s="7" t="s">
        <v>7479</v>
      </c>
      <c r="B2814" s="7" t="s">
        <v>6820</v>
      </c>
      <c r="C2814" s="7" t="n">
        <v>3</v>
      </c>
      <c r="D2814" s="7" t="n">
        <v>29</v>
      </c>
      <c r="E2814" s="7" t="n">
        <v>1</v>
      </c>
      <c r="F2814" s="7" t="s">
        <v>4742</v>
      </c>
      <c r="G2814" s="12" t="str">
        <f aca="false">IFERROR(INDEX('Semrush Data'!$A$1:$Z$20000,MATCH(A2814,'Semrush Data'!$A$1:$A$20000,0),MATCH("Volume",'Semrush Data'!$A$1:$Z$1,0)),"")</f>
        <v/>
      </c>
      <c r="H2814" s="7" t="str">
        <f aca="false">IFERROR(INDEX('Semrush Data'!$A$1:$Z$20000,MATCH(A2814,'Semrush Data'!$A$1:$A$20000,0),MATCH("Keyword Difficulty*",'Semrush Data'!$A$1:$Z$1,0)),"")</f>
        <v/>
      </c>
      <c r="I2814" s="13" t="str">
        <f aca="false">IFERROR(INDEX('Semrush Data'!$A$1:$Z$20000,MATCH(A2814,'Semrush Data'!$A$1:$A$20000,0),MATCH("CPC*",'Semrush Data'!$A$1:$Z$1,0)),"")</f>
        <v/>
      </c>
      <c r="J2814" s="7" t="str">
        <f aca="false">IFERROR(INDEX('Semrush Data'!$A$1:$Z$20000,MATCH(A2814,'Semrush Data'!$A$1:$A$20000,0),MATCH("Intent",'Semrush Data'!$A$1:$Z$1,0)),"")</f>
        <v/>
      </c>
    </row>
    <row r="2815" customFormat="false" ht="15" hidden="false" customHeight="true" outlineLevel="0" collapsed="false">
      <c r="A2815" s="7" t="s">
        <v>7480</v>
      </c>
      <c r="B2815" s="7" t="s">
        <v>6820</v>
      </c>
      <c r="C2815" s="7" t="n">
        <v>3</v>
      </c>
      <c r="D2815" s="7" t="n">
        <v>29</v>
      </c>
      <c r="E2815" s="7" t="n">
        <v>1</v>
      </c>
      <c r="F2815" s="7" t="s">
        <v>4742</v>
      </c>
      <c r="G2815" s="12" t="str">
        <f aca="false">IFERROR(INDEX('Semrush Data'!$A$1:$Z$20000,MATCH(A2815,'Semrush Data'!$A$1:$A$20000,0),MATCH("Volume",'Semrush Data'!$A$1:$Z$1,0)),"")</f>
        <v/>
      </c>
      <c r="H2815" s="7" t="str">
        <f aca="false">IFERROR(INDEX('Semrush Data'!$A$1:$Z$20000,MATCH(A2815,'Semrush Data'!$A$1:$A$20000,0),MATCH("Keyword Difficulty*",'Semrush Data'!$A$1:$Z$1,0)),"")</f>
        <v/>
      </c>
      <c r="I2815" s="13" t="str">
        <f aca="false">IFERROR(INDEX('Semrush Data'!$A$1:$Z$20000,MATCH(A2815,'Semrush Data'!$A$1:$A$20000,0),MATCH("CPC*",'Semrush Data'!$A$1:$Z$1,0)),"")</f>
        <v/>
      </c>
      <c r="J2815" s="7" t="str">
        <f aca="false">IFERROR(INDEX('Semrush Data'!$A$1:$Z$20000,MATCH(A2815,'Semrush Data'!$A$1:$A$20000,0),MATCH("Intent",'Semrush Data'!$A$1:$Z$1,0)),"")</f>
        <v/>
      </c>
    </row>
    <row r="2816" customFormat="false" ht="15" hidden="false" customHeight="true" outlineLevel="0" collapsed="false">
      <c r="A2816" s="7" t="s">
        <v>7481</v>
      </c>
      <c r="B2816" s="7" t="s">
        <v>6820</v>
      </c>
      <c r="C2816" s="7" t="n">
        <v>3</v>
      </c>
      <c r="D2816" s="7" t="n">
        <v>29</v>
      </c>
      <c r="E2816" s="7" t="n">
        <v>1</v>
      </c>
      <c r="F2816" s="7" t="s">
        <v>64</v>
      </c>
      <c r="G2816" s="12" t="str">
        <f aca="false">IFERROR(INDEX('Semrush Data'!$A$1:$Z$20000,MATCH(A2816,'Semrush Data'!$A$1:$A$20000,0),MATCH("Volume",'Semrush Data'!$A$1:$Z$1,0)),"")</f>
        <v/>
      </c>
      <c r="H2816" s="7" t="str">
        <f aca="false">IFERROR(INDEX('Semrush Data'!$A$1:$Z$20000,MATCH(A2816,'Semrush Data'!$A$1:$A$20000,0),MATCH("Keyword Difficulty*",'Semrush Data'!$A$1:$Z$1,0)),"")</f>
        <v/>
      </c>
      <c r="I2816" s="13" t="str">
        <f aca="false">IFERROR(INDEX('Semrush Data'!$A$1:$Z$20000,MATCH(A2816,'Semrush Data'!$A$1:$A$20000,0),MATCH("CPC*",'Semrush Data'!$A$1:$Z$1,0)),"")</f>
        <v/>
      </c>
      <c r="J2816" s="7" t="str">
        <f aca="false">IFERROR(INDEX('Semrush Data'!$A$1:$Z$20000,MATCH(A2816,'Semrush Data'!$A$1:$A$20000,0),MATCH("Intent",'Semrush Data'!$A$1:$Z$1,0)),"")</f>
        <v/>
      </c>
    </row>
    <row r="2817" customFormat="false" ht="15" hidden="false" customHeight="true" outlineLevel="0" collapsed="false">
      <c r="A2817" s="7" t="s">
        <v>7482</v>
      </c>
      <c r="B2817" s="7" t="s">
        <v>6820</v>
      </c>
      <c r="C2817" s="7" t="n">
        <v>3</v>
      </c>
      <c r="D2817" s="7" t="n">
        <v>29</v>
      </c>
      <c r="E2817" s="7" t="n">
        <v>1</v>
      </c>
      <c r="F2817" s="7" t="s">
        <v>64</v>
      </c>
      <c r="G2817" s="12" t="str">
        <f aca="false">IFERROR(INDEX('Semrush Data'!$A$1:$Z$20000,MATCH(A2817,'Semrush Data'!$A$1:$A$20000,0),MATCH("Volume",'Semrush Data'!$A$1:$Z$1,0)),"")</f>
        <v/>
      </c>
      <c r="H2817" s="7" t="str">
        <f aca="false">IFERROR(INDEX('Semrush Data'!$A$1:$Z$20000,MATCH(A2817,'Semrush Data'!$A$1:$A$20000,0),MATCH("Keyword Difficulty*",'Semrush Data'!$A$1:$Z$1,0)),"")</f>
        <v/>
      </c>
      <c r="I2817" s="13" t="str">
        <f aca="false">IFERROR(INDEX('Semrush Data'!$A$1:$Z$20000,MATCH(A2817,'Semrush Data'!$A$1:$A$20000,0),MATCH("CPC*",'Semrush Data'!$A$1:$Z$1,0)),"")</f>
        <v/>
      </c>
      <c r="J2817" s="7" t="str">
        <f aca="false">IFERROR(INDEX('Semrush Data'!$A$1:$Z$20000,MATCH(A2817,'Semrush Data'!$A$1:$A$20000,0),MATCH("Intent",'Semrush Data'!$A$1:$Z$1,0)),"")</f>
        <v/>
      </c>
    </row>
    <row r="2818" customFormat="false" ht="15" hidden="false" customHeight="true" outlineLevel="0" collapsed="false">
      <c r="A2818" s="7" t="s">
        <v>7483</v>
      </c>
      <c r="B2818" s="7" t="s">
        <v>6820</v>
      </c>
      <c r="C2818" s="7" t="n">
        <v>3</v>
      </c>
      <c r="D2818" s="7" t="s">
        <v>6818</v>
      </c>
      <c r="E2818" s="7" t="n">
        <v>1</v>
      </c>
      <c r="F2818" s="7" t="s">
        <v>64</v>
      </c>
      <c r="G2818" s="12" t="str">
        <f aca="false">IFERROR(INDEX('Semrush Data'!$A$1:$Z$20000,MATCH(A2818,'Semrush Data'!$A$1:$A$20000,0),MATCH("Volume",'Semrush Data'!$A$1:$Z$1,0)),"")</f>
        <v/>
      </c>
      <c r="H2818" s="7" t="str">
        <f aca="false">IFERROR(INDEX('Semrush Data'!$A$1:$Z$20000,MATCH(A2818,'Semrush Data'!$A$1:$A$20000,0),MATCH("Keyword Difficulty*",'Semrush Data'!$A$1:$Z$1,0)),"")</f>
        <v/>
      </c>
      <c r="I2818" s="13" t="str">
        <f aca="false">IFERROR(INDEX('Semrush Data'!$A$1:$Z$20000,MATCH(A2818,'Semrush Data'!$A$1:$A$20000,0),MATCH("CPC*",'Semrush Data'!$A$1:$Z$1,0)),"")</f>
        <v/>
      </c>
      <c r="J2818" s="7" t="str">
        <f aca="false">IFERROR(INDEX('Semrush Data'!$A$1:$Z$20000,MATCH(A2818,'Semrush Data'!$A$1:$A$20000,0),MATCH("Intent",'Semrush Data'!$A$1:$Z$1,0)),"")</f>
        <v/>
      </c>
    </row>
    <row r="2819" customFormat="false" ht="15" hidden="false" customHeight="true" outlineLevel="0" collapsed="false">
      <c r="A2819" s="7" t="s">
        <v>7484</v>
      </c>
      <c r="B2819" s="7" t="s">
        <v>6820</v>
      </c>
      <c r="C2819" s="7" t="n">
        <v>3</v>
      </c>
      <c r="D2819" s="7" t="s">
        <v>6818</v>
      </c>
      <c r="E2819" s="7" t="n">
        <v>1</v>
      </c>
      <c r="F2819" s="7" t="s">
        <v>64</v>
      </c>
      <c r="G2819" s="12" t="str">
        <f aca="false">IFERROR(INDEX('Semrush Data'!$A$1:$Z$20000,MATCH(A2819,'Semrush Data'!$A$1:$A$20000,0),MATCH("Volume",'Semrush Data'!$A$1:$Z$1,0)),"")</f>
        <v/>
      </c>
      <c r="H2819" s="7" t="str">
        <f aca="false">IFERROR(INDEX('Semrush Data'!$A$1:$Z$20000,MATCH(A2819,'Semrush Data'!$A$1:$A$20000,0),MATCH("Keyword Difficulty*",'Semrush Data'!$A$1:$Z$1,0)),"")</f>
        <v/>
      </c>
      <c r="I2819" s="13" t="str">
        <f aca="false">IFERROR(INDEX('Semrush Data'!$A$1:$Z$20000,MATCH(A2819,'Semrush Data'!$A$1:$A$20000,0),MATCH("CPC*",'Semrush Data'!$A$1:$Z$1,0)),"")</f>
        <v/>
      </c>
      <c r="J2819" s="7" t="str">
        <f aca="false">IFERROR(INDEX('Semrush Data'!$A$1:$Z$20000,MATCH(A2819,'Semrush Data'!$A$1:$A$20000,0),MATCH("Intent",'Semrush Data'!$A$1:$Z$1,0)),"")</f>
        <v/>
      </c>
    </row>
    <row r="2820" customFormat="false" ht="15" hidden="false" customHeight="true" outlineLevel="0" collapsed="false">
      <c r="A2820" s="7" t="s">
        <v>7485</v>
      </c>
      <c r="B2820" s="7" t="s">
        <v>6820</v>
      </c>
      <c r="C2820" s="7" t="n">
        <v>3</v>
      </c>
      <c r="D2820" s="7" t="n">
        <v>29</v>
      </c>
      <c r="E2820" s="7" t="n">
        <v>1</v>
      </c>
      <c r="F2820" s="7" t="s">
        <v>64</v>
      </c>
      <c r="G2820" s="12" t="str">
        <f aca="false">IFERROR(INDEX('Semrush Data'!$A$1:$Z$20000,MATCH(A2820,'Semrush Data'!$A$1:$A$20000,0),MATCH("Volume",'Semrush Data'!$A$1:$Z$1,0)),"")</f>
        <v/>
      </c>
      <c r="H2820" s="7" t="str">
        <f aca="false">IFERROR(INDEX('Semrush Data'!$A$1:$Z$20000,MATCH(A2820,'Semrush Data'!$A$1:$A$20000,0),MATCH("Keyword Difficulty*",'Semrush Data'!$A$1:$Z$1,0)),"")</f>
        <v/>
      </c>
      <c r="I2820" s="13" t="str">
        <f aca="false">IFERROR(INDEX('Semrush Data'!$A$1:$Z$20000,MATCH(A2820,'Semrush Data'!$A$1:$A$20000,0),MATCH("CPC*",'Semrush Data'!$A$1:$Z$1,0)),"")</f>
        <v/>
      </c>
      <c r="J2820" s="7" t="str">
        <f aca="false">IFERROR(INDEX('Semrush Data'!$A$1:$Z$20000,MATCH(A2820,'Semrush Data'!$A$1:$A$20000,0),MATCH("Intent",'Semrush Data'!$A$1:$Z$1,0)),"")</f>
        <v/>
      </c>
    </row>
    <row r="2821" customFormat="false" ht="15" hidden="false" customHeight="true" outlineLevel="0" collapsed="false">
      <c r="A2821" s="7" t="s">
        <v>7486</v>
      </c>
      <c r="B2821" s="7" t="s">
        <v>6820</v>
      </c>
      <c r="C2821" s="7" t="n">
        <v>3</v>
      </c>
      <c r="D2821" s="7" t="n">
        <v>29</v>
      </c>
      <c r="E2821" s="7" t="n">
        <v>1</v>
      </c>
      <c r="F2821" s="7" t="s">
        <v>4700</v>
      </c>
      <c r="G2821" s="12" t="str">
        <f aca="false">IFERROR(INDEX('Semrush Data'!$A$1:$Z$20000,MATCH(A2821,'Semrush Data'!$A$1:$A$20000,0),MATCH("Volume",'Semrush Data'!$A$1:$Z$1,0)),"")</f>
        <v/>
      </c>
      <c r="H2821" s="7" t="str">
        <f aca="false">IFERROR(INDEX('Semrush Data'!$A$1:$Z$20000,MATCH(A2821,'Semrush Data'!$A$1:$A$20000,0),MATCH("Keyword Difficulty*",'Semrush Data'!$A$1:$Z$1,0)),"")</f>
        <v/>
      </c>
      <c r="I2821" s="13" t="str">
        <f aca="false">IFERROR(INDEX('Semrush Data'!$A$1:$Z$20000,MATCH(A2821,'Semrush Data'!$A$1:$A$20000,0),MATCH("CPC*",'Semrush Data'!$A$1:$Z$1,0)),"")</f>
        <v/>
      </c>
      <c r="J2821" s="7" t="str">
        <f aca="false">IFERROR(INDEX('Semrush Data'!$A$1:$Z$20000,MATCH(A2821,'Semrush Data'!$A$1:$A$20000,0),MATCH("Intent",'Semrush Data'!$A$1:$Z$1,0)),"")</f>
        <v/>
      </c>
    </row>
    <row r="2822" customFormat="false" ht="15" hidden="false" customHeight="true" outlineLevel="0" collapsed="false">
      <c r="A2822" s="7" t="s">
        <v>7487</v>
      </c>
      <c r="B2822" s="7" t="s">
        <v>6820</v>
      </c>
      <c r="C2822" s="7" t="n">
        <v>3</v>
      </c>
      <c r="D2822" s="7" t="n">
        <v>29</v>
      </c>
      <c r="E2822" s="7" t="n">
        <v>1</v>
      </c>
      <c r="F2822" s="7" t="s">
        <v>4700</v>
      </c>
      <c r="G2822" s="12" t="str">
        <f aca="false">IFERROR(INDEX('Semrush Data'!$A$1:$Z$20000,MATCH(A2822,'Semrush Data'!$A$1:$A$20000,0),MATCH("Volume",'Semrush Data'!$A$1:$Z$1,0)),"")</f>
        <v/>
      </c>
      <c r="H2822" s="7" t="str">
        <f aca="false">IFERROR(INDEX('Semrush Data'!$A$1:$Z$20000,MATCH(A2822,'Semrush Data'!$A$1:$A$20000,0),MATCH("Keyword Difficulty*",'Semrush Data'!$A$1:$Z$1,0)),"")</f>
        <v/>
      </c>
      <c r="I2822" s="13" t="str">
        <f aca="false">IFERROR(INDEX('Semrush Data'!$A$1:$Z$20000,MATCH(A2822,'Semrush Data'!$A$1:$A$20000,0),MATCH("CPC*",'Semrush Data'!$A$1:$Z$1,0)),"")</f>
        <v/>
      </c>
      <c r="J2822" s="7" t="str">
        <f aca="false">IFERROR(INDEX('Semrush Data'!$A$1:$Z$20000,MATCH(A2822,'Semrush Data'!$A$1:$A$20000,0),MATCH("Intent",'Semrush Data'!$A$1:$Z$1,0)),"")</f>
        <v/>
      </c>
    </row>
    <row r="2823" customFormat="false" ht="15" hidden="false" customHeight="true" outlineLevel="0" collapsed="false">
      <c r="A2823" s="7" t="s">
        <v>7488</v>
      </c>
      <c r="B2823" s="7" t="s">
        <v>6820</v>
      </c>
      <c r="C2823" s="7" t="n">
        <v>3</v>
      </c>
      <c r="D2823" s="7" t="n">
        <v>29</v>
      </c>
      <c r="E2823" s="7" t="n">
        <v>1</v>
      </c>
      <c r="F2823" s="7" t="s">
        <v>4712</v>
      </c>
      <c r="G2823" s="12" t="str">
        <f aca="false">IFERROR(INDEX('Semrush Data'!$A$1:$Z$20000,MATCH(A2823,'Semrush Data'!$A$1:$A$20000,0),MATCH("Volume",'Semrush Data'!$A$1:$Z$1,0)),"")</f>
        <v/>
      </c>
      <c r="H2823" s="7" t="str">
        <f aca="false">IFERROR(INDEX('Semrush Data'!$A$1:$Z$20000,MATCH(A2823,'Semrush Data'!$A$1:$A$20000,0),MATCH("Keyword Difficulty*",'Semrush Data'!$A$1:$Z$1,0)),"")</f>
        <v/>
      </c>
      <c r="I2823" s="13" t="str">
        <f aca="false">IFERROR(INDEX('Semrush Data'!$A$1:$Z$20000,MATCH(A2823,'Semrush Data'!$A$1:$A$20000,0),MATCH("CPC*",'Semrush Data'!$A$1:$Z$1,0)),"")</f>
        <v/>
      </c>
      <c r="J2823" s="7" t="str">
        <f aca="false">IFERROR(INDEX('Semrush Data'!$A$1:$Z$20000,MATCH(A2823,'Semrush Data'!$A$1:$A$20000,0),MATCH("Intent",'Semrush Data'!$A$1:$Z$1,0)),"")</f>
        <v/>
      </c>
    </row>
    <row r="2824" customFormat="false" ht="15" hidden="false" customHeight="true" outlineLevel="0" collapsed="false">
      <c r="A2824" s="7" t="s">
        <v>4655</v>
      </c>
      <c r="B2824" s="7" t="s">
        <v>6820</v>
      </c>
      <c r="C2824" s="7" t="n">
        <v>3</v>
      </c>
      <c r="D2824" s="7" t="n">
        <v>29</v>
      </c>
      <c r="E2824" s="7" t="n">
        <v>1</v>
      </c>
      <c r="F2824" s="7" t="s">
        <v>4647</v>
      </c>
      <c r="G2824" s="12" t="str">
        <f aca="false">IFERROR(INDEX('Semrush Data'!$A$1:$Z$20000,MATCH(A2824,'Semrush Data'!$A$1:$A$20000,0),MATCH("Volume",'Semrush Data'!$A$1:$Z$1,0)),"")</f>
        <v/>
      </c>
      <c r="H2824" s="7" t="str">
        <f aca="false">IFERROR(INDEX('Semrush Data'!$A$1:$Z$20000,MATCH(A2824,'Semrush Data'!$A$1:$A$20000,0),MATCH("Keyword Difficulty*",'Semrush Data'!$A$1:$Z$1,0)),"")</f>
        <v/>
      </c>
      <c r="I2824" s="13" t="str">
        <f aca="false">IFERROR(INDEX('Semrush Data'!$A$1:$Z$20000,MATCH(A2824,'Semrush Data'!$A$1:$A$20000,0),MATCH("CPC*",'Semrush Data'!$A$1:$Z$1,0)),"")</f>
        <v/>
      </c>
      <c r="J2824" s="7" t="str">
        <f aca="false">IFERROR(INDEX('Semrush Data'!$A$1:$Z$20000,MATCH(A2824,'Semrush Data'!$A$1:$A$20000,0),MATCH("Intent",'Semrush Data'!$A$1:$Z$1,0)),"")</f>
        <v/>
      </c>
    </row>
    <row r="2825" customFormat="false" ht="15" hidden="false" customHeight="true" outlineLevel="0" collapsed="false">
      <c r="A2825" s="7" t="s">
        <v>7489</v>
      </c>
      <c r="B2825" s="7" t="s">
        <v>6820</v>
      </c>
      <c r="C2825" s="7" t="n">
        <v>3</v>
      </c>
      <c r="D2825" s="7" t="n">
        <v>29</v>
      </c>
      <c r="E2825" s="7" t="n">
        <v>1</v>
      </c>
      <c r="F2825" s="7" t="s">
        <v>4712</v>
      </c>
      <c r="G2825" s="12" t="str">
        <f aca="false">IFERROR(INDEX('Semrush Data'!$A$1:$Z$20000,MATCH(A2825,'Semrush Data'!$A$1:$A$20000,0),MATCH("Volume",'Semrush Data'!$A$1:$Z$1,0)),"")</f>
        <v/>
      </c>
      <c r="H2825" s="7" t="str">
        <f aca="false">IFERROR(INDEX('Semrush Data'!$A$1:$Z$20000,MATCH(A2825,'Semrush Data'!$A$1:$A$20000,0),MATCH("Keyword Difficulty*",'Semrush Data'!$A$1:$Z$1,0)),"")</f>
        <v/>
      </c>
      <c r="I2825" s="13" t="str">
        <f aca="false">IFERROR(INDEX('Semrush Data'!$A$1:$Z$20000,MATCH(A2825,'Semrush Data'!$A$1:$A$20000,0),MATCH("CPC*",'Semrush Data'!$A$1:$Z$1,0)),"")</f>
        <v/>
      </c>
      <c r="J2825" s="7" t="str">
        <f aca="false">IFERROR(INDEX('Semrush Data'!$A$1:$Z$20000,MATCH(A2825,'Semrush Data'!$A$1:$A$20000,0),MATCH("Intent",'Semrush Data'!$A$1:$Z$1,0)),"")</f>
        <v/>
      </c>
    </row>
    <row r="2826" customFormat="false" ht="15" hidden="false" customHeight="true" outlineLevel="0" collapsed="false">
      <c r="A2826" s="7" t="s">
        <v>7490</v>
      </c>
      <c r="B2826" s="7" t="s">
        <v>6820</v>
      </c>
      <c r="C2826" s="7" t="n">
        <v>3</v>
      </c>
      <c r="D2826" s="7" t="n">
        <v>29</v>
      </c>
      <c r="E2826" s="7" t="n">
        <v>1</v>
      </c>
      <c r="F2826" s="7" t="s">
        <v>78</v>
      </c>
      <c r="G2826" s="12" t="str">
        <f aca="false">IFERROR(INDEX('Semrush Data'!$A$1:$Z$20000,MATCH(A2826,'Semrush Data'!$A$1:$A$20000,0),MATCH("Volume",'Semrush Data'!$A$1:$Z$1,0)),"")</f>
        <v/>
      </c>
      <c r="H2826" s="7" t="str">
        <f aca="false">IFERROR(INDEX('Semrush Data'!$A$1:$Z$20000,MATCH(A2826,'Semrush Data'!$A$1:$A$20000,0),MATCH("Keyword Difficulty*",'Semrush Data'!$A$1:$Z$1,0)),"")</f>
        <v/>
      </c>
      <c r="I2826" s="13" t="str">
        <f aca="false">IFERROR(INDEX('Semrush Data'!$A$1:$Z$20000,MATCH(A2826,'Semrush Data'!$A$1:$A$20000,0),MATCH("CPC*",'Semrush Data'!$A$1:$Z$1,0)),"")</f>
        <v/>
      </c>
      <c r="J2826" s="7" t="str">
        <f aca="false">IFERROR(INDEX('Semrush Data'!$A$1:$Z$20000,MATCH(A2826,'Semrush Data'!$A$1:$A$20000,0),MATCH("Intent",'Semrush Data'!$A$1:$Z$1,0)),"")</f>
        <v/>
      </c>
    </row>
    <row r="2827" customFormat="false" ht="15" hidden="false" customHeight="true" outlineLevel="0" collapsed="false">
      <c r="A2827" s="7" t="s">
        <v>7491</v>
      </c>
      <c r="B2827" s="7" t="s">
        <v>6820</v>
      </c>
      <c r="C2827" s="7" t="n">
        <v>3</v>
      </c>
      <c r="D2827" s="7" t="n">
        <v>29</v>
      </c>
      <c r="E2827" s="7" t="n">
        <v>1</v>
      </c>
      <c r="F2827" s="7" t="s">
        <v>78</v>
      </c>
      <c r="G2827" s="12" t="str">
        <f aca="false">IFERROR(INDEX('Semrush Data'!$A$1:$Z$20000,MATCH(A2827,'Semrush Data'!$A$1:$A$20000,0),MATCH("Volume",'Semrush Data'!$A$1:$Z$1,0)),"")</f>
        <v/>
      </c>
      <c r="H2827" s="7" t="str">
        <f aca="false">IFERROR(INDEX('Semrush Data'!$A$1:$Z$20000,MATCH(A2827,'Semrush Data'!$A$1:$A$20000,0),MATCH("Keyword Difficulty*",'Semrush Data'!$A$1:$Z$1,0)),"")</f>
        <v/>
      </c>
      <c r="I2827" s="13" t="str">
        <f aca="false">IFERROR(INDEX('Semrush Data'!$A$1:$Z$20000,MATCH(A2827,'Semrush Data'!$A$1:$A$20000,0),MATCH("CPC*",'Semrush Data'!$A$1:$Z$1,0)),"")</f>
        <v/>
      </c>
      <c r="J2827" s="7" t="str">
        <f aca="false">IFERROR(INDEX('Semrush Data'!$A$1:$Z$20000,MATCH(A2827,'Semrush Data'!$A$1:$A$20000,0),MATCH("Intent",'Semrush Data'!$A$1:$Z$1,0)),"")</f>
        <v/>
      </c>
    </row>
    <row r="2828" customFormat="false" ht="15" hidden="false" customHeight="true" outlineLevel="0" collapsed="false">
      <c r="A2828" s="7" t="s">
        <v>7492</v>
      </c>
      <c r="B2828" s="7" t="s">
        <v>6820</v>
      </c>
      <c r="C2828" s="7" t="n">
        <v>3</v>
      </c>
      <c r="D2828" s="7" t="n">
        <v>29</v>
      </c>
      <c r="E2828" s="7" t="n">
        <v>1</v>
      </c>
      <c r="F2828" s="7" t="s">
        <v>78</v>
      </c>
      <c r="G2828" s="12" t="str">
        <f aca="false">IFERROR(INDEX('Semrush Data'!$A$1:$Z$20000,MATCH(A2828,'Semrush Data'!$A$1:$A$20000,0),MATCH("Volume",'Semrush Data'!$A$1:$Z$1,0)),"")</f>
        <v/>
      </c>
      <c r="H2828" s="7" t="str">
        <f aca="false">IFERROR(INDEX('Semrush Data'!$A$1:$Z$20000,MATCH(A2828,'Semrush Data'!$A$1:$A$20000,0),MATCH("Keyword Difficulty*",'Semrush Data'!$A$1:$Z$1,0)),"")</f>
        <v/>
      </c>
      <c r="I2828" s="13" t="str">
        <f aca="false">IFERROR(INDEX('Semrush Data'!$A$1:$Z$20000,MATCH(A2828,'Semrush Data'!$A$1:$A$20000,0),MATCH("CPC*",'Semrush Data'!$A$1:$Z$1,0)),"")</f>
        <v/>
      </c>
      <c r="J2828" s="7" t="str">
        <f aca="false">IFERROR(INDEX('Semrush Data'!$A$1:$Z$20000,MATCH(A2828,'Semrush Data'!$A$1:$A$20000,0),MATCH("Intent",'Semrush Data'!$A$1:$Z$1,0)),"")</f>
        <v/>
      </c>
    </row>
    <row r="2829" customFormat="false" ht="15" hidden="false" customHeight="true" outlineLevel="0" collapsed="false">
      <c r="A2829" s="7" t="s">
        <v>7493</v>
      </c>
      <c r="B2829" s="7" t="s">
        <v>6820</v>
      </c>
      <c r="C2829" s="7" t="n">
        <v>3</v>
      </c>
      <c r="D2829" s="7" t="s">
        <v>6818</v>
      </c>
      <c r="E2829" s="7" t="n">
        <v>1</v>
      </c>
      <c r="F2829" s="7" t="s">
        <v>78</v>
      </c>
      <c r="G2829" s="12" t="str">
        <f aca="false">IFERROR(INDEX('Semrush Data'!$A$1:$Z$20000,MATCH(A2829,'Semrush Data'!$A$1:$A$20000,0),MATCH("Volume",'Semrush Data'!$A$1:$Z$1,0)),"")</f>
        <v/>
      </c>
      <c r="H2829" s="7" t="str">
        <f aca="false">IFERROR(INDEX('Semrush Data'!$A$1:$Z$20000,MATCH(A2829,'Semrush Data'!$A$1:$A$20000,0),MATCH("Keyword Difficulty*",'Semrush Data'!$A$1:$Z$1,0)),"")</f>
        <v/>
      </c>
      <c r="I2829" s="13" t="str">
        <f aca="false">IFERROR(INDEX('Semrush Data'!$A$1:$Z$20000,MATCH(A2829,'Semrush Data'!$A$1:$A$20000,0),MATCH("CPC*",'Semrush Data'!$A$1:$Z$1,0)),"")</f>
        <v/>
      </c>
      <c r="J2829" s="7" t="str">
        <f aca="false">IFERROR(INDEX('Semrush Data'!$A$1:$Z$20000,MATCH(A2829,'Semrush Data'!$A$1:$A$20000,0),MATCH("Intent",'Semrush Data'!$A$1:$Z$1,0)),"")</f>
        <v/>
      </c>
    </row>
    <row r="2830" customFormat="false" ht="15" hidden="false" customHeight="true" outlineLevel="0" collapsed="false">
      <c r="A2830" s="7" t="s">
        <v>7494</v>
      </c>
      <c r="B2830" s="7" t="s">
        <v>6820</v>
      </c>
      <c r="C2830" s="7" t="n">
        <v>3</v>
      </c>
      <c r="D2830" s="7" t="n">
        <v>29</v>
      </c>
      <c r="E2830" s="7" t="n">
        <v>1</v>
      </c>
      <c r="F2830" s="7" t="s">
        <v>78</v>
      </c>
      <c r="G2830" s="12" t="str">
        <f aca="false">IFERROR(INDEX('Semrush Data'!$A$1:$Z$20000,MATCH(A2830,'Semrush Data'!$A$1:$A$20000,0),MATCH("Volume",'Semrush Data'!$A$1:$Z$1,0)),"")</f>
        <v/>
      </c>
      <c r="H2830" s="7" t="str">
        <f aca="false">IFERROR(INDEX('Semrush Data'!$A$1:$Z$20000,MATCH(A2830,'Semrush Data'!$A$1:$A$20000,0),MATCH("Keyword Difficulty*",'Semrush Data'!$A$1:$Z$1,0)),"")</f>
        <v/>
      </c>
      <c r="I2830" s="13" t="str">
        <f aca="false">IFERROR(INDEX('Semrush Data'!$A$1:$Z$20000,MATCH(A2830,'Semrush Data'!$A$1:$A$20000,0),MATCH("CPC*",'Semrush Data'!$A$1:$Z$1,0)),"")</f>
        <v/>
      </c>
      <c r="J2830" s="7" t="str">
        <f aca="false">IFERROR(INDEX('Semrush Data'!$A$1:$Z$20000,MATCH(A2830,'Semrush Data'!$A$1:$A$20000,0),MATCH("Intent",'Semrush Data'!$A$1:$Z$1,0)),"")</f>
        <v/>
      </c>
    </row>
    <row r="2831" customFormat="false" ht="15" hidden="false" customHeight="true" outlineLevel="0" collapsed="false">
      <c r="A2831" s="7" t="s">
        <v>7495</v>
      </c>
      <c r="B2831" s="7" t="s">
        <v>6820</v>
      </c>
      <c r="C2831" s="7" t="n">
        <v>3</v>
      </c>
      <c r="D2831" s="7" t="s">
        <v>6818</v>
      </c>
      <c r="E2831" s="7" t="n">
        <v>1</v>
      </c>
      <c r="F2831" s="7" t="s">
        <v>78</v>
      </c>
      <c r="G2831" s="12" t="str">
        <f aca="false">IFERROR(INDEX('Semrush Data'!$A$1:$Z$20000,MATCH(A2831,'Semrush Data'!$A$1:$A$20000,0),MATCH("Volume",'Semrush Data'!$A$1:$Z$1,0)),"")</f>
        <v/>
      </c>
      <c r="H2831" s="7" t="str">
        <f aca="false">IFERROR(INDEX('Semrush Data'!$A$1:$Z$20000,MATCH(A2831,'Semrush Data'!$A$1:$A$20000,0),MATCH("Keyword Difficulty*",'Semrush Data'!$A$1:$Z$1,0)),"")</f>
        <v/>
      </c>
      <c r="I2831" s="13" t="str">
        <f aca="false">IFERROR(INDEX('Semrush Data'!$A$1:$Z$20000,MATCH(A2831,'Semrush Data'!$A$1:$A$20000,0),MATCH("CPC*",'Semrush Data'!$A$1:$Z$1,0)),"")</f>
        <v/>
      </c>
      <c r="J2831" s="7" t="str">
        <f aca="false">IFERROR(INDEX('Semrush Data'!$A$1:$Z$20000,MATCH(A2831,'Semrush Data'!$A$1:$A$20000,0),MATCH("Intent",'Semrush Data'!$A$1:$Z$1,0)),"")</f>
        <v/>
      </c>
    </row>
    <row r="2832" customFormat="false" ht="15" hidden="false" customHeight="true" outlineLevel="0" collapsed="false">
      <c r="A2832" s="7" t="s">
        <v>7496</v>
      </c>
      <c r="B2832" s="7" t="s">
        <v>6820</v>
      </c>
      <c r="C2832" s="7" t="n">
        <v>3</v>
      </c>
      <c r="D2832" s="7" t="n">
        <v>29</v>
      </c>
      <c r="E2832" s="7" t="n">
        <v>1</v>
      </c>
      <c r="F2832" s="7" t="s">
        <v>56</v>
      </c>
      <c r="G2832" s="12" t="str">
        <f aca="false">IFERROR(INDEX('Semrush Data'!$A$1:$Z$20000,MATCH(A2832,'Semrush Data'!$A$1:$A$20000,0),MATCH("Volume",'Semrush Data'!$A$1:$Z$1,0)),"")</f>
        <v/>
      </c>
      <c r="H2832" s="7" t="str">
        <f aca="false">IFERROR(INDEX('Semrush Data'!$A$1:$Z$20000,MATCH(A2832,'Semrush Data'!$A$1:$A$20000,0),MATCH("Keyword Difficulty*",'Semrush Data'!$A$1:$Z$1,0)),"")</f>
        <v/>
      </c>
      <c r="I2832" s="13" t="str">
        <f aca="false">IFERROR(INDEX('Semrush Data'!$A$1:$Z$20000,MATCH(A2832,'Semrush Data'!$A$1:$A$20000,0),MATCH("CPC*",'Semrush Data'!$A$1:$Z$1,0)),"")</f>
        <v/>
      </c>
      <c r="J2832" s="7" t="str">
        <f aca="false">IFERROR(INDEX('Semrush Data'!$A$1:$Z$20000,MATCH(A2832,'Semrush Data'!$A$1:$A$20000,0),MATCH("Intent",'Semrush Data'!$A$1:$Z$1,0)),"")</f>
        <v/>
      </c>
    </row>
    <row r="2833" customFormat="false" ht="15" hidden="false" customHeight="true" outlineLevel="0" collapsed="false">
      <c r="A2833" s="7" t="s">
        <v>7497</v>
      </c>
      <c r="B2833" s="7" t="s">
        <v>6820</v>
      </c>
      <c r="C2833" s="7" t="n">
        <v>3</v>
      </c>
      <c r="D2833" s="7" t="s">
        <v>6818</v>
      </c>
      <c r="E2833" s="7" t="n">
        <v>1</v>
      </c>
      <c r="F2833" s="7" t="s">
        <v>56</v>
      </c>
      <c r="G2833" s="12" t="str">
        <f aca="false">IFERROR(INDEX('Semrush Data'!$A$1:$Z$20000,MATCH(A2833,'Semrush Data'!$A$1:$A$20000,0),MATCH("Volume",'Semrush Data'!$A$1:$Z$1,0)),"")</f>
        <v/>
      </c>
      <c r="H2833" s="7" t="str">
        <f aca="false">IFERROR(INDEX('Semrush Data'!$A$1:$Z$20000,MATCH(A2833,'Semrush Data'!$A$1:$A$20000,0),MATCH("Keyword Difficulty*",'Semrush Data'!$A$1:$Z$1,0)),"")</f>
        <v/>
      </c>
      <c r="I2833" s="13" t="str">
        <f aca="false">IFERROR(INDEX('Semrush Data'!$A$1:$Z$20000,MATCH(A2833,'Semrush Data'!$A$1:$A$20000,0),MATCH("CPC*",'Semrush Data'!$A$1:$Z$1,0)),"")</f>
        <v/>
      </c>
      <c r="J2833" s="7" t="str">
        <f aca="false">IFERROR(INDEX('Semrush Data'!$A$1:$Z$20000,MATCH(A2833,'Semrush Data'!$A$1:$A$20000,0),MATCH("Intent",'Semrush Data'!$A$1:$Z$1,0)),"")</f>
        <v/>
      </c>
    </row>
    <row r="2834" customFormat="false" ht="15" hidden="false" customHeight="true" outlineLevel="0" collapsed="false">
      <c r="A2834" s="7" t="s">
        <v>7498</v>
      </c>
      <c r="B2834" s="7" t="s">
        <v>6820</v>
      </c>
      <c r="C2834" s="7" t="n">
        <v>3</v>
      </c>
      <c r="D2834" s="7" t="n">
        <v>29</v>
      </c>
      <c r="E2834" s="7" t="n">
        <v>1</v>
      </c>
      <c r="F2834" s="7" t="s">
        <v>56</v>
      </c>
      <c r="G2834" s="12" t="str">
        <f aca="false">IFERROR(INDEX('Semrush Data'!$A$1:$Z$20000,MATCH(A2834,'Semrush Data'!$A$1:$A$20000,0),MATCH("Volume",'Semrush Data'!$A$1:$Z$1,0)),"")</f>
        <v/>
      </c>
      <c r="H2834" s="7" t="str">
        <f aca="false">IFERROR(INDEX('Semrush Data'!$A$1:$Z$20000,MATCH(A2834,'Semrush Data'!$A$1:$A$20000,0),MATCH("Keyword Difficulty*",'Semrush Data'!$A$1:$Z$1,0)),"")</f>
        <v/>
      </c>
      <c r="I2834" s="13" t="str">
        <f aca="false">IFERROR(INDEX('Semrush Data'!$A$1:$Z$20000,MATCH(A2834,'Semrush Data'!$A$1:$A$20000,0),MATCH("CPC*",'Semrush Data'!$A$1:$Z$1,0)),"")</f>
        <v/>
      </c>
      <c r="J2834" s="7" t="str">
        <f aca="false">IFERROR(INDEX('Semrush Data'!$A$1:$Z$20000,MATCH(A2834,'Semrush Data'!$A$1:$A$20000,0),MATCH("Intent",'Semrush Data'!$A$1:$Z$1,0)),"")</f>
        <v/>
      </c>
    </row>
    <row r="2835" customFormat="false" ht="15" hidden="false" customHeight="true" outlineLevel="0" collapsed="false">
      <c r="A2835" s="7" t="s">
        <v>7499</v>
      </c>
      <c r="B2835" s="7" t="s">
        <v>6820</v>
      </c>
      <c r="C2835" s="7" t="n">
        <v>3</v>
      </c>
      <c r="D2835" s="7" t="s">
        <v>6818</v>
      </c>
      <c r="E2835" s="7" t="n">
        <v>1</v>
      </c>
      <c r="F2835" s="7" t="s">
        <v>56</v>
      </c>
      <c r="G2835" s="12" t="str">
        <f aca="false">IFERROR(INDEX('Semrush Data'!$A$1:$Z$20000,MATCH(A2835,'Semrush Data'!$A$1:$A$20000,0),MATCH("Volume",'Semrush Data'!$A$1:$Z$1,0)),"")</f>
        <v/>
      </c>
      <c r="H2835" s="7" t="str">
        <f aca="false">IFERROR(INDEX('Semrush Data'!$A$1:$Z$20000,MATCH(A2835,'Semrush Data'!$A$1:$A$20000,0),MATCH("Keyword Difficulty*",'Semrush Data'!$A$1:$Z$1,0)),"")</f>
        <v/>
      </c>
      <c r="I2835" s="13" t="str">
        <f aca="false">IFERROR(INDEX('Semrush Data'!$A$1:$Z$20000,MATCH(A2835,'Semrush Data'!$A$1:$A$20000,0),MATCH("CPC*",'Semrush Data'!$A$1:$Z$1,0)),"")</f>
        <v/>
      </c>
      <c r="J2835" s="7" t="str">
        <f aca="false">IFERROR(INDEX('Semrush Data'!$A$1:$Z$20000,MATCH(A2835,'Semrush Data'!$A$1:$A$20000,0),MATCH("Intent",'Semrush Data'!$A$1:$Z$1,0)),"")</f>
        <v/>
      </c>
    </row>
    <row r="2836" customFormat="false" ht="15" hidden="false" customHeight="true" outlineLevel="0" collapsed="false">
      <c r="A2836" s="7" t="s">
        <v>7500</v>
      </c>
      <c r="B2836" s="7" t="s">
        <v>6820</v>
      </c>
      <c r="C2836" s="7" t="n">
        <v>3</v>
      </c>
      <c r="D2836" s="7" t="n">
        <v>29</v>
      </c>
      <c r="E2836" s="7" t="n">
        <v>1</v>
      </c>
      <c r="F2836" s="7" t="s">
        <v>4722</v>
      </c>
      <c r="G2836" s="12" t="str">
        <f aca="false">IFERROR(INDEX('Semrush Data'!$A$1:$Z$20000,MATCH(A2836,'Semrush Data'!$A$1:$A$20000,0),MATCH("Volume",'Semrush Data'!$A$1:$Z$1,0)),"")</f>
        <v/>
      </c>
      <c r="H2836" s="7" t="str">
        <f aca="false">IFERROR(INDEX('Semrush Data'!$A$1:$Z$20000,MATCH(A2836,'Semrush Data'!$A$1:$A$20000,0),MATCH("Keyword Difficulty*",'Semrush Data'!$A$1:$Z$1,0)),"")</f>
        <v/>
      </c>
      <c r="I2836" s="13" t="str">
        <f aca="false">IFERROR(INDEX('Semrush Data'!$A$1:$Z$20000,MATCH(A2836,'Semrush Data'!$A$1:$A$20000,0),MATCH("CPC*",'Semrush Data'!$A$1:$Z$1,0)),"")</f>
        <v/>
      </c>
      <c r="J2836" s="7" t="str">
        <f aca="false">IFERROR(INDEX('Semrush Data'!$A$1:$Z$20000,MATCH(A2836,'Semrush Data'!$A$1:$A$20000,0),MATCH("Intent",'Semrush Data'!$A$1:$Z$1,0)),"")</f>
        <v/>
      </c>
    </row>
    <row r="2837" customFormat="false" ht="15" hidden="false" customHeight="true" outlineLevel="0" collapsed="false">
      <c r="A2837" s="7" t="s">
        <v>7501</v>
      </c>
      <c r="B2837" s="7" t="s">
        <v>6820</v>
      </c>
      <c r="C2837" s="7" t="n">
        <v>3</v>
      </c>
      <c r="D2837" s="7" t="n">
        <v>29</v>
      </c>
      <c r="E2837" s="7" t="n">
        <v>1</v>
      </c>
      <c r="F2837" s="7" t="s">
        <v>4722</v>
      </c>
      <c r="G2837" s="12" t="str">
        <f aca="false">IFERROR(INDEX('Semrush Data'!$A$1:$Z$20000,MATCH(A2837,'Semrush Data'!$A$1:$A$20000,0),MATCH("Volume",'Semrush Data'!$A$1:$Z$1,0)),"")</f>
        <v/>
      </c>
      <c r="H2837" s="7" t="str">
        <f aca="false">IFERROR(INDEX('Semrush Data'!$A$1:$Z$20000,MATCH(A2837,'Semrush Data'!$A$1:$A$20000,0),MATCH("Keyword Difficulty*",'Semrush Data'!$A$1:$Z$1,0)),"")</f>
        <v/>
      </c>
      <c r="I2837" s="13" t="str">
        <f aca="false">IFERROR(INDEX('Semrush Data'!$A$1:$Z$20000,MATCH(A2837,'Semrush Data'!$A$1:$A$20000,0),MATCH("CPC*",'Semrush Data'!$A$1:$Z$1,0)),"")</f>
        <v/>
      </c>
      <c r="J2837" s="7" t="str">
        <f aca="false">IFERROR(INDEX('Semrush Data'!$A$1:$Z$20000,MATCH(A2837,'Semrush Data'!$A$1:$A$20000,0),MATCH("Intent",'Semrush Data'!$A$1:$Z$1,0)),"")</f>
        <v/>
      </c>
    </row>
    <row r="2838" customFormat="false" ht="15" hidden="false" customHeight="true" outlineLevel="0" collapsed="false">
      <c r="A2838" s="7" t="s">
        <v>7502</v>
      </c>
      <c r="B2838" s="7" t="s">
        <v>6820</v>
      </c>
      <c r="C2838" s="7" t="n">
        <v>3</v>
      </c>
      <c r="D2838" s="7" t="n">
        <v>29</v>
      </c>
      <c r="E2838" s="7" t="n">
        <v>1</v>
      </c>
      <c r="F2838" s="7" t="s">
        <v>4722</v>
      </c>
      <c r="G2838" s="12" t="str">
        <f aca="false">IFERROR(INDEX('Semrush Data'!$A$1:$Z$20000,MATCH(A2838,'Semrush Data'!$A$1:$A$20000,0),MATCH("Volume",'Semrush Data'!$A$1:$Z$1,0)),"")</f>
        <v/>
      </c>
      <c r="H2838" s="7" t="str">
        <f aca="false">IFERROR(INDEX('Semrush Data'!$A$1:$Z$20000,MATCH(A2838,'Semrush Data'!$A$1:$A$20000,0),MATCH("Keyword Difficulty*",'Semrush Data'!$A$1:$Z$1,0)),"")</f>
        <v/>
      </c>
      <c r="I2838" s="13" t="str">
        <f aca="false">IFERROR(INDEX('Semrush Data'!$A$1:$Z$20000,MATCH(A2838,'Semrush Data'!$A$1:$A$20000,0),MATCH("CPC*",'Semrush Data'!$A$1:$Z$1,0)),"")</f>
        <v/>
      </c>
      <c r="J2838" s="7" t="str">
        <f aca="false">IFERROR(INDEX('Semrush Data'!$A$1:$Z$20000,MATCH(A2838,'Semrush Data'!$A$1:$A$20000,0),MATCH("Intent",'Semrush Data'!$A$1:$Z$1,0)),"")</f>
        <v/>
      </c>
    </row>
    <row r="2839" customFormat="false" ht="15" hidden="false" customHeight="true" outlineLevel="0" collapsed="false">
      <c r="A2839" s="7" t="s">
        <v>7503</v>
      </c>
      <c r="B2839" s="7" t="s">
        <v>6820</v>
      </c>
      <c r="C2839" s="7" t="n">
        <v>3</v>
      </c>
      <c r="D2839" s="7" t="n">
        <v>29</v>
      </c>
      <c r="E2839" s="7" t="n">
        <v>1</v>
      </c>
      <c r="F2839" s="7" t="s">
        <v>4722</v>
      </c>
      <c r="G2839" s="12" t="str">
        <f aca="false">IFERROR(INDEX('Semrush Data'!$A$1:$Z$20000,MATCH(A2839,'Semrush Data'!$A$1:$A$20000,0),MATCH("Volume",'Semrush Data'!$A$1:$Z$1,0)),"")</f>
        <v/>
      </c>
      <c r="H2839" s="7" t="str">
        <f aca="false">IFERROR(INDEX('Semrush Data'!$A$1:$Z$20000,MATCH(A2839,'Semrush Data'!$A$1:$A$20000,0),MATCH("Keyword Difficulty*",'Semrush Data'!$A$1:$Z$1,0)),"")</f>
        <v/>
      </c>
      <c r="I2839" s="13" t="str">
        <f aca="false">IFERROR(INDEX('Semrush Data'!$A$1:$Z$20000,MATCH(A2839,'Semrush Data'!$A$1:$A$20000,0),MATCH("CPC*",'Semrush Data'!$A$1:$Z$1,0)),"")</f>
        <v/>
      </c>
      <c r="J2839" s="7" t="str">
        <f aca="false">IFERROR(INDEX('Semrush Data'!$A$1:$Z$20000,MATCH(A2839,'Semrush Data'!$A$1:$A$20000,0),MATCH("Intent",'Semrush Data'!$A$1:$Z$1,0)),"")</f>
        <v/>
      </c>
    </row>
    <row r="2840" customFormat="false" ht="15" hidden="false" customHeight="true" outlineLevel="0" collapsed="false">
      <c r="A2840" s="7" t="s">
        <v>7504</v>
      </c>
      <c r="B2840" s="7" t="s">
        <v>6820</v>
      </c>
      <c r="C2840" s="7" t="n">
        <v>3</v>
      </c>
      <c r="D2840" s="7" t="n">
        <v>29</v>
      </c>
      <c r="E2840" s="7" t="n">
        <v>1</v>
      </c>
      <c r="F2840" s="7" t="s">
        <v>4732</v>
      </c>
      <c r="G2840" s="12" t="str">
        <f aca="false">IFERROR(INDEX('Semrush Data'!$A$1:$Z$20000,MATCH(A2840,'Semrush Data'!$A$1:$A$20000,0),MATCH("Volume",'Semrush Data'!$A$1:$Z$1,0)),"")</f>
        <v/>
      </c>
      <c r="H2840" s="7" t="str">
        <f aca="false">IFERROR(INDEX('Semrush Data'!$A$1:$Z$20000,MATCH(A2840,'Semrush Data'!$A$1:$A$20000,0),MATCH("Keyword Difficulty*",'Semrush Data'!$A$1:$Z$1,0)),"")</f>
        <v/>
      </c>
      <c r="I2840" s="13" t="str">
        <f aca="false">IFERROR(INDEX('Semrush Data'!$A$1:$Z$20000,MATCH(A2840,'Semrush Data'!$A$1:$A$20000,0),MATCH("CPC*",'Semrush Data'!$A$1:$Z$1,0)),"")</f>
        <v/>
      </c>
      <c r="J2840" s="7" t="str">
        <f aca="false">IFERROR(INDEX('Semrush Data'!$A$1:$Z$20000,MATCH(A2840,'Semrush Data'!$A$1:$A$20000,0),MATCH("Intent",'Semrush Data'!$A$1:$Z$1,0)),"")</f>
        <v/>
      </c>
    </row>
    <row r="2841" customFormat="false" ht="15" hidden="false" customHeight="true" outlineLevel="0" collapsed="false">
      <c r="A2841" s="7" t="s">
        <v>7505</v>
      </c>
      <c r="B2841" s="7" t="s">
        <v>6820</v>
      </c>
      <c r="C2841" s="7" t="n">
        <v>3</v>
      </c>
      <c r="D2841" s="7" t="n">
        <v>29</v>
      </c>
      <c r="E2841" s="7" t="n">
        <v>1</v>
      </c>
      <c r="F2841" s="7" t="s">
        <v>4732</v>
      </c>
      <c r="G2841" s="12" t="str">
        <f aca="false">IFERROR(INDEX('Semrush Data'!$A$1:$Z$20000,MATCH(A2841,'Semrush Data'!$A$1:$A$20000,0),MATCH("Volume",'Semrush Data'!$A$1:$Z$1,0)),"")</f>
        <v/>
      </c>
      <c r="H2841" s="7" t="str">
        <f aca="false">IFERROR(INDEX('Semrush Data'!$A$1:$Z$20000,MATCH(A2841,'Semrush Data'!$A$1:$A$20000,0),MATCH("Keyword Difficulty*",'Semrush Data'!$A$1:$Z$1,0)),"")</f>
        <v/>
      </c>
      <c r="I2841" s="13" t="str">
        <f aca="false">IFERROR(INDEX('Semrush Data'!$A$1:$Z$20000,MATCH(A2841,'Semrush Data'!$A$1:$A$20000,0),MATCH("CPC*",'Semrush Data'!$A$1:$Z$1,0)),"")</f>
        <v/>
      </c>
      <c r="J2841" s="7" t="str">
        <f aca="false">IFERROR(INDEX('Semrush Data'!$A$1:$Z$20000,MATCH(A2841,'Semrush Data'!$A$1:$A$20000,0),MATCH("Intent",'Semrush Data'!$A$1:$Z$1,0)),"")</f>
        <v/>
      </c>
    </row>
    <row r="2842" customFormat="false" ht="15" hidden="false" customHeight="true" outlineLevel="0" collapsed="false">
      <c r="A2842" s="7" t="s">
        <v>7506</v>
      </c>
      <c r="B2842" s="7" t="s">
        <v>6820</v>
      </c>
      <c r="C2842" s="7" t="n">
        <v>3</v>
      </c>
      <c r="D2842" s="7" t="n">
        <v>29</v>
      </c>
      <c r="E2842" s="7" t="n">
        <v>1</v>
      </c>
      <c r="F2842" s="7" t="s">
        <v>4732</v>
      </c>
      <c r="G2842" s="12" t="str">
        <f aca="false">IFERROR(INDEX('Semrush Data'!$A$1:$Z$20000,MATCH(A2842,'Semrush Data'!$A$1:$A$20000,0),MATCH("Volume",'Semrush Data'!$A$1:$Z$1,0)),"")</f>
        <v/>
      </c>
      <c r="H2842" s="7" t="str">
        <f aca="false">IFERROR(INDEX('Semrush Data'!$A$1:$Z$20000,MATCH(A2842,'Semrush Data'!$A$1:$A$20000,0),MATCH("Keyword Difficulty*",'Semrush Data'!$A$1:$Z$1,0)),"")</f>
        <v/>
      </c>
      <c r="I2842" s="13" t="str">
        <f aca="false">IFERROR(INDEX('Semrush Data'!$A$1:$Z$20000,MATCH(A2842,'Semrush Data'!$A$1:$A$20000,0),MATCH("CPC*",'Semrush Data'!$A$1:$Z$1,0)),"")</f>
        <v/>
      </c>
      <c r="J2842" s="7" t="str">
        <f aca="false">IFERROR(INDEX('Semrush Data'!$A$1:$Z$20000,MATCH(A2842,'Semrush Data'!$A$1:$A$20000,0),MATCH("Intent",'Semrush Data'!$A$1:$Z$1,0)),"")</f>
        <v/>
      </c>
    </row>
    <row r="2843" customFormat="false" ht="15" hidden="false" customHeight="true" outlineLevel="0" collapsed="false">
      <c r="A2843" s="7" t="s">
        <v>7507</v>
      </c>
      <c r="B2843" s="7" t="s">
        <v>6820</v>
      </c>
      <c r="C2843" s="7" t="n">
        <v>3</v>
      </c>
      <c r="D2843" s="7" t="n">
        <v>29</v>
      </c>
      <c r="E2843" s="7" t="n">
        <v>1</v>
      </c>
      <c r="F2843" s="7" t="s">
        <v>4806</v>
      </c>
      <c r="G2843" s="12" t="str">
        <f aca="false">IFERROR(INDEX('Semrush Data'!$A$1:$Z$20000,MATCH(A2843,'Semrush Data'!$A$1:$A$20000,0),MATCH("Volume",'Semrush Data'!$A$1:$Z$1,0)),"")</f>
        <v/>
      </c>
      <c r="H2843" s="7" t="str">
        <f aca="false">IFERROR(INDEX('Semrush Data'!$A$1:$Z$20000,MATCH(A2843,'Semrush Data'!$A$1:$A$20000,0),MATCH("Keyword Difficulty*",'Semrush Data'!$A$1:$Z$1,0)),"")</f>
        <v/>
      </c>
      <c r="I2843" s="13" t="str">
        <f aca="false">IFERROR(INDEX('Semrush Data'!$A$1:$Z$20000,MATCH(A2843,'Semrush Data'!$A$1:$A$20000,0),MATCH("CPC*",'Semrush Data'!$A$1:$Z$1,0)),"")</f>
        <v/>
      </c>
      <c r="J2843" s="7" t="str">
        <f aca="false">IFERROR(INDEX('Semrush Data'!$A$1:$Z$20000,MATCH(A2843,'Semrush Data'!$A$1:$A$20000,0),MATCH("Intent",'Semrush Data'!$A$1:$Z$1,0)),"")</f>
        <v/>
      </c>
    </row>
    <row r="2844" customFormat="false" ht="15" hidden="false" customHeight="true" outlineLevel="0" collapsed="false">
      <c r="A2844" s="7" t="s">
        <v>7508</v>
      </c>
      <c r="B2844" s="7" t="s">
        <v>6820</v>
      </c>
      <c r="C2844" s="7" t="n">
        <v>3</v>
      </c>
      <c r="D2844" s="7" t="n">
        <v>29</v>
      </c>
      <c r="E2844" s="7" t="n">
        <v>1</v>
      </c>
      <c r="F2844" s="7" t="s">
        <v>4806</v>
      </c>
      <c r="G2844" s="12" t="str">
        <f aca="false">IFERROR(INDEX('Semrush Data'!$A$1:$Z$20000,MATCH(A2844,'Semrush Data'!$A$1:$A$20000,0),MATCH("Volume",'Semrush Data'!$A$1:$Z$1,0)),"")</f>
        <v/>
      </c>
      <c r="H2844" s="7" t="str">
        <f aca="false">IFERROR(INDEX('Semrush Data'!$A$1:$Z$20000,MATCH(A2844,'Semrush Data'!$A$1:$A$20000,0),MATCH("Keyword Difficulty*",'Semrush Data'!$A$1:$Z$1,0)),"")</f>
        <v/>
      </c>
      <c r="I2844" s="13" t="str">
        <f aca="false">IFERROR(INDEX('Semrush Data'!$A$1:$Z$20000,MATCH(A2844,'Semrush Data'!$A$1:$A$20000,0),MATCH("CPC*",'Semrush Data'!$A$1:$Z$1,0)),"")</f>
        <v/>
      </c>
      <c r="J2844" s="7" t="str">
        <f aca="false">IFERROR(INDEX('Semrush Data'!$A$1:$Z$20000,MATCH(A2844,'Semrush Data'!$A$1:$A$20000,0),MATCH("Intent",'Semrush Data'!$A$1:$Z$1,0)),"")</f>
        <v/>
      </c>
    </row>
    <row r="2845" customFormat="false" ht="15" hidden="false" customHeight="true" outlineLevel="0" collapsed="false">
      <c r="A2845" s="7" t="s">
        <v>7509</v>
      </c>
      <c r="B2845" s="7" t="s">
        <v>6820</v>
      </c>
      <c r="C2845" s="7" t="n">
        <v>3</v>
      </c>
      <c r="D2845" s="7" t="n">
        <v>29</v>
      </c>
      <c r="E2845" s="7" t="n">
        <v>1</v>
      </c>
      <c r="F2845" s="7" t="s">
        <v>4806</v>
      </c>
      <c r="G2845" s="12" t="str">
        <f aca="false">IFERROR(INDEX('Semrush Data'!$A$1:$Z$20000,MATCH(A2845,'Semrush Data'!$A$1:$A$20000,0),MATCH("Volume",'Semrush Data'!$A$1:$Z$1,0)),"")</f>
        <v/>
      </c>
      <c r="H2845" s="7" t="str">
        <f aca="false">IFERROR(INDEX('Semrush Data'!$A$1:$Z$20000,MATCH(A2845,'Semrush Data'!$A$1:$A$20000,0),MATCH("Keyword Difficulty*",'Semrush Data'!$A$1:$Z$1,0)),"")</f>
        <v/>
      </c>
      <c r="I2845" s="13" t="str">
        <f aca="false">IFERROR(INDEX('Semrush Data'!$A$1:$Z$20000,MATCH(A2845,'Semrush Data'!$A$1:$A$20000,0),MATCH("CPC*",'Semrush Data'!$A$1:$Z$1,0)),"")</f>
        <v/>
      </c>
      <c r="J2845" s="7" t="str">
        <f aca="false">IFERROR(INDEX('Semrush Data'!$A$1:$Z$20000,MATCH(A2845,'Semrush Data'!$A$1:$A$20000,0),MATCH("Intent",'Semrush Data'!$A$1:$Z$1,0)),"")</f>
        <v/>
      </c>
    </row>
    <row r="2846" customFormat="false" ht="15" hidden="false" customHeight="true" outlineLevel="0" collapsed="false">
      <c r="A2846" s="7" t="s">
        <v>7510</v>
      </c>
      <c r="B2846" s="7" t="s">
        <v>6820</v>
      </c>
      <c r="C2846" s="7" t="n">
        <v>3</v>
      </c>
      <c r="D2846" s="7" t="n">
        <v>29</v>
      </c>
      <c r="E2846" s="7" t="n">
        <v>1</v>
      </c>
      <c r="F2846" s="7" t="s">
        <v>4806</v>
      </c>
      <c r="G2846" s="12" t="str">
        <f aca="false">IFERROR(INDEX('Semrush Data'!$A$1:$Z$20000,MATCH(A2846,'Semrush Data'!$A$1:$A$20000,0),MATCH("Volume",'Semrush Data'!$A$1:$Z$1,0)),"")</f>
        <v/>
      </c>
      <c r="H2846" s="7" t="str">
        <f aca="false">IFERROR(INDEX('Semrush Data'!$A$1:$Z$20000,MATCH(A2846,'Semrush Data'!$A$1:$A$20000,0),MATCH("Keyword Difficulty*",'Semrush Data'!$A$1:$Z$1,0)),"")</f>
        <v/>
      </c>
      <c r="I2846" s="13" t="str">
        <f aca="false">IFERROR(INDEX('Semrush Data'!$A$1:$Z$20000,MATCH(A2846,'Semrush Data'!$A$1:$A$20000,0),MATCH("CPC*",'Semrush Data'!$A$1:$Z$1,0)),"")</f>
        <v/>
      </c>
      <c r="J2846" s="7" t="str">
        <f aca="false">IFERROR(INDEX('Semrush Data'!$A$1:$Z$20000,MATCH(A2846,'Semrush Data'!$A$1:$A$20000,0),MATCH("Intent",'Semrush Data'!$A$1:$Z$1,0)),"")</f>
        <v/>
      </c>
    </row>
    <row r="2847" customFormat="false" ht="15" hidden="false" customHeight="true" outlineLevel="0" collapsed="false">
      <c r="A2847" s="7" t="s">
        <v>7511</v>
      </c>
      <c r="B2847" s="7" t="s">
        <v>6820</v>
      </c>
      <c r="C2847" s="7" t="n">
        <v>3</v>
      </c>
      <c r="D2847" s="7" t="n">
        <v>29</v>
      </c>
      <c r="E2847" s="7" t="n">
        <v>1</v>
      </c>
      <c r="F2847" s="7" t="s">
        <v>4806</v>
      </c>
      <c r="G2847" s="12" t="str">
        <f aca="false">IFERROR(INDEX('Semrush Data'!$A$1:$Z$20000,MATCH(A2847,'Semrush Data'!$A$1:$A$20000,0),MATCH("Volume",'Semrush Data'!$A$1:$Z$1,0)),"")</f>
        <v/>
      </c>
      <c r="H2847" s="7" t="str">
        <f aca="false">IFERROR(INDEX('Semrush Data'!$A$1:$Z$20000,MATCH(A2847,'Semrush Data'!$A$1:$A$20000,0),MATCH("Keyword Difficulty*",'Semrush Data'!$A$1:$Z$1,0)),"")</f>
        <v/>
      </c>
      <c r="I2847" s="13" t="str">
        <f aca="false">IFERROR(INDEX('Semrush Data'!$A$1:$Z$20000,MATCH(A2847,'Semrush Data'!$A$1:$A$20000,0),MATCH("CPC*",'Semrush Data'!$A$1:$Z$1,0)),"")</f>
        <v/>
      </c>
      <c r="J2847" s="7" t="str">
        <f aca="false">IFERROR(INDEX('Semrush Data'!$A$1:$Z$20000,MATCH(A2847,'Semrush Data'!$A$1:$A$20000,0),MATCH("Intent",'Semrush Data'!$A$1:$Z$1,0)),"")</f>
        <v/>
      </c>
    </row>
    <row r="2848" customFormat="false" ht="15" hidden="false" customHeight="true" outlineLevel="0" collapsed="false">
      <c r="A2848" s="7" t="s">
        <v>7512</v>
      </c>
      <c r="B2848" s="7" t="s">
        <v>6820</v>
      </c>
      <c r="C2848" s="7" t="n">
        <v>3</v>
      </c>
      <c r="D2848" s="7" t="s">
        <v>6818</v>
      </c>
      <c r="E2848" s="7" t="n">
        <v>1</v>
      </c>
      <c r="F2848" s="7" t="s">
        <v>122</v>
      </c>
      <c r="G2848" s="12" t="str">
        <f aca="false">IFERROR(INDEX('Semrush Data'!$A$1:$Z$20000,MATCH(A2848,'Semrush Data'!$A$1:$A$20000,0),MATCH("Volume",'Semrush Data'!$A$1:$Z$1,0)),"")</f>
        <v/>
      </c>
      <c r="H2848" s="7" t="str">
        <f aca="false">IFERROR(INDEX('Semrush Data'!$A$1:$Z$20000,MATCH(A2848,'Semrush Data'!$A$1:$A$20000,0),MATCH("Keyword Difficulty*",'Semrush Data'!$A$1:$Z$1,0)),"")</f>
        <v/>
      </c>
      <c r="I2848" s="13" t="str">
        <f aca="false">IFERROR(INDEX('Semrush Data'!$A$1:$Z$20000,MATCH(A2848,'Semrush Data'!$A$1:$A$20000,0),MATCH("CPC*",'Semrush Data'!$A$1:$Z$1,0)),"")</f>
        <v/>
      </c>
      <c r="J2848" s="7" t="str">
        <f aca="false">IFERROR(INDEX('Semrush Data'!$A$1:$Z$20000,MATCH(A2848,'Semrush Data'!$A$1:$A$20000,0),MATCH("Intent",'Semrush Data'!$A$1:$Z$1,0)),"")</f>
        <v/>
      </c>
    </row>
    <row r="2849" customFormat="false" ht="15" hidden="false" customHeight="true" outlineLevel="0" collapsed="false">
      <c r="A2849" s="7" t="s">
        <v>7513</v>
      </c>
      <c r="B2849" s="7" t="s">
        <v>6820</v>
      </c>
      <c r="C2849" s="7" t="n">
        <v>3</v>
      </c>
      <c r="D2849" s="7" t="n">
        <v>29</v>
      </c>
      <c r="E2849" s="7" t="n">
        <v>1</v>
      </c>
      <c r="F2849" s="7" t="s">
        <v>122</v>
      </c>
      <c r="G2849" s="12" t="str">
        <f aca="false">IFERROR(INDEX('Semrush Data'!$A$1:$Z$20000,MATCH(A2849,'Semrush Data'!$A$1:$A$20000,0),MATCH("Volume",'Semrush Data'!$A$1:$Z$1,0)),"")</f>
        <v/>
      </c>
      <c r="H2849" s="7" t="str">
        <f aca="false">IFERROR(INDEX('Semrush Data'!$A$1:$Z$20000,MATCH(A2849,'Semrush Data'!$A$1:$A$20000,0),MATCH("Keyword Difficulty*",'Semrush Data'!$A$1:$Z$1,0)),"")</f>
        <v/>
      </c>
      <c r="I2849" s="13" t="str">
        <f aca="false">IFERROR(INDEX('Semrush Data'!$A$1:$Z$20000,MATCH(A2849,'Semrush Data'!$A$1:$A$20000,0),MATCH("CPC*",'Semrush Data'!$A$1:$Z$1,0)),"")</f>
        <v/>
      </c>
      <c r="J2849" s="7" t="str">
        <f aca="false">IFERROR(INDEX('Semrush Data'!$A$1:$Z$20000,MATCH(A2849,'Semrush Data'!$A$1:$A$20000,0),MATCH("Intent",'Semrush Data'!$A$1:$Z$1,0)),"")</f>
        <v/>
      </c>
    </row>
    <row r="2850" customFormat="false" ht="15" hidden="false" customHeight="true" outlineLevel="0" collapsed="false">
      <c r="A2850" s="7" t="s">
        <v>7514</v>
      </c>
      <c r="B2850" s="7" t="s">
        <v>6820</v>
      </c>
      <c r="C2850" s="7" t="n">
        <v>3</v>
      </c>
      <c r="D2850" s="7" t="s">
        <v>6818</v>
      </c>
      <c r="E2850" s="7" t="n">
        <v>1</v>
      </c>
      <c r="F2850" s="7" t="s">
        <v>122</v>
      </c>
      <c r="G2850" s="12" t="str">
        <f aca="false">IFERROR(INDEX('Semrush Data'!$A$1:$Z$20000,MATCH(A2850,'Semrush Data'!$A$1:$A$20000,0),MATCH("Volume",'Semrush Data'!$A$1:$Z$1,0)),"")</f>
        <v/>
      </c>
      <c r="H2850" s="7" t="str">
        <f aca="false">IFERROR(INDEX('Semrush Data'!$A$1:$Z$20000,MATCH(A2850,'Semrush Data'!$A$1:$A$20000,0),MATCH("Keyword Difficulty*",'Semrush Data'!$A$1:$Z$1,0)),"")</f>
        <v/>
      </c>
      <c r="I2850" s="13" t="str">
        <f aca="false">IFERROR(INDEX('Semrush Data'!$A$1:$Z$20000,MATCH(A2850,'Semrush Data'!$A$1:$A$20000,0),MATCH("CPC*",'Semrush Data'!$A$1:$Z$1,0)),"")</f>
        <v/>
      </c>
      <c r="J2850" s="7" t="str">
        <f aca="false">IFERROR(INDEX('Semrush Data'!$A$1:$Z$20000,MATCH(A2850,'Semrush Data'!$A$1:$A$20000,0),MATCH("Intent",'Semrush Data'!$A$1:$Z$1,0)),"")</f>
        <v/>
      </c>
    </row>
    <row r="2851" customFormat="false" ht="15" hidden="false" customHeight="true" outlineLevel="0" collapsed="false">
      <c r="A2851" s="7" t="s">
        <v>7515</v>
      </c>
      <c r="B2851" s="7" t="s">
        <v>6820</v>
      </c>
      <c r="C2851" s="7" t="n">
        <v>3</v>
      </c>
      <c r="D2851" s="7" t="n">
        <v>29</v>
      </c>
      <c r="E2851" s="7" t="n">
        <v>1</v>
      </c>
      <c r="F2851" s="7" t="s">
        <v>122</v>
      </c>
      <c r="G2851" s="12" t="str">
        <f aca="false">IFERROR(INDEX('Semrush Data'!$A$1:$Z$20000,MATCH(A2851,'Semrush Data'!$A$1:$A$20000,0),MATCH("Volume",'Semrush Data'!$A$1:$Z$1,0)),"")</f>
        <v/>
      </c>
      <c r="H2851" s="7" t="str">
        <f aca="false">IFERROR(INDEX('Semrush Data'!$A$1:$Z$20000,MATCH(A2851,'Semrush Data'!$A$1:$A$20000,0),MATCH("Keyword Difficulty*",'Semrush Data'!$A$1:$Z$1,0)),"")</f>
        <v/>
      </c>
      <c r="I2851" s="13" t="str">
        <f aca="false">IFERROR(INDEX('Semrush Data'!$A$1:$Z$20000,MATCH(A2851,'Semrush Data'!$A$1:$A$20000,0),MATCH("CPC*",'Semrush Data'!$A$1:$Z$1,0)),"")</f>
        <v/>
      </c>
      <c r="J2851" s="7" t="str">
        <f aca="false">IFERROR(INDEX('Semrush Data'!$A$1:$Z$20000,MATCH(A2851,'Semrush Data'!$A$1:$A$20000,0),MATCH("Intent",'Semrush Data'!$A$1:$Z$1,0)),"")</f>
        <v/>
      </c>
    </row>
    <row r="2852" customFormat="false" ht="15" hidden="false" customHeight="true" outlineLevel="0" collapsed="false">
      <c r="A2852" s="7" t="s">
        <v>7516</v>
      </c>
      <c r="B2852" s="7" t="s">
        <v>6820</v>
      </c>
      <c r="C2852" s="7" t="n">
        <v>3</v>
      </c>
      <c r="D2852" s="7" t="n">
        <v>29</v>
      </c>
      <c r="E2852" s="7" t="n">
        <v>1</v>
      </c>
      <c r="F2852" s="7" t="s">
        <v>4764</v>
      </c>
      <c r="G2852" s="12" t="str">
        <f aca="false">IFERROR(INDEX('Semrush Data'!$A$1:$Z$20000,MATCH(A2852,'Semrush Data'!$A$1:$A$20000,0),MATCH("Volume",'Semrush Data'!$A$1:$Z$1,0)),"")</f>
        <v/>
      </c>
      <c r="H2852" s="7" t="str">
        <f aca="false">IFERROR(INDEX('Semrush Data'!$A$1:$Z$20000,MATCH(A2852,'Semrush Data'!$A$1:$A$20000,0),MATCH("Keyword Difficulty*",'Semrush Data'!$A$1:$Z$1,0)),"")</f>
        <v/>
      </c>
      <c r="I2852" s="13" t="str">
        <f aca="false">IFERROR(INDEX('Semrush Data'!$A$1:$Z$20000,MATCH(A2852,'Semrush Data'!$A$1:$A$20000,0),MATCH("CPC*",'Semrush Data'!$A$1:$Z$1,0)),"")</f>
        <v/>
      </c>
      <c r="J2852" s="7" t="str">
        <f aca="false">IFERROR(INDEX('Semrush Data'!$A$1:$Z$20000,MATCH(A2852,'Semrush Data'!$A$1:$A$20000,0),MATCH("Intent",'Semrush Data'!$A$1:$Z$1,0)),"")</f>
        <v/>
      </c>
    </row>
    <row r="2853" customFormat="false" ht="15" hidden="false" customHeight="true" outlineLevel="0" collapsed="false">
      <c r="A2853" s="7" t="s">
        <v>7517</v>
      </c>
      <c r="B2853" s="7" t="s">
        <v>6820</v>
      </c>
      <c r="C2853" s="7" t="n">
        <v>3</v>
      </c>
      <c r="D2853" s="7" t="n">
        <v>29</v>
      </c>
      <c r="E2853" s="7" t="n">
        <v>1</v>
      </c>
      <c r="F2853" s="7" t="s">
        <v>4764</v>
      </c>
      <c r="G2853" s="12" t="str">
        <f aca="false">IFERROR(INDEX('Semrush Data'!$A$1:$Z$20000,MATCH(A2853,'Semrush Data'!$A$1:$A$20000,0),MATCH("Volume",'Semrush Data'!$A$1:$Z$1,0)),"")</f>
        <v/>
      </c>
      <c r="H2853" s="7" t="str">
        <f aca="false">IFERROR(INDEX('Semrush Data'!$A$1:$Z$20000,MATCH(A2853,'Semrush Data'!$A$1:$A$20000,0),MATCH("Keyword Difficulty*",'Semrush Data'!$A$1:$Z$1,0)),"")</f>
        <v/>
      </c>
      <c r="I2853" s="13" t="str">
        <f aca="false">IFERROR(INDEX('Semrush Data'!$A$1:$Z$20000,MATCH(A2853,'Semrush Data'!$A$1:$A$20000,0),MATCH("CPC*",'Semrush Data'!$A$1:$Z$1,0)),"")</f>
        <v/>
      </c>
      <c r="J2853" s="7" t="str">
        <f aca="false">IFERROR(INDEX('Semrush Data'!$A$1:$Z$20000,MATCH(A2853,'Semrush Data'!$A$1:$A$20000,0),MATCH("Intent",'Semrush Data'!$A$1:$Z$1,0)),"")</f>
        <v/>
      </c>
    </row>
    <row r="2854" customFormat="false" ht="15" hidden="false" customHeight="true" outlineLevel="0" collapsed="false">
      <c r="A2854" s="7" t="s">
        <v>7518</v>
      </c>
      <c r="B2854" s="7" t="s">
        <v>6820</v>
      </c>
      <c r="C2854" s="7" t="n">
        <v>3</v>
      </c>
      <c r="D2854" s="7" t="n">
        <v>29</v>
      </c>
      <c r="E2854" s="7" t="n">
        <v>1</v>
      </c>
      <c r="F2854" s="7" t="s">
        <v>4817</v>
      </c>
      <c r="G2854" s="12" t="str">
        <f aca="false">IFERROR(INDEX('Semrush Data'!$A$1:$Z$20000,MATCH(A2854,'Semrush Data'!$A$1:$A$20000,0),MATCH("Volume",'Semrush Data'!$A$1:$Z$1,0)),"")</f>
        <v/>
      </c>
      <c r="H2854" s="7" t="str">
        <f aca="false">IFERROR(INDEX('Semrush Data'!$A$1:$Z$20000,MATCH(A2854,'Semrush Data'!$A$1:$A$20000,0),MATCH("Keyword Difficulty*",'Semrush Data'!$A$1:$Z$1,0)),"")</f>
        <v/>
      </c>
      <c r="I2854" s="13" t="str">
        <f aca="false">IFERROR(INDEX('Semrush Data'!$A$1:$Z$20000,MATCH(A2854,'Semrush Data'!$A$1:$A$20000,0),MATCH("CPC*",'Semrush Data'!$A$1:$Z$1,0)),"")</f>
        <v/>
      </c>
      <c r="J2854" s="7" t="str">
        <f aca="false">IFERROR(INDEX('Semrush Data'!$A$1:$Z$20000,MATCH(A2854,'Semrush Data'!$A$1:$A$20000,0),MATCH("Intent",'Semrush Data'!$A$1:$Z$1,0)),"")</f>
        <v/>
      </c>
    </row>
    <row r="2855" customFormat="false" ht="15" hidden="false" customHeight="true" outlineLevel="0" collapsed="false">
      <c r="A2855" s="7" t="s">
        <v>7519</v>
      </c>
      <c r="B2855" s="7" t="s">
        <v>6820</v>
      </c>
      <c r="C2855" s="7" t="n">
        <v>3</v>
      </c>
      <c r="D2855" s="7" t="n">
        <v>29</v>
      </c>
      <c r="E2855" s="7" t="n">
        <v>1</v>
      </c>
      <c r="F2855" s="7" t="s">
        <v>4817</v>
      </c>
      <c r="G2855" s="12" t="str">
        <f aca="false">IFERROR(INDEX('Semrush Data'!$A$1:$Z$20000,MATCH(A2855,'Semrush Data'!$A$1:$A$20000,0),MATCH("Volume",'Semrush Data'!$A$1:$Z$1,0)),"")</f>
        <v/>
      </c>
      <c r="H2855" s="7" t="str">
        <f aca="false">IFERROR(INDEX('Semrush Data'!$A$1:$Z$20000,MATCH(A2855,'Semrush Data'!$A$1:$A$20000,0),MATCH("Keyword Difficulty*",'Semrush Data'!$A$1:$Z$1,0)),"")</f>
        <v/>
      </c>
      <c r="I2855" s="13" t="str">
        <f aca="false">IFERROR(INDEX('Semrush Data'!$A$1:$Z$20000,MATCH(A2855,'Semrush Data'!$A$1:$A$20000,0),MATCH("CPC*",'Semrush Data'!$A$1:$Z$1,0)),"")</f>
        <v/>
      </c>
      <c r="J2855" s="7" t="str">
        <f aca="false">IFERROR(INDEX('Semrush Data'!$A$1:$Z$20000,MATCH(A2855,'Semrush Data'!$A$1:$A$20000,0),MATCH("Intent",'Semrush Data'!$A$1:$Z$1,0)),"")</f>
        <v/>
      </c>
    </row>
    <row r="2856" customFormat="false" ht="15" hidden="false" customHeight="true" outlineLevel="0" collapsed="false">
      <c r="A2856" s="7" t="s">
        <v>7520</v>
      </c>
      <c r="B2856" s="7" t="s">
        <v>6820</v>
      </c>
      <c r="C2856" s="7" t="n">
        <v>3</v>
      </c>
      <c r="D2856" s="7" t="n">
        <v>29</v>
      </c>
      <c r="E2856" s="7" t="n">
        <v>1</v>
      </c>
      <c r="F2856" s="7" t="s">
        <v>4817</v>
      </c>
      <c r="G2856" s="12" t="str">
        <f aca="false">IFERROR(INDEX('Semrush Data'!$A$1:$Z$20000,MATCH(A2856,'Semrush Data'!$A$1:$A$20000,0),MATCH("Volume",'Semrush Data'!$A$1:$Z$1,0)),"")</f>
        <v/>
      </c>
      <c r="H2856" s="7" t="str">
        <f aca="false">IFERROR(INDEX('Semrush Data'!$A$1:$Z$20000,MATCH(A2856,'Semrush Data'!$A$1:$A$20000,0),MATCH("Keyword Difficulty*",'Semrush Data'!$A$1:$Z$1,0)),"")</f>
        <v/>
      </c>
      <c r="I2856" s="13" t="str">
        <f aca="false">IFERROR(INDEX('Semrush Data'!$A$1:$Z$20000,MATCH(A2856,'Semrush Data'!$A$1:$A$20000,0),MATCH("CPC*",'Semrush Data'!$A$1:$Z$1,0)),"")</f>
        <v/>
      </c>
      <c r="J2856" s="7" t="str">
        <f aca="false">IFERROR(INDEX('Semrush Data'!$A$1:$Z$20000,MATCH(A2856,'Semrush Data'!$A$1:$A$20000,0),MATCH("Intent",'Semrush Data'!$A$1:$Z$1,0)),"")</f>
        <v/>
      </c>
    </row>
    <row r="2857" customFormat="false" ht="15" hidden="false" customHeight="true" outlineLevel="0" collapsed="false">
      <c r="A2857" s="7" t="s">
        <v>7521</v>
      </c>
      <c r="B2857" s="7" t="s">
        <v>6820</v>
      </c>
      <c r="C2857" s="7" t="n">
        <v>3</v>
      </c>
      <c r="D2857" s="7" t="n">
        <v>29</v>
      </c>
      <c r="E2857" s="7" t="n">
        <v>1</v>
      </c>
      <c r="F2857" s="7" t="s">
        <v>4776</v>
      </c>
      <c r="G2857" s="12" t="str">
        <f aca="false">IFERROR(INDEX('Semrush Data'!$A$1:$Z$20000,MATCH(A2857,'Semrush Data'!$A$1:$A$20000,0),MATCH("Volume",'Semrush Data'!$A$1:$Z$1,0)),"")</f>
        <v/>
      </c>
      <c r="H2857" s="7" t="str">
        <f aca="false">IFERROR(INDEX('Semrush Data'!$A$1:$Z$20000,MATCH(A2857,'Semrush Data'!$A$1:$A$20000,0),MATCH("Keyword Difficulty*",'Semrush Data'!$A$1:$Z$1,0)),"")</f>
        <v/>
      </c>
      <c r="I2857" s="13" t="str">
        <f aca="false">IFERROR(INDEX('Semrush Data'!$A$1:$Z$20000,MATCH(A2857,'Semrush Data'!$A$1:$A$20000,0),MATCH("CPC*",'Semrush Data'!$A$1:$Z$1,0)),"")</f>
        <v/>
      </c>
      <c r="J2857" s="7" t="str">
        <f aca="false">IFERROR(INDEX('Semrush Data'!$A$1:$Z$20000,MATCH(A2857,'Semrush Data'!$A$1:$A$20000,0),MATCH("Intent",'Semrush Data'!$A$1:$Z$1,0)),"")</f>
        <v/>
      </c>
    </row>
    <row r="2858" customFormat="false" ht="15" hidden="false" customHeight="true" outlineLevel="0" collapsed="false">
      <c r="A2858" s="7" t="s">
        <v>7522</v>
      </c>
      <c r="B2858" s="7" t="s">
        <v>6820</v>
      </c>
      <c r="C2858" s="7" t="n">
        <v>3</v>
      </c>
      <c r="D2858" s="7" t="n">
        <v>29</v>
      </c>
      <c r="E2858" s="7" t="n">
        <v>1</v>
      </c>
      <c r="F2858" s="7" t="s">
        <v>4776</v>
      </c>
      <c r="G2858" s="12" t="str">
        <f aca="false">IFERROR(INDEX('Semrush Data'!$A$1:$Z$20000,MATCH(A2858,'Semrush Data'!$A$1:$A$20000,0),MATCH("Volume",'Semrush Data'!$A$1:$Z$1,0)),"")</f>
        <v/>
      </c>
      <c r="H2858" s="7" t="str">
        <f aca="false">IFERROR(INDEX('Semrush Data'!$A$1:$Z$20000,MATCH(A2858,'Semrush Data'!$A$1:$A$20000,0),MATCH("Keyword Difficulty*",'Semrush Data'!$A$1:$Z$1,0)),"")</f>
        <v/>
      </c>
      <c r="I2858" s="13" t="str">
        <f aca="false">IFERROR(INDEX('Semrush Data'!$A$1:$Z$20000,MATCH(A2858,'Semrush Data'!$A$1:$A$20000,0),MATCH("CPC*",'Semrush Data'!$A$1:$Z$1,0)),"")</f>
        <v/>
      </c>
      <c r="J2858" s="7" t="str">
        <f aca="false">IFERROR(INDEX('Semrush Data'!$A$1:$Z$20000,MATCH(A2858,'Semrush Data'!$A$1:$A$20000,0),MATCH("Intent",'Semrush Data'!$A$1:$Z$1,0)),"")</f>
        <v/>
      </c>
    </row>
    <row r="2859" customFormat="false" ht="15" hidden="false" customHeight="true" outlineLevel="0" collapsed="false">
      <c r="A2859" s="7" t="s">
        <v>7523</v>
      </c>
      <c r="B2859" s="7" t="s">
        <v>6820</v>
      </c>
      <c r="C2859" s="7" t="n">
        <v>3</v>
      </c>
      <c r="D2859" s="7" t="n">
        <v>29</v>
      </c>
      <c r="E2859" s="7" t="n">
        <v>1</v>
      </c>
      <c r="F2859" s="7" t="s">
        <v>4776</v>
      </c>
      <c r="G2859" s="12" t="str">
        <f aca="false">IFERROR(INDEX('Semrush Data'!$A$1:$Z$20000,MATCH(A2859,'Semrush Data'!$A$1:$A$20000,0),MATCH("Volume",'Semrush Data'!$A$1:$Z$1,0)),"")</f>
        <v/>
      </c>
      <c r="H2859" s="7" t="str">
        <f aca="false">IFERROR(INDEX('Semrush Data'!$A$1:$Z$20000,MATCH(A2859,'Semrush Data'!$A$1:$A$20000,0),MATCH("Keyword Difficulty*",'Semrush Data'!$A$1:$Z$1,0)),"")</f>
        <v/>
      </c>
      <c r="I2859" s="13" t="str">
        <f aca="false">IFERROR(INDEX('Semrush Data'!$A$1:$Z$20000,MATCH(A2859,'Semrush Data'!$A$1:$A$20000,0),MATCH("CPC*",'Semrush Data'!$A$1:$Z$1,0)),"")</f>
        <v/>
      </c>
      <c r="J2859" s="7" t="str">
        <f aca="false">IFERROR(INDEX('Semrush Data'!$A$1:$Z$20000,MATCH(A2859,'Semrush Data'!$A$1:$A$20000,0),MATCH("Intent",'Semrush Data'!$A$1:$Z$1,0)),"")</f>
        <v/>
      </c>
    </row>
    <row r="2860" customFormat="false" ht="15" hidden="false" customHeight="true" outlineLevel="0" collapsed="false">
      <c r="A2860" s="7" t="s">
        <v>7524</v>
      </c>
      <c r="B2860" s="7" t="s">
        <v>6820</v>
      </c>
      <c r="C2860" s="7" t="n">
        <v>3</v>
      </c>
      <c r="D2860" s="7" t="n">
        <v>29</v>
      </c>
      <c r="E2860" s="7" t="n">
        <v>1</v>
      </c>
      <c r="F2860" s="7" t="s">
        <v>4776</v>
      </c>
      <c r="G2860" s="12" t="str">
        <f aca="false">IFERROR(INDEX('Semrush Data'!$A$1:$Z$20000,MATCH(A2860,'Semrush Data'!$A$1:$A$20000,0),MATCH("Volume",'Semrush Data'!$A$1:$Z$1,0)),"")</f>
        <v/>
      </c>
      <c r="H2860" s="7" t="str">
        <f aca="false">IFERROR(INDEX('Semrush Data'!$A$1:$Z$20000,MATCH(A2860,'Semrush Data'!$A$1:$A$20000,0),MATCH("Keyword Difficulty*",'Semrush Data'!$A$1:$Z$1,0)),"")</f>
        <v/>
      </c>
      <c r="I2860" s="13" t="str">
        <f aca="false">IFERROR(INDEX('Semrush Data'!$A$1:$Z$20000,MATCH(A2860,'Semrush Data'!$A$1:$A$20000,0),MATCH("CPC*",'Semrush Data'!$A$1:$Z$1,0)),"")</f>
        <v/>
      </c>
      <c r="J2860" s="7" t="str">
        <f aca="false">IFERROR(INDEX('Semrush Data'!$A$1:$Z$20000,MATCH(A2860,'Semrush Data'!$A$1:$A$20000,0),MATCH("Intent",'Semrush Data'!$A$1:$Z$1,0)),"")</f>
        <v/>
      </c>
    </row>
    <row r="2861" customFormat="false" ht="15" hidden="false" customHeight="true" outlineLevel="0" collapsed="false">
      <c r="A2861" s="7" t="s">
        <v>7525</v>
      </c>
      <c r="B2861" s="7" t="s">
        <v>6820</v>
      </c>
      <c r="C2861" s="7" t="n">
        <v>3</v>
      </c>
      <c r="D2861" s="7" t="n">
        <v>29</v>
      </c>
      <c r="E2861" s="7" t="n">
        <v>1</v>
      </c>
      <c r="F2861" s="7" t="s">
        <v>4776</v>
      </c>
      <c r="G2861" s="12" t="str">
        <f aca="false">IFERROR(INDEX('Semrush Data'!$A$1:$Z$20000,MATCH(A2861,'Semrush Data'!$A$1:$A$20000,0),MATCH("Volume",'Semrush Data'!$A$1:$Z$1,0)),"")</f>
        <v/>
      </c>
      <c r="H2861" s="7" t="str">
        <f aca="false">IFERROR(INDEX('Semrush Data'!$A$1:$Z$20000,MATCH(A2861,'Semrush Data'!$A$1:$A$20000,0),MATCH("Keyword Difficulty*",'Semrush Data'!$A$1:$Z$1,0)),"")</f>
        <v/>
      </c>
      <c r="I2861" s="13" t="str">
        <f aca="false">IFERROR(INDEX('Semrush Data'!$A$1:$Z$20000,MATCH(A2861,'Semrush Data'!$A$1:$A$20000,0),MATCH("CPC*",'Semrush Data'!$A$1:$Z$1,0)),"")</f>
        <v/>
      </c>
      <c r="J2861" s="7" t="str">
        <f aca="false">IFERROR(INDEX('Semrush Data'!$A$1:$Z$20000,MATCH(A2861,'Semrush Data'!$A$1:$A$20000,0),MATCH("Intent",'Semrush Data'!$A$1:$Z$1,0)),"")</f>
        <v/>
      </c>
    </row>
    <row r="2862" customFormat="false" ht="15" hidden="false" customHeight="true" outlineLevel="0" collapsed="false">
      <c r="A2862" s="7" t="s">
        <v>7526</v>
      </c>
      <c r="B2862" s="7" t="s">
        <v>6820</v>
      </c>
      <c r="C2862" s="7" t="n">
        <v>3</v>
      </c>
      <c r="D2862" s="7" t="n">
        <v>29</v>
      </c>
      <c r="E2862" s="7" t="n">
        <v>1</v>
      </c>
      <c r="F2862" s="7" t="s">
        <v>110</v>
      </c>
      <c r="G2862" s="12" t="str">
        <f aca="false">IFERROR(INDEX('Semrush Data'!$A$1:$Z$20000,MATCH(A2862,'Semrush Data'!$A$1:$A$20000,0),MATCH("Volume",'Semrush Data'!$A$1:$Z$1,0)),"")</f>
        <v/>
      </c>
      <c r="H2862" s="7" t="str">
        <f aca="false">IFERROR(INDEX('Semrush Data'!$A$1:$Z$20000,MATCH(A2862,'Semrush Data'!$A$1:$A$20000,0),MATCH("Keyword Difficulty*",'Semrush Data'!$A$1:$Z$1,0)),"")</f>
        <v/>
      </c>
      <c r="I2862" s="13" t="str">
        <f aca="false">IFERROR(INDEX('Semrush Data'!$A$1:$Z$20000,MATCH(A2862,'Semrush Data'!$A$1:$A$20000,0),MATCH("CPC*",'Semrush Data'!$A$1:$Z$1,0)),"")</f>
        <v/>
      </c>
      <c r="J2862" s="7" t="str">
        <f aca="false">IFERROR(INDEX('Semrush Data'!$A$1:$Z$20000,MATCH(A2862,'Semrush Data'!$A$1:$A$20000,0),MATCH("Intent",'Semrush Data'!$A$1:$Z$1,0)),"")</f>
        <v/>
      </c>
    </row>
    <row r="2863" customFormat="false" ht="15" hidden="false" customHeight="true" outlineLevel="0" collapsed="false">
      <c r="A2863" s="7" t="s">
        <v>7527</v>
      </c>
      <c r="B2863" s="7" t="s">
        <v>6820</v>
      </c>
      <c r="C2863" s="7" t="n">
        <v>3</v>
      </c>
      <c r="D2863" s="7" t="s">
        <v>6818</v>
      </c>
      <c r="E2863" s="7" t="n">
        <v>1</v>
      </c>
      <c r="F2863" s="7" t="s">
        <v>110</v>
      </c>
      <c r="G2863" s="12" t="str">
        <f aca="false">IFERROR(INDEX('Semrush Data'!$A$1:$Z$20000,MATCH(A2863,'Semrush Data'!$A$1:$A$20000,0),MATCH("Volume",'Semrush Data'!$A$1:$Z$1,0)),"")</f>
        <v/>
      </c>
      <c r="H2863" s="7" t="str">
        <f aca="false">IFERROR(INDEX('Semrush Data'!$A$1:$Z$20000,MATCH(A2863,'Semrush Data'!$A$1:$A$20000,0),MATCH("Keyword Difficulty*",'Semrush Data'!$A$1:$Z$1,0)),"")</f>
        <v/>
      </c>
      <c r="I2863" s="13" t="str">
        <f aca="false">IFERROR(INDEX('Semrush Data'!$A$1:$Z$20000,MATCH(A2863,'Semrush Data'!$A$1:$A$20000,0),MATCH("CPC*",'Semrush Data'!$A$1:$Z$1,0)),"")</f>
        <v/>
      </c>
      <c r="J2863" s="7" t="str">
        <f aca="false">IFERROR(INDEX('Semrush Data'!$A$1:$Z$20000,MATCH(A2863,'Semrush Data'!$A$1:$A$20000,0),MATCH("Intent",'Semrush Data'!$A$1:$Z$1,0)),"")</f>
        <v/>
      </c>
    </row>
    <row r="2864" customFormat="false" ht="15" hidden="false" customHeight="true" outlineLevel="0" collapsed="false">
      <c r="A2864" s="7" t="s">
        <v>7528</v>
      </c>
      <c r="B2864" s="7" t="s">
        <v>6820</v>
      </c>
      <c r="C2864" s="7" t="n">
        <v>3</v>
      </c>
      <c r="D2864" s="7" t="n">
        <v>29</v>
      </c>
      <c r="E2864" s="7" t="n">
        <v>1</v>
      </c>
      <c r="F2864" s="7" t="s">
        <v>110</v>
      </c>
      <c r="G2864" s="12" t="str">
        <f aca="false">IFERROR(INDEX('Semrush Data'!$A$1:$Z$20000,MATCH(A2864,'Semrush Data'!$A$1:$A$20000,0),MATCH("Volume",'Semrush Data'!$A$1:$Z$1,0)),"")</f>
        <v/>
      </c>
      <c r="H2864" s="7" t="str">
        <f aca="false">IFERROR(INDEX('Semrush Data'!$A$1:$Z$20000,MATCH(A2864,'Semrush Data'!$A$1:$A$20000,0),MATCH("Keyword Difficulty*",'Semrush Data'!$A$1:$Z$1,0)),"")</f>
        <v/>
      </c>
      <c r="I2864" s="13" t="str">
        <f aca="false">IFERROR(INDEX('Semrush Data'!$A$1:$Z$20000,MATCH(A2864,'Semrush Data'!$A$1:$A$20000,0),MATCH("CPC*",'Semrush Data'!$A$1:$Z$1,0)),"")</f>
        <v/>
      </c>
      <c r="J2864" s="7" t="str">
        <f aca="false">IFERROR(INDEX('Semrush Data'!$A$1:$Z$20000,MATCH(A2864,'Semrush Data'!$A$1:$A$20000,0),MATCH("Intent",'Semrush Data'!$A$1:$Z$1,0)),"")</f>
        <v/>
      </c>
    </row>
    <row r="2865" customFormat="false" ht="15" hidden="false" customHeight="true" outlineLevel="0" collapsed="false">
      <c r="A2865" s="7" t="s">
        <v>7529</v>
      </c>
      <c r="B2865" s="7" t="s">
        <v>6820</v>
      </c>
      <c r="C2865" s="7" t="n">
        <v>3</v>
      </c>
      <c r="D2865" s="7" t="s">
        <v>6818</v>
      </c>
      <c r="E2865" s="7" t="n">
        <v>1</v>
      </c>
      <c r="F2865" s="7" t="s">
        <v>110</v>
      </c>
      <c r="G2865" s="12" t="str">
        <f aca="false">IFERROR(INDEX('Semrush Data'!$A$1:$Z$20000,MATCH(A2865,'Semrush Data'!$A$1:$A$20000,0),MATCH("Volume",'Semrush Data'!$A$1:$Z$1,0)),"")</f>
        <v/>
      </c>
      <c r="H2865" s="7" t="str">
        <f aca="false">IFERROR(INDEX('Semrush Data'!$A$1:$Z$20000,MATCH(A2865,'Semrush Data'!$A$1:$A$20000,0),MATCH("Keyword Difficulty*",'Semrush Data'!$A$1:$Z$1,0)),"")</f>
        <v/>
      </c>
      <c r="I2865" s="13" t="str">
        <f aca="false">IFERROR(INDEX('Semrush Data'!$A$1:$Z$20000,MATCH(A2865,'Semrush Data'!$A$1:$A$20000,0),MATCH("CPC*",'Semrush Data'!$A$1:$Z$1,0)),"")</f>
        <v/>
      </c>
      <c r="J2865" s="7" t="str">
        <f aca="false">IFERROR(INDEX('Semrush Data'!$A$1:$Z$20000,MATCH(A2865,'Semrush Data'!$A$1:$A$20000,0),MATCH("Intent",'Semrush Data'!$A$1:$Z$1,0)),"")</f>
        <v/>
      </c>
    </row>
    <row r="2866" customFormat="false" ht="15" hidden="false" customHeight="true" outlineLevel="0" collapsed="false">
      <c r="A2866" s="7" t="s">
        <v>7530</v>
      </c>
      <c r="B2866" s="7" t="s">
        <v>6820</v>
      </c>
      <c r="C2866" s="7" t="n">
        <v>3</v>
      </c>
      <c r="D2866" s="7" t="n">
        <v>29</v>
      </c>
      <c r="E2866" s="7" t="n">
        <v>1</v>
      </c>
      <c r="F2866" s="7" t="s">
        <v>4817</v>
      </c>
      <c r="G2866" s="12" t="str">
        <f aca="false">IFERROR(INDEX('Semrush Data'!$A$1:$Z$20000,MATCH(A2866,'Semrush Data'!$A$1:$A$20000,0),MATCH("Volume",'Semrush Data'!$A$1:$Z$1,0)),"")</f>
        <v/>
      </c>
      <c r="H2866" s="7" t="str">
        <f aca="false">IFERROR(INDEX('Semrush Data'!$A$1:$Z$20000,MATCH(A2866,'Semrush Data'!$A$1:$A$20000,0),MATCH("Keyword Difficulty*",'Semrush Data'!$A$1:$Z$1,0)),"")</f>
        <v/>
      </c>
      <c r="I2866" s="13" t="str">
        <f aca="false">IFERROR(INDEX('Semrush Data'!$A$1:$Z$20000,MATCH(A2866,'Semrush Data'!$A$1:$A$20000,0),MATCH("CPC*",'Semrush Data'!$A$1:$Z$1,0)),"")</f>
        <v/>
      </c>
      <c r="J2866" s="7" t="str">
        <f aca="false">IFERROR(INDEX('Semrush Data'!$A$1:$Z$20000,MATCH(A2866,'Semrush Data'!$A$1:$A$20000,0),MATCH("Intent",'Semrush Data'!$A$1:$Z$1,0)),"")</f>
        <v/>
      </c>
    </row>
    <row r="2867" customFormat="false" ht="15" hidden="false" customHeight="true" outlineLevel="0" collapsed="false">
      <c r="A2867" s="7" t="s">
        <v>7531</v>
      </c>
      <c r="B2867" s="7" t="s">
        <v>6820</v>
      </c>
      <c r="C2867" s="7" t="n">
        <v>3</v>
      </c>
      <c r="D2867" s="7" t="n">
        <v>29</v>
      </c>
      <c r="E2867" s="7" t="n">
        <v>1</v>
      </c>
      <c r="F2867" s="7" t="s">
        <v>124</v>
      </c>
      <c r="G2867" s="12" t="str">
        <f aca="false">IFERROR(INDEX('Semrush Data'!$A$1:$Z$20000,MATCH(A2867,'Semrush Data'!$A$1:$A$20000,0),MATCH("Volume",'Semrush Data'!$A$1:$Z$1,0)),"")</f>
        <v/>
      </c>
      <c r="H2867" s="7" t="str">
        <f aca="false">IFERROR(INDEX('Semrush Data'!$A$1:$Z$20000,MATCH(A2867,'Semrush Data'!$A$1:$A$20000,0),MATCH("Keyword Difficulty*",'Semrush Data'!$A$1:$Z$1,0)),"")</f>
        <v/>
      </c>
      <c r="I2867" s="13" t="str">
        <f aca="false">IFERROR(INDEX('Semrush Data'!$A$1:$Z$20000,MATCH(A2867,'Semrush Data'!$A$1:$A$20000,0),MATCH("CPC*",'Semrush Data'!$A$1:$Z$1,0)),"")</f>
        <v/>
      </c>
      <c r="J2867" s="7" t="str">
        <f aca="false">IFERROR(INDEX('Semrush Data'!$A$1:$Z$20000,MATCH(A2867,'Semrush Data'!$A$1:$A$20000,0),MATCH("Intent",'Semrush Data'!$A$1:$Z$1,0)),"")</f>
        <v/>
      </c>
    </row>
    <row r="2868" customFormat="false" ht="15" hidden="false" customHeight="true" outlineLevel="0" collapsed="false">
      <c r="A2868" s="7" t="s">
        <v>7532</v>
      </c>
      <c r="B2868" s="7" t="s">
        <v>6820</v>
      </c>
      <c r="C2868" s="7" t="n">
        <v>3</v>
      </c>
      <c r="D2868" s="7" t="n">
        <v>29</v>
      </c>
      <c r="E2868" s="7" t="n">
        <v>1</v>
      </c>
      <c r="F2868" s="7" t="s">
        <v>124</v>
      </c>
      <c r="G2868" s="12" t="str">
        <f aca="false">IFERROR(INDEX('Semrush Data'!$A$1:$Z$20000,MATCH(A2868,'Semrush Data'!$A$1:$A$20000,0),MATCH("Volume",'Semrush Data'!$A$1:$Z$1,0)),"")</f>
        <v/>
      </c>
      <c r="H2868" s="7" t="str">
        <f aca="false">IFERROR(INDEX('Semrush Data'!$A$1:$Z$20000,MATCH(A2868,'Semrush Data'!$A$1:$A$20000,0),MATCH("Keyword Difficulty*",'Semrush Data'!$A$1:$Z$1,0)),"")</f>
        <v/>
      </c>
      <c r="I2868" s="13" t="str">
        <f aca="false">IFERROR(INDEX('Semrush Data'!$A$1:$Z$20000,MATCH(A2868,'Semrush Data'!$A$1:$A$20000,0),MATCH("CPC*",'Semrush Data'!$A$1:$Z$1,0)),"")</f>
        <v/>
      </c>
      <c r="J2868" s="7" t="str">
        <f aca="false">IFERROR(INDEX('Semrush Data'!$A$1:$Z$20000,MATCH(A2868,'Semrush Data'!$A$1:$A$20000,0),MATCH("Intent",'Semrush Data'!$A$1:$Z$1,0)),"")</f>
        <v/>
      </c>
    </row>
    <row r="2869" customFormat="false" ht="15" hidden="false" customHeight="true" outlineLevel="0" collapsed="false">
      <c r="A2869" s="7" t="s">
        <v>7533</v>
      </c>
      <c r="B2869" s="7" t="s">
        <v>6820</v>
      </c>
      <c r="C2869" s="7" t="n">
        <v>3</v>
      </c>
      <c r="D2869" s="7" t="s">
        <v>6818</v>
      </c>
      <c r="E2869" s="7" t="n">
        <v>1</v>
      </c>
      <c r="F2869" s="7" t="s">
        <v>124</v>
      </c>
      <c r="G2869" s="12" t="str">
        <f aca="false">IFERROR(INDEX('Semrush Data'!$A$1:$Z$20000,MATCH(A2869,'Semrush Data'!$A$1:$A$20000,0),MATCH("Volume",'Semrush Data'!$A$1:$Z$1,0)),"")</f>
        <v/>
      </c>
      <c r="H2869" s="7" t="str">
        <f aca="false">IFERROR(INDEX('Semrush Data'!$A$1:$Z$20000,MATCH(A2869,'Semrush Data'!$A$1:$A$20000,0),MATCH("Keyword Difficulty*",'Semrush Data'!$A$1:$Z$1,0)),"")</f>
        <v/>
      </c>
      <c r="I2869" s="13" t="str">
        <f aca="false">IFERROR(INDEX('Semrush Data'!$A$1:$Z$20000,MATCH(A2869,'Semrush Data'!$A$1:$A$20000,0),MATCH("CPC*",'Semrush Data'!$A$1:$Z$1,0)),"")</f>
        <v/>
      </c>
      <c r="J2869" s="7" t="str">
        <f aca="false">IFERROR(INDEX('Semrush Data'!$A$1:$Z$20000,MATCH(A2869,'Semrush Data'!$A$1:$A$20000,0),MATCH("Intent",'Semrush Data'!$A$1:$Z$1,0)),"")</f>
        <v/>
      </c>
    </row>
    <row r="2870" customFormat="false" ht="15" hidden="false" customHeight="true" outlineLevel="0" collapsed="false">
      <c r="A2870" s="7" t="s">
        <v>7534</v>
      </c>
      <c r="B2870" s="7" t="s">
        <v>6820</v>
      </c>
      <c r="C2870" s="7" t="n">
        <v>3</v>
      </c>
      <c r="D2870" s="7" t="s">
        <v>6843</v>
      </c>
      <c r="E2870" s="7" t="n">
        <v>1</v>
      </c>
      <c r="F2870" s="7" t="s">
        <v>124</v>
      </c>
      <c r="G2870" s="12" t="str">
        <f aca="false">IFERROR(INDEX('Semrush Data'!$A$1:$Z$20000,MATCH(A2870,'Semrush Data'!$A$1:$A$20000,0),MATCH("Volume",'Semrush Data'!$A$1:$Z$1,0)),"")</f>
        <v/>
      </c>
      <c r="H2870" s="7" t="str">
        <f aca="false">IFERROR(INDEX('Semrush Data'!$A$1:$Z$20000,MATCH(A2870,'Semrush Data'!$A$1:$A$20000,0),MATCH("Keyword Difficulty*",'Semrush Data'!$A$1:$Z$1,0)),"")</f>
        <v/>
      </c>
      <c r="I2870" s="13" t="str">
        <f aca="false">IFERROR(INDEX('Semrush Data'!$A$1:$Z$20000,MATCH(A2870,'Semrush Data'!$A$1:$A$20000,0),MATCH("CPC*",'Semrush Data'!$A$1:$Z$1,0)),"")</f>
        <v/>
      </c>
      <c r="J2870" s="7" t="str">
        <f aca="false">IFERROR(INDEX('Semrush Data'!$A$1:$Z$20000,MATCH(A2870,'Semrush Data'!$A$1:$A$20000,0),MATCH("Intent",'Semrush Data'!$A$1:$Z$1,0)),"")</f>
        <v/>
      </c>
    </row>
    <row r="2871" customFormat="false" ht="15" hidden="false" customHeight="true" outlineLevel="0" collapsed="false">
      <c r="A2871" s="7" t="s">
        <v>7535</v>
      </c>
      <c r="B2871" s="7" t="s">
        <v>6820</v>
      </c>
      <c r="C2871" s="7" t="n">
        <v>3</v>
      </c>
      <c r="D2871" s="7" t="n">
        <v>29</v>
      </c>
      <c r="E2871" s="7" t="n">
        <v>1</v>
      </c>
      <c r="F2871" s="7" t="s">
        <v>124</v>
      </c>
      <c r="G2871" s="12" t="str">
        <f aca="false">IFERROR(INDEX('Semrush Data'!$A$1:$Z$20000,MATCH(A2871,'Semrush Data'!$A$1:$A$20000,0),MATCH("Volume",'Semrush Data'!$A$1:$Z$1,0)),"")</f>
        <v/>
      </c>
      <c r="H2871" s="7" t="str">
        <f aca="false">IFERROR(INDEX('Semrush Data'!$A$1:$Z$20000,MATCH(A2871,'Semrush Data'!$A$1:$A$20000,0),MATCH("Keyword Difficulty*",'Semrush Data'!$A$1:$Z$1,0)),"")</f>
        <v/>
      </c>
      <c r="I2871" s="13" t="str">
        <f aca="false">IFERROR(INDEX('Semrush Data'!$A$1:$Z$20000,MATCH(A2871,'Semrush Data'!$A$1:$A$20000,0),MATCH("CPC*",'Semrush Data'!$A$1:$Z$1,0)),"")</f>
        <v/>
      </c>
      <c r="J2871" s="7" t="str">
        <f aca="false">IFERROR(INDEX('Semrush Data'!$A$1:$Z$20000,MATCH(A2871,'Semrush Data'!$A$1:$A$20000,0),MATCH("Intent",'Semrush Data'!$A$1:$Z$1,0)),"")</f>
        <v/>
      </c>
    </row>
    <row r="2872" customFormat="false" ht="15" hidden="false" customHeight="true" outlineLevel="0" collapsed="false">
      <c r="A2872" s="7" t="s">
        <v>4864</v>
      </c>
      <c r="B2872" s="7" t="s">
        <v>6820</v>
      </c>
      <c r="C2872" s="7" t="n">
        <v>3</v>
      </c>
      <c r="D2872" s="7" t="n">
        <v>29</v>
      </c>
      <c r="E2872" s="7" t="n">
        <v>1</v>
      </c>
      <c r="F2872" s="7" t="s">
        <v>4857</v>
      </c>
      <c r="G2872" s="12" t="str">
        <f aca="false">IFERROR(INDEX('Semrush Data'!$A$1:$Z$20000,MATCH(A2872,'Semrush Data'!$A$1:$A$20000,0),MATCH("Volume",'Semrush Data'!$A$1:$Z$1,0)),"")</f>
        <v/>
      </c>
      <c r="H2872" s="7" t="str">
        <f aca="false">IFERROR(INDEX('Semrush Data'!$A$1:$Z$20000,MATCH(A2872,'Semrush Data'!$A$1:$A$20000,0),MATCH("Keyword Difficulty*",'Semrush Data'!$A$1:$Z$1,0)),"")</f>
        <v/>
      </c>
      <c r="I2872" s="13" t="str">
        <f aca="false">IFERROR(INDEX('Semrush Data'!$A$1:$Z$20000,MATCH(A2872,'Semrush Data'!$A$1:$A$20000,0),MATCH("CPC*",'Semrush Data'!$A$1:$Z$1,0)),"")</f>
        <v/>
      </c>
      <c r="J2872" s="7" t="str">
        <f aca="false">IFERROR(INDEX('Semrush Data'!$A$1:$Z$20000,MATCH(A2872,'Semrush Data'!$A$1:$A$20000,0),MATCH("Intent",'Semrush Data'!$A$1:$Z$1,0)),"")</f>
        <v/>
      </c>
    </row>
    <row r="2873" customFormat="false" ht="15" hidden="false" customHeight="true" outlineLevel="0" collapsed="false">
      <c r="A2873" s="7" t="s">
        <v>7536</v>
      </c>
      <c r="B2873" s="7" t="s">
        <v>6820</v>
      </c>
      <c r="C2873" s="7" t="n">
        <v>3</v>
      </c>
      <c r="D2873" s="7" t="n">
        <v>29</v>
      </c>
      <c r="E2873" s="7" t="n">
        <v>1</v>
      </c>
      <c r="F2873" s="7" t="s">
        <v>4898</v>
      </c>
      <c r="G2873" s="12" t="str">
        <f aca="false">IFERROR(INDEX('Semrush Data'!$A$1:$Z$20000,MATCH(A2873,'Semrush Data'!$A$1:$A$20000,0),MATCH("Volume",'Semrush Data'!$A$1:$Z$1,0)),"")</f>
        <v/>
      </c>
      <c r="H2873" s="7" t="str">
        <f aca="false">IFERROR(INDEX('Semrush Data'!$A$1:$Z$20000,MATCH(A2873,'Semrush Data'!$A$1:$A$20000,0),MATCH("Keyword Difficulty*",'Semrush Data'!$A$1:$Z$1,0)),"")</f>
        <v/>
      </c>
      <c r="I2873" s="13" t="str">
        <f aca="false">IFERROR(INDEX('Semrush Data'!$A$1:$Z$20000,MATCH(A2873,'Semrush Data'!$A$1:$A$20000,0),MATCH("CPC*",'Semrush Data'!$A$1:$Z$1,0)),"")</f>
        <v/>
      </c>
      <c r="J2873" s="7" t="str">
        <f aca="false">IFERROR(INDEX('Semrush Data'!$A$1:$Z$20000,MATCH(A2873,'Semrush Data'!$A$1:$A$20000,0),MATCH("Intent",'Semrush Data'!$A$1:$Z$1,0)),"")</f>
        <v/>
      </c>
    </row>
    <row r="2874" customFormat="false" ht="15" hidden="false" customHeight="true" outlineLevel="0" collapsed="false">
      <c r="A2874" s="7" t="s">
        <v>7537</v>
      </c>
      <c r="B2874" s="7" t="s">
        <v>6820</v>
      </c>
      <c r="C2874" s="7" t="n">
        <v>3</v>
      </c>
      <c r="D2874" s="7" t="n">
        <v>29</v>
      </c>
      <c r="E2874" s="7" t="n">
        <v>1</v>
      </c>
      <c r="F2874" s="7" t="s">
        <v>4898</v>
      </c>
      <c r="G2874" s="12" t="str">
        <f aca="false">IFERROR(INDEX('Semrush Data'!$A$1:$Z$20000,MATCH(A2874,'Semrush Data'!$A$1:$A$20000,0),MATCH("Volume",'Semrush Data'!$A$1:$Z$1,0)),"")</f>
        <v/>
      </c>
      <c r="H2874" s="7" t="str">
        <f aca="false">IFERROR(INDEX('Semrush Data'!$A$1:$Z$20000,MATCH(A2874,'Semrush Data'!$A$1:$A$20000,0),MATCH("Keyword Difficulty*",'Semrush Data'!$A$1:$Z$1,0)),"")</f>
        <v/>
      </c>
      <c r="I2874" s="13" t="str">
        <f aca="false">IFERROR(INDEX('Semrush Data'!$A$1:$Z$20000,MATCH(A2874,'Semrush Data'!$A$1:$A$20000,0),MATCH("CPC*",'Semrush Data'!$A$1:$Z$1,0)),"")</f>
        <v/>
      </c>
      <c r="J2874" s="7" t="str">
        <f aca="false">IFERROR(INDEX('Semrush Data'!$A$1:$Z$20000,MATCH(A2874,'Semrush Data'!$A$1:$A$20000,0),MATCH("Intent",'Semrush Data'!$A$1:$Z$1,0)),"")</f>
        <v/>
      </c>
    </row>
    <row r="2875" customFormat="false" ht="15" hidden="false" customHeight="true" outlineLevel="0" collapsed="false">
      <c r="A2875" s="7" t="s">
        <v>7538</v>
      </c>
      <c r="B2875" s="7" t="s">
        <v>6820</v>
      </c>
      <c r="C2875" s="7" t="n">
        <v>3</v>
      </c>
      <c r="D2875" s="7" t="n">
        <v>29</v>
      </c>
      <c r="E2875" s="7" t="n">
        <v>2</v>
      </c>
      <c r="F2875" s="7" t="s">
        <v>6804</v>
      </c>
      <c r="G2875" s="12" t="str">
        <f aca="false">IFERROR(INDEX('Semrush Data'!$A$1:$Z$20000,MATCH(A2875,'Semrush Data'!$A$1:$A$20000,0),MATCH("Volume",'Semrush Data'!$A$1:$Z$1,0)),"")</f>
        <v/>
      </c>
      <c r="H2875" s="7" t="str">
        <f aca="false">IFERROR(INDEX('Semrush Data'!$A$1:$Z$20000,MATCH(A2875,'Semrush Data'!$A$1:$A$20000,0),MATCH("Keyword Difficulty*",'Semrush Data'!$A$1:$Z$1,0)),"")</f>
        <v/>
      </c>
      <c r="I2875" s="13" t="str">
        <f aca="false">IFERROR(INDEX('Semrush Data'!$A$1:$Z$20000,MATCH(A2875,'Semrush Data'!$A$1:$A$20000,0),MATCH("CPC*",'Semrush Data'!$A$1:$Z$1,0)),"")</f>
        <v/>
      </c>
      <c r="J2875" s="7" t="str">
        <f aca="false">IFERROR(INDEX('Semrush Data'!$A$1:$Z$20000,MATCH(A2875,'Semrush Data'!$A$1:$A$20000,0),MATCH("Intent",'Semrush Data'!$A$1:$Z$1,0)),"")</f>
        <v/>
      </c>
    </row>
    <row r="2876" customFormat="false" ht="15" hidden="false" customHeight="true" outlineLevel="0" collapsed="false">
      <c r="A2876" s="7" t="s">
        <v>4967</v>
      </c>
      <c r="B2876" s="7" t="s">
        <v>6820</v>
      </c>
      <c r="C2876" s="7" t="n">
        <v>3</v>
      </c>
      <c r="D2876" s="7" t="n">
        <v>29</v>
      </c>
      <c r="E2876" s="7" t="n">
        <v>2</v>
      </c>
      <c r="F2876" s="7" t="s">
        <v>6806</v>
      </c>
      <c r="G2876" s="12" t="str">
        <f aca="false">IFERROR(INDEX('Semrush Data'!$A$1:$Z$20000,MATCH(A2876,'Semrush Data'!$A$1:$A$20000,0),MATCH("Volume",'Semrush Data'!$A$1:$Z$1,0)),"")</f>
        <v/>
      </c>
      <c r="H2876" s="7" t="str">
        <f aca="false">IFERROR(INDEX('Semrush Data'!$A$1:$Z$20000,MATCH(A2876,'Semrush Data'!$A$1:$A$20000,0),MATCH("Keyword Difficulty*",'Semrush Data'!$A$1:$Z$1,0)),"")</f>
        <v/>
      </c>
      <c r="I2876" s="13" t="str">
        <f aca="false">IFERROR(INDEX('Semrush Data'!$A$1:$Z$20000,MATCH(A2876,'Semrush Data'!$A$1:$A$20000,0),MATCH("CPC*",'Semrush Data'!$A$1:$Z$1,0)),"")</f>
        <v/>
      </c>
      <c r="J2876" s="7" t="str">
        <f aca="false">IFERROR(INDEX('Semrush Data'!$A$1:$Z$20000,MATCH(A2876,'Semrush Data'!$A$1:$A$20000,0),MATCH("Intent",'Semrush Data'!$A$1:$Z$1,0)),"")</f>
        <v/>
      </c>
    </row>
    <row r="2877" customFormat="false" ht="15" hidden="false" customHeight="true" outlineLevel="0" collapsed="false">
      <c r="A2877" s="7" t="s">
        <v>4983</v>
      </c>
      <c r="B2877" s="7" t="s">
        <v>6820</v>
      </c>
      <c r="C2877" s="7" t="n">
        <v>3</v>
      </c>
      <c r="D2877" s="7" t="n">
        <v>29</v>
      </c>
      <c r="E2877" s="7" t="n">
        <v>2</v>
      </c>
      <c r="F2877" s="7" t="s">
        <v>6807</v>
      </c>
      <c r="G2877" s="12" t="str">
        <f aca="false">IFERROR(INDEX('Semrush Data'!$A$1:$Z$20000,MATCH(A2877,'Semrush Data'!$A$1:$A$20000,0),MATCH("Volume",'Semrush Data'!$A$1:$Z$1,0)),"")</f>
        <v/>
      </c>
      <c r="H2877" s="7" t="str">
        <f aca="false">IFERROR(INDEX('Semrush Data'!$A$1:$Z$20000,MATCH(A2877,'Semrush Data'!$A$1:$A$20000,0),MATCH("Keyword Difficulty*",'Semrush Data'!$A$1:$Z$1,0)),"")</f>
        <v/>
      </c>
      <c r="I2877" s="13" t="str">
        <f aca="false">IFERROR(INDEX('Semrush Data'!$A$1:$Z$20000,MATCH(A2877,'Semrush Data'!$A$1:$A$20000,0),MATCH("CPC*",'Semrush Data'!$A$1:$Z$1,0)),"")</f>
        <v/>
      </c>
      <c r="J2877" s="7" t="str">
        <f aca="false">IFERROR(INDEX('Semrush Data'!$A$1:$Z$20000,MATCH(A2877,'Semrush Data'!$A$1:$A$20000,0),MATCH("Intent",'Semrush Data'!$A$1:$Z$1,0)),"")</f>
        <v/>
      </c>
    </row>
    <row r="2878" customFormat="false" ht="15" hidden="false" customHeight="true" outlineLevel="0" collapsed="false">
      <c r="A2878" s="7" t="s">
        <v>5905</v>
      </c>
      <c r="B2878" s="7" t="s">
        <v>6820</v>
      </c>
      <c r="C2878" s="7" t="n">
        <v>3</v>
      </c>
      <c r="D2878" s="7" t="n">
        <v>29</v>
      </c>
      <c r="E2878" s="7" t="n">
        <v>1</v>
      </c>
      <c r="F2878" s="7" t="s">
        <v>5898</v>
      </c>
      <c r="G2878" s="12" t="str">
        <f aca="false">IFERROR(INDEX('Semrush Data'!$A$1:$Z$20000,MATCH(A2878,'Semrush Data'!$A$1:$A$20000,0),MATCH("Volume",'Semrush Data'!$A$1:$Z$1,0)),"")</f>
        <v/>
      </c>
      <c r="H2878" s="7" t="str">
        <f aca="false">IFERROR(INDEX('Semrush Data'!$A$1:$Z$20000,MATCH(A2878,'Semrush Data'!$A$1:$A$20000,0),MATCH("Keyword Difficulty*",'Semrush Data'!$A$1:$Z$1,0)),"")</f>
        <v/>
      </c>
      <c r="I2878" s="13" t="str">
        <f aca="false">IFERROR(INDEX('Semrush Data'!$A$1:$Z$20000,MATCH(A2878,'Semrush Data'!$A$1:$A$20000,0),MATCH("CPC*",'Semrush Data'!$A$1:$Z$1,0)),"")</f>
        <v/>
      </c>
      <c r="J2878" s="7" t="str">
        <f aca="false">IFERROR(INDEX('Semrush Data'!$A$1:$Z$20000,MATCH(A2878,'Semrush Data'!$A$1:$A$20000,0),MATCH("Intent",'Semrush Data'!$A$1:$Z$1,0)),"")</f>
        <v/>
      </c>
    </row>
    <row r="2879" customFormat="false" ht="15" hidden="false" customHeight="true" outlineLevel="0" collapsed="false">
      <c r="A2879" s="7" t="s">
        <v>7539</v>
      </c>
      <c r="B2879" s="7" t="s">
        <v>6820</v>
      </c>
      <c r="C2879" s="7" t="n">
        <v>3</v>
      </c>
      <c r="D2879" s="7" t="n">
        <v>29</v>
      </c>
      <c r="E2879" s="7" t="n">
        <v>1</v>
      </c>
      <c r="F2879" s="7" t="s">
        <v>5005</v>
      </c>
      <c r="G2879" s="12" t="str">
        <f aca="false">IFERROR(INDEX('Semrush Data'!$A$1:$Z$20000,MATCH(A2879,'Semrush Data'!$A$1:$A$20000,0),MATCH("Volume",'Semrush Data'!$A$1:$Z$1,0)),"")</f>
        <v/>
      </c>
      <c r="H2879" s="7" t="str">
        <f aca="false">IFERROR(INDEX('Semrush Data'!$A$1:$Z$20000,MATCH(A2879,'Semrush Data'!$A$1:$A$20000,0),MATCH("Keyword Difficulty*",'Semrush Data'!$A$1:$Z$1,0)),"")</f>
        <v/>
      </c>
      <c r="I2879" s="13" t="str">
        <f aca="false">IFERROR(INDEX('Semrush Data'!$A$1:$Z$20000,MATCH(A2879,'Semrush Data'!$A$1:$A$20000,0),MATCH("CPC*",'Semrush Data'!$A$1:$Z$1,0)),"")</f>
        <v/>
      </c>
      <c r="J2879" s="7" t="str">
        <f aca="false">IFERROR(INDEX('Semrush Data'!$A$1:$Z$20000,MATCH(A2879,'Semrush Data'!$A$1:$A$20000,0),MATCH("Intent",'Semrush Data'!$A$1:$Z$1,0)),"")</f>
        <v/>
      </c>
    </row>
    <row r="2880" customFormat="false" ht="15" hidden="false" customHeight="true" outlineLevel="0" collapsed="false">
      <c r="A2880" s="7" t="s">
        <v>7540</v>
      </c>
      <c r="B2880" s="7" t="s">
        <v>6820</v>
      </c>
      <c r="C2880" s="7" t="n">
        <v>3</v>
      </c>
      <c r="D2880" s="7" t="n">
        <v>29</v>
      </c>
      <c r="E2880" s="7" t="n">
        <v>1</v>
      </c>
      <c r="F2880" s="7" t="s">
        <v>5005</v>
      </c>
      <c r="G2880" s="12" t="str">
        <f aca="false">IFERROR(INDEX('Semrush Data'!$A$1:$Z$20000,MATCH(A2880,'Semrush Data'!$A$1:$A$20000,0),MATCH("Volume",'Semrush Data'!$A$1:$Z$1,0)),"")</f>
        <v/>
      </c>
      <c r="H2880" s="7" t="str">
        <f aca="false">IFERROR(INDEX('Semrush Data'!$A$1:$Z$20000,MATCH(A2880,'Semrush Data'!$A$1:$A$20000,0),MATCH("Keyword Difficulty*",'Semrush Data'!$A$1:$Z$1,0)),"")</f>
        <v/>
      </c>
      <c r="I2880" s="13" t="str">
        <f aca="false">IFERROR(INDEX('Semrush Data'!$A$1:$Z$20000,MATCH(A2880,'Semrush Data'!$A$1:$A$20000,0),MATCH("CPC*",'Semrush Data'!$A$1:$Z$1,0)),"")</f>
        <v/>
      </c>
      <c r="J2880" s="7" t="str">
        <f aca="false">IFERROR(INDEX('Semrush Data'!$A$1:$Z$20000,MATCH(A2880,'Semrush Data'!$A$1:$A$20000,0),MATCH("Intent",'Semrush Data'!$A$1:$Z$1,0)),"")</f>
        <v/>
      </c>
    </row>
    <row r="2881" customFormat="false" ht="15" hidden="false" customHeight="true" outlineLevel="0" collapsed="false">
      <c r="A2881" s="7" t="s">
        <v>7541</v>
      </c>
      <c r="B2881" s="7" t="s">
        <v>6820</v>
      </c>
      <c r="C2881" s="7" t="n">
        <v>3</v>
      </c>
      <c r="D2881" s="7" t="n">
        <v>29</v>
      </c>
      <c r="E2881" s="7" t="n">
        <v>1</v>
      </c>
      <c r="F2881" s="7" t="s">
        <v>5005</v>
      </c>
      <c r="G2881" s="12" t="str">
        <f aca="false">IFERROR(INDEX('Semrush Data'!$A$1:$Z$20000,MATCH(A2881,'Semrush Data'!$A$1:$A$20000,0),MATCH("Volume",'Semrush Data'!$A$1:$Z$1,0)),"")</f>
        <v/>
      </c>
      <c r="H2881" s="7" t="str">
        <f aca="false">IFERROR(INDEX('Semrush Data'!$A$1:$Z$20000,MATCH(A2881,'Semrush Data'!$A$1:$A$20000,0),MATCH("Keyword Difficulty*",'Semrush Data'!$A$1:$Z$1,0)),"")</f>
        <v/>
      </c>
      <c r="I2881" s="13" t="str">
        <f aca="false">IFERROR(INDEX('Semrush Data'!$A$1:$Z$20000,MATCH(A2881,'Semrush Data'!$A$1:$A$20000,0),MATCH("CPC*",'Semrush Data'!$A$1:$Z$1,0)),"")</f>
        <v/>
      </c>
      <c r="J2881" s="7" t="str">
        <f aca="false">IFERROR(INDEX('Semrush Data'!$A$1:$Z$20000,MATCH(A2881,'Semrush Data'!$A$1:$A$20000,0),MATCH("Intent",'Semrush Data'!$A$1:$Z$1,0)),"")</f>
        <v/>
      </c>
    </row>
    <row r="2882" customFormat="false" ht="15" hidden="false" customHeight="true" outlineLevel="0" collapsed="false">
      <c r="A2882" s="7" t="s">
        <v>7542</v>
      </c>
      <c r="B2882" s="7" t="s">
        <v>6820</v>
      </c>
      <c r="C2882" s="7" t="n">
        <v>3</v>
      </c>
      <c r="D2882" s="7" t="n">
        <v>29</v>
      </c>
      <c r="E2882" s="7" t="n">
        <v>1</v>
      </c>
      <c r="F2882" s="7" t="s">
        <v>1118</v>
      </c>
      <c r="G2882" s="12" t="str">
        <f aca="false">IFERROR(INDEX('Semrush Data'!$A$1:$Z$20000,MATCH(A2882,'Semrush Data'!$A$1:$A$20000,0),MATCH("Volume",'Semrush Data'!$A$1:$Z$1,0)),"")</f>
        <v/>
      </c>
      <c r="H2882" s="7" t="str">
        <f aca="false">IFERROR(INDEX('Semrush Data'!$A$1:$Z$20000,MATCH(A2882,'Semrush Data'!$A$1:$A$20000,0),MATCH("Keyword Difficulty*",'Semrush Data'!$A$1:$Z$1,0)),"")</f>
        <v/>
      </c>
      <c r="I2882" s="13" t="str">
        <f aca="false">IFERROR(INDEX('Semrush Data'!$A$1:$Z$20000,MATCH(A2882,'Semrush Data'!$A$1:$A$20000,0),MATCH("CPC*",'Semrush Data'!$A$1:$Z$1,0)),"")</f>
        <v/>
      </c>
      <c r="J2882" s="7" t="str">
        <f aca="false">IFERROR(INDEX('Semrush Data'!$A$1:$Z$20000,MATCH(A2882,'Semrush Data'!$A$1:$A$20000,0),MATCH("Intent",'Semrush Data'!$A$1:$Z$1,0)),"")</f>
        <v/>
      </c>
    </row>
    <row r="2883" customFormat="false" ht="15" hidden="false" customHeight="true" outlineLevel="0" collapsed="false">
      <c r="A2883" s="7" t="s">
        <v>7543</v>
      </c>
      <c r="B2883" s="7" t="s">
        <v>6820</v>
      </c>
      <c r="C2883" s="7" t="n">
        <v>3</v>
      </c>
      <c r="D2883" s="7" t="n">
        <v>29</v>
      </c>
      <c r="E2883" s="7" t="n">
        <v>1</v>
      </c>
      <c r="F2883" s="7" t="s">
        <v>1159</v>
      </c>
      <c r="G2883" s="12" t="str">
        <f aca="false">IFERROR(INDEX('Semrush Data'!$A$1:$Z$20000,MATCH(A2883,'Semrush Data'!$A$1:$A$20000,0),MATCH("Volume",'Semrush Data'!$A$1:$Z$1,0)),"")</f>
        <v/>
      </c>
      <c r="H2883" s="7" t="str">
        <f aca="false">IFERROR(INDEX('Semrush Data'!$A$1:$Z$20000,MATCH(A2883,'Semrush Data'!$A$1:$A$20000,0),MATCH("Keyword Difficulty*",'Semrush Data'!$A$1:$Z$1,0)),"")</f>
        <v/>
      </c>
      <c r="I2883" s="13" t="str">
        <f aca="false">IFERROR(INDEX('Semrush Data'!$A$1:$Z$20000,MATCH(A2883,'Semrush Data'!$A$1:$A$20000,0),MATCH("CPC*",'Semrush Data'!$A$1:$Z$1,0)),"")</f>
        <v/>
      </c>
      <c r="J2883" s="7" t="str">
        <f aca="false">IFERROR(INDEX('Semrush Data'!$A$1:$Z$20000,MATCH(A2883,'Semrush Data'!$A$1:$A$20000,0),MATCH("Intent",'Semrush Data'!$A$1:$Z$1,0)),"")</f>
        <v/>
      </c>
    </row>
    <row r="2884" customFormat="false" ht="15" hidden="false" customHeight="true" outlineLevel="0" collapsed="false">
      <c r="A2884" s="7" t="s">
        <v>7544</v>
      </c>
      <c r="B2884" s="7" t="s">
        <v>6820</v>
      </c>
      <c r="C2884" s="7" t="n">
        <v>3</v>
      </c>
      <c r="D2884" s="7" t="n">
        <v>29</v>
      </c>
      <c r="E2884" s="7" t="n">
        <v>1</v>
      </c>
      <c r="F2884" s="7" t="s">
        <v>866</v>
      </c>
      <c r="G2884" s="12" t="str">
        <f aca="false">IFERROR(INDEX('Semrush Data'!$A$1:$Z$20000,MATCH(A2884,'Semrush Data'!$A$1:$A$20000,0),MATCH("Volume",'Semrush Data'!$A$1:$Z$1,0)),"")</f>
        <v/>
      </c>
      <c r="H2884" s="7" t="str">
        <f aca="false">IFERROR(INDEX('Semrush Data'!$A$1:$Z$20000,MATCH(A2884,'Semrush Data'!$A$1:$A$20000,0),MATCH("Keyword Difficulty*",'Semrush Data'!$A$1:$Z$1,0)),"")</f>
        <v/>
      </c>
      <c r="I2884" s="13" t="str">
        <f aca="false">IFERROR(INDEX('Semrush Data'!$A$1:$Z$20000,MATCH(A2884,'Semrush Data'!$A$1:$A$20000,0),MATCH("CPC*",'Semrush Data'!$A$1:$Z$1,0)),"")</f>
        <v/>
      </c>
      <c r="J2884" s="7" t="str">
        <f aca="false">IFERROR(INDEX('Semrush Data'!$A$1:$Z$20000,MATCH(A2884,'Semrush Data'!$A$1:$A$20000,0),MATCH("Intent",'Semrush Data'!$A$1:$Z$1,0)),"")</f>
        <v/>
      </c>
    </row>
    <row r="2885" customFormat="false" ht="15" hidden="false" customHeight="true" outlineLevel="0" collapsed="false">
      <c r="A2885" s="7" t="s">
        <v>7545</v>
      </c>
      <c r="B2885" s="7" t="s">
        <v>6820</v>
      </c>
      <c r="C2885" s="7" t="n">
        <v>3</v>
      </c>
      <c r="D2885" s="7" t="n">
        <v>29</v>
      </c>
      <c r="E2885" s="7" t="n">
        <v>1</v>
      </c>
      <c r="F2885" s="7" t="s">
        <v>954</v>
      </c>
      <c r="G2885" s="12" t="str">
        <f aca="false">IFERROR(INDEX('Semrush Data'!$A$1:$Z$20000,MATCH(A2885,'Semrush Data'!$A$1:$A$20000,0),MATCH("Volume",'Semrush Data'!$A$1:$Z$1,0)),"")</f>
        <v/>
      </c>
      <c r="H2885" s="7" t="str">
        <f aca="false">IFERROR(INDEX('Semrush Data'!$A$1:$Z$20000,MATCH(A2885,'Semrush Data'!$A$1:$A$20000,0),MATCH("Keyword Difficulty*",'Semrush Data'!$A$1:$Z$1,0)),"")</f>
        <v/>
      </c>
      <c r="I2885" s="13" t="str">
        <f aca="false">IFERROR(INDEX('Semrush Data'!$A$1:$Z$20000,MATCH(A2885,'Semrush Data'!$A$1:$A$20000,0),MATCH("CPC*",'Semrush Data'!$A$1:$Z$1,0)),"")</f>
        <v/>
      </c>
      <c r="J2885" s="7" t="str">
        <f aca="false">IFERROR(INDEX('Semrush Data'!$A$1:$Z$20000,MATCH(A2885,'Semrush Data'!$A$1:$A$20000,0),MATCH("Intent",'Semrush Data'!$A$1:$Z$1,0)),"")</f>
        <v/>
      </c>
    </row>
    <row r="2886" customFormat="false" ht="15" hidden="false" customHeight="true" outlineLevel="0" collapsed="false">
      <c r="A2886" s="7" t="s">
        <v>7546</v>
      </c>
      <c r="B2886" s="7" t="s">
        <v>6820</v>
      </c>
      <c r="C2886" s="7" t="n">
        <v>3</v>
      </c>
      <c r="D2886" s="7" t="n">
        <v>29</v>
      </c>
      <c r="E2886" s="7" t="n">
        <v>1</v>
      </c>
      <c r="F2886" s="7" t="s">
        <v>489</v>
      </c>
      <c r="G2886" s="12" t="str">
        <f aca="false">IFERROR(INDEX('Semrush Data'!$A$1:$Z$20000,MATCH(A2886,'Semrush Data'!$A$1:$A$20000,0),MATCH("Volume",'Semrush Data'!$A$1:$Z$1,0)),"")</f>
        <v/>
      </c>
      <c r="H2886" s="7" t="str">
        <f aca="false">IFERROR(INDEX('Semrush Data'!$A$1:$Z$20000,MATCH(A2886,'Semrush Data'!$A$1:$A$20000,0),MATCH("Keyword Difficulty*",'Semrush Data'!$A$1:$Z$1,0)),"")</f>
        <v/>
      </c>
      <c r="I2886" s="13" t="str">
        <f aca="false">IFERROR(INDEX('Semrush Data'!$A$1:$Z$20000,MATCH(A2886,'Semrush Data'!$A$1:$A$20000,0),MATCH("CPC*",'Semrush Data'!$A$1:$Z$1,0)),"")</f>
        <v/>
      </c>
      <c r="J2886" s="7" t="str">
        <f aca="false">IFERROR(INDEX('Semrush Data'!$A$1:$Z$20000,MATCH(A2886,'Semrush Data'!$A$1:$A$20000,0),MATCH("Intent",'Semrush Data'!$A$1:$Z$1,0)),"")</f>
        <v/>
      </c>
    </row>
    <row r="2887" customFormat="false" ht="15" hidden="false" customHeight="true" outlineLevel="0" collapsed="false">
      <c r="A2887" s="7" t="s">
        <v>7547</v>
      </c>
      <c r="B2887" s="7" t="s">
        <v>6820</v>
      </c>
      <c r="C2887" s="7" t="n">
        <v>3</v>
      </c>
      <c r="D2887" s="7" t="n">
        <v>29</v>
      </c>
      <c r="E2887" s="7" t="n">
        <v>1</v>
      </c>
      <c r="F2887" s="7" t="s">
        <v>410</v>
      </c>
      <c r="G2887" s="12" t="str">
        <f aca="false">IFERROR(INDEX('Semrush Data'!$A$1:$Z$20000,MATCH(A2887,'Semrush Data'!$A$1:$A$20000,0),MATCH("Volume",'Semrush Data'!$A$1:$Z$1,0)),"")</f>
        <v/>
      </c>
      <c r="H2887" s="7" t="str">
        <f aca="false">IFERROR(INDEX('Semrush Data'!$A$1:$Z$20000,MATCH(A2887,'Semrush Data'!$A$1:$A$20000,0),MATCH("Keyword Difficulty*",'Semrush Data'!$A$1:$Z$1,0)),"")</f>
        <v/>
      </c>
      <c r="I2887" s="13" t="str">
        <f aca="false">IFERROR(INDEX('Semrush Data'!$A$1:$Z$20000,MATCH(A2887,'Semrush Data'!$A$1:$A$20000,0),MATCH("CPC*",'Semrush Data'!$A$1:$Z$1,0)),"")</f>
        <v/>
      </c>
      <c r="J2887" s="7" t="str">
        <f aca="false">IFERROR(INDEX('Semrush Data'!$A$1:$Z$20000,MATCH(A2887,'Semrush Data'!$A$1:$A$20000,0),MATCH("Intent",'Semrush Data'!$A$1:$Z$1,0)),"")</f>
        <v/>
      </c>
    </row>
    <row r="2888" customFormat="false" ht="15" hidden="false" customHeight="true" outlineLevel="0" collapsed="false">
      <c r="A2888" s="7" t="s">
        <v>7548</v>
      </c>
      <c r="B2888" s="7" t="s">
        <v>6820</v>
      </c>
      <c r="C2888" s="7" t="n">
        <v>3</v>
      </c>
      <c r="D2888" s="7" t="n">
        <v>29</v>
      </c>
      <c r="E2888" s="7" t="n">
        <v>1</v>
      </c>
      <c r="F2888" s="7" t="s">
        <v>558</v>
      </c>
      <c r="G2888" s="12" t="str">
        <f aca="false">IFERROR(INDEX('Semrush Data'!$A$1:$Z$20000,MATCH(A2888,'Semrush Data'!$A$1:$A$20000,0),MATCH("Volume",'Semrush Data'!$A$1:$Z$1,0)),"")</f>
        <v/>
      </c>
      <c r="H2888" s="7" t="str">
        <f aca="false">IFERROR(INDEX('Semrush Data'!$A$1:$Z$20000,MATCH(A2888,'Semrush Data'!$A$1:$A$20000,0),MATCH("Keyword Difficulty*",'Semrush Data'!$A$1:$Z$1,0)),"")</f>
        <v/>
      </c>
      <c r="I2888" s="13" t="str">
        <f aca="false">IFERROR(INDEX('Semrush Data'!$A$1:$Z$20000,MATCH(A2888,'Semrush Data'!$A$1:$A$20000,0),MATCH("CPC*",'Semrush Data'!$A$1:$Z$1,0)),"")</f>
        <v/>
      </c>
      <c r="J2888" s="7" t="str">
        <f aca="false">IFERROR(INDEX('Semrush Data'!$A$1:$Z$20000,MATCH(A2888,'Semrush Data'!$A$1:$A$20000,0),MATCH("Intent",'Semrush Data'!$A$1:$Z$1,0)),"")</f>
        <v/>
      </c>
    </row>
    <row r="2889" customFormat="false" ht="15" hidden="false" customHeight="true" outlineLevel="0" collapsed="false">
      <c r="A2889" s="7" t="s">
        <v>7549</v>
      </c>
      <c r="B2889" s="7" t="s">
        <v>6820</v>
      </c>
      <c r="C2889" s="7" t="n">
        <v>3</v>
      </c>
      <c r="D2889" s="7" t="n">
        <v>29</v>
      </c>
      <c r="E2889" s="7" t="n">
        <v>1</v>
      </c>
      <c r="F2889" s="7" t="s">
        <v>558</v>
      </c>
      <c r="G2889" s="12" t="str">
        <f aca="false">IFERROR(INDEX('Semrush Data'!$A$1:$Z$20000,MATCH(A2889,'Semrush Data'!$A$1:$A$20000,0),MATCH("Volume",'Semrush Data'!$A$1:$Z$1,0)),"")</f>
        <v/>
      </c>
      <c r="H2889" s="7" t="str">
        <f aca="false">IFERROR(INDEX('Semrush Data'!$A$1:$Z$20000,MATCH(A2889,'Semrush Data'!$A$1:$A$20000,0),MATCH("Keyword Difficulty*",'Semrush Data'!$A$1:$Z$1,0)),"")</f>
        <v/>
      </c>
      <c r="I2889" s="13" t="str">
        <f aca="false">IFERROR(INDEX('Semrush Data'!$A$1:$Z$20000,MATCH(A2889,'Semrush Data'!$A$1:$A$20000,0),MATCH("CPC*",'Semrush Data'!$A$1:$Z$1,0)),"")</f>
        <v/>
      </c>
      <c r="J2889" s="7" t="str">
        <f aca="false">IFERROR(INDEX('Semrush Data'!$A$1:$Z$20000,MATCH(A2889,'Semrush Data'!$A$1:$A$20000,0),MATCH("Intent",'Semrush Data'!$A$1:$Z$1,0)),"")</f>
        <v/>
      </c>
    </row>
    <row r="2890" customFormat="false" ht="15" hidden="false" customHeight="true" outlineLevel="0" collapsed="false">
      <c r="A2890" s="7" t="s">
        <v>7550</v>
      </c>
      <c r="B2890" s="7" t="s">
        <v>6820</v>
      </c>
      <c r="C2890" s="7" t="n">
        <v>3</v>
      </c>
      <c r="D2890" s="7" t="s">
        <v>6843</v>
      </c>
      <c r="E2890" s="7" t="n">
        <v>1</v>
      </c>
      <c r="F2890" s="7" t="s">
        <v>629</v>
      </c>
      <c r="G2890" s="12" t="str">
        <f aca="false">IFERROR(INDEX('Semrush Data'!$A$1:$Z$20000,MATCH(A2890,'Semrush Data'!$A$1:$A$20000,0),MATCH("Volume",'Semrush Data'!$A$1:$Z$1,0)),"")</f>
        <v/>
      </c>
      <c r="H2890" s="7" t="str">
        <f aca="false">IFERROR(INDEX('Semrush Data'!$A$1:$Z$20000,MATCH(A2890,'Semrush Data'!$A$1:$A$20000,0),MATCH("Keyword Difficulty*",'Semrush Data'!$A$1:$Z$1,0)),"")</f>
        <v/>
      </c>
      <c r="I2890" s="13" t="str">
        <f aca="false">IFERROR(INDEX('Semrush Data'!$A$1:$Z$20000,MATCH(A2890,'Semrush Data'!$A$1:$A$20000,0),MATCH("CPC*",'Semrush Data'!$A$1:$Z$1,0)),"")</f>
        <v/>
      </c>
      <c r="J2890" s="7" t="str">
        <f aca="false">IFERROR(INDEX('Semrush Data'!$A$1:$Z$20000,MATCH(A2890,'Semrush Data'!$A$1:$A$20000,0),MATCH("Intent",'Semrush Data'!$A$1:$Z$1,0)),"")</f>
        <v/>
      </c>
    </row>
    <row r="2891" customFormat="false" ht="15" hidden="false" customHeight="true" outlineLevel="0" collapsed="false">
      <c r="A2891" s="7" t="s">
        <v>7551</v>
      </c>
      <c r="B2891" s="7" t="s">
        <v>6820</v>
      </c>
      <c r="C2891" s="7" t="n">
        <v>3</v>
      </c>
      <c r="D2891" s="7" t="n">
        <v>29</v>
      </c>
      <c r="E2891" s="7" t="n">
        <v>1</v>
      </c>
      <c r="F2891" s="7" t="s">
        <v>4465</v>
      </c>
      <c r="G2891" s="12" t="str">
        <f aca="false">IFERROR(INDEX('Semrush Data'!$A$1:$Z$20000,MATCH(A2891,'Semrush Data'!$A$1:$A$20000,0),MATCH("Volume",'Semrush Data'!$A$1:$Z$1,0)),"")</f>
        <v/>
      </c>
      <c r="H2891" s="7" t="str">
        <f aca="false">IFERROR(INDEX('Semrush Data'!$A$1:$Z$20000,MATCH(A2891,'Semrush Data'!$A$1:$A$20000,0),MATCH("Keyword Difficulty*",'Semrush Data'!$A$1:$Z$1,0)),"")</f>
        <v/>
      </c>
      <c r="I2891" s="13" t="str">
        <f aca="false">IFERROR(INDEX('Semrush Data'!$A$1:$Z$20000,MATCH(A2891,'Semrush Data'!$A$1:$A$20000,0),MATCH("CPC*",'Semrush Data'!$A$1:$Z$1,0)),"")</f>
        <v/>
      </c>
      <c r="J2891" s="7" t="str">
        <f aca="false">IFERROR(INDEX('Semrush Data'!$A$1:$Z$20000,MATCH(A2891,'Semrush Data'!$A$1:$A$20000,0),MATCH("Intent",'Semrush Data'!$A$1:$Z$1,0)),"")</f>
        <v/>
      </c>
    </row>
    <row r="2892" customFormat="false" ht="15" hidden="false" customHeight="true" outlineLevel="0" collapsed="false">
      <c r="A2892" s="7" t="s">
        <v>7552</v>
      </c>
      <c r="B2892" s="7" t="s">
        <v>6820</v>
      </c>
      <c r="C2892" s="7" t="n">
        <v>3</v>
      </c>
      <c r="D2892" s="7" t="n">
        <v>29</v>
      </c>
      <c r="E2892" s="7" t="n">
        <v>1</v>
      </c>
      <c r="F2892" s="7" t="s">
        <v>4465</v>
      </c>
      <c r="G2892" s="12" t="str">
        <f aca="false">IFERROR(INDEX('Semrush Data'!$A$1:$Z$20000,MATCH(A2892,'Semrush Data'!$A$1:$A$20000,0),MATCH("Volume",'Semrush Data'!$A$1:$Z$1,0)),"")</f>
        <v/>
      </c>
      <c r="H2892" s="7" t="str">
        <f aca="false">IFERROR(INDEX('Semrush Data'!$A$1:$Z$20000,MATCH(A2892,'Semrush Data'!$A$1:$A$20000,0),MATCH("Keyword Difficulty*",'Semrush Data'!$A$1:$Z$1,0)),"")</f>
        <v/>
      </c>
      <c r="I2892" s="13" t="str">
        <f aca="false">IFERROR(INDEX('Semrush Data'!$A$1:$Z$20000,MATCH(A2892,'Semrush Data'!$A$1:$A$20000,0),MATCH("CPC*",'Semrush Data'!$A$1:$Z$1,0)),"")</f>
        <v/>
      </c>
      <c r="J2892" s="7" t="str">
        <f aca="false">IFERROR(INDEX('Semrush Data'!$A$1:$Z$20000,MATCH(A2892,'Semrush Data'!$A$1:$A$20000,0),MATCH("Intent",'Semrush Data'!$A$1:$Z$1,0)),"")</f>
        <v/>
      </c>
    </row>
    <row r="2893" customFormat="false" ht="15" hidden="false" customHeight="true" outlineLevel="0" collapsed="false">
      <c r="A2893" s="7" t="s">
        <v>7553</v>
      </c>
      <c r="B2893" s="7" t="s">
        <v>6820</v>
      </c>
      <c r="C2893" s="7" t="n">
        <v>3</v>
      </c>
      <c r="D2893" s="7" t="n">
        <v>29</v>
      </c>
      <c r="E2893" s="7" t="n">
        <v>1</v>
      </c>
      <c r="F2893" s="7" t="s">
        <v>5083</v>
      </c>
      <c r="G2893" s="12" t="str">
        <f aca="false">IFERROR(INDEX('Semrush Data'!$A$1:$Z$20000,MATCH(A2893,'Semrush Data'!$A$1:$A$20000,0),MATCH("Volume",'Semrush Data'!$A$1:$Z$1,0)),"")</f>
        <v/>
      </c>
      <c r="H2893" s="7" t="str">
        <f aca="false">IFERROR(INDEX('Semrush Data'!$A$1:$Z$20000,MATCH(A2893,'Semrush Data'!$A$1:$A$20000,0),MATCH("Keyword Difficulty*",'Semrush Data'!$A$1:$Z$1,0)),"")</f>
        <v/>
      </c>
      <c r="I2893" s="13" t="str">
        <f aca="false">IFERROR(INDEX('Semrush Data'!$A$1:$Z$20000,MATCH(A2893,'Semrush Data'!$A$1:$A$20000,0),MATCH("CPC*",'Semrush Data'!$A$1:$Z$1,0)),"")</f>
        <v/>
      </c>
      <c r="J2893" s="7" t="str">
        <f aca="false">IFERROR(INDEX('Semrush Data'!$A$1:$Z$20000,MATCH(A2893,'Semrush Data'!$A$1:$A$20000,0),MATCH("Intent",'Semrush Data'!$A$1:$Z$1,0)),"")</f>
        <v/>
      </c>
    </row>
    <row r="2894" customFormat="false" ht="15" hidden="false" customHeight="true" outlineLevel="0" collapsed="false">
      <c r="A2894" s="7" t="s">
        <v>7554</v>
      </c>
      <c r="B2894" s="7" t="s">
        <v>6820</v>
      </c>
      <c r="C2894" s="7" t="n">
        <v>3</v>
      </c>
      <c r="D2894" s="7" t="n">
        <v>29</v>
      </c>
      <c r="E2894" s="7" t="n">
        <v>1</v>
      </c>
      <c r="F2894" s="7" t="s">
        <v>5069</v>
      </c>
      <c r="G2894" s="12" t="str">
        <f aca="false">IFERROR(INDEX('Semrush Data'!$A$1:$Z$20000,MATCH(A2894,'Semrush Data'!$A$1:$A$20000,0),MATCH("Volume",'Semrush Data'!$A$1:$Z$1,0)),"")</f>
        <v/>
      </c>
      <c r="H2894" s="7" t="str">
        <f aca="false">IFERROR(INDEX('Semrush Data'!$A$1:$Z$20000,MATCH(A2894,'Semrush Data'!$A$1:$A$20000,0),MATCH("Keyword Difficulty*",'Semrush Data'!$A$1:$Z$1,0)),"")</f>
        <v/>
      </c>
      <c r="I2894" s="13" t="str">
        <f aca="false">IFERROR(INDEX('Semrush Data'!$A$1:$Z$20000,MATCH(A2894,'Semrush Data'!$A$1:$A$20000,0),MATCH("CPC*",'Semrush Data'!$A$1:$Z$1,0)),"")</f>
        <v/>
      </c>
      <c r="J2894" s="7" t="str">
        <f aca="false">IFERROR(INDEX('Semrush Data'!$A$1:$Z$20000,MATCH(A2894,'Semrush Data'!$A$1:$A$20000,0),MATCH("Intent",'Semrush Data'!$A$1:$Z$1,0)),"")</f>
        <v/>
      </c>
    </row>
    <row r="2895" customFormat="false" ht="15" hidden="false" customHeight="true" outlineLevel="0" collapsed="false">
      <c r="A2895" s="7" t="s">
        <v>7555</v>
      </c>
      <c r="B2895" s="7" t="s">
        <v>6820</v>
      </c>
      <c r="C2895" s="7" t="n">
        <v>3</v>
      </c>
      <c r="D2895" s="7" t="n">
        <v>29</v>
      </c>
      <c r="E2895" s="7" t="n">
        <v>1</v>
      </c>
      <c r="F2895" s="7" t="s">
        <v>5069</v>
      </c>
      <c r="G2895" s="12" t="str">
        <f aca="false">IFERROR(INDEX('Semrush Data'!$A$1:$Z$20000,MATCH(A2895,'Semrush Data'!$A$1:$A$20000,0),MATCH("Volume",'Semrush Data'!$A$1:$Z$1,0)),"")</f>
        <v/>
      </c>
      <c r="H2895" s="7" t="str">
        <f aca="false">IFERROR(INDEX('Semrush Data'!$A$1:$Z$20000,MATCH(A2895,'Semrush Data'!$A$1:$A$20000,0),MATCH("Keyword Difficulty*",'Semrush Data'!$A$1:$Z$1,0)),"")</f>
        <v/>
      </c>
      <c r="I2895" s="13" t="str">
        <f aca="false">IFERROR(INDEX('Semrush Data'!$A$1:$Z$20000,MATCH(A2895,'Semrush Data'!$A$1:$A$20000,0),MATCH("CPC*",'Semrush Data'!$A$1:$Z$1,0)),"")</f>
        <v/>
      </c>
      <c r="J2895" s="7" t="str">
        <f aca="false">IFERROR(INDEX('Semrush Data'!$A$1:$Z$20000,MATCH(A2895,'Semrush Data'!$A$1:$A$20000,0),MATCH("Intent",'Semrush Data'!$A$1:$Z$1,0)),"")</f>
        <v/>
      </c>
    </row>
    <row r="2896" customFormat="false" ht="15" hidden="false" customHeight="true" outlineLevel="0" collapsed="false">
      <c r="A2896" s="7" t="s">
        <v>7556</v>
      </c>
      <c r="B2896" s="7" t="s">
        <v>6820</v>
      </c>
      <c r="C2896" s="7" t="n">
        <v>3</v>
      </c>
      <c r="D2896" s="7" t="n">
        <v>29</v>
      </c>
      <c r="E2896" s="7" t="n">
        <v>1</v>
      </c>
      <c r="F2896" s="7" t="s">
        <v>5069</v>
      </c>
      <c r="G2896" s="12" t="str">
        <f aca="false">IFERROR(INDEX('Semrush Data'!$A$1:$Z$20000,MATCH(A2896,'Semrush Data'!$A$1:$A$20000,0),MATCH("Volume",'Semrush Data'!$A$1:$Z$1,0)),"")</f>
        <v/>
      </c>
      <c r="H2896" s="7" t="str">
        <f aca="false">IFERROR(INDEX('Semrush Data'!$A$1:$Z$20000,MATCH(A2896,'Semrush Data'!$A$1:$A$20000,0),MATCH("Keyword Difficulty*",'Semrush Data'!$A$1:$Z$1,0)),"")</f>
        <v/>
      </c>
      <c r="I2896" s="13" t="str">
        <f aca="false">IFERROR(INDEX('Semrush Data'!$A$1:$Z$20000,MATCH(A2896,'Semrush Data'!$A$1:$A$20000,0),MATCH("CPC*",'Semrush Data'!$A$1:$Z$1,0)),"")</f>
        <v/>
      </c>
      <c r="J2896" s="7" t="str">
        <f aca="false">IFERROR(INDEX('Semrush Data'!$A$1:$Z$20000,MATCH(A2896,'Semrush Data'!$A$1:$A$20000,0),MATCH("Intent",'Semrush Data'!$A$1:$Z$1,0)),"")</f>
        <v/>
      </c>
    </row>
    <row r="2897" customFormat="false" ht="15" hidden="false" customHeight="true" outlineLevel="0" collapsed="false">
      <c r="A2897" s="7" t="s">
        <v>7557</v>
      </c>
      <c r="B2897" s="7" t="s">
        <v>6820</v>
      </c>
      <c r="C2897" s="7" t="n">
        <v>3</v>
      </c>
      <c r="D2897" s="7" t="n">
        <v>29</v>
      </c>
      <c r="E2897" s="7" t="n">
        <v>1</v>
      </c>
      <c r="F2897" s="7" t="s">
        <v>5069</v>
      </c>
      <c r="G2897" s="12" t="str">
        <f aca="false">IFERROR(INDEX('Semrush Data'!$A$1:$Z$20000,MATCH(A2897,'Semrush Data'!$A$1:$A$20000,0),MATCH("Volume",'Semrush Data'!$A$1:$Z$1,0)),"")</f>
        <v/>
      </c>
      <c r="H2897" s="7" t="str">
        <f aca="false">IFERROR(INDEX('Semrush Data'!$A$1:$Z$20000,MATCH(A2897,'Semrush Data'!$A$1:$A$20000,0),MATCH("Keyword Difficulty*",'Semrush Data'!$A$1:$Z$1,0)),"")</f>
        <v/>
      </c>
      <c r="I2897" s="13" t="str">
        <f aca="false">IFERROR(INDEX('Semrush Data'!$A$1:$Z$20000,MATCH(A2897,'Semrush Data'!$A$1:$A$20000,0),MATCH("CPC*",'Semrush Data'!$A$1:$Z$1,0)),"")</f>
        <v/>
      </c>
      <c r="J2897" s="7" t="str">
        <f aca="false">IFERROR(INDEX('Semrush Data'!$A$1:$Z$20000,MATCH(A2897,'Semrush Data'!$A$1:$A$20000,0),MATCH("Intent",'Semrush Data'!$A$1:$Z$1,0)),"")</f>
        <v/>
      </c>
    </row>
    <row r="2898" customFormat="false" ht="15" hidden="false" customHeight="true" outlineLevel="0" collapsed="false">
      <c r="A2898" s="7" t="s">
        <v>7558</v>
      </c>
      <c r="B2898" s="7" t="s">
        <v>6820</v>
      </c>
      <c r="C2898" s="7" t="n">
        <v>3</v>
      </c>
      <c r="D2898" s="7" t="n">
        <v>29</v>
      </c>
      <c r="E2898" s="7" t="n">
        <v>1</v>
      </c>
      <c r="F2898" s="7" t="s">
        <v>5069</v>
      </c>
      <c r="G2898" s="12" t="str">
        <f aca="false">IFERROR(INDEX('Semrush Data'!$A$1:$Z$20000,MATCH(A2898,'Semrush Data'!$A$1:$A$20000,0),MATCH("Volume",'Semrush Data'!$A$1:$Z$1,0)),"")</f>
        <v/>
      </c>
      <c r="H2898" s="7" t="str">
        <f aca="false">IFERROR(INDEX('Semrush Data'!$A$1:$Z$20000,MATCH(A2898,'Semrush Data'!$A$1:$A$20000,0),MATCH("Keyword Difficulty*",'Semrush Data'!$A$1:$Z$1,0)),"")</f>
        <v/>
      </c>
      <c r="I2898" s="13" t="str">
        <f aca="false">IFERROR(INDEX('Semrush Data'!$A$1:$Z$20000,MATCH(A2898,'Semrush Data'!$A$1:$A$20000,0),MATCH("CPC*",'Semrush Data'!$A$1:$Z$1,0)),"")</f>
        <v/>
      </c>
      <c r="J2898" s="7" t="str">
        <f aca="false">IFERROR(INDEX('Semrush Data'!$A$1:$Z$20000,MATCH(A2898,'Semrush Data'!$A$1:$A$20000,0),MATCH("Intent",'Semrush Data'!$A$1:$Z$1,0)),"")</f>
        <v/>
      </c>
    </row>
    <row r="2899" customFormat="false" ht="15" hidden="false" customHeight="true" outlineLevel="0" collapsed="false">
      <c r="A2899" s="7" t="s">
        <v>7559</v>
      </c>
      <c r="B2899" s="7" t="s">
        <v>6820</v>
      </c>
      <c r="C2899" s="7" t="n">
        <v>3</v>
      </c>
      <c r="D2899" s="7" t="n">
        <v>29</v>
      </c>
      <c r="E2899" s="7" t="n">
        <v>1</v>
      </c>
      <c r="F2899" s="7" t="s">
        <v>5083</v>
      </c>
      <c r="G2899" s="12" t="str">
        <f aca="false">IFERROR(INDEX('Semrush Data'!$A$1:$Z$20000,MATCH(A2899,'Semrush Data'!$A$1:$A$20000,0),MATCH("Volume",'Semrush Data'!$A$1:$Z$1,0)),"")</f>
        <v/>
      </c>
      <c r="H2899" s="7" t="str">
        <f aca="false">IFERROR(INDEX('Semrush Data'!$A$1:$Z$20000,MATCH(A2899,'Semrush Data'!$A$1:$A$20000,0),MATCH("Keyword Difficulty*",'Semrush Data'!$A$1:$Z$1,0)),"")</f>
        <v/>
      </c>
      <c r="I2899" s="13" t="str">
        <f aca="false">IFERROR(INDEX('Semrush Data'!$A$1:$Z$20000,MATCH(A2899,'Semrush Data'!$A$1:$A$20000,0),MATCH("CPC*",'Semrush Data'!$A$1:$Z$1,0)),"")</f>
        <v/>
      </c>
      <c r="J2899" s="7" t="str">
        <f aca="false">IFERROR(INDEX('Semrush Data'!$A$1:$Z$20000,MATCH(A2899,'Semrush Data'!$A$1:$A$20000,0),MATCH("Intent",'Semrush Data'!$A$1:$Z$1,0)),"")</f>
        <v/>
      </c>
    </row>
    <row r="2900" customFormat="false" ht="15" hidden="false" customHeight="true" outlineLevel="0" collapsed="false">
      <c r="A2900" s="7" t="s">
        <v>5151</v>
      </c>
      <c r="B2900" s="7" t="s">
        <v>6820</v>
      </c>
      <c r="C2900" s="7" t="n">
        <v>3</v>
      </c>
      <c r="D2900" s="7" t="s">
        <v>6818</v>
      </c>
      <c r="E2900" s="7" t="n">
        <v>1</v>
      </c>
      <c r="F2900" s="7" t="s">
        <v>52</v>
      </c>
      <c r="G2900" s="12" t="str">
        <f aca="false">IFERROR(INDEX('Semrush Data'!$A$1:$Z$20000,MATCH(A2900,'Semrush Data'!$A$1:$A$20000,0),MATCH("Volume",'Semrush Data'!$A$1:$Z$1,0)),"")</f>
        <v/>
      </c>
      <c r="H2900" s="7" t="str">
        <f aca="false">IFERROR(INDEX('Semrush Data'!$A$1:$Z$20000,MATCH(A2900,'Semrush Data'!$A$1:$A$20000,0),MATCH("Keyword Difficulty*",'Semrush Data'!$A$1:$Z$1,0)),"")</f>
        <v/>
      </c>
      <c r="I2900" s="13" t="str">
        <f aca="false">IFERROR(INDEX('Semrush Data'!$A$1:$Z$20000,MATCH(A2900,'Semrush Data'!$A$1:$A$20000,0),MATCH("CPC*",'Semrush Data'!$A$1:$Z$1,0)),"")</f>
        <v/>
      </c>
      <c r="J2900" s="7" t="str">
        <f aca="false">IFERROR(INDEX('Semrush Data'!$A$1:$Z$20000,MATCH(A2900,'Semrush Data'!$A$1:$A$20000,0),MATCH("Intent",'Semrush Data'!$A$1:$Z$1,0)),"")</f>
        <v/>
      </c>
    </row>
    <row r="2901" customFormat="false" ht="15" hidden="false" customHeight="true" outlineLevel="0" collapsed="false">
      <c r="A2901" s="7" t="s">
        <v>7560</v>
      </c>
      <c r="B2901" s="7" t="s">
        <v>6820</v>
      </c>
      <c r="C2901" s="7" t="n">
        <v>3</v>
      </c>
      <c r="D2901" s="7" t="n">
        <v>29</v>
      </c>
      <c r="E2901" s="7" t="n">
        <v>1</v>
      </c>
      <c r="F2901" s="7" t="s">
        <v>52</v>
      </c>
      <c r="G2901" s="12" t="str">
        <f aca="false">IFERROR(INDEX('Semrush Data'!$A$1:$Z$20000,MATCH(A2901,'Semrush Data'!$A$1:$A$20000,0),MATCH("Volume",'Semrush Data'!$A$1:$Z$1,0)),"")</f>
        <v/>
      </c>
      <c r="H2901" s="7" t="str">
        <f aca="false">IFERROR(INDEX('Semrush Data'!$A$1:$Z$20000,MATCH(A2901,'Semrush Data'!$A$1:$A$20000,0),MATCH("Keyword Difficulty*",'Semrush Data'!$A$1:$Z$1,0)),"")</f>
        <v/>
      </c>
      <c r="I2901" s="13" t="str">
        <f aca="false">IFERROR(INDEX('Semrush Data'!$A$1:$Z$20000,MATCH(A2901,'Semrush Data'!$A$1:$A$20000,0),MATCH("CPC*",'Semrush Data'!$A$1:$Z$1,0)),"")</f>
        <v/>
      </c>
      <c r="J2901" s="7" t="str">
        <f aca="false">IFERROR(INDEX('Semrush Data'!$A$1:$Z$20000,MATCH(A2901,'Semrush Data'!$A$1:$A$20000,0),MATCH("Intent",'Semrush Data'!$A$1:$Z$1,0)),"")</f>
        <v/>
      </c>
    </row>
    <row r="2902" customFormat="false" ht="15" hidden="false" customHeight="true" outlineLevel="0" collapsed="false">
      <c r="A2902" s="7" t="s">
        <v>7561</v>
      </c>
      <c r="B2902" s="7" t="s">
        <v>6820</v>
      </c>
      <c r="C2902" s="7" t="n">
        <v>3</v>
      </c>
      <c r="D2902" s="7" t="n">
        <v>30</v>
      </c>
      <c r="E2902" s="7" t="n">
        <v>1</v>
      </c>
      <c r="F2902" s="7" t="s">
        <v>52</v>
      </c>
      <c r="G2902" s="12" t="str">
        <f aca="false">IFERROR(INDEX('Semrush Data'!$A$1:$Z$20000,MATCH(A2902,'Semrush Data'!$A$1:$A$20000,0),MATCH("Volume",'Semrush Data'!$A$1:$Z$1,0)),"")</f>
        <v/>
      </c>
      <c r="H2902" s="7" t="str">
        <f aca="false">IFERROR(INDEX('Semrush Data'!$A$1:$Z$20000,MATCH(A2902,'Semrush Data'!$A$1:$A$20000,0),MATCH("Keyword Difficulty*",'Semrush Data'!$A$1:$Z$1,0)),"")</f>
        <v/>
      </c>
      <c r="I2902" s="13" t="str">
        <f aca="false">IFERROR(INDEX('Semrush Data'!$A$1:$Z$20000,MATCH(A2902,'Semrush Data'!$A$1:$A$20000,0),MATCH("CPC*",'Semrush Data'!$A$1:$Z$1,0)),"")</f>
        <v/>
      </c>
      <c r="J2902" s="7" t="str">
        <f aca="false">IFERROR(INDEX('Semrush Data'!$A$1:$Z$20000,MATCH(A2902,'Semrush Data'!$A$1:$A$20000,0),MATCH("Intent",'Semrush Data'!$A$1:$Z$1,0)),"")</f>
        <v/>
      </c>
    </row>
    <row r="2903" customFormat="false" ht="15" hidden="false" customHeight="true" outlineLevel="0" collapsed="false">
      <c r="A2903" s="7" t="s">
        <v>7562</v>
      </c>
      <c r="B2903" s="7" t="s">
        <v>6820</v>
      </c>
      <c r="C2903" s="7" t="n">
        <v>3</v>
      </c>
      <c r="D2903" s="7" t="n">
        <v>30</v>
      </c>
      <c r="E2903" s="7" t="n">
        <v>1</v>
      </c>
      <c r="F2903" s="7" t="s">
        <v>52</v>
      </c>
      <c r="G2903" s="12" t="str">
        <f aca="false">IFERROR(INDEX('Semrush Data'!$A$1:$Z$20000,MATCH(A2903,'Semrush Data'!$A$1:$A$20000,0),MATCH("Volume",'Semrush Data'!$A$1:$Z$1,0)),"")</f>
        <v/>
      </c>
      <c r="H2903" s="7" t="str">
        <f aca="false">IFERROR(INDEX('Semrush Data'!$A$1:$Z$20000,MATCH(A2903,'Semrush Data'!$A$1:$A$20000,0),MATCH("Keyword Difficulty*",'Semrush Data'!$A$1:$Z$1,0)),"")</f>
        <v/>
      </c>
      <c r="I2903" s="13" t="str">
        <f aca="false">IFERROR(INDEX('Semrush Data'!$A$1:$Z$20000,MATCH(A2903,'Semrush Data'!$A$1:$A$20000,0),MATCH("CPC*",'Semrush Data'!$A$1:$Z$1,0)),"")</f>
        <v/>
      </c>
      <c r="J2903" s="7" t="str">
        <f aca="false">IFERROR(INDEX('Semrush Data'!$A$1:$Z$20000,MATCH(A2903,'Semrush Data'!$A$1:$A$20000,0),MATCH("Intent",'Semrush Data'!$A$1:$Z$1,0)),"")</f>
        <v/>
      </c>
    </row>
    <row r="2904" customFormat="false" ht="15" hidden="false" customHeight="true" outlineLevel="0" collapsed="false">
      <c r="A2904" s="7" t="s">
        <v>7563</v>
      </c>
      <c r="B2904" s="7" t="s">
        <v>6820</v>
      </c>
      <c r="C2904" s="7" t="n">
        <v>3</v>
      </c>
      <c r="D2904" s="7" t="n">
        <v>30</v>
      </c>
      <c r="E2904" s="7" t="n">
        <v>1</v>
      </c>
      <c r="F2904" s="7" t="s">
        <v>5162</v>
      </c>
      <c r="G2904" s="12" t="str">
        <f aca="false">IFERROR(INDEX('Semrush Data'!$A$1:$Z$20000,MATCH(A2904,'Semrush Data'!$A$1:$A$20000,0),MATCH("Volume",'Semrush Data'!$A$1:$Z$1,0)),"")</f>
        <v/>
      </c>
      <c r="H2904" s="7" t="str">
        <f aca="false">IFERROR(INDEX('Semrush Data'!$A$1:$Z$20000,MATCH(A2904,'Semrush Data'!$A$1:$A$20000,0),MATCH("Keyword Difficulty*",'Semrush Data'!$A$1:$Z$1,0)),"")</f>
        <v/>
      </c>
      <c r="I2904" s="13" t="str">
        <f aca="false">IFERROR(INDEX('Semrush Data'!$A$1:$Z$20000,MATCH(A2904,'Semrush Data'!$A$1:$A$20000,0),MATCH("CPC*",'Semrush Data'!$A$1:$Z$1,0)),"")</f>
        <v/>
      </c>
      <c r="J2904" s="7" t="str">
        <f aca="false">IFERROR(INDEX('Semrush Data'!$A$1:$Z$20000,MATCH(A2904,'Semrush Data'!$A$1:$A$20000,0),MATCH("Intent",'Semrush Data'!$A$1:$Z$1,0)),"")</f>
        <v/>
      </c>
    </row>
    <row r="2905" customFormat="false" ht="15" hidden="false" customHeight="true" outlineLevel="0" collapsed="false">
      <c r="A2905" s="7" t="s">
        <v>7564</v>
      </c>
      <c r="B2905" s="7" t="s">
        <v>6820</v>
      </c>
      <c r="C2905" s="7" t="n">
        <v>3</v>
      </c>
      <c r="D2905" s="7" t="n">
        <v>30</v>
      </c>
      <c r="E2905" s="7" t="n">
        <v>1</v>
      </c>
      <c r="F2905" s="7" t="s">
        <v>5162</v>
      </c>
      <c r="G2905" s="12" t="str">
        <f aca="false">IFERROR(INDEX('Semrush Data'!$A$1:$Z$20000,MATCH(A2905,'Semrush Data'!$A$1:$A$20000,0),MATCH("Volume",'Semrush Data'!$A$1:$Z$1,0)),"")</f>
        <v/>
      </c>
      <c r="H2905" s="7" t="str">
        <f aca="false">IFERROR(INDEX('Semrush Data'!$A$1:$Z$20000,MATCH(A2905,'Semrush Data'!$A$1:$A$20000,0),MATCH("Keyword Difficulty*",'Semrush Data'!$A$1:$Z$1,0)),"")</f>
        <v/>
      </c>
      <c r="I2905" s="13" t="str">
        <f aca="false">IFERROR(INDEX('Semrush Data'!$A$1:$Z$20000,MATCH(A2905,'Semrush Data'!$A$1:$A$20000,0),MATCH("CPC*",'Semrush Data'!$A$1:$Z$1,0)),"")</f>
        <v/>
      </c>
      <c r="J2905" s="7" t="str">
        <f aca="false">IFERROR(INDEX('Semrush Data'!$A$1:$Z$20000,MATCH(A2905,'Semrush Data'!$A$1:$A$20000,0),MATCH("Intent",'Semrush Data'!$A$1:$Z$1,0)),"")</f>
        <v/>
      </c>
    </row>
    <row r="2906" customFormat="false" ht="15" hidden="false" customHeight="true" outlineLevel="0" collapsed="false">
      <c r="A2906" s="7" t="s">
        <v>7565</v>
      </c>
      <c r="B2906" s="7" t="s">
        <v>6820</v>
      </c>
      <c r="C2906" s="7" t="n">
        <v>3</v>
      </c>
      <c r="D2906" s="7" t="n">
        <v>30</v>
      </c>
      <c r="E2906" s="7" t="n">
        <v>1</v>
      </c>
      <c r="F2906" s="7" t="s">
        <v>5162</v>
      </c>
      <c r="G2906" s="12" t="str">
        <f aca="false">IFERROR(INDEX('Semrush Data'!$A$1:$Z$20000,MATCH(A2906,'Semrush Data'!$A$1:$A$20000,0),MATCH("Volume",'Semrush Data'!$A$1:$Z$1,0)),"")</f>
        <v/>
      </c>
      <c r="H2906" s="7" t="str">
        <f aca="false">IFERROR(INDEX('Semrush Data'!$A$1:$Z$20000,MATCH(A2906,'Semrush Data'!$A$1:$A$20000,0),MATCH("Keyword Difficulty*",'Semrush Data'!$A$1:$Z$1,0)),"")</f>
        <v/>
      </c>
      <c r="I2906" s="13" t="str">
        <f aca="false">IFERROR(INDEX('Semrush Data'!$A$1:$Z$20000,MATCH(A2906,'Semrush Data'!$A$1:$A$20000,0),MATCH("CPC*",'Semrush Data'!$A$1:$Z$1,0)),"")</f>
        <v/>
      </c>
      <c r="J2906" s="7" t="str">
        <f aca="false">IFERROR(INDEX('Semrush Data'!$A$1:$Z$20000,MATCH(A2906,'Semrush Data'!$A$1:$A$20000,0),MATCH("Intent",'Semrush Data'!$A$1:$Z$1,0)),"")</f>
        <v/>
      </c>
    </row>
    <row r="2907" customFormat="false" ht="15" hidden="false" customHeight="true" outlineLevel="0" collapsed="false">
      <c r="A2907" s="7" t="s">
        <v>7566</v>
      </c>
      <c r="B2907" s="7" t="s">
        <v>6820</v>
      </c>
      <c r="C2907" s="7" t="n">
        <v>3</v>
      </c>
      <c r="D2907" s="7" t="n">
        <v>30</v>
      </c>
      <c r="E2907" s="7" t="n">
        <v>1</v>
      </c>
      <c r="F2907" s="7" t="s">
        <v>5162</v>
      </c>
      <c r="G2907" s="12" t="str">
        <f aca="false">IFERROR(INDEX('Semrush Data'!$A$1:$Z$20000,MATCH(A2907,'Semrush Data'!$A$1:$A$20000,0),MATCH("Volume",'Semrush Data'!$A$1:$Z$1,0)),"")</f>
        <v/>
      </c>
      <c r="H2907" s="7" t="str">
        <f aca="false">IFERROR(INDEX('Semrush Data'!$A$1:$Z$20000,MATCH(A2907,'Semrush Data'!$A$1:$A$20000,0),MATCH("Keyword Difficulty*",'Semrush Data'!$A$1:$Z$1,0)),"")</f>
        <v/>
      </c>
      <c r="I2907" s="13" t="str">
        <f aca="false">IFERROR(INDEX('Semrush Data'!$A$1:$Z$20000,MATCH(A2907,'Semrush Data'!$A$1:$A$20000,0),MATCH("CPC*",'Semrush Data'!$A$1:$Z$1,0)),"")</f>
        <v/>
      </c>
      <c r="J2907" s="7" t="str">
        <f aca="false">IFERROR(INDEX('Semrush Data'!$A$1:$Z$20000,MATCH(A2907,'Semrush Data'!$A$1:$A$20000,0),MATCH("Intent",'Semrush Data'!$A$1:$Z$1,0)),"")</f>
        <v/>
      </c>
    </row>
    <row r="2908" customFormat="false" ht="15" hidden="false" customHeight="true" outlineLevel="0" collapsed="false">
      <c r="A2908" s="7" t="s">
        <v>7567</v>
      </c>
      <c r="B2908" s="7" t="s">
        <v>6820</v>
      </c>
      <c r="C2908" s="7" t="n">
        <v>3</v>
      </c>
      <c r="D2908" s="7" t="n">
        <v>30</v>
      </c>
      <c r="E2908" s="7" t="n">
        <v>1</v>
      </c>
      <c r="F2908" s="7" t="s">
        <v>5162</v>
      </c>
      <c r="G2908" s="12" t="str">
        <f aca="false">IFERROR(INDEX('Semrush Data'!$A$1:$Z$20000,MATCH(A2908,'Semrush Data'!$A$1:$A$20000,0),MATCH("Volume",'Semrush Data'!$A$1:$Z$1,0)),"")</f>
        <v/>
      </c>
      <c r="H2908" s="7" t="str">
        <f aca="false">IFERROR(INDEX('Semrush Data'!$A$1:$Z$20000,MATCH(A2908,'Semrush Data'!$A$1:$A$20000,0),MATCH("Keyword Difficulty*",'Semrush Data'!$A$1:$Z$1,0)),"")</f>
        <v/>
      </c>
      <c r="I2908" s="13" t="str">
        <f aca="false">IFERROR(INDEX('Semrush Data'!$A$1:$Z$20000,MATCH(A2908,'Semrush Data'!$A$1:$A$20000,0),MATCH("CPC*",'Semrush Data'!$A$1:$Z$1,0)),"")</f>
        <v/>
      </c>
      <c r="J2908" s="7" t="str">
        <f aca="false">IFERROR(INDEX('Semrush Data'!$A$1:$Z$20000,MATCH(A2908,'Semrush Data'!$A$1:$A$20000,0),MATCH("Intent",'Semrush Data'!$A$1:$Z$1,0)),"")</f>
        <v/>
      </c>
    </row>
    <row r="2909" customFormat="false" ht="15" hidden="false" customHeight="true" outlineLevel="0" collapsed="false">
      <c r="A2909" s="7" t="s">
        <v>7568</v>
      </c>
      <c r="B2909" s="7" t="s">
        <v>6820</v>
      </c>
      <c r="C2909" s="7" t="n">
        <v>3</v>
      </c>
      <c r="D2909" s="7" t="n">
        <v>30</v>
      </c>
      <c r="E2909" s="7" t="n">
        <v>1</v>
      </c>
      <c r="F2909" s="7" t="s">
        <v>5162</v>
      </c>
      <c r="G2909" s="12" t="str">
        <f aca="false">IFERROR(INDEX('Semrush Data'!$A$1:$Z$20000,MATCH(A2909,'Semrush Data'!$A$1:$A$20000,0),MATCH("Volume",'Semrush Data'!$A$1:$Z$1,0)),"")</f>
        <v/>
      </c>
      <c r="H2909" s="7" t="str">
        <f aca="false">IFERROR(INDEX('Semrush Data'!$A$1:$Z$20000,MATCH(A2909,'Semrush Data'!$A$1:$A$20000,0),MATCH("Keyword Difficulty*",'Semrush Data'!$A$1:$Z$1,0)),"")</f>
        <v/>
      </c>
      <c r="I2909" s="13" t="str">
        <f aca="false">IFERROR(INDEX('Semrush Data'!$A$1:$Z$20000,MATCH(A2909,'Semrush Data'!$A$1:$A$20000,0),MATCH("CPC*",'Semrush Data'!$A$1:$Z$1,0)),"")</f>
        <v/>
      </c>
      <c r="J2909" s="7" t="str">
        <f aca="false">IFERROR(INDEX('Semrush Data'!$A$1:$Z$20000,MATCH(A2909,'Semrush Data'!$A$1:$A$20000,0),MATCH("Intent",'Semrush Data'!$A$1:$Z$1,0)),"")</f>
        <v/>
      </c>
    </row>
    <row r="2910" customFormat="false" ht="15" hidden="false" customHeight="true" outlineLevel="0" collapsed="false">
      <c r="A2910" s="7" t="s">
        <v>7569</v>
      </c>
      <c r="B2910" s="7" t="s">
        <v>6820</v>
      </c>
      <c r="C2910" s="7" t="n">
        <v>3</v>
      </c>
      <c r="D2910" s="7" t="s">
        <v>6818</v>
      </c>
      <c r="E2910" s="7" t="n">
        <v>1</v>
      </c>
      <c r="F2910" s="7" t="s">
        <v>52</v>
      </c>
      <c r="G2910" s="12" t="str">
        <f aca="false">IFERROR(INDEX('Semrush Data'!$A$1:$Z$20000,MATCH(A2910,'Semrush Data'!$A$1:$A$20000,0),MATCH("Volume",'Semrush Data'!$A$1:$Z$1,0)),"")</f>
        <v/>
      </c>
      <c r="H2910" s="7" t="str">
        <f aca="false">IFERROR(INDEX('Semrush Data'!$A$1:$Z$20000,MATCH(A2910,'Semrush Data'!$A$1:$A$20000,0),MATCH("Keyword Difficulty*",'Semrush Data'!$A$1:$Z$1,0)),"")</f>
        <v/>
      </c>
      <c r="I2910" s="13" t="str">
        <f aca="false">IFERROR(INDEX('Semrush Data'!$A$1:$Z$20000,MATCH(A2910,'Semrush Data'!$A$1:$A$20000,0),MATCH("CPC*",'Semrush Data'!$A$1:$Z$1,0)),"")</f>
        <v/>
      </c>
      <c r="J2910" s="7" t="str">
        <f aca="false">IFERROR(INDEX('Semrush Data'!$A$1:$Z$20000,MATCH(A2910,'Semrush Data'!$A$1:$A$20000,0),MATCH("Intent",'Semrush Data'!$A$1:$Z$1,0)),"")</f>
        <v/>
      </c>
    </row>
    <row r="2911" customFormat="false" ht="15" hidden="false" customHeight="true" outlineLevel="0" collapsed="false">
      <c r="A2911" s="7" t="s">
        <v>7570</v>
      </c>
      <c r="B2911" s="7" t="s">
        <v>6820</v>
      </c>
      <c r="C2911" s="7" t="n">
        <v>3</v>
      </c>
      <c r="D2911" s="7" t="n">
        <v>30</v>
      </c>
      <c r="E2911" s="7" t="n">
        <v>3</v>
      </c>
      <c r="F2911" s="7" t="s">
        <v>6584</v>
      </c>
      <c r="G2911" s="12" t="str">
        <f aca="false">IFERROR(INDEX('Semrush Data'!$A$1:$Z$20000,MATCH(A2911,'Semrush Data'!$A$1:$A$20000,0),MATCH("Volume",'Semrush Data'!$A$1:$Z$1,0)),"")</f>
        <v/>
      </c>
      <c r="H2911" s="7" t="str">
        <f aca="false">IFERROR(INDEX('Semrush Data'!$A$1:$Z$20000,MATCH(A2911,'Semrush Data'!$A$1:$A$20000,0),MATCH("Keyword Difficulty*",'Semrush Data'!$A$1:$Z$1,0)),"")</f>
        <v/>
      </c>
      <c r="I2911" s="13" t="str">
        <f aca="false">IFERROR(INDEX('Semrush Data'!$A$1:$Z$20000,MATCH(A2911,'Semrush Data'!$A$1:$A$20000,0),MATCH("CPC*",'Semrush Data'!$A$1:$Z$1,0)),"")</f>
        <v/>
      </c>
      <c r="J2911" s="7" t="str">
        <f aca="false">IFERROR(INDEX('Semrush Data'!$A$1:$Z$20000,MATCH(A2911,'Semrush Data'!$A$1:$A$20000,0),MATCH("Intent",'Semrush Data'!$A$1:$Z$1,0)),"")</f>
        <v/>
      </c>
    </row>
    <row r="2912" customFormat="false" ht="15" hidden="false" customHeight="true" outlineLevel="0" collapsed="false">
      <c r="A2912" s="7" t="s">
        <v>7571</v>
      </c>
      <c r="B2912" s="7" t="s">
        <v>6820</v>
      </c>
      <c r="C2912" s="7" t="n">
        <v>3</v>
      </c>
      <c r="D2912" s="7" t="n">
        <v>30</v>
      </c>
      <c r="E2912" s="7" t="n">
        <v>3</v>
      </c>
      <c r="F2912" s="7" t="s">
        <v>6584</v>
      </c>
      <c r="G2912" s="12" t="str">
        <f aca="false">IFERROR(INDEX('Semrush Data'!$A$1:$Z$20000,MATCH(A2912,'Semrush Data'!$A$1:$A$20000,0),MATCH("Volume",'Semrush Data'!$A$1:$Z$1,0)),"")</f>
        <v/>
      </c>
      <c r="H2912" s="7" t="str">
        <f aca="false">IFERROR(INDEX('Semrush Data'!$A$1:$Z$20000,MATCH(A2912,'Semrush Data'!$A$1:$A$20000,0),MATCH("Keyword Difficulty*",'Semrush Data'!$A$1:$Z$1,0)),"")</f>
        <v/>
      </c>
      <c r="I2912" s="13" t="str">
        <f aca="false">IFERROR(INDEX('Semrush Data'!$A$1:$Z$20000,MATCH(A2912,'Semrush Data'!$A$1:$A$20000,0),MATCH("CPC*",'Semrush Data'!$A$1:$Z$1,0)),"")</f>
        <v/>
      </c>
      <c r="J2912" s="7" t="str">
        <f aca="false">IFERROR(INDEX('Semrush Data'!$A$1:$Z$20000,MATCH(A2912,'Semrush Data'!$A$1:$A$20000,0),MATCH("Intent",'Semrush Data'!$A$1:$Z$1,0)),"")</f>
        <v/>
      </c>
    </row>
    <row r="2913" customFormat="false" ht="15" hidden="false" customHeight="true" outlineLevel="0" collapsed="false">
      <c r="A2913" s="7" t="s">
        <v>7572</v>
      </c>
      <c r="B2913" s="7" t="s">
        <v>6820</v>
      </c>
      <c r="C2913" s="7" t="n">
        <v>3</v>
      </c>
      <c r="D2913" s="7" t="n">
        <v>30</v>
      </c>
      <c r="E2913" s="7" t="n">
        <v>3</v>
      </c>
      <c r="F2913" s="7" t="s">
        <v>6584</v>
      </c>
      <c r="G2913" s="12" t="str">
        <f aca="false">IFERROR(INDEX('Semrush Data'!$A$1:$Z$20000,MATCH(A2913,'Semrush Data'!$A$1:$A$20000,0),MATCH("Volume",'Semrush Data'!$A$1:$Z$1,0)),"")</f>
        <v/>
      </c>
      <c r="H2913" s="7" t="str">
        <f aca="false">IFERROR(INDEX('Semrush Data'!$A$1:$Z$20000,MATCH(A2913,'Semrush Data'!$A$1:$A$20000,0),MATCH("Keyword Difficulty*",'Semrush Data'!$A$1:$Z$1,0)),"")</f>
        <v/>
      </c>
      <c r="I2913" s="13" t="str">
        <f aca="false">IFERROR(INDEX('Semrush Data'!$A$1:$Z$20000,MATCH(A2913,'Semrush Data'!$A$1:$A$20000,0),MATCH("CPC*",'Semrush Data'!$A$1:$Z$1,0)),"")</f>
        <v/>
      </c>
      <c r="J2913" s="7" t="str">
        <f aca="false">IFERROR(INDEX('Semrush Data'!$A$1:$Z$20000,MATCH(A2913,'Semrush Data'!$A$1:$A$20000,0),MATCH("Intent",'Semrush Data'!$A$1:$Z$1,0)),"")</f>
        <v/>
      </c>
    </row>
    <row r="2914" customFormat="false" ht="15" hidden="false" customHeight="true" outlineLevel="0" collapsed="false">
      <c r="A2914" s="7" t="s">
        <v>7573</v>
      </c>
      <c r="B2914" s="7" t="s">
        <v>6820</v>
      </c>
      <c r="C2914" s="7" t="n">
        <v>3</v>
      </c>
      <c r="D2914" s="7" t="n">
        <v>30</v>
      </c>
      <c r="E2914" s="7" t="n">
        <v>3</v>
      </c>
      <c r="F2914" s="7" t="s">
        <v>6584</v>
      </c>
      <c r="G2914" s="12" t="str">
        <f aca="false">IFERROR(INDEX('Semrush Data'!$A$1:$Z$20000,MATCH(A2914,'Semrush Data'!$A$1:$A$20000,0),MATCH("Volume",'Semrush Data'!$A$1:$Z$1,0)),"")</f>
        <v/>
      </c>
      <c r="H2914" s="7" t="str">
        <f aca="false">IFERROR(INDEX('Semrush Data'!$A$1:$Z$20000,MATCH(A2914,'Semrush Data'!$A$1:$A$20000,0),MATCH("Keyword Difficulty*",'Semrush Data'!$A$1:$Z$1,0)),"")</f>
        <v/>
      </c>
      <c r="I2914" s="13" t="str">
        <f aca="false">IFERROR(INDEX('Semrush Data'!$A$1:$Z$20000,MATCH(A2914,'Semrush Data'!$A$1:$A$20000,0),MATCH("CPC*",'Semrush Data'!$A$1:$Z$1,0)),"")</f>
        <v/>
      </c>
      <c r="J2914" s="7" t="str">
        <f aca="false">IFERROR(INDEX('Semrush Data'!$A$1:$Z$20000,MATCH(A2914,'Semrush Data'!$A$1:$A$20000,0),MATCH("Intent",'Semrush Data'!$A$1:$Z$1,0)),"")</f>
        <v/>
      </c>
    </row>
    <row r="2915" customFormat="false" ht="15" hidden="false" customHeight="true" outlineLevel="0" collapsed="false">
      <c r="A2915" s="7" t="s">
        <v>7574</v>
      </c>
      <c r="B2915" s="7" t="s">
        <v>6820</v>
      </c>
      <c r="C2915" s="7" t="n">
        <v>3</v>
      </c>
      <c r="D2915" s="7" t="n">
        <v>30</v>
      </c>
      <c r="E2915" s="7" t="n">
        <v>3</v>
      </c>
      <c r="F2915" s="7" t="s">
        <v>6584</v>
      </c>
      <c r="G2915" s="12" t="str">
        <f aca="false">IFERROR(INDEX('Semrush Data'!$A$1:$Z$20000,MATCH(A2915,'Semrush Data'!$A$1:$A$20000,0),MATCH("Volume",'Semrush Data'!$A$1:$Z$1,0)),"")</f>
        <v/>
      </c>
      <c r="H2915" s="7" t="str">
        <f aca="false">IFERROR(INDEX('Semrush Data'!$A$1:$Z$20000,MATCH(A2915,'Semrush Data'!$A$1:$A$20000,0),MATCH("Keyword Difficulty*",'Semrush Data'!$A$1:$Z$1,0)),"")</f>
        <v/>
      </c>
      <c r="I2915" s="13" t="str">
        <f aca="false">IFERROR(INDEX('Semrush Data'!$A$1:$Z$20000,MATCH(A2915,'Semrush Data'!$A$1:$A$20000,0),MATCH("CPC*",'Semrush Data'!$A$1:$Z$1,0)),"")</f>
        <v/>
      </c>
      <c r="J2915" s="7" t="str">
        <f aca="false">IFERROR(INDEX('Semrush Data'!$A$1:$Z$20000,MATCH(A2915,'Semrush Data'!$A$1:$A$20000,0),MATCH("Intent",'Semrush Data'!$A$1:$Z$1,0)),"")</f>
        <v/>
      </c>
    </row>
    <row r="2916" customFormat="false" ht="15" hidden="false" customHeight="true" outlineLevel="0" collapsed="false">
      <c r="A2916" s="7" t="s">
        <v>7575</v>
      </c>
      <c r="B2916" s="7" t="s">
        <v>6820</v>
      </c>
      <c r="C2916" s="7" t="n">
        <v>3</v>
      </c>
      <c r="D2916" s="7" t="n">
        <v>30</v>
      </c>
      <c r="E2916" s="7" t="n">
        <v>1</v>
      </c>
      <c r="F2916" s="7" t="s">
        <v>5190</v>
      </c>
      <c r="G2916" s="12" t="str">
        <f aca="false">IFERROR(INDEX('Semrush Data'!$A$1:$Z$20000,MATCH(A2916,'Semrush Data'!$A$1:$A$20000,0),MATCH("Volume",'Semrush Data'!$A$1:$Z$1,0)),"")</f>
        <v/>
      </c>
      <c r="H2916" s="7" t="str">
        <f aca="false">IFERROR(INDEX('Semrush Data'!$A$1:$Z$20000,MATCH(A2916,'Semrush Data'!$A$1:$A$20000,0),MATCH("Keyword Difficulty*",'Semrush Data'!$A$1:$Z$1,0)),"")</f>
        <v/>
      </c>
      <c r="I2916" s="13" t="str">
        <f aca="false">IFERROR(INDEX('Semrush Data'!$A$1:$Z$20000,MATCH(A2916,'Semrush Data'!$A$1:$A$20000,0),MATCH("CPC*",'Semrush Data'!$A$1:$Z$1,0)),"")</f>
        <v/>
      </c>
      <c r="J2916" s="7" t="str">
        <f aca="false">IFERROR(INDEX('Semrush Data'!$A$1:$Z$20000,MATCH(A2916,'Semrush Data'!$A$1:$A$20000,0),MATCH("Intent",'Semrush Data'!$A$1:$Z$1,0)),"")</f>
        <v/>
      </c>
    </row>
    <row r="2917" customFormat="false" ht="15" hidden="false" customHeight="true" outlineLevel="0" collapsed="false">
      <c r="A2917" s="7" t="s">
        <v>7576</v>
      </c>
      <c r="B2917" s="7" t="s">
        <v>6820</v>
      </c>
      <c r="C2917" s="7" t="n">
        <v>3</v>
      </c>
      <c r="D2917" s="7" t="n">
        <v>30</v>
      </c>
      <c r="E2917" s="7" t="n">
        <v>1</v>
      </c>
      <c r="F2917" s="7" t="s">
        <v>5190</v>
      </c>
      <c r="G2917" s="12" t="str">
        <f aca="false">IFERROR(INDEX('Semrush Data'!$A$1:$Z$20000,MATCH(A2917,'Semrush Data'!$A$1:$A$20000,0),MATCH("Volume",'Semrush Data'!$A$1:$Z$1,0)),"")</f>
        <v/>
      </c>
      <c r="H2917" s="7" t="str">
        <f aca="false">IFERROR(INDEX('Semrush Data'!$A$1:$Z$20000,MATCH(A2917,'Semrush Data'!$A$1:$A$20000,0),MATCH("Keyword Difficulty*",'Semrush Data'!$A$1:$Z$1,0)),"")</f>
        <v/>
      </c>
      <c r="I2917" s="13" t="str">
        <f aca="false">IFERROR(INDEX('Semrush Data'!$A$1:$Z$20000,MATCH(A2917,'Semrush Data'!$A$1:$A$20000,0),MATCH("CPC*",'Semrush Data'!$A$1:$Z$1,0)),"")</f>
        <v/>
      </c>
      <c r="J2917" s="7" t="str">
        <f aca="false">IFERROR(INDEX('Semrush Data'!$A$1:$Z$20000,MATCH(A2917,'Semrush Data'!$A$1:$A$20000,0),MATCH("Intent",'Semrush Data'!$A$1:$Z$1,0)),"")</f>
        <v/>
      </c>
    </row>
    <row r="2918" customFormat="false" ht="15" hidden="false" customHeight="true" outlineLevel="0" collapsed="false">
      <c r="A2918" s="7" t="s">
        <v>7577</v>
      </c>
      <c r="B2918" s="7" t="s">
        <v>6820</v>
      </c>
      <c r="C2918" s="7" t="n">
        <v>3</v>
      </c>
      <c r="D2918" s="7" t="n">
        <v>30</v>
      </c>
      <c r="E2918" s="7" t="n">
        <v>1</v>
      </c>
      <c r="F2918" s="7" t="s">
        <v>5203</v>
      </c>
      <c r="G2918" s="12" t="str">
        <f aca="false">IFERROR(INDEX('Semrush Data'!$A$1:$Z$20000,MATCH(A2918,'Semrush Data'!$A$1:$A$20000,0),MATCH("Volume",'Semrush Data'!$A$1:$Z$1,0)),"")</f>
        <v/>
      </c>
      <c r="H2918" s="7" t="str">
        <f aca="false">IFERROR(INDEX('Semrush Data'!$A$1:$Z$20000,MATCH(A2918,'Semrush Data'!$A$1:$A$20000,0),MATCH("Keyword Difficulty*",'Semrush Data'!$A$1:$Z$1,0)),"")</f>
        <v/>
      </c>
      <c r="I2918" s="13" t="str">
        <f aca="false">IFERROR(INDEX('Semrush Data'!$A$1:$Z$20000,MATCH(A2918,'Semrush Data'!$A$1:$A$20000,0),MATCH("CPC*",'Semrush Data'!$A$1:$Z$1,0)),"")</f>
        <v/>
      </c>
      <c r="J2918" s="7" t="str">
        <f aca="false">IFERROR(INDEX('Semrush Data'!$A$1:$Z$20000,MATCH(A2918,'Semrush Data'!$A$1:$A$20000,0),MATCH("Intent",'Semrush Data'!$A$1:$Z$1,0)),"")</f>
        <v/>
      </c>
    </row>
    <row r="2919" customFormat="false" ht="15" hidden="false" customHeight="true" outlineLevel="0" collapsed="false">
      <c r="A2919" s="7" t="s">
        <v>7578</v>
      </c>
      <c r="B2919" s="7" t="s">
        <v>6820</v>
      </c>
      <c r="C2919" s="7" t="n">
        <v>3</v>
      </c>
      <c r="D2919" s="7" t="n">
        <v>30</v>
      </c>
      <c r="E2919" s="7" t="n">
        <v>1</v>
      </c>
      <c r="F2919" s="7" t="s">
        <v>5203</v>
      </c>
      <c r="G2919" s="12" t="str">
        <f aca="false">IFERROR(INDEX('Semrush Data'!$A$1:$Z$20000,MATCH(A2919,'Semrush Data'!$A$1:$A$20000,0),MATCH("Volume",'Semrush Data'!$A$1:$Z$1,0)),"")</f>
        <v/>
      </c>
      <c r="H2919" s="7" t="str">
        <f aca="false">IFERROR(INDEX('Semrush Data'!$A$1:$Z$20000,MATCH(A2919,'Semrush Data'!$A$1:$A$20000,0),MATCH("Keyword Difficulty*",'Semrush Data'!$A$1:$Z$1,0)),"")</f>
        <v/>
      </c>
      <c r="I2919" s="13" t="str">
        <f aca="false">IFERROR(INDEX('Semrush Data'!$A$1:$Z$20000,MATCH(A2919,'Semrush Data'!$A$1:$A$20000,0),MATCH("CPC*",'Semrush Data'!$A$1:$Z$1,0)),"")</f>
        <v/>
      </c>
      <c r="J2919" s="7" t="str">
        <f aca="false">IFERROR(INDEX('Semrush Data'!$A$1:$Z$20000,MATCH(A2919,'Semrush Data'!$A$1:$A$20000,0),MATCH("Intent",'Semrush Data'!$A$1:$Z$1,0)),"")</f>
        <v/>
      </c>
    </row>
    <row r="2920" customFormat="false" ht="15" hidden="false" customHeight="true" outlineLevel="0" collapsed="false">
      <c r="A2920" s="7" t="s">
        <v>7579</v>
      </c>
      <c r="B2920" s="7" t="s">
        <v>6820</v>
      </c>
      <c r="C2920" s="7" t="n">
        <v>3</v>
      </c>
      <c r="D2920" s="7" t="n">
        <v>30</v>
      </c>
      <c r="E2920" s="7" t="n">
        <v>1</v>
      </c>
      <c r="F2920" s="7" t="s">
        <v>5203</v>
      </c>
      <c r="G2920" s="12" t="str">
        <f aca="false">IFERROR(INDEX('Semrush Data'!$A$1:$Z$20000,MATCH(A2920,'Semrush Data'!$A$1:$A$20000,0),MATCH("Volume",'Semrush Data'!$A$1:$Z$1,0)),"")</f>
        <v/>
      </c>
      <c r="H2920" s="7" t="str">
        <f aca="false">IFERROR(INDEX('Semrush Data'!$A$1:$Z$20000,MATCH(A2920,'Semrush Data'!$A$1:$A$20000,0),MATCH("Keyword Difficulty*",'Semrush Data'!$A$1:$Z$1,0)),"")</f>
        <v/>
      </c>
      <c r="I2920" s="13" t="str">
        <f aca="false">IFERROR(INDEX('Semrush Data'!$A$1:$Z$20000,MATCH(A2920,'Semrush Data'!$A$1:$A$20000,0),MATCH("CPC*",'Semrush Data'!$A$1:$Z$1,0)),"")</f>
        <v/>
      </c>
      <c r="J2920" s="7" t="str">
        <f aca="false">IFERROR(INDEX('Semrush Data'!$A$1:$Z$20000,MATCH(A2920,'Semrush Data'!$A$1:$A$20000,0),MATCH("Intent",'Semrush Data'!$A$1:$Z$1,0)),"")</f>
        <v/>
      </c>
    </row>
    <row r="2921" customFormat="false" ht="15" hidden="false" customHeight="true" outlineLevel="0" collapsed="false">
      <c r="A2921" s="7" t="s">
        <v>7580</v>
      </c>
      <c r="B2921" s="7" t="s">
        <v>6820</v>
      </c>
      <c r="C2921" s="7" t="n">
        <v>3</v>
      </c>
      <c r="D2921" s="7" t="n">
        <v>30</v>
      </c>
      <c r="E2921" s="7" t="n">
        <v>1</v>
      </c>
      <c r="F2921" s="7" t="s">
        <v>5216</v>
      </c>
      <c r="G2921" s="12" t="str">
        <f aca="false">IFERROR(INDEX('Semrush Data'!$A$1:$Z$20000,MATCH(A2921,'Semrush Data'!$A$1:$A$20000,0),MATCH("Volume",'Semrush Data'!$A$1:$Z$1,0)),"")</f>
        <v/>
      </c>
      <c r="H2921" s="7" t="str">
        <f aca="false">IFERROR(INDEX('Semrush Data'!$A$1:$Z$20000,MATCH(A2921,'Semrush Data'!$A$1:$A$20000,0),MATCH("Keyword Difficulty*",'Semrush Data'!$A$1:$Z$1,0)),"")</f>
        <v/>
      </c>
      <c r="I2921" s="13" t="str">
        <f aca="false">IFERROR(INDEX('Semrush Data'!$A$1:$Z$20000,MATCH(A2921,'Semrush Data'!$A$1:$A$20000,0),MATCH("CPC*",'Semrush Data'!$A$1:$Z$1,0)),"")</f>
        <v/>
      </c>
      <c r="J2921" s="7" t="str">
        <f aca="false">IFERROR(INDEX('Semrush Data'!$A$1:$Z$20000,MATCH(A2921,'Semrush Data'!$A$1:$A$20000,0),MATCH("Intent",'Semrush Data'!$A$1:$Z$1,0)),"")</f>
        <v/>
      </c>
    </row>
    <row r="2922" customFormat="false" ht="15" hidden="false" customHeight="true" outlineLevel="0" collapsed="false">
      <c r="A2922" s="7" t="s">
        <v>7581</v>
      </c>
      <c r="B2922" s="7" t="s">
        <v>6820</v>
      </c>
      <c r="C2922" s="7" t="n">
        <v>3</v>
      </c>
      <c r="D2922" s="7" t="n">
        <v>30</v>
      </c>
      <c r="E2922" s="7" t="n">
        <v>1</v>
      </c>
      <c r="F2922" s="7" t="s">
        <v>5216</v>
      </c>
      <c r="G2922" s="12" t="str">
        <f aca="false">IFERROR(INDEX('Semrush Data'!$A$1:$Z$20000,MATCH(A2922,'Semrush Data'!$A$1:$A$20000,0),MATCH("Volume",'Semrush Data'!$A$1:$Z$1,0)),"")</f>
        <v/>
      </c>
      <c r="H2922" s="7" t="str">
        <f aca="false">IFERROR(INDEX('Semrush Data'!$A$1:$Z$20000,MATCH(A2922,'Semrush Data'!$A$1:$A$20000,0),MATCH("Keyword Difficulty*",'Semrush Data'!$A$1:$Z$1,0)),"")</f>
        <v/>
      </c>
      <c r="I2922" s="13" t="str">
        <f aca="false">IFERROR(INDEX('Semrush Data'!$A$1:$Z$20000,MATCH(A2922,'Semrush Data'!$A$1:$A$20000,0),MATCH("CPC*",'Semrush Data'!$A$1:$Z$1,0)),"")</f>
        <v/>
      </c>
      <c r="J2922" s="7" t="str">
        <f aca="false">IFERROR(INDEX('Semrush Data'!$A$1:$Z$20000,MATCH(A2922,'Semrush Data'!$A$1:$A$20000,0),MATCH("Intent",'Semrush Data'!$A$1:$Z$1,0)),"")</f>
        <v/>
      </c>
    </row>
    <row r="2923" customFormat="false" ht="15" hidden="false" customHeight="true" outlineLevel="0" collapsed="false">
      <c r="A2923" s="7" t="s">
        <v>7582</v>
      </c>
      <c r="B2923" s="7" t="s">
        <v>6820</v>
      </c>
      <c r="C2923" s="7" t="n">
        <v>3</v>
      </c>
      <c r="D2923" s="7" t="n">
        <v>30</v>
      </c>
      <c r="E2923" s="7" t="n">
        <v>1</v>
      </c>
      <c r="F2923" s="7" t="s">
        <v>5216</v>
      </c>
      <c r="G2923" s="12" t="str">
        <f aca="false">IFERROR(INDEX('Semrush Data'!$A$1:$Z$20000,MATCH(A2923,'Semrush Data'!$A$1:$A$20000,0),MATCH("Volume",'Semrush Data'!$A$1:$Z$1,0)),"")</f>
        <v/>
      </c>
      <c r="H2923" s="7" t="str">
        <f aca="false">IFERROR(INDEX('Semrush Data'!$A$1:$Z$20000,MATCH(A2923,'Semrush Data'!$A$1:$A$20000,0),MATCH("Keyword Difficulty*",'Semrush Data'!$A$1:$Z$1,0)),"")</f>
        <v/>
      </c>
      <c r="I2923" s="13" t="str">
        <f aca="false">IFERROR(INDEX('Semrush Data'!$A$1:$Z$20000,MATCH(A2923,'Semrush Data'!$A$1:$A$20000,0),MATCH("CPC*",'Semrush Data'!$A$1:$Z$1,0)),"")</f>
        <v/>
      </c>
      <c r="J2923" s="7" t="str">
        <f aca="false">IFERROR(INDEX('Semrush Data'!$A$1:$Z$20000,MATCH(A2923,'Semrush Data'!$A$1:$A$20000,0),MATCH("Intent",'Semrush Data'!$A$1:$Z$1,0)),"")</f>
        <v/>
      </c>
    </row>
    <row r="2924" customFormat="false" ht="15" hidden="false" customHeight="true" outlineLevel="0" collapsed="false">
      <c r="A2924" s="7" t="s">
        <v>7583</v>
      </c>
      <c r="B2924" s="7" t="s">
        <v>6820</v>
      </c>
      <c r="C2924" s="7" t="n">
        <v>3</v>
      </c>
      <c r="D2924" s="7" t="n">
        <v>30</v>
      </c>
      <c r="E2924" s="7" t="n">
        <v>1</v>
      </c>
      <c r="F2924" s="7" t="s">
        <v>5919</v>
      </c>
      <c r="G2924" s="12" t="str">
        <f aca="false">IFERROR(INDEX('Semrush Data'!$A$1:$Z$20000,MATCH(A2924,'Semrush Data'!$A$1:$A$20000,0),MATCH("Volume",'Semrush Data'!$A$1:$Z$1,0)),"")</f>
        <v/>
      </c>
      <c r="H2924" s="7" t="str">
        <f aca="false">IFERROR(INDEX('Semrush Data'!$A$1:$Z$20000,MATCH(A2924,'Semrush Data'!$A$1:$A$20000,0),MATCH("Keyword Difficulty*",'Semrush Data'!$A$1:$Z$1,0)),"")</f>
        <v/>
      </c>
      <c r="I2924" s="13" t="str">
        <f aca="false">IFERROR(INDEX('Semrush Data'!$A$1:$Z$20000,MATCH(A2924,'Semrush Data'!$A$1:$A$20000,0),MATCH("CPC*",'Semrush Data'!$A$1:$Z$1,0)),"")</f>
        <v/>
      </c>
      <c r="J2924" s="7" t="str">
        <f aca="false">IFERROR(INDEX('Semrush Data'!$A$1:$Z$20000,MATCH(A2924,'Semrush Data'!$A$1:$A$20000,0),MATCH("Intent",'Semrush Data'!$A$1:$Z$1,0)),"")</f>
        <v/>
      </c>
    </row>
    <row r="2925" customFormat="false" ht="15" hidden="false" customHeight="true" outlineLevel="0" collapsed="false">
      <c r="A2925" s="7" t="s">
        <v>7584</v>
      </c>
      <c r="B2925" s="7" t="s">
        <v>6820</v>
      </c>
      <c r="C2925" s="7" t="n">
        <v>3</v>
      </c>
      <c r="D2925" s="7" t="n">
        <v>30</v>
      </c>
      <c r="E2925" s="7" t="n">
        <v>1</v>
      </c>
      <c r="F2925" s="7" t="s">
        <v>5228</v>
      </c>
      <c r="G2925" s="12" t="str">
        <f aca="false">IFERROR(INDEX('Semrush Data'!$A$1:$Z$20000,MATCH(A2925,'Semrush Data'!$A$1:$A$20000,0),MATCH("Volume",'Semrush Data'!$A$1:$Z$1,0)),"")</f>
        <v/>
      </c>
      <c r="H2925" s="7" t="str">
        <f aca="false">IFERROR(INDEX('Semrush Data'!$A$1:$Z$20000,MATCH(A2925,'Semrush Data'!$A$1:$A$20000,0),MATCH("Keyword Difficulty*",'Semrush Data'!$A$1:$Z$1,0)),"")</f>
        <v/>
      </c>
      <c r="I2925" s="13" t="str">
        <f aca="false">IFERROR(INDEX('Semrush Data'!$A$1:$Z$20000,MATCH(A2925,'Semrush Data'!$A$1:$A$20000,0),MATCH("CPC*",'Semrush Data'!$A$1:$Z$1,0)),"")</f>
        <v/>
      </c>
      <c r="J2925" s="7" t="str">
        <f aca="false">IFERROR(INDEX('Semrush Data'!$A$1:$Z$20000,MATCH(A2925,'Semrush Data'!$A$1:$A$20000,0),MATCH("Intent",'Semrush Data'!$A$1:$Z$1,0)),"")</f>
        <v/>
      </c>
    </row>
    <row r="2926" customFormat="false" ht="15" hidden="false" customHeight="true" outlineLevel="0" collapsed="false">
      <c r="A2926" s="7" t="s">
        <v>7585</v>
      </c>
      <c r="B2926" s="7" t="s">
        <v>6820</v>
      </c>
      <c r="C2926" s="7" t="n">
        <v>3</v>
      </c>
      <c r="D2926" s="7" t="n">
        <v>30</v>
      </c>
      <c r="E2926" s="7" t="n">
        <v>1</v>
      </c>
      <c r="F2926" s="7" t="s">
        <v>5228</v>
      </c>
      <c r="G2926" s="12" t="str">
        <f aca="false">IFERROR(INDEX('Semrush Data'!$A$1:$Z$20000,MATCH(A2926,'Semrush Data'!$A$1:$A$20000,0),MATCH("Volume",'Semrush Data'!$A$1:$Z$1,0)),"")</f>
        <v/>
      </c>
      <c r="H2926" s="7" t="str">
        <f aca="false">IFERROR(INDEX('Semrush Data'!$A$1:$Z$20000,MATCH(A2926,'Semrush Data'!$A$1:$A$20000,0),MATCH("Keyword Difficulty*",'Semrush Data'!$A$1:$Z$1,0)),"")</f>
        <v/>
      </c>
      <c r="I2926" s="13" t="str">
        <f aca="false">IFERROR(INDEX('Semrush Data'!$A$1:$Z$20000,MATCH(A2926,'Semrush Data'!$A$1:$A$20000,0),MATCH("CPC*",'Semrush Data'!$A$1:$Z$1,0)),"")</f>
        <v/>
      </c>
      <c r="J2926" s="7" t="str">
        <f aca="false">IFERROR(INDEX('Semrush Data'!$A$1:$Z$20000,MATCH(A2926,'Semrush Data'!$A$1:$A$20000,0),MATCH("Intent",'Semrush Data'!$A$1:$Z$1,0)),"")</f>
        <v/>
      </c>
    </row>
    <row r="2927" customFormat="false" ht="15" hidden="false" customHeight="true" outlineLevel="0" collapsed="false">
      <c r="A2927" s="7" t="s">
        <v>7586</v>
      </c>
      <c r="B2927" s="7" t="s">
        <v>6820</v>
      </c>
      <c r="C2927" s="7" t="n">
        <v>3</v>
      </c>
      <c r="D2927" s="7" t="n">
        <v>30</v>
      </c>
      <c r="E2927" s="7" t="n">
        <v>1</v>
      </c>
      <c r="F2927" s="7" t="s">
        <v>5216</v>
      </c>
      <c r="G2927" s="12" t="str">
        <f aca="false">IFERROR(INDEX('Semrush Data'!$A$1:$Z$20000,MATCH(A2927,'Semrush Data'!$A$1:$A$20000,0),MATCH("Volume",'Semrush Data'!$A$1:$Z$1,0)),"")</f>
        <v/>
      </c>
      <c r="H2927" s="7" t="str">
        <f aca="false">IFERROR(INDEX('Semrush Data'!$A$1:$Z$20000,MATCH(A2927,'Semrush Data'!$A$1:$A$20000,0),MATCH("Keyword Difficulty*",'Semrush Data'!$A$1:$Z$1,0)),"")</f>
        <v/>
      </c>
      <c r="I2927" s="13" t="str">
        <f aca="false">IFERROR(INDEX('Semrush Data'!$A$1:$Z$20000,MATCH(A2927,'Semrush Data'!$A$1:$A$20000,0),MATCH("CPC*",'Semrush Data'!$A$1:$Z$1,0)),"")</f>
        <v/>
      </c>
      <c r="J2927" s="7" t="str">
        <f aca="false">IFERROR(INDEX('Semrush Data'!$A$1:$Z$20000,MATCH(A2927,'Semrush Data'!$A$1:$A$20000,0),MATCH("Intent",'Semrush Data'!$A$1:$Z$1,0)),"")</f>
        <v/>
      </c>
    </row>
    <row r="2928" customFormat="false" ht="15" hidden="false" customHeight="true" outlineLevel="0" collapsed="false">
      <c r="A2928" s="7" t="s">
        <v>7587</v>
      </c>
      <c r="B2928" s="7" t="s">
        <v>6820</v>
      </c>
      <c r="C2928" s="7" t="n">
        <v>3</v>
      </c>
      <c r="D2928" s="7" t="n">
        <v>30</v>
      </c>
      <c r="E2928" s="7" t="n">
        <v>1</v>
      </c>
      <c r="F2928" s="7" t="s">
        <v>5203</v>
      </c>
      <c r="G2928" s="12" t="str">
        <f aca="false">IFERROR(INDEX('Semrush Data'!$A$1:$Z$20000,MATCH(A2928,'Semrush Data'!$A$1:$A$20000,0),MATCH("Volume",'Semrush Data'!$A$1:$Z$1,0)),"")</f>
        <v/>
      </c>
      <c r="H2928" s="7" t="str">
        <f aca="false">IFERROR(INDEX('Semrush Data'!$A$1:$Z$20000,MATCH(A2928,'Semrush Data'!$A$1:$A$20000,0),MATCH("Keyword Difficulty*",'Semrush Data'!$A$1:$Z$1,0)),"")</f>
        <v/>
      </c>
      <c r="I2928" s="13" t="str">
        <f aca="false">IFERROR(INDEX('Semrush Data'!$A$1:$Z$20000,MATCH(A2928,'Semrush Data'!$A$1:$A$20000,0),MATCH("CPC*",'Semrush Data'!$A$1:$Z$1,0)),"")</f>
        <v/>
      </c>
      <c r="J2928" s="7" t="str">
        <f aca="false">IFERROR(INDEX('Semrush Data'!$A$1:$Z$20000,MATCH(A2928,'Semrush Data'!$A$1:$A$20000,0),MATCH("Intent",'Semrush Data'!$A$1:$Z$1,0)),"")</f>
        <v/>
      </c>
    </row>
    <row r="2929" customFormat="false" ht="15" hidden="false" customHeight="true" outlineLevel="0" collapsed="false">
      <c r="A2929" s="7" t="s">
        <v>7588</v>
      </c>
      <c r="B2929" s="7" t="s">
        <v>6820</v>
      </c>
      <c r="C2929" s="7" t="n">
        <v>3</v>
      </c>
      <c r="D2929" s="7" t="n">
        <v>30</v>
      </c>
      <c r="E2929" s="7" t="n">
        <v>1</v>
      </c>
      <c r="F2929" s="7" t="s">
        <v>5240</v>
      </c>
      <c r="G2929" s="12" t="str">
        <f aca="false">IFERROR(INDEX('Semrush Data'!$A$1:$Z$20000,MATCH(A2929,'Semrush Data'!$A$1:$A$20000,0),MATCH("Volume",'Semrush Data'!$A$1:$Z$1,0)),"")</f>
        <v/>
      </c>
      <c r="H2929" s="7" t="str">
        <f aca="false">IFERROR(INDEX('Semrush Data'!$A$1:$Z$20000,MATCH(A2929,'Semrush Data'!$A$1:$A$20000,0),MATCH("Keyword Difficulty*",'Semrush Data'!$A$1:$Z$1,0)),"")</f>
        <v/>
      </c>
      <c r="I2929" s="13" t="str">
        <f aca="false">IFERROR(INDEX('Semrush Data'!$A$1:$Z$20000,MATCH(A2929,'Semrush Data'!$A$1:$A$20000,0),MATCH("CPC*",'Semrush Data'!$A$1:$Z$1,0)),"")</f>
        <v/>
      </c>
      <c r="J2929" s="7" t="str">
        <f aca="false">IFERROR(INDEX('Semrush Data'!$A$1:$Z$20000,MATCH(A2929,'Semrush Data'!$A$1:$A$20000,0),MATCH("Intent",'Semrush Data'!$A$1:$Z$1,0)),"")</f>
        <v/>
      </c>
    </row>
    <row r="2930" customFormat="false" ht="15" hidden="false" customHeight="true" outlineLevel="0" collapsed="false">
      <c r="A2930" s="7" t="s">
        <v>7589</v>
      </c>
      <c r="B2930" s="7" t="s">
        <v>6820</v>
      </c>
      <c r="C2930" s="7" t="n">
        <v>3</v>
      </c>
      <c r="D2930" s="7" t="n">
        <v>30</v>
      </c>
      <c r="E2930" s="7" t="n">
        <v>1</v>
      </c>
      <c r="F2930" s="7" t="s">
        <v>5274</v>
      </c>
      <c r="G2930" s="12" t="str">
        <f aca="false">IFERROR(INDEX('Semrush Data'!$A$1:$Z$20000,MATCH(A2930,'Semrush Data'!$A$1:$A$20000,0),MATCH("Volume",'Semrush Data'!$A$1:$Z$1,0)),"")</f>
        <v/>
      </c>
      <c r="H2930" s="7" t="str">
        <f aca="false">IFERROR(INDEX('Semrush Data'!$A$1:$Z$20000,MATCH(A2930,'Semrush Data'!$A$1:$A$20000,0),MATCH("Keyword Difficulty*",'Semrush Data'!$A$1:$Z$1,0)),"")</f>
        <v/>
      </c>
      <c r="I2930" s="13" t="str">
        <f aca="false">IFERROR(INDEX('Semrush Data'!$A$1:$Z$20000,MATCH(A2930,'Semrush Data'!$A$1:$A$20000,0),MATCH("CPC*",'Semrush Data'!$A$1:$Z$1,0)),"")</f>
        <v/>
      </c>
      <c r="J2930" s="7" t="str">
        <f aca="false">IFERROR(INDEX('Semrush Data'!$A$1:$Z$20000,MATCH(A2930,'Semrush Data'!$A$1:$A$20000,0),MATCH("Intent",'Semrush Data'!$A$1:$Z$1,0)),"")</f>
        <v/>
      </c>
    </row>
    <row r="2931" customFormat="false" ht="15" hidden="false" customHeight="true" outlineLevel="0" collapsed="false">
      <c r="A2931" s="7" t="s">
        <v>7590</v>
      </c>
      <c r="B2931" s="7" t="s">
        <v>6820</v>
      </c>
      <c r="C2931" s="7" t="n">
        <v>3</v>
      </c>
      <c r="D2931" s="7" t="n">
        <v>30</v>
      </c>
      <c r="E2931" s="7" t="n">
        <v>1</v>
      </c>
      <c r="F2931" s="7" t="s">
        <v>5240</v>
      </c>
      <c r="G2931" s="12" t="str">
        <f aca="false">IFERROR(INDEX('Semrush Data'!$A$1:$Z$20000,MATCH(A2931,'Semrush Data'!$A$1:$A$20000,0),MATCH("Volume",'Semrush Data'!$A$1:$Z$1,0)),"")</f>
        <v/>
      </c>
      <c r="H2931" s="7" t="str">
        <f aca="false">IFERROR(INDEX('Semrush Data'!$A$1:$Z$20000,MATCH(A2931,'Semrush Data'!$A$1:$A$20000,0),MATCH("Keyword Difficulty*",'Semrush Data'!$A$1:$Z$1,0)),"")</f>
        <v/>
      </c>
      <c r="I2931" s="13" t="str">
        <f aca="false">IFERROR(INDEX('Semrush Data'!$A$1:$Z$20000,MATCH(A2931,'Semrush Data'!$A$1:$A$20000,0),MATCH("CPC*",'Semrush Data'!$A$1:$Z$1,0)),"")</f>
        <v/>
      </c>
      <c r="J2931" s="7" t="str">
        <f aca="false">IFERROR(INDEX('Semrush Data'!$A$1:$Z$20000,MATCH(A2931,'Semrush Data'!$A$1:$A$20000,0),MATCH("Intent",'Semrush Data'!$A$1:$Z$1,0)),"")</f>
        <v/>
      </c>
    </row>
    <row r="2932" customFormat="false" ht="15" hidden="false" customHeight="true" outlineLevel="0" collapsed="false">
      <c r="A2932" s="7" t="s">
        <v>7591</v>
      </c>
      <c r="B2932" s="7" t="s">
        <v>6820</v>
      </c>
      <c r="C2932" s="7" t="n">
        <v>3</v>
      </c>
      <c r="D2932" s="7" t="n">
        <v>30</v>
      </c>
      <c r="E2932" s="7" t="n">
        <v>1</v>
      </c>
      <c r="F2932" s="7" t="s">
        <v>5240</v>
      </c>
      <c r="G2932" s="12" t="str">
        <f aca="false">IFERROR(INDEX('Semrush Data'!$A$1:$Z$20000,MATCH(A2932,'Semrush Data'!$A$1:$A$20000,0),MATCH("Volume",'Semrush Data'!$A$1:$Z$1,0)),"")</f>
        <v/>
      </c>
      <c r="H2932" s="7" t="str">
        <f aca="false">IFERROR(INDEX('Semrush Data'!$A$1:$Z$20000,MATCH(A2932,'Semrush Data'!$A$1:$A$20000,0),MATCH("Keyword Difficulty*",'Semrush Data'!$A$1:$Z$1,0)),"")</f>
        <v/>
      </c>
      <c r="I2932" s="13" t="str">
        <f aca="false">IFERROR(INDEX('Semrush Data'!$A$1:$Z$20000,MATCH(A2932,'Semrush Data'!$A$1:$A$20000,0),MATCH("CPC*",'Semrush Data'!$A$1:$Z$1,0)),"")</f>
        <v/>
      </c>
      <c r="J2932" s="7" t="str">
        <f aca="false">IFERROR(INDEX('Semrush Data'!$A$1:$Z$20000,MATCH(A2932,'Semrush Data'!$A$1:$A$20000,0),MATCH("Intent",'Semrush Data'!$A$1:$Z$1,0)),"")</f>
        <v/>
      </c>
    </row>
    <row r="2933" customFormat="false" ht="15" hidden="false" customHeight="true" outlineLevel="0" collapsed="false">
      <c r="A2933" s="7" t="s">
        <v>7592</v>
      </c>
      <c r="B2933" s="7" t="s">
        <v>6820</v>
      </c>
      <c r="C2933" s="7" t="n">
        <v>3</v>
      </c>
      <c r="D2933" s="7" t="n">
        <v>30</v>
      </c>
      <c r="E2933" s="7" t="n">
        <v>1</v>
      </c>
      <c r="F2933" s="7" t="s">
        <v>5240</v>
      </c>
      <c r="G2933" s="12" t="str">
        <f aca="false">IFERROR(INDEX('Semrush Data'!$A$1:$Z$20000,MATCH(A2933,'Semrush Data'!$A$1:$A$20000,0),MATCH("Volume",'Semrush Data'!$A$1:$Z$1,0)),"")</f>
        <v/>
      </c>
      <c r="H2933" s="7" t="str">
        <f aca="false">IFERROR(INDEX('Semrush Data'!$A$1:$Z$20000,MATCH(A2933,'Semrush Data'!$A$1:$A$20000,0),MATCH("Keyword Difficulty*",'Semrush Data'!$A$1:$Z$1,0)),"")</f>
        <v/>
      </c>
      <c r="I2933" s="13" t="str">
        <f aca="false">IFERROR(INDEX('Semrush Data'!$A$1:$Z$20000,MATCH(A2933,'Semrush Data'!$A$1:$A$20000,0),MATCH("CPC*",'Semrush Data'!$A$1:$Z$1,0)),"")</f>
        <v/>
      </c>
      <c r="J2933" s="7" t="str">
        <f aca="false">IFERROR(INDEX('Semrush Data'!$A$1:$Z$20000,MATCH(A2933,'Semrush Data'!$A$1:$A$20000,0),MATCH("Intent",'Semrush Data'!$A$1:$Z$1,0)),"")</f>
        <v/>
      </c>
    </row>
    <row r="2934" customFormat="false" ht="15" hidden="false" customHeight="true" outlineLevel="0" collapsed="false">
      <c r="A2934" s="7" t="s">
        <v>7593</v>
      </c>
      <c r="B2934" s="7" t="s">
        <v>6820</v>
      </c>
      <c r="C2934" s="7" t="n">
        <v>3</v>
      </c>
      <c r="D2934" s="7" t="n">
        <v>30</v>
      </c>
      <c r="E2934" s="7" t="n">
        <v>1</v>
      </c>
      <c r="F2934" s="7" t="s">
        <v>5253</v>
      </c>
      <c r="G2934" s="12" t="str">
        <f aca="false">IFERROR(INDEX('Semrush Data'!$A$1:$Z$20000,MATCH(A2934,'Semrush Data'!$A$1:$A$20000,0),MATCH("Volume",'Semrush Data'!$A$1:$Z$1,0)),"")</f>
        <v/>
      </c>
      <c r="H2934" s="7" t="str">
        <f aca="false">IFERROR(INDEX('Semrush Data'!$A$1:$Z$20000,MATCH(A2934,'Semrush Data'!$A$1:$A$20000,0),MATCH("Keyword Difficulty*",'Semrush Data'!$A$1:$Z$1,0)),"")</f>
        <v/>
      </c>
      <c r="I2934" s="13" t="str">
        <f aca="false">IFERROR(INDEX('Semrush Data'!$A$1:$Z$20000,MATCH(A2934,'Semrush Data'!$A$1:$A$20000,0),MATCH("CPC*",'Semrush Data'!$A$1:$Z$1,0)),"")</f>
        <v/>
      </c>
      <c r="J2934" s="7" t="str">
        <f aca="false">IFERROR(INDEX('Semrush Data'!$A$1:$Z$20000,MATCH(A2934,'Semrush Data'!$A$1:$A$20000,0),MATCH("Intent",'Semrush Data'!$A$1:$Z$1,0)),"")</f>
        <v/>
      </c>
    </row>
    <row r="2935" customFormat="false" ht="15" hidden="false" customHeight="true" outlineLevel="0" collapsed="false">
      <c r="A2935" s="7" t="s">
        <v>7594</v>
      </c>
      <c r="B2935" s="7" t="s">
        <v>6820</v>
      </c>
      <c r="C2935" s="7" t="n">
        <v>3</v>
      </c>
      <c r="D2935" s="7" t="n">
        <v>30</v>
      </c>
      <c r="E2935" s="7" t="n">
        <v>1</v>
      </c>
      <c r="F2935" s="7" t="s">
        <v>5295</v>
      </c>
      <c r="G2935" s="12" t="str">
        <f aca="false">IFERROR(INDEX('Semrush Data'!$A$1:$Z$20000,MATCH(A2935,'Semrush Data'!$A$1:$A$20000,0),MATCH("Volume",'Semrush Data'!$A$1:$Z$1,0)),"")</f>
        <v/>
      </c>
      <c r="H2935" s="7" t="str">
        <f aca="false">IFERROR(INDEX('Semrush Data'!$A$1:$Z$20000,MATCH(A2935,'Semrush Data'!$A$1:$A$20000,0),MATCH("Keyword Difficulty*",'Semrush Data'!$A$1:$Z$1,0)),"")</f>
        <v/>
      </c>
      <c r="I2935" s="13" t="str">
        <f aca="false">IFERROR(INDEX('Semrush Data'!$A$1:$Z$20000,MATCH(A2935,'Semrush Data'!$A$1:$A$20000,0),MATCH("CPC*",'Semrush Data'!$A$1:$Z$1,0)),"")</f>
        <v/>
      </c>
      <c r="J2935" s="7" t="str">
        <f aca="false">IFERROR(INDEX('Semrush Data'!$A$1:$Z$20000,MATCH(A2935,'Semrush Data'!$A$1:$A$20000,0),MATCH("Intent",'Semrush Data'!$A$1:$Z$1,0)),"")</f>
        <v/>
      </c>
    </row>
    <row r="2936" customFormat="false" ht="15" hidden="false" customHeight="true" outlineLevel="0" collapsed="false">
      <c r="A2936" s="7" t="s">
        <v>7595</v>
      </c>
      <c r="B2936" s="7" t="s">
        <v>6820</v>
      </c>
      <c r="C2936" s="7" t="n">
        <v>3</v>
      </c>
      <c r="D2936" s="7" t="n">
        <v>30</v>
      </c>
      <c r="E2936" s="7" t="n">
        <v>1</v>
      </c>
      <c r="F2936" s="7" t="s">
        <v>5295</v>
      </c>
      <c r="G2936" s="12" t="str">
        <f aca="false">IFERROR(INDEX('Semrush Data'!$A$1:$Z$20000,MATCH(A2936,'Semrush Data'!$A$1:$A$20000,0),MATCH("Volume",'Semrush Data'!$A$1:$Z$1,0)),"")</f>
        <v/>
      </c>
      <c r="H2936" s="7" t="str">
        <f aca="false">IFERROR(INDEX('Semrush Data'!$A$1:$Z$20000,MATCH(A2936,'Semrush Data'!$A$1:$A$20000,0),MATCH("Keyword Difficulty*",'Semrush Data'!$A$1:$Z$1,0)),"")</f>
        <v/>
      </c>
      <c r="I2936" s="13" t="str">
        <f aca="false">IFERROR(INDEX('Semrush Data'!$A$1:$Z$20000,MATCH(A2936,'Semrush Data'!$A$1:$A$20000,0),MATCH("CPC*",'Semrush Data'!$A$1:$Z$1,0)),"")</f>
        <v/>
      </c>
      <c r="J2936" s="7" t="str">
        <f aca="false">IFERROR(INDEX('Semrush Data'!$A$1:$Z$20000,MATCH(A2936,'Semrush Data'!$A$1:$A$20000,0),MATCH("Intent",'Semrush Data'!$A$1:$Z$1,0)),"")</f>
        <v/>
      </c>
    </row>
    <row r="2937" customFormat="false" ht="15" hidden="false" customHeight="true" outlineLevel="0" collapsed="false">
      <c r="A2937" s="7" t="s">
        <v>7596</v>
      </c>
      <c r="B2937" s="7" t="s">
        <v>6820</v>
      </c>
      <c r="C2937" s="7" t="n">
        <v>3</v>
      </c>
      <c r="D2937" s="7" t="n">
        <v>30</v>
      </c>
      <c r="E2937" s="7" t="n">
        <v>1</v>
      </c>
      <c r="F2937" s="7" t="s">
        <v>5308</v>
      </c>
      <c r="G2937" s="12" t="str">
        <f aca="false">IFERROR(INDEX('Semrush Data'!$A$1:$Z$20000,MATCH(A2937,'Semrush Data'!$A$1:$A$20000,0),MATCH("Volume",'Semrush Data'!$A$1:$Z$1,0)),"")</f>
        <v/>
      </c>
      <c r="H2937" s="7" t="str">
        <f aca="false">IFERROR(INDEX('Semrush Data'!$A$1:$Z$20000,MATCH(A2937,'Semrush Data'!$A$1:$A$20000,0),MATCH("Keyword Difficulty*",'Semrush Data'!$A$1:$Z$1,0)),"")</f>
        <v/>
      </c>
      <c r="I2937" s="13" t="str">
        <f aca="false">IFERROR(INDEX('Semrush Data'!$A$1:$Z$20000,MATCH(A2937,'Semrush Data'!$A$1:$A$20000,0),MATCH("CPC*",'Semrush Data'!$A$1:$Z$1,0)),"")</f>
        <v/>
      </c>
      <c r="J2937" s="7" t="str">
        <f aca="false">IFERROR(INDEX('Semrush Data'!$A$1:$Z$20000,MATCH(A2937,'Semrush Data'!$A$1:$A$20000,0),MATCH("Intent",'Semrush Data'!$A$1:$Z$1,0)),"")</f>
        <v/>
      </c>
    </row>
    <row r="2938" customFormat="false" ht="15" hidden="false" customHeight="true" outlineLevel="0" collapsed="false">
      <c r="A2938" s="7" t="s">
        <v>7597</v>
      </c>
      <c r="B2938" s="7" t="s">
        <v>6820</v>
      </c>
      <c r="C2938" s="7" t="n">
        <v>3</v>
      </c>
      <c r="D2938" s="7" t="n">
        <v>30</v>
      </c>
      <c r="E2938" s="7" t="n">
        <v>1</v>
      </c>
      <c r="F2938" s="7" t="s">
        <v>5319</v>
      </c>
      <c r="G2938" s="12" t="str">
        <f aca="false">IFERROR(INDEX('Semrush Data'!$A$1:$Z$20000,MATCH(A2938,'Semrush Data'!$A$1:$A$20000,0),MATCH("Volume",'Semrush Data'!$A$1:$Z$1,0)),"")</f>
        <v/>
      </c>
      <c r="H2938" s="7" t="str">
        <f aca="false">IFERROR(INDEX('Semrush Data'!$A$1:$Z$20000,MATCH(A2938,'Semrush Data'!$A$1:$A$20000,0),MATCH("Keyword Difficulty*",'Semrush Data'!$A$1:$Z$1,0)),"")</f>
        <v/>
      </c>
      <c r="I2938" s="13" t="str">
        <f aca="false">IFERROR(INDEX('Semrush Data'!$A$1:$Z$20000,MATCH(A2938,'Semrush Data'!$A$1:$A$20000,0),MATCH("CPC*",'Semrush Data'!$A$1:$Z$1,0)),"")</f>
        <v/>
      </c>
      <c r="J2938" s="7" t="str">
        <f aca="false">IFERROR(INDEX('Semrush Data'!$A$1:$Z$20000,MATCH(A2938,'Semrush Data'!$A$1:$A$20000,0),MATCH("Intent",'Semrush Data'!$A$1:$Z$1,0)),"")</f>
        <v/>
      </c>
    </row>
    <row r="2939" customFormat="false" ht="15" hidden="false" customHeight="true" outlineLevel="0" collapsed="false">
      <c r="A2939" s="7" t="s">
        <v>7598</v>
      </c>
      <c r="B2939" s="7" t="s">
        <v>6820</v>
      </c>
      <c r="C2939" s="7" t="n">
        <v>3</v>
      </c>
      <c r="D2939" s="7" t="n">
        <v>30</v>
      </c>
      <c r="E2939" s="7" t="n">
        <v>1</v>
      </c>
      <c r="F2939" s="7" t="s">
        <v>5228</v>
      </c>
      <c r="G2939" s="12" t="str">
        <f aca="false">IFERROR(INDEX('Semrush Data'!$A$1:$Z$20000,MATCH(A2939,'Semrush Data'!$A$1:$A$20000,0),MATCH("Volume",'Semrush Data'!$A$1:$Z$1,0)),"")</f>
        <v/>
      </c>
      <c r="H2939" s="7" t="str">
        <f aca="false">IFERROR(INDEX('Semrush Data'!$A$1:$Z$20000,MATCH(A2939,'Semrush Data'!$A$1:$A$20000,0),MATCH("Keyword Difficulty*",'Semrush Data'!$A$1:$Z$1,0)),"")</f>
        <v/>
      </c>
      <c r="I2939" s="13" t="str">
        <f aca="false">IFERROR(INDEX('Semrush Data'!$A$1:$Z$20000,MATCH(A2939,'Semrush Data'!$A$1:$A$20000,0),MATCH("CPC*",'Semrush Data'!$A$1:$Z$1,0)),"")</f>
        <v/>
      </c>
      <c r="J2939" s="7" t="str">
        <f aca="false">IFERROR(INDEX('Semrush Data'!$A$1:$Z$20000,MATCH(A2939,'Semrush Data'!$A$1:$A$20000,0),MATCH("Intent",'Semrush Data'!$A$1:$Z$1,0)),"")</f>
        <v/>
      </c>
    </row>
    <row r="2940" customFormat="false" ht="15" hidden="false" customHeight="true" outlineLevel="0" collapsed="false">
      <c r="A2940" s="7" t="s">
        <v>7599</v>
      </c>
      <c r="B2940" s="7" t="s">
        <v>6820</v>
      </c>
      <c r="C2940" s="7" t="n">
        <v>3</v>
      </c>
      <c r="D2940" s="7" t="n">
        <v>30</v>
      </c>
      <c r="E2940" s="7" t="n">
        <v>1</v>
      </c>
      <c r="F2940" s="7" t="s">
        <v>5228</v>
      </c>
      <c r="G2940" s="12" t="str">
        <f aca="false">IFERROR(INDEX('Semrush Data'!$A$1:$Z$20000,MATCH(A2940,'Semrush Data'!$A$1:$A$20000,0),MATCH("Volume",'Semrush Data'!$A$1:$Z$1,0)),"")</f>
        <v/>
      </c>
      <c r="H2940" s="7" t="str">
        <f aca="false">IFERROR(INDEX('Semrush Data'!$A$1:$Z$20000,MATCH(A2940,'Semrush Data'!$A$1:$A$20000,0),MATCH("Keyword Difficulty*",'Semrush Data'!$A$1:$Z$1,0)),"")</f>
        <v/>
      </c>
      <c r="I2940" s="13" t="str">
        <f aca="false">IFERROR(INDEX('Semrush Data'!$A$1:$Z$20000,MATCH(A2940,'Semrush Data'!$A$1:$A$20000,0),MATCH("CPC*",'Semrush Data'!$A$1:$Z$1,0)),"")</f>
        <v/>
      </c>
      <c r="J2940" s="7" t="str">
        <f aca="false">IFERROR(INDEX('Semrush Data'!$A$1:$Z$20000,MATCH(A2940,'Semrush Data'!$A$1:$A$20000,0),MATCH("Intent",'Semrush Data'!$A$1:$Z$1,0)),"")</f>
        <v/>
      </c>
    </row>
    <row r="2941" customFormat="false" ht="15" hidden="false" customHeight="true" outlineLevel="0" collapsed="false">
      <c r="A2941" s="7" t="s">
        <v>7600</v>
      </c>
      <c r="B2941" s="7" t="s">
        <v>6820</v>
      </c>
      <c r="C2941" s="7" t="n">
        <v>3</v>
      </c>
      <c r="D2941" s="7" t="n">
        <v>30</v>
      </c>
      <c r="E2941" s="7" t="n">
        <v>1</v>
      </c>
      <c r="F2941" s="7" t="s">
        <v>5228</v>
      </c>
      <c r="G2941" s="12" t="str">
        <f aca="false">IFERROR(INDEX('Semrush Data'!$A$1:$Z$20000,MATCH(A2941,'Semrush Data'!$A$1:$A$20000,0),MATCH("Volume",'Semrush Data'!$A$1:$Z$1,0)),"")</f>
        <v/>
      </c>
      <c r="H2941" s="7" t="str">
        <f aca="false">IFERROR(INDEX('Semrush Data'!$A$1:$Z$20000,MATCH(A2941,'Semrush Data'!$A$1:$A$20000,0),MATCH("Keyword Difficulty*",'Semrush Data'!$A$1:$Z$1,0)),"")</f>
        <v/>
      </c>
      <c r="I2941" s="13" t="str">
        <f aca="false">IFERROR(INDEX('Semrush Data'!$A$1:$Z$20000,MATCH(A2941,'Semrush Data'!$A$1:$A$20000,0),MATCH("CPC*",'Semrush Data'!$A$1:$Z$1,0)),"")</f>
        <v/>
      </c>
      <c r="J2941" s="7" t="str">
        <f aca="false">IFERROR(INDEX('Semrush Data'!$A$1:$Z$20000,MATCH(A2941,'Semrush Data'!$A$1:$A$20000,0),MATCH("Intent",'Semrush Data'!$A$1:$Z$1,0)),"")</f>
        <v/>
      </c>
    </row>
    <row r="2942" customFormat="false" ht="15" hidden="false" customHeight="true" outlineLevel="0" collapsed="false">
      <c r="A2942" s="7" t="s">
        <v>7601</v>
      </c>
      <c r="B2942" s="7" t="s">
        <v>6820</v>
      </c>
      <c r="C2942" s="7" t="n">
        <v>3</v>
      </c>
      <c r="D2942" s="7" t="n">
        <v>30</v>
      </c>
      <c r="E2942" s="7" t="n">
        <v>1</v>
      </c>
      <c r="F2942" s="7" t="s">
        <v>140</v>
      </c>
      <c r="G2942" s="12" t="str">
        <f aca="false">IFERROR(INDEX('Semrush Data'!$A$1:$Z$20000,MATCH(A2942,'Semrush Data'!$A$1:$A$20000,0),MATCH("Volume",'Semrush Data'!$A$1:$Z$1,0)),"")</f>
        <v/>
      </c>
      <c r="H2942" s="7" t="str">
        <f aca="false">IFERROR(INDEX('Semrush Data'!$A$1:$Z$20000,MATCH(A2942,'Semrush Data'!$A$1:$A$20000,0),MATCH("Keyword Difficulty*",'Semrush Data'!$A$1:$Z$1,0)),"")</f>
        <v/>
      </c>
      <c r="I2942" s="13" t="str">
        <f aca="false">IFERROR(INDEX('Semrush Data'!$A$1:$Z$20000,MATCH(A2942,'Semrush Data'!$A$1:$A$20000,0),MATCH("CPC*",'Semrush Data'!$A$1:$Z$1,0)),"")</f>
        <v/>
      </c>
      <c r="J2942" s="7" t="str">
        <f aca="false">IFERROR(INDEX('Semrush Data'!$A$1:$Z$20000,MATCH(A2942,'Semrush Data'!$A$1:$A$20000,0),MATCH("Intent",'Semrush Data'!$A$1:$Z$1,0)),"")</f>
        <v/>
      </c>
    </row>
    <row r="2943" customFormat="false" ht="15" hidden="false" customHeight="true" outlineLevel="0" collapsed="false">
      <c r="A2943" s="7" t="s">
        <v>7602</v>
      </c>
      <c r="B2943" s="7" t="s">
        <v>6820</v>
      </c>
      <c r="C2943" s="7" t="n">
        <v>3</v>
      </c>
      <c r="D2943" s="7" t="s">
        <v>6843</v>
      </c>
      <c r="E2943" s="7" t="n">
        <v>1</v>
      </c>
      <c r="F2943" s="7" t="s">
        <v>140</v>
      </c>
      <c r="G2943" s="12" t="str">
        <f aca="false">IFERROR(INDEX('Semrush Data'!$A$1:$Z$20000,MATCH(A2943,'Semrush Data'!$A$1:$A$20000,0),MATCH("Volume",'Semrush Data'!$A$1:$Z$1,0)),"")</f>
        <v/>
      </c>
      <c r="H2943" s="7" t="str">
        <f aca="false">IFERROR(INDEX('Semrush Data'!$A$1:$Z$20000,MATCH(A2943,'Semrush Data'!$A$1:$A$20000,0),MATCH("Keyword Difficulty*",'Semrush Data'!$A$1:$Z$1,0)),"")</f>
        <v/>
      </c>
      <c r="I2943" s="13" t="str">
        <f aca="false">IFERROR(INDEX('Semrush Data'!$A$1:$Z$20000,MATCH(A2943,'Semrush Data'!$A$1:$A$20000,0),MATCH("CPC*",'Semrush Data'!$A$1:$Z$1,0)),"")</f>
        <v/>
      </c>
      <c r="J2943" s="7" t="str">
        <f aca="false">IFERROR(INDEX('Semrush Data'!$A$1:$Z$20000,MATCH(A2943,'Semrush Data'!$A$1:$A$20000,0),MATCH("Intent",'Semrush Data'!$A$1:$Z$1,0)),"")</f>
        <v/>
      </c>
    </row>
    <row r="2944" customFormat="false" ht="15" hidden="false" customHeight="true" outlineLevel="0" collapsed="false">
      <c r="A2944" s="7" t="s">
        <v>7603</v>
      </c>
      <c r="B2944" s="7" t="s">
        <v>6820</v>
      </c>
      <c r="C2944" s="7" t="n">
        <v>3</v>
      </c>
      <c r="D2944" s="7" t="n">
        <v>30</v>
      </c>
      <c r="E2944" s="7" t="n">
        <v>1</v>
      </c>
      <c r="F2944" s="7" t="s">
        <v>140</v>
      </c>
      <c r="G2944" s="12" t="str">
        <f aca="false">IFERROR(INDEX('Semrush Data'!$A$1:$Z$20000,MATCH(A2944,'Semrush Data'!$A$1:$A$20000,0),MATCH("Volume",'Semrush Data'!$A$1:$Z$1,0)),"")</f>
        <v/>
      </c>
      <c r="H2944" s="7" t="str">
        <f aca="false">IFERROR(INDEX('Semrush Data'!$A$1:$Z$20000,MATCH(A2944,'Semrush Data'!$A$1:$A$20000,0),MATCH("Keyword Difficulty*",'Semrush Data'!$A$1:$Z$1,0)),"")</f>
        <v/>
      </c>
      <c r="I2944" s="13" t="str">
        <f aca="false">IFERROR(INDEX('Semrush Data'!$A$1:$Z$20000,MATCH(A2944,'Semrush Data'!$A$1:$A$20000,0),MATCH("CPC*",'Semrush Data'!$A$1:$Z$1,0)),"")</f>
        <v/>
      </c>
      <c r="J2944" s="7" t="str">
        <f aca="false">IFERROR(INDEX('Semrush Data'!$A$1:$Z$20000,MATCH(A2944,'Semrush Data'!$A$1:$A$20000,0),MATCH("Intent",'Semrush Data'!$A$1:$Z$1,0)),"")</f>
        <v/>
      </c>
    </row>
    <row r="2945" customFormat="false" ht="15" hidden="false" customHeight="true" outlineLevel="0" collapsed="false">
      <c r="A2945" s="7" t="s">
        <v>7604</v>
      </c>
      <c r="B2945" s="7" t="s">
        <v>6820</v>
      </c>
      <c r="C2945" s="7" t="n">
        <v>3</v>
      </c>
      <c r="D2945" s="7" t="s">
        <v>6843</v>
      </c>
      <c r="E2945" s="7" t="n">
        <v>1</v>
      </c>
      <c r="F2945" s="7" t="s">
        <v>140</v>
      </c>
      <c r="G2945" s="12" t="str">
        <f aca="false">IFERROR(INDEX('Semrush Data'!$A$1:$Z$20000,MATCH(A2945,'Semrush Data'!$A$1:$A$20000,0),MATCH("Volume",'Semrush Data'!$A$1:$Z$1,0)),"")</f>
        <v/>
      </c>
      <c r="H2945" s="7" t="str">
        <f aca="false">IFERROR(INDEX('Semrush Data'!$A$1:$Z$20000,MATCH(A2945,'Semrush Data'!$A$1:$A$20000,0),MATCH("Keyword Difficulty*",'Semrush Data'!$A$1:$Z$1,0)),"")</f>
        <v/>
      </c>
      <c r="I2945" s="13" t="str">
        <f aca="false">IFERROR(INDEX('Semrush Data'!$A$1:$Z$20000,MATCH(A2945,'Semrush Data'!$A$1:$A$20000,0),MATCH("CPC*",'Semrush Data'!$A$1:$Z$1,0)),"")</f>
        <v/>
      </c>
      <c r="J2945" s="7" t="str">
        <f aca="false">IFERROR(INDEX('Semrush Data'!$A$1:$Z$20000,MATCH(A2945,'Semrush Data'!$A$1:$A$20000,0),MATCH("Intent",'Semrush Data'!$A$1:$Z$1,0)),"")</f>
        <v/>
      </c>
    </row>
    <row r="2946" customFormat="false" ht="15" hidden="false" customHeight="true" outlineLevel="0" collapsed="false">
      <c r="A2946" s="7" t="s">
        <v>7605</v>
      </c>
      <c r="B2946" s="7" t="s">
        <v>6820</v>
      </c>
      <c r="C2946" s="7" t="n">
        <v>3</v>
      </c>
      <c r="D2946" s="7" t="n">
        <v>30</v>
      </c>
      <c r="E2946" s="7" t="n">
        <v>1</v>
      </c>
      <c r="F2946" s="7" t="s">
        <v>140</v>
      </c>
      <c r="G2946" s="12" t="str">
        <f aca="false">IFERROR(INDEX('Semrush Data'!$A$1:$Z$20000,MATCH(A2946,'Semrush Data'!$A$1:$A$20000,0),MATCH("Volume",'Semrush Data'!$A$1:$Z$1,0)),"")</f>
        <v/>
      </c>
      <c r="H2946" s="7" t="str">
        <f aca="false">IFERROR(INDEX('Semrush Data'!$A$1:$Z$20000,MATCH(A2946,'Semrush Data'!$A$1:$A$20000,0),MATCH("Keyword Difficulty*",'Semrush Data'!$A$1:$Z$1,0)),"")</f>
        <v/>
      </c>
      <c r="I2946" s="13" t="str">
        <f aca="false">IFERROR(INDEX('Semrush Data'!$A$1:$Z$20000,MATCH(A2946,'Semrush Data'!$A$1:$A$20000,0),MATCH("CPC*",'Semrush Data'!$A$1:$Z$1,0)),"")</f>
        <v/>
      </c>
      <c r="J2946" s="7" t="str">
        <f aca="false">IFERROR(INDEX('Semrush Data'!$A$1:$Z$20000,MATCH(A2946,'Semrush Data'!$A$1:$A$20000,0),MATCH("Intent",'Semrush Data'!$A$1:$Z$1,0)),"")</f>
        <v/>
      </c>
    </row>
    <row r="2947" customFormat="false" ht="15" hidden="false" customHeight="true" outlineLevel="0" collapsed="false">
      <c r="A2947" s="7" t="s">
        <v>7606</v>
      </c>
      <c r="B2947" s="7" t="s">
        <v>6820</v>
      </c>
      <c r="C2947" s="7" t="n">
        <v>3</v>
      </c>
      <c r="D2947" s="7" t="n">
        <v>30</v>
      </c>
      <c r="E2947" s="7" t="n">
        <v>1</v>
      </c>
      <c r="F2947" s="7" t="s">
        <v>5352</v>
      </c>
      <c r="G2947" s="12" t="str">
        <f aca="false">IFERROR(INDEX('Semrush Data'!$A$1:$Z$20000,MATCH(A2947,'Semrush Data'!$A$1:$A$20000,0),MATCH("Volume",'Semrush Data'!$A$1:$Z$1,0)),"")</f>
        <v/>
      </c>
      <c r="H2947" s="7" t="str">
        <f aca="false">IFERROR(INDEX('Semrush Data'!$A$1:$Z$20000,MATCH(A2947,'Semrush Data'!$A$1:$A$20000,0),MATCH("Keyword Difficulty*",'Semrush Data'!$A$1:$Z$1,0)),"")</f>
        <v/>
      </c>
      <c r="I2947" s="13" t="str">
        <f aca="false">IFERROR(INDEX('Semrush Data'!$A$1:$Z$20000,MATCH(A2947,'Semrush Data'!$A$1:$A$20000,0),MATCH("CPC*",'Semrush Data'!$A$1:$Z$1,0)),"")</f>
        <v/>
      </c>
      <c r="J2947" s="7" t="str">
        <f aca="false">IFERROR(INDEX('Semrush Data'!$A$1:$Z$20000,MATCH(A2947,'Semrush Data'!$A$1:$A$20000,0),MATCH("Intent",'Semrush Data'!$A$1:$Z$1,0)),"")</f>
        <v/>
      </c>
    </row>
    <row r="2948" customFormat="false" ht="15" hidden="false" customHeight="true" outlineLevel="0" collapsed="false">
      <c r="A2948" s="7" t="s">
        <v>7607</v>
      </c>
      <c r="B2948" s="7" t="s">
        <v>6820</v>
      </c>
      <c r="C2948" s="7" t="n">
        <v>3</v>
      </c>
      <c r="D2948" s="7" t="n">
        <v>30</v>
      </c>
      <c r="E2948" s="7" t="n">
        <v>1</v>
      </c>
      <c r="F2948" s="7" t="s">
        <v>5352</v>
      </c>
      <c r="G2948" s="12" t="str">
        <f aca="false">IFERROR(INDEX('Semrush Data'!$A$1:$Z$20000,MATCH(A2948,'Semrush Data'!$A$1:$A$20000,0),MATCH("Volume",'Semrush Data'!$A$1:$Z$1,0)),"")</f>
        <v/>
      </c>
      <c r="H2948" s="7" t="str">
        <f aca="false">IFERROR(INDEX('Semrush Data'!$A$1:$Z$20000,MATCH(A2948,'Semrush Data'!$A$1:$A$20000,0),MATCH("Keyword Difficulty*",'Semrush Data'!$A$1:$Z$1,0)),"")</f>
        <v/>
      </c>
      <c r="I2948" s="13" t="str">
        <f aca="false">IFERROR(INDEX('Semrush Data'!$A$1:$Z$20000,MATCH(A2948,'Semrush Data'!$A$1:$A$20000,0),MATCH("CPC*",'Semrush Data'!$A$1:$Z$1,0)),"")</f>
        <v/>
      </c>
      <c r="J2948" s="7" t="str">
        <f aca="false">IFERROR(INDEX('Semrush Data'!$A$1:$Z$20000,MATCH(A2948,'Semrush Data'!$A$1:$A$20000,0),MATCH("Intent",'Semrush Data'!$A$1:$Z$1,0)),"")</f>
        <v/>
      </c>
    </row>
    <row r="2949" customFormat="false" ht="15" hidden="false" customHeight="true" outlineLevel="0" collapsed="false">
      <c r="A2949" s="7" t="s">
        <v>7608</v>
      </c>
      <c r="B2949" s="7" t="s">
        <v>6820</v>
      </c>
      <c r="C2949" s="7" t="n">
        <v>3</v>
      </c>
      <c r="D2949" s="7" t="n">
        <v>30</v>
      </c>
      <c r="E2949" s="7" t="n">
        <v>1</v>
      </c>
      <c r="F2949" s="7" t="s">
        <v>5352</v>
      </c>
      <c r="G2949" s="12" t="str">
        <f aca="false">IFERROR(INDEX('Semrush Data'!$A$1:$Z$20000,MATCH(A2949,'Semrush Data'!$A$1:$A$20000,0),MATCH("Volume",'Semrush Data'!$A$1:$Z$1,0)),"")</f>
        <v/>
      </c>
      <c r="H2949" s="7" t="str">
        <f aca="false">IFERROR(INDEX('Semrush Data'!$A$1:$Z$20000,MATCH(A2949,'Semrush Data'!$A$1:$A$20000,0),MATCH("Keyword Difficulty*",'Semrush Data'!$A$1:$Z$1,0)),"")</f>
        <v/>
      </c>
      <c r="I2949" s="13" t="str">
        <f aca="false">IFERROR(INDEX('Semrush Data'!$A$1:$Z$20000,MATCH(A2949,'Semrush Data'!$A$1:$A$20000,0),MATCH("CPC*",'Semrush Data'!$A$1:$Z$1,0)),"")</f>
        <v/>
      </c>
      <c r="J2949" s="7" t="str">
        <f aca="false">IFERROR(INDEX('Semrush Data'!$A$1:$Z$20000,MATCH(A2949,'Semrush Data'!$A$1:$A$20000,0),MATCH("Intent",'Semrush Data'!$A$1:$Z$1,0)),"")</f>
        <v/>
      </c>
    </row>
    <row r="2950" customFormat="false" ht="15" hidden="false" customHeight="true" outlineLevel="0" collapsed="false">
      <c r="A2950" s="7" t="s">
        <v>7609</v>
      </c>
      <c r="B2950" s="7" t="s">
        <v>6820</v>
      </c>
      <c r="C2950" s="7" t="n">
        <v>3</v>
      </c>
      <c r="D2950" s="7" t="n">
        <v>30</v>
      </c>
      <c r="E2950" s="7" t="n">
        <v>1</v>
      </c>
      <c r="F2950" s="7" t="s">
        <v>5352</v>
      </c>
      <c r="G2950" s="12" t="str">
        <f aca="false">IFERROR(INDEX('Semrush Data'!$A$1:$Z$20000,MATCH(A2950,'Semrush Data'!$A$1:$A$20000,0),MATCH("Volume",'Semrush Data'!$A$1:$Z$1,0)),"")</f>
        <v/>
      </c>
      <c r="H2950" s="7" t="str">
        <f aca="false">IFERROR(INDEX('Semrush Data'!$A$1:$Z$20000,MATCH(A2950,'Semrush Data'!$A$1:$A$20000,0),MATCH("Keyword Difficulty*",'Semrush Data'!$A$1:$Z$1,0)),"")</f>
        <v/>
      </c>
      <c r="I2950" s="13" t="str">
        <f aca="false">IFERROR(INDEX('Semrush Data'!$A$1:$Z$20000,MATCH(A2950,'Semrush Data'!$A$1:$A$20000,0),MATCH("CPC*",'Semrush Data'!$A$1:$Z$1,0)),"")</f>
        <v/>
      </c>
      <c r="J2950" s="7" t="str">
        <f aca="false">IFERROR(INDEX('Semrush Data'!$A$1:$Z$20000,MATCH(A2950,'Semrush Data'!$A$1:$A$20000,0),MATCH("Intent",'Semrush Data'!$A$1:$Z$1,0)),"")</f>
        <v/>
      </c>
    </row>
    <row r="2951" customFormat="false" ht="15" hidden="false" customHeight="true" outlineLevel="0" collapsed="false">
      <c r="A2951" s="7" t="s">
        <v>7610</v>
      </c>
      <c r="B2951" s="7" t="s">
        <v>6820</v>
      </c>
      <c r="C2951" s="7" t="n">
        <v>3</v>
      </c>
      <c r="D2951" s="7" t="n">
        <v>30</v>
      </c>
      <c r="E2951" s="7" t="n">
        <v>1</v>
      </c>
      <c r="F2951" s="7" t="s">
        <v>5352</v>
      </c>
      <c r="G2951" s="12" t="str">
        <f aca="false">IFERROR(INDEX('Semrush Data'!$A$1:$Z$20000,MATCH(A2951,'Semrush Data'!$A$1:$A$20000,0),MATCH("Volume",'Semrush Data'!$A$1:$Z$1,0)),"")</f>
        <v/>
      </c>
      <c r="H2951" s="7" t="str">
        <f aca="false">IFERROR(INDEX('Semrush Data'!$A$1:$Z$20000,MATCH(A2951,'Semrush Data'!$A$1:$A$20000,0),MATCH("Keyword Difficulty*",'Semrush Data'!$A$1:$Z$1,0)),"")</f>
        <v/>
      </c>
      <c r="I2951" s="13" t="str">
        <f aca="false">IFERROR(INDEX('Semrush Data'!$A$1:$Z$20000,MATCH(A2951,'Semrush Data'!$A$1:$A$20000,0),MATCH("CPC*",'Semrush Data'!$A$1:$Z$1,0)),"")</f>
        <v/>
      </c>
      <c r="J2951" s="7" t="str">
        <f aca="false">IFERROR(INDEX('Semrush Data'!$A$1:$Z$20000,MATCH(A2951,'Semrush Data'!$A$1:$A$20000,0),MATCH("Intent",'Semrush Data'!$A$1:$Z$1,0)),"")</f>
        <v/>
      </c>
    </row>
    <row r="2952" customFormat="false" ht="15" hidden="false" customHeight="true" outlineLevel="0" collapsed="false">
      <c r="A2952" s="7" t="s">
        <v>7611</v>
      </c>
      <c r="B2952" s="7" t="s">
        <v>6820</v>
      </c>
      <c r="C2952" s="7" t="n">
        <v>3</v>
      </c>
      <c r="D2952" s="7" t="n">
        <v>30</v>
      </c>
      <c r="E2952" s="7" t="n">
        <v>1</v>
      </c>
      <c r="F2952" s="7" t="s">
        <v>4465</v>
      </c>
      <c r="G2952" s="12" t="str">
        <f aca="false">IFERROR(INDEX('Semrush Data'!$A$1:$Z$20000,MATCH(A2952,'Semrush Data'!$A$1:$A$20000,0),MATCH("Volume",'Semrush Data'!$A$1:$Z$1,0)),"")</f>
        <v/>
      </c>
      <c r="H2952" s="7" t="str">
        <f aca="false">IFERROR(INDEX('Semrush Data'!$A$1:$Z$20000,MATCH(A2952,'Semrush Data'!$A$1:$A$20000,0),MATCH("Keyword Difficulty*",'Semrush Data'!$A$1:$Z$1,0)),"")</f>
        <v/>
      </c>
      <c r="I2952" s="13" t="str">
        <f aca="false">IFERROR(INDEX('Semrush Data'!$A$1:$Z$20000,MATCH(A2952,'Semrush Data'!$A$1:$A$20000,0),MATCH("CPC*",'Semrush Data'!$A$1:$Z$1,0)),"")</f>
        <v/>
      </c>
      <c r="J2952" s="7" t="str">
        <f aca="false">IFERROR(INDEX('Semrush Data'!$A$1:$Z$20000,MATCH(A2952,'Semrush Data'!$A$1:$A$20000,0),MATCH("Intent",'Semrush Data'!$A$1:$Z$1,0)),"")</f>
        <v/>
      </c>
    </row>
    <row r="2953" customFormat="false" ht="15" hidden="false" customHeight="true" outlineLevel="0" collapsed="false">
      <c r="A2953" s="7" t="s">
        <v>7612</v>
      </c>
      <c r="B2953" s="7" t="s">
        <v>6820</v>
      </c>
      <c r="C2953" s="7" t="n">
        <v>3</v>
      </c>
      <c r="D2953" s="7" t="n">
        <v>30</v>
      </c>
      <c r="E2953" s="7" t="n">
        <v>1</v>
      </c>
      <c r="F2953" s="7" t="s">
        <v>5363</v>
      </c>
      <c r="G2953" s="12" t="str">
        <f aca="false">IFERROR(INDEX('Semrush Data'!$A$1:$Z$20000,MATCH(A2953,'Semrush Data'!$A$1:$A$20000,0),MATCH("Volume",'Semrush Data'!$A$1:$Z$1,0)),"")</f>
        <v/>
      </c>
      <c r="H2953" s="7" t="str">
        <f aca="false">IFERROR(INDEX('Semrush Data'!$A$1:$Z$20000,MATCH(A2953,'Semrush Data'!$A$1:$A$20000,0),MATCH("Keyword Difficulty*",'Semrush Data'!$A$1:$Z$1,0)),"")</f>
        <v/>
      </c>
      <c r="I2953" s="13" t="str">
        <f aca="false">IFERROR(INDEX('Semrush Data'!$A$1:$Z$20000,MATCH(A2953,'Semrush Data'!$A$1:$A$20000,0),MATCH("CPC*",'Semrush Data'!$A$1:$Z$1,0)),"")</f>
        <v/>
      </c>
      <c r="J2953" s="7" t="str">
        <f aca="false">IFERROR(INDEX('Semrush Data'!$A$1:$Z$20000,MATCH(A2953,'Semrush Data'!$A$1:$A$20000,0),MATCH("Intent",'Semrush Data'!$A$1:$Z$1,0)),"")</f>
        <v/>
      </c>
    </row>
    <row r="2954" customFormat="false" ht="15" hidden="false" customHeight="true" outlineLevel="0" collapsed="false">
      <c r="A2954" s="7" t="s">
        <v>7613</v>
      </c>
      <c r="B2954" s="7" t="s">
        <v>6820</v>
      </c>
      <c r="C2954" s="7" t="n">
        <v>3</v>
      </c>
      <c r="D2954" s="7" t="n">
        <v>30</v>
      </c>
      <c r="E2954" s="7" t="n">
        <v>1</v>
      </c>
      <c r="F2954" s="7" t="s">
        <v>5363</v>
      </c>
      <c r="G2954" s="12" t="str">
        <f aca="false">IFERROR(INDEX('Semrush Data'!$A$1:$Z$20000,MATCH(A2954,'Semrush Data'!$A$1:$A$20000,0),MATCH("Volume",'Semrush Data'!$A$1:$Z$1,0)),"")</f>
        <v/>
      </c>
      <c r="H2954" s="7" t="str">
        <f aca="false">IFERROR(INDEX('Semrush Data'!$A$1:$Z$20000,MATCH(A2954,'Semrush Data'!$A$1:$A$20000,0),MATCH("Keyword Difficulty*",'Semrush Data'!$A$1:$Z$1,0)),"")</f>
        <v/>
      </c>
      <c r="I2954" s="13" t="str">
        <f aca="false">IFERROR(INDEX('Semrush Data'!$A$1:$Z$20000,MATCH(A2954,'Semrush Data'!$A$1:$A$20000,0),MATCH("CPC*",'Semrush Data'!$A$1:$Z$1,0)),"")</f>
        <v/>
      </c>
      <c r="J2954" s="7" t="str">
        <f aca="false">IFERROR(INDEX('Semrush Data'!$A$1:$Z$20000,MATCH(A2954,'Semrush Data'!$A$1:$A$20000,0),MATCH("Intent",'Semrush Data'!$A$1:$Z$1,0)),"")</f>
        <v/>
      </c>
    </row>
    <row r="2955" customFormat="false" ht="15" hidden="false" customHeight="true" outlineLevel="0" collapsed="false">
      <c r="A2955" s="7" t="s">
        <v>7614</v>
      </c>
      <c r="B2955" s="7" t="s">
        <v>6820</v>
      </c>
      <c r="C2955" s="7" t="n">
        <v>3</v>
      </c>
      <c r="D2955" s="7" t="n">
        <v>30</v>
      </c>
      <c r="E2955" s="7" t="n">
        <v>1</v>
      </c>
      <c r="F2955" s="7" t="s">
        <v>5363</v>
      </c>
      <c r="G2955" s="12" t="str">
        <f aca="false">IFERROR(INDEX('Semrush Data'!$A$1:$Z$20000,MATCH(A2955,'Semrush Data'!$A$1:$A$20000,0),MATCH("Volume",'Semrush Data'!$A$1:$Z$1,0)),"")</f>
        <v/>
      </c>
      <c r="H2955" s="7" t="str">
        <f aca="false">IFERROR(INDEX('Semrush Data'!$A$1:$Z$20000,MATCH(A2955,'Semrush Data'!$A$1:$A$20000,0),MATCH("Keyword Difficulty*",'Semrush Data'!$A$1:$Z$1,0)),"")</f>
        <v/>
      </c>
      <c r="I2955" s="13" t="str">
        <f aca="false">IFERROR(INDEX('Semrush Data'!$A$1:$Z$20000,MATCH(A2955,'Semrush Data'!$A$1:$A$20000,0),MATCH("CPC*",'Semrush Data'!$A$1:$Z$1,0)),"")</f>
        <v/>
      </c>
      <c r="J2955" s="7" t="str">
        <f aca="false">IFERROR(INDEX('Semrush Data'!$A$1:$Z$20000,MATCH(A2955,'Semrush Data'!$A$1:$A$20000,0),MATCH("Intent",'Semrush Data'!$A$1:$Z$1,0)),"")</f>
        <v/>
      </c>
    </row>
    <row r="2956" customFormat="false" ht="15" hidden="false" customHeight="true" outlineLevel="0" collapsed="false">
      <c r="A2956" s="7" t="s">
        <v>7615</v>
      </c>
      <c r="B2956" s="7" t="s">
        <v>6820</v>
      </c>
      <c r="C2956" s="7" t="n">
        <v>3</v>
      </c>
      <c r="D2956" s="7" t="n">
        <v>30</v>
      </c>
      <c r="E2956" s="7" t="n">
        <v>1</v>
      </c>
      <c r="F2956" s="7" t="s">
        <v>5363</v>
      </c>
      <c r="G2956" s="12" t="str">
        <f aca="false">IFERROR(INDEX('Semrush Data'!$A$1:$Z$20000,MATCH(A2956,'Semrush Data'!$A$1:$A$20000,0),MATCH("Volume",'Semrush Data'!$A$1:$Z$1,0)),"")</f>
        <v/>
      </c>
      <c r="H2956" s="7" t="str">
        <f aca="false">IFERROR(INDEX('Semrush Data'!$A$1:$Z$20000,MATCH(A2956,'Semrush Data'!$A$1:$A$20000,0),MATCH("Keyword Difficulty*",'Semrush Data'!$A$1:$Z$1,0)),"")</f>
        <v/>
      </c>
      <c r="I2956" s="13" t="str">
        <f aca="false">IFERROR(INDEX('Semrush Data'!$A$1:$Z$20000,MATCH(A2956,'Semrush Data'!$A$1:$A$20000,0),MATCH("CPC*",'Semrush Data'!$A$1:$Z$1,0)),"")</f>
        <v/>
      </c>
      <c r="J2956" s="7" t="str">
        <f aca="false">IFERROR(INDEX('Semrush Data'!$A$1:$Z$20000,MATCH(A2956,'Semrush Data'!$A$1:$A$20000,0),MATCH("Intent",'Semrush Data'!$A$1:$Z$1,0)),"")</f>
        <v/>
      </c>
    </row>
    <row r="2957" customFormat="false" ht="15" hidden="false" customHeight="true" outlineLevel="0" collapsed="false">
      <c r="A2957" s="7" t="s">
        <v>7616</v>
      </c>
      <c r="B2957" s="7" t="s">
        <v>6820</v>
      </c>
      <c r="C2957" s="7" t="n">
        <v>3</v>
      </c>
      <c r="D2957" s="7" t="n">
        <v>30</v>
      </c>
      <c r="E2957" s="7" t="n">
        <v>1</v>
      </c>
      <c r="F2957" s="7" t="s">
        <v>5377</v>
      </c>
      <c r="G2957" s="12" t="str">
        <f aca="false">IFERROR(INDEX('Semrush Data'!$A$1:$Z$20000,MATCH(A2957,'Semrush Data'!$A$1:$A$20000,0),MATCH("Volume",'Semrush Data'!$A$1:$Z$1,0)),"")</f>
        <v/>
      </c>
      <c r="H2957" s="7" t="str">
        <f aca="false">IFERROR(INDEX('Semrush Data'!$A$1:$Z$20000,MATCH(A2957,'Semrush Data'!$A$1:$A$20000,0),MATCH("Keyword Difficulty*",'Semrush Data'!$A$1:$Z$1,0)),"")</f>
        <v/>
      </c>
      <c r="I2957" s="13" t="str">
        <f aca="false">IFERROR(INDEX('Semrush Data'!$A$1:$Z$20000,MATCH(A2957,'Semrush Data'!$A$1:$A$20000,0),MATCH("CPC*",'Semrush Data'!$A$1:$Z$1,0)),"")</f>
        <v/>
      </c>
      <c r="J2957" s="7" t="str">
        <f aca="false">IFERROR(INDEX('Semrush Data'!$A$1:$Z$20000,MATCH(A2957,'Semrush Data'!$A$1:$A$20000,0),MATCH("Intent",'Semrush Data'!$A$1:$Z$1,0)),"")</f>
        <v/>
      </c>
    </row>
    <row r="2958" customFormat="false" ht="15" hidden="false" customHeight="true" outlineLevel="0" collapsed="false">
      <c r="A2958" s="7" t="s">
        <v>7617</v>
      </c>
      <c r="B2958" s="7" t="s">
        <v>6820</v>
      </c>
      <c r="C2958" s="7" t="n">
        <v>3</v>
      </c>
      <c r="D2958" s="7" t="n">
        <v>30</v>
      </c>
      <c r="E2958" s="7" t="n">
        <v>1</v>
      </c>
      <c r="F2958" s="7" t="s">
        <v>5377</v>
      </c>
      <c r="G2958" s="12" t="str">
        <f aca="false">IFERROR(INDEX('Semrush Data'!$A$1:$Z$20000,MATCH(A2958,'Semrush Data'!$A$1:$A$20000,0),MATCH("Volume",'Semrush Data'!$A$1:$Z$1,0)),"")</f>
        <v/>
      </c>
      <c r="H2958" s="7" t="str">
        <f aca="false">IFERROR(INDEX('Semrush Data'!$A$1:$Z$20000,MATCH(A2958,'Semrush Data'!$A$1:$A$20000,0),MATCH("Keyword Difficulty*",'Semrush Data'!$A$1:$Z$1,0)),"")</f>
        <v/>
      </c>
      <c r="I2958" s="13" t="str">
        <f aca="false">IFERROR(INDEX('Semrush Data'!$A$1:$Z$20000,MATCH(A2958,'Semrush Data'!$A$1:$A$20000,0),MATCH("CPC*",'Semrush Data'!$A$1:$Z$1,0)),"")</f>
        <v/>
      </c>
      <c r="J2958" s="7" t="str">
        <f aca="false">IFERROR(INDEX('Semrush Data'!$A$1:$Z$20000,MATCH(A2958,'Semrush Data'!$A$1:$A$20000,0),MATCH("Intent",'Semrush Data'!$A$1:$Z$1,0)),"")</f>
        <v/>
      </c>
    </row>
    <row r="2959" customFormat="false" ht="15" hidden="false" customHeight="true" outlineLevel="0" collapsed="false">
      <c r="A2959" s="7" t="s">
        <v>7618</v>
      </c>
      <c r="B2959" s="7" t="s">
        <v>6820</v>
      </c>
      <c r="C2959" s="7" t="n">
        <v>3</v>
      </c>
      <c r="D2959" s="7" t="n">
        <v>30</v>
      </c>
      <c r="E2959" s="7" t="n">
        <v>1</v>
      </c>
      <c r="F2959" s="7" t="s">
        <v>5377</v>
      </c>
      <c r="G2959" s="12" t="str">
        <f aca="false">IFERROR(INDEX('Semrush Data'!$A$1:$Z$20000,MATCH(A2959,'Semrush Data'!$A$1:$A$20000,0),MATCH("Volume",'Semrush Data'!$A$1:$Z$1,0)),"")</f>
        <v/>
      </c>
      <c r="H2959" s="7" t="str">
        <f aca="false">IFERROR(INDEX('Semrush Data'!$A$1:$Z$20000,MATCH(A2959,'Semrush Data'!$A$1:$A$20000,0),MATCH("Keyword Difficulty*",'Semrush Data'!$A$1:$Z$1,0)),"")</f>
        <v/>
      </c>
      <c r="I2959" s="13" t="str">
        <f aca="false">IFERROR(INDEX('Semrush Data'!$A$1:$Z$20000,MATCH(A2959,'Semrush Data'!$A$1:$A$20000,0),MATCH("CPC*",'Semrush Data'!$A$1:$Z$1,0)),"")</f>
        <v/>
      </c>
      <c r="J2959" s="7" t="str">
        <f aca="false">IFERROR(INDEX('Semrush Data'!$A$1:$Z$20000,MATCH(A2959,'Semrush Data'!$A$1:$A$20000,0),MATCH("Intent",'Semrush Data'!$A$1:$Z$1,0)),"")</f>
        <v/>
      </c>
    </row>
    <row r="2960" customFormat="false" ht="15" hidden="false" customHeight="true" outlineLevel="0" collapsed="false">
      <c r="A2960" s="7" t="s">
        <v>7619</v>
      </c>
      <c r="B2960" s="7" t="s">
        <v>6820</v>
      </c>
      <c r="C2960" s="7" t="n">
        <v>3</v>
      </c>
      <c r="D2960" s="7" t="n">
        <v>30</v>
      </c>
      <c r="E2960" s="7" t="n">
        <v>1</v>
      </c>
      <c r="F2960" s="7" t="s">
        <v>5377</v>
      </c>
      <c r="G2960" s="12" t="str">
        <f aca="false">IFERROR(INDEX('Semrush Data'!$A$1:$Z$20000,MATCH(A2960,'Semrush Data'!$A$1:$A$20000,0),MATCH("Volume",'Semrush Data'!$A$1:$Z$1,0)),"")</f>
        <v/>
      </c>
      <c r="H2960" s="7" t="str">
        <f aca="false">IFERROR(INDEX('Semrush Data'!$A$1:$Z$20000,MATCH(A2960,'Semrush Data'!$A$1:$A$20000,0),MATCH("Keyword Difficulty*",'Semrush Data'!$A$1:$Z$1,0)),"")</f>
        <v/>
      </c>
      <c r="I2960" s="13" t="str">
        <f aca="false">IFERROR(INDEX('Semrush Data'!$A$1:$Z$20000,MATCH(A2960,'Semrush Data'!$A$1:$A$20000,0),MATCH("CPC*",'Semrush Data'!$A$1:$Z$1,0)),"")</f>
        <v/>
      </c>
      <c r="J2960" s="7" t="str">
        <f aca="false">IFERROR(INDEX('Semrush Data'!$A$1:$Z$20000,MATCH(A2960,'Semrush Data'!$A$1:$A$20000,0),MATCH("Intent",'Semrush Data'!$A$1:$Z$1,0)),"")</f>
        <v/>
      </c>
    </row>
    <row r="2961" customFormat="false" ht="15" hidden="false" customHeight="true" outlineLevel="0" collapsed="false">
      <c r="A2961" s="7" t="s">
        <v>7620</v>
      </c>
      <c r="B2961" s="7" t="s">
        <v>6820</v>
      </c>
      <c r="C2961" s="7" t="n">
        <v>3</v>
      </c>
      <c r="D2961" s="7" t="n">
        <v>30</v>
      </c>
      <c r="E2961" s="7" t="n">
        <v>1</v>
      </c>
      <c r="F2961" s="7" t="s">
        <v>5431</v>
      </c>
      <c r="G2961" s="12" t="str">
        <f aca="false">IFERROR(INDEX('Semrush Data'!$A$1:$Z$20000,MATCH(A2961,'Semrush Data'!$A$1:$A$20000,0),MATCH("Volume",'Semrush Data'!$A$1:$Z$1,0)),"")</f>
        <v/>
      </c>
      <c r="H2961" s="7" t="str">
        <f aca="false">IFERROR(INDEX('Semrush Data'!$A$1:$Z$20000,MATCH(A2961,'Semrush Data'!$A$1:$A$20000,0),MATCH("Keyword Difficulty*",'Semrush Data'!$A$1:$Z$1,0)),"")</f>
        <v/>
      </c>
      <c r="I2961" s="13" t="str">
        <f aca="false">IFERROR(INDEX('Semrush Data'!$A$1:$Z$20000,MATCH(A2961,'Semrush Data'!$A$1:$A$20000,0),MATCH("CPC*",'Semrush Data'!$A$1:$Z$1,0)),"")</f>
        <v/>
      </c>
      <c r="J2961" s="7" t="str">
        <f aca="false">IFERROR(INDEX('Semrush Data'!$A$1:$Z$20000,MATCH(A2961,'Semrush Data'!$A$1:$A$20000,0),MATCH("Intent",'Semrush Data'!$A$1:$Z$1,0)),"")</f>
        <v/>
      </c>
    </row>
    <row r="2962" customFormat="false" ht="15" hidden="false" customHeight="true" outlineLevel="0" collapsed="false">
      <c r="A2962" s="7" t="s">
        <v>7621</v>
      </c>
      <c r="B2962" s="7" t="s">
        <v>6820</v>
      </c>
      <c r="C2962" s="7" t="n">
        <v>3</v>
      </c>
      <c r="D2962" s="7" t="n">
        <v>30</v>
      </c>
      <c r="E2962" s="7" t="n">
        <v>1</v>
      </c>
      <c r="F2962" s="7" t="s">
        <v>74</v>
      </c>
      <c r="G2962" s="12" t="str">
        <f aca="false">IFERROR(INDEX('Semrush Data'!$A$1:$Z$20000,MATCH(A2962,'Semrush Data'!$A$1:$A$20000,0),MATCH("Volume",'Semrush Data'!$A$1:$Z$1,0)),"")</f>
        <v/>
      </c>
      <c r="H2962" s="7" t="str">
        <f aca="false">IFERROR(INDEX('Semrush Data'!$A$1:$Z$20000,MATCH(A2962,'Semrush Data'!$A$1:$A$20000,0),MATCH("Keyword Difficulty*",'Semrush Data'!$A$1:$Z$1,0)),"")</f>
        <v/>
      </c>
      <c r="I2962" s="13" t="str">
        <f aca="false">IFERROR(INDEX('Semrush Data'!$A$1:$Z$20000,MATCH(A2962,'Semrush Data'!$A$1:$A$20000,0),MATCH("CPC*",'Semrush Data'!$A$1:$Z$1,0)),"")</f>
        <v/>
      </c>
      <c r="J2962" s="7" t="str">
        <f aca="false">IFERROR(INDEX('Semrush Data'!$A$1:$Z$20000,MATCH(A2962,'Semrush Data'!$A$1:$A$20000,0),MATCH("Intent",'Semrush Data'!$A$1:$Z$1,0)),"")</f>
        <v/>
      </c>
    </row>
    <row r="2963" customFormat="false" ht="15" hidden="false" customHeight="true" outlineLevel="0" collapsed="false">
      <c r="A2963" s="7" t="s">
        <v>7622</v>
      </c>
      <c r="B2963" s="7" t="s">
        <v>6820</v>
      </c>
      <c r="C2963" s="7" t="n">
        <v>3</v>
      </c>
      <c r="D2963" s="7" t="n">
        <v>30</v>
      </c>
      <c r="E2963" s="7" t="n">
        <v>1</v>
      </c>
      <c r="F2963" s="7" t="s">
        <v>74</v>
      </c>
      <c r="G2963" s="12" t="str">
        <f aca="false">IFERROR(INDEX('Semrush Data'!$A$1:$Z$20000,MATCH(A2963,'Semrush Data'!$A$1:$A$20000,0),MATCH("Volume",'Semrush Data'!$A$1:$Z$1,0)),"")</f>
        <v/>
      </c>
      <c r="H2963" s="7" t="str">
        <f aca="false">IFERROR(INDEX('Semrush Data'!$A$1:$Z$20000,MATCH(A2963,'Semrush Data'!$A$1:$A$20000,0),MATCH("Keyword Difficulty*",'Semrush Data'!$A$1:$Z$1,0)),"")</f>
        <v/>
      </c>
      <c r="I2963" s="13" t="str">
        <f aca="false">IFERROR(INDEX('Semrush Data'!$A$1:$Z$20000,MATCH(A2963,'Semrush Data'!$A$1:$A$20000,0),MATCH("CPC*",'Semrush Data'!$A$1:$Z$1,0)),"")</f>
        <v/>
      </c>
      <c r="J2963" s="7" t="str">
        <f aca="false">IFERROR(INDEX('Semrush Data'!$A$1:$Z$20000,MATCH(A2963,'Semrush Data'!$A$1:$A$20000,0),MATCH("Intent",'Semrush Data'!$A$1:$Z$1,0)),"")</f>
        <v/>
      </c>
    </row>
    <row r="2964" customFormat="false" ht="15" hidden="false" customHeight="true" outlineLevel="0" collapsed="false">
      <c r="A2964" s="7" t="s">
        <v>7623</v>
      </c>
      <c r="B2964" s="7" t="s">
        <v>6820</v>
      </c>
      <c r="C2964" s="7" t="n">
        <v>3</v>
      </c>
      <c r="D2964" s="7" t="s">
        <v>6818</v>
      </c>
      <c r="E2964" s="7" t="n">
        <v>1</v>
      </c>
      <c r="F2964" s="7" t="s">
        <v>74</v>
      </c>
      <c r="G2964" s="12" t="str">
        <f aca="false">IFERROR(INDEX('Semrush Data'!$A$1:$Z$20000,MATCH(A2964,'Semrush Data'!$A$1:$A$20000,0),MATCH("Volume",'Semrush Data'!$A$1:$Z$1,0)),"")</f>
        <v/>
      </c>
      <c r="H2964" s="7" t="str">
        <f aca="false">IFERROR(INDEX('Semrush Data'!$A$1:$Z$20000,MATCH(A2964,'Semrush Data'!$A$1:$A$20000,0),MATCH("Keyword Difficulty*",'Semrush Data'!$A$1:$Z$1,0)),"")</f>
        <v/>
      </c>
      <c r="I2964" s="13" t="str">
        <f aca="false">IFERROR(INDEX('Semrush Data'!$A$1:$Z$20000,MATCH(A2964,'Semrush Data'!$A$1:$A$20000,0),MATCH("CPC*",'Semrush Data'!$A$1:$Z$1,0)),"")</f>
        <v/>
      </c>
      <c r="J2964" s="7" t="str">
        <f aca="false">IFERROR(INDEX('Semrush Data'!$A$1:$Z$20000,MATCH(A2964,'Semrush Data'!$A$1:$A$20000,0),MATCH("Intent",'Semrush Data'!$A$1:$Z$1,0)),"")</f>
        <v/>
      </c>
    </row>
    <row r="2965" customFormat="false" ht="15" hidden="false" customHeight="true" outlineLevel="0" collapsed="false">
      <c r="A2965" s="7" t="s">
        <v>7624</v>
      </c>
      <c r="B2965" s="7" t="s">
        <v>6820</v>
      </c>
      <c r="C2965" s="7" t="n">
        <v>3</v>
      </c>
      <c r="D2965" s="7" t="n">
        <v>30</v>
      </c>
      <c r="E2965" s="7" t="n">
        <v>1</v>
      </c>
      <c r="F2965" s="7" t="s">
        <v>74</v>
      </c>
      <c r="G2965" s="12" t="str">
        <f aca="false">IFERROR(INDEX('Semrush Data'!$A$1:$Z$20000,MATCH(A2965,'Semrush Data'!$A$1:$A$20000,0),MATCH("Volume",'Semrush Data'!$A$1:$Z$1,0)),"")</f>
        <v/>
      </c>
      <c r="H2965" s="7" t="str">
        <f aca="false">IFERROR(INDEX('Semrush Data'!$A$1:$Z$20000,MATCH(A2965,'Semrush Data'!$A$1:$A$20000,0),MATCH("Keyword Difficulty*",'Semrush Data'!$A$1:$Z$1,0)),"")</f>
        <v/>
      </c>
      <c r="I2965" s="13" t="str">
        <f aca="false">IFERROR(INDEX('Semrush Data'!$A$1:$Z$20000,MATCH(A2965,'Semrush Data'!$A$1:$A$20000,0),MATCH("CPC*",'Semrush Data'!$A$1:$Z$1,0)),"")</f>
        <v/>
      </c>
      <c r="J2965" s="7" t="str">
        <f aca="false">IFERROR(INDEX('Semrush Data'!$A$1:$Z$20000,MATCH(A2965,'Semrush Data'!$A$1:$A$20000,0),MATCH("Intent",'Semrush Data'!$A$1:$Z$1,0)),"")</f>
        <v/>
      </c>
    </row>
    <row r="2966" customFormat="false" ht="15" hidden="false" customHeight="true" outlineLevel="0" collapsed="false">
      <c r="A2966" s="7" t="s">
        <v>7625</v>
      </c>
      <c r="B2966" s="7" t="s">
        <v>6820</v>
      </c>
      <c r="C2966" s="7" t="n">
        <v>3</v>
      </c>
      <c r="D2966" s="7" t="s">
        <v>6818</v>
      </c>
      <c r="E2966" s="7" t="n">
        <v>1</v>
      </c>
      <c r="F2966" s="7" t="s">
        <v>74</v>
      </c>
      <c r="G2966" s="12" t="str">
        <f aca="false">IFERROR(INDEX('Semrush Data'!$A$1:$Z$20000,MATCH(A2966,'Semrush Data'!$A$1:$A$20000,0),MATCH("Volume",'Semrush Data'!$A$1:$Z$1,0)),"")</f>
        <v/>
      </c>
      <c r="H2966" s="7" t="str">
        <f aca="false">IFERROR(INDEX('Semrush Data'!$A$1:$Z$20000,MATCH(A2966,'Semrush Data'!$A$1:$A$20000,0),MATCH("Keyword Difficulty*",'Semrush Data'!$A$1:$Z$1,0)),"")</f>
        <v/>
      </c>
      <c r="I2966" s="13" t="str">
        <f aca="false">IFERROR(INDEX('Semrush Data'!$A$1:$Z$20000,MATCH(A2966,'Semrush Data'!$A$1:$A$20000,0),MATCH("CPC*",'Semrush Data'!$A$1:$Z$1,0)),"")</f>
        <v/>
      </c>
      <c r="J2966" s="7" t="str">
        <f aca="false">IFERROR(INDEX('Semrush Data'!$A$1:$Z$20000,MATCH(A2966,'Semrush Data'!$A$1:$A$20000,0),MATCH("Intent",'Semrush Data'!$A$1:$Z$1,0)),"")</f>
        <v/>
      </c>
    </row>
    <row r="2967" customFormat="false" ht="15" hidden="false" customHeight="true" outlineLevel="0" collapsed="false">
      <c r="A2967" s="7" t="s">
        <v>7626</v>
      </c>
      <c r="B2967" s="7" t="s">
        <v>6820</v>
      </c>
      <c r="C2967" s="7" t="n">
        <v>3</v>
      </c>
      <c r="D2967" s="7" t="n">
        <v>30</v>
      </c>
      <c r="E2967" s="7" t="n">
        <v>1</v>
      </c>
      <c r="F2967" s="7" t="s">
        <v>58</v>
      </c>
      <c r="G2967" s="12" t="str">
        <f aca="false">IFERROR(INDEX('Semrush Data'!$A$1:$Z$20000,MATCH(A2967,'Semrush Data'!$A$1:$A$20000,0),MATCH("Volume",'Semrush Data'!$A$1:$Z$1,0)),"")</f>
        <v/>
      </c>
      <c r="H2967" s="7" t="str">
        <f aca="false">IFERROR(INDEX('Semrush Data'!$A$1:$Z$20000,MATCH(A2967,'Semrush Data'!$A$1:$A$20000,0),MATCH("Keyword Difficulty*",'Semrush Data'!$A$1:$Z$1,0)),"")</f>
        <v/>
      </c>
      <c r="I2967" s="13" t="str">
        <f aca="false">IFERROR(INDEX('Semrush Data'!$A$1:$Z$20000,MATCH(A2967,'Semrush Data'!$A$1:$A$20000,0),MATCH("CPC*",'Semrush Data'!$A$1:$Z$1,0)),"")</f>
        <v/>
      </c>
      <c r="J2967" s="7" t="str">
        <f aca="false">IFERROR(INDEX('Semrush Data'!$A$1:$Z$20000,MATCH(A2967,'Semrush Data'!$A$1:$A$20000,0),MATCH("Intent",'Semrush Data'!$A$1:$Z$1,0)),"")</f>
        <v/>
      </c>
    </row>
    <row r="2968" customFormat="false" ht="15" hidden="false" customHeight="true" outlineLevel="0" collapsed="false">
      <c r="A2968" s="7" t="s">
        <v>7627</v>
      </c>
      <c r="B2968" s="7" t="s">
        <v>6820</v>
      </c>
      <c r="C2968" s="7" t="n">
        <v>3</v>
      </c>
      <c r="D2968" s="7" t="n">
        <v>30</v>
      </c>
      <c r="E2968" s="7" t="n">
        <v>1</v>
      </c>
      <c r="F2968" s="7" t="s">
        <v>58</v>
      </c>
      <c r="G2968" s="12" t="str">
        <f aca="false">IFERROR(INDEX('Semrush Data'!$A$1:$Z$20000,MATCH(A2968,'Semrush Data'!$A$1:$A$20000,0),MATCH("Volume",'Semrush Data'!$A$1:$Z$1,0)),"")</f>
        <v/>
      </c>
      <c r="H2968" s="7" t="str">
        <f aca="false">IFERROR(INDEX('Semrush Data'!$A$1:$Z$20000,MATCH(A2968,'Semrush Data'!$A$1:$A$20000,0),MATCH("Keyword Difficulty*",'Semrush Data'!$A$1:$Z$1,0)),"")</f>
        <v/>
      </c>
      <c r="I2968" s="13" t="str">
        <f aca="false">IFERROR(INDEX('Semrush Data'!$A$1:$Z$20000,MATCH(A2968,'Semrush Data'!$A$1:$A$20000,0),MATCH("CPC*",'Semrush Data'!$A$1:$Z$1,0)),"")</f>
        <v/>
      </c>
      <c r="J2968" s="7" t="str">
        <f aca="false">IFERROR(INDEX('Semrush Data'!$A$1:$Z$20000,MATCH(A2968,'Semrush Data'!$A$1:$A$20000,0),MATCH("Intent",'Semrush Data'!$A$1:$Z$1,0)),"")</f>
        <v/>
      </c>
    </row>
    <row r="2969" customFormat="false" ht="15" hidden="false" customHeight="true" outlineLevel="0" collapsed="false">
      <c r="A2969" s="7" t="s">
        <v>7628</v>
      </c>
      <c r="B2969" s="7" t="s">
        <v>6820</v>
      </c>
      <c r="C2969" s="7" t="n">
        <v>3</v>
      </c>
      <c r="D2969" s="7" t="s">
        <v>6818</v>
      </c>
      <c r="E2969" s="7" t="n">
        <v>1</v>
      </c>
      <c r="F2969" s="7" t="s">
        <v>58</v>
      </c>
      <c r="G2969" s="12" t="str">
        <f aca="false">IFERROR(INDEX('Semrush Data'!$A$1:$Z$20000,MATCH(A2969,'Semrush Data'!$A$1:$A$20000,0),MATCH("Volume",'Semrush Data'!$A$1:$Z$1,0)),"")</f>
        <v/>
      </c>
      <c r="H2969" s="7" t="str">
        <f aca="false">IFERROR(INDEX('Semrush Data'!$A$1:$Z$20000,MATCH(A2969,'Semrush Data'!$A$1:$A$20000,0),MATCH("Keyword Difficulty*",'Semrush Data'!$A$1:$Z$1,0)),"")</f>
        <v/>
      </c>
      <c r="I2969" s="13" t="str">
        <f aca="false">IFERROR(INDEX('Semrush Data'!$A$1:$Z$20000,MATCH(A2969,'Semrush Data'!$A$1:$A$20000,0),MATCH("CPC*",'Semrush Data'!$A$1:$Z$1,0)),"")</f>
        <v/>
      </c>
      <c r="J2969" s="7" t="str">
        <f aca="false">IFERROR(INDEX('Semrush Data'!$A$1:$Z$20000,MATCH(A2969,'Semrush Data'!$A$1:$A$20000,0),MATCH("Intent",'Semrush Data'!$A$1:$Z$1,0)),"")</f>
        <v/>
      </c>
    </row>
    <row r="2970" customFormat="false" ht="15" hidden="false" customHeight="true" outlineLevel="0" collapsed="false">
      <c r="A2970" s="7" t="s">
        <v>7629</v>
      </c>
      <c r="B2970" s="7" t="s">
        <v>6820</v>
      </c>
      <c r="C2970" s="7" t="n">
        <v>3</v>
      </c>
      <c r="D2970" s="7" t="s">
        <v>6818</v>
      </c>
      <c r="E2970" s="7" t="n">
        <v>1</v>
      </c>
      <c r="F2970" s="7" t="s">
        <v>58</v>
      </c>
      <c r="G2970" s="12" t="str">
        <f aca="false">IFERROR(INDEX('Semrush Data'!$A$1:$Z$20000,MATCH(A2970,'Semrush Data'!$A$1:$A$20000,0),MATCH("Volume",'Semrush Data'!$A$1:$Z$1,0)),"")</f>
        <v/>
      </c>
      <c r="H2970" s="7" t="str">
        <f aca="false">IFERROR(INDEX('Semrush Data'!$A$1:$Z$20000,MATCH(A2970,'Semrush Data'!$A$1:$A$20000,0),MATCH("Keyword Difficulty*",'Semrush Data'!$A$1:$Z$1,0)),"")</f>
        <v/>
      </c>
      <c r="I2970" s="13" t="str">
        <f aca="false">IFERROR(INDEX('Semrush Data'!$A$1:$Z$20000,MATCH(A2970,'Semrush Data'!$A$1:$A$20000,0),MATCH("CPC*",'Semrush Data'!$A$1:$Z$1,0)),"")</f>
        <v/>
      </c>
      <c r="J2970" s="7" t="str">
        <f aca="false">IFERROR(INDEX('Semrush Data'!$A$1:$Z$20000,MATCH(A2970,'Semrush Data'!$A$1:$A$20000,0),MATCH("Intent",'Semrush Data'!$A$1:$Z$1,0)),"")</f>
        <v/>
      </c>
    </row>
    <row r="2971" customFormat="false" ht="15" hidden="false" customHeight="true" outlineLevel="0" collapsed="false">
      <c r="A2971" s="7" t="s">
        <v>7630</v>
      </c>
      <c r="B2971" s="7" t="s">
        <v>6820</v>
      </c>
      <c r="C2971" s="7" t="n">
        <v>3</v>
      </c>
      <c r="D2971" s="7" t="n">
        <v>30</v>
      </c>
      <c r="E2971" s="7" t="n">
        <v>1</v>
      </c>
      <c r="F2971" s="7" t="s">
        <v>4742</v>
      </c>
      <c r="G2971" s="12" t="str">
        <f aca="false">IFERROR(INDEX('Semrush Data'!$A$1:$Z$20000,MATCH(A2971,'Semrush Data'!$A$1:$A$20000,0),MATCH("Volume",'Semrush Data'!$A$1:$Z$1,0)),"")</f>
        <v/>
      </c>
      <c r="H2971" s="7" t="str">
        <f aca="false">IFERROR(INDEX('Semrush Data'!$A$1:$Z$20000,MATCH(A2971,'Semrush Data'!$A$1:$A$20000,0),MATCH("Keyword Difficulty*",'Semrush Data'!$A$1:$Z$1,0)),"")</f>
        <v/>
      </c>
      <c r="I2971" s="13" t="str">
        <f aca="false">IFERROR(INDEX('Semrush Data'!$A$1:$Z$20000,MATCH(A2971,'Semrush Data'!$A$1:$A$20000,0),MATCH("CPC*",'Semrush Data'!$A$1:$Z$1,0)),"")</f>
        <v/>
      </c>
      <c r="J2971" s="7" t="str">
        <f aca="false">IFERROR(INDEX('Semrush Data'!$A$1:$Z$20000,MATCH(A2971,'Semrush Data'!$A$1:$A$20000,0),MATCH("Intent",'Semrush Data'!$A$1:$Z$1,0)),"")</f>
        <v/>
      </c>
    </row>
    <row r="2972" customFormat="false" ht="15" hidden="false" customHeight="true" outlineLevel="0" collapsed="false">
      <c r="A2972" s="7" t="s">
        <v>7631</v>
      </c>
      <c r="B2972" s="7" t="s">
        <v>6820</v>
      </c>
      <c r="C2972" s="7" t="n">
        <v>3</v>
      </c>
      <c r="D2972" s="7" t="n">
        <v>30</v>
      </c>
      <c r="E2972" s="7" t="n">
        <v>1</v>
      </c>
      <c r="F2972" s="7" t="s">
        <v>5462</v>
      </c>
      <c r="G2972" s="12" t="str">
        <f aca="false">IFERROR(INDEX('Semrush Data'!$A$1:$Z$20000,MATCH(A2972,'Semrush Data'!$A$1:$A$20000,0),MATCH("Volume",'Semrush Data'!$A$1:$Z$1,0)),"")</f>
        <v/>
      </c>
      <c r="H2972" s="7" t="str">
        <f aca="false">IFERROR(INDEX('Semrush Data'!$A$1:$Z$20000,MATCH(A2972,'Semrush Data'!$A$1:$A$20000,0),MATCH("Keyword Difficulty*",'Semrush Data'!$A$1:$Z$1,0)),"")</f>
        <v/>
      </c>
      <c r="I2972" s="13" t="str">
        <f aca="false">IFERROR(INDEX('Semrush Data'!$A$1:$Z$20000,MATCH(A2972,'Semrush Data'!$A$1:$A$20000,0),MATCH("CPC*",'Semrush Data'!$A$1:$Z$1,0)),"")</f>
        <v/>
      </c>
      <c r="J2972" s="7" t="str">
        <f aca="false">IFERROR(INDEX('Semrush Data'!$A$1:$Z$20000,MATCH(A2972,'Semrush Data'!$A$1:$A$20000,0),MATCH("Intent",'Semrush Data'!$A$1:$Z$1,0)),"")</f>
        <v/>
      </c>
    </row>
    <row r="2973" customFormat="false" ht="15" hidden="false" customHeight="true" outlineLevel="0" collapsed="false">
      <c r="A2973" s="7" t="s">
        <v>7632</v>
      </c>
      <c r="B2973" s="7" t="s">
        <v>6820</v>
      </c>
      <c r="C2973" s="7" t="n">
        <v>3</v>
      </c>
      <c r="D2973" s="7" t="n">
        <v>30</v>
      </c>
      <c r="E2973" s="7" t="n">
        <v>1</v>
      </c>
      <c r="F2973" s="7" t="s">
        <v>5462</v>
      </c>
      <c r="G2973" s="12" t="str">
        <f aca="false">IFERROR(INDEX('Semrush Data'!$A$1:$Z$20000,MATCH(A2973,'Semrush Data'!$A$1:$A$20000,0),MATCH("Volume",'Semrush Data'!$A$1:$Z$1,0)),"")</f>
        <v/>
      </c>
      <c r="H2973" s="7" t="str">
        <f aca="false">IFERROR(INDEX('Semrush Data'!$A$1:$Z$20000,MATCH(A2973,'Semrush Data'!$A$1:$A$20000,0),MATCH("Keyword Difficulty*",'Semrush Data'!$A$1:$Z$1,0)),"")</f>
        <v/>
      </c>
      <c r="I2973" s="13" t="str">
        <f aca="false">IFERROR(INDEX('Semrush Data'!$A$1:$Z$20000,MATCH(A2973,'Semrush Data'!$A$1:$A$20000,0),MATCH("CPC*",'Semrush Data'!$A$1:$Z$1,0)),"")</f>
        <v/>
      </c>
      <c r="J2973" s="7" t="str">
        <f aca="false">IFERROR(INDEX('Semrush Data'!$A$1:$Z$20000,MATCH(A2973,'Semrush Data'!$A$1:$A$20000,0),MATCH("Intent",'Semrush Data'!$A$1:$Z$1,0)),"")</f>
        <v/>
      </c>
    </row>
    <row r="2974" customFormat="false" ht="15" hidden="false" customHeight="true" outlineLevel="0" collapsed="false">
      <c r="A2974" s="7" t="s">
        <v>7633</v>
      </c>
      <c r="B2974" s="7" t="s">
        <v>6820</v>
      </c>
      <c r="C2974" s="7" t="n">
        <v>3</v>
      </c>
      <c r="D2974" s="7" t="n">
        <v>30</v>
      </c>
      <c r="E2974" s="7" t="n">
        <v>1</v>
      </c>
      <c r="F2974" s="7" t="s">
        <v>5462</v>
      </c>
      <c r="G2974" s="12" t="str">
        <f aca="false">IFERROR(INDEX('Semrush Data'!$A$1:$Z$20000,MATCH(A2974,'Semrush Data'!$A$1:$A$20000,0),MATCH("Volume",'Semrush Data'!$A$1:$Z$1,0)),"")</f>
        <v/>
      </c>
      <c r="H2974" s="7" t="str">
        <f aca="false">IFERROR(INDEX('Semrush Data'!$A$1:$Z$20000,MATCH(A2974,'Semrush Data'!$A$1:$A$20000,0),MATCH("Keyword Difficulty*",'Semrush Data'!$A$1:$Z$1,0)),"")</f>
        <v/>
      </c>
      <c r="I2974" s="13" t="str">
        <f aca="false">IFERROR(INDEX('Semrush Data'!$A$1:$Z$20000,MATCH(A2974,'Semrush Data'!$A$1:$A$20000,0),MATCH("CPC*",'Semrush Data'!$A$1:$Z$1,0)),"")</f>
        <v/>
      </c>
      <c r="J2974" s="7" t="str">
        <f aca="false">IFERROR(INDEX('Semrush Data'!$A$1:$Z$20000,MATCH(A2974,'Semrush Data'!$A$1:$A$20000,0),MATCH("Intent",'Semrush Data'!$A$1:$Z$1,0)),"")</f>
        <v/>
      </c>
    </row>
    <row r="2975" customFormat="false" ht="15" hidden="false" customHeight="true" outlineLevel="0" collapsed="false">
      <c r="A2975" s="7" t="s">
        <v>7634</v>
      </c>
      <c r="B2975" s="7" t="s">
        <v>6820</v>
      </c>
      <c r="C2975" s="7" t="n">
        <v>3</v>
      </c>
      <c r="D2975" s="7" t="n">
        <v>30</v>
      </c>
      <c r="E2975" s="7" t="n">
        <v>1</v>
      </c>
      <c r="F2975" s="7" t="s">
        <v>5462</v>
      </c>
      <c r="G2975" s="12" t="str">
        <f aca="false">IFERROR(INDEX('Semrush Data'!$A$1:$Z$20000,MATCH(A2975,'Semrush Data'!$A$1:$A$20000,0),MATCH("Volume",'Semrush Data'!$A$1:$Z$1,0)),"")</f>
        <v/>
      </c>
      <c r="H2975" s="7" t="str">
        <f aca="false">IFERROR(INDEX('Semrush Data'!$A$1:$Z$20000,MATCH(A2975,'Semrush Data'!$A$1:$A$20000,0),MATCH("Keyword Difficulty*",'Semrush Data'!$A$1:$Z$1,0)),"")</f>
        <v/>
      </c>
      <c r="I2975" s="13" t="str">
        <f aca="false">IFERROR(INDEX('Semrush Data'!$A$1:$Z$20000,MATCH(A2975,'Semrush Data'!$A$1:$A$20000,0),MATCH("CPC*",'Semrush Data'!$A$1:$Z$1,0)),"")</f>
        <v/>
      </c>
      <c r="J2975" s="7" t="str">
        <f aca="false">IFERROR(INDEX('Semrush Data'!$A$1:$Z$20000,MATCH(A2975,'Semrush Data'!$A$1:$A$20000,0),MATCH("Intent",'Semrush Data'!$A$1:$Z$1,0)),"")</f>
        <v/>
      </c>
    </row>
    <row r="2976" customFormat="false" ht="15" hidden="false" customHeight="true" outlineLevel="0" collapsed="false">
      <c r="A2976" s="7" t="s">
        <v>7635</v>
      </c>
      <c r="B2976" s="7" t="s">
        <v>6820</v>
      </c>
      <c r="C2976" s="7" t="n">
        <v>3</v>
      </c>
      <c r="D2976" s="7" t="n">
        <v>30</v>
      </c>
      <c r="E2976" s="7" t="n">
        <v>1</v>
      </c>
      <c r="F2976" s="7" t="s">
        <v>5462</v>
      </c>
      <c r="G2976" s="12" t="str">
        <f aca="false">IFERROR(INDEX('Semrush Data'!$A$1:$Z$20000,MATCH(A2976,'Semrush Data'!$A$1:$A$20000,0),MATCH("Volume",'Semrush Data'!$A$1:$Z$1,0)),"")</f>
        <v/>
      </c>
      <c r="H2976" s="7" t="str">
        <f aca="false">IFERROR(INDEX('Semrush Data'!$A$1:$Z$20000,MATCH(A2976,'Semrush Data'!$A$1:$A$20000,0),MATCH("Keyword Difficulty*",'Semrush Data'!$A$1:$Z$1,0)),"")</f>
        <v/>
      </c>
      <c r="I2976" s="13" t="str">
        <f aca="false">IFERROR(INDEX('Semrush Data'!$A$1:$Z$20000,MATCH(A2976,'Semrush Data'!$A$1:$A$20000,0),MATCH("CPC*",'Semrush Data'!$A$1:$Z$1,0)),"")</f>
        <v/>
      </c>
      <c r="J2976" s="7" t="str">
        <f aca="false">IFERROR(INDEX('Semrush Data'!$A$1:$Z$20000,MATCH(A2976,'Semrush Data'!$A$1:$A$20000,0),MATCH("Intent",'Semrush Data'!$A$1:$Z$1,0)),"")</f>
        <v/>
      </c>
    </row>
    <row r="2977" customFormat="false" ht="15" hidden="false" customHeight="true" outlineLevel="0" collapsed="false">
      <c r="A2977" s="7" t="s">
        <v>7636</v>
      </c>
      <c r="B2977" s="7" t="s">
        <v>6820</v>
      </c>
      <c r="C2977" s="7" t="n">
        <v>3</v>
      </c>
      <c r="D2977" s="7" t="n">
        <v>30</v>
      </c>
      <c r="E2977" s="7" t="n">
        <v>1</v>
      </c>
      <c r="F2977" s="7" t="s">
        <v>5476</v>
      </c>
      <c r="G2977" s="12" t="str">
        <f aca="false">IFERROR(INDEX('Semrush Data'!$A$1:$Z$20000,MATCH(A2977,'Semrush Data'!$A$1:$A$20000,0),MATCH("Volume",'Semrush Data'!$A$1:$Z$1,0)),"")</f>
        <v/>
      </c>
      <c r="H2977" s="7" t="str">
        <f aca="false">IFERROR(INDEX('Semrush Data'!$A$1:$Z$20000,MATCH(A2977,'Semrush Data'!$A$1:$A$20000,0),MATCH("Keyword Difficulty*",'Semrush Data'!$A$1:$Z$1,0)),"")</f>
        <v/>
      </c>
      <c r="I2977" s="13" t="str">
        <f aca="false">IFERROR(INDEX('Semrush Data'!$A$1:$Z$20000,MATCH(A2977,'Semrush Data'!$A$1:$A$20000,0),MATCH("CPC*",'Semrush Data'!$A$1:$Z$1,0)),"")</f>
        <v/>
      </c>
      <c r="J2977" s="7" t="str">
        <f aca="false">IFERROR(INDEX('Semrush Data'!$A$1:$Z$20000,MATCH(A2977,'Semrush Data'!$A$1:$A$20000,0),MATCH("Intent",'Semrush Data'!$A$1:$Z$1,0)),"")</f>
        <v/>
      </c>
    </row>
    <row r="2978" customFormat="false" ht="15" hidden="false" customHeight="true" outlineLevel="0" collapsed="false">
      <c r="A2978" s="7" t="s">
        <v>7637</v>
      </c>
      <c r="B2978" s="7" t="s">
        <v>6820</v>
      </c>
      <c r="C2978" s="7" t="n">
        <v>3</v>
      </c>
      <c r="D2978" s="7" t="n">
        <v>30</v>
      </c>
      <c r="E2978" s="7" t="n">
        <v>1</v>
      </c>
      <c r="F2978" s="7" t="s">
        <v>5476</v>
      </c>
      <c r="G2978" s="12" t="str">
        <f aca="false">IFERROR(INDEX('Semrush Data'!$A$1:$Z$20000,MATCH(A2978,'Semrush Data'!$A$1:$A$20000,0),MATCH("Volume",'Semrush Data'!$A$1:$Z$1,0)),"")</f>
        <v/>
      </c>
      <c r="H2978" s="7" t="str">
        <f aca="false">IFERROR(INDEX('Semrush Data'!$A$1:$Z$20000,MATCH(A2978,'Semrush Data'!$A$1:$A$20000,0),MATCH("Keyword Difficulty*",'Semrush Data'!$A$1:$Z$1,0)),"")</f>
        <v/>
      </c>
      <c r="I2978" s="13" t="str">
        <f aca="false">IFERROR(INDEX('Semrush Data'!$A$1:$Z$20000,MATCH(A2978,'Semrush Data'!$A$1:$A$20000,0),MATCH("CPC*",'Semrush Data'!$A$1:$Z$1,0)),"")</f>
        <v/>
      </c>
      <c r="J2978" s="7" t="str">
        <f aca="false">IFERROR(INDEX('Semrush Data'!$A$1:$Z$20000,MATCH(A2978,'Semrush Data'!$A$1:$A$20000,0),MATCH("Intent",'Semrush Data'!$A$1:$Z$1,0)),"")</f>
        <v/>
      </c>
    </row>
    <row r="2979" customFormat="false" ht="15" hidden="false" customHeight="true" outlineLevel="0" collapsed="false">
      <c r="A2979" s="7" t="s">
        <v>7638</v>
      </c>
      <c r="B2979" s="7" t="s">
        <v>6820</v>
      </c>
      <c r="C2979" s="7" t="n">
        <v>3</v>
      </c>
      <c r="D2979" s="7" t="n">
        <v>30</v>
      </c>
      <c r="E2979" s="7" t="n">
        <v>1</v>
      </c>
      <c r="F2979" s="7" t="s">
        <v>5476</v>
      </c>
      <c r="G2979" s="12" t="str">
        <f aca="false">IFERROR(INDEX('Semrush Data'!$A$1:$Z$20000,MATCH(A2979,'Semrush Data'!$A$1:$A$20000,0),MATCH("Volume",'Semrush Data'!$A$1:$Z$1,0)),"")</f>
        <v/>
      </c>
      <c r="H2979" s="7" t="str">
        <f aca="false">IFERROR(INDEX('Semrush Data'!$A$1:$Z$20000,MATCH(A2979,'Semrush Data'!$A$1:$A$20000,0),MATCH("Keyword Difficulty*",'Semrush Data'!$A$1:$Z$1,0)),"")</f>
        <v/>
      </c>
      <c r="I2979" s="13" t="str">
        <f aca="false">IFERROR(INDEX('Semrush Data'!$A$1:$Z$20000,MATCH(A2979,'Semrush Data'!$A$1:$A$20000,0),MATCH("CPC*",'Semrush Data'!$A$1:$Z$1,0)),"")</f>
        <v/>
      </c>
      <c r="J2979" s="7" t="str">
        <f aca="false">IFERROR(INDEX('Semrush Data'!$A$1:$Z$20000,MATCH(A2979,'Semrush Data'!$A$1:$A$20000,0),MATCH("Intent",'Semrush Data'!$A$1:$Z$1,0)),"")</f>
        <v/>
      </c>
    </row>
    <row r="2980" customFormat="false" ht="15" hidden="false" customHeight="true" outlineLevel="0" collapsed="false">
      <c r="A2980" s="7" t="s">
        <v>7639</v>
      </c>
      <c r="B2980" s="7" t="s">
        <v>6820</v>
      </c>
      <c r="C2980" s="7" t="n">
        <v>3</v>
      </c>
      <c r="D2980" s="7" t="n">
        <v>30</v>
      </c>
      <c r="E2980" s="7" t="n">
        <v>1</v>
      </c>
      <c r="F2980" s="7" t="s">
        <v>5476</v>
      </c>
      <c r="G2980" s="12" t="str">
        <f aca="false">IFERROR(INDEX('Semrush Data'!$A$1:$Z$20000,MATCH(A2980,'Semrush Data'!$A$1:$A$20000,0),MATCH("Volume",'Semrush Data'!$A$1:$Z$1,0)),"")</f>
        <v/>
      </c>
      <c r="H2980" s="7" t="str">
        <f aca="false">IFERROR(INDEX('Semrush Data'!$A$1:$Z$20000,MATCH(A2980,'Semrush Data'!$A$1:$A$20000,0),MATCH("Keyword Difficulty*",'Semrush Data'!$A$1:$Z$1,0)),"")</f>
        <v/>
      </c>
      <c r="I2980" s="13" t="str">
        <f aca="false">IFERROR(INDEX('Semrush Data'!$A$1:$Z$20000,MATCH(A2980,'Semrush Data'!$A$1:$A$20000,0),MATCH("CPC*",'Semrush Data'!$A$1:$Z$1,0)),"")</f>
        <v/>
      </c>
      <c r="J2980" s="7" t="str">
        <f aca="false">IFERROR(INDEX('Semrush Data'!$A$1:$Z$20000,MATCH(A2980,'Semrush Data'!$A$1:$A$20000,0),MATCH("Intent",'Semrush Data'!$A$1:$Z$1,0)),"")</f>
        <v/>
      </c>
    </row>
    <row r="2981" customFormat="false" ht="15" hidden="false" customHeight="true" outlineLevel="0" collapsed="false">
      <c r="A2981" s="7" t="s">
        <v>7640</v>
      </c>
      <c r="B2981" s="7" t="s">
        <v>6820</v>
      </c>
      <c r="C2981" s="7" t="n">
        <v>3</v>
      </c>
      <c r="D2981" s="7" t="n">
        <v>30</v>
      </c>
      <c r="E2981" s="7" t="n">
        <v>1</v>
      </c>
      <c r="F2981" s="7" t="s">
        <v>5476</v>
      </c>
      <c r="G2981" s="12" t="str">
        <f aca="false">IFERROR(INDEX('Semrush Data'!$A$1:$Z$20000,MATCH(A2981,'Semrush Data'!$A$1:$A$20000,0),MATCH("Volume",'Semrush Data'!$A$1:$Z$1,0)),"")</f>
        <v/>
      </c>
      <c r="H2981" s="7" t="str">
        <f aca="false">IFERROR(INDEX('Semrush Data'!$A$1:$Z$20000,MATCH(A2981,'Semrush Data'!$A$1:$A$20000,0),MATCH("Keyword Difficulty*",'Semrush Data'!$A$1:$Z$1,0)),"")</f>
        <v/>
      </c>
      <c r="I2981" s="13" t="str">
        <f aca="false">IFERROR(INDEX('Semrush Data'!$A$1:$Z$20000,MATCH(A2981,'Semrush Data'!$A$1:$A$20000,0),MATCH("CPC*",'Semrush Data'!$A$1:$Z$1,0)),"")</f>
        <v/>
      </c>
      <c r="J2981" s="7" t="str">
        <f aca="false">IFERROR(INDEX('Semrush Data'!$A$1:$Z$20000,MATCH(A2981,'Semrush Data'!$A$1:$A$20000,0),MATCH("Intent",'Semrush Data'!$A$1:$Z$1,0)),"")</f>
        <v/>
      </c>
    </row>
    <row r="2982" customFormat="false" ht="15" hidden="false" customHeight="true" outlineLevel="0" collapsed="false">
      <c r="A2982" s="7" t="s">
        <v>7641</v>
      </c>
      <c r="B2982" s="7" t="s">
        <v>6820</v>
      </c>
      <c r="C2982" s="7" t="n">
        <v>3</v>
      </c>
      <c r="D2982" s="7" t="n">
        <v>30</v>
      </c>
      <c r="E2982" s="7" t="n">
        <v>2</v>
      </c>
      <c r="F2982" s="7" t="s">
        <v>6808</v>
      </c>
      <c r="G2982" s="12" t="str">
        <f aca="false">IFERROR(INDEX('Semrush Data'!$A$1:$Z$20000,MATCH(A2982,'Semrush Data'!$A$1:$A$20000,0),MATCH("Volume",'Semrush Data'!$A$1:$Z$1,0)),"")</f>
        <v/>
      </c>
      <c r="H2982" s="7" t="str">
        <f aca="false">IFERROR(INDEX('Semrush Data'!$A$1:$Z$20000,MATCH(A2982,'Semrush Data'!$A$1:$A$20000,0),MATCH("Keyword Difficulty*",'Semrush Data'!$A$1:$Z$1,0)),"")</f>
        <v/>
      </c>
      <c r="I2982" s="13" t="str">
        <f aca="false">IFERROR(INDEX('Semrush Data'!$A$1:$Z$20000,MATCH(A2982,'Semrush Data'!$A$1:$A$20000,0),MATCH("CPC*",'Semrush Data'!$A$1:$Z$1,0)),"")</f>
        <v/>
      </c>
      <c r="J2982" s="7" t="str">
        <f aca="false">IFERROR(INDEX('Semrush Data'!$A$1:$Z$20000,MATCH(A2982,'Semrush Data'!$A$1:$A$20000,0),MATCH("Intent",'Semrush Data'!$A$1:$Z$1,0)),"")</f>
        <v/>
      </c>
    </row>
    <row r="2983" customFormat="false" ht="15" hidden="false" customHeight="true" outlineLevel="0" collapsed="false">
      <c r="A2983" s="7" t="s">
        <v>7642</v>
      </c>
      <c r="B2983" s="7" t="s">
        <v>6820</v>
      </c>
      <c r="C2983" s="7" t="n">
        <v>3</v>
      </c>
      <c r="D2983" s="7" t="n">
        <v>30</v>
      </c>
      <c r="E2983" s="7" t="n">
        <v>2</v>
      </c>
      <c r="F2983" s="7" t="s">
        <v>6808</v>
      </c>
      <c r="G2983" s="12" t="str">
        <f aca="false">IFERROR(INDEX('Semrush Data'!$A$1:$Z$20000,MATCH(A2983,'Semrush Data'!$A$1:$A$20000,0),MATCH("Volume",'Semrush Data'!$A$1:$Z$1,0)),"")</f>
        <v/>
      </c>
      <c r="H2983" s="7" t="str">
        <f aca="false">IFERROR(INDEX('Semrush Data'!$A$1:$Z$20000,MATCH(A2983,'Semrush Data'!$A$1:$A$20000,0),MATCH("Keyword Difficulty*",'Semrush Data'!$A$1:$Z$1,0)),"")</f>
        <v/>
      </c>
      <c r="I2983" s="13" t="str">
        <f aca="false">IFERROR(INDEX('Semrush Data'!$A$1:$Z$20000,MATCH(A2983,'Semrush Data'!$A$1:$A$20000,0),MATCH("CPC*",'Semrush Data'!$A$1:$Z$1,0)),"")</f>
        <v/>
      </c>
      <c r="J2983" s="7" t="str">
        <f aca="false">IFERROR(INDEX('Semrush Data'!$A$1:$Z$20000,MATCH(A2983,'Semrush Data'!$A$1:$A$20000,0),MATCH("Intent",'Semrush Data'!$A$1:$Z$1,0)),"")</f>
        <v/>
      </c>
    </row>
    <row r="2984" customFormat="false" ht="15" hidden="false" customHeight="true" outlineLevel="0" collapsed="false">
      <c r="A2984" s="7" t="s">
        <v>7643</v>
      </c>
      <c r="B2984" s="7" t="s">
        <v>6820</v>
      </c>
      <c r="C2984" s="7" t="n">
        <v>3</v>
      </c>
      <c r="D2984" s="7" t="s">
        <v>6818</v>
      </c>
      <c r="E2984" s="7" t="n">
        <v>2</v>
      </c>
      <c r="F2984" s="7" t="s">
        <v>6808</v>
      </c>
      <c r="G2984" s="12" t="str">
        <f aca="false">IFERROR(INDEX('Semrush Data'!$A$1:$Z$20000,MATCH(A2984,'Semrush Data'!$A$1:$A$20000,0),MATCH("Volume",'Semrush Data'!$A$1:$Z$1,0)),"")</f>
        <v/>
      </c>
      <c r="H2984" s="7" t="str">
        <f aca="false">IFERROR(INDEX('Semrush Data'!$A$1:$Z$20000,MATCH(A2984,'Semrush Data'!$A$1:$A$20000,0),MATCH("Keyword Difficulty*",'Semrush Data'!$A$1:$Z$1,0)),"")</f>
        <v/>
      </c>
      <c r="I2984" s="13" t="str">
        <f aca="false">IFERROR(INDEX('Semrush Data'!$A$1:$Z$20000,MATCH(A2984,'Semrush Data'!$A$1:$A$20000,0),MATCH("CPC*",'Semrush Data'!$A$1:$Z$1,0)),"")</f>
        <v/>
      </c>
      <c r="J2984" s="7" t="str">
        <f aca="false">IFERROR(INDEX('Semrush Data'!$A$1:$Z$20000,MATCH(A2984,'Semrush Data'!$A$1:$A$20000,0),MATCH("Intent",'Semrush Data'!$A$1:$Z$1,0)),"")</f>
        <v/>
      </c>
    </row>
    <row r="2985" customFormat="false" ht="15" hidden="false" customHeight="true" outlineLevel="0" collapsed="false">
      <c r="A2985" s="7" t="s">
        <v>7644</v>
      </c>
      <c r="B2985" s="7" t="s">
        <v>6820</v>
      </c>
      <c r="C2985" s="7" t="n">
        <v>3</v>
      </c>
      <c r="D2985" s="7" t="s">
        <v>6818</v>
      </c>
      <c r="E2985" s="7" t="n">
        <v>2</v>
      </c>
      <c r="F2985" s="7" t="s">
        <v>6808</v>
      </c>
      <c r="G2985" s="12" t="str">
        <f aca="false">IFERROR(INDEX('Semrush Data'!$A$1:$Z$20000,MATCH(A2985,'Semrush Data'!$A$1:$A$20000,0),MATCH("Volume",'Semrush Data'!$A$1:$Z$1,0)),"")</f>
        <v/>
      </c>
      <c r="H2985" s="7" t="str">
        <f aca="false">IFERROR(INDEX('Semrush Data'!$A$1:$Z$20000,MATCH(A2985,'Semrush Data'!$A$1:$A$20000,0),MATCH("Keyword Difficulty*",'Semrush Data'!$A$1:$Z$1,0)),"")</f>
        <v/>
      </c>
      <c r="I2985" s="13" t="str">
        <f aca="false">IFERROR(INDEX('Semrush Data'!$A$1:$Z$20000,MATCH(A2985,'Semrush Data'!$A$1:$A$20000,0),MATCH("CPC*",'Semrush Data'!$A$1:$Z$1,0)),"")</f>
        <v/>
      </c>
      <c r="J2985" s="7" t="str">
        <f aca="false">IFERROR(INDEX('Semrush Data'!$A$1:$Z$20000,MATCH(A2985,'Semrush Data'!$A$1:$A$20000,0),MATCH("Intent",'Semrush Data'!$A$1:$Z$1,0)),"")</f>
        <v/>
      </c>
    </row>
    <row r="2986" customFormat="false" ht="15" hidden="false" customHeight="true" outlineLevel="0" collapsed="false">
      <c r="A2986" s="7" t="s">
        <v>7645</v>
      </c>
      <c r="B2986" s="7" t="s">
        <v>6820</v>
      </c>
      <c r="C2986" s="7" t="n">
        <v>3</v>
      </c>
      <c r="D2986" s="7" t="n">
        <v>30</v>
      </c>
      <c r="E2986" s="7" t="n">
        <v>1</v>
      </c>
      <c r="F2986" s="7" t="s">
        <v>5488</v>
      </c>
      <c r="G2986" s="12" t="str">
        <f aca="false">IFERROR(INDEX('Semrush Data'!$A$1:$Z$20000,MATCH(A2986,'Semrush Data'!$A$1:$A$20000,0),MATCH("Volume",'Semrush Data'!$A$1:$Z$1,0)),"")</f>
        <v/>
      </c>
      <c r="H2986" s="7" t="str">
        <f aca="false">IFERROR(INDEX('Semrush Data'!$A$1:$Z$20000,MATCH(A2986,'Semrush Data'!$A$1:$A$20000,0),MATCH("Keyword Difficulty*",'Semrush Data'!$A$1:$Z$1,0)),"")</f>
        <v/>
      </c>
      <c r="I2986" s="13" t="str">
        <f aca="false">IFERROR(INDEX('Semrush Data'!$A$1:$Z$20000,MATCH(A2986,'Semrush Data'!$A$1:$A$20000,0),MATCH("CPC*",'Semrush Data'!$A$1:$Z$1,0)),"")</f>
        <v/>
      </c>
      <c r="J2986" s="7" t="str">
        <f aca="false">IFERROR(INDEX('Semrush Data'!$A$1:$Z$20000,MATCH(A2986,'Semrush Data'!$A$1:$A$20000,0),MATCH("Intent",'Semrush Data'!$A$1:$Z$1,0)),"")</f>
        <v/>
      </c>
    </row>
    <row r="2987" customFormat="false" ht="15" hidden="false" customHeight="true" outlineLevel="0" collapsed="false">
      <c r="A2987" s="7" t="s">
        <v>7646</v>
      </c>
      <c r="B2987" s="7" t="s">
        <v>6820</v>
      </c>
      <c r="C2987" s="7" t="n">
        <v>3</v>
      </c>
      <c r="D2987" s="7" t="n">
        <v>30</v>
      </c>
      <c r="E2987" s="7" t="n">
        <v>1</v>
      </c>
      <c r="F2987" s="7" t="s">
        <v>5488</v>
      </c>
      <c r="G2987" s="12" t="str">
        <f aca="false">IFERROR(INDEX('Semrush Data'!$A$1:$Z$20000,MATCH(A2987,'Semrush Data'!$A$1:$A$20000,0),MATCH("Volume",'Semrush Data'!$A$1:$Z$1,0)),"")</f>
        <v/>
      </c>
      <c r="H2987" s="7" t="str">
        <f aca="false">IFERROR(INDEX('Semrush Data'!$A$1:$Z$20000,MATCH(A2987,'Semrush Data'!$A$1:$A$20000,0),MATCH("Keyword Difficulty*",'Semrush Data'!$A$1:$Z$1,0)),"")</f>
        <v/>
      </c>
      <c r="I2987" s="13" t="str">
        <f aca="false">IFERROR(INDEX('Semrush Data'!$A$1:$Z$20000,MATCH(A2987,'Semrush Data'!$A$1:$A$20000,0),MATCH("CPC*",'Semrush Data'!$A$1:$Z$1,0)),"")</f>
        <v/>
      </c>
      <c r="J2987" s="7" t="str">
        <f aca="false">IFERROR(INDEX('Semrush Data'!$A$1:$Z$20000,MATCH(A2987,'Semrush Data'!$A$1:$A$20000,0),MATCH("Intent",'Semrush Data'!$A$1:$Z$1,0)),"")</f>
        <v/>
      </c>
    </row>
    <row r="2988" customFormat="false" ht="15" hidden="false" customHeight="true" outlineLevel="0" collapsed="false">
      <c r="A2988" s="7" t="s">
        <v>7647</v>
      </c>
      <c r="B2988" s="7" t="s">
        <v>6820</v>
      </c>
      <c r="C2988" s="7" t="n">
        <v>3</v>
      </c>
      <c r="D2988" s="7" t="n">
        <v>30</v>
      </c>
      <c r="E2988" s="7" t="n">
        <v>1</v>
      </c>
      <c r="F2988" s="7" t="s">
        <v>5488</v>
      </c>
      <c r="G2988" s="12" t="str">
        <f aca="false">IFERROR(INDEX('Semrush Data'!$A$1:$Z$20000,MATCH(A2988,'Semrush Data'!$A$1:$A$20000,0),MATCH("Volume",'Semrush Data'!$A$1:$Z$1,0)),"")</f>
        <v/>
      </c>
      <c r="H2988" s="7" t="str">
        <f aca="false">IFERROR(INDEX('Semrush Data'!$A$1:$Z$20000,MATCH(A2988,'Semrush Data'!$A$1:$A$20000,0),MATCH("Keyword Difficulty*",'Semrush Data'!$A$1:$Z$1,0)),"")</f>
        <v/>
      </c>
      <c r="I2988" s="13" t="str">
        <f aca="false">IFERROR(INDEX('Semrush Data'!$A$1:$Z$20000,MATCH(A2988,'Semrush Data'!$A$1:$A$20000,0),MATCH("CPC*",'Semrush Data'!$A$1:$Z$1,0)),"")</f>
        <v/>
      </c>
      <c r="J2988" s="7" t="str">
        <f aca="false">IFERROR(INDEX('Semrush Data'!$A$1:$Z$20000,MATCH(A2988,'Semrush Data'!$A$1:$A$20000,0),MATCH("Intent",'Semrush Data'!$A$1:$Z$1,0)),"")</f>
        <v/>
      </c>
    </row>
    <row r="2989" customFormat="false" ht="15" hidden="false" customHeight="true" outlineLevel="0" collapsed="false">
      <c r="A2989" s="7" t="s">
        <v>7648</v>
      </c>
      <c r="B2989" s="7" t="s">
        <v>6820</v>
      </c>
      <c r="C2989" s="7" t="n">
        <v>3</v>
      </c>
      <c r="D2989" s="7" t="n">
        <v>30</v>
      </c>
      <c r="E2989" s="7" t="n">
        <v>1</v>
      </c>
      <c r="F2989" s="7" t="s">
        <v>5488</v>
      </c>
      <c r="G2989" s="12" t="str">
        <f aca="false">IFERROR(INDEX('Semrush Data'!$A$1:$Z$20000,MATCH(A2989,'Semrush Data'!$A$1:$A$20000,0),MATCH("Volume",'Semrush Data'!$A$1:$Z$1,0)),"")</f>
        <v/>
      </c>
      <c r="H2989" s="7" t="str">
        <f aca="false">IFERROR(INDEX('Semrush Data'!$A$1:$Z$20000,MATCH(A2989,'Semrush Data'!$A$1:$A$20000,0),MATCH("Keyword Difficulty*",'Semrush Data'!$A$1:$Z$1,0)),"")</f>
        <v/>
      </c>
      <c r="I2989" s="13" t="str">
        <f aca="false">IFERROR(INDEX('Semrush Data'!$A$1:$Z$20000,MATCH(A2989,'Semrush Data'!$A$1:$A$20000,0),MATCH("CPC*",'Semrush Data'!$A$1:$Z$1,0)),"")</f>
        <v/>
      </c>
      <c r="J2989" s="7" t="str">
        <f aca="false">IFERROR(INDEX('Semrush Data'!$A$1:$Z$20000,MATCH(A2989,'Semrush Data'!$A$1:$A$20000,0),MATCH("Intent",'Semrush Data'!$A$1:$Z$1,0)),"")</f>
        <v/>
      </c>
    </row>
    <row r="2990" customFormat="false" ht="15" hidden="false" customHeight="true" outlineLevel="0" collapsed="false">
      <c r="A2990" s="7" t="s">
        <v>7649</v>
      </c>
      <c r="B2990" s="7" t="s">
        <v>6820</v>
      </c>
      <c r="C2990" s="7" t="n">
        <v>3</v>
      </c>
      <c r="D2990" s="7" t="n">
        <v>30</v>
      </c>
      <c r="E2990" s="7" t="n">
        <v>1</v>
      </c>
      <c r="F2990" s="7" t="s">
        <v>5488</v>
      </c>
      <c r="G2990" s="12" t="str">
        <f aca="false">IFERROR(INDEX('Semrush Data'!$A$1:$Z$20000,MATCH(A2990,'Semrush Data'!$A$1:$A$20000,0),MATCH("Volume",'Semrush Data'!$A$1:$Z$1,0)),"")</f>
        <v/>
      </c>
      <c r="H2990" s="7" t="str">
        <f aca="false">IFERROR(INDEX('Semrush Data'!$A$1:$Z$20000,MATCH(A2990,'Semrush Data'!$A$1:$A$20000,0),MATCH("Keyword Difficulty*",'Semrush Data'!$A$1:$Z$1,0)),"")</f>
        <v/>
      </c>
      <c r="I2990" s="13" t="str">
        <f aca="false">IFERROR(INDEX('Semrush Data'!$A$1:$Z$20000,MATCH(A2990,'Semrush Data'!$A$1:$A$20000,0),MATCH("CPC*",'Semrush Data'!$A$1:$Z$1,0)),"")</f>
        <v/>
      </c>
      <c r="J2990" s="7" t="str">
        <f aca="false">IFERROR(INDEX('Semrush Data'!$A$1:$Z$20000,MATCH(A2990,'Semrush Data'!$A$1:$A$20000,0),MATCH("Intent",'Semrush Data'!$A$1:$Z$1,0)),"")</f>
        <v/>
      </c>
    </row>
    <row r="2991" customFormat="false" ht="15" hidden="false" customHeight="true" outlineLevel="0" collapsed="false">
      <c r="A2991" s="7" t="s">
        <v>7650</v>
      </c>
      <c r="B2991" s="7" t="s">
        <v>6820</v>
      </c>
      <c r="C2991" s="7" t="n">
        <v>3</v>
      </c>
      <c r="D2991" s="7" t="n">
        <v>30</v>
      </c>
      <c r="E2991" s="7" t="n">
        <v>1</v>
      </c>
      <c r="F2991" s="7" t="s">
        <v>5501</v>
      </c>
      <c r="G2991" s="12" t="str">
        <f aca="false">IFERROR(INDEX('Semrush Data'!$A$1:$Z$20000,MATCH(A2991,'Semrush Data'!$A$1:$A$20000,0),MATCH("Volume",'Semrush Data'!$A$1:$Z$1,0)),"")</f>
        <v/>
      </c>
      <c r="H2991" s="7" t="str">
        <f aca="false">IFERROR(INDEX('Semrush Data'!$A$1:$Z$20000,MATCH(A2991,'Semrush Data'!$A$1:$A$20000,0),MATCH("Keyword Difficulty*",'Semrush Data'!$A$1:$Z$1,0)),"")</f>
        <v/>
      </c>
      <c r="I2991" s="13" t="str">
        <f aca="false">IFERROR(INDEX('Semrush Data'!$A$1:$Z$20000,MATCH(A2991,'Semrush Data'!$A$1:$A$20000,0),MATCH("CPC*",'Semrush Data'!$A$1:$Z$1,0)),"")</f>
        <v/>
      </c>
      <c r="J2991" s="7" t="str">
        <f aca="false">IFERROR(INDEX('Semrush Data'!$A$1:$Z$20000,MATCH(A2991,'Semrush Data'!$A$1:$A$20000,0),MATCH("Intent",'Semrush Data'!$A$1:$Z$1,0)),"")</f>
        <v/>
      </c>
    </row>
    <row r="2992" customFormat="false" ht="15" hidden="false" customHeight="true" outlineLevel="0" collapsed="false">
      <c r="A2992" s="7" t="s">
        <v>7651</v>
      </c>
      <c r="B2992" s="7" t="s">
        <v>6820</v>
      </c>
      <c r="C2992" s="7" t="n">
        <v>3</v>
      </c>
      <c r="D2992" s="7" t="n">
        <v>30</v>
      </c>
      <c r="E2992" s="7" t="n">
        <v>1</v>
      </c>
      <c r="F2992" s="7" t="s">
        <v>5501</v>
      </c>
      <c r="G2992" s="12" t="str">
        <f aca="false">IFERROR(INDEX('Semrush Data'!$A$1:$Z$20000,MATCH(A2992,'Semrush Data'!$A$1:$A$20000,0),MATCH("Volume",'Semrush Data'!$A$1:$Z$1,0)),"")</f>
        <v/>
      </c>
      <c r="H2992" s="7" t="str">
        <f aca="false">IFERROR(INDEX('Semrush Data'!$A$1:$Z$20000,MATCH(A2992,'Semrush Data'!$A$1:$A$20000,0),MATCH("Keyword Difficulty*",'Semrush Data'!$A$1:$Z$1,0)),"")</f>
        <v/>
      </c>
      <c r="I2992" s="13" t="str">
        <f aca="false">IFERROR(INDEX('Semrush Data'!$A$1:$Z$20000,MATCH(A2992,'Semrush Data'!$A$1:$A$20000,0),MATCH("CPC*",'Semrush Data'!$A$1:$Z$1,0)),"")</f>
        <v/>
      </c>
      <c r="J2992" s="7" t="str">
        <f aca="false">IFERROR(INDEX('Semrush Data'!$A$1:$Z$20000,MATCH(A2992,'Semrush Data'!$A$1:$A$20000,0),MATCH("Intent",'Semrush Data'!$A$1:$Z$1,0)),"")</f>
        <v/>
      </c>
    </row>
    <row r="2993" customFormat="false" ht="15" hidden="false" customHeight="true" outlineLevel="0" collapsed="false">
      <c r="A2993" s="7" t="s">
        <v>7652</v>
      </c>
      <c r="B2993" s="7" t="s">
        <v>6820</v>
      </c>
      <c r="C2993" s="7" t="n">
        <v>3</v>
      </c>
      <c r="D2993" s="7" t="n">
        <v>30</v>
      </c>
      <c r="E2993" s="7" t="n">
        <v>1</v>
      </c>
      <c r="F2993" s="7" t="s">
        <v>5501</v>
      </c>
      <c r="G2993" s="12" t="str">
        <f aca="false">IFERROR(INDEX('Semrush Data'!$A$1:$Z$20000,MATCH(A2993,'Semrush Data'!$A$1:$A$20000,0),MATCH("Volume",'Semrush Data'!$A$1:$Z$1,0)),"")</f>
        <v/>
      </c>
      <c r="H2993" s="7" t="str">
        <f aca="false">IFERROR(INDEX('Semrush Data'!$A$1:$Z$20000,MATCH(A2993,'Semrush Data'!$A$1:$A$20000,0),MATCH("Keyword Difficulty*",'Semrush Data'!$A$1:$Z$1,0)),"")</f>
        <v/>
      </c>
      <c r="I2993" s="13" t="str">
        <f aca="false">IFERROR(INDEX('Semrush Data'!$A$1:$Z$20000,MATCH(A2993,'Semrush Data'!$A$1:$A$20000,0),MATCH("CPC*",'Semrush Data'!$A$1:$Z$1,0)),"")</f>
        <v/>
      </c>
      <c r="J2993" s="7" t="str">
        <f aca="false">IFERROR(INDEX('Semrush Data'!$A$1:$Z$20000,MATCH(A2993,'Semrush Data'!$A$1:$A$20000,0),MATCH("Intent",'Semrush Data'!$A$1:$Z$1,0)),"")</f>
        <v/>
      </c>
    </row>
    <row r="2994" customFormat="false" ht="15" hidden="false" customHeight="true" outlineLevel="0" collapsed="false">
      <c r="A2994" s="7" t="s">
        <v>7653</v>
      </c>
      <c r="B2994" s="7" t="s">
        <v>6820</v>
      </c>
      <c r="C2994" s="7" t="n">
        <v>3</v>
      </c>
      <c r="D2994" s="7" t="n">
        <v>30</v>
      </c>
      <c r="E2994" s="7" t="n">
        <v>1</v>
      </c>
      <c r="F2994" s="7" t="s">
        <v>5501</v>
      </c>
      <c r="G2994" s="12" t="str">
        <f aca="false">IFERROR(INDEX('Semrush Data'!$A$1:$Z$20000,MATCH(A2994,'Semrush Data'!$A$1:$A$20000,0),MATCH("Volume",'Semrush Data'!$A$1:$Z$1,0)),"")</f>
        <v/>
      </c>
      <c r="H2994" s="7" t="str">
        <f aca="false">IFERROR(INDEX('Semrush Data'!$A$1:$Z$20000,MATCH(A2994,'Semrush Data'!$A$1:$A$20000,0),MATCH("Keyword Difficulty*",'Semrush Data'!$A$1:$Z$1,0)),"")</f>
        <v/>
      </c>
      <c r="I2994" s="13" t="str">
        <f aca="false">IFERROR(INDEX('Semrush Data'!$A$1:$Z$20000,MATCH(A2994,'Semrush Data'!$A$1:$A$20000,0),MATCH("CPC*",'Semrush Data'!$A$1:$Z$1,0)),"")</f>
        <v/>
      </c>
      <c r="J2994" s="7" t="str">
        <f aca="false">IFERROR(INDEX('Semrush Data'!$A$1:$Z$20000,MATCH(A2994,'Semrush Data'!$A$1:$A$20000,0),MATCH("Intent",'Semrush Data'!$A$1:$Z$1,0)),"")</f>
        <v/>
      </c>
    </row>
    <row r="2995" customFormat="false" ht="15" hidden="false" customHeight="true" outlineLevel="0" collapsed="false">
      <c r="A2995" s="7" t="s">
        <v>7654</v>
      </c>
      <c r="B2995" s="7" t="s">
        <v>6820</v>
      </c>
      <c r="C2995" s="7" t="n">
        <v>3</v>
      </c>
      <c r="D2995" s="7" t="n">
        <v>30</v>
      </c>
      <c r="E2995" s="7" t="n">
        <v>1</v>
      </c>
      <c r="F2995" s="7" t="s">
        <v>5501</v>
      </c>
      <c r="G2995" s="12" t="str">
        <f aca="false">IFERROR(INDEX('Semrush Data'!$A$1:$Z$20000,MATCH(A2995,'Semrush Data'!$A$1:$A$20000,0),MATCH("Volume",'Semrush Data'!$A$1:$Z$1,0)),"")</f>
        <v/>
      </c>
      <c r="H2995" s="7" t="str">
        <f aca="false">IFERROR(INDEX('Semrush Data'!$A$1:$Z$20000,MATCH(A2995,'Semrush Data'!$A$1:$A$20000,0),MATCH("Keyword Difficulty*",'Semrush Data'!$A$1:$Z$1,0)),"")</f>
        <v/>
      </c>
      <c r="I2995" s="13" t="str">
        <f aca="false">IFERROR(INDEX('Semrush Data'!$A$1:$Z$20000,MATCH(A2995,'Semrush Data'!$A$1:$A$20000,0),MATCH("CPC*",'Semrush Data'!$A$1:$Z$1,0)),"")</f>
        <v/>
      </c>
      <c r="J2995" s="7" t="str">
        <f aca="false">IFERROR(INDEX('Semrush Data'!$A$1:$Z$20000,MATCH(A2995,'Semrush Data'!$A$1:$A$20000,0),MATCH("Intent",'Semrush Data'!$A$1:$Z$1,0)),"")</f>
        <v/>
      </c>
    </row>
    <row r="2996" customFormat="false" ht="15" hidden="false" customHeight="true" outlineLevel="0" collapsed="false">
      <c r="A2996" s="7" t="s">
        <v>7655</v>
      </c>
      <c r="B2996" s="7" t="s">
        <v>6820</v>
      </c>
      <c r="C2996" s="7" t="n">
        <v>3</v>
      </c>
      <c r="D2996" s="7" t="n">
        <v>30</v>
      </c>
      <c r="E2996" s="7" t="n">
        <v>1</v>
      </c>
      <c r="F2996" s="7" t="s">
        <v>70</v>
      </c>
      <c r="G2996" s="12" t="str">
        <f aca="false">IFERROR(INDEX('Semrush Data'!$A$1:$Z$20000,MATCH(A2996,'Semrush Data'!$A$1:$A$20000,0),MATCH("Volume",'Semrush Data'!$A$1:$Z$1,0)),"")</f>
        <v/>
      </c>
      <c r="H2996" s="7" t="str">
        <f aca="false">IFERROR(INDEX('Semrush Data'!$A$1:$Z$20000,MATCH(A2996,'Semrush Data'!$A$1:$A$20000,0),MATCH("Keyword Difficulty*",'Semrush Data'!$A$1:$Z$1,0)),"")</f>
        <v/>
      </c>
      <c r="I2996" s="13" t="str">
        <f aca="false">IFERROR(INDEX('Semrush Data'!$A$1:$Z$20000,MATCH(A2996,'Semrush Data'!$A$1:$A$20000,0),MATCH("CPC*",'Semrush Data'!$A$1:$Z$1,0)),"")</f>
        <v/>
      </c>
      <c r="J2996" s="7" t="str">
        <f aca="false">IFERROR(INDEX('Semrush Data'!$A$1:$Z$20000,MATCH(A2996,'Semrush Data'!$A$1:$A$20000,0),MATCH("Intent",'Semrush Data'!$A$1:$Z$1,0)),"")</f>
        <v/>
      </c>
    </row>
    <row r="2997" customFormat="false" ht="15" hidden="false" customHeight="true" outlineLevel="0" collapsed="false">
      <c r="A2997" s="7" t="s">
        <v>7656</v>
      </c>
      <c r="B2997" s="7" t="s">
        <v>6820</v>
      </c>
      <c r="C2997" s="7" t="n">
        <v>3</v>
      </c>
      <c r="D2997" s="7" t="s">
        <v>6818</v>
      </c>
      <c r="E2997" s="7" t="n">
        <v>1</v>
      </c>
      <c r="F2997" s="7" t="s">
        <v>70</v>
      </c>
      <c r="G2997" s="12" t="str">
        <f aca="false">IFERROR(INDEX('Semrush Data'!$A$1:$Z$20000,MATCH(A2997,'Semrush Data'!$A$1:$A$20000,0),MATCH("Volume",'Semrush Data'!$A$1:$Z$1,0)),"")</f>
        <v/>
      </c>
      <c r="H2997" s="7" t="str">
        <f aca="false">IFERROR(INDEX('Semrush Data'!$A$1:$Z$20000,MATCH(A2997,'Semrush Data'!$A$1:$A$20000,0),MATCH("Keyword Difficulty*",'Semrush Data'!$A$1:$Z$1,0)),"")</f>
        <v/>
      </c>
      <c r="I2997" s="13" t="str">
        <f aca="false">IFERROR(INDEX('Semrush Data'!$A$1:$Z$20000,MATCH(A2997,'Semrush Data'!$A$1:$A$20000,0),MATCH("CPC*",'Semrush Data'!$A$1:$Z$1,0)),"")</f>
        <v/>
      </c>
      <c r="J2997" s="7" t="str">
        <f aca="false">IFERROR(INDEX('Semrush Data'!$A$1:$Z$20000,MATCH(A2997,'Semrush Data'!$A$1:$A$20000,0),MATCH("Intent",'Semrush Data'!$A$1:$Z$1,0)),"")</f>
        <v/>
      </c>
    </row>
    <row r="2998" customFormat="false" ht="15" hidden="false" customHeight="true" outlineLevel="0" collapsed="false">
      <c r="A2998" s="7" t="s">
        <v>7657</v>
      </c>
      <c r="B2998" s="7" t="s">
        <v>6820</v>
      </c>
      <c r="C2998" s="7" t="n">
        <v>3</v>
      </c>
      <c r="D2998" s="7" t="s">
        <v>6818</v>
      </c>
      <c r="E2998" s="7" t="n">
        <v>1</v>
      </c>
      <c r="F2998" s="7" t="s">
        <v>70</v>
      </c>
      <c r="G2998" s="12" t="str">
        <f aca="false">IFERROR(INDEX('Semrush Data'!$A$1:$Z$20000,MATCH(A2998,'Semrush Data'!$A$1:$A$20000,0),MATCH("Volume",'Semrush Data'!$A$1:$Z$1,0)),"")</f>
        <v/>
      </c>
      <c r="H2998" s="7" t="str">
        <f aca="false">IFERROR(INDEX('Semrush Data'!$A$1:$Z$20000,MATCH(A2998,'Semrush Data'!$A$1:$A$20000,0),MATCH("Keyword Difficulty*",'Semrush Data'!$A$1:$Z$1,0)),"")</f>
        <v/>
      </c>
      <c r="I2998" s="13" t="str">
        <f aca="false">IFERROR(INDEX('Semrush Data'!$A$1:$Z$20000,MATCH(A2998,'Semrush Data'!$A$1:$A$20000,0),MATCH("CPC*",'Semrush Data'!$A$1:$Z$1,0)),"")</f>
        <v/>
      </c>
      <c r="J2998" s="7" t="str">
        <f aca="false">IFERROR(INDEX('Semrush Data'!$A$1:$Z$20000,MATCH(A2998,'Semrush Data'!$A$1:$A$20000,0),MATCH("Intent",'Semrush Data'!$A$1:$Z$1,0)),"")</f>
        <v/>
      </c>
    </row>
    <row r="2999" customFormat="false" ht="15" hidden="false" customHeight="true" outlineLevel="0" collapsed="false">
      <c r="A2999" s="7" t="s">
        <v>7658</v>
      </c>
      <c r="B2999" s="7" t="s">
        <v>6820</v>
      </c>
      <c r="C2999" s="7" t="n">
        <v>3</v>
      </c>
      <c r="D2999" s="7" t="n">
        <v>30</v>
      </c>
      <c r="E2999" s="7" t="n">
        <v>1</v>
      </c>
      <c r="F2999" s="7" t="s">
        <v>5253</v>
      </c>
      <c r="G2999" s="12" t="str">
        <f aca="false">IFERROR(INDEX('Semrush Data'!$A$1:$Z$20000,MATCH(A2999,'Semrush Data'!$A$1:$A$20000,0),MATCH("Volume",'Semrush Data'!$A$1:$Z$1,0)),"")</f>
        <v/>
      </c>
      <c r="H2999" s="7" t="str">
        <f aca="false">IFERROR(INDEX('Semrush Data'!$A$1:$Z$20000,MATCH(A2999,'Semrush Data'!$A$1:$A$20000,0),MATCH("Keyword Difficulty*",'Semrush Data'!$A$1:$Z$1,0)),"")</f>
        <v/>
      </c>
      <c r="I2999" s="13" t="str">
        <f aca="false">IFERROR(INDEX('Semrush Data'!$A$1:$Z$20000,MATCH(A2999,'Semrush Data'!$A$1:$A$20000,0),MATCH("CPC*",'Semrush Data'!$A$1:$Z$1,0)),"")</f>
        <v/>
      </c>
      <c r="J2999" s="7" t="str">
        <f aca="false">IFERROR(INDEX('Semrush Data'!$A$1:$Z$20000,MATCH(A2999,'Semrush Data'!$A$1:$A$20000,0),MATCH("Intent",'Semrush Data'!$A$1:$Z$1,0)),"")</f>
        <v/>
      </c>
    </row>
    <row r="3000" customFormat="false" ht="15" hidden="false" customHeight="true" outlineLevel="0" collapsed="false">
      <c r="A3000" s="7" t="s">
        <v>7659</v>
      </c>
      <c r="B3000" s="7" t="s">
        <v>6820</v>
      </c>
      <c r="C3000" s="7" t="n">
        <v>3</v>
      </c>
      <c r="D3000" s="7" t="n">
        <v>30</v>
      </c>
      <c r="E3000" s="7" t="n">
        <v>1</v>
      </c>
      <c r="F3000" s="7" t="s">
        <v>2675</v>
      </c>
      <c r="G3000" s="12" t="str">
        <f aca="false">IFERROR(INDEX('Semrush Data'!$A$1:$Z$20000,MATCH(A3000,'Semrush Data'!$A$1:$A$20000,0),MATCH("Volume",'Semrush Data'!$A$1:$Z$1,0)),"")</f>
        <v/>
      </c>
      <c r="H3000" s="7" t="str">
        <f aca="false">IFERROR(INDEX('Semrush Data'!$A$1:$Z$20000,MATCH(A3000,'Semrush Data'!$A$1:$A$20000,0),MATCH("Keyword Difficulty*",'Semrush Data'!$A$1:$Z$1,0)),"")</f>
        <v/>
      </c>
      <c r="I3000" s="13" t="str">
        <f aca="false">IFERROR(INDEX('Semrush Data'!$A$1:$Z$20000,MATCH(A3000,'Semrush Data'!$A$1:$A$20000,0),MATCH("CPC*",'Semrush Data'!$A$1:$Z$1,0)),"")</f>
        <v/>
      </c>
      <c r="J3000" s="7" t="str">
        <f aca="false">IFERROR(INDEX('Semrush Data'!$A$1:$Z$20000,MATCH(A3000,'Semrush Data'!$A$1:$A$20000,0),MATCH("Intent",'Semrush Data'!$A$1:$Z$1,0)),"")</f>
        <v/>
      </c>
    </row>
    <row r="3001" customFormat="false" ht="15" hidden="false" customHeight="true" outlineLevel="0" collapsed="false">
      <c r="A3001" s="7" t="s">
        <v>7660</v>
      </c>
      <c r="B3001" s="7" t="s">
        <v>6820</v>
      </c>
      <c r="C3001" s="7" t="n">
        <v>3</v>
      </c>
      <c r="D3001" s="7" t="n">
        <v>30</v>
      </c>
      <c r="E3001" s="7" t="n">
        <v>1</v>
      </c>
      <c r="F3001" s="7" t="s">
        <v>4546</v>
      </c>
      <c r="G3001" s="12" t="str">
        <f aca="false">IFERROR(INDEX('Semrush Data'!$A$1:$Z$20000,MATCH(A3001,'Semrush Data'!$A$1:$A$20000,0),MATCH("Volume",'Semrush Data'!$A$1:$Z$1,0)),"")</f>
        <v/>
      </c>
      <c r="H3001" s="7" t="str">
        <f aca="false">IFERROR(INDEX('Semrush Data'!$A$1:$Z$20000,MATCH(A3001,'Semrush Data'!$A$1:$A$20000,0),MATCH("Keyword Difficulty*",'Semrush Data'!$A$1:$Z$1,0)),"")</f>
        <v/>
      </c>
      <c r="I3001" s="13" t="str">
        <f aca="false">IFERROR(INDEX('Semrush Data'!$A$1:$Z$20000,MATCH(A3001,'Semrush Data'!$A$1:$A$20000,0),MATCH("CPC*",'Semrush Data'!$A$1:$Z$1,0)),"")</f>
        <v/>
      </c>
      <c r="J3001" s="7" t="str">
        <f aca="false">IFERROR(INDEX('Semrush Data'!$A$1:$Z$20000,MATCH(A3001,'Semrush Data'!$A$1:$A$20000,0),MATCH("Intent",'Semrush Data'!$A$1:$Z$1,0)),"")</f>
        <v/>
      </c>
    </row>
    <row r="3002" customFormat="false" ht="15" hidden="false" customHeight="true" outlineLevel="0" collapsed="false">
      <c r="A3002" s="7" t="s">
        <v>7661</v>
      </c>
      <c r="B3002" s="7" t="s">
        <v>6820</v>
      </c>
      <c r="C3002" s="7" t="n">
        <v>3</v>
      </c>
      <c r="D3002" s="7" t="n">
        <v>31</v>
      </c>
      <c r="E3002" s="7" t="n">
        <v>1</v>
      </c>
      <c r="F3002" s="7" t="s">
        <v>4546</v>
      </c>
      <c r="G3002" s="12" t="str">
        <f aca="false">IFERROR(INDEX('Semrush Data'!$A$1:$Z$20000,MATCH(A3002,'Semrush Data'!$A$1:$A$20000,0),MATCH("Volume",'Semrush Data'!$A$1:$Z$1,0)),"")</f>
        <v/>
      </c>
      <c r="H3002" s="7" t="str">
        <f aca="false">IFERROR(INDEX('Semrush Data'!$A$1:$Z$20000,MATCH(A3002,'Semrush Data'!$A$1:$A$20000,0),MATCH("Keyword Difficulty*",'Semrush Data'!$A$1:$Z$1,0)),"")</f>
        <v/>
      </c>
      <c r="I3002" s="13" t="str">
        <f aca="false">IFERROR(INDEX('Semrush Data'!$A$1:$Z$20000,MATCH(A3002,'Semrush Data'!$A$1:$A$20000,0),MATCH("CPC*",'Semrush Data'!$A$1:$Z$1,0)),"")</f>
        <v/>
      </c>
      <c r="J3002" s="7" t="str">
        <f aca="false">IFERROR(INDEX('Semrush Data'!$A$1:$Z$20000,MATCH(A3002,'Semrush Data'!$A$1:$A$20000,0),MATCH("Intent",'Semrush Data'!$A$1:$Z$1,0)),"")</f>
        <v/>
      </c>
    </row>
    <row r="3003" customFormat="false" ht="15" hidden="false" customHeight="true" outlineLevel="0" collapsed="false">
      <c r="A3003" s="7" t="s">
        <v>7662</v>
      </c>
      <c r="B3003" s="7" t="s">
        <v>6820</v>
      </c>
      <c r="C3003" s="7" t="n">
        <v>3</v>
      </c>
      <c r="D3003" s="7" t="n">
        <v>31</v>
      </c>
      <c r="E3003" s="7" t="n">
        <v>1</v>
      </c>
      <c r="F3003" s="7" t="s">
        <v>4546</v>
      </c>
      <c r="G3003" s="12" t="str">
        <f aca="false">IFERROR(INDEX('Semrush Data'!$A$1:$Z$20000,MATCH(A3003,'Semrush Data'!$A$1:$A$20000,0),MATCH("Volume",'Semrush Data'!$A$1:$Z$1,0)),"")</f>
        <v/>
      </c>
      <c r="H3003" s="7" t="str">
        <f aca="false">IFERROR(INDEX('Semrush Data'!$A$1:$Z$20000,MATCH(A3003,'Semrush Data'!$A$1:$A$20000,0),MATCH("Keyword Difficulty*",'Semrush Data'!$A$1:$Z$1,0)),"")</f>
        <v/>
      </c>
      <c r="I3003" s="13" t="str">
        <f aca="false">IFERROR(INDEX('Semrush Data'!$A$1:$Z$20000,MATCH(A3003,'Semrush Data'!$A$1:$A$20000,0),MATCH("CPC*",'Semrush Data'!$A$1:$Z$1,0)),"")</f>
        <v/>
      </c>
      <c r="J3003" s="7" t="str">
        <f aca="false">IFERROR(INDEX('Semrush Data'!$A$1:$Z$20000,MATCH(A3003,'Semrush Data'!$A$1:$A$20000,0),MATCH("Intent",'Semrush Data'!$A$1:$Z$1,0)),"")</f>
        <v/>
      </c>
    </row>
    <row r="3004" customFormat="false" ht="15" hidden="false" customHeight="true" outlineLevel="0" collapsed="false">
      <c r="A3004" s="7" t="s">
        <v>7663</v>
      </c>
      <c r="B3004" s="7" t="s">
        <v>6820</v>
      </c>
      <c r="C3004" s="7" t="n">
        <v>3</v>
      </c>
      <c r="D3004" s="7" t="n">
        <v>31</v>
      </c>
      <c r="E3004" s="7" t="n">
        <v>1</v>
      </c>
      <c r="F3004" s="7" t="s">
        <v>5274</v>
      </c>
      <c r="G3004" s="12" t="str">
        <f aca="false">IFERROR(INDEX('Semrush Data'!$A$1:$Z$20000,MATCH(A3004,'Semrush Data'!$A$1:$A$20000,0),MATCH("Volume",'Semrush Data'!$A$1:$Z$1,0)),"")</f>
        <v/>
      </c>
      <c r="H3004" s="7" t="str">
        <f aca="false">IFERROR(INDEX('Semrush Data'!$A$1:$Z$20000,MATCH(A3004,'Semrush Data'!$A$1:$A$20000,0),MATCH("Keyword Difficulty*",'Semrush Data'!$A$1:$Z$1,0)),"")</f>
        <v/>
      </c>
      <c r="I3004" s="13" t="str">
        <f aca="false">IFERROR(INDEX('Semrush Data'!$A$1:$Z$20000,MATCH(A3004,'Semrush Data'!$A$1:$A$20000,0),MATCH("CPC*",'Semrush Data'!$A$1:$Z$1,0)),"")</f>
        <v/>
      </c>
      <c r="J3004" s="7" t="str">
        <f aca="false">IFERROR(INDEX('Semrush Data'!$A$1:$Z$20000,MATCH(A3004,'Semrush Data'!$A$1:$A$20000,0),MATCH("Intent",'Semrush Data'!$A$1:$Z$1,0)),"")</f>
        <v/>
      </c>
    </row>
    <row r="3005" customFormat="false" ht="15" hidden="false" customHeight="true" outlineLevel="0" collapsed="false">
      <c r="A3005" s="7" t="s">
        <v>7664</v>
      </c>
      <c r="B3005" s="7" t="s">
        <v>6820</v>
      </c>
      <c r="C3005" s="7" t="n">
        <v>3</v>
      </c>
      <c r="D3005" s="7" t="n">
        <v>31</v>
      </c>
      <c r="E3005" s="7" t="n">
        <v>1</v>
      </c>
      <c r="F3005" s="7" t="s">
        <v>5319</v>
      </c>
      <c r="G3005" s="12" t="str">
        <f aca="false">IFERROR(INDEX('Semrush Data'!$A$1:$Z$20000,MATCH(A3005,'Semrush Data'!$A$1:$A$20000,0),MATCH("Volume",'Semrush Data'!$A$1:$Z$1,0)),"")</f>
        <v/>
      </c>
      <c r="H3005" s="7" t="str">
        <f aca="false">IFERROR(INDEX('Semrush Data'!$A$1:$Z$20000,MATCH(A3005,'Semrush Data'!$A$1:$A$20000,0),MATCH("Keyword Difficulty*",'Semrush Data'!$A$1:$Z$1,0)),"")</f>
        <v/>
      </c>
      <c r="I3005" s="13" t="str">
        <f aca="false">IFERROR(INDEX('Semrush Data'!$A$1:$Z$20000,MATCH(A3005,'Semrush Data'!$A$1:$A$20000,0),MATCH("CPC*",'Semrush Data'!$A$1:$Z$1,0)),"")</f>
        <v/>
      </c>
      <c r="J3005" s="7" t="str">
        <f aca="false">IFERROR(INDEX('Semrush Data'!$A$1:$Z$20000,MATCH(A3005,'Semrush Data'!$A$1:$A$20000,0),MATCH("Intent",'Semrush Data'!$A$1:$Z$1,0)),"")</f>
        <v/>
      </c>
    </row>
    <row r="3006" customFormat="false" ht="15" hidden="false" customHeight="true" outlineLevel="0" collapsed="false">
      <c r="A3006" s="7" t="s">
        <v>7665</v>
      </c>
      <c r="B3006" s="7" t="s">
        <v>6820</v>
      </c>
      <c r="C3006" s="7" t="n">
        <v>3</v>
      </c>
      <c r="D3006" s="7" t="n">
        <v>31</v>
      </c>
      <c r="E3006" s="7" t="n">
        <v>1</v>
      </c>
      <c r="F3006" s="7" t="s">
        <v>5611</v>
      </c>
      <c r="G3006" s="12" t="str">
        <f aca="false">IFERROR(INDEX('Semrush Data'!$A$1:$Z$20000,MATCH(A3006,'Semrush Data'!$A$1:$A$20000,0),MATCH("Volume",'Semrush Data'!$A$1:$Z$1,0)),"")</f>
        <v/>
      </c>
      <c r="H3006" s="7" t="str">
        <f aca="false">IFERROR(INDEX('Semrush Data'!$A$1:$Z$20000,MATCH(A3006,'Semrush Data'!$A$1:$A$20000,0),MATCH("Keyword Difficulty*",'Semrush Data'!$A$1:$Z$1,0)),"")</f>
        <v/>
      </c>
      <c r="I3006" s="13" t="str">
        <f aca="false">IFERROR(INDEX('Semrush Data'!$A$1:$Z$20000,MATCH(A3006,'Semrush Data'!$A$1:$A$20000,0),MATCH("CPC*",'Semrush Data'!$A$1:$Z$1,0)),"")</f>
        <v/>
      </c>
      <c r="J3006" s="7" t="str">
        <f aca="false">IFERROR(INDEX('Semrush Data'!$A$1:$Z$20000,MATCH(A3006,'Semrush Data'!$A$1:$A$20000,0),MATCH("Intent",'Semrush Data'!$A$1:$Z$1,0)),"")</f>
        <v/>
      </c>
    </row>
    <row r="3007" customFormat="false" ht="15" hidden="false" customHeight="true" outlineLevel="0" collapsed="false">
      <c r="A3007" s="7" t="s">
        <v>7666</v>
      </c>
      <c r="B3007" s="7" t="s">
        <v>6820</v>
      </c>
      <c r="C3007" s="7" t="n">
        <v>3</v>
      </c>
      <c r="D3007" s="7" t="n">
        <v>31</v>
      </c>
      <c r="E3007" s="7" t="n">
        <v>1</v>
      </c>
      <c r="F3007" s="7" t="s">
        <v>5611</v>
      </c>
      <c r="G3007" s="12" t="str">
        <f aca="false">IFERROR(INDEX('Semrush Data'!$A$1:$Z$20000,MATCH(A3007,'Semrush Data'!$A$1:$A$20000,0),MATCH("Volume",'Semrush Data'!$A$1:$Z$1,0)),"")</f>
        <v/>
      </c>
      <c r="H3007" s="7" t="str">
        <f aca="false">IFERROR(INDEX('Semrush Data'!$A$1:$Z$20000,MATCH(A3007,'Semrush Data'!$A$1:$A$20000,0),MATCH("Keyword Difficulty*",'Semrush Data'!$A$1:$Z$1,0)),"")</f>
        <v/>
      </c>
      <c r="I3007" s="13" t="str">
        <f aca="false">IFERROR(INDEX('Semrush Data'!$A$1:$Z$20000,MATCH(A3007,'Semrush Data'!$A$1:$A$20000,0),MATCH("CPC*",'Semrush Data'!$A$1:$Z$1,0)),"")</f>
        <v/>
      </c>
      <c r="J3007" s="7" t="str">
        <f aca="false">IFERROR(INDEX('Semrush Data'!$A$1:$Z$20000,MATCH(A3007,'Semrush Data'!$A$1:$A$20000,0),MATCH("Intent",'Semrush Data'!$A$1:$Z$1,0)),"")</f>
        <v/>
      </c>
    </row>
    <row r="3008" customFormat="false" ht="15" hidden="false" customHeight="true" outlineLevel="0" collapsed="false">
      <c r="A3008" s="7" t="s">
        <v>7667</v>
      </c>
      <c r="B3008" s="7" t="s">
        <v>6820</v>
      </c>
      <c r="C3008" s="7" t="n">
        <v>3</v>
      </c>
      <c r="D3008" s="7" t="n">
        <v>31</v>
      </c>
      <c r="E3008" s="7" t="n">
        <v>1</v>
      </c>
      <c r="F3008" s="7" t="s">
        <v>5611</v>
      </c>
      <c r="G3008" s="12" t="str">
        <f aca="false">IFERROR(INDEX('Semrush Data'!$A$1:$Z$20000,MATCH(A3008,'Semrush Data'!$A$1:$A$20000,0),MATCH("Volume",'Semrush Data'!$A$1:$Z$1,0)),"")</f>
        <v/>
      </c>
      <c r="H3008" s="7" t="str">
        <f aca="false">IFERROR(INDEX('Semrush Data'!$A$1:$Z$20000,MATCH(A3008,'Semrush Data'!$A$1:$A$20000,0),MATCH("Keyword Difficulty*",'Semrush Data'!$A$1:$Z$1,0)),"")</f>
        <v/>
      </c>
      <c r="I3008" s="13" t="str">
        <f aca="false">IFERROR(INDEX('Semrush Data'!$A$1:$Z$20000,MATCH(A3008,'Semrush Data'!$A$1:$A$20000,0),MATCH("CPC*",'Semrush Data'!$A$1:$Z$1,0)),"")</f>
        <v/>
      </c>
      <c r="J3008" s="7" t="str">
        <f aca="false">IFERROR(INDEX('Semrush Data'!$A$1:$Z$20000,MATCH(A3008,'Semrush Data'!$A$1:$A$20000,0),MATCH("Intent",'Semrush Data'!$A$1:$Z$1,0)),"")</f>
        <v/>
      </c>
    </row>
    <row r="3009" customFormat="false" ht="15" hidden="false" customHeight="true" outlineLevel="0" collapsed="false">
      <c r="A3009" s="7" t="s">
        <v>7668</v>
      </c>
      <c r="B3009" s="7" t="s">
        <v>6820</v>
      </c>
      <c r="C3009" s="7" t="n">
        <v>3</v>
      </c>
      <c r="D3009" s="7" t="n">
        <v>31</v>
      </c>
      <c r="E3009" s="7" t="n">
        <v>1</v>
      </c>
      <c r="F3009" s="7" t="s">
        <v>5611</v>
      </c>
      <c r="G3009" s="12" t="str">
        <f aca="false">IFERROR(INDEX('Semrush Data'!$A$1:$Z$20000,MATCH(A3009,'Semrush Data'!$A$1:$A$20000,0),MATCH("Volume",'Semrush Data'!$A$1:$Z$1,0)),"")</f>
        <v/>
      </c>
      <c r="H3009" s="7" t="str">
        <f aca="false">IFERROR(INDEX('Semrush Data'!$A$1:$Z$20000,MATCH(A3009,'Semrush Data'!$A$1:$A$20000,0),MATCH("Keyword Difficulty*",'Semrush Data'!$A$1:$Z$1,0)),"")</f>
        <v/>
      </c>
      <c r="I3009" s="13" t="str">
        <f aca="false">IFERROR(INDEX('Semrush Data'!$A$1:$Z$20000,MATCH(A3009,'Semrush Data'!$A$1:$A$20000,0),MATCH("CPC*",'Semrush Data'!$A$1:$Z$1,0)),"")</f>
        <v/>
      </c>
      <c r="J3009" s="7" t="str">
        <f aca="false">IFERROR(INDEX('Semrush Data'!$A$1:$Z$20000,MATCH(A3009,'Semrush Data'!$A$1:$A$20000,0),MATCH("Intent",'Semrush Data'!$A$1:$Z$1,0)),"")</f>
        <v/>
      </c>
    </row>
    <row r="3010" customFormat="false" ht="15" hidden="false" customHeight="true" outlineLevel="0" collapsed="false">
      <c r="A3010" s="7" t="s">
        <v>7669</v>
      </c>
      <c r="B3010" s="7" t="s">
        <v>6820</v>
      </c>
      <c r="C3010" s="7" t="n">
        <v>3</v>
      </c>
      <c r="D3010" s="7" t="n">
        <v>31</v>
      </c>
      <c r="E3010" s="7" t="n">
        <v>1</v>
      </c>
      <c r="F3010" s="7" t="s">
        <v>5635</v>
      </c>
      <c r="G3010" s="12" t="str">
        <f aca="false">IFERROR(INDEX('Semrush Data'!$A$1:$Z$20000,MATCH(A3010,'Semrush Data'!$A$1:$A$20000,0),MATCH("Volume",'Semrush Data'!$A$1:$Z$1,0)),"")</f>
        <v/>
      </c>
      <c r="H3010" s="7" t="str">
        <f aca="false">IFERROR(INDEX('Semrush Data'!$A$1:$Z$20000,MATCH(A3010,'Semrush Data'!$A$1:$A$20000,0),MATCH("Keyword Difficulty*",'Semrush Data'!$A$1:$Z$1,0)),"")</f>
        <v/>
      </c>
      <c r="I3010" s="13" t="str">
        <f aca="false">IFERROR(INDEX('Semrush Data'!$A$1:$Z$20000,MATCH(A3010,'Semrush Data'!$A$1:$A$20000,0),MATCH("CPC*",'Semrush Data'!$A$1:$Z$1,0)),"")</f>
        <v/>
      </c>
      <c r="J3010" s="7" t="str">
        <f aca="false">IFERROR(INDEX('Semrush Data'!$A$1:$Z$20000,MATCH(A3010,'Semrush Data'!$A$1:$A$20000,0),MATCH("Intent",'Semrush Data'!$A$1:$Z$1,0)),"")</f>
        <v/>
      </c>
    </row>
    <row r="3011" customFormat="false" ht="15" hidden="false" customHeight="true" outlineLevel="0" collapsed="false">
      <c r="A3011" s="7" t="s">
        <v>7670</v>
      </c>
      <c r="B3011" s="7" t="s">
        <v>6820</v>
      </c>
      <c r="C3011" s="7" t="n">
        <v>3</v>
      </c>
      <c r="D3011" s="7" t="n">
        <v>31</v>
      </c>
      <c r="E3011" s="7" t="n">
        <v>1</v>
      </c>
      <c r="F3011" s="7" t="s">
        <v>5635</v>
      </c>
      <c r="G3011" s="12" t="str">
        <f aca="false">IFERROR(INDEX('Semrush Data'!$A$1:$Z$20000,MATCH(A3011,'Semrush Data'!$A$1:$A$20000,0),MATCH("Volume",'Semrush Data'!$A$1:$Z$1,0)),"")</f>
        <v/>
      </c>
      <c r="H3011" s="7" t="str">
        <f aca="false">IFERROR(INDEX('Semrush Data'!$A$1:$Z$20000,MATCH(A3011,'Semrush Data'!$A$1:$A$20000,0),MATCH("Keyword Difficulty*",'Semrush Data'!$A$1:$Z$1,0)),"")</f>
        <v/>
      </c>
      <c r="I3011" s="13" t="str">
        <f aca="false">IFERROR(INDEX('Semrush Data'!$A$1:$Z$20000,MATCH(A3011,'Semrush Data'!$A$1:$A$20000,0),MATCH("CPC*",'Semrush Data'!$A$1:$Z$1,0)),"")</f>
        <v/>
      </c>
      <c r="J3011" s="7" t="str">
        <f aca="false">IFERROR(INDEX('Semrush Data'!$A$1:$Z$20000,MATCH(A3011,'Semrush Data'!$A$1:$A$20000,0),MATCH("Intent",'Semrush Data'!$A$1:$Z$1,0)),"")</f>
        <v/>
      </c>
    </row>
    <row r="3012" customFormat="false" ht="15" hidden="false" customHeight="true" outlineLevel="0" collapsed="false">
      <c r="A3012" s="7" t="s">
        <v>7671</v>
      </c>
      <c r="B3012" s="7" t="s">
        <v>6820</v>
      </c>
      <c r="C3012" s="7" t="n">
        <v>3</v>
      </c>
      <c r="D3012" s="7" t="n">
        <v>31</v>
      </c>
      <c r="E3012" s="7" t="n">
        <v>1</v>
      </c>
      <c r="F3012" s="7" t="s">
        <v>5647</v>
      </c>
      <c r="G3012" s="12" t="str">
        <f aca="false">IFERROR(INDEX('Semrush Data'!$A$1:$Z$20000,MATCH(A3012,'Semrush Data'!$A$1:$A$20000,0),MATCH("Volume",'Semrush Data'!$A$1:$Z$1,0)),"")</f>
        <v/>
      </c>
      <c r="H3012" s="7" t="str">
        <f aca="false">IFERROR(INDEX('Semrush Data'!$A$1:$Z$20000,MATCH(A3012,'Semrush Data'!$A$1:$A$20000,0),MATCH("Keyword Difficulty*",'Semrush Data'!$A$1:$Z$1,0)),"")</f>
        <v/>
      </c>
      <c r="I3012" s="13" t="str">
        <f aca="false">IFERROR(INDEX('Semrush Data'!$A$1:$Z$20000,MATCH(A3012,'Semrush Data'!$A$1:$A$20000,0),MATCH("CPC*",'Semrush Data'!$A$1:$Z$1,0)),"")</f>
        <v/>
      </c>
      <c r="J3012" s="7" t="str">
        <f aca="false">IFERROR(INDEX('Semrush Data'!$A$1:$Z$20000,MATCH(A3012,'Semrush Data'!$A$1:$A$20000,0),MATCH("Intent",'Semrush Data'!$A$1:$Z$1,0)),"")</f>
        <v/>
      </c>
    </row>
    <row r="3013" customFormat="false" ht="15" hidden="false" customHeight="true" outlineLevel="0" collapsed="false">
      <c r="A3013" s="7" t="s">
        <v>5665</v>
      </c>
      <c r="B3013" s="7" t="s">
        <v>6820</v>
      </c>
      <c r="C3013" s="7" t="n">
        <v>3</v>
      </c>
      <c r="D3013" s="7" t="n">
        <v>31</v>
      </c>
      <c r="E3013" s="7" t="n">
        <v>1</v>
      </c>
      <c r="F3013" s="7" t="s">
        <v>5658</v>
      </c>
      <c r="G3013" s="12" t="str">
        <f aca="false">IFERROR(INDEX('Semrush Data'!$A$1:$Z$20000,MATCH(A3013,'Semrush Data'!$A$1:$A$20000,0),MATCH("Volume",'Semrush Data'!$A$1:$Z$1,0)),"")</f>
        <v/>
      </c>
      <c r="H3013" s="7" t="str">
        <f aca="false">IFERROR(INDEX('Semrush Data'!$A$1:$Z$20000,MATCH(A3013,'Semrush Data'!$A$1:$A$20000,0),MATCH("Keyword Difficulty*",'Semrush Data'!$A$1:$Z$1,0)),"")</f>
        <v/>
      </c>
      <c r="I3013" s="13" t="str">
        <f aca="false">IFERROR(INDEX('Semrush Data'!$A$1:$Z$20000,MATCH(A3013,'Semrush Data'!$A$1:$A$20000,0),MATCH("CPC*",'Semrush Data'!$A$1:$Z$1,0)),"")</f>
        <v/>
      </c>
      <c r="J3013" s="7" t="str">
        <f aca="false">IFERROR(INDEX('Semrush Data'!$A$1:$Z$20000,MATCH(A3013,'Semrush Data'!$A$1:$A$20000,0),MATCH("Intent",'Semrush Data'!$A$1:$Z$1,0)),"")</f>
        <v/>
      </c>
    </row>
    <row r="3014" customFormat="false" ht="15" hidden="false" customHeight="true" outlineLevel="0" collapsed="false">
      <c r="A3014" s="7" t="s">
        <v>7672</v>
      </c>
      <c r="B3014" s="7" t="s">
        <v>6820</v>
      </c>
      <c r="C3014" s="7" t="n">
        <v>3</v>
      </c>
      <c r="D3014" s="7" t="n">
        <v>31</v>
      </c>
      <c r="E3014" s="7" t="n">
        <v>1</v>
      </c>
      <c r="F3014" s="7" t="s">
        <v>5810</v>
      </c>
      <c r="G3014" s="12" t="str">
        <f aca="false">IFERROR(INDEX('Semrush Data'!$A$1:$Z$20000,MATCH(A3014,'Semrush Data'!$A$1:$A$20000,0),MATCH("Volume",'Semrush Data'!$A$1:$Z$1,0)),"")</f>
        <v/>
      </c>
      <c r="H3014" s="7" t="str">
        <f aca="false">IFERROR(INDEX('Semrush Data'!$A$1:$Z$20000,MATCH(A3014,'Semrush Data'!$A$1:$A$20000,0),MATCH("Keyword Difficulty*",'Semrush Data'!$A$1:$Z$1,0)),"")</f>
        <v/>
      </c>
      <c r="I3014" s="13" t="str">
        <f aca="false">IFERROR(INDEX('Semrush Data'!$A$1:$Z$20000,MATCH(A3014,'Semrush Data'!$A$1:$A$20000,0),MATCH("CPC*",'Semrush Data'!$A$1:$Z$1,0)),"")</f>
        <v/>
      </c>
      <c r="J3014" s="7" t="str">
        <f aca="false">IFERROR(INDEX('Semrush Data'!$A$1:$Z$20000,MATCH(A3014,'Semrush Data'!$A$1:$A$20000,0),MATCH("Intent",'Semrush Data'!$A$1:$Z$1,0)),"")</f>
        <v/>
      </c>
    </row>
    <row r="3015" customFormat="false" ht="15" hidden="false" customHeight="true" outlineLevel="0" collapsed="false">
      <c r="A3015" s="7" t="s">
        <v>7673</v>
      </c>
      <c r="B3015" s="7" t="s">
        <v>6820</v>
      </c>
      <c r="C3015" s="7" t="n">
        <v>3</v>
      </c>
      <c r="D3015" s="7" t="n">
        <v>31</v>
      </c>
      <c r="E3015" s="7" t="n">
        <v>1</v>
      </c>
      <c r="F3015" s="7" t="s">
        <v>6020</v>
      </c>
      <c r="G3015" s="12" t="str">
        <f aca="false">IFERROR(INDEX('Semrush Data'!$A$1:$Z$20000,MATCH(A3015,'Semrush Data'!$A$1:$A$20000,0),MATCH("Volume",'Semrush Data'!$A$1:$Z$1,0)),"")</f>
        <v/>
      </c>
      <c r="H3015" s="7" t="str">
        <f aca="false">IFERROR(INDEX('Semrush Data'!$A$1:$Z$20000,MATCH(A3015,'Semrush Data'!$A$1:$A$20000,0),MATCH("Keyword Difficulty*",'Semrush Data'!$A$1:$Z$1,0)),"")</f>
        <v/>
      </c>
      <c r="I3015" s="13" t="str">
        <f aca="false">IFERROR(INDEX('Semrush Data'!$A$1:$Z$20000,MATCH(A3015,'Semrush Data'!$A$1:$A$20000,0),MATCH("CPC*",'Semrush Data'!$A$1:$Z$1,0)),"")</f>
        <v/>
      </c>
      <c r="J3015" s="7" t="str">
        <f aca="false">IFERROR(INDEX('Semrush Data'!$A$1:$Z$20000,MATCH(A3015,'Semrush Data'!$A$1:$A$20000,0),MATCH("Intent",'Semrush Data'!$A$1:$Z$1,0)),"")</f>
        <v/>
      </c>
    </row>
    <row r="3016" customFormat="false" ht="15" hidden="false" customHeight="true" outlineLevel="0" collapsed="false">
      <c r="A3016" s="7" t="s">
        <v>7674</v>
      </c>
      <c r="B3016" s="7" t="s">
        <v>6820</v>
      </c>
      <c r="C3016" s="7" t="n">
        <v>3</v>
      </c>
      <c r="D3016" s="7" t="n">
        <v>31</v>
      </c>
      <c r="E3016" s="7" t="n">
        <v>1</v>
      </c>
      <c r="F3016" s="7" t="s">
        <v>5669</v>
      </c>
      <c r="G3016" s="12" t="str">
        <f aca="false">IFERROR(INDEX('Semrush Data'!$A$1:$Z$20000,MATCH(A3016,'Semrush Data'!$A$1:$A$20000,0),MATCH("Volume",'Semrush Data'!$A$1:$Z$1,0)),"")</f>
        <v/>
      </c>
      <c r="H3016" s="7" t="str">
        <f aca="false">IFERROR(INDEX('Semrush Data'!$A$1:$Z$20000,MATCH(A3016,'Semrush Data'!$A$1:$A$20000,0),MATCH("Keyword Difficulty*",'Semrush Data'!$A$1:$Z$1,0)),"")</f>
        <v/>
      </c>
      <c r="I3016" s="13" t="str">
        <f aca="false">IFERROR(INDEX('Semrush Data'!$A$1:$Z$20000,MATCH(A3016,'Semrush Data'!$A$1:$A$20000,0),MATCH("CPC*",'Semrush Data'!$A$1:$Z$1,0)),"")</f>
        <v/>
      </c>
      <c r="J3016" s="7" t="str">
        <f aca="false">IFERROR(INDEX('Semrush Data'!$A$1:$Z$20000,MATCH(A3016,'Semrush Data'!$A$1:$A$20000,0),MATCH("Intent",'Semrush Data'!$A$1:$Z$1,0)),"")</f>
        <v/>
      </c>
    </row>
    <row r="3017" customFormat="false" ht="15" hidden="false" customHeight="true" outlineLevel="0" collapsed="false">
      <c r="A3017" s="7" t="s">
        <v>7675</v>
      </c>
      <c r="B3017" s="7" t="s">
        <v>6820</v>
      </c>
      <c r="C3017" s="7" t="n">
        <v>3</v>
      </c>
      <c r="D3017" s="7" t="n">
        <v>31</v>
      </c>
      <c r="E3017" s="7" t="n">
        <v>1</v>
      </c>
      <c r="F3017" s="7" t="s">
        <v>5669</v>
      </c>
      <c r="G3017" s="12" t="str">
        <f aca="false">IFERROR(INDEX('Semrush Data'!$A$1:$Z$20000,MATCH(A3017,'Semrush Data'!$A$1:$A$20000,0),MATCH("Volume",'Semrush Data'!$A$1:$Z$1,0)),"")</f>
        <v/>
      </c>
      <c r="H3017" s="7" t="str">
        <f aca="false">IFERROR(INDEX('Semrush Data'!$A$1:$Z$20000,MATCH(A3017,'Semrush Data'!$A$1:$A$20000,0),MATCH("Keyword Difficulty*",'Semrush Data'!$A$1:$Z$1,0)),"")</f>
        <v/>
      </c>
      <c r="I3017" s="13" t="str">
        <f aca="false">IFERROR(INDEX('Semrush Data'!$A$1:$Z$20000,MATCH(A3017,'Semrush Data'!$A$1:$A$20000,0),MATCH("CPC*",'Semrush Data'!$A$1:$Z$1,0)),"")</f>
        <v/>
      </c>
      <c r="J3017" s="7" t="str">
        <f aca="false">IFERROR(INDEX('Semrush Data'!$A$1:$Z$20000,MATCH(A3017,'Semrush Data'!$A$1:$A$20000,0),MATCH("Intent",'Semrush Data'!$A$1:$Z$1,0)),"")</f>
        <v/>
      </c>
    </row>
    <row r="3018" customFormat="false" ht="15" hidden="false" customHeight="true" outlineLevel="0" collapsed="false">
      <c r="A3018" s="7" t="s">
        <v>7676</v>
      </c>
      <c r="B3018" s="7" t="s">
        <v>6820</v>
      </c>
      <c r="C3018" s="7" t="n">
        <v>3</v>
      </c>
      <c r="D3018" s="7" t="n">
        <v>31</v>
      </c>
      <c r="E3018" s="7" t="n">
        <v>1</v>
      </c>
      <c r="F3018" s="7" t="s">
        <v>5669</v>
      </c>
      <c r="G3018" s="12" t="str">
        <f aca="false">IFERROR(INDEX('Semrush Data'!$A$1:$Z$20000,MATCH(A3018,'Semrush Data'!$A$1:$A$20000,0),MATCH("Volume",'Semrush Data'!$A$1:$Z$1,0)),"")</f>
        <v/>
      </c>
      <c r="H3018" s="7" t="str">
        <f aca="false">IFERROR(INDEX('Semrush Data'!$A$1:$Z$20000,MATCH(A3018,'Semrush Data'!$A$1:$A$20000,0),MATCH("Keyword Difficulty*",'Semrush Data'!$A$1:$Z$1,0)),"")</f>
        <v/>
      </c>
      <c r="I3018" s="13" t="str">
        <f aca="false">IFERROR(INDEX('Semrush Data'!$A$1:$Z$20000,MATCH(A3018,'Semrush Data'!$A$1:$A$20000,0),MATCH("CPC*",'Semrush Data'!$A$1:$Z$1,0)),"")</f>
        <v/>
      </c>
      <c r="J3018" s="7" t="str">
        <f aca="false">IFERROR(INDEX('Semrush Data'!$A$1:$Z$20000,MATCH(A3018,'Semrush Data'!$A$1:$A$20000,0),MATCH("Intent",'Semrush Data'!$A$1:$Z$1,0)),"")</f>
        <v/>
      </c>
    </row>
    <row r="3019" customFormat="false" ht="15" hidden="false" customHeight="true" outlineLevel="0" collapsed="false">
      <c r="A3019" s="7" t="s">
        <v>7677</v>
      </c>
      <c r="B3019" s="7" t="s">
        <v>6820</v>
      </c>
      <c r="C3019" s="7" t="n">
        <v>3</v>
      </c>
      <c r="D3019" s="7" t="n">
        <v>31</v>
      </c>
      <c r="E3019" s="7" t="n">
        <v>1</v>
      </c>
      <c r="F3019" s="7" t="s">
        <v>5669</v>
      </c>
      <c r="G3019" s="12" t="str">
        <f aca="false">IFERROR(INDEX('Semrush Data'!$A$1:$Z$20000,MATCH(A3019,'Semrush Data'!$A$1:$A$20000,0),MATCH("Volume",'Semrush Data'!$A$1:$Z$1,0)),"")</f>
        <v/>
      </c>
      <c r="H3019" s="7" t="str">
        <f aca="false">IFERROR(INDEX('Semrush Data'!$A$1:$Z$20000,MATCH(A3019,'Semrush Data'!$A$1:$A$20000,0),MATCH("Keyword Difficulty*",'Semrush Data'!$A$1:$Z$1,0)),"")</f>
        <v/>
      </c>
      <c r="I3019" s="13" t="str">
        <f aca="false">IFERROR(INDEX('Semrush Data'!$A$1:$Z$20000,MATCH(A3019,'Semrush Data'!$A$1:$A$20000,0),MATCH("CPC*",'Semrush Data'!$A$1:$Z$1,0)),"")</f>
        <v/>
      </c>
      <c r="J3019" s="7" t="str">
        <f aca="false">IFERROR(INDEX('Semrush Data'!$A$1:$Z$20000,MATCH(A3019,'Semrush Data'!$A$1:$A$20000,0),MATCH("Intent",'Semrush Data'!$A$1:$Z$1,0)),"")</f>
        <v/>
      </c>
    </row>
    <row r="3020" customFormat="false" ht="15" hidden="false" customHeight="true" outlineLevel="0" collapsed="false">
      <c r="A3020" s="7" t="s">
        <v>7678</v>
      </c>
      <c r="B3020" s="7" t="s">
        <v>6820</v>
      </c>
      <c r="C3020" s="7" t="n">
        <v>3</v>
      </c>
      <c r="D3020" s="7" t="n">
        <v>31</v>
      </c>
      <c r="E3020" s="7" t="n">
        <v>1</v>
      </c>
      <c r="F3020" s="7" t="s">
        <v>5669</v>
      </c>
      <c r="G3020" s="12" t="str">
        <f aca="false">IFERROR(INDEX('Semrush Data'!$A$1:$Z$20000,MATCH(A3020,'Semrush Data'!$A$1:$A$20000,0),MATCH("Volume",'Semrush Data'!$A$1:$Z$1,0)),"")</f>
        <v/>
      </c>
      <c r="H3020" s="7" t="str">
        <f aca="false">IFERROR(INDEX('Semrush Data'!$A$1:$Z$20000,MATCH(A3020,'Semrush Data'!$A$1:$A$20000,0),MATCH("Keyword Difficulty*",'Semrush Data'!$A$1:$Z$1,0)),"")</f>
        <v/>
      </c>
      <c r="I3020" s="13" t="str">
        <f aca="false">IFERROR(INDEX('Semrush Data'!$A$1:$Z$20000,MATCH(A3020,'Semrush Data'!$A$1:$A$20000,0),MATCH("CPC*",'Semrush Data'!$A$1:$Z$1,0)),"")</f>
        <v/>
      </c>
      <c r="J3020" s="7" t="str">
        <f aca="false">IFERROR(INDEX('Semrush Data'!$A$1:$Z$20000,MATCH(A3020,'Semrush Data'!$A$1:$A$20000,0),MATCH("Intent",'Semrush Data'!$A$1:$Z$1,0)),"")</f>
        <v/>
      </c>
    </row>
    <row r="3021" customFormat="false" ht="15" hidden="false" customHeight="true" outlineLevel="0" collapsed="false">
      <c r="A3021" s="7" t="s">
        <v>7679</v>
      </c>
      <c r="B3021" s="7" t="s">
        <v>6820</v>
      </c>
      <c r="C3021" s="7" t="n">
        <v>3</v>
      </c>
      <c r="D3021" s="7" t="n">
        <v>31</v>
      </c>
      <c r="E3021" s="7" t="n">
        <v>1</v>
      </c>
      <c r="F3021" s="7" t="s">
        <v>5682</v>
      </c>
      <c r="G3021" s="12" t="str">
        <f aca="false">IFERROR(INDEX('Semrush Data'!$A$1:$Z$20000,MATCH(A3021,'Semrush Data'!$A$1:$A$20000,0),MATCH("Volume",'Semrush Data'!$A$1:$Z$1,0)),"")</f>
        <v/>
      </c>
      <c r="H3021" s="7" t="str">
        <f aca="false">IFERROR(INDEX('Semrush Data'!$A$1:$Z$20000,MATCH(A3021,'Semrush Data'!$A$1:$A$20000,0),MATCH("Keyword Difficulty*",'Semrush Data'!$A$1:$Z$1,0)),"")</f>
        <v/>
      </c>
      <c r="I3021" s="13" t="str">
        <f aca="false">IFERROR(INDEX('Semrush Data'!$A$1:$Z$20000,MATCH(A3021,'Semrush Data'!$A$1:$A$20000,0),MATCH("CPC*",'Semrush Data'!$A$1:$Z$1,0)),"")</f>
        <v/>
      </c>
      <c r="J3021" s="7" t="str">
        <f aca="false">IFERROR(INDEX('Semrush Data'!$A$1:$Z$20000,MATCH(A3021,'Semrush Data'!$A$1:$A$20000,0),MATCH("Intent",'Semrush Data'!$A$1:$Z$1,0)),"")</f>
        <v/>
      </c>
    </row>
    <row r="3022" customFormat="false" ht="15" hidden="false" customHeight="true" outlineLevel="0" collapsed="false">
      <c r="A3022" s="7" t="s">
        <v>7680</v>
      </c>
      <c r="B3022" s="7" t="s">
        <v>6820</v>
      </c>
      <c r="C3022" s="7" t="n">
        <v>3</v>
      </c>
      <c r="D3022" s="7" t="n">
        <v>31</v>
      </c>
      <c r="E3022" s="7" t="n">
        <v>1</v>
      </c>
      <c r="F3022" s="7" t="s">
        <v>5682</v>
      </c>
      <c r="G3022" s="12" t="str">
        <f aca="false">IFERROR(INDEX('Semrush Data'!$A$1:$Z$20000,MATCH(A3022,'Semrush Data'!$A$1:$A$20000,0),MATCH("Volume",'Semrush Data'!$A$1:$Z$1,0)),"")</f>
        <v/>
      </c>
      <c r="H3022" s="7" t="str">
        <f aca="false">IFERROR(INDEX('Semrush Data'!$A$1:$Z$20000,MATCH(A3022,'Semrush Data'!$A$1:$A$20000,0),MATCH("Keyword Difficulty*",'Semrush Data'!$A$1:$Z$1,0)),"")</f>
        <v/>
      </c>
      <c r="I3022" s="13" t="str">
        <f aca="false">IFERROR(INDEX('Semrush Data'!$A$1:$Z$20000,MATCH(A3022,'Semrush Data'!$A$1:$A$20000,0),MATCH("CPC*",'Semrush Data'!$A$1:$Z$1,0)),"")</f>
        <v/>
      </c>
      <c r="J3022" s="7" t="str">
        <f aca="false">IFERROR(INDEX('Semrush Data'!$A$1:$Z$20000,MATCH(A3022,'Semrush Data'!$A$1:$A$20000,0),MATCH("Intent",'Semrush Data'!$A$1:$Z$1,0)),"")</f>
        <v/>
      </c>
    </row>
    <row r="3023" customFormat="false" ht="15" hidden="false" customHeight="true" outlineLevel="0" collapsed="false">
      <c r="A3023" s="7" t="s">
        <v>7681</v>
      </c>
      <c r="B3023" s="7" t="s">
        <v>6820</v>
      </c>
      <c r="C3023" s="7" t="n">
        <v>3</v>
      </c>
      <c r="D3023" s="7" t="n">
        <v>31</v>
      </c>
      <c r="E3023" s="7" t="n">
        <v>1</v>
      </c>
      <c r="F3023" s="7" t="s">
        <v>5682</v>
      </c>
      <c r="G3023" s="12" t="str">
        <f aca="false">IFERROR(INDEX('Semrush Data'!$A$1:$Z$20000,MATCH(A3023,'Semrush Data'!$A$1:$A$20000,0),MATCH("Volume",'Semrush Data'!$A$1:$Z$1,0)),"")</f>
        <v/>
      </c>
      <c r="H3023" s="7" t="str">
        <f aca="false">IFERROR(INDEX('Semrush Data'!$A$1:$Z$20000,MATCH(A3023,'Semrush Data'!$A$1:$A$20000,0),MATCH("Keyword Difficulty*",'Semrush Data'!$A$1:$Z$1,0)),"")</f>
        <v/>
      </c>
      <c r="I3023" s="13" t="str">
        <f aca="false">IFERROR(INDEX('Semrush Data'!$A$1:$Z$20000,MATCH(A3023,'Semrush Data'!$A$1:$A$20000,0),MATCH("CPC*",'Semrush Data'!$A$1:$Z$1,0)),"")</f>
        <v/>
      </c>
      <c r="J3023" s="7" t="str">
        <f aca="false">IFERROR(INDEX('Semrush Data'!$A$1:$Z$20000,MATCH(A3023,'Semrush Data'!$A$1:$A$20000,0),MATCH("Intent",'Semrush Data'!$A$1:$Z$1,0)),"")</f>
        <v/>
      </c>
    </row>
    <row r="3024" customFormat="false" ht="15" hidden="false" customHeight="true" outlineLevel="0" collapsed="false">
      <c r="A3024" s="7" t="s">
        <v>7682</v>
      </c>
      <c r="B3024" s="7" t="s">
        <v>6820</v>
      </c>
      <c r="C3024" s="7" t="n">
        <v>3</v>
      </c>
      <c r="D3024" s="7" t="n">
        <v>31</v>
      </c>
      <c r="E3024" s="7" t="n">
        <v>1</v>
      </c>
      <c r="F3024" s="7" t="s">
        <v>5682</v>
      </c>
      <c r="G3024" s="12" t="str">
        <f aca="false">IFERROR(INDEX('Semrush Data'!$A$1:$Z$20000,MATCH(A3024,'Semrush Data'!$A$1:$A$20000,0),MATCH("Volume",'Semrush Data'!$A$1:$Z$1,0)),"")</f>
        <v/>
      </c>
      <c r="H3024" s="7" t="str">
        <f aca="false">IFERROR(INDEX('Semrush Data'!$A$1:$Z$20000,MATCH(A3024,'Semrush Data'!$A$1:$A$20000,0),MATCH("Keyword Difficulty*",'Semrush Data'!$A$1:$Z$1,0)),"")</f>
        <v/>
      </c>
      <c r="I3024" s="13" t="str">
        <f aca="false">IFERROR(INDEX('Semrush Data'!$A$1:$Z$20000,MATCH(A3024,'Semrush Data'!$A$1:$A$20000,0),MATCH("CPC*",'Semrush Data'!$A$1:$Z$1,0)),"")</f>
        <v/>
      </c>
      <c r="J3024" s="7" t="str">
        <f aca="false">IFERROR(INDEX('Semrush Data'!$A$1:$Z$20000,MATCH(A3024,'Semrush Data'!$A$1:$A$20000,0),MATCH("Intent",'Semrush Data'!$A$1:$Z$1,0)),"")</f>
        <v/>
      </c>
    </row>
    <row r="3025" customFormat="false" ht="15" hidden="false" customHeight="true" outlineLevel="0" collapsed="false">
      <c r="A3025" s="7" t="s">
        <v>7683</v>
      </c>
      <c r="B3025" s="7" t="s">
        <v>6820</v>
      </c>
      <c r="C3025" s="7" t="n">
        <v>3</v>
      </c>
      <c r="D3025" s="7" t="n">
        <v>31</v>
      </c>
      <c r="E3025" s="7" t="n">
        <v>1</v>
      </c>
      <c r="F3025" s="7" t="s">
        <v>5695</v>
      </c>
      <c r="G3025" s="12" t="str">
        <f aca="false">IFERROR(INDEX('Semrush Data'!$A$1:$Z$20000,MATCH(A3025,'Semrush Data'!$A$1:$A$20000,0),MATCH("Volume",'Semrush Data'!$A$1:$Z$1,0)),"")</f>
        <v/>
      </c>
      <c r="H3025" s="7" t="str">
        <f aca="false">IFERROR(INDEX('Semrush Data'!$A$1:$Z$20000,MATCH(A3025,'Semrush Data'!$A$1:$A$20000,0),MATCH("Keyword Difficulty*",'Semrush Data'!$A$1:$Z$1,0)),"")</f>
        <v/>
      </c>
      <c r="I3025" s="13" t="str">
        <f aca="false">IFERROR(INDEX('Semrush Data'!$A$1:$Z$20000,MATCH(A3025,'Semrush Data'!$A$1:$A$20000,0),MATCH("CPC*",'Semrush Data'!$A$1:$Z$1,0)),"")</f>
        <v/>
      </c>
      <c r="J3025" s="7" t="str">
        <f aca="false">IFERROR(INDEX('Semrush Data'!$A$1:$Z$20000,MATCH(A3025,'Semrush Data'!$A$1:$A$20000,0),MATCH("Intent",'Semrush Data'!$A$1:$Z$1,0)),"")</f>
        <v/>
      </c>
    </row>
    <row r="3026" customFormat="false" ht="15" hidden="false" customHeight="true" outlineLevel="0" collapsed="false">
      <c r="A3026" s="7" t="s">
        <v>7684</v>
      </c>
      <c r="B3026" s="7" t="s">
        <v>6820</v>
      </c>
      <c r="C3026" s="7" t="n">
        <v>3</v>
      </c>
      <c r="D3026" s="7" t="n">
        <v>31</v>
      </c>
      <c r="E3026" s="7" t="n">
        <v>1</v>
      </c>
      <c r="F3026" s="7" t="s">
        <v>5695</v>
      </c>
      <c r="G3026" s="12" t="str">
        <f aca="false">IFERROR(INDEX('Semrush Data'!$A$1:$Z$20000,MATCH(A3026,'Semrush Data'!$A$1:$A$20000,0),MATCH("Volume",'Semrush Data'!$A$1:$Z$1,0)),"")</f>
        <v/>
      </c>
      <c r="H3026" s="7" t="str">
        <f aca="false">IFERROR(INDEX('Semrush Data'!$A$1:$Z$20000,MATCH(A3026,'Semrush Data'!$A$1:$A$20000,0),MATCH("Keyword Difficulty*",'Semrush Data'!$A$1:$Z$1,0)),"")</f>
        <v/>
      </c>
      <c r="I3026" s="13" t="str">
        <f aca="false">IFERROR(INDEX('Semrush Data'!$A$1:$Z$20000,MATCH(A3026,'Semrush Data'!$A$1:$A$20000,0),MATCH("CPC*",'Semrush Data'!$A$1:$Z$1,0)),"")</f>
        <v/>
      </c>
      <c r="J3026" s="7" t="str">
        <f aca="false">IFERROR(INDEX('Semrush Data'!$A$1:$Z$20000,MATCH(A3026,'Semrush Data'!$A$1:$A$20000,0),MATCH("Intent",'Semrush Data'!$A$1:$Z$1,0)),"")</f>
        <v/>
      </c>
    </row>
    <row r="3027" customFormat="false" ht="15" hidden="false" customHeight="true" outlineLevel="0" collapsed="false">
      <c r="A3027" s="7" t="s">
        <v>7685</v>
      </c>
      <c r="B3027" s="7" t="s">
        <v>6820</v>
      </c>
      <c r="C3027" s="7" t="n">
        <v>3</v>
      </c>
      <c r="D3027" s="7" t="n">
        <v>31</v>
      </c>
      <c r="E3027" s="7" t="n">
        <v>1</v>
      </c>
      <c r="F3027" s="7" t="s">
        <v>5695</v>
      </c>
      <c r="G3027" s="12" t="str">
        <f aca="false">IFERROR(INDEX('Semrush Data'!$A$1:$Z$20000,MATCH(A3027,'Semrush Data'!$A$1:$A$20000,0),MATCH("Volume",'Semrush Data'!$A$1:$Z$1,0)),"")</f>
        <v/>
      </c>
      <c r="H3027" s="7" t="str">
        <f aca="false">IFERROR(INDEX('Semrush Data'!$A$1:$Z$20000,MATCH(A3027,'Semrush Data'!$A$1:$A$20000,0),MATCH("Keyword Difficulty*",'Semrush Data'!$A$1:$Z$1,0)),"")</f>
        <v/>
      </c>
      <c r="I3027" s="13" t="str">
        <f aca="false">IFERROR(INDEX('Semrush Data'!$A$1:$Z$20000,MATCH(A3027,'Semrush Data'!$A$1:$A$20000,0),MATCH("CPC*",'Semrush Data'!$A$1:$Z$1,0)),"")</f>
        <v/>
      </c>
      <c r="J3027" s="7" t="str">
        <f aca="false">IFERROR(INDEX('Semrush Data'!$A$1:$Z$20000,MATCH(A3027,'Semrush Data'!$A$1:$A$20000,0),MATCH("Intent",'Semrush Data'!$A$1:$Z$1,0)),"")</f>
        <v/>
      </c>
    </row>
    <row r="3028" customFormat="false" ht="15" hidden="false" customHeight="true" outlineLevel="0" collapsed="false">
      <c r="A3028" s="7" t="s">
        <v>7686</v>
      </c>
      <c r="B3028" s="7" t="s">
        <v>6820</v>
      </c>
      <c r="C3028" s="7" t="n">
        <v>3</v>
      </c>
      <c r="D3028" s="7" t="n">
        <v>31</v>
      </c>
      <c r="E3028" s="7" t="n">
        <v>1</v>
      </c>
      <c r="F3028" s="7" t="s">
        <v>5695</v>
      </c>
      <c r="G3028" s="12" t="str">
        <f aca="false">IFERROR(INDEX('Semrush Data'!$A$1:$Z$20000,MATCH(A3028,'Semrush Data'!$A$1:$A$20000,0),MATCH("Volume",'Semrush Data'!$A$1:$Z$1,0)),"")</f>
        <v/>
      </c>
      <c r="H3028" s="7" t="str">
        <f aca="false">IFERROR(INDEX('Semrush Data'!$A$1:$Z$20000,MATCH(A3028,'Semrush Data'!$A$1:$A$20000,0),MATCH("Keyword Difficulty*",'Semrush Data'!$A$1:$Z$1,0)),"")</f>
        <v/>
      </c>
      <c r="I3028" s="13" t="str">
        <f aca="false">IFERROR(INDEX('Semrush Data'!$A$1:$Z$20000,MATCH(A3028,'Semrush Data'!$A$1:$A$20000,0),MATCH("CPC*",'Semrush Data'!$A$1:$Z$1,0)),"")</f>
        <v/>
      </c>
      <c r="J3028" s="7" t="str">
        <f aca="false">IFERROR(INDEX('Semrush Data'!$A$1:$Z$20000,MATCH(A3028,'Semrush Data'!$A$1:$A$20000,0),MATCH("Intent",'Semrush Data'!$A$1:$Z$1,0)),"")</f>
        <v/>
      </c>
    </row>
    <row r="3029" customFormat="false" ht="15" hidden="false" customHeight="true" outlineLevel="0" collapsed="false">
      <c r="A3029" s="7" t="s">
        <v>5715</v>
      </c>
      <c r="B3029" s="7" t="s">
        <v>6820</v>
      </c>
      <c r="C3029" s="7" t="n">
        <v>3</v>
      </c>
      <c r="D3029" s="7" t="n">
        <v>31</v>
      </c>
      <c r="E3029" s="7" t="n">
        <v>1</v>
      </c>
      <c r="F3029" s="7" t="s">
        <v>5708</v>
      </c>
      <c r="G3029" s="12" t="str">
        <f aca="false">IFERROR(INDEX('Semrush Data'!$A$1:$Z$20000,MATCH(A3029,'Semrush Data'!$A$1:$A$20000,0),MATCH("Volume",'Semrush Data'!$A$1:$Z$1,0)),"")</f>
        <v/>
      </c>
      <c r="H3029" s="7" t="str">
        <f aca="false">IFERROR(INDEX('Semrush Data'!$A$1:$Z$20000,MATCH(A3029,'Semrush Data'!$A$1:$A$20000,0),MATCH("Keyword Difficulty*",'Semrush Data'!$A$1:$Z$1,0)),"")</f>
        <v/>
      </c>
      <c r="I3029" s="13" t="str">
        <f aca="false">IFERROR(INDEX('Semrush Data'!$A$1:$Z$20000,MATCH(A3029,'Semrush Data'!$A$1:$A$20000,0),MATCH("CPC*",'Semrush Data'!$A$1:$Z$1,0)),"")</f>
        <v/>
      </c>
      <c r="J3029" s="7" t="str">
        <f aca="false">IFERROR(INDEX('Semrush Data'!$A$1:$Z$20000,MATCH(A3029,'Semrush Data'!$A$1:$A$20000,0),MATCH("Intent",'Semrush Data'!$A$1:$Z$1,0)),"")</f>
        <v/>
      </c>
    </row>
    <row r="3030" customFormat="false" ht="15" hidden="false" customHeight="true" outlineLevel="0" collapsed="false">
      <c r="A3030" s="7" t="s">
        <v>7687</v>
      </c>
      <c r="B3030" s="7" t="s">
        <v>6820</v>
      </c>
      <c r="C3030" s="7" t="n">
        <v>3</v>
      </c>
      <c r="D3030" s="7" t="n">
        <v>31</v>
      </c>
      <c r="E3030" s="7" t="n">
        <v>1</v>
      </c>
      <c r="F3030" s="7" t="s">
        <v>5719</v>
      </c>
      <c r="G3030" s="12" t="str">
        <f aca="false">IFERROR(INDEX('Semrush Data'!$A$1:$Z$20000,MATCH(A3030,'Semrush Data'!$A$1:$A$20000,0),MATCH("Volume",'Semrush Data'!$A$1:$Z$1,0)),"")</f>
        <v/>
      </c>
      <c r="H3030" s="7" t="str">
        <f aca="false">IFERROR(INDEX('Semrush Data'!$A$1:$Z$20000,MATCH(A3030,'Semrush Data'!$A$1:$A$20000,0),MATCH("Keyword Difficulty*",'Semrush Data'!$A$1:$Z$1,0)),"")</f>
        <v/>
      </c>
      <c r="I3030" s="13" t="str">
        <f aca="false">IFERROR(INDEX('Semrush Data'!$A$1:$Z$20000,MATCH(A3030,'Semrush Data'!$A$1:$A$20000,0),MATCH("CPC*",'Semrush Data'!$A$1:$Z$1,0)),"")</f>
        <v/>
      </c>
      <c r="J3030" s="7" t="str">
        <f aca="false">IFERROR(INDEX('Semrush Data'!$A$1:$Z$20000,MATCH(A3030,'Semrush Data'!$A$1:$A$20000,0),MATCH("Intent",'Semrush Data'!$A$1:$Z$1,0)),"")</f>
        <v/>
      </c>
    </row>
    <row r="3031" customFormat="false" ht="15" hidden="false" customHeight="true" outlineLevel="0" collapsed="false">
      <c r="A3031" s="7" t="s">
        <v>5851</v>
      </c>
      <c r="B3031" s="7" t="s">
        <v>6820</v>
      </c>
      <c r="C3031" s="7" t="n">
        <v>3</v>
      </c>
      <c r="D3031" s="7" t="n">
        <v>31</v>
      </c>
      <c r="E3031" s="7" t="n">
        <v>1</v>
      </c>
      <c r="F3031" s="7" t="s">
        <v>5842</v>
      </c>
      <c r="G3031" s="12" t="str">
        <f aca="false">IFERROR(INDEX('Semrush Data'!$A$1:$Z$20000,MATCH(A3031,'Semrush Data'!$A$1:$A$20000,0),MATCH("Volume",'Semrush Data'!$A$1:$Z$1,0)),"")</f>
        <v/>
      </c>
      <c r="H3031" s="7" t="str">
        <f aca="false">IFERROR(INDEX('Semrush Data'!$A$1:$Z$20000,MATCH(A3031,'Semrush Data'!$A$1:$A$20000,0),MATCH("Keyword Difficulty*",'Semrush Data'!$A$1:$Z$1,0)),"")</f>
        <v/>
      </c>
      <c r="I3031" s="13" t="str">
        <f aca="false">IFERROR(INDEX('Semrush Data'!$A$1:$Z$20000,MATCH(A3031,'Semrush Data'!$A$1:$A$20000,0),MATCH("CPC*",'Semrush Data'!$A$1:$Z$1,0)),"")</f>
        <v/>
      </c>
      <c r="J3031" s="7" t="str">
        <f aca="false">IFERROR(INDEX('Semrush Data'!$A$1:$Z$20000,MATCH(A3031,'Semrush Data'!$A$1:$A$20000,0),MATCH("Intent",'Semrush Data'!$A$1:$Z$1,0)),"")</f>
        <v/>
      </c>
    </row>
    <row r="3032" customFormat="false" ht="15" hidden="false" customHeight="true" outlineLevel="0" collapsed="false">
      <c r="A3032" s="7" t="s">
        <v>5738</v>
      </c>
      <c r="B3032" s="7" t="s">
        <v>6820</v>
      </c>
      <c r="C3032" s="7" t="n">
        <v>3</v>
      </c>
      <c r="D3032" s="7" t="n">
        <v>31</v>
      </c>
      <c r="E3032" s="7" t="n">
        <v>1</v>
      </c>
      <c r="F3032" s="7" t="s">
        <v>5731</v>
      </c>
      <c r="G3032" s="12" t="str">
        <f aca="false">IFERROR(INDEX('Semrush Data'!$A$1:$Z$20000,MATCH(A3032,'Semrush Data'!$A$1:$A$20000,0),MATCH("Volume",'Semrush Data'!$A$1:$Z$1,0)),"")</f>
        <v/>
      </c>
      <c r="H3032" s="7" t="str">
        <f aca="false">IFERROR(INDEX('Semrush Data'!$A$1:$Z$20000,MATCH(A3032,'Semrush Data'!$A$1:$A$20000,0),MATCH("Keyword Difficulty*",'Semrush Data'!$A$1:$Z$1,0)),"")</f>
        <v/>
      </c>
      <c r="I3032" s="13" t="str">
        <f aca="false">IFERROR(INDEX('Semrush Data'!$A$1:$Z$20000,MATCH(A3032,'Semrush Data'!$A$1:$A$20000,0),MATCH("CPC*",'Semrush Data'!$A$1:$Z$1,0)),"")</f>
        <v/>
      </c>
      <c r="J3032" s="7" t="str">
        <f aca="false">IFERROR(INDEX('Semrush Data'!$A$1:$Z$20000,MATCH(A3032,'Semrush Data'!$A$1:$A$20000,0),MATCH("Intent",'Semrush Data'!$A$1:$Z$1,0)),"")</f>
        <v/>
      </c>
    </row>
    <row r="3033" customFormat="false" ht="15" hidden="false" customHeight="true" outlineLevel="0" collapsed="false">
      <c r="A3033" s="7" t="s">
        <v>7688</v>
      </c>
      <c r="B3033" s="7" t="s">
        <v>6820</v>
      </c>
      <c r="C3033" s="7" t="n">
        <v>3</v>
      </c>
      <c r="D3033" s="7" t="n">
        <v>31</v>
      </c>
      <c r="E3033" s="7" t="n">
        <v>1</v>
      </c>
      <c r="F3033" s="7" t="s">
        <v>5695</v>
      </c>
      <c r="G3033" s="12" t="str">
        <f aca="false">IFERROR(INDEX('Semrush Data'!$A$1:$Z$20000,MATCH(A3033,'Semrush Data'!$A$1:$A$20000,0),MATCH("Volume",'Semrush Data'!$A$1:$Z$1,0)),"")</f>
        <v/>
      </c>
      <c r="H3033" s="7" t="str">
        <f aca="false">IFERROR(INDEX('Semrush Data'!$A$1:$Z$20000,MATCH(A3033,'Semrush Data'!$A$1:$A$20000,0),MATCH("Keyword Difficulty*",'Semrush Data'!$A$1:$Z$1,0)),"")</f>
        <v/>
      </c>
      <c r="I3033" s="13" t="str">
        <f aca="false">IFERROR(INDEX('Semrush Data'!$A$1:$Z$20000,MATCH(A3033,'Semrush Data'!$A$1:$A$20000,0),MATCH("CPC*",'Semrush Data'!$A$1:$Z$1,0)),"")</f>
        <v/>
      </c>
      <c r="J3033" s="7" t="str">
        <f aca="false">IFERROR(INDEX('Semrush Data'!$A$1:$Z$20000,MATCH(A3033,'Semrush Data'!$A$1:$A$20000,0),MATCH("Intent",'Semrush Data'!$A$1:$Z$1,0)),"")</f>
        <v/>
      </c>
    </row>
    <row r="3034" customFormat="false" ht="15" hidden="false" customHeight="true" outlineLevel="0" collapsed="false">
      <c r="A3034" s="7" t="s">
        <v>5828</v>
      </c>
      <c r="B3034" s="7" t="s">
        <v>6820</v>
      </c>
      <c r="C3034" s="7" t="n">
        <v>3</v>
      </c>
      <c r="D3034" s="7" t="n">
        <v>31</v>
      </c>
      <c r="E3034" s="7" t="n">
        <v>1</v>
      </c>
      <c r="F3034" s="7" t="s">
        <v>5821</v>
      </c>
      <c r="G3034" s="12" t="str">
        <f aca="false">IFERROR(INDEX('Semrush Data'!$A$1:$Z$20000,MATCH(A3034,'Semrush Data'!$A$1:$A$20000,0),MATCH("Volume",'Semrush Data'!$A$1:$Z$1,0)),"")</f>
        <v/>
      </c>
      <c r="H3034" s="7" t="str">
        <f aca="false">IFERROR(INDEX('Semrush Data'!$A$1:$Z$20000,MATCH(A3034,'Semrush Data'!$A$1:$A$20000,0),MATCH("Keyword Difficulty*",'Semrush Data'!$A$1:$Z$1,0)),"")</f>
        <v/>
      </c>
      <c r="I3034" s="13" t="str">
        <f aca="false">IFERROR(INDEX('Semrush Data'!$A$1:$Z$20000,MATCH(A3034,'Semrush Data'!$A$1:$A$20000,0),MATCH("CPC*",'Semrush Data'!$A$1:$Z$1,0)),"")</f>
        <v/>
      </c>
      <c r="J3034" s="7" t="str">
        <f aca="false">IFERROR(INDEX('Semrush Data'!$A$1:$Z$20000,MATCH(A3034,'Semrush Data'!$A$1:$A$20000,0),MATCH("Intent",'Semrush Data'!$A$1:$Z$1,0)),"")</f>
        <v/>
      </c>
    </row>
    <row r="3035" customFormat="false" ht="15" hidden="false" customHeight="true" outlineLevel="0" collapsed="false">
      <c r="A3035" s="7" t="s">
        <v>7689</v>
      </c>
      <c r="B3035" s="7" t="s">
        <v>6820</v>
      </c>
      <c r="C3035" s="7" t="n">
        <v>3</v>
      </c>
      <c r="D3035" s="7" t="n">
        <v>31</v>
      </c>
      <c r="E3035" s="7" t="n">
        <v>1</v>
      </c>
      <c r="F3035" s="7" t="s">
        <v>5855</v>
      </c>
      <c r="G3035" s="12" t="str">
        <f aca="false">IFERROR(INDEX('Semrush Data'!$A$1:$Z$20000,MATCH(A3035,'Semrush Data'!$A$1:$A$20000,0),MATCH("Volume",'Semrush Data'!$A$1:$Z$1,0)),"")</f>
        <v/>
      </c>
      <c r="H3035" s="7" t="str">
        <f aca="false">IFERROR(INDEX('Semrush Data'!$A$1:$Z$20000,MATCH(A3035,'Semrush Data'!$A$1:$A$20000,0),MATCH("Keyword Difficulty*",'Semrush Data'!$A$1:$Z$1,0)),"")</f>
        <v/>
      </c>
      <c r="I3035" s="13" t="str">
        <f aca="false">IFERROR(INDEX('Semrush Data'!$A$1:$Z$20000,MATCH(A3035,'Semrush Data'!$A$1:$A$20000,0),MATCH("CPC*",'Semrush Data'!$A$1:$Z$1,0)),"")</f>
        <v/>
      </c>
      <c r="J3035" s="7" t="str">
        <f aca="false">IFERROR(INDEX('Semrush Data'!$A$1:$Z$20000,MATCH(A3035,'Semrush Data'!$A$1:$A$20000,0),MATCH("Intent",'Semrush Data'!$A$1:$Z$1,0)),"")</f>
        <v/>
      </c>
    </row>
    <row r="3036" customFormat="false" ht="15" hidden="false" customHeight="true" outlineLevel="0" collapsed="false">
      <c r="A3036" s="7" t="s">
        <v>7690</v>
      </c>
      <c r="B3036" s="7" t="s">
        <v>6820</v>
      </c>
      <c r="C3036" s="7" t="n">
        <v>3</v>
      </c>
      <c r="D3036" s="7" t="n">
        <v>31</v>
      </c>
      <c r="E3036" s="7" t="n">
        <v>1</v>
      </c>
      <c r="F3036" s="7" t="s">
        <v>5855</v>
      </c>
      <c r="G3036" s="12" t="str">
        <f aca="false">IFERROR(INDEX('Semrush Data'!$A$1:$Z$20000,MATCH(A3036,'Semrush Data'!$A$1:$A$20000,0),MATCH("Volume",'Semrush Data'!$A$1:$Z$1,0)),"")</f>
        <v/>
      </c>
      <c r="H3036" s="7" t="str">
        <f aca="false">IFERROR(INDEX('Semrush Data'!$A$1:$Z$20000,MATCH(A3036,'Semrush Data'!$A$1:$A$20000,0),MATCH("Keyword Difficulty*",'Semrush Data'!$A$1:$Z$1,0)),"")</f>
        <v/>
      </c>
      <c r="I3036" s="13" t="str">
        <f aca="false">IFERROR(INDEX('Semrush Data'!$A$1:$Z$20000,MATCH(A3036,'Semrush Data'!$A$1:$A$20000,0),MATCH("CPC*",'Semrush Data'!$A$1:$Z$1,0)),"")</f>
        <v/>
      </c>
      <c r="J3036" s="7" t="str">
        <f aca="false">IFERROR(INDEX('Semrush Data'!$A$1:$Z$20000,MATCH(A3036,'Semrush Data'!$A$1:$A$20000,0),MATCH("Intent",'Semrush Data'!$A$1:$Z$1,0)),"")</f>
        <v/>
      </c>
    </row>
    <row r="3037" customFormat="false" ht="15" hidden="false" customHeight="true" outlineLevel="0" collapsed="false">
      <c r="A3037" s="7" t="s">
        <v>7691</v>
      </c>
      <c r="B3037" s="7" t="s">
        <v>6820</v>
      </c>
      <c r="C3037" s="7" t="n">
        <v>3</v>
      </c>
      <c r="D3037" s="7" t="n">
        <v>31</v>
      </c>
      <c r="E3037" s="7" t="n">
        <v>1</v>
      </c>
      <c r="F3037" s="7" t="s">
        <v>5855</v>
      </c>
      <c r="G3037" s="12" t="str">
        <f aca="false">IFERROR(INDEX('Semrush Data'!$A$1:$Z$20000,MATCH(A3037,'Semrush Data'!$A$1:$A$20000,0),MATCH("Volume",'Semrush Data'!$A$1:$Z$1,0)),"")</f>
        <v/>
      </c>
      <c r="H3037" s="7" t="str">
        <f aca="false">IFERROR(INDEX('Semrush Data'!$A$1:$Z$20000,MATCH(A3037,'Semrush Data'!$A$1:$A$20000,0),MATCH("Keyword Difficulty*",'Semrush Data'!$A$1:$Z$1,0)),"")</f>
        <v/>
      </c>
      <c r="I3037" s="13" t="str">
        <f aca="false">IFERROR(INDEX('Semrush Data'!$A$1:$Z$20000,MATCH(A3037,'Semrush Data'!$A$1:$A$20000,0),MATCH("CPC*",'Semrush Data'!$A$1:$Z$1,0)),"")</f>
        <v/>
      </c>
      <c r="J3037" s="7" t="str">
        <f aca="false">IFERROR(INDEX('Semrush Data'!$A$1:$Z$20000,MATCH(A3037,'Semrush Data'!$A$1:$A$20000,0),MATCH("Intent",'Semrush Data'!$A$1:$Z$1,0)),"")</f>
        <v/>
      </c>
    </row>
    <row r="3038" customFormat="false" ht="15" hidden="false" customHeight="true" outlineLevel="0" collapsed="false">
      <c r="A3038" s="7" t="s">
        <v>7692</v>
      </c>
      <c r="B3038" s="7" t="s">
        <v>6820</v>
      </c>
      <c r="C3038" s="7" t="n">
        <v>3</v>
      </c>
      <c r="D3038" s="7" t="n">
        <v>31</v>
      </c>
      <c r="E3038" s="7" t="n">
        <v>1</v>
      </c>
      <c r="F3038" s="7" t="s">
        <v>5855</v>
      </c>
      <c r="G3038" s="12" t="str">
        <f aca="false">IFERROR(INDEX('Semrush Data'!$A$1:$Z$20000,MATCH(A3038,'Semrush Data'!$A$1:$A$20000,0),MATCH("Volume",'Semrush Data'!$A$1:$Z$1,0)),"")</f>
        <v/>
      </c>
      <c r="H3038" s="7" t="str">
        <f aca="false">IFERROR(INDEX('Semrush Data'!$A$1:$Z$20000,MATCH(A3038,'Semrush Data'!$A$1:$A$20000,0),MATCH("Keyword Difficulty*",'Semrush Data'!$A$1:$Z$1,0)),"")</f>
        <v/>
      </c>
      <c r="I3038" s="13" t="str">
        <f aca="false">IFERROR(INDEX('Semrush Data'!$A$1:$Z$20000,MATCH(A3038,'Semrush Data'!$A$1:$A$20000,0),MATCH("CPC*",'Semrush Data'!$A$1:$Z$1,0)),"")</f>
        <v/>
      </c>
      <c r="J3038" s="7" t="str">
        <f aca="false">IFERROR(INDEX('Semrush Data'!$A$1:$Z$20000,MATCH(A3038,'Semrush Data'!$A$1:$A$20000,0),MATCH("Intent",'Semrush Data'!$A$1:$Z$1,0)),"")</f>
        <v/>
      </c>
    </row>
    <row r="3039" customFormat="false" ht="15" hidden="false" customHeight="true" outlineLevel="0" collapsed="false">
      <c r="A3039" s="7" t="s">
        <v>7693</v>
      </c>
      <c r="B3039" s="7" t="s">
        <v>6820</v>
      </c>
      <c r="C3039" s="7" t="n">
        <v>3</v>
      </c>
      <c r="D3039" s="7" t="n">
        <v>31</v>
      </c>
      <c r="E3039" s="7" t="n">
        <v>1</v>
      </c>
      <c r="F3039" s="7" t="s">
        <v>5832</v>
      </c>
      <c r="G3039" s="12" t="str">
        <f aca="false">IFERROR(INDEX('Semrush Data'!$A$1:$Z$20000,MATCH(A3039,'Semrush Data'!$A$1:$A$20000,0),MATCH("Volume",'Semrush Data'!$A$1:$Z$1,0)),"")</f>
        <v/>
      </c>
      <c r="H3039" s="7" t="str">
        <f aca="false">IFERROR(INDEX('Semrush Data'!$A$1:$Z$20000,MATCH(A3039,'Semrush Data'!$A$1:$A$20000,0),MATCH("Keyword Difficulty*",'Semrush Data'!$A$1:$Z$1,0)),"")</f>
        <v/>
      </c>
      <c r="I3039" s="13" t="str">
        <f aca="false">IFERROR(INDEX('Semrush Data'!$A$1:$Z$20000,MATCH(A3039,'Semrush Data'!$A$1:$A$20000,0),MATCH("CPC*",'Semrush Data'!$A$1:$Z$1,0)),"")</f>
        <v/>
      </c>
      <c r="J3039" s="7" t="str">
        <f aca="false">IFERROR(INDEX('Semrush Data'!$A$1:$Z$20000,MATCH(A3039,'Semrush Data'!$A$1:$A$20000,0),MATCH("Intent",'Semrush Data'!$A$1:$Z$1,0)),"")</f>
        <v/>
      </c>
    </row>
    <row r="3040" customFormat="false" ht="15" hidden="false" customHeight="true" outlineLevel="0" collapsed="false">
      <c r="A3040" s="7" t="s">
        <v>5762</v>
      </c>
      <c r="B3040" s="7" t="s">
        <v>6820</v>
      </c>
      <c r="C3040" s="7" t="n">
        <v>3</v>
      </c>
      <c r="D3040" s="7" t="n">
        <v>31</v>
      </c>
      <c r="E3040" s="7" t="n">
        <v>1</v>
      </c>
      <c r="F3040" s="7" t="s">
        <v>5753</v>
      </c>
      <c r="G3040" s="12" t="str">
        <f aca="false">IFERROR(INDEX('Semrush Data'!$A$1:$Z$20000,MATCH(A3040,'Semrush Data'!$A$1:$A$20000,0),MATCH("Volume",'Semrush Data'!$A$1:$Z$1,0)),"")</f>
        <v/>
      </c>
      <c r="H3040" s="7" t="str">
        <f aca="false">IFERROR(INDEX('Semrush Data'!$A$1:$Z$20000,MATCH(A3040,'Semrush Data'!$A$1:$A$20000,0),MATCH("Keyword Difficulty*",'Semrush Data'!$A$1:$Z$1,0)),"")</f>
        <v/>
      </c>
      <c r="I3040" s="13" t="str">
        <f aca="false">IFERROR(INDEX('Semrush Data'!$A$1:$Z$20000,MATCH(A3040,'Semrush Data'!$A$1:$A$20000,0),MATCH("CPC*",'Semrush Data'!$A$1:$Z$1,0)),"")</f>
        <v/>
      </c>
      <c r="J3040" s="7" t="str">
        <f aca="false">IFERROR(INDEX('Semrush Data'!$A$1:$Z$20000,MATCH(A3040,'Semrush Data'!$A$1:$A$20000,0),MATCH("Intent",'Semrush Data'!$A$1:$Z$1,0)),"")</f>
        <v/>
      </c>
    </row>
    <row r="3041" customFormat="false" ht="15" hidden="false" customHeight="true" outlineLevel="0" collapsed="false">
      <c r="A3041" s="7" t="s">
        <v>7694</v>
      </c>
      <c r="B3041" s="7" t="s">
        <v>6820</v>
      </c>
      <c r="C3041" s="7" t="n">
        <v>3</v>
      </c>
      <c r="D3041" s="7" t="n">
        <v>31</v>
      </c>
      <c r="E3041" s="7" t="n">
        <v>1</v>
      </c>
      <c r="F3041" s="7" t="s">
        <v>5766</v>
      </c>
      <c r="G3041" s="12" t="str">
        <f aca="false">IFERROR(INDEX('Semrush Data'!$A$1:$Z$20000,MATCH(A3041,'Semrush Data'!$A$1:$A$20000,0),MATCH("Volume",'Semrush Data'!$A$1:$Z$1,0)),"")</f>
        <v/>
      </c>
      <c r="H3041" s="7" t="str">
        <f aca="false">IFERROR(INDEX('Semrush Data'!$A$1:$Z$20000,MATCH(A3041,'Semrush Data'!$A$1:$A$20000,0),MATCH("Keyword Difficulty*",'Semrush Data'!$A$1:$Z$1,0)),"")</f>
        <v/>
      </c>
      <c r="I3041" s="13" t="str">
        <f aca="false">IFERROR(INDEX('Semrush Data'!$A$1:$Z$20000,MATCH(A3041,'Semrush Data'!$A$1:$A$20000,0),MATCH("CPC*",'Semrush Data'!$A$1:$Z$1,0)),"")</f>
        <v/>
      </c>
      <c r="J3041" s="7" t="str">
        <f aca="false">IFERROR(INDEX('Semrush Data'!$A$1:$Z$20000,MATCH(A3041,'Semrush Data'!$A$1:$A$20000,0),MATCH("Intent",'Semrush Data'!$A$1:$Z$1,0)),"")</f>
        <v/>
      </c>
    </row>
    <row r="3042" customFormat="false" ht="15" hidden="false" customHeight="true" outlineLevel="0" collapsed="false">
      <c r="A3042" s="7" t="s">
        <v>7695</v>
      </c>
      <c r="B3042" s="7" t="s">
        <v>6820</v>
      </c>
      <c r="C3042" s="7" t="n">
        <v>3</v>
      </c>
      <c r="D3042" s="7" t="n">
        <v>31</v>
      </c>
      <c r="E3042" s="7" t="n">
        <v>1</v>
      </c>
      <c r="F3042" s="7" t="s">
        <v>5766</v>
      </c>
      <c r="G3042" s="12" t="str">
        <f aca="false">IFERROR(INDEX('Semrush Data'!$A$1:$Z$20000,MATCH(A3042,'Semrush Data'!$A$1:$A$20000,0),MATCH("Volume",'Semrush Data'!$A$1:$Z$1,0)),"")</f>
        <v/>
      </c>
      <c r="H3042" s="7" t="str">
        <f aca="false">IFERROR(INDEX('Semrush Data'!$A$1:$Z$20000,MATCH(A3042,'Semrush Data'!$A$1:$A$20000,0),MATCH("Keyword Difficulty*",'Semrush Data'!$A$1:$Z$1,0)),"")</f>
        <v/>
      </c>
      <c r="I3042" s="13" t="str">
        <f aca="false">IFERROR(INDEX('Semrush Data'!$A$1:$Z$20000,MATCH(A3042,'Semrush Data'!$A$1:$A$20000,0),MATCH("CPC*",'Semrush Data'!$A$1:$Z$1,0)),"")</f>
        <v/>
      </c>
      <c r="J3042" s="7" t="str">
        <f aca="false">IFERROR(INDEX('Semrush Data'!$A$1:$Z$20000,MATCH(A3042,'Semrush Data'!$A$1:$A$20000,0),MATCH("Intent",'Semrush Data'!$A$1:$Z$1,0)),"")</f>
        <v/>
      </c>
    </row>
    <row r="3043" customFormat="false" ht="15" hidden="false" customHeight="true" outlineLevel="0" collapsed="false">
      <c r="A3043" s="7" t="s">
        <v>7696</v>
      </c>
      <c r="B3043" s="7" t="s">
        <v>6820</v>
      </c>
      <c r="C3043" s="7" t="n">
        <v>3</v>
      </c>
      <c r="D3043" s="7" t="n">
        <v>31</v>
      </c>
      <c r="E3043" s="7" t="n">
        <v>1</v>
      </c>
      <c r="F3043" s="7" t="s">
        <v>5766</v>
      </c>
      <c r="G3043" s="12" t="str">
        <f aca="false">IFERROR(INDEX('Semrush Data'!$A$1:$Z$20000,MATCH(A3043,'Semrush Data'!$A$1:$A$20000,0),MATCH("Volume",'Semrush Data'!$A$1:$Z$1,0)),"")</f>
        <v/>
      </c>
      <c r="H3043" s="7" t="str">
        <f aca="false">IFERROR(INDEX('Semrush Data'!$A$1:$Z$20000,MATCH(A3043,'Semrush Data'!$A$1:$A$20000,0),MATCH("Keyword Difficulty*",'Semrush Data'!$A$1:$Z$1,0)),"")</f>
        <v/>
      </c>
      <c r="I3043" s="13" t="str">
        <f aca="false">IFERROR(INDEX('Semrush Data'!$A$1:$Z$20000,MATCH(A3043,'Semrush Data'!$A$1:$A$20000,0),MATCH("CPC*",'Semrush Data'!$A$1:$Z$1,0)),"")</f>
        <v/>
      </c>
      <c r="J3043" s="7" t="str">
        <f aca="false">IFERROR(INDEX('Semrush Data'!$A$1:$Z$20000,MATCH(A3043,'Semrush Data'!$A$1:$A$20000,0),MATCH("Intent",'Semrush Data'!$A$1:$Z$1,0)),"")</f>
        <v/>
      </c>
    </row>
    <row r="3044" customFormat="false" ht="15" hidden="false" customHeight="true" outlineLevel="0" collapsed="false">
      <c r="A3044" s="7" t="s">
        <v>7697</v>
      </c>
      <c r="B3044" s="7" t="s">
        <v>6820</v>
      </c>
      <c r="C3044" s="7" t="n">
        <v>3</v>
      </c>
      <c r="D3044" s="7" t="n">
        <v>31</v>
      </c>
      <c r="E3044" s="7" t="n">
        <v>1</v>
      </c>
      <c r="F3044" s="7" t="s">
        <v>5766</v>
      </c>
      <c r="G3044" s="12" t="str">
        <f aca="false">IFERROR(INDEX('Semrush Data'!$A$1:$Z$20000,MATCH(A3044,'Semrush Data'!$A$1:$A$20000,0),MATCH("Volume",'Semrush Data'!$A$1:$Z$1,0)),"")</f>
        <v/>
      </c>
      <c r="H3044" s="7" t="str">
        <f aca="false">IFERROR(INDEX('Semrush Data'!$A$1:$Z$20000,MATCH(A3044,'Semrush Data'!$A$1:$A$20000,0),MATCH("Keyword Difficulty*",'Semrush Data'!$A$1:$Z$1,0)),"")</f>
        <v/>
      </c>
      <c r="I3044" s="13" t="str">
        <f aca="false">IFERROR(INDEX('Semrush Data'!$A$1:$Z$20000,MATCH(A3044,'Semrush Data'!$A$1:$A$20000,0),MATCH("CPC*",'Semrush Data'!$A$1:$Z$1,0)),"")</f>
        <v/>
      </c>
      <c r="J3044" s="7" t="str">
        <f aca="false">IFERROR(INDEX('Semrush Data'!$A$1:$Z$20000,MATCH(A3044,'Semrush Data'!$A$1:$A$20000,0),MATCH("Intent",'Semrush Data'!$A$1:$Z$1,0)),"")</f>
        <v/>
      </c>
    </row>
    <row r="3045" customFormat="false" ht="15" hidden="false" customHeight="true" outlineLevel="0" collapsed="false">
      <c r="A3045" s="7" t="s">
        <v>7698</v>
      </c>
      <c r="B3045" s="7" t="s">
        <v>6820</v>
      </c>
      <c r="C3045" s="7" t="n">
        <v>3</v>
      </c>
      <c r="D3045" s="7" t="n">
        <v>31</v>
      </c>
      <c r="E3045" s="7" t="n">
        <v>1</v>
      </c>
      <c r="F3045" s="7" t="s">
        <v>5777</v>
      </c>
      <c r="G3045" s="12" t="str">
        <f aca="false">IFERROR(INDEX('Semrush Data'!$A$1:$Z$20000,MATCH(A3045,'Semrush Data'!$A$1:$A$20000,0),MATCH("Volume",'Semrush Data'!$A$1:$Z$1,0)),"")</f>
        <v/>
      </c>
      <c r="H3045" s="7" t="str">
        <f aca="false">IFERROR(INDEX('Semrush Data'!$A$1:$Z$20000,MATCH(A3045,'Semrush Data'!$A$1:$A$20000,0),MATCH("Keyword Difficulty*",'Semrush Data'!$A$1:$Z$1,0)),"")</f>
        <v/>
      </c>
      <c r="I3045" s="13" t="str">
        <f aca="false">IFERROR(INDEX('Semrush Data'!$A$1:$Z$20000,MATCH(A3045,'Semrush Data'!$A$1:$A$20000,0),MATCH("CPC*",'Semrush Data'!$A$1:$Z$1,0)),"")</f>
        <v/>
      </c>
      <c r="J3045" s="7" t="str">
        <f aca="false">IFERROR(INDEX('Semrush Data'!$A$1:$Z$20000,MATCH(A3045,'Semrush Data'!$A$1:$A$20000,0),MATCH("Intent",'Semrush Data'!$A$1:$Z$1,0)),"")</f>
        <v/>
      </c>
    </row>
    <row r="3046" customFormat="false" ht="15" hidden="false" customHeight="true" outlineLevel="0" collapsed="false">
      <c r="A3046" s="7" t="s">
        <v>7699</v>
      </c>
      <c r="B3046" s="7" t="s">
        <v>6820</v>
      </c>
      <c r="C3046" s="7" t="n">
        <v>3</v>
      </c>
      <c r="D3046" s="7" t="n">
        <v>31</v>
      </c>
      <c r="E3046" s="7" t="n">
        <v>1</v>
      </c>
      <c r="F3046" s="7" t="s">
        <v>5777</v>
      </c>
      <c r="G3046" s="12" t="str">
        <f aca="false">IFERROR(INDEX('Semrush Data'!$A$1:$Z$20000,MATCH(A3046,'Semrush Data'!$A$1:$A$20000,0),MATCH("Volume",'Semrush Data'!$A$1:$Z$1,0)),"")</f>
        <v/>
      </c>
      <c r="H3046" s="7" t="str">
        <f aca="false">IFERROR(INDEX('Semrush Data'!$A$1:$Z$20000,MATCH(A3046,'Semrush Data'!$A$1:$A$20000,0),MATCH("Keyword Difficulty*",'Semrush Data'!$A$1:$Z$1,0)),"")</f>
        <v/>
      </c>
      <c r="I3046" s="13" t="str">
        <f aca="false">IFERROR(INDEX('Semrush Data'!$A$1:$Z$20000,MATCH(A3046,'Semrush Data'!$A$1:$A$20000,0),MATCH("CPC*",'Semrush Data'!$A$1:$Z$1,0)),"")</f>
        <v/>
      </c>
      <c r="J3046" s="7" t="str">
        <f aca="false">IFERROR(INDEX('Semrush Data'!$A$1:$Z$20000,MATCH(A3046,'Semrush Data'!$A$1:$A$20000,0),MATCH("Intent",'Semrush Data'!$A$1:$Z$1,0)),"")</f>
        <v/>
      </c>
    </row>
    <row r="3047" customFormat="false" ht="15" hidden="false" customHeight="true" outlineLevel="0" collapsed="false">
      <c r="A3047" s="7" t="s">
        <v>7700</v>
      </c>
      <c r="B3047" s="7" t="s">
        <v>6820</v>
      </c>
      <c r="C3047" s="7" t="n">
        <v>3</v>
      </c>
      <c r="D3047" s="7" t="n">
        <v>31</v>
      </c>
      <c r="E3047" s="7" t="n">
        <v>1</v>
      </c>
      <c r="F3047" s="7" t="s">
        <v>5777</v>
      </c>
      <c r="G3047" s="12" t="str">
        <f aca="false">IFERROR(INDEX('Semrush Data'!$A$1:$Z$20000,MATCH(A3047,'Semrush Data'!$A$1:$A$20000,0),MATCH("Volume",'Semrush Data'!$A$1:$Z$1,0)),"")</f>
        <v/>
      </c>
      <c r="H3047" s="7" t="str">
        <f aca="false">IFERROR(INDEX('Semrush Data'!$A$1:$Z$20000,MATCH(A3047,'Semrush Data'!$A$1:$A$20000,0),MATCH("Keyword Difficulty*",'Semrush Data'!$A$1:$Z$1,0)),"")</f>
        <v/>
      </c>
      <c r="I3047" s="13" t="str">
        <f aca="false">IFERROR(INDEX('Semrush Data'!$A$1:$Z$20000,MATCH(A3047,'Semrush Data'!$A$1:$A$20000,0),MATCH("CPC*",'Semrush Data'!$A$1:$Z$1,0)),"")</f>
        <v/>
      </c>
      <c r="J3047" s="7" t="str">
        <f aca="false">IFERROR(INDEX('Semrush Data'!$A$1:$Z$20000,MATCH(A3047,'Semrush Data'!$A$1:$A$20000,0),MATCH("Intent",'Semrush Data'!$A$1:$Z$1,0)),"")</f>
        <v/>
      </c>
    </row>
    <row r="3048" customFormat="false" ht="15" hidden="false" customHeight="true" outlineLevel="0" collapsed="false">
      <c r="A3048" s="7" t="s">
        <v>7701</v>
      </c>
      <c r="B3048" s="7" t="s">
        <v>6820</v>
      </c>
      <c r="C3048" s="7" t="n">
        <v>3</v>
      </c>
      <c r="D3048" s="7" t="n">
        <v>31</v>
      </c>
      <c r="E3048" s="7" t="n">
        <v>1</v>
      </c>
      <c r="F3048" s="7" t="s">
        <v>5777</v>
      </c>
      <c r="G3048" s="12" t="str">
        <f aca="false">IFERROR(INDEX('Semrush Data'!$A$1:$Z$20000,MATCH(A3048,'Semrush Data'!$A$1:$A$20000,0),MATCH("Volume",'Semrush Data'!$A$1:$Z$1,0)),"")</f>
        <v/>
      </c>
      <c r="H3048" s="7" t="str">
        <f aca="false">IFERROR(INDEX('Semrush Data'!$A$1:$Z$20000,MATCH(A3048,'Semrush Data'!$A$1:$A$20000,0),MATCH("Keyword Difficulty*",'Semrush Data'!$A$1:$Z$1,0)),"")</f>
        <v/>
      </c>
      <c r="I3048" s="13" t="str">
        <f aca="false">IFERROR(INDEX('Semrush Data'!$A$1:$Z$20000,MATCH(A3048,'Semrush Data'!$A$1:$A$20000,0),MATCH("CPC*",'Semrush Data'!$A$1:$Z$1,0)),"")</f>
        <v/>
      </c>
      <c r="J3048" s="7" t="str">
        <f aca="false">IFERROR(INDEX('Semrush Data'!$A$1:$Z$20000,MATCH(A3048,'Semrush Data'!$A$1:$A$20000,0),MATCH("Intent",'Semrush Data'!$A$1:$Z$1,0)),"")</f>
        <v/>
      </c>
    </row>
    <row r="3049" customFormat="false" ht="15" hidden="false" customHeight="true" outlineLevel="0" collapsed="false">
      <c r="A3049" s="7" t="s">
        <v>7702</v>
      </c>
      <c r="B3049" s="7" t="s">
        <v>6820</v>
      </c>
      <c r="C3049" s="7" t="n">
        <v>3</v>
      </c>
      <c r="D3049" s="7" t="n">
        <v>31</v>
      </c>
      <c r="E3049" s="7" t="n">
        <v>1</v>
      </c>
      <c r="F3049" s="7" t="s">
        <v>5788</v>
      </c>
      <c r="G3049" s="12" t="str">
        <f aca="false">IFERROR(INDEX('Semrush Data'!$A$1:$Z$20000,MATCH(A3049,'Semrush Data'!$A$1:$A$20000,0),MATCH("Volume",'Semrush Data'!$A$1:$Z$1,0)),"")</f>
        <v/>
      </c>
      <c r="H3049" s="7" t="str">
        <f aca="false">IFERROR(INDEX('Semrush Data'!$A$1:$Z$20000,MATCH(A3049,'Semrush Data'!$A$1:$A$20000,0),MATCH("Keyword Difficulty*",'Semrush Data'!$A$1:$Z$1,0)),"")</f>
        <v/>
      </c>
      <c r="I3049" s="13" t="str">
        <f aca="false">IFERROR(INDEX('Semrush Data'!$A$1:$Z$20000,MATCH(A3049,'Semrush Data'!$A$1:$A$20000,0),MATCH("CPC*",'Semrush Data'!$A$1:$Z$1,0)),"")</f>
        <v/>
      </c>
      <c r="J3049" s="7" t="str">
        <f aca="false">IFERROR(INDEX('Semrush Data'!$A$1:$Z$20000,MATCH(A3049,'Semrush Data'!$A$1:$A$20000,0),MATCH("Intent",'Semrush Data'!$A$1:$Z$1,0)),"")</f>
        <v/>
      </c>
    </row>
    <row r="3050" customFormat="false" ht="15" hidden="false" customHeight="true" outlineLevel="0" collapsed="false">
      <c r="A3050" s="7" t="s">
        <v>7703</v>
      </c>
      <c r="B3050" s="7" t="s">
        <v>6820</v>
      </c>
      <c r="C3050" s="7" t="n">
        <v>3</v>
      </c>
      <c r="D3050" s="7" t="n">
        <v>31</v>
      </c>
      <c r="E3050" s="7" t="n">
        <v>1</v>
      </c>
      <c r="F3050" s="7" t="s">
        <v>5788</v>
      </c>
      <c r="G3050" s="12" t="str">
        <f aca="false">IFERROR(INDEX('Semrush Data'!$A$1:$Z$20000,MATCH(A3050,'Semrush Data'!$A$1:$A$20000,0),MATCH("Volume",'Semrush Data'!$A$1:$Z$1,0)),"")</f>
        <v/>
      </c>
      <c r="H3050" s="7" t="str">
        <f aca="false">IFERROR(INDEX('Semrush Data'!$A$1:$Z$20000,MATCH(A3050,'Semrush Data'!$A$1:$A$20000,0),MATCH("Keyword Difficulty*",'Semrush Data'!$A$1:$Z$1,0)),"")</f>
        <v/>
      </c>
      <c r="I3050" s="13" t="str">
        <f aca="false">IFERROR(INDEX('Semrush Data'!$A$1:$Z$20000,MATCH(A3050,'Semrush Data'!$A$1:$A$20000,0),MATCH("CPC*",'Semrush Data'!$A$1:$Z$1,0)),"")</f>
        <v/>
      </c>
      <c r="J3050" s="7" t="str">
        <f aca="false">IFERROR(INDEX('Semrush Data'!$A$1:$Z$20000,MATCH(A3050,'Semrush Data'!$A$1:$A$20000,0),MATCH("Intent",'Semrush Data'!$A$1:$Z$1,0)),"")</f>
        <v/>
      </c>
    </row>
    <row r="3051" customFormat="false" ht="15" hidden="false" customHeight="true" outlineLevel="0" collapsed="false">
      <c r="A3051" s="7" t="s">
        <v>7704</v>
      </c>
      <c r="B3051" s="7" t="s">
        <v>6820</v>
      </c>
      <c r="C3051" s="7" t="n">
        <v>3</v>
      </c>
      <c r="D3051" s="7" t="n">
        <v>31</v>
      </c>
      <c r="E3051" s="7" t="n">
        <v>1</v>
      </c>
      <c r="F3051" s="7" t="s">
        <v>5788</v>
      </c>
      <c r="G3051" s="12" t="str">
        <f aca="false">IFERROR(INDEX('Semrush Data'!$A$1:$Z$20000,MATCH(A3051,'Semrush Data'!$A$1:$A$20000,0),MATCH("Volume",'Semrush Data'!$A$1:$Z$1,0)),"")</f>
        <v/>
      </c>
      <c r="H3051" s="7" t="str">
        <f aca="false">IFERROR(INDEX('Semrush Data'!$A$1:$Z$20000,MATCH(A3051,'Semrush Data'!$A$1:$A$20000,0),MATCH("Keyword Difficulty*",'Semrush Data'!$A$1:$Z$1,0)),"")</f>
        <v/>
      </c>
      <c r="I3051" s="13" t="str">
        <f aca="false">IFERROR(INDEX('Semrush Data'!$A$1:$Z$20000,MATCH(A3051,'Semrush Data'!$A$1:$A$20000,0),MATCH("CPC*",'Semrush Data'!$A$1:$Z$1,0)),"")</f>
        <v/>
      </c>
      <c r="J3051" s="7" t="str">
        <f aca="false">IFERROR(INDEX('Semrush Data'!$A$1:$Z$20000,MATCH(A3051,'Semrush Data'!$A$1:$A$20000,0),MATCH("Intent",'Semrush Data'!$A$1:$Z$1,0)),"")</f>
        <v/>
      </c>
    </row>
    <row r="3052" customFormat="false" ht="15" hidden="false" customHeight="true" outlineLevel="0" collapsed="false">
      <c r="A3052" s="7" t="s">
        <v>7705</v>
      </c>
      <c r="B3052" s="7" t="s">
        <v>6820</v>
      </c>
      <c r="C3052" s="7" t="n">
        <v>3</v>
      </c>
      <c r="D3052" s="7" t="n">
        <v>31</v>
      </c>
      <c r="E3052" s="7" t="n">
        <v>1</v>
      </c>
      <c r="F3052" s="7" t="s">
        <v>5788</v>
      </c>
      <c r="G3052" s="12" t="str">
        <f aca="false">IFERROR(INDEX('Semrush Data'!$A$1:$Z$20000,MATCH(A3052,'Semrush Data'!$A$1:$A$20000,0),MATCH("Volume",'Semrush Data'!$A$1:$Z$1,0)),"")</f>
        <v/>
      </c>
      <c r="H3052" s="7" t="str">
        <f aca="false">IFERROR(INDEX('Semrush Data'!$A$1:$Z$20000,MATCH(A3052,'Semrush Data'!$A$1:$A$20000,0),MATCH("Keyword Difficulty*",'Semrush Data'!$A$1:$Z$1,0)),"")</f>
        <v/>
      </c>
      <c r="I3052" s="13" t="str">
        <f aca="false">IFERROR(INDEX('Semrush Data'!$A$1:$Z$20000,MATCH(A3052,'Semrush Data'!$A$1:$A$20000,0),MATCH("CPC*",'Semrush Data'!$A$1:$Z$1,0)),"")</f>
        <v/>
      </c>
      <c r="J3052" s="7" t="str">
        <f aca="false">IFERROR(INDEX('Semrush Data'!$A$1:$Z$20000,MATCH(A3052,'Semrush Data'!$A$1:$A$20000,0),MATCH("Intent",'Semrush Data'!$A$1:$Z$1,0)),"")</f>
        <v/>
      </c>
    </row>
    <row r="3053" customFormat="false" ht="15" hidden="false" customHeight="true" outlineLevel="0" collapsed="false">
      <c r="A3053" s="7" t="s">
        <v>7706</v>
      </c>
      <c r="B3053" s="7" t="s">
        <v>6820</v>
      </c>
      <c r="C3053" s="7" t="n">
        <v>3</v>
      </c>
      <c r="D3053" s="7" t="n">
        <v>31</v>
      </c>
      <c r="E3053" s="7" t="n">
        <v>1</v>
      </c>
      <c r="F3053" s="7" t="s">
        <v>5788</v>
      </c>
      <c r="G3053" s="12" t="str">
        <f aca="false">IFERROR(INDEX('Semrush Data'!$A$1:$Z$20000,MATCH(A3053,'Semrush Data'!$A$1:$A$20000,0),MATCH("Volume",'Semrush Data'!$A$1:$Z$1,0)),"")</f>
        <v/>
      </c>
      <c r="H3053" s="7" t="str">
        <f aca="false">IFERROR(INDEX('Semrush Data'!$A$1:$Z$20000,MATCH(A3053,'Semrush Data'!$A$1:$A$20000,0),MATCH("Keyword Difficulty*",'Semrush Data'!$A$1:$Z$1,0)),"")</f>
        <v/>
      </c>
      <c r="I3053" s="13" t="str">
        <f aca="false">IFERROR(INDEX('Semrush Data'!$A$1:$Z$20000,MATCH(A3053,'Semrush Data'!$A$1:$A$20000,0),MATCH("CPC*",'Semrush Data'!$A$1:$Z$1,0)),"")</f>
        <v/>
      </c>
      <c r="J3053" s="7" t="str">
        <f aca="false">IFERROR(INDEX('Semrush Data'!$A$1:$Z$20000,MATCH(A3053,'Semrush Data'!$A$1:$A$20000,0),MATCH("Intent",'Semrush Data'!$A$1:$Z$1,0)),"")</f>
        <v/>
      </c>
    </row>
    <row r="3054" customFormat="false" ht="15" hidden="false" customHeight="true" outlineLevel="0" collapsed="false">
      <c r="A3054" s="7" t="s">
        <v>7707</v>
      </c>
      <c r="B3054" s="7" t="s">
        <v>6820</v>
      </c>
      <c r="C3054" s="7" t="n">
        <v>3</v>
      </c>
      <c r="D3054" s="7" t="n">
        <v>31</v>
      </c>
      <c r="E3054" s="7" t="n">
        <v>1</v>
      </c>
      <c r="F3054" s="7" t="s">
        <v>5832</v>
      </c>
      <c r="G3054" s="12" t="str">
        <f aca="false">IFERROR(INDEX('Semrush Data'!$A$1:$Z$20000,MATCH(A3054,'Semrush Data'!$A$1:$A$20000,0),MATCH("Volume",'Semrush Data'!$A$1:$Z$1,0)),"")</f>
        <v/>
      </c>
      <c r="H3054" s="7" t="str">
        <f aca="false">IFERROR(INDEX('Semrush Data'!$A$1:$Z$20000,MATCH(A3054,'Semrush Data'!$A$1:$A$20000,0),MATCH("Keyword Difficulty*",'Semrush Data'!$A$1:$Z$1,0)),"")</f>
        <v/>
      </c>
      <c r="I3054" s="13" t="str">
        <f aca="false">IFERROR(INDEX('Semrush Data'!$A$1:$Z$20000,MATCH(A3054,'Semrush Data'!$A$1:$A$20000,0),MATCH("CPC*",'Semrush Data'!$A$1:$Z$1,0)),"")</f>
        <v/>
      </c>
      <c r="J3054" s="7" t="str">
        <f aca="false">IFERROR(INDEX('Semrush Data'!$A$1:$Z$20000,MATCH(A3054,'Semrush Data'!$A$1:$A$20000,0),MATCH("Intent",'Semrush Data'!$A$1:$Z$1,0)),"")</f>
        <v/>
      </c>
    </row>
    <row r="3055" customFormat="false" ht="15" hidden="false" customHeight="true" outlineLevel="0" collapsed="false">
      <c r="A3055" s="7" t="s">
        <v>7708</v>
      </c>
      <c r="B3055" s="7" t="s">
        <v>6820</v>
      </c>
      <c r="C3055" s="7" t="n">
        <v>3</v>
      </c>
      <c r="D3055" s="7" t="n">
        <v>31</v>
      </c>
      <c r="E3055" s="7" t="n">
        <v>1</v>
      </c>
      <c r="F3055" s="7" t="s">
        <v>5719</v>
      </c>
      <c r="G3055" s="12" t="str">
        <f aca="false">IFERROR(INDEX('Semrush Data'!$A$1:$Z$20000,MATCH(A3055,'Semrush Data'!$A$1:$A$20000,0),MATCH("Volume",'Semrush Data'!$A$1:$Z$1,0)),"")</f>
        <v/>
      </c>
      <c r="H3055" s="7" t="str">
        <f aca="false">IFERROR(INDEX('Semrush Data'!$A$1:$Z$20000,MATCH(A3055,'Semrush Data'!$A$1:$A$20000,0),MATCH("Keyword Difficulty*",'Semrush Data'!$A$1:$Z$1,0)),"")</f>
        <v/>
      </c>
      <c r="I3055" s="13" t="str">
        <f aca="false">IFERROR(INDEX('Semrush Data'!$A$1:$Z$20000,MATCH(A3055,'Semrush Data'!$A$1:$A$20000,0),MATCH("CPC*",'Semrush Data'!$A$1:$Z$1,0)),"")</f>
        <v/>
      </c>
      <c r="J3055" s="7" t="str">
        <f aca="false">IFERROR(INDEX('Semrush Data'!$A$1:$Z$20000,MATCH(A3055,'Semrush Data'!$A$1:$A$20000,0),MATCH("Intent",'Semrush Data'!$A$1:$Z$1,0)),"")</f>
        <v/>
      </c>
    </row>
    <row r="3056" customFormat="false" ht="15" hidden="false" customHeight="true" outlineLevel="0" collapsed="false">
      <c r="A3056" s="7" t="s">
        <v>5874</v>
      </c>
      <c r="B3056" s="7" t="s">
        <v>6820</v>
      </c>
      <c r="C3056" s="7" t="n">
        <v>3</v>
      </c>
      <c r="D3056" s="7" t="n">
        <v>31</v>
      </c>
      <c r="E3056" s="7" t="n">
        <v>1</v>
      </c>
      <c r="F3056" s="7" t="s">
        <v>5866</v>
      </c>
      <c r="G3056" s="12" t="str">
        <f aca="false">IFERROR(INDEX('Semrush Data'!$A$1:$Z$20000,MATCH(A3056,'Semrush Data'!$A$1:$A$20000,0),MATCH("Volume",'Semrush Data'!$A$1:$Z$1,0)),"")</f>
        <v/>
      </c>
      <c r="H3056" s="7" t="str">
        <f aca="false">IFERROR(INDEX('Semrush Data'!$A$1:$Z$20000,MATCH(A3056,'Semrush Data'!$A$1:$A$20000,0),MATCH("Keyword Difficulty*",'Semrush Data'!$A$1:$Z$1,0)),"")</f>
        <v/>
      </c>
      <c r="I3056" s="13" t="str">
        <f aca="false">IFERROR(INDEX('Semrush Data'!$A$1:$Z$20000,MATCH(A3056,'Semrush Data'!$A$1:$A$20000,0),MATCH("CPC*",'Semrush Data'!$A$1:$Z$1,0)),"")</f>
        <v/>
      </c>
      <c r="J3056" s="7" t="str">
        <f aca="false">IFERROR(INDEX('Semrush Data'!$A$1:$Z$20000,MATCH(A3056,'Semrush Data'!$A$1:$A$20000,0),MATCH("Intent",'Semrush Data'!$A$1:$Z$1,0)),"")</f>
        <v/>
      </c>
    </row>
    <row r="3057" customFormat="false" ht="15" hidden="false" customHeight="true" outlineLevel="0" collapsed="false">
      <c r="A3057" s="7" t="s">
        <v>7709</v>
      </c>
      <c r="B3057" s="7" t="s">
        <v>6820</v>
      </c>
      <c r="C3057" s="7" t="n">
        <v>3</v>
      </c>
      <c r="D3057" s="7" t="n">
        <v>31</v>
      </c>
      <c r="E3057" s="7" t="n">
        <v>1</v>
      </c>
      <c r="F3057" s="7" t="s">
        <v>5799</v>
      </c>
      <c r="G3057" s="12" t="str">
        <f aca="false">IFERROR(INDEX('Semrush Data'!$A$1:$Z$20000,MATCH(A3057,'Semrush Data'!$A$1:$A$20000,0),MATCH("Volume",'Semrush Data'!$A$1:$Z$1,0)),"")</f>
        <v/>
      </c>
      <c r="H3057" s="7" t="str">
        <f aca="false">IFERROR(INDEX('Semrush Data'!$A$1:$Z$20000,MATCH(A3057,'Semrush Data'!$A$1:$A$20000,0),MATCH("Keyword Difficulty*",'Semrush Data'!$A$1:$Z$1,0)),"")</f>
        <v/>
      </c>
      <c r="I3057" s="13" t="str">
        <f aca="false">IFERROR(INDEX('Semrush Data'!$A$1:$Z$20000,MATCH(A3057,'Semrush Data'!$A$1:$A$20000,0),MATCH("CPC*",'Semrush Data'!$A$1:$Z$1,0)),"")</f>
        <v/>
      </c>
      <c r="J3057" s="7" t="str">
        <f aca="false">IFERROR(INDEX('Semrush Data'!$A$1:$Z$20000,MATCH(A3057,'Semrush Data'!$A$1:$A$20000,0),MATCH("Intent",'Semrush Data'!$A$1:$Z$1,0)),"")</f>
        <v/>
      </c>
    </row>
    <row r="3058" customFormat="false" ht="15" hidden="false" customHeight="true" outlineLevel="0" collapsed="false">
      <c r="A3058" s="7" t="s">
        <v>7710</v>
      </c>
      <c r="B3058" s="7" t="s">
        <v>6820</v>
      </c>
      <c r="C3058" s="7" t="n">
        <v>3</v>
      </c>
      <c r="D3058" s="7" t="n">
        <v>31</v>
      </c>
      <c r="E3058" s="7" t="n">
        <v>1</v>
      </c>
      <c r="F3058" s="7" t="s">
        <v>5799</v>
      </c>
      <c r="G3058" s="12" t="str">
        <f aca="false">IFERROR(INDEX('Semrush Data'!$A$1:$Z$20000,MATCH(A3058,'Semrush Data'!$A$1:$A$20000,0),MATCH("Volume",'Semrush Data'!$A$1:$Z$1,0)),"")</f>
        <v/>
      </c>
      <c r="H3058" s="7" t="str">
        <f aca="false">IFERROR(INDEX('Semrush Data'!$A$1:$Z$20000,MATCH(A3058,'Semrush Data'!$A$1:$A$20000,0),MATCH("Keyword Difficulty*",'Semrush Data'!$A$1:$Z$1,0)),"")</f>
        <v/>
      </c>
      <c r="I3058" s="13" t="str">
        <f aca="false">IFERROR(INDEX('Semrush Data'!$A$1:$Z$20000,MATCH(A3058,'Semrush Data'!$A$1:$A$20000,0),MATCH("CPC*",'Semrush Data'!$A$1:$Z$1,0)),"")</f>
        <v/>
      </c>
      <c r="J3058" s="7" t="str">
        <f aca="false">IFERROR(INDEX('Semrush Data'!$A$1:$Z$20000,MATCH(A3058,'Semrush Data'!$A$1:$A$20000,0),MATCH("Intent",'Semrush Data'!$A$1:$Z$1,0)),"")</f>
        <v/>
      </c>
    </row>
    <row r="3059" customFormat="false" ht="15" hidden="false" customHeight="true" outlineLevel="0" collapsed="false">
      <c r="A3059" s="7" t="s">
        <v>7711</v>
      </c>
      <c r="B3059" s="7" t="s">
        <v>6820</v>
      </c>
      <c r="C3059" s="7" t="n">
        <v>3</v>
      </c>
      <c r="D3059" s="7" t="n">
        <v>31</v>
      </c>
      <c r="E3059" s="7" t="n">
        <v>1</v>
      </c>
      <c r="F3059" s="7" t="s">
        <v>5799</v>
      </c>
      <c r="G3059" s="12" t="str">
        <f aca="false">IFERROR(INDEX('Semrush Data'!$A$1:$Z$20000,MATCH(A3059,'Semrush Data'!$A$1:$A$20000,0),MATCH("Volume",'Semrush Data'!$A$1:$Z$1,0)),"")</f>
        <v/>
      </c>
      <c r="H3059" s="7" t="str">
        <f aca="false">IFERROR(INDEX('Semrush Data'!$A$1:$Z$20000,MATCH(A3059,'Semrush Data'!$A$1:$A$20000,0),MATCH("Keyword Difficulty*",'Semrush Data'!$A$1:$Z$1,0)),"")</f>
        <v/>
      </c>
      <c r="I3059" s="13" t="str">
        <f aca="false">IFERROR(INDEX('Semrush Data'!$A$1:$Z$20000,MATCH(A3059,'Semrush Data'!$A$1:$A$20000,0),MATCH("CPC*",'Semrush Data'!$A$1:$Z$1,0)),"")</f>
        <v/>
      </c>
      <c r="J3059" s="7" t="str">
        <f aca="false">IFERROR(INDEX('Semrush Data'!$A$1:$Z$20000,MATCH(A3059,'Semrush Data'!$A$1:$A$20000,0),MATCH("Intent",'Semrush Data'!$A$1:$Z$1,0)),"")</f>
        <v/>
      </c>
    </row>
    <row r="3060" customFormat="false" ht="15" hidden="false" customHeight="true" outlineLevel="0" collapsed="false">
      <c r="A3060" s="7" t="s">
        <v>7712</v>
      </c>
      <c r="B3060" s="7" t="s">
        <v>6820</v>
      </c>
      <c r="C3060" s="7" t="n">
        <v>3</v>
      </c>
      <c r="D3060" s="7" t="n">
        <v>31</v>
      </c>
      <c r="E3060" s="7" t="n">
        <v>1</v>
      </c>
      <c r="F3060" s="7" t="s">
        <v>5799</v>
      </c>
      <c r="G3060" s="12" t="str">
        <f aca="false">IFERROR(INDEX('Semrush Data'!$A$1:$Z$20000,MATCH(A3060,'Semrush Data'!$A$1:$A$20000,0),MATCH("Volume",'Semrush Data'!$A$1:$Z$1,0)),"")</f>
        <v/>
      </c>
      <c r="H3060" s="7" t="str">
        <f aca="false">IFERROR(INDEX('Semrush Data'!$A$1:$Z$20000,MATCH(A3060,'Semrush Data'!$A$1:$A$20000,0),MATCH("Keyword Difficulty*",'Semrush Data'!$A$1:$Z$1,0)),"")</f>
        <v/>
      </c>
      <c r="I3060" s="13" t="str">
        <f aca="false">IFERROR(INDEX('Semrush Data'!$A$1:$Z$20000,MATCH(A3060,'Semrush Data'!$A$1:$A$20000,0),MATCH("CPC*",'Semrush Data'!$A$1:$Z$1,0)),"")</f>
        <v/>
      </c>
      <c r="J3060" s="7" t="str">
        <f aca="false">IFERROR(INDEX('Semrush Data'!$A$1:$Z$20000,MATCH(A3060,'Semrush Data'!$A$1:$A$20000,0),MATCH("Intent",'Semrush Data'!$A$1:$Z$1,0)),"")</f>
        <v/>
      </c>
    </row>
    <row r="3061" customFormat="false" ht="15" hidden="false" customHeight="true" outlineLevel="0" collapsed="false">
      <c r="A3061" s="7" t="s">
        <v>7713</v>
      </c>
      <c r="B3061" s="7" t="s">
        <v>6820</v>
      </c>
      <c r="C3061" s="7" t="n">
        <v>3</v>
      </c>
      <c r="D3061" s="7" t="n">
        <v>31</v>
      </c>
      <c r="E3061" s="7" t="n">
        <v>1</v>
      </c>
      <c r="F3061" s="7" t="s">
        <v>5799</v>
      </c>
      <c r="G3061" s="12" t="str">
        <f aca="false">IFERROR(INDEX('Semrush Data'!$A$1:$Z$20000,MATCH(A3061,'Semrush Data'!$A$1:$A$20000,0),MATCH("Volume",'Semrush Data'!$A$1:$Z$1,0)),"")</f>
        <v/>
      </c>
      <c r="H3061" s="7" t="str">
        <f aca="false">IFERROR(INDEX('Semrush Data'!$A$1:$Z$20000,MATCH(A3061,'Semrush Data'!$A$1:$A$20000,0),MATCH("Keyword Difficulty*",'Semrush Data'!$A$1:$Z$1,0)),"")</f>
        <v/>
      </c>
      <c r="I3061" s="13" t="str">
        <f aca="false">IFERROR(INDEX('Semrush Data'!$A$1:$Z$20000,MATCH(A3061,'Semrush Data'!$A$1:$A$20000,0),MATCH("CPC*",'Semrush Data'!$A$1:$Z$1,0)),"")</f>
        <v/>
      </c>
      <c r="J3061" s="7" t="str">
        <f aca="false">IFERROR(INDEX('Semrush Data'!$A$1:$Z$20000,MATCH(A3061,'Semrush Data'!$A$1:$A$20000,0),MATCH("Intent",'Semrush Data'!$A$1:$Z$1,0)),"")</f>
        <v/>
      </c>
    </row>
    <row r="3062" customFormat="false" ht="15" hidden="false" customHeight="true" outlineLevel="0" collapsed="false">
      <c r="A3062" s="7" t="s">
        <v>7714</v>
      </c>
      <c r="B3062" s="7" t="s">
        <v>6820</v>
      </c>
      <c r="C3062" s="7" t="n">
        <v>3</v>
      </c>
      <c r="D3062" s="7" t="n">
        <v>31</v>
      </c>
      <c r="E3062" s="7" t="n">
        <v>1</v>
      </c>
      <c r="F3062" s="7" t="s">
        <v>5810</v>
      </c>
      <c r="G3062" s="12" t="str">
        <f aca="false">IFERROR(INDEX('Semrush Data'!$A$1:$Z$20000,MATCH(A3062,'Semrush Data'!$A$1:$A$20000,0),MATCH("Volume",'Semrush Data'!$A$1:$Z$1,0)),"")</f>
        <v/>
      </c>
      <c r="H3062" s="7" t="str">
        <f aca="false">IFERROR(INDEX('Semrush Data'!$A$1:$Z$20000,MATCH(A3062,'Semrush Data'!$A$1:$A$20000,0),MATCH("Keyword Difficulty*",'Semrush Data'!$A$1:$Z$1,0)),"")</f>
        <v/>
      </c>
      <c r="I3062" s="13" t="str">
        <f aca="false">IFERROR(INDEX('Semrush Data'!$A$1:$Z$20000,MATCH(A3062,'Semrush Data'!$A$1:$A$20000,0),MATCH("CPC*",'Semrush Data'!$A$1:$Z$1,0)),"")</f>
        <v/>
      </c>
      <c r="J3062" s="7" t="str">
        <f aca="false">IFERROR(INDEX('Semrush Data'!$A$1:$Z$20000,MATCH(A3062,'Semrush Data'!$A$1:$A$20000,0),MATCH("Intent",'Semrush Data'!$A$1:$Z$1,0)),"")</f>
        <v/>
      </c>
    </row>
    <row r="3063" customFormat="false" ht="15" hidden="false" customHeight="true" outlineLevel="0" collapsed="false">
      <c r="A3063" s="7" t="s">
        <v>7715</v>
      </c>
      <c r="B3063" s="7" t="s">
        <v>6820</v>
      </c>
      <c r="C3063" s="7" t="n">
        <v>3</v>
      </c>
      <c r="D3063" s="7" t="n">
        <v>31</v>
      </c>
      <c r="E3063" s="7" t="n">
        <v>1</v>
      </c>
      <c r="F3063" s="7" t="s">
        <v>5810</v>
      </c>
      <c r="G3063" s="12" t="str">
        <f aca="false">IFERROR(INDEX('Semrush Data'!$A$1:$Z$20000,MATCH(A3063,'Semrush Data'!$A$1:$A$20000,0),MATCH("Volume",'Semrush Data'!$A$1:$Z$1,0)),"")</f>
        <v/>
      </c>
      <c r="H3063" s="7" t="str">
        <f aca="false">IFERROR(INDEX('Semrush Data'!$A$1:$Z$20000,MATCH(A3063,'Semrush Data'!$A$1:$A$20000,0),MATCH("Keyword Difficulty*",'Semrush Data'!$A$1:$Z$1,0)),"")</f>
        <v/>
      </c>
      <c r="I3063" s="13" t="str">
        <f aca="false">IFERROR(INDEX('Semrush Data'!$A$1:$Z$20000,MATCH(A3063,'Semrush Data'!$A$1:$A$20000,0),MATCH("CPC*",'Semrush Data'!$A$1:$Z$1,0)),"")</f>
        <v/>
      </c>
      <c r="J3063" s="7" t="str">
        <f aca="false">IFERROR(INDEX('Semrush Data'!$A$1:$Z$20000,MATCH(A3063,'Semrush Data'!$A$1:$A$20000,0),MATCH("Intent",'Semrush Data'!$A$1:$Z$1,0)),"")</f>
        <v/>
      </c>
    </row>
    <row r="3064" customFormat="false" ht="15" hidden="false" customHeight="true" outlineLevel="0" collapsed="false">
      <c r="A3064" s="7" t="s">
        <v>7716</v>
      </c>
      <c r="B3064" s="7" t="s">
        <v>6820</v>
      </c>
      <c r="C3064" s="7" t="n">
        <v>3</v>
      </c>
      <c r="D3064" s="7" t="n">
        <v>31</v>
      </c>
      <c r="E3064" s="7" t="n">
        <v>1</v>
      </c>
      <c r="F3064" s="7" t="s">
        <v>5951</v>
      </c>
      <c r="G3064" s="12" t="str">
        <f aca="false">IFERROR(INDEX('Semrush Data'!$A$1:$Z$20000,MATCH(A3064,'Semrush Data'!$A$1:$A$20000,0),MATCH("Volume",'Semrush Data'!$A$1:$Z$1,0)),"")</f>
        <v/>
      </c>
      <c r="H3064" s="7" t="str">
        <f aca="false">IFERROR(INDEX('Semrush Data'!$A$1:$Z$20000,MATCH(A3064,'Semrush Data'!$A$1:$A$20000,0),MATCH("Keyword Difficulty*",'Semrush Data'!$A$1:$Z$1,0)),"")</f>
        <v/>
      </c>
      <c r="I3064" s="13" t="str">
        <f aca="false">IFERROR(INDEX('Semrush Data'!$A$1:$Z$20000,MATCH(A3064,'Semrush Data'!$A$1:$A$20000,0),MATCH("CPC*",'Semrush Data'!$A$1:$Z$1,0)),"")</f>
        <v/>
      </c>
      <c r="J3064" s="7" t="str">
        <f aca="false">IFERROR(INDEX('Semrush Data'!$A$1:$Z$20000,MATCH(A3064,'Semrush Data'!$A$1:$A$20000,0),MATCH("Intent",'Semrush Data'!$A$1:$Z$1,0)),"")</f>
        <v/>
      </c>
    </row>
    <row r="3065" customFormat="false" ht="15" hidden="false" customHeight="true" outlineLevel="0" collapsed="false">
      <c r="A3065" s="7" t="s">
        <v>7717</v>
      </c>
      <c r="B3065" s="7" t="s">
        <v>6820</v>
      </c>
      <c r="C3065" s="7" t="n">
        <v>3</v>
      </c>
      <c r="D3065" s="7" t="n">
        <v>31</v>
      </c>
      <c r="E3065" s="7" t="n">
        <v>1</v>
      </c>
      <c r="F3065" s="7" t="s">
        <v>5951</v>
      </c>
      <c r="G3065" s="12" t="str">
        <f aca="false">IFERROR(INDEX('Semrush Data'!$A$1:$Z$20000,MATCH(A3065,'Semrush Data'!$A$1:$A$20000,0),MATCH("Volume",'Semrush Data'!$A$1:$Z$1,0)),"")</f>
        <v/>
      </c>
      <c r="H3065" s="7" t="str">
        <f aca="false">IFERROR(INDEX('Semrush Data'!$A$1:$Z$20000,MATCH(A3065,'Semrush Data'!$A$1:$A$20000,0),MATCH("Keyword Difficulty*",'Semrush Data'!$A$1:$Z$1,0)),"")</f>
        <v/>
      </c>
      <c r="I3065" s="13" t="str">
        <f aca="false">IFERROR(INDEX('Semrush Data'!$A$1:$Z$20000,MATCH(A3065,'Semrush Data'!$A$1:$A$20000,0),MATCH("CPC*",'Semrush Data'!$A$1:$Z$1,0)),"")</f>
        <v/>
      </c>
      <c r="J3065" s="7" t="str">
        <f aca="false">IFERROR(INDEX('Semrush Data'!$A$1:$Z$20000,MATCH(A3065,'Semrush Data'!$A$1:$A$20000,0),MATCH("Intent",'Semrush Data'!$A$1:$Z$1,0)),"")</f>
        <v/>
      </c>
    </row>
    <row r="3066" customFormat="false" ht="15" hidden="false" customHeight="true" outlineLevel="0" collapsed="false">
      <c r="A3066" s="7" t="s">
        <v>7718</v>
      </c>
      <c r="B3066" s="7" t="s">
        <v>6820</v>
      </c>
      <c r="C3066" s="7" t="n">
        <v>3</v>
      </c>
      <c r="D3066" s="7" t="n">
        <v>31</v>
      </c>
      <c r="E3066" s="7" t="n">
        <v>1</v>
      </c>
      <c r="F3066" s="7" t="s">
        <v>5951</v>
      </c>
      <c r="G3066" s="12" t="str">
        <f aca="false">IFERROR(INDEX('Semrush Data'!$A$1:$Z$20000,MATCH(A3066,'Semrush Data'!$A$1:$A$20000,0),MATCH("Volume",'Semrush Data'!$A$1:$Z$1,0)),"")</f>
        <v/>
      </c>
      <c r="H3066" s="7" t="str">
        <f aca="false">IFERROR(INDEX('Semrush Data'!$A$1:$Z$20000,MATCH(A3066,'Semrush Data'!$A$1:$A$20000,0),MATCH("Keyword Difficulty*",'Semrush Data'!$A$1:$Z$1,0)),"")</f>
        <v/>
      </c>
      <c r="I3066" s="13" t="str">
        <f aca="false">IFERROR(INDEX('Semrush Data'!$A$1:$Z$20000,MATCH(A3066,'Semrush Data'!$A$1:$A$20000,0),MATCH("CPC*",'Semrush Data'!$A$1:$Z$1,0)),"")</f>
        <v/>
      </c>
      <c r="J3066" s="7" t="str">
        <f aca="false">IFERROR(INDEX('Semrush Data'!$A$1:$Z$20000,MATCH(A3066,'Semrush Data'!$A$1:$A$20000,0),MATCH("Intent",'Semrush Data'!$A$1:$Z$1,0)),"")</f>
        <v/>
      </c>
    </row>
    <row r="3067" customFormat="false" ht="15" hidden="false" customHeight="true" outlineLevel="0" collapsed="false">
      <c r="A3067" s="7" t="s">
        <v>7719</v>
      </c>
      <c r="B3067" s="7" t="s">
        <v>6820</v>
      </c>
      <c r="C3067" s="7" t="n">
        <v>3</v>
      </c>
      <c r="D3067" s="7" t="n">
        <v>31</v>
      </c>
      <c r="E3067" s="7" t="n">
        <v>1</v>
      </c>
      <c r="F3067" s="7" t="s">
        <v>5964</v>
      </c>
      <c r="G3067" s="12" t="str">
        <f aca="false">IFERROR(INDEX('Semrush Data'!$A$1:$Z$20000,MATCH(A3067,'Semrush Data'!$A$1:$A$20000,0),MATCH("Volume",'Semrush Data'!$A$1:$Z$1,0)),"")</f>
        <v/>
      </c>
      <c r="H3067" s="7" t="str">
        <f aca="false">IFERROR(INDEX('Semrush Data'!$A$1:$Z$20000,MATCH(A3067,'Semrush Data'!$A$1:$A$20000,0),MATCH("Keyword Difficulty*",'Semrush Data'!$A$1:$Z$1,0)),"")</f>
        <v/>
      </c>
      <c r="I3067" s="13" t="str">
        <f aca="false">IFERROR(INDEX('Semrush Data'!$A$1:$Z$20000,MATCH(A3067,'Semrush Data'!$A$1:$A$20000,0),MATCH("CPC*",'Semrush Data'!$A$1:$Z$1,0)),"")</f>
        <v/>
      </c>
      <c r="J3067" s="7" t="str">
        <f aca="false">IFERROR(INDEX('Semrush Data'!$A$1:$Z$20000,MATCH(A3067,'Semrush Data'!$A$1:$A$20000,0),MATCH("Intent",'Semrush Data'!$A$1:$Z$1,0)),"")</f>
        <v/>
      </c>
    </row>
    <row r="3068" customFormat="false" ht="15" hidden="false" customHeight="true" outlineLevel="0" collapsed="false">
      <c r="A3068" s="7" t="s">
        <v>7720</v>
      </c>
      <c r="B3068" s="7" t="s">
        <v>6820</v>
      </c>
      <c r="C3068" s="7" t="n">
        <v>3</v>
      </c>
      <c r="D3068" s="7" t="n">
        <v>31</v>
      </c>
      <c r="E3068" s="7" t="n">
        <v>1</v>
      </c>
      <c r="F3068" s="7" t="s">
        <v>5964</v>
      </c>
      <c r="G3068" s="12" t="str">
        <f aca="false">IFERROR(INDEX('Semrush Data'!$A$1:$Z$20000,MATCH(A3068,'Semrush Data'!$A$1:$A$20000,0),MATCH("Volume",'Semrush Data'!$A$1:$Z$1,0)),"")</f>
        <v/>
      </c>
      <c r="H3068" s="7" t="str">
        <f aca="false">IFERROR(INDEX('Semrush Data'!$A$1:$Z$20000,MATCH(A3068,'Semrush Data'!$A$1:$A$20000,0),MATCH("Keyword Difficulty*",'Semrush Data'!$A$1:$Z$1,0)),"")</f>
        <v/>
      </c>
      <c r="I3068" s="13" t="str">
        <f aca="false">IFERROR(INDEX('Semrush Data'!$A$1:$Z$20000,MATCH(A3068,'Semrush Data'!$A$1:$A$20000,0),MATCH("CPC*",'Semrush Data'!$A$1:$Z$1,0)),"")</f>
        <v/>
      </c>
      <c r="J3068" s="7" t="str">
        <f aca="false">IFERROR(INDEX('Semrush Data'!$A$1:$Z$20000,MATCH(A3068,'Semrush Data'!$A$1:$A$20000,0),MATCH("Intent",'Semrush Data'!$A$1:$Z$1,0)),"")</f>
        <v/>
      </c>
    </row>
    <row r="3069" customFormat="false" ht="15" hidden="false" customHeight="true" outlineLevel="0" collapsed="false">
      <c r="A3069" s="7" t="s">
        <v>7721</v>
      </c>
      <c r="B3069" s="7" t="s">
        <v>6820</v>
      </c>
      <c r="C3069" s="7" t="n">
        <v>3</v>
      </c>
      <c r="D3069" s="7" t="n">
        <v>31</v>
      </c>
      <c r="E3069" s="7" t="n">
        <v>1</v>
      </c>
      <c r="F3069" s="7" t="s">
        <v>5964</v>
      </c>
      <c r="G3069" s="12" t="str">
        <f aca="false">IFERROR(INDEX('Semrush Data'!$A$1:$Z$20000,MATCH(A3069,'Semrush Data'!$A$1:$A$20000,0),MATCH("Volume",'Semrush Data'!$A$1:$Z$1,0)),"")</f>
        <v/>
      </c>
      <c r="H3069" s="7" t="str">
        <f aca="false">IFERROR(INDEX('Semrush Data'!$A$1:$Z$20000,MATCH(A3069,'Semrush Data'!$A$1:$A$20000,0),MATCH("Keyword Difficulty*",'Semrush Data'!$A$1:$Z$1,0)),"")</f>
        <v/>
      </c>
      <c r="I3069" s="13" t="str">
        <f aca="false">IFERROR(INDEX('Semrush Data'!$A$1:$Z$20000,MATCH(A3069,'Semrush Data'!$A$1:$A$20000,0),MATCH("CPC*",'Semrush Data'!$A$1:$Z$1,0)),"")</f>
        <v/>
      </c>
      <c r="J3069" s="7" t="str">
        <f aca="false">IFERROR(INDEX('Semrush Data'!$A$1:$Z$20000,MATCH(A3069,'Semrush Data'!$A$1:$A$20000,0),MATCH("Intent",'Semrush Data'!$A$1:$Z$1,0)),"")</f>
        <v/>
      </c>
    </row>
    <row r="3070" customFormat="false" ht="15" hidden="false" customHeight="true" outlineLevel="0" collapsed="false">
      <c r="A3070" s="7" t="s">
        <v>7722</v>
      </c>
      <c r="B3070" s="7" t="s">
        <v>6820</v>
      </c>
      <c r="C3070" s="7" t="n">
        <v>3</v>
      </c>
      <c r="D3070" s="7" t="n">
        <v>31</v>
      </c>
      <c r="E3070" s="7" t="n">
        <v>1</v>
      </c>
      <c r="F3070" s="7" t="s">
        <v>5964</v>
      </c>
      <c r="G3070" s="12" t="str">
        <f aca="false">IFERROR(INDEX('Semrush Data'!$A$1:$Z$20000,MATCH(A3070,'Semrush Data'!$A$1:$A$20000,0),MATCH("Volume",'Semrush Data'!$A$1:$Z$1,0)),"")</f>
        <v/>
      </c>
      <c r="H3070" s="7" t="str">
        <f aca="false">IFERROR(INDEX('Semrush Data'!$A$1:$Z$20000,MATCH(A3070,'Semrush Data'!$A$1:$A$20000,0),MATCH("Keyword Difficulty*",'Semrush Data'!$A$1:$Z$1,0)),"")</f>
        <v/>
      </c>
      <c r="I3070" s="13" t="str">
        <f aca="false">IFERROR(INDEX('Semrush Data'!$A$1:$Z$20000,MATCH(A3070,'Semrush Data'!$A$1:$A$20000,0),MATCH("CPC*",'Semrush Data'!$A$1:$Z$1,0)),"")</f>
        <v/>
      </c>
      <c r="J3070" s="7" t="str">
        <f aca="false">IFERROR(INDEX('Semrush Data'!$A$1:$Z$20000,MATCH(A3070,'Semrush Data'!$A$1:$A$20000,0),MATCH("Intent",'Semrush Data'!$A$1:$Z$1,0)),"")</f>
        <v/>
      </c>
    </row>
    <row r="3071" customFormat="false" ht="15" hidden="false" customHeight="true" outlineLevel="0" collapsed="false">
      <c r="A3071" s="7" t="s">
        <v>7723</v>
      </c>
      <c r="B3071" s="7" t="s">
        <v>6820</v>
      </c>
      <c r="C3071" s="7" t="n">
        <v>3</v>
      </c>
      <c r="D3071" s="7" t="n">
        <v>31</v>
      </c>
      <c r="E3071" s="7" t="n">
        <v>1</v>
      </c>
      <c r="F3071" s="7" t="s">
        <v>5985</v>
      </c>
      <c r="G3071" s="12" t="str">
        <f aca="false">IFERROR(INDEX('Semrush Data'!$A$1:$Z$20000,MATCH(A3071,'Semrush Data'!$A$1:$A$20000,0),MATCH("Volume",'Semrush Data'!$A$1:$Z$1,0)),"")</f>
        <v/>
      </c>
      <c r="H3071" s="7" t="str">
        <f aca="false">IFERROR(INDEX('Semrush Data'!$A$1:$Z$20000,MATCH(A3071,'Semrush Data'!$A$1:$A$20000,0),MATCH("Keyword Difficulty*",'Semrush Data'!$A$1:$Z$1,0)),"")</f>
        <v/>
      </c>
      <c r="I3071" s="13" t="str">
        <f aca="false">IFERROR(INDEX('Semrush Data'!$A$1:$Z$20000,MATCH(A3071,'Semrush Data'!$A$1:$A$20000,0),MATCH("CPC*",'Semrush Data'!$A$1:$Z$1,0)),"")</f>
        <v/>
      </c>
      <c r="J3071" s="7" t="str">
        <f aca="false">IFERROR(INDEX('Semrush Data'!$A$1:$Z$20000,MATCH(A3071,'Semrush Data'!$A$1:$A$20000,0),MATCH("Intent",'Semrush Data'!$A$1:$Z$1,0)),"")</f>
        <v/>
      </c>
    </row>
    <row r="3072" customFormat="false" ht="15" hidden="false" customHeight="true" outlineLevel="0" collapsed="false">
      <c r="A3072" s="7" t="s">
        <v>7724</v>
      </c>
      <c r="B3072" s="7" t="s">
        <v>6820</v>
      </c>
      <c r="C3072" s="7" t="n">
        <v>3</v>
      </c>
      <c r="D3072" s="7" t="n">
        <v>31</v>
      </c>
      <c r="E3072" s="7" t="n">
        <v>1</v>
      </c>
      <c r="F3072" s="7" t="s">
        <v>5985</v>
      </c>
      <c r="G3072" s="12" t="str">
        <f aca="false">IFERROR(INDEX('Semrush Data'!$A$1:$Z$20000,MATCH(A3072,'Semrush Data'!$A$1:$A$20000,0),MATCH("Volume",'Semrush Data'!$A$1:$Z$1,0)),"")</f>
        <v/>
      </c>
      <c r="H3072" s="7" t="str">
        <f aca="false">IFERROR(INDEX('Semrush Data'!$A$1:$Z$20000,MATCH(A3072,'Semrush Data'!$A$1:$A$20000,0),MATCH("Keyword Difficulty*",'Semrush Data'!$A$1:$Z$1,0)),"")</f>
        <v/>
      </c>
      <c r="I3072" s="13" t="str">
        <f aca="false">IFERROR(INDEX('Semrush Data'!$A$1:$Z$20000,MATCH(A3072,'Semrush Data'!$A$1:$A$20000,0),MATCH("CPC*",'Semrush Data'!$A$1:$Z$1,0)),"")</f>
        <v/>
      </c>
      <c r="J3072" s="7" t="str">
        <f aca="false">IFERROR(INDEX('Semrush Data'!$A$1:$Z$20000,MATCH(A3072,'Semrush Data'!$A$1:$A$20000,0),MATCH("Intent",'Semrush Data'!$A$1:$Z$1,0)),"")</f>
        <v/>
      </c>
    </row>
    <row r="3073" customFormat="false" ht="15" hidden="false" customHeight="true" outlineLevel="0" collapsed="false">
      <c r="A3073" s="7" t="s">
        <v>7725</v>
      </c>
      <c r="B3073" s="7" t="s">
        <v>6820</v>
      </c>
      <c r="C3073" s="7" t="n">
        <v>3</v>
      </c>
      <c r="D3073" s="7" t="n">
        <v>31</v>
      </c>
      <c r="E3073" s="7" t="n">
        <v>1</v>
      </c>
      <c r="F3073" s="7" t="s">
        <v>5998</v>
      </c>
      <c r="G3073" s="12" t="str">
        <f aca="false">IFERROR(INDEX('Semrush Data'!$A$1:$Z$20000,MATCH(A3073,'Semrush Data'!$A$1:$A$20000,0),MATCH("Volume",'Semrush Data'!$A$1:$Z$1,0)),"")</f>
        <v/>
      </c>
      <c r="H3073" s="7" t="str">
        <f aca="false">IFERROR(INDEX('Semrush Data'!$A$1:$Z$20000,MATCH(A3073,'Semrush Data'!$A$1:$A$20000,0),MATCH("Keyword Difficulty*",'Semrush Data'!$A$1:$Z$1,0)),"")</f>
        <v/>
      </c>
      <c r="I3073" s="13" t="str">
        <f aca="false">IFERROR(INDEX('Semrush Data'!$A$1:$Z$20000,MATCH(A3073,'Semrush Data'!$A$1:$A$20000,0),MATCH("CPC*",'Semrush Data'!$A$1:$Z$1,0)),"")</f>
        <v/>
      </c>
      <c r="J3073" s="7" t="str">
        <f aca="false">IFERROR(INDEX('Semrush Data'!$A$1:$Z$20000,MATCH(A3073,'Semrush Data'!$A$1:$A$20000,0),MATCH("Intent",'Semrush Data'!$A$1:$Z$1,0)),"")</f>
        <v/>
      </c>
    </row>
    <row r="3074" customFormat="false" ht="15" hidden="false" customHeight="true" outlineLevel="0" collapsed="false">
      <c r="A3074" s="7" t="s">
        <v>7726</v>
      </c>
      <c r="B3074" s="7" t="s">
        <v>6820</v>
      </c>
      <c r="C3074" s="7" t="n">
        <v>3</v>
      </c>
      <c r="D3074" s="7" t="n">
        <v>31</v>
      </c>
      <c r="E3074" s="7" t="n">
        <v>1</v>
      </c>
      <c r="F3074" s="7" t="s">
        <v>5998</v>
      </c>
      <c r="G3074" s="12" t="str">
        <f aca="false">IFERROR(INDEX('Semrush Data'!$A$1:$Z$20000,MATCH(A3074,'Semrush Data'!$A$1:$A$20000,0),MATCH("Volume",'Semrush Data'!$A$1:$Z$1,0)),"")</f>
        <v/>
      </c>
      <c r="H3074" s="7" t="str">
        <f aca="false">IFERROR(INDEX('Semrush Data'!$A$1:$Z$20000,MATCH(A3074,'Semrush Data'!$A$1:$A$20000,0),MATCH("Keyword Difficulty*",'Semrush Data'!$A$1:$Z$1,0)),"")</f>
        <v/>
      </c>
      <c r="I3074" s="13" t="str">
        <f aca="false">IFERROR(INDEX('Semrush Data'!$A$1:$Z$20000,MATCH(A3074,'Semrush Data'!$A$1:$A$20000,0),MATCH("CPC*",'Semrush Data'!$A$1:$Z$1,0)),"")</f>
        <v/>
      </c>
      <c r="J3074" s="7" t="str">
        <f aca="false">IFERROR(INDEX('Semrush Data'!$A$1:$Z$20000,MATCH(A3074,'Semrush Data'!$A$1:$A$20000,0),MATCH("Intent",'Semrush Data'!$A$1:$Z$1,0)),"")</f>
        <v/>
      </c>
    </row>
    <row r="3075" customFormat="false" ht="15" hidden="false" customHeight="true" outlineLevel="0" collapsed="false">
      <c r="A3075" s="7" t="s">
        <v>7727</v>
      </c>
      <c r="B3075" s="7" t="s">
        <v>6820</v>
      </c>
      <c r="C3075" s="7" t="n">
        <v>3</v>
      </c>
      <c r="D3075" s="7" t="n">
        <v>31</v>
      </c>
      <c r="E3075" s="7" t="n">
        <v>1</v>
      </c>
      <c r="F3075" s="7" t="s">
        <v>5998</v>
      </c>
      <c r="G3075" s="12" t="str">
        <f aca="false">IFERROR(INDEX('Semrush Data'!$A$1:$Z$20000,MATCH(A3075,'Semrush Data'!$A$1:$A$20000,0),MATCH("Volume",'Semrush Data'!$A$1:$Z$1,0)),"")</f>
        <v/>
      </c>
      <c r="H3075" s="7" t="str">
        <f aca="false">IFERROR(INDEX('Semrush Data'!$A$1:$Z$20000,MATCH(A3075,'Semrush Data'!$A$1:$A$20000,0),MATCH("Keyword Difficulty*",'Semrush Data'!$A$1:$Z$1,0)),"")</f>
        <v/>
      </c>
      <c r="I3075" s="13" t="str">
        <f aca="false">IFERROR(INDEX('Semrush Data'!$A$1:$Z$20000,MATCH(A3075,'Semrush Data'!$A$1:$A$20000,0),MATCH("CPC*",'Semrush Data'!$A$1:$Z$1,0)),"")</f>
        <v/>
      </c>
      <c r="J3075" s="7" t="str">
        <f aca="false">IFERROR(INDEX('Semrush Data'!$A$1:$Z$20000,MATCH(A3075,'Semrush Data'!$A$1:$A$20000,0),MATCH("Intent",'Semrush Data'!$A$1:$Z$1,0)),"")</f>
        <v/>
      </c>
    </row>
    <row r="3076" customFormat="false" ht="15" hidden="false" customHeight="true" outlineLevel="0" collapsed="false">
      <c r="A3076" s="7" t="s">
        <v>7728</v>
      </c>
      <c r="B3076" s="7" t="s">
        <v>6820</v>
      </c>
      <c r="C3076" s="7" t="n">
        <v>3</v>
      </c>
      <c r="D3076" s="7" t="n">
        <v>31</v>
      </c>
      <c r="E3076" s="7" t="n">
        <v>1</v>
      </c>
      <c r="F3076" s="7" t="s">
        <v>5998</v>
      </c>
      <c r="G3076" s="12" t="str">
        <f aca="false">IFERROR(INDEX('Semrush Data'!$A$1:$Z$20000,MATCH(A3076,'Semrush Data'!$A$1:$A$20000,0),MATCH("Volume",'Semrush Data'!$A$1:$Z$1,0)),"")</f>
        <v/>
      </c>
      <c r="H3076" s="7" t="str">
        <f aca="false">IFERROR(INDEX('Semrush Data'!$A$1:$Z$20000,MATCH(A3076,'Semrush Data'!$A$1:$A$20000,0),MATCH("Keyword Difficulty*",'Semrush Data'!$A$1:$Z$1,0)),"")</f>
        <v/>
      </c>
      <c r="I3076" s="13" t="str">
        <f aca="false">IFERROR(INDEX('Semrush Data'!$A$1:$Z$20000,MATCH(A3076,'Semrush Data'!$A$1:$A$20000,0),MATCH("CPC*",'Semrush Data'!$A$1:$Z$1,0)),"")</f>
        <v/>
      </c>
      <c r="J3076" s="7" t="str">
        <f aca="false">IFERROR(INDEX('Semrush Data'!$A$1:$Z$20000,MATCH(A3076,'Semrush Data'!$A$1:$A$20000,0),MATCH("Intent",'Semrush Data'!$A$1:$Z$1,0)),"")</f>
        <v/>
      </c>
    </row>
    <row r="3077" customFormat="false" ht="15" hidden="false" customHeight="true" outlineLevel="0" collapsed="false">
      <c r="A3077" s="7" t="s">
        <v>7729</v>
      </c>
      <c r="B3077" s="7" t="s">
        <v>6820</v>
      </c>
      <c r="C3077" s="7" t="n">
        <v>3</v>
      </c>
      <c r="D3077" s="7" t="n">
        <v>31</v>
      </c>
      <c r="E3077" s="7" t="n">
        <v>1</v>
      </c>
      <c r="F3077" s="7" t="s">
        <v>6009</v>
      </c>
      <c r="G3077" s="12" t="str">
        <f aca="false">IFERROR(INDEX('Semrush Data'!$A$1:$Z$20000,MATCH(A3077,'Semrush Data'!$A$1:$A$20000,0),MATCH("Volume",'Semrush Data'!$A$1:$Z$1,0)),"")</f>
        <v/>
      </c>
      <c r="H3077" s="7" t="str">
        <f aca="false">IFERROR(INDEX('Semrush Data'!$A$1:$Z$20000,MATCH(A3077,'Semrush Data'!$A$1:$A$20000,0),MATCH("Keyword Difficulty*",'Semrush Data'!$A$1:$Z$1,0)),"")</f>
        <v/>
      </c>
      <c r="I3077" s="13" t="str">
        <f aca="false">IFERROR(INDEX('Semrush Data'!$A$1:$Z$20000,MATCH(A3077,'Semrush Data'!$A$1:$A$20000,0),MATCH("CPC*",'Semrush Data'!$A$1:$Z$1,0)),"")</f>
        <v/>
      </c>
      <c r="J3077" s="7" t="str">
        <f aca="false">IFERROR(INDEX('Semrush Data'!$A$1:$Z$20000,MATCH(A3077,'Semrush Data'!$A$1:$A$20000,0),MATCH("Intent",'Semrush Data'!$A$1:$Z$1,0)),"")</f>
        <v/>
      </c>
    </row>
    <row r="3078" customFormat="false" ht="15" hidden="false" customHeight="true" outlineLevel="0" collapsed="false">
      <c r="A3078" s="7" t="s">
        <v>7730</v>
      </c>
      <c r="B3078" s="7" t="s">
        <v>6820</v>
      </c>
      <c r="C3078" s="7" t="n">
        <v>3</v>
      </c>
      <c r="D3078" s="7" t="n">
        <v>31</v>
      </c>
      <c r="E3078" s="7" t="n">
        <v>1</v>
      </c>
      <c r="F3078" s="7" t="s">
        <v>6009</v>
      </c>
      <c r="G3078" s="12" t="str">
        <f aca="false">IFERROR(INDEX('Semrush Data'!$A$1:$Z$20000,MATCH(A3078,'Semrush Data'!$A$1:$A$20000,0),MATCH("Volume",'Semrush Data'!$A$1:$Z$1,0)),"")</f>
        <v/>
      </c>
      <c r="H3078" s="7" t="str">
        <f aca="false">IFERROR(INDEX('Semrush Data'!$A$1:$Z$20000,MATCH(A3078,'Semrush Data'!$A$1:$A$20000,0),MATCH("Keyword Difficulty*",'Semrush Data'!$A$1:$Z$1,0)),"")</f>
        <v/>
      </c>
      <c r="I3078" s="13" t="str">
        <f aca="false">IFERROR(INDEX('Semrush Data'!$A$1:$Z$20000,MATCH(A3078,'Semrush Data'!$A$1:$A$20000,0),MATCH("CPC*",'Semrush Data'!$A$1:$Z$1,0)),"")</f>
        <v/>
      </c>
      <c r="J3078" s="7" t="str">
        <f aca="false">IFERROR(INDEX('Semrush Data'!$A$1:$Z$20000,MATCH(A3078,'Semrush Data'!$A$1:$A$20000,0),MATCH("Intent",'Semrush Data'!$A$1:$Z$1,0)),"")</f>
        <v/>
      </c>
    </row>
    <row r="3079" customFormat="false" ht="15" hidden="false" customHeight="true" outlineLevel="0" collapsed="false">
      <c r="A3079" s="7" t="s">
        <v>7731</v>
      </c>
      <c r="B3079" s="7" t="s">
        <v>6820</v>
      </c>
      <c r="C3079" s="7" t="n">
        <v>3</v>
      </c>
      <c r="D3079" s="7" t="n">
        <v>31</v>
      </c>
      <c r="E3079" s="7" t="n">
        <v>1</v>
      </c>
      <c r="F3079" s="7" t="s">
        <v>6009</v>
      </c>
      <c r="G3079" s="12" t="str">
        <f aca="false">IFERROR(INDEX('Semrush Data'!$A$1:$Z$20000,MATCH(A3079,'Semrush Data'!$A$1:$A$20000,0),MATCH("Volume",'Semrush Data'!$A$1:$Z$1,0)),"")</f>
        <v/>
      </c>
      <c r="H3079" s="7" t="str">
        <f aca="false">IFERROR(INDEX('Semrush Data'!$A$1:$Z$20000,MATCH(A3079,'Semrush Data'!$A$1:$A$20000,0),MATCH("Keyword Difficulty*",'Semrush Data'!$A$1:$Z$1,0)),"")</f>
        <v/>
      </c>
      <c r="I3079" s="13" t="str">
        <f aca="false">IFERROR(INDEX('Semrush Data'!$A$1:$Z$20000,MATCH(A3079,'Semrush Data'!$A$1:$A$20000,0),MATCH("CPC*",'Semrush Data'!$A$1:$Z$1,0)),"")</f>
        <v/>
      </c>
      <c r="J3079" s="7" t="str">
        <f aca="false">IFERROR(INDEX('Semrush Data'!$A$1:$Z$20000,MATCH(A3079,'Semrush Data'!$A$1:$A$20000,0),MATCH("Intent",'Semrush Data'!$A$1:$Z$1,0)),"")</f>
        <v/>
      </c>
    </row>
    <row r="3080" customFormat="false" ht="15" hidden="false" customHeight="true" outlineLevel="0" collapsed="false">
      <c r="A3080" s="7" t="s">
        <v>7732</v>
      </c>
      <c r="B3080" s="7" t="s">
        <v>6820</v>
      </c>
      <c r="C3080" s="7" t="n">
        <v>3</v>
      </c>
      <c r="D3080" s="7" t="n">
        <v>31</v>
      </c>
      <c r="E3080" s="7" t="n">
        <v>1</v>
      </c>
      <c r="F3080" s="7" t="s">
        <v>6009</v>
      </c>
      <c r="G3080" s="12" t="str">
        <f aca="false">IFERROR(INDEX('Semrush Data'!$A$1:$Z$20000,MATCH(A3080,'Semrush Data'!$A$1:$A$20000,0),MATCH("Volume",'Semrush Data'!$A$1:$Z$1,0)),"")</f>
        <v/>
      </c>
      <c r="H3080" s="7" t="str">
        <f aca="false">IFERROR(INDEX('Semrush Data'!$A$1:$Z$20000,MATCH(A3080,'Semrush Data'!$A$1:$A$20000,0),MATCH("Keyword Difficulty*",'Semrush Data'!$A$1:$Z$1,0)),"")</f>
        <v/>
      </c>
      <c r="I3080" s="13" t="str">
        <f aca="false">IFERROR(INDEX('Semrush Data'!$A$1:$Z$20000,MATCH(A3080,'Semrush Data'!$A$1:$A$20000,0),MATCH("CPC*",'Semrush Data'!$A$1:$Z$1,0)),"")</f>
        <v/>
      </c>
      <c r="J3080" s="7" t="str">
        <f aca="false">IFERROR(INDEX('Semrush Data'!$A$1:$Z$20000,MATCH(A3080,'Semrush Data'!$A$1:$A$20000,0),MATCH("Intent",'Semrush Data'!$A$1:$Z$1,0)),"")</f>
        <v/>
      </c>
    </row>
    <row r="3081" customFormat="false" ht="15" hidden="false" customHeight="true" outlineLevel="0" collapsed="false">
      <c r="A3081" s="7" t="s">
        <v>7733</v>
      </c>
      <c r="B3081" s="7" t="s">
        <v>6820</v>
      </c>
      <c r="C3081" s="7" t="n">
        <v>3</v>
      </c>
      <c r="D3081" s="7" t="n">
        <v>31</v>
      </c>
      <c r="E3081" s="7" t="n">
        <v>1</v>
      </c>
      <c r="F3081" s="7" t="s">
        <v>6020</v>
      </c>
      <c r="G3081" s="12" t="str">
        <f aca="false">IFERROR(INDEX('Semrush Data'!$A$1:$Z$20000,MATCH(A3081,'Semrush Data'!$A$1:$A$20000,0),MATCH("Volume",'Semrush Data'!$A$1:$Z$1,0)),"")</f>
        <v/>
      </c>
      <c r="H3081" s="7" t="str">
        <f aca="false">IFERROR(INDEX('Semrush Data'!$A$1:$Z$20000,MATCH(A3081,'Semrush Data'!$A$1:$A$20000,0),MATCH("Keyword Difficulty*",'Semrush Data'!$A$1:$Z$1,0)),"")</f>
        <v/>
      </c>
      <c r="I3081" s="13" t="str">
        <f aca="false">IFERROR(INDEX('Semrush Data'!$A$1:$Z$20000,MATCH(A3081,'Semrush Data'!$A$1:$A$20000,0),MATCH("CPC*",'Semrush Data'!$A$1:$Z$1,0)),"")</f>
        <v/>
      </c>
      <c r="J3081" s="7" t="str">
        <f aca="false">IFERROR(INDEX('Semrush Data'!$A$1:$Z$20000,MATCH(A3081,'Semrush Data'!$A$1:$A$20000,0),MATCH("Intent",'Semrush Data'!$A$1:$Z$1,0)),"")</f>
        <v/>
      </c>
    </row>
    <row r="3082" customFormat="false" ht="15" hidden="false" customHeight="true" outlineLevel="0" collapsed="false">
      <c r="A3082" s="7" t="s">
        <v>7734</v>
      </c>
      <c r="B3082" s="7" t="s">
        <v>6820</v>
      </c>
      <c r="C3082" s="7" t="n">
        <v>3</v>
      </c>
      <c r="D3082" s="7" t="n">
        <v>31</v>
      </c>
      <c r="E3082" s="7" t="n">
        <v>1</v>
      </c>
      <c r="F3082" s="7" t="s">
        <v>6020</v>
      </c>
      <c r="G3082" s="12" t="str">
        <f aca="false">IFERROR(INDEX('Semrush Data'!$A$1:$Z$20000,MATCH(A3082,'Semrush Data'!$A$1:$A$20000,0),MATCH("Volume",'Semrush Data'!$A$1:$Z$1,0)),"")</f>
        <v/>
      </c>
      <c r="H3082" s="7" t="str">
        <f aca="false">IFERROR(INDEX('Semrush Data'!$A$1:$Z$20000,MATCH(A3082,'Semrush Data'!$A$1:$A$20000,0),MATCH("Keyword Difficulty*",'Semrush Data'!$A$1:$Z$1,0)),"")</f>
        <v/>
      </c>
      <c r="I3082" s="13" t="str">
        <f aca="false">IFERROR(INDEX('Semrush Data'!$A$1:$Z$20000,MATCH(A3082,'Semrush Data'!$A$1:$A$20000,0),MATCH("CPC*",'Semrush Data'!$A$1:$Z$1,0)),"")</f>
        <v/>
      </c>
      <c r="J3082" s="7" t="str">
        <f aca="false">IFERROR(INDEX('Semrush Data'!$A$1:$Z$20000,MATCH(A3082,'Semrush Data'!$A$1:$A$20000,0),MATCH("Intent",'Semrush Data'!$A$1:$Z$1,0)),"")</f>
        <v/>
      </c>
    </row>
    <row r="3083" customFormat="false" ht="15" hidden="false" customHeight="true" outlineLevel="0" collapsed="false">
      <c r="A3083" s="7" t="s">
        <v>7735</v>
      </c>
      <c r="B3083" s="7" t="s">
        <v>6820</v>
      </c>
      <c r="C3083" s="7" t="n">
        <v>3</v>
      </c>
      <c r="D3083" s="7" t="n">
        <v>31</v>
      </c>
      <c r="E3083" s="7" t="n">
        <v>1</v>
      </c>
      <c r="F3083" s="7" t="s">
        <v>6020</v>
      </c>
      <c r="G3083" s="12" t="str">
        <f aca="false">IFERROR(INDEX('Semrush Data'!$A$1:$Z$20000,MATCH(A3083,'Semrush Data'!$A$1:$A$20000,0),MATCH("Volume",'Semrush Data'!$A$1:$Z$1,0)),"")</f>
        <v/>
      </c>
      <c r="H3083" s="7" t="str">
        <f aca="false">IFERROR(INDEX('Semrush Data'!$A$1:$Z$20000,MATCH(A3083,'Semrush Data'!$A$1:$A$20000,0),MATCH("Keyword Difficulty*",'Semrush Data'!$A$1:$Z$1,0)),"")</f>
        <v/>
      </c>
      <c r="I3083" s="13" t="str">
        <f aca="false">IFERROR(INDEX('Semrush Data'!$A$1:$Z$20000,MATCH(A3083,'Semrush Data'!$A$1:$A$20000,0),MATCH("CPC*",'Semrush Data'!$A$1:$Z$1,0)),"")</f>
        <v/>
      </c>
      <c r="J3083" s="7" t="str">
        <f aca="false">IFERROR(INDEX('Semrush Data'!$A$1:$Z$20000,MATCH(A3083,'Semrush Data'!$A$1:$A$20000,0),MATCH("Intent",'Semrush Data'!$A$1:$Z$1,0)),"")</f>
        <v/>
      </c>
    </row>
    <row r="3084" customFormat="false" ht="15" hidden="false" customHeight="true" outlineLevel="0" collapsed="false">
      <c r="A3084" s="7" t="s">
        <v>7736</v>
      </c>
      <c r="B3084" s="7" t="s">
        <v>6820</v>
      </c>
      <c r="C3084" s="7" t="n">
        <v>3</v>
      </c>
      <c r="D3084" s="7" t="n">
        <v>31</v>
      </c>
      <c r="E3084" s="7" t="n">
        <v>1</v>
      </c>
      <c r="F3084" s="7" t="s">
        <v>6031</v>
      </c>
      <c r="G3084" s="12" t="str">
        <f aca="false">IFERROR(INDEX('Semrush Data'!$A$1:$Z$20000,MATCH(A3084,'Semrush Data'!$A$1:$A$20000,0),MATCH("Volume",'Semrush Data'!$A$1:$Z$1,0)),"")</f>
        <v/>
      </c>
      <c r="H3084" s="7" t="str">
        <f aca="false">IFERROR(INDEX('Semrush Data'!$A$1:$Z$20000,MATCH(A3084,'Semrush Data'!$A$1:$A$20000,0),MATCH("Keyword Difficulty*",'Semrush Data'!$A$1:$Z$1,0)),"")</f>
        <v/>
      </c>
      <c r="I3084" s="13" t="str">
        <f aca="false">IFERROR(INDEX('Semrush Data'!$A$1:$Z$20000,MATCH(A3084,'Semrush Data'!$A$1:$A$20000,0),MATCH("CPC*",'Semrush Data'!$A$1:$Z$1,0)),"")</f>
        <v/>
      </c>
      <c r="J3084" s="7" t="str">
        <f aca="false">IFERROR(INDEX('Semrush Data'!$A$1:$Z$20000,MATCH(A3084,'Semrush Data'!$A$1:$A$20000,0),MATCH("Intent",'Semrush Data'!$A$1:$Z$1,0)),"")</f>
        <v/>
      </c>
    </row>
    <row r="3085" customFormat="false" ht="15" hidden="false" customHeight="true" outlineLevel="0" collapsed="false">
      <c r="A3085" s="7" t="s">
        <v>7737</v>
      </c>
      <c r="B3085" s="7" t="s">
        <v>6820</v>
      </c>
      <c r="C3085" s="7" t="n">
        <v>3</v>
      </c>
      <c r="D3085" s="7" t="n">
        <v>31</v>
      </c>
      <c r="E3085" s="7" t="n">
        <v>1</v>
      </c>
      <c r="F3085" s="7" t="s">
        <v>6031</v>
      </c>
      <c r="G3085" s="12" t="str">
        <f aca="false">IFERROR(INDEX('Semrush Data'!$A$1:$Z$20000,MATCH(A3085,'Semrush Data'!$A$1:$A$20000,0),MATCH("Volume",'Semrush Data'!$A$1:$Z$1,0)),"")</f>
        <v/>
      </c>
      <c r="H3085" s="7" t="str">
        <f aca="false">IFERROR(INDEX('Semrush Data'!$A$1:$Z$20000,MATCH(A3085,'Semrush Data'!$A$1:$A$20000,0),MATCH("Keyword Difficulty*",'Semrush Data'!$A$1:$Z$1,0)),"")</f>
        <v/>
      </c>
      <c r="I3085" s="13" t="str">
        <f aca="false">IFERROR(INDEX('Semrush Data'!$A$1:$Z$20000,MATCH(A3085,'Semrush Data'!$A$1:$A$20000,0),MATCH("CPC*",'Semrush Data'!$A$1:$Z$1,0)),"")</f>
        <v/>
      </c>
      <c r="J3085" s="7" t="str">
        <f aca="false">IFERROR(INDEX('Semrush Data'!$A$1:$Z$20000,MATCH(A3085,'Semrush Data'!$A$1:$A$20000,0),MATCH("Intent",'Semrush Data'!$A$1:$Z$1,0)),"")</f>
        <v/>
      </c>
    </row>
    <row r="3086" customFormat="false" ht="15" hidden="false" customHeight="true" outlineLevel="0" collapsed="false">
      <c r="A3086" s="7" t="s">
        <v>7738</v>
      </c>
      <c r="B3086" s="7" t="s">
        <v>6820</v>
      </c>
      <c r="C3086" s="7" t="n">
        <v>3</v>
      </c>
      <c r="D3086" s="7" t="n">
        <v>31</v>
      </c>
      <c r="E3086" s="7" t="n">
        <v>1</v>
      </c>
      <c r="F3086" s="7" t="s">
        <v>6031</v>
      </c>
      <c r="G3086" s="12" t="str">
        <f aca="false">IFERROR(INDEX('Semrush Data'!$A$1:$Z$20000,MATCH(A3086,'Semrush Data'!$A$1:$A$20000,0),MATCH("Volume",'Semrush Data'!$A$1:$Z$1,0)),"")</f>
        <v/>
      </c>
      <c r="H3086" s="7" t="str">
        <f aca="false">IFERROR(INDEX('Semrush Data'!$A$1:$Z$20000,MATCH(A3086,'Semrush Data'!$A$1:$A$20000,0),MATCH("Keyword Difficulty*",'Semrush Data'!$A$1:$Z$1,0)),"")</f>
        <v/>
      </c>
      <c r="I3086" s="13" t="str">
        <f aca="false">IFERROR(INDEX('Semrush Data'!$A$1:$Z$20000,MATCH(A3086,'Semrush Data'!$A$1:$A$20000,0),MATCH("CPC*",'Semrush Data'!$A$1:$Z$1,0)),"")</f>
        <v/>
      </c>
      <c r="J3086" s="7" t="str">
        <f aca="false">IFERROR(INDEX('Semrush Data'!$A$1:$Z$20000,MATCH(A3086,'Semrush Data'!$A$1:$A$20000,0),MATCH("Intent",'Semrush Data'!$A$1:$Z$1,0)),"")</f>
        <v/>
      </c>
    </row>
    <row r="3087" customFormat="false" ht="15" hidden="false" customHeight="true" outlineLevel="0" collapsed="false">
      <c r="A3087" s="7" t="s">
        <v>7739</v>
      </c>
      <c r="B3087" s="7" t="s">
        <v>6820</v>
      </c>
      <c r="C3087" s="7" t="n">
        <v>3</v>
      </c>
      <c r="D3087" s="7" t="n">
        <v>31</v>
      </c>
      <c r="E3087" s="7" t="n">
        <v>1</v>
      </c>
      <c r="F3087" s="7" t="s">
        <v>6031</v>
      </c>
      <c r="G3087" s="12" t="str">
        <f aca="false">IFERROR(INDEX('Semrush Data'!$A$1:$Z$20000,MATCH(A3087,'Semrush Data'!$A$1:$A$20000,0),MATCH("Volume",'Semrush Data'!$A$1:$Z$1,0)),"")</f>
        <v/>
      </c>
      <c r="H3087" s="7" t="str">
        <f aca="false">IFERROR(INDEX('Semrush Data'!$A$1:$Z$20000,MATCH(A3087,'Semrush Data'!$A$1:$A$20000,0),MATCH("Keyword Difficulty*",'Semrush Data'!$A$1:$Z$1,0)),"")</f>
        <v/>
      </c>
      <c r="I3087" s="13" t="str">
        <f aca="false">IFERROR(INDEX('Semrush Data'!$A$1:$Z$20000,MATCH(A3087,'Semrush Data'!$A$1:$A$20000,0),MATCH("CPC*",'Semrush Data'!$A$1:$Z$1,0)),"")</f>
        <v/>
      </c>
      <c r="J3087" s="7" t="str">
        <f aca="false">IFERROR(INDEX('Semrush Data'!$A$1:$Z$20000,MATCH(A3087,'Semrush Data'!$A$1:$A$20000,0),MATCH("Intent",'Semrush Data'!$A$1:$Z$1,0)),"")</f>
        <v/>
      </c>
    </row>
    <row r="3088" customFormat="false" ht="15" hidden="false" customHeight="true" outlineLevel="0" collapsed="false">
      <c r="A3088" s="7" t="s">
        <v>7740</v>
      </c>
      <c r="B3088" s="7" t="s">
        <v>6820</v>
      </c>
      <c r="C3088" s="7" t="n">
        <v>3</v>
      </c>
      <c r="D3088" s="7" t="n">
        <v>31</v>
      </c>
      <c r="E3088" s="7" t="n">
        <v>1</v>
      </c>
      <c r="F3088" s="7" t="s">
        <v>6042</v>
      </c>
      <c r="G3088" s="12" t="str">
        <f aca="false">IFERROR(INDEX('Semrush Data'!$A$1:$Z$20000,MATCH(A3088,'Semrush Data'!$A$1:$A$20000,0),MATCH("Volume",'Semrush Data'!$A$1:$Z$1,0)),"")</f>
        <v/>
      </c>
      <c r="H3088" s="7" t="str">
        <f aca="false">IFERROR(INDEX('Semrush Data'!$A$1:$Z$20000,MATCH(A3088,'Semrush Data'!$A$1:$A$20000,0),MATCH("Keyword Difficulty*",'Semrush Data'!$A$1:$Z$1,0)),"")</f>
        <v/>
      </c>
      <c r="I3088" s="13" t="str">
        <f aca="false">IFERROR(INDEX('Semrush Data'!$A$1:$Z$20000,MATCH(A3088,'Semrush Data'!$A$1:$A$20000,0),MATCH("CPC*",'Semrush Data'!$A$1:$Z$1,0)),"")</f>
        <v/>
      </c>
      <c r="J3088" s="7" t="str">
        <f aca="false">IFERROR(INDEX('Semrush Data'!$A$1:$Z$20000,MATCH(A3088,'Semrush Data'!$A$1:$A$20000,0),MATCH("Intent",'Semrush Data'!$A$1:$Z$1,0)),"")</f>
        <v/>
      </c>
    </row>
    <row r="3089" customFormat="false" ht="15" hidden="false" customHeight="true" outlineLevel="0" collapsed="false">
      <c r="A3089" s="7" t="s">
        <v>7741</v>
      </c>
      <c r="B3089" s="7" t="s">
        <v>6820</v>
      </c>
      <c r="C3089" s="7" t="n">
        <v>3</v>
      </c>
      <c r="D3089" s="7" t="n">
        <v>31</v>
      </c>
      <c r="E3089" s="7" t="n">
        <v>1</v>
      </c>
      <c r="F3089" s="7" t="s">
        <v>6042</v>
      </c>
      <c r="G3089" s="12" t="str">
        <f aca="false">IFERROR(INDEX('Semrush Data'!$A$1:$Z$20000,MATCH(A3089,'Semrush Data'!$A$1:$A$20000,0),MATCH("Volume",'Semrush Data'!$A$1:$Z$1,0)),"")</f>
        <v/>
      </c>
      <c r="H3089" s="7" t="str">
        <f aca="false">IFERROR(INDEX('Semrush Data'!$A$1:$Z$20000,MATCH(A3089,'Semrush Data'!$A$1:$A$20000,0),MATCH("Keyword Difficulty*",'Semrush Data'!$A$1:$Z$1,0)),"")</f>
        <v/>
      </c>
      <c r="I3089" s="13" t="str">
        <f aca="false">IFERROR(INDEX('Semrush Data'!$A$1:$Z$20000,MATCH(A3089,'Semrush Data'!$A$1:$A$20000,0),MATCH("CPC*",'Semrush Data'!$A$1:$Z$1,0)),"")</f>
        <v/>
      </c>
      <c r="J3089" s="7" t="str">
        <f aca="false">IFERROR(INDEX('Semrush Data'!$A$1:$Z$20000,MATCH(A3089,'Semrush Data'!$A$1:$A$20000,0),MATCH("Intent",'Semrush Data'!$A$1:$Z$1,0)),"")</f>
        <v/>
      </c>
    </row>
    <row r="3090" customFormat="false" ht="15" hidden="false" customHeight="true" outlineLevel="0" collapsed="false">
      <c r="A3090" s="7" t="s">
        <v>7742</v>
      </c>
      <c r="B3090" s="7" t="s">
        <v>6820</v>
      </c>
      <c r="C3090" s="7" t="n">
        <v>3</v>
      </c>
      <c r="D3090" s="7" t="n">
        <v>31</v>
      </c>
      <c r="E3090" s="7" t="n">
        <v>1</v>
      </c>
      <c r="F3090" s="7" t="s">
        <v>6042</v>
      </c>
      <c r="G3090" s="12" t="str">
        <f aca="false">IFERROR(INDEX('Semrush Data'!$A$1:$Z$20000,MATCH(A3090,'Semrush Data'!$A$1:$A$20000,0),MATCH("Volume",'Semrush Data'!$A$1:$Z$1,0)),"")</f>
        <v/>
      </c>
      <c r="H3090" s="7" t="str">
        <f aca="false">IFERROR(INDEX('Semrush Data'!$A$1:$Z$20000,MATCH(A3090,'Semrush Data'!$A$1:$A$20000,0),MATCH("Keyword Difficulty*",'Semrush Data'!$A$1:$Z$1,0)),"")</f>
        <v/>
      </c>
      <c r="I3090" s="13" t="str">
        <f aca="false">IFERROR(INDEX('Semrush Data'!$A$1:$Z$20000,MATCH(A3090,'Semrush Data'!$A$1:$A$20000,0),MATCH("CPC*",'Semrush Data'!$A$1:$Z$1,0)),"")</f>
        <v/>
      </c>
      <c r="J3090" s="7" t="str">
        <f aca="false">IFERROR(INDEX('Semrush Data'!$A$1:$Z$20000,MATCH(A3090,'Semrush Data'!$A$1:$A$20000,0),MATCH("Intent",'Semrush Data'!$A$1:$Z$1,0)),"")</f>
        <v/>
      </c>
    </row>
    <row r="3091" customFormat="false" ht="15" hidden="false" customHeight="true" outlineLevel="0" collapsed="false">
      <c r="A3091" s="7" t="s">
        <v>7743</v>
      </c>
      <c r="B3091" s="7" t="s">
        <v>6820</v>
      </c>
      <c r="C3091" s="7" t="n">
        <v>3</v>
      </c>
      <c r="D3091" s="7" t="n">
        <v>31</v>
      </c>
      <c r="E3091" s="7" t="n">
        <v>1</v>
      </c>
      <c r="F3091" s="7" t="s">
        <v>6042</v>
      </c>
      <c r="G3091" s="12" t="str">
        <f aca="false">IFERROR(INDEX('Semrush Data'!$A$1:$Z$20000,MATCH(A3091,'Semrush Data'!$A$1:$A$20000,0),MATCH("Volume",'Semrush Data'!$A$1:$Z$1,0)),"")</f>
        <v/>
      </c>
      <c r="H3091" s="7" t="str">
        <f aca="false">IFERROR(INDEX('Semrush Data'!$A$1:$Z$20000,MATCH(A3091,'Semrush Data'!$A$1:$A$20000,0),MATCH("Keyword Difficulty*",'Semrush Data'!$A$1:$Z$1,0)),"")</f>
        <v/>
      </c>
      <c r="I3091" s="13" t="str">
        <f aca="false">IFERROR(INDEX('Semrush Data'!$A$1:$Z$20000,MATCH(A3091,'Semrush Data'!$A$1:$A$20000,0),MATCH("CPC*",'Semrush Data'!$A$1:$Z$1,0)),"")</f>
        <v/>
      </c>
      <c r="J3091" s="7" t="str">
        <f aca="false">IFERROR(INDEX('Semrush Data'!$A$1:$Z$20000,MATCH(A3091,'Semrush Data'!$A$1:$A$20000,0),MATCH("Intent",'Semrush Data'!$A$1:$Z$1,0)),"")</f>
        <v/>
      </c>
    </row>
    <row r="3092" customFormat="false" ht="15" hidden="false" customHeight="true" outlineLevel="0" collapsed="false">
      <c r="A3092" s="7" t="s">
        <v>7744</v>
      </c>
      <c r="B3092" s="7" t="s">
        <v>6820</v>
      </c>
      <c r="C3092" s="7" t="n">
        <v>3</v>
      </c>
      <c r="D3092" s="7" t="n">
        <v>31</v>
      </c>
      <c r="E3092" s="7" t="n">
        <v>1</v>
      </c>
      <c r="F3092" s="7" t="s">
        <v>6053</v>
      </c>
      <c r="G3092" s="12" t="str">
        <f aca="false">IFERROR(INDEX('Semrush Data'!$A$1:$Z$20000,MATCH(A3092,'Semrush Data'!$A$1:$A$20000,0),MATCH("Volume",'Semrush Data'!$A$1:$Z$1,0)),"")</f>
        <v/>
      </c>
      <c r="H3092" s="7" t="str">
        <f aca="false">IFERROR(INDEX('Semrush Data'!$A$1:$Z$20000,MATCH(A3092,'Semrush Data'!$A$1:$A$20000,0),MATCH("Keyword Difficulty*",'Semrush Data'!$A$1:$Z$1,0)),"")</f>
        <v/>
      </c>
      <c r="I3092" s="13" t="str">
        <f aca="false">IFERROR(INDEX('Semrush Data'!$A$1:$Z$20000,MATCH(A3092,'Semrush Data'!$A$1:$A$20000,0),MATCH("CPC*",'Semrush Data'!$A$1:$Z$1,0)),"")</f>
        <v/>
      </c>
      <c r="J3092" s="7" t="str">
        <f aca="false">IFERROR(INDEX('Semrush Data'!$A$1:$Z$20000,MATCH(A3092,'Semrush Data'!$A$1:$A$20000,0),MATCH("Intent",'Semrush Data'!$A$1:$Z$1,0)),"")</f>
        <v/>
      </c>
    </row>
    <row r="3093" customFormat="false" ht="15" hidden="false" customHeight="true" outlineLevel="0" collapsed="false">
      <c r="A3093" s="7" t="s">
        <v>7745</v>
      </c>
      <c r="B3093" s="7" t="s">
        <v>6820</v>
      </c>
      <c r="C3093" s="7" t="n">
        <v>3</v>
      </c>
      <c r="D3093" s="7" t="n">
        <v>31</v>
      </c>
      <c r="E3093" s="7" t="n">
        <v>1</v>
      </c>
      <c r="F3093" s="7" t="s">
        <v>6053</v>
      </c>
      <c r="G3093" s="12" t="str">
        <f aca="false">IFERROR(INDEX('Semrush Data'!$A$1:$Z$20000,MATCH(A3093,'Semrush Data'!$A$1:$A$20000,0),MATCH("Volume",'Semrush Data'!$A$1:$Z$1,0)),"")</f>
        <v/>
      </c>
      <c r="H3093" s="7" t="str">
        <f aca="false">IFERROR(INDEX('Semrush Data'!$A$1:$Z$20000,MATCH(A3093,'Semrush Data'!$A$1:$A$20000,0),MATCH("Keyword Difficulty*",'Semrush Data'!$A$1:$Z$1,0)),"")</f>
        <v/>
      </c>
      <c r="I3093" s="13" t="str">
        <f aca="false">IFERROR(INDEX('Semrush Data'!$A$1:$Z$20000,MATCH(A3093,'Semrush Data'!$A$1:$A$20000,0),MATCH("CPC*",'Semrush Data'!$A$1:$Z$1,0)),"")</f>
        <v/>
      </c>
      <c r="J3093" s="7" t="str">
        <f aca="false">IFERROR(INDEX('Semrush Data'!$A$1:$Z$20000,MATCH(A3093,'Semrush Data'!$A$1:$A$20000,0),MATCH("Intent",'Semrush Data'!$A$1:$Z$1,0)),"")</f>
        <v/>
      </c>
    </row>
    <row r="3094" customFormat="false" ht="15" hidden="false" customHeight="true" outlineLevel="0" collapsed="false">
      <c r="A3094" s="7" t="s">
        <v>7746</v>
      </c>
      <c r="B3094" s="7" t="s">
        <v>6820</v>
      </c>
      <c r="C3094" s="7" t="n">
        <v>3</v>
      </c>
      <c r="D3094" s="7" t="n">
        <v>31</v>
      </c>
      <c r="E3094" s="7" t="n">
        <v>1</v>
      </c>
      <c r="F3094" s="7" t="s">
        <v>6053</v>
      </c>
      <c r="G3094" s="12" t="str">
        <f aca="false">IFERROR(INDEX('Semrush Data'!$A$1:$Z$20000,MATCH(A3094,'Semrush Data'!$A$1:$A$20000,0),MATCH("Volume",'Semrush Data'!$A$1:$Z$1,0)),"")</f>
        <v/>
      </c>
      <c r="H3094" s="7" t="str">
        <f aca="false">IFERROR(INDEX('Semrush Data'!$A$1:$Z$20000,MATCH(A3094,'Semrush Data'!$A$1:$A$20000,0),MATCH("Keyword Difficulty*",'Semrush Data'!$A$1:$Z$1,0)),"")</f>
        <v/>
      </c>
      <c r="I3094" s="13" t="str">
        <f aca="false">IFERROR(INDEX('Semrush Data'!$A$1:$Z$20000,MATCH(A3094,'Semrush Data'!$A$1:$A$20000,0),MATCH("CPC*",'Semrush Data'!$A$1:$Z$1,0)),"")</f>
        <v/>
      </c>
      <c r="J3094" s="7" t="str">
        <f aca="false">IFERROR(INDEX('Semrush Data'!$A$1:$Z$20000,MATCH(A3094,'Semrush Data'!$A$1:$A$20000,0),MATCH("Intent",'Semrush Data'!$A$1:$Z$1,0)),"")</f>
        <v/>
      </c>
    </row>
    <row r="3095" customFormat="false" ht="15" hidden="false" customHeight="true" outlineLevel="0" collapsed="false">
      <c r="A3095" s="7" t="s">
        <v>7747</v>
      </c>
      <c r="B3095" s="7" t="s">
        <v>6820</v>
      </c>
      <c r="C3095" s="7" t="n">
        <v>3</v>
      </c>
      <c r="D3095" s="7" t="n">
        <v>31</v>
      </c>
      <c r="E3095" s="7" t="n">
        <v>1</v>
      </c>
      <c r="F3095" s="7" t="s">
        <v>6053</v>
      </c>
      <c r="G3095" s="12" t="str">
        <f aca="false">IFERROR(INDEX('Semrush Data'!$A$1:$Z$20000,MATCH(A3095,'Semrush Data'!$A$1:$A$20000,0),MATCH("Volume",'Semrush Data'!$A$1:$Z$1,0)),"")</f>
        <v/>
      </c>
      <c r="H3095" s="7" t="str">
        <f aca="false">IFERROR(INDEX('Semrush Data'!$A$1:$Z$20000,MATCH(A3095,'Semrush Data'!$A$1:$A$20000,0),MATCH("Keyword Difficulty*",'Semrush Data'!$A$1:$Z$1,0)),"")</f>
        <v/>
      </c>
      <c r="I3095" s="13" t="str">
        <f aca="false">IFERROR(INDEX('Semrush Data'!$A$1:$Z$20000,MATCH(A3095,'Semrush Data'!$A$1:$A$20000,0),MATCH("CPC*",'Semrush Data'!$A$1:$Z$1,0)),"")</f>
        <v/>
      </c>
      <c r="J3095" s="7" t="str">
        <f aca="false">IFERROR(INDEX('Semrush Data'!$A$1:$Z$20000,MATCH(A3095,'Semrush Data'!$A$1:$A$20000,0),MATCH("Intent",'Semrush Data'!$A$1:$Z$1,0)),"")</f>
        <v/>
      </c>
    </row>
    <row r="3096" customFormat="false" ht="15" hidden="false" customHeight="true" outlineLevel="0" collapsed="false">
      <c r="A3096" s="7" t="s">
        <v>7748</v>
      </c>
      <c r="B3096" s="7" t="s">
        <v>6820</v>
      </c>
      <c r="C3096" s="7" t="n">
        <v>3</v>
      </c>
      <c r="D3096" s="7" t="n">
        <v>31</v>
      </c>
      <c r="E3096" s="7" t="n">
        <v>1</v>
      </c>
      <c r="F3096" s="7" t="s">
        <v>6064</v>
      </c>
      <c r="G3096" s="12" t="str">
        <f aca="false">IFERROR(INDEX('Semrush Data'!$A$1:$Z$20000,MATCH(A3096,'Semrush Data'!$A$1:$A$20000,0),MATCH("Volume",'Semrush Data'!$A$1:$Z$1,0)),"")</f>
        <v/>
      </c>
      <c r="H3096" s="7" t="str">
        <f aca="false">IFERROR(INDEX('Semrush Data'!$A$1:$Z$20000,MATCH(A3096,'Semrush Data'!$A$1:$A$20000,0),MATCH("Keyword Difficulty*",'Semrush Data'!$A$1:$Z$1,0)),"")</f>
        <v/>
      </c>
      <c r="I3096" s="13" t="str">
        <f aca="false">IFERROR(INDEX('Semrush Data'!$A$1:$Z$20000,MATCH(A3096,'Semrush Data'!$A$1:$A$20000,0),MATCH("CPC*",'Semrush Data'!$A$1:$Z$1,0)),"")</f>
        <v/>
      </c>
      <c r="J3096" s="7" t="str">
        <f aca="false">IFERROR(INDEX('Semrush Data'!$A$1:$Z$20000,MATCH(A3096,'Semrush Data'!$A$1:$A$20000,0),MATCH("Intent",'Semrush Data'!$A$1:$Z$1,0)),"")</f>
        <v/>
      </c>
    </row>
    <row r="3097" customFormat="false" ht="15" hidden="false" customHeight="true" outlineLevel="0" collapsed="false">
      <c r="A3097" s="7" t="s">
        <v>7749</v>
      </c>
      <c r="B3097" s="7" t="s">
        <v>6820</v>
      </c>
      <c r="C3097" s="7" t="n">
        <v>3</v>
      </c>
      <c r="D3097" s="7" t="n">
        <v>31</v>
      </c>
      <c r="E3097" s="7" t="n">
        <v>1</v>
      </c>
      <c r="F3097" s="7" t="s">
        <v>6064</v>
      </c>
      <c r="G3097" s="12" t="str">
        <f aca="false">IFERROR(INDEX('Semrush Data'!$A$1:$Z$20000,MATCH(A3097,'Semrush Data'!$A$1:$A$20000,0),MATCH("Volume",'Semrush Data'!$A$1:$Z$1,0)),"")</f>
        <v/>
      </c>
      <c r="H3097" s="7" t="str">
        <f aca="false">IFERROR(INDEX('Semrush Data'!$A$1:$Z$20000,MATCH(A3097,'Semrush Data'!$A$1:$A$20000,0),MATCH("Keyword Difficulty*",'Semrush Data'!$A$1:$Z$1,0)),"")</f>
        <v/>
      </c>
      <c r="I3097" s="13" t="str">
        <f aca="false">IFERROR(INDEX('Semrush Data'!$A$1:$Z$20000,MATCH(A3097,'Semrush Data'!$A$1:$A$20000,0),MATCH("CPC*",'Semrush Data'!$A$1:$Z$1,0)),"")</f>
        <v/>
      </c>
      <c r="J3097" s="7" t="str">
        <f aca="false">IFERROR(INDEX('Semrush Data'!$A$1:$Z$20000,MATCH(A3097,'Semrush Data'!$A$1:$A$20000,0),MATCH("Intent",'Semrush Data'!$A$1:$Z$1,0)),"")</f>
        <v/>
      </c>
    </row>
    <row r="3098" customFormat="false" ht="15" hidden="false" customHeight="true" outlineLevel="0" collapsed="false">
      <c r="A3098" s="7" t="s">
        <v>7750</v>
      </c>
      <c r="B3098" s="7" t="s">
        <v>6820</v>
      </c>
      <c r="C3098" s="7" t="n">
        <v>3</v>
      </c>
      <c r="D3098" s="7" t="n">
        <v>31</v>
      </c>
      <c r="E3098" s="7" t="n">
        <v>1</v>
      </c>
      <c r="F3098" s="7" t="s">
        <v>6064</v>
      </c>
      <c r="G3098" s="12" t="str">
        <f aca="false">IFERROR(INDEX('Semrush Data'!$A$1:$Z$20000,MATCH(A3098,'Semrush Data'!$A$1:$A$20000,0),MATCH("Volume",'Semrush Data'!$A$1:$Z$1,0)),"")</f>
        <v/>
      </c>
      <c r="H3098" s="7" t="str">
        <f aca="false">IFERROR(INDEX('Semrush Data'!$A$1:$Z$20000,MATCH(A3098,'Semrush Data'!$A$1:$A$20000,0),MATCH("Keyword Difficulty*",'Semrush Data'!$A$1:$Z$1,0)),"")</f>
        <v/>
      </c>
      <c r="I3098" s="13" t="str">
        <f aca="false">IFERROR(INDEX('Semrush Data'!$A$1:$Z$20000,MATCH(A3098,'Semrush Data'!$A$1:$A$20000,0),MATCH("CPC*",'Semrush Data'!$A$1:$Z$1,0)),"")</f>
        <v/>
      </c>
      <c r="J3098" s="7" t="str">
        <f aca="false">IFERROR(INDEX('Semrush Data'!$A$1:$Z$20000,MATCH(A3098,'Semrush Data'!$A$1:$A$20000,0),MATCH("Intent",'Semrush Data'!$A$1:$Z$1,0)),"")</f>
        <v/>
      </c>
    </row>
    <row r="3099" customFormat="false" ht="15" hidden="false" customHeight="true" outlineLevel="0" collapsed="false">
      <c r="A3099" s="7" t="s">
        <v>7751</v>
      </c>
      <c r="B3099" s="7" t="s">
        <v>6820</v>
      </c>
      <c r="C3099" s="7" t="n">
        <v>3</v>
      </c>
      <c r="D3099" s="7" t="n">
        <v>31</v>
      </c>
      <c r="E3099" s="7" t="n">
        <v>1</v>
      </c>
      <c r="F3099" s="7" t="s">
        <v>5985</v>
      </c>
      <c r="G3099" s="12" t="str">
        <f aca="false">IFERROR(INDEX('Semrush Data'!$A$1:$Z$20000,MATCH(A3099,'Semrush Data'!$A$1:$A$20000,0),MATCH("Volume",'Semrush Data'!$A$1:$Z$1,0)),"")</f>
        <v/>
      </c>
      <c r="H3099" s="7" t="str">
        <f aca="false">IFERROR(INDEX('Semrush Data'!$A$1:$Z$20000,MATCH(A3099,'Semrush Data'!$A$1:$A$20000,0),MATCH("Keyword Difficulty*",'Semrush Data'!$A$1:$Z$1,0)),"")</f>
        <v/>
      </c>
      <c r="I3099" s="13" t="str">
        <f aca="false">IFERROR(INDEX('Semrush Data'!$A$1:$Z$20000,MATCH(A3099,'Semrush Data'!$A$1:$A$20000,0),MATCH("CPC*",'Semrush Data'!$A$1:$Z$1,0)),"")</f>
        <v/>
      </c>
      <c r="J3099" s="7" t="str">
        <f aca="false">IFERROR(INDEX('Semrush Data'!$A$1:$Z$20000,MATCH(A3099,'Semrush Data'!$A$1:$A$20000,0),MATCH("Intent",'Semrush Data'!$A$1:$Z$1,0)),"")</f>
        <v/>
      </c>
    </row>
    <row r="3100" customFormat="false" ht="15" hidden="false" customHeight="true" outlineLevel="0" collapsed="false">
      <c r="A3100" s="7" t="s">
        <v>7752</v>
      </c>
      <c r="B3100" s="7" t="s">
        <v>6820</v>
      </c>
      <c r="C3100" s="7" t="n">
        <v>3</v>
      </c>
      <c r="D3100" s="7" t="n">
        <v>31</v>
      </c>
      <c r="E3100" s="7" t="n">
        <v>1</v>
      </c>
      <c r="F3100" s="7" t="s">
        <v>6009</v>
      </c>
      <c r="G3100" s="12" t="str">
        <f aca="false">IFERROR(INDEX('Semrush Data'!$A$1:$Z$20000,MATCH(A3100,'Semrush Data'!$A$1:$A$20000,0),MATCH("Volume",'Semrush Data'!$A$1:$Z$1,0)),"")</f>
        <v/>
      </c>
      <c r="H3100" s="7" t="str">
        <f aca="false">IFERROR(INDEX('Semrush Data'!$A$1:$Z$20000,MATCH(A3100,'Semrush Data'!$A$1:$A$20000,0),MATCH("Keyword Difficulty*",'Semrush Data'!$A$1:$Z$1,0)),"")</f>
        <v/>
      </c>
      <c r="I3100" s="13" t="str">
        <f aca="false">IFERROR(INDEX('Semrush Data'!$A$1:$Z$20000,MATCH(A3100,'Semrush Data'!$A$1:$A$20000,0),MATCH("CPC*",'Semrush Data'!$A$1:$Z$1,0)),"")</f>
        <v/>
      </c>
      <c r="J3100" s="7" t="str">
        <f aca="false">IFERROR(INDEX('Semrush Data'!$A$1:$Z$20000,MATCH(A3100,'Semrush Data'!$A$1:$A$20000,0),MATCH("Intent",'Semrush Data'!$A$1:$Z$1,0)),"")</f>
        <v/>
      </c>
    </row>
    <row r="3101" customFormat="false" ht="15" hidden="false" customHeight="true" outlineLevel="0" collapsed="false">
      <c r="A3101" s="7" t="s">
        <v>7753</v>
      </c>
      <c r="B3101" s="7" t="s">
        <v>6820</v>
      </c>
      <c r="C3101" s="7" t="n">
        <v>3</v>
      </c>
      <c r="D3101" s="7" t="n">
        <v>31</v>
      </c>
      <c r="E3101" s="7" t="n">
        <v>1</v>
      </c>
      <c r="F3101" s="7" t="s">
        <v>6020</v>
      </c>
      <c r="G3101" s="12" t="str">
        <f aca="false">IFERROR(INDEX('Semrush Data'!$A$1:$Z$20000,MATCH(A3101,'Semrush Data'!$A$1:$A$20000,0),MATCH("Volume",'Semrush Data'!$A$1:$Z$1,0)),"")</f>
        <v/>
      </c>
      <c r="H3101" s="7" t="str">
        <f aca="false">IFERROR(INDEX('Semrush Data'!$A$1:$Z$20000,MATCH(A3101,'Semrush Data'!$A$1:$A$20000,0),MATCH("Keyword Difficulty*",'Semrush Data'!$A$1:$Z$1,0)),"")</f>
        <v/>
      </c>
      <c r="I3101" s="13" t="str">
        <f aca="false">IFERROR(INDEX('Semrush Data'!$A$1:$Z$20000,MATCH(A3101,'Semrush Data'!$A$1:$A$20000,0),MATCH("CPC*",'Semrush Data'!$A$1:$Z$1,0)),"")</f>
        <v/>
      </c>
      <c r="J3101" s="7" t="str">
        <f aca="false">IFERROR(INDEX('Semrush Data'!$A$1:$Z$20000,MATCH(A3101,'Semrush Data'!$A$1:$A$20000,0),MATCH("Intent",'Semrush Data'!$A$1:$Z$1,0)),"")</f>
        <v/>
      </c>
    </row>
    <row r="3102" customFormat="false" ht="15" hidden="false" customHeight="true" outlineLevel="0" collapsed="false">
      <c r="A3102" s="7" t="s">
        <v>7754</v>
      </c>
      <c r="B3102" s="7" t="s">
        <v>6820</v>
      </c>
      <c r="C3102" s="7" t="n">
        <v>3</v>
      </c>
      <c r="D3102" s="7" t="n">
        <v>32</v>
      </c>
      <c r="E3102" s="7" t="n">
        <v>1</v>
      </c>
      <c r="F3102" s="7" t="s">
        <v>6042</v>
      </c>
      <c r="G3102" s="12" t="str">
        <f aca="false">IFERROR(INDEX('Semrush Data'!$A$1:$Z$20000,MATCH(A3102,'Semrush Data'!$A$1:$A$20000,0),MATCH("Volume",'Semrush Data'!$A$1:$Z$1,0)),"")</f>
        <v/>
      </c>
      <c r="H3102" s="7" t="str">
        <f aca="false">IFERROR(INDEX('Semrush Data'!$A$1:$Z$20000,MATCH(A3102,'Semrush Data'!$A$1:$A$20000,0),MATCH("Keyword Difficulty*",'Semrush Data'!$A$1:$Z$1,0)),"")</f>
        <v/>
      </c>
      <c r="I3102" s="13" t="str">
        <f aca="false">IFERROR(INDEX('Semrush Data'!$A$1:$Z$20000,MATCH(A3102,'Semrush Data'!$A$1:$A$20000,0),MATCH("CPC*",'Semrush Data'!$A$1:$Z$1,0)),"")</f>
        <v/>
      </c>
      <c r="J3102" s="7" t="str">
        <f aca="false">IFERROR(INDEX('Semrush Data'!$A$1:$Z$20000,MATCH(A3102,'Semrush Data'!$A$1:$A$20000,0),MATCH("Intent",'Semrush Data'!$A$1:$Z$1,0)),"")</f>
        <v/>
      </c>
    </row>
    <row r="3103" customFormat="false" ht="15" hidden="false" customHeight="true" outlineLevel="0" collapsed="false">
      <c r="A3103" s="7" t="s">
        <v>7755</v>
      </c>
      <c r="B3103" s="7" t="s">
        <v>6820</v>
      </c>
      <c r="C3103" s="7" t="n">
        <v>3</v>
      </c>
      <c r="D3103" s="7" t="n">
        <v>32</v>
      </c>
      <c r="E3103" s="7" t="n">
        <v>1</v>
      </c>
      <c r="F3103" s="7" t="s">
        <v>6064</v>
      </c>
      <c r="G3103" s="12" t="str">
        <f aca="false">IFERROR(INDEX('Semrush Data'!$A$1:$Z$20000,MATCH(A3103,'Semrush Data'!$A$1:$A$20000,0),MATCH("Volume",'Semrush Data'!$A$1:$Z$1,0)),"")</f>
        <v/>
      </c>
      <c r="H3103" s="7" t="str">
        <f aca="false">IFERROR(INDEX('Semrush Data'!$A$1:$Z$20000,MATCH(A3103,'Semrush Data'!$A$1:$A$20000,0),MATCH("Keyword Difficulty*",'Semrush Data'!$A$1:$Z$1,0)),"")</f>
        <v/>
      </c>
      <c r="I3103" s="13" t="str">
        <f aca="false">IFERROR(INDEX('Semrush Data'!$A$1:$Z$20000,MATCH(A3103,'Semrush Data'!$A$1:$A$20000,0),MATCH("CPC*",'Semrush Data'!$A$1:$Z$1,0)),"")</f>
        <v/>
      </c>
      <c r="J3103" s="7" t="str">
        <f aca="false">IFERROR(INDEX('Semrush Data'!$A$1:$Z$20000,MATCH(A3103,'Semrush Data'!$A$1:$A$20000,0),MATCH("Intent",'Semrush Data'!$A$1:$Z$1,0)),"")</f>
        <v/>
      </c>
    </row>
    <row r="3104" customFormat="false" ht="15" hidden="false" customHeight="true" outlineLevel="0" collapsed="false">
      <c r="A3104" s="7" t="s">
        <v>7756</v>
      </c>
      <c r="B3104" s="7" t="s">
        <v>6820</v>
      </c>
      <c r="C3104" s="7" t="n">
        <v>3</v>
      </c>
      <c r="D3104" s="7" t="n">
        <v>32</v>
      </c>
      <c r="E3104" s="7" t="n">
        <v>1</v>
      </c>
      <c r="F3104" s="7" t="s">
        <v>6075</v>
      </c>
      <c r="G3104" s="12" t="str">
        <f aca="false">IFERROR(INDEX('Semrush Data'!$A$1:$Z$20000,MATCH(A3104,'Semrush Data'!$A$1:$A$20000,0),MATCH("Volume",'Semrush Data'!$A$1:$Z$1,0)),"")</f>
        <v/>
      </c>
      <c r="H3104" s="7" t="str">
        <f aca="false">IFERROR(INDEX('Semrush Data'!$A$1:$Z$20000,MATCH(A3104,'Semrush Data'!$A$1:$A$20000,0),MATCH("Keyword Difficulty*",'Semrush Data'!$A$1:$Z$1,0)),"")</f>
        <v/>
      </c>
      <c r="I3104" s="13" t="str">
        <f aca="false">IFERROR(INDEX('Semrush Data'!$A$1:$Z$20000,MATCH(A3104,'Semrush Data'!$A$1:$A$20000,0),MATCH("CPC*",'Semrush Data'!$A$1:$Z$1,0)),"")</f>
        <v/>
      </c>
      <c r="J3104" s="7" t="str">
        <f aca="false">IFERROR(INDEX('Semrush Data'!$A$1:$Z$20000,MATCH(A3104,'Semrush Data'!$A$1:$A$20000,0),MATCH("Intent",'Semrush Data'!$A$1:$Z$1,0)),"")</f>
        <v/>
      </c>
    </row>
    <row r="3105" customFormat="false" ht="15" hidden="false" customHeight="true" outlineLevel="0" collapsed="false">
      <c r="A3105" s="7" t="s">
        <v>7757</v>
      </c>
      <c r="B3105" s="7" t="s">
        <v>6820</v>
      </c>
      <c r="C3105" s="7" t="n">
        <v>3</v>
      </c>
      <c r="D3105" s="7" t="n">
        <v>32</v>
      </c>
      <c r="E3105" s="7" t="n">
        <v>1</v>
      </c>
      <c r="F3105" s="7" t="s">
        <v>6075</v>
      </c>
      <c r="G3105" s="12" t="str">
        <f aca="false">IFERROR(INDEX('Semrush Data'!$A$1:$Z$20000,MATCH(A3105,'Semrush Data'!$A$1:$A$20000,0),MATCH("Volume",'Semrush Data'!$A$1:$Z$1,0)),"")</f>
        <v/>
      </c>
      <c r="H3105" s="7" t="str">
        <f aca="false">IFERROR(INDEX('Semrush Data'!$A$1:$Z$20000,MATCH(A3105,'Semrush Data'!$A$1:$A$20000,0),MATCH("Keyword Difficulty*",'Semrush Data'!$A$1:$Z$1,0)),"")</f>
        <v/>
      </c>
      <c r="I3105" s="13" t="str">
        <f aca="false">IFERROR(INDEX('Semrush Data'!$A$1:$Z$20000,MATCH(A3105,'Semrush Data'!$A$1:$A$20000,0),MATCH("CPC*",'Semrush Data'!$A$1:$Z$1,0)),"")</f>
        <v/>
      </c>
      <c r="J3105" s="7" t="str">
        <f aca="false">IFERROR(INDEX('Semrush Data'!$A$1:$Z$20000,MATCH(A3105,'Semrush Data'!$A$1:$A$20000,0),MATCH("Intent",'Semrush Data'!$A$1:$Z$1,0)),"")</f>
        <v/>
      </c>
    </row>
    <row r="3106" customFormat="false" ht="15" hidden="false" customHeight="true" outlineLevel="0" collapsed="false">
      <c r="A3106" s="7" t="s">
        <v>7758</v>
      </c>
      <c r="B3106" s="7" t="s">
        <v>6820</v>
      </c>
      <c r="C3106" s="7" t="n">
        <v>3</v>
      </c>
      <c r="D3106" s="7" t="n">
        <v>32</v>
      </c>
      <c r="E3106" s="7" t="n">
        <v>1</v>
      </c>
      <c r="F3106" s="7" t="s">
        <v>6075</v>
      </c>
      <c r="G3106" s="12" t="str">
        <f aca="false">IFERROR(INDEX('Semrush Data'!$A$1:$Z$20000,MATCH(A3106,'Semrush Data'!$A$1:$A$20000,0),MATCH("Volume",'Semrush Data'!$A$1:$Z$1,0)),"")</f>
        <v/>
      </c>
      <c r="H3106" s="7" t="str">
        <f aca="false">IFERROR(INDEX('Semrush Data'!$A$1:$Z$20000,MATCH(A3106,'Semrush Data'!$A$1:$A$20000,0),MATCH("Keyword Difficulty*",'Semrush Data'!$A$1:$Z$1,0)),"")</f>
        <v/>
      </c>
      <c r="I3106" s="13" t="str">
        <f aca="false">IFERROR(INDEX('Semrush Data'!$A$1:$Z$20000,MATCH(A3106,'Semrush Data'!$A$1:$A$20000,0),MATCH("CPC*",'Semrush Data'!$A$1:$Z$1,0)),"")</f>
        <v/>
      </c>
      <c r="J3106" s="7" t="str">
        <f aca="false">IFERROR(INDEX('Semrush Data'!$A$1:$Z$20000,MATCH(A3106,'Semrush Data'!$A$1:$A$20000,0),MATCH("Intent",'Semrush Data'!$A$1:$Z$1,0)),"")</f>
        <v/>
      </c>
    </row>
    <row r="3107" customFormat="false" ht="15" hidden="false" customHeight="true" outlineLevel="0" collapsed="false">
      <c r="A3107" s="7" t="s">
        <v>7759</v>
      </c>
      <c r="B3107" s="7" t="s">
        <v>6820</v>
      </c>
      <c r="C3107" s="7" t="n">
        <v>3</v>
      </c>
      <c r="D3107" s="7" t="n">
        <v>32</v>
      </c>
      <c r="E3107" s="7" t="n">
        <v>1</v>
      </c>
      <c r="F3107" s="7" t="s">
        <v>6075</v>
      </c>
      <c r="G3107" s="12" t="str">
        <f aca="false">IFERROR(INDEX('Semrush Data'!$A$1:$Z$20000,MATCH(A3107,'Semrush Data'!$A$1:$A$20000,0),MATCH("Volume",'Semrush Data'!$A$1:$Z$1,0)),"")</f>
        <v/>
      </c>
      <c r="H3107" s="7" t="str">
        <f aca="false">IFERROR(INDEX('Semrush Data'!$A$1:$Z$20000,MATCH(A3107,'Semrush Data'!$A$1:$A$20000,0),MATCH("Keyword Difficulty*",'Semrush Data'!$A$1:$Z$1,0)),"")</f>
        <v/>
      </c>
      <c r="I3107" s="13" t="str">
        <f aca="false">IFERROR(INDEX('Semrush Data'!$A$1:$Z$20000,MATCH(A3107,'Semrush Data'!$A$1:$A$20000,0),MATCH("CPC*",'Semrush Data'!$A$1:$Z$1,0)),"")</f>
        <v/>
      </c>
      <c r="J3107" s="7" t="str">
        <f aca="false">IFERROR(INDEX('Semrush Data'!$A$1:$Z$20000,MATCH(A3107,'Semrush Data'!$A$1:$A$20000,0),MATCH("Intent",'Semrush Data'!$A$1:$Z$1,0)),"")</f>
        <v/>
      </c>
    </row>
    <row r="3108" customFormat="false" ht="15" hidden="false" customHeight="true" outlineLevel="0" collapsed="false">
      <c r="A3108" s="7" t="s">
        <v>7760</v>
      </c>
      <c r="B3108" s="7" t="s">
        <v>6820</v>
      </c>
      <c r="C3108" s="7" t="n">
        <v>3</v>
      </c>
      <c r="D3108" s="7" t="n">
        <v>32</v>
      </c>
      <c r="E3108" s="7" t="n">
        <v>1</v>
      </c>
      <c r="F3108" s="7" t="s">
        <v>6075</v>
      </c>
      <c r="G3108" s="12" t="str">
        <f aca="false">IFERROR(INDEX('Semrush Data'!$A$1:$Z$20000,MATCH(A3108,'Semrush Data'!$A$1:$A$20000,0),MATCH("Volume",'Semrush Data'!$A$1:$Z$1,0)),"")</f>
        <v/>
      </c>
      <c r="H3108" s="7" t="str">
        <f aca="false">IFERROR(INDEX('Semrush Data'!$A$1:$Z$20000,MATCH(A3108,'Semrush Data'!$A$1:$A$20000,0),MATCH("Keyword Difficulty*",'Semrush Data'!$A$1:$Z$1,0)),"")</f>
        <v/>
      </c>
      <c r="I3108" s="13" t="str">
        <f aca="false">IFERROR(INDEX('Semrush Data'!$A$1:$Z$20000,MATCH(A3108,'Semrush Data'!$A$1:$A$20000,0),MATCH("CPC*",'Semrush Data'!$A$1:$Z$1,0)),"")</f>
        <v/>
      </c>
      <c r="J3108" s="7" t="str">
        <f aca="false">IFERROR(INDEX('Semrush Data'!$A$1:$Z$20000,MATCH(A3108,'Semrush Data'!$A$1:$A$20000,0),MATCH("Intent",'Semrush Data'!$A$1:$Z$1,0)),"")</f>
        <v/>
      </c>
    </row>
    <row r="3109" customFormat="false" ht="15" hidden="false" customHeight="true" outlineLevel="0" collapsed="false">
      <c r="A3109" s="7" t="s">
        <v>7761</v>
      </c>
      <c r="B3109" s="7" t="s">
        <v>6820</v>
      </c>
      <c r="C3109" s="7" t="n">
        <v>3</v>
      </c>
      <c r="D3109" s="7" t="n">
        <v>32</v>
      </c>
      <c r="E3109" s="7" t="n">
        <v>1</v>
      </c>
      <c r="F3109" s="7" t="s">
        <v>6088</v>
      </c>
      <c r="G3109" s="12" t="str">
        <f aca="false">IFERROR(INDEX('Semrush Data'!$A$1:$Z$20000,MATCH(A3109,'Semrush Data'!$A$1:$A$20000,0),MATCH("Volume",'Semrush Data'!$A$1:$Z$1,0)),"")</f>
        <v/>
      </c>
      <c r="H3109" s="7" t="str">
        <f aca="false">IFERROR(INDEX('Semrush Data'!$A$1:$Z$20000,MATCH(A3109,'Semrush Data'!$A$1:$A$20000,0),MATCH("Keyword Difficulty*",'Semrush Data'!$A$1:$Z$1,0)),"")</f>
        <v/>
      </c>
      <c r="I3109" s="13" t="str">
        <f aca="false">IFERROR(INDEX('Semrush Data'!$A$1:$Z$20000,MATCH(A3109,'Semrush Data'!$A$1:$A$20000,0),MATCH("CPC*",'Semrush Data'!$A$1:$Z$1,0)),"")</f>
        <v/>
      </c>
      <c r="J3109" s="7" t="str">
        <f aca="false">IFERROR(INDEX('Semrush Data'!$A$1:$Z$20000,MATCH(A3109,'Semrush Data'!$A$1:$A$20000,0),MATCH("Intent",'Semrush Data'!$A$1:$Z$1,0)),"")</f>
        <v/>
      </c>
    </row>
    <row r="3110" customFormat="false" ht="15" hidden="false" customHeight="true" outlineLevel="0" collapsed="false">
      <c r="A3110" s="7" t="s">
        <v>7762</v>
      </c>
      <c r="B3110" s="7" t="s">
        <v>6820</v>
      </c>
      <c r="C3110" s="7" t="n">
        <v>3</v>
      </c>
      <c r="D3110" s="7" t="n">
        <v>32</v>
      </c>
      <c r="E3110" s="7" t="n">
        <v>1</v>
      </c>
      <c r="F3110" s="7" t="s">
        <v>6088</v>
      </c>
      <c r="G3110" s="12" t="str">
        <f aca="false">IFERROR(INDEX('Semrush Data'!$A$1:$Z$20000,MATCH(A3110,'Semrush Data'!$A$1:$A$20000,0),MATCH("Volume",'Semrush Data'!$A$1:$Z$1,0)),"")</f>
        <v/>
      </c>
      <c r="H3110" s="7" t="str">
        <f aca="false">IFERROR(INDEX('Semrush Data'!$A$1:$Z$20000,MATCH(A3110,'Semrush Data'!$A$1:$A$20000,0),MATCH("Keyword Difficulty*",'Semrush Data'!$A$1:$Z$1,0)),"")</f>
        <v/>
      </c>
      <c r="I3110" s="13" t="str">
        <f aca="false">IFERROR(INDEX('Semrush Data'!$A$1:$Z$20000,MATCH(A3110,'Semrush Data'!$A$1:$A$20000,0),MATCH("CPC*",'Semrush Data'!$A$1:$Z$1,0)),"")</f>
        <v/>
      </c>
      <c r="J3110" s="7" t="str">
        <f aca="false">IFERROR(INDEX('Semrush Data'!$A$1:$Z$20000,MATCH(A3110,'Semrush Data'!$A$1:$A$20000,0),MATCH("Intent",'Semrush Data'!$A$1:$Z$1,0)),"")</f>
        <v/>
      </c>
    </row>
    <row r="3111" customFormat="false" ht="15" hidden="false" customHeight="true" outlineLevel="0" collapsed="false">
      <c r="A3111" s="7" t="s">
        <v>7763</v>
      </c>
      <c r="B3111" s="7" t="s">
        <v>6820</v>
      </c>
      <c r="C3111" s="7" t="n">
        <v>3</v>
      </c>
      <c r="D3111" s="7" t="n">
        <v>32</v>
      </c>
      <c r="E3111" s="7" t="n">
        <v>1</v>
      </c>
      <c r="F3111" s="7" t="s">
        <v>6088</v>
      </c>
      <c r="G3111" s="12" t="str">
        <f aca="false">IFERROR(INDEX('Semrush Data'!$A$1:$Z$20000,MATCH(A3111,'Semrush Data'!$A$1:$A$20000,0),MATCH("Volume",'Semrush Data'!$A$1:$Z$1,0)),"")</f>
        <v/>
      </c>
      <c r="H3111" s="7" t="str">
        <f aca="false">IFERROR(INDEX('Semrush Data'!$A$1:$Z$20000,MATCH(A3111,'Semrush Data'!$A$1:$A$20000,0),MATCH("Keyword Difficulty*",'Semrush Data'!$A$1:$Z$1,0)),"")</f>
        <v/>
      </c>
      <c r="I3111" s="13" t="str">
        <f aca="false">IFERROR(INDEX('Semrush Data'!$A$1:$Z$20000,MATCH(A3111,'Semrush Data'!$A$1:$A$20000,0),MATCH("CPC*",'Semrush Data'!$A$1:$Z$1,0)),"")</f>
        <v/>
      </c>
      <c r="J3111" s="7" t="str">
        <f aca="false">IFERROR(INDEX('Semrush Data'!$A$1:$Z$20000,MATCH(A3111,'Semrush Data'!$A$1:$A$20000,0),MATCH("Intent",'Semrush Data'!$A$1:$Z$1,0)),"")</f>
        <v/>
      </c>
    </row>
    <row r="3112" customFormat="false" ht="15" hidden="false" customHeight="true" outlineLevel="0" collapsed="false">
      <c r="A3112" s="7" t="s">
        <v>7764</v>
      </c>
      <c r="B3112" s="7" t="s">
        <v>6820</v>
      </c>
      <c r="C3112" s="7" t="n">
        <v>3</v>
      </c>
      <c r="D3112" s="7" t="n">
        <v>32</v>
      </c>
      <c r="E3112" s="7" t="n">
        <v>1</v>
      </c>
      <c r="F3112" s="7" t="s">
        <v>6088</v>
      </c>
      <c r="G3112" s="12" t="str">
        <f aca="false">IFERROR(INDEX('Semrush Data'!$A$1:$Z$20000,MATCH(A3112,'Semrush Data'!$A$1:$A$20000,0),MATCH("Volume",'Semrush Data'!$A$1:$Z$1,0)),"")</f>
        <v/>
      </c>
      <c r="H3112" s="7" t="str">
        <f aca="false">IFERROR(INDEX('Semrush Data'!$A$1:$Z$20000,MATCH(A3112,'Semrush Data'!$A$1:$A$20000,0),MATCH("Keyword Difficulty*",'Semrush Data'!$A$1:$Z$1,0)),"")</f>
        <v/>
      </c>
      <c r="I3112" s="13" t="str">
        <f aca="false">IFERROR(INDEX('Semrush Data'!$A$1:$Z$20000,MATCH(A3112,'Semrush Data'!$A$1:$A$20000,0),MATCH("CPC*",'Semrush Data'!$A$1:$Z$1,0)),"")</f>
        <v/>
      </c>
      <c r="J3112" s="7" t="str">
        <f aca="false">IFERROR(INDEX('Semrush Data'!$A$1:$Z$20000,MATCH(A3112,'Semrush Data'!$A$1:$A$20000,0),MATCH("Intent",'Semrush Data'!$A$1:$Z$1,0)),"")</f>
        <v/>
      </c>
    </row>
    <row r="3113" customFormat="false" ht="15" hidden="false" customHeight="true" outlineLevel="0" collapsed="false">
      <c r="A3113" s="7" t="s">
        <v>7765</v>
      </c>
      <c r="B3113" s="7" t="s">
        <v>6820</v>
      </c>
      <c r="C3113" s="7" t="n">
        <v>3</v>
      </c>
      <c r="D3113" s="7" t="n">
        <v>32</v>
      </c>
      <c r="E3113" s="7" t="n">
        <v>2</v>
      </c>
      <c r="F3113" s="7" t="s">
        <v>6809</v>
      </c>
      <c r="G3113" s="12" t="str">
        <f aca="false">IFERROR(INDEX('Semrush Data'!$A$1:$Z$20000,MATCH(A3113,'Semrush Data'!$A$1:$A$20000,0),MATCH("Volume",'Semrush Data'!$A$1:$Z$1,0)),"")</f>
        <v/>
      </c>
      <c r="H3113" s="7" t="str">
        <f aca="false">IFERROR(INDEX('Semrush Data'!$A$1:$Z$20000,MATCH(A3113,'Semrush Data'!$A$1:$A$20000,0),MATCH("Keyword Difficulty*",'Semrush Data'!$A$1:$Z$1,0)),"")</f>
        <v/>
      </c>
      <c r="I3113" s="13" t="str">
        <f aca="false">IFERROR(INDEX('Semrush Data'!$A$1:$Z$20000,MATCH(A3113,'Semrush Data'!$A$1:$A$20000,0),MATCH("CPC*",'Semrush Data'!$A$1:$Z$1,0)),"")</f>
        <v/>
      </c>
      <c r="J3113" s="7" t="str">
        <f aca="false">IFERROR(INDEX('Semrush Data'!$A$1:$Z$20000,MATCH(A3113,'Semrush Data'!$A$1:$A$20000,0),MATCH("Intent",'Semrush Data'!$A$1:$Z$1,0)),"")</f>
        <v/>
      </c>
    </row>
    <row r="3114" customFormat="false" ht="15" hidden="false" customHeight="true" outlineLevel="0" collapsed="false">
      <c r="A3114" s="7" t="s">
        <v>7766</v>
      </c>
      <c r="B3114" s="7" t="s">
        <v>6820</v>
      </c>
      <c r="C3114" s="7" t="n">
        <v>3</v>
      </c>
      <c r="D3114" s="7" t="n">
        <v>32</v>
      </c>
      <c r="E3114" s="7" t="n">
        <v>2</v>
      </c>
      <c r="F3114" s="7" t="s">
        <v>6809</v>
      </c>
      <c r="G3114" s="12" t="str">
        <f aca="false">IFERROR(INDEX('Semrush Data'!$A$1:$Z$20000,MATCH(A3114,'Semrush Data'!$A$1:$A$20000,0),MATCH("Volume",'Semrush Data'!$A$1:$Z$1,0)),"")</f>
        <v/>
      </c>
      <c r="H3114" s="7" t="str">
        <f aca="false">IFERROR(INDEX('Semrush Data'!$A$1:$Z$20000,MATCH(A3114,'Semrush Data'!$A$1:$A$20000,0),MATCH("Keyword Difficulty*",'Semrush Data'!$A$1:$Z$1,0)),"")</f>
        <v/>
      </c>
      <c r="I3114" s="13" t="str">
        <f aca="false">IFERROR(INDEX('Semrush Data'!$A$1:$Z$20000,MATCH(A3114,'Semrush Data'!$A$1:$A$20000,0),MATCH("CPC*",'Semrush Data'!$A$1:$Z$1,0)),"")</f>
        <v/>
      </c>
      <c r="J3114" s="7" t="str">
        <f aca="false">IFERROR(INDEX('Semrush Data'!$A$1:$Z$20000,MATCH(A3114,'Semrush Data'!$A$1:$A$20000,0),MATCH("Intent",'Semrush Data'!$A$1:$Z$1,0)),"")</f>
        <v/>
      </c>
    </row>
    <row r="3115" customFormat="false" ht="15" hidden="false" customHeight="true" outlineLevel="0" collapsed="false">
      <c r="A3115" s="7" t="s">
        <v>7767</v>
      </c>
      <c r="B3115" s="7" t="s">
        <v>6820</v>
      </c>
      <c r="C3115" s="7" t="n">
        <v>3</v>
      </c>
      <c r="D3115" s="7" t="n">
        <v>32</v>
      </c>
      <c r="E3115" s="7" t="n">
        <v>2</v>
      </c>
      <c r="F3115" s="7" t="s">
        <v>6809</v>
      </c>
      <c r="G3115" s="12" t="str">
        <f aca="false">IFERROR(INDEX('Semrush Data'!$A$1:$Z$20000,MATCH(A3115,'Semrush Data'!$A$1:$A$20000,0),MATCH("Volume",'Semrush Data'!$A$1:$Z$1,0)),"")</f>
        <v/>
      </c>
      <c r="H3115" s="7" t="str">
        <f aca="false">IFERROR(INDEX('Semrush Data'!$A$1:$Z$20000,MATCH(A3115,'Semrush Data'!$A$1:$A$20000,0),MATCH("Keyword Difficulty*",'Semrush Data'!$A$1:$Z$1,0)),"")</f>
        <v/>
      </c>
      <c r="I3115" s="13" t="str">
        <f aca="false">IFERROR(INDEX('Semrush Data'!$A$1:$Z$20000,MATCH(A3115,'Semrush Data'!$A$1:$A$20000,0),MATCH("CPC*",'Semrush Data'!$A$1:$Z$1,0)),"")</f>
        <v/>
      </c>
      <c r="J3115" s="7" t="str">
        <f aca="false">IFERROR(INDEX('Semrush Data'!$A$1:$Z$20000,MATCH(A3115,'Semrush Data'!$A$1:$A$20000,0),MATCH("Intent",'Semrush Data'!$A$1:$Z$1,0)),"")</f>
        <v/>
      </c>
    </row>
    <row r="3116" customFormat="false" ht="15" hidden="false" customHeight="true" outlineLevel="0" collapsed="false">
      <c r="A3116" s="7" t="s">
        <v>7768</v>
      </c>
      <c r="B3116" s="7" t="s">
        <v>6820</v>
      </c>
      <c r="C3116" s="7" t="n">
        <v>3</v>
      </c>
      <c r="D3116" s="7" t="n">
        <v>32</v>
      </c>
      <c r="E3116" s="7" t="n">
        <v>2</v>
      </c>
      <c r="F3116" s="7" t="s">
        <v>6809</v>
      </c>
      <c r="G3116" s="12" t="str">
        <f aca="false">IFERROR(INDEX('Semrush Data'!$A$1:$Z$20000,MATCH(A3116,'Semrush Data'!$A$1:$A$20000,0),MATCH("Volume",'Semrush Data'!$A$1:$Z$1,0)),"")</f>
        <v/>
      </c>
      <c r="H3116" s="7" t="str">
        <f aca="false">IFERROR(INDEX('Semrush Data'!$A$1:$Z$20000,MATCH(A3116,'Semrush Data'!$A$1:$A$20000,0),MATCH("Keyword Difficulty*",'Semrush Data'!$A$1:$Z$1,0)),"")</f>
        <v/>
      </c>
      <c r="I3116" s="13" t="str">
        <f aca="false">IFERROR(INDEX('Semrush Data'!$A$1:$Z$20000,MATCH(A3116,'Semrush Data'!$A$1:$A$20000,0),MATCH("CPC*",'Semrush Data'!$A$1:$Z$1,0)),"")</f>
        <v/>
      </c>
      <c r="J3116" s="7" t="str">
        <f aca="false">IFERROR(INDEX('Semrush Data'!$A$1:$Z$20000,MATCH(A3116,'Semrush Data'!$A$1:$A$20000,0),MATCH("Intent",'Semrush Data'!$A$1:$Z$1,0)),"")</f>
        <v/>
      </c>
    </row>
    <row r="3117" customFormat="false" ht="15" hidden="false" customHeight="true" outlineLevel="0" collapsed="false">
      <c r="A3117" s="7" t="s">
        <v>7769</v>
      </c>
      <c r="B3117" s="7" t="s">
        <v>6820</v>
      </c>
      <c r="C3117" s="7" t="n">
        <v>3</v>
      </c>
      <c r="D3117" s="7" t="n">
        <v>32</v>
      </c>
      <c r="E3117" s="7" t="n">
        <v>2</v>
      </c>
      <c r="F3117" s="7" t="s">
        <v>6809</v>
      </c>
      <c r="G3117" s="12" t="str">
        <f aca="false">IFERROR(INDEX('Semrush Data'!$A$1:$Z$20000,MATCH(A3117,'Semrush Data'!$A$1:$A$20000,0),MATCH("Volume",'Semrush Data'!$A$1:$Z$1,0)),"")</f>
        <v/>
      </c>
      <c r="H3117" s="7" t="str">
        <f aca="false">IFERROR(INDEX('Semrush Data'!$A$1:$Z$20000,MATCH(A3117,'Semrush Data'!$A$1:$A$20000,0),MATCH("Keyword Difficulty*",'Semrush Data'!$A$1:$Z$1,0)),"")</f>
        <v/>
      </c>
      <c r="I3117" s="13" t="str">
        <f aca="false">IFERROR(INDEX('Semrush Data'!$A$1:$Z$20000,MATCH(A3117,'Semrush Data'!$A$1:$A$20000,0),MATCH("CPC*",'Semrush Data'!$A$1:$Z$1,0)),"")</f>
        <v/>
      </c>
      <c r="J3117" s="7" t="str">
        <f aca="false">IFERROR(INDEX('Semrush Data'!$A$1:$Z$20000,MATCH(A3117,'Semrush Data'!$A$1:$A$20000,0),MATCH("Intent",'Semrush Data'!$A$1:$Z$1,0)),"")</f>
        <v/>
      </c>
    </row>
    <row r="3118" customFormat="false" ht="15" hidden="false" customHeight="true" outlineLevel="0" collapsed="false">
      <c r="A3118" s="7" t="s">
        <v>7770</v>
      </c>
      <c r="B3118" s="7" t="s">
        <v>6820</v>
      </c>
      <c r="C3118" s="7" t="n">
        <v>3</v>
      </c>
      <c r="D3118" s="7" t="n">
        <v>32</v>
      </c>
      <c r="E3118" s="7" t="n">
        <v>1</v>
      </c>
      <c r="F3118" s="7" t="s">
        <v>6134</v>
      </c>
      <c r="G3118" s="12" t="str">
        <f aca="false">IFERROR(INDEX('Semrush Data'!$A$1:$Z$20000,MATCH(A3118,'Semrush Data'!$A$1:$A$20000,0),MATCH("Volume",'Semrush Data'!$A$1:$Z$1,0)),"")</f>
        <v/>
      </c>
      <c r="H3118" s="7" t="str">
        <f aca="false">IFERROR(INDEX('Semrush Data'!$A$1:$Z$20000,MATCH(A3118,'Semrush Data'!$A$1:$A$20000,0),MATCH("Keyword Difficulty*",'Semrush Data'!$A$1:$Z$1,0)),"")</f>
        <v/>
      </c>
      <c r="I3118" s="13" t="str">
        <f aca="false">IFERROR(INDEX('Semrush Data'!$A$1:$Z$20000,MATCH(A3118,'Semrush Data'!$A$1:$A$20000,0),MATCH("CPC*",'Semrush Data'!$A$1:$Z$1,0)),"")</f>
        <v/>
      </c>
      <c r="J3118" s="7" t="str">
        <f aca="false">IFERROR(INDEX('Semrush Data'!$A$1:$Z$20000,MATCH(A3118,'Semrush Data'!$A$1:$A$20000,0),MATCH("Intent",'Semrush Data'!$A$1:$Z$1,0)),"")</f>
        <v/>
      </c>
    </row>
    <row r="3119" customFormat="false" ht="15" hidden="false" customHeight="true" outlineLevel="0" collapsed="false">
      <c r="A3119" s="7" t="s">
        <v>7771</v>
      </c>
      <c r="B3119" s="7" t="s">
        <v>6820</v>
      </c>
      <c r="C3119" s="7" t="n">
        <v>3</v>
      </c>
      <c r="D3119" s="7" t="n">
        <v>32</v>
      </c>
      <c r="E3119" s="7" t="n">
        <v>1</v>
      </c>
      <c r="F3119" s="7" t="s">
        <v>6134</v>
      </c>
      <c r="G3119" s="12" t="str">
        <f aca="false">IFERROR(INDEX('Semrush Data'!$A$1:$Z$20000,MATCH(A3119,'Semrush Data'!$A$1:$A$20000,0),MATCH("Volume",'Semrush Data'!$A$1:$Z$1,0)),"")</f>
        <v/>
      </c>
      <c r="H3119" s="7" t="str">
        <f aca="false">IFERROR(INDEX('Semrush Data'!$A$1:$Z$20000,MATCH(A3119,'Semrush Data'!$A$1:$A$20000,0),MATCH("Keyword Difficulty*",'Semrush Data'!$A$1:$Z$1,0)),"")</f>
        <v/>
      </c>
      <c r="I3119" s="13" t="str">
        <f aca="false">IFERROR(INDEX('Semrush Data'!$A$1:$Z$20000,MATCH(A3119,'Semrush Data'!$A$1:$A$20000,0),MATCH("CPC*",'Semrush Data'!$A$1:$Z$1,0)),"")</f>
        <v/>
      </c>
      <c r="J3119" s="7" t="str">
        <f aca="false">IFERROR(INDEX('Semrush Data'!$A$1:$Z$20000,MATCH(A3119,'Semrush Data'!$A$1:$A$20000,0),MATCH("Intent",'Semrush Data'!$A$1:$Z$1,0)),"")</f>
        <v/>
      </c>
    </row>
    <row r="3120" customFormat="false" ht="15" hidden="false" customHeight="true" outlineLevel="0" collapsed="false">
      <c r="A3120" s="7" t="s">
        <v>7772</v>
      </c>
      <c r="B3120" s="7" t="s">
        <v>6820</v>
      </c>
      <c r="C3120" s="7" t="n">
        <v>3</v>
      </c>
      <c r="D3120" s="7" t="n">
        <v>32</v>
      </c>
      <c r="E3120" s="7" t="n">
        <v>1</v>
      </c>
      <c r="F3120" s="7" t="s">
        <v>6134</v>
      </c>
      <c r="G3120" s="12" t="str">
        <f aca="false">IFERROR(INDEX('Semrush Data'!$A$1:$Z$20000,MATCH(A3120,'Semrush Data'!$A$1:$A$20000,0),MATCH("Volume",'Semrush Data'!$A$1:$Z$1,0)),"")</f>
        <v/>
      </c>
      <c r="H3120" s="7" t="str">
        <f aca="false">IFERROR(INDEX('Semrush Data'!$A$1:$Z$20000,MATCH(A3120,'Semrush Data'!$A$1:$A$20000,0),MATCH("Keyword Difficulty*",'Semrush Data'!$A$1:$Z$1,0)),"")</f>
        <v/>
      </c>
      <c r="I3120" s="13" t="str">
        <f aca="false">IFERROR(INDEX('Semrush Data'!$A$1:$Z$20000,MATCH(A3120,'Semrush Data'!$A$1:$A$20000,0),MATCH("CPC*",'Semrush Data'!$A$1:$Z$1,0)),"")</f>
        <v/>
      </c>
      <c r="J3120" s="7" t="str">
        <f aca="false">IFERROR(INDEX('Semrush Data'!$A$1:$Z$20000,MATCH(A3120,'Semrush Data'!$A$1:$A$20000,0),MATCH("Intent",'Semrush Data'!$A$1:$Z$1,0)),"")</f>
        <v/>
      </c>
    </row>
    <row r="3121" customFormat="false" ht="15" hidden="false" customHeight="true" outlineLevel="0" collapsed="false">
      <c r="A3121" s="7" t="s">
        <v>7773</v>
      </c>
      <c r="B3121" s="7" t="s">
        <v>6820</v>
      </c>
      <c r="C3121" s="7" t="n">
        <v>3</v>
      </c>
      <c r="D3121" s="7" t="n">
        <v>32</v>
      </c>
      <c r="E3121" s="7" t="n">
        <v>1</v>
      </c>
      <c r="F3121" s="7" t="s">
        <v>6134</v>
      </c>
      <c r="G3121" s="12" t="str">
        <f aca="false">IFERROR(INDEX('Semrush Data'!$A$1:$Z$20000,MATCH(A3121,'Semrush Data'!$A$1:$A$20000,0),MATCH("Volume",'Semrush Data'!$A$1:$Z$1,0)),"")</f>
        <v/>
      </c>
      <c r="H3121" s="7" t="str">
        <f aca="false">IFERROR(INDEX('Semrush Data'!$A$1:$Z$20000,MATCH(A3121,'Semrush Data'!$A$1:$A$20000,0),MATCH("Keyword Difficulty*",'Semrush Data'!$A$1:$Z$1,0)),"")</f>
        <v/>
      </c>
      <c r="I3121" s="13" t="str">
        <f aca="false">IFERROR(INDEX('Semrush Data'!$A$1:$Z$20000,MATCH(A3121,'Semrush Data'!$A$1:$A$20000,0),MATCH("CPC*",'Semrush Data'!$A$1:$Z$1,0)),"")</f>
        <v/>
      </c>
      <c r="J3121" s="7" t="str">
        <f aca="false">IFERROR(INDEX('Semrush Data'!$A$1:$Z$20000,MATCH(A3121,'Semrush Data'!$A$1:$A$20000,0),MATCH("Intent",'Semrush Data'!$A$1:$Z$1,0)),"")</f>
        <v/>
      </c>
    </row>
    <row r="3122" customFormat="false" ht="15" hidden="false" customHeight="true" outlineLevel="0" collapsed="false">
      <c r="A3122" s="7" t="s">
        <v>7774</v>
      </c>
      <c r="B3122" s="7" t="s">
        <v>6820</v>
      </c>
      <c r="C3122" s="7" t="n">
        <v>3</v>
      </c>
      <c r="D3122" s="7" t="n">
        <v>32</v>
      </c>
      <c r="E3122" s="7" t="n">
        <v>1</v>
      </c>
      <c r="F3122" s="7" t="s">
        <v>6155</v>
      </c>
      <c r="G3122" s="12" t="str">
        <f aca="false">IFERROR(INDEX('Semrush Data'!$A$1:$Z$20000,MATCH(A3122,'Semrush Data'!$A$1:$A$20000,0),MATCH("Volume",'Semrush Data'!$A$1:$Z$1,0)),"")</f>
        <v/>
      </c>
      <c r="H3122" s="7" t="str">
        <f aca="false">IFERROR(INDEX('Semrush Data'!$A$1:$Z$20000,MATCH(A3122,'Semrush Data'!$A$1:$A$20000,0),MATCH("Keyword Difficulty*",'Semrush Data'!$A$1:$Z$1,0)),"")</f>
        <v/>
      </c>
      <c r="I3122" s="13" t="str">
        <f aca="false">IFERROR(INDEX('Semrush Data'!$A$1:$Z$20000,MATCH(A3122,'Semrush Data'!$A$1:$A$20000,0),MATCH("CPC*",'Semrush Data'!$A$1:$Z$1,0)),"")</f>
        <v/>
      </c>
      <c r="J3122" s="7" t="str">
        <f aca="false">IFERROR(INDEX('Semrush Data'!$A$1:$Z$20000,MATCH(A3122,'Semrush Data'!$A$1:$A$20000,0),MATCH("Intent",'Semrush Data'!$A$1:$Z$1,0)),"")</f>
        <v/>
      </c>
    </row>
    <row r="3123" customFormat="false" ht="15" hidden="false" customHeight="true" outlineLevel="0" collapsed="false">
      <c r="A3123" s="7" t="s">
        <v>7775</v>
      </c>
      <c r="B3123" s="7" t="s">
        <v>6820</v>
      </c>
      <c r="C3123" s="7" t="n">
        <v>3</v>
      </c>
      <c r="D3123" s="7" t="n">
        <v>32</v>
      </c>
      <c r="E3123" s="7" t="n">
        <v>1</v>
      </c>
      <c r="F3123" s="7" t="s">
        <v>6155</v>
      </c>
      <c r="G3123" s="12" t="str">
        <f aca="false">IFERROR(INDEX('Semrush Data'!$A$1:$Z$20000,MATCH(A3123,'Semrush Data'!$A$1:$A$20000,0),MATCH("Volume",'Semrush Data'!$A$1:$Z$1,0)),"")</f>
        <v/>
      </c>
      <c r="H3123" s="7" t="str">
        <f aca="false">IFERROR(INDEX('Semrush Data'!$A$1:$Z$20000,MATCH(A3123,'Semrush Data'!$A$1:$A$20000,0),MATCH("Keyword Difficulty*",'Semrush Data'!$A$1:$Z$1,0)),"")</f>
        <v/>
      </c>
      <c r="I3123" s="13" t="str">
        <f aca="false">IFERROR(INDEX('Semrush Data'!$A$1:$Z$20000,MATCH(A3123,'Semrush Data'!$A$1:$A$20000,0),MATCH("CPC*",'Semrush Data'!$A$1:$Z$1,0)),"")</f>
        <v/>
      </c>
      <c r="J3123" s="7" t="str">
        <f aca="false">IFERROR(INDEX('Semrush Data'!$A$1:$Z$20000,MATCH(A3123,'Semrush Data'!$A$1:$A$20000,0),MATCH("Intent",'Semrush Data'!$A$1:$Z$1,0)),"")</f>
        <v/>
      </c>
    </row>
    <row r="3124" customFormat="false" ht="15" hidden="false" customHeight="true" outlineLevel="0" collapsed="false">
      <c r="A3124" s="7" t="s">
        <v>7776</v>
      </c>
      <c r="B3124" s="7" t="s">
        <v>6820</v>
      </c>
      <c r="C3124" s="7" t="n">
        <v>3</v>
      </c>
      <c r="D3124" s="7" t="n">
        <v>32</v>
      </c>
      <c r="E3124" s="7" t="n">
        <v>1</v>
      </c>
      <c r="F3124" s="7" t="s">
        <v>6155</v>
      </c>
      <c r="G3124" s="12" t="str">
        <f aca="false">IFERROR(INDEX('Semrush Data'!$A$1:$Z$20000,MATCH(A3124,'Semrush Data'!$A$1:$A$20000,0),MATCH("Volume",'Semrush Data'!$A$1:$Z$1,0)),"")</f>
        <v/>
      </c>
      <c r="H3124" s="7" t="str">
        <f aca="false">IFERROR(INDEX('Semrush Data'!$A$1:$Z$20000,MATCH(A3124,'Semrush Data'!$A$1:$A$20000,0),MATCH("Keyword Difficulty*",'Semrush Data'!$A$1:$Z$1,0)),"")</f>
        <v/>
      </c>
      <c r="I3124" s="13" t="str">
        <f aca="false">IFERROR(INDEX('Semrush Data'!$A$1:$Z$20000,MATCH(A3124,'Semrush Data'!$A$1:$A$20000,0),MATCH("CPC*",'Semrush Data'!$A$1:$Z$1,0)),"")</f>
        <v/>
      </c>
      <c r="J3124" s="7" t="str">
        <f aca="false">IFERROR(INDEX('Semrush Data'!$A$1:$Z$20000,MATCH(A3124,'Semrush Data'!$A$1:$A$20000,0),MATCH("Intent",'Semrush Data'!$A$1:$Z$1,0)),"")</f>
        <v/>
      </c>
    </row>
    <row r="3125" customFormat="false" ht="15" hidden="false" customHeight="true" outlineLevel="0" collapsed="false">
      <c r="A3125" s="7" t="s">
        <v>7777</v>
      </c>
      <c r="B3125" s="7" t="s">
        <v>6820</v>
      </c>
      <c r="C3125" s="7" t="n">
        <v>3</v>
      </c>
      <c r="D3125" s="7" t="n">
        <v>32</v>
      </c>
      <c r="E3125" s="7" t="n">
        <v>1</v>
      </c>
      <c r="F3125" s="7" t="s">
        <v>6155</v>
      </c>
      <c r="G3125" s="12" t="str">
        <f aca="false">IFERROR(INDEX('Semrush Data'!$A$1:$Z$20000,MATCH(A3125,'Semrush Data'!$A$1:$A$20000,0),MATCH("Volume",'Semrush Data'!$A$1:$Z$1,0)),"")</f>
        <v/>
      </c>
      <c r="H3125" s="7" t="str">
        <f aca="false">IFERROR(INDEX('Semrush Data'!$A$1:$Z$20000,MATCH(A3125,'Semrush Data'!$A$1:$A$20000,0),MATCH("Keyword Difficulty*",'Semrush Data'!$A$1:$Z$1,0)),"")</f>
        <v/>
      </c>
      <c r="I3125" s="13" t="str">
        <f aca="false">IFERROR(INDEX('Semrush Data'!$A$1:$Z$20000,MATCH(A3125,'Semrush Data'!$A$1:$A$20000,0),MATCH("CPC*",'Semrush Data'!$A$1:$Z$1,0)),"")</f>
        <v/>
      </c>
      <c r="J3125" s="7" t="str">
        <f aca="false">IFERROR(INDEX('Semrush Data'!$A$1:$Z$20000,MATCH(A3125,'Semrush Data'!$A$1:$A$20000,0),MATCH("Intent",'Semrush Data'!$A$1:$Z$1,0)),"")</f>
        <v/>
      </c>
    </row>
    <row r="3126" customFormat="false" ht="15" hidden="false" customHeight="true" outlineLevel="0" collapsed="false">
      <c r="A3126" s="7" t="s">
        <v>7778</v>
      </c>
      <c r="B3126" s="7" t="s">
        <v>6820</v>
      </c>
      <c r="C3126" s="7" t="n">
        <v>3</v>
      </c>
      <c r="D3126" s="7" t="n">
        <v>32</v>
      </c>
      <c r="E3126" s="7" t="n">
        <v>1</v>
      </c>
      <c r="F3126" s="7" t="s">
        <v>6155</v>
      </c>
      <c r="G3126" s="12" t="str">
        <f aca="false">IFERROR(INDEX('Semrush Data'!$A$1:$Z$20000,MATCH(A3126,'Semrush Data'!$A$1:$A$20000,0),MATCH("Volume",'Semrush Data'!$A$1:$Z$1,0)),"")</f>
        <v/>
      </c>
      <c r="H3126" s="7" t="str">
        <f aca="false">IFERROR(INDEX('Semrush Data'!$A$1:$Z$20000,MATCH(A3126,'Semrush Data'!$A$1:$A$20000,0),MATCH("Keyword Difficulty*",'Semrush Data'!$A$1:$Z$1,0)),"")</f>
        <v/>
      </c>
      <c r="I3126" s="13" t="str">
        <f aca="false">IFERROR(INDEX('Semrush Data'!$A$1:$Z$20000,MATCH(A3126,'Semrush Data'!$A$1:$A$20000,0),MATCH("CPC*",'Semrush Data'!$A$1:$Z$1,0)),"")</f>
        <v/>
      </c>
      <c r="J3126" s="7" t="str">
        <f aca="false">IFERROR(INDEX('Semrush Data'!$A$1:$Z$20000,MATCH(A3126,'Semrush Data'!$A$1:$A$20000,0),MATCH("Intent",'Semrush Data'!$A$1:$Z$1,0)),"")</f>
        <v/>
      </c>
    </row>
    <row r="3127" customFormat="false" ht="15" hidden="false" customHeight="true" outlineLevel="0" collapsed="false">
      <c r="A3127" s="7" t="s">
        <v>7779</v>
      </c>
      <c r="B3127" s="7" t="s">
        <v>6820</v>
      </c>
      <c r="C3127" s="7" t="n">
        <v>3</v>
      </c>
      <c r="D3127" s="7" t="n">
        <v>32</v>
      </c>
      <c r="E3127" s="7" t="n">
        <v>1</v>
      </c>
      <c r="F3127" s="7" t="s">
        <v>6166</v>
      </c>
      <c r="G3127" s="12" t="str">
        <f aca="false">IFERROR(INDEX('Semrush Data'!$A$1:$Z$20000,MATCH(A3127,'Semrush Data'!$A$1:$A$20000,0),MATCH("Volume",'Semrush Data'!$A$1:$Z$1,0)),"")</f>
        <v/>
      </c>
      <c r="H3127" s="7" t="str">
        <f aca="false">IFERROR(INDEX('Semrush Data'!$A$1:$Z$20000,MATCH(A3127,'Semrush Data'!$A$1:$A$20000,0),MATCH("Keyword Difficulty*",'Semrush Data'!$A$1:$Z$1,0)),"")</f>
        <v/>
      </c>
      <c r="I3127" s="13" t="str">
        <f aca="false">IFERROR(INDEX('Semrush Data'!$A$1:$Z$20000,MATCH(A3127,'Semrush Data'!$A$1:$A$20000,0),MATCH("CPC*",'Semrush Data'!$A$1:$Z$1,0)),"")</f>
        <v/>
      </c>
      <c r="J3127" s="7" t="str">
        <f aca="false">IFERROR(INDEX('Semrush Data'!$A$1:$Z$20000,MATCH(A3127,'Semrush Data'!$A$1:$A$20000,0),MATCH("Intent",'Semrush Data'!$A$1:$Z$1,0)),"")</f>
        <v/>
      </c>
    </row>
    <row r="3128" customFormat="false" ht="15" hidden="false" customHeight="true" outlineLevel="0" collapsed="false">
      <c r="A3128" s="7" t="s">
        <v>7780</v>
      </c>
      <c r="B3128" s="7" t="s">
        <v>6820</v>
      </c>
      <c r="C3128" s="7" t="n">
        <v>3</v>
      </c>
      <c r="D3128" s="7" t="n">
        <v>32</v>
      </c>
      <c r="E3128" s="7" t="n">
        <v>1</v>
      </c>
      <c r="F3128" s="7" t="s">
        <v>6166</v>
      </c>
      <c r="G3128" s="12" t="str">
        <f aca="false">IFERROR(INDEX('Semrush Data'!$A$1:$Z$20000,MATCH(A3128,'Semrush Data'!$A$1:$A$20000,0),MATCH("Volume",'Semrush Data'!$A$1:$Z$1,0)),"")</f>
        <v/>
      </c>
      <c r="H3128" s="7" t="str">
        <f aca="false">IFERROR(INDEX('Semrush Data'!$A$1:$Z$20000,MATCH(A3128,'Semrush Data'!$A$1:$A$20000,0),MATCH("Keyword Difficulty*",'Semrush Data'!$A$1:$Z$1,0)),"")</f>
        <v/>
      </c>
      <c r="I3128" s="13" t="str">
        <f aca="false">IFERROR(INDEX('Semrush Data'!$A$1:$Z$20000,MATCH(A3128,'Semrush Data'!$A$1:$A$20000,0),MATCH("CPC*",'Semrush Data'!$A$1:$Z$1,0)),"")</f>
        <v/>
      </c>
      <c r="J3128" s="7" t="str">
        <f aca="false">IFERROR(INDEX('Semrush Data'!$A$1:$Z$20000,MATCH(A3128,'Semrush Data'!$A$1:$A$20000,0),MATCH("Intent",'Semrush Data'!$A$1:$Z$1,0)),"")</f>
        <v/>
      </c>
    </row>
    <row r="3129" customFormat="false" ht="15" hidden="false" customHeight="true" outlineLevel="0" collapsed="false">
      <c r="A3129" s="7" t="s">
        <v>7781</v>
      </c>
      <c r="B3129" s="7" t="s">
        <v>6820</v>
      </c>
      <c r="C3129" s="7" t="n">
        <v>3</v>
      </c>
      <c r="D3129" s="7" t="n">
        <v>32</v>
      </c>
      <c r="E3129" s="7" t="n">
        <v>1</v>
      </c>
      <c r="F3129" s="7" t="s">
        <v>6166</v>
      </c>
      <c r="G3129" s="12" t="str">
        <f aca="false">IFERROR(INDEX('Semrush Data'!$A$1:$Z$20000,MATCH(A3129,'Semrush Data'!$A$1:$A$20000,0),MATCH("Volume",'Semrush Data'!$A$1:$Z$1,0)),"")</f>
        <v/>
      </c>
      <c r="H3129" s="7" t="str">
        <f aca="false">IFERROR(INDEX('Semrush Data'!$A$1:$Z$20000,MATCH(A3129,'Semrush Data'!$A$1:$A$20000,0),MATCH("Keyword Difficulty*",'Semrush Data'!$A$1:$Z$1,0)),"")</f>
        <v/>
      </c>
      <c r="I3129" s="13" t="str">
        <f aca="false">IFERROR(INDEX('Semrush Data'!$A$1:$Z$20000,MATCH(A3129,'Semrush Data'!$A$1:$A$20000,0),MATCH("CPC*",'Semrush Data'!$A$1:$Z$1,0)),"")</f>
        <v/>
      </c>
      <c r="J3129" s="7" t="str">
        <f aca="false">IFERROR(INDEX('Semrush Data'!$A$1:$Z$20000,MATCH(A3129,'Semrush Data'!$A$1:$A$20000,0),MATCH("Intent",'Semrush Data'!$A$1:$Z$1,0)),"")</f>
        <v/>
      </c>
    </row>
    <row r="3130" customFormat="false" ht="15" hidden="false" customHeight="true" outlineLevel="0" collapsed="false">
      <c r="A3130" s="7" t="s">
        <v>7782</v>
      </c>
      <c r="B3130" s="7" t="s">
        <v>6820</v>
      </c>
      <c r="C3130" s="7" t="n">
        <v>3</v>
      </c>
      <c r="D3130" s="7" t="n">
        <v>32</v>
      </c>
      <c r="E3130" s="7" t="n">
        <v>1</v>
      </c>
      <c r="F3130" s="7" t="s">
        <v>6166</v>
      </c>
      <c r="G3130" s="12" t="str">
        <f aca="false">IFERROR(INDEX('Semrush Data'!$A$1:$Z$20000,MATCH(A3130,'Semrush Data'!$A$1:$A$20000,0),MATCH("Volume",'Semrush Data'!$A$1:$Z$1,0)),"")</f>
        <v/>
      </c>
      <c r="H3130" s="7" t="str">
        <f aca="false">IFERROR(INDEX('Semrush Data'!$A$1:$Z$20000,MATCH(A3130,'Semrush Data'!$A$1:$A$20000,0),MATCH("Keyword Difficulty*",'Semrush Data'!$A$1:$Z$1,0)),"")</f>
        <v/>
      </c>
      <c r="I3130" s="13" t="str">
        <f aca="false">IFERROR(INDEX('Semrush Data'!$A$1:$Z$20000,MATCH(A3130,'Semrush Data'!$A$1:$A$20000,0),MATCH("CPC*",'Semrush Data'!$A$1:$Z$1,0)),"")</f>
        <v/>
      </c>
      <c r="J3130" s="7" t="str">
        <f aca="false">IFERROR(INDEX('Semrush Data'!$A$1:$Z$20000,MATCH(A3130,'Semrush Data'!$A$1:$A$20000,0),MATCH("Intent",'Semrush Data'!$A$1:$Z$1,0)),"")</f>
        <v/>
      </c>
    </row>
    <row r="3131" customFormat="false" ht="15" hidden="false" customHeight="true" outlineLevel="0" collapsed="false">
      <c r="A3131" s="7" t="s">
        <v>7783</v>
      </c>
      <c r="B3131" s="7" t="s">
        <v>6820</v>
      </c>
      <c r="C3131" s="7" t="n">
        <v>3</v>
      </c>
      <c r="D3131" s="7" t="n">
        <v>32</v>
      </c>
      <c r="E3131" s="7" t="n">
        <v>1</v>
      </c>
      <c r="F3131" s="7" t="s">
        <v>6177</v>
      </c>
      <c r="G3131" s="12" t="str">
        <f aca="false">IFERROR(INDEX('Semrush Data'!$A$1:$Z$20000,MATCH(A3131,'Semrush Data'!$A$1:$A$20000,0),MATCH("Volume",'Semrush Data'!$A$1:$Z$1,0)),"")</f>
        <v/>
      </c>
      <c r="H3131" s="7" t="str">
        <f aca="false">IFERROR(INDEX('Semrush Data'!$A$1:$Z$20000,MATCH(A3131,'Semrush Data'!$A$1:$A$20000,0),MATCH("Keyword Difficulty*",'Semrush Data'!$A$1:$Z$1,0)),"")</f>
        <v/>
      </c>
      <c r="I3131" s="13" t="str">
        <f aca="false">IFERROR(INDEX('Semrush Data'!$A$1:$Z$20000,MATCH(A3131,'Semrush Data'!$A$1:$A$20000,0),MATCH("CPC*",'Semrush Data'!$A$1:$Z$1,0)),"")</f>
        <v/>
      </c>
      <c r="J3131" s="7" t="str">
        <f aca="false">IFERROR(INDEX('Semrush Data'!$A$1:$Z$20000,MATCH(A3131,'Semrush Data'!$A$1:$A$20000,0),MATCH("Intent",'Semrush Data'!$A$1:$Z$1,0)),"")</f>
        <v/>
      </c>
    </row>
    <row r="3132" customFormat="false" ht="15" hidden="false" customHeight="true" outlineLevel="0" collapsed="false">
      <c r="A3132" s="7" t="s">
        <v>7784</v>
      </c>
      <c r="B3132" s="7" t="s">
        <v>6820</v>
      </c>
      <c r="C3132" s="7" t="n">
        <v>3</v>
      </c>
      <c r="D3132" s="7" t="n">
        <v>32</v>
      </c>
      <c r="E3132" s="7" t="n">
        <v>1</v>
      </c>
      <c r="F3132" s="7" t="s">
        <v>6177</v>
      </c>
      <c r="G3132" s="12" t="str">
        <f aca="false">IFERROR(INDEX('Semrush Data'!$A$1:$Z$20000,MATCH(A3132,'Semrush Data'!$A$1:$A$20000,0),MATCH("Volume",'Semrush Data'!$A$1:$Z$1,0)),"")</f>
        <v/>
      </c>
      <c r="H3132" s="7" t="str">
        <f aca="false">IFERROR(INDEX('Semrush Data'!$A$1:$Z$20000,MATCH(A3132,'Semrush Data'!$A$1:$A$20000,0),MATCH("Keyword Difficulty*",'Semrush Data'!$A$1:$Z$1,0)),"")</f>
        <v/>
      </c>
      <c r="I3132" s="13" t="str">
        <f aca="false">IFERROR(INDEX('Semrush Data'!$A$1:$Z$20000,MATCH(A3132,'Semrush Data'!$A$1:$A$20000,0),MATCH("CPC*",'Semrush Data'!$A$1:$Z$1,0)),"")</f>
        <v/>
      </c>
      <c r="J3132" s="7" t="str">
        <f aca="false">IFERROR(INDEX('Semrush Data'!$A$1:$Z$20000,MATCH(A3132,'Semrush Data'!$A$1:$A$20000,0),MATCH("Intent",'Semrush Data'!$A$1:$Z$1,0)),"")</f>
        <v/>
      </c>
    </row>
    <row r="3133" customFormat="false" ht="15" hidden="false" customHeight="true" outlineLevel="0" collapsed="false">
      <c r="A3133" s="7" t="s">
        <v>7785</v>
      </c>
      <c r="B3133" s="7" t="s">
        <v>6820</v>
      </c>
      <c r="C3133" s="7" t="n">
        <v>3</v>
      </c>
      <c r="D3133" s="7" t="n">
        <v>32</v>
      </c>
      <c r="E3133" s="7" t="n">
        <v>1</v>
      </c>
      <c r="F3133" s="7" t="s">
        <v>6177</v>
      </c>
      <c r="G3133" s="12" t="str">
        <f aca="false">IFERROR(INDEX('Semrush Data'!$A$1:$Z$20000,MATCH(A3133,'Semrush Data'!$A$1:$A$20000,0),MATCH("Volume",'Semrush Data'!$A$1:$Z$1,0)),"")</f>
        <v/>
      </c>
      <c r="H3133" s="7" t="str">
        <f aca="false">IFERROR(INDEX('Semrush Data'!$A$1:$Z$20000,MATCH(A3133,'Semrush Data'!$A$1:$A$20000,0),MATCH("Keyword Difficulty*",'Semrush Data'!$A$1:$Z$1,0)),"")</f>
        <v/>
      </c>
      <c r="I3133" s="13" t="str">
        <f aca="false">IFERROR(INDEX('Semrush Data'!$A$1:$Z$20000,MATCH(A3133,'Semrush Data'!$A$1:$A$20000,0),MATCH("CPC*",'Semrush Data'!$A$1:$Z$1,0)),"")</f>
        <v/>
      </c>
      <c r="J3133" s="7" t="str">
        <f aca="false">IFERROR(INDEX('Semrush Data'!$A$1:$Z$20000,MATCH(A3133,'Semrush Data'!$A$1:$A$20000,0),MATCH("Intent",'Semrush Data'!$A$1:$Z$1,0)),"")</f>
        <v/>
      </c>
    </row>
    <row r="3134" customFormat="false" ht="15" hidden="false" customHeight="true" outlineLevel="0" collapsed="false">
      <c r="A3134" s="7" t="s">
        <v>7786</v>
      </c>
      <c r="B3134" s="7" t="s">
        <v>6820</v>
      </c>
      <c r="C3134" s="7" t="n">
        <v>3</v>
      </c>
      <c r="D3134" s="7" t="n">
        <v>32</v>
      </c>
      <c r="E3134" s="7" t="n">
        <v>1</v>
      </c>
      <c r="F3134" s="7" t="s">
        <v>6177</v>
      </c>
      <c r="G3134" s="12" t="str">
        <f aca="false">IFERROR(INDEX('Semrush Data'!$A$1:$Z$20000,MATCH(A3134,'Semrush Data'!$A$1:$A$20000,0),MATCH("Volume",'Semrush Data'!$A$1:$Z$1,0)),"")</f>
        <v/>
      </c>
      <c r="H3134" s="7" t="str">
        <f aca="false">IFERROR(INDEX('Semrush Data'!$A$1:$Z$20000,MATCH(A3134,'Semrush Data'!$A$1:$A$20000,0),MATCH("Keyword Difficulty*",'Semrush Data'!$A$1:$Z$1,0)),"")</f>
        <v/>
      </c>
      <c r="I3134" s="13" t="str">
        <f aca="false">IFERROR(INDEX('Semrush Data'!$A$1:$Z$20000,MATCH(A3134,'Semrush Data'!$A$1:$A$20000,0),MATCH("CPC*",'Semrush Data'!$A$1:$Z$1,0)),"")</f>
        <v/>
      </c>
      <c r="J3134" s="7" t="str">
        <f aca="false">IFERROR(INDEX('Semrush Data'!$A$1:$Z$20000,MATCH(A3134,'Semrush Data'!$A$1:$A$20000,0),MATCH("Intent",'Semrush Data'!$A$1:$Z$1,0)),"")</f>
        <v/>
      </c>
    </row>
    <row r="3135" customFormat="false" ht="15" hidden="false" customHeight="true" outlineLevel="0" collapsed="false">
      <c r="A3135" s="7" t="s">
        <v>7787</v>
      </c>
      <c r="B3135" s="7" t="s">
        <v>6820</v>
      </c>
      <c r="C3135" s="7" t="n">
        <v>3</v>
      </c>
      <c r="D3135" s="7" t="n">
        <v>32</v>
      </c>
      <c r="E3135" s="7" t="n">
        <v>1</v>
      </c>
      <c r="F3135" s="7" t="s">
        <v>6188</v>
      </c>
      <c r="G3135" s="12" t="str">
        <f aca="false">IFERROR(INDEX('Semrush Data'!$A$1:$Z$20000,MATCH(A3135,'Semrush Data'!$A$1:$A$20000,0),MATCH("Volume",'Semrush Data'!$A$1:$Z$1,0)),"")</f>
        <v/>
      </c>
      <c r="H3135" s="7" t="str">
        <f aca="false">IFERROR(INDEX('Semrush Data'!$A$1:$Z$20000,MATCH(A3135,'Semrush Data'!$A$1:$A$20000,0),MATCH("Keyword Difficulty*",'Semrush Data'!$A$1:$Z$1,0)),"")</f>
        <v/>
      </c>
      <c r="I3135" s="13" t="str">
        <f aca="false">IFERROR(INDEX('Semrush Data'!$A$1:$Z$20000,MATCH(A3135,'Semrush Data'!$A$1:$A$20000,0),MATCH("CPC*",'Semrush Data'!$A$1:$Z$1,0)),"")</f>
        <v/>
      </c>
      <c r="J3135" s="7" t="str">
        <f aca="false">IFERROR(INDEX('Semrush Data'!$A$1:$Z$20000,MATCH(A3135,'Semrush Data'!$A$1:$A$20000,0),MATCH("Intent",'Semrush Data'!$A$1:$Z$1,0)),"")</f>
        <v/>
      </c>
    </row>
    <row r="3136" customFormat="false" ht="15" hidden="false" customHeight="true" outlineLevel="0" collapsed="false">
      <c r="A3136" s="7" t="s">
        <v>7788</v>
      </c>
      <c r="B3136" s="7" t="s">
        <v>6820</v>
      </c>
      <c r="C3136" s="7" t="n">
        <v>3</v>
      </c>
      <c r="D3136" s="7" t="n">
        <v>32</v>
      </c>
      <c r="E3136" s="7" t="n">
        <v>1</v>
      </c>
      <c r="F3136" s="7" t="s">
        <v>6188</v>
      </c>
      <c r="G3136" s="12" t="str">
        <f aca="false">IFERROR(INDEX('Semrush Data'!$A$1:$Z$20000,MATCH(A3136,'Semrush Data'!$A$1:$A$20000,0),MATCH("Volume",'Semrush Data'!$A$1:$Z$1,0)),"")</f>
        <v/>
      </c>
      <c r="H3136" s="7" t="str">
        <f aca="false">IFERROR(INDEX('Semrush Data'!$A$1:$Z$20000,MATCH(A3136,'Semrush Data'!$A$1:$A$20000,0),MATCH("Keyword Difficulty*",'Semrush Data'!$A$1:$Z$1,0)),"")</f>
        <v/>
      </c>
      <c r="I3136" s="13" t="str">
        <f aca="false">IFERROR(INDEX('Semrush Data'!$A$1:$Z$20000,MATCH(A3136,'Semrush Data'!$A$1:$A$20000,0),MATCH("CPC*",'Semrush Data'!$A$1:$Z$1,0)),"")</f>
        <v/>
      </c>
      <c r="J3136" s="7" t="str">
        <f aca="false">IFERROR(INDEX('Semrush Data'!$A$1:$Z$20000,MATCH(A3136,'Semrush Data'!$A$1:$A$20000,0),MATCH("Intent",'Semrush Data'!$A$1:$Z$1,0)),"")</f>
        <v/>
      </c>
    </row>
    <row r="3137" customFormat="false" ht="15" hidden="false" customHeight="true" outlineLevel="0" collapsed="false">
      <c r="A3137" s="7" t="s">
        <v>7789</v>
      </c>
      <c r="B3137" s="7" t="s">
        <v>6820</v>
      </c>
      <c r="C3137" s="7" t="n">
        <v>3</v>
      </c>
      <c r="D3137" s="7" t="n">
        <v>32</v>
      </c>
      <c r="E3137" s="7" t="n">
        <v>1</v>
      </c>
      <c r="F3137" s="7" t="s">
        <v>6188</v>
      </c>
      <c r="G3137" s="12" t="str">
        <f aca="false">IFERROR(INDEX('Semrush Data'!$A$1:$Z$20000,MATCH(A3137,'Semrush Data'!$A$1:$A$20000,0),MATCH("Volume",'Semrush Data'!$A$1:$Z$1,0)),"")</f>
        <v/>
      </c>
      <c r="H3137" s="7" t="str">
        <f aca="false">IFERROR(INDEX('Semrush Data'!$A$1:$Z$20000,MATCH(A3137,'Semrush Data'!$A$1:$A$20000,0),MATCH("Keyword Difficulty*",'Semrush Data'!$A$1:$Z$1,0)),"")</f>
        <v/>
      </c>
      <c r="I3137" s="13" t="str">
        <f aca="false">IFERROR(INDEX('Semrush Data'!$A$1:$Z$20000,MATCH(A3137,'Semrush Data'!$A$1:$A$20000,0),MATCH("CPC*",'Semrush Data'!$A$1:$Z$1,0)),"")</f>
        <v/>
      </c>
      <c r="J3137" s="7" t="str">
        <f aca="false">IFERROR(INDEX('Semrush Data'!$A$1:$Z$20000,MATCH(A3137,'Semrush Data'!$A$1:$A$20000,0),MATCH("Intent",'Semrush Data'!$A$1:$Z$1,0)),"")</f>
        <v/>
      </c>
    </row>
    <row r="3138" customFormat="false" ht="15" hidden="false" customHeight="true" outlineLevel="0" collapsed="false">
      <c r="A3138" s="7" t="s">
        <v>7790</v>
      </c>
      <c r="B3138" s="7" t="s">
        <v>6820</v>
      </c>
      <c r="C3138" s="7" t="n">
        <v>3</v>
      </c>
      <c r="D3138" s="7" t="n">
        <v>32</v>
      </c>
      <c r="E3138" s="7" t="n">
        <v>1</v>
      </c>
      <c r="F3138" s="7" t="s">
        <v>6188</v>
      </c>
      <c r="G3138" s="12" t="str">
        <f aca="false">IFERROR(INDEX('Semrush Data'!$A$1:$Z$20000,MATCH(A3138,'Semrush Data'!$A$1:$A$20000,0),MATCH("Volume",'Semrush Data'!$A$1:$Z$1,0)),"")</f>
        <v/>
      </c>
      <c r="H3138" s="7" t="str">
        <f aca="false">IFERROR(INDEX('Semrush Data'!$A$1:$Z$20000,MATCH(A3138,'Semrush Data'!$A$1:$A$20000,0),MATCH("Keyword Difficulty*",'Semrush Data'!$A$1:$Z$1,0)),"")</f>
        <v/>
      </c>
      <c r="I3138" s="13" t="str">
        <f aca="false">IFERROR(INDEX('Semrush Data'!$A$1:$Z$20000,MATCH(A3138,'Semrush Data'!$A$1:$A$20000,0),MATCH("CPC*",'Semrush Data'!$A$1:$Z$1,0)),"")</f>
        <v/>
      </c>
      <c r="J3138" s="7" t="str">
        <f aca="false">IFERROR(INDEX('Semrush Data'!$A$1:$Z$20000,MATCH(A3138,'Semrush Data'!$A$1:$A$20000,0),MATCH("Intent",'Semrush Data'!$A$1:$Z$1,0)),"")</f>
        <v/>
      </c>
    </row>
    <row r="3139" customFormat="false" ht="15" hidden="false" customHeight="true" outlineLevel="0" collapsed="false">
      <c r="A3139" s="7" t="s">
        <v>7791</v>
      </c>
      <c r="B3139" s="7" t="s">
        <v>6820</v>
      </c>
      <c r="C3139" s="7" t="n">
        <v>3</v>
      </c>
      <c r="D3139" s="7" t="s">
        <v>6818</v>
      </c>
      <c r="E3139" s="7" t="n">
        <v>1</v>
      </c>
      <c r="F3139" s="7" t="s">
        <v>102</v>
      </c>
      <c r="G3139" s="12" t="str">
        <f aca="false">IFERROR(INDEX('Semrush Data'!$A$1:$Z$20000,MATCH(A3139,'Semrush Data'!$A$1:$A$20000,0),MATCH("Volume",'Semrush Data'!$A$1:$Z$1,0)),"")</f>
        <v/>
      </c>
      <c r="H3139" s="7" t="str">
        <f aca="false">IFERROR(INDEX('Semrush Data'!$A$1:$Z$20000,MATCH(A3139,'Semrush Data'!$A$1:$A$20000,0),MATCH("Keyword Difficulty*",'Semrush Data'!$A$1:$Z$1,0)),"")</f>
        <v/>
      </c>
      <c r="I3139" s="13" t="str">
        <f aca="false">IFERROR(INDEX('Semrush Data'!$A$1:$Z$20000,MATCH(A3139,'Semrush Data'!$A$1:$A$20000,0),MATCH("CPC*",'Semrush Data'!$A$1:$Z$1,0)),"")</f>
        <v/>
      </c>
      <c r="J3139" s="7" t="str">
        <f aca="false">IFERROR(INDEX('Semrush Data'!$A$1:$Z$20000,MATCH(A3139,'Semrush Data'!$A$1:$A$20000,0),MATCH("Intent",'Semrush Data'!$A$1:$Z$1,0)),"")</f>
        <v/>
      </c>
    </row>
    <row r="3140" customFormat="false" ht="15" hidden="false" customHeight="true" outlineLevel="0" collapsed="false">
      <c r="A3140" s="7" t="s">
        <v>7792</v>
      </c>
      <c r="B3140" s="7" t="s">
        <v>6820</v>
      </c>
      <c r="C3140" s="7" t="n">
        <v>3</v>
      </c>
      <c r="D3140" s="7" t="n">
        <v>32</v>
      </c>
      <c r="E3140" s="7" t="n">
        <v>1</v>
      </c>
      <c r="F3140" s="7" t="s">
        <v>102</v>
      </c>
      <c r="G3140" s="12" t="str">
        <f aca="false">IFERROR(INDEX('Semrush Data'!$A$1:$Z$20000,MATCH(A3140,'Semrush Data'!$A$1:$A$20000,0),MATCH("Volume",'Semrush Data'!$A$1:$Z$1,0)),"")</f>
        <v/>
      </c>
      <c r="H3140" s="7" t="str">
        <f aca="false">IFERROR(INDEX('Semrush Data'!$A$1:$Z$20000,MATCH(A3140,'Semrush Data'!$A$1:$A$20000,0),MATCH("Keyword Difficulty*",'Semrush Data'!$A$1:$Z$1,0)),"")</f>
        <v/>
      </c>
      <c r="I3140" s="13" t="str">
        <f aca="false">IFERROR(INDEX('Semrush Data'!$A$1:$Z$20000,MATCH(A3140,'Semrush Data'!$A$1:$A$20000,0),MATCH("CPC*",'Semrush Data'!$A$1:$Z$1,0)),"")</f>
        <v/>
      </c>
      <c r="J3140" s="7" t="str">
        <f aca="false">IFERROR(INDEX('Semrush Data'!$A$1:$Z$20000,MATCH(A3140,'Semrush Data'!$A$1:$A$20000,0),MATCH("Intent",'Semrush Data'!$A$1:$Z$1,0)),"")</f>
        <v/>
      </c>
    </row>
    <row r="3141" customFormat="false" ht="15" hidden="false" customHeight="true" outlineLevel="0" collapsed="false">
      <c r="A3141" s="7" t="s">
        <v>7793</v>
      </c>
      <c r="B3141" s="7" t="s">
        <v>6820</v>
      </c>
      <c r="C3141" s="7" t="n">
        <v>3</v>
      </c>
      <c r="D3141" s="7" t="n">
        <v>32</v>
      </c>
      <c r="E3141" s="7" t="n">
        <v>1</v>
      </c>
      <c r="F3141" s="7" t="s">
        <v>102</v>
      </c>
      <c r="G3141" s="12" t="str">
        <f aca="false">IFERROR(INDEX('Semrush Data'!$A$1:$Z$20000,MATCH(A3141,'Semrush Data'!$A$1:$A$20000,0),MATCH("Volume",'Semrush Data'!$A$1:$Z$1,0)),"")</f>
        <v/>
      </c>
      <c r="H3141" s="7" t="str">
        <f aca="false">IFERROR(INDEX('Semrush Data'!$A$1:$Z$20000,MATCH(A3141,'Semrush Data'!$A$1:$A$20000,0),MATCH("Keyword Difficulty*",'Semrush Data'!$A$1:$Z$1,0)),"")</f>
        <v/>
      </c>
      <c r="I3141" s="13" t="str">
        <f aca="false">IFERROR(INDEX('Semrush Data'!$A$1:$Z$20000,MATCH(A3141,'Semrush Data'!$A$1:$A$20000,0),MATCH("CPC*",'Semrush Data'!$A$1:$Z$1,0)),"")</f>
        <v/>
      </c>
      <c r="J3141" s="7" t="str">
        <f aca="false">IFERROR(INDEX('Semrush Data'!$A$1:$Z$20000,MATCH(A3141,'Semrush Data'!$A$1:$A$20000,0),MATCH("Intent",'Semrush Data'!$A$1:$Z$1,0)),"")</f>
        <v/>
      </c>
    </row>
    <row r="3142" customFormat="false" ht="15" hidden="false" customHeight="true" outlineLevel="0" collapsed="false">
      <c r="A3142" s="7" t="s">
        <v>7794</v>
      </c>
      <c r="B3142" s="7" t="s">
        <v>6820</v>
      </c>
      <c r="C3142" s="7" t="n">
        <v>3</v>
      </c>
      <c r="D3142" s="7" t="s">
        <v>6818</v>
      </c>
      <c r="E3142" s="7" t="n">
        <v>1</v>
      </c>
      <c r="F3142" s="7" t="s">
        <v>102</v>
      </c>
      <c r="G3142" s="12" t="str">
        <f aca="false">IFERROR(INDEX('Semrush Data'!$A$1:$Z$20000,MATCH(A3142,'Semrush Data'!$A$1:$A$20000,0),MATCH("Volume",'Semrush Data'!$A$1:$Z$1,0)),"")</f>
        <v/>
      </c>
      <c r="H3142" s="7" t="str">
        <f aca="false">IFERROR(INDEX('Semrush Data'!$A$1:$Z$20000,MATCH(A3142,'Semrush Data'!$A$1:$A$20000,0),MATCH("Keyword Difficulty*",'Semrush Data'!$A$1:$Z$1,0)),"")</f>
        <v/>
      </c>
      <c r="I3142" s="13" t="str">
        <f aca="false">IFERROR(INDEX('Semrush Data'!$A$1:$Z$20000,MATCH(A3142,'Semrush Data'!$A$1:$A$20000,0),MATCH("CPC*",'Semrush Data'!$A$1:$Z$1,0)),"")</f>
        <v/>
      </c>
      <c r="J3142" s="7" t="str">
        <f aca="false">IFERROR(INDEX('Semrush Data'!$A$1:$Z$20000,MATCH(A3142,'Semrush Data'!$A$1:$A$20000,0),MATCH("Intent",'Semrush Data'!$A$1:$Z$1,0)),"")</f>
        <v/>
      </c>
    </row>
    <row r="3143" customFormat="false" ht="15" hidden="false" customHeight="true" outlineLevel="0" collapsed="false">
      <c r="A3143" s="7" t="s">
        <v>7795</v>
      </c>
      <c r="B3143" s="7" t="s">
        <v>6820</v>
      </c>
      <c r="C3143" s="7" t="n">
        <v>3</v>
      </c>
      <c r="D3143" s="7" t="n">
        <v>32</v>
      </c>
      <c r="E3143" s="7" t="n">
        <v>1</v>
      </c>
      <c r="F3143" s="7" t="s">
        <v>6209</v>
      </c>
      <c r="G3143" s="12" t="str">
        <f aca="false">IFERROR(INDEX('Semrush Data'!$A$1:$Z$20000,MATCH(A3143,'Semrush Data'!$A$1:$A$20000,0),MATCH("Volume",'Semrush Data'!$A$1:$Z$1,0)),"")</f>
        <v/>
      </c>
      <c r="H3143" s="7" t="str">
        <f aca="false">IFERROR(INDEX('Semrush Data'!$A$1:$Z$20000,MATCH(A3143,'Semrush Data'!$A$1:$A$20000,0),MATCH("Keyword Difficulty*",'Semrush Data'!$A$1:$Z$1,0)),"")</f>
        <v/>
      </c>
      <c r="I3143" s="13" t="str">
        <f aca="false">IFERROR(INDEX('Semrush Data'!$A$1:$Z$20000,MATCH(A3143,'Semrush Data'!$A$1:$A$20000,0),MATCH("CPC*",'Semrush Data'!$A$1:$Z$1,0)),"")</f>
        <v/>
      </c>
      <c r="J3143" s="7" t="str">
        <f aca="false">IFERROR(INDEX('Semrush Data'!$A$1:$Z$20000,MATCH(A3143,'Semrush Data'!$A$1:$A$20000,0),MATCH("Intent",'Semrush Data'!$A$1:$Z$1,0)),"")</f>
        <v/>
      </c>
    </row>
    <row r="3144" customFormat="false" ht="15" hidden="false" customHeight="true" outlineLevel="0" collapsed="false">
      <c r="A3144" s="7" t="s">
        <v>7796</v>
      </c>
      <c r="B3144" s="7" t="s">
        <v>6820</v>
      </c>
      <c r="C3144" s="7" t="n">
        <v>3</v>
      </c>
      <c r="D3144" s="7" t="n">
        <v>32</v>
      </c>
      <c r="E3144" s="7" t="n">
        <v>1</v>
      </c>
      <c r="F3144" s="7" t="s">
        <v>6209</v>
      </c>
      <c r="G3144" s="12" t="str">
        <f aca="false">IFERROR(INDEX('Semrush Data'!$A$1:$Z$20000,MATCH(A3144,'Semrush Data'!$A$1:$A$20000,0),MATCH("Volume",'Semrush Data'!$A$1:$Z$1,0)),"")</f>
        <v/>
      </c>
      <c r="H3144" s="7" t="str">
        <f aca="false">IFERROR(INDEX('Semrush Data'!$A$1:$Z$20000,MATCH(A3144,'Semrush Data'!$A$1:$A$20000,0),MATCH("Keyword Difficulty*",'Semrush Data'!$A$1:$Z$1,0)),"")</f>
        <v/>
      </c>
      <c r="I3144" s="13" t="str">
        <f aca="false">IFERROR(INDEX('Semrush Data'!$A$1:$Z$20000,MATCH(A3144,'Semrush Data'!$A$1:$A$20000,0),MATCH("CPC*",'Semrush Data'!$A$1:$Z$1,0)),"")</f>
        <v/>
      </c>
      <c r="J3144" s="7" t="str">
        <f aca="false">IFERROR(INDEX('Semrush Data'!$A$1:$Z$20000,MATCH(A3144,'Semrush Data'!$A$1:$A$20000,0),MATCH("Intent",'Semrush Data'!$A$1:$Z$1,0)),"")</f>
        <v/>
      </c>
    </row>
    <row r="3145" customFormat="false" ht="15" hidden="false" customHeight="true" outlineLevel="0" collapsed="false">
      <c r="A3145" s="7" t="s">
        <v>7797</v>
      </c>
      <c r="B3145" s="7" t="s">
        <v>6820</v>
      </c>
      <c r="C3145" s="7" t="n">
        <v>3</v>
      </c>
      <c r="D3145" s="7" t="n">
        <v>32</v>
      </c>
      <c r="E3145" s="7" t="n">
        <v>1</v>
      </c>
      <c r="F3145" s="7" t="s">
        <v>6209</v>
      </c>
      <c r="G3145" s="12" t="str">
        <f aca="false">IFERROR(INDEX('Semrush Data'!$A$1:$Z$20000,MATCH(A3145,'Semrush Data'!$A$1:$A$20000,0),MATCH("Volume",'Semrush Data'!$A$1:$Z$1,0)),"")</f>
        <v/>
      </c>
      <c r="H3145" s="7" t="str">
        <f aca="false">IFERROR(INDEX('Semrush Data'!$A$1:$Z$20000,MATCH(A3145,'Semrush Data'!$A$1:$A$20000,0),MATCH("Keyword Difficulty*",'Semrush Data'!$A$1:$Z$1,0)),"")</f>
        <v/>
      </c>
      <c r="I3145" s="13" t="str">
        <f aca="false">IFERROR(INDEX('Semrush Data'!$A$1:$Z$20000,MATCH(A3145,'Semrush Data'!$A$1:$A$20000,0),MATCH("CPC*",'Semrush Data'!$A$1:$Z$1,0)),"")</f>
        <v/>
      </c>
      <c r="J3145" s="7" t="str">
        <f aca="false">IFERROR(INDEX('Semrush Data'!$A$1:$Z$20000,MATCH(A3145,'Semrush Data'!$A$1:$A$20000,0),MATCH("Intent",'Semrush Data'!$A$1:$Z$1,0)),"")</f>
        <v/>
      </c>
    </row>
    <row r="3146" customFormat="false" ht="15" hidden="false" customHeight="true" outlineLevel="0" collapsed="false">
      <c r="A3146" s="7" t="s">
        <v>7798</v>
      </c>
      <c r="B3146" s="7" t="s">
        <v>6820</v>
      </c>
      <c r="C3146" s="7" t="n">
        <v>3</v>
      </c>
      <c r="D3146" s="7" t="n">
        <v>32</v>
      </c>
      <c r="E3146" s="7" t="n">
        <v>1</v>
      </c>
      <c r="F3146" s="7" t="s">
        <v>6209</v>
      </c>
      <c r="G3146" s="12" t="str">
        <f aca="false">IFERROR(INDEX('Semrush Data'!$A$1:$Z$20000,MATCH(A3146,'Semrush Data'!$A$1:$A$20000,0),MATCH("Volume",'Semrush Data'!$A$1:$Z$1,0)),"")</f>
        <v/>
      </c>
      <c r="H3146" s="7" t="str">
        <f aca="false">IFERROR(INDEX('Semrush Data'!$A$1:$Z$20000,MATCH(A3146,'Semrush Data'!$A$1:$A$20000,0),MATCH("Keyword Difficulty*",'Semrush Data'!$A$1:$Z$1,0)),"")</f>
        <v/>
      </c>
      <c r="I3146" s="13" t="str">
        <f aca="false">IFERROR(INDEX('Semrush Data'!$A$1:$Z$20000,MATCH(A3146,'Semrush Data'!$A$1:$A$20000,0),MATCH("CPC*",'Semrush Data'!$A$1:$Z$1,0)),"")</f>
        <v/>
      </c>
      <c r="J3146" s="7" t="str">
        <f aca="false">IFERROR(INDEX('Semrush Data'!$A$1:$Z$20000,MATCH(A3146,'Semrush Data'!$A$1:$A$20000,0),MATCH("Intent",'Semrush Data'!$A$1:$Z$1,0)),"")</f>
        <v/>
      </c>
    </row>
    <row r="3147" customFormat="false" ht="15" hidden="false" customHeight="true" outlineLevel="0" collapsed="false">
      <c r="A3147" s="7" t="s">
        <v>7799</v>
      </c>
      <c r="B3147" s="7" t="s">
        <v>6820</v>
      </c>
      <c r="C3147" s="7" t="n">
        <v>3</v>
      </c>
      <c r="D3147" s="7" t="n">
        <v>32</v>
      </c>
      <c r="E3147" s="7" t="n">
        <v>1</v>
      </c>
      <c r="F3147" s="7" t="s">
        <v>6220</v>
      </c>
      <c r="G3147" s="12" t="str">
        <f aca="false">IFERROR(INDEX('Semrush Data'!$A$1:$Z$20000,MATCH(A3147,'Semrush Data'!$A$1:$A$20000,0),MATCH("Volume",'Semrush Data'!$A$1:$Z$1,0)),"")</f>
        <v/>
      </c>
      <c r="H3147" s="7" t="str">
        <f aca="false">IFERROR(INDEX('Semrush Data'!$A$1:$Z$20000,MATCH(A3147,'Semrush Data'!$A$1:$A$20000,0),MATCH("Keyword Difficulty*",'Semrush Data'!$A$1:$Z$1,0)),"")</f>
        <v/>
      </c>
      <c r="I3147" s="13" t="str">
        <f aca="false">IFERROR(INDEX('Semrush Data'!$A$1:$Z$20000,MATCH(A3147,'Semrush Data'!$A$1:$A$20000,0),MATCH("CPC*",'Semrush Data'!$A$1:$Z$1,0)),"")</f>
        <v/>
      </c>
      <c r="J3147" s="7" t="str">
        <f aca="false">IFERROR(INDEX('Semrush Data'!$A$1:$Z$20000,MATCH(A3147,'Semrush Data'!$A$1:$A$20000,0),MATCH("Intent",'Semrush Data'!$A$1:$Z$1,0)),"")</f>
        <v/>
      </c>
    </row>
    <row r="3148" customFormat="false" ht="15" hidden="false" customHeight="true" outlineLevel="0" collapsed="false">
      <c r="A3148" s="7" t="s">
        <v>7800</v>
      </c>
      <c r="B3148" s="7" t="s">
        <v>6820</v>
      </c>
      <c r="C3148" s="7" t="n">
        <v>3</v>
      </c>
      <c r="D3148" s="7" t="n">
        <v>32</v>
      </c>
      <c r="E3148" s="7" t="n">
        <v>1</v>
      </c>
      <c r="F3148" s="7" t="s">
        <v>6220</v>
      </c>
      <c r="G3148" s="12" t="str">
        <f aca="false">IFERROR(INDEX('Semrush Data'!$A$1:$Z$20000,MATCH(A3148,'Semrush Data'!$A$1:$A$20000,0),MATCH("Volume",'Semrush Data'!$A$1:$Z$1,0)),"")</f>
        <v/>
      </c>
      <c r="H3148" s="7" t="str">
        <f aca="false">IFERROR(INDEX('Semrush Data'!$A$1:$Z$20000,MATCH(A3148,'Semrush Data'!$A$1:$A$20000,0),MATCH("Keyword Difficulty*",'Semrush Data'!$A$1:$Z$1,0)),"")</f>
        <v/>
      </c>
      <c r="I3148" s="13" t="str">
        <f aca="false">IFERROR(INDEX('Semrush Data'!$A$1:$Z$20000,MATCH(A3148,'Semrush Data'!$A$1:$A$20000,0),MATCH("CPC*",'Semrush Data'!$A$1:$Z$1,0)),"")</f>
        <v/>
      </c>
      <c r="J3148" s="7" t="str">
        <f aca="false">IFERROR(INDEX('Semrush Data'!$A$1:$Z$20000,MATCH(A3148,'Semrush Data'!$A$1:$A$20000,0),MATCH("Intent",'Semrush Data'!$A$1:$Z$1,0)),"")</f>
        <v/>
      </c>
    </row>
    <row r="3149" customFormat="false" ht="15" hidden="false" customHeight="true" outlineLevel="0" collapsed="false">
      <c r="A3149" s="7" t="s">
        <v>7801</v>
      </c>
      <c r="B3149" s="7" t="s">
        <v>6820</v>
      </c>
      <c r="C3149" s="7" t="n">
        <v>3</v>
      </c>
      <c r="D3149" s="7" t="n">
        <v>32</v>
      </c>
      <c r="E3149" s="7" t="n">
        <v>1</v>
      </c>
      <c r="F3149" s="7" t="s">
        <v>6220</v>
      </c>
      <c r="G3149" s="12" t="str">
        <f aca="false">IFERROR(INDEX('Semrush Data'!$A$1:$Z$20000,MATCH(A3149,'Semrush Data'!$A$1:$A$20000,0),MATCH("Volume",'Semrush Data'!$A$1:$Z$1,0)),"")</f>
        <v/>
      </c>
      <c r="H3149" s="7" t="str">
        <f aca="false">IFERROR(INDEX('Semrush Data'!$A$1:$Z$20000,MATCH(A3149,'Semrush Data'!$A$1:$A$20000,0),MATCH("Keyword Difficulty*",'Semrush Data'!$A$1:$Z$1,0)),"")</f>
        <v/>
      </c>
      <c r="I3149" s="13" t="str">
        <f aca="false">IFERROR(INDEX('Semrush Data'!$A$1:$Z$20000,MATCH(A3149,'Semrush Data'!$A$1:$A$20000,0),MATCH("CPC*",'Semrush Data'!$A$1:$Z$1,0)),"")</f>
        <v/>
      </c>
      <c r="J3149" s="7" t="str">
        <f aca="false">IFERROR(INDEX('Semrush Data'!$A$1:$Z$20000,MATCH(A3149,'Semrush Data'!$A$1:$A$20000,0),MATCH("Intent",'Semrush Data'!$A$1:$Z$1,0)),"")</f>
        <v/>
      </c>
    </row>
    <row r="3150" customFormat="false" ht="15" hidden="false" customHeight="true" outlineLevel="0" collapsed="false">
      <c r="A3150" s="7" t="s">
        <v>7802</v>
      </c>
      <c r="B3150" s="7" t="s">
        <v>6820</v>
      </c>
      <c r="C3150" s="7" t="n">
        <v>3</v>
      </c>
      <c r="D3150" s="7" t="n">
        <v>32</v>
      </c>
      <c r="E3150" s="7" t="n">
        <v>1</v>
      </c>
      <c r="F3150" s="7" t="s">
        <v>6220</v>
      </c>
      <c r="G3150" s="12" t="str">
        <f aca="false">IFERROR(INDEX('Semrush Data'!$A$1:$Z$20000,MATCH(A3150,'Semrush Data'!$A$1:$A$20000,0),MATCH("Volume",'Semrush Data'!$A$1:$Z$1,0)),"")</f>
        <v/>
      </c>
      <c r="H3150" s="7" t="str">
        <f aca="false">IFERROR(INDEX('Semrush Data'!$A$1:$Z$20000,MATCH(A3150,'Semrush Data'!$A$1:$A$20000,0),MATCH("Keyword Difficulty*",'Semrush Data'!$A$1:$Z$1,0)),"")</f>
        <v/>
      </c>
      <c r="I3150" s="13" t="str">
        <f aca="false">IFERROR(INDEX('Semrush Data'!$A$1:$Z$20000,MATCH(A3150,'Semrush Data'!$A$1:$A$20000,0),MATCH("CPC*",'Semrush Data'!$A$1:$Z$1,0)),"")</f>
        <v/>
      </c>
      <c r="J3150" s="7" t="str">
        <f aca="false">IFERROR(INDEX('Semrush Data'!$A$1:$Z$20000,MATCH(A3150,'Semrush Data'!$A$1:$A$20000,0),MATCH("Intent",'Semrush Data'!$A$1:$Z$1,0)),"")</f>
        <v/>
      </c>
    </row>
    <row r="3151" customFormat="false" ht="15" hidden="false" customHeight="true" outlineLevel="0" collapsed="false">
      <c r="A3151" s="7" t="s">
        <v>7803</v>
      </c>
      <c r="B3151" s="7" t="s">
        <v>6820</v>
      </c>
      <c r="C3151" s="7" t="n">
        <v>3</v>
      </c>
      <c r="D3151" s="7" t="n">
        <v>32</v>
      </c>
      <c r="E3151" s="7" t="n">
        <v>1</v>
      </c>
      <c r="F3151" s="7" t="s">
        <v>6220</v>
      </c>
      <c r="G3151" s="12" t="str">
        <f aca="false">IFERROR(INDEX('Semrush Data'!$A$1:$Z$20000,MATCH(A3151,'Semrush Data'!$A$1:$A$20000,0),MATCH("Volume",'Semrush Data'!$A$1:$Z$1,0)),"")</f>
        <v/>
      </c>
      <c r="H3151" s="7" t="str">
        <f aca="false">IFERROR(INDEX('Semrush Data'!$A$1:$Z$20000,MATCH(A3151,'Semrush Data'!$A$1:$A$20000,0),MATCH("Keyword Difficulty*",'Semrush Data'!$A$1:$Z$1,0)),"")</f>
        <v/>
      </c>
      <c r="I3151" s="13" t="str">
        <f aca="false">IFERROR(INDEX('Semrush Data'!$A$1:$Z$20000,MATCH(A3151,'Semrush Data'!$A$1:$A$20000,0),MATCH("CPC*",'Semrush Data'!$A$1:$Z$1,0)),"")</f>
        <v/>
      </c>
      <c r="J3151" s="7" t="str">
        <f aca="false">IFERROR(INDEX('Semrush Data'!$A$1:$Z$20000,MATCH(A3151,'Semrush Data'!$A$1:$A$20000,0),MATCH("Intent",'Semrush Data'!$A$1:$Z$1,0)),"")</f>
        <v/>
      </c>
    </row>
    <row r="3152" customFormat="false" ht="15" hidden="false" customHeight="true" outlineLevel="0" collapsed="false">
      <c r="A3152" s="7" t="s">
        <v>7804</v>
      </c>
      <c r="B3152" s="7" t="s">
        <v>6820</v>
      </c>
      <c r="C3152" s="7" t="n">
        <v>3</v>
      </c>
      <c r="D3152" s="7" t="n">
        <v>32</v>
      </c>
      <c r="E3152" s="7" t="n">
        <v>1</v>
      </c>
      <c r="F3152" s="7" t="s">
        <v>6231</v>
      </c>
      <c r="G3152" s="12" t="str">
        <f aca="false">IFERROR(INDEX('Semrush Data'!$A$1:$Z$20000,MATCH(A3152,'Semrush Data'!$A$1:$A$20000,0),MATCH("Volume",'Semrush Data'!$A$1:$Z$1,0)),"")</f>
        <v/>
      </c>
      <c r="H3152" s="7" t="str">
        <f aca="false">IFERROR(INDEX('Semrush Data'!$A$1:$Z$20000,MATCH(A3152,'Semrush Data'!$A$1:$A$20000,0),MATCH("Keyword Difficulty*",'Semrush Data'!$A$1:$Z$1,0)),"")</f>
        <v/>
      </c>
      <c r="I3152" s="13" t="str">
        <f aca="false">IFERROR(INDEX('Semrush Data'!$A$1:$Z$20000,MATCH(A3152,'Semrush Data'!$A$1:$A$20000,0),MATCH("CPC*",'Semrush Data'!$A$1:$Z$1,0)),"")</f>
        <v/>
      </c>
      <c r="J3152" s="7" t="str">
        <f aca="false">IFERROR(INDEX('Semrush Data'!$A$1:$Z$20000,MATCH(A3152,'Semrush Data'!$A$1:$A$20000,0),MATCH("Intent",'Semrush Data'!$A$1:$Z$1,0)),"")</f>
        <v/>
      </c>
    </row>
    <row r="3153" customFormat="false" ht="15" hidden="false" customHeight="true" outlineLevel="0" collapsed="false">
      <c r="A3153" s="7" t="s">
        <v>7805</v>
      </c>
      <c r="B3153" s="7" t="s">
        <v>6820</v>
      </c>
      <c r="C3153" s="7" t="n">
        <v>3</v>
      </c>
      <c r="D3153" s="7" t="n">
        <v>32</v>
      </c>
      <c r="E3153" s="7" t="n">
        <v>1</v>
      </c>
      <c r="F3153" s="7" t="s">
        <v>6231</v>
      </c>
      <c r="G3153" s="12" t="str">
        <f aca="false">IFERROR(INDEX('Semrush Data'!$A$1:$Z$20000,MATCH(A3153,'Semrush Data'!$A$1:$A$20000,0),MATCH("Volume",'Semrush Data'!$A$1:$Z$1,0)),"")</f>
        <v/>
      </c>
      <c r="H3153" s="7" t="str">
        <f aca="false">IFERROR(INDEX('Semrush Data'!$A$1:$Z$20000,MATCH(A3153,'Semrush Data'!$A$1:$A$20000,0),MATCH("Keyword Difficulty*",'Semrush Data'!$A$1:$Z$1,0)),"")</f>
        <v/>
      </c>
      <c r="I3153" s="13" t="str">
        <f aca="false">IFERROR(INDEX('Semrush Data'!$A$1:$Z$20000,MATCH(A3153,'Semrush Data'!$A$1:$A$20000,0),MATCH("CPC*",'Semrush Data'!$A$1:$Z$1,0)),"")</f>
        <v/>
      </c>
      <c r="J3153" s="7" t="str">
        <f aca="false">IFERROR(INDEX('Semrush Data'!$A$1:$Z$20000,MATCH(A3153,'Semrush Data'!$A$1:$A$20000,0),MATCH("Intent",'Semrush Data'!$A$1:$Z$1,0)),"")</f>
        <v/>
      </c>
    </row>
    <row r="3154" customFormat="false" ht="15" hidden="false" customHeight="true" outlineLevel="0" collapsed="false">
      <c r="A3154" s="7" t="s">
        <v>7806</v>
      </c>
      <c r="B3154" s="7" t="s">
        <v>6820</v>
      </c>
      <c r="C3154" s="7" t="n">
        <v>3</v>
      </c>
      <c r="D3154" s="7" t="n">
        <v>32</v>
      </c>
      <c r="E3154" s="7" t="n">
        <v>1</v>
      </c>
      <c r="F3154" s="7" t="s">
        <v>6252</v>
      </c>
      <c r="G3154" s="12" t="str">
        <f aca="false">IFERROR(INDEX('Semrush Data'!$A$1:$Z$20000,MATCH(A3154,'Semrush Data'!$A$1:$A$20000,0),MATCH("Volume",'Semrush Data'!$A$1:$Z$1,0)),"")</f>
        <v/>
      </c>
      <c r="H3154" s="7" t="str">
        <f aca="false">IFERROR(INDEX('Semrush Data'!$A$1:$Z$20000,MATCH(A3154,'Semrush Data'!$A$1:$A$20000,0),MATCH("Keyword Difficulty*",'Semrush Data'!$A$1:$Z$1,0)),"")</f>
        <v/>
      </c>
      <c r="I3154" s="13" t="str">
        <f aca="false">IFERROR(INDEX('Semrush Data'!$A$1:$Z$20000,MATCH(A3154,'Semrush Data'!$A$1:$A$20000,0),MATCH("CPC*",'Semrush Data'!$A$1:$Z$1,0)),"")</f>
        <v/>
      </c>
      <c r="J3154" s="7" t="str">
        <f aca="false">IFERROR(INDEX('Semrush Data'!$A$1:$Z$20000,MATCH(A3154,'Semrush Data'!$A$1:$A$20000,0),MATCH("Intent",'Semrush Data'!$A$1:$Z$1,0)),"")</f>
        <v/>
      </c>
    </row>
    <row r="3155" customFormat="false" ht="15" hidden="false" customHeight="true" outlineLevel="0" collapsed="false">
      <c r="A3155" s="7" t="s">
        <v>7807</v>
      </c>
      <c r="B3155" s="7" t="s">
        <v>6820</v>
      </c>
      <c r="C3155" s="7" t="n">
        <v>3</v>
      </c>
      <c r="D3155" s="7" t="n">
        <v>32</v>
      </c>
      <c r="E3155" s="7" t="n">
        <v>1</v>
      </c>
      <c r="F3155" s="7" t="s">
        <v>6252</v>
      </c>
      <c r="G3155" s="12" t="str">
        <f aca="false">IFERROR(INDEX('Semrush Data'!$A$1:$Z$20000,MATCH(A3155,'Semrush Data'!$A$1:$A$20000,0),MATCH("Volume",'Semrush Data'!$A$1:$Z$1,0)),"")</f>
        <v/>
      </c>
      <c r="H3155" s="7" t="str">
        <f aca="false">IFERROR(INDEX('Semrush Data'!$A$1:$Z$20000,MATCH(A3155,'Semrush Data'!$A$1:$A$20000,0),MATCH("Keyword Difficulty*",'Semrush Data'!$A$1:$Z$1,0)),"")</f>
        <v/>
      </c>
      <c r="I3155" s="13" t="str">
        <f aca="false">IFERROR(INDEX('Semrush Data'!$A$1:$Z$20000,MATCH(A3155,'Semrush Data'!$A$1:$A$20000,0),MATCH("CPC*",'Semrush Data'!$A$1:$Z$1,0)),"")</f>
        <v/>
      </c>
      <c r="J3155" s="7" t="str">
        <f aca="false">IFERROR(INDEX('Semrush Data'!$A$1:$Z$20000,MATCH(A3155,'Semrush Data'!$A$1:$A$20000,0),MATCH("Intent",'Semrush Data'!$A$1:$Z$1,0)),"")</f>
        <v/>
      </c>
    </row>
    <row r="3156" customFormat="false" ht="15" hidden="false" customHeight="true" outlineLevel="0" collapsed="false">
      <c r="A3156" s="7" t="s">
        <v>7808</v>
      </c>
      <c r="B3156" s="7" t="s">
        <v>6820</v>
      </c>
      <c r="C3156" s="7" t="n">
        <v>3</v>
      </c>
      <c r="D3156" s="7" t="n">
        <v>32</v>
      </c>
      <c r="E3156" s="7" t="n">
        <v>1</v>
      </c>
      <c r="F3156" s="7" t="s">
        <v>6252</v>
      </c>
      <c r="G3156" s="12" t="str">
        <f aca="false">IFERROR(INDEX('Semrush Data'!$A$1:$Z$20000,MATCH(A3156,'Semrush Data'!$A$1:$A$20000,0),MATCH("Volume",'Semrush Data'!$A$1:$Z$1,0)),"")</f>
        <v/>
      </c>
      <c r="H3156" s="7" t="str">
        <f aca="false">IFERROR(INDEX('Semrush Data'!$A$1:$Z$20000,MATCH(A3156,'Semrush Data'!$A$1:$A$20000,0),MATCH("Keyword Difficulty*",'Semrush Data'!$A$1:$Z$1,0)),"")</f>
        <v/>
      </c>
      <c r="I3156" s="13" t="str">
        <f aca="false">IFERROR(INDEX('Semrush Data'!$A$1:$Z$20000,MATCH(A3156,'Semrush Data'!$A$1:$A$20000,0),MATCH("CPC*",'Semrush Data'!$A$1:$Z$1,0)),"")</f>
        <v/>
      </c>
      <c r="J3156" s="7" t="str">
        <f aca="false">IFERROR(INDEX('Semrush Data'!$A$1:$Z$20000,MATCH(A3156,'Semrush Data'!$A$1:$A$20000,0),MATCH("Intent",'Semrush Data'!$A$1:$Z$1,0)),"")</f>
        <v/>
      </c>
    </row>
    <row r="3157" customFormat="false" ht="15" hidden="false" customHeight="true" outlineLevel="0" collapsed="false">
      <c r="A3157" s="7" t="s">
        <v>7809</v>
      </c>
      <c r="B3157" s="7" t="s">
        <v>6820</v>
      </c>
      <c r="C3157" s="7" t="n">
        <v>3</v>
      </c>
      <c r="D3157" s="7" t="n">
        <v>32</v>
      </c>
      <c r="E3157" s="7" t="n">
        <v>1</v>
      </c>
      <c r="F3157" s="7" t="s">
        <v>6252</v>
      </c>
      <c r="G3157" s="12" t="str">
        <f aca="false">IFERROR(INDEX('Semrush Data'!$A$1:$Z$20000,MATCH(A3157,'Semrush Data'!$A$1:$A$20000,0),MATCH("Volume",'Semrush Data'!$A$1:$Z$1,0)),"")</f>
        <v/>
      </c>
      <c r="H3157" s="7" t="str">
        <f aca="false">IFERROR(INDEX('Semrush Data'!$A$1:$Z$20000,MATCH(A3157,'Semrush Data'!$A$1:$A$20000,0),MATCH("Keyword Difficulty*",'Semrush Data'!$A$1:$Z$1,0)),"")</f>
        <v/>
      </c>
      <c r="I3157" s="13" t="str">
        <f aca="false">IFERROR(INDEX('Semrush Data'!$A$1:$Z$20000,MATCH(A3157,'Semrush Data'!$A$1:$A$20000,0),MATCH("CPC*",'Semrush Data'!$A$1:$Z$1,0)),"")</f>
        <v/>
      </c>
      <c r="J3157" s="7" t="str">
        <f aca="false">IFERROR(INDEX('Semrush Data'!$A$1:$Z$20000,MATCH(A3157,'Semrush Data'!$A$1:$A$20000,0),MATCH("Intent",'Semrush Data'!$A$1:$Z$1,0)),"")</f>
        <v/>
      </c>
    </row>
    <row r="3158" customFormat="false" ht="15" hidden="false" customHeight="true" outlineLevel="0" collapsed="false">
      <c r="A3158" s="7" t="s">
        <v>7810</v>
      </c>
      <c r="B3158" s="7" t="s">
        <v>6820</v>
      </c>
      <c r="C3158" s="7" t="n">
        <v>3</v>
      </c>
      <c r="D3158" s="7" t="n">
        <v>32</v>
      </c>
      <c r="E3158" s="7" t="n">
        <v>1</v>
      </c>
      <c r="F3158" s="7" t="s">
        <v>6252</v>
      </c>
      <c r="G3158" s="12" t="str">
        <f aca="false">IFERROR(INDEX('Semrush Data'!$A$1:$Z$20000,MATCH(A3158,'Semrush Data'!$A$1:$A$20000,0),MATCH("Volume",'Semrush Data'!$A$1:$Z$1,0)),"")</f>
        <v/>
      </c>
      <c r="H3158" s="7" t="str">
        <f aca="false">IFERROR(INDEX('Semrush Data'!$A$1:$Z$20000,MATCH(A3158,'Semrush Data'!$A$1:$A$20000,0),MATCH("Keyword Difficulty*",'Semrush Data'!$A$1:$Z$1,0)),"")</f>
        <v/>
      </c>
      <c r="I3158" s="13" t="str">
        <f aca="false">IFERROR(INDEX('Semrush Data'!$A$1:$Z$20000,MATCH(A3158,'Semrush Data'!$A$1:$A$20000,0),MATCH("CPC*",'Semrush Data'!$A$1:$Z$1,0)),"")</f>
        <v/>
      </c>
      <c r="J3158" s="7" t="str">
        <f aca="false">IFERROR(INDEX('Semrush Data'!$A$1:$Z$20000,MATCH(A3158,'Semrush Data'!$A$1:$A$20000,0),MATCH("Intent",'Semrush Data'!$A$1:$Z$1,0)),"")</f>
        <v/>
      </c>
    </row>
    <row r="3159" customFormat="false" ht="15" hidden="false" customHeight="true" outlineLevel="0" collapsed="false">
      <c r="A3159" s="7" t="s">
        <v>7811</v>
      </c>
      <c r="B3159" s="7" t="s">
        <v>6820</v>
      </c>
      <c r="C3159" s="7" t="n">
        <v>3</v>
      </c>
      <c r="D3159" s="7" t="n">
        <v>32</v>
      </c>
      <c r="E3159" s="7" t="n">
        <v>1</v>
      </c>
      <c r="F3159" s="7" t="s">
        <v>6263</v>
      </c>
      <c r="G3159" s="12" t="str">
        <f aca="false">IFERROR(INDEX('Semrush Data'!$A$1:$Z$20000,MATCH(A3159,'Semrush Data'!$A$1:$A$20000,0),MATCH("Volume",'Semrush Data'!$A$1:$Z$1,0)),"")</f>
        <v/>
      </c>
      <c r="H3159" s="7" t="str">
        <f aca="false">IFERROR(INDEX('Semrush Data'!$A$1:$Z$20000,MATCH(A3159,'Semrush Data'!$A$1:$A$20000,0),MATCH("Keyword Difficulty*",'Semrush Data'!$A$1:$Z$1,0)),"")</f>
        <v/>
      </c>
      <c r="I3159" s="13" t="str">
        <f aca="false">IFERROR(INDEX('Semrush Data'!$A$1:$Z$20000,MATCH(A3159,'Semrush Data'!$A$1:$A$20000,0),MATCH("CPC*",'Semrush Data'!$A$1:$Z$1,0)),"")</f>
        <v/>
      </c>
      <c r="J3159" s="7" t="str">
        <f aca="false">IFERROR(INDEX('Semrush Data'!$A$1:$Z$20000,MATCH(A3159,'Semrush Data'!$A$1:$A$20000,0),MATCH("Intent",'Semrush Data'!$A$1:$Z$1,0)),"")</f>
        <v/>
      </c>
    </row>
    <row r="3160" customFormat="false" ht="15" hidden="false" customHeight="true" outlineLevel="0" collapsed="false">
      <c r="A3160" s="7" t="s">
        <v>7812</v>
      </c>
      <c r="B3160" s="7" t="s">
        <v>6820</v>
      </c>
      <c r="C3160" s="7" t="n">
        <v>3</v>
      </c>
      <c r="D3160" s="7" t="n">
        <v>32</v>
      </c>
      <c r="E3160" s="7" t="n">
        <v>1</v>
      </c>
      <c r="F3160" s="7" t="s">
        <v>6263</v>
      </c>
      <c r="G3160" s="12" t="str">
        <f aca="false">IFERROR(INDEX('Semrush Data'!$A$1:$Z$20000,MATCH(A3160,'Semrush Data'!$A$1:$A$20000,0),MATCH("Volume",'Semrush Data'!$A$1:$Z$1,0)),"")</f>
        <v/>
      </c>
      <c r="H3160" s="7" t="str">
        <f aca="false">IFERROR(INDEX('Semrush Data'!$A$1:$Z$20000,MATCH(A3160,'Semrush Data'!$A$1:$A$20000,0),MATCH("Keyword Difficulty*",'Semrush Data'!$A$1:$Z$1,0)),"")</f>
        <v/>
      </c>
      <c r="I3160" s="13" t="str">
        <f aca="false">IFERROR(INDEX('Semrush Data'!$A$1:$Z$20000,MATCH(A3160,'Semrush Data'!$A$1:$A$20000,0),MATCH("CPC*",'Semrush Data'!$A$1:$Z$1,0)),"")</f>
        <v/>
      </c>
      <c r="J3160" s="7" t="str">
        <f aca="false">IFERROR(INDEX('Semrush Data'!$A$1:$Z$20000,MATCH(A3160,'Semrush Data'!$A$1:$A$20000,0),MATCH("Intent",'Semrush Data'!$A$1:$Z$1,0)),"")</f>
        <v/>
      </c>
    </row>
    <row r="3161" customFormat="false" ht="15" hidden="false" customHeight="true" outlineLevel="0" collapsed="false">
      <c r="A3161" s="7" t="s">
        <v>7813</v>
      </c>
      <c r="B3161" s="7" t="s">
        <v>6820</v>
      </c>
      <c r="C3161" s="7" t="n">
        <v>3</v>
      </c>
      <c r="D3161" s="7" t="n">
        <v>32</v>
      </c>
      <c r="E3161" s="7" t="n">
        <v>1</v>
      </c>
      <c r="F3161" s="7" t="s">
        <v>6263</v>
      </c>
      <c r="G3161" s="12" t="str">
        <f aca="false">IFERROR(INDEX('Semrush Data'!$A$1:$Z$20000,MATCH(A3161,'Semrush Data'!$A$1:$A$20000,0),MATCH("Volume",'Semrush Data'!$A$1:$Z$1,0)),"")</f>
        <v/>
      </c>
      <c r="H3161" s="7" t="str">
        <f aca="false">IFERROR(INDEX('Semrush Data'!$A$1:$Z$20000,MATCH(A3161,'Semrush Data'!$A$1:$A$20000,0),MATCH("Keyword Difficulty*",'Semrush Data'!$A$1:$Z$1,0)),"")</f>
        <v/>
      </c>
      <c r="I3161" s="13" t="str">
        <f aca="false">IFERROR(INDEX('Semrush Data'!$A$1:$Z$20000,MATCH(A3161,'Semrush Data'!$A$1:$A$20000,0),MATCH("CPC*",'Semrush Data'!$A$1:$Z$1,0)),"")</f>
        <v/>
      </c>
      <c r="J3161" s="7" t="str">
        <f aca="false">IFERROR(INDEX('Semrush Data'!$A$1:$Z$20000,MATCH(A3161,'Semrush Data'!$A$1:$A$20000,0),MATCH("Intent",'Semrush Data'!$A$1:$Z$1,0)),"")</f>
        <v/>
      </c>
    </row>
    <row r="3162" customFormat="false" ht="15" hidden="false" customHeight="true" outlineLevel="0" collapsed="false">
      <c r="A3162" s="7" t="s">
        <v>7814</v>
      </c>
      <c r="B3162" s="7" t="s">
        <v>6820</v>
      </c>
      <c r="C3162" s="7" t="n">
        <v>3</v>
      </c>
      <c r="D3162" s="7" t="n">
        <v>32</v>
      </c>
      <c r="E3162" s="7" t="n">
        <v>1</v>
      </c>
      <c r="F3162" s="7" t="s">
        <v>6263</v>
      </c>
      <c r="G3162" s="12" t="str">
        <f aca="false">IFERROR(INDEX('Semrush Data'!$A$1:$Z$20000,MATCH(A3162,'Semrush Data'!$A$1:$A$20000,0),MATCH("Volume",'Semrush Data'!$A$1:$Z$1,0)),"")</f>
        <v/>
      </c>
      <c r="H3162" s="7" t="str">
        <f aca="false">IFERROR(INDEX('Semrush Data'!$A$1:$Z$20000,MATCH(A3162,'Semrush Data'!$A$1:$A$20000,0),MATCH("Keyword Difficulty*",'Semrush Data'!$A$1:$Z$1,0)),"")</f>
        <v/>
      </c>
      <c r="I3162" s="13" t="str">
        <f aca="false">IFERROR(INDEX('Semrush Data'!$A$1:$Z$20000,MATCH(A3162,'Semrush Data'!$A$1:$A$20000,0),MATCH("CPC*",'Semrush Data'!$A$1:$Z$1,0)),"")</f>
        <v/>
      </c>
      <c r="J3162" s="7" t="str">
        <f aca="false">IFERROR(INDEX('Semrush Data'!$A$1:$Z$20000,MATCH(A3162,'Semrush Data'!$A$1:$A$20000,0),MATCH("Intent",'Semrush Data'!$A$1:$Z$1,0)),"")</f>
        <v/>
      </c>
    </row>
    <row r="3163" customFormat="false" ht="15" hidden="false" customHeight="true" outlineLevel="0" collapsed="false">
      <c r="A3163" s="7" t="s">
        <v>7815</v>
      </c>
      <c r="B3163" s="7" t="s">
        <v>6820</v>
      </c>
      <c r="C3163" s="7" t="n">
        <v>3</v>
      </c>
      <c r="D3163" s="7" t="n">
        <v>32</v>
      </c>
      <c r="E3163" s="7" t="n">
        <v>1</v>
      </c>
      <c r="F3163" s="7" t="s">
        <v>6286</v>
      </c>
      <c r="G3163" s="12" t="str">
        <f aca="false">IFERROR(INDEX('Semrush Data'!$A$1:$Z$20000,MATCH(A3163,'Semrush Data'!$A$1:$A$20000,0),MATCH("Volume",'Semrush Data'!$A$1:$Z$1,0)),"")</f>
        <v/>
      </c>
      <c r="H3163" s="7" t="str">
        <f aca="false">IFERROR(INDEX('Semrush Data'!$A$1:$Z$20000,MATCH(A3163,'Semrush Data'!$A$1:$A$20000,0),MATCH("Keyword Difficulty*",'Semrush Data'!$A$1:$Z$1,0)),"")</f>
        <v/>
      </c>
      <c r="I3163" s="13" t="str">
        <f aca="false">IFERROR(INDEX('Semrush Data'!$A$1:$Z$20000,MATCH(A3163,'Semrush Data'!$A$1:$A$20000,0),MATCH("CPC*",'Semrush Data'!$A$1:$Z$1,0)),"")</f>
        <v/>
      </c>
      <c r="J3163" s="7" t="str">
        <f aca="false">IFERROR(INDEX('Semrush Data'!$A$1:$Z$20000,MATCH(A3163,'Semrush Data'!$A$1:$A$20000,0),MATCH("Intent",'Semrush Data'!$A$1:$Z$1,0)),"")</f>
        <v/>
      </c>
    </row>
    <row r="3164" customFormat="false" ht="15" hidden="false" customHeight="true" outlineLevel="0" collapsed="false">
      <c r="A3164" s="7" t="s">
        <v>7816</v>
      </c>
      <c r="B3164" s="7" t="s">
        <v>6820</v>
      </c>
      <c r="C3164" s="7" t="n">
        <v>3</v>
      </c>
      <c r="D3164" s="7" t="n">
        <v>32</v>
      </c>
      <c r="E3164" s="7" t="n">
        <v>1</v>
      </c>
      <c r="F3164" s="7" t="s">
        <v>6286</v>
      </c>
      <c r="G3164" s="12" t="str">
        <f aca="false">IFERROR(INDEX('Semrush Data'!$A$1:$Z$20000,MATCH(A3164,'Semrush Data'!$A$1:$A$20000,0),MATCH("Volume",'Semrush Data'!$A$1:$Z$1,0)),"")</f>
        <v/>
      </c>
      <c r="H3164" s="7" t="str">
        <f aca="false">IFERROR(INDEX('Semrush Data'!$A$1:$Z$20000,MATCH(A3164,'Semrush Data'!$A$1:$A$20000,0),MATCH("Keyword Difficulty*",'Semrush Data'!$A$1:$Z$1,0)),"")</f>
        <v/>
      </c>
      <c r="I3164" s="13" t="str">
        <f aca="false">IFERROR(INDEX('Semrush Data'!$A$1:$Z$20000,MATCH(A3164,'Semrush Data'!$A$1:$A$20000,0),MATCH("CPC*",'Semrush Data'!$A$1:$Z$1,0)),"")</f>
        <v/>
      </c>
      <c r="J3164" s="7" t="str">
        <f aca="false">IFERROR(INDEX('Semrush Data'!$A$1:$Z$20000,MATCH(A3164,'Semrush Data'!$A$1:$A$20000,0),MATCH("Intent",'Semrush Data'!$A$1:$Z$1,0)),"")</f>
        <v/>
      </c>
    </row>
    <row r="3165" customFormat="false" ht="15" hidden="false" customHeight="true" outlineLevel="0" collapsed="false">
      <c r="A3165" s="7" t="s">
        <v>7817</v>
      </c>
      <c r="B3165" s="7" t="s">
        <v>6820</v>
      </c>
      <c r="C3165" s="7" t="n">
        <v>3</v>
      </c>
      <c r="D3165" s="7" t="n">
        <v>32</v>
      </c>
      <c r="E3165" s="7" t="n">
        <v>1</v>
      </c>
      <c r="F3165" s="7" t="s">
        <v>6286</v>
      </c>
      <c r="G3165" s="12" t="str">
        <f aca="false">IFERROR(INDEX('Semrush Data'!$A$1:$Z$20000,MATCH(A3165,'Semrush Data'!$A$1:$A$20000,0),MATCH("Volume",'Semrush Data'!$A$1:$Z$1,0)),"")</f>
        <v/>
      </c>
      <c r="H3165" s="7" t="str">
        <f aca="false">IFERROR(INDEX('Semrush Data'!$A$1:$Z$20000,MATCH(A3165,'Semrush Data'!$A$1:$A$20000,0),MATCH("Keyword Difficulty*",'Semrush Data'!$A$1:$Z$1,0)),"")</f>
        <v/>
      </c>
      <c r="I3165" s="13" t="str">
        <f aca="false">IFERROR(INDEX('Semrush Data'!$A$1:$Z$20000,MATCH(A3165,'Semrush Data'!$A$1:$A$20000,0),MATCH("CPC*",'Semrush Data'!$A$1:$Z$1,0)),"")</f>
        <v/>
      </c>
      <c r="J3165" s="7" t="str">
        <f aca="false">IFERROR(INDEX('Semrush Data'!$A$1:$Z$20000,MATCH(A3165,'Semrush Data'!$A$1:$A$20000,0),MATCH("Intent",'Semrush Data'!$A$1:$Z$1,0)),"")</f>
        <v/>
      </c>
    </row>
    <row r="3166" customFormat="false" ht="15" hidden="false" customHeight="true" outlineLevel="0" collapsed="false">
      <c r="A3166" s="7" t="s">
        <v>7818</v>
      </c>
      <c r="B3166" s="7" t="s">
        <v>6820</v>
      </c>
      <c r="C3166" s="7" t="n">
        <v>3</v>
      </c>
      <c r="D3166" s="7" t="n">
        <v>32</v>
      </c>
      <c r="E3166" s="7" t="n">
        <v>1</v>
      </c>
      <c r="F3166" s="7" t="s">
        <v>6286</v>
      </c>
      <c r="G3166" s="12" t="str">
        <f aca="false">IFERROR(INDEX('Semrush Data'!$A$1:$Z$20000,MATCH(A3166,'Semrush Data'!$A$1:$A$20000,0),MATCH("Volume",'Semrush Data'!$A$1:$Z$1,0)),"")</f>
        <v/>
      </c>
      <c r="H3166" s="7" t="str">
        <f aca="false">IFERROR(INDEX('Semrush Data'!$A$1:$Z$20000,MATCH(A3166,'Semrush Data'!$A$1:$A$20000,0),MATCH("Keyword Difficulty*",'Semrush Data'!$A$1:$Z$1,0)),"")</f>
        <v/>
      </c>
      <c r="I3166" s="13" t="str">
        <f aca="false">IFERROR(INDEX('Semrush Data'!$A$1:$Z$20000,MATCH(A3166,'Semrush Data'!$A$1:$A$20000,0),MATCH("CPC*",'Semrush Data'!$A$1:$Z$1,0)),"")</f>
        <v/>
      </c>
      <c r="J3166" s="7" t="str">
        <f aca="false">IFERROR(INDEX('Semrush Data'!$A$1:$Z$20000,MATCH(A3166,'Semrush Data'!$A$1:$A$20000,0),MATCH("Intent",'Semrush Data'!$A$1:$Z$1,0)),"")</f>
        <v/>
      </c>
    </row>
    <row r="3167" customFormat="false" ht="15" hidden="false" customHeight="true" outlineLevel="0" collapsed="false">
      <c r="A3167" s="7" t="s">
        <v>7819</v>
      </c>
      <c r="B3167" s="7" t="s">
        <v>6820</v>
      </c>
      <c r="C3167" s="7" t="n">
        <v>3</v>
      </c>
      <c r="D3167" s="7" t="n">
        <v>32</v>
      </c>
      <c r="E3167" s="7" t="n">
        <v>1</v>
      </c>
      <c r="F3167" s="7" t="s">
        <v>6380</v>
      </c>
      <c r="G3167" s="12" t="str">
        <f aca="false">IFERROR(INDEX('Semrush Data'!$A$1:$Z$20000,MATCH(A3167,'Semrush Data'!$A$1:$A$20000,0),MATCH("Volume",'Semrush Data'!$A$1:$Z$1,0)),"")</f>
        <v/>
      </c>
      <c r="H3167" s="7" t="str">
        <f aca="false">IFERROR(INDEX('Semrush Data'!$A$1:$Z$20000,MATCH(A3167,'Semrush Data'!$A$1:$A$20000,0),MATCH("Keyword Difficulty*",'Semrush Data'!$A$1:$Z$1,0)),"")</f>
        <v/>
      </c>
      <c r="I3167" s="13" t="str">
        <f aca="false">IFERROR(INDEX('Semrush Data'!$A$1:$Z$20000,MATCH(A3167,'Semrush Data'!$A$1:$A$20000,0),MATCH("CPC*",'Semrush Data'!$A$1:$Z$1,0)),"")</f>
        <v/>
      </c>
      <c r="J3167" s="7" t="str">
        <f aca="false">IFERROR(INDEX('Semrush Data'!$A$1:$Z$20000,MATCH(A3167,'Semrush Data'!$A$1:$A$20000,0),MATCH("Intent",'Semrush Data'!$A$1:$Z$1,0)),"")</f>
        <v/>
      </c>
    </row>
    <row r="3168" customFormat="false" ht="15" hidden="false" customHeight="true" outlineLevel="0" collapsed="false">
      <c r="A3168" s="7" t="s">
        <v>7820</v>
      </c>
      <c r="B3168" s="7" t="s">
        <v>6820</v>
      </c>
      <c r="C3168" s="7" t="n">
        <v>3</v>
      </c>
      <c r="D3168" s="7" t="n">
        <v>32</v>
      </c>
      <c r="E3168" s="7" t="n">
        <v>1</v>
      </c>
      <c r="F3168" s="7" t="s">
        <v>6380</v>
      </c>
      <c r="G3168" s="12" t="str">
        <f aca="false">IFERROR(INDEX('Semrush Data'!$A$1:$Z$20000,MATCH(A3168,'Semrush Data'!$A$1:$A$20000,0),MATCH("Volume",'Semrush Data'!$A$1:$Z$1,0)),"")</f>
        <v/>
      </c>
      <c r="H3168" s="7" t="str">
        <f aca="false">IFERROR(INDEX('Semrush Data'!$A$1:$Z$20000,MATCH(A3168,'Semrush Data'!$A$1:$A$20000,0),MATCH("Keyword Difficulty*",'Semrush Data'!$A$1:$Z$1,0)),"")</f>
        <v/>
      </c>
      <c r="I3168" s="13" t="str">
        <f aca="false">IFERROR(INDEX('Semrush Data'!$A$1:$Z$20000,MATCH(A3168,'Semrush Data'!$A$1:$A$20000,0),MATCH("CPC*",'Semrush Data'!$A$1:$Z$1,0)),"")</f>
        <v/>
      </c>
      <c r="J3168" s="7" t="str">
        <f aca="false">IFERROR(INDEX('Semrush Data'!$A$1:$Z$20000,MATCH(A3168,'Semrush Data'!$A$1:$A$20000,0),MATCH("Intent",'Semrush Data'!$A$1:$Z$1,0)),"")</f>
        <v/>
      </c>
    </row>
    <row r="3169" customFormat="false" ht="15" hidden="false" customHeight="true" outlineLevel="0" collapsed="false">
      <c r="A3169" s="7" t="s">
        <v>7821</v>
      </c>
      <c r="B3169" s="7" t="s">
        <v>6820</v>
      </c>
      <c r="C3169" s="7" t="n">
        <v>3</v>
      </c>
      <c r="D3169" s="7" t="n">
        <v>32</v>
      </c>
      <c r="E3169" s="7" t="n">
        <v>1</v>
      </c>
      <c r="F3169" s="7" t="s">
        <v>6380</v>
      </c>
      <c r="G3169" s="12" t="str">
        <f aca="false">IFERROR(INDEX('Semrush Data'!$A$1:$Z$20000,MATCH(A3169,'Semrush Data'!$A$1:$A$20000,0),MATCH("Volume",'Semrush Data'!$A$1:$Z$1,0)),"")</f>
        <v/>
      </c>
      <c r="H3169" s="7" t="str">
        <f aca="false">IFERROR(INDEX('Semrush Data'!$A$1:$Z$20000,MATCH(A3169,'Semrush Data'!$A$1:$A$20000,0),MATCH("Keyword Difficulty*",'Semrush Data'!$A$1:$Z$1,0)),"")</f>
        <v/>
      </c>
      <c r="I3169" s="13" t="str">
        <f aca="false">IFERROR(INDEX('Semrush Data'!$A$1:$Z$20000,MATCH(A3169,'Semrush Data'!$A$1:$A$20000,0),MATCH("CPC*",'Semrush Data'!$A$1:$Z$1,0)),"")</f>
        <v/>
      </c>
      <c r="J3169" s="7" t="str">
        <f aca="false">IFERROR(INDEX('Semrush Data'!$A$1:$Z$20000,MATCH(A3169,'Semrush Data'!$A$1:$A$20000,0),MATCH("Intent",'Semrush Data'!$A$1:$Z$1,0)),"")</f>
        <v/>
      </c>
    </row>
    <row r="3170" customFormat="false" ht="15" hidden="false" customHeight="true" outlineLevel="0" collapsed="false">
      <c r="A3170" s="7" t="s">
        <v>7822</v>
      </c>
      <c r="B3170" s="7" t="s">
        <v>6820</v>
      </c>
      <c r="C3170" s="7" t="n">
        <v>3</v>
      </c>
      <c r="D3170" s="7" t="n">
        <v>32</v>
      </c>
      <c r="E3170" s="7" t="n">
        <v>1</v>
      </c>
      <c r="F3170" s="7" t="s">
        <v>6380</v>
      </c>
      <c r="G3170" s="12" t="str">
        <f aca="false">IFERROR(INDEX('Semrush Data'!$A$1:$Z$20000,MATCH(A3170,'Semrush Data'!$A$1:$A$20000,0),MATCH("Volume",'Semrush Data'!$A$1:$Z$1,0)),"")</f>
        <v/>
      </c>
      <c r="H3170" s="7" t="str">
        <f aca="false">IFERROR(INDEX('Semrush Data'!$A$1:$Z$20000,MATCH(A3170,'Semrush Data'!$A$1:$A$20000,0),MATCH("Keyword Difficulty*",'Semrush Data'!$A$1:$Z$1,0)),"")</f>
        <v/>
      </c>
      <c r="I3170" s="13" t="str">
        <f aca="false">IFERROR(INDEX('Semrush Data'!$A$1:$Z$20000,MATCH(A3170,'Semrush Data'!$A$1:$A$20000,0),MATCH("CPC*",'Semrush Data'!$A$1:$Z$1,0)),"")</f>
        <v/>
      </c>
      <c r="J3170" s="7" t="str">
        <f aca="false">IFERROR(INDEX('Semrush Data'!$A$1:$Z$20000,MATCH(A3170,'Semrush Data'!$A$1:$A$20000,0),MATCH("Intent",'Semrush Data'!$A$1:$Z$1,0)),"")</f>
        <v/>
      </c>
    </row>
    <row r="3171" customFormat="false" ht="15" hidden="false" customHeight="true" outlineLevel="0" collapsed="false">
      <c r="A3171" s="7" t="s">
        <v>7823</v>
      </c>
      <c r="B3171" s="7" t="s">
        <v>6820</v>
      </c>
      <c r="C3171" s="7" t="n">
        <v>3</v>
      </c>
      <c r="D3171" s="7" t="n">
        <v>32</v>
      </c>
      <c r="E3171" s="7" t="n">
        <v>1</v>
      </c>
      <c r="F3171" s="7" t="s">
        <v>6380</v>
      </c>
      <c r="G3171" s="12" t="str">
        <f aca="false">IFERROR(INDEX('Semrush Data'!$A$1:$Z$20000,MATCH(A3171,'Semrush Data'!$A$1:$A$20000,0),MATCH("Volume",'Semrush Data'!$A$1:$Z$1,0)),"")</f>
        <v/>
      </c>
      <c r="H3171" s="7" t="str">
        <f aca="false">IFERROR(INDEX('Semrush Data'!$A$1:$Z$20000,MATCH(A3171,'Semrush Data'!$A$1:$A$20000,0),MATCH("Keyword Difficulty*",'Semrush Data'!$A$1:$Z$1,0)),"")</f>
        <v/>
      </c>
      <c r="I3171" s="13" t="str">
        <f aca="false">IFERROR(INDEX('Semrush Data'!$A$1:$Z$20000,MATCH(A3171,'Semrush Data'!$A$1:$A$20000,0),MATCH("CPC*",'Semrush Data'!$A$1:$Z$1,0)),"")</f>
        <v/>
      </c>
      <c r="J3171" s="7" t="str">
        <f aca="false">IFERROR(INDEX('Semrush Data'!$A$1:$Z$20000,MATCH(A3171,'Semrush Data'!$A$1:$A$20000,0),MATCH("Intent",'Semrush Data'!$A$1:$Z$1,0)),"")</f>
        <v/>
      </c>
    </row>
    <row r="3172" customFormat="false" ht="15" hidden="false" customHeight="true" outlineLevel="0" collapsed="false">
      <c r="A3172" s="7" t="s">
        <v>7824</v>
      </c>
      <c r="B3172" s="7" t="s">
        <v>6820</v>
      </c>
      <c r="C3172" s="7" t="n">
        <v>3</v>
      </c>
      <c r="D3172" s="7" t="n">
        <v>32</v>
      </c>
      <c r="E3172" s="7" t="n">
        <v>1</v>
      </c>
      <c r="F3172" s="7" t="s">
        <v>6358</v>
      </c>
      <c r="G3172" s="12" t="str">
        <f aca="false">IFERROR(INDEX('Semrush Data'!$A$1:$Z$20000,MATCH(A3172,'Semrush Data'!$A$1:$A$20000,0),MATCH("Volume",'Semrush Data'!$A$1:$Z$1,0)),"")</f>
        <v/>
      </c>
      <c r="H3172" s="7" t="str">
        <f aca="false">IFERROR(INDEX('Semrush Data'!$A$1:$Z$20000,MATCH(A3172,'Semrush Data'!$A$1:$A$20000,0),MATCH("Keyword Difficulty*",'Semrush Data'!$A$1:$Z$1,0)),"")</f>
        <v/>
      </c>
      <c r="I3172" s="13" t="str">
        <f aca="false">IFERROR(INDEX('Semrush Data'!$A$1:$Z$20000,MATCH(A3172,'Semrush Data'!$A$1:$A$20000,0),MATCH("CPC*",'Semrush Data'!$A$1:$Z$1,0)),"")</f>
        <v/>
      </c>
      <c r="J3172" s="7" t="str">
        <f aca="false">IFERROR(INDEX('Semrush Data'!$A$1:$Z$20000,MATCH(A3172,'Semrush Data'!$A$1:$A$20000,0),MATCH("Intent",'Semrush Data'!$A$1:$Z$1,0)),"")</f>
        <v/>
      </c>
    </row>
    <row r="3173" customFormat="false" ht="15" hidden="false" customHeight="true" outlineLevel="0" collapsed="false">
      <c r="A3173" s="7" t="s">
        <v>7825</v>
      </c>
      <c r="B3173" s="7" t="s">
        <v>6820</v>
      </c>
      <c r="C3173" s="7" t="n">
        <v>3</v>
      </c>
      <c r="D3173" s="7" t="n">
        <v>32</v>
      </c>
      <c r="E3173" s="7" t="n">
        <v>1</v>
      </c>
      <c r="F3173" s="7" t="s">
        <v>6358</v>
      </c>
      <c r="G3173" s="12" t="str">
        <f aca="false">IFERROR(INDEX('Semrush Data'!$A$1:$Z$20000,MATCH(A3173,'Semrush Data'!$A$1:$A$20000,0),MATCH("Volume",'Semrush Data'!$A$1:$Z$1,0)),"")</f>
        <v/>
      </c>
      <c r="H3173" s="7" t="str">
        <f aca="false">IFERROR(INDEX('Semrush Data'!$A$1:$Z$20000,MATCH(A3173,'Semrush Data'!$A$1:$A$20000,0),MATCH("Keyword Difficulty*",'Semrush Data'!$A$1:$Z$1,0)),"")</f>
        <v/>
      </c>
      <c r="I3173" s="13" t="str">
        <f aca="false">IFERROR(INDEX('Semrush Data'!$A$1:$Z$20000,MATCH(A3173,'Semrush Data'!$A$1:$A$20000,0),MATCH("CPC*",'Semrush Data'!$A$1:$Z$1,0)),"")</f>
        <v/>
      </c>
      <c r="J3173" s="7" t="str">
        <f aca="false">IFERROR(INDEX('Semrush Data'!$A$1:$Z$20000,MATCH(A3173,'Semrush Data'!$A$1:$A$20000,0),MATCH("Intent",'Semrush Data'!$A$1:$Z$1,0)),"")</f>
        <v/>
      </c>
    </row>
    <row r="3174" customFormat="false" ht="15" hidden="false" customHeight="true" outlineLevel="0" collapsed="false">
      <c r="A3174" s="7" t="s">
        <v>7826</v>
      </c>
      <c r="B3174" s="7" t="s">
        <v>6820</v>
      </c>
      <c r="C3174" s="7" t="n">
        <v>3</v>
      </c>
      <c r="D3174" s="7" t="n">
        <v>32</v>
      </c>
      <c r="E3174" s="7" t="n">
        <v>1</v>
      </c>
      <c r="F3174" s="7" t="s">
        <v>6358</v>
      </c>
      <c r="G3174" s="12" t="str">
        <f aca="false">IFERROR(INDEX('Semrush Data'!$A$1:$Z$20000,MATCH(A3174,'Semrush Data'!$A$1:$A$20000,0),MATCH("Volume",'Semrush Data'!$A$1:$Z$1,0)),"")</f>
        <v/>
      </c>
      <c r="H3174" s="7" t="str">
        <f aca="false">IFERROR(INDEX('Semrush Data'!$A$1:$Z$20000,MATCH(A3174,'Semrush Data'!$A$1:$A$20000,0),MATCH("Keyword Difficulty*",'Semrush Data'!$A$1:$Z$1,0)),"")</f>
        <v/>
      </c>
      <c r="I3174" s="13" t="str">
        <f aca="false">IFERROR(INDEX('Semrush Data'!$A$1:$Z$20000,MATCH(A3174,'Semrush Data'!$A$1:$A$20000,0),MATCH("CPC*",'Semrush Data'!$A$1:$Z$1,0)),"")</f>
        <v/>
      </c>
      <c r="J3174" s="7" t="str">
        <f aca="false">IFERROR(INDEX('Semrush Data'!$A$1:$Z$20000,MATCH(A3174,'Semrush Data'!$A$1:$A$20000,0),MATCH("Intent",'Semrush Data'!$A$1:$Z$1,0)),"")</f>
        <v/>
      </c>
    </row>
    <row r="3175" customFormat="false" ht="15" hidden="false" customHeight="true" outlineLevel="0" collapsed="false">
      <c r="A3175" s="7" t="s">
        <v>7827</v>
      </c>
      <c r="B3175" s="7" t="s">
        <v>6820</v>
      </c>
      <c r="C3175" s="7" t="n">
        <v>3</v>
      </c>
      <c r="D3175" s="7" t="n">
        <v>32</v>
      </c>
      <c r="E3175" s="7" t="n">
        <v>1</v>
      </c>
      <c r="F3175" s="7" t="s">
        <v>6358</v>
      </c>
      <c r="G3175" s="12" t="str">
        <f aca="false">IFERROR(INDEX('Semrush Data'!$A$1:$Z$20000,MATCH(A3175,'Semrush Data'!$A$1:$A$20000,0),MATCH("Volume",'Semrush Data'!$A$1:$Z$1,0)),"")</f>
        <v/>
      </c>
      <c r="H3175" s="7" t="str">
        <f aca="false">IFERROR(INDEX('Semrush Data'!$A$1:$Z$20000,MATCH(A3175,'Semrush Data'!$A$1:$A$20000,0),MATCH("Keyword Difficulty*",'Semrush Data'!$A$1:$Z$1,0)),"")</f>
        <v/>
      </c>
      <c r="I3175" s="13" t="str">
        <f aca="false">IFERROR(INDEX('Semrush Data'!$A$1:$Z$20000,MATCH(A3175,'Semrush Data'!$A$1:$A$20000,0),MATCH("CPC*",'Semrush Data'!$A$1:$Z$1,0)),"")</f>
        <v/>
      </c>
      <c r="J3175" s="7" t="str">
        <f aca="false">IFERROR(INDEX('Semrush Data'!$A$1:$Z$20000,MATCH(A3175,'Semrush Data'!$A$1:$A$20000,0),MATCH("Intent",'Semrush Data'!$A$1:$Z$1,0)),"")</f>
        <v/>
      </c>
    </row>
    <row r="3176" customFormat="false" ht="15" hidden="false" customHeight="true" outlineLevel="0" collapsed="false">
      <c r="A3176" s="7" t="s">
        <v>6408</v>
      </c>
      <c r="B3176" s="7" t="s">
        <v>6820</v>
      </c>
      <c r="C3176" s="7" t="n">
        <v>3</v>
      </c>
      <c r="D3176" s="7" t="n">
        <v>32</v>
      </c>
      <c r="E3176" s="7" t="n">
        <v>1</v>
      </c>
      <c r="F3176" s="7" t="s">
        <v>6401</v>
      </c>
      <c r="G3176" s="12" t="str">
        <f aca="false">IFERROR(INDEX('Semrush Data'!$A$1:$Z$20000,MATCH(A3176,'Semrush Data'!$A$1:$A$20000,0),MATCH("Volume",'Semrush Data'!$A$1:$Z$1,0)),"")</f>
        <v/>
      </c>
      <c r="H3176" s="7" t="str">
        <f aca="false">IFERROR(INDEX('Semrush Data'!$A$1:$Z$20000,MATCH(A3176,'Semrush Data'!$A$1:$A$20000,0),MATCH("Keyword Difficulty*",'Semrush Data'!$A$1:$Z$1,0)),"")</f>
        <v/>
      </c>
      <c r="I3176" s="13" t="str">
        <f aca="false">IFERROR(INDEX('Semrush Data'!$A$1:$Z$20000,MATCH(A3176,'Semrush Data'!$A$1:$A$20000,0),MATCH("CPC*",'Semrush Data'!$A$1:$Z$1,0)),"")</f>
        <v/>
      </c>
      <c r="J3176" s="7" t="str">
        <f aca="false">IFERROR(INDEX('Semrush Data'!$A$1:$Z$20000,MATCH(A3176,'Semrush Data'!$A$1:$A$20000,0),MATCH("Intent",'Semrush Data'!$A$1:$Z$1,0)),"")</f>
        <v/>
      </c>
    </row>
    <row r="3177" customFormat="false" ht="15" hidden="false" customHeight="true" outlineLevel="0" collapsed="false">
      <c r="A3177" s="7" t="s">
        <v>7828</v>
      </c>
      <c r="B3177" s="7" t="s">
        <v>6820</v>
      </c>
      <c r="C3177" s="7" t="n">
        <v>3</v>
      </c>
      <c r="D3177" s="7" t="n">
        <v>32</v>
      </c>
      <c r="E3177" s="7" t="n">
        <v>1</v>
      </c>
      <c r="F3177" s="7" t="s">
        <v>474</v>
      </c>
      <c r="G3177" s="12" t="str">
        <f aca="false">IFERROR(INDEX('Semrush Data'!$A$1:$Z$20000,MATCH(A3177,'Semrush Data'!$A$1:$A$20000,0),MATCH("Volume",'Semrush Data'!$A$1:$Z$1,0)),"")</f>
        <v/>
      </c>
      <c r="H3177" s="7" t="str">
        <f aca="false">IFERROR(INDEX('Semrush Data'!$A$1:$Z$20000,MATCH(A3177,'Semrush Data'!$A$1:$A$20000,0),MATCH("Keyword Difficulty*",'Semrush Data'!$A$1:$Z$1,0)),"")</f>
        <v/>
      </c>
      <c r="I3177" s="13" t="str">
        <f aca="false">IFERROR(INDEX('Semrush Data'!$A$1:$Z$20000,MATCH(A3177,'Semrush Data'!$A$1:$A$20000,0),MATCH("CPC*",'Semrush Data'!$A$1:$Z$1,0)),"")</f>
        <v/>
      </c>
      <c r="J3177" s="7" t="str">
        <f aca="false">IFERROR(INDEX('Semrush Data'!$A$1:$Z$20000,MATCH(A3177,'Semrush Data'!$A$1:$A$20000,0),MATCH("Intent",'Semrush Data'!$A$1:$Z$1,0)),"")</f>
        <v/>
      </c>
    </row>
    <row r="3178" customFormat="false" ht="15" hidden="false" customHeight="true" outlineLevel="0" collapsed="false">
      <c r="A3178" s="7" t="s">
        <v>7829</v>
      </c>
      <c r="B3178" s="7" t="s">
        <v>6820</v>
      </c>
      <c r="C3178" s="7" t="n">
        <v>3</v>
      </c>
      <c r="D3178" s="7" t="n">
        <v>32</v>
      </c>
      <c r="E3178" s="7" t="n">
        <v>1</v>
      </c>
      <c r="F3178" s="7" t="s">
        <v>474</v>
      </c>
      <c r="G3178" s="12" t="str">
        <f aca="false">IFERROR(INDEX('Semrush Data'!$A$1:$Z$20000,MATCH(A3178,'Semrush Data'!$A$1:$A$20000,0),MATCH("Volume",'Semrush Data'!$A$1:$Z$1,0)),"")</f>
        <v/>
      </c>
      <c r="H3178" s="7" t="str">
        <f aca="false">IFERROR(INDEX('Semrush Data'!$A$1:$Z$20000,MATCH(A3178,'Semrush Data'!$A$1:$A$20000,0),MATCH("Keyword Difficulty*",'Semrush Data'!$A$1:$Z$1,0)),"")</f>
        <v/>
      </c>
      <c r="I3178" s="13" t="str">
        <f aca="false">IFERROR(INDEX('Semrush Data'!$A$1:$Z$20000,MATCH(A3178,'Semrush Data'!$A$1:$A$20000,0),MATCH("CPC*",'Semrush Data'!$A$1:$Z$1,0)),"")</f>
        <v/>
      </c>
      <c r="J3178" s="7" t="str">
        <f aca="false">IFERROR(INDEX('Semrush Data'!$A$1:$Z$20000,MATCH(A3178,'Semrush Data'!$A$1:$A$20000,0),MATCH("Intent",'Semrush Data'!$A$1:$Z$1,0)),"")</f>
        <v/>
      </c>
    </row>
    <row r="3179" customFormat="false" ht="15" hidden="false" customHeight="true" outlineLevel="0" collapsed="false">
      <c r="A3179" s="7" t="s">
        <v>7830</v>
      </c>
      <c r="B3179" s="7" t="s">
        <v>6820</v>
      </c>
      <c r="C3179" s="7" t="n">
        <v>3</v>
      </c>
      <c r="D3179" s="7" t="n">
        <v>32</v>
      </c>
      <c r="E3179" s="7" t="n">
        <v>1</v>
      </c>
      <c r="F3179" s="7" t="s">
        <v>474</v>
      </c>
      <c r="G3179" s="12" t="str">
        <f aca="false">IFERROR(INDEX('Semrush Data'!$A$1:$Z$20000,MATCH(A3179,'Semrush Data'!$A$1:$A$20000,0),MATCH("Volume",'Semrush Data'!$A$1:$Z$1,0)),"")</f>
        <v/>
      </c>
      <c r="H3179" s="7" t="str">
        <f aca="false">IFERROR(INDEX('Semrush Data'!$A$1:$Z$20000,MATCH(A3179,'Semrush Data'!$A$1:$A$20000,0),MATCH("Keyword Difficulty*",'Semrush Data'!$A$1:$Z$1,0)),"")</f>
        <v/>
      </c>
      <c r="I3179" s="13" t="str">
        <f aca="false">IFERROR(INDEX('Semrush Data'!$A$1:$Z$20000,MATCH(A3179,'Semrush Data'!$A$1:$A$20000,0),MATCH("CPC*",'Semrush Data'!$A$1:$Z$1,0)),"")</f>
        <v/>
      </c>
      <c r="J3179" s="7" t="str">
        <f aca="false">IFERROR(INDEX('Semrush Data'!$A$1:$Z$20000,MATCH(A3179,'Semrush Data'!$A$1:$A$20000,0),MATCH("Intent",'Semrush Data'!$A$1:$Z$1,0)),"")</f>
        <v/>
      </c>
    </row>
    <row r="3180" customFormat="false" ht="15" hidden="false" customHeight="true" outlineLevel="0" collapsed="false">
      <c r="A3180" s="7" t="s">
        <v>7831</v>
      </c>
      <c r="B3180" s="7" t="s">
        <v>6820</v>
      </c>
      <c r="C3180" s="7" t="n">
        <v>3</v>
      </c>
      <c r="D3180" s="7" t="n">
        <v>32</v>
      </c>
      <c r="E3180" s="7" t="n">
        <v>1</v>
      </c>
      <c r="F3180" s="7" t="s">
        <v>474</v>
      </c>
      <c r="G3180" s="12" t="str">
        <f aca="false">IFERROR(INDEX('Semrush Data'!$A$1:$Z$20000,MATCH(A3180,'Semrush Data'!$A$1:$A$20000,0),MATCH("Volume",'Semrush Data'!$A$1:$Z$1,0)),"")</f>
        <v/>
      </c>
      <c r="H3180" s="7" t="str">
        <f aca="false">IFERROR(INDEX('Semrush Data'!$A$1:$Z$20000,MATCH(A3180,'Semrush Data'!$A$1:$A$20000,0),MATCH("Keyword Difficulty*",'Semrush Data'!$A$1:$Z$1,0)),"")</f>
        <v/>
      </c>
      <c r="I3180" s="13" t="str">
        <f aca="false">IFERROR(INDEX('Semrush Data'!$A$1:$Z$20000,MATCH(A3180,'Semrush Data'!$A$1:$A$20000,0),MATCH("CPC*",'Semrush Data'!$A$1:$Z$1,0)),"")</f>
        <v/>
      </c>
      <c r="J3180" s="7" t="str">
        <f aca="false">IFERROR(INDEX('Semrush Data'!$A$1:$Z$20000,MATCH(A3180,'Semrush Data'!$A$1:$A$20000,0),MATCH("Intent",'Semrush Data'!$A$1:$Z$1,0)),"")</f>
        <v/>
      </c>
    </row>
    <row r="3181" customFormat="false" ht="15" hidden="false" customHeight="true" outlineLevel="0" collapsed="false">
      <c r="A3181" s="7" t="s">
        <v>7832</v>
      </c>
      <c r="B3181" s="7" t="s">
        <v>6820</v>
      </c>
      <c r="C3181" s="7" t="n">
        <v>3</v>
      </c>
      <c r="D3181" s="7" t="s">
        <v>6843</v>
      </c>
      <c r="E3181" s="7" t="n">
        <v>1</v>
      </c>
      <c r="F3181" s="7" t="s">
        <v>474</v>
      </c>
      <c r="G3181" s="12" t="str">
        <f aca="false">IFERROR(INDEX('Semrush Data'!$A$1:$Z$20000,MATCH(A3181,'Semrush Data'!$A$1:$A$20000,0),MATCH("Volume",'Semrush Data'!$A$1:$Z$1,0)),"")</f>
        <v/>
      </c>
      <c r="H3181" s="7" t="str">
        <f aca="false">IFERROR(INDEX('Semrush Data'!$A$1:$Z$20000,MATCH(A3181,'Semrush Data'!$A$1:$A$20000,0),MATCH("Keyword Difficulty*",'Semrush Data'!$A$1:$Z$1,0)),"")</f>
        <v/>
      </c>
      <c r="I3181" s="13" t="str">
        <f aca="false">IFERROR(INDEX('Semrush Data'!$A$1:$Z$20000,MATCH(A3181,'Semrush Data'!$A$1:$A$20000,0),MATCH("CPC*",'Semrush Data'!$A$1:$Z$1,0)),"")</f>
        <v/>
      </c>
      <c r="J3181" s="7" t="str">
        <f aca="false">IFERROR(INDEX('Semrush Data'!$A$1:$Z$20000,MATCH(A3181,'Semrush Data'!$A$1:$A$20000,0),MATCH("Intent",'Semrush Data'!$A$1:$Z$1,0)),"")</f>
        <v/>
      </c>
    </row>
    <row r="3182" customFormat="false" ht="15" hidden="false" customHeight="true" outlineLevel="0" collapsed="false">
      <c r="A3182" s="7" t="s">
        <v>7833</v>
      </c>
      <c r="B3182" s="7" t="s">
        <v>6820</v>
      </c>
      <c r="C3182" s="7" t="n">
        <v>3</v>
      </c>
      <c r="D3182" s="7" t="s">
        <v>6843</v>
      </c>
      <c r="E3182" s="7" t="n">
        <v>1</v>
      </c>
      <c r="F3182" s="7" t="s">
        <v>481</v>
      </c>
      <c r="G3182" s="12" t="str">
        <f aca="false">IFERROR(INDEX('Semrush Data'!$A$1:$Z$20000,MATCH(A3182,'Semrush Data'!$A$1:$A$20000,0),MATCH("Volume",'Semrush Data'!$A$1:$Z$1,0)),"")</f>
        <v/>
      </c>
      <c r="H3182" s="7" t="str">
        <f aca="false">IFERROR(INDEX('Semrush Data'!$A$1:$Z$20000,MATCH(A3182,'Semrush Data'!$A$1:$A$20000,0),MATCH("Keyword Difficulty*",'Semrush Data'!$A$1:$Z$1,0)),"")</f>
        <v/>
      </c>
      <c r="I3182" s="13" t="str">
        <f aca="false">IFERROR(INDEX('Semrush Data'!$A$1:$Z$20000,MATCH(A3182,'Semrush Data'!$A$1:$A$20000,0),MATCH("CPC*",'Semrush Data'!$A$1:$Z$1,0)),"")</f>
        <v/>
      </c>
      <c r="J3182" s="7" t="str">
        <f aca="false">IFERROR(INDEX('Semrush Data'!$A$1:$Z$20000,MATCH(A3182,'Semrush Data'!$A$1:$A$20000,0),MATCH("Intent",'Semrush Data'!$A$1:$Z$1,0)),"")</f>
        <v/>
      </c>
    </row>
    <row r="3183" customFormat="false" ht="15" hidden="false" customHeight="true" outlineLevel="0" collapsed="false">
      <c r="A3183" s="7" t="s">
        <v>7834</v>
      </c>
      <c r="B3183" s="7" t="s">
        <v>6820</v>
      </c>
      <c r="C3183" s="7" t="n">
        <v>3</v>
      </c>
      <c r="D3183" s="7" t="n">
        <v>32</v>
      </c>
      <c r="E3183" s="7" t="n">
        <v>1</v>
      </c>
      <c r="F3183" s="7" t="s">
        <v>481</v>
      </c>
      <c r="G3183" s="12" t="str">
        <f aca="false">IFERROR(INDEX('Semrush Data'!$A$1:$Z$20000,MATCH(A3183,'Semrush Data'!$A$1:$A$20000,0),MATCH("Volume",'Semrush Data'!$A$1:$Z$1,0)),"")</f>
        <v/>
      </c>
      <c r="H3183" s="7" t="str">
        <f aca="false">IFERROR(INDEX('Semrush Data'!$A$1:$Z$20000,MATCH(A3183,'Semrush Data'!$A$1:$A$20000,0),MATCH("Keyword Difficulty*",'Semrush Data'!$A$1:$Z$1,0)),"")</f>
        <v/>
      </c>
      <c r="I3183" s="13" t="str">
        <f aca="false">IFERROR(INDEX('Semrush Data'!$A$1:$Z$20000,MATCH(A3183,'Semrush Data'!$A$1:$A$20000,0),MATCH("CPC*",'Semrush Data'!$A$1:$Z$1,0)),"")</f>
        <v/>
      </c>
      <c r="J3183" s="7" t="str">
        <f aca="false">IFERROR(INDEX('Semrush Data'!$A$1:$Z$20000,MATCH(A3183,'Semrush Data'!$A$1:$A$20000,0),MATCH("Intent",'Semrush Data'!$A$1:$Z$1,0)),"")</f>
        <v/>
      </c>
    </row>
    <row r="3184" customFormat="false" ht="15" hidden="false" customHeight="true" outlineLevel="0" collapsed="false">
      <c r="A3184" s="7" t="s">
        <v>7835</v>
      </c>
      <c r="B3184" s="7" t="s">
        <v>6820</v>
      </c>
      <c r="C3184" s="7" t="n">
        <v>3</v>
      </c>
      <c r="D3184" s="7" t="n">
        <v>32</v>
      </c>
      <c r="E3184" s="7" t="n">
        <v>1</v>
      </c>
      <c r="F3184" s="7" t="s">
        <v>489</v>
      </c>
      <c r="G3184" s="12" t="str">
        <f aca="false">IFERROR(INDEX('Semrush Data'!$A$1:$Z$20000,MATCH(A3184,'Semrush Data'!$A$1:$A$20000,0),MATCH("Volume",'Semrush Data'!$A$1:$Z$1,0)),"")</f>
        <v/>
      </c>
      <c r="H3184" s="7" t="str">
        <f aca="false">IFERROR(INDEX('Semrush Data'!$A$1:$Z$20000,MATCH(A3184,'Semrush Data'!$A$1:$A$20000,0),MATCH("Keyword Difficulty*",'Semrush Data'!$A$1:$Z$1,0)),"")</f>
        <v/>
      </c>
      <c r="I3184" s="13" t="str">
        <f aca="false">IFERROR(INDEX('Semrush Data'!$A$1:$Z$20000,MATCH(A3184,'Semrush Data'!$A$1:$A$20000,0),MATCH("CPC*",'Semrush Data'!$A$1:$Z$1,0)),"")</f>
        <v/>
      </c>
      <c r="J3184" s="7" t="str">
        <f aca="false">IFERROR(INDEX('Semrush Data'!$A$1:$Z$20000,MATCH(A3184,'Semrush Data'!$A$1:$A$20000,0),MATCH("Intent",'Semrush Data'!$A$1:$Z$1,0)),"")</f>
        <v/>
      </c>
    </row>
    <row r="3185" customFormat="false" ht="15" hidden="false" customHeight="true" outlineLevel="0" collapsed="false">
      <c r="A3185" s="7" t="s">
        <v>7836</v>
      </c>
      <c r="B3185" s="7" t="s">
        <v>6820</v>
      </c>
      <c r="C3185" s="7" t="n">
        <v>3</v>
      </c>
      <c r="D3185" s="7" t="s">
        <v>6843</v>
      </c>
      <c r="E3185" s="7" t="n">
        <v>1</v>
      </c>
      <c r="F3185" s="7" t="s">
        <v>489</v>
      </c>
      <c r="G3185" s="12" t="str">
        <f aca="false">IFERROR(INDEX('Semrush Data'!$A$1:$Z$20000,MATCH(A3185,'Semrush Data'!$A$1:$A$20000,0),MATCH("Volume",'Semrush Data'!$A$1:$Z$1,0)),"")</f>
        <v/>
      </c>
      <c r="H3185" s="7" t="str">
        <f aca="false">IFERROR(INDEX('Semrush Data'!$A$1:$Z$20000,MATCH(A3185,'Semrush Data'!$A$1:$A$20000,0),MATCH("Keyword Difficulty*",'Semrush Data'!$A$1:$Z$1,0)),"")</f>
        <v/>
      </c>
      <c r="I3185" s="13" t="str">
        <f aca="false">IFERROR(INDEX('Semrush Data'!$A$1:$Z$20000,MATCH(A3185,'Semrush Data'!$A$1:$A$20000,0),MATCH("CPC*",'Semrush Data'!$A$1:$Z$1,0)),"")</f>
        <v/>
      </c>
      <c r="J3185" s="7" t="str">
        <f aca="false">IFERROR(INDEX('Semrush Data'!$A$1:$Z$20000,MATCH(A3185,'Semrush Data'!$A$1:$A$20000,0),MATCH("Intent",'Semrush Data'!$A$1:$Z$1,0)),"")</f>
        <v/>
      </c>
    </row>
    <row r="3186" customFormat="false" ht="15" hidden="false" customHeight="true" outlineLevel="0" collapsed="false">
      <c r="A3186" s="7" t="s">
        <v>508</v>
      </c>
      <c r="B3186" s="7" t="s">
        <v>6820</v>
      </c>
      <c r="C3186" s="7" t="n">
        <v>3</v>
      </c>
      <c r="D3186" s="7" t="s">
        <v>6843</v>
      </c>
      <c r="E3186" s="7" t="n">
        <v>1</v>
      </c>
      <c r="F3186" s="7" t="s">
        <v>499</v>
      </c>
      <c r="G3186" s="12" t="str">
        <f aca="false">IFERROR(INDEX('Semrush Data'!$A$1:$Z$20000,MATCH(A3186,'Semrush Data'!$A$1:$A$20000,0),MATCH("Volume",'Semrush Data'!$A$1:$Z$1,0)),"")</f>
        <v/>
      </c>
      <c r="H3186" s="7" t="str">
        <f aca="false">IFERROR(INDEX('Semrush Data'!$A$1:$Z$20000,MATCH(A3186,'Semrush Data'!$A$1:$A$20000,0),MATCH("Keyword Difficulty*",'Semrush Data'!$A$1:$Z$1,0)),"")</f>
        <v/>
      </c>
      <c r="I3186" s="13" t="str">
        <f aca="false">IFERROR(INDEX('Semrush Data'!$A$1:$Z$20000,MATCH(A3186,'Semrush Data'!$A$1:$A$20000,0),MATCH("CPC*",'Semrush Data'!$A$1:$Z$1,0)),"")</f>
        <v/>
      </c>
      <c r="J3186" s="7" t="str">
        <f aca="false">IFERROR(INDEX('Semrush Data'!$A$1:$Z$20000,MATCH(A3186,'Semrush Data'!$A$1:$A$20000,0),MATCH("Intent",'Semrush Data'!$A$1:$Z$1,0)),"")</f>
        <v/>
      </c>
    </row>
    <row r="3187" customFormat="false" ht="15" hidden="false" customHeight="true" outlineLevel="0" collapsed="false">
      <c r="A3187" s="7" t="s">
        <v>7837</v>
      </c>
      <c r="B3187" s="7" t="s">
        <v>6820</v>
      </c>
      <c r="C3187" s="7" t="n">
        <v>3</v>
      </c>
      <c r="D3187" s="7" t="n">
        <v>32</v>
      </c>
      <c r="E3187" s="7" t="n">
        <v>1</v>
      </c>
      <c r="F3187" s="7" t="s">
        <v>410</v>
      </c>
      <c r="G3187" s="12" t="str">
        <f aca="false">IFERROR(INDEX('Semrush Data'!$A$1:$Z$20000,MATCH(A3187,'Semrush Data'!$A$1:$A$20000,0),MATCH("Volume",'Semrush Data'!$A$1:$Z$1,0)),"")</f>
        <v/>
      </c>
      <c r="H3187" s="7" t="str">
        <f aca="false">IFERROR(INDEX('Semrush Data'!$A$1:$Z$20000,MATCH(A3187,'Semrush Data'!$A$1:$A$20000,0),MATCH("Keyword Difficulty*",'Semrush Data'!$A$1:$Z$1,0)),"")</f>
        <v/>
      </c>
      <c r="I3187" s="13" t="str">
        <f aca="false">IFERROR(INDEX('Semrush Data'!$A$1:$Z$20000,MATCH(A3187,'Semrush Data'!$A$1:$A$20000,0),MATCH("CPC*",'Semrush Data'!$A$1:$Z$1,0)),"")</f>
        <v/>
      </c>
      <c r="J3187" s="7" t="str">
        <f aca="false">IFERROR(INDEX('Semrush Data'!$A$1:$Z$20000,MATCH(A3187,'Semrush Data'!$A$1:$A$20000,0),MATCH("Intent",'Semrush Data'!$A$1:$Z$1,0)),"")</f>
        <v/>
      </c>
    </row>
    <row r="3188" customFormat="false" ht="15" hidden="false" customHeight="true" outlineLevel="0" collapsed="false">
      <c r="A3188" s="7" t="s">
        <v>7838</v>
      </c>
      <c r="B3188" s="7" t="s">
        <v>6820</v>
      </c>
      <c r="C3188" s="7" t="n">
        <v>3</v>
      </c>
      <c r="D3188" s="7" t="s">
        <v>6843</v>
      </c>
      <c r="E3188" s="7" t="n">
        <v>1</v>
      </c>
      <c r="F3188" s="7" t="s">
        <v>650</v>
      </c>
      <c r="G3188" s="12" t="str">
        <f aca="false">IFERROR(INDEX('Semrush Data'!$A$1:$Z$20000,MATCH(A3188,'Semrush Data'!$A$1:$A$20000,0),MATCH("Volume",'Semrush Data'!$A$1:$Z$1,0)),"")</f>
        <v/>
      </c>
      <c r="H3188" s="7" t="str">
        <f aca="false">IFERROR(INDEX('Semrush Data'!$A$1:$Z$20000,MATCH(A3188,'Semrush Data'!$A$1:$A$20000,0),MATCH("Keyword Difficulty*",'Semrush Data'!$A$1:$Z$1,0)),"")</f>
        <v/>
      </c>
      <c r="I3188" s="13" t="str">
        <f aca="false">IFERROR(INDEX('Semrush Data'!$A$1:$Z$20000,MATCH(A3188,'Semrush Data'!$A$1:$A$20000,0),MATCH("CPC*",'Semrush Data'!$A$1:$Z$1,0)),"")</f>
        <v/>
      </c>
      <c r="J3188" s="7" t="str">
        <f aca="false">IFERROR(INDEX('Semrush Data'!$A$1:$Z$20000,MATCH(A3188,'Semrush Data'!$A$1:$A$20000,0),MATCH("Intent",'Semrush Data'!$A$1:$Z$1,0)),"")</f>
        <v/>
      </c>
    </row>
    <row r="3189" customFormat="false" ht="15" hidden="false" customHeight="true" outlineLevel="0" collapsed="false">
      <c r="A3189" s="7" t="s">
        <v>7839</v>
      </c>
      <c r="B3189" s="7" t="s">
        <v>6820</v>
      </c>
      <c r="C3189" s="7" t="n">
        <v>3</v>
      </c>
      <c r="D3189" s="7" t="n">
        <v>32</v>
      </c>
      <c r="E3189" s="7" t="n">
        <v>1</v>
      </c>
      <c r="F3189" s="7" t="s">
        <v>410</v>
      </c>
      <c r="G3189" s="12" t="str">
        <f aca="false">IFERROR(INDEX('Semrush Data'!$A$1:$Z$20000,MATCH(A3189,'Semrush Data'!$A$1:$A$20000,0),MATCH("Volume",'Semrush Data'!$A$1:$Z$1,0)),"")</f>
        <v/>
      </c>
      <c r="H3189" s="7" t="str">
        <f aca="false">IFERROR(INDEX('Semrush Data'!$A$1:$Z$20000,MATCH(A3189,'Semrush Data'!$A$1:$A$20000,0),MATCH("Keyword Difficulty*",'Semrush Data'!$A$1:$Z$1,0)),"")</f>
        <v/>
      </c>
      <c r="I3189" s="13" t="str">
        <f aca="false">IFERROR(INDEX('Semrush Data'!$A$1:$Z$20000,MATCH(A3189,'Semrush Data'!$A$1:$A$20000,0),MATCH("CPC*",'Semrush Data'!$A$1:$Z$1,0)),"")</f>
        <v/>
      </c>
      <c r="J3189" s="7" t="str">
        <f aca="false">IFERROR(INDEX('Semrush Data'!$A$1:$Z$20000,MATCH(A3189,'Semrush Data'!$A$1:$A$20000,0),MATCH("Intent",'Semrush Data'!$A$1:$Z$1,0)),"")</f>
        <v/>
      </c>
    </row>
    <row r="3190" customFormat="false" ht="15" hidden="false" customHeight="true" outlineLevel="0" collapsed="false">
      <c r="A3190" s="7" t="s">
        <v>7840</v>
      </c>
      <c r="B3190" s="7" t="s">
        <v>6820</v>
      </c>
      <c r="C3190" s="7" t="n">
        <v>3</v>
      </c>
      <c r="D3190" s="7" t="s">
        <v>6843</v>
      </c>
      <c r="E3190" s="7" t="n">
        <v>1</v>
      </c>
      <c r="F3190" s="7" t="s">
        <v>410</v>
      </c>
      <c r="G3190" s="12" t="str">
        <f aca="false">IFERROR(INDEX('Semrush Data'!$A$1:$Z$20000,MATCH(A3190,'Semrush Data'!$A$1:$A$20000,0),MATCH("Volume",'Semrush Data'!$A$1:$Z$1,0)),"")</f>
        <v/>
      </c>
      <c r="H3190" s="7" t="str">
        <f aca="false">IFERROR(INDEX('Semrush Data'!$A$1:$Z$20000,MATCH(A3190,'Semrush Data'!$A$1:$A$20000,0),MATCH("Keyword Difficulty*",'Semrush Data'!$A$1:$Z$1,0)),"")</f>
        <v/>
      </c>
      <c r="I3190" s="13" t="str">
        <f aca="false">IFERROR(INDEX('Semrush Data'!$A$1:$Z$20000,MATCH(A3190,'Semrush Data'!$A$1:$A$20000,0),MATCH("CPC*",'Semrush Data'!$A$1:$Z$1,0)),"")</f>
        <v/>
      </c>
      <c r="J3190" s="7" t="str">
        <f aca="false">IFERROR(INDEX('Semrush Data'!$A$1:$Z$20000,MATCH(A3190,'Semrush Data'!$A$1:$A$20000,0),MATCH("Intent",'Semrush Data'!$A$1:$Z$1,0)),"")</f>
        <v/>
      </c>
    </row>
    <row r="3191" customFormat="false" ht="15" hidden="false" customHeight="true" outlineLevel="0" collapsed="false">
      <c r="A3191" s="7" t="s">
        <v>7841</v>
      </c>
      <c r="B3191" s="7" t="s">
        <v>6820</v>
      </c>
      <c r="C3191" s="7" t="n">
        <v>3</v>
      </c>
      <c r="D3191" s="7" t="n">
        <v>32</v>
      </c>
      <c r="E3191" s="7" t="n">
        <v>1</v>
      </c>
      <c r="F3191" s="7" t="s">
        <v>551</v>
      </c>
      <c r="G3191" s="12" t="str">
        <f aca="false">IFERROR(INDEX('Semrush Data'!$A$1:$Z$20000,MATCH(A3191,'Semrush Data'!$A$1:$A$20000,0),MATCH("Volume",'Semrush Data'!$A$1:$Z$1,0)),"")</f>
        <v/>
      </c>
      <c r="H3191" s="7" t="str">
        <f aca="false">IFERROR(INDEX('Semrush Data'!$A$1:$Z$20000,MATCH(A3191,'Semrush Data'!$A$1:$A$20000,0),MATCH("Keyword Difficulty*",'Semrush Data'!$A$1:$Z$1,0)),"")</f>
        <v/>
      </c>
      <c r="I3191" s="13" t="str">
        <f aca="false">IFERROR(INDEX('Semrush Data'!$A$1:$Z$20000,MATCH(A3191,'Semrush Data'!$A$1:$A$20000,0),MATCH("CPC*",'Semrush Data'!$A$1:$Z$1,0)),"")</f>
        <v/>
      </c>
      <c r="J3191" s="7" t="str">
        <f aca="false">IFERROR(INDEX('Semrush Data'!$A$1:$Z$20000,MATCH(A3191,'Semrush Data'!$A$1:$A$20000,0),MATCH("Intent",'Semrush Data'!$A$1:$Z$1,0)),"")</f>
        <v/>
      </c>
    </row>
    <row r="3192" customFormat="false" ht="15" hidden="false" customHeight="true" outlineLevel="0" collapsed="false">
      <c r="A3192" s="7" t="s">
        <v>7842</v>
      </c>
      <c r="B3192" s="7" t="s">
        <v>6820</v>
      </c>
      <c r="C3192" s="7" t="n">
        <v>3</v>
      </c>
      <c r="D3192" s="7" t="s">
        <v>6843</v>
      </c>
      <c r="E3192" s="7" t="n">
        <v>1</v>
      </c>
      <c r="F3192" s="7" t="s">
        <v>551</v>
      </c>
      <c r="G3192" s="12" t="str">
        <f aca="false">IFERROR(INDEX('Semrush Data'!$A$1:$Z$20000,MATCH(A3192,'Semrush Data'!$A$1:$A$20000,0),MATCH("Volume",'Semrush Data'!$A$1:$Z$1,0)),"")</f>
        <v/>
      </c>
      <c r="H3192" s="7" t="str">
        <f aca="false">IFERROR(INDEX('Semrush Data'!$A$1:$Z$20000,MATCH(A3192,'Semrush Data'!$A$1:$A$20000,0),MATCH("Keyword Difficulty*",'Semrush Data'!$A$1:$Z$1,0)),"")</f>
        <v/>
      </c>
      <c r="I3192" s="13" t="str">
        <f aca="false">IFERROR(INDEX('Semrush Data'!$A$1:$Z$20000,MATCH(A3192,'Semrush Data'!$A$1:$A$20000,0),MATCH("CPC*",'Semrush Data'!$A$1:$Z$1,0)),"")</f>
        <v/>
      </c>
      <c r="J3192" s="7" t="str">
        <f aca="false">IFERROR(INDEX('Semrush Data'!$A$1:$Z$20000,MATCH(A3192,'Semrush Data'!$A$1:$A$20000,0),MATCH("Intent",'Semrush Data'!$A$1:$Z$1,0)),"")</f>
        <v/>
      </c>
    </row>
    <row r="3193" customFormat="false" ht="15" hidden="false" customHeight="true" outlineLevel="0" collapsed="false">
      <c r="A3193" s="7" t="s">
        <v>7843</v>
      </c>
      <c r="B3193" s="7" t="s">
        <v>6820</v>
      </c>
      <c r="C3193" s="7" t="n">
        <v>3</v>
      </c>
      <c r="D3193" s="7" t="n">
        <v>32</v>
      </c>
      <c r="E3193" s="7" t="n">
        <v>1</v>
      </c>
      <c r="F3193" s="7" t="s">
        <v>387</v>
      </c>
      <c r="G3193" s="12" t="str">
        <f aca="false">IFERROR(INDEX('Semrush Data'!$A$1:$Z$20000,MATCH(A3193,'Semrush Data'!$A$1:$A$20000,0),MATCH("Volume",'Semrush Data'!$A$1:$Z$1,0)),"")</f>
        <v/>
      </c>
      <c r="H3193" s="7" t="str">
        <f aca="false">IFERROR(INDEX('Semrush Data'!$A$1:$Z$20000,MATCH(A3193,'Semrush Data'!$A$1:$A$20000,0),MATCH("Keyword Difficulty*",'Semrush Data'!$A$1:$Z$1,0)),"")</f>
        <v/>
      </c>
      <c r="I3193" s="13" t="str">
        <f aca="false">IFERROR(INDEX('Semrush Data'!$A$1:$Z$20000,MATCH(A3193,'Semrush Data'!$A$1:$A$20000,0),MATCH("CPC*",'Semrush Data'!$A$1:$Z$1,0)),"")</f>
        <v/>
      </c>
      <c r="J3193" s="7" t="str">
        <f aca="false">IFERROR(INDEX('Semrush Data'!$A$1:$Z$20000,MATCH(A3193,'Semrush Data'!$A$1:$A$20000,0),MATCH("Intent",'Semrush Data'!$A$1:$Z$1,0)),"")</f>
        <v/>
      </c>
    </row>
    <row r="3194" customFormat="false" ht="15" hidden="false" customHeight="true" outlineLevel="0" collapsed="false">
      <c r="A3194" s="7" t="s">
        <v>7844</v>
      </c>
      <c r="B3194" s="7" t="s">
        <v>6820</v>
      </c>
      <c r="C3194" s="7" t="n">
        <v>3</v>
      </c>
      <c r="D3194" s="7" t="n">
        <v>32</v>
      </c>
      <c r="E3194" s="7" t="n">
        <v>1</v>
      </c>
      <c r="F3194" s="7" t="s">
        <v>387</v>
      </c>
      <c r="G3194" s="12" t="str">
        <f aca="false">IFERROR(INDEX('Semrush Data'!$A$1:$Z$20000,MATCH(A3194,'Semrush Data'!$A$1:$A$20000,0),MATCH("Volume",'Semrush Data'!$A$1:$Z$1,0)),"")</f>
        <v/>
      </c>
      <c r="H3194" s="7" t="str">
        <f aca="false">IFERROR(INDEX('Semrush Data'!$A$1:$Z$20000,MATCH(A3194,'Semrush Data'!$A$1:$A$20000,0),MATCH("Keyword Difficulty*",'Semrush Data'!$A$1:$Z$1,0)),"")</f>
        <v/>
      </c>
      <c r="I3194" s="13" t="str">
        <f aca="false">IFERROR(INDEX('Semrush Data'!$A$1:$Z$20000,MATCH(A3194,'Semrush Data'!$A$1:$A$20000,0),MATCH("CPC*",'Semrush Data'!$A$1:$Z$1,0)),"")</f>
        <v/>
      </c>
      <c r="J3194" s="7" t="str">
        <f aca="false">IFERROR(INDEX('Semrush Data'!$A$1:$Z$20000,MATCH(A3194,'Semrush Data'!$A$1:$A$20000,0),MATCH("Intent",'Semrush Data'!$A$1:$Z$1,0)),"")</f>
        <v/>
      </c>
    </row>
    <row r="3195" customFormat="false" ht="15" hidden="false" customHeight="true" outlineLevel="0" collapsed="false">
      <c r="A3195" s="7" t="s">
        <v>7845</v>
      </c>
      <c r="B3195" s="7" t="s">
        <v>6820</v>
      </c>
      <c r="C3195" s="7" t="n">
        <v>3</v>
      </c>
      <c r="D3195" s="7" t="n">
        <v>32</v>
      </c>
      <c r="E3195" s="7" t="n">
        <v>1</v>
      </c>
      <c r="F3195" s="7" t="s">
        <v>387</v>
      </c>
      <c r="G3195" s="12" t="str">
        <f aca="false">IFERROR(INDEX('Semrush Data'!$A$1:$Z$20000,MATCH(A3195,'Semrush Data'!$A$1:$A$20000,0),MATCH("Volume",'Semrush Data'!$A$1:$Z$1,0)),"")</f>
        <v/>
      </c>
      <c r="H3195" s="7" t="str">
        <f aca="false">IFERROR(INDEX('Semrush Data'!$A$1:$Z$20000,MATCH(A3195,'Semrush Data'!$A$1:$A$20000,0),MATCH("Keyword Difficulty*",'Semrush Data'!$A$1:$Z$1,0)),"")</f>
        <v/>
      </c>
      <c r="I3195" s="13" t="str">
        <f aca="false">IFERROR(INDEX('Semrush Data'!$A$1:$Z$20000,MATCH(A3195,'Semrush Data'!$A$1:$A$20000,0),MATCH("CPC*",'Semrush Data'!$A$1:$Z$1,0)),"")</f>
        <v/>
      </c>
      <c r="J3195" s="7" t="str">
        <f aca="false">IFERROR(INDEX('Semrush Data'!$A$1:$Z$20000,MATCH(A3195,'Semrush Data'!$A$1:$A$20000,0),MATCH("Intent",'Semrush Data'!$A$1:$Z$1,0)),"")</f>
        <v/>
      </c>
    </row>
    <row r="3196" customFormat="false" ht="15" hidden="false" customHeight="true" outlineLevel="0" collapsed="false">
      <c r="A3196" s="7" t="s">
        <v>7846</v>
      </c>
      <c r="B3196" s="7" t="s">
        <v>6820</v>
      </c>
      <c r="C3196" s="7" t="n">
        <v>3</v>
      </c>
      <c r="D3196" s="7" t="s">
        <v>6843</v>
      </c>
      <c r="E3196" s="7" t="n">
        <v>1</v>
      </c>
      <c r="F3196" s="7" t="s">
        <v>387</v>
      </c>
      <c r="G3196" s="12" t="str">
        <f aca="false">IFERROR(INDEX('Semrush Data'!$A$1:$Z$20000,MATCH(A3196,'Semrush Data'!$A$1:$A$20000,0),MATCH("Volume",'Semrush Data'!$A$1:$Z$1,0)),"")</f>
        <v/>
      </c>
      <c r="H3196" s="7" t="str">
        <f aca="false">IFERROR(INDEX('Semrush Data'!$A$1:$Z$20000,MATCH(A3196,'Semrush Data'!$A$1:$A$20000,0),MATCH("Keyword Difficulty*",'Semrush Data'!$A$1:$Z$1,0)),"")</f>
        <v/>
      </c>
      <c r="I3196" s="13" t="str">
        <f aca="false">IFERROR(INDEX('Semrush Data'!$A$1:$Z$20000,MATCH(A3196,'Semrush Data'!$A$1:$A$20000,0),MATCH("CPC*",'Semrush Data'!$A$1:$Z$1,0)),"")</f>
        <v/>
      </c>
      <c r="J3196" s="7" t="str">
        <f aca="false">IFERROR(INDEX('Semrush Data'!$A$1:$Z$20000,MATCH(A3196,'Semrush Data'!$A$1:$A$20000,0),MATCH("Intent",'Semrush Data'!$A$1:$Z$1,0)),"")</f>
        <v/>
      </c>
    </row>
    <row r="3197" customFormat="false" ht="15" hidden="false" customHeight="true" outlineLevel="0" collapsed="false">
      <c r="A3197" s="7" t="s">
        <v>7847</v>
      </c>
      <c r="B3197" s="7" t="s">
        <v>6820</v>
      </c>
      <c r="C3197" s="7" t="n">
        <v>3</v>
      </c>
      <c r="D3197" s="7" t="n">
        <v>32</v>
      </c>
      <c r="E3197" s="7" t="n">
        <v>1</v>
      </c>
      <c r="F3197" s="7" t="s">
        <v>558</v>
      </c>
      <c r="G3197" s="12" t="str">
        <f aca="false">IFERROR(INDEX('Semrush Data'!$A$1:$Z$20000,MATCH(A3197,'Semrush Data'!$A$1:$A$20000,0),MATCH("Volume",'Semrush Data'!$A$1:$Z$1,0)),"")</f>
        <v/>
      </c>
      <c r="H3197" s="7" t="str">
        <f aca="false">IFERROR(INDEX('Semrush Data'!$A$1:$Z$20000,MATCH(A3197,'Semrush Data'!$A$1:$A$20000,0),MATCH("Keyword Difficulty*",'Semrush Data'!$A$1:$Z$1,0)),"")</f>
        <v/>
      </c>
      <c r="I3197" s="13" t="str">
        <f aca="false">IFERROR(INDEX('Semrush Data'!$A$1:$Z$20000,MATCH(A3197,'Semrush Data'!$A$1:$A$20000,0),MATCH("CPC*",'Semrush Data'!$A$1:$Z$1,0)),"")</f>
        <v/>
      </c>
      <c r="J3197" s="7" t="str">
        <f aca="false">IFERROR(INDEX('Semrush Data'!$A$1:$Z$20000,MATCH(A3197,'Semrush Data'!$A$1:$A$20000,0),MATCH("Intent",'Semrush Data'!$A$1:$Z$1,0)),"")</f>
        <v/>
      </c>
    </row>
    <row r="3198" customFormat="false" ht="15" hidden="false" customHeight="true" outlineLevel="0" collapsed="false">
      <c r="A3198" s="7" t="s">
        <v>7848</v>
      </c>
      <c r="B3198" s="7" t="s">
        <v>6820</v>
      </c>
      <c r="C3198" s="7" t="n">
        <v>3</v>
      </c>
      <c r="D3198" s="7" t="s">
        <v>6843</v>
      </c>
      <c r="E3198" s="7" t="n">
        <v>1</v>
      </c>
      <c r="F3198" s="7" t="s">
        <v>558</v>
      </c>
      <c r="G3198" s="12" t="str">
        <f aca="false">IFERROR(INDEX('Semrush Data'!$A$1:$Z$20000,MATCH(A3198,'Semrush Data'!$A$1:$A$20000,0),MATCH("Volume",'Semrush Data'!$A$1:$Z$1,0)),"")</f>
        <v/>
      </c>
      <c r="H3198" s="7" t="str">
        <f aca="false">IFERROR(INDEX('Semrush Data'!$A$1:$Z$20000,MATCH(A3198,'Semrush Data'!$A$1:$A$20000,0),MATCH("Keyword Difficulty*",'Semrush Data'!$A$1:$Z$1,0)),"")</f>
        <v/>
      </c>
      <c r="I3198" s="13" t="str">
        <f aca="false">IFERROR(INDEX('Semrush Data'!$A$1:$Z$20000,MATCH(A3198,'Semrush Data'!$A$1:$A$20000,0),MATCH("CPC*",'Semrush Data'!$A$1:$Z$1,0)),"")</f>
        <v/>
      </c>
      <c r="J3198" s="7" t="str">
        <f aca="false">IFERROR(INDEX('Semrush Data'!$A$1:$Z$20000,MATCH(A3198,'Semrush Data'!$A$1:$A$20000,0),MATCH("Intent",'Semrush Data'!$A$1:$Z$1,0)),"")</f>
        <v/>
      </c>
    </row>
    <row r="3199" customFormat="false" ht="15" hidden="false" customHeight="true" outlineLevel="0" collapsed="false">
      <c r="A3199" s="7" t="s">
        <v>7849</v>
      </c>
      <c r="B3199" s="7" t="s">
        <v>6820</v>
      </c>
      <c r="C3199" s="7" t="n">
        <v>3</v>
      </c>
      <c r="D3199" s="7" t="n">
        <v>32</v>
      </c>
      <c r="E3199" s="7" t="n">
        <v>1</v>
      </c>
      <c r="F3199" s="7" t="s">
        <v>420</v>
      </c>
      <c r="G3199" s="12" t="str">
        <f aca="false">IFERROR(INDEX('Semrush Data'!$A$1:$Z$20000,MATCH(A3199,'Semrush Data'!$A$1:$A$20000,0),MATCH("Volume",'Semrush Data'!$A$1:$Z$1,0)),"")</f>
        <v/>
      </c>
      <c r="H3199" s="7" t="str">
        <f aca="false">IFERROR(INDEX('Semrush Data'!$A$1:$Z$20000,MATCH(A3199,'Semrush Data'!$A$1:$A$20000,0),MATCH("Keyword Difficulty*",'Semrush Data'!$A$1:$Z$1,0)),"")</f>
        <v/>
      </c>
      <c r="I3199" s="13" t="str">
        <f aca="false">IFERROR(INDEX('Semrush Data'!$A$1:$Z$20000,MATCH(A3199,'Semrush Data'!$A$1:$A$20000,0),MATCH("CPC*",'Semrush Data'!$A$1:$Z$1,0)),"")</f>
        <v/>
      </c>
      <c r="J3199" s="7" t="str">
        <f aca="false">IFERROR(INDEX('Semrush Data'!$A$1:$Z$20000,MATCH(A3199,'Semrush Data'!$A$1:$A$20000,0),MATCH("Intent",'Semrush Data'!$A$1:$Z$1,0)),"")</f>
        <v/>
      </c>
    </row>
    <row r="3200" customFormat="false" ht="15" hidden="false" customHeight="true" outlineLevel="0" collapsed="false">
      <c r="A3200" s="7" t="s">
        <v>7850</v>
      </c>
      <c r="B3200" s="7" t="s">
        <v>6820</v>
      </c>
      <c r="C3200" s="7" t="n">
        <v>3</v>
      </c>
      <c r="D3200" s="7" t="n">
        <v>32</v>
      </c>
      <c r="E3200" s="7" t="n">
        <v>1</v>
      </c>
      <c r="F3200" s="7" t="s">
        <v>420</v>
      </c>
      <c r="G3200" s="12" t="str">
        <f aca="false">IFERROR(INDEX('Semrush Data'!$A$1:$Z$20000,MATCH(A3200,'Semrush Data'!$A$1:$A$20000,0),MATCH("Volume",'Semrush Data'!$A$1:$Z$1,0)),"")</f>
        <v/>
      </c>
      <c r="H3200" s="7" t="str">
        <f aca="false">IFERROR(INDEX('Semrush Data'!$A$1:$Z$20000,MATCH(A3200,'Semrush Data'!$A$1:$A$20000,0),MATCH("Keyword Difficulty*",'Semrush Data'!$A$1:$Z$1,0)),"")</f>
        <v/>
      </c>
      <c r="I3200" s="13" t="str">
        <f aca="false">IFERROR(INDEX('Semrush Data'!$A$1:$Z$20000,MATCH(A3200,'Semrush Data'!$A$1:$A$20000,0),MATCH("CPC*",'Semrush Data'!$A$1:$Z$1,0)),"")</f>
        <v/>
      </c>
      <c r="J3200" s="7" t="str">
        <f aca="false">IFERROR(INDEX('Semrush Data'!$A$1:$Z$20000,MATCH(A3200,'Semrush Data'!$A$1:$A$20000,0),MATCH("Intent",'Semrush Data'!$A$1:$Z$1,0)),"")</f>
        <v/>
      </c>
    </row>
    <row r="3201" customFormat="false" ht="15" hidden="false" customHeight="true" outlineLevel="0" collapsed="false">
      <c r="A3201" s="7" t="s">
        <v>7851</v>
      </c>
      <c r="B3201" s="7" t="s">
        <v>6820</v>
      </c>
      <c r="C3201" s="7" t="n">
        <v>3</v>
      </c>
      <c r="D3201" s="7" t="s">
        <v>6843</v>
      </c>
      <c r="E3201" s="7" t="n">
        <v>1</v>
      </c>
      <c r="F3201" s="7" t="s">
        <v>420</v>
      </c>
      <c r="G3201" s="12" t="str">
        <f aca="false">IFERROR(INDEX('Semrush Data'!$A$1:$Z$20000,MATCH(A3201,'Semrush Data'!$A$1:$A$20000,0),MATCH("Volume",'Semrush Data'!$A$1:$Z$1,0)),"")</f>
        <v/>
      </c>
      <c r="H3201" s="7" t="str">
        <f aca="false">IFERROR(INDEX('Semrush Data'!$A$1:$Z$20000,MATCH(A3201,'Semrush Data'!$A$1:$A$20000,0),MATCH("Keyword Difficulty*",'Semrush Data'!$A$1:$Z$1,0)),"")</f>
        <v/>
      </c>
      <c r="I3201" s="13" t="str">
        <f aca="false">IFERROR(INDEX('Semrush Data'!$A$1:$Z$20000,MATCH(A3201,'Semrush Data'!$A$1:$A$20000,0),MATCH("CPC*",'Semrush Data'!$A$1:$Z$1,0)),"")</f>
        <v/>
      </c>
      <c r="J3201" s="7" t="str">
        <f aca="false">IFERROR(INDEX('Semrush Data'!$A$1:$Z$20000,MATCH(A3201,'Semrush Data'!$A$1:$A$20000,0),MATCH("Intent",'Semrush Data'!$A$1:$Z$1,0)),"")</f>
        <v/>
      </c>
    </row>
    <row r="3202" customFormat="false" ht="15" hidden="false" customHeight="true" outlineLevel="0" collapsed="false">
      <c r="A3202" s="7" t="s">
        <v>7852</v>
      </c>
      <c r="B3202" s="7" t="s">
        <v>6820</v>
      </c>
      <c r="C3202" s="7" t="n">
        <v>3</v>
      </c>
      <c r="D3202" s="7" t="n">
        <v>33</v>
      </c>
      <c r="E3202" s="7" t="n">
        <v>1</v>
      </c>
      <c r="F3202" s="7" t="s">
        <v>387</v>
      </c>
      <c r="G3202" s="12" t="str">
        <f aca="false">IFERROR(INDEX('Semrush Data'!$A$1:$Z$20000,MATCH(A3202,'Semrush Data'!$A$1:$A$20000,0),MATCH("Volume",'Semrush Data'!$A$1:$Z$1,0)),"")</f>
        <v/>
      </c>
      <c r="H3202" s="7" t="str">
        <f aca="false">IFERROR(INDEX('Semrush Data'!$A$1:$Z$20000,MATCH(A3202,'Semrush Data'!$A$1:$A$20000,0),MATCH("Keyword Difficulty*",'Semrush Data'!$A$1:$Z$1,0)),"")</f>
        <v/>
      </c>
      <c r="I3202" s="13" t="str">
        <f aca="false">IFERROR(INDEX('Semrush Data'!$A$1:$Z$20000,MATCH(A3202,'Semrush Data'!$A$1:$A$20000,0),MATCH("CPC*",'Semrush Data'!$A$1:$Z$1,0)),"")</f>
        <v/>
      </c>
      <c r="J3202" s="7" t="str">
        <f aca="false">IFERROR(INDEX('Semrush Data'!$A$1:$Z$20000,MATCH(A3202,'Semrush Data'!$A$1:$A$20000,0),MATCH("Intent",'Semrush Data'!$A$1:$Z$1,0)),"")</f>
        <v/>
      </c>
    </row>
    <row r="3203" customFormat="false" ht="15" hidden="false" customHeight="true" outlineLevel="0" collapsed="false">
      <c r="A3203" s="7" t="s">
        <v>7853</v>
      </c>
      <c r="B3203" s="7" t="s">
        <v>6820</v>
      </c>
      <c r="C3203" s="7" t="n">
        <v>3</v>
      </c>
      <c r="D3203" s="7" t="n">
        <v>33</v>
      </c>
      <c r="E3203" s="7" t="n">
        <v>1</v>
      </c>
      <c r="F3203" s="7" t="s">
        <v>577</v>
      </c>
      <c r="G3203" s="12" t="str">
        <f aca="false">IFERROR(INDEX('Semrush Data'!$A$1:$Z$20000,MATCH(A3203,'Semrush Data'!$A$1:$A$20000,0),MATCH("Volume",'Semrush Data'!$A$1:$Z$1,0)),"")</f>
        <v/>
      </c>
      <c r="H3203" s="7" t="str">
        <f aca="false">IFERROR(INDEX('Semrush Data'!$A$1:$Z$20000,MATCH(A3203,'Semrush Data'!$A$1:$A$20000,0),MATCH("Keyword Difficulty*",'Semrush Data'!$A$1:$Z$1,0)),"")</f>
        <v/>
      </c>
      <c r="I3203" s="13" t="str">
        <f aca="false">IFERROR(INDEX('Semrush Data'!$A$1:$Z$20000,MATCH(A3203,'Semrush Data'!$A$1:$A$20000,0),MATCH("CPC*",'Semrush Data'!$A$1:$Z$1,0)),"")</f>
        <v/>
      </c>
      <c r="J3203" s="7" t="str">
        <f aca="false">IFERROR(INDEX('Semrush Data'!$A$1:$Z$20000,MATCH(A3203,'Semrush Data'!$A$1:$A$20000,0),MATCH("Intent",'Semrush Data'!$A$1:$Z$1,0)),"")</f>
        <v/>
      </c>
    </row>
    <row r="3204" customFormat="false" ht="15" hidden="false" customHeight="true" outlineLevel="0" collapsed="false">
      <c r="A3204" s="7" t="s">
        <v>7854</v>
      </c>
      <c r="B3204" s="7" t="s">
        <v>6820</v>
      </c>
      <c r="C3204" s="7" t="n">
        <v>3</v>
      </c>
      <c r="D3204" s="7" t="n">
        <v>33</v>
      </c>
      <c r="E3204" s="7" t="n">
        <v>1</v>
      </c>
      <c r="F3204" s="7" t="s">
        <v>577</v>
      </c>
      <c r="G3204" s="12" t="str">
        <f aca="false">IFERROR(INDEX('Semrush Data'!$A$1:$Z$20000,MATCH(A3204,'Semrush Data'!$A$1:$A$20000,0),MATCH("Volume",'Semrush Data'!$A$1:$Z$1,0)),"")</f>
        <v/>
      </c>
      <c r="H3204" s="7" t="str">
        <f aca="false">IFERROR(INDEX('Semrush Data'!$A$1:$Z$20000,MATCH(A3204,'Semrush Data'!$A$1:$A$20000,0),MATCH("Keyword Difficulty*",'Semrush Data'!$A$1:$Z$1,0)),"")</f>
        <v/>
      </c>
      <c r="I3204" s="13" t="str">
        <f aca="false">IFERROR(INDEX('Semrush Data'!$A$1:$Z$20000,MATCH(A3204,'Semrush Data'!$A$1:$A$20000,0),MATCH("CPC*",'Semrush Data'!$A$1:$Z$1,0)),"")</f>
        <v/>
      </c>
      <c r="J3204" s="7" t="str">
        <f aca="false">IFERROR(INDEX('Semrush Data'!$A$1:$Z$20000,MATCH(A3204,'Semrush Data'!$A$1:$A$20000,0),MATCH("Intent",'Semrush Data'!$A$1:$Z$1,0)),"")</f>
        <v/>
      </c>
    </row>
    <row r="3205" customFormat="false" ht="15" hidden="false" customHeight="true" outlineLevel="0" collapsed="false">
      <c r="A3205" s="7" t="s">
        <v>7855</v>
      </c>
      <c r="B3205" s="7" t="s">
        <v>6820</v>
      </c>
      <c r="C3205" s="7" t="n">
        <v>3</v>
      </c>
      <c r="D3205" s="7" t="n">
        <v>33</v>
      </c>
      <c r="E3205" s="7" t="n">
        <v>1</v>
      </c>
      <c r="F3205" s="7" t="s">
        <v>577</v>
      </c>
      <c r="G3205" s="12" t="str">
        <f aca="false">IFERROR(INDEX('Semrush Data'!$A$1:$Z$20000,MATCH(A3205,'Semrush Data'!$A$1:$A$20000,0),MATCH("Volume",'Semrush Data'!$A$1:$Z$1,0)),"")</f>
        <v/>
      </c>
      <c r="H3205" s="7" t="str">
        <f aca="false">IFERROR(INDEX('Semrush Data'!$A$1:$Z$20000,MATCH(A3205,'Semrush Data'!$A$1:$A$20000,0),MATCH("Keyword Difficulty*",'Semrush Data'!$A$1:$Z$1,0)),"")</f>
        <v/>
      </c>
      <c r="I3205" s="13" t="str">
        <f aca="false">IFERROR(INDEX('Semrush Data'!$A$1:$Z$20000,MATCH(A3205,'Semrush Data'!$A$1:$A$20000,0),MATCH("CPC*",'Semrush Data'!$A$1:$Z$1,0)),"")</f>
        <v/>
      </c>
      <c r="J3205" s="7" t="str">
        <f aca="false">IFERROR(INDEX('Semrush Data'!$A$1:$Z$20000,MATCH(A3205,'Semrush Data'!$A$1:$A$20000,0),MATCH("Intent",'Semrush Data'!$A$1:$Z$1,0)),"")</f>
        <v/>
      </c>
    </row>
    <row r="3206" customFormat="false" ht="15" hidden="false" customHeight="true" outlineLevel="0" collapsed="false">
      <c r="A3206" s="7" t="s">
        <v>7856</v>
      </c>
      <c r="B3206" s="7" t="s">
        <v>6820</v>
      </c>
      <c r="C3206" s="7" t="n">
        <v>3</v>
      </c>
      <c r="D3206" s="7" t="s">
        <v>6843</v>
      </c>
      <c r="E3206" s="7" t="n">
        <v>1</v>
      </c>
      <c r="F3206" s="7" t="s">
        <v>577</v>
      </c>
      <c r="G3206" s="12" t="str">
        <f aca="false">IFERROR(INDEX('Semrush Data'!$A$1:$Z$20000,MATCH(A3206,'Semrush Data'!$A$1:$A$20000,0),MATCH("Volume",'Semrush Data'!$A$1:$Z$1,0)),"")</f>
        <v/>
      </c>
      <c r="H3206" s="7" t="str">
        <f aca="false">IFERROR(INDEX('Semrush Data'!$A$1:$Z$20000,MATCH(A3206,'Semrush Data'!$A$1:$A$20000,0),MATCH("Keyword Difficulty*",'Semrush Data'!$A$1:$Z$1,0)),"")</f>
        <v/>
      </c>
      <c r="I3206" s="13" t="str">
        <f aca="false">IFERROR(INDEX('Semrush Data'!$A$1:$Z$20000,MATCH(A3206,'Semrush Data'!$A$1:$A$20000,0),MATCH("CPC*",'Semrush Data'!$A$1:$Z$1,0)),"")</f>
        <v/>
      </c>
      <c r="J3206" s="7" t="str">
        <f aca="false">IFERROR(INDEX('Semrush Data'!$A$1:$Z$20000,MATCH(A3206,'Semrush Data'!$A$1:$A$20000,0),MATCH("Intent",'Semrush Data'!$A$1:$Z$1,0)),"")</f>
        <v/>
      </c>
    </row>
    <row r="3207" customFormat="false" ht="15" hidden="false" customHeight="true" outlineLevel="0" collapsed="false">
      <c r="A3207" s="7" t="s">
        <v>7857</v>
      </c>
      <c r="B3207" s="7" t="s">
        <v>6820</v>
      </c>
      <c r="C3207" s="7" t="n">
        <v>3</v>
      </c>
      <c r="D3207" s="7" t="n">
        <v>33</v>
      </c>
      <c r="E3207" s="7" t="n">
        <v>3</v>
      </c>
      <c r="F3207" s="7" t="s">
        <v>6812</v>
      </c>
      <c r="G3207" s="12" t="str">
        <f aca="false">IFERROR(INDEX('Semrush Data'!$A$1:$Z$20000,MATCH(A3207,'Semrush Data'!$A$1:$A$20000,0),MATCH("Volume",'Semrush Data'!$A$1:$Z$1,0)),"")</f>
        <v/>
      </c>
      <c r="H3207" s="7" t="str">
        <f aca="false">IFERROR(INDEX('Semrush Data'!$A$1:$Z$20000,MATCH(A3207,'Semrush Data'!$A$1:$A$20000,0),MATCH("Keyword Difficulty*",'Semrush Data'!$A$1:$Z$1,0)),"")</f>
        <v/>
      </c>
      <c r="I3207" s="13" t="str">
        <f aca="false">IFERROR(INDEX('Semrush Data'!$A$1:$Z$20000,MATCH(A3207,'Semrush Data'!$A$1:$A$20000,0),MATCH("CPC*",'Semrush Data'!$A$1:$Z$1,0)),"")</f>
        <v/>
      </c>
      <c r="J3207" s="7" t="str">
        <f aca="false">IFERROR(INDEX('Semrush Data'!$A$1:$Z$20000,MATCH(A3207,'Semrush Data'!$A$1:$A$20000,0),MATCH("Intent",'Semrush Data'!$A$1:$Z$1,0)),"")</f>
        <v/>
      </c>
    </row>
    <row r="3208" customFormat="false" ht="15" hidden="false" customHeight="true" outlineLevel="0" collapsed="false">
      <c r="A3208" s="7" t="s">
        <v>7858</v>
      </c>
      <c r="B3208" s="7" t="s">
        <v>6820</v>
      </c>
      <c r="C3208" s="7" t="n">
        <v>3</v>
      </c>
      <c r="D3208" s="7" t="n">
        <v>33</v>
      </c>
      <c r="E3208" s="7" t="n">
        <v>3</v>
      </c>
      <c r="F3208" s="7" t="s">
        <v>6812</v>
      </c>
      <c r="G3208" s="12" t="str">
        <f aca="false">IFERROR(INDEX('Semrush Data'!$A$1:$Z$20000,MATCH(A3208,'Semrush Data'!$A$1:$A$20000,0),MATCH("Volume",'Semrush Data'!$A$1:$Z$1,0)),"")</f>
        <v/>
      </c>
      <c r="H3208" s="7" t="str">
        <f aca="false">IFERROR(INDEX('Semrush Data'!$A$1:$Z$20000,MATCH(A3208,'Semrush Data'!$A$1:$A$20000,0),MATCH("Keyword Difficulty*",'Semrush Data'!$A$1:$Z$1,0)),"")</f>
        <v/>
      </c>
      <c r="I3208" s="13" t="str">
        <f aca="false">IFERROR(INDEX('Semrush Data'!$A$1:$Z$20000,MATCH(A3208,'Semrush Data'!$A$1:$A$20000,0),MATCH("CPC*",'Semrush Data'!$A$1:$Z$1,0)),"")</f>
        <v/>
      </c>
      <c r="J3208" s="7" t="str">
        <f aca="false">IFERROR(INDEX('Semrush Data'!$A$1:$Z$20000,MATCH(A3208,'Semrush Data'!$A$1:$A$20000,0),MATCH("Intent",'Semrush Data'!$A$1:$Z$1,0)),"")</f>
        <v/>
      </c>
    </row>
    <row r="3209" customFormat="false" ht="15" hidden="false" customHeight="true" outlineLevel="0" collapsed="false">
      <c r="A3209" s="7" t="s">
        <v>7859</v>
      </c>
      <c r="B3209" s="7" t="s">
        <v>6820</v>
      </c>
      <c r="C3209" s="7" t="n">
        <v>3</v>
      </c>
      <c r="D3209" s="7" t="n">
        <v>33</v>
      </c>
      <c r="E3209" s="7" t="n">
        <v>3</v>
      </c>
      <c r="F3209" s="7" t="s">
        <v>6812</v>
      </c>
      <c r="G3209" s="12" t="str">
        <f aca="false">IFERROR(INDEX('Semrush Data'!$A$1:$Z$20000,MATCH(A3209,'Semrush Data'!$A$1:$A$20000,0),MATCH("Volume",'Semrush Data'!$A$1:$Z$1,0)),"")</f>
        <v/>
      </c>
      <c r="H3209" s="7" t="str">
        <f aca="false">IFERROR(INDEX('Semrush Data'!$A$1:$Z$20000,MATCH(A3209,'Semrush Data'!$A$1:$A$20000,0),MATCH("Keyword Difficulty*",'Semrush Data'!$A$1:$Z$1,0)),"")</f>
        <v/>
      </c>
      <c r="I3209" s="13" t="str">
        <f aca="false">IFERROR(INDEX('Semrush Data'!$A$1:$Z$20000,MATCH(A3209,'Semrush Data'!$A$1:$A$20000,0),MATCH("CPC*",'Semrush Data'!$A$1:$Z$1,0)),"")</f>
        <v/>
      </c>
      <c r="J3209" s="7" t="str">
        <f aca="false">IFERROR(INDEX('Semrush Data'!$A$1:$Z$20000,MATCH(A3209,'Semrush Data'!$A$1:$A$20000,0),MATCH("Intent",'Semrush Data'!$A$1:$Z$1,0)),"")</f>
        <v/>
      </c>
    </row>
    <row r="3210" customFormat="false" ht="15" hidden="false" customHeight="true" outlineLevel="0" collapsed="false">
      <c r="A3210" s="7" t="s">
        <v>7860</v>
      </c>
      <c r="B3210" s="7" t="s">
        <v>6820</v>
      </c>
      <c r="C3210" s="7" t="n">
        <v>3</v>
      </c>
      <c r="D3210" s="7" t="n">
        <v>33</v>
      </c>
      <c r="E3210" s="7" t="n">
        <v>3</v>
      </c>
      <c r="F3210" s="7" t="s">
        <v>6812</v>
      </c>
      <c r="G3210" s="12" t="str">
        <f aca="false">IFERROR(INDEX('Semrush Data'!$A$1:$Z$20000,MATCH(A3210,'Semrush Data'!$A$1:$A$20000,0),MATCH("Volume",'Semrush Data'!$A$1:$Z$1,0)),"")</f>
        <v/>
      </c>
      <c r="H3210" s="7" t="str">
        <f aca="false">IFERROR(INDEX('Semrush Data'!$A$1:$Z$20000,MATCH(A3210,'Semrush Data'!$A$1:$A$20000,0),MATCH("Keyword Difficulty*",'Semrush Data'!$A$1:$Z$1,0)),"")</f>
        <v/>
      </c>
      <c r="I3210" s="13" t="str">
        <f aca="false">IFERROR(INDEX('Semrush Data'!$A$1:$Z$20000,MATCH(A3210,'Semrush Data'!$A$1:$A$20000,0),MATCH("CPC*",'Semrush Data'!$A$1:$Z$1,0)),"")</f>
        <v/>
      </c>
      <c r="J3210" s="7" t="str">
        <f aca="false">IFERROR(INDEX('Semrush Data'!$A$1:$Z$20000,MATCH(A3210,'Semrush Data'!$A$1:$A$20000,0),MATCH("Intent",'Semrush Data'!$A$1:$Z$1,0)),"")</f>
        <v/>
      </c>
    </row>
    <row r="3211" customFormat="false" ht="15" hidden="false" customHeight="true" outlineLevel="0" collapsed="false">
      <c r="A3211" s="7" t="s">
        <v>7861</v>
      </c>
      <c r="B3211" s="7" t="s">
        <v>6820</v>
      </c>
      <c r="C3211" s="7" t="n">
        <v>3</v>
      </c>
      <c r="D3211" s="7" t="s">
        <v>6843</v>
      </c>
      <c r="E3211" s="7" t="n">
        <v>3</v>
      </c>
      <c r="F3211" s="7" t="s">
        <v>6812</v>
      </c>
      <c r="G3211" s="12" t="str">
        <f aca="false">IFERROR(INDEX('Semrush Data'!$A$1:$Z$20000,MATCH(A3211,'Semrush Data'!$A$1:$A$20000,0),MATCH("Volume",'Semrush Data'!$A$1:$Z$1,0)),"")</f>
        <v/>
      </c>
      <c r="H3211" s="7" t="str">
        <f aca="false">IFERROR(INDEX('Semrush Data'!$A$1:$Z$20000,MATCH(A3211,'Semrush Data'!$A$1:$A$20000,0),MATCH("Keyword Difficulty*",'Semrush Data'!$A$1:$Z$1,0)),"")</f>
        <v/>
      </c>
      <c r="I3211" s="13" t="str">
        <f aca="false">IFERROR(INDEX('Semrush Data'!$A$1:$Z$20000,MATCH(A3211,'Semrush Data'!$A$1:$A$20000,0),MATCH("CPC*",'Semrush Data'!$A$1:$Z$1,0)),"")</f>
        <v/>
      </c>
      <c r="J3211" s="7" t="str">
        <f aca="false">IFERROR(INDEX('Semrush Data'!$A$1:$Z$20000,MATCH(A3211,'Semrush Data'!$A$1:$A$20000,0),MATCH("Intent",'Semrush Data'!$A$1:$Z$1,0)),"")</f>
        <v/>
      </c>
    </row>
    <row r="3212" customFormat="false" ht="15" hidden="false" customHeight="true" outlineLevel="0" collapsed="false">
      <c r="A3212" s="7" t="s">
        <v>7862</v>
      </c>
      <c r="B3212" s="7" t="s">
        <v>6820</v>
      </c>
      <c r="C3212" s="7" t="n">
        <v>3</v>
      </c>
      <c r="D3212" s="7" t="n">
        <v>33</v>
      </c>
      <c r="E3212" s="7" t="n">
        <v>3</v>
      </c>
      <c r="F3212" s="7" t="s">
        <v>6812</v>
      </c>
      <c r="G3212" s="12" t="str">
        <f aca="false">IFERROR(INDEX('Semrush Data'!$A$1:$Z$20000,MATCH(A3212,'Semrush Data'!$A$1:$A$20000,0),MATCH("Volume",'Semrush Data'!$A$1:$Z$1,0)),"")</f>
        <v/>
      </c>
      <c r="H3212" s="7" t="str">
        <f aca="false">IFERROR(INDEX('Semrush Data'!$A$1:$Z$20000,MATCH(A3212,'Semrush Data'!$A$1:$A$20000,0),MATCH("Keyword Difficulty*",'Semrush Data'!$A$1:$Z$1,0)),"")</f>
        <v/>
      </c>
      <c r="I3212" s="13" t="str">
        <f aca="false">IFERROR(INDEX('Semrush Data'!$A$1:$Z$20000,MATCH(A3212,'Semrush Data'!$A$1:$A$20000,0),MATCH("CPC*",'Semrush Data'!$A$1:$Z$1,0)),"")</f>
        <v/>
      </c>
      <c r="J3212" s="7" t="str">
        <f aca="false">IFERROR(INDEX('Semrush Data'!$A$1:$Z$20000,MATCH(A3212,'Semrush Data'!$A$1:$A$20000,0),MATCH("Intent",'Semrush Data'!$A$1:$Z$1,0)),"")</f>
        <v/>
      </c>
    </row>
    <row r="3213" customFormat="false" ht="15" hidden="false" customHeight="true" outlineLevel="0" collapsed="false">
      <c r="A3213" s="7" t="s">
        <v>576</v>
      </c>
      <c r="B3213" s="7" t="s">
        <v>6820</v>
      </c>
      <c r="C3213" s="7" t="n">
        <v>3</v>
      </c>
      <c r="D3213" s="7" t="s">
        <v>6843</v>
      </c>
      <c r="E3213" s="7" t="n">
        <v>1</v>
      </c>
      <c r="F3213" s="7" t="s">
        <v>569</v>
      </c>
      <c r="G3213" s="12" t="str">
        <f aca="false">IFERROR(INDEX('Semrush Data'!$A$1:$Z$20000,MATCH(A3213,'Semrush Data'!$A$1:$A$20000,0),MATCH("Volume",'Semrush Data'!$A$1:$Z$1,0)),"")</f>
        <v/>
      </c>
      <c r="H3213" s="7" t="str">
        <f aca="false">IFERROR(INDEX('Semrush Data'!$A$1:$Z$20000,MATCH(A3213,'Semrush Data'!$A$1:$A$20000,0),MATCH("Keyword Difficulty*",'Semrush Data'!$A$1:$Z$1,0)),"")</f>
        <v/>
      </c>
      <c r="I3213" s="13" t="str">
        <f aca="false">IFERROR(INDEX('Semrush Data'!$A$1:$Z$20000,MATCH(A3213,'Semrush Data'!$A$1:$A$20000,0),MATCH("CPC*",'Semrush Data'!$A$1:$Z$1,0)),"")</f>
        <v/>
      </c>
      <c r="J3213" s="7" t="str">
        <f aca="false">IFERROR(INDEX('Semrush Data'!$A$1:$Z$20000,MATCH(A3213,'Semrush Data'!$A$1:$A$20000,0),MATCH("Intent",'Semrush Data'!$A$1:$Z$1,0)),"")</f>
        <v/>
      </c>
    </row>
    <row r="3214" customFormat="false" ht="15" hidden="false" customHeight="true" outlineLevel="0" collapsed="false">
      <c r="A3214" s="7" t="s">
        <v>435</v>
      </c>
      <c r="B3214" s="7" t="s">
        <v>6820</v>
      </c>
      <c r="C3214" s="7" t="n">
        <v>3</v>
      </c>
      <c r="D3214" s="7" t="s">
        <v>6843</v>
      </c>
      <c r="E3214" s="7" t="n">
        <v>1</v>
      </c>
      <c r="F3214" s="7" t="s">
        <v>429</v>
      </c>
      <c r="G3214" s="12" t="str">
        <f aca="false">IFERROR(INDEX('Semrush Data'!$A$1:$Z$20000,MATCH(A3214,'Semrush Data'!$A$1:$A$20000,0),MATCH("Volume",'Semrush Data'!$A$1:$Z$1,0)),"")</f>
        <v/>
      </c>
      <c r="H3214" s="7" t="str">
        <f aca="false">IFERROR(INDEX('Semrush Data'!$A$1:$Z$20000,MATCH(A3214,'Semrush Data'!$A$1:$A$20000,0),MATCH("Keyword Difficulty*",'Semrush Data'!$A$1:$Z$1,0)),"")</f>
        <v/>
      </c>
      <c r="I3214" s="13" t="str">
        <f aca="false">IFERROR(INDEX('Semrush Data'!$A$1:$Z$20000,MATCH(A3214,'Semrush Data'!$A$1:$A$20000,0),MATCH("CPC*",'Semrush Data'!$A$1:$Z$1,0)),"")</f>
        <v/>
      </c>
      <c r="J3214" s="7" t="str">
        <f aca="false">IFERROR(INDEX('Semrush Data'!$A$1:$Z$20000,MATCH(A3214,'Semrush Data'!$A$1:$A$20000,0),MATCH("Intent",'Semrush Data'!$A$1:$Z$1,0)),"")</f>
        <v/>
      </c>
    </row>
    <row r="3215" customFormat="false" ht="15" hidden="false" customHeight="true" outlineLevel="0" collapsed="false">
      <c r="A3215" s="7" t="s">
        <v>7863</v>
      </c>
      <c r="B3215" s="7" t="s">
        <v>6820</v>
      </c>
      <c r="C3215" s="7" t="n">
        <v>3</v>
      </c>
      <c r="D3215" s="7" t="s">
        <v>6843</v>
      </c>
      <c r="E3215" s="7" t="n">
        <v>1</v>
      </c>
      <c r="F3215" s="7" t="s">
        <v>436</v>
      </c>
      <c r="G3215" s="12" t="str">
        <f aca="false">IFERROR(INDEX('Semrush Data'!$A$1:$Z$20000,MATCH(A3215,'Semrush Data'!$A$1:$A$20000,0),MATCH("Volume",'Semrush Data'!$A$1:$Z$1,0)),"")</f>
        <v/>
      </c>
      <c r="H3215" s="7" t="str">
        <f aca="false">IFERROR(INDEX('Semrush Data'!$A$1:$Z$20000,MATCH(A3215,'Semrush Data'!$A$1:$A$20000,0),MATCH("Keyword Difficulty*",'Semrush Data'!$A$1:$Z$1,0)),"")</f>
        <v/>
      </c>
      <c r="I3215" s="13" t="str">
        <f aca="false">IFERROR(INDEX('Semrush Data'!$A$1:$Z$20000,MATCH(A3215,'Semrush Data'!$A$1:$A$20000,0),MATCH("CPC*",'Semrush Data'!$A$1:$Z$1,0)),"")</f>
        <v/>
      </c>
      <c r="J3215" s="7" t="str">
        <f aca="false">IFERROR(INDEX('Semrush Data'!$A$1:$Z$20000,MATCH(A3215,'Semrush Data'!$A$1:$A$20000,0),MATCH("Intent",'Semrush Data'!$A$1:$Z$1,0)),"")</f>
        <v/>
      </c>
    </row>
    <row r="3216" customFormat="false" ht="15" hidden="false" customHeight="true" outlineLevel="0" collapsed="false">
      <c r="A3216" s="7" t="s">
        <v>7864</v>
      </c>
      <c r="B3216" s="7" t="s">
        <v>6820</v>
      </c>
      <c r="C3216" s="7" t="n">
        <v>3</v>
      </c>
      <c r="D3216" s="7" t="n">
        <v>33</v>
      </c>
      <c r="E3216" s="7" t="n">
        <v>1</v>
      </c>
      <c r="F3216" s="7" t="s">
        <v>577</v>
      </c>
      <c r="G3216" s="12" t="str">
        <f aca="false">IFERROR(INDEX('Semrush Data'!$A$1:$Z$20000,MATCH(A3216,'Semrush Data'!$A$1:$A$20000,0),MATCH("Volume",'Semrush Data'!$A$1:$Z$1,0)),"")</f>
        <v/>
      </c>
      <c r="H3216" s="7" t="str">
        <f aca="false">IFERROR(INDEX('Semrush Data'!$A$1:$Z$20000,MATCH(A3216,'Semrush Data'!$A$1:$A$20000,0),MATCH("Keyword Difficulty*",'Semrush Data'!$A$1:$Z$1,0)),"")</f>
        <v/>
      </c>
      <c r="I3216" s="13" t="str">
        <f aca="false">IFERROR(INDEX('Semrush Data'!$A$1:$Z$20000,MATCH(A3216,'Semrush Data'!$A$1:$A$20000,0),MATCH("CPC*",'Semrush Data'!$A$1:$Z$1,0)),"")</f>
        <v/>
      </c>
      <c r="J3216" s="7" t="str">
        <f aca="false">IFERROR(INDEX('Semrush Data'!$A$1:$Z$20000,MATCH(A3216,'Semrush Data'!$A$1:$A$20000,0),MATCH("Intent",'Semrush Data'!$A$1:$Z$1,0)),"")</f>
        <v/>
      </c>
    </row>
    <row r="3217" customFormat="false" ht="15" hidden="false" customHeight="true" outlineLevel="0" collapsed="false">
      <c r="A3217" s="7" t="s">
        <v>7865</v>
      </c>
      <c r="B3217" s="7" t="s">
        <v>6820</v>
      </c>
      <c r="C3217" s="7" t="n">
        <v>3</v>
      </c>
      <c r="D3217" s="7" t="n">
        <v>33</v>
      </c>
      <c r="E3217" s="7" t="n">
        <v>1</v>
      </c>
      <c r="F3217" s="7" t="s">
        <v>436</v>
      </c>
      <c r="G3217" s="12" t="str">
        <f aca="false">IFERROR(INDEX('Semrush Data'!$A$1:$Z$20000,MATCH(A3217,'Semrush Data'!$A$1:$A$20000,0),MATCH("Volume",'Semrush Data'!$A$1:$Z$1,0)),"")</f>
        <v/>
      </c>
      <c r="H3217" s="7" t="str">
        <f aca="false">IFERROR(INDEX('Semrush Data'!$A$1:$Z$20000,MATCH(A3217,'Semrush Data'!$A$1:$A$20000,0),MATCH("Keyword Difficulty*",'Semrush Data'!$A$1:$Z$1,0)),"")</f>
        <v/>
      </c>
      <c r="I3217" s="13" t="str">
        <f aca="false">IFERROR(INDEX('Semrush Data'!$A$1:$Z$20000,MATCH(A3217,'Semrush Data'!$A$1:$A$20000,0),MATCH("CPC*",'Semrush Data'!$A$1:$Z$1,0)),"")</f>
        <v/>
      </c>
      <c r="J3217" s="7" t="str">
        <f aca="false">IFERROR(INDEX('Semrush Data'!$A$1:$Z$20000,MATCH(A3217,'Semrush Data'!$A$1:$A$20000,0),MATCH("Intent",'Semrush Data'!$A$1:$Z$1,0)),"")</f>
        <v/>
      </c>
    </row>
    <row r="3218" customFormat="false" ht="15" hidden="false" customHeight="true" outlineLevel="0" collapsed="false">
      <c r="A3218" s="7" t="s">
        <v>7866</v>
      </c>
      <c r="B3218" s="7" t="s">
        <v>6820</v>
      </c>
      <c r="C3218" s="7" t="n">
        <v>3</v>
      </c>
      <c r="D3218" s="7" t="n">
        <v>33</v>
      </c>
      <c r="E3218" s="7" t="n">
        <v>6</v>
      </c>
      <c r="F3218" s="7" t="s">
        <v>7867</v>
      </c>
      <c r="G3218" s="12" t="str">
        <f aca="false">IFERROR(INDEX('Semrush Data'!$A$1:$Z$20000,MATCH(A3218,'Semrush Data'!$A$1:$A$20000,0),MATCH("Volume",'Semrush Data'!$A$1:$Z$1,0)),"")</f>
        <v/>
      </c>
      <c r="H3218" s="7" t="str">
        <f aca="false">IFERROR(INDEX('Semrush Data'!$A$1:$Z$20000,MATCH(A3218,'Semrush Data'!$A$1:$A$20000,0),MATCH("Keyword Difficulty*",'Semrush Data'!$A$1:$Z$1,0)),"")</f>
        <v/>
      </c>
      <c r="I3218" s="13" t="str">
        <f aca="false">IFERROR(INDEX('Semrush Data'!$A$1:$Z$20000,MATCH(A3218,'Semrush Data'!$A$1:$A$20000,0),MATCH("CPC*",'Semrush Data'!$A$1:$Z$1,0)),"")</f>
        <v/>
      </c>
      <c r="J3218" s="7" t="str">
        <f aca="false">IFERROR(INDEX('Semrush Data'!$A$1:$Z$20000,MATCH(A3218,'Semrush Data'!$A$1:$A$20000,0),MATCH("Intent",'Semrush Data'!$A$1:$Z$1,0)),"")</f>
        <v/>
      </c>
    </row>
    <row r="3219" customFormat="false" ht="15" hidden="false" customHeight="true" outlineLevel="0" collapsed="false">
      <c r="A3219" s="7" t="s">
        <v>7868</v>
      </c>
      <c r="B3219" s="7" t="s">
        <v>6820</v>
      </c>
      <c r="C3219" s="7" t="n">
        <v>3</v>
      </c>
      <c r="D3219" s="7" t="s">
        <v>6843</v>
      </c>
      <c r="E3219" s="7" t="n">
        <v>7</v>
      </c>
      <c r="F3219" s="7" t="s">
        <v>7869</v>
      </c>
      <c r="G3219" s="12" t="str">
        <f aca="false">IFERROR(INDEX('Semrush Data'!$A$1:$Z$20000,MATCH(A3219,'Semrush Data'!$A$1:$A$20000,0),MATCH("Volume",'Semrush Data'!$A$1:$Z$1,0)),"")</f>
        <v/>
      </c>
      <c r="H3219" s="7" t="str">
        <f aca="false">IFERROR(INDEX('Semrush Data'!$A$1:$Z$20000,MATCH(A3219,'Semrush Data'!$A$1:$A$20000,0),MATCH("Keyword Difficulty*",'Semrush Data'!$A$1:$Z$1,0)),"")</f>
        <v/>
      </c>
      <c r="I3219" s="13" t="str">
        <f aca="false">IFERROR(INDEX('Semrush Data'!$A$1:$Z$20000,MATCH(A3219,'Semrush Data'!$A$1:$A$20000,0),MATCH("CPC*",'Semrush Data'!$A$1:$Z$1,0)),"")</f>
        <v/>
      </c>
      <c r="J3219" s="7" t="str">
        <f aca="false">IFERROR(INDEX('Semrush Data'!$A$1:$Z$20000,MATCH(A3219,'Semrush Data'!$A$1:$A$20000,0),MATCH("Intent",'Semrush Data'!$A$1:$Z$1,0)),"")</f>
        <v/>
      </c>
    </row>
    <row r="3220" customFormat="false" ht="15" hidden="false" customHeight="true" outlineLevel="0" collapsed="false">
      <c r="A3220" s="7" t="s">
        <v>7870</v>
      </c>
      <c r="B3220" s="7" t="s">
        <v>6820</v>
      </c>
      <c r="C3220" s="7" t="n">
        <v>3</v>
      </c>
      <c r="D3220" s="7" t="n">
        <v>33</v>
      </c>
      <c r="E3220" s="7" t="n">
        <v>1</v>
      </c>
      <c r="F3220" s="7" t="s">
        <v>584</v>
      </c>
      <c r="G3220" s="12" t="str">
        <f aca="false">IFERROR(INDEX('Semrush Data'!$A$1:$Z$20000,MATCH(A3220,'Semrush Data'!$A$1:$A$20000,0),MATCH("Volume",'Semrush Data'!$A$1:$Z$1,0)),"")</f>
        <v/>
      </c>
      <c r="H3220" s="7" t="str">
        <f aca="false">IFERROR(INDEX('Semrush Data'!$A$1:$Z$20000,MATCH(A3220,'Semrush Data'!$A$1:$A$20000,0),MATCH("Keyword Difficulty*",'Semrush Data'!$A$1:$Z$1,0)),"")</f>
        <v/>
      </c>
      <c r="I3220" s="13" t="str">
        <f aca="false">IFERROR(INDEX('Semrush Data'!$A$1:$Z$20000,MATCH(A3220,'Semrush Data'!$A$1:$A$20000,0),MATCH("CPC*",'Semrush Data'!$A$1:$Z$1,0)),"")</f>
        <v/>
      </c>
      <c r="J3220" s="7" t="str">
        <f aca="false">IFERROR(INDEX('Semrush Data'!$A$1:$Z$20000,MATCH(A3220,'Semrush Data'!$A$1:$A$20000,0),MATCH("Intent",'Semrush Data'!$A$1:$Z$1,0)),"")</f>
        <v/>
      </c>
    </row>
    <row r="3221" customFormat="false" ht="15" hidden="false" customHeight="true" outlineLevel="0" collapsed="false">
      <c r="A3221" s="7" t="s">
        <v>7871</v>
      </c>
      <c r="B3221" s="7" t="s">
        <v>6820</v>
      </c>
      <c r="C3221" s="7" t="n">
        <v>3</v>
      </c>
      <c r="D3221" s="7" t="n">
        <v>33</v>
      </c>
      <c r="E3221" s="7" t="n">
        <v>1</v>
      </c>
      <c r="F3221" s="7" t="s">
        <v>584</v>
      </c>
      <c r="G3221" s="12" t="str">
        <f aca="false">IFERROR(INDEX('Semrush Data'!$A$1:$Z$20000,MATCH(A3221,'Semrush Data'!$A$1:$A$20000,0),MATCH("Volume",'Semrush Data'!$A$1:$Z$1,0)),"")</f>
        <v/>
      </c>
      <c r="H3221" s="7" t="str">
        <f aca="false">IFERROR(INDEX('Semrush Data'!$A$1:$Z$20000,MATCH(A3221,'Semrush Data'!$A$1:$A$20000,0),MATCH("Keyword Difficulty*",'Semrush Data'!$A$1:$Z$1,0)),"")</f>
        <v/>
      </c>
      <c r="I3221" s="13" t="str">
        <f aca="false">IFERROR(INDEX('Semrush Data'!$A$1:$Z$20000,MATCH(A3221,'Semrush Data'!$A$1:$A$20000,0),MATCH("CPC*",'Semrush Data'!$A$1:$Z$1,0)),"")</f>
        <v/>
      </c>
      <c r="J3221" s="7" t="str">
        <f aca="false">IFERROR(INDEX('Semrush Data'!$A$1:$Z$20000,MATCH(A3221,'Semrush Data'!$A$1:$A$20000,0),MATCH("Intent",'Semrush Data'!$A$1:$Z$1,0)),"")</f>
        <v/>
      </c>
    </row>
    <row r="3222" customFormat="false" ht="15" hidden="false" customHeight="true" outlineLevel="0" collapsed="false">
      <c r="A3222" s="7" t="s">
        <v>7872</v>
      </c>
      <c r="B3222" s="7" t="s">
        <v>6820</v>
      </c>
      <c r="C3222" s="7" t="n">
        <v>3</v>
      </c>
      <c r="D3222" s="7" t="n">
        <v>33</v>
      </c>
      <c r="E3222" s="7" t="n">
        <v>1</v>
      </c>
      <c r="F3222" s="7" t="s">
        <v>584</v>
      </c>
      <c r="G3222" s="12" t="str">
        <f aca="false">IFERROR(INDEX('Semrush Data'!$A$1:$Z$20000,MATCH(A3222,'Semrush Data'!$A$1:$A$20000,0),MATCH("Volume",'Semrush Data'!$A$1:$Z$1,0)),"")</f>
        <v/>
      </c>
      <c r="H3222" s="7" t="str">
        <f aca="false">IFERROR(INDEX('Semrush Data'!$A$1:$Z$20000,MATCH(A3222,'Semrush Data'!$A$1:$A$20000,0),MATCH("Keyword Difficulty*",'Semrush Data'!$A$1:$Z$1,0)),"")</f>
        <v/>
      </c>
      <c r="I3222" s="13" t="str">
        <f aca="false">IFERROR(INDEX('Semrush Data'!$A$1:$Z$20000,MATCH(A3222,'Semrush Data'!$A$1:$A$20000,0),MATCH("CPC*",'Semrush Data'!$A$1:$Z$1,0)),"")</f>
        <v/>
      </c>
      <c r="J3222" s="7" t="str">
        <f aca="false">IFERROR(INDEX('Semrush Data'!$A$1:$Z$20000,MATCH(A3222,'Semrush Data'!$A$1:$A$20000,0),MATCH("Intent",'Semrush Data'!$A$1:$Z$1,0)),"")</f>
        <v/>
      </c>
    </row>
    <row r="3223" customFormat="false" ht="15" hidden="false" customHeight="true" outlineLevel="0" collapsed="false">
      <c r="A3223" s="7" t="s">
        <v>7873</v>
      </c>
      <c r="B3223" s="7" t="s">
        <v>6820</v>
      </c>
      <c r="C3223" s="7" t="n">
        <v>3</v>
      </c>
      <c r="D3223" s="7" t="s">
        <v>6843</v>
      </c>
      <c r="E3223" s="7" t="n">
        <v>1</v>
      </c>
      <c r="F3223" s="7" t="s">
        <v>584</v>
      </c>
      <c r="G3223" s="12" t="str">
        <f aca="false">IFERROR(INDEX('Semrush Data'!$A$1:$Z$20000,MATCH(A3223,'Semrush Data'!$A$1:$A$20000,0),MATCH("Volume",'Semrush Data'!$A$1:$Z$1,0)),"")</f>
        <v/>
      </c>
      <c r="H3223" s="7" t="str">
        <f aca="false">IFERROR(INDEX('Semrush Data'!$A$1:$Z$20000,MATCH(A3223,'Semrush Data'!$A$1:$A$20000,0),MATCH("Keyword Difficulty*",'Semrush Data'!$A$1:$Z$1,0)),"")</f>
        <v/>
      </c>
      <c r="I3223" s="13" t="str">
        <f aca="false">IFERROR(INDEX('Semrush Data'!$A$1:$Z$20000,MATCH(A3223,'Semrush Data'!$A$1:$A$20000,0),MATCH("CPC*",'Semrush Data'!$A$1:$Z$1,0)),"")</f>
        <v/>
      </c>
      <c r="J3223" s="7" t="str">
        <f aca="false">IFERROR(INDEX('Semrush Data'!$A$1:$Z$20000,MATCH(A3223,'Semrush Data'!$A$1:$A$20000,0),MATCH("Intent",'Semrush Data'!$A$1:$Z$1,0)),"")</f>
        <v/>
      </c>
    </row>
    <row r="3224" customFormat="false" ht="15" hidden="false" customHeight="true" outlineLevel="0" collapsed="false">
      <c r="A3224" s="7" t="s">
        <v>7874</v>
      </c>
      <c r="B3224" s="7" t="s">
        <v>6820</v>
      </c>
      <c r="C3224" s="7" t="n">
        <v>3</v>
      </c>
      <c r="D3224" s="7" t="s">
        <v>6843</v>
      </c>
      <c r="E3224" s="7" t="n">
        <v>1</v>
      </c>
      <c r="F3224" s="7" t="s">
        <v>443</v>
      </c>
      <c r="G3224" s="12" t="str">
        <f aca="false">IFERROR(INDEX('Semrush Data'!$A$1:$Z$20000,MATCH(A3224,'Semrush Data'!$A$1:$A$20000,0),MATCH("Volume",'Semrush Data'!$A$1:$Z$1,0)),"")</f>
        <v/>
      </c>
      <c r="H3224" s="7" t="str">
        <f aca="false">IFERROR(INDEX('Semrush Data'!$A$1:$Z$20000,MATCH(A3224,'Semrush Data'!$A$1:$A$20000,0),MATCH("Keyword Difficulty*",'Semrush Data'!$A$1:$Z$1,0)),"")</f>
        <v/>
      </c>
      <c r="I3224" s="13" t="str">
        <f aca="false">IFERROR(INDEX('Semrush Data'!$A$1:$Z$20000,MATCH(A3224,'Semrush Data'!$A$1:$A$20000,0),MATCH("CPC*",'Semrush Data'!$A$1:$Z$1,0)),"")</f>
        <v/>
      </c>
      <c r="J3224" s="7" t="str">
        <f aca="false">IFERROR(INDEX('Semrush Data'!$A$1:$Z$20000,MATCH(A3224,'Semrush Data'!$A$1:$A$20000,0),MATCH("Intent",'Semrush Data'!$A$1:$Z$1,0)),"")</f>
        <v/>
      </c>
    </row>
    <row r="3225" customFormat="false" ht="15" hidden="false" customHeight="true" outlineLevel="0" collapsed="false">
      <c r="A3225" s="7" t="s">
        <v>7875</v>
      </c>
      <c r="B3225" s="7" t="s">
        <v>6820</v>
      </c>
      <c r="C3225" s="7" t="n">
        <v>3</v>
      </c>
      <c r="D3225" s="7" t="n">
        <v>33</v>
      </c>
      <c r="E3225" s="7" t="n">
        <v>2</v>
      </c>
      <c r="F3225" s="7" t="s">
        <v>6813</v>
      </c>
      <c r="G3225" s="12" t="str">
        <f aca="false">IFERROR(INDEX('Semrush Data'!$A$1:$Z$20000,MATCH(A3225,'Semrush Data'!$A$1:$A$20000,0),MATCH("Volume",'Semrush Data'!$A$1:$Z$1,0)),"")</f>
        <v/>
      </c>
      <c r="H3225" s="7" t="str">
        <f aca="false">IFERROR(INDEX('Semrush Data'!$A$1:$Z$20000,MATCH(A3225,'Semrush Data'!$A$1:$A$20000,0),MATCH("Keyword Difficulty*",'Semrush Data'!$A$1:$Z$1,0)),"")</f>
        <v/>
      </c>
      <c r="I3225" s="13" t="str">
        <f aca="false">IFERROR(INDEX('Semrush Data'!$A$1:$Z$20000,MATCH(A3225,'Semrush Data'!$A$1:$A$20000,0),MATCH("CPC*",'Semrush Data'!$A$1:$Z$1,0)),"")</f>
        <v/>
      </c>
      <c r="J3225" s="7" t="str">
        <f aca="false">IFERROR(INDEX('Semrush Data'!$A$1:$Z$20000,MATCH(A3225,'Semrush Data'!$A$1:$A$20000,0),MATCH("Intent",'Semrush Data'!$A$1:$Z$1,0)),"")</f>
        <v/>
      </c>
    </row>
    <row r="3226" customFormat="false" ht="15" hidden="false" customHeight="true" outlineLevel="0" collapsed="false">
      <c r="A3226" s="7" t="s">
        <v>7876</v>
      </c>
      <c r="B3226" s="7" t="s">
        <v>6820</v>
      </c>
      <c r="C3226" s="7" t="n">
        <v>3</v>
      </c>
      <c r="D3226" s="7" t="n">
        <v>33</v>
      </c>
      <c r="E3226" s="7" t="n">
        <v>2</v>
      </c>
      <c r="F3226" s="7" t="s">
        <v>6813</v>
      </c>
      <c r="G3226" s="12" t="str">
        <f aca="false">IFERROR(INDEX('Semrush Data'!$A$1:$Z$20000,MATCH(A3226,'Semrush Data'!$A$1:$A$20000,0),MATCH("Volume",'Semrush Data'!$A$1:$Z$1,0)),"")</f>
        <v/>
      </c>
      <c r="H3226" s="7" t="str">
        <f aca="false">IFERROR(INDEX('Semrush Data'!$A$1:$Z$20000,MATCH(A3226,'Semrush Data'!$A$1:$A$20000,0),MATCH("Keyword Difficulty*",'Semrush Data'!$A$1:$Z$1,0)),"")</f>
        <v/>
      </c>
      <c r="I3226" s="13" t="str">
        <f aca="false">IFERROR(INDEX('Semrush Data'!$A$1:$Z$20000,MATCH(A3226,'Semrush Data'!$A$1:$A$20000,0),MATCH("CPC*",'Semrush Data'!$A$1:$Z$1,0)),"")</f>
        <v/>
      </c>
      <c r="J3226" s="7" t="str">
        <f aca="false">IFERROR(INDEX('Semrush Data'!$A$1:$Z$20000,MATCH(A3226,'Semrush Data'!$A$1:$A$20000,0),MATCH("Intent",'Semrush Data'!$A$1:$Z$1,0)),"")</f>
        <v/>
      </c>
    </row>
    <row r="3227" customFormat="false" ht="15" hidden="false" customHeight="true" outlineLevel="0" collapsed="false">
      <c r="A3227" s="7" t="s">
        <v>7877</v>
      </c>
      <c r="B3227" s="7" t="s">
        <v>6820</v>
      </c>
      <c r="C3227" s="7" t="n">
        <v>3</v>
      </c>
      <c r="D3227" s="7" t="n">
        <v>33</v>
      </c>
      <c r="E3227" s="7" t="n">
        <v>2</v>
      </c>
      <c r="F3227" s="7" t="s">
        <v>6813</v>
      </c>
      <c r="G3227" s="12" t="str">
        <f aca="false">IFERROR(INDEX('Semrush Data'!$A$1:$Z$20000,MATCH(A3227,'Semrush Data'!$A$1:$A$20000,0),MATCH("Volume",'Semrush Data'!$A$1:$Z$1,0)),"")</f>
        <v/>
      </c>
      <c r="H3227" s="7" t="str">
        <f aca="false">IFERROR(INDEX('Semrush Data'!$A$1:$Z$20000,MATCH(A3227,'Semrush Data'!$A$1:$A$20000,0),MATCH("Keyword Difficulty*",'Semrush Data'!$A$1:$Z$1,0)),"")</f>
        <v/>
      </c>
      <c r="I3227" s="13" t="str">
        <f aca="false">IFERROR(INDEX('Semrush Data'!$A$1:$Z$20000,MATCH(A3227,'Semrush Data'!$A$1:$A$20000,0),MATCH("CPC*",'Semrush Data'!$A$1:$Z$1,0)),"")</f>
        <v/>
      </c>
      <c r="J3227" s="7" t="str">
        <f aca="false">IFERROR(INDEX('Semrush Data'!$A$1:$Z$20000,MATCH(A3227,'Semrush Data'!$A$1:$A$20000,0),MATCH("Intent",'Semrush Data'!$A$1:$Z$1,0)),"")</f>
        <v/>
      </c>
    </row>
    <row r="3228" customFormat="false" ht="15" hidden="false" customHeight="true" outlineLevel="0" collapsed="false">
      <c r="A3228" s="7" t="s">
        <v>7878</v>
      </c>
      <c r="B3228" s="7" t="s">
        <v>6820</v>
      </c>
      <c r="C3228" s="7" t="n">
        <v>3</v>
      </c>
      <c r="D3228" s="7" t="s">
        <v>6843</v>
      </c>
      <c r="E3228" s="7" t="n">
        <v>2</v>
      </c>
      <c r="F3228" s="7" t="s">
        <v>6813</v>
      </c>
      <c r="G3228" s="12" t="str">
        <f aca="false">IFERROR(INDEX('Semrush Data'!$A$1:$Z$20000,MATCH(A3228,'Semrush Data'!$A$1:$A$20000,0),MATCH("Volume",'Semrush Data'!$A$1:$Z$1,0)),"")</f>
        <v/>
      </c>
      <c r="H3228" s="7" t="str">
        <f aca="false">IFERROR(INDEX('Semrush Data'!$A$1:$Z$20000,MATCH(A3228,'Semrush Data'!$A$1:$A$20000,0),MATCH("Keyword Difficulty*",'Semrush Data'!$A$1:$Z$1,0)),"")</f>
        <v/>
      </c>
      <c r="I3228" s="13" t="str">
        <f aca="false">IFERROR(INDEX('Semrush Data'!$A$1:$Z$20000,MATCH(A3228,'Semrush Data'!$A$1:$A$20000,0),MATCH("CPC*",'Semrush Data'!$A$1:$Z$1,0)),"")</f>
        <v/>
      </c>
      <c r="J3228" s="7" t="str">
        <f aca="false">IFERROR(INDEX('Semrush Data'!$A$1:$Z$20000,MATCH(A3228,'Semrush Data'!$A$1:$A$20000,0),MATCH("Intent",'Semrush Data'!$A$1:$Z$1,0)),"")</f>
        <v/>
      </c>
    </row>
    <row r="3229" customFormat="false" ht="15" hidden="false" customHeight="true" outlineLevel="0" collapsed="false">
      <c r="A3229" s="7" t="s">
        <v>7879</v>
      </c>
      <c r="B3229" s="7" t="s">
        <v>6820</v>
      </c>
      <c r="C3229" s="7" t="n">
        <v>3</v>
      </c>
      <c r="D3229" s="7" t="s">
        <v>6843</v>
      </c>
      <c r="E3229" s="7" t="n">
        <v>1</v>
      </c>
      <c r="F3229" s="7" t="s">
        <v>452</v>
      </c>
      <c r="G3229" s="12" t="str">
        <f aca="false">IFERROR(INDEX('Semrush Data'!$A$1:$Z$20000,MATCH(A3229,'Semrush Data'!$A$1:$A$20000,0),MATCH("Volume",'Semrush Data'!$A$1:$Z$1,0)),"")</f>
        <v/>
      </c>
      <c r="H3229" s="7" t="str">
        <f aca="false">IFERROR(INDEX('Semrush Data'!$A$1:$Z$20000,MATCH(A3229,'Semrush Data'!$A$1:$A$20000,0),MATCH("Keyword Difficulty*",'Semrush Data'!$A$1:$Z$1,0)),"")</f>
        <v/>
      </c>
      <c r="I3229" s="13" t="str">
        <f aca="false">IFERROR(INDEX('Semrush Data'!$A$1:$Z$20000,MATCH(A3229,'Semrush Data'!$A$1:$A$20000,0),MATCH("CPC*",'Semrush Data'!$A$1:$Z$1,0)),"")</f>
        <v/>
      </c>
      <c r="J3229" s="7" t="str">
        <f aca="false">IFERROR(INDEX('Semrush Data'!$A$1:$Z$20000,MATCH(A3229,'Semrush Data'!$A$1:$A$20000,0),MATCH("Intent",'Semrush Data'!$A$1:$Z$1,0)),"")</f>
        <v/>
      </c>
    </row>
    <row r="3230" customFormat="false" ht="15" hidden="false" customHeight="true" outlineLevel="0" collapsed="false">
      <c r="A3230" s="7" t="s">
        <v>7880</v>
      </c>
      <c r="B3230" s="7" t="s">
        <v>6820</v>
      </c>
      <c r="C3230" s="7" t="n">
        <v>3</v>
      </c>
      <c r="D3230" s="7" t="n">
        <v>33</v>
      </c>
      <c r="E3230" s="7" t="n">
        <v>1</v>
      </c>
      <c r="F3230" s="7" t="s">
        <v>459</v>
      </c>
      <c r="G3230" s="12" t="str">
        <f aca="false">IFERROR(INDEX('Semrush Data'!$A$1:$Z$20000,MATCH(A3230,'Semrush Data'!$A$1:$A$20000,0),MATCH("Volume",'Semrush Data'!$A$1:$Z$1,0)),"")</f>
        <v/>
      </c>
      <c r="H3230" s="7" t="str">
        <f aca="false">IFERROR(INDEX('Semrush Data'!$A$1:$Z$20000,MATCH(A3230,'Semrush Data'!$A$1:$A$20000,0),MATCH("Keyword Difficulty*",'Semrush Data'!$A$1:$Z$1,0)),"")</f>
        <v/>
      </c>
      <c r="I3230" s="13" t="str">
        <f aca="false">IFERROR(INDEX('Semrush Data'!$A$1:$Z$20000,MATCH(A3230,'Semrush Data'!$A$1:$A$20000,0),MATCH("CPC*",'Semrush Data'!$A$1:$Z$1,0)),"")</f>
        <v/>
      </c>
      <c r="J3230" s="7" t="str">
        <f aca="false">IFERROR(INDEX('Semrush Data'!$A$1:$Z$20000,MATCH(A3230,'Semrush Data'!$A$1:$A$20000,0),MATCH("Intent",'Semrush Data'!$A$1:$Z$1,0)),"")</f>
        <v/>
      </c>
    </row>
    <row r="3231" customFormat="false" ht="15" hidden="false" customHeight="true" outlineLevel="0" collapsed="false">
      <c r="A3231" s="7" t="s">
        <v>7881</v>
      </c>
      <c r="B3231" s="7" t="s">
        <v>6820</v>
      </c>
      <c r="C3231" s="7" t="n">
        <v>3</v>
      </c>
      <c r="D3231" s="7" t="n">
        <v>33</v>
      </c>
      <c r="E3231" s="7" t="n">
        <v>1</v>
      </c>
      <c r="F3231" s="7" t="s">
        <v>459</v>
      </c>
      <c r="G3231" s="12" t="str">
        <f aca="false">IFERROR(INDEX('Semrush Data'!$A$1:$Z$20000,MATCH(A3231,'Semrush Data'!$A$1:$A$20000,0),MATCH("Volume",'Semrush Data'!$A$1:$Z$1,0)),"")</f>
        <v/>
      </c>
      <c r="H3231" s="7" t="str">
        <f aca="false">IFERROR(INDEX('Semrush Data'!$A$1:$Z$20000,MATCH(A3231,'Semrush Data'!$A$1:$A$20000,0),MATCH("Keyword Difficulty*",'Semrush Data'!$A$1:$Z$1,0)),"")</f>
        <v/>
      </c>
      <c r="I3231" s="13" t="str">
        <f aca="false">IFERROR(INDEX('Semrush Data'!$A$1:$Z$20000,MATCH(A3231,'Semrush Data'!$A$1:$A$20000,0),MATCH("CPC*",'Semrush Data'!$A$1:$Z$1,0)),"")</f>
        <v/>
      </c>
      <c r="J3231" s="7" t="str">
        <f aca="false">IFERROR(INDEX('Semrush Data'!$A$1:$Z$20000,MATCH(A3231,'Semrush Data'!$A$1:$A$20000,0),MATCH("Intent",'Semrush Data'!$A$1:$Z$1,0)),"")</f>
        <v/>
      </c>
    </row>
    <row r="3232" customFormat="false" ht="15" hidden="false" customHeight="true" outlineLevel="0" collapsed="false">
      <c r="A3232" s="7" t="s">
        <v>7882</v>
      </c>
      <c r="B3232" s="7" t="s">
        <v>6820</v>
      </c>
      <c r="C3232" s="7" t="n">
        <v>3</v>
      </c>
      <c r="D3232" s="7" t="n">
        <v>33</v>
      </c>
      <c r="E3232" s="7" t="n">
        <v>1</v>
      </c>
      <c r="F3232" s="7" t="s">
        <v>459</v>
      </c>
      <c r="G3232" s="12" t="str">
        <f aca="false">IFERROR(INDEX('Semrush Data'!$A$1:$Z$20000,MATCH(A3232,'Semrush Data'!$A$1:$A$20000,0),MATCH("Volume",'Semrush Data'!$A$1:$Z$1,0)),"")</f>
        <v/>
      </c>
      <c r="H3232" s="7" t="str">
        <f aca="false">IFERROR(INDEX('Semrush Data'!$A$1:$Z$20000,MATCH(A3232,'Semrush Data'!$A$1:$A$20000,0),MATCH("Keyword Difficulty*",'Semrush Data'!$A$1:$Z$1,0)),"")</f>
        <v/>
      </c>
      <c r="I3232" s="13" t="str">
        <f aca="false">IFERROR(INDEX('Semrush Data'!$A$1:$Z$20000,MATCH(A3232,'Semrush Data'!$A$1:$A$20000,0),MATCH("CPC*",'Semrush Data'!$A$1:$Z$1,0)),"")</f>
        <v/>
      </c>
      <c r="J3232" s="7" t="str">
        <f aca="false">IFERROR(INDEX('Semrush Data'!$A$1:$Z$20000,MATCH(A3232,'Semrush Data'!$A$1:$A$20000,0),MATCH("Intent",'Semrush Data'!$A$1:$Z$1,0)),"")</f>
        <v/>
      </c>
    </row>
    <row r="3233" customFormat="false" ht="15" hidden="false" customHeight="true" outlineLevel="0" collapsed="false">
      <c r="A3233" s="7" t="s">
        <v>7883</v>
      </c>
      <c r="B3233" s="7" t="s">
        <v>6820</v>
      </c>
      <c r="C3233" s="7" t="n">
        <v>3</v>
      </c>
      <c r="D3233" s="7" t="n">
        <v>33</v>
      </c>
      <c r="E3233" s="7" t="n">
        <v>1</v>
      </c>
      <c r="F3233" s="7" t="s">
        <v>459</v>
      </c>
      <c r="G3233" s="12" t="str">
        <f aca="false">IFERROR(INDEX('Semrush Data'!$A$1:$Z$20000,MATCH(A3233,'Semrush Data'!$A$1:$A$20000,0),MATCH("Volume",'Semrush Data'!$A$1:$Z$1,0)),"")</f>
        <v/>
      </c>
      <c r="H3233" s="7" t="str">
        <f aca="false">IFERROR(INDEX('Semrush Data'!$A$1:$Z$20000,MATCH(A3233,'Semrush Data'!$A$1:$A$20000,0),MATCH("Keyword Difficulty*",'Semrush Data'!$A$1:$Z$1,0)),"")</f>
        <v/>
      </c>
      <c r="I3233" s="13" t="str">
        <f aca="false">IFERROR(INDEX('Semrush Data'!$A$1:$Z$20000,MATCH(A3233,'Semrush Data'!$A$1:$A$20000,0),MATCH("CPC*",'Semrush Data'!$A$1:$Z$1,0)),"")</f>
        <v/>
      </c>
      <c r="J3233" s="7" t="str">
        <f aca="false">IFERROR(INDEX('Semrush Data'!$A$1:$Z$20000,MATCH(A3233,'Semrush Data'!$A$1:$A$20000,0),MATCH("Intent",'Semrush Data'!$A$1:$Z$1,0)),"")</f>
        <v/>
      </c>
    </row>
    <row r="3234" customFormat="false" ht="15" hidden="false" customHeight="true" outlineLevel="0" collapsed="false">
      <c r="A3234" s="7" t="s">
        <v>7884</v>
      </c>
      <c r="B3234" s="7" t="s">
        <v>6820</v>
      </c>
      <c r="C3234" s="7" t="n">
        <v>3</v>
      </c>
      <c r="D3234" s="7" t="s">
        <v>6843</v>
      </c>
      <c r="E3234" s="7" t="n">
        <v>1</v>
      </c>
      <c r="F3234" s="7" t="s">
        <v>459</v>
      </c>
      <c r="G3234" s="12" t="str">
        <f aca="false">IFERROR(INDEX('Semrush Data'!$A$1:$Z$20000,MATCH(A3234,'Semrush Data'!$A$1:$A$20000,0),MATCH("Volume",'Semrush Data'!$A$1:$Z$1,0)),"")</f>
        <v/>
      </c>
      <c r="H3234" s="7" t="str">
        <f aca="false">IFERROR(INDEX('Semrush Data'!$A$1:$Z$20000,MATCH(A3234,'Semrush Data'!$A$1:$A$20000,0),MATCH("Keyword Difficulty*",'Semrush Data'!$A$1:$Z$1,0)),"")</f>
        <v/>
      </c>
      <c r="I3234" s="13" t="str">
        <f aca="false">IFERROR(INDEX('Semrush Data'!$A$1:$Z$20000,MATCH(A3234,'Semrush Data'!$A$1:$A$20000,0),MATCH("CPC*",'Semrush Data'!$A$1:$Z$1,0)),"")</f>
        <v/>
      </c>
      <c r="J3234" s="7" t="str">
        <f aca="false">IFERROR(INDEX('Semrush Data'!$A$1:$Z$20000,MATCH(A3234,'Semrush Data'!$A$1:$A$20000,0),MATCH("Intent",'Semrush Data'!$A$1:$Z$1,0)),"")</f>
        <v/>
      </c>
    </row>
    <row r="3235" customFormat="false" ht="15" hidden="false" customHeight="true" outlineLevel="0" collapsed="false">
      <c r="A3235" s="7" t="s">
        <v>7885</v>
      </c>
      <c r="B3235" s="7" t="s">
        <v>6820</v>
      </c>
      <c r="C3235" s="7" t="n">
        <v>3</v>
      </c>
      <c r="D3235" s="7" t="n">
        <v>33</v>
      </c>
      <c r="E3235" s="7" t="n">
        <v>1</v>
      </c>
      <c r="F3235" s="7" t="s">
        <v>363</v>
      </c>
      <c r="G3235" s="12" t="str">
        <f aca="false">IFERROR(INDEX('Semrush Data'!$A$1:$Z$20000,MATCH(A3235,'Semrush Data'!$A$1:$A$20000,0),MATCH("Volume",'Semrush Data'!$A$1:$Z$1,0)),"")</f>
        <v/>
      </c>
      <c r="H3235" s="7" t="str">
        <f aca="false">IFERROR(INDEX('Semrush Data'!$A$1:$Z$20000,MATCH(A3235,'Semrush Data'!$A$1:$A$20000,0),MATCH("Keyword Difficulty*",'Semrush Data'!$A$1:$Z$1,0)),"")</f>
        <v/>
      </c>
      <c r="I3235" s="13" t="str">
        <f aca="false">IFERROR(INDEX('Semrush Data'!$A$1:$Z$20000,MATCH(A3235,'Semrush Data'!$A$1:$A$20000,0),MATCH("CPC*",'Semrush Data'!$A$1:$Z$1,0)),"")</f>
        <v/>
      </c>
      <c r="J3235" s="7" t="str">
        <f aca="false">IFERROR(INDEX('Semrush Data'!$A$1:$Z$20000,MATCH(A3235,'Semrush Data'!$A$1:$A$20000,0),MATCH("Intent",'Semrush Data'!$A$1:$Z$1,0)),"")</f>
        <v/>
      </c>
    </row>
    <row r="3236" customFormat="false" ht="15" hidden="false" customHeight="true" outlineLevel="0" collapsed="false">
      <c r="A3236" s="7" t="s">
        <v>7886</v>
      </c>
      <c r="B3236" s="7" t="s">
        <v>6820</v>
      </c>
      <c r="C3236" s="7" t="n">
        <v>3</v>
      </c>
      <c r="D3236" s="7" t="n">
        <v>33</v>
      </c>
      <c r="E3236" s="7" t="n">
        <v>1</v>
      </c>
      <c r="F3236" s="7" t="s">
        <v>363</v>
      </c>
      <c r="G3236" s="12" t="str">
        <f aca="false">IFERROR(INDEX('Semrush Data'!$A$1:$Z$20000,MATCH(A3236,'Semrush Data'!$A$1:$A$20000,0),MATCH("Volume",'Semrush Data'!$A$1:$Z$1,0)),"")</f>
        <v/>
      </c>
      <c r="H3236" s="7" t="str">
        <f aca="false">IFERROR(INDEX('Semrush Data'!$A$1:$Z$20000,MATCH(A3236,'Semrush Data'!$A$1:$A$20000,0),MATCH("Keyword Difficulty*",'Semrush Data'!$A$1:$Z$1,0)),"")</f>
        <v/>
      </c>
      <c r="I3236" s="13" t="str">
        <f aca="false">IFERROR(INDEX('Semrush Data'!$A$1:$Z$20000,MATCH(A3236,'Semrush Data'!$A$1:$A$20000,0),MATCH("CPC*",'Semrush Data'!$A$1:$Z$1,0)),"")</f>
        <v/>
      </c>
      <c r="J3236" s="7" t="str">
        <f aca="false">IFERROR(INDEX('Semrush Data'!$A$1:$Z$20000,MATCH(A3236,'Semrush Data'!$A$1:$A$20000,0),MATCH("Intent",'Semrush Data'!$A$1:$Z$1,0)),"")</f>
        <v/>
      </c>
    </row>
    <row r="3237" customFormat="false" ht="15" hidden="false" customHeight="true" outlineLevel="0" collapsed="false">
      <c r="A3237" s="7" t="s">
        <v>7887</v>
      </c>
      <c r="B3237" s="7" t="s">
        <v>6820</v>
      </c>
      <c r="C3237" s="7" t="n">
        <v>3</v>
      </c>
      <c r="D3237" s="7" t="n">
        <v>33</v>
      </c>
      <c r="E3237" s="7" t="n">
        <v>1</v>
      </c>
      <c r="F3237" s="7" t="s">
        <v>363</v>
      </c>
      <c r="G3237" s="12" t="str">
        <f aca="false">IFERROR(INDEX('Semrush Data'!$A$1:$Z$20000,MATCH(A3237,'Semrush Data'!$A$1:$A$20000,0),MATCH("Volume",'Semrush Data'!$A$1:$Z$1,0)),"")</f>
        <v/>
      </c>
      <c r="H3237" s="7" t="str">
        <f aca="false">IFERROR(INDEX('Semrush Data'!$A$1:$Z$20000,MATCH(A3237,'Semrush Data'!$A$1:$A$20000,0),MATCH("Keyword Difficulty*",'Semrush Data'!$A$1:$Z$1,0)),"")</f>
        <v/>
      </c>
      <c r="I3237" s="13" t="str">
        <f aca="false">IFERROR(INDEX('Semrush Data'!$A$1:$Z$20000,MATCH(A3237,'Semrush Data'!$A$1:$A$20000,0),MATCH("CPC*",'Semrush Data'!$A$1:$Z$1,0)),"")</f>
        <v/>
      </c>
      <c r="J3237" s="7" t="str">
        <f aca="false">IFERROR(INDEX('Semrush Data'!$A$1:$Z$20000,MATCH(A3237,'Semrush Data'!$A$1:$A$20000,0),MATCH("Intent",'Semrush Data'!$A$1:$Z$1,0)),"")</f>
        <v/>
      </c>
    </row>
    <row r="3238" customFormat="false" ht="15" hidden="false" customHeight="true" outlineLevel="0" collapsed="false">
      <c r="A3238" s="7" t="s">
        <v>7888</v>
      </c>
      <c r="B3238" s="7" t="s">
        <v>6820</v>
      </c>
      <c r="C3238" s="7" t="n">
        <v>3</v>
      </c>
      <c r="D3238" s="7" t="n">
        <v>33</v>
      </c>
      <c r="E3238" s="7" t="n">
        <v>1</v>
      </c>
      <c r="F3238" s="7" t="s">
        <v>363</v>
      </c>
      <c r="G3238" s="12" t="str">
        <f aca="false">IFERROR(INDEX('Semrush Data'!$A$1:$Z$20000,MATCH(A3238,'Semrush Data'!$A$1:$A$20000,0),MATCH("Volume",'Semrush Data'!$A$1:$Z$1,0)),"")</f>
        <v/>
      </c>
      <c r="H3238" s="7" t="str">
        <f aca="false">IFERROR(INDEX('Semrush Data'!$A$1:$Z$20000,MATCH(A3238,'Semrush Data'!$A$1:$A$20000,0),MATCH("Keyword Difficulty*",'Semrush Data'!$A$1:$Z$1,0)),"")</f>
        <v/>
      </c>
      <c r="I3238" s="13" t="str">
        <f aca="false">IFERROR(INDEX('Semrush Data'!$A$1:$Z$20000,MATCH(A3238,'Semrush Data'!$A$1:$A$20000,0),MATCH("CPC*",'Semrush Data'!$A$1:$Z$1,0)),"")</f>
        <v/>
      </c>
      <c r="J3238" s="7" t="str">
        <f aca="false">IFERROR(INDEX('Semrush Data'!$A$1:$Z$20000,MATCH(A3238,'Semrush Data'!$A$1:$A$20000,0),MATCH("Intent",'Semrush Data'!$A$1:$Z$1,0)),"")</f>
        <v/>
      </c>
    </row>
    <row r="3239" customFormat="false" ht="15" hidden="false" customHeight="true" outlineLevel="0" collapsed="false">
      <c r="A3239" s="7" t="s">
        <v>7889</v>
      </c>
      <c r="B3239" s="7" t="s">
        <v>6820</v>
      </c>
      <c r="C3239" s="7" t="n">
        <v>3</v>
      </c>
      <c r="D3239" s="7" t="s">
        <v>6843</v>
      </c>
      <c r="E3239" s="7" t="n">
        <v>1</v>
      </c>
      <c r="F3239" s="7" t="s">
        <v>363</v>
      </c>
      <c r="G3239" s="12" t="str">
        <f aca="false">IFERROR(INDEX('Semrush Data'!$A$1:$Z$20000,MATCH(A3239,'Semrush Data'!$A$1:$A$20000,0),MATCH("Volume",'Semrush Data'!$A$1:$Z$1,0)),"")</f>
        <v/>
      </c>
      <c r="H3239" s="7" t="str">
        <f aca="false">IFERROR(INDEX('Semrush Data'!$A$1:$Z$20000,MATCH(A3239,'Semrush Data'!$A$1:$A$20000,0),MATCH("Keyword Difficulty*",'Semrush Data'!$A$1:$Z$1,0)),"")</f>
        <v/>
      </c>
      <c r="I3239" s="13" t="str">
        <f aca="false">IFERROR(INDEX('Semrush Data'!$A$1:$Z$20000,MATCH(A3239,'Semrush Data'!$A$1:$A$20000,0),MATCH("CPC*",'Semrush Data'!$A$1:$Z$1,0)),"")</f>
        <v/>
      </c>
      <c r="J3239" s="7" t="str">
        <f aca="false">IFERROR(INDEX('Semrush Data'!$A$1:$Z$20000,MATCH(A3239,'Semrush Data'!$A$1:$A$20000,0),MATCH("Intent",'Semrush Data'!$A$1:$Z$1,0)),"")</f>
        <v/>
      </c>
    </row>
    <row r="3240" customFormat="false" ht="15" hidden="false" customHeight="true" outlineLevel="0" collapsed="false">
      <c r="A3240" s="7" t="s">
        <v>7890</v>
      </c>
      <c r="B3240" s="7" t="s">
        <v>6820</v>
      </c>
      <c r="C3240" s="7" t="n">
        <v>3</v>
      </c>
      <c r="D3240" s="7" t="n">
        <v>33</v>
      </c>
      <c r="E3240" s="7" t="n">
        <v>1</v>
      </c>
      <c r="F3240" s="7" t="s">
        <v>394</v>
      </c>
      <c r="G3240" s="12" t="str">
        <f aca="false">IFERROR(INDEX('Semrush Data'!$A$1:$Z$20000,MATCH(A3240,'Semrush Data'!$A$1:$A$20000,0),MATCH("Volume",'Semrush Data'!$A$1:$Z$1,0)),"")</f>
        <v/>
      </c>
      <c r="H3240" s="7" t="str">
        <f aca="false">IFERROR(INDEX('Semrush Data'!$A$1:$Z$20000,MATCH(A3240,'Semrush Data'!$A$1:$A$20000,0),MATCH("Keyword Difficulty*",'Semrush Data'!$A$1:$Z$1,0)),"")</f>
        <v/>
      </c>
      <c r="I3240" s="13" t="str">
        <f aca="false">IFERROR(INDEX('Semrush Data'!$A$1:$Z$20000,MATCH(A3240,'Semrush Data'!$A$1:$A$20000,0),MATCH("CPC*",'Semrush Data'!$A$1:$Z$1,0)),"")</f>
        <v/>
      </c>
      <c r="J3240" s="7" t="str">
        <f aca="false">IFERROR(INDEX('Semrush Data'!$A$1:$Z$20000,MATCH(A3240,'Semrush Data'!$A$1:$A$20000,0),MATCH("Intent",'Semrush Data'!$A$1:$Z$1,0)),"")</f>
        <v/>
      </c>
    </row>
    <row r="3241" customFormat="false" ht="15" hidden="false" customHeight="true" outlineLevel="0" collapsed="false">
      <c r="A3241" s="7" t="s">
        <v>7891</v>
      </c>
      <c r="B3241" s="7" t="s">
        <v>6820</v>
      </c>
      <c r="C3241" s="7" t="n">
        <v>3</v>
      </c>
      <c r="D3241" s="7" t="s">
        <v>6843</v>
      </c>
      <c r="E3241" s="7" t="n">
        <v>1</v>
      </c>
      <c r="F3241" s="7" t="s">
        <v>394</v>
      </c>
      <c r="G3241" s="12" t="str">
        <f aca="false">IFERROR(INDEX('Semrush Data'!$A$1:$Z$20000,MATCH(A3241,'Semrush Data'!$A$1:$A$20000,0),MATCH("Volume",'Semrush Data'!$A$1:$Z$1,0)),"")</f>
        <v/>
      </c>
      <c r="H3241" s="7" t="str">
        <f aca="false">IFERROR(INDEX('Semrush Data'!$A$1:$Z$20000,MATCH(A3241,'Semrush Data'!$A$1:$A$20000,0),MATCH("Keyword Difficulty*",'Semrush Data'!$A$1:$Z$1,0)),"")</f>
        <v/>
      </c>
      <c r="I3241" s="13" t="str">
        <f aca="false">IFERROR(INDEX('Semrush Data'!$A$1:$Z$20000,MATCH(A3241,'Semrush Data'!$A$1:$A$20000,0),MATCH("CPC*",'Semrush Data'!$A$1:$Z$1,0)),"")</f>
        <v/>
      </c>
      <c r="J3241" s="7" t="str">
        <f aca="false">IFERROR(INDEX('Semrush Data'!$A$1:$Z$20000,MATCH(A3241,'Semrush Data'!$A$1:$A$20000,0),MATCH("Intent",'Semrush Data'!$A$1:$Z$1,0)),"")</f>
        <v/>
      </c>
    </row>
    <row r="3242" customFormat="false" ht="15" hidden="false" customHeight="true" outlineLevel="0" collapsed="false">
      <c r="A3242" s="7" t="s">
        <v>7892</v>
      </c>
      <c r="B3242" s="7" t="s">
        <v>6820</v>
      </c>
      <c r="C3242" s="7" t="n">
        <v>3</v>
      </c>
      <c r="D3242" s="7" t="n">
        <v>33</v>
      </c>
      <c r="E3242" s="7" t="n">
        <v>1</v>
      </c>
      <c r="F3242" s="7" t="s">
        <v>452</v>
      </c>
      <c r="G3242" s="12" t="str">
        <f aca="false">IFERROR(INDEX('Semrush Data'!$A$1:$Z$20000,MATCH(A3242,'Semrush Data'!$A$1:$A$20000,0),MATCH("Volume",'Semrush Data'!$A$1:$Z$1,0)),"")</f>
        <v/>
      </c>
      <c r="H3242" s="7" t="str">
        <f aca="false">IFERROR(INDEX('Semrush Data'!$A$1:$Z$20000,MATCH(A3242,'Semrush Data'!$A$1:$A$20000,0),MATCH("Keyword Difficulty*",'Semrush Data'!$A$1:$Z$1,0)),"")</f>
        <v/>
      </c>
      <c r="I3242" s="13" t="str">
        <f aca="false">IFERROR(INDEX('Semrush Data'!$A$1:$Z$20000,MATCH(A3242,'Semrush Data'!$A$1:$A$20000,0),MATCH("CPC*",'Semrush Data'!$A$1:$Z$1,0)),"")</f>
        <v/>
      </c>
      <c r="J3242" s="7" t="str">
        <f aca="false">IFERROR(INDEX('Semrush Data'!$A$1:$Z$20000,MATCH(A3242,'Semrush Data'!$A$1:$A$20000,0),MATCH("Intent",'Semrush Data'!$A$1:$Z$1,0)),"")</f>
        <v/>
      </c>
    </row>
    <row r="3243" customFormat="false" ht="15" hidden="false" customHeight="true" outlineLevel="0" collapsed="false">
      <c r="A3243" s="7" t="s">
        <v>7893</v>
      </c>
      <c r="B3243" s="7" t="s">
        <v>6820</v>
      </c>
      <c r="C3243" s="7" t="n">
        <v>3</v>
      </c>
      <c r="D3243" s="7" t="n">
        <v>33</v>
      </c>
      <c r="E3243" s="7" t="n">
        <v>1</v>
      </c>
      <c r="F3243" s="7" t="s">
        <v>629</v>
      </c>
      <c r="G3243" s="12" t="str">
        <f aca="false">IFERROR(INDEX('Semrush Data'!$A$1:$Z$20000,MATCH(A3243,'Semrush Data'!$A$1:$A$20000,0),MATCH("Volume",'Semrush Data'!$A$1:$Z$1,0)),"")</f>
        <v/>
      </c>
      <c r="H3243" s="7" t="str">
        <f aca="false">IFERROR(INDEX('Semrush Data'!$A$1:$Z$20000,MATCH(A3243,'Semrush Data'!$A$1:$A$20000,0),MATCH("Keyword Difficulty*",'Semrush Data'!$A$1:$Z$1,0)),"")</f>
        <v/>
      </c>
      <c r="I3243" s="13" t="str">
        <f aca="false">IFERROR(INDEX('Semrush Data'!$A$1:$Z$20000,MATCH(A3243,'Semrush Data'!$A$1:$A$20000,0),MATCH("CPC*",'Semrush Data'!$A$1:$Z$1,0)),"")</f>
        <v/>
      </c>
      <c r="J3243" s="7" t="str">
        <f aca="false">IFERROR(INDEX('Semrush Data'!$A$1:$Z$20000,MATCH(A3243,'Semrush Data'!$A$1:$A$20000,0),MATCH("Intent",'Semrush Data'!$A$1:$Z$1,0)),"")</f>
        <v/>
      </c>
    </row>
    <row r="3244" customFormat="false" ht="15" hidden="false" customHeight="true" outlineLevel="0" collapsed="false">
      <c r="A3244" s="7" t="s">
        <v>7894</v>
      </c>
      <c r="B3244" s="7" t="s">
        <v>6820</v>
      </c>
      <c r="C3244" s="7" t="n">
        <v>3</v>
      </c>
      <c r="D3244" s="7" t="n">
        <v>33</v>
      </c>
      <c r="E3244" s="7" t="n">
        <v>1</v>
      </c>
      <c r="F3244" s="7" t="s">
        <v>5964</v>
      </c>
      <c r="G3244" s="12" t="str">
        <f aca="false">IFERROR(INDEX('Semrush Data'!$A$1:$Z$20000,MATCH(A3244,'Semrush Data'!$A$1:$A$20000,0),MATCH("Volume",'Semrush Data'!$A$1:$Z$1,0)),"")</f>
        <v/>
      </c>
      <c r="H3244" s="7" t="str">
        <f aca="false">IFERROR(INDEX('Semrush Data'!$A$1:$Z$20000,MATCH(A3244,'Semrush Data'!$A$1:$A$20000,0),MATCH("Keyword Difficulty*",'Semrush Data'!$A$1:$Z$1,0)),"")</f>
        <v/>
      </c>
      <c r="I3244" s="13" t="str">
        <f aca="false">IFERROR(INDEX('Semrush Data'!$A$1:$Z$20000,MATCH(A3244,'Semrush Data'!$A$1:$A$20000,0),MATCH("CPC*",'Semrush Data'!$A$1:$Z$1,0)),"")</f>
        <v/>
      </c>
      <c r="J3244" s="7" t="str">
        <f aca="false">IFERROR(INDEX('Semrush Data'!$A$1:$Z$20000,MATCH(A3244,'Semrush Data'!$A$1:$A$20000,0),MATCH("Intent",'Semrush Data'!$A$1:$Z$1,0)),"")</f>
        <v/>
      </c>
    </row>
    <row r="3245" customFormat="false" ht="15" hidden="false" customHeight="true" outlineLevel="0" collapsed="false">
      <c r="A3245" s="7" t="s">
        <v>2400</v>
      </c>
      <c r="B3245" s="7" t="s">
        <v>1356</v>
      </c>
      <c r="C3245" s="7" t="n">
        <v>3</v>
      </c>
      <c r="D3245" s="7" t="n">
        <v>33</v>
      </c>
      <c r="E3245" s="7" t="n">
        <v>1</v>
      </c>
      <c r="F3245" s="7" t="s">
        <v>2389</v>
      </c>
      <c r="G3245" s="12" t="str">
        <f aca="false">IFERROR(INDEX('Semrush Data'!$A$1:$Z$20000,MATCH(A3245,'Semrush Data'!$A$1:$A$20000,0),MATCH("Volume",'Semrush Data'!$A$1:$Z$1,0)),"")</f>
        <v/>
      </c>
      <c r="H3245" s="7" t="str">
        <f aca="false">IFERROR(INDEX('Semrush Data'!$A$1:$Z$20000,MATCH(A3245,'Semrush Data'!$A$1:$A$20000,0),MATCH("Keyword Difficulty*",'Semrush Data'!$A$1:$Z$1,0)),"")</f>
        <v/>
      </c>
      <c r="I3245" s="13" t="str">
        <f aca="false">IFERROR(INDEX('Semrush Data'!$A$1:$Z$20000,MATCH(A3245,'Semrush Data'!$A$1:$A$20000,0),MATCH("CPC*",'Semrush Data'!$A$1:$Z$1,0)),"")</f>
        <v/>
      </c>
      <c r="J3245" s="7" t="str">
        <f aca="false">IFERROR(INDEX('Semrush Data'!$A$1:$Z$20000,MATCH(A3245,'Semrush Data'!$A$1:$A$20000,0),MATCH("Intent",'Semrush Data'!$A$1:$Z$1,0)),"")</f>
        <v/>
      </c>
    </row>
    <row r="3246" customFormat="false" ht="15" hidden="false" customHeight="true" outlineLevel="0" collapsed="false">
      <c r="A3246" s="7" t="s">
        <v>2412</v>
      </c>
      <c r="B3246" s="7" t="s">
        <v>1356</v>
      </c>
      <c r="C3246" s="7" t="n">
        <v>3</v>
      </c>
      <c r="D3246" s="7" t="n">
        <v>33</v>
      </c>
      <c r="E3246" s="7" t="n">
        <v>1</v>
      </c>
      <c r="F3246" s="7" t="s">
        <v>2407</v>
      </c>
      <c r="G3246" s="12" t="str">
        <f aca="false">IFERROR(INDEX('Semrush Data'!$A$1:$Z$20000,MATCH(A3246,'Semrush Data'!$A$1:$A$20000,0),MATCH("Volume",'Semrush Data'!$A$1:$Z$1,0)),"")</f>
        <v/>
      </c>
      <c r="H3246" s="7" t="str">
        <f aca="false">IFERROR(INDEX('Semrush Data'!$A$1:$Z$20000,MATCH(A3246,'Semrush Data'!$A$1:$A$20000,0),MATCH("Keyword Difficulty*",'Semrush Data'!$A$1:$Z$1,0)),"")</f>
        <v/>
      </c>
      <c r="I3246" s="13" t="str">
        <f aca="false">IFERROR(INDEX('Semrush Data'!$A$1:$Z$20000,MATCH(A3246,'Semrush Data'!$A$1:$A$20000,0),MATCH("CPC*",'Semrush Data'!$A$1:$Z$1,0)),"")</f>
        <v/>
      </c>
      <c r="J3246" s="7" t="str">
        <f aca="false">IFERROR(INDEX('Semrush Data'!$A$1:$Z$20000,MATCH(A3246,'Semrush Data'!$A$1:$A$20000,0),MATCH("Intent",'Semrush Data'!$A$1:$Z$1,0)),"")</f>
        <v/>
      </c>
    </row>
    <row r="3247" customFormat="false" ht="15" hidden="false" customHeight="true" outlineLevel="0" collapsed="false">
      <c r="A3247" s="7" t="s">
        <v>2497</v>
      </c>
      <c r="B3247" s="7" t="s">
        <v>1356</v>
      </c>
      <c r="C3247" s="7" t="n">
        <v>3</v>
      </c>
      <c r="D3247" s="7" t="n">
        <v>33</v>
      </c>
      <c r="E3247" s="7" t="n">
        <v>1</v>
      </c>
      <c r="F3247" s="7" t="s">
        <v>2490</v>
      </c>
      <c r="G3247" s="12" t="str">
        <f aca="false">IFERROR(INDEX('Semrush Data'!$A$1:$Z$20000,MATCH(A3247,'Semrush Data'!$A$1:$A$20000,0),MATCH("Volume",'Semrush Data'!$A$1:$Z$1,0)),"")</f>
        <v/>
      </c>
      <c r="H3247" s="7" t="str">
        <f aca="false">IFERROR(INDEX('Semrush Data'!$A$1:$Z$20000,MATCH(A3247,'Semrush Data'!$A$1:$A$20000,0),MATCH("Keyword Difficulty*",'Semrush Data'!$A$1:$Z$1,0)),"")</f>
        <v/>
      </c>
      <c r="I3247" s="13" t="str">
        <f aca="false">IFERROR(INDEX('Semrush Data'!$A$1:$Z$20000,MATCH(A3247,'Semrush Data'!$A$1:$A$20000,0),MATCH("CPC*",'Semrush Data'!$A$1:$Z$1,0)),"")</f>
        <v/>
      </c>
      <c r="J3247" s="7" t="str">
        <f aca="false">IFERROR(INDEX('Semrush Data'!$A$1:$Z$20000,MATCH(A3247,'Semrush Data'!$A$1:$A$20000,0),MATCH("Intent",'Semrush Data'!$A$1:$Z$1,0)),"")</f>
        <v/>
      </c>
    </row>
    <row r="3248" customFormat="false" ht="15" hidden="false" customHeight="true" outlineLevel="0" collapsed="false">
      <c r="A3248" s="7" t="s">
        <v>2439</v>
      </c>
      <c r="B3248" s="7" t="s">
        <v>1356</v>
      </c>
      <c r="C3248" s="7" t="n">
        <v>3</v>
      </c>
      <c r="D3248" s="7" t="n">
        <v>33</v>
      </c>
      <c r="E3248" s="7" t="n">
        <v>1</v>
      </c>
      <c r="F3248" s="7" t="s">
        <v>2433</v>
      </c>
      <c r="G3248" s="12" t="str">
        <f aca="false">IFERROR(INDEX('Semrush Data'!$A$1:$Z$20000,MATCH(A3248,'Semrush Data'!$A$1:$A$20000,0),MATCH("Volume",'Semrush Data'!$A$1:$Z$1,0)),"")</f>
        <v/>
      </c>
      <c r="H3248" s="7" t="str">
        <f aca="false">IFERROR(INDEX('Semrush Data'!$A$1:$Z$20000,MATCH(A3248,'Semrush Data'!$A$1:$A$20000,0),MATCH("Keyword Difficulty*",'Semrush Data'!$A$1:$Z$1,0)),"")</f>
        <v/>
      </c>
      <c r="I3248" s="13" t="str">
        <f aca="false">IFERROR(INDEX('Semrush Data'!$A$1:$Z$20000,MATCH(A3248,'Semrush Data'!$A$1:$A$20000,0),MATCH("CPC*",'Semrush Data'!$A$1:$Z$1,0)),"")</f>
        <v/>
      </c>
      <c r="J3248" s="7" t="str">
        <f aca="false">IFERROR(INDEX('Semrush Data'!$A$1:$Z$20000,MATCH(A3248,'Semrush Data'!$A$1:$A$20000,0),MATCH("Intent",'Semrush Data'!$A$1:$Z$1,0)),"")</f>
        <v/>
      </c>
    </row>
    <row r="3249" customFormat="false" ht="15" hidden="false" customHeight="true" outlineLevel="0" collapsed="false">
      <c r="A3249" s="7" t="s">
        <v>2426</v>
      </c>
      <c r="B3249" s="7" t="s">
        <v>1356</v>
      </c>
      <c r="C3249" s="7" t="n">
        <v>3</v>
      </c>
      <c r="D3249" s="7" t="n">
        <v>33</v>
      </c>
      <c r="E3249" s="7" t="n">
        <v>1</v>
      </c>
      <c r="F3249" s="7" t="s">
        <v>2418</v>
      </c>
      <c r="G3249" s="12" t="str">
        <f aca="false">IFERROR(INDEX('Semrush Data'!$A$1:$Z$20000,MATCH(A3249,'Semrush Data'!$A$1:$A$20000,0),MATCH("Volume",'Semrush Data'!$A$1:$Z$1,0)),"")</f>
        <v/>
      </c>
      <c r="H3249" s="7" t="str">
        <f aca="false">IFERROR(INDEX('Semrush Data'!$A$1:$Z$20000,MATCH(A3249,'Semrush Data'!$A$1:$A$20000,0),MATCH("Keyword Difficulty*",'Semrush Data'!$A$1:$Z$1,0)),"")</f>
        <v/>
      </c>
      <c r="I3249" s="13" t="str">
        <f aca="false">IFERROR(INDEX('Semrush Data'!$A$1:$Z$20000,MATCH(A3249,'Semrush Data'!$A$1:$A$20000,0),MATCH("CPC*",'Semrush Data'!$A$1:$Z$1,0)),"")</f>
        <v/>
      </c>
      <c r="J3249" s="7" t="str">
        <f aca="false">IFERROR(INDEX('Semrush Data'!$A$1:$Z$20000,MATCH(A3249,'Semrush Data'!$A$1:$A$20000,0),MATCH("Intent",'Semrush Data'!$A$1:$Z$1,0)),"")</f>
        <v/>
      </c>
    </row>
    <row r="3250" customFormat="false" ht="15" hidden="false" customHeight="true" outlineLevel="0" collapsed="false">
      <c r="A3250" s="7" t="s">
        <v>2507</v>
      </c>
      <c r="B3250" s="7" t="s">
        <v>1356</v>
      </c>
      <c r="C3250" s="7" t="n">
        <v>3</v>
      </c>
      <c r="D3250" s="7" t="n">
        <v>33</v>
      </c>
      <c r="E3250" s="7" t="n">
        <v>1</v>
      </c>
      <c r="F3250" s="7" t="s">
        <v>2501</v>
      </c>
      <c r="G3250" s="12" t="str">
        <f aca="false">IFERROR(INDEX('Semrush Data'!$A$1:$Z$20000,MATCH(A3250,'Semrush Data'!$A$1:$A$20000,0),MATCH("Volume",'Semrush Data'!$A$1:$Z$1,0)),"")</f>
        <v/>
      </c>
      <c r="H3250" s="7" t="str">
        <f aca="false">IFERROR(INDEX('Semrush Data'!$A$1:$Z$20000,MATCH(A3250,'Semrush Data'!$A$1:$A$20000,0),MATCH("Keyword Difficulty*",'Semrush Data'!$A$1:$Z$1,0)),"")</f>
        <v/>
      </c>
      <c r="I3250" s="13" t="str">
        <f aca="false">IFERROR(INDEX('Semrush Data'!$A$1:$Z$20000,MATCH(A3250,'Semrush Data'!$A$1:$A$20000,0),MATCH("CPC*",'Semrush Data'!$A$1:$Z$1,0)),"")</f>
        <v/>
      </c>
      <c r="J3250" s="7" t="str">
        <f aca="false">IFERROR(INDEX('Semrush Data'!$A$1:$Z$20000,MATCH(A3250,'Semrush Data'!$A$1:$A$20000,0),MATCH("Intent",'Semrush Data'!$A$1:$Z$1,0)),"")</f>
        <v/>
      </c>
    </row>
    <row r="3251" customFormat="false" ht="15" hidden="false" customHeight="true" outlineLevel="0" collapsed="false">
      <c r="A3251" s="7" t="s">
        <v>2450</v>
      </c>
      <c r="B3251" s="7" t="s">
        <v>1356</v>
      </c>
      <c r="C3251" s="7" t="n">
        <v>3</v>
      </c>
      <c r="D3251" s="7" t="n">
        <v>33</v>
      </c>
      <c r="E3251" s="7" t="n">
        <v>1</v>
      </c>
      <c r="F3251" s="7" t="s">
        <v>2444</v>
      </c>
      <c r="G3251" s="12" t="str">
        <f aca="false">IFERROR(INDEX('Semrush Data'!$A$1:$Z$20000,MATCH(A3251,'Semrush Data'!$A$1:$A$20000,0),MATCH("Volume",'Semrush Data'!$A$1:$Z$1,0)),"")</f>
        <v/>
      </c>
      <c r="H3251" s="7" t="str">
        <f aca="false">IFERROR(INDEX('Semrush Data'!$A$1:$Z$20000,MATCH(A3251,'Semrush Data'!$A$1:$A$20000,0),MATCH("Keyword Difficulty*",'Semrush Data'!$A$1:$Z$1,0)),"")</f>
        <v/>
      </c>
      <c r="I3251" s="13" t="str">
        <f aca="false">IFERROR(INDEX('Semrush Data'!$A$1:$Z$20000,MATCH(A3251,'Semrush Data'!$A$1:$A$20000,0),MATCH("CPC*",'Semrush Data'!$A$1:$Z$1,0)),"")</f>
        <v/>
      </c>
      <c r="J3251" s="7" t="str">
        <f aca="false">IFERROR(INDEX('Semrush Data'!$A$1:$Z$20000,MATCH(A3251,'Semrush Data'!$A$1:$A$20000,0),MATCH("Intent",'Semrush Data'!$A$1:$Z$1,0)),"")</f>
        <v/>
      </c>
    </row>
    <row r="3252" customFormat="false" ht="15" hidden="false" customHeight="true" outlineLevel="0" collapsed="false">
      <c r="A3252" s="7" t="s">
        <v>2461</v>
      </c>
      <c r="B3252" s="7" t="s">
        <v>1356</v>
      </c>
      <c r="C3252" s="7" t="n">
        <v>3</v>
      </c>
      <c r="D3252" s="7" t="n">
        <v>33</v>
      </c>
      <c r="E3252" s="7" t="n">
        <v>1</v>
      </c>
      <c r="F3252" s="7" t="s">
        <v>138</v>
      </c>
      <c r="G3252" s="12" t="str">
        <f aca="false">IFERROR(INDEX('Semrush Data'!$A$1:$Z$20000,MATCH(A3252,'Semrush Data'!$A$1:$A$20000,0),MATCH("Volume",'Semrush Data'!$A$1:$Z$1,0)),"")</f>
        <v/>
      </c>
      <c r="H3252" s="7" t="str">
        <f aca="false">IFERROR(INDEX('Semrush Data'!$A$1:$Z$20000,MATCH(A3252,'Semrush Data'!$A$1:$A$20000,0),MATCH("Keyword Difficulty*",'Semrush Data'!$A$1:$Z$1,0)),"")</f>
        <v/>
      </c>
      <c r="I3252" s="13" t="str">
        <f aca="false">IFERROR(INDEX('Semrush Data'!$A$1:$Z$20000,MATCH(A3252,'Semrush Data'!$A$1:$A$20000,0),MATCH("CPC*",'Semrush Data'!$A$1:$Z$1,0)),"")</f>
        <v/>
      </c>
      <c r="J3252" s="7" t="str">
        <f aca="false">IFERROR(INDEX('Semrush Data'!$A$1:$Z$20000,MATCH(A3252,'Semrush Data'!$A$1:$A$20000,0),MATCH("Intent",'Semrush Data'!$A$1:$Z$1,0)),"")</f>
        <v/>
      </c>
    </row>
    <row r="3253" customFormat="false" ht="15" hidden="false" customHeight="true" outlineLevel="0" collapsed="false">
      <c r="A3253" s="7" t="s">
        <v>2472</v>
      </c>
      <c r="B3253" s="7" t="s">
        <v>1356</v>
      </c>
      <c r="C3253" s="7" t="n">
        <v>3</v>
      </c>
      <c r="D3253" s="7" t="n">
        <v>33</v>
      </c>
      <c r="E3253" s="7" t="n">
        <v>1</v>
      </c>
      <c r="F3253" s="7" t="s">
        <v>132</v>
      </c>
      <c r="G3253" s="12" t="str">
        <f aca="false">IFERROR(INDEX('Semrush Data'!$A$1:$Z$20000,MATCH(A3253,'Semrush Data'!$A$1:$A$20000,0),MATCH("Volume",'Semrush Data'!$A$1:$Z$1,0)),"")</f>
        <v/>
      </c>
      <c r="H3253" s="7" t="str">
        <f aca="false">IFERROR(INDEX('Semrush Data'!$A$1:$Z$20000,MATCH(A3253,'Semrush Data'!$A$1:$A$20000,0),MATCH("Keyword Difficulty*",'Semrush Data'!$A$1:$Z$1,0)),"")</f>
        <v/>
      </c>
      <c r="I3253" s="13" t="str">
        <f aca="false">IFERROR(INDEX('Semrush Data'!$A$1:$Z$20000,MATCH(A3253,'Semrush Data'!$A$1:$A$20000,0),MATCH("CPC*",'Semrush Data'!$A$1:$Z$1,0)),"")</f>
        <v/>
      </c>
      <c r="J3253" s="7" t="str">
        <f aca="false">IFERROR(INDEX('Semrush Data'!$A$1:$Z$20000,MATCH(A3253,'Semrush Data'!$A$1:$A$20000,0),MATCH("Intent",'Semrush Data'!$A$1:$Z$1,0)),"")</f>
        <v/>
      </c>
    </row>
    <row r="3254" customFormat="false" ht="15" hidden="false" customHeight="true" outlineLevel="0" collapsed="false">
      <c r="A3254" s="7" t="s">
        <v>2483</v>
      </c>
      <c r="B3254" s="7" t="s">
        <v>1356</v>
      </c>
      <c r="C3254" s="7" t="n">
        <v>3</v>
      </c>
      <c r="D3254" s="7" t="n">
        <v>33</v>
      </c>
      <c r="E3254" s="7" t="n">
        <v>1</v>
      </c>
      <c r="F3254" s="7" t="s">
        <v>114</v>
      </c>
      <c r="G3254" s="12" t="str">
        <f aca="false">IFERROR(INDEX('Semrush Data'!$A$1:$Z$20000,MATCH(A3254,'Semrush Data'!$A$1:$A$20000,0),MATCH("Volume",'Semrush Data'!$A$1:$Z$1,0)),"")</f>
        <v/>
      </c>
      <c r="H3254" s="7" t="str">
        <f aca="false">IFERROR(INDEX('Semrush Data'!$A$1:$Z$20000,MATCH(A3254,'Semrush Data'!$A$1:$A$20000,0),MATCH("Keyword Difficulty*",'Semrush Data'!$A$1:$Z$1,0)),"")</f>
        <v/>
      </c>
      <c r="I3254" s="13" t="str">
        <f aca="false">IFERROR(INDEX('Semrush Data'!$A$1:$Z$20000,MATCH(A3254,'Semrush Data'!$A$1:$A$20000,0),MATCH("CPC*",'Semrush Data'!$A$1:$Z$1,0)),"")</f>
        <v/>
      </c>
      <c r="J3254" s="7" t="str">
        <f aca="false">IFERROR(INDEX('Semrush Data'!$A$1:$Z$20000,MATCH(A3254,'Semrush Data'!$A$1:$A$20000,0),MATCH("Intent",'Semrush Data'!$A$1:$Z$1,0)),"")</f>
        <v/>
      </c>
    </row>
    <row r="3255" customFormat="false" ht="15" hidden="false" customHeight="true" outlineLevel="0" collapsed="false">
      <c r="A3255" s="7" t="s">
        <v>5882</v>
      </c>
      <c r="B3255" s="7" t="s">
        <v>1356</v>
      </c>
      <c r="C3255" s="7" t="n">
        <v>3</v>
      </c>
      <c r="D3255" s="7" t="n">
        <v>33</v>
      </c>
      <c r="E3255" s="7" t="n">
        <v>1</v>
      </c>
      <c r="F3255" s="7" t="s">
        <v>100</v>
      </c>
      <c r="G3255" s="12" t="str">
        <f aca="false">IFERROR(INDEX('Semrush Data'!$A$1:$Z$20000,MATCH(A3255,'Semrush Data'!$A$1:$A$20000,0),MATCH("Volume",'Semrush Data'!$A$1:$Z$1,0)),"")</f>
        <v/>
      </c>
      <c r="H3255" s="7" t="str">
        <f aca="false">IFERROR(INDEX('Semrush Data'!$A$1:$Z$20000,MATCH(A3255,'Semrush Data'!$A$1:$A$20000,0),MATCH("Keyword Difficulty*",'Semrush Data'!$A$1:$Z$1,0)),"")</f>
        <v/>
      </c>
      <c r="I3255" s="13" t="str">
        <f aca="false">IFERROR(INDEX('Semrush Data'!$A$1:$Z$20000,MATCH(A3255,'Semrush Data'!$A$1:$A$20000,0),MATCH("CPC*",'Semrush Data'!$A$1:$Z$1,0)),"")</f>
        <v/>
      </c>
      <c r="J3255" s="7" t="str">
        <f aca="false">IFERROR(INDEX('Semrush Data'!$A$1:$Z$20000,MATCH(A3255,'Semrush Data'!$A$1:$A$20000,0),MATCH("Intent",'Semrush Data'!$A$1:$Z$1,0)),"")</f>
        <v/>
      </c>
    </row>
    <row r="3256" customFormat="false" ht="15" hidden="false" customHeight="true" outlineLevel="0" collapsed="false">
      <c r="A3256" s="7" t="s">
        <v>2516</v>
      </c>
      <c r="B3256" s="7" t="s">
        <v>1356</v>
      </c>
      <c r="C3256" s="7" t="n">
        <v>3</v>
      </c>
      <c r="D3256" s="7" t="n">
        <v>33</v>
      </c>
      <c r="E3256" s="7" t="n">
        <v>1</v>
      </c>
      <c r="F3256" s="7" t="s">
        <v>2510</v>
      </c>
      <c r="G3256" s="12" t="str">
        <f aca="false">IFERROR(INDEX('Semrush Data'!$A$1:$Z$20000,MATCH(A3256,'Semrush Data'!$A$1:$A$20000,0),MATCH("Volume",'Semrush Data'!$A$1:$Z$1,0)),"")</f>
        <v/>
      </c>
      <c r="H3256" s="7" t="str">
        <f aca="false">IFERROR(INDEX('Semrush Data'!$A$1:$Z$20000,MATCH(A3256,'Semrush Data'!$A$1:$A$20000,0),MATCH("Keyword Difficulty*",'Semrush Data'!$A$1:$Z$1,0)),"")</f>
        <v/>
      </c>
      <c r="I3256" s="13" t="str">
        <f aca="false">IFERROR(INDEX('Semrush Data'!$A$1:$Z$20000,MATCH(A3256,'Semrush Data'!$A$1:$A$20000,0),MATCH("CPC*",'Semrush Data'!$A$1:$Z$1,0)),"")</f>
        <v/>
      </c>
      <c r="J3256" s="7" t="str">
        <f aca="false">IFERROR(INDEX('Semrush Data'!$A$1:$Z$20000,MATCH(A3256,'Semrush Data'!$A$1:$A$20000,0),MATCH("Intent",'Semrush Data'!$A$1:$Z$1,0)),"")</f>
        <v/>
      </c>
    </row>
    <row r="3257" customFormat="false" ht="15" hidden="false" customHeight="true" outlineLevel="0" collapsed="false">
      <c r="A3257" s="7" t="s">
        <v>2529</v>
      </c>
      <c r="B3257" s="7" t="s">
        <v>1356</v>
      </c>
      <c r="C3257" s="7" t="n">
        <v>3</v>
      </c>
      <c r="D3257" s="7" t="n">
        <v>33</v>
      </c>
      <c r="E3257" s="7" t="n">
        <v>1</v>
      </c>
      <c r="F3257" s="7" t="s">
        <v>2523</v>
      </c>
      <c r="G3257" s="12" t="str">
        <f aca="false">IFERROR(INDEX('Semrush Data'!$A$1:$Z$20000,MATCH(A3257,'Semrush Data'!$A$1:$A$20000,0),MATCH("Volume",'Semrush Data'!$A$1:$Z$1,0)),"")</f>
        <v/>
      </c>
      <c r="H3257" s="7" t="str">
        <f aca="false">IFERROR(INDEX('Semrush Data'!$A$1:$Z$20000,MATCH(A3257,'Semrush Data'!$A$1:$A$20000,0),MATCH("Keyword Difficulty*",'Semrush Data'!$A$1:$Z$1,0)),"")</f>
        <v/>
      </c>
      <c r="I3257" s="13" t="str">
        <f aca="false">IFERROR(INDEX('Semrush Data'!$A$1:$Z$20000,MATCH(A3257,'Semrush Data'!$A$1:$A$20000,0),MATCH("CPC*",'Semrush Data'!$A$1:$Z$1,0)),"")</f>
        <v/>
      </c>
      <c r="J3257" s="7" t="str">
        <f aca="false">IFERROR(INDEX('Semrush Data'!$A$1:$Z$20000,MATCH(A3257,'Semrush Data'!$A$1:$A$20000,0),MATCH("Intent",'Semrush Data'!$A$1:$Z$1,0)),"")</f>
        <v/>
      </c>
    </row>
    <row r="3258" customFormat="false" ht="15" hidden="false" customHeight="true" outlineLevel="0" collapsed="false">
      <c r="A3258" s="7" t="s">
        <v>2542</v>
      </c>
      <c r="B3258" s="7" t="s">
        <v>1356</v>
      </c>
      <c r="C3258" s="7" t="n">
        <v>3</v>
      </c>
      <c r="D3258" s="7" t="n">
        <v>33</v>
      </c>
      <c r="E3258" s="7" t="n">
        <v>1</v>
      </c>
      <c r="F3258" s="7" t="s">
        <v>2536</v>
      </c>
      <c r="G3258" s="12" t="str">
        <f aca="false">IFERROR(INDEX('Semrush Data'!$A$1:$Z$20000,MATCH(A3258,'Semrush Data'!$A$1:$A$20000,0),MATCH("Volume",'Semrush Data'!$A$1:$Z$1,0)),"")</f>
        <v/>
      </c>
      <c r="H3258" s="7" t="str">
        <f aca="false">IFERROR(INDEX('Semrush Data'!$A$1:$Z$20000,MATCH(A3258,'Semrush Data'!$A$1:$A$20000,0),MATCH("Keyword Difficulty*",'Semrush Data'!$A$1:$Z$1,0)),"")</f>
        <v/>
      </c>
      <c r="I3258" s="13" t="str">
        <f aca="false">IFERROR(INDEX('Semrush Data'!$A$1:$Z$20000,MATCH(A3258,'Semrush Data'!$A$1:$A$20000,0),MATCH("CPC*",'Semrush Data'!$A$1:$Z$1,0)),"")</f>
        <v/>
      </c>
      <c r="J3258" s="7" t="str">
        <f aca="false">IFERROR(INDEX('Semrush Data'!$A$1:$Z$20000,MATCH(A3258,'Semrush Data'!$A$1:$A$20000,0),MATCH("Intent",'Semrush Data'!$A$1:$Z$1,0)),"")</f>
        <v/>
      </c>
    </row>
    <row r="3259" customFormat="false" ht="15" hidden="false" customHeight="true" outlineLevel="0" collapsed="false">
      <c r="A3259" s="7" t="s">
        <v>2554</v>
      </c>
      <c r="B3259" s="7" t="s">
        <v>1356</v>
      </c>
      <c r="C3259" s="7" t="n">
        <v>3</v>
      </c>
      <c r="D3259" s="7" t="n">
        <v>33</v>
      </c>
      <c r="E3259" s="7" t="n">
        <v>1</v>
      </c>
      <c r="F3259" s="7" t="s">
        <v>2548</v>
      </c>
      <c r="G3259" s="12" t="str">
        <f aca="false">IFERROR(INDEX('Semrush Data'!$A$1:$Z$20000,MATCH(A3259,'Semrush Data'!$A$1:$A$20000,0),MATCH("Volume",'Semrush Data'!$A$1:$Z$1,0)),"")</f>
        <v/>
      </c>
      <c r="H3259" s="7" t="str">
        <f aca="false">IFERROR(INDEX('Semrush Data'!$A$1:$Z$20000,MATCH(A3259,'Semrush Data'!$A$1:$A$20000,0),MATCH("Keyword Difficulty*",'Semrush Data'!$A$1:$Z$1,0)),"")</f>
        <v/>
      </c>
      <c r="I3259" s="13" t="str">
        <f aca="false">IFERROR(INDEX('Semrush Data'!$A$1:$Z$20000,MATCH(A3259,'Semrush Data'!$A$1:$A$20000,0),MATCH("CPC*",'Semrush Data'!$A$1:$Z$1,0)),"")</f>
        <v/>
      </c>
      <c r="J3259" s="7" t="str">
        <f aca="false">IFERROR(INDEX('Semrush Data'!$A$1:$Z$20000,MATCH(A3259,'Semrush Data'!$A$1:$A$20000,0),MATCH("Intent",'Semrush Data'!$A$1:$Z$1,0)),"")</f>
        <v/>
      </c>
    </row>
    <row r="3260" customFormat="false" ht="15" hidden="false" customHeight="true" outlineLevel="0" collapsed="false">
      <c r="A3260" s="7" t="s">
        <v>2681</v>
      </c>
      <c r="B3260" s="7" t="s">
        <v>1356</v>
      </c>
      <c r="C3260" s="7" t="n">
        <v>3</v>
      </c>
      <c r="D3260" s="7" t="n">
        <v>33</v>
      </c>
      <c r="E3260" s="7" t="n">
        <v>1</v>
      </c>
      <c r="F3260" s="7" t="s">
        <v>2675</v>
      </c>
      <c r="G3260" s="12" t="str">
        <f aca="false">IFERROR(INDEX('Semrush Data'!$A$1:$Z$20000,MATCH(A3260,'Semrush Data'!$A$1:$A$20000,0),MATCH("Volume",'Semrush Data'!$A$1:$Z$1,0)),"")</f>
        <v/>
      </c>
      <c r="H3260" s="7" t="str">
        <f aca="false">IFERROR(INDEX('Semrush Data'!$A$1:$Z$20000,MATCH(A3260,'Semrush Data'!$A$1:$A$20000,0),MATCH("Keyword Difficulty*",'Semrush Data'!$A$1:$Z$1,0)),"")</f>
        <v/>
      </c>
      <c r="I3260" s="13" t="str">
        <f aca="false">IFERROR(INDEX('Semrush Data'!$A$1:$Z$20000,MATCH(A3260,'Semrush Data'!$A$1:$A$20000,0),MATCH("CPC*",'Semrush Data'!$A$1:$Z$1,0)),"")</f>
        <v/>
      </c>
      <c r="J3260" s="7" t="str">
        <f aca="false">IFERROR(INDEX('Semrush Data'!$A$1:$Z$20000,MATCH(A3260,'Semrush Data'!$A$1:$A$20000,0),MATCH("Intent",'Semrush Data'!$A$1:$Z$1,0)),"")</f>
        <v/>
      </c>
    </row>
    <row r="3261" customFormat="false" ht="15" hidden="false" customHeight="true" outlineLevel="0" collapsed="false">
      <c r="A3261" s="7" t="s">
        <v>2572</v>
      </c>
      <c r="B3261" s="7" t="s">
        <v>1356</v>
      </c>
      <c r="C3261" s="7" t="n">
        <v>3</v>
      </c>
      <c r="D3261" s="7" t="n">
        <v>33</v>
      </c>
      <c r="E3261" s="7" t="n">
        <v>1</v>
      </c>
      <c r="F3261" s="7" t="s">
        <v>106</v>
      </c>
      <c r="G3261" s="12" t="str">
        <f aca="false">IFERROR(INDEX('Semrush Data'!$A$1:$Z$20000,MATCH(A3261,'Semrush Data'!$A$1:$A$20000,0),MATCH("Volume",'Semrush Data'!$A$1:$Z$1,0)),"")</f>
        <v/>
      </c>
      <c r="H3261" s="7" t="str">
        <f aca="false">IFERROR(INDEX('Semrush Data'!$A$1:$Z$20000,MATCH(A3261,'Semrush Data'!$A$1:$A$20000,0),MATCH("Keyword Difficulty*",'Semrush Data'!$A$1:$Z$1,0)),"")</f>
        <v/>
      </c>
      <c r="I3261" s="13" t="str">
        <f aca="false">IFERROR(INDEX('Semrush Data'!$A$1:$Z$20000,MATCH(A3261,'Semrush Data'!$A$1:$A$20000,0),MATCH("CPC*",'Semrush Data'!$A$1:$Z$1,0)),"")</f>
        <v/>
      </c>
      <c r="J3261" s="7" t="str">
        <f aca="false">IFERROR(INDEX('Semrush Data'!$A$1:$Z$20000,MATCH(A3261,'Semrush Data'!$A$1:$A$20000,0),MATCH("Intent",'Semrush Data'!$A$1:$Z$1,0)),"")</f>
        <v/>
      </c>
    </row>
    <row r="3262" customFormat="false" ht="15" hidden="false" customHeight="true" outlineLevel="0" collapsed="false">
      <c r="A3262" s="7" t="s">
        <v>2564</v>
      </c>
      <c r="B3262" s="7" t="s">
        <v>1356</v>
      </c>
      <c r="C3262" s="7" t="n">
        <v>3</v>
      </c>
      <c r="D3262" s="7" t="s">
        <v>6818</v>
      </c>
      <c r="E3262" s="7" t="n">
        <v>1</v>
      </c>
      <c r="F3262" s="7" t="s">
        <v>72</v>
      </c>
      <c r="G3262" s="12" t="str">
        <f aca="false">IFERROR(INDEX('Semrush Data'!$A$1:$Z$20000,MATCH(A3262,'Semrush Data'!$A$1:$A$20000,0),MATCH("Volume",'Semrush Data'!$A$1:$Z$1,0)),"")</f>
        <v/>
      </c>
      <c r="H3262" s="7" t="str">
        <f aca="false">IFERROR(INDEX('Semrush Data'!$A$1:$Z$20000,MATCH(A3262,'Semrush Data'!$A$1:$A$20000,0),MATCH("Keyword Difficulty*",'Semrush Data'!$A$1:$Z$1,0)),"")</f>
        <v/>
      </c>
      <c r="I3262" s="13" t="str">
        <f aca="false">IFERROR(INDEX('Semrush Data'!$A$1:$Z$20000,MATCH(A3262,'Semrush Data'!$A$1:$A$20000,0),MATCH("CPC*",'Semrush Data'!$A$1:$Z$1,0)),"")</f>
        <v/>
      </c>
      <c r="J3262" s="7" t="str">
        <f aca="false">IFERROR(INDEX('Semrush Data'!$A$1:$Z$20000,MATCH(A3262,'Semrush Data'!$A$1:$A$20000,0),MATCH("Intent",'Semrush Data'!$A$1:$Z$1,0)),"")</f>
        <v/>
      </c>
    </row>
    <row r="3263" customFormat="false" ht="15" hidden="false" customHeight="true" outlineLevel="0" collapsed="false">
      <c r="A3263" s="7" t="s">
        <v>2583</v>
      </c>
      <c r="B3263" s="7" t="s">
        <v>1356</v>
      </c>
      <c r="C3263" s="7" t="n">
        <v>3</v>
      </c>
      <c r="D3263" s="7" t="n">
        <v>33</v>
      </c>
      <c r="E3263" s="7" t="n">
        <v>1</v>
      </c>
      <c r="F3263" s="7" t="s">
        <v>2578</v>
      </c>
      <c r="G3263" s="12" t="str">
        <f aca="false">IFERROR(INDEX('Semrush Data'!$A$1:$Z$20000,MATCH(A3263,'Semrush Data'!$A$1:$A$20000,0),MATCH("Volume",'Semrush Data'!$A$1:$Z$1,0)),"")</f>
        <v/>
      </c>
      <c r="H3263" s="7" t="str">
        <f aca="false">IFERROR(INDEX('Semrush Data'!$A$1:$Z$20000,MATCH(A3263,'Semrush Data'!$A$1:$A$20000,0),MATCH("Keyword Difficulty*",'Semrush Data'!$A$1:$Z$1,0)),"")</f>
        <v/>
      </c>
      <c r="I3263" s="13" t="str">
        <f aca="false">IFERROR(INDEX('Semrush Data'!$A$1:$Z$20000,MATCH(A3263,'Semrush Data'!$A$1:$A$20000,0),MATCH("CPC*",'Semrush Data'!$A$1:$Z$1,0)),"")</f>
        <v/>
      </c>
      <c r="J3263" s="7" t="str">
        <f aca="false">IFERROR(INDEX('Semrush Data'!$A$1:$Z$20000,MATCH(A3263,'Semrush Data'!$A$1:$A$20000,0),MATCH("Intent",'Semrush Data'!$A$1:$Z$1,0)),"")</f>
        <v/>
      </c>
    </row>
    <row r="3264" customFormat="false" ht="15" hidden="false" customHeight="true" outlineLevel="0" collapsed="false">
      <c r="A3264" s="7" t="s">
        <v>2593</v>
      </c>
      <c r="B3264" s="7" t="s">
        <v>1356</v>
      </c>
      <c r="C3264" s="7" t="n">
        <v>3</v>
      </c>
      <c r="D3264" s="7" t="n">
        <v>33</v>
      </c>
      <c r="E3264" s="7" t="n">
        <v>1</v>
      </c>
      <c r="F3264" s="7" t="s">
        <v>116</v>
      </c>
      <c r="G3264" s="12" t="str">
        <f aca="false">IFERROR(INDEX('Semrush Data'!$A$1:$Z$20000,MATCH(A3264,'Semrush Data'!$A$1:$A$20000,0),MATCH("Volume",'Semrush Data'!$A$1:$Z$1,0)),"")</f>
        <v/>
      </c>
      <c r="H3264" s="7" t="str">
        <f aca="false">IFERROR(INDEX('Semrush Data'!$A$1:$Z$20000,MATCH(A3264,'Semrush Data'!$A$1:$A$20000,0),MATCH("Keyword Difficulty*",'Semrush Data'!$A$1:$Z$1,0)),"")</f>
        <v/>
      </c>
      <c r="I3264" s="13" t="str">
        <f aca="false">IFERROR(INDEX('Semrush Data'!$A$1:$Z$20000,MATCH(A3264,'Semrush Data'!$A$1:$A$20000,0),MATCH("CPC*",'Semrush Data'!$A$1:$Z$1,0)),"")</f>
        <v/>
      </c>
      <c r="J3264" s="7" t="str">
        <f aca="false">IFERROR(INDEX('Semrush Data'!$A$1:$Z$20000,MATCH(A3264,'Semrush Data'!$A$1:$A$20000,0),MATCH("Intent",'Semrush Data'!$A$1:$Z$1,0)),"")</f>
        <v/>
      </c>
    </row>
    <row r="3265" customFormat="false" ht="15" hidden="false" customHeight="true" outlineLevel="0" collapsed="false">
      <c r="A3265" s="7" t="s">
        <v>2604</v>
      </c>
      <c r="B3265" s="7" t="s">
        <v>1356</v>
      </c>
      <c r="C3265" s="7" t="n">
        <v>3</v>
      </c>
      <c r="D3265" s="7" t="n">
        <v>33</v>
      </c>
      <c r="E3265" s="7" t="n">
        <v>1</v>
      </c>
      <c r="F3265" s="7" t="s">
        <v>2599</v>
      </c>
      <c r="G3265" s="12" t="str">
        <f aca="false">IFERROR(INDEX('Semrush Data'!$A$1:$Z$20000,MATCH(A3265,'Semrush Data'!$A$1:$A$20000,0),MATCH("Volume",'Semrush Data'!$A$1:$Z$1,0)),"")</f>
        <v/>
      </c>
      <c r="H3265" s="7" t="str">
        <f aca="false">IFERROR(INDEX('Semrush Data'!$A$1:$Z$20000,MATCH(A3265,'Semrush Data'!$A$1:$A$20000,0),MATCH("Keyword Difficulty*",'Semrush Data'!$A$1:$Z$1,0)),"")</f>
        <v/>
      </c>
      <c r="I3265" s="13" t="str">
        <f aca="false">IFERROR(INDEX('Semrush Data'!$A$1:$Z$20000,MATCH(A3265,'Semrush Data'!$A$1:$A$20000,0),MATCH("CPC*",'Semrush Data'!$A$1:$Z$1,0)),"")</f>
        <v/>
      </c>
      <c r="J3265" s="7" t="str">
        <f aca="false">IFERROR(INDEX('Semrush Data'!$A$1:$Z$20000,MATCH(A3265,'Semrush Data'!$A$1:$A$20000,0),MATCH("Intent",'Semrush Data'!$A$1:$Z$1,0)),"")</f>
        <v/>
      </c>
    </row>
    <row r="3266" customFormat="false" ht="15" hidden="false" customHeight="true" outlineLevel="0" collapsed="false">
      <c r="A3266" s="7" t="s">
        <v>2616</v>
      </c>
      <c r="B3266" s="7" t="s">
        <v>1356</v>
      </c>
      <c r="C3266" s="7" t="n">
        <v>3</v>
      </c>
      <c r="D3266" s="7" t="n">
        <v>33</v>
      </c>
      <c r="E3266" s="7" t="n">
        <v>1</v>
      </c>
      <c r="F3266" s="7" t="s">
        <v>2611</v>
      </c>
      <c r="G3266" s="12" t="str">
        <f aca="false">IFERROR(INDEX('Semrush Data'!$A$1:$Z$20000,MATCH(A3266,'Semrush Data'!$A$1:$A$20000,0),MATCH("Volume",'Semrush Data'!$A$1:$Z$1,0)),"")</f>
        <v/>
      </c>
      <c r="H3266" s="7" t="str">
        <f aca="false">IFERROR(INDEX('Semrush Data'!$A$1:$Z$20000,MATCH(A3266,'Semrush Data'!$A$1:$A$20000,0),MATCH("Keyword Difficulty*",'Semrush Data'!$A$1:$Z$1,0)),"")</f>
        <v/>
      </c>
      <c r="I3266" s="13" t="str">
        <f aca="false">IFERROR(INDEX('Semrush Data'!$A$1:$Z$20000,MATCH(A3266,'Semrush Data'!$A$1:$A$20000,0),MATCH("CPC*",'Semrush Data'!$A$1:$Z$1,0)),"")</f>
        <v/>
      </c>
      <c r="J3266" s="7" t="str">
        <f aca="false">IFERROR(INDEX('Semrush Data'!$A$1:$Z$20000,MATCH(A3266,'Semrush Data'!$A$1:$A$20000,0),MATCH("Intent",'Semrush Data'!$A$1:$Z$1,0)),"")</f>
        <v/>
      </c>
    </row>
    <row r="3267" customFormat="false" ht="15" hidden="false" customHeight="true" outlineLevel="0" collapsed="false">
      <c r="A3267" s="7" t="s">
        <v>2627</v>
      </c>
      <c r="B3267" s="7" t="s">
        <v>1356</v>
      </c>
      <c r="C3267" s="7" t="n">
        <v>3</v>
      </c>
      <c r="D3267" s="7" t="n">
        <v>33</v>
      </c>
      <c r="E3267" s="7" t="n">
        <v>1</v>
      </c>
      <c r="F3267" s="7" t="s">
        <v>2622</v>
      </c>
      <c r="G3267" s="12" t="str">
        <f aca="false">IFERROR(INDEX('Semrush Data'!$A$1:$Z$20000,MATCH(A3267,'Semrush Data'!$A$1:$A$20000,0),MATCH("Volume",'Semrush Data'!$A$1:$Z$1,0)),"")</f>
        <v/>
      </c>
      <c r="H3267" s="7" t="str">
        <f aca="false">IFERROR(INDEX('Semrush Data'!$A$1:$Z$20000,MATCH(A3267,'Semrush Data'!$A$1:$A$20000,0),MATCH("Keyword Difficulty*",'Semrush Data'!$A$1:$Z$1,0)),"")</f>
        <v/>
      </c>
      <c r="I3267" s="13" t="str">
        <f aca="false">IFERROR(INDEX('Semrush Data'!$A$1:$Z$20000,MATCH(A3267,'Semrush Data'!$A$1:$A$20000,0),MATCH("CPC*",'Semrush Data'!$A$1:$Z$1,0)),"")</f>
        <v/>
      </c>
      <c r="J3267" s="7" t="str">
        <f aca="false">IFERROR(INDEX('Semrush Data'!$A$1:$Z$20000,MATCH(A3267,'Semrush Data'!$A$1:$A$20000,0),MATCH("Intent",'Semrush Data'!$A$1:$Z$1,0)),"")</f>
        <v/>
      </c>
    </row>
    <row r="3268" customFormat="false" ht="15" hidden="false" customHeight="true" outlineLevel="0" collapsed="false">
      <c r="A3268" s="7" t="s">
        <v>2647</v>
      </c>
      <c r="B3268" s="7" t="s">
        <v>1356</v>
      </c>
      <c r="C3268" s="7" t="n">
        <v>3</v>
      </c>
      <c r="D3268" s="7" t="n">
        <v>33</v>
      </c>
      <c r="E3268" s="7" t="n">
        <v>1</v>
      </c>
      <c r="F3268" s="7" t="s">
        <v>2642</v>
      </c>
      <c r="G3268" s="12" t="str">
        <f aca="false">IFERROR(INDEX('Semrush Data'!$A$1:$Z$20000,MATCH(A3268,'Semrush Data'!$A$1:$A$20000,0),MATCH("Volume",'Semrush Data'!$A$1:$Z$1,0)),"")</f>
        <v/>
      </c>
      <c r="H3268" s="7" t="str">
        <f aca="false">IFERROR(INDEX('Semrush Data'!$A$1:$Z$20000,MATCH(A3268,'Semrush Data'!$A$1:$A$20000,0),MATCH("Keyword Difficulty*",'Semrush Data'!$A$1:$Z$1,0)),"")</f>
        <v/>
      </c>
      <c r="I3268" s="13" t="str">
        <f aca="false">IFERROR(INDEX('Semrush Data'!$A$1:$Z$20000,MATCH(A3268,'Semrush Data'!$A$1:$A$20000,0),MATCH("CPC*",'Semrush Data'!$A$1:$Z$1,0)),"")</f>
        <v/>
      </c>
      <c r="J3268" s="7" t="str">
        <f aca="false">IFERROR(INDEX('Semrush Data'!$A$1:$Z$20000,MATCH(A3268,'Semrush Data'!$A$1:$A$20000,0),MATCH("Intent",'Semrush Data'!$A$1:$Z$1,0)),"")</f>
        <v/>
      </c>
    </row>
    <row r="3269" customFormat="false" ht="15" hidden="false" customHeight="true" outlineLevel="0" collapsed="false">
      <c r="A3269" s="7" t="s">
        <v>2658</v>
      </c>
      <c r="B3269" s="7" t="s">
        <v>1356</v>
      </c>
      <c r="C3269" s="7" t="n">
        <v>3</v>
      </c>
      <c r="D3269" s="7" t="n">
        <v>33</v>
      </c>
      <c r="E3269" s="7" t="n">
        <v>1</v>
      </c>
      <c r="F3269" s="7" t="s">
        <v>2653</v>
      </c>
      <c r="G3269" s="12" t="str">
        <f aca="false">IFERROR(INDEX('Semrush Data'!$A$1:$Z$20000,MATCH(A3269,'Semrush Data'!$A$1:$A$20000,0),MATCH("Volume",'Semrush Data'!$A$1:$Z$1,0)),"")</f>
        <v/>
      </c>
      <c r="H3269" s="7" t="str">
        <f aca="false">IFERROR(INDEX('Semrush Data'!$A$1:$Z$20000,MATCH(A3269,'Semrush Data'!$A$1:$A$20000,0),MATCH("Keyword Difficulty*",'Semrush Data'!$A$1:$Z$1,0)),"")</f>
        <v/>
      </c>
      <c r="I3269" s="13" t="str">
        <f aca="false">IFERROR(INDEX('Semrush Data'!$A$1:$Z$20000,MATCH(A3269,'Semrush Data'!$A$1:$A$20000,0),MATCH("CPC*",'Semrush Data'!$A$1:$Z$1,0)),"")</f>
        <v/>
      </c>
      <c r="J3269" s="7" t="str">
        <f aca="false">IFERROR(INDEX('Semrush Data'!$A$1:$Z$20000,MATCH(A3269,'Semrush Data'!$A$1:$A$20000,0),MATCH("Intent",'Semrush Data'!$A$1:$Z$1,0)),"")</f>
        <v/>
      </c>
    </row>
    <row r="3270" customFormat="false" ht="15" hidden="false" customHeight="true" outlineLevel="0" collapsed="false">
      <c r="A3270" s="7" t="s">
        <v>2669</v>
      </c>
      <c r="B3270" s="7" t="s">
        <v>1356</v>
      </c>
      <c r="C3270" s="7" t="n">
        <v>3</v>
      </c>
      <c r="D3270" s="7" t="n">
        <v>33</v>
      </c>
      <c r="E3270" s="7" t="n">
        <v>1</v>
      </c>
      <c r="F3270" s="7" t="s">
        <v>2664</v>
      </c>
      <c r="G3270" s="12" t="str">
        <f aca="false">IFERROR(INDEX('Semrush Data'!$A$1:$Z$20000,MATCH(A3270,'Semrush Data'!$A$1:$A$20000,0),MATCH("Volume",'Semrush Data'!$A$1:$Z$1,0)),"")</f>
        <v/>
      </c>
      <c r="H3270" s="7" t="str">
        <f aca="false">IFERROR(INDEX('Semrush Data'!$A$1:$Z$20000,MATCH(A3270,'Semrush Data'!$A$1:$A$20000,0),MATCH("Keyword Difficulty*",'Semrush Data'!$A$1:$Z$1,0)),"")</f>
        <v/>
      </c>
      <c r="I3270" s="13" t="str">
        <f aca="false">IFERROR(INDEX('Semrush Data'!$A$1:$Z$20000,MATCH(A3270,'Semrush Data'!$A$1:$A$20000,0),MATCH("CPC*",'Semrush Data'!$A$1:$Z$1,0)),"")</f>
        <v/>
      </c>
      <c r="J3270" s="7" t="str">
        <f aca="false">IFERROR(INDEX('Semrush Data'!$A$1:$Z$20000,MATCH(A3270,'Semrush Data'!$A$1:$A$20000,0),MATCH("Intent",'Semrush Data'!$A$1:$Z$1,0)),"")</f>
        <v/>
      </c>
    </row>
    <row r="3271" customFormat="false" ht="15" hidden="false" customHeight="true" outlineLevel="0" collapsed="false">
      <c r="A3271" s="7" t="s">
        <v>2636</v>
      </c>
      <c r="B3271" s="7" t="s">
        <v>1356</v>
      </c>
      <c r="C3271" s="7" t="n">
        <v>3</v>
      </c>
      <c r="D3271" s="7" t="n">
        <v>33</v>
      </c>
      <c r="E3271" s="7" t="n">
        <v>1</v>
      </c>
      <c r="F3271" s="7" t="s">
        <v>92</v>
      </c>
      <c r="G3271" s="12" t="str">
        <f aca="false">IFERROR(INDEX('Semrush Data'!$A$1:$Z$20000,MATCH(A3271,'Semrush Data'!$A$1:$A$20000,0),MATCH("Volume",'Semrush Data'!$A$1:$Z$1,0)),"")</f>
        <v/>
      </c>
      <c r="H3271" s="7" t="str">
        <f aca="false">IFERROR(INDEX('Semrush Data'!$A$1:$Z$20000,MATCH(A3271,'Semrush Data'!$A$1:$A$20000,0),MATCH("Keyword Difficulty*",'Semrush Data'!$A$1:$Z$1,0)),"")</f>
        <v/>
      </c>
      <c r="I3271" s="13" t="str">
        <f aca="false">IFERROR(INDEX('Semrush Data'!$A$1:$Z$20000,MATCH(A3271,'Semrush Data'!$A$1:$A$20000,0),MATCH("CPC*",'Semrush Data'!$A$1:$Z$1,0)),"")</f>
        <v/>
      </c>
      <c r="J3271" s="7" t="str">
        <f aca="false">IFERROR(INDEX('Semrush Data'!$A$1:$Z$20000,MATCH(A3271,'Semrush Data'!$A$1:$A$20000,0),MATCH("Intent",'Semrush Data'!$A$1:$Z$1,0)),"")</f>
        <v/>
      </c>
    </row>
    <row r="3272" customFormat="false" ht="15" hidden="false" customHeight="true" outlineLevel="0" collapsed="false">
      <c r="A3272" s="7" t="s">
        <v>2694</v>
      </c>
      <c r="B3272" s="7" t="s">
        <v>1356</v>
      </c>
      <c r="C3272" s="7" t="n">
        <v>3</v>
      </c>
      <c r="D3272" s="7" t="n">
        <v>33</v>
      </c>
      <c r="E3272" s="7" t="n">
        <v>3</v>
      </c>
      <c r="F3272" s="7" t="s">
        <v>6784</v>
      </c>
      <c r="G3272" s="12" t="str">
        <f aca="false">IFERROR(INDEX('Semrush Data'!$A$1:$Z$20000,MATCH(A3272,'Semrush Data'!$A$1:$A$20000,0),MATCH("Volume",'Semrush Data'!$A$1:$Z$1,0)),"")</f>
        <v/>
      </c>
      <c r="H3272" s="7" t="str">
        <f aca="false">IFERROR(INDEX('Semrush Data'!$A$1:$Z$20000,MATCH(A3272,'Semrush Data'!$A$1:$A$20000,0),MATCH("Keyword Difficulty*",'Semrush Data'!$A$1:$Z$1,0)),"")</f>
        <v/>
      </c>
      <c r="I3272" s="13" t="str">
        <f aca="false">IFERROR(INDEX('Semrush Data'!$A$1:$Z$20000,MATCH(A3272,'Semrush Data'!$A$1:$A$20000,0),MATCH("CPC*",'Semrush Data'!$A$1:$Z$1,0)),"")</f>
        <v/>
      </c>
      <c r="J3272" s="7" t="str">
        <f aca="false">IFERROR(INDEX('Semrush Data'!$A$1:$Z$20000,MATCH(A3272,'Semrush Data'!$A$1:$A$20000,0),MATCH("Intent",'Semrush Data'!$A$1:$Z$1,0)),"")</f>
        <v/>
      </c>
    </row>
    <row r="3273" customFormat="false" ht="15" hidden="false" customHeight="true" outlineLevel="0" collapsed="false">
      <c r="A3273" s="7" t="s">
        <v>2708</v>
      </c>
      <c r="B3273" s="7" t="s">
        <v>1356</v>
      </c>
      <c r="C3273" s="7" t="n">
        <v>3</v>
      </c>
      <c r="D3273" s="7" t="n">
        <v>33</v>
      </c>
      <c r="E3273" s="7" t="n">
        <v>3</v>
      </c>
      <c r="F3273" s="7" t="s">
        <v>6785</v>
      </c>
      <c r="G3273" s="12" t="str">
        <f aca="false">IFERROR(INDEX('Semrush Data'!$A$1:$Z$20000,MATCH(A3273,'Semrush Data'!$A$1:$A$20000,0),MATCH("Volume",'Semrush Data'!$A$1:$Z$1,0)),"")</f>
        <v/>
      </c>
      <c r="H3273" s="7" t="str">
        <f aca="false">IFERROR(INDEX('Semrush Data'!$A$1:$Z$20000,MATCH(A3273,'Semrush Data'!$A$1:$A$20000,0),MATCH("Keyword Difficulty*",'Semrush Data'!$A$1:$Z$1,0)),"")</f>
        <v/>
      </c>
      <c r="I3273" s="13" t="str">
        <f aca="false">IFERROR(INDEX('Semrush Data'!$A$1:$Z$20000,MATCH(A3273,'Semrush Data'!$A$1:$A$20000,0),MATCH("CPC*",'Semrush Data'!$A$1:$Z$1,0)),"")</f>
        <v/>
      </c>
      <c r="J3273" s="7" t="str">
        <f aca="false">IFERROR(INDEX('Semrush Data'!$A$1:$Z$20000,MATCH(A3273,'Semrush Data'!$A$1:$A$20000,0),MATCH("Intent",'Semrush Data'!$A$1:$Z$1,0)),"")</f>
        <v/>
      </c>
    </row>
    <row r="3274" customFormat="false" ht="15" hidden="false" customHeight="true" outlineLevel="0" collapsed="false">
      <c r="A3274" s="7" t="s">
        <v>2721</v>
      </c>
      <c r="B3274" s="7" t="s">
        <v>1356</v>
      </c>
      <c r="C3274" s="7" t="n">
        <v>3</v>
      </c>
      <c r="D3274" s="7" t="n">
        <v>33</v>
      </c>
      <c r="E3274" s="7" t="n">
        <v>3</v>
      </c>
      <c r="F3274" s="7" t="s">
        <v>6786</v>
      </c>
      <c r="G3274" s="12" t="str">
        <f aca="false">IFERROR(INDEX('Semrush Data'!$A$1:$Z$20000,MATCH(A3274,'Semrush Data'!$A$1:$A$20000,0),MATCH("Volume",'Semrush Data'!$A$1:$Z$1,0)),"")</f>
        <v/>
      </c>
      <c r="H3274" s="7" t="str">
        <f aca="false">IFERROR(INDEX('Semrush Data'!$A$1:$Z$20000,MATCH(A3274,'Semrush Data'!$A$1:$A$20000,0),MATCH("Keyword Difficulty*",'Semrush Data'!$A$1:$Z$1,0)),"")</f>
        <v/>
      </c>
      <c r="I3274" s="13" t="str">
        <f aca="false">IFERROR(INDEX('Semrush Data'!$A$1:$Z$20000,MATCH(A3274,'Semrush Data'!$A$1:$A$20000,0),MATCH("CPC*",'Semrush Data'!$A$1:$Z$1,0)),"")</f>
        <v/>
      </c>
      <c r="J3274" s="7" t="str">
        <f aca="false">IFERROR(INDEX('Semrush Data'!$A$1:$Z$20000,MATCH(A3274,'Semrush Data'!$A$1:$A$20000,0),MATCH("Intent",'Semrush Data'!$A$1:$Z$1,0)),"")</f>
        <v/>
      </c>
    </row>
    <row r="3275" customFormat="false" ht="15" hidden="false" customHeight="true" outlineLevel="0" collapsed="false">
      <c r="A3275" s="7" t="s">
        <v>2733</v>
      </c>
      <c r="B3275" s="7" t="s">
        <v>1356</v>
      </c>
      <c r="C3275" s="7" t="n">
        <v>3</v>
      </c>
      <c r="D3275" s="7" t="n">
        <v>33</v>
      </c>
      <c r="E3275" s="7" t="n">
        <v>3</v>
      </c>
      <c r="F3275" s="7" t="s">
        <v>6787</v>
      </c>
      <c r="G3275" s="12" t="str">
        <f aca="false">IFERROR(INDEX('Semrush Data'!$A$1:$Z$20000,MATCH(A3275,'Semrush Data'!$A$1:$A$20000,0),MATCH("Volume",'Semrush Data'!$A$1:$Z$1,0)),"")</f>
        <v/>
      </c>
      <c r="H3275" s="7" t="str">
        <f aca="false">IFERROR(INDEX('Semrush Data'!$A$1:$Z$20000,MATCH(A3275,'Semrush Data'!$A$1:$A$20000,0),MATCH("Keyword Difficulty*",'Semrush Data'!$A$1:$Z$1,0)),"")</f>
        <v/>
      </c>
      <c r="I3275" s="13" t="str">
        <f aca="false">IFERROR(INDEX('Semrush Data'!$A$1:$Z$20000,MATCH(A3275,'Semrush Data'!$A$1:$A$20000,0),MATCH("CPC*",'Semrush Data'!$A$1:$Z$1,0)),"")</f>
        <v/>
      </c>
      <c r="J3275" s="7" t="str">
        <f aca="false">IFERROR(INDEX('Semrush Data'!$A$1:$Z$20000,MATCH(A3275,'Semrush Data'!$A$1:$A$20000,0),MATCH("Intent",'Semrush Data'!$A$1:$Z$1,0)),"")</f>
        <v/>
      </c>
    </row>
    <row r="3276" customFormat="false" ht="15" hidden="false" customHeight="true" outlineLevel="0" collapsed="false">
      <c r="A3276" s="7" t="s">
        <v>2746</v>
      </c>
      <c r="B3276" s="7" t="s">
        <v>1356</v>
      </c>
      <c r="C3276" s="7" t="n">
        <v>3</v>
      </c>
      <c r="D3276" s="7" t="n">
        <v>33</v>
      </c>
      <c r="E3276" s="7" t="n">
        <v>4</v>
      </c>
      <c r="F3276" s="7" t="s">
        <v>6788</v>
      </c>
      <c r="G3276" s="12" t="str">
        <f aca="false">IFERROR(INDEX('Semrush Data'!$A$1:$Z$20000,MATCH(A3276,'Semrush Data'!$A$1:$A$20000,0),MATCH("Volume",'Semrush Data'!$A$1:$Z$1,0)),"")</f>
        <v/>
      </c>
      <c r="H3276" s="7" t="str">
        <f aca="false">IFERROR(INDEX('Semrush Data'!$A$1:$Z$20000,MATCH(A3276,'Semrush Data'!$A$1:$A$20000,0),MATCH("Keyword Difficulty*",'Semrush Data'!$A$1:$Z$1,0)),"")</f>
        <v/>
      </c>
      <c r="I3276" s="13" t="str">
        <f aca="false">IFERROR(INDEX('Semrush Data'!$A$1:$Z$20000,MATCH(A3276,'Semrush Data'!$A$1:$A$20000,0),MATCH("CPC*",'Semrush Data'!$A$1:$Z$1,0)),"")</f>
        <v/>
      </c>
      <c r="J3276" s="7" t="str">
        <f aca="false">IFERROR(INDEX('Semrush Data'!$A$1:$Z$20000,MATCH(A3276,'Semrush Data'!$A$1:$A$20000,0),MATCH("Intent",'Semrush Data'!$A$1:$Z$1,0)),"")</f>
        <v/>
      </c>
    </row>
    <row r="3277" customFormat="false" ht="15" hidden="false" customHeight="true" outlineLevel="0" collapsed="false">
      <c r="A3277" s="7" t="s">
        <v>2763</v>
      </c>
      <c r="B3277" s="7" t="s">
        <v>1356</v>
      </c>
      <c r="C3277" s="7" t="n">
        <v>3</v>
      </c>
      <c r="D3277" s="7" t="n">
        <v>33</v>
      </c>
      <c r="E3277" s="7" t="n">
        <v>1</v>
      </c>
      <c r="F3277" s="7" t="s">
        <v>136</v>
      </c>
      <c r="G3277" s="12" t="str">
        <f aca="false">IFERROR(INDEX('Semrush Data'!$A$1:$Z$20000,MATCH(A3277,'Semrush Data'!$A$1:$A$20000,0),MATCH("Volume",'Semrush Data'!$A$1:$Z$1,0)),"")</f>
        <v/>
      </c>
      <c r="H3277" s="7" t="str">
        <f aca="false">IFERROR(INDEX('Semrush Data'!$A$1:$Z$20000,MATCH(A3277,'Semrush Data'!$A$1:$A$20000,0),MATCH("Keyword Difficulty*",'Semrush Data'!$A$1:$Z$1,0)),"")</f>
        <v/>
      </c>
      <c r="I3277" s="13" t="str">
        <f aca="false">IFERROR(INDEX('Semrush Data'!$A$1:$Z$20000,MATCH(A3277,'Semrush Data'!$A$1:$A$20000,0),MATCH("CPC*",'Semrush Data'!$A$1:$Z$1,0)),"")</f>
        <v/>
      </c>
      <c r="J3277" s="7" t="str">
        <f aca="false">IFERROR(INDEX('Semrush Data'!$A$1:$Z$20000,MATCH(A3277,'Semrush Data'!$A$1:$A$20000,0),MATCH("Intent",'Semrush Data'!$A$1:$Z$1,0)),"")</f>
        <v/>
      </c>
    </row>
    <row r="3278" customFormat="false" ht="15" hidden="false" customHeight="true" outlineLevel="0" collapsed="false">
      <c r="A3278" s="7" t="s">
        <v>2778</v>
      </c>
      <c r="B3278" s="7" t="s">
        <v>1356</v>
      </c>
      <c r="C3278" s="7" t="n">
        <v>3</v>
      </c>
      <c r="D3278" s="7" t="n">
        <v>33</v>
      </c>
      <c r="E3278" s="7" t="n">
        <v>1</v>
      </c>
      <c r="F3278" s="7" t="s">
        <v>2770</v>
      </c>
      <c r="G3278" s="12" t="str">
        <f aca="false">IFERROR(INDEX('Semrush Data'!$A$1:$Z$20000,MATCH(A3278,'Semrush Data'!$A$1:$A$20000,0),MATCH("Volume",'Semrush Data'!$A$1:$Z$1,0)),"")</f>
        <v/>
      </c>
      <c r="H3278" s="7" t="str">
        <f aca="false">IFERROR(INDEX('Semrush Data'!$A$1:$Z$20000,MATCH(A3278,'Semrush Data'!$A$1:$A$20000,0),MATCH("Keyword Difficulty*",'Semrush Data'!$A$1:$Z$1,0)),"")</f>
        <v/>
      </c>
      <c r="I3278" s="13" t="str">
        <f aca="false">IFERROR(INDEX('Semrush Data'!$A$1:$Z$20000,MATCH(A3278,'Semrush Data'!$A$1:$A$20000,0),MATCH("CPC*",'Semrush Data'!$A$1:$Z$1,0)),"")</f>
        <v/>
      </c>
      <c r="J3278" s="7" t="str">
        <f aca="false">IFERROR(INDEX('Semrush Data'!$A$1:$Z$20000,MATCH(A3278,'Semrush Data'!$A$1:$A$20000,0),MATCH("Intent",'Semrush Data'!$A$1:$Z$1,0)),"")</f>
        <v/>
      </c>
    </row>
    <row r="3279" customFormat="false" ht="15" hidden="false" customHeight="true" outlineLevel="0" collapsed="false">
      <c r="A3279" s="7" t="s">
        <v>2789</v>
      </c>
      <c r="B3279" s="7" t="s">
        <v>1356</v>
      </c>
      <c r="C3279" s="7" t="n">
        <v>3</v>
      </c>
      <c r="D3279" s="7" t="n">
        <v>33</v>
      </c>
      <c r="E3279" s="7" t="n">
        <v>1</v>
      </c>
      <c r="F3279" s="7" t="s">
        <v>2784</v>
      </c>
      <c r="G3279" s="12" t="str">
        <f aca="false">IFERROR(INDEX('Semrush Data'!$A$1:$Z$20000,MATCH(A3279,'Semrush Data'!$A$1:$A$20000,0),MATCH("Volume",'Semrush Data'!$A$1:$Z$1,0)),"")</f>
        <v/>
      </c>
      <c r="H3279" s="7" t="str">
        <f aca="false">IFERROR(INDEX('Semrush Data'!$A$1:$Z$20000,MATCH(A3279,'Semrush Data'!$A$1:$A$20000,0),MATCH("Keyword Difficulty*",'Semrush Data'!$A$1:$Z$1,0)),"")</f>
        <v/>
      </c>
      <c r="I3279" s="13" t="str">
        <f aca="false">IFERROR(INDEX('Semrush Data'!$A$1:$Z$20000,MATCH(A3279,'Semrush Data'!$A$1:$A$20000,0),MATCH("CPC*",'Semrush Data'!$A$1:$Z$1,0)),"")</f>
        <v/>
      </c>
      <c r="J3279" s="7" t="str">
        <f aca="false">IFERROR(INDEX('Semrush Data'!$A$1:$Z$20000,MATCH(A3279,'Semrush Data'!$A$1:$A$20000,0),MATCH("Intent",'Semrush Data'!$A$1:$Z$1,0)),"")</f>
        <v/>
      </c>
    </row>
    <row r="3280" customFormat="false" ht="15" hidden="false" customHeight="true" outlineLevel="0" collapsed="false">
      <c r="A3280" s="7" t="s">
        <v>2800</v>
      </c>
      <c r="B3280" s="7" t="s">
        <v>1356</v>
      </c>
      <c r="C3280" s="7" t="n">
        <v>3</v>
      </c>
      <c r="D3280" s="7" t="n">
        <v>33</v>
      </c>
      <c r="E3280" s="7" t="n">
        <v>1</v>
      </c>
      <c r="F3280" s="7" t="s">
        <v>2795</v>
      </c>
      <c r="G3280" s="12" t="str">
        <f aca="false">IFERROR(INDEX('Semrush Data'!$A$1:$Z$20000,MATCH(A3280,'Semrush Data'!$A$1:$A$20000,0),MATCH("Volume",'Semrush Data'!$A$1:$Z$1,0)),"")</f>
        <v/>
      </c>
      <c r="H3280" s="7" t="str">
        <f aca="false">IFERROR(INDEX('Semrush Data'!$A$1:$Z$20000,MATCH(A3280,'Semrush Data'!$A$1:$A$20000,0),MATCH("Keyword Difficulty*",'Semrush Data'!$A$1:$Z$1,0)),"")</f>
        <v/>
      </c>
      <c r="I3280" s="13" t="str">
        <f aca="false">IFERROR(INDEX('Semrush Data'!$A$1:$Z$20000,MATCH(A3280,'Semrush Data'!$A$1:$A$20000,0),MATCH("CPC*",'Semrush Data'!$A$1:$Z$1,0)),"")</f>
        <v/>
      </c>
      <c r="J3280" s="7" t="str">
        <f aca="false">IFERROR(INDEX('Semrush Data'!$A$1:$Z$20000,MATCH(A3280,'Semrush Data'!$A$1:$A$20000,0),MATCH("Intent",'Semrush Data'!$A$1:$Z$1,0)),"")</f>
        <v/>
      </c>
    </row>
    <row r="3281" customFormat="false" ht="15" hidden="false" customHeight="true" outlineLevel="0" collapsed="false">
      <c r="A3281" s="7" t="s">
        <v>2813</v>
      </c>
      <c r="B3281" s="7" t="s">
        <v>1356</v>
      </c>
      <c r="C3281" s="7" t="n">
        <v>3</v>
      </c>
      <c r="D3281" s="7" t="n">
        <v>33</v>
      </c>
      <c r="E3281" s="7" t="n">
        <v>1</v>
      </c>
      <c r="F3281" s="7" t="s">
        <v>2807</v>
      </c>
      <c r="G3281" s="12" t="str">
        <f aca="false">IFERROR(INDEX('Semrush Data'!$A$1:$Z$20000,MATCH(A3281,'Semrush Data'!$A$1:$A$20000,0),MATCH("Volume",'Semrush Data'!$A$1:$Z$1,0)),"")</f>
        <v/>
      </c>
      <c r="H3281" s="7" t="str">
        <f aca="false">IFERROR(INDEX('Semrush Data'!$A$1:$Z$20000,MATCH(A3281,'Semrush Data'!$A$1:$A$20000,0),MATCH("Keyword Difficulty*",'Semrush Data'!$A$1:$Z$1,0)),"")</f>
        <v/>
      </c>
      <c r="I3281" s="13" t="str">
        <f aca="false">IFERROR(INDEX('Semrush Data'!$A$1:$Z$20000,MATCH(A3281,'Semrush Data'!$A$1:$A$20000,0),MATCH("CPC*",'Semrush Data'!$A$1:$Z$1,0)),"")</f>
        <v/>
      </c>
      <c r="J3281" s="7" t="str">
        <f aca="false">IFERROR(INDEX('Semrush Data'!$A$1:$Z$20000,MATCH(A3281,'Semrush Data'!$A$1:$A$20000,0),MATCH("Intent",'Semrush Data'!$A$1:$Z$1,0)),"")</f>
        <v/>
      </c>
    </row>
    <row r="3282" customFormat="false" ht="15" hidden="false" customHeight="true" outlineLevel="0" collapsed="false">
      <c r="A3282" s="7" t="s">
        <v>2825</v>
      </c>
      <c r="B3282" s="7" t="s">
        <v>1356</v>
      </c>
      <c r="C3282" s="7" t="n">
        <v>3</v>
      </c>
      <c r="D3282" s="7" t="n">
        <v>33</v>
      </c>
      <c r="E3282" s="7" t="n">
        <v>1</v>
      </c>
      <c r="F3282" s="7" t="s">
        <v>2820</v>
      </c>
      <c r="G3282" s="12" t="str">
        <f aca="false">IFERROR(INDEX('Semrush Data'!$A$1:$Z$20000,MATCH(A3282,'Semrush Data'!$A$1:$A$20000,0),MATCH("Volume",'Semrush Data'!$A$1:$Z$1,0)),"")</f>
        <v/>
      </c>
      <c r="H3282" s="7" t="str">
        <f aca="false">IFERROR(INDEX('Semrush Data'!$A$1:$Z$20000,MATCH(A3282,'Semrush Data'!$A$1:$A$20000,0),MATCH("Keyword Difficulty*",'Semrush Data'!$A$1:$Z$1,0)),"")</f>
        <v/>
      </c>
      <c r="I3282" s="13" t="str">
        <f aca="false">IFERROR(INDEX('Semrush Data'!$A$1:$Z$20000,MATCH(A3282,'Semrush Data'!$A$1:$A$20000,0),MATCH("CPC*",'Semrush Data'!$A$1:$Z$1,0)),"")</f>
        <v/>
      </c>
      <c r="J3282" s="7" t="str">
        <f aca="false">IFERROR(INDEX('Semrush Data'!$A$1:$Z$20000,MATCH(A3282,'Semrush Data'!$A$1:$A$20000,0),MATCH("Intent",'Semrush Data'!$A$1:$Z$1,0)),"")</f>
        <v/>
      </c>
    </row>
    <row r="3283" customFormat="false" ht="15" hidden="false" customHeight="true" outlineLevel="0" collapsed="false">
      <c r="A3283" s="7" t="s">
        <v>2837</v>
      </c>
      <c r="B3283" s="7" t="s">
        <v>1356</v>
      </c>
      <c r="C3283" s="7" t="n">
        <v>3</v>
      </c>
      <c r="D3283" s="7" t="n">
        <v>33</v>
      </c>
      <c r="E3283" s="7" t="n">
        <v>1</v>
      </c>
      <c r="F3283" s="7" t="s">
        <v>2831</v>
      </c>
      <c r="G3283" s="12" t="str">
        <f aca="false">IFERROR(INDEX('Semrush Data'!$A$1:$Z$20000,MATCH(A3283,'Semrush Data'!$A$1:$A$20000,0),MATCH("Volume",'Semrush Data'!$A$1:$Z$1,0)),"")</f>
        <v/>
      </c>
      <c r="H3283" s="7" t="str">
        <f aca="false">IFERROR(INDEX('Semrush Data'!$A$1:$Z$20000,MATCH(A3283,'Semrush Data'!$A$1:$A$20000,0),MATCH("Keyword Difficulty*",'Semrush Data'!$A$1:$Z$1,0)),"")</f>
        <v/>
      </c>
      <c r="I3283" s="13" t="str">
        <f aca="false">IFERROR(INDEX('Semrush Data'!$A$1:$Z$20000,MATCH(A3283,'Semrush Data'!$A$1:$A$20000,0),MATCH("CPC*",'Semrush Data'!$A$1:$Z$1,0)),"")</f>
        <v/>
      </c>
      <c r="J3283" s="7" t="str">
        <f aca="false">IFERROR(INDEX('Semrush Data'!$A$1:$Z$20000,MATCH(A3283,'Semrush Data'!$A$1:$A$20000,0),MATCH("Intent",'Semrush Data'!$A$1:$Z$1,0)),"")</f>
        <v/>
      </c>
    </row>
    <row r="3284" customFormat="false" ht="15" hidden="false" customHeight="true" outlineLevel="0" collapsed="false">
      <c r="A3284" s="7" t="s">
        <v>2850</v>
      </c>
      <c r="B3284" s="7" t="s">
        <v>1356</v>
      </c>
      <c r="C3284" s="7" t="n">
        <v>3</v>
      </c>
      <c r="D3284" s="7" t="n">
        <v>33</v>
      </c>
      <c r="E3284" s="7" t="n">
        <v>1</v>
      </c>
      <c r="F3284" s="7" t="s">
        <v>2844</v>
      </c>
      <c r="G3284" s="12" t="str">
        <f aca="false">IFERROR(INDEX('Semrush Data'!$A$1:$Z$20000,MATCH(A3284,'Semrush Data'!$A$1:$A$20000,0),MATCH("Volume",'Semrush Data'!$A$1:$Z$1,0)),"")</f>
        <v/>
      </c>
      <c r="H3284" s="7" t="str">
        <f aca="false">IFERROR(INDEX('Semrush Data'!$A$1:$Z$20000,MATCH(A3284,'Semrush Data'!$A$1:$A$20000,0),MATCH("Keyword Difficulty*",'Semrush Data'!$A$1:$Z$1,0)),"")</f>
        <v/>
      </c>
      <c r="I3284" s="13" t="str">
        <f aca="false">IFERROR(INDEX('Semrush Data'!$A$1:$Z$20000,MATCH(A3284,'Semrush Data'!$A$1:$A$20000,0),MATCH("CPC*",'Semrush Data'!$A$1:$Z$1,0)),"")</f>
        <v/>
      </c>
      <c r="J3284" s="7" t="str">
        <f aca="false">IFERROR(INDEX('Semrush Data'!$A$1:$Z$20000,MATCH(A3284,'Semrush Data'!$A$1:$A$20000,0),MATCH("Intent",'Semrush Data'!$A$1:$Z$1,0)),"")</f>
        <v/>
      </c>
    </row>
    <row r="3285" customFormat="false" ht="15" hidden="false" customHeight="true" outlineLevel="0" collapsed="false">
      <c r="A3285" s="7" t="s">
        <v>2863</v>
      </c>
      <c r="B3285" s="7" t="s">
        <v>1356</v>
      </c>
      <c r="C3285" s="7" t="n">
        <v>3</v>
      </c>
      <c r="D3285" s="7" t="n">
        <v>33</v>
      </c>
      <c r="E3285" s="7" t="n">
        <v>1</v>
      </c>
      <c r="F3285" s="7" t="s">
        <v>2857</v>
      </c>
      <c r="G3285" s="12" t="str">
        <f aca="false">IFERROR(INDEX('Semrush Data'!$A$1:$Z$20000,MATCH(A3285,'Semrush Data'!$A$1:$A$20000,0),MATCH("Volume",'Semrush Data'!$A$1:$Z$1,0)),"")</f>
        <v/>
      </c>
      <c r="H3285" s="7" t="str">
        <f aca="false">IFERROR(INDEX('Semrush Data'!$A$1:$Z$20000,MATCH(A3285,'Semrush Data'!$A$1:$A$20000,0),MATCH("Keyword Difficulty*",'Semrush Data'!$A$1:$Z$1,0)),"")</f>
        <v/>
      </c>
      <c r="I3285" s="13" t="str">
        <f aca="false">IFERROR(INDEX('Semrush Data'!$A$1:$Z$20000,MATCH(A3285,'Semrush Data'!$A$1:$A$20000,0),MATCH("CPC*",'Semrush Data'!$A$1:$Z$1,0)),"")</f>
        <v/>
      </c>
      <c r="J3285" s="7" t="str">
        <f aca="false">IFERROR(INDEX('Semrush Data'!$A$1:$Z$20000,MATCH(A3285,'Semrush Data'!$A$1:$A$20000,0),MATCH("Intent",'Semrush Data'!$A$1:$Z$1,0)),"")</f>
        <v/>
      </c>
    </row>
    <row r="3286" customFormat="false" ht="15" hidden="false" customHeight="true" outlineLevel="0" collapsed="false">
      <c r="A3286" s="7" t="s">
        <v>2901</v>
      </c>
      <c r="B3286" s="7" t="s">
        <v>1356</v>
      </c>
      <c r="C3286" s="7" t="n">
        <v>3</v>
      </c>
      <c r="D3286" s="7" t="n">
        <v>33</v>
      </c>
      <c r="E3286" s="7" t="n">
        <v>1</v>
      </c>
      <c r="F3286" s="7" t="s">
        <v>2896</v>
      </c>
      <c r="G3286" s="12" t="str">
        <f aca="false">IFERROR(INDEX('Semrush Data'!$A$1:$Z$20000,MATCH(A3286,'Semrush Data'!$A$1:$A$20000,0),MATCH("Volume",'Semrush Data'!$A$1:$Z$1,0)),"")</f>
        <v/>
      </c>
      <c r="H3286" s="7" t="str">
        <f aca="false">IFERROR(INDEX('Semrush Data'!$A$1:$Z$20000,MATCH(A3286,'Semrush Data'!$A$1:$A$20000,0),MATCH("Keyword Difficulty*",'Semrush Data'!$A$1:$Z$1,0)),"")</f>
        <v/>
      </c>
      <c r="I3286" s="13" t="str">
        <f aca="false">IFERROR(INDEX('Semrush Data'!$A$1:$Z$20000,MATCH(A3286,'Semrush Data'!$A$1:$A$20000,0),MATCH("CPC*",'Semrush Data'!$A$1:$Z$1,0)),"")</f>
        <v/>
      </c>
      <c r="J3286" s="7" t="str">
        <f aca="false">IFERROR(INDEX('Semrush Data'!$A$1:$Z$20000,MATCH(A3286,'Semrush Data'!$A$1:$A$20000,0),MATCH("Intent",'Semrush Data'!$A$1:$Z$1,0)),"")</f>
        <v/>
      </c>
    </row>
    <row r="3287" customFormat="false" ht="15" hidden="false" customHeight="true" outlineLevel="0" collapsed="false">
      <c r="A3287" s="7" t="s">
        <v>2936</v>
      </c>
      <c r="B3287" s="7" t="s">
        <v>1356</v>
      </c>
      <c r="C3287" s="7" t="n">
        <v>3</v>
      </c>
      <c r="D3287" s="7" t="s">
        <v>6818</v>
      </c>
      <c r="E3287" s="7" t="n">
        <v>1</v>
      </c>
      <c r="F3287" s="7" t="s">
        <v>84</v>
      </c>
      <c r="G3287" s="12" t="str">
        <f aca="false">IFERROR(INDEX('Semrush Data'!$A$1:$Z$20000,MATCH(A3287,'Semrush Data'!$A$1:$A$20000,0),MATCH("Volume",'Semrush Data'!$A$1:$Z$1,0)),"")</f>
        <v/>
      </c>
      <c r="H3287" s="7" t="str">
        <f aca="false">IFERROR(INDEX('Semrush Data'!$A$1:$Z$20000,MATCH(A3287,'Semrush Data'!$A$1:$A$20000,0),MATCH("Keyword Difficulty*",'Semrush Data'!$A$1:$Z$1,0)),"")</f>
        <v/>
      </c>
      <c r="I3287" s="13" t="str">
        <f aca="false">IFERROR(INDEX('Semrush Data'!$A$1:$Z$20000,MATCH(A3287,'Semrush Data'!$A$1:$A$20000,0),MATCH("CPC*",'Semrush Data'!$A$1:$Z$1,0)),"")</f>
        <v/>
      </c>
      <c r="J3287" s="7" t="str">
        <f aca="false">IFERROR(INDEX('Semrush Data'!$A$1:$Z$20000,MATCH(A3287,'Semrush Data'!$A$1:$A$20000,0),MATCH("Intent",'Semrush Data'!$A$1:$Z$1,0)),"")</f>
        <v/>
      </c>
    </row>
    <row r="3288" customFormat="false" ht="15" hidden="false" customHeight="true" outlineLevel="0" collapsed="false">
      <c r="A3288" s="7" t="s">
        <v>2923</v>
      </c>
      <c r="B3288" s="7" t="s">
        <v>1356</v>
      </c>
      <c r="C3288" s="7" t="n">
        <v>3</v>
      </c>
      <c r="D3288" s="7" t="n">
        <v>33</v>
      </c>
      <c r="E3288" s="7" t="n">
        <v>2</v>
      </c>
      <c r="F3288" s="7" t="s">
        <v>6789</v>
      </c>
      <c r="G3288" s="12" t="str">
        <f aca="false">IFERROR(INDEX('Semrush Data'!$A$1:$Z$20000,MATCH(A3288,'Semrush Data'!$A$1:$A$20000,0),MATCH("Volume",'Semrush Data'!$A$1:$Z$1,0)),"")</f>
        <v/>
      </c>
      <c r="H3288" s="7" t="str">
        <f aca="false">IFERROR(INDEX('Semrush Data'!$A$1:$Z$20000,MATCH(A3288,'Semrush Data'!$A$1:$A$20000,0),MATCH("Keyword Difficulty*",'Semrush Data'!$A$1:$Z$1,0)),"")</f>
        <v/>
      </c>
      <c r="I3288" s="13" t="str">
        <f aca="false">IFERROR(INDEX('Semrush Data'!$A$1:$Z$20000,MATCH(A3288,'Semrush Data'!$A$1:$A$20000,0),MATCH("CPC*",'Semrush Data'!$A$1:$Z$1,0)),"")</f>
        <v/>
      </c>
      <c r="J3288" s="7" t="str">
        <f aca="false">IFERROR(INDEX('Semrush Data'!$A$1:$Z$20000,MATCH(A3288,'Semrush Data'!$A$1:$A$20000,0),MATCH("Intent",'Semrush Data'!$A$1:$Z$1,0)),"")</f>
        <v/>
      </c>
    </row>
    <row r="3289" customFormat="false" ht="15" hidden="false" customHeight="true" outlineLevel="0" collapsed="false">
      <c r="A3289" s="7" t="s">
        <v>2879</v>
      </c>
      <c r="B3289" s="7" t="s">
        <v>1356</v>
      </c>
      <c r="C3289" s="7" t="n">
        <v>3</v>
      </c>
      <c r="D3289" s="7" t="n">
        <v>33</v>
      </c>
      <c r="E3289" s="7" t="n">
        <v>1</v>
      </c>
      <c r="F3289" s="7" t="s">
        <v>2870</v>
      </c>
      <c r="G3289" s="12" t="str">
        <f aca="false">IFERROR(INDEX('Semrush Data'!$A$1:$Z$20000,MATCH(A3289,'Semrush Data'!$A$1:$A$20000,0),MATCH("Volume",'Semrush Data'!$A$1:$Z$1,0)),"")</f>
        <v/>
      </c>
      <c r="H3289" s="7" t="str">
        <f aca="false">IFERROR(INDEX('Semrush Data'!$A$1:$Z$20000,MATCH(A3289,'Semrush Data'!$A$1:$A$20000,0),MATCH("Keyword Difficulty*",'Semrush Data'!$A$1:$Z$1,0)),"")</f>
        <v/>
      </c>
      <c r="I3289" s="13" t="str">
        <f aca="false">IFERROR(INDEX('Semrush Data'!$A$1:$Z$20000,MATCH(A3289,'Semrush Data'!$A$1:$A$20000,0),MATCH("CPC*",'Semrush Data'!$A$1:$Z$1,0)),"")</f>
        <v/>
      </c>
      <c r="J3289" s="7" t="str">
        <f aca="false">IFERROR(INDEX('Semrush Data'!$A$1:$Z$20000,MATCH(A3289,'Semrush Data'!$A$1:$A$20000,0),MATCH("Intent",'Semrush Data'!$A$1:$Z$1,0)),"")</f>
        <v/>
      </c>
    </row>
    <row r="3290" customFormat="false" ht="15" hidden="false" customHeight="true" outlineLevel="0" collapsed="false">
      <c r="A3290" s="7" t="s">
        <v>2969</v>
      </c>
      <c r="B3290" s="7" t="s">
        <v>1356</v>
      </c>
      <c r="C3290" s="7" t="n">
        <v>3</v>
      </c>
      <c r="D3290" s="7" t="n">
        <v>33</v>
      </c>
      <c r="E3290" s="7" t="n">
        <v>1</v>
      </c>
      <c r="F3290" s="7" t="s">
        <v>2964</v>
      </c>
      <c r="G3290" s="12" t="str">
        <f aca="false">IFERROR(INDEX('Semrush Data'!$A$1:$Z$20000,MATCH(A3290,'Semrush Data'!$A$1:$A$20000,0),MATCH("Volume",'Semrush Data'!$A$1:$Z$1,0)),"")</f>
        <v/>
      </c>
      <c r="H3290" s="7" t="str">
        <f aca="false">IFERROR(INDEX('Semrush Data'!$A$1:$Z$20000,MATCH(A3290,'Semrush Data'!$A$1:$A$20000,0),MATCH("Keyword Difficulty*",'Semrush Data'!$A$1:$Z$1,0)),"")</f>
        <v/>
      </c>
      <c r="I3290" s="13" t="str">
        <f aca="false">IFERROR(INDEX('Semrush Data'!$A$1:$Z$20000,MATCH(A3290,'Semrush Data'!$A$1:$A$20000,0),MATCH("CPC*",'Semrush Data'!$A$1:$Z$1,0)),"")</f>
        <v/>
      </c>
      <c r="J3290" s="7" t="str">
        <f aca="false">IFERROR(INDEX('Semrush Data'!$A$1:$Z$20000,MATCH(A3290,'Semrush Data'!$A$1:$A$20000,0),MATCH("Intent",'Semrush Data'!$A$1:$Z$1,0)),"")</f>
        <v/>
      </c>
    </row>
    <row r="3291" customFormat="false" ht="15" hidden="false" customHeight="true" outlineLevel="0" collapsed="false">
      <c r="A3291" s="7" t="s">
        <v>2980</v>
      </c>
      <c r="B3291" s="7" t="s">
        <v>1356</v>
      </c>
      <c r="C3291" s="7" t="n">
        <v>3</v>
      </c>
      <c r="D3291" s="7" t="n">
        <v>33</v>
      </c>
      <c r="E3291" s="7" t="n">
        <v>1</v>
      </c>
      <c r="F3291" s="7" t="s">
        <v>2973</v>
      </c>
      <c r="G3291" s="12" t="str">
        <f aca="false">IFERROR(INDEX('Semrush Data'!$A$1:$Z$20000,MATCH(A3291,'Semrush Data'!$A$1:$A$20000,0),MATCH("Volume",'Semrush Data'!$A$1:$Z$1,0)),"")</f>
        <v/>
      </c>
      <c r="H3291" s="7" t="str">
        <f aca="false">IFERROR(INDEX('Semrush Data'!$A$1:$Z$20000,MATCH(A3291,'Semrush Data'!$A$1:$A$20000,0),MATCH("Keyword Difficulty*",'Semrush Data'!$A$1:$Z$1,0)),"")</f>
        <v/>
      </c>
      <c r="I3291" s="13" t="str">
        <f aca="false">IFERROR(INDEX('Semrush Data'!$A$1:$Z$20000,MATCH(A3291,'Semrush Data'!$A$1:$A$20000,0),MATCH("CPC*",'Semrush Data'!$A$1:$Z$1,0)),"")</f>
        <v/>
      </c>
      <c r="J3291" s="7" t="str">
        <f aca="false">IFERROR(INDEX('Semrush Data'!$A$1:$Z$20000,MATCH(A3291,'Semrush Data'!$A$1:$A$20000,0),MATCH("Intent",'Semrush Data'!$A$1:$Z$1,0)),"")</f>
        <v/>
      </c>
    </row>
    <row r="3292" customFormat="false" ht="15" hidden="false" customHeight="true" outlineLevel="0" collapsed="false">
      <c r="A3292" s="7" t="s">
        <v>2889</v>
      </c>
      <c r="B3292" s="7" t="s">
        <v>1356</v>
      </c>
      <c r="C3292" s="7" t="n">
        <v>3</v>
      </c>
      <c r="D3292" s="7" t="n">
        <v>33</v>
      </c>
      <c r="E3292" s="7" t="n">
        <v>1</v>
      </c>
      <c r="F3292" s="7" t="s">
        <v>2884</v>
      </c>
      <c r="G3292" s="12" t="str">
        <f aca="false">IFERROR(INDEX('Semrush Data'!$A$1:$Z$20000,MATCH(A3292,'Semrush Data'!$A$1:$A$20000,0),MATCH("Volume",'Semrush Data'!$A$1:$Z$1,0)),"")</f>
        <v/>
      </c>
      <c r="H3292" s="7" t="str">
        <f aca="false">IFERROR(INDEX('Semrush Data'!$A$1:$Z$20000,MATCH(A3292,'Semrush Data'!$A$1:$A$20000,0),MATCH("Keyword Difficulty*",'Semrush Data'!$A$1:$Z$1,0)),"")</f>
        <v/>
      </c>
      <c r="I3292" s="13" t="str">
        <f aca="false">IFERROR(INDEX('Semrush Data'!$A$1:$Z$20000,MATCH(A3292,'Semrush Data'!$A$1:$A$20000,0),MATCH("CPC*",'Semrush Data'!$A$1:$Z$1,0)),"")</f>
        <v/>
      </c>
      <c r="J3292" s="7" t="str">
        <f aca="false">IFERROR(INDEX('Semrush Data'!$A$1:$Z$20000,MATCH(A3292,'Semrush Data'!$A$1:$A$20000,0),MATCH("Intent",'Semrush Data'!$A$1:$Z$1,0)),"")</f>
        <v/>
      </c>
    </row>
    <row r="3293" customFormat="false" ht="15" hidden="false" customHeight="true" outlineLevel="0" collapsed="false">
      <c r="A3293" s="7" t="s">
        <v>2947</v>
      </c>
      <c r="B3293" s="7" t="s">
        <v>1356</v>
      </c>
      <c r="C3293" s="7" t="n">
        <v>3</v>
      </c>
      <c r="D3293" s="7" t="n">
        <v>33</v>
      </c>
      <c r="E3293" s="7" t="n">
        <v>1</v>
      </c>
      <c r="F3293" s="7" t="s">
        <v>2942</v>
      </c>
      <c r="G3293" s="12" t="str">
        <f aca="false">IFERROR(INDEX('Semrush Data'!$A$1:$Z$20000,MATCH(A3293,'Semrush Data'!$A$1:$A$20000,0),MATCH("Volume",'Semrush Data'!$A$1:$Z$1,0)),"")</f>
        <v/>
      </c>
      <c r="H3293" s="7" t="str">
        <f aca="false">IFERROR(INDEX('Semrush Data'!$A$1:$Z$20000,MATCH(A3293,'Semrush Data'!$A$1:$A$20000,0),MATCH("Keyword Difficulty*",'Semrush Data'!$A$1:$Z$1,0)),"")</f>
        <v/>
      </c>
      <c r="I3293" s="13" t="str">
        <f aca="false">IFERROR(INDEX('Semrush Data'!$A$1:$Z$20000,MATCH(A3293,'Semrush Data'!$A$1:$A$20000,0),MATCH("CPC*",'Semrush Data'!$A$1:$Z$1,0)),"")</f>
        <v/>
      </c>
      <c r="J3293" s="7" t="str">
        <f aca="false">IFERROR(INDEX('Semrush Data'!$A$1:$Z$20000,MATCH(A3293,'Semrush Data'!$A$1:$A$20000,0),MATCH("Intent",'Semrush Data'!$A$1:$Z$1,0)),"")</f>
        <v/>
      </c>
    </row>
    <row r="3294" customFormat="false" ht="15" hidden="false" customHeight="true" outlineLevel="0" collapsed="false">
      <c r="A3294" s="7" t="s">
        <v>2958</v>
      </c>
      <c r="B3294" s="7" t="s">
        <v>1356</v>
      </c>
      <c r="C3294" s="7" t="n">
        <v>3</v>
      </c>
      <c r="D3294" s="7" t="n">
        <v>33</v>
      </c>
      <c r="E3294" s="7" t="n">
        <v>1</v>
      </c>
      <c r="F3294" s="7" t="s">
        <v>2953</v>
      </c>
      <c r="G3294" s="12" t="str">
        <f aca="false">IFERROR(INDEX('Semrush Data'!$A$1:$Z$20000,MATCH(A3294,'Semrush Data'!$A$1:$A$20000,0),MATCH("Volume",'Semrush Data'!$A$1:$Z$1,0)),"")</f>
        <v/>
      </c>
      <c r="H3294" s="7" t="str">
        <f aca="false">IFERROR(INDEX('Semrush Data'!$A$1:$Z$20000,MATCH(A3294,'Semrush Data'!$A$1:$A$20000,0),MATCH("Keyword Difficulty*",'Semrush Data'!$A$1:$Z$1,0)),"")</f>
        <v/>
      </c>
      <c r="I3294" s="13" t="str">
        <f aca="false">IFERROR(INDEX('Semrush Data'!$A$1:$Z$20000,MATCH(A3294,'Semrush Data'!$A$1:$A$20000,0),MATCH("CPC*",'Semrush Data'!$A$1:$Z$1,0)),"")</f>
        <v/>
      </c>
      <c r="J3294" s="7" t="str">
        <f aca="false">IFERROR(INDEX('Semrush Data'!$A$1:$Z$20000,MATCH(A3294,'Semrush Data'!$A$1:$A$20000,0),MATCH("Intent",'Semrush Data'!$A$1:$Z$1,0)),"")</f>
        <v/>
      </c>
    </row>
    <row r="3295" customFormat="false" ht="15" hidden="false" customHeight="true" outlineLevel="0" collapsed="false">
      <c r="A3295" s="7" t="s">
        <v>2912</v>
      </c>
      <c r="B3295" s="7" t="s">
        <v>1356</v>
      </c>
      <c r="C3295" s="7" t="n">
        <v>3</v>
      </c>
      <c r="D3295" s="7" t="n">
        <v>33</v>
      </c>
      <c r="E3295" s="7" t="n">
        <v>1</v>
      </c>
      <c r="F3295" s="7" t="s">
        <v>2907</v>
      </c>
      <c r="G3295" s="12" t="str">
        <f aca="false">IFERROR(INDEX('Semrush Data'!$A$1:$Z$20000,MATCH(A3295,'Semrush Data'!$A$1:$A$20000,0),MATCH("Volume",'Semrush Data'!$A$1:$Z$1,0)),"")</f>
        <v/>
      </c>
      <c r="H3295" s="7" t="str">
        <f aca="false">IFERROR(INDEX('Semrush Data'!$A$1:$Z$20000,MATCH(A3295,'Semrush Data'!$A$1:$A$20000,0),MATCH("Keyword Difficulty*",'Semrush Data'!$A$1:$Z$1,0)),"")</f>
        <v/>
      </c>
      <c r="I3295" s="13" t="str">
        <f aca="false">IFERROR(INDEX('Semrush Data'!$A$1:$Z$20000,MATCH(A3295,'Semrush Data'!$A$1:$A$20000,0),MATCH("CPC*",'Semrush Data'!$A$1:$Z$1,0)),"")</f>
        <v/>
      </c>
      <c r="J3295" s="7" t="str">
        <f aca="false">IFERROR(INDEX('Semrush Data'!$A$1:$Z$20000,MATCH(A3295,'Semrush Data'!$A$1:$A$20000,0),MATCH("Intent",'Semrush Data'!$A$1:$Z$1,0)),"")</f>
        <v/>
      </c>
    </row>
    <row r="3296" customFormat="false" ht="15" hidden="false" customHeight="true" outlineLevel="0" collapsed="false">
      <c r="A3296" s="7" t="s">
        <v>3010</v>
      </c>
      <c r="B3296" s="7" t="s">
        <v>1356</v>
      </c>
      <c r="C3296" s="7" t="n">
        <v>3</v>
      </c>
      <c r="D3296" s="7" t="n">
        <v>33</v>
      </c>
      <c r="E3296" s="7" t="n">
        <v>1</v>
      </c>
      <c r="F3296" s="7" t="s">
        <v>3004</v>
      </c>
      <c r="G3296" s="12" t="str">
        <f aca="false">IFERROR(INDEX('Semrush Data'!$A$1:$Z$20000,MATCH(A3296,'Semrush Data'!$A$1:$A$20000,0),MATCH("Volume",'Semrush Data'!$A$1:$Z$1,0)),"")</f>
        <v/>
      </c>
      <c r="H3296" s="7" t="str">
        <f aca="false">IFERROR(INDEX('Semrush Data'!$A$1:$Z$20000,MATCH(A3296,'Semrush Data'!$A$1:$A$20000,0),MATCH("Keyword Difficulty*",'Semrush Data'!$A$1:$Z$1,0)),"")</f>
        <v/>
      </c>
      <c r="I3296" s="13" t="str">
        <f aca="false">IFERROR(INDEX('Semrush Data'!$A$1:$Z$20000,MATCH(A3296,'Semrush Data'!$A$1:$A$20000,0),MATCH("CPC*",'Semrush Data'!$A$1:$Z$1,0)),"")</f>
        <v/>
      </c>
      <c r="J3296" s="7" t="str">
        <f aca="false">IFERROR(INDEX('Semrush Data'!$A$1:$Z$20000,MATCH(A3296,'Semrush Data'!$A$1:$A$20000,0),MATCH("Intent",'Semrush Data'!$A$1:$Z$1,0)),"")</f>
        <v/>
      </c>
    </row>
    <row r="3297" customFormat="false" ht="15" hidden="false" customHeight="true" outlineLevel="0" collapsed="false">
      <c r="A3297" s="7" t="s">
        <v>3021</v>
      </c>
      <c r="B3297" s="7" t="s">
        <v>1356</v>
      </c>
      <c r="C3297" s="7" t="n">
        <v>3</v>
      </c>
      <c r="D3297" s="7" t="n">
        <v>33</v>
      </c>
      <c r="E3297" s="7" t="n">
        <v>2</v>
      </c>
      <c r="F3297" s="7" t="s">
        <v>6791</v>
      </c>
      <c r="G3297" s="12" t="str">
        <f aca="false">IFERROR(INDEX('Semrush Data'!$A$1:$Z$20000,MATCH(A3297,'Semrush Data'!$A$1:$A$20000,0),MATCH("Volume",'Semrush Data'!$A$1:$Z$1,0)),"")</f>
        <v/>
      </c>
      <c r="H3297" s="7" t="str">
        <f aca="false">IFERROR(INDEX('Semrush Data'!$A$1:$Z$20000,MATCH(A3297,'Semrush Data'!$A$1:$A$20000,0),MATCH("Keyword Difficulty*",'Semrush Data'!$A$1:$Z$1,0)),"")</f>
        <v/>
      </c>
      <c r="I3297" s="13" t="str">
        <f aca="false">IFERROR(INDEX('Semrush Data'!$A$1:$Z$20000,MATCH(A3297,'Semrush Data'!$A$1:$A$20000,0),MATCH("CPC*",'Semrush Data'!$A$1:$Z$1,0)),"")</f>
        <v/>
      </c>
      <c r="J3297" s="7" t="str">
        <f aca="false">IFERROR(INDEX('Semrush Data'!$A$1:$Z$20000,MATCH(A3297,'Semrush Data'!$A$1:$A$20000,0),MATCH("Intent",'Semrush Data'!$A$1:$Z$1,0)),"")</f>
        <v/>
      </c>
    </row>
    <row r="3298" customFormat="false" ht="15" hidden="false" customHeight="true" outlineLevel="0" collapsed="false">
      <c r="A3298" s="7" t="s">
        <v>2992</v>
      </c>
      <c r="B3298" s="7" t="s">
        <v>1356</v>
      </c>
      <c r="C3298" s="7" t="n">
        <v>3</v>
      </c>
      <c r="D3298" s="7" t="n">
        <v>33</v>
      </c>
      <c r="E3298" s="7" t="n">
        <v>2</v>
      </c>
      <c r="F3298" s="7" t="s">
        <v>6790</v>
      </c>
      <c r="G3298" s="12" t="str">
        <f aca="false">IFERROR(INDEX('Semrush Data'!$A$1:$Z$20000,MATCH(A3298,'Semrush Data'!$A$1:$A$20000,0),MATCH("Volume",'Semrush Data'!$A$1:$Z$1,0)),"")</f>
        <v/>
      </c>
      <c r="H3298" s="7" t="str">
        <f aca="false">IFERROR(INDEX('Semrush Data'!$A$1:$Z$20000,MATCH(A3298,'Semrush Data'!$A$1:$A$20000,0),MATCH("Keyword Difficulty*",'Semrush Data'!$A$1:$Z$1,0)),"")</f>
        <v/>
      </c>
      <c r="I3298" s="13" t="str">
        <f aca="false">IFERROR(INDEX('Semrush Data'!$A$1:$Z$20000,MATCH(A3298,'Semrush Data'!$A$1:$A$20000,0),MATCH("CPC*",'Semrush Data'!$A$1:$Z$1,0)),"")</f>
        <v/>
      </c>
      <c r="J3298" s="7" t="str">
        <f aca="false">IFERROR(INDEX('Semrush Data'!$A$1:$Z$20000,MATCH(A3298,'Semrush Data'!$A$1:$A$20000,0),MATCH("Intent",'Semrush Data'!$A$1:$Z$1,0)),"")</f>
        <v/>
      </c>
    </row>
    <row r="3299" customFormat="false" ht="15" hidden="false" customHeight="true" outlineLevel="0" collapsed="false">
      <c r="A3299" s="7" t="s">
        <v>3068</v>
      </c>
      <c r="B3299" s="7" t="s">
        <v>1356</v>
      </c>
      <c r="C3299" s="7" t="n">
        <v>3</v>
      </c>
      <c r="D3299" s="7" t="n">
        <v>33</v>
      </c>
      <c r="E3299" s="7" t="n">
        <v>1</v>
      </c>
      <c r="F3299" s="7" t="s">
        <v>3063</v>
      </c>
      <c r="G3299" s="12" t="str">
        <f aca="false">IFERROR(INDEX('Semrush Data'!$A$1:$Z$20000,MATCH(A3299,'Semrush Data'!$A$1:$A$20000,0),MATCH("Volume",'Semrush Data'!$A$1:$Z$1,0)),"")</f>
        <v/>
      </c>
      <c r="H3299" s="7" t="str">
        <f aca="false">IFERROR(INDEX('Semrush Data'!$A$1:$Z$20000,MATCH(A3299,'Semrush Data'!$A$1:$A$20000,0),MATCH("Keyword Difficulty*",'Semrush Data'!$A$1:$Z$1,0)),"")</f>
        <v/>
      </c>
      <c r="I3299" s="13" t="str">
        <f aca="false">IFERROR(INDEX('Semrush Data'!$A$1:$Z$20000,MATCH(A3299,'Semrush Data'!$A$1:$A$20000,0),MATCH("CPC*",'Semrush Data'!$A$1:$Z$1,0)),"")</f>
        <v/>
      </c>
      <c r="J3299" s="7" t="str">
        <f aca="false">IFERROR(INDEX('Semrush Data'!$A$1:$Z$20000,MATCH(A3299,'Semrush Data'!$A$1:$A$20000,0),MATCH("Intent",'Semrush Data'!$A$1:$Z$1,0)),"")</f>
        <v/>
      </c>
    </row>
    <row r="3300" customFormat="false" ht="15" hidden="false" customHeight="true" outlineLevel="0" collapsed="false">
      <c r="A3300" s="7" t="s">
        <v>3034</v>
      </c>
      <c r="B3300" s="7" t="s">
        <v>1356</v>
      </c>
      <c r="C3300" s="7" t="n">
        <v>3</v>
      </c>
      <c r="D3300" s="7" t="s">
        <v>6818</v>
      </c>
      <c r="E3300" s="7" t="n">
        <v>1</v>
      </c>
      <c r="F3300" s="7" t="s">
        <v>76</v>
      </c>
      <c r="G3300" s="12" t="str">
        <f aca="false">IFERROR(INDEX('Semrush Data'!$A$1:$Z$20000,MATCH(A3300,'Semrush Data'!$A$1:$A$20000,0),MATCH("Volume",'Semrush Data'!$A$1:$Z$1,0)),"")</f>
        <v/>
      </c>
      <c r="H3300" s="7" t="str">
        <f aca="false">IFERROR(INDEX('Semrush Data'!$A$1:$Z$20000,MATCH(A3300,'Semrush Data'!$A$1:$A$20000,0),MATCH("Keyword Difficulty*",'Semrush Data'!$A$1:$Z$1,0)),"")</f>
        <v/>
      </c>
      <c r="I3300" s="13" t="str">
        <f aca="false">IFERROR(INDEX('Semrush Data'!$A$1:$Z$20000,MATCH(A3300,'Semrush Data'!$A$1:$A$20000,0),MATCH("CPC*",'Semrush Data'!$A$1:$Z$1,0)),"")</f>
        <v/>
      </c>
      <c r="J3300" s="7" t="str">
        <f aca="false">IFERROR(INDEX('Semrush Data'!$A$1:$Z$20000,MATCH(A3300,'Semrush Data'!$A$1:$A$20000,0),MATCH("Intent",'Semrush Data'!$A$1:$Z$1,0)),"")</f>
        <v/>
      </c>
    </row>
    <row r="3301" customFormat="false" ht="15" hidden="false" customHeight="true" outlineLevel="0" collapsed="false">
      <c r="A3301" s="7" t="s">
        <v>3078</v>
      </c>
      <c r="B3301" s="7" t="s">
        <v>1356</v>
      </c>
      <c r="C3301" s="7" t="n">
        <v>3</v>
      </c>
      <c r="D3301" s="7" t="n">
        <v>33</v>
      </c>
      <c r="E3301" s="7" t="n">
        <v>1</v>
      </c>
      <c r="F3301" s="7" t="s">
        <v>3073</v>
      </c>
      <c r="G3301" s="12" t="str">
        <f aca="false">IFERROR(INDEX('Semrush Data'!$A$1:$Z$20000,MATCH(A3301,'Semrush Data'!$A$1:$A$20000,0),MATCH("Volume",'Semrush Data'!$A$1:$Z$1,0)),"")</f>
        <v/>
      </c>
      <c r="H3301" s="7" t="str">
        <f aca="false">IFERROR(INDEX('Semrush Data'!$A$1:$Z$20000,MATCH(A3301,'Semrush Data'!$A$1:$A$20000,0),MATCH("Keyword Difficulty*",'Semrush Data'!$A$1:$Z$1,0)),"")</f>
        <v/>
      </c>
      <c r="I3301" s="13" t="str">
        <f aca="false">IFERROR(INDEX('Semrush Data'!$A$1:$Z$20000,MATCH(A3301,'Semrush Data'!$A$1:$A$20000,0),MATCH("CPC*",'Semrush Data'!$A$1:$Z$1,0)),"")</f>
        <v/>
      </c>
      <c r="J3301" s="7" t="str">
        <f aca="false">IFERROR(INDEX('Semrush Data'!$A$1:$Z$20000,MATCH(A3301,'Semrush Data'!$A$1:$A$20000,0),MATCH("Intent",'Semrush Data'!$A$1:$Z$1,0)),"")</f>
        <v/>
      </c>
    </row>
    <row r="3302" customFormat="false" ht="15" hidden="false" customHeight="true" outlineLevel="0" collapsed="false">
      <c r="A3302" s="7" t="s">
        <v>3088</v>
      </c>
      <c r="B3302" s="7" t="s">
        <v>1356</v>
      </c>
      <c r="C3302" s="7" t="n">
        <v>3</v>
      </c>
      <c r="D3302" s="7" t="n">
        <v>34</v>
      </c>
      <c r="E3302" s="7" t="n">
        <v>1</v>
      </c>
      <c r="F3302" s="7" t="s">
        <v>3083</v>
      </c>
      <c r="G3302" s="12" t="str">
        <f aca="false">IFERROR(INDEX('Semrush Data'!$A$1:$Z$20000,MATCH(A3302,'Semrush Data'!$A$1:$A$20000,0),MATCH("Volume",'Semrush Data'!$A$1:$Z$1,0)),"")</f>
        <v/>
      </c>
      <c r="H3302" s="7" t="str">
        <f aca="false">IFERROR(INDEX('Semrush Data'!$A$1:$Z$20000,MATCH(A3302,'Semrush Data'!$A$1:$A$20000,0),MATCH("Keyword Difficulty*",'Semrush Data'!$A$1:$Z$1,0)),"")</f>
        <v/>
      </c>
      <c r="I3302" s="13" t="str">
        <f aca="false">IFERROR(INDEX('Semrush Data'!$A$1:$Z$20000,MATCH(A3302,'Semrush Data'!$A$1:$A$20000,0),MATCH("CPC*",'Semrush Data'!$A$1:$Z$1,0)),"")</f>
        <v/>
      </c>
      <c r="J3302" s="7" t="str">
        <f aca="false">IFERROR(INDEX('Semrush Data'!$A$1:$Z$20000,MATCH(A3302,'Semrush Data'!$A$1:$A$20000,0),MATCH("Intent",'Semrush Data'!$A$1:$Z$1,0)),"")</f>
        <v/>
      </c>
    </row>
    <row r="3303" customFormat="false" ht="15" hidden="false" customHeight="true" outlineLevel="0" collapsed="false">
      <c r="A3303" s="7" t="s">
        <v>3098</v>
      </c>
      <c r="B3303" s="7" t="s">
        <v>1356</v>
      </c>
      <c r="C3303" s="7" t="n">
        <v>3</v>
      </c>
      <c r="D3303" s="7" t="n">
        <v>34</v>
      </c>
      <c r="E3303" s="7" t="n">
        <v>1</v>
      </c>
      <c r="F3303" s="7" t="s">
        <v>3093</v>
      </c>
      <c r="G3303" s="12" t="str">
        <f aca="false">IFERROR(INDEX('Semrush Data'!$A$1:$Z$20000,MATCH(A3303,'Semrush Data'!$A$1:$A$20000,0),MATCH("Volume",'Semrush Data'!$A$1:$Z$1,0)),"")</f>
        <v/>
      </c>
      <c r="H3303" s="7" t="str">
        <f aca="false">IFERROR(INDEX('Semrush Data'!$A$1:$Z$20000,MATCH(A3303,'Semrush Data'!$A$1:$A$20000,0),MATCH("Keyword Difficulty*",'Semrush Data'!$A$1:$Z$1,0)),"")</f>
        <v/>
      </c>
      <c r="I3303" s="13" t="str">
        <f aca="false">IFERROR(INDEX('Semrush Data'!$A$1:$Z$20000,MATCH(A3303,'Semrush Data'!$A$1:$A$20000,0),MATCH("CPC*",'Semrush Data'!$A$1:$Z$1,0)),"")</f>
        <v/>
      </c>
      <c r="J3303" s="7" t="str">
        <f aca="false">IFERROR(INDEX('Semrush Data'!$A$1:$Z$20000,MATCH(A3303,'Semrush Data'!$A$1:$A$20000,0),MATCH("Intent",'Semrush Data'!$A$1:$Z$1,0)),"")</f>
        <v/>
      </c>
    </row>
    <row r="3304" customFormat="false" ht="15" hidden="false" customHeight="true" outlineLevel="0" collapsed="false">
      <c r="A3304" s="7" t="s">
        <v>3057</v>
      </c>
      <c r="B3304" s="7" t="s">
        <v>1356</v>
      </c>
      <c r="C3304" s="7" t="n">
        <v>3</v>
      </c>
      <c r="D3304" s="7" t="n">
        <v>34</v>
      </c>
      <c r="E3304" s="7" t="n">
        <v>1</v>
      </c>
      <c r="F3304" s="7" t="s">
        <v>142</v>
      </c>
      <c r="G3304" s="12" t="str">
        <f aca="false">IFERROR(INDEX('Semrush Data'!$A$1:$Z$20000,MATCH(A3304,'Semrush Data'!$A$1:$A$20000,0),MATCH("Volume",'Semrush Data'!$A$1:$Z$1,0)),"")</f>
        <v/>
      </c>
      <c r="H3304" s="7" t="str">
        <f aca="false">IFERROR(INDEX('Semrush Data'!$A$1:$Z$20000,MATCH(A3304,'Semrush Data'!$A$1:$A$20000,0),MATCH("Keyword Difficulty*",'Semrush Data'!$A$1:$Z$1,0)),"")</f>
        <v/>
      </c>
      <c r="I3304" s="13" t="str">
        <f aca="false">IFERROR(INDEX('Semrush Data'!$A$1:$Z$20000,MATCH(A3304,'Semrush Data'!$A$1:$A$20000,0),MATCH("CPC*",'Semrush Data'!$A$1:$Z$1,0)),"")</f>
        <v/>
      </c>
      <c r="J3304" s="7" t="str">
        <f aca="false">IFERROR(INDEX('Semrush Data'!$A$1:$Z$20000,MATCH(A3304,'Semrush Data'!$A$1:$A$20000,0),MATCH("Intent",'Semrush Data'!$A$1:$Z$1,0)),"")</f>
        <v/>
      </c>
    </row>
    <row r="3305" customFormat="false" ht="15" hidden="false" customHeight="true" outlineLevel="0" collapsed="false">
      <c r="A3305" s="7" t="s">
        <v>3108</v>
      </c>
      <c r="B3305" s="7" t="s">
        <v>1356</v>
      </c>
      <c r="C3305" s="7" t="n">
        <v>3</v>
      </c>
      <c r="D3305" s="7" t="n">
        <v>34</v>
      </c>
      <c r="E3305" s="7" t="n">
        <v>1</v>
      </c>
      <c r="F3305" s="7" t="s">
        <v>3103</v>
      </c>
      <c r="G3305" s="12" t="str">
        <f aca="false">IFERROR(INDEX('Semrush Data'!$A$1:$Z$20000,MATCH(A3305,'Semrush Data'!$A$1:$A$20000,0),MATCH("Volume",'Semrush Data'!$A$1:$Z$1,0)),"")</f>
        <v/>
      </c>
      <c r="H3305" s="7" t="str">
        <f aca="false">IFERROR(INDEX('Semrush Data'!$A$1:$Z$20000,MATCH(A3305,'Semrush Data'!$A$1:$A$20000,0),MATCH("Keyword Difficulty*",'Semrush Data'!$A$1:$Z$1,0)),"")</f>
        <v/>
      </c>
      <c r="I3305" s="13" t="str">
        <f aca="false">IFERROR(INDEX('Semrush Data'!$A$1:$Z$20000,MATCH(A3305,'Semrush Data'!$A$1:$A$20000,0),MATCH("CPC*",'Semrush Data'!$A$1:$Z$1,0)),"")</f>
        <v/>
      </c>
      <c r="J3305" s="7" t="str">
        <f aca="false">IFERROR(INDEX('Semrush Data'!$A$1:$Z$20000,MATCH(A3305,'Semrush Data'!$A$1:$A$20000,0),MATCH("Intent",'Semrush Data'!$A$1:$Z$1,0)),"")</f>
        <v/>
      </c>
    </row>
    <row r="3306" customFormat="false" ht="15" hidden="false" customHeight="true" outlineLevel="0" collapsed="false">
      <c r="A3306" s="7" t="s">
        <v>3046</v>
      </c>
      <c r="B3306" s="7" t="s">
        <v>1356</v>
      </c>
      <c r="C3306" s="7" t="n">
        <v>3</v>
      </c>
      <c r="D3306" s="7" t="n">
        <v>34</v>
      </c>
      <c r="E3306" s="7" t="n">
        <v>1</v>
      </c>
      <c r="F3306" s="7" t="s">
        <v>3041</v>
      </c>
      <c r="G3306" s="12" t="str">
        <f aca="false">IFERROR(INDEX('Semrush Data'!$A$1:$Z$20000,MATCH(A3306,'Semrush Data'!$A$1:$A$20000,0),MATCH("Volume",'Semrush Data'!$A$1:$Z$1,0)),"")</f>
        <v/>
      </c>
      <c r="H3306" s="7" t="str">
        <f aca="false">IFERROR(INDEX('Semrush Data'!$A$1:$Z$20000,MATCH(A3306,'Semrush Data'!$A$1:$A$20000,0),MATCH("Keyword Difficulty*",'Semrush Data'!$A$1:$Z$1,0)),"")</f>
        <v/>
      </c>
      <c r="I3306" s="13" t="str">
        <f aca="false">IFERROR(INDEX('Semrush Data'!$A$1:$Z$20000,MATCH(A3306,'Semrush Data'!$A$1:$A$20000,0),MATCH("CPC*",'Semrush Data'!$A$1:$Z$1,0)),"")</f>
        <v/>
      </c>
      <c r="J3306" s="7" t="str">
        <f aca="false">IFERROR(INDEX('Semrush Data'!$A$1:$Z$20000,MATCH(A3306,'Semrush Data'!$A$1:$A$20000,0),MATCH("Intent",'Semrush Data'!$A$1:$Z$1,0)),"")</f>
        <v/>
      </c>
    </row>
    <row r="3307" customFormat="false" ht="15" hidden="false" customHeight="true" outlineLevel="0" collapsed="false">
      <c r="A3307" s="7" t="s">
        <v>3119</v>
      </c>
      <c r="B3307" s="7" t="s">
        <v>1356</v>
      </c>
      <c r="C3307" s="7" t="n">
        <v>3</v>
      </c>
      <c r="D3307" s="7" t="n">
        <v>34</v>
      </c>
      <c r="E3307" s="7" t="n">
        <v>1</v>
      </c>
      <c r="F3307" s="7" t="s">
        <v>3113</v>
      </c>
      <c r="G3307" s="12" t="str">
        <f aca="false">IFERROR(INDEX('Semrush Data'!$A$1:$Z$20000,MATCH(A3307,'Semrush Data'!$A$1:$A$20000,0),MATCH("Volume",'Semrush Data'!$A$1:$Z$1,0)),"")</f>
        <v/>
      </c>
      <c r="H3307" s="7" t="str">
        <f aca="false">IFERROR(INDEX('Semrush Data'!$A$1:$Z$20000,MATCH(A3307,'Semrush Data'!$A$1:$A$20000,0),MATCH("Keyword Difficulty*",'Semrush Data'!$A$1:$Z$1,0)),"")</f>
        <v/>
      </c>
      <c r="I3307" s="13" t="str">
        <f aca="false">IFERROR(INDEX('Semrush Data'!$A$1:$Z$20000,MATCH(A3307,'Semrush Data'!$A$1:$A$20000,0),MATCH("CPC*",'Semrush Data'!$A$1:$Z$1,0)),"")</f>
        <v/>
      </c>
      <c r="J3307" s="7" t="str">
        <f aca="false">IFERROR(INDEX('Semrush Data'!$A$1:$Z$20000,MATCH(A3307,'Semrush Data'!$A$1:$A$20000,0),MATCH("Intent",'Semrush Data'!$A$1:$Z$1,0)),"")</f>
        <v/>
      </c>
    </row>
    <row r="3308" customFormat="false" ht="15" hidden="false" customHeight="true" outlineLevel="0" collapsed="false">
      <c r="A3308" s="7" t="s">
        <v>3169</v>
      </c>
      <c r="B3308" s="7" t="s">
        <v>1356</v>
      </c>
      <c r="C3308" s="7" t="n">
        <v>3</v>
      </c>
      <c r="D3308" s="7" t="n">
        <v>34</v>
      </c>
      <c r="E3308" s="7" t="n">
        <v>1</v>
      </c>
      <c r="F3308" s="7" t="s">
        <v>3164</v>
      </c>
      <c r="G3308" s="12" t="str">
        <f aca="false">IFERROR(INDEX('Semrush Data'!$A$1:$Z$20000,MATCH(A3308,'Semrush Data'!$A$1:$A$20000,0),MATCH("Volume",'Semrush Data'!$A$1:$Z$1,0)),"")</f>
        <v/>
      </c>
      <c r="H3308" s="7" t="str">
        <f aca="false">IFERROR(INDEX('Semrush Data'!$A$1:$Z$20000,MATCH(A3308,'Semrush Data'!$A$1:$A$20000,0),MATCH("Keyword Difficulty*",'Semrush Data'!$A$1:$Z$1,0)),"")</f>
        <v/>
      </c>
      <c r="I3308" s="13" t="str">
        <f aca="false">IFERROR(INDEX('Semrush Data'!$A$1:$Z$20000,MATCH(A3308,'Semrush Data'!$A$1:$A$20000,0),MATCH("CPC*",'Semrush Data'!$A$1:$Z$1,0)),"")</f>
        <v/>
      </c>
      <c r="J3308" s="7" t="str">
        <f aca="false">IFERROR(INDEX('Semrush Data'!$A$1:$Z$20000,MATCH(A3308,'Semrush Data'!$A$1:$A$20000,0),MATCH("Intent",'Semrush Data'!$A$1:$Z$1,0)),"")</f>
        <v/>
      </c>
    </row>
    <row r="3309" customFormat="false" ht="15" hidden="false" customHeight="true" outlineLevel="0" collapsed="false">
      <c r="A3309" s="7" t="s">
        <v>3178</v>
      </c>
      <c r="B3309" s="7" t="s">
        <v>1356</v>
      </c>
      <c r="C3309" s="7" t="n">
        <v>3</v>
      </c>
      <c r="D3309" s="7" t="n">
        <v>34</v>
      </c>
      <c r="E3309" s="7" t="n">
        <v>2</v>
      </c>
      <c r="F3309" s="7" t="s">
        <v>6792</v>
      </c>
      <c r="G3309" s="12" t="str">
        <f aca="false">IFERROR(INDEX('Semrush Data'!$A$1:$Z$20000,MATCH(A3309,'Semrush Data'!$A$1:$A$20000,0),MATCH("Volume",'Semrush Data'!$A$1:$Z$1,0)),"")</f>
        <v/>
      </c>
      <c r="H3309" s="7" t="str">
        <f aca="false">IFERROR(INDEX('Semrush Data'!$A$1:$Z$20000,MATCH(A3309,'Semrush Data'!$A$1:$A$20000,0),MATCH("Keyword Difficulty*",'Semrush Data'!$A$1:$Z$1,0)),"")</f>
        <v/>
      </c>
      <c r="I3309" s="13" t="str">
        <f aca="false">IFERROR(INDEX('Semrush Data'!$A$1:$Z$20000,MATCH(A3309,'Semrush Data'!$A$1:$A$20000,0),MATCH("CPC*",'Semrush Data'!$A$1:$Z$1,0)),"")</f>
        <v/>
      </c>
      <c r="J3309" s="7" t="str">
        <f aca="false">IFERROR(INDEX('Semrush Data'!$A$1:$Z$20000,MATCH(A3309,'Semrush Data'!$A$1:$A$20000,0),MATCH("Intent",'Semrush Data'!$A$1:$Z$1,0)),"")</f>
        <v/>
      </c>
    </row>
    <row r="3310" customFormat="false" ht="15" hidden="false" customHeight="true" outlineLevel="0" collapsed="false">
      <c r="A3310" s="7" t="s">
        <v>3190</v>
      </c>
      <c r="B3310" s="7" t="s">
        <v>1356</v>
      </c>
      <c r="C3310" s="7" t="n">
        <v>3</v>
      </c>
      <c r="D3310" s="7" t="n">
        <v>34</v>
      </c>
      <c r="E3310" s="7" t="n">
        <v>2</v>
      </c>
      <c r="F3310" s="7" t="s">
        <v>6794</v>
      </c>
      <c r="G3310" s="12" t="str">
        <f aca="false">IFERROR(INDEX('Semrush Data'!$A$1:$Z$20000,MATCH(A3310,'Semrush Data'!$A$1:$A$20000,0),MATCH("Volume",'Semrush Data'!$A$1:$Z$1,0)),"")</f>
        <v/>
      </c>
      <c r="H3310" s="7" t="str">
        <f aca="false">IFERROR(INDEX('Semrush Data'!$A$1:$Z$20000,MATCH(A3310,'Semrush Data'!$A$1:$A$20000,0),MATCH("Keyword Difficulty*",'Semrush Data'!$A$1:$Z$1,0)),"")</f>
        <v/>
      </c>
      <c r="I3310" s="13" t="str">
        <f aca="false">IFERROR(INDEX('Semrush Data'!$A$1:$Z$20000,MATCH(A3310,'Semrush Data'!$A$1:$A$20000,0),MATCH("CPC*",'Semrush Data'!$A$1:$Z$1,0)),"")</f>
        <v/>
      </c>
      <c r="J3310" s="7" t="str">
        <f aca="false">IFERROR(INDEX('Semrush Data'!$A$1:$Z$20000,MATCH(A3310,'Semrush Data'!$A$1:$A$20000,0),MATCH("Intent",'Semrush Data'!$A$1:$Z$1,0)),"")</f>
        <v/>
      </c>
    </row>
    <row r="3311" customFormat="false" ht="15" hidden="false" customHeight="true" outlineLevel="0" collapsed="false">
      <c r="A3311" s="7" t="s">
        <v>3203</v>
      </c>
      <c r="B3311" s="7" t="s">
        <v>1356</v>
      </c>
      <c r="C3311" s="7" t="n">
        <v>3</v>
      </c>
      <c r="D3311" s="7" t="n">
        <v>34</v>
      </c>
      <c r="E3311" s="7" t="n">
        <v>1</v>
      </c>
      <c r="F3311" s="7" t="s">
        <v>3198</v>
      </c>
      <c r="G3311" s="12" t="str">
        <f aca="false">IFERROR(INDEX('Semrush Data'!$A$1:$Z$20000,MATCH(A3311,'Semrush Data'!$A$1:$A$20000,0),MATCH("Volume",'Semrush Data'!$A$1:$Z$1,0)),"")</f>
        <v/>
      </c>
      <c r="H3311" s="7" t="str">
        <f aca="false">IFERROR(INDEX('Semrush Data'!$A$1:$Z$20000,MATCH(A3311,'Semrush Data'!$A$1:$A$20000,0),MATCH("Keyword Difficulty*",'Semrush Data'!$A$1:$Z$1,0)),"")</f>
        <v/>
      </c>
      <c r="I3311" s="13" t="str">
        <f aca="false">IFERROR(INDEX('Semrush Data'!$A$1:$Z$20000,MATCH(A3311,'Semrush Data'!$A$1:$A$20000,0),MATCH("CPC*",'Semrush Data'!$A$1:$Z$1,0)),"")</f>
        <v/>
      </c>
      <c r="J3311" s="7" t="str">
        <f aca="false">IFERROR(INDEX('Semrush Data'!$A$1:$Z$20000,MATCH(A3311,'Semrush Data'!$A$1:$A$20000,0),MATCH("Intent",'Semrush Data'!$A$1:$Z$1,0)),"")</f>
        <v/>
      </c>
    </row>
    <row r="3312" customFormat="false" ht="15" hidden="false" customHeight="true" outlineLevel="0" collapsed="false">
      <c r="A3312" s="7" t="s">
        <v>3128</v>
      </c>
      <c r="B3312" s="7" t="s">
        <v>1356</v>
      </c>
      <c r="C3312" s="7" t="n">
        <v>3</v>
      </c>
      <c r="D3312" s="7" t="s">
        <v>6818</v>
      </c>
      <c r="E3312" s="7" t="n">
        <v>2</v>
      </c>
      <c r="F3312" s="7" t="s">
        <v>6793</v>
      </c>
      <c r="G3312" s="12" t="str">
        <f aca="false">IFERROR(INDEX('Semrush Data'!$A$1:$Z$20000,MATCH(A3312,'Semrush Data'!$A$1:$A$20000,0),MATCH("Volume",'Semrush Data'!$A$1:$Z$1,0)),"")</f>
        <v/>
      </c>
      <c r="H3312" s="7" t="str">
        <f aca="false">IFERROR(INDEX('Semrush Data'!$A$1:$Z$20000,MATCH(A3312,'Semrush Data'!$A$1:$A$20000,0),MATCH("Keyword Difficulty*",'Semrush Data'!$A$1:$Z$1,0)),"")</f>
        <v/>
      </c>
      <c r="I3312" s="13" t="str">
        <f aca="false">IFERROR(INDEX('Semrush Data'!$A$1:$Z$20000,MATCH(A3312,'Semrush Data'!$A$1:$A$20000,0),MATCH("CPC*",'Semrush Data'!$A$1:$Z$1,0)),"")</f>
        <v/>
      </c>
      <c r="J3312" s="7" t="str">
        <f aca="false">IFERROR(INDEX('Semrush Data'!$A$1:$Z$20000,MATCH(A3312,'Semrush Data'!$A$1:$A$20000,0),MATCH("Intent",'Semrush Data'!$A$1:$Z$1,0)),"")</f>
        <v/>
      </c>
    </row>
    <row r="3313" customFormat="false" ht="15" hidden="false" customHeight="true" outlineLevel="0" collapsed="false">
      <c r="A3313" s="7" t="s">
        <v>3158</v>
      </c>
      <c r="B3313" s="7" t="s">
        <v>1356</v>
      </c>
      <c r="C3313" s="7" t="n">
        <v>3</v>
      </c>
      <c r="D3313" s="7" t="n">
        <v>34</v>
      </c>
      <c r="E3313" s="7" t="n">
        <v>1</v>
      </c>
      <c r="F3313" s="7" t="s">
        <v>3152</v>
      </c>
      <c r="G3313" s="12" t="str">
        <f aca="false">IFERROR(INDEX('Semrush Data'!$A$1:$Z$20000,MATCH(A3313,'Semrush Data'!$A$1:$A$20000,0),MATCH("Volume",'Semrush Data'!$A$1:$Z$1,0)),"")</f>
        <v/>
      </c>
      <c r="H3313" s="7" t="str">
        <f aca="false">IFERROR(INDEX('Semrush Data'!$A$1:$Z$20000,MATCH(A3313,'Semrush Data'!$A$1:$A$20000,0),MATCH("Keyword Difficulty*",'Semrush Data'!$A$1:$Z$1,0)),"")</f>
        <v/>
      </c>
      <c r="I3313" s="13" t="str">
        <f aca="false">IFERROR(INDEX('Semrush Data'!$A$1:$Z$20000,MATCH(A3313,'Semrush Data'!$A$1:$A$20000,0),MATCH("CPC*",'Semrush Data'!$A$1:$Z$1,0)),"")</f>
        <v/>
      </c>
      <c r="J3313" s="7" t="str">
        <f aca="false">IFERROR(INDEX('Semrush Data'!$A$1:$Z$20000,MATCH(A3313,'Semrush Data'!$A$1:$A$20000,0),MATCH("Intent",'Semrush Data'!$A$1:$Z$1,0)),"")</f>
        <v/>
      </c>
    </row>
    <row r="3314" customFormat="false" ht="15" hidden="false" customHeight="true" outlineLevel="0" collapsed="false">
      <c r="A3314" s="7" t="s">
        <v>3140</v>
      </c>
      <c r="B3314" s="7" t="s">
        <v>1356</v>
      </c>
      <c r="C3314" s="7" t="n">
        <v>3</v>
      </c>
      <c r="D3314" s="7" t="n">
        <v>34</v>
      </c>
      <c r="E3314" s="7" t="n">
        <v>1</v>
      </c>
      <c r="F3314" s="7" t="s">
        <v>3135</v>
      </c>
      <c r="G3314" s="12" t="str">
        <f aca="false">IFERROR(INDEX('Semrush Data'!$A$1:$Z$20000,MATCH(A3314,'Semrush Data'!$A$1:$A$20000,0),MATCH("Volume",'Semrush Data'!$A$1:$Z$1,0)),"")</f>
        <v/>
      </c>
      <c r="H3314" s="7" t="str">
        <f aca="false">IFERROR(INDEX('Semrush Data'!$A$1:$Z$20000,MATCH(A3314,'Semrush Data'!$A$1:$A$20000,0),MATCH("Keyword Difficulty*",'Semrush Data'!$A$1:$Z$1,0)),"")</f>
        <v/>
      </c>
      <c r="I3314" s="13" t="str">
        <f aca="false">IFERROR(INDEX('Semrush Data'!$A$1:$Z$20000,MATCH(A3314,'Semrush Data'!$A$1:$A$20000,0),MATCH("CPC*",'Semrush Data'!$A$1:$Z$1,0)),"")</f>
        <v/>
      </c>
      <c r="J3314" s="7" t="str">
        <f aca="false">IFERROR(INDEX('Semrush Data'!$A$1:$Z$20000,MATCH(A3314,'Semrush Data'!$A$1:$A$20000,0),MATCH("Intent",'Semrush Data'!$A$1:$Z$1,0)),"")</f>
        <v/>
      </c>
    </row>
    <row r="3315" customFormat="false" ht="15" hidden="false" customHeight="true" outlineLevel="0" collapsed="false">
      <c r="A3315" s="7" t="s">
        <v>3256</v>
      </c>
      <c r="B3315" s="7" t="s">
        <v>1356</v>
      </c>
      <c r="C3315" s="7" t="n">
        <v>3</v>
      </c>
      <c r="D3315" s="7" t="n">
        <v>34</v>
      </c>
      <c r="E3315" s="7" t="n">
        <v>1</v>
      </c>
      <c r="F3315" s="7" t="s">
        <v>3250</v>
      </c>
      <c r="G3315" s="12" t="str">
        <f aca="false">IFERROR(INDEX('Semrush Data'!$A$1:$Z$20000,MATCH(A3315,'Semrush Data'!$A$1:$A$20000,0),MATCH("Volume",'Semrush Data'!$A$1:$Z$1,0)),"")</f>
        <v/>
      </c>
      <c r="H3315" s="7" t="str">
        <f aca="false">IFERROR(INDEX('Semrush Data'!$A$1:$Z$20000,MATCH(A3315,'Semrush Data'!$A$1:$A$20000,0),MATCH("Keyword Difficulty*",'Semrush Data'!$A$1:$Z$1,0)),"")</f>
        <v/>
      </c>
      <c r="I3315" s="13" t="str">
        <f aca="false">IFERROR(INDEX('Semrush Data'!$A$1:$Z$20000,MATCH(A3315,'Semrush Data'!$A$1:$A$20000,0),MATCH("CPC*",'Semrush Data'!$A$1:$Z$1,0)),"")</f>
        <v/>
      </c>
      <c r="J3315" s="7" t="str">
        <f aca="false">IFERROR(INDEX('Semrush Data'!$A$1:$Z$20000,MATCH(A3315,'Semrush Data'!$A$1:$A$20000,0),MATCH("Intent",'Semrush Data'!$A$1:$Z$1,0)),"")</f>
        <v/>
      </c>
    </row>
    <row r="3316" customFormat="false" ht="15" hidden="false" customHeight="true" outlineLevel="0" collapsed="false">
      <c r="A3316" s="7" t="s">
        <v>3265</v>
      </c>
      <c r="B3316" s="7" t="s">
        <v>1356</v>
      </c>
      <c r="C3316" s="7" t="n">
        <v>3</v>
      </c>
      <c r="D3316" s="7" t="n">
        <v>34</v>
      </c>
      <c r="E3316" s="7" t="n">
        <v>1</v>
      </c>
      <c r="F3316" s="7" t="s">
        <v>128</v>
      </c>
      <c r="G3316" s="12" t="str">
        <f aca="false">IFERROR(INDEX('Semrush Data'!$A$1:$Z$20000,MATCH(A3316,'Semrush Data'!$A$1:$A$20000,0),MATCH("Volume",'Semrush Data'!$A$1:$Z$1,0)),"")</f>
        <v/>
      </c>
      <c r="H3316" s="7" t="str">
        <f aca="false">IFERROR(INDEX('Semrush Data'!$A$1:$Z$20000,MATCH(A3316,'Semrush Data'!$A$1:$A$20000,0),MATCH("Keyword Difficulty*",'Semrush Data'!$A$1:$Z$1,0)),"")</f>
        <v/>
      </c>
      <c r="I3316" s="13" t="str">
        <f aca="false">IFERROR(INDEX('Semrush Data'!$A$1:$Z$20000,MATCH(A3316,'Semrush Data'!$A$1:$A$20000,0),MATCH("CPC*",'Semrush Data'!$A$1:$Z$1,0)),"")</f>
        <v/>
      </c>
      <c r="J3316" s="7" t="str">
        <f aca="false">IFERROR(INDEX('Semrush Data'!$A$1:$Z$20000,MATCH(A3316,'Semrush Data'!$A$1:$A$20000,0),MATCH("Intent",'Semrush Data'!$A$1:$Z$1,0)),"")</f>
        <v/>
      </c>
    </row>
    <row r="3317" customFormat="false" ht="15" hidden="false" customHeight="true" outlineLevel="0" collapsed="false">
      <c r="A3317" s="7" t="s">
        <v>3216</v>
      </c>
      <c r="B3317" s="7" t="s">
        <v>1356</v>
      </c>
      <c r="C3317" s="7" t="n">
        <v>3</v>
      </c>
      <c r="D3317" s="7" t="n">
        <v>34</v>
      </c>
      <c r="E3317" s="7" t="n">
        <v>1</v>
      </c>
      <c r="F3317" s="7" t="s">
        <v>3210</v>
      </c>
      <c r="G3317" s="12" t="str">
        <f aca="false">IFERROR(INDEX('Semrush Data'!$A$1:$Z$20000,MATCH(A3317,'Semrush Data'!$A$1:$A$20000,0),MATCH("Volume",'Semrush Data'!$A$1:$Z$1,0)),"")</f>
        <v/>
      </c>
      <c r="H3317" s="7" t="str">
        <f aca="false">IFERROR(INDEX('Semrush Data'!$A$1:$Z$20000,MATCH(A3317,'Semrush Data'!$A$1:$A$20000,0),MATCH("Keyword Difficulty*",'Semrush Data'!$A$1:$Z$1,0)),"")</f>
        <v/>
      </c>
      <c r="I3317" s="13" t="str">
        <f aca="false">IFERROR(INDEX('Semrush Data'!$A$1:$Z$20000,MATCH(A3317,'Semrush Data'!$A$1:$A$20000,0),MATCH("CPC*",'Semrush Data'!$A$1:$Z$1,0)),"")</f>
        <v/>
      </c>
      <c r="J3317" s="7" t="str">
        <f aca="false">IFERROR(INDEX('Semrush Data'!$A$1:$Z$20000,MATCH(A3317,'Semrush Data'!$A$1:$A$20000,0),MATCH("Intent",'Semrush Data'!$A$1:$Z$1,0)),"")</f>
        <v/>
      </c>
    </row>
    <row r="3318" customFormat="false" ht="15" hidden="false" customHeight="true" outlineLevel="0" collapsed="false">
      <c r="A3318" s="7" t="s">
        <v>3226</v>
      </c>
      <c r="B3318" s="7" t="s">
        <v>1356</v>
      </c>
      <c r="C3318" s="7" t="n">
        <v>3</v>
      </c>
      <c r="D3318" s="7" t="n">
        <v>34</v>
      </c>
      <c r="E3318" s="7" t="n">
        <v>2</v>
      </c>
      <c r="F3318" s="7" t="s">
        <v>6795</v>
      </c>
      <c r="G3318" s="12" t="str">
        <f aca="false">IFERROR(INDEX('Semrush Data'!$A$1:$Z$20000,MATCH(A3318,'Semrush Data'!$A$1:$A$20000,0),MATCH("Volume",'Semrush Data'!$A$1:$Z$1,0)),"")</f>
        <v/>
      </c>
      <c r="H3318" s="7" t="str">
        <f aca="false">IFERROR(INDEX('Semrush Data'!$A$1:$Z$20000,MATCH(A3318,'Semrush Data'!$A$1:$A$20000,0),MATCH("Keyword Difficulty*",'Semrush Data'!$A$1:$Z$1,0)),"")</f>
        <v/>
      </c>
      <c r="I3318" s="13" t="str">
        <f aca="false">IFERROR(INDEX('Semrush Data'!$A$1:$Z$20000,MATCH(A3318,'Semrush Data'!$A$1:$A$20000,0),MATCH("CPC*",'Semrush Data'!$A$1:$Z$1,0)),"")</f>
        <v/>
      </c>
      <c r="J3318" s="7" t="str">
        <f aca="false">IFERROR(INDEX('Semrush Data'!$A$1:$Z$20000,MATCH(A3318,'Semrush Data'!$A$1:$A$20000,0),MATCH("Intent",'Semrush Data'!$A$1:$Z$1,0)),"")</f>
        <v/>
      </c>
    </row>
    <row r="3319" customFormat="false" ht="15" hidden="false" customHeight="true" outlineLevel="0" collapsed="false">
      <c r="A3319" s="7" t="s">
        <v>3239</v>
      </c>
      <c r="B3319" s="7" t="s">
        <v>1356</v>
      </c>
      <c r="C3319" s="7" t="n">
        <v>3</v>
      </c>
      <c r="D3319" s="7" t="n">
        <v>34</v>
      </c>
      <c r="E3319" s="7" t="n">
        <v>2</v>
      </c>
      <c r="F3319" s="7" t="s">
        <v>6796</v>
      </c>
      <c r="G3319" s="12" t="str">
        <f aca="false">IFERROR(INDEX('Semrush Data'!$A$1:$Z$20000,MATCH(A3319,'Semrush Data'!$A$1:$A$20000,0),MATCH("Volume",'Semrush Data'!$A$1:$Z$1,0)),"")</f>
        <v/>
      </c>
      <c r="H3319" s="7" t="str">
        <f aca="false">IFERROR(INDEX('Semrush Data'!$A$1:$Z$20000,MATCH(A3319,'Semrush Data'!$A$1:$A$20000,0),MATCH("Keyword Difficulty*",'Semrush Data'!$A$1:$Z$1,0)),"")</f>
        <v/>
      </c>
      <c r="I3319" s="13" t="str">
        <f aca="false">IFERROR(INDEX('Semrush Data'!$A$1:$Z$20000,MATCH(A3319,'Semrush Data'!$A$1:$A$20000,0),MATCH("CPC*",'Semrush Data'!$A$1:$Z$1,0)),"")</f>
        <v/>
      </c>
      <c r="J3319" s="7" t="str">
        <f aca="false">IFERROR(INDEX('Semrush Data'!$A$1:$Z$20000,MATCH(A3319,'Semrush Data'!$A$1:$A$20000,0),MATCH("Intent",'Semrush Data'!$A$1:$Z$1,0)),"")</f>
        <v/>
      </c>
    </row>
    <row r="3320" customFormat="false" ht="15" hidden="false" customHeight="true" outlineLevel="0" collapsed="false">
      <c r="A3320" s="7" t="s">
        <v>3274</v>
      </c>
      <c r="B3320" s="7" t="s">
        <v>1356</v>
      </c>
      <c r="C3320" s="7" t="n">
        <v>3</v>
      </c>
      <c r="D3320" s="7" t="n">
        <v>34</v>
      </c>
      <c r="E3320" s="7" t="n">
        <v>1</v>
      </c>
      <c r="F3320" s="7" t="s">
        <v>144</v>
      </c>
      <c r="G3320" s="12" t="str">
        <f aca="false">IFERROR(INDEX('Semrush Data'!$A$1:$Z$20000,MATCH(A3320,'Semrush Data'!$A$1:$A$20000,0),MATCH("Volume",'Semrush Data'!$A$1:$Z$1,0)),"")</f>
        <v/>
      </c>
      <c r="H3320" s="7" t="str">
        <f aca="false">IFERROR(INDEX('Semrush Data'!$A$1:$Z$20000,MATCH(A3320,'Semrush Data'!$A$1:$A$20000,0),MATCH("Keyword Difficulty*",'Semrush Data'!$A$1:$Z$1,0)),"")</f>
        <v/>
      </c>
      <c r="I3320" s="13" t="str">
        <f aca="false">IFERROR(INDEX('Semrush Data'!$A$1:$Z$20000,MATCH(A3320,'Semrush Data'!$A$1:$A$20000,0),MATCH("CPC*",'Semrush Data'!$A$1:$Z$1,0)),"")</f>
        <v/>
      </c>
      <c r="J3320" s="7" t="str">
        <f aca="false">IFERROR(INDEX('Semrush Data'!$A$1:$Z$20000,MATCH(A3320,'Semrush Data'!$A$1:$A$20000,0),MATCH("Intent",'Semrush Data'!$A$1:$Z$1,0)),"")</f>
        <v/>
      </c>
    </row>
    <row r="3321" customFormat="false" ht="15" hidden="false" customHeight="true" outlineLevel="0" collapsed="false">
      <c r="A3321" s="7" t="s">
        <v>5945</v>
      </c>
      <c r="B3321" s="7" t="s">
        <v>1356</v>
      </c>
      <c r="C3321" s="7" t="n">
        <v>3</v>
      </c>
      <c r="D3321" s="7" t="n">
        <v>34</v>
      </c>
      <c r="E3321" s="7" t="n">
        <v>1</v>
      </c>
      <c r="F3321" s="7" t="s">
        <v>5940</v>
      </c>
      <c r="G3321" s="12" t="str">
        <f aca="false">IFERROR(INDEX('Semrush Data'!$A$1:$Z$20000,MATCH(A3321,'Semrush Data'!$A$1:$A$20000,0),MATCH("Volume",'Semrush Data'!$A$1:$Z$1,0)),"")</f>
        <v/>
      </c>
      <c r="H3321" s="7" t="str">
        <f aca="false">IFERROR(INDEX('Semrush Data'!$A$1:$Z$20000,MATCH(A3321,'Semrush Data'!$A$1:$A$20000,0),MATCH("Keyword Difficulty*",'Semrush Data'!$A$1:$Z$1,0)),"")</f>
        <v/>
      </c>
      <c r="I3321" s="13" t="str">
        <f aca="false">IFERROR(INDEX('Semrush Data'!$A$1:$Z$20000,MATCH(A3321,'Semrush Data'!$A$1:$A$20000,0),MATCH("CPC*",'Semrush Data'!$A$1:$Z$1,0)),"")</f>
        <v/>
      </c>
      <c r="J3321" s="7" t="str">
        <f aca="false">IFERROR(INDEX('Semrush Data'!$A$1:$Z$20000,MATCH(A3321,'Semrush Data'!$A$1:$A$20000,0),MATCH("Intent",'Semrush Data'!$A$1:$Z$1,0)),"")</f>
        <v/>
      </c>
    </row>
    <row r="3322" customFormat="false" ht="15" hidden="false" customHeight="true" outlineLevel="0" collapsed="false">
      <c r="A3322" s="7" t="s">
        <v>3340</v>
      </c>
      <c r="B3322" s="7" t="s">
        <v>1356</v>
      </c>
      <c r="C3322" s="7" t="n">
        <v>3</v>
      </c>
      <c r="D3322" s="7" t="n">
        <v>34</v>
      </c>
      <c r="E3322" s="7" t="n">
        <v>1</v>
      </c>
      <c r="F3322" s="7" t="s">
        <v>3335</v>
      </c>
      <c r="G3322" s="12" t="str">
        <f aca="false">IFERROR(INDEX('Semrush Data'!$A$1:$Z$20000,MATCH(A3322,'Semrush Data'!$A$1:$A$20000,0),MATCH("Volume",'Semrush Data'!$A$1:$Z$1,0)),"")</f>
        <v/>
      </c>
      <c r="H3322" s="7" t="str">
        <f aca="false">IFERROR(INDEX('Semrush Data'!$A$1:$Z$20000,MATCH(A3322,'Semrush Data'!$A$1:$A$20000,0),MATCH("Keyword Difficulty*",'Semrush Data'!$A$1:$Z$1,0)),"")</f>
        <v/>
      </c>
      <c r="I3322" s="13" t="str">
        <f aca="false">IFERROR(INDEX('Semrush Data'!$A$1:$Z$20000,MATCH(A3322,'Semrush Data'!$A$1:$A$20000,0),MATCH("CPC*",'Semrush Data'!$A$1:$Z$1,0)),"")</f>
        <v/>
      </c>
      <c r="J3322" s="7" t="str">
        <f aca="false">IFERROR(INDEX('Semrush Data'!$A$1:$Z$20000,MATCH(A3322,'Semrush Data'!$A$1:$A$20000,0),MATCH("Intent",'Semrush Data'!$A$1:$Z$1,0)),"")</f>
        <v/>
      </c>
    </row>
    <row r="3323" customFormat="false" ht="15" hidden="false" customHeight="true" outlineLevel="0" collapsed="false">
      <c r="A3323" s="7" t="s">
        <v>3351</v>
      </c>
      <c r="B3323" s="7" t="s">
        <v>1356</v>
      </c>
      <c r="C3323" s="7" t="n">
        <v>3</v>
      </c>
      <c r="D3323" s="7" t="n">
        <v>34</v>
      </c>
      <c r="E3323" s="7" t="n">
        <v>1</v>
      </c>
      <c r="F3323" s="7" t="s">
        <v>3346</v>
      </c>
      <c r="G3323" s="12" t="str">
        <f aca="false">IFERROR(INDEX('Semrush Data'!$A$1:$Z$20000,MATCH(A3323,'Semrush Data'!$A$1:$A$20000,0),MATCH("Volume",'Semrush Data'!$A$1:$Z$1,0)),"")</f>
        <v/>
      </c>
      <c r="H3323" s="7" t="str">
        <f aca="false">IFERROR(INDEX('Semrush Data'!$A$1:$Z$20000,MATCH(A3323,'Semrush Data'!$A$1:$A$20000,0),MATCH("Keyword Difficulty*",'Semrush Data'!$A$1:$Z$1,0)),"")</f>
        <v/>
      </c>
      <c r="I3323" s="13" t="str">
        <f aca="false">IFERROR(INDEX('Semrush Data'!$A$1:$Z$20000,MATCH(A3323,'Semrush Data'!$A$1:$A$20000,0),MATCH("CPC*",'Semrush Data'!$A$1:$Z$1,0)),"")</f>
        <v/>
      </c>
      <c r="J3323" s="7" t="str">
        <f aca="false">IFERROR(INDEX('Semrush Data'!$A$1:$Z$20000,MATCH(A3323,'Semrush Data'!$A$1:$A$20000,0),MATCH("Intent",'Semrush Data'!$A$1:$Z$1,0)),"")</f>
        <v/>
      </c>
    </row>
    <row r="3324" customFormat="false" ht="15" hidden="false" customHeight="true" outlineLevel="0" collapsed="false">
      <c r="A3324" s="7" t="s">
        <v>3330</v>
      </c>
      <c r="B3324" s="7" t="s">
        <v>1356</v>
      </c>
      <c r="C3324" s="7" t="n">
        <v>3</v>
      </c>
      <c r="D3324" s="7" t="n">
        <v>34</v>
      </c>
      <c r="E3324" s="7" t="n">
        <v>1</v>
      </c>
      <c r="F3324" s="7" t="s">
        <v>3325</v>
      </c>
      <c r="G3324" s="12" t="str">
        <f aca="false">IFERROR(INDEX('Semrush Data'!$A$1:$Z$20000,MATCH(A3324,'Semrush Data'!$A$1:$A$20000,0),MATCH("Volume",'Semrush Data'!$A$1:$Z$1,0)),"")</f>
        <v/>
      </c>
      <c r="H3324" s="7" t="str">
        <f aca="false">IFERROR(INDEX('Semrush Data'!$A$1:$Z$20000,MATCH(A3324,'Semrush Data'!$A$1:$A$20000,0),MATCH("Keyword Difficulty*",'Semrush Data'!$A$1:$Z$1,0)),"")</f>
        <v/>
      </c>
      <c r="I3324" s="13" t="str">
        <f aca="false">IFERROR(INDEX('Semrush Data'!$A$1:$Z$20000,MATCH(A3324,'Semrush Data'!$A$1:$A$20000,0),MATCH("CPC*",'Semrush Data'!$A$1:$Z$1,0)),"")</f>
        <v/>
      </c>
      <c r="J3324" s="7" t="str">
        <f aca="false">IFERROR(INDEX('Semrush Data'!$A$1:$Z$20000,MATCH(A3324,'Semrush Data'!$A$1:$A$20000,0),MATCH("Intent",'Semrush Data'!$A$1:$Z$1,0)),"")</f>
        <v/>
      </c>
    </row>
    <row r="3325" customFormat="false" ht="15" hidden="false" customHeight="true" outlineLevel="0" collapsed="false">
      <c r="A3325" s="7" t="s">
        <v>3297</v>
      </c>
      <c r="B3325" s="7" t="s">
        <v>1356</v>
      </c>
      <c r="C3325" s="7" t="n">
        <v>3</v>
      </c>
      <c r="D3325" s="7" t="n">
        <v>34</v>
      </c>
      <c r="E3325" s="7" t="n">
        <v>1</v>
      </c>
      <c r="F3325" s="7" t="s">
        <v>3292</v>
      </c>
      <c r="G3325" s="12" t="str">
        <f aca="false">IFERROR(INDEX('Semrush Data'!$A$1:$Z$20000,MATCH(A3325,'Semrush Data'!$A$1:$A$20000,0),MATCH("Volume",'Semrush Data'!$A$1:$Z$1,0)),"")</f>
        <v/>
      </c>
      <c r="H3325" s="7" t="str">
        <f aca="false">IFERROR(INDEX('Semrush Data'!$A$1:$Z$20000,MATCH(A3325,'Semrush Data'!$A$1:$A$20000,0),MATCH("Keyword Difficulty*",'Semrush Data'!$A$1:$Z$1,0)),"")</f>
        <v/>
      </c>
      <c r="I3325" s="13" t="str">
        <f aca="false">IFERROR(INDEX('Semrush Data'!$A$1:$Z$20000,MATCH(A3325,'Semrush Data'!$A$1:$A$20000,0),MATCH("CPC*",'Semrush Data'!$A$1:$Z$1,0)),"")</f>
        <v/>
      </c>
      <c r="J3325" s="7" t="str">
        <f aca="false">IFERROR(INDEX('Semrush Data'!$A$1:$Z$20000,MATCH(A3325,'Semrush Data'!$A$1:$A$20000,0),MATCH("Intent",'Semrush Data'!$A$1:$Z$1,0)),"")</f>
        <v/>
      </c>
    </row>
    <row r="3326" customFormat="false" ht="15" hidden="false" customHeight="true" outlineLevel="0" collapsed="false">
      <c r="A3326" s="7" t="s">
        <v>3308</v>
      </c>
      <c r="B3326" s="7" t="s">
        <v>1356</v>
      </c>
      <c r="C3326" s="7" t="n">
        <v>3</v>
      </c>
      <c r="D3326" s="7" t="n">
        <v>34</v>
      </c>
      <c r="E3326" s="7" t="n">
        <v>1</v>
      </c>
      <c r="F3326" s="7" t="s">
        <v>3303</v>
      </c>
      <c r="G3326" s="12" t="str">
        <f aca="false">IFERROR(INDEX('Semrush Data'!$A$1:$Z$20000,MATCH(A3326,'Semrush Data'!$A$1:$A$20000,0),MATCH("Volume",'Semrush Data'!$A$1:$Z$1,0)),"")</f>
        <v/>
      </c>
      <c r="H3326" s="7" t="str">
        <f aca="false">IFERROR(INDEX('Semrush Data'!$A$1:$Z$20000,MATCH(A3326,'Semrush Data'!$A$1:$A$20000,0),MATCH("Keyword Difficulty*",'Semrush Data'!$A$1:$Z$1,0)),"")</f>
        <v/>
      </c>
      <c r="I3326" s="13" t="str">
        <f aca="false">IFERROR(INDEX('Semrush Data'!$A$1:$Z$20000,MATCH(A3326,'Semrush Data'!$A$1:$A$20000,0),MATCH("CPC*",'Semrush Data'!$A$1:$Z$1,0)),"")</f>
        <v/>
      </c>
      <c r="J3326" s="7" t="str">
        <f aca="false">IFERROR(INDEX('Semrush Data'!$A$1:$Z$20000,MATCH(A3326,'Semrush Data'!$A$1:$A$20000,0),MATCH("Intent",'Semrush Data'!$A$1:$Z$1,0)),"")</f>
        <v/>
      </c>
    </row>
    <row r="3327" customFormat="false" ht="15" hidden="false" customHeight="true" outlineLevel="0" collapsed="false">
      <c r="A3327" s="7" t="s">
        <v>3285</v>
      </c>
      <c r="B3327" s="7" t="s">
        <v>1356</v>
      </c>
      <c r="C3327" s="7" t="n">
        <v>3</v>
      </c>
      <c r="D3327" s="7" t="s">
        <v>6818</v>
      </c>
      <c r="E3327" s="7" t="n">
        <v>2</v>
      </c>
      <c r="F3327" s="7" t="s">
        <v>7895</v>
      </c>
      <c r="G3327" s="12" t="str">
        <f aca="false">IFERROR(INDEX('Semrush Data'!$A$1:$Z$20000,MATCH(A3327,'Semrush Data'!$A$1:$A$20000,0),MATCH("Volume",'Semrush Data'!$A$1:$Z$1,0)),"")</f>
        <v/>
      </c>
      <c r="H3327" s="7" t="str">
        <f aca="false">IFERROR(INDEX('Semrush Data'!$A$1:$Z$20000,MATCH(A3327,'Semrush Data'!$A$1:$A$20000,0),MATCH("Keyword Difficulty*",'Semrush Data'!$A$1:$Z$1,0)),"")</f>
        <v/>
      </c>
      <c r="I3327" s="13" t="str">
        <f aca="false">IFERROR(INDEX('Semrush Data'!$A$1:$Z$20000,MATCH(A3327,'Semrush Data'!$A$1:$A$20000,0),MATCH("CPC*",'Semrush Data'!$A$1:$Z$1,0)),"")</f>
        <v/>
      </c>
      <c r="J3327" s="7" t="str">
        <f aca="false">IFERROR(INDEX('Semrush Data'!$A$1:$Z$20000,MATCH(A3327,'Semrush Data'!$A$1:$A$20000,0),MATCH("Intent",'Semrush Data'!$A$1:$Z$1,0)),"")</f>
        <v/>
      </c>
    </row>
    <row r="3328" customFormat="false" ht="15" hidden="false" customHeight="true" outlineLevel="0" collapsed="false">
      <c r="A3328" s="7" t="s">
        <v>3319</v>
      </c>
      <c r="B3328" s="7" t="s">
        <v>1356</v>
      </c>
      <c r="C3328" s="7" t="n">
        <v>3</v>
      </c>
      <c r="D3328" s="7" t="n">
        <v>34</v>
      </c>
      <c r="E3328" s="7" t="n">
        <v>1</v>
      </c>
      <c r="F3328" s="7" t="s">
        <v>3314</v>
      </c>
      <c r="G3328" s="12" t="str">
        <f aca="false">IFERROR(INDEX('Semrush Data'!$A$1:$Z$20000,MATCH(A3328,'Semrush Data'!$A$1:$A$20000,0),MATCH("Volume",'Semrush Data'!$A$1:$Z$1,0)),"")</f>
        <v/>
      </c>
      <c r="H3328" s="7" t="str">
        <f aca="false">IFERROR(INDEX('Semrush Data'!$A$1:$Z$20000,MATCH(A3328,'Semrush Data'!$A$1:$A$20000,0),MATCH("Keyword Difficulty*",'Semrush Data'!$A$1:$Z$1,0)),"")</f>
        <v/>
      </c>
      <c r="I3328" s="13" t="str">
        <f aca="false">IFERROR(INDEX('Semrush Data'!$A$1:$Z$20000,MATCH(A3328,'Semrush Data'!$A$1:$A$20000,0),MATCH("CPC*",'Semrush Data'!$A$1:$Z$1,0)),"")</f>
        <v/>
      </c>
      <c r="J3328" s="7" t="str">
        <f aca="false">IFERROR(INDEX('Semrush Data'!$A$1:$Z$20000,MATCH(A3328,'Semrush Data'!$A$1:$A$20000,0),MATCH("Intent",'Semrush Data'!$A$1:$Z$1,0)),"")</f>
        <v/>
      </c>
    </row>
    <row r="3329" customFormat="false" ht="15" hidden="false" customHeight="true" outlineLevel="0" collapsed="false">
      <c r="A3329" s="7" t="s">
        <v>3362</v>
      </c>
      <c r="B3329" s="7" t="s">
        <v>1356</v>
      </c>
      <c r="C3329" s="7" t="n">
        <v>3</v>
      </c>
      <c r="D3329" s="7" t="n">
        <v>34</v>
      </c>
      <c r="E3329" s="7" t="n">
        <v>1</v>
      </c>
      <c r="F3329" s="7" t="s">
        <v>3356</v>
      </c>
      <c r="G3329" s="12" t="str">
        <f aca="false">IFERROR(INDEX('Semrush Data'!$A$1:$Z$20000,MATCH(A3329,'Semrush Data'!$A$1:$A$20000,0),MATCH("Volume",'Semrush Data'!$A$1:$Z$1,0)),"")</f>
        <v/>
      </c>
      <c r="H3329" s="7" t="str">
        <f aca="false">IFERROR(INDEX('Semrush Data'!$A$1:$Z$20000,MATCH(A3329,'Semrush Data'!$A$1:$A$20000,0),MATCH("Keyword Difficulty*",'Semrush Data'!$A$1:$Z$1,0)),"")</f>
        <v/>
      </c>
      <c r="I3329" s="13" t="str">
        <f aca="false">IFERROR(INDEX('Semrush Data'!$A$1:$Z$20000,MATCH(A3329,'Semrush Data'!$A$1:$A$20000,0),MATCH("CPC*",'Semrush Data'!$A$1:$Z$1,0)),"")</f>
        <v/>
      </c>
      <c r="J3329" s="7" t="str">
        <f aca="false">IFERROR(INDEX('Semrush Data'!$A$1:$Z$20000,MATCH(A3329,'Semrush Data'!$A$1:$A$20000,0),MATCH("Intent",'Semrush Data'!$A$1:$Z$1,0)),"")</f>
        <v/>
      </c>
    </row>
    <row r="3330" customFormat="false" ht="15" hidden="false" customHeight="true" outlineLevel="0" collapsed="false">
      <c r="A3330" s="7" t="s">
        <v>3374</v>
      </c>
      <c r="B3330" s="7" t="s">
        <v>1356</v>
      </c>
      <c r="C3330" s="7" t="n">
        <v>3</v>
      </c>
      <c r="D3330" s="7" t="n">
        <v>34</v>
      </c>
      <c r="E3330" s="7" t="n">
        <v>1</v>
      </c>
      <c r="F3330" s="7" t="s">
        <v>3369</v>
      </c>
      <c r="G3330" s="12" t="str">
        <f aca="false">IFERROR(INDEX('Semrush Data'!$A$1:$Z$20000,MATCH(A3330,'Semrush Data'!$A$1:$A$20000,0),MATCH("Volume",'Semrush Data'!$A$1:$Z$1,0)),"")</f>
        <v/>
      </c>
      <c r="H3330" s="7" t="str">
        <f aca="false">IFERROR(INDEX('Semrush Data'!$A$1:$Z$20000,MATCH(A3330,'Semrush Data'!$A$1:$A$20000,0),MATCH("Keyword Difficulty*",'Semrush Data'!$A$1:$Z$1,0)),"")</f>
        <v/>
      </c>
      <c r="I3330" s="13" t="str">
        <f aca="false">IFERROR(INDEX('Semrush Data'!$A$1:$Z$20000,MATCH(A3330,'Semrush Data'!$A$1:$A$20000,0),MATCH("CPC*",'Semrush Data'!$A$1:$Z$1,0)),"")</f>
        <v/>
      </c>
      <c r="J3330" s="7" t="str">
        <f aca="false">IFERROR(INDEX('Semrush Data'!$A$1:$Z$20000,MATCH(A3330,'Semrush Data'!$A$1:$A$20000,0),MATCH("Intent",'Semrush Data'!$A$1:$Z$1,0)),"")</f>
        <v/>
      </c>
    </row>
    <row r="3331" customFormat="false" ht="15" hidden="false" customHeight="true" outlineLevel="0" collapsed="false">
      <c r="A3331" s="7" t="s">
        <v>3407</v>
      </c>
      <c r="B3331" s="7" t="s">
        <v>1356</v>
      </c>
      <c r="C3331" s="7" t="n">
        <v>3</v>
      </c>
      <c r="D3331" s="7" t="n">
        <v>34</v>
      </c>
      <c r="E3331" s="7" t="n">
        <v>1</v>
      </c>
      <c r="F3331" s="7" t="s">
        <v>3402</v>
      </c>
      <c r="G3331" s="12" t="str">
        <f aca="false">IFERROR(INDEX('Semrush Data'!$A$1:$Z$20000,MATCH(A3331,'Semrush Data'!$A$1:$A$20000,0),MATCH("Volume",'Semrush Data'!$A$1:$Z$1,0)),"")</f>
        <v/>
      </c>
      <c r="H3331" s="7" t="str">
        <f aca="false">IFERROR(INDEX('Semrush Data'!$A$1:$Z$20000,MATCH(A3331,'Semrush Data'!$A$1:$A$20000,0),MATCH("Keyword Difficulty*",'Semrush Data'!$A$1:$Z$1,0)),"")</f>
        <v/>
      </c>
      <c r="I3331" s="13" t="str">
        <f aca="false">IFERROR(INDEX('Semrush Data'!$A$1:$Z$20000,MATCH(A3331,'Semrush Data'!$A$1:$A$20000,0),MATCH("CPC*",'Semrush Data'!$A$1:$Z$1,0)),"")</f>
        <v/>
      </c>
      <c r="J3331" s="7" t="str">
        <f aca="false">IFERROR(INDEX('Semrush Data'!$A$1:$Z$20000,MATCH(A3331,'Semrush Data'!$A$1:$A$20000,0),MATCH("Intent",'Semrush Data'!$A$1:$Z$1,0)),"")</f>
        <v/>
      </c>
    </row>
    <row r="3332" customFormat="false" ht="15" hidden="false" customHeight="true" outlineLevel="0" collapsed="false">
      <c r="A3332" s="7" t="s">
        <v>3385</v>
      </c>
      <c r="B3332" s="7" t="s">
        <v>1356</v>
      </c>
      <c r="C3332" s="7" t="n">
        <v>3</v>
      </c>
      <c r="D3332" s="7" t="n">
        <v>34</v>
      </c>
      <c r="E3332" s="7" t="n">
        <v>1</v>
      </c>
      <c r="F3332" s="7" t="s">
        <v>3380</v>
      </c>
      <c r="G3332" s="12" t="str">
        <f aca="false">IFERROR(INDEX('Semrush Data'!$A$1:$Z$20000,MATCH(A3332,'Semrush Data'!$A$1:$A$20000,0),MATCH("Volume",'Semrush Data'!$A$1:$Z$1,0)),"")</f>
        <v/>
      </c>
      <c r="H3332" s="7" t="str">
        <f aca="false">IFERROR(INDEX('Semrush Data'!$A$1:$Z$20000,MATCH(A3332,'Semrush Data'!$A$1:$A$20000,0),MATCH("Keyword Difficulty*",'Semrush Data'!$A$1:$Z$1,0)),"")</f>
        <v/>
      </c>
      <c r="I3332" s="13" t="str">
        <f aca="false">IFERROR(INDEX('Semrush Data'!$A$1:$Z$20000,MATCH(A3332,'Semrush Data'!$A$1:$A$20000,0),MATCH("CPC*",'Semrush Data'!$A$1:$Z$1,0)),"")</f>
        <v/>
      </c>
      <c r="J3332" s="7" t="str">
        <f aca="false">IFERROR(INDEX('Semrush Data'!$A$1:$Z$20000,MATCH(A3332,'Semrush Data'!$A$1:$A$20000,0),MATCH("Intent",'Semrush Data'!$A$1:$Z$1,0)),"")</f>
        <v/>
      </c>
    </row>
    <row r="3333" customFormat="false" ht="15" hidden="false" customHeight="true" outlineLevel="0" collapsed="false">
      <c r="A3333" s="7" t="s">
        <v>3395</v>
      </c>
      <c r="B3333" s="7" t="s">
        <v>1356</v>
      </c>
      <c r="C3333" s="7" t="n">
        <v>3</v>
      </c>
      <c r="D3333" s="7" t="n">
        <v>34</v>
      </c>
      <c r="E3333" s="7" t="n">
        <v>1</v>
      </c>
      <c r="F3333" s="7" t="s">
        <v>108</v>
      </c>
      <c r="G3333" s="12" t="str">
        <f aca="false">IFERROR(INDEX('Semrush Data'!$A$1:$Z$20000,MATCH(A3333,'Semrush Data'!$A$1:$A$20000,0),MATCH("Volume",'Semrush Data'!$A$1:$Z$1,0)),"")</f>
        <v/>
      </c>
      <c r="H3333" s="7" t="str">
        <f aca="false">IFERROR(INDEX('Semrush Data'!$A$1:$Z$20000,MATCH(A3333,'Semrush Data'!$A$1:$A$20000,0),MATCH("Keyword Difficulty*",'Semrush Data'!$A$1:$Z$1,0)),"")</f>
        <v/>
      </c>
      <c r="I3333" s="13" t="str">
        <f aca="false">IFERROR(INDEX('Semrush Data'!$A$1:$Z$20000,MATCH(A3333,'Semrush Data'!$A$1:$A$20000,0),MATCH("CPC*",'Semrush Data'!$A$1:$Z$1,0)),"")</f>
        <v/>
      </c>
      <c r="J3333" s="7" t="str">
        <f aca="false">IFERROR(INDEX('Semrush Data'!$A$1:$Z$20000,MATCH(A3333,'Semrush Data'!$A$1:$A$20000,0),MATCH("Intent",'Semrush Data'!$A$1:$Z$1,0)),"")</f>
        <v/>
      </c>
    </row>
    <row r="3334" customFormat="false" ht="15" hidden="false" customHeight="true" outlineLevel="0" collapsed="false">
      <c r="A3334" s="7" t="s">
        <v>3428</v>
      </c>
      <c r="B3334" s="7" t="s">
        <v>1356</v>
      </c>
      <c r="C3334" s="7" t="n">
        <v>3</v>
      </c>
      <c r="D3334" s="7" t="n">
        <v>34</v>
      </c>
      <c r="E3334" s="7" t="n">
        <v>1</v>
      </c>
      <c r="F3334" s="7" t="s">
        <v>3423</v>
      </c>
      <c r="G3334" s="12" t="str">
        <f aca="false">IFERROR(INDEX('Semrush Data'!$A$1:$Z$20000,MATCH(A3334,'Semrush Data'!$A$1:$A$20000,0),MATCH("Volume",'Semrush Data'!$A$1:$Z$1,0)),"")</f>
        <v/>
      </c>
      <c r="H3334" s="7" t="str">
        <f aca="false">IFERROR(INDEX('Semrush Data'!$A$1:$Z$20000,MATCH(A3334,'Semrush Data'!$A$1:$A$20000,0),MATCH("Keyword Difficulty*",'Semrush Data'!$A$1:$Z$1,0)),"")</f>
        <v/>
      </c>
      <c r="I3334" s="13" t="str">
        <f aca="false">IFERROR(INDEX('Semrush Data'!$A$1:$Z$20000,MATCH(A3334,'Semrush Data'!$A$1:$A$20000,0),MATCH("CPC*",'Semrush Data'!$A$1:$Z$1,0)),"")</f>
        <v/>
      </c>
      <c r="J3334" s="7" t="str">
        <f aca="false">IFERROR(INDEX('Semrush Data'!$A$1:$Z$20000,MATCH(A3334,'Semrush Data'!$A$1:$A$20000,0),MATCH("Intent",'Semrush Data'!$A$1:$Z$1,0)),"")</f>
        <v/>
      </c>
    </row>
    <row r="3335" customFormat="false" ht="15" hidden="false" customHeight="true" outlineLevel="0" collapsed="false">
      <c r="A3335" s="7" t="s">
        <v>3417</v>
      </c>
      <c r="B3335" s="7" t="s">
        <v>1356</v>
      </c>
      <c r="C3335" s="7" t="n">
        <v>3</v>
      </c>
      <c r="D3335" s="7" t="n">
        <v>34</v>
      </c>
      <c r="E3335" s="7" t="n">
        <v>1</v>
      </c>
      <c r="F3335" s="7" t="s">
        <v>3411</v>
      </c>
      <c r="G3335" s="12" t="str">
        <f aca="false">IFERROR(INDEX('Semrush Data'!$A$1:$Z$20000,MATCH(A3335,'Semrush Data'!$A$1:$A$20000,0),MATCH("Volume",'Semrush Data'!$A$1:$Z$1,0)),"")</f>
        <v/>
      </c>
      <c r="H3335" s="7" t="str">
        <f aca="false">IFERROR(INDEX('Semrush Data'!$A$1:$Z$20000,MATCH(A3335,'Semrush Data'!$A$1:$A$20000,0),MATCH("Keyword Difficulty*",'Semrush Data'!$A$1:$Z$1,0)),"")</f>
        <v/>
      </c>
      <c r="I3335" s="13" t="str">
        <f aca="false">IFERROR(INDEX('Semrush Data'!$A$1:$Z$20000,MATCH(A3335,'Semrush Data'!$A$1:$A$20000,0),MATCH("CPC*",'Semrush Data'!$A$1:$Z$1,0)),"")</f>
        <v/>
      </c>
      <c r="J3335" s="7" t="str">
        <f aca="false">IFERROR(INDEX('Semrush Data'!$A$1:$Z$20000,MATCH(A3335,'Semrush Data'!$A$1:$A$20000,0),MATCH("Intent",'Semrush Data'!$A$1:$Z$1,0)),"")</f>
        <v/>
      </c>
    </row>
    <row r="3336" customFormat="false" ht="15" hidden="false" customHeight="true" outlineLevel="0" collapsed="false">
      <c r="A3336" s="7" t="s">
        <v>3449</v>
      </c>
      <c r="B3336" s="7" t="s">
        <v>1356</v>
      </c>
      <c r="C3336" s="7" t="n">
        <v>3</v>
      </c>
      <c r="D3336" s="7" t="n">
        <v>34</v>
      </c>
      <c r="E3336" s="7" t="n">
        <v>1</v>
      </c>
      <c r="F3336" s="7" t="s">
        <v>118</v>
      </c>
      <c r="G3336" s="12" t="str">
        <f aca="false">IFERROR(INDEX('Semrush Data'!$A$1:$Z$20000,MATCH(A3336,'Semrush Data'!$A$1:$A$20000,0),MATCH("Volume",'Semrush Data'!$A$1:$Z$1,0)),"")</f>
        <v/>
      </c>
      <c r="H3336" s="7" t="str">
        <f aca="false">IFERROR(INDEX('Semrush Data'!$A$1:$Z$20000,MATCH(A3336,'Semrush Data'!$A$1:$A$20000,0),MATCH("Keyword Difficulty*",'Semrush Data'!$A$1:$Z$1,0)),"")</f>
        <v/>
      </c>
      <c r="I3336" s="13" t="str">
        <f aca="false">IFERROR(INDEX('Semrush Data'!$A$1:$Z$20000,MATCH(A3336,'Semrush Data'!$A$1:$A$20000,0),MATCH("CPC*",'Semrush Data'!$A$1:$Z$1,0)),"")</f>
        <v/>
      </c>
      <c r="J3336" s="7" t="str">
        <f aca="false">IFERROR(INDEX('Semrush Data'!$A$1:$Z$20000,MATCH(A3336,'Semrush Data'!$A$1:$A$20000,0),MATCH("Intent",'Semrush Data'!$A$1:$Z$1,0)),"")</f>
        <v/>
      </c>
    </row>
    <row r="3337" customFormat="false" ht="15" hidden="false" customHeight="true" outlineLevel="0" collapsed="false">
      <c r="A3337" s="7" t="s">
        <v>3439</v>
      </c>
      <c r="B3337" s="7" t="s">
        <v>1356</v>
      </c>
      <c r="C3337" s="7" t="n">
        <v>3</v>
      </c>
      <c r="D3337" s="7" t="n">
        <v>34</v>
      </c>
      <c r="E3337" s="7" t="n">
        <v>1</v>
      </c>
      <c r="F3337" s="7" t="s">
        <v>3433</v>
      </c>
      <c r="G3337" s="12" t="str">
        <f aca="false">IFERROR(INDEX('Semrush Data'!$A$1:$Z$20000,MATCH(A3337,'Semrush Data'!$A$1:$A$20000,0),MATCH("Volume",'Semrush Data'!$A$1:$Z$1,0)),"")</f>
        <v/>
      </c>
      <c r="H3337" s="7" t="str">
        <f aca="false">IFERROR(INDEX('Semrush Data'!$A$1:$Z$20000,MATCH(A3337,'Semrush Data'!$A$1:$A$20000,0),MATCH("Keyword Difficulty*",'Semrush Data'!$A$1:$Z$1,0)),"")</f>
        <v/>
      </c>
      <c r="I3337" s="13" t="str">
        <f aca="false">IFERROR(INDEX('Semrush Data'!$A$1:$Z$20000,MATCH(A3337,'Semrush Data'!$A$1:$A$20000,0),MATCH("CPC*",'Semrush Data'!$A$1:$Z$1,0)),"")</f>
        <v/>
      </c>
      <c r="J3337" s="7" t="str">
        <f aca="false">IFERROR(INDEX('Semrush Data'!$A$1:$Z$20000,MATCH(A3337,'Semrush Data'!$A$1:$A$20000,0),MATCH("Intent",'Semrush Data'!$A$1:$Z$1,0)),"")</f>
        <v/>
      </c>
    </row>
    <row r="3338" customFormat="false" ht="15" hidden="false" customHeight="true" outlineLevel="0" collapsed="false">
      <c r="A3338" s="7" t="s">
        <v>3462</v>
      </c>
      <c r="B3338" s="7" t="s">
        <v>1356</v>
      </c>
      <c r="C3338" s="7" t="n">
        <v>3</v>
      </c>
      <c r="D3338" s="7" t="n">
        <v>34</v>
      </c>
      <c r="E3338" s="7" t="n">
        <v>1</v>
      </c>
      <c r="F3338" s="7" t="s">
        <v>3456</v>
      </c>
      <c r="G3338" s="12" t="str">
        <f aca="false">IFERROR(INDEX('Semrush Data'!$A$1:$Z$20000,MATCH(A3338,'Semrush Data'!$A$1:$A$20000,0),MATCH("Volume",'Semrush Data'!$A$1:$Z$1,0)),"")</f>
        <v/>
      </c>
      <c r="H3338" s="7" t="str">
        <f aca="false">IFERROR(INDEX('Semrush Data'!$A$1:$Z$20000,MATCH(A3338,'Semrush Data'!$A$1:$A$20000,0),MATCH("Keyword Difficulty*",'Semrush Data'!$A$1:$Z$1,0)),"")</f>
        <v/>
      </c>
      <c r="I3338" s="13" t="str">
        <f aca="false">IFERROR(INDEX('Semrush Data'!$A$1:$Z$20000,MATCH(A3338,'Semrush Data'!$A$1:$A$20000,0),MATCH("CPC*",'Semrush Data'!$A$1:$Z$1,0)),"")</f>
        <v/>
      </c>
      <c r="J3338" s="7" t="str">
        <f aca="false">IFERROR(INDEX('Semrush Data'!$A$1:$Z$20000,MATCH(A3338,'Semrush Data'!$A$1:$A$20000,0),MATCH("Intent",'Semrush Data'!$A$1:$Z$1,0)),"")</f>
        <v/>
      </c>
    </row>
    <row r="3339" customFormat="false" ht="15" hidden="false" customHeight="true" outlineLevel="0" collapsed="false">
      <c r="A3339" s="7" t="s">
        <v>3472</v>
      </c>
      <c r="B3339" s="7" t="s">
        <v>1356</v>
      </c>
      <c r="C3339" s="7" t="n">
        <v>3</v>
      </c>
      <c r="D3339" s="7" t="n">
        <v>34</v>
      </c>
      <c r="E3339" s="7" t="n">
        <v>1</v>
      </c>
      <c r="F3339" s="7" t="s">
        <v>90</v>
      </c>
      <c r="G3339" s="12" t="str">
        <f aca="false">IFERROR(INDEX('Semrush Data'!$A$1:$Z$20000,MATCH(A3339,'Semrush Data'!$A$1:$A$20000,0),MATCH("Volume",'Semrush Data'!$A$1:$Z$1,0)),"")</f>
        <v/>
      </c>
      <c r="H3339" s="7" t="str">
        <f aca="false">IFERROR(INDEX('Semrush Data'!$A$1:$Z$20000,MATCH(A3339,'Semrush Data'!$A$1:$A$20000,0),MATCH("Keyword Difficulty*",'Semrush Data'!$A$1:$Z$1,0)),"")</f>
        <v/>
      </c>
      <c r="I3339" s="13" t="str">
        <f aca="false">IFERROR(INDEX('Semrush Data'!$A$1:$Z$20000,MATCH(A3339,'Semrush Data'!$A$1:$A$20000,0),MATCH("CPC*",'Semrush Data'!$A$1:$Z$1,0)),"")</f>
        <v/>
      </c>
      <c r="J3339" s="7" t="str">
        <f aca="false">IFERROR(INDEX('Semrush Data'!$A$1:$Z$20000,MATCH(A3339,'Semrush Data'!$A$1:$A$20000,0),MATCH("Intent",'Semrush Data'!$A$1:$Z$1,0)),"")</f>
        <v/>
      </c>
    </row>
    <row r="3340" customFormat="false" ht="15" hidden="false" customHeight="true" outlineLevel="0" collapsed="false">
      <c r="A3340" s="7" t="s">
        <v>2235</v>
      </c>
      <c r="B3340" s="7" t="s">
        <v>1356</v>
      </c>
      <c r="C3340" s="7" t="n">
        <v>3</v>
      </c>
      <c r="D3340" s="7" t="n">
        <v>34</v>
      </c>
      <c r="E3340" s="7" t="n">
        <v>1</v>
      </c>
      <c r="F3340" s="7" t="s">
        <v>1186</v>
      </c>
      <c r="G3340" s="12" t="str">
        <f aca="false">IFERROR(INDEX('Semrush Data'!$A$1:$Z$20000,MATCH(A3340,'Semrush Data'!$A$1:$A$20000,0),MATCH("Volume",'Semrush Data'!$A$1:$Z$1,0)),"")</f>
        <v/>
      </c>
      <c r="H3340" s="7" t="str">
        <f aca="false">IFERROR(INDEX('Semrush Data'!$A$1:$Z$20000,MATCH(A3340,'Semrush Data'!$A$1:$A$20000,0),MATCH("Keyword Difficulty*",'Semrush Data'!$A$1:$Z$1,0)),"")</f>
        <v/>
      </c>
      <c r="I3340" s="13" t="str">
        <f aca="false">IFERROR(INDEX('Semrush Data'!$A$1:$Z$20000,MATCH(A3340,'Semrush Data'!$A$1:$A$20000,0),MATCH("CPC*",'Semrush Data'!$A$1:$Z$1,0)),"")</f>
        <v/>
      </c>
      <c r="J3340" s="7" t="str">
        <f aca="false">IFERROR(INDEX('Semrush Data'!$A$1:$Z$20000,MATCH(A3340,'Semrush Data'!$A$1:$A$20000,0),MATCH("Intent",'Semrush Data'!$A$1:$Z$1,0)),"")</f>
        <v/>
      </c>
    </row>
    <row r="3341" customFormat="false" ht="15" hidden="false" customHeight="true" outlineLevel="0" collapsed="false">
      <c r="A3341" s="7" t="s">
        <v>1924</v>
      </c>
      <c r="B3341" s="7" t="s">
        <v>1356</v>
      </c>
      <c r="C3341" s="7" t="n">
        <v>3</v>
      </c>
      <c r="D3341" s="7" t="n">
        <v>34</v>
      </c>
      <c r="E3341" s="7" t="n">
        <v>1</v>
      </c>
      <c r="F3341" s="7" t="s">
        <v>879</v>
      </c>
      <c r="G3341" s="12" t="str">
        <f aca="false">IFERROR(INDEX('Semrush Data'!$A$1:$Z$20000,MATCH(A3341,'Semrush Data'!$A$1:$A$20000,0),MATCH("Volume",'Semrush Data'!$A$1:$Z$1,0)),"")</f>
        <v/>
      </c>
      <c r="H3341" s="7" t="str">
        <f aca="false">IFERROR(INDEX('Semrush Data'!$A$1:$Z$20000,MATCH(A3341,'Semrush Data'!$A$1:$A$20000,0),MATCH("Keyword Difficulty*",'Semrush Data'!$A$1:$Z$1,0)),"")</f>
        <v/>
      </c>
      <c r="I3341" s="13" t="str">
        <f aca="false">IFERROR(INDEX('Semrush Data'!$A$1:$Z$20000,MATCH(A3341,'Semrush Data'!$A$1:$A$20000,0),MATCH("CPC*",'Semrush Data'!$A$1:$Z$1,0)),"")</f>
        <v/>
      </c>
      <c r="J3341" s="7" t="str">
        <f aca="false">IFERROR(INDEX('Semrush Data'!$A$1:$Z$20000,MATCH(A3341,'Semrush Data'!$A$1:$A$20000,0),MATCH("Intent",'Semrush Data'!$A$1:$Z$1,0)),"")</f>
        <v/>
      </c>
    </row>
    <row r="3342" customFormat="false" ht="15" hidden="false" customHeight="true" outlineLevel="0" collapsed="false">
      <c r="A3342" s="7" t="s">
        <v>2326</v>
      </c>
      <c r="B3342" s="7" t="s">
        <v>1356</v>
      </c>
      <c r="C3342" s="7" t="n">
        <v>3</v>
      </c>
      <c r="D3342" s="7" t="n">
        <v>34</v>
      </c>
      <c r="E3342" s="7" t="n">
        <v>1</v>
      </c>
      <c r="F3342" s="7" t="s">
        <v>1278</v>
      </c>
      <c r="G3342" s="12" t="str">
        <f aca="false">IFERROR(INDEX('Semrush Data'!$A$1:$Z$20000,MATCH(A3342,'Semrush Data'!$A$1:$A$20000,0),MATCH("Volume",'Semrush Data'!$A$1:$Z$1,0)),"")</f>
        <v/>
      </c>
      <c r="H3342" s="7" t="str">
        <f aca="false">IFERROR(INDEX('Semrush Data'!$A$1:$Z$20000,MATCH(A3342,'Semrush Data'!$A$1:$A$20000,0),MATCH("Keyword Difficulty*",'Semrush Data'!$A$1:$Z$1,0)),"")</f>
        <v/>
      </c>
      <c r="I3342" s="13" t="str">
        <f aca="false">IFERROR(INDEX('Semrush Data'!$A$1:$Z$20000,MATCH(A3342,'Semrush Data'!$A$1:$A$20000,0),MATCH("CPC*",'Semrush Data'!$A$1:$Z$1,0)),"")</f>
        <v/>
      </c>
      <c r="J3342" s="7" t="str">
        <f aca="false">IFERROR(INDEX('Semrush Data'!$A$1:$Z$20000,MATCH(A3342,'Semrush Data'!$A$1:$A$20000,0),MATCH("Intent",'Semrush Data'!$A$1:$Z$1,0)),"")</f>
        <v/>
      </c>
    </row>
    <row r="3343" customFormat="false" ht="15" hidden="false" customHeight="true" outlineLevel="0" collapsed="false">
      <c r="A3343" s="7" t="s">
        <v>2261</v>
      </c>
      <c r="B3343" s="7" t="s">
        <v>1356</v>
      </c>
      <c r="C3343" s="7" t="n">
        <v>3</v>
      </c>
      <c r="D3343" s="7" t="n">
        <v>34</v>
      </c>
      <c r="E3343" s="7" t="n">
        <v>1</v>
      </c>
      <c r="F3343" s="7" t="s">
        <v>1212</v>
      </c>
      <c r="G3343" s="12" t="str">
        <f aca="false">IFERROR(INDEX('Semrush Data'!$A$1:$Z$20000,MATCH(A3343,'Semrush Data'!$A$1:$A$20000,0),MATCH("Volume",'Semrush Data'!$A$1:$Z$1,0)),"")</f>
        <v/>
      </c>
      <c r="H3343" s="7" t="str">
        <f aca="false">IFERROR(INDEX('Semrush Data'!$A$1:$Z$20000,MATCH(A3343,'Semrush Data'!$A$1:$A$20000,0),MATCH("Keyword Difficulty*",'Semrush Data'!$A$1:$Z$1,0)),"")</f>
        <v/>
      </c>
      <c r="I3343" s="13" t="str">
        <f aca="false">IFERROR(INDEX('Semrush Data'!$A$1:$Z$20000,MATCH(A3343,'Semrush Data'!$A$1:$A$20000,0),MATCH("CPC*",'Semrush Data'!$A$1:$Z$1,0)),"")</f>
        <v/>
      </c>
      <c r="J3343" s="7" t="str">
        <f aca="false">IFERROR(INDEX('Semrush Data'!$A$1:$Z$20000,MATCH(A3343,'Semrush Data'!$A$1:$A$20000,0),MATCH("Intent",'Semrush Data'!$A$1:$Z$1,0)),"")</f>
        <v/>
      </c>
    </row>
    <row r="3344" customFormat="false" ht="15" hidden="false" customHeight="true" outlineLevel="0" collapsed="false">
      <c r="A3344" s="7" t="s">
        <v>2267</v>
      </c>
      <c r="B3344" s="7" t="s">
        <v>1356</v>
      </c>
      <c r="C3344" s="7" t="n">
        <v>3</v>
      </c>
      <c r="D3344" s="7" t="n">
        <v>34</v>
      </c>
      <c r="E3344" s="7" t="n">
        <v>1</v>
      </c>
      <c r="F3344" s="7" t="s">
        <v>1218</v>
      </c>
      <c r="G3344" s="12" t="str">
        <f aca="false">IFERROR(INDEX('Semrush Data'!$A$1:$Z$20000,MATCH(A3344,'Semrush Data'!$A$1:$A$20000,0),MATCH("Volume",'Semrush Data'!$A$1:$Z$1,0)),"")</f>
        <v/>
      </c>
      <c r="H3344" s="7" t="str">
        <f aca="false">IFERROR(INDEX('Semrush Data'!$A$1:$Z$20000,MATCH(A3344,'Semrush Data'!$A$1:$A$20000,0),MATCH("Keyword Difficulty*",'Semrush Data'!$A$1:$Z$1,0)),"")</f>
        <v/>
      </c>
      <c r="I3344" s="13" t="str">
        <f aca="false">IFERROR(INDEX('Semrush Data'!$A$1:$Z$20000,MATCH(A3344,'Semrush Data'!$A$1:$A$20000,0),MATCH("CPC*",'Semrush Data'!$A$1:$Z$1,0)),"")</f>
        <v/>
      </c>
      <c r="J3344" s="7" t="str">
        <f aca="false">IFERROR(INDEX('Semrush Data'!$A$1:$Z$20000,MATCH(A3344,'Semrush Data'!$A$1:$A$20000,0),MATCH("Intent",'Semrush Data'!$A$1:$Z$1,0)),"")</f>
        <v/>
      </c>
    </row>
    <row r="3345" customFormat="false" ht="15" hidden="false" customHeight="true" outlineLevel="0" collapsed="false">
      <c r="A3345" s="7" t="s">
        <v>1901</v>
      </c>
      <c r="B3345" s="7" t="s">
        <v>1356</v>
      </c>
      <c r="C3345" s="7" t="n">
        <v>3</v>
      </c>
      <c r="D3345" s="7" t="n">
        <v>34</v>
      </c>
      <c r="E3345" s="7" t="n">
        <v>1</v>
      </c>
      <c r="F3345" s="7" t="s">
        <v>860</v>
      </c>
      <c r="G3345" s="12" t="str">
        <f aca="false">IFERROR(INDEX('Semrush Data'!$A$1:$Z$20000,MATCH(A3345,'Semrush Data'!$A$1:$A$20000,0),MATCH("Volume",'Semrush Data'!$A$1:$Z$1,0)),"")</f>
        <v/>
      </c>
      <c r="H3345" s="7" t="str">
        <f aca="false">IFERROR(INDEX('Semrush Data'!$A$1:$Z$20000,MATCH(A3345,'Semrush Data'!$A$1:$A$20000,0),MATCH("Keyword Difficulty*",'Semrush Data'!$A$1:$Z$1,0)),"")</f>
        <v/>
      </c>
      <c r="I3345" s="13" t="str">
        <f aca="false">IFERROR(INDEX('Semrush Data'!$A$1:$Z$20000,MATCH(A3345,'Semrush Data'!$A$1:$A$20000,0),MATCH("CPC*",'Semrush Data'!$A$1:$Z$1,0)),"")</f>
        <v/>
      </c>
      <c r="J3345" s="7" t="str">
        <f aca="false">IFERROR(INDEX('Semrush Data'!$A$1:$Z$20000,MATCH(A3345,'Semrush Data'!$A$1:$A$20000,0),MATCH("Intent",'Semrush Data'!$A$1:$Z$1,0)),"")</f>
        <v/>
      </c>
    </row>
    <row r="3346" customFormat="false" ht="15" hidden="false" customHeight="true" outlineLevel="0" collapsed="false">
      <c r="A3346" s="7" t="s">
        <v>2109</v>
      </c>
      <c r="B3346" s="7" t="s">
        <v>1356</v>
      </c>
      <c r="C3346" s="7" t="n">
        <v>3</v>
      </c>
      <c r="D3346" s="7" t="n">
        <v>34</v>
      </c>
      <c r="E3346" s="7" t="n">
        <v>1</v>
      </c>
      <c r="F3346" s="7" t="s">
        <v>1057</v>
      </c>
      <c r="G3346" s="12" t="str">
        <f aca="false">IFERROR(INDEX('Semrush Data'!$A$1:$Z$20000,MATCH(A3346,'Semrush Data'!$A$1:$A$20000,0),MATCH("Volume",'Semrush Data'!$A$1:$Z$1,0)),"")</f>
        <v/>
      </c>
      <c r="H3346" s="7" t="str">
        <f aca="false">IFERROR(INDEX('Semrush Data'!$A$1:$Z$20000,MATCH(A3346,'Semrush Data'!$A$1:$A$20000,0),MATCH("Keyword Difficulty*",'Semrush Data'!$A$1:$Z$1,0)),"")</f>
        <v/>
      </c>
      <c r="I3346" s="13" t="str">
        <f aca="false">IFERROR(INDEX('Semrush Data'!$A$1:$Z$20000,MATCH(A3346,'Semrush Data'!$A$1:$A$20000,0),MATCH("CPC*",'Semrush Data'!$A$1:$Z$1,0)),"")</f>
        <v/>
      </c>
      <c r="J3346" s="7" t="str">
        <f aca="false">IFERROR(INDEX('Semrush Data'!$A$1:$Z$20000,MATCH(A3346,'Semrush Data'!$A$1:$A$20000,0),MATCH("Intent",'Semrush Data'!$A$1:$Z$1,0)),"")</f>
        <v/>
      </c>
    </row>
    <row r="3347" customFormat="false" ht="15" hidden="false" customHeight="true" outlineLevel="0" collapsed="false">
      <c r="A3347" s="7" t="s">
        <v>2209</v>
      </c>
      <c r="B3347" s="7" t="s">
        <v>1356</v>
      </c>
      <c r="C3347" s="7" t="n">
        <v>3</v>
      </c>
      <c r="D3347" s="7" t="n">
        <v>34</v>
      </c>
      <c r="E3347" s="7" t="n">
        <v>1</v>
      </c>
      <c r="F3347" s="7" t="s">
        <v>1159</v>
      </c>
      <c r="G3347" s="12" t="str">
        <f aca="false">IFERROR(INDEX('Semrush Data'!$A$1:$Z$20000,MATCH(A3347,'Semrush Data'!$A$1:$A$20000,0),MATCH("Volume",'Semrush Data'!$A$1:$Z$1,0)),"")</f>
        <v/>
      </c>
      <c r="H3347" s="7" t="str">
        <f aca="false">IFERROR(INDEX('Semrush Data'!$A$1:$Z$20000,MATCH(A3347,'Semrush Data'!$A$1:$A$20000,0),MATCH("Keyword Difficulty*",'Semrush Data'!$A$1:$Z$1,0)),"")</f>
        <v/>
      </c>
      <c r="I3347" s="13" t="str">
        <f aca="false">IFERROR(INDEX('Semrush Data'!$A$1:$Z$20000,MATCH(A3347,'Semrush Data'!$A$1:$A$20000,0),MATCH("CPC*",'Semrush Data'!$A$1:$Z$1,0)),"")</f>
        <v/>
      </c>
      <c r="J3347" s="7" t="str">
        <f aca="false">IFERROR(INDEX('Semrush Data'!$A$1:$Z$20000,MATCH(A3347,'Semrush Data'!$A$1:$A$20000,0),MATCH("Intent",'Semrush Data'!$A$1:$Z$1,0)),"")</f>
        <v/>
      </c>
    </row>
    <row r="3348" customFormat="false" ht="15" hidden="false" customHeight="true" outlineLevel="0" collapsed="false">
      <c r="A3348" s="7" t="s">
        <v>1946</v>
      </c>
      <c r="B3348" s="7" t="s">
        <v>1356</v>
      </c>
      <c r="C3348" s="7" t="n">
        <v>3</v>
      </c>
      <c r="D3348" s="7" t="n">
        <v>34</v>
      </c>
      <c r="E3348" s="7" t="n">
        <v>1</v>
      </c>
      <c r="F3348" s="7" t="s">
        <v>898</v>
      </c>
      <c r="G3348" s="12" t="str">
        <f aca="false">IFERROR(INDEX('Semrush Data'!$A$1:$Z$20000,MATCH(A3348,'Semrush Data'!$A$1:$A$20000,0),MATCH("Volume",'Semrush Data'!$A$1:$Z$1,0)),"")</f>
        <v/>
      </c>
      <c r="H3348" s="7" t="str">
        <f aca="false">IFERROR(INDEX('Semrush Data'!$A$1:$Z$20000,MATCH(A3348,'Semrush Data'!$A$1:$A$20000,0),MATCH("Keyword Difficulty*",'Semrush Data'!$A$1:$Z$1,0)),"")</f>
        <v/>
      </c>
      <c r="I3348" s="13" t="str">
        <f aca="false">IFERROR(INDEX('Semrush Data'!$A$1:$Z$20000,MATCH(A3348,'Semrush Data'!$A$1:$A$20000,0),MATCH("CPC*",'Semrush Data'!$A$1:$Z$1,0)),"")</f>
        <v/>
      </c>
      <c r="J3348" s="7" t="str">
        <f aca="false">IFERROR(INDEX('Semrush Data'!$A$1:$Z$20000,MATCH(A3348,'Semrush Data'!$A$1:$A$20000,0),MATCH("Intent",'Semrush Data'!$A$1:$Z$1,0)),"")</f>
        <v/>
      </c>
    </row>
    <row r="3349" customFormat="false" ht="15" hidden="false" customHeight="true" outlineLevel="0" collapsed="false">
      <c r="A3349" s="7" t="s">
        <v>2203</v>
      </c>
      <c r="B3349" s="7" t="s">
        <v>1356</v>
      </c>
      <c r="C3349" s="7" t="n">
        <v>3</v>
      </c>
      <c r="D3349" s="7" t="n">
        <v>34</v>
      </c>
      <c r="E3349" s="7" t="n">
        <v>1</v>
      </c>
      <c r="F3349" s="7" t="s">
        <v>1153</v>
      </c>
      <c r="G3349" s="12" t="str">
        <f aca="false">IFERROR(INDEX('Semrush Data'!$A$1:$Z$20000,MATCH(A3349,'Semrush Data'!$A$1:$A$20000,0),MATCH("Volume",'Semrush Data'!$A$1:$Z$1,0)),"")</f>
        <v/>
      </c>
      <c r="H3349" s="7" t="str">
        <f aca="false">IFERROR(INDEX('Semrush Data'!$A$1:$Z$20000,MATCH(A3349,'Semrush Data'!$A$1:$A$20000,0),MATCH("Keyword Difficulty*",'Semrush Data'!$A$1:$Z$1,0)),"")</f>
        <v/>
      </c>
      <c r="I3349" s="13" t="str">
        <f aca="false">IFERROR(INDEX('Semrush Data'!$A$1:$Z$20000,MATCH(A3349,'Semrush Data'!$A$1:$A$20000,0),MATCH("CPC*",'Semrush Data'!$A$1:$Z$1,0)),"")</f>
        <v/>
      </c>
      <c r="J3349" s="7" t="str">
        <f aca="false">IFERROR(INDEX('Semrush Data'!$A$1:$Z$20000,MATCH(A3349,'Semrush Data'!$A$1:$A$20000,0),MATCH("Intent",'Semrush Data'!$A$1:$Z$1,0)),"")</f>
        <v/>
      </c>
    </row>
    <row r="3350" customFormat="false" ht="15" hidden="false" customHeight="true" outlineLevel="0" collapsed="false">
      <c r="A3350" s="7" t="s">
        <v>2142</v>
      </c>
      <c r="B3350" s="7" t="s">
        <v>1356</v>
      </c>
      <c r="C3350" s="7" t="n">
        <v>3</v>
      </c>
      <c r="D3350" s="7" t="n">
        <v>34</v>
      </c>
      <c r="E3350" s="7" t="n">
        <v>1</v>
      </c>
      <c r="F3350" s="7" t="s">
        <v>1090</v>
      </c>
      <c r="G3350" s="12" t="str">
        <f aca="false">IFERROR(INDEX('Semrush Data'!$A$1:$Z$20000,MATCH(A3350,'Semrush Data'!$A$1:$A$20000,0),MATCH("Volume",'Semrush Data'!$A$1:$Z$1,0)),"")</f>
        <v/>
      </c>
      <c r="H3350" s="7" t="str">
        <f aca="false">IFERROR(INDEX('Semrush Data'!$A$1:$Z$20000,MATCH(A3350,'Semrush Data'!$A$1:$A$20000,0),MATCH("Keyword Difficulty*",'Semrush Data'!$A$1:$Z$1,0)),"")</f>
        <v/>
      </c>
      <c r="I3350" s="13" t="str">
        <f aca="false">IFERROR(INDEX('Semrush Data'!$A$1:$Z$20000,MATCH(A3350,'Semrush Data'!$A$1:$A$20000,0),MATCH("CPC*",'Semrush Data'!$A$1:$Z$1,0)),"")</f>
        <v/>
      </c>
      <c r="J3350" s="7" t="str">
        <f aca="false">IFERROR(INDEX('Semrush Data'!$A$1:$Z$20000,MATCH(A3350,'Semrush Data'!$A$1:$A$20000,0),MATCH("Intent",'Semrush Data'!$A$1:$Z$1,0)),"")</f>
        <v/>
      </c>
    </row>
    <row r="3351" customFormat="false" ht="15" hidden="false" customHeight="true" outlineLevel="0" collapsed="false">
      <c r="A3351" s="7" t="s">
        <v>2222</v>
      </c>
      <c r="B3351" s="7" t="s">
        <v>1356</v>
      </c>
      <c r="C3351" s="7" t="n">
        <v>3</v>
      </c>
      <c r="D3351" s="7" t="n">
        <v>34</v>
      </c>
      <c r="E3351" s="7" t="n">
        <v>1</v>
      </c>
      <c r="F3351" s="7" t="s">
        <v>1172</v>
      </c>
      <c r="G3351" s="12" t="str">
        <f aca="false">IFERROR(INDEX('Semrush Data'!$A$1:$Z$20000,MATCH(A3351,'Semrush Data'!$A$1:$A$20000,0),MATCH("Volume",'Semrush Data'!$A$1:$Z$1,0)),"")</f>
        <v/>
      </c>
      <c r="H3351" s="7" t="str">
        <f aca="false">IFERROR(INDEX('Semrush Data'!$A$1:$Z$20000,MATCH(A3351,'Semrush Data'!$A$1:$A$20000,0),MATCH("Keyword Difficulty*",'Semrush Data'!$A$1:$Z$1,0)),"")</f>
        <v/>
      </c>
      <c r="I3351" s="13" t="str">
        <f aca="false">IFERROR(INDEX('Semrush Data'!$A$1:$Z$20000,MATCH(A3351,'Semrush Data'!$A$1:$A$20000,0),MATCH("CPC*",'Semrush Data'!$A$1:$Z$1,0)),"")</f>
        <v/>
      </c>
      <c r="J3351" s="7" t="str">
        <f aca="false">IFERROR(INDEX('Semrush Data'!$A$1:$Z$20000,MATCH(A3351,'Semrush Data'!$A$1:$A$20000,0),MATCH("Intent",'Semrush Data'!$A$1:$Z$1,0)),"")</f>
        <v/>
      </c>
    </row>
    <row r="3352" customFormat="false" ht="15" hidden="false" customHeight="true" outlineLevel="0" collapsed="false">
      <c r="A3352" s="7" t="s">
        <v>2130</v>
      </c>
      <c r="B3352" s="7" t="s">
        <v>1356</v>
      </c>
      <c r="C3352" s="7" t="n">
        <v>3</v>
      </c>
      <c r="D3352" s="7" t="n">
        <v>34</v>
      </c>
      <c r="E3352" s="7" t="n">
        <v>1</v>
      </c>
      <c r="F3352" s="7" t="s">
        <v>1075</v>
      </c>
      <c r="G3352" s="12" t="str">
        <f aca="false">IFERROR(INDEX('Semrush Data'!$A$1:$Z$20000,MATCH(A3352,'Semrush Data'!$A$1:$A$20000,0),MATCH("Volume",'Semrush Data'!$A$1:$Z$1,0)),"")</f>
        <v/>
      </c>
      <c r="H3352" s="7" t="str">
        <f aca="false">IFERROR(INDEX('Semrush Data'!$A$1:$Z$20000,MATCH(A3352,'Semrush Data'!$A$1:$A$20000,0),MATCH("Keyword Difficulty*",'Semrush Data'!$A$1:$Z$1,0)),"")</f>
        <v/>
      </c>
      <c r="I3352" s="13" t="str">
        <f aca="false">IFERROR(INDEX('Semrush Data'!$A$1:$Z$20000,MATCH(A3352,'Semrush Data'!$A$1:$A$20000,0),MATCH("CPC*",'Semrush Data'!$A$1:$Z$1,0)),"")</f>
        <v/>
      </c>
      <c r="J3352" s="7" t="str">
        <f aca="false">IFERROR(INDEX('Semrush Data'!$A$1:$Z$20000,MATCH(A3352,'Semrush Data'!$A$1:$A$20000,0),MATCH("Intent",'Semrush Data'!$A$1:$Z$1,0)),"")</f>
        <v/>
      </c>
    </row>
    <row r="3353" customFormat="false" ht="15" hidden="false" customHeight="true" outlineLevel="0" collapsed="false">
      <c r="A3353" s="7" t="s">
        <v>2291</v>
      </c>
      <c r="B3353" s="7" t="s">
        <v>1356</v>
      </c>
      <c r="C3353" s="7" t="n">
        <v>3</v>
      </c>
      <c r="D3353" s="7" t="n">
        <v>34</v>
      </c>
      <c r="E3353" s="7" t="n">
        <v>1</v>
      </c>
      <c r="F3353" s="7" t="s">
        <v>1242</v>
      </c>
      <c r="G3353" s="12" t="str">
        <f aca="false">IFERROR(INDEX('Semrush Data'!$A$1:$Z$20000,MATCH(A3353,'Semrush Data'!$A$1:$A$20000,0),MATCH("Volume",'Semrush Data'!$A$1:$Z$1,0)),"")</f>
        <v/>
      </c>
      <c r="H3353" s="7" t="str">
        <f aca="false">IFERROR(INDEX('Semrush Data'!$A$1:$Z$20000,MATCH(A3353,'Semrush Data'!$A$1:$A$20000,0),MATCH("Keyword Difficulty*",'Semrush Data'!$A$1:$Z$1,0)),"")</f>
        <v/>
      </c>
      <c r="I3353" s="13" t="str">
        <f aca="false">IFERROR(INDEX('Semrush Data'!$A$1:$Z$20000,MATCH(A3353,'Semrush Data'!$A$1:$A$20000,0),MATCH("CPC*",'Semrush Data'!$A$1:$Z$1,0)),"")</f>
        <v/>
      </c>
      <c r="J3353" s="7" t="str">
        <f aca="false">IFERROR(INDEX('Semrush Data'!$A$1:$Z$20000,MATCH(A3353,'Semrush Data'!$A$1:$A$20000,0),MATCH("Intent",'Semrush Data'!$A$1:$Z$1,0)),"")</f>
        <v/>
      </c>
    </row>
    <row r="3354" customFormat="false" ht="15" hidden="false" customHeight="true" outlineLevel="0" collapsed="false">
      <c r="A3354" s="7" t="s">
        <v>1908</v>
      </c>
      <c r="B3354" s="7" t="s">
        <v>1356</v>
      </c>
      <c r="C3354" s="7" t="n">
        <v>3</v>
      </c>
      <c r="D3354" s="7" t="n">
        <v>34</v>
      </c>
      <c r="E3354" s="7" t="n">
        <v>1</v>
      </c>
      <c r="F3354" s="7" t="s">
        <v>866</v>
      </c>
      <c r="G3354" s="12" t="str">
        <f aca="false">IFERROR(INDEX('Semrush Data'!$A$1:$Z$20000,MATCH(A3354,'Semrush Data'!$A$1:$A$20000,0),MATCH("Volume",'Semrush Data'!$A$1:$Z$1,0)),"")</f>
        <v/>
      </c>
      <c r="H3354" s="7" t="str">
        <f aca="false">IFERROR(INDEX('Semrush Data'!$A$1:$Z$20000,MATCH(A3354,'Semrush Data'!$A$1:$A$20000,0),MATCH("Keyword Difficulty*",'Semrush Data'!$A$1:$Z$1,0)),"")</f>
        <v/>
      </c>
      <c r="I3354" s="13" t="str">
        <f aca="false">IFERROR(INDEX('Semrush Data'!$A$1:$Z$20000,MATCH(A3354,'Semrush Data'!$A$1:$A$20000,0),MATCH("CPC*",'Semrush Data'!$A$1:$Z$1,0)),"")</f>
        <v/>
      </c>
      <c r="J3354" s="7" t="str">
        <f aca="false">IFERROR(INDEX('Semrush Data'!$A$1:$Z$20000,MATCH(A3354,'Semrush Data'!$A$1:$A$20000,0),MATCH("Intent",'Semrush Data'!$A$1:$Z$1,0)),"")</f>
        <v/>
      </c>
    </row>
    <row r="3355" customFormat="false" ht="15" hidden="false" customHeight="true" outlineLevel="0" collapsed="false">
      <c r="A3355" s="7" t="s">
        <v>2149</v>
      </c>
      <c r="B3355" s="7" t="s">
        <v>1356</v>
      </c>
      <c r="C3355" s="7" t="n">
        <v>3</v>
      </c>
      <c r="D3355" s="7" t="n">
        <v>34</v>
      </c>
      <c r="E3355" s="7" t="n">
        <v>1</v>
      </c>
      <c r="F3355" s="7" t="s">
        <v>1097</v>
      </c>
      <c r="G3355" s="12" t="str">
        <f aca="false">IFERROR(INDEX('Semrush Data'!$A$1:$Z$20000,MATCH(A3355,'Semrush Data'!$A$1:$A$20000,0),MATCH("Volume",'Semrush Data'!$A$1:$Z$1,0)),"")</f>
        <v/>
      </c>
      <c r="H3355" s="7" t="str">
        <f aca="false">IFERROR(INDEX('Semrush Data'!$A$1:$Z$20000,MATCH(A3355,'Semrush Data'!$A$1:$A$20000,0),MATCH("Keyword Difficulty*",'Semrush Data'!$A$1:$Z$1,0)),"")</f>
        <v/>
      </c>
      <c r="I3355" s="13" t="str">
        <f aca="false">IFERROR(INDEX('Semrush Data'!$A$1:$Z$20000,MATCH(A3355,'Semrush Data'!$A$1:$A$20000,0),MATCH("CPC*",'Semrush Data'!$A$1:$Z$1,0)),"")</f>
        <v/>
      </c>
      <c r="J3355" s="7" t="str">
        <f aca="false">IFERROR(INDEX('Semrush Data'!$A$1:$Z$20000,MATCH(A3355,'Semrush Data'!$A$1:$A$20000,0),MATCH("Intent",'Semrush Data'!$A$1:$Z$1,0)),"")</f>
        <v/>
      </c>
    </row>
    <row r="3356" customFormat="false" ht="15" hidden="false" customHeight="true" outlineLevel="0" collapsed="false">
      <c r="A3356" s="7" t="s">
        <v>1893</v>
      </c>
      <c r="B3356" s="7" t="s">
        <v>1356</v>
      </c>
      <c r="C3356" s="7" t="n">
        <v>3</v>
      </c>
      <c r="D3356" s="7" t="n">
        <v>34</v>
      </c>
      <c r="E3356" s="7" t="n">
        <v>1</v>
      </c>
      <c r="F3356" s="7" t="s">
        <v>854</v>
      </c>
      <c r="G3356" s="12" t="str">
        <f aca="false">IFERROR(INDEX('Semrush Data'!$A$1:$Z$20000,MATCH(A3356,'Semrush Data'!$A$1:$A$20000,0),MATCH("Volume",'Semrush Data'!$A$1:$Z$1,0)),"")</f>
        <v/>
      </c>
      <c r="H3356" s="7" t="str">
        <f aca="false">IFERROR(INDEX('Semrush Data'!$A$1:$Z$20000,MATCH(A3356,'Semrush Data'!$A$1:$A$20000,0),MATCH("Keyword Difficulty*",'Semrush Data'!$A$1:$Z$1,0)),"")</f>
        <v/>
      </c>
      <c r="I3356" s="13" t="str">
        <f aca="false">IFERROR(INDEX('Semrush Data'!$A$1:$Z$20000,MATCH(A3356,'Semrush Data'!$A$1:$A$20000,0),MATCH("CPC*",'Semrush Data'!$A$1:$Z$1,0)),"")</f>
        <v/>
      </c>
      <c r="J3356" s="7" t="str">
        <f aca="false">IFERROR(INDEX('Semrush Data'!$A$1:$Z$20000,MATCH(A3356,'Semrush Data'!$A$1:$A$20000,0),MATCH("Intent",'Semrush Data'!$A$1:$Z$1,0)),"")</f>
        <v/>
      </c>
    </row>
    <row r="3357" customFormat="false" ht="15" hidden="false" customHeight="true" outlineLevel="0" collapsed="false">
      <c r="A3357" s="7" t="s">
        <v>2162</v>
      </c>
      <c r="B3357" s="7" t="s">
        <v>1356</v>
      </c>
      <c r="C3357" s="7" t="n">
        <v>3</v>
      </c>
      <c r="D3357" s="7" t="n">
        <v>34</v>
      </c>
      <c r="E3357" s="7" t="n">
        <v>1</v>
      </c>
      <c r="F3357" s="7" t="s">
        <v>1111</v>
      </c>
      <c r="G3357" s="12" t="str">
        <f aca="false">IFERROR(INDEX('Semrush Data'!$A$1:$Z$20000,MATCH(A3357,'Semrush Data'!$A$1:$A$20000,0),MATCH("Volume",'Semrush Data'!$A$1:$Z$1,0)),"")</f>
        <v/>
      </c>
      <c r="H3357" s="7" t="str">
        <f aca="false">IFERROR(INDEX('Semrush Data'!$A$1:$Z$20000,MATCH(A3357,'Semrush Data'!$A$1:$A$20000,0),MATCH("Keyword Difficulty*",'Semrush Data'!$A$1:$Z$1,0)),"")</f>
        <v/>
      </c>
      <c r="I3357" s="13" t="str">
        <f aca="false">IFERROR(INDEX('Semrush Data'!$A$1:$Z$20000,MATCH(A3357,'Semrush Data'!$A$1:$A$20000,0),MATCH("CPC*",'Semrush Data'!$A$1:$Z$1,0)),"")</f>
        <v/>
      </c>
      <c r="J3357" s="7" t="str">
        <f aca="false">IFERROR(INDEX('Semrush Data'!$A$1:$Z$20000,MATCH(A3357,'Semrush Data'!$A$1:$A$20000,0),MATCH("Intent",'Semrush Data'!$A$1:$Z$1,0)),"")</f>
        <v/>
      </c>
    </row>
    <row r="3358" customFormat="false" ht="15" hidden="false" customHeight="true" outlineLevel="0" collapsed="false">
      <c r="A3358" s="7" t="s">
        <v>1886</v>
      </c>
      <c r="B3358" s="7" t="s">
        <v>1356</v>
      </c>
      <c r="C3358" s="7" t="n">
        <v>3</v>
      </c>
      <c r="D3358" s="7" t="n">
        <v>34</v>
      </c>
      <c r="E3358" s="7" t="n">
        <v>1</v>
      </c>
      <c r="F3358" s="7" t="s">
        <v>845</v>
      </c>
      <c r="G3358" s="12" t="str">
        <f aca="false">IFERROR(INDEX('Semrush Data'!$A$1:$Z$20000,MATCH(A3358,'Semrush Data'!$A$1:$A$20000,0),MATCH("Volume",'Semrush Data'!$A$1:$Z$1,0)),"")</f>
        <v/>
      </c>
      <c r="H3358" s="7" t="str">
        <f aca="false">IFERROR(INDEX('Semrush Data'!$A$1:$Z$20000,MATCH(A3358,'Semrush Data'!$A$1:$A$20000,0),MATCH("Keyword Difficulty*",'Semrush Data'!$A$1:$Z$1,0)),"")</f>
        <v/>
      </c>
      <c r="I3358" s="13" t="str">
        <f aca="false">IFERROR(INDEX('Semrush Data'!$A$1:$Z$20000,MATCH(A3358,'Semrush Data'!$A$1:$A$20000,0),MATCH("CPC*",'Semrush Data'!$A$1:$Z$1,0)),"")</f>
        <v/>
      </c>
      <c r="J3358" s="7" t="str">
        <f aca="false">IFERROR(INDEX('Semrush Data'!$A$1:$Z$20000,MATCH(A3358,'Semrush Data'!$A$1:$A$20000,0),MATCH("Intent",'Semrush Data'!$A$1:$Z$1,0)),"")</f>
        <v/>
      </c>
    </row>
    <row r="3359" customFormat="false" ht="15" hidden="false" customHeight="true" outlineLevel="0" collapsed="false">
      <c r="A3359" s="7" t="s">
        <v>2285</v>
      </c>
      <c r="B3359" s="7" t="s">
        <v>1356</v>
      </c>
      <c r="C3359" s="7" t="n">
        <v>3</v>
      </c>
      <c r="D3359" s="7" t="n">
        <v>34</v>
      </c>
      <c r="E3359" s="7" t="n">
        <v>1</v>
      </c>
      <c r="F3359" s="7" t="s">
        <v>1236</v>
      </c>
      <c r="G3359" s="12" t="str">
        <f aca="false">IFERROR(INDEX('Semrush Data'!$A$1:$Z$20000,MATCH(A3359,'Semrush Data'!$A$1:$A$20000,0),MATCH("Volume",'Semrush Data'!$A$1:$Z$1,0)),"")</f>
        <v/>
      </c>
      <c r="H3359" s="7" t="str">
        <f aca="false">IFERROR(INDEX('Semrush Data'!$A$1:$Z$20000,MATCH(A3359,'Semrush Data'!$A$1:$A$20000,0),MATCH("Keyword Difficulty*",'Semrush Data'!$A$1:$Z$1,0)),"")</f>
        <v/>
      </c>
      <c r="I3359" s="13" t="str">
        <f aca="false">IFERROR(INDEX('Semrush Data'!$A$1:$Z$20000,MATCH(A3359,'Semrush Data'!$A$1:$A$20000,0),MATCH("CPC*",'Semrush Data'!$A$1:$Z$1,0)),"")</f>
        <v/>
      </c>
      <c r="J3359" s="7" t="str">
        <f aca="false">IFERROR(INDEX('Semrush Data'!$A$1:$Z$20000,MATCH(A3359,'Semrush Data'!$A$1:$A$20000,0),MATCH("Intent",'Semrush Data'!$A$1:$Z$1,0)),"")</f>
        <v/>
      </c>
    </row>
    <row r="3360" customFormat="false" ht="15" hidden="false" customHeight="true" outlineLevel="0" collapsed="false">
      <c r="A3360" s="7" t="s">
        <v>2279</v>
      </c>
      <c r="B3360" s="7" t="s">
        <v>1356</v>
      </c>
      <c r="C3360" s="7" t="n">
        <v>3</v>
      </c>
      <c r="D3360" s="7" t="n">
        <v>34</v>
      </c>
      <c r="E3360" s="7" t="n">
        <v>1</v>
      </c>
      <c r="F3360" s="7" t="s">
        <v>1230</v>
      </c>
      <c r="G3360" s="12" t="str">
        <f aca="false">IFERROR(INDEX('Semrush Data'!$A$1:$Z$20000,MATCH(A3360,'Semrush Data'!$A$1:$A$20000,0),MATCH("Volume",'Semrush Data'!$A$1:$Z$1,0)),"")</f>
        <v/>
      </c>
      <c r="H3360" s="7" t="str">
        <f aca="false">IFERROR(INDEX('Semrush Data'!$A$1:$Z$20000,MATCH(A3360,'Semrush Data'!$A$1:$A$20000,0),MATCH("Keyword Difficulty*",'Semrush Data'!$A$1:$Z$1,0)),"")</f>
        <v/>
      </c>
      <c r="I3360" s="13" t="str">
        <f aca="false">IFERROR(INDEX('Semrush Data'!$A$1:$Z$20000,MATCH(A3360,'Semrush Data'!$A$1:$A$20000,0),MATCH("CPC*",'Semrush Data'!$A$1:$Z$1,0)),"")</f>
        <v/>
      </c>
      <c r="J3360" s="7" t="str">
        <f aca="false">IFERROR(INDEX('Semrush Data'!$A$1:$Z$20000,MATCH(A3360,'Semrush Data'!$A$1:$A$20000,0),MATCH("Intent",'Semrush Data'!$A$1:$Z$1,0)),"")</f>
        <v/>
      </c>
    </row>
    <row r="3361" customFormat="false" ht="15" hidden="false" customHeight="true" outlineLevel="0" collapsed="false">
      <c r="A3361" s="7" t="s">
        <v>2386</v>
      </c>
      <c r="B3361" s="7" t="s">
        <v>1356</v>
      </c>
      <c r="C3361" s="7" t="n">
        <v>3</v>
      </c>
      <c r="D3361" s="7" t="n">
        <v>34</v>
      </c>
      <c r="E3361" s="7" t="n">
        <v>1</v>
      </c>
      <c r="F3361" s="7" t="s">
        <v>1339</v>
      </c>
      <c r="G3361" s="12" t="str">
        <f aca="false">IFERROR(INDEX('Semrush Data'!$A$1:$Z$20000,MATCH(A3361,'Semrush Data'!$A$1:$A$20000,0),MATCH("Volume",'Semrush Data'!$A$1:$Z$1,0)),"")</f>
        <v/>
      </c>
      <c r="H3361" s="7" t="str">
        <f aca="false">IFERROR(INDEX('Semrush Data'!$A$1:$Z$20000,MATCH(A3361,'Semrush Data'!$A$1:$A$20000,0),MATCH("Keyword Difficulty*",'Semrush Data'!$A$1:$Z$1,0)),"")</f>
        <v/>
      </c>
      <c r="I3361" s="13" t="str">
        <f aca="false">IFERROR(INDEX('Semrush Data'!$A$1:$Z$20000,MATCH(A3361,'Semrush Data'!$A$1:$A$20000,0),MATCH("CPC*",'Semrush Data'!$A$1:$Z$1,0)),"")</f>
        <v/>
      </c>
      <c r="J3361" s="7" t="str">
        <f aca="false">IFERROR(INDEX('Semrush Data'!$A$1:$Z$20000,MATCH(A3361,'Semrush Data'!$A$1:$A$20000,0),MATCH("Intent",'Semrush Data'!$A$1:$Z$1,0)),"")</f>
        <v/>
      </c>
    </row>
    <row r="3362" customFormat="false" ht="15" hidden="false" customHeight="true" outlineLevel="0" collapsed="false">
      <c r="A3362" s="7" t="s">
        <v>2374</v>
      </c>
      <c r="B3362" s="7" t="s">
        <v>1356</v>
      </c>
      <c r="C3362" s="7" t="n">
        <v>3</v>
      </c>
      <c r="D3362" s="7" t="n">
        <v>34</v>
      </c>
      <c r="E3362" s="7" t="n">
        <v>1</v>
      </c>
      <c r="F3362" s="7" t="s">
        <v>1327</v>
      </c>
      <c r="G3362" s="12" t="str">
        <f aca="false">IFERROR(INDEX('Semrush Data'!$A$1:$Z$20000,MATCH(A3362,'Semrush Data'!$A$1:$A$20000,0),MATCH("Volume",'Semrush Data'!$A$1:$Z$1,0)),"")</f>
        <v/>
      </c>
      <c r="H3362" s="7" t="str">
        <f aca="false">IFERROR(INDEX('Semrush Data'!$A$1:$Z$20000,MATCH(A3362,'Semrush Data'!$A$1:$A$20000,0),MATCH("Keyword Difficulty*",'Semrush Data'!$A$1:$Z$1,0)),"")</f>
        <v/>
      </c>
      <c r="I3362" s="13" t="str">
        <f aca="false">IFERROR(INDEX('Semrush Data'!$A$1:$Z$20000,MATCH(A3362,'Semrush Data'!$A$1:$A$20000,0),MATCH("CPC*",'Semrush Data'!$A$1:$Z$1,0)),"")</f>
        <v/>
      </c>
      <c r="J3362" s="7" t="str">
        <f aca="false">IFERROR(INDEX('Semrush Data'!$A$1:$Z$20000,MATCH(A3362,'Semrush Data'!$A$1:$A$20000,0),MATCH("Intent",'Semrush Data'!$A$1:$Z$1,0)),"")</f>
        <v/>
      </c>
    </row>
    <row r="3363" customFormat="false" ht="15" hidden="false" customHeight="true" outlineLevel="0" collapsed="false">
      <c r="A3363" s="7" t="s">
        <v>1916</v>
      </c>
      <c r="B3363" s="7" t="s">
        <v>1356</v>
      </c>
      <c r="C3363" s="7" t="n">
        <v>3</v>
      </c>
      <c r="D3363" s="7" t="n">
        <v>34</v>
      </c>
      <c r="E3363" s="7" t="n">
        <v>1</v>
      </c>
      <c r="F3363" s="7" t="s">
        <v>873</v>
      </c>
      <c r="G3363" s="12" t="str">
        <f aca="false">IFERROR(INDEX('Semrush Data'!$A$1:$Z$20000,MATCH(A3363,'Semrush Data'!$A$1:$A$20000,0),MATCH("Volume",'Semrush Data'!$A$1:$Z$1,0)),"")</f>
        <v/>
      </c>
      <c r="H3363" s="7" t="str">
        <f aca="false">IFERROR(INDEX('Semrush Data'!$A$1:$Z$20000,MATCH(A3363,'Semrush Data'!$A$1:$A$20000,0),MATCH("Keyword Difficulty*",'Semrush Data'!$A$1:$Z$1,0)),"")</f>
        <v/>
      </c>
      <c r="I3363" s="13" t="str">
        <f aca="false">IFERROR(INDEX('Semrush Data'!$A$1:$Z$20000,MATCH(A3363,'Semrush Data'!$A$1:$A$20000,0),MATCH("CPC*",'Semrush Data'!$A$1:$Z$1,0)),"")</f>
        <v/>
      </c>
      <c r="J3363" s="7" t="str">
        <f aca="false">IFERROR(INDEX('Semrush Data'!$A$1:$Z$20000,MATCH(A3363,'Semrush Data'!$A$1:$A$20000,0),MATCH("Intent",'Semrush Data'!$A$1:$Z$1,0)),"")</f>
        <v/>
      </c>
    </row>
    <row r="3364" customFormat="false" ht="15" hidden="false" customHeight="true" outlineLevel="0" collapsed="false">
      <c r="A3364" s="7" t="s">
        <v>2362</v>
      </c>
      <c r="B3364" s="7" t="s">
        <v>1356</v>
      </c>
      <c r="C3364" s="7" t="n">
        <v>3</v>
      </c>
      <c r="D3364" s="7" t="n">
        <v>34</v>
      </c>
      <c r="E3364" s="7" t="n">
        <v>1</v>
      </c>
      <c r="F3364" s="7" t="s">
        <v>1315</v>
      </c>
      <c r="G3364" s="12" t="str">
        <f aca="false">IFERROR(INDEX('Semrush Data'!$A$1:$Z$20000,MATCH(A3364,'Semrush Data'!$A$1:$A$20000,0),MATCH("Volume",'Semrush Data'!$A$1:$Z$1,0)),"")</f>
        <v/>
      </c>
      <c r="H3364" s="7" t="str">
        <f aca="false">IFERROR(INDEX('Semrush Data'!$A$1:$Z$20000,MATCH(A3364,'Semrush Data'!$A$1:$A$20000,0),MATCH("Keyword Difficulty*",'Semrush Data'!$A$1:$Z$1,0)),"")</f>
        <v/>
      </c>
      <c r="I3364" s="13" t="str">
        <f aca="false">IFERROR(INDEX('Semrush Data'!$A$1:$Z$20000,MATCH(A3364,'Semrush Data'!$A$1:$A$20000,0),MATCH("CPC*",'Semrush Data'!$A$1:$Z$1,0)),"")</f>
        <v/>
      </c>
      <c r="J3364" s="7" t="str">
        <f aca="false">IFERROR(INDEX('Semrush Data'!$A$1:$Z$20000,MATCH(A3364,'Semrush Data'!$A$1:$A$20000,0),MATCH("Intent",'Semrush Data'!$A$1:$Z$1,0)),"")</f>
        <v/>
      </c>
    </row>
    <row r="3365" customFormat="false" ht="15" hidden="false" customHeight="true" outlineLevel="0" collapsed="false">
      <c r="A3365" s="7" t="s">
        <v>2041</v>
      </c>
      <c r="B3365" s="7" t="s">
        <v>1356</v>
      </c>
      <c r="C3365" s="7" t="n">
        <v>3</v>
      </c>
      <c r="D3365" s="7" t="n">
        <v>34</v>
      </c>
      <c r="E3365" s="7" t="n">
        <v>1</v>
      </c>
      <c r="F3365" s="7" t="s">
        <v>992</v>
      </c>
      <c r="G3365" s="12" t="str">
        <f aca="false">IFERROR(INDEX('Semrush Data'!$A$1:$Z$20000,MATCH(A3365,'Semrush Data'!$A$1:$A$20000,0),MATCH("Volume",'Semrush Data'!$A$1:$Z$1,0)),"")</f>
        <v/>
      </c>
      <c r="H3365" s="7" t="str">
        <f aca="false">IFERROR(INDEX('Semrush Data'!$A$1:$Z$20000,MATCH(A3365,'Semrush Data'!$A$1:$A$20000,0),MATCH("Keyword Difficulty*",'Semrush Data'!$A$1:$Z$1,0)),"")</f>
        <v/>
      </c>
      <c r="I3365" s="13" t="str">
        <f aca="false">IFERROR(INDEX('Semrush Data'!$A$1:$Z$20000,MATCH(A3365,'Semrush Data'!$A$1:$A$20000,0),MATCH("CPC*",'Semrush Data'!$A$1:$Z$1,0)),"")</f>
        <v/>
      </c>
      <c r="J3365" s="7" t="str">
        <f aca="false">IFERROR(INDEX('Semrush Data'!$A$1:$Z$20000,MATCH(A3365,'Semrush Data'!$A$1:$A$20000,0),MATCH("Intent",'Semrush Data'!$A$1:$Z$1,0)),"")</f>
        <v/>
      </c>
    </row>
    <row r="3366" customFormat="false" ht="15" hidden="false" customHeight="true" outlineLevel="0" collapsed="false">
      <c r="A3366" s="7" t="s">
        <v>2136</v>
      </c>
      <c r="B3366" s="7" t="s">
        <v>1356</v>
      </c>
      <c r="C3366" s="7" t="n">
        <v>3</v>
      </c>
      <c r="D3366" s="7" t="n">
        <v>34</v>
      </c>
      <c r="E3366" s="7" t="n">
        <v>1</v>
      </c>
      <c r="F3366" s="7" t="s">
        <v>1082</v>
      </c>
      <c r="G3366" s="12" t="str">
        <f aca="false">IFERROR(INDEX('Semrush Data'!$A$1:$Z$20000,MATCH(A3366,'Semrush Data'!$A$1:$A$20000,0),MATCH("Volume",'Semrush Data'!$A$1:$Z$1,0)),"")</f>
        <v/>
      </c>
      <c r="H3366" s="7" t="str">
        <f aca="false">IFERROR(INDEX('Semrush Data'!$A$1:$Z$20000,MATCH(A3366,'Semrush Data'!$A$1:$A$20000,0),MATCH("Keyword Difficulty*",'Semrush Data'!$A$1:$Z$1,0)),"")</f>
        <v/>
      </c>
      <c r="I3366" s="13" t="str">
        <f aca="false">IFERROR(INDEX('Semrush Data'!$A$1:$Z$20000,MATCH(A3366,'Semrush Data'!$A$1:$A$20000,0),MATCH("CPC*",'Semrush Data'!$A$1:$Z$1,0)),"")</f>
        <v/>
      </c>
      <c r="J3366" s="7" t="str">
        <f aca="false">IFERROR(INDEX('Semrush Data'!$A$1:$Z$20000,MATCH(A3366,'Semrush Data'!$A$1:$A$20000,0),MATCH("Intent",'Semrush Data'!$A$1:$Z$1,0)),"")</f>
        <v/>
      </c>
    </row>
    <row r="3367" customFormat="false" ht="15" hidden="false" customHeight="true" outlineLevel="0" collapsed="false">
      <c r="A3367" s="7" t="s">
        <v>2196</v>
      </c>
      <c r="B3367" s="7" t="s">
        <v>1356</v>
      </c>
      <c r="C3367" s="7" t="n">
        <v>3</v>
      </c>
      <c r="D3367" s="7" t="n">
        <v>34</v>
      </c>
      <c r="E3367" s="7" t="n">
        <v>1</v>
      </c>
      <c r="F3367" s="7" t="s">
        <v>1146</v>
      </c>
      <c r="G3367" s="12" t="str">
        <f aca="false">IFERROR(INDEX('Semrush Data'!$A$1:$Z$20000,MATCH(A3367,'Semrush Data'!$A$1:$A$20000,0),MATCH("Volume",'Semrush Data'!$A$1:$Z$1,0)),"")</f>
        <v/>
      </c>
      <c r="H3367" s="7" t="str">
        <f aca="false">IFERROR(INDEX('Semrush Data'!$A$1:$Z$20000,MATCH(A3367,'Semrush Data'!$A$1:$A$20000,0),MATCH("Keyword Difficulty*",'Semrush Data'!$A$1:$Z$1,0)),"")</f>
        <v/>
      </c>
      <c r="I3367" s="13" t="str">
        <f aca="false">IFERROR(INDEX('Semrush Data'!$A$1:$Z$20000,MATCH(A3367,'Semrush Data'!$A$1:$A$20000,0),MATCH("CPC*",'Semrush Data'!$A$1:$Z$1,0)),"")</f>
        <v/>
      </c>
      <c r="J3367" s="7" t="str">
        <f aca="false">IFERROR(INDEX('Semrush Data'!$A$1:$Z$20000,MATCH(A3367,'Semrush Data'!$A$1:$A$20000,0),MATCH("Intent",'Semrush Data'!$A$1:$Z$1,0)),"")</f>
        <v/>
      </c>
    </row>
    <row r="3368" customFormat="false" ht="15" hidden="false" customHeight="true" outlineLevel="0" collapsed="false">
      <c r="A3368" s="7" t="s">
        <v>2035</v>
      </c>
      <c r="B3368" s="7" t="s">
        <v>1356</v>
      </c>
      <c r="C3368" s="7" t="n">
        <v>3</v>
      </c>
      <c r="D3368" s="7" t="n">
        <v>34</v>
      </c>
      <c r="E3368" s="7" t="n">
        <v>1</v>
      </c>
      <c r="F3368" s="7" t="s">
        <v>985</v>
      </c>
      <c r="G3368" s="12" t="str">
        <f aca="false">IFERROR(INDEX('Semrush Data'!$A$1:$Z$20000,MATCH(A3368,'Semrush Data'!$A$1:$A$20000,0),MATCH("Volume",'Semrush Data'!$A$1:$Z$1,0)),"")</f>
        <v/>
      </c>
      <c r="H3368" s="7" t="str">
        <f aca="false">IFERROR(INDEX('Semrush Data'!$A$1:$Z$20000,MATCH(A3368,'Semrush Data'!$A$1:$A$20000,0),MATCH("Keyword Difficulty*",'Semrush Data'!$A$1:$Z$1,0)),"")</f>
        <v/>
      </c>
      <c r="I3368" s="13" t="str">
        <f aca="false">IFERROR(INDEX('Semrush Data'!$A$1:$Z$20000,MATCH(A3368,'Semrush Data'!$A$1:$A$20000,0),MATCH("CPC*",'Semrush Data'!$A$1:$Z$1,0)),"")</f>
        <v/>
      </c>
      <c r="J3368" s="7" t="str">
        <f aca="false">IFERROR(INDEX('Semrush Data'!$A$1:$Z$20000,MATCH(A3368,'Semrush Data'!$A$1:$A$20000,0),MATCH("Intent",'Semrush Data'!$A$1:$Z$1,0)),"")</f>
        <v/>
      </c>
    </row>
    <row r="3369" customFormat="false" ht="15" hidden="false" customHeight="true" outlineLevel="0" collapsed="false">
      <c r="A3369" s="7" t="s">
        <v>1974</v>
      </c>
      <c r="B3369" s="7" t="s">
        <v>1356</v>
      </c>
      <c r="C3369" s="7" t="n">
        <v>3</v>
      </c>
      <c r="D3369" s="7" t="n">
        <v>34</v>
      </c>
      <c r="E3369" s="7" t="n">
        <v>1</v>
      </c>
      <c r="F3369" s="7" t="s">
        <v>925</v>
      </c>
      <c r="G3369" s="12" t="str">
        <f aca="false">IFERROR(INDEX('Semrush Data'!$A$1:$Z$20000,MATCH(A3369,'Semrush Data'!$A$1:$A$20000,0),MATCH("Volume",'Semrush Data'!$A$1:$Z$1,0)),"")</f>
        <v/>
      </c>
      <c r="H3369" s="7" t="str">
        <f aca="false">IFERROR(INDEX('Semrush Data'!$A$1:$Z$20000,MATCH(A3369,'Semrush Data'!$A$1:$A$20000,0),MATCH("Keyword Difficulty*",'Semrush Data'!$A$1:$Z$1,0)),"")</f>
        <v/>
      </c>
      <c r="I3369" s="13" t="str">
        <f aca="false">IFERROR(INDEX('Semrush Data'!$A$1:$Z$20000,MATCH(A3369,'Semrush Data'!$A$1:$A$20000,0),MATCH("CPC*",'Semrush Data'!$A$1:$Z$1,0)),"")</f>
        <v/>
      </c>
      <c r="J3369" s="7" t="str">
        <f aca="false">IFERROR(INDEX('Semrush Data'!$A$1:$Z$20000,MATCH(A3369,'Semrush Data'!$A$1:$A$20000,0),MATCH("Intent",'Semrush Data'!$A$1:$Z$1,0)),"")</f>
        <v/>
      </c>
    </row>
    <row r="3370" customFormat="false" ht="15" hidden="false" customHeight="true" outlineLevel="0" collapsed="false">
      <c r="A3370" s="7" t="s">
        <v>2380</v>
      </c>
      <c r="B3370" s="7" t="s">
        <v>1356</v>
      </c>
      <c r="C3370" s="7" t="n">
        <v>3</v>
      </c>
      <c r="D3370" s="7" t="n">
        <v>34</v>
      </c>
      <c r="E3370" s="7" t="n">
        <v>1</v>
      </c>
      <c r="F3370" s="7" t="s">
        <v>1333</v>
      </c>
      <c r="G3370" s="12" t="str">
        <f aca="false">IFERROR(INDEX('Semrush Data'!$A$1:$Z$20000,MATCH(A3370,'Semrush Data'!$A$1:$A$20000,0),MATCH("Volume",'Semrush Data'!$A$1:$Z$1,0)),"")</f>
        <v/>
      </c>
      <c r="H3370" s="7" t="str">
        <f aca="false">IFERROR(INDEX('Semrush Data'!$A$1:$Z$20000,MATCH(A3370,'Semrush Data'!$A$1:$A$20000,0),MATCH("Keyword Difficulty*",'Semrush Data'!$A$1:$Z$1,0)),"")</f>
        <v/>
      </c>
      <c r="I3370" s="13" t="str">
        <f aca="false">IFERROR(INDEX('Semrush Data'!$A$1:$Z$20000,MATCH(A3370,'Semrush Data'!$A$1:$A$20000,0),MATCH("CPC*",'Semrush Data'!$A$1:$Z$1,0)),"")</f>
        <v/>
      </c>
      <c r="J3370" s="7" t="str">
        <f aca="false">IFERROR(INDEX('Semrush Data'!$A$1:$Z$20000,MATCH(A3370,'Semrush Data'!$A$1:$A$20000,0),MATCH("Intent",'Semrush Data'!$A$1:$Z$1,0)),"")</f>
        <v/>
      </c>
    </row>
    <row r="3371" customFormat="false" ht="15" hidden="false" customHeight="true" outlineLevel="0" collapsed="false">
      <c r="A3371" s="7" t="s">
        <v>2338</v>
      </c>
      <c r="B3371" s="7" t="s">
        <v>1356</v>
      </c>
      <c r="C3371" s="7" t="n">
        <v>3</v>
      </c>
      <c r="D3371" s="7" t="n">
        <v>34</v>
      </c>
      <c r="E3371" s="7" t="n">
        <v>1</v>
      </c>
      <c r="F3371" s="7" t="s">
        <v>1290</v>
      </c>
      <c r="G3371" s="12" t="str">
        <f aca="false">IFERROR(INDEX('Semrush Data'!$A$1:$Z$20000,MATCH(A3371,'Semrush Data'!$A$1:$A$20000,0),MATCH("Volume",'Semrush Data'!$A$1:$Z$1,0)),"")</f>
        <v/>
      </c>
      <c r="H3371" s="7" t="str">
        <f aca="false">IFERROR(INDEX('Semrush Data'!$A$1:$Z$20000,MATCH(A3371,'Semrush Data'!$A$1:$A$20000,0),MATCH("Keyword Difficulty*",'Semrush Data'!$A$1:$Z$1,0)),"")</f>
        <v/>
      </c>
      <c r="I3371" s="13" t="str">
        <f aca="false">IFERROR(INDEX('Semrush Data'!$A$1:$Z$20000,MATCH(A3371,'Semrush Data'!$A$1:$A$20000,0),MATCH("CPC*",'Semrush Data'!$A$1:$Z$1,0)),"")</f>
        <v/>
      </c>
      <c r="J3371" s="7" t="str">
        <f aca="false">IFERROR(INDEX('Semrush Data'!$A$1:$Z$20000,MATCH(A3371,'Semrush Data'!$A$1:$A$20000,0),MATCH("Intent",'Semrush Data'!$A$1:$Z$1,0)),"")</f>
        <v/>
      </c>
    </row>
    <row r="3372" customFormat="false" ht="15" hidden="false" customHeight="true" outlineLevel="0" collapsed="false">
      <c r="A3372" s="7" t="s">
        <v>2155</v>
      </c>
      <c r="B3372" s="7" t="s">
        <v>1356</v>
      </c>
      <c r="C3372" s="7" t="n">
        <v>3</v>
      </c>
      <c r="D3372" s="7" t="n">
        <v>34</v>
      </c>
      <c r="E3372" s="7" t="n">
        <v>1</v>
      </c>
      <c r="F3372" s="7" t="s">
        <v>1104</v>
      </c>
      <c r="G3372" s="12" t="str">
        <f aca="false">IFERROR(INDEX('Semrush Data'!$A$1:$Z$20000,MATCH(A3372,'Semrush Data'!$A$1:$A$20000,0),MATCH("Volume",'Semrush Data'!$A$1:$Z$1,0)),"")</f>
        <v/>
      </c>
      <c r="H3372" s="7" t="str">
        <f aca="false">IFERROR(INDEX('Semrush Data'!$A$1:$Z$20000,MATCH(A3372,'Semrush Data'!$A$1:$A$20000,0),MATCH("Keyword Difficulty*",'Semrush Data'!$A$1:$Z$1,0)),"")</f>
        <v/>
      </c>
      <c r="I3372" s="13" t="str">
        <f aca="false">IFERROR(INDEX('Semrush Data'!$A$1:$Z$20000,MATCH(A3372,'Semrush Data'!$A$1:$A$20000,0),MATCH("CPC*",'Semrush Data'!$A$1:$Z$1,0)),"")</f>
        <v/>
      </c>
      <c r="J3372" s="7" t="str">
        <f aca="false">IFERROR(INDEX('Semrush Data'!$A$1:$Z$20000,MATCH(A3372,'Semrush Data'!$A$1:$A$20000,0),MATCH("Intent",'Semrush Data'!$A$1:$Z$1,0)),"")</f>
        <v/>
      </c>
    </row>
    <row r="3373" customFormat="false" ht="15" hidden="false" customHeight="true" outlineLevel="0" collapsed="false">
      <c r="A3373" s="7" t="s">
        <v>2314</v>
      </c>
      <c r="B3373" s="7" t="s">
        <v>1356</v>
      </c>
      <c r="C3373" s="7" t="n">
        <v>3</v>
      </c>
      <c r="D3373" s="7" t="n">
        <v>34</v>
      </c>
      <c r="E3373" s="7" t="n">
        <v>1</v>
      </c>
      <c r="F3373" s="7" t="s">
        <v>1266</v>
      </c>
      <c r="G3373" s="12" t="str">
        <f aca="false">IFERROR(INDEX('Semrush Data'!$A$1:$Z$20000,MATCH(A3373,'Semrush Data'!$A$1:$A$20000,0),MATCH("Volume",'Semrush Data'!$A$1:$Z$1,0)),"")</f>
        <v/>
      </c>
      <c r="H3373" s="7" t="str">
        <f aca="false">IFERROR(INDEX('Semrush Data'!$A$1:$Z$20000,MATCH(A3373,'Semrush Data'!$A$1:$A$20000,0),MATCH("Keyword Difficulty*",'Semrush Data'!$A$1:$Z$1,0)),"")</f>
        <v/>
      </c>
      <c r="I3373" s="13" t="str">
        <f aca="false">IFERROR(INDEX('Semrush Data'!$A$1:$Z$20000,MATCH(A3373,'Semrush Data'!$A$1:$A$20000,0),MATCH("CPC*",'Semrush Data'!$A$1:$Z$1,0)),"")</f>
        <v/>
      </c>
      <c r="J3373" s="7" t="str">
        <f aca="false">IFERROR(INDEX('Semrush Data'!$A$1:$Z$20000,MATCH(A3373,'Semrush Data'!$A$1:$A$20000,0),MATCH("Intent",'Semrush Data'!$A$1:$Z$1,0)),"")</f>
        <v/>
      </c>
    </row>
    <row r="3374" customFormat="false" ht="15" hidden="false" customHeight="true" outlineLevel="0" collapsed="false">
      <c r="A3374" s="7" t="s">
        <v>2095</v>
      </c>
      <c r="B3374" s="7" t="s">
        <v>1356</v>
      </c>
      <c r="C3374" s="7" t="n">
        <v>3</v>
      </c>
      <c r="D3374" s="7" t="n">
        <v>34</v>
      </c>
      <c r="E3374" s="7" t="n">
        <v>1</v>
      </c>
      <c r="F3374" s="7" t="s">
        <v>1043</v>
      </c>
      <c r="G3374" s="12" t="str">
        <f aca="false">IFERROR(INDEX('Semrush Data'!$A$1:$Z$20000,MATCH(A3374,'Semrush Data'!$A$1:$A$20000,0),MATCH("Volume",'Semrush Data'!$A$1:$Z$1,0)),"")</f>
        <v/>
      </c>
      <c r="H3374" s="7" t="str">
        <f aca="false">IFERROR(INDEX('Semrush Data'!$A$1:$Z$20000,MATCH(A3374,'Semrush Data'!$A$1:$A$20000,0),MATCH("Keyword Difficulty*",'Semrush Data'!$A$1:$Z$1,0)),"")</f>
        <v/>
      </c>
      <c r="I3374" s="13" t="str">
        <f aca="false">IFERROR(INDEX('Semrush Data'!$A$1:$Z$20000,MATCH(A3374,'Semrush Data'!$A$1:$A$20000,0),MATCH("CPC*",'Semrush Data'!$A$1:$Z$1,0)),"")</f>
        <v/>
      </c>
      <c r="J3374" s="7" t="str">
        <f aca="false">IFERROR(INDEX('Semrush Data'!$A$1:$Z$20000,MATCH(A3374,'Semrush Data'!$A$1:$A$20000,0),MATCH("Intent",'Semrush Data'!$A$1:$Z$1,0)),"")</f>
        <v/>
      </c>
    </row>
    <row r="3375" customFormat="false" ht="15" hidden="false" customHeight="true" outlineLevel="0" collapsed="false">
      <c r="A3375" s="7" t="s">
        <v>2344</v>
      </c>
      <c r="B3375" s="7" t="s">
        <v>1356</v>
      </c>
      <c r="C3375" s="7" t="n">
        <v>3</v>
      </c>
      <c r="D3375" s="7" t="n">
        <v>34</v>
      </c>
      <c r="E3375" s="7" t="n">
        <v>1</v>
      </c>
      <c r="F3375" s="7" t="s">
        <v>1297</v>
      </c>
      <c r="G3375" s="12" t="str">
        <f aca="false">IFERROR(INDEX('Semrush Data'!$A$1:$Z$20000,MATCH(A3375,'Semrush Data'!$A$1:$A$20000,0),MATCH("Volume",'Semrush Data'!$A$1:$Z$1,0)),"")</f>
        <v/>
      </c>
      <c r="H3375" s="7" t="str">
        <f aca="false">IFERROR(INDEX('Semrush Data'!$A$1:$Z$20000,MATCH(A3375,'Semrush Data'!$A$1:$A$20000,0),MATCH("Keyword Difficulty*",'Semrush Data'!$A$1:$Z$1,0)),"")</f>
        <v/>
      </c>
      <c r="I3375" s="13" t="str">
        <f aca="false">IFERROR(INDEX('Semrush Data'!$A$1:$Z$20000,MATCH(A3375,'Semrush Data'!$A$1:$A$20000,0),MATCH("CPC*",'Semrush Data'!$A$1:$Z$1,0)),"")</f>
        <v/>
      </c>
      <c r="J3375" s="7" t="str">
        <f aca="false">IFERROR(INDEX('Semrush Data'!$A$1:$Z$20000,MATCH(A3375,'Semrush Data'!$A$1:$A$20000,0),MATCH("Intent",'Semrush Data'!$A$1:$Z$1,0)),"")</f>
        <v/>
      </c>
    </row>
    <row r="3376" customFormat="false" ht="15" hidden="false" customHeight="true" outlineLevel="0" collapsed="false">
      <c r="A3376" s="7" t="s">
        <v>2308</v>
      </c>
      <c r="B3376" s="7" t="s">
        <v>1356</v>
      </c>
      <c r="C3376" s="7" t="n">
        <v>3</v>
      </c>
      <c r="D3376" s="7" t="n">
        <v>34</v>
      </c>
      <c r="E3376" s="7" t="n">
        <v>1</v>
      </c>
      <c r="F3376" s="7" t="s">
        <v>1260</v>
      </c>
      <c r="G3376" s="12" t="str">
        <f aca="false">IFERROR(INDEX('Semrush Data'!$A$1:$Z$20000,MATCH(A3376,'Semrush Data'!$A$1:$A$20000,0),MATCH("Volume",'Semrush Data'!$A$1:$Z$1,0)),"")</f>
        <v/>
      </c>
      <c r="H3376" s="7" t="str">
        <f aca="false">IFERROR(INDEX('Semrush Data'!$A$1:$Z$20000,MATCH(A3376,'Semrush Data'!$A$1:$A$20000,0),MATCH("Keyword Difficulty*",'Semrush Data'!$A$1:$Z$1,0)),"")</f>
        <v/>
      </c>
      <c r="I3376" s="13" t="str">
        <f aca="false">IFERROR(INDEX('Semrush Data'!$A$1:$Z$20000,MATCH(A3376,'Semrush Data'!$A$1:$A$20000,0),MATCH("CPC*",'Semrush Data'!$A$1:$Z$1,0)),"")</f>
        <v/>
      </c>
      <c r="J3376" s="7" t="str">
        <f aca="false">IFERROR(INDEX('Semrush Data'!$A$1:$Z$20000,MATCH(A3376,'Semrush Data'!$A$1:$A$20000,0),MATCH("Intent",'Semrush Data'!$A$1:$Z$1,0)),"")</f>
        <v/>
      </c>
    </row>
    <row r="3377" customFormat="false" ht="15" hidden="false" customHeight="true" outlineLevel="0" collapsed="false">
      <c r="A3377" s="7" t="s">
        <v>2332</v>
      </c>
      <c r="B3377" s="7" t="s">
        <v>1356</v>
      </c>
      <c r="C3377" s="7" t="n">
        <v>3</v>
      </c>
      <c r="D3377" s="7" t="n">
        <v>34</v>
      </c>
      <c r="E3377" s="7" t="n">
        <v>1</v>
      </c>
      <c r="F3377" s="7" t="s">
        <v>1284</v>
      </c>
      <c r="G3377" s="12" t="str">
        <f aca="false">IFERROR(INDEX('Semrush Data'!$A$1:$Z$20000,MATCH(A3377,'Semrush Data'!$A$1:$A$20000,0),MATCH("Volume",'Semrush Data'!$A$1:$Z$1,0)),"")</f>
        <v/>
      </c>
      <c r="H3377" s="7" t="str">
        <f aca="false">IFERROR(INDEX('Semrush Data'!$A$1:$Z$20000,MATCH(A3377,'Semrush Data'!$A$1:$A$20000,0),MATCH("Keyword Difficulty*",'Semrush Data'!$A$1:$Z$1,0)),"")</f>
        <v/>
      </c>
      <c r="I3377" s="13" t="str">
        <f aca="false">IFERROR(INDEX('Semrush Data'!$A$1:$Z$20000,MATCH(A3377,'Semrush Data'!$A$1:$A$20000,0),MATCH("CPC*",'Semrush Data'!$A$1:$Z$1,0)),"")</f>
        <v/>
      </c>
      <c r="J3377" s="7" t="str">
        <f aca="false">IFERROR(INDEX('Semrush Data'!$A$1:$Z$20000,MATCH(A3377,'Semrush Data'!$A$1:$A$20000,0),MATCH("Intent",'Semrush Data'!$A$1:$Z$1,0)),"")</f>
        <v/>
      </c>
    </row>
    <row r="3378" customFormat="false" ht="15" hidden="false" customHeight="true" outlineLevel="0" collapsed="false">
      <c r="A3378" s="7" t="s">
        <v>2297</v>
      </c>
      <c r="B3378" s="7" t="s">
        <v>1356</v>
      </c>
      <c r="C3378" s="7" t="n">
        <v>3</v>
      </c>
      <c r="D3378" s="7" t="n">
        <v>34</v>
      </c>
      <c r="E3378" s="7" t="n">
        <v>1</v>
      </c>
      <c r="F3378" s="7" t="s">
        <v>1248</v>
      </c>
      <c r="G3378" s="12" t="str">
        <f aca="false">IFERROR(INDEX('Semrush Data'!$A$1:$Z$20000,MATCH(A3378,'Semrush Data'!$A$1:$A$20000,0),MATCH("Volume",'Semrush Data'!$A$1:$Z$1,0)),"")</f>
        <v/>
      </c>
      <c r="H3378" s="7" t="str">
        <f aca="false">IFERROR(INDEX('Semrush Data'!$A$1:$Z$20000,MATCH(A3378,'Semrush Data'!$A$1:$A$20000,0),MATCH("Keyword Difficulty*",'Semrush Data'!$A$1:$Z$1,0)),"")</f>
        <v/>
      </c>
      <c r="I3378" s="13" t="str">
        <f aca="false">IFERROR(INDEX('Semrush Data'!$A$1:$Z$20000,MATCH(A3378,'Semrush Data'!$A$1:$A$20000,0),MATCH("CPC*",'Semrush Data'!$A$1:$Z$1,0)),"")</f>
        <v/>
      </c>
      <c r="J3378" s="7" t="str">
        <f aca="false">IFERROR(INDEX('Semrush Data'!$A$1:$Z$20000,MATCH(A3378,'Semrush Data'!$A$1:$A$20000,0),MATCH("Intent",'Semrush Data'!$A$1:$Z$1,0)),"")</f>
        <v/>
      </c>
    </row>
    <row r="3379" customFormat="false" ht="15" hidden="false" customHeight="true" outlineLevel="0" collapsed="false">
      <c r="A3379" s="7" t="s">
        <v>2303</v>
      </c>
      <c r="B3379" s="7" t="s">
        <v>1356</v>
      </c>
      <c r="C3379" s="7" t="n">
        <v>3</v>
      </c>
      <c r="D3379" s="7" t="n">
        <v>34</v>
      </c>
      <c r="E3379" s="7" t="n">
        <v>1</v>
      </c>
      <c r="F3379" s="7" t="s">
        <v>1254</v>
      </c>
      <c r="G3379" s="12" t="str">
        <f aca="false">IFERROR(INDEX('Semrush Data'!$A$1:$Z$20000,MATCH(A3379,'Semrush Data'!$A$1:$A$20000,0),MATCH("Volume",'Semrush Data'!$A$1:$Z$1,0)),"")</f>
        <v/>
      </c>
      <c r="H3379" s="7" t="str">
        <f aca="false">IFERROR(INDEX('Semrush Data'!$A$1:$Z$20000,MATCH(A3379,'Semrush Data'!$A$1:$A$20000,0),MATCH("Keyword Difficulty*",'Semrush Data'!$A$1:$Z$1,0)),"")</f>
        <v/>
      </c>
      <c r="I3379" s="13" t="str">
        <f aca="false">IFERROR(INDEX('Semrush Data'!$A$1:$Z$20000,MATCH(A3379,'Semrush Data'!$A$1:$A$20000,0),MATCH("CPC*",'Semrush Data'!$A$1:$Z$1,0)),"")</f>
        <v/>
      </c>
      <c r="J3379" s="7" t="str">
        <f aca="false">IFERROR(INDEX('Semrush Data'!$A$1:$Z$20000,MATCH(A3379,'Semrush Data'!$A$1:$A$20000,0),MATCH("Intent",'Semrush Data'!$A$1:$Z$1,0)),"")</f>
        <v/>
      </c>
    </row>
    <row r="3380" customFormat="false" ht="15" hidden="false" customHeight="true" outlineLevel="0" collapsed="false">
      <c r="A3380" s="7" t="s">
        <v>1967</v>
      </c>
      <c r="B3380" s="7" t="s">
        <v>1356</v>
      </c>
      <c r="C3380" s="7" t="n">
        <v>3</v>
      </c>
      <c r="D3380" s="7" t="n">
        <v>34</v>
      </c>
      <c r="E3380" s="7" t="n">
        <v>1</v>
      </c>
      <c r="F3380" s="7" t="s">
        <v>918</v>
      </c>
      <c r="G3380" s="12" t="str">
        <f aca="false">IFERROR(INDEX('Semrush Data'!$A$1:$Z$20000,MATCH(A3380,'Semrush Data'!$A$1:$A$20000,0),MATCH("Volume",'Semrush Data'!$A$1:$Z$1,0)),"")</f>
        <v/>
      </c>
      <c r="H3380" s="7" t="str">
        <f aca="false">IFERROR(INDEX('Semrush Data'!$A$1:$Z$20000,MATCH(A3380,'Semrush Data'!$A$1:$A$20000,0),MATCH("Keyword Difficulty*",'Semrush Data'!$A$1:$Z$1,0)),"")</f>
        <v/>
      </c>
      <c r="I3380" s="13" t="str">
        <f aca="false">IFERROR(INDEX('Semrush Data'!$A$1:$Z$20000,MATCH(A3380,'Semrush Data'!$A$1:$A$20000,0),MATCH("CPC*",'Semrush Data'!$A$1:$Z$1,0)),"")</f>
        <v/>
      </c>
      <c r="J3380" s="7" t="str">
        <f aca="false">IFERROR(INDEX('Semrush Data'!$A$1:$Z$20000,MATCH(A3380,'Semrush Data'!$A$1:$A$20000,0),MATCH("Intent",'Semrush Data'!$A$1:$Z$1,0)),"")</f>
        <v/>
      </c>
    </row>
    <row r="3381" customFormat="false" ht="15" hidden="false" customHeight="true" outlineLevel="0" collapsed="false">
      <c r="A3381" s="7" t="s">
        <v>2273</v>
      </c>
      <c r="B3381" s="7" t="s">
        <v>1356</v>
      </c>
      <c r="C3381" s="7" t="n">
        <v>3</v>
      </c>
      <c r="D3381" s="7" t="n">
        <v>34</v>
      </c>
      <c r="E3381" s="7" t="n">
        <v>1</v>
      </c>
      <c r="F3381" s="7" t="s">
        <v>1224</v>
      </c>
      <c r="G3381" s="12" t="str">
        <f aca="false">IFERROR(INDEX('Semrush Data'!$A$1:$Z$20000,MATCH(A3381,'Semrush Data'!$A$1:$A$20000,0),MATCH("Volume",'Semrush Data'!$A$1:$Z$1,0)),"")</f>
        <v/>
      </c>
      <c r="H3381" s="7" t="str">
        <f aca="false">IFERROR(INDEX('Semrush Data'!$A$1:$Z$20000,MATCH(A3381,'Semrush Data'!$A$1:$A$20000,0),MATCH("Keyword Difficulty*",'Semrush Data'!$A$1:$Z$1,0)),"")</f>
        <v/>
      </c>
      <c r="I3381" s="13" t="str">
        <f aca="false">IFERROR(INDEX('Semrush Data'!$A$1:$Z$20000,MATCH(A3381,'Semrush Data'!$A$1:$A$20000,0),MATCH("CPC*",'Semrush Data'!$A$1:$Z$1,0)),"")</f>
        <v/>
      </c>
      <c r="J3381" s="7" t="str">
        <f aca="false">IFERROR(INDEX('Semrush Data'!$A$1:$Z$20000,MATCH(A3381,'Semrush Data'!$A$1:$A$20000,0),MATCH("Intent",'Semrush Data'!$A$1:$Z$1,0)),"")</f>
        <v/>
      </c>
    </row>
    <row r="3382" customFormat="false" ht="15" hidden="false" customHeight="true" outlineLevel="0" collapsed="false">
      <c r="A3382" s="7" t="s">
        <v>2088</v>
      </c>
      <c r="B3382" s="7" t="s">
        <v>1356</v>
      </c>
      <c r="C3382" s="7" t="n">
        <v>3</v>
      </c>
      <c r="D3382" s="7" t="n">
        <v>34</v>
      </c>
      <c r="E3382" s="7" t="n">
        <v>1</v>
      </c>
      <c r="F3382" s="7" t="s">
        <v>1037</v>
      </c>
      <c r="G3382" s="12" t="str">
        <f aca="false">IFERROR(INDEX('Semrush Data'!$A$1:$Z$20000,MATCH(A3382,'Semrush Data'!$A$1:$A$20000,0),MATCH("Volume",'Semrush Data'!$A$1:$Z$1,0)),"")</f>
        <v/>
      </c>
      <c r="H3382" s="7" t="str">
        <f aca="false">IFERROR(INDEX('Semrush Data'!$A$1:$Z$20000,MATCH(A3382,'Semrush Data'!$A$1:$A$20000,0),MATCH("Keyword Difficulty*",'Semrush Data'!$A$1:$Z$1,0)),"")</f>
        <v/>
      </c>
      <c r="I3382" s="13" t="str">
        <f aca="false">IFERROR(INDEX('Semrush Data'!$A$1:$Z$20000,MATCH(A3382,'Semrush Data'!$A$1:$A$20000,0),MATCH("CPC*",'Semrush Data'!$A$1:$Z$1,0)),"")</f>
        <v/>
      </c>
      <c r="J3382" s="7" t="str">
        <f aca="false">IFERROR(INDEX('Semrush Data'!$A$1:$Z$20000,MATCH(A3382,'Semrush Data'!$A$1:$A$20000,0),MATCH("Intent",'Semrush Data'!$A$1:$Z$1,0)),"")</f>
        <v/>
      </c>
    </row>
    <row r="3383" customFormat="false" ht="15" hidden="false" customHeight="true" outlineLevel="0" collapsed="false">
      <c r="A3383" s="7" t="s">
        <v>2356</v>
      </c>
      <c r="B3383" s="7" t="s">
        <v>1356</v>
      </c>
      <c r="C3383" s="7" t="n">
        <v>3</v>
      </c>
      <c r="D3383" s="7" t="n">
        <v>34</v>
      </c>
      <c r="E3383" s="7" t="n">
        <v>1</v>
      </c>
      <c r="F3383" s="7" t="s">
        <v>1309</v>
      </c>
      <c r="G3383" s="12" t="str">
        <f aca="false">IFERROR(INDEX('Semrush Data'!$A$1:$Z$20000,MATCH(A3383,'Semrush Data'!$A$1:$A$20000,0),MATCH("Volume",'Semrush Data'!$A$1:$Z$1,0)),"")</f>
        <v/>
      </c>
      <c r="H3383" s="7" t="str">
        <f aca="false">IFERROR(INDEX('Semrush Data'!$A$1:$Z$20000,MATCH(A3383,'Semrush Data'!$A$1:$A$20000,0),MATCH("Keyword Difficulty*",'Semrush Data'!$A$1:$Z$1,0)),"")</f>
        <v/>
      </c>
      <c r="I3383" s="13" t="str">
        <f aca="false">IFERROR(INDEX('Semrush Data'!$A$1:$Z$20000,MATCH(A3383,'Semrush Data'!$A$1:$A$20000,0),MATCH("CPC*",'Semrush Data'!$A$1:$Z$1,0)),"")</f>
        <v/>
      </c>
      <c r="J3383" s="7" t="str">
        <f aca="false">IFERROR(INDEX('Semrush Data'!$A$1:$Z$20000,MATCH(A3383,'Semrush Data'!$A$1:$A$20000,0),MATCH("Intent",'Semrush Data'!$A$1:$Z$1,0)),"")</f>
        <v/>
      </c>
    </row>
    <row r="3384" customFormat="false" ht="15" hidden="false" customHeight="true" outlineLevel="0" collapsed="false">
      <c r="A3384" s="7" t="s">
        <v>2055</v>
      </c>
      <c r="B3384" s="7" t="s">
        <v>1356</v>
      </c>
      <c r="C3384" s="7" t="n">
        <v>3</v>
      </c>
      <c r="D3384" s="7" t="n">
        <v>34</v>
      </c>
      <c r="E3384" s="7" t="n">
        <v>1</v>
      </c>
      <c r="F3384" s="7" t="s">
        <v>1006</v>
      </c>
      <c r="G3384" s="12" t="str">
        <f aca="false">IFERROR(INDEX('Semrush Data'!$A$1:$Z$20000,MATCH(A3384,'Semrush Data'!$A$1:$A$20000,0),MATCH("Volume",'Semrush Data'!$A$1:$Z$1,0)),"")</f>
        <v/>
      </c>
      <c r="H3384" s="7" t="str">
        <f aca="false">IFERROR(INDEX('Semrush Data'!$A$1:$Z$20000,MATCH(A3384,'Semrush Data'!$A$1:$A$20000,0),MATCH("Keyword Difficulty*",'Semrush Data'!$A$1:$Z$1,0)),"")</f>
        <v/>
      </c>
      <c r="I3384" s="13" t="str">
        <f aca="false">IFERROR(INDEX('Semrush Data'!$A$1:$Z$20000,MATCH(A3384,'Semrush Data'!$A$1:$A$20000,0),MATCH("CPC*",'Semrush Data'!$A$1:$Z$1,0)),"")</f>
        <v/>
      </c>
      <c r="J3384" s="7" t="str">
        <f aca="false">IFERROR(INDEX('Semrush Data'!$A$1:$Z$20000,MATCH(A3384,'Semrush Data'!$A$1:$A$20000,0),MATCH("Intent",'Semrush Data'!$A$1:$Z$1,0)),"")</f>
        <v/>
      </c>
    </row>
    <row r="3385" customFormat="false" ht="15" hidden="false" customHeight="true" outlineLevel="0" collapsed="false">
      <c r="A3385" s="7" t="s">
        <v>2242</v>
      </c>
      <c r="B3385" s="7" t="s">
        <v>1356</v>
      </c>
      <c r="C3385" s="7" t="n">
        <v>3</v>
      </c>
      <c r="D3385" s="7" t="n">
        <v>34</v>
      </c>
      <c r="E3385" s="7" t="n">
        <v>1</v>
      </c>
      <c r="F3385" s="7" t="s">
        <v>1194</v>
      </c>
      <c r="G3385" s="12" t="str">
        <f aca="false">IFERROR(INDEX('Semrush Data'!$A$1:$Z$20000,MATCH(A3385,'Semrush Data'!$A$1:$A$20000,0),MATCH("Volume",'Semrush Data'!$A$1:$Z$1,0)),"")</f>
        <v/>
      </c>
      <c r="H3385" s="7" t="str">
        <f aca="false">IFERROR(INDEX('Semrush Data'!$A$1:$Z$20000,MATCH(A3385,'Semrush Data'!$A$1:$A$20000,0),MATCH("Keyword Difficulty*",'Semrush Data'!$A$1:$Z$1,0)),"")</f>
        <v/>
      </c>
      <c r="I3385" s="13" t="str">
        <f aca="false">IFERROR(INDEX('Semrush Data'!$A$1:$Z$20000,MATCH(A3385,'Semrush Data'!$A$1:$A$20000,0),MATCH("CPC*",'Semrush Data'!$A$1:$Z$1,0)),"")</f>
        <v/>
      </c>
      <c r="J3385" s="7" t="str">
        <f aca="false">IFERROR(INDEX('Semrush Data'!$A$1:$Z$20000,MATCH(A3385,'Semrush Data'!$A$1:$A$20000,0),MATCH("Intent",'Semrush Data'!$A$1:$Z$1,0)),"")</f>
        <v/>
      </c>
    </row>
    <row r="3386" customFormat="false" ht="15" hidden="false" customHeight="true" outlineLevel="0" collapsed="false">
      <c r="A3386" s="7" t="s">
        <v>2081</v>
      </c>
      <c r="B3386" s="7" t="s">
        <v>1356</v>
      </c>
      <c r="C3386" s="7" t="n">
        <v>3</v>
      </c>
      <c r="D3386" s="7" t="n">
        <v>34</v>
      </c>
      <c r="E3386" s="7" t="n">
        <v>1</v>
      </c>
      <c r="F3386" s="7" t="s">
        <v>1031</v>
      </c>
      <c r="G3386" s="12" t="str">
        <f aca="false">IFERROR(INDEX('Semrush Data'!$A$1:$Z$20000,MATCH(A3386,'Semrush Data'!$A$1:$A$20000,0),MATCH("Volume",'Semrush Data'!$A$1:$Z$1,0)),"")</f>
        <v/>
      </c>
      <c r="H3386" s="7" t="str">
        <f aca="false">IFERROR(INDEX('Semrush Data'!$A$1:$Z$20000,MATCH(A3386,'Semrush Data'!$A$1:$A$20000,0),MATCH("Keyword Difficulty*",'Semrush Data'!$A$1:$Z$1,0)),"")</f>
        <v/>
      </c>
      <c r="I3386" s="13" t="str">
        <f aca="false">IFERROR(INDEX('Semrush Data'!$A$1:$Z$20000,MATCH(A3386,'Semrush Data'!$A$1:$A$20000,0),MATCH("CPC*",'Semrush Data'!$A$1:$Z$1,0)),"")</f>
        <v/>
      </c>
      <c r="J3386" s="7" t="str">
        <f aca="false">IFERROR(INDEX('Semrush Data'!$A$1:$Z$20000,MATCH(A3386,'Semrush Data'!$A$1:$A$20000,0),MATCH("Intent",'Semrush Data'!$A$1:$Z$1,0)),"")</f>
        <v/>
      </c>
    </row>
    <row r="3387" customFormat="false" ht="15" hidden="false" customHeight="true" outlineLevel="0" collapsed="false">
      <c r="A3387" s="7" t="s">
        <v>1994</v>
      </c>
      <c r="B3387" s="7" t="s">
        <v>1356</v>
      </c>
      <c r="C3387" s="7" t="n">
        <v>3</v>
      </c>
      <c r="D3387" s="7" t="n">
        <v>34</v>
      </c>
      <c r="E3387" s="7" t="n">
        <v>1</v>
      </c>
      <c r="F3387" s="7" t="s">
        <v>946</v>
      </c>
      <c r="G3387" s="12" t="str">
        <f aca="false">IFERROR(INDEX('Semrush Data'!$A$1:$Z$20000,MATCH(A3387,'Semrush Data'!$A$1:$A$20000,0),MATCH("Volume",'Semrush Data'!$A$1:$Z$1,0)),"")</f>
        <v/>
      </c>
      <c r="H3387" s="7" t="str">
        <f aca="false">IFERROR(INDEX('Semrush Data'!$A$1:$Z$20000,MATCH(A3387,'Semrush Data'!$A$1:$A$20000,0),MATCH("Keyword Difficulty*",'Semrush Data'!$A$1:$Z$1,0)),"")</f>
        <v/>
      </c>
      <c r="I3387" s="13" t="str">
        <f aca="false">IFERROR(INDEX('Semrush Data'!$A$1:$Z$20000,MATCH(A3387,'Semrush Data'!$A$1:$A$20000,0),MATCH("CPC*",'Semrush Data'!$A$1:$Z$1,0)),"")</f>
        <v/>
      </c>
      <c r="J3387" s="7" t="str">
        <f aca="false">IFERROR(INDEX('Semrush Data'!$A$1:$Z$20000,MATCH(A3387,'Semrush Data'!$A$1:$A$20000,0),MATCH("Intent",'Semrush Data'!$A$1:$Z$1,0)),"")</f>
        <v/>
      </c>
    </row>
    <row r="3388" customFormat="false" ht="15" hidden="false" customHeight="true" outlineLevel="0" collapsed="false">
      <c r="A3388" s="7" t="s">
        <v>2350</v>
      </c>
      <c r="B3388" s="7" t="s">
        <v>1356</v>
      </c>
      <c r="C3388" s="7" t="n">
        <v>3</v>
      </c>
      <c r="D3388" s="7" t="n">
        <v>34</v>
      </c>
      <c r="E3388" s="7" t="n">
        <v>1</v>
      </c>
      <c r="F3388" s="7" t="s">
        <v>1303</v>
      </c>
      <c r="G3388" s="12" t="str">
        <f aca="false">IFERROR(INDEX('Semrush Data'!$A$1:$Z$20000,MATCH(A3388,'Semrush Data'!$A$1:$A$20000,0),MATCH("Volume",'Semrush Data'!$A$1:$Z$1,0)),"")</f>
        <v/>
      </c>
      <c r="H3388" s="7" t="str">
        <f aca="false">IFERROR(INDEX('Semrush Data'!$A$1:$Z$20000,MATCH(A3388,'Semrush Data'!$A$1:$A$20000,0),MATCH("Keyword Difficulty*",'Semrush Data'!$A$1:$Z$1,0)),"")</f>
        <v/>
      </c>
      <c r="I3388" s="13" t="str">
        <f aca="false">IFERROR(INDEX('Semrush Data'!$A$1:$Z$20000,MATCH(A3388,'Semrush Data'!$A$1:$A$20000,0),MATCH("CPC*",'Semrush Data'!$A$1:$Z$1,0)),"")</f>
        <v/>
      </c>
      <c r="J3388" s="7" t="str">
        <f aca="false">IFERROR(INDEX('Semrush Data'!$A$1:$Z$20000,MATCH(A3388,'Semrush Data'!$A$1:$A$20000,0),MATCH("Intent",'Semrush Data'!$A$1:$Z$1,0)),"")</f>
        <v/>
      </c>
    </row>
    <row r="3389" customFormat="false" ht="15" hidden="false" customHeight="true" outlineLevel="0" collapsed="false">
      <c r="A3389" s="7" t="s">
        <v>2368</v>
      </c>
      <c r="B3389" s="7" t="s">
        <v>1356</v>
      </c>
      <c r="C3389" s="7" t="n">
        <v>3</v>
      </c>
      <c r="D3389" s="7" t="n">
        <v>34</v>
      </c>
      <c r="E3389" s="7" t="n">
        <v>1</v>
      </c>
      <c r="F3389" s="7" t="s">
        <v>1321</v>
      </c>
      <c r="G3389" s="12" t="str">
        <f aca="false">IFERROR(INDEX('Semrush Data'!$A$1:$Z$20000,MATCH(A3389,'Semrush Data'!$A$1:$A$20000,0),MATCH("Volume",'Semrush Data'!$A$1:$Z$1,0)),"")</f>
        <v/>
      </c>
      <c r="H3389" s="7" t="str">
        <f aca="false">IFERROR(INDEX('Semrush Data'!$A$1:$Z$20000,MATCH(A3389,'Semrush Data'!$A$1:$A$20000,0),MATCH("Keyword Difficulty*",'Semrush Data'!$A$1:$Z$1,0)),"")</f>
        <v/>
      </c>
      <c r="I3389" s="13" t="str">
        <f aca="false">IFERROR(INDEX('Semrush Data'!$A$1:$Z$20000,MATCH(A3389,'Semrush Data'!$A$1:$A$20000,0),MATCH("CPC*",'Semrush Data'!$A$1:$Z$1,0)),"")</f>
        <v/>
      </c>
      <c r="J3389" s="7" t="str">
        <f aca="false">IFERROR(INDEX('Semrush Data'!$A$1:$Z$20000,MATCH(A3389,'Semrush Data'!$A$1:$A$20000,0),MATCH("Intent",'Semrush Data'!$A$1:$Z$1,0)),"")</f>
        <v/>
      </c>
    </row>
    <row r="3390" customFormat="false" ht="15" hidden="false" customHeight="true" outlineLevel="0" collapsed="false">
      <c r="A3390" s="7" t="s">
        <v>2102</v>
      </c>
      <c r="B3390" s="7" t="s">
        <v>1356</v>
      </c>
      <c r="C3390" s="7" t="n">
        <v>3</v>
      </c>
      <c r="D3390" s="7" t="n">
        <v>34</v>
      </c>
      <c r="E3390" s="7" t="n">
        <v>1</v>
      </c>
      <c r="F3390" s="7" t="s">
        <v>1051</v>
      </c>
      <c r="G3390" s="12" t="str">
        <f aca="false">IFERROR(INDEX('Semrush Data'!$A$1:$Z$20000,MATCH(A3390,'Semrush Data'!$A$1:$A$20000,0),MATCH("Volume",'Semrush Data'!$A$1:$Z$1,0)),"")</f>
        <v/>
      </c>
      <c r="H3390" s="7" t="str">
        <f aca="false">IFERROR(INDEX('Semrush Data'!$A$1:$Z$20000,MATCH(A3390,'Semrush Data'!$A$1:$A$20000,0),MATCH("Keyword Difficulty*",'Semrush Data'!$A$1:$Z$1,0)),"")</f>
        <v/>
      </c>
      <c r="I3390" s="13" t="str">
        <f aca="false">IFERROR(INDEX('Semrush Data'!$A$1:$Z$20000,MATCH(A3390,'Semrush Data'!$A$1:$A$20000,0),MATCH("CPC*",'Semrush Data'!$A$1:$Z$1,0)),"")</f>
        <v/>
      </c>
      <c r="J3390" s="7" t="str">
        <f aca="false">IFERROR(INDEX('Semrush Data'!$A$1:$Z$20000,MATCH(A3390,'Semrush Data'!$A$1:$A$20000,0),MATCH("Intent",'Semrush Data'!$A$1:$Z$1,0)),"")</f>
        <v/>
      </c>
    </row>
    <row r="3391" customFormat="false" ht="15" hidden="false" customHeight="true" outlineLevel="0" collapsed="false">
      <c r="A3391" s="7" t="s">
        <v>1931</v>
      </c>
      <c r="B3391" s="7" t="s">
        <v>1356</v>
      </c>
      <c r="C3391" s="7" t="n">
        <v>3</v>
      </c>
      <c r="D3391" s="7" t="n">
        <v>34</v>
      </c>
      <c r="E3391" s="7" t="n">
        <v>1</v>
      </c>
      <c r="F3391" s="7" t="s">
        <v>885</v>
      </c>
      <c r="G3391" s="12" t="str">
        <f aca="false">IFERROR(INDEX('Semrush Data'!$A$1:$Z$20000,MATCH(A3391,'Semrush Data'!$A$1:$A$20000,0),MATCH("Volume",'Semrush Data'!$A$1:$Z$1,0)),"")</f>
        <v/>
      </c>
      <c r="H3391" s="7" t="str">
        <f aca="false">IFERROR(INDEX('Semrush Data'!$A$1:$Z$20000,MATCH(A3391,'Semrush Data'!$A$1:$A$20000,0),MATCH("Keyword Difficulty*",'Semrush Data'!$A$1:$Z$1,0)),"")</f>
        <v/>
      </c>
      <c r="I3391" s="13" t="str">
        <f aca="false">IFERROR(INDEX('Semrush Data'!$A$1:$Z$20000,MATCH(A3391,'Semrush Data'!$A$1:$A$20000,0),MATCH("CPC*",'Semrush Data'!$A$1:$Z$1,0)),"")</f>
        <v/>
      </c>
      <c r="J3391" s="7" t="str">
        <f aca="false">IFERROR(INDEX('Semrush Data'!$A$1:$Z$20000,MATCH(A3391,'Semrush Data'!$A$1:$A$20000,0),MATCH("Intent",'Semrush Data'!$A$1:$Z$1,0)),"")</f>
        <v/>
      </c>
    </row>
    <row r="3392" customFormat="false" ht="15" hidden="false" customHeight="true" outlineLevel="0" collapsed="false">
      <c r="A3392" s="7" t="s">
        <v>2030</v>
      </c>
      <c r="B3392" s="7" t="s">
        <v>1356</v>
      </c>
      <c r="C3392" s="7" t="n">
        <v>3</v>
      </c>
      <c r="D3392" s="7" t="n">
        <v>34</v>
      </c>
      <c r="E3392" s="7" t="n">
        <v>1</v>
      </c>
      <c r="F3392" s="7" t="s">
        <v>979</v>
      </c>
      <c r="G3392" s="12" t="str">
        <f aca="false">IFERROR(INDEX('Semrush Data'!$A$1:$Z$20000,MATCH(A3392,'Semrush Data'!$A$1:$A$20000,0),MATCH("Volume",'Semrush Data'!$A$1:$Z$1,0)),"")</f>
        <v/>
      </c>
      <c r="H3392" s="7" t="str">
        <f aca="false">IFERROR(INDEX('Semrush Data'!$A$1:$Z$20000,MATCH(A3392,'Semrush Data'!$A$1:$A$20000,0),MATCH("Keyword Difficulty*",'Semrush Data'!$A$1:$Z$1,0)),"")</f>
        <v/>
      </c>
      <c r="I3392" s="13" t="str">
        <f aca="false">IFERROR(INDEX('Semrush Data'!$A$1:$Z$20000,MATCH(A3392,'Semrush Data'!$A$1:$A$20000,0),MATCH("CPC*",'Semrush Data'!$A$1:$Z$1,0)),"")</f>
        <v/>
      </c>
      <c r="J3392" s="7" t="str">
        <f aca="false">IFERROR(INDEX('Semrush Data'!$A$1:$Z$20000,MATCH(A3392,'Semrush Data'!$A$1:$A$20000,0),MATCH("Intent",'Semrush Data'!$A$1:$Z$1,0)),"")</f>
        <v/>
      </c>
    </row>
    <row r="3393" customFormat="false" ht="15" hidden="false" customHeight="true" outlineLevel="0" collapsed="false">
      <c r="A3393" s="7" t="s">
        <v>2176</v>
      </c>
      <c r="B3393" s="7" t="s">
        <v>1356</v>
      </c>
      <c r="C3393" s="7" t="n">
        <v>3</v>
      </c>
      <c r="D3393" s="7" t="n">
        <v>34</v>
      </c>
      <c r="E3393" s="7" t="n">
        <v>1</v>
      </c>
      <c r="F3393" s="7" t="s">
        <v>1125</v>
      </c>
      <c r="G3393" s="12" t="str">
        <f aca="false">IFERROR(INDEX('Semrush Data'!$A$1:$Z$20000,MATCH(A3393,'Semrush Data'!$A$1:$A$20000,0),MATCH("Volume",'Semrush Data'!$A$1:$Z$1,0)),"")</f>
        <v/>
      </c>
      <c r="H3393" s="7" t="str">
        <f aca="false">IFERROR(INDEX('Semrush Data'!$A$1:$Z$20000,MATCH(A3393,'Semrush Data'!$A$1:$A$20000,0),MATCH("Keyword Difficulty*",'Semrush Data'!$A$1:$Z$1,0)),"")</f>
        <v/>
      </c>
      <c r="I3393" s="13" t="str">
        <f aca="false">IFERROR(INDEX('Semrush Data'!$A$1:$Z$20000,MATCH(A3393,'Semrush Data'!$A$1:$A$20000,0),MATCH("CPC*",'Semrush Data'!$A$1:$Z$1,0)),"")</f>
        <v/>
      </c>
      <c r="J3393" s="7" t="str">
        <f aca="false">IFERROR(INDEX('Semrush Data'!$A$1:$Z$20000,MATCH(A3393,'Semrush Data'!$A$1:$A$20000,0),MATCH("Intent",'Semrush Data'!$A$1:$Z$1,0)),"")</f>
        <v/>
      </c>
    </row>
    <row r="3394" customFormat="false" ht="15" hidden="false" customHeight="true" outlineLevel="0" collapsed="false">
      <c r="A3394" s="7" t="s">
        <v>1939</v>
      </c>
      <c r="B3394" s="7" t="s">
        <v>1356</v>
      </c>
      <c r="C3394" s="7" t="n">
        <v>3</v>
      </c>
      <c r="D3394" s="7" t="n">
        <v>34</v>
      </c>
      <c r="E3394" s="7" t="n">
        <v>1</v>
      </c>
      <c r="F3394" s="7" t="s">
        <v>892</v>
      </c>
      <c r="G3394" s="12" t="str">
        <f aca="false">IFERROR(INDEX('Semrush Data'!$A$1:$Z$20000,MATCH(A3394,'Semrush Data'!$A$1:$A$20000,0),MATCH("Volume",'Semrush Data'!$A$1:$Z$1,0)),"")</f>
        <v/>
      </c>
      <c r="H3394" s="7" t="str">
        <f aca="false">IFERROR(INDEX('Semrush Data'!$A$1:$Z$20000,MATCH(A3394,'Semrush Data'!$A$1:$A$20000,0),MATCH("Keyword Difficulty*",'Semrush Data'!$A$1:$Z$1,0)),"")</f>
        <v/>
      </c>
      <c r="I3394" s="13" t="str">
        <f aca="false">IFERROR(INDEX('Semrush Data'!$A$1:$Z$20000,MATCH(A3394,'Semrush Data'!$A$1:$A$20000,0),MATCH("CPC*",'Semrush Data'!$A$1:$Z$1,0)),"")</f>
        <v/>
      </c>
      <c r="J3394" s="7" t="str">
        <f aca="false">IFERROR(INDEX('Semrush Data'!$A$1:$Z$20000,MATCH(A3394,'Semrush Data'!$A$1:$A$20000,0),MATCH("Intent",'Semrush Data'!$A$1:$Z$1,0)),"")</f>
        <v/>
      </c>
    </row>
    <row r="3395" customFormat="false" ht="15" hidden="false" customHeight="true" outlineLevel="0" collapsed="false">
      <c r="A3395" s="7" t="s">
        <v>2169</v>
      </c>
      <c r="B3395" s="7" t="s">
        <v>1356</v>
      </c>
      <c r="C3395" s="7" t="n">
        <v>3</v>
      </c>
      <c r="D3395" s="7" t="n">
        <v>34</v>
      </c>
      <c r="E3395" s="7" t="n">
        <v>1</v>
      </c>
      <c r="F3395" s="7" t="s">
        <v>1118</v>
      </c>
      <c r="G3395" s="12" t="str">
        <f aca="false">IFERROR(INDEX('Semrush Data'!$A$1:$Z$20000,MATCH(A3395,'Semrush Data'!$A$1:$A$20000,0),MATCH("Volume",'Semrush Data'!$A$1:$Z$1,0)),"")</f>
        <v/>
      </c>
      <c r="H3395" s="7" t="str">
        <f aca="false">IFERROR(INDEX('Semrush Data'!$A$1:$Z$20000,MATCH(A3395,'Semrush Data'!$A$1:$A$20000,0),MATCH("Keyword Difficulty*",'Semrush Data'!$A$1:$Z$1,0)),"")</f>
        <v/>
      </c>
      <c r="I3395" s="13" t="str">
        <f aca="false">IFERROR(INDEX('Semrush Data'!$A$1:$Z$20000,MATCH(A3395,'Semrush Data'!$A$1:$A$20000,0),MATCH("CPC*",'Semrush Data'!$A$1:$Z$1,0)),"")</f>
        <v/>
      </c>
      <c r="J3395" s="7" t="str">
        <f aca="false">IFERROR(INDEX('Semrush Data'!$A$1:$Z$20000,MATCH(A3395,'Semrush Data'!$A$1:$A$20000,0),MATCH("Intent",'Semrush Data'!$A$1:$Z$1,0)),"")</f>
        <v/>
      </c>
    </row>
    <row r="3396" customFormat="false" ht="15" hidden="false" customHeight="true" outlineLevel="0" collapsed="false">
      <c r="A3396" s="7" t="s">
        <v>2116</v>
      </c>
      <c r="B3396" s="7" t="s">
        <v>1356</v>
      </c>
      <c r="C3396" s="7" t="n">
        <v>3</v>
      </c>
      <c r="D3396" s="7" t="n">
        <v>34</v>
      </c>
      <c r="E3396" s="7" t="n">
        <v>1</v>
      </c>
      <c r="F3396" s="7" t="s">
        <v>1063</v>
      </c>
      <c r="G3396" s="12" t="str">
        <f aca="false">IFERROR(INDEX('Semrush Data'!$A$1:$Z$20000,MATCH(A3396,'Semrush Data'!$A$1:$A$20000,0),MATCH("Volume",'Semrush Data'!$A$1:$Z$1,0)),"")</f>
        <v/>
      </c>
      <c r="H3396" s="7" t="str">
        <f aca="false">IFERROR(INDEX('Semrush Data'!$A$1:$Z$20000,MATCH(A3396,'Semrush Data'!$A$1:$A$20000,0),MATCH("Keyword Difficulty*",'Semrush Data'!$A$1:$Z$1,0)),"")</f>
        <v/>
      </c>
      <c r="I3396" s="13" t="str">
        <f aca="false">IFERROR(INDEX('Semrush Data'!$A$1:$Z$20000,MATCH(A3396,'Semrush Data'!$A$1:$A$20000,0),MATCH("CPC*",'Semrush Data'!$A$1:$Z$1,0)),"")</f>
        <v/>
      </c>
      <c r="J3396" s="7" t="str">
        <f aca="false">IFERROR(INDEX('Semrush Data'!$A$1:$Z$20000,MATCH(A3396,'Semrush Data'!$A$1:$A$20000,0),MATCH("Intent",'Semrush Data'!$A$1:$Z$1,0)),"")</f>
        <v/>
      </c>
    </row>
    <row r="3397" customFormat="false" ht="15" hidden="false" customHeight="true" outlineLevel="0" collapsed="false">
      <c r="A3397" s="7" t="s">
        <v>2182</v>
      </c>
      <c r="B3397" s="7" t="s">
        <v>1356</v>
      </c>
      <c r="C3397" s="7" t="n">
        <v>3</v>
      </c>
      <c r="D3397" s="7" t="n">
        <v>34</v>
      </c>
      <c r="E3397" s="7" t="n">
        <v>1</v>
      </c>
      <c r="F3397" s="7" t="s">
        <v>1132</v>
      </c>
      <c r="G3397" s="12" t="str">
        <f aca="false">IFERROR(INDEX('Semrush Data'!$A$1:$Z$20000,MATCH(A3397,'Semrush Data'!$A$1:$A$20000,0),MATCH("Volume",'Semrush Data'!$A$1:$Z$1,0)),"")</f>
        <v/>
      </c>
      <c r="H3397" s="7" t="str">
        <f aca="false">IFERROR(INDEX('Semrush Data'!$A$1:$Z$20000,MATCH(A3397,'Semrush Data'!$A$1:$A$20000,0),MATCH("Keyword Difficulty*",'Semrush Data'!$A$1:$Z$1,0)),"")</f>
        <v/>
      </c>
      <c r="I3397" s="13" t="str">
        <f aca="false">IFERROR(INDEX('Semrush Data'!$A$1:$Z$20000,MATCH(A3397,'Semrush Data'!$A$1:$A$20000,0),MATCH("CPC*",'Semrush Data'!$A$1:$Z$1,0)),"")</f>
        <v/>
      </c>
      <c r="J3397" s="7" t="str">
        <f aca="false">IFERROR(INDEX('Semrush Data'!$A$1:$Z$20000,MATCH(A3397,'Semrush Data'!$A$1:$A$20000,0),MATCH("Intent",'Semrush Data'!$A$1:$Z$1,0)),"")</f>
        <v/>
      </c>
    </row>
    <row r="3398" customFormat="false" ht="15" hidden="false" customHeight="true" outlineLevel="0" collapsed="false">
      <c r="A3398" s="7" t="s">
        <v>1954</v>
      </c>
      <c r="B3398" s="7" t="s">
        <v>1356</v>
      </c>
      <c r="C3398" s="7" t="n">
        <v>3</v>
      </c>
      <c r="D3398" s="7" t="n">
        <v>34</v>
      </c>
      <c r="E3398" s="7" t="n">
        <v>1</v>
      </c>
      <c r="F3398" s="7" t="s">
        <v>905</v>
      </c>
      <c r="G3398" s="12" t="str">
        <f aca="false">IFERROR(INDEX('Semrush Data'!$A$1:$Z$20000,MATCH(A3398,'Semrush Data'!$A$1:$A$20000,0),MATCH("Volume",'Semrush Data'!$A$1:$Z$1,0)),"")</f>
        <v/>
      </c>
      <c r="H3398" s="7" t="str">
        <f aca="false">IFERROR(INDEX('Semrush Data'!$A$1:$Z$20000,MATCH(A3398,'Semrush Data'!$A$1:$A$20000,0),MATCH("Keyword Difficulty*",'Semrush Data'!$A$1:$Z$1,0)),"")</f>
        <v/>
      </c>
      <c r="I3398" s="13" t="str">
        <f aca="false">IFERROR(INDEX('Semrush Data'!$A$1:$Z$20000,MATCH(A3398,'Semrush Data'!$A$1:$A$20000,0),MATCH("CPC*",'Semrush Data'!$A$1:$Z$1,0)),"")</f>
        <v/>
      </c>
      <c r="J3398" s="7" t="str">
        <f aca="false">IFERROR(INDEX('Semrush Data'!$A$1:$Z$20000,MATCH(A3398,'Semrush Data'!$A$1:$A$20000,0),MATCH("Intent",'Semrush Data'!$A$1:$Z$1,0)),"")</f>
        <v/>
      </c>
    </row>
    <row r="3399" customFormat="false" ht="15" hidden="false" customHeight="true" outlineLevel="0" collapsed="false">
      <c r="A3399" s="7" t="s">
        <v>2123</v>
      </c>
      <c r="B3399" s="7" t="s">
        <v>1356</v>
      </c>
      <c r="C3399" s="7" t="n">
        <v>3</v>
      </c>
      <c r="D3399" s="7" t="n">
        <v>34</v>
      </c>
      <c r="E3399" s="7" t="n">
        <v>2</v>
      </c>
      <c r="F3399" s="7" t="s">
        <v>6727</v>
      </c>
      <c r="G3399" s="12" t="str">
        <f aca="false">IFERROR(INDEX('Semrush Data'!$A$1:$Z$20000,MATCH(A3399,'Semrush Data'!$A$1:$A$20000,0),MATCH("Volume",'Semrush Data'!$A$1:$Z$1,0)),"")</f>
        <v/>
      </c>
      <c r="H3399" s="7" t="str">
        <f aca="false">IFERROR(INDEX('Semrush Data'!$A$1:$Z$20000,MATCH(A3399,'Semrush Data'!$A$1:$A$20000,0),MATCH("Keyword Difficulty*",'Semrush Data'!$A$1:$Z$1,0)),"")</f>
        <v/>
      </c>
      <c r="I3399" s="13" t="str">
        <f aca="false">IFERROR(INDEX('Semrush Data'!$A$1:$Z$20000,MATCH(A3399,'Semrush Data'!$A$1:$A$20000,0),MATCH("CPC*",'Semrush Data'!$A$1:$Z$1,0)),"")</f>
        <v/>
      </c>
      <c r="J3399" s="7" t="str">
        <f aca="false">IFERROR(INDEX('Semrush Data'!$A$1:$Z$20000,MATCH(A3399,'Semrush Data'!$A$1:$A$20000,0),MATCH("Intent",'Semrush Data'!$A$1:$Z$1,0)),"")</f>
        <v/>
      </c>
    </row>
    <row r="3400" customFormat="false" ht="15" hidden="false" customHeight="true" outlineLevel="0" collapsed="false">
      <c r="A3400" s="7" t="s">
        <v>1961</v>
      </c>
      <c r="B3400" s="7" t="s">
        <v>1356</v>
      </c>
      <c r="C3400" s="7" t="n">
        <v>3</v>
      </c>
      <c r="D3400" s="7" t="n">
        <v>34</v>
      </c>
      <c r="E3400" s="7" t="n">
        <v>1</v>
      </c>
      <c r="F3400" s="7" t="s">
        <v>911</v>
      </c>
      <c r="G3400" s="12" t="str">
        <f aca="false">IFERROR(INDEX('Semrush Data'!$A$1:$Z$20000,MATCH(A3400,'Semrush Data'!$A$1:$A$20000,0),MATCH("Volume",'Semrush Data'!$A$1:$Z$1,0)),"")</f>
        <v/>
      </c>
      <c r="H3400" s="7" t="str">
        <f aca="false">IFERROR(INDEX('Semrush Data'!$A$1:$Z$20000,MATCH(A3400,'Semrush Data'!$A$1:$A$20000,0),MATCH("Keyword Difficulty*",'Semrush Data'!$A$1:$Z$1,0)),"")</f>
        <v/>
      </c>
      <c r="I3400" s="13" t="str">
        <f aca="false">IFERROR(INDEX('Semrush Data'!$A$1:$Z$20000,MATCH(A3400,'Semrush Data'!$A$1:$A$20000,0),MATCH("CPC*",'Semrush Data'!$A$1:$Z$1,0)),"")</f>
        <v/>
      </c>
      <c r="J3400" s="7" t="str">
        <f aca="false">IFERROR(INDEX('Semrush Data'!$A$1:$Z$20000,MATCH(A3400,'Semrush Data'!$A$1:$A$20000,0),MATCH("Intent",'Semrush Data'!$A$1:$Z$1,0)),"")</f>
        <v/>
      </c>
    </row>
    <row r="3401" customFormat="false" ht="15" hidden="false" customHeight="true" outlineLevel="0" collapsed="false">
      <c r="A3401" s="7" t="s">
        <v>2075</v>
      </c>
      <c r="B3401" s="7" t="s">
        <v>1356</v>
      </c>
      <c r="C3401" s="7" t="n">
        <v>3</v>
      </c>
      <c r="D3401" s="7" t="n">
        <v>34</v>
      </c>
      <c r="E3401" s="7" t="n">
        <v>1</v>
      </c>
      <c r="F3401" s="7" t="s">
        <v>1025</v>
      </c>
      <c r="G3401" s="12" t="str">
        <f aca="false">IFERROR(INDEX('Semrush Data'!$A$1:$Z$20000,MATCH(A3401,'Semrush Data'!$A$1:$A$20000,0),MATCH("Volume",'Semrush Data'!$A$1:$Z$1,0)),"")</f>
        <v/>
      </c>
      <c r="H3401" s="7" t="str">
        <f aca="false">IFERROR(INDEX('Semrush Data'!$A$1:$Z$20000,MATCH(A3401,'Semrush Data'!$A$1:$A$20000,0),MATCH("Keyword Difficulty*",'Semrush Data'!$A$1:$Z$1,0)),"")</f>
        <v/>
      </c>
      <c r="I3401" s="13" t="str">
        <f aca="false">IFERROR(INDEX('Semrush Data'!$A$1:$Z$20000,MATCH(A3401,'Semrush Data'!$A$1:$A$20000,0),MATCH("CPC*",'Semrush Data'!$A$1:$Z$1,0)),"")</f>
        <v/>
      </c>
      <c r="J3401" s="7" t="str">
        <f aca="false">IFERROR(INDEX('Semrush Data'!$A$1:$Z$20000,MATCH(A3401,'Semrush Data'!$A$1:$A$20000,0),MATCH("Intent",'Semrush Data'!$A$1:$Z$1,0)),"")</f>
        <v/>
      </c>
    </row>
    <row r="3402" customFormat="false" ht="15" hidden="false" customHeight="true" outlineLevel="0" collapsed="false">
      <c r="A3402" s="7" t="s">
        <v>2320</v>
      </c>
      <c r="B3402" s="7" t="s">
        <v>1356</v>
      </c>
      <c r="C3402" s="7" t="n">
        <v>3</v>
      </c>
      <c r="D3402" s="7" t="n">
        <v>35</v>
      </c>
      <c r="E3402" s="7" t="n">
        <v>1</v>
      </c>
      <c r="F3402" s="7" t="s">
        <v>1272</v>
      </c>
      <c r="G3402" s="12" t="str">
        <f aca="false">IFERROR(INDEX('Semrush Data'!$A$1:$Z$20000,MATCH(A3402,'Semrush Data'!$A$1:$A$20000,0),MATCH("Volume",'Semrush Data'!$A$1:$Z$1,0)),"")</f>
        <v/>
      </c>
      <c r="H3402" s="7" t="str">
        <f aca="false">IFERROR(INDEX('Semrush Data'!$A$1:$Z$20000,MATCH(A3402,'Semrush Data'!$A$1:$A$20000,0),MATCH("Keyword Difficulty*",'Semrush Data'!$A$1:$Z$1,0)),"")</f>
        <v/>
      </c>
      <c r="I3402" s="13" t="str">
        <f aca="false">IFERROR(INDEX('Semrush Data'!$A$1:$Z$20000,MATCH(A3402,'Semrush Data'!$A$1:$A$20000,0),MATCH("CPC*",'Semrush Data'!$A$1:$Z$1,0)),"")</f>
        <v/>
      </c>
      <c r="J3402" s="7" t="str">
        <f aca="false">IFERROR(INDEX('Semrush Data'!$A$1:$Z$20000,MATCH(A3402,'Semrush Data'!$A$1:$A$20000,0),MATCH("Intent",'Semrush Data'!$A$1:$Z$1,0)),"")</f>
        <v/>
      </c>
    </row>
    <row r="3403" customFormat="false" ht="15" hidden="false" customHeight="true" outlineLevel="0" collapsed="false">
      <c r="A3403" s="7" t="s">
        <v>2069</v>
      </c>
      <c r="B3403" s="7" t="s">
        <v>1356</v>
      </c>
      <c r="C3403" s="7" t="n">
        <v>3</v>
      </c>
      <c r="D3403" s="7" t="n">
        <v>35</v>
      </c>
      <c r="E3403" s="7" t="n">
        <v>1</v>
      </c>
      <c r="F3403" s="7" t="s">
        <v>1019</v>
      </c>
      <c r="G3403" s="12" t="str">
        <f aca="false">IFERROR(INDEX('Semrush Data'!$A$1:$Z$20000,MATCH(A3403,'Semrush Data'!$A$1:$A$20000,0),MATCH("Volume",'Semrush Data'!$A$1:$Z$1,0)),"")</f>
        <v/>
      </c>
      <c r="H3403" s="7" t="str">
        <f aca="false">IFERROR(INDEX('Semrush Data'!$A$1:$Z$20000,MATCH(A3403,'Semrush Data'!$A$1:$A$20000,0),MATCH("Keyword Difficulty*",'Semrush Data'!$A$1:$Z$1,0)),"")</f>
        <v/>
      </c>
      <c r="I3403" s="13" t="str">
        <f aca="false">IFERROR(INDEX('Semrush Data'!$A$1:$Z$20000,MATCH(A3403,'Semrush Data'!$A$1:$A$20000,0),MATCH("CPC*",'Semrush Data'!$A$1:$Z$1,0)),"")</f>
        <v/>
      </c>
      <c r="J3403" s="7" t="str">
        <f aca="false">IFERROR(INDEX('Semrush Data'!$A$1:$Z$20000,MATCH(A3403,'Semrush Data'!$A$1:$A$20000,0),MATCH("Intent",'Semrush Data'!$A$1:$Z$1,0)),"")</f>
        <v/>
      </c>
    </row>
    <row r="3404" customFormat="false" ht="15" hidden="false" customHeight="true" outlineLevel="0" collapsed="false">
      <c r="A3404" s="7" t="s">
        <v>2248</v>
      </c>
      <c r="B3404" s="7" t="s">
        <v>1356</v>
      </c>
      <c r="C3404" s="7" t="n">
        <v>3</v>
      </c>
      <c r="D3404" s="7" t="n">
        <v>35</v>
      </c>
      <c r="E3404" s="7" t="n">
        <v>1</v>
      </c>
      <c r="F3404" s="7" t="s">
        <v>1200</v>
      </c>
      <c r="G3404" s="12" t="str">
        <f aca="false">IFERROR(INDEX('Semrush Data'!$A$1:$Z$20000,MATCH(A3404,'Semrush Data'!$A$1:$A$20000,0),MATCH("Volume",'Semrush Data'!$A$1:$Z$1,0)),"")</f>
        <v/>
      </c>
      <c r="H3404" s="7" t="str">
        <f aca="false">IFERROR(INDEX('Semrush Data'!$A$1:$Z$20000,MATCH(A3404,'Semrush Data'!$A$1:$A$20000,0),MATCH("Keyword Difficulty*",'Semrush Data'!$A$1:$Z$1,0)),"")</f>
        <v/>
      </c>
      <c r="I3404" s="13" t="str">
        <f aca="false">IFERROR(INDEX('Semrush Data'!$A$1:$Z$20000,MATCH(A3404,'Semrush Data'!$A$1:$A$20000,0),MATCH("CPC*",'Semrush Data'!$A$1:$Z$1,0)),"")</f>
        <v/>
      </c>
      <c r="J3404" s="7" t="str">
        <f aca="false">IFERROR(INDEX('Semrush Data'!$A$1:$Z$20000,MATCH(A3404,'Semrush Data'!$A$1:$A$20000,0),MATCH("Intent",'Semrush Data'!$A$1:$Z$1,0)),"")</f>
        <v/>
      </c>
    </row>
    <row r="3405" customFormat="false" ht="15" hidden="false" customHeight="true" outlineLevel="0" collapsed="false">
      <c r="A3405" s="7" t="s">
        <v>2189</v>
      </c>
      <c r="B3405" s="7" t="s">
        <v>1356</v>
      </c>
      <c r="C3405" s="7" t="n">
        <v>3</v>
      </c>
      <c r="D3405" s="7" t="n">
        <v>35</v>
      </c>
      <c r="E3405" s="7" t="n">
        <v>1</v>
      </c>
      <c r="F3405" s="7" t="s">
        <v>1139</v>
      </c>
      <c r="G3405" s="12" t="str">
        <f aca="false">IFERROR(INDEX('Semrush Data'!$A$1:$Z$20000,MATCH(A3405,'Semrush Data'!$A$1:$A$20000,0),MATCH("Volume",'Semrush Data'!$A$1:$Z$1,0)),"")</f>
        <v/>
      </c>
      <c r="H3405" s="7" t="str">
        <f aca="false">IFERROR(INDEX('Semrush Data'!$A$1:$Z$20000,MATCH(A3405,'Semrush Data'!$A$1:$A$20000,0),MATCH("Keyword Difficulty*",'Semrush Data'!$A$1:$Z$1,0)),"")</f>
        <v/>
      </c>
      <c r="I3405" s="13" t="str">
        <f aca="false">IFERROR(INDEX('Semrush Data'!$A$1:$Z$20000,MATCH(A3405,'Semrush Data'!$A$1:$A$20000,0),MATCH("CPC*",'Semrush Data'!$A$1:$Z$1,0)),"")</f>
        <v/>
      </c>
      <c r="J3405" s="7" t="str">
        <f aca="false">IFERROR(INDEX('Semrush Data'!$A$1:$Z$20000,MATCH(A3405,'Semrush Data'!$A$1:$A$20000,0),MATCH("Intent",'Semrush Data'!$A$1:$Z$1,0)),"")</f>
        <v/>
      </c>
    </row>
    <row r="3406" customFormat="false" ht="15" hidden="false" customHeight="true" outlineLevel="0" collapsed="false">
      <c r="A3406" s="7" t="s">
        <v>2062</v>
      </c>
      <c r="B3406" s="7" t="s">
        <v>1356</v>
      </c>
      <c r="C3406" s="7" t="n">
        <v>3</v>
      </c>
      <c r="D3406" s="7" t="n">
        <v>35</v>
      </c>
      <c r="E3406" s="7" t="n">
        <v>1</v>
      </c>
      <c r="F3406" s="7" t="s">
        <v>1013</v>
      </c>
      <c r="G3406" s="12" t="str">
        <f aca="false">IFERROR(INDEX('Semrush Data'!$A$1:$Z$20000,MATCH(A3406,'Semrush Data'!$A$1:$A$20000,0),MATCH("Volume",'Semrush Data'!$A$1:$Z$1,0)),"")</f>
        <v/>
      </c>
      <c r="H3406" s="7" t="str">
        <f aca="false">IFERROR(INDEX('Semrush Data'!$A$1:$Z$20000,MATCH(A3406,'Semrush Data'!$A$1:$A$20000,0),MATCH("Keyword Difficulty*",'Semrush Data'!$A$1:$Z$1,0)),"")</f>
        <v/>
      </c>
      <c r="I3406" s="13" t="str">
        <f aca="false">IFERROR(INDEX('Semrush Data'!$A$1:$Z$20000,MATCH(A3406,'Semrush Data'!$A$1:$A$20000,0),MATCH("CPC*",'Semrush Data'!$A$1:$Z$1,0)),"")</f>
        <v/>
      </c>
      <c r="J3406" s="7" t="str">
        <f aca="false">IFERROR(INDEX('Semrush Data'!$A$1:$Z$20000,MATCH(A3406,'Semrush Data'!$A$1:$A$20000,0),MATCH("Intent",'Semrush Data'!$A$1:$Z$1,0)),"")</f>
        <v/>
      </c>
    </row>
    <row r="3407" customFormat="false" ht="15" hidden="false" customHeight="true" outlineLevel="0" collapsed="false">
      <c r="A3407" s="7" t="s">
        <v>2009</v>
      </c>
      <c r="B3407" s="7" t="s">
        <v>1356</v>
      </c>
      <c r="C3407" s="7" t="n">
        <v>3</v>
      </c>
      <c r="D3407" s="7" t="n">
        <v>35</v>
      </c>
      <c r="E3407" s="7" t="n">
        <v>1</v>
      </c>
      <c r="F3407" s="7" t="s">
        <v>961</v>
      </c>
      <c r="G3407" s="12" t="str">
        <f aca="false">IFERROR(INDEX('Semrush Data'!$A$1:$Z$20000,MATCH(A3407,'Semrush Data'!$A$1:$A$20000,0),MATCH("Volume",'Semrush Data'!$A$1:$Z$1,0)),"")</f>
        <v/>
      </c>
      <c r="H3407" s="7" t="str">
        <f aca="false">IFERROR(INDEX('Semrush Data'!$A$1:$Z$20000,MATCH(A3407,'Semrush Data'!$A$1:$A$20000,0),MATCH("Keyword Difficulty*",'Semrush Data'!$A$1:$Z$1,0)),"")</f>
        <v/>
      </c>
      <c r="I3407" s="13" t="str">
        <f aca="false">IFERROR(INDEX('Semrush Data'!$A$1:$Z$20000,MATCH(A3407,'Semrush Data'!$A$1:$A$20000,0),MATCH("CPC*",'Semrush Data'!$A$1:$Z$1,0)),"")</f>
        <v/>
      </c>
      <c r="J3407" s="7" t="str">
        <f aca="false">IFERROR(INDEX('Semrush Data'!$A$1:$Z$20000,MATCH(A3407,'Semrush Data'!$A$1:$A$20000,0),MATCH("Intent",'Semrush Data'!$A$1:$Z$1,0)),"")</f>
        <v/>
      </c>
    </row>
    <row r="3408" customFormat="false" ht="15" hidden="false" customHeight="true" outlineLevel="0" collapsed="false">
      <c r="A3408" s="7" t="s">
        <v>2216</v>
      </c>
      <c r="B3408" s="7" t="s">
        <v>1356</v>
      </c>
      <c r="C3408" s="7" t="n">
        <v>3</v>
      </c>
      <c r="D3408" s="7" t="n">
        <v>35</v>
      </c>
      <c r="E3408" s="7" t="n">
        <v>1</v>
      </c>
      <c r="F3408" s="7" t="s">
        <v>1166</v>
      </c>
      <c r="G3408" s="12" t="str">
        <f aca="false">IFERROR(INDEX('Semrush Data'!$A$1:$Z$20000,MATCH(A3408,'Semrush Data'!$A$1:$A$20000,0),MATCH("Volume",'Semrush Data'!$A$1:$Z$1,0)),"")</f>
        <v/>
      </c>
      <c r="H3408" s="7" t="str">
        <f aca="false">IFERROR(INDEX('Semrush Data'!$A$1:$Z$20000,MATCH(A3408,'Semrush Data'!$A$1:$A$20000,0),MATCH("Keyword Difficulty*",'Semrush Data'!$A$1:$Z$1,0)),"")</f>
        <v/>
      </c>
      <c r="I3408" s="13" t="str">
        <f aca="false">IFERROR(INDEX('Semrush Data'!$A$1:$Z$20000,MATCH(A3408,'Semrush Data'!$A$1:$A$20000,0),MATCH("CPC*",'Semrush Data'!$A$1:$Z$1,0)),"")</f>
        <v/>
      </c>
      <c r="J3408" s="7" t="str">
        <f aca="false">IFERROR(INDEX('Semrush Data'!$A$1:$Z$20000,MATCH(A3408,'Semrush Data'!$A$1:$A$20000,0),MATCH("Intent",'Semrush Data'!$A$1:$Z$1,0)),"")</f>
        <v/>
      </c>
    </row>
    <row r="3409" customFormat="false" ht="15" hidden="false" customHeight="true" outlineLevel="0" collapsed="false">
      <c r="A3409" s="7" t="s">
        <v>2047</v>
      </c>
      <c r="B3409" s="7" t="s">
        <v>1356</v>
      </c>
      <c r="C3409" s="7" t="n">
        <v>3</v>
      </c>
      <c r="D3409" s="7" t="n">
        <v>35</v>
      </c>
      <c r="E3409" s="7" t="n">
        <v>1</v>
      </c>
      <c r="F3409" s="7" t="s">
        <v>999</v>
      </c>
      <c r="G3409" s="12" t="str">
        <f aca="false">IFERROR(INDEX('Semrush Data'!$A$1:$Z$20000,MATCH(A3409,'Semrush Data'!$A$1:$A$20000,0),MATCH("Volume",'Semrush Data'!$A$1:$Z$1,0)),"")</f>
        <v/>
      </c>
      <c r="H3409" s="7" t="str">
        <f aca="false">IFERROR(INDEX('Semrush Data'!$A$1:$Z$20000,MATCH(A3409,'Semrush Data'!$A$1:$A$20000,0),MATCH("Keyword Difficulty*",'Semrush Data'!$A$1:$Z$1,0)),"")</f>
        <v/>
      </c>
      <c r="I3409" s="13" t="str">
        <f aca="false">IFERROR(INDEX('Semrush Data'!$A$1:$Z$20000,MATCH(A3409,'Semrush Data'!$A$1:$A$20000,0),MATCH("CPC*",'Semrush Data'!$A$1:$Z$1,0)),"")</f>
        <v/>
      </c>
      <c r="J3409" s="7" t="str">
        <f aca="false">IFERROR(INDEX('Semrush Data'!$A$1:$Z$20000,MATCH(A3409,'Semrush Data'!$A$1:$A$20000,0),MATCH("Intent",'Semrush Data'!$A$1:$Z$1,0)),"")</f>
        <v/>
      </c>
    </row>
    <row r="3410" customFormat="false" ht="15" hidden="false" customHeight="true" outlineLevel="0" collapsed="false">
      <c r="A3410" s="7" t="s">
        <v>2022</v>
      </c>
      <c r="B3410" s="7" t="s">
        <v>1356</v>
      </c>
      <c r="C3410" s="7" t="n">
        <v>3</v>
      </c>
      <c r="D3410" s="7" t="n">
        <v>35</v>
      </c>
      <c r="E3410" s="7" t="n">
        <v>1</v>
      </c>
      <c r="F3410" s="7" t="s">
        <v>973</v>
      </c>
      <c r="G3410" s="12" t="str">
        <f aca="false">IFERROR(INDEX('Semrush Data'!$A$1:$Z$20000,MATCH(A3410,'Semrush Data'!$A$1:$A$20000,0),MATCH("Volume",'Semrush Data'!$A$1:$Z$1,0)),"")</f>
        <v/>
      </c>
      <c r="H3410" s="7" t="str">
        <f aca="false">IFERROR(INDEX('Semrush Data'!$A$1:$Z$20000,MATCH(A3410,'Semrush Data'!$A$1:$A$20000,0),MATCH("Keyword Difficulty*",'Semrush Data'!$A$1:$Z$1,0)),"")</f>
        <v/>
      </c>
      <c r="I3410" s="13" t="str">
        <f aca="false">IFERROR(INDEX('Semrush Data'!$A$1:$Z$20000,MATCH(A3410,'Semrush Data'!$A$1:$A$20000,0),MATCH("CPC*",'Semrush Data'!$A$1:$Z$1,0)),"")</f>
        <v/>
      </c>
      <c r="J3410" s="7" t="str">
        <f aca="false">IFERROR(INDEX('Semrush Data'!$A$1:$Z$20000,MATCH(A3410,'Semrush Data'!$A$1:$A$20000,0),MATCH("Intent",'Semrush Data'!$A$1:$Z$1,0)),"")</f>
        <v/>
      </c>
    </row>
    <row r="3411" customFormat="false" ht="15" hidden="false" customHeight="true" outlineLevel="0" collapsed="false">
      <c r="A3411" s="7" t="s">
        <v>2015</v>
      </c>
      <c r="B3411" s="7" t="s">
        <v>1356</v>
      </c>
      <c r="C3411" s="7" t="n">
        <v>3</v>
      </c>
      <c r="D3411" s="7" t="n">
        <v>35</v>
      </c>
      <c r="E3411" s="7" t="n">
        <v>1</v>
      </c>
      <c r="F3411" s="7" t="s">
        <v>967</v>
      </c>
      <c r="G3411" s="12" t="str">
        <f aca="false">IFERROR(INDEX('Semrush Data'!$A$1:$Z$20000,MATCH(A3411,'Semrush Data'!$A$1:$A$20000,0),MATCH("Volume",'Semrush Data'!$A$1:$Z$1,0)),"")</f>
        <v/>
      </c>
      <c r="H3411" s="7" t="str">
        <f aca="false">IFERROR(INDEX('Semrush Data'!$A$1:$Z$20000,MATCH(A3411,'Semrush Data'!$A$1:$A$20000,0),MATCH("Keyword Difficulty*",'Semrush Data'!$A$1:$Z$1,0)),"")</f>
        <v/>
      </c>
      <c r="I3411" s="13" t="str">
        <f aca="false">IFERROR(INDEX('Semrush Data'!$A$1:$Z$20000,MATCH(A3411,'Semrush Data'!$A$1:$A$20000,0),MATCH("CPC*",'Semrush Data'!$A$1:$Z$1,0)),"")</f>
        <v/>
      </c>
      <c r="J3411" s="7" t="str">
        <f aca="false">IFERROR(INDEX('Semrush Data'!$A$1:$Z$20000,MATCH(A3411,'Semrush Data'!$A$1:$A$20000,0),MATCH("Intent",'Semrush Data'!$A$1:$Z$1,0)),"")</f>
        <v/>
      </c>
    </row>
    <row r="3412" customFormat="false" ht="15" hidden="false" customHeight="true" outlineLevel="0" collapsed="false">
      <c r="A3412" s="7" t="s">
        <v>2229</v>
      </c>
      <c r="B3412" s="7" t="s">
        <v>1356</v>
      </c>
      <c r="C3412" s="7" t="n">
        <v>3</v>
      </c>
      <c r="D3412" s="7" t="n">
        <v>35</v>
      </c>
      <c r="E3412" s="7" t="n">
        <v>1</v>
      </c>
      <c r="F3412" s="7" t="s">
        <v>1179</v>
      </c>
      <c r="G3412" s="12" t="str">
        <f aca="false">IFERROR(INDEX('Semrush Data'!$A$1:$Z$20000,MATCH(A3412,'Semrush Data'!$A$1:$A$20000,0),MATCH("Volume",'Semrush Data'!$A$1:$Z$1,0)),"")</f>
        <v/>
      </c>
      <c r="H3412" s="7" t="str">
        <f aca="false">IFERROR(INDEX('Semrush Data'!$A$1:$Z$20000,MATCH(A3412,'Semrush Data'!$A$1:$A$20000,0),MATCH("Keyword Difficulty*",'Semrush Data'!$A$1:$Z$1,0)),"")</f>
        <v/>
      </c>
      <c r="I3412" s="13" t="str">
        <f aca="false">IFERROR(INDEX('Semrush Data'!$A$1:$Z$20000,MATCH(A3412,'Semrush Data'!$A$1:$A$20000,0),MATCH("CPC*",'Semrush Data'!$A$1:$Z$1,0)),"")</f>
        <v/>
      </c>
      <c r="J3412" s="7" t="str">
        <f aca="false">IFERROR(INDEX('Semrush Data'!$A$1:$Z$20000,MATCH(A3412,'Semrush Data'!$A$1:$A$20000,0),MATCH("Intent",'Semrush Data'!$A$1:$Z$1,0)),"")</f>
        <v/>
      </c>
    </row>
    <row r="3413" customFormat="false" ht="15" hidden="false" customHeight="true" outlineLevel="0" collapsed="false">
      <c r="A3413" s="7" t="s">
        <v>2002</v>
      </c>
      <c r="B3413" s="7" t="s">
        <v>1356</v>
      </c>
      <c r="C3413" s="7" t="n">
        <v>3</v>
      </c>
      <c r="D3413" s="7" t="n">
        <v>35</v>
      </c>
      <c r="E3413" s="7" t="n">
        <v>1</v>
      </c>
      <c r="F3413" s="7" t="s">
        <v>954</v>
      </c>
      <c r="G3413" s="12" t="str">
        <f aca="false">IFERROR(INDEX('Semrush Data'!$A$1:$Z$20000,MATCH(A3413,'Semrush Data'!$A$1:$A$20000,0),MATCH("Volume",'Semrush Data'!$A$1:$Z$1,0)),"")</f>
        <v/>
      </c>
      <c r="H3413" s="7" t="str">
        <f aca="false">IFERROR(INDEX('Semrush Data'!$A$1:$Z$20000,MATCH(A3413,'Semrush Data'!$A$1:$A$20000,0),MATCH("Keyword Difficulty*",'Semrush Data'!$A$1:$Z$1,0)),"")</f>
        <v/>
      </c>
      <c r="I3413" s="13" t="str">
        <f aca="false">IFERROR(INDEX('Semrush Data'!$A$1:$Z$20000,MATCH(A3413,'Semrush Data'!$A$1:$A$20000,0),MATCH("CPC*",'Semrush Data'!$A$1:$Z$1,0)),"")</f>
        <v/>
      </c>
      <c r="J3413" s="7" t="str">
        <f aca="false">IFERROR(INDEX('Semrush Data'!$A$1:$Z$20000,MATCH(A3413,'Semrush Data'!$A$1:$A$20000,0),MATCH("Intent",'Semrush Data'!$A$1:$Z$1,0)),"")</f>
        <v/>
      </c>
    </row>
    <row r="3414" customFormat="false" ht="15" hidden="false" customHeight="true" outlineLevel="0" collapsed="false">
      <c r="A3414" s="7" t="s">
        <v>2255</v>
      </c>
      <c r="B3414" s="7" t="s">
        <v>1356</v>
      </c>
      <c r="C3414" s="7" t="n">
        <v>3</v>
      </c>
      <c r="D3414" s="7" t="n">
        <v>35</v>
      </c>
      <c r="E3414" s="7" t="n">
        <v>1</v>
      </c>
      <c r="F3414" s="7" t="s">
        <v>1206</v>
      </c>
      <c r="G3414" s="12" t="str">
        <f aca="false">IFERROR(INDEX('Semrush Data'!$A$1:$Z$20000,MATCH(A3414,'Semrush Data'!$A$1:$A$20000,0),MATCH("Volume",'Semrush Data'!$A$1:$Z$1,0)),"")</f>
        <v/>
      </c>
      <c r="H3414" s="7" t="str">
        <f aca="false">IFERROR(INDEX('Semrush Data'!$A$1:$Z$20000,MATCH(A3414,'Semrush Data'!$A$1:$A$20000,0),MATCH("Keyword Difficulty*",'Semrush Data'!$A$1:$Z$1,0)),"")</f>
        <v/>
      </c>
      <c r="I3414" s="13" t="str">
        <f aca="false">IFERROR(INDEX('Semrush Data'!$A$1:$Z$20000,MATCH(A3414,'Semrush Data'!$A$1:$A$20000,0),MATCH("CPC*",'Semrush Data'!$A$1:$Z$1,0)),"")</f>
        <v/>
      </c>
      <c r="J3414" s="7" t="str">
        <f aca="false">IFERROR(INDEX('Semrush Data'!$A$1:$Z$20000,MATCH(A3414,'Semrush Data'!$A$1:$A$20000,0),MATCH("Intent",'Semrush Data'!$A$1:$Z$1,0)),"")</f>
        <v/>
      </c>
    </row>
    <row r="3415" customFormat="false" ht="15" hidden="false" customHeight="true" outlineLevel="0" collapsed="false">
      <c r="A3415" s="7" t="s">
        <v>1981</v>
      </c>
      <c r="B3415" s="7" t="s">
        <v>1356</v>
      </c>
      <c r="C3415" s="7" t="n">
        <v>3</v>
      </c>
      <c r="D3415" s="7" t="n">
        <v>35</v>
      </c>
      <c r="E3415" s="7" t="n">
        <v>1</v>
      </c>
      <c r="F3415" s="7" t="s">
        <v>932</v>
      </c>
      <c r="G3415" s="12" t="str">
        <f aca="false">IFERROR(INDEX('Semrush Data'!$A$1:$Z$20000,MATCH(A3415,'Semrush Data'!$A$1:$A$20000,0),MATCH("Volume",'Semrush Data'!$A$1:$Z$1,0)),"")</f>
        <v/>
      </c>
      <c r="H3415" s="7" t="str">
        <f aca="false">IFERROR(INDEX('Semrush Data'!$A$1:$Z$20000,MATCH(A3415,'Semrush Data'!$A$1:$A$20000,0),MATCH("Keyword Difficulty*",'Semrush Data'!$A$1:$Z$1,0)),"")</f>
        <v/>
      </c>
      <c r="I3415" s="13" t="str">
        <f aca="false">IFERROR(INDEX('Semrush Data'!$A$1:$Z$20000,MATCH(A3415,'Semrush Data'!$A$1:$A$20000,0),MATCH("CPC*",'Semrush Data'!$A$1:$Z$1,0)),"")</f>
        <v/>
      </c>
      <c r="J3415" s="7" t="str">
        <f aca="false">IFERROR(INDEX('Semrush Data'!$A$1:$Z$20000,MATCH(A3415,'Semrush Data'!$A$1:$A$20000,0),MATCH("Intent",'Semrush Data'!$A$1:$Z$1,0)),"")</f>
        <v/>
      </c>
    </row>
    <row r="3416" customFormat="false" ht="15" hidden="false" customHeight="true" outlineLevel="0" collapsed="false">
      <c r="A3416" s="7" t="s">
        <v>1988</v>
      </c>
      <c r="B3416" s="7" t="s">
        <v>1356</v>
      </c>
      <c r="C3416" s="7" t="n">
        <v>3</v>
      </c>
      <c r="D3416" s="7" t="n">
        <v>35</v>
      </c>
      <c r="E3416" s="7" t="n">
        <v>1</v>
      </c>
      <c r="F3416" s="7" t="s">
        <v>939</v>
      </c>
      <c r="G3416" s="12" t="str">
        <f aca="false">IFERROR(INDEX('Semrush Data'!$A$1:$Z$20000,MATCH(A3416,'Semrush Data'!$A$1:$A$20000,0),MATCH("Volume",'Semrush Data'!$A$1:$Z$1,0)),"")</f>
        <v/>
      </c>
      <c r="H3416" s="7" t="str">
        <f aca="false">IFERROR(INDEX('Semrush Data'!$A$1:$Z$20000,MATCH(A3416,'Semrush Data'!$A$1:$A$20000,0),MATCH("Keyword Difficulty*",'Semrush Data'!$A$1:$Z$1,0)),"")</f>
        <v/>
      </c>
      <c r="I3416" s="13" t="str">
        <f aca="false">IFERROR(INDEX('Semrush Data'!$A$1:$Z$20000,MATCH(A3416,'Semrush Data'!$A$1:$A$20000,0),MATCH("CPC*",'Semrush Data'!$A$1:$Z$1,0)),"")</f>
        <v/>
      </c>
      <c r="J3416" s="7" t="str">
        <f aca="false">IFERROR(INDEX('Semrush Data'!$A$1:$Z$20000,MATCH(A3416,'Semrush Data'!$A$1:$A$20000,0),MATCH("Intent",'Semrush Data'!$A$1:$Z$1,0)),"")</f>
        <v/>
      </c>
    </row>
    <row r="3417" customFormat="false" ht="15" hidden="false" customHeight="true" outlineLevel="0" collapsed="false">
      <c r="A3417" s="7" t="s">
        <v>3497</v>
      </c>
      <c r="B3417" s="7" t="s">
        <v>1356</v>
      </c>
      <c r="C3417" s="7" t="n">
        <v>3</v>
      </c>
      <c r="D3417" s="7" t="n">
        <v>35</v>
      </c>
      <c r="E3417" s="7" t="n">
        <v>1</v>
      </c>
      <c r="F3417" s="7" t="s">
        <v>3491</v>
      </c>
      <c r="G3417" s="12" t="str">
        <f aca="false">IFERROR(INDEX('Semrush Data'!$A$1:$Z$20000,MATCH(A3417,'Semrush Data'!$A$1:$A$20000,0),MATCH("Volume",'Semrush Data'!$A$1:$Z$1,0)),"")</f>
        <v/>
      </c>
      <c r="H3417" s="7" t="str">
        <f aca="false">IFERROR(INDEX('Semrush Data'!$A$1:$Z$20000,MATCH(A3417,'Semrush Data'!$A$1:$A$20000,0),MATCH("Keyword Difficulty*",'Semrush Data'!$A$1:$Z$1,0)),"")</f>
        <v/>
      </c>
      <c r="I3417" s="13" t="str">
        <f aca="false">IFERROR(INDEX('Semrush Data'!$A$1:$Z$20000,MATCH(A3417,'Semrush Data'!$A$1:$A$20000,0),MATCH("CPC*",'Semrush Data'!$A$1:$Z$1,0)),"")</f>
        <v/>
      </c>
      <c r="J3417" s="7" t="str">
        <f aca="false">IFERROR(INDEX('Semrush Data'!$A$1:$Z$20000,MATCH(A3417,'Semrush Data'!$A$1:$A$20000,0),MATCH("Intent",'Semrush Data'!$A$1:$Z$1,0)),"")</f>
        <v/>
      </c>
    </row>
    <row r="3418" customFormat="false" ht="15" hidden="false" customHeight="true" outlineLevel="0" collapsed="false">
      <c r="A3418" s="7" t="s">
        <v>3484</v>
      </c>
      <c r="B3418" s="7" t="s">
        <v>1356</v>
      </c>
      <c r="C3418" s="7" t="n">
        <v>3</v>
      </c>
      <c r="D3418" s="7" t="n">
        <v>35</v>
      </c>
      <c r="E3418" s="7" t="n">
        <v>1</v>
      </c>
      <c r="F3418" s="7" t="s">
        <v>3478</v>
      </c>
      <c r="G3418" s="12" t="str">
        <f aca="false">IFERROR(INDEX('Semrush Data'!$A$1:$Z$20000,MATCH(A3418,'Semrush Data'!$A$1:$A$20000,0),MATCH("Volume",'Semrush Data'!$A$1:$Z$1,0)),"")</f>
        <v/>
      </c>
      <c r="H3418" s="7" t="str">
        <f aca="false">IFERROR(INDEX('Semrush Data'!$A$1:$Z$20000,MATCH(A3418,'Semrush Data'!$A$1:$A$20000,0),MATCH("Keyword Difficulty*",'Semrush Data'!$A$1:$Z$1,0)),"")</f>
        <v/>
      </c>
      <c r="I3418" s="13" t="str">
        <f aca="false">IFERROR(INDEX('Semrush Data'!$A$1:$Z$20000,MATCH(A3418,'Semrush Data'!$A$1:$A$20000,0),MATCH("CPC*",'Semrush Data'!$A$1:$Z$1,0)),"")</f>
        <v/>
      </c>
      <c r="J3418" s="7" t="str">
        <f aca="false">IFERROR(INDEX('Semrush Data'!$A$1:$Z$20000,MATCH(A3418,'Semrush Data'!$A$1:$A$20000,0),MATCH("Intent",'Semrush Data'!$A$1:$Z$1,0)),"")</f>
        <v/>
      </c>
    </row>
    <row r="3419" customFormat="false" ht="15" hidden="false" customHeight="true" outlineLevel="0" collapsed="false">
      <c r="A3419" s="7" t="s">
        <v>3505</v>
      </c>
      <c r="B3419" s="7" t="s">
        <v>1356</v>
      </c>
      <c r="C3419" s="7" t="n">
        <v>3</v>
      </c>
      <c r="D3419" s="7" t="s">
        <v>6818</v>
      </c>
      <c r="E3419" s="7" t="n">
        <v>1</v>
      </c>
      <c r="F3419" s="7" t="s">
        <v>45</v>
      </c>
      <c r="G3419" s="12" t="str">
        <f aca="false">IFERROR(INDEX('Semrush Data'!$A$1:$Z$20000,MATCH(A3419,'Semrush Data'!$A$1:$A$20000,0),MATCH("Volume",'Semrush Data'!$A$1:$Z$1,0)),"")</f>
        <v/>
      </c>
      <c r="H3419" s="7" t="str">
        <f aca="false">IFERROR(INDEX('Semrush Data'!$A$1:$Z$20000,MATCH(A3419,'Semrush Data'!$A$1:$A$20000,0),MATCH("Keyword Difficulty*",'Semrush Data'!$A$1:$Z$1,0)),"")</f>
        <v/>
      </c>
      <c r="I3419" s="13" t="str">
        <f aca="false">IFERROR(INDEX('Semrush Data'!$A$1:$Z$20000,MATCH(A3419,'Semrush Data'!$A$1:$A$20000,0),MATCH("CPC*",'Semrush Data'!$A$1:$Z$1,0)),"")</f>
        <v/>
      </c>
      <c r="J3419" s="7" t="str">
        <f aca="false">IFERROR(INDEX('Semrush Data'!$A$1:$Z$20000,MATCH(A3419,'Semrush Data'!$A$1:$A$20000,0),MATCH("Intent",'Semrush Data'!$A$1:$Z$1,0)),"")</f>
        <v/>
      </c>
    </row>
    <row r="3420" customFormat="false" ht="15" hidden="false" customHeight="true" outlineLevel="0" collapsed="false">
      <c r="A3420" s="7" t="s">
        <v>3541</v>
      </c>
      <c r="B3420" s="7" t="s">
        <v>1356</v>
      </c>
      <c r="C3420" s="7" t="n">
        <v>3</v>
      </c>
      <c r="D3420" s="7" t="n">
        <v>35</v>
      </c>
      <c r="E3420" s="7" t="n">
        <v>1</v>
      </c>
      <c r="F3420" s="7" t="s">
        <v>3534</v>
      </c>
      <c r="G3420" s="12" t="str">
        <f aca="false">IFERROR(INDEX('Semrush Data'!$A$1:$Z$20000,MATCH(A3420,'Semrush Data'!$A$1:$A$20000,0),MATCH("Volume",'Semrush Data'!$A$1:$Z$1,0)),"")</f>
        <v/>
      </c>
      <c r="H3420" s="7" t="str">
        <f aca="false">IFERROR(INDEX('Semrush Data'!$A$1:$Z$20000,MATCH(A3420,'Semrush Data'!$A$1:$A$20000,0),MATCH("Keyword Difficulty*",'Semrush Data'!$A$1:$Z$1,0)),"")</f>
        <v/>
      </c>
      <c r="I3420" s="13" t="str">
        <f aca="false">IFERROR(INDEX('Semrush Data'!$A$1:$Z$20000,MATCH(A3420,'Semrush Data'!$A$1:$A$20000,0),MATCH("CPC*",'Semrush Data'!$A$1:$Z$1,0)),"")</f>
        <v/>
      </c>
      <c r="J3420" s="7" t="str">
        <f aca="false">IFERROR(INDEX('Semrush Data'!$A$1:$Z$20000,MATCH(A3420,'Semrush Data'!$A$1:$A$20000,0),MATCH("Intent",'Semrush Data'!$A$1:$Z$1,0)),"")</f>
        <v/>
      </c>
    </row>
    <row r="3421" customFormat="false" ht="15" hidden="false" customHeight="true" outlineLevel="0" collapsed="false">
      <c r="A3421" s="7" t="s">
        <v>3518</v>
      </c>
      <c r="B3421" s="7" t="s">
        <v>1356</v>
      </c>
      <c r="C3421" s="7" t="n">
        <v>3</v>
      </c>
      <c r="D3421" s="7" t="n">
        <v>35</v>
      </c>
      <c r="E3421" s="7" t="n">
        <v>1</v>
      </c>
      <c r="F3421" s="7" t="s">
        <v>3512</v>
      </c>
      <c r="G3421" s="12" t="str">
        <f aca="false">IFERROR(INDEX('Semrush Data'!$A$1:$Z$20000,MATCH(A3421,'Semrush Data'!$A$1:$A$20000,0),MATCH("Volume",'Semrush Data'!$A$1:$Z$1,0)),"")</f>
        <v/>
      </c>
      <c r="H3421" s="7" t="str">
        <f aca="false">IFERROR(INDEX('Semrush Data'!$A$1:$Z$20000,MATCH(A3421,'Semrush Data'!$A$1:$A$20000,0),MATCH("Keyword Difficulty*",'Semrush Data'!$A$1:$Z$1,0)),"")</f>
        <v/>
      </c>
      <c r="I3421" s="13" t="str">
        <f aca="false">IFERROR(INDEX('Semrush Data'!$A$1:$Z$20000,MATCH(A3421,'Semrush Data'!$A$1:$A$20000,0),MATCH("CPC*",'Semrush Data'!$A$1:$Z$1,0)),"")</f>
        <v/>
      </c>
      <c r="J3421" s="7" t="str">
        <f aca="false">IFERROR(INDEX('Semrush Data'!$A$1:$Z$20000,MATCH(A3421,'Semrush Data'!$A$1:$A$20000,0),MATCH("Intent",'Semrush Data'!$A$1:$Z$1,0)),"")</f>
        <v/>
      </c>
    </row>
    <row r="3422" customFormat="false" ht="15" hidden="false" customHeight="true" outlineLevel="0" collapsed="false">
      <c r="A3422" s="7" t="s">
        <v>3528</v>
      </c>
      <c r="B3422" s="7" t="s">
        <v>1356</v>
      </c>
      <c r="C3422" s="7" t="n">
        <v>3</v>
      </c>
      <c r="D3422" s="7" t="n">
        <v>35</v>
      </c>
      <c r="E3422" s="7" t="n">
        <v>1</v>
      </c>
      <c r="F3422" s="7" t="s">
        <v>130</v>
      </c>
      <c r="G3422" s="12" t="str">
        <f aca="false">IFERROR(INDEX('Semrush Data'!$A$1:$Z$20000,MATCH(A3422,'Semrush Data'!$A$1:$A$20000,0),MATCH("Volume",'Semrush Data'!$A$1:$Z$1,0)),"")</f>
        <v/>
      </c>
      <c r="H3422" s="7" t="str">
        <f aca="false">IFERROR(INDEX('Semrush Data'!$A$1:$Z$20000,MATCH(A3422,'Semrush Data'!$A$1:$A$20000,0),MATCH("Keyword Difficulty*",'Semrush Data'!$A$1:$Z$1,0)),"")</f>
        <v/>
      </c>
      <c r="I3422" s="13" t="str">
        <f aca="false">IFERROR(INDEX('Semrush Data'!$A$1:$Z$20000,MATCH(A3422,'Semrush Data'!$A$1:$A$20000,0),MATCH("CPC*",'Semrush Data'!$A$1:$Z$1,0)),"")</f>
        <v/>
      </c>
      <c r="J3422" s="7" t="str">
        <f aca="false">IFERROR(INDEX('Semrush Data'!$A$1:$Z$20000,MATCH(A3422,'Semrush Data'!$A$1:$A$20000,0),MATCH("Intent",'Semrush Data'!$A$1:$Z$1,0)),"")</f>
        <v/>
      </c>
    </row>
    <row r="3423" customFormat="false" ht="15" hidden="false" customHeight="true" outlineLevel="0" collapsed="false">
      <c r="A3423" s="7" t="s">
        <v>3553</v>
      </c>
      <c r="B3423" s="7" t="s">
        <v>1356</v>
      </c>
      <c r="C3423" s="7" t="n">
        <v>3</v>
      </c>
      <c r="D3423" s="7" t="n">
        <v>35</v>
      </c>
      <c r="E3423" s="7" t="n">
        <v>1</v>
      </c>
      <c r="F3423" s="7" t="s">
        <v>3547</v>
      </c>
      <c r="G3423" s="12" t="str">
        <f aca="false">IFERROR(INDEX('Semrush Data'!$A$1:$Z$20000,MATCH(A3423,'Semrush Data'!$A$1:$A$20000,0),MATCH("Volume",'Semrush Data'!$A$1:$Z$1,0)),"")</f>
        <v/>
      </c>
      <c r="H3423" s="7" t="str">
        <f aca="false">IFERROR(INDEX('Semrush Data'!$A$1:$Z$20000,MATCH(A3423,'Semrush Data'!$A$1:$A$20000,0),MATCH("Keyword Difficulty*",'Semrush Data'!$A$1:$Z$1,0)),"")</f>
        <v/>
      </c>
      <c r="I3423" s="13" t="str">
        <f aca="false">IFERROR(INDEX('Semrush Data'!$A$1:$Z$20000,MATCH(A3423,'Semrush Data'!$A$1:$A$20000,0),MATCH("CPC*",'Semrush Data'!$A$1:$Z$1,0)),"")</f>
        <v/>
      </c>
      <c r="J3423" s="7" t="str">
        <f aca="false">IFERROR(INDEX('Semrush Data'!$A$1:$Z$20000,MATCH(A3423,'Semrush Data'!$A$1:$A$20000,0),MATCH("Intent",'Semrush Data'!$A$1:$Z$1,0)),"")</f>
        <v/>
      </c>
    </row>
    <row r="3424" customFormat="false" ht="15" hidden="false" customHeight="true" outlineLevel="0" collapsed="false">
      <c r="A3424" s="7" t="s">
        <v>3636</v>
      </c>
      <c r="B3424" s="7" t="s">
        <v>1356</v>
      </c>
      <c r="C3424" s="7" t="n">
        <v>3</v>
      </c>
      <c r="D3424" s="7" t="n">
        <v>35</v>
      </c>
      <c r="E3424" s="7" t="n">
        <v>1</v>
      </c>
      <c r="F3424" s="7" t="s">
        <v>3631</v>
      </c>
      <c r="G3424" s="12" t="str">
        <f aca="false">IFERROR(INDEX('Semrush Data'!$A$1:$Z$20000,MATCH(A3424,'Semrush Data'!$A$1:$A$20000,0),MATCH("Volume",'Semrush Data'!$A$1:$Z$1,0)),"")</f>
        <v/>
      </c>
      <c r="H3424" s="7" t="str">
        <f aca="false">IFERROR(INDEX('Semrush Data'!$A$1:$Z$20000,MATCH(A3424,'Semrush Data'!$A$1:$A$20000,0),MATCH("Keyword Difficulty*",'Semrush Data'!$A$1:$Z$1,0)),"")</f>
        <v/>
      </c>
      <c r="I3424" s="13" t="str">
        <f aca="false">IFERROR(INDEX('Semrush Data'!$A$1:$Z$20000,MATCH(A3424,'Semrush Data'!$A$1:$A$20000,0),MATCH("CPC*",'Semrush Data'!$A$1:$Z$1,0)),"")</f>
        <v/>
      </c>
      <c r="J3424" s="7" t="str">
        <f aca="false">IFERROR(INDEX('Semrush Data'!$A$1:$Z$20000,MATCH(A3424,'Semrush Data'!$A$1:$A$20000,0),MATCH("Intent",'Semrush Data'!$A$1:$Z$1,0)),"")</f>
        <v/>
      </c>
    </row>
    <row r="3425" customFormat="false" ht="15" hidden="false" customHeight="true" outlineLevel="0" collapsed="false">
      <c r="A3425" s="7" t="s">
        <v>3566</v>
      </c>
      <c r="B3425" s="7" t="s">
        <v>1356</v>
      </c>
      <c r="C3425" s="7" t="n">
        <v>3</v>
      </c>
      <c r="D3425" s="7" t="n">
        <v>35</v>
      </c>
      <c r="E3425" s="7" t="n">
        <v>1</v>
      </c>
      <c r="F3425" s="7" t="s">
        <v>3559</v>
      </c>
      <c r="G3425" s="12" t="str">
        <f aca="false">IFERROR(INDEX('Semrush Data'!$A$1:$Z$20000,MATCH(A3425,'Semrush Data'!$A$1:$A$20000,0),MATCH("Volume",'Semrush Data'!$A$1:$Z$1,0)),"")</f>
        <v/>
      </c>
      <c r="H3425" s="7" t="str">
        <f aca="false">IFERROR(INDEX('Semrush Data'!$A$1:$Z$20000,MATCH(A3425,'Semrush Data'!$A$1:$A$20000,0),MATCH("Keyword Difficulty*",'Semrush Data'!$A$1:$Z$1,0)),"")</f>
        <v/>
      </c>
      <c r="I3425" s="13" t="str">
        <f aca="false">IFERROR(INDEX('Semrush Data'!$A$1:$Z$20000,MATCH(A3425,'Semrush Data'!$A$1:$A$20000,0),MATCH("CPC*",'Semrush Data'!$A$1:$Z$1,0)),"")</f>
        <v/>
      </c>
      <c r="J3425" s="7" t="str">
        <f aca="false">IFERROR(INDEX('Semrush Data'!$A$1:$Z$20000,MATCH(A3425,'Semrush Data'!$A$1:$A$20000,0),MATCH("Intent",'Semrush Data'!$A$1:$Z$1,0)),"")</f>
        <v/>
      </c>
    </row>
    <row r="3426" customFormat="false" ht="15" hidden="false" customHeight="true" outlineLevel="0" collapsed="false">
      <c r="A3426" s="7" t="s">
        <v>3647</v>
      </c>
      <c r="B3426" s="7" t="s">
        <v>1356</v>
      </c>
      <c r="C3426" s="7" t="n">
        <v>3</v>
      </c>
      <c r="D3426" s="7" t="n">
        <v>35</v>
      </c>
      <c r="E3426" s="7" t="n">
        <v>1</v>
      </c>
      <c r="F3426" s="7" t="s">
        <v>3642</v>
      </c>
      <c r="G3426" s="12" t="str">
        <f aca="false">IFERROR(INDEX('Semrush Data'!$A$1:$Z$20000,MATCH(A3426,'Semrush Data'!$A$1:$A$20000,0),MATCH("Volume",'Semrush Data'!$A$1:$Z$1,0)),"")</f>
        <v/>
      </c>
      <c r="H3426" s="7" t="str">
        <f aca="false">IFERROR(INDEX('Semrush Data'!$A$1:$Z$20000,MATCH(A3426,'Semrush Data'!$A$1:$A$20000,0),MATCH("Keyword Difficulty*",'Semrush Data'!$A$1:$Z$1,0)),"")</f>
        <v/>
      </c>
      <c r="I3426" s="13" t="str">
        <f aca="false">IFERROR(INDEX('Semrush Data'!$A$1:$Z$20000,MATCH(A3426,'Semrush Data'!$A$1:$A$20000,0),MATCH("CPC*",'Semrush Data'!$A$1:$Z$1,0)),"")</f>
        <v/>
      </c>
      <c r="J3426" s="7" t="str">
        <f aca="false">IFERROR(INDEX('Semrush Data'!$A$1:$Z$20000,MATCH(A3426,'Semrush Data'!$A$1:$A$20000,0),MATCH("Intent",'Semrush Data'!$A$1:$Z$1,0)),"")</f>
        <v/>
      </c>
    </row>
    <row r="3427" customFormat="false" ht="15" hidden="false" customHeight="true" outlineLevel="0" collapsed="false">
      <c r="A3427" s="7" t="s">
        <v>3625</v>
      </c>
      <c r="B3427" s="7" t="s">
        <v>1356</v>
      </c>
      <c r="C3427" s="7" t="n">
        <v>3</v>
      </c>
      <c r="D3427" s="7" t="n">
        <v>35</v>
      </c>
      <c r="E3427" s="7" t="n">
        <v>1</v>
      </c>
      <c r="F3427" s="7" t="s">
        <v>3620</v>
      </c>
      <c r="G3427" s="12" t="str">
        <f aca="false">IFERROR(INDEX('Semrush Data'!$A$1:$Z$20000,MATCH(A3427,'Semrush Data'!$A$1:$A$20000,0),MATCH("Volume",'Semrush Data'!$A$1:$Z$1,0)),"")</f>
        <v/>
      </c>
      <c r="H3427" s="7" t="str">
        <f aca="false">IFERROR(INDEX('Semrush Data'!$A$1:$Z$20000,MATCH(A3427,'Semrush Data'!$A$1:$A$20000,0),MATCH("Keyword Difficulty*",'Semrush Data'!$A$1:$Z$1,0)),"")</f>
        <v/>
      </c>
      <c r="I3427" s="13" t="str">
        <f aca="false">IFERROR(INDEX('Semrush Data'!$A$1:$Z$20000,MATCH(A3427,'Semrush Data'!$A$1:$A$20000,0),MATCH("CPC*",'Semrush Data'!$A$1:$Z$1,0)),"")</f>
        <v/>
      </c>
      <c r="J3427" s="7" t="str">
        <f aca="false">IFERROR(INDEX('Semrush Data'!$A$1:$Z$20000,MATCH(A3427,'Semrush Data'!$A$1:$A$20000,0),MATCH("Intent",'Semrush Data'!$A$1:$Z$1,0)),"")</f>
        <v/>
      </c>
    </row>
    <row r="3428" customFormat="false" ht="15" hidden="false" customHeight="true" outlineLevel="0" collapsed="false">
      <c r="A3428" s="7" t="s">
        <v>3657</v>
      </c>
      <c r="B3428" s="7" t="s">
        <v>1356</v>
      </c>
      <c r="C3428" s="7" t="n">
        <v>3</v>
      </c>
      <c r="D3428" s="7" t="n">
        <v>35</v>
      </c>
      <c r="E3428" s="7" t="n">
        <v>2</v>
      </c>
      <c r="F3428" s="7" t="s">
        <v>6798</v>
      </c>
      <c r="G3428" s="12" t="str">
        <f aca="false">IFERROR(INDEX('Semrush Data'!$A$1:$Z$20000,MATCH(A3428,'Semrush Data'!$A$1:$A$20000,0),MATCH("Volume",'Semrush Data'!$A$1:$Z$1,0)),"")</f>
        <v/>
      </c>
      <c r="H3428" s="7" t="str">
        <f aca="false">IFERROR(INDEX('Semrush Data'!$A$1:$Z$20000,MATCH(A3428,'Semrush Data'!$A$1:$A$20000,0),MATCH("Keyword Difficulty*",'Semrush Data'!$A$1:$Z$1,0)),"")</f>
        <v/>
      </c>
      <c r="I3428" s="13" t="str">
        <f aca="false">IFERROR(INDEX('Semrush Data'!$A$1:$Z$20000,MATCH(A3428,'Semrush Data'!$A$1:$A$20000,0),MATCH("CPC*",'Semrush Data'!$A$1:$Z$1,0)),"")</f>
        <v/>
      </c>
      <c r="J3428" s="7" t="str">
        <f aca="false">IFERROR(INDEX('Semrush Data'!$A$1:$Z$20000,MATCH(A3428,'Semrush Data'!$A$1:$A$20000,0),MATCH("Intent",'Semrush Data'!$A$1:$Z$1,0)),"")</f>
        <v/>
      </c>
    </row>
    <row r="3429" customFormat="false" ht="15" hidden="false" customHeight="true" outlineLevel="0" collapsed="false">
      <c r="A3429" s="7" t="s">
        <v>3578</v>
      </c>
      <c r="B3429" s="7" t="s">
        <v>1356</v>
      </c>
      <c r="C3429" s="7" t="n">
        <v>3</v>
      </c>
      <c r="D3429" s="7" t="n">
        <v>35</v>
      </c>
      <c r="E3429" s="7" t="n">
        <v>1</v>
      </c>
      <c r="F3429" s="7" t="s">
        <v>3573</v>
      </c>
      <c r="G3429" s="12" t="str">
        <f aca="false">IFERROR(INDEX('Semrush Data'!$A$1:$Z$20000,MATCH(A3429,'Semrush Data'!$A$1:$A$20000,0),MATCH("Volume",'Semrush Data'!$A$1:$Z$1,0)),"")</f>
        <v/>
      </c>
      <c r="H3429" s="7" t="str">
        <f aca="false">IFERROR(INDEX('Semrush Data'!$A$1:$Z$20000,MATCH(A3429,'Semrush Data'!$A$1:$A$20000,0),MATCH("Keyword Difficulty*",'Semrush Data'!$A$1:$Z$1,0)),"")</f>
        <v/>
      </c>
      <c r="I3429" s="13" t="str">
        <f aca="false">IFERROR(INDEX('Semrush Data'!$A$1:$Z$20000,MATCH(A3429,'Semrush Data'!$A$1:$A$20000,0),MATCH("CPC*",'Semrush Data'!$A$1:$Z$1,0)),"")</f>
        <v/>
      </c>
      <c r="J3429" s="7" t="str">
        <f aca="false">IFERROR(INDEX('Semrush Data'!$A$1:$Z$20000,MATCH(A3429,'Semrush Data'!$A$1:$A$20000,0),MATCH("Intent",'Semrush Data'!$A$1:$Z$1,0)),"")</f>
        <v/>
      </c>
    </row>
    <row r="3430" customFormat="false" ht="15" hidden="false" customHeight="true" outlineLevel="0" collapsed="false">
      <c r="A3430" s="7" t="s">
        <v>3668</v>
      </c>
      <c r="B3430" s="7" t="s">
        <v>1356</v>
      </c>
      <c r="C3430" s="7" t="n">
        <v>3</v>
      </c>
      <c r="D3430" s="7" t="n">
        <v>35</v>
      </c>
      <c r="E3430" s="7" t="n">
        <v>1</v>
      </c>
      <c r="F3430" s="7" t="s">
        <v>3663</v>
      </c>
      <c r="G3430" s="12" t="str">
        <f aca="false">IFERROR(INDEX('Semrush Data'!$A$1:$Z$20000,MATCH(A3430,'Semrush Data'!$A$1:$A$20000,0),MATCH("Volume",'Semrush Data'!$A$1:$Z$1,0)),"")</f>
        <v/>
      </c>
      <c r="H3430" s="7" t="str">
        <f aca="false">IFERROR(INDEX('Semrush Data'!$A$1:$Z$20000,MATCH(A3430,'Semrush Data'!$A$1:$A$20000,0),MATCH("Keyword Difficulty*",'Semrush Data'!$A$1:$Z$1,0)),"")</f>
        <v/>
      </c>
      <c r="I3430" s="13" t="str">
        <f aca="false">IFERROR(INDEX('Semrush Data'!$A$1:$Z$20000,MATCH(A3430,'Semrush Data'!$A$1:$A$20000,0),MATCH("CPC*",'Semrush Data'!$A$1:$Z$1,0)),"")</f>
        <v/>
      </c>
      <c r="J3430" s="7" t="str">
        <f aca="false">IFERROR(INDEX('Semrush Data'!$A$1:$Z$20000,MATCH(A3430,'Semrush Data'!$A$1:$A$20000,0),MATCH("Intent",'Semrush Data'!$A$1:$Z$1,0)),"")</f>
        <v/>
      </c>
    </row>
    <row r="3431" customFormat="false" ht="15" hidden="false" customHeight="true" outlineLevel="0" collapsed="false">
      <c r="A3431" s="7" t="s">
        <v>3614</v>
      </c>
      <c r="B3431" s="7" t="s">
        <v>1356</v>
      </c>
      <c r="C3431" s="7" t="n">
        <v>3</v>
      </c>
      <c r="D3431" s="7" t="n">
        <v>35</v>
      </c>
      <c r="E3431" s="7" t="n">
        <v>1</v>
      </c>
      <c r="F3431" s="7" t="s">
        <v>3609</v>
      </c>
      <c r="G3431" s="12" t="str">
        <f aca="false">IFERROR(INDEX('Semrush Data'!$A$1:$Z$20000,MATCH(A3431,'Semrush Data'!$A$1:$A$20000,0),MATCH("Volume",'Semrush Data'!$A$1:$Z$1,0)),"")</f>
        <v/>
      </c>
      <c r="H3431" s="7" t="str">
        <f aca="false">IFERROR(INDEX('Semrush Data'!$A$1:$Z$20000,MATCH(A3431,'Semrush Data'!$A$1:$A$20000,0),MATCH("Keyword Difficulty*",'Semrush Data'!$A$1:$Z$1,0)),"")</f>
        <v/>
      </c>
      <c r="I3431" s="13" t="str">
        <f aca="false">IFERROR(INDEX('Semrush Data'!$A$1:$Z$20000,MATCH(A3431,'Semrush Data'!$A$1:$A$20000,0),MATCH("CPC*",'Semrush Data'!$A$1:$Z$1,0)),"")</f>
        <v/>
      </c>
      <c r="J3431" s="7" t="str">
        <f aca="false">IFERROR(INDEX('Semrush Data'!$A$1:$Z$20000,MATCH(A3431,'Semrush Data'!$A$1:$A$20000,0),MATCH("Intent",'Semrush Data'!$A$1:$Z$1,0)),"")</f>
        <v/>
      </c>
    </row>
    <row r="3432" customFormat="false" ht="15" hidden="false" customHeight="true" outlineLevel="0" collapsed="false">
      <c r="A3432" s="7" t="s">
        <v>3603</v>
      </c>
      <c r="B3432" s="7" t="s">
        <v>1356</v>
      </c>
      <c r="C3432" s="7" t="n">
        <v>3</v>
      </c>
      <c r="D3432" s="7" t="n">
        <v>35</v>
      </c>
      <c r="E3432" s="7" t="n">
        <v>1</v>
      </c>
      <c r="F3432" s="7" t="s">
        <v>3598</v>
      </c>
      <c r="G3432" s="12" t="str">
        <f aca="false">IFERROR(INDEX('Semrush Data'!$A$1:$Z$20000,MATCH(A3432,'Semrush Data'!$A$1:$A$20000,0),MATCH("Volume",'Semrush Data'!$A$1:$Z$1,0)),"")</f>
        <v/>
      </c>
      <c r="H3432" s="7" t="str">
        <f aca="false">IFERROR(INDEX('Semrush Data'!$A$1:$Z$20000,MATCH(A3432,'Semrush Data'!$A$1:$A$20000,0),MATCH("Keyword Difficulty*",'Semrush Data'!$A$1:$Z$1,0)),"")</f>
        <v/>
      </c>
      <c r="I3432" s="13" t="str">
        <f aca="false">IFERROR(INDEX('Semrush Data'!$A$1:$Z$20000,MATCH(A3432,'Semrush Data'!$A$1:$A$20000,0),MATCH("CPC*",'Semrush Data'!$A$1:$Z$1,0)),"")</f>
        <v/>
      </c>
      <c r="J3432" s="7" t="str">
        <f aca="false">IFERROR(INDEX('Semrush Data'!$A$1:$Z$20000,MATCH(A3432,'Semrush Data'!$A$1:$A$20000,0),MATCH("Intent",'Semrush Data'!$A$1:$Z$1,0)),"")</f>
        <v/>
      </c>
    </row>
    <row r="3433" customFormat="false" ht="15" hidden="false" customHeight="true" outlineLevel="0" collapsed="false">
      <c r="A3433" s="7" t="s">
        <v>3588</v>
      </c>
      <c r="B3433" s="7" t="s">
        <v>1356</v>
      </c>
      <c r="C3433" s="7" t="n">
        <v>3</v>
      </c>
      <c r="D3433" s="7" t="n">
        <v>35</v>
      </c>
      <c r="E3433" s="7" t="n">
        <v>2</v>
      </c>
      <c r="F3433" s="7" t="s">
        <v>6799</v>
      </c>
      <c r="G3433" s="12" t="str">
        <f aca="false">IFERROR(INDEX('Semrush Data'!$A$1:$Z$20000,MATCH(A3433,'Semrush Data'!$A$1:$A$20000,0),MATCH("Volume",'Semrush Data'!$A$1:$Z$1,0)),"")</f>
        <v/>
      </c>
      <c r="H3433" s="7" t="str">
        <f aca="false">IFERROR(INDEX('Semrush Data'!$A$1:$Z$20000,MATCH(A3433,'Semrush Data'!$A$1:$A$20000,0),MATCH("Keyword Difficulty*",'Semrush Data'!$A$1:$Z$1,0)),"")</f>
        <v/>
      </c>
      <c r="I3433" s="13" t="str">
        <f aca="false">IFERROR(INDEX('Semrush Data'!$A$1:$Z$20000,MATCH(A3433,'Semrush Data'!$A$1:$A$20000,0),MATCH("CPC*",'Semrush Data'!$A$1:$Z$1,0)),"")</f>
        <v/>
      </c>
      <c r="J3433" s="7" t="str">
        <f aca="false">IFERROR(INDEX('Semrush Data'!$A$1:$Z$20000,MATCH(A3433,'Semrush Data'!$A$1:$A$20000,0),MATCH("Intent",'Semrush Data'!$A$1:$Z$1,0)),"")</f>
        <v/>
      </c>
    </row>
    <row r="3434" customFormat="false" ht="15" hidden="false" customHeight="true" outlineLevel="0" collapsed="false">
      <c r="A3434" s="7" t="s">
        <v>3799</v>
      </c>
      <c r="B3434" s="7" t="s">
        <v>1356</v>
      </c>
      <c r="C3434" s="7" t="n">
        <v>3</v>
      </c>
      <c r="D3434" s="7" t="n">
        <v>35</v>
      </c>
      <c r="E3434" s="7" t="n">
        <v>1</v>
      </c>
      <c r="F3434" s="7" t="s">
        <v>3794</v>
      </c>
      <c r="G3434" s="12" t="str">
        <f aca="false">IFERROR(INDEX('Semrush Data'!$A$1:$Z$20000,MATCH(A3434,'Semrush Data'!$A$1:$A$20000,0),MATCH("Volume",'Semrush Data'!$A$1:$Z$1,0)),"")</f>
        <v/>
      </c>
      <c r="H3434" s="7" t="str">
        <f aca="false">IFERROR(INDEX('Semrush Data'!$A$1:$Z$20000,MATCH(A3434,'Semrush Data'!$A$1:$A$20000,0),MATCH("Keyword Difficulty*",'Semrush Data'!$A$1:$Z$1,0)),"")</f>
        <v/>
      </c>
      <c r="I3434" s="13" t="str">
        <f aca="false">IFERROR(INDEX('Semrush Data'!$A$1:$Z$20000,MATCH(A3434,'Semrush Data'!$A$1:$A$20000,0),MATCH("CPC*",'Semrush Data'!$A$1:$Z$1,0)),"")</f>
        <v/>
      </c>
      <c r="J3434" s="7" t="str">
        <f aca="false">IFERROR(INDEX('Semrush Data'!$A$1:$Z$20000,MATCH(A3434,'Semrush Data'!$A$1:$A$20000,0),MATCH("Intent",'Semrush Data'!$A$1:$Z$1,0)),"")</f>
        <v/>
      </c>
    </row>
    <row r="3435" customFormat="false" ht="15" hidden="false" customHeight="true" outlineLevel="0" collapsed="false">
      <c r="A3435" s="7" t="s">
        <v>3810</v>
      </c>
      <c r="B3435" s="7" t="s">
        <v>1356</v>
      </c>
      <c r="C3435" s="7" t="n">
        <v>3</v>
      </c>
      <c r="D3435" s="7" t="n">
        <v>35</v>
      </c>
      <c r="E3435" s="7" t="n">
        <v>1</v>
      </c>
      <c r="F3435" s="7" t="s">
        <v>3805</v>
      </c>
      <c r="G3435" s="12" t="str">
        <f aca="false">IFERROR(INDEX('Semrush Data'!$A$1:$Z$20000,MATCH(A3435,'Semrush Data'!$A$1:$A$20000,0),MATCH("Volume",'Semrush Data'!$A$1:$Z$1,0)),"")</f>
        <v/>
      </c>
      <c r="H3435" s="7" t="str">
        <f aca="false">IFERROR(INDEX('Semrush Data'!$A$1:$Z$20000,MATCH(A3435,'Semrush Data'!$A$1:$A$20000,0),MATCH("Keyword Difficulty*",'Semrush Data'!$A$1:$Z$1,0)),"")</f>
        <v/>
      </c>
      <c r="I3435" s="13" t="str">
        <f aca="false">IFERROR(INDEX('Semrush Data'!$A$1:$Z$20000,MATCH(A3435,'Semrush Data'!$A$1:$A$20000,0),MATCH("CPC*",'Semrush Data'!$A$1:$Z$1,0)),"")</f>
        <v/>
      </c>
      <c r="J3435" s="7" t="str">
        <f aca="false">IFERROR(INDEX('Semrush Data'!$A$1:$Z$20000,MATCH(A3435,'Semrush Data'!$A$1:$A$20000,0),MATCH("Intent",'Semrush Data'!$A$1:$Z$1,0)),"")</f>
        <v/>
      </c>
    </row>
    <row r="3436" customFormat="false" ht="15" hidden="false" customHeight="true" outlineLevel="0" collapsed="false">
      <c r="A3436" s="7" t="s">
        <v>3822</v>
      </c>
      <c r="B3436" s="7" t="s">
        <v>1356</v>
      </c>
      <c r="C3436" s="7" t="n">
        <v>3</v>
      </c>
      <c r="D3436" s="7" t="n">
        <v>35</v>
      </c>
      <c r="E3436" s="7" t="n">
        <v>1</v>
      </c>
      <c r="F3436" s="7" t="s">
        <v>3817</v>
      </c>
      <c r="G3436" s="12" t="str">
        <f aca="false">IFERROR(INDEX('Semrush Data'!$A$1:$Z$20000,MATCH(A3436,'Semrush Data'!$A$1:$A$20000,0),MATCH("Volume",'Semrush Data'!$A$1:$Z$1,0)),"")</f>
        <v/>
      </c>
      <c r="H3436" s="7" t="str">
        <f aca="false">IFERROR(INDEX('Semrush Data'!$A$1:$Z$20000,MATCH(A3436,'Semrush Data'!$A$1:$A$20000,0),MATCH("Keyword Difficulty*",'Semrush Data'!$A$1:$Z$1,0)),"")</f>
        <v/>
      </c>
      <c r="I3436" s="13" t="str">
        <f aca="false">IFERROR(INDEX('Semrush Data'!$A$1:$Z$20000,MATCH(A3436,'Semrush Data'!$A$1:$A$20000,0),MATCH("CPC*",'Semrush Data'!$A$1:$Z$1,0)),"")</f>
        <v/>
      </c>
      <c r="J3436" s="7" t="str">
        <f aca="false">IFERROR(INDEX('Semrush Data'!$A$1:$Z$20000,MATCH(A3436,'Semrush Data'!$A$1:$A$20000,0),MATCH("Intent",'Semrush Data'!$A$1:$Z$1,0)),"")</f>
        <v/>
      </c>
    </row>
    <row r="3437" customFormat="false" ht="15" hidden="false" customHeight="true" outlineLevel="0" collapsed="false">
      <c r="A3437" s="7" t="s">
        <v>3833</v>
      </c>
      <c r="B3437" s="7" t="s">
        <v>1356</v>
      </c>
      <c r="C3437" s="7" t="n">
        <v>3</v>
      </c>
      <c r="D3437" s="7" t="n">
        <v>35</v>
      </c>
      <c r="E3437" s="7" t="n">
        <v>1</v>
      </c>
      <c r="F3437" s="7" t="s">
        <v>3828</v>
      </c>
      <c r="G3437" s="12" t="str">
        <f aca="false">IFERROR(INDEX('Semrush Data'!$A$1:$Z$20000,MATCH(A3437,'Semrush Data'!$A$1:$A$20000,0),MATCH("Volume",'Semrush Data'!$A$1:$Z$1,0)),"")</f>
        <v/>
      </c>
      <c r="H3437" s="7" t="str">
        <f aca="false">IFERROR(INDEX('Semrush Data'!$A$1:$Z$20000,MATCH(A3437,'Semrush Data'!$A$1:$A$20000,0),MATCH("Keyword Difficulty*",'Semrush Data'!$A$1:$Z$1,0)),"")</f>
        <v/>
      </c>
      <c r="I3437" s="13" t="str">
        <f aca="false">IFERROR(INDEX('Semrush Data'!$A$1:$Z$20000,MATCH(A3437,'Semrush Data'!$A$1:$A$20000,0),MATCH("CPC*",'Semrush Data'!$A$1:$Z$1,0)),"")</f>
        <v/>
      </c>
      <c r="J3437" s="7" t="str">
        <f aca="false">IFERROR(INDEX('Semrush Data'!$A$1:$Z$20000,MATCH(A3437,'Semrush Data'!$A$1:$A$20000,0),MATCH("Intent",'Semrush Data'!$A$1:$Z$1,0)),"")</f>
        <v/>
      </c>
    </row>
    <row r="3438" customFormat="false" ht="15" hidden="false" customHeight="true" outlineLevel="0" collapsed="false">
      <c r="A3438" s="7" t="s">
        <v>3684</v>
      </c>
      <c r="B3438" s="7" t="s">
        <v>1356</v>
      </c>
      <c r="C3438" s="7" t="n">
        <v>3</v>
      </c>
      <c r="D3438" s="7" t="n">
        <v>35</v>
      </c>
      <c r="E3438" s="7" t="n">
        <v>1</v>
      </c>
      <c r="F3438" s="7" t="s">
        <v>3678</v>
      </c>
      <c r="G3438" s="12" t="str">
        <f aca="false">IFERROR(INDEX('Semrush Data'!$A$1:$Z$20000,MATCH(A3438,'Semrush Data'!$A$1:$A$20000,0),MATCH("Volume",'Semrush Data'!$A$1:$Z$1,0)),"")</f>
        <v/>
      </c>
      <c r="H3438" s="7" t="str">
        <f aca="false">IFERROR(INDEX('Semrush Data'!$A$1:$Z$20000,MATCH(A3438,'Semrush Data'!$A$1:$A$20000,0),MATCH("Keyword Difficulty*",'Semrush Data'!$A$1:$Z$1,0)),"")</f>
        <v/>
      </c>
      <c r="I3438" s="13" t="str">
        <f aca="false">IFERROR(INDEX('Semrush Data'!$A$1:$Z$20000,MATCH(A3438,'Semrush Data'!$A$1:$A$20000,0),MATCH("CPC*",'Semrush Data'!$A$1:$Z$1,0)),"")</f>
        <v/>
      </c>
      <c r="J3438" s="7" t="str">
        <f aca="false">IFERROR(INDEX('Semrush Data'!$A$1:$Z$20000,MATCH(A3438,'Semrush Data'!$A$1:$A$20000,0),MATCH("Intent",'Semrush Data'!$A$1:$Z$1,0)),"")</f>
        <v/>
      </c>
    </row>
    <row r="3439" customFormat="false" ht="15" hidden="false" customHeight="true" outlineLevel="0" collapsed="false">
      <c r="A3439" s="7" t="s">
        <v>3697</v>
      </c>
      <c r="B3439" s="7" t="s">
        <v>1356</v>
      </c>
      <c r="C3439" s="7" t="n">
        <v>3</v>
      </c>
      <c r="D3439" s="7" t="n">
        <v>35</v>
      </c>
      <c r="E3439" s="7" t="n">
        <v>1</v>
      </c>
      <c r="F3439" s="7" t="s">
        <v>3691</v>
      </c>
      <c r="G3439" s="12" t="str">
        <f aca="false">IFERROR(INDEX('Semrush Data'!$A$1:$Z$20000,MATCH(A3439,'Semrush Data'!$A$1:$A$20000,0),MATCH("Volume",'Semrush Data'!$A$1:$Z$1,0)),"")</f>
        <v/>
      </c>
      <c r="H3439" s="7" t="str">
        <f aca="false">IFERROR(INDEX('Semrush Data'!$A$1:$Z$20000,MATCH(A3439,'Semrush Data'!$A$1:$A$20000,0),MATCH("Keyword Difficulty*",'Semrush Data'!$A$1:$Z$1,0)),"")</f>
        <v/>
      </c>
      <c r="I3439" s="13" t="str">
        <f aca="false">IFERROR(INDEX('Semrush Data'!$A$1:$Z$20000,MATCH(A3439,'Semrush Data'!$A$1:$A$20000,0),MATCH("CPC*",'Semrush Data'!$A$1:$Z$1,0)),"")</f>
        <v/>
      </c>
      <c r="J3439" s="7" t="str">
        <f aca="false">IFERROR(INDEX('Semrush Data'!$A$1:$Z$20000,MATCH(A3439,'Semrush Data'!$A$1:$A$20000,0),MATCH("Intent",'Semrush Data'!$A$1:$Z$1,0)),"")</f>
        <v/>
      </c>
    </row>
    <row r="3440" customFormat="false" ht="15" hidden="false" customHeight="true" outlineLevel="0" collapsed="false">
      <c r="A3440" s="7" t="s">
        <v>3709</v>
      </c>
      <c r="B3440" s="7" t="s">
        <v>1356</v>
      </c>
      <c r="C3440" s="7" t="n">
        <v>3</v>
      </c>
      <c r="D3440" s="7" t="n">
        <v>35</v>
      </c>
      <c r="E3440" s="7" t="n">
        <v>1</v>
      </c>
      <c r="F3440" s="7" t="s">
        <v>3704</v>
      </c>
      <c r="G3440" s="12" t="str">
        <f aca="false">IFERROR(INDEX('Semrush Data'!$A$1:$Z$20000,MATCH(A3440,'Semrush Data'!$A$1:$A$20000,0),MATCH("Volume",'Semrush Data'!$A$1:$Z$1,0)),"")</f>
        <v/>
      </c>
      <c r="H3440" s="7" t="str">
        <f aca="false">IFERROR(INDEX('Semrush Data'!$A$1:$Z$20000,MATCH(A3440,'Semrush Data'!$A$1:$A$20000,0),MATCH("Keyword Difficulty*",'Semrush Data'!$A$1:$Z$1,0)),"")</f>
        <v/>
      </c>
      <c r="I3440" s="13" t="str">
        <f aca="false">IFERROR(INDEX('Semrush Data'!$A$1:$Z$20000,MATCH(A3440,'Semrush Data'!$A$1:$A$20000,0),MATCH("CPC*",'Semrush Data'!$A$1:$Z$1,0)),"")</f>
        <v/>
      </c>
      <c r="J3440" s="7" t="str">
        <f aca="false">IFERROR(INDEX('Semrush Data'!$A$1:$Z$20000,MATCH(A3440,'Semrush Data'!$A$1:$A$20000,0),MATCH("Intent",'Semrush Data'!$A$1:$Z$1,0)),"")</f>
        <v/>
      </c>
    </row>
    <row r="3441" customFormat="false" ht="15" hidden="false" customHeight="true" outlineLevel="0" collapsed="false">
      <c r="A3441" s="7" t="s">
        <v>3720</v>
      </c>
      <c r="B3441" s="7" t="s">
        <v>1356</v>
      </c>
      <c r="C3441" s="7" t="n">
        <v>3</v>
      </c>
      <c r="D3441" s="7" t="n">
        <v>35</v>
      </c>
      <c r="E3441" s="7" t="n">
        <v>1</v>
      </c>
      <c r="F3441" s="7" t="s">
        <v>3715</v>
      </c>
      <c r="G3441" s="12" t="str">
        <f aca="false">IFERROR(INDEX('Semrush Data'!$A$1:$Z$20000,MATCH(A3441,'Semrush Data'!$A$1:$A$20000,0),MATCH("Volume",'Semrush Data'!$A$1:$Z$1,0)),"")</f>
        <v/>
      </c>
      <c r="H3441" s="7" t="str">
        <f aca="false">IFERROR(INDEX('Semrush Data'!$A$1:$Z$20000,MATCH(A3441,'Semrush Data'!$A$1:$A$20000,0),MATCH("Keyword Difficulty*",'Semrush Data'!$A$1:$Z$1,0)),"")</f>
        <v/>
      </c>
      <c r="I3441" s="13" t="str">
        <f aca="false">IFERROR(INDEX('Semrush Data'!$A$1:$Z$20000,MATCH(A3441,'Semrush Data'!$A$1:$A$20000,0),MATCH("CPC*",'Semrush Data'!$A$1:$Z$1,0)),"")</f>
        <v/>
      </c>
      <c r="J3441" s="7" t="str">
        <f aca="false">IFERROR(INDEX('Semrush Data'!$A$1:$Z$20000,MATCH(A3441,'Semrush Data'!$A$1:$A$20000,0),MATCH("Intent",'Semrush Data'!$A$1:$Z$1,0)),"")</f>
        <v/>
      </c>
    </row>
    <row r="3442" customFormat="false" ht="15" hidden="false" customHeight="true" outlineLevel="0" collapsed="false">
      <c r="A3442" s="7" t="s">
        <v>3731</v>
      </c>
      <c r="B3442" s="7" t="s">
        <v>1356</v>
      </c>
      <c r="C3442" s="7" t="n">
        <v>3</v>
      </c>
      <c r="D3442" s="7" t="n">
        <v>35</v>
      </c>
      <c r="E3442" s="7" t="n">
        <v>1</v>
      </c>
      <c r="F3442" s="7" t="s">
        <v>3726</v>
      </c>
      <c r="G3442" s="12" t="str">
        <f aca="false">IFERROR(INDEX('Semrush Data'!$A$1:$Z$20000,MATCH(A3442,'Semrush Data'!$A$1:$A$20000,0),MATCH("Volume",'Semrush Data'!$A$1:$Z$1,0)),"")</f>
        <v/>
      </c>
      <c r="H3442" s="7" t="str">
        <f aca="false">IFERROR(INDEX('Semrush Data'!$A$1:$Z$20000,MATCH(A3442,'Semrush Data'!$A$1:$A$20000,0),MATCH("Keyword Difficulty*",'Semrush Data'!$A$1:$Z$1,0)),"")</f>
        <v/>
      </c>
      <c r="I3442" s="13" t="str">
        <f aca="false">IFERROR(INDEX('Semrush Data'!$A$1:$Z$20000,MATCH(A3442,'Semrush Data'!$A$1:$A$20000,0),MATCH("CPC*",'Semrush Data'!$A$1:$Z$1,0)),"")</f>
        <v/>
      </c>
      <c r="J3442" s="7" t="str">
        <f aca="false">IFERROR(INDEX('Semrush Data'!$A$1:$Z$20000,MATCH(A3442,'Semrush Data'!$A$1:$A$20000,0),MATCH("Intent",'Semrush Data'!$A$1:$Z$1,0)),"")</f>
        <v/>
      </c>
    </row>
    <row r="3443" customFormat="false" ht="15" hidden="false" customHeight="true" outlineLevel="0" collapsed="false">
      <c r="A3443" s="7" t="s">
        <v>3743</v>
      </c>
      <c r="B3443" s="7" t="s">
        <v>1356</v>
      </c>
      <c r="C3443" s="7" t="n">
        <v>3</v>
      </c>
      <c r="D3443" s="7" t="n">
        <v>35</v>
      </c>
      <c r="E3443" s="7" t="n">
        <v>1</v>
      </c>
      <c r="F3443" s="7" t="s">
        <v>3738</v>
      </c>
      <c r="G3443" s="12" t="str">
        <f aca="false">IFERROR(INDEX('Semrush Data'!$A$1:$Z$20000,MATCH(A3443,'Semrush Data'!$A$1:$A$20000,0),MATCH("Volume",'Semrush Data'!$A$1:$Z$1,0)),"")</f>
        <v/>
      </c>
      <c r="H3443" s="7" t="str">
        <f aca="false">IFERROR(INDEX('Semrush Data'!$A$1:$Z$20000,MATCH(A3443,'Semrush Data'!$A$1:$A$20000,0),MATCH("Keyword Difficulty*",'Semrush Data'!$A$1:$Z$1,0)),"")</f>
        <v/>
      </c>
      <c r="I3443" s="13" t="str">
        <f aca="false">IFERROR(INDEX('Semrush Data'!$A$1:$Z$20000,MATCH(A3443,'Semrush Data'!$A$1:$A$20000,0),MATCH("CPC*",'Semrush Data'!$A$1:$Z$1,0)),"")</f>
        <v/>
      </c>
      <c r="J3443" s="7" t="str">
        <f aca="false">IFERROR(INDEX('Semrush Data'!$A$1:$Z$20000,MATCH(A3443,'Semrush Data'!$A$1:$A$20000,0),MATCH("Intent",'Semrush Data'!$A$1:$Z$1,0)),"")</f>
        <v/>
      </c>
    </row>
    <row r="3444" customFormat="false" ht="15" hidden="false" customHeight="true" outlineLevel="0" collapsed="false">
      <c r="A3444" s="7" t="s">
        <v>3754</v>
      </c>
      <c r="B3444" s="7" t="s">
        <v>1356</v>
      </c>
      <c r="C3444" s="7" t="n">
        <v>3</v>
      </c>
      <c r="D3444" s="7" t="n">
        <v>35</v>
      </c>
      <c r="E3444" s="7" t="n">
        <v>1</v>
      </c>
      <c r="F3444" s="7" t="s">
        <v>3749</v>
      </c>
      <c r="G3444" s="12" t="str">
        <f aca="false">IFERROR(INDEX('Semrush Data'!$A$1:$Z$20000,MATCH(A3444,'Semrush Data'!$A$1:$A$20000,0),MATCH("Volume",'Semrush Data'!$A$1:$Z$1,0)),"")</f>
        <v/>
      </c>
      <c r="H3444" s="7" t="str">
        <f aca="false">IFERROR(INDEX('Semrush Data'!$A$1:$Z$20000,MATCH(A3444,'Semrush Data'!$A$1:$A$20000,0),MATCH("Keyword Difficulty*",'Semrush Data'!$A$1:$Z$1,0)),"")</f>
        <v/>
      </c>
      <c r="I3444" s="13" t="str">
        <f aca="false">IFERROR(INDEX('Semrush Data'!$A$1:$Z$20000,MATCH(A3444,'Semrush Data'!$A$1:$A$20000,0),MATCH("CPC*",'Semrush Data'!$A$1:$Z$1,0)),"")</f>
        <v/>
      </c>
      <c r="J3444" s="7" t="str">
        <f aca="false">IFERROR(INDEX('Semrush Data'!$A$1:$Z$20000,MATCH(A3444,'Semrush Data'!$A$1:$A$20000,0),MATCH("Intent",'Semrush Data'!$A$1:$Z$1,0)),"")</f>
        <v/>
      </c>
    </row>
    <row r="3445" customFormat="false" ht="15" hidden="false" customHeight="true" outlineLevel="0" collapsed="false">
      <c r="A3445" s="7" t="s">
        <v>3765</v>
      </c>
      <c r="B3445" s="7" t="s">
        <v>1356</v>
      </c>
      <c r="C3445" s="7" t="n">
        <v>3</v>
      </c>
      <c r="D3445" s="7" t="n">
        <v>35</v>
      </c>
      <c r="E3445" s="7" t="n">
        <v>1</v>
      </c>
      <c r="F3445" s="7" t="s">
        <v>3760</v>
      </c>
      <c r="G3445" s="12" t="str">
        <f aca="false">IFERROR(INDEX('Semrush Data'!$A$1:$Z$20000,MATCH(A3445,'Semrush Data'!$A$1:$A$20000,0),MATCH("Volume",'Semrush Data'!$A$1:$Z$1,0)),"")</f>
        <v/>
      </c>
      <c r="H3445" s="7" t="str">
        <f aca="false">IFERROR(INDEX('Semrush Data'!$A$1:$Z$20000,MATCH(A3445,'Semrush Data'!$A$1:$A$20000,0),MATCH("Keyword Difficulty*",'Semrush Data'!$A$1:$Z$1,0)),"")</f>
        <v/>
      </c>
      <c r="I3445" s="13" t="str">
        <f aca="false">IFERROR(INDEX('Semrush Data'!$A$1:$Z$20000,MATCH(A3445,'Semrush Data'!$A$1:$A$20000,0),MATCH("CPC*",'Semrush Data'!$A$1:$Z$1,0)),"")</f>
        <v/>
      </c>
      <c r="J3445" s="7" t="str">
        <f aca="false">IFERROR(INDEX('Semrush Data'!$A$1:$Z$20000,MATCH(A3445,'Semrush Data'!$A$1:$A$20000,0),MATCH("Intent",'Semrush Data'!$A$1:$Z$1,0)),"")</f>
        <v/>
      </c>
    </row>
    <row r="3446" customFormat="false" ht="15" hidden="false" customHeight="true" outlineLevel="0" collapsed="false">
      <c r="A3446" s="7" t="s">
        <v>3776</v>
      </c>
      <c r="B3446" s="7" t="s">
        <v>1356</v>
      </c>
      <c r="C3446" s="7" t="n">
        <v>3</v>
      </c>
      <c r="D3446" s="7" t="n">
        <v>35</v>
      </c>
      <c r="E3446" s="7" t="n">
        <v>1</v>
      </c>
      <c r="F3446" s="7" t="s">
        <v>3771</v>
      </c>
      <c r="G3446" s="12" t="str">
        <f aca="false">IFERROR(INDEX('Semrush Data'!$A$1:$Z$20000,MATCH(A3446,'Semrush Data'!$A$1:$A$20000,0),MATCH("Volume",'Semrush Data'!$A$1:$Z$1,0)),"")</f>
        <v/>
      </c>
      <c r="H3446" s="7" t="str">
        <f aca="false">IFERROR(INDEX('Semrush Data'!$A$1:$Z$20000,MATCH(A3446,'Semrush Data'!$A$1:$A$20000,0),MATCH("Keyword Difficulty*",'Semrush Data'!$A$1:$Z$1,0)),"")</f>
        <v/>
      </c>
      <c r="I3446" s="13" t="str">
        <f aca="false">IFERROR(INDEX('Semrush Data'!$A$1:$Z$20000,MATCH(A3446,'Semrush Data'!$A$1:$A$20000,0),MATCH("CPC*",'Semrush Data'!$A$1:$Z$1,0)),"")</f>
        <v/>
      </c>
      <c r="J3446" s="7" t="str">
        <f aca="false">IFERROR(INDEX('Semrush Data'!$A$1:$Z$20000,MATCH(A3446,'Semrush Data'!$A$1:$A$20000,0),MATCH("Intent",'Semrush Data'!$A$1:$Z$1,0)),"")</f>
        <v/>
      </c>
    </row>
    <row r="3447" customFormat="false" ht="15" hidden="false" customHeight="true" outlineLevel="0" collapsed="false">
      <c r="A3447" s="7" t="s">
        <v>3787</v>
      </c>
      <c r="B3447" s="7" t="s">
        <v>1356</v>
      </c>
      <c r="C3447" s="7" t="n">
        <v>3</v>
      </c>
      <c r="D3447" s="7" t="n">
        <v>35</v>
      </c>
      <c r="E3447" s="7" t="n">
        <v>1</v>
      </c>
      <c r="F3447" s="7" t="s">
        <v>3782</v>
      </c>
      <c r="G3447" s="12" t="str">
        <f aca="false">IFERROR(INDEX('Semrush Data'!$A$1:$Z$20000,MATCH(A3447,'Semrush Data'!$A$1:$A$20000,0),MATCH("Volume",'Semrush Data'!$A$1:$Z$1,0)),"")</f>
        <v/>
      </c>
      <c r="H3447" s="7" t="str">
        <f aca="false">IFERROR(INDEX('Semrush Data'!$A$1:$Z$20000,MATCH(A3447,'Semrush Data'!$A$1:$A$20000,0),MATCH("Keyword Difficulty*",'Semrush Data'!$A$1:$Z$1,0)),"")</f>
        <v/>
      </c>
      <c r="I3447" s="13" t="str">
        <f aca="false">IFERROR(INDEX('Semrush Data'!$A$1:$Z$20000,MATCH(A3447,'Semrush Data'!$A$1:$A$20000,0),MATCH("CPC*",'Semrush Data'!$A$1:$Z$1,0)),"")</f>
        <v/>
      </c>
      <c r="J3447" s="7" t="str">
        <f aca="false">IFERROR(INDEX('Semrush Data'!$A$1:$Z$20000,MATCH(A3447,'Semrush Data'!$A$1:$A$20000,0),MATCH("Intent",'Semrush Data'!$A$1:$Z$1,0)),"")</f>
        <v/>
      </c>
    </row>
    <row r="3448" customFormat="false" ht="15" hidden="false" customHeight="true" outlineLevel="0" collapsed="false">
      <c r="A3448" s="7" t="s">
        <v>3843</v>
      </c>
      <c r="B3448" s="7" t="s">
        <v>1356</v>
      </c>
      <c r="C3448" s="7" t="n">
        <v>3</v>
      </c>
      <c r="D3448" s="7" t="n">
        <v>35</v>
      </c>
      <c r="E3448" s="7" t="n">
        <v>1</v>
      </c>
      <c r="F3448" s="7" t="s">
        <v>120</v>
      </c>
      <c r="G3448" s="12" t="str">
        <f aca="false">IFERROR(INDEX('Semrush Data'!$A$1:$Z$20000,MATCH(A3448,'Semrush Data'!$A$1:$A$20000,0),MATCH("Volume",'Semrush Data'!$A$1:$Z$1,0)),"")</f>
        <v/>
      </c>
      <c r="H3448" s="7" t="str">
        <f aca="false">IFERROR(INDEX('Semrush Data'!$A$1:$Z$20000,MATCH(A3448,'Semrush Data'!$A$1:$A$20000,0),MATCH("Keyword Difficulty*",'Semrush Data'!$A$1:$Z$1,0)),"")</f>
        <v/>
      </c>
      <c r="I3448" s="13" t="str">
        <f aca="false">IFERROR(INDEX('Semrush Data'!$A$1:$Z$20000,MATCH(A3448,'Semrush Data'!$A$1:$A$20000,0),MATCH("CPC*",'Semrush Data'!$A$1:$Z$1,0)),"")</f>
        <v/>
      </c>
      <c r="J3448" s="7" t="str">
        <f aca="false">IFERROR(INDEX('Semrush Data'!$A$1:$Z$20000,MATCH(A3448,'Semrush Data'!$A$1:$A$20000,0),MATCH("Intent",'Semrush Data'!$A$1:$Z$1,0)),"")</f>
        <v/>
      </c>
    </row>
    <row r="3449" customFormat="false" ht="15" hidden="false" customHeight="true" outlineLevel="0" collapsed="false">
      <c r="A3449" s="7" t="s">
        <v>3922</v>
      </c>
      <c r="B3449" s="7" t="s">
        <v>1356</v>
      </c>
      <c r="C3449" s="7" t="n">
        <v>3</v>
      </c>
      <c r="D3449" s="7" t="n">
        <v>35</v>
      </c>
      <c r="E3449" s="7" t="n">
        <v>1</v>
      </c>
      <c r="F3449" s="7" t="s">
        <v>3917</v>
      </c>
      <c r="G3449" s="12" t="str">
        <f aca="false">IFERROR(INDEX('Semrush Data'!$A$1:$Z$20000,MATCH(A3449,'Semrush Data'!$A$1:$A$20000,0),MATCH("Volume",'Semrush Data'!$A$1:$Z$1,0)),"")</f>
        <v/>
      </c>
      <c r="H3449" s="7" t="str">
        <f aca="false">IFERROR(INDEX('Semrush Data'!$A$1:$Z$20000,MATCH(A3449,'Semrush Data'!$A$1:$A$20000,0),MATCH("Keyword Difficulty*",'Semrush Data'!$A$1:$Z$1,0)),"")</f>
        <v/>
      </c>
      <c r="I3449" s="13" t="str">
        <f aca="false">IFERROR(INDEX('Semrush Data'!$A$1:$Z$20000,MATCH(A3449,'Semrush Data'!$A$1:$A$20000,0),MATCH("CPC*",'Semrush Data'!$A$1:$Z$1,0)),"")</f>
        <v/>
      </c>
      <c r="J3449" s="7" t="str">
        <f aca="false">IFERROR(INDEX('Semrush Data'!$A$1:$Z$20000,MATCH(A3449,'Semrush Data'!$A$1:$A$20000,0),MATCH("Intent",'Semrush Data'!$A$1:$Z$1,0)),"")</f>
        <v/>
      </c>
    </row>
    <row r="3450" customFormat="false" ht="15" hidden="false" customHeight="true" outlineLevel="0" collapsed="false">
      <c r="A3450" s="7" t="s">
        <v>3855</v>
      </c>
      <c r="B3450" s="7" t="s">
        <v>1356</v>
      </c>
      <c r="C3450" s="7" t="n">
        <v>3</v>
      </c>
      <c r="D3450" s="7" t="n">
        <v>35</v>
      </c>
      <c r="E3450" s="7" t="n">
        <v>1</v>
      </c>
      <c r="F3450" s="7" t="s">
        <v>3850</v>
      </c>
      <c r="G3450" s="12" t="str">
        <f aca="false">IFERROR(INDEX('Semrush Data'!$A$1:$Z$20000,MATCH(A3450,'Semrush Data'!$A$1:$A$20000,0),MATCH("Volume",'Semrush Data'!$A$1:$Z$1,0)),"")</f>
        <v/>
      </c>
      <c r="H3450" s="7" t="str">
        <f aca="false">IFERROR(INDEX('Semrush Data'!$A$1:$Z$20000,MATCH(A3450,'Semrush Data'!$A$1:$A$20000,0),MATCH("Keyword Difficulty*",'Semrush Data'!$A$1:$Z$1,0)),"")</f>
        <v/>
      </c>
      <c r="I3450" s="13" t="str">
        <f aca="false">IFERROR(INDEX('Semrush Data'!$A$1:$Z$20000,MATCH(A3450,'Semrush Data'!$A$1:$A$20000,0),MATCH("CPC*",'Semrush Data'!$A$1:$Z$1,0)),"")</f>
        <v/>
      </c>
      <c r="J3450" s="7" t="str">
        <f aca="false">IFERROR(INDEX('Semrush Data'!$A$1:$Z$20000,MATCH(A3450,'Semrush Data'!$A$1:$A$20000,0),MATCH("Intent",'Semrush Data'!$A$1:$Z$1,0)),"")</f>
        <v/>
      </c>
    </row>
    <row r="3451" customFormat="false" ht="15" hidden="false" customHeight="true" outlineLevel="0" collapsed="false">
      <c r="A3451" s="7" t="s">
        <v>3867</v>
      </c>
      <c r="B3451" s="7" t="s">
        <v>1356</v>
      </c>
      <c r="C3451" s="7" t="n">
        <v>3</v>
      </c>
      <c r="D3451" s="7" t="n">
        <v>35</v>
      </c>
      <c r="E3451" s="7" t="n">
        <v>1</v>
      </c>
      <c r="F3451" s="7" t="s">
        <v>3861</v>
      </c>
      <c r="G3451" s="12" t="str">
        <f aca="false">IFERROR(INDEX('Semrush Data'!$A$1:$Z$20000,MATCH(A3451,'Semrush Data'!$A$1:$A$20000,0),MATCH("Volume",'Semrush Data'!$A$1:$Z$1,0)),"")</f>
        <v/>
      </c>
      <c r="H3451" s="7" t="str">
        <f aca="false">IFERROR(INDEX('Semrush Data'!$A$1:$Z$20000,MATCH(A3451,'Semrush Data'!$A$1:$A$20000,0),MATCH("Keyword Difficulty*",'Semrush Data'!$A$1:$Z$1,0)),"")</f>
        <v/>
      </c>
      <c r="I3451" s="13" t="str">
        <f aca="false">IFERROR(INDEX('Semrush Data'!$A$1:$Z$20000,MATCH(A3451,'Semrush Data'!$A$1:$A$20000,0),MATCH("CPC*",'Semrush Data'!$A$1:$Z$1,0)),"")</f>
        <v/>
      </c>
      <c r="J3451" s="7" t="str">
        <f aca="false">IFERROR(INDEX('Semrush Data'!$A$1:$Z$20000,MATCH(A3451,'Semrush Data'!$A$1:$A$20000,0),MATCH("Intent",'Semrush Data'!$A$1:$Z$1,0)),"")</f>
        <v/>
      </c>
    </row>
    <row r="3452" customFormat="false" ht="15" hidden="false" customHeight="true" outlineLevel="0" collapsed="false">
      <c r="A3452" s="7" t="s">
        <v>3878</v>
      </c>
      <c r="B3452" s="7" t="s">
        <v>1356</v>
      </c>
      <c r="C3452" s="7" t="n">
        <v>3</v>
      </c>
      <c r="D3452" s="7" t="n">
        <v>35</v>
      </c>
      <c r="E3452" s="7" t="n">
        <v>1</v>
      </c>
      <c r="F3452" s="7" t="s">
        <v>3873</v>
      </c>
      <c r="G3452" s="12" t="str">
        <f aca="false">IFERROR(INDEX('Semrush Data'!$A$1:$Z$20000,MATCH(A3452,'Semrush Data'!$A$1:$A$20000,0),MATCH("Volume",'Semrush Data'!$A$1:$Z$1,0)),"")</f>
        <v/>
      </c>
      <c r="H3452" s="7" t="str">
        <f aca="false">IFERROR(INDEX('Semrush Data'!$A$1:$Z$20000,MATCH(A3452,'Semrush Data'!$A$1:$A$20000,0),MATCH("Keyword Difficulty*",'Semrush Data'!$A$1:$Z$1,0)),"")</f>
        <v/>
      </c>
      <c r="I3452" s="13" t="str">
        <f aca="false">IFERROR(INDEX('Semrush Data'!$A$1:$Z$20000,MATCH(A3452,'Semrush Data'!$A$1:$A$20000,0),MATCH("CPC*",'Semrush Data'!$A$1:$Z$1,0)),"")</f>
        <v/>
      </c>
      <c r="J3452" s="7" t="str">
        <f aca="false">IFERROR(INDEX('Semrush Data'!$A$1:$Z$20000,MATCH(A3452,'Semrush Data'!$A$1:$A$20000,0),MATCH("Intent",'Semrush Data'!$A$1:$Z$1,0)),"")</f>
        <v/>
      </c>
    </row>
    <row r="3453" customFormat="false" ht="15" hidden="false" customHeight="true" outlineLevel="0" collapsed="false">
      <c r="A3453" s="7" t="s">
        <v>3933</v>
      </c>
      <c r="B3453" s="7" t="s">
        <v>1356</v>
      </c>
      <c r="C3453" s="7" t="n">
        <v>3</v>
      </c>
      <c r="D3453" s="7" t="n">
        <v>35</v>
      </c>
      <c r="E3453" s="7" t="n">
        <v>1</v>
      </c>
      <c r="F3453" s="7" t="s">
        <v>3928</v>
      </c>
      <c r="G3453" s="12" t="str">
        <f aca="false">IFERROR(INDEX('Semrush Data'!$A$1:$Z$20000,MATCH(A3453,'Semrush Data'!$A$1:$A$20000,0),MATCH("Volume",'Semrush Data'!$A$1:$Z$1,0)),"")</f>
        <v/>
      </c>
      <c r="H3453" s="7" t="str">
        <f aca="false">IFERROR(INDEX('Semrush Data'!$A$1:$Z$20000,MATCH(A3453,'Semrush Data'!$A$1:$A$20000,0),MATCH("Keyword Difficulty*",'Semrush Data'!$A$1:$Z$1,0)),"")</f>
        <v/>
      </c>
      <c r="I3453" s="13" t="str">
        <f aca="false">IFERROR(INDEX('Semrush Data'!$A$1:$Z$20000,MATCH(A3453,'Semrush Data'!$A$1:$A$20000,0),MATCH("CPC*",'Semrush Data'!$A$1:$Z$1,0)),"")</f>
        <v/>
      </c>
      <c r="J3453" s="7" t="str">
        <f aca="false">IFERROR(INDEX('Semrush Data'!$A$1:$Z$20000,MATCH(A3453,'Semrush Data'!$A$1:$A$20000,0),MATCH("Intent",'Semrush Data'!$A$1:$Z$1,0)),"")</f>
        <v/>
      </c>
    </row>
    <row r="3454" customFormat="false" ht="15" hidden="false" customHeight="true" outlineLevel="0" collapsed="false">
      <c r="A3454" s="7" t="s">
        <v>3900</v>
      </c>
      <c r="B3454" s="7" t="s">
        <v>1356</v>
      </c>
      <c r="C3454" s="7" t="n">
        <v>3</v>
      </c>
      <c r="D3454" s="7" t="n">
        <v>35</v>
      </c>
      <c r="E3454" s="7" t="n">
        <v>1</v>
      </c>
      <c r="F3454" s="7" t="s">
        <v>3895</v>
      </c>
      <c r="G3454" s="12" t="str">
        <f aca="false">IFERROR(INDEX('Semrush Data'!$A$1:$Z$20000,MATCH(A3454,'Semrush Data'!$A$1:$A$20000,0),MATCH("Volume",'Semrush Data'!$A$1:$Z$1,0)),"")</f>
        <v/>
      </c>
      <c r="H3454" s="7" t="str">
        <f aca="false">IFERROR(INDEX('Semrush Data'!$A$1:$Z$20000,MATCH(A3454,'Semrush Data'!$A$1:$A$20000,0),MATCH("Keyword Difficulty*",'Semrush Data'!$A$1:$Z$1,0)),"")</f>
        <v/>
      </c>
      <c r="I3454" s="13" t="str">
        <f aca="false">IFERROR(INDEX('Semrush Data'!$A$1:$Z$20000,MATCH(A3454,'Semrush Data'!$A$1:$A$20000,0),MATCH("CPC*",'Semrush Data'!$A$1:$Z$1,0)),"")</f>
        <v/>
      </c>
      <c r="J3454" s="7" t="str">
        <f aca="false">IFERROR(INDEX('Semrush Data'!$A$1:$Z$20000,MATCH(A3454,'Semrush Data'!$A$1:$A$20000,0),MATCH("Intent",'Semrush Data'!$A$1:$Z$1,0)),"")</f>
        <v/>
      </c>
    </row>
    <row r="3455" customFormat="false" ht="15" hidden="false" customHeight="true" outlineLevel="0" collapsed="false">
      <c r="A3455" s="7" t="s">
        <v>3943</v>
      </c>
      <c r="B3455" s="7" t="s">
        <v>1356</v>
      </c>
      <c r="C3455" s="7" t="n">
        <v>3</v>
      </c>
      <c r="D3455" s="7" t="n">
        <v>35</v>
      </c>
      <c r="E3455" s="7" t="n">
        <v>1</v>
      </c>
      <c r="F3455" s="7" t="s">
        <v>3938</v>
      </c>
      <c r="G3455" s="12" t="str">
        <f aca="false">IFERROR(INDEX('Semrush Data'!$A$1:$Z$20000,MATCH(A3455,'Semrush Data'!$A$1:$A$20000,0),MATCH("Volume",'Semrush Data'!$A$1:$Z$1,0)),"")</f>
        <v/>
      </c>
      <c r="H3455" s="7" t="str">
        <f aca="false">IFERROR(INDEX('Semrush Data'!$A$1:$Z$20000,MATCH(A3455,'Semrush Data'!$A$1:$A$20000,0),MATCH("Keyword Difficulty*",'Semrush Data'!$A$1:$Z$1,0)),"")</f>
        <v/>
      </c>
      <c r="I3455" s="13" t="str">
        <f aca="false">IFERROR(INDEX('Semrush Data'!$A$1:$Z$20000,MATCH(A3455,'Semrush Data'!$A$1:$A$20000,0),MATCH("CPC*",'Semrush Data'!$A$1:$Z$1,0)),"")</f>
        <v/>
      </c>
      <c r="J3455" s="7" t="str">
        <f aca="false">IFERROR(INDEX('Semrush Data'!$A$1:$Z$20000,MATCH(A3455,'Semrush Data'!$A$1:$A$20000,0),MATCH("Intent",'Semrush Data'!$A$1:$Z$1,0)),"")</f>
        <v/>
      </c>
    </row>
    <row r="3456" customFormat="false" ht="15" hidden="false" customHeight="true" outlineLevel="0" collapsed="false">
      <c r="A3456" s="7" t="s">
        <v>3889</v>
      </c>
      <c r="B3456" s="7" t="s">
        <v>1356</v>
      </c>
      <c r="C3456" s="7" t="n">
        <v>3</v>
      </c>
      <c r="D3456" s="7" t="n">
        <v>35</v>
      </c>
      <c r="E3456" s="7" t="n">
        <v>1</v>
      </c>
      <c r="F3456" s="7" t="s">
        <v>3884</v>
      </c>
      <c r="G3456" s="12" t="str">
        <f aca="false">IFERROR(INDEX('Semrush Data'!$A$1:$Z$20000,MATCH(A3456,'Semrush Data'!$A$1:$A$20000,0),MATCH("Volume",'Semrush Data'!$A$1:$Z$1,0)),"")</f>
        <v/>
      </c>
      <c r="H3456" s="7" t="str">
        <f aca="false">IFERROR(INDEX('Semrush Data'!$A$1:$Z$20000,MATCH(A3456,'Semrush Data'!$A$1:$A$20000,0),MATCH("Keyword Difficulty*",'Semrush Data'!$A$1:$Z$1,0)),"")</f>
        <v/>
      </c>
      <c r="I3456" s="13" t="str">
        <f aca="false">IFERROR(INDEX('Semrush Data'!$A$1:$Z$20000,MATCH(A3456,'Semrush Data'!$A$1:$A$20000,0),MATCH("CPC*",'Semrush Data'!$A$1:$Z$1,0)),"")</f>
        <v/>
      </c>
      <c r="J3456" s="7" t="str">
        <f aca="false">IFERROR(INDEX('Semrush Data'!$A$1:$Z$20000,MATCH(A3456,'Semrush Data'!$A$1:$A$20000,0),MATCH("Intent",'Semrush Data'!$A$1:$Z$1,0)),"")</f>
        <v/>
      </c>
    </row>
    <row r="3457" customFormat="false" ht="15" hidden="false" customHeight="true" outlineLevel="0" collapsed="false">
      <c r="A3457" s="7" t="s">
        <v>3911</v>
      </c>
      <c r="B3457" s="7" t="s">
        <v>1356</v>
      </c>
      <c r="C3457" s="7" t="n">
        <v>3</v>
      </c>
      <c r="D3457" s="7" t="n">
        <v>35</v>
      </c>
      <c r="E3457" s="7" t="n">
        <v>1</v>
      </c>
      <c r="F3457" s="7" t="s">
        <v>3906</v>
      </c>
      <c r="G3457" s="12" t="str">
        <f aca="false">IFERROR(INDEX('Semrush Data'!$A$1:$Z$20000,MATCH(A3457,'Semrush Data'!$A$1:$A$20000,0),MATCH("Volume",'Semrush Data'!$A$1:$Z$1,0)),"")</f>
        <v/>
      </c>
      <c r="H3457" s="7" t="str">
        <f aca="false">IFERROR(INDEX('Semrush Data'!$A$1:$Z$20000,MATCH(A3457,'Semrush Data'!$A$1:$A$20000,0),MATCH("Keyword Difficulty*",'Semrush Data'!$A$1:$Z$1,0)),"")</f>
        <v/>
      </c>
      <c r="I3457" s="13" t="str">
        <f aca="false">IFERROR(INDEX('Semrush Data'!$A$1:$Z$20000,MATCH(A3457,'Semrush Data'!$A$1:$A$20000,0),MATCH("CPC*",'Semrush Data'!$A$1:$Z$1,0)),"")</f>
        <v/>
      </c>
      <c r="J3457" s="7" t="str">
        <f aca="false">IFERROR(INDEX('Semrush Data'!$A$1:$Z$20000,MATCH(A3457,'Semrush Data'!$A$1:$A$20000,0),MATCH("Intent",'Semrush Data'!$A$1:$Z$1,0)),"")</f>
        <v/>
      </c>
    </row>
    <row r="3458" customFormat="false" ht="15" hidden="false" customHeight="true" outlineLevel="0" collapsed="false">
      <c r="A3458" s="7" t="s">
        <v>3954</v>
      </c>
      <c r="B3458" s="7" t="s">
        <v>1356</v>
      </c>
      <c r="C3458" s="7" t="n">
        <v>3</v>
      </c>
      <c r="D3458" s="7" t="n">
        <v>35</v>
      </c>
      <c r="E3458" s="7" t="n">
        <v>1</v>
      </c>
      <c r="F3458" s="7" t="s">
        <v>3948</v>
      </c>
      <c r="G3458" s="12" t="str">
        <f aca="false">IFERROR(INDEX('Semrush Data'!$A$1:$Z$20000,MATCH(A3458,'Semrush Data'!$A$1:$A$20000,0),MATCH("Volume",'Semrush Data'!$A$1:$Z$1,0)),"")</f>
        <v/>
      </c>
      <c r="H3458" s="7" t="str">
        <f aca="false">IFERROR(INDEX('Semrush Data'!$A$1:$Z$20000,MATCH(A3458,'Semrush Data'!$A$1:$A$20000,0),MATCH("Keyword Difficulty*",'Semrush Data'!$A$1:$Z$1,0)),"")</f>
        <v/>
      </c>
      <c r="I3458" s="13" t="str">
        <f aca="false">IFERROR(INDEX('Semrush Data'!$A$1:$Z$20000,MATCH(A3458,'Semrush Data'!$A$1:$A$20000,0),MATCH("CPC*",'Semrush Data'!$A$1:$Z$1,0)),"")</f>
        <v/>
      </c>
      <c r="J3458" s="7" t="str">
        <f aca="false">IFERROR(INDEX('Semrush Data'!$A$1:$Z$20000,MATCH(A3458,'Semrush Data'!$A$1:$A$20000,0),MATCH("Intent",'Semrush Data'!$A$1:$Z$1,0)),"")</f>
        <v/>
      </c>
    </row>
    <row r="3459" customFormat="false" ht="15" hidden="false" customHeight="true" outlineLevel="0" collapsed="false">
      <c r="A3459" s="7" t="s">
        <v>3967</v>
      </c>
      <c r="B3459" s="7" t="s">
        <v>1356</v>
      </c>
      <c r="C3459" s="7" t="n">
        <v>3</v>
      </c>
      <c r="D3459" s="7" t="n">
        <v>35</v>
      </c>
      <c r="E3459" s="7" t="n">
        <v>1</v>
      </c>
      <c r="F3459" s="7" t="s">
        <v>3961</v>
      </c>
      <c r="G3459" s="12" t="str">
        <f aca="false">IFERROR(INDEX('Semrush Data'!$A$1:$Z$20000,MATCH(A3459,'Semrush Data'!$A$1:$A$20000,0),MATCH("Volume",'Semrush Data'!$A$1:$Z$1,0)),"")</f>
        <v/>
      </c>
      <c r="H3459" s="7" t="str">
        <f aca="false">IFERROR(INDEX('Semrush Data'!$A$1:$Z$20000,MATCH(A3459,'Semrush Data'!$A$1:$A$20000,0),MATCH("Keyword Difficulty*",'Semrush Data'!$A$1:$Z$1,0)),"")</f>
        <v/>
      </c>
      <c r="I3459" s="13" t="str">
        <f aca="false">IFERROR(INDEX('Semrush Data'!$A$1:$Z$20000,MATCH(A3459,'Semrush Data'!$A$1:$A$20000,0),MATCH("CPC*",'Semrush Data'!$A$1:$Z$1,0)),"")</f>
        <v/>
      </c>
      <c r="J3459" s="7" t="str">
        <f aca="false">IFERROR(INDEX('Semrush Data'!$A$1:$Z$20000,MATCH(A3459,'Semrush Data'!$A$1:$A$20000,0),MATCH("Intent",'Semrush Data'!$A$1:$Z$1,0)),"")</f>
        <v/>
      </c>
    </row>
    <row r="3460" customFormat="false" ht="15" hidden="false" customHeight="true" outlineLevel="0" collapsed="false">
      <c r="A3460" s="7" t="s">
        <v>3977</v>
      </c>
      <c r="B3460" s="7" t="s">
        <v>1356</v>
      </c>
      <c r="C3460" s="7" t="n">
        <v>3</v>
      </c>
      <c r="D3460" s="7" t="n">
        <v>35</v>
      </c>
      <c r="E3460" s="7" t="n">
        <v>1</v>
      </c>
      <c r="F3460" s="7" t="s">
        <v>126</v>
      </c>
      <c r="G3460" s="12" t="str">
        <f aca="false">IFERROR(INDEX('Semrush Data'!$A$1:$Z$20000,MATCH(A3460,'Semrush Data'!$A$1:$A$20000,0),MATCH("Volume",'Semrush Data'!$A$1:$Z$1,0)),"")</f>
        <v/>
      </c>
      <c r="H3460" s="7" t="str">
        <f aca="false">IFERROR(INDEX('Semrush Data'!$A$1:$Z$20000,MATCH(A3460,'Semrush Data'!$A$1:$A$20000,0),MATCH("Keyword Difficulty*",'Semrush Data'!$A$1:$Z$1,0)),"")</f>
        <v/>
      </c>
      <c r="I3460" s="13" t="str">
        <f aca="false">IFERROR(INDEX('Semrush Data'!$A$1:$Z$20000,MATCH(A3460,'Semrush Data'!$A$1:$A$20000,0),MATCH("CPC*",'Semrush Data'!$A$1:$Z$1,0)),"")</f>
        <v/>
      </c>
      <c r="J3460" s="7" t="str">
        <f aca="false">IFERROR(INDEX('Semrush Data'!$A$1:$Z$20000,MATCH(A3460,'Semrush Data'!$A$1:$A$20000,0),MATCH("Intent",'Semrush Data'!$A$1:$Z$1,0)),"")</f>
        <v/>
      </c>
    </row>
    <row r="3461" customFormat="false" ht="15" hidden="false" customHeight="true" outlineLevel="0" collapsed="false">
      <c r="A3461" s="7" t="s">
        <v>3989</v>
      </c>
      <c r="B3461" s="7" t="s">
        <v>1356</v>
      </c>
      <c r="C3461" s="7" t="n">
        <v>3</v>
      </c>
      <c r="D3461" s="7" t="n">
        <v>35</v>
      </c>
      <c r="E3461" s="7" t="n">
        <v>1</v>
      </c>
      <c r="F3461" s="7" t="s">
        <v>3983</v>
      </c>
      <c r="G3461" s="12" t="str">
        <f aca="false">IFERROR(INDEX('Semrush Data'!$A$1:$Z$20000,MATCH(A3461,'Semrush Data'!$A$1:$A$20000,0),MATCH("Volume",'Semrush Data'!$A$1:$Z$1,0)),"")</f>
        <v/>
      </c>
      <c r="H3461" s="7" t="str">
        <f aca="false">IFERROR(INDEX('Semrush Data'!$A$1:$Z$20000,MATCH(A3461,'Semrush Data'!$A$1:$A$20000,0),MATCH("Keyword Difficulty*",'Semrush Data'!$A$1:$Z$1,0)),"")</f>
        <v/>
      </c>
      <c r="I3461" s="13" t="str">
        <f aca="false">IFERROR(INDEX('Semrush Data'!$A$1:$Z$20000,MATCH(A3461,'Semrush Data'!$A$1:$A$20000,0),MATCH("CPC*",'Semrush Data'!$A$1:$Z$1,0)),"")</f>
        <v/>
      </c>
      <c r="J3461" s="7" t="str">
        <f aca="false">IFERROR(INDEX('Semrush Data'!$A$1:$Z$20000,MATCH(A3461,'Semrush Data'!$A$1:$A$20000,0),MATCH("Intent",'Semrush Data'!$A$1:$Z$1,0)),"")</f>
        <v/>
      </c>
    </row>
    <row r="3462" customFormat="false" ht="15" hidden="false" customHeight="true" outlineLevel="0" collapsed="false">
      <c r="A3462" s="7" t="s">
        <v>4002</v>
      </c>
      <c r="B3462" s="7" t="s">
        <v>1356</v>
      </c>
      <c r="C3462" s="7" t="n">
        <v>3</v>
      </c>
      <c r="D3462" s="7" t="n">
        <v>35</v>
      </c>
      <c r="E3462" s="7" t="n">
        <v>1</v>
      </c>
      <c r="F3462" s="7" t="s">
        <v>3996</v>
      </c>
      <c r="G3462" s="12" t="str">
        <f aca="false">IFERROR(INDEX('Semrush Data'!$A$1:$Z$20000,MATCH(A3462,'Semrush Data'!$A$1:$A$20000,0),MATCH("Volume",'Semrush Data'!$A$1:$Z$1,0)),"")</f>
        <v/>
      </c>
      <c r="H3462" s="7" t="str">
        <f aca="false">IFERROR(INDEX('Semrush Data'!$A$1:$Z$20000,MATCH(A3462,'Semrush Data'!$A$1:$A$20000,0),MATCH("Keyword Difficulty*",'Semrush Data'!$A$1:$Z$1,0)),"")</f>
        <v/>
      </c>
      <c r="I3462" s="13" t="str">
        <f aca="false">IFERROR(INDEX('Semrush Data'!$A$1:$Z$20000,MATCH(A3462,'Semrush Data'!$A$1:$A$20000,0),MATCH("CPC*",'Semrush Data'!$A$1:$Z$1,0)),"")</f>
        <v/>
      </c>
      <c r="J3462" s="7" t="str">
        <f aca="false">IFERROR(INDEX('Semrush Data'!$A$1:$Z$20000,MATCH(A3462,'Semrush Data'!$A$1:$A$20000,0),MATCH("Intent",'Semrush Data'!$A$1:$Z$1,0)),"")</f>
        <v/>
      </c>
    </row>
    <row r="3463" customFormat="false" ht="15" hidden="false" customHeight="true" outlineLevel="0" collapsed="false">
      <c r="A3463" s="7" t="s">
        <v>4015</v>
      </c>
      <c r="B3463" s="7" t="s">
        <v>1356</v>
      </c>
      <c r="C3463" s="7" t="n">
        <v>3</v>
      </c>
      <c r="D3463" s="7" t="n">
        <v>35</v>
      </c>
      <c r="E3463" s="7" t="n">
        <v>1</v>
      </c>
      <c r="F3463" s="7" t="s">
        <v>4009</v>
      </c>
      <c r="G3463" s="12" t="str">
        <f aca="false">IFERROR(INDEX('Semrush Data'!$A$1:$Z$20000,MATCH(A3463,'Semrush Data'!$A$1:$A$20000,0),MATCH("Volume",'Semrush Data'!$A$1:$Z$1,0)),"")</f>
        <v/>
      </c>
      <c r="H3463" s="7" t="str">
        <f aca="false">IFERROR(INDEX('Semrush Data'!$A$1:$Z$20000,MATCH(A3463,'Semrush Data'!$A$1:$A$20000,0),MATCH("Keyword Difficulty*",'Semrush Data'!$A$1:$Z$1,0)),"")</f>
        <v/>
      </c>
      <c r="I3463" s="13" t="str">
        <f aca="false">IFERROR(INDEX('Semrush Data'!$A$1:$Z$20000,MATCH(A3463,'Semrush Data'!$A$1:$A$20000,0),MATCH("CPC*",'Semrush Data'!$A$1:$Z$1,0)),"")</f>
        <v/>
      </c>
      <c r="J3463" s="7" t="str">
        <f aca="false">IFERROR(INDEX('Semrush Data'!$A$1:$Z$20000,MATCH(A3463,'Semrush Data'!$A$1:$A$20000,0),MATCH("Intent",'Semrush Data'!$A$1:$Z$1,0)),"")</f>
        <v/>
      </c>
    </row>
    <row r="3464" customFormat="false" ht="15" hidden="false" customHeight="true" outlineLevel="0" collapsed="false">
      <c r="A3464" s="7" t="s">
        <v>4027</v>
      </c>
      <c r="B3464" s="7" t="s">
        <v>1356</v>
      </c>
      <c r="C3464" s="7" t="n">
        <v>3</v>
      </c>
      <c r="D3464" s="7" t="n">
        <v>35</v>
      </c>
      <c r="E3464" s="7" t="n">
        <v>1</v>
      </c>
      <c r="F3464" s="7" t="s">
        <v>4022</v>
      </c>
      <c r="G3464" s="12" t="str">
        <f aca="false">IFERROR(INDEX('Semrush Data'!$A$1:$Z$20000,MATCH(A3464,'Semrush Data'!$A$1:$A$20000,0),MATCH("Volume",'Semrush Data'!$A$1:$Z$1,0)),"")</f>
        <v/>
      </c>
      <c r="H3464" s="7" t="str">
        <f aca="false">IFERROR(INDEX('Semrush Data'!$A$1:$Z$20000,MATCH(A3464,'Semrush Data'!$A$1:$A$20000,0),MATCH("Keyword Difficulty*",'Semrush Data'!$A$1:$Z$1,0)),"")</f>
        <v/>
      </c>
      <c r="I3464" s="13" t="str">
        <f aca="false">IFERROR(INDEX('Semrush Data'!$A$1:$Z$20000,MATCH(A3464,'Semrush Data'!$A$1:$A$20000,0),MATCH("CPC*",'Semrush Data'!$A$1:$Z$1,0)),"")</f>
        <v/>
      </c>
      <c r="J3464" s="7" t="str">
        <f aca="false">IFERROR(INDEX('Semrush Data'!$A$1:$Z$20000,MATCH(A3464,'Semrush Data'!$A$1:$A$20000,0),MATCH("Intent",'Semrush Data'!$A$1:$Z$1,0)),"")</f>
        <v/>
      </c>
    </row>
    <row r="3465" customFormat="false" ht="15" hidden="false" customHeight="true" outlineLevel="0" collapsed="false">
      <c r="A3465" s="7" t="s">
        <v>4039</v>
      </c>
      <c r="B3465" s="7" t="s">
        <v>1356</v>
      </c>
      <c r="C3465" s="7" t="n">
        <v>3</v>
      </c>
      <c r="D3465" s="7" t="n">
        <v>35</v>
      </c>
      <c r="E3465" s="7" t="n">
        <v>1</v>
      </c>
      <c r="F3465" s="7" t="s">
        <v>4033</v>
      </c>
      <c r="G3465" s="12" t="str">
        <f aca="false">IFERROR(INDEX('Semrush Data'!$A$1:$Z$20000,MATCH(A3465,'Semrush Data'!$A$1:$A$20000,0),MATCH("Volume",'Semrush Data'!$A$1:$Z$1,0)),"")</f>
        <v/>
      </c>
      <c r="H3465" s="7" t="str">
        <f aca="false">IFERROR(INDEX('Semrush Data'!$A$1:$Z$20000,MATCH(A3465,'Semrush Data'!$A$1:$A$20000,0),MATCH("Keyword Difficulty*",'Semrush Data'!$A$1:$Z$1,0)),"")</f>
        <v/>
      </c>
      <c r="I3465" s="13" t="str">
        <f aca="false">IFERROR(INDEX('Semrush Data'!$A$1:$Z$20000,MATCH(A3465,'Semrush Data'!$A$1:$A$20000,0),MATCH("CPC*",'Semrush Data'!$A$1:$Z$1,0)),"")</f>
        <v/>
      </c>
      <c r="J3465" s="7" t="str">
        <f aca="false">IFERROR(INDEX('Semrush Data'!$A$1:$Z$20000,MATCH(A3465,'Semrush Data'!$A$1:$A$20000,0),MATCH("Intent",'Semrush Data'!$A$1:$Z$1,0)),"")</f>
        <v/>
      </c>
    </row>
    <row r="3466" customFormat="false" ht="15" hidden="false" customHeight="true" outlineLevel="0" collapsed="false">
      <c r="A3466" s="7" t="s">
        <v>4051</v>
      </c>
      <c r="B3466" s="7" t="s">
        <v>1356</v>
      </c>
      <c r="C3466" s="7" t="n">
        <v>3</v>
      </c>
      <c r="D3466" s="7" t="n">
        <v>35</v>
      </c>
      <c r="E3466" s="7" t="n">
        <v>1</v>
      </c>
      <c r="F3466" s="7" t="s">
        <v>4046</v>
      </c>
      <c r="G3466" s="12" t="str">
        <f aca="false">IFERROR(INDEX('Semrush Data'!$A$1:$Z$20000,MATCH(A3466,'Semrush Data'!$A$1:$A$20000,0),MATCH("Volume",'Semrush Data'!$A$1:$Z$1,0)),"")</f>
        <v/>
      </c>
      <c r="H3466" s="7" t="str">
        <f aca="false">IFERROR(INDEX('Semrush Data'!$A$1:$Z$20000,MATCH(A3466,'Semrush Data'!$A$1:$A$20000,0),MATCH("Keyword Difficulty*",'Semrush Data'!$A$1:$Z$1,0)),"")</f>
        <v/>
      </c>
      <c r="I3466" s="13" t="str">
        <f aca="false">IFERROR(INDEX('Semrush Data'!$A$1:$Z$20000,MATCH(A3466,'Semrush Data'!$A$1:$A$20000,0),MATCH("CPC*",'Semrush Data'!$A$1:$Z$1,0)),"")</f>
        <v/>
      </c>
      <c r="J3466" s="7" t="str">
        <f aca="false">IFERROR(INDEX('Semrush Data'!$A$1:$Z$20000,MATCH(A3466,'Semrush Data'!$A$1:$A$20000,0),MATCH("Intent",'Semrush Data'!$A$1:$Z$1,0)),"")</f>
        <v/>
      </c>
    </row>
    <row r="3467" customFormat="false" ht="15" hidden="false" customHeight="true" outlineLevel="0" collapsed="false">
      <c r="A3467" s="7" t="s">
        <v>4062</v>
      </c>
      <c r="B3467" s="7" t="s">
        <v>1356</v>
      </c>
      <c r="C3467" s="7" t="n">
        <v>3</v>
      </c>
      <c r="D3467" s="7" t="n">
        <v>35</v>
      </c>
      <c r="E3467" s="7" t="n">
        <v>1</v>
      </c>
      <c r="F3467" s="7" t="s">
        <v>4057</v>
      </c>
      <c r="G3467" s="12" t="str">
        <f aca="false">IFERROR(INDEX('Semrush Data'!$A$1:$Z$20000,MATCH(A3467,'Semrush Data'!$A$1:$A$20000,0),MATCH("Volume",'Semrush Data'!$A$1:$Z$1,0)),"")</f>
        <v/>
      </c>
      <c r="H3467" s="7" t="str">
        <f aca="false">IFERROR(INDEX('Semrush Data'!$A$1:$Z$20000,MATCH(A3467,'Semrush Data'!$A$1:$A$20000,0),MATCH("Keyword Difficulty*",'Semrush Data'!$A$1:$Z$1,0)),"")</f>
        <v/>
      </c>
      <c r="I3467" s="13" t="str">
        <f aca="false">IFERROR(INDEX('Semrush Data'!$A$1:$Z$20000,MATCH(A3467,'Semrush Data'!$A$1:$A$20000,0),MATCH("CPC*",'Semrush Data'!$A$1:$Z$1,0)),"")</f>
        <v/>
      </c>
      <c r="J3467" s="7" t="str">
        <f aca="false">IFERROR(INDEX('Semrush Data'!$A$1:$Z$20000,MATCH(A3467,'Semrush Data'!$A$1:$A$20000,0),MATCH("Intent",'Semrush Data'!$A$1:$Z$1,0)),"")</f>
        <v/>
      </c>
    </row>
    <row r="3468" customFormat="false" ht="15" hidden="false" customHeight="true" outlineLevel="0" collapsed="false">
      <c r="A3468" s="7" t="s">
        <v>4073</v>
      </c>
      <c r="B3468" s="7" t="s">
        <v>1356</v>
      </c>
      <c r="C3468" s="7" t="n">
        <v>3</v>
      </c>
      <c r="D3468" s="7" t="n">
        <v>35</v>
      </c>
      <c r="E3468" s="7" t="n">
        <v>1</v>
      </c>
      <c r="F3468" s="7" t="s">
        <v>4068</v>
      </c>
      <c r="G3468" s="12" t="str">
        <f aca="false">IFERROR(INDEX('Semrush Data'!$A$1:$Z$20000,MATCH(A3468,'Semrush Data'!$A$1:$A$20000,0),MATCH("Volume",'Semrush Data'!$A$1:$Z$1,0)),"")</f>
        <v/>
      </c>
      <c r="H3468" s="7" t="str">
        <f aca="false">IFERROR(INDEX('Semrush Data'!$A$1:$Z$20000,MATCH(A3468,'Semrush Data'!$A$1:$A$20000,0),MATCH("Keyword Difficulty*",'Semrush Data'!$A$1:$Z$1,0)),"")</f>
        <v/>
      </c>
      <c r="I3468" s="13" t="str">
        <f aca="false">IFERROR(INDEX('Semrush Data'!$A$1:$Z$20000,MATCH(A3468,'Semrush Data'!$A$1:$A$20000,0),MATCH("CPC*",'Semrush Data'!$A$1:$Z$1,0)),"")</f>
        <v/>
      </c>
      <c r="J3468" s="7" t="str">
        <f aca="false">IFERROR(INDEX('Semrush Data'!$A$1:$Z$20000,MATCH(A3468,'Semrush Data'!$A$1:$A$20000,0),MATCH("Intent",'Semrush Data'!$A$1:$Z$1,0)),"")</f>
        <v/>
      </c>
    </row>
    <row r="3469" customFormat="false" ht="15" hidden="false" customHeight="true" outlineLevel="0" collapsed="false">
      <c r="A3469" s="7" t="s">
        <v>4085</v>
      </c>
      <c r="B3469" s="7" t="s">
        <v>1356</v>
      </c>
      <c r="C3469" s="7" t="n">
        <v>3</v>
      </c>
      <c r="D3469" s="7" t="n">
        <v>35</v>
      </c>
      <c r="E3469" s="7" t="n">
        <v>1</v>
      </c>
      <c r="F3469" s="7" t="s">
        <v>4080</v>
      </c>
      <c r="G3469" s="12" t="str">
        <f aca="false">IFERROR(INDEX('Semrush Data'!$A$1:$Z$20000,MATCH(A3469,'Semrush Data'!$A$1:$A$20000,0),MATCH("Volume",'Semrush Data'!$A$1:$Z$1,0)),"")</f>
        <v/>
      </c>
      <c r="H3469" s="7" t="str">
        <f aca="false">IFERROR(INDEX('Semrush Data'!$A$1:$Z$20000,MATCH(A3469,'Semrush Data'!$A$1:$A$20000,0),MATCH("Keyword Difficulty*",'Semrush Data'!$A$1:$Z$1,0)),"")</f>
        <v/>
      </c>
      <c r="I3469" s="13" t="str">
        <f aca="false">IFERROR(INDEX('Semrush Data'!$A$1:$Z$20000,MATCH(A3469,'Semrush Data'!$A$1:$A$20000,0),MATCH("CPC*",'Semrush Data'!$A$1:$Z$1,0)),"")</f>
        <v/>
      </c>
      <c r="J3469" s="7" t="str">
        <f aca="false">IFERROR(INDEX('Semrush Data'!$A$1:$Z$20000,MATCH(A3469,'Semrush Data'!$A$1:$A$20000,0),MATCH("Intent",'Semrush Data'!$A$1:$Z$1,0)),"")</f>
        <v/>
      </c>
    </row>
    <row r="3470" customFormat="false" ht="15" hidden="false" customHeight="true" outlineLevel="0" collapsed="false">
      <c r="A3470" s="7" t="s">
        <v>4097</v>
      </c>
      <c r="B3470" s="7" t="s">
        <v>1356</v>
      </c>
      <c r="C3470" s="7" t="n">
        <v>3</v>
      </c>
      <c r="D3470" s="7" t="n">
        <v>35</v>
      </c>
      <c r="E3470" s="7" t="n">
        <v>1</v>
      </c>
      <c r="F3470" s="7" t="s">
        <v>4092</v>
      </c>
      <c r="G3470" s="12" t="str">
        <f aca="false">IFERROR(INDEX('Semrush Data'!$A$1:$Z$20000,MATCH(A3470,'Semrush Data'!$A$1:$A$20000,0),MATCH("Volume",'Semrush Data'!$A$1:$Z$1,0)),"")</f>
        <v/>
      </c>
      <c r="H3470" s="7" t="str">
        <f aca="false">IFERROR(INDEX('Semrush Data'!$A$1:$Z$20000,MATCH(A3470,'Semrush Data'!$A$1:$A$20000,0),MATCH("Keyword Difficulty*",'Semrush Data'!$A$1:$Z$1,0)),"")</f>
        <v/>
      </c>
      <c r="I3470" s="13" t="str">
        <f aca="false">IFERROR(INDEX('Semrush Data'!$A$1:$Z$20000,MATCH(A3470,'Semrush Data'!$A$1:$A$20000,0),MATCH("CPC*",'Semrush Data'!$A$1:$Z$1,0)),"")</f>
        <v/>
      </c>
      <c r="J3470" s="7" t="str">
        <f aca="false">IFERROR(INDEX('Semrush Data'!$A$1:$Z$20000,MATCH(A3470,'Semrush Data'!$A$1:$A$20000,0),MATCH("Intent",'Semrush Data'!$A$1:$Z$1,0)),"")</f>
        <v/>
      </c>
    </row>
    <row r="3471" customFormat="false" ht="15" hidden="false" customHeight="true" outlineLevel="0" collapsed="false">
      <c r="A3471" s="7" t="s">
        <v>4108</v>
      </c>
      <c r="B3471" s="7" t="s">
        <v>1356</v>
      </c>
      <c r="C3471" s="7" t="n">
        <v>3</v>
      </c>
      <c r="D3471" s="7" t="n">
        <v>35</v>
      </c>
      <c r="E3471" s="7" t="n">
        <v>1</v>
      </c>
      <c r="F3471" s="7" t="s">
        <v>4103</v>
      </c>
      <c r="G3471" s="12" t="str">
        <f aca="false">IFERROR(INDEX('Semrush Data'!$A$1:$Z$20000,MATCH(A3471,'Semrush Data'!$A$1:$A$20000,0),MATCH("Volume",'Semrush Data'!$A$1:$Z$1,0)),"")</f>
        <v/>
      </c>
      <c r="H3471" s="7" t="str">
        <f aca="false">IFERROR(INDEX('Semrush Data'!$A$1:$Z$20000,MATCH(A3471,'Semrush Data'!$A$1:$A$20000,0),MATCH("Keyword Difficulty*",'Semrush Data'!$A$1:$Z$1,0)),"")</f>
        <v/>
      </c>
      <c r="I3471" s="13" t="str">
        <f aca="false">IFERROR(INDEX('Semrush Data'!$A$1:$Z$20000,MATCH(A3471,'Semrush Data'!$A$1:$A$20000,0),MATCH("CPC*",'Semrush Data'!$A$1:$Z$1,0)),"")</f>
        <v/>
      </c>
      <c r="J3471" s="7" t="str">
        <f aca="false">IFERROR(INDEX('Semrush Data'!$A$1:$Z$20000,MATCH(A3471,'Semrush Data'!$A$1:$A$20000,0),MATCH("Intent",'Semrush Data'!$A$1:$Z$1,0)),"")</f>
        <v/>
      </c>
    </row>
    <row r="3472" customFormat="false" ht="15" hidden="false" customHeight="true" outlineLevel="0" collapsed="false">
      <c r="A3472" s="7" t="s">
        <v>4118</v>
      </c>
      <c r="B3472" s="7" t="s">
        <v>1356</v>
      </c>
      <c r="C3472" s="7" t="n">
        <v>3</v>
      </c>
      <c r="D3472" s="7" t="n">
        <v>35</v>
      </c>
      <c r="E3472" s="7" t="n">
        <v>1</v>
      </c>
      <c r="F3472" s="7" t="s">
        <v>4113</v>
      </c>
      <c r="G3472" s="12" t="str">
        <f aca="false">IFERROR(INDEX('Semrush Data'!$A$1:$Z$20000,MATCH(A3472,'Semrush Data'!$A$1:$A$20000,0),MATCH("Volume",'Semrush Data'!$A$1:$Z$1,0)),"")</f>
        <v/>
      </c>
      <c r="H3472" s="7" t="str">
        <f aca="false">IFERROR(INDEX('Semrush Data'!$A$1:$Z$20000,MATCH(A3472,'Semrush Data'!$A$1:$A$20000,0),MATCH("Keyword Difficulty*",'Semrush Data'!$A$1:$Z$1,0)),"")</f>
        <v/>
      </c>
      <c r="I3472" s="13" t="str">
        <f aca="false">IFERROR(INDEX('Semrush Data'!$A$1:$Z$20000,MATCH(A3472,'Semrush Data'!$A$1:$A$20000,0),MATCH("CPC*",'Semrush Data'!$A$1:$Z$1,0)),"")</f>
        <v/>
      </c>
      <c r="J3472" s="7" t="str">
        <f aca="false">IFERROR(INDEX('Semrush Data'!$A$1:$Z$20000,MATCH(A3472,'Semrush Data'!$A$1:$A$20000,0),MATCH("Intent",'Semrush Data'!$A$1:$Z$1,0)),"")</f>
        <v/>
      </c>
    </row>
    <row r="3473" customFormat="false" ht="15" hidden="false" customHeight="true" outlineLevel="0" collapsed="false">
      <c r="A3473" s="7" t="s">
        <v>4128</v>
      </c>
      <c r="B3473" s="7" t="s">
        <v>1356</v>
      </c>
      <c r="C3473" s="7" t="n">
        <v>3</v>
      </c>
      <c r="D3473" s="7" t="n">
        <v>35</v>
      </c>
      <c r="E3473" s="7" t="n">
        <v>1</v>
      </c>
      <c r="F3473" s="7" t="s">
        <v>4123</v>
      </c>
      <c r="G3473" s="12" t="str">
        <f aca="false">IFERROR(INDEX('Semrush Data'!$A$1:$Z$20000,MATCH(A3473,'Semrush Data'!$A$1:$A$20000,0),MATCH("Volume",'Semrush Data'!$A$1:$Z$1,0)),"")</f>
        <v/>
      </c>
      <c r="H3473" s="7" t="str">
        <f aca="false">IFERROR(INDEX('Semrush Data'!$A$1:$Z$20000,MATCH(A3473,'Semrush Data'!$A$1:$A$20000,0),MATCH("Keyword Difficulty*",'Semrush Data'!$A$1:$Z$1,0)),"")</f>
        <v/>
      </c>
      <c r="I3473" s="13" t="str">
        <f aca="false">IFERROR(INDEX('Semrush Data'!$A$1:$Z$20000,MATCH(A3473,'Semrush Data'!$A$1:$A$20000,0),MATCH("CPC*",'Semrush Data'!$A$1:$Z$1,0)),"")</f>
        <v/>
      </c>
      <c r="J3473" s="7" t="str">
        <f aca="false">IFERROR(INDEX('Semrush Data'!$A$1:$Z$20000,MATCH(A3473,'Semrush Data'!$A$1:$A$20000,0),MATCH("Intent",'Semrush Data'!$A$1:$Z$1,0)),"")</f>
        <v/>
      </c>
    </row>
    <row r="3474" customFormat="false" ht="15" hidden="false" customHeight="true" outlineLevel="0" collapsed="false">
      <c r="A3474" s="7" t="s">
        <v>4139</v>
      </c>
      <c r="B3474" s="7" t="s">
        <v>1356</v>
      </c>
      <c r="C3474" s="7" t="n">
        <v>3</v>
      </c>
      <c r="D3474" s="7" t="n">
        <v>35</v>
      </c>
      <c r="E3474" s="7" t="n">
        <v>1</v>
      </c>
      <c r="F3474" s="7" t="s">
        <v>4134</v>
      </c>
      <c r="G3474" s="12" t="str">
        <f aca="false">IFERROR(INDEX('Semrush Data'!$A$1:$Z$20000,MATCH(A3474,'Semrush Data'!$A$1:$A$20000,0),MATCH("Volume",'Semrush Data'!$A$1:$Z$1,0)),"")</f>
        <v/>
      </c>
      <c r="H3474" s="7" t="str">
        <f aca="false">IFERROR(INDEX('Semrush Data'!$A$1:$Z$20000,MATCH(A3474,'Semrush Data'!$A$1:$A$20000,0),MATCH("Keyword Difficulty*",'Semrush Data'!$A$1:$Z$1,0)),"")</f>
        <v/>
      </c>
      <c r="I3474" s="13" t="str">
        <f aca="false">IFERROR(INDEX('Semrush Data'!$A$1:$Z$20000,MATCH(A3474,'Semrush Data'!$A$1:$A$20000,0),MATCH("CPC*",'Semrush Data'!$A$1:$Z$1,0)),"")</f>
        <v/>
      </c>
      <c r="J3474" s="7" t="str">
        <f aca="false">IFERROR(INDEX('Semrush Data'!$A$1:$Z$20000,MATCH(A3474,'Semrush Data'!$A$1:$A$20000,0),MATCH("Intent",'Semrush Data'!$A$1:$Z$1,0)),"")</f>
        <v/>
      </c>
    </row>
    <row r="3475" customFormat="false" ht="15" hidden="false" customHeight="true" outlineLevel="0" collapsed="false">
      <c r="A3475" s="7" t="s">
        <v>4150</v>
      </c>
      <c r="B3475" s="7" t="s">
        <v>1356</v>
      </c>
      <c r="C3475" s="7" t="n">
        <v>3</v>
      </c>
      <c r="D3475" s="7" t="n">
        <v>35</v>
      </c>
      <c r="E3475" s="7" t="n">
        <v>1</v>
      </c>
      <c r="F3475" s="7" t="s">
        <v>4145</v>
      </c>
      <c r="G3475" s="12" t="str">
        <f aca="false">IFERROR(INDEX('Semrush Data'!$A$1:$Z$20000,MATCH(A3475,'Semrush Data'!$A$1:$A$20000,0),MATCH("Volume",'Semrush Data'!$A$1:$Z$1,0)),"")</f>
        <v/>
      </c>
      <c r="H3475" s="7" t="str">
        <f aca="false">IFERROR(INDEX('Semrush Data'!$A$1:$Z$20000,MATCH(A3475,'Semrush Data'!$A$1:$A$20000,0),MATCH("Keyword Difficulty*",'Semrush Data'!$A$1:$Z$1,0)),"")</f>
        <v/>
      </c>
      <c r="I3475" s="13" t="str">
        <f aca="false">IFERROR(INDEX('Semrush Data'!$A$1:$Z$20000,MATCH(A3475,'Semrush Data'!$A$1:$A$20000,0),MATCH("CPC*",'Semrush Data'!$A$1:$Z$1,0)),"")</f>
        <v/>
      </c>
      <c r="J3475" s="7" t="str">
        <f aca="false">IFERROR(INDEX('Semrush Data'!$A$1:$Z$20000,MATCH(A3475,'Semrush Data'!$A$1:$A$20000,0),MATCH("Intent",'Semrush Data'!$A$1:$Z$1,0)),"")</f>
        <v/>
      </c>
    </row>
    <row r="3476" customFormat="false" ht="15" hidden="false" customHeight="true" outlineLevel="0" collapsed="false">
      <c r="A3476" s="7" t="s">
        <v>4160</v>
      </c>
      <c r="B3476" s="7" t="s">
        <v>1356</v>
      </c>
      <c r="C3476" s="7" t="n">
        <v>3</v>
      </c>
      <c r="D3476" s="7" t="n">
        <v>35</v>
      </c>
      <c r="E3476" s="7" t="n">
        <v>1</v>
      </c>
      <c r="F3476" s="7" t="s">
        <v>4155</v>
      </c>
      <c r="G3476" s="12" t="str">
        <f aca="false">IFERROR(INDEX('Semrush Data'!$A$1:$Z$20000,MATCH(A3476,'Semrush Data'!$A$1:$A$20000,0),MATCH("Volume",'Semrush Data'!$A$1:$Z$1,0)),"")</f>
        <v/>
      </c>
      <c r="H3476" s="7" t="str">
        <f aca="false">IFERROR(INDEX('Semrush Data'!$A$1:$Z$20000,MATCH(A3476,'Semrush Data'!$A$1:$A$20000,0),MATCH("Keyword Difficulty*",'Semrush Data'!$A$1:$Z$1,0)),"")</f>
        <v/>
      </c>
      <c r="I3476" s="13" t="str">
        <f aca="false">IFERROR(INDEX('Semrush Data'!$A$1:$Z$20000,MATCH(A3476,'Semrush Data'!$A$1:$A$20000,0),MATCH("CPC*",'Semrush Data'!$A$1:$Z$1,0)),"")</f>
        <v/>
      </c>
      <c r="J3476" s="7" t="str">
        <f aca="false">IFERROR(INDEX('Semrush Data'!$A$1:$Z$20000,MATCH(A3476,'Semrush Data'!$A$1:$A$20000,0),MATCH("Intent",'Semrush Data'!$A$1:$Z$1,0)),"")</f>
        <v/>
      </c>
    </row>
    <row r="3477" customFormat="false" ht="15" hidden="false" customHeight="true" outlineLevel="0" collapsed="false">
      <c r="A3477" s="7" t="s">
        <v>4173</v>
      </c>
      <c r="B3477" s="7" t="s">
        <v>1356</v>
      </c>
      <c r="C3477" s="7" t="n">
        <v>3</v>
      </c>
      <c r="D3477" s="7" t="n">
        <v>35</v>
      </c>
      <c r="E3477" s="7" t="n">
        <v>1</v>
      </c>
      <c r="F3477" s="7" t="s">
        <v>4167</v>
      </c>
      <c r="G3477" s="12" t="str">
        <f aca="false">IFERROR(INDEX('Semrush Data'!$A$1:$Z$20000,MATCH(A3477,'Semrush Data'!$A$1:$A$20000,0),MATCH("Volume",'Semrush Data'!$A$1:$Z$1,0)),"")</f>
        <v/>
      </c>
      <c r="H3477" s="7" t="str">
        <f aca="false">IFERROR(INDEX('Semrush Data'!$A$1:$Z$20000,MATCH(A3477,'Semrush Data'!$A$1:$A$20000,0),MATCH("Keyword Difficulty*",'Semrush Data'!$A$1:$Z$1,0)),"")</f>
        <v/>
      </c>
      <c r="I3477" s="13" t="str">
        <f aca="false">IFERROR(INDEX('Semrush Data'!$A$1:$Z$20000,MATCH(A3477,'Semrush Data'!$A$1:$A$20000,0),MATCH("CPC*",'Semrush Data'!$A$1:$Z$1,0)),"")</f>
        <v/>
      </c>
      <c r="J3477" s="7" t="str">
        <f aca="false">IFERROR(INDEX('Semrush Data'!$A$1:$Z$20000,MATCH(A3477,'Semrush Data'!$A$1:$A$20000,0),MATCH("Intent",'Semrush Data'!$A$1:$Z$1,0)),"")</f>
        <v/>
      </c>
    </row>
    <row r="3478" customFormat="false" ht="15" hidden="false" customHeight="true" outlineLevel="0" collapsed="false">
      <c r="A3478" s="7" t="s">
        <v>4186</v>
      </c>
      <c r="B3478" s="7" t="s">
        <v>1356</v>
      </c>
      <c r="C3478" s="7" t="n">
        <v>3</v>
      </c>
      <c r="D3478" s="7" t="n">
        <v>35</v>
      </c>
      <c r="E3478" s="7" t="n">
        <v>1</v>
      </c>
      <c r="F3478" s="7" t="s">
        <v>4180</v>
      </c>
      <c r="G3478" s="12" t="str">
        <f aca="false">IFERROR(INDEX('Semrush Data'!$A$1:$Z$20000,MATCH(A3478,'Semrush Data'!$A$1:$A$20000,0),MATCH("Volume",'Semrush Data'!$A$1:$Z$1,0)),"")</f>
        <v/>
      </c>
      <c r="H3478" s="7" t="str">
        <f aca="false">IFERROR(INDEX('Semrush Data'!$A$1:$Z$20000,MATCH(A3478,'Semrush Data'!$A$1:$A$20000,0),MATCH("Keyword Difficulty*",'Semrush Data'!$A$1:$Z$1,0)),"")</f>
        <v/>
      </c>
      <c r="I3478" s="13" t="str">
        <f aca="false">IFERROR(INDEX('Semrush Data'!$A$1:$Z$20000,MATCH(A3478,'Semrush Data'!$A$1:$A$20000,0),MATCH("CPC*",'Semrush Data'!$A$1:$Z$1,0)),"")</f>
        <v/>
      </c>
      <c r="J3478" s="7" t="str">
        <f aca="false">IFERROR(INDEX('Semrush Data'!$A$1:$Z$20000,MATCH(A3478,'Semrush Data'!$A$1:$A$20000,0),MATCH("Intent",'Semrush Data'!$A$1:$Z$1,0)),"")</f>
        <v/>
      </c>
    </row>
    <row r="3479" customFormat="false" ht="15" hidden="false" customHeight="true" outlineLevel="0" collapsed="false">
      <c r="A3479" s="7" t="s">
        <v>4197</v>
      </c>
      <c r="B3479" s="7" t="s">
        <v>1356</v>
      </c>
      <c r="C3479" s="7" t="n">
        <v>3</v>
      </c>
      <c r="D3479" s="7" t="n">
        <v>35</v>
      </c>
      <c r="E3479" s="7" t="n">
        <v>1</v>
      </c>
      <c r="F3479" s="7" t="s">
        <v>4192</v>
      </c>
      <c r="G3479" s="12" t="str">
        <f aca="false">IFERROR(INDEX('Semrush Data'!$A$1:$Z$20000,MATCH(A3479,'Semrush Data'!$A$1:$A$20000,0),MATCH("Volume",'Semrush Data'!$A$1:$Z$1,0)),"")</f>
        <v/>
      </c>
      <c r="H3479" s="7" t="str">
        <f aca="false">IFERROR(INDEX('Semrush Data'!$A$1:$Z$20000,MATCH(A3479,'Semrush Data'!$A$1:$A$20000,0),MATCH("Keyword Difficulty*",'Semrush Data'!$A$1:$Z$1,0)),"")</f>
        <v/>
      </c>
      <c r="I3479" s="13" t="str">
        <f aca="false">IFERROR(INDEX('Semrush Data'!$A$1:$Z$20000,MATCH(A3479,'Semrush Data'!$A$1:$A$20000,0),MATCH("CPC*",'Semrush Data'!$A$1:$Z$1,0)),"")</f>
        <v/>
      </c>
      <c r="J3479" s="7" t="str">
        <f aca="false">IFERROR(INDEX('Semrush Data'!$A$1:$Z$20000,MATCH(A3479,'Semrush Data'!$A$1:$A$20000,0),MATCH("Intent",'Semrush Data'!$A$1:$Z$1,0)),"")</f>
        <v/>
      </c>
    </row>
    <row r="3480" customFormat="false" ht="15" hidden="false" customHeight="true" outlineLevel="0" collapsed="false">
      <c r="A3480" s="7" t="s">
        <v>4208</v>
      </c>
      <c r="B3480" s="7" t="s">
        <v>1356</v>
      </c>
      <c r="C3480" s="7" t="n">
        <v>3</v>
      </c>
      <c r="D3480" s="7" t="n">
        <v>35</v>
      </c>
      <c r="E3480" s="7" t="n">
        <v>1</v>
      </c>
      <c r="F3480" s="7" t="s">
        <v>4203</v>
      </c>
      <c r="G3480" s="12" t="str">
        <f aca="false">IFERROR(INDEX('Semrush Data'!$A$1:$Z$20000,MATCH(A3480,'Semrush Data'!$A$1:$A$20000,0),MATCH("Volume",'Semrush Data'!$A$1:$Z$1,0)),"")</f>
        <v/>
      </c>
      <c r="H3480" s="7" t="str">
        <f aca="false">IFERROR(INDEX('Semrush Data'!$A$1:$Z$20000,MATCH(A3480,'Semrush Data'!$A$1:$A$20000,0),MATCH("Keyword Difficulty*",'Semrush Data'!$A$1:$Z$1,0)),"")</f>
        <v/>
      </c>
      <c r="I3480" s="13" t="str">
        <f aca="false">IFERROR(INDEX('Semrush Data'!$A$1:$Z$20000,MATCH(A3480,'Semrush Data'!$A$1:$A$20000,0),MATCH("CPC*",'Semrush Data'!$A$1:$Z$1,0)),"")</f>
        <v/>
      </c>
      <c r="J3480" s="7" t="str">
        <f aca="false">IFERROR(INDEX('Semrush Data'!$A$1:$Z$20000,MATCH(A3480,'Semrush Data'!$A$1:$A$20000,0),MATCH("Intent",'Semrush Data'!$A$1:$Z$1,0)),"")</f>
        <v/>
      </c>
    </row>
    <row r="3481" customFormat="false" ht="15" hidden="false" customHeight="true" outlineLevel="0" collapsed="false">
      <c r="A3481" s="7" t="s">
        <v>4220</v>
      </c>
      <c r="B3481" s="7" t="s">
        <v>1356</v>
      </c>
      <c r="C3481" s="7" t="n">
        <v>3</v>
      </c>
      <c r="D3481" s="7" t="n">
        <v>35</v>
      </c>
      <c r="E3481" s="7" t="n">
        <v>1</v>
      </c>
      <c r="F3481" s="7" t="s">
        <v>4215</v>
      </c>
      <c r="G3481" s="12" t="str">
        <f aca="false">IFERROR(INDEX('Semrush Data'!$A$1:$Z$20000,MATCH(A3481,'Semrush Data'!$A$1:$A$20000,0),MATCH("Volume",'Semrush Data'!$A$1:$Z$1,0)),"")</f>
        <v/>
      </c>
      <c r="H3481" s="7" t="str">
        <f aca="false">IFERROR(INDEX('Semrush Data'!$A$1:$Z$20000,MATCH(A3481,'Semrush Data'!$A$1:$A$20000,0),MATCH("Keyword Difficulty*",'Semrush Data'!$A$1:$Z$1,0)),"")</f>
        <v/>
      </c>
      <c r="I3481" s="13" t="str">
        <f aca="false">IFERROR(INDEX('Semrush Data'!$A$1:$Z$20000,MATCH(A3481,'Semrush Data'!$A$1:$A$20000,0),MATCH("CPC*",'Semrush Data'!$A$1:$Z$1,0)),"")</f>
        <v/>
      </c>
      <c r="J3481" s="7" t="str">
        <f aca="false">IFERROR(INDEX('Semrush Data'!$A$1:$Z$20000,MATCH(A3481,'Semrush Data'!$A$1:$A$20000,0),MATCH("Intent",'Semrush Data'!$A$1:$Z$1,0)),"")</f>
        <v/>
      </c>
    </row>
    <row r="3482" customFormat="false" ht="15" hidden="false" customHeight="true" outlineLevel="0" collapsed="false">
      <c r="A3482" s="7" t="s">
        <v>4233</v>
      </c>
      <c r="B3482" s="7" t="s">
        <v>1356</v>
      </c>
      <c r="C3482" s="7" t="n">
        <v>3</v>
      </c>
      <c r="D3482" s="7" t="n">
        <v>35</v>
      </c>
      <c r="E3482" s="7" t="n">
        <v>1</v>
      </c>
      <c r="F3482" s="7" t="s">
        <v>4226</v>
      </c>
      <c r="G3482" s="12" t="str">
        <f aca="false">IFERROR(INDEX('Semrush Data'!$A$1:$Z$20000,MATCH(A3482,'Semrush Data'!$A$1:$A$20000,0),MATCH("Volume",'Semrush Data'!$A$1:$Z$1,0)),"")</f>
        <v/>
      </c>
      <c r="H3482" s="7" t="str">
        <f aca="false">IFERROR(INDEX('Semrush Data'!$A$1:$Z$20000,MATCH(A3482,'Semrush Data'!$A$1:$A$20000,0),MATCH("Keyword Difficulty*",'Semrush Data'!$A$1:$Z$1,0)),"")</f>
        <v/>
      </c>
      <c r="I3482" s="13" t="str">
        <f aca="false">IFERROR(INDEX('Semrush Data'!$A$1:$Z$20000,MATCH(A3482,'Semrush Data'!$A$1:$A$20000,0),MATCH("CPC*",'Semrush Data'!$A$1:$Z$1,0)),"")</f>
        <v/>
      </c>
      <c r="J3482" s="7" t="str">
        <f aca="false">IFERROR(INDEX('Semrush Data'!$A$1:$Z$20000,MATCH(A3482,'Semrush Data'!$A$1:$A$20000,0),MATCH("Intent",'Semrush Data'!$A$1:$Z$1,0)),"")</f>
        <v/>
      </c>
    </row>
    <row r="3483" customFormat="false" ht="15" hidden="false" customHeight="true" outlineLevel="0" collapsed="false">
      <c r="A3483" s="7" t="s">
        <v>4245</v>
      </c>
      <c r="B3483" s="7" t="s">
        <v>1356</v>
      </c>
      <c r="C3483" s="7" t="n">
        <v>3</v>
      </c>
      <c r="D3483" s="7" t="n">
        <v>35</v>
      </c>
      <c r="E3483" s="7" t="n">
        <v>1</v>
      </c>
      <c r="F3483" s="7" t="s">
        <v>4240</v>
      </c>
      <c r="G3483" s="12" t="str">
        <f aca="false">IFERROR(INDEX('Semrush Data'!$A$1:$Z$20000,MATCH(A3483,'Semrush Data'!$A$1:$A$20000,0),MATCH("Volume",'Semrush Data'!$A$1:$Z$1,0)),"")</f>
        <v/>
      </c>
      <c r="H3483" s="7" t="str">
        <f aca="false">IFERROR(INDEX('Semrush Data'!$A$1:$Z$20000,MATCH(A3483,'Semrush Data'!$A$1:$A$20000,0),MATCH("Keyword Difficulty*",'Semrush Data'!$A$1:$Z$1,0)),"")</f>
        <v/>
      </c>
      <c r="I3483" s="13" t="str">
        <f aca="false">IFERROR(INDEX('Semrush Data'!$A$1:$Z$20000,MATCH(A3483,'Semrush Data'!$A$1:$A$20000,0),MATCH("CPC*",'Semrush Data'!$A$1:$Z$1,0)),"")</f>
        <v/>
      </c>
      <c r="J3483" s="7" t="str">
        <f aca="false">IFERROR(INDEX('Semrush Data'!$A$1:$Z$20000,MATCH(A3483,'Semrush Data'!$A$1:$A$20000,0),MATCH("Intent",'Semrush Data'!$A$1:$Z$1,0)),"")</f>
        <v/>
      </c>
    </row>
    <row r="3484" customFormat="false" ht="15" hidden="false" customHeight="true" outlineLevel="0" collapsed="false">
      <c r="A3484" s="7" t="s">
        <v>4257</v>
      </c>
      <c r="B3484" s="7" t="s">
        <v>1356</v>
      </c>
      <c r="C3484" s="7" t="n">
        <v>3</v>
      </c>
      <c r="D3484" s="7" t="n">
        <v>35</v>
      </c>
      <c r="E3484" s="7" t="n">
        <v>1</v>
      </c>
      <c r="F3484" s="7" t="s">
        <v>4252</v>
      </c>
      <c r="G3484" s="12" t="str">
        <f aca="false">IFERROR(INDEX('Semrush Data'!$A$1:$Z$20000,MATCH(A3484,'Semrush Data'!$A$1:$A$20000,0),MATCH("Volume",'Semrush Data'!$A$1:$Z$1,0)),"")</f>
        <v/>
      </c>
      <c r="H3484" s="7" t="str">
        <f aca="false">IFERROR(INDEX('Semrush Data'!$A$1:$Z$20000,MATCH(A3484,'Semrush Data'!$A$1:$A$20000,0),MATCH("Keyword Difficulty*",'Semrush Data'!$A$1:$Z$1,0)),"")</f>
        <v/>
      </c>
      <c r="I3484" s="13" t="str">
        <f aca="false">IFERROR(INDEX('Semrush Data'!$A$1:$Z$20000,MATCH(A3484,'Semrush Data'!$A$1:$A$20000,0),MATCH("CPC*",'Semrush Data'!$A$1:$Z$1,0)),"")</f>
        <v/>
      </c>
      <c r="J3484" s="7" t="str">
        <f aca="false">IFERROR(INDEX('Semrush Data'!$A$1:$Z$20000,MATCH(A3484,'Semrush Data'!$A$1:$A$20000,0),MATCH("Intent",'Semrush Data'!$A$1:$Z$1,0)),"")</f>
        <v/>
      </c>
    </row>
    <row r="3485" customFormat="false" ht="15" hidden="false" customHeight="true" outlineLevel="0" collapsed="false">
      <c r="A3485" s="7" t="s">
        <v>4268</v>
      </c>
      <c r="B3485" s="7" t="s">
        <v>1356</v>
      </c>
      <c r="C3485" s="7" t="n">
        <v>3</v>
      </c>
      <c r="D3485" s="7" t="n">
        <v>35</v>
      </c>
      <c r="E3485" s="7" t="n">
        <v>1</v>
      </c>
      <c r="F3485" s="7" t="s">
        <v>4263</v>
      </c>
      <c r="G3485" s="12" t="str">
        <f aca="false">IFERROR(INDEX('Semrush Data'!$A$1:$Z$20000,MATCH(A3485,'Semrush Data'!$A$1:$A$20000,0),MATCH("Volume",'Semrush Data'!$A$1:$Z$1,0)),"")</f>
        <v/>
      </c>
      <c r="H3485" s="7" t="str">
        <f aca="false">IFERROR(INDEX('Semrush Data'!$A$1:$Z$20000,MATCH(A3485,'Semrush Data'!$A$1:$A$20000,0),MATCH("Keyword Difficulty*",'Semrush Data'!$A$1:$Z$1,0)),"")</f>
        <v/>
      </c>
      <c r="I3485" s="13" t="str">
        <f aca="false">IFERROR(INDEX('Semrush Data'!$A$1:$Z$20000,MATCH(A3485,'Semrush Data'!$A$1:$A$20000,0),MATCH("CPC*",'Semrush Data'!$A$1:$Z$1,0)),"")</f>
        <v/>
      </c>
      <c r="J3485" s="7" t="str">
        <f aca="false">IFERROR(INDEX('Semrush Data'!$A$1:$Z$20000,MATCH(A3485,'Semrush Data'!$A$1:$A$20000,0),MATCH("Intent",'Semrush Data'!$A$1:$Z$1,0)),"")</f>
        <v/>
      </c>
    </row>
    <row r="3486" customFormat="false" ht="15" hidden="false" customHeight="true" outlineLevel="0" collapsed="false">
      <c r="A3486" s="7" t="s">
        <v>4277</v>
      </c>
      <c r="B3486" s="7" t="s">
        <v>1356</v>
      </c>
      <c r="C3486" s="7" t="n">
        <v>3</v>
      </c>
      <c r="D3486" s="7" t="s">
        <v>6818</v>
      </c>
      <c r="E3486" s="7" t="n">
        <v>1</v>
      </c>
      <c r="F3486" s="7" t="s">
        <v>80</v>
      </c>
      <c r="G3486" s="12" t="str">
        <f aca="false">IFERROR(INDEX('Semrush Data'!$A$1:$Z$20000,MATCH(A3486,'Semrush Data'!$A$1:$A$20000,0),MATCH("Volume",'Semrush Data'!$A$1:$Z$1,0)),"")</f>
        <v/>
      </c>
      <c r="H3486" s="7" t="str">
        <f aca="false">IFERROR(INDEX('Semrush Data'!$A$1:$Z$20000,MATCH(A3486,'Semrush Data'!$A$1:$A$20000,0),MATCH("Keyword Difficulty*",'Semrush Data'!$A$1:$Z$1,0)),"")</f>
        <v/>
      </c>
      <c r="I3486" s="13" t="str">
        <f aca="false">IFERROR(INDEX('Semrush Data'!$A$1:$Z$20000,MATCH(A3486,'Semrush Data'!$A$1:$A$20000,0),MATCH("CPC*",'Semrush Data'!$A$1:$Z$1,0)),"")</f>
        <v/>
      </c>
      <c r="J3486" s="7" t="str">
        <f aca="false">IFERROR(INDEX('Semrush Data'!$A$1:$Z$20000,MATCH(A3486,'Semrush Data'!$A$1:$A$20000,0),MATCH("Intent",'Semrush Data'!$A$1:$Z$1,0)),"")</f>
        <v/>
      </c>
    </row>
    <row r="3487" customFormat="false" ht="15" hidden="false" customHeight="true" outlineLevel="0" collapsed="false">
      <c r="A3487" s="7" t="s">
        <v>4289</v>
      </c>
      <c r="B3487" s="7" t="s">
        <v>1356</v>
      </c>
      <c r="C3487" s="7" t="n">
        <v>3</v>
      </c>
      <c r="D3487" s="7" t="n">
        <v>35</v>
      </c>
      <c r="E3487" s="7" t="n">
        <v>1</v>
      </c>
      <c r="F3487" s="7" t="s">
        <v>4284</v>
      </c>
      <c r="G3487" s="12" t="str">
        <f aca="false">IFERROR(INDEX('Semrush Data'!$A$1:$Z$20000,MATCH(A3487,'Semrush Data'!$A$1:$A$20000,0),MATCH("Volume",'Semrush Data'!$A$1:$Z$1,0)),"")</f>
        <v/>
      </c>
      <c r="H3487" s="7" t="str">
        <f aca="false">IFERROR(INDEX('Semrush Data'!$A$1:$Z$20000,MATCH(A3487,'Semrush Data'!$A$1:$A$20000,0),MATCH("Keyword Difficulty*",'Semrush Data'!$A$1:$Z$1,0)),"")</f>
        <v/>
      </c>
      <c r="I3487" s="13" t="str">
        <f aca="false">IFERROR(INDEX('Semrush Data'!$A$1:$Z$20000,MATCH(A3487,'Semrush Data'!$A$1:$A$20000,0),MATCH("CPC*",'Semrush Data'!$A$1:$Z$1,0)),"")</f>
        <v/>
      </c>
      <c r="J3487" s="7" t="str">
        <f aca="false">IFERROR(INDEX('Semrush Data'!$A$1:$Z$20000,MATCH(A3487,'Semrush Data'!$A$1:$A$20000,0),MATCH("Intent",'Semrush Data'!$A$1:$Z$1,0)),"")</f>
        <v/>
      </c>
    </row>
    <row r="3488" customFormat="false" ht="15" hidden="false" customHeight="true" outlineLevel="0" collapsed="false">
      <c r="A3488" s="7" t="s">
        <v>4300</v>
      </c>
      <c r="B3488" s="7" t="s">
        <v>1356</v>
      </c>
      <c r="C3488" s="7" t="n">
        <v>3</v>
      </c>
      <c r="D3488" s="7" t="n">
        <v>35</v>
      </c>
      <c r="E3488" s="7" t="n">
        <v>1</v>
      </c>
      <c r="F3488" s="7" t="s">
        <v>4295</v>
      </c>
      <c r="G3488" s="12" t="str">
        <f aca="false">IFERROR(INDEX('Semrush Data'!$A$1:$Z$20000,MATCH(A3488,'Semrush Data'!$A$1:$A$20000,0),MATCH("Volume",'Semrush Data'!$A$1:$Z$1,0)),"")</f>
        <v/>
      </c>
      <c r="H3488" s="7" t="str">
        <f aca="false">IFERROR(INDEX('Semrush Data'!$A$1:$Z$20000,MATCH(A3488,'Semrush Data'!$A$1:$A$20000,0),MATCH("Keyword Difficulty*",'Semrush Data'!$A$1:$Z$1,0)),"")</f>
        <v/>
      </c>
      <c r="I3488" s="13" t="str">
        <f aca="false">IFERROR(INDEX('Semrush Data'!$A$1:$Z$20000,MATCH(A3488,'Semrush Data'!$A$1:$A$20000,0),MATCH("CPC*",'Semrush Data'!$A$1:$Z$1,0)),"")</f>
        <v/>
      </c>
      <c r="J3488" s="7" t="str">
        <f aca="false">IFERROR(INDEX('Semrush Data'!$A$1:$Z$20000,MATCH(A3488,'Semrush Data'!$A$1:$A$20000,0),MATCH("Intent",'Semrush Data'!$A$1:$Z$1,0)),"")</f>
        <v/>
      </c>
    </row>
    <row r="3489" customFormat="false" ht="15" hidden="false" customHeight="true" outlineLevel="0" collapsed="false">
      <c r="A3489" s="7" t="s">
        <v>4311</v>
      </c>
      <c r="B3489" s="7" t="s">
        <v>1356</v>
      </c>
      <c r="C3489" s="7" t="n">
        <v>3</v>
      </c>
      <c r="D3489" s="7" t="n">
        <v>35</v>
      </c>
      <c r="E3489" s="7" t="n">
        <v>1</v>
      </c>
      <c r="F3489" s="7" t="s">
        <v>4306</v>
      </c>
      <c r="G3489" s="12" t="str">
        <f aca="false">IFERROR(INDEX('Semrush Data'!$A$1:$Z$20000,MATCH(A3489,'Semrush Data'!$A$1:$A$20000,0),MATCH("Volume",'Semrush Data'!$A$1:$Z$1,0)),"")</f>
        <v/>
      </c>
      <c r="H3489" s="7" t="str">
        <f aca="false">IFERROR(INDEX('Semrush Data'!$A$1:$Z$20000,MATCH(A3489,'Semrush Data'!$A$1:$A$20000,0),MATCH("Keyword Difficulty*",'Semrush Data'!$A$1:$Z$1,0)),"")</f>
        <v/>
      </c>
      <c r="I3489" s="13" t="str">
        <f aca="false">IFERROR(INDEX('Semrush Data'!$A$1:$Z$20000,MATCH(A3489,'Semrush Data'!$A$1:$A$20000,0),MATCH("CPC*",'Semrush Data'!$A$1:$Z$1,0)),"")</f>
        <v/>
      </c>
      <c r="J3489" s="7" t="str">
        <f aca="false">IFERROR(INDEX('Semrush Data'!$A$1:$Z$20000,MATCH(A3489,'Semrush Data'!$A$1:$A$20000,0),MATCH("Intent",'Semrush Data'!$A$1:$Z$1,0)),"")</f>
        <v/>
      </c>
    </row>
    <row r="3490" customFormat="false" ht="15" hidden="false" customHeight="true" outlineLevel="0" collapsed="false">
      <c r="A3490" s="7" t="s">
        <v>4322</v>
      </c>
      <c r="B3490" s="7" t="s">
        <v>1356</v>
      </c>
      <c r="C3490" s="7" t="n">
        <v>3</v>
      </c>
      <c r="D3490" s="7" t="n">
        <v>35</v>
      </c>
      <c r="E3490" s="7" t="n">
        <v>1</v>
      </c>
      <c r="F3490" s="7" t="s">
        <v>4317</v>
      </c>
      <c r="G3490" s="12" t="str">
        <f aca="false">IFERROR(INDEX('Semrush Data'!$A$1:$Z$20000,MATCH(A3490,'Semrush Data'!$A$1:$A$20000,0),MATCH("Volume",'Semrush Data'!$A$1:$Z$1,0)),"")</f>
        <v/>
      </c>
      <c r="H3490" s="7" t="str">
        <f aca="false">IFERROR(INDEX('Semrush Data'!$A$1:$Z$20000,MATCH(A3490,'Semrush Data'!$A$1:$A$20000,0),MATCH("Keyword Difficulty*",'Semrush Data'!$A$1:$Z$1,0)),"")</f>
        <v/>
      </c>
      <c r="I3490" s="13" t="str">
        <f aca="false">IFERROR(INDEX('Semrush Data'!$A$1:$Z$20000,MATCH(A3490,'Semrush Data'!$A$1:$A$20000,0),MATCH("CPC*",'Semrush Data'!$A$1:$Z$1,0)),"")</f>
        <v/>
      </c>
      <c r="J3490" s="7" t="str">
        <f aca="false">IFERROR(INDEX('Semrush Data'!$A$1:$Z$20000,MATCH(A3490,'Semrush Data'!$A$1:$A$20000,0),MATCH("Intent",'Semrush Data'!$A$1:$Z$1,0)),"")</f>
        <v/>
      </c>
    </row>
    <row r="3491" customFormat="false" ht="15" hidden="false" customHeight="true" outlineLevel="0" collapsed="false">
      <c r="A3491" s="7" t="s">
        <v>4333</v>
      </c>
      <c r="B3491" s="7" t="s">
        <v>1356</v>
      </c>
      <c r="C3491" s="7" t="n">
        <v>3</v>
      </c>
      <c r="D3491" s="7" t="n">
        <v>35</v>
      </c>
      <c r="E3491" s="7" t="n">
        <v>1</v>
      </c>
      <c r="F3491" s="7" t="s">
        <v>4328</v>
      </c>
      <c r="G3491" s="12" t="str">
        <f aca="false">IFERROR(INDEX('Semrush Data'!$A$1:$Z$20000,MATCH(A3491,'Semrush Data'!$A$1:$A$20000,0),MATCH("Volume",'Semrush Data'!$A$1:$Z$1,0)),"")</f>
        <v/>
      </c>
      <c r="H3491" s="7" t="str">
        <f aca="false">IFERROR(INDEX('Semrush Data'!$A$1:$Z$20000,MATCH(A3491,'Semrush Data'!$A$1:$A$20000,0),MATCH("Keyword Difficulty*",'Semrush Data'!$A$1:$Z$1,0)),"")</f>
        <v/>
      </c>
      <c r="I3491" s="13" t="str">
        <f aca="false">IFERROR(INDEX('Semrush Data'!$A$1:$Z$20000,MATCH(A3491,'Semrush Data'!$A$1:$A$20000,0),MATCH("CPC*",'Semrush Data'!$A$1:$Z$1,0)),"")</f>
        <v/>
      </c>
      <c r="J3491" s="7" t="str">
        <f aca="false">IFERROR(INDEX('Semrush Data'!$A$1:$Z$20000,MATCH(A3491,'Semrush Data'!$A$1:$A$20000,0),MATCH("Intent",'Semrush Data'!$A$1:$Z$1,0)),"")</f>
        <v/>
      </c>
    </row>
    <row r="3492" customFormat="false" ht="15" hidden="false" customHeight="true" outlineLevel="0" collapsed="false">
      <c r="A3492" s="7" t="s">
        <v>4563</v>
      </c>
      <c r="B3492" s="7" t="s">
        <v>1356</v>
      </c>
      <c r="C3492" s="7" t="n">
        <v>3</v>
      </c>
      <c r="D3492" s="7" t="n">
        <v>35</v>
      </c>
      <c r="E3492" s="7" t="n">
        <v>1</v>
      </c>
      <c r="F3492" s="7" t="s">
        <v>4557</v>
      </c>
      <c r="G3492" s="12" t="str">
        <f aca="false">IFERROR(INDEX('Semrush Data'!$A$1:$Z$20000,MATCH(A3492,'Semrush Data'!$A$1:$A$20000,0),MATCH("Volume",'Semrush Data'!$A$1:$Z$1,0)),"")</f>
        <v/>
      </c>
      <c r="H3492" s="7" t="str">
        <f aca="false">IFERROR(INDEX('Semrush Data'!$A$1:$Z$20000,MATCH(A3492,'Semrush Data'!$A$1:$A$20000,0),MATCH("Keyword Difficulty*",'Semrush Data'!$A$1:$Z$1,0)),"")</f>
        <v/>
      </c>
      <c r="I3492" s="13" t="str">
        <f aca="false">IFERROR(INDEX('Semrush Data'!$A$1:$Z$20000,MATCH(A3492,'Semrush Data'!$A$1:$A$20000,0),MATCH("CPC*",'Semrush Data'!$A$1:$Z$1,0)),"")</f>
        <v/>
      </c>
      <c r="J3492" s="7" t="str">
        <f aca="false">IFERROR(INDEX('Semrush Data'!$A$1:$Z$20000,MATCH(A3492,'Semrush Data'!$A$1:$A$20000,0),MATCH("Intent",'Semrush Data'!$A$1:$Z$1,0)),"")</f>
        <v/>
      </c>
    </row>
    <row r="3493" customFormat="false" ht="15" hidden="false" customHeight="true" outlineLevel="0" collapsed="false">
      <c r="A3493" s="7" t="s">
        <v>4345</v>
      </c>
      <c r="B3493" s="7" t="s">
        <v>1356</v>
      </c>
      <c r="C3493" s="7" t="n">
        <v>3</v>
      </c>
      <c r="D3493" s="7" t="n">
        <v>35</v>
      </c>
      <c r="E3493" s="7" t="n">
        <v>1</v>
      </c>
      <c r="F3493" s="7" t="s">
        <v>4340</v>
      </c>
      <c r="G3493" s="12" t="str">
        <f aca="false">IFERROR(INDEX('Semrush Data'!$A$1:$Z$20000,MATCH(A3493,'Semrush Data'!$A$1:$A$20000,0),MATCH("Volume",'Semrush Data'!$A$1:$Z$1,0)),"")</f>
        <v/>
      </c>
      <c r="H3493" s="7" t="str">
        <f aca="false">IFERROR(INDEX('Semrush Data'!$A$1:$Z$20000,MATCH(A3493,'Semrush Data'!$A$1:$A$20000,0),MATCH("Keyword Difficulty*",'Semrush Data'!$A$1:$Z$1,0)),"")</f>
        <v/>
      </c>
      <c r="I3493" s="13" t="str">
        <f aca="false">IFERROR(INDEX('Semrush Data'!$A$1:$Z$20000,MATCH(A3493,'Semrush Data'!$A$1:$A$20000,0),MATCH("CPC*",'Semrush Data'!$A$1:$Z$1,0)),"")</f>
        <v/>
      </c>
      <c r="J3493" s="7" t="str">
        <f aca="false">IFERROR(INDEX('Semrush Data'!$A$1:$Z$20000,MATCH(A3493,'Semrush Data'!$A$1:$A$20000,0),MATCH("Intent",'Semrush Data'!$A$1:$Z$1,0)),"")</f>
        <v/>
      </c>
    </row>
    <row r="3494" customFormat="false" ht="15" hidden="false" customHeight="true" outlineLevel="0" collapsed="false">
      <c r="A3494" s="7" t="s">
        <v>4356</v>
      </c>
      <c r="B3494" s="7" t="s">
        <v>1356</v>
      </c>
      <c r="C3494" s="7" t="n">
        <v>3</v>
      </c>
      <c r="D3494" s="7" t="n">
        <v>35</v>
      </c>
      <c r="E3494" s="7" t="n">
        <v>1</v>
      </c>
      <c r="F3494" s="7" t="s">
        <v>4351</v>
      </c>
      <c r="G3494" s="12" t="str">
        <f aca="false">IFERROR(INDEX('Semrush Data'!$A$1:$Z$20000,MATCH(A3494,'Semrush Data'!$A$1:$A$20000,0),MATCH("Volume",'Semrush Data'!$A$1:$Z$1,0)),"")</f>
        <v/>
      </c>
      <c r="H3494" s="7" t="str">
        <f aca="false">IFERROR(INDEX('Semrush Data'!$A$1:$Z$20000,MATCH(A3494,'Semrush Data'!$A$1:$A$20000,0),MATCH("Keyword Difficulty*",'Semrush Data'!$A$1:$Z$1,0)),"")</f>
        <v/>
      </c>
      <c r="I3494" s="13" t="str">
        <f aca="false">IFERROR(INDEX('Semrush Data'!$A$1:$Z$20000,MATCH(A3494,'Semrush Data'!$A$1:$A$20000,0),MATCH("CPC*",'Semrush Data'!$A$1:$Z$1,0)),"")</f>
        <v/>
      </c>
      <c r="J3494" s="7" t="str">
        <f aca="false">IFERROR(INDEX('Semrush Data'!$A$1:$Z$20000,MATCH(A3494,'Semrush Data'!$A$1:$A$20000,0),MATCH("Intent",'Semrush Data'!$A$1:$Z$1,0)),"")</f>
        <v/>
      </c>
    </row>
    <row r="3495" customFormat="false" ht="15" hidden="false" customHeight="true" outlineLevel="0" collapsed="false">
      <c r="A3495" s="7" t="s">
        <v>4367</v>
      </c>
      <c r="B3495" s="7" t="s">
        <v>1356</v>
      </c>
      <c r="C3495" s="7" t="n">
        <v>3</v>
      </c>
      <c r="D3495" s="7" t="n">
        <v>35</v>
      </c>
      <c r="E3495" s="7" t="n">
        <v>1</v>
      </c>
      <c r="F3495" s="7" t="s">
        <v>4362</v>
      </c>
      <c r="G3495" s="12" t="str">
        <f aca="false">IFERROR(INDEX('Semrush Data'!$A$1:$Z$20000,MATCH(A3495,'Semrush Data'!$A$1:$A$20000,0),MATCH("Volume",'Semrush Data'!$A$1:$Z$1,0)),"")</f>
        <v/>
      </c>
      <c r="H3495" s="7" t="str">
        <f aca="false">IFERROR(INDEX('Semrush Data'!$A$1:$Z$20000,MATCH(A3495,'Semrush Data'!$A$1:$A$20000,0),MATCH("Keyword Difficulty*",'Semrush Data'!$A$1:$Z$1,0)),"")</f>
        <v/>
      </c>
      <c r="I3495" s="13" t="str">
        <f aca="false">IFERROR(INDEX('Semrush Data'!$A$1:$Z$20000,MATCH(A3495,'Semrush Data'!$A$1:$A$20000,0),MATCH("CPC*",'Semrush Data'!$A$1:$Z$1,0)),"")</f>
        <v/>
      </c>
      <c r="J3495" s="7" t="str">
        <f aca="false">IFERROR(INDEX('Semrush Data'!$A$1:$Z$20000,MATCH(A3495,'Semrush Data'!$A$1:$A$20000,0),MATCH("Intent",'Semrush Data'!$A$1:$Z$1,0)),"")</f>
        <v/>
      </c>
    </row>
    <row r="3496" customFormat="false" ht="15" hidden="false" customHeight="true" outlineLevel="0" collapsed="false">
      <c r="A3496" s="7" t="s">
        <v>4376</v>
      </c>
      <c r="B3496" s="7" t="s">
        <v>1356</v>
      </c>
      <c r="C3496" s="7" t="n">
        <v>3</v>
      </c>
      <c r="D3496" s="7" t="n">
        <v>35</v>
      </c>
      <c r="E3496" s="7" t="n">
        <v>1</v>
      </c>
      <c r="F3496" s="7" t="s">
        <v>96</v>
      </c>
      <c r="G3496" s="12" t="str">
        <f aca="false">IFERROR(INDEX('Semrush Data'!$A$1:$Z$20000,MATCH(A3496,'Semrush Data'!$A$1:$A$20000,0),MATCH("Volume",'Semrush Data'!$A$1:$Z$1,0)),"")</f>
        <v/>
      </c>
      <c r="H3496" s="7" t="str">
        <f aca="false">IFERROR(INDEX('Semrush Data'!$A$1:$Z$20000,MATCH(A3496,'Semrush Data'!$A$1:$A$20000,0),MATCH("Keyword Difficulty*",'Semrush Data'!$A$1:$Z$1,0)),"")</f>
        <v/>
      </c>
      <c r="I3496" s="13" t="str">
        <f aca="false">IFERROR(INDEX('Semrush Data'!$A$1:$Z$20000,MATCH(A3496,'Semrush Data'!$A$1:$A$20000,0),MATCH("CPC*",'Semrush Data'!$A$1:$Z$1,0)),"")</f>
        <v/>
      </c>
      <c r="J3496" s="7" t="str">
        <f aca="false">IFERROR(INDEX('Semrush Data'!$A$1:$Z$20000,MATCH(A3496,'Semrush Data'!$A$1:$A$20000,0),MATCH("Intent",'Semrush Data'!$A$1:$Z$1,0)),"")</f>
        <v/>
      </c>
    </row>
    <row r="3497" customFormat="false" ht="15" hidden="false" customHeight="true" outlineLevel="0" collapsed="false">
      <c r="A3497" s="7" t="s">
        <v>4387</v>
      </c>
      <c r="B3497" s="7" t="s">
        <v>1356</v>
      </c>
      <c r="C3497" s="7" t="n">
        <v>3</v>
      </c>
      <c r="D3497" s="7" t="n">
        <v>35</v>
      </c>
      <c r="E3497" s="7" t="n">
        <v>1</v>
      </c>
      <c r="F3497" s="7" t="s">
        <v>4382</v>
      </c>
      <c r="G3497" s="12" t="str">
        <f aca="false">IFERROR(INDEX('Semrush Data'!$A$1:$Z$20000,MATCH(A3497,'Semrush Data'!$A$1:$A$20000,0),MATCH("Volume",'Semrush Data'!$A$1:$Z$1,0)),"")</f>
        <v/>
      </c>
      <c r="H3497" s="7" t="str">
        <f aca="false">IFERROR(INDEX('Semrush Data'!$A$1:$Z$20000,MATCH(A3497,'Semrush Data'!$A$1:$A$20000,0),MATCH("Keyword Difficulty*",'Semrush Data'!$A$1:$Z$1,0)),"")</f>
        <v/>
      </c>
      <c r="I3497" s="13" t="str">
        <f aca="false">IFERROR(INDEX('Semrush Data'!$A$1:$Z$20000,MATCH(A3497,'Semrush Data'!$A$1:$A$20000,0),MATCH("CPC*",'Semrush Data'!$A$1:$Z$1,0)),"")</f>
        <v/>
      </c>
      <c r="J3497" s="7" t="str">
        <f aca="false">IFERROR(INDEX('Semrush Data'!$A$1:$Z$20000,MATCH(A3497,'Semrush Data'!$A$1:$A$20000,0),MATCH("Intent",'Semrush Data'!$A$1:$Z$1,0)),"")</f>
        <v/>
      </c>
    </row>
    <row r="3498" customFormat="false" ht="15" hidden="false" customHeight="true" outlineLevel="0" collapsed="false">
      <c r="A3498" s="7" t="s">
        <v>4398</v>
      </c>
      <c r="B3498" s="7" t="s">
        <v>1356</v>
      </c>
      <c r="C3498" s="7" t="n">
        <v>3</v>
      </c>
      <c r="D3498" s="7" t="n">
        <v>35</v>
      </c>
      <c r="E3498" s="7" t="n">
        <v>1</v>
      </c>
      <c r="F3498" s="7" t="s">
        <v>4393</v>
      </c>
      <c r="G3498" s="12" t="str">
        <f aca="false">IFERROR(INDEX('Semrush Data'!$A$1:$Z$20000,MATCH(A3498,'Semrush Data'!$A$1:$A$20000,0),MATCH("Volume",'Semrush Data'!$A$1:$Z$1,0)),"")</f>
        <v/>
      </c>
      <c r="H3498" s="7" t="str">
        <f aca="false">IFERROR(INDEX('Semrush Data'!$A$1:$Z$20000,MATCH(A3498,'Semrush Data'!$A$1:$A$20000,0),MATCH("Keyword Difficulty*",'Semrush Data'!$A$1:$Z$1,0)),"")</f>
        <v/>
      </c>
      <c r="I3498" s="13" t="str">
        <f aca="false">IFERROR(INDEX('Semrush Data'!$A$1:$Z$20000,MATCH(A3498,'Semrush Data'!$A$1:$A$20000,0),MATCH("CPC*",'Semrush Data'!$A$1:$Z$1,0)),"")</f>
        <v/>
      </c>
      <c r="J3498" s="7" t="str">
        <f aca="false">IFERROR(INDEX('Semrush Data'!$A$1:$Z$20000,MATCH(A3498,'Semrush Data'!$A$1:$A$20000,0),MATCH("Intent",'Semrush Data'!$A$1:$Z$1,0)),"")</f>
        <v/>
      </c>
    </row>
    <row r="3499" customFormat="false" ht="15" hidden="false" customHeight="true" outlineLevel="0" collapsed="false">
      <c r="A3499" s="7" t="s">
        <v>4574</v>
      </c>
      <c r="B3499" s="7" t="s">
        <v>1356</v>
      </c>
      <c r="C3499" s="7" t="n">
        <v>3</v>
      </c>
      <c r="D3499" s="7" t="n">
        <v>35</v>
      </c>
      <c r="E3499" s="7" t="n">
        <v>1</v>
      </c>
      <c r="F3499" s="7" t="s">
        <v>4568</v>
      </c>
      <c r="G3499" s="12" t="str">
        <f aca="false">IFERROR(INDEX('Semrush Data'!$A$1:$Z$20000,MATCH(A3499,'Semrush Data'!$A$1:$A$20000,0),MATCH("Volume",'Semrush Data'!$A$1:$Z$1,0)),"")</f>
        <v/>
      </c>
      <c r="H3499" s="7" t="str">
        <f aca="false">IFERROR(INDEX('Semrush Data'!$A$1:$Z$20000,MATCH(A3499,'Semrush Data'!$A$1:$A$20000,0),MATCH("Keyword Difficulty*",'Semrush Data'!$A$1:$Z$1,0)),"")</f>
        <v/>
      </c>
      <c r="I3499" s="13" t="str">
        <f aca="false">IFERROR(INDEX('Semrush Data'!$A$1:$Z$20000,MATCH(A3499,'Semrush Data'!$A$1:$A$20000,0),MATCH("CPC*",'Semrush Data'!$A$1:$Z$1,0)),"")</f>
        <v/>
      </c>
      <c r="J3499" s="7" t="str">
        <f aca="false">IFERROR(INDEX('Semrush Data'!$A$1:$Z$20000,MATCH(A3499,'Semrush Data'!$A$1:$A$20000,0),MATCH("Intent",'Semrush Data'!$A$1:$Z$1,0)),"")</f>
        <v/>
      </c>
    </row>
    <row r="3500" customFormat="false" ht="15" hidden="false" customHeight="true" outlineLevel="0" collapsed="false">
      <c r="A3500" s="7" t="s">
        <v>4586</v>
      </c>
      <c r="B3500" s="7" t="s">
        <v>1356</v>
      </c>
      <c r="C3500" s="7" t="n">
        <v>3</v>
      </c>
      <c r="D3500" s="7" t="n">
        <v>35</v>
      </c>
      <c r="E3500" s="7" t="n">
        <v>1</v>
      </c>
      <c r="F3500" s="7" t="s">
        <v>4580</v>
      </c>
      <c r="G3500" s="12" t="str">
        <f aca="false">IFERROR(INDEX('Semrush Data'!$A$1:$Z$20000,MATCH(A3500,'Semrush Data'!$A$1:$A$20000,0),MATCH("Volume",'Semrush Data'!$A$1:$Z$1,0)),"")</f>
        <v/>
      </c>
      <c r="H3500" s="7" t="str">
        <f aca="false">IFERROR(INDEX('Semrush Data'!$A$1:$Z$20000,MATCH(A3500,'Semrush Data'!$A$1:$A$20000,0),MATCH("Keyword Difficulty*",'Semrush Data'!$A$1:$Z$1,0)),"")</f>
        <v/>
      </c>
      <c r="I3500" s="13" t="str">
        <f aca="false">IFERROR(INDEX('Semrush Data'!$A$1:$Z$20000,MATCH(A3500,'Semrush Data'!$A$1:$A$20000,0),MATCH("CPC*",'Semrush Data'!$A$1:$Z$1,0)),"")</f>
        <v/>
      </c>
      <c r="J3500" s="7" t="str">
        <f aca="false">IFERROR(INDEX('Semrush Data'!$A$1:$Z$20000,MATCH(A3500,'Semrush Data'!$A$1:$A$20000,0),MATCH("Intent",'Semrush Data'!$A$1:$Z$1,0)),"")</f>
        <v/>
      </c>
    </row>
    <row r="3501" customFormat="false" ht="15" hidden="false" customHeight="true" outlineLevel="0" collapsed="false">
      <c r="A3501" s="7" t="s">
        <v>4597</v>
      </c>
      <c r="B3501" s="7" t="s">
        <v>1356</v>
      </c>
      <c r="C3501" s="7" t="n">
        <v>3</v>
      </c>
      <c r="D3501" s="7" t="n">
        <v>35</v>
      </c>
      <c r="E3501" s="7" t="n">
        <v>1</v>
      </c>
      <c r="F3501" s="7" t="s">
        <v>112</v>
      </c>
      <c r="G3501" s="12" t="str">
        <f aca="false">IFERROR(INDEX('Semrush Data'!$A$1:$Z$20000,MATCH(A3501,'Semrush Data'!$A$1:$A$20000,0),MATCH("Volume",'Semrush Data'!$A$1:$Z$1,0)),"")</f>
        <v/>
      </c>
      <c r="H3501" s="7" t="str">
        <f aca="false">IFERROR(INDEX('Semrush Data'!$A$1:$Z$20000,MATCH(A3501,'Semrush Data'!$A$1:$A$20000,0),MATCH("Keyword Difficulty*",'Semrush Data'!$A$1:$Z$1,0)),"")</f>
        <v/>
      </c>
      <c r="I3501" s="13" t="str">
        <f aca="false">IFERROR(INDEX('Semrush Data'!$A$1:$Z$20000,MATCH(A3501,'Semrush Data'!$A$1:$A$20000,0),MATCH("CPC*",'Semrush Data'!$A$1:$Z$1,0)),"")</f>
        <v/>
      </c>
      <c r="J3501" s="7" t="str">
        <f aca="false">IFERROR(INDEX('Semrush Data'!$A$1:$Z$20000,MATCH(A3501,'Semrush Data'!$A$1:$A$20000,0),MATCH("Intent",'Semrush Data'!$A$1:$Z$1,0)),"")</f>
        <v/>
      </c>
    </row>
    <row r="3502" customFormat="false" ht="15" hidden="false" customHeight="true" outlineLevel="0" collapsed="false">
      <c r="A3502" s="7" t="s">
        <v>4609</v>
      </c>
      <c r="B3502" s="7" t="s">
        <v>1356</v>
      </c>
      <c r="C3502" s="7" t="n">
        <v>3</v>
      </c>
      <c r="D3502" s="7" t="n">
        <v>36</v>
      </c>
      <c r="E3502" s="7" t="n">
        <v>1</v>
      </c>
      <c r="F3502" s="7" t="s">
        <v>4604</v>
      </c>
      <c r="G3502" s="12" t="str">
        <f aca="false">IFERROR(INDEX('Semrush Data'!$A$1:$Z$20000,MATCH(A3502,'Semrush Data'!$A$1:$A$20000,0),MATCH("Volume",'Semrush Data'!$A$1:$Z$1,0)),"")</f>
        <v/>
      </c>
      <c r="H3502" s="7" t="str">
        <f aca="false">IFERROR(INDEX('Semrush Data'!$A$1:$Z$20000,MATCH(A3502,'Semrush Data'!$A$1:$A$20000,0),MATCH("Keyword Difficulty*",'Semrush Data'!$A$1:$Z$1,0)),"")</f>
        <v/>
      </c>
      <c r="I3502" s="13" t="str">
        <f aca="false">IFERROR(INDEX('Semrush Data'!$A$1:$Z$20000,MATCH(A3502,'Semrush Data'!$A$1:$A$20000,0),MATCH("CPC*",'Semrush Data'!$A$1:$Z$1,0)),"")</f>
        <v/>
      </c>
      <c r="J3502" s="7" t="str">
        <f aca="false">IFERROR(INDEX('Semrush Data'!$A$1:$Z$20000,MATCH(A3502,'Semrush Data'!$A$1:$A$20000,0),MATCH("Intent",'Semrush Data'!$A$1:$Z$1,0)),"")</f>
        <v/>
      </c>
    </row>
    <row r="3503" customFormat="false" ht="15" hidden="false" customHeight="true" outlineLevel="0" collapsed="false">
      <c r="A3503" s="7" t="s">
        <v>4695</v>
      </c>
      <c r="B3503" s="7" t="s">
        <v>1356</v>
      </c>
      <c r="C3503" s="7" t="n">
        <v>3</v>
      </c>
      <c r="D3503" s="7" t="n">
        <v>36</v>
      </c>
      <c r="E3503" s="7" t="n">
        <v>1</v>
      </c>
      <c r="F3503" s="7" t="s">
        <v>4690</v>
      </c>
      <c r="G3503" s="12" t="str">
        <f aca="false">IFERROR(INDEX('Semrush Data'!$A$1:$Z$20000,MATCH(A3503,'Semrush Data'!$A$1:$A$20000,0),MATCH("Volume",'Semrush Data'!$A$1:$Z$1,0)),"")</f>
        <v/>
      </c>
      <c r="H3503" s="7" t="str">
        <f aca="false">IFERROR(INDEX('Semrush Data'!$A$1:$Z$20000,MATCH(A3503,'Semrush Data'!$A$1:$A$20000,0),MATCH("Keyword Difficulty*",'Semrush Data'!$A$1:$Z$1,0)),"")</f>
        <v/>
      </c>
      <c r="I3503" s="13" t="str">
        <f aca="false">IFERROR(INDEX('Semrush Data'!$A$1:$Z$20000,MATCH(A3503,'Semrush Data'!$A$1:$A$20000,0),MATCH("CPC*",'Semrush Data'!$A$1:$Z$1,0)),"")</f>
        <v/>
      </c>
      <c r="J3503" s="7" t="str">
        <f aca="false">IFERROR(INDEX('Semrush Data'!$A$1:$Z$20000,MATCH(A3503,'Semrush Data'!$A$1:$A$20000,0),MATCH("Intent",'Semrush Data'!$A$1:$Z$1,0)),"")</f>
        <v/>
      </c>
    </row>
    <row r="3504" customFormat="false" ht="15" hidden="false" customHeight="true" outlineLevel="0" collapsed="false">
      <c r="A3504" s="7" t="s">
        <v>4674</v>
      </c>
      <c r="B3504" s="7" t="s">
        <v>1356</v>
      </c>
      <c r="C3504" s="7" t="n">
        <v>3</v>
      </c>
      <c r="D3504" s="7" t="n">
        <v>36</v>
      </c>
      <c r="E3504" s="7" t="n">
        <v>1</v>
      </c>
      <c r="F3504" s="7" t="s">
        <v>4669</v>
      </c>
      <c r="G3504" s="12" t="str">
        <f aca="false">IFERROR(INDEX('Semrush Data'!$A$1:$Z$20000,MATCH(A3504,'Semrush Data'!$A$1:$A$20000,0),MATCH("Volume",'Semrush Data'!$A$1:$Z$1,0)),"")</f>
        <v/>
      </c>
      <c r="H3504" s="7" t="str">
        <f aca="false">IFERROR(INDEX('Semrush Data'!$A$1:$Z$20000,MATCH(A3504,'Semrush Data'!$A$1:$A$20000,0),MATCH("Keyword Difficulty*",'Semrush Data'!$A$1:$Z$1,0)),"")</f>
        <v/>
      </c>
      <c r="I3504" s="13" t="str">
        <f aca="false">IFERROR(INDEX('Semrush Data'!$A$1:$Z$20000,MATCH(A3504,'Semrush Data'!$A$1:$A$20000,0),MATCH("CPC*",'Semrush Data'!$A$1:$Z$1,0)),"")</f>
        <v/>
      </c>
      <c r="J3504" s="7" t="str">
        <f aca="false">IFERROR(INDEX('Semrush Data'!$A$1:$Z$20000,MATCH(A3504,'Semrush Data'!$A$1:$A$20000,0),MATCH("Intent",'Semrush Data'!$A$1:$Z$1,0)),"")</f>
        <v/>
      </c>
    </row>
    <row r="3505" customFormat="false" ht="15" hidden="false" customHeight="true" outlineLevel="0" collapsed="false">
      <c r="A3505" s="7" t="s">
        <v>4747</v>
      </c>
      <c r="B3505" s="7" t="s">
        <v>1356</v>
      </c>
      <c r="C3505" s="7" t="n">
        <v>3</v>
      </c>
      <c r="D3505" s="7" t="n">
        <v>36</v>
      </c>
      <c r="E3505" s="7" t="n">
        <v>1</v>
      </c>
      <c r="F3505" s="7" t="s">
        <v>4742</v>
      </c>
      <c r="G3505" s="12" t="str">
        <f aca="false">IFERROR(INDEX('Semrush Data'!$A$1:$Z$20000,MATCH(A3505,'Semrush Data'!$A$1:$A$20000,0),MATCH("Volume",'Semrush Data'!$A$1:$Z$1,0)),"")</f>
        <v/>
      </c>
      <c r="H3505" s="7" t="str">
        <f aca="false">IFERROR(INDEX('Semrush Data'!$A$1:$Z$20000,MATCH(A3505,'Semrush Data'!$A$1:$A$20000,0),MATCH("Keyword Difficulty*",'Semrush Data'!$A$1:$Z$1,0)),"")</f>
        <v/>
      </c>
      <c r="I3505" s="13" t="str">
        <f aca="false">IFERROR(INDEX('Semrush Data'!$A$1:$Z$20000,MATCH(A3505,'Semrush Data'!$A$1:$A$20000,0),MATCH("CPC*",'Semrush Data'!$A$1:$Z$1,0)),"")</f>
        <v/>
      </c>
      <c r="J3505" s="7" t="str">
        <f aca="false">IFERROR(INDEX('Semrush Data'!$A$1:$Z$20000,MATCH(A3505,'Semrush Data'!$A$1:$A$20000,0),MATCH("Intent",'Semrush Data'!$A$1:$Z$1,0)),"")</f>
        <v/>
      </c>
    </row>
    <row r="3506" customFormat="false" ht="15" hidden="false" customHeight="true" outlineLevel="0" collapsed="false">
      <c r="A3506" s="7" t="s">
        <v>4622</v>
      </c>
      <c r="B3506" s="7" t="s">
        <v>1356</v>
      </c>
      <c r="C3506" s="7" t="n">
        <v>3</v>
      </c>
      <c r="D3506" s="7" t="n">
        <v>36</v>
      </c>
      <c r="E3506" s="7" t="n">
        <v>1</v>
      </c>
      <c r="F3506" s="7" t="s">
        <v>4616</v>
      </c>
      <c r="G3506" s="12" t="str">
        <f aca="false">IFERROR(INDEX('Semrush Data'!$A$1:$Z$20000,MATCH(A3506,'Semrush Data'!$A$1:$A$20000,0),MATCH("Volume",'Semrush Data'!$A$1:$Z$1,0)),"")</f>
        <v/>
      </c>
      <c r="H3506" s="7" t="str">
        <f aca="false">IFERROR(INDEX('Semrush Data'!$A$1:$Z$20000,MATCH(A3506,'Semrush Data'!$A$1:$A$20000,0),MATCH("Keyword Difficulty*",'Semrush Data'!$A$1:$Z$1,0)),"")</f>
        <v/>
      </c>
      <c r="I3506" s="13" t="str">
        <f aca="false">IFERROR(INDEX('Semrush Data'!$A$1:$Z$20000,MATCH(A3506,'Semrush Data'!$A$1:$A$20000,0),MATCH("CPC*",'Semrush Data'!$A$1:$Z$1,0)),"")</f>
        <v/>
      </c>
      <c r="J3506" s="7" t="str">
        <f aca="false">IFERROR(INDEX('Semrush Data'!$A$1:$Z$20000,MATCH(A3506,'Semrush Data'!$A$1:$A$20000,0),MATCH("Intent",'Semrush Data'!$A$1:$Z$1,0)),"")</f>
        <v/>
      </c>
    </row>
    <row r="3507" customFormat="false" ht="15" hidden="false" customHeight="true" outlineLevel="0" collapsed="false">
      <c r="A3507" s="7" t="s">
        <v>4631</v>
      </c>
      <c r="B3507" s="7" t="s">
        <v>1356</v>
      </c>
      <c r="C3507" s="7" t="n">
        <v>3</v>
      </c>
      <c r="D3507" s="7" t="s">
        <v>6818</v>
      </c>
      <c r="E3507" s="7" t="n">
        <v>1</v>
      </c>
      <c r="F3507" s="7" t="s">
        <v>64</v>
      </c>
      <c r="G3507" s="12" t="str">
        <f aca="false">IFERROR(INDEX('Semrush Data'!$A$1:$Z$20000,MATCH(A3507,'Semrush Data'!$A$1:$A$20000,0),MATCH("Volume",'Semrush Data'!$A$1:$Z$1,0)),"")</f>
        <v/>
      </c>
      <c r="H3507" s="7" t="str">
        <f aca="false">IFERROR(INDEX('Semrush Data'!$A$1:$Z$20000,MATCH(A3507,'Semrush Data'!$A$1:$A$20000,0),MATCH("Keyword Difficulty*",'Semrush Data'!$A$1:$Z$1,0)),"")</f>
        <v/>
      </c>
      <c r="I3507" s="13" t="str">
        <f aca="false">IFERROR(INDEX('Semrush Data'!$A$1:$Z$20000,MATCH(A3507,'Semrush Data'!$A$1:$A$20000,0),MATCH("CPC*",'Semrush Data'!$A$1:$Z$1,0)),"")</f>
        <v/>
      </c>
      <c r="J3507" s="7" t="str">
        <f aca="false">IFERROR(INDEX('Semrush Data'!$A$1:$Z$20000,MATCH(A3507,'Semrush Data'!$A$1:$A$20000,0),MATCH("Intent",'Semrush Data'!$A$1:$Z$1,0)),"")</f>
        <v/>
      </c>
    </row>
    <row r="3508" customFormat="false" ht="15" hidden="false" customHeight="true" outlineLevel="0" collapsed="false">
      <c r="A3508" s="7" t="s">
        <v>4706</v>
      </c>
      <c r="B3508" s="7" t="s">
        <v>1356</v>
      </c>
      <c r="C3508" s="7" t="n">
        <v>3</v>
      </c>
      <c r="D3508" s="7" t="n">
        <v>36</v>
      </c>
      <c r="E3508" s="7" t="n">
        <v>1</v>
      </c>
      <c r="F3508" s="7" t="s">
        <v>4700</v>
      </c>
      <c r="G3508" s="12" t="str">
        <f aca="false">IFERROR(INDEX('Semrush Data'!$A$1:$Z$20000,MATCH(A3508,'Semrush Data'!$A$1:$A$20000,0),MATCH("Volume",'Semrush Data'!$A$1:$Z$1,0)),"")</f>
        <v/>
      </c>
      <c r="H3508" s="7" t="str">
        <f aca="false">IFERROR(INDEX('Semrush Data'!$A$1:$Z$20000,MATCH(A3508,'Semrush Data'!$A$1:$A$20000,0),MATCH("Keyword Difficulty*",'Semrush Data'!$A$1:$Z$1,0)),"")</f>
        <v/>
      </c>
      <c r="I3508" s="13" t="str">
        <f aca="false">IFERROR(INDEX('Semrush Data'!$A$1:$Z$20000,MATCH(A3508,'Semrush Data'!$A$1:$A$20000,0),MATCH("CPC*",'Semrush Data'!$A$1:$Z$1,0)),"")</f>
        <v/>
      </c>
      <c r="J3508" s="7" t="str">
        <f aca="false">IFERROR(INDEX('Semrush Data'!$A$1:$Z$20000,MATCH(A3508,'Semrush Data'!$A$1:$A$20000,0),MATCH("Intent",'Semrush Data'!$A$1:$Z$1,0)),"")</f>
        <v/>
      </c>
    </row>
    <row r="3509" customFormat="false" ht="15" hidden="false" customHeight="true" outlineLevel="0" collapsed="false">
      <c r="A3509" s="7" t="s">
        <v>4642</v>
      </c>
      <c r="B3509" s="7" t="s">
        <v>1356</v>
      </c>
      <c r="C3509" s="7" t="n">
        <v>3</v>
      </c>
      <c r="D3509" s="7" t="n">
        <v>36</v>
      </c>
      <c r="E3509" s="7" t="n">
        <v>1</v>
      </c>
      <c r="F3509" s="7" t="s">
        <v>4637</v>
      </c>
      <c r="G3509" s="12" t="str">
        <f aca="false">IFERROR(INDEX('Semrush Data'!$A$1:$Z$20000,MATCH(A3509,'Semrush Data'!$A$1:$A$20000,0),MATCH("Volume",'Semrush Data'!$A$1:$Z$1,0)),"")</f>
        <v/>
      </c>
      <c r="H3509" s="7" t="str">
        <f aca="false">IFERROR(INDEX('Semrush Data'!$A$1:$Z$20000,MATCH(A3509,'Semrush Data'!$A$1:$A$20000,0),MATCH("Keyword Difficulty*",'Semrush Data'!$A$1:$Z$1,0)),"")</f>
        <v/>
      </c>
      <c r="I3509" s="13" t="str">
        <f aca="false">IFERROR(INDEX('Semrush Data'!$A$1:$Z$20000,MATCH(A3509,'Semrush Data'!$A$1:$A$20000,0),MATCH("CPC*",'Semrush Data'!$A$1:$Z$1,0)),"")</f>
        <v/>
      </c>
      <c r="J3509" s="7" t="str">
        <f aca="false">IFERROR(INDEX('Semrush Data'!$A$1:$Z$20000,MATCH(A3509,'Semrush Data'!$A$1:$A$20000,0),MATCH("Intent",'Semrush Data'!$A$1:$Z$1,0)),"")</f>
        <v/>
      </c>
    </row>
    <row r="3510" customFormat="false" ht="15" hidden="false" customHeight="true" outlineLevel="0" collapsed="false">
      <c r="A3510" s="7" t="s">
        <v>4717</v>
      </c>
      <c r="B3510" s="7" t="s">
        <v>1356</v>
      </c>
      <c r="C3510" s="7" t="n">
        <v>3</v>
      </c>
      <c r="D3510" s="7" t="n">
        <v>36</v>
      </c>
      <c r="E3510" s="7" t="n">
        <v>1</v>
      </c>
      <c r="F3510" s="7" t="s">
        <v>4712</v>
      </c>
      <c r="G3510" s="12" t="str">
        <f aca="false">IFERROR(INDEX('Semrush Data'!$A$1:$Z$20000,MATCH(A3510,'Semrush Data'!$A$1:$A$20000,0),MATCH("Volume",'Semrush Data'!$A$1:$Z$1,0)),"")</f>
        <v/>
      </c>
      <c r="H3510" s="7" t="str">
        <f aca="false">IFERROR(INDEX('Semrush Data'!$A$1:$Z$20000,MATCH(A3510,'Semrush Data'!$A$1:$A$20000,0),MATCH("Keyword Difficulty*",'Semrush Data'!$A$1:$Z$1,0)),"")</f>
        <v/>
      </c>
      <c r="I3510" s="13" t="str">
        <f aca="false">IFERROR(INDEX('Semrush Data'!$A$1:$Z$20000,MATCH(A3510,'Semrush Data'!$A$1:$A$20000,0),MATCH("CPC*",'Semrush Data'!$A$1:$Z$1,0)),"")</f>
        <v/>
      </c>
      <c r="J3510" s="7" t="str">
        <f aca="false">IFERROR(INDEX('Semrush Data'!$A$1:$Z$20000,MATCH(A3510,'Semrush Data'!$A$1:$A$20000,0),MATCH("Intent",'Semrush Data'!$A$1:$Z$1,0)),"")</f>
        <v/>
      </c>
    </row>
    <row r="3511" customFormat="false" ht="15" hidden="false" customHeight="true" outlineLevel="0" collapsed="false">
      <c r="A3511" s="7" t="s">
        <v>4652</v>
      </c>
      <c r="B3511" s="7" t="s">
        <v>1356</v>
      </c>
      <c r="C3511" s="7" t="n">
        <v>3</v>
      </c>
      <c r="D3511" s="7" t="n">
        <v>36</v>
      </c>
      <c r="E3511" s="7" t="n">
        <v>1</v>
      </c>
      <c r="F3511" s="7" t="s">
        <v>4647</v>
      </c>
      <c r="G3511" s="12" t="str">
        <f aca="false">IFERROR(INDEX('Semrush Data'!$A$1:$Z$20000,MATCH(A3511,'Semrush Data'!$A$1:$A$20000,0),MATCH("Volume",'Semrush Data'!$A$1:$Z$1,0)),"")</f>
        <v/>
      </c>
      <c r="H3511" s="7" t="str">
        <f aca="false">IFERROR(INDEX('Semrush Data'!$A$1:$Z$20000,MATCH(A3511,'Semrush Data'!$A$1:$A$20000,0),MATCH("Keyword Difficulty*",'Semrush Data'!$A$1:$Z$1,0)),"")</f>
        <v/>
      </c>
      <c r="I3511" s="13" t="str">
        <f aca="false">IFERROR(INDEX('Semrush Data'!$A$1:$Z$20000,MATCH(A3511,'Semrush Data'!$A$1:$A$20000,0),MATCH("CPC*",'Semrush Data'!$A$1:$Z$1,0)),"")</f>
        <v/>
      </c>
      <c r="J3511" s="7" t="str">
        <f aca="false">IFERROR(INDEX('Semrush Data'!$A$1:$Z$20000,MATCH(A3511,'Semrush Data'!$A$1:$A$20000,0),MATCH("Intent",'Semrush Data'!$A$1:$Z$1,0)),"")</f>
        <v/>
      </c>
    </row>
    <row r="3512" customFormat="false" ht="15" hidden="false" customHeight="true" outlineLevel="0" collapsed="false">
      <c r="A3512" s="7" t="s">
        <v>4683</v>
      </c>
      <c r="B3512" s="7" t="s">
        <v>1356</v>
      </c>
      <c r="C3512" s="7" t="n">
        <v>3</v>
      </c>
      <c r="D3512" s="7" t="s">
        <v>6818</v>
      </c>
      <c r="E3512" s="7" t="n">
        <v>1</v>
      </c>
      <c r="F3512" s="7" t="s">
        <v>78</v>
      </c>
      <c r="G3512" s="12" t="str">
        <f aca="false">IFERROR(INDEX('Semrush Data'!$A$1:$Z$20000,MATCH(A3512,'Semrush Data'!$A$1:$A$20000,0),MATCH("Volume",'Semrush Data'!$A$1:$Z$1,0)),"")</f>
        <v/>
      </c>
      <c r="H3512" s="7" t="str">
        <f aca="false">IFERROR(INDEX('Semrush Data'!$A$1:$Z$20000,MATCH(A3512,'Semrush Data'!$A$1:$A$20000,0),MATCH("Keyword Difficulty*",'Semrush Data'!$A$1:$Z$1,0)),"")</f>
        <v/>
      </c>
      <c r="I3512" s="13" t="str">
        <f aca="false">IFERROR(INDEX('Semrush Data'!$A$1:$Z$20000,MATCH(A3512,'Semrush Data'!$A$1:$A$20000,0),MATCH("CPC*",'Semrush Data'!$A$1:$Z$1,0)),"")</f>
        <v/>
      </c>
      <c r="J3512" s="7" t="str">
        <f aca="false">IFERROR(INDEX('Semrush Data'!$A$1:$Z$20000,MATCH(A3512,'Semrush Data'!$A$1:$A$20000,0),MATCH("Intent",'Semrush Data'!$A$1:$Z$1,0)),"")</f>
        <v/>
      </c>
    </row>
    <row r="3513" customFormat="false" ht="15" hidden="false" customHeight="true" outlineLevel="0" collapsed="false">
      <c r="A3513" s="7" t="s">
        <v>4662</v>
      </c>
      <c r="B3513" s="7" t="s">
        <v>1356</v>
      </c>
      <c r="C3513" s="7" t="n">
        <v>3</v>
      </c>
      <c r="D3513" s="7" t="s">
        <v>6818</v>
      </c>
      <c r="E3513" s="7" t="n">
        <v>1</v>
      </c>
      <c r="F3513" s="7" t="s">
        <v>56</v>
      </c>
      <c r="G3513" s="12" t="str">
        <f aca="false">IFERROR(INDEX('Semrush Data'!$A$1:$Z$20000,MATCH(A3513,'Semrush Data'!$A$1:$A$20000,0),MATCH("Volume",'Semrush Data'!$A$1:$Z$1,0)),"")</f>
        <v/>
      </c>
      <c r="H3513" s="7" t="str">
        <f aca="false">IFERROR(INDEX('Semrush Data'!$A$1:$Z$20000,MATCH(A3513,'Semrush Data'!$A$1:$A$20000,0),MATCH("Keyword Difficulty*",'Semrush Data'!$A$1:$Z$1,0)),"")</f>
        <v/>
      </c>
      <c r="I3513" s="13" t="str">
        <f aca="false">IFERROR(INDEX('Semrush Data'!$A$1:$Z$20000,MATCH(A3513,'Semrush Data'!$A$1:$A$20000,0),MATCH("CPC*",'Semrush Data'!$A$1:$Z$1,0)),"")</f>
        <v/>
      </c>
      <c r="J3513" s="7" t="str">
        <f aca="false">IFERROR(INDEX('Semrush Data'!$A$1:$Z$20000,MATCH(A3513,'Semrush Data'!$A$1:$A$20000,0),MATCH("Intent",'Semrush Data'!$A$1:$Z$1,0)),"")</f>
        <v/>
      </c>
    </row>
    <row r="3514" customFormat="false" ht="15" hidden="false" customHeight="true" outlineLevel="0" collapsed="false">
      <c r="A3514" s="7" t="s">
        <v>4727</v>
      </c>
      <c r="B3514" s="7" t="s">
        <v>1356</v>
      </c>
      <c r="C3514" s="7" t="n">
        <v>3</v>
      </c>
      <c r="D3514" s="7" t="n">
        <v>36</v>
      </c>
      <c r="E3514" s="7" t="n">
        <v>1</v>
      </c>
      <c r="F3514" s="7" t="s">
        <v>4722</v>
      </c>
      <c r="G3514" s="12" t="str">
        <f aca="false">IFERROR(INDEX('Semrush Data'!$A$1:$Z$20000,MATCH(A3514,'Semrush Data'!$A$1:$A$20000,0),MATCH("Volume",'Semrush Data'!$A$1:$Z$1,0)),"")</f>
        <v/>
      </c>
      <c r="H3514" s="7" t="str">
        <f aca="false">IFERROR(INDEX('Semrush Data'!$A$1:$Z$20000,MATCH(A3514,'Semrush Data'!$A$1:$A$20000,0),MATCH("Keyword Difficulty*",'Semrush Data'!$A$1:$Z$1,0)),"")</f>
        <v/>
      </c>
      <c r="I3514" s="13" t="str">
        <f aca="false">IFERROR(INDEX('Semrush Data'!$A$1:$Z$20000,MATCH(A3514,'Semrush Data'!$A$1:$A$20000,0),MATCH("CPC*",'Semrush Data'!$A$1:$Z$1,0)),"")</f>
        <v/>
      </c>
      <c r="J3514" s="7" t="str">
        <f aca="false">IFERROR(INDEX('Semrush Data'!$A$1:$Z$20000,MATCH(A3514,'Semrush Data'!$A$1:$A$20000,0),MATCH("Intent",'Semrush Data'!$A$1:$Z$1,0)),"")</f>
        <v/>
      </c>
    </row>
    <row r="3515" customFormat="false" ht="15" hidden="false" customHeight="true" outlineLevel="0" collapsed="false">
      <c r="A3515" s="7" t="s">
        <v>4737</v>
      </c>
      <c r="B3515" s="7" t="s">
        <v>1356</v>
      </c>
      <c r="C3515" s="7" t="n">
        <v>3</v>
      </c>
      <c r="D3515" s="7" t="n">
        <v>36</v>
      </c>
      <c r="E3515" s="7" t="n">
        <v>1</v>
      </c>
      <c r="F3515" s="7" t="s">
        <v>4732</v>
      </c>
      <c r="G3515" s="12" t="str">
        <f aca="false">IFERROR(INDEX('Semrush Data'!$A$1:$Z$20000,MATCH(A3515,'Semrush Data'!$A$1:$A$20000,0),MATCH("Volume",'Semrush Data'!$A$1:$Z$1,0)),"")</f>
        <v/>
      </c>
      <c r="H3515" s="7" t="str">
        <f aca="false">IFERROR(INDEX('Semrush Data'!$A$1:$Z$20000,MATCH(A3515,'Semrush Data'!$A$1:$A$20000,0),MATCH("Keyword Difficulty*",'Semrush Data'!$A$1:$Z$1,0)),"")</f>
        <v/>
      </c>
      <c r="I3515" s="13" t="str">
        <f aca="false">IFERROR(INDEX('Semrush Data'!$A$1:$Z$20000,MATCH(A3515,'Semrush Data'!$A$1:$A$20000,0),MATCH("CPC*",'Semrush Data'!$A$1:$Z$1,0)),"")</f>
        <v/>
      </c>
      <c r="J3515" s="7" t="str">
        <f aca="false">IFERROR(INDEX('Semrush Data'!$A$1:$Z$20000,MATCH(A3515,'Semrush Data'!$A$1:$A$20000,0),MATCH("Intent",'Semrush Data'!$A$1:$Z$1,0)),"")</f>
        <v/>
      </c>
    </row>
    <row r="3516" customFormat="false" ht="15" hidden="false" customHeight="true" outlineLevel="0" collapsed="false">
      <c r="A3516" s="7" t="s">
        <v>4811</v>
      </c>
      <c r="B3516" s="7" t="s">
        <v>1356</v>
      </c>
      <c r="C3516" s="7" t="n">
        <v>3</v>
      </c>
      <c r="D3516" s="7" t="n">
        <v>36</v>
      </c>
      <c r="E3516" s="7" t="n">
        <v>1</v>
      </c>
      <c r="F3516" s="7" t="s">
        <v>4806</v>
      </c>
      <c r="G3516" s="12" t="str">
        <f aca="false">IFERROR(INDEX('Semrush Data'!$A$1:$Z$20000,MATCH(A3516,'Semrush Data'!$A$1:$A$20000,0),MATCH("Volume",'Semrush Data'!$A$1:$Z$1,0)),"")</f>
        <v/>
      </c>
      <c r="H3516" s="7" t="str">
        <f aca="false">IFERROR(INDEX('Semrush Data'!$A$1:$Z$20000,MATCH(A3516,'Semrush Data'!$A$1:$A$20000,0),MATCH("Keyword Difficulty*",'Semrush Data'!$A$1:$Z$1,0)),"")</f>
        <v/>
      </c>
      <c r="I3516" s="13" t="str">
        <f aca="false">IFERROR(INDEX('Semrush Data'!$A$1:$Z$20000,MATCH(A3516,'Semrush Data'!$A$1:$A$20000,0),MATCH("CPC*",'Semrush Data'!$A$1:$Z$1,0)),"")</f>
        <v/>
      </c>
      <c r="J3516" s="7" t="str">
        <f aca="false">IFERROR(INDEX('Semrush Data'!$A$1:$Z$20000,MATCH(A3516,'Semrush Data'!$A$1:$A$20000,0),MATCH("Intent",'Semrush Data'!$A$1:$Z$1,0)),"")</f>
        <v/>
      </c>
    </row>
    <row r="3517" customFormat="false" ht="15" hidden="false" customHeight="true" outlineLevel="0" collapsed="false">
      <c r="A3517" s="7" t="s">
        <v>4757</v>
      </c>
      <c r="B3517" s="7" t="s">
        <v>1356</v>
      </c>
      <c r="C3517" s="7" t="n">
        <v>3</v>
      </c>
      <c r="D3517" s="7" t="n">
        <v>36</v>
      </c>
      <c r="E3517" s="7" t="n">
        <v>1</v>
      </c>
      <c r="F3517" s="7" t="s">
        <v>122</v>
      </c>
      <c r="G3517" s="12" t="str">
        <f aca="false">IFERROR(INDEX('Semrush Data'!$A$1:$Z$20000,MATCH(A3517,'Semrush Data'!$A$1:$A$20000,0),MATCH("Volume",'Semrush Data'!$A$1:$Z$1,0)),"")</f>
        <v/>
      </c>
      <c r="H3517" s="7" t="str">
        <f aca="false">IFERROR(INDEX('Semrush Data'!$A$1:$Z$20000,MATCH(A3517,'Semrush Data'!$A$1:$A$20000,0),MATCH("Keyword Difficulty*",'Semrush Data'!$A$1:$Z$1,0)),"")</f>
        <v/>
      </c>
      <c r="I3517" s="13" t="str">
        <f aca="false">IFERROR(INDEX('Semrush Data'!$A$1:$Z$20000,MATCH(A3517,'Semrush Data'!$A$1:$A$20000,0),MATCH("CPC*",'Semrush Data'!$A$1:$Z$1,0)),"")</f>
        <v/>
      </c>
      <c r="J3517" s="7" t="str">
        <f aca="false">IFERROR(INDEX('Semrush Data'!$A$1:$Z$20000,MATCH(A3517,'Semrush Data'!$A$1:$A$20000,0),MATCH("Intent",'Semrush Data'!$A$1:$Z$1,0)),"")</f>
        <v/>
      </c>
    </row>
    <row r="3518" customFormat="false" ht="15" hidden="false" customHeight="true" outlineLevel="0" collapsed="false">
      <c r="A3518" s="7" t="s">
        <v>4769</v>
      </c>
      <c r="B3518" s="7" t="s">
        <v>1356</v>
      </c>
      <c r="C3518" s="7" t="n">
        <v>3</v>
      </c>
      <c r="D3518" s="7" t="n">
        <v>36</v>
      </c>
      <c r="E3518" s="7" t="n">
        <v>1</v>
      </c>
      <c r="F3518" s="7" t="s">
        <v>4764</v>
      </c>
      <c r="G3518" s="12" t="str">
        <f aca="false">IFERROR(INDEX('Semrush Data'!$A$1:$Z$20000,MATCH(A3518,'Semrush Data'!$A$1:$A$20000,0),MATCH("Volume",'Semrush Data'!$A$1:$Z$1,0)),"")</f>
        <v/>
      </c>
      <c r="H3518" s="7" t="str">
        <f aca="false">IFERROR(INDEX('Semrush Data'!$A$1:$Z$20000,MATCH(A3518,'Semrush Data'!$A$1:$A$20000,0),MATCH("Keyword Difficulty*",'Semrush Data'!$A$1:$Z$1,0)),"")</f>
        <v/>
      </c>
      <c r="I3518" s="13" t="str">
        <f aca="false">IFERROR(INDEX('Semrush Data'!$A$1:$Z$20000,MATCH(A3518,'Semrush Data'!$A$1:$A$20000,0),MATCH("CPC*",'Semrush Data'!$A$1:$Z$1,0)),"")</f>
        <v/>
      </c>
      <c r="J3518" s="7" t="str">
        <f aca="false">IFERROR(INDEX('Semrush Data'!$A$1:$Z$20000,MATCH(A3518,'Semrush Data'!$A$1:$A$20000,0),MATCH("Intent",'Semrush Data'!$A$1:$Z$1,0)),"")</f>
        <v/>
      </c>
    </row>
    <row r="3519" customFormat="false" ht="15" hidden="false" customHeight="true" outlineLevel="0" collapsed="false">
      <c r="A3519" s="7" t="s">
        <v>4822</v>
      </c>
      <c r="B3519" s="7" t="s">
        <v>1356</v>
      </c>
      <c r="C3519" s="7" t="n">
        <v>3</v>
      </c>
      <c r="D3519" s="7" t="n">
        <v>36</v>
      </c>
      <c r="E3519" s="7" t="n">
        <v>1</v>
      </c>
      <c r="F3519" s="7" t="s">
        <v>4817</v>
      </c>
      <c r="G3519" s="12" t="str">
        <f aca="false">IFERROR(INDEX('Semrush Data'!$A$1:$Z$20000,MATCH(A3519,'Semrush Data'!$A$1:$A$20000,0),MATCH("Volume",'Semrush Data'!$A$1:$Z$1,0)),"")</f>
        <v/>
      </c>
      <c r="H3519" s="7" t="str">
        <f aca="false">IFERROR(INDEX('Semrush Data'!$A$1:$Z$20000,MATCH(A3519,'Semrush Data'!$A$1:$A$20000,0),MATCH("Keyword Difficulty*",'Semrush Data'!$A$1:$Z$1,0)),"")</f>
        <v/>
      </c>
      <c r="I3519" s="13" t="str">
        <f aca="false">IFERROR(INDEX('Semrush Data'!$A$1:$Z$20000,MATCH(A3519,'Semrush Data'!$A$1:$A$20000,0),MATCH("CPC*",'Semrush Data'!$A$1:$Z$1,0)),"")</f>
        <v/>
      </c>
      <c r="J3519" s="7" t="str">
        <f aca="false">IFERROR(INDEX('Semrush Data'!$A$1:$Z$20000,MATCH(A3519,'Semrush Data'!$A$1:$A$20000,0),MATCH("Intent",'Semrush Data'!$A$1:$Z$1,0)),"")</f>
        <v/>
      </c>
    </row>
    <row r="3520" customFormat="false" ht="15" hidden="false" customHeight="true" outlineLevel="0" collapsed="false">
      <c r="A3520" s="7" t="s">
        <v>4833</v>
      </c>
      <c r="B3520" s="7" t="s">
        <v>1356</v>
      </c>
      <c r="C3520" s="7" t="n">
        <v>3</v>
      </c>
      <c r="D3520" s="7" t="n">
        <v>36</v>
      </c>
      <c r="E3520" s="7" t="n">
        <v>1</v>
      </c>
      <c r="F3520" s="7" t="s">
        <v>4828</v>
      </c>
      <c r="G3520" s="12" t="str">
        <f aca="false">IFERROR(INDEX('Semrush Data'!$A$1:$Z$20000,MATCH(A3520,'Semrush Data'!$A$1:$A$20000,0),MATCH("Volume",'Semrush Data'!$A$1:$Z$1,0)),"")</f>
        <v/>
      </c>
      <c r="H3520" s="7" t="str">
        <f aca="false">IFERROR(INDEX('Semrush Data'!$A$1:$Z$20000,MATCH(A3520,'Semrush Data'!$A$1:$A$20000,0),MATCH("Keyword Difficulty*",'Semrush Data'!$A$1:$Z$1,0)),"")</f>
        <v/>
      </c>
      <c r="I3520" s="13" t="str">
        <f aca="false">IFERROR(INDEX('Semrush Data'!$A$1:$Z$20000,MATCH(A3520,'Semrush Data'!$A$1:$A$20000,0),MATCH("CPC*",'Semrush Data'!$A$1:$Z$1,0)),"")</f>
        <v/>
      </c>
      <c r="J3520" s="7" t="str">
        <f aca="false">IFERROR(INDEX('Semrush Data'!$A$1:$Z$20000,MATCH(A3520,'Semrush Data'!$A$1:$A$20000,0),MATCH("Intent",'Semrush Data'!$A$1:$Z$1,0)),"")</f>
        <v/>
      </c>
    </row>
    <row r="3521" customFormat="false" ht="15" hidden="false" customHeight="true" outlineLevel="0" collapsed="false">
      <c r="A3521" s="7" t="s">
        <v>4781</v>
      </c>
      <c r="B3521" s="7" t="s">
        <v>1356</v>
      </c>
      <c r="C3521" s="7" t="n">
        <v>3</v>
      </c>
      <c r="D3521" s="7" t="n">
        <v>36</v>
      </c>
      <c r="E3521" s="7" t="n">
        <v>1</v>
      </c>
      <c r="F3521" s="7" t="s">
        <v>4776</v>
      </c>
      <c r="G3521" s="12" t="str">
        <f aca="false">IFERROR(INDEX('Semrush Data'!$A$1:$Z$20000,MATCH(A3521,'Semrush Data'!$A$1:$A$20000,0),MATCH("Volume",'Semrush Data'!$A$1:$Z$1,0)),"")</f>
        <v/>
      </c>
      <c r="H3521" s="7" t="str">
        <f aca="false">IFERROR(INDEX('Semrush Data'!$A$1:$Z$20000,MATCH(A3521,'Semrush Data'!$A$1:$A$20000,0),MATCH("Keyword Difficulty*",'Semrush Data'!$A$1:$Z$1,0)),"")</f>
        <v/>
      </c>
      <c r="I3521" s="13" t="str">
        <f aca="false">IFERROR(INDEX('Semrush Data'!$A$1:$Z$20000,MATCH(A3521,'Semrush Data'!$A$1:$A$20000,0),MATCH("CPC*",'Semrush Data'!$A$1:$Z$1,0)),"")</f>
        <v/>
      </c>
      <c r="J3521" s="7" t="str">
        <f aca="false">IFERROR(INDEX('Semrush Data'!$A$1:$Z$20000,MATCH(A3521,'Semrush Data'!$A$1:$A$20000,0),MATCH("Intent",'Semrush Data'!$A$1:$Z$1,0)),"")</f>
        <v/>
      </c>
    </row>
    <row r="3522" customFormat="false" ht="15" hidden="false" customHeight="true" outlineLevel="0" collapsed="false">
      <c r="A3522" s="7" t="s">
        <v>4791</v>
      </c>
      <c r="B3522" s="7" t="s">
        <v>1356</v>
      </c>
      <c r="C3522" s="7" t="n">
        <v>3</v>
      </c>
      <c r="D3522" s="7" t="n">
        <v>36</v>
      </c>
      <c r="E3522" s="7" t="n">
        <v>1</v>
      </c>
      <c r="F3522" s="7" t="s">
        <v>110</v>
      </c>
      <c r="G3522" s="12" t="str">
        <f aca="false">IFERROR(INDEX('Semrush Data'!$A$1:$Z$20000,MATCH(A3522,'Semrush Data'!$A$1:$A$20000,0),MATCH("Volume",'Semrush Data'!$A$1:$Z$1,0)),"")</f>
        <v/>
      </c>
      <c r="H3522" s="7" t="str">
        <f aca="false">IFERROR(INDEX('Semrush Data'!$A$1:$Z$20000,MATCH(A3522,'Semrush Data'!$A$1:$A$20000,0),MATCH("Keyword Difficulty*",'Semrush Data'!$A$1:$Z$1,0)),"")</f>
        <v/>
      </c>
      <c r="I3522" s="13" t="str">
        <f aca="false">IFERROR(INDEX('Semrush Data'!$A$1:$Z$20000,MATCH(A3522,'Semrush Data'!$A$1:$A$20000,0),MATCH("CPC*",'Semrush Data'!$A$1:$Z$1,0)),"")</f>
        <v/>
      </c>
      <c r="J3522" s="7" t="str">
        <f aca="false">IFERROR(INDEX('Semrush Data'!$A$1:$Z$20000,MATCH(A3522,'Semrush Data'!$A$1:$A$20000,0),MATCH("Intent",'Semrush Data'!$A$1:$Z$1,0)),"")</f>
        <v/>
      </c>
    </row>
    <row r="3523" customFormat="false" ht="15" hidden="false" customHeight="true" outlineLevel="0" collapsed="false">
      <c r="A3523" s="7" t="s">
        <v>4800</v>
      </c>
      <c r="B3523" s="7" t="s">
        <v>1356</v>
      </c>
      <c r="C3523" s="7" t="n">
        <v>3</v>
      </c>
      <c r="D3523" s="7" t="n">
        <v>36</v>
      </c>
      <c r="E3523" s="7" t="n">
        <v>1</v>
      </c>
      <c r="F3523" s="7" t="s">
        <v>124</v>
      </c>
      <c r="G3523" s="12" t="str">
        <f aca="false">IFERROR(INDEX('Semrush Data'!$A$1:$Z$20000,MATCH(A3523,'Semrush Data'!$A$1:$A$20000,0),MATCH("Volume",'Semrush Data'!$A$1:$Z$1,0)),"")</f>
        <v/>
      </c>
      <c r="H3523" s="7" t="str">
        <f aca="false">IFERROR(INDEX('Semrush Data'!$A$1:$Z$20000,MATCH(A3523,'Semrush Data'!$A$1:$A$20000,0),MATCH("Keyword Difficulty*",'Semrush Data'!$A$1:$Z$1,0)),"")</f>
        <v/>
      </c>
      <c r="I3523" s="13" t="str">
        <f aca="false">IFERROR(INDEX('Semrush Data'!$A$1:$Z$20000,MATCH(A3523,'Semrush Data'!$A$1:$A$20000,0),MATCH("CPC*",'Semrush Data'!$A$1:$Z$1,0)),"")</f>
        <v/>
      </c>
      <c r="J3523" s="7" t="str">
        <f aca="false">IFERROR(INDEX('Semrush Data'!$A$1:$Z$20000,MATCH(A3523,'Semrush Data'!$A$1:$A$20000,0),MATCH("Intent",'Semrush Data'!$A$1:$Z$1,0)),"")</f>
        <v/>
      </c>
    </row>
    <row r="3524" customFormat="false" ht="15" hidden="false" customHeight="true" outlineLevel="0" collapsed="false">
      <c r="A3524" s="7" t="s">
        <v>4888</v>
      </c>
      <c r="B3524" s="7" t="s">
        <v>1356</v>
      </c>
      <c r="C3524" s="7" t="n">
        <v>3</v>
      </c>
      <c r="D3524" s="7" t="n">
        <v>36</v>
      </c>
      <c r="E3524" s="7" t="n">
        <v>2</v>
      </c>
      <c r="F3524" s="7" t="s">
        <v>6801</v>
      </c>
      <c r="G3524" s="12" t="str">
        <f aca="false">IFERROR(INDEX('Semrush Data'!$A$1:$Z$20000,MATCH(A3524,'Semrush Data'!$A$1:$A$20000,0),MATCH("Volume",'Semrush Data'!$A$1:$Z$1,0)),"")</f>
        <v/>
      </c>
      <c r="H3524" s="7" t="str">
        <f aca="false">IFERROR(INDEX('Semrush Data'!$A$1:$Z$20000,MATCH(A3524,'Semrush Data'!$A$1:$A$20000,0),MATCH("Keyword Difficulty*",'Semrush Data'!$A$1:$Z$1,0)),"")</f>
        <v/>
      </c>
      <c r="I3524" s="13" t="str">
        <f aca="false">IFERROR(INDEX('Semrush Data'!$A$1:$Z$20000,MATCH(A3524,'Semrush Data'!$A$1:$A$20000,0),MATCH("CPC*",'Semrush Data'!$A$1:$Z$1,0)),"")</f>
        <v/>
      </c>
      <c r="J3524" s="7" t="str">
        <f aca="false">IFERROR(INDEX('Semrush Data'!$A$1:$Z$20000,MATCH(A3524,'Semrush Data'!$A$1:$A$20000,0),MATCH("Intent",'Semrush Data'!$A$1:$Z$1,0)),"")</f>
        <v/>
      </c>
    </row>
    <row r="3525" customFormat="false" ht="15" hidden="false" customHeight="true" outlineLevel="0" collapsed="false">
      <c r="A3525" s="7" t="s">
        <v>4844</v>
      </c>
      <c r="B3525" s="7" t="s">
        <v>1356</v>
      </c>
      <c r="C3525" s="7" t="n">
        <v>3</v>
      </c>
      <c r="D3525" s="7" t="n">
        <v>36</v>
      </c>
      <c r="E3525" s="7" t="n">
        <v>2</v>
      </c>
      <c r="F3525" s="7" t="s">
        <v>6802</v>
      </c>
      <c r="G3525" s="12" t="str">
        <f aca="false">IFERROR(INDEX('Semrush Data'!$A$1:$Z$20000,MATCH(A3525,'Semrush Data'!$A$1:$A$20000,0),MATCH("Volume",'Semrush Data'!$A$1:$Z$1,0)),"")</f>
        <v/>
      </c>
      <c r="H3525" s="7" t="str">
        <f aca="false">IFERROR(INDEX('Semrush Data'!$A$1:$Z$20000,MATCH(A3525,'Semrush Data'!$A$1:$A$20000,0),MATCH("Keyword Difficulty*",'Semrush Data'!$A$1:$Z$1,0)),"")</f>
        <v/>
      </c>
      <c r="I3525" s="13" t="str">
        <f aca="false">IFERROR(INDEX('Semrush Data'!$A$1:$Z$20000,MATCH(A3525,'Semrush Data'!$A$1:$A$20000,0),MATCH("CPC*",'Semrush Data'!$A$1:$Z$1,0)),"")</f>
        <v/>
      </c>
      <c r="J3525" s="7" t="str">
        <f aca="false">IFERROR(INDEX('Semrush Data'!$A$1:$Z$20000,MATCH(A3525,'Semrush Data'!$A$1:$A$20000,0),MATCH("Intent",'Semrush Data'!$A$1:$Z$1,0)),"")</f>
        <v/>
      </c>
    </row>
    <row r="3526" customFormat="false" ht="15" hidden="false" customHeight="true" outlineLevel="0" collapsed="false">
      <c r="A3526" s="7" t="s">
        <v>4862</v>
      </c>
      <c r="B3526" s="7" t="s">
        <v>1356</v>
      </c>
      <c r="C3526" s="7" t="n">
        <v>3</v>
      </c>
      <c r="D3526" s="7" t="n">
        <v>36</v>
      </c>
      <c r="E3526" s="7" t="n">
        <v>1</v>
      </c>
      <c r="F3526" s="7" t="s">
        <v>4857</v>
      </c>
      <c r="G3526" s="12" t="str">
        <f aca="false">IFERROR(INDEX('Semrush Data'!$A$1:$Z$20000,MATCH(A3526,'Semrush Data'!$A$1:$A$20000,0),MATCH("Volume",'Semrush Data'!$A$1:$Z$1,0)),"")</f>
        <v/>
      </c>
      <c r="H3526" s="7" t="str">
        <f aca="false">IFERROR(INDEX('Semrush Data'!$A$1:$Z$20000,MATCH(A3526,'Semrush Data'!$A$1:$A$20000,0),MATCH("Keyword Difficulty*",'Semrush Data'!$A$1:$Z$1,0)),"")</f>
        <v/>
      </c>
      <c r="I3526" s="13" t="str">
        <f aca="false">IFERROR(INDEX('Semrush Data'!$A$1:$Z$20000,MATCH(A3526,'Semrush Data'!$A$1:$A$20000,0),MATCH("CPC*",'Semrush Data'!$A$1:$Z$1,0)),"")</f>
        <v/>
      </c>
      <c r="J3526" s="7" t="str">
        <f aca="false">IFERROR(INDEX('Semrush Data'!$A$1:$Z$20000,MATCH(A3526,'Semrush Data'!$A$1:$A$20000,0),MATCH("Intent",'Semrush Data'!$A$1:$Z$1,0)),"")</f>
        <v/>
      </c>
    </row>
    <row r="3527" customFormat="false" ht="15" hidden="false" customHeight="true" outlineLevel="0" collapsed="false">
      <c r="A3527" s="7" t="s">
        <v>4873</v>
      </c>
      <c r="B3527" s="7" t="s">
        <v>1356</v>
      </c>
      <c r="C3527" s="7" t="n">
        <v>3</v>
      </c>
      <c r="D3527" s="7" t="n">
        <v>36</v>
      </c>
      <c r="E3527" s="7" t="n">
        <v>2</v>
      </c>
      <c r="F3527" s="7" t="s">
        <v>6803</v>
      </c>
      <c r="G3527" s="12" t="str">
        <f aca="false">IFERROR(INDEX('Semrush Data'!$A$1:$Z$20000,MATCH(A3527,'Semrush Data'!$A$1:$A$20000,0),MATCH("Volume",'Semrush Data'!$A$1:$Z$1,0)),"")</f>
        <v/>
      </c>
      <c r="H3527" s="7" t="str">
        <f aca="false">IFERROR(INDEX('Semrush Data'!$A$1:$Z$20000,MATCH(A3527,'Semrush Data'!$A$1:$A$20000,0),MATCH("Keyword Difficulty*",'Semrush Data'!$A$1:$Z$1,0)),"")</f>
        <v/>
      </c>
      <c r="I3527" s="13" t="str">
        <f aca="false">IFERROR(INDEX('Semrush Data'!$A$1:$Z$20000,MATCH(A3527,'Semrush Data'!$A$1:$A$20000,0),MATCH("CPC*",'Semrush Data'!$A$1:$Z$1,0)),"")</f>
        <v/>
      </c>
      <c r="J3527" s="7" t="str">
        <f aca="false">IFERROR(INDEX('Semrush Data'!$A$1:$Z$20000,MATCH(A3527,'Semrush Data'!$A$1:$A$20000,0),MATCH("Intent",'Semrush Data'!$A$1:$Z$1,0)),"")</f>
        <v/>
      </c>
    </row>
    <row r="3528" customFormat="false" ht="15" hidden="false" customHeight="true" outlineLevel="0" collapsed="false">
      <c r="A3528" s="7" t="s">
        <v>4903</v>
      </c>
      <c r="B3528" s="7" t="s">
        <v>1356</v>
      </c>
      <c r="C3528" s="7" t="n">
        <v>3</v>
      </c>
      <c r="D3528" s="7" t="n">
        <v>36</v>
      </c>
      <c r="E3528" s="7" t="n">
        <v>1</v>
      </c>
      <c r="F3528" s="7" t="s">
        <v>4898</v>
      </c>
      <c r="G3528" s="12" t="str">
        <f aca="false">IFERROR(INDEX('Semrush Data'!$A$1:$Z$20000,MATCH(A3528,'Semrush Data'!$A$1:$A$20000,0),MATCH("Volume",'Semrush Data'!$A$1:$Z$1,0)),"")</f>
        <v/>
      </c>
      <c r="H3528" s="7" t="str">
        <f aca="false">IFERROR(INDEX('Semrush Data'!$A$1:$Z$20000,MATCH(A3528,'Semrush Data'!$A$1:$A$20000,0),MATCH("Keyword Difficulty*",'Semrush Data'!$A$1:$Z$1,0)),"")</f>
        <v/>
      </c>
      <c r="I3528" s="13" t="str">
        <f aca="false">IFERROR(INDEX('Semrush Data'!$A$1:$Z$20000,MATCH(A3528,'Semrush Data'!$A$1:$A$20000,0),MATCH("CPC*",'Semrush Data'!$A$1:$Z$1,0)),"")</f>
        <v/>
      </c>
      <c r="J3528" s="7" t="str">
        <f aca="false">IFERROR(INDEX('Semrush Data'!$A$1:$Z$20000,MATCH(A3528,'Semrush Data'!$A$1:$A$20000,0),MATCH("Intent",'Semrush Data'!$A$1:$Z$1,0)),"")</f>
        <v/>
      </c>
    </row>
    <row r="3529" customFormat="false" ht="15" hidden="false" customHeight="true" outlineLevel="0" collapsed="false">
      <c r="A3529" s="7" t="s">
        <v>4915</v>
      </c>
      <c r="B3529" s="7" t="s">
        <v>1356</v>
      </c>
      <c r="C3529" s="7" t="n">
        <v>3</v>
      </c>
      <c r="D3529" s="7" t="n">
        <v>36</v>
      </c>
      <c r="E3529" s="7" t="n">
        <v>1</v>
      </c>
      <c r="F3529" s="7" t="s">
        <v>4910</v>
      </c>
      <c r="G3529" s="12" t="str">
        <f aca="false">IFERROR(INDEX('Semrush Data'!$A$1:$Z$20000,MATCH(A3529,'Semrush Data'!$A$1:$A$20000,0),MATCH("Volume",'Semrush Data'!$A$1:$Z$1,0)),"")</f>
        <v/>
      </c>
      <c r="H3529" s="7" t="str">
        <f aca="false">IFERROR(INDEX('Semrush Data'!$A$1:$Z$20000,MATCH(A3529,'Semrush Data'!$A$1:$A$20000,0),MATCH("Keyword Difficulty*",'Semrush Data'!$A$1:$Z$1,0)),"")</f>
        <v/>
      </c>
      <c r="I3529" s="13" t="str">
        <f aca="false">IFERROR(INDEX('Semrush Data'!$A$1:$Z$20000,MATCH(A3529,'Semrush Data'!$A$1:$A$20000,0),MATCH("CPC*",'Semrush Data'!$A$1:$Z$1,0)),"")</f>
        <v/>
      </c>
      <c r="J3529" s="7" t="str">
        <f aca="false">IFERROR(INDEX('Semrush Data'!$A$1:$Z$20000,MATCH(A3529,'Semrush Data'!$A$1:$A$20000,0),MATCH("Intent",'Semrush Data'!$A$1:$Z$1,0)),"")</f>
        <v/>
      </c>
    </row>
    <row r="3530" customFormat="false" ht="15" hidden="false" customHeight="true" outlineLevel="0" collapsed="false">
      <c r="A3530" s="7" t="s">
        <v>4925</v>
      </c>
      <c r="B3530" s="7" t="s">
        <v>1356</v>
      </c>
      <c r="C3530" s="7" t="n">
        <v>3</v>
      </c>
      <c r="D3530" s="7" t="n">
        <v>36</v>
      </c>
      <c r="E3530" s="7" t="n">
        <v>1</v>
      </c>
      <c r="F3530" s="7" t="s">
        <v>4920</v>
      </c>
      <c r="G3530" s="12" t="str">
        <f aca="false">IFERROR(INDEX('Semrush Data'!$A$1:$Z$20000,MATCH(A3530,'Semrush Data'!$A$1:$A$20000,0),MATCH("Volume",'Semrush Data'!$A$1:$Z$1,0)),"")</f>
        <v/>
      </c>
      <c r="H3530" s="7" t="str">
        <f aca="false">IFERROR(INDEX('Semrush Data'!$A$1:$Z$20000,MATCH(A3530,'Semrush Data'!$A$1:$A$20000,0),MATCH("Keyword Difficulty*",'Semrush Data'!$A$1:$Z$1,0)),"")</f>
        <v/>
      </c>
      <c r="I3530" s="13" t="str">
        <f aca="false">IFERROR(INDEX('Semrush Data'!$A$1:$Z$20000,MATCH(A3530,'Semrush Data'!$A$1:$A$20000,0),MATCH("CPC*",'Semrush Data'!$A$1:$Z$1,0)),"")</f>
        <v/>
      </c>
      <c r="J3530" s="7" t="str">
        <f aca="false">IFERROR(INDEX('Semrush Data'!$A$1:$Z$20000,MATCH(A3530,'Semrush Data'!$A$1:$A$20000,0),MATCH("Intent",'Semrush Data'!$A$1:$Z$1,0)),"")</f>
        <v/>
      </c>
    </row>
    <row r="3531" customFormat="false" ht="15" hidden="false" customHeight="true" outlineLevel="0" collapsed="false">
      <c r="A3531" s="7" t="s">
        <v>4935</v>
      </c>
      <c r="B3531" s="7" t="s">
        <v>1356</v>
      </c>
      <c r="C3531" s="7" t="n">
        <v>3</v>
      </c>
      <c r="D3531" s="7" t="n">
        <v>36</v>
      </c>
      <c r="E3531" s="7" t="n">
        <v>2</v>
      </c>
      <c r="F3531" s="7" t="s">
        <v>6804</v>
      </c>
      <c r="G3531" s="12" t="str">
        <f aca="false">IFERROR(INDEX('Semrush Data'!$A$1:$Z$20000,MATCH(A3531,'Semrush Data'!$A$1:$A$20000,0),MATCH("Volume",'Semrush Data'!$A$1:$Z$1,0)),"")</f>
        <v/>
      </c>
      <c r="H3531" s="7" t="str">
        <f aca="false">IFERROR(INDEX('Semrush Data'!$A$1:$Z$20000,MATCH(A3531,'Semrush Data'!$A$1:$A$20000,0),MATCH("Keyword Difficulty*",'Semrush Data'!$A$1:$Z$1,0)),"")</f>
        <v/>
      </c>
      <c r="I3531" s="13" t="str">
        <f aca="false">IFERROR(INDEX('Semrush Data'!$A$1:$Z$20000,MATCH(A3531,'Semrush Data'!$A$1:$A$20000,0),MATCH("CPC*",'Semrush Data'!$A$1:$Z$1,0)),"")</f>
        <v/>
      </c>
      <c r="J3531" s="7" t="str">
        <f aca="false">IFERROR(INDEX('Semrush Data'!$A$1:$Z$20000,MATCH(A3531,'Semrush Data'!$A$1:$A$20000,0),MATCH("Intent",'Semrush Data'!$A$1:$Z$1,0)),"")</f>
        <v/>
      </c>
    </row>
    <row r="3532" customFormat="false" ht="15" hidden="false" customHeight="true" outlineLevel="0" collapsed="false">
      <c r="A3532" s="7" t="s">
        <v>4950</v>
      </c>
      <c r="B3532" s="7" t="s">
        <v>1356</v>
      </c>
      <c r="C3532" s="7" t="n">
        <v>3</v>
      </c>
      <c r="D3532" s="7" t="n">
        <v>36</v>
      </c>
      <c r="E3532" s="7" t="n">
        <v>2</v>
      </c>
      <c r="F3532" s="7" t="s">
        <v>6805</v>
      </c>
      <c r="G3532" s="12" t="str">
        <f aca="false">IFERROR(INDEX('Semrush Data'!$A$1:$Z$20000,MATCH(A3532,'Semrush Data'!$A$1:$A$20000,0),MATCH("Volume",'Semrush Data'!$A$1:$Z$1,0)),"")</f>
        <v/>
      </c>
      <c r="H3532" s="7" t="str">
        <f aca="false">IFERROR(INDEX('Semrush Data'!$A$1:$Z$20000,MATCH(A3532,'Semrush Data'!$A$1:$A$20000,0),MATCH("Keyword Difficulty*",'Semrush Data'!$A$1:$Z$1,0)),"")</f>
        <v/>
      </c>
      <c r="I3532" s="13" t="str">
        <f aca="false">IFERROR(INDEX('Semrush Data'!$A$1:$Z$20000,MATCH(A3532,'Semrush Data'!$A$1:$A$20000,0),MATCH("CPC*",'Semrush Data'!$A$1:$Z$1,0)),"")</f>
        <v/>
      </c>
      <c r="J3532" s="7" t="str">
        <f aca="false">IFERROR(INDEX('Semrush Data'!$A$1:$Z$20000,MATCH(A3532,'Semrush Data'!$A$1:$A$20000,0),MATCH("Intent",'Semrush Data'!$A$1:$Z$1,0)),"")</f>
        <v/>
      </c>
    </row>
    <row r="3533" customFormat="false" ht="15" hidden="false" customHeight="true" outlineLevel="0" collapsed="false">
      <c r="A3533" s="7" t="s">
        <v>4965</v>
      </c>
      <c r="B3533" s="7" t="s">
        <v>1356</v>
      </c>
      <c r="C3533" s="7" t="n">
        <v>3</v>
      </c>
      <c r="D3533" s="7" t="n">
        <v>36</v>
      </c>
      <c r="E3533" s="7" t="n">
        <v>2</v>
      </c>
      <c r="F3533" s="7" t="s">
        <v>6806</v>
      </c>
      <c r="G3533" s="12" t="str">
        <f aca="false">IFERROR(INDEX('Semrush Data'!$A$1:$Z$20000,MATCH(A3533,'Semrush Data'!$A$1:$A$20000,0),MATCH("Volume",'Semrush Data'!$A$1:$Z$1,0)),"")</f>
        <v/>
      </c>
      <c r="H3533" s="7" t="str">
        <f aca="false">IFERROR(INDEX('Semrush Data'!$A$1:$Z$20000,MATCH(A3533,'Semrush Data'!$A$1:$A$20000,0),MATCH("Keyword Difficulty*",'Semrush Data'!$A$1:$Z$1,0)),"")</f>
        <v/>
      </c>
      <c r="I3533" s="13" t="str">
        <f aca="false">IFERROR(INDEX('Semrush Data'!$A$1:$Z$20000,MATCH(A3533,'Semrush Data'!$A$1:$A$20000,0),MATCH("CPC*",'Semrush Data'!$A$1:$Z$1,0)),"")</f>
        <v/>
      </c>
      <c r="J3533" s="7" t="str">
        <f aca="false">IFERROR(INDEX('Semrush Data'!$A$1:$Z$20000,MATCH(A3533,'Semrush Data'!$A$1:$A$20000,0),MATCH("Intent",'Semrush Data'!$A$1:$Z$1,0)),"")</f>
        <v/>
      </c>
    </row>
    <row r="3534" customFormat="false" ht="15" hidden="false" customHeight="true" outlineLevel="0" collapsed="false">
      <c r="A3534" s="7" t="s">
        <v>4981</v>
      </c>
      <c r="B3534" s="7" t="s">
        <v>1356</v>
      </c>
      <c r="C3534" s="7" t="n">
        <v>3</v>
      </c>
      <c r="D3534" s="7" t="n">
        <v>36</v>
      </c>
      <c r="E3534" s="7" t="n">
        <v>2</v>
      </c>
      <c r="F3534" s="7" t="s">
        <v>6807</v>
      </c>
      <c r="G3534" s="12" t="str">
        <f aca="false">IFERROR(INDEX('Semrush Data'!$A$1:$Z$20000,MATCH(A3534,'Semrush Data'!$A$1:$A$20000,0),MATCH("Volume",'Semrush Data'!$A$1:$Z$1,0)),"")</f>
        <v/>
      </c>
      <c r="H3534" s="7" t="str">
        <f aca="false">IFERROR(INDEX('Semrush Data'!$A$1:$Z$20000,MATCH(A3534,'Semrush Data'!$A$1:$A$20000,0),MATCH("Keyword Difficulty*",'Semrush Data'!$A$1:$Z$1,0)),"")</f>
        <v/>
      </c>
      <c r="I3534" s="13" t="str">
        <f aca="false">IFERROR(INDEX('Semrush Data'!$A$1:$Z$20000,MATCH(A3534,'Semrush Data'!$A$1:$A$20000,0),MATCH("CPC*",'Semrush Data'!$A$1:$Z$1,0)),"")</f>
        <v/>
      </c>
      <c r="J3534" s="7" t="str">
        <f aca="false">IFERROR(INDEX('Semrush Data'!$A$1:$Z$20000,MATCH(A3534,'Semrush Data'!$A$1:$A$20000,0),MATCH("Intent",'Semrush Data'!$A$1:$Z$1,0)),"")</f>
        <v/>
      </c>
    </row>
    <row r="3535" customFormat="false" ht="15" hidden="false" customHeight="true" outlineLevel="0" collapsed="false">
      <c r="A3535" s="7" t="s">
        <v>4999</v>
      </c>
      <c r="B3535" s="7" t="s">
        <v>1356</v>
      </c>
      <c r="C3535" s="7" t="n">
        <v>3</v>
      </c>
      <c r="D3535" s="7" t="n">
        <v>36</v>
      </c>
      <c r="E3535" s="7" t="n">
        <v>1</v>
      </c>
      <c r="F3535" s="7" t="s">
        <v>4992</v>
      </c>
      <c r="G3535" s="12" t="str">
        <f aca="false">IFERROR(INDEX('Semrush Data'!$A$1:$Z$20000,MATCH(A3535,'Semrush Data'!$A$1:$A$20000,0),MATCH("Volume",'Semrush Data'!$A$1:$Z$1,0)),"")</f>
        <v/>
      </c>
      <c r="H3535" s="7" t="str">
        <f aca="false">IFERROR(INDEX('Semrush Data'!$A$1:$Z$20000,MATCH(A3535,'Semrush Data'!$A$1:$A$20000,0),MATCH("Keyword Difficulty*",'Semrush Data'!$A$1:$Z$1,0)),"")</f>
        <v/>
      </c>
      <c r="I3535" s="13" t="str">
        <f aca="false">IFERROR(INDEX('Semrush Data'!$A$1:$Z$20000,MATCH(A3535,'Semrush Data'!$A$1:$A$20000,0),MATCH("CPC*",'Semrush Data'!$A$1:$Z$1,0)),"")</f>
        <v/>
      </c>
      <c r="J3535" s="7" t="str">
        <f aca="false">IFERROR(INDEX('Semrush Data'!$A$1:$Z$20000,MATCH(A3535,'Semrush Data'!$A$1:$A$20000,0),MATCH("Intent",'Semrush Data'!$A$1:$Z$1,0)),"")</f>
        <v/>
      </c>
    </row>
    <row r="3536" customFormat="false" ht="15" hidden="false" customHeight="true" outlineLevel="0" collapsed="false">
      <c r="A3536" s="7" t="s">
        <v>5936</v>
      </c>
      <c r="B3536" s="7" t="s">
        <v>1356</v>
      </c>
      <c r="C3536" s="7" t="n">
        <v>3</v>
      </c>
      <c r="D3536" s="7" t="n">
        <v>36</v>
      </c>
      <c r="E3536" s="7" t="n">
        <v>1</v>
      </c>
      <c r="F3536" s="7" t="s">
        <v>5930</v>
      </c>
      <c r="G3536" s="12" t="str">
        <f aca="false">IFERROR(INDEX('Semrush Data'!$A$1:$Z$20000,MATCH(A3536,'Semrush Data'!$A$1:$A$20000,0),MATCH("Volume",'Semrush Data'!$A$1:$Z$1,0)),"")</f>
        <v/>
      </c>
      <c r="H3536" s="7" t="str">
        <f aca="false">IFERROR(INDEX('Semrush Data'!$A$1:$Z$20000,MATCH(A3536,'Semrush Data'!$A$1:$A$20000,0),MATCH("Keyword Difficulty*",'Semrush Data'!$A$1:$Z$1,0)),"")</f>
        <v/>
      </c>
      <c r="I3536" s="13" t="str">
        <f aca="false">IFERROR(INDEX('Semrush Data'!$A$1:$Z$20000,MATCH(A3536,'Semrush Data'!$A$1:$A$20000,0),MATCH("CPC*",'Semrush Data'!$A$1:$Z$1,0)),"")</f>
        <v/>
      </c>
      <c r="J3536" s="7" t="str">
        <f aca="false">IFERROR(INDEX('Semrush Data'!$A$1:$Z$20000,MATCH(A3536,'Semrush Data'!$A$1:$A$20000,0),MATCH("Intent",'Semrush Data'!$A$1:$Z$1,0)),"")</f>
        <v/>
      </c>
    </row>
    <row r="3537" customFormat="false" ht="15" hidden="false" customHeight="true" outlineLevel="0" collapsed="false">
      <c r="A3537" s="7" t="s">
        <v>5914</v>
      </c>
      <c r="B3537" s="7" t="s">
        <v>1356</v>
      </c>
      <c r="C3537" s="7" t="n">
        <v>3</v>
      </c>
      <c r="D3537" s="7" t="n">
        <v>36</v>
      </c>
      <c r="E3537" s="7" t="n">
        <v>1</v>
      </c>
      <c r="F3537" s="7" t="s">
        <v>5909</v>
      </c>
      <c r="G3537" s="12" t="str">
        <f aca="false">IFERROR(INDEX('Semrush Data'!$A$1:$Z$20000,MATCH(A3537,'Semrush Data'!$A$1:$A$20000,0),MATCH("Volume",'Semrush Data'!$A$1:$Z$1,0)),"")</f>
        <v/>
      </c>
      <c r="H3537" s="7" t="str">
        <f aca="false">IFERROR(INDEX('Semrush Data'!$A$1:$Z$20000,MATCH(A3537,'Semrush Data'!$A$1:$A$20000,0),MATCH("Keyword Difficulty*",'Semrush Data'!$A$1:$Z$1,0)),"")</f>
        <v/>
      </c>
      <c r="I3537" s="13" t="str">
        <f aca="false">IFERROR(INDEX('Semrush Data'!$A$1:$Z$20000,MATCH(A3537,'Semrush Data'!$A$1:$A$20000,0),MATCH("CPC*",'Semrush Data'!$A$1:$Z$1,0)),"")</f>
        <v/>
      </c>
      <c r="J3537" s="7" t="str">
        <f aca="false">IFERROR(INDEX('Semrush Data'!$A$1:$Z$20000,MATCH(A3537,'Semrush Data'!$A$1:$A$20000,0),MATCH("Intent",'Semrush Data'!$A$1:$Z$1,0)),"")</f>
        <v/>
      </c>
    </row>
    <row r="3538" customFormat="false" ht="15" hidden="false" customHeight="true" outlineLevel="0" collapsed="false">
      <c r="A3538" s="7" t="s">
        <v>5893</v>
      </c>
      <c r="B3538" s="7" t="s">
        <v>1356</v>
      </c>
      <c r="C3538" s="7" t="n">
        <v>3</v>
      </c>
      <c r="D3538" s="7" t="n">
        <v>36</v>
      </c>
      <c r="E3538" s="7" t="n">
        <v>1</v>
      </c>
      <c r="F3538" s="7" t="s">
        <v>5888</v>
      </c>
      <c r="G3538" s="12" t="str">
        <f aca="false">IFERROR(INDEX('Semrush Data'!$A$1:$Z$20000,MATCH(A3538,'Semrush Data'!$A$1:$A$20000,0),MATCH("Volume",'Semrush Data'!$A$1:$Z$1,0)),"")</f>
        <v/>
      </c>
      <c r="H3538" s="7" t="str">
        <f aca="false">IFERROR(INDEX('Semrush Data'!$A$1:$Z$20000,MATCH(A3538,'Semrush Data'!$A$1:$A$20000,0),MATCH("Keyword Difficulty*",'Semrush Data'!$A$1:$Z$1,0)),"")</f>
        <v/>
      </c>
      <c r="I3538" s="13" t="str">
        <f aca="false">IFERROR(INDEX('Semrush Data'!$A$1:$Z$20000,MATCH(A3538,'Semrush Data'!$A$1:$A$20000,0),MATCH("CPC*",'Semrush Data'!$A$1:$Z$1,0)),"")</f>
        <v/>
      </c>
      <c r="J3538" s="7" t="str">
        <f aca="false">IFERROR(INDEX('Semrush Data'!$A$1:$Z$20000,MATCH(A3538,'Semrush Data'!$A$1:$A$20000,0),MATCH("Intent",'Semrush Data'!$A$1:$Z$1,0)),"")</f>
        <v/>
      </c>
    </row>
    <row r="3539" customFormat="false" ht="15" hidden="false" customHeight="true" outlineLevel="0" collapsed="false">
      <c r="A3539" s="7" t="s">
        <v>5903</v>
      </c>
      <c r="B3539" s="7" t="s">
        <v>1356</v>
      </c>
      <c r="C3539" s="7" t="n">
        <v>3</v>
      </c>
      <c r="D3539" s="7" t="n">
        <v>36</v>
      </c>
      <c r="E3539" s="7" t="n">
        <v>1</v>
      </c>
      <c r="F3539" s="7" t="s">
        <v>5898</v>
      </c>
      <c r="G3539" s="12" t="str">
        <f aca="false">IFERROR(INDEX('Semrush Data'!$A$1:$Z$20000,MATCH(A3539,'Semrush Data'!$A$1:$A$20000,0),MATCH("Volume",'Semrush Data'!$A$1:$Z$1,0)),"")</f>
        <v/>
      </c>
      <c r="H3539" s="7" t="str">
        <f aca="false">IFERROR(INDEX('Semrush Data'!$A$1:$Z$20000,MATCH(A3539,'Semrush Data'!$A$1:$A$20000,0),MATCH("Keyword Difficulty*",'Semrush Data'!$A$1:$Z$1,0)),"")</f>
        <v/>
      </c>
      <c r="I3539" s="13" t="str">
        <f aca="false">IFERROR(INDEX('Semrush Data'!$A$1:$Z$20000,MATCH(A3539,'Semrush Data'!$A$1:$A$20000,0),MATCH("CPC*",'Semrush Data'!$A$1:$Z$1,0)),"")</f>
        <v/>
      </c>
      <c r="J3539" s="7" t="str">
        <f aca="false">IFERROR(INDEX('Semrush Data'!$A$1:$Z$20000,MATCH(A3539,'Semrush Data'!$A$1:$A$20000,0),MATCH("Intent",'Semrush Data'!$A$1:$Z$1,0)),"")</f>
        <v/>
      </c>
    </row>
    <row r="3540" customFormat="false" ht="15" hidden="false" customHeight="true" outlineLevel="0" collapsed="false">
      <c r="A3540" s="7" t="s">
        <v>5011</v>
      </c>
      <c r="B3540" s="7" t="s">
        <v>1356</v>
      </c>
      <c r="C3540" s="7" t="n">
        <v>3</v>
      </c>
      <c r="D3540" s="7" t="n">
        <v>36</v>
      </c>
      <c r="E3540" s="7" t="n">
        <v>1</v>
      </c>
      <c r="F3540" s="7" t="s">
        <v>5005</v>
      </c>
      <c r="G3540" s="12" t="str">
        <f aca="false">IFERROR(INDEX('Semrush Data'!$A$1:$Z$20000,MATCH(A3540,'Semrush Data'!$A$1:$A$20000,0),MATCH("Volume",'Semrush Data'!$A$1:$Z$1,0)),"")</f>
        <v/>
      </c>
      <c r="H3540" s="7" t="str">
        <f aca="false">IFERROR(INDEX('Semrush Data'!$A$1:$Z$20000,MATCH(A3540,'Semrush Data'!$A$1:$A$20000,0),MATCH("Keyword Difficulty*",'Semrush Data'!$A$1:$Z$1,0)),"")</f>
        <v/>
      </c>
      <c r="I3540" s="13" t="str">
        <f aca="false">IFERROR(INDEX('Semrush Data'!$A$1:$Z$20000,MATCH(A3540,'Semrush Data'!$A$1:$A$20000,0),MATCH("CPC*",'Semrush Data'!$A$1:$Z$1,0)),"")</f>
        <v/>
      </c>
      <c r="J3540" s="7" t="str">
        <f aca="false">IFERROR(INDEX('Semrush Data'!$A$1:$Z$20000,MATCH(A3540,'Semrush Data'!$A$1:$A$20000,0),MATCH("Intent",'Semrush Data'!$A$1:$Z$1,0)),"")</f>
        <v/>
      </c>
    </row>
    <row r="3541" customFormat="false" ht="15" hidden="false" customHeight="true" outlineLevel="0" collapsed="false">
      <c r="A3541" s="7" t="s">
        <v>5063</v>
      </c>
      <c r="B3541" s="7" t="s">
        <v>1356</v>
      </c>
      <c r="C3541" s="7" t="n">
        <v>3</v>
      </c>
      <c r="D3541" s="7" t="n">
        <v>36</v>
      </c>
      <c r="E3541" s="7" t="n">
        <v>1</v>
      </c>
      <c r="F3541" s="7" t="s">
        <v>104</v>
      </c>
      <c r="G3541" s="12" t="str">
        <f aca="false">IFERROR(INDEX('Semrush Data'!$A$1:$Z$20000,MATCH(A3541,'Semrush Data'!$A$1:$A$20000,0),MATCH("Volume",'Semrush Data'!$A$1:$Z$1,0)),"")</f>
        <v/>
      </c>
      <c r="H3541" s="7" t="str">
        <f aca="false">IFERROR(INDEX('Semrush Data'!$A$1:$Z$20000,MATCH(A3541,'Semrush Data'!$A$1:$A$20000,0),MATCH("Keyword Difficulty*",'Semrush Data'!$A$1:$Z$1,0)),"")</f>
        <v/>
      </c>
      <c r="I3541" s="13" t="str">
        <f aca="false">IFERROR(INDEX('Semrush Data'!$A$1:$Z$20000,MATCH(A3541,'Semrush Data'!$A$1:$A$20000,0),MATCH("CPC*",'Semrush Data'!$A$1:$Z$1,0)),"")</f>
        <v/>
      </c>
      <c r="J3541" s="7" t="str">
        <f aca="false">IFERROR(INDEX('Semrush Data'!$A$1:$Z$20000,MATCH(A3541,'Semrush Data'!$A$1:$A$20000,0),MATCH("Intent",'Semrush Data'!$A$1:$Z$1,0)),"")</f>
        <v/>
      </c>
    </row>
    <row r="3542" customFormat="false" ht="15" hidden="false" customHeight="true" outlineLevel="0" collapsed="false">
      <c r="A3542" s="7" t="s">
        <v>5045</v>
      </c>
      <c r="B3542" s="7" t="s">
        <v>1356</v>
      </c>
      <c r="C3542" s="7" t="n">
        <v>3</v>
      </c>
      <c r="D3542" s="7" t="n">
        <v>36</v>
      </c>
      <c r="E3542" s="7" t="n">
        <v>1</v>
      </c>
      <c r="F3542" s="7" t="s">
        <v>5040</v>
      </c>
      <c r="G3542" s="12" t="str">
        <f aca="false">IFERROR(INDEX('Semrush Data'!$A$1:$Z$20000,MATCH(A3542,'Semrush Data'!$A$1:$A$20000,0),MATCH("Volume",'Semrush Data'!$A$1:$Z$1,0)),"")</f>
        <v/>
      </c>
      <c r="H3542" s="7" t="str">
        <f aca="false">IFERROR(INDEX('Semrush Data'!$A$1:$Z$20000,MATCH(A3542,'Semrush Data'!$A$1:$A$20000,0),MATCH("Keyword Difficulty*",'Semrush Data'!$A$1:$Z$1,0)),"")</f>
        <v/>
      </c>
      <c r="I3542" s="13" t="str">
        <f aca="false">IFERROR(INDEX('Semrush Data'!$A$1:$Z$20000,MATCH(A3542,'Semrush Data'!$A$1:$A$20000,0),MATCH("CPC*",'Semrush Data'!$A$1:$Z$1,0)),"")</f>
        <v/>
      </c>
      <c r="J3542" s="7" t="str">
        <f aca="false">IFERROR(INDEX('Semrush Data'!$A$1:$Z$20000,MATCH(A3542,'Semrush Data'!$A$1:$A$20000,0),MATCH("Intent",'Semrush Data'!$A$1:$Z$1,0)),"")</f>
        <v/>
      </c>
    </row>
    <row r="3543" customFormat="false" ht="15" hidden="false" customHeight="true" outlineLevel="0" collapsed="false">
      <c r="A3543" s="7" t="s">
        <v>5023</v>
      </c>
      <c r="B3543" s="7" t="s">
        <v>1356</v>
      </c>
      <c r="C3543" s="7" t="n">
        <v>3</v>
      </c>
      <c r="D3543" s="7" t="s">
        <v>6818</v>
      </c>
      <c r="E3543" s="7" t="n">
        <v>1</v>
      </c>
      <c r="F3543" s="7" t="s">
        <v>62</v>
      </c>
      <c r="G3543" s="12" t="str">
        <f aca="false">IFERROR(INDEX('Semrush Data'!$A$1:$Z$20000,MATCH(A3543,'Semrush Data'!$A$1:$A$20000,0),MATCH("Volume",'Semrush Data'!$A$1:$Z$1,0)),"")</f>
        <v/>
      </c>
      <c r="H3543" s="7" t="str">
        <f aca="false">IFERROR(INDEX('Semrush Data'!$A$1:$Z$20000,MATCH(A3543,'Semrush Data'!$A$1:$A$20000,0),MATCH("Keyword Difficulty*",'Semrush Data'!$A$1:$Z$1,0)),"")</f>
        <v/>
      </c>
      <c r="I3543" s="13" t="str">
        <f aca="false">IFERROR(INDEX('Semrush Data'!$A$1:$Z$20000,MATCH(A3543,'Semrush Data'!$A$1:$A$20000,0),MATCH("CPC*",'Semrush Data'!$A$1:$Z$1,0)),"")</f>
        <v/>
      </c>
      <c r="J3543" s="7" t="str">
        <f aca="false">IFERROR(INDEX('Semrush Data'!$A$1:$Z$20000,MATCH(A3543,'Semrush Data'!$A$1:$A$20000,0),MATCH("Intent",'Semrush Data'!$A$1:$Z$1,0)),"")</f>
        <v/>
      </c>
    </row>
    <row r="3544" customFormat="false" ht="15" hidden="false" customHeight="true" outlineLevel="0" collapsed="false">
      <c r="A3544" s="7" t="s">
        <v>5054</v>
      </c>
      <c r="B3544" s="7" t="s">
        <v>1356</v>
      </c>
      <c r="C3544" s="7" t="n">
        <v>3</v>
      </c>
      <c r="D3544" s="7" t="n">
        <v>36</v>
      </c>
      <c r="E3544" s="7" t="n">
        <v>1</v>
      </c>
      <c r="F3544" s="7" t="s">
        <v>86</v>
      </c>
      <c r="G3544" s="12" t="str">
        <f aca="false">IFERROR(INDEX('Semrush Data'!$A$1:$Z$20000,MATCH(A3544,'Semrush Data'!$A$1:$A$20000,0),MATCH("Volume",'Semrush Data'!$A$1:$Z$1,0)),"")</f>
        <v/>
      </c>
      <c r="H3544" s="7" t="str">
        <f aca="false">IFERROR(INDEX('Semrush Data'!$A$1:$Z$20000,MATCH(A3544,'Semrush Data'!$A$1:$A$20000,0),MATCH("Keyword Difficulty*",'Semrush Data'!$A$1:$Z$1,0)),"")</f>
        <v/>
      </c>
      <c r="I3544" s="13" t="str">
        <f aca="false">IFERROR(INDEX('Semrush Data'!$A$1:$Z$20000,MATCH(A3544,'Semrush Data'!$A$1:$A$20000,0),MATCH("CPC*",'Semrush Data'!$A$1:$Z$1,0)),"")</f>
        <v/>
      </c>
      <c r="J3544" s="7" t="str">
        <f aca="false">IFERROR(INDEX('Semrush Data'!$A$1:$Z$20000,MATCH(A3544,'Semrush Data'!$A$1:$A$20000,0),MATCH("Intent",'Semrush Data'!$A$1:$Z$1,0)),"")</f>
        <v/>
      </c>
    </row>
    <row r="3545" customFormat="false" ht="15" hidden="false" customHeight="true" outlineLevel="0" collapsed="false">
      <c r="A3545" s="7" t="s">
        <v>5034</v>
      </c>
      <c r="B3545" s="7" t="s">
        <v>1356</v>
      </c>
      <c r="C3545" s="7" t="n">
        <v>3</v>
      </c>
      <c r="D3545" s="7" t="n">
        <v>36</v>
      </c>
      <c r="E3545" s="7" t="n">
        <v>1</v>
      </c>
      <c r="F3545" s="7" t="s">
        <v>5029</v>
      </c>
      <c r="G3545" s="12" t="str">
        <f aca="false">IFERROR(INDEX('Semrush Data'!$A$1:$Z$20000,MATCH(A3545,'Semrush Data'!$A$1:$A$20000,0),MATCH("Volume",'Semrush Data'!$A$1:$Z$1,0)),"")</f>
        <v/>
      </c>
      <c r="H3545" s="7" t="str">
        <f aca="false">IFERROR(INDEX('Semrush Data'!$A$1:$Z$20000,MATCH(A3545,'Semrush Data'!$A$1:$A$20000,0),MATCH("Keyword Difficulty*",'Semrush Data'!$A$1:$Z$1,0)),"")</f>
        <v/>
      </c>
      <c r="I3545" s="13" t="str">
        <f aca="false">IFERROR(INDEX('Semrush Data'!$A$1:$Z$20000,MATCH(A3545,'Semrush Data'!$A$1:$A$20000,0),MATCH("CPC*",'Semrush Data'!$A$1:$Z$1,0)),"")</f>
        <v/>
      </c>
      <c r="J3545" s="7" t="str">
        <f aca="false">IFERROR(INDEX('Semrush Data'!$A$1:$Z$20000,MATCH(A3545,'Semrush Data'!$A$1:$A$20000,0),MATCH("Intent",'Semrush Data'!$A$1:$Z$1,0)),"")</f>
        <v/>
      </c>
    </row>
    <row r="3546" customFormat="false" ht="15" hidden="false" customHeight="true" outlineLevel="0" collapsed="false">
      <c r="A3546" s="7" t="s">
        <v>5089</v>
      </c>
      <c r="B3546" s="7" t="s">
        <v>1356</v>
      </c>
      <c r="C3546" s="7" t="n">
        <v>3</v>
      </c>
      <c r="D3546" s="7" t="n">
        <v>36</v>
      </c>
      <c r="E3546" s="7" t="n">
        <v>1</v>
      </c>
      <c r="F3546" s="7" t="s">
        <v>5083</v>
      </c>
      <c r="G3546" s="12" t="str">
        <f aca="false">IFERROR(INDEX('Semrush Data'!$A$1:$Z$20000,MATCH(A3546,'Semrush Data'!$A$1:$A$20000,0),MATCH("Volume",'Semrush Data'!$A$1:$Z$1,0)),"")</f>
        <v/>
      </c>
      <c r="H3546" s="7" t="str">
        <f aca="false">IFERROR(INDEX('Semrush Data'!$A$1:$Z$20000,MATCH(A3546,'Semrush Data'!$A$1:$A$20000,0),MATCH("Keyword Difficulty*",'Semrush Data'!$A$1:$Z$1,0)),"")</f>
        <v/>
      </c>
      <c r="I3546" s="13" t="str">
        <f aca="false">IFERROR(INDEX('Semrush Data'!$A$1:$Z$20000,MATCH(A3546,'Semrush Data'!$A$1:$A$20000,0),MATCH("CPC*",'Semrush Data'!$A$1:$Z$1,0)),"")</f>
        <v/>
      </c>
      <c r="J3546" s="7" t="str">
        <f aca="false">IFERROR(INDEX('Semrush Data'!$A$1:$Z$20000,MATCH(A3546,'Semrush Data'!$A$1:$A$20000,0),MATCH("Intent",'Semrush Data'!$A$1:$Z$1,0)),"")</f>
        <v/>
      </c>
    </row>
    <row r="3547" customFormat="false" ht="15" hidden="false" customHeight="true" outlineLevel="0" collapsed="false">
      <c r="A3547" s="7" t="s">
        <v>5076</v>
      </c>
      <c r="B3547" s="7" t="s">
        <v>1356</v>
      </c>
      <c r="C3547" s="7" t="n">
        <v>3</v>
      </c>
      <c r="D3547" s="7" t="n">
        <v>36</v>
      </c>
      <c r="E3547" s="7" t="n">
        <v>1</v>
      </c>
      <c r="F3547" s="7" t="s">
        <v>5069</v>
      </c>
      <c r="G3547" s="12" t="str">
        <f aca="false">IFERROR(INDEX('Semrush Data'!$A$1:$Z$20000,MATCH(A3547,'Semrush Data'!$A$1:$A$20000,0),MATCH("Volume",'Semrush Data'!$A$1:$Z$1,0)),"")</f>
        <v/>
      </c>
      <c r="H3547" s="7" t="str">
        <f aca="false">IFERROR(INDEX('Semrush Data'!$A$1:$Z$20000,MATCH(A3547,'Semrush Data'!$A$1:$A$20000,0),MATCH("Keyword Difficulty*",'Semrush Data'!$A$1:$Z$1,0)),"")</f>
        <v/>
      </c>
      <c r="I3547" s="13" t="str">
        <f aca="false">IFERROR(INDEX('Semrush Data'!$A$1:$Z$20000,MATCH(A3547,'Semrush Data'!$A$1:$A$20000,0),MATCH("CPC*",'Semrush Data'!$A$1:$Z$1,0)),"")</f>
        <v/>
      </c>
      <c r="J3547" s="7" t="str">
        <f aca="false">IFERROR(INDEX('Semrush Data'!$A$1:$Z$20000,MATCH(A3547,'Semrush Data'!$A$1:$A$20000,0),MATCH("Intent",'Semrush Data'!$A$1:$Z$1,0)),"")</f>
        <v/>
      </c>
    </row>
    <row r="3548" customFormat="false" ht="15" hidden="false" customHeight="true" outlineLevel="0" collapsed="false">
      <c r="A3548" s="7" t="s">
        <v>5102</v>
      </c>
      <c r="B3548" s="7" t="s">
        <v>1356</v>
      </c>
      <c r="C3548" s="7" t="n">
        <v>3</v>
      </c>
      <c r="D3548" s="7" t="n">
        <v>36</v>
      </c>
      <c r="E3548" s="7" t="n">
        <v>1</v>
      </c>
      <c r="F3548" s="7" t="s">
        <v>5095</v>
      </c>
      <c r="G3548" s="12" t="str">
        <f aca="false">IFERROR(INDEX('Semrush Data'!$A$1:$Z$20000,MATCH(A3548,'Semrush Data'!$A$1:$A$20000,0),MATCH("Volume",'Semrush Data'!$A$1:$Z$1,0)),"")</f>
        <v/>
      </c>
      <c r="H3548" s="7" t="str">
        <f aca="false">IFERROR(INDEX('Semrush Data'!$A$1:$Z$20000,MATCH(A3548,'Semrush Data'!$A$1:$A$20000,0),MATCH("Keyword Difficulty*",'Semrush Data'!$A$1:$Z$1,0)),"")</f>
        <v/>
      </c>
      <c r="I3548" s="13" t="str">
        <f aca="false">IFERROR(INDEX('Semrush Data'!$A$1:$Z$20000,MATCH(A3548,'Semrush Data'!$A$1:$A$20000,0),MATCH("CPC*",'Semrush Data'!$A$1:$Z$1,0)),"")</f>
        <v/>
      </c>
      <c r="J3548" s="7" t="str">
        <f aca="false">IFERROR(INDEX('Semrush Data'!$A$1:$Z$20000,MATCH(A3548,'Semrush Data'!$A$1:$A$20000,0),MATCH("Intent",'Semrush Data'!$A$1:$Z$1,0)),"")</f>
        <v/>
      </c>
    </row>
    <row r="3549" customFormat="false" ht="15" hidden="false" customHeight="true" outlineLevel="0" collapsed="false">
      <c r="A3549" s="7" t="s">
        <v>5113</v>
      </c>
      <c r="B3549" s="7" t="s">
        <v>1356</v>
      </c>
      <c r="C3549" s="7" t="n">
        <v>3</v>
      </c>
      <c r="D3549" s="7" t="n">
        <v>36</v>
      </c>
      <c r="E3549" s="7" t="n">
        <v>1</v>
      </c>
      <c r="F3549" s="7" t="s">
        <v>5108</v>
      </c>
      <c r="G3549" s="12" t="str">
        <f aca="false">IFERROR(INDEX('Semrush Data'!$A$1:$Z$20000,MATCH(A3549,'Semrush Data'!$A$1:$A$20000,0),MATCH("Volume",'Semrush Data'!$A$1:$Z$1,0)),"")</f>
        <v/>
      </c>
      <c r="H3549" s="7" t="str">
        <f aca="false">IFERROR(INDEX('Semrush Data'!$A$1:$Z$20000,MATCH(A3549,'Semrush Data'!$A$1:$A$20000,0),MATCH("Keyword Difficulty*",'Semrush Data'!$A$1:$Z$1,0)),"")</f>
        <v/>
      </c>
      <c r="I3549" s="13" t="str">
        <f aca="false">IFERROR(INDEX('Semrush Data'!$A$1:$Z$20000,MATCH(A3549,'Semrush Data'!$A$1:$A$20000,0),MATCH("CPC*",'Semrush Data'!$A$1:$Z$1,0)),"")</f>
        <v/>
      </c>
      <c r="J3549" s="7" t="str">
        <f aca="false">IFERROR(INDEX('Semrush Data'!$A$1:$Z$20000,MATCH(A3549,'Semrush Data'!$A$1:$A$20000,0),MATCH("Intent",'Semrush Data'!$A$1:$Z$1,0)),"")</f>
        <v/>
      </c>
    </row>
    <row r="3550" customFormat="false" ht="15" hidden="false" customHeight="true" outlineLevel="0" collapsed="false">
      <c r="A3550" s="7" t="s">
        <v>5125</v>
      </c>
      <c r="B3550" s="7" t="s">
        <v>1356</v>
      </c>
      <c r="C3550" s="7" t="n">
        <v>3</v>
      </c>
      <c r="D3550" s="7" t="n">
        <v>36</v>
      </c>
      <c r="E3550" s="7" t="n">
        <v>1</v>
      </c>
      <c r="F3550" s="7" t="s">
        <v>5118</v>
      </c>
      <c r="G3550" s="12" t="str">
        <f aca="false">IFERROR(INDEX('Semrush Data'!$A$1:$Z$20000,MATCH(A3550,'Semrush Data'!$A$1:$A$20000,0),MATCH("Volume",'Semrush Data'!$A$1:$Z$1,0)),"")</f>
        <v/>
      </c>
      <c r="H3550" s="7" t="str">
        <f aca="false">IFERROR(INDEX('Semrush Data'!$A$1:$Z$20000,MATCH(A3550,'Semrush Data'!$A$1:$A$20000,0),MATCH("Keyword Difficulty*",'Semrush Data'!$A$1:$Z$1,0)),"")</f>
        <v/>
      </c>
      <c r="I3550" s="13" t="str">
        <f aca="false">IFERROR(INDEX('Semrush Data'!$A$1:$Z$20000,MATCH(A3550,'Semrush Data'!$A$1:$A$20000,0),MATCH("CPC*",'Semrush Data'!$A$1:$Z$1,0)),"")</f>
        <v/>
      </c>
      <c r="J3550" s="7" t="str">
        <f aca="false">IFERROR(INDEX('Semrush Data'!$A$1:$Z$20000,MATCH(A3550,'Semrush Data'!$A$1:$A$20000,0),MATCH("Intent",'Semrush Data'!$A$1:$Z$1,0)),"")</f>
        <v/>
      </c>
    </row>
    <row r="3551" customFormat="false" ht="15" hidden="false" customHeight="true" outlineLevel="0" collapsed="false">
      <c r="A3551" s="7" t="s">
        <v>5135</v>
      </c>
      <c r="B3551" s="7" t="s">
        <v>1356</v>
      </c>
      <c r="C3551" s="7" t="n">
        <v>3</v>
      </c>
      <c r="D3551" s="7" t="n">
        <v>36</v>
      </c>
      <c r="E3551" s="7" t="n">
        <v>1</v>
      </c>
      <c r="F3551" s="7" t="s">
        <v>5130</v>
      </c>
      <c r="G3551" s="12" t="str">
        <f aca="false">IFERROR(INDEX('Semrush Data'!$A$1:$Z$20000,MATCH(A3551,'Semrush Data'!$A$1:$A$20000,0),MATCH("Volume",'Semrush Data'!$A$1:$Z$1,0)),"")</f>
        <v/>
      </c>
      <c r="H3551" s="7" t="str">
        <f aca="false">IFERROR(INDEX('Semrush Data'!$A$1:$Z$20000,MATCH(A3551,'Semrush Data'!$A$1:$A$20000,0),MATCH("Keyword Difficulty*",'Semrush Data'!$A$1:$Z$1,0)),"")</f>
        <v/>
      </c>
      <c r="I3551" s="13" t="str">
        <f aca="false">IFERROR(INDEX('Semrush Data'!$A$1:$Z$20000,MATCH(A3551,'Semrush Data'!$A$1:$A$20000,0),MATCH("CPC*",'Semrush Data'!$A$1:$Z$1,0)),"")</f>
        <v/>
      </c>
      <c r="J3551" s="7" t="str">
        <f aca="false">IFERROR(INDEX('Semrush Data'!$A$1:$Z$20000,MATCH(A3551,'Semrush Data'!$A$1:$A$20000,0),MATCH("Intent",'Semrush Data'!$A$1:$Z$1,0)),"")</f>
        <v/>
      </c>
    </row>
    <row r="3552" customFormat="false" ht="15" hidden="false" customHeight="true" outlineLevel="0" collapsed="false">
      <c r="A3552" s="7" t="s">
        <v>5145</v>
      </c>
      <c r="B3552" s="7" t="s">
        <v>1356</v>
      </c>
      <c r="C3552" s="7" t="n">
        <v>3</v>
      </c>
      <c r="D3552" s="7" t="n">
        <v>36</v>
      </c>
      <c r="E3552" s="7" t="n">
        <v>1</v>
      </c>
      <c r="F3552" s="7" t="s">
        <v>5139</v>
      </c>
      <c r="G3552" s="12" t="str">
        <f aca="false">IFERROR(INDEX('Semrush Data'!$A$1:$Z$20000,MATCH(A3552,'Semrush Data'!$A$1:$A$20000,0),MATCH("Volume",'Semrush Data'!$A$1:$Z$1,0)),"")</f>
        <v/>
      </c>
      <c r="H3552" s="7" t="str">
        <f aca="false">IFERROR(INDEX('Semrush Data'!$A$1:$Z$20000,MATCH(A3552,'Semrush Data'!$A$1:$A$20000,0),MATCH("Keyword Difficulty*",'Semrush Data'!$A$1:$Z$1,0)),"")</f>
        <v/>
      </c>
      <c r="I3552" s="13" t="str">
        <f aca="false">IFERROR(INDEX('Semrush Data'!$A$1:$Z$20000,MATCH(A3552,'Semrush Data'!$A$1:$A$20000,0),MATCH("CPC*",'Semrush Data'!$A$1:$Z$1,0)),"")</f>
        <v/>
      </c>
      <c r="J3552" s="7" t="str">
        <f aca="false">IFERROR(INDEX('Semrush Data'!$A$1:$Z$20000,MATCH(A3552,'Semrush Data'!$A$1:$A$20000,0),MATCH("Intent",'Semrush Data'!$A$1:$Z$1,0)),"")</f>
        <v/>
      </c>
    </row>
    <row r="3553" customFormat="false" ht="15" hidden="false" customHeight="true" outlineLevel="0" collapsed="false">
      <c r="A3553" s="7" t="s">
        <v>5167</v>
      </c>
      <c r="B3553" s="7" t="s">
        <v>1356</v>
      </c>
      <c r="C3553" s="7" t="n">
        <v>3</v>
      </c>
      <c r="D3553" s="7" t="n">
        <v>36</v>
      </c>
      <c r="E3553" s="7" t="n">
        <v>1</v>
      </c>
      <c r="F3553" s="7" t="s">
        <v>5162</v>
      </c>
      <c r="G3553" s="12" t="str">
        <f aca="false">IFERROR(INDEX('Semrush Data'!$A$1:$Z$20000,MATCH(A3553,'Semrush Data'!$A$1:$A$20000,0),MATCH("Volume",'Semrush Data'!$A$1:$Z$1,0)),"")</f>
        <v/>
      </c>
      <c r="H3553" s="7" t="str">
        <f aca="false">IFERROR(INDEX('Semrush Data'!$A$1:$Z$20000,MATCH(A3553,'Semrush Data'!$A$1:$A$20000,0),MATCH("Keyword Difficulty*",'Semrush Data'!$A$1:$Z$1,0)),"")</f>
        <v/>
      </c>
      <c r="I3553" s="13" t="str">
        <f aca="false">IFERROR(INDEX('Semrush Data'!$A$1:$Z$20000,MATCH(A3553,'Semrush Data'!$A$1:$A$20000,0),MATCH("CPC*",'Semrush Data'!$A$1:$Z$1,0)),"")</f>
        <v/>
      </c>
      <c r="J3553" s="7" t="str">
        <f aca="false">IFERROR(INDEX('Semrush Data'!$A$1:$Z$20000,MATCH(A3553,'Semrush Data'!$A$1:$A$20000,0),MATCH("Intent",'Semrush Data'!$A$1:$Z$1,0)),"")</f>
        <v/>
      </c>
    </row>
    <row r="3554" customFormat="false" ht="15" hidden="false" customHeight="true" outlineLevel="0" collapsed="false">
      <c r="A3554" s="7" t="s">
        <v>5155</v>
      </c>
      <c r="B3554" s="7" t="s">
        <v>1356</v>
      </c>
      <c r="C3554" s="7" t="n">
        <v>3</v>
      </c>
      <c r="D3554" s="7" t="s">
        <v>6818</v>
      </c>
      <c r="E3554" s="7" t="n">
        <v>1</v>
      </c>
      <c r="F3554" s="7" t="s">
        <v>52</v>
      </c>
      <c r="G3554" s="12" t="str">
        <f aca="false">IFERROR(INDEX('Semrush Data'!$A$1:$Z$20000,MATCH(A3554,'Semrush Data'!$A$1:$A$20000,0),MATCH("Volume",'Semrush Data'!$A$1:$Z$1,0)),"")</f>
        <v/>
      </c>
      <c r="H3554" s="7" t="str">
        <f aca="false">IFERROR(INDEX('Semrush Data'!$A$1:$Z$20000,MATCH(A3554,'Semrush Data'!$A$1:$A$20000,0),MATCH("Keyword Difficulty*",'Semrush Data'!$A$1:$Z$1,0)),"")</f>
        <v/>
      </c>
      <c r="I3554" s="13" t="str">
        <f aca="false">IFERROR(INDEX('Semrush Data'!$A$1:$Z$20000,MATCH(A3554,'Semrush Data'!$A$1:$A$20000,0),MATCH("CPC*",'Semrush Data'!$A$1:$Z$1,0)),"")</f>
        <v/>
      </c>
      <c r="J3554" s="7" t="str">
        <f aca="false">IFERROR(INDEX('Semrush Data'!$A$1:$Z$20000,MATCH(A3554,'Semrush Data'!$A$1:$A$20000,0),MATCH("Intent",'Semrush Data'!$A$1:$Z$1,0)),"")</f>
        <v/>
      </c>
    </row>
    <row r="3555" customFormat="false" ht="15" hidden="false" customHeight="true" outlineLevel="0" collapsed="false">
      <c r="A3555" s="7" t="s">
        <v>5180</v>
      </c>
      <c r="B3555" s="7" t="s">
        <v>1356</v>
      </c>
      <c r="C3555" s="7" t="n">
        <v>3</v>
      </c>
      <c r="D3555" s="7" t="n">
        <v>36</v>
      </c>
      <c r="E3555" s="7" t="n">
        <v>3</v>
      </c>
      <c r="F3555" s="7" t="s">
        <v>6584</v>
      </c>
      <c r="G3555" s="12" t="str">
        <f aca="false">IFERROR(INDEX('Semrush Data'!$A$1:$Z$20000,MATCH(A3555,'Semrush Data'!$A$1:$A$20000,0),MATCH("Volume",'Semrush Data'!$A$1:$Z$1,0)),"")</f>
        <v/>
      </c>
      <c r="H3555" s="7" t="str">
        <f aca="false">IFERROR(INDEX('Semrush Data'!$A$1:$Z$20000,MATCH(A3555,'Semrush Data'!$A$1:$A$20000,0),MATCH("Keyword Difficulty*",'Semrush Data'!$A$1:$Z$1,0)),"")</f>
        <v/>
      </c>
      <c r="I3555" s="13" t="str">
        <f aca="false">IFERROR(INDEX('Semrush Data'!$A$1:$Z$20000,MATCH(A3555,'Semrush Data'!$A$1:$A$20000,0),MATCH("CPC*",'Semrush Data'!$A$1:$Z$1,0)),"")</f>
        <v/>
      </c>
      <c r="J3555" s="7" t="str">
        <f aca="false">IFERROR(INDEX('Semrush Data'!$A$1:$Z$20000,MATCH(A3555,'Semrush Data'!$A$1:$A$20000,0),MATCH("Intent",'Semrush Data'!$A$1:$Z$1,0)),"")</f>
        <v/>
      </c>
    </row>
    <row r="3556" customFormat="false" ht="15" hidden="false" customHeight="true" outlineLevel="0" collapsed="false">
      <c r="A3556" s="7" t="s">
        <v>5196</v>
      </c>
      <c r="B3556" s="7" t="s">
        <v>1356</v>
      </c>
      <c r="C3556" s="7" t="n">
        <v>3</v>
      </c>
      <c r="D3556" s="7" t="n">
        <v>36</v>
      </c>
      <c r="E3556" s="7" t="n">
        <v>1</v>
      </c>
      <c r="F3556" s="7" t="s">
        <v>5190</v>
      </c>
      <c r="G3556" s="12" t="str">
        <f aca="false">IFERROR(INDEX('Semrush Data'!$A$1:$Z$20000,MATCH(A3556,'Semrush Data'!$A$1:$A$20000,0),MATCH("Volume",'Semrush Data'!$A$1:$Z$1,0)),"")</f>
        <v/>
      </c>
      <c r="H3556" s="7" t="str">
        <f aca="false">IFERROR(INDEX('Semrush Data'!$A$1:$Z$20000,MATCH(A3556,'Semrush Data'!$A$1:$A$20000,0),MATCH("Keyword Difficulty*",'Semrush Data'!$A$1:$Z$1,0)),"")</f>
        <v/>
      </c>
      <c r="I3556" s="13" t="str">
        <f aca="false">IFERROR(INDEX('Semrush Data'!$A$1:$Z$20000,MATCH(A3556,'Semrush Data'!$A$1:$A$20000,0),MATCH("CPC*",'Semrush Data'!$A$1:$Z$1,0)),"")</f>
        <v/>
      </c>
      <c r="J3556" s="7" t="str">
        <f aca="false">IFERROR(INDEX('Semrush Data'!$A$1:$Z$20000,MATCH(A3556,'Semrush Data'!$A$1:$A$20000,0),MATCH("Intent",'Semrush Data'!$A$1:$Z$1,0)),"")</f>
        <v/>
      </c>
    </row>
    <row r="3557" customFormat="false" ht="15" hidden="false" customHeight="true" outlineLevel="0" collapsed="false">
      <c r="A3557" s="7" t="s">
        <v>5209</v>
      </c>
      <c r="B3557" s="7" t="s">
        <v>1356</v>
      </c>
      <c r="C3557" s="7" t="n">
        <v>3</v>
      </c>
      <c r="D3557" s="7" t="n">
        <v>36</v>
      </c>
      <c r="E3557" s="7" t="n">
        <v>1</v>
      </c>
      <c r="F3557" s="7" t="s">
        <v>5203</v>
      </c>
      <c r="G3557" s="12" t="str">
        <f aca="false">IFERROR(INDEX('Semrush Data'!$A$1:$Z$20000,MATCH(A3557,'Semrush Data'!$A$1:$A$20000,0),MATCH("Volume",'Semrush Data'!$A$1:$Z$1,0)),"")</f>
        <v/>
      </c>
      <c r="H3557" s="7" t="str">
        <f aca="false">IFERROR(INDEX('Semrush Data'!$A$1:$Z$20000,MATCH(A3557,'Semrush Data'!$A$1:$A$20000,0),MATCH("Keyword Difficulty*",'Semrush Data'!$A$1:$Z$1,0)),"")</f>
        <v/>
      </c>
      <c r="I3557" s="13" t="str">
        <f aca="false">IFERROR(INDEX('Semrush Data'!$A$1:$Z$20000,MATCH(A3557,'Semrush Data'!$A$1:$A$20000,0),MATCH("CPC*",'Semrush Data'!$A$1:$Z$1,0)),"")</f>
        <v/>
      </c>
      <c r="J3557" s="7" t="str">
        <f aca="false">IFERROR(INDEX('Semrush Data'!$A$1:$Z$20000,MATCH(A3557,'Semrush Data'!$A$1:$A$20000,0),MATCH("Intent",'Semrush Data'!$A$1:$Z$1,0)),"")</f>
        <v/>
      </c>
    </row>
    <row r="3558" customFormat="false" ht="15" hidden="false" customHeight="true" outlineLevel="0" collapsed="false">
      <c r="A3558" s="7" t="s">
        <v>5222</v>
      </c>
      <c r="B3558" s="7" t="s">
        <v>1356</v>
      </c>
      <c r="C3558" s="7" t="n">
        <v>3</v>
      </c>
      <c r="D3558" s="7" t="n">
        <v>36</v>
      </c>
      <c r="E3558" s="7" t="n">
        <v>1</v>
      </c>
      <c r="F3558" s="7" t="s">
        <v>5216</v>
      </c>
      <c r="G3558" s="12" t="str">
        <f aca="false">IFERROR(INDEX('Semrush Data'!$A$1:$Z$20000,MATCH(A3558,'Semrush Data'!$A$1:$A$20000,0),MATCH("Volume",'Semrush Data'!$A$1:$Z$1,0)),"")</f>
        <v/>
      </c>
      <c r="H3558" s="7" t="str">
        <f aca="false">IFERROR(INDEX('Semrush Data'!$A$1:$Z$20000,MATCH(A3558,'Semrush Data'!$A$1:$A$20000,0),MATCH("Keyword Difficulty*",'Semrush Data'!$A$1:$Z$1,0)),"")</f>
        <v/>
      </c>
      <c r="I3558" s="13" t="str">
        <f aca="false">IFERROR(INDEX('Semrush Data'!$A$1:$Z$20000,MATCH(A3558,'Semrush Data'!$A$1:$A$20000,0),MATCH("CPC*",'Semrush Data'!$A$1:$Z$1,0)),"")</f>
        <v/>
      </c>
      <c r="J3558" s="7" t="str">
        <f aca="false">IFERROR(INDEX('Semrush Data'!$A$1:$Z$20000,MATCH(A3558,'Semrush Data'!$A$1:$A$20000,0),MATCH("Intent",'Semrush Data'!$A$1:$Z$1,0)),"")</f>
        <v/>
      </c>
    </row>
    <row r="3559" customFormat="false" ht="15" hidden="false" customHeight="true" outlineLevel="0" collapsed="false">
      <c r="A3559" s="7" t="s">
        <v>5924</v>
      </c>
      <c r="B3559" s="7" t="s">
        <v>1356</v>
      </c>
      <c r="C3559" s="7" t="n">
        <v>3</v>
      </c>
      <c r="D3559" s="7" t="n">
        <v>36</v>
      </c>
      <c r="E3559" s="7" t="n">
        <v>1</v>
      </c>
      <c r="F3559" s="7" t="s">
        <v>5919</v>
      </c>
      <c r="G3559" s="12" t="str">
        <f aca="false">IFERROR(INDEX('Semrush Data'!$A$1:$Z$20000,MATCH(A3559,'Semrush Data'!$A$1:$A$20000,0),MATCH("Volume",'Semrush Data'!$A$1:$Z$1,0)),"")</f>
        <v/>
      </c>
      <c r="H3559" s="7" t="str">
        <f aca="false">IFERROR(INDEX('Semrush Data'!$A$1:$Z$20000,MATCH(A3559,'Semrush Data'!$A$1:$A$20000,0),MATCH("Keyword Difficulty*",'Semrush Data'!$A$1:$Z$1,0)),"")</f>
        <v/>
      </c>
      <c r="I3559" s="13" t="str">
        <f aca="false">IFERROR(INDEX('Semrush Data'!$A$1:$Z$20000,MATCH(A3559,'Semrush Data'!$A$1:$A$20000,0),MATCH("CPC*",'Semrush Data'!$A$1:$Z$1,0)),"")</f>
        <v/>
      </c>
      <c r="J3559" s="7" t="str">
        <f aca="false">IFERROR(INDEX('Semrush Data'!$A$1:$Z$20000,MATCH(A3559,'Semrush Data'!$A$1:$A$20000,0),MATCH("Intent",'Semrush Data'!$A$1:$Z$1,0)),"")</f>
        <v/>
      </c>
    </row>
    <row r="3560" customFormat="false" ht="15" hidden="false" customHeight="true" outlineLevel="0" collapsed="false">
      <c r="A3560" s="7" t="s">
        <v>5234</v>
      </c>
      <c r="B3560" s="7" t="s">
        <v>1356</v>
      </c>
      <c r="C3560" s="7" t="n">
        <v>3</v>
      </c>
      <c r="D3560" s="7" t="n">
        <v>36</v>
      </c>
      <c r="E3560" s="7" t="n">
        <v>1</v>
      </c>
      <c r="F3560" s="7" t="s">
        <v>5228</v>
      </c>
      <c r="G3560" s="12" t="str">
        <f aca="false">IFERROR(INDEX('Semrush Data'!$A$1:$Z$20000,MATCH(A3560,'Semrush Data'!$A$1:$A$20000,0),MATCH("Volume",'Semrush Data'!$A$1:$Z$1,0)),"")</f>
        <v/>
      </c>
      <c r="H3560" s="7" t="str">
        <f aca="false">IFERROR(INDEX('Semrush Data'!$A$1:$Z$20000,MATCH(A3560,'Semrush Data'!$A$1:$A$20000,0),MATCH("Keyword Difficulty*",'Semrush Data'!$A$1:$Z$1,0)),"")</f>
        <v/>
      </c>
      <c r="I3560" s="13" t="str">
        <f aca="false">IFERROR(INDEX('Semrush Data'!$A$1:$Z$20000,MATCH(A3560,'Semrush Data'!$A$1:$A$20000,0),MATCH("CPC*",'Semrush Data'!$A$1:$Z$1,0)),"")</f>
        <v/>
      </c>
      <c r="J3560" s="7" t="str">
        <f aca="false">IFERROR(INDEX('Semrush Data'!$A$1:$Z$20000,MATCH(A3560,'Semrush Data'!$A$1:$A$20000,0),MATCH("Intent",'Semrush Data'!$A$1:$Z$1,0)),"")</f>
        <v/>
      </c>
    </row>
    <row r="3561" customFormat="false" ht="15" hidden="false" customHeight="true" outlineLevel="0" collapsed="false">
      <c r="A3561" s="7" t="s">
        <v>5269</v>
      </c>
      <c r="B3561" s="7" t="s">
        <v>1356</v>
      </c>
      <c r="C3561" s="7" t="n">
        <v>3</v>
      </c>
      <c r="D3561" s="7" t="n">
        <v>36</v>
      </c>
      <c r="E3561" s="7" t="n">
        <v>1</v>
      </c>
      <c r="F3561" s="7" t="s">
        <v>5264</v>
      </c>
      <c r="G3561" s="12" t="str">
        <f aca="false">IFERROR(INDEX('Semrush Data'!$A$1:$Z$20000,MATCH(A3561,'Semrush Data'!$A$1:$A$20000,0),MATCH("Volume",'Semrush Data'!$A$1:$Z$1,0)),"")</f>
        <v/>
      </c>
      <c r="H3561" s="7" t="str">
        <f aca="false">IFERROR(INDEX('Semrush Data'!$A$1:$Z$20000,MATCH(A3561,'Semrush Data'!$A$1:$A$20000,0),MATCH("Keyword Difficulty*",'Semrush Data'!$A$1:$Z$1,0)),"")</f>
        <v/>
      </c>
      <c r="I3561" s="13" t="str">
        <f aca="false">IFERROR(INDEX('Semrush Data'!$A$1:$Z$20000,MATCH(A3561,'Semrush Data'!$A$1:$A$20000,0),MATCH("CPC*",'Semrush Data'!$A$1:$Z$1,0)),"")</f>
        <v/>
      </c>
      <c r="J3561" s="7" t="str">
        <f aca="false">IFERROR(INDEX('Semrush Data'!$A$1:$Z$20000,MATCH(A3561,'Semrush Data'!$A$1:$A$20000,0),MATCH("Intent",'Semrush Data'!$A$1:$Z$1,0)),"")</f>
        <v/>
      </c>
    </row>
    <row r="3562" customFormat="false" ht="15" hidden="false" customHeight="true" outlineLevel="0" collapsed="false">
      <c r="A3562" s="7" t="s">
        <v>5292</v>
      </c>
      <c r="B3562" s="7" t="s">
        <v>1356</v>
      </c>
      <c r="C3562" s="7" t="n">
        <v>3</v>
      </c>
      <c r="D3562" s="7" t="n">
        <v>36</v>
      </c>
      <c r="E3562" s="7" t="n">
        <v>1</v>
      </c>
      <c r="F3562" s="7" t="s">
        <v>5286</v>
      </c>
      <c r="G3562" s="12" t="str">
        <f aca="false">IFERROR(INDEX('Semrush Data'!$A$1:$Z$20000,MATCH(A3562,'Semrush Data'!$A$1:$A$20000,0),MATCH("Volume",'Semrush Data'!$A$1:$Z$1,0)),"")</f>
        <v/>
      </c>
      <c r="H3562" s="7" t="str">
        <f aca="false">IFERROR(INDEX('Semrush Data'!$A$1:$Z$20000,MATCH(A3562,'Semrush Data'!$A$1:$A$20000,0),MATCH("Keyword Difficulty*",'Semrush Data'!$A$1:$Z$1,0)),"")</f>
        <v/>
      </c>
      <c r="I3562" s="13" t="str">
        <f aca="false">IFERROR(INDEX('Semrush Data'!$A$1:$Z$20000,MATCH(A3562,'Semrush Data'!$A$1:$A$20000,0),MATCH("CPC*",'Semrush Data'!$A$1:$Z$1,0)),"")</f>
        <v/>
      </c>
      <c r="J3562" s="7" t="str">
        <f aca="false">IFERROR(INDEX('Semrush Data'!$A$1:$Z$20000,MATCH(A3562,'Semrush Data'!$A$1:$A$20000,0),MATCH("Intent",'Semrush Data'!$A$1:$Z$1,0)),"")</f>
        <v/>
      </c>
    </row>
    <row r="3563" customFormat="false" ht="15" hidden="false" customHeight="true" outlineLevel="0" collapsed="false">
      <c r="A3563" s="7" t="s">
        <v>5279</v>
      </c>
      <c r="B3563" s="7" t="s">
        <v>1356</v>
      </c>
      <c r="C3563" s="7" t="n">
        <v>3</v>
      </c>
      <c r="D3563" s="7" t="n">
        <v>36</v>
      </c>
      <c r="E3563" s="7" t="n">
        <v>1</v>
      </c>
      <c r="F3563" s="7" t="s">
        <v>5274</v>
      </c>
      <c r="G3563" s="12" t="str">
        <f aca="false">IFERROR(INDEX('Semrush Data'!$A$1:$Z$20000,MATCH(A3563,'Semrush Data'!$A$1:$A$20000,0),MATCH("Volume",'Semrush Data'!$A$1:$Z$1,0)),"")</f>
        <v/>
      </c>
      <c r="H3563" s="7" t="str">
        <f aca="false">IFERROR(INDEX('Semrush Data'!$A$1:$Z$20000,MATCH(A3563,'Semrush Data'!$A$1:$A$20000,0),MATCH("Keyword Difficulty*",'Semrush Data'!$A$1:$Z$1,0)),"")</f>
        <v/>
      </c>
      <c r="I3563" s="13" t="str">
        <f aca="false">IFERROR(INDEX('Semrush Data'!$A$1:$Z$20000,MATCH(A3563,'Semrush Data'!$A$1:$A$20000,0),MATCH("CPC*",'Semrush Data'!$A$1:$Z$1,0)),"")</f>
        <v/>
      </c>
      <c r="J3563" s="7" t="str">
        <f aca="false">IFERROR(INDEX('Semrush Data'!$A$1:$Z$20000,MATCH(A3563,'Semrush Data'!$A$1:$A$20000,0),MATCH("Intent",'Semrush Data'!$A$1:$Z$1,0)),"")</f>
        <v/>
      </c>
    </row>
    <row r="3564" customFormat="false" ht="15" hidden="false" customHeight="true" outlineLevel="0" collapsed="false">
      <c r="A3564" s="7" t="s">
        <v>5246</v>
      </c>
      <c r="B3564" s="7" t="s">
        <v>1356</v>
      </c>
      <c r="C3564" s="7" t="n">
        <v>3</v>
      </c>
      <c r="D3564" s="7" t="n">
        <v>36</v>
      </c>
      <c r="E3564" s="7" t="n">
        <v>1</v>
      </c>
      <c r="F3564" s="7" t="s">
        <v>5240</v>
      </c>
      <c r="G3564" s="12" t="str">
        <f aca="false">IFERROR(INDEX('Semrush Data'!$A$1:$Z$20000,MATCH(A3564,'Semrush Data'!$A$1:$A$20000,0),MATCH("Volume",'Semrush Data'!$A$1:$Z$1,0)),"")</f>
        <v/>
      </c>
      <c r="H3564" s="7" t="str">
        <f aca="false">IFERROR(INDEX('Semrush Data'!$A$1:$Z$20000,MATCH(A3564,'Semrush Data'!$A$1:$A$20000,0),MATCH("Keyword Difficulty*",'Semrush Data'!$A$1:$Z$1,0)),"")</f>
        <v/>
      </c>
      <c r="I3564" s="13" t="str">
        <f aca="false">IFERROR(INDEX('Semrush Data'!$A$1:$Z$20000,MATCH(A3564,'Semrush Data'!$A$1:$A$20000,0),MATCH("CPC*",'Semrush Data'!$A$1:$Z$1,0)),"")</f>
        <v/>
      </c>
      <c r="J3564" s="7" t="str">
        <f aca="false">IFERROR(INDEX('Semrush Data'!$A$1:$Z$20000,MATCH(A3564,'Semrush Data'!$A$1:$A$20000,0),MATCH("Intent",'Semrush Data'!$A$1:$Z$1,0)),"")</f>
        <v/>
      </c>
    </row>
    <row r="3565" customFormat="false" ht="15" hidden="false" customHeight="true" outlineLevel="0" collapsed="false">
      <c r="A3565" s="7" t="s">
        <v>5258</v>
      </c>
      <c r="B3565" s="7" t="s">
        <v>1356</v>
      </c>
      <c r="C3565" s="7" t="n">
        <v>3</v>
      </c>
      <c r="D3565" s="7" t="n">
        <v>36</v>
      </c>
      <c r="E3565" s="7" t="n">
        <v>1</v>
      </c>
      <c r="F3565" s="7" t="s">
        <v>5253</v>
      </c>
      <c r="G3565" s="12" t="str">
        <f aca="false">IFERROR(INDEX('Semrush Data'!$A$1:$Z$20000,MATCH(A3565,'Semrush Data'!$A$1:$A$20000,0),MATCH("Volume",'Semrush Data'!$A$1:$Z$1,0)),"")</f>
        <v/>
      </c>
      <c r="H3565" s="7" t="str">
        <f aca="false">IFERROR(INDEX('Semrush Data'!$A$1:$Z$20000,MATCH(A3565,'Semrush Data'!$A$1:$A$20000,0),MATCH("Keyword Difficulty*",'Semrush Data'!$A$1:$Z$1,0)),"")</f>
        <v/>
      </c>
      <c r="I3565" s="13" t="str">
        <f aca="false">IFERROR(INDEX('Semrush Data'!$A$1:$Z$20000,MATCH(A3565,'Semrush Data'!$A$1:$A$20000,0),MATCH("CPC*",'Semrush Data'!$A$1:$Z$1,0)),"")</f>
        <v/>
      </c>
      <c r="J3565" s="7" t="str">
        <f aca="false">IFERROR(INDEX('Semrush Data'!$A$1:$Z$20000,MATCH(A3565,'Semrush Data'!$A$1:$A$20000,0),MATCH("Intent",'Semrush Data'!$A$1:$Z$1,0)),"")</f>
        <v/>
      </c>
    </row>
    <row r="3566" customFormat="false" ht="15" hidden="false" customHeight="true" outlineLevel="0" collapsed="false">
      <c r="A3566" s="7" t="s">
        <v>5301</v>
      </c>
      <c r="B3566" s="7" t="s">
        <v>1356</v>
      </c>
      <c r="C3566" s="7" t="n">
        <v>3</v>
      </c>
      <c r="D3566" s="7" t="n">
        <v>36</v>
      </c>
      <c r="E3566" s="7" t="n">
        <v>1</v>
      </c>
      <c r="F3566" s="7" t="s">
        <v>5295</v>
      </c>
      <c r="G3566" s="12" t="str">
        <f aca="false">IFERROR(INDEX('Semrush Data'!$A$1:$Z$20000,MATCH(A3566,'Semrush Data'!$A$1:$A$20000,0),MATCH("Volume",'Semrush Data'!$A$1:$Z$1,0)),"")</f>
        <v/>
      </c>
      <c r="H3566" s="7" t="str">
        <f aca="false">IFERROR(INDEX('Semrush Data'!$A$1:$Z$20000,MATCH(A3566,'Semrush Data'!$A$1:$A$20000,0),MATCH("Keyword Difficulty*",'Semrush Data'!$A$1:$Z$1,0)),"")</f>
        <v/>
      </c>
      <c r="I3566" s="13" t="str">
        <f aca="false">IFERROR(INDEX('Semrush Data'!$A$1:$Z$20000,MATCH(A3566,'Semrush Data'!$A$1:$A$20000,0),MATCH("CPC*",'Semrush Data'!$A$1:$Z$1,0)),"")</f>
        <v/>
      </c>
      <c r="J3566" s="7" t="str">
        <f aca="false">IFERROR(INDEX('Semrush Data'!$A$1:$Z$20000,MATCH(A3566,'Semrush Data'!$A$1:$A$20000,0),MATCH("Intent",'Semrush Data'!$A$1:$Z$1,0)),"")</f>
        <v/>
      </c>
    </row>
    <row r="3567" customFormat="false" ht="15" hidden="false" customHeight="true" outlineLevel="0" collapsed="false">
      <c r="A3567" s="7" t="s">
        <v>5313</v>
      </c>
      <c r="B3567" s="7" t="s">
        <v>1356</v>
      </c>
      <c r="C3567" s="7" t="n">
        <v>3</v>
      </c>
      <c r="D3567" s="7" t="n">
        <v>36</v>
      </c>
      <c r="E3567" s="7" t="n">
        <v>1</v>
      </c>
      <c r="F3567" s="7" t="s">
        <v>5308</v>
      </c>
      <c r="G3567" s="12" t="str">
        <f aca="false">IFERROR(INDEX('Semrush Data'!$A$1:$Z$20000,MATCH(A3567,'Semrush Data'!$A$1:$A$20000,0),MATCH("Volume",'Semrush Data'!$A$1:$Z$1,0)),"")</f>
        <v/>
      </c>
      <c r="H3567" s="7" t="str">
        <f aca="false">IFERROR(INDEX('Semrush Data'!$A$1:$Z$20000,MATCH(A3567,'Semrush Data'!$A$1:$A$20000,0),MATCH("Keyword Difficulty*",'Semrush Data'!$A$1:$Z$1,0)),"")</f>
        <v/>
      </c>
      <c r="I3567" s="13" t="str">
        <f aca="false">IFERROR(INDEX('Semrush Data'!$A$1:$Z$20000,MATCH(A3567,'Semrush Data'!$A$1:$A$20000,0),MATCH("CPC*",'Semrush Data'!$A$1:$Z$1,0)),"")</f>
        <v/>
      </c>
      <c r="J3567" s="7" t="str">
        <f aca="false">IFERROR(INDEX('Semrush Data'!$A$1:$Z$20000,MATCH(A3567,'Semrush Data'!$A$1:$A$20000,0),MATCH("Intent",'Semrush Data'!$A$1:$Z$1,0)),"")</f>
        <v/>
      </c>
    </row>
    <row r="3568" customFormat="false" ht="15" hidden="false" customHeight="true" outlineLevel="0" collapsed="false">
      <c r="A3568" s="7" t="s">
        <v>5324</v>
      </c>
      <c r="B3568" s="7" t="s">
        <v>1356</v>
      </c>
      <c r="C3568" s="7" t="n">
        <v>3</v>
      </c>
      <c r="D3568" s="7" t="n">
        <v>36</v>
      </c>
      <c r="E3568" s="7" t="n">
        <v>1</v>
      </c>
      <c r="F3568" s="7" t="s">
        <v>5319</v>
      </c>
      <c r="G3568" s="12" t="str">
        <f aca="false">IFERROR(INDEX('Semrush Data'!$A$1:$Z$20000,MATCH(A3568,'Semrush Data'!$A$1:$A$20000,0),MATCH("Volume",'Semrush Data'!$A$1:$Z$1,0)),"")</f>
        <v/>
      </c>
      <c r="H3568" s="7" t="str">
        <f aca="false">IFERROR(INDEX('Semrush Data'!$A$1:$Z$20000,MATCH(A3568,'Semrush Data'!$A$1:$A$20000,0),MATCH("Keyword Difficulty*",'Semrush Data'!$A$1:$Z$1,0)),"")</f>
        <v/>
      </c>
      <c r="I3568" s="13" t="str">
        <f aca="false">IFERROR(INDEX('Semrush Data'!$A$1:$Z$20000,MATCH(A3568,'Semrush Data'!$A$1:$A$20000,0),MATCH("CPC*",'Semrush Data'!$A$1:$Z$1,0)),"")</f>
        <v/>
      </c>
      <c r="J3568" s="7" t="str">
        <f aca="false">IFERROR(INDEX('Semrush Data'!$A$1:$Z$20000,MATCH(A3568,'Semrush Data'!$A$1:$A$20000,0),MATCH("Intent",'Semrush Data'!$A$1:$Z$1,0)),"")</f>
        <v/>
      </c>
    </row>
    <row r="3569" customFormat="false" ht="15" hidden="false" customHeight="true" outlineLevel="0" collapsed="false">
      <c r="A3569" s="7" t="s">
        <v>5336</v>
      </c>
      <c r="B3569" s="7" t="s">
        <v>1356</v>
      </c>
      <c r="C3569" s="7" t="n">
        <v>3</v>
      </c>
      <c r="D3569" s="7" t="n">
        <v>36</v>
      </c>
      <c r="E3569" s="7" t="n">
        <v>1</v>
      </c>
      <c r="F3569" s="7" t="s">
        <v>5331</v>
      </c>
      <c r="G3569" s="12" t="str">
        <f aca="false">IFERROR(INDEX('Semrush Data'!$A$1:$Z$20000,MATCH(A3569,'Semrush Data'!$A$1:$A$20000,0),MATCH("Volume",'Semrush Data'!$A$1:$Z$1,0)),"")</f>
        <v/>
      </c>
      <c r="H3569" s="7" t="str">
        <f aca="false">IFERROR(INDEX('Semrush Data'!$A$1:$Z$20000,MATCH(A3569,'Semrush Data'!$A$1:$A$20000,0),MATCH("Keyword Difficulty*",'Semrush Data'!$A$1:$Z$1,0)),"")</f>
        <v/>
      </c>
      <c r="I3569" s="13" t="str">
        <f aca="false">IFERROR(INDEX('Semrush Data'!$A$1:$Z$20000,MATCH(A3569,'Semrush Data'!$A$1:$A$20000,0),MATCH("CPC*",'Semrush Data'!$A$1:$Z$1,0)),"")</f>
        <v/>
      </c>
      <c r="J3569" s="7" t="str">
        <f aca="false">IFERROR(INDEX('Semrush Data'!$A$1:$Z$20000,MATCH(A3569,'Semrush Data'!$A$1:$A$20000,0),MATCH("Intent",'Semrush Data'!$A$1:$Z$1,0)),"")</f>
        <v/>
      </c>
    </row>
    <row r="3570" customFormat="false" ht="15" hidden="false" customHeight="true" outlineLevel="0" collapsed="false">
      <c r="A3570" s="7" t="s">
        <v>5345</v>
      </c>
      <c r="B3570" s="7" t="s">
        <v>1356</v>
      </c>
      <c r="C3570" s="7" t="n">
        <v>3</v>
      </c>
      <c r="D3570" s="7" t="n">
        <v>36</v>
      </c>
      <c r="E3570" s="7" t="n">
        <v>1</v>
      </c>
      <c r="F3570" s="7" t="s">
        <v>140</v>
      </c>
      <c r="G3570" s="12" t="str">
        <f aca="false">IFERROR(INDEX('Semrush Data'!$A$1:$Z$20000,MATCH(A3570,'Semrush Data'!$A$1:$A$20000,0),MATCH("Volume",'Semrush Data'!$A$1:$Z$1,0)),"")</f>
        <v/>
      </c>
      <c r="H3570" s="7" t="str">
        <f aca="false">IFERROR(INDEX('Semrush Data'!$A$1:$Z$20000,MATCH(A3570,'Semrush Data'!$A$1:$A$20000,0),MATCH("Keyword Difficulty*",'Semrush Data'!$A$1:$Z$1,0)),"")</f>
        <v/>
      </c>
      <c r="I3570" s="13" t="str">
        <f aca="false">IFERROR(INDEX('Semrush Data'!$A$1:$Z$20000,MATCH(A3570,'Semrush Data'!$A$1:$A$20000,0),MATCH("CPC*",'Semrush Data'!$A$1:$Z$1,0)),"")</f>
        <v/>
      </c>
      <c r="J3570" s="7" t="str">
        <f aca="false">IFERROR(INDEX('Semrush Data'!$A$1:$Z$20000,MATCH(A3570,'Semrush Data'!$A$1:$A$20000,0),MATCH("Intent",'Semrush Data'!$A$1:$Z$1,0)),"")</f>
        <v/>
      </c>
    </row>
    <row r="3571" customFormat="false" ht="15" hidden="false" customHeight="true" outlineLevel="0" collapsed="false">
      <c r="A3571" s="7" t="s">
        <v>5357</v>
      </c>
      <c r="B3571" s="7" t="s">
        <v>1356</v>
      </c>
      <c r="C3571" s="7" t="n">
        <v>3</v>
      </c>
      <c r="D3571" s="7" t="n">
        <v>36</v>
      </c>
      <c r="E3571" s="7" t="n">
        <v>1</v>
      </c>
      <c r="F3571" s="7" t="s">
        <v>5352</v>
      </c>
      <c r="G3571" s="12" t="str">
        <f aca="false">IFERROR(INDEX('Semrush Data'!$A$1:$Z$20000,MATCH(A3571,'Semrush Data'!$A$1:$A$20000,0),MATCH("Volume",'Semrush Data'!$A$1:$Z$1,0)),"")</f>
        <v/>
      </c>
      <c r="H3571" s="7" t="str">
        <f aca="false">IFERROR(INDEX('Semrush Data'!$A$1:$Z$20000,MATCH(A3571,'Semrush Data'!$A$1:$A$20000,0),MATCH("Keyword Difficulty*",'Semrush Data'!$A$1:$Z$1,0)),"")</f>
        <v/>
      </c>
      <c r="I3571" s="13" t="str">
        <f aca="false">IFERROR(INDEX('Semrush Data'!$A$1:$Z$20000,MATCH(A3571,'Semrush Data'!$A$1:$A$20000,0),MATCH("CPC*",'Semrush Data'!$A$1:$Z$1,0)),"")</f>
        <v/>
      </c>
      <c r="J3571" s="7" t="str">
        <f aca="false">IFERROR(INDEX('Semrush Data'!$A$1:$Z$20000,MATCH(A3571,'Semrush Data'!$A$1:$A$20000,0),MATCH("Intent",'Semrush Data'!$A$1:$Z$1,0)),"")</f>
        <v/>
      </c>
    </row>
    <row r="3572" customFormat="false" ht="15" hidden="false" customHeight="true" outlineLevel="0" collapsed="false">
      <c r="A3572" s="7" t="s">
        <v>4409</v>
      </c>
      <c r="B3572" s="7" t="s">
        <v>1356</v>
      </c>
      <c r="C3572" s="7" t="n">
        <v>3</v>
      </c>
      <c r="D3572" s="7" t="n">
        <v>36</v>
      </c>
      <c r="E3572" s="7" t="n">
        <v>1</v>
      </c>
      <c r="F3572" s="7" t="s">
        <v>4404</v>
      </c>
      <c r="G3572" s="12" t="str">
        <f aca="false">IFERROR(INDEX('Semrush Data'!$A$1:$Z$20000,MATCH(A3572,'Semrush Data'!$A$1:$A$20000,0),MATCH("Volume",'Semrush Data'!$A$1:$Z$1,0)),"")</f>
        <v/>
      </c>
      <c r="H3572" s="7" t="str">
        <f aca="false">IFERROR(INDEX('Semrush Data'!$A$1:$Z$20000,MATCH(A3572,'Semrush Data'!$A$1:$A$20000,0),MATCH("Keyword Difficulty*",'Semrush Data'!$A$1:$Z$1,0)),"")</f>
        <v/>
      </c>
      <c r="I3572" s="13" t="str">
        <f aca="false">IFERROR(INDEX('Semrush Data'!$A$1:$Z$20000,MATCH(A3572,'Semrush Data'!$A$1:$A$20000,0),MATCH("CPC*",'Semrush Data'!$A$1:$Z$1,0)),"")</f>
        <v/>
      </c>
      <c r="J3572" s="7" t="str">
        <f aca="false">IFERROR(INDEX('Semrush Data'!$A$1:$Z$20000,MATCH(A3572,'Semrush Data'!$A$1:$A$20000,0),MATCH("Intent",'Semrush Data'!$A$1:$Z$1,0)),"")</f>
        <v/>
      </c>
    </row>
    <row r="3573" customFormat="false" ht="15" hidden="false" customHeight="true" outlineLevel="0" collapsed="false">
      <c r="A3573" s="7" t="s">
        <v>4419</v>
      </c>
      <c r="B3573" s="7" t="s">
        <v>1356</v>
      </c>
      <c r="C3573" s="7" t="n">
        <v>3</v>
      </c>
      <c r="D3573" s="7" t="n">
        <v>36</v>
      </c>
      <c r="E3573" s="7" t="n">
        <v>1</v>
      </c>
      <c r="F3573" s="7" t="s">
        <v>4414</v>
      </c>
      <c r="G3573" s="12" t="str">
        <f aca="false">IFERROR(INDEX('Semrush Data'!$A$1:$Z$20000,MATCH(A3573,'Semrush Data'!$A$1:$A$20000,0),MATCH("Volume",'Semrush Data'!$A$1:$Z$1,0)),"")</f>
        <v/>
      </c>
      <c r="H3573" s="7" t="str">
        <f aca="false">IFERROR(INDEX('Semrush Data'!$A$1:$Z$20000,MATCH(A3573,'Semrush Data'!$A$1:$A$20000,0),MATCH("Keyword Difficulty*",'Semrush Data'!$A$1:$Z$1,0)),"")</f>
        <v/>
      </c>
      <c r="I3573" s="13" t="str">
        <f aca="false">IFERROR(INDEX('Semrush Data'!$A$1:$Z$20000,MATCH(A3573,'Semrush Data'!$A$1:$A$20000,0),MATCH("CPC*",'Semrush Data'!$A$1:$Z$1,0)),"")</f>
        <v/>
      </c>
      <c r="J3573" s="7" t="str">
        <f aca="false">IFERROR(INDEX('Semrush Data'!$A$1:$Z$20000,MATCH(A3573,'Semrush Data'!$A$1:$A$20000,0),MATCH("Intent",'Semrush Data'!$A$1:$Z$1,0)),"")</f>
        <v/>
      </c>
    </row>
    <row r="3574" customFormat="false" ht="15" hidden="false" customHeight="true" outlineLevel="0" collapsed="false">
      <c r="A3574" s="7" t="s">
        <v>4430</v>
      </c>
      <c r="B3574" s="7" t="s">
        <v>1356</v>
      </c>
      <c r="C3574" s="7" t="n">
        <v>3</v>
      </c>
      <c r="D3574" s="7" t="n">
        <v>36</v>
      </c>
      <c r="E3574" s="7" t="n">
        <v>1</v>
      </c>
      <c r="F3574" s="7" t="s">
        <v>4425</v>
      </c>
      <c r="G3574" s="12" t="str">
        <f aca="false">IFERROR(INDEX('Semrush Data'!$A$1:$Z$20000,MATCH(A3574,'Semrush Data'!$A$1:$A$20000,0),MATCH("Volume",'Semrush Data'!$A$1:$Z$1,0)),"")</f>
        <v/>
      </c>
      <c r="H3574" s="7" t="str">
        <f aca="false">IFERROR(INDEX('Semrush Data'!$A$1:$Z$20000,MATCH(A3574,'Semrush Data'!$A$1:$A$20000,0),MATCH("Keyword Difficulty*",'Semrush Data'!$A$1:$Z$1,0)),"")</f>
        <v/>
      </c>
      <c r="I3574" s="13" t="str">
        <f aca="false">IFERROR(INDEX('Semrush Data'!$A$1:$Z$20000,MATCH(A3574,'Semrush Data'!$A$1:$A$20000,0),MATCH("CPC*",'Semrush Data'!$A$1:$Z$1,0)),"")</f>
        <v/>
      </c>
      <c r="J3574" s="7" t="str">
        <f aca="false">IFERROR(INDEX('Semrush Data'!$A$1:$Z$20000,MATCH(A3574,'Semrush Data'!$A$1:$A$20000,0),MATCH("Intent",'Semrush Data'!$A$1:$Z$1,0)),"")</f>
        <v/>
      </c>
    </row>
    <row r="3575" customFormat="false" ht="15" hidden="false" customHeight="true" outlineLevel="0" collapsed="false">
      <c r="A3575" s="7" t="s">
        <v>4440</v>
      </c>
      <c r="B3575" s="7" t="s">
        <v>1356</v>
      </c>
      <c r="C3575" s="7" t="n">
        <v>3</v>
      </c>
      <c r="D3575" s="7" t="n">
        <v>36</v>
      </c>
      <c r="E3575" s="7" t="n">
        <v>1</v>
      </c>
      <c r="F3575" s="7" t="s">
        <v>4435</v>
      </c>
      <c r="G3575" s="12" t="str">
        <f aca="false">IFERROR(INDEX('Semrush Data'!$A$1:$Z$20000,MATCH(A3575,'Semrush Data'!$A$1:$A$20000,0),MATCH("Volume",'Semrush Data'!$A$1:$Z$1,0)),"")</f>
        <v/>
      </c>
      <c r="H3575" s="7" t="str">
        <f aca="false">IFERROR(INDEX('Semrush Data'!$A$1:$Z$20000,MATCH(A3575,'Semrush Data'!$A$1:$A$20000,0),MATCH("Keyword Difficulty*",'Semrush Data'!$A$1:$Z$1,0)),"")</f>
        <v/>
      </c>
      <c r="I3575" s="13" t="str">
        <f aca="false">IFERROR(INDEX('Semrush Data'!$A$1:$Z$20000,MATCH(A3575,'Semrush Data'!$A$1:$A$20000,0),MATCH("CPC*",'Semrush Data'!$A$1:$Z$1,0)),"")</f>
        <v/>
      </c>
      <c r="J3575" s="7" t="str">
        <f aca="false">IFERROR(INDEX('Semrush Data'!$A$1:$Z$20000,MATCH(A3575,'Semrush Data'!$A$1:$A$20000,0),MATCH("Intent",'Semrush Data'!$A$1:$Z$1,0)),"")</f>
        <v/>
      </c>
    </row>
    <row r="3576" customFormat="false" ht="15" hidden="false" customHeight="true" outlineLevel="0" collapsed="false">
      <c r="A3576" s="7" t="s">
        <v>4450</v>
      </c>
      <c r="B3576" s="7" t="s">
        <v>1356</v>
      </c>
      <c r="C3576" s="7" t="n">
        <v>3</v>
      </c>
      <c r="D3576" s="7" t="n">
        <v>36</v>
      </c>
      <c r="E3576" s="7" t="n">
        <v>1</v>
      </c>
      <c r="F3576" s="7" t="s">
        <v>4445</v>
      </c>
      <c r="G3576" s="12" t="str">
        <f aca="false">IFERROR(INDEX('Semrush Data'!$A$1:$Z$20000,MATCH(A3576,'Semrush Data'!$A$1:$A$20000,0),MATCH("Volume",'Semrush Data'!$A$1:$Z$1,0)),"")</f>
        <v/>
      </c>
      <c r="H3576" s="7" t="str">
        <f aca="false">IFERROR(INDEX('Semrush Data'!$A$1:$Z$20000,MATCH(A3576,'Semrush Data'!$A$1:$A$20000,0),MATCH("Keyword Difficulty*",'Semrush Data'!$A$1:$Z$1,0)),"")</f>
        <v/>
      </c>
      <c r="I3576" s="13" t="str">
        <f aca="false">IFERROR(INDEX('Semrush Data'!$A$1:$Z$20000,MATCH(A3576,'Semrush Data'!$A$1:$A$20000,0),MATCH("CPC*",'Semrush Data'!$A$1:$Z$1,0)),"")</f>
        <v/>
      </c>
      <c r="J3576" s="7" t="str">
        <f aca="false">IFERROR(INDEX('Semrush Data'!$A$1:$Z$20000,MATCH(A3576,'Semrush Data'!$A$1:$A$20000,0),MATCH("Intent",'Semrush Data'!$A$1:$Z$1,0)),"")</f>
        <v/>
      </c>
    </row>
    <row r="3577" customFormat="false" ht="15" hidden="false" customHeight="true" outlineLevel="0" collapsed="false">
      <c r="A3577" s="7" t="s">
        <v>4460</v>
      </c>
      <c r="B3577" s="7" t="s">
        <v>1356</v>
      </c>
      <c r="C3577" s="7" t="n">
        <v>3</v>
      </c>
      <c r="D3577" s="7" t="n">
        <v>36</v>
      </c>
      <c r="E3577" s="7" t="n">
        <v>1</v>
      </c>
      <c r="F3577" s="7" t="s">
        <v>4455</v>
      </c>
      <c r="G3577" s="12" t="str">
        <f aca="false">IFERROR(INDEX('Semrush Data'!$A$1:$Z$20000,MATCH(A3577,'Semrush Data'!$A$1:$A$20000,0),MATCH("Volume",'Semrush Data'!$A$1:$Z$1,0)),"")</f>
        <v/>
      </c>
      <c r="H3577" s="7" t="str">
        <f aca="false">IFERROR(INDEX('Semrush Data'!$A$1:$Z$20000,MATCH(A3577,'Semrush Data'!$A$1:$A$20000,0),MATCH("Keyword Difficulty*",'Semrush Data'!$A$1:$Z$1,0)),"")</f>
        <v/>
      </c>
      <c r="I3577" s="13" t="str">
        <f aca="false">IFERROR(INDEX('Semrush Data'!$A$1:$Z$20000,MATCH(A3577,'Semrush Data'!$A$1:$A$20000,0),MATCH("CPC*",'Semrush Data'!$A$1:$Z$1,0)),"")</f>
        <v/>
      </c>
      <c r="J3577" s="7" t="str">
        <f aca="false">IFERROR(INDEX('Semrush Data'!$A$1:$Z$20000,MATCH(A3577,'Semrush Data'!$A$1:$A$20000,0),MATCH("Intent",'Semrush Data'!$A$1:$Z$1,0)),"")</f>
        <v/>
      </c>
    </row>
    <row r="3578" customFormat="false" ht="15" hidden="false" customHeight="true" outlineLevel="0" collapsed="false">
      <c r="A3578" s="7" t="s">
        <v>4470</v>
      </c>
      <c r="B3578" s="7" t="s">
        <v>1356</v>
      </c>
      <c r="C3578" s="7" t="n">
        <v>3</v>
      </c>
      <c r="D3578" s="7" t="n">
        <v>36</v>
      </c>
      <c r="E3578" s="7" t="n">
        <v>1</v>
      </c>
      <c r="F3578" s="7" t="s">
        <v>4465</v>
      </c>
      <c r="G3578" s="12" t="str">
        <f aca="false">IFERROR(INDEX('Semrush Data'!$A$1:$Z$20000,MATCH(A3578,'Semrush Data'!$A$1:$A$20000,0),MATCH("Volume",'Semrush Data'!$A$1:$Z$1,0)),"")</f>
        <v/>
      </c>
      <c r="H3578" s="7" t="str">
        <f aca="false">IFERROR(INDEX('Semrush Data'!$A$1:$Z$20000,MATCH(A3578,'Semrush Data'!$A$1:$A$20000,0),MATCH("Keyword Difficulty*",'Semrush Data'!$A$1:$Z$1,0)),"")</f>
        <v/>
      </c>
      <c r="I3578" s="13" t="str">
        <f aca="false">IFERROR(INDEX('Semrush Data'!$A$1:$Z$20000,MATCH(A3578,'Semrush Data'!$A$1:$A$20000,0),MATCH("CPC*",'Semrush Data'!$A$1:$Z$1,0)),"")</f>
        <v/>
      </c>
      <c r="J3578" s="7" t="str">
        <f aca="false">IFERROR(INDEX('Semrush Data'!$A$1:$Z$20000,MATCH(A3578,'Semrush Data'!$A$1:$A$20000,0),MATCH("Intent",'Semrush Data'!$A$1:$Z$1,0)),"")</f>
        <v/>
      </c>
    </row>
    <row r="3579" customFormat="false" ht="15" hidden="false" customHeight="true" outlineLevel="0" collapsed="false">
      <c r="A3579" s="7" t="s">
        <v>4481</v>
      </c>
      <c r="B3579" s="7" t="s">
        <v>1356</v>
      </c>
      <c r="C3579" s="7" t="n">
        <v>3</v>
      </c>
      <c r="D3579" s="7" t="n">
        <v>36</v>
      </c>
      <c r="E3579" s="7" t="n">
        <v>1</v>
      </c>
      <c r="F3579" s="7" t="s">
        <v>4476</v>
      </c>
      <c r="G3579" s="12" t="str">
        <f aca="false">IFERROR(INDEX('Semrush Data'!$A$1:$Z$20000,MATCH(A3579,'Semrush Data'!$A$1:$A$20000,0),MATCH("Volume",'Semrush Data'!$A$1:$Z$1,0)),"")</f>
        <v/>
      </c>
      <c r="H3579" s="7" t="str">
        <f aca="false">IFERROR(INDEX('Semrush Data'!$A$1:$Z$20000,MATCH(A3579,'Semrush Data'!$A$1:$A$20000,0),MATCH("Keyword Difficulty*",'Semrush Data'!$A$1:$Z$1,0)),"")</f>
        <v/>
      </c>
      <c r="I3579" s="13" t="str">
        <f aca="false">IFERROR(INDEX('Semrush Data'!$A$1:$Z$20000,MATCH(A3579,'Semrush Data'!$A$1:$A$20000,0),MATCH("CPC*",'Semrush Data'!$A$1:$Z$1,0)),"")</f>
        <v/>
      </c>
      <c r="J3579" s="7" t="str">
        <f aca="false">IFERROR(INDEX('Semrush Data'!$A$1:$Z$20000,MATCH(A3579,'Semrush Data'!$A$1:$A$20000,0),MATCH("Intent",'Semrush Data'!$A$1:$Z$1,0)),"")</f>
        <v/>
      </c>
    </row>
    <row r="3580" customFormat="false" ht="15" hidden="false" customHeight="true" outlineLevel="0" collapsed="false">
      <c r="A3580" s="7" t="s">
        <v>4491</v>
      </c>
      <c r="B3580" s="7" t="s">
        <v>1356</v>
      </c>
      <c r="C3580" s="7" t="n">
        <v>3</v>
      </c>
      <c r="D3580" s="7" t="n">
        <v>36</v>
      </c>
      <c r="E3580" s="7" t="n">
        <v>1</v>
      </c>
      <c r="F3580" s="7" t="s">
        <v>4486</v>
      </c>
      <c r="G3580" s="12" t="str">
        <f aca="false">IFERROR(INDEX('Semrush Data'!$A$1:$Z$20000,MATCH(A3580,'Semrush Data'!$A$1:$A$20000,0),MATCH("Volume",'Semrush Data'!$A$1:$Z$1,0)),"")</f>
        <v/>
      </c>
      <c r="H3580" s="7" t="str">
        <f aca="false">IFERROR(INDEX('Semrush Data'!$A$1:$Z$20000,MATCH(A3580,'Semrush Data'!$A$1:$A$20000,0),MATCH("Keyword Difficulty*",'Semrush Data'!$A$1:$Z$1,0)),"")</f>
        <v/>
      </c>
      <c r="I3580" s="13" t="str">
        <f aca="false">IFERROR(INDEX('Semrush Data'!$A$1:$Z$20000,MATCH(A3580,'Semrush Data'!$A$1:$A$20000,0),MATCH("CPC*",'Semrush Data'!$A$1:$Z$1,0)),"")</f>
        <v/>
      </c>
      <c r="J3580" s="7" t="str">
        <f aca="false">IFERROR(INDEX('Semrush Data'!$A$1:$Z$20000,MATCH(A3580,'Semrush Data'!$A$1:$A$20000,0),MATCH("Intent",'Semrush Data'!$A$1:$Z$1,0)),"")</f>
        <v/>
      </c>
    </row>
    <row r="3581" customFormat="false" ht="15" hidden="false" customHeight="true" outlineLevel="0" collapsed="false">
      <c r="A3581" s="7" t="s">
        <v>4501</v>
      </c>
      <c r="B3581" s="7" t="s">
        <v>1356</v>
      </c>
      <c r="C3581" s="7" t="n">
        <v>3</v>
      </c>
      <c r="D3581" s="7" t="n">
        <v>36</v>
      </c>
      <c r="E3581" s="7" t="n">
        <v>1</v>
      </c>
      <c r="F3581" s="7" t="s">
        <v>4496</v>
      </c>
      <c r="G3581" s="12" t="str">
        <f aca="false">IFERROR(INDEX('Semrush Data'!$A$1:$Z$20000,MATCH(A3581,'Semrush Data'!$A$1:$A$20000,0),MATCH("Volume",'Semrush Data'!$A$1:$Z$1,0)),"")</f>
        <v/>
      </c>
      <c r="H3581" s="7" t="str">
        <f aca="false">IFERROR(INDEX('Semrush Data'!$A$1:$Z$20000,MATCH(A3581,'Semrush Data'!$A$1:$A$20000,0),MATCH("Keyword Difficulty*",'Semrush Data'!$A$1:$Z$1,0)),"")</f>
        <v/>
      </c>
      <c r="I3581" s="13" t="str">
        <f aca="false">IFERROR(INDEX('Semrush Data'!$A$1:$Z$20000,MATCH(A3581,'Semrush Data'!$A$1:$A$20000,0),MATCH("CPC*",'Semrush Data'!$A$1:$Z$1,0)),"")</f>
        <v/>
      </c>
      <c r="J3581" s="7" t="str">
        <f aca="false">IFERROR(INDEX('Semrush Data'!$A$1:$Z$20000,MATCH(A3581,'Semrush Data'!$A$1:$A$20000,0),MATCH("Intent",'Semrush Data'!$A$1:$Z$1,0)),"")</f>
        <v/>
      </c>
    </row>
    <row r="3582" customFormat="false" ht="15" hidden="false" customHeight="true" outlineLevel="0" collapsed="false">
      <c r="A3582" s="7" t="s">
        <v>4511</v>
      </c>
      <c r="B3582" s="7" t="s">
        <v>1356</v>
      </c>
      <c r="C3582" s="7" t="n">
        <v>3</v>
      </c>
      <c r="D3582" s="7" t="n">
        <v>36</v>
      </c>
      <c r="E3582" s="7" t="n">
        <v>1</v>
      </c>
      <c r="F3582" s="7" t="s">
        <v>4506</v>
      </c>
      <c r="G3582" s="12" t="str">
        <f aca="false">IFERROR(INDEX('Semrush Data'!$A$1:$Z$20000,MATCH(A3582,'Semrush Data'!$A$1:$A$20000,0),MATCH("Volume",'Semrush Data'!$A$1:$Z$1,0)),"")</f>
        <v/>
      </c>
      <c r="H3582" s="7" t="str">
        <f aca="false">IFERROR(INDEX('Semrush Data'!$A$1:$Z$20000,MATCH(A3582,'Semrush Data'!$A$1:$A$20000,0),MATCH("Keyword Difficulty*",'Semrush Data'!$A$1:$Z$1,0)),"")</f>
        <v/>
      </c>
      <c r="I3582" s="13" t="str">
        <f aca="false">IFERROR(INDEX('Semrush Data'!$A$1:$Z$20000,MATCH(A3582,'Semrush Data'!$A$1:$A$20000,0),MATCH("CPC*",'Semrush Data'!$A$1:$Z$1,0)),"")</f>
        <v/>
      </c>
      <c r="J3582" s="7" t="str">
        <f aca="false">IFERROR(INDEX('Semrush Data'!$A$1:$Z$20000,MATCH(A3582,'Semrush Data'!$A$1:$A$20000,0),MATCH("Intent",'Semrush Data'!$A$1:$Z$1,0)),"")</f>
        <v/>
      </c>
    </row>
    <row r="3583" customFormat="false" ht="15" hidden="false" customHeight="true" outlineLevel="0" collapsed="false">
      <c r="A3583" s="7" t="s">
        <v>4521</v>
      </c>
      <c r="B3583" s="7" t="s">
        <v>1356</v>
      </c>
      <c r="C3583" s="7" t="n">
        <v>3</v>
      </c>
      <c r="D3583" s="7" t="n">
        <v>36</v>
      </c>
      <c r="E3583" s="7" t="n">
        <v>1</v>
      </c>
      <c r="F3583" s="7" t="s">
        <v>4516</v>
      </c>
      <c r="G3583" s="12" t="str">
        <f aca="false">IFERROR(INDEX('Semrush Data'!$A$1:$Z$20000,MATCH(A3583,'Semrush Data'!$A$1:$A$20000,0),MATCH("Volume",'Semrush Data'!$A$1:$Z$1,0)),"")</f>
        <v/>
      </c>
      <c r="H3583" s="7" t="str">
        <f aca="false">IFERROR(INDEX('Semrush Data'!$A$1:$Z$20000,MATCH(A3583,'Semrush Data'!$A$1:$A$20000,0),MATCH("Keyword Difficulty*",'Semrush Data'!$A$1:$Z$1,0)),"")</f>
        <v/>
      </c>
      <c r="I3583" s="13" t="str">
        <f aca="false">IFERROR(INDEX('Semrush Data'!$A$1:$Z$20000,MATCH(A3583,'Semrush Data'!$A$1:$A$20000,0),MATCH("CPC*",'Semrush Data'!$A$1:$Z$1,0)),"")</f>
        <v/>
      </c>
      <c r="J3583" s="7" t="str">
        <f aca="false">IFERROR(INDEX('Semrush Data'!$A$1:$Z$20000,MATCH(A3583,'Semrush Data'!$A$1:$A$20000,0),MATCH("Intent",'Semrush Data'!$A$1:$Z$1,0)),"")</f>
        <v/>
      </c>
    </row>
    <row r="3584" customFormat="false" ht="15" hidden="false" customHeight="true" outlineLevel="0" collapsed="false">
      <c r="A3584" s="7" t="s">
        <v>4531</v>
      </c>
      <c r="B3584" s="7" t="s">
        <v>1356</v>
      </c>
      <c r="C3584" s="7" t="n">
        <v>3</v>
      </c>
      <c r="D3584" s="7" t="n">
        <v>36</v>
      </c>
      <c r="E3584" s="7" t="n">
        <v>1</v>
      </c>
      <c r="F3584" s="7" t="s">
        <v>4526</v>
      </c>
      <c r="G3584" s="12" t="str">
        <f aca="false">IFERROR(INDEX('Semrush Data'!$A$1:$Z$20000,MATCH(A3584,'Semrush Data'!$A$1:$A$20000,0),MATCH("Volume",'Semrush Data'!$A$1:$Z$1,0)),"")</f>
        <v/>
      </c>
      <c r="H3584" s="7" t="str">
        <f aca="false">IFERROR(INDEX('Semrush Data'!$A$1:$Z$20000,MATCH(A3584,'Semrush Data'!$A$1:$A$20000,0),MATCH("Keyword Difficulty*",'Semrush Data'!$A$1:$Z$1,0)),"")</f>
        <v/>
      </c>
      <c r="I3584" s="13" t="str">
        <f aca="false">IFERROR(INDEX('Semrush Data'!$A$1:$Z$20000,MATCH(A3584,'Semrush Data'!$A$1:$A$20000,0),MATCH("CPC*",'Semrush Data'!$A$1:$Z$1,0)),"")</f>
        <v/>
      </c>
      <c r="J3584" s="7" t="str">
        <f aca="false">IFERROR(INDEX('Semrush Data'!$A$1:$Z$20000,MATCH(A3584,'Semrush Data'!$A$1:$A$20000,0),MATCH("Intent",'Semrush Data'!$A$1:$Z$1,0)),"")</f>
        <v/>
      </c>
    </row>
    <row r="3585" customFormat="false" ht="15" hidden="false" customHeight="true" outlineLevel="0" collapsed="false">
      <c r="A3585" s="7" t="s">
        <v>4541</v>
      </c>
      <c r="B3585" s="7" t="s">
        <v>1356</v>
      </c>
      <c r="C3585" s="7" t="n">
        <v>3</v>
      </c>
      <c r="D3585" s="7" t="n">
        <v>36</v>
      </c>
      <c r="E3585" s="7" t="n">
        <v>1</v>
      </c>
      <c r="F3585" s="7" t="s">
        <v>4536</v>
      </c>
      <c r="G3585" s="12" t="str">
        <f aca="false">IFERROR(INDEX('Semrush Data'!$A$1:$Z$20000,MATCH(A3585,'Semrush Data'!$A$1:$A$20000,0),MATCH("Volume",'Semrush Data'!$A$1:$Z$1,0)),"")</f>
        <v/>
      </c>
      <c r="H3585" s="7" t="str">
        <f aca="false">IFERROR(INDEX('Semrush Data'!$A$1:$Z$20000,MATCH(A3585,'Semrush Data'!$A$1:$A$20000,0),MATCH("Keyword Difficulty*",'Semrush Data'!$A$1:$Z$1,0)),"")</f>
        <v/>
      </c>
      <c r="I3585" s="13" t="str">
        <f aca="false">IFERROR(INDEX('Semrush Data'!$A$1:$Z$20000,MATCH(A3585,'Semrush Data'!$A$1:$A$20000,0),MATCH("CPC*",'Semrush Data'!$A$1:$Z$1,0)),"")</f>
        <v/>
      </c>
      <c r="J3585" s="7" t="str">
        <f aca="false">IFERROR(INDEX('Semrush Data'!$A$1:$Z$20000,MATCH(A3585,'Semrush Data'!$A$1:$A$20000,0),MATCH("Intent",'Semrush Data'!$A$1:$Z$1,0)),"")</f>
        <v/>
      </c>
    </row>
    <row r="3586" customFormat="false" ht="15" hidden="false" customHeight="true" outlineLevel="0" collapsed="false">
      <c r="A3586" s="7" t="s">
        <v>5370</v>
      </c>
      <c r="B3586" s="7" t="s">
        <v>1356</v>
      </c>
      <c r="C3586" s="7" t="n">
        <v>3</v>
      </c>
      <c r="D3586" s="7" t="n">
        <v>36</v>
      </c>
      <c r="E3586" s="7" t="n">
        <v>1</v>
      </c>
      <c r="F3586" s="7" t="s">
        <v>5363</v>
      </c>
      <c r="G3586" s="12" t="str">
        <f aca="false">IFERROR(INDEX('Semrush Data'!$A$1:$Z$20000,MATCH(A3586,'Semrush Data'!$A$1:$A$20000,0),MATCH("Volume",'Semrush Data'!$A$1:$Z$1,0)),"")</f>
        <v/>
      </c>
      <c r="H3586" s="7" t="str">
        <f aca="false">IFERROR(INDEX('Semrush Data'!$A$1:$Z$20000,MATCH(A3586,'Semrush Data'!$A$1:$A$20000,0),MATCH("Keyword Difficulty*",'Semrush Data'!$A$1:$Z$1,0)),"")</f>
        <v/>
      </c>
      <c r="I3586" s="13" t="str">
        <f aca="false">IFERROR(INDEX('Semrush Data'!$A$1:$Z$20000,MATCH(A3586,'Semrush Data'!$A$1:$A$20000,0),MATCH("CPC*",'Semrush Data'!$A$1:$Z$1,0)),"")</f>
        <v/>
      </c>
      <c r="J3586" s="7" t="str">
        <f aca="false">IFERROR(INDEX('Semrush Data'!$A$1:$Z$20000,MATCH(A3586,'Semrush Data'!$A$1:$A$20000,0),MATCH("Intent",'Semrush Data'!$A$1:$Z$1,0)),"")</f>
        <v/>
      </c>
    </row>
    <row r="3587" customFormat="false" ht="15" hidden="false" customHeight="true" outlineLevel="0" collapsed="false">
      <c r="A3587" s="7" t="s">
        <v>5383</v>
      </c>
      <c r="B3587" s="7" t="s">
        <v>1356</v>
      </c>
      <c r="C3587" s="7" t="n">
        <v>3</v>
      </c>
      <c r="D3587" s="7" t="n">
        <v>36</v>
      </c>
      <c r="E3587" s="7" t="n">
        <v>1</v>
      </c>
      <c r="F3587" s="7" t="s">
        <v>5377</v>
      </c>
      <c r="G3587" s="12" t="str">
        <f aca="false">IFERROR(INDEX('Semrush Data'!$A$1:$Z$20000,MATCH(A3587,'Semrush Data'!$A$1:$A$20000,0),MATCH("Volume",'Semrush Data'!$A$1:$Z$1,0)),"")</f>
        <v/>
      </c>
      <c r="H3587" s="7" t="str">
        <f aca="false">IFERROR(INDEX('Semrush Data'!$A$1:$Z$20000,MATCH(A3587,'Semrush Data'!$A$1:$A$20000,0),MATCH("Keyword Difficulty*",'Semrush Data'!$A$1:$Z$1,0)),"")</f>
        <v/>
      </c>
      <c r="I3587" s="13" t="str">
        <f aca="false">IFERROR(INDEX('Semrush Data'!$A$1:$Z$20000,MATCH(A3587,'Semrush Data'!$A$1:$A$20000,0),MATCH("CPC*",'Semrush Data'!$A$1:$Z$1,0)),"")</f>
        <v/>
      </c>
      <c r="J3587" s="7" t="str">
        <f aca="false">IFERROR(INDEX('Semrush Data'!$A$1:$Z$20000,MATCH(A3587,'Semrush Data'!$A$1:$A$20000,0),MATCH("Intent",'Semrush Data'!$A$1:$Z$1,0)),"")</f>
        <v/>
      </c>
    </row>
    <row r="3588" customFormat="false" ht="15" hidden="false" customHeight="true" outlineLevel="0" collapsed="false">
      <c r="A3588" s="7" t="s">
        <v>5436</v>
      </c>
      <c r="B3588" s="7" t="s">
        <v>1356</v>
      </c>
      <c r="C3588" s="7" t="n">
        <v>3</v>
      </c>
      <c r="D3588" s="7" t="n">
        <v>36</v>
      </c>
      <c r="E3588" s="7" t="n">
        <v>1</v>
      </c>
      <c r="F3588" s="7" t="s">
        <v>5431</v>
      </c>
      <c r="G3588" s="12" t="str">
        <f aca="false">IFERROR(INDEX('Semrush Data'!$A$1:$Z$20000,MATCH(A3588,'Semrush Data'!$A$1:$A$20000,0),MATCH("Volume",'Semrush Data'!$A$1:$Z$1,0)),"")</f>
        <v/>
      </c>
      <c r="H3588" s="7" t="str">
        <f aca="false">IFERROR(INDEX('Semrush Data'!$A$1:$Z$20000,MATCH(A3588,'Semrush Data'!$A$1:$A$20000,0),MATCH("Keyword Difficulty*",'Semrush Data'!$A$1:$Z$1,0)),"")</f>
        <v/>
      </c>
      <c r="I3588" s="13" t="str">
        <f aca="false">IFERROR(INDEX('Semrush Data'!$A$1:$Z$20000,MATCH(A3588,'Semrush Data'!$A$1:$A$20000,0),MATCH("CPC*",'Semrush Data'!$A$1:$Z$1,0)),"")</f>
        <v/>
      </c>
      <c r="J3588" s="7" t="str">
        <f aca="false">IFERROR(INDEX('Semrush Data'!$A$1:$Z$20000,MATCH(A3588,'Semrush Data'!$A$1:$A$20000,0),MATCH("Intent",'Semrush Data'!$A$1:$Z$1,0)),"")</f>
        <v/>
      </c>
    </row>
    <row r="3589" customFormat="false" ht="15" hidden="false" customHeight="true" outlineLevel="0" collapsed="false">
      <c r="A3589" s="7" t="s">
        <v>5425</v>
      </c>
      <c r="B3589" s="7" t="s">
        <v>1356</v>
      </c>
      <c r="C3589" s="7" t="n">
        <v>3</v>
      </c>
      <c r="D3589" s="7" t="n">
        <v>36</v>
      </c>
      <c r="E3589" s="7" t="n">
        <v>1</v>
      </c>
      <c r="F3589" s="7" t="s">
        <v>5420</v>
      </c>
      <c r="G3589" s="12" t="str">
        <f aca="false">IFERROR(INDEX('Semrush Data'!$A$1:$Z$20000,MATCH(A3589,'Semrush Data'!$A$1:$A$20000,0),MATCH("Volume",'Semrush Data'!$A$1:$Z$1,0)),"")</f>
        <v/>
      </c>
      <c r="H3589" s="7" t="str">
        <f aca="false">IFERROR(INDEX('Semrush Data'!$A$1:$Z$20000,MATCH(A3589,'Semrush Data'!$A$1:$A$20000,0),MATCH("Keyword Difficulty*",'Semrush Data'!$A$1:$Z$1,0)),"")</f>
        <v/>
      </c>
      <c r="I3589" s="13" t="str">
        <f aca="false">IFERROR(INDEX('Semrush Data'!$A$1:$Z$20000,MATCH(A3589,'Semrush Data'!$A$1:$A$20000,0),MATCH("CPC*",'Semrush Data'!$A$1:$Z$1,0)),"")</f>
        <v/>
      </c>
      <c r="J3589" s="7" t="str">
        <f aca="false">IFERROR(INDEX('Semrush Data'!$A$1:$Z$20000,MATCH(A3589,'Semrush Data'!$A$1:$A$20000,0),MATCH("Intent",'Semrush Data'!$A$1:$Z$1,0)),"")</f>
        <v/>
      </c>
    </row>
    <row r="3590" customFormat="false" ht="15" hidden="false" customHeight="true" outlineLevel="0" collapsed="false">
      <c r="A3590" s="7" t="s">
        <v>5394</v>
      </c>
      <c r="B3590" s="7" t="s">
        <v>1356</v>
      </c>
      <c r="C3590" s="7" t="n">
        <v>3</v>
      </c>
      <c r="D3590" s="7" t="s">
        <v>6818</v>
      </c>
      <c r="E3590" s="7" t="n">
        <v>1</v>
      </c>
      <c r="F3590" s="7" t="s">
        <v>74</v>
      </c>
      <c r="G3590" s="12" t="str">
        <f aca="false">IFERROR(INDEX('Semrush Data'!$A$1:$Z$20000,MATCH(A3590,'Semrush Data'!$A$1:$A$20000,0),MATCH("Volume",'Semrush Data'!$A$1:$Z$1,0)),"")</f>
        <v/>
      </c>
      <c r="H3590" s="7" t="str">
        <f aca="false">IFERROR(INDEX('Semrush Data'!$A$1:$Z$20000,MATCH(A3590,'Semrush Data'!$A$1:$A$20000,0),MATCH("Keyword Difficulty*",'Semrush Data'!$A$1:$Z$1,0)),"")</f>
        <v/>
      </c>
      <c r="I3590" s="13" t="str">
        <f aca="false">IFERROR(INDEX('Semrush Data'!$A$1:$Z$20000,MATCH(A3590,'Semrush Data'!$A$1:$A$20000,0),MATCH("CPC*",'Semrush Data'!$A$1:$Z$1,0)),"")</f>
        <v/>
      </c>
      <c r="J3590" s="7" t="str">
        <f aca="false">IFERROR(INDEX('Semrush Data'!$A$1:$Z$20000,MATCH(A3590,'Semrush Data'!$A$1:$A$20000,0),MATCH("Intent",'Semrush Data'!$A$1:$Z$1,0)),"")</f>
        <v/>
      </c>
    </row>
    <row r="3591" customFormat="false" ht="15" hidden="false" customHeight="true" outlineLevel="0" collapsed="false">
      <c r="A3591" s="7" t="s">
        <v>5457</v>
      </c>
      <c r="B3591" s="7" t="s">
        <v>1356</v>
      </c>
      <c r="C3591" s="7" t="n">
        <v>3</v>
      </c>
      <c r="D3591" s="7" t="n">
        <v>36</v>
      </c>
      <c r="E3591" s="7" t="n">
        <v>1</v>
      </c>
      <c r="F3591" s="7" t="s">
        <v>5452</v>
      </c>
      <c r="G3591" s="12" t="str">
        <f aca="false">IFERROR(INDEX('Semrush Data'!$A$1:$Z$20000,MATCH(A3591,'Semrush Data'!$A$1:$A$20000,0),MATCH("Volume",'Semrush Data'!$A$1:$Z$1,0)),"")</f>
        <v/>
      </c>
      <c r="H3591" s="7" t="str">
        <f aca="false">IFERROR(INDEX('Semrush Data'!$A$1:$Z$20000,MATCH(A3591,'Semrush Data'!$A$1:$A$20000,0),MATCH("Keyword Difficulty*",'Semrush Data'!$A$1:$Z$1,0)),"")</f>
        <v/>
      </c>
      <c r="I3591" s="13" t="str">
        <f aca="false">IFERROR(INDEX('Semrush Data'!$A$1:$Z$20000,MATCH(A3591,'Semrush Data'!$A$1:$A$20000,0),MATCH("CPC*",'Semrush Data'!$A$1:$Z$1,0)),"")</f>
        <v/>
      </c>
      <c r="J3591" s="7" t="str">
        <f aca="false">IFERROR(INDEX('Semrush Data'!$A$1:$Z$20000,MATCH(A3591,'Semrush Data'!$A$1:$A$20000,0),MATCH("Intent",'Semrush Data'!$A$1:$Z$1,0)),"")</f>
        <v/>
      </c>
    </row>
    <row r="3592" customFormat="false" ht="15" hidden="false" customHeight="true" outlineLevel="0" collapsed="false">
      <c r="A3592" s="7" t="s">
        <v>5415</v>
      </c>
      <c r="B3592" s="7" t="s">
        <v>1356</v>
      </c>
      <c r="C3592" s="7" t="n">
        <v>3</v>
      </c>
      <c r="D3592" s="7" t="n">
        <v>36</v>
      </c>
      <c r="E3592" s="7" t="n">
        <v>1</v>
      </c>
      <c r="F3592" s="7" t="s">
        <v>5410</v>
      </c>
      <c r="G3592" s="12" t="str">
        <f aca="false">IFERROR(INDEX('Semrush Data'!$A$1:$Z$20000,MATCH(A3592,'Semrush Data'!$A$1:$A$20000,0),MATCH("Volume",'Semrush Data'!$A$1:$Z$1,0)),"")</f>
        <v/>
      </c>
      <c r="H3592" s="7" t="str">
        <f aca="false">IFERROR(INDEX('Semrush Data'!$A$1:$Z$20000,MATCH(A3592,'Semrush Data'!$A$1:$A$20000,0),MATCH("Keyword Difficulty*",'Semrush Data'!$A$1:$Z$1,0)),"")</f>
        <v/>
      </c>
      <c r="I3592" s="13" t="str">
        <f aca="false">IFERROR(INDEX('Semrush Data'!$A$1:$Z$20000,MATCH(A3592,'Semrush Data'!$A$1:$A$20000,0),MATCH("CPC*",'Semrush Data'!$A$1:$Z$1,0)),"")</f>
        <v/>
      </c>
      <c r="J3592" s="7" t="str">
        <f aca="false">IFERROR(INDEX('Semrush Data'!$A$1:$Z$20000,MATCH(A3592,'Semrush Data'!$A$1:$A$20000,0),MATCH("Intent",'Semrush Data'!$A$1:$Z$1,0)),"")</f>
        <v/>
      </c>
    </row>
    <row r="3593" customFormat="false" ht="15" hidden="false" customHeight="true" outlineLevel="0" collapsed="false">
      <c r="A3593" s="7" t="s">
        <v>5447</v>
      </c>
      <c r="B3593" s="7" t="s">
        <v>1356</v>
      </c>
      <c r="C3593" s="7" t="n">
        <v>3</v>
      </c>
      <c r="D3593" s="7" t="n">
        <v>36</v>
      </c>
      <c r="E3593" s="7" t="n">
        <v>1</v>
      </c>
      <c r="F3593" s="7" t="s">
        <v>5442</v>
      </c>
      <c r="G3593" s="12" t="str">
        <f aca="false">IFERROR(INDEX('Semrush Data'!$A$1:$Z$20000,MATCH(A3593,'Semrush Data'!$A$1:$A$20000,0),MATCH("Volume",'Semrush Data'!$A$1:$Z$1,0)),"")</f>
        <v/>
      </c>
      <c r="H3593" s="7" t="str">
        <f aca="false">IFERROR(INDEX('Semrush Data'!$A$1:$Z$20000,MATCH(A3593,'Semrush Data'!$A$1:$A$20000,0),MATCH("Keyword Difficulty*",'Semrush Data'!$A$1:$Z$1,0)),"")</f>
        <v/>
      </c>
      <c r="I3593" s="13" t="str">
        <f aca="false">IFERROR(INDEX('Semrush Data'!$A$1:$Z$20000,MATCH(A3593,'Semrush Data'!$A$1:$A$20000,0),MATCH("CPC*",'Semrush Data'!$A$1:$Z$1,0)),"")</f>
        <v/>
      </c>
      <c r="J3593" s="7" t="str">
        <f aca="false">IFERROR(INDEX('Semrush Data'!$A$1:$Z$20000,MATCH(A3593,'Semrush Data'!$A$1:$A$20000,0),MATCH("Intent",'Semrush Data'!$A$1:$Z$1,0)),"")</f>
        <v/>
      </c>
    </row>
    <row r="3594" customFormat="false" ht="15" hidden="false" customHeight="true" outlineLevel="0" collapsed="false">
      <c r="A3594" s="7" t="s">
        <v>5404</v>
      </c>
      <c r="B3594" s="7" t="s">
        <v>1356</v>
      </c>
      <c r="C3594" s="7" t="n">
        <v>3</v>
      </c>
      <c r="D3594" s="7" t="s">
        <v>6818</v>
      </c>
      <c r="E3594" s="7" t="n">
        <v>1</v>
      </c>
      <c r="F3594" s="7" t="s">
        <v>58</v>
      </c>
      <c r="G3594" s="12" t="str">
        <f aca="false">IFERROR(INDEX('Semrush Data'!$A$1:$Z$20000,MATCH(A3594,'Semrush Data'!$A$1:$A$20000,0),MATCH("Volume",'Semrush Data'!$A$1:$Z$1,0)),"")</f>
        <v/>
      </c>
      <c r="H3594" s="7" t="str">
        <f aca="false">IFERROR(INDEX('Semrush Data'!$A$1:$Z$20000,MATCH(A3594,'Semrush Data'!$A$1:$A$20000,0),MATCH("Keyword Difficulty*",'Semrush Data'!$A$1:$Z$1,0)),"")</f>
        <v/>
      </c>
      <c r="I3594" s="13" t="str">
        <f aca="false">IFERROR(INDEX('Semrush Data'!$A$1:$Z$20000,MATCH(A3594,'Semrush Data'!$A$1:$A$20000,0),MATCH("CPC*",'Semrush Data'!$A$1:$Z$1,0)),"")</f>
        <v/>
      </c>
      <c r="J3594" s="7" t="str">
        <f aca="false">IFERROR(INDEX('Semrush Data'!$A$1:$Z$20000,MATCH(A3594,'Semrush Data'!$A$1:$A$20000,0),MATCH("Intent",'Semrush Data'!$A$1:$Z$1,0)),"")</f>
        <v/>
      </c>
    </row>
    <row r="3595" customFormat="false" ht="15" hidden="false" customHeight="true" outlineLevel="0" collapsed="false">
      <c r="A3595" s="7" t="s">
        <v>5469</v>
      </c>
      <c r="B3595" s="7" t="s">
        <v>1356</v>
      </c>
      <c r="C3595" s="7" t="n">
        <v>3</v>
      </c>
      <c r="D3595" s="7" t="n">
        <v>36</v>
      </c>
      <c r="E3595" s="7" t="n">
        <v>1</v>
      </c>
      <c r="F3595" s="7" t="s">
        <v>5462</v>
      </c>
      <c r="G3595" s="12" t="str">
        <f aca="false">IFERROR(INDEX('Semrush Data'!$A$1:$Z$20000,MATCH(A3595,'Semrush Data'!$A$1:$A$20000,0),MATCH("Volume",'Semrush Data'!$A$1:$Z$1,0)),"")</f>
        <v/>
      </c>
      <c r="H3595" s="7" t="str">
        <f aca="false">IFERROR(INDEX('Semrush Data'!$A$1:$Z$20000,MATCH(A3595,'Semrush Data'!$A$1:$A$20000,0),MATCH("Keyword Difficulty*",'Semrush Data'!$A$1:$Z$1,0)),"")</f>
        <v/>
      </c>
      <c r="I3595" s="13" t="str">
        <f aca="false">IFERROR(INDEX('Semrush Data'!$A$1:$Z$20000,MATCH(A3595,'Semrush Data'!$A$1:$A$20000,0),MATCH("CPC*",'Semrush Data'!$A$1:$Z$1,0)),"")</f>
        <v/>
      </c>
      <c r="J3595" s="7" t="str">
        <f aca="false">IFERROR(INDEX('Semrush Data'!$A$1:$Z$20000,MATCH(A3595,'Semrush Data'!$A$1:$A$20000,0),MATCH("Intent",'Semrush Data'!$A$1:$Z$1,0)),"")</f>
        <v/>
      </c>
    </row>
    <row r="3596" customFormat="false" ht="15" hidden="false" customHeight="true" outlineLevel="0" collapsed="false">
      <c r="A3596" s="7" t="s">
        <v>5481</v>
      </c>
      <c r="B3596" s="7" t="s">
        <v>1356</v>
      </c>
      <c r="C3596" s="7" t="n">
        <v>3</v>
      </c>
      <c r="D3596" s="7" t="n">
        <v>36</v>
      </c>
      <c r="E3596" s="7" t="n">
        <v>1</v>
      </c>
      <c r="F3596" s="7" t="s">
        <v>5476</v>
      </c>
      <c r="G3596" s="12" t="str">
        <f aca="false">IFERROR(INDEX('Semrush Data'!$A$1:$Z$20000,MATCH(A3596,'Semrush Data'!$A$1:$A$20000,0),MATCH("Volume",'Semrush Data'!$A$1:$Z$1,0)),"")</f>
        <v/>
      </c>
      <c r="H3596" s="7" t="str">
        <f aca="false">IFERROR(INDEX('Semrush Data'!$A$1:$Z$20000,MATCH(A3596,'Semrush Data'!$A$1:$A$20000,0),MATCH("Keyword Difficulty*",'Semrush Data'!$A$1:$Z$1,0)),"")</f>
        <v/>
      </c>
      <c r="I3596" s="13" t="str">
        <f aca="false">IFERROR(INDEX('Semrush Data'!$A$1:$Z$20000,MATCH(A3596,'Semrush Data'!$A$1:$A$20000,0),MATCH("CPC*",'Semrush Data'!$A$1:$Z$1,0)),"")</f>
        <v/>
      </c>
      <c r="J3596" s="7" t="str">
        <f aca="false">IFERROR(INDEX('Semrush Data'!$A$1:$Z$20000,MATCH(A3596,'Semrush Data'!$A$1:$A$20000,0),MATCH("Intent",'Semrush Data'!$A$1:$Z$1,0)),"")</f>
        <v/>
      </c>
    </row>
    <row r="3597" customFormat="false" ht="15" hidden="false" customHeight="true" outlineLevel="0" collapsed="false">
      <c r="A3597" s="7" t="s">
        <v>5515</v>
      </c>
      <c r="B3597" s="7" t="s">
        <v>1356</v>
      </c>
      <c r="C3597" s="7" t="n">
        <v>3</v>
      </c>
      <c r="D3597" s="7" t="s">
        <v>6818</v>
      </c>
      <c r="E3597" s="7" t="n">
        <v>2</v>
      </c>
      <c r="F3597" s="7" t="s">
        <v>6808</v>
      </c>
      <c r="G3597" s="12" t="str">
        <f aca="false">IFERROR(INDEX('Semrush Data'!$A$1:$Z$20000,MATCH(A3597,'Semrush Data'!$A$1:$A$20000,0),MATCH("Volume",'Semrush Data'!$A$1:$Z$1,0)),"")</f>
        <v/>
      </c>
      <c r="H3597" s="7" t="str">
        <f aca="false">IFERROR(INDEX('Semrush Data'!$A$1:$Z$20000,MATCH(A3597,'Semrush Data'!$A$1:$A$20000,0),MATCH("Keyword Difficulty*",'Semrush Data'!$A$1:$Z$1,0)),"")</f>
        <v/>
      </c>
      <c r="I3597" s="13" t="str">
        <f aca="false">IFERROR(INDEX('Semrush Data'!$A$1:$Z$20000,MATCH(A3597,'Semrush Data'!$A$1:$A$20000,0),MATCH("CPC*",'Semrush Data'!$A$1:$Z$1,0)),"")</f>
        <v/>
      </c>
      <c r="J3597" s="7" t="str">
        <f aca="false">IFERROR(INDEX('Semrush Data'!$A$1:$Z$20000,MATCH(A3597,'Semrush Data'!$A$1:$A$20000,0),MATCH("Intent",'Semrush Data'!$A$1:$Z$1,0)),"")</f>
        <v/>
      </c>
    </row>
    <row r="3598" customFormat="false" ht="15" hidden="false" customHeight="true" outlineLevel="0" collapsed="false">
      <c r="A3598" s="7" t="s">
        <v>5494</v>
      </c>
      <c r="B3598" s="7" t="s">
        <v>1356</v>
      </c>
      <c r="C3598" s="7" t="n">
        <v>3</v>
      </c>
      <c r="D3598" s="7" t="n">
        <v>36</v>
      </c>
      <c r="E3598" s="7" t="n">
        <v>1</v>
      </c>
      <c r="F3598" s="7" t="s">
        <v>5488</v>
      </c>
      <c r="G3598" s="12" t="str">
        <f aca="false">IFERROR(INDEX('Semrush Data'!$A$1:$Z$20000,MATCH(A3598,'Semrush Data'!$A$1:$A$20000,0),MATCH("Volume",'Semrush Data'!$A$1:$Z$1,0)),"")</f>
        <v/>
      </c>
      <c r="H3598" s="7" t="str">
        <f aca="false">IFERROR(INDEX('Semrush Data'!$A$1:$Z$20000,MATCH(A3598,'Semrush Data'!$A$1:$A$20000,0),MATCH("Keyword Difficulty*",'Semrush Data'!$A$1:$Z$1,0)),"")</f>
        <v/>
      </c>
      <c r="I3598" s="13" t="str">
        <f aca="false">IFERROR(INDEX('Semrush Data'!$A$1:$Z$20000,MATCH(A3598,'Semrush Data'!$A$1:$A$20000,0),MATCH("CPC*",'Semrush Data'!$A$1:$Z$1,0)),"")</f>
        <v/>
      </c>
      <c r="J3598" s="7" t="str">
        <f aca="false">IFERROR(INDEX('Semrush Data'!$A$1:$Z$20000,MATCH(A3598,'Semrush Data'!$A$1:$A$20000,0),MATCH("Intent",'Semrush Data'!$A$1:$Z$1,0)),"")</f>
        <v/>
      </c>
    </row>
    <row r="3599" customFormat="false" ht="15" hidden="false" customHeight="true" outlineLevel="0" collapsed="false">
      <c r="A3599" s="7" t="s">
        <v>5506</v>
      </c>
      <c r="B3599" s="7" t="s">
        <v>1356</v>
      </c>
      <c r="C3599" s="7" t="n">
        <v>3</v>
      </c>
      <c r="D3599" s="7" t="n">
        <v>36</v>
      </c>
      <c r="E3599" s="7" t="n">
        <v>1</v>
      </c>
      <c r="F3599" s="7" t="s">
        <v>5501</v>
      </c>
      <c r="G3599" s="12" t="str">
        <f aca="false">IFERROR(INDEX('Semrush Data'!$A$1:$Z$20000,MATCH(A3599,'Semrush Data'!$A$1:$A$20000,0),MATCH("Volume",'Semrush Data'!$A$1:$Z$1,0)),"")</f>
        <v/>
      </c>
      <c r="H3599" s="7" t="str">
        <f aca="false">IFERROR(INDEX('Semrush Data'!$A$1:$Z$20000,MATCH(A3599,'Semrush Data'!$A$1:$A$20000,0),MATCH("Keyword Difficulty*",'Semrush Data'!$A$1:$Z$1,0)),"")</f>
        <v/>
      </c>
      <c r="I3599" s="13" t="str">
        <f aca="false">IFERROR(INDEX('Semrush Data'!$A$1:$Z$20000,MATCH(A3599,'Semrush Data'!$A$1:$A$20000,0),MATCH("CPC*",'Semrush Data'!$A$1:$Z$1,0)),"")</f>
        <v/>
      </c>
      <c r="J3599" s="7" t="str">
        <f aca="false">IFERROR(INDEX('Semrush Data'!$A$1:$Z$20000,MATCH(A3599,'Semrush Data'!$A$1:$A$20000,0),MATCH("Intent",'Semrush Data'!$A$1:$Z$1,0)),"")</f>
        <v/>
      </c>
    </row>
    <row r="3600" customFormat="false" ht="15" hidden="false" customHeight="true" outlineLevel="0" collapsed="false">
      <c r="A3600" s="7" t="s">
        <v>5526</v>
      </c>
      <c r="B3600" s="7" t="s">
        <v>1356</v>
      </c>
      <c r="C3600" s="7" t="n">
        <v>3</v>
      </c>
      <c r="D3600" s="7" t="s">
        <v>6818</v>
      </c>
      <c r="E3600" s="7" t="n">
        <v>1</v>
      </c>
      <c r="F3600" s="7" t="s">
        <v>70</v>
      </c>
      <c r="G3600" s="12" t="str">
        <f aca="false">IFERROR(INDEX('Semrush Data'!$A$1:$Z$20000,MATCH(A3600,'Semrush Data'!$A$1:$A$20000,0),MATCH("Volume",'Semrush Data'!$A$1:$Z$1,0)),"")</f>
        <v/>
      </c>
      <c r="H3600" s="7" t="str">
        <f aca="false">IFERROR(INDEX('Semrush Data'!$A$1:$Z$20000,MATCH(A3600,'Semrush Data'!$A$1:$A$20000,0),MATCH("Keyword Difficulty*",'Semrush Data'!$A$1:$Z$1,0)),"")</f>
        <v/>
      </c>
      <c r="I3600" s="13" t="str">
        <f aca="false">IFERROR(INDEX('Semrush Data'!$A$1:$Z$20000,MATCH(A3600,'Semrush Data'!$A$1:$A$20000,0),MATCH("CPC*",'Semrush Data'!$A$1:$Z$1,0)),"")</f>
        <v/>
      </c>
      <c r="J3600" s="7" t="str">
        <f aca="false">IFERROR(INDEX('Semrush Data'!$A$1:$Z$20000,MATCH(A3600,'Semrush Data'!$A$1:$A$20000,0),MATCH("Intent",'Semrush Data'!$A$1:$Z$1,0)),"")</f>
        <v/>
      </c>
    </row>
    <row r="3601" customFormat="false" ht="15" hidden="false" customHeight="true" outlineLevel="0" collapsed="false">
      <c r="A3601" s="7" t="s">
        <v>5562</v>
      </c>
      <c r="B3601" s="7" t="s">
        <v>1356</v>
      </c>
      <c r="C3601" s="7" t="n">
        <v>3</v>
      </c>
      <c r="D3601" s="7" t="n">
        <v>36</v>
      </c>
      <c r="E3601" s="7" t="n">
        <v>1</v>
      </c>
      <c r="F3601" s="7" t="s">
        <v>5556</v>
      </c>
      <c r="G3601" s="12" t="str">
        <f aca="false">IFERROR(INDEX('Semrush Data'!$A$1:$Z$20000,MATCH(A3601,'Semrush Data'!$A$1:$A$20000,0),MATCH("Volume",'Semrush Data'!$A$1:$Z$1,0)),"")</f>
        <v/>
      </c>
      <c r="H3601" s="7" t="str">
        <f aca="false">IFERROR(INDEX('Semrush Data'!$A$1:$Z$20000,MATCH(A3601,'Semrush Data'!$A$1:$A$20000,0),MATCH("Keyword Difficulty*",'Semrush Data'!$A$1:$Z$1,0)),"")</f>
        <v/>
      </c>
      <c r="I3601" s="13" t="str">
        <f aca="false">IFERROR(INDEX('Semrush Data'!$A$1:$Z$20000,MATCH(A3601,'Semrush Data'!$A$1:$A$20000,0),MATCH("CPC*",'Semrush Data'!$A$1:$Z$1,0)),"")</f>
        <v/>
      </c>
      <c r="J3601" s="7" t="str">
        <f aca="false">IFERROR(INDEX('Semrush Data'!$A$1:$Z$20000,MATCH(A3601,'Semrush Data'!$A$1:$A$20000,0),MATCH("Intent",'Semrush Data'!$A$1:$Z$1,0)),"")</f>
        <v/>
      </c>
    </row>
    <row r="3602" customFormat="false" ht="15" hidden="false" customHeight="true" outlineLevel="0" collapsed="false">
      <c r="A3602" s="7" t="s">
        <v>5541</v>
      </c>
      <c r="B3602" s="7" t="s">
        <v>1356</v>
      </c>
      <c r="C3602" s="7" t="n">
        <v>3</v>
      </c>
      <c r="D3602" s="7" t="n">
        <v>37</v>
      </c>
      <c r="E3602" s="7" t="n">
        <v>1</v>
      </c>
      <c r="F3602" s="7" t="s">
        <v>5533</v>
      </c>
      <c r="G3602" s="12" t="str">
        <f aca="false">IFERROR(INDEX('Semrush Data'!$A$1:$Z$20000,MATCH(A3602,'Semrush Data'!$A$1:$A$20000,0),MATCH("Volume",'Semrush Data'!$A$1:$Z$1,0)),"")</f>
        <v/>
      </c>
      <c r="H3602" s="7" t="str">
        <f aca="false">IFERROR(INDEX('Semrush Data'!$A$1:$Z$20000,MATCH(A3602,'Semrush Data'!$A$1:$A$20000,0),MATCH("Keyword Difficulty*",'Semrush Data'!$A$1:$Z$1,0)),"")</f>
        <v/>
      </c>
      <c r="I3602" s="13" t="str">
        <f aca="false">IFERROR(INDEX('Semrush Data'!$A$1:$Z$20000,MATCH(A3602,'Semrush Data'!$A$1:$A$20000,0),MATCH("CPC*",'Semrush Data'!$A$1:$Z$1,0)),"")</f>
        <v/>
      </c>
      <c r="J3602" s="7" t="str">
        <f aca="false">IFERROR(INDEX('Semrush Data'!$A$1:$Z$20000,MATCH(A3602,'Semrush Data'!$A$1:$A$20000,0),MATCH("Intent",'Semrush Data'!$A$1:$Z$1,0)),"")</f>
        <v/>
      </c>
    </row>
    <row r="3603" customFormat="false" ht="15" hidden="false" customHeight="true" outlineLevel="0" collapsed="false">
      <c r="A3603" s="7" t="s">
        <v>5551</v>
      </c>
      <c r="B3603" s="7" t="s">
        <v>1356</v>
      </c>
      <c r="C3603" s="7" t="n">
        <v>3</v>
      </c>
      <c r="D3603" s="7" t="n">
        <v>37</v>
      </c>
      <c r="E3603" s="7" t="n">
        <v>1</v>
      </c>
      <c r="F3603" s="7" t="s">
        <v>5546</v>
      </c>
      <c r="G3603" s="12" t="str">
        <f aca="false">IFERROR(INDEX('Semrush Data'!$A$1:$Z$20000,MATCH(A3603,'Semrush Data'!$A$1:$A$20000,0),MATCH("Volume",'Semrush Data'!$A$1:$Z$1,0)),"")</f>
        <v/>
      </c>
      <c r="H3603" s="7" t="str">
        <f aca="false">IFERROR(INDEX('Semrush Data'!$A$1:$Z$20000,MATCH(A3603,'Semrush Data'!$A$1:$A$20000,0),MATCH("Keyword Difficulty*",'Semrush Data'!$A$1:$Z$1,0)),"")</f>
        <v/>
      </c>
      <c r="I3603" s="13" t="str">
        <f aca="false">IFERROR(INDEX('Semrush Data'!$A$1:$Z$20000,MATCH(A3603,'Semrush Data'!$A$1:$A$20000,0),MATCH("CPC*",'Semrush Data'!$A$1:$Z$1,0)),"")</f>
        <v/>
      </c>
      <c r="J3603" s="7" t="str">
        <f aca="false">IFERROR(INDEX('Semrush Data'!$A$1:$Z$20000,MATCH(A3603,'Semrush Data'!$A$1:$A$20000,0),MATCH("Intent",'Semrush Data'!$A$1:$Z$1,0)),"")</f>
        <v/>
      </c>
    </row>
    <row r="3604" customFormat="false" ht="15" hidden="false" customHeight="true" outlineLevel="0" collapsed="false">
      <c r="A3604" s="7" t="s">
        <v>5572</v>
      </c>
      <c r="B3604" s="7" t="s">
        <v>1356</v>
      </c>
      <c r="C3604" s="7" t="n">
        <v>3</v>
      </c>
      <c r="D3604" s="7" t="n">
        <v>37</v>
      </c>
      <c r="E3604" s="7" t="n">
        <v>1</v>
      </c>
      <c r="F3604" s="7" t="s">
        <v>5566</v>
      </c>
      <c r="G3604" s="12" t="str">
        <f aca="false">IFERROR(INDEX('Semrush Data'!$A$1:$Z$20000,MATCH(A3604,'Semrush Data'!$A$1:$A$20000,0),MATCH("Volume",'Semrush Data'!$A$1:$Z$1,0)),"")</f>
        <v/>
      </c>
      <c r="H3604" s="7" t="str">
        <f aca="false">IFERROR(INDEX('Semrush Data'!$A$1:$Z$20000,MATCH(A3604,'Semrush Data'!$A$1:$A$20000,0),MATCH("Keyword Difficulty*",'Semrush Data'!$A$1:$Z$1,0)),"")</f>
        <v/>
      </c>
      <c r="I3604" s="13" t="str">
        <f aca="false">IFERROR(INDEX('Semrush Data'!$A$1:$Z$20000,MATCH(A3604,'Semrush Data'!$A$1:$A$20000,0),MATCH("CPC*",'Semrush Data'!$A$1:$Z$1,0)),"")</f>
        <v/>
      </c>
      <c r="J3604" s="7" t="str">
        <f aca="false">IFERROR(INDEX('Semrush Data'!$A$1:$Z$20000,MATCH(A3604,'Semrush Data'!$A$1:$A$20000,0),MATCH("Intent",'Semrush Data'!$A$1:$Z$1,0)),"")</f>
        <v/>
      </c>
    </row>
    <row r="3605" customFormat="false" ht="15" hidden="false" customHeight="true" outlineLevel="0" collapsed="false">
      <c r="A3605" s="7" t="s">
        <v>4551</v>
      </c>
      <c r="B3605" s="7" t="s">
        <v>1356</v>
      </c>
      <c r="C3605" s="7" t="n">
        <v>3</v>
      </c>
      <c r="D3605" s="7" t="n">
        <v>37</v>
      </c>
      <c r="E3605" s="7" t="n">
        <v>1</v>
      </c>
      <c r="F3605" s="7" t="s">
        <v>4546</v>
      </c>
      <c r="G3605" s="12" t="str">
        <f aca="false">IFERROR(INDEX('Semrush Data'!$A$1:$Z$20000,MATCH(A3605,'Semrush Data'!$A$1:$A$20000,0),MATCH("Volume",'Semrush Data'!$A$1:$Z$1,0)),"")</f>
        <v/>
      </c>
      <c r="H3605" s="7" t="str">
        <f aca="false">IFERROR(INDEX('Semrush Data'!$A$1:$Z$20000,MATCH(A3605,'Semrush Data'!$A$1:$A$20000,0),MATCH("Keyword Difficulty*",'Semrush Data'!$A$1:$Z$1,0)),"")</f>
        <v/>
      </c>
      <c r="I3605" s="13" t="str">
        <f aca="false">IFERROR(INDEX('Semrush Data'!$A$1:$Z$20000,MATCH(A3605,'Semrush Data'!$A$1:$A$20000,0),MATCH("CPC*",'Semrush Data'!$A$1:$Z$1,0)),"")</f>
        <v/>
      </c>
      <c r="J3605" s="7" t="str">
        <f aca="false">IFERROR(INDEX('Semrush Data'!$A$1:$Z$20000,MATCH(A3605,'Semrush Data'!$A$1:$A$20000,0),MATCH("Intent",'Semrush Data'!$A$1:$Z$1,0)),"")</f>
        <v/>
      </c>
    </row>
    <row r="3606" customFormat="false" ht="15" hidden="false" customHeight="true" outlineLevel="0" collapsed="false">
      <c r="A3606" s="7" t="s">
        <v>5584</v>
      </c>
      <c r="B3606" s="7" t="s">
        <v>1356</v>
      </c>
      <c r="C3606" s="7" t="n">
        <v>3</v>
      </c>
      <c r="D3606" s="7" t="n">
        <v>37</v>
      </c>
      <c r="E3606" s="7" t="n">
        <v>1</v>
      </c>
      <c r="F3606" s="7" t="s">
        <v>5578</v>
      </c>
      <c r="G3606" s="12" t="str">
        <f aca="false">IFERROR(INDEX('Semrush Data'!$A$1:$Z$20000,MATCH(A3606,'Semrush Data'!$A$1:$A$20000,0),MATCH("Volume",'Semrush Data'!$A$1:$Z$1,0)),"")</f>
        <v/>
      </c>
      <c r="H3606" s="7" t="str">
        <f aca="false">IFERROR(INDEX('Semrush Data'!$A$1:$Z$20000,MATCH(A3606,'Semrush Data'!$A$1:$A$20000,0),MATCH("Keyword Difficulty*",'Semrush Data'!$A$1:$Z$1,0)),"")</f>
        <v/>
      </c>
      <c r="I3606" s="13" t="str">
        <f aca="false">IFERROR(INDEX('Semrush Data'!$A$1:$Z$20000,MATCH(A3606,'Semrush Data'!$A$1:$A$20000,0),MATCH("CPC*",'Semrush Data'!$A$1:$Z$1,0)),"")</f>
        <v/>
      </c>
      <c r="J3606" s="7" t="str">
        <f aca="false">IFERROR(INDEX('Semrush Data'!$A$1:$Z$20000,MATCH(A3606,'Semrush Data'!$A$1:$A$20000,0),MATCH("Intent",'Semrush Data'!$A$1:$Z$1,0)),"")</f>
        <v/>
      </c>
    </row>
    <row r="3607" customFormat="false" ht="15" hidden="false" customHeight="true" outlineLevel="0" collapsed="false">
      <c r="A3607" s="7" t="s">
        <v>5595</v>
      </c>
      <c r="B3607" s="7" t="s">
        <v>1356</v>
      </c>
      <c r="C3607" s="7" t="n">
        <v>3</v>
      </c>
      <c r="D3607" s="7" t="n">
        <v>37</v>
      </c>
      <c r="E3607" s="7" t="n">
        <v>1</v>
      </c>
      <c r="F3607" s="7" t="s">
        <v>5590</v>
      </c>
      <c r="G3607" s="12" t="str">
        <f aca="false">IFERROR(INDEX('Semrush Data'!$A$1:$Z$20000,MATCH(A3607,'Semrush Data'!$A$1:$A$20000,0),MATCH("Volume",'Semrush Data'!$A$1:$Z$1,0)),"")</f>
        <v/>
      </c>
      <c r="H3607" s="7" t="str">
        <f aca="false">IFERROR(INDEX('Semrush Data'!$A$1:$Z$20000,MATCH(A3607,'Semrush Data'!$A$1:$A$20000,0),MATCH("Keyword Difficulty*",'Semrush Data'!$A$1:$Z$1,0)),"")</f>
        <v/>
      </c>
      <c r="I3607" s="13" t="str">
        <f aca="false">IFERROR(INDEX('Semrush Data'!$A$1:$Z$20000,MATCH(A3607,'Semrush Data'!$A$1:$A$20000,0),MATCH("CPC*",'Semrush Data'!$A$1:$Z$1,0)),"")</f>
        <v/>
      </c>
      <c r="J3607" s="7" t="str">
        <f aca="false">IFERROR(INDEX('Semrush Data'!$A$1:$Z$20000,MATCH(A3607,'Semrush Data'!$A$1:$A$20000,0),MATCH("Intent",'Semrush Data'!$A$1:$Z$1,0)),"")</f>
        <v/>
      </c>
    </row>
    <row r="3608" customFormat="false" ht="15" hidden="false" customHeight="true" outlineLevel="0" collapsed="false">
      <c r="A3608" s="7" t="s">
        <v>5606</v>
      </c>
      <c r="B3608" s="7" t="s">
        <v>1356</v>
      </c>
      <c r="C3608" s="7" t="n">
        <v>3</v>
      </c>
      <c r="D3608" s="7" t="n">
        <v>37</v>
      </c>
      <c r="E3608" s="7" t="n">
        <v>1</v>
      </c>
      <c r="F3608" s="7" t="s">
        <v>5601</v>
      </c>
      <c r="G3608" s="12" t="str">
        <f aca="false">IFERROR(INDEX('Semrush Data'!$A$1:$Z$20000,MATCH(A3608,'Semrush Data'!$A$1:$A$20000,0),MATCH("Volume",'Semrush Data'!$A$1:$Z$1,0)),"")</f>
        <v/>
      </c>
      <c r="H3608" s="7" t="str">
        <f aca="false">IFERROR(INDEX('Semrush Data'!$A$1:$Z$20000,MATCH(A3608,'Semrush Data'!$A$1:$A$20000,0),MATCH("Keyword Difficulty*",'Semrush Data'!$A$1:$Z$1,0)),"")</f>
        <v/>
      </c>
      <c r="I3608" s="13" t="str">
        <f aca="false">IFERROR(INDEX('Semrush Data'!$A$1:$Z$20000,MATCH(A3608,'Semrush Data'!$A$1:$A$20000,0),MATCH("CPC*",'Semrush Data'!$A$1:$Z$1,0)),"")</f>
        <v/>
      </c>
      <c r="J3608" s="7" t="str">
        <f aca="false">IFERROR(INDEX('Semrush Data'!$A$1:$Z$20000,MATCH(A3608,'Semrush Data'!$A$1:$A$20000,0),MATCH("Intent",'Semrush Data'!$A$1:$Z$1,0)),"")</f>
        <v/>
      </c>
    </row>
    <row r="3609" customFormat="false" ht="15" hidden="false" customHeight="true" outlineLevel="0" collapsed="false">
      <c r="A3609" s="7" t="s">
        <v>5617</v>
      </c>
      <c r="B3609" s="7" t="s">
        <v>1356</v>
      </c>
      <c r="C3609" s="7" t="n">
        <v>3</v>
      </c>
      <c r="D3609" s="7" t="n">
        <v>37</v>
      </c>
      <c r="E3609" s="7" t="n">
        <v>1</v>
      </c>
      <c r="F3609" s="7" t="s">
        <v>5611</v>
      </c>
      <c r="G3609" s="12" t="str">
        <f aca="false">IFERROR(INDEX('Semrush Data'!$A$1:$Z$20000,MATCH(A3609,'Semrush Data'!$A$1:$A$20000,0),MATCH("Volume",'Semrush Data'!$A$1:$Z$1,0)),"")</f>
        <v/>
      </c>
      <c r="H3609" s="7" t="str">
        <f aca="false">IFERROR(INDEX('Semrush Data'!$A$1:$Z$20000,MATCH(A3609,'Semrush Data'!$A$1:$A$20000,0),MATCH("Keyword Difficulty*",'Semrush Data'!$A$1:$Z$1,0)),"")</f>
        <v/>
      </c>
      <c r="I3609" s="13" t="str">
        <f aca="false">IFERROR(INDEX('Semrush Data'!$A$1:$Z$20000,MATCH(A3609,'Semrush Data'!$A$1:$A$20000,0),MATCH("CPC*",'Semrush Data'!$A$1:$Z$1,0)),"")</f>
        <v/>
      </c>
      <c r="J3609" s="7" t="str">
        <f aca="false">IFERROR(INDEX('Semrush Data'!$A$1:$Z$20000,MATCH(A3609,'Semrush Data'!$A$1:$A$20000,0),MATCH("Intent",'Semrush Data'!$A$1:$Z$1,0)),"")</f>
        <v/>
      </c>
    </row>
    <row r="3610" customFormat="false" ht="15" hidden="false" customHeight="true" outlineLevel="0" collapsed="false">
      <c r="A3610" s="7" t="s">
        <v>5629</v>
      </c>
      <c r="B3610" s="7" t="s">
        <v>1356</v>
      </c>
      <c r="C3610" s="7" t="n">
        <v>3</v>
      </c>
      <c r="D3610" s="7" t="n">
        <v>37</v>
      </c>
      <c r="E3610" s="7" t="n">
        <v>1</v>
      </c>
      <c r="F3610" s="7" t="s">
        <v>5624</v>
      </c>
      <c r="G3610" s="12" t="str">
        <f aca="false">IFERROR(INDEX('Semrush Data'!$A$1:$Z$20000,MATCH(A3610,'Semrush Data'!$A$1:$A$20000,0),MATCH("Volume",'Semrush Data'!$A$1:$Z$1,0)),"")</f>
        <v/>
      </c>
      <c r="H3610" s="7" t="str">
        <f aca="false">IFERROR(INDEX('Semrush Data'!$A$1:$Z$20000,MATCH(A3610,'Semrush Data'!$A$1:$A$20000,0),MATCH("Keyword Difficulty*",'Semrush Data'!$A$1:$Z$1,0)),"")</f>
        <v/>
      </c>
      <c r="I3610" s="13" t="str">
        <f aca="false">IFERROR(INDEX('Semrush Data'!$A$1:$Z$20000,MATCH(A3610,'Semrush Data'!$A$1:$A$20000,0),MATCH("CPC*",'Semrush Data'!$A$1:$Z$1,0)),"")</f>
        <v/>
      </c>
      <c r="J3610" s="7" t="str">
        <f aca="false">IFERROR(INDEX('Semrush Data'!$A$1:$Z$20000,MATCH(A3610,'Semrush Data'!$A$1:$A$20000,0),MATCH("Intent",'Semrush Data'!$A$1:$Z$1,0)),"")</f>
        <v/>
      </c>
    </row>
    <row r="3611" customFormat="false" ht="15" hidden="false" customHeight="true" outlineLevel="0" collapsed="false">
      <c r="A3611" s="7" t="s">
        <v>5640</v>
      </c>
      <c r="B3611" s="7" t="s">
        <v>1356</v>
      </c>
      <c r="C3611" s="7" t="n">
        <v>3</v>
      </c>
      <c r="D3611" s="7" t="n">
        <v>37</v>
      </c>
      <c r="E3611" s="7" t="n">
        <v>1</v>
      </c>
      <c r="F3611" s="7" t="s">
        <v>5635</v>
      </c>
      <c r="G3611" s="12" t="str">
        <f aca="false">IFERROR(INDEX('Semrush Data'!$A$1:$Z$20000,MATCH(A3611,'Semrush Data'!$A$1:$A$20000,0),MATCH("Volume",'Semrush Data'!$A$1:$Z$1,0)),"")</f>
        <v/>
      </c>
      <c r="H3611" s="7" t="str">
        <f aca="false">IFERROR(INDEX('Semrush Data'!$A$1:$Z$20000,MATCH(A3611,'Semrush Data'!$A$1:$A$20000,0),MATCH("Keyword Difficulty*",'Semrush Data'!$A$1:$Z$1,0)),"")</f>
        <v/>
      </c>
      <c r="I3611" s="13" t="str">
        <f aca="false">IFERROR(INDEX('Semrush Data'!$A$1:$Z$20000,MATCH(A3611,'Semrush Data'!$A$1:$A$20000,0),MATCH("CPC*",'Semrush Data'!$A$1:$Z$1,0)),"")</f>
        <v/>
      </c>
      <c r="J3611" s="7" t="str">
        <f aca="false">IFERROR(INDEX('Semrush Data'!$A$1:$Z$20000,MATCH(A3611,'Semrush Data'!$A$1:$A$20000,0),MATCH("Intent",'Semrush Data'!$A$1:$Z$1,0)),"")</f>
        <v/>
      </c>
    </row>
    <row r="3612" customFormat="false" ht="15" hidden="false" customHeight="true" outlineLevel="0" collapsed="false">
      <c r="A3612" s="7" t="s">
        <v>5652</v>
      </c>
      <c r="B3612" s="7" t="s">
        <v>1356</v>
      </c>
      <c r="C3612" s="7" t="n">
        <v>3</v>
      </c>
      <c r="D3612" s="7" t="n">
        <v>37</v>
      </c>
      <c r="E3612" s="7" t="n">
        <v>1</v>
      </c>
      <c r="F3612" s="7" t="s">
        <v>5647</v>
      </c>
      <c r="G3612" s="12" t="str">
        <f aca="false">IFERROR(INDEX('Semrush Data'!$A$1:$Z$20000,MATCH(A3612,'Semrush Data'!$A$1:$A$20000,0),MATCH("Volume",'Semrush Data'!$A$1:$Z$1,0)),"")</f>
        <v/>
      </c>
      <c r="H3612" s="7" t="str">
        <f aca="false">IFERROR(INDEX('Semrush Data'!$A$1:$Z$20000,MATCH(A3612,'Semrush Data'!$A$1:$A$20000,0),MATCH("Keyword Difficulty*",'Semrush Data'!$A$1:$Z$1,0)),"")</f>
        <v/>
      </c>
      <c r="I3612" s="13" t="str">
        <f aca="false">IFERROR(INDEX('Semrush Data'!$A$1:$Z$20000,MATCH(A3612,'Semrush Data'!$A$1:$A$20000,0),MATCH("CPC*",'Semrush Data'!$A$1:$Z$1,0)),"")</f>
        <v/>
      </c>
      <c r="J3612" s="7" t="str">
        <f aca="false">IFERROR(INDEX('Semrush Data'!$A$1:$Z$20000,MATCH(A3612,'Semrush Data'!$A$1:$A$20000,0),MATCH("Intent",'Semrush Data'!$A$1:$Z$1,0)),"")</f>
        <v/>
      </c>
    </row>
    <row r="3613" customFormat="false" ht="15" hidden="false" customHeight="true" outlineLevel="0" collapsed="false">
      <c r="A3613" s="7" t="s">
        <v>5663</v>
      </c>
      <c r="B3613" s="7" t="s">
        <v>1356</v>
      </c>
      <c r="C3613" s="7" t="n">
        <v>3</v>
      </c>
      <c r="D3613" s="7" t="n">
        <v>37</v>
      </c>
      <c r="E3613" s="7" t="n">
        <v>1</v>
      </c>
      <c r="F3613" s="7" t="s">
        <v>5658</v>
      </c>
      <c r="G3613" s="12" t="str">
        <f aca="false">IFERROR(INDEX('Semrush Data'!$A$1:$Z$20000,MATCH(A3613,'Semrush Data'!$A$1:$A$20000,0),MATCH("Volume",'Semrush Data'!$A$1:$Z$1,0)),"")</f>
        <v/>
      </c>
      <c r="H3613" s="7" t="str">
        <f aca="false">IFERROR(INDEX('Semrush Data'!$A$1:$Z$20000,MATCH(A3613,'Semrush Data'!$A$1:$A$20000,0),MATCH("Keyword Difficulty*",'Semrush Data'!$A$1:$Z$1,0)),"")</f>
        <v/>
      </c>
      <c r="I3613" s="13" t="str">
        <f aca="false">IFERROR(INDEX('Semrush Data'!$A$1:$Z$20000,MATCH(A3613,'Semrush Data'!$A$1:$A$20000,0),MATCH("CPC*",'Semrush Data'!$A$1:$Z$1,0)),"")</f>
        <v/>
      </c>
      <c r="J3613" s="7" t="str">
        <f aca="false">IFERROR(INDEX('Semrush Data'!$A$1:$Z$20000,MATCH(A3613,'Semrush Data'!$A$1:$A$20000,0),MATCH("Intent",'Semrush Data'!$A$1:$Z$1,0)),"")</f>
        <v/>
      </c>
    </row>
    <row r="3614" customFormat="false" ht="15" hidden="false" customHeight="true" outlineLevel="0" collapsed="false">
      <c r="A3614" s="7" t="s">
        <v>5675</v>
      </c>
      <c r="B3614" s="7" t="s">
        <v>1356</v>
      </c>
      <c r="C3614" s="7" t="n">
        <v>3</v>
      </c>
      <c r="D3614" s="7" t="n">
        <v>37</v>
      </c>
      <c r="E3614" s="7" t="n">
        <v>1</v>
      </c>
      <c r="F3614" s="7" t="s">
        <v>5669</v>
      </c>
      <c r="G3614" s="12" t="str">
        <f aca="false">IFERROR(INDEX('Semrush Data'!$A$1:$Z$20000,MATCH(A3614,'Semrush Data'!$A$1:$A$20000,0),MATCH("Volume",'Semrush Data'!$A$1:$Z$1,0)),"")</f>
        <v/>
      </c>
      <c r="H3614" s="7" t="str">
        <f aca="false">IFERROR(INDEX('Semrush Data'!$A$1:$Z$20000,MATCH(A3614,'Semrush Data'!$A$1:$A$20000,0),MATCH("Keyword Difficulty*",'Semrush Data'!$A$1:$Z$1,0)),"")</f>
        <v/>
      </c>
      <c r="I3614" s="13" t="str">
        <f aca="false">IFERROR(INDEX('Semrush Data'!$A$1:$Z$20000,MATCH(A3614,'Semrush Data'!$A$1:$A$20000,0),MATCH("CPC*",'Semrush Data'!$A$1:$Z$1,0)),"")</f>
        <v/>
      </c>
      <c r="J3614" s="7" t="str">
        <f aca="false">IFERROR(INDEX('Semrush Data'!$A$1:$Z$20000,MATCH(A3614,'Semrush Data'!$A$1:$A$20000,0),MATCH("Intent",'Semrush Data'!$A$1:$Z$1,0)),"")</f>
        <v/>
      </c>
    </row>
    <row r="3615" customFormat="false" ht="15" hidden="false" customHeight="true" outlineLevel="0" collapsed="false">
      <c r="A3615" s="7" t="s">
        <v>5688</v>
      </c>
      <c r="B3615" s="7" t="s">
        <v>1356</v>
      </c>
      <c r="C3615" s="7" t="n">
        <v>3</v>
      </c>
      <c r="D3615" s="7" t="n">
        <v>37</v>
      </c>
      <c r="E3615" s="7" t="n">
        <v>1</v>
      </c>
      <c r="F3615" s="7" t="s">
        <v>5682</v>
      </c>
      <c r="G3615" s="12" t="str">
        <f aca="false">IFERROR(INDEX('Semrush Data'!$A$1:$Z$20000,MATCH(A3615,'Semrush Data'!$A$1:$A$20000,0),MATCH("Volume",'Semrush Data'!$A$1:$Z$1,0)),"")</f>
        <v/>
      </c>
      <c r="H3615" s="7" t="str">
        <f aca="false">IFERROR(INDEX('Semrush Data'!$A$1:$Z$20000,MATCH(A3615,'Semrush Data'!$A$1:$A$20000,0),MATCH("Keyword Difficulty*",'Semrush Data'!$A$1:$Z$1,0)),"")</f>
        <v/>
      </c>
      <c r="I3615" s="13" t="str">
        <f aca="false">IFERROR(INDEX('Semrush Data'!$A$1:$Z$20000,MATCH(A3615,'Semrush Data'!$A$1:$A$20000,0),MATCH("CPC*",'Semrush Data'!$A$1:$Z$1,0)),"")</f>
        <v/>
      </c>
      <c r="J3615" s="7" t="str">
        <f aca="false">IFERROR(INDEX('Semrush Data'!$A$1:$Z$20000,MATCH(A3615,'Semrush Data'!$A$1:$A$20000,0),MATCH("Intent",'Semrush Data'!$A$1:$Z$1,0)),"")</f>
        <v/>
      </c>
    </row>
    <row r="3616" customFormat="false" ht="15" hidden="false" customHeight="true" outlineLevel="0" collapsed="false">
      <c r="A3616" s="7" t="s">
        <v>5701</v>
      </c>
      <c r="B3616" s="7" t="s">
        <v>1356</v>
      </c>
      <c r="C3616" s="7" t="n">
        <v>3</v>
      </c>
      <c r="D3616" s="7" t="n">
        <v>37</v>
      </c>
      <c r="E3616" s="7" t="n">
        <v>1</v>
      </c>
      <c r="F3616" s="7" t="s">
        <v>5695</v>
      </c>
      <c r="G3616" s="12" t="str">
        <f aca="false">IFERROR(INDEX('Semrush Data'!$A$1:$Z$20000,MATCH(A3616,'Semrush Data'!$A$1:$A$20000,0),MATCH("Volume",'Semrush Data'!$A$1:$Z$1,0)),"")</f>
        <v/>
      </c>
      <c r="H3616" s="7" t="str">
        <f aca="false">IFERROR(INDEX('Semrush Data'!$A$1:$Z$20000,MATCH(A3616,'Semrush Data'!$A$1:$A$20000,0),MATCH("Keyword Difficulty*",'Semrush Data'!$A$1:$Z$1,0)),"")</f>
        <v/>
      </c>
      <c r="I3616" s="13" t="str">
        <f aca="false">IFERROR(INDEX('Semrush Data'!$A$1:$Z$20000,MATCH(A3616,'Semrush Data'!$A$1:$A$20000,0),MATCH("CPC*",'Semrush Data'!$A$1:$Z$1,0)),"")</f>
        <v/>
      </c>
      <c r="J3616" s="7" t="str">
        <f aca="false">IFERROR(INDEX('Semrush Data'!$A$1:$Z$20000,MATCH(A3616,'Semrush Data'!$A$1:$A$20000,0),MATCH("Intent",'Semrush Data'!$A$1:$Z$1,0)),"")</f>
        <v/>
      </c>
    </row>
    <row r="3617" customFormat="false" ht="15" hidden="false" customHeight="true" outlineLevel="0" collapsed="false">
      <c r="A3617" s="7" t="s">
        <v>5713</v>
      </c>
      <c r="B3617" s="7" t="s">
        <v>1356</v>
      </c>
      <c r="C3617" s="7" t="n">
        <v>3</v>
      </c>
      <c r="D3617" s="7" t="n">
        <v>37</v>
      </c>
      <c r="E3617" s="7" t="n">
        <v>1</v>
      </c>
      <c r="F3617" s="7" t="s">
        <v>5708</v>
      </c>
      <c r="G3617" s="12" t="str">
        <f aca="false">IFERROR(INDEX('Semrush Data'!$A$1:$Z$20000,MATCH(A3617,'Semrush Data'!$A$1:$A$20000,0),MATCH("Volume",'Semrush Data'!$A$1:$Z$1,0)),"")</f>
        <v/>
      </c>
      <c r="H3617" s="7" t="str">
        <f aca="false">IFERROR(INDEX('Semrush Data'!$A$1:$Z$20000,MATCH(A3617,'Semrush Data'!$A$1:$A$20000,0),MATCH("Keyword Difficulty*",'Semrush Data'!$A$1:$Z$1,0)),"")</f>
        <v/>
      </c>
      <c r="I3617" s="13" t="str">
        <f aca="false">IFERROR(INDEX('Semrush Data'!$A$1:$Z$20000,MATCH(A3617,'Semrush Data'!$A$1:$A$20000,0),MATCH("CPC*",'Semrush Data'!$A$1:$Z$1,0)),"")</f>
        <v/>
      </c>
      <c r="J3617" s="7" t="str">
        <f aca="false">IFERROR(INDEX('Semrush Data'!$A$1:$Z$20000,MATCH(A3617,'Semrush Data'!$A$1:$A$20000,0),MATCH("Intent",'Semrush Data'!$A$1:$Z$1,0)),"")</f>
        <v/>
      </c>
    </row>
    <row r="3618" customFormat="false" ht="15" hidden="false" customHeight="true" outlineLevel="0" collapsed="false">
      <c r="A3618" s="7" t="s">
        <v>5724</v>
      </c>
      <c r="B3618" s="7" t="s">
        <v>1356</v>
      </c>
      <c r="C3618" s="7" t="n">
        <v>3</v>
      </c>
      <c r="D3618" s="7" t="n">
        <v>37</v>
      </c>
      <c r="E3618" s="7" t="n">
        <v>1</v>
      </c>
      <c r="F3618" s="7" t="s">
        <v>5719</v>
      </c>
      <c r="G3618" s="12" t="str">
        <f aca="false">IFERROR(INDEX('Semrush Data'!$A$1:$Z$20000,MATCH(A3618,'Semrush Data'!$A$1:$A$20000,0),MATCH("Volume",'Semrush Data'!$A$1:$Z$1,0)),"")</f>
        <v/>
      </c>
      <c r="H3618" s="7" t="str">
        <f aca="false">IFERROR(INDEX('Semrush Data'!$A$1:$Z$20000,MATCH(A3618,'Semrush Data'!$A$1:$A$20000,0),MATCH("Keyword Difficulty*",'Semrush Data'!$A$1:$Z$1,0)),"")</f>
        <v/>
      </c>
      <c r="I3618" s="13" t="str">
        <f aca="false">IFERROR(INDEX('Semrush Data'!$A$1:$Z$20000,MATCH(A3618,'Semrush Data'!$A$1:$A$20000,0),MATCH("CPC*",'Semrush Data'!$A$1:$Z$1,0)),"")</f>
        <v/>
      </c>
      <c r="J3618" s="7" t="str">
        <f aca="false">IFERROR(INDEX('Semrush Data'!$A$1:$Z$20000,MATCH(A3618,'Semrush Data'!$A$1:$A$20000,0),MATCH("Intent",'Semrush Data'!$A$1:$Z$1,0)),"")</f>
        <v/>
      </c>
    </row>
    <row r="3619" customFormat="false" ht="15" hidden="false" customHeight="true" outlineLevel="0" collapsed="false">
      <c r="A3619" s="7" t="s">
        <v>5848</v>
      </c>
      <c r="B3619" s="7" t="s">
        <v>1356</v>
      </c>
      <c r="C3619" s="7" t="n">
        <v>3</v>
      </c>
      <c r="D3619" s="7" t="n">
        <v>37</v>
      </c>
      <c r="E3619" s="7" t="n">
        <v>1</v>
      </c>
      <c r="F3619" s="7" t="s">
        <v>5842</v>
      </c>
      <c r="G3619" s="12" t="str">
        <f aca="false">IFERROR(INDEX('Semrush Data'!$A$1:$Z$20000,MATCH(A3619,'Semrush Data'!$A$1:$A$20000,0),MATCH("Volume",'Semrush Data'!$A$1:$Z$1,0)),"")</f>
        <v/>
      </c>
      <c r="H3619" s="7" t="str">
        <f aca="false">IFERROR(INDEX('Semrush Data'!$A$1:$Z$20000,MATCH(A3619,'Semrush Data'!$A$1:$A$20000,0),MATCH("Keyword Difficulty*",'Semrush Data'!$A$1:$Z$1,0)),"")</f>
        <v/>
      </c>
      <c r="I3619" s="13" t="str">
        <f aca="false">IFERROR(INDEX('Semrush Data'!$A$1:$Z$20000,MATCH(A3619,'Semrush Data'!$A$1:$A$20000,0),MATCH("CPC*",'Semrush Data'!$A$1:$Z$1,0)),"")</f>
        <v/>
      </c>
      <c r="J3619" s="7" t="str">
        <f aca="false">IFERROR(INDEX('Semrush Data'!$A$1:$Z$20000,MATCH(A3619,'Semrush Data'!$A$1:$A$20000,0),MATCH("Intent",'Semrush Data'!$A$1:$Z$1,0)),"")</f>
        <v/>
      </c>
    </row>
    <row r="3620" customFormat="false" ht="15" hidden="false" customHeight="true" outlineLevel="0" collapsed="false">
      <c r="A3620" s="7" t="s">
        <v>5736</v>
      </c>
      <c r="B3620" s="7" t="s">
        <v>1356</v>
      </c>
      <c r="C3620" s="7" t="n">
        <v>3</v>
      </c>
      <c r="D3620" s="7" t="n">
        <v>37</v>
      </c>
      <c r="E3620" s="7" t="n">
        <v>1</v>
      </c>
      <c r="F3620" s="7" t="s">
        <v>5731</v>
      </c>
      <c r="G3620" s="12" t="str">
        <f aca="false">IFERROR(INDEX('Semrush Data'!$A$1:$Z$20000,MATCH(A3620,'Semrush Data'!$A$1:$A$20000,0),MATCH("Volume",'Semrush Data'!$A$1:$Z$1,0)),"")</f>
        <v/>
      </c>
      <c r="H3620" s="7" t="str">
        <f aca="false">IFERROR(INDEX('Semrush Data'!$A$1:$Z$20000,MATCH(A3620,'Semrush Data'!$A$1:$A$20000,0),MATCH("Keyword Difficulty*",'Semrush Data'!$A$1:$Z$1,0)),"")</f>
        <v/>
      </c>
      <c r="I3620" s="13" t="str">
        <f aca="false">IFERROR(INDEX('Semrush Data'!$A$1:$Z$20000,MATCH(A3620,'Semrush Data'!$A$1:$A$20000,0),MATCH("CPC*",'Semrush Data'!$A$1:$Z$1,0)),"")</f>
        <v/>
      </c>
      <c r="J3620" s="7" t="str">
        <f aca="false">IFERROR(INDEX('Semrush Data'!$A$1:$Z$20000,MATCH(A3620,'Semrush Data'!$A$1:$A$20000,0),MATCH("Intent",'Semrush Data'!$A$1:$Z$1,0)),"")</f>
        <v/>
      </c>
    </row>
    <row r="3621" customFormat="false" ht="15" hidden="false" customHeight="true" outlineLevel="0" collapsed="false">
      <c r="A3621" s="7" t="s">
        <v>5826</v>
      </c>
      <c r="B3621" s="7" t="s">
        <v>1356</v>
      </c>
      <c r="C3621" s="7" t="n">
        <v>3</v>
      </c>
      <c r="D3621" s="7" t="n">
        <v>37</v>
      </c>
      <c r="E3621" s="7" t="n">
        <v>1</v>
      </c>
      <c r="F3621" s="7" t="s">
        <v>5821</v>
      </c>
      <c r="G3621" s="12" t="str">
        <f aca="false">IFERROR(INDEX('Semrush Data'!$A$1:$Z$20000,MATCH(A3621,'Semrush Data'!$A$1:$A$20000,0),MATCH("Volume",'Semrush Data'!$A$1:$Z$1,0)),"")</f>
        <v/>
      </c>
      <c r="H3621" s="7" t="str">
        <f aca="false">IFERROR(INDEX('Semrush Data'!$A$1:$Z$20000,MATCH(A3621,'Semrush Data'!$A$1:$A$20000,0),MATCH("Keyword Difficulty*",'Semrush Data'!$A$1:$Z$1,0)),"")</f>
        <v/>
      </c>
      <c r="I3621" s="13" t="str">
        <f aca="false">IFERROR(INDEX('Semrush Data'!$A$1:$Z$20000,MATCH(A3621,'Semrush Data'!$A$1:$A$20000,0),MATCH("CPC*",'Semrush Data'!$A$1:$Z$1,0)),"")</f>
        <v/>
      </c>
      <c r="J3621" s="7" t="str">
        <f aca="false">IFERROR(INDEX('Semrush Data'!$A$1:$Z$20000,MATCH(A3621,'Semrush Data'!$A$1:$A$20000,0),MATCH("Intent",'Semrush Data'!$A$1:$Z$1,0)),"")</f>
        <v/>
      </c>
    </row>
    <row r="3622" customFormat="false" ht="15" hidden="false" customHeight="true" outlineLevel="0" collapsed="false">
      <c r="A3622" s="7" t="s">
        <v>5838</v>
      </c>
      <c r="B3622" s="7" t="s">
        <v>1356</v>
      </c>
      <c r="C3622" s="7" t="n">
        <v>3</v>
      </c>
      <c r="D3622" s="7" t="n">
        <v>37</v>
      </c>
      <c r="E3622" s="7" t="n">
        <v>1</v>
      </c>
      <c r="F3622" s="7" t="s">
        <v>5832</v>
      </c>
      <c r="G3622" s="12" t="str">
        <f aca="false">IFERROR(INDEX('Semrush Data'!$A$1:$Z$20000,MATCH(A3622,'Semrush Data'!$A$1:$A$20000,0),MATCH("Volume",'Semrush Data'!$A$1:$Z$1,0)),"")</f>
        <v/>
      </c>
      <c r="H3622" s="7" t="str">
        <f aca="false">IFERROR(INDEX('Semrush Data'!$A$1:$Z$20000,MATCH(A3622,'Semrush Data'!$A$1:$A$20000,0),MATCH("Keyword Difficulty*",'Semrush Data'!$A$1:$Z$1,0)),"")</f>
        <v/>
      </c>
      <c r="I3622" s="13" t="str">
        <f aca="false">IFERROR(INDEX('Semrush Data'!$A$1:$Z$20000,MATCH(A3622,'Semrush Data'!$A$1:$A$20000,0),MATCH("CPC*",'Semrush Data'!$A$1:$Z$1,0)),"")</f>
        <v/>
      </c>
      <c r="J3622" s="7" t="str">
        <f aca="false">IFERROR(INDEX('Semrush Data'!$A$1:$Z$20000,MATCH(A3622,'Semrush Data'!$A$1:$A$20000,0),MATCH("Intent",'Semrush Data'!$A$1:$Z$1,0)),"")</f>
        <v/>
      </c>
    </row>
    <row r="3623" customFormat="false" ht="15" hidden="false" customHeight="true" outlineLevel="0" collapsed="false">
      <c r="A3623" s="7" t="s">
        <v>5860</v>
      </c>
      <c r="B3623" s="7" t="s">
        <v>1356</v>
      </c>
      <c r="C3623" s="7" t="n">
        <v>3</v>
      </c>
      <c r="D3623" s="7" t="n">
        <v>37</v>
      </c>
      <c r="E3623" s="7" t="n">
        <v>1</v>
      </c>
      <c r="F3623" s="7" t="s">
        <v>5855</v>
      </c>
      <c r="G3623" s="12" t="str">
        <f aca="false">IFERROR(INDEX('Semrush Data'!$A$1:$Z$20000,MATCH(A3623,'Semrush Data'!$A$1:$A$20000,0),MATCH("Volume",'Semrush Data'!$A$1:$Z$1,0)),"")</f>
        <v/>
      </c>
      <c r="H3623" s="7" t="str">
        <f aca="false">IFERROR(INDEX('Semrush Data'!$A$1:$Z$20000,MATCH(A3623,'Semrush Data'!$A$1:$A$20000,0),MATCH("Keyword Difficulty*",'Semrush Data'!$A$1:$Z$1,0)),"")</f>
        <v/>
      </c>
      <c r="I3623" s="13" t="str">
        <f aca="false">IFERROR(INDEX('Semrush Data'!$A$1:$Z$20000,MATCH(A3623,'Semrush Data'!$A$1:$A$20000,0),MATCH("CPC*",'Semrush Data'!$A$1:$Z$1,0)),"")</f>
        <v/>
      </c>
      <c r="J3623" s="7" t="str">
        <f aca="false">IFERROR(INDEX('Semrush Data'!$A$1:$Z$20000,MATCH(A3623,'Semrush Data'!$A$1:$A$20000,0),MATCH("Intent",'Semrush Data'!$A$1:$Z$1,0)),"")</f>
        <v/>
      </c>
    </row>
    <row r="3624" customFormat="false" ht="15" hidden="false" customHeight="true" outlineLevel="0" collapsed="false">
      <c r="A3624" s="7" t="s">
        <v>5747</v>
      </c>
      <c r="B3624" s="7" t="s">
        <v>1356</v>
      </c>
      <c r="C3624" s="7" t="n">
        <v>3</v>
      </c>
      <c r="D3624" s="7" t="n">
        <v>37</v>
      </c>
      <c r="E3624" s="7" t="n">
        <v>1</v>
      </c>
      <c r="F3624" s="7" t="s">
        <v>5742</v>
      </c>
      <c r="G3624" s="12" t="str">
        <f aca="false">IFERROR(INDEX('Semrush Data'!$A$1:$Z$20000,MATCH(A3624,'Semrush Data'!$A$1:$A$20000,0),MATCH("Volume",'Semrush Data'!$A$1:$Z$1,0)),"")</f>
        <v/>
      </c>
      <c r="H3624" s="7" t="str">
        <f aca="false">IFERROR(INDEX('Semrush Data'!$A$1:$Z$20000,MATCH(A3624,'Semrush Data'!$A$1:$A$20000,0),MATCH("Keyword Difficulty*",'Semrush Data'!$A$1:$Z$1,0)),"")</f>
        <v/>
      </c>
      <c r="I3624" s="13" t="str">
        <f aca="false">IFERROR(INDEX('Semrush Data'!$A$1:$Z$20000,MATCH(A3624,'Semrush Data'!$A$1:$A$20000,0),MATCH("CPC*",'Semrush Data'!$A$1:$Z$1,0)),"")</f>
        <v/>
      </c>
      <c r="J3624" s="7" t="str">
        <f aca="false">IFERROR(INDEX('Semrush Data'!$A$1:$Z$20000,MATCH(A3624,'Semrush Data'!$A$1:$A$20000,0),MATCH("Intent",'Semrush Data'!$A$1:$Z$1,0)),"")</f>
        <v/>
      </c>
    </row>
    <row r="3625" customFormat="false" ht="15" hidden="false" customHeight="true" outlineLevel="0" collapsed="false">
      <c r="A3625" s="7" t="s">
        <v>5759</v>
      </c>
      <c r="B3625" s="7" t="s">
        <v>1356</v>
      </c>
      <c r="C3625" s="7" t="n">
        <v>3</v>
      </c>
      <c r="D3625" s="7" t="n">
        <v>37</v>
      </c>
      <c r="E3625" s="7" t="n">
        <v>1</v>
      </c>
      <c r="F3625" s="7" t="s">
        <v>5753</v>
      </c>
      <c r="G3625" s="12" t="str">
        <f aca="false">IFERROR(INDEX('Semrush Data'!$A$1:$Z$20000,MATCH(A3625,'Semrush Data'!$A$1:$A$20000,0),MATCH("Volume",'Semrush Data'!$A$1:$Z$1,0)),"")</f>
        <v/>
      </c>
      <c r="H3625" s="7" t="str">
        <f aca="false">IFERROR(INDEX('Semrush Data'!$A$1:$Z$20000,MATCH(A3625,'Semrush Data'!$A$1:$A$20000,0),MATCH("Keyword Difficulty*",'Semrush Data'!$A$1:$Z$1,0)),"")</f>
        <v/>
      </c>
      <c r="I3625" s="13" t="str">
        <f aca="false">IFERROR(INDEX('Semrush Data'!$A$1:$Z$20000,MATCH(A3625,'Semrush Data'!$A$1:$A$20000,0),MATCH("CPC*",'Semrush Data'!$A$1:$Z$1,0)),"")</f>
        <v/>
      </c>
      <c r="J3625" s="7" t="str">
        <f aca="false">IFERROR(INDEX('Semrush Data'!$A$1:$Z$20000,MATCH(A3625,'Semrush Data'!$A$1:$A$20000,0),MATCH("Intent",'Semrush Data'!$A$1:$Z$1,0)),"")</f>
        <v/>
      </c>
    </row>
    <row r="3626" customFormat="false" ht="15" hidden="false" customHeight="true" outlineLevel="0" collapsed="false">
      <c r="A3626" s="7" t="s">
        <v>5771</v>
      </c>
      <c r="B3626" s="7" t="s">
        <v>1356</v>
      </c>
      <c r="C3626" s="7" t="n">
        <v>3</v>
      </c>
      <c r="D3626" s="7" t="n">
        <v>37</v>
      </c>
      <c r="E3626" s="7" t="n">
        <v>1</v>
      </c>
      <c r="F3626" s="7" t="s">
        <v>5766</v>
      </c>
      <c r="G3626" s="12" t="str">
        <f aca="false">IFERROR(INDEX('Semrush Data'!$A$1:$Z$20000,MATCH(A3626,'Semrush Data'!$A$1:$A$20000,0),MATCH("Volume",'Semrush Data'!$A$1:$Z$1,0)),"")</f>
        <v/>
      </c>
      <c r="H3626" s="7" t="str">
        <f aca="false">IFERROR(INDEX('Semrush Data'!$A$1:$Z$20000,MATCH(A3626,'Semrush Data'!$A$1:$A$20000,0),MATCH("Keyword Difficulty*",'Semrush Data'!$A$1:$Z$1,0)),"")</f>
        <v/>
      </c>
      <c r="I3626" s="13" t="str">
        <f aca="false">IFERROR(INDEX('Semrush Data'!$A$1:$Z$20000,MATCH(A3626,'Semrush Data'!$A$1:$A$20000,0),MATCH("CPC*",'Semrush Data'!$A$1:$Z$1,0)),"")</f>
        <v/>
      </c>
      <c r="J3626" s="7" t="str">
        <f aca="false">IFERROR(INDEX('Semrush Data'!$A$1:$Z$20000,MATCH(A3626,'Semrush Data'!$A$1:$A$20000,0),MATCH("Intent",'Semrush Data'!$A$1:$Z$1,0)),"")</f>
        <v/>
      </c>
    </row>
    <row r="3627" customFormat="false" ht="15" hidden="false" customHeight="true" outlineLevel="0" collapsed="false">
      <c r="A3627" s="7" t="s">
        <v>5782</v>
      </c>
      <c r="B3627" s="7" t="s">
        <v>1356</v>
      </c>
      <c r="C3627" s="7" t="n">
        <v>3</v>
      </c>
      <c r="D3627" s="7" t="n">
        <v>37</v>
      </c>
      <c r="E3627" s="7" t="n">
        <v>1</v>
      </c>
      <c r="F3627" s="7" t="s">
        <v>5777</v>
      </c>
      <c r="G3627" s="12" t="str">
        <f aca="false">IFERROR(INDEX('Semrush Data'!$A$1:$Z$20000,MATCH(A3627,'Semrush Data'!$A$1:$A$20000,0),MATCH("Volume",'Semrush Data'!$A$1:$Z$1,0)),"")</f>
        <v/>
      </c>
      <c r="H3627" s="7" t="str">
        <f aca="false">IFERROR(INDEX('Semrush Data'!$A$1:$Z$20000,MATCH(A3627,'Semrush Data'!$A$1:$A$20000,0),MATCH("Keyword Difficulty*",'Semrush Data'!$A$1:$Z$1,0)),"")</f>
        <v/>
      </c>
      <c r="I3627" s="13" t="str">
        <f aca="false">IFERROR(INDEX('Semrush Data'!$A$1:$Z$20000,MATCH(A3627,'Semrush Data'!$A$1:$A$20000,0),MATCH("CPC*",'Semrush Data'!$A$1:$Z$1,0)),"")</f>
        <v/>
      </c>
      <c r="J3627" s="7" t="str">
        <f aca="false">IFERROR(INDEX('Semrush Data'!$A$1:$Z$20000,MATCH(A3627,'Semrush Data'!$A$1:$A$20000,0),MATCH("Intent",'Semrush Data'!$A$1:$Z$1,0)),"")</f>
        <v/>
      </c>
    </row>
    <row r="3628" customFormat="false" ht="15" hidden="false" customHeight="true" outlineLevel="0" collapsed="false">
      <c r="A3628" s="7" t="s">
        <v>5793</v>
      </c>
      <c r="B3628" s="7" t="s">
        <v>1356</v>
      </c>
      <c r="C3628" s="7" t="n">
        <v>3</v>
      </c>
      <c r="D3628" s="7" t="n">
        <v>37</v>
      </c>
      <c r="E3628" s="7" t="n">
        <v>1</v>
      </c>
      <c r="F3628" s="7" t="s">
        <v>5788</v>
      </c>
      <c r="G3628" s="12" t="str">
        <f aca="false">IFERROR(INDEX('Semrush Data'!$A$1:$Z$20000,MATCH(A3628,'Semrush Data'!$A$1:$A$20000,0),MATCH("Volume",'Semrush Data'!$A$1:$Z$1,0)),"")</f>
        <v/>
      </c>
      <c r="H3628" s="7" t="str">
        <f aca="false">IFERROR(INDEX('Semrush Data'!$A$1:$Z$20000,MATCH(A3628,'Semrush Data'!$A$1:$A$20000,0),MATCH("Keyword Difficulty*",'Semrush Data'!$A$1:$Z$1,0)),"")</f>
        <v/>
      </c>
      <c r="I3628" s="13" t="str">
        <f aca="false">IFERROR(INDEX('Semrush Data'!$A$1:$Z$20000,MATCH(A3628,'Semrush Data'!$A$1:$A$20000,0),MATCH("CPC*",'Semrush Data'!$A$1:$Z$1,0)),"")</f>
        <v/>
      </c>
      <c r="J3628" s="7" t="str">
        <f aca="false">IFERROR(INDEX('Semrush Data'!$A$1:$Z$20000,MATCH(A3628,'Semrush Data'!$A$1:$A$20000,0),MATCH("Intent",'Semrush Data'!$A$1:$Z$1,0)),"")</f>
        <v/>
      </c>
    </row>
    <row r="3629" customFormat="false" ht="15" hidden="false" customHeight="true" outlineLevel="0" collapsed="false">
      <c r="A3629" s="7" t="s">
        <v>5871</v>
      </c>
      <c r="B3629" s="7" t="s">
        <v>1356</v>
      </c>
      <c r="C3629" s="7" t="n">
        <v>3</v>
      </c>
      <c r="D3629" s="7" t="n">
        <v>37</v>
      </c>
      <c r="E3629" s="7" t="n">
        <v>1</v>
      </c>
      <c r="F3629" s="7" t="s">
        <v>5866</v>
      </c>
      <c r="G3629" s="12" t="str">
        <f aca="false">IFERROR(INDEX('Semrush Data'!$A$1:$Z$20000,MATCH(A3629,'Semrush Data'!$A$1:$A$20000,0),MATCH("Volume",'Semrush Data'!$A$1:$Z$1,0)),"")</f>
        <v/>
      </c>
      <c r="H3629" s="7" t="str">
        <f aca="false">IFERROR(INDEX('Semrush Data'!$A$1:$Z$20000,MATCH(A3629,'Semrush Data'!$A$1:$A$20000,0),MATCH("Keyword Difficulty*",'Semrush Data'!$A$1:$Z$1,0)),"")</f>
        <v/>
      </c>
      <c r="I3629" s="13" t="str">
        <f aca="false">IFERROR(INDEX('Semrush Data'!$A$1:$Z$20000,MATCH(A3629,'Semrush Data'!$A$1:$A$20000,0),MATCH("CPC*",'Semrush Data'!$A$1:$Z$1,0)),"")</f>
        <v/>
      </c>
      <c r="J3629" s="7" t="str">
        <f aca="false">IFERROR(INDEX('Semrush Data'!$A$1:$Z$20000,MATCH(A3629,'Semrush Data'!$A$1:$A$20000,0),MATCH("Intent",'Semrush Data'!$A$1:$Z$1,0)),"")</f>
        <v/>
      </c>
    </row>
    <row r="3630" customFormat="false" ht="15" hidden="false" customHeight="true" outlineLevel="0" collapsed="false">
      <c r="A3630" s="7" t="s">
        <v>5804</v>
      </c>
      <c r="B3630" s="7" t="s">
        <v>1356</v>
      </c>
      <c r="C3630" s="7" t="n">
        <v>3</v>
      </c>
      <c r="D3630" s="7" t="n">
        <v>37</v>
      </c>
      <c r="E3630" s="7" t="n">
        <v>1</v>
      </c>
      <c r="F3630" s="7" t="s">
        <v>5799</v>
      </c>
      <c r="G3630" s="12" t="str">
        <f aca="false">IFERROR(INDEX('Semrush Data'!$A$1:$Z$20000,MATCH(A3630,'Semrush Data'!$A$1:$A$20000,0),MATCH("Volume",'Semrush Data'!$A$1:$Z$1,0)),"")</f>
        <v/>
      </c>
      <c r="H3630" s="7" t="str">
        <f aca="false">IFERROR(INDEX('Semrush Data'!$A$1:$Z$20000,MATCH(A3630,'Semrush Data'!$A$1:$A$20000,0),MATCH("Keyword Difficulty*",'Semrush Data'!$A$1:$Z$1,0)),"")</f>
        <v/>
      </c>
      <c r="I3630" s="13" t="str">
        <f aca="false">IFERROR(INDEX('Semrush Data'!$A$1:$Z$20000,MATCH(A3630,'Semrush Data'!$A$1:$A$20000,0),MATCH("CPC*",'Semrush Data'!$A$1:$Z$1,0)),"")</f>
        <v/>
      </c>
      <c r="J3630" s="7" t="str">
        <f aca="false">IFERROR(INDEX('Semrush Data'!$A$1:$Z$20000,MATCH(A3630,'Semrush Data'!$A$1:$A$20000,0),MATCH("Intent",'Semrush Data'!$A$1:$Z$1,0)),"")</f>
        <v/>
      </c>
    </row>
    <row r="3631" customFormat="false" ht="15" hidden="false" customHeight="true" outlineLevel="0" collapsed="false">
      <c r="A3631" s="7" t="s">
        <v>5815</v>
      </c>
      <c r="B3631" s="7" t="s">
        <v>1356</v>
      </c>
      <c r="C3631" s="7" t="n">
        <v>3</v>
      </c>
      <c r="D3631" s="7" t="n">
        <v>37</v>
      </c>
      <c r="E3631" s="7" t="n">
        <v>1</v>
      </c>
      <c r="F3631" s="7" t="s">
        <v>5810</v>
      </c>
      <c r="G3631" s="12" t="str">
        <f aca="false">IFERROR(INDEX('Semrush Data'!$A$1:$Z$20000,MATCH(A3631,'Semrush Data'!$A$1:$A$20000,0),MATCH("Volume",'Semrush Data'!$A$1:$Z$1,0)),"")</f>
        <v/>
      </c>
      <c r="H3631" s="7" t="str">
        <f aca="false">IFERROR(INDEX('Semrush Data'!$A$1:$Z$20000,MATCH(A3631,'Semrush Data'!$A$1:$A$20000,0),MATCH("Keyword Difficulty*",'Semrush Data'!$A$1:$Z$1,0)),"")</f>
        <v/>
      </c>
      <c r="I3631" s="13" t="str">
        <f aca="false">IFERROR(INDEX('Semrush Data'!$A$1:$Z$20000,MATCH(A3631,'Semrush Data'!$A$1:$A$20000,0),MATCH("CPC*",'Semrush Data'!$A$1:$Z$1,0)),"")</f>
        <v/>
      </c>
      <c r="J3631" s="7" t="str">
        <f aca="false">IFERROR(INDEX('Semrush Data'!$A$1:$Z$20000,MATCH(A3631,'Semrush Data'!$A$1:$A$20000,0),MATCH("Intent",'Semrush Data'!$A$1:$Z$1,0)),"")</f>
        <v/>
      </c>
    </row>
    <row r="3632" customFormat="false" ht="15" hidden="false" customHeight="true" outlineLevel="0" collapsed="false">
      <c r="A3632" s="7" t="s">
        <v>5957</v>
      </c>
      <c r="B3632" s="7" t="s">
        <v>1356</v>
      </c>
      <c r="C3632" s="7" t="n">
        <v>3</v>
      </c>
      <c r="D3632" s="7" t="n">
        <v>37</v>
      </c>
      <c r="E3632" s="7" t="n">
        <v>1</v>
      </c>
      <c r="F3632" s="7" t="s">
        <v>5951</v>
      </c>
      <c r="G3632" s="12" t="str">
        <f aca="false">IFERROR(INDEX('Semrush Data'!$A$1:$Z$20000,MATCH(A3632,'Semrush Data'!$A$1:$A$20000,0),MATCH("Volume",'Semrush Data'!$A$1:$Z$1,0)),"")</f>
        <v/>
      </c>
      <c r="H3632" s="7" t="str">
        <f aca="false">IFERROR(INDEX('Semrush Data'!$A$1:$Z$20000,MATCH(A3632,'Semrush Data'!$A$1:$A$20000,0),MATCH("Keyword Difficulty*",'Semrush Data'!$A$1:$Z$1,0)),"")</f>
        <v/>
      </c>
      <c r="I3632" s="13" t="str">
        <f aca="false">IFERROR(INDEX('Semrush Data'!$A$1:$Z$20000,MATCH(A3632,'Semrush Data'!$A$1:$A$20000,0),MATCH("CPC*",'Semrush Data'!$A$1:$Z$1,0)),"")</f>
        <v/>
      </c>
      <c r="J3632" s="7" t="str">
        <f aca="false">IFERROR(INDEX('Semrush Data'!$A$1:$Z$20000,MATCH(A3632,'Semrush Data'!$A$1:$A$20000,0),MATCH("Intent",'Semrush Data'!$A$1:$Z$1,0)),"")</f>
        <v/>
      </c>
    </row>
    <row r="3633" customFormat="false" ht="15" hidden="false" customHeight="true" outlineLevel="0" collapsed="false">
      <c r="A3633" s="7" t="s">
        <v>5969</v>
      </c>
      <c r="B3633" s="7" t="s">
        <v>1356</v>
      </c>
      <c r="C3633" s="7" t="n">
        <v>3</v>
      </c>
      <c r="D3633" s="7" t="n">
        <v>37</v>
      </c>
      <c r="E3633" s="7" t="n">
        <v>1</v>
      </c>
      <c r="F3633" s="7" t="s">
        <v>5964</v>
      </c>
      <c r="G3633" s="12" t="str">
        <f aca="false">IFERROR(INDEX('Semrush Data'!$A$1:$Z$20000,MATCH(A3633,'Semrush Data'!$A$1:$A$20000,0),MATCH("Volume",'Semrush Data'!$A$1:$Z$1,0)),"")</f>
        <v/>
      </c>
      <c r="H3633" s="7" t="str">
        <f aca="false">IFERROR(INDEX('Semrush Data'!$A$1:$Z$20000,MATCH(A3633,'Semrush Data'!$A$1:$A$20000,0),MATCH("Keyword Difficulty*",'Semrush Data'!$A$1:$Z$1,0)),"")</f>
        <v/>
      </c>
      <c r="I3633" s="13" t="str">
        <f aca="false">IFERROR(INDEX('Semrush Data'!$A$1:$Z$20000,MATCH(A3633,'Semrush Data'!$A$1:$A$20000,0),MATCH("CPC*",'Semrush Data'!$A$1:$Z$1,0)),"")</f>
        <v/>
      </c>
      <c r="J3633" s="7" t="str">
        <f aca="false">IFERROR(INDEX('Semrush Data'!$A$1:$Z$20000,MATCH(A3633,'Semrush Data'!$A$1:$A$20000,0),MATCH("Intent",'Semrush Data'!$A$1:$Z$1,0)),"")</f>
        <v/>
      </c>
    </row>
    <row r="3634" customFormat="false" ht="15" hidden="false" customHeight="true" outlineLevel="0" collapsed="false">
      <c r="A3634" s="7" t="s">
        <v>5980</v>
      </c>
      <c r="B3634" s="7" t="s">
        <v>1356</v>
      </c>
      <c r="C3634" s="7" t="n">
        <v>3</v>
      </c>
      <c r="D3634" s="7" t="n">
        <v>37</v>
      </c>
      <c r="E3634" s="7" t="n">
        <v>1</v>
      </c>
      <c r="F3634" s="7" t="s">
        <v>5975</v>
      </c>
      <c r="G3634" s="12" t="str">
        <f aca="false">IFERROR(INDEX('Semrush Data'!$A$1:$Z$20000,MATCH(A3634,'Semrush Data'!$A$1:$A$20000,0),MATCH("Volume",'Semrush Data'!$A$1:$Z$1,0)),"")</f>
        <v/>
      </c>
      <c r="H3634" s="7" t="str">
        <f aca="false">IFERROR(INDEX('Semrush Data'!$A$1:$Z$20000,MATCH(A3634,'Semrush Data'!$A$1:$A$20000,0),MATCH("Keyword Difficulty*",'Semrush Data'!$A$1:$Z$1,0)),"")</f>
        <v/>
      </c>
      <c r="I3634" s="13" t="str">
        <f aca="false">IFERROR(INDEX('Semrush Data'!$A$1:$Z$20000,MATCH(A3634,'Semrush Data'!$A$1:$A$20000,0),MATCH("CPC*",'Semrush Data'!$A$1:$Z$1,0)),"")</f>
        <v/>
      </c>
      <c r="J3634" s="7" t="str">
        <f aca="false">IFERROR(INDEX('Semrush Data'!$A$1:$Z$20000,MATCH(A3634,'Semrush Data'!$A$1:$A$20000,0),MATCH("Intent",'Semrush Data'!$A$1:$Z$1,0)),"")</f>
        <v/>
      </c>
    </row>
    <row r="3635" customFormat="false" ht="15" hidden="false" customHeight="true" outlineLevel="0" collapsed="false">
      <c r="A3635" s="7" t="s">
        <v>5991</v>
      </c>
      <c r="B3635" s="7" t="s">
        <v>1356</v>
      </c>
      <c r="C3635" s="7" t="n">
        <v>3</v>
      </c>
      <c r="D3635" s="7" t="n">
        <v>37</v>
      </c>
      <c r="E3635" s="7" t="n">
        <v>1</v>
      </c>
      <c r="F3635" s="7" t="s">
        <v>5985</v>
      </c>
      <c r="G3635" s="12" t="str">
        <f aca="false">IFERROR(INDEX('Semrush Data'!$A$1:$Z$20000,MATCH(A3635,'Semrush Data'!$A$1:$A$20000,0),MATCH("Volume",'Semrush Data'!$A$1:$Z$1,0)),"")</f>
        <v/>
      </c>
      <c r="H3635" s="7" t="str">
        <f aca="false">IFERROR(INDEX('Semrush Data'!$A$1:$Z$20000,MATCH(A3635,'Semrush Data'!$A$1:$A$20000,0),MATCH("Keyword Difficulty*",'Semrush Data'!$A$1:$Z$1,0)),"")</f>
        <v/>
      </c>
      <c r="I3635" s="13" t="str">
        <f aca="false">IFERROR(INDEX('Semrush Data'!$A$1:$Z$20000,MATCH(A3635,'Semrush Data'!$A$1:$A$20000,0),MATCH("CPC*",'Semrush Data'!$A$1:$Z$1,0)),"")</f>
        <v/>
      </c>
      <c r="J3635" s="7" t="str">
        <f aca="false">IFERROR(INDEX('Semrush Data'!$A$1:$Z$20000,MATCH(A3635,'Semrush Data'!$A$1:$A$20000,0),MATCH("Intent",'Semrush Data'!$A$1:$Z$1,0)),"")</f>
        <v/>
      </c>
    </row>
    <row r="3636" customFormat="false" ht="15" hidden="false" customHeight="true" outlineLevel="0" collapsed="false">
      <c r="A3636" s="7" t="s">
        <v>6003</v>
      </c>
      <c r="B3636" s="7" t="s">
        <v>1356</v>
      </c>
      <c r="C3636" s="7" t="n">
        <v>3</v>
      </c>
      <c r="D3636" s="7" t="n">
        <v>37</v>
      </c>
      <c r="E3636" s="7" t="n">
        <v>1</v>
      </c>
      <c r="F3636" s="7" t="s">
        <v>5998</v>
      </c>
      <c r="G3636" s="12" t="str">
        <f aca="false">IFERROR(INDEX('Semrush Data'!$A$1:$Z$20000,MATCH(A3636,'Semrush Data'!$A$1:$A$20000,0),MATCH("Volume",'Semrush Data'!$A$1:$Z$1,0)),"")</f>
        <v/>
      </c>
      <c r="H3636" s="7" t="str">
        <f aca="false">IFERROR(INDEX('Semrush Data'!$A$1:$Z$20000,MATCH(A3636,'Semrush Data'!$A$1:$A$20000,0),MATCH("Keyword Difficulty*",'Semrush Data'!$A$1:$Z$1,0)),"")</f>
        <v/>
      </c>
      <c r="I3636" s="13" t="str">
        <f aca="false">IFERROR(INDEX('Semrush Data'!$A$1:$Z$20000,MATCH(A3636,'Semrush Data'!$A$1:$A$20000,0),MATCH("CPC*",'Semrush Data'!$A$1:$Z$1,0)),"")</f>
        <v/>
      </c>
      <c r="J3636" s="7" t="str">
        <f aca="false">IFERROR(INDEX('Semrush Data'!$A$1:$Z$20000,MATCH(A3636,'Semrush Data'!$A$1:$A$20000,0),MATCH("Intent",'Semrush Data'!$A$1:$Z$1,0)),"")</f>
        <v/>
      </c>
    </row>
    <row r="3637" customFormat="false" ht="15" hidden="false" customHeight="true" outlineLevel="0" collapsed="false">
      <c r="A3637" s="7" t="s">
        <v>6014</v>
      </c>
      <c r="B3637" s="7" t="s">
        <v>1356</v>
      </c>
      <c r="C3637" s="7" t="n">
        <v>3</v>
      </c>
      <c r="D3637" s="7" t="n">
        <v>37</v>
      </c>
      <c r="E3637" s="7" t="n">
        <v>1</v>
      </c>
      <c r="F3637" s="7" t="s">
        <v>6009</v>
      </c>
      <c r="G3637" s="12" t="str">
        <f aca="false">IFERROR(INDEX('Semrush Data'!$A$1:$Z$20000,MATCH(A3637,'Semrush Data'!$A$1:$A$20000,0),MATCH("Volume",'Semrush Data'!$A$1:$Z$1,0)),"")</f>
        <v/>
      </c>
      <c r="H3637" s="7" t="str">
        <f aca="false">IFERROR(INDEX('Semrush Data'!$A$1:$Z$20000,MATCH(A3637,'Semrush Data'!$A$1:$A$20000,0),MATCH("Keyword Difficulty*",'Semrush Data'!$A$1:$Z$1,0)),"")</f>
        <v/>
      </c>
      <c r="I3637" s="13" t="str">
        <f aca="false">IFERROR(INDEX('Semrush Data'!$A$1:$Z$20000,MATCH(A3637,'Semrush Data'!$A$1:$A$20000,0),MATCH("CPC*",'Semrush Data'!$A$1:$Z$1,0)),"")</f>
        <v/>
      </c>
      <c r="J3637" s="7" t="str">
        <f aca="false">IFERROR(INDEX('Semrush Data'!$A$1:$Z$20000,MATCH(A3637,'Semrush Data'!$A$1:$A$20000,0),MATCH("Intent",'Semrush Data'!$A$1:$Z$1,0)),"")</f>
        <v/>
      </c>
    </row>
    <row r="3638" customFormat="false" ht="15" hidden="false" customHeight="true" outlineLevel="0" collapsed="false">
      <c r="A3638" s="7" t="s">
        <v>6025</v>
      </c>
      <c r="B3638" s="7" t="s">
        <v>1356</v>
      </c>
      <c r="C3638" s="7" t="n">
        <v>3</v>
      </c>
      <c r="D3638" s="7" t="n">
        <v>37</v>
      </c>
      <c r="E3638" s="7" t="n">
        <v>1</v>
      </c>
      <c r="F3638" s="7" t="s">
        <v>6020</v>
      </c>
      <c r="G3638" s="12" t="str">
        <f aca="false">IFERROR(INDEX('Semrush Data'!$A$1:$Z$20000,MATCH(A3638,'Semrush Data'!$A$1:$A$20000,0),MATCH("Volume",'Semrush Data'!$A$1:$Z$1,0)),"")</f>
        <v/>
      </c>
      <c r="H3638" s="7" t="str">
        <f aca="false">IFERROR(INDEX('Semrush Data'!$A$1:$Z$20000,MATCH(A3638,'Semrush Data'!$A$1:$A$20000,0),MATCH("Keyword Difficulty*",'Semrush Data'!$A$1:$Z$1,0)),"")</f>
        <v/>
      </c>
      <c r="I3638" s="13" t="str">
        <f aca="false">IFERROR(INDEX('Semrush Data'!$A$1:$Z$20000,MATCH(A3638,'Semrush Data'!$A$1:$A$20000,0),MATCH("CPC*",'Semrush Data'!$A$1:$Z$1,0)),"")</f>
        <v/>
      </c>
      <c r="J3638" s="7" t="str">
        <f aca="false">IFERROR(INDEX('Semrush Data'!$A$1:$Z$20000,MATCH(A3638,'Semrush Data'!$A$1:$A$20000,0),MATCH("Intent",'Semrush Data'!$A$1:$Z$1,0)),"")</f>
        <v/>
      </c>
    </row>
    <row r="3639" customFormat="false" ht="15" hidden="false" customHeight="true" outlineLevel="0" collapsed="false">
      <c r="A3639" s="7" t="s">
        <v>6036</v>
      </c>
      <c r="B3639" s="7" t="s">
        <v>1356</v>
      </c>
      <c r="C3639" s="7" t="n">
        <v>3</v>
      </c>
      <c r="D3639" s="7" t="n">
        <v>37</v>
      </c>
      <c r="E3639" s="7" t="n">
        <v>1</v>
      </c>
      <c r="F3639" s="7" t="s">
        <v>6031</v>
      </c>
      <c r="G3639" s="12" t="str">
        <f aca="false">IFERROR(INDEX('Semrush Data'!$A$1:$Z$20000,MATCH(A3639,'Semrush Data'!$A$1:$A$20000,0),MATCH("Volume",'Semrush Data'!$A$1:$Z$1,0)),"")</f>
        <v/>
      </c>
      <c r="H3639" s="7" t="str">
        <f aca="false">IFERROR(INDEX('Semrush Data'!$A$1:$Z$20000,MATCH(A3639,'Semrush Data'!$A$1:$A$20000,0),MATCH("Keyword Difficulty*",'Semrush Data'!$A$1:$Z$1,0)),"")</f>
        <v/>
      </c>
      <c r="I3639" s="13" t="str">
        <f aca="false">IFERROR(INDEX('Semrush Data'!$A$1:$Z$20000,MATCH(A3639,'Semrush Data'!$A$1:$A$20000,0),MATCH("CPC*",'Semrush Data'!$A$1:$Z$1,0)),"")</f>
        <v/>
      </c>
      <c r="J3639" s="7" t="str">
        <f aca="false">IFERROR(INDEX('Semrush Data'!$A$1:$Z$20000,MATCH(A3639,'Semrush Data'!$A$1:$A$20000,0),MATCH("Intent",'Semrush Data'!$A$1:$Z$1,0)),"")</f>
        <v/>
      </c>
    </row>
    <row r="3640" customFormat="false" ht="15" hidden="false" customHeight="true" outlineLevel="0" collapsed="false">
      <c r="A3640" s="7" t="s">
        <v>6047</v>
      </c>
      <c r="B3640" s="7" t="s">
        <v>1356</v>
      </c>
      <c r="C3640" s="7" t="n">
        <v>3</v>
      </c>
      <c r="D3640" s="7" t="n">
        <v>37</v>
      </c>
      <c r="E3640" s="7" t="n">
        <v>1</v>
      </c>
      <c r="F3640" s="7" t="s">
        <v>6042</v>
      </c>
      <c r="G3640" s="12" t="str">
        <f aca="false">IFERROR(INDEX('Semrush Data'!$A$1:$Z$20000,MATCH(A3640,'Semrush Data'!$A$1:$A$20000,0),MATCH("Volume",'Semrush Data'!$A$1:$Z$1,0)),"")</f>
        <v/>
      </c>
      <c r="H3640" s="7" t="str">
        <f aca="false">IFERROR(INDEX('Semrush Data'!$A$1:$Z$20000,MATCH(A3640,'Semrush Data'!$A$1:$A$20000,0),MATCH("Keyword Difficulty*",'Semrush Data'!$A$1:$Z$1,0)),"")</f>
        <v/>
      </c>
      <c r="I3640" s="13" t="str">
        <f aca="false">IFERROR(INDEX('Semrush Data'!$A$1:$Z$20000,MATCH(A3640,'Semrush Data'!$A$1:$A$20000,0),MATCH("CPC*",'Semrush Data'!$A$1:$Z$1,0)),"")</f>
        <v/>
      </c>
      <c r="J3640" s="7" t="str">
        <f aca="false">IFERROR(INDEX('Semrush Data'!$A$1:$Z$20000,MATCH(A3640,'Semrush Data'!$A$1:$A$20000,0),MATCH("Intent",'Semrush Data'!$A$1:$Z$1,0)),"")</f>
        <v/>
      </c>
    </row>
    <row r="3641" customFormat="false" ht="15" hidden="false" customHeight="true" outlineLevel="0" collapsed="false">
      <c r="A3641" s="7" t="s">
        <v>6058</v>
      </c>
      <c r="B3641" s="7" t="s">
        <v>1356</v>
      </c>
      <c r="C3641" s="7" t="n">
        <v>3</v>
      </c>
      <c r="D3641" s="7" t="n">
        <v>37</v>
      </c>
      <c r="E3641" s="7" t="n">
        <v>1</v>
      </c>
      <c r="F3641" s="7" t="s">
        <v>6053</v>
      </c>
      <c r="G3641" s="12" t="str">
        <f aca="false">IFERROR(INDEX('Semrush Data'!$A$1:$Z$20000,MATCH(A3641,'Semrush Data'!$A$1:$A$20000,0),MATCH("Volume",'Semrush Data'!$A$1:$Z$1,0)),"")</f>
        <v/>
      </c>
      <c r="H3641" s="7" t="str">
        <f aca="false">IFERROR(INDEX('Semrush Data'!$A$1:$Z$20000,MATCH(A3641,'Semrush Data'!$A$1:$A$20000,0),MATCH("Keyword Difficulty*",'Semrush Data'!$A$1:$Z$1,0)),"")</f>
        <v/>
      </c>
      <c r="I3641" s="13" t="str">
        <f aca="false">IFERROR(INDEX('Semrush Data'!$A$1:$Z$20000,MATCH(A3641,'Semrush Data'!$A$1:$A$20000,0),MATCH("CPC*",'Semrush Data'!$A$1:$Z$1,0)),"")</f>
        <v/>
      </c>
      <c r="J3641" s="7" t="str">
        <f aca="false">IFERROR(INDEX('Semrush Data'!$A$1:$Z$20000,MATCH(A3641,'Semrush Data'!$A$1:$A$20000,0),MATCH("Intent",'Semrush Data'!$A$1:$Z$1,0)),"")</f>
        <v/>
      </c>
    </row>
    <row r="3642" customFormat="false" ht="15" hidden="false" customHeight="true" outlineLevel="0" collapsed="false">
      <c r="A3642" s="7" t="s">
        <v>6069</v>
      </c>
      <c r="B3642" s="7" t="s">
        <v>1356</v>
      </c>
      <c r="C3642" s="7" t="n">
        <v>3</v>
      </c>
      <c r="D3642" s="7" t="n">
        <v>37</v>
      </c>
      <c r="E3642" s="7" t="n">
        <v>1</v>
      </c>
      <c r="F3642" s="7" t="s">
        <v>6064</v>
      </c>
      <c r="G3642" s="12" t="str">
        <f aca="false">IFERROR(INDEX('Semrush Data'!$A$1:$Z$20000,MATCH(A3642,'Semrush Data'!$A$1:$A$20000,0),MATCH("Volume",'Semrush Data'!$A$1:$Z$1,0)),"")</f>
        <v/>
      </c>
      <c r="H3642" s="7" t="str">
        <f aca="false">IFERROR(INDEX('Semrush Data'!$A$1:$Z$20000,MATCH(A3642,'Semrush Data'!$A$1:$A$20000,0),MATCH("Keyword Difficulty*",'Semrush Data'!$A$1:$Z$1,0)),"")</f>
        <v/>
      </c>
      <c r="I3642" s="13" t="str">
        <f aca="false">IFERROR(INDEX('Semrush Data'!$A$1:$Z$20000,MATCH(A3642,'Semrush Data'!$A$1:$A$20000,0),MATCH("CPC*",'Semrush Data'!$A$1:$Z$1,0)),"")</f>
        <v/>
      </c>
      <c r="J3642" s="7" t="str">
        <f aca="false">IFERROR(INDEX('Semrush Data'!$A$1:$Z$20000,MATCH(A3642,'Semrush Data'!$A$1:$A$20000,0),MATCH("Intent",'Semrush Data'!$A$1:$Z$1,0)),"")</f>
        <v/>
      </c>
    </row>
    <row r="3643" customFormat="false" ht="15" hidden="false" customHeight="true" outlineLevel="0" collapsed="false">
      <c r="A3643" s="7" t="s">
        <v>6081</v>
      </c>
      <c r="B3643" s="7" t="s">
        <v>1356</v>
      </c>
      <c r="C3643" s="7" t="n">
        <v>3</v>
      </c>
      <c r="D3643" s="7" t="n">
        <v>37</v>
      </c>
      <c r="E3643" s="7" t="n">
        <v>1</v>
      </c>
      <c r="F3643" s="7" t="s">
        <v>6075</v>
      </c>
      <c r="G3643" s="12" t="str">
        <f aca="false">IFERROR(INDEX('Semrush Data'!$A$1:$Z$20000,MATCH(A3643,'Semrush Data'!$A$1:$A$20000,0),MATCH("Volume",'Semrush Data'!$A$1:$Z$1,0)),"")</f>
        <v/>
      </c>
      <c r="H3643" s="7" t="str">
        <f aca="false">IFERROR(INDEX('Semrush Data'!$A$1:$Z$20000,MATCH(A3643,'Semrush Data'!$A$1:$A$20000,0),MATCH("Keyword Difficulty*",'Semrush Data'!$A$1:$Z$1,0)),"")</f>
        <v/>
      </c>
      <c r="I3643" s="13" t="str">
        <f aca="false">IFERROR(INDEX('Semrush Data'!$A$1:$Z$20000,MATCH(A3643,'Semrush Data'!$A$1:$A$20000,0),MATCH("CPC*",'Semrush Data'!$A$1:$Z$1,0)),"")</f>
        <v/>
      </c>
      <c r="J3643" s="7" t="str">
        <f aca="false">IFERROR(INDEX('Semrush Data'!$A$1:$Z$20000,MATCH(A3643,'Semrush Data'!$A$1:$A$20000,0),MATCH("Intent",'Semrush Data'!$A$1:$Z$1,0)),"")</f>
        <v/>
      </c>
    </row>
    <row r="3644" customFormat="false" ht="15" hidden="false" customHeight="true" outlineLevel="0" collapsed="false">
      <c r="A3644" s="7" t="s">
        <v>6093</v>
      </c>
      <c r="B3644" s="7" t="s">
        <v>1356</v>
      </c>
      <c r="C3644" s="7" t="n">
        <v>3</v>
      </c>
      <c r="D3644" s="7" t="n">
        <v>37</v>
      </c>
      <c r="E3644" s="7" t="n">
        <v>1</v>
      </c>
      <c r="F3644" s="7" t="s">
        <v>6088</v>
      </c>
      <c r="G3644" s="12" t="str">
        <f aca="false">IFERROR(INDEX('Semrush Data'!$A$1:$Z$20000,MATCH(A3644,'Semrush Data'!$A$1:$A$20000,0),MATCH("Volume",'Semrush Data'!$A$1:$Z$1,0)),"")</f>
        <v/>
      </c>
      <c r="H3644" s="7" t="str">
        <f aca="false">IFERROR(INDEX('Semrush Data'!$A$1:$Z$20000,MATCH(A3644,'Semrush Data'!$A$1:$A$20000,0),MATCH("Keyword Difficulty*",'Semrush Data'!$A$1:$Z$1,0)),"")</f>
        <v/>
      </c>
      <c r="I3644" s="13" t="str">
        <f aca="false">IFERROR(INDEX('Semrush Data'!$A$1:$Z$20000,MATCH(A3644,'Semrush Data'!$A$1:$A$20000,0),MATCH("CPC*",'Semrush Data'!$A$1:$Z$1,0)),"")</f>
        <v/>
      </c>
      <c r="J3644" s="7" t="str">
        <f aca="false">IFERROR(INDEX('Semrush Data'!$A$1:$Z$20000,MATCH(A3644,'Semrush Data'!$A$1:$A$20000,0),MATCH("Intent",'Semrush Data'!$A$1:$Z$1,0)),"")</f>
        <v/>
      </c>
    </row>
    <row r="3645" customFormat="false" ht="15" hidden="false" customHeight="true" outlineLevel="0" collapsed="false">
      <c r="A3645" s="7" t="s">
        <v>6104</v>
      </c>
      <c r="B3645" s="7" t="s">
        <v>1356</v>
      </c>
      <c r="C3645" s="7" t="n">
        <v>3</v>
      </c>
      <c r="D3645" s="7" t="n">
        <v>37</v>
      </c>
      <c r="E3645" s="7" t="n">
        <v>1</v>
      </c>
      <c r="F3645" s="7" t="s">
        <v>6099</v>
      </c>
      <c r="G3645" s="12" t="str">
        <f aca="false">IFERROR(INDEX('Semrush Data'!$A$1:$Z$20000,MATCH(A3645,'Semrush Data'!$A$1:$A$20000,0),MATCH("Volume",'Semrush Data'!$A$1:$Z$1,0)),"")</f>
        <v/>
      </c>
      <c r="H3645" s="7" t="str">
        <f aca="false">IFERROR(INDEX('Semrush Data'!$A$1:$Z$20000,MATCH(A3645,'Semrush Data'!$A$1:$A$20000,0),MATCH("Keyword Difficulty*",'Semrush Data'!$A$1:$Z$1,0)),"")</f>
        <v/>
      </c>
      <c r="I3645" s="13" t="str">
        <f aca="false">IFERROR(INDEX('Semrush Data'!$A$1:$Z$20000,MATCH(A3645,'Semrush Data'!$A$1:$A$20000,0),MATCH("CPC*",'Semrush Data'!$A$1:$Z$1,0)),"")</f>
        <v/>
      </c>
      <c r="J3645" s="7" t="str">
        <f aca="false">IFERROR(INDEX('Semrush Data'!$A$1:$Z$20000,MATCH(A3645,'Semrush Data'!$A$1:$A$20000,0),MATCH("Intent",'Semrush Data'!$A$1:$Z$1,0)),"")</f>
        <v/>
      </c>
    </row>
    <row r="3646" customFormat="false" ht="15" hidden="false" customHeight="true" outlineLevel="0" collapsed="false">
      <c r="A3646" s="7" t="s">
        <v>6114</v>
      </c>
      <c r="B3646" s="7" t="s">
        <v>1356</v>
      </c>
      <c r="C3646" s="7" t="n">
        <v>3</v>
      </c>
      <c r="D3646" s="7" t="n">
        <v>37</v>
      </c>
      <c r="E3646" s="7" t="n">
        <v>2</v>
      </c>
      <c r="F3646" s="7" t="s">
        <v>6809</v>
      </c>
      <c r="G3646" s="12" t="str">
        <f aca="false">IFERROR(INDEX('Semrush Data'!$A$1:$Z$20000,MATCH(A3646,'Semrush Data'!$A$1:$A$20000,0),MATCH("Volume",'Semrush Data'!$A$1:$Z$1,0)),"")</f>
        <v/>
      </c>
      <c r="H3646" s="7" t="str">
        <f aca="false">IFERROR(INDEX('Semrush Data'!$A$1:$Z$20000,MATCH(A3646,'Semrush Data'!$A$1:$A$20000,0),MATCH("Keyword Difficulty*",'Semrush Data'!$A$1:$Z$1,0)),"")</f>
        <v/>
      </c>
      <c r="I3646" s="13" t="str">
        <f aca="false">IFERROR(INDEX('Semrush Data'!$A$1:$Z$20000,MATCH(A3646,'Semrush Data'!$A$1:$A$20000,0),MATCH("CPC*",'Semrush Data'!$A$1:$Z$1,0)),"")</f>
        <v/>
      </c>
      <c r="J3646" s="7" t="str">
        <f aca="false">IFERROR(INDEX('Semrush Data'!$A$1:$Z$20000,MATCH(A3646,'Semrush Data'!$A$1:$A$20000,0),MATCH("Intent",'Semrush Data'!$A$1:$Z$1,0)),"")</f>
        <v/>
      </c>
    </row>
    <row r="3647" customFormat="false" ht="15" hidden="false" customHeight="true" outlineLevel="0" collapsed="false">
      <c r="A3647" s="7" t="s">
        <v>6129</v>
      </c>
      <c r="B3647" s="7" t="s">
        <v>1356</v>
      </c>
      <c r="C3647" s="7" t="n">
        <v>3</v>
      </c>
      <c r="D3647" s="7" t="n">
        <v>37</v>
      </c>
      <c r="E3647" s="7" t="n">
        <v>1</v>
      </c>
      <c r="F3647" s="7" t="s">
        <v>6124</v>
      </c>
      <c r="G3647" s="12" t="str">
        <f aca="false">IFERROR(INDEX('Semrush Data'!$A$1:$Z$20000,MATCH(A3647,'Semrush Data'!$A$1:$A$20000,0),MATCH("Volume",'Semrush Data'!$A$1:$Z$1,0)),"")</f>
        <v/>
      </c>
      <c r="H3647" s="7" t="str">
        <f aca="false">IFERROR(INDEX('Semrush Data'!$A$1:$Z$20000,MATCH(A3647,'Semrush Data'!$A$1:$A$20000,0),MATCH("Keyword Difficulty*",'Semrush Data'!$A$1:$Z$1,0)),"")</f>
        <v/>
      </c>
      <c r="I3647" s="13" t="str">
        <f aca="false">IFERROR(INDEX('Semrush Data'!$A$1:$Z$20000,MATCH(A3647,'Semrush Data'!$A$1:$A$20000,0),MATCH("CPC*",'Semrush Data'!$A$1:$Z$1,0)),"")</f>
        <v/>
      </c>
      <c r="J3647" s="7" t="str">
        <f aca="false">IFERROR(INDEX('Semrush Data'!$A$1:$Z$20000,MATCH(A3647,'Semrush Data'!$A$1:$A$20000,0),MATCH("Intent",'Semrush Data'!$A$1:$Z$1,0)),"")</f>
        <v/>
      </c>
    </row>
    <row r="3648" customFormat="false" ht="15" hidden="false" customHeight="true" outlineLevel="0" collapsed="false">
      <c r="A3648" s="7" t="s">
        <v>6139</v>
      </c>
      <c r="B3648" s="7" t="s">
        <v>1356</v>
      </c>
      <c r="C3648" s="7" t="n">
        <v>3</v>
      </c>
      <c r="D3648" s="7" t="n">
        <v>37</v>
      </c>
      <c r="E3648" s="7" t="n">
        <v>1</v>
      </c>
      <c r="F3648" s="7" t="s">
        <v>6134</v>
      </c>
      <c r="G3648" s="12" t="str">
        <f aca="false">IFERROR(INDEX('Semrush Data'!$A$1:$Z$20000,MATCH(A3648,'Semrush Data'!$A$1:$A$20000,0),MATCH("Volume",'Semrush Data'!$A$1:$Z$1,0)),"")</f>
        <v/>
      </c>
      <c r="H3648" s="7" t="str">
        <f aca="false">IFERROR(INDEX('Semrush Data'!$A$1:$Z$20000,MATCH(A3648,'Semrush Data'!$A$1:$A$20000,0),MATCH("Keyword Difficulty*",'Semrush Data'!$A$1:$Z$1,0)),"")</f>
        <v/>
      </c>
      <c r="I3648" s="13" t="str">
        <f aca="false">IFERROR(INDEX('Semrush Data'!$A$1:$Z$20000,MATCH(A3648,'Semrush Data'!$A$1:$A$20000,0),MATCH("CPC*",'Semrush Data'!$A$1:$Z$1,0)),"")</f>
        <v/>
      </c>
      <c r="J3648" s="7" t="str">
        <f aca="false">IFERROR(INDEX('Semrush Data'!$A$1:$Z$20000,MATCH(A3648,'Semrush Data'!$A$1:$A$20000,0),MATCH("Intent",'Semrush Data'!$A$1:$Z$1,0)),"")</f>
        <v/>
      </c>
    </row>
    <row r="3649" customFormat="false" ht="15" hidden="false" customHeight="true" outlineLevel="0" collapsed="false">
      <c r="A3649" s="7" t="s">
        <v>6150</v>
      </c>
      <c r="B3649" s="7" t="s">
        <v>1356</v>
      </c>
      <c r="C3649" s="7" t="n">
        <v>3</v>
      </c>
      <c r="D3649" s="7" t="n">
        <v>37</v>
      </c>
      <c r="E3649" s="7" t="n">
        <v>1</v>
      </c>
      <c r="F3649" s="7" t="s">
        <v>6145</v>
      </c>
      <c r="G3649" s="12" t="str">
        <f aca="false">IFERROR(INDEX('Semrush Data'!$A$1:$Z$20000,MATCH(A3649,'Semrush Data'!$A$1:$A$20000,0),MATCH("Volume",'Semrush Data'!$A$1:$Z$1,0)),"")</f>
        <v/>
      </c>
      <c r="H3649" s="7" t="str">
        <f aca="false">IFERROR(INDEX('Semrush Data'!$A$1:$Z$20000,MATCH(A3649,'Semrush Data'!$A$1:$A$20000,0),MATCH("Keyword Difficulty*",'Semrush Data'!$A$1:$Z$1,0)),"")</f>
        <v/>
      </c>
      <c r="I3649" s="13" t="str">
        <f aca="false">IFERROR(INDEX('Semrush Data'!$A$1:$Z$20000,MATCH(A3649,'Semrush Data'!$A$1:$A$20000,0),MATCH("CPC*",'Semrush Data'!$A$1:$Z$1,0)),"")</f>
        <v/>
      </c>
      <c r="J3649" s="7" t="str">
        <f aca="false">IFERROR(INDEX('Semrush Data'!$A$1:$Z$20000,MATCH(A3649,'Semrush Data'!$A$1:$A$20000,0),MATCH("Intent",'Semrush Data'!$A$1:$Z$1,0)),"")</f>
        <v/>
      </c>
    </row>
    <row r="3650" customFormat="false" ht="15" hidden="false" customHeight="true" outlineLevel="0" collapsed="false">
      <c r="A3650" s="7" t="s">
        <v>6160</v>
      </c>
      <c r="B3650" s="7" t="s">
        <v>1356</v>
      </c>
      <c r="C3650" s="7" t="n">
        <v>3</v>
      </c>
      <c r="D3650" s="7" t="n">
        <v>37</v>
      </c>
      <c r="E3650" s="7" t="n">
        <v>1</v>
      </c>
      <c r="F3650" s="7" t="s">
        <v>6155</v>
      </c>
      <c r="G3650" s="12" t="str">
        <f aca="false">IFERROR(INDEX('Semrush Data'!$A$1:$Z$20000,MATCH(A3650,'Semrush Data'!$A$1:$A$20000,0),MATCH("Volume",'Semrush Data'!$A$1:$Z$1,0)),"")</f>
        <v/>
      </c>
      <c r="H3650" s="7" t="str">
        <f aca="false">IFERROR(INDEX('Semrush Data'!$A$1:$Z$20000,MATCH(A3650,'Semrush Data'!$A$1:$A$20000,0),MATCH("Keyword Difficulty*",'Semrush Data'!$A$1:$Z$1,0)),"")</f>
        <v/>
      </c>
      <c r="I3650" s="13" t="str">
        <f aca="false">IFERROR(INDEX('Semrush Data'!$A$1:$Z$20000,MATCH(A3650,'Semrush Data'!$A$1:$A$20000,0),MATCH("CPC*",'Semrush Data'!$A$1:$Z$1,0)),"")</f>
        <v/>
      </c>
      <c r="J3650" s="7" t="str">
        <f aca="false">IFERROR(INDEX('Semrush Data'!$A$1:$Z$20000,MATCH(A3650,'Semrush Data'!$A$1:$A$20000,0),MATCH("Intent",'Semrush Data'!$A$1:$Z$1,0)),"")</f>
        <v/>
      </c>
    </row>
    <row r="3651" customFormat="false" ht="15" hidden="false" customHeight="true" outlineLevel="0" collapsed="false">
      <c r="A3651" s="7" t="s">
        <v>6171</v>
      </c>
      <c r="B3651" s="7" t="s">
        <v>1356</v>
      </c>
      <c r="C3651" s="7" t="n">
        <v>3</v>
      </c>
      <c r="D3651" s="7" t="n">
        <v>37</v>
      </c>
      <c r="E3651" s="7" t="n">
        <v>1</v>
      </c>
      <c r="F3651" s="7" t="s">
        <v>6166</v>
      </c>
      <c r="G3651" s="12" t="str">
        <f aca="false">IFERROR(INDEX('Semrush Data'!$A$1:$Z$20000,MATCH(A3651,'Semrush Data'!$A$1:$A$20000,0),MATCH("Volume",'Semrush Data'!$A$1:$Z$1,0)),"")</f>
        <v/>
      </c>
      <c r="H3651" s="7" t="str">
        <f aca="false">IFERROR(INDEX('Semrush Data'!$A$1:$Z$20000,MATCH(A3651,'Semrush Data'!$A$1:$A$20000,0),MATCH("Keyword Difficulty*",'Semrush Data'!$A$1:$Z$1,0)),"")</f>
        <v/>
      </c>
      <c r="I3651" s="13" t="str">
        <f aca="false">IFERROR(INDEX('Semrush Data'!$A$1:$Z$20000,MATCH(A3651,'Semrush Data'!$A$1:$A$20000,0),MATCH("CPC*",'Semrush Data'!$A$1:$Z$1,0)),"")</f>
        <v/>
      </c>
      <c r="J3651" s="7" t="str">
        <f aca="false">IFERROR(INDEX('Semrush Data'!$A$1:$Z$20000,MATCH(A3651,'Semrush Data'!$A$1:$A$20000,0),MATCH("Intent",'Semrush Data'!$A$1:$Z$1,0)),"")</f>
        <v/>
      </c>
    </row>
    <row r="3652" customFormat="false" ht="15" hidden="false" customHeight="true" outlineLevel="0" collapsed="false">
      <c r="A3652" s="7" t="s">
        <v>6182</v>
      </c>
      <c r="B3652" s="7" t="s">
        <v>1356</v>
      </c>
      <c r="C3652" s="7" t="n">
        <v>3</v>
      </c>
      <c r="D3652" s="7" t="n">
        <v>37</v>
      </c>
      <c r="E3652" s="7" t="n">
        <v>1</v>
      </c>
      <c r="F3652" s="7" t="s">
        <v>6177</v>
      </c>
      <c r="G3652" s="12" t="str">
        <f aca="false">IFERROR(INDEX('Semrush Data'!$A$1:$Z$20000,MATCH(A3652,'Semrush Data'!$A$1:$A$20000,0),MATCH("Volume",'Semrush Data'!$A$1:$Z$1,0)),"")</f>
        <v/>
      </c>
      <c r="H3652" s="7" t="str">
        <f aca="false">IFERROR(INDEX('Semrush Data'!$A$1:$Z$20000,MATCH(A3652,'Semrush Data'!$A$1:$A$20000,0),MATCH("Keyword Difficulty*",'Semrush Data'!$A$1:$Z$1,0)),"")</f>
        <v/>
      </c>
      <c r="I3652" s="13" t="str">
        <f aca="false">IFERROR(INDEX('Semrush Data'!$A$1:$Z$20000,MATCH(A3652,'Semrush Data'!$A$1:$A$20000,0),MATCH("CPC*",'Semrush Data'!$A$1:$Z$1,0)),"")</f>
        <v/>
      </c>
      <c r="J3652" s="7" t="str">
        <f aca="false">IFERROR(INDEX('Semrush Data'!$A$1:$Z$20000,MATCH(A3652,'Semrush Data'!$A$1:$A$20000,0),MATCH("Intent",'Semrush Data'!$A$1:$Z$1,0)),"")</f>
        <v/>
      </c>
    </row>
    <row r="3653" customFormat="false" ht="15" hidden="false" customHeight="true" outlineLevel="0" collapsed="false">
      <c r="A3653" s="7" t="s">
        <v>6193</v>
      </c>
      <c r="B3653" s="7" t="s">
        <v>1356</v>
      </c>
      <c r="C3653" s="7" t="n">
        <v>3</v>
      </c>
      <c r="D3653" s="7" t="n">
        <v>37</v>
      </c>
      <c r="E3653" s="7" t="n">
        <v>1</v>
      </c>
      <c r="F3653" s="7" t="s">
        <v>6188</v>
      </c>
      <c r="G3653" s="12" t="str">
        <f aca="false">IFERROR(INDEX('Semrush Data'!$A$1:$Z$20000,MATCH(A3653,'Semrush Data'!$A$1:$A$20000,0),MATCH("Volume",'Semrush Data'!$A$1:$Z$1,0)),"")</f>
        <v/>
      </c>
      <c r="H3653" s="7" t="str">
        <f aca="false">IFERROR(INDEX('Semrush Data'!$A$1:$Z$20000,MATCH(A3653,'Semrush Data'!$A$1:$A$20000,0),MATCH("Keyword Difficulty*",'Semrush Data'!$A$1:$Z$1,0)),"")</f>
        <v/>
      </c>
      <c r="I3653" s="13" t="str">
        <f aca="false">IFERROR(INDEX('Semrush Data'!$A$1:$Z$20000,MATCH(A3653,'Semrush Data'!$A$1:$A$20000,0),MATCH("CPC*",'Semrush Data'!$A$1:$Z$1,0)),"")</f>
        <v/>
      </c>
      <c r="J3653" s="7" t="str">
        <f aca="false">IFERROR(INDEX('Semrush Data'!$A$1:$Z$20000,MATCH(A3653,'Semrush Data'!$A$1:$A$20000,0),MATCH("Intent",'Semrush Data'!$A$1:$Z$1,0)),"")</f>
        <v/>
      </c>
    </row>
    <row r="3654" customFormat="false" ht="15" hidden="false" customHeight="true" outlineLevel="0" collapsed="false">
      <c r="A3654" s="7" t="s">
        <v>6202</v>
      </c>
      <c r="B3654" s="7" t="s">
        <v>1356</v>
      </c>
      <c r="C3654" s="7" t="n">
        <v>3</v>
      </c>
      <c r="D3654" s="7" t="n">
        <v>37</v>
      </c>
      <c r="E3654" s="7" t="n">
        <v>1</v>
      </c>
      <c r="F3654" s="7" t="s">
        <v>102</v>
      </c>
      <c r="G3654" s="12" t="str">
        <f aca="false">IFERROR(INDEX('Semrush Data'!$A$1:$Z$20000,MATCH(A3654,'Semrush Data'!$A$1:$A$20000,0),MATCH("Volume",'Semrush Data'!$A$1:$Z$1,0)),"")</f>
        <v/>
      </c>
      <c r="H3654" s="7" t="str">
        <f aca="false">IFERROR(INDEX('Semrush Data'!$A$1:$Z$20000,MATCH(A3654,'Semrush Data'!$A$1:$A$20000,0),MATCH("Keyword Difficulty*",'Semrush Data'!$A$1:$Z$1,0)),"")</f>
        <v/>
      </c>
      <c r="I3654" s="13" t="str">
        <f aca="false">IFERROR(INDEX('Semrush Data'!$A$1:$Z$20000,MATCH(A3654,'Semrush Data'!$A$1:$A$20000,0),MATCH("CPC*",'Semrush Data'!$A$1:$Z$1,0)),"")</f>
        <v/>
      </c>
      <c r="J3654" s="7" t="str">
        <f aca="false">IFERROR(INDEX('Semrush Data'!$A$1:$Z$20000,MATCH(A3654,'Semrush Data'!$A$1:$A$20000,0),MATCH("Intent",'Semrush Data'!$A$1:$Z$1,0)),"")</f>
        <v/>
      </c>
    </row>
    <row r="3655" customFormat="false" ht="15" hidden="false" customHeight="true" outlineLevel="0" collapsed="false">
      <c r="A3655" s="7" t="s">
        <v>6214</v>
      </c>
      <c r="B3655" s="7" t="s">
        <v>1356</v>
      </c>
      <c r="C3655" s="7" t="n">
        <v>3</v>
      </c>
      <c r="D3655" s="7" t="n">
        <v>37</v>
      </c>
      <c r="E3655" s="7" t="n">
        <v>1</v>
      </c>
      <c r="F3655" s="7" t="s">
        <v>6209</v>
      </c>
      <c r="G3655" s="12" t="str">
        <f aca="false">IFERROR(INDEX('Semrush Data'!$A$1:$Z$20000,MATCH(A3655,'Semrush Data'!$A$1:$A$20000,0),MATCH("Volume",'Semrush Data'!$A$1:$Z$1,0)),"")</f>
        <v/>
      </c>
      <c r="H3655" s="7" t="str">
        <f aca="false">IFERROR(INDEX('Semrush Data'!$A$1:$Z$20000,MATCH(A3655,'Semrush Data'!$A$1:$A$20000,0),MATCH("Keyword Difficulty*",'Semrush Data'!$A$1:$Z$1,0)),"")</f>
        <v/>
      </c>
      <c r="I3655" s="13" t="str">
        <f aca="false">IFERROR(INDEX('Semrush Data'!$A$1:$Z$20000,MATCH(A3655,'Semrush Data'!$A$1:$A$20000,0),MATCH("CPC*",'Semrush Data'!$A$1:$Z$1,0)),"")</f>
        <v/>
      </c>
      <c r="J3655" s="7" t="str">
        <f aca="false">IFERROR(INDEX('Semrush Data'!$A$1:$Z$20000,MATCH(A3655,'Semrush Data'!$A$1:$A$20000,0),MATCH("Intent",'Semrush Data'!$A$1:$Z$1,0)),"")</f>
        <v/>
      </c>
    </row>
    <row r="3656" customFormat="false" ht="15" hidden="false" customHeight="true" outlineLevel="0" collapsed="false">
      <c r="A3656" s="7" t="s">
        <v>6225</v>
      </c>
      <c r="B3656" s="7" t="s">
        <v>1356</v>
      </c>
      <c r="C3656" s="7" t="n">
        <v>3</v>
      </c>
      <c r="D3656" s="7" t="n">
        <v>37</v>
      </c>
      <c r="E3656" s="7" t="n">
        <v>1</v>
      </c>
      <c r="F3656" s="7" t="s">
        <v>6220</v>
      </c>
      <c r="G3656" s="12" t="str">
        <f aca="false">IFERROR(INDEX('Semrush Data'!$A$1:$Z$20000,MATCH(A3656,'Semrush Data'!$A$1:$A$20000,0),MATCH("Volume",'Semrush Data'!$A$1:$Z$1,0)),"")</f>
        <v/>
      </c>
      <c r="H3656" s="7" t="str">
        <f aca="false">IFERROR(INDEX('Semrush Data'!$A$1:$Z$20000,MATCH(A3656,'Semrush Data'!$A$1:$A$20000,0),MATCH("Keyword Difficulty*",'Semrush Data'!$A$1:$Z$1,0)),"")</f>
        <v/>
      </c>
      <c r="I3656" s="13" t="str">
        <f aca="false">IFERROR(INDEX('Semrush Data'!$A$1:$Z$20000,MATCH(A3656,'Semrush Data'!$A$1:$A$20000,0),MATCH("CPC*",'Semrush Data'!$A$1:$Z$1,0)),"")</f>
        <v/>
      </c>
      <c r="J3656" s="7" t="str">
        <f aca="false">IFERROR(INDEX('Semrush Data'!$A$1:$Z$20000,MATCH(A3656,'Semrush Data'!$A$1:$A$20000,0),MATCH("Intent",'Semrush Data'!$A$1:$Z$1,0)),"")</f>
        <v/>
      </c>
    </row>
    <row r="3657" customFormat="false" ht="15" hidden="false" customHeight="true" outlineLevel="0" collapsed="false">
      <c r="A3657" s="7" t="s">
        <v>6236</v>
      </c>
      <c r="B3657" s="7" t="s">
        <v>1356</v>
      </c>
      <c r="C3657" s="7" t="n">
        <v>3</v>
      </c>
      <c r="D3657" s="7" t="n">
        <v>37</v>
      </c>
      <c r="E3657" s="7" t="n">
        <v>1</v>
      </c>
      <c r="F3657" s="7" t="s">
        <v>6231</v>
      </c>
      <c r="G3657" s="12" t="str">
        <f aca="false">IFERROR(INDEX('Semrush Data'!$A$1:$Z$20000,MATCH(A3657,'Semrush Data'!$A$1:$A$20000,0),MATCH("Volume",'Semrush Data'!$A$1:$Z$1,0)),"")</f>
        <v/>
      </c>
      <c r="H3657" s="7" t="str">
        <f aca="false">IFERROR(INDEX('Semrush Data'!$A$1:$Z$20000,MATCH(A3657,'Semrush Data'!$A$1:$A$20000,0),MATCH("Keyword Difficulty*",'Semrush Data'!$A$1:$Z$1,0)),"")</f>
        <v/>
      </c>
      <c r="I3657" s="13" t="str">
        <f aca="false">IFERROR(INDEX('Semrush Data'!$A$1:$Z$20000,MATCH(A3657,'Semrush Data'!$A$1:$A$20000,0),MATCH("CPC*",'Semrush Data'!$A$1:$Z$1,0)),"")</f>
        <v/>
      </c>
      <c r="J3657" s="7" t="str">
        <f aca="false">IFERROR(INDEX('Semrush Data'!$A$1:$Z$20000,MATCH(A3657,'Semrush Data'!$A$1:$A$20000,0),MATCH("Intent",'Semrush Data'!$A$1:$Z$1,0)),"")</f>
        <v/>
      </c>
    </row>
    <row r="3658" customFormat="false" ht="15" hidden="false" customHeight="true" outlineLevel="0" collapsed="false">
      <c r="A3658" s="7" t="s">
        <v>6247</v>
      </c>
      <c r="B3658" s="7" t="s">
        <v>1356</v>
      </c>
      <c r="C3658" s="7" t="n">
        <v>3</v>
      </c>
      <c r="D3658" s="7" t="n">
        <v>37</v>
      </c>
      <c r="E3658" s="7" t="n">
        <v>1</v>
      </c>
      <c r="F3658" s="7" t="s">
        <v>6242</v>
      </c>
      <c r="G3658" s="12" t="str">
        <f aca="false">IFERROR(INDEX('Semrush Data'!$A$1:$Z$20000,MATCH(A3658,'Semrush Data'!$A$1:$A$20000,0),MATCH("Volume",'Semrush Data'!$A$1:$Z$1,0)),"")</f>
        <v/>
      </c>
      <c r="H3658" s="7" t="str">
        <f aca="false">IFERROR(INDEX('Semrush Data'!$A$1:$Z$20000,MATCH(A3658,'Semrush Data'!$A$1:$A$20000,0),MATCH("Keyword Difficulty*",'Semrush Data'!$A$1:$Z$1,0)),"")</f>
        <v/>
      </c>
      <c r="I3658" s="13" t="str">
        <f aca="false">IFERROR(INDEX('Semrush Data'!$A$1:$Z$20000,MATCH(A3658,'Semrush Data'!$A$1:$A$20000,0),MATCH("CPC*",'Semrush Data'!$A$1:$Z$1,0)),"")</f>
        <v/>
      </c>
      <c r="J3658" s="7" t="str">
        <f aca="false">IFERROR(INDEX('Semrush Data'!$A$1:$Z$20000,MATCH(A3658,'Semrush Data'!$A$1:$A$20000,0),MATCH("Intent",'Semrush Data'!$A$1:$Z$1,0)),"")</f>
        <v/>
      </c>
    </row>
    <row r="3659" customFormat="false" ht="15" hidden="false" customHeight="true" outlineLevel="0" collapsed="false">
      <c r="A3659" s="7" t="s">
        <v>6257</v>
      </c>
      <c r="B3659" s="7" t="s">
        <v>1356</v>
      </c>
      <c r="C3659" s="7" t="n">
        <v>3</v>
      </c>
      <c r="D3659" s="7" t="n">
        <v>37</v>
      </c>
      <c r="E3659" s="7" t="n">
        <v>1</v>
      </c>
      <c r="F3659" s="7" t="s">
        <v>6252</v>
      </c>
      <c r="G3659" s="12" t="str">
        <f aca="false">IFERROR(INDEX('Semrush Data'!$A$1:$Z$20000,MATCH(A3659,'Semrush Data'!$A$1:$A$20000,0),MATCH("Volume",'Semrush Data'!$A$1:$Z$1,0)),"")</f>
        <v/>
      </c>
      <c r="H3659" s="7" t="str">
        <f aca="false">IFERROR(INDEX('Semrush Data'!$A$1:$Z$20000,MATCH(A3659,'Semrush Data'!$A$1:$A$20000,0),MATCH("Keyword Difficulty*",'Semrush Data'!$A$1:$Z$1,0)),"")</f>
        <v/>
      </c>
      <c r="I3659" s="13" t="str">
        <f aca="false">IFERROR(INDEX('Semrush Data'!$A$1:$Z$20000,MATCH(A3659,'Semrush Data'!$A$1:$A$20000,0),MATCH("CPC*",'Semrush Data'!$A$1:$Z$1,0)),"")</f>
        <v/>
      </c>
      <c r="J3659" s="7" t="str">
        <f aca="false">IFERROR(INDEX('Semrush Data'!$A$1:$Z$20000,MATCH(A3659,'Semrush Data'!$A$1:$A$20000,0),MATCH("Intent",'Semrush Data'!$A$1:$Z$1,0)),"")</f>
        <v/>
      </c>
    </row>
    <row r="3660" customFormat="false" ht="15" hidden="false" customHeight="true" outlineLevel="0" collapsed="false">
      <c r="A3660" s="7" t="s">
        <v>6268</v>
      </c>
      <c r="B3660" s="7" t="s">
        <v>1356</v>
      </c>
      <c r="C3660" s="7" t="n">
        <v>3</v>
      </c>
      <c r="D3660" s="7" t="n">
        <v>37</v>
      </c>
      <c r="E3660" s="7" t="n">
        <v>1</v>
      </c>
      <c r="F3660" s="7" t="s">
        <v>6263</v>
      </c>
      <c r="G3660" s="12" t="str">
        <f aca="false">IFERROR(INDEX('Semrush Data'!$A$1:$Z$20000,MATCH(A3660,'Semrush Data'!$A$1:$A$20000,0),MATCH("Volume",'Semrush Data'!$A$1:$Z$1,0)),"")</f>
        <v/>
      </c>
      <c r="H3660" s="7" t="str">
        <f aca="false">IFERROR(INDEX('Semrush Data'!$A$1:$Z$20000,MATCH(A3660,'Semrush Data'!$A$1:$A$20000,0),MATCH("Keyword Difficulty*",'Semrush Data'!$A$1:$Z$1,0)),"")</f>
        <v/>
      </c>
      <c r="I3660" s="13" t="str">
        <f aca="false">IFERROR(INDEX('Semrush Data'!$A$1:$Z$20000,MATCH(A3660,'Semrush Data'!$A$1:$A$20000,0),MATCH("CPC*",'Semrush Data'!$A$1:$Z$1,0)),"")</f>
        <v/>
      </c>
      <c r="J3660" s="7" t="str">
        <f aca="false">IFERROR(INDEX('Semrush Data'!$A$1:$Z$20000,MATCH(A3660,'Semrush Data'!$A$1:$A$20000,0),MATCH("Intent",'Semrush Data'!$A$1:$Z$1,0)),"")</f>
        <v/>
      </c>
    </row>
    <row r="3661" customFormat="false" ht="15" hidden="false" customHeight="true" outlineLevel="0" collapsed="false">
      <c r="A3661" s="7" t="s">
        <v>6280</v>
      </c>
      <c r="B3661" s="7" t="s">
        <v>1356</v>
      </c>
      <c r="C3661" s="7" t="n">
        <v>3</v>
      </c>
      <c r="D3661" s="7" t="n">
        <v>37</v>
      </c>
      <c r="E3661" s="7" t="n">
        <v>1</v>
      </c>
      <c r="F3661" s="7" t="s">
        <v>6274</v>
      </c>
      <c r="G3661" s="12" t="str">
        <f aca="false">IFERROR(INDEX('Semrush Data'!$A$1:$Z$20000,MATCH(A3661,'Semrush Data'!$A$1:$A$20000,0),MATCH("Volume",'Semrush Data'!$A$1:$Z$1,0)),"")</f>
        <v/>
      </c>
      <c r="H3661" s="7" t="str">
        <f aca="false">IFERROR(INDEX('Semrush Data'!$A$1:$Z$20000,MATCH(A3661,'Semrush Data'!$A$1:$A$20000,0),MATCH("Keyword Difficulty*",'Semrush Data'!$A$1:$Z$1,0)),"")</f>
        <v/>
      </c>
      <c r="I3661" s="13" t="str">
        <f aca="false">IFERROR(INDEX('Semrush Data'!$A$1:$Z$20000,MATCH(A3661,'Semrush Data'!$A$1:$A$20000,0),MATCH("CPC*",'Semrush Data'!$A$1:$Z$1,0)),"")</f>
        <v/>
      </c>
      <c r="J3661" s="7" t="str">
        <f aca="false">IFERROR(INDEX('Semrush Data'!$A$1:$Z$20000,MATCH(A3661,'Semrush Data'!$A$1:$A$20000,0),MATCH("Intent",'Semrush Data'!$A$1:$Z$1,0)),"")</f>
        <v/>
      </c>
    </row>
    <row r="3662" customFormat="false" ht="15" hidden="false" customHeight="true" outlineLevel="0" collapsed="false">
      <c r="A3662" s="7" t="s">
        <v>6291</v>
      </c>
      <c r="B3662" s="7" t="s">
        <v>1356</v>
      </c>
      <c r="C3662" s="7" t="n">
        <v>3</v>
      </c>
      <c r="D3662" s="7" t="n">
        <v>37</v>
      </c>
      <c r="E3662" s="7" t="n">
        <v>1</v>
      </c>
      <c r="F3662" s="7" t="s">
        <v>6286</v>
      </c>
      <c r="G3662" s="12" t="str">
        <f aca="false">IFERROR(INDEX('Semrush Data'!$A$1:$Z$20000,MATCH(A3662,'Semrush Data'!$A$1:$A$20000,0),MATCH("Volume",'Semrush Data'!$A$1:$Z$1,0)),"")</f>
        <v/>
      </c>
      <c r="H3662" s="7" t="str">
        <f aca="false">IFERROR(INDEX('Semrush Data'!$A$1:$Z$20000,MATCH(A3662,'Semrush Data'!$A$1:$A$20000,0),MATCH("Keyword Difficulty*",'Semrush Data'!$A$1:$Z$1,0)),"")</f>
        <v/>
      </c>
      <c r="I3662" s="13" t="str">
        <f aca="false">IFERROR(INDEX('Semrush Data'!$A$1:$Z$20000,MATCH(A3662,'Semrush Data'!$A$1:$A$20000,0),MATCH("CPC*",'Semrush Data'!$A$1:$Z$1,0)),"")</f>
        <v/>
      </c>
      <c r="J3662" s="7" t="str">
        <f aca="false">IFERROR(INDEX('Semrush Data'!$A$1:$Z$20000,MATCH(A3662,'Semrush Data'!$A$1:$A$20000,0),MATCH("Intent",'Semrush Data'!$A$1:$Z$1,0)),"")</f>
        <v/>
      </c>
    </row>
    <row r="3663" customFormat="false" ht="15" hidden="false" customHeight="true" outlineLevel="0" collapsed="false">
      <c r="A3663" s="7" t="s">
        <v>6331</v>
      </c>
      <c r="B3663" s="7" t="s">
        <v>1356</v>
      </c>
      <c r="C3663" s="7" t="n">
        <v>3</v>
      </c>
      <c r="D3663" s="7" t="s">
        <v>6818</v>
      </c>
      <c r="E3663" s="7" t="n">
        <v>1</v>
      </c>
      <c r="F3663" s="7" t="s">
        <v>48</v>
      </c>
      <c r="G3663" s="12" t="str">
        <f aca="false">IFERROR(INDEX('Semrush Data'!$A$1:$Z$20000,MATCH(A3663,'Semrush Data'!$A$1:$A$20000,0),MATCH("Volume",'Semrush Data'!$A$1:$Z$1,0)),"")</f>
        <v/>
      </c>
      <c r="H3663" s="7" t="str">
        <f aca="false">IFERROR(INDEX('Semrush Data'!$A$1:$Z$20000,MATCH(A3663,'Semrush Data'!$A$1:$A$20000,0),MATCH("Keyword Difficulty*",'Semrush Data'!$A$1:$Z$1,0)),"")</f>
        <v/>
      </c>
      <c r="I3663" s="13" t="str">
        <f aca="false">IFERROR(INDEX('Semrush Data'!$A$1:$Z$20000,MATCH(A3663,'Semrush Data'!$A$1:$A$20000,0),MATCH("CPC*",'Semrush Data'!$A$1:$Z$1,0)),"")</f>
        <v/>
      </c>
      <c r="J3663" s="7" t="str">
        <f aca="false">IFERROR(INDEX('Semrush Data'!$A$1:$Z$20000,MATCH(A3663,'Semrush Data'!$A$1:$A$20000,0),MATCH("Intent",'Semrush Data'!$A$1:$Z$1,0)),"")</f>
        <v/>
      </c>
    </row>
    <row r="3664" customFormat="false" ht="15" hidden="false" customHeight="true" outlineLevel="0" collapsed="false">
      <c r="A3664" s="7" t="s">
        <v>6323</v>
      </c>
      <c r="B3664" s="7" t="s">
        <v>1356</v>
      </c>
      <c r="C3664" s="7" t="n">
        <v>3</v>
      </c>
      <c r="D3664" s="7" t="n">
        <v>37</v>
      </c>
      <c r="E3664" s="7" t="n">
        <v>1</v>
      </c>
      <c r="F3664" s="7" t="s">
        <v>94</v>
      </c>
      <c r="G3664" s="12" t="str">
        <f aca="false">IFERROR(INDEX('Semrush Data'!$A$1:$Z$20000,MATCH(A3664,'Semrush Data'!$A$1:$A$20000,0),MATCH("Volume",'Semrush Data'!$A$1:$Z$1,0)),"")</f>
        <v/>
      </c>
      <c r="H3664" s="7" t="str">
        <f aca="false">IFERROR(INDEX('Semrush Data'!$A$1:$Z$20000,MATCH(A3664,'Semrush Data'!$A$1:$A$20000,0),MATCH("Keyword Difficulty*",'Semrush Data'!$A$1:$Z$1,0)),"")</f>
        <v/>
      </c>
      <c r="I3664" s="13" t="str">
        <f aca="false">IFERROR(INDEX('Semrush Data'!$A$1:$Z$20000,MATCH(A3664,'Semrush Data'!$A$1:$A$20000,0),MATCH("CPC*",'Semrush Data'!$A$1:$Z$1,0)),"")</f>
        <v/>
      </c>
      <c r="J3664" s="7" t="str">
        <f aca="false">IFERROR(INDEX('Semrush Data'!$A$1:$Z$20000,MATCH(A3664,'Semrush Data'!$A$1:$A$20000,0),MATCH("Intent",'Semrush Data'!$A$1:$Z$1,0)),"")</f>
        <v/>
      </c>
    </row>
    <row r="3665" customFormat="false" ht="15" hidden="false" customHeight="true" outlineLevel="0" collapsed="false">
      <c r="A3665" s="7" t="s">
        <v>6302</v>
      </c>
      <c r="B3665" s="7" t="s">
        <v>1356</v>
      </c>
      <c r="C3665" s="7" t="n">
        <v>3</v>
      </c>
      <c r="D3665" s="7" t="s">
        <v>6818</v>
      </c>
      <c r="E3665" s="7" t="n">
        <v>1</v>
      </c>
      <c r="F3665" s="7" t="s">
        <v>66</v>
      </c>
      <c r="G3665" s="12" t="str">
        <f aca="false">IFERROR(INDEX('Semrush Data'!$A$1:$Z$20000,MATCH(A3665,'Semrush Data'!$A$1:$A$20000,0),MATCH("Volume",'Semrush Data'!$A$1:$Z$1,0)),"")</f>
        <v/>
      </c>
      <c r="H3665" s="7" t="str">
        <f aca="false">IFERROR(INDEX('Semrush Data'!$A$1:$Z$20000,MATCH(A3665,'Semrush Data'!$A$1:$A$20000,0),MATCH("Keyword Difficulty*",'Semrush Data'!$A$1:$Z$1,0)),"")</f>
        <v/>
      </c>
      <c r="I3665" s="13" t="str">
        <f aca="false">IFERROR(INDEX('Semrush Data'!$A$1:$Z$20000,MATCH(A3665,'Semrush Data'!$A$1:$A$20000,0),MATCH("CPC*",'Semrush Data'!$A$1:$Z$1,0)),"")</f>
        <v/>
      </c>
      <c r="J3665" s="7" t="str">
        <f aca="false">IFERROR(INDEX('Semrush Data'!$A$1:$Z$20000,MATCH(A3665,'Semrush Data'!$A$1:$A$20000,0),MATCH("Intent",'Semrush Data'!$A$1:$Z$1,0)),"")</f>
        <v/>
      </c>
    </row>
    <row r="3666" customFormat="false" ht="15" hidden="false" customHeight="true" outlineLevel="0" collapsed="false">
      <c r="A3666" s="7" t="s">
        <v>6339</v>
      </c>
      <c r="B3666" s="7" t="s">
        <v>1356</v>
      </c>
      <c r="C3666" s="7" t="n">
        <v>3</v>
      </c>
      <c r="D3666" s="7" t="s">
        <v>6818</v>
      </c>
      <c r="E3666" s="7" t="n">
        <v>1</v>
      </c>
      <c r="F3666" s="7" t="s">
        <v>54</v>
      </c>
      <c r="G3666" s="12" t="str">
        <f aca="false">IFERROR(INDEX('Semrush Data'!$A$1:$Z$20000,MATCH(A3666,'Semrush Data'!$A$1:$A$20000,0),MATCH("Volume",'Semrush Data'!$A$1:$Z$1,0)),"")</f>
        <v/>
      </c>
      <c r="H3666" s="7" t="str">
        <f aca="false">IFERROR(INDEX('Semrush Data'!$A$1:$Z$20000,MATCH(A3666,'Semrush Data'!$A$1:$A$20000,0),MATCH("Keyword Difficulty*",'Semrush Data'!$A$1:$Z$1,0)),"")</f>
        <v/>
      </c>
      <c r="I3666" s="13" t="str">
        <f aca="false">IFERROR(INDEX('Semrush Data'!$A$1:$Z$20000,MATCH(A3666,'Semrush Data'!$A$1:$A$20000,0),MATCH("CPC*",'Semrush Data'!$A$1:$Z$1,0)),"")</f>
        <v/>
      </c>
      <c r="J3666" s="7" t="str">
        <f aca="false">IFERROR(INDEX('Semrush Data'!$A$1:$Z$20000,MATCH(A3666,'Semrush Data'!$A$1:$A$20000,0),MATCH("Intent",'Semrush Data'!$A$1:$Z$1,0)),"")</f>
        <v/>
      </c>
    </row>
    <row r="3667" customFormat="false" ht="15" hidden="false" customHeight="true" outlineLevel="0" collapsed="false">
      <c r="A3667" s="7" t="s">
        <v>6311</v>
      </c>
      <c r="B3667" s="7" t="s">
        <v>1356</v>
      </c>
      <c r="C3667" s="7" t="n">
        <v>3</v>
      </c>
      <c r="D3667" s="7" t="s">
        <v>6818</v>
      </c>
      <c r="E3667" s="7" t="n">
        <v>2</v>
      </c>
      <c r="F3667" s="7" t="s">
        <v>6810</v>
      </c>
      <c r="G3667" s="12" t="str">
        <f aca="false">IFERROR(INDEX('Semrush Data'!$A$1:$Z$20000,MATCH(A3667,'Semrush Data'!$A$1:$A$20000,0),MATCH("Volume",'Semrush Data'!$A$1:$Z$1,0)),"")</f>
        <v/>
      </c>
      <c r="H3667" s="7" t="str">
        <f aca="false">IFERROR(INDEX('Semrush Data'!$A$1:$Z$20000,MATCH(A3667,'Semrush Data'!$A$1:$A$20000,0),MATCH("Keyword Difficulty*",'Semrush Data'!$A$1:$Z$1,0)),"")</f>
        <v/>
      </c>
      <c r="I3667" s="13" t="str">
        <f aca="false">IFERROR(INDEX('Semrush Data'!$A$1:$Z$20000,MATCH(A3667,'Semrush Data'!$A$1:$A$20000,0),MATCH("CPC*",'Semrush Data'!$A$1:$Z$1,0)),"")</f>
        <v/>
      </c>
      <c r="J3667" s="7" t="str">
        <f aca="false">IFERROR(INDEX('Semrush Data'!$A$1:$Z$20000,MATCH(A3667,'Semrush Data'!$A$1:$A$20000,0),MATCH("Intent",'Semrush Data'!$A$1:$Z$1,0)),"")</f>
        <v/>
      </c>
    </row>
    <row r="3668" customFormat="false" ht="15" hidden="false" customHeight="true" outlineLevel="0" collapsed="false">
      <c r="A3668" s="7" t="s">
        <v>6374</v>
      </c>
      <c r="B3668" s="7" t="s">
        <v>1356</v>
      </c>
      <c r="C3668" s="7" t="n">
        <v>3</v>
      </c>
      <c r="D3668" s="7" t="n">
        <v>37</v>
      </c>
      <c r="E3668" s="7" t="n">
        <v>1</v>
      </c>
      <c r="F3668" s="7" t="s">
        <v>6369</v>
      </c>
      <c r="G3668" s="12" t="str">
        <f aca="false">IFERROR(INDEX('Semrush Data'!$A$1:$Z$20000,MATCH(A3668,'Semrush Data'!$A$1:$A$20000,0),MATCH("Volume",'Semrush Data'!$A$1:$Z$1,0)),"")</f>
        <v/>
      </c>
      <c r="H3668" s="7" t="str">
        <f aca="false">IFERROR(INDEX('Semrush Data'!$A$1:$Z$20000,MATCH(A3668,'Semrush Data'!$A$1:$A$20000,0),MATCH("Keyword Difficulty*",'Semrush Data'!$A$1:$Z$1,0)),"")</f>
        <v/>
      </c>
      <c r="I3668" s="13" t="str">
        <f aca="false">IFERROR(INDEX('Semrush Data'!$A$1:$Z$20000,MATCH(A3668,'Semrush Data'!$A$1:$A$20000,0),MATCH("CPC*",'Semrush Data'!$A$1:$Z$1,0)),"")</f>
        <v/>
      </c>
      <c r="J3668" s="7" t="str">
        <f aca="false">IFERROR(INDEX('Semrush Data'!$A$1:$Z$20000,MATCH(A3668,'Semrush Data'!$A$1:$A$20000,0),MATCH("Intent",'Semrush Data'!$A$1:$Z$1,0)),"")</f>
        <v/>
      </c>
    </row>
    <row r="3669" customFormat="false" ht="15" hidden="false" customHeight="true" outlineLevel="0" collapsed="false">
      <c r="A3669" s="7" t="s">
        <v>6385</v>
      </c>
      <c r="B3669" s="7" t="s">
        <v>1356</v>
      </c>
      <c r="C3669" s="7" t="n">
        <v>3</v>
      </c>
      <c r="D3669" s="7" t="n">
        <v>37</v>
      </c>
      <c r="E3669" s="7" t="n">
        <v>1</v>
      </c>
      <c r="F3669" s="7" t="s">
        <v>6380</v>
      </c>
      <c r="G3669" s="12" t="str">
        <f aca="false">IFERROR(INDEX('Semrush Data'!$A$1:$Z$20000,MATCH(A3669,'Semrush Data'!$A$1:$A$20000,0),MATCH("Volume",'Semrush Data'!$A$1:$Z$1,0)),"")</f>
        <v/>
      </c>
      <c r="H3669" s="7" t="str">
        <f aca="false">IFERROR(INDEX('Semrush Data'!$A$1:$Z$20000,MATCH(A3669,'Semrush Data'!$A$1:$A$20000,0),MATCH("Keyword Difficulty*",'Semrush Data'!$A$1:$Z$1,0)),"")</f>
        <v/>
      </c>
      <c r="I3669" s="13" t="str">
        <f aca="false">IFERROR(INDEX('Semrush Data'!$A$1:$Z$20000,MATCH(A3669,'Semrush Data'!$A$1:$A$20000,0),MATCH("CPC*",'Semrush Data'!$A$1:$Z$1,0)),"")</f>
        <v/>
      </c>
      <c r="J3669" s="7" t="str">
        <f aca="false">IFERROR(INDEX('Semrush Data'!$A$1:$Z$20000,MATCH(A3669,'Semrush Data'!$A$1:$A$20000,0),MATCH("Intent",'Semrush Data'!$A$1:$Z$1,0)),"")</f>
        <v/>
      </c>
    </row>
    <row r="3670" customFormat="false" ht="15" hidden="false" customHeight="true" outlineLevel="0" collapsed="false">
      <c r="A3670" s="7" t="s">
        <v>6396</v>
      </c>
      <c r="B3670" s="7" t="s">
        <v>1356</v>
      </c>
      <c r="C3670" s="7" t="n">
        <v>3</v>
      </c>
      <c r="D3670" s="7" t="n">
        <v>37</v>
      </c>
      <c r="E3670" s="7" t="n">
        <v>1</v>
      </c>
      <c r="F3670" s="7" t="s">
        <v>6391</v>
      </c>
      <c r="G3670" s="12" t="str">
        <f aca="false">IFERROR(INDEX('Semrush Data'!$A$1:$Z$20000,MATCH(A3670,'Semrush Data'!$A$1:$A$20000,0),MATCH("Volume",'Semrush Data'!$A$1:$Z$1,0)),"")</f>
        <v/>
      </c>
      <c r="H3670" s="7" t="str">
        <f aca="false">IFERROR(INDEX('Semrush Data'!$A$1:$Z$20000,MATCH(A3670,'Semrush Data'!$A$1:$A$20000,0),MATCH("Keyword Difficulty*",'Semrush Data'!$A$1:$Z$1,0)),"")</f>
        <v/>
      </c>
      <c r="I3670" s="13" t="str">
        <f aca="false">IFERROR(INDEX('Semrush Data'!$A$1:$Z$20000,MATCH(A3670,'Semrush Data'!$A$1:$A$20000,0),MATCH("CPC*",'Semrush Data'!$A$1:$Z$1,0)),"")</f>
        <v/>
      </c>
      <c r="J3670" s="7" t="str">
        <f aca="false">IFERROR(INDEX('Semrush Data'!$A$1:$Z$20000,MATCH(A3670,'Semrush Data'!$A$1:$A$20000,0),MATCH("Intent",'Semrush Data'!$A$1:$Z$1,0)),"")</f>
        <v/>
      </c>
    </row>
    <row r="3671" customFormat="false" ht="15" hidden="false" customHeight="true" outlineLevel="0" collapsed="false">
      <c r="A3671" s="7" t="s">
        <v>6352</v>
      </c>
      <c r="B3671" s="7" t="s">
        <v>1356</v>
      </c>
      <c r="C3671" s="7" t="n">
        <v>3</v>
      </c>
      <c r="D3671" s="7" t="n">
        <v>37</v>
      </c>
      <c r="E3671" s="7" t="n">
        <v>1</v>
      </c>
      <c r="F3671" s="7" t="s">
        <v>6345</v>
      </c>
      <c r="G3671" s="12" t="str">
        <f aca="false">IFERROR(INDEX('Semrush Data'!$A$1:$Z$20000,MATCH(A3671,'Semrush Data'!$A$1:$A$20000,0),MATCH("Volume",'Semrush Data'!$A$1:$Z$1,0)),"")</f>
        <v/>
      </c>
      <c r="H3671" s="7" t="str">
        <f aca="false">IFERROR(INDEX('Semrush Data'!$A$1:$Z$20000,MATCH(A3671,'Semrush Data'!$A$1:$A$20000,0),MATCH("Keyword Difficulty*",'Semrush Data'!$A$1:$Z$1,0)),"")</f>
        <v/>
      </c>
      <c r="I3671" s="13" t="str">
        <f aca="false">IFERROR(INDEX('Semrush Data'!$A$1:$Z$20000,MATCH(A3671,'Semrush Data'!$A$1:$A$20000,0),MATCH("CPC*",'Semrush Data'!$A$1:$Z$1,0)),"")</f>
        <v/>
      </c>
      <c r="J3671" s="7" t="str">
        <f aca="false">IFERROR(INDEX('Semrush Data'!$A$1:$Z$20000,MATCH(A3671,'Semrush Data'!$A$1:$A$20000,0),MATCH("Intent",'Semrush Data'!$A$1:$Z$1,0)),"")</f>
        <v/>
      </c>
    </row>
    <row r="3672" customFormat="false" ht="15" hidden="false" customHeight="true" outlineLevel="0" collapsed="false">
      <c r="A3672" s="7" t="s">
        <v>6363</v>
      </c>
      <c r="B3672" s="7" t="s">
        <v>1356</v>
      </c>
      <c r="C3672" s="7" t="n">
        <v>3</v>
      </c>
      <c r="D3672" s="7" t="n">
        <v>37</v>
      </c>
      <c r="E3672" s="7" t="n">
        <v>1</v>
      </c>
      <c r="F3672" s="7" t="s">
        <v>6358</v>
      </c>
      <c r="G3672" s="12" t="str">
        <f aca="false">IFERROR(INDEX('Semrush Data'!$A$1:$Z$20000,MATCH(A3672,'Semrush Data'!$A$1:$A$20000,0),MATCH("Volume",'Semrush Data'!$A$1:$Z$1,0)),"")</f>
        <v/>
      </c>
      <c r="H3672" s="7" t="str">
        <f aca="false">IFERROR(INDEX('Semrush Data'!$A$1:$Z$20000,MATCH(A3672,'Semrush Data'!$A$1:$A$20000,0),MATCH("Keyword Difficulty*",'Semrush Data'!$A$1:$Z$1,0)),"")</f>
        <v/>
      </c>
      <c r="I3672" s="13" t="str">
        <f aca="false">IFERROR(INDEX('Semrush Data'!$A$1:$Z$20000,MATCH(A3672,'Semrush Data'!$A$1:$A$20000,0),MATCH("CPC*",'Semrush Data'!$A$1:$Z$1,0)),"")</f>
        <v/>
      </c>
      <c r="J3672" s="7" t="str">
        <f aca="false">IFERROR(INDEX('Semrush Data'!$A$1:$Z$20000,MATCH(A3672,'Semrush Data'!$A$1:$A$20000,0),MATCH("Intent",'Semrush Data'!$A$1:$Z$1,0)),"")</f>
        <v/>
      </c>
    </row>
    <row r="3673" customFormat="false" ht="15" hidden="false" customHeight="true" outlineLevel="0" collapsed="false">
      <c r="A3673" s="7" t="s">
        <v>6406</v>
      </c>
      <c r="B3673" s="7" t="s">
        <v>1356</v>
      </c>
      <c r="C3673" s="7" t="n">
        <v>3</v>
      </c>
      <c r="D3673" s="7" t="n">
        <v>37</v>
      </c>
      <c r="E3673" s="7" t="n">
        <v>1</v>
      </c>
      <c r="F3673" s="7" t="s">
        <v>6401</v>
      </c>
      <c r="G3673" s="12" t="str">
        <f aca="false">IFERROR(INDEX('Semrush Data'!$A$1:$Z$20000,MATCH(A3673,'Semrush Data'!$A$1:$A$20000,0),MATCH("Volume",'Semrush Data'!$A$1:$Z$1,0)),"")</f>
        <v/>
      </c>
      <c r="H3673" s="7" t="str">
        <f aca="false">IFERROR(INDEX('Semrush Data'!$A$1:$Z$20000,MATCH(A3673,'Semrush Data'!$A$1:$A$20000,0),MATCH("Keyword Difficulty*",'Semrush Data'!$A$1:$Z$1,0)),"")</f>
        <v/>
      </c>
      <c r="I3673" s="13" t="str">
        <f aca="false">IFERROR(INDEX('Semrush Data'!$A$1:$Z$20000,MATCH(A3673,'Semrush Data'!$A$1:$A$20000,0),MATCH("CPC*",'Semrush Data'!$A$1:$Z$1,0)),"")</f>
        <v/>
      </c>
      <c r="J3673" s="7" t="str">
        <f aca="false">IFERROR(INDEX('Semrush Data'!$A$1:$Z$20000,MATCH(A3673,'Semrush Data'!$A$1:$A$20000,0),MATCH("Intent",'Semrush Data'!$A$1:$Z$1,0)),"")</f>
        <v/>
      </c>
    </row>
    <row r="3674" customFormat="false" ht="15" hidden="false" customHeight="true" outlineLevel="0" collapsed="false">
      <c r="A3674" s="7" t="s">
        <v>6418</v>
      </c>
      <c r="B3674" s="7" t="s">
        <v>1356</v>
      </c>
      <c r="C3674" s="7" t="n">
        <v>3</v>
      </c>
      <c r="D3674" s="7" t="n">
        <v>37</v>
      </c>
      <c r="E3674" s="7" t="n">
        <v>1</v>
      </c>
      <c r="F3674" s="7" t="s">
        <v>6412</v>
      </c>
      <c r="G3674" s="12" t="str">
        <f aca="false">IFERROR(INDEX('Semrush Data'!$A$1:$Z$20000,MATCH(A3674,'Semrush Data'!$A$1:$A$20000,0),MATCH("Volume",'Semrush Data'!$A$1:$Z$1,0)),"")</f>
        <v/>
      </c>
      <c r="H3674" s="7" t="str">
        <f aca="false">IFERROR(INDEX('Semrush Data'!$A$1:$Z$20000,MATCH(A3674,'Semrush Data'!$A$1:$A$20000,0),MATCH("Keyword Difficulty*",'Semrush Data'!$A$1:$Z$1,0)),"")</f>
        <v/>
      </c>
      <c r="I3674" s="13" t="str">
        <f aca="false">IFERROR(INDEX('Semrush Data'!$A$1:$Z$20000,MATCH(A3674,'Semrush Data'!$A$1:$A$20000,0),MATCH("CPC*",'Semrush Data'!$A$1:$Z$1,0)),"")</f>
        <v/>
      </c>
      <c r="J3674" s="7" t="str">
        <f aca="false">IFERROR(INDEX('Semrush Data'!$A$1:$Z$20000,MATCH(A3674,'Semrush Data'!$A$1:$A$20000,0),MATCH("Intent",'Semrush Data'!$A$1:$Z$1,0)),"")</f>
        <v/>
      </c>
    </row>
    <row r="3675" customFormat="false" ht="15" hidden="false" customHeight="true" outlineLevel="0" collapsed="false">
      <c r="A3675" s="7" t="s">
        <v>1517</v>
      </c>
      <c r="B3675" s="7" t="s">
        <v>1356</v>
      </c>
      <c r="C3675" s="7" t="n">
        <v>3</v>
      </c>
      <c r="D3675" s="7" t="n">
        <v>37</v>
      </c>
      <c r="E3675" s="7" t="n">
        <v>1</v>
      </c>
      <c r="F3675" s="7" t="s">
        <v>474</v>
      </c>
      <c r="G3675" s="12" t="str">
        <f aca="false">IFERROR(INDEX('Semrush Data'!$A$1:$Z$20000,MATCH(A3675,'Semrush Data'!$A$1:$A$20000,0),MATCH("Volume",'Semrush Data'!$A$1:$Z$1,0)),"")</f>
        <v/>
      </c>
      <c r="H3675" s="7" t="str">
        <f aca="false">IFERROR(INDEX('Semrush Data'!$A$1:$Z$20000,MATCH(A3675,'Semrush Data'!$A$1:$A$20000,0),MATCH("Keyword Difficulty*",'Semrush Data'!$A$1:$Z$1,0)),"")</f>
        <v/>
      </c>
      <c r="I3675" s="13" t="str">
        <f aca="false">IFERROR(INDEX('Semrush Data'!$A$1:$Z$20000,MATCH(A3675,'Semrush Data'!$A$1:$A$20000,0),MATCH("CPC*",'Semrush Data'!$A$1:$Z$1,0)),"")</f>
        <v/>
      </c>
      <c r="J3675" s="7" t="str">
        <f aca="false">IFERROR(INDEX('Semrush Data'!$A$1:$Z$20000,MATCH(A3675,'Semrush Data'!$A$1:$A$20000,0),MATCH("Intent",'Semrush Data'!$A$1:$Z$1,0)),"")</f>
        <v/>
      </c>
    </row>
    <row r="3676" customFormat="false" ht="15" hidden="false" customHeight="true" outlineLevel="0" collapsed="false">
      <c r="A3676" s="7" t="s">
        <v>1753</v>
      </c>
      <c r="B3676" s="7" t="s">
        <v>1356</v>
      </c>
      <c r="C3676" s="7" t="n">
        <v>3</v>
      </c>
      <c r="D3676" s="7" t="n">
        <v>37</v>
      </c>
      <c r="E3676" s="7" t="n">
        <v>1</v>
      </c>
      <c r="F3676" s="7" t="s">
        <v>724</v>
      </c>
      <c r="G3676" s="12" t="str">
        <f aca="false">IFERROR(INDEX('Semrush Data'!$A$1:$Z$20000,MATCH(A3676,'Semrush Data'!$A$1:$A$20000,0),MATCH("Volume",'Semrush Data'!$A$1:$Z$1,0)),"")</f>
        <v/>
      </c>
      <c r="H3676" s="7" t="str">
        <f aca="false">IFERROR(INDEX('Semrush Data'!$A$1:$Z$20000,MATCH(A3676,'Semrush Data'!$A$1:$A$20000,0),MATCH("Keyword Difficulty*",'Semrush Data'!$A$1:$Z$1,0)),"")</f>
        <v/>
      </c>
      <c r="I3676" s="13" t="str">
        <f aca="false">IFERROR(INDEX('Semrush Data'!$A$1:$Z$20000,MATCH(A3676,'Semrush Data'!$A$1:$A$20000,0),MATCH("CPC*",'Semrush Data'!$A$1:$Z$1,0)),"")</f>
        <v/>
      </c>
      <c r="J3676" s="7" t="str">
        <f aca="false">IFERROR(INDEX('Semrush Data'!$A$1:$Z$20000,MATCH(A3676,'Semrush Data'!$A$1:$A$20000,0),MATCH("Intent",'Semrush Data'!$A$1:$Z$1,0)),"")</f>
        <v/>
      </c>
    </row>
    <row r="3677" customFormat="false" ht="15" hidden="false" customHeight="true" outlineLevel="0" collapsed="false">
      <c r="A3677" s="7" t="s">
        <v>1741</v>
      </c>
      <c r="B3677" s="7" t="s">
        <v>1356</v>
      </c>
      <c r="C3677" s="7" t="n">
        <v>3</v>
      </c>
      <c r="D3677" s="7" t="n">
        <v>37</v>
      </c>
      <c r="E3677" s="7" t="n">
        <v>1</v>
      </c>
      <c r="F3677" s="7" t="s">
        <v>714</v>
      </c>
      <c r="G3677" s="12" t="str">
        <f aca="false">IFERROR(INDEX('Semrush Data'!$A$1:$Z$20000,MATCH(A3677,'Semrush Data'!$A$1:$A$20000,0),MATCH("Volume",'Semrush Data'!$A$1:$Z$1,0)),"")</f>
        <v/>
      </c>
      <c r="H3677" s="7" t="str">
        <f aca="false">IFERROR(INDEX('Semrush Data'!$A$1:$Z$20000,MATCH(A3677,'Semrush Data'!$A$1:$A$20000,0),MATCH("Keyword Difficulty*",'Semrush Data'!$A$1:$Z$1,0)),"")</f>
        <v/>
      </c>
      <c r="I3677" s="13" t="str">
        <f aca="false">IFERROR(INDEX('Semrush Data'!$A$1:$Z$20000,MATCH(A3677,'Semrush Data'!$A$1:$A$20000,0),MATCH("CPC*",'Semrush Data'!$A$1:$Z$1,0)),"")</f>
        <v/>
      </c>
      <c r="J3677" s="7" t="str">
        <f aca="false">IFERROR(INDEX('Semrush Data'!$A$1:$Z$20000,MATCH(A3677,'Semrush Data'!$A$1:$A$20000,0),MATCH("Intent",'Semrush Data'!$A$1:$Z$1,0)),"")</f>
        <v/>
      </c>
    </row>
    <row r="3678" customFormat="false" ht="15" hidden="false" customHeight="true" outlineLevel="0" collapsed="false">
      <c r="A3678" s="7" t="s">
        <v>1849</v>
      </c>
      <c r="B3678" s="7" t="s">
        <v>1356</v>
      </c>
      <c r="C3678" s="7" t="n">
        <v>3</v>
      </c>
      <c r="D3678" s="7" t="n">
        <v>37</v>
      </c>
      <c r="E3678" s="7" t="n">
        <v>1</v>
      </c>
      <c r="F3678" s="7" t="s">
        <v>813</v>
      </c>
      <c r="G3678" s="12" t="str">
        <f aca="false">IFERROR(INDEX('Semrush Data'!$A$1:$Z$20000,MATCH(A3678,'Semrush Data'!$A$1:$A$20000,0),MATCH("Volume",'Semrush Data'!$A$1:$Z$1,0)),"")</f>
        <v/>
      </c>
      <c r="H3678" s="7" t="str">
        <f aca="false">IFERROR(INDEX('Semrush Data'!$A$1:$Z$20000,MATCH(A3678,'Semrush Data'!$A$1:$A$20000,0),MATCH("Keyword Difficulty*",'Semrush Data'!$A$1:$Z$1,0)),"")</f>
        <v/>
      </c>
      <c r="I3678" s="13" t="str">
        <f aca="false">IFERROR(INDEX('Semrush Data'!$A$1:$Z$20000,MATCH(A3678,'Semrush Data'!$A$1:$A$20000,0),MATCH("CPC*",'Semrush Data'!$A$1:$Z$1,0)),"")</f>
        <v/>
      </c>
      <c r="J3678" s="7" t="str">
        <f aca="false">IFERROR(INDEX('Semrush Data'!$A$1:$Z$20000,MATCH(A3678,'Semrush Data'!$A$1:$A$20000,0),MATCH("Intent",'Semrush Data'!$A$1:$Z$1,0)),"")</f>
        <v/>
      </c>
    </row>
    <row r="3679" customFormat="false" ht="15" hidden="false" customHeight="true" outlineLevel="0" collapsed="false">
      <c r="A3679" s="7" t="s">
        <v>1524</v>
      </c>
      <c r="B3679" s="7" t="s">
        <v>1356</v>
      </c>
      <c r="C3679" s="7" t="n">
        <v>3</v>
      </c>
      <c r="D3679" s="7" t="n">
        <v>37</v>
      </c>
      <c r="E3679" s="7" t="n">
        <v>1</v>
      </c>
      <c r="F3679" s="7" t="s">
        <v>481</v>
      </c>
      <c r="G3679" s="12" t="str">
        <f aca="false">IFERROR(INDEX('Semrush Data'!$A$1:$Z$20000,MATCH(A3679,'Semrush Data'!$A$1:$A$20000,0),MATCH("Volume",'Semrush Data'!$A$1:$Z$1,0)),"")</f>
        <v/>
      </c>
      <c r="H3679" s="7" t="str">
        <f aca="false">IFERROR(INDEX('Semrush Data'!$A$1:$Z$20000,MATCH(A3679,'Semrush Data'!$A$1:$A$20000,0),MATCH("Keyword Difficulty*",'Semrush Data'!$A$1:$Z$1,0)),"")</f>
        <v/>
      </c>
      <c r="I3679" s="13" t="str">
        <f aca="false">IFERROR(INDEX('Semrush Data'!$A$1:$Z$20000,MATCH(A3679,'Semrush Data'!$A$1:$A$20000,0),MATCH("CPC*",'Semrush Data'!$A$1:$Z$1,0)),"")</f>
        <v/>
      </c>
      <c r="J3679" s="7" t="str">
        <f aca="false">IFERROR(INDEX('Semrush Data'!$A$1:$Z$20000,MATCH(A3679,'Semrush Data'!$A$1:$A$20000,0),MATCH("Intent",'Semrush Data'!$A$1:$Z$1,0)),"")</f>
        <v/>
      </c>
    </row>
    <row r="3680" customFormat="false" ht="15" hidden="false" customHeight="true" outlineLevel="0" collapsed="false">
      <c r="A3680" s="7" t="s">
        <v>1532</v>
      </c>
      <c r="B3680" s="7" t="s">
        <v>1356</v>
      </c>
      <c r="C3680" s="7" t="n">
        <v>3</v>
      </c>
      <c r="D3680" s="7" t="n">
        <v>37</v>
      </c>
      <c r="E3680" s="7" t="n">
        <v>1</v>
      </c>
      <c r="F3680" s="7" t="s">
        <v>489</v>
      </c>
      <c r="G3680" s="12" t="str">
        <f aca="false">IFERROR(INDEX('Semrush Data'!$A$1:$Z$20000,MATCH(A3680,'Semrush Data'!$A$1:$A$20000,0),MATCH("Volume",'Semrush Data'!$A$1:$Z$1,0)),"")</f>
        <v/>
      </c>
      <c r="H3680" s="7" t="str">
        <f aca="false">IFERROR(INDEX('Semrush Data'!$A$1:$Z$20000,MATCH(A3680,'Semrush Data'!$A$1:$A$20000,0),MATCH("Keyword Difficulty*",'Semrush Data'!$A$1:$Z$1,0)),"")</f>
        <v/>
      </c>
      <c r="I3680" s="13" t="str">
        <f aca="false">IFERROR(INDEX('Semrush Data'!$A$1:$Z$20000,MATCH(A3680,'Semrush Data'!$A$1:$A$20000,0),MATCH("CPC*",'Semrush Data'!$A$1:$Z$1,0)),"")</f>
        <v/>
      </c>
      <c r="J3680" s="7" t="str">
        <f aca="false">IFERROR(INDEX('Semrush Data'!$A$1:$Z$20000,MATCH(A3680,'Semrush Data'!$A$1:$A$20000,0),MATCH("Intent",'Semrush Data'!$A$1:$Z$1,0)),"")</f>
        <v/>
      </c>
    </row>
    <row r="3681" customFormat="false" ht="15" hidden="false" customHeight="true" outlineLevel="0" collapsed="false">
      <c r="A3681" s="7" t="s">
        <v>1711</v>
      </c>
      <c r="B3681" s="7" t="s">
        <v>1356</v>
      </c>
      <c r="C3681" s="7" t="n">
        <v>3</v>
      </c>
      <c r="D3681" s="7" t="n">
        <v>37</v>
      </c>
      <c r="E3681" s="7" t="n">
        <v>1</v>
      </c>
      <c r="F3681" s="7" t="s">
        <v>687</v>
      </c>
      <c r="G3681" s="12" t="str">
        <f aca="false">IFERROR(INDEX('Semrush Data'!$A$1:$Z$20000,MATCH(A3681,'Semrush Data'!$A$1:$A$20000,0),MATCH("Volume",'Semrush Data'!$A$1:$Z$1,0)),"")</f>
        <v/>
      </c>
      <c r="H3681" s="7" t="str">
        <f aca="false">IFERROR(INDEX('Semrush Data'!$A$1:$Z$20000,MATCH(A3681,'Semrush Data'!$A$1:$A$20000,0),MATCH("Keyword Difficulty*",'Semrush Data'!$A$1:$Z$1,0)),"")</f>
        <v/>
      </c>
      <c r="I3681" s="13" t="str">
        <f aca="false">IFERROR(INDEX('Semrush Data'!$A$1:$Z$20000,MATCH(A3681,'Semrush Data'!$A$1:$A$20000,0),MATCH("CPC*",'Semrush Data'!$A$1:$Z$1,0)),"")</f>
        <v/>
      </c>
      <c r="J3681" s="7" t="str">
        <f aca="false">IFERROR(INDEX('Semrush Data'!$A$1:$Z$20000,MATCH(A3681,'Semrush Data'!$A$1:$A$20000,0),MATCH("Intent",'Semrush Data'!$A$1:$Z$1,0)),"")</f>
        <v/>
      </c>
    </row>
    <row r="3682" customFormat="false" ht="15" hidden="false" customHeight="true" outlineLevel="0" collapsed="false">
      <c r="A3682" s="7" t="s">
        <v>1717</v>
      </c>
      <c r="B3682" s="7" t="s">
        <v>1356</v>
      </c>
      <c r="C3682" s="7" t="n">
        <v>3</v>
      </c>
      <c r="D3682" s="7" t="n">
        <v>37</v>
      </c>
      <c r="E3682" s="7" t="n">
        <v>2</v>
      </c>
      <c r="F3682" s="7" t="s">
        <v>6811</v>
      </c>
      <c r="G3682" s="12" t="str">
        <f aca="false">IFERROR(INDEX('Semrush Data'!$A$1:$Z$20000,MATCH(A3682,'Semrush Data'!$A$1:$A$20000,0),MATCH("Volume",'Semrush Data'!$A$1:$Z$1,0)),"")</f>
        <v/>
      </c>
      <c r="H3682" s="7" t="str">
        <f aca="false">IFERROR(INDEX('Semrush Data'!$A$1:$Z$20000,MATCH(A3682,'Semrush Data'!$A$1:$A$20000,0),MATCH("Keyword Difficulty*",'Semrush Data'!$A$1:$Z$1,0)),"")</f>
        <v/>
      </c>
      <c r="I3682" s="13" t="str">
        <f aca="false">IFERROR(INDEX('Semrush Data'!$A$1:$Z$20000,MATCH(A3682,'Semrush Data'!$A$1:$A$20000,0),MATCH("CPC*",'Semrush Data'!$A$1:$Z$1,0)),"")</f>
        <v/>
      </c>
      <c r="J3682" s="7" t="str">
        <f aca="false">IFERROR(INDEX('Semrush Data'!$A$1:$Z$20000,MATCH(A3682,'Semrush Data'!$A$1:$A$20000,0),MATCH("Intent",'Semrush Data'!$A$1:$Z$1,0)),"")</f>
        <v/>
      </c>
    </row>
    <row r="3683" customFormat="false" ht="15" hidden="false" customHeight="true" outlineLevel="0" collapsed="false">
      <c r="A3683" s="7" t="s">
        <v>1819</v>
      </c>
      <c r="B3683" s="7" t="s">
        <v>1356</v>
      </c>
      <c r="C3683" s="7" t="n">
        <v>3</v>
      </c>
      <c r="D3683" s="7" t="n">
        <v>37</v>
      </c>
      <c r="E3683" s="7" t="n">
        <v>1</v>
      </c>
      <c r="F3683" s="7" t="s">
        <v>786</v>
      </c>
      <c r="G3683" s="12" t="str">
        <f aca="false">IFERROR(INDEX('Semrush Data'!$A$1:$Z$20000,MATCH(A3683,'Semrush Data'!$A$1:$A$20000,0),MATCH("Volume",'Semrush Data'!$A$1:$Z$1,0)),"")</f>
        <v/>
      </c>
      <c r="H3683" s="7" t="str">
        <f aca="false">IFERROR(INDEX('Semrush Data'!$A$1:$Z$20000,MATCH(A3683,'Semrush Data'!$A$1:$A$20000,0),MATCH("Keyword Difficulty*",'Semrush Data'!$A$1:$Z$1,0)),"")</f>
        <v/>
      </c>
      <c r="I3683" s="13" t="str">
        <f aca="false">IFERROR(INDEX('Semrush Data'!$A$1:$Z$20000,MATCH(A3683,'Semrush Data'!$A$1:$A$20000,0),MATCH("CPC*",'Semrush Data'!$A$1:$Z$1,0)),"")</f>
        <v/>
      </c>
      <c r="J3683" s="7" t="str">
        <f aca="false">IFERROR(INDEX('Semrush Data'!$A$1:$Z$20000,MATCH(A3683,'Semrush Data'!$A$1:$A$20000,0),MATCH("Intent",'Semrush Data'!$A$1:$Z$1,0)),"")</f>
        <v/>
      </c>
    </row>
    <row r="3684" customFormat="false" ht="15" hidden="false" customHeight="true" outlineLevel="0" collapsed="false">
      <c r="A3684" s="7" t="s">
        <v>1747</v>
      </c>
      <c r="B3684" s="7" t="s">
        <v>1356</v>
      </c>
      <c r="C3684" s="7" t="n">
        <v>3</v>
      </c>
      <c r="D3684" s="7" t="n">
        <v>37</v>
      </c>
      <c r="E3684" s="7" t="n">
        <v>1</v>
      </c>
      <c r="F3684" s="7" t="s">
        <v>719</v>
      </c>
      <c r="G3684" s="12" t="str">
        <f aca="false">IFERROR(INDEX('Semrush Data'!$A$1:$Z$20000,MATCH(A3684,'Semrush Data'!$A$1:$A$20000,0),MATCH("Volume",'Semrush Data'!$A$1:$Z$1,0)),"")</f>
        <v/>
      </c>
      <c r="H3684" s="7" t="str">
        <f aca="false">IFERROR(INDEX('Semrush Data'!$A$1:$Z$20000,MATCH(A3684,'Semrush Data'!$A$1:$A$20000,0),MATCH("Keyword Difficulty*",'Semrush Data'!$A$1:$Z$1,0)),"")</f>
        <v/>
      </c>
      <c r="I3684" s="13" t="str">
        <f aca="false">IFERROR(INDEX('Semrush Data'!$A$1:$Z$20000,MATCH(A3684,'Semrush Data'!$A$1:$A$20000,0),MATCH("CPC*",'Semrush Data'!$A$1:$Z$1,0)),"")</f>
        <v/>
      </c>
      <c r="J3684" s="7" t="str">
        <f aca="false">IFERROR(INDEX('Semrush Data'!$A$1:$Z$20000,MATCH(A3684,'Semrush Data'!$A$1:$A$20000,0),MATCH("Intent",'Semrush Data'!$A$1:$Z$1,0)),"")</f>
        <v/>
      </c>
    </row>
    <row r="3685" customFormat="false" ht="15" hidden="false" customHeight="true" outlineLevel="0" collapsed="false">
      <c r="A3685" s="7" t="s">
        <v>1540</v>
      </c>
      <c r="B3685" s="7" t="s">
        <v>1356</v>
      </c>
      <c r="C3685" s="7" t="n">
        <v>3</v>
      </c>
      <c r="D3685" s="7" t="n">
        <v>37</v>
      </c>
      <c r="E3685" s="7" t="n">
        <v>1</v>
      </c>
      <c r="F3685" s="7" t="s">
        <v>499</v>
      </c>
      <c r="G3685" s="12" t="str">
        <f aca="false">IFERROR(INDEX('Semrush Data'!$A$1:$Z$20000,MATCH(A3685,'Semrush Data'!$A$1:$A$20000,0),MATCH("Volume",'Semrush Data'!$A$1:$Z$1,0)),"")</f>
        <v/>
      </c>
      <c r="H3685" s="7" t="str">
        <f aca="false">IFERROR(INDEX('Semrush Data'!$A$1:$Z$20000,MATCH(A3685,'Semrush Data'!$A$1:$A$20000,0),MATCH("Keyword Difficulty*",'Semrush Data'!$A$1:$Z$1,0)),"")</f>
        <v/>
      </c>
      <c r="I3685" s="13" t="str">
        <f aca="false">IFERROR(INDEX('Semrush Data'!$A$1:$Z$20000,MATCH(A3685,'Semrush Data'!$A$1:$A$20000,0),MATCH("CPC*",'Semrush Data'!$A$1:$Z$1,0)),"")</f>
        <v/>
      </c>
      <c r="J3685" s="7" t="str">
        <f aca="false">IFERROR(INDEX('Semrush Data'!$A$1:$Z$20000,MATCH(A3685,'Semrush Data'!$A$1:$A$20000,0),MATCH("Intent",'Semrush Data'!$A$1:$Z$1,0)),"")</f>
        <v/>
      </c>
    </row>
    <row r="3686" customFormat="false" ht="15" hidden="false" customHeight="true" outlineLevel="0" collapsed="false">
      <c r="A3686" s="7" t="s">
        <v>1855</v>
      </c>
      <c r="B3686" s="7" t="s">
        <v>1356</v>
      </c>
      <c r="C3686" s="7" t="n">
        <v>3</v>
      </c>
      <c r="D3686" s="7" t="n">
        <v>37</v>
      </c>
      <c r="E3686" s="7" t="n">
        <v>1</v>
      </c>
      <c r="F3686" s="7" t="s">
        <v>818</v>
      </c>
      <c r="G3686" s="12" t="str">
        <f aca="false">IFERROR(INDEX('Semrush Data'!$A$1:$Z$20000,MATCH(A3686,'Semrush Data'!$A$1:$A$20000,0),MATCH("Volume",'Semrush Data'!$A$1:$Z$1,0)),"")</f>
        <v/>
      </c>
      <c r="H3686" s="7" t="str">
        <f aca="false">IFERROR(INDEX('Semrush Data'!$A$1:$Z$20000,MATCH(A3686,'Semrush Data'!$A$1:$A$20000,0),MATCH("Keyword Difficulty*",'Semrush Data'!$A$1:$Z$1,0)),"")</f>
        <v/>
      </c>
      <c r="I3686" s="13" t="str">
        <f aca="false">IFERROR(INDEX('Semrush Data'!$A$1:$Z$20000,MATCH(A3686,'Semrush Data'!$A$1:$A$20000,0),MATCH("CPC*",'Semrush Data'!$A$1:$Z$1,0)),"")</f>
        <v/>
      </c>
      <c r="J3686" s="7" t="str">
        <f aca="false">IFERROR(INDEX('Semrush Data'!$A$1:$Z$20000,MATCH(A3686,'Semrush Data'!$A$1:$A$20000,0),MATCH("Intent",'Semrush Data'!$A$1:$Z$1,0)),"")</f>
        <v/>
      </c>
    </row>
    <row r="3687" customFormat="false" ht="15" hidden="false" customHeight="true" outlineLevel="0" collapsed="false">
      <c r="A3687" s="7" t="s">
        <v>1789</v>
      </c>
      <c r="B3687" s="7" t="s">
        <v>1356</v>
      </c>
      <c r="C3687" s="7" t="n">
        <v>3</v>
      </c>
      <c r="D3687" s="7" t="n">
        <v>37</v>
      </c>
      <c r="E3687" s="7" t="n">
        <v>1</v>
      </c>
      <c r="F3687" s="7" t="s">
        <v>758</v>
      </c>
      <c r="G3687" s="12" t="str">
        <f aca="false">IFERROR(INDEX('Semrush Data'!$A$1:$Z$20000,MATCH(A3687,'Semrush Data'!$A$1:$A$20000,0),MATCH("Volume",'Semrush Data'!$A$1:$Z$1,0)),"")</f>
        <v/>
      </c>
      <c r="H3687" s="7" t="str">
        <f aca="false">IFERROR(INDEX('Semrush Data'!$A$1:$Z$20000,MATCH(A3687,'Semrush Data'!$A$1:$A$20000,0),MATCH("Keyword Difficulty*",'Semrush Data'!$A$1:$Z$1,0)),"")</f>
        <v/>
      </c>
      <c r="I3687" s="13" t="str">
        <f aca="false">IFERROR(INDEX('Semrush Data'!$A$1:$Z$20000,MATCH(A3687,'Semrush Data'!$A$1:$A$20000,0),MATCH("CPC*",'Semrush Data'!$A$1:$Z$1,0)),"")</f>
        <v/>
      </c>
      <c r="J3687" s="7" t="str">
        <f aca="false">IFERROR(INDEX('Semrush Data'!$A$1:$Z$20000,MATCH(A3687,'Semrush Data'!$A$1:$A$20000,0),MATCH("Intent",'Semrush Data'!$A$1:$Z$1,0)),"")</f>
        <v/>
      </c>
    </row>
    <row r="3688" customFormat="false" ht="15" hidden="false" customHeight="true" outlineLevel="0" collapsed="false">
      <c r="A3688" s="7" t="s">
        <v>1547</v>
      </c>
      <c r="B3688" s="7" t="s">
        <v>1356</v>
      </c>
      <c r="C3688" s="7" t="n">
        <v>3</v>
      </c>
      <c r="D3688" s="7" t="n">
        <v>37</v>
      </c>
      <c r="E3688" s="7" t="n">
        <v>1</v>
      </c>
      <c r="F3688" s="7" t="s">
        <v>509</v>
      </c>
      <c r="G3688" s="12" t="str">
        <f aca="false">IFERROR(INDEX('Semrush Data'!$A$1:$Z$20000,MATCH(A3688,'Semrush Data'!$A$1:$A$20000,0),MATCH("Volume",'Semrush Data'!$A$1:$Z$1,0)),"")</f>
        <v/>
      </c>
      <c r="H3688" s="7" t="str">
        <f aca="false">IFERROR(INDEX('Semrush Data'!$A$1:$Z$20000,MATCH(A3688,'Semrush Data'!$A$1:$A$20000,0),MATCH("Keyword Difficulty*",'Semrush Data'!$A$1:$Z$1,0)),"")</f>
        <v/>
      </c>
      <c r="I3688" s="13" t="str">
        <f aca="false">IFERROR(INDEX('Semrush Data'!$A$1:$Z$20000,MATCH(A3688,'Semrush Data'!$A$1:$A$20000,0),MATCH("CPC*",'Semrush Data'!$A$1:$Z$1,0)),"")</f>
        <v/>
      </c>
      <c r="J3688" s="7" t="str">
        <f aca="false">IFERROR(INDEX('Semrush Data'!$A$1:$Z$20000,MATCH(A3688,'Semrush Data'!$A$1:$A$20000,0),MATCH("Intent",'Semrush Data'!$A$1:$Z$1,0)),"")</f>
        <v/>
      </c>
    </row>
    <row r="3689" customFormat="false" ht="15" hidden="false" customHeight="true" outlineLevel="0" collapsed="false">
      <c r="A3689" s="7" t="s">
        <v>1456</v>
      </c>
      <c r="B3689" s="7" t="s">
        <v>1356</v>
      </c>
      <c r="C3689" s="7" t="n">
        <v>3</v>
      </c>
      <c r="D3689" s="7" t="n">
        <v>37</v>
      </c>
      <c r="E3689" s="7" t="n">
        <v>1</v>
      </c>
      <c r="F3689" s="7" t="s">
        <v>404</v>
      </c>
      <c r="G3689" s="12" t="str">
        <f aca="false">IFERROR(INDEX('Semrush Data'!$A$1:$Z$20000,MATCH(A3689,'Semrush Data'!$A$1:$A$20000,0),MATCH("Volume",'Semrush Data'!$A$1:$Z$1,0)),"")</f>
        <v/>
      </c>
      <c r="H3689" s="7" t="str">
        <f aca="false">IFERROR(INDEX('Semrush Data'!$A$1:$Z$20000,MATCH(A3689,'Semrush Data'!$A$1:$A$20000,0),MATCH("Keyword Difficulty*",'Semrush Data'!$A$1:$Z$1,0)),"")</f>
        <v/>
      </c>
      <c r="I3689" s="13" t="str">
        <f aca="false">IFERROR(INDEX('Semrush Data'!$A$1:$Z$20000,MATCH(A3689,'Semrush Data'!$A$1:$A$20000,0),MATCH("CPC*",'Semrush Data'!$A$1:$Z$1,0)),"")</f>
        <v/>
      </c>
      <c r="J3689" s="7" t="str">
        <f aca="false">IFERROR(INDEX('Semrush Data'!$A$1:$Z$20000,MATCH(A3689,'Semrush Data'!$A$1:$A$20000,0),MATCH("Intent",'Semrush Data'!$A$1:$Z$1,0)),"")</f>
        <v/>
      </c>
    </row>
    <row r="3690" customFormat="false" ht="15" hidden="false" customHeight="true" outlineLevel="0" collapsed="false">
      <c r="A3690" s="7" t="s">
        <v>1397</v>
      </c>
      <c r="B3690" s="7" t="s">
        <v>1356</v>
      </c>
      <c r="C3690" s="7" t="n">
        <v>3</v>
      </c>
      <c r="D3690" s="7" t="n">
        <v>37</v>
      </c>
      <c r="E3690" s="7" t="n">
        <v>1</v>
      </c>
      <c r="F3690" s="7" t="s">
        <v>334</v>
      </c>
      <c r="G3690" s="12" t="str">
        <f aca="false">IFERROR(INDEX('Semrush Data'!$A$1:$Z$20000,MATCH(A3690,'Semrush Data'!$A$1:$A$20000,0),MATCH("Volume",'Semrush Data'!$A$1:$Z$1,0)),"")</f>
        <v/>
      </c>
      <c r="H3690" s="7" t="str">
        <f aca="false">IFERROR(INDEX('Semrush Data'!$A$1:$Z$20000,MATCH(A3690,'Semrush Data'!$A$1:$A$20000,0),MATCH("Keyword Difficulty*",'Semrush Data'!$A$1:$Z$1,0)),"")</f>
        <v/>
      </c>
      <c r="I3690" s="13" t="str">
        <f aca="false">IFERROR(INDEX('Semrush Data'!$A$1:$Z$20000,MATCH(A3690,'Semrush Data'!$A$1:$A$20000,0),MATCH("CPC*",'Semrush Data'!$A$1:$Z$1,0)),"")</f>
        <v/>
      </c>
      <c r="J3690" s="7" t="str">
        <f aca="false">IFERROR(INDEX('Semrush Data'!$A$1:$Z$20000,MATCH(A3690,'Semrush Data'!$A$1:$A$20000,0),MATCH("Intent",'Semrush Data'!$A$1:$Z$1,0)),"")</f>
        <v/>
      </c>
    </row>
    <row r="3691" customFormat="false" ht="15" hidden="false" customHeight="true" outlineLevel="0" collapsed="false">
      <c r="A3691" s="7" t="s">
        <v>1435</v>
      </c>
      <c r="B3691" s="7" t="s">
        <v>1356</v>
      </c>
      <c r="C3691" s="7" t="n">
        <v>3</v>
      </c>
      <c r="D3691" s="7" t="n">
        <v>37</v>
      </c>
      <c r="E3691" s="7" t="n">
        <v>1</v>
      </c>
      <c r="F3691" s="7" t="s">
        <v>381</v>
      </c>
      <c r="G3691" s="12" t="str">
        <f aca="false">IFERROR(INDEX('Semrush Data'!$A$1:$Z$20000,MATCH(A3691,'Semrush Data'!$A$1:$A$20000,0),MATCH("Volume",'Semrush Data'!$A$1:$Z$1,0)),"")</f>
        <v/>
      </c>
      <c r="H3691" s="7" t="str">
        <f aca="false">IFERROR(INDEX('Semrush Data'!$A$1:$Z$20000,MATCH(A3691,'Semrush Data'!$A$1:$A$20000,0),MATCH("Keyword Difficulty*",'Semrush Data'!$A$1:$Z$1,0)),"")</f>
        <v/>
      </c>
      <c r="I3691" s="13" t="str">
        <f aca="false">IFERROR(INDEX('Semrush Data'!$A$1:$Z$20000,MATCH(A3691,'Semrush Data'!$A$1:$A$20000,0),MATCH("CPC*",'Semrush Data'!$A$1:$Z$1,0)),"")</f>
        <v/>
      </c>
      <c r="J3691" s="7" t="str">
        <f aca="false">IFERROR(INDEX('Semrush Data'!$A$1:$Z$20000,MATCH(A3691,'Semrush Data'!$A$1:$A$20000,0),MATCH("Intent",'Semrush Data'!$A$1:$Z$1,0)),"")</f>
        <v/>
      </c>
    </row>
    <row r="3692" customFormat="false" ht="15" hidden="false" customHeight="true" outlineLevel="0" collapsed="false">
      <c r="A3692" s="7" t="s">
        <v>1554</v>
      </c>
      <c r="B3692" s="7" t="s">
        <v>1356</v>
      </c>
      <c r="C3692" s="7" t="n">
        <v>3</v>
      </c>
      <c r="D3692" s="7" t="n">
        <v>37</v>
      </c>
      <c r="E3692" s="7" t="n">
        <v>1</v>
      </c>
      <c r="F3692" s="7" t="s">
        <v>517</v>
      </c>
      <c r="G3692" s="12" t="str">
        <f aca="false">IFERROR(INDEX('Semrush Data'!$A$1:$Z$20000,MATCH(A3692,'Semrush Data'!$A$1:$A$20000,0),MATCH("Volume",'Semrush Data'!$A$1:$Z$1,0)),"")</f>
        <v/>
      </c>
      <c r="H3692" s="7" t="str">
        <f aca="false">IFERROR(INDEX('Semrush Data'!$A$1:$Z$20000,MATCH(A3692,'Semrush Data'!$A$1:$A$20000,0),MATCH("Keyword Difficulty*",'Semrush Data'!$A$1:$Z$1,0)),"")</f>
        <v/>
      </c>
      <c r="I3692" s="13" t="str">
        <f aca="false">IFERROR(INDEX('Semrush Data'!$A$1:$Z$20000,MATCH(A3692,'Semrush Data'!$A$1:$A$20000,0),MATCH("CPC*",'Semrush Data'!$A$1:$Z$1,0)),"")</f>
        <v/>
      </c>
      <c r="J3692" s="7" t="str">
        <f aca="false">IFERROR(INDEX('Semrush Data'!$A$1:$Z$20000,MATCH(A3692,'Semrush Data'!$A$1:$A$20000,0),MATCH("Intent",'Semrush Data'!$A$1:$Z$1,0)),"")</f>
        <v/>
      </c>
    </row>
    <row r="3693" customFormat="false" ht="15" hidden="false" customHeight="true" outlineLevel="0" collapsed="false">
      <c r="A3693" s="7" t="s">
        <v>1560</v>
      </c>
      <c r="B3693" s="7" t="s">
        <v>1356</v>
      </c>
      <c r="C3693" s="7" t="n">
        <v>3</v>
      </c>
      <c r="D3693" s="7" t="n">
        <v>37</v>
      </c>
      <c r="E3693" s="7" t="n">
        <v>1</v>
      </c>
      <c r="F3693" s="7" t="s">
        <v>523</v>
      </c>
      <c r="G3693" s="12" t="str">
        <f aca="false">IFERROR(INDEX('Semrush Data'!$A$1:$Z$20000,MATCH(A3693,'Semrush Data'!$A$1:$A$20000,0),MATCH("Volume",'Semrush Data'!$A$1:$Z$1,0)),"")</f>
        <v/>
      </c>
      <c r="H3693" s="7" t="str">
        <f aca="false">IFERROR(INDEX('Semrush Data'!$A$1:$Z$20000,MATCH(A3693,'Semrush Data'!$A$1:$A$20000,0),MATCH("Keyword Difficulty*",'Semrush Data'!$A$1:$Z$1,0)),"")</f>
        <v/>
      </c>
      <c r="I3693" s="13" t="str">
        <f aca="false">IFERROR(INDEX('Semrush Data'!$A$1:$Z$20000,MATCH(A3693,'Semrush Data'!$A$1:$A$20000,0),MATCH("CPC*",'Semrush Data'!$A$1:$Z$1,0)),"")</f>
        <v/>
      </c>
      <c r="J3693" s="7" t="str">
        <f aca="false">IFERROR(INDEX('Semrush Data'!$A$1:$Z$20000,MATCH(A3693,'Semrush Data'!$A$1:$A$20000,0),MATCH("Intent",'Semrush Data'!$A$1:$Z$1,0)),"")</f>
        <v/>
      </c>
    </row>
    <row r="3694" customFormat="false" ht="15" hidden="false" customHeight="true" outlineLevel="0" collapsed="false">
      <c r="A3694" s="7" t="s">
        <v>1673</v>
      </c>
      <c r="B3694" s="7" t="s">
        <v>1356</v>
      </c>
      <c r="C3694" s="7" t="n">
        <v>3</v>
      </c>
      <c r="D3694" s="7" t="n">
        <v>37</v>
      </c>
      <c r="E3694" s="7" t="n">
        <v>1</v>
      </c>
      <c r="F3694" s="7" t="s">
        <v>650</v>
      </c>
      <c r="G3694" s="12" t="str">
        <f aca="false">IFERROR(INDEX('Semrush Data'!$A$1:$Z$20000,MATCH(A3694,'Semrush Data'!$A$1:$A$20000,0),MATCH("Volume",'Semrush Data'!$A$1:$Z$1,0)),"")</f>
        <v/>
      </c>
      <c r="H3694" s="7" t="str">
        <f aca="false">IFERROR(INDEX('Semrush Data'!$A$1:$Z$20000,MATCH(A3694,'Semrush Data'!$A$1:$A$20000,0),MATCH("Keyword Difficulty*",'Semrush Data'!$A$1:$Z$1,0)),"")</f>
        <v/>
      </c>
      <c r="I3694" s="13" t="str">
        <f aca="false">IFERROR(INDEX('Semrush Data'!$A$1:$Z$20000,MATCH(A3694,'Semrush Data'!$A$1:$A$20000,0),MATCH("CPC*",'Semrush Data'!$A$1:$Z$1,0)),"")</f>
        <v/>
      </c>
      <c r="J3694" s="7" t="str">
        <f aca="false">IFERROR(INDEX('Semrush Data'!$A$1:$Z$20000,MATCH(A3694,'Semrush Data'!$A$1:$A$20000,0),MATCH("Intent",'Semrush Data'!$A$1:$Z$1,0)),"")</f>
        <v/>
      </c>
    </row>
    <row r="3695" customFormat="false" ht="15" hidden="false" customHeight="true" outlineLevel="0" collapsed="false">
      <c r="A3695" s="7" t="s">
        <v>1463</v>
      </c>
      <c r="B3695" s="7" t="s">
        <v>1356</v>
      </c>
      <c r="C3695" s="7" t="n">
        <v>3</v>
      </c>
      <c r="D3695" s="7" t="n">
        <v>37</v>
      </c>
      <c r="E3695" s="7" t="n">
        <v>1</v>
      </c>
      <c r="F3695" s="7" t="s">
        <v>410</v>
      </c>
      <c r="G3695" s="12" t="str">
        <f aca="false">IFERROR(INDEX('Semrush Data'!$A$1:$Z$20000,MATCH(A3695,'Semrush Data'!$A$1:$A$20000,0),MATCH("Volume",'Semrush Data'!$A$1:$Z$1,0)),"")</f>
        <v/>
      </c>
      <c r="H3695" s="7" t="str">
        <f aca="false">IFERROR(INDEX('Semrush Data'!$A$1:$Z$20000,MATCH(A3695,'Semrush Data'!$A$1:$A$20000,0),MATCH("Keyword Difficulty*",'Semrush Data'!$A$1:$Z$1,0)),"")</f>
        <v/>
      </c>
      <c r="I3695" s="13" t="str">
        <f aca="false">IFERROR(INDEX('Semrush Data'!$A$1:$Z$20000,MATCH(A3695,'Semrush Data'!$A$1:$A$20000,0),MATCH("CPC*",'Semrush Data'!$A$1:$Z$1,0)),"")</f>
        <v/>
      </c>
      <c r="J3695" s="7" t="str">
        <f aca="false">IFERROR(INDEX('Semrush Data'!$A$1:$Z$20000,MATCH(A3695,'Semrush Data'!$A$1:$A$20000,0),MATCH("Intent",'Semrush Data'!$A$1:$Z$1,0)),"")</f>
        <v/>
      </c>
    </row>
    <row r="3696" customFormat="false" ht="15" hidden="false" customHeight="true" outlineLevel="0" collapsed="false">
      <c r="A3696" s="7" t="s">
        <v>1567</v>
      </c>
      <c r="B3696" s="7" t="s">
        <v>1356</v>
      </c>
      <c r="C3696" s="7" t="n">
        <v>3</v>
      </c>
      <c r="D3696" s="7" t="n">
        <v>37</v>
      </c>
      <c r="E3696" s="7" t="n">
        <v>1</v>
      </c>
      <c r="F3696" s="7" t="s">
        <v>532</v>
      </c>
      <c r="G3696" s="12" t="str">
        <f aca="false">IFERROR(INDEX('Semrush Data'!$A$1:$Z$20000,MATCH(A3696,'Semrush Data'!$A$1:$A$20000,0),MATCH("Volume",'Semrush Data'!$A$1:$Z$1,0)),"")</f>
        <v/>
      </c>
      <c r="H3696" s="7" t="str">
        <f aca="false">IFERROR(INDEX('Semrush Data'!$A$1:$Z$20000,MATCH(A3696,'Semrush Data'!$A$1:$A$20000,0),MATCH("Keyword Difficulty*",'Semrush Data'!$A$1:$Z$1,0)),"")</f>
        <v/>
      </c>
      <c r="I3696" s="13" t="str">
        <f aca="false">IFERROR(INDEX('Semrush Data'!$A$1:$Z$20000,MATCH(A3696,'Semrush Data'!$A$1:$A$20000,0),MATCH("CPC*",'Semrush Data'!$A$1:$Z$1,0)),"")</f>
        <v/>
      </c>
      <c r="J3696" s="7" t="str">
        <f aca="false">IFERROR(INDEX('Semrush Data'!$A$1:$Z$20000,MATCH(A3696,'Semrush Data'!$A$1:$A$20000,0),MATCH("Intent",'Semrush Data'!$A$1:$Z$1,0)),"")</f>
        <v/>
      </c>
    </row>
    <row r="3697" customFormat="false" ht="15" hidden="false" customHeight="true" outlineLevel="0" collapsed="false">
      <c r="A3697" s="7" t="s">
        <v>1572</v>
      </c>
      <c r="B3697" s="7" t="s">
        <v>1356</v>
      </c>
      <c r="C3697" s="7" t="n">
        <v>3</v>
      </c>
      <c r="D3697" s="7" t="n">
        <v>37</v>
      </c>
      <c r="E3697" s="7" t="n">
        <v>1</v>
      </c>
      <c r="F3697" s="7" t="s">
        <v>539</v>
      </c>
      <c r="G3697" s="12" t="str">
        <f aca="false">IFERROR(INDEX('Semrush Data'!$A$1:$Z$20000,MATCH(A3697,'Semrush Data'!$A$1:$A$20000,0),MATCH("Volume",'Semrush Data'!$A$1:$Z$1,0)),"")</f>
        <v/>
      </c>
      <c r="H3697" s="7" t="str">
        <f aca="false">IFERROR(INDEX('Semrush Data'!$A$1:$Z$20000,MATCH(A3697,'Semrush Data'!$A$1:$A$20000,0),MATCH("Keyword Difficulty*",'Semrush Data'!$A$1:$Z$1,0)),"")</f>
        <v/>
      </c>
      <c r="I3697" s="13" t="str">
        <f aca="false">IFERROR(INDEX('Semrush Data'!$A$1:$Z$20000,MATCH(A3697,'Semrush Data'!$A$1:$A$20000,0),MATCH("CPC*",'Semrush Data'!$A$1:$Z$1,0)),"")</f>
        <v/>
      </c>
      <c r="J3697" s="7" t="str">
        <f aca="false">IFERROR(INDEX('Semrush Data'!$A$1:$Z$20000,MATCH(A3697,'Semrush Data'!$A$1:$A$20000,0),MATCH("Intent",'Semrush Data'!$A$1:$Z$1,0)),"")</f>
        <v/>
      </c>
    </row>
    <row r="3698" customFormat="false" ht="15" hidden="false" customHeight="true" outlineLevel="0" collapsed="false">
      <c r="A3698" s="7" t="s">
        <v>1578</v>
      </c>
      <c r="B3698" s="7" t="s">
        <v>1356</v>
      </c>
      <c r="C3698" s="7" t="n">
        <v>3</v>
      </c>
      <c r="D3698" s="7" t="n">
        <v>37</v>
      </c>
      <c r="E3698" s="7" t="n">
        <v>1</v>
      </c>
      <c r="F3698" s="7" t="s">
        <v>545</v>
      </c>
      <c r="G3698" s="12" t="str">
        <f aca="false">IFERROR(INDEX('Semrush Data'!$A$1:$Z$20000,MATCH(A3698,'Semrush Data'!$A$1:$A$20000,0),MATCH("Volume",'Semrush Data'!$A$1:$Z$1,0)),"")</f>
        <v/>
      </c>
      <c r="H3698" s="7" t="str">
        <f aca="false">IFERROR(INDEX('Semrush Data'!$A$1:$Z$20000,MATCH(A3698,'Semrush Data'!$A$1:$A$20000,0),MATCH("Keyword Difficulty*",'Semrush Data'!$A$1:$Z$1,0)),"")</f>
        <v/>
      </c>
      <c r="I3698" s="13" t="str">
        <f aca="false">IFERROR(INDEX('Semrush Data'!$A$1:$Z$20000,MATCH(A3698,'Semrush Data'!$A$1:$A$20000,0),MATCH("CPC*",'Semrush Data'!$A$1:$Z$1,0)),"")</f>
        <v/>
      </c>
      <c r="J3698" s="7" t="str">
        <f aca="false">IFERROR(INDEX('Semrush Data'!$A$1:$Z$20000,MATCH(A3698,'Semrush Data'!$A$1:$A$20000,0),MATCH("Intent",'Semrush Data'!$A$1:$Z$1,0)),"")</f>
        <v/>
      </c>
    </row>
    <row r="3699" customFormat="false" ht="15" hidden="false" customHeight="true" outlineLevel="0" collapsed="false">
      <c r="A3699" s="7" t="s">
        <v>1405</v>
      </c>
      <c r="B3699" s="7" t="s">
        <v>1356</v>
      </c>
      <c r="C3699" s="7" t="n">
        <v>3</v>
      </c>
      <c r="D3699" s="7" t="n">
        <v>37</v>
      </c>
      <c r="E3699" s="7" t="n">
        <v>1</v>
      </c>
      <c r="F3699" s="7" t="s">
        <v>344</v>
      </c>
      <c r="G3699" s="12" t="str">
        <f aca="false">IFERROR(INDEX('Semrush Data'!$A$1:$Z$20000,MATCH(A3699,'Semrush Data'!$A$1:$A$20000,0),MATCH("Volume",'Semrush Data'!$A$1:$Z$1,0)),"")</f>
        <v/>
      </c>
      <c r="H3699" s="7" t="str">
        <f aca="false">IFERROR(INDEX('Semrush Data'!$A$1:$Z$20000,MATCH(A3699,'Semrush Data'!$A$1:$A$20000,0),MATCH("Keyword Difficulty*",'Semrush Data'!$A$1:$Z$1,0)),"")</f>
        <v/>
      </c>
      <c r="I3699" s="13" t="str">
        <f aca="false">IFERROR(INDEX('Semrush Data'!$A$1:$Z$20000,MATCH(A3699,'Semrush Data'!$A$1:$A$20000,0),MATCH("CPC*",'Semrush Data'!$A$1:$Z$1,0)),"")</f>
        <v/>
      </c>
      <c r="J3699" s="7" t="str">
        <f aca="false">IFERROR(INDEX('Semrush Data'!$A$1:$Z$20000,MATCH(A3699,'Semrush Data'!$A$1:$A$20000,0),MATCH("Intent",'Semrush Data'!$A$1:$Z$1,0)),"")</f>
        <v/>
      </c>
    </row>
    <row r="3700" customFormat="false" ht="15" hidden="false" customHeight="true" outlineLevel="0" collapsed="false">
      <c r="A3700" s="7" t="s">
        <v>1873</v>
      </c>
      <c r="B3700" s="7" t="s">
        <v>1356</v>
      </c>
      <c r="C3700" s="7" t="n">
        <v>3</v>
      </c>
      <c r="D3700" s="7" t="n">
        <v>37</v>
      </c>
      <c r="E3700" s="7" t="n">
        <v>1</v>
      </c>
      <c r="F3700" s="7" t="s">
        <v>835</v>
      </c>
      <c r="G3700" s="12" t="str">
        <f aca="false">IFERROR(INDEX('Semrush Data'!$A$1:$Z$20000,MATCH(A3700,'Semrush Data'!$A$1:$A$20000,0),MATCH("Volume",'Semrush Data'!$A$1:$Z$1,0)),"")</f>
        <v/>
      </c>
      <c r="H3700" s="7" t="str">
        <f aca="false">IFERROR(INDEX('Semrush Data'!$A$1:$Z$20000,MATCH(A3700,'Semrush Data'!$A$1:$A$20000,0),MATCH("Keyword Difficulty*",'Semrush Data'!$A$1:$Z$1,0)),"")</f>
        <v/>
      </c>
      <c r="I3700" s="13" t="str">
        <f aca="false">IFERROR(INDEX('Semrush Data'!$A$1:$Z$20000,MATCH(A3700,'Semrush Data'!$A$1:$A$20000,0),MATCH("CPC*",'Semrush Data'!$A$1:$Z$1,0)),"")</f>
        <v/>
      </c>
      <c r="J3700" s="7" t="str">
        <f aca="false">IFERROR(INDEX('Semrush Data'!$A$1:$Z$20000,MATCH(A3700,'Semrush Data'!$A$1:$A$20000,0),MATCH("Intent",'Semrush Data'!$A$1:$Z$1,0)),"")</f>
        <v/>
      </c>
    </row>
    <row r="3701" customFormat="false" ht="15" hidden="false" customHeight="true" outlineLevel="0" collapsed="false">
      <c r="A3701" s="7" t="s">
        <v>1777</v>
      </c>
      <c r="B3701" s="7" t="s">
        <v>1356</v>
      </c>
      <c r="C3701" s="7" t="n">
        <v>3</v>
      </c>
      <c r="D3701" s="7" t="n">
        <v>37</v>
      </c>
      <c r="E3701" s="7" t="n">
        <v>1</v>
      </c>
      <c r="F3701" s="7" t="s">
        <v>748</v>
      </c>
      <c r="G3701" s="12" t="str">
        <f aca="false">IFERROR(INDEX('Semrush Data'!$A$1:$Z$20000,MATCH(A3701,'Semrush Data'!$A$1:$A$20000,0),MATCH("Volume",'Semrush Data'!$A$1:$Z$1,0)),"")</f>
        <v/>
      </c>
      <c r="H3701" s="7" t="str">
        <f aca="false">IFERROR(INDEX('Semrush Data'!$A$1:$Z$20000,MATCH(A3701,'Semrush Data'!$A$1:$A$20000,0),MATCH("Keyword Difficulty*",'Semrush Data'!$A$1:$Z$1,0)),"")</f>
        <v/>
      </c>
      <c r="I3701" s="13" t="str">
        <f aca="false">IFERROR(INDEX('Semrush Data'!$A$1:$Z$20000,MATCH(A3701,'Semrush Data'!$A$1:$A$20000,0),MATCH("CPC*",'Semrush Data'!$A$1:$Z$1,0)),"")</f>
        <v/>
      </c>
      <c r="J3701" s="7" t="str">
        <f aca="false">IFERROR(INDEX('Semrush Data'!$A$1:$Z$20000,MATCH(A3701,'Semrush Data'!$A$1:$A$20000,0),MATCH("Intent",'Semrush Data'!$A$1:$Z$1,0)),"")</f>
        <v/>
      </c>
    </row>
    <row r="3702" customFormat="false" ht="15" hidden="false" customHeight="true" outlineLevel="0" collapsed="false">
      <c r="A3702" s="7" t="s">
        <v>1783</v>
      </c>
      <c r="B3702" s="7" t="s">
        <v>1356</v>
      </c>
      <c r="C3702" s="7" t="n">
        <v>3</v>
      </c>
      <c r="D3702" s="7" t="n">
        <v>38</v>
      </c>
      <c r="E3702" s="7" t="n">
        <v>1</v>
      </c>
      <c r="F3702" s="7" t="s">
        <v>753</v>
      </c>
      <c r="G3702" s="12" t="str">
        <f aca="false">IFERROR(INDEX('Semrush Data'!$A$1:$Z$20000,MATCH(A3702,'Semrush Data'!$A$1:$A$20000,0),MATCH("Volume",'Semrush Data'!$A$1:$Z$1,0)),"")</f>
        <v/>
      </c>
      <c r="H3702" s="7" t="str">
        <f aca="false">IFERROR(INDEX('Semrush Data'!$A$1:$Z$20000,MATCH(A3702,'Semrush Data'!$A$1:$A$20000,0),MATCH("Keyword Difficulty*",'Semrush Data'!$A$1:$Z$1,0)),"")</f>
        <v/>
      </c>
      <c r="I3702" s="13" t="str">
        <f aca="false">IFERROR(INDEX('Semrush Data'!$A$1:$Z$20000,MATCH(A3702,'Semrush Data'!$A$1:$A$20000,0),MATCH("CPC*",'Semrush Data'!$A$1:$Z$1,0)),"")</f>
        <v/>
      </c>
      <c r="J3702" s="7" t="str">
        <f aca="false">IFERROR(INDEX('Semrush Data'!$A$1:$Z$20000,MATCH(A3702,'Semrush Data'!$A$1:$A$20000,0),MATCH("Intent",'Semrush Data'!$A$1:$Z$1,0)),"")</f>
        <v/>
      </c>
    </row>
    <row r="3703" customFormat="false" ht="15" hidden="false" customHeight="true" outlineLevel="0" collapsed="false">
      <c r="A3703" s="7" t="s">
        <v>1795</v>
      </c>
      <c r="B3703" s="7" t="s">
        <v>1356</v>
      </c>
      <c r="C3703" s="7" t="n">
        <v>3</v>
      </c>
      <c r="D3703" s="7" t="n">
        <v>38</v>
      </c>
      <c r="E3703" s="7" t="n">
        <v>1</v>
      </c>
      <c r="F3703" s="7" t="s">
        <v>764</v>
      </c>
      <c r="G3703" s="12" t="str">
        <f aca="false">IFERROR(INDEX('Semrush Data'!$A$1:$Z$20000,MATCH(A3703,'Semrush Data'!$A$1:$A$20000,0),MATCH("Volume",'Semrush Data'!$A$1:$Z$1,0)),"")</f>
        <v/>
      </c>
      <c r="H3703" s="7" t="str">
        <f aca="false">IFERROR(INDEX('Semrush Data'!$A$1:$Z$20000,MATCH(A3703,'Semrush Data'!$A$1:$A$20000,0),MATCH("Keyword Difficulty*",'Semrush Data'!$A$1:$Z$1,0)),"")</f>
        <v/>
      </c>
      <c r="I3703" s="13" t="str">
        <f aca="false">IFERROR(INDEX('Semrush Data'!$A$1:$Z$20000,MATCH(A3703,'Semrush Data'!$A$1:$A$20000,0),MATCH("CPC*",'Semrush Data'!$A$1:$Z$1,0)),"")</f>
        <v/>
      </c>
      <c r="J3703" s="7" t="str">
        <f aca="false">IFERROR(INDEX('Semrush Data'!$A$1:$Z$20000,MATCH(A3703,'Semrush Data'!$A$1:$A$20000,0),MATCH("Intent",'Semrush Data'!$A$1:$Z$1,0)),"")</f>
        <v/>
      </c>
    </row>
    <row r="3704" customFormat="false" ht="15" hidden="false" customHeight="true" outlineLevel="0" collapsed="false">
      <c r="A3704" s="7" t="s">
        <v>1660</v>
      </c>
      <c r="B3704" s="7" t="s">
        <v>1356</v>
      </c>
      <c r="C3704" s="7" t="n">
        <v>3</v>
      </c>
      <c r="D3704" s="7" t="n">
        <v>38</v>
      </c>
      <c r="E3704" s="7" t="n">
        <v>1</v>
      </c>
      <c r="F3704" s="7" t="s">
        <v>637</v>
      </c>
      <c r="G3704" s="12" t="str">
        <f aca="false">IFERROR(INDEX('Semrush Data'!$A$1:$Z$20000,MATCH(A3704,'Semrush Data'!$A$1:$A$20000,0),MATCH("Volume",'Semrush Data'!$A$1:$Z$1,0)),"")</f>
        <v/>
      </c>
      <c r="H3704" s="7" t="str">
        <f aca="false">IFERROR(INDEX('Semrush Data'!$A$1:$Z$20000,MATCH(A3704,'Semrush Data'!$A$1:$A$20000,0),MATCH("Keyword Difficulty*",'Semrush Data'!$A$1:$Z$1,0)),"")</f>
        <v/>
      </c>
      <c r="I3704" s="13" t="str">
        <f aca="false">IFERROR(INDEX('Semrush Data'!$A$1:$Z$20000,MATCH(A3704,'Semrush Data'!$A$1:$A$20000,0),MATCH("CPC*",'Semrush Data'!$A$1:$Z$1,0)),"")</f>
        <v/>
      </c>
      <c r="J3704" s="7" t="str">
        <f aca="false">IFERROR(INDEX('Semrush Data'!$A$1:$Z$20000,MATCH(A3704,'Semrush Data'!$A$1:$A$20000,0),MATCH("Intent",'Semrush Data'!$A$1:$Z$1,0)),"")</f>
        <v/>
      </c>
    </row>
    <row r="3705" customFormat="false" ht="15" hidden="false" customHeight="true" outlineLevel="0" collapsed="false">
      <c r="A3705" s="7" t="s">
        <v>1687</v>
      </c>
      <c r="B3705" s="7" t="s">
        <v>1356</v>
      </c>
      <c r="C3705" s="7" t="n">
        <v>3</v>
      </c>
      <c r="D3705" s="7" t="n">
        <v>38</v>
      </c>
      <c r="E3705" s="7" t="n">
        <v>1</v>
      </c>
      <c r="F3705" s="7" t="s">
        <v>664</v>
      </c>
      <c r="G3705" s="12" t="str">
        <f aca="false">IFERROR(INDEX('Semrush Data'!$A$1:$Z$20000,MATCH(A3705,'Semrush Data'!$A$1:$A$20000,0),MATCH("Volume",'Semrush Data'!$A$1:$Z$1,0)),"")</f>
        <v/>
      </c>
      <c r="H3705" s="7" t="str">
        <f aca="false">IFERROR(INDEX('Semrush Data'!$A$1:$Z$20000,MATCH(A3705,'Semrush Data'!$A$1:$A$20000,0),MATCH("Keyword Difficulty*",'Semrush Data'!$A$1:$Z$1,0)),"")</f>
        <v/>
      </c>
      <c r="I3705" s="13" t="str">
        <f aca="false">IFERROR(INDEX('Semrush Data'!$A$1:$Z$20000,MATCH(A3705,'Semrush Data'!$A$1:$A$20000,0),MATCH("CPC*",'Semrush Data'!$A$1:$Z$1,0)),"")</f>
        <v/>
      </c>
      <c r="J3705" s="7" t="str">
        <f aca="false">IFERROR(INDEX('Semrush Data'!$A$1:$Z$20000,MATCH(A3705,'Semrush Data'!$A$1:$A$20000,0),MATCH("Intent",'Semrush Data'!$A$1:$Z$1,0)),"")</f>
        <v/>
      </c>
    </row>
    <row r="3706" customFormat="false" ht="15" hidden="false" customHeight="true" outlineLevel="0" collapsed="false">
      <c r="A3706" s="7" t="s">
        <v>1584</v>
      </c>
      <c r="B3706" s="7" t="s">
        <v>1356</v>
      </c>
      <c r="C3706" s="7" t="n">
        <v>3</v>
      </c>
      <c r="D3706" s="7" t="n">
        <v>38</v>
      </c>
      <c r="E3706" s="7" t="n">
        <v>1</v>
      </c>
      <c r="F3706" s="7" t="s">
        <v>551</v>
      </c>
      <c r="G3706" s="12" t="str">
        <f aca="false">IFERROR(INDEX('Semrush Data'!$A$1:$Z$20000,MATCH(A3706,'Semrush Data'!$A$1:$A$20000,0),MATCH("Volume",'Semrush Data'!$A$1:$Z$1,0)),"")</f>
        <v/>
      </c>
      <c r="H3706" s="7" t="str">
        <f aca="false">IFERROR(INDEX('Semrush Data'!$A$1:$Z$20000,MATCH(A3706,'Semrush Data'!$A$1:$A$20000,0),MATCH("Keyword Difficulty*",'Semrush Data'!$A$1:$Z$1,0)),"")</f>
        <v/>
      </c>
      <c r="I3706" s="13" t="str">
        <f aca="false">IFERROR(INDEX('Semrush Data'!$A$1:$Z$20000,MATCH(A3706,'Semrush Data'!$A$1:$A$20000,0),MATCH("CPC*",'Semrush Data'!$A$1:$Z$1,0)),"")</f>
        <v/>
      </c>
      <c r="J3706" s="7" t="str">
        <f aca="false">IFERROR(INDEX('Semrush Data'!$A$1:$Z$20000,MATCH(A3706,'Semrush Data'!$A$1:$A$20000,0),MATCH("Intent",'Semrush Data'!$A$1:$Z$1,0)),"")</f>
        <v/>
      </c>
    </row>
    <row r="3707" customFormat="false" ht="15" hidden="false" customHeight="true" outlineLevel="0" collapsed="false">
      <c r="A3707" s="7" t="s">
        <v>1442</v>
      </c>
      <c r="B3707" s="7" t="s">
        <v>1356</v>
      </c>
      <c r="C3707" s="7" t="n">
        <v>3</v>
      </c>
      <c r="D3707" s="7" t="n">
        <v>38</v>
      </c>
      <c r="E3707" s="7" t="n">
        <v>1</v>
      </c>
      <c r="F3707" s="7" t="s">
        <v>387</v>
      </c>
      <c r="G3707" s="12" t="str">
        <f aca="false">IFERROR(INDEX('Semrush Data'!$A$1:$Z$20000,MATCH(A3707,'Semrush Data'!$A$1:$A$20000,0),MATCH("Volume",'Semrush Data'!$A$1:$Z$1,0)),"")</f>
        <v/>
      </c>
      <c r="H3707" s="7" t="str">
        <f aca="false">IFERROR(INDEX('Semrush Data'!$A$1:$Z$20000,MATCH(A3707,'Semrush Data'!$A$1:$A$20000,0),MATCH("Keyword Difficulty*",'Semrush Data'!$A$1:$Z$1,0)),"")</f>
        <v/>
      </c>
      <c r="I3707" s="13" t="str">
        <f aca="false">IFERROR(INDEX('Semrush Data'!$A$1:$Z$20000,MATCH(A3707,'Semrush Data'!$A$1:$A$20000,0),MATCH("CPC*",'Semrush Data'!$A$1:$Z$1,0)),"")</f>
        <v/>
      </c>
      <c r="J3707" s="7" t="str">
        <f aca="false">IFERROR(INDEX('Semrush Data'!$A$1:$Z$20000,MATCH(A3707,'Semrush Data'!$A$1:$A$20000,0),MATCH("Intent",'Semrush Data'!$A$1:$Z$1,0)),"")</f>
        <v/>
      </c>
    </row>
    <row r="3708" customFormat="false" ht="15" hidden="false" customHeight="true" outlineLevel="0" collapsed="false">
      <c r="A3708" s="7" t="s">
        <v>1867</v>
      </c>
      <c r="B3708" s="7" t="s">
        <v>1356</v>
      </c>
      <c r="C3708" s="7" t="n">
        <v>3</v>
      </c>
      <c r="D3708" s="7" t="n">
        <v>38</v>
      </c>
      <c r="E3708" s="7" t="n">
        <v>1</v>
      </c>
      <c r="F3708" s="7" t="s">
        <v>830</v>
      </c>
      <c r="G3708" s="12" t="str">
        <f aca="false">IFERROR(INDEX('Semrush Data'!$A$1:$Z$20000,MATCH(A3708,'Semrush Data'!$A$1:$A$20000,0),MATCH("Volume",'Semrush Data'!$A$1:$Z$1,0)),"")</f>
        <v/>
      </c>
      <c r="H3708" s="7" t="str">
        <f aca="false">IFERROR(INDEX('Semrush Data'!$A$1:$Z$20000,MATCH(A3708,'Semrush Data'!$A$1:$A$20000,0),MATCH("Keyword Difficulty*",'Semrush Data'!$A$1:$Z$1,0)),"")</f>
        <v/>
      </c>
      <c r="I3708" s="13" t="str">
        <f aca="false">IFERROR(INDEX('Semrush Data'!$A$1:$Z$20000,MATCH(A3708,'Semrush Data'!$A$1:$A$20000,0),MATCH("CPC*",'Semrush Data'!$A$1:$Z$1,0)),"")</f>
        <v/>
      </c>
      <c r="J3708" s="7" t="str">
        <f aca="false">IFERROR(INDEX('Semrush Data'!$A$1:$Z$20000,MATCH(A3708,'Semrush Data'!$A$1:$A$20000,0),MATCH("Intent",'Semrush Data'!$A$1:$Z$1,0)),"")</f>
        <v/>
      </c>
    </row>
    <row r="3709" customFormat="false" ht="15" hidden="false" customHeight="true" outlineLevel="0" collapsed="false">
      <c r="A3709" s="7" t="s">
        <v>1591</v>
      </c>
      <c r="B3709" s="7" t="s">
        <v>1356</v>
      </c>
      <c r="C3709" s="7" t="n">
        <v>3</v>
      </c>
      <c r="D3709" s="7" t="n">
        <v>38</v>
      </c>
      <c r="E3709" s="7" t="n">
        <v>1</v>
      </c>
      <c r="F3709" s="7" t="s">
        <v>558</v>
      </c>
      <c r="G3709" s="12" t="str">
        <f aca="false">IFERROR(INDEX('Semrush Data'!$A$1:$Z$20000,MATCH(A3709,'Semrush Data'!$A$1:$A$20000,0),MATCH("Volume",'Semrush Data'!$A$1:$Z$1,0)),"")</f>
        <v/>
      </c>
      <c r="H3709" s="7" t="str">
        <f aca="false">IFERROR(INDEX('Semrush Data'!$A$1:$Z$20000,MATCH(A3709,'Semrush Data'!$A$1:$A$20000,0),MATCH("Keyword Difficulty*",'Semrush Data'!$A$1:$Z$1,0)),"")</f>
        <v/>
      </c>
      <c r="I3709" s="13" t="str">
        <f aca="false">IFERROR(INDEX('Semrush Data'!$A$1:$Z$20000,MATCH(A3709,'Semrush Data'!$A$1:$A$20000,0),MATCH("CPC*",'Semrush Data'!$A$1:$Z$1,0)),"")</f>
        <v/>
      </c>
      <c r="J3709" s="7" t="str">
        <f aca="false">IFERROR(INDEX('Semrush Data'!$A$1:$Z$20000,MATCH(A3709,'Semrush Data'!$A$1:$A$20000,0),MATCH("Intent",'Semrush Data'!$A$1:$Z$1,0)),"")</f>
        <v/>
      </c>
    </row>
    <row r="3710" customFormat="false" ht="15" hidden="false" customHeight="true" outlineLevel="0" collapsed="false">
      <c r="A3710" s="7" t="s">
        <v>1470</v>
      </c>
      <c r="B3710" s="7" t="s">
        <v>1356</v>
      </c>
      <c r="C3710" s="7" t="n">
        <v>3</v>
      </c>
      <c r="D3710" s="7" t="n">
        <v>38</v>
      </c>
      <c r="E3710" s="7" t="n">
        <v>1</v>
      </c>
      <c r="F3710" s="7" t="s">
        <v>420</v>
      </c>
      <c r="G3710" s="12" t="str">
        <f aca="false">IFERROR(INDEX('Semrush Data'!$A$1:$Z$20000,MATCH(A3710,'Semrush Data'!$A$1:$A$20000,0),MATCH("Volume",'Semrush Data'!$A$1:$Z$1,0)),"")</f>
        <v/>
      </c>
      <c r="H3710" s="7" t="str">
        <f aca="false">IFERROR(INDEX('Semrush Data'!$A$1:$Z$20000,MATCH(A3710,'Semrush Data'!$A$1:$A$20000,0),MATCH("Keyword Difficulty*",'Semrush Data'!$A$1:$Z$1,0)),"")</f>
        <v/>
      </c>
      <c r="I3710" s="13" t="str">
        <f aca="false">IFERROR(INDEX('Semrush Data'!$A$1:$Z$20000,MATCH(A3710,'Semrush Data'!$A$1:$A$20000,0),MATCH("CPC*",'Semrush Data'!$A$1:$Z$1,0)),"")</f>
        <v/>
      </c>
      <c r="J3710" s="7" t="str">
        <f aca="false">IFERROR(INDEX('Semrush Data'!$A$1:$Z$20000,MATCH(A3710,'Semrush Data'!$A$1:$A$20000,0),MATCH("Intent",'Semrush Data'!$A$1:$Z$1,0)),"")</f>
        <v/>
      </c>
    </row>
    <row r="3711" customFormat="false" ht="15" hidden="false" customHeight="true" outlineLevel="0" collapsed="false">
      <c r="A3711" s="7" t="s">
        <v>1388</v>
      </c>
      <c r="B3711" s="7" t="s">
        <v>1356</v>
      </c>
      <c r="C3711" s="7" t="n">
        <v>3</v>
      </c>
      <c r="D3711" s="7" t="n">
        <v>38</v>
      </c>
      <c r="E3711" s="7" t="n">
        <v>3</v>
      </c>
      <c r="F3711" s="7" t="s">
        <v>6812</v>
      </c>
      <c r="G3711" s="12" t="str">
        <f aca="false">IFERROR(INDEX('Semrush Data'!$A$1:$Z$20000,MATCH(A3711,'Semrush Data'!$A$1:$A$20000,0),MATCH("Volume",'Semrush Data'!$A$1:$Z$1,0)),"")</f>
        <v/>
      </c>
      <c r="H3711" s="7" t="str">
        <f aca="false">IFERROR(INDEX('Semrush Data'!$A$1:$Z$20000,MATCH(A3711,'Semrush Data'!$A$1:$A$20000,0),MATCH("Keyword Difficulty*",'Semrush Data'!$A$1:$Z$1,0)),"")</f>
        <v/>
      </c>
      <c r="I3711" s="13" t="str">
        <f aca="false">IFERROR(INDEX('Semrush Data'!$A$1:$Z$20000,MATCH(A3711,'Semrush Data'!$A$1:$A$20000,0),MATCH("CPC*",'Semrush Data'!$A$1:$Z$1,0)),"")</f>
        <v/>
      </c>
      <c r="J3711" s="7" t="str">
        <f aca="false">IFERROR(INDEX('Semrush Data'!$A$1:$Z$20000,MATCH(A3711,'Semrush Data'!$A$1:$A$20000,0),MATCH("Intent",'Semrush Data'!$A$1:$Z$1,0)),"")</f>
        <v/>
      </c>
    </row>
    <row r="3712" customFormat="false" ht="15" hidden="false" customHeight="true" outlineLevel="0" collapsed="false">
      <c r="A3712" s="7" t="s">
        <v>1831</v>
      </c>
      <c r="B3712" s="7" t="s">
        <v>1356</v>
      </c>
      <c r="C3712" s="7" t="n">
        <v>3</v>
      </c>
      <c r="D3712" s="7" t="n">
        <v>38</v>
      </c>
      <c r="E3712" s="7" t="n">
        <v>1</v>
      </c>
      <c r="F3712" s="7" t="s">
        <v>796</v>
      </c>
      <c r="G3712" s="12" t="str">
        <f aca="false">IFERROR(INDEX('Semrush Data'!$A$1:$Z$20000,MATCH(A3712,'Semrush Data'!$A$1:$A$20000,0),MATCH("Volume",'Semrush Data'!$A$1:$Z$1,0)),"")</f>
        <v/>
      </c>
      <c r="H3712" s="7" t="str">
        <f aca="false">IFERROR(INDEX('Semrush Data'!$A$1:$Z$20000,MATCH(A3712,'Semrush Data'!$A$1:$A$20000,0),MATCH("Keyword Difficulty*",'Semrush Data'!$A$1:$Z$1,0)),"")</f>
        <v/>
      </c>
      <c r="I3712" s="13" t="str">
        <f aca="false">IFERROR(INDEX('Semrush Data'!$A$1:$Z$20000,MATCH(A3712,'Semrush Data'!$A$1:$A$20000,0),MATCH("CPC*",'Semrush Data'!$A$1:$Z$1,0)),"")</f>
        <v/>
      </c>
      <c r="J3712" s="7" t="str">
        <f aca="false">IFERROR(INDEX('Semrush Data'!$A$1:$Z$20000,MATCH(A3712,'Semrush Data'!$A$1:$A$20000,0),MATCH("Intent",'Semrush Data'!$A$1:$Z$1,0)),"")</f>
        <v/>
      </c>
    </row>
    <row r="3713" customFormat="false" ht="15" hidden="false" customHeight="true" outlineLevel="0" collapsed="false">
      <c r="A3713" s="7" t="s">
        <v>1861</v>
      </c>
      <c r="B3713" s="7" t="s">
        <v>1356</v>
      </c>
      <c r="C3713" s="7" t="n">
        <v>3</v>
      </c>
      <c r="D3713" s="7" t="n">
        <v>38</v>
      </c>
      <c r="E3713" s="7" t="n">
        <v>1</v>
      </c>
      <c r="F3713" s="7" t="s">
        <v>823</v>
      </c>
      <c r="G3713" s="12" t="str">
        <f aca="false">IFERROR(INDEX('Semrush Data'!$A$1:$Z$20000,MATCH(A3713,'Semrush Data'!$A$1:$A$20000,0),MATCH("Volume",'Semrush Data'!$A$1:$Z$1,0)),"")</f>
        <v/>
      </c>
      <c r="H3713" s="7" t="str">
        <f aca="false">IFERROR(INDEX('Semrush Data'!$A$1:$Z$20000,MATCH(A3713,'Semrush Data'!$A$1:$A$20000,0),MATCH("Keyword Difficulty*",'Semrush Data'!$A$1:$Z$1,0)),"")</f>
        <v/>
      </c>
      <c r="I3713" s="13" t="str">
        <f aca="false">IFERROR(INDEX('Semrush Data'!$A$1:$Z$20000,MATCH(A3713,'Semrush Data'!$A$1:$A$20000,0),MATCH("CPC*",'Semrush Data'!$A$1:$Z$1,0)),"")</f>
        <v/>
      </c>
      <c r="J3713" s="7" t="str">
        <f aca="false">IFERROR(INDEX('Semrush Data'!$A$1:$Z$20000,MATCH(A3713,'Semrush Data'!$A$1:$A$20000,0),MATCH("Intent",'Semrush Data'!$A$1:$Z$1,0)),"")</f>
        <v/>
      </c>
    </row>
    <row r="3714" customFormat="false" ht="15" hidden="false" customHeight="true" outlineLevel="0" collapsed="false">
      <c r="A3714" s="7" t="s">
        <v>1600</v>
      </c>
      <c r="B3714" s="7" t="s">
        <v>1356</v>
      </c>
      <c r="C3714" s="7" t="n">
        <v>3</v>
      </c>
      <c r="D3714" s="7" t="n">
        <v>38</v>
      </c>
      <c r="E3714" s="7" t="n">
        <v>1</v>
      </c>
      <c r="F3714" s="7" t="s">
        <v>569</v>
      </c>
      <c r="G3714" s="12" t="str">
        <f aca="false">IFERROR(INDEX('Semrush Data'!$A$1:$Z$20000,MATCH(A3714,'Semrush Data'!$A$1:$A$20000,0),MATCH("Volume",'Semrush Data'!$A$1:$Z$1,0)),"")</f>
        <v/>
      </c>
      <c r="H3714" s="7" t="str">
        <f aca="false">IFERROR(INDEX('Semrush Data'!$A$1:$Z$20000,MATCH(A3714,'Semrush Data'!$A$1:$A$20000,0),MATCH("Keyword Difficulty*",'Semrush Data'!$A$1:$Z$1,0)),"")</f>
        <v/>
      </c>
      <c r="I3714" s="13" t="str">
        <f aca="false">IFERROR(INDEX('Semrush Data'!$A$1:$Z$20000,MATCH(A3714,'Semrush Data'!$A$1:$A$20000,0),MATCH("CPC*",'Semrush Data'!$A$1:$Z$1,0)),"")</f>
        <v/>
      </c>
      <c r="J3714" s="7" t="str">
        <f aca="false">IFERROR(INDEX('Semrush Data'!$A$1:$Z$20000,MATCH(A3714,'Semrush Data'!$A$1:$A$20000,0),MATCH("Intent",'Semrush Data'!$A$1:$Z$1,0)),"")</f>
        <v/>
      </c>
    </row>
    <row r="3715" customFormat="false" ht="15" hidden="false" customHeight="true" outlineLevel="0" collapsed="false">
      <c r="A3715" s="7" t="s">
        <v>1477</v>
      </c>
      <c r="B3715" s="7" t="s">
        <v>1356</v>
      </c>
      <c r="C3715" s="7" t="n">
        <v>3</v>
      </c>
      <c r="D3715" s="7" t="n">
        <v>38</v>
      </c>
      <c r="E3715" s="7" t="n">
        <v>1</v>
      </c>
      <c r="F3715" s="7" t="s">
        <v>429</v>
      </c>
      <c r="G3715" s="12" t="str">
        <f aca="false">IFERROR(INDEX('Semrush Data'!$A$1:$Z$20000,MATCH(A3715,'Semrush Data'!$A$1:$A$20000,0),MATCH("Volume",'Semrush Data'!$A$1:$Z$1,0)),"")</f>
        <v/>
      </c>
      <c r="H3715" s="7" t="str">
        <f aca="false">IFERROR(INDEX('Semrush Data'!$A$1:$Z$20000,MATCH(A3715,'Semrush Data'!$A$1:$A$20000,0),MATCH("Keyword Difficulty*",'Semrush Data'!$A$1:$Z$1,0)),"")</f>
        <v/>
      </c>
      <c r="I3715" s="13" t="str">
        <f aca="false">IFERROR(INDEX('Semrush Data'!$A$1:$Z$20000,MATCH(A3715,'Semrush Data'!$A$1:$A$20000,0),MATCH("CPC*",'Semrush Data'!$A$1:$Z$1,0)),"")</f>
        <v/>
      </c>
      <c r="J3715" s="7" t="str">
        <f aca="false">IFERROR(INDEX('Semrush Data'!$A$1:$Z$20000,MATCH(A3715,'Semrush Data'!$A$1:$A$20000,0),MATCH("Intent",'Semrush Data'!$A$1:$Z$1,0)),"")</f>
        <v/>
      </c>
    </row>
    <row r="3716" customFormat="false" ht="15" hidden="false" customHeight="true" outlineLevel="0" collapsed="false">
      <c r="A3716" s="7" t="s">
        <v>1606</v>
      </c>
      <c r="B3716" s="7" t="s">
        <v>1356</v>
      </c>
      <c r="C3716" s="7" t="n">
        <v>3</v>
      </c>
      <c r="D3716" s="7" t="n">
        <v>38</v>
      </c>
      <c r="E3716" s="7" t="n">
        <v>1</v>
      </c>
      <c r="F3716" s="7" t="s">
        <v>577</v>
      </c>
      <c r="G3716" s="12" t="str">
        <f aca="false">IFERROR(INDEX('Semrush Data'!$A$1:$Z$20000,MATCH(A3716,'Semrush Data'!$A$1:$A$20000,0),MATCH("Volume",'Semrush Data'!$A$1:$Z$1,0)),"")</f>
        <v/>
      </c>
      <c r="H3716" s="7" t="str">
        <f aca="false">IFERROR(INDEX('Semrush Data'!$A$1:$Z$20000,MATCH(A3716,'Semrush Data'!$A$1:$A$20000,0),MATCH("Keyword Difficulty*",'Semrush Data'!$A$1:$Z$1,0)),"")</f>
        <v/>
      </c>
      <c r="I3716" s="13" t="str">
        <f aca="false">IFERROR(INDEX('Semrush Data'!$A$1:$Z$20000,MATCH(A3716,'Semrush Data'!$A$1:$A$20000,0),MATCH("CPC*",'Semrush Data'!$A$1:$Z$1,0)),"")</f>
        <v/>
      </c>
      <c r="J3716" s="7" t="str">
        <f aca="false">IFERROR(INDEX('Semrush Data'!$A$1:$Z$20000,MATCH(A3716,'Semrush Data'!$A$1:$A$20000,0),MATCH("Intent",'Semrush Data'!$A$1:$Z$1,0)),"")</f>
        <v/>
      </c>
    </row>
    <row r="3717" customFormat="false" ht="15" hidden="false" customHeight="true" outlineLevel="0" collapsed="false">
      <c r="A3717" s="7" t="s">
        <v>1483</v>
      </c>
      <c r="B3717" s="7" t="s">
        <v>1356</v>
      </c>
      <c r="C3717" s="7" t="n">
        <v>3</v>
      </c>
      <c r="D3717" s="7" t="n">
        <v>38</v>
      </c>
      <c r="E3717" s="7" t="n">
        <v>1</v>
      </c>
      <c r="F3717" s="7" t="s">
        <v>436</v>
      </c>
      <c r="G3717" s="12" t="str">
        <f aca="false">IFERROR(INDEX('Semrush Data'!$A$1:$Z$20000,MATCH(A3717,'Semrush Data'!$A$1:$A$20000,0),MATCH("Volume",'Semrush Data'!$A$1:$Z$1,0)),"")</f>
        <v/>
      </c>
      <c r="H3717" s="7" t="str">
        <f aca="false">IFERROR(INDEX('Semrush Data'!$A$1:$Z$20000,MATCH(A3717,'Semrush Data'!$A$1:$A$20000,0),MATCH("Keyword Difficulty*",'Semrush Data'!$A$1:$Z$1,0)),"")</f>
        <v/>
      </c>
      <c r="I3717" s="13" t="str">
        <f aca="false">IFERROR(INDEX('Semrush Data'!$A$1:$Z$20000,MATCH(A3717,'Semrush Data'!$A$1:$A$20000,0),MATCH("CPC*",'Semrush Data'!$A$1:$Z$1,0)),"")</f>
        <v/>
      </c>
      <c r="J3717" s="7" t="str">
        <f aca="false">IFERROR(INDEX('Semrush Data'!$A$1:$Z$20000,MATCH(A3717,'Semrush Data'!$A$1:$A$20000,0),MATCH("Intent",'Semrush Data'!$A$1:$Z$1,0)),"")</f>
        <v/>
      </c>
    </row>
    <row r="3718" customFormat="false" ht="15" hidden="false" customHeight="true" outlineLevel="0" collapsed="false">
      <c r="A3718" s="7" t="s">
        <v>1837</v>
      </c>
      <c r="B3718" s="7" t="s">
        <v>1356</v>
      </c>
      <c r="C3718" s="7" t="n">
        <v>3</v>
      </c>
      <c r="D3718" s="7" t="n">
        <v>38</v>
      </c>
      <c r="E3718" s="7" t="n">
        <v>1</v>
      </c>
      <c r="F3718" s="7" t="s">
        <v>802</v>
      </c>
      <c r="G3718" s="12" t="str">
        <f aca="false">IFERROR(INDEX('Semrush Data'!$A$1:$Z$20000,MATCH(A3718,'Semrush Data'!$A$1:$A$20000,0),MATCH("Volume",'Semrush Data'!$A$1:$Z$1,0)),"")</f>
        <v/>
      </c>
      <c r="H3718" s="7" t="str">
        <f aca="false">IFERROR(INDEX('Semrush Data'!$A$1:$Z$20000,MATCH(A3718,'Semrush Data'!$A$1:$A$20000,0),MATCH("Keyword Difficulty*",'Semrush Data'!$A$1:$Z$1,0)),"")</f>
        <v/>
      </c>
      <c r="I3718" s="13" t="str">
        <f aca="false">IFERROR(INDEX('Semrush Data'!$A$1:$Z$20000,MATCH(A3718,'Semrush Data'!$A$1:$A$20000,0),MATCH("CPC*",'Semrush Data'!$A$1:$Z$1,0)),"")</f>
        <v/>
      </c>
      <c r="J3718" s="7" t="str">
        <f aca="false">IFERROR(INDEX('Semrush Data'!$A$1:$Z$20000,MATCH(A3718,'Semrush Data'!$A$1:$A$20000,0),MATCH("Intent",'Semrush Data'!$A$1:$Z$1,0)),"")</f>
        <v/>
      </c>
    </row>
    <row r="3719" customFormat="false" ht="15" hidden="false" customHeight="true" outlineLevel="0" collapsed="false">
      <c r="A3719" s="7" t="s">
        <v>1879</v>
      </c>
      <c r="B3719" s="7" t="s">
        <v>1356</v>
      </c>
      <c r="C3719" s="7" t="n">
        <v>3</v>
      </c>
      <c r="D3719" s="7" t="n">
        <v>38</v>
      </c>
      <c r="E3719" s="7" t="n">
        <v>1</v>
      </c>
      <c r="F3719" s="7" t="s">
        <v>840</v>
      </c>
      <c r="G3719" s="12" t="str">
        <f aca="false">IFERROR(INDEX('Semrush Data'!$A$1:$Z$20000,MATCH(A3719,'Semrush Data'!$A$1:$A$20000,0),MATCH("Volume",'Semrush Data'!$A$1:$Z$1,0)),"")</f>
        <v/>
      </c>
      <c r="H3719" s="7" t="str">
        <f aca="false">IFERROR(INDEX('Semrush Data'!$A$1:$Z$20000,MATCH(A3719,'Semrush Data'!$A$1:$A$20000,0),MATCH("Keyword Difficulty*",'Semrush Data'!$A$1:$Z$1,0)),"")</f>
        <v/>
      </c>
      <c r="I3719" s="13" t="str">
        <f aca="false">IFERROR(INDEX('Semrush Data'!$A$1:$Z$20000,MATCH(A3719,'Semrush Data'!$A$1:$A$20000,0),MATCH("CPC*",'Semrush Data'!$A$1:$Z$1,0)),"")</f>
        <v/>
      </c>
      <c r="J3719" s="7" t="str">
        <f aca="false">IFERROR(INDEX('Semrush Data'!$A$1:$Z$20000,MATCH(A3719,'Semrush Data'!$A$1:$A$20000,0),MATCH("Intent",'Semrush Data'!$A$1:$Z$1,0)),"")</f>
        <v/>
      </c>
    </row>
    <row r="3720" customFormat="false" ht="15" hidden="false" customHeight="true" outlineLevel="0" collapsed="false">
      <c r="A3720" s="7" t="s">
        <v>1612</v>
      </c>
      <c r="B3720" s="7" t="s">
        <v>1356</v>
      </c>
      <c r="C3720" s="7" t="n">
        <v>3</v>
      </c>
      <c r="D3720" s="7" t="n">
        <v>38</v>
      </c>
      <c r="E3720" s="7" t="n">
        <v>1</v>
      </c>
      <c r="F3720" s="7" t="s">
        <v>584</v>
      </c>
      <c r="G3720" s="12" t="str">
        <f aca="false">IFERROR(INDEX('Semrush Data'!$A$1:$Z$20000,MATCH(A3720,'Semrush Data'!$A$1:$A$20000,0),MATCH("Volume",'Semrush Data'!$A$1:$Z$1,0)),"")</f>
        <v/>
      </c>
      <c r="H3720" s="7" t="str">
        <f aca="false">IFERROR(INDEX('Semrush Data'!$A$1:$Z$20000,MATCH(A3720,'Semrush Data'!$A$1:$A$20000,0),MATCH("Keyword Difficulty*",'Semrush Data'!$A$1:$Z$1,0)),"")</f>
        <v/>
      </c>
      <c r="I3720" s="13" t="str">
        <f aca="false">IFERROR(INDEX('Semrush Data'!$A$1:$Z$20000,MATCH(A3720,'Semrush Data'!$A$1:$A$20000,0),MATCH("CPC*",'Semrush Data'!$A$1:$Z$1,0)),"")</f>
        <v/>
      </c>
      <c r="J3720" s="7" t="str">
        <f aca="false">IFERROR(INDEX('Semrush Data'!$A$1:$Z$20000,MATCH(A3720,'Semrush Data'!$A$1:$A$20000,0),MATCH("Intent",'Semrush Data'!$A$1:$Z$1,0)),"")</f>
        <v/>
      </c>
    </row>
    <row r="3721" customFormat="false" ht="15" hidden="false" customHeight="true" outlineLevel="0" collapsed="false">
      <c r="A3721" s="7" t="s">
        <v>1667</v>
      </c>
      <c r="B3721" s="7" t="s">
        <v>1356</v>
      </c>
      <c r="C3721" s="7" t="n">
        <v>3</v>
      </c>
      <c r="D3721" s="7" t="n">
        <v>38</v>
      </c>
      <c r="E3721" s="7" t="n">
        <v>1</v>
      </c>
      <c r="F3721" s="7" t="s">
        <v>644</v>
      </c>
      <c r="G3721" s="12" t="str">
        <f aca="false">IFERROR(INDEX('Semrush Data'!$A$1:$Z$20000,MATCH(A3721,'Semrush Data'!$A$1:$A$20000,0),MATCH("Volume",'Semrush Data'!$A$1:$Z$1,0)),"")</f>
        <v/>
      </c>
      <c r="H3721" s="7" t="str">
        <f aca="false">IFERROR(INDEX('Semrush Data'!$A$1:$Z$20000,MATCH(A3721,'Semrush Data'!$A$1:$A$20000,0),MATCH("Keyword Difficulty*",'Semrush Data'!$A$1:$Z$1,0)),"")</f>
        <v/>
      </c>
      <c r="I3721" s="13" t="str">
        <f aca="false">IFERROR(INDEX('Semrush Data'!$A$1:$Z$20000,MATCH(A3721,'Semrush Data'!$A$1:$A$20000,0),MATCH("CPC*",'Semrush Data'!$A$1:$Z$1,0)),"")</f>
        <v/>
      </c>
      <c r="J3721" s="7" t="str">
        <f aca="false">IFERROR(INDEX('Semrush Data'!$A$1:$Z$20000,MATCH(A3721,'Semrush Data'!$A$1:$A$20000,0),MATCH("Intent",'Semrush Data'!$A$1:$Z$1,0)),"")</f>
        <v/>
      </c>
    </row>
    <row r="3722" customFormat="false" ht="15" hidden="false" customHeight="true" outlineLevel="0" collapsed="false">
      <c r="A3722" s="7" t="s">
        <v>1620</v>
      </c>
      <c r="B3722" s="7" t="s">
        <v>1356</v>
      </c>
      <c r="C3722" s="7" t="n">
        <v>3</v>
      </c>
      <c r="D3722" s="7" t="n">
        <v>38</v>
      </c>
      <c r="E3722" s="7" t="n">
        <v>1</v>
      </c>
      <c r="F3722" s="7" t="s">
        <v>593</v>
      </c>
      <c r="G3722" s="12" t="str">
        <f aca="false">IFERROR(INDEX('Semrush Data'!$A$1:$Z$20000,MATCH(A3722,'Semrush Data'!$A$1:$A$20000,0),MATCH("Volume",'Semrush Data'!$A$1:$Z$1,0)),"")</f>
        <v/>
      </c>
      <c r="H3722" s="7" t="str">
        <f aca="false">IFERROR(INDEX('Semrush Data'!$A$1:$Z$20000,MATCH(A3722,'Semrush Data'!$A$1:$A$20000,0),MATCH("Keyword Difficulty*",'Semrush Data'!$A$1:$Z$1,0)),"")</f>
        <v/>
      </c>
      <c r="I3722" s="13" t="str">
        <f aca="false">IFERROR(INDEX('Semrush Data'!$A$1:$Z$20000,MATCH(A3722,'Semrush Data'!$A$1:$A$20000,0),MATCH("CPC*",'Semrush Data'!$A$1:$Z$1,0)),"")</f>
        <v/>
      </c>
      <c r="J3722" s="7" t="str">
        <f aca="false">IFERROR(INDEX('Semrush Data'!$A$1:$Z$20000,MATCH(A3722,'Semrush Data'!$A$1:$A$20000,0),MATCH("Intent",'Semrush Data'!$A$1:$Z$1,0)),"")</f>
        <v/>
      </c>
    </row>
    <row r="3723" customFormat="false" ht="15" hidden="false" customHeight="true" outlineLevel="0" collapsed="false">
      <c r="A3723" s="7" t="s">
        <v>1680</v>
      </c>
      <c r="B3723" s="7" t="s">
        <v>1356</v>
      </c>
      <c r="C3723" s="7" t="n">
        <v>3</v>
      </c>
      <c r="D3723" s="7" t="n">
        <v>38</v>
      </c>
      <c r="E3723" s="7" t="n">
        <v>1</v>
      </c>
      <c r="F3723" s="7" t="s">
        <v>657</v>
      </c>
      <c r="G3723" s="12" t="str">
        <f aca="false">IFERROR(INDEX('Semrush Data'!$A$1:$Z$20000,MATCH(A3723,'Semrush Data'!$A$1:$A$20000,0),MATCH("Volume",'Semrush Data'!$A$1:$Z$1,0)),"")</f>
        <v/>
      </c>
      <c r="H3723" s="7" t="str">
        <f aca="false">IFERROR(INDEX('Semrush Data'!$A$1:$Z$20000,MATCH(A3723,'Semrush Data'!$A$1:$A$20000,0),MATCH("Keyword Difficulty*",'Semrush Data'!$A$1:$Z$1,0)),"")</f>
        <v/>
      </c>
      <c r="I3723" s="13" t="str">
        <f aca="false">IFERROR(INDEX('Semrush Data'!$A$1:$Z$20000,MATCH(A3723,'Semrush Data'!$A$1:$A$20000,0),MATCH("CPC*",'Semrush Data'!$A$1:$Z$1,0)),"")</f>
        <v/>
      </c>
      <c r="J3723" s="7" t="str">
        <f aca="false">IFERROR(INDEX('Semrush Data'!$A$1:$Z$20000,MATCH(A3723,'Semrush Data'!$A$1:$A$20000,0),MATCH("Intent",'Semrush Data'!$A$1:$Z$1,0)),"")</f>
        <v/>
      </c>
    </row>
    <row r="3724" customFormat="false" ht="15" hidden="false" customHeight="true" outlineLevel="0" collapsed="false">
      <c r="A3724" s="7" t="s">
        <v>1489</v>
      </c>
      <c r="B3724" s="7" t="s">
        <v>1356</v>
      </c>
      <c r="C3724" s="7" t="n">
        <v>3</v>
      </c>
      <c r="D3724" s="7" t="n">
        <v>38</v>
      </c>
      <c r="E3724" s="7" t="n">
        <v>1</v>
      </c>
      <c r="F3724" s="7" t="s">
        <v>443</v>
      </c>
      <c r="G3724" s="12" t="str">
        <f aca="false">IFERROR(INDEX('Semrush Data'!$A$1:$Z$20000,MATCH(A3724,'Semrush Data'!$A$1:$A$20000,0),MATCH("Volume",'Semrush Data'!$A$1:$Z$1,0)),"")</f>
        <v/>
      </c>
      <c r="H3724" s="7" t="str">
        <f aca="false">IFERROR(INDEX('Semrush Data'!$A$1:$Z$20000,MATCH(A3724,'Semrush Data'!$A$1:$A$20000,0),MATCH("Keyword Difficulty*",'Semrush Data'!$A$1:$Z$1,0)),"")</f>
        <v/>
      </c>
      <c r="I3724" s="13" t="str">
        <f aca="false">IFERROR(INDEX('Semrush Data'!$A$1:$Z$20000,MATCH(A3724,'Semrush Data'!$A$1:$A$20000,0),MATCH("CPC*",'Semrush Data'!$A$1:$Z$1,0)),"")</f>
        <v/>
      </c>
      <c r="J3724" s="7" t="str">
        <f aca="false">IFERROR(INDEX('Semrush Data'!$A$1:$Z$20000,MATCH(A3724,'Semrush Data'!$A$1:$A$20000,0),MATCH("Intent",'Semrush Data'!$A$1:$Z$1,0)),"")</f>
        <v/>
      </c>
    </row>
    <row r="3725" customFormat="false" ht="15" hidden="false" customHeight="true" outlineLevel="0" collapsed="false">
      <c r="A3725" s="7" t="s">
        <v>1627</v>
      </c>
      <c r="B3725" s="7" t="s">
        <v>1356</v>
      </c>
      <c r="C3725" s="7" t="n">
        <v>3</v>
      </c>
      <c r="D3725" s="7" t="n">
        <v>38</v>
      </c>
      <c r="E3725" s="7" t="n">
        <v>2</v>
      </c>
      <c r="F3725" s="7" t="s">
        <v>6813</v>
      </c>
      <c r="G3725" s="12" t="str">
        <f aca="false">IFERROR(INDEX('Semrush Data'!$A$1:$Z$20000,MATCH(A3725,'Semrush Data'!$A$1:$A$20000,0),MATCH("Volume",'Semrush Data'!$A$1:$Z$1,0)),"")</f>
        <v/>
      </c>
      <c r="H3725" s="7" t="str">
        <f aca="false">IFERROR(INDEX('Semrush Data'!$A$1:$Z$20000,MATCH(A3725,'Semrush Data'!$A$1:$A$20000,0),MATCH("Keyword Difficulty*",'Semrush Data'!$A$1:$Z$1,0)),"")</f>
        <v/>
      </c>
      <c r="I3725" s="13" t="str">
        <f aca="false">IFERROR(INDEX('Semrush Data'!$A$1:$Z$20000,MATCH(A3725,'Semrush Data'!$A$1:$A$20000,0),MATCH("CPC*",'Semrush Data'!$A$1:$Z$1,0)),"")</f>
        <v/>
      </c>
      <c r="J3725" s="7" t="str">
        <f aca="false">IFERROR(INDEX('Semrush Data'!$A$1:$Z$20000,MATCH(A3725,'Semrush Data'!$A$1:$A$20000,0),MATCH("Intent",'Semrush Data'!$A$1:$Z$1,0)),"")</f>
        <v/>
      </c>
    </row>
    <row r="3726" customFormat="false" ht="15" hidden="false" customHeight="true" outlineLevel="0" collapsed="false">
      <c r="A3726" s="7" t="s">
        <v>1693</v>
      </c>
      <c r="B3726" s="7" t="s">
        <v>1356</v>
      </c>
      <c r="C3726" s="7" t="n">
        <v>3</v>
      </c>
      <c r="D3726" s="7" t="n">
        <v>38</v>
      </c>
      <c r="E3726" s="7" t="n">
        <v>1</v>
      </c>
      <c r="F3726" s="7" t="s">
        <v>669</v>
      </c>
      <c r="G3726" s="12" t="str">
        <f aca="false">IFERROR(INDEX('Semrush Data'!$A$1:$Z$20000,MATCH(A3726,'Semrush Data'!$A$1:$A$20000,0),MATCH("Volume",'Semrush Data'!$A$1:$Z$1,0)),"")</f>
        <v/>
      </c>
      <c r="H3726" s="7" t="str">
        <f aca="false">IFERROR(INDEX('Semrush Data'!$A$1:$Z$20000,MATCH(A3726,'Semrush Data'!$A$1:$A$20000,0),MATCH("Keyword Difficulty*",'Semrush Data'!$A$1:$Z$1,0)),"")</f>
        <v/>
      </c>
      <c r="I3726" s="13" t="str">
        <f aca="false">IFERROR(INDEX('Semrush Data'!$A$1:$Z$20000,MATCH(A3726,'Semrush Data'!$A$1:$A$20000,0),MATCH("CPC*",'Semrush Data'!$A$1:$Z$1,0)),"")</f>
        <v/>
      </c>
      <c r="J3726" s="7" t="str">
        <f aca="false">IFERROR(INDEX('Semrush Data'!$A$1:$Z$20000,MATCH(A3726,'Semrush Data'!$A$1:$A$20000,0),MATCH("Intent",'Semrush Data'!$A$1:$Z$1,0)),"")</f>
        <v/>
      </c>
    </row>
    <row r="3727" customFormat="false" ht="15" hidden="false" customHeight="true" outlineLevel="0" collapsed="false">
      <c r="A3727" s="7" t="s">
        <v>1496</v>
      </c>
      <c r="B3727" s="7" t="s">
        <v>1356</v>
      </c>
      <c r="C3727" s="7" t="n">
        <v>3</v>
      </c>
      <c r="D3727" s="7" t="n">
        <v>38</v>
      </c>
      <c r="E3727" s="7" t="n">
        <v>1</v>
      </c>
      <c r="F3727" s="7" t="s">
        <v>452</v>
      </c>
      <c r="G3727" s="12" t="str">
        <f aca="false">IFERROR(INDEX('Semrush Data'!$A$1:$Z$20000,MATCH(A3727,'Semrush Data'!$A$1:$A$20000,0),MATCH("Volume",'Semrush Data'!$A$1:$Z$1,0)),"")</f>
        <v/>
      </c>
      <c r="H3727" s="7" t="str">
        <f aca="false">IFERROR(INDEX('Semrush Data'!$A$1:$Z$20000,MATCH(A3727,'Semrush Data'!$A$1:$A$20000,0),MATCH("Keyword Difficulty*",'Semrush Data'!$A$1:$Z$1,0)),"")</f>
        <v/>
      </c>
      <c r="I3727" s="13" t="str">
        <f aca="false">IFERROR(INDEX('Semrush Data'!$A$1:$Z$20000,MATCH(A3727,'Semrush Data'!$A$1:$A$20000,0),MATCH("CPC*",'Semrush Data'!$A$1:$Z$1,0)),"")</f>
        <v/>
      </c>
      <c r="J3727" s="7" t="str">
        <f aca="false">IFERROR(INDEX('Semrush Data'!$A$1:$Z$20000,MATCH(A3727,'Semrush Data'!$A$1:$A$20000,0),MATCH("Intent",'Semrush Data'!$A$1:$Z$1,0)),"")</f>
        <v/>
      </c>
    </row>
    <row r="3728" customFormat="false" ht="15" hidden="false" customHeight="true" outlineLevel="0" collapsed="false">
      <c r="A3728" s="7" t="s">
        <v>1636</v>
      </c>
      <c r="B3728" s="7" t="s">
        <v>1356</v>
      </c>
      <c r="C3728" s="7" t="n">
        <v>3</v>
      </c>
      <c r="D3728" s="7" t="n">
        <v>38</v>
      </c>
      <c r="E3728" s="7" t="n">
        <v>1</v>
      </c>
      <c r="F3728" s="7" t="s">
        <v>611</v>
      </c>
      <c r="G3728" s="12" t="str">
        <f aca="false">IFERROR(INDEX('Semrush Data'!$A$1:$Z$20000,MATCH(A3728,'Semrush Data'!$A$1:$A$20000,0),MATCH("Volume",'Semrush Data'!$A$1:$Z$1,0)),"")</f>
        <v/>
      </c>
      <c r="H3728" s="7" t="str">
        <f aca="false">IFERROR(INDEX('Semrush Data'!$A$1:$Z$20000,MATCH(A3728,'Semrush Data'!$A$1:$A$20000,0),MATCH("Keyword Difficulty*",'Semrush Data'!$A$1:$Z$1,0)),"")</f>
        <v/>
      </c>
      <c r="I3728" s="13" t="str">
        <f aca="false">IFERROR(INDEX('Semrush Data'!$A$1:$Z$20000,MATCH(A3728,'Semrush Data'!$A$1:$A$20000,0),MATCH("CPC*",'Semrush Data'!$A$1:$Z$1,0)),"")</f>
        <v/>
      </c>
      <c r="J3728" s="7" t="str">
        <f aca="false">IFERROR(INDEX('Semrush Data'!$A$1:$Z$20000,MATCH(A3728,'Semrush Data'!$A$1:$A$20000,0),MATCH("Intent",'Semrush Data'!$A$1:$Z$1,0)),"")</f>
        <v/>
      </c>
    </row>
    <row r="3729" customFormat="false" ht="15" hidden="false" customHeight="true" outlineLevel="0" collapsed="false">
      <c r="A3729" s="7" t="s">
        <v>1503</v>
      </c>
      <c r="B3729" s="7" t="s">
        <v>1356</v>
      </c>
      <c r="C3729" s="7" t="n">
        <v>3</v>
      </c>
      <c r="D3729" s="7" t="n">
        <v>38</v>
      </c>
      <c r="E3729" s="7" t="n">
        <v>1</v>
      </c>
      <c r="F3729" s="7" t="s">
        <v>459</v>
      </c>
      <c r="G3729" s="12" t="str">
        <f aca="false">IFERROR(INDEX('Semrush Data'!$A$1:$Z$20000,MATCH(A3729,'Semrush Data'!$A$1:$A$20000,0),MATCH("Volume",'Semrush Data'!$A$1:$Z$1,0)),"")</f>
        <v/>
      </c>
      <c r="H3729" s="7" t="str">
        <f aca="false">IFERROR(INDEX('Semrush Data'!$A$1:$Z$20000,MATCH(A3729,'Semrush Data'!$A$1:$A$20000,0),MATCH("Keyword Difficulty*",'Semrush Data'!$A$1:$Z$1,0)),"")</f>
        <v/>
      </c>
      <c r="I3729" s="13" t="str">
        <f aca="false">IFERROR(INDEX('Semrush Data'!$A$1:$Z$20000,MATCH(A3729,'Semrush Data'!$A$1:$A$20000,0),MATCH("CPC*",'Semrush Data'!$A$1:$Z$1,0)),"")</f>
        <v/>
      </c>
      <c r="J3729" s="7" t="str">
        <f aca="false">IFERROR(INDEX('Semrush Data'!$A$1:$Z$20000,MATCH(A3729,'Semrush Data'!$A$1:$A$20000,0),MATCH("Intent",'Semrush Data'!$A$1:$Z$1,0)),"")</f>
        <v/>
      </c>
    </row>
    <row r="3730" customFormat="false" ht="15" hidden="false" customHeight="true" outlineLevel="0" collapsed="false">
      <c r="A3730" s="7" t="s">
        <v>1421</v>
      </c>
      <c r="B3730" s="7" t="s">
        <v>1356</v>
      </c>
      <c r="C3730" s="7" t="n">
        <v>3</v>
      </c>
      <c r="D3730" s="7" t="n">
        <v>38</v>
      </c>
      <c r="E3730" s="7" t="n">
        <v>1</v>
      </c>
      <c r="F3730" s="7" t="s">
        <v>363</v>
      </c>
      <c r="G3730" s="12" t="str">
        <f aca="false">IFERROR(INDEX('Semrush Data'!$A$1:$Z$20000,MATCH(A3730,'Semrush Data'!$A$1:$A$20000,0),MATCH("Volume",'Semrush Data'!$A$1:$Z$1,0)),"")</f>
        <v/>
      </c>
      <c r="H3730" s="7" t="str">
        <f aca="false">IFERROR(INDEX('Semrush Data'!$A$1:$Z$20000,MATCH(A3730,'Semrush Data'!$A$1:$A$20000,0),MATCH("Keyword Difficulty*",'Semrush Data'!$A$1:$Z$1,0)),"")</f>
        <v/>
      </c>
      <c r="I3730" s="13" t="str">
        <f aca="false">IFERROR(INDEX('Semrush Data'!$A$1:$Z$20000,MATCH(A3730,'Semrush Data'!$A$1:$A$20000,0),MATCH("CPC*",'Semrush Data'!$A$1:$Z$1,0)),"")</f>
        <v/>
      </c>
      <c r="J3730" s="7" t="str">
        <f aca="false">IFERROR(INDEX('Semrush Data'!$A$1:$Z$20000,MATCH(A3730,'Semrush Data'!$A$1:$A$20000,0),MATCH("Intent",'Semrush Data'!$A$1:$Z$1,0)),"")</f>
        <v/>
      </c>
    </row>
    <row r="3731" customFormat="false" ht="15" hidden="false" customHeight="true" outlineLevel="0" collapsed="false">
      <c r="A3731" s="7" t="s">
        <v>1642</v>
      </c>
      <c r="B3731" s="7" t="s">
        <v>1356</v>
      </c>
      <c r="C3731" s="7" t="n">
        <v>3</v>
      </c>
      <c r="D3731" s="7" t="n">
        <v>38</v>
      </c>
      <c r="E3731" s="7" t="n">
        <v>1</v>
      </c>
      <c r="F3731" s="7" t="s">
        <v>617</v>
      </c>
      <c r="G3731" s="12" t="str">
        <f aca="false">IFERROR(INDEX('Semrush Data'!$A$1:$Z$20000,MATCH(A3731,'Semrush Data'!$A$1:$A$20000,0),MATCH("Volume",'Semrush Data'!$A$1:$Z$1,0)),"")</f>
        <v/>
      </c>
      <c r="H3731" s="7" t="str">
        <f aca="false">IFERROR(INDEX('Semrush Data'!$A$1:$Z$20000,MATCH(A3731,'Semrush Data'!$A$1:$A$20000,0),MATCH("Keyword Difficulty*",'Semrush Data'!$A$1:$Z$1,0)),"")</f>
        <v/>
      </c>
      <c r="I3731" s="13" t="str">
        <f aca="false">IFERROR(INDEX('Semrush Data'!$A$1:$Z$20000,MATCH(A3731,'Semrush Data'!$A$1:$A$20000,0),MATCH("CPC*",'Semrush Data'!$A$1:$Z$1,0)),"")</f>
        <v/>
      </c>
      <c r="J3731" s="7" t="str">
        <f aca="false">IFERROR(INDEX('Semrush Data'!$A$1:$Z$20000,MATCH(A3731,'Semrush Data'!$A$1:$A$20000,0),MATCH("Intent",'Semrush Data'!$A$1:$Z$1,0)),"")</f>
        <v/>
      </c>
    </row>
    <row r="3732" customFormat="false" ht="15" hidden="false" customHeight="true" outlineLevel="0" collapsed="false">
      <c r="A3732" s="7" t="s">
        <v>1649</v>
      </c>
      <c r="B3732" s="7" t="s">
        <v>1356</v>
      </c>
      <c r="C3732" s="7" t="n">
        <v>3</v>
      </c>
      <c r="D3732" s="7" t="n">
        <v>38</v>
      </c>
      <c r="E3732" s="7" t="n">
        <v>1</v>
      </c>
      <c r="F3732" s="7" t="s">
        <v>623</v>
      </c>
      <c r="G3732" s="12" t="str">
        <f aca="false">IFERROR(INDEX('Semrush Data'!$A$1:$Z$20000,MATCH(A3732,'Semrush Data'!$A$1:$A$20000,0),MATCH("Volume",'Semrush Data'!$A$1:$Z$1,0)),"")</f>
        <v/>
      </c>
      <c r="H3732" s="7" t="str">
        <f aca="false">IFERROR(INDEX('Semrush Data'!$A$1:$Z$20000,MATCH(A3732,'Semrush Data'!$A$1:$A$20000,0),MATCH("Keyword Difficulty*",'Semrush Data'!$A$1:$Z$1,0)),"")</f>
        <v/>
      </c>
      <c r="I3732" s="13" t="str">
        <f aca="false">IFERROR(INDEX('Semrush Data'!$A$1:$Z$20000,MATCH(A3732,'Semrush Data'!$A$1:$A$20000,0),MATCH("CPC*",'Semrush Data'!$A$1:$Z$1,0)),"")</f>
        <v/>
      </c>
      <c r="J3732" s="7" t="str">
        <f aca="false">IFERROR(INDEX('Semrush Data'!$A$1:$Z$20000,MATCH(A3732,'Semrush Data'!$A$1:$A$20000,0),MATCH("Intent",'Semrush Data'!$A$1:$Z$1,0)),"")</f>
        <v/>
      </c>
    </row>
    <row r="3733" customFormat="false" ht="15" hidden="false" customHeight="true" outlineLevel="0" collapsed="false">
      <c r="A3733" s="7" t="s">
        <v>1735</v>
      </c>
      <c r="B3733" s="7" t="s">
        <v>1356</v>
      </c>
      <c r="C3733" s="7" t="n">
        <v>3</v>
      </c>
      <c r="D3733" s="7" t="n">
        <v>38</v>
      </c>
      <c r="E3733" s="7" t="n">
        <v>1</v>
      </c>
      <c r="F3733" s="7" t="s">
        <v>708</v>
      </c>
      <c r="G3733" s="12" t="str">
        <f aca="false">IFERROR(INDEX('Semrush Data'!$A$1:$Z$20000,MATCH(A3733,'Semrush Data'!$A$1:$A$20000,0),MATCH("Volume",'Semrush Data'!$A$1:$Z$1,0)),"")</f>
        <v/>
      </c>
      <c r="H3733" s="7" t="str">
        <f aca="false">IFERROR(INDEX('Semrush Data'!$A$1:$Z$20000,MATCH(A3733,'Semrush Data'!$A$1:$A$20000,0),MATCH("Keyword Difficulty*",'Semrush Data'!$A$1:$Z$1,0)),"")</f>
        <v/>
      </c>
      <c r="I3733" s="13" t="str">
        <f aca="false">IFERROR(INDEX('Semrush Data'!$A$1:$Z$20000,MATCH(A3733,'Semrush Data'!$A$1:$A$20000,0),MATCH("CPC*",'Semrush Data'!$A$1:$Z$1,0)),"")</f>
        <v/>
      </c>
      <c r="J3733" s="7" t="str">
        <f aca="false">IFERROR(INDEX('Semrush Data'!$A$1:$Z$20000,MATCH(A3733,'Semrush Data'!$A$1:$A$20000,0),MATCH("Intent",'Semrush Data'!$A$1:$Z$1,0)),"")</f>
        <v/>
      </c>
    </row>
    <row r="3734" customFormat="false" ht="15" hidden="false" customHeight="true" outlineLevel="0" collapsed="false">
      <c r="A3734" s="7" t="s">
        <v>1699</v>
      </c>
      <c r="B3734" s="7" t="s">
        <v>1356</v>
      </c>
      <c r="C3734" s="7" t="n">
        <v>3</v>
      </c>
      <c r="D3734" s="7" t="n">
        <v>38</v>
      </c>
      <c r="E3734" s="7" t="n">
        <v>1</v>
      </c>
      <c r="F3734" s="7" t="s">
        <v>674</v>
      </c>
      <c r="G3734" s="12" t="str">
        <f aca="false">IFERROR(INDEX('Semrush Data'!$A$1:$Z$20000,MATCH(A3734,'Semrush Data'!$A$1:$A$20000,0),MATCH("Volume",'Semrush Data'!$A$1:$Z$1,0)),"")</f>
        <v/>
      </c>
      <c r="H3734" s="7" t="str">
        <f aca="false">IFERROR(INDEX('Semrush Data'!$A$1:$Z$20000,MATCH(A3734,'Semrush Data'!$A$1:$A$20000,0),MATCH("Keyword Difficulty*",'Semrush Data'!$A$1:$Z$1,0)),"")</f>
        <v/>
      </c>
      <c r="I3734" s="13" t="str">
        <f aca="false">IFERROR(INDEX('Semrush Data'!$A$1:$Z$20000,MATCH(A3734,'Semrush Data'!$A$1:$A$20000,0),MATCH("CPC*",'Semrush Data'!$A$1:$Z$1,0)),"")</f>
        <v/>
      </c>
      <c r="J3734" s="7" t="str">
        <f aca="false">IFERROR(INDEX('Semrush Data'!$A$1:$Z$20000,MATCH(A3734,'Semrush Data'!$A$1:$A$20000,0),MATCH("Intent",'Semrush Data'!$A$1:$Z$1,0)),"")</f>
        <v/>
      </c>
    </row>
    <row r="3735" customFormat="false" ht="15" hidden="false" customHeight="true" outlineLevel="0" collapsed="false">
      <c r="A3735" s="7" t="s">
        <v>1771</v>
      </c>
      <c r="B3735" s="7" t="s">
        <v>1356</v>
      </c>
      <c r="C3735" s="7" t="n">
        <v>3</v>
      </c>
      <c r="D3735" s="7" t="n">
        <v>38</v>
      </c>
      <c r="E3735" s="7" t="n">
        <v>1</v>
      </c>
      <c r="F3735" s="7" t="s">
        <v>742</v>
      </c>
      <c r="G3735" s="12" t="str">
        <f aca="false">IFERROR(INDEX('Semrush Data'!$A$1:$Z$20000,MATCH(A3735,'Semrush Data'!$A$1:$A$20000,0),MATCH("Volume",'Semrush Data'!$A$1:$Z$1,0)),"")</f>
        <v/>
      </c>
      <c r="H3735" s="7" t="str">
        <f aca="false">IFERROR(INDEX('Semrush Data'!$A$1:$Z$20000,MATCH(A3735,'Semrush Data'!$A$1:$A$20000,0),MATCH("Keyword Difficulty*",'Semrush Data'!$A$1:$Z$1,0)),"")</f>
        <v/>
      </c>
      <c r="I3735" s="13" t="str">
        <f aca="false">IFERROR(INDEX('Semrush Data'!$A$1:$Z$20000,MATCH(A3735,'Semrush Data'!$A$1:$A$20000,0),MATCH("CPC*",'Semrush Data'!$A$1:$Z$1,0)),"")</f>
        <v/>
      </c>
      <c r="J3735" s="7" t="str">
        <f aca="false">IFERROR(INDEX('Semrush Data'!$A$1:$Z$20000,MATCH(A3735,'Semrush Data'!$A$1:$A$20000,0),MATCH("Intent",'Semrush Data'!$A$1:$Z$1,0)),"")</f>
        <v/>
      </c>
    </row>
    <row r="3736" customFormat="false" ht="15" hidden="false" customHeight="true" outlineLevel="0" collapsed="false">
      <c r="A3736" s="7" t="s">
        <v>1449</v>
      </c>
      <c r="B3736" s="7" t="s">
        <v>1356</v>
      </c>
      <c r="C3736" s="7" t="n">
        <v>3</v>
      </c>
      <c r="D3736" s="7" t="n">
        <v>38</v>
      </c>
      <c r="E3736" s="7" t="n">
        <v>1</v>
      </c>
      <c r="F3736" s="7" t="s">
        <v>394</v>
      </c>
      <c r="G3736" s="12" t="str">
        <f aca="false">IFERROR(INDEX('Semrush Data'!$A$1:$Z$20000,MATCH(A3736,'Semrush Data'!$A$1:$A$20000,0),MATCH("Volume",'Semrush Data'!$A$1:$Z$1,0)),"")</f>
        <v/>
      </c>
      <c r="H3736" s="7" t="str">
        <f aca="false">IFERROR(INDEX('Semrush Data'!$A$1:$Z$20000,MATCH(A3736,'Semrush Data'!$A$1:$A$20000,0),MATCH("Keyword Difficulty*",'Semrush Data'!$A$1:$Z$1,0)),"")</f>
        <v/>
      </c>
      <c r="I3736" s="13" t="str">
        <f aca="false">IFERROR(INDEX('Semrush Data'!$A$1:$Z$20000,MATCH(A3736,'Semrush Data'!$A$1:$A$20000,0),MATCH("CPC*",'Semrush Data'!$A$1:$Z$1,0)),"")</f>
        <v/>
      </c>
      <c r="J3736" s="7" t="str">
        <f aca="false">IFERROR(INDEX('Semrush Data'!$A$1:$Z$20000,MATCH(A3736,'Semrush Data'!$A$1:$A$20000,0),MATCH("Intent",'Semrush Data'!$A$1:$Z$1,0)),"")</f>
        <v/>
      </c>
    </row>
    <row r="3737" customFormat="false" ht="15" hidden="false" customHeight="true" outlineLevel="0" collapsed="false">
      <c r="A3737" s="7" t="s">
        <v>1379</v>
      </c>
      <c r="B3737" s="7" t="s">
        <v>1356</v>
      </c>
      <c r="C3737" s="7" t="n">
        <v>3</v>
      </c>
      <c r="D3737" s="7" t="n">
        <v>38</v>
      </c>
      <c r="E3737" s="7" t="n">
        <v>1</v>
      </c>
      <c r="F3737" s="7" t="s">
        <v>312</v>
      </c>
      <c r="G3737" s="12" t="str">
        <f aca="false">IFERROR(INDEX('Semrush Data'!$A$1:$Z$20000,MATCH(A3737,'Semrush Data'!$A$1:$A$20000,0),MATCH("Volume",'Semrush Data'!$A$1:$Z$1,0)),"")</f>
        <v/>
      </c>
      <c r="H3737" s="7" t="str">
        <f aca="false">IFERROR(INDEX('Semrush Data'!$A$1:$Z$20000,MATCH(A3737,'Semrush Data'!$A$1:$A$20000,0),MATCH("Keyword Difficulty*",'Semrush Data'!$A$1:$Z$1,0)),"")</f>
        <v/>
      </c>
      <c r="I3737" s="13" t="str">
        <f aca="false">IFERROR(INDEX('Semrush Data'!$A$1:$Z$20000,MATCH(A3737,'Semrush Data'!$A$1:$A$20000,0),MATCH("CPC*",'Semrush Data'!$A$1:$Z$1,0)),"")</f>
        <v/>
      </c>
      <c r="J3737" s="7" t="str">
        <f aca="false">IFERROR(INDEX('Semrush Data'!$A$1:$Z$20000,MATCH(A3737,'Semrush Data'!$A$1:$A$20000,0),MATCH("Intent",'Semrush Data'!$A$1:$Z$1,0)),"")</f>
        <v/>
      </c>
    </row>
    <row r="3738" customFormat="false" ht="15" hidden="false" customHeight="true" outlineLevel="0" collapsed="false">
      <c r="A3738" s="7" t="s">
        <v>1705</v>
      </c>
      <c r="B3738" s="7" t="s">
        <v>1356</v>
      </c>
      <c r="C3738" s="7" t="n">
        <v>3</v>
      </c>
      <c r="D3738" s="7" t="n">
        <v>38</v>
      </c>
      <c r="E3738" s="7" t="n">
        <v>1</v>
      </c>
      <c r="F3738" s="7" t="s">
        <v>680</v>
      </c>
      <c r="G3738" s="12" t="str">
        <f aca="false">IFERROR(INDEX('Semrush Data'!$A$1:$Z$20000,MATCH(A3738,'Semrush Data'!$A$1:$A$20000,0),MATCH("Volume",'Semrush Data'!$A$1:$Z$1,0)),"")</f>
        <v/>
      </c>
      <c r="H3738" s="7" t="str">
        <f aca="false">IFERROR(INDEX('Semrush Data'!$A$1:$Z$20000,MATCH(A3738,'Semrush Data'!$A$1:$A$20000,0),MATCH("Keyword Difficulty*",'Semrush Data'!$A$1:$Z$1,0)),"")</f>
        <v/>
      </c>
      <c r="I3738" s="13" t="str">
        <f aca="false">IFERROR(INDEX('Semrush Data'!$A$1:$Z$20000,MATCH(A3738,'Semrush Data'!$A$1:$A$20000,0),MATCH("CPC*",'Semrush Data'!$A$1:$Z$1,0)),"")</f>
        <v/>
      </c>
      <c r="J3738" s="7" t="str">
        <f aca="false">IFERROR(INDEX('Semrush Data'!$A$1:$Z$20000,MATCH(A3738,'Semrush Data'!$A$1:$A$20000,0),MATCH("Intent",'Semrush Data'!$A$1:$Z$1,0)),"")</f>
        <v/>
      </c>
    </row>
    <row r="3739" customFormat="false" ht="15" hidden="false" customHeight="true" outlineLevel="0" collapsed="false">
      <c r="A3739" s="7" t="s">
        <v>1825</v>
      </c>
      <c r="B3739" s="7" t="s">
        <v>1356</v>
      </c>
      <c r="C3739" s="7" t="n">
        <v>3</v>
      </c>
      <c r="D3739" s="7" t="n">
        <v>38</v>
      </c>
      <c r="E3739" s="7" t="n">
        <v>1</v>
      </c>
      <c r="F3739" s="7" t="s">
        <v>791</v>
      </c>
      <c r="G3739" s="12" t="str">
        <f aca="false">IFERROR(INDEX('Semrush Data'!$A$1:$Z$20000,MATCH(A3739,'Semrush Data'!$A$1:$A$20000,0),MATCH("Volume",'Semrush Data'!$A$1:$Z$1,0)),"")</f>
        <v/>
      </c>
      <c r="H3739" s="7" t="str">
        <f aca="false">IFERROR(INDEX('Semrush Data'!$A$1:$Z$20000,MATCH(A3739,'Semrush Data'!$A$1:$A$20000,0),MATCH("Keyword Difficulty*",'Semrush Data'!$A$1:$Z$1,0)),"")</f>
        <v/>
      </c>
      <c r="I3739" s="13" t="str">
        <f aca="false">IFERROR(INDEX('Semrush Data'!$A$1:$Z$20000,MATCH(A3739,'Semrush Data'!$A$1:$A$20000,0),MATCH("CPC*",'Semrush Data'!$A$1:$Z$1,0)),"")</f>
        <v/>
      </c>
      <c r="J3739" s="7" t="str">
        <f aca="false">IFERROR(INDEX('Semrush Data'!$A$1:$Z$20000,MATCH(A3739,'Semrush Data'!$A$1:$A$20000,0),MATCH("Intent",'Semrush Data'!$A$1:$Z$1,0)),"")</f>
        <v/>
      </c>
    </row>
    <row r="3740" customFormat="false" ht="15" hidden="false" customHeight="true" outlineLevel="0" collapsed="false">
      <c r="A3740" s="7" t="s">
        <v>1729</v>
      </c>
      <c r="B3740" s="7" t="s">
        <v>1356</v>
      </c>
      <c r="C3740" s="7" t="n">
        <v>3</v>
      </c>
      <c r="D3740" s="7" t="n">
        <v>38</v>
      </c>
      <c r="E3740" s="7" t="n">
        <v>1</v>
      </c>
      <c r="F3740" s="7" t="s">
        <v>703</v>
      </c>
      <c r="G3740" s="12" t="str">
        <f aca="false">IFERROR(INDEX('Semrush Data'!$A$1:$Z$20000,MATCH(A3740,'Semrush Data'!$A$1:$A$20000,0),MATCH("Volume",'Semrush Data'!$A$1:$Z$1,0)),"")</f>
        <v/>
      </c>
      <c r="H3740" s="7" t="str">
        <f aca="false">IFERROR(INDEX('Semrush Data'!$A$1:$Z$20000,MATCH(A3740,'Semrush Data'!$A$1:$A$20000,0),MATCH("Keyword Difficulty*",'Semrush Data'!$A$1:$Z$1,0)),"")</f>
        <v/>
      </c>
      <c r="I3740" s="13" t="str">
        <f aca="false">IFERROR(INDEX('Semrush Data'!$A$1:$Z$20000,MATCH(A3740,'Semrush Data'!$A$1:$A$20000,0),MATCH("CPC*",'Semrush Data'!$A$1:$Z$1,0)),"")</f>
        <v/>
      </c>
      <c r="J3740" s="7" t="str">
        <f aca="false">IFERROR(INDEX('Semrush Data'!$A$1:$Z$20000,MATCH(A3740,'Semrush Data'!$A$1:$A$20000,0),MATCH("Intent",'Semrush Data'!$A$1:$Z$1,0)),"")</f>
        <v/>
      </c>
    </row>
    <row r="3741" customFormat="false" ht="15" hidden="false" customHeight="true" outlineLevel="0" collapsed="false">
      <c r="A3741" s="7" t="s">
        <v>1413</v>
      </c>
      <c r="B3741" s="7" t="s">
        <v>1356</v>
      </c>
      <c r="C3741" s="7" t="n">
        <v>3</v>
      </c>
      <c r="D3741" s="7" t="n">
        <v>38</v>
      </c>
      <c r="E3741" s="7" t="n">
        <v>1</v>
      </c>
      <c r="F3741" s="7" t="s">
        <v>353</v>
      </c>
      <c r="G3741" s="12" t="str">
        <f aca="false">IFERROR(INDEX('Semrush Data'!$A$1:$Z$20000,MATCH(A3741,'Semrush Data'!$A$1:$A$20000,0),MATCH("Volume",'Semrush Data'!$A$1:$Z$1,0)),"")</f>
        <v/>
      </c>
      <c r="H3741" s="7" t="str">
        <f aca="false">IFERROR(INDEX('Semrush Data'!$A$1:$Z$20000,MATCH(A3741,'Semrush Data'!$A$1:$A$20000,0),MATCH("Keyword Difficulty*",'Semrush Data'!$A$1:$Z$1,0)),"")</f>
        <v/>
      </c>
      <c r="I3741" s="13" t="str">
        <f aca="false">IFERROR(INDEX('Semrush Data'!$A$1:$Z$20000,MATCH(A3741,'Semrush Data'!$A$1:$A$20000,0),MATCH("CPC*",'Semrush Data'!$A$1:$Z$1,0)),"")</f>
        <v/>
      </c>
      <c r="J3741" s="7" t="str">
        <f aca="false">IFERROR(INDEX('Semrush Data'!$A$1:$Z$20000,MATCH(A3741,'Semrush Data'!$A$1:$A$20000,0),MATCH("Intent",'Semrush Data'!$A$1:$Z$1,0)),"")</f>
        <v/>
      </c>
    </row>
    <row r="3742" customFormat="false" ht="15" hidden="false" customHeight="true" outlineLevel="0" collapsed="false">
      <c r="A3742" s="7" t="s">
        <v>1843</v>
      </c>
      <c r="B3742" s="7" t="s">
        <v>1356</v>
      </c>
      <c r="C3742" s="7" t="n">
        <v>3</v>
      </c>
      <c r="D3742" s="7" t="n">
        <v>38</v>
      </c>
      <c r="E3742" s="7" t="n">
        <v>1</v>
      </c>
      <c r="F3742" s="7" t="s">
        <v>808</v>
      </c>
      <c r="G3742" s="12" t="str">
        <f aca="false">IFERROR(INDEX('Semrush Data'!$A$1:$Z$20000,MATCH(A3742,'Semrush Data'!$A$1:$A$20000,0),MATCH("Volume",'Semrush Data'!$A$1:$Z$1,0)),"")</f>
        <v/>
      </c>
      <c r="H3742" s="7" t="str">
        <f aca="false">IFERROR(INDEX('Semrush Data'!$A$1:$Z$20000,MATCH(A3742,'Semrush Data'!$A$1:$A$20000,0),MATCH("Keyword Difficulty*",'Semrush Data'!$A$1:$Z$1,0)),"")</f>
        <v/>
      </c>
      <c r="I3742" s="13" t="str">
        <f aca="false">IFERROR(INDEX('Semrush Data'!$A$1:$Z$20000,MATCH(A3742,'Semrush Data'!$A$1:$A$20000,0),MATCH("CPC*",'Semrush Data'!$A$1:$Z$1,0)),"")</f>
        <v/>
      </c>
      <c r="J3742" s="7" t="str">
        <f aca="false">IFERROR(INDEX('Semrush Data'!$A$1:$Z$20000,MATCH(A3742,'Semrush Data'!$A$1:$A$20000,0),MATCH("Intent",'Semrush Data'!$A$1:$Z$1,0)),"")</f>
        <v/>
      </c>
    </row>
    <row r="3743" customFormat="false" ht="15" hidden="false" customHeight="true" outlineLevel="0" collapsed="false">
      <c r="A3743" s="7" t="s">
        <v>1765</v>
      </c>
      <c r="B3743" s="7" t="s">
        <v>1356</v>
      </c>
      <c r="C3743" s="7" t="n">
        <v>3</v>
      </c>
      <c r="D3743" s="7" t="n">
        <v>38</v>
      </c>
      <c r="E3743" s="7" t="n">
        <v>1</v>
      </c>
      <c r="F3743" s="7" t="s">
        <v>736</v>
      </c>
      <c r="G3743" s="12" t="str">
        <f aca="false">IFERROR(INDEX('Semrush Data'!$A$1:$Z$20000,MATCH(A3743,'Semrush Data'!$A$1:$A$20000,0),MATCH("Volume",'Semrush Data'!$A$1:$Z$1,0)),"")</f>
        <v/>
      </c>
      <c r="H3743" s="7" t="str">
        <f aca="false">IFERROR(INDEX('Semrush Data'!$A$1:$Z$20000,MATCH(A3743,'Semrush Data'!$A$1:$A$20000,0),MATCH("Keyword Difficulty*",'Semrush Data'!$A$1:$Z$1,0)),"")</f>
        <v/>
      </c>
      <c r="I3743" s="13" t="str">
        <f aca="false">IFERROR(INDEX('Semrush Data'!$A$1:$Z$20000,MATCH(A3743,'Semrush Data'!$A$1:$A$20000,0),MATCH("CPC*",'Semrush Data'!$A$1:$Z$1,0)),"")</f>
        <v/>
      </c>
      <c r="J3743" s="7" t="str">
        <f aca="false">IFERROR(INDEX('Semrush Data'!$A$1:$Z$20000,MATCH(A3743,'Semrush Data'!$A$1:$A$20000,0),MATCH("Intent",'Semrush Data'!$A$1:$Z$1,0)),"")</f>
        <v/>
      </c>
    </row>
    <row r="3744" customFormat="false" ht="15" hidden="false" customHeight="true" outlineLevel="0" collapsed="false">
      <c r="A3744" s="7" t="s">
        <v>1813</v>
      </c>
      <c r="B3744" s="7" t="s">
        <v>1356</v>
      </c>
      <c r="C3744" s="7" t="n">
        <v>3</v>
      </c>
      <c r="D3744" s="7" t="n">
        <v>38</v>
      </c>
      <c r="E3744" s="7" t="n">
        <v>1</v>
      </c>
      <c r="F3744" s="7" t="s">
        <v>781</v>
      </c>
      <c r="G3744" s="12" t="str">
        <f aca="false">IFERROR(INDEX('Semrush Data'!$A$1:$Z$20000,MATCH(A3744,'Semrush Data'!$A$1:$A$20000,0),MATCH("Volume",'Semrush Data'!$A$1:$Z$1,0)),"")</f>
        <v/>
      </c>
      <c r="H3744" s="7" t="str">
        <f aca="false">IFERROR(INDEX('Semrush Data'!$A$1:$Z$20000,MATCH(A3744,'Semrush Data'!$A$1:$A$20000,0),MATCH("Keyword Difficulty*",'Semrush Data'!$A$1:$Z$1,0)),"")</f>
        <v/>
      </c>
      <c r="I3744" s="13" t="str">
        <f aca="false">IFERROR(INDEX('Semrush Data'!$A$1:$Z$20000,MATCH(A3744,'Semrush Data'!$A$1:$A$20000,0),MATCH("CPC*",'Semrush Data'!$A$1:$Z$1,0)),"")</f>
        <v/>
      </c>
      <c r="J3744" s="7" t="str">
        <f aca="false">IFERROR(INDEX('Semrush Data'!$A$1:$Z$20000,MATCH(A3744,'Semrush Data'!$A$1:$A$20000,0),MATCH("Intent",'Semrush Data'!$A$1:$Z$1,0)),"")</f>
        <v/>
      </c>
    </row>
    <row r="3745" customFormat="false" ht="15" hidden="false" customHeight="true" outlineLevel="0" collapsed="false">
      <c r="A3745" s="7" t="s">
        <v>1723</v>
      </c>
      <c r="B3745" s="7" t="s">
        <v>1356</v>
      </c>
      <c r="C3745" s="7" t="n">
        <v>3</v>
      </c>
      <c r="D3745" s="7" t="n">
        <v>38</v>
      </c>
      <c r="E3745" s="7" t="n">
        <v>1</v>
      </c>
      <c r="F3745" s="7" t="s">
        <v>698</v>
      </c>
      <c r="G3745" s="12" t="str">
        <f aca="false">IFERROR(INDEX('Semrush Data'!$A$1:$Z$20000,MATCH(A3745,'Semrush Data'!$A$1:$A$20000,0),MATCH("Volume",'Semrush Data'!$A$1:$Z$1,0)),"")</f>
        <v/>
      </c>
      <c r="H3745" s="7" t="str">
        <f aca="false">IFERROR(INDEX('Semrush Data'!$A$1:$Z$20000,MATCH(A3745,'Semrush Data'!$A$1:$A$20000,0),MATCH("Keyword Difficulty*",'Semrush Data'!$A$1:$Z$1,0)),"")</f>
        <v/>
      </c>
      <c r="I3745" s="13" t="str">
        <f aca="false">IFERROR(INDEX('Semrush Data'!$A$1:$Z$20000,MATCH(A3745,'Semrush Data'!$A$1:$A$20000,0),MATCH("CPC*",'Semrush Data'!$A$1:$Z$1,0)),"")</f>
        <v/>
      </c>
      <c r="J3745" s="7" t="str">
        <f aca="false">IFERROR(INDEX('Semrush Data'!$A$1:$Z$20000,MATCH(A3745,'Semrush Data'!$A$1:$A$20000,0),MATCH("Intent",'Semrush Data'!$A$1:$Z$1,0)),"")</f>
        <v/>
      </c>
    </row>
    <row r="3746" customFormat="false" ht="15" hidden="false" customHeight="true" outlineLevel="0" collapsed="false">
      <c r="A3746" s="7" t="s">
        <v>1759</v>
      </c>
      <c r="B3746" s="7" t="s">
        <v>1356</v>
      </c>
      <c r="C3746" s="7" t="n">
        <v>3</v>
      </c>
      <c r="D3746" s="7" t="n">
        <v>38</v>
      </c>
      <c r="E3746" s="7" t="n">
        <v>1</v>
      </c>
      <c r="F3746" s="7" t="s">
        <v>730</v>
      </c>
      <c r="G3746" s="12" t="str">
        <f aca="false">IFERROR(INDEX('Semrush Data'!$A$1:$Z$20000,MATCH(A3746,'Semrush Data'!$A$1:$A$20000,0),MATCH("Volume",'Semrush Data'!$A$1:$Z$1,0)),"")</f>
        <v/>
      </c>
      <c r="H3746" s="7" t="str">
        <f aca="false">IFERROR(INDEX('Semrush Data'!$A$1:$Z$20000,MATCH(A3746,'Semrush Data'!$A$1:$A$20000,0),MATCH("Keyword Difficulty*",'Semrush Data'!$A$1:$Z$1,0)),"")</f>
        <v/>
      </c>
      <c r="I3746" s="13" t="str">
        <f aca="false">IFERROR(INDEX('Semrush Data'!$A$1:$Z$20000,MATCH(A3746,'Semrush Data'!$A$1:$A$20000,0),MATCH("CPC*",'Semrush Data'!$A$1:$Z$1,0)),"")</f>
        <v/>
      </c>
      <c r="J3746" s="7" t="str">
        <f aca="false">IFERROR(INDEX('Semrush Data'!$A$1:$Z$20000,MATCH(A3746,'Semrush Data'!$A$1:$A$20000,0),MATCH("Intent",'Semrush Data'!$A$1:$Z$1,0)),"")</f>
        <v/>
      </c>
    </row>
    <row r="3747" customFormat="false" ht="15" hidden="false" customHeight="true" outlineLevel="0" collapsed="false">
      <c r="A3747" s="7" t="s">
        <v>1807</v>
      </c>
      <c r="B3747" s="7" t="s">
        <v>1356</v>
      </c>
      <c r="C3747" s="7" t="n">
        <v>3</v>
      </c>
      <c r="D3747" s="7" t="n">
        <v>38</v>
      </c>
      <c r="E3747" s="7" t="n">
        <v>1</v>
      </c>
      <c r="F3747" s="7" t="s">
        <v>775</v>
      </c>
      <c r="G3747" s="12" t="str">
        <f aca="false">IFERROR(INDEX('Semrush Data'!$A$1:$Z$20000,MATCH(A3747,'Semrush Data'!$A$1:$A$20000,0),MATCH("Volume",'Semrush Data'!$A$1:$Z$1,0)),"")</f>
        <v/>
      </c>
      <c r="H3747" s="7" t="str">
        <f aca="false">IFERROR(INDEX('Semrush Data'!$A$1:$Z$20000,MATCH(A3747,'Semrush Data'!$A$1:$A$20000,0),MATCH("Keyword Difficulty*",'Semrush Data'!$A$1:$Z$1,0)),"")</f>
        <v/>
      </c>
      <c r="I3747" s="13" t="str">
        <f aca="false">IFERROR(INDEX('Semrush Data'!$A$1:$Z$20000,MATCH(A3747,'Semrush Data'!$A$1:$A$20000,0),MATCH("CPC*",'Semrush Data'!$A$1:$Z$1,0)),"")</f>
        <v/>
      </c>
      <c r="J3747" s="7" t="str">
        <f aca="false">IFERROR(INDEX('Semrush Data'!$A$1:$Z$20000,MATCH(A3747,'Semrush Data'!$A$1:$A$20000,0),MATCH("Intent",'Semrush Data'!$A$1:$Z$1,0)),"")</f>
        <v/>
      </c>
    </row>
    <row r="3748" customFormat="false" ht="15" hidden="false" customHeight="true" outlineLevel="0" collapsed="false">
      <c r="A3748" s="7" t="s">
        <v>1428</v>
      </c>
      <c r="B3748" s="7" t="s">
        <v>1356</v>
      </c>
      <c r="C3748" s="7" t="n">
        <v>3</v>
      </c>
      <c r="D3748" s="7" t="n">
        <v>38</v>
      </c>
      <c r="E3748" s="7" t="n">
        <v>1</v>
      </c>
      <c r="F3748" s="7" t="s">
        <v>372</v>
      </c>
      <c r="G3748" s="12" t="str">
        <f aca="false">IFERROR(INDEX('Semrush Data'!$A$1:$Z$20000,MATCH(A3748,'Semrush Data'!$A$1:$A$20000,0),MATCH("Volume",'Semrush Data'!$A$1:$Z$1,0)),"")</f>
        <v/>
      </c>
      <c r="H3748" s="7" t="str">
        <f aca="false">IFERROR(INDEX('Semrush Data'!$A$1:$Z$20000,MATCH(A3748,'Semrush Data'!$A$1:$A$20000,0),MATCH("Keyword Difficulty*",'Semrush Data'!$A$1:$Z$1,0)),"")</f>
        <v/>
      </c>
      <c r="I3748" s="13" t="str">
        <f aca="false">IFERROR(INDEX('Semrush Data'!$A$1:$Z$20000,MATCH(A3748,'Semrush Data'!$A$1:$A$20000,0),MATCH("CPC*",'Semrush Data'!$A$1:$Z$1,0)),"")</f>
        <v/>
      </c>
      <c r="J3748" s="7" t="str">
        <f aca="false">IFERROR(INDEX('Semrush Data'!$A$1:$Z$20000,MATCH(A3748,'Semrush Data'!$A$1:$A$20000,0),MATCH("Intent",'Semrush Data'!$A$1:$Z$1,0)),"")</f>
        <v/>
      </c>
    </row>
    <row r="3749" customFormat="false" ht="15" hidden="false" customHeight="true" outlineLevel="0" collapsed="false">
      <c r="A3749" s="7" t="s">
        <v>1654</v>
      </c>
      <c r="B3749" s="7" t="s">
        <v>1356</v>
      </c>
      <c r="C3749" s="7" t="n">
        <v>3</v>
      </c>
      <c r="D3749" s="7" t="n">
        <v>38</v>
      </c>
      <c r="E3749" s="7" t="n">
        <v>1</v>
      </c>
      <c r="F3749" s="7" t="s">
        <v>629</v>
      </c>
      <c r="G3749" s="12" t="str">
        <f aca="false">IFERROR(INDEX('Semrush Data'!$A$1:$Z$20000,MATCH(A3749,'Semrush Data'!$A$1:$A$20000,0),MATCH("Volume",'Semrush Data'!$A$1:$Z$1,0)),"")</f>
        <v/>
      </c>
      <c r="H3749" s="7" t="str">
        <f aca="false">IFERROR(INDEX('Semrush Data'!$A$1:$Z$20000,MATCH(A3749,'Semrush Data'!$A$1:$A$20000,0),MATCH("Keyword Difficulty*",'Semrush Data'!$A$1:$Z$1,0)),"")</f>
        <v/>
      </c>
      <c r="I3749" s="13" t="str">
        <f aca="false">IFERROR(INDEX('Semrush Data'!$A$1:$Z$20000,MATCH(A3749,'Semrush Data'!$A$1:$A$20000,0),MATCH("CPC*",'Semrush Data'!$A$1:$Z$1,0)),"")</f>
        <v/>
      </c>
      <c r="J3749" s="7" t="str">
        <f aca="false">IFERROR(INDEX('Semrush Data'!$A$1:$Z$20000,MATCH(A3749,'Semrush Data'!$A$1:$A$20000,0),MATCH("Intent",'Semrush Data'!$A$1:$Z$1,0)),"")</f>
        <v/>
      </c>
    </row>
    <row r="3750" customFormat="false" ht="15" hidden="false" customHeight="true" outlineLevel="0" collapsed="false">
      <c r="A3750" s="7" t="s">
        <v>1511</v>
      </c>
      <c r="B3750" s="7" t="s">
        <v>1356</v>
      </c>
      <c r="C3750" s="7" t="n">
        <v>3</v>
      </c>
      <c r="D3750" s="7" t="n">
        <v>38</v>
      </c>
      <c r="E3750" s="7" t="n">
        <v>1</v>
      </c>
      <c r="F3750" s="7" t="s">
        <v>468</v>
      </c>
      <c r="G3750" s="12" t="str">
        <f aca="false">IFERROR(INDEX('Semrush Data'!$A$1:$Z$20000,MATCH(A3750,'Semrush Data'!$A$1:$A$20000,0),MATCH("Volume",'Semrush Data'!$A$1:$Z$1,0)),"")</f>
        <v/>
      </c>
      <c r="H3750" s="7" t="str">
        <f aca="false">IFERROR(INDEX('Semrush Data'!$A$1:$Z$20000,MATCH(A3750,'Semrush Data'!$A$1:$A$20000,0),MATCH("Keyword Difficulty*",'Semrush Data'!$A$1:$Z$1,0)),"")</f>
        <v/>
      </c>
      <c r="I3750" s="13" t="str">
        <f aca="false">IFERROR(INDEX('Semrush Data'!$A$1:$Z$20000,MATCH(A3750,'Semrush Data'!$A$1:$A$20000,0),MATCH("CPC*",'Semrush Data'!$A$1:$Z$1,0)),"")</f>
        <v/>
      </c>
      <c r="J3750" s="7" t="str">
        <f aca="false">IFERROR(INDEX('Semrush Data'!$A$1:$Z$20000,MATCH(A3750,'Semrush Data'!$A$1:$A$20000,0),MATCH("Intent",'Semrush Data'!$A$1:$Z$1,0)),"")</f>
        <v/>
      </c>
    </row>
    <row r="3751" customFormat="false" ht="15" hidden="false" customHeight="true" outlineLevel="0" collapsed="false">
      <c r="A3751" s="7" t="s">
        <v>1801</v>
      </c>
      <c r="B3751" s="7" t="s">
        <v>1356</v>
      </c>
      <c r="C3751" s="7" t="n">
        <v>3</v>
      </c>
      <c r="D3751" s="7" t="n">
        <v>38</v>
      </c>
      <c r="E3751" s="7" t="n">
        <v>1</v>
      </c>
      <c r="F3751" s="7" t="s">
        <v>769</v>
      </c>
      <c r="G3751" s="12" t="str">
        <f aca="false">IFERROR(INDEX('Semrush Data'!$A$1:$Z$20000,MATCH(A3751,'Semrush Data'!$A$1:$A$20000,0),MATCH("Volume",'Semrush Data'!$A$1:$Z$1,0)),"")</f>
        <v/>
      </c>
      <c r="H3751" s="7" t="str">
        <f aca="false">IFERROR(INDEX('Semrush Data'!$A$1:$Z$20000,MATCH(A3751,'Semrush Data'!$A$1:$A$20000,0),MATCH("Keyword Difficulty*",'Semrush Data'!$A$1:$Z$1,0)),"")</f>
        <v/>
      </c>
      <c r="I3751" s="13" t="str">
        <f aca="false">IFERROR(INDEX('Semrush Data'!$A$1:$Z$20000,MATCH(A3751,'Semrush Data'!$A$1:$A$20000,0),MATCH("CPC*",'Semrush Data'!$A$1:$Z$1,0)),"")</f>
        <v/>
      </c>
      <c r="J3751" s="7" t="str">
        <f aca="false">IFERROR(INDEX('Semrush Data'!$A$1:$Z$20000,MATCH(A3751,'Semrush Data'!$A$1:$A$20000,0),MATCH("Intent",'Semrush Data'!$A$1:$Z$1,0)),"")</f>
        <v/>
      </c>
    </row>
    <row r="3752" customFormat="false" ht="15" hidden="false" customHeight="true" outlineLevel="0" collapsed="false">
      <c r="A3752" s="7" t="s">
        <v>6430</v>
      </c>
      <c r="B3752" s="7" t="s">
        <v>1356</v>
      </c>
      <c r="C3752" s="7" t="n">
        <v>3</v>
      </c>
      <c r="D3752" s="7" t="n">
        <v>38</v>
      </c>
      <c r="E3752" s="7" t="n">
        <v>1</v>
      </c>
      <c r="F3752" s="7" t="s">
        <v>6424</v>
      </c>
      <c r="G3752" s="12" t="str">
        <f aca="false">IFERROR(INDEX('Semrush Data'!$A$1:$Z$20000,MATCH(A3752,'Semrush Data'!$A$1:$A$20000,0),MATCH("Volume",'Semrush Data'!$A$1:$Z$1,0)),"")</f>
        <v/>
      </c>
      <c r="H3752" s="7" t="str">
        <f aca="false">IFERROR(INDEX('Semrush Data'!$A$1:$Z$20000,MATCH(A3752,'Semrush Data'!$A$1:$A$20000,0),MATCH("Keyword Difficulty*",'Semrush Data'!$A$1:$Z$1,0)),"")</f>
        <v/>
      </c>
      <c r="I3752" s="13" t="str">
        <f aca="false">IFERROR(INDEX('Semrush Data'!$A$1:$Z$20000,MATCH(A3752,'Semrush Data'!$A$1:$A$20000,0),MATCH("CPC*",'Semrush Data'!$A$1:$Z$1,0)),"")</f>
        <v/>
      </c>
      <c r="J3752" s="7" t="str">
        <f aca="false">IFERROR(INDEX('Semrush Data'!$A$1:$Z$20000,MATCH(A3752,'Semrush Data'!$A$1:$A$20000,0),MATCH("Intent",'Semrush Data'!$A$1:$Z$1,0)),"")</f>
        <v/>
      </c>
    </row>
    <row r="3753" customFormat="false" ht="15" hidden="false" customHeight="true" outlineLevel="0" collapsed="false">
      <c r="A3753" s="7" t="s">
        <v>220</v>
      </c>
      <c r="B3753" s="7" t="s">
        <v>189</v>
      </c>
      <c r="C3753" s="7" t="n">
        <v>2</v>
      </c>
      <c r="D3753" s="7" t="s">
        <v>6816</v>
      </c>
      <c r="E3753" s="7" t="n">
        <v>1</v>
      </c>
      <c r="F3753" s="7" t="s">
        <v>334</v>
      </c>
      <c r="G3753" s="12" t="n">
        <f aca="false">IFERROR(INDEX('Semrush Data'!$A$1:$Z$20000,MATCH(A3753,'Semrush Data'!$A$1:$A$20000,0),MATCH("Volume",'Semrush Data'!$A$1:$Z$1,0)),"")</f>
        <v>1300</v>
      </c>
      <c r="H3753" s="7" t="n">
        <f aca="false">IFERROR(INDEX('Semrush Data'!$A$1:$Z$20000,MATCH(A3753,'Semrush Data'!$A$1:$A$20000,0),MATCH("Keyword Difficulty*",'Semrush Data'!$A$1:$Z$1,0)),"")</f>
        <v>19</v>
      </c>
      <c r="I3753" s="13" t="n">
        <f aca="false">IFERROR(INDEX('Semrush Data'!$A$1:$Z$20000,MATCH(A3753,'Semrush Data'!$A$1:$A$20000,0),MATCH("CPC*",'Semrush Data'!$A$1:$Z$1,0)),"")</f>
        <v>0.94</v>
      </c>
      <c r="J3753" s="7" t="str">
        <f aca="false">IFERROR(INDEX('Semrush Data'!$A$1:$Z$20000,MATCH(A3753,'Semrush Data'!$A$1:$A$20000,0),MATCH("Intent",'Semrush Data'!$A$1:$Z$1,0)),"")</f>
        <v>Informational Commercial</v>
      </c>
    </row>
    <row r="3754" customFormat="false" ht="15" hidden="false" customHeight="true" outlineLevel="0" collapsed="false">
      <c r="A3754" s="7" t="s">
        <v>196</v>
      </c>
      <c r="B3754" s="7" t="s">
        <v>189</v>
      </c>
      <c r="C3754" s="7" t="n">
        <v>2</v>
      </c>
      <c r="D3754" s="7" t="s">
        <v>6816</v>
      </c>
      <c r="E3754" s="7" t="n">
        <v>1</v>
      </c>
      <c r="F3754" s="7" t="s">
        <v>344</v>
      </c>
      <c r="G3754" s="12" t="n">
        <f aca="false">IFERROR(INDEX('Semrush Data'!$A$1:$Z$20000,MATCH(A3754,'Semrush Data'!$A$1:$A$20000,0),MATCH("Volume",'Semrush Data'!$A$1:$Z$1,0)),"")</f>
        <v>6600</v>
      </c>
      <c r="H3754" s="7" t="n">
        <f aca="false">IFERROR(INDEX('Semrush Data'!$A$1:$Z$20000,MATCH(A3754,'Semrush Data'!$A$1:$A$20000,0),MATCH("Keyword Difficulty*",'Semrush Data'!$A$1:$Z$1,0)),"")</f>
        <v>26</v>
      </c>
      <c r="I3754" s="13" t="n">
        <f aca="false">IFERROR(INDEX('Semrush Data'!$A$1:$Z$20000,MATCH(A3754,'Semrush Data'!$A$1:$A$20000,0),MATCH("CPC*",'Semrush Data'!$A$1:$Z$1,0)),"")</f>
        <v>2.37</v>
      </c>
      <c r="J3754" s="7" t="str">
        <f aca="false">IFERROR(INDEX('Semrush Data'!$A$1:$Z$20000,MATCH(A3754,'Semrush Data'!$A$1:$A$20000,0),MATCH("Intent",'Semrush Data'!$A$1:$Z$1,0)),"")</f>
        <v>Informational</v>
      </c>
    </row>
    <row r="3755" customFormat="false" ht="15" hidden="false" customHeight="true" outlineLevel="0" collapsed="false">
      <c r="A3755" s="7" t="s">
        <v>203</v>
      </c>
      <c r="B3755" s="7" t="s">
        <v>189</v>
      </c>
      <c r="C3755" s="7" t="n">
        <v>2</v>
      </c>
      <c r="D3755" s="7" t="s">
        <v>6816</v>
      </c>
      <c r="E3755" s="7" t="n">
        <v>1</v>
      </c>
      <c r="F3755" s="7" t="s">
        <v>353</v>
      </c>
      <c r="G3755" s="12" t="n">
        <f aca="false">IFERROR(INDEX('Semrush Data'!$A$1:$Z$20000,MATCH(A3755,'Semrush Data'!$A$1:$A$20000,0),MATCH("Volume",'Semrush Data'!$A$1:$Z$1,0)),"")</f>
        <v>3600</v>
      </c>
      <c r="H3755" s="7" t="n">
        <f aca="false">IFERROR(INDEX('Semrush Data'!$A$1:$Z$20000,MATCH(A3755,'Semrush Data'!$A$1:$A$20000,0),MATCH("Keyword Difficulty*",'Semrush Data'!$A$1:$Z$1,0)),"")</f>
        <v>24</v>
      </c>
      <c r="I3755" s="13" t="n">
        <f aca="false">IFERROR(INDEX('Semrush Data'!$A$1:$Z$20000,MATCH(A3755,'Semrush Data'!$A$1:$A$20000,0),MATCH("CPC*",'Semrush Data'!$A$1:$Z$1,0)),"")</f>
        <v>0.66</v>
      </c>
      <c r="J3755" s="7" t="str">
        <f aca="false">IFERROR(INDEX('Semrush Data'!$A$1:$Z$20000,MATCH(A3755,'Semrush Data'!$A$1:$A$20000,0),MATCH("Intent",'Semrush Data'!$A$1:$Z$1,0)),"")</f>
        <v>Informational</v>
      </c>
    </row>
    <row r="3756" customFormat="false" ht="15" hidden="false" customHeight="true" outlineLevel="0" collapsed="false">
      <c r="A3756" s="7" t="s">
        <v>204</v>
      </c>
      <c r="B3756" s="7" t="s">
        <v>189</v>
      </c>
      <c r="C3756" s="7" t="n">
        <v>2</v>
      </c>
      <c r="D3756" s="7" t="s">
        <v>6816</v>
      </c>
      <c r="E3756" s="7" t="n">
        <v>1</v>
      </c>
      <c r="F3756" s="7" t="s">
        <v>420</v>
      </c>
      <c r="G3756" s="12" t="n">
        <f aca="false">IFERROR(INDEX('Semrush Data'!$A$1:$Z$20000,MATCH(A3756,'Semrush Data'!$A$1:$A$20000,0),MATCH("Volume",'Semrush Data'!$A$1:$Z$1,0)),"")</f>
        <v>3600</v>
      </c>
      <c r="H3756" s="7" t="n">
        <f aca="false">IFERROR(INDEX('Semrush Data'!$A$1:$Z$20000,MATCH(A3756,'Semrush Data'!$A$1:$A$20000,0),MATCH("Keyword Difficulty*",'Semrush Data'!$A$1:$Z$1,0)),"")</f>
        <v>21</v>
      </c>
      <c r="I3756" s="13" t="n">
        <f aca="false">IFERROR(INDEX('Semrush Data'!$A$1:$Z$20000,MATCH(A3756,'Semrush Data'!$A$1:$A$20000,0),MATCH("CPC*",'Semrush Data'!$A$1:$Z$1,0)),"")</f>
        <v>1.06</v>
      </c>
      <c r="J3756" s="7" t="str">
        <f aca="false">IFERROR(INDEX('Semrush Data'!$A$1:$Z$20000,MATCH(A3756,'Semrush Data'!$A$1:$A$20000,0),MATCH("Intent",'Semrush Data'!$A$1:$Z$1,0)),"")</f>
        <v>Informational Commercial</v>
      </c>
    </row>
    <row r="3757" customFormat="false" ht="15" hidden="false" customHeight="true" outlineLevel="0" collapsed="false">
      <c r="A3757" s="7" t="s">
        <v>188</v>
      </c>
      <c r="B3757" s="7" t="s">
        <v>189</v>
      </c>
      <c r="C3757" s="7" t="n">
        <v>2</v>
      </c>
      <c r="D3757" s="7" t="s">
        <v>6816</v>
      </c>
      <c r="E3757" s="7" t="n">
        <v>1</v>
      </c>
      <c r="F3757" s="7" t="s">
        <v>459</v>
      </c>
      <c r="G3757" s="12" t="n">
        <f aca="false">IFERROR(INDEX('Semrush Data'!$A$1:$Z$20000,MATCH(A3757,'Semrush Data'!$A$1:$A$20000,0),MATCH("Volume",'Semrush Data'!$A$1:$Z$1,0)),"")</f>
        <v>22200</v>
      </c>
      <c r="H3757" s="7" t="n">
        <f aca="false">IFERROR(INDEX('Semrush Data'!$A$1:$Z$20000,MATCH(A3757,'Semrush Data'!$A$1:$A$20000,0),MATCH("Keyword Difficulty*",'Semrush Data'!$A$1:$Z$1,0)),"")</f>
        <v>30</v>
      </c>
      <c r="I3757" s="13" t="n">
        <f aca="false">IFERROR(INDEX('Semrush Data'!$A$1:$Z$20000,MATCH(A3757,'Semrush Data'!$A$1:$A$20000,0),MATCH("CPC*",'Semrush Data'!$A$1:$Z$1,0)),"")</f>
        <v>0.87</v>
      </c>
      <c r="J3757" s="7" t="str">
        <f aca="false">IFERROR(INDEX('Semrush Data'!$A$1:$Z$20000,MATCH(A3757,'Semrush Data'!$A$1:$A$20000,0),MATCH("Intent",'Semrush Data'!$A$1:$Z$1,0)),"")</f>
        <v>Informational Transactional</v>
      </c>
    </row>
    <row r="3758" customFormat="false" ht="15" hidden="false" customHeight="true" outlineLevel="0" collapsed="false">
      <c r="A3758" s="7" t="s">
        <v>214</v>
      </c>
      <c r="B3758" s="7" t="s">
        <v>189</v>
      </c>
      <c r="C3758" s="7" t="n">
        <v>2</v>
      </c>
      <c r="D3758" s="7" t="s">
        <v>6816</v>
      </c>
      <c r="E3758" s="7" t="n">
        <v>1</v>
      </c>
      <c r="F3758" s="7" t="s">
        <v>474</v>
      </c>
      <c r="G3758" s="12" t="n">
        <f aca="false">IFERROR(INDEX('Semrush Data'!$A$1:$Z$20000,MATCH(A3758,'Semrush Data'!$A$1:$A$20000,0),MATCH("Volume",'Semrush Data'!$A$1:$Z$1,0)),"")</f>
        <v>1900</v>
      </c>
      <c r="H3758" s="7" t="n">
        <f aca="false">IFERROR(INDEX('Semrush Data'!$A$1:$Z$20000,MATCH(A3758,'Semrush Data'!$A$1:$A$20000,0),MATCH("Keyword Difficulty*",'Semrush Data'!$A$1:$Z$1,0)),"")</f>
        <v>22</v>
      </c>
      <c r="I3758" s="13" t="n">
        <f aca="false">IFERROR(INDEX('Semrush Data'!$A$1:$Z$20000,MATCH(A3758,'Semrush Data'!$A$1:$A$20000,0),MATCH("CPC*",'Semrush Data'!$A$1:$Z$1,0)),"")</f>
        <v>0.73</v>
      </c>
      <c r="J3758" s="7" t="str">
        <f aca="false">IFERROR(INDEX('Semrush Data'!$A$1:$Z$20000,MATCH(A3758,'Semrush Data'!$A$1:$A$20000,0),MATCH("Intent",'Semrush Data'!$A$1:$Z$1,0)),"")</f>
        <v>Informational Commercial</v>
      </c>
    </row>
    <row r="3759" customFormat="false" ht="15" hidden="false" customHeight="true" outlineLevel="0" collapsed="false">
      <c r="A3759" s="7" t="s">
        <v>193</v>
      </c>
      <c r="B3759" s="7" t="s">
        <v>189</v>
      </c>
      <c r="C3759" s="7" t="n">
        <v>2</v>
      </c>
      <c r="D3759" s="7" t="s">
        <v>6816</v>
      </c>
      <c r="E3759" s="7" t="n">
        <v>1</v>
      </c>
      <c r="F3759" s="7" t="s">
        <v>499</v>
      </c>
      <c r="G3759" s="12" t="n">
        <f aca="false">IFERROR(INDEX('Semrush Data'!$A$1:$Z$20000,MATCH(A3759,'Semrush Data'!$A$1:$A$20000,0),MATCH("Volume",'Semrush Data'!$A$1:$Z$1,0)),"")</f>
        <v>9900</v>
      </c>
      <c r="H3759" s="7" t="n">
        <f aca="false">IFERROR(INDEX('Semrush Data'!$A$1:$Z$20000,MATCH(A3759,'Semrush Data'!$A$1:$A$20000,0),MATCH("Keyword Difficulty*",'Semrush Data'!$A$1:$Z$1,0)),"")</f>
        <v>30</v>
      </c>
      <c r="I3759" s="13" t="n">
        <f aca="false">IFERROR(INDEX('Semrush Data'!$A$1:$Z$20000,MATCH(A3759,'Semrush Data'!$A$1:$A$20000,0),MATCH("CPC*",'Semrush Data'!$A$1:$Z$1,0)),"")</f>
        <v>1.02</v>
      </c>
      <c r="J3759" s="7" t="str">
        <f aca="false">IFERROR(INDEX('Semrush Data'!$A$1:$Z$20000,MATCH(A3759,'Semrush Data'!$A$1:$A$20000,0),MATCH("Intent",'Semrush Data'!$A$1:$Z$1,0)),"")</f>
        <v>Informational</v>
      </c>
    </row>
    <row r="3760" customFormat="false" ht="15" hidden="false" customHeight="true" outlineLevel="0" collapsed="false">
      <c r="A3760" s="7" t="s">
        <v>192</v>
      </c>
      <c r="B3760" s="7" t="s">
        <v>189</v>
      </c>
      <c r="C3760" s="7" t="n">
        <v>2</v>
      </c>
      <c r="D3760" s="7" t="s">
        <v>6816</v>
      </c>
      <c r="E3760" s="7" t="n">
        <v>1</v>
      </c>
      <c r="F3760" s="7" t="s">
        <v>523</v>
      </c>
      <c r="G3760" s="12" t="n">
        <f aca="false">IFERROR(INDEX('Semrush Data'!$A$1:$Z$20000,MATCH(A3760,'Semrush Data'!$A$1:$A$20000,0),MATCH("Volume",'Semrush Data'!$A$1:$Z$1,0)),"")</f>
        <v>12100</v>
      </c>
      <c r="H3760" s="7" t="n">
        <f aca="false">IFERROR(INDEX('Semrush Data'!$A$1:$Z$20000,MATCH(A3760,'Semrush Data'!$A$1:$A$20000,0),MATCH("Keyword Difficulty*",'Semrush Data'!$A$1:$Z$1,0)),"")</f>
        <v>18</v>
      </c>
      <c r="I3760" s="13" t="n">
        <f aca="false">IFERROR(INDEX('Semrush Data'!$A$1:$Z$20000,MATCH(A3760,'Semrush Data'!$A$1:$A$20000,0),MATCH("CPC*",'Semrush Data'!$A$1:$Z$1,0)),"")</f>
        <v>0.44</v>
      </c>
      <c r="J3760" s="7" t="str">
        <f aca="false">IFERROR(INDEX('Semrush Data'!$A$1:$Z$20000,MATCH(A3760,'Semrush Data'!$A$1:$A$20000,0),MATCH("Intent",'Semrush Data'!$A$1:$Z$1,0)),"")</f>
        <v>Informational</v>
      </c>
    </row>
    <row r="3761" customFormat="false" ht="15" hidden="false" customHeight="true" outlineLevel="0" collapsed="false">
      <c r="A3761" s="7" t="s">
        <v>217</v>
      </c>
      <c r="B3761" s="7" t="s">
        <v>189</v>
      </c>
      <c r="C3761" s="7" t="n">
        <v>2</v>
      </c>
      <c r="D3761" s="7" t="s">
        <v>6816</v>
      </c>
      <c r="E3761" s="7" t="n">
        <v>1</v>
      </c>
      <c r="F3761" s="7" t="s">
        <v>593</v>
      </c>
      <c r="G3761" s="12" t="n">
        <f aca="false">IFERROR(INDEX('Semrush Data'!$A$1:$Z$20000,MATCH(A3761,'Semrush Data'!$A$1:$A$20000,0),MATCH("Volume",'Semrush Data'!$A$1:$Z$1,0)),"")</f>
        <v>1600</v>
      </c>
      <c r="H3761" s="7" t="n">
        <f aca="false">IFERROR(INDEX('Semrush Data'!$A$1:$Z$20000,MATCH(A3761,'Semrush Data'!$A$1:$A$20000,0),MATCH("Keyword Difficulty*",'Semrush Data'!$A$1:$Z$1,0)),"")</f>
        <v>55</v>
      </c>
      <c r="I3761" s="13" t="n">
        <f aca="false">IFERROR(INDEX('Semrush Data'!$A$1:$Z$20000,MATCH(A3761,'Semrush Data'!$A$1:$A$20000,0),MATCH("CPC*",'Semrush Data'!$A$1:$Z$1,0)),"")</f>
        <v>1.65</v>
      </c>
      <c r="J3761" s="7" t="str">
        <f aca="false">IFERROR(INDEX('Semrush Data'!$A$1:$Z$20000,MATCH(A3761,'Semrush Data'!$A$1:$A$20000,0),MATCH("Intent",'Semrush Data'!$A$1:$Z$1,0)),"")</f>
        <v>Informational</v>
      </c>
    </row>
    <row r="3762" customFormat="false" ht="15" hidden="false" customHeight="true" outlineLevel="0" collapsed="false">
      <c r="A3762" s="7" t="s">
        <v>221</v>
      </c>
      <c r="B3762" s="7" t="s">
        <v>189</v>
      </c>
      <c r="C3762" s="7" t="n">
        <v>2</v>
      </c>
      <c r="D3762" s="7" t="s">
        <v>6816</v>
      </c>
      <c r="E3762" s="7" t="n">
        <v>1</v>
      </c>
      <c r="F3762" s="7" t="s">
        <v>657</v>
      </c>
      <c r="G3762" s="12" t="n">
        <f aca="false">IFERROR(INDEX('Semrush Data'!$A$1:$Z$20000,MATCH(A3762,'Semrush Data'!$A$1:$A$20000,0),MATCH("Volume",'Semrush Data'!$A$1:$Z$1,0)),"")</f>
        <v>1300</v>
      </c>
      <c r="H3762" s="7" t="n">
        <f aca="false">IFERROR(INDEX('Semrush Data'!$A$1:$Z$20000,MATCH(A3762,'Semrush Data'!$A$1:$A$20000,0),MATCH("Keyword Difficulty*",'Semrush Data'!$A$1:$Z$1,0)),"")</f>
        <v>16</v>
      </c>
      <c r="I3762" s="13" t="n">
        <f aca="false">IFERROR(INDEX('Semrush Data'!$A$1:$Z$20000,MATCH(A3762,'Semrush Data'!$A$1:$A$20000,0),MATCH("CPC*",'Semrush Data'!$A$1:$Z$1,0)),"")</f>
        <v>1.47</v>
      </c>
      <c r="J3762" s="7" t="str">
        <f aca="false">IFERROR(INDEX('Semrush Data'!$A$1:$Z$20000,MATCH(A3762,'Semrush Data'!$A$1:$A$20000,0),MATCH("Intent",'Semrush Data'!$A$1:$Z$1,0)),"")</f>
        <v>Informational</v>
      </c>
    </row>
    <row r="3763" customFormat="false" ht="15" hidden="false" customHeight="true" outlineLevel="0" collapsed="false">
      <c r="A3763" s="7" t="s">
        <v>7896</v>
      </c>
      <c r="B3763" s="7" t="s">
        <v>189</v>
      </c>
      <c r="C3763" s="7" t="n">
        <v>2</v>
      </c>
      <c r="D3763" s="7" t="s">
        <v>6816</v>
      </c>
      <c r="E3763" s="7" t="n">
        <v>1</v>
      </c>
      <c r="F3763" s="7" t="s">
        <v>680</v>
      </c>
      <c r="G3763" s="12" t="n">
        <f aca="false">IFERROR(INDEX('Semrush Data'!$A$1:$Z$20000,MATCH(A3763,'Semrush Data'!$A$1:$A$20000,0),MATCH("Volume",'Semrush Data'!$A$1:$Z$1,0)),"")</f>
        <v>50</v>
      </c>
      <c r="H3763" s="7" t="n">
        <f aca="false">IFERROR(INDEX('Semrush Data'!$A$1:$Z$20000,MATCH(A3763,'Semrush Data'!$A$1:$A$20000,0),MATCH("Keyword Difficulty*",'Semrush Data'!$A$1:$Z$1,0)),"")</f>
        <v>1</v>
      </c>
      <c r="I3763" s="13" t="n">
        <f aca="false">IFERROR(INDEX('Semrush Data'!$A$1:$Z$20000,MATCH(A3763,'Semrush Data'!$A$1:$A$20000,0),MATCH("CPC*",'Semrush Data'!$A$1:$Z$1,0)),"")</f>
        <v>1.76</v>
      </c>
      <c r="J3763" s="7" t="str">
        <f aca="false">IFERROR(INDEX('Semrush Data'!$A$1:$Z$20000,MATCH(A3763,'Semrush Data'!$A$1:$A$20000,0),MATCH("Intent",'Semrush Data'!$A$1:$Z$1,0)),"")</f>
        <v>Informational</v>
      </c>
    </row>
    <row r="3764" customFormat="false" ht="15" hidden="false" customHeight="true" outlineLevel="0" collapsed="false">
      <c r="A3764" s="7" t="s">
        <v>7897</v>
      </c>
      <c r="B3764" s="7" t="s">
        <v>186</v>
      </c>
      <c r="C3764" s="7" t="n">
        <v>2</v>
      </c>
      <c r="D3764" s="7" t="s">
        <v>6816</v>
      </c>
      <c r="E3764" s="7" t="n">
        <v>0</v>
      </c>
      <c r="F3764" s="7"/>
      <c r="G3764" s="12" t="n">
        <f aca="false">IFERROR(INDEX('Semrush Data'!$A$1:$Z$20000,MATCH(A3764,'Semrush Data'!$A$1:$A$20000,0),MATCH("Volume",'Semrush Data'!$A$1:$Z$1,0)),"")</f>
        <v>880</v>
      </c>
      <c r="H3764" s="7" t="n">
        <f aca="false">IFERROR(INDEX('Semrush Data'!$A$1:$Z$20000,MATCH(A3764,'Semrush Data'!$A$1:$A$20000,0),MATCH("Keyword Difficulty*",'Semrush Data'!$A$1:$Z$1,0)),"")</f>
        <v>15</v>
      </c>
      <c r="I3764" s="13" t="n">
        <f aca="false">IFERROR(INDEX('Semrush Data'!$A$1:$Z$20000,MATCH(A3764,'Semrush Data'!$A$1:$A$20000,0),MATCH("CPC*",'Semrush Data'!$A$1:$Z$1,0)),"")</f>
        <v>0.69</v>
      </c>
      <c r="J3764" s="7" t="str">
        <f aca="false">IFERROR(INDEX('Semrush Data'!$A$1:$Z$20000,MATCH(A3764,'Semrush Data'!$A$1:$A$20000,0),MATCH("Intent",'Semrush Data'!$A$1:$Z$1,0)),"")</f>
        <v>Informational</v>
      </c>
    </row>
    <row r="3765" customFormat="false" ht="15" hidden="false" customHeight="true" outlineLevel="0" collapsed="false">
      <c r="A3765" s="7" t="s">
        <v>7898</v>
      </c>
      <c r="B3765" s="7" t="s">
        <v>186</v>
      </c>
      <c r="C3765" s="7" t="n">
        <v>2</v>
      </c>
      <c r="D3765" s="7" t="s">
        <v>6816</v>
      </c>
      <c r="E3765" s="7" t="n">
        <v>0</v>
      </c>
      <c r="F3765" s="7"/>
      <c r="G3765" s="12" t="n">
        <f aca="false">IFERROR(INDEX('Semrush Data'!$A$1:$Z$20000,MATCH(A3765,'Semrush Data'!$A$1:$A$20000,0),MATCH("Volume",'Semrush Data'!$A$1:$Z$1,0)),"")</f>
        <v>110</v>
      </c>
      <c r="H3765" s="7" t="n">
        <f aca="false">IFERROR(INDEX('Semrush Data'!$A$1:$Z$20000,MATCH(A3765,'Semrush Data'!$A$1:$A$20000,0),MATCH("Keyword Difficulty*",'Semrush Data'!$A$1:$Z$1,0)),"")</f>
        <v>4</v>
      </c>
      <c r="I3765" s="13" t="n">
        <f aca="false">IFERROR(INDEX('Semrush Data'!$A$1:$Z$20000,MATCH(A3765,'Semrush Data'!$A$1:$A$20000,0),MATCH("CPC*",'Semrush Data'!$A$1:$Z$1,0)),"")</f>
        <v>0.76</v>
      </c>
      <c r="J3765" s="7" t="str">
        <f aca="false">IFERROR(INDEX('Semrush Data'!$A$1:$Z$20000,MATCH(A3765,'Semrush Data'!$A$1:$A$20000,0),MATCH("Intent",'Semrush Data'!$A$1:$Z$1,0)),"")</f>
        <v>Informational</v>
      </c>
    </row>
    <row r="3766" customFormat="false" ht="15" hidden="false" customHeight="true" outlineLevel="0" collapsed="false">
      <c r="A3766" s="7" t="s">
        <v>7899</v>
      </c>
      <c r="B3766" s="7" t="s">
        <v>186</v>
      </c>
      <c r="C3766" s="7" t="n">
        <v>2</v>
      </c>
      <c r="D3766" s="7" t="s">
        <v>6816</v>
      </c>
      <c r="E3766" s="7" t="n">
        <v>0</v>
      </c>
      <c r="F3766" s="7"/>
      <c r="G3766" s="12" t="n">
        <f aca="false">IFERROR(INDEX('Semrush Data'!$A$1:$Z$20000,MATCH(A3766,'Semrush Data'!$A$1:$A$20000,0),MATCH("Volume",'Semrush Data'!$A$1:$Z$1,0)),"")</f>
        <v>110</v>
      </c>
      <c r="H3766" s="7" t="n">
        <f aca="false">IFERROR(INDEX('Semrush Data'!$A$1:$Z$20000,MATCH(A3766,'Semrush Data'!$A$1:$A$20000,0),MATCH("Keyword Difficulty*",'Semrush Data'!$A$1:$Z$1,0)),"")</f>
        <v>5</v>
      </c>
      <c r="I3766" s="13" t="n">
        <f aca="false">IFERROR(INDEX('Semrush Data'!$A$1:$Z$20000,MATCH(A3766,'Semrush Data'!$A$1:$A$20000,0),MATCH("CPC*",'Semrush Data'!$A$1:$Z$1,0)),"")</f>
        <v>0.49</v>
      </c>
      <c r="J3766" s="7" t="str">
        <f aca="false">IFERROR(INDEX('Semrush Data'!$A$1:$Z$20000,MATCH(A3766,'Semrush Data'!$A$1:$A$20000,0),MATCH("Intent",'Semrush Data'!$A$1:$Z$1,0)),"")</f>
        <v>Informational</v>
      </c>
    </row>
    <row r="3767" customFormat="false" ht="15" hidden="false" customHeight="true" outlineLevel="0" collapsed="false">
      <c r="A3767" s="7" t="s">
        <v>7900</v>
      </c>
      <c r="B3767" s="7" t="s">
        <v>186</v>
      </c>
      <c r="C3767" s="7" t="n">
        <v>2</v>
      </c>
      <c r="D3767" s="7" t="s">
        <v>6816</v>
      </c>
      <c r="E3767" s="7" t="n">
        <v>0</v>
      </c>
      <c r="F3767" s="7"/>
      <c r="G3767" s="12" t="n">
        <f aca="false">IFERROR(INDEX('Semrush Data'!$A$1:$Z$20000,MATCH(A3767,'Semrush Data'!$A$1:$A$20000,0),MATCH("Volume",'Semrush Data'!$A$1:$Z$1,0)),"")</f>
        <v>40</v>
      </c>
      <c r="H3767" s="7" t="n">
        <f aca="false">IFERROR(INDEX('Semrush Data'!$A$1:$Z$20000,MATCH(A3767,'Semrush Data'!$A$1:$A$20000,0),MATCH("Keyword Difficulty*",'Semrush Data'!$A$1:$Z$1,0)),"")</f>
        <v>7</v>
      </c>
      <c r="I3767" s="13" t="n">
        <f aca="false">IFERROR(INDEX('Semrush Data'!$A$1:$Z$20000,MATCH(A3767,'Semrush Data'!$A$1:$A$20000,0),MATCH("CPC*",'Semrush Data'!$A$1:$Z$1,0)),"")</f>
        <v>0.96</v>
      </c>
      <c r="J3767" s="7" t="str">
        <f aca="false">IFERROR(INDEX('Semrush Data'!$A$1:$Z$20000,MATCH(A3767,'Semrush Data'!$A$1:$A$20000,0),MATCH("Intent",'Semrush Data'!$A$1:$Z$1,0)),"")</f>
        <v>Informational Transactional</v>
      </c>
    </row>
    <row r="3768" customFormat="false" ht="15" hidden="false" customHeight="true" outlineLevel="0" collapsed="false">
      <c r="A3768" s="7" t="s">
        <v>222</v>
      </c>
      <c r="B3768" s="7" t="s">
        <v>186</v>
      </c>
      <c r="C3768" s="7" t="n">
        <v>2</v>
      </c>
      <c r="D3768" s="7" t="s">
        <v>6816</v>
      </c>
      <c r="E3768" s="7" t="n">
        <v>0</v>
      </c>
      <c r="F3768" s="7"/>
      <c r="G3768" s="12" t="n">
        <f aca="false">IFERROR(INDEX('Semrush Data'!$A$1:$Z$20000,MATCH(A3768,'Semrush Data'!$A$1:$A$20000,0),MATCH("Volume",'Semrush Data'!$A$1:$Z$1,0)),"")</f>
        <v>1300</v>
      </c>
      <c r="H3768" s="7" t="n">
        <f aca="false">IFERROR(INDEX('Semrush Data'!$A$1:$Z$20000,MATCH(A3768,'Semrush Data'!$A$1:$A$20000,0),MATCH("Keyword Difficulty*",'Semrush Data'!$A$1:$Z$1,0)),"")</f>
        <v>13</v>
      </c>
      <c r="I3768" s="13" t="n">
        <f aca="false">IFERROR(INDEX('Semrush Data'!$A$1:$Z$20000,MATCH(A3768,'Semrush Data'!$A$1:$A$20000,0),MATCH("CPC*",'Semrush Data'!$A$1:$Z$1,0)),"")</f>
        <v>0.66</v>
      </c>
      <c r="J3768" s="7" t="str">
        <f aca="false">IFERROR(INDEX('Semrush Data'!$A$1:$Z$20000,MATCH(A3768,'Semrush Data'!$A$1:$A$20000,0),MATCH("Intent",'Semrush Data'!$A$1:$Z$1,0)),"")</f>
        <v>Informational</v>
      </c>
    </row>
    <row r="3769" customFormat="false" ht="15" hidden="false" customHeight="true" outlineLevel="0" collapsed="false">
      <c r="A3769" s="7" t="s">
        <v>7901</v>
      </c>
      <c r="B3769" s="7" t="s">
        <v>186</v>
      </c>
      <c r="C3769" s="7" t="n">
        <v>2</v>
      </c>
      <c r="D3769" s="7" t="s">
        <v>6816</v>
      </c>
      <c r="E3769" s="7" t="n">
        <v>0</v>
      </c>
      <c r="F3769" s="7"/>
      <c r="G3769" s="12" t="n">
        <f aca="false">IFERROR(INDEX('Semrush Data'!$A$1:$Z$20000,MATCH(A3769,'Semrush Data'!$A$1:$A$20000,0),MATCH("Volume",'Semrush Data'!$A$1:$Z$1,0)),"")</f>
        <v>70</v>
      </c>
      <c r="H3769" s="7" t="n">
        <f aca="false">IFERROR(INDEX('Semrush Data'!$A$1:$Z$20000,MATCH(A3769,'Semrush Data'!$A$1:$A$20000,0),MATCH("Keyword Difficulty*",'Semrush Data'!$A$1:$Z$1,0)),"")</f>
        <v>19</v>
      </c>
      <c r="I3769" s="13" t="n">
        <f aca="false">IFERROR(INDEX('Semrush Data'!$A$1:$Z$20000,MATCH(A3769,'Semrush Data'!$A$1:$A$20000,0),MATCH("CPC*",'Semrush Data'!$A$1:$Z$1,0)),"")</f>
        <v>0.74</v>
      </c>
      <c r="J3769" s="7" t="str">
        <f aca="false">IFERROR(INDEX('Semrush Data'!$A$1:$Z$20000,MATCH(A3769,'Semrush Data'!$A$1:$A$20000,0),MATCH("Intent",'Semrush Data'!$A$1:$Z$1,0)),"")</f>
        <v>Informational Transactional</v>
      </c>
    </row>
    <row r="3770" customFormat="false" ht="15" hidden="false" customHeight="true" outlineLevel="0" collapsed="false">
      <c r="A3770" s="7" t="s">
        <v>7902</v>
      </c>
      <c r="B3770" s="7" t="s">
        <v>186</v>
      </c>
      <c r="C3770" s="7" t="n">
        <v>2</v>
      </c>
      <c r="D3770" s="7" t="s">
        <v>6816</v>
      </c>
      <c r="E3770" s="7" t="n">
        <v>0</v>
      </c>
      <c r="F3770" s="7"/>
      <c r="G3770" s="12" t="n">
        <f aca="false">IFERROR(INDEX('Semrush Data'!$A$1:$Z$20000,MATCH(A3770,'Semrush Data'!$A$1:$A$20000,0),MATCH("Volume",'Semrush Data'!$A$1:$Z$1,0)),"")</f>
        <v>90</v>
      </c>
      <c r="H3770" s="7" t="n">
        <f aca="false">IFERROR(INDEX('Semrush Data'!$A$1:$Z$20000,MATCH(A3770,'Semrush Data'!$A$1:$A$20000,0),MATCH("Keyword Difficulty*",'Semrush Data'!$A$1:$Z$1,0)),"")</f>
        <v>9</v>
      </c>
      <c r="I3770" s="13" t="n">
        <f aca="false">IFERROR(INDEX('Semrush Data'!$A$1:$Z$20000,MATCH(A3770,'Semrush Data'!$A$1:$A$20000,0),MATCH("CPC*",'Semrush Data'!$A$1:$Z$1,0)),"")</f>
        <v>0.42</v>
      </c>
      <c r="J3770" s="7" t="str">
        <f aca="false">IFERROR(INDEX('Semrush Data'!$A$1:$Z$20000,MATCH(A3770,'Semrush Data'!$A$1:$A$20000,0),MATCH("Intent",'Semrush Data'!$A$1:$Z$1,0)),"")</f>
        <v>Informational</v>
      </c>
    </row>
    <row r="3771" customFormat="false" ht="15" hidden="false" customHeight="true" outlineLevel="0" collapsed="false">
      <c r="A3771" s="7" t="s">
        <v>209</v>
      </c>
      <c r="B3771" s="7" t="s">
        <v>186</v>
      </c>
      <c r="C3771" s="7" t="n">
        <v>2</v>
      </c>
      <c r="D3771" s="7" t="s">
        <v>6816</v>
      </c>
      <c r="E3771" s="7" t="n">
        <v>0</v>
      </c>
      <c r="F3771" s="7"/>
      <c r="G3771" s="12" t="n">
        <f aca="false">IFERROR(INDEX('Semrush Data'!$A$1:$Z$20000,MATCH(A3771,'Semrush Data'!$A$1:$A$20000,0),MATCH("Volume",'Semrush Data'!$A$1:$Z$1,0)),"")</f>
        <v>2900</v>
      </c>
      <c r="H3771" s="7" t="n">
        <f aca="false">IFERROR(INDEX('Semrush Data'!$A$1:$Z$20000,MATCH(A3771,'Semrush Data'!$A$1:$A$20000,0),MATCH("Keyword Difficulty*",'Semrush Data'!$A$1:$Z$1,0)),"")</f>
        <v>21</v>
      </c>
      <c r="I3771" s="13" t="n">
        <f aca="false">IFERROR(INDEX('Semrush Data'!$A$1:$Z$20000,MATCH(A3771,'Semrush Data'!$A$1:$A$20000,0),MATCH("CPC*",'Semrush Data'!$A$1:$Z$1,0)),"")</f>
        <v>0.43</v>
      </c>
      <c r="J3771" s="7" t="str">
        <f aca="false">IFERROR(INDEX('Semrush Data'!$A$1:$Z$20000,MATCH(A3771,'Semrush Data'!$A$1:$A$20000,0),MATCH("Intent",'Semrush Data'!$A$1:$Z$1,0)),"")</f>
        <v>Informational</v>
      </c>
    </row>
    <row r="3772" customFormat="false" ht="15" hidden="false" customHeight="true" outlineLevel="0" collapsed="false">
      <c r="A3772" s="7" t="s">
        <v>198</v>
      </c>
      <c r="B3772" s="7" t="s">
        <v>186</v>
      </c>
      <c r="C3772" s="7" t="n">
        <v>2</v>
      </c>
      <c r="D3772" s="7" t="s">
        <v>6816</v>
      </c>
      <c r="E3772" s="7" t="n">
        <v>0</v>
      </c>
      <c r="F3772" s="7"/>
      <c r="G3772" s="12" t="n">
        <f aca="false">IFERROR(INDEX('Semrush Data'!$A$1:$Z$20000,MATCH(A3772,'Semrush Data'!$A$1:$A$20000,0),MATCH("Volume",'Semrush Data'!$A$1:$Z$1,0)),"")</f>
        <v>5400</v>
      </c>
      <c r="H3772" s="7" t="n">
        <f aca="false">IFERROR(INDEX('Semrush Data'!$A$1:$Z$20000,MATCH(A3772,'Semrush Data'!$A$1:$A$20000,0),MATCH("Keyword Difficulty*",'Semrush Data'!$A$1:$Z$1,0)),"")</f>
        <v>16</v>
      </c>
      <c r="I3772" s="13" t="n">
        <f aca="false">IFERROR(INDEX('Semrush Data'!$A$1:$Z$20000,MATCH(A3772,'Semrush Data'!$A$1:$A$20000,0),MATCH("CPC*",'Semrush Data'!$A$1:$Z$1,0)),"")</f>
        <v>0.46</v>
      </c>
      <c r="J3772" s="7" t="str">
        <f aca="false">IFERROR(INDEX('Semrush Data'!$A$1:$Z$20000,MATCH(A3772,'Semrush Data'!$A$1:$A$20000,0),MATCH("Intent",'Semrush Data'!$A$1:$Z$1,0)),"")</f>
        <v>Informational</v>
      </c>
    </row>
    <row r="3773" customFormat="false" ht="15" hidden="false" customHeight="true" outlineLevel="0" collapsed="false">
      <c r="A3773" s="7" t="s">
        <v>223</v>
      </c>
      <c r="B3773" s="7" t="s">
        <v>186</v>
      </c>
      <c r="C3773" s="7" t="n">
        <v>2</v>
      </c>
      <c r="D3773" s="7" t="s">
        <v>6816</v>
      </c>
      <c r="E3773" s="7" t="n">
        <v>0</v>
      </c>
      <c r="F3773" s="7"/>
      <c r="G3773" s="12" t="n">
        <f aca="false">IFERROR(INDEX('Semrush Data'!$A$1:$Z$20000,MATCH(A3773,'Semrush Data'!$A$1:$A$20000,0),MATCH("Volume",'Semrush Data'!$A$1:$Z$1,0)),"")</f>
        <v>1300</v>
      </c>
      <c r="H3773" s="7" t="n">
        <f aca="false">IFERROR(INDEX('Semrush Data'!$A$1:$Z$20000,MATCH(A3773,'Semrush Data'!$A$1:$A$20000,0),MATCH("Keyword Difficulty*",'Semrush Data'!$A$1:$Z$1,0)),"")</f>
        <v>10</v>
      </c>
      <c r="I3773" s="13" t="n">
        <f aca="false">IFERROR(INDEX('Semrush Data'!$A$1:$Z$20000,MATCH(A3773,'Semrush Data'!$A$1:$A$20000,0),MATCH("CPC*",'Semrush Data'!$A$1:$Z$1,0)),"")</f>
        <v>0.66</v>
      </c>
      <c r="J3773" s="7" t="str">
        <f aca="false">IFERROR(INDEX('Semrush Data'!$A$1:$Z$20000,MATCH(A3773,'Semrush Data'!$A$1:$A$20000,0),MATCH("Intent",'Semrush Data'!$A$1:$Z$1,0)),"")</f>
        <v>Informational</v>
      </c>
    </row>
    <row r="3774" customFormat="false" ht="15" hidden="false" customHeight="true" outlineLevel="0" collapsed="false">
      <c r="A3774" s="7" t="s">
        <v>202</v>
      </c>
      <c r="B3774" s="7" t="s">
        <v>186</v>
      </c>
      <c r="C3774" s="7" t="n">
        <v>2</v>
      </c>
      <c r="D3774" s="7" t="s">
        <v>6816</v>
      </c>
      <c r="E3774" s="7" t="n">
        <v>0</v>
      </c>
      <c r="F3774" s="7"/>
      <c r="G3774" s="12" t="n">
        <f aca="false">IFERROR(INDEX('Semrush Data'!$A$1:$Z$20000,MATCH(A3774,'Semrush Data'!$A$1:$A$20000,0),MATCH("Volume",'Semrush Data'!$A$1:$Z$1,0)),"")</f>
        <v>4400</v>
      </c>
      <c r="H3774" s="7" t="n">
        <f aca="false">IFERROR(INDEX('Semrush Data'!$A$1:$Z$20000,MATCH(A3774,'Semrush Data'!$A$1:$A$20000,0),MATCH("Keyword Difficulty*",'Semrush Data'!$A$1:$Z$1,0)),"")</f>
        <v>30</v>
      </c>
      <c r="I3774" s="13" t="n">
        <f aca="false">IFERROR(INDEX('Semrush Data'!$A$1:$Z$20000,MATCH(A3774,'Semrush Data'!$A$1:$A$20000,0),MATCH("CPC*",'Semrush Data'!$A$1:$Z$1,0)),"")</f>
        <v>0.49</v>
      </c>
      <c r="J3774" s="7" t="str">
        <f aca="false">IFERROR(INDEX('Semrush Data'!$A$1:$Z$20000,MATCH(A3774,'Semrush Data'!$A$1:$A$20000,0),MATCH("Intent",'Semrush Data'!$A$1:$Z$1,0)),"")</f>
        <v>Informational</v>
      </c>
    </row>
    <row r="3775" customFormat="false" ht="15" hidden="false" customHeight="true" outlineLevel="0" collapsed="false">
      <c r="A3775" s="7" t="s">
        <v>7903</v>
      </c>
      <c r="B3775" s="7" t="s">
        <v>186</v>
      </c>
      <c r="C3775" s="7" t="n">
        <v>2</v>
      </c>
      <c r="D3775" s="7" t="s">
        <v>6816</v>
      </c>
      <c r="E3775" s="7" t="n">
        <v>0</v>
      </c>
      <c r="F3775" s="7"/>
      <c r="G3775" s="12" t="n">
        <f aca="false">IFERROR(INDEX('Semrush Data'!$A$1:$Z$20000,MATCH(A3775,'Semrush Data'!$A$1:$A$20000,0),MATCH("Volume",'Semrush Data'!$A$1:$Z$1,0)),"")</f>
        <v>20</v>
      </c>
      <c r="H3775" s="7" t="n">
        <f aca="false">IFERROR(INDEX('Semrush Data'!$A$1:$Z$20000,MATCH(A3775,'Semrush Data'!$A$1:$A$20000,0),MATCH("Keyword Difficulty*",'Semrush Data'!$A$1:$Z$1,0)),"")</f>
        <v>20</v>
      </c>
      <c r="I3775" s="13" t="n">
        <f aca="false">IFERROR(INDEX('Semrush Data'!$A$1:$Z$20000,MATCH(A3775,'Semrush Data'!$A$1:$A$20000,0),MATCH("CPC*",'Semrush Data'!$A$1:$Z$1,0)),"")</f>
        <v>0.37</v>
      </c>
      <c r="J3775" s="7" t="str">
        <f aca="false">IFERROR(INDEX('Semrush Data'!$A$1:$Z$20000,MATCH(A3775,'Semrush Data'!$A$1:$A$20000,0),MATCH("Intent",'Semrush Data'!$A$1:$Z$1,0)),"")</f>
        <v>Informational Commercial</v>
      </c>
    </row>
    <row r="3776" customFormat="false" ht="15" hidden="false" customHeight="true" outlineLevel="0" collapsed="false">
      <c r="A3776" s="7" t="s">
        <v>7904</v>
      </c>
      <c r="B3776" s="7" t="s">
        <v>186</v>
      </c>
      <c r="C3776" s="7" t="n">
        <v>2</v>
      </c>
      <c r="D3776" s="7" t="s">
        <v>6816</v>
      </c>
      <c r="E3776" s="7" t="n">
        <v>0</v>
      </c>
      <c r="F3776" s="7"/>
      <c r="G3776" s="12" t="n">
        <f aca="false">IFERROR(INDEX('Semrush Data'!$A$1:$Z$20000,MATCH(A3776,'Semrush Data'!$A$1:$A$20000,0),MATCH("Volume",'Semrush Data'!$A$1:$Z$1,0)),"")</f>
        <v>880</v>
      </c>
      <c r="H3776" s="7" t="n">
        <f aca="false">IFERROR(INDEX('Semrush Data'!$A$1:$Z$20000,MATCH(A3776,'Semrush Data'!$A$1:$A$20000,0),MATCH("Keyword Difficulty*",'Semrush Data'!$A$1:$Z$1,0)),"")</f>
        <v>12</v>
      </c>
      <c r="I3776" s="13" t="n">
        <f aca="false">IFERROR(INDEX('Semrush Data'!$A$1:$Z$20000,MATCH(A3776,'Semrush Data'!$A$1:$A$20000,0),MATCH("CPC*",'Semrush Data'!$A$1:$Z$1,0)),"")</f>
        <v>0.39</v>
      </c>
      <c r="J3776" s="7" t="str">
        <f aca="false">IFERROR(INDEX('Semrush Data'!$A$1:$Z$20000,MATCH(A3776,'Semrush Data'!$A$1:$A$20000,0),MATCH("Intent",'Semrush Data'!$A$1:$Z$1,0)),"")</f>
        <v>Informational</v>
      </c>
    </row>
    <row r="3777" customFormat="false" ht="15" hidden="false" customHeight="true" outlineLevel="0" collapsed="false">
      <c r="A3777" s="7" t="s">
        <v>7905</v>
      </c>
      <c r="B3777" s="7" t="s">
        <v>186</v>
      </c>
      <c r="C3777" s="7" t="n">
        <v>2</v>
      </c>
      <c r="D3777" s="7" t="s">
        <v>6816</v>
      </c>
      <c r="E3777" s="7" t="n">
        <v>0</v>
      </c>
      <c r="F3777" s="7"/>
      <c r="G3777" s="12" t="n">
        <f aca="false">IFERROR(INDEX('Semrush Data'!$A$1:$Z$20000,MATCH(A3777,'Semrush Data'!$A$1:$A$20000,0),MATCH("Volume",'Semrush Data'!$A$1:$Z$1,0)),"")</f>
        <v>20</v>
      </c>
      <c r="H3777" s="7" t="n">
        <f aca="false">IFERROR(INDEX('Semrush Data'!$A$1:$Z$20000,MATCH(A3777,'Semrush Data'!$A$1:$A$20000,0),MATCH("Keyword Difficulty*",'Semrush Data'!$A$1:$Z$1,0)),"")</f>
        <v>9</v>
      </c>
      <c r="I3777" s="13" t="n">
        <f aca="false">IFERROR(INDEX('Semrush Data'!$A$1:$Z$20000,MATCH(A3777,'Semrush Data'!$A$1:$A$20000,0),MATCH("CPC*",'Semrush Data'!$A$1:$Z$1,0)),"")</f>
        <v>0</v>
      </c>
      <c r="J3777" s="7" t="str">
        <f aca="false">IFERROR(INDEX('Semrush Data'!$A$1:$Z$20000,MATCH(A3777,'Semrush Data'!$A$1:$A$20000,0),MATCH("Intent",'Semrush Data'!$A$1:$Z$1,0)),"")</f>
        <v>Informational</v>
      </c>
    </row>
    <row r="3778" customFormat="false" ht="15" hidden="false" customHeight="true" outlineLevel="0" collapsed="false">
      <c r="A3778" s="7" t="s">
        <v>190</v>
      </c>
      <c r="B3778" s="7" t="s">
        <v>186</v>
      </c>
      <c r="C3778" s="7" t="n">
        <v>2</v>
      </c>
      <c r="D3778" s="7" t="s">
        <v>6816</v>
      </c>
      <c r="E3778" s="7" t="n">
        <v>0</v>
      </c>
      <c r="F3778" s="7"/>
      <c r="G3778" s="12" t="n">
        <f aca="false">IFERROR(INDEX('Semrush Data'!$A$1:$Z$20000,MATCH(A3778,'Semrush Data'!$A$1:$A$20000,0),MATCH("Volume",'Semrush Data'!$A$1:$Z$1,0)),"")</f>
        <v>18100</v>
      </c>
      <c r="H3778" s="7" t="n">
        <f aca="false">IFERROR(INDEX('Semrush Data'!$A$1:$Z$20000,MATCH(A3778,'Semrush Data'!$A$1:$A$20000,0),MATCH("Keyword Difficulty*",'Semrush Data'!$A$1:$Z$1,0)),"")</f>
        <v>16</v>
      </c>
      <c r="I3778" s="13" t="n">
        <f aca="false">IFERROR(INDEX('Semrush Data'!$A$1:$Z$20000,MATCH(A3778,'Semrush Data'!$A$1:$A$20000,0),MATCH("CPC*",'Semrush Data'!$A$1:$Z$1,0)),"")</f>
        <v>0.31</v>
      </c>
      <c r="J3778" s="7" t="str">
        <f aca="false">IFERROR(INDEX('Semrush Data'!$A$1:$Z$20000,MATCH(A3778,'Semrush Data'!$A$1:$A$20000,0),MATCH("Intent",'Semrush Data'!$A$1:$Z$1,0)),"")</f>
        <v>Informational</v>
      </c>
    </row>
    <row r="3779" customFormat="false" ht="15" hidden="false" customHeight="true" outlineLevel="0" collapsed="false">
      <c r="A3779" s="7" t="s">
        <v>185</v>
      </c>
      <c r="B3779" s="7" t="s">
        <v>186</v>
      </c>
      <c r="C3779" s="7" t="n">
        <v>2</v>
      </c>
      <c r="D3779" s="7" t="s">
        <v>6816</v>
      </c>
      <c r="E3779" s="7" t="n">
        <v>0</v>
      </c>
      <c r="F3779" s="7"/>
      <c r="G3779" s="12" t="n">
        <f aca="false">IFERROR(INDEX('Semrush Data'!$A$1:$Z$20000,MATCH(A3779,'Semrush Data'!$A$1:$A$20000,0),MATCH("Volume",'Semrush Data'!$A$1:$Z$1,0)),"")</f>
        <v>33100</v>
      </c>
      <c r="H3779" s="7" t="n">
        <f aca="false">IFERROR(INDEX('Semrush Data'!$A$1:$Z$20000,MATCH(A3779,'Semrush Data'!$A$1:$A$20000,0),MATCH("Keyword Difficulty*",'Semrush Data'!$A$1:$Z$1,0)),"")</f>
        <v>44</v>
      </c>
      <c r="I3779" s="13" t="n">
        <f aca="false">IFERROR(INDEX('Semrush Data'!$A$1:$Z$20000,MATCH(A3779,'Semrush Data'!$A$1:$A$20000,0),MATCH("CPC*",'Semrush Data'!$A$1:$Z$1,0)),"")</f>
        <v>1.23</v>
      </c>
      <c r="J3779" s="7" t="str">
        <f aca="false">IFERROR(INDEX('Semrush Data'!$A$1:$Z$20000,MATCH(A3779,'Semrush Data'!$A$1:$A$20000,0),MATCH("Intent",'Semrush Data'!$A$1:$Z$1,0)),"")</f>
        <v>Informational Transactional</v>
      </c>
    </row>
    <row r="3780" customFormat="false" ht="15" hidden="false" customHeight="true" outlineLevel="0" collapsed="false">
      <c r="A3780" s="7" t="s">
        <v>225</v>
      </c>
      <c r="B3780" s="7" t="s">
        <v>186</v>
      </c>
      <c r="C3780" s="7" t="n">
        <v>2</v>
      </c>
      <c r="D3780" s="7" t="s">
        <v>6816</v>
      </c>
      <c r="E3780" s="7" t="n">
        <v>0</v>
      </c>
      <c r="F3780" s="7"/>
      <c r="G3780" s="12" t="n">
        <f aca="false">IFERROR(INDEX('Semrush Data'!$A$1:$Z$20000,MATCH(A3780,'Semrush Data'!$A$1:$A$20000,0),MATCH("Volume",'Semrush Data'!$A$1:$Z$1,0)),"")</f>
        <v>1000</v>
      </c>
      <c r="H3780" s="7" t="n">
        <f aca="false">IFERROR(INDEX('Semrush Data'!$A$1:$Z$20000,MATCH(A3780,'Semrush Data'!$A$1:$A$20000,0),MATCH("Keyword Difficulty*",'Semrush Data'!$A$1:$Z$1,0)),"")</f>
        <v>21</v>
      </c>
      <c r="I3780" s="13" t="n">
        <f aca="false">IFERROR(INDEX('Semrush Data'!$A$1:$Z$20000,MATCH(A3780,'Semrush Data'!$A$1:$A$20000,0),MATCH("CPC*",'Semrush Data'!$A$1:$Z$1,0)),"")</f>
        <v>1.04</v>
      </c>
      <c r="J3780" s="7" t="str">
        <f aca="false">IFERROR(INDEX('Semrush Data'!$A$1:$Z$20000,MATCH(A3780,'Semrush Data'!$A$1:$A$20000,0),MATCH("Intent",'Semrush Data'!$A$1:$Z$1,0)),"")</f>
        <v>Informational</v>
      </c>
    </row>
    <row r="3781" customFormat="false" ht="15" hidden="false" customHeight="true" outlineLevel="0" collapsed="false">
      <c r="A3781" s="7" t="s">
        <v>191</v>
      </c>
      <c r="B3781" s="7" t="s">
        <v>186</v>
      </c>
      <c r="C3781" s="7" t="n">
        <v>2</v>
      </c>
      <c r="D3781" s="7" t="s">
        <v>6816</v>
      </c>
      <c r="E3781" s="7" t="n">
        <v>0</v>
      </c>
      <c r="F3781" s="7"/>
      <c r="G3781" s="12" t="n">
        <f aca="false">IFERROR(INDEX('Semrush Data'!$A$1:$Z$20000,MATCH(A3781,'Semrush Data'!$A$1:$A$20000,0),MATCH("Volume",'Semrush Data'!$A$1:$Z$1,0)),"")</f>
        <v>14800</v>
      </c>
      <c r="H3781" s="7" t="n">
        <f aca="false">IFERROR(INDEX('Semrush Data'!$A$1:$Z$20000,MATCH(A3781,'Semrush Data'!$A$1:$A$20000,0),MATCH("Keyword Difficulty*",'Semrush Data'!$A$1:$Z$1,0)),"")</f>
        <v>38</v>
      </c>
      <c r="I3781" s="13" t="n">
        <f aca="false">IFERROR(INDEX('Semrush Data'!$A$1:$Z$20000,MATCH(A3781,'Semrush Data'!$A$1:$A$20000,0),MATCH("CPC*",'Semrush Data'!$A$1:$Z$1,0)),"")</f>
        <v>0.77</v>
      </c>
      <c r="J3781" s="7" t="str">
        <f aca="false">IFERROR(INDEX('Semrush Data'!$A$1:$Z$20000,MATCH(A3781,'Semrush Data'!$A$1:$A$20000,0),MATCH("Intent",'Semrush Data'!$A$1:$Z$1,0)),"")</f>
        <v>Informational</v>
      </c>
    </row>
    <row r="3782" customFormat="false" ht="15" hidden="false" customHeight="true" outlineLevel="0" collapsed="false">
      <c r="A3782" s="7" t="s">
        <v>210</v>
      </c>
      <c r="B3782" s="7" t="s">
        <v>186</v>
      </c>
      <c r="C3782" s="7" t="n">
        <v>2</v>
      </c>
      <c r="D3782" s="7" t="s">
        <v>6816</v>
      </c>
      <c r="E3782" s="7" t="n">
        <v>0</v>
      </c>
      <c r="F3782" s="7"/>
      <c r="G3782" s="12" t="n">
        <f aca="false">IFERROR(INDEX('Semrush Data'!$A$1:$Z$20000,MATCH(A3782,'Semrush Data'!$A$1:$A$20000,0),MATCH("Volume",'Semrush Data'!$A$1:$Z$1,0)),"")</f>
        <v>2900</v>
      </c>
      <c r="H3782" s="7" t="n">
        <f aca="false">IFERROR(INDEX('Semrush Data'!$A$1:$Z$20000,MATCH(A3782,'Semrush Data'!$A$1:$A$20000,0),MATCH("Keyword Difficulty*",'Semrush Data'!$A$1:$Z$1,0)),"")</f>
        <v>19</v>
      </c>
      <c r="I3782" s="13" t="n">
        <f aca="false">IFERROR(INDEX('Semrush Data'!$A$1:$Z$20000,MATCH(A3782,'Semrush Data'!$A$1:$A$20000,0),MATCH("CPC*",'Semrush Data'!$A$1:$Z$1,0)),"")</f>
        <v>1.33</v>
      </c>
      <c r="J3782" s="7" t="str">
        <f aca="false">IFERROR(INDEX('Semrush Data'!$A$1:$Z$20000,MATCH(A3782,'Semrush Data'!$A$1:$A$20000,0),MATCH("Intent",'Semrush Data'!$A$1:$Z$1,0)),"")</f>
        <v>Informational</v>
      </c>
    </row>
    <row r="3783" customFormat="false" ht="15" hidden="false" customHeight="true" outlineLevel="0" collapsed="false">
      <c r="A3783" s="7" t="s">
        <v>226</v>
      </c>
      <c r="B3783" s="7" t="s">
        <v>186</v>
      </c>
      <c r="C3783" s="7" t="n">
        <v>2</v>
      </c>
      <c r="D3783" s="7" t="s">
        <v>6816</v>
      </c>
      <c r="E3783" s="7" t="n">
        <v>0</v>
      </c>
      <c r="F3783" s="7"/>
      <c r="G3783" s="12" t="n">
        <f aca="false">IFERROR(INDEX('Semrush Data'!$A$1:$Z$20000,MATCH(A3783,'Semrush Data'!$A$1:$A$20000,0),MATCH("Volume",'Semrush Data'!$A$1:$Z$1,0)),"")</f>
        <v>1000</v>
      </c>
      <c r="H3783" s="7" t="n">
        <f aca="false">IFERROR(INDEX('Semrush Data'!$A$1:$Z$20000,MATCH(A3783,'Semrush Data'!$A$1:$A$20000,0),MATCH("Keyword Difficulty*",'Semrush Data'!$A$1:$Z$1,0)),"")</f>
        <v>20</v>
      </c>
      <c r="I3783" s="13" t="n">
        <f aca="false">IFERROR(INDEX('Semrush Data'!$A$1:$Z$20000,MATCH(A3783,'Semrush Data'!$A$1:$A$20000,0),MATCH("CPC*",'Semrush Data'!$A$1:$Z$1,0)),"")</f>
        <v>0.99</v>
      </c>
      <c r="J3783" s="7" t="str">
        <f aca="false">IFERROR(INDEX('Semrush Data'!$A$1:$Z$20000,MATCH(A3783,'Semrush Data'!$A$1:$A$20000,0),MATCH("Intent",'Semrush Data'!$A$1:$Z$1,0)),"")</f>
        <v>Informational</v>
      </c>
    </row>
    <row r="3784" customFormat="false" ht="15" hidden="false" customHeight="true" outlineLevel="0" collapsed="false">
      <c r="A3784" s="7" t="s">
        <v>7906</v>
      </c>
      <c r="B3784" s="7" t="s">
        <v>186</v>
      </c>
      <c r="C3784" s="7" t="n">
        <v>2</v>
      </c>
      <c r="D3784" s="7" t="s">
        <v>6816</v>
      </c>
      <c r="E3784" s="7" t="n">
        <v>0</v>
      </c>
      <c r="F3784" s="7"/>
      <c r="G3784" s="12" t="n">
        <f aca="false">IFERROR(INDEX('Semrush Data'!$A$1:$Z$20000,MATCH(A3784,'Semrush Data'!$A$1:$A$20000,0),MATCH("Volume",'Semrush Data'!$A$1:$Z$1,0)),"")</f>
        <v>590</v>
      </c>
      <c r="H3784" s="7" t="n">
        <f aca="false">IFERROR(INDEX('Semrush Data'!$A$1:$Z$20000,MATCH(A3784,'Semrush Data'!$A$1:$A$20000,0),MATCH("Keyword Difficulty*",'Semrush Data'!$A$1:$Z$1,0)),"")</f>
        <v>11</v>
      </c>
      <c r="I3784" s="13" t="n">
        <f aca="false">IFERROR(INDEX('Semrush Data'!$A$1:$Z$20000,MATCH(A3784,'Semrush Data'!$A$1:$A$20000,0),MATCH("CPC*",'Semrush Data'!$A$1:$Z$1,0)),"")</f>
        <v>0.7</v>
      </c>
      <c r="J3784" s="7" t="str">
        <f aca="false">IFERROR(INDEX('Semrush Data'!$A$1:$Z$20000,MATCH(A3784,'Semrush Data'!$A$1:$A$20000,0),MATCH("Intent",'Semrush Data'!$A$1:$Z$1,0)),"")</f>
        <v>Informational</v>
      </c>
    </row>
    <row r="3785" customFormat="false" ht="15" hidden="false" customHeight="true" outlineLevel="0" collapsed="false">
      <c r="A3785" s="7" t="s">
        <v>7907</v>
      </c>
      <c r="B3785" s="7" t="s">
        <v>186</v>
      </c>
      <c r="C3785" s="7" t="n">
        <v>2</v>
      </c>
      <c r="D3785" s="7" t="s">
        <v>6816</v>
      </c>
      <c r="E3785" s="7" t="n">
        <v>0</v>
      </c>
      <c r="F3785" s="7"/>
      <c r="G3785" s="12" t="n">
        <f aca="false">IFERROR(INDEX('Semrush Data'!$A$1:$Z$20000,MATCH(A3785,'Semrush Data'!$A$1:$A$20000,0),MATCH("Volume",'Semrush Data'!$A$1:$Z$1,0)),"")</f>
        <v>590</v>
      </c>
      <c r="H3785" s="7" t="n">
        <f aca="false">IFERROR(INDEX('Semrush Data'!$A$1:$Z$20000,MATCH(A3785,'Semrush Data'!$A$1:$A$20000,0),MATCH("Keyword Difficulty*",'Semrush Data'!$A$1:$Z$1,0)),"")</f>
        <v>9</v>
      </c>
      <c r="I3785" s="13" t="n">
        <f aca="false">IFERROR(INDEX('Semrush Data'!$A$1:$Z$20000,MATCH(A3785,'Semrush Data'!$A$1:$A$20000,0),MATCH("CPC*",'Semrush Data'!$A$1:$Z$1,0)),"")</f>
        <v>0.71</v>
      </c>
      <c r="J3785" s="7" t="str">
        <f aca="false">IFERROR(INDEX('Semrush Data'!$A$1:$Z$20000,MATCH(A3785,'Semrush Data'!$A$1:$A$20000,0),MATCH("Intent",'Semrush Data'!$A$1:$Z$1,0)),"")</f>
        <v>Informational</v>
      </c>
    </row>
    <row r="3786" customFormat="false" ht="15" hidden="false" customHeight="true" outlineLevel="0" collapsed="false">
      <c r="A3786" s="7" t="s">
        <v>7908</v>
      </c>
      <c r="B3786" s="7" t="s">
        <v>186</v>
      </c>
      <c r="C3786" s="7" t="n">
        <v>2</v>
      </c>
      <c r="D3786" s="7" t="s">
        <v>6816</v>
      </c>
      <c r="E3786" s="7" t="n">
        <v>0</v>
      </c>
      <c r="F3786" s="7"/>
      <c r="G3786" s="12" t="n">
        <f aca="false">IFERROR(INDEX('Semrush Data'!$A$1:$Z$20000,MATCH(A3786,'Semrush Data'!$A$1:$A$20000,0),MATCH("Volume",'Semrush Data'!$A$1:$Z$1,0)),"")</f>
        <v>170</v>
      </c>
      <c r="H3786" s="7" t="n">
        <f aca="false">IFERROR(INDEX('Semrush Data'!$A$1:$Z$20000,MATCH(A3786,'Semrush Data'!$A$1:$A$20000,0),MATCH("Keyword Difficulty*",'Semrush Data'!$A$1:$Z$1,0)),"")</f>
        <v>6</v>
      </c>
      <c r="I3786" s="13" t="n">
        <f aca="false">IFERROR(INDEX('Semrush Data'!$A$1:$Z$20000,MATCH(A3786,'Semrush Data'!$A$1:$A$20000,0),MATCH("CPC*",'Semrush Data'!$A$1:$Z$1,0)),"")</f>
        <v>0.46</v>
      </c>
      <c r="J3786" s="7" t="str">
        <f aca="false">IFERROR(INDEX('Semrush Data'!$A$1:$Z$20000,MATCH(A3786,'Semrush Data'!$A$1:$A$20000,0),MATCH("Intent",'Semrush Data'!$A$1:$Z$1,0)),"")</f>
        <v>Informational</v>
      </c>
    </row>
    <row r="3787" customFormat="false" ht="15" hidden="false" customHeight="true" outlineLevel="0" collapsed="false">
      <c r="A3787" s="7" t="s">
        <v>215</v>
      </c>
      <c r="B3787" s="7" t="s">
        <v>186</v>
      </c>
      <c r="C3787" s="7" t="n">
        <v>2</v>
      </c>
      <c r="D3787" s="7" t="s">
        <v>6816</v>
      </c>
      <c r="E3787" s="7" t="n">
        <v>0</v>
      </c>
      <c r="F3787" s="7"/>
      <c r="G3787" s="12" t="n">
        <f aca="false">IFERROR(INDEX('Semrush Data'!$A$1:$Z$20000,MATCH(A3787,'Semrush Data'!$A$1:$A$20000,0),MATCH("Volume",'Semrush Data'!$A$1:$Z$1,0)),"")</f>
        <v>1900</v>
      </c>
      <c r="H3787" s="7" t="n">
        <f aca="false">IFERROR(INDEX('Semrush Data'!$A$1:$Z$20000,MATCH(A3787,'Semrush Data'!$A$1:$A$20000,0),MATCH("Keyword Difficulty*",'Semrush Data'!$A$1:$Z$1,0)),"")</f>
        <v>28</v>
      </c>
      <c r="I3787" s="13" t="n">
        <f aca="false">IFERROR(INDEX('Semrush Data'!$A$1:$Z$20000,MATCH(A3787,'Semrush Data'!$A$1:$A$20000,0),MATCH("CPC*",'Semrush Data'!$A$1:$Z$1,0)),"")</f>
        <v>0.66</v>
      </c>
      <c r="J3787" s="7" t="str">
        <f aca="false">IFERROR(INDEX('Semrush Data'!$A$1:$Z$20000,MATCH(A3787,'Semrush Data'!$A$1:$A$20000,0),MATCH("Intent",'Semrush Data'!$A$1:$Z$1,0)),"")</f>
        <v>Informational Transactional</v>
      </c>
    </row>
    <row r="3788" customFormat="false" ht="15" hidden="false" customHeight="true" outlineLevel="0" collapsed="false">
      <c r="A3788" s="7" t="s">
        <v>7909</v>
      </c>
      <c r="B3788" s="7" t="s">
        <v>186</v>
      </c>
      <c r="C3788" s="7" t="n">
        <v>2</v>
      </c>
      <c r="D3788" s="7" t="s">
        <v>6816</v>
      </c>
      <c r="E3788" s="7" t="n">
        <v>0</v>
      </c>
      <c r="F3788" s="7"/>
      <c r="G3788" s="12" t="n">
        <f aca="false">IFERROR(INDEX('Semrush Data'!$A$1:$Z$20000,MATCH(A3788,'Semrush Data'!$A$1:$A$20000,0),MATCH("Volume",'Semrush Data'!$A$1:$Z$1,0)),"")</f>
        <v>260</v>
      </c>
      <c r="H3788" s="7" t="n">
        <f aca="false">IFERROR(INDEX('Semrush Data'!$A$1:$Z$20000,MATCH(A3788,'Semrush Data'!$A$1:$A$20000,0),MATCH("Keyword Difficulty*",'Semrush Data'!$A$1:$Z$1,0)),"")</f>
        <v>19</v>
      </c>
      <c r="I3788" s="13" t="n">
        <f aca="false">IFERROR(INDEX('Semrush Data'!$A$1:$Z$20000,MATCH(A3788,'Semrush Data'!$A$1:$A$20000,0),MATCH("CPC*",'Semrush Data'!$A$1:$Z$1,0)),"")</f>
        <v>0.4</v>
      </c>
      <c r="J3788" s="7" t="str">
        <f aca="false">IFERROR(INDEX('Semrush Data'!$A$1:$Z$20000,MATCH(A3788,'Semrush Data'!$A$1:$A$20000,0),MATCH("Intent",'Semrush Data'!$A$1:$Z$1,0)),"")</f>
        <v>Informational</v>
      </c>
    </row>
    <row r="3789" customFormat="false" ht="15" hidden="false" customHeight="true" outlineLevel="0" collapsed="false">
      <c r="A3789" s="7" t="s">
        <v>199</v>
      </c>
      <c r="B3789" s="7" t="s">
        <v>186</v>
      </c>
      <c r="C3789" s="7" t="n">
        <v>2</v>
      </c>
      <c r="D3789" s="7" t="s">
        <v>6816</v>
      </c>
      <c r="E3789" s="7" t="n">
        <v>0</v>
      </c>
      <c r="F3789" s="7"/>
      <c r="G3789" s="12" t="n">
        <f aca="false">IFERROR(INDEX('Semrush Data'!$A$1:$Z$20000,MATCH(A3789,'Semrush Data'!$A$1:$A$20000,0),MATCH("Volume",'Semrush Data'!$A$1:$Z$1,0)),"")</f>
        <v>5400</v>
      </c>
      <c r="H3789" s="7" t="n">
        <f aca="false">IFERROR(INDEX('Semrush Data'!$A$1:$Z$20000,MATCH(A3789,'Semrush Data'!$A$1:$A$20000,0),MATCH("Keyword Difficulty*",'Semrush Data'!$A$1:$Z$1,0)),"")</f>
        <v>21</v>
      </c>
      <c r="I3789" s="13" t="n">
        <f aca="false">IFERROR(INDEX('Semrush Data'!$A$1:$Z$20000,MATCH(A3789,'Semrush Data'!$A$1:$A$20000,0),MATCH("CPC*",'Semrush Data'!$A$1:$Z$1,0)),"")</f>
        <v>1.76</v>
      </c>
      <c r="J3789" s="7" t="str">
        <f aca="false">IFERROR(INDEX('Semrush Data'!$A$1:$Z$20000,MATCH(A3789,'Semrush Data'!$A$1:$A$20000,0),MATCH("Intent",'Semrush Data'!$A$1:$Z$1,0)),"")</f>
        <v>Informational Commercial</v>
      </c>
    </row>
    <row r="3790" customFormat="false" ht="15" hidden="false" customHeight="true" outlineLevel="0" collapsed="false">
      <c r="A3790" s="7" t="s">
        <v>211</v>
      </c>
      <c r="B3790" s="7" t="s">
        <v>186</v>
      </c>
      <c r="C3790" s="7" t="n">
        <v>2</v>
      </c>
      <c r="D3790" s="7" t="s">
        <v>6816</v>
      </c>
      <c r="E3790" s="7" t="n">
        <v>0</v>
      </c>
      <c r="F3790" s="7"/>
      <c r="G3790" s="12" t="n">
        <f aca="false">IFERROR(INDEX('Semrush Data'!$A$1:$Z$20000,MATCH(A3790,'Semrush Data'!$A$1:$A$20000,0),MATCH("Volume",'Semrush Data'!$A$1:$Z$1,0)),"")</f>
        <v>2900</v>
      </c>
      <c r="H3790" s="7" t="n">
        <f aca="false">IFERROR(INDEX('Semrush Data'!$A$1:$Z$20000,MATCH(A3790,'Semrush Data'!$A$1:$A$20000,0),MATCH("Keyword Difficulty*",'Semrush Data'!$A$1:$Z$1,0)),"")</f>
        <v>9</v>
      </c>
      <c r="I3790" s="13" t="n">
        <f aca="false">IFERROR(INDEX('Semrush Data'!$A$1:$Z$20000,MATCH(A3790,'Semrush Data'!$A$1:$A$20000,0),MATCH("CPC*",'Semrush Data'!$A$1:$Z$1,0)),"")</f>
        <v>0.33</v>
      </c>
      <c r="J3790" s="7" t="str">
        <f aca="false">IFERROR(INDEX('Semrush Data'!$A$1:$Z$20000,MATCH(A3790,'Semrush Data'!$A$1:$A$20000,0),MATCH("Intent",'Semrush Data'!$A$1:$Z$1,0)),"")</f>
        <v>Informational</v>
      </c>
    </row>
    <row r="3791" customFormat="false" ht="15" hidden="false" customHeight="true" outlineLevel="0" collapsed="false">
      <c r="A3791" s="7" t="s">
        <v>205</v>
      </c>
      <c r="B3791" s="7" t="s">
        <v>186</v>
      </c>
      <c r="C3791" s="7" t="n">
        <v>2</v>
      </c>
      <c r="D3791" s="7" t="s">
        <v>6816</v>
      </c>
      <c r="E3791" s="7" t="n">
        <v>0</v>
      </c>
      <c r="F3791" s="7"/>
      <c r="G3791" s="12" t="n">
        <f aca="false">IFERROR(INDEX('Semrush Data'!$A$1:$Z$20000,MATCH(A3791,'Semrush Data'!$A$1:$A$20000,0),MATCH("Volume",'Semrush Data'!$A$1:$Z$1,0)),"")</f>
        <v>3600</v>
      </c>
      <c r="H3791" s="7" t="n">
        <f aca="false">IFERROR(INDEX('Semrush Data'!$A$1:$Z$20000,MATCH(A3791,'Semrush Data'!$A$1:$A$20000,0),MATCH("Keyword Difficulty*",'Semrush Data'!$A$1:$Z$1,0)),"")</f>
        <v>34</v>
      </c>
      <c r="I3791" s="13" t="n">
        <f aca="false">IFERROR(INDEX('Semrush Data'!$A$1:$Z$20000,MATCH(A3791,'Semrush Data'!$A$1:$A$20000,0),MATCH("CPC*",'Semrush Data'!$A$1:$Z$1,0)),"")</f>
        <v>0.51</v>
      </c>
      <c r="J3791" s="7" t="str">
        <f aca="false">IFERROR(INDEX('Semrush Data'!$A$1:$Z$20000,MATCH(A3791,'Semrush Data'!$A$1:$A$20000,0),MATCH("Intent",'Semrush Data'!$A$1:$Z$1,0)),"")</f>
        <v>Informational</v>
      </c>
    </row>
    <row r="3792" customFormat="false" ht="15" hidden="false" customHeight="true" outlineLevel="0" collapsed="false">
      <c r="A3792" s="7" t="s">
        <v>7910</v>
      </c>
      <c r="B3792" s="7" t="s">
        <v>186</v>
      </c>
      <c r="C3792" s="7" t="n">
        <v>2</v>
      </c>
      <c r="D3792" s="7" t="s">
        <v>6816</v>
      </c>
      <c r="E3792" s="7" t="n">
        <v>0</v>
      </c>
      <c r="F3792" s="7"/>
      <c r="G3792" s="12" t="n">
        <f aca="false">IFERROR(INDEX('Semrush Data'!$A$1:$Z$20000,MATCH(A3792,'Semrush Data'!$A$1:$A$20000,0),MATCH("Volume",'Semrush Data'!$A$1:$Z$1,0)),"")</f>
        <v>140</v>
      </c>
      <c r="H3792" s="7" t="n">
        <f aca="false">IFERROR(INDEX('Semrush Data'!$A$1:$Z$20000,MATCH(A3792,'Semrush Data'!$A$1:$A$20000,0),MATCH("Keyword Difficulty*",'Semrush Data'!$A$1:$Z$1,0)),"")</f>
        <v>7</v>
      </c>
      <c r="I3792" s="13" t="n">
        <f aca="false">IFERROR(INDEX('Semrush Data'!$A$1:$Z$20000,MATCH(A3792,'Semrush Data'!$A$1:$A$20000,0),MATCH("CPC*",'Semrush Data'!$A$1:$Z$1,0)),"")</f>
        <v>0.34</v>
      </c>
      <c r="J3792" s="7" t="str">
        <f aca="false">IFERROR(INDEX('Semrush Data'!$A$1:$Z$20000,MATCH(A3792,'Semrush Data'!$A$1:$A$20000,0),MATCH("Intent",'Semrush Data'!$A$1:$Z$1,0)),"")</f>
        <v>Informational</v>
      </c>
    </row>
    <row r="3793" customFormat="false" ht="15" hidden="false" customHeight="true" outlineLevel="0" collapsed="false">
      <c r="A3793" s="7" t="s">
        <v>7911</v>
      </c>
      <c r="B3793" s="7" t="s">
        <v>186</v>
      </c>
      <c r="C3793" s="7" t="n">
        <v>2</v>
      </c>
      <c r="D3793" s="7" t="s">
        <v>6816</v>
      </c>
      <c r="E3793" s="7" t="n">
        <v>0</v>
      </c>
      <c r="F3793" s="7"/>
      <c r="G3793" s="12" t="n">
        <f aca="false">IFERROR(INDEX('Semrush Data'!$A$1:$Z$20000,MATCH(A3793,'Semrush Data'!$A$1:$A$20000,0),MATCH("Volume",'Semrush Data'!$A$1:$Z$1,0)),"")</f>
        <v>720</v>
      </c>
      <c r="H3793" s="7" t="n">
        <f aca="false">IFERROR(INDEX('Semrush Data'!$A$1:$Z$20000,MATCH(A3793,'Semrush Data'!$A$1:$A$20000,0),MATCH("Keyword Difficulty*",'Semrush Data'!$A$1:$Z$1,0)),"")</f>
        <v>20</v>
      </c>
      <c r="I3793" s="13" t="n">
        <f aca="false">IFERROR(INDEX('Semrush Data'!$A$1:$Z$20000,MATCH(A3793,'Semrush Data'!$A$1:$A$20000,0),MATCH("CPC*",'Semrush Data'!$A$1:$Z$1,0)),"")</f>
        <v>0.3</v>
      </c>
      <c r="J3793" s="7" t="str">
        <f aca="false">IFERROR(INDEX('Semrush Data'!$A$1:$Z$20000,MATCH(A3793,'Semrush Data'!$A$1:$A$20000,0),MATCH("Intent",'Semrush Data'!$A$1:$Z$1,0)),"")</f>
        <v>Informational</v>
      </c>
    </row>
    <row r="3794" customFormat="false" ht="15" hidden="false" customHeight="true" outlineLevel="0" collapsed="false">
      <c r="A3794" s="7" t="s">
        <v>7912</v>
      </c>
      <c r="B3794" s="7" t="s">
        <v>186</v>
      </c>
      <c r="C3794" s="7" t="n">
        <v>2</v>
      </c>
      <c r="D3794" s="7" t="s">
        <v>6816</v>
      </c>
      <c r="E3794" s="7" t="n">
        <v>0</v>
      </c>
      <c r="F3794" s="7"/>
      <c r="G3794" s="12" t="n">
        <f aca="false">IFERROR(INDEX('Semrush Data'!$A$1:$Z$20000,MATCH(A3794,'Semrush Data'!$A$1:$A$20000,0),MATCH("Volume",'Semrush Data'!$A$1:$Z$1,0)),"")</f>
        <v>390</v>
      </c>
      <c r="H3794" s="7" t="n">
        <f aca="false">IFERROR(INDEX('Semrush Data'!$A$1:$Z$20000,MATCH(A3794,'Semrush Data'!$A$1:$A$20000,0),MATCH("Keyword Difficulty*",'Semrush Data'!$A$1:$Z$1,0)),"")</f>
        <v>12</v>
      </c>
      <c r="I3794" s="13" t="n">
        <f aca="false">IFERROR(INDEX('Semrush Data'!$A$1:$Z$20000,MATCH(A3794,'Semrush Data'!$A$1:$A$20000,0),MATCH("CPC*",'Semrush Data'!$A$1:$Z$1,0)),"")</f>
        <v>1</v>
      </c>
      <c r="J3794" s="7" t="str">
        <f aca="false">IFERROR(INDEX('Semrush Data'!$A$1:$Z$20000,MATCH(A3794,'Semrush Data'!$A$1:$A$20000,0),MATCH("Intent",'Semrush Data'!$A$1:$Z$1,0)),"")</f>
        <v>Informational</v>
      </c>
    </row>
    <row r="3795" customFormat="false" ht="15" hidden="false" customHeight="true" outlineLevel="0" collapsed="false">
      <c r="A3795" s="7" t="s">
        <v>7913</v>
      </c>
      <c r="B3795" s="7" t="s">
        <v>186</v>
      </c>
      <c r="C3795" s="7" t="n">
        <v>2</v>
      </c>
      <c r="D3795" s="7" t="s">
        <v>6816</v>
      </c>
      <c r="E3795" s="7" t="n">
        <v>0</v>
      </c>
      <c r="F3795" s="7"/>
      <c r="G3795" s="12" t="n">
        <f aca="false">IFERROR(INDEX('Semrush Data'!$A$1:$Z$20000,MATCH(A3795,'Semrush Data'!$A$1:$A$20000,0),MATCH("Volume",'Semrush Data'!$A$1:$Z$1,0)),"")</f>
        <v>20</v>
      </c>
      <c r="H3795" s="7" t="n">
        <f aca="false">IFERROR(INDEX('Semrush Data'!$A$1:$Z$20000,MATCH(A3795,'Semrush Data'!$A$1:$A$20000,0),MATCH("Keyword Difficulty*",'Semrush Data'!$A$1:$Z$1,0)),"")</f>
        <v>3</v>
      </c>
      <c r="I3795" s="13" t="n">
        <f aca="false">IFERROR(INDEX('Semrush Data'!$A$1:$Z$20000,MATCH(A3795,'Semrush Data'!$A$1:$A$20000,0),MATCH("CPC*",'Semrush Data'!$A$1:$Z$1,0)),"")</f>
        <v>0</v>
      </c>
      <c r="J3795" s="7" t="str">
        <f aca="false">IFERROR(INDEX('Semrush Data'!$A$1:$Z$20000,MATCH(A3795,'Semrush Data'!$A$1:$A$20000,0),MATCH("Intent",'Semrush Data'!$A$1:$Z$1,0)),"")</f>
        <v>Informational Transactional</v>
      </c>
    </row>
    <row r="3796" customFormat="false" ht="15" hidden="false" customHeight="true" outlineLevel="0" collapsed="false">
      <c r="A3796" s="7" t="s">
        <v>7914</v>
      </c>
      <c r="B3796" s="7" t="s">
        <v>186</v>
      </c>
      <c r="C3796" s="7" t="n">
        <v>2</v>
      </c>
      <c r="D3796" s="7" t="s">
        <v>6816</v>
      </c>
      <c r="E3796" s="7" t="n">
        <v>0</v>
      </c>
      <c r="F3796" s="7"/>
      <c r="G3796" s="12" t="n">
        <f aca="false">IFERROR(INDEX('Semrush Data'!$A$1:$Z$20000,MATCH(A3796,'Semrush Data'!$A$1:$A$20000,0),MATCH("Volume",'Semrush Data'!$A$1:$Z$1,0)),"")</f>
        <v>30</v>
      </c>
      <c r="H3796" s="7" t="n">
        <f aca="false">IFERROR(INDEX('Semrush Data'!$A$1:$Z$20000,MATCH(A3796,'Semrush Data'!$A$1:$A$20000,0),MATCH("Keyword Difficulty*",'Semrush Data'!$A$1:$Z$1,0)),"")</f>
        <v>15</v>
      </c>
      <c r="I3796" s="13" t="n">
        <f aca="false">IFERROR(INDEX('Semrush Data'!$A$1:$Z$20000,MATCH(A3796,'Semrush Data'!$A$1:$A$20000,0),MATCH("CPC*",'Semrush Data'!$A$1:$Z$1,0)),"")</f>
        <v>0</v>
      </c>
      <c r="J3796" s="7" t="str">
        <f aca="false">IFERROR(INDEX('Semrush Data'!$A$1:$Z$20000,MATCH(A3796,'Semrush Data'!$A$1:$A$20000,0),MATCH("Intent",'Semrush Data'!$A$1:$Z$1,0)),"")</f>
        <v>Informational</v>
      </c>
    </row>
    <row r="3797" customFormat="false" ht="15" hidden="false" customHeight="true" outlineLevel="0" collapsed="false">
      <c r="A3797" s="7" t="s">
        <v>7915</v>
      </c>
      <c r="B3797" s="7" t="s">
        <v>186</v>
      </c>
      <c r="C3797" s="7" t="n">
        <v>2</v>
      </c>
      <c r="D3797" s="7" t="s">
        <v>6816</v>
      </c>
      <c r="E3797" s="7" t="n">
        <v>0</v>
      </c>
      <c r="F3797" s="7"/>
      <c r="G3797" s="12" t="n">
        <f aca="false">IFERROR(INDEX('Semrush Data'!$A$1:$Z$20000,MATCH(A3797,'Semrush Data'!$A$1:$A$20000,0),MATCH("Volume",'Semrush Data'!$A$1:$Z$1,0)),"")</f>
        <v>140</v>
      </c>
      <c r="H3797" s="7" t="n">
        <f aca="false">IFERROR(INDEX('Semrush Data'!$A$1:$Z$20000,MATCH(A3797,'Semrush Data'!$A$1:$A$20000,0),MATCH("Keyword Difficulty*",'Semrush Data'!$A$1:$Z$1,0)),"")</f>
        <v>25</v>
      </c>
      <c r="I3797" s="13" t="n">
        <f aca="false">IFERROR(INDEX('Semrush Data'!$A$1:$Z$20000,MATCH(A3797,'Semrush Data'!$A$1:$A$20000,0),MATCH("CPC*",'Semrush Data'!$A$1:$Z$1,0)),"")</f>
        <v>0</v>
      </c>
      <c r="J3797" s="7" t="str">
        <f aca="false">IFERROR(INDEX('Semrush Data'!$A$1:$Z$20000,MATCH(A3797,'Semrush Data'!$A$1:$A$20000,0),MATCH("Intent",'Semrush Data'!$A$1:$Z$1,0)),"")</f>
        <v>Informational</v>
      </c>
    </row>
    <row r="3798" customFormat="false" ht="15" hidden="false" customHeight="true" outlineLevel="0" collapsed="false">
      <c r="A3798" s="7" t="s">
        <v>7916</v>
      </c>
      <c r="B3798" s="7" t="s">
        <v>186</v>
      </c>
      <c r="C3798" s="7" t="n">
        <v>2</v>
      </c>
      <c r="D3798" s="7" t="s">
        <v>6816</v>
      </c>
      <c r="E3798" s="7" t="n">
        <v>0</v>
      </c>
      <c r="F3798" s="7"/>
      <c r="G3798" s="12" t="n">
        <f aca="false">IFERROR(INDEX('Semrush Data'!$A$1:$Z$20000,MATCH(A3798,'Semrush Data'!$A$1:$A$20000,0),MATCH("Volume",'Semrush Data'!$A$1:$Z$1,0)),"")</f>
        <v>140</v>
      </c>
      <c r="H3798" s="7" t="n">
        <f aca="false">IFERROR(INDEX('Semrush Data'!$A$1:$Z$20000,MATCH(A3798,'Semrush Data'!$A$1:$A$20000,0),MATCH("Keyword Difficulty*",'Semrush Data'!$A$1:$Z$1,0)),"")</f>
        <v>9</v>
      </c>
      <c r="I3798" s="13" t="n">
        <f aca="false">IFERROR(INDEX('Semrush Data'!$A$1:$Z$20000,MATCH(A3798,'Semrush Data'!$A$1:$A$20000,0),MATCH("CPC*",'Semrush Data'!$A$1:$Z$1,0)),"")</f>
        <v>0</v>
      </c>
      <c r="J3798" s="7" t="str">
        <f aca="false">IFERROR(INDEX('Semrush Data'!$A$1:$Z$20000,MATCH(A3798,'Semrush Data'!$A$1:$A$20000,0),MATCH("Intent",'Semrush Data'!$A$1:$Z$1,0)),"")</f>
        <v>Informational</v>
      </c>
    </row>
    <row r="3799" customFormat="false" ht="15" hidden="false" customHeight="true" outlineLevel="0" collapsed="false">
      <c r="A3799" s="7" t="s">
        <v>216</v>
      </c>
      <c r="B3799" s="7" t="s">
        <v>186</v>
      </c>
      <c r="C3799" s="7" t="n">
        <v>2</v>
      </c>
      <c r="D3799" s="7" t="s">
        <v>6816</v>
      </c>
      <c r="E3799" s="7" t="n">
        <v>0</v>
      </c>
      <c r="F3799" s="7"/>
      <c r="G3799" s="12" t="n">
        <f aca="false">IFERROR(INDEX('Semrush Data'!$A$1:$Z$20000,MATCH(A3799,'Semrush Data'!$A$1:$A$20000,0),MATCH("Volume",'Semrush Data'!$A$1:$Z$1,0)),"")</f>
        <v>1900</v>
      </c>
      <c r="H3799" s="7" t="n">
        <f aca="false">IFERROR(INDEX('Semrush Data'!$A$1:$Z$20000,MATCH(A3799,'Semrush Data'!$A$1:$A$20000,0),MATCH("Keyword Difficulty*",'Semrush Data'!$A$1:$Z$1,0)),"")</f>
        <v>22</v>
      </c>
      <c r="I3799" s="13" t="n">
        <f aca="false">IFERROR(INDEX('Semrush Data'!$A$1:$Z$20000,MATCH(A3799,'Semrush Data'!$A$1:$A$20000,0),MATCH("CPC*",'Semrush Data'!$A$1:$Z$1,0)),"")</f>
        <v>0.8</v>
      </c>
      <c r="J3799" s="7" t="str">
        <f aca="false">IFERROR(INDEX('Semrush Data'!$A$1:$Z$20000,MATCH(A3799,'Semrush Data'!$A$1:$A$20000,0),MATCH("Intent",'Semrush Data'!$A$1:$Z$1,0)),"")</f>
        <v>Informational</v>
      </c>
    </row>
    <row r="3800" customFormat="false" ht="15" hidden="false" customHeight="true" outlineLevel="0" collapsed="false">
      <c r="A3800" s="7" t="s">
        <v>7917</v>
      </c>
      <c r="B3800" s="7" t="s">
        <v>186</v>
      </c>
      <c r="C3800" s="7" t="n">
        <v>2</v>
      </c>
      <c r="D3800" s="7" t="s">
        <v>6816</v>
      </c>
      <c r="E3800" s="7" t="n">
        <v>0</v>
      </c>
      <c r="F3800" s="7"/>
      <c r="G3800" s="12" t="n">
        <f aca="false">IFERROR(INDEX('Semrush Data'!$A$1:$Z$20000,MATCH(A3800,'Semrush Data'!$A$1:$A$20000,0),MATCH("Volume",'Semrush Data'!$A$1:$Z$1,0)),"")</f>
        <v>590</v>
      </c>
      <c r="H3800" s="7" t="n">
        <f aca="false">IFERROR(INDEX('Semrush Data'!$A$1:$Z$20000,MATCH(A3800,'Semrush Data'!$A$1:$A$20000,0),MATCH("Keyword Difficulty*",'Semrush Data'!$A$1:$Z$1,0)),"")</f>
        <v>22</v>
      </c>
      <c r="I3800" s="13" t="n">
        <f aca="false">IFERROR(INDEX('Semrush Data'!$A$1:$Z$20000,MATCH(A3800,'Semrush Data'!$A$1:$A$20000,0),MATCH("CPC*",'Semrush Data'!$A$1:$Z$1,0)),"")</f>
        <v>0.81</v>
      </c>
      <c r="J3800" s="7" t="str">
        <f aca="false">IFERROR(INDEX('Semrush Data'!$A$1:$Z$20000,MATCH(A3800,'Semrush Data'!$A$1:$A$20000,0),MATCH("Intent",'Semrush Data'!$A$1:$Z$1,0)),"")</f>
        <v>Informational</v>
      </c>
    </row>
    <row r="3801" customFormat="false" ht="15" hidden="false" customHeight="true" outlineLevel="0" collapsed="false">
      <c r="A3801" s="7" t="s">
        <v>7918</v>
      </c>
      <c r="B3801" s="7" t="s">
        <v>186</v>
      </c>
      <c r="C3801" s="7" t="n">
        <v>2</v>
      </c>
      <c r="D3801" s="7" t="s">
        <v>7919</v>
      </c>
      <c r="E3801" s="7" t="n">
        <v>0</v>
      </c>
      <c r="F3801" s="7"/>
      <c r="G3801" s="12" t="n">
        <f aca="false">IFERROR(INDEX('Semrush Data'!$A$1:$Z$20000,MATCH(A3801,'Semrush Data'!$A$1:$A$20000,0),MATCH("Volume",'Semrush Data'!$A$1:$Z$1,0)),"")</f>
        <v>390</v>
      </c>
      <c r="H3801" s="7" t="n">
        <f aca="false">IFERROR(INDEX('Semrush Data'!$A$1:$Z$20000,MATCH(A3801,'Semrush Data'!$A$1:$A$20000,0),MATCH("Keyword Difficulty*",'Semrush Data'!$A$1:$Z$1,0)),"")</f>
        <v>22</v>
      </c>
      <c r="I3801" s="13" t="n">
        <f aca="false">IFERROR(INDEX('Semrush Data'!$A$1:$Z$20000,MATCH(A3801,'Semrush Data'!$A$1:$A$20000,0),MATCH("CPC*",'Semrush Data'!$A$1:$Z$1,0)),"")</f>
        <v>0.94</v>
      </c>
      <c r="J3801" s="7" t="str">
        <f aca="false">IFERROR(INDEX('Semrush Data'!$A$1:$Z$20000,MATCH(A3801,'Semrush Data'!$A$1:$A$20000,0),MATCH("Intent",'Semrush Data'!$A$1:$Z$1,0)),"")</f>
        <v>Informational</v>
      </c>
    </row>
    <row r="3802" customFormat="false" ht="15" hidden="false" customHeight="true" outlineLevel="0" collapsed="false">
      <c r="A3802" s="7" t="s">
        <v>7920</v>
      </c>
      <c r="B3802" s="7" t="s">
        <v>186</v>
      </c>
      <c r="C3802" s="7" t="n">
        <v>2</v>
      </c>
      <c r="D3802" s="7" t="s">
        <v>7919</v>
      </c>
      <c r="E3802" s="7" t="n">
        <v>0</v>
      </c>
      <c r="F3802" s="7"/>
      <c r="G3802" s="12" t="n">
        <f aca="false">IFERROR(INDEX('Semrush Data'!$A$1:$Z$20000,MATCH(A3802,'Semrush Data'!$A$1:$A$20000,0),MATCH("Volume",'Semrush Data'!$A$1:$Z$1,0)),"")</f>
        <v>390</v>
      </c>
      <c r="H3802" s="7" t="n">
        <f aca="false">IFERROR(INDEX('Semrush Data'!$A$1:$Z$20000,MATCH(A3802,'Semrush Data'!$A$1:$A$20000,0),MATCH("Keyword Difficulty*",'Semrush Data'!$A$1:$Z$1,0)),"")</f>
        <v>55</v>
      </c>
      <c r="I3802" s="13" t="n">
        <f aca="false">IFERROR(INDEX('Semrush Data'!$A$1:$Z$20000,MATCH(A3802,'Semrush Data'!$A$1:$A$20000,0),MATCH("CPC*",'Semrush Data'!$A$1:$Z$1,0)),"")</f>
        <v>0.64</v>
      </c>
      <c r="J3802" s="7" t="str">
        <f aca="false">IFERROR(INDEX('Semrush Data'!$A$1:$Z$20000,MATCH(A3802,'Semrush Data'!$A$1:$A$20000,0),MATCH("Intent",'Semrush Data'!$A$1:$Z$1,0)),"")</f>
        <v>Informational</v>
      </c>
    </row>
    <row r="3803" customFormat="false" ht="15" hidden="false" customHeight="true" outlineLevel="0" collapsed="false">
      <c r="A3803" s="7" t="s">
        <v>7921</v>
      </c>
      <c r="B3803" s="7" t="s">
        <v>186</v>
      </c>
      <c r="C3803" s="7" t="n">
        <v>2</v>
      </c>
      <c r="D3803" s="7" t="s">
        <v>7919</v>
      </c>
      <c r="E3803" s="7" t="n">
        <v>0</v>
      </c>
      <c r="F3803" s="7"/>
      <c r="G3803" s="12" t="n">
        <f aca="false">IFERROR(INDEX('Semrush Data'!$A$1:$Z$20000,MATCH(A3803,'Semrush Data'!$A$1:$A$20000,0),MATCH("Volume",'Semrush Data'!$A$1:$Z$1,0)),"")</f>
        <v>590</v>
      </c>
      <c r="H3803" s="7" t="n">
        <f aca="false">IFERROR(INDEX('Semrush Data'!$A$1:$Z$20000,MATCH(A3803,'Semrush Data'!$A$1:$A$20000,0),MATCH("Keyword Difficulty*",'Semrush Data'!$A$1:$Z$1,0)),"")</f>
        <v>22</v>
      </c>
      <c r="I3803" s="13" t="n">
        <f aca="false">IFERROR(INDEX('Semrush Data'!$A$1:$Z$20000,MATCH(A3803,'Semrush Data'!$A$1:$A$20000,0),MATCH("CPC*",'Semrush Data'!$A$1:$Z$1,0)),"")</f>
        <v>0.4</v>
      </c>
      <c r="J3803" s="7" t="str">
        <f aca="false">IFERROR(INDEX('Semrush Data'!$A$1:$Z$20000,MATCH(A3803,'Semrush Data'!$A$1:$A$20000,0),MATCH("Intent",'Semrush Data'!$A$1:$Z$1,0)),"")</f>
        <v>Commercial</v>
      </c>
    </row>
    <row r="3804" customFormat="false" ht="15" hidden="false" customHeight="true" outlineLevel="0" collapsed="false">
      <c r="A3804" s="7" t="s">
        <v>197</v>
      </c>
      <c r="B3804" s="7" t="s">
        <v>186</v>
      </c>
      <c r="C3804" s="7" t="n">
        <v>2</v>
      </c>
      <c r="D3804" s="7" t="s">
        <v>7919</v>
      </c>
      <c r="E3804" s="7" t="n">
        <v>0</v>
      </c>
      <c r="F3804" s="7"/>
      <c r="G3804" s="12" t="n">
        <f aca="false">IFERROR(INDEX('Semrush Data'!$A$1:$Z$20000,MATCH(A3804,'Semrush Data'!$A$1:$A$20000,0),MATCH("Volume",'Semrush Data'!$A$1:$Z$1,0)),"")</f>
        <v>6600</v>
      </c>
      <c r="H3804" s="7" t="n">
        <f aca="false">IFERROR(INDEX('Semrush Data'!$A$1:$Z$20000,MATCH(A3804,'Semrush Data'!$A$1:$A$20000,0),MATCH("Keyword Difficulty*",'Semrush Data'!$A$1:$Z$1,0)),"")</f>
        <v>12</v>
      </c>
      <c r="I3804" s="13" t="n">
        <f aca="false">IFERROR(INDEX('Semrush Data'!$A$1:$Z$20000,MATCH(A3804,'Semrush Data'!$A$1:$A$20000,0),MATCH("CPC*",'Semrush Data'!$A$1:$Z$1,0)),"")</f>
        <v>0.76</v>
      </c>
      <c r="J3804" s="7" t="str">
        <f aca="false">IFERROR(INDEX('Semrush Data'!$A$1:$Z$20000,MATCH(A3804,'Semrush Data'!$A$1:$A$20000,0),MATCH("Intent",'Semrush Data'!$A$1:$Z$1,0)),"")</f>
        <v>Informational Transactional</v>
      </c>
    </row>
    <row r="3805" customFormat="false" ht="15" hidden="false" customHeight="true" outlineLevel="0" collapsed="false">
      <c r="A3805" s="7" t="s">
        <v>7922</v>
      </c>
      <c r="B3805" s="7" t="s">
        <v>186</v>
      </c>
      <c r="C3805" s="7" t="n">
        <v>2</v>
      </c>
      <c r="D3805" s="7" t="s">
        <v>7919</v>
      </c>
      <c r="E3805" s="7" t="n">
        <v>0</v>
      </c>
      <c r="F3805" s="7"/>
      <c r="G3805" s="12" t="n">
        <f aca="false">IFERROR(INDEX('Semrush Data'!$A$1:$Z$20000,MATCH(A3805,'Semrush Data'!$A$1:$A$20000,0),MATCH("Volume",'Semrush Data'!$A$1:$Z$1,0)),"")</f>
        <v>210</v>
      </c>
      <c r="H3805" s="7" t="n">
        <f aca="false">IFERROR(INDEX('Semrush Data'!$A$1:$Z$20000,MATCH(A3805,'Semrush Data'!$A$1:$A$20000,0),MATCH("Keyword Difficulty*",'Semrush Data'!$A$1:$Z$1,0)),"")</f>
        <v>11</v>
      </c>
      <c r="I3805" s="13" t="n">
        <f aca="false">IFERROR(INDEX('Semrush Data'!$A$1:$Z$20000,MATCH(A3805,'Semrush Data'!$A$1:$A$20000,0),MATCH("CPC*",'Semrush Data'!$A$1:$Z$1,0)),"")</f>
        <v>0.67</v>
      </c>
      <c r="J3805" s="7" t="str">
        <f aca="false">IFERROR(INDEX('Semrush Data'!$A$1:$Z$20000,MATCH(A3805,'Semrush Data'!$A$1:$A$20000,0),MATCH("Intent",'Semrush Data'!$A$1:$Z$1,0)),"")</f>
        <v>Informational</v>
      </c>
    </row>
    <row r="3806" customFormat="false" ht="15" hidden="false" customHeight="true" outlineLevel="0" collapsed="false">
      <c r="A3806" s="7" t="s">
        <v>7923</v>
      </c>
      <c r="B3806" s="7" t="s">
        <v>186</v>
      </c>
      <c r="C3806" s="7" t="n">
        <v>2</v>
      </c>
      <c r="D3806" s="7" t="s">
        <v>7919</v>
      </c>
      <c r="E3806" s="7" t="n">
        <v>0</v>
      </c>
      <c r="F3806" s="7"/>
      <c r="G3806" s="12" t="n">
        <f aca="false">IFERROR(INDEX('Semrush Data'!$A$1:$Z$20000,MATCH(A3806,'Semrush Data'!$A$1:$A$20000,0),MATCH("Volume",'Semrush Data'!$A$1:$Z$1,0)),"")</f>
        <v>480</v>
      </c>
      <c r="H3806" s="7" t="n">
        <f aca="false">IFERROR(INDEX('Semrush Data'!$A$1:$Z$20000,MATCH(A3806,'Semrush Data'!$A$1:$A$20000,0),MATCH("Keyword Difficulty*",'Semrush Data'!$A$1:$Z$1,0)),"")</f>
        <v>19</v>
      </c>
      <c r="I3806" s="13" t="n">
        <f aca="false">IFERROR(INDEX('Semrush Data'!$A$1:$Z$20000,MATCH(A3806,'Semrush Data'!$A$1:$A$20000,0),MATCH("CPC*",'Semrush Data'!$A$1:$Z$1,0)),"")</f>
        <v>0.46</v>
      </c>
      <c r="J3806" s="7" t="str">
        <f aca="false">IFERROR(INDEX('Semrush Data'!$A$1:$Z$20000,MATCH(A3806,'Semrush Data'!$A$1:$A$20000,0),MATCH("Intent",'Semrush Data'!$A$1:$Z$1,0)),"")</f>
        <v>Informational</v>
      </c>
    </row>
    <row r="3807" customFormat="false" ht="15" hidden="false" customHeight="true" outlineLevel="0" collapsed="false">
      <c r="A3807" s="7" t="s">
        <v>200</v>
      </c>
      <c r="B3807" s="7" t="s">
        <v>186</v>
      </c>
      <c r="C3807" s="7" t="n">
        <v>2</v>
      </c>
      <c r="D3807" s="7" t="s">
        <v>7919</v>
      </c>
      <c r="E3807" s="7" t="n">
        <v>0</v>
      </c>
      <c r="F3807" s="7"/>
      <c r="G3807" s="12" t="n">
        <f aca="false">IFERROR(INDEX('Semrush Data'!$A$1:$Z$20000,MATCH(A3807,'Semrush Data'!$A$1:$A$20000,0),MATCH("Volume",'Semrush Data'!$A$1:$Z$1,0)),"")</f>
        <v>5400</v>
      </c>
      <c r="H3807" s="7" t="n">
        <f aca="false">IFERROR(INDEX('Semrush Data'!$A$1:$Z$20000,MATCH(A3807,'Semrush Data'!$A$1:$A$20000,0),MATCH("Keyword Difficulty*",'Semrush Data'!$A$1:$Z$1,0)),"")</f>
        <v>22</v>
      </c>
      <c r="I3807" s="13" t="n">
        <f aca="false">IFERROR(INDEX('Semrush Data'!$A$1:$Z$20000,MATCH(A3807,'Semrush Data'!$A$1:$A$20000,0),MATCH("CPC*",'Semrush Data'!$A$1:$Z$1,0)),"")</f>
        <v>0.81</v>
      </c>
      <c r="J3807" s="7" t="str">
        <f aca="false">IFERROR(INDEX('Semrush Data'!$A$1:$Z$20000,MATCH(A3807,'Semrush Data'!$A$1:$A$20000,0),MATCH("Intent",'Semrush Data'!$A$1:$Z$1,0)),"")</f>
        <v>Informational Transactional</v>
      </c>
    </row>
    <row r="3808" customFormat="false" ht="15" hidden="false" customHeight="true" outlineLevel="0" collapsed="false">
      <c r="A3808" s="7" t="s">
        <v>227</v>
      </c>
      <c r="B3808" s="7" t="s">
        <v>186</v>
      </c>
      <c r="C3808" s="7" t="n">
        <v>2</v>
      </c>
      <c r="D3808" s="7" t="s">
        <v>7919</v>
      </c>
      <c r="E3808" s="7" t="n">
        <v>0</v>
      </c>
      <c r="F3808" s="7"/>
      <c r="G3808" s="12" t="n">
        <f aca="false">IFERROR(INDEX('Semrush Data'!$A$1:$Z$20000,MATCH(A3808,'Semrush Data'!$A$1:$A$20000,0),MATCH("Volume",'Semrush Data'!$A$1:$Z$1,0)),"")</f>
        <v>1000</v>
      </c>
      <c r="H3808" s="7" t="n">
        <f aca="false">IFERROR(INDEX('Semrush Data'!$A$1:$Z$20000,MATCH(A3808,'Semrush Data'!$A$1:$A$20000,0),MATCH("Keyword Difficulty*",'Semrush Data'!$A$1:$Z$1,0)),"")</f>
        <v>28</v>
      </c>
      <c r="I3808" s="13" t="n">
        <f aca="false">IFERROR(INDEX('Semrush Data'!$A$1:$Z$20000,MATCH(A3808,'Semrush Data'!$A$1:$A$20000,0),MATCH("CPC*",'Semrush Data'!$A$1:$Z$1,0)),"")</f>
        <v>1.63</v>
      </c>
      <c r="J3808" s="7" t="str">
        <f aca="false">IFERROR(INDEX('Semrush Data'!$A$1:$Z$20000,MATCH(A3808,'Semrush Data'!$A$1:$A$20000,0),MATCH("Intent",'Semrush Data'!$A$1:$Z$1,0)),"")</f>
        <v>Informational Commercial</v>
      </c>
    </row>
    <row r="3809" customFormat="false" ht="15" hidden="false" customHeight="true" outlineLevel="0" collapsed="false">
      <c r="A3809" s="7" t="s">
        <v>212</v>
      </c>
      <c r="B3809" s="7" t="s">
        <v>186</v>
      </c>
      <c r="C3809" s="7" t="n">
        <v>2</v>
      </c>
      <c r="D3809" s="7" t="s">
        <v>7919</v>
      </c>
      <c r="E3809" s="7" t="n">
        <v>0</v>
      </c>
      <c r="F3809" s="7"/>
      <c r="G3809" s="12" t="n">
        <f aca="false">IFERROR(INDEX('Semrush Data'!$A$1:$Z$20000,MATCH(A3809,'Semrush Data'!$A$1:$A$20000,0),MATCH("Volume",'Semrush Data'!$A$1:$Z$1,0)),"")</f>
        <v>2900</v>
      </c>
      <c r="H3809" s="7" t="n">
        <f aca="false">IFERROR(INDEX('Semrush Data'!$A$1:$Z$20000,MATCH(A3809,'Semrush Data'!$A$1:$A$20000,0),MATCH("Keyword Difficulty*",'Semrush Data'!$A$1:$Z$1,0)),"")</f>
        <v>20</v>
      </c>
      <c r="I3809" s="13" t="n">
        <f aca="false">IFERROR(INDEX('Semrush Data'!$A$1:$Z$20000,MATCH(A3809,'Semrush Data'!$A$1:$A$20000,0),MATCH("CPC*",'Semrush Data'!$A$1:$Z$1,0)),"")</f>
        <v>0.94</v>
      </c>
      <c r="J3809" s="7" t="str">
        <f aca="false">IFERROR(INDEX('Semrush Data'!$A$1:$Z$20000,MATCH(A3809,'Semrush Data'!$A$1:$A$20000,0),MATCH("Intent",'Semrush Data'!$A$1:$Z$1,0)),"")</f>
        <v>Informational</v>
      </c>
    </row>
    <row r="3810" customFormat="false" ht="15" hidden="false" customHeight="true" outlineLevel="0" collapsed="false">
      <c r="A3810" s="7" t="s">
        <v>7924</v>
      </c>
      <c r="B3810" s="7" t="s">
        <v>186</v>
      </c>
      <c r="C3810" s="7" t="n">
        <v>2</v>
      </c>
      <c r="D3810" s="7" t="s">
        <v>7919</v>
      </c>
      <c r="E3810" s="7" t="n">
        <v>0</v>
      </c>
      <c r="F3810" s="7"/>
      <c r="G3810" s="12" t="n">
        <f aca="false">IFERROR(INDEX('Semrush Data'!$A$1:$Z$20000,MATCH(A3810,'Semrush Data'!$A$1:$A$20000,0),MATCH("Volume",'Semrush Data'!$A$1:$Z$1,0)),"")</f>
        <v>110</v>
      </c>
      <c r="H3810" s="7" t="n">
        <f aca="false">IFERROR(INDEX('Semrush Data'!$A$1:$Z$20000,MATCH(A3810,'Semrush Data'!$A$1:$A$20000,0),MATCH("Keyword Difficulty*",'Semrush Data'!$A$1:$Z$1,0)),"")</f>
        <v>21</v>
      </c>
      <c r="I3810" s="13" t="n">
        <f aca="false">IFERROR(INDEX('Semrush Data'!$A$1:$Z$20000,MATCH(A3810,'Semrush Data'!$A$1:$A$20000,0),MATCH("CPC*",'Semrush Data'!$A$1:$Z$1,0)),"")</f>
        <v>0.23</v>
      </c>
      <c r="J3810" s="7" t="str">
        <f aca="false">IFERROR(INDEX('Semrush Data'!$A$1:$Z$20000,MATCH(A3810,'Semrush Data'!$A$1:$A$20000,0),MATCH("Intent",'Semrush Data'!$A$1:$Z$1,0)),"")</f>
        <v>Informational</v>
      </c>
    </row>
    <row r="3811" customFormat="false" ht="15" hidden="false" customHeight="true" outlineLevel="0" collapsed="false">
      <c r="A3811" s="7" t="s">
        <v>213</v>
      </c>
      <c r="B3811" s="7" t="s">
        <v>186</v>
      </c>
      <c r="C3811" s="7" t="n">
        <v>2</v>
      </c>
      <c r="D3811" s="7" t="s">
        <v>7919</v>
      </c>
      <c r="E3811" s="7" t="n">
        <v>0</v>
      </c>
      <c r="F3811" s="7"/>
      <c r="G3811" s="12" t="n">
        <f aca="false">IFERROR(INDEX('Semrush Data'!$A$1:$Z$20000,MATCH(A3811,'Semrush Data'!$A$1:$A$20000,0),MATCH("Volume",'Semrush Data'!$A$1:$Z$1,0)),"")</f>
        <v>2400</v>
      </c>
      <c r="H3811" s="7" t="n">
        <f aca="false">IFERROR(INDEX('Semrush Data'!$A$1:$Z$20000,MATCH(A3811,'Semrush Data'!$A$1:$A$20000,0),MATCH("Keyword Difficulty*",'Semrush Data'!$A$1:$Z$1,0)),"")</f>
        <v>23</v>
      </c>
      <c r="I3811" s="13" t="n">
        <f aca="false">IFERROR(INDEX('Semrush Data'!$A$1:$Z$20000,MATCH(A3811,'Semrush Data'!$A$1:$A$20000,0),MATCH("CPC*",'Semrush Data'!$A$1:$Z$1,0)),"")</f>
        <v>0.54</v>
      </c>
      <c r="J3811" s="7" t="str">
        <f aca="false">IFERROR(INDEX('Semrush Data'!$A$1:$Z$20000,MATCH(A3811,'Semrush Data'!$A$1:$A$20000,0),MATCH("Intent",'Semrush Data'!$A$1:$Z$1,0)),"")</f>
        <v>Informational</v>
      </c>
    </row>
    <row r="3812" customFormat="false" ht="15" hidden="false" customHeight="true" outlineLevel="0" collapsed="false">
      <c r="A3812" s="7" t="s">
        <v>206</v>
      </c>
      <c r="B3812" s="7" t="s">
        <v>186</v>
      </c>
      <c r="C3812" s="7" t="n">
        <v>2</v>
      </c>
      <c r="D3812" s="7" t="s">
        <v>7919</v>
      </c>
      <c r="E3812" s="7" t="n">
        <v>0</v>
      </c>
      <c r="F3812" s="7"/>
      <c r="G3812" s="12" t="n">
        <f aca="false">IFERROR(INDEX('Semrush Data'!$A$1:$Z$20000,MATCH(A3812,'Semrush Data'!$A$1:$A$20000,0),MATCH("Volume",'Semrush Data'!$A$1:$Z$1,0)),"")</f>
        <v>3600</v>
      </c>
      <c r="H3812" s="7" t="n">
        <f aca="false">IFERROR(INDEX('Semrush Data'!$A$1:$Z$20000,MATCH(A3812,'Semrush Data'!$A$1:$A$20000,0),MATCH("Keyword Difficulty*",'Semrush Data'!$A$1:$Z$1,0)),"")</f>
        <v>37</v>
      </c>
      <c r="I3812" s="13" t="n">
        <f aca="false">IFERROR(INDEX('Semrush Data'!$A$1:$Z$20000,MATCH(A3812,'Semrush Data'!$A$1:$A$20000,0),MATCH("CPC*",'Semrush Data'!$A$1:$Z$1,0)),"")</f>
        <v>0.32</v>
      </c>
      <c r="J3812" s="7" t="str">
        <f aca="false">IFERROR(INDEX('Semrush Data'!$A$1:$Z$20000,MATCH(A3812,'Semrush Data'!$A$1:$A$20000,0),MATCH("Intent",'Semrush Data'!$A$1:$Z$1,0)),"")</f>
        <v>Informational</v>
      </c>
    </row>
    <row r="3813" customFormat="false" ht="15" hidden="false" customHeight="true" outlineLevel="0" collapsed="false">
      <c r="A3813" s="7" t="s">
        <v>7925</v>
      </c>
      <c r="B3813" s="7" t="s">
        <v>186</v>
      </c>
      <c r="C3813" s="7" t="n">
        <v>2</v>
      </c>
      <c r="D3813" s="7" t="s">
        <v>7919</v>
      </c>
      <c r="E3813" s="7" t="n">
        <v>0</v>
      </c>
      <c r="F3813" s="7"/>
      <c r="G3813" s="12" t="n">
        <f aca="false">IFERROR(INDEX('Semrush Data'!$A$1:$Z$20000,MATCH(A3813,'Semrush Data'!$A$1:$A$20000,0),MATCH("Volume",'Semrush Data'!$A$1:$Z$1,0)),"")</f>
        <v>390</v>
      </c>
      <c r="H3813" s="7" t="n">
        <f aca="false">IFERROR(INDEX('Semrush Data'!$A$1:$Z$20000,MATCH(A3813,'Semrush Data'!$A$1:$A$20000,0),MATCH("Keyword Difficulty*",'Semrush Data'!$A$1:$Z$1,0)),"")</f>
        <v>13</v>
      </c>
      <c r="I3813" s="13" t="n">
        <f aca="false">IFERROR(INDEX('Semrush Data'!$A$1:$Z$20000,MATCH(A3813,'Semrush Data'!$A$1:$A$20000,0),MATCH("CPC*",'Semrush Data'!$A$1:$Z$1,0)),"")</f>
        <v>0.24</v>
      </c>
      <c r="J3813" s="7" t="str">
        <f aca="false">IFERROR(INDEX('Semrush Data'!$A$1:$Z$20000,MATCH(A3813,'Semrush Data'!$A$1:$A$20000,0),MATCH("Intent",'Semrush Data'!$A$1:$Z$1,0)),"")</f>
        <v>Informational</v>
      </c>
    </row>
    <row r="3814" customFormat="false" ht="15" hidden="false" customHeight="true" outlineLevel="0" collapsed="false">
      <c r="A3814" s="7" t="s">
        <v>7926</v>
      </c>
      <c r="B3814" s="7" t="s">
        <v>186</v>
      </c>
      <c r="C3814" s="7" t="n">
        <v>2</v>
      </c>
      <c r="D3814" s="7" t="s">
        <v>7919</v>
      </c>
      <c r="E3814" s="7" t="n">
        <v>0</v>
      </c>
      <c r="F3814" s="7"/>
      <c r="G3814" s="12" t="n">
        <f aca="false">IFERROR(INDEX('Semrush Data'!$A$1:$Z$20000,MATCH(A3814,'Semrush Data'!$A$1:$A$20000,0),MATCH("Volume",'Semrush Data'!$A$1:$Z$1,0)),"")</f>
        <v>20</v>
      </c>
      <c r="H3814" s="7" t="n">
        <f aca="false">IFERROR(INDEX('Semrush Data'!$A$1:$Z$20000,MATCH(A3814,'Semrush Data'!$A$1:$A$20000,0),MATCH("Keyword Difficulty*",'Semrush Data'!$A$1:$Z$1,0)),"")</f>
        <v>18</v>
      </c>
      <c r="I3814" s="13" t="n">
        <f aca="false">IFERROR(INDEX('Semrush Data'!$A$1:$Z$20000,MATCH(A3814,'Semrush Data'!$A$1:$A$20000,0),MATCH("CPC*",'Semrush Data'!$A$1:$Z$1,0)),"")</f>
        <v>1.61</v>
      </c>
      <c r="J3814" s="7" t="str">
        <f aca="false">IFERROR(INDEX('Semrush Data'!$A$1:$Z$20000,MATCH(A3814,'Semrush Data'!$A$1:$A$20000,0),MATCH("Intent",'Semrush Data'!$A$1:$Z$1,0)),"")</f>
        <v>Informational</v>
      </c>
    </row>
    <row r="3815" customFormat="false" ht="15" hidden="false" customHeight="true" outlineLevel="0" collapsed="false">
      <c r="A3815" s="7" t="s">
        <v>7927</v>
      </c>
      <c r="B3815" s="7" t="s">
        <v>186</v>
      </c>
      <c r="C3815" s="7" t="n">
        <v>2</v>
      </c>
      <c r="D3815" s="7" t="s">
        <v>7919</v>
      </c>
      <c r="E3815" s="7" t="n">
        <v>0</v>
      </c>
      <c r="F3815" s="7"/>
      <c r="G3815" s="12" t="n">
        <f aca="false">IFERROR(INDEX('Semrush Data'!$A$1:$Z$20000,MATCH(A3815,'Semrush Data'!$A$1:$A$20000,0),MATCH("Volume",'Semrush Data'!$A$1:$Z$1,0)),"")</f>
        <v>0</v>
      </c>
      <c r="H3815" s="7" t="n">
        <f aca="false">IFERROR(INDEX('Semrush Data'!$A$1:$Z$20000,MATCH(A3815,'Semrush Data'!$A$1:$A$20000,0),MATCH("Keyword Difficulty*",'Semrush Data'!$A$1:$Z$1,0)),"")</f>
        <v>31</v>
      </c>
      <c r="I3815" s="13" t="n">
        <f aca="false">IFERROR(INDEX('Semrush Data'!$A$1:$Z$20000,MATCH(A3815,'Semrush Data'!$A$1:$A$20000,0),MATCH("CPC*",'Semrush Data'!$A$1:$Z$1,0)),"")</f>
        <v>0</v>
      </c>
      <c r="J3815" s="7" t="str">
        <f aca="false">IFERROR(INDEX('Semrush Data'!$A$1:$Z$20000,MATCH(A3815,'Semrush Data'!$A$1:$A$20000,0),MATCH("Intent",'Semrush Data'!$A$1:$Z$1,0)),"")</f>
        <v>Commercial</v>
      </c>
    </row>
    <row r="3816" customFormat="false" ht="15" hidden="false" customHeight="true" outlineLevel="0" collapsed="false">
      <c r="A3816" s="7" t="s">
        <v>7928</v>
      </c>
      <c r="B3816" s="7" t="s">
        <v>186</v>
      </c>
      <c r="C3816" s="7" t="n">
        <v>2</v>
      </c>
      <c r="D3816" s="7" t="s">
        <v>7919</v>
      </c>
      <c r="E3816" s="7" t="n">
        <v>0</v>
      </c>
      <c r="F3816" s="7"/>
      <c r="G3816" s="12" t="n">
        <f aca="false">IFERROR(INDEX('Semrush Data'!$A$1:$Z$20000,MATCH(A3816,'Semrush Data'!$A$1:$A$20000,0),MATCH("Volume",'Semrush Data'!$A$1:$Z$1,0)),"")</f>
        <v>0</v>
      </c>
      <c r="H3816" s="7" t="n">
        <f aca="false">IFERROR(INDEX('Semrush Data'!$A$1:$Z$20000,MATCH(A3816,'Semrush Data'!$A$1:$A$20000,0),MATCH("Keyword Difficulty*",'Semrush Data'!$A$1:$Z$1,0)),"")</f>
        <v>33</v>
      </c>
      <c r="I3816" s="13" t="n">
        <f aca="false">IFERROR(INDEX('Semrush Data'!$A$1:$Z$20000,MATCH(A3816,'Semrush Data'!$A$1:$A$20000,0),MATCH("CPC*",'Semrush Data'!$A$1:$Z$1,0)),"")</f>
        <v>0</v>
      </c>
      <c r="J3816" s="7" t="str">
        <f aca="false">IFERROR(INDEX('Semrush Data'!$A$1:$Z$20000,MATCH(A3816,'Semrush Data'!$A$1:$A$20000,0),MATCH("Intent",'Semrush Data'!$A$1:$Z$1,0)),"")</f>
        <v>Informational Commercial</v>
      </c>
    </row>
    <row r="3817" customFormat="false" ht="15" hidden="false" customHeight="true" outlineLevel="0" collapsed="false">
      <c r="A3817" s="7" t="s">
        <v>7929</v>
      </c>
      <c r="B3817" s="7" t="s">
        <v>186</v>
      </c>
      <c r="C3817" s="7" t="n">
        <v>2</v>
      </c>
      <c r="D3817" s="7" t="s">
        <v>7919</v>
      </c>
      <c r="E3817" s="7" t="n">
        <v>0</v>
      </c>
      <c r="F3817" s="7"/>
      <c r="G3817" s="12" t="n">
        <f aca="false">IFERROR(INDEX('Semrush Data'!$A$1:$Z$20000,MATCH(A3817,'Semrush Data'!$A$1:$A$20000,0),MATCH("Volume",'Semrush Data'!$A$1:$Z$1,0)),"")</f>
        <v>140</v>
      </c>
      <c r="H3817" s="7" t="n">
        <f aca="false">IFERROR(INDEX('Semrush Data'!$A$1:$Z$20000,MATCH(A3817,'Semrush Data'!$A$1:$A$20000,0),MATCH("Keyword Difficulty*",'Semrush Data'!$A$1:$Z$1,0)),"")</f>
        <v>15</v>
      </c>
      <c r="I3817" s="13" t="n">
        <f aca="false">IFERROR(INDEX('Semrush Data'!$A$1:$Z$20000,MATCH(A3817,'Semrush Data'!$A$1:$A$20000,0),MATCH("CPC*",'Semrush Data'!$A$1:$Z$1,0)),"")</f>
        <v>0.89</v>
      </c>
      <c r="J3817" s="7" t="str">
        <f aca="false">IFERROR(INDEX('Semrush Data'!$A$1:$Z$20000,MATCH(A3817,'Semrush Data'!$A$1:$A$20000,0),MATCH("Intent",'Semrush Data'!$A$1:$Z$1,0)),"")</f>
        <v>Informational</v>
      </c>
    </row>
    <row r="3818" customFormat="false" ht="15" hidden="false" customHeight="true" outlineLevel="0" collapsed="false">
      <c r="A3818" s="7" t="s">
        <v>7930</v>
      </c>
      <c r="B3818" s="7" t="s">
        <v>186</v>
      </c>
      <c r="C3818" s="7" t="n">
        <v>2</v>
      </c>
      <c r="D3818" s="7" t="s">
        <v>7919</v>
      </c>
      <c r="E3818" s="7" t="n">
        <v>0</v>
      </c>
      <c r="F3818" s="7"/>
      <c r="G3818" s="12" t="n">
        <f aca="false">IFERROR(INDEX('Semrush Data'!$A$1:$Z$20000,MATCH(A3818,'Semrush Data'!$A$1:$A$20000,0),MATCH("Volume",'Semrush Data'!$A$1:$Z$1,0)),"")</f>
        <v>20</v>
      </c>
      <c r="H3818" s="7" t="n">
        <f aca="false">IFERROR(INDEX('Semrush Data'!$A$1:$Z$20000,MATCH(A3818,'Semrush Data'!$A$1:$A$20000,0),MATCH("Keyword Difficulty*",'Semrush Data'!$A$1:$Z$1,0)),"")</f>
        <v>5</v>
      </c>
      <c r="I3818" s="13" t="n">
        <f aca="false">IFERROR(INDEX('Semrush Data'!$A$1:$Z$20000,MATCH(A3818,'Semrush Data'!$A$1:$A$20000,0),MATCH("CPC*",'Semrush Data'!$A$1:$Z$1,0)),"")</f>
        <v>0.88</v>
      </c>
      <c r="J3818" s="7" t="str">
        <f aca="false">IFERROR(INDEX('Semrush Data'!$A$1:$Z$20000,MATCH(A3818,'Semrush Data'!$A$1:$A$20000,0),MATCH("Intent",'Semrush Data'!$A$1:$Z$1,0)),"")</f>
        <v>Informational Transactional</v>
      </c>
    </row>
    <row r="3819" customFormat="false" ht="15" hidden="false" customHeight="true" outlineLevel="0" collapsed="false">
      <c r="A3819" s="7" t="s">
        <v>7931</v>
      </c>
      <c r="B3819" s="7" t="s">
        <v>186</v>
      </c>
      <c r="C3819" s="7" t="n">
        <v>2</v>
      </c>
      <c r="D3819" s="7" t="s">
        <v>7919</v>
      </c>
      <c r="E3819" s="7" t="n">
        <v>0</v>
      </c>
      <c r="F3819" s="7"/>
      <c r="G3819" s="12" t="n">
        <f aca="false">IFERROR(INDEX('Semrush Data'!$A$1:$Z$20000,MATCH(A3819,'Semrush Data'!$A$1:$A$20000,0),MATCH("Volume",'Semrush Data'!$A$1:$Z$1,0)),"")</f>
        <v>390</v>
      </c>
      <c r="H3819" s="7" t="n">
        <f aca="false">IFERROR(INDEX('Semrush Data'!$A$1:$Z$20000,MATCH(A3819,'Semrush Data'!$A$1:$A$20000,0),MATCH("Keyword Difficulty*",'Semrush Data'!$A$1:$Z$1,0)),"")</f>
        <v>10</v>
      </c>
      <c r="I3819" s="13" t="n">
        <f aca="false">IFERROR(INDEX('Semrush Data'!$A$1:$Z$20000,MATCH(A3819,'Semrush Data'!$A$1:$A$20000,0),MATCH("CPC*",'Semrush Data'!$A$1:$Z$1,0)),"")</f>
        <v>0.49</v>
      </c>
      <c r="J3819" s="7" t="str">
        <f aca="false">IFERROR(INDEX('Semrush Data'!$A$1:$Z$20000,MATCH(A3819,'Semrush Data'!$A$1:$A$20000,0),MATCH("Intent",'Semrush Data'!$A$1:$Z$1,0)),"")</f>
        <v>Informational</v>
      </c>
    </row>
    <row r="3820" customFormat="false" ht="15" hidden="false" customHeight="true" outlineLevel="0" collapsed="false">
      <c r="A3820" s="7" t="s">
        <v>194</v>
      </c>
      <c r="B3820" s="7" t="s">
        <v>186</v>
      </c>
      <c r="C3820" s="7" t="n">
        <v>2</v>
      </c>
      <c r="D3820" s="7" t="s">
        <v>7919</v>
      </c>
      <c r="E3820" s="7" t="n">
        <v>0</v>
      </c>
      <c r="F3820" s="7"/>
      <c r="G3820" s="12" t="n">
        <f aca="false">IFERROR(INDEX('Semrush Data'!$A$1:$Z$20000,MATCH(A3820,'Semrush Data'!$A$1:$A$20000,0),MATCH("Volume",'Semrush Data'!$A$1:$Z$1,0)),"")</f>
        <v>9900</v>
      </c>
      <c r="H3820" s="7" t="n">
        <f aca="false">IFERROR(INDEX('Semrush Data'!$A$1:$Z$20000,MATCH(A3820,'Semrush Data'!$A$1:$A$20000,0),MATCH("Keyword Difficulty*",'Semrush Data'!$A$1:$Z$1,0)),"")</f>
        <v>22</v>
      </c>
      <c r="I3820" s="13" t="n">
        <f aca="false">IFERROR(INDEX('Semrush Data'!$A$1:$Z$20000,MATCH(A3820,'Semrush Data'!$A$1:$A$20000,0),MATCH("CPC*",'Semrush Data'!$A$1:$Z$1,0)),"")</f>
        <v>0.78</v>
      </c>
      <c r="J3820" s="7" t="str">
        <f aca="false">IFERROR(INDEX('Semrush Data'!$A$1:$Z$20000,MATCH(A3820,'Semrush Data'!$A$1:$A$20000,0),MATCH("Intent",'Semrush Data'!$A$1:$Z$1,0)),"")</f>
        <v>Informational</v>
      </c>
    </row>
    <row r="3821" customFormat="false" ht="15" hidden="false" customHeight="true" outlineLevel="0" collapsed="false">
      <c r="A3821" s="7" t="s">
        <v>195</v>
      </c>
      <c r="B3821" s="7" t="s">
        <v>186</v>
      </c>
      <c r="C3821" s="7" t="n">
        <v>2</v>
      </c>
      <c r="D3821" s="7" t="s">
        <v>7919</v>
      </c>
      <c r="E3821" s="7" t="n">
        <v>0</v>
      </c>
      <c r="F3821" s="7"/>
      <c r="G3821" s="12" t="n">
        <f aca="false">IFERROR(INDEX('Semrush Data'!$A$1:$Z$20000,MATCH(A3821,'Semrush Data'!$A$1:$A$20000,0),MATCH("Volume",'Semrush Data'!$A$1:$Z$1,0)),"")</f>
        <v>8100</v>
      </c>
      <c r="H3821" s="7" t="n">
        <f aca="false">IFERROR(INDEX('Semrush Data'!$A$1:$Z$20000,MATCH(A3821,'Semrush Data'!$A$1:$A$20000,0),MATCH("Keyword Difficulty*",'Semrush Data'!$A$1:$Z$1,0)),"")</f>
        <v>31</v>
      </c>
      <c r="I3821" s="13" t="n">
        <f aca="false">IFERROR(INDEX('Semrush Data'!$A$1:$Z$20000,MATCH(A3821,'Semrush Data'!$A$1:$A$20000,0),MATCH("CPC*",'Semrush Data'!$A$1:$Z$1,0)),"")</f>
        <v>0.76</v>
      </c>
      <c r="J3821" s="7" t="str">
        <f aca="false">IFERROR(INDEX('Semrush Data'!$A$1:$Z$20000,MATCH(A3821,'Semrush Data'!$A$1:$A$20000,0),MATCH("Intent",'Semrush Data'!$A$1:$Z$1,0)),"")</f>
        <v>Informational Commercial</v>
      </c>
    </row>
    <row r="3822" customFormat="false" ht="15" hidden="false" customHeight="true" outlineLevel="0" collapsed="false">
      <c r="A3822" s="7" t="s">
        <v>207</v>
      </c>
      <c r="B3822" s="7" t="s">
        <v>186</v>
      </c>
      <c r="C3822" s="7" t="n">
        <v>2</v>
      </c>
      <c r="D3822" s="7" t="s">
        <v>7919</v>
      </c>
      <c r="E3822" s="7" t="n">
        <v>0</v>
      </c>
      <c r="F3822" s="7"/>
      <c r="G3822" s="12" t="n">
        <f aca="false">IFERROR(INDEX('Semrush Data'!$A$1:$Z$20000,MATCH(A3822,'Semrush Data'!$A$1:$A$20000,0),MATCH("Volume",'Semrush Data'!$A$1:$Z$1,0)),"")</f>
        <v>3600</v>
      </c>
      <c r="H3822" s="7" t="n">
        <f aca="false">IFERROR(INDEX('Semrush Data'!$A$1:$Z$20000,MATCH(A3822,'Semrush Data'!$A$1:$A$20000,0),MATCH("Keyword Difficulty*",'Semrush Data'!$A$1:$Z$1,0)),"")</f>
        <v>18</v>
      </c>
      <c r="I3822" s="13" t="n">
        <f aca="false">IFERROR(INDEX('Semrush Data'!$A$1:$Z$20000,MATCH(A3822,'Semrush Data'!$A$1:$A$20000,0),MATCH("CPC*",'Semrush Data'!$A$1:$Z$1,0)),"")</f>
        <v>1.17</v>
      </c>
      <c r="J3822" s="7" t="str">
        <f aca="false">IFERROR(INDEX('Semrush Data'!$A$1:$Z$20000,MATCH(A3822,'Semrush Data'!$A$1:$A$20000,0),MATCH("Intent",'Semrush Data'!$A$1:$Z$1,0)),"")</f>
        <v>Informational</v>
      </c>
    </row>
    <row r="3823" customFormat="false" ht="15" hidden="false" customHeight="true" outlineLevel="0" collapsed="false">
      <c r="A3823" s="7" t="s">
        <v>7932</v>
      </c>
      <c r="B3823" s="7" t="s">
        <v>186</v>
      </c>
      <c r="C3823" s="7" t="n">
        <v>2</v>
      </c>
      <c r="D3823" s="7" t="s">
        <v>7919</v>
      </c>
      <c r="E3823" s="7" t="n">
        <v>0</v>
      </c>
      <c r="F3823" s="7"/>
      <c r="G3823" s="12" t="n">
        <f aca="false">IFERROR(INDEX('Semrush Data'!$A$1:$Z$20000,MATCH(A3823,'Semrush Data'!$A$1:$A$20000,0),MATCH("Volume",'Semrush Data'!$A$1:$Z$1,0)),"")</f>
        <v>480</v>
      </c>
      <c r="H3823" s="7" t="n">
        <f aca="false">IFERROR(INDEX('Semrush Data'!$A$1:$Z$20000,MATCH(A3823,'Semrush Data'!$A$1:$A$20000,0),MATCH("Keyword Difficulty*",'Semrush Data'!$A$1:$Z$1,0)),"")</f>
        <v>29</v>
      </c>
      <c r="I3823" s="13" t="n">
        <f aca="false">IFERROR(INDEX('Semrush Data'!$A$1:$Z$20000,MATCH(A3823,'Semrush Data'!$A$1:$A$20000,0),MATCH("CPC*",'Semrush Data'!$A$1:$Z$1,0)),"")</f>
        <v>0.81</v>
      </c>
      <c r="J3823" s="7" t="str">
        <f aca="false">IFERROR(INDEX('Semrush Data'!$A$1:$Z$20000,MATCH(A3823,'Semrush Data'!$A$1:$A$20000,0),MATCH("Intent",'Semrush Data'!$A$1:$Z$1,0)),"")</f>
        <v>Informational</v>
      </c>
    </row>
    <row r="3824" customFormat="false" ht="15" hidden="false" customHeight="true" outlineLevel="0" collapsed="false">
      <c r="A3824" s="7" t="s">
        <v>7933</v>
      </c>
      <c r="B3824" s="7" t="s">
        <v>186</v>
      </c>
      <c r="C3824" s="7" t="n">
        <v>2</v>
      </c>
      <c r="D3824" s="7" t="s">
        <v>7919</v>
      </c>
      <c r="E3824" s="7" t="n">
        <v>0</v>
      </c>
      <c r="F3824" s="7"/>
      <c r="G3824" s="12" t="n">
        <f aca="false">IFERROR(INDEX('Semrush Data'!$A$1:$Z$20000,MATCH(A3824,'Semrush Data'!$A$1:$A$20000,0),MATCH("Volume",'Semrush Data'!$A$1:$Z$1,0)),"")</f>
        <v>590</v>
      </c>
      <c r="H3824" s="7" t="n">
        <f aca="false">IFERROR(INDEX('Semrush Data'!$A$1:$Z$20000,MATCH(A3824,'Semrush Data'!$A$1:$A$20000,0),MATCH("Keyword Difficulty*",'Semrush Data'!$A$1:$Z$1,0)),"")</f>
        <v>23</v>
      </c>
      <c r="I3824" s="13" t="n">
        <f aca="false">IFERROR(INDEX('Semrush Data'!$A$1:$Z$20000,MATCH(A3824,'Semrush Data'!$A$1:$A$20000,0),MATCH("CPC*",'Semrush Data'!$A$1:$Z$1,0)),"")</f>
        <v>1</v>
      </c>
      <c r="J3824" s="7" t="str">
        <f aca="false">IFERROR(INDEX('Semrush Data'!$A$1:$Z$20000,MATCH(A3824,'Semrush Data'!$A$1:$A$20000,0),MATCH("Intent",'Semrush Data'!$A$1:$Z$1,0)),"")</f>
        <v>Informational Commercial</v>
      </c>
    </row>
    <row r="3825" customFormat="false" ht="15" hidden="false" customHeight="true" outlineLevel="0" collapsed="false">
      <c r="A3825" s="7" t="s">
        <v>228</v>
      </c>
      <c r="B3825" s="7" t="s">
        <v>186</v>
      </c>
      <c r="C3825" s="7" t="n">
        <v>2</v>
      </c>
      <c r="D3825" s="7" t="s">
        <v>7919</v>
      </c>
      <c r="E3825" s="7" t="n">
        <v>0</v>
      </c>
      <c r="F3825" s="7"/>
      <c r="G3825" s="12" t="n">
        <f aca="false">IFERROR(INDEX('Semrush Data'!$A$1:$Z$20000,MATCH(A3825,'Semrush Data'!$A$1:$A$20000,0),MATCH("Volume",'Semrush Data'!$A$1:$Z$1,0)),"")</f>
        <v>1000</v>
      </c>
      <c r="H3825" s="7" t="n">
        <f aca="false">IFERROR(INDEX('Semrush Data'!$A$1:$Z$20000,MATCH(A3825,'Semrush Data'!$A$1:$A$20000,0),MATCH("Keyword Difficulty*",'Semrush Data'!$A$1:$Z$1,0)),"")</f>
        <v>22</v>
      </c>
      <c r="I3825" s="13" t="n">
        <f aca="false">IFERROR(INDEX('Semrush Data'!$A$1:$Z$20000,MATCH(A3825,'Semrush Data'!$A$1:$A$20000,0),MATCH("CPC*",'Semrush Data'!$A$1:$Z$1,0)),"")</f>
        <v>0.74</v>
      </c>
      <c r="J3825" s="7" t="str">
        <f aca="false">IFERROR(INDEX('Semrush Data'!$A$1:$Z$20000,MATCH(A3825,'Semrush Data'!$A$1:$A$20000,0),MATCH("Intent",'Semrush Data'!$A$1:$Z$1,0)),"")</f>
        <v>Informational</v>
      </c>
    </row>
    <row r="3826" customFormat="false" ht="15" hidden="false" customHeight="true" outlineLevel="0" collapsed="false">
      <c r="A3826" s="7" t="s">
        <v>218</v>
      </c>
      <c r="B3826" s="7" t="s">
        <v>186</v>
      </c>
      <c r="C3826" s="7" t="n">
        <v>2</v>
      </c>
      <c r="D3826" s="7" t="s">
        <v>7919</v>
      </c>
      <c r="E3826" s="7" t="n">
        <v>0</v>
      </c>
      <c r="F3826" s="7"/>
      <c r="G3826" s="12" t="n">
        <f aca="false">IFERROR(INDEX('Semrush Data'!$A$1:$Z$20000,MATCH(A3826,'Semrush Data'!$A$1:$A$20000,0),MATCH("Volume",'Semrush Data'!$A$1:$Z$1,0)),"")</f>
        <v>1600</v>
      </c>
      <c r="H3826" s="7" t="n">
        <f aca="false">IFERROR(INDEX('Semrush Data'!$A$1:$Z$20000,MATCH(A3826,'Semrush Data'!$A$1:$A$20000,0),MATCH("Keyword Difficulty*",'Semrush Data'!$A$1:$Z$1,0)),"")</f>
        <v>29</v>
      </c>
      <c r="I3826" s="13" t="n">
        <f aca="false">IFERROR(INDEX('Semrush Data'!$A$1:$Z$20000,MATCH(A3826,'Semrush Data'!$A$1:$A$20000,0),MATCH("CPC*",'Semrush Data'!$A$1:$Z$1,0)),"")</f>
        <v>0.87</v>
      </c>
      <c r="J3826" s="7" t="str">
        <f aca="false">IFERROR(INDEX('Semrush Data'!$A$1:$Z$20000,MATCH(A3826,'Semrush Data'!$A$1:$A$20000,0),MATCH("Intent",'Semrush Data'!$A$1:$Z$1,0)),"")</f>
        <v>Informational</v>
      </c>
    </row>
    <row r="3827" customFormat="false" ht="15" hidden="false" customHeight="true" outlineLevel="0" collapsed="false">
      <c r="A3827" s="7" t="s">
        <v>201</v>
      </c>
      <c r="B3827" s="7" t="s">
        <v>186</v>
      </c>
      <c r="C3827" s="7" t="n">
        <v>2</v>
      </c>
      <c r="D3827" s="7" t="s">
        <v>7919</v>
      </c>
      <c r="E3827" s="7" t="n">
        <v>0</v>
      </c>
      <c r="F3827" s="7"/>
      <c r="G3827" s="12" t="n">
        <f aca="false">IFERROR(INDEX('Semrush Data'!$A$1:$Z$20000,MATCH(A3827,'Semrush Data'!$A$1:$A$20000,0),MATCH("Volume",'Semrush Data'!$A$1:$Z$1,0)),"")</f>
        <v>5400</v>
      </c>
      <c r="H3827" s="7" t="n">
        <f aca="false">IFERROR(INDEX('Semrush Data'!$A$1:$Z$20000,MATCH(A3827,'Semrush Data'!$A$1:$A$20000,0),MATCH("Keyword Difficulty*",'Semrush Data'!$A$1:$Z$1,0)),"")</f>
        <v>20</v>
      </c>
      <c r="I3827" s="13" t="n">
        <f aca="false">IFERROR(INDEX('Semrush Data'!$A$1:$Z$20000,MATCH(A3827,'Semrush Data'!$A$1:$A$20000,0),MATCH("CPC*",'Semrush Data'!$A$1:$Z$1,0)),"")</f>
        <v>1.24</v>
      </c>
      <c r="J3827" s="7" t="str">
        <f aca="false">IFERROR(INDEX('Semrush Data'!$A$1:$Z$20000,MATCH(A3827,'Semrush Data'!$A$1:$A$20000,0),MATCH("Intent",'Semrush Data'!$A$1:$Z$1,0)),"")</f>
        <v>Informational</v>
      </c>
    </row>
    <row r="3828" customFormat="false" ht="15" hidden="false" customHeight="true" outlineLevel="0" collapsed="false">
      <c r="A3828" s="7" t="s">
        <v>219</v>
      </c>
      <c r="B3828" s="7" t="s">
        <v>186</v>
      </c>
      <c r="C3828" s="7" t="n">
        <v>2</v>
      </c>
      <c r="D3828" s="7" t="s">
        <v>7919</v>
      </c>
      <c r="E3828" s="7" t="n">
        <v>0</v>
      </c>
      <c r="F3828" s="7"/>
      <c r="G3828" s="12" t="n">
        <f aca="false">IFERROR(INDEX('Semrush Data'!$A$1:$Z$20000,MATCH(A3828,'Semrush Data'!$A$1:$A$20000,0),MATCH("Volume",'Semrush Data'!$A$1:$Z$1,0)),"")</f>
        <v>1600</v>
      </c>
      <c r="H3828" s="7" t="n">
        <f aca="false">IFERROR(INDEX('Semrush Data'!$A$1:$Z$20000,MATCH(A3828,'Semrush Data'!$A$1:$A$20000,0),MATCH("Keyword Difficulty*",'Semrush Data'!$A$1:$Z$1,0)),"")</f>
        <v>22</v>
      </c>
      <c r="I3828" s="13" t="n">
        <f aca="false">IFERROR(INDEX('Semrush Data'!$A$1:$Z$20000,MATCH(A3828,'Semrush Data'!$A$1:$A$20000,0),MATCH("CPC*",'Semrush Data'!$A$1:$Z$1,0)),"")</f>
        <v>1.13</v>
      </c>
      <c r="J3828" s="7" t="str">
        <f aca="false">IFERROR(INDEX('Semrush Data'!$A$1:$Z$20000,MATCH(A3828,'Semrush Data'!$A$1:$A$20000,0),MATCH("Intent",'Semrush Data'!$A$1:$Z$1,0)),"")</f>
        <v>Informational</v>
      </c>
    </row>
    <row r="3829" customFormat="false" ht="15" hidden="false" customHeight="true" outlineLevel="0" collapsed="false">
      <c r="A3829" s="7" t="s">
        <v>224</v>
      </c>
      <c r="B3829" s="7" t="s">
        <v>186</v>
      </c>
      <c r="C3829" s="7" t="n">
        <v>2</v>
      </c>
      <c r="D3829" s="7" t="s">
        <v>7919</v>
      </c>
      <c r="E3829" s="7" t="n">
        <v>0</v>
      </c>
      <c r="F3829" s="7"/>
      <c r="G3829" s="12" t="n">
        <f aca="false">IFERROR(INDEX('Semrush Data'!$A$1:$Z$20000,MATCH(A3829,'Semrush Data'!$A$1:$A$20000,0),MATCH("Volume",'Semrush Data'!$A$1:$Z$1,0)),"")</f>
        <v>1300</v>
      </c>
      <c r="H3829" s="7" t="n">
        <f aca="false">IFERROR(INDEX('Semrush Data'!$A$1:$Z$20000,MATCH(A3829,'Semrush Data'!$A$1:$A$20000,0),MATCH("Keyword Difficulty*",'Semrush Data'!$A$1:$Z$1,0)),"")</f>
        <v>18</v>
      </c>
      <c r="I3829" s="13" t="n">
        <f aca="false">IFERROR(INDEX('Semrush Data'!$A$1:$Z$20000,MATCH(A3829,'Semrush Data'!$A$1:$A$20000,0),MATCH("CPC*",'Semrush Data'!$A$1:$Z$1,0)),"")</f>
        <v>1.13</v>
      </c>
      <c r="J3829" s="7" t="str">
        <f aca="false">IFERROR(INDEX('Semrush Data'!$A$1:$Z$20000,MATCH(A3829,'Semrush Data'!$A$1:$A$20000,0),MATCH("Intent",'Semrush Data'!$A$1:$Z$1,0)),"")</f>
        <v>Informational</v>
      </c>
    </row>
    <row r="3830" customFormat="false" ht="15" hidden="false" customHeight="true" outlineLevel="0" collapsed="false">
      <c r="A3830" s="7" t="s">
        <v>229</v>
      </c>
      <c r="B3830" s="7" t="s">
        <v>186</v>
      </c>
      <c r="C3830" s="7" t="n">
        <v>2</v>
      </c>
      <c r="D3830" s="7" t="s">
        <v>7919</v>
      </c>
      <c r="E3830" s="7" t="n">
        <v>0</v>
      </c>
      <c r="F3830" s="7"/>
      <c r="G3830" s="12" t="n">
        <f aca="false">IFERROR(INDEX('Semrush Data'!$A$1:$Z$20000,MATCH(A3830,'Semrush Data'!$A$1:$A$20000,0),MATCH("Volume",'Semrush Data'!$A$1:$Z$1,0)),"")</f>
        <v>1000</v>
      </c>
      <c r="H3830" s="7" t="n">
        <f aca="false">IFERROR(INDEX('Semrush Data'!$A$1:$Z$20000,MATCH(A3830,'Semrush Data'!$A$1:$A$20000,0),MATCH("Keyword Difficulty*",'Semrush Data'!$A$1:$Z$1,0)),"")</f>
        <v>26</v>
      </c>
      <c r="I3830" s="13" t="n">
        <f aca="false">IFERROR(INDEX('Semrush Data'!$A$1:$Z$20000,MATCH(A3830,'Semrush Data'!$A$1:$A$20000,0),MATCH("CPC*",'Semrush Data'!$A$1:$Z$1,0)),"")</f>
        <v>1.05</v>
      </c>
      <c r="J3830" s="7" t="str">
        <f aca="false">IFERROR(INDEX('Semrush Data'!$A$1:$Z$20000,MATCH(A3830,'Semrush Data'!$A$1:$A$20000,0),MATCH("Intent",'Semrush Data'!$A$1:$Z$1,0)),"")</f>
        <v>Informational</v>
      </c>
    </row>
    <row r="3831" customFormat="false" ht="15" hidden="false" customHeight="true" outlineLevel="0" collapsed="false">
      <c r="A3831" s="7" t="s">
        <v>230</v>
      </c>
      <c r="B3831" s="7" t="s">
        <v>186</v>
      </c>
      <c r="C3831" s="7" t="n">
        <v>2</v>
      </c>
      <c r="D3831" s="7" t="s">
        <v>7919</v>
      </c>
      <c r="E3831" s="7" t="n">
        <v>0</v>
      </c>
      <c r="F3831" s="7"/>
      <c r="G3831" s="12" t="n">
        <f aca="false">IFERROR(INDEX('Semrush Data'!$A$1:$Z$20000,MATCH(A3831,'Semrush Data'!$A$1:$A$20000,0),MATCH("Volume",'Semrush Data'!$A$1:$Z$1,0)),"")</f>
        <v>1000</v>
      </c>
      <c r="H3831" s="7" t="n">
        <f aca="false">IFERROR(INDEX('Semrush Data'!$A$1:$Z$20000,MATCH(A3831,'Semrush Data'!$A$1:$A$20000,0),MATCH("Keyword Difficulty*",'Semrush Data'!$A$1:$Z$1,0)),"")</f>
        <v>19</v>
      </c>
      <c r="I3831" s="13" t="n">
        <f aca="false">IFERROR(INDEX('Semrush Data'!$A$1:$Z$20000,MATCH(A3831,'Semrush Data'!$A$1:$A$20000,0),MATCH("CPC*",'Semrush Data'!$A$1:$Z$1,0)),"")</f>
        <v>1.06</v>
      </c>
      <c r="J3831" s="7" t="str">
        <f aca="false">IFERROR(INDEX('Semrush Data'!$A$1:$Z$20000,MATCH(A3831,'Semrush Data'!$A$1:$A$20000,0),MATCH("Intent",'Semrush Data'!$A$1:$Z$1,0)),"")</f>
        <v>Informational</v>
      </c>
    </row>
    <row r="3832" customFormat="false" ht="15" hidden="false" customHeight="true" outlineLevel="0" collapsed="false">
      <c r="A3832" s="7" t="s">
        <v>7934</v>
      </c>
      <c r="B3832" s="7" t="s">
        <v>186</v>
      </c>
      <c r="C3832" s="7" t="n">
        <v>2</v>
      </c>
      <c r="D3832" s="7" t="s">
        <v>7919</v>
      </c>
      <c r="E3832" s="7" t="n">
        <v>0</v>
      </c>
      <c r="F3832" s="7"/>
      <c r="G3832" s="12" t="n">
        <f aca="false">IFERROR(INDEX('Semrush Data'!$A$1:$Z$20000,MATCH(A3832,'Semrush Data'!$A$1:$A$20000,0),MATCH("Volume",'Semrush Data'!$A$1:$Z$1,0)),"")</f>
        <v>390</v>
      </c>
      <c r="H3832" s="7" t="n">
        <f aca="false">IFERROR(INDEX('Semrush Data'!$A$1:$Z$20000,MATCH(A3832,'Semrush Data'!$A$1:$A$20000,0),MATCH("Keyword Difficulty*",'Semrush Data'!$A$1:$Z$1,0)),"")</f>
        <v>20</v>
      </c>
      <c r="I3832" s="13" t="n">
        <f aca="false">IFERROR(INDEX('Semrush Data'!$A$1:$Z$20000,MATCH(A3832,'Semrush Data'!$A$1:$A$20000,0),MATCH("CPC*",'Semrush Data'!$A$1:$Z$1,0)),"")</f>
        <v>1.01</v>
      </c>
      <c r="J3832" s="7" t="str">
        <f aca="false">IFERROR(INDEX('Semrush Data'!$A$1:$Z$20000,MATCH(A3832,'Semrush Data'!$A$1:$A$20000,0),MATCH("Intent",'Semrush Data'!$A$1:$Z$1,0)),"")</f>
        <v>Informational</v>
      </c>
    </row>
    <row r="3833" customFormat="false" ht="15" hidden="false" customHeight="true" outlineLevel="0" collapsed="false">
      <c r="A3833" s="7" t="s">
        <v>208</v>
      </c>
      <c r="B3833" s="7" t="s">
        <v>186</v>
      </c>
      <c r="C3833" s="7" t="n">
        <v>2</v>
      </c>
      <c r="D3833" s="7" t="s">
        <v>7919</v>
      </c>
      <c r="E3833" s="7" t="n">
        <v>0</v>
      </c>
      <c r="F3833" s="7"/>
      <c r="G3833" s="12" t="n">
        <f aca="false">IFERROR(INDEX('Semrush Data'!$A$1:$Z$20000,MATCH(A3833,'Semrush Data'!$A$1:$A$20000,0),MATCH("Volume",'Semrush Data'!$A$1:$Z$1,0)),"")</f>
        <v>3600</v>
      </c>
      <c r="H3833" s="7" t="n">
        <f aca="false">IFERROR(INDEX('Semrush Data'!$A$1:$Z$20000,MATCH(A3833,'Semrush Data'!$A$1:$A$20000,0),MATCH("Keyword Difficulty*",'Semrush Data'!$A$1:$Z$1,0)),"")</f>
        <v>22</v>
      </c>
      <c r="I3833" s="13" t="n">
        <f aca="false">IFERROR(INDEX('Semrush Data'!$A$1:$Z$20000,MATCH(A3833,'Semrush Data'!$A$1:$A$20000,0),MATCH("CPC*",'Semrush Data'!$A$1:$Z$1,0)),"")</f>
        <v>0.7</v>
      </c>
      <c r="J3833" s="7" t="str">
        <f aca="false">IFERROR(INDEX('Semrush Data'!$A$1:$Z$20000,MATCH(A3833,'Semrush Data'!$A$1:$A$20000,0),MATCH("Intent",'Semrush Data'!$A$1:$Z$1,0)),"")</f>
        <v>Informational</v>
      </c>
    </row>
    <row r="3834" customFormat="false" ht="15" hidden="false" customHeight="true" outlineLevel="0" collapsed="false">
      <c r="A3834" s="7" t="s">
        <v>7935</v>
      </c>
      <c r="B3834" s="7" t="s">
        <v>186</v>
      </c>
      <c r="C3834" s="7" t="n">
        <v>2</v>
      </c>
      <c r="D3834" s="7" t="s">
        <v>7919</v>
      </c>
      <c r="E3834" s="7" t="n">
        <v>0</v>
      </c>
      <c r="F3834" s="7"/>
      <c r="G3834" s="12" t="n">
        <f aca="false">IFERROR(INDEX('Semrush Data'!$A$1:$Z$20000,MATCH(A3834,'Semrush Data'!$A$1:$A$20000,0),MATCH("Volume",'Semrush Data'!$A$1:$Z$1,0)),"")</f>
        <v>880</v>
      </c>
      <c r="H3834" s="7" t="n">
        <f aca="false">IFERROR(INDEX('Semrush Data'!$A$1:$Z$20000,MATCH(A3834,'Semrush Data'!$A$1:$A$20000,0),MATCH("Keyword Difficulty*",'Semrush Data'!$A$1:$Z$1,0)),"")</f>
        <v>12</v>
      </c>
      <c r="I3834" s="13" t="n">
        <f aca="false">IFERROR(INDEX('Semrush Data'!$A$1:$Z$20000,MATCH(A3834,'Semrush Data'!$A$1:$A$20000,0),MATCH("CPC*",'Semrush Data'!$A$1:$Z$1,0)),"")</f>
        <v>0.67</v>
      </c>
      <c r="J3834" s="7" t="str">
        <f aca="false">IFERROR(INDEX('Semrush Data'!$A$1:$Z$20000,MATCH(A3834,'Semrush Data'!$A$1:$A$20000,0),MATCH("Intent",'Semrush Data'!$A$1:$Z$1,0)),"")</f>
        <v>Informational</v>
      </c>
    </row>
    <row r="3835" customFormat="false" ht="15" hidden="false" customHeight="true" outlineLevel="0" collapsed="false">
      <c r="A3835" s="7" t="s">
        <v>7936</v>
      </c>
      <c r="B3835" s="7" t="s">
        <v>186</v>
      </c>
      <c r="C3835" s="7" t="n">
        <v>2</v>
      </c>
      <c r="D3835" s="7" t="s">
        <v>7919</v>
      </c>
      <c r="E3835" s="7" t="n">
        <v>0</v>
      </c>
      <c r="F3835" s="7"/>
      <c r="G3835" s="12" t="n">
        <f aca="false">IFERROR(INDEX('Semrush Data'!$A$1:$Z$20000,MATCH(A3835,'Semrush Data'!$A$1:$A$20000,0),MATCH("Volume",'Semrush Data'!$A$1:$Z$1,0)),"")</f>
        <v>210</v>
      </c>
      <c r="H3835" s="7" t="n">
        <f aca="false">IFERROR(INDEX('Semrush Data'!$A$1:$Z$20000,MATCH(A3835,'Semrush Data'!$A$1:$A$20000,0),MATCH("Keyword Difficulty*",'Semrush Data'!$A$1:$Z$1,0)),"")</f>
        <v>31</v>
      </c>
      <c r="I3835" s="13" t="n">
        <f aca="false">IFERROR(INDEX('Semrush Data'!$A$1:$Z$20000,MATCH(A3835,'Semrush Data'!$A$1:$A$20000,0),MATCH("CPC*",'Semrush Data'!$A$1:$Z$1,0)),"")</f>
        <v>1.71</v>
      </c>
      <c r="J3835" s="7" t="str">
        <f aca="false">IFERROR(INDEX('Semrush Data'!$A$1:$Z$20000,MATCH(A3835,'Semrush Data'!$A$1:$A$20000,0),MATCH("Intent",'Semrush Data'!$A$1:$Z$1,0)),"")</f>
        <v>Informational</v>
      </c>
    </row>
    <row r="3836" customFormat="false" ht="15" hidden="false" customHeight="true" outlineLevel="0" collapsed="false">
      <c r="A3836" s="7" t="s">
        <v>7937</v>
      </c>
      <c r="B3836" s="7" t="s">
        <v>186</v>
      </c>
      <c r="C3836" s="7" t="n">
        <v>2</v>
      </c>
      <c r="D3836" s="7" t="s">
        <v>7919</v>
      </c>
      <c r="E3836" s="7" t="n">
        <v>0</v>
      </c>
      <c r="F3836" s="7"/>
      <c r="G3836" s="12" t="n">
        <f aca="false">IFERROR(INDEX('Semrush Data'!$A$1:$Z$20000,MATCH(A3836,'Semrush Data'!$A$1:$A$20000,0),MATCH("Volume",'Semrush Data'!$A$1:$Z$1,0)),"")</f>
        <v>90</v>
      </c>
      <c r="H3836" s="7" t="n">
        <f aca="false">IFERROR(INDEX('Semrush Data'!$A$1:$Z$20000,MATCH(A3836,'Semrush Data'!$A$1:$A$20000,0),MATCH("Keyword Difficulty*",'Semrush Data'!$A$1:$Z$1,0)),"")</f>
        <v>49</v>
      </c>
      <c r="I3836" s="13" t="n">
        <f aca="false">IFERROR(INDEX('Semrush Data'!$A$1:$Z$20000,MATCH(A3836,'Semrush Data'!$A$1:$A$20000,0),MATCH("CPC*",'Semrush Data'!$A$1:$Z$1,0)),"")</f>
        <v>1.39</v>
      </c>
      <c r="J3836" s="7" t="str">
        <f aca="false">IFERROR(INDEX('Semrush Data'!$A$1:$Z$20000,MATCH(A3836,'Semrush Data'!$A$1:$A$20000,0),MATCH("Intent",'Semrush Data'!$A$1:$Z$1,0)),"")</f>
        <v>Informational</v>
      </c>
    </row>
    <row r="3837" customFormat="false" ht="15" hidden="false" customHeight="true" outlineLevel="0" collapsed="false">
      <c r="A3837" s="7" t="s">
        <v>231</v>
      </c>
      <c r="B3837" s="7" t="s">
        <v>186</v>
      </c>
      <c r="C3837" s="7" t="n">
        <v>2</v>
      </c>
      <c r="D3837" s="7" t="s">
        <v>7919</v>
      </c>
      <c r="E3837" s="7" t="n">
        <v>0</v>
      </c>
      <c r="F3837" s="7"/>
      <c r="G3837" s="12" t="n">
        <f aca="false">IFERROR(INDEX('Semrush Data'!$A$1:$Z$20000,MATCH(A3837,'Semrush Data'!$A$1:$A$20000,0),MATCH("Volume",'Semrush Data'!$A$1:$Z$1,0)),"")</f>
        <v>1000</v>
      </c>
      <c r="H3837" s="7" t="n">
        <f aca="false">IFERROR(INDEX('Semrush Data'!$A$1:$Z$20000,MATCH(A3837,'Semrush Data'!$A$1:$A$20000,0),MATCH("Keyword Difficulty*",'Semrush Data'!$A$1:$Z$1,0)),"")</f>
        <v>22</v>
      </c>
      <c r="I3837" s="13" t="n">
        <f aca="false">IFERROR(INDEX('Semrush Data'!$A$1:$Z$20000,MATCH(A3837,'Semrush Data'!$A$1:$A$20000,0),MATCH("CPC*",'Semrush Data'!$A$1:$Z$1,0)),"")</f>
        <v>0.83</v>
      </c>
      <c r="J3837" s="7" t="str">
        <f aca="false">IFERROR(INDEX('Semrush Data'!$A$1:$Z$20000,MATCH(A3837,'Semrush Data'!$A$1:$A$20000,0),MATCH("Intent",'Semrush Data'!$A$1:$Z$1,0)),"")</f>
        <v>Informational</v>
      </c>
    </row>
    <row r="3838" customFormat="false" ht="15" hidden="false" customHeight="true" outlineLevel="0" collapsed="false">
      <c r="A3838" s="7" t="s">
        <v>7938</v>
      </c>
      <c r="B3838" s="7" t="s">
        <v>186</v>
      </c>
      <c r="C3838" s="7" t="n">
        <v>2</v>
      </c>
      <c r="D3838" s="7" t="s">
        <v>7919</v>
      </c>
      <c r="E3838" s="7" t="n">
        <v>0</v>
      </c>
      <c r="F3838" s="7"/>
      <c r="G3838" s="12" t="n">
        <f aca="false">IFERROR(INDEX('Semrush Data'!$A$1:$Z$20000,MATCH(A3838,'Semrush Data'!$A$1:$A$20000,0),MATCH("Volume",'Semrush Data'!$A$1:$Z$1,0)),"")</f>
        <v>720</v>
      </c>
      <c r="H3838" s="7" t="n">
        <f aca="false">IFERROR(INDEX('Semrush Data'!$A$1:$Z$20000,MATCH(A3838,'Semrush Data'!$A$1:$A$20000,0),MATCH("Keyword Difficulty*",'Semrush Data'!$A$1:$Z$1,0)),"")</f>
        <v>26</v>
      </c>
      <c r="I3838" s="13" t="n">
        <f aca="false">IFERROR(INDEX('Semrush Data'!$A$1:$Z$20000,MATCH(A3838,'Semrush Data'!$A$1:$A$20000,0),MATCH("CPC*",'Semrush Data'!$A$1:$Z$1,0)),"")</f>
        <v>0.78</v>
      </c>
      <c r="J3838" s="7" t="str">
        <f aca="false">IFERROR(INDEX('Semrush Data'!$A$1:$Z$20000,MATCH(A3838,'Semrush Data'!$A$1:$A$20000,0),MATCH("Intent",'Semrush Data'!$A$1:$Z$1,0)),"")</f>
        <v>Informational</v>
      </c>
    </row>
    <row r="3839" customFormat="false" ht="15" hidden="false" customHeight="true" outlineLevel="0" collapsed="false">
      <c r="A3839" s="7" t="s">
        <v>7939</v>
      </c>
      <c r="B3839" s="7" t="s">
        <v>186</v>
      </c>
      <c r="C3839" s="7" t="n">
        <v>2</v>
      </c>
      <c r="D3839" s="7" t="s">
        <v>7919</v>
      </c>
      <c r="E3839" s="7" t="n">
        <v>0</v>
      </c>
      <c r="F3839" s="7"/>
      <c r="G3839" s="12" t="n">
        <f aca="false">IFERROR(INDEX('Semrush Data'!$A$1:$Z$20000,MATCH(A3839,'Semrush Data'!$A$1:$A$20000,0),MATCH("Volume",'Semrush Data'!$A$1:$Z$1,0)),"")</f>
        <v>880</v>
      </c>
      <c r="H3839" s="7" t="n">
        <f aca="false">IFERROR(INDEX('Semrush Data'!$A$1:$Z$20000,MATCH(A3839,'Semrush Data'!$A$1:$A$20000,0),MATCH("Keyword Difficulty*",'Semrush Data'!$A$1:$Z$1,0)),"")</f>
        <v>21</v>
      </c>
      <c r="I3839" s="13" t="n">
        <f aca="false">IFERROR(INDEX('Semrush Data'!$A$1:$Z$20000,MATCH(A3839,'Semrush Data'!$A$1:$A$20000,0),MATCH("CPC*",'Semrush Data'!$A$1:$Z$1,0)),"")</f>
        <v>1.03</v>
      </c>
      <c r="J3839" s="7" t="str">
        <f aca="false">IFERROR(INDEX('Semrush Data'!$A$1:$Z$20000,MATCH(A3839,'Semrush Data'!$A$1:$A$20000,0),MATCH("Intent",'Semrush Data'!$A$1:$Z$1,0)),"")</f>
        <v>Informational</v>
      </c>
    </row>
    <row r="3840" customFormat="false" ht="15" hidden="false" customHeight="true" outlineLevel="0" collapsed="false">
      <c r="A3840" s="7" t="s">
        <v>232</v>
      </c>
      <c r="B3840" s="7" t="s">
        <v>186</v>
      </c>
      <c r="C3840" s="7" t="n">
        <v>2</v>
      </c>
      <c r="D3840" s="7" t="s">
        <v>7919</v>
      </c>
      <c r="E3840" s="7" t="n">
        <v>0</v>
      </c>
      <c r="F3840" s="7"/>
      <c r="G3840" s="12" t="n">
        <f aca="false">IFERROR(INDEX('Semrush Data'!$A$1:$Z$20000,MATCH(A3840,'Semrush Data'!$A$1:$A$20000,0),MATCH("Volume",'Semrush Data'!$A$1:$Z$1,0)),"")</f>
        <v>1000</v>
      </c>
      <c r="H3840" s="7" t="n">
        <f aca="false">IFERROR(INDEX('Semrush Data'!$A$1:$Z$20000,MATCH(A3840,'Semrush Data'!$A$1:$A$20000,0),MATCH("Keyword Difficulty*",'Semrush Data'!$A$1:$Z$1,0)),"")</f>
        <v>24</v>
      </c>
      <c r="I3840" s="13" t="n">
        <f aca="false">IFERROR(INDEX('Semrush Data'!$A$1:$Z$20000,MATCH(A3840,'Semrush Data'!$A$1:$A$20000,0),MATCH("CPC*",'Semrush Data'!$A$1:$Z$1,0)),"")</f>
        <v>0.92</v>
      </c>
      <c r="J3840" s="7" t="str">
        <f aca="false">IFERROR(INDEX('Semrush Data'!$A$1:$Z$20000,MATCH(A3840,'Semrush Data'!$A$1:$A$20000,0),MATCH("Intent",'Semrush Data'!$A$1:$Z$1,0)),"")</f>
        <v>Informational</v>
      </c>
    </row>
    <row r="3841" customFormat="false" ht="15" hidden="false" customHeight="true" outlineLevel="0" collapsed="false">
      <c r="A3841" s="7" t="s">
        <v>7940</v>
      </c>
      <c r="B3841" s="7" t="s">
        <v>186</v>
      </c>
      <c r="C3841" s="7" t="n">
        <v>2</v>
      </c>
      <c r="D3841" s="7" t="s">
        <v>7919</v>
      </c>
      <c r="E3841" s="7" t="n">
        <v>0</v>
      </c>
      <c r="F3841" s="7"/>
      <c r="G3841" s="12" t="n">
        <f aca="false">IFERROR(INDEX('Semrush Data'!$A$1:$Z$20000,MATCH(A3841,'Semrush Data'!$A$1:$A$20000,0),MATCH("Volume",'Semrush Data'!$A$1:$Z$1,0)),"")</f>
        <v>390</v>
      </c>
      <c r="H3841" s="7" t="n">
        <f aca="false">IFERROR(INDEX('Semrush Data'!$A$1:$Z$20000,MATCH(A3841,'Semrush Data'!$A$1:$A$20000,0),MATCH("Keyword Difficulty*",'Semrush Data'!$A$1:$Z$1,0)),"")</f>
        <v>11</v>
      </c>
      <c r="I3841" s="13" t="n">
        <f aca="false">IFERROR(INDEX('Semrush Data'!$A$1:$Z$20000,MATCH(A3841,'Semrush Data'!$A$1:$A$20000,0),MATCH("CPC*",'Semrush Data'!$A$1:$Z$1,0)),"")</f>
        <v>0.87</v>
      </c>
      <c r="J3841" s="7" t="str">
        <f aca="false">IFERROR(INDEX('Semrush Data'!$A$1:$Z$20000,MATCH(A3841,'Semrush Data'!$A$1:$A$20000,0),MATCH("Intent",'Semrush Data'!$A$1:$Z$1,0)),"")</f>
        <v>Informational</v>
      </c>
    </row>
    <row r="3842" customFormat="false" ht="15" hidden="false" customHeight="true" outlineLevel="0" collapsed="false">
      <c r="A3842" s="7" t="s">
        <v>7941</v>
      </c>
      <c r="B3842" s="7" t="s">
        <v>186</v>
      </c>
      <c r="C3842" s="7" t="n">
        <v>2</v>
      </c>
      <c r="D3842" s="7" t="s">
        <v>7919</v>
      </c>
      <c r="E3842" s="7" t="n">
        <v>0</v>
      </c>
      <c r="F3842" s="7"/>
      <c r="G3842" s="12" t="n">
        <f aca="false">IFERROR(INDEX('Semrush Data'!$A$1:$Z$20000,MATCH(A3842,'Semrush Data'!$A$1:$A$20000,0),MATCH("Volume",'Semrush Data'!$A$1:$Z$1,0)),"")</f>
        <v>480</v>
      </c>
      <c r="H3842" s="7" t="n">
        <f aca="false">IFERROR(INDEX('Semrush Data'!$A$1:$Z$20000,MATCH(A3842,'Semrush Data'!$A$1:$A$20000,0),MATCH("Keyword Difficulty*",'Semrush Data'!$A$1:$Z$1,0)),"")</f>
        <v>45</v>
      </c>
      <c r="I3842" s="13" t="n">
        <f aca="false">IFERROR(INDEX('Semrush Data'!$A$1:$Z$20000,MATCH(A3842,'Semrush Data'!$A$1:$A$20000,0),MATCH("CPC*",'Semrush Data'!$A$1:$Z$1,0)),"")</f>
        <v>1.63</v>
      </c>
      <c r="J3842" s="7"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1" min="1" style="1" width="40"/>
    <col collapsed="false" customWidth="true" hidden="false" outlineLevel="0" max="43" min="42" style="0" width="40"/>
  </cols>
  <sheetData>
    <row r="1" customFormat="false" ht="24" hidden="false" customHeight="true" outlineLevel="0" collapsed="false">
      <c r="A1" s="26" t="s">
        <v>7942</v>
      </c>
      <c r="B1" s="26" t="s">
        <v>7943</v>
      </c>
      <c r="C1" s="26" t="s">
        <v>7944</v>
      </c>
      <c r="D1" s="26" t="s">
        <v>7945</v>
      </c>
      <c r="E1" s="26" t="s">
        <v>7946</v>
      </c>
      <c r="F1" s="26" t="s">
        <v>7947</v>
      </c>
      <c r="G1" s="26" t="s">
        <v>7948</v>
      </c>
      <c r="H1" s="26" t="s">
        <v>7949</v>
      </c>
      <c r="I1" s="26" t="s">
        <v>7950</v>
      </c>
      <c r="J1" s="26" t="s">
        <v>7951</v>
      </c>
      <c r="K1" s="26" t="s">
        <v>7952</v>
      </c>
      <c r="L1" s="26" t="s">
        <v>7953</v>
      </c>
      <c r="M1" s="26" t="s">
        <v>7954</v>
      </c>
      <c r="N1" s="26" t="s">
        <v>7955</v>
      </c>
      <c r="O1" s="26" t="s">
        <v>7956</v>
      </c>
      <c r="P1" s="26" t="s">
        <v>7957</v>
      </c>
      <c r="Q1" s="26" t="s">
        <v>7958</v>
      </c>
      <c r="R1" s="26" t="s">
        <v>7959</v>
      </c>
      <c r="S1" s="26" t="s">
        <v>7960</v>
      </c>
      <c r="T1" s="26" t="s">
        <v>7961</v>
      </c>
      <c r="U1" s="26" t="s">
        <v>7962</v>
      </c>
      <c r="V1" s="26" t="s">
        <v>7963</v>
      </c>
      <c r="W1" s="26" t="s">
        <v>7964</v>
      </c>
      <c r="X1" s="26" t="s">
        <v>7965</v>
      </c>
      <c r="Y1" s="26" t="s">
        <v>7966</v>
      </c>
      <c r="Z1" s="26" t="s">
        <v>7967</v>
      </c>
      <c r="AA1" s="26" t="s">
        <v>7968</v>
      </c>
      <c r="AB1" s="26" t="s">
        <v>7969</v>
      </c>
      <c r="AC1" s="26" t="s">
        <v>7970</v>
      </c>
      <c r="AD1" s="26" t="s">
        <v>7971</v>
      </c>
      <c r="AE1" s="26" t="s">
        <v>7972</v>
      </c>
      <c r="AF1" s="26" t="s">
        <v>7973</v>
      </c>
      <c r="AG1" s="26" t="s">
        <v>7974</v>
      </c>
      <c r="AH1" s="26" t="s">
        <v>7975</v>
      </c>
      <c r="AI1" s="26" t="s">
        <v>7976</v>
      </c>
      <c r="AJ1" s="26" t="s">
        <v>7977</v>
      </c>
      <c r="AK1" s="26" t="s">
        <v>7978</v>
      </c>
      <c r="AL1" s="26" t="s">
        <v>7979</v>
      </c>
      <c r="AM1" s="27" t="s">
        <v>7980</v>
      </c>
      <c r="AN1" s="27" t="s">
        <v>7981</v>
      </c>
      <c r="AO1" s="27" t="s">
        <v>7982</v>
      </c>
      <c r="AP1" s="28" t="s">
        <v>7983</v>
      </c>
      <c r="AQ1" s="28" t="s">
        <v>7984</v>
      </c>
    </row>
    <row r="2" customFormat="false" ht="15" hidden="false" customHeight="true" outlineLevel="0" collapsed="false">
      <c r="A2" s="7" t="s">
        <v>6442</v>
      </c>
      <c r="B2" s="7" t="s">
        <v>264</v>
      </c>
      <c r="C2" s="7" t="s">
        <v>6686</v>
      </c>
      <c r="D2" s="7" t="s">
        <v>2504</v>
      </c>
      <c r="E2" s="7" t="s">
        <v>2139</v>
      </c>
      <c r="F2" s="7" t="s">
        <v>3852</v>
      </c>
      <c r="G2" s="7" t="s">
        <v>5122</v>
      </c>
      <c r="H2" s="7" t="s">
        <v>6157</v>
      </c>
      <c r="I2" s="7" t="s">
        <v>1508</v>
      </c>
      <c r="J2" s="7" t="s">
        <v>2324</v>
      </c>
      <c r="K2" s="7" t="s">
        <v>3729</v>
      </c>
      <c r="L2" s="7" t="s">
        <v>5043</v>
      </c>
      <c r="M2" s="7" t="s">
        <v>6067</v>
      </c>
      <c r="N2" s="7" t="s">
        <v>1841</v>
      </c>
      <c r="O2" s="7" t="s">
        <v>3604</v>
      </c>
      <c r="P2" s="7" t="s">
        <v>5024</v>
      </c>
      <c r="Q2" s="7" t="s">
        <v>6172</v>
      </c>
      <c r="R2" s="7" t="s">
        <v>3339</v>
      </c>
      <c r="S2" s="7" t="s">
        <v>3527</v>
      </c>
      <c r="T2" s="7" t="s">
        <v>4790</v>
      </c>
      <c r="U2" s="7" t="s">
        <v>5837</v>
      </c>
      <c r="V2" s="7" t="s">
        <v>1619</v>
      </c>
      <c r="W2" s="7" t="s">
        <v>6890</v>
      </c>
      <c r="X2" s="7" t="s">
        <v>6985</v>
      </c>
      <c r="Y2" s="7" t="s">
        <v>7084</v>
      </c>
      <c r="Z2" s="7" t="s">
        <v>7177</v>
      </c>
      <c r="AA2" s="7" t="s">
        <v>7275</v>
      </c>
      <c r="AB2" s="7" t="s">
        <v>4076</v>
      </c>
      <c r="AC2" s="7" t="s">
        <v>7467</v>
      </c>
      <c r="AD2" s="7" t="s">
        <v>7561</v>
      </c>
      <c r="AE2" s="7" t="s">
        <v>7661</v>
      </c>
      <c r="AF2" s="7" t="s">
        <v>7754</v>
      </c>
      <c r="AG2" s="7" t="s">
        <v>7852</v>
      </c>
      <c r="AH2" s="7" t="s">
        <v>3088</v>
      </c>
      <c r="AI2" s="7" t="s">
        <v>2320</v>
      </c>
      <c r="AJ2" s="7" t="s">
        <v>4609</v>
      </c>
      <c r="AK2" s="7" t="s">
        <v>5541</v>
      </c>
      <c r="AL2" s="7" t="s">
        <v>1783</v>
      </c>
      <c r="AM2" s="7" t="s">
        <v>3506</v>
      </c>
      <c r="AN2" s="7" t="s">
        <v>3952</v>
      </c>
      <c r="AO2" s="7" t="s">
        <v>7918</v>
      </c>
      <c r="AP2" s="29" t="s">
        <v>3504</v>
      </c>
      <c r="AQ2" s="29" t="s">
        <v>7534</v>
      </c>
    </row>
    <row r="3" customFormat="false" ht="15" hidden="false" customHeight="true" outlineLevel="0" collapsed="false">
      <c r="A3" s="7" t="s">
        <v>6443</v>
      </c>
      <c r="B3" s="7" t="s">
        <v>6560</v>
      </c>
      <c r="C3" s="7" t="s">
        <v>155</v>
      </c>
      <c r="D3" s="7" t="s">
        <v>2447</v>
      </c>
      <c r="E3" s="7" t="s">
        <v>2219</v>
      </c>
      <c r="F3" s="7" t="s">
        <v>3864</v>
      </c>
      <c r="G3" s="7" t="s">
        <v>5132</v>
      </c>
      <c r="H3" s="7" t="s">
        <v>6168</v>
      </c>
      <c r="I3" s="7" t="s">
        <v>1798</v>
      </c>
      <c r="J3" s="7" t="s">
        <v>2259</v>
      </c>
      <c r="K3" s="7" t="s">
        <v>3741</v>
      </c>
      <c r="L3" s="7" t="s">
        <v>5021</v>
      </c>
      <c r="M3" s="7" t="s">
        <v>6079</v>
      </c>
      <c r="N3" s="7" t="s">
        <v>1763</v>
      </c>
      <c r="O3" s="7" t="s">
        <v>3800</v>
      </c>
      <c r="P3" s="7" t="s">
        <v>5055</v>
      </c>
      <c r="Q3" s="7" t="s">
        <v>6183</v>
      </c>
      <c r="R3" s="7" t="s">
        <v>3350</v>
      </c>
      <c r="S3" s="7" t="s">
        <v>3552</v>
      </c>
      <c r="T3" s="7" t="s">
        <v>4799</v>
      </c>
      <c r="U3" s="7" t="s">
        <v>5859</v>
      </c>
      <c r="V3" s="7" t="s">
        <v>1679</v>
      </c>
      <c r="W3" s="7" t="s">
        <v>6891</v>
      </c>
      <c r="X3" s="7" t="s">
        <v>6986</v>
      </c>
      <c r="Y3" s="7" t="s">
        <v>7085</v>
      </c>
      <c r="Z3" s="7" t="s">
        <v>7178</v>
      </c>
      <c r="AA3" s="7" t="s">
        <v>7276</v>
      </c>
      <c r="AB3" s="7" t="s">
        <v>7370</v>
      </c>
      <c r="AC3" s="7" t="s">
        <v>7468</v>
      </c>
      <c r="AD3" s="7" t="s">
        <v>7562</v>
      </c>
      <c r="AE3" s="7" t="s">
        <v>7662</v>
      </c>
      <c r="AF3" s="7" t="s">
        <v>7755</v>
      </c>
      <c r="AG3" s="7" t="s">
        <v>7853</v>
      </c>
      <c r="AH3" s="7" t="s">
        <v>3098</v>
      </c>
      <c r="AI3" s="7" t="s">
        <v>2069</v>
      </c>
      <c r="AJ3" s="7" t="s">
        <v>4695</v>
      </c>
      <c r="AK3" s="7" t="s">
        <v>5551</v>
      </c>
      <c r="AL3" s="7" t="s">
        <v>1795</v>
      </c>
      <c r="AM3" s="7" t="s">
        <v>3503</v>
      </c>
      <c r="AN3" s="7" t="s">
        <v>4234</v>
      </c>
      <c r="AO3" s="7" t="s">
        <v>7920</v>
      </c>
      <c r="AP3" s="29" t="s">
        <v>3505</v>
      </c>
      <c r="AQ3" s="29" t="s">
        <v>7356</v>
      </c>
    </row>
    <row r="4" customFormat="false" ht="15" hidden="false" customHeight="true" outlineLevel="0" collapsed="false">
      <c r="A4" s="7" t="s">
        <v>241</v>
      </c>
      <c r="B4" s="7" t="s">
        <v>292</v>
      </c>
      <c r="C4" s="7" t="s">
        <v>156</v>
      </c>
      <c r="D4" s="7" t="s">
        <v>2458</v>
      </c>
      <c r="E4" s="7" t="s">
        <v>2127</v>
      </c>
      <c r="F4" s="7" t="s">
        <v>3886</v>
      </c>
      <c r="G4" s="7" t="s">
        <v>5142</v>
      </c>
      <c r="H4" s="7" t="s">
        <v>6179</v>
      </c>
      <c r="I4" s="7" t="s">
        <v>6427</v>
      </c>
      <c r="J4" s="7" t="s">
        <v>2265</v>
      </c>
      <c r="K4" s="7" t="s">
        <v>3752</v>
      </c>
      <c r="L4" s="7" t="s">
        <v>5052</v>
      </c>
      <c r="M4" s="7" t="s">
        <v>6091</v>
      </c>
      <c r="N4" s="7" t="s">
        <v>1811</v>
      </c>
      <c r="O4" s="7" t="s">
        <v>3811</v>
      </c>
      <c r="P4" s="7" t="s">
        <v>5035</v>
      </c>
      <c r="Q4" s="7" t="s">
        <v>6194</v>
      </c>
      <c r="R4" s="7" t="s">
        <v>3329</v>
      </c>
      <c r="S4" s="7" t="s">
        <v>3635</v>
      </c>
      <c r="T4" s="7" t="s">
        <v>4887</v>
      </c>
      <c r="U4" s="7" t="s">
        <v>5746</v>
      </c>
      <c r="V4" s="7" t="s">
        <v>1488</v>
      </c>
      <c r="W4" s="7" t="s">
        <v>6892</v>
      </c>
      <c r="X4" s="7" t="s">
        <v>6987</v>
      </c>
      <c r="Y4" s="7" t="s">
        <v>7086</v>
      </c>
      <c r="Z4" s="7" t="s">
        <v>7179</v>
      </c>
      <c r="AA4" s="7" t="s">
        <v>7277</v>
      </c>
      <c r="AB4" s="7" t="s">
        <v>7371</v>
      </c>
      <c r="AC4" s="7" t="s">
        <v>7469</v>
      </c>
      <c r="AD4" s="7" t="s">
        <v>7563</v>
      </c>
      <c r="AE4" s="7" t="s">
        <v>7663</v>
      </c>
      <c r="AF4" s="7" t="s">
        <v>7756</v>
      </c>
      <c r="AG4" s="7" t="s">
        <v>7854</v>
      </c>
      <c r="AH4" s="7" t="s">
        <v>3057</v>
      </c>
      <c r="AI4" s="7" t="s">
        <v>2248</v>
      </c>
      <c r="AJ4" s="7" t="s">
        <v>4674</v>
      </c>
      <c r="AK4" s="7" t="s">
        <v>5572</v>
      </c>
      <c r="AL4" s="7" t="s">
        <v>1660</v>
      </c>
      <c r="AM4" s="7" t="s">
        <v>6332</v>
      </c>
      <c r="AN4" s="7" t="s">
        <v>4231</v>
      </c>
      <c r="AO4" s="7" t="s">
        <v>7921</v>
      </c>
      <c r="AP4" s="29" t="s">
        <v>6330</v>
      </c>
      <c r="AQ4" s="29" t="s">
        <v>7354</v>
      </c>
    </row>
    <row r="5" customFormat="false" ht="15" hidden="false" customHeight="true" outlineLevel="0" collapsed="false">
      <c r="A5" s="7" t="s">
        <v>6444</v>
      </c>
      <c r="B5" s="7" t="s">
        <v>268</v>
      </c>
      <c r="C5" s="7" t="s">
        <v>6688</v>
      </c>
      <c r="D5" s="7" t="s">
        <v>2469</v>
      </c>
      <c r="E5" s="7" t="s">
        <v>2288</v>
      </c>
      <c r="F5" s="7" t="s">
        <v>3875</v>
      </c>
      <c r="G5" s="7" t="s">
        <v>5152</v>
      </c>
      <c r="H5" s="7" t="s">
        <v>6190</v>
      </c>
      <c r="I5" s="7" t="s">
        <v>2398</v>
      </c>
      <c r="J5" s="7" t="s">
        <v>1899</v>
      </c>
      <c r="K5" s="7" t="s">
        <v>3763</v>
      </c>
      <c r="L5" s="7" t="s">
        <v>5032</v>
      </c>
      <c r="M5" s="7" t="s">
        <v>6102</v>
      </c>
      <c r="N5" s="7" t="s">
        <v>1721</v>
      </c>
      <c r="O5" s="7" t="s">
        <v>3823</v>
      </c>
      <c r="P5" s="7" t="s">
        <v>5077</v>
      </c>
      <c r="Q5" s="7" t="s">
        <v>6203</v>
      </c>
      <c r="R5" s="7" t="s">
        <v>3296</v>
      </c>
      <c r="S5" s="7" t="s">
        <v>3565</v>
      </c>
      <c r="T5" s="7" t="s">
        <v>4843</v>
      </c>
      <c r="U5" s="7" t="s">
        <v>5758</v>
      </c>
      <c r="V5" s="7" t="s">
        <v>1626</v>
      </c>
      <c r="W5" s="7" t="s">
        <v>6893</v>
      </c>
      <c r="X5" s="7" t="s">
        <v>6988</v>
      </c>
      <c r="Y5" s="7" t="s">
        <v>7087</v>
      </c>
      <c r="Z5" s="7" t="s">
        <v>7180</v>
      </c>
      <c r="AA5" s="7" t="s">
        <v>7278</v>
      </c>
      <c r="AB5" s="7" t="s">
        <v>7372</v>
      </c>
      <c r="AC5" s="7" t="s">
        <v>7470</v>
      </c>
      <c r="AD5" s="7" t="s">
        <v>7564</v>
      </c>
      <c r="AE5" s="7" t="s">
        <v>7664</v>
      </c>
      <c r="AF5" s="7" t="s">
        <v>7757</v>
      </c>
      <c r="AG5" s="7" t="s">
        <v>7855</v>
      </c>
      <c r="AH5" s="7" t="s">
        <v>3108</v>
      </c>
      <c r="AI5" s="7" t="s">
        <v>2189</v>
      </c>
      <c r="AJ5" s="7" t="s">
        <v>4747</v>
      </c>
      <c r="AK5" s="7" t="s">
        <v>4551</v>
      </c>
      <c r="AL5" s="7" t="s">
        <v>1687</v>
      </c>
      <c r="AM5" s="7" t="s">
        <v>6329</v>
      </c>
      <c r="AN5" s="7" t="s">
        <v>4735</v>
      </c>
      <c r="AO5" s="7" t="s">
        <v>197</v>
      </c>
      <c r="AP5" s="29" t="s">
        <v>6331</v>
      </c>
      <c r="AQ5" s="29" t="s">
        <v>7040</v>
      </c>
    </row>
    <row r="6" customFormat="false" ht="15" hidden="false" customHeight="true" outlineLevel="0" collapsed="false">
      <c r="A6" s="7" t="s">
        <v>246</v>
      </c>
      <c r="B6" s="7" t="s">
        <v>6563</v>
      </c>
      <c r="C6" s="7" t="s">
        <v>6690</v>
      </c>
      <c r="D6" s="7" t="s">
        <v>2480</v>
      </c>
      <c r="E6" s="7" t="s">
        <v>1905</v>
      </c>
      <c r="F6" s="7" t="s">
        <v>3930</v>
      </c>
      <c r="G6" s="7" t="s">
        <v>5164</v>
      </c>
      <c r="H6" s="7" t="s">
        <v>6199</v>
      </c>
      <c r="I6" s="7" t="s">
        <v>2410</v>
      </c>
      <c r="J6" s="7" t="s">
        <v>2107</v>
      </c>
      <c r="K6" s="7" t="s">
        <v>3774</v>
      </c>
      <c r="L6" s="7" t="s">
        <v>5087</v>
      </c>
      <c r="M6" s="7" t="s">
        <v>6112</v>
      </c>
      <c r="N6" s="7" t="s">
        <v>1757</v>
      </c>
      <c r="O6" s="7" t="s">
        <v>3834</v>
      </c>
      <c r="P6" s="7" t="s">
        <v>5103</v>
      </c>
      <c r="Q6" s="7" t="s">
        <v>6215</v>
      </c>
      <c r="R6" s="7" t="s">
        <v>3307</v>
      </c>
      <c r="S6" s="7" t="s">
        <v>3646</v>
      </c>
      <c r="T6" s="7" t="s">
        <v>4861</v>
      </c>
      <c r="U6" s="7" t="s">
        <v>5770</v>
      </c>
      <c r="V6" s="7" t="s">
        <v>1692</v>
      </c>
      <c r="W6" s="7" t="s">
        <v>6894</v>
      </c>
      <c r="X6" s="7" t="s">
        <v>6989</v>
      </c>
      <c r="Y6" s="7" t="s">
        <v>7088</v>
      </c>
      <c r="Z6" s="7" t="s">
        <v>7181</v>
      </c>
      <c r="AA6" s="7" t="s">
        <v>7279</v>
      </c>
      <c r="AB6" s="7" t="s">
        <v>7373</v>
      </c>
      <c r="AC6" s="7" t="s">
        <v>7471</v>
      </c>
      <c r="AD6" s="7" t="s">
        <v>7565</v>
      </c>
      <c r="AE6" s="7" t="s">
        <v>7665</v>
      </c>
      <c r="AF6" s="7" t="s">
        <v>7758</v>
      </c>
      <c r="AG6" s="7" t="s">
        <v>7856</v>
      </c>
      <c r="AH6" s="7" t="s">
        <v>3046</v>
      </c>
      <c r="AI6" s="7" t="s">
        <v>2062</v>
      </c>
      <c r="AJ6" s="7" t="s">
        <v>4622</v>
      </c>
      <c r="AK6" s="7" t="s">
        <v>5584</v>
      </c>
      <c r="AL6" s="7" t="s">
        <v>1584</v>
      </c>
      <c r="AM6" s="7" t="s">
        <v>6312</v>
      </c>
      <c r="AN6" s="7" t="s">
        <v>5689</v>
      </c>
      <c r="AO6" s="7" t="s">
        <v>7922</v>
      </c>
      <c r="AP6" s="29" t="s">
        <v>6310</v>
      </c>
      <c r="AQ6" s="29" t="s">
        <v>7039</v>
      </c>
    </row>
    <row r="7" customFormat="false" ht="15" hidden="false" customHeight="true" outlineLevel="0" collapsed="false">
      <c r="A7" s="7" t="s">
        <v>6445</v>
      </c>
      <c r="B7" s="7" t="s">
        <v>6564</v>
      </c>
      <c r="C7" s="7" t="s">
        <v>153</v>
      </c>
      <c r="D7" s="7" t="s">
        <v>5879</v>
      </c>
      <c r="E7" s="7" t="s">
        <v>2146</v>
      </c>
      <c r="F7" s="7" t="s">
        <v>3897</v>
      </c>
      <c r="G7" s="7" t="s">
        <v>5177</v>
      </c>
      <c r="H7" s="7" t="s">
        <v>6211</v>
      </c>
      <c r="I7" s="7" t="s">
        <v>2495</v>
      </c>
      <c r="J7" s="7" t="s">
        <v>2207</v>
      </c>
      <c r="K7" s="7" t="s">
        <v>3785</v>
      </c>
      <c r="L7" s="7" t="s">
        <v>5074</v>
      </c>
      <c r="M7" s="7" t="s">
        <v>6127</v>
      </c>
      <c r="N7" s="7" t="s">
        <v>1805</v>
      </c>
      <c r="O7" s="7" t="s">
        <v>3685</v>
      </c>
      <c r="P7" s="7" t="s">
        <v>5136</v>
      </c>
      <c r="Q7" s="7" t="s">
        <v>6226</v>
      </c>
      <c r="R7" s="7" t="s">
        <v>3284</v>
      </c>
      <c r="S7" s="7" t="s">
        <v>3624</v>
      </c>
      <c r="T7" s="7" t="s">
        <v>4872</v>
      </c>
      <c r="U7" s="7" t="s">
        <v>5781</v>
      </c>
      <c r="V7" s="7" t="s">
        <v>1495</v>
      </c>
      <c r="W7" s="7" t="s">
        <v>6895</v>
      </c>
      <c r="X7" s="7" t="s">
        <v>6990</v>
      </c>
      <c r="Y7" s="7" t="s">
        <v>7089</v>
      </c>
      <c r="Z7" s="7" t="s">
        <v>7182</v>
      </c>
      <c r="AA7" s="7" t="s">
        <v>7280</v>
      </c>
      <c r="AB7" s="7" t="s">
        <v>4130</v>
      </c>
      <c r="AC7" s="7" t="s">
        <v>7472</v>
      </c>
      <c r="AD7" s="7" t="s">
        <v>7566</v>
      </c>
      <c r="AE7" s="7" t="s">
        <v>7666</v>
      </c>
      <c r="AF7" s="7" t="s">
        <v>7759</v>
      </c>
      <c r="AG7" s="7" t="s">
        <v>7857</v>
      </c>
      <c r="AH7" s="7" t="s">
        <v>3119</v>
      </c>
      <c r="AI7" s="7" t="s">
        <v>2009</v>
      </c>
      <c r="AJ7" s="7" t="s">
        <v>4631</v>
      </c>
      <c r="AK7" s="7" t="s">
        <v>5595</v>
      </c>
      <c r="AL7" s="7" t="s">
        <v>1442</v>
      </c>
      <c r="AM7" s="7" t="s">
        <v>6309</v>
      </c>
      <c r="AN7" s="7" t="s">
        <v>5686</v>
      </c>
      <c r="AO7" s="7" t="s">
        <v>7923</v>
      </c>
      <c r="AP7" s="29" t="s">
        <v>6311</v>
      </c>
      <c r="AQ7" s="29" t="s">
        <v>7206</v>
      </c>
    </row>
    <row r="8" customFormat="false" ht="15" hidden="false" customHeight="true" outlineLevel="0" collapsed="false">
      <c r="A8" s="7" t="s">
        <v>6446</v>
      </c>
      <c r="B8" s="7" t="s">
        <v>6566</v>
      </c>
      <c r="C8" s="7" t="s">
        <v>173</v>
      </c>
      <c r="D8" s="7" t="s">
        <v>2513</v>
      </c>
      <c r="E8" s="7" t="s">
        <v>1890</v>
      </c>
      <c r="F8" s="7" t="s">
        <v>3940</v>
      </c>
      <c r="G8" s="7" t="s">
        <v>5193</v>
      </c>
      <c r="H8" s="7" t="s">
        <v>6222</v>
      </c>
      <c r="I8" s="7" t="s">
        <v>2437</v>
      </c>
      <c r="J8" s="7" t="s">
        <v>1944</v>
      </c>
      <c r="K8" s="7" t="s">
        <v>3841</v>
      </c>
      <c r="L8" s="7" t="s">
        <v>5100</v>
      </c>
      <c r="M8" s="7" t="s">
        <v>6137</v>
      </c>
      <c r="N8" s="7" t="s">
        <v>1426</v>
      </c>
      <c r="O8" s="7" t="s">
        <v>3698</v>
      </c>
      <c r="P8" s="7" t="s">
        <v>5146</v>
      </c>
      <c r="Q8" s="7" t="s">
        <v>6237</v>
      </c>
      <c r="R8" s="7" t="s">
        <v>3318</v>
      </c>
      <c r="S8" s="7" t="s">
        <v>3656</v>
      </c>
      <c r="T8" s="7" t="s">
        <v>4902</v>
      </c>
      <c r="U8" s="7" t="s">
        <v>5792</v>
      </c>
      <c r="V8" s="7" t="s">
        <v>1635</v>
      </c>
      <c r="W8" s="7" t="s">
        <v>6896</v>
      </c>
      <c r="X8" s="7" t="s">
        <v>6991</v>
      </c>
      <c r="Y8" s="7" t="s">
        <v>7090</v>
      </c>
      <c r="Z8" s="7" t="s">
        <v>7183</v>
      </c>
      <c r="AA8" s="7" t="s">
        <v>7281</v>
      </c>
      <c r="AB8" s="7" t="s">
        <v>7374</v>
      </c>
      <c r="AC8" s="7" t="s">
        <v>7473</v>
      </c>
      <c r="AD8" s="7" t="s">
        <v>7567</v>
      </c>
      <c r="AE8" s="7" t="s">
        <v>7667</v>
      </c>
      <c r="AF8" s="7" t="s">
        <v>7760</v>
      </c>
      <c r="AG8" s="7" t="s">
        <v>7858</v>
      </c>
      <c r="AH8" s="7" t="s">
        <v>3169</v>
      </c>
      <c r="AI8" s="7" t="s">
        <v>2216</v>
      </c>
      <c r="AJ8" s="7" t="s">
        <v>4706</v>
      </c>
      <c r="AK8" s="7" t="s">
        <v>5606</v>
      </c>
      <c r="AL8" s="7" t="s">
        <v>1867</v>
      </c>
      <c r="AM8" s="7" t="s">
        <v>5156</v>
      </c>
      <c r="AN8" s="7" t="s">
        <v>2584</v>
      </c>
      <c r="AO8" s="7" t="s">
        <v>200</v>
      </c>
      <c r="AP8" s="29" t="s">
        <v>5154</v>
      </c>
      <c r="AQ8" s="29" t="s">
        <v>7204</v>
      </c>
    </row>
    <row r="9" customFormat="false" ht="15" hidden="false" customHeight="true" outlineLevel="0" collapsed="false">
      <c r="A9" s="7" t="s">
        <v>235</v>
      </c>
      <c r="B9" s="7" t="s">
        <v>277</v>
      </c>
      <c r="C9" s="7" t="s">
        <v>154</v>
      </c>
      <c r="D9" s="7" t="s">
        <v>2561</v>
      </c>
      <c r="E9" s="7" t="s">
        <v>2159</v>
      </c>
      <c r="F9" s="7" t="s">
        <v>3908</v>
      </c>
      <c r="G9" s="7" t="s">
        <v>5206</v>
      </c>
      <c r="H9" s="7" t="s">
        <v>6233</v>
      </c>
      <c r="I9" s="7" t="s">
        <v>2424</v>
      </c>
      <c r="J9" s="7" t="s">
        <v>2201</v>
      </c>
      <c r="K9" s="7" t="s">
        <v>3920</v>
      </c>
      <c r="L9" s="7" t="s">
        <v>5111</v>
      </c>
      <c r="M9" s="7" t="s">
        <v>6148</v>
      </c>
      <c r="N9" s="7" t="s">
        <v>1652</v>
      </c>
      <c r="O9" s="7" t="s">
        <v>3710</v>
      </c>
      <c r="P9" s="7" t="s">
        <v>5156</v>
      </c>
      <c r="Q9" s="7" t="s">
        <v>6248</v>
      </c>
      <c r="R9" s="7" t="s">
        <v>3361</v>
      </c>
      <c r="S9" s="7" t="s">
        <v>3577</v>
      </c>
      <c r="T9" s="7" t="s">
        <v>4914</v>
      </c>
      <c r="U9" s="7" t="s">
        <v>5870</v>
      </c>
      <c r="V9" s="7" t="s">
        <v>1502</v>
      </c>
      <c r="W9" s="7" t="s">
        <v>6897</v>
      </c>
      <c r="X9" s="7" t="s">
        <v>6992</v>
      </c>
      <c r="Y9" s="7" t="s">
        <v>7091</v>
      </c>
      <c r="Z9" s="7" t="s">
        <v>7184</v>
      </c>
      <c r="AA9" s="7" t="s">
        <v>7282</v>
      </c>
      <c r="AB9" s="7" t="s">
        <v>4176</v>
      </c>
      <c r="AC9" s="7" t="s">
        <v>7474</v>
      </c>
      <c r="AD9" s="7" t="s">
        <v>7568</v>
      </c>
      <c r="AE9" s="7" t="s">
        <v>7668</v>
      </c>
      <c r="AF9" s="7" t="s">
        <v>7761</v>
      </c>
      <c r="AG9" s="7" t="s">
        <v>7859</v>
      </c>
      <c r="AH9" s="7" t="s">
        <v>3178</v>
      </c>
      <c r="AI9" s="7" t="s">
        <v>2047</v>
      </c>
      <c r="AJ9" s="7" t="s">
        <v>4642</v>
      </c>
      <c r="AK9" s="7" t="s">
        <v>5617</v>
      </c>
      <c r="AL9" s="7" t="s">
        <v>1591</v>
      </c>
      <c r="AM9" s="7" t="s">
        <v>5153</v>
      </c>
      <c r="AN9" s="7" t="s">
        <v>2902</v>
      </c>
      <c r="AO9" s="7" t="s">
        <v>227</v>
      </c>
      <c r="AP9" s="29" t="s">
        <v>5155</v>
      </c>
      <c r="AQ9" s="29" t="s">
        <v>6850</v>
      </c>
    </row>
    <row r="10" customFormat="false" ht="15" hidden="false" customHeight="true" outlineLevel="0" collapsed="false">
      <c r="A10" s="7" t="s">
        <v>247</v>
      </c>
      <c r="B10" s="7" t="s">
        <v>293</v>
      </c>
      <c r="C10" s="7" t="s">
        <v>169</v>
      </c>
      <c r="D10" s="7" t="s">
        <v>2526</v>
      </c>
      <c r="E10" s="7" t="s">
        <v>1883</v>
      </c>
      <c r="F10" s="7" t="s">
        <v>3951</v>
      </c>
      <c r="G10" s="7" t="s">
        <v>5219</v>
      </c>
      <c r="H10" s="7" t="s">
        <v>6244</v>
      </c>
      <c r="I10" s="7" t="s">
        <v>2505</v>
      </c>
      <c r="J10" s="7" t="s">
        <v>2140</v>
      </c>
      <c r="K10" s="7" t="s">
        <v>3853</v>
      </c>
      <c r="L10" s="7" t="s">
        <v>5123</v>
      </c>
      <c r="M10" s="7" t="s">
        <v>6158</v>
      </c>
      <c r="N10" s="7" t="s">
        <v>1509</v>
      </c>
      <c r="O10" s="7" t="s">
        <v>3721</v>
      </c>
      <c r="P10" s="7" t="s">
        <v>5168</v>
      </c>
      <c r="Q10" s="7" t="s">
        <v>6258</v>
      </c>
      <c r="R10" s="7" t="s">
        <v>3373</v>
      </c>
      <c r="S10" s="7" t="s">
        <v>3667</v>
      </c>
      <c r="T10" s="7" t="s">
        <v>4924</v>
      </c>
      <c r="U10" s="7" t="s">
        <v>5803</v>
      </c>
      <c r="V10" s="7" t="s">
        <v>1420</v>
      </c>
      <c r="W10" s="7" t="s">
        <v>6898</v>
      </c>
      <c r="X10" s="7" t="s">
        <v>6993</v>
      </c>
      <c r="Y10" s="7" t="s">
        <v>7092</v>
      </c>
      <c r="Z10" s="7" t="s">
        <v>938</v>
      </c>
      <c r="AA10" s="7" t="s">
        <v>7283</v>
      </c>
      <c r="AB10" s="7" t="s">
        <v>4163</v>
      </c>
      <c r="AC10" s="7" t="s">
        <v>7475</v>
      </c>
      <c r="AD10" s="7" t="s">
        <v>7569</v>
      </c>
      <c r="AE10" s="7" t="s">
        <v>7669</v>
      </c>
      <c r="AF10" s="7" t="s">
        <v>7762</v>
      </c>
      <c r="AG10" s="7" t="s">
        <v>7860</v>
      </c>
      <c r="AH10" s="7" t="s">
        <v>3190</v>
      </c>
      <c r="AI10" s="7" t="s">
        <v>2022</v>
      </c>
      <c r="AJ10" s="7" t="s">
        <v>4717</v>
      </c>
      <c r="AK10" s="7" t="s">
        <v>5629</v>
      </c>
      <c r="AL10" s="7" t="s">
        <v>1470</v>
      </c>
      <c r="AM10" s="7" t="s">
        <v>6340</v>
      </c>
      <c r="AN10" s="7" t="s">
        <v>3811</v>
      </c>
      <c r="AO10" s="7" t="s">
        <v>212</v>
      </c>
      <c r="AP10" s="29" t="s">
        <v>6338</v>
      </c>
      <c r="AQ10" s="29" t="s">
        <v>6849</v>
      </c>
    </row>
    <row r="11" customFormat="false" ht="15" hidden="false" customHeight="true" outlineLevel="0" collapsed="false">
      <c r="A11" s="7" t="s">
        <v>248</v>
      </c>
      <c r="B11" s="7" t="s">
        <v>6568</v>
      </c>
      <c r="C11" s="7" t="s">
        <v>159</v>
      </c>
      <c r="D11" s="7" t="s">
        <v>2539</v>
      </c>
      <c r="E11" s="7" t="s">
        <v>2282</v>
      </c>
      <c r="F11" s="7" t="s">
        <v>3964</v>
      </c>
      <c r="G11" s="7" t="s">
        <v>5921</v>
      </c>
      <c r="H11" s="7" t="s">
        <v>6254</v>
      </c>
      <c r="I11" s="7" t="s">
        <v>2448</v>
      </c>
      <c r="J11" s="7" t="s">
        <v>2220</v>
      </c>
      <c r="K11" s="7" t="s">
        <v>3865</v>
      </c>
      <c r="L11" s="7" t="s">
        <v>5133</v>
      </c>
      <c r="M11" s="7" t="s">
        <v>6169</v>
      </c>
      <c r="N11" s="7" t="s">
        <v>1799</v>
      </c>
      <c r="O11" s="7" t="s">
        <v>3732</v>
      </c>
      <c r="P11" s="7" t="s">
        <v>5181</v>
      </c>
      <c r="Q11" s="7" t="s">
        <v>6269</v>
      </c>
      <c r="R11" s="7" t="s">
        <v>3406</v>
      </c>
      <c r="S11" s="7" t="s">
        <v>3613</v>
      </c>
      <c r="T11" s="7" t="s">
        <v>4934</v>
      </c>
      <c r="U11" s="7" t="s">
        <v>5814</v>
      </c>
      <c r="V11" s="7" t="s">
        <v>1641</v>
      </c>
      <c r="W11" s="7" t="s">
        <v>6899</v>
      </c>
      <c r="X11" s="7" t="s">
        <v>6994</v>
      </c>
      <c r="Y11" s="7" t="s">
        <v>7093</v>
      </c>
      <c r="Z11" s="7" t="s">
        <v>945</v>
      </c>
      <c r="AA11" s="7" t="s">
        <v>7284</v>
      </c>
      <c r="AB11" s="7" t="s">
        <v>7375</v>
      </c>
      <c r="AC11" s="7" t="s">
        <v>7476</v>
      </c>
      <c r="AD11" s="7" t="s">
        <v>7570</v>
      </c>
      <c r="AE11" s="7" t="s">
        <v>7670</v>
      </c>
      <c r="AF11" s="7" t="s">
        <v>7763</v>
      </c>
      <c r="AG11" s="7" t="s">
        <v>7861</v>
      </c>
      <c r="AH11" s="7" t="s">
        <v>3203</v>
      </c>
      <c r="AI11" s="7" t="s">
        <v>2015</v>
      </c>
      <c r="AJ11" s="7" t="s">
        <v>4652</v>
      </c>
      <c r="AK11" s="7" t="s">
        <v>5640</v>
      </c>
      <c r="AL11" s="7" t="s">
        <v>1388</v>
      </c>
      <c r="AM11" s="7" t="s">
        <v>6337</v>
      </c>
      <c r="AN11" s="7" t="s">
        <v>3808</v>
      </c>
      <c r="AO11" s="7" t="s">
        <v>7924</v>
      </c>
      <c r="AP11" s="29" t="s">
        <v>6339</v>
      </c>
      <c r="AQ11" s="29" t="s">
        <v>7050</v>
      </c>
    </row>
    <row r="12" customFormat="false" ht="15" hidden="false" customHeight="true" outlineLevel="0" collapsed="false">
      <c r="A12" s="7" t="s">
        <v>6447</v>
      </c>
      <c r="B12" s="7" t="s">
        <v>266</v>
      </c>
      <c r="C12" s="7" t="s">
        <v>161</v>
      </c>
      <c r="D12" s="7" t="s">
        <v>2551</v>
      </c>
      <c r="E12" s="7" t="s">
        <v>2276</v>
      </c>
      <c r="F12" s="7" t="s">
        <v>3974</v>
      </c>
      <c r="G12" s="7" t="s">
        <v>5231</v>
      </c>
      <c r="H12" s="7" t="s">
        <v>6265</v>
      </c>
      <c r="I12" s="7" t="s">
        <v>2459</v>
      </c>
      <c r="J12" s="7" t="s">
        <v>2128</v>
      </c>
      <c r="K12" s="7" t="s">
        <v>3876</v>
      </c>
      <c r="L12" s="7" t="s">
        <v>5143</v>
      </c>
      <c r="M12" s="7" t="s">
        <v>6180</v>
      </c>
      <c r="N12" s="7" t="s">
        <v>6428</v>
      </c>
      <c r="O12" s="7" t="s">
        <v>3744</v>
      </c>
      <c r="P12" s="7" t="s">
        <v>5197</v>
      </c>
      <c r="Q12" s="7" t="s">
        <v>6281</v>
      </c>
      <c r="R12" s="7" t="s">
        <v>3384</v>
      </c>
      <c r="S12" s="7" t="s">
        <v>3602</v>
      </c>
      <c r="T12" s="7" t="s">
        <v>4949</v>
      </c>
      <c r="U12" s="7" t="s">
        <v>5956</v>
      </c>
      <c r="V12" s="7" t="s">
        <v>1648</v>
      </c>
      <c r="W12" s="7" t="s">
        <v>6900</v>
      </c>
      <c r="X12" s="7" t="s">
        <v>6995</v>
      </c>
      <c r="Y12" s="7" t="s">
        <v>7094</v>
      </c>
      <c r="Z12" s="7" t="s">
        <v>7185</v>
      </c>
      <c r="AA12" s="7" t="s">
        <v>7285</v>
      </c>
      <c r="AB12" s="7" t="s">
        <v>7376</v>
      </c>
      <c r="AC12" s="7" t="s">
        <v>7477</v>
      </c>
      <c r="AD12" s="7" t="s">
        <v>7571</v>
      </c>
      <c r="AE12" s="7" t="s">
        <v>7671</v>
      </c>
      <c r="AF12" s="7" t="s">
        <v>7764</v>
      </c>
      <c r="AG12" s="7" t="s">
        <v>7862</v>
      </c>
      <c r="AH12" s="7" t="s">
        <v>3128</v>
      </c>
      <c r="AI12" s="7" t="s">
        <v>2229</v>
      </c>
      <c r="AJ12" s="7" t="s">
        <v>4683</v>
      </c>
      <c r="AK12" s="7" t="s">
        <v>5652</v>
      </c>
      <c r="AL12" s="7" t="s">
        <v>1831</v>
      </c>
      <c r="AM12" s="7" t="s">
        <v>4663</v>
      </c>
      <c r="AN12" s="7" t="s">
        <v>5849</v>
      </c>
      <c r="AO12" s="7" t="s">
        <v>213</v>
      </c>
      <c r="AP12" s="29" t="s">
        <v>4661</v>
      </c>
      <c r="AQ12" s="29" t="s">
        <v>7049</v>
      </c>
    </row>
    <row r="13" customFormat="false" ht="15" hidden="false" customHeight="true" outlineLevel="0" collapsed="false">
      <c r="A13" s="7" t="s">
        <v>6448</v>
      </c>
      <c r="B13" s="7" t="s">
        <v>6570</v>
      </c>
      <c r="C13" s="7" t="s">
        <v>160</v>
      </c>
      <c r="D13" s="7" t="s">
        <v>2678</v>
      </c>
      <c r="E13" s="7" t="s">
        <v>2383</v>
      </c>
      <c r="F13" s="7" t="s">
        <v>3986</v>
      </c>
      <c r="G13" s="7" t="s">
        <v>5266</v>
      </c>
      <c r="H13" s="7" t="s">
        <v>6277</v>
      </c>
      <c r="I13" s="7" t="s">
        <v>2470</v>
      </c>
      <c r="J13" s="7" t="s">
        <v>2289</v>
      </c>
      <c r="K13" s="7" t="s">
        <v>3931</v>
      </c>
      <c r="L13" s="7" t="s">
        <v>5165</v>
      </c>
      <c r="M13" s="7" t="s">
        <v>6191</v>
      </c>
      <c r="N13" s="7" t="s">
        <v>2401</v>
      </c>
      <c r="O13" s="7" t="s">
        <v>3755</v>
      </c>
      <c r="P13" s="7" t="s">
        <v>5210</v>
      </c>
      <c r="Q13" s="7" t="s">
        <v>6292</v>
      </c>
      <c r="R13" s="7" t="s">
        <v>3394</v>
      </c>
      <c r="S13" s="7" t="s">
        <v>3587</v>
      </c>
      <c r="T13" s="7" t="s">
        <v>4964</v>
      </c>
      <c r="U13" s="7" t="s">
        <v>5968</v>
      </c>
      <c r="V13" s="7" t="s">
        <v>1734</v>
      </c>
      <c r="W13" s="7" t="s">
        <v>6901</v>
      </c>
      <c r="X13" s="7" t="s">
        <v>6996</v>
      </c>
      <c r="Y13" s="7" t="s">
        <v>7095</v>
      </c>
      <c r="Z13" s="7" t="s">
        <v>7186</v>
      </c>
      <c r="AA13" s="7" t="s">
        <v>7286</v>
      </c>
      <c r="AB13" s="7" t="s">
        <v>7377</v>
      </c>
      <c r="AC13" s="7" t="s">
        <v>7478</v>
      </c>
      <c r="AD13" s="7" t="s">
        <v>7572</v>
      </c>
      <c r="AE13" s="7" t="s">
        <v>5665</v>
      </c>
      <c r="AF13" s="7" t="s">
        <v>7765</v>
      </c>
      <c r="AG13" s="7" t="s">
        <v>576</v>
      </c>
      <c r="AH13" s="7" t="s">
        <v>3158</v>
      </c>
      <c r="AI13" s="7" t="s">
        <v>2002</v>
      </c>
      <c r="AJ13" s="7" t="s">
        <v>4662</v>
      </c>
      <c r="AK13" s="7" t="s">
        <v>5663</v>
      </c>
      <c r="AL13" s="7" t="s">
        <v>1861</v>
      </c>
      <c r="AM13" s="7" t="s">
        <v>4660</v>
      </c>
      <c r="AN13" s="7" t="s">
        <v>5846</v>
      </c>
      <c r="AO13" s="7" t="s">
        <v>206</v>
      </c>
      <c r="AP13" s="29" t="s">
        <v>4662</v>
      </c>
      <c r="AQ13" s="29" t="s">
        <v>6920</v>
      </c>
    </row>
    <row r="14" customFormat="false" ht="15" hidden="false" customHeight="true" outlineLevel="0" collapsed="false">
      <c r="A14" s="7" t="s">
        <v>244</v>
      </c>
      <c r="B14" s="7" t="s">
        <v>6572</v>
      </c>
      <c r="C14" s="7" t="s">
        <v>6695</v>
      </c>
      <c r="D14" s="7" t="s">
        <v>2569</v>
      </c>
      <c r="E14" s="7" t="s">
        <v>2371</v>
      </c>
      <c r="F14" s="7" t="s">
        <v>3999</v>
      </c>
      <c r="G14" s="7" t="s">
        <v>5289</v>
      </c>
      <c r="H14" s="7" t="s">
        <v>6288</v>
      </c>
      <c r="I14" s="7" t="s">
        <v>2481</v>
      </c>
      <c r="J14" s="7" t="s">
        <v>1906</v>
      </c>
      <c r="K14" s="7" t="s">
        <v>3898</v>
      </c>
      <c r="L14" s="7" t="s">
        <v>5153</v>
      </c>
      <c r="M14" s="7" t="s">
        <v>6200</v>
      </c>
      <c r="N14" s="7" t="s">
        <v>2413</v>
      </c>
      <c r="O14" s="7" t="s">
        <v>3766</v>
      </c>
      <c r="P14" s="7" t="s">
        <v>5223</v>
      </c>
      <c r="Q14" s="7" t="s">
        <v>6332</v>
      </c>
      <c r="R14" s="7" t="s">
        <v>3427</v>
      </c>
      <c r="S14" s="7" t="s">
        <v>3798</v>
      </c>
      <c r="T14" s="7" t="s">
        <v>4980</v>
      </c>
      <c r="U14" s="7" t="s">
        <v>5979</v>
      </c>
      <c r="V14" s="7" t="s">
        <v>1698</v>
      </c>
      <c r="W14" s="7" t="s">
        <v>6902</v>
      </c>
      <c r="X14" s="7" t="s">
        <v>6997</v>
      </c>
      <c r="Y14" s="7" t="s">
        <v>7096</v>
      </c>
      <c r="Z14" s="7" t="s">
        <v>7187</v>
      </c>
      <c r="AA14" s="7" t="s">
        <v>7287</v>
      </c>
      <c r="AB14" s="7" t="s">
        <v>7378</v>
      </c>
      <c r="AC14" s="7" t="s">
        <v>7479</v>
      </c>
      <c r="AD14" s="7" t="s">
        <v>7573</v>
      </c>
      <c r="AE14" s="7" t="s">
        <v>7672</v>
      </c>
      <c r="AF14" s="7" t="s">
        <v>7766</v>
      </c>
      <c r="AG14" s="7" t="s">
        <v>435</v>
      </c>
      <c r="AH14" s="7" t="s">
        <v>3140</v>
      </c>
      <c r="AI14" s="7" t="s">
        <v>2255</v>
      </c>
      <c r="AJ14" s="7" t="s">
        <v>4727</v>
      </c>
      <c r="AK14" s="7" t="s">
        <v>5675</v>
      </c>
      <c r="AL14" s="7" t="s">
        <v>1600</v>
      </c>
      <c r="AM14" s="7" t="s">
        <v>5405</v>
      </c>
      <c r="AN14" s="7" t="s">
        <v>2543</v>
      </c>
      <c r="AO14" s="7" t="s">
        <v>7925</v>
      </c>
      <c r="AP14" s="29" t="s">
        <v>5403</v>
      </c>
      <c r="AQ14" s="29" t="s">
        <v>6921</v>
      </c>
    </row>
    <row r="15" customFormat="false" ht="15" hidden="false" customHeight="true" outlineLevel="0" collapsed="false">
      <c r="A15" s="7" t="s">
        <v>6449</v>
      </c>
      <c r="B15" s="7" t="s">
        <v>284</v>
      </c>
      <c r="C15" s="7" t="s">
        <v>150</v>
      </c>
      <c r="D15" s="7" t="s">
        <v>2580</v>
      </c>
      <c r="E15" s="7" t="s">
        <v>1913</v>
      </c>
      <c r="F15" s="7" t="s">
        <v>4012</v>
      </c>
      <c r="G15" s="7" t="s">
        <v>5276</v>
      </c>
      <c r="H15" s="7" t="s">
        <v>6328</v>
      </c>
      <c r="I15" s="7" t="s">
        <v>5880</v>
      </c>
      <c r="J15" s="7" t="s">
        <v>2147</v>
      </c>
      <c r="K15" s="7" t="s">
        <v>3941</v>
      </c>
      <c r="L15" s="7" t="s">
        <v>5178</v>
      </c>
      <c r="M15" s="7" t="s">
        <v>6212</v>
      </c>
      <c r="N15" s="7" t="s">
        <v>2427</v>
      </c>
      <c r="O15" s="7" t="s">
        <v>3777</v>
      </c>
      <c r="P15" s="7" t="s">
        <v>5925</v>
      </c>
      <c r="Q15" s="7" t="s">
        <v>6324</v>
      </c>
      <c r="R15" s="7" t="s">
        <v>3416</v>
      </c>
      <c r="S15" s="7" t="s">
        <v>3809</v>
      </c>
      <c r="T15" s="7" t="s">
        <v>4998</v>
      </c>
      <c r="U15" s="7" t="s">
        <v>5990</v>
      </c>
      <c r="V15" s="7" t="s">
        <v>1770</v>
      </c>
      <c r="W15" s="7" t="s">
        <v>6903</v>
      </c>
      <c r="X15" s="7" t="s">
        <v>6998</v>
      </c>
      <c r="Y15" s="7" t="s">
        <v>7097</v>
      </c>
      <c r="Z15" s="7" t="s">
        <v>7188</v>
      </c>
      <c r="AA15" s="7" t="s">
        <v>7288</v>
      </c>
      <c r="AB15" s="7" t="s">
        <v>7379</v>
      </c>
      <c r="AC15" s="7" t="s">
        <v>7480</v>
      </c>
      <c r="AD15" s="7" t="s">
        <v>7574</v>
      </c>
      <c r="AE15" s="7" t="s">
        <v>7673</v>
      </c>
      <c r="AF15" s="7" t="s">
        <v>7767</v>
      </c>
      <c r="AG15" s="7" t="s">
        <v>7863</v>
      </c>
      <c r="AH15" s="7" t="s">
        <v>3256</v>
      </c>
      <c r="AI15" s="7" t="s">
        <v>1981</v>
      </c>
      <c r="AJ15" s="7" t="s">
        <v>4737</v>
      </c>
      <c r="AK15" s="7" t="s">
        <v>5688</v>
      </c>
      <c r="AL15" s="7" t="s">
        <v>1477</v>
      </c>
      <c r="AM15" s="7" t="s">
        <v>5402</v>
      </c>
      <c r="AN15" s="7" t="s">
        <v>2555</v>
      </c>
      <c r="AO15" s="7" t="s">
        <v>7926</v>
      </c>
      <c r="AP15" s="29" t="s">
        <v>5404</v>
      </c>
      <c r="AQ15" s="29" t="s">
        <v>6846</v>
      </c>
    </row>
    <row r="16" customFormat="false" ht="15" hidden="false" customHeight="true" outlineLevel="0" collapsed="false">
      <c r="A16" s="7" t="s">
        <v>6451</v>
      </c>
      <c r="B16" s="7" t="s">
        <v>6574</v>
      </c>
      <c r="C16" s="7" t="s">
        <v>6697</v>
      </c>
      <c r="D16" s="7" t="s">
        <v>2590</v>
      </c>
      <c r="E16" s="7" t="s">
        <v>2359</v>
      </c>
      <c r="F16" s="7" t="s">
        <v>4024</v>
      </c>
      <c r="G16" s="7" t="s">
        <v>5243</v>
      </c>
      <c r="H16" s="7" t="s">
        <v>6320</v>
      </c>
      <c r="I16" s="7" t="s">
        <v>2514</v>
      </c>
      <c r="J16" s="7" t="s">
        <v>1891</v>
      </c>
      <c r="K16" s="7" t="s">
        <v>3887</v>
      </c>
      <c r="L16" s="7" t="s">
        <v>5194</v>
      </c>
      <c r="M16" s="7" t="s">
        <v>6223</v>
      </c>
      <c r="N16" s="7" t="s">
        <v>2451</v>
      </c>
      <c r="O16" s="7" t="s">
        <v>3788</v>
      </c>
      <c r="P16" s="7" t="s">
        <v>5235</v>
      </c>
      <c r="Q16" s="7" t="s">
        <v>6303</v>
      </c>
      <c r="R16" s="7" t="s">
        <v>3448</v>
      </c>
      <c r="S16" s="7" t="s">
        <v>3821</v>
      </c>
      <c r="T16" s="7" t="s">
        <v>5935</v>
      </c>
      <c r="U16" s="7" t="s">
        <v>6002</v>
      </c>
      <c r="V16" s="7" t="s">
        <v>1448</v>
      </c>
      <c r="W16" s="7" t="s">
        <v>6904</v>
      </c>
      <c r="X16" s="7" t="s">
        <v>6999</v>
      </c>
      <c r="Y16" s="7" t="s">
        <v>7098</v>
      </c>
      <c r="Z16" s="7" t="s">
        <v>7189</v>
      </c>
      <c r="AA16" s="7" t="s">
        <v>7289</v>
      </c>
      <c r="AB16" s="7" t="s">
        <v>7380</v>
      </c>
      <c r="AC16" s="7" t="s">
        <v>7481</v>
      </c>
      <c r="AD16" s="7" t="s">
        <v>7575</v>
      </c>
      <c r="AE16" s="7" t="s">
        <v>7674</v>
      </c>
      <c r="AF16" s="7" t="s">
        <v>7768</v>
      </c>
      <c r="AG16" s="7" t="s">
        <v>7864</v>
      </c>
      <c r="AH16" s="7" t="s">
        <v>3265</v>
      </c>
      <c r="AI16" s="7" t="s">
        <v>1988</v>
      </c>
      <c r="AJ16" s="7" t="s">
        <v>4811</v>
      </c>
      <c r="AK16" s="7" t="s">
        <v>5701</v>
      </c>
      <c r="AL16" s="7" t="s">
        <v>1606</v>
      </c>
      <c r="AM16" s="7" t="s">
        <v>3129</v>
      </c>
      <c r="AN16" s="7" t="s">
        <v>2670</v>
      </c>
      <c r="AO16" s="7" t="s">
        <v>7927</v>
      </c>
      <c r="AP16" s="29" t="s">
        <v>3127</v>
      </c>
      <c r="AQ16" s="29" t="s">
        <v>6842</v>
      </c>
    </row>
    <row r="17" customFormat="false" ht="15" hidden="false" customHeight="true" outlineLevel="0" collapsed="false">
      <c r="A17" s="7" t="s">
        <v>290</v>
      </c>
      <c r="B17" s="7" t="s">
        <v>257</v>
      </c>
      <c r="C17" s="7" t="s">
        <v>6699</v>
      </c>
      <c r="D17" s="7" t="s">
        <v>2601</v>
      </c>
      <c r="E17" s="7" t="s">
        <v>2038</v>
      </c>
      <c r="F17" s="7" t="s">
        <v>4036</v>
      </c>
      <c r="G17" s="7" t="s">
        <v>5255</v>
      </c>
      <c r="H17" s="7" t="s">
        <v>6299</v>
      </c>
      <c r="I17" s="7" t="s">
        <v>2527</v>
      </c>
      <c r="J17" s="7" t="s">
        <v>2160</v>
      </c>
      <c r="K17" s="7" t="s">
        <v>3909</v>
      </c>
      <c r="L17" s="7" t="s">
        <v>5207</v>
      </c>
      <c r="M17" s="7" t="s">
        <v>6234</v>
      </c>
      <c r="N17" s="7" t="s">
        <v>2462</v>
      </c>
      <c r="O17" s="7" t="s">
        <v>3844</v>
      </c>
      <c r="P17" s="7" t="s">
        <v>5270</v>
      </c>
      <c r="Q17" s="7" t="s">
        <v>6340</v>
      </c>
      <c r="R17" s="7" t="s">
        <v>3438</v>
      </c>
      <c r="S17" s="7" t="s">
        <v>3832</v>
      </c>
      <c r="T17" s="7" t="s">
        <v>5913</v>
      </c>
      <c r="U17" s="7" t="s">
        <v>6013</v>
      </c>
      <c r="V17" s="7" t="s">
        <v>1378</v>
      </c>
      <c r="W17" s="7" t="s">
        <v>6905</v>
      </c>
      <c r="X17" s="7" t="s">
        <v>7000</v>
      </c>
      <c r="Y17" s="7" t="s">
        <v>7099</v>
      </c>
      <c r="Z17" s="7" t="s">
        <v>7190</v>
      </c>
      <c r="AA17" s="7" t="s">
        <v>7290</v>
      </c>
      <c r="AB17" s="7" t="s">
        <v>7381</v>
      </c>
      <c r="AC17" s="7" t="s">
        <v>7482</v>
      </c>
      <c r="AD17" s="7" t="s">
        <v>7576</v>
      </c>
      <c r="AE17" s="7" t="s">
        <v>7675</v>
      </c>
      <c r="AF17" s="7" t="s">
        <v>7769</v>
      </c>
      <c r="AG17" s="7" t="s">
        <v>7865</v>
      </c>
      <c r="AH17" s="7" t="s">
        <v>3216</v>
      </c>
      <c r="AI17" s="7" t="s">
        <v>3497</v>
      </c>
      <c r="AJ17" s="7" t="s">
        <v>4757</v>
      </c>
      <c r="AK17" s="7" t="s">
        <v>5713</v>
      </c>
      <c r="AL17" s="7" t="s">
        <v>1483</v>
      </c>
      <c r="AM17" s="7" t="s">
        <v>4632</v>
      </c>
      <c r="AN17" s="7" t="s">
        <v>3375</v>
      </c>
      <c r="AO17" s="7" t="s">
        <v>7928</v>
      </c>
      <c r="AP17" s="29" t="s">
        <v>3128</v>
      </c>
      <c r="AQ17" s="29" t="s">
        <v>7602</v>
      </c>
    </row>
    <row r="18" customFormat="false" ht="15" hidden="false" customHeight="true" outlineLevel="0" collapsed="false">
      <c r="A18" s="7" t="s">
        <v>6453</v>
      </c>
      <c r="B18" s="7" t="s">
        <v>6576</v>
      </c>
      <c r="C18" s="7" t="s">
        <v>6700</v>
      </c>
      <c r="D18" s="7" t="s">
        <v>2613</v>
      </c>
      <c r="E18" s="7" t="s">
        <v>2133</v>
      </c>
      <c r="F18" s="7" t="s">
        <v>4048</v>
      </c>
      <c r="G18" s="7" t="s">
        <v>5298</v>
      </c>
      <c r="H18" s="7" t="s">
        <v>6336</v>
      </c>
      <c r="I18" s="7" t="s">
        <v>2540</v>
      </c>
      <c r="J18" s="7" t="s">
        <v>1884</v>
      </c>
      <c r="K18" s="7" t="s">
        <v>3952</v>
      </c>
      <c r="L18" s="7" t="s">
        <v>5220</v>
      </c>
      <c r="M18" s="7" t="s">
        <v>6245</v>
      </c>
      <c r="N18" s="7" t="s">
        <v>2473</v>
      </c>
      <c r="O18" s="7" t="s">
        <v>3856</v>
      </c>
      <c r="P18" s="7" t="s">
        <v>5280</v>
      </c>
      <c r="Q18" s="7" t="s">
        <v>6312</v>
      </c>
      <c r="R18" s="7" t="s">
        <v>3461</v>
      </c>
      <c r="S18" s="7" t="s">
        <v>3683</v>
      </c>
      <c r="T18" s="7" t="s">
        <v>5892</v>
      </c>
      <c r="U18" s="7" t="s">
        <v>6024</v>
      </c>
      <c r="V18" s="7" t="s">
        <v>1704</v>
      </c>
      <c r="W18" s="7" t="s">
        <v>6906</v>
      </c>
      <c r="X18" s="7" t="s">
        <v>7001</v>
      </c>
      <c r="Y18" s="7" t="s">
        <v>7100</v>
      </c>
      <c r="Z18" s="7" t="s">
        <v>7191</v>
      </c>
      <c r="AA18" s="7" t="s">
        <v>7291</v>
      </c>
      <c r="AB18" s="7" t="s">
        <v>7382</v>
      </c>
      <c r="AC18" s="7" t="s">
        <v>7483</v>
      </c>
      <c r="AD18" s="7" t="s">
        <v>7577</v>
      </c>
      <c r="AE18" s="7" t="s">
        <v>7676</v>
      </c>
      <c r="AF18" s="7" t="s">
        <v>7770</v>
      </c>
      <c r="AG18" s="7" t="s">
        <v>7866</v>
      </c>
      <c r="AH18" s="7" t="s">
        <v>3226</v>
      </c>
      <c r="AI18" s="7" t="s">
        <v>3484</v>
      </c>
      <c r="AJ18" s="7" t="s">
        <v>4769</v>
      </c>
      <c r="AK18" s="7" t="s">
        <v>5724</v>
      </c>
      <c r="AL18" s="7" t="s">
        <v>1837</v>
      </c>
      <c r="AM18" s="7" t="s">
        <v>4629</v>
      </c>
      <c r="AN18" s="7" t="s">
        <v>4388</v>
      </c>
      <c r="AO18" s="7" t="s">
        <v>7929</v>
      </c>
      <c r="AP18" s="29" t="s">
        <v>5022</v>
      </c>
      <c r="AQ18" s="29" t="s">
        <v>7604</v>
      </c>
    </row>
    <row r="19" customFormat="false" ht="15" hidden="false" customHeight="true" outlineLevel="0" collapsed="false">
      <c r="A19" s="7" t="s">
        <v>6454</v>
      </c>
      <c r="B19" s="7" t="s">
        <v>6577</v>
      </c>
      <c r="C19" s="7" t="s">
        <v>175</v>
      </c>
      <c r="D19" s="7" t="s">
        <v>2633</v>
      </c>
      <c r="E19" s="7" t="s">
        <v>2193</v>
      </c>
      <c r="F19" s="7" t="s">
        <v>4059</v>
      </c>
      <c r="G19" s="7" t="s">
        <v>5310</v>
      </c>
      <c r="H19" s="7" t="s">
        <v>6308</v>
      </c>
      <c r="I19" s="7" t="s">
        <v>2552</v>
      </c>
      <c r="J19" s="7" t="s">
        <v>2283</v>
      </c>
      <c r="K19" s="7" t="s">
        <v>3965</v>
      </c>
      <c r="L19" s="7" t="s">
        <v>5922</v>
      </c>
      <c r="M19" s="7" t="s">
        <v>6255</v>
      </c>
      <c r="N19" s="7" t="s">
        <v>2484</v>
      </c>
      <c r="O19" s="7" t="s">
        <v>3868</v>
      </c>
      <c r="P19" s="7" t="s">
        <v>5247</v>
      </c>
      <c r="Q19" s="7" t="s">
        <v>6375</v>
      </c>
      <c r="R19" s="7" t="s">
        <v>3471</v>
      </c>
      <c r="S19" s="7" t="s">
        <v>3696</v>
      </c>
      <c r="T19" s="7" t="s">
        <v>5902</v>
      </c>
      <c r="U19" s="7" t="s">
        <v>6035</v>
      </c>
      <c r="V19" s="7" t="s">
        <v>1824</v>
      </c>
      <c r="W19" s="7" t="s">
        <v>6907</v>
      </c>
      <c r="X19" s="7" t="s">
        <v>7002</v>
      </c>
      <c r="Y19" s="7" t="s">
        <v>7101</v>
      </c>
      <c r="Z19" s="7" t="s">
        <v>7192</v>
      </c>
      <c r="AA19" s="7" t="s">
        <v>7292</v>
      </c>
      <c r="AB19" s="7" t="s">
        <v>7383</v>
      </c>
      <c r="AC19" s="7" t="s">
        <v>7484</v>
      </c>
      <c r="AD19" s="7" t="s">
        <v>7578</v>
      </c>
      <c r="AE19" s="7" t="s">
        <v>7677</v>
      </c>
      <c r="AF19" s="7" t="s">
        <v>7771</v>
      </c>
      <c r="AG19" s="7" t="s">
        <v>7868</v>
      </c>
      <c r="AH19" s="7" t="s">
        <v>3239</v>
      </c>
      <c r="AI19" s="7" t="s">
        <v>3505</v>
      </c>
      <c r="AJ19" s="7" t="s">
        <v>4822</v>
      </c>
      <c r="AK19" s="7" t="s">
        <v>5848</v>
      </c>
      <c r="AL19" s="7" t="s">
        <v>1879</v>
      </c>
      <c r="AM19" s="7" t="s">
        <v>5024</v>
      </c>
      <c r="AN19" s="7" t="s">
        <v>4385</v>
      </c>
      <c r="AO19" s="7" t="s">
        <v>7930</v>
      </c>
      <c r="AP19" s="29" t="s">
        <v>5023</v>
      </c>
      <c r="AQ19" s="29" t="s">
        <v>7014</v>
      </c>
    </row>
    <row r="20" customFormat="false" ht="15" hidden="false" customHeight="true" outlineLevel="0" collapsed="false">
      <c r="A20" s="7" t="s">
        <v>6455</v>
      </c>
      <c r="B20" s="7" t="s">
        <v>6579</v>
      </c>
      <c r="C20" s="7" t="s">
        <v>6701</v>
      </c>
      <c r="D20" s="7" t="s">
        <v>2624</v>
      </c>
      <c r="E20" s="7" t="s">
        <v>2032</v>
      </c>
      <c r="F20" s="7" t="s">
        <v>4070</v>
      </c>
      <c r="G20" s="7" t="s">
        <v>5321</v>
      </c>
      <c r="H20" s="7" t="s">
        <v>6371</v>
      </c>
      <c r="I20" s="7" t="s">
        <v>2679</v>
      </c>
      <c r="J20" s="7" t="s">
        <v>2277</v>
      </c>
      <c r="K20" s="7" t="s">
        <v>3975</v>
      </c>
      <c r="L20" s="7" t="s">
        <v>5232</v>
      </c>
      <c r="M20" s="7" t="s">
        <v>6266</v>
      </c>
      <c r="N20" s="7" t="s">
        <v>5883</v>
      </c>
      <c r="O20" s="7" t="s">
        <v>3890</v>
      </c>
      <c r="P20" s="7" t="s">
        <v>5259</v>
      </c>
      <c r="Q20" s="7" t="s">
        <v>6386</v>
      </c>
      <c r="R20" s="7" t="s">
        <v>2234</v>
      </c>
      <c r="S20" s="7" t="s">
        <v>3708</v>
      </c>
      <c r="T20" s="7" t="s">
        <v>5010</v>
      </c>
      <c r="U20" s="7" t="s">
        <v>6046</v>
      </c>
      <c r="V20" s="7" t="s">
        <v>1728</v>
      </c>
      <c r="W20" s="7" t="s">
        <v>2638</v>
      </c>
      <c r="X20" s="7" t="s">
        <v>7003</v>
      </c>
      <c r="Y20" s="7" t="s">
        <v>7102</v>
      </c>
      <c r="Z20" s="7" t="s">
        <v>7193</v>
      </c>
      <c r="AA20" s="7" t="s">
        <v>7293</v>
      </c>
      <c r="AB20" s="7" t="s">
        <v>7384</v>
      </c>
      <c r="AC20" s="7" t="s">
        <v>7485</v>
      </c>
      <c r="AD20" s="7" t="s">
        <v>7579</v>
      </c>
      <c r="AE20" s="7" t="s">
        <v>7678</v>
      </c>
      <c r="AF20" s="7" t="s">
        <v>7772</v>
      </c>
      <c r="AG20" s="7" t="s">
        <v>7870</v>
      </c>
      <c r="AH20" s="7" t="s">
        <v>3274</v>
      </c>
      <c r="AI20" s="7" t="s">
        <v>3541</v>
      </c>
      <c r="AJ20" s="7" t="s">
        <v>4833</v>
      </c>
      <c r="AK20" s="7" t="s">
        <v>5736</v>
      </c>
      <c r="AL20" s="7" t="s">
        <v>1612</v>
      </c>
      <c r="AM20" s="7" t="s">
        <v>5021</v>
      </c>
      <c r="AN20" s="7" t="s">
        <v>2864</v>
      </c>
      <c r="AO20" s="7" t="s">
        <v>7931</v>
      </c>
      <c r="AP20" s="29" t="s">
        <v>4630</v>
      </c>
      <c r="AQ20" s="29" t="s">
        <v>7011</v>
      </c>
    </row>
    <row r="21" customFormat="false" ht="15" hidden="false" customHeight="true" outlineLevel="0" collapsed="false">
      <c r="A21" s="7" t="s">
        <v>6457</v>
      </c>
      <c r="B21" s="7" t="s">
        <v>6580</v>
      </c>
      <c r="C21" s="7" t="s">
        <v>182</v>
      </c>
      <c r="D21" s="7" t="s">
        <v>2644</v>
      </c>
      <c r="E21" s="7" t="s">
        <v>1971</v>
      </c>
      <c r="F21" s="7" t="s">
        <v>4082</v>
      </c>
      <c r="G21" s="7" t="s">
        <v>5333</v>
      </c>
      <c r="H21" s="7" t="s">
        <v>6382</v>
      </c>
      <c r="I21" s="7" t="s">
        <v>2570</v>
      </c>
      <c r="J21" s="7" t="s">
        <v>2384</v>
      </c>
      <c r="K21" s="7" t="s">
        <v>3987</v>
      </c>
      <c r="L21" s="7" t="s">
        <v>5267</v>
      </c>
      <c r="M21" s="7" t="s">
        <v>6278</v>
      </c>
      <c r="N21" s="7" t="s">
        <v>2517</v>
      </c>
      <c r="O21" s="7" t="s">
        <v>3879</v>
      </c>
      <c r="P21" s="7" t="s">
        <v>5302</v>
      </c>
      <c r="Q21" s="7" t="s">
        <v>6364</v>
      </c>
      <c r="R21" s="7" t="s">
        <v>1923</v>
      </c>
      <c r="S21" s="7" t="s">
        <v>3719</v>
      </c>
      <c r="T21" s="7" t="s">
        <v>5062</v>
      </c>
      <c r="U21" s="7" t="s">
        <v>6057</v>
      </c>
      <c r="V21" s="7" t="s">
        <v>1412</v>
      </c>
      <c r="W21" s="7" t="s">
        <v>6908</v>
      </c>
      <c r="X21" s="7" t="s">
        <v>7004</v>
      </c>
      <c r="Y21" s="7" t="s">
        <v>7103</v>
      </c>
      <c r="Z21" s="7" t="s">
        <v>7194</v>
      </c>
      <c r="AA21" s="7" t="s">
        <v>7294</v>
      </c>
      <c r="AB21" s="7" t="s">
        <v>7385</v>
      </c>
      <c r="AC21" s="7" t="s">
        <v>7486</v>
      </c>
      <c r="AD21" s="7" t="s">
        <v>7580</v>
      </c>
      <c r="AE21" s="7" t="s">
        <v>7679</v>
      </c>
      <c r="AF21" s="7" t="s">
        <v>7773</v>
      </c>
      <c r="AG21" s="7" t="s">
        <v>7871</v>
      </c>
      <c r="AH21" s="7" t="s">
        <v>5945</v>
      </c>
      <c r="AI21" s="7" t="s">
        <v>3518</v>
      </c>
      <c r="AJ21" s="7" t="s">
        <v>4781</v>
      </c>
      <c r="AK21" s="7" t="s">
        <v>5826</v>
      </c>
      <c r="AL21" s="7" t="s">
        <v>1667</v>
      </c>
      <c r="AM21" s="7" t="s">
        <v>6303</v>
      </c>
      <c r="AN21" s="7" t="s">
        <v>4812</v>
      </c>
      <c r="AO21" s="7" t="s">
        <v>194</v>
      </c>
      <c r="AP21" s="29" t="s">
        <v>4631</v>
      </c>
      <c r="AQ21" s="29" t="s">
        <v>7059</v>
      </c>
    </row>
    <row r="22" customFormat="false" ht="15" hidden="false" customHeight="true" outlineLevel="0" collapsed="false">
      <c r="A22" s="7" t="s">
        <v>6459</v>
      </c>
      <c r="B22" s="7" t="s">
        <v>6581</v>
      </c>
      <c r="C22" s="7" t="s">
        <v>171</v>
      </c>
      <c r="D22" s="7" t="s">
        <v>2655</v>
      </c>
      <c r="E22" s="7" t="s">
        <v>2377</v>
      </c>
      <c r="F22" s="7" t="s">
        <v>4094</v>
      </c>
      <c r="G22" s="7" t="s">
        <v>5342</v>
      </c>
      <c r="H22" s="7" t="s">
        <v>6360</v>
      </c>
      <c r="I22" s="7" t="s">
        <v>2581</v>
      </c>
      <c r="J22" s="7" t="s">
        <v>2372</v>
      </c>
      <c r="K22" s="7" t="s">
        <v>4000</v>
      </c>
      <c r="L22" s="7" t="s">
        <v>5290</v>
      </c>
      <c r="M22" s="7" t="s">
        <v>6289</v>
      </c>
      <c r="N22" s="7" t="s">
        <v>2530</v>
      </c>
      <c r="O22" s="7" t="s">
        <v>3901</v>
      </c>
      <c r="P22" s="7" t="s">
        <v>5314</v>
      </c>
      <c r="Q22" s="7" t="s">
        <v>6353</v>
      </c>
      <c r="R22" s="7" t="s">
        <v>2325</v>
      </c>
      <c r="S22" s="7" t="s">
        <v>3730</v>
      </c>
      <c r="T22" s="7" t="s">
        <v>5044</v>
      </c>
      <c r="U22" s="7" t="s">
        <v>6068</v>
      </c>
      <c r="V22" s="7" t="s">
        <v>1842</v>
      </c>
      <c r="W22" s="7" t="s">
        <v>6909</v>
      </c>
      <c r="X22" s="7" t="s">
        <v>7005</v>
      </c>
      <c r="Y22" s="7" t="s">
        <v>7104</v>
      </c>
      <c r="Z22" s="7" t="s">
        <v>7195</v>
      </c>
      <c r="AA22" s="7" t="s">
        <v>7295</v>
      </c>
      <c r="AB22" s="7" t="s">
        <v>7386</v>
      </c>
      <c r="AC22" s="7" t="s">
        <v>7487</v>
      </c>
      <c r="AD22" s="7" t="s">
        <v>7581</v>
      </c>
      <c r="AE22" s="7" t="s">
        <v>7680</v>
      </c>
      <c r="AF22" s="7" t="s">
        <v>7774</v>
      </c>
      <c r="AG22" s="7" t="s">
        <v>7872</v>
      </c>
      <c r="AH22" s="7" t="s">
        <v>3340</v>
      </c>
      <c r="AI22" s="7" t="s">
        <v>3528</v>
      </c>
      <c r="AJ22" s="7" t="s">
        <v>4791</v>
      </c>
      <c r="AK22" s="7" t="s">
        <v>5838</v>
      </c>
      <c r="AL22" s="7" t="s">
        <v>1620</v>
      </c>
      <c r="AM22" s="7" t="s">
        <v>6300</v>
      </c>
      <c r="AN22" s="7" t="s">
        <v>4809</v>
      </c>
      <c r="AO22" s="7" t="s">
        <v>195</v>
      </c>
      <c r="AP22" s="29" t="s">
        <v>6301</v>
      </c>
      <c r="AQ22" s="29" t="s">
        <v>7061</v>
      </c>
    </row>
    <row r="23" customFormat="false" ht="15" hidden="false" customHeight="true" outlineLevel="0" collapsed="false">
      <c r="A23" s="7" t="s">
        <v>6461</v>
      </c>
      <c r="B23" s="7" t="s">
        <v>6583</v>
      </c>
      <c r="C23" s="7" t="s">
        <v>6703</v>
      </c>
      <c r="D23" s="7" t="s">
        <v>2666</v>
      </c>
      <c r="E23" s="7" t="s">
        <v>2335</v>
      </c>
      <c r="F23" s="7" t="s">
        <v>4105</v>
      </c>
      <c r="G23" s="7" t="s">
        <v>5354</v>
      </c>
      <c r="H23" s="7" t="s">
        <v>6393</v>
      </c>
      <c r="I23" s="7" t="s">
        <v>2591</v>
      </c>
      <c r="J23" s="7" t="s">
        <v>1914</v>
      </c>
      <c r="K23" s="7" t="s">
        <v>4013</v>
      </c>
      <c r="L23" s="7" t="s">
        <v>5277</v>
      </c>
      <c r="M23" s="7" t="s">
        <v>6329</v>
      </c>
      <c r="N23" s="7" t="s">
        <v>2543</v>
      </c>
      <c r="O23" s="7" t="s">
        <v>3912</v>
      </c>
      <c r="P23" s="7" t="s">
        <v>5325</v>
      </c>
      <c r="Q23" s="7" t="s">
        <v>6419</v>
      </c>
      <c r="R23" s="7" t="s">
        <v>2260</v>
      </c>
      <c r="S23" s="7" t="s">
        <v>3742</v>
      </c>
      <c r="T23" s="7" t="s">
        <v>5022</v>
      </c>
      <c r="U23" s="7" t="s">
        <v>6080</v>
      </c>
      <c r="V23" s="7" t="s">
        <v>1764</v>
      </c>
      <c r="W23" s="7" t="s">
        <v>6910</v>
      </c>
      <c r="X23" s="7" t="s">
        <v>7006</v>
      </c>
      <c r="Y23" s="7" t="s">
        <v>7105</v>
      </c>
      <c r="Z23" s="7" t="s">
        <v>7196</v>
      </c>
      <c r="AA23" s="7" t="s">
        <v>7296</v>
      </c>
      <c r="AB23" s="7" t="s">
        <v>7387</v>
      </c>
      <c r="AC23" s="7" t="s">
        <v>7488</v>
      </c>
      <c r="AD23" s="7" t="s">
        <v>7582</v>
      </c>
      <c r="AE23" s="7" t="s">
        <v>7681</v>
      </c>
      <c r="AF23" s="7" t="s">
        <v>7775</v>
      </c>
      <c r="AG23" s="7" t="s">
        <v>7873</v>
      </c>
      <c r="AH23" s="7" t="s">
        <v>3351</v>
      </c>
      <c r="AI23" s="7" t="s">
        <v>3553</v>
      </c>
      <c r="AJ23" s="7" t="s">
        <v>4800</v>
      </c>
      <c r="AK23" s="7" t="s">
        <v>5860</v>
      </c>
      <c r="AL23" s="7" t="s">
        <v>1680</v>
      </c>
      <c r="AM23" s="7" t="s">
        <v>3286</v>
      </c>
      <c r="AN23" s="7" t="s">
        <v>5384</v>
      </c>
      <c r="AO23" s="7" t="s">
        <v>207</v>
      </c>
      <c r="AP23" s="29" t="s">
        <v>6302</v>
      </c>
      <c r="AQ23" s="29" t="s">
        <v>7861</v>
      </c>
    </row>
    <row r="24" customFormat="false" ht="15" hidden="false" customHeight="true" outlineLevel="0" collapsed="false">
      <c r="A24" s="7" t="s">
        <v>4279</v>
      </c>
      <c r="B24" s="7" t="s">
        <v>278</v>
      </c>
      <c r="C24" s="7" t="s">
        <v>6704</v>
      </c>
      <c r="D24" s="7" t="s">
        <v>2691</v>
      </c>
      <c r="E24" s="7" t="s">
        <v>2152</v>
      </c>
      <c r="F24" s="7" t="s">
        <v>4115</v>
      </c>
      <c r="G24" s="7" t="s">
        <v>4406</v>
      </c>
      <c r="H24" s="7" t="s">
        <v>6349</v>
      </c>
      <c r="I24" s="7" t="s">
        <v>2562</v>
      </c>
      <c r="J24" s="7" t="s">
        <v>2360</v>
      </c>
      <c r="K24" s="7" t="s">
        <v>4025</v>
      </c>
      <c r="L24" s="7" t="s">
        <v>5244</v>
      </c>
      <c r="M24" s="7" t="s">
        <v>6321</v>
      </c>
      <c r="N24" s="7" t="s">
        <v>2555</v>
      </c>
      <c r="O24" s="7" t="s">
        <v>3955</v>
      </c>
      <c r="P24" s="7" t="s">
        <v>5337</v>
      </c>
      <c r="Q24" s="7" t="s">
        <v>6431</v>
      </c>
      <c r="R24" s="7" t="s">
        <v>2266</v>
      </c>
      <c r="S24" s="7" t="s">
        <v>3753</v>
      </c>
      <c r="T24" s="7" t="s">
        <v>5053</v>
      </c>
      <c r="U24" s="7" t="s">
        <v>6092</v>
      </c>
      <c r="V24" s="7" t="s">
        <v>1812</v>
      </c>
      <c r="W24" s="7" t="s">
        <v>6911</v>
      </c>
      <c r="X24" s="7" t="s">
        <v>7007</v>
      </c>
      <c r="Y24" s="7" t="s">
        <v>7106</v>
      </c>
      <c r="Z24" s="7" t="s">
        <v>7197</v>
      </c>
      <c r="AA24" s="7" t="s">
        <v>7297</v>
      </c>
      <c r="AB24" s="7" t="s">
        <v>7388</v>
      </c>
      <c r="AC24" s="7" t="s">
        <v>4655</v>
      </c>
      <c r="AD24" s="7" t="s">
        <v>7583</v>
      </c>
      <c r="AE24" s="7" t="s">
        <v>7682</v>
      </c>
      <c r="AF24" s="7" t="s">
        <v>7776</v>
      </c>
      <c r="AG24" s="7" t="s">
        <v>7874</v>
      </c>
      <c r="AH24" s="7" t="s">
        <v>3330</v>
      </c>
      <c r="AI24" s="7" t="s">
        <v>3636</v>
      </c>
      <c r="AJ24" s="7" t="s">
        <v>4888</v>
      </c>
      <c r="AK24" s="7" t="s">
        <v>5747</v>
      </c>
      <c r="AL24" s="7" t="s">
        <v>1489</v>
      </c>
      <c r="AM24" s="7" t="s">
        <v>5527</v>
      </c>
      <c r="AN24" s="7" t="s">
        <v>5381</v>
      </c>
      <c r="AO24" s="7" t="s">
        <v>7932</v>
      </c>
      <c r="AP24" s="29" t="s">
        <v>3284</v>
      </c>
      <c r="AQ24" s="29" t="s">
        <v>7889</v>
      </c>
    </row>
    <row r="25" customFormat="false" ht="15" hidden="false" customHeight="true" outlineLevel="0" collapsed="false">
      <c r="A25" s="7" t="s">
        <v>6464</v>
      </c>
      <c r="B25" s="7" t="s">
        <v>6585</v>
      </c>
      <c r="C25" s="7" t="s">
        <v>6706</v>
      </c>
      <c r="D25" s="7" t="s">
        <v>2705</v>
      </c>
      <c r="E25" s="7" t="s">
        <v>2311</v>
      </c>
      <c r="F25" s="7" t="s">
        <v>4125</v>
      </c>
      <c r="G25" s="7" t="s">
        <v>4416</v>
      </c>
      <c r="H25" s="7" t="s">
        <v>6403</v>
      </c>
      <c r="I25" s="7" t="s">
        <v>2602</v>
      </c>
      <c r="J25" s="7" t="s">
        <v>2039</v>
      </c>
      <c r="K25" s="7" t="s">
        <v>4037</v>
      </c>
      <c r="L25" s="7" t="s">
        <v>5256</v>
      </c>
      <c r="M25" s="7" t="s">
        <v>6300</v>
      </c>
      <c r="N25" s="7" t="s">
        <v>2565</v>
      </c>
      <c r="O25" s="7" t="s">
        <v>3968</v>
      </c>
      <c r="P25" s="7" t="s">
        <v>5346</v>
      </c>
      <c r="Q25" s="7" t="s">
        <v>2399</v>
      </c>
      <c r="R25" s="7" t="s">
        <v>1900</v>
      </c>
      <c r="S25" s="7" t="s">
        <v>3764</v>
      </c>
      <c r="T25" s="7" t="s">
        <v>5033</v>
      </c>
      <c r="U25" s="7" t="s">
        <v>6103</v>
      </c>
      <c r="V25" s="7" t="s">
        <v>1722</v>
      </c>
      <c r="W25" s="7" t="s">
        <v>6912</v>
      </c>
      <c r="X25" s="7" t="s">
        <v>7008</v>
      </c>
      <c r="Y25" s="7" t="s">
        <v>7107</v>
      </c>
      <c r="Z25" s="7" t="s">
        <v>7198</v>
      </c>
      <c r="AA25" s="7" t="s">
        <v>7298</v>
      </c>
      <c r="AB25" s="7" t="s">
        <v>7389</v>
      </c>
      <c r="AC25" s="7" t="s">
        <v>7489</v>
      </c>
      <c r="AD25" s="7" t="s">
        <v>7584</v>
      </c>
      <c r="AE25" s="7" t="s">
        <v>7683</v>
      </c>
      <c r="AF25" s="7" t="s">
        <v>7777</v>
      </c>
      <c r="AG25" s="7" t="s">
        <v>7875</v>
      </c>
      <c r="AH25" s="7" t="s">
        <v>3297</v>
      </c>
      <c r="AI25" s="7" t="s">
        <v>3566</v>
      </c>
      <c r="AJ25" s="7" t="s">
        <v>4844</v>
      </c>
      <c r="AK25" s="7" t="s">
        <v>5759</v>
      </c>
      <c r="AL25" s="7" t="s">
        <v>1627</v>
      </c>
      <c r="AM25" s="7" t="s">
        <v>5524</v>
      </c>
      <c r="AN25" s="7" t="s">
        <v>6094</v>
      </c>
      <c r="AO25" s="7" t="s">
        <v>7933</v>
      </c>
      <c r="AP25" s="29" t="s">
        <v>3285</v>
      </c>
      <c r="AQ25" s="29" t="s">
        <v>7846</v>
      </c>
    </row>
    <row r="26" customFormat="false" ht="15" hidden="false" customHeight="true" outlineLevel="0" collapsed="false">
      <c r="A26" s="7" t="s">
        <v>282</v>
      </c>
      <c r="B26" s="7" t="s">
        <v>6586</v>
      </c>
      <c r="C26" s="7" t="s">
        <v>6708</v>
      </c>
      <c r="D26" s="7" t="s">
        <v>2718</v>
      </c>
      <c r="E26" s="7" t="s">
        <v>2092</v>
      </c>
      <c r="F26" s="7" t="s">
        <v>4136</v>
      </c>
      <c r="G26" s="7" t="s">
        <v>4427</v>
      </c>
      <c r="H26" s="7" t="s">
        <v>6415</v>
      </c>
      <c r="I26" s="7" t="s">
        <v>2614</v>
      </c>
      <c r="J26" s="7" t="s">
        <v>2134</v>
      </c>
      <c r="K26" s="7" t="s">
        <v>4049</v>
      </c>
      <c r="L26" s="7" t="s">
        <v>5299</v>
      </c>
      <c r="M26" s="7" t="s">
        <v>6337</v>
      </c>
      <c r="N26" s="7" t="s">
        <v>2682</v>
      </c>
      <c r="O26" s="7" t="s">
        <v>3978</v>
      </c>
      <c r="P26" s="7" t="s">
        <v>5358</v>
      </c>
      <c r="Q26" s="7" t="s">
        <v>2411</v>
      </c>
      <c r="R26" s="7" t="s">
        <v>2108</v>
      </c>
      <c r="S26" s="7" t="s">
        <v>3775</v>
      </c>
      <c r="T26" s="7" t="s">
        <v>5088</v>
      </c>
      <c r="U26" s="7" t="s">
        <v>6113</v>
      </c>
      <c r="V26" s="7" t="s">
        <v>1758</v>
      </c>
      <c r="W26" s="7" t="s">
        <v>6913</v>
      </c>
      <c r="X26" s="7" t="s">
        <v>7009</v>
      </c>
      <c r="Y26" s="7" t="s">
        <v>7108</v>
      </c>
      <c r="Z26" s="7" t="s">
        <v>7199</v>
      </c>
      <c r="AA26" s="7" t="s">
        <v>7299</v>
      </c>
      <c r="AB26" s="7" t="s">
        <v>7390</v>
      </c>
      <c r="AC26" s="7" t="s">
        <v>7490</v>
      </c>
      <c r="AD26" s="7" t="s">
        <v>7585</v>
      </c>
      <c r="AE26" s="7" t="s">
        <v>7684</v>
      </c>
      <c r="AF26" s="7" t="s">
        <v>7778</v>
      </c>
      <c r="AG26" s="7" t="s">
        <v>7876</v>
      </c>
      <c r="AH26" s="7" t="s">
        <v>3308</v>
      </c>
      <c r="AI26" s="7" t="s">
        <v>3647</v>
      </c>
      <c r="AJ26" s="7" t="s">
        <v>4862</v>
      </c>
      <c r="AK26" s="7" t="s">
        <v>5771</v>
      </c>
      <c r="AL26" s="7" t="s">
        <v>1693</v>
      </c>
      <c r="AM26" s="7" t="s">
        <v>2565</v>
      </c>
      <c r="AN26" s="7" t="s">
        <v>6091</v>
      </c>
      <c r="AO26" s="7" t="s">
        <v>228</v>
      </c>
      <c r="AP26" s="29" t="s">
        <v>5525</v>
      </c>
      <c r="AQ26" s="29" t="s">
        <v>7891</v>
      </c>
    </row>
    <row r="27" customFormat="false" ht="15" hidden="false" customHeight="true" outlineLevel="0" collapsed="false">
      <c r="A27" s="7" t="s">
        <v>6466</v>
      </c>
      <c r="B27" s="7" t="s">
        <v>6587</v>
      </c>
      <c r="C27" s="7" t="s">
        <v>179</v>
      </c>
      <c r="D27" s="7" t="s">
        <v>2730</v>
      </c>
      <c r="E27" s="7" t="s">
        <v>2341</v>
      </c>
      <c r="F27" s="7" t="s">
        <v>4147</v>
      </c>
      <c r="G27" s="7" t="s">
        <v>4437</v>
      </c>
      <c r="H27" s="7" t="s">
        <v>1514</v>
      </c>
      <c r="I27" s="7" t="s">
        <v>2625</v>
      </c>
      <c r="J27" s="7" t="s">
        <v>2194</v>
      </c>
      <c r="K27" s="7" t="s">
        <v>4060</v>
      </c>
      <c r="L27" s="7" t="s">
        <v>5311</v>
      </c>
      <c r="M27" s="7" t="s">
        <v>6309</v>
      </c>
      <c r="N27" s="7" t="s">
        <v>2573</v>
      </c>
      <c r="O27" s="7" t="s">
        <v>3990</v>
      </c>
      <c r="P27" s="7" t="s">
        <v>4410</v>
      </c>
      <c r="Q27" s="7" t="s">
        <v>2496</v>
      </c>
      <c r="R27" s="7" t="s">
        <v>2208</v>
      </c>
      <c r="S27" s="7" t="s">
        <v>3786</v>
      </c>
      <c r="T27" s="7" t="s">
        <v>5075</v>
      </c>
      <c r="U27" s="7" t="s">
        <v>6128</v>
      </c>
      <c r="V27" s="7" t="s">
        <v>1806</v>
      </c>
      <c r="W27" s="7" t="s">
        <v>6914</v>
      </c>
      <c r="X27" s="7" t="s">
        <v>7010</v>
      </c>
      <c r="Y27" s="7" t="s">
        <v>7109</v>
      </c>
      <c r="Z27" s="7" t="s">
        <v>7200</v>
      </c>
      <c r="AA27" s="7" t="s">
        <v>7300</v>
      </c>
      <c r="AB27" s="7" t="s">
        <v>7391</v>
      </c>
      <c r="AC27" s="7" t="s">
        <v>7491</v>
      </c>
      <c r="AD27" s="7" t="s">
        <v>7586</v>
      </c>
      <c r="AE27" s="7" t="s">
        <v>7685</v>
      </c>
      <c r="AF27" s="7" t="s">
        <v>7779</v>
      </c>
      <c r="AG27" s="7" t="s">
        <v>7877</v>
      </c>
      <c r="AH27" s="7" t="s">
        <v>3285</v>
      </c>
      <c r="AI27" s="7" t="s">
        <v>3625</v>
      </c>
      <c r="AJ27" s="7" t="s">
        <v>4873</v>
      </c>
      <c r="AK27" s="7" t="s">
        <v>5782</v>
      </c>
      <c r="AL27" s="7" t="s">
        <v>1496</v>
      </c>
      <c r="AM27" s="7" t="s">
        <v>5395</v>
      </c>
      <c r="AN27" s="7" t="s">
        <v>6172</v>
      </c>
      <c r="AO27" s="7" t="s">
        <v>218</v>
      </c>
      <c r="AP27" s="29" t="s">
        <v>5526</v>
      </c>
      <c r="AQ27" s="29" t="s">
        <v>7840</v>
      </c>
    </row>
    <row r="28" customFormat="false" ht="15" hidden="false" customHeight="true" outlineLevel="0" collapsed="false">
      <c r="A28" s="7" t="s">
        <v>6467</v>
      </c>
      <c r="B28" s="7" t="s">
        <v>6588</v>
      </c>
      <c r="C28" s="7" t="s">
        <v>6711</v>
      </c>
      <c r="D28" s="7" t="s">
        <v>2743</v>
      </c>
      <c r="E28" s="7" t="s">
        <v>2305</v>
      </c>
      <c r="F28" s="7" t="s">
        <v>4157</v>
      </c>
      <c r="G28" s="7" t="s">
        <v>4447</v>
      </c>
      <c r="H28" s="7" t="s">
        <v>1750</v>
      </c>
      <c r="I28" s="7" t="s">
        <v>2645</v>
      </c>
      <c r="J28" s="7" t="s">
        <v>2033</v>
      </c>
      <c r="K28" s="7" t="s">
        <v>4071</v>
      </c>
      <c r="L28" s="7" t="s">
        <v>5322</v>
      </c>
      <c r="M28" s="7" t="s">
        <v>6372</v>
      </c>
      <c r="N28" s="7" t="s">
        <v>2584</v>
      </c>
      <c r="O28" s="7" t="s">
        <v>4003</v>
      </c>
      <c r="P28" s="7" t="s">
        <v>4420</v>
      </c>
      <c r="Q28" s="7" t="s">
        <v>2438</v>
      </c>
      <c r="R28" s="7" t="s">
        <v>1945</v>
      </c>
      <c r="S28" s="7" t="s">
        <v>3842</v>
      </c>
      <c r="T28" s="7" t="s">
        <v>5101</v>
      </c>
      <c r="U28" s="7" t="s">
        <v>6138</v>
      </c>
      <c r="V28" s="7" t="s">
        <v>1427</v>
      </c>
      <c r="W28" s="7" t="s">
        <v>6915</v>
      </c>
      <c r="X28" s="7" t="s">
        <v>7011</v>
      </c>
      <c r="Y28" s="7" t="s">
        <v>7110</v>
      </c>
      <c r="Z28" s="7" t="s">
        <v>7201</v>
      </c>
      <c r="AA28" s="7" t="s">
        <v>7301</v>
      </c>
      <c r="AB28" s="7" t="s">
        <v>7392</v>
      </c>
      <c r="AC28" s="7" t="s">
        <v>7492</v>
      </c>
      <c r="AD28" s="7" t="s">
        <v>7587</v>
      </c>
      <c r="AE28" s="7" t="s">
        <v>7686</v>
      </c>
      <c r="AF28" s="7" t="s">
        <v>7780</v>
      </c>
      <c r="AG28" s="7" t="s">
        <v>7878</v>
      </c>
      <c r="AH28" s="7" t="s">
        <v>3319</v>
      </c>
      <c r="AI28" s="7" t="s">
        <v>3657</v>
      </c>
      <c r="AJ28" s="7" t="s">
        <v>4903</v>
      </c>
      <c r="AK28" s="7" t="s">
        <v>5793</v>
      </c>
      <c r="AL28" s="7" t="s">
        <v>1636</v>
      </c>
      <c r="AM28" s="7" t="s">
        <v>5392</v>
      </c>
      <c r="AN28" s="7" t="s">
        <v>6169</v>
      </c>
      <c r="AO28" s="7" t="s">
        <v>201</v>
      </c>
      <c r="AP28" s="29" t="s">
        <v>2563</v>
      </c>
      <c r="AQ28" s="29" t="s">
        <v>7851</v>
      </c>
    </row>
    <row r="29" customFormat="false" ht="15" hidden="false" customHeight="true" outlineLevel="0" collapsed="false">
      <c r="A29" s="7" t="s">
        <v>6469</v>
      </c>
      <c r="B29" s="7" t="s">
        <v>6590</v>
      </c>
      <c r="C29" s="7" t="s">
        <v>6713</v>
      </c>
      <c r="D29" s="7" t="s">
        <v>2760</v>
      </c>
      <c r="E29" s="7" t="s">
        <v>2329</v>
      </c>
      <c r="F29" s="7" t="s">
        <v>4170</v>
      </c>
      <c r="G29" s="7" t="s">
        <v>4457</v>
      </c>
      <c r="H29" s="7" t="s">
        <v>1738</v>
      </c>
      <c r="I29" s="7" t="s">
        <v>2656</v>
      </c>
      <c r="J29" s="7" t="s">
        <v>1972</v>
      </c>
      <c r="K29" s="7" t="s">
        <v>4083</v>
      </c>
      <c r="L29" s="7" t="s">
        <v>5334</v>
      </c>
      <c r="M29" s="7" t="s">
        <v>6383</v>
      </c>
      <c r="N29" s="7" t="s">
        <v>2594</v>
      </c>
      <c r="O29" s="7" t="s">
        <v>4016</v>
      </c>
      <c r="P29" s="7" t="s">
        <v>4431</v>
      </c>
      <c r="Q29" s="7" t="s">
        <v>2425</v>
      </c>
      <c r="R29" s="7" t="s">
        <v>2202</v>
      </c>
      <c r="S29" s="7" t="s">
        <v>3921</v>
      </c>
      <c r="T29" s="7" t="s">
        <v>5112</v>
      </c>
      <c r="U29" s="7" t="s">
        <v>6149</v>
      </c>
      <c r="V29" s="7" t="s">
        <v>1653</v>
      </c>
      <c r="W29" s="7" t="s">
        <v>2697</v>
      </c>
      <c r="X29" s="7" t="s">
        <v>7012</v>
      </c>
      <c r="Y29" s="7" t="s">
        <v>5427</v>
      </c>
      <c r="Z29" s="7" t="s">
        <v>7202</v>
      </c>
      <c r="AA29" s="7" t="s">
        <v>7302</v>
      </c>
      <c r="AB29" s="7" t="s">
        <v>7393</v>
      </c>
      <c r="AC29" s="7" t="s">
        <v>7493</v>
      </c>
      <c r="AD29" s="7" t="s">
        <v>7588</v>
      </c>
      <c r="AE29" s="7" t="s">
        <v>5715</v>
      </c>
      <c r="AF29" s="7" t="s">
        <v>7781</v>
      </c>
      <c r="AG29" s="7" t="s">
        <v>7879</v>
      </c>
      <c r="AH29" s="7" t="s">
        <v>3362</v>
      </c>
      <c r="AI29" s="7" t="s">
        <v>3578</v>
      </c>
      <c r="AJ29" s="7" t="s">
        <v>4915</v>
      </c>
      <c r="AK29" s="7" t="s">
        <v>5871</v>
      </c>
      <c r="AL29" s="7" t="s">
        <v>1503</v>
      </c>
      <c r="AM29" s="7" t="s">
        <v>3035</v>
      </c>
      <c r="AN29" s="7" t="s">
        <v>2451</v>
      </c>
      <c r="AO29" s="7" t="s">
        <v>219</v>
      </c>
      <c r="AP29" s="29" t="s">
        <v>2564</v>
      </c>
      <c r="AQ29" s="29" t="s">
        <v>435</v>
      </c>
    </row>
    <row r="30" customFormat="false" ht="15" hidden="false" customHeight="true" outlineLevel="0" collapsed="false">
      <c r="A30" s="7" t="s">
        <v>6471</v>
      </c>
      <c r="B30" s="7" t="s">
        <v>263</v>
      </c>
      <c r="C30" s="7" t="s">
        <v>6714</v>
      </c>
      <c r="D30" s="7" t="s">
        <v>2775</v>
      </c>
      <c r="E30" s="7" t="s">
        <v>2294</v>
      </c>
      <c r="F30" s="7" t="s">
        <v>4183</v>
      </c>
      <c r="G30" s="7" t="s">
        <v>4467</v>
      </c>
      <c r="H30" s="7" t="s">
        <v>1846</v>
      </c>
      <c r="I30" s="7" t="s">
        <v>2667</v>
      </c>
      <c r="J30" s="7" t="s">
        <v>2378</v>
      </c>
      <c r="K30" s="7" t="s">
        <v>4095</v>
      </c>
      <c r="L30" s="7" t="s">
        <v>5343</v>
      </c>
      <c r="M30" s="7" t="s">
        <v>6394</v>
      </c>
      <c r="N30" s="7" t="s">
        <v>2605</v>
      </c>
      <c r="O30" s="7" t="s">
        <v>4028</v>
      </c>
      <c r="P30" s="7" t="s">
        <v>4441</v>
      </c>
      <c r="Q30" s="7" t="s">
        <v>2506</v>
      </c>
      <c r="R30" s="7" t="s">
        <v>2141</v>
      </c>
      <c r="S30" s="7" t="s">
        <v>3854</v>
      </c>
      <c r="T30" s="7" t="s">
        <v>5124</v>
      </c>
      <c r="U30" s="7" t="s">
        <v>6159</v>
      </c>
      <c r="V30" s="7" t="s">
        <v>1510</v>
      </c>
      <c r="W30" s="7" t="s">
        <v>2710</v>
      </c>
      <c r="X30" s="7" t="s">
        <v>7013</v>
      </c>
      <c r="Y30" s="7" t="s">
        <v>7112</v>
      </c>
      <c r="Z30" s="7" t="s">
        <v>7203</v>
      </c>
      <c r="AA30" s="7" t="s">
        <v>7303</v>
      </c>
      <c r="AB30" s="7" t="s">
        <v>7394</v>
      </c>
      <c r="AC30" s="7" t="s">
        <v>7494</v>
      </c>
      <c r="AD30" s="7" t="s">
        <v>7589</v>
      </c>
      <c r="AE30" s="7" t="s">
        <v>7687</v>
      </c>
      <c r="AF30" s="7" t="s">
        <v>7782</v>
      </c>
      <c r="AG30" s="7" t="s">
        <v>7880</v>
      </c>
      <c r="AH30" s="7" t="s">
        <v>3374</v>
      </c>
      <c r="AI30" s="7" t="s">
        <v>3668</v>
      </c>
      <c r="AJ30" s="7" t="s">
        <v>4925</v>
      </c>
      <c r="AK30" s="7" t="s">
        <v>5804</v>
      </c>
      <c r="AL30" s="7" t="s">
        <v>1421</v>
      </c>
      <c r="AM30" s="7" t="s">
        <v>4278</v>
      </c>
      <c r="AN30" s="7" t="s">
        <v>2648</v>
      </c>
      <c r="AO30" s="7" t="s">
        <v>224</v>
      </c>
      <c r="AP30" s="29" t="s">
        <v>5393</v>
      </c>
      <c r="AQ30" s="29" t="s">
        <v>7863</v>
      </c>
    </row>
    <row r="31" customFormat="false" ht="15" hidden="false" customHeight="true" outlineLevel="0" collapsed="false">
      <c r="A31" s="7" t="s">
        <v>6473</v>
      </c>
      <c r="B31" s="7" t="s">
        <v>6593</v>
      </c>
      <c r="C31" s="7" t="s">
        <v>6716</v>
      </c>
      <c r="D31" s="7" t="s">
        <v>2786</v>
      </c>
      <c r="E31" s="7" t="s">
        <v>2300</v>
      </c>
      <c r="F31" s="7" t="s">
        <v>4194</v>
      </c>
      <c r="G31" s="7" t="s">
        <v>4478</v>
      </c>
      <c r="H31" s="7" t="s">
        <v>1521</v>
      </c>
      <c r="I31" s="7" t="s">
        <v>2634</v>
      </c>
      <c r="J31" s="7" t="s">
        <v>2336</v>
      </c>
      <c r="K31" s="7" t="s">
        <v>4106</v>
      </c>
      <c r="L31" s="7" t="s">
        <v>5355</v>
      </c>
      <c r="M31" s="7" t="s">
        <v>6350</v>
      </c>
      <c r="N31" s="7" t="s">
        <v>2617</v>
      </c>
      <c r="O31" s="7" t="s">
        <v>4040</v>
      </c>
      <c r="P31" s="7" t="s">
        <v>4451</v>
      </c>
      <c r="Q31" s="7" t="s">
        <v>2449</v>
      </c>
      <c r="R31" s="7" t="s">
        <v>2221</v>
      </c>
      <c r="S31" s="7" t="s">
        <v>3866</v>
      </c>
      <c r="T31" s="7" t="s">
        <v>5134</v>
      </c>
      <c r="U31" s="7" t="s">
        <v>6170</v>
      </c>
      <c r="V31" s="7" t="s">
        <v>1800</v>
      </c>
      <c r="W31" s="7" t="s">
        <v>2735</v>
      </c>
      <c r="X31" s="7" t="s">
        <v>7014</v>
      </c>
      <c r="Y31" s="7" t="s">
        <v>7113</v>
      </c>
      <c r="Z31" s="7" t="s">
        <v>7204</v>
      </c>
      <c r="AA31" s="7" t="s">
        <v>7304</v>
      </c>
      <c r="AB31" s="7" t="s">
        <v>7395</v>
      </c>
      <c r="AC31" s="7" t="s">
        <v>7495</v>
      </c>
      <c r="AD31" s="7" t="s">
        <v>7590</v>
      </c>
      <c r="AE31" s="7" t="s">
        <v>5851</v>
      </c>
      <c r="AF31" s="7" t="s">
        <v>7783</v>
      </c>
      <c r="AG31" s="7" t="s">
        <v>7881</v>
      </c>
      <c r="AH31" s="7" t="s">
        <v>3407</v>
      </c>
      <c r="AI31" s="7" t="s">
        <v>3614</v>
      </c>
      <c r="AJ31" s="7" t="s">
        <v>4935</v>
      </c>
      <c r="AK31" s="7" t="s">
        <v>5815</v>
      </c>
      <c r="AL31" s="7" t="s">
        <v>1642</v>
      </c>
      <c r="AM31" s="7" t="s">
        <v>4275</v>
      </c>
      <c r="AN31" s="7" t="s">
        <v>3320</v>
      </c>
      <c r="AO31" s="7" t="s">
        <v>229</v>
      </c>
      <c r="AP31" s="29" t="s">
        <v>5394</v>
      </c>
      <c r="AQ31" s="29" t="s">
        <v>7874</v>
      </c>
    </row>
    <row r="32" customFormat="false" ht="15" hidden="false" customHeight="true" outlineLevel="0" collapsed="false">
      <c r="A32" s="7" t="s">
        <v>255</v>
      </c>
      <c r="B32" s="7" t="s">
        <v>6594</v>
      </c>
      <c r="C32" s="7" t="s">
        <v>6717</v>
      </c>
      <c r="D32" s="7" t="s">
        <v>2797</v>
      </c>
      <c r="E32" s="7" t="s">
        <v>1964</v>
      </c>
      <c r="F32" s="7" t="s">
        <v>4205</v>
      </c>
      <c r="G32" s="7" t="s">
        <v>4488</v>
      </c>
      <c r="H32" s="7" t="s">
        <v>1529</v>
      </c>
      <c r="I32" s="7" t="s">
        <v>2692</v>
      </c>
      <c r="J32" s="7" t="s">
        <v>2153</v>
      </c>
      <c r="K32" s="7" t="s">
        <v>4116</v>
      </c>
      <c r="L32" s="7" t="s">
        <v>4407</v>
      </c>
      <c r="M32" s="7" t="s">
        <v>6361</v>
      </c>
      <c r="N32" s="7" t="s">
        <v>2628</v>
      </c>
      <c r="O32" s="7" t="s">
        <v>4052</v>
      </c>
      <c r="P32" s="7" t="s">
        <v>4461</v>
      </c>
      <c r="Q32" s="7" t="s">
        <v>2460</v>
      </c>
      <c r="R32" s="7" t="s">
        <v>2129</v>
      </c>
      <c r="S32" s="7" t="s">
        <v>3888</v>
      </c>
      <c r="T32" s="7" t="s">
        <v>5144</v>
      </c>
      <c r="U32" s="7" t="s">
        <v>6181</v>
      </c>
      <c r="V32" s="7" t="s">
        <v>6429</v>
      </c>
      <c r="W32" s="7" t="s">
        <v>6916</v>
      </c>
      <c r="X32" s="7" t="s">
        <v>7015</v>
      </c>
      <c r="Y32" s="7" t="s">
        <v>7114</v>
      </c>
      <c r="Z32" s="7" t="s">
        <v>7205</v>
      </c>
      <c r="AA32" s="7" t="s">
        <v>7305</v>
      </c>
      <c r="AB32" s="7" t="s">
        <v>7396</v>
      </c>
      <c r="AC32" s="7" t="s">
        <v>7496</v>
      </c>
      <c r="AD32" s="7" t="s">
        <v>7591</v>
      </c>
      <c r="AE32" s="7" t="s">
        <v>5738</v>
      </c>
      <c r="AF32" s="7" t="s">
        <v>7784</v>
      </c>
      <c r="AG32" s="7" t="s">
        <v>7882</v>
      </c>
      <c r="AH32" s="7" t="s">
        <v>3385</v>
      </c>
      <c r="AI32" s="7" t="s">
        <v>3603</v>
      </c>
      <c r="AJ32" s="7" t="s">
        <v>4950</v>
      </c>
      <c r="AK32" s="7" t="s">
        <v>5957</v>
      </c>
      <c r="AL32" s="7" t="s">
        <v>1649</v>
      </c>
      <c r="AM32" s="7" t="s">
        <v>4684</v>
      </c>
      <c r="AN32" s="7" t="s">
        <v>3604</v>
      </c>
      <c r="AO32" s="7" t="s">
        <v>230</v>
      </c>
      <c r="AP32" s="29" t="s">
        <v>3033</v>
      </c>
      <c r="AQ32" s="29" t="s">
        <v>7879</v>
      </c>
    </row>
    <row r="33" customFormat="false" ht="15" hidden="false" customHeight="true" outlineLevel="0" collapsed="false">
      <c r="A33" s="7" t="s">
        <v>6474</v>
      </c>
      <c r="B33" s="7" t="s">
        <v>289</v>
      </c>
      <c r="C33" s="7" t="s">
        <v>172</v>
      </c>
      <c r="D33" s="7" t="s">
        <v>2810</v>
      </c>
      <c r="E33" s="7" t="s">
        <v>2270</v>
      </c>
      <c r="F33" s="7" t="s">
        <v>4217</v>
      </c>
      <c r="G33" s="7" t="s">
        <v>4498</v>
      </c>
      <c r="H33" s="7" t="s">
        <v>1708</v>
      </c>
      <c r="I33" s="7" t="s">
        <v>2706</v>
      </c>
      <c r="J33" s="7" t="s">
        <v>2312</v>
      </c>
      <c r="K33" s="7" t="s">
        <v>4126</v>
      </c>
      <c r="L33" s="7" t="s">
        <v>4417</v>
      </c>
      <c r="M33" s="7" t="s">
        <v>6404</v>
      </c>
      <c r="N33" s="7" t="s">
        <v>2637</v>
      </c>
      <c r="O33" s="7" t="s">
        <v>4063</v>
      </c>
      <c r="P33" s="7" t="s">
        <v>4471</v>
      </c>
      <c r="Q33" s="7" t="s">
        <v>2471</v>
      </c>
      <c r="R33" s="7" t="s">
        <v>2290</v>
      </c>
      <c r="S33" s="7" t="s">
        <v>3877</v>
      </c>
      <c r="T33" s="7" t="s">
        <v>5166</v>
      </c>
      <c r="U33" s="7" t="s">
        <v>6192</v>
      </c>
      <c r="V33" s="7" t="s">
        <v>6819</v>
      </c>
      <c r="W33" s="7" t="s">
        <v>6917</v>
      </c>
      <c r="X33" s="7" t="s">
        <v>7016</v>
      </c>
      <c r="Y33" s="7" t="s">
        <v>7115</v>
      </c>
      <c r="Z33" s="7" t="s">
        <v>7206</v>
      </c>
      <c r="AA33" s="7" t="s">
        <v>7306</v>
      </c>
      <c r="AB33" s="7" t="s">
        <v>7397</v>
      </c>
      <c r="AC33" s="7" t="s">
        <v>7497</v>
      </c>
      <c r="AD33" s="7" t="s">
        <v>7592</v>
      </c>
      <c r="AE33" s="7" t="s">
        <v>7688</v>
      </c>
      <c r="AF33" s="7" t="s">
        <v>7785</v>
      </c>
      <c r="AG33" s="7" t="s">
        <v>7883</v>
      </c>
      <c r="AH33" s="7" t="s">
        <v>3395</v>
      </c>
      <c r="AI33" s="7" t="s">
        <v>3588</v>
      </c>
      <c r="AJ33" s="7" t="s">
        <v>4965</v>
      </c>
      <c r="AK33" s="7" t="s">
        <v>5969</v>
      </c>
      <c r="AL33" s="7" t="s">
        <v>1735</v>
      </c>
      <c r="AM33" s="7" t="s">
        <v>4681</v>
      </c>
      <c r="AN33" s="7" t="s">
        <v>3601</v>
      </c>
      <c r="AO33" s="7" t="s">
        <v>7934</v>
      </c>
      <c r="AP33" s="29" t="s">
        <v>3034</v>
      </c>
      <c r="AQ33" s="29" t="s">
        <v>7884</v>
      </c>
    </row>
    <row r="34" customFormat="false" ht="15" hidden="false" customHeight="true" outlineLevel="0" collapsed="false">
      <c r="A34" s="7" t="s">
        <v>285</v>
      </c>
      <c r="B34" s="7" t="s">
        <v>261</v>
      </c>
      <c r="C34" s="7" t="s">
        <v>174</v>
      </c>
      <c r="D34" s="7" t="s">
        <v>2822</v>
      </c>
      <c r="E34" s="7" t="s">
        <v>2085</v>
      </c>
      <c r="F34" s="7" t="s">
        <v>4230</v>
      </c>
      <c r="G34" s="7" t="s">
        <v>4508</v>
      </c>
      <c r="H34" s="7" t="s">
        <v>1714</v>
      </c>
      <c r="I34" s="7" t="s">
        <v>2719</v>
      </c>
      <c r="J34" s="7" t="s">
        <v>2093</v>
      </c>
      <c r="K34" s="7" t="s">
        <v>4137</v>
      </c>
      <c r="L34" s="7" t="s">
        <v>4428</v>
      </c>
      <c r="M34" s="7" t="s">
        <v>6416</v>
      </c>
      <c r="N34" s="7" t="s">
        <v>2648</v>
      </c>
      <c r="O34" s="7" t="s">
        <v>4074</v>
      </c>
      <c r="P34" s="7" t="s">
        <v>4482</v>
      </c>
      <c r="Q34" s="7" t="s">
        <v>2482</v>
      </c>
      <c r="R34" s="7" t="s">
        <v>1907</v>
      </c>
      <c r="S34" s="7" t="s">
        <v>3932</v>
      </c>
      <c r="T34" s="7" t="s">
        <v>5154</v>
      </c>
      <c r="U34" s="7" t="s">
        <v>6201</v>
      </c>
      <c r="V34" s="7" t="s">
        <v>6821</v>
      </c>
      <c r="W34" s="7" t="s">
        <v>6918</v>
      </c>
      <c r="X34" s="7" t="s">
        <v>7017</v>
      </c>
      <c r="Y34" s="7" t="s">
        <v>7116</v>
      </c>
      <c r="Z34" s="7" t="s">
        <v>7207</v>
      </c>
      <c r="AA34" s="7" t="s">
        <v>7307</v>
      </c>
      <c r="AB34" s="7" t="s">
        <v>7398</v>
      </c>
      <c r="AC34" s="7" t="s">
        <v>7498</v>
      </c>
      <c r="AD34" s="7" t="s">
        <v>7593</v>
      </c>
      <c r="AE34" s="7" t="s">
        <v>5828</v>
      </c>
      <c r="AF34" s="7" t="s">
        <v>7786</v>
      </c>
      <c r="AG34" s="7" t="s">
        <v>7884</v>
      </c>
      <c r="AH34" s="7" t="s">
        <v>3428</v>
      </c>
      <c r="AI34" s="7" t="s">
        <v>3799</v>
      </c>
      <c r="AJ34" s="7" t="s">
        <v>4981</v>
      </c>
      <c r="AK34" s="7" t="s">
        <v>5980</v>
      </c>
      <c r="AL34" s="7" t="s">
        <v>1699</v>
      </c>
      <c r="AM34" s="7" t="s">
        <v>2937</v>
      </c>
      <c r="AN34" s="7" t="s">
        <v>3990</v>
      </c>
      <c r="AO34" s="7" t="s">
        <v>208</v>
      </c>
      <c r="AP34" s="29" t="s">
        <v>4682</v>
      </c>
      <c r="AQ34" s="29" t="s">
        <v>7832</v>
      </c>
    </row>
    <row r="35" customFormat="false" ht="15" hidden="false" customHeight="true" outlineLevel="0" collapsed="false">
      <c r="A35" s="7" t="s">
        <v>6475</v>
      </c>
      <c r="B35" s="7" t="s">
        <v>6597</v>
      </c>
      <c r="C35" s="7" t="s">
        <v>6720</v>
      </c>
      <c r="D35" s="7" t="s">
        <v>2834</v>
      </c>
      <c r="E35" s="7" t="s">
        <v>2353</v>
      </c>
      <c r="F35" s="7" t="s">
        <v>4242</v>
      </c>
      <c r="G35" s="7" t="s">
        <v>4518</v>
      </c>
      <c r="H35" s="7" t="s">
        <v>1816</v>
      </c>
      <c r="I35" s="7" t="s">
        <v>2731</v>
      </c>
      <c r="J35" s="7" t="s">
        <v>2342</v>
      </c>
      <c r="K35" s="7" t="s">
        <v>4148</v>
      </c>
      <c r="L35" s="7" t="s">
        <v>4438</v>
      </c>
      <c r="M35" s="7" t="s">
        <v>1515</v>
      </c>
      <c r="N35" s="7" t="s">
        <v>2659</v>
      </c>
      <c r="O35" s="7" t="s">
        <v>4086</v>
      </c>
      <c r="P35" s="7" t="s">
        <v>4492</v>
      </c>
      <c r="Q35" s="7" t="s">
        <v>5881</v>
      </c>
      <c r="R35" s="7" t="s">
        <v>2148</v>
      </c>
      <c r="S35" s="7" t="s">
        <v>3899</v>
      </c>
      <c r="T35" s="7" t="s">
        <v>5179</v>
      </c>
      <c r="U35" s="7" t="s">
        <v>6213</v>
      </c>
      <c r="V35" s="7" t="s">
        <v>6822</v>
      </c>
      <c r="W35" s="7" t="s">
        <v>6919</v>
      </c>
      <c r="X35" s="7" t="s">
        <v>7018</v>
      </c>
      <c r="Y35" s="7" t="s">
        <v>7117</v>
      </c>
      <c r="Z35" s="7" t="s">
        <v>7208</v>
      </c>
      <c r="AA35" s="7" t="s">
        <v>7309</v>
      </c>
      <c r="AB35" s="7" t="s">
        <v>7399</v>
      </c>
      <c r="AC35" s="7" t="s">
        <v>7499</v>
      </c>
      <c r="AD35" s="7" t="s">
        <v>7594</v>
      </c>
      <c r="AE35" s="7" t="s">
        <v>7689</v>
      </c>
      <c r="AF35" s="7" t="s">
        <v>7787</v>
      </c>
      <c r="AG35" s="7" t="s">
        <v>7885</v>
      </c>
      <c r="AH35" s="7" t="s">
        <v>3417</v>
      </c>
      <c r="AI35" s="7" t="s">
        <v>3810</v>
      </c>
      <c r="AJ35" s="7" t="s">
        <v>4999</v>
      </c>
      <c r="AK35" s="7" t="s">
        <v>5991</v>
      </c>
      <c r="AL35" s="7" t="s">
        <v>1771</v>
      </c>
      <c r="AM35" s="7" t="s">
        <v>5055</v>
      </c>
      <c r="AN35" s="7" t="s">
        <v>3987</v>
      </c>
      <c r="AO35" s="7" t="s">
        <v>7935</v>
      </c>
      <c r="AP35" s="29" t="s">
        <v>4683</v>
      </c>
      <c r="AQ35" s="29" t="s">
        <v>7833</v>
      </c>
    </row>
    <row r="36" customFormat="false" ht="15" hidden="false" customHeight="true" outlineLevel="0" collapsed="false">
      <c r="A36" s="7" t="s">
        <v>6476</v>
      </c>
      <c r="B36" s="7" t="s">
        <v>281</v>
      </c>
      <c r="C36" s="7" t="s">
        <v>165</v>
      </c>
      <c r="D36" s="7" t="s">
        <v>2847</v>
      </c>
      <c r="E36" s="7" t="s">
        <v>2052</v>
      </c>
      <c r="F36" s="7" t="s">
        <v>4254</v>
      </c>
      <c r="G36" s="7" t="s">
        <v>4528</v>
      </c>
      <c r="H36" s="7" t="s">
        <v>1744</v>
      </c>
      <c r="I36" s="7" t="s">
        <v>2744</v>
      </c>
      <c r="J36" s="7" t="s">
        <v>2306</v>
      </c>
      <c r="K36" s="7" t="s">
        <v>4158</v>
      </c>
      <c r="L36" s="7" t="s">
        <v>4448</v>
      </c>
      <c r="M36" s="7" t="s">
        <v>1751</v>
      </c>
      <c r="N36" s="7" t="s">
        <v>2670</v>
      </c>
      <c r="O36" s="7" t="s">
        <v>4098</v>
      </c>
      <c r="P36" s="7" t="s">
        <v>4502</v>
      </c>
      <c r="Q36" s="7" t="s">
        <v>2515</v>
      </c>
      <c r="R36" s="7" t="s">
        <v>1892</v>
      </c>
      <c r="S36" s="7" t="s">
        <v>3942</v>
      </c>
      <c r="T36" s="7" t="s">
        <v>5195</v>
      </c>
      <c r="U36" s="7" t="s">
        <v>6224</v>
      </c>
      <c r="V36" s="7" t="s">
        <v>6823</v>
      </c>
      <c r="W36" s="7" t="s">
        <v>6920</v>
      </c>
      <c r="X36" s="7" t="s">
        <v>7019</v>
      </c>
      <c r="Y36" s="7" t="s">
        <v>7118</v>
      </c>
      <c r="Z36" s="7" t="s">
        <v>7209</v>
      </c>
      <c r="AA36" s="7" t="s">
        <v>7310</v>
      </c>
      <c r="AB36" s="7" t="s">
        <v>7400</v>
      </c>
      <c r="AC36" s="7" t="s">
        <v>7500</v>
      </c>
      <c r="AD36" s="7" t="s">
        <v>7595</v>
      </c>
      <c r="AE36" s="7" t="s">
        <v>7690</v>
      </c>
      <c r="AF36" s="7" t="s">
        <v>7788</v>
      </c>
      <c r="AG36" s="7" t="s">
        <v>7886</v>
      </c>
      <c r="AH36" s="7" t="s">
        <v>3449</v>
      </c>
      <c r="AI36" s="7" t="s">
        <v>3822</v>
      </c>
      <c r="AJ36" s="7" t="s">
        <v>5936</v>
      </c>
      <c r="AK36" s="7" t="s">
        <v>6003</v>
      </c>
      <c r="AL36" s="7" t="s">
        <v>1449</v>
      </c>
      <c r="AM36" s="7" t="s">
        <v>5052</v>
      </c>
      <c r="AN36" s="7" t="s">
        <v>4357</v>
      </c>
      <c r="AO36" s="7" t="s">
        <v>7936</v>
      </c>
      <c r="AP36" s="29" t="s">
        <v>4276</v>
      </c>
      <c r="AQ36" s="29" t="s">
        <v>7836</v>
      </c>
    </row>
    <row r="37" customFormat="false" ht="15" hidden="false" customHeight="true" outlineLevel="0" collapsed="false">
      <c r="A37" s="7" t="s">
        <v>6478</v>
      </c>
      <c r="B37" s="7" t="s">
        <v>6599</v>
      </c>
      <c r="C37" s="7" t="s">
        <v>166</v>
      </c>
      <c r="D37" s="7" t="s">
        <v>2860</v>
      </c>
      <c r="E37" s="7" t="s">
        <v>2239</v>
      </c>
      <c r="F37" s="7" t="s">
        <v>4265</v>
      </c>
      <c r="G37" s="7" t="s">
        <v>4538</v>
      </c>
      <c r="H37" s="7" t="s">
        <v>1537</v>
      </c>
      <c r="I37" s="7" t="s">
        <v>2761</v>
      </c>
      <c r="J37" s="7" t="s">
        <v>2330</v>
      </c>
      <c r="K37" s="7" t="s">
        <v>4171</v>
      </c>
      <c r="L37" s="7" t="s">
        <v>4458</v>
      </c>
      <c r="M37" s="7" t="s">
        <v>1739</v>
      </c>
      <c r="N37" s="7" t="s">
        <v>2695</v>
      </c>
      <c r="O37" s="7" t="s">
        <v>4109</v>
      </c>
      <c r="P37" s="7" t="s">
        <v>4512</v>
      </c>
      <c r="Q37" s="7" t="s">
        <v>2528</v>
      </c>
      <c r="R37" s="7" t="s">
        <v>2161</v>
      </c>
      <c r="S37" s="7" t="s">
        <v>3910</v>
      </c>
      <c r="T37" s="7" t="s">
        <v>5208</v>
      </c>
      <c r="U37" s="7" t="s">
        <v>6235</v>
      </c>
      <c r="V37" s="7" t="s">
        <v>6824</v>
      </c>
      <c r="W37" s="7" t="s">
        <v>6921</v>
      </c>
      <c r="X37" s="7" t="s">
        <v>7020</v>
      </c>
      <c r="Y37" s="7" t="s">
        <v>7119</v>
      </c>
      <c r="Z37" s="7" t="s">
        <v>7210</v>
      </c>
      <c r="AA37" s="7" t="s">
        <v>7311</v>
      </c>
      <c r="AB37" s="7" t="s">
        <v>7401</v>
      </c>
      <c r="AC37" s="7" t="s">
        <v>7501</v>
      </c>
      <c r="AD37" s="7" t="s">
        <v>7596</v>
      </c>
      <c r="AE37" s="7" t="s">
        <v>7691</v>
      </c>
      <c r="AF37" s="7" t="s">
        <v>7789</v>
      </c>
      <c r="AG37" s="7" t="s">
        <v>7887</v>
      </c>
      <c r="AH37" s="7" t="s">
        <v>3439</v>
      </c>
      <c r="AI37" s="7" t="s">
        <v>3833</v>
      </c>
      <c r="AJ37" s="7" t="s">
        <v>5914</v>
      </c>
      <c r="AK37" s="7" t="s">
        <v>6014</v>
      </c>
      <c r="AL37" s="7" t="s">
        <v>1379</v>
      </c>
      <c r="AM37" s="7" t="s">
        <v>5516</v>
      </c>
      <c r="AN37" s="7" t="s">
        <v>4354</v>
      </c>
      <c r="AO37" s="7" t="s">
        <v>7937</v>
      </c>
      <c r="AP37" s="29" t="s">
        <v>4277</v>
      </c>
      <c r="AQ37" s="29" t="s">
        <v>508</v>
      </c>
    </row>
    <row r="38" customFormat="false" ht="15" hidden="false" customHeight="true" outlineLevel="0" collapsed="false">
      <c r="A38" s="7" t="s">
        <v>6480</v>
      </c>
      <c r="B38" s="7" t="s">
        <v>6600</v>
      </c>
      <c r="C38" s="7" t="s">
        <v>162</v>
      </c>
      <c r="D38" s="7" t="s">
        <v>2898</v>
      </c>
      <c r="E38" s="7" t="s">
        <v>2078</v>
      </c>
      <c r="F38" s="7" t="s">
        <v>4274</v>
      </c>
      <c r="G38" s="7" t="s">
        <v>5367</v>
      </c>
      <c r="H38" s="7" t="s">
        <v>1852</v>
      </c>
      <c r="I38" s="7" t="s">
        <v>2776</v>
      </c>
      <c r="J38" s="7" t="s">
        <v>2295</v>
      </c>
      <c r="K38" s="7" t="s">
        <v>4184</v>
      </c>
      <c r="L38" s="7" t="s">
        <v>4468</v>
      </c>
      <c r="M38" s="7" t="s">
        <v>1847</v>
      </c>
      <c r="N38" s="7" t="s">
        <v>2709</v>
      </c>
      <c r="O38" s="7" t="s">
        <v>4119</v>
      </c>
      <c r="P38" s="7" t="s">
        <v>4522</v>
      </c>
      <c r="Q38" s="7" t="s">
        <v>2541</v>
      </c>
      <c r="R38" s="7" t="s">
        <v>1885</v>
      </c>
      <c r="S38" s="7" t="s">
        <v>3953</v>
      </c>
      <c r="T38" s="7" t="s">
        <v>5221</v>
      </c>
      <c r="U38" s="7" t="s">
        <v>6246</v>
      </c>
      <c r="V38" s="7" t="s">
        <v>6825</v>
      </c>
      <c r="W38" s="7" t="s">
        <v>5947</v>
      </c>
      <c r="X38" s="7" t="s">
        <v>7021</v>
      </c>
      <c r="Y38" s="7" t="s">
        <v>7120</v>
      </c>
      <c r="Z38" s="7" t="s">
        <v>7211</v>
      </c>
      <c r="AA38" s="7" t="s">
        <v>7312</v>
      </c>
      <c r="AB38" s="7" t="s">
        <v>7402</v>
      </c>
      <c r="AC38" s="7" t="s">
        <v>7502</v>
      </c>
      <c r="AD38" s="7" t="s">
        <v>7597</v>
      </c>
      <c r="AE38" s="7" t="s">
        <v>7692</v>
      </c>
      <c r="AF38" s="7" t="s">
        <v>7790</v>
      </c>
      <c r="AG38" s="7" t="s">
        <v>7888</v>
      </c>
      <c r="AH38" s="7" t="s">
        <v>3462</v>
      </c>
      <c r="AI38" s="7" t="s">
        <v>3684</v>
      </c>
      <c r="AJ38" s="7" t="s">
        <v>5893</v>
      </c>
      <c r="AK38" s="7" t="s">
        <v>6025</v>
      </c>
      <c r="AL38" s="7" t="s">
        <v>1705</v>
      </c>
      <c r="AM38" s="7" t="s">
        <v>5513</v>
      </c>
      <c r="AN38" s="7" t="s">
        <v>5012</v>
      </c>
      <c r="AO38" s="7" t="s">
        <v>231</v>
      </c>
      <c r="AP38" s="29" t="s">
        <v>5514</v>
      </c>
      <c r="AQ38" s="29" t="s">
        <v>7842</v>
      </c>
    </row>
    <row r="39" customFormat="false" ht="15" hidden="false" customHeight="true" outlineLevel="0" collapsed="false">
      <c r="A39" s="7" t="s">
        <v>265</v>
      </c>
      <c r="B39" s="7" t="s">
        <v>279</v>
      </c>
      <c r="C39" s="7" t="s">
        <v>6723</v>
      </c>
      <c r="D39" s="7" t="s">
        <v>2933</v>
      </c>
      <c r="E39" s="7" t="s">
        <v>1991</v>
      </c>
      <c r="F39" s="7" t="s">
        <v>4286</v>
      </c>
      <c r="G39" s="7" t="s">
        <v>5380</v>
      </c>
      <c r="H39" s="7" t="s">
        <v>1786</v>
      </c>
      <c r="I39" s="7" t="s">
        <v>2787</v>
      </c>
      <c r="J39" s="7" t="s">
        <v>2301</v>
      </c>
      <c r="K39" s="7" t="s">
        <v>4195</v>
      </c>
      <c r="L39" s="7" t="s">
        <v>4479</v>
      </c>
      <c r="M39" s="7" t="s">
        <v>1522</v>
      </c>
      <c r="N39" s="7" t="s">
        <v>2722</v>
      </c>
      <c r="O39" s="7" t="s">
        <v>4129</v>
      </c>
      <c r="P39" s="7" t="s">
        <v>4532</v>
      </c>
      <c r="Q39" s="7" t="s">
        <v>2553</v>
      </c>
      <c r="R39" s="7" t="s">
        <v>2284</v>
      </c>
      <c r="S39" s="7" t="s">
        <v>3966</v>
      </c>
      <c r="T39" s="7" t="s">
        <v>5923</v>
      </c>
      <c r="U39" s="7" t="s">
        <v>6256</v>
      </c>
      <c r="V39" s="7" t="s">
        <v>6826</v>
      </c>
      <c r="W39" s="7" t="s">
        <v>6922</v>
      </c>
      <c r="X39" s="7" t="s">
        <v>7022</v>
      </c>
      <c r="Y39" s="7" t="s">
        <v>7121</v>
      </c>
      <c r="Z39" s="7" t="s">
        <v>7212</v>
      </c>
      <c r="AA39" s="7" t="s">
        <v>7313</v>
      </c>
      <c r="AB39" s="7" t="s">
        <v>7403</v>
      </c>
      <c r="AC39" s="7" t="s">
        <v>7503</v>
      </c>
      <c r="AD39" s="7" t="s">
        <v>7598</v>
      </c>
      <c r="AE39" s="7" t="s">
        <v>7693</v>
      </c>
      <c r="AF39" s="7" t="s">
        <v>7791</v>
      </c>
      <c r="AG39" s="7" t="s">
        <v>7889</v>
      </c>
      <c r="AH39" s="7" t="s">
        <v>3472</v>
      </c>
      <c r="AI39" s="7" t="s">
        <v>3697</v>
      </c>
      <c r="AJ39" s="7" t="s">
        <v>5903</v>
      </c>
      <c r="AK39" s="7" t="s">
        <v>6036</v>
      </c>
      <c r="AL39" s="7" t="s">
        <v>1825</v>
      </c>
      <c r="AM39" s="7" t="s">
        <v>3179</v>
      </c>
      <c r="AN39" s="7" t="s">
        <v>5009</v>
      </c>
      <c r="AO39" s="7" t="s">
        <v>7938</v>
      </c>
      <c r="AP39" s="29" t="s">
        <v>5515</v>
      </c>
      <c r="AQ39" s="29" t="s">
        <v>7848</v>
      </c>
    </row>
    <row r="40" customFormat="false" ht="15" hidden="false" customHeight="true" outlineLevel="0" collapsed="false">
      <c r="A40" s="7" t="s">
        <v>294</v>
      </c>
      <c r="B40" s="7" t="s">
        <v>6602</v>
      </c>
      <c r="C40" s="7" t="s">
        <v>157</v>
      </c>
      <c r="D40" s="7" t="s">
        <v>2920</v>
      </c>
      <c r="E40" s="7" t="s">
        <v>2347</v>
      </c>
      <c r="F40" s="7" t="s">
        <v>4297</v>
      </c>
      <c r="G40" s="7" t="s">
        <v>5433</v>
      </c>
      <c r="H40" s="7" t="s">
        <v>1544</v>
      </c>
      <c r="I40" s="7" t="s">
        <v>2798</v>
      </c>
      <c r="J40" s="7" t="s">
        <v>1965</v>
      </c>
      <c r="K40" s="7" t="s">
        <v>4206</v>
      </c>
      <c r="L40" s="7" t="s">
        <v>4489</v>
      </c>
      <c r="M40" s="7" t="s">
        <v>1530</v>
      </c>
      <c r="N40" s="7" t="s">
        <v>2734</v>
      </c>
      <c r="O40" s="7" t="s">
        <v>4140</v>
      </c>
      <c r="P40" s="7" t="s">
        <v>4542</v>
      </c>
      <c r="Q40" s="7" t="s">
        <v>2680</v>
      </c>
      <c r="R40" s="7" t="s">
        <v>2278</v>
      </c>
      <c r="S40" s="7" t="s">
        <v>3976</v>
      </c>
      <c r="T40" s="7" t="s">
        <v>5233</v>
      </c>
      <c r="U40" s="7" t="s">
        <v>6267</v>
      </c>
      <c r="V40" s="7" t="s">
        <v>6827</v>
      </c>
      <c r="W40" s="7" t="s">
        <v>6923</v>
      </c>
      <c r="X40" s="7" t="s">
        <v>7023</v>
      </c>
      <c r="Y40" s="7" t="s">
        <v>7122</v>
      </c>
      <c r="Z40" s="7" t="s">
        <v>7213</v>
      </c>
      <c r="AA40" s="7" t="s">
        <v>7314</v>
      </c>
      <c r="AB40" s="7" t="s">
        <v>7404</v>
      </c>
      <c r="AC40" s="7" t="s">
        <v>7504</v>
      </c>
      <c r="AD40" s="7" t="s">
        <v>7599</v>
      </c>
      <c r="AE40" s="7" t="s">
        <v>5762</v>
      </c>
      <c r="AF40" s="7" t="s">
        <v>7792</v>
      </c>
      <c r="AG40" s="7" t="s">
        <v>7890</v>
      </c>
      <c r="AH40" s="7" t="s">
        <v>2235</v>
      </c>
      <c r="AI40" s="7" t="s">
        <v>3709</v>
      </c>
      <c r="AJ40" s="7" t="s">
        <v>5011</v>
      </c>
      <c r="AK40" s="7" t="s">
        <v>6047</v>
      </c>
      <c r="AL40" s="7" t="s">
        <v>1729</v>
      </c>
      <c r="AM40" s="7" t="s">
        <v>2637</v>
      </c>
      <c r="AN40" s="7" t="s">
        <v>5676</v>
      </c>
      <c r="AO40" s="7" t="s">
        <v>7939</v>
      </c>
      <c r="AP40" s="29" t="s">
        <v>2935</v>
      </c>
      <c r="AQ40" s="29" t="s">
        <v>576</v>
      </c>
    </row>
    <row r="41" customFormat="false" ht="15" hidden="false" customHeight="true" outlineLevel="0" collapsed="false">
      <c r="A41" s="7" t="s">
        <v>271</v>
      </c>
      <c r="B41" s="7" t="s">
        <v>6603</v>
      </c>
      <c r="C41" s="7" t="s">
        <v>176</v>
      </c>
      <c r="D41" s="7" t="s">
        <v>2876</v>
      </c>
      <c r="E41" s="7" t="s">
        <v>2365</v>
      </c>
      <c r="F41" s="7" t="s">
        <v>4308</v>
      </c>
      <c r="G41" s="7" t="s">
        <v>5422</v>
      </c>
      <c r="H41" s="7" t="s">
        <v>1453</v>
      </c>
      <c r="I41" s="7" t="s">
        <v>2811</v>
      </c>
      <c r="J41" s="7" t="s">
        <v>2271</v>
      </c>
      <c r="K41" s="7" t="s">
        <v>4218</v>
      </c>
      <c r="L41" s="7" t="s">
        <v>4499</v>
      </c>
      <c r="M41" s="7" t="s">
        <v>1709</v>
      </c>
      <c r="N41" s="7" t="s">
        <v>2747</v>
      </c>
      <c r="O41" s="7" t="s">
        <v>4151</v>
      </c>
      <c r="P41" s="7" t="s">
        <v>5371</v>
      </c>
      <c r="Q41" s="7" t="s">
        <v>2571</v>
      </c>
      <c r="R41" s="7" t="s">
        <v>2385</v>
      </c>
      <c r="S41" s="7" t="s">
        <v>3988</v>
      </c>
      <c r="T41" s="7" t="s">
        <v>5268</v>
      </c>
      <c r="U41" s="7" t="s">
        <v>6279</v>
      </c>
      <c r="V41" s="7" t="s">
        <v>6828</v>
      </c>
      <c r="W41" s="7" t="s">
        <v>6924</v>
      </c>
      <c r="X41" s="7" t="s">
        <v>7024</v>
      </c>
      <c r="Y41" s="7" t="s">
        <v>7123</v>
      </c>
      <c r="Z41" s="7" t="s">
        <v>7214</v>
      </c>
      <c r="AA41" s="7" t="s">
        <v>7315</v>
      </c>
      <c r="AB41" s="7" t="s">
        <v>7405</v>
      </c>
      <c r="AC41" s="7" t="s">
        <v>7505</v>
      </c>
      <c r="AD41" s="7" t="s">
        <v>7600</v>
      </c>
      <c r="AE41" s="7" t="s">
        <v>7694</v>
      </c>
      <c r="AF41" s="7" t="s">
        <v>7793</v>
      </c>
      <c r="AG41" s="7" t="s">
        <v>7891</v>
      </c>
      <c r="AH41" s="7" t="s">
        <v>1924</v>
      </c>
      <c r="AI41" s="7" t="s">
        <v>3720</v>
      </c>
      <c r="AJ41" s="7" t="s">
        <v>5063</v>
      </c>
      <c r="AK41" s="7" t="s">
        <v>6058</v>
      </c>
      <c r="AL41" s="7" t="s">
        <v>1413</v>
      </c>
      <c r="AM41" s="7" t="s">
        <v>3473</v>
      </c>
      <c r="AN41" s="7" t="s">
        <v>5673</v>
      </c>
      <c r="AO41" s="7" t="s">
        <v>232</v>
      </c>
      <c r="AP41" s="29" t="s">
        <v>2936</v>
      </c>
      <c r="AQ41" s="29" t="s">
        <v>7856</v>
      </c>
    </row>
    <row r="42" customFormat="false" ht="15" hidden="false" customHeight="true" outlineLevel="0" collapsed="false">
      <c r="A42" s="7" t="s">
        <v>6483</v>
      </c>
      <c r="B42" s="7" t="s">
        <v>6605</v>
      </c>
      <c r="C42" s="7" t="s">
        <v>6726</v>
      </c>
      <c r="D42" s="7" t="s">
        <v>2977</v>
      </c>
      <c r="E42" s="7" t="s">
        <v>2099</v>
      </c>
      <c r="F42" s="7" t="s">
        <v>4319</v>
      </c>
      <c r="G42" s="7" t="s">
        <v>5391</v>
      </c>
      <c r="H42" s="7" t="s">
        <v>1394</v>
      </c>
      <c r="I42" s="7" t="s">
        <v>2823</v>
      </c>
      <c r="J42" s="7" t="s">
        <v>2086</v>
      </c>
      <c r="K42" s="7" t="s">
        <v>4231</v>
      </c>
      <c r="L42" s="7" t="s">
        <v>4509</v>
      </c>
      <c r="M42" s="7" t="s">
        <v>1715</v>
      </c>
      <c r="N42" s="7" t="s">
        <v>2764</v>
      </c>
      <c r="O42" s="7" t="s">
        <v>4161</v>
      </c>
      <c r="P42" s="7" t="s">
        <v>5384</v>
      </c>
      <c r="Q42" s="7" t="s">
        <v>2563</v>
      </c>
      <c r="R42" s="7" t="s">
        <v>2373</v>
      </c>
      <c r="S42" s="7" t="s">
        <v>4001</v>
      </c>
      <c r="T42" s="7" t="s">
        <v>5291</v>
      </c>
      <c r="U42" s="7" t="s">
        <v>6290</v>
      </c>
      <c r="V42" s="7" t="s">
        <v>6829</v>
      </c>
      <c r="W42" s="7" t="s">
        <v>6925</v>
      </c>
      <c r="X42" s="7" t="s">
        <v>7025</v>
      </c>
      <c r="Y42" s="7" t="s">
        <v>7124</v>
      </c>
      <c r="Z42" s="7" t="s">
        <v>7215</v>
      </c>
      <c r="AA42" s="7" t="s">
        <v>7316</v>
      </c>
      <c r="AB42" s="7" t="s">
        <v>7406</v>
      </c>
      <c r="AC42" s="7" t="s">
        <v>7506</v>
      </c>
      <c r="AD42" s="7" t="s">
        <v>7601</v>
      </c>
      <c r="AE42" s="7" t="s">
        <v>7695</v>
      </c>
      <c r="AF42" s="7" t="s">
        <v>7794</v>
      </c>
      <c r="AG42" s="7" t="s">
        <v>7892</v>
      </c>
      <c r="AH42" s="7" t="s">
        <v>2326</v>
      </c>
      <c r="AI42" s="7" t="s">
        <v>3731</v>
      </c>
      <c r="AJ42" s="7" t="s">
        <v>5045</v>
      </c>
      <c r="AK42" s="7" t="s">
        <v>6069</v>
      </c>
      <c r="AL42" s="7" t="s">
        <v>1843</v>
      </c>
      <c r="AM42" s="7" t="s">
        <v>4377</v>
      </c>
      <c r="AN42" s="7" t="s">
        <v>2890</v>
      </c>
      <c r="AO42" s="7" t="s">
        <v>7940</v>
      </c>
      <c r="AP42" s="29" t="s">
        <v>7191</v>
      </c>
      <c r="AQ42" s="29" t="s">
        <v>7873</v>
      </c>
    </row>
    <row r="43" customFormat="false" ht="15" hidden="false" customHeight="true" outlineLevel="0" collapsed="false">
      <c r="A43" s="7" t="s">
        <v>6485</v>
      </c>
      <c r="B43" s="7" t="s">
        <v>6606</v>
      </c>
      <c r="C43" s="7" t="s">
        <v>167</v>
      </c>
      <c r="D43" s="7" t="s">
        <v>2966</v>
      </c>
      <c r="E43" s="7" t="s">
        <v>1928</v>
      </c>
      <c r="F43" s="7" t="s">
        <v>4330</v>
      </c>
      <c r="G43" s="7" t="s">
        <v>5454</v>
      </c>
      <c r="H43" s="7" t="s">
        <v>1432</v>
      </c>
      <c r="I43" s="7" t="s">
        <v>2835</v>
      </c>
      <c r="J43" s="7" t="s">
        <v>2354</v>
      </c>
      <c r="K43" s="7" t="s">
        <v>4243</v>
      </c>
      <c r="L43" s="7" t="s">
        <v>4519</v>
      </c>
      <c r="M43" s="7" t="s">
        <v>1817</v>
      </c>
      <c r="N43" s="7" t="s">
        <v>2779</v>
      </c>
      <c r="O43" s="7" t="s">
        <v>4174</v>
      </c>
      <c r="P43" s="7" t="s">
        <v>5437</v>
      </c>
      <c r="Q43" s="7" t="s">
        <v>2582</v>
      </c>
      <c r="R43" s="7" t="s">
        <v>1915</v>
      </c>
      <c r="S43" s="7" t="s">
        <v>4014</v>
      </c>
      <c r="T43" s="7" t="s">
        <v>5278</v>
      </c>
      <c r="U43" s="7" t="s">
        <v>6330</v>
      </c>
      <c r="V43" s="7" t="s">
        <v>6830</v>
      </c>
      <c r="W43" s="7" t="s">
        <v>6926</v>
      </c>
      <c r="X43" s="7" t="s">
        <v>7026</v>
      </c>
      <c r="Y43" s="7" t="s">
        <v>7125</v>
      </c>
      <c r="Z43" s="7" t="s">
        <v>7216</v>
      </c>
      <c r="AA43" s="7" t="s">
        <v>7317</v>
      </c>
      <c r="AB43" s="7" t="s">
        <v>7407</v>
      </c>
      <c r="AC43" s="7" t="s">
        <v>7507</v>
      </c>
      <c r="AD43" s="7" t="s">
        <v>7602</v>
      </c>
      <c r="AE43" s="7" t="s">
        <v>7696</v>
      </c>
      <c r="AF43" s="7" t="s">
        <v>7795</v>
      </c>
      <c r="AG43" s="7" t="s">
        <v>7893</v>
      </c>
      <c r="AH43" s="7" t="s">
        <v>2261</v>
      </c>
      <c r="AI43" s="7" t="s">
        <v>3743</v>
      </c>
      <c r="AJ43" s="7" t="s">
        <v>5023</v>
      </c>
      <c r="AK43" s="7" t="s">
        <v>6081</v>
      </c>
      <c r="AL43" s="7" t="s">
        <v>1765</v>
      </c>
      <c r="AM43" s="7" t="s">
        <v>4374</v>
      </c>
      <c r="AN43" s="7" t="s">
        <v>3298</v>
      </c>
      <c r="AO43" s="7" t="s">
        <v>7941</v>
      </c>
      <c r="AP43" s="29" t="s">
        <v>7192</v>
      </c>
      <c r="AQ43" s="29" t="s">
        <v>7878</v>
      </c>
    </row>
    <row r="44" customFormat="false" ht="15" hidden="false" customHeight="true" outlineLevel="0" collapsed="false">
      <c r="A44" s="7" t="s">
        <v>269</v>
      </c>
      <c r="B44" s="7" t="s">
        <v>6608</v>
      </c>
      <c r="C44" s="7" t="s">
        <v>6728</v>
      </c>
      <c r="D44" s="7" t="s">
        <v>2886</v>
      </c>
      <c r="E44" s="7" t="s">
        <v>2027</v>
      </c>
      <c r="F44" s="7" t="s">
        <v>4342</v>
      </c>
      <c r="G44" s="7" t="s">
        <v>5401</v>
      </c>
      <c r="H44" s="7" t="s">
        <v>1551</v>
      </c>
      <c r="I44" s="7" t="s">
        <v>2848</v>
      </c>
      <c r="J44" s="7" t="s">
        <v>2053</v>
      </c>
      <c r="K44" s="7" t="s">
        <v>4255</v>
      </c>
      <c r="L44" s="7" t="s">
        <v>4529</v>
      </c>
      <c r="M44" s="7" t="s">
        <v>1745</v>
      </c>
      <c r="N44" s="7" t="s">
        <v>2790</v>
      </c>
      <c r="O44" s="7" t="s">
        <v>4187</v>
      </c>
      <c r="P44" s="7" t="s">
        <v>5426</v>
      </c>
      <c r="Q44" s="7" t="s">
        <v>2592</v>
      </c>
      <c r="R44" s="7" t="s">
        <v>2361</v>
      </c>
      <c r="S44" s="7" t="s">
        <v>4026</v>
      </c>
      <c r="T44" s="7" t="s">
        <v>5245</v>
      </c>
      <c r="U44" s="7" t="s">
        <v>6322</v>
      </c>
      <c r="V44" s="7" t="s">
        <v>6831</v>
      </c>
      <c r="W44" s="7" t="s">
        <v>6927</v>
      </c>
      <c r="X44" s="7" t="s">
        <v>7027</v>
      </c>
      <c r="Y44" s="7" t="s">
        <v>7126</v>
      </c>
      <c r="Z44" s="7" t="s">
        <v>7217</v>
      </c>
      <c r="AA44" s="7" t="s">
        <v>7318</v>
      </c>
      <c r="AB44" s="7" t="s">
        <v>7408</v>
      </c>
      <c r="AC44" s="7" t="s">
        <v>7508</v>
      </c>
      <c r="AD44" s="7" t="s">
        <v>7603</v>
      </c>
      <c r="AE44" s="7" t="s">
        <v>7697</v>
      </c>
      <c r="AF44" s="7" t="s">
        <v>7796</v>
      </c>
      <c r="AG44" s="7" t="s">
        <v>7894</v>
      </c>
      <c r="AH44" s="7" t="s">
        <v>2267</v>
      </c>
      <c r="AI44" s="7" t="s">
        <v>3754</v>
      </c>
      <c r="AJ44" s="7" t="s">
        <v>5054</v>
      </c>
      <c r="AK44" s="7" t="s">
        <v>6093</v>
      </c>
      <c r="AL44" s="7" t="s">
        <v>1813</v>
      </c>
      <c r="AM44" s="7" t="s">
        <v>6324</v>
      </c>
      <c r="AN44" s="7" t="s">
        <v>3363</v>
      </c>
      <c r="AP44" s="29" t="s">
        <v>7569</v>
      </c>
      <c r="AQ44" s="29" t="s">
        <v>7550</v>
      </c>
    </row>
    <row r="45" customFormat="false" ht="15" hidden="false" customHeight="true" outlineLevel="0" collapsed="false">
      <c r="A45" s="7" t="s">
        <v>6488</v>
      </c>
      <c r="B45" s="7" t="s">
        <v>6609</v>
      </c>
      <c r="C45" s="7" t="s">
        <v>164</v>
      </c>
      <c r="D45" s="7" t="s">
        <v>2944</v>
      </c>
      <c r="E45" s="7" t="s">
        <v>2173</v>
      </c>
      <c r="F45" s="7" t="s">
        <v>4560</v>
      </c>
      <c r="G45" s="7" t="s">
        <v>5412</v>
      </c>
      <c r="H45" s="7" t="s">
        <v>1557</v>
      </c>
      <c r="I45" s="7" t="s">
        <v>2861</v>
      </c>
      <c r="J45" s="7" t="s">
        <v>2240</v>
      </c>
      <c r="K45" s="7" t="s">
        <v>4266</v>
      </c>
      <c r="L45" s="7" t="s">
        <v>4539</v>
      </c>
      <c r="M45" s="7" t="s">
        <v>1538</v>
      </c>
      <c r="N45" s="7" t="s">
        <v>2801</v>
      </c>
      <c r="O45" s="7" t="s">
        <v>4198</v>
      </c>
      <c r="P45" s="7" t="s">
        <v>5395</v>
      </c>
      <c r="Q45" s="7" t="s">
        <v>2603</v>
      </c>
      <c r="R45" s="7" t="s">
        <v>2040</v>
      </c>
      <c r="S45" s="7" t="s">
        <v>4038</v>
      </c>
      <c r="T45" s="7" t="s">
        <v>5257</v>
      </c>
      <c r="U45" s="7" t="s">
        <v>6301</v>
      </c>
      <c r="V45" s="7" t="s">
        <v>6832</v>
      </c>
      <c r="W45" s="7" t="s">
        <v>6928</v>
      </c>
      <c r="X45" s="7" t="s">
        <v>7028</v>
      </c>
      <c r="Y45" s="7" t="s">
        <v>7127</v>
      </c>
      <c r="Z45" s="7" t="s">
        <v>7218</v>
      </c>
      <c r="AA45" s="7" t="s">
        <v>7319</v>
      </c>
      <c r="AB45" s="7" t="s">
        <v>7409</v>
      </c>
      <c r="AC45" s="7" t="s">
        <v>7509</v>
      </c>
      <c r="AD45" s="7" t="s">
        <v>7604</v>
      </c>
      <c r="AE45" s="7" t="s">
        <v>7698</v>
      </c>
      <c r="AF45" s="7" t="s">
        <v>7797</v>
      </c>
      <c r="AG45" s="7" t="s">
        <v>2400</v>
      </c>
      <c r="AH45" s="7" t="s">
        <v>1901</v>
      </c>
      <c r="AI45" s="7" t="s">
        <v>3765</v>
      </c>
      <c r="AJ45" s="7" t="s">
        <v>5034</v>
      </c>
      <c r="AK45" s="7" t="s">
        <v>6104</v>
      </c>
      <c r="AL45" s="7" t="s">
        <v>1723</v>
      </c>
      <c r="AM45" s="7" t="s">
        <v>6321</v>
      </c>
      <c r="AN45" s="7" t="s">
        <v>3519</v>
      </c>
      <c r="AP45" s="29" t="s">
        <v>5151</v>
      </c>
      <c r="AQ45" s="29" t="s">
        <v>7868</v>
      </c>
    </row>
    <row r="46" customFormat="false" ht="15" hidden="false" customHeight="true" outlineLevel="0" collapsed="false">
      <c r="A46" s="7" t="s">
        <v>6490</v>
      </c>
      <c r="B46" s="7" t="s">
        <v>6610</v>
      </c>
      <c r="C46" s="7" t="s">
        <v>6730</v>
      </c>
      <c r="D46" s="7" t="s">
        <v>2955</v>
      </c>
      <c r="E46" s="7" t="s">
        <v>1936</v>
      </c>
      <c r="F46" s="7" t="s">
        <v>4353</v>
      </c>
      <c r="G46" s="7" t="s">
        <v>5444</v>
      </c>
      <c r="H46" s="7" t="s">
        <v>1670</v>
      </c>
      <c r="I46" s="7" t="s">
        <v>2899</v>
      </c>
      <c r="J46" s="7" t="s">
        <v>2079</v>
      </c>
      <c r="K46" s="7" t="s">
        <v>4275</v>
      </c>
      <c r="L46" s="7" t="s">
        <v>5368</v>
      </c>
      <c r="M46" s="7" t="s">
        <v>1853</v>
      </c>
      <c r="N46" s="7" t="s">
        <v>2814</v>
      </c>
      <c r="O46" s="7" t="s">
        <v>4209</v>
      </c>
      <c r="P46" s="7" t="s">
        <v>5405</v>
      </c>
      <c r="Q46" s="7" t="s">
        <v>2615</v>
      </c>
      <c r="R46" s="7" t="s">
        <v>2135</v>
      </c>
      <c r="S46" s="7" t="s">
        <v>4050</v>
      </c>
      <c r="T46" s="7" t="s">
        <v>5300</v>
      </c>
      <c r="U46" s="7" t="s">
        <v>6338</v>
      </c>
      <c r="V46" s="7" t="s">
        <v>6833</v>
      </c>
      <c r="W46" s="7" t="s">
        <v>6929</v>
      </c>
      <c r="X46" s="7" t="s">
        <v>7029</v>
      </c>
      <c r="Y46" s="7" t="s">
        <v>7128</v>
      </c>
      <c r="Z46" s="7" t="s">
        <v>7219</v>
      </c>
      <c r="AA46" s="7" t="s">
        <v>7320</v>
      </c>
      <c r="AB46" s="7" t="s">
        <v>7410</v>
      </c>
      <c r="AC46" s="7" t="s">
        <v>7510</v>
      </c>
      <c r="AD46" s="7" t="s">
        <v>7605</v>
      </c>
      <c r="AE46" s="7" t="s">
        <v>7699</v>
      </c>
      <c r="AF46" s="7" t="s">
        <v>7798</v>
      </c>
      <c r="AG46" s="7" t="s">
        <v>2412</v>
      </c>
      <c r="AH46" s="7" t="s">
        <v>2109</v>
      </c>
      <c r="AI46" s="7" t="s">
        <v>3776</v>
      </c>
      <c r="AJ46" s="7" t="s">
        <v>5089</v>
      </c>
      <c r="AK46" s="7" t="s">
        <v>6114</v>
      </c>
      <c r="AL46" s="7" t="s">
        <v>1759</v>
      </c>
      <c r="AM46" s="7" t="s">
        <v>3589</v>
      </c>
      <c r="AN46" s="7" t="s">
        <v>3516</v>
      </c>
      <c r="AP46" s="29" t="s">
        <v>7499</v>
      </c>
      <c r="AQ46" s="29" t="s">
        <v>7838</v>
      </c>
    </row>
    <row r="47" customFormat="false" ht="15" hidden="false" customHeight="true" outlineLevel="0" collapsed="false">
      <c r="A47" s="7" t="s">
        <v>270</v>
      </c>
      <c r="B47" s="7" t="s">
        <v>6612</v>
      </c>
      <c r="C47" s="7" t="s">
        <v>6732</v>
      </c>
      <c r="D47" s="7" t="s">
        <v>2909</v>
      </c>
      <c r="E47" s="7" t="s">
        <v>2166</v>
      </c>
      <c r="F47" s="7" t="s">
        <v>4364</v>
      </c>
      <c r="G47" s="7" t="s">
        <v>5466</v>
      </c>
      <c r="H47" s="7" t="s">
        <v>1460</v>
      </c>
      <c r="I47" s="7" t="s">
        <v>2934</v>
      </c>
      <c r="J47" s="7" t="s">
        <v>1992</v>
      </c>
      <c r="K47" s="7" t="s">
        <v>4287</v>
      </c>
      <c r="L47" s="7" t="s">
        <v>5381</v>
      </c>
      <c r="M47" s="7" t="s">
        <v>1787</v>
      </c>
      <c r="N47" s="7" t="s">
        <v>2826</v>
      </c>
      <c r="O47" s="7" t="s">
        <v>4221</v>
      </c>
      <c r="P47" s="7" t="s">
        <v>5416</v>
      </c>
      <c r="Q47" s="7" t="s">
        <v>2626</v>
      </c>
      <c r="R47" s="7" t="s">
        <v>2195</v>
      </c>
      <c r="S47" s="7" t="s">
        <v>4061</v>
      </c>
      <c r="T47" s="7" t="s">
        <v>5312</v>
      </c>
      <c r="U47" s="7" t="s">
        <v>6310</v>
      </c>
      <c r="V47" s="7" t="s">
        <v>6834</v>
      </c>
      <c r="W47" s="7" t="s">
        <v>6930</v>
      </c>
      <c r="X47" s="7" t="s">
        <v>7030</v>
      </c>
      <c r="Y47" s="7" t="s">
        <v>7129</v>
      </c>
      <c r="Z47" s="7" t="s">
        <v>7220</v>
      </c>
      <c r="AA47" s="7" t="s">
        <v>7321</v>
      </c>
      <c r="AB47" s="7" t="s">
        <v>7411</v>
      </c>
      <c r="AC47" s="7" t="s">
        <v>7511</v>
      </c>
      <c r="AD47" s="7" t="s">
        <v>7606</v>
      </c>
      <c r="AE47" s="7" t="s">
        <v>7700</v>
      </c>
      <c r="AF47" s="7" t="s">
        <v>7799</v>
      </c>
      <c r="AG47" s="7" t="s">
        <v>2497</v>
      </c>
      <c r="AH47" s="7" t="s">
        <v>2209</v>
      </c>
      <c r="AI47" s="7" t="s">
        <v>3787</v>
      </c>
      <c r="AJ47" s="7" t="s">
        <v>5076</v>
      </c>
      <c r="AK47" s="7" t="s">
        <v>6129</v>
      </c>
      <c r="AL47" s="7" t="s">
        <v>1807</v>
      </c>
      <c r="AM47" s="7" t="s">
        <v>3586</v>
      </c>
      <c r="AN47" s="7" t="s">
        <v>3666</v>
      </c>
      <c r="AP47" s="29" t="s">
        <v>7497</v>
      </c>
      <c r="AQ47" s="29" t="s">
        <v>7142</v>
      </c>
    </row>
    <row r="48" customFormat="false" ht="15" hidden="false" customHeight="true" outlineLevel="0" collapsed="false">
      <c r="A48" s="7" t="s">
        <v>6493</v>
      </c>
      <c r="B48" s="7" t="s">
        <v>6613</v>
      </c>
      <c r="C48" s="7" t="s">
        <v>6734</v>
      </c>
      <c r="D48" s="7" t="s">
        <v>3007</v>
      </c>
      <c r="E48" s="7" t="s">
        <v>2113</v>
      </c>
      <c r="F48" s="7" t="s">
        <v>4373</v>
      </c>
      <c r="G48" s="7" t="s">
        <v>5478</v>
      </c>
      <c r="H48" s="7" t="s">
        <v>1564</v>
      </c>
      <c r="I48" s="7" t="s">
        <v>2921</v>
      </c>
      <c r="J48" s="7" t="s">
        <v>2348</v>
      </c>
      <c r="K48" s="7" t="s">
        <v>4298</v>
      </c>
      <c r="L48" s="7" t="s">
        <v>5434</v>
      </c>
      <c r="M48" s="7" t="s">
        <v>1545</v>
      </c>
      <c r="N48" s="7" t="s">
        <v>2838</v>
      </c>
      <c r="O48" s="7" t="s">
        <v>4234</v>
      </c>
      <c r="P48" s="7" t="s">
        <v>5448</v>
      </c>
      <c r="Q48" s="7" t="s">
        <v>2646</v>
      </c>
      <c r="R48" s="7" t="s">
        <v>2034</v>
      </c>
      <c r="S48" s="7" t="s">
        <v>4072</v>
      </c>
      <c r="T48" s="7" t="s">
        <v>5323</v>
      </c>
      <c r="U48" s="7" t="s">
        <v>6373</v>
      </c>
      <c r="V48" s="7" t="s">
        <v>6835</v>
      </c>
      <c r="W48" s="7" t="s">
        <v>6931</v>
      </c>
      <c r="X48" s="7" t="s">
        <v>7031</v>
      </c>
      <c r="Y48" s="7" t="s">
        <v>7130</v>
      </c>
      <c r="Z48" s="7" t="s">
        <v>7221</v>
      </c>
      <c r="AA48" s="7" t="s">
        <v>7322</v>
      </c>
      <c r="AB48" s="7" t="s">
        <v>7412</v>
      </c>
      <c r="AC48" s="7" t="s">
        <v>7512</v>
      </c>
      <c r="AD48" s="7" t="s">
        <v>7607</v>
      </c>
      <c r="AE48" s="7" t="s">
        <v>7701</v>
      </c>
      <c r="AF48" s="7" t="s">
        <v>7800</v>
      </c>
      <c r="AG48" s="7" t="s">
        <v>2439</v>
      </c>
      <c r="AH48" s="7" t="s">
        <v>1946</v>
      </c>
      <c r="AI48" s="7" t="s">
        <v>3843</v>
      </c>
      <c r="AJ48" s="7" t="s">
        <v>5102</v>
      </c>
      <c r="AK48" s="7" t="s">
        <v>6139</v>
      </c>
      <c r="AL48" s="7" t="s">
        <v>1428</v>
      </c>
      <c r="AM48" s="7" t="s">
        <v>5064</v>
      </c>
      <c r="AN48" s="7" t="s">
        <v>3912</v>
      </c>
      <c r="AP48" s="29" t="s">
        <v>7628</v>
      </c>
      <c r="AQ48" s="29" t="s">
        <v>7135</v>
      </c>
    </row>
    <row r="49" customFormat="false" ht="15" hidden="false" customHeight="true" outlineLevel="0" collapsed="false">
      <c r="A49" s="7" t="s">
        <v>6495</v>
      </c>
      <c r="B49" s="7" t="s">
        <v>6614</v>
      </c>
      <c r="C49" s="7" t="s">
        <v>6735</v>
      </c>
      <c r="D49" s="7" t="s">
        <v>2989</v>
      </c>
      <c r="E49" s="7" t="s">
        <v>2179</v>
      </c>
      <c r="F49" s="7" t="s">
        <v>4384</v>
      </c>
      <c r="G49" s="7" t="s">
        <v>5512</v>
      </c>
      <c r="H49" s="7" t="s">
        <v>1569</v>
      </c>
      <c r="I49" s="7" t="s">
        <v>2877</v>
      </c>
      <c r="J49" s="7" t="s">
        <v>2366</v>
      </c>
      <c r="K49" s="7" t="s">
        <v>4309</v>
      </c>
      <c r="L49" s="7" t="s">
        <v>5423</v>
      </c>
      <c r="M49" s="7" t="s">
        <v>1454</v>
      </c>
      <c r="N49" s="7" t="s">
        <v>2851</v>
      </c>
      <c r="O49" s="7" t="s">
        <v>4246</v>
      </c>
      <c r="P49" s="7" t="s">
        <v>5470</v>
      </c>
      <c r="Q49" s="7" t="s">
        <v>2657</v>
      </c>
      <c r="R49" s="7" t="s">
        <v>1973</v>
      </c>
      <c r="S49" s="7" t="s">
        <v>4084</v>
      </c>
      <c r="T49" s="7" t="s">
        <v>5335</v>
      </c>
      <c r="U49" s="7" t="s">
        <v>6384</v>
      </c>
      <c r="V49" s="7" t="s">
        <v>6836</v>
      </c>
      <c r="W49" s="7" t="s">
        <v>6932</v>
      </c>
      <c r="X49" s="7" t="s">
        <v>7032</v>
      </c>
      <c r="Y49" s="7" t="s">
        <v>7131</v>
      </c>
      <c r="Z49" s="7" t="s">
        <v>7222</v>
      </c>
      <c r="AA49" s="7" t="s">
        <v>3924</v>
      </c>
      <c r="AB49" s="7" t="s">
        <v>7413</v>
      </c>
      <c r="AC49" s="7" t="s">
        <v>7513</v>
      </c>
      <c r="AD49" s="7" t="s">
        <v>7608</v>
      </c>
      <c r="AE49" s="7" t="s">
        <v>7702</v>
      </c>
      <c r="AF49" s="7" t="s">
        <v>7801</v>
      </c>
      <c r="AG49" s="7" t="s">
        <v>2426</v>
      </c>
      <c r="AH49" s="7" t="s">
        <v>2203</v>
      </c>
      <c r="AI49" s="7" t="s">
        <v>3922</v>
      </c>
      <c r="AJ49" s="7" t="s">
        <v>5113</v>
      </c>
      <c r="AK49" s="7" t="s">
        <v>6150</v>
      </c>
      <c r="AL49" s="7" t="s">
        <v>1654</v>
      </c>
      <c r="AM49" s="7" t="s">
        <v>5061</v>
      </c>
      <c r="AN49" s="7" t="s">
        <v>3909</v>
      </c>
      <c r="AP49" s="29" t="s">
        <v>7629</v>
      </c>
      <c r="AQ49" s="29" t="s">
        <v>917</v>
      </c>
    </row>
    <row r="50" customFormat="false" ht="15" hidden="false" customHeight="true" outlineLevel="0" collapsed="false">
      <c r="A50" s="7" t="s">
        <v>262</v>
      </c>
      <c r="B50" s="7" t="s">
        <v>6616</v>
      </c>
      <c r="C50" s="7" t="s">
        <v>6737</v>
      </c>
      <c r="D50" s="7" t="s">
        <v>3018</v>
      </c>
      <c r="E50" s="7" t="s">
        <v>1951</v>
      </c>
      <c r="F50" s="7" t="s">
        <v>4395</v>
      </c>
      <c r="G50" s="7" t="s">
        <v>5491</v>
      </c>
      <c r="H50" s="7" t="s">
        <v>1575</v>
      </c>
      <c r="I50" s="7" t="s">
        <v>2967</v>
      </c>
      <c r="J50" s="7" t="s">
        <v>2100</v>
      </c>
      <c r="K50" s="7" t="s">
        <v>4320</v>
      </c>
      <c r="L50" s="7" t="s">
        <v>5392</v>
      </c>
      <c r="M50" s="7" t="s">
        <v>1395</v>
      </c>
      <c r="N50" s="7" t="s">
        <v>2864</v>
      </c>
      <c r="O50" s="7" t="s">
        <v>4258</v>
      </c>
      <c r="P50" s="7" t="s">
        <v>5482</v>
      </c>
      <c r="Q50" s="7" t="s">
        <v>2668</v>
      </c>
      <c r="R50" s="7" t="s">
        <v>2379</v>
      </c>
      <c r="S50" s="7" t="s">
        <v>4096</v>
      </c>
      <c r="T50" s="7" t="s">
        <v>5344</v>
      </c>
      <c r="U50" s="7" t="s">
        <v>6395</v>
      </c>
      <c r="V50" s="7" t="s">
        <v>6837</v>
      </c>
      <c r="W50" s="7" t="s">
        <v>6933</v>
      </c>
      <c r="X50" s="7" t="s">
        <v>7033</v>
      </c>
      <c r="Y50" s="7" t="s">
        <v>1193</v>
      </c>
      <c r="Z50" s="7" t="s">
        <v>7223</v>
      </c>
      <c r="AA50" s="7" t="s">
        <v>7323</v>
      </c>
      <c r="AB50" s="7" t="s">
        <v>7414</v>
      </c>
      <c r="AC50" s="7" t="s">
        <v>7514</v>
      </c>
      <c r="AD50" s="7" t="s">
        <v>7609</v>
      </c>
      <c r="AE50" s="7" t="s">
        <v>7703</v>
      </c>
      <c r="AF50" s="7" t="s">
        <v>7802</v>
      </c>
      <c r="AG50" s="7" t="s">
        <v>2507</v>
      </c>
      <c r="AH50" s="7" t="s">
        <v>2142</v>
      </c>
      <c r="AI50" s="7" t="s">
        <v>3855</v>
      </c>
      <c r="AJ50" s="7" t="s">
        <v>5125</v>
      </c>
      <c r="AK50" s="7" t="s">
        <v>6160</v>
      </c>
      <c r="AL50" s="7" t="s">
        <v>1511</v>
      </c>
      <c r="AM50" s="7" t="s">
        <v>5883</v>
      </c>
      <c r="AN50" s="7" t="s">
        <v>4334</v>
      </c>
      <c r="AP50" s="29" t="s">
        <v>7030</v>
      </c>
      <c r="AQ50" s="29" t="s">
        <v>938</v>
      </c>
    </row>
    <row r="51" customFormat="false" ht="15" hidden="false" customHeight="true" outlineLevel="0" collapsed="false">
      <c r="A51" s="7" t="s">
        <v>6498</v>
      </c>
      <c r="B51" s="7" t="s">
        <v>6617</v>
      </c>
      <c r="C51" s="7" t="s">
        <v>6738</v>
      </c>
      <c r="D51" s="7" t="s">
        <v>3065</v>
      </c>
      <c r="E51" s="7" t="s">
        <v>2120</v>
      </c>
      <c r="F51" s="7" t="s">
        <v>4571</v>
      </c>
      <c r="G51" s="7" t="s">
        <v>5503</v>
      </c>
      <c r="H51" s="7" t="s">
        <v>1402</v>
      </c>
      <c r="I51" s="7" t="s">
        <v>2978</v>
      </c>
      <c r="J51" s="7" t="s">
        <v>1929</v>
      </c>
      <c r="K51" s="7" t="s">
        <v>4331</v>
      </c>
      <c r="L51" s="7" t="s">
        <v>5455</v>
      </c>
      <c r="M51" s="7" t="s">
        <v>1433</v>
      </c>
      <c r="N51" s="7" t="s">
        <v>2902</v>
      </c>
      <c r="O51" s="7" t="s">
        <v>4269</v>
      </c>
      <c r="P51" s="7" t="s">
        <v>5516</v>
      </c>
      <c r="Q51" s="7" t="s">
        <v>2635</v>
      </c>
      <c r="R51" s="7" t="s">
        <v>2337</v>
      </c>
      <c r="S51" s="7" t="s">
        <v>4107</v>
      </c>
      <c r="T51" s="7" t="s">
        <v>5356</v>
      </c>
      <c r="U51" s="7" t="s">
        <v>6351</v>
      </c>
      <c r="V51" s="7" t="s">
        <v>6838</v>
      </c>
      <c r="W51" s="7" t="s">
        <v>6934</v>
      </c>
      <c r="X51" s="7" t="s">
        <v>7034</v>
      </c>
      <c r="Y51" s="7" t="s">
        <v>1131</v>
      </c>
      <c r="Z51" s="7" t="s">
        <v>7224</v>
      </c>
      <c r="AA51" s="7" t="s">
        <v>7324</v>
      </c>
      <c r="AB51" s="7" t="s">
        <v>7415</v>
      </c>
      <c r="AC51" s="7" t="s">
        <v>7515</v>
      </c>
      <c r="AD51" s="7" t="s">
        <v>7610</v>
      </c>
      <c r="AE51" s="7" t="s">
        <v>7704</v>
      </c>
      <c r="AF51" s="7" t="s">
        <v>7803</v>
      </c>
      <c r="AG51" s="7" t="s">
        <v>2450</v>
      </c>
      <c r="AH51" s="7" t="s">
        <v>2222</v>
      </c>
      <c r="AI51" s="7" t="s">
        <v>3867</v>
      </c>
      <c r="AJ51" s="7" t="s">
        <v>5135</v>
      </c>
      <c r="AK51" s="7" t="s">
        <v>6171</v>
      </c>
      <c r="AL51" s="7" t="s">
        <v>1801</v>
      </c>
      <c r="AM51" s="7" t="s">
        <v>6203</v>
      </c>
      <c r="AN51" s="7" t="s">
        <v>4331</v>
      </c>
      <c r="AP51" s="29" t="s">
        <v>7031</v>
      </c>
      <c r="AQ51" s="29" t="s">
        <v>945</v>
      </c>
    </row>
    <row r="52" customFormat="false" ht="15" hidden="false" customHeight="true" outlineLevel="0" collapsed="false">
      <c r="A52" s="7" t="s">
        <v>6499</v>
      </c>
      <c r="B52" s="7" t="s">
        <v>6619</v>
      </c>
      <c r="C52" s="7" t="s">
        <v>6740</v>
      </c>
      <c r="D52" s="7" t="s">
        <v>3031</v>
      </c>
      <c r="E52" s="7" t="s">
        <v>1958</v>
      </c>
      <c r="F52" s="7" t="s">
        <v>4583</v>
      </c>
      <c r="G52" s="7" t="s">
        <v>5523</v>
      </c>
      <c r="H52" s="7" t="s">
        <v>1870</v>
      </c>
      <c r="I52" s="7" t="s">
        <v>2887</v>
      </c>
      <c r="J52" s="7" t="s">
        <v>2028</v>
      </c>
      <c r="K52" s="7" t="s">
        <v>4561</v>
      </c>
      <c r="L52" s="7" t="s">
        <v>5413</v>
      </c>
      <c r="M52" s="7" t="s">
        <v>1552</v>
      </c>
      <c r="N52" s="7" t="s">
        <v>2937</v>
      </c>
      <c r="O52" s="7" t="s">
        <v>4278</v>
      </c>
      <c r="P52" s="7" t="s">
        <v>5495</v>
      </c>
      <c r="Q52" s="7" t="s">
        <v>2693</v>
      </c>
      <c r="R52" s="7" t="s">
        <v>2154</v>
      </c>
      <c r="S52" s="7" t="s">
        <v>4117</v>
      </c>
      <c r="T52" s="7" t="s">
        <v>4408</v>
      </c>
      <c r="U52" s="7" t="s">
        <v>6362</v>
      </c>
      <c r="V52" s="7" t="s">
        <v>6839</v>
      </c>
      <c r="W52" s="7" t="s">
        <v>6935</v>
      </c>
      <c r="X52" s="7" t="s">
        <v>7035</v>
      </c>
      <c r="Y52" s="7" t="s">
        <v>7132</v>
      </c>
      <c r="Z52" s="7" t="s">
        <v>7225</v>
      </c>
      <c r="AA52" s="7" t="s">
        <v>7325</v>
      </c>
      <c r="AB52" s="7" t="s">
        <v>7416</v>
      </c>
      <c r="AC52" s="7" t="s">
        <v>7516</v>
      </c>
      <c r="AD52" s="7" t="s">
        <v>7611</v>
      </c>
      <c r="AE52" s="7" t="s">
        <v>7705</v>
      </c>
      <c r="AF52" s="7" t="s">
        <v>7804</v>
      </c>
      <c r="AG52" s="7" t="s">
        <v>2461</v>
      </c>
      <c r="AH52" s="7" t="s">
        <v>2130</v>
      </c>
      <c r="AI52" s="7" t="s">
        <v>3878</v>
      </c>
      <c r="AJ52" s="7" t="s">
        <v>5145</v>
      </c>
      <c r="AK52" s="7" t="s">
        <v>6182</v>
      </c>
      <c r="AL52" s="7" t="s">
        <v>6430</v>
      </c>
      <c r="AM52" s="7" t="s">
        <v>6200</v>
      </c>
      <c r="AN52" s="7" t="s">
        <v>4346</v>
      </c>
      <c r="AP52" s="29" t="s">
        <v>7483</v>
      </c>
      <c r="AQ52" s="29" t="s">
        <v>953</v>
      </c>
    </row>
    <row r="53" customFormat="false" ht="15" hidden="false" customHeight="true" outlineLevel="0" collapsed="false">
      <c r="A53" s="7" t="s">
        <v>6501</v>
      </c>
      <c r="B53" s="7" t="s">
        <v>6620</v>
      </c>
      <c r="C53" s="7" t="s">
        <v>6742</v>
      </c>
      <c r="D53" s="7" t="s">
        <v>3075</v>
      </c>
      <c r="E53" s="7" t="s">
        <v>2072</v>
      </c>
      <c r="F53" s="7" t="s">
        <v>4594</v>
      </c>
      <c r="G53" s="7" t="s">
        <v>5559</v>
      </c>
      <c r="H53" s="7" t="s">
        <v>1780</v>
      </c>
      <c r="I53" s="7" t="s">
        <v>2945</v>
      </c>
      <c r="J53" s="7" t="s">
        <v>2174</v>
      </c>
      <c r="K53" s="7" t="s">
        <v>4343</v>
      </c>
      <c r="L53" s="7" t="s">
        <v>5445</v>
      </c>
      <c r="M53" s="7" t="s">
        <v>1558</v>
      </c>
      <c r="N53" s="7" t="s">
        <v>2924</v>
      </c>
      <c r="O53" s="7" t="s">
        <v>4290</v>
      </c>
      <c r="P53" s="7" t="s">
        <v>5507</v>
      </c>
      <c r="Q53" s="7" t="s">
        <v>2707</v>
      </c>
      <c r="R53" s="7" t="s">
        <v>2313</v>
      </c>
      <c r="S53" s="7" t="s">
        <v>4127</v>
      </c>
      <c r="T53" s="7" t="s">
        <v>4418</v>
      </c>
      <c r="U53" s="7" t="s">
        <v>6405</v>
      </c>
      <c r="V53" s="7" t="s">
        <v>6840</v>
      </c>
      <c r="W53" s="7" t="s">
        <v>6936</v>
      </c>
      <c r="X53" s="7" t="s">
        <v>7036</v>
      </c>
      <c r="Y53" s="7" t="s">
        <v>7133</v>
      </c>
      <c r="Z53" s="7" t="s">
        <v>7226</v>
      </c>
      <c r="AA53" s="7" t="s">
        <v>7326</v>
      </c>
      <c r="AB53" s="7" t="s">
        <v>7417</v>
      </c>
      <c r="AC53" s="7" t="s">
        <v>7517</v>
      </c>
      <c r="AD53" s="7" t="s">
        <v>7612</v>
      </c>
      <c r="AE53" s="7" t="s">
        <v>7706</v>
      </c>
      <c r="AF53" s="7" t="s">
        <v>7805</v>
      </c>
      <c r="AG53" s="7" t="s">
        <v>2472</v>
      </c>
      <c r="AH53" s="7" t="s">
        <v>2291</v>
      </c>
      <c r="AI53" s="7" t="s">
        <v>3933</v>
      </c>
      <c r="AJ53" s="7" t="s">
        <v>5167</v>
      </c>
      <c r="AK53" s="7" t="s">
        <v>6193</v>
      </c>
      <c r="AM53" s="7" t="s">
        <v>2573</v>
      </c>
      <c r="AN53" s="7" t="s">
        <v>4343</v>
      </c>
      <c r="AP53" s="29" t="s">
        <v>7484</v>
      </c>
      <c r="AQ53" s="29" t="s">
        <v>7184</v>
      </c>
    </row>
    <row r="54" customFormat="false" ht="15" hidden="false" customHeight="true" outlineLevel="0" collapsed="false">
      <c r="A54" s="7" t="s">
        <v>6502</v>
      </c>
      <c r="B54" s="7" t="s">
        <v>6621</v>
      </c>
      <c r="C54" s="7" t="s">
        <v>6744</v>
      </c>
      <c r="D54" s="7" t="s">
        <v>3085</v>
      </c>
      <c r="E54" s="7" t="s">
        <v>2317</v>
      </c>
      <c r="F54" s="7" t="s">
        <v>4606</v>
      </c>
      <c r="G54" s="7" t="s">
        <v>5538</v>
      </c>
      <c r="H54" s="7" t="s">
        <v>1774</v>
      </c>
      <c r="I54" s="7" t="s">
        <v>2956</v>
      </c>
      <c r="J54" s="7" t="s">
        <v>1937</v>
      </c>
      <c r="K54" s="7" t="s">
        <v>4354</v>
      </c>
      <c r="L54" s="7" t="s">
        <v>5402</v>
      </c>
      <c r="M54" s="7" t="s">
        <v>1671</v>
      </c>
      <c r="N54" s="7" t="s">
        <v>2981</v>
      </c>
      <c r="O54" s="7" t="s">
        <v>4301</v>
      </c>
      <c r="P54" s="7" t="s">
        <v>5527</v>
      </c>
      <c r="Q54" s="7" t="s">
        <v>2720</v>
      </c>
      <c r="R54" s="7" t="s">
        <v>2094</v>
      </c>
      <c r="S54" s="7" t="s">
        <v>4138</v>
      </c>
      <c r="T54" s="7" t="s">
        <v>4429</v>
      </c>
      <c r="U54" s="7" t="s">
        <v>6417</v>
      </c>
      <c r="V54" s="7" t="s">
        <v>6841</v>
      </c>
      <c r="W54" s="7" t="s">
        <v>6937</v>
      </c>
      <c r="X54" s="7" t="s">
        <v>7037</v>
      </c>
      <c r="Y54" s="7" t="s">
        <v>7134</v>
      </c>
      <c r="Z54" s="7" t="s">
        <v>7227</v>
      </c>
      <c r="AA54" s="7" t="s">
        <v>7327</v>
      </c>
      <c r="AB54" s="7" t="s">
        <v>7418</v>
      </c>
      <c r="AC54" s="7" t="s">
        <v>7518</v>
      </c>
      <c r="AD54" s="7" t="s">
        <v>7613</v>
      </c>
      <c r="AE54" s="7" t="s">
        <v>7707</v>
      </c>
      <c r="AF54" s="7" t="s">
        <v>7806</v>
      </c>
      <c r="AG54" s="7" t="s">
        <v>2483</v>
      </c>
      <c r="AH54" s="7" t="s">
        <v>1908</v>
      </c>
      <c r="AI54" s="7" t="s">
        <v>3900</v>
      </c>
      <c r="AJ54" s="7" t="s">
        <v>5155</v>
      </c>
      <c r="AK54" s="7" t="s">
        <v>6202</v>
      </c>
      <c r="AM54" s="7" t="s">
        <v>3396</v>
      </c>
      <c r="AN54" s="7" t="s">
        <v>220</v>
      </c>
      <c r="AP54" s="29" t="s">
        <v>7078</v>
      </c>
      <c r="AQ54" s="29" t="s">
        <v>991</v>
      </c>
    </row>
    <row r="55" customFormat="false" ht="15" hidden="false" customHeight="true" outlineLevel="0" collapsed="false">
      <c r="A55" s="7" t="s">
        <v>6503</v>
      </c>
      <c r="B55" s="7" t="s">
        <v>6622</v>
      </c>
      <c r="C55" s="7" t="s">
        <v>6745</v>
      </c>
      <c r="D55" s="7" t="s">
        <v>3095</v>
      </c>
      <c r="E55" s="7" t="s">
        <v>2066</v>
      </c>
      <c r="F55" s="7" t="s">
        <v>4692</v>
      </c>
      <c r="G55" s="7" t="s">
        <v>5548</v>
      </c>
      <c r="H55" s="7" t="s">
        <v>1792</v>
      </c>
      <c r="I55" s="7" t="s">
        <v>2910</v>
      </c>
      <c r="J55" s="7" t="s">
        <v>2167</v>
      </c>
      <c r="K55" s="7" t="s">
        <v>4365</v>
      </c>
      <c r="L55" s="7" t="s">
        <v>5467</v>
      </c>
      <c r="M55" s="7" t="s">
        <v>1461</v>
      </c>
      <c r="N55" s="7" t="s">
        <v>2890</v>
      </c>
      <c r="O55" s="7" t="s">
        <v>4312</v>
      </c>
      <c r="P55" s="7" t="s">
        <v>5552</v>
      </c>
      <c r="Q55" s="7" t="s">
        <v>2732</v>
      </c>
      <c r="R55" s="7" t="s">
        <v>2343</v>
      </c>
      <c r="S55" s="7" t="s">
        <v>4149</v>
      </c>
      <c r="T55" s="7" t="s">
        <v>4439</v>
      </c>
      <c r="U55" s="7" t="s">
        <v>1516</v>
      </c>
      <c r="V55" s="7" t="s">
        <v>6842</v>
      </c>
      <c r="W55" s="7" t="s">
        <v>6938</v>
      </c>
      <c r="X55" s="7" t="s">
        <v>3206</v>
      </c>
      <c r="Y55" s="7" t="s">
        <v>7135</v>
      </c>
      <c r="Z55" s="7" t="s">
        <v>7228</v>
      </c>
      <c r="AA55" s="7" t="s">
        <v>7328</v>
      </c>
      <c r="AB55" s="7" t="s">
        <v>7419</v>
      </c>
      <c r="AC55" s="7" t="s">
        <v>7519</v>
      </c>
      <c r="AD55" s="7" t="s">
        <v>7614</v>
      </c>
      <c r="AE55" s="7" t="s">
        <v>7708</v>
      </c>
      <c r="AF55" s="7" t="s">
        <v>7807</v>
      </c>
      <c r="AG55" s="7" t="s">
        <v>5882</v>
      </c>
      <c r="AH55" s="7" t="s">
        <v>2149</v>
      </c>
      <c r="AI55" s="7" t="s">
        <v>3943</v>
      </c>
      <c r="AJ55" s="7" t="s">
        <v>5180</v>
      </c>
      <c r="AK55" s="7" t="s">
        <v>6214</v>
      </c>
      <c r="AM55" s="7" t="s">
        <v>4598</v>
      </c>
      <c r="AN55" s="7" t="s">
        <v>196</v>
      </c>
      <c r="AP55" s="29" t="s">
        <v>7086</v>
      </c>
      <c r="AQ55" s="29" t="s">
        <v>998</v>
      </c>
    </row>
    <row r="56" customFormat="false" ht="15" hidden="false" customHeight="true" outlineLevel="0" collapsed="false">
      <c r="A56" s="7" t="s">
        <v>6505</v>
      </c>
      <c r="B56" s="7" t="s">
        <v>6624</v>
      </c>
      <c r="C56" s="7" t="s">
        <v>6746</v>
      </c>
      <c r="D56" s="7" t="s">
        <v>3054</v>
      </c>
      <c r="E56" s="7" t="s">
        <v>2245</v>
      </c>
      <c r="F56" s="7" t="s">
        <v>4671</v>
      </c>
      <c r="G56" s="7" t="s">
        <v>5569</v>
      </c>
      <c r="H56" s="7" t="s">
        <v>1657</v>
      </c>
      <c r="I56" s="7" t="s">
        <v>3008</v>
      </c>
      <c r="J56" s="7" t="s">
        <v>2114</v>
      </c>
      <c r="K56" s="7" t="s">
        <v>4374</v>
      </c>
      <c r="L56" s="7" t="s">
        <v>5479</v>
      </c>
      <c r="M56" s="7" t="s">
        <v>1565</v>
      </c>
      <c r="N56" s="7" t="s">
        <v>2948</v>
      </c>
      <c r="O56" s="7" t="s">
        <v>4323</v>
      </c>
      <c r="P56" s="7" t="s">
        <v>5573</v>
      </c>
      <c r="Q56" s="7" t="s">
        <v>2745</v>
      </c>
      <c r="R56" s="7" t="s">
        <v>2307</v>
      </c>
      <c r="S56" s="7" t="s">
        <v>4159</v>
      </c>
      <c r="T56" s="7" t="s">
        <v>4449</v>
      </c>
      <c r="U56" s="7" t="s">
        <v>1752</v>
      </c>
      <c r="V56" s="7" t="s">
        <v>6844</v>
      </c>
      <c r="W56" s="7" t="s">
        <v>6939</v>
      </c>
      <c r="X56" s="7" t="s">
        <v>7038</v>
      </c>
      <c r="Y56" s="7" t="s">
        <v>7136</v>
      </c>
      <c r="Z56" s="7" t="s">
        <v>7229</v>
      </c>
      <c r="AA56" s="7" t="s">
        <v>7329</v>
      </c>
      <c r="AB56" s="7" t="s">
        <v>7420</v>
      </c>
      <c r="AC56" s="7" t="s">
        <v>7520</v>
      </c>
      <c r="AD56" s="7" t="s">
        <v>7615</v>
      </c>
      <c r="AE56" s="7" t="s">
        <v>5874</v>
      </c>
      <c r="AF56" s="7" t="s">
        <v>7808</v>
      </c>
      <c r="AG56" s="7" t="s">
        <v>2516</v>
      </c>
      <c r="AH56" s="7" t="s">
        <v>1893</v>
      </c>
      <c r="AI56" s="7" t="s">
        <v>3889</v>
      </c>
      <c r="AJ56" s="7" t="s">
        <v>5196</v>
      </c>
      <c r="AK56" s="7" t="s">
        <v>6225</v>
      </c>
      <c r="AM56" s="7" t="s">
        <v>4595</v>
      </c>
      <c r="AN56" s="7" t="s">
        <v>203</v>
      </c>
      <c r="AP56" s="29" t="s">
        <v>7656</v>
      </c>
      <c r="AQ56" s="29" t="s">
        <v>7178</v>
      </c>
    </row>
    <row r="57" customFormat="false" ht="15" hidden="false" customHeight="true" outlineLevel="0" collapsed="false">
      <c r="A57" s="7" t="s">
        <v>6506</v>
      </c>
      <c r="B57" s="7" t="s">
        <v>6625</v>
      </c>
      <c r="C57" s="7" t="s">
        <v>6748</v>
      </c>
      <c r="D57" s="7" t="s">
        <v>3105</v>
      </c>
      <c r="E57" s="7" t="s">
        <v>2186</v>
      </c>
      <c r="F57" s="7" t="s">
        <v>4744</v>
      </c>
      <c r="G57" s="7" t="s">
        <v>4548</v>
      </c>
      <c r="H57" s="7" t="s">
        <v>1581</v>
      </c>
      <c r="I57" s="7" t="s">
        <v>3019</v>
      </c>
      <c r="J57" s="7" t="s">
        <v>2180</v>
      </c>
      <c r="K57" s="7" t="s">
        <v>4385</v>
      </c>
      <c r="L57" s="7" t="s">
        <v>5513</v>
      </c>
      <c r="M57" s="7" t="s">
        <v>1570</v>
      </c>
      <c r="N57" s="7" t="s">
        <v>2959</v>
      </c>
      <c r="O57" s="7" t="s">
        <v>4334</v>
      </c>
      <c r="P57" s="7" t="s">
        <v>4552</v>
      </c>
      <c r="Q57" s="7" t="s">
        <v>2762</v>
      </c>
      <c r="R57" s="7" t="s">
        <v>2331</v>
      </c>
      <c r="S57" s="7" t="s">
        <v>4172</v>
      </c>
      <c r="T57" s="7" t="s">
        <v>4459</v>
      </c>
      <c r="U57" s="7" t="s">
        <v>1740</v>
      </c>
      <c r="V57" s="7" t="s">
        <v>6845</v>
      </c>
      <c r="W57" s="7" t="s">
        <v>6940</v>
      </c>
      <c r="X57" s="7" t="s">
        <v>7039</v>
      </c>
      <c r="Y57" s="7" t="s">
        <v>7137</v>
      </c>
      <c r="Z57" s="7" t="s">
        <v>7230</v>
      </c>
      <c r="AA57" s="7" t="s">
        <v>7330</v>
      </c>
      <c r="AB57" s="7" t="s">
        <v>7421</v>
      </c>
      <c r="AC57" s="7" t="s">
        <v>7521</v>
      </c>
      <c r="AD57" s="7" t="s">
        <v>7616</v>
      </c>
      <c r="AE57" s="7" t="s">
        <v>7709</v>
      </c>
      <c r="AF57" s="7" t="s">
        <v>7809</v>
      </c>
      <c r="AG57" s="7" t="s">
        <v>2529</v>
      </c>
      <c r="AH57" s="7" t="s">
        <v>2162</v>
      </c>
      <c r="AI57" s="7" t="s">
        <v>3911</v>
      </c>
      <c r="AJ57" s="7" t="s">
        <v>5209</v>
      </c>
      <c r="AK57" s="7" t="s">
        <v>6236</v>
      </c>
      <c r="AM57" s="7" t="s">
        <v>4792</v>
      </c>
      <c r="AN57" s="7" t="s">
        <v>204</v>
      </c>
      <c r="AP57" s="29" t="s">
        <v>7657</v>
      </c>
      <c r="AQ57" s="29" t="s">
        <v>7167</v>
      </c>
    </row>
    <row r="58" customFormat="false" ht="15" hidden="false" customHeight="true" outlineLevel="0" collapsed="false">
      <c r="A58" s="7" t="s">
        <v>6507</v>
      </c>
      <c r="B58" s="7" t="s">
        <v>6626</v>
      </c>
      <c r="C58" s="7" t="s">
        <v>6749</v>
      </c>
      <c r="D58" s="7" t="s">
        <v>3043</v>
      </c>
      <c r="E58" s="7" t="s">
        <v>2059</v>
      </c>
      <c r="F58" s="7" t="s">
        <v>4619</v>
      </c>
      <c r="G58" s="7" t="s">
        <v>5581</v>
      </c>
      <c r="H58" s="7" t="s">
        <v>1684</v>
      </c>
      <c r="I58" s="7" t="s">
        <v>2990</v>
      </c>
      <c r="J58" s="7" t="s">
        <v>1952</v>
      </c>
      <c r="K58" s="7" t="s">
        <v>4396</v>
      </c>
      <c r="L58" s="7" t="s">
        <v>5492</v>
      </c>
      <c r="M58" s="7" t="s">
        <v>1576</v>
      </c>
      <c r="N58" s="7" t="s">
        <v>2913</v>
      </c>
      <c r="O58" s="7" t="s">
        <v>4346</v>
      </c>
      <c r="P58" s="7" t="s">
        <v>5585</v>
      </c>
      <c r="Q58" s="7" t="s">
        <v>2777</v>
      </c>
      <c r="R58" s="7" t="s">
        <v>2296</v>
      </c>
      <c r="S58" s="7" t="s">
        <v>4185</v>
      </c>
      <c r="T58" s="7" t="s">
        <v>4469</v>
      </c>
      <c r="U58" s="7" t="s">
        <v>1848</v>
      </c>
      <c r="V58" s="7" t="s">
        <v>6846</v>
      </c>
      <c r="W58" s="7" t="s">
        <v>6941</v>
      </c>
      <c r="X58" s="7" t="s">
        <v>7040</v>
      </c>
      <c r="Y58" s="7" t="s">
        <v>7138</v>
      </c>
      <c r="Z58" s="7" t="s">
        <v>7231</v>
      </c>
      <c r="AA58" s="7" t="s">
        <v>7331</v>
      </c>
      <c r="AB58" s="7" t="s">
        <v>7422</v>
      </c>
      <c r="AC58" s="7" t="s">
        <v>7522</v>
      </c>
      <c r="AD58" s="7" t="s">
        <v>7617</v>
      </c>
      <c r="AE58" s="7" t="s">
        <v>7710</v>
      </c>
      <c r="AF58" s="7" t="s">
        <v>7810</v>
      </c>
      <c r="AG58" s="7" t="s">
        <v>2542</v>
      </c>
      <c r="AH58" s="7" t="s">
        <v>1886</v>
      </c>
      <c r="AI58" s="7" t="s">
        <v>3954</v>
      </c>
      <c r="AJ58" s="7" t="s">
        <v>5222</v>
      </c>
      <c r="AK58" s="7" t="s">
        <v>6247</v>
      </c>
      <c r="AM58" s="7" t="s">
        <v>4789</v>
      </c>
      <c r="AN58" s="7" t="s">
        <v>188</v>
      </c>
      <c r="AP58" s="29" t="s">
        <v>7625</v>
      </c>
      <c r="AQ58" s="29" t="s">
        <v>7165</v>
      </c>
    </row>
    <row r="59" customFormat="false" ht="15" hidden="false" customHeight="true" outlineLevel="0" collapsed="false">
      <c r="A59" s="7" t="s">
        <v>6508</v>
      </c>
      <c r="B59" s="7" t="s">
        <v>6628</v>
      </c>
      <c r="C59" s="7" t="s">
        <v>6751</v>
      </c>
      <c r="D59" s="7" t="s">
        <v>3175</v>
      </c>
      <c r="E59" s="7" t="s">
        <v>2006</v>
      </c>
      <c r="F59" s="7" t="s">
        <v>4628</v>
      </c>
      <c r="G59" s="7" t="s">
        <v>5592</v>
      </c>
      <c r="H59" s="7" t="s">
        <v>1439</v>
      </c>
      <c r="I59" s="7" t="s">
        <v>3066</v>
      </c>
      <c r="J59" s="7" t="s">
        <v>2121</v>
      </c>
      <c r="K59" s="7" t="s">
        <v>4572</v>
      </c>
      <c r="L59" s="7" t="s">
        <v>5504</v>
      </c>
      <c r="M59" s="7" t="s">
        <v>1403</v>
      </c>
      <c r="N59" s="7" t="s">
        <v>3022</v>
      </c>
      <c r="O59" s="7" t="s">
        <v>4357</v>
      </c>
      <c r="P59" s="7" t="s">
        <v>5596</v>
      </c>
      <c r="Q59" s="7" t="s">
        <v>2788</v>
      </c>
      <c r="R59" s="7" t="s">
        <v>2302</v>
      </c>
      <c r="S59" s="7" t="s">
        <v>4196</v>
      </c>
      <c r="T59" s="7" t="s">
        <v>4480</v>
      </c>
      <c r="U59" s="7" t="s">
        <v>1523</v>
      </c>
      <c r="V59" s="7" t="s">
        <v>6847</v>
      </c>
      <c r="W59" s="7" t="s">
        <v>6942</v>
      </c>
      <c r="X59" s="7" t="s">
        <v>7041</v>
      </c>
      <c r="Y59" s="7" t="s">
        <v>1178</v>
      </c>
      <c r="Z59" s="7" t="s">
        <v>7232</v>
      </c>
      <c r="AA59" s="7" t="s">
        <v>7332</v>
      </c>
      <c r="AB59" s="7" t="s">
        <v>7423</v>
      </c>
      <c r="AC59" s="7" t="s">
        <v>7523</v>
      </c>
      <c r="AD59" s="7" t="s">
        <v>7618</v>
      </c>
      <c r="AE59" s="7" t="s">
        <v>7711</v>
      </c>
      <c r="AF59" s="7" t="s">
        <v>7811</v>
      </c>
      <c r="AG59" s="7" t="s">
        <v>2554</v>
      </c>
      <c r="AH59" s="7" t="s">
        <v>2285</v>
      </c>
      <c r="AI59" s="7" t="s">
        <v>3967</v>
      </c>
      <c r="AJ59" s="7" t="s">
        <v>5924</v>
      </c>
      <c r="AK59" s="7" t="s">
        <v>6257</v>
      </c>
      <c r="AM59" s="7" t="s">
        <v>2484</v>
      </c>
      <c r="AN59" s="7" t="s">
        <v>214</v>
      </c>
      <c r="AP59" s="29" t="s">
        <v>7623</v>
      </c>
      <c r="AQ59" s="29" t="s">
        <v>7140</v>
      </c>
    </row>
    <row r="60" customFormat="false" ht="15" hidden="false" customHeight="true" outlineLevel="0" collapsed="false">
      <c r="A60" s="7" t="s">
        <v>287</v>
      </c>
      <c r="B60" s="7" t="s">
        <v>6629</v>
      </c>
      <c r="C60" s="7" t="s">
        <v>6753</v>
      </c>
      <c r="D60" s="7" t="s">
        <v>3116</v>
      </c>
      <c r="E60" s="7" t="s">
        <v>2213</v>
      </c>
      <c r="F60" s="7" t="s">
        <v>4703</v>
      </c>
      <c r="G60" s="7" t="s">
        <v>5603</v>
      </c>
      <c r="H60" s="7" t="s">
        <v>1864</v>
      </c>
      <c r="I60" s="7" t="s">
        <v>3032</v>
      </c>
      <c r="J60" s="7" t="s">
        <v>1959</v>
      </c>
      <c r="K60" s="7" t="s">
        <v>4584</v>
      </c>
      <c r="L60" s="7" t="s">
        <v>5524</v>
      </c>
      <c r="M60" s="7" t="s">
        <v>1871</v>
      </c>
      <c r="N60" s="7" t="s">
        <v>2993</v>
      </c>
      <c r="O60" s="7" t="s">
        <v>4368</v>
      </c>
      <c r="P60" s="7" t="s">
        <v>5607</v>
      </c>
      <c r="Q60" s="7" t="s">
        <v>2799</v>
      </c>
      <c r="R60" s="7" t="s">
        <v>1966</v>
      </c>
      <c r="S60" s="7" t="s">
        <v>4207</v>
      </c>
      <c r="T60" s="7" t="s">
        <v>4490</v>
      </c>
      <c r="U60" s="7" t="s">
        <v>1531</v>
      </c>
      <c r="V60" s="7" t="s">
        <v>6848</v>
      </c>
      <c r="W60" s="7" t="s">
        <v>6943</v>
      </c>
      <c r="X60" s="7" t="s">
        <v>7042</v>
      </c>
      <c r="Y60" s="7" t="s">
        <v>7140</v>
      </c>
      <c r="Z60" s="7" t="s">
        <v>7233</v>
      </c>
      <c r="AA60" s="7" t="s">
        <v>7333</v>
      </c>
      <c r="AB60" s="7" t="s">
        <v>7424</v>
      </c>
      <c r="AC60" s="7" t="s">
        <v>7524</v>
      </c>
      <c r="AD60" s="7" t="s">
        <v>7619</v>
      </c>
      <c r="AE60" s="7" t="s">
        <v>7712</v>
      </c>
      <c r="AF60" s="7" t="s">
        <v>7812</v>
      </c>
      <c r="AG60" s="7" t="s">
        <v>2681</v>
      </c>
      <c r="AH60" s="7" t="s">
        <v>2279</v>
      </c>
      <c r="AI60" s="7" t="s">
        <v>3977</v>
      </c>
      <c r="AJ60" s="7" t="s">
        <v>5234</v>
      </c>
      <c r="AK60" s="7" t="s">
        <v>6268</v>
      </c>
      <c r="AM60" s="7" t="s">
        <v>2594</v>
      </c>
      <c r="AN60" s="7" t="s">
        <v>193</v>
      </c>
      <c r="AP60" s="29" t="s">
        <v>6993</v>
      </c>
      <c r="AQ60" s="29" t="s">
        <v>7138</v>
      </c>
    </row>
    <row r="61" customFormat="false" ht="15" hidden="false" customHeight="true" outlineLevel="0" collapsed="false">
      <c r="A61" s="7" t="s">
        <v>6511</v>
      </c>
      <c r="B61" s="7" t="s">
        <v>6631</v>
      </c>
      <c r="C61" s="7" t="s">
        <v>6754</v>
      </c>
      <c r="D61" s="7" t="s">
        <v>3166</v>
      </c>
      <c r="E61" s="7" t="s">
        <v>2044</v>
      </c>
      <c r="F61" s="7" t="s">
        <v>4639</v>
      </c>
      <c r="G61" s="7" t="s">
        <v>5614</v>
      </c>
      <c r="H61" s="7" t="s">
        <v>1588</v>
      </c>
      <c r="I61" s="7" t="s">
        <v>3076</v>
      </c>
      <c r="J61" s="7" t="s">
        <v>2073</v>
      </c>
      <c r="K61" s="7" t="s">
        <v>4595</v>
      </c>
      <c r="L61" s="7" t="s">
        <v>5560</v>
      </c>
      <c r="M61" s="7" t="s">
        <v>1775</v>
      </c>
      <c r="N61" s="7" t="s">
        <v>3035</v>
      </c>
      <c r="O61" s="7" t="s">
        <v>4377</v>
      </c>
      <c r="P61" s="7" t="s">
        <v>5618</v>
      </c>
      <c r="Q61" s="7" t="s">
        <v>2812</v>
      </c>
      <c r="R61" s="7" t="s">
        <v>2272</v>
      </c>
      <c r="S61" s="7" t="s">
        <v>4219</v>
      </c>
      <c r="T61" s="7" t="s">
        <v>4500</v>
      </c>
      <c r="U61" s="7" t="s">
        <v>1710</v>
      </c>
      <c r="V61" s="7" t="s">
        <v>6849</v>
      </c>
      <c r="W61" s="7" t="s">
        <v>6944</v>
      </c>
      <c r="X61" s="7" t="s">
        <v>7043</v>
      </c>
      <c r="Y61" s="7" t="s">
        <v>7141</v>
      </c>
      <c r="Z61" s="7" t="s">
        <v>7234</v>
      </c>
      <c r="AA61" s="7" t="s">
        <v>7334</v>
      </c>
      <c r="AB61" s="7" t="s">
        <v>7426</v>
      </c>
      <c r="AC61" s="7" t="s">
        <v>7525</v>
      </c>
      <c r="AD61" s="7" t="s">
        <v>7620</v>
      </c>
      <c r="AE61" s="7" t="s">
        <v>7713</v>
      </c>
      <c r="AF61" s="7" t="s">
        <v>7813</v>
      </c>
      <c r="AG61" s="7" t="s">
        <v>2572</v>
      </c>
      <c r="AH61" s="7" t="s">
        <v>2386</v>
      </c>
      <c r="AI61" s="7" t="s">
        <v>3989</v>
      </c>
      <c r="AJ61" s="7" t="s">
        <v>5269</v>
      </c>
      <c r="AK61" s="7" t="s">
        <v>6280</v>
      </c>
      <c r="AM61" s="7" t="s">
        <v>3450</v>
      </c>
      <c r="AN61" s="7" t="s">
        <v>192</v>
      </c>
      <c r="AP61" s="29" t="s">
        <v>6994</v>
      </c>
      <c r="AQ61" s="29" t="s">
        <v>7062</v>
      </c>
    </row>
    <row r="62" customFormat="false" ht="15" hidden="false" customHeight="true" outlineLevel="0" collapsed="false">
      <c r="A62" s="7" t="s">
        <v>6513</v>
      </c>
      <c r="B62" s="7" t="s">
        <v>259</v>
      </c>
      <c r="C62" s="7" t="s">
        <v>1681</v>
      </c>
      <c r="D62" s="7" t="s">
        <v>3125</v>
      </c>
      <c r="E62" s="7" t="s">
        <v>2019</v>
      </c>
      <c r="F62" s="7" t="s">
        <v>4714</v>
      </c>
      <c r="G62" s="7" t="s">
        <v>5626</v>
      </c>
      <c r="H62" s="7" t="s">
        <v>1467</v>
      </c>
      <c r="I62" s="7" t="s">
        <v>3086</v>
      </c>
      <c r="J62" s="7" t="s">
        <v>2318</v>
      </c>
      <c r="K62" s="7" t="s">
        <v>4607</v>
      </c>
      <c r="L62" s="7" t="s">
        <v>5539</v>
      </c>
      <c r="M62" s="7" t="s">
        <v>1781</v>
      </c>
      <c r="N62" s="7" t="s">
        <v>3058</v>
      </c>
      <c r="O62" s="7" t="s">
        <v>4388</v>
      </c>
      <c r="P62" s="7" t="s">
        <v>5630</v>
      </c>
      <c r="Q62" s="7" t="s">
        <v>2824</v>
      </c>
      <c r="R62" s="7" t="s">
        <v>2087</v>
      </c>
      <c r="S62" s="7" t="s">
        <v>4232</v>
      </c>
      <c r="T62" s="7" t="s">
        <v>4510</v>
      </c>
      <c r="U62" s="7" t="s">
        <v>1716</v>
      </c>
      <c r="V62" s="7" t="s">
        <v>6850</v>
      </c>
      <c r="W62" s="7" t="s">
        <v>6945</v>
      </c>
      <c r="X62" s="7" t="s">
        <v>7044</v>
      </c>
      <c r="Y62" s="7" t="s">
        <v>7142</v>
      </c>
      <c r="Z62" s="7" t="s">
        <v>7235</v>
      </c>
      <c r="AA62" s="7" t="s">
        <v>7335</v>
      </c>
      <c r="AB62" s="7" t="s">
        <v>7427</v>
      </c>
      <c r="AC62" s="7" t="s">
        <v>7526</v>
      </c>
      <c r="AD62" s="7" t="s">
        <v>7621</v>
      </c>
      <c r="AE62" s="7" t="s">
        <v>7714</v>
      </c>
      <c r="AF62" s="7" t="s">
        <v>7814</v>
      </c>
      <c r="AG62" s="7" t="s">
        <v>2564</v>
      </c>
      <c r="AH62" s="7" t="s">
        <v>2374</v>
      </c>
      <c r="AI62" s="7" t="s">
        <v>4002</v>
      </c>
      <c r="AJ62" s="7" t="s">
        <v>5292</v>
      </c>
      <c r="AK62" s="7" t="s">
        <v>6291</v>
      </c>
      <c r="AM62" s="7" t="s">
        <v>3844</v>
      </c>
      <c r="AN62" s="7" t="s">
        <v>217</v>
      </c>
      <c r="AP62" s="29" t="s">
        <v>7495</v>
      </c>
      <c r="AQ62" s="29" t="s">
        <v>7160</v>
      </c>
    </row>
    <row r="63" customFormat="false" ht="15" hidden="false" customHeight="true" outlineLevel="0" collapsed="false">
      <c r="A63" s="7" t="s">
        <v>260</v>
      </c>
      <c r="B63" s="7" t="s">
        <v>286</v>
      </c>
      <c r="C63" s="7" t="s">
        <v>6757</v>
      </c>
      <c r="D63" s="7" t="s">
        <v>3187</v>
      </c>
      <c r="E63" s="7" t="s">
        <v>2012</v>
      </c>
      <c r="F63" s="7" t="s">
        <v>4649</v>
      </c>
      <c r="G63" s="7" t="s">
        <v>5637</v>
      </c>
      <c r="H63" s="7" t="s">
        <v>1385</v>
      </c>
      <c r="I63" s="7" t="s">
        <v>3096</v>
      </c>
      <c r="J63" s="7" t="s">
        <v>2067</v>
      </c>
      <c r="K63" s="7" t="s">
        <v>4693</v>
      </c>
      <c r="L63" s="7" t="s">
        <v>5549</v>
      </c>
      <c r="M63" s="7" t="s">
        <v>1793</v>
      </c>
      <c r="N63" s="7" t="s">
        <v>3047</v>
      </c>
      <c r="O63" s="7" t="s">
        <v>4399</v>
      </c>
      <c r="P63" s="7" t="s">
        <v>5641</v>
      </c>
      <c r="Q63" s="7" t="s">
        <v>2836</v>
      </c>
      <c r="R63" s="7" t="s">
        <v>2355</v>
      </c>
      <c r="S63" s="7" t="s">
        <v>4244</v>
      </c>
      <c r="T63" s="7" t="s">
        <v>4520</v>
      </c>
      <c r="U63" s="7" t="s">
        <v>1818</v>
      </c>
      <c r="V63" s="7" t="s">
        <v>6851</v>
      </c>
      <c r="W63" s="7" t="s">
        <v>6946</v>
      </c>
      <c r="X63" s="7" t="s">
        <v>7045</v>
      </c>
      <c r="Y63" s="7" t="s">
        <v>7143</v>
      </c>
      <c r="Z63" s="7" t="s">
        <v>7236</v>
      </c>
      <c r="AA63" s="7" t="s">
        <v>7336</v>
      </c>
      <c r="AB63" s="7" t="s">
        <v>7428</v>
      </c>
      <c r="AC63" s="7" t="s">
        <v>7527</v>
      </c>
      <c r="AD63" s="7" t="s">
        <v>7622</v>
      </c>
      <c r="AE63" s="7" t="s">
        <v>7715</v>
      </c>
      <c r="AF63" s="7" t="s">
        <v>7815</v>
      </c>
      <c r="AG63" s="7" t="s">
        <v>2583</v>
      </c>
      <c r="AH63" s="7" t="s">
        <v>1916</v>
      </c>
      <c r="AI63" s="7" t="s">
        <v>4015</v>
      </c>
      <c r="AJ63" s="7" t="s">
        <v>5279</v>
      </c>
      <c r="AK63" s="7" t="s">
        <v>6331</v>
      </c>
      <c r="AM63" s="7" t="s">
        <v>3841</v>
      </c>
      <c r="AN63" s="7" t="s">
        <v>221</v>
      </c>
      <c r="AP63" s="29" t="s">
        <v>7493</v>
      </c>
      <c r="AQ63" s="29" t="s">
        <v>7147</v>
      </c>
    </row>
    <row r="64" customFormat="false" ht="15" hidden="false" customHeight="true" outlineLevel="0" collapsed="false">
      <c r="A64" s="7" t="s">
        <v>295</v>
      </c>
      <c r="B64" s="7" t="s">
        <v>6634</v>
      </c>
      <c r="C64" s="7" t="s">
        <v>6758</v>
      </c>
      <c r="D64" s="7" t="s">
        <v>3200</v>
      </c>
      <c r="E64" s="7" t="s">
        <v>2226</v>
      </c>
      <c r="F64" s="7" t="s">
        <v>4680</v>
      </c>
      <c r="G64" s="7" t="s">
        <v>5649</v>
      </c>
      <c r="H64" s="7" t="s">
        <v>1828</v>
      </c>
      <c r="I64" s="7" t="s">
        <v>3055</v>
      </c>
      <c r="J64" s="7" t="s">
        <v>2246</v>
      </c>
      <c r="K64" s="7" t="s">
        <v>4672</v>
      </c>
      <c r="L64" s="7" t="s">
        <v>5570</v>
      </c>
      <c r="M64" s="7" t="s">
        <v>1658</v>
      </c>
      <c r="N64" s="7" t="s">
        <v>3120</v>
      </c>
      <c r="O64" s="7" t="s">
        <v>4575</v>
      </c>
      <c r="P64" s="7" t="s">
        <v>5653</v>
      </c>
      <c r="Q64" s="7" t="s">
        <v>2849</v>
      </c>
      <c r="R64" s="7" t="s">
        <v>2054</v>
      </c>
      <c r="S64" s="7" t="s">
        <v>4256</v>
      </c>
      <c r="T64" s="7" t="s">
        <v>4530</v>
      </c>
      <c r="U64" s="7" t="s">
        <v>1746</v>
      </c>
      <c r="V64" s="7" t="s">
        <v>6852</v>
      </c>
      <c r="W64" s="7" t="s">
        <v>6947</v>
      </c>
      <c r="X64" s="7" t="s">
        <v>7046</v>
      </c>
      <c r="Y64" s="7" t="s">
        <v>7144</v>
      </c>
      <c r="Z64" s="7" t="s">
        <v>7237</v>
      </c>
      <c r="AA64" s="7" t="s">
        <v>7337</v>
      </c>
      <c r="AB64" s="7" t="s">
        <v>7429</v>
      </c>
      <c r="AC64" s="7" t="s">
        <v>7528</v>
      </c>
      <c r="AD64" s="7" t="s">
        <v>7623</v>
      </c>
      <c r="AE64" s="7" t="s">
        <v>7716</v>
      </c>
      <c r="AF64" s="7" t="s">
        <v>7816</v>
      </c>
      <c r="AG64" s="7" t="s">
        <v>2593</v>
      </c>
      <c r="AH64" s="7" t="s">
        <v>2362</v>
      </c>
      <c r="AI64" s="7" t="s">
        <v>4027</v>
      </c>
      <c r="AJ64" s="7" t="s">
        <v>5246</v>
      </c>
      <c r="AK64" s="7" t="s">
        <v>6323</v>
      </c>
      <c r="AM64" s="7" t="s">
        <v>4758</v>
      </c>
      <c r="AN64" s="7" t="s">
        <v>7896</v>
      </c>
      <c r="AP64" s="29" t="s">
        <v>7403</v>
      </c>
      <c r="AQ64" s="29" t="s">
        <v>7133</v>
      </c>
    </row>
    <row r="65" customFormat="false" ht="15" hidden="false" customHeight="true" outlineLevel="0" collapsed="false">
      <c r="A65" s="7" t="s">
        <v>291</v>
      </c>
      <c r="B65" s="7" t="s">
        <v>6636</v>
      </c>
      <c r="C65" s="7" t="s">
        <v>6760</v>
      </c>
      <c r="D65" s="7" t="s">
        <v>3155</v>
      </c>
      <c r="E65" s="7" t="s">
        <v>1999</v>
      </c>
      <c r="F65" s="7" t="s">
        <v>4659</v>
      </c>
      <c r="G65" s="7" t="s">
        <v>5660</v>
      </c>
      <c r="H65" s="7" t="s">
        <v>1858</v>
      </c>
      <c r="I65" s="7" t="s">
        <v>3106</v>
      </c>
      <c r="J65" s="7" t="s">
        <v>2187</v>
      </c>
      <c r="K65" s="7" t="s">
        <v>4745</v>
      </c>
      <c r="L65" s="7" t="s">
        <v>4549</v>
      </c>
      <c r="M65" s="7" t="s">
        <v>1685</v>
      </c>
      <c r="N65" s="7" t="s">
        <v>3179</v>
      </c>
      <c r="O65" s="7" t="s">
        <v>4587</v>
      </c>
      <c r="P65" s="7" t="s">
        <v>5664</v>
      </c>
      <c r="Q65" s="7" t="s">
        <v>2862</v>
      </c>
      <c r="R65" s="7" t="s">
        <v>2241</v>
      </c>
      <c r="S65" s="7" t="s">
        <v>4267</v>
      </c>
      <c r="T65" s="7" t="s">
        <v>4540</v>
      </c>
      <c r="U65" s="7" t="s">
        <v>1539</v>
      </c>
      <c r="V65" s="7" t="s">
        <v>6853</v>
      </c>
      <c r="W65" s="7" t="s">
        <v>6948</v>
      </c>
      <c r="X65" s="7" t="s">
        <v>7047</v>
      </c>
      <c r="Y65" s="7" t="s">
        <v>7145</v>
      </c>
      <c r="Z65" s="7" t="s">
        <v>7238</v>
      </c>
      <c r="AA65" s="7" t="s">
        <v>3944</v>
      </c>
      <c r="AB65" s="7" t="s">
        <v>7430</v>
      </c>
      <c r="AC65" s="7" t="s">
        <v>7529</v>
      </c>
      <c r="AD65" s="7" t="s">
        <v>7624</v>
      </c>
      <c r="AE65" s="7" t="s">
        <v>7717</v>
      </c>
      <c r="AF65" s="7" t="s">
        <v>7817</v>
      </c>
      <c r="AG65" s="7" t="s">
        <v>2604</v>
      </c>
      <c r="AH65" s="7" t="s">
        <v>2041</v>
      </c>
      <c r="AI65" s="7" t="s">
        <v>4039</v>
      </c>
      <c r="AJ65" s="7" t="s">
        <v>5258</v>
      </c>
      <c r="AK65" s="7" t="s">
        <v>6302</v>
      </c>
      <c r="AM65" s="7" t="s">
        <v>4755</v>
      </c>
      <c r="AN65" s="7" t="s">
        <v>7897</v>
      </c>
      <c r="AP65" s="29" t="s">
        <v>7400</v>
      </c>
      <c r="AQ65" s="29" t="s">
        <v>1131</v>
      </c>
    </row>
    <row r="66" customFormat="false" ht="15" hidden="false" customHeight="true" outlineLevel="0" collapsed="false">
      <c r="A66" s="7" t="s">
        <v>272</v>
      </c>
      <c r="B66" s="7" t="s">
        <v>6637</v>
      </c>
      <c r="C66" s="7" t="s">
        <v>6761</v>
      </c>
      <c r="D66" s="7" t="s">
        <v>3137</v>
      </c>
      <c r="E66" s="7" t="s">
        <v>2252</v>
      </c>
      <c r="F66" s="7" t="s">
        <v>4724</v>
      </c>
      <c r="G66" s="7" t="s">
        <v>5672</v>
      </c>
      <c r="H66" s="7" t="s">
        <v>1597</v>
      </c>
      <c r="I66" s="7" t="s">
        <v>3044</v>
      </c>
      <c r="J66" s="7" t="s">
        <v>2060</v>
      </c>
      <c r="K66" s="7" t="s">
        <v>4620</v>
      </c>
      <c r="L66" s="7" t="s">
        <v>5582</v>
      </c>
      <c r="M66" s="7" t="s">
        <v>1582</v>
      </c>
      <c r="N66" s="7" t="s">
        <v>3170</v>
      </c>
      <c r="O66" s="7" t="s">
        <v>4598</v>
      </c>
      <c r="P66" s="7" t="s">
        <v>5676</v>
      </c>
      <c r="Q66" s="7" t="s">
        <v>2900</v>
      </c>
      <c r="R66" s="7" t="s">
        <v>2080</v>
      </c>
      <c r="S66" s="7" t="s">
        <v>4276</v>
      </c>
      <c r="T66" s="7" t="s">
        <v>5369</v>
      </c>
      <c r="U66" s="7" t="s">
        <v>1854</v>
      </c>
      <c r="V66" s="7" t="s">
        <v>6854</v>
      </c>
      <c r="W66" s="7" t="s">
        <v>6949</v>
      </c>
      <c r="X66" s="7" t="s">
        <v>7048</v>
      </c>
      <c r="Y66" s="7" t="s">
        <v>7146</v>
      </c>
      <c r="Z66" s="7" t="s">
        <v>7239</v>
      </c>
      <c r="AA66" s="7" t="s">
        <v>7338</v>
      </c>
      <c r="AB66" s="7" t="s">
        <v>7431</v>
      </c>
      <c r="AC66" s="7" t="s">
        <v>7530</v>
      </c>
      <c r="AD66" s="7" t="s">
        <v>7625</v>
      </c>
      <c r="AE66" s="7" t="s">
        <v>7718</v>
      </c>
      <c r="AF66" s="7" t="s">
        <v>7818</v>
      </c>
      <c r="AG66" s="7" t="s">
        <v>2616</v>
      </c>
      <c r="AH66" s="7" t="s">
        <v>2136</v>
      </c>
      <c r="AI66" s="7" t="s">
        <v>4051</v>
      </c>
      <c r="AJ66" s="7" t="s">
        <v>5301</v>
      </c>
      <c r="AK66" s="7" t="s">
        <v>6339</v>
      </c>
      <c r="AM66" s="7" t="s">
        <v>4801</v>
      </c>
      <c r="AN66" s="7" t="s">
        <v>7898</v>
      </c>
      <c r="AP66" s="29" t="s">
        <v>7643</v>
      </c>
      <c r="AQ66" s="29" t="s">
        <v>7171</v>
      </c>
    </row>
    <row r="67" customFormat="false" ht="15" hidden="false" customHeight="true" outlineLevel="0" collapsed="false">
      <c r="A67" s="7" t="s">
        <v>6516</v>
      </c>
      <c r="B67" s="7" t="s">
        <v>6639</v>
      </c>
      <c r="C67" s="7" t="s">
        <v>6762</v>
      </c>
      <c r="D67" s="7" t="s">
        <v>3253</v>
      </c>
      <c r="E67" s="7" t="s">
        <v>1978</v>
      </c>
      <c r="F67" s="7" t="s">
        <v>4734</v>
      </c>
      <c r="G67" s="7" t="s">
        <v>5685</v>
      </c>
      <c r="H67" s="7" t="s">
        <v>1474</v>
      </c>
      <c r="I67" s="7" t="s">
        <v>3117</v>
      </c>
      <c r="J67" s="7" t="s">
        <v>2007</v>
      </c>
      <c r="K67" s="7" t="s">
        <v>4629</v>
      </c>
      <c r="L67" s="7" t="s">
        <v>5593</v>
      </c>
      <c r="M67" s="7" t="s">
        <v>1440</v>
      </c>
      <c r="N67" s="7" t="s">
        <v>3191</v>
      </c>
      <c r="O67" s="7" t="s">
        <v>4610</v>
      </c>
      <c r="P67" s="7" t="s">
        <v>5689</v>
      </c>
      <c r="Q67" s="7" t="s">
        <v>2935</v>
      </c>
      <c r="R67" s="7" t="s">
        <v>1993</v>
      </c>
      <c r="S67" s="7" t="s">
        <v>4288</v>
      </c>
      <c r="T67" s="7" t="s">
        <v>5382</v>
      </c>
      <c r="U67" s="7" t="s">
        <v>1788</v>
      </c>
      <c r="V67" s="7" t="s">
        <v>6855</v>
      </c>
      <c r="W67" s="7" t="s">
        <v>6950</v>
      </c>
      <c r="X67" s="7" t="s">
        <v>7049</v>
      </c>
      <c r="Y67" s="7" t="s">
        <v>7147</v>
      </c>
      <c r="Z67" s="7" t="s">
        <v>7240</v>
      </c>
      <c r="AA67" s="7" t="s">
        <v>7339</v>
      </c>
      <c r="AB67" s="7" t="s">
        <v>7432</v>
      </c>
      <c r="AC67" s="7" t="s">
        <v>7531</v>
      </c>
      <c r="AD67" s="7" t="s">
        <v>7626</v>
      </c>
      <c r="AE67" s="7" t="s">
        <v>7719</v>
      </c>
      <c r="AF67" s="7" t="s">
        <v>7819</v>
      </c>
      <c r="AG67" s="7" t="s">
        <v>2627</v>
      </c>
      <c r="AH67" s="7" t="s">
        <v>2196</v>
      </c>
      <c r="AI67" s="7" t="s">
        <v>4062</v>
      </c>
      <c r="AJ67" s="7" t="s">
        <v>5313</v>
      </c>
      <c r="AK67" s="7" t="s">
        <v>6311</v>
      </c>
      <c r="AM67" s="7" t="s">
        <v>4798</v>
      </c>
      <c r="AN67" s="7" t="s">
        <v>7899</v>
      </c>
      <c r="AP67" s="29" t="s">
        <v>7644</v>
      </c>
      <c r="AQ67" s="29" t="s">
        <v>7175</v>
      </c>
    </row>
    <row r="68" customFormat="false" ht="15" hidden="false" customHeight="true" outlineLevel="0" collapsed="false">
      <c r="A68" s="7" t="s">
        <v>288</v>
      </c>
      <c r="B68" s="7" t="s">
        <v>6640</v>
      </c>
      <c r="C68" s="7" t="s">
        <v>6763</v>
      </c>
      <c r="D68" s="7" t="s">
        <v>3262</v>
      </c>
      <c r="E68" s="7" t="s">
        <v>1985</v>
      </c>
      <c r="F68" s="7" t="s">
        <v>4808</v>
      </c>
      <c r="G68" s="7" t="s">
        <v>5698</v>
      </c>
      <c r="H68" s="7" t="s">
        <v>1603</v>
      </c>
      <c r="I68" s="7" t="s">
        <v>3167</v>
      </c>
      <c r="J68" s="7" t="s">
        <v>2214</v>
      </c>
      <c r="K68" s="7" t="s">
        <v>4704</v>
      </c>
      <c r="L68" s="7" t="s">
        <v>5604</v>
      </c>
      <c r="M68" s="7" t="s">
        <v>1865</v>
      </c>
      <c r="N68" s="7" t="s">
        <v>3129</v>
      </c>
      <c r="O68" s="7" t="s">
        <v>4675</v>
      </c>
      <c r="P68" s="7" t="s">
        <v>5702</v>
      </c>
      <c r="Q68" s="7" t="s">
        <v>2922</v>
      </c>
      <c r="R68" s="7" t="s">
        <v>2349</v>
      </c>
      <c r="S68" s="7" t="s">
        <v>4299</v>
      </c>
      <c r="T68" s="7" t="s">
        <v>5435</v>
      </c>
      <c r="U68" s="7" t="s">
        <v>1546</v>
      </c>
      <c r="V68" s="7" t="s">
        <v>6856</v>
      </c>
      <c r="W68" s="7" t="s">
        <v>6951</v>
      </c>
      <c r="X68" s="7" t="s">
        <v>7050</v>
      </c>
      <c r="Y68" s="7" t="s">
        <v>7148</v>
      </c>
      <c r="Z68" s="7" t="s">
        <v>7241</v>
      </c>
      <c r="AA68" s="7" t="s">
        <v>7340</v>
      </c>
      <c r="AB68" s="7" t="s">
        <v>7433</v>
      </c>
      <c r="AC68" s="7" t="s">
        <v>7532</v>
      </c>
      <c r="AD68" s="7" t="s">
        <v>7627</v>
      </c>
      <c r="AE68" s="7" t="s">
        <v>7720</v>
      </c>
      <c r="AF68" s="7" t="s">
        <v>7820</v>
      </c>
      <c r="AG68" s="7" t="s">
        <v>2647</v>
      </c>
      <c r="AH68" s="7" t="s">
        <v>2035</v>
      </c>
      <c r="AI68" s="7" t="s">
        <v>4073</v>
      </c>
      <c r="AJ68" s="7" t="s">
        <v>5324</v>
      </c>
      <c r="AK68" s="7" t="s">
        <v>6374</v>
      </c>
      <c r="AM68" s="7" t="s">
        <v>2473</v>
      </c>
      <c r="AN68" s="7" t="s">
        <v>7900</v>
      </c>
      <c r="AP68" s="29" t="s">
        <v>6955</v>
      </c>
      <c r="AQ68" s="29" t="s">
        <v>7153</v>
      </c>
    </row>
    <row r="69" customFormat="false" ht="15" hidden="false" customHeight="true" outlineLevel="0" collapsed="false">
      <c r="A69" s="7" t="s">
        <v>6518</v>
      </c>
      <c r="B69" s="7" t="s">
        <v>4235</v>
      </c>
      <c r="C69" s="7" t="s">
        <v>6764</v>
      </c>
      <c r="D69" s="7" t="s">
        <v>3213</v>
      </c>
      <c r="E69" s="7" t="s">
        <v>3494</v>
      </c>
      <c r="F69" s="7" t="s">
        <v>4754</v>
      </c>
      <c r="G69" s="7" t="s">
        <v>5710</v>
      </c>
      <c r="H69" s="7" t="s">
        <v>1480</v>
      </c>
      <c r="I69" s="7" t="s">
        <v>3176</v>
      </c>
      <c r="J69" s="7" t="s">
        <v>2045</v>
      </c>
      <c r="K69" s="7" t="s">
        <v>4640</v>
      </c>
      <c r="L69" s="7" t="s">
        <v>5615</v>
      </c>
      <c r="M69" s="7" t="s">
        <v>1589</v>
      </c>
      <c r="N69" s="7" t="s">
        <v>3147</v>
      </c>
      <c r="O69" s="7" t="s">
        <v>4748</v>
      </c>
      <c r="P69" s="7" t="s">
        <v>5714</v>
      </c>
      <c r="Q69" s="7" t="s">
        <v>2878</v>
      </c>
      <c r="R69" s="7" t="s">
        <v>2367</v>
      </c>
      <c r="S69" s="7" t="s">
        <v>4310</v>
      </c>
      <c r="T69" s="7" t="s">
        <v>5424</v>
      </c>
      <c r="U69" s="7" t="s">
        <v>1455</v>
      </c>
      <c r="V69" s="7" t="s">
        <v>6857</v>
      </c>
      <c r="W69" s="7" t="s">
        <v>6952</v>
      </c>
      <c r="X69" s="7" t="s">
        <v>7051</v>
      </c>
      <c r="Y69" s="7" t="s">
        <v>7149</v>
      </c>
      <c r="Z69" s="7" t="s">
        <v>7242</v>
      </c>
      <c r="AA69" s="7" t="s">
        <v>7341</v>
      </c>
      <c r="AB69" s="7" t="s">
        <v>7434</v>
      </c>
      <c r="AC69" s="7" t="s">
        <v>7533</v>
      </c>
      <c r="AD69" s="7" t="s">
        <v>7628</v>
      </c>
      <c r="AE69" s="7" t="s">
        <v>7721</v>
      </c>
      <c r="AF69" s="7" t="s">
        <v>7821</v>
      </c>
      <c r="AG69" s="7" t="s">
        <v>2658</v>
      </c>
      <c r="AH69" s="7" t="s">
        <v>1974</v>
      </c>
      <c r="AI69" s="7" t="s">
        <v>4085</v>
      </c>
      <c r="AJ69" s="7" t="s">
        <v>5336</v>
      </c>
      <c r="AK69" s="7" t="s">
        <v>6385</v>
      </c>
      <c r="AM69" s="7" t="s">
        <v>2764</v>
      </c>
      <c r="AN69" s="7" t="s">
        <v>222</v>
      </c>
      <c r="AP69" s="29" t="s">
        <v>6952</v>
      </c>
      <c r="AQ69" s="29" t="s">
        <v>7136</v>
      </c>
    </row>
    <row r="70" customFormat="false" ht="15" hidden="false" customHeight="true" outlineLevel="0" collapsed="false">
      <c r="A70" s="7" t="s">
        <v>6520</v>
      </c>
      <c r="B70" s="7" t="s">
        <v>4421</v>
      </c>
      <c r="C70" s="7" t="s">
        <v>6765</v>
      </c>
      <c r="D70" s="7" t="s">
        <v>3223</v>
      </c>
      <c r="E70" s="7" t="s">
        <v>3481</v>
      </c>
      <c r="F70" s="7" t="s">
        <v>4766</v>
      </c>
      <c r="G70" s="7" t="s">
        <v>5721</v>
      </c>
      <c r="H70" s="7" t="s">
        <v>1834</v>
      </c>
      <c r="I70" s="7" t="s">
        <v>3188</v>
      </c>
      <c r="J70" s="7" t="s">
        <v>2020</v>
      </c>
      <c r="K70" s="7" t="s">
        <v>4715</v>
      </c>
      <c r="L70" s="7" t="s">
        <v>5627</v>
      </c>
      <c r="M70" s="7" t="s">
        <v>1468</v>
      </c>
      <c r="N70" s="7" t="s">
        <v>3204</v>
      </c>
      <c r="O70" s="7" t="s">
        <v>4623</v>
      </c>
      <c r="P70" s="7" t="s">
        <v>5725</v>
      </c>
      <c r="Q70" s="7" t="s">
        <v>2968</v>
      </c>
      <c r="R70" s="7" t="s">
        <v>2101</v>
      </c>
      <c r="S70" s="7" t="s">
        <v>4321</v>
      </c>
      <c r="T70" s="7" t="s">
        <v>5393</v>
      </c>
      <c r="U70" s="7" t="s">
        <v>1396</v>
      </c>
      <c r="V70" s="7" t="s">
        <v>6858</v>
      </c>
      <c r="W70" s="7" t="s">
        <v>6953</v>
      </c>
      <c r="X70" s="7" t="s">
        <v>7052</v>
      </c>
      <c r="Y70" s="7" t="s">
        <v>7150</v>
      </c>
      <c r="Z70" s="7" t="s">
        <v>7243</v>
      </c>
      <c r="AA70" s="7" t="s">
        <v>7342</v>
      </c>
      <c r="AB70" s="7" t="s">
        <v>7435</v>
      </c>
      <c r="AC70" s="7" t="s">
        <v>7534</v>
      </c>
      <c r="AD70" s="7" t="s">
        <v>7629</v>
      </c>
      <c r="AE70" s="7" t="s">
        <v>7722</v>
      </c>
      <c r="AF70" s="7" t="s">
        <v>7822</v>
      </c>
      <c r="AG70" s="7" t="s">
        <v>2669</v>
      </c>
      <c r="AH70" s="7" t="s">
        <v>2380</v>
      </c>
      <c r="AI70" s="7" t="s">
        <v>4097</v>
      </c>
      <c r="AJ70" s="7" t="s">
        <v>5345</v>
      </c>
      <c r="AK70" s="7" t="s">
        <v>6396</v>
      </c>
      <c r="AM70" s="7" t="s">
        <v>3227</v>
      </c>
      <c r="AN70" s="7" t="s">
        <v>7901</v>
      </c>
      <c r="AP70" s="29" t="s">
        <v>7029</v>
      </c>
      <c r="AQ70" s="29" t="s">
        <v>1178</v>
      </c>
    </row>
    <row r="71" customFormat="false" ht="15" hidden="false" customHeight="true" outlineLevel="0" collapsed="false">
      <c r="A71" s="7" t="s">
        <v>283</v>
      </c>
      <c r="B71" s="7" t="s">
        <v>4247</v>
      </c>
      <c r="C71" s="7" t="s">
        <v>6766</v>
      </c>
      <c r="D71" s="7" t="s">
        <v>3236</v>
      </c>
      <c r="E71" s="7" t="s">
        <v>3502</v>
      </c>
      <c r="F71" s="7" t="s">
        <v>4819</v>
      </c>
      <c r="G71" s="7" t="s">
        <v>5845</v>
      </c>
      <c r="H71" s="7" t="s">
        <v>1876</v>
      </c>
      <c r="I71" s="7" t="s">
        <v>3201</v>
      </c>
      <c r="J71" s="7" t="s">
        <v>2013</v>
      </c>
      <c r="K71" s="7" t="s">
        <v>4650</v>
      </c>
      <c r="L71" s="7" t="s">
        <v>5638</v>
      </c>
      <c r="M71" s="7" t="s">
        <v>1386</v>
      </c>
      <c r="N71" s="7" t="s">
        <v>3141</v>
      </c>
      <c r="O71" s="7" t="s">
        <v>4632</v>
      </c>
      <c r="P71" s="7" t="s">
        <v>5849</v>
      </c>
      <c r="Q71" s="7" t="s">
        <v>2979</v>
      </c>
      <c r="R71" s="7" t="s">
        <v>1930</v>
      </c>
      <c r="S71" s="7" t="s">
        <v>4332</v>
      </c>
      <c r="T71" s="7" t="s">
        <v>5456</v>
      </c>
      <c r="U71" s="7" t="s">
        <v>1434</v>
      </c>
      <c r="V71" s="7" t="s">
        <v>6859</v>
      </c>
      <c r="W71" s="7" t="s">
        <v>6954</v>
      </c>
      <c r="X71" s="7" t="s">
        <v>7053</v>
      </c>
      <c r="Y71" s="7" t="s">
        <v>998</v>
      </c>
      <c r="Z71" s="7" t="s">
        <v>7244</v>
      </c>
      <c r="AA71" s="7" t="s">
        <v>7343</v>
      </c>
      <c r="AB71" s="7" t="s">
        <v>7436</v>
      </c>
      <c r="AC71" s="7" t="s">
        <v>7535</v>
      </c>
      <c r="AD71" s="7" t="s">
        <v>7630</v>
      </c>
      <c r="AE71" s="7" t="s">
        <v>7723</v>
      </c>
      <c r="AF71" s="7" t="s">
        <v>7823</v>
      </c>
      <c r="AG71" s="7" t="s">
        <v>2636</v>
      </c>
      <c r="AH71" s="7" t="s">
        <v>2338</v>
      </c>
      <c r="AI71" s="7" t="s">
        <v>4108</v>
      </c>
      <c r="AJ71" s="7" t="s">
        <v>5357</v>
      </c>
      <c r="AK71" s="7" t="s">
        <v>6352</v>
      </c>
      <c r="AM71" s="7" t="s">
        <v>3266</v>
      </c>
      <c r="AN71" s="7" t="s">
        <v>7902</v>
      </c>
      <c r="AP71" s="29" t="s">
        <v>7027</v>
      </c>
      <c r="AQ71" s="29" t="s">
        <v>7183</v>
      </c>
    </row>
    <row r="72" customFormat="false" ht="15" hidden="false" customHeight="true" outlineLevel="0" collapsed="false">
      <c r="A72" s="7" t="s">
        <v>6523</v>
      </c>
      <c r="B72" s="7" t="s">
        <v>258</v>
      </c>
      <c r="C72" s="7" t="s">
        <v>6767</v>
      </c>
      <c r="D72" s="7" t="s">
        <v>3271</v>
      </c>
      <c r="E72" s="7" t="s">
        <v>3538</v>
      </c>
      <c r="F72" s="7" t="s">
        <v>4830</v>
      </c>
      <c r="G72" s="7" t="s">
        <v>5733</v>
      </c>
      <c r="H72" s="7" t="s">
        <v>1609</v>
      </c>
      <c r="I72" s="7" t="s">
        <v>3126</v>
      </c>
      <c r="J72" s="7" t="s">
        <v>2227</v>
      </c>
      <c r="K72" s="7" t="s">
        <v>4681</v>
      </c>
      <c r="L72" s="7" t="s">
        <v>5650</v>
      </c>
      <c r="M72" s="7" t="s">
        <v>1829</v>
      </c>
      <c r="N72" s="7" t="s">
        <v>3257</v>
      </c>
      <c r="O72" s="7" t="s">
        <v>4643</v>
      </c>
      <c r="P72" s="7" t="s">
        <v>5737</v>
      </c>
      <c r="Q72" s="7" t="s">
        <v>2888</v>
      </c>
      <c r="R72" s="7" t="s">
        <v>2029</v>
      </c>
      <c r="S72" s="7" t="s">
        <v>4562</v>
      </c>
      <c r="T72" s="7" t="s">
        <v>5414</v>
      </c>
      <c r="U72" s="7" t="s">
        <v>1553</v>
      </c>
      <c r="V72" s="7" t="s">
        <v>6860</v>
      </c>
      <c r="W72" s="7" t="s">
        <v>6955</v>
      </c>
      <c r="X72" s="7" t="s">
        <v>7054</v>
      </c>
      <c r="Y72" s="7" t="s">
        <v>7151</v>
      </c>
      <c r="Z72" s="7" t="s">
        <v>7245</v>
      </c>
      <c r="AA72" s="7" t="s">
        <v>7344</v>
      </c>
      <c r="AB72" s="7" t="s">
        <v>7437</v>
      </c>
      <c r="AC72" s="7" t="s">
        <v>4864</v>
      </c>
      <c r="AD72" s="7" t="s">
        <v>7631</v>
      </c>
      <c r="AE72" s="7" t="s">
        <v>7724</v>
      </c>
      <c r="AF72" s="7" t="s">
        <v>7824</v>
      </c>
      <c r="AG72" s="7" t="s">
        <v>2694</v>
      </c>
      <c r="AH72" s="7" t="s">
        <v>2155</v>
      </c>
      <c r="AI72" s="7" t="s">
        <v>4118</v>
      </c>
      <c r="AJ72" s="7" t="s">
        <v>4409</v>
      </c>
      <c r="AK72" s="7" t="s">
        <v>6363</v>
      </c>
      <c r="AM72" s="7" t="s">
        <v>3529</v>
      </c>
      <c r="AN72" s="7" t="s">
        <v>209</v>
      </c>
      <c r="AP72" s="29" t="s">
        <v>7131</v>
      </c>
      <c r="AQ72" s="29" t="s">
        <v>1193</v>
      </c>
    </row>
    <row r="73" customFormat="false" ht="15" hidden="false" customHeight="true" outlineLevel="0" collapsed="false">
      <c r="A73" s="7" t="s">
        <v>275</v>
      </c>
      <c r="B73" s="7" t="s">
        <v>168</v>
      </c>
      <c r="C73" s="7" t="s">
        <v>6768</v>
      </c>
      <c r="D73" s="7" t="s">
        <v>5942</v>
      </c>
      <c r="E73" s="7" t="s">
        <v>3515</v>
      </c>
      <c r="F73" s="7" t="s">
        <v>4778</v>
      </c>
      <c r="G73" s="7" t="s">
        <v>5823</v>
      </c>
      <c r="H73" s="7" t="s">
        <v>1664</v>
      </c>
      <c r="I73" s="7" t="s">
        <v>3156</v>
      </c>
      <c r="J73" s="7" t="s">
        <v>2000</v>
      </c>
      <c r="K73" s="7" t="s">
        <v>4660</v>
      </c>
      <c r="L73" s="7" t="s">
        <v>5661</v>
      </c>
      <c r="M73" s="7" t="s">
        <v>1859</v>
      </c>
      <c r="N73" s="7" t="s">
        <v>3266</v>
      </c>
      <c r="O73" s="7" t="s">
        <v>4653</v>
      </c>
      <c r="P73" s="7" t="s">
        <v>5827</v>
      </c>
      <c r="Q73" s="7" t="s">
        <v>2946</v>
      </c>
      <c r="R73" s="7" t="s">
        <v>2175</v>
      </c>
      <c r="S73" s="7" t="s">
        <v>4344</v>
      </c>
      <c r="T73" s="7" t="s">
        <v>5446</v>
      </c>
      <c r="U73" s="7" t="s">
        <v>1559</v>
      </c>
      <c r="V73" s="7" t="s">
        <v>6861</v>
      </c>
      <c r="W73" s="7" t="s">
        <v>6956</v>
      </c>
      <c r="X73" s="7" t="s">
        <v>7055</v>
      </c>
      <c r="Y73" s="7" t="s">
        <v>7152</v>
      </c>
      <c r="Z73" s="7" t="s">
        <v>7246</v>
      </c>
      <c r="AA73" s="7" t="s">
        <v>7345</v>
      </c>
      <c r="AB73" s="7" t="s">
        <v>7438</v>
      </c>
      <c r="AC73" s="7" t="s">
        <v>7536</v>
      </c>
      <c r="AD73" s="7" t="s">
        <v>7632</v>
      </c>
      <c r="AE73" s="7" t="s">
        <v>7725</v>
      </c>
      <c r="AF73" s="7" t="s">
        <v>7825</v>
      </c>
      <c r="AG73" s="7" t="s">
        <v>2708</v>
      </c>
      <c r="AH73" s="7" t="s">
        <v>2314</v>
      </c>
      <c r="AI73" s="7" t="s">
        <v>4128</v>
      </c>
      <c r="AJ73" s="7" t="s">
        <v>4419</v>
      </c>
      <c r="AK73" s="7" t="s">
        <v>6406</v>
      </c>
      <c r="AM73" s="7" t="s">
        <v>3526</v>
      </c>
      <c r="AN73" s="7" t="s">
        <v>198</v>
      </c>
      <c r="AP73" s="29" t="s">
        <v>7129</v>
      </c>
      <c r="AQ73" s="29" t="s">
        <v>1296</v>
      </c>
    </row>
    <row r="74" customFormat="false" ht="15" hidden="false" customHeight="true" outlineLevel="0" collapsed="false">
      <c r="A74" s="7" t="s">
        <v>6525</v>
      </c>
      <c r="B74" s="7" t="s">
        <v>6645</v>
      </c>
      <c r="C74" s="7" t="s">
        <v>6769</v>
      </c>
      <c r="D74" s="7" t="s">
        <v>3337</v>
      </c>
      <c r="E74" s="7" t="s">
        <v>3525</v>
      </c>
      <c r="F74" s="7" t="s">
        <v>4788</v>
      </c>
      <c r="G74" s="7" t="s">
        <v>5835</v>
      </c>
      <c r="H74" s="7" t="s">
        <v>1617</v>
      </c>
      <c r="I74" s="7" t="s">
        <v>3138</v>
      </c>
      <c r="J74" s="7" t="s">
        <v>2253</v>
      </c>
      <c r="K74" s="7" t="s">
        <v>4725</v>
      </c>
      <c r="L74" s="7" t="s">
        <v>5673</v>
      </c>
      <c r="M74" s="7" t="s">
        <v>1598</v>
      </c>
      <c r="N74" s="7" t="s">
        <v>3217</v>
      </c>
      <c r="O74" s="7" t="s">
        <v>4684</v>
      </c>
      <c r="P74" s="7" t="s">
        <v>5861</v>
      </c>
      <c r="Q74" s="7" t="s">
        <v>2957</v>
      </c>
      <c r="R74" s="7" t="s">
        <v>1938</v>
      </c>
      <c r="S74" s="7" t="s">
        <v>4355</v>
      </c>
      <c r="T74" s="7" t="s">
        <v>5403</v>
      </c>
      <c r="U74" s="7" t="s">
        <v>1672</v>
      </c>
      <c r="V74" s="7" t="s">
        <v>6862</v>
      </c>
      <c r="W74" s="7" t="s">
        <v>6957</v>
      </c>
      <c r="X74" s="7" t="s">
        <v>7056</v>
      </c>
      <c r="Y74" s="7" t="s">
        <v>7153</v>
      </c>
      <c r="Z74" s="7" t="s">
        <v>7247</v>
      </c>
      <c r="AA74" s="7" t="s">
        <v>7346</v>
      </c>
      <c r="AB74" s="7" t="s">
        <v>7439</v>
      </c>
      <c r="AC74" s="7" t="s">
        <v>7537</v>
      </c>
      <c r="AD74" s="7" t="s">
        <v>7633</v>
      </c>
      <c r="AE74" s="7" t="s">
        <v>7726</v>
      </c>
      <c r="AF74" s="7" t="s">
        <v>7826</v>
      </c>
      <c r="AG74" s="7" t="s">
        <v>2721</v>
      </c>
      <c r="AH74" s="7" t="s">
        <v>2095</v>
      </c>
      <c r="AI74" s="7" t="s">
        <v>4139</v>
      </c>
      <c r="AJ74" s="7" t="s">
        <v>4430</v>
      </c>
      <c r="AK74" s="7" t="s">
        <v>6418</v>
      </c>
      <c r="AM74" s="7" t="s">
        <v>3978</v>
      </c>
      <c r="AN74" s="7" t="s">
        <v>223</v>
      </c>
      <c r="AP74" s="29" t="s">
        <v>2638</v>
      </c>
    </row>
    <row r="75" customFormat="false" ht="15" hidden="false" customHeight="true" outlineLevel="0" collapsed="false">
      <c r="A75" s="7" t="s">
        <v>276</v>
      </c>
      <c r="B75" s="7" t="s">
        <v>6647</v>
      </c>
      <c r="C75" s="7" t="s">
        <v>6770</v>
      </c>
      <c r="D75" s="7" t="s">
        <v>3348</v>
      </c>
      <c r="E75" s="7" t="s">
        <v>3550</v>
      </c>
      <c r="F75" s="7" t="s">
        <v>4797</v>
      </c>
      <c r="G75" s="7" t="s">
        <v>5857</v>
      </c>
      <c r="H75" s="7" t="s">
        <v>1677</v>
      </c>
      <c r="I75" s="7" t="s">
        <v>3254</v>
      </c>
      <c r="J75" s="7" t="s">
        <v>1979</v>
      </c>
      <c r="K75" s="7" t="s">
        <v>4735</v>
      </c>
      <c r="L75" s="7" t="s">
        <v>5686</v>
      </c>
      <c r="M75" s="7" t="s">
        <v>1475</v>
      </c>
      <c r="N75" s="7" t="s">
        <v>3227</v>
      </c>
      <c r="O75" s="7" t="s">
        <v>4663</v>
      </c>
      <c r="P75" s="7" t="s">
        <v>5748</v>
      </c>
      <c r="Q75" s="7" t="s">
        <v>2911</v>
      </c>
      <c r="R75" s="7" t="s">
        <v>2168</v>
      </c>
      <c r="S75" s="7" t="s">
        <v>4366</v>
      </c>
      <c r="T75" s="7" t="s">
        <v>5468</v>
      </c>
      <c r="U75" s="7" t="s">
        <v>1462</v>
      </c>
      <c r="V75" s="7" t="s">
        <v>6863</v>
      </c>
      <c r="W75" s="7" t="s">
        <v>6958</v>
      </c>
      <c r="X75" s="7" t="s">
        <v>7057</v>
      </c>
      <c r="Y75" s="7" t="s">
        <v>7154</v>
      </c>
      <c r="Z75" s="7" t="s">
        <v>7248</v>
      </c>
      <c r="AA75" s="7" t="s">
        <v>7347</v>
      </c>
      <c r="AB75" s="7" t="s">
        <v>7440</v>
      </c>
      <c r="AC75" s="7" t="s">
        <v>7538</v>
      </c>
      <c r="AD75" s="7" t="s">
        <v>7634</v>
      </c>
      <c r="AE75" s="7" t="s">
        <v>7727</v>
      </c>
      <c r="AF75" s="7" t="s">
        <v>7827</v>
      </c>
      <c r="AG75" s="7" t="s">
        <v>2733</v>
      </c>
      <c r="AH75" s="7" t="s">
        <v>2344</v>
      </c>
      <c r="AI75" s="7" t="s">
        <v>4150</v>
      </c>
      <c r="AJ75" s="7" t="s">
        <v>4440</v>
      </c>
      <c r="AK75" s="7" t="s">
        <v>1517</v>
      </c>
      <c r="AM75" s="7" t="s">
        <v>3975</v>
      </c>
      <c r="AN75" s="7" t="s">
        <v>202</v>
      </c>
      <c r="AP75" s="29" t="s">
        <v>7446</v>
      </c>
    </row>
    <row r="76" customFormat="false" ht="15" hidden="false" customHeight="true" outlineLevel="0" collapsed="false">
      <c r="A76" s="7" t="s">
        <v>6527</v>
      </c>
      <c r="B76" s="7" t="s">
        <v>158</v>
      </c>
      <c r="C76" s="7" t="s">
        <v>6771</v>
      </c>
      <c r="D76" s="7" t="s">
        <v>3282</v>
      </c>
      <c r="E76" s="7" t="s">
        <v>3563</v>
      </c>
      <c r="F76" s="7" t="s">
        <v>4885</v>
      </c>
      <c r="G76" s="7" t="s">
        <v>5744</v>
      </c>
      <c r="H76" s="7" t="s">
        <v>1486</v>
      </c>
      <c r="I76" s="7" t="s">
        <v>3263</v>
      </c>
      <c r="J76" s="7" t="s">
        <v>1986</v>
      </c>
      <c r="K76" s="7" t="s">
        <v>4809</v>
      </c>
      <c r="L76" s="7" t="s">
        <v>5699</v>
      </c>
      <c r="M76" s="7" t="s">
        <v>1604</v>
      </c>
      <c r="N76" s="7" t="s">
        <v>3240</v>
      </c>
      <c r="O76" s="7" t="s">
        <v>4812</v>
      </c>
      <c r="P76" s="7" t="s">
        <v>5760</v>
      </c>
      <c r="Q76" s="7" t="s">
        <v>3009</v>
      </c>
      <c r="R76" s="7" t="s">
        <v>2115</v>
      </c>
      <c r="S76" s="7" t="s">
        <v>4375</v>
      </c>
      <c r="T76" s="7" t="s">
        <v>5480</v>
      </c>
      <c r="U76" s="7" t="s">
        <v>1566</v>
      </c>
      <c r="V76" s="7" t="s">
        <v>6864</v>
      </c>
      <c r="W76" s="7" t="s">
        <v>6959</v>
      </c>
      <c r="X76" s="7" t="s">
        <v>7058</v>
      </c>
      <c r="Y76" s="7" t="s">
        <v>7155</v>
      </c>
      <c r="Z76" s="7" t="s">
        <v>7249</v>
      </c>
      <c r="AA76" s="7" t="s">
        <v>7348</v>
      </c>
      <c r="AB76" s="7" t="s">
        <v>7441</v>
      </c>
      <c r="AC76" s="7" t="s">
        <v>4967</v>
      </c>
      <c r="AD76" s="7" t="s">
        <v>7635</v>
      </c>
      <c r="AE76" s="7" t="s">
        <v>7728</v>
      </c>
      <c r="AF76" s="7" t="s">
        <v>6408</v>
      </c>
      <c r="AG76" s="7" t="s">
        <v>2746</v>
      </c>
      <c r="AH76" s="7" t="s">
        <v>2308</v>
      </c>
      <c r="AI76" s="7" t="s">
        <v>4160</v>
      </c>
      <c r="AJ76" s="7" t="s">
        <v>4450</v>
      </c>
      <c r="AK76" s="7" t="s">
        <v>1753</v>
      </c>
      <c r="AM76" s="7" t="s">
        <v>2462</v>
      </c>
      <c r="AN76" s="7" t="s">
        <v>7903</v>
      </c>
      <c r="AP76" s="29" t="s">
        <v>7442</v>
      </c>
    </row>
    <row r="77" customFormat="false" ht="15" hidden="false" customHeight="true" outlineLevel="0" collapsed="false">
      <c r="A77" s="7" t="s">
        <v>280</v>
      </c>
      <c r="B77" s="7" t="s">
        <v>6650</v>
      </c>
      <c r="C77" s="7" t="s">
        <v>6772</v>
      </c>
      <c r="D77" s="7" t="s">
        <v>3327</v>
      </c>
      <c r="E77" s="7" t="s">
        <v>3633</v>
      </c>
      <c r="F77" s="7" t="s">
        <v>4841</v>
      </c>
      <c r="G77" s="7" t="s">
        <v>5756</v>
      </c>
      <c r="H77" s="7" t="s">
        <v>1624</v>
      </c>
      <c r="I77" s="7" t="s">
        <v>3214</v>
      </c>
      <c r="J77" s="7" t="s">
        <v>3495</v>
      </c>
      <c r="K77" s="7" t="s">
        <v>4755</v>
      </c>
      <c r="L77" s="7" t="s">
        <v>5711</v>
      </c>
      <c r="M77" s="7" t="s">
        <v>1481</v>
      </c>
      <c r="N77" s="7" t="s">
        <v>3275</v>
      </c>
      <c r="O77" s="7" t="s">
        <v>4758</v>
      </c>
      <c r="P77" s="7" t="s">
        <v>5772</v>
      </c>
      <c r="Q77" s="7" t="s">
        <v>3020</v>
      </c>
      <c r="R77" s="7" t="s">
        <v>2181</v>
      </c>
      <c r="S77" s="7" t="s">
        <v>4386</v>
      </c>
      <c r="T77" s="7" t="s">
        <v>5514</v>
      </c>
      <c r="U77" s="7" t="s">
        <v>1571</v>
      </c>
      <c r="V77" s="7" t="s">
        <v>6865</v>
      </c>
      <c r="W77" s="7" t="s">
        <v>6960</v>
      </c>
      <c r="X77" s="7" t="s">
        <v>7059</v>
      </c>
      <c r="Y77" s="7" t="s">
        <v>7156</v>
      </c>
      <c r="Z77" s="7" t="s">
        <v>7250</v>
      </c>
      <c r="AA77" s="7" t="s">
        <v>7349</v>
      </c>
      <c r="AB77" s="7" t="s">
        <v>7442</v>
      </c>
      <c r="AC77" s="7" t="s">
        <v>4983</v>
      </c>
      <c r="AD77" s="7" t="s">
        <v>7636</v>
      </c>
      <c r="AE77" s="7" t="s">
        <v>7729</v>
      </c>
      <c r="AF77" s="7" t="s">
        <v>7828</v>
      </c>
      <c r="AG77" s="7" t="s">
        <v>2763</v>
      </c>
      <c r="AH77" s="7" t="s">
        <v>2332</v>
      </c>
      <c r="AI77" s="7" t="s">
        <v>4173</v>
      </c>
      <c r="AJ77" s="7" t="s">
        <v>4460</v>
      </c>
      <c r="AK77" s="7" t="s">
        <v>1741</v>
      </c>
      <c r="AM77" s="7" t="s">
        <v>2617</v>
      </c>
      <c r="AN77" s="7" t="s">
        <v>7904</v>
      </c>
      <c r="AP77" s="29" t="s">
        <v>7226</v>
      </c>
    </row>
    <row r="78" customFormat="false" ht="15" hidden="false" customHeight="true" outlineLevel="0" collapsed="false">
      <c r="A78" s="7" t="s">
        <v>6529</v>
      </c>
      <c r="B78" s="7" t="s">
        <v>177</v>
      </c>
      <c r="C78" s="7" t="s">
        <v>249</v>
      </c>
      <c r="D78" s="7" t="s">
        <v>3294</v>
      </c>
      <c r="E78" s="7" t="s">
        <v>3644</v>
      </c>
      <c r="F78" s="7" t="s">
        <v>4859</v>
      </c>
      <c r="G78" s="7" t="s">
        <v>5768</v>
      </c>
      <c r="H78" s="7" t="s">
        <v>1690</v>
      </c>
      <c r="I78" s="7" t="s">
        <v>3224</v>
      </c>
      <c r="J78" s="7" t="s">
        <v>3482</v>
      </c>
      <c r="K78" s="7" t="s">
        <v>4767</v>
      </c>
      <c r="L78" s="7" t="s">
        <v>5722</v>
      </c>
      <c r="M78" s="7" t="s">
        <v>1835</v>
      </c>
      <c r="N78" s="7" t="s">
        <v>5946</v>
      </c>
      <c r="O78" s="7" t="s">
        <v>4770</v>
      </c>
      <c r="P78" s="7" t="s">
        <v>5783</v>
      </c>
      <c r="Q78" s="7" t="s">
        <v>2991</v>
      </c>
      <c r="R78" s="7" t="s">
        <v>1953</v>
      </c>
      <c r="S78" s="7" t="s">
        <v>4397</v>
      </c>
      <c r="T78" s="7" t="s">
        <v>5493</v>
      </c>
      <c r="U78" s="7" t="s">
        <v>1577</v>
      </c>
      <c r="V78" s="7" t="s">
        <v>6866</v>
      </c>
      <c r="W78" s="7" t="s">
        <v>6961</v>
      </c>
      <c r="X78" s="7" t="s">
        <v>7060</v>
      </c>
      <c r="Y78" s="7" t="s">
        <v>991</v>
      </c>
      <c r="Z78" s="7" t="s">
        <v>7251</v>
      </c>
      <c r="AA78" s="7" t="s">
        <v>7350</v>
      </c>
      <c r="AB78" s="7" t="s">
        <v>7443</v>
      </c>
      <c r="AC78" s="7" t="s">
        <v>5905</v>
      </c>
      <c r="AD78" s="7" t="s">
        <v>7637</v>
      </c>
      <c r="AE78" s="7" t="s">
        <v>7730</v>
      </c>
      <c r="AF78" s="7" t="s">
        <v>7829</v>
      </c>
      <c r="AG78" s="7" t="s">
        <v>2778</v>
      </c>
      <c r="AH78" s="7" t="s">
        <v>2297</v>
      </c>
      <c r="AI78" s="7" t="s">
        <v>4186</v>
      </c>
      <c r="AJ78" s="7" t="s">
        <v>4470</v>
      </c>
      <c r="AK78" s="7" t="s">
        <v>1849</v>
      </c>
      <c r="AM78" s="7" t="s">
        <v>3058</v>
      </c>
      <c r="AN78" s="7" t="s">
        <v>7905</v>
      </c>
      <c r="AP78" s="29" t="s">
        <v>7225</v>
      </c>
    </row>
    <row r="79" customFormat="false" ht="15" hidden="false" customHeight="true" outlineLevel="0" collapsed="false">
      <c r="A79" s="7" t="s">
        <v>274</v>
      </c>
      <c r="B79" s="7" t="s">
        <v>6652</v>
      </c>
      <c r="C79" s="7" t="s">
        <v>6773</v>
      </c>
      <c r="D79" s="7" t="s">
        <v>3305</v>
      </c>
      <c r="E79" s="7" t="s">
        <v>3622</v>
      </c>
      <c r="F79" s="7" t="s">
        <v>4870</v>
      </c>
      <c r="G79" s="7" t="s">
        <v>5779</v>
      </c>
      <c r="H79" s="7" t="s">
        <v>1493</v>
      </c>
      <c r="I79" s="7" t="s">
        <v>3237</v>
      </c>
      <c r="J79" s="7" t="s">
        <v>3503</v>
      </c>
      <c r="K79" s="7" t="s">
        <v>4820</v>
      </c>
      <c r="L79" s="7" t="s">
        <v>5846</v>
      </c>
      <c r="M79" s="7" t="s">
        <v>1877</v>
      </c>
      <c r="N79" s="7" t="s">
        <v>3286</v>
      </c>
      <c r="O79" s="7" t="s">
        <v>4823</v>
      </c>
      <c r="P79" s="7" t="s">
        <v>5794</v>
      </c>
      <c r="Q79" s="7" t="s">
        <v>3067</v>
      </c>
      <c r="R79" s="7" t="s">
        <v>2122</v>
      </c>
      <c r="S79" s="7" t="s">
        <v>4573</v>
      </c>
      <c r="T79" s="7" t="s">
        <v>5505</v>
      </c>
      <c r="U79" s="7" t="s">
        <v>1404</v>
      </c>
      <c r="V79" s="7" t="s">
        <v>6867</v>
      </c>
      <c r="W79" s="7" t="s">
        <v>6962</v>
      </c>
      <c r="X79" s="7" t="s">
        <v>7061</v>
      </c>
      <c r="Y79" s="7" t="s">
        <v>1296</v>
      </c>
      <c r="Z79" s="7" t="s">
        <v>7252</v>
      </c>
      <c r="AA79" s="7" t="s">
        <v>7351</v>
      </c>
      <c r="AB79" s="7" t="s">
        <v>7444</v>
      </c>
      <c r="AC79" s="7" t="s">
        <v>7539</v>
      </c>
      <c r="AD79" s="7" t="s">
        <v>7638</v>
      </c>
      <c r="AE79" s="7" t="s">
        <v>7731</v>
      </c>
      <c r="AF79" s="7" t="s">
        <v>7830</v>
      </c>
      <c r="AG79" s="7" t="s">
        <v>2789</v>
      </c>
      <c r="AH79" s="7" t="s">
        <v>2303</v>
      </c>
      <c r="AI79" s="7" t="s">
        <v>4197</v>
      </c>
      <c r="AJ79" s="7" t="s">
        <v>4481</v>
      </c>
      <c r="AK79" s="7" t="s">
        <v>1524</v>
      </c>
      <c r="AM79" s="7" t="s">
        <v>3275</v>
      </c>
      <c r="AN79" s="7" t="s">
        <v>190</v>
      </c>
      <c r="AP79" s="29" t="s">
        <v>6859</v>
      </c>
    </row>
    <row r="80" customFormat="false" ht="15" hidden="false" customHeight="true" outlineLevel="0" collapsed="false">
      <c r="A80" s="7" t="s">
        <v>6530</v>
      </c>
      <c r="B80" s="7" t="s">
        <v>6653</v>
      </c>
      <c r="C80" s="7" t="s">
        <v>6774</v>
      </c>
      <c r="D80" s="7" t="s">
        <v>3316</v>
      </c>
      <c r="E80" s="7" t="s">
        <v>3654</v>
      </c>
      <c r="F80" s="7" t="s">
        <v>4900</v>
      </c>
      <c r="G80" s="7" t="s">
        <v>5790</v>
      </c>
      <c r="H80" s="7" t="s">
        <v>1633</v>
      </c>
      <c r="I80" s="7" t="s">
        <v>3272</v>
      </c>
      <c r="J80" s="7" t="s">
        <v>3539</v>
      </c>
      <c r="K80" s="7" t="s">
        <v>4831</v>
      </c>
      <c r="L80" s="7" t="s">
        <v>5734</v>
      </c>
      <c r="M80" s="7" t="s">
        <v>1610</v>
      </c>
      <c r="N80" s="7" t="s">
        <v>3298</v>
      </c>
      <c r="O80" s="7" t="s">
        <v>4782</v>
      </c>
      <c r="P80" s="7" t="s">
        <v>5872</v>
      </c>
      <c r="Q80" s="7" t="s">
        <v>3033</v>
      </c>
      <c r="R80" s="7" t="s">
        <v>1960</v>
      </c>
      <c r="S80" s="7" t="s">
        <v>4585</v>
      </c>
      <c r="T80" s="7" t="s">
        <v>5525</v>
      </c>
      <c r="U80" s="7" t="s">
        <v>1872</v>
      </c>
      <c r="V80" s="7" t="s">
        <v>6868</v>
      </c>
      <c r="W80" s="7" t="s">
        <v>6963</v>
      </c>
      <c r="X80" s="7" t="s">
        <v>7062</v>
      </c>
      <c r="Y80" s="7" t="s">
        <v>7157</v>
      </c>
      <c r="Z80" s="7" t="s">
        <v>7253</v>
      </c>
      <c r="AA80" s="7" t="s">
        <v>7352</v>
      </c>
      <c r="AB80" s="7" t="s">
        <v>7445</v>
      </c>
      <c r="AC80" s="7" t="s">
        <v>7540</v>
      </c>
      <c r="AD80" s="7" t="s">
        <v>7639</v>
      </c>
      <c r="AE80" s="7" t="s">
        <v>7732</v>
      </c>
      <c r="AF80" s="7" t="s">
        <v>7831</v>
      </c>
      <c r="AG80" s="7" t="s">
        <v>2800</v>
      </c>
      <c r="AH80" s="7" t="s">
        <v>1967</v>
      </c>
      <c r="AI80" s="7" t="s">
        <v>4208</v>
      </c>
      <c r="AJ80" s="7" t="s">
        <v>4491</v>
      </c>
      <c r="AK80" s="7" t="s">
        <v>1532</v>
      </c>
      <c r="AM80" s="7" t="s">
        <v>3309</v>
      </c>
      <c r="AN80" s="7" t="s">
        <v>185</v>
      </c>
      <c r="AP80" s="29" t="s">
        <v>6857</v>
      </c>
    </row>
    <row r="81" customFormat="false" ht="15" hidden="false" customHeight="true" outlineLevel="0" collapsed="false">
      <c r="A81" s="7" t="s">
        <v>6531</v>
      </c>
      <c r="B81" s="7" t="s">
        <v>6655</v>
      </c>
      <c r="C81" s="7" t="s">
        <v>252</v>
      </c>
      <c r="D81" s="7" t="s">
        <v>3359</v>
      </c>
      <c r="E81" s="7" t="s">
        <v>3575</v>
      </c>
      <c r="F81" s="7" t="s">
        <v>4912</v>
      </c>
      <c r="G81" s="7" t="s">
        <v>5868</v>
      </c>
      <c r="H81" s="7" t="s">
        <v>1500</v>
      </c>
      <c r="I81" s="7" t="s">
        <v>5943</v>
      </c>
      <c r="J81" s="7" t="s">
        <v>3516</v>
      </c>
      <c r="K81" s="7" t="s">
        <v>4779</v>
      </c>
      <c r="L81" s="7" t="s">
        <v>5824</v>
      </c>
      <c r="M81" s="7" t="s">
        <v>1665</v>
      </c>
      <c r="N81" s="7" t="s">
        <v>3309</v>
      </c>
      <c r="O81" s="7" t="s">
        <v>4792</v>
      </c>
      <c r="P81" s="7" t="s">
        <v>5805</v>
      </c>
      <c r="Q81" s="7" t="s">
        <v>3077</v>
      </c>
      <c r="R81" s="7" t="s">
        <v>2074</v>
      </c>
      <c r="S81" s="7" t="s">
        <v>4596</v>
      </c>
      <c r="T81" s="7" t="s">
        <v>5561</v>
      </c>
      <c r="U81" s="7" t="s">
        <v>1776</v>
      </c>
      <c r="V81" s="7" t="s">
        <v>6869</v>
      </c>
      <c r="W81" s="7" t="s">
        <v>6964</v>
      </c>
      <c r="X81" s="7" t="s">
        <v>7063</v>
      </c>
      <c r="Y81" s="7" t="s">
        <v>7158</v>
      </c>
      <c r="Z81" s="7" t="s">
        <v>7254</v>
      </c>
      <c r="AA81" s="7" t="s">
        <v>7353</v>
      </c>
      <c r="AB81" s="7" t="s">
        <v>7446</v>
      </c>
      <c r="AC81" s="7" t="s">
        <v>7541</v>
      </c>
      <c r="AD81" s="7" t="s">
        <v>7640</v>
      </c>
      <c r="AE81" s="7" t="s">
        <v>7733</v>
      </c>
      <c r="AF81" s="7" t="s">
        <v>7832</v>
      </c>
      <c r="AG81" s="7" t="s">
        <v>2813</v>
      </c>
      <c r="AH81" s="7" t="s">
        <v>2273</v>
      </c>
      <c r="AI81" s="7" t="s">
        <v>4220</v>
      </c>
      <c r="AJ81" s="7" t="s">
        <v>4501</v>
      </c>
      <c r="AK81" s="7" t="s">
        <v>1711</v>
      </c>
      <c r="AM81" s="7" t="s">
        <v>4003</v>
      </c>
      <c r="AN81" s="7" t="s">
        <v>225</v>
      </c>
      <c r="AP81" s="29" t="s">
        <v>7794</v>
      </c>
    </row>
    <row r="82" customFormat="false" ht="15" hidden="false" customHeight="true" outlineLevel="0" collapsed="false">
      <c r="A82" s="7" t="s">
        <v>6533</v>
      </c>
      <c r="B82" s="7" t="s">
        <v>6657</v>
      </c>
      <c r="C82" s="7" t="s">
        <v>245</v>
      </c>
      <c r="D82" s="7" t="s">
        <v>3371</v>
      </c>
      <c r="E82" s="7" t="s">
        <v>3585</v>
      </c>
      <c r="F82" s="7" t="s">
        <v>4922</v>
      </c>
      <c r="G82" s="7" t="s">
        <v>5801</v>
      </c>
      <c r="H82" s="7" t="s">
        <v>1418</v>
      </c>
      <c r="I82" s="7" t="s">
        <v>3338</v>
      </c>
      <c r="J82" s="7" t="s">
        <v>3526</v>
      </c>
      <c r="K82" s="7" t="s">
        <v>4789</v>
      </c>
      <c r="L82" s="7" t="s">
        <v>5836</v>
      </c>
      <c r="M82" s="7" t="s">
        <v>1618</v>
      </c>
      <c r="N82" s="7" t="s">
        <v>3320</v>
      </c>
      <c r="O82" s="7" t="s">
        <v>4801</v>
      </c>
      <c r="P82" s="7" t="s">
        <v>5816</v>
      </c>
      <c r="Q82" s="7" t="s">
        <v>3087</v>
      </c>
      <c r="R82" s="7" t="s">
        <v>2319</v>
      </c>
      <c r="S82" s="7" t="s">
        <v>4608</v>
      </c>
      <c r="T82" s="7" t="s">
        <v>5540</v>
      </c>
      <c r="U82" s="7" t="s">
        <v>1782</v>
      </c>
      <c r="V82" s="7" t="s">
        <v>6870</v>
      </c>
      <c r="W82" s="7" t="s">
        <v>6965</v>
      </c>
      <c r="X82" s="7" t="s">
        <v>7064</v>
      </c>
      <c r="Y82" s="7" t="s">
        <v>7159</v>
      </c>
      <c r="Z82" s="7" t="s">
        <v>7255</v>
      </c>
      <c r="AA82" s="7" t="s">
        <v>7354</v>
      </c>
      <c r="AB82" s="7" t="s">
        <v>7447</v>
      </c>
      <c r="AC82" s="7" t="s">
        <v>7542</v>
      </c>
      <c r="AD82" s="7" t="s">
        <v>7641</v>
      </c>
      <c r="AE82" s="7" t="s">
        <v>7734</v>
      </c>
      <c r="AF82" s="7" t="s">
        <v>7833</v>
      </c>
      <c r="AG82" s="7" t="s">
        <v>2825</v>
      </c>
      <c r="AH82" s="7" t="s">
        <v>2088</v>
      </c>
      <c r="AI82" s="7" t="s">
        <v>4233</v>
      </c>
      <c r="AJ82" s="7" t="s">
        <v>4511</v>
      </c>
      <c r="AK82" s="7" t="s">
        <v>1717</v>
      </c>
      <c r="AM82" s="7" t="s">
        <v>4000</v>
      </c>
      <c r="AN82" s="7" t="s">
        <v>191</v>
      </c>
      <c r="AP82" s="29" t="s">
        <v>7791</v>
      </c>
    </row>
    <row r="83" customFormat="false" ht="15" hidden="false" customHeight="true" outlineLevel="0" collapsed="false">
      <c r="A83" s="7" t="s">
        <v>6534</v>
      </c>
      <c r="B83" s="7" t="s">
        <v>6658</v>
      </c>
      <c r="C83" s="7" t="s">
        <v>250</v>
      </c>
      <c r="D83" s="7" t="s">
        <v>3404</v>
      </c>
      <c r="E83" s="7" t="s">
        <v>3665</v>
      </c>
      <c r="F83" s="7" t="s">
        <v>4932</v>
      </c>
      <c r="G83" s="7" t="s">
        <v>5812</v>
      </c>
      <c r="H83" s="7" t="s">
        <v>1639</v>
      </c>
      <c r="I83" s="7" t="s">
        <v>3349</v>
      </c>
      <c r="J83" s="7" t="s">
        <v>3551</v>
      </c>
      <c r="K83" s="7" t="s">
        <v>4798</v>
      </c>
      <c r="L83" s="7" t="s">
        <v>5858</v>
      </c>
      <c r="M83" s="7" t="s">
        <v>1678</v>
      </c>
      <c r="N83" s="7" t="s">
        <v>3363</v>
      </c>
      <c r="O83" s="7" t="s">
        <v>4889</v>
      </c>
      <c r="P83" s="7" t="s">
        <v>5958</v>
      </c>
      <c r="Q83" s="7" t="s">
        <v>3097</v>
      </c>
      <c r="R83" s="7" t="s">
        <v>2068</v>
      </c>
      <c r="S83" s="7" t="s">
        <v>4694</v>
      </c>
      <c r="T83" s="7" t="s">
        <v>5550</v>
      </c>
      <c r="U83" s="7" t="s">
        <v>1794</v>
      </c>
      <c r="V83" s="7" t="s">
        <v>6871</v>
      </c>
      <c r="W83" s="7" t="s">
        <v>6966</v>
      </c>
      <c r="X83" s="7" t="s">
        <v>7065</v>
      </c>
      <c r="Y83" s="7" t="s">
        <v>7160</v>
      </c>
      <c r="Z83" s="7" t="s">
        <v>7256</v>
      </c>
      <c r="AA83" s="7" t="s">
        <v>7355</v>
      </c>
      <c r="AB83" s="7" t="s">
        <v>7448</v>
      </c>
      <c r="AC83" s="7" t="s">
        <v>7543</v>
      </c>
      <c r="AD83" s="7" t="s">
        <v>7642</v>
      </c>
      <c r="AE83" s="7" t="s">
        <v>7735</v>
      </c>
      <c r="AF83" s="7" t="s">
        <v>7834</v>
      </c>
      <c r="AG83" s="7" t="s">
        <v>2837</v>
      </c>
      <c r="AH83" s="7" t="s">
        <v>2356</v>
      </c>
      <c r="AI83" s="7" t="s">
        <v>4245</v>
      </c>
      <c r="AJ83" s="7" t="s">
        <v>4521</v>
      </c>
      <c r="AK83" s="7" t="s">
        <v>1819</v>
      </c>
      <c r="AM83" s="7" t="s">
        <v>5346</v>
      </c>
      <c r="AN83" s="7" t="s">
        <v>210</v>
      </c>
      <c r="AP83" s="29" t="s">
        <v>6888</v>
      </c>
    </row>
    <row r="84" customFormat="false" ht="15" hidden="false" customHeight="true" outlineLevel="0" collapsed="false">
      <c r="A84" s="7" t="s">
        <v>4335</v>
      </c>
      <c r="B84" s="7" t="s">
        <v>6660</v>
      </c>
      <c r="C84" s="7" t="s">
        <v>243</v>
      </c>
      <c r="D84" s="7" t="s">
        <v>3382</v>
      </c>
      <c r="E84" s="7" t="s">
        <v>3611</v>
      </c>
      <c r="F84" s="7" t="s">
        <v>4947</v>
      </c>
      <c r="G84" s="7" t="s">
        <v>5954</v>
      </c>
      <c r="H84" s="7" t="s">
        <v>1646</v>
      </c>
      <c r="I84" s="7" t="s">
        <v>3328</v>
      </c>
      <c r="J84" s="7" t="s">
        <v>3634</v>
      </c>
      <c r="K84" s="7" t="s">
        <v>4886</v>
      </c>
      <c r="L84" s="7" t="s">
        <v>5745</v>
      </c>
      <c r="M84" s="7" t="s">
        <v>1487</v>
      </c>
      <c r="N84" s="7" t="s">
        <v>3375</v>
      </c>
      <c r="O84" s="7" t="s">
        <v>4845</v>
      </c>
      <c r="P84" s="7" t="s">
        <v>5970</v>
      </c>
      <c r="Q84" s="7" t="s">
        <v>3056</v>
      </c>
      <c r="R84" s="7" t="s">
        <v>2247</v>
      </c>
      <c r="S84" s="7" t="s">
        <v>4673</v>
      </c>
      <c r="T84" s="7" t="s">
        <v>5571</v>
      </c>
      <c r="U84" s="7" t="s">
        <v>1659</v>
      </c>
      <c r="V84" s="7" t="s">
        <v>6872</v>
      </c>
      <c r="W84" s="7" t="s">
        <v>6967</v>
      </c>
      <c r="X84" s="7" t="s">
        <v>7066</v>
      </c>
      <c r="Y84" s="7" t="s">
        <v>7161</v>
      </c>
      <c r="Z84" s="7" t="s">
        <v>7257</v>
      </c>
      <c r="AA84" s="7" t="s">
        <v>7356</v>
      </c>
      <c r="AB84" s="7" t="s">
        <v>7449</v>
      </c>
      <c r="AC84" s="7" t="s">
        <v>7544</v>
      </c>
      <c r="AD84" s="7" t="s">
        <v>7643</v>
      </c>
      <c r="AE84" s="7" t="s">
        <v>7736</v>
      </c>
      <c r="AF84" s="7" t="s">
        <v>7835</v>
      </c>
      <c r="AG84" s="7" t="s">
        <v>2850</v>
      </c>
      <c r="AH84" s="7" t="s">
        <v>2055</v>
      </c>
      <c r="AI84" s="7" t="s">
        <v>4257</v>
      </c>
      <c r="AJ84" s="7" t="s">
        <v>4531</v>
      </c>
      <c r="AK84" s="7" t="s">
        <v>1747</v>
      </c>
      <c r="AM84" s="7" t="s">
        <v>5343</v>
      </c>
      <c r="AN84" s="7" t="s">
        <v>226</v>
      </c>
      <c r="AP84" s="29" t="s">
        <v>6886</v>
      </c>
    </row>
    <row r="85" customFormat="false" ht="15" hidden="false" customHeight="true" outlineLevel="0" collapsed="false">
      <c r="A85" s="7" t="s">
        <v>6537</v>
      </c>
      <c r="B85" s="7" t="s">
        <v>6661</v>
      </c>
      <c r="C85" s="7" t="s">
        <v>6775</v>
      </c>
      <c r="D85" s="7" t="s">
        <v>3392</v>
      </c>
      <c r="E85" s="7" t="s">
        <v>3600</v>
      </c>
      <c r="F85" s="7" t="s">
        <v>4962</v>
      </c>
      <c r="G85" s="7" t="s">
        <v>5966</v>
      </c>
      <c r="H85" s="7" t="s">
        <v>1732</v>
      </c>
      <c r="I85" s="7" t="s">
        <v>3295</v>
      </c>
      <c r="J85" s="7" t="s">
        <v>3564</v>
      </c>
      <c r="K85" s="7" t="s">
        <v>4842</v>
      </c>
      <c r="L85" s="7" t="s">
        <v>5757</v>
      </c>
      <c r="M85" s="7" t="s">
        <v>1625</v>
      </c>
      <c r="N85" s="7" t="s">
        <v>3386</v>
      </c>
      <c r="O85" s="7" t="s">
        <v>4852</v>
      </c>
      <c r="P85" s="7" t="s">
        <v>5981</v>
      </c>
      <c r="Q85" s="7" t="s">
        <v>3107</v>
      </c>
      <c r="R85" s="7" t="s">
        <v>2188</v>
      </c>
      <c r="S85" s="7" t="s">
        <v>4746</v>
      </c>
      <c r="T85" s="7" t="s">
        <v>4550</v>
      </c>
      <c r="U85" s="7" t="s">
        <v>1686</v>
      </c>
      <c r="V85" s="7" t="s">
        <v>6873</v>
      </c>
      <c r="W85" s="7" t="s">
        <v>6968</v>
      </c>
      <c r="X85" s="7" t="s">
        <v>7067</v>
      </c>
      <c r="Y85" s="7" t="s">
        <v>7162</v>
      </c>
      <c r="Z85" s="7" t="s">
        <v>7258</v>
      </c>
      <c r="AA85" s="7" t="s">
        <v>7357</v>
      </c>
      <c r="AB85" s="7" t="s">
        <v>7450</v>
      </c>
      <c r="AC85" s="7" t="s">
        <v>7545</v>
      </c>
      <c r="AD85" s="7" t="s">
        <v>7644</v>
      </c>
      <c r="AE85" s="7" t="s">
        <v>7737</v>
      </c>
      <c r="AF85" s="7" t="s">
        <v>7836</v>
      </c>
      <c r="AG85" s="7" t="s">
        <v>2863</v>
      </c>
      <c r="AH85" s="7" t="s">
        <v>2242</v>
      </c>
      <c r="AI85" s="7" t="s">
        <v>4268</v>
      </c>
      <c r="AJ85" s="7" t="s">
        <v>4541</v>
      </c>
      <c r="AK85" s="7" t="s">
        <v>1540</v>
      </c>
      <c r="AM85" s="7" t="s">
        <v>2427</v>
      </c>
      <c r="AN85" s="7" t="s">
        <v>7906</v>
      </c>
      <c r="AP85" s="29" t="s">
        <v>7110</v>
      </c>
    </row>
    <row r="86" customFormat="false" ht="15" hidden="false" customHeight="true" outlineLevel="0" collapsed="false">
      <c r="A86" s="7" t="s">
        <v>6539</v>
      </c>
      <c r="B86" s="7" t="s">
        <v>6662</v>
      </c>
      <c r="C86" s="7" t="s">
        <v>6776</v>
      </c>
      <c r="D86" s="7" t="s">
        <v>3425</v>
      </c>
      <c r="E86" s="7" t="s">
        <v>3796</v>
      </c>
      <c r="F86" s="7" t="s">
        <v>4978</v>
      </c>
      <c r="G86" s="7" t="s">
        <v>5977</v>
      </c>
      <c r="H86" s="7" t="s">
        <v>1696</v>
      </c>
      <c r="I86" s="7" t="s">
        <v>3306</v>
      </c>
      <c r="J86" s="7" t="s">
        <v>3645</v>
      </c>
      <c r="K86" s="7" t="s">
        <v>4860</v>
      </c>
      <c r="L86" s="7" t="s">
        <v>5769</v>
      </c>
      <c r="M86" s="7" t="s">
        <v>1691</v>
      </c>
      <c r="N86" s="7" t="s">
        <v>3396</v>
      </c>
      <c r="O86" s="7" t="s">
        <v>4863</v>
      </c>
      <c r="P86" s="7" t="s">
        <v>5992</v>
      </c>
      <c r="Q86" s="7" t="s">
        <v>3045</v>
      </c>
      <c r="R86" s="7" t="s">
        <v>2061</v>
      </c>
      <c r="S86" s="7" t="s">
        <v>4621</v>
      </c>
      <c r="T86" s="7" t="s">
        <v>5583</v>
      </c>
      <c r="U86" s="7" t="s">
        <v>1583</v>
      </c>
      <c r="V86" s="7" t="s">
        <v>6874</v>
      </c>
      <c r="W86" s="7" t="s">
        <v>6969</v>
      </c>
      <c r="X86" s="7" t="s">
        <v>7068</v>
      </c>
      <c r="Y86" s="7" t="s">
        <v>7163</v>
      </c>
      <c r="Z86" s="7" t="s">
        <v>7259</v>
      </c>
      <c r="AA86" s="7" t="s">
        <v>7358</v>
      </c>
      <c r="AB86" s="7" t="s">
        <v>7451</v>
      </c>
      <c r="AC86" s="7" t="s">
        <v>7546</v>
      </c>
      <c r="AD86" s="7" t="s">
        <v>7645</v>
      </c>
      <c r="AE86" s="7" t="s">
        <v>7738</v>
      </c>
      <c r="AF86" s="7" t="s">
        <v>508</v>
      </c>
      <c r="AG86" s="7" t="s">
        <v>2901</v>
      </c>
      <c r="AH86" s="7" t="s">
        <v>2081</v>
      </c>
      <c r="AI86" s="7" t="s">
        <v>4277</v>
      </c>
      <c r="AJ86" s="7" t="s">
        <v>5370</v>
      </c>
      <c r="AK86" s="7" t="s">
        <v>1855</v>
      </c>
      <c r="AM86" s="7" t="s">
        <v>2913</v>
      </c>
      <c r="AN86" s="7" t="s">
        <v>7907</v>
      </c>
      <c r="AP86" s="29" t="s">
        <v>7107</v>
      </c>
    </row>
    <row r="87" customFormat="false" ht="15" hidden="false" customHeight="true" outlineLevel="0" collapsed="false">
      <c r="A87" s="7" t="s">
        <v>6541</v>
      </c>
      <c r="B87" s="7" t="s">
        <v>6664</v>
      </c>
      <c r="C87" s="7" t="s">
        <v>6777</v>
      </c>
      <c r="D87" s="7" t="s">
        <v>3414</v>
      </c>
      <c r="E87" s="7" t="s">
        <v>3807</v>
      </c>
      <c r="F87" s="7" t="s">
        <v>4996</v>
      </c>
      <c r="G87" s="7" t="s">
        <v>5988</v>
      </c>
      <c r="H87" s="7" t="s">
        <v>1768</v>
      </c>
      <c r="I87" s="7" t="s">
        <v>3283</v>
      </c>
      <c r="J87" s="7" t="s">
        <v>3623</v>
      </c>
      <c r="K87" s="7" t="s">
        <v>4871</v>
      </c>
      <c r="L87" s="7" t="s">
        <v>5780</v>
      </c>
      <c r="M87" s="7" t="s">
        <v>1494</v>
      </c>
      <c r="N87" s="7" t="s">
        <v>3429</v>
      </c>
      <c r="O87" s="7" t="s">
        <v>4874</v>
      </c>
      <c r="P87" s="7" t="s">
        <v>6004</v>
      </c>
      <c r="Q87" s="7" t="s">
        <v>3118</v>
      </c>
      <c r="R87" s="7" t="s">
        <v>2008</v>
      </c>
      <c r="S87" s="7" t="s">
        <v>4630</v>
      </c>
      <c r="T87" s="7" t="s">
        <v>5594</v>
      </c>
      <c r="U87" s="7" t="s">
        <v>1441</v>
      </c>
      <c r="V87" s="7" t="s">
        <v>6875</v>
      </c>
      <c r="W87" s="7" t="s">
        <v>6970</v>
      </c>
      <c r="X87" s="7" t="s">
        <v>7069</v>
      </c>
      <c r="Y87" s="7" t="s">
        <v>7164</v>
      </c>
      <c r="Z87" s="7" t="s">
        <v>7260</v>
      </c>
      <c r="AA87" s="7" t="s">
        <v>7359</v>
      </c>
      <c r="AB87" s="7" t="s">
        <v>7452</v>
      </c>
      <c r="AC87" s="7" t="s">
        <v>7547</v>
      </c>
      <c r="AD87" s="7" t="s">
        <v>7646</v>
      </c>
      <c r="AE87" s="7" t="s">
        <v>7739</v>
      </c>
      <c r="AF87" s="7" t="s">
        <v>7837</v>
      </c>
      <c r="AG87" s="7" t="s">
        <v>2936</v>
      </c>
      <c r="AH87" s="7" t="s">
        <v>1994</v>
      </c>
      <c r="AI87" s="7" t="s">
        <v>4289</v>
      </c>
      <c r="AJ87" s="7" t="s">
        <v>5383</v>
      </c>
      <c r="AK87" s="7" t="s">
        <v>1789</v>
      </c>
      <c r="AM87" s="7" t="s">
        <v>3217</v>
      </c>
      <c r="AN87" s="7" t="s">
        <v>7908</v>
      </c>
      <c r="AP87" s="29" t="s">
        <v>7529</v>
      </c>
    </row>
    <row r="88" customFormat="false" ht="15" hidden="false" customHeight="true" outlineLevel="0" collapsed="false">
      <c r="A88" s="7" t="s">
        <v>6542</v>
      </c>
      <c r="B88" s="7" t="s">
        <v>6665</v>
      </c>
      <c r="C88" s="7" t="s">
        <v>6778</v>
      </c>
      <c r="D88" s="7" t="s">
        <v>3446</v>
      </c>
      <c r="E88" s="7" t="s">
        <v>3819</v>
      </c>
      <c r="F88" s="7" t="s">
        <v>5933</v>
      </c>
      <c r="G88" s="7" t="s">
        <v>6000</v>
      </c>
      <c r="H88" s="7" t="s">
        <v>1446</v>
      </c>
      <c r="I88" s="7" t="s">
        <v>3317</v>
      </c>
      <c r="J88" s="7" t="s">
        <v>3655</v>
      </c>
      <c r="K88" s="7" t="s">
        <v>4901</v>
      </c>
      <c r="L88" s="7" t="s">
        <v>5791</v>
      </c>
      <c r="M88" s="7" t="s">
        <v>1634</v>
      </c>
      <c r="N88" s="7" t="s">
        <v>3418</v>
      </c>
      <c r="O88" s="7" t="s">
        <v>4904</v>
      </c>
      <c r="P88" s="7" t="s">
        <v>6015</v>
      </c>
      <c r="Q88" s="7" t="s">
        <v>3177</v>
      </c>
      <c r="R88" s="7" t="s">
        <v>2215</v>
      </c>
      <c r="S88" s="7" t="s">
        <v>4705</v>
      </c>
      <c r="T88" s="7" t="s">
        <v>5605</v>
      </c>
      <c r="U88" s="7" t="s">
        <v>1866</v>
      </c>
      <c r="V88" s="7" t="s">
        <v>6876</v>
      </c>
      <c r="W88" s="7" t="s">
        <v>6971</v>
      </c>
      <c r="X88" s="7" t="s">
        <v>7070</v>
      </c>
      <c r="Y88" s="7" t="s">
        <v>7165</v>
      </c>
      <c r="Z88" s="7" t="s">
        <v>7261</v>
      </c>
      <c r="AA88" s="7" t="s">
        <v>7360</v>
      </c>
      <c r="AB88" s="7" t="s">
        <v>7453</v>
      </c>
      <c r="AC88" s="7" t="s">
        <v>7548</v>
      </c>
      <c r="AD88" s="7" t="s">
        <v>7647</v>
      </c>
      <c r="AE88" s="7" t="s">
        <v>7740</v>
      </c>
      <c r="AF88" s="7" t="s">
        <v>7838</v>
      </c>
      <c r="AG88" s="7" t="s">
        <v>2923</v>
      </c>
      <c r="AH88" s="7" t="s">
        <v>2350</v>
      </c>
      <c r="AI88" s="7" t="s">
        <v>4300</v>
      </c>
      <c r="AJ88" s="7" t="s">
        <v>5436</v>
      </c>
      <c r="AK88" s="7" t="s">
        <v>1547</v>
      </c>
      <c r="AM88" s="7" t="s">
        <v>3463</v>
      </c>
      <c r="AN88" s="7" t="s">
        <v>215</v>
      </c>
      <c r="AP88" s="29" t="s">
        <v>7527</v>
      </c>
    </row>
    <row r="89" customFormat="false" ht="15" hidden="false" customHeight="true" outlineLevel="0" collapsed="false">
      <c r="A89" s="7" t="s">
        <v>6543</v>
      </c>
      <c r="B89" s="7" t="s">
        <v>6666</v>
      </c>
      <c r="C89" s="7" t="s">
        <v>238</v>
      </c>
      <c r="D89" s="7" t="s">
        <v>3436</v>
      </c>
      <c r="E89" s="7" t="s">
        <v>3830</v>
      </c>
      <c r="F89" s="7" t="s">
        <v>5911</v>
      </c>
      <c r="G89" s="7" t="s">
        <v>6011</v>
      </c>
      <c r="H89" s="7" t="s">
        <v>1376</v>
      </c>
      <c r="I89" s="7" t="s">
        <v>3360</v>
      </c>
      <c r="J89" s="7" t="s">
        <v>3576</v>
      </c>
      <c r="K89" s="7" t="s">
        <v>4913</v>
      </c>
      <c r="L89" s="7" t="s">
        <v>5869</v>
      </c>
      <c r="M89" s="7" t="s">
        <v>1501</v>
      </c>
      <c r="N89" s="7" t="s">
        <v>3450</v>
      </c>
      <c r="O89" s="7" t="s">
        <v>4916</v>
      </c>
      <c r="P89" s="7" t="s">
        <v>6026</v>
      </c>
      <c r="Q89" s="7" t="s">
        <v>3168</v>
      </c>
      <c r="R89" s="7" t="s">
        <v>2046</v>
      </c>
      <c r="S89" s="7" t="s">
        <v>4641</v>
      </c>
      <c r="T89" s="7" t="s">
        <v>5616</v>
      </c>
      <c r="U89" s="7" t="s">
        <v>1590</v>
      </c>
      <c r="V89" s="7" t="s">
        <v>6877</v>
      </c>
      <c r="W89" s="7" t="s">
        <v>6972</v>
      </c>
      <c r="X89" s="7" t="s">
        <v>7071</v>
      </c>
      <c r="Y89" s="7" t="s">
        <v>7166</v>
      </c>
      <c r="Z89" s="7" t="s">
        <v>7262</v>
      </c>
      <c r="AA89" s="7" t="s">
        <v>7361</v>
      </c>
      <c r="AB89" s="7" t="s">
        <v>7454</v>
      </c>
      <c r="AC89" s="7" t="s">
        <v>7549</v>
      </c>
      <c r="AD89" s="7" t="s">
        <v>7648</v>
      </c>
      <c r="AE89" s="7" t="s">
        <v>7741</v>
      </c>
      <c r="AF89" s="7" t="s">
        <v>7839</v>
      </c>
      <c r="AG89" s="7" t="s">
        <v>2879</v>
      </c>
      <c r="AH89" s="7" t="s">
        <v>2368</v>
      </c>
      <c r="AI89" s="7" t="s">
        <v>4311</v>
      </c>
      <c r="AJ89" s="7" t="s">
        <v>5425</v>
      </c>
      <c r="AK89" s="7" t="s">
        <v>1456</v>
      </c>
      <c r="AM89" s="7" t="s">
        <v>3567</v>
      </c>
      <c r="AN89" s="7" t="s">
        <v>7909</v>
      </c>
      <c r="AP89" s="29" t="s">
        <v>7461</v>
      </c>
    </row>
    <row r="90" customFormat="false" ht="15" hidden="false" customHeight="true" outlineLevel="0" collapsed="false">
      <c r="A90" s="7" t="s">
        <v>6545</v>
      </c>
      <c r="B90" s="7" t="s">
        <v>6668</v>
      </c>
      <c r="C90" s="7" t="s">
        <v>6779</v>
      </c>
      <c r="D90" s="7" t="s">
        <v>3459</v>
      </c>
      <c r="E90" s="7" t="s">
        <v>3681</v>
      </c>
      <c r="F90" s="7" t="s">
        <v>5890</v>
      </c>
      <c r="G90" s="7" t="s">
        <v>6022</v>
      </c>
      <c r="H90" s="7" t="s">
        <v>1702</v>
      </c>
      <c r="I90" s="7" t="s">
        <v>3372</v>
      </c>
      <c r="J90" s="7" t="s">
        <v>3666</v>
      </c>
      <c r="K90" s="7" t="s">
        <v>4923</v>
      </c>
      <c r="L90" s="7" t="s">
        <v>5802</v>
      </c>
      <c r="M90" s="7" t="s">
        <v>1419</v>
      </c>
      <c r="N90" s="7" t="s">
        <v>3440</v>
      </c>
      <c r="O90" s="7" t="s">
        <v>4926</v>
      </c>
      <c r="P90" s="7" t="s">
        <v>6037</v>
      </c>
      <c r="Q90" s="7" t="s">
        <v>3189</v>
      </c>
      <c r="R90" s="7" t="s">
        <v>2021</v>
      </c>
      <c r="S90" s="7" t="s">
        <v>4716</v>
      </c>
      <c r="T90" s="7" t="s">
        <v>5628</v>
      </c>
      <c r="U90" s="7" t="s">
        <v>1469</v>
      </c>
      <c r="V90" s="7" t="s">
        <v>6878</v>
      </c>
      <c r="W90" s="7" t="s">
        <v>6973</v>
      </c>
      <c r="X90" s="7" t="s">
        <v>7072</v>
      </c>
      <c r="Y90" s="7" t="s">
        <v>7167</v>
      </c>
      <c r="Z90" s="7" t="s">
        <v>7263</v>
      </c>
      <c r="AA90" s="7" t="s">
        <v>7362</v>
      </c>
      <c r="AB90" s="7" t="s">
        <v>7455</v>
      </c>
      <c r="AC90" s="7" t="s">
        <v>7550</v>
      </c>
      <c r="AD90" s="7" t="s">
        <v>7649</v>
      </c>
      <c r="AE90" s="7" t="s">
        <v>7742</v>
      </c>
      <c r="AF90" s="7" t="s">
        <v>7840</v>
      </c>
      <c r="AG90" s="7" t="s">
        <v>2969</v>
      </c>
      <c r="AH90" s="7" t="s">
        <v>2102</v>
      </c>
      <c r="AI90" s="7" t="s">
        <v>4322</v>
      </c>
      <c r="AJ90" s="7" t="s">
        <v>5394</v>
      </c>
      <c r="AK90" s="7" t="s">
        <v>1397</v>
      </c>
      <c r="AM90" s="7" t="s">
        <v>3564</v>
      </c>
      <c r="AN90" s="7" t="s">
        <v>199</v>
      </c>
      <c r="AP90" s="29" t="s">
        <v>7462</v>
      </c>
    </row>
    <row r="91" customFormat="false" ht="15" hidden="false" customHeight="true" outlineLevel="0" collapsed="false">
      <c r="A91" s="7" t="s">
        <v>6547</v>
      </c>
      <c r="B91" s="7" t="s">
        <v>6670</v>
      </c>
      <c r="C91" s="7" t="s">
        <v>6780</v>
      </c>
      <c r="D91" s="7" t="s">
        <v>3469</v>
      </c>
      <c r="E91" s="7" t="s">
        <v>3694</v>
      </c>
      <c r="F91" s="7" t="s">
        <v>5900</v>
      </c>
      <c r="G91" s="7" t="s">
        <v>6033</v>
      </c>
      <c r="H91" s="7" t="s">
        <v>1822</v>
      </c>
      <c r="I91" s="7" t="s">
        <v>3405</v>
      </c>
      <c r="J91" s="7" t="s">
        <v>3612</v>
      </c>
      <c r="K91" s="7" t="s">
        <v>4933</v>
      </c>
      <c r="L91" s="7" t="s">
        <v>5813</v>
      </c>
      <c r="M91" s="7" t="s">
        <v>1640</v>
      </c>
      <c r="N91" s="7" t="s">
        <v>3463</v>
      </c>
      <c r="O91" s="7" t="s">
        <v>4936</v>
      </c>
      <c r="P91" s="7" t="s">
        <v>6048</v>
      </c>
      <c r="Q91" s="7" t="s">
        <v>3127</v>
      </c>
      <c r="R91" s="7" t="s">
        <v>2014</v>
      </c>
      <c r="S91" s="7" t="s">
        <v>4651</v>
      </c>
      <c r="T91" s="7" t="s">
        <v>5639</v>
      </c>
      <c r="U91" s="7" t="s">
        <v>1387</v>
      </c>
      <c r="V91" s="7" t="s">
        <v>6879</v>
      </c>
      <c r="W91" s="7" t="s">
        <v>6974</v>
      </c>
      <c r="X91" s="7" t="s">
        <v>7073</v>
      </c>
      <c r="Y91" s="7" t="s">
        <v>953</v>
      </c>
      <c r="Z91" s="7" t="s">
        <v>7264</v>
      </c>
      <c r="AA91" s="7" t="s">
        <v>7363</v>
      </c>
      <c r="AB91" s="7" t="s">
        <v>7456</v>
      </c>
      <c r="AC91" s="7" t="s">
        <v>7551</v>
      </c>
      <c r="AD91" s="7" t="s">
        <v>7650</v>
      </c>
      <c r="AE91" s="7" t="s">
        <v>7743</v>
      </c>
      <c r="AF91" s="7" t="s">
        <v>7841</v>
      </c>
      <c r="AG91" s="7" t="s">
        <v>2980</v>
      </c>
      <c r="AH91" s="7" t="s">
        <v>1931</v>
      </c>
      <c r="AI91" s="7" t="s">
        <v>4333</v>
      </c>
      <c r="AJ91" s="7" t="s">
        <v>5457</v>
      </c>
      <c r="AK91" s="7" t="s">
        <v>1435</v>
      </c>
      <c r="AM91" s="7" t="s">
        <v>4693</v>
      </c>
      <c r="AN91" s="7" t="s">
        <v>211</v>
      </c>
      <c r="AP91" s="29" t="s">
        <v>6855</v>
      </c>
    </row>
    <row r="92" customFormat="false" ht="15" hidden="false" customHeight="true" outlineLevel="0" collapsed="false">
      <c r="A92" s="7" t="s">
        <v>6549</v>
      </c>
      <c r="B92" s="7" t="s">
        <v>6672</v>
      </c>
      <c r="C92" s="7" t="s">
        <v>6781</v>
      </c>
      <c r="D92" s="7" t="s">
        <v>2232</v>
      </c>
      <c r="E92" s="7" t="s">
        <v>3706</v>
      </c>
      <c r="F92" s="7" t="s">
        <v>5008</v>
      </c>
      <c r="G92" s="7" t="s">
        <v>6044</v>
      </c>
      <c r="H92" s="7" t="s">
        <v>1726</v>
      </c>
      <c r="I92" s="7" t="s">
        <v>3383</v>
      </c>
      <c r="J92" s="7" t="s">
        <v>3601</v>
      </c>
      <c r="K92" s="7" t="s">
        <v>4948</v>
      </c>
      <c r="L92" s="7" t="s">
        <v>5955</v>
      </c>
      <c r="M92" s="7" t="s">
        <v>1647</v>
      </c>
      <c r="N92" s="7" t="s">
        <v>3473</v>
      </c>
      <c r="O92" s="7" t="s">
        <v>4951</v>
      </c>
      <c r="P92" s="7" t="s">
        <v>6059</v>
      </c>
      <c r="Q92" s="7" t="s">
        <v>3202</v>
      </c>
      <c r="R92" s="7" t="s">
        <v>2228</v>
      </c>
      <c r="S92" s="7" t="s">
        <v>4682</v>
      </c>
      <c r="T92" s="7" t="s">
        <v>5651</v>
      </c>
      <c r="U92" s="7" t="s">
        <v>1830</v>
      </c>
      <c r="V92" s="7" t="s">
        <v>6880</v>
      </c>
      <c r="W92" s="7" t="s">
        <v>6975</v>
      </c>
      <c r="X92" s="7" t="s">
        <v>7074</v>
      </c>
      <c r="Y92" s="7" t="s">
        <v>7168</v>
      </c>
      <c r="Z92" s="7" t="s">
        <v>7265</v>
      </c>
      <c r="AA92" s="7" t="s">
        <v>7364</v>
      </c>
      <c r="AB92" s="7" t="s">
        <v>7457</v>
      </c>
      <c r="AC92" s="7" t="s">
        <v>7552</v>
      </c>
      <c r="AD92" s="7" t="s">
        <v>7651</v>
      </c>
      <c r="AE92" s="7" t="s">
        <v>7744</v>
      </c>
      <c r="AF92" s="7" t="s">
        <v>7842</v>
      </c>
      <c r="AG92" s="7" t="s">
        <v>2889</v>
      </c>
      <c r="AH92" s="7" t="s">
        <v>2030</v>
      </c>
      <c r="AI92" s="7" t="s">
        <v>4563</v>
      </c>
      <c r="AJ92" s="7" t="s">
        <v>5415</v>
      </c>
      <c r="AK92" s="7" t="s">
        <v>1554</v>
      </c>
      <c r="AM92" s="7" t="s">
        <v>3022</v>
      </c>
      <c r="AN92" s="7" t="s">
        <v>205</v>
      </c>
      <c r="AP92" s="29" t="s">
        <v>6853</v>
      </c>
    </row>
    <row r="93" customFormat="false" ht="15" hidden="false" customHeight="true" outlineLevel="0" collapsed="false">
      <c r="A93" s="7" t="s">
        <v>6551</v>
      </c>
      <c r="B93" s="7" t="s">
        <v>178</v>
      </c>
      <c r="C93" s="7" t="s">
        <v>6782</v>
      </c>
      <c r="D93" s="7" t="s">
        <v>1921</v>
      </c>
      <c r="E93" s="7" t="s">
        <v>3717</v>
      </c>
      <c r="F93" s="7" t="s">
        <v>5060</v>
      </c>
      <c r="G93" s="7" t="s">
        <v>6055</v>
      </c>
      <c r="H93" s="7" t="s">
        <v>1410</v>
      </c>
      <c r="I93" s="7" t="s">
        <v>3393</v>
      </c>
      <c r="J93" s="7" t="s">
        <v>3586</v>
      </c>
      <c r="K93" s="7" t="s">
        <v>4963</v>
      </c>
      <c r="L93" s="7" t="s">
        <v>5967</v>
      </c>
      <c r="M93" s="7" t="s">
        <v>1733</v>
      </c>
      <c r="N93" s="7" t="s">
        <v>3485</v>
      </c>
      <c r="O93" s="7" t="s">
        <v>4966</v>
      </c>
      <c r="P93" s="7" t="s">
        <v>6070</v>
      </c>
      <c r="Q93" s="7" t="s">
        <v>3157</v>
      </c>
      <c r="R93" s="7" t="s">
        <v>2001</v>
      </c>
      <c r="S93" s="7" t="s">
        <v>4661</v>
      </c>
      <c r="T93" s="7" t="s">
        <v>5662</v>
      </c>
      <c r="U93" s="7" t="s">
        <v>1860</v>
      </c>
      <c r="V93" s="7" t="s">
        <v>6881</v>
      </c>
      <c r="W93" s="7" t="s">
        <v>6976</v>
      </c>
      <c r="X93" s="7" t="s">
        <v>7075</v>
      </c>
      <c r="Y93" s="7" t="s">
        <v>7169</v>
      </c>
      <c r="Z93" s="7" t="s">
        <v>7266</v>
      </c>
      <c r="AA93" s="7" t="s">
        <v>7365</v>
      </c>
      <c r="AB93" s="7" t="s">
        <v>7458</v>
      </c>
      <c r="AC93" s="7" t="s">
        <v>7553</v>
      </c>
      <c r="AD93" s="7" t="s">
        <v>7652</v>
      </c>
      <c r="AE93" s="7" t="s">
        <v>7745</v>
      </c>
      <c r="AF93" s="7" t="s">
        <v>7843</v>
      </c>
      <c r="AG93" s="7" t="s">
        <v>2947</v>
      </c>
      <c r="AH93" s="7" t="s">
        <v>2176</v>
      </c>
      <c r="AI93" s="7" t="s">
        <v>4345</v>
      </c>
      <c r="AJ93" s="7" t="s">
        <v>5447</v>
      </c>
      <c r="AK93" s="7" t="s">
        <v>1560</v>
      </c>
      <c r="AM93" s="7" t="s">
        <v>3257</v>
      </c>
      <c r="AN93" s="7" t="s">
        <v>7910</v>
      </c>
      <c r="AP93" s="29" t="s">
        <v>6898</v>
      </c>
    </row>
    <row r="94" customFormat="false" ht="15" hidden="false" customHeight="true" outlineLevel="0" collapsed="false">
      <c r="A94" s="7" t="s">
        <v>6552</v>
      </c>
      <c r="B94" s="7" t="s">
        <v>6675</v>
      </c>
      <c r="C94" s="7" t="s">
        <v>242</v>
      </c>
      <c r="D94" s="7" t="s">
        <v>2323</v>
      </c>
      <c r="E94" s="7" t="s">
        <v>3728</v>
      </c>
      <c r="F94" s="7" t="s">
        <v>5042</v>
      </c>
      <c r="G94" s="7" t="s">
        <v>6066</v>
      </c>
      <c r="H94" s="7" t="s">
        <v>1840</v>
      </c>
      <c r="I94" s="7" t="s">
        <v>3426</v>
      </c>
      <c r="J94" s="7" t="s">
        <v>3797</v>
      </c>
      <c r="K94" s="7" t="s">
        <v>4979</v>
      </c>
      <c r="L94" s="7" t="s">
        <v>5978</v>
      </c>
      <c r="M94" s="7" t="s">
        <v>1697</v>
      </c>
      <c r="N94" s="7" t="s">
        <v>3506</v>
      </c>
      <c r="O94" s="7" t="s">
        <v>4982</v>
      </c>
      <c r="P94" s="7" t="s">
        <v>6082</v>
      </c>
      <c r="Q94" s="7" t="s">
        <v>3139</v>
      </c>
      <c r="R94" s="7" t="s">
        <v>2254</v>
      </c>
      <c r="S94" s="7" t="s">
        <v>4726</v>
      </c>
      <c r="T94" s="7" t="s">
        <v>5674</v>
      </c>
      <c r="U94" s="7" t="s">
        <v>1599</v>
      </c>
      <c r="V94" s="7" t="s">
        <v>6882</v>
      </c>
      <c r="W94" s="7" t="s">
        <v>6977</v>
      </c>
      <c r="X94" s="7" t="s">
        <v>7076</v>
      </c>
      <c r="Y94" s="7" t="s">
        <v>7170</v>
      </c>
      <c r="Z94" s="7" t="s">
        <v>7267</v>
      </c>
      <c r="AA94" s="7" t="s">
        <v>7366</v>
      </c>
      <c r="AB94" s="7" t="s">
        <v>7459</v>
      </c>
      <c r="AC94" s="7" t="s">
        <v>7554</v>
      </c>
      <c r="AD94" s="7" t="s">
        <v>7653</v>
      </c>
      <c r="AE94" s="7" t="s">
        <v>7746</v>
      </c>
      <c r="AF94" s="7" t="s">
        <v>7844</v>
      </c>
      <c r="AG94" s="7" t="s">
        <v>2958</v>
      </c>
      <c r="AH94" s="7" t="s">
        <v>1939</v>
      </c>
      <c r="AI94" s="7" t="s">
        <v>4356</v>
      </c>
      <c r="AJ94" s="7" t="s">
        <v>5404</v>
      </c>
      <c r="AK94" s="7" t="s">
        <v>1673</v>
      </c>
      <c r="AM94" s="7" t="s">
        <v>4323</v>
      </c>
      <c r="AN94" s="7" t="s">
        <v>7911</v>
      </c>
      <c r="AP94" s="29" t="s">
        <v>6896</v>
      </c>
    </row>
    <row r="95" customFormat="false" ht="15" hidden="false" customHeight="true" outlineLevel="0" collapsed="false">
      <c r="A95" s="7" t="s">
        <v>273</v>
      </c>
      <c r="B95" s="7" t="s">
        <v>180</v>
      </c>
      <c r="C95" s="7" t="s">
        <v>6783</v>
      </c>
      <c r="D95" s="7" t="s">
        <v>2258</v>
      </c>
      <c r="E95" s="7" t="s">
        <v>3740</v>
      </c>
      <c r="F95" s="7" t="s">
        <v>5020</v>
      </c>
      <c r="G95" s="7" t="s">
        <v>6078</v>
      </c>
      <c r="H95" s="7" t="s">
        <v>1762</v>
      </c>
      <c r="I95" s="7" t="s">
        <v>3415</v>
      </c>
      <c r="J95" s="7" t="s">
        <v>3808</v>
      </c>
      <c r="K95" s="7" t="s">
        <v>4997</v>
      </c>
      <c r="L95" s="7" t="s">
        <v>5989</v>
      </c>
      <c r="M95" s="7" t="s">
        <v>1769</v>
      </c>
      <c r="N95" s="7" t="s">
        <v>3519</v>
      </c>
      <c r="O95" s="7" t="s">
        <v>5000</v>
      </c>
      <c r="P95" s="7" t="s">
        <v>6094</v>
      </c>
      <c r="Q95" s="7" t="s">
        <v>3255</v>
      </c>
      <c r="R95" s="7" t="s">
        <v>1980</v>
      </c>
      <c r="S95" s="7" t="s">
        <v>4736</v>
      </c>
      <c r="T95" s="7" t="s">
        <v>5687</v>
      </c>
      <c r="U95" s="7" t="s">
        <v>1476</v>
      </c>
      <c r="V95" s="7" t="s">
        <v>6883</v>
      </c>
      <c r="W95" s="7" t="s">
        <v>6978</v>
      </c>
      <c r="X95" s="7" t="s">
        <v>7077</v>
      </c>
      <c r="Y95" s="7" t="s">
        <v>7171</v>
      </c>
      <c r="Z95" s="7" t="s">
        <v>7268</v>
      </c>
      <c r="AA95" s="7" t="s">
        <v>7367</v>
      </c>
      <c r="AB95" s="7" t="s">
        <v>7460</v>
      </c>
      <c r="AC95" s="7" t="s">
        <v>7555</v>
      </c>
      <c r="AD95" s="7" t="s">
        <v>7654</v>
      </c>
      <c r="AE95" s="7" t="s">
        <v>7747</v>
      </c>
      <c r="AF95" s="7" t="s">
        <v>7845</v>
      </c>
      <c r="AG95" s="7" t="s">
        <v>2912</v>
      </c>
      <c r="AH95" s="7" t="s">
        <v>2169</v>
      </c>
      <c r="AI95" s="7" t="s">
        <v>4367</v>
      </c>
      <c r="AJ95" s="7" t="s">
        <v>5469</v>
      </c>
      <c r="AK95" s="7" t="s">
        <v>1463</v>
      </c>
      <c r="AM95" s="7" t="s">
        <v>4320</v>
      </c>
      <c r="AN95" s="7" t="s">
        <v>7912</v>
      </c>
      <c r="AP95" s="29" t="s">
        <v>7116</v>
      </c>
    </row>
    <row r="96" customFormat="false" ht="15" hidden="false" customHeight="true" outlineLevel="0" collapsed="false">
      <c r="A96" s="7" t="s">
        <v>6553</v>
      </c>
      <c r="B96" s="7" t="s">
        <v>181</v>
      </c>
      <c r="C96" s="7" t="s">
        <v>251</v>
      </c>
      <c r="D96" s="7" t="s">
        <v>2264</v>
      </c>
      <c r="E96" s="7" t="s">
        <v>3751</v>
      </c>
      <c r="F96" s="7" t="s">
        <v>5051</v>
      </c>
      <c r="G96" s="7" t="s">
        <v>6090</v>
      </c>
      <c r="H96" s="7" t="s">
        <v>1810</v>
      </c>
      <c r="I96" s="7" t="s">
        <v>3447</v>
      </c>
      <c r="J96" s="7" t="s">
        <v>3820</v>
      </c>
      <c r="K96" s="7" t="s">
        <v>5934</v>
      </c>
      <c r="L96" s="7" t="s">
        <v>6001</v>
      </c>
      <c r="M96" s="7" t="s">
        <v>1447</v>
      </c>
      <c r="N96" s="7" t="s">
        <v>3529</v>
      </c>
      <c r="O96" s="7" t="s">
        <v>5915</v>
      </c>
      <c r="P96" s="7" t="s">
        <v>6105</v>
      </c>
      <c r="Q96" s="7" t="s">
        <v>3264</v>
      </c>
      <c r="R96" s="7" t="s">
        <v>1987</v>
      </c>
      <c r="S96" s="7" t="s">
        <v>4810</v>
      </c>
      <c r="T96" s="7" t="s">
        <v>5700</v>
      </c>
      <c r="U96" s="7" t="s">
        <v>1605</v>
      </c>
      <c r="V96" s="7" t="s">
        <v>6884</v>
      </c>
      <c r="W96" s="7" t="s">
        <v>6979</v>
      </c>
      <c r="X96" s="7" t="s">
        <v>7078</v>
      </c>
      <c r="Y96" s="7" t="s">
        <v>917</v>
      </c>
      <c r="Z96" s="7" t="s">
        <v>7269</v>
      </c>
      <c r="AA96" s="7" t="s">
        <v>7368</v>
      </c>
      <c r="AB96" s="7" t="s">
        <v>7461</v>
      </c>
      <c r="AC96" s="7" t="s">
        <v>7556</v>
      </c>
      <c r="AD96" s="7" t="s">
        <v>7655</v>
      </c>
      <c r="AE96" s="7" t="s">
        <v>7748</v>
      </c>
      <c r="AF96" s="7" t="s">
        <v>7846</v>
      </c>
      <c r="AG96" s="7" t="s">
        <v>3010</v>
      </c>
      <c r="AH96" s="7" t="s">
        <v>2116</v>
      </c>
      <c r="AI96" s="7" t="s">
        <v>4376</v>
      </c>
      <c r="AJ96" s="7" t="s">
        <v>5481</v>
      </c>
      <c r="AK96" s="7" t="s">
        <v>1567</v>
      </c>
      <c r="AM96" s="7" t="s">
        <v>5146</v>
      </c>
      <c r="AN96" s="7" t="s">
        <v>7913</v>
      </c>
      <c r="AP96" s="29" t="s">
        <v>7113</v>
      </c>
    </row>
    <row r="97" customFormat="false" ht="15" hidden="false" customHeight="true" outlineLevel="0" collapsed="false">
      <c r="A97" s="7" t="s">
        <v>267</v>
      </c>
      <c r="B97" s="7" t="s">
        <v>2249</v>
      </c>
      <c r="C97" s="7" t="s">
        <v>2397</v>
      </c>
      <c r="D97" s="7" t="s">
        <v>1898</v>
      </c>
      <c r="E97" s="7" t="s">
        <v>3762</v>
      </c>
      <c r="F97" s="7" t="s">
        <v>5031</v>
      </c>
      <c r="G97" s="7" t="s">
        <v>6101</v>
      </c>
      <c r="H97" s="7" t="s">
        <v>1720</v>
      </c>
      <c r="I97" s="7" t="s">
        <v>3437</v>
      </c>
      <c r="J97" s="7" t="s">
        <v>3831</v>
      </c>
      <c r="K97" s="7" t="s">
        <v>5912</v>
      </c>
      <c r="L97" s="7" t="s">
        <v>6012</v>
      </c>
      <c r="M97" s="7" t="s">
        <v>1377</v>
      </c>
      <c r="N97" s="7" t="s">
        <v>3567</v>
      </c>
      <c r="O97" s="7" t="s">
        <v>5894</v>
      </c>
      <c r="P97" s="7" t="s">
        <v>6115</v>
      </c>
      <c r="Q97" s="7" t="s">
        <v>3215</v>
      </c>
      <c r="R97" s="7" t="s">
        <v>3496</v>
      </c>
      <c r="S97" s="7" t="s">
        <v>4756</v>
      </c>
      <c r="T97" s="7" t="s">
        <v>5712</v>
      </c>
      <c r="U97" s="7" t="s">
        <v>1482</v>
      </c>
      <c r="V97" s="7" t="s">
        <v>6885</v>
      </c>
      <c r="W97" s="7" t="s">
        <v>6980</v>
      </c>
      <c r="X97" s="7" t="s">
        <v>7079</v>
      </c>
      <c r="Y97" s="7" t="s">
        <v>7172</v>
      </c>
      <c r="Z97" s="7" t="s">
        <v>7270</v>
      </c>
      <c r="AA97" s="7" t="s">
        <v>4029</v>
      </c>
      <c r="AB97" s="7" t="s">
        <v>7462</v>
      </c>
      <c r="AC97" s="7" t="s">
        <v>7557</v>
      </c>
      <c r="AD97" s="7" t="s">
        <v>7656</v>
      </c>
      <c r="AE97" s="7" t="s">
        <v>7749</v>
      </c>
      <c r="AF97" s="7" t="s">
        <v>7847</v>
      </c>
      <c r="AG97" s="7" t="s">
        <v>3021</v>
      </c>
      <c r="AH97" s="7" t="s">
        <v>2182</v>
      </c>
      <c r="AI97" s="7" t="s">
        <v>4387</v>
      </c>
      <c r="AJ97" s="7" t="s">
        <v>5515</v>
      </c>
      <c r="AK97" s="7" t="s">
        <v>1572</v>
      </c>
      <c r="AM97" s="7" t="s">
        <v>5143</v>
      </c>
      <c r="AN97" s="7" t="s">
        <v>7914</v>
      </c>
      <c r="AP97" s="29" t="s">
        <v>7322</v>
      </c>
    </row>
    <row r="98" customFormat="false" ht="15" hidden="false" customHeight="true" outlineLevel="0" collapsed="false">
      <c r="A98" s="7" t="s">
        <v>6555</v>
      </c>
      <c r="B98" s="7" t="s">
        <v>6680</v>
      </c>
      <c r="C98" s="7" t="s">
        <v>2409</v>
      </c>
      <c r="D98" s="7" t="s">
        <v>2106</v>
      </c>
      <c r="E98" s="7" t="s">
        <v>3773</v>
      </c>
      <c r="F98" s="7" t="s">
        <v>5086</v>
      </c>
      <c r="G98" s="7" t="s">
        <v>6111</v>
      </c>
      <c r="H98" s="7" t="s">
        <v>1756</v>
      </c>
      <c r="I98" s="7" t="s">
        <v>3460</v>
      </c>
      <c r="J98" s="7" t="s">
        <v>3682</v>
      </c>
      <c r="K98" s="7" t="s">
        <v>5891</v>
      </c>
      <c r="L98" s="7" t="s">
        <v>6023</v>
      </c>
      <c r="M98" s="7" t="s">
        <v>1703</v>
      </c>
      <c r="N98" s="7" t="s">
        <v>3626</v>
      </c>
      <c r="O98" s="7" t="s">
        <v>5904</v>
      </c>
      <c r="P98" s="7" t="s">
        <v>6130</v>
      </c>
      <c r="Q98" s="7" t="s">
        <v>3225</v>
      </c>
      <c r="R98" s="7" t="s">
        <v>3483</v>
      </c>
      <c r="S98" s="7" t="s">
        <v>4768</v>
      </c>
      <c r="T98" s="7" t="s">
        <v>5723</v>
      </c>
      <c r="U98" s="7" t="s">
        <v>1836</v>
      </c>
      <c r="V98" s="7" t="s">
        <v>6886</v>
      </c>
      <c r="W98" s="7" t="s">
        <v>6981</v>
      </c>
      <c r="X98" s="7" t="s">
        <v>7080</v>
      </c>
      <c r="Y98" s="7" t="s">
        <v>7173</v>
      </c>
      <c r="Z98" s="7" t="s">
        <v>7271</v>
      </c>
      <c r="AA98" s="7" t="s">
        <v>4018</v>
      </c>
      <c r="AB98" s="7" t="s">
        <v>7463</v>
      </c>
      <c r="AC98" s="7" t="s">
        <v>7558</v>
      </c>
      <c r="AD98" s="7" t="s">
        <v>7657</v>
      </c>
      <c r="AE98" s="7" t="s">
        <v>7750</v>
      </c>
      <c r="AF98" s="7" t="s">
        <v>7848</v>
      </c>
      <c r="AG98" s="7" t="s">
        <v>2992</v>
      </c>
      <c r="AH98" s="7" t="s">
        <v>1954</v>
      </c>
      <c r="AI98" s="7" t="s">
        <v>4398</v>
      </c>
      <c r="AJ98" s="7" t="s">
        <v>5494</v>
      </c>
      <c r="AK98" s="7" t="s">
        <v>1578</v>
      </c>
      <c r="AM98" s="7" t="s">
        <v>2993</v>
      </c>
      <c r="AN98" s="7" t="s">
        <v>7915</v>
      </c>
      <c r="AP98" s="29" t="s">
        <v>7320</v>
      </c>
    </row>
    <row r="99" customFormat="false" ht="15" hidden="false" customHeight="true" outlineLevel="0" collapsed="false">
      <c r="A99" s="7" t="s">
        <v>6556</v>
      </c>
      <c r="B99" s="7" t="s">
        <v>170</v>
      </c>
      <c r="C99" s="7" t="s">
        <v>2494</v>
      </c>
      <c r="D99" s="7" t="s">
        <v>2206</v>
      </c>
      <c r="E99" s="7" t="s">
        <v>3784</v>
      </c>
      <c r="F99" s="7" t="s">
        <v>5073</v>
      </c>
      <c r="G99" s="7" t="s">
        <v>6126</v>
      </c>
      <c r="H99" s="7" t="s">
        <v>1804</v>
      </c>
      <c r="I99" s="7" t="s">
        <v>3470</v>
      </c>
      <c r="J99" s="7" t="s">
        <v>3695</v>
      </c>
      <c r="K99" s="7" t="s">
        <v>5901</v>
      </c>
      <c r="L99" s="7" t="s">
        <v>6034</v>
      </c>
      <c r="M99" s="7" t="s">
        <v>1823</v>
      </c>
      <c r="N99" s="7" t="s">
        <v>3579</v>
      </c>
      <c r="O99" s="7" t="s">
        <v>5012</v>
      </c>
      <c r="P99" s="7" t="s">
        <v>6140</v>
      </c>
      <c r="Q99" s="7" t="s">
        <v>3238</v>
      </c>
      <c r="R99" s="7" t="s">
        <v>3504</v>
      </c>
      <c r="S99" s="7" t="s">
        <v>4821</v>
      </c>
      <c r="T99" s="7" t="s">
        <v>5847</v>
      </c>
      <c r="U99" s="7" t="s">
        <v>1878</v>
      </c>
      <c r="V99" s="7" t="s">
        <v>6887</v>
      </c>
      <c r="W99" s="7" t="s">
        <v>6982</v>
      </c>
      <c r="X99" s="7" t="s">
        <v>7081</v>
      </c>
      <c r="Y99" s="7" t="s">
        <v>7174</v>
      </c>
      <c r="Z99" s="7" t="s">
        <v>7272</v>
      </c>
      <c r="AA99" s="7" t="s">
        <v>4042</v>
      </c>
      <c r="AB99" s="7" t="s">
        <v>7464</v>
      </c>
      <c r="AC99" s="7" t="s">
        <v>7559</v>
      </c>
      <c r="AD99" s="7" t="s">
        <v>7658</v>
      </c>
      <c r="AE99" s="7" t="s">
        <v>7751</v>
      </c>
      <c r="AF99" s="7" t="s">
        <v>7849</v>
      </c>
      <c r="AG99" s="7" t="s">
        <v>3068</v>
      </c>
      <c r="AH99" s="7" t="s">
        <v>2123</v>
      </c>
      <c r="AI99" s="7" t="s">
        <v>4574</v>
      </c>
      <c r="AJ99" s="7" t="s">
        <v>5506</v>
      </c>
      <c r="AK99" s="7" t="s">
        <v>1405</v>
      </c>
      <c r="AM99" s="7" t="s">
        <v>3626</v>
      </c>
      <c r="AN99" s="7" t="s">
        <v>7916</v>
      </c>
      <c r="AP99" s="29" t="s">
        <v>7514</v>
      </c>
    </row>
    <row r="100" customFormat="false" ht="15" hidden="false" customHeight="true" outlineLevel="0" collapsed="false">
      <c r="A100" s="7" t="s">
        <v>6557</v>
      </c>
      <c r="B100" s="7" t="s">
        <v>6683</v>
      </c>
      <c r="C100" s="7" t="s">
        <v>2436</v>
      </c>
      <c r="D100" s="7" t="s">
        <v>1943</v>
      </c>
      <c r="E100" s="7" t="s">
        <v>3840</v>
      </c>
      <c r="F100" s="7" t="s">
        <v>5099</v>
      </c>
      <c r="G100" s="7" t="s">
        <v>6136</v>
      </c>
      <c r="H100" s="7" t="s">
        <v>1425</v>
      </c>
      <c r="I100" s="7" t="s">
        <v>2233</v>
      </c>
      <c r="J100" s="7" t="s">
        <v>3707</v>
      </c>
      <c r="K100" s="7" t="s">
        <v>5009</v>
      </c>
      <c r="L100" s="7" t="s">
        <v>6045</v>
      </c>
      <c r="M100" s="7" t="s">
        <v>1727</v>
      </c>
      <c r="N100" s="7" t="s">
        <v>3589</v>
      </c>
      <c r="O100" s="7" t="s">
        <v>5064</v>
      </c>
      <c r="P100" s="7" t="s">
        <v>6151</v>
      </c>
      <c r="Q100" s="7" t="s">
        <v>3273</v>
      </c>
      <c r="R100" s="7" t="s">
        <v>3540</v>
      </c>
      <c r="S100" s="7" t="s">
        <v>4832</v>
      </c>
      <c r="T100" s="7" t="s">
        <v>5735</v>
      </c>
      <c r="U100" s="7" t="s">
        <v>1611</v>
      </c>
      <c r="V100" s="7" t="s">
        <v>6888</v>
      </c>
      <c r="W100" s="7" t="s">
        <v>6983</v>
      </c>
      <c r="X100" s="7" t="s">
        <v>7082</v>
      </c>
      <c r="Y100" s="7" t="s">
        <v>7175</v>
      </c>
      <c r="Z100" s="7" t="s">
        <v>7273</v>
      </c>
      <c r="AA100" s="7" t="s">
        <v>4053</v>
      </c>
      <c r="AB100" s="7" t="s">
        <v>7465</v>
      </c>
      <c r="AC100" s="7" t="s">
        <v>5151</v>
      </c>
      <c r="AD100" s="7" t="s">
        <v>7659</v>
      </c>
      <c r="AE100" s="7" t="s">
        <v>7752</v>
      </c>
      <c r="AF100" s="7" t="s">
        <v>7850</v>
      </c>
      <c r="AG100" s="7" t="s">
        <v>3034</v>
      </c>
      <c r="AH100" s="7" t="s">
        <v>1961</v>
      </c>
      <c r="AI100" s="7" t="s">
        <v>4586</v>
      </c>
      <c r="AJ100" s="7" t="s">
        <v>5526</v>
      </c>
      <c r="AK100" s="7" t="s">
        <v>1873</v>
      </c>
      <c r="AM100" s="7" t="s">
        <v>3623</v>
      </c>
      <c r="AN100" s="7" t="s">
        <v>216</v>
      </c>
      <c r="AP100" s="29" t="s">
        <v>7512</v>
      </c>
    </row>
    <row r="101" customFormat="false" ht="15" hidden="false" customHeight="true" outlineLevel="0" collapsed="false">
      <c r="A101" s="7" t="s">
        <v>6558</v>
      </c>
      <c r="B101" s="7" t="s">
        <v>6685</v>
      </c>
      <c r="C101" s="7" t="s">
        <v>2423</v>
      </c>
      <c r="D101" s="7" t="s">
        <v>2200</v>
      </c>
      <c r="E101" s="7" t="s">
        <v>3919</v>
      </c>
      <c r="F101" s="7" t="s">
        <v>5110</v>
      </c>
      <c r="G101" s="7" t="s">
        <v>6147</v>
      </c>
      <c r="H101" s="7" t="s">
        <v>1651</v>
      </c>
      <c r="I101" s="7" t="s">
        <v>1922</v>
      </c>
      <c r="J101" s="7" t="s">
        <v>3718</v>
      </c>
      <c r="K101" s="7" t="s">
        <v>5061</v>
      </c>
      <c r="L101" s="7" t="s">
        <v>6056</v>
      </c>
      <c r="M101" s="7" t="s">
        <v>1411</v>
      </c>
      <c r="N101" s="7" t="s">
        <v>3615</v>
      </c>
      <c r="O101" s="7" t="s">
        <v>5046</v>
      </c>
      <c r="P101" s="7" t="s">
        <v>6161</v>
      </c>
      <c r="Q101" s="7" t="s">
        <v>5944</v>
      </c>
      <c r="R101" s="7" t="s">
        <v>3517</v>
      </c>
      <c r="S101" s="7" t="s">
        <v>4780</v>
      </c>
      <c r="T101" s="7" t="s">
        <v>5825</v>
      </c>
      <c r="U101" s="7" t="s">
        <v>1666</v>
      </c>
      <c r="V101" s="7" t="s">
        <v>6889</v>
      </c>
      <c r="W101" s="7" t="s">
        <v>6984</v>
      </c>
      <c r="X101" s="7" t="s">
        <v>7083</v>
      </c>
      <c r="Y101" s="7" t="s">
        <v>7176</v>
      </c>
      <c r="Z101" s="7" t="s">
        <v>7274</v>
      </c>
      <c r="AA101" s="7" t="s">
        <v>7369</v>
      </c>
      <c r="AB101" s="7" t="s">
        <v>7466</v>
      </c>
      <c r="AC101" s="7" t="s">
        <v>7560</v>
      </c>
      <c r="AD101" s="7" t="s">
        <v>7660</v>
      </c>
      <c r="AE101" s="7" t="s">
        <v>7753</v>
      </c>
      <c r="AF101" s="7" t="s">
        <v>7851</v>
      </c>
      <c r="AG101" s="7" t="s">
        <v>3078</v>
      </c>
      <c r="AH101" s="7" t="s">
        <v>2075</v>
      </c>
      <c r="AI101" s="7" t="s">
        <v>4597</v>
      </c>
      <c r="AJ101" s="7" t="s">
        <v>5562</v>
      </c>
      <c r="AK101" s="7" t="s">
        <v>1777</v>
      </c>
      <c r="AM101" s="7" t="s">
        <v>3955</v>
      </c>
      <c r="AN101" s="7" t="s">
        <v>7917</v>
      </c>
      <c r="AP101" s="29" t="s">
        <v>7533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26" t="s">
        <v>148</v>
      </c>
      <c r="B1" s="26" t="s">
        <v>6441</v>
      </c>
      <c r="C1" s="26" t="s">
        <v>40</v>
      </c>
      <c r="D1" s="26" t="s">
        <v>6440</v>
      </c>
      <c r="E1" s="26" t="s">
        <v>7985</v>
      </c>
      <c r="F1" s="26" t="s">
        <v>7986</v>
      </c>
      <c r="G1" s="26" t="s">
        <v>7987</v>
      </c>
      <c r="H1" s="26" t="s">
        <v>7988</v>
      </c>
    </row>
    <row r="2" customFormat="false" ht="15" hidden="false" customHeight="true" outlineLevel="0" collapsed="false">
      <c r="A2" s="7" t="s">
        <v>3502</v>
      </c>
      <c r="B2" s="7" t="s">
        <v>7989</v>
      </c>
      <c r="C2" s="12" t="n">
        <v>60500</v>
      </c>
      <c r="D2" s="7" t="n">
        <v>38</v>
      </c>
      <c r="E2" s="13" t="n">
        <v>0.57</v>
      </c>
      <c r="F2" s="7" t="n">
        <v>1</v>
      </c>
      <c r="G2" s="7" t="n">
        <v>5</v>
      </c>
      <c r="H2" s="7"/>
    </row>
    <row r="3" customFormat="false" ht="15" hidden="false" customHeight="true" outlineLevel="0" collapsed="false">
      <c r="A3" s="7" t="s">
        <v>255</v>
      </c>
      <c r="B3" s="7" t="s">
        <v>7989</v>
      </c>
      <c r="C3" s="12" t="n">
        <v>40500</v>
      </c>
      <c r="D3" s="7" t="n">
        <v>17</v>
      </c>
      <c r="E3" s="13" t="n">
        <v>0.34</v>
      </c>
      <c r="F3" s="7" t="n">
        <v>1</v>
      </c>
      <c r="G3" s="7" t="n">
        <v>1</v>
      </c>
      <c r="H3" s="7"/>
    </row>
    <row r="4" customFormat="false" ht="15" hidden="false" customHeight="true" outlineLevel="0" collapsed="false">
      <c r="A4" s="7" t="s">
        <v>257</v>
      </c>
      <c r="B4" s="7" t="s">
        <v>7990</v>
      </c>
      <c r="C4" s="12" t="n">
        <v>40500</v>
      </c>
      <c r="D4" s="7" t="n">
        <v>32</v>
      </c>
      <c r="E4" s="13" t="n">
        <v>0.33</v>
      </c>
      <c r="F4" s="7" t="n">
        <v>1</v>
      </c>
      <c r="G4" s="7" t="n">
        <v>2</v>
      </c>
      <c r="H4" s="7"/>
    </row>
    <row r="5" customFormat="false" ht="15" hidden="false" customHeight="true" outlineLevel="0" collapsed="false">
      <c r="A5" s="7" t="s">
        <v>258</v>
      </c>
      <c r="B5" s="7" t="s">
        <v>7990</v>
      </c>
      <c r="C5" s="12" t="n">
        <v>40500</v>
      </c>
      <c r="D5" s="7" t="n">
        <v>33</v>
      </c>
      <c r="E5" s="13" t="n">
        <v>0.36</v>
      </c>
      <c r="F5" s="7" t="n">
        <v>1</v>
      </c>
      <c r="G5" s="7" t="n">
        <v>2</v>
      </c>
      <c r="H5" s="7"/>
    </row>
    <row r="6" customFormat="false" ht="15" hidden="false" customHeight="true" outlineLevel="0" collapsed="false">
      <c r="A6" s="7" t="s">
        <v>259</v>
      </c>
      <c r="B6" s="7" t="s">
        <v>7989</v>
      </c>
      <c r="C6" s="12" t="n">
        <v>33100</v>
      </c>
      <c r="D6" s="7" t="n">
        <v>55</v>
      </c>
      <c r="E6" s="13" t="n">
        <v>0.38</v>
      </c>
      <c r="F6" s="7" t="n">
        <v>1</v>
      </c>
      <c r="G6" s="7" t="n">
        <v>2</v>
      </c>
      <c r="H6" s="7"/>
    </row>
    <row r="7" customFormat="false" ht="15" hidden="false" customHeight="true" outlineLevel="0" collapsed="false">
      <c r="A7" s="7" t="s">
        <v>185</v>
      </c>
      <c r="B7" s="7" t="s">
        <v>7989</v>
      </c>
      <c r="C7" s="12" t="n">
        <v>33100</v>
      </c>
      <c r="D7" s="7" t="n">
        <v>44</v>
      </c>
      <c r="E7" s="13" t="n">
        <v>1.23</v>
      </c>
      <c r="F7" s="7" t="n">
        <v>1</v>
      </c>
      <c r="G7" s="7" t="s">
        <v>6816</v>
      </c>
      <c r="H7" s="7"/>
    </row>
    <row r="8" customFormat="false" ht="15" hidden="false" customHeight="true" outlineLevel="0" collapsed="false">
      <c r="A8" s="7" t="s">
        <v>260</v>
      </c>
      <c r="B8" s="7" t="s">
        <v>7989</v>
      </c>
      <c r="C8" s="12" t="n">
        <v>27100</v>
      </c>
      <c r="D8" s="7" t="n">
        <v>42</v>
      </c>
      <c r="E8" s="13" t="n">
        <v>0.56</v>
      </c>
      <c r="F8" s="7" t="n">
        <v>1</v>
      </c>
      <c r="G8" s="7" t="n">
        <v>1</v>
      </c>
      <c r="H8" s="7"/>
    </row>
    <row r="9" customFormat="false" ht="15" hidden="false" customHeight="true" outlineLevel="0" collapsed="false">
      <c r="A9" s="7" t="s">
        <v>261</v>
      </c>
      <c r="B9" s="7" t="s">
        <v>7990</v>
      </c>
      <c r="C9" s="12" t="n">
        <v>27100</v>
      </c>
      <c r="D9" s="7" t="n">
        <v>22</v>
      </c>
      <c r="E9" s="13" t="n">
        <v>0.32</v>
      </c>
      <c r="F9" s="7" t="n">
        <v>1</v>
      </c>
      <c r="G9" s="7" t="n">
        <v>2</v>
      </c>
      <c r="H9" s="7"/>
    </row>
    <row r="10" customFormat="false" ht="15" hidden="false" customHeight="true" outlineLevel="0" collapsed="false">
      <c r="A10" s="7" t="s">
        <v>262</v>
      </c>
      <c r="B10" s="7" t="s">
        <v>7989</v>
      </c>
      <c r="C10" s="12" t="n">
        <v>22200</v>
      </c>
      <c r="D10" s="7" t="n">
        <v>16</v>
      </c>
      <c r="E10" s="13" t="n">
        <v>0.29</v>
      </c>
      <c r="F10" s="7" t="n">
        <v>1</v>
      </c>
      <c r="G10" s="7" t="n">
        <v>1</v>
      </c>
      <c r="H10" s="7"/>
    </row>
    <row r="11" customFormat="false" ht="15" hidden="false" customHeight="true" outlineLevel="0" collapsed="false">
      <c r="A11" s="7" t="s">
        <v>188</v>
      </c>
      <c r="B11" s="7" t="s">
        <v>7989</v>
      </c>
      <c r="C11" s="12" t="n">
        <v>22200</v>
      </c>
      <c r="D11" s="7" t="n">
        <v>30</v>
      </c>
      <c r="E11" s="13" t="n">
        <v>0.87</v>
      </c>
      <c r="F11" s="7" t="n">
        <v>1</v>
      </c>
      <c r="G11" s="7" t="s">
        <v>6816</v>
      </c>
      <c r="H11" s="7"/>
    </row>
    <row r="12" customFormat="false" ht="15" hidden="false" customHeight="true" outlineLevel="0" collapsed="false">
      <c r="A12" s="7" t="s">
        <v>263</v>
      </c>
      <c r="B12" s="7" t="s">
        <v>7990</v>
      </c>
      <c r="C12" s="12" t="n">
        <v>22200</v>
      </c>
      <c r="D12" s="7" t="n">
        <v>36</v>
      </c>
      <c r="E12" s="13" t="n">
        <v>0.44</v>
      </c>
      <c r="F12" s="7" t="n">
        <v>1</v>
      </c>
      <c r="G12" s="7" t="n">
        <v>2</v>
      </c>
      <c r="H12" s="7"/>
    </row>
    <row r="13" customFormat="false" ht="15" hidden="false" customHeight="true" outlineLevel="0" collapsed="false">
      <c r="A13" s="7" t="s">
        <v>6328</v>
      </c>
      <c r="B13" s="7" t="s">
        <v>7990</v>
      </c>
      <c r="C13" s="12" t="n">
        <v>22200</v>
      </c>
      <c r="D13" s="7" t="n">
        <v>22</v>
      </c>
      <c r="E13" s="13" t="n">
        <v>0.49</v>
      </c>
      <c r="F13" s="7" t="n">
        <v>1</v>
      </c>
      <c r="G13" s="7" t="n">
        <v>8</v>
      </c>
      <c r="H13" s="7"/>
    </row>
    <row r="14" customFormat="false" ht="15" hidden="false" customHeight="true" outlineLevel="0" collapsed="false">
      <c r="A14" s="7" t="s">
        <v>190</v>
      </c>
      <c r="B14" s="7" t="s">
        <v>7990</v>
      </c>
      <c r="C14" s="12" t="n">
        <v>18100</v>
      </c>
      <c r="D14" s="7" t="n">
        <v>16</v>
      </c>
      <c r="E14" s="13" t="n">
        <v>0.31</v>
      </c>
      <c r="F14" s="7" t="n">
        <v>1</v>
      </c>
      <c r="G14" s="7" t="s">
        <v>6816</v>
      </c>
      <c r="H14" s="7"/>
    </row>
    <row r="15" customFormat="false" ht="15" hidden="false" customHeight="true" outlineLevel="0" collapsed="false">
      <c r="A15" s="7" t="s">
        <v>264</v>
      </c>
      <c r="B15" s="7" t="s">
        <v>7989</v>
      </c>
      <c r="C15" s="12" t="n">
        <v>18100</v>
      </c>
      <c r="D15" s="7" t="n">
        <v>41</v>
      </c>
      <c r="E15" s="13" t="n">
        <v>0.32</v>
      </c>
      <c r="F15" s="7" t="n">
        <v>1</v>
      </c>
      <c r="G15" s="7" t="n">
        <v>2</v>
      </c>
      <c r="H15" s="7"/>
    </row>
    <row r="16" customFormat="false" ht="15" hidden="false" customHeight="true" outlineLevel="0" collapsed="false">
      <c r="A16" s="7" t="s">
        <v>6308</v>
      </c>
      <c r="B16" s="7" t="s">
        <v>7990</v>
      </c>
      <c r="C16" s="12" t="n">
        <v>18100</v>
      </c>
      <c r="D16" s="7" t="n">
        <v>16</v>
      </c>
      <c r="E16" s="13" t="n">
        <v>0.54</v>
      </c>
      <c r="F16" s="7" t="n">
        <v>1</v>
      </c>
      <c r="G16" s="7" t="n">
        <v>8</v>
      </c>
      <c r="H16" s="7"/>
    </row>
    <row r="17" customFormat="false" ht="15" hidden="false" customHeight="true" outlineLevel="0" collapsed="false">
      <c r="A17" s="7" t="s">
        <v>265</v>
      </c>
      <c r="B17" s="7" t="s">
        <v>7989</v>
      </c>
      <c r="C17" s="12" t="n">
        <v>14800</v>
      </c>
      <c r="D17" s="7" t="n">
        <v>50</v>
      </c>
      <c r="E17" s="13" t="n">
        <v>0.32</v>
      </c>
      <c r="F17" s="7" t="n">
        <v>1</v>
      </c>
      <c r="G17" s="7" t="n">
        <v>1</v>
      </c>
      <c r="H17" s="7"/>
    </row>
    <row r="18" customFormat="false" ht="15" hidden="false" customHeight="true" outlineLevel="0" collapsed="false">
      <c r="A18" s="7" t="s">
        <v>266</v>
      </c>
      <c r="B18" s="7" t="s">
        <v>7990</v>
      </c>
      <c r="C18" s="12" t="n">
        <v>14800</v>
      </c>
      <c r="D18" s="7" t="n">
        <v>41</v>
      </c>
      <c r="E18" s="13" t="n">
        <v>0.32</v>
      </c>
      <c r="F18" s="7" t="n">
        <v>1</v>
      </c>
      <c r="G18" s="7" t="n">
        <v>2</v>
      </c>
      <c r="H18" s="7"/>
    </row>
    <row r="19" customFormat="false" ht="15" hidden="false" customHeight="true" outlineLevel="0" collapsed="false">
      <c r="A19" s="7" t="s">
        <v>191</v>
      </c>
      <c r="B19" s="7" t="s">
        <v>7990</v>
      </c>
      <c r="C19" s="12" t="n">
        <v>14800</v>
      </c>
      <c r="D19" s="7" t="n">
        <v>38</v>
      </c>
      <c r="E19" s="13" t="n">
        <v>0.77</v>
      </c>
      <c r="F19" s="7" t="n">
        <v>1</v>
      </c>
      <c r="G19" s="7" t="s">
        <v>6816</v>
      </c>
      <c r="H19" s="7"/>
    </row>
    <row r="20" customFormat="false" ht="15" hidden="false" customHeight="true" outlineLevel="0" collapsed="false">
      <c r="A20" s="7" t="s">
        <v>192</v>
      </c>
      <c r="B20" s="7" t="s">
        <v>7990</v>
      </c>
      <c r="C20" s="12" t="n">
        <v>12100</v>
      </c>
      <c r="D20" s="7" t="n">
        <v>18</v>
      </c>
      <c r="E20" s="13" t="n">
        <v>0.44</v>
      </c>
      <c r="F20" s="7" t="n">
        <v>1</v>
      </c>
      <c r="G20" s="7" t="s">
        <v>6816</v>
      </c>
      <c r="H20" s="7"/>
    </row>
    <row r="21" customFormat="false" ht="15" hidden="false" customHeight="true" outlineLevel="0" collapsed="false">
      <c r="A21" s="7" t="s">
        <v>267</v>
      </c>
      <c r="B21" s="7" t="s">
        <v>7990</v>
      </c>
      <c r="C21" s="12" t="n">
        <v>12100</v>
      </c>
      <c r="D21" s="7" t="n">
        <v>34</v>
      </c>
      <c r="E21" s="13" t="n">
        <v>0.45</v>
      </c>
      <c r="F21" s="7" t="n">
        <v>1</v>
      </c>
      <c r="G21" s="7" t="n">
        <v>1</v>
      </c>
      <c r="H21" s="7"/>
    </row>
    <row r="22" customFormat="false" ht="15" hidden="false" customHeight="true" outlineLevel="0" collapsed="false">
      <c r="A22" s="7" t="s">
        <v>268</v>
      </c>
      <c r="B22" s="7" t="s">
        <v>7989</v>
      </c>
      <c r="C22" s="12" t="n">
        <v>12100</v>
      </c>
      <c r="D22" s="7" t="n">
        <v>28</v>
      </c>
      <c r="E22" s="13" t="n">
        <v>0.55</v>
      </c>
      <c r="F22" s="7" t="n">
        <v>1</v>
      </c>
      <c r="G22" s="7" t="n">
        <v>2</v>
      </c>
      <c r="H22" s="7"/>
    </row>
    <row r="23" customFormat="false" ht="15" hidden="false" customHeight="true" outlineLevel="0" collapsed="false">
      <c r="A23" s="7" t="s">
        <v>269</v>
      </c>
      <c r="B23" s="7" t="s">
        <v>7989</v>
      </c>
      <c r="C23" s="12" t="n">
        <v>9900</v>
      </c>
      <c r="D23" s="7" t="n">
        <v>34</v>
      </c>
      <c r="E23" s="13" t="n">
        <v>0.27</v>
      </c>
      <c r="F23" s="7" t="n">
        <v>1</v>
      </c>
      <c r="G23" s="7" t="n">
        <v>1</v>
      </c>
      <c r="H23" s="7"/>
    </row>
    <row r="24" customFormat="false" ht="15" hidden="false" customHeight="true" outlineLevel="0" collapsed="false">
      <c r="A24" s="7" t="s">
        <v>270</v>
      </c>
      <c r="B24" s="7" t="s">
        <v>7990</v>
      </c>
      <c r="C24" s="12" t="n">
        <v>9900</v>
      </c>
      <c r="D24" s="7" t="n">
        <v>23</v>
      </c>
      <c r="E24" s="13" t="n">
        <v>0.39</v>
      </c>
      <c r="F24" s="7" t="n">
        <v>1</v>
      </c>
      <c r="G24" s="7" t="n">
        <v>1</v>
      </c>
      <c r="H24" s="7"/>
    </row>
    <row r="25" customFormat="false" ht="15" hidden="false" customHeight="true" outlineLevel="0" collapsed="false">
      <c r="A25" s="7" t="s">
        <v>193</v>
      </c>
      <c r="B25" s="7" t="s">
        <v>7990</v>
      </c>
      <c r="C25" s="12" t="n">
        <v>9900</v>
      </c>
      <c r="D25" s="7" t="n">
        <v>30</v>
      </c>
      <c r="E25" s="13" t="n">
        <v>1.02</v>
      </c>
      <c r="F25" s="7" t="n">
        <v>1</v>
      </c>
      <c r="G25" s="7" t="s">
        <v>6816</v>
      </c>
      <c r="H25" s="7"/>
    </row>
    <row r="26" customFormat="false" ht="15" hidden="false" customHeight="true" outlineLevel="0" collapsed="false">
      <c r="A26" s="7" t="s">
        <v>5152</v>
      </c>
      <c r="B26" s="7" t="s">
        <v>7989</v>
      </c>
      <c r="C26" s="12" t="n">
        <v>9900</v>
      </c>
      <c r="D26" s="7" t="n">
        <v>23</v>
      </c>
      <c r="E26" s="13" t="n">
        <v>0.36</v>
      </c>
      <c r="F26" s="7" t="n">
        <v>1</v>
      </c>
      <c r="G26" s="7" t="n">
        <v>7</v>
      </c>
      <c r="H26" s="7"/>
    </row>
    <row r="27" customFormat="false" ht="15" hidden="false" customHeight="true" outlineLevel="0" collapsed="false">
      <c r="A27" s="7" t="s">
        <v>194</v>
      </c>
      <c r="B27" s="7" t="s">
        <v>7990</v>
      </c>
      <c r="C27" s="12" t="n">
        <v>9900</v>
      </c>
      <c r="D27" s="7" t="n">
        <v>22</v>
      </c>
      <c r="E27" s="13" t="n">
        <v>0.78</v>
      </c>
      <c r="F27" s="7" t="n">
        <v>1</v>
      </c>
      <c r="G27" s="7" t="s">
        <v>7919</v>
      </c>
      <c r="H27" s="7"/>
    </row>
    <row r="28" customFormat="false" ht="15" hidden="false" customHeight="true" outlineLevel="0" collapsed="false">
      <c r="A28" s="7" t="s">
        <v>271</v>
      </c>
      <c r="B28" s="7" t="s">
        <v>7990</v>
      </c>
      <c r="C28" s="12" t="n">
        <v>8100</v>
      </c>
      <c r="D28" s="7" t="n">
        <v>34</v>
      </c>
      <c r="E28" s="13" t="n">
        <v>0.3</v>
      </c>
      <c r="F28" s="7" t="n">
        <v>1</v>
      </c>
      <c r="G28" s="7" t="n">
        <v>1</v>
      </c>
      <c r="H28" s="7"/>
    </row>
    <row r="29" customFormat="false" ht="15" hidden="false" customHeight="true" outlineLevel="0" collapsed="false">
      <c r="A29" s="7" t="s">
        <v>272</v>
      </c>
      <c r="B29" s="7" t="s">
        <v>7990</v>
      </c>
      <c r="C29" s="12" t="n">
        <v>8100</v>
      </c>
      <c r="D29" s="7" t="n">
        <v>23</v>
      </c>
      <c r="E29" s="13" t="n">
        <v>0.33</v>
      </c>
      <c r="F29" s="7" t="n">
        <v>1</v>
      </c>
      <c r="G29" s="7" t="n">
        <v>1</v>
      </c>
      <c r="H29" s="7"/>
    </row>
    <row r="30" customFormat="false" ht="15" hidden="false" customHeight="true" outlineLevel="0" collapsed="false">
      <c r="A30" s="7" t="s">
        <v>273</v>
      </c>
      <c r="B30" s="7" t="s">
        <v>7990</v>
      </c>
      <c r="C30" s="12" t="n">
        <v>8100</v>
      </c>
      <c r="D30" s="7" t="n">
        <v>32</v>
      </c>
      <c r="E30" s="13" t="n">
        <v>0.38</v>
      </c>
      <c r="F30" s="7" t="n">
        <v>1</v>
      </c>
      <c r="G30" s="7" t="n">
        <v>1</v>
      </c>
      <c r="H30" s="7"/>
    </row>
    <row r="31" customFormat="false" ht="15" hidden="false" customHeight="true" outlineLevel="0" collapsed="false">
      <c r="A31" s="7" t="s">
        <v>195</v>
      </c>
      <c r="B31" s="7" t="s">
        <v>7991</v>
      </c>
      <c r="C31" s="12" t="n">
        <v>8100</v>
      </c>
      <c r="D31" s="7" t="n">
        <v>31</v>
      </c>
      <c r="E31" s="13" t="n">
        <v>0.76</v>
      </c>
      <c r="F31" s="7" t="n">
        <v>1</v>
      </c>
      <c r="G31" s="7" t="s">
        <v>7919</v>
      </c>
      <c r="H31" s="7"/>
    </row>
    <row r="32" customFormat="false" ht="15" hidden="false" customHeight="true" outlineLevel="0" collapsed="false">
      <c r="A32" s="7" t="s">
        <v>6336</v>
      </c>
      <c r="B32" s="7" t="s">
        <v>7990</v>
      </c>
      <c r="C32" s="12" t="n">
        <v>8100</v>
      </c>
      <c r="D32" s="7" t="n">
        <v>15</v>
      </c>
      <c r="E32" s="13" t="n">
        <v>0.59</v>
      </c>
      <c r="F32" s="7" t="n">
        <v>1</v>
      </c>
      <c r="G32" s="7" t="n">
        <v>8</v>
      </c>
      <c r="H32" s="7"/>
    </row>
    <row r="33" customFormat="false" ht="15" hidden="false" customHeight="true" outlineLevel="0" collapsed="false">
      <c r="A33" s="7" t="s">
        <v>197</v>
      </c>
      <c r="B33" s="7" t="s">
        <v>7989</v>
      </c>
      <c r="C33" s="12" t="n">
        <v>6600</v>
      </c>
      <c r="D33" s="7" t="n">
        <v>12</v>
      </c>
      <c r="E33" s="13" t="n">
        <v>0.76</v>
      </c>
      <c r="F33" s="7" t="n">
        <v>1</v>
      </c>
      <c r="G33" s="7" t="s">
        <v>7919</v>
      </c>
      <c r="H33" s="7"/>
    </row>
    <row r="34" customFormat="false" ht="15" hidden="false" customHeight="true" outlineLevel="0" collapsed="false">
      <c r="A34" s="7" t="s">
        <v>274</v>
      </c>
      <c r="B34" s="7" t="s">
        <v>7989</v>
      </c>
      <c r="C34" s="12" t="n">
        <v>6600</v>
      </c>
      <c r="D34" s="7" t="n">
        <v>26</v>
      </c>
      <c r="E34" s="13" t="n">
        <v>0.37</v>
      </c>
      <c r="F34" s="7" t="n">
        <v>1</v>
      </c>
      <c r="G34" s="7" t="n">
        <v>1</v>
      </c>
      <c r="H34" s="7"/>
    </row>
    <row r="35" customFormat="false" ht="15" hidden="false" customHeight="true" outlineLevel="0" collapsed="false">
      <c r="A35" s="7" t="s">
        <v>4659</v>
      </c>
      <c r="B35" s="7" t="s">
        <v>7992</v>
      </c>
      <c r="C35" s="12" t="n">
        <v>6600</v>
      </c>
      <c r="D35" s="7" t="n">
        <v>21</v>
      </c>
      <c r="E35" s="13" t="n">
        <v>0.44</v>
      </c>
      <c r="F35" s="7" t="n">
        <v>1</v>
      </c>
      <c r="G35" s="7" t="n">
        <v>6</v>
      </c>
      <c r="H35" s="7"/>
    </row>
    <row r="36" customFormat="false" ht="15" hidden="false" customHeight="true" outlineLevel="0" collapsed="false">
      <c r="A36" s="7" t="s">
        <v>5401</v>
      </c>
      <c r="B36" s="7" t="s">
        <v>7990</v>
      </c>
      <c r="C36" s="12" t="n">
        <v>6600</v>
      </c>
      <c r="D36" s="7" t="n">
        <v>26</v>
      </c>
      <c r="E36" s="13" t="n">
        <v>0.36</v>
      </c>
      <c r="F36" s="7" t="n">
        <v>1</v>
      </c>
      <c r="G36" s="7" t="n">
        <v>7</v>
      </c>
      <c r="H36" s="7"/>
    </row>
    <row r="37" customFormat="false" ht="15" hidden="false" customHeight="true" outlineLevel="0" collapsed="false">
      <c r="A37" s="7" t="s">
        <v>196</v>
      </c>
      <c r="B37" s="7" t="s">
        <v>7990</v>
      </c>
      <c r="C37" s="12" t="n">
        <v>6600</v>
      </c>
      <c r="D37" s="7" t="n">
        <v>26</v>
      </c>
      <c r="E37" s="13" t="n">
        <v>2.37</v>
      </c>
      <c r="F37" s="7" t="n">
        <v>1</v>
      </c>
      <c r="G37" s="7" t="s">
        <v>6816</v>
      </c>
      <c r="H37" s="7"/>
    </row>
    <row r="38" customFormat="false" ht="15" hidden="false" customHeight="true" outlineLevel="0" collapsed="false">
      <c r="A38" s="7" t="s">
        <v>275</v>
      </c>
      <c r="B38" s="7" t="s">
        <v>7990</v>
      </c>
      <c r="C38" s="12" t="n">
        <v>5400</v>
      </c>
      <c r="D38" s="7" t="n">
        <v>28</v>
      </c>
      <c r="E38" s="13" t="n">
        <v>0.41</v>
      </c>
      <c r="F38" s="7" t="n">
        <v>1</v>
      </c>
      <c r="G38" s="7" t="n">
        <v>1</v>
      </c>
      <c r="H38" s="7"/>
    </row>
    <row r="39" customFormat="false" ht="15" hidden="false" customHeight="true" outlineLevel="0" collapsed="false">
      <c r="A39" s="7" t="s">
        <v>276</v>
      </c>
      <c r="B39" s="7" t="s">
        <v>7989</v>
      </c>
      <c r="C39" s="12" t="n">
        <v>5400</v>
      </c>
      <c r="D39" s="7" t="n">
        <v>23</v>
      </c>
      <c r="E39" s="13" t="n">
        <v>0.41</v>
      </c>
      <c r="F39" s="7" t="n">
        <v>1</v>
      </c>
      <c r="G39" s="7" t="n">
        <v>1</v>
      </c>
      <c r="H39" s="7"/>
    </row>
    <row r="40" customFormat="false" ht="15" hidden="false" customHeight="true" outlineLevel="0" collapsed="false">
      <c r="A40" s="7" t="s">
        <v>200</v>
      </c>
      <c r="B40" s="7" t="s">
        <v>7989</v>
      </c>
      <c r="C40" s="12" t="n">
        <v>5400</v>
      </c>
      <c r="D40" s="7" t="n">
        <v>22</v>
      </c>
      <c r="E40" s="13" t="n">
        <v>0.81</v>
      </c>
      <c r="F40" s="7" t="n">
        <v>1</v>
      </c>
      <c r="G40" s="7" t="s">
        <v>7919</v>
      </c>
      <c r="H40" s="7"/>
    </row>
    <row r="41" customFormat="false" ht="15" hidden="false" customHeight="true" outlineLevel="0" collapsed="false">
      <c r="A41" s="7" t="s">
        <v>199</v>
      </c>
      <c r="B41" s="7" t="s">
        <v>7991</v>
      </c>
      <c r="C41" s="12" t="n">
        <v>5400</v>
      </c>
      <c r="D41" s="7" t="n">
        <v>21</v>
      </c>
      <c r="E41" s="13" t="n">
        <v>1.76</v>
      </c>
      <c r="F41" s="7" t="n">
        <v>1</v>
      </c>
      <c r="G41" s="7" t="s">
        <v>6816</v>
      </c>
      <c r="H41" s="7"/>
    </row>
    <row r="42" customFormat="false" ht="15" hidden="false" customHeight="true" outlineLevel="0" collapsed="false">
      <c r="A42" s="7" t="s">
        <v>277</v>
      </c>
      <c r="B42" s="7" t="s">
        <v>7989</v>
      </c>
      <c r="C42" s="12" t="n">
        <v>5400</v>
      </c>
      <c r="D42" s="7" t="n">
        <v>30</v>
      </c>
      <c r="E42" s="13" t="n">
        <v>0.26</v>
      </c>
      <c r="F42" s="7" t="n">
        <v>1</v>
      </c>
      <c r="G42" s="7" t="n">
        <v>2</v>
      </c>
      <c r="H42" s="7"/>
    </row>
    <row r="43" customFormat="false" ht="15" hidden="false" customHeight="true" outlineLevel="0" collapsed="false">
      <c r="A43" s="7" t="s">
        <v>278</v>
      </c>
      <c r="B43" s="7" t="s">
        <v>7989</v>
      </c>
      <c r="C43" s="12" t="n">
        <v>5400</v>
      </c>
      <c r="D43" s="7" t="n">
        <v>16</v>
      </c>
      <c r="E43" s="13" t="n">
        <v>0.29</v>
      </c>
      <c r="F43" s="7" t="n">
        <v>1</v>
      </c>
      <c r="G43" s="7" t="n">
        <v>2</v>
      </c>
      <c r="H43" s="7"/>
    </row>
    <row r="44" customFormat="false" ht="15" hidden="false" customHeight="true" outlineLevel="0" collapsed="false">
      <c r="A44" s="7" t="s">
        <v>198</v>
      </c>
      <c r="B44" s="7" t="s">
        <v>7990</v>
      </c>
      <c r="C44" s="12" t="n">
        <v>5400</v>
      </c>
      <c r="D44" s="7" t="n">
        <v>16</v>
      </c>
      <c r="E44" s="13" t="n">
        <v>0.46</v>
      </c>
      <c r="F44" s="7" t="n">
        <v>1</v>
      </c>
      <c r="G44" s="7" t="s">
        <v>6816</v>
      </c>
      <c r="H44" s="7"/>
    </row>
    <row r="45" customFormat="false" ht="15" hidden="false" customHeight="true" outlineLevel="0" collapsed="false">
      <c r="A45" s="7" t="s">
        <v>279</v>
      </c>
      <c r="B45" s="7" t="s">
        <v>7989</v>
      </c>
      <c r="C45" s="12" t="n">
        <v>5400</v>
      </c>
      <c r="D45" s="7" t="n">
        <v>24</v>
      </c>
      <c r="E45" s="13" t="n">
        <v>0.37</v>
      </c>
      <c r="F45" s="7" t="n">
        <v>1</v>
      </c>
      <c r="G45" s="7" t="n">
        <v>2</v>
      </c>
      <c r="H45" s="7"/>
    </row>
    <row r="46" customFormat="false" ht="15" hidden="false" customHeight="true" outlineLevel="0" collapsed="false">
      <c r="A46" s="7" t="s">
        <v>201</v>
      </c>
      <c r="B46" s="7" t="s">
        <v>7990</v>
      </c>
      <c r="C46" s="12" t="n">
        <v>5400</v>
      </c>
      <c r="D46" s="7" t="n">
        <v>20</v>
      </c>
      <c r="E46" s="13" t="n">
        <v>1.24</v>
      </c>
      <c r="F46" s="7" t="n">
        <v>1</v>
      </c>
      <c r="G46" s="7" t="s">
        <v>7919</v>
      </c>
      <c r="H46" s="7"/>
    </row>
    <row r="47" customFormat="false" ht="15" hidden="false" customHeight="true" outlineLevel="0" collapsed="false">
      <c r="A47" s="7" t="s">
        <v>3125</v>
      </c>
      <c r="B47" s="7" t="s">
        <v>7990</v>
      </c>
      <c r="C47" s="12" t="n">
        <v>4400</v>
      </c>
      <c r="D47" s="7" t="n">
        <v>21</v>
      </c>
      <c r="E47" s="13" t="n">
        <v>0.37</v>
      </c>
      <c r="F47" s="7" t="n">
        <v>1</v>
      </c>
      <c r="G47" s="7" t="n">
        <v>4</v>
      </c>
      <c r="H47" s="7"/>
    </row>
    <row r="48" customFormat="false" ht="15" hidden="false" customHeight="true" outlineLevel="0" collapsed="false">
      <c r="A48" s="7" t="s">
        <v>3506</v>
      </c>
      <c r="B48" s="7" t="s">
        <v>7989</v>
      </c>
      <c r="C48" s="12" t="n">
        <v>4400</v>
      </c>
      <c r="D48" s="7" t="n">
        <v>28</v>
      </c>
      <c r="E48" s="13" t="n">
        <v>0.69</v>
      </c>
      <c r="F48" s="7" t="n">
        <v>1</v>
      </c>
      <c r="G48" s="7" t="s">
        <v>6815</v>
      </c>
      <c r="H48" s="7"/>
    </row>
    <row r="49" customFormat="false" ht="15" hidden="false" customHeight="true" outlineLevel="0" collapsed="false">
      <c r="A49" s="7" t="s">
        <v>4628</v>
      </c>
      <c r="B49" s="7" t="s">
        <v>7990</v>
      </c>
      <c r="C49" s="12" t="n">
        <v>4400</v>
      </c>
      <c r="D49" s="7" t="n">
        <v>29</v>
      </c>
      <c r="E49" s="13" t="n">
        <v>0.43</v>
      </c>
      <c r="F49" s="7" t="n">
        <v>1</v>
      </c>
      <c r="G49" s="7" t="n">
        <v>6</v>
      </c>
      <c r="H49" s="7"/>
    </row>
    <row r="50" customFormat="false" ht="15" hidden="false" customHeight="true" outlineLevel="0" collapsed="false">
      <c r="A50" s="7" t="s">
        <v>5020</v>
      </c>
      <c r="B50" s="7" t="s">
        <v>7990</v>
      </c>
      <c r="C50" s="12" t="n">
        <v>4400</v>
      </c>
      <c r="D50" s="7" t="n">
        <v>28</v>
      </c>
      <c r="E50" s="13" t="n">
        <v>0.45</v>
      </c>
      <c r="F50" s="7" t="n">
        <v>1</v>
      </c>
      <c r="G50" s="7" t="n">
        <v>6</v>
      </c>
      <c r="H50" s="7"/>
    </row>
    <row r="51" customFormat="false" ht="15" hidden="false" customHeight="true" outlineLevel="0" collapsed="false">
      <c r="A51" s="7" t="s">
        <v>202</v>
      </c>
      <c r="B51" s="7" t="s">
        <v>7990</v>
      </c>
      <c r="C51" s="12" t="n">
        <v>4400</v>
      </c>
      <c r="D51" s="7" t="n">
        <v>30</v>
      </c>
      <c r="E51" s="13" t="n">
        <v>0.49</v>
      </c>
      <c r="F51" s="7" t="n">
        <v>1</v>
      </c>
      <c r="G51" s="7" t="s">
        <v>6816</v>
      </c>
      <c r="H51" s="7"/>
    </row>
    <row r="52" customFormat="false" ht="15" hidden="false" customHeight="true" outlineLevel="0" collapsed="false">
      <c r="A52" s="7" t="s">
        <v>205</v>
      </c>
      <c r="B52" s="7" t="s">
        <v>7990</v>
      </c>
      <c r="C52" s="12" t="n">
        <v>3600</v>
      </c>
      <c r="D52" s="7" t="n">
        <v>34</v>
      </c>
      <c r="E52" s="13" t="n">
        <v>0.51</v>
      </c>
      <c r="F52" s="7" t="n">
        <v>1</v>
      </c>
      <c r="G52" s="7" t="s">
        <v>6816</v>
      </c>
      <c r="H52" s="7"/>
    </row>
    <row r="53" customFormat="false" ht="15" hidden="false" customHeight="true" outlineLevel="0" collapsed="false">
      <c r="A53" s="7" t="s">
        <v>280</v>
      </c>
      <c r="B53" s="7" t="s">
        <v>7990</v>
      </c>
      <c r="C53" s="12" t="n">
        <v>3600</v>
      </c>
      <c r="D53" s="7" t="n">
        <v>21</v>
      </c>
      <c r="E53" s="13" t="n">
        <v>0.35</v>
      </c>
      <c r="F53" s="7" t="n">
        <v>1</v>
      </c>
      <c r="G53" s="7" t="n">
        <v>1</v>
      </c>
      <c r="H53" s="7"/>
    </row>
    <row r="54" customFormat="false" ht="15" hidden="false" customHeight="true" outlineLevel="0" collapsed="false">
      <c r="A54" s="7" t="s">
        <v>206</v>
      </c>
      <c r="B54" s="7" t="s">
        <v>7990</v>
      </c>
      <c r="C54" s="12" t="n">
        <v>3600</v>
      </c>
      <c r="D54" s="7" t="n">
        <v>37</v>
      </c>
      <c r="E54" s="13" t="n">
        <v>0.32</v>
      </c>
      <c r="F54" s="7" t="n">
        <v>1</v>
      </c>
      <c r="G54" s="7" t="s">
        <v>7919</v>
      </c>
      <c r="H54" s="7"/>
    </row>
    <row r="55" customFormat="false" ht="15" hidden="false" customHeight="true" outlineLevel="0" collapsed="false">
      <c r="A55" s="7" t="s">
        <v>281</v>
      </c>
      <c r="B55" s="7" t="s">
        <v>7990</v>
      </c>
      <c r="C55" s="12" t="n">
        <v>3600</v>
      </c>
      <c r="D55" s="7" t="n">
        <v>25</v>
      </c>
      <c r="E55" s="13" t="n">
        <v>0.3</v>
      </c>
      <c r="F55" s="7" t="n">
        <v>1</v>
      </c>
      <c r="G55" s="7" t="n">
        <v>2</v>
      </c>
      <c r="H55" s="7"/>
    </row>
    <row r="56" customFormat="false" ht="15" hidden="false" customHeight="true" outlineLevel="0" collapsed="false">
      <c r="A56" s="7" t="s">
        <v>204</v>
      </c>
      <c r="B56" s="7" t="s">
        <v>7991</v>
      </c>
      <c r="C56" s="12" t="n">
        <v>3600</v>
      </c>
      <c r="D56" s="7" t="n">
        <v>21</v>
      </c>
      <c r="E56" s="13" t="n">
        <v>1.06</v>
      </c>
      <c r="F56" s="7" t="n">
        <v>1</v>
      </c>
      <c r="G56" s="7" t="s">
        <v>6816</v>
      </c>
      <c r="H56" s="7"/>
    </row>
    <row r="57" customFormat="false" ht="15" hidden="false" customHeight="true" outlineLevel="0" collapsed="false">
      <c r="A57" s="7" t="s">
        <v>203</v>
      </c>
      <c r="B57" s="7" t="s">
        <v>7990</v>
      </c>
      <c r="C57" s="12" t="n">
        <v>3600</v>
      </c>
      <c r="D57" s="7" t="n">
        <v>24</v>
      </c>
      <c r="E57" s="13" t="n">
        <v>0.66</v>
      </c>
      <c r="F57" s="7" t="n">
        <v>1</v>
      </c>
      <c r="G57" s="7" t="s">
        <v>6816</v>
      </c>
      <c r="H57" s="7"/>
    </row>
    <row r="58" customFormat="false" ht="15" hidden="false" customHeight="true" outlineLevel="0" collapsed="false">
      <c r="A58" s="7" t="s">
        <v>207</v>
      </c>
      <c r="B58" s="7" t="s">
        <v>7990</v>
      </c>
      <c r="C58" s="12" t="n">
        <v>3600</v>
      </c>
      <c r="D58" s="7" t="n">
        <v>18</v>
      </c>
      <c r="E58" s="13" t="n">
        <v>1.17</v>
      </c>
      <c r="F58" s="7" t="n">
        <v>1</v>
      </c>
      <c r="G58" s="7" t="s">
        <v>7919</v>
      </c>
      <c r="H58" s="7"/>
    </row>
    <row r="59" customFormat="false" ht="15" hidden="false" customHeight="true" outlineLevel="0" collapsed="false">
      <c r="A59" s="7" t="s">
        <v>208</v>
      </c>
      <c r="B59" s="7" t="s">
        <v>7990</v>
      </c>
      <c r="C59" s="12" t="n">
        <v>3600</v>
      </c>
      <c r="D59" s="7" t="n">
        <v>22</v>
      </c>
      <c r="E59" s="13" t="n">
        <v>0.7</v>
      </c>
      <c r="F59" s="7" t="n">
        <v>1</v>
      </c>
      <c r="G59" s="7" t="s">
        <v>7919</v>
      </c>
      <c r="H59" s="7"/>
    </row>
    <row r="60" customFormat="false" ht="15" hidden="false" customHeight="true" outlineLevel="0" collapsed="false">
      <c r="A60" s="7" t="s">
        <v>6299</v>
      </c>
      <c r="B60" s="7" t="s">
        <v>7990</v>
      </c>
      <c r="C60" s="12" t="n">
        <v>3600</v>
      </c>
      <c r="D60" s="7" t="n">
        <v>14</v>
      </c>
      <c r="E60" s="13" t="n">
        <v>0.63</v>
      </c>
      <c r="F60" s="7" t="n">
        <v>1</v>
      </c>
      <c r="G60" s="7" t="n">
        <v>8</v>
      </c>
      <c r="H60" s="7"/>
    </row>
    <row r="61" customFormat="false" ht="15" hidden="false" customHeight="true" outlineLevel="0" collapsed="false">
      <c r="A61" s="7" t="s">
        <v>212</v>
      </c>
      <c r="B61" s="7" t="s">
        <v>7990</v>
      </c>
      <c r="C61" s="12" t="n">
        <v>2900</v>
      </c>
      <c r="D61" s="7" t="n">
        <v>20</v>
      </c>
      <c r="E61" s="13" t="n">
        <v>0.94</v>
      </c>
      <c r="F61" s="7" t="n">
        <v>1</v>
      </c>
      <c r="G61" s="7" t="s">
        <v>7919</v>
      </c>
      <c r="H61" s="7"/>
    </row>
    <row r="62" customFormat="false" ht="15" hidden="false" customHeight="true" outlineLevel="0" collapsed="false">
      <c r="A62" s="7" t="s">
        <v>211</v>
      </c>
      <c r="B62" s="7" t="s">
        <v>7990</v>
      </c>
      <c r="C62" s="12" t="n">
        <v>2900</v>
      </c>
      <c r="D62" s="7" t="n">
        <v>9</v>
      </c>
      <c r="E62" s="13" t="n">
        <v>0.33</v>
      </c>
      <c r="F62" s="7" t="n">
        <v>1</v>
      </c>
      <c r="G62" s="7" t="s">
        <v>6816</v>
      </c>
      <c r="H62" s="7"/>
    </row>
    <row r="63" customFormat="false" ht="15" hidden="false" customHeight="true" outlineLevel="0" collapsed="false">
      <c r="A63" s="7" t="s">
        <v>282</v>
      </c>
      <c r="B63" s="7" t="s">
        <v>7990</v>
      </c>
      <c r="C63" s="12" t="n">
        <v>2900</v>
      </c>
      <c r="D63" s="7" t="n">
        <v>23</v>
      </c>
      <c r="E63" s="13" t="n">
        <v>0.31</v>
      </c>
      <c r="F63" s="7" t="n">
        <v>1</v>
      </c>
      <c r="G63" s="7" t="n">
        <v>1</v>
      </c>
      <c r="H63" s="7"/>
    </row>
    <row r="64" customFormat="false" ht="15" hidden="false" customHeight="true" outlineLevel="0" collapsed="false">
      <c r="A64" s="7" t="s">
        <v>3282</v>
      </c>
      <c r="B64" s="7" t="s">
        <v>7990</v>
      </c>
      <c r="C64" s="12" t="n">
        <v>2900</v>
      </c>
      <c r="D64" s="7" t="n">
        <v>22</v>
      </c>
      <c r="E64" s="13" t="n">
        <v>0.47</v>
      </c>
      <c r="F64" s="7" t="n">
        <v>1</v>
      </c>
      <c r="G64" s="7" t="n">
        <v>4</v>
      </c>
      <c r="H64" s="7"/>
    </row>
    <row r="65" customFormat="false" ht="15" hidden="false" customHeight="true" outlineLevel="0" collapsed="false">
      <c r="A65" s="7" t="s">
        <v>150</v>
      </c>
      <c r="B65" s="7" t="s">
        <v>7993</v>
      </c>
      <c r="C65" s="12" t="n">
        <v>2900</v>
      </c>
      <c r="D65" s="7" t="n">
        <v>29</v>
      </c>
      <c r="E65" s="13" t="n">
        <v>0.91</v>
      </c>
      <c r="F65" s="7" t="n">
        <v>1</v>
      </c>
      <c r="G65" s="7" t="n">
        <v>3</v>
      </c>
      <c r="H65" s="7"/>
    </row>
    <row r="66" customFormat="false" ht="15" hidden="false" customHeight="true" outlineLevel="0" collapsed="false">
      <c r="A66" s="7" t="s">
        <v>5523</v>
      </c>
      <c r="B66" s="7" t="s">
        <v>7989</v>
      </c>
      <c r="C66" s="12" t="n">
        <v>2900</v>
      </c>
      <c r="D66" s="7" t="n">
        <v>30</v>
      </c>
      <c r="E66" s="13" t="n">
        <v>0.35</v>
      </c>
      <c r="F66" s="7" t="n">
        <v>1</v>
      </c>
      <c r="G66" s="7" t="n">
        <v>7</v>
      </c>
      <c r="H66" s="7"/>
    </row>
    <row r="67" customFormat="false" ht="15" hidden="false" customHeight="true" outlineLevel="0" collapsed="false">
      <c r="A67" s="7" t="s">
        <v>209</v>
      </c>
      <c r="B67" s="7" t="s">
        <v>7990</v>
      </c>
      <c r="C67" s="12" t="n">
        <v>2900</v>
      </c>
      <c r="D67" s="7" t="n">
        <v>21</v>
      </c>
      <c r="E67" s="13" t="n">
        <v>0.43</v>
      </c>
      <c r="F67" s="7" t="n">
        <v>1</v>
      </c>
      <c r="G67" s="7" t="s">
        <v>6816</v>
      </c>
      <c r="H67" s="7"/>
    </row>
    <row r="68" customFormat="false" ht="15" hidden="false" customHeight="true" outlineLevel="0" collapsed="false">
      <c r="A68" s="7" t="s">
        <v>210</v>
      </c>
      <c r="B68" s="7" t="s">
        <v>7990</v>
      </c>
      <c r="C68" s="12" t="n">
        <v>2900</v>
      </c>
      <c r="D68" s="7" t="n">
        <v>19</v>
      </c>
      <c r="E68" s="13" t="n">
        <v>1.33</v>
      </c>
      <c r="F68" s="7" t="n">
        <v>1</v>
      </c>
      <c r="G68" s="7" t="s">
        <v>6816</v>
      </c>
      <c r="H68" s="7"/>
    </row>
    <row r="69" customFormat="false" ht="15" hidden="false" customHeight="true" outlineLevel="0" collapsed="false">
      <c r="A69" s="7" t="s">
        <v>2561</v>
      </c>
      <c r="B69" s="7" t="s">
        <v>7989</v>
      </c>
      <c r="C69" s="12" t="n">
        <v>2400</v>
      </c>
      <c r="D69" s="7" t="n">
        <v>16</v>
      </c>
      <c r="E69" s="13" t="n">
        <v>0.27</v>
      </c>
      <c r="F69" s="7" t="n">
        <v>1</v>
      </c>
      <c r="G69" s="7" t="n">
        <v>4</v>
      </c>
      <c r="H69" s="7"/>
    </row>
    <row r="70" customFormat="false" ht="15" hidden="false" customHeight="true" outlineLevel="0" collapsed="false">
      <c r="A70" s="7" t="s">
        <v>153</v>
      </c>
      <c r="B70" s="7" t="s">
        <v>7991</v>
      </c>
      <c r="C70" s="12" t="n">
        <v>2400</v>
      </c>
      <c r="D70" s="7" t="n">
        <v>13</v>
      </c>
      <c r="E70" s="13" t="n">
        <v>0.75</v>
      </c>
      <c r="F70" s="7" t="n">
        <v>1</v>
      </c>
      <c r="G70" s="7" t="n">
        <v>3</v>
      </c>
      <c r="H70" s="7"/>
    </row>
    <row r="71" customFormat="false" ht="15" hidden="false" customHeight="true" outlineLevel="0" collapsed="false">
      <c r="A71" s="7" t="s">
        <v>5391</v>
      </c>
      <c r="B71" s="7" t="s">
        <v>7990</v>
      </c>
      <c r="C71" s="12" t="n">
        <v>2400</v>
      </c>
      <c r="D71" s="7" t="n">
        <v>23</v>
      </c>
      <c r="E71" s="13" t="n">
        <v>0.38</v>
      </c>
      <c r="F71" s="7" t="n">
        <v>1</v>
      </c>
      <c r="G71" s="7" t="n">
        <v>7</v>
      </c>
      <c r="H71" s="7"/>
    </row>
    <row r="72" customFormat="false" ht="15" hidden="false" customHeight="true" outlineLevel="0" collapsed="false">
      <c r="A72" s="7" t="s">
        <v>213</v>
      </c>
      <c r="B72" s="7" t="s">
        <v>7990</v>
      </c>
      <c r="C72" s="12" t="n">
        <v>2400</v>
      </c>
      <c r="D72" s="7" t="n">
        <v>23</v>
      </c>
      <c r="E72" s="13" t="n">
        <v>0.54</v>
      </c>
      <c r="F72" s="7" t="n">
        <v>1</v>
      </c>
      <c r="G72" s="7" t="s">
        <v>7919</v>
      </c>
      <c r="H72" s="7"/>
    </row>
    <row r="73" customFormat="false" ht="15" hidden="false" customHeight="true" outlineLevel="0" collapsed="false">
      <c r="A73" s="7" t="s">
        <v>3031</v>
      </c>
      <c r="B73" s="7" t="s">
        <v>7990</v>
      </c>
      <c r="C73" s="12" t="n">
        <v>1900</v>
      </c>
      <c r="D73" s="7" t="n">
        <v>16</v>
      </c>
      <c r="E73" s="13" t="n">
        <v>0.41</v>
      </c>
      <c r="F73" s="7" t="n">
        <v>1</v>
      </c>
      <c r="G73" s="7" t="n">
        <v>4</v>
      </c>
      <c r="H73" s="7"/>
    </row>
    <row r="74" customFormat="false" ht="15" hidden="false" customHeight="true" outlineLevel="0" collapsed="false">
      <c r="A74" s="7" t="s">
        <v>216</v>
      </c>
      <c r="B74" s="7" t="s">
        <v>7990</v>
      </c>
      <c r="C74" s="12" t="n">
        <v>1900</v>
      </c>
      <c r="D74" s="7" t="n">
        <v>22</v>
      </c>
      <c r="E74" s="13" t="n">
        <v>0.8</v>
      </c>
      <c r="F74" s="7" t="n">
        <v>1</v>
      </c>
      <c r="G74" s="7" t="s">
        <v>6816</v>
      </c>
      <c r="H74" s="7"/>
    </row>
    <row r="75" customFormat="false" ht="15" hidden="false" customHeight="true" outlineLevel="0" collapsed="false">
      <c r="A75" s="7" t="s">
        <v>283</v>
      </c>
      <c r="B75" s="7" t="s">
        <v>7990</v>
      </c>
      <c r="C75" s="12" t="n">
        <v>1900</v>
      </c>
      <c r="D75" s="7" t="n">
        <v>16</v>
      </c>
      <c r="E75" s="13" t="n">
        <v>0.4</v>
      </c>
      <c r="F75" s="7" t="n">
        <v>1</v>
      </c>
      <c r="G75" s="7" t="n">
        <v>1</v>
      </c>
      <c r="H75" s="7"/>
    </row>
    <row r="76" customFormat="false" ht="15" hidden="false" customHeight="true" outlineLevel="0" collapsed="false">
      <c r="A76" s="7" t="s">
        <v>154</v>
      </c>
      <c r="B76" s="7" t="s">
        <v>7991</v>
      </c>
      <c r="C76" s="12" t="n">
        <v>1900</v>
      </c>
      <c r="D76" s="7" t="n">
        <v>30</v>
      </c>
      <c r="E76" s="13" t="n">
        <v>0.82</v>
      </c>
      <c r="F76" s="7" t="n">
        <v>1</v>
      </c>
      <c r="G76" s="7" t="n">
        <v>3</v>
      </c>
      <c r="H76" s="7"/>
    </row>
    <row r="77" customFormat="false" ht="15" hidden="false" customHeight="true" outlineLevel="0" collapsed="false">
      <c r="A77" s="7" t="s">
        <v>284</v>
      </c>
      <c r="B77" s="7" t="s">
        <v>7989</v>
      </c>
      <c r="C77" s="12" t="n">
        <v>1900</v>
      </c>
      <c r="D77" s="7" t="n">
        <v>26</v>
      </c>
      <c r="E77" s="13" t="n">
        <v>0.41</v>
      </c>
      <c r="F77" s="7" t="n">
        <v>1</v>
      </c>
      <c r="G77" s="7" t="n">
        <v>2</v>
      </c>
      <c r="H77" s="7"/>
    </row>
    <row r="78" customFormat="false" ht="15" hidden="false" customHeight="true" outlineLevel="0" collapsed="false">
      <c r="A78" s="7" t="s">
        <v>214</v>
      </c>
      <c r="B78" s="7" t="s">
        <v>7991</v>
      </c>
      <c r="C78" s="12" t="n">
        <v>1900</v>
      </c>
      <c r="D78" s="7" t="n">
        <v>22</v>
      </c>
      <c r="E78" s="13" t="n">
        <v>0.73</v>
      </c>
      <c r="F78" s="7" t="n">
        <v>1</v>
      </c>
      <c r="G78" s="7" t="s">
        <v>6816</v>
      </c>
      <c r="H78" s="7"/>
    </row>
    <row r="79" customFormat="false" ht="15" hidden="false" customHeight="true" outlineLevel="0" collapsed="false">
      <c r="A79" s="7" t="s">
        <v>215</v>
      </c>
      <c r="B79" s="7" t="s">
        <v>7989</v>
      </c>
      <c r="C79" s="12" t="n">
        <v>1900</v>
      </c>
      <c r="D79" s="7" t="n">
        <v>28</v>
      </c>
      <c r="E79" s="13" t="n">
        <v>0.66</v>
      </c>
      <c r="F79" s="7" t="n">
        <v>1</v>
      </c>
      <c r="G79" s="7" t="s">
        <v>6816</v>
      </c>
      <c r="H79" s="7"/>
    </row>
    <row r="80" customFormat="false" ht="15" hidden="false" customHeight="true" outlineLevel="0" collapsed="false">
      <c r="A80" s="7" t="s">
        <v>285</v>
      </c>
      <c r="B80" s="7" t="s">
        <v>7989</v>
      </c>
      <c r="C80" s="12" t="n">
        <v>1600</v>
      </c>
      <c r="D80" s="7" t="n">
        <v>25</v>
      </c>
      <c r="E80" s="13" t="n">
        <v>0.31</v>
      </c>
      <c r="F80" s="7" t="n">
        <v>1</v>
      </c>
      <c r="G80" s="7" t="n">
        <v>1</v>
      </c>
      <c r="H80" s="7"/>
    </row>
    <row r="81" customFormat="false" ht="15" hidden="false" customHeight="true" outlineLevel="0" collapsed="false">
      <c r="A81" s="7" t="s">
        <v>155</v>
      </c>
      <c r="B81" s="7" t="s">
        <v>7991</v>
      </c>
      <c r="C81" s="12" t="n">
        <v>1600</v>
      </c>
      <c r="D81" s="7" t="n">
        <v>29</v>
      </c>
      <c r="E81" s="13" t="n">
        <v>0.85</v>
      </c>
      <c r="F81" s="7" t="n">
        <v>1</v>
      </c>
      <c r="G81" s="7" t="n">
        <v>3</v>
      </c>
      <c r="H81" s="7"/>
    </row>
    <row r="82" customFormat="false" ht="15" hidden="false" customHeight="true" outlineLevel="0" collapsed="false">
      <c r="A82" s="7" t="s">
        <v>156</v>
      </c>
      <c r="B82" s="7" t="s">
        <v>7990</v>
      </c>
      <c r="C82" s="12" t="n">
        <v>1600</v>
      </c>
      <c r="D82" s="7" t="n">
        <v>33</v>
      </c>
      <c r="E82" s="13" t="n">
        <v>1.19</v>
      </c>
      <c r="F82" s="7" t="n">
        <v>1</v>
      </c>
      <c r="G82" s="7" t="n">
        <v>3</v>
      </c>
      <c r="H82" s="7"/>
    </row>
    <row r="83" customFormat="false" ht="15" hidden="false" customHeight="true" outlineLevel="0" collapsed="false">
      <c r="A83" s="7" t="s">
        <v>219</v>
      </c>
      <c r="B83" s="7" t="s">
        <v>7990</v>
      </c>
      <c r="C83" s="12" t="n">
        <v>1600</v>
      </c>
      <c r="D83" s="7" t="n">
        <v>22</v>
      </c>
      <c r="E83" s="13" t="n">
        <v>1.13</v>
      </c>
      <c r="F83" s="7" t="n">
        <v>1</v>
      </c>
      <c r="G83" s="7" t="s">
        <v>7919</v>
      </c>
      <c r="H83" s="7"/>
    </row>
    <row r="84" customFormat="false" ht="15" hidden="false" customHeight="true" outlineLevel="0" collapsed="false">
      <c r="A84" s="7" t="s">
        <v>4274</v>
      </c>
      <c r="B84" s="7" t="s">
        <v>7990</v>
      </c>
      <c r="C84" s="12" t="n">
        <v>1600</v>
      </c>
      <c r="D84" s="7" t="n">
        <v>29</v>
      </c>
      <c r="E84" s="13" t="n">
        <v>0.55</v>
      </c>
      <c r="F84" s="7" t="n">
        <v>1</v>
      </c>
      <c r="G84" s="7" t="n">
        <v>6</v>
      </c>
      <c r="H84" s="7"/>
    </row>
    <row r="85" customFormat="false" ht="15" hidden="false" customHeight="true" outlineLevel="0" collapsed="false">
      <c r="A85" s="7" t="s">
        <v>4680</v>
      </c>
      <c r="B85" s="7" t="s">
        <v>7990</v>
      </c>
      <c r="C85" s="12" t="n">
        <v>1600</v>
      </c>
      <c r="D85" s="7" t="n">
        <v>23</v>
      </c>
      <c r="E85" s="13" t="n">
        <v>0.42</v>
      </c>
      <c r="F85" s="7" t="n">
        <v>1</v>
      </c>
      <c r="G85" s="7" t="n">
        <v>6</v>
      </c>
      <c r="H85" s="7"/>
    </row>
    <row r="86" customFormat="false" ht="15" hidden="false" customHeight="true" outlineLevel="0" collapsed="false">
      <c r="A86" s="7" t="s">
        <v>217</v>
      </c>
      <c r="B86" s="7" t="s">
        <v>7990</v>
      </c>
      <c r="C86" s="12" t="n">
        <v>1600</v>
      </c>
      <c r="D86" s="7" t="n">
        <v>55</v>
      </c>
      <c r="E86" s="13" t="n">
        <v>1.65</v>
      </c>
      <c r="F86" s="7" t="n">
        <v>1</v>
      </c>
      <c r="G86" s="7" t="s">
        <v>6816</v>
      </c>
      <c r="H86" s="7"/>
    </row>
    <row r="87" customFormat="false" ht="15" hidden="false" customHeight="true" outlineLevel="0" collapsed="false">
      <c r="A87" s="7" t="s">
        <v>157</v>
      </c>
      <c r="B87" s="7" t="s">
        <v>7990</v>
      </c>
      <c r="C87" s="12" t="n">
        <v>1600</v>
      </c>
      <c r="D87" s="7" t="n">
        <v>31</v>
      </c>
      <c r="E87" s="13" t="n">
        <v>1.05</v>
      </c>
      <c r="F87" s="7" t="n">
        <v>1</v>
      </c>
      <c r="G87" s="7" t="n">
        <v>3</v>
      </c>
      <c r="H87" s="7"/>
    </row>
    <row r="88" customFormat="false" ht="15" hidden="false" customHeight="true" outlineLevel="0" collapsed="false">
      <c r="A88" s="7" t="s">
        <v>218</v>
      </c>
      <c r="B88" s="7" t="s">
        <v>7990</v>
      </c>
      <c r="C88" s="12" t="n">
        <v>1600</v>
      </c>
      <c r="D88" s="7" t="n">
        <v>29</v>
      </c>
      <c r="E88" s="13" t="n">
        <v>0.87</v>
      </c>
      <c r="F88" s="7" t="n">
        <v>1</v>
      </c>
      <c r="G88" s="7" t="s">
        <v>7919</v>
      </c>
      <c r="H88" s="7"/>
    </row>
    <row r="89" customFormat="false" ht="15" hidden="false" customHeight="true" outlineLevel="0" collapsed="false">
      <c r="A89" s="7" t="s">
        <v>6340</v>
      </c>
      <c r="B89" s="7" t="s">
        <v>7990</v>
      </c>
      <c r="C89" s="12" t="n">
        <v>1600</v>
      </c>
      <c r="D89" s="7" t="n">
        <v>16</v>
      </c>
      <c r="E89" s="13" t="n">
        <v>0.5</v>
      </c>
      <c r="F89" s="7" t="n">
        <v>1</v>
      </c>
      <c r="G89" s="7" t="s">
        <v>6815</v>
      </c>
      <c r="H89" s="7"/>
    </row>
    <row r="90" customFormat="false" ht="15" hidden="false" customHeight="true" outlineLevel="0" collapsed="false">
      <c r="A90" s="7" t="s">
        <v>286</v>
      </c>
      <c r="B90" s="7" t="s">
        <v>7989</v>
      </c>
      <c r="C90" s="12" t="n">
        <v>1600</v>
      </c>
      <c r="D90" s="7" t="n">
        <v>39</v>
      </c>
      <c r="E90" s="13" t="n">
        <v>0.35</v>
      </c>
      <c r="F90" s="7" t="n">
        <v>1</v>
      </c>
      <c r="G90" s="7" t="n">
        <v>2</v>
      </c>
      <c r="H90" s="7"/>
    </row>
    <row r="91" customFormat="false" ht="15" hidden="false" customHeight="true" outlineLevel="0" collapsed="false">
      <c r="A91" s="7" t="s">
        <v>2933</v>
      </c>
      <c r="B91" s="7" t="s">
        <v>7989</v>
      </c>
      <c r="C91" s="12" t="n">
        <v>1300</v>
      </c>
      <c r="D91" s="7" t="n">
        <v>19</v>
      </c>
      <c r="E91" s="13" t="n">
        <v>0.34</v>
      </c>
      <c r="F91" s="7" t="n">
        <v>1</v>
      </c>
      <c r="G91" s="7" t="n">
        <v>4</v>
      </c>
      <c r="H91" s="7"/>
    </row>
    <row r="92" customFormat="false" ht="15" hidden="false" customHeight="true" outlineLevel="0" collapsed="false">
      <c r="A92" s="7" t="s">
        <v>158</v>
      </c>
      <c r="B92" s="7" t="s">
        <v>7990</v>
      </c>
      <c r="C92" s="12" t="n">
        <v>1300</v>
      </c>
      <c r="D92" s="7" t="n">
        <v>11</v>
      </c>
      <c r="E92" s="13" t="n">
        <v>0.77</v>
      </c>
      <c r="F92" s="7" t="n">
        <v>1</v>
      </c>
      <c r="G92" s="7" t="n">
        <v>2</v>
      </c>
      <c r="H92" s="7"/>
    </row>
    <row r="93" customFormat="false" ht="15" hidden="false" customHeight="true" outlineLevel="0" collapsed="false">
      <c r="A93" s="7" t="s">
        <v>287</v>
      </c>
      <c r="B93" s="7" t="s">
        <v>7990</v>
      </c>
      <c r="C93" s="12" t="n">
        <v>1300</v>
      </c>
      <c r="D93" s="7" t="n">
        <v>18</v>
      </c>
      <c r="E93" s="13" t="n">
        <v>0.35</v>
      </c>
      <c r="F93" s="7" t="n">
        <v>1</v>
      </c>
      <c r="G93" s="7" t="n">
        <v>1</v>
      </c>
      <c r="H93" s="7"/>
    </row>
    <row r="94" customFormat="false" ht="15" hidden="false" customHeight="true" outlineLevel="0" collapsed="false">
      <c r="A94" s="7" t="s">
        <v>288</v>
      </c>
      <c r="B94" s="7" t="s">
        <v>7989</v>
      </c>
      <c r="C94" s="12" t="n">
        <v>1300</v>
      </c>
      <c r="D94" s="7" t="n">
        <v>28</v>
      </c>
      <c r="E94" s="13" t="n">
        <v>0.3</v>
      </c>
      <c r="F94" s="7" t="n">
        <v>1</v>
      </c>
      <c r="G94" s="7" t="n">
        <v>1</v>
      </c>
      <c r="H94" s="7"/>
    </row>
    <row r="95" customFormat="false" ht="15" hidden="false" customHeight="true" outlineLevel="0" collapsed="false">
      <c r="A95" s="7" t="s">
        <v>5051</v>
      </c>
      <c r="B95" s="7" t="s">
        <v>7990</v>
      </c>
      <c r="C95" s="12" t="n">
        <v>1300</v>
      </c>
      <c r="D95" s="7" t="n">
        <v>23</v>
      </c>
      <c r="E95" s="13" t="n">
        <v>0.58</v>
      </c>
      <c r="F95" s="7" t="n">
        <v>1</v>
      </c>
      <c r="G95" s="7" t="n">
        <v>6</v>
      </c>
      <c r="H95" s="7"/>
    </row>
    <row r="96" customFormat="false" ht="15" hidden="false" customHeight="true" outlineLevel="0" collapsed="false">
      <c r="A96" s="7" t="s">
        <v>289</v>
      </c>
      <c r="B96" s="7" t="s">
        <v>7990</v>
      </c>
      <c r="C96" s="12" t="n">
        <v>1300</v>
      </c>
      <c r="D96" s="7" t="n">
        <v>22</v>
      </c>
      <c r="E96" s="13" t="n">
        <v>0.22</v>
      </c>
      <c r="F96" s="7" t="n">
        <v>1</v>
      </c>
      <c r="G96" s="7" t="n">
        <v>2</v>
      </c>
      <c r="H96" s="7"/>
    </row>
    <row r="97" customFormat="false" ht="15" hidden="false" customHeight="true" outlineLevel="0" collapsed="false">
      <c r="A97" s="7" t="s">
        <v>224</v>
      </c>
      <c r="B97" s="7" t="s">
        <v>7990</v>
      </c>
      <c r="C97" s="12" t="n">
        <v>1300</v>
      </c>
      <c r="D97" s="7" t="n">
        <v>18</v>
      </c>
      <c r="E97" s="13" t="n">
        <v>1.13</v>
      </c>
      <c r="F97" s="7" t="n">
        <v>1</v>
      </c>
      <c r="G97" s="7" t="s">
        <v>7919</v>
      </c>
      <c r="H97" s="7"/>
    </row>
    <row r="98" customFormat="false" ht="15" hidden="false" customHeight="true" outlineLevel="0" collapsed="false">
      <c r="A98" s="7" t="s">
        <v>220</v>
      </c>
      <c r="B98" s="7" t="s">
        <v>7991</v>
      </c>
      <c r="C98" s="12" t="n">
        <v>1300</v>
      </c>
      <c r="D98" s="7" t="n">
        <v>19</v>
      </c>
      <c r="E98" s="13" t="n">
        <v>0.94</v>
      </c>
      <c r="F98" s="7" t="n">
        <v>1</v>
      </c>
      <c r="G98" s="7" t="s">
        <v>6816</v>
      </c>
      <c r="H98" s="7"/>
    </row>
    <row r="99" customFormat="false" ht="15" hidden="false" customHeight="true" outlineLevel="0" collapsed="false">
      <c r="A99" s="7" t="s">
        <v>223</v>
      </c>
      <c r="B99" s="7" t="s">
        <v>7990</v>
      </c>
      <c r="C99" s="12" t="n">
        <v>1300</v>
      </c>
      <c r="D99" s="7" t="n">
        <v>10</v>
      </c>
      <c r="E99" s="13" t="n">
        <v>0.66</v>
      </c>
      <c r="F99" s="7" t="n">
        <v>1</v>
      </c>
      <c r="G99" s="7" t="s">
        <v>6816</v>
      </c>
      <c r="H99" s="7"/>
    </row>
    <row r="100" customFormat="false" ht="15" hidden="false" customHeight="true" outlineLevel="0" collapsed="false">
      <c r="A100" s="7" t="s">
        <v>5512</v>
      </c>
      <c r="B100" s="7" t="s">
        <v>7989</v>
      </c>
      <c r="C100" s="12" t="n">
        <v>1300</v>
      </c>
      <c r="D100" s="7" t="n">
        <v>13</v>
      </c>
      <c r="E100" s="13" t="n">
        <v>0.33</v>
      </c>
      <c r="F100" s="7" t="n">
        <v>1</v>
      </c>
      <c r="G100" s="7" t="n">
        <v>7</v>
      </c>
      <c r="H100" s="7"/>
    </row>
    <row r="101" customFormat="false" ht="15" hidden="false" customHeight="true" outlineLevel="0" collapsed="false">
      <c r="A101" s="7" t="s">
        <v>222</v>
      </c>
      <c r="B101" s="7" t="s">
        <v>7990</v>
      </c>
      <c r="C101" s="12" t="n">
        <v>1300</v>
      </c>
      <c r="D101" s="7" t="n">
        <v>13</v>
      </c>
      <c r="E101" s="13" t="n">
        <v>0.66</v>
      </c>
      <c r="F101" s="7" t="n">
        <v>1</v>
      </c>
      <c r="G101" s="7" t="s">
        <v>6816</v>
      </c>
      <c r="H101" s="7"/>
    </row>
    <row r="102" customFormat="false" ht="15" hidden="false" customHeight="true" outlineLevel="0" collapsed="false">
      <c r="A102" s="7" t="s">
        <v>221</v>
      </c>
      <c r="B102" s="7" t="s">
        <v>7990</v>
      </c>
      <c r="C102" s="12" t="n">
        <v>1300</v>
      </c>
      <c r="D102" s="7" t="n">
        <v>16</v>
      </c>
      <c r="E102" s="13" t="n">
        <v>1.47</v>
      </c>
      <c r="F102" s="7" t="n">
        <v>1</v>
      </c>
      <c r="G102" s="7" t="s">
        <v>6816</v>
      </c>
      <c r="H102" s="7"/>
    </row>
    <row r="103" customFormat="false" ht="15" hidden="false" customHeight="true" outlineLevel="0" collapsed="false">
      <c r="A103" s="7" t="s">
        <v>290</v>
      </c>
      <c r="B103" s="7" t="s">
        <v>7990</v>
      </c>
      <c r="C103" s="12" t="n">
        <v>1000</v>
      </c>
      <c r="D103" s="7" t="n">
        <v>34</v>
      </c>
      <c r="E103" s="13" t="n">
        <v>0.34</v>
      </c>
      <c r="F103" s="7" t="n">
        <v>1</v>
      </c>
      <c r="G103" s="7" t="n">
        <v>1</v>
      </c>
      <c r="H103" s="7"/>
    </row>
    <row r="104" customFormat="false" ht="15" hidden="false" customHeight="true" outlineLevel="0" collapsed="false">
      <c r="A104" s="7" t="s">
        <v>3175</v>
      </c>
      <c r="B104" s="7" t="s">
        <v>7990</v>
      </c>
      <c r="C104" s="12" t="n">
        <v>1000</v>
      </c>
      <c r="D104" s="7" t="n">
        <v>18</v>
      </c>
      <c r="E104" s="13" t="n">
        <v>0.42</v>
      </c>
      <c r="F104" s="7" t="n">
        <v>1</v>
      </c>
      <c r="G104" s="7" t="n">
        <v>4</v>
      </c>
      <c r="H104" s="7"/>
    </row>
    <row r="105" customFormat="false" ht="15" hidden="false" customHeight="true" outlineLevel="0" collapsed="false">
      <c r="A105" s="7" t="s">
        <v>228</v>
      </c>
      <c r="B105" s="7" t="s">
        <v>7990</v>
      </c>
      <c r="C105" s="12" t="n">
        <v>1000</v>
      </c>
      <c r="D105" s="7" t="n">
        <v>22</v>
      </c>
      <c r="E105" s="13" t="n">
        <v>0.74</v>
      </c>
      <c r="F105" s="7" t="n">
        <v>1</v>
      </c>
      <c r="G105" s="7" t="s">
        <v>7919</v>
      </c>
      <c r="H105" s="7"/>
    </row>
    <row r="106" customFormat="false" ht="15" hidden="false" customHeight="true" outlineLevel="0" collapsed="false">
      <c r="A106" s="7" t="s">
        <v>291</v>
      </c>
      <c r="B106" s="7" t="s">
        <v>7994</v>
      </c>
      <c r="C106" s="12" t="n">
        <v>1000</v>
      </c>
      <c r="D106" s="7" t="n">
        <v>32</v>
      </c>
      <c r="E106" s="13" t="n">
        <v>0.53</v>
      </c>
      <c r="F106" s="7" t="n">
        <v>1</v>
      </c>
      <c r="G106" s="7" t="n">
        <v>1</v>
      </c>
      <c r="H106" s="7"/>
    </row>
    <row r="107" customFormat="false" ht="15" hidden="false" customHeight="true" outlineLevel="0" collapsed="false">
      <c r="A107" s="7" t="s">
        <v>292</v>
      </c>
      <c r="B107" s="7" t="s">
        <v>7989</v>
      </c>
      <c r="C107" s="12" t="n">
        <v>1000</v>
      </c>
      <c r="D107" s="7" t="n">
        <v>33</v>
      </c>
      <c r="E107" s="13" t="n">
        <v>0.32</v>
      </c>
      <c r="F107" s="7" t="n">
        <v>1</v>
      </c>
      <c r="G107" s="7" t="n">
        <v>2</v>
      </c>
      <c r="H107" s="7"/>
    </row>
    <row r="108" customFormat="false" ht="15" hidden="false" customHeight="true" outlineLevel="0" collapsed="false">
      <c r="A108" s="7" t="s">
        <v>159</v>
      </c>
      <c r="B108" s="7" t="s">
        <v>7990</v>
      </c>
      <c r="C108" s="12" t="n">
        <v>1000</v>
      </c>
      <c r="D108" s="7" t="n">
        <v>27</v>
      </c>
      <c r="E108" s="13" t="n">
        <v>0.72</v>
      </c>
      <c r="F108" s="7" t="n">
        <v>1</v>
      </c>
      <c r="G108" s="7" t="n">
        <v>3</v>
      </c>
      <c r="H108" s="7"/>
    </row>
    <row r="109" customFormat="false" ht="15" hidden="false" customHeight="true" outlineLevel="0" collapsed="false">
      <c r="A109" s="7" t="s">
        <v>293</v>
      </c>
      <c r="B109" s="7" t="s">
        <v>7989</v>
      </c>
      <c r="C109" s="12" t="n">
        <v>1000</v>
      </c>
      <c r="D109" s="7" t="n">
        <v>22</v>
      </c>
      <c r="E109" s="13" t="n">
        <v>0.29</v>
      </c>
      <c r="F109" s="7" t="n">
        <v>1</v>
      </c>
      <c r="G109" s="7" t="n">
        <v>2</v>
      </c>
      <c r="H109" s="7"/>
    </row>
    <row r="110" customFormat="false" ht="15" hidden="false" customHeight="true" outlineLevel="0" collapsed="false">
      <c r="A110" s="7" t="s">
        <v>160</v>
      </c>
      <c r="B110" s="7" t="s">
        <v>7991</v>
      </c>
      <c r="C110" s="12" t="n">
        <v>1000</v>
      </c>
      <c r="D110" s="7" t="n">
        <v>41</v>
      </c>
      <c r="E110" s="13" t="n">
        <v>0.76</v>
      </c>
      <c r="F110" s="7" t="n">
        <v>1</v>
      </c>
      <c r="G110" s="7" t="n">
        <v>3</v>
      </c>
      <c r="H110" s="7"/>
    </row>
    <row r="111" customFormat="false" ht="15" hidden="false" customHeight="true" outlineLevel="0" collapsed="false">
      <c r="A111" s="7" t="s">
        <v>229</v>
      </c>
      <c r="B111" s="7" t="s">
        <v>7990</v>
      </c>
      <c r="C111" s="12" t="n">
        <v>1000</v>
      </c>
      <c r="D111" s="7" t="n">
        <v>26</v>
      </c>
      <c r="E111" s="13" t="n">
        <v>1.05</v>
      </c>
      <c r="F111" s="7" t="n">
        <v>1</v>
      </c>
      <c r="G111" s="7" t="s">
        <v>7919</v>
      </c>
      <c r="H111" s="7"/>
    </row>
    <row r="112" customFormat="false" ht="15" hidden="false" customHeight="true" outlineLevel="0" collapsed="false">
      <c r="A112" s="7" t="s">
        <v>227</v>
      </c>
      <c r="B112" s="7" t="s">
        <v>7991</v>
      </c>
      <c r="C112" s="12" t="n">
        <v>1000</v>
      </c>
      <c r="D112" s="7" t="n">
        <v>28</v>
      </c>
      <c r="E112" s="13" t="n">
        <v>1.63</v>
      </c>
      <c r="F112" s="7" t="n">
        <v>1</v>
      </c>
      <c r="G112" s="7" t="s">
        <v>7919</v>
      </c>
      <c r="H112" s="7"/>
    </row>
    <row r="113" customFormat="false" ht="15" hidden="false" customHeight="true" outlineLevel="0" collapsed="false">
      <c r="A113" s="7" t="s">
        <v>232</v>
      </c>
      <c r="B113" s="7" t="s">
        <v>7990</v>
      </c>
      <c r="C113" s="12" t="n">
        <v>1000</v>
      </c>
      <c r="D113" s="7" t="n">
        <v>24</v>
      </c>
      <c r="E113" s="13" t="n">
        <v>0.92</v>
      </c>
      <c r="F113" s="7" t="n">
        <v>1</v>
      </c>
      <c r="G113" s="7" t="s">
        <v>7919</v>
      </c>
      <c r="H113" s="7"/>
    </row>
    <row r="114" customFormat="false" ht="15" hidden="false" customHeight="true" outlineLevel="0" collapsed="false">
      <c r="A114" s="7" t="s">
        <v>231</v>
      </c>
      <c r="B114" s="7" t="s">
        <v>7990</v>
      </c>
      <c r="C114" s="12" t="n">
        <v>1000</v>
      </c>
      <c r="D114" s="7" t="n">
        <v>22</v>
      </c>
      <c r="E114" s="13" t="n">
        <v>0.83</v>
      </c>
      <c r="F114" s="7" t="n">
        <v>1</v>
      </c>
      <c r="G114" s="7" t="s">
        <v>7919</v>
      </c>
      <c r="H114" s="7"/>
    </row>
    <row r="115" customFormat="false" ht="15" hidden="false" customHeight="true" outlineLevel="0" collapsed="false">
      <c r="A115" s="7" t="s">
        <v>230</v>
      </c>
      <c r="B115" s="7" t="s">
        <v>7990</v>
      </c>
      <c r="C115" s="12" t="n">
        <v>1000</v>
      </c>
      <c r="D115" s="7" t="n">
        <v>19</v>
      </c>
      <c r="E115" s="13" t="n">
        <v>1.06</v>
      </c>
      <c r="F115" s="7" t="n">
        <v>1</v>
      </c>
      <c r="G115" s="7" t="s">
        <v>7919</v>
      </c>
      <c r="H115" s="7"/>
    </row>
    <row r="116" customFormat="false" ht="15" hidden="false" customHeight="true" outlineLevel="0" collapsed="false">
      <c r="A116" s="7" t="s">
        <v>226</v>
      </c>
      <c r="B116" s="7" t="s">
        <v>7990</v>
      </c>
      <c r="C116" s="12" t="n">
        <v>1000</v>
      </c>
      <c r="D116" s="7" t="n">
        <v>20</v>
      </c>
      <c r="E116" s="13" t="n">
        <v>0.99</v>
      </c>
      <c r="F116" s="7" t="n">
        <v>1</v>
      </c>
      <c r="G116" s="7" t="s">
        <v>6816</v>
      </c>
      <c r="H116" s="7"/>
    </row>
    <row r="117" customFormat="false" ht="15" hidden="false" customHeight="true" outlineLevel="0" collapsed="false">
      <c r="A117" s="7" t="s">
        <v>225</v>
      </c>
      <c r="B117" s="7" t="s">
        <v>7990</v>
      </c>
      <c r="C117" s="12" t="n">
        <v>1000</v>
      </c>
      <c r="D117" s="7" t="n">
        <v>21</v>
      </c>
      <c r="E117" s="13" t="n">
        <v>1.04</v>
      </c>
      <c r="F117" s="7" t="n">
        <v>1</v>
      </c>
      <c r="G117" s="7" t="s">
        <v>6816</v>
      </c>
      <c r="H117" s="7"/>
    </row>
    <row r="118" customFormat="false" ht="15" hidden="false" customHeight="true" outlineLevel="0" collapsed="false">
      <c r="A118" s="7" t="s">
        <v>2633</v>
      </c>
      <c r="B118" s="7" t="s">
        <v>7989</v>
      </c>
      <c r="C118" s="12" t="n">
        <v>880</v>
      </c>
      <c r="D118" s="7" t="n">
        <v>21</v>
      </c>
      <c r="E118" s="13" t="n">
        <v>0.27</v>
      </c>
      <c r="F118" s="7" t="n">
        <v>1</v>
      </c>
      <c r="G118" s="7" t="n">
        <v>4</v>
      </c>
      <c r="H118" s="7"/>
    </row>
    <row r="119" customFormat="false" ht="15" hidden="false" customHeight="true" outlineLevel="0" collapsed="false">
      <c r="A119" s="7" t="s">
        <v>294</v>
      </c>
      <c r="B119" s="7" t="s">
        <v>7989</v>
      </c>
      <c r="C119" s="12" t="n">
        <v>880</v>
      </c>
      <c r="D119" s="7" t="n">
        <v>31</v>
      </c>
      <c r="E119" s="13" t="n">
        <v>0.36</v>
      </c>
      <c r="F119" s="7" t="n">
        <v>1</v>
      </c>
      <c r="G119" s="7" t="n">
        <v>1</v>
      </c>
      <c r="H119" s="7"/>
    </row>
    <row r="120" customFormat="false" ht="15" hidden="false" customHeight="true" outlineLevel="0" collapsed="false">
      <c r="A120" s="7" t="s">
        <v>3469</v>
      </c>
      <c r="B120" s="7" t="s">
        <v>7990</v>
      </c>
      <c r="C120" s="12" t="n">
        <v>880</v>
      </c>
      <c r="D120" s="7" t="n">
        <v>16</v>
      </c>
      <c r="E120" s="13" t="n">
        <v>0.42</v>
      </c>
      <c r="F120" s="7" t="n">
        <v>1</v>
      </c>
      <c r="G120" s="7" t="n">
        <v>4</v>
      </c>
      <c r="H120" s="7"/>
    </row>
    <row r="121" customFormat="false" ht="15" hidden="false" customHeight="true" outlineLevel="0" collapsed="false">
      <c r="A121" s="7" t="s">
        <v>295</v>
      </c>
      <c r="B121" s="7" t="s">
        <v>7990</v>
      </c>
      <c r="C121" s="12" t="n">
        <v>880</v>
      </c>
      <c r="D121" s="7" t="n">
        <v>28</v>
      </c>
      <c r="E121" s="13" t="n">
        <v>0.53</v>
      </c>
      <c r="F121" s="7" t="n">
        <v>1</v>
      </c>
      <c r="G121" s="7" t="n">
        <v>1</v>
      </c>
      <c r="H121" s="7"/>
    </row>
    <row r="122" customFormat="false" ht="15" hidden="false" customHeight="true" outlineLevel="0" collapsed="false">
      <c r="A122" s="7" t="s">
        <v>4373</v>
      </c>
      <c r="B122" s="7" t="s">
        <v>7990</v>
      </c>
      <c r="C122" s="12" t="n">
        <v>880</v>
      </c>
      <c r="D122" s="7" t="n">
        <v>29</v>
      </c>
      <c r="E122" s="13" t="n">
        <v>0.56</v>
      </c>
      <c r="F122" s="7" t="n">
        <v>1</v>
      </c>
      <c r="G122" s="7" t="n">
        <v>6</v>
      </c>
      <c r="H122" s="7"/>
    </row>
    <row r="123" customFormat="false" ht="15" hidden="false" customHeight="true" outlineLevel="0" collapsed="false">
      <c r="A123" s="7" t="s">
        <v>7897</v>
      </c>
      <c r="B123" s="7" t="s">
        <v>7990</v>
      </c>
      <c r="C123" s="12" t="n">
        <v>880</v>
      </c>
      <c r="D123" s="7" t="n">
        <v>15</v>
      </c>
      <c r="E123" s="13" t="n">
        <v>0.69</v>
      </c>
      <c r="F123" s="7" t="n">
        <v>1</v>
      </c>
      <c r="G123" s="7" t="s">
        <v>6816</v>
      </c>
      <c r="H123" s="7"/>
    </row>
    <row r="124" customFormat="false" ht="15" hidden="false" customHeight="true" outlineLevel="0" collapsed="false">
      <c r="A124" s="7" t="s">
        <v>6560</v>
      </c>
      <c r="B124" s="7" t="s">
        <v>7989</v>
      </c>
      <c r="C124" s="12" t="n">
        <v>880</v>
      </c>
      <c r="D124" s="7" t="n">
        <v>15</v>
      </c>
      <c r="E124" s="13" t="n">
        <v>0.38</v>
      </c>
      <c r="F124" s="7" t="n">
        <v>1</v>
      </c>
      <c r="G124" s="7" t="n">
        <v>2</v>
      </c>
      <c r="H124" s="7"/>
    </row>
    <row r="125" customFormat="false" ht="15" hidden="false" customHeight="true" outlineLevel="0" collapsed="false">
      <c r="A125" s="7" t="s">
        <v>7935</v>
      </c>
      <c r="B125" s="7" t="s">
        <v>7990</v>
      </c>
      <c r="C125" s="12" t="n">
        <v>880</v>
      </c>
      <c r="D125" s="7" t="n">
        <v>12</v>
      </c>
      <c r="E125" s="13" t="n">
        <v>0.67</v>
      </c>
      <c r="F125" s="7" t="n">
        <v>1</v>
      </c>
      <c r="G125" s="7" t="s">
        <v>7919</v>
      </c>
      <c r="H125" s="7"/>
    </row>
    <row r="126" customFormat="false" ht="15" hidden="false" customHeight="true" outlineLevel="0" collapsed="false">
      <c r="A126" s="7" t="s">
        <v>7904</v>
      </c>
      <c r="B126" s="7" t="s">
        <v>7990</v>
      </c>
      <c r="C126" s="12" t="n">
        <v>880</v>
      </c>
      <c r="D126" s="7" t="n">
        <v>12</v>
      </c>
      <c r="E126" s="13" t="n">
        <v>0.39</v>
      </c>
      <c r="F126" s="7" t="n">
        <v>1</v>
      </c>
      <c r="G126" s="7" t="s">
        <v>6816</v>
      </c>
      <c r="H126" s="7"/>
    </row>
    <row r="127" customFormat="false" ht="15" hidden="false" customHeight="true" outlineLevel="0" collapsed="false">
      <c r="A127" s="7" t="s">
        <v>7939</v>
      </c>
      <c r="B127" s="7" t="s">
        <v>7990</v>
      </c>
      <c r="C127" s="12" t="n">
        <v>880</v>
      </c>
      <c r="D127" s="7" t="n">
        <v>21</v>
      </c>
      <c r="E127" s="13" t="n">
        <v>1.03</v>
      </c>
      <c r="F127" s="7" t="n">
        <v>1</v>
      </c>
      <c r="G127" s="7" t="s">
        <v>7919</v>
      </c>
      <c r="H127" s="7"/>
    </row>
    <row r="128" customFormat="false" ht="15" hidden="false" customHeight="true" outlineLevel="0" collapsed="false">
      <c r="A128" s="7" t="s">
        <v>6320</v>
      </c>
      <c r="B128" s="7" t="s">
        <v>7990</v>
      </c>
      <c r="C128" s="12" t="n">
        <v>880</v>
      </c>
      <c r="D128" s="7" t="n">
        <v>22</v>
      </c>
      <c r="E128" s="13" t="n">
        <v>0.59</v>
      </c>
      <c r="F128" s="7" t="n">
        <v>1</v>
      </c>
      <c r="G128" s="7" t="n">
        <v>8</v>
      </c>
      <c r="H128" s="7"/>
    </row>
    <row r="129" customFormat="false" ht="15" hidden="false" customHeight="true" outlineLevel="0" collapsed="false">
      <c r="A129" s="7" t="s">
        <v>5879</v>
      </c>
      <c r="B129" s="7" t="s">
        <v>7990</v>
      </c>
      <c r="C129" s="12" t="n">
        <v>720</v>
      </c>
      <c r="D129" s="7" t="n">
        <v>18</v>
      </c>
      <c r="E129" s="13" t="n">
        <v>0.47</v>
      </c>
      <c r="F129" s="7" t="n">
        <v>1</v>
      </c>
      <c r="G129" s="7" t="n">
        <v>4</v>
      </c>
      <c r="H129" s="7"/>
    </row>
    <row r="130" customFormat="false" ht="15" hidden="false" customHeight="true" outlineLevel="0" collapsed="false">
      <c r="A130" s="7" t="s">
        <v>7911</v>
      </c>
      <c r="B130" s="7" t="s">
        <v>7990</v>
      </c>
      <c r="C130" s="12" t="n">
        <v>720</v>
      </c>
      <c r="D130" s="7" t="n">
        <v>20</v>
      </c>
      <c r="E130" s="13" t="n">
        <v>0.3</v>
      </c>
      <c r="F130" s="7" t="n">
        <v>1</v>
      </c>
      <c r="G130" s="7" t="s">
        <v>6816</v>
      </c>
      <c r="H130" s="7"/>
    </row>
    <row r="131" customFormat="false" ht="15" hidden="false" customHeight="true" outlineLevel="0" collapsed="false">
      <c r="A131" s="7" t="s">
        <v>6499</v>
      </c>
      <c r="B131" s="7" t="s">
        <v>7989</v>
      </c>
      <c r="C131" s="12" t="n">
        <v>720</v>
      </c>
      <c r="D131" s="7" t="n">
        <v>20</v>
      </c>
      <c r="E131" s="13" t="n">
        <v>0.39</v>
      </c>
      <c r="F131" s="7" t="n">
        <v>1</v>
      </c>
      <c r="G131" s="7" t="n">
        <v>1</v>
      </c>
      <c r="H131" s="7"/>
    </row>
    <row r="132" customFormat="false" ht="15" hidden="false" customHeight="true" outlineLevel="0" collapsed="false">
      <c r="A132" s="7" t="s">
        <v>3585</v>
      </c>
      <c r="B132" s="7" t="s">
        <v>7989</v>
      </c>
      <c r="C132" s="12" t="n">
        <v>720</v>
      </c>
      <c r="D132" s="7" t="n">
        <v>17</v>
      </c>
      <c r="E132" s="13" t="n">
        <v>0.39</v>
      </c>
      <c r="F132" s="7" t="n">
        <v>1</v>
      </c>
      <c r="G132" s="7" t="n">
        <v>5</v>
      </c>
      <c r="H132" s="7"/>
    </row>
    <row r="133" customFormat="false" ht="15" hidden="false" customHeight="true" outlineLevel="0" collapsed="false">
      <c r="A133" s="7" t="s">
        <v>161</v>
      </c>
      <c r="B133" s="7" t="s">
        <v>7990</v>
      </c>
      <c r="C133" s="12" t="n">
        <v>720</v>
      </c>
      <c r="D133" s="7" t="n">
        <v>25</v>
      </c>
      <c r="E133" s="13" t="n">
        <v>0.84</v>
      </c>
      <c r="F133" s="7" t="n">
        <v>1</v>
      </c>
      <c r="G133" s="7" t="n">
        <v>3</v>
      </c>
      <c r="H133" s="7"/>
    </row>
    <row r="134" customFormat="false" ht="15" hidden="false" customHeight="true" outlineLevel="0" collapsed="false">
      <c r="A134" s="7" t="s">
        <v>5060</v>
      </c>
      <c r="B134" s="7" t="s">
        <v>7990</v>
      </c>
      <c r="C134" s="12" t="n">
        <v>720</v>
      </c>
      <c r="D134" s="7" t="n">
        <v>20</v>
      </c>
      <c r="E134" s="13" t="n">
        <v>0.44</v>
      </c>
      <c r="F134" s="7" t="n">
        <v>1</v>
      </c>
      <c r="G134" s="7" t="n">
        <v>6</v>
      </c>
      <c r="H134" s="7"/>
    </row>
    <row r="135" customFormat="false" ht="15" hidden="false" customHeight="true" outlineLevel="0" collapsed="false">
      <c r="A135" s="7" t="s">
        <v>6570</v>
      </c>
      <c r="B135" s="7" t="s">
        <v>7989</v>
      </c>
      <c r="C135" s="12" t="n">
        <v>720</v>
      </c>
      <c r="D135" s="7" t="n">
        <v>34</v>
      </c>
      <c r="E135" s="13" t="n">
        <v>0.36</v>
      </c>
      <c r="F135" s="7" t="n">
        <v>1</v>
      </c>
      <c r="G135" s="7" t="n">
        <v>2</v>
      </c>
      <c r="H135" s="7"/>
    </row>
    <row r="136" customFormat="false" ht="15" hidden="false" customHeight="true" outlineLevel="0" collapsed="false">
      <c r="A136" s="7" t="s">
        <v>6572</v>
      </c>
      <c r="B136" s="7" t="s">
        <v>7989</v>
      </c>
      <c r="C136" s="12" t="n">
        <v>720</v>
      </c>
      <c r="D136" s="7" t="n">
        <v>24</v>
      </c>
      <c r="E136" s="13" t="n">
        <v>0.35</v>
      </c>
      <c r="F136" s="7" t="n">
        <v>1</v>
      </c>
      <c r="G136" s="7" t="n">
        <v>2</v>
      </c>
      <c r="H136" s="7"/>
    </row>
    <row r="137" customFormat="false" ht="15" hidden="false" customHeight="true" outlineLevel="0" collapsed="false">
      <c r="A137" s="7" t="s">
        <v>6593</v>
      </c>
      <c r="B137" s="7" t="s">
        <v>7994</v>
      </c>
      <c r="C137" s="12" t="n">
        <v>720</v>
      </c>
      <c r="D137" s="7" t="n">
        <v>28</v>
      </c>
      <c r="E137" s="13" t="n">
        <v>0.39</v>
      </c>
      <c r="F137" s="7" t="n">
        <v>1</v>
      </c>
      <c r="G137" s="7" t="n">
        <v>2</v>
      </c>
      <c r="H137" s="7"/>
    </row>
    <row r="138" customFormat="false" ht="15" hidden="false" customHeight="true" outlineLevel="0" collapsed="false">
      <c r="A138" s="7" t="s">
        <v>162</v>
      </c>
      <c r="B138" s="7" t="s">
        <v>7990</v>
      </c>
      <c r="C138" s="12" t="n">
        <v>720</v>
      </c>
      <c r="D138" s="7" t="n">
        <v>20</v>
      </c>
      <c r="E138" s="13" t="n">
        <v>0.57</v>
      </c>
      <c r="F138" s="7" t="n">
        <v>1</v>
      </c>
      <c r="G138" s="7" t="n">
        <v>3</v>
      </c>
      <c r="H138" s="7"/>
    </row>
    <row r="139" customFormat="false" ht="15" hidden="false" customHeight="true" outlineLevel="0" collapsed="false">
      <c r="A139" s="7" t="s">
        <v>6619</v>
      </c>
      <c r="B139" s="7" t="s">
        <v>7989</v>
      </c>
      <c r="C139" s="12" t="n">
        <v>720</v>
      </c>
      <c r="D139" s="7" t="n">
        <v>15</v>
      </c>
      <c r="E139" s="13" t="n">
        <v>0.31</v>
      </c>
      <c r="F139" s="7" t="n">
        <v>1</v>
      </c>
      <c r="G139" s="7" t="n">
        <v>2</v>
      </c>
      <c r="H139" s="7"/>
    </row>
    <row r="140" customFormat="false" ht="15" hidden="false" customHeight="true" outlineLevel="0" collapsed="false">
      <c r="A140" s="7" t="s">
        <v>7938</v>
      </c>
      <c r="B140" s="7" t="s">
        <v>7990</v>
      </c>
      <c r="C140" s="12" t="n">
        <v>720</v>
      </c>
      <c r="D140" s="7" t="n">
        <v>26</v>
      </c>
      <c r="E140" s="13" t="n">
        <v>0.78</v>
      </c>
      <c r="F140" s="7" t="n">
        <v>1</v>
      </c>
      <c r="G140" s="7" t="s">
        <v>7919</v>
      </c>
      <c r="H140" s="7"/>
    </row>
    <row r="141" customFormat="false" ht="15" hidden="false" customHeight="true" outlineLevel="0" collapsed="false">
      <c r="A141" s="7" t="s">
        <v>6199</v>
      </c>
      <c r="B141" s="7" t="s">
        <v>7989</v>
      </c>
      <c r="C141" s="12" t="n">
        <v>720</v>
      </c>
      <c r="D141" s="7" t="n">
        <v>19</v>
      </c>
      <c r="E141" s="13" t="n">
        <v>0.52</v>
      </c>
      <c r="F141" s="7" t="n">
        <v>1</v>
      </c>
      <c r="G141" s="7" t="n">
        <v>8</v>
      </c>
      <c r="H141" s="7"/>
    </row>
    <row r="142" customFormat="false" ht="15" hidden="false" customHeight="true" outlineLevel="0" collapsed="false">
      <c r="A142" s="7" t="s">
        <v>6332</v>
      </c>
      <c r="B142" s="7" t="s">
        <v>7990</v>
      </c>
      <c r="C142" s="12" t="n">
        <v>720</v>
      </c>
      <c r="D142" s="7" t="n">
        <v>20</v>
      </c>
      <c r="E142" s="13" t="n">
        <v>0.42</v>
      </c>
      <c r="F142" s="7" t="n">
        <v>1</v>
      </c>
      <c r="G142" s="7" t="s">
        <v>6815</v>
      </c>
      <c r="H142" s="7"/>
    </row>
    <row r="143" customFormat="false" ht="15" hidden="false" customHeight="true" outlineLevel="0" collapsed="false">
      <c r="A143" s="7" t="s">
        <v>164</v>
      </c>
      <c r="B143" s="7" t="s">
        <v>7990</v>
      </c>
      <c r="C143" s="12" t="n">
        <v>720</v>
      </c>
      <c r="D143" s="7" t="n">
        <v>16</v>
      </c>
      <c r="E143" s="13" t="n">
        <v>0.77</v>
      </c>
      <c r="F143" s="7" t="n">
        <v>1</v>
      </c>
      <c r="G143" s="7" t="n">
        <v>3</v>
      </c>
      <c r="H143" s="7"/>
    </row>
    <row r="144" customFormat="false" ht="15" hidden="false" customHeight="true" outlineLevel="0" collapsed="false">
      <c r="A144" s="7" t="s">
        <v>6634</v>
      </c>
      <c r="B144" s="7" t="s">
        <v>7990</v>
      </c>
      <c r="C144" s="12" t="n">
        <v>720</v>
      </c>
      <c r="D144" s="7" t="n">
        <v>15</v>
      </c>
      <c r="E144" s="13" t="n">
        <v>0</v>
      </c>
      <c r="F144" s="7" t="n">
        <v>1</v>
      </c>
      <c r="G144" s="7" t="n">
        <v>2</v>
      </c>
      <c r="H144" s="7"/>
    </row>
    <row r="145" customFormat="false" ht="15" hidden="false" customHeight="true" outlineLevel="0" collapsed="false">
      <c r="A145" s="7" t="s">
        <v>6449</v>
      </c>
      <c r="B145" s="7" t="s">
        <v>7989</v>
      </c>
      <c r="C145" s="12" t="n">
        <v>590</v>
      </c>
      <c r="D145" s="7" t="n">
        <v>21</v>
      </c>
      <c r="E145" s="13" t="n">
        <v>0.3</v>
      </c>
      <c r="F145" s="7" t="n">
        <v>1</v>
      </c>
      <c r="G145" s="7" t="n">
        <v>1</v>
      </c>
      <c r="H145" s="7"/>
    </row>
    <row r="146" customFormat="false" ht="15" hidden="false" customHeight="true" outlineLevel="0" collapsed="false">
      <c r="A146" s="7" t="s">
        <v>2569</v>
      </c>
      <c r="B146" s="7" t="s">
        <v>7989</v>
      </c>
      <c r="C146" s="12" t="n">
        <v>590</v>
      </c>
      <c r="D146" s="7" t="n">
        <v>12</v>
      </c>
      <c r="E146" s="13" t="n">
        <v>0.32</v>
      </c>
      <c r="F146" s="7" t="n">
        <v>1</v>
      </c>
      <c r="G146" s="7" t="n">
        <v>4</v>
      </c>
      <c r="H146" s="7"/>
    </row>
    <row r="147" customFormat="false" ht="15" hidden="false" customHeight="true" outlineLevel="0" collapsed="false">
      <c r="A147" s="7" t="s">
        <v>6467</v>
      </c>
      <c r="B147" s="7" t="s">
        <v>7990</v>
      </c>
      <c r="C147" s="12" t="n">
        <v>590</v>
      </c>
      <c r="D147" s="7" t="n">
        <v>18</v>
      </c>
      <c r="E147" s="13" t="n">
        <v>0.25</v>
      </c>
      <c r="F147" s="7" t="n">
        <v>1</v>
      </c>
      <c r="G147" s="7" t="n">
        <v>1</v>
      </c>
      <c r="H147" s="7"/>
    </row>
    <row r="148" customFormat="false" ht="15" hidden="false" customHeight="true" outlineLevel="0" collapsed="false">
      <c r="A148" s="7" t="s">
        <v>7921</v>
      </c>
      <c r="B148" s="7" t="s">
        <v>7993</v>
      </c>
      <c r="C148" s="12" t="n">
        <v>590</v>
      </c>
      <c r="D148" s="7" t="n">
        <v>22</v>
      </c>
      <c r="E148" s="13" t="n">
        <v>0.4</v>
      </c>
      <c r="F148" s="7" t="n">
        <v>0.88</v>
      </c>
      <c r="G148" s="7" t="s">
        <v>7919</v>
      </c>
      <c r="H148" s="7"/>
    </row>
    <row r="149" customFormat="false" ht="15" hidden="false" customHeight="true" outlineLevel="0" collapsed="false">
      <c r="A149" s="7" t="s">
        <v>6488</v>
      </c>
      <c r="B149" s="7" t="s">
        <v>7990</v>
      </c>
      <c r="C149" s="12" t="n">
        <v>590</v>
      </c>
      <c r="D149" s="7" t="n">
        <v>14</v>
      </c>
      <c r="E149" s="13" t="n">
        <v>0.23</v>
      </c>
      <c r="F149" s="7" t="n">
        <v>1</v>
      </c>
      <c r="G149" s="7" t="n">
        <v>1</v>
      </c>
      <c r="H149" s="7"/>
    </row>
    <row r="150" customFormat="false" ht="15" hidden="false" customHeight="true" outlineLevel="0" collapsed="false">
      <c r="A150" s="7" t="s">
        <v>7906</v>
      </c>
      <c r="B150" s="7" t="s">
        <v>7990</v>
      </c>
      <c r="C150" s="12" t="n">
        <v>590</v>
      </c>
      <c r="D150" s="7" t="n">
        <v>11</v>
      </c>
      <c r="E150" s="13" t="n">
        <v>0.7</v>
      </c>
      <c r="F150" s="7" t="n">
        <v>1</v>
      </c>
      <c r="G150" s="7" t="s">
        <v>6816</v>
      </c>
      <c r="H150" s="7"/>
    </row>
    <row r="151" customFormat="false" ht="15" hidden="false" customHeight="true" outlineLevel="0" collapsed="false">
      <c r="A151" s="7" t="s">
        <v>7907</v>
      </c>
      <c r="B151" s="7" t="s">
        <v>7990</v>
      </c>
      <c r="C151" s="12" t="n">
        <v>590</v>
      </c>
      <c r="D151" s="7" t="n">
        <v>9</v>
      </c>
      <c r="E151" s="13" t="n">
        <v>0.71</v>
      </c>
      <c r="F151" s="7" t="n">
        <v>1</v>
      </c>
      <c r="G151" s="7" t="s">
        <v>6816</v>
      </c>
      <c r="H151" s="7"/>
    </row>
    <row r="152" customFormat="false" ht="15" hidden="false" customHeight="true" outlineLevel="0" collapsed="false">
      <c r="A152" s="7" t="s">
        <v>3392</v>
      </c>
      <c r="B152" s="7" t="s">
        <v>7990</v>
      </c>
      <c r="C152" s="12" t="n">
        <v>590</v>
      </c>
      <c r="D152" s="7" t="n">
        <v>17</v>
      </c>
      <c r="E152" s="13" t="n">
        <v>0.6</v>
      </c>
      <c r="F152" s="7" t="n">
        <v>1</v>
      </c>
      <c r="G152" s="7" t="n">
        <v>4</v>
      </c>
      <c r="H152" s="7"/>
    </row>
    <row r="153" customFormat="false" ht="15" hidden="false" customHeight="true" outlineLevel="0" collapsed="false">
      <c r="A153" s="7" t="s">
        <v>4594</v>
      </c>
      <c r="B153" s="7" t="s">
        <v>7990</v>
      </c>
      <c r="C153" s="12" t="n">
        <v>590</v>
      </c>
      <c r="D153" s="7" t="n">
        <v>28</v>
      </c>
      <c r="E153" s="13" t="n">
        <v>0.51</v>
      </c>
      <c r="F153" s="7" t="n">
        <v>1</v>
      </c>
      <c r="G153" s="7" t="n">
        <v>6</v>
      </c>
      <c r="H153" s="7"/>
    </row>
    <row r="154" customFormat="false" ht="15" hidden="false" customHeight="true" outlineLevel="0" collapsed="false">
      <c r="A154" s="7" t="s">
        <v>6556</v>
      </c>
      <c r="B154" s="7" t="s">
        <v>7990</v>
      </c>
      <c r="C154" s="12" t="n">
        <v>590</v>
      </c>
      <c r="D154" s="7" t="n">
        <v>26</v>
      </c>
      <c r="E154" s="13" t="n">
        <v>0.33</v>
      </c>
      <c r="F154" s="7" t="n">
        <v>1</v>
      </c>
      <c r="G154" s="7" t="n">
        <v>1</v>
      </c>
      <c r="H154" s="7"/>
    </row>
    <row r="155" customFormat="false" ht="15" hidden="false" customHeight="true" outlineLevel="0" collapsed="false">
      <c r="A155" s="7" t="s">
        <v>4788</v>
      </c>
      <c r="B155" s="7" t="s">
        <v>7989</v>
      </c>
      <c r="C155" s="12" t="n">
        <v>590</v>
      </c>
      <c r="D155" s="7" t="n">
        <v>19</v>
      </c>
      <c r="E155" s="13" t="n">
        <v>0.68</v>
      </c>
      <c r="F155" s="7" t="n">
        <v>1</v>
      </c>
      <c r="G155" s="7" t="n">
        <v>6</v>
      </c>
      <c r="H155" s="7"/>
    </row>
    <row r="156" customFormat="false" ht="15" hidden="false" customHeight="true" outlineLevel="0" collapsed="false">
      <c r="A156" s="7" t="s">
        <v>7933</v>
      </c>
      <c r="B156" s="7" t="s">
        <v>7991</v>
      </c>
      <c r="C156" s="12" t="n">
        <v>590</v>
      </c>
      <c r="D156" s="7" t="n">
        <v>23</v>
      </c>
      <c r="E156" s="13" t="n">
        <v>1</v>
      </c>
      <c r="F156" s="7" t="n">
        <v>1</v>
      </c>
      <c r="G156" s="7" t="s">
        <v>7919</v>
      </c>
      <c r="H156" s="7"/>
    </row>
    <row r="157" customFormat="false" ht="15" hidden="false" customHeight="true" outlineLevel="0" collapsed="false">
      <c r="A157" s="7" t="s">
        <v>7917</v>
      </c>
      <c r="B157" s="7" t="s">
        <v>7990</v>
      </c>
      <c r="C157" s="12" t="n">
        <v>590</v>
      </c>
      <c r="D157" s="7" t="n">
        <v>22</v>
      </c>
      <c r="E157" s="13" t="n">
        <v>0.81</v>
      </c>
      <c r="F157" s="7" t="n">
        <v>1</v>
      </c>
      <c r="G157" s="7" t="s">
        <v>6816</v>
      </c>
      <c r="H157" s="7"/>
    </row>
    <row r="158" customFormat="false" ht="15" hidden="false" customHeight="true" outlineLevel="0" collapsed="false">
      <c r="A158" s="7" t="s">
        <v>2480</v>
      </c>
      <c r="B158" s="7" t="s">
        <v>7990</v>
      </c>
      <c r="C158" s="12" t="n">
        <v>480</v>
      </c>
      <c r="D158" s="7" t="n">
        <v>13</v>
      </c>
      <c r="E158" s="13" t="n">
        <v>0.55</v>
      </c>
      <c r="F158" s="7" t="n">
        <v>1</v>
      </c>
      <c r="G158" s="7" t="n">
        <v>4</v>
      </c>
      <c r="H158" s="7"/>
    </row>
    <row r="159" customFormat="false" ht="15" hidden="false" customHeight="true" outlineLevel="0" collapsed="false">
      <c r="A159" s="7" t="s">
        <v>2590</v>
      </c>
      <c r="B159" s="7" t="s">
        <v>7990</v>
      </c>
      <c r="C159" s="12" t="n">
        <v>480</v>
      </c>
      <c r="D159" s="7" t="n">
        <v>15</v>
      </c>
      <c r="E159" s="13" t="n">
        <v>0.33</v>
      </c>
      <c r="F159" s="7" t="n">
        <v>1</v>
      </c>
      <c r="G159" s="7" t="n">
        <v>4</v>
      </c>
      <c r="H159" s="7"/>
    </row>
    <row r="160" customFormat="false" ht="15" hidden="false" customHeight="true" outlineLevel="0" collapsed="false">
      <c r="A160" s="7" t="s">
        <v>6490</v>
      </c>
      <c r="B160" s="7" t="s">
        <v>7990</v>
      </c>
      <c r="C160" s="12" t="n">
        <v>480</v>
      </c>
      <c r="D160" s="7" t="n">
        <v>21</v>
      </c>
      <c r="E160" s="13" t="n">
        <v>0.32</v>
      </c>
      <c r="F160" s="7" t="n">
        <v>1</v>
      </c>
      <c r="G160" s="7" t="n">
        <v>1</v>
      </c>
      <c r="H160" s="7"/>
    </row>
    <row r="161" customFormat="false" ht="15" hidden="false" customHeight="true" outlineLevel="0" collapsed="false">
      <c r="A161" s="7" t="s">
        <v>7923</v>
      </c>
      <c r="B161" s="7" t="s">
        <v>7990</v>
      </c>
      <c r="C161" s="12" t="n">
        <v>480</v>
      </c>
      <c r="D161" s="7" t="n">
        <v>19</v>
      </c>
      <c r="E161" s="13" t="n">
        <v>0.46</v>
      </c>
      <c r="F161" s="7" t="n">
        <v>1</v>
      </c>
      <c r="G161" s="7" t="s">
        <v>7919</v>
      </c>
      <c r="H161" s="7"/>
    </row>
    <row r="162" customFormat="false" ht="15" hidden="false" customHeight="true" outlineLevel="0" collapsed="false">
      <c r="A162" s="7" t="s">
        <v>3446</v>
      </c>
      <c r="B162" s="7" t="s">
        <v>7990</v>
      </c>
      <c r="C162" s="12" t="n">
        <v>480</v>
      </c>
      <c r="D162" s="7" t="n">
        <v>20</v>
      </c>
      <c r="E162" s="13" t="n">
        <v>0.46</v>
      </c>
      <c r="F162" s="7" t="n">
        <v>1</v>
      </c>
      <c r="G162" s="7" t="n">
        <v>4</v>
      </c>
      <c r="H162" s="7"/>
    </row>
    <row r="163" customFormat="false" ht="15" hidden="false" customHeight="true" outlineLevel="0" collapsed="false">
      <c r="A163" s="7" t="s">
        <v>3840</v>
      </c>
      <c r="B163" s="7" t="s">
        <v>7990</v>
      </c>
      <c r="C163" s="12" t="n">
        <v>480</v>
      </c>
      <c r="D163" s="7" t="n">
        <v>22</v>
      </c>
      <c r="E163" s="13" t="n">
        <v>0.51</v>
      </c>
      <c r="F163" s="7" t="n">
        <v>1</v>
      </c>
      <c r="G163" s="7" t="n">
        <v>5</v>
      </c>
      <c r="H163" s="7"/>
    </row>
    <row r="164" customFormat="false" ht="15" hidden="false" customHeight="true" outlineLevel="0" collapsed="false">
      <c r="A164" s="7" t="s">
        <v>7932</v>
      </c>
      <c r="B164" s="7" t="s">
        <v>7990</v>
      </c>
      <c r="C164" s="12" t="n">
        <v>480</v>
      </c>
      <c r="D164" s="7" t="n">
        <v>29</v>
      </c>
      <c r="E164" s="13" t="n">
        <v>0.81</v>
      </c>
      <c r="F164" s="7" t="n">
        <v>1</v>
      </c>
      <c r="G164" s="7" t="s">
        <v>7919</v>
      </c>
      <c r="H164" s="7"/>
    </row>
    <row r="165" customFormat="false" ht="15" hidden="false" customHeight="true" outlineLevel="0" collapsed="false">
      <c r="A165" s="7" t="s">
        <v>4754</v>
      </c>
      <c r="B165" s="7" t="s">
        <v>7989</v>
      </c>
      <c r="C165" s="12" t="n">
        <v>480</v>
      </c>
      <c r="D165" s="7" t="n">
        <v>23</v>
      </c>
      <c r="E165" s="13" t="n">
        <v>0.9</v>
      </c>
      <c r="F165" s="7" t="n">
        <v>1</v>
      </c>
      <c r="G165" s="7" t="n">
        <v>6</v>
      </c>
      <c r="H165" s="7"/>
    </row>
    <row r="166" customFormat="false" ht="15" hidden="false" customHeight="true" outlineLevel="0" collapsed="false">
      <c r="A166" s="7" t="s">
        <v>4797</v>
      </c>
      <c r="B166" s="7" t="s">
        <v>7989</v>
      </c>
      <c r="C166" s="12" t="n">
        <v>480</v>
      </c>
      <c r="D166" s="7" t="n">
        <v>28</v>
      </c>
      <c r="E166" s="13" t="n">
        <v>0.68</v>
      </c>
      <c r="F166" s="7" t="n">
        <v>1</v>
      </c>
      <c r="G166" s="7" t="n">
        <v>6</v>
      </c>
      <c r="H166" s="7"/>
    </row>
    <row r="167" customFormat="false" ht="15" hidden="false" customHeight="true" outlineLevel="0" collapsed="false">
      <c r="A167" s="7" t="s">
        <v>165</v>
      </c>
      <c r="B167" s="7" t="s">
        <v>7991</v>
      </c>
      <c r="C167" s="12" t="n">
        <v>480</v>
      </c>
      <c r="D167" s="7" t="n">
        <v>21</v>
      </c>
      <c r="E167" s="13" t="n">
        <v>1.16</v>
      </c>
      <c r="F167" s="7" t="n">
        <v>1</v>
      </c>
      <c r="G167" s="7" t="n">
        <v>3</v>
      </c>
      <c r="H167" s="7"/>
    </row>
    <row r="168" customFormat="false" ht="15" hidden="false" customHeight="true" outlineLevel="0" collapsed="false">
      <c r="A168" s="7" t="s">
        <v>166</v>
      </c>
      <c r="B168" s="7" t="s">
        <v>7990</v>
      </c>
      <c r="C168" s="12" t="n">
        <v>480</v>
      </c>
      <c r="D168" s="7" t="n">
        <v>59</v>
      </c>
      <c r="E168" s="13" t="n">
        <v>1.4</v>
      </c>
      <c r="F168" s="7" t="n">
        <v>1</v>
      </c>
      <c r="G168" s="7" t="n">
        <v>3</v>
      </c>
      <c r="H168" s="7"/>
    </row>
    <row r="169" customFormat="false" ht="15" hidden="false" customHeight="true" outlineLevel="0" collapsed="false">
      <c r="A169" s="7" t="s">
        <v>7941</v>
      </c>
      <c r="B169" s="7" t="s">
        <v>7990</v>
      </c>
      <c r="C169" s="12" t="n">
        <v>480</v>
      </c>
      <c r="D169" s="7" t="n">
        <v>45</v>
      </c>
      <c r="E169" s="13" t="n">
        <v>1.63</v>
      </c>
      <c r="F169" s="7" t="n">
        <v>1</v>
      </c>
      <c r="G169" s="7" t="s">
        <v>7919</v>
      </c>
      <c r="H169" s="7"/>
    </row>
    <row r="170" customFormat="false" ht="15" hidden="false" customHeight="true" outlineLevel="0" collapsed="false">
      <c r="A170" s="7" t="s">
        <v>235</v>
      </c>
      <c r="B170" s="7" t="s">
        <v>7993</v>
      </c>
      <c r="C170" s="12" t="n">
        <v>480</v>
      </c>
      <c r="D170" s="7" t="n">
        <v>12</v>
      </c>
      <c r="E170" s="13" t="n">
        <v>1.03</v>
      </c>
      <c r="F170" s="7" t="n">
        <v>1</v>
      </c>
      <c r="G170" s="7" t="n">
        <v>1</v>
      </c>
      <c r="H170" s="7"/>
    </row>
    <row r="171" customFormat="false" ht="15" hidden="false" customHeight="true" outlineLevel="0" collapsed="false">
      <c r="A171" s="7" t="s">
        <v>2469</v>
      </c>
      <c r="B171" s="7" t="s">
        <v>7990</v>
      </c>
      <c r="C171" s="12" t="n">
        <v>390</v>
      </c>
      <c r="D171" s="7" t="n">
        <v>17</v>
      </c>
      <c r="E171" s="13" t="n">
        <v>0.36</v>
      </c>
      <c r="F171" s="7" t="n">
        <v>1</v>
      </c>
      <c r="G171" s="7" t="n">
        <v>4</v>
      </c>
      <c r="H171" s="7"/>
    </row>
    <row r="172" customFormat="false" ht="15" hidden="false" customHeight="true" outlineLevel="0" collapsed="false">
      <c r="A172" s="7" t="s">
        <v>6455</v>
      </c>
      <c r="B172" s="7" t="s">
        <v>7990</v>
      </c>
      <c r="C172" s="12" t="n">
        <v>390</v>
      </c>
      <c r="D172" s="7" t="n">
        <v>36</v>
      </c>
      <c r="E172" s="13" t="n">
        <v>0.29</v>
      </c>
      <c r="F172" s="7" t="n">
        <v>1</v>
      </c>
      <c r="G172" s="7" t="n">
        <v>1</v>
      </c>
      <c r="H172" s="7"/>
    </row>
    <row r="173" customFormat="false" ht="15" hidden="false" customHeight="true" outlineLevel="0" collapsed="false">
      <c r="A173" s="7" t="s">
        <v>2760</v>
      </c>
      <c r="B173" s="7" t="s">
        <v>7990</v>
      </c>
      <c r="C173" s="12" t="n">
        <v>390</v>
      </c>
      <c r="D173" s="7" t="n">
        <v>19</v>
      </c>
      <c r="E173" s="13" t="n">
        <v>0.33</v>
      </c>
      <c r="F173" s="7" t="n">
        <v>1</v>
      </c>
      <c r="G173" s="7" t="n">
        <v>4</v>
      </c>
      <c r="H173" s="7"/>
    </row>
    <row r="174" customFormat="false" ht="15" hidden="false" customHeight="true" outlineLevel="0" collapsed="false">
      <c r="A174" s="7" t="s">
        <v>7912</v>
      </c>
      <c r="B174" s="7" t="s">
        <v>7990</v>
      </c>
      <c r="C174" s="12" t="n">
        <v>390</v>
      </c>
      <c r="D174" s="7" t="n">
        <v>12</v>
      </c>
      <c r="E174" s="13" t="n">
        <v>1</v>
      </c>
      <c r="F174" s="7" t="n">
        <v>1</v>
      </c>
      <c r="G174" s="7" t="s">
        <v>6816</v>
      </c>
      <c r="H174" s="7"/>
    </row>
    <row r="175" customFormat="false" ht="15" hidden="false" customHeight="true" outlineLevel="0" collapsed="false">
      <c r="A175" s="7" t="s">
        <v>6478</v>
      </c>
      <c r="B175" s="7" t="s">
        <v>7990</v>
      </c>
      <c r="C175" s="12" t="n">
        <v>390</v>
      </c>
      <c r="D175" s="7" t="n">
        <v>18</v>
      </c>
      <c r="E175" s="13" t="n">
        <v>0.53</v>
      </c>
      <c r="F175" s="7" t="n">
        <v>1</v>
      </c>
      <c r="G175" s="7" t="n">
        <v>1</v>
      </c>
      <c r="H175" s="7"/>
    </row>
    <row r="176" customFormat="false" ht="15" hidden="false" customHeight="true" outlineLevel="0" collapsed="false">
      <c r="A176" s="7" t="s">
        <v>3262</v>
      </c>
      <c r="B176" s="7" t="s">
        <v>7989</v>
      </c>
      <c r="C176" s="12" t="n">
        <v>390</v>
      </c>
      <c r="D176" s="7" t="n">
        <v>16</v>
      </c>
      <c r="E176" s="13" t="n">
        <v>0.44</v>
      </c>
      <c r="F176" s="7" t="n">
        <v>1</v>
      </c>
      <c r="G176" s="7" t="n">
        <v>4</v>
      </c>
      <c r="H176" s="7"/>
    </row>
    <row r="177" customFormat="false" ht="15" hidden="false" customHeight="true" outlineLevel="0" collapsed="false">
      <c r="A177" s="7" t="s">
        <v>3223</v>
      </c>
      <c r="B177" s="7" t="s">
        <v>7989</v>
      </c>
      <c r="C177" s="12" t="n">
        <v>390</v>
      </c>
      <c r="D177" s="7" t="n">
        <v>17</v>
      </c>
      <c r="E177" s="13" t="n">
        <v>0.62</v>
      </c>
      <c r="F177" s="7" t="n">
        <v>1</v>
      </c>
      <c r="G177" s="7" t="n">
        <v>4</v>
      </c>
      <c r="H177" s="7"/>
    </row>
    <row r="178" customFormat="false" ht="15" hidden="false" customHeight="true" outlineLevel="0" collapsed="false">
      <c r="A178" s="7" t="s">
        <v>6495</v>
      </c>
      <c r="B178" s="7" t="s">
        <v>7989</v>
      </c>
      <c r="C178" s="12" t="n">
        <v>390</v>
      </c>
      <c r="D178" s="7" t="n">
        <v>25</v>
      </c>
      <c r="E178" s="13" t="n">
        <v>0.43</v>
      </c>
      <c r="F178" s="7" t="n">
        <v>1</v>
      </c>
      <c r="G178" s="7" t="n">
        <v>1</v>
      </c>
      <c r="H178" s="7"/>
    </row>
    <row r="179" customFormat="false" ht="15" hidden="false" customHeight="true" outlineLevel="0" collapsed="false">
      <c r="A179" s="7" t="s">
        <v>7931</v>
      </c>
      <c r="B179" s="7" t="s">
        <v>7990</v>
      </c>
      <c r="C179" s="12" t="n">
        <v>390</v>
      </c>
      <c r="D179" s="7" t="n">
        <v>10</v>
      </c>
      <c r="E179" s="13" t="n">
        <v>0.49</v>
      </c>
      <c r="F179" s="7" t="n">
        <v>1</v>
      </c>
      <c r="G179" s="7" t="s">
        <v>7919</v>
      </c>
      <c r="H179" s="7"/>
    </row>
    <row r="180" customFormat="false" ht="15" hidden="false" customHeight="true" outlineLevel="0" collapsed="false">
      <c r="A180" s="7" t="s">
        <v>3525</v>
      </c>
      <c r="B180" s="7" t="s">
        <v>7990</v>
      </c>
      <c r="C180" s="12" t="n">
        <v>390</v>
      </c>
      <c r="D180" s="7" t="n">
        <v>16</v>
      </c>
      <c r="E180" s="13" t="n">
        <v>0.47</v>
      </c>
      <c r="F180" s="7" t="n">
        <v>1</v>
      </c>
      <c r="G180" s="7" t="n">
        <v>5</v>
      </c>
      <c r="H180" s="7"/>
    </row>
    <row r="181" customFormat="false" ht="15" hidden="false" customHeight="true" outlineLevel="0" collapsed="false">
      <c r="A181" s="7" t="s">
        <v>6516</v>
      </c>
      <c r="B181" s="7" t="s">
        <v>7990</v>
      </c>
      <c r="C181" s="12" t="n">
        <v>390</v>
      </c>
      <c r="D181" s="7" t="n">
        <v>22</v>
      </c>
      <c r="E181" s="13" t="n">
        <v>0.4</v>
      </c>
      <c r="F181" s="7" t="n">
        <v>1</v>
      </c>
      <c r="G181" s="7" t="n">
        <v>1</v>
      </c>
      <c r="H181" s="7"/>
    </row>
    <row r="182" customFormat="false" ht="15" hidden="false" customHeight="true" outlineLevel="0" collapsed="false">
      <c r="A182" s="7" t="s">
        <v>3974</v>
      </c>
      <c r="B182" s="7" t="s">
        <v>7990</v>
      </c>
      <c r="C182" s="12" t="n">
        <v>390</v>
      </c>
      <c r="D182" s="7" t="n">
        <v>15</v>
      </c>
      <c r="E182" s="13" t="n">
        <v>0.36</v>
      </c>
      <c r="F182" s="7" t="n">
        <v>1</v>
      </c>
      <c r="G182" s="7" t="n">
        <v>6</v>
      </c>
      <c r="H182" s="7"/>
    </row>
    <row r="183" customFormat="false" ht="15" hidden="false" customHeight="true" outlineLevel="0" collapsed="false">
      <c r="A183" s="7" t="s">
        <v>7920</v>
      </c>
      <c r="B183" s="7" t="s">
        <v>7990</v>
      </c>
      <c r="C183" s="12" t="n">
        <v>390</v>
      </c>
      <c r="D183" s="7" t="n">
        <v>55</v>
      </c>
      <c r="E183" s="13" t="n">
        <v>0.64</v>
      </c>
      <c r="F183" s="7" t="n">
        <v>1</v>
      </c>
      <c r="G183" s="7" t="s">
        <v>7919</v>
      </c>
      <c r="H183" s="7"/>
    </row>
    <row r="184" customFormat="false" ht="15" hidden="false" customHeight="true" outlineLevel="0" collapsed="false">
      <c r="A184" s="7" t="s">
        <v>7925</v>
      </c>
      <c r="B184" s="7" t="s">
        <v>7990</v>
      </c>
      <c r="C184" s="12" t="n">
        <v>390</v>
      </c>
      <c r="D184" s="7" t="n">
        <v>13</v>
      </c>
      <c r="E184" s="13" t="n">
        <v>0.24</v>
      </c>
      <c r="F184" s="7" t="n">
        <v>1</v>
      </c>
      <c r="G184" s="7" t="s">
        <v>7919</v>
      </c>
      <c r="H184" s="7"/>
    </row>
    <row r="185" customFormat="false" ht="15" hidden="false" customHeight="true" outlineLevel="0" collapsed="false">
      <c r="A185" s="7" t="s">
        <v>7940</v>
      </c>
      <c r="B185" s="7" t="s">
        <v>7990</v>
      </c>
      <c r="C185" s="12" t="n">
        <v>390</v>
      </c>
      <c r="D185" s="7" t="n">
        <v>11</v>
      </c>
      <c r="E185" s="13" t="n">
        <v>0.87</v>
      </c>
      <c r="F185" s="7" t="n">
        <v>1</v>
      </c>
      <c r="G185" s="7" t="s">
        <v>7919</v>
      </c>
      <c r="H185" s="7"/>
    </row>
    <row r="186" customFormat="false" ht="15" hidden="false" customHeight="true" outlineLevel="0" collapsed="false">
      <c r="A186" s="7" t="s">
        <v>7918</v>
      </c>
      <c r="B186" s="7" t="s">
        <v>7990</v>
      </c>
      <c r="C186" s="12" t="n">
        <v>390</v>
      </c>
      <c r="D186" s="7" t="n">
        <v>22</v>
      </c>
      <c r="E186" s="13" t="n">
        <v>0.94</v>
      </c>
      <c r="F186" s="7" t="n">
        <v>1</v>
      </c>
      <c r="G186" s="7" t="s">
        <v>7919</v>
      </c>
      <c r="H186" s="7"/>
    </row>
    <row r="187" customFormat="false" ht="15" hidden="false" customHeight="true" outlineLevel="0" collapsed="false">
      <c r="A187" s="7" t="s">
        <v>7934</v>
      </c>
      <c r="B187" s="7" t="s">
        <v>7990</v>
      </c>
      <c r="C187" s="12" t="n">
        <v>390</v>
      </c>
      <c r="D187" s="7" t="n">
        <v>20</v>
      </c>
      <c r="E187" s="13" t="n">
        <v>1.01</v>
      </c>
      <c r="F187" s="7" t="n">
        <v>1</v>
      </c>
      <c r="G187" s="7" t="s">
        <v>7919</v>
      </c>
      <c r="H187" s="7"/>
    </row>
    <row r="188" customFormat="false" ht="15" hidden="false" customHeight="true" outlineLevel="0" collapsed="false">
      <c r="A188" s="7" t="s">
        <v>6620</v>
      </c>
      <c r="B188" s="7" t="s">
        <v>7989</v>
      </c>
      <c r="C188" s="12" t="n">
        <v>390</v>
      </c>
      <c r="D188" s="7" t="n">
        <v>16</v>
      </c>
      <c r="E188" s="13" t="n">
        <v>0.39</v>
      </c>
      <c r="F188" s="7" t="n">
        <v>1</v>
      </c>
      <c r="G188" s="7" t="n">
        <v>2</v>
      </c>
      <c r="H188" s="7"/>
    </row>
    <row r="189" customFormat="false" ht="15" hidden="false" customHeight="true" outlineLevel="0" collapsed="false">
      <c r="A189" s="7" t="s">
        <v>238</v>
      </c>
      <c r="B189" s="7" t="s">
        <v>7989</v>
      </c>
      <c r="C189" s="12" t="n">
        <v>390</v>
      </c>
      <c r="D189" s="7" t="n">
        <v>17</v>
      </c>
      <c r="E189" s="13" t="n">
        <v>0.7</v>
      </c>
      <c r="F189" s="7" t="n">
        <v>1</v>
      </c>
      <c r="G189" s="7" t="n">
        <v>3</v>
      </c>
      <c r="H189" s="7"/>
    </row>
    <row r="190" customFormat="false" ht="15" hidden="false" customHeight="true" outlineLevel="0" collapsed="false">
      <c r="A190" s="7" t="s">
        <v>2458</v>
      </c>
      <c r="B190" s="7" t="s">
        <v>7990</v>
      </c>
      <c r="C190" s="12" t="n">
        <v>320</v>
      </c>
      <c r="D190" s="7" t="n">
        <v>11</v>
      </c>
      <c r="E190" s="13" t="n">
        <v>0.45</v>
      </c>
      <c r="F190" s="7" t="n">
        <v>1</v>
      </c>
      <c r="G190" s="7" t="n">
        <v>4</v>
      </c>
      <c r="H190" s="7"/>
    </row>
    <row r="191" customFormat="false" ht="15" hidden="false" customHeight="true" outlineLevel="0" collapsed="false">
      <c r="A191" s="7" t="s">
        <v>2613</v>
      </c>
      <c r="B191" s="7" t="s">
        <v>7989</v>
      </c>
      <c r="C191" s="12" t="n">
        <v>320</v>
      </c>
      <c r="D191" s="7" t="n">
        <v>25</v>
      </c>
      <c r="E191" s="13" t="n">
        <v>0.28</v>
      </c>
      <c r="F191" s="7" t="n">
        <v>1</v>
      </c>
      <c r="G191" s="7" t="n">
        <v>4</v>
      </c>
      <c r="H191" s="7"/>
    </row>
    <row r="192" customFormat="false" ht="15" hidden="false" customHeight="true" outlineLevel="0" collapsed="false">
      <c r="A192" s="7" t="s">
        <v>3054</v>
      </c>
      <c r="B192" s="7" t="s">
        <v>7990</v>
      </c>
      <c r="C192" s="12" t="n">
        <v>320</v>
      </c>
      <c r="D192" s="7" t="n">
        <v>18</v>
      </c>
      <c r="E192" s="13" t="n">
        <v>0.41</v>
      </c>
      <c r="F192" s="7" t="n">
        <v>1</v>
      </c>
      <c r="G192" s="7" t="n">
        <v>4</v>
      </c>
      <c r="H192" s="7"/>
    </row>
    <row r="193" customFormat="false" ht="15" hidden="false" customHeight="true" outlineLevel="0" collapsed="false">
      <c r="A193" s="7" t="s">
        <v>3271</v>
      </c>
      <c r="B193" s="7" t="s">
        <v>7990</v>
      </c>
      <c r="C193" s="12" t="n">
        <v>320</v>
      </c>
      <c r="D193" s="7" t="n">
        <v>20</v>
      </c>
      <c r="E193" s="13" t="n">
        <v>0</v>
      </c>
      <c r="F193" s="7" t="n">
        <v>0</v>
      </c>
      <c r="G193" s="7" t="n">
        <v>4</v>
      </c>
      <c r="H193" s="7"/>
    </row>
    <row r="194" customFormat="false" ht="15" hidden="false" customHeight="true" outlineLevel="0" collapsed="false">
      <c r="A194" s="7" t="s">
        <v>3305</v>
      </c>
      <c r="B194" s="7" t="s">
        <v>7990</v>
      </c>
      <c r="C194" s="12" t="n">
        <v>320</v>
      </c>
      <c r="D194" s="7" t="n">
        <v>21</v>
      </c>
      <c r="E194" s="13" t="n">
        <v>0.55</v>
      </c>
      <c r="F194" s="7" t="n">
        <v>1</v>
      </c>
      <c r="G194" s="7" t="n">
        <v>4</v>
      </c>
      <c r="H194" s="7"/>
    </row>
    <row r="195" customFormat="false" ht="15" hidden="false" customHeight="true" outlineLevel="0" collapsed="false">
      <c r="A195" s="7" t="s">
        <v>6498</v>
      </c>
      <c r="B195" s="7" t="s">
        <v>7993</v>
      </c>
      <c r="C195" s="12" t="n">
        <v>320</v>
      </c>
      <c r="D195" s="7" t="n">
        <v>16</v>
      </c>
      <c r="E195" s="13" t="n">
        <v>0.37</v>
      </c>
      <c r="F195" s="7" t="n">
        <v>1</v>
      </c>
      <c r="G195" s="7" t="n">
        <v>1</v>
      </c>
      <c r="H195" s="7"/>
    </row>
    <row r="196" customFormat="false" ht="15" hidden="false" customHeight="true" outlineLevel="0" collapsed="false">
      <c r="A196" s="7" t="s">
        <v>3999</v>
      </c>
      <c r="B196" s="7" t="s">
        <v>7990</v>
      </c>
      <c r="C196" s="12" t="n">
        <v>320</v>
      </c>
      <c r="D196" s="7" t="n">
        <v>25</v>
      </c>
      <c r="E196" s="13" t="n">
        <v>0.63</v>
      </c>
      <c r="F196" s="7" t="n">
        <v>1</v>
      </c>
      <c r="G196" s="7" t="n">
        <v>6</v>
      </c>
      <c r="H196" s="7"/>
    </row>
    <row r="197" customFormat="false" ht="15" hidden="false" customHeight="true" outlineLevel="0" collapsed="false">
      <c r="A197" s="7" t="s">
        <v>6555</v>
      </c>
      <c r="B197" s="7" t="s">
        <v>7990</v>
      </c>
      <c r="C197" s="12" t="n">
        <v>320</v>
      </c>
      <c r="D197" s="7" t="n">
        <v>15</v>
      </c>
      <c r="E197" s="13" t="n">
        <v>0.33</v>
      </c>
      <c r="F197" s="7" t="n">
        <v>1</v>
      </c>
      <c r="G197" s="7" t="n">
        <v>1</v>
      </c>
      <c r="H197" s="7"/>
    </row>
    <row r="198" customFormat="false" ht="15" hidden="false" customHeight="true" outlineLevel="0" collapsed="false">
      <c r="A198" s="7" t="s">
        <v>6574</v>
      </c>
      <c r="B198" s="7" t="s">
        <v>7990</v>
      </c>
      <c r="C198" s="12" t="n">
        <v>320</v>
      </c>
      <c r="D198" s="7" t="n">
        <v>17</v>
      </c>
      <c r="E198" s="13" t="n">
        <v>0</v>
      </c>
      <c r="F198" s="7" t="n">
        <v>1</v>
      </c>
      <c r="G198" s="7" t="n">
        <v>2</v>
      </c>
      <c r="H198" s="7"/>
    </row>
    <row r="199" customFormat="false" ht="15" hidden="false" customHeight="true" outlineLevel="0" collapsed="false">
      <c r="A199" s="7" t="s">
        <v>5342</v>
      </c>
      <c r="B199" s="7" t="s">
        <v>7989</v>
      </c>
      <c r="C199" s="12" t="n">
        <v>320</v>
      </c>
      <c r="D199" s="7" t="n">
        <v>16</v>
      </c>
      <c r="E199" s="13" t="n">
        <v>0.63</v>
      </c>
      <c r="F199" s="7" t="n">
        <v>1</v>
      </c>
      <c r="G199" s="7" t="n">
        <v>7</v>
      </c>
      <c r="H199" s="7"/>
    </row>
    <row r="200" customFormat="false" ht="15" hidden="false" customHeight="true" outlineLevel="0" collapsed="false">
      <c r="A200" s="7" t="s">
        <v>167</v>
      </c>
      <c r="B200" s="7" t="s">
        <v>7990</v>
      </c>
      <c r="C200" s="12" t="n">
        <v>320</v>
      </c>
      <c r="D200" s="7" t="n">
        <v>10</v>
      </c>
      <c r="E200" s="13" t="n">
        <v>1.92</v>
      </c>
      <c r="F200" s="7" t="n">
        <v>1</v>
      </c>
      <c r="G200" s="7" t="n">
        <v>3</v>
      </c>
      <c r="H200" s="7"/>
    </row>
    <row r="201" customFormat="false" ht="15" hidden="false" customHeight="true" outlineLevel="0" collapsed="false">
      <c r="A201" s="7" t="s">
        <v>6312</v>
      </c>
      <c r="B201" s="7" t="s">
        <v>7990</v>
      </c>
      <c r="C201" s="12" t="n">
        <v>320</v>
      </c>
      <c r="D201" s="7" t="n">
        <v>20</v>
      </c>
      <c r="E201" s="13" t="n">
        <v>0.62</v>
      </c>
      <c r="F201" s="7" t="n">
        <v>1</v>
      </c>
      <c r="G201" s="7" t="s">
        <v>6815</v>
      </c>
      <c r="H201" s="7"/>
    </row>
    <row r="202" customFormat="false" ht="15" hidden="false" customHeight="true" outlineLevel="0" collapsed="false">
      <c r="A202" s="7" t="s">
        <v>6639</v>
      </c>
      <c r="B202" s="7" t="s">
        <v>7992</v>
      </c>
      <c r="C202" s="12" t="n">
        <v>320</v>
      </c>
      <c r="D202" s="7" t="n">
        <v>30</v>
      </c>
      <c r="E202" s="13" t="n">
        <v>0.4</v>
      </c>
      <c r="F202" s="7" t="n">
        <v>1</v>
      </c>
      <c r="G202" s="7" t="n">
        <v>2</v>
      </c>
      <c r="H202" s="7"/>
    </row>
    <row r="203" customFormat="false" ht="15" hidden="false" customHeight="true" outlineLevel="0" collapsed="false">
      <c r="A203" s="7" t="s">
        <v>2423</v>
      </c>
      <c r="B203" s="7" t="s">
        <v>7990</v>
      </c>
      <c r="C203" s="12" t="n">
        <v>260</v>
      </c>
      <c r="D203" s="7" t="n">
        <v>12</v>
      </c>
      <c r="E203" s="13" t="n">
        <v>0.48</v>
      </c>
      <c r="F203" s="7" t="n">
        <v>1</v>
      </c>
      <c r="G203" s="7" t="n">
        <v>3</v>
      </c>
      <c r="H203" s="7"/>
    </row>
    <row r="204" customFormat="false" ht="15" hidden="false" customHeight="true" outlineLevel="0" collapsed="false">
      <c r="A204" s="7" t="s">
        <v>2909</v>
      </c>
      <c r="B204" s="7" t="s">
        <v>7989</v>
      </c>
      <c r="C204" s="12" t="n">
        <v>260</v>
      </c>
      <c r="D204" s="7" t="n">
        <v>16</v>
      </c>
      <c r="E204" s="13" t="n">
        <v>0.99</v>
      </c>
      <c r="F204" s="7" t="n">
        <v>1</v>
      </c>
      <c r="G204" s="7" t="n">
        <v>4</v>
      </c>
      <c r="H204" s="7"/>
    </row>
    <row r="205" customFormat="false" ht="15" hidden="false" customHeight="true" outlineLevel="0" collapsed="false">
      <c r="A205" s="7" t="s">
        <v>168</v>
      </c>
      <c r="B205" s="7" t="s">
        <v>7990</v>
      </c>
      <c r="C205" s="12" t="n">
        <v>260</v>
      </c>
      <c r="D205" s="7" t="n">
        <v>19</v>
      </c>
      <c r="E205" s="13" t="n">
        <v>0.76</v>
      </c>
      <c r="F205" s="7" t="n">
        <v>1</v>
      </c>
      <c r="G205" s="7" t="n">
        <v>2</v>
      </c>
      <c r="H205" s="7"/>
    </row>
    <row r="206" customFormat="false" ht="15" hidden="false" customHeight="true" outlineLevel="0" collapsed="false">
      <c r="A206" s="7" t="s">
        <v>3213</v>
      </c>
      <c r="B206" s="7" t="s">
        <v>7989</v>
      </c>
      <c r="C206" s="12" t="n">
        <v>260</v>
      </c>
      <c r="D206" s="7" t="n">
        <v>16</v>
      </c>
      <c r="E206" s="13" t="n">
        <v>0.39</v>
      </c>
      <c r="F206" s="7" t="n">
        <v>1</v>
      </c>
      <c r="G206" s="7" t="n">
        <v>4</v>
      </c>
      <c r="H206" s="7"/>
    </row>
    <row r="207" customFormat="false" ht="15" hidden="false" customHeight="true" outlineLevel="0" collapsed="false">
      <c r="A207" s="7" t="s">
        <v>6493</v>
      </c>
      <c r="B207" s="7" t="s">
        <v>7989</v>
      </c>
      <c r="C207" s="12" t="n">
        <v>260</v>
      </c>
      <c r="D207" s="7" t="n">
        <v>15</v>
      </c>
      <c r="E207" s="13" t="n">
        <v>0.41</v>
      </c>
      <c r="F207" s="7" t="n">
        <v>1</v>
      </c>
      <c r="G207" s="7" t="n">
        <v>1</v>
      </c>
      <c r="H207" s="7"/>
    </row>
    <row r="208" customFormat="false" ht="15" hidden="false" customHeight="true" outlineLevel="0" collapsed="false">
      <c r="A208" s="7" t="s">
        <v>3459</v>
      </c>
      <c r="B208" s="7" t="s">
        <v>7990</v>
      </c>
      <c r="C208" s="12" t="n">
        <v>260</v>
      </c>
      <c r="D208" s="7" t="n">
        <v>9</v>
      </c>
      <c r="E208" s="13" t="n">
        <v>0</v>
      </c>
      <c r="F208" s="7" t="n">
        <v>0.33</v>
      </c>
      <c r="G208" s="7" t="n">
        <v>4</v>
      </c>
      <c r="H208" s="7"/>
    </row>
    <row r="209" customFormat="false" ht="15" hidden="false" customHeight="true" outlineLevel="0" collapsed="false">
      <c r="A209" s="7" t="s">
        <v>3563</v>
      </c>
      <c r="B209" s="7" t="s">
        <v>7990</v>
      </c>
      <c r="C209" s="12" t="n">
        <v>260</v>
      </c>
      <c r="D209" s="7" t="n">
        <v>17</v>
      </c>
      <c r="E209" s="13" t="n">
        <v>0.39</v>
      </c>
      <c r="F209" s="7" t="n">
        <v>1</v>
      </c>
      <c r="G209" s="7" t="n">
        <v>5</v>
      </c>
      <c r="H209" s="7"/>
    </row>
    <row r="210" customFormat="false" ht="15" hidden="false" customHeight="true" outlineLevel="0" collapsed="false">
      <c r="A210" s="7" t="s">
        <v>4692</v>
      </c>
      <c r="B210" s="7" t="s">
        <v>7994</v>
      </c>
      <c r="C210" s="12" t="n">
        <v>260</v>
      </c>
      <c r="D210" s="7" t="n">
        <v>18</v>
      </c>
      <c r="E210" s="13" t="n">
        <v>0.5</v>
      </c>
      <c r="F210" s="7" t="n">
        <v>1</v>
      </c>
      <c r="G210" s="7" t="n">
        <v>6</v>
      </c>
      <c r="H210" s="7"/>
    </row>
    <row r="211" customFormat="false" ht="15" hidden="false" customHeight="true" outlineLevel="0" collapsed="false">
      <c r="A211" s="7" t="s">
        <v>4632</v>
      </c>
      <c r="B211" s="7" t="s">
        <v>7995</v>
      </c>
      <c r="C211" s="12" t="n">
        <v>260</v>
      </c>
      <c r="D211" s="7" t="n">
        <v>24</v>
      </c>
      <c r="E211" s="13" t="n">
        <v>0.54</v>
      </c>
      <c r="F211" s="7" t="n">
        <v>0.99</v>
      </c>
      <c r="G211" s="7" t="s">
        <v>6815</v>
      </c>
      <c r="H211" s="7"/>
    </row>
    <row r="212" customFormat="false" ht="15" hidden="false" customHeight="true" outlineLevel="0" collapsed="false">
      <c r="A212" s="7" t="s">
        <v>169</v>
      </c>
      <c r="B212" s="7" t="s">
        <v>7991</v>
      </c>
      <c r="C212" s="12" t="n">
        <v>260</v>
      </c>
      <c r="D212" s="7" t="n">
        <v>22</v>
      </c>
      <c r="E212" s="13" t="n">
        <v>1.43</v>
      </c>
      <c r="F212" s="7" t="n">
        <v>1</v>
      </c>
      <c r="G212" s="7" t="n">
        <v>3</v>
      </c>
      <c r="H212" s="7"/>
    </row>
    <row r="213" customFormat="false" ht="15" hidden="false" customHeight="true" outlineLevel="0" collapsed="false">
      <c r="A213" s="7" t="s">
        <v>6576</v>
      </c>
      <c r="B213" s="7" t="s">
        <v>7990</v>
      </c>
      <c r="C213" s="12" t="n">
        <v>260</v>
      </c>
      <c r="D213" s="7" t="n">
        <v>28</v>
      </c>
      <c r="E213" s="13" t="n">
        <v>0.34</v>
      </c>
      <c r="F213" s="7" t="n">
        <v>1</v>
      </c>
      <c r="G213" s="7" t="n">
        <v>2</v>
      </c>
      <c r="H213" s="7"/>
    </row>
    <row r="214" customFormat="false" ht="15" hidden="false" customHeight="true" outlineLevel="0" collapsed="false">
      <c r="A214" s="7" t="s">
        <v>6579</v>
      </c>
      <c r="B214" s="7" t="s">
        <v>7990</v>
      </c>
      <c r="C214" s="12" t="n">
        <v>260</v>
      </c>
      <c r="D214" s="7" t="n">
        <v>17</v>
      </c>
      <c r="E214" s="13" t="n">
        <v>0.35</v>
      </c>
      <c r="F214" s="7" t="n">
        <v>1</v>
      </c>
      <c r="G214" s="7" t="n">
        <v>2</v>
      </c>
      <c r="H214" s="7"/>
    </row>
    <row r="215" customFormat="false" ht="15" hidden="false" customHeight="true" outlineLevel="0" collapsed="false">
      <c r="A215" s="7" t="s">
        <v>7909</v>
      </c>
      <c r="B215" s="7" t="s">
        <v>7990</v>
      </c>
      <c r="C215" s="12" t="n">
        <v>260</v>
      </c>
      <c r="D215" s="7" t="n">
        <v>19</v>
      </c>
      <c r="E215" s="13" t="n">
        <v>0.4</v>
      </c>
      <c r="F215" s="7" t="n">
        <v>1</v>
      </c>
      <c r="G215" s="7" t="s">
        <v>6816</v>
      </c>
      <c r="H215" s="7"/>
    </row>
    <row r="216" customFormat="false" ht="15" hidden="false" customHeight="true" outlineLevel="0" collapsed="false">
      <c r="A216" s="7" t="s">
        <v>6631</v>
      </c>
      <c r="B216" s="7" t="s">
        <v>7990</v>
      </c>
      <c r="C216" s="12" t="n">
        <v>260</v>
      </c>
      <c r="D216" s="7" t="n">
        <v>16</v>
      </c>
      <c r="E216" s="13" t="n">
        <v>0.4</v>
      </c>
      <c r="F216" s="7" t="n">
        <v>1</v>
      </c>
      <c r="G216" s="7" t="n">
        <v>2</v>
      </c>
      <c r="H216" s="7"/>
    </row>
    <row r="217" customFormat="false" ht="15" hidden="false" customHeight="true" outlineLevel="0" collapsed="false">
      <c r="A217" s="7" t="s">
        <v>3018</v>
      </c>
      <c r="B217" s="7" t="s">
        <v>7989</v>
      </c>
      <c r="C217" s="12" t="n">
        <v>210</v>
      </c>
      <c r="D217" s="7" t="n">
        <v>18</v>
      </c>
      <c r="E217" s="13" t="n">
        <v>1.28</v>
      </c>
      <c r="F217" s="7" t="n">
        <v>1</v>
      </c>
      <c r="G217" s="7" t="n">
        <v>4</v>
      </c>
      <c r="H217" s="7"/>
    </row>
    <row r="218" customFormat="false" ht="15" hidden="false" customHeight="true" outlineLevel="0" collapsed="false">
      <c r="A218" s="7" t="s">
        <v>3179</v>
      </c>
      <c r="B218" s="7" t="s">
        <v>7990</v>
      </c>
      <c r="C218" s="12" t="n">
        <v>210</v>
      </c>
      <c r="D218" s="7" t="n">
        <v>22</v>
      </c>
      <c r="E218" s="13" t="n">
        <v>0.4</v>
      </c>
      <c r="F218" s="7" t="n">
        <v>1</v>
      </c>
      <c r="G218" s="7" t="s">
        <v>6815</v>
      </c>
      <c r="H218" s="7"/>
    </row>
    <row r="219" customFormat="false" ht="15" hidden="false" customHeight="true" outlineLevel="0" collapsed="false">
      <c r="A219" s="7" t="s">
        <v>3129</v>
      </c>
      <c r="B219" s="7" t="s">
        <v>7989</v>
      </c>
      <c r="C219" s="12" t="n">
        <v>210</v>
      </c>
      <c r="D219" s="7" t="n">
        <v>13</v>
      </c>
      <c r="E219" s="13" t="n">
        <v>0.45</v>
      </c>
      <c r="F219" s="7" t="n">
        <v>1</v>
      </c>
      <c r="G219" s="7" t="s">
        <v>6815</v>
      </c>
      <c r="H219" s="7"/>
    </row>
    <row r="220" customFormat="false" ht="15" hidden="false" customHeight="true" outlineLevel="0" collapsed="false">
      <c r="A220" s="7" t="s">
        <v>3253</v>
      </c>
      <c r="B220" s="7" t="s">
        <v>7989</v>
      </c>
      <c r="C220" s="12" t="n">
        <v>210</v>
      </c>
      <c r="D220" s="7" t="n">
        <v>14</v>
      </c>
      <c r="E220" s="13" t="n">
        <v>0.45</v>
      </c>
      <c r="F220" s="7" t="n">
        <v>1</v>
      </c>
      <c r="G220" s="7" t="n">
        <v>4</v>
      </c>
      <c r="H220" s="7"/>
    </row>
    <row r="221" customFormat="false" ht="15" hidden="false" customHeight="true" outlineLevel="0" collapsed="false">
      <c r="A221" s="7" t="s">
        <v>7922</v>
      </c>
      <c r="B221" s="7" t="s">
        <v>7990</v>
      </c>
      <c r="C221" s="12" t="n">
        <v>210</v>
      </c>
      <c r="D221" s="7" t="n">
        <v>11</v>
      </c>
      <c r="E221" s="13" t="n">
        <v>0.67</v>
      </c>
      <c r="F221" s="7" t="n">
        <v>1</v>
      </c>
      <c r="G221" s="7" t="s">
        <v>7919</v>
      </c>
      <c r="H221" s="7"/>
    </row>
    <row r="222" customFormat="false" ht="15" hidden="false" customHeight="true" outlineLevel="0" collapsed="false">
      <c r="A222" s="7" t="s">
        <v>170</v>
      </c>
      <c r="B222" s="7" t="s">
        <v>7990</v>
      </c>
      <c r="C222" s="12" t="n">
        <v>210</v>
      </c>
      <c r="D222" s="7" t="n">
        <v>20</v>
      </c>
      <c r="E222" s="13" t="n">
        <v>0.67</v>
      </c>
      <c r="F222" s="7" t="n">
        <v>0.99</v>
      </c>
      <c r="G222" s="7" t="n">
        <v>2</v>
      </c>
      <c r="H222" s="7"/>
    </row>
    <row r="223" customFormat="false" ht="15" hidden="false" customHeight="true" outlineLevel="0" collapsed="false">
      <c r="A223" s="7" t="s">
        <v>4319</v>
      </c>
      <c r="B223" s="7" t="s">
        <v>7989</v>
      </c>
      <c r="C223" s="12" t="n">
        <v>210</v>
      </c>
      <c r="D223" s="7" t="n">
        <v>28</v>
      </c>
      <c r="E223" s="13" t="n">
        <v>0</v>
      </c>
      <c r="F223" s="7" t="n">
        <v>1</v>
      </c>
      <c r="G223" s="7" t="n">
        <v>6</v>
      </c>
      <c r="H223" s="7"/>
    </row>
    <row r="224" customFormat="false" ht="15" hidden="false" customHeight="true" outlineLevel="0" collapsed="false">
      <c r="A224" s="7" t="s">
        <v>5142</v>
      </c>
      <c r="B224" s="7" t="s">
        <v>7990</v>
      </c>
      <c r="C224" s="12" t="n">
        <v>210</v>
      </c>
      <c r="D224" s="7" t="n">
        <v>12</v>
      </c>
      <c r="E224" s="13" t="n">
        <v>0.35</v>
      </c>
      <c r="F224" s="7" t="n">
        <v>1</v>
      </c>
      <c r="G224" s="7" t="n">
        <v>7</v>
      </c>
      <c r="H224" s="7"/>
    </row>
    <row r="225" customFormat="false" ht="15" hidden="false" customHeight="true" outlineLevel="0" collapsed="false">
      <c r="A225" s="7" t="s">
        <v>6581</v>
      </c>
      <c r="B225" s="7" t="s">
        <v>7990</v>
      </c>
      <c r="C225" s="12" t="n">
        <v>210</v>
      </c>
      <c r="D225" s="7" t="n">
        <v>20</v>
      </c>
      <c r="E225" s="13" t="n">
        <v>0.39</v>
      </c>
      <c r="F225" s="7" t="n">
        <v>1</v>
      </c>
      <c r="G225" s="7" t="n">
        <v>2</v>
      </c>
      <c r="H225" s="7"/>
    </row>
    <row r="226" customFormat="false" ht="15" hidden="false" customHeight="true" outlineLevel="0" collapsed="false">
      <c r="A226" s="7" t="s">
        <v>5156</v>
      </c>
      <c r="B226" s="7" t="s">
        <v>7990</v>
      </c>
      <c r="C226" s="12" t="n">
        <v>210</v>
      </c>
      <c r="D226" s="7" t="n">
        <v>20</v>
      </c>
      <c r="E226" s="13" t="n">
        <v>0.44</v>
      </c>
      <c r="F226" s="7" t="n">
        <v>1</v>
      </c>
      <c r="G226" s="7" t="s">
        <v>6815</v>
      </c>
      <c r="H226" s="7"/>
    </row>
    <row r="227" customFormat="false" ht="15" hidden="false" customHeight="true" outlineLevel="0" collapsed="false">
      <c r="A227" s="7" t="s">
        <v>5405</v>
      </c>
      <c r="B227" s="7" t="s">
        <v>7989</v>
      </c>
      <c r="C227" s="12" t="n">
        <v>210</v>
      </c>
      <c r="D227" s="7" t="n">
        <v>15</v>
      </c>
      <c r="E227" s="13" t="n">
        <v>0.51</v>
      </c>
      <c r="F227" s="7" t="n">
        <v>1</v>
      </c>
      <c r="G227" s="7" t="s">
        <v>6815</v>
      </c>
      <c r="H227" s="7"/>
    </row>
    <row r="228" customFormat="false" ht="15" hidden="false" customHeight="true" outlineLevel="0" collapsed="false">
      <c r="A228" s="7" t="s">
        <v>171</v>
      </c>
      <c r="B228" s="7" t="s">
        <v>7990</v>
      </c>
      <c r="C228" s="12" t="n">
        <v>210</v>
      </c>
      <c r="D228" s="7" t="n">
        <v>16</v>
      </c>
      <c r="E228" s="13" t="n">
        <v>1.02</v>
      </c>
      <c r="F228" s="7" t="n">
        <v>1</v>
      </c>
      <c r="G228" s="7" t="n">
        <v>3</v>
      </c>
      <c r="H228" s="7"/>
    </row>
    <row r="229" customFormat="false" ht="15" hidden="false" customHeight="true" outlineLevel="0" collapsed="false">
      <c r="A229" s="7" t="s">
        <v>172</v>
      </c>
      <c r="B229" s="7" t="s">
        <v>7990</v>
      </c>
      <c r="C229" s="12" t="n">
        <v>210</v>
      </c>
      <c r="D229" s="7" t="n">
        <v>8</v>
      </c>
      <c r="E229" s="13" t="n">
        <v>0.69</v>
      </c>
      <c r="F229" s="7" t="n">
        <v>0.99</v>
      </c>
      <c r="G229" s="7" t="n">
        <v>3</v>
      </c>
      <c r="H229" s="7"/>
    </row>
    <row r="230" customFormat="false" ht="15" hidden="false" customHeight="true" outlineLevel="0" collapsed="false">
      <c r="A230" s="7" t="s">
        <v>7936</v>
      </c>
      <c r="B230" s="7" t="s">
        <v>7990</v>
      </c>
      <c r="C230" s="12" t="n">
        <v>210</v>
      </c>
      <c r="D230" s="7" t="n">
        <v>31</v>
      </c>
      <c r="E230" s="13" t="n">
        <v>1.71</v>
      </c>
      <c r="F230" s="7" t="n">
        <v>0.99</v>
      </c>
      <c r="G230" s="7" t="s">
        <v>7919</v>
      </c>
      <c r="H230" s="7"/>
    </row>
    <row r="231" customFormat="false" ht="15" hidden="false" customHeight="true" outlineLevel="0" collapsed="false">
      <c r="A231" s="7" t="s">
        <v>6480</v>
      </c>
      <c r="B231" s="7" t="s">
        <v>7990</v>
      </c>
      <c r="C231" s="12" t="n">
        <v>170</v>
      </c>
      <c r="D231" s="7" t="n">
        <v>25</v>
      </c>
      <c r="E231" s="13" t="n">
        <v>0.3</v>
      </c>
      <c r="F231" s="7" t="n">
        <v>1</v>
      </c>
      <c r="G231" s="7" t="n">
        <v>1</v>
      </c>
      <c r="H231" s="7"/>
    </row>
    <row r="232" customFormat="false" ht="15" hidden="false" customHeight="true" outlineLevel="0" collapsed="false">
      <c r="A232" s="7" t="s">
        <v>2989</v>
      </c>
      <c r="B232" s="7" t="s">
        <v>7989</v>
      </c>
      <c r="C232" s="12" t="n">
        <v>170</v>
      </c>
      <c r="D232" s="7" t="n">
        <v>24</v>
      </c>
      <c r="E232" s="13" t="n">
        <v>0.62</v>
      </c>
      <c r="F232" s="7" t="n">
        <v>1</v>
      </c>
      <c r="G232" s="7" t="n">
        <v>4</v>
      </c>
      <c r="H232" s="7"/>
    </row>
    <row r="233" customFormat="false" ht="15" hidden="false" customHeight="true" outlineLevel="0" collapsed="false">
      <c r="A233" s="7" t="s">
        <v>3286</v>
      </c>
      <c r="B233" s="7" t="s">
        <v>7989</v>
      </c>
      <c r="C233" s="12" t="n">
        <v>170</v>
      </c>
      <c r="D233" s="7" t="n">
        <v>15</v>
      </c>
      <c r="E233" s="13" t="n">
        <v>0.61</v>
      </c>
      <c r="F233" s="7" t="n">
        <v>1</v>
      </c>
      <c r="G233" s="7" t="s">
        <v>6815</v>
      </c>
      <c r="H233" s="7"/>
    </row>
    <row r="234" customFormat="false" ht="15" hidden="false" customHeight="true" outlineLevel="0" collapsed="false">
      <c r="A234" s="7" t="s">
        <v>3503</v>
      </c>
      <c r="B234" s="7" t="s">
        <v>7990</v>
      </c>
      <c r="C234" s="12" t="n">
        <v>170</v>
      </c>
      <c r="D234" s="7" t="n">
        <v>39</v>
      </c>
      <c r="E234" s="13" t="n">
        <v>0.62</v>
      </c>
      <c r="F234" s="7" t="n">
        <v>1</v>
      </c>
      <c r="G234" s="7" t="s">
        <v>6815</v>
      </c>
      <c r="H234" s="7"/>
    </row>
    <row r="235" customFormat="false" ht="15" hidden="false" customHeight="true" outlineLevel="0" collapsed="false">
      <c r="A235" s="7" t="s">
        <v>3622</v>
      </c>
      <c r="B235" s="7" t="s">
        <v>7990</v>
      </c>
      <c r="C235" s="12" t="n">
        <v>170</v>
      </c>
      <c r="D235" s="7" t="n">
        <v>22</v>
      </c>
      <c r="E235" s="13" t="n">
        <v>0.5</v>
      </c>
      <c r="F235" s="7" t="n">
        <v>1</v>
      </c>
      <c r="G235" s="7" t="n">
        <v>5</v>
      </c>
      <c r="H235" s="7"/>
    </row>
    <row r="236" customFormat="false" ht="15" hidden="false" customHeight="true" outlineLevel="0" collapsed="false">
      <c r="A236" s="7" t="s">
        <v>3951</v>
      </c>
      <c r="B236" s="7" t="s">
        <v>7991</v>
      </c>
      <c r="C236" s="12" t="n">
        <v>170</v>
      </c>
      <c r="D236" s="7" t="n">
        <v>21</v>
      </c>
      <c r="E236" s="13" t="n">
        <v>0.55</v>
      </c>
      <c r="F236" s="7" t="n">
        <v>1</v>
      </c>
      <c r="G236" s="7" t="n">
        <v>6</v>
      </c>
      <c r="H236" s="7"/>
    </row>
    <row r="237" customFormat="false" ht="15" hidden="false" customHeight="true" outlineLevel="0" collapsed="false">
      <c r="A237" s="7" t="s">
        <v>4230</v>
      </c>
      <c r="B237" s="7" t="s">
        <v>7990</v>
      </c>
      <c r="C237" s="12" t="n">
        <v>170</v>
      </c>
      <c r="D237" s="7" t="n">
        <v>17</v>
      </c>
      <c r="E237" s="13" t="n">
        <v>0</v>
      </c>
      <c r="F237" s="7" t="n">
        <v>1</v>
      </c>
      <c r="G237" s="7" t="n">
        <v>6</v>
      </c>
      <c r="H237" s="7"/>
    </row>
    <row r="238" customFormat="false" ht="15" hidden="false" customHeight="true" outlineLevel="0" collapsed="false">
      <c r="A238" s="7" t="s">
        <v>6551</v>
      </c>
      <c r="B238" s="7" t="s">
        <v>7990</v>
      </c>
      <c r="C238" s="12" t="n">
        <v>170</v>
      </c>
      <c r="D238" s="7" t="n">
        <v>30</v>
      </c>
      <c r="E238" s="13" t="n">
        <v>0.38</v>
      </c>
      <c r="F238" s="7" t="n">
        <v>1</v>
      </c>
      <c r="G238" s="7" t="n">
        <v>1</v>
      </c>
      <c r="H238" s="7"/>
    </row>
    <row r="239" customFormat="false" ht="15" hidden="false" customHeight="true" outlineLevel="0" collapsed="false">
      <c r="A239" s="7" t="s">
        <v>4734</v>
      </c>
      <c r="B239" s="7" t="s">
        <v>7989</v>
      </c>
      <c r="C239" s="12" t="n">
        <v>170</v>
      </c>
      <c r="D239" s="7" t="n">
        <v>24</v>
      </c>
      <c r="E239" s="13" t="n">
        <v>0.53</v>
      </c>
      <c r="F239" s="7" t="n">
        <v>1</v>
      </c>
      <c r="G239" s="7" t="n">
        <v>6</v>
      </c>
      <c r="H239" s="7"/>
    </row>
    <row r="240" customFormat="false" ht="15" hidden="false" customHeight="true" outlineLevel="0" collapsed="false">
      <c r="A240" s="7" t="s">
        <v>5024</v>
      </c>
      <c r="B240" s="7" t="s">
        <v>7990</v>
      </c>
      <c r="C240" s="12" t="n">
        <v>170</v>
      </c>
      <c r="D240" s="7" t="n">
        <v>26</v>
      </c>
      <c r="E240" s="13" t="n">
        <v>0.44</v>
      </c>
      <c r="F240" s="7" t="n">
        <v>1</v>
      </c>
      <c r="G240" s="7" t="s">
        <v>6815</v>
      </c>
      <c r="H240" s="7"/>
    </row>
    <row r="241" customFormat="false" ht="15" hidden="false" customHeight="true" outlineLevel="0" collapsed="false">
      <c r="A241" s="7" t="s">
        <v>7908</v>
      </c>
      <c r="B241" s="7" t="s">
        <v>7990</v>
      </c>
      <c r="C241" s="12" t="n">
        <v>170</v>
      </c>
      <c r="D241" s="7" t="n">
        <v>6</v>
      </c>
      <c r="E241" s="13" t="n">
        <v>0.46</v>
      </c>
      <c r="F241" s="7" t="n">
        <v>1</v>
      </c>
      <c r="G241" s="7" t="s">
        <v>6816</v>
      </c>
      <c r="H241" s="7"/>
    </row>
    <row r="242" customFormat="false" ht="15" hidden="false" customHeight="true" outlineLevel="0" collapsed="false">
      <c r="A242" s="7" t="s">
        <v>6606</v>
      </c>
      <c r="B242" s="7" t="s">
        <v>7990</v>
      </c>
      <c r="C242" s="12" t="n">
        <v>170</v>
      </c>
      <c r="D242" s="7" t="n">
        <v>63</v>
      </c>
      <c r="E242" s="13" t="n">
        <v>0.58</v>
      </c>
      <c r="F242" s="7" t="n">
        <v>1</v>
      </c>
      <c r="G242" s="7" t="n">
        <v>2</v>
      </c>
      <c r="H242" s="7"/>
    </row>
    <row r="243" customFormat="false" ht="15" hidden="false" customHeight="true" outlineLevel="0" collapsed="false">
      <c r="A243" s="7" t="s">
        <v>5685</v>
      </c>
      <c r="B243" s="7" t="s">
        <v>7990</v>
      </c>
      <c r="C243" s="12" t="n">
        <v>170</v>
      </c>
      <c r="D243" s="7" t="n">
        <v>22</v>
      </c>
      <c r="E243" s="13" t="n">
        <v>0.52</v>
      </c>
      <c r="F243" s="7" t="n">
        <v>1</v>
      </c>
      <c r="G243" s="7" t="n">
        <v>7</v>
      </c>
      <c r="H243" s="7"/>
    </row>
    <row r="244" customFormat="false" ht="15" hidden="false" customHeight="true" outlineLevel="0" collapsed="false">
      <c r="A244" s="7" t="s">
        <v>2580</v>
      </c>
      <c r="B244" s="7" t="s">
        <v>7989</v>
      </c>
      <c r="C244" s="12" t="n">
        <v>140</v>
      </c>
      <c r="D244" s="7" t="n">
        <v>10</v>
      </c>
      <c r="E244" s="13" t="n">
        <v>0.61</v>
      </c>
      <c r="F244" s="7" t="n">
        <v>1</v>
      </c>
      <c r="G244" s="7" t="n">
        <v>4</v>
      </c>
      <c r="H244" s="7"/>
    </row>
    <row r="245" customFormat="false" ht="15" hidden="false" customHeight="true" outlineLevel="0" collapsed="false">
      <c r="A245" s="7" t="s">
        <v>2898</v>
      </c>
      <c r="B245" s="7" t="s">
        <v>7990</v>
      </c>
      <c r="C245" s="12" t="n">
        <v>140</v>
      </c>
      <c r="D245" s="7" t="n">
        <v>29</v>
      </c>
      <c r="E245" s="13" t="n">
        <v>0</v>
      </c>
      <c r="F245" s="7" t="n">
        <v>1</v>
      </c>
      <c r="G245" s="7" t="n">
        <v>4</v>
      </c>
      <c r="H245" s="7"/>
    </row>
    <row r="246" customFormat="false" ht="15" hidden="false" customHeight="true" outlineLevel="0" collapsed="false">
      <c r="A246" s="7" t="s">
        <v>3022</v>
      </c>
      <c r="B246" s="7" t="s">
        <v>7989</v>
      </c>
      <c r="C246" s="12" t="n">
        <v>140</v>
      </c>
      <c r="D246" s="7" t="n">
        <v>15</v>
      </c>
      <c r="E246" s="13" t="n">
        <v>0.46</v>
      </c>
      <c r="F246" s="7" t="n">
        <v>1</v>
      </c>
      <c r="G246" s="7" t="s">
        <v>6815</v>
      </c>
      <c r="H246" s="7"/>
    </row>
    <row r="247" customFormat="false" ht="15" hidden="false" customHeight="true" outlineLevel="0" collapsed="false">
      <c r="A247" s="7" t="s">
        <v>241</v>
      </c>
      <c r="B247" s="7" t="s">
        <v>7992</v>
      </c>
      <c r="C247" s="12" t="n">
        <v>140</v>
      </c>
      <c r="D247" s="7" t="n">
        <v>28</v>
      </c>
      <c r="E247" s="13" t="n">
        <v>0.3</v>
      </c>
      <c r="F247" s="7" t="n">
        <v>0.77</v>
      </c>
      <c r="G247" s="7" t="n">
        <v>1</v>
      </c>
      <c r="H247" s="7"/>
    </row>
    <row r="248" customFormat="false" ht="15" hidden="false" customHeight="true" outlineLevel="0" collapsed="false">
      <c r="A248" s="7" t="s">
        <v>3589</v>
      </c>
      <c r="B248" s="7" t="s">
        <v>7989</v>
      </c>
      <c r="C248" s="12" t="n">
        <v>140</v>
      </c>
      <c r="D248" s="7" t="n">
        <v>15</v>
      </c>
      <c r="E248" s="13" t="n">
        <v>0.55</v>
      </c>
      <c r="F248" s="7" t="n">
        <v>1</v>
      </c>
      <c r="G248" s="7" t="s">
        <v>6815</v>
      </c>
      <c r="H248" s="7"/>
    </row>
    <row r="249" customFormat="false" ht="15" hidden="false" customHeight="true" outlineLevel="0" collapsed="false">
      <c r="A249" s="7" t="s">
        <v>3807</v>
      </c>
      <c r="B249" s="7" t="s">
        <v>7990</v>
      </c>
      <c r="C249" s="12" t="n">
        <v>140</v>
      </c>
      <c r="D249" s="7" t="n">
        <v>19</v>
      </c>
      <c r="E249" s="13" t="n">
        <v>0.34</v>
      </c>
      <c r="F249" s="7" t="n">
        <v>1</v>
      </c>
      <c r="G249" s="7" t="n">
        <v>5</v>
      </c>
      <c r="H249" s="7"/>
    </row>
    <row r="250" customFormat="false" ht="15" hidden="false" customHeight="true" outlineLevel="0" collapsed="false">
      <c r="A250" s="7" t="s">
        <v>6523</v>
      </c>
      <c r="B250" s="7" t="s">
        <v>7990</v>
      </c>
      <c r="C250" s="12" t="n">
        <v>140</v>
      </c>
      <c r="D250" s="7" t="n">
        <v>13</v>
      </c>
      <c r="E250" s="13" t="n">
        <v>0.39</v>
      </c>
      <c r="F250" s="7" t="n">
        <v>1</v>
      </c>
      <c r="G250" s="7" t="n">
        <v>1</v>
      </c>
      <c r="H250" s="7"/>
    </row>
    <row r="251" customFormat="false" ht="15" hidden="false" customHeight="true" outlineLevel="0" collapsed="false">
      <c r="A251" s="7" t="s">
        <v>4684</v>
      </c>
      <c r="B251" s="7" t="s">
        <v>7989</v>
      </c>
      <c r="C251" s="12" t="n">
        <v>140</v>
      </c>
      <c r="D251" s="7" t="n">
        <v>25</v>
      </c>
      <c r="E251" s="13" t="n">
        <v>0.45</v>
      </c>
      <c r="F251" s="7" t="n">
        <v>1</v>
      </c>
      <c r="G251" s="7" t="s">
        <v>6815</v>
      </c>
      <c r="H251" s="7"/>
    </row>
    <row r="252" customFormat="false" ht="15" hidden="false" customHeight="true" outlineLevel="0" collapsed="false">
      <c r="A252" s="7" t="s">
        <v>6563</v>
      </c>
      <c r="B252" s="7" t="s">
        <v>7993</v>
      </c>
      <c r="C252" s="12" t="n">
        <v>140</v>
      </c>
      <c r="D252" s="7" t="n">
        <v>15</v>
      </c>
      <c r="E252" s="13" t="n">
        <v>0.91</v>
      </c>
      <c r="F252" s="7" t="n">
        <v>1</v>
      </c>
      <c r="G252" s="7" t="n">
        <v>2</v>
      </c>
      <c r="H252" s="7"/>
    </row>
    <row r="253" customFormat="false" ht="15" hidden="false" customHeight="true" outlineLevel="0" collapsed="false">
      <c r="A253" s="7" t="s">
        <v>173</v>
      </c>
      <c r="B253" s="7" t="s">
        <v>7990</v>
      </c>
      <c r="C253" s="12" t="n">
        <v>140</v>
      </c>
      <c r="D253" s="7" t="n">
        <v>22</v>
      </c>
      <c r="E253" s="13" t="n">
        <v>0.94</v>
      </c>
      <c r="F253" s="7" t="n">
        <v>1</v>
      </c>
      <c r="G253" s="7" t="n">
        <v>3</v>
      </c>
      <c r="H253" s="7"/>
    </row>
    <row r="254" customFormat="false" ht="15" hidden="false" customHeight="true" outlineLevel="0" collapsed="false">
      <c r="A254" s="7" t="s">
        <v>7910</v>
      </c>
      <c r="B254" s="7" t="s">
        <v>7990</v>
      </c>
      <c r="C254" s="12" t="n">
        <v>140</v>
      </c>
      <c r="D254" s="7" t="n">
        <v>7</v>
      </c>
      <c r="E254" s="13" t="n">
        <v>0.34</v>
      </c>
      <c r="F254" s="7" t="n">
        <v>0.99</v>
      </c>
      <c r="G254" s="7" t="s">
        <v>6816</v>
      </c>
      <c r="H254" s="7"/>
    </row>
    <row r="255" customFormat="false" ht="15" hidden="false" customHeight="true" outlineLevel="0" collapsed="false">
      <c r="A255" s="7" t="s">
        <v>7929</v>
      </c>
      <c r="B255" s="7" t="s">
        <v>7990</v>
      </c>
      <c r="C255" s="12" t="n">
        <v>140</v>
      </c>
      <c r="D255" s="7" t="n">
        <v>15</v>
      </c>
      <c r="E255" s="13" t="n">
        <v>0.89</v>
      </c>
      <c r="F255" s="7" t="n">
        <v>1</v>
      </c>
      <c r="G255" s="7" t="s">
        <v>7919</v>
      </c>
      <c r="H255" s="7"/>
    </row>
    <row r="256" customFormat="false" ht="15" hidden="false" customHeight="true" outlineLevel="0" collapsed="false">
      <c r="A256" s="7" t="s">
        <v>7915</v>
      </c>
      <c r="B256" s="7" t="s">
        <v>7990</v>
      </c>
      <c r="C256" s="12" t="n">
        <v>140</v>
      </c>
      <c r="D256" s="7" t="n">
        <v>25</v>
      </c>
      <c r="E256" s="13" t="n">
        <v>0</v>
      </c>
      <c r="F256" s="7" t="n">
        <v>1</v>
      </c>
      <c r="G256" s="7" t="s">
        <v>6816</v>
      </c>
      <c r="H256" s="7"/>
    </row>
    <row r="257" customFormat="false" ht="15" hidden="false" customHeight="true" outlineLevel="0" collapsed="false">
      <c r="A257" s="7" t="s">
        <v>174</v>
      </c>
      <c r="B257" s="7" t="s">
        <v>7990</v>
      </c>
      <c r="C257" s="12" t="n">
        <v>140</v>
      </c>
      <c r="D257" s="7" t="n">
        <v>16</v>
      </c>
      <c r="E257" s="13" t="n">
        <v>0.94</v>
      </c>
      <c r="F257" s="7" t="n">
        <v>0.99</v>
      </c>
      <c r="G257" s="7" t="n">
        <v>3</v>
      </c>
      <c r="H257" s="7"/>
    </row>
    <row r="258" customFormat="false" ht="15" hidden="false" customHeight="true" outlineLevel="0" collapsed="false">
      <c r="A258" s="7" t="s">
        <v>5845</v>
      </c>
      <c r="B258" s="7" t="s">
        <v>7990</v>
      </c>
      <c r="C258" s="12" t="n">
        <v>140</v>
      </c>
      <c r="D258" s="7" t="n">
        <v>10</v>
      </c>
      <c r="E258" s="13" t="n">
        <v>0</v>
      </c>
      <c r="F258" s="7" t="n">
        <v>0.01</v>
      </c>
      <c r="G258" s="7" t="n">
        <v>7</v>
      </c>
      <c r="H258" s="7"/>
    </row>
    <row r="259" customFormat="false" ht="15" hidden="false" customHeight="true" outlineLevel="0" collapsed="false">
      <c r="A259" s="7" t="s">
        <v>6303</v>
      </c>
      <c r="B259" s="7" t="s">
        <v>7990</v>
      </c>
      <c r="C259" s="12" t="n">
        <v>140</v>
      </c>
      <c r="D259" s="7" t="n">
        <v>18</v>
      </c>
      <c r="E259" s="13" t="n">
        <v>0.7</v>
      </c>
      <c r="F259" s="7" t="n">
        <v>1</v>
      </c>
      <c r="G259" s="7" t="s">
        <v>6815</v>
      </c>
      <c r="H259" s="7"/>
    </row>
    <row r="260" customFormat="false" ht="15" hidden="false" customHeight="true" outlineLevel="0" collapsed="false">
      <c r="A260" s="7" t="s">
        <v>7916</v>
      </c>
      <c r="B260" s="7" t="s">
        <v>7990</v>
      </c>
      <c r="C260" s="12" t="n">
        <v>140</v>
      </c>
      <c r="D260" s="7" t="n">
        <v>9</v>
      </c>
      <c r="E260" s="13" t="n">
        <v>0</v>
      </c>
      <c r="F260" s="7" t="n">
        <v>0.95</v>
      </c>
      <c r="G260" s="7" t="s">
        <v>6816</v>
      </c>
      <c r="H260" s="7"/>
    </row>
    <row r="261" customFormat="false" ht="15" hidden="false" customHeight="true" outlineLevel="0" collapsed="false">
      <c r="A261" s="7" t="s">
        <v>2539</v>
      </c>
      <c r="B261" s="7" t="s">
        <v>7990</v>
      </c>
      <c r="C261" s="12" t="n">
        <v>110</v>
      </c>
      <c r="D261" s="7" t="n">
        <v>19</v>
      </c>
      <c r="E261" s="13" t="n">
        <v>0</v>
      </c>
      <c r="F261" s="7" t="n">
        <v>1</v>
      </c>
      <c r="G261" s="7" t="n">
        <v>4</v>
      </c>
      <c r="H261" s="7"/>
    </row>
    <row r="262" customFormat="false" ht="15" hidden="false" customHeight="true" outlineLevel="0" collapsed="false">
      <c r="A262" s="7" t="s">
        <v>2551</v>
      </c>
      <c r="B262" s="7" t="s">
        <v>7990</v>
      </c>
      <c r="C262" s="12" t="n">
        <v>110</v>
      </c>
      <c r="D262" s="7" t="n">
        <v>9</v>
      </c>
      <c r="E262" s="13" t="n">
        <v>0</v>
      </c>
      <c r="F262" s="7" t="n">
        <v>1</v>
      </c>
      <c r="G262" s="7" t="n">
        <v>4</v>
      </c>
      <c r="H262" s="7"/>
    </row>
    <row r="263" customFormat="false" ht="15" hidden="false" customHeight="true" outlineLevel="0" collapsed="false">
      <c r="A263" s="7" t="s">
        <v>2666</v>
      </c>
      <c r="B263" s="7" t="s">
        <v>7990</v>
      </c>
      <c r="C263" s="12" t="n">
        <v>110</v>
      </c>
      <c r="D263" s="7" t="n">
        <v>22</v>
      </c>
      <c r="E263" s="13" t="n">
        <v>0.41</v>
      </c>
      <c r="F263" s="7" t="n">
        <v>1</v>
      </c>
      <c r="G263" s="7" t="n">
        <v>4</v>
      </c>
      <c r="H263" s="7"/>
    </row>
    <row r="264" customFormat="false" ht="15" hidden="false" customHeight="true" outlineLevel="0" collapsed="false">
      <c r="A264" s="7" t="s">
        <v>3035</v>
      </c>
      <c r="B264" s="7" t="s">
        <v>7990</v>
      </c>
      <c r="C264" s="12" t="n">
        <v>110</v>
      </c>
      <c r="D264" s="7" t="n">
        <v>17</v>
      </c>
      <c r="E264" s="13" t="n">
        <v>0.4</v>
      </c>
      <c r="F264" s="7" t="n">
        <v>1</v>
      </c>
      <c r="G264" s="7" t="s">
        <v>6815</v>
      </c>
      <c r="H264" s="7"/>
    </row>
    <row r="265" customFormat="false" ht="15" hidden="false" customHeight="true" outlineLevel="0" collapsed="false">
      <c r="A265" s="7" t="s">
        <v>3327</v>
      </c>
      <c r="B265" s="7" t="s">
        <v>7990</v>
      </c>
      <c r="C265" s="12" t="n">
        <v>110</v>
      </c>
      <c r="D265" s="7" t="n">
        <v>13</v>
      </c>
      <c r="E265" s="13" t="n">
        <v>0.5</v>
      </c>
      <c r="F265" s="7" t="n">
        <v>1</v>
      </c>
      <c r="G265" s="7" t="n">
        <v>4</v>
      </c>
      <c r="H265" s="7"/>
    </row>
    <row r="266" customFormat="false" ht="15" hidden="false" customHeight="true" outlineLevel="0" collapsed="false">
      <c r="A266" s="7" t="s">
        <v>3371</v>
      </c>
      <c r="B266" s="7" t="s">
        <v>7989</v>
      </c>
      <c r="C266" s="12" t="n">
        <v>110</v>
      </c>
      <c r="D266" s="7" t="n">
        <v>20</v>
      </c>
      <c r="E266" s="13" t="n">
        <v>0.6</v>
      </c>
      <c r="F266" s="7" t="n">
        <v>1</v>
      </c>
      <c r="G266" s="7" t="n">
        <v>4</v>
      </c>
      <c r="H266" s="7"/>
    </row>
    <row r="267" customFormat="false" ht="15" hidden="false" customHeight="true" outlineLevel="0" collapsed="false">
      <c r="A267" s="7" t="s">
        <v>6511</v>
      </c>
      <c r="B267" s="7" t="s">
        <v>7990</v>
      </c>
      <c r="C267" s="12" t="n">
        <v>110</v>
      </c>
      <c r="D267" s="7" t="n">
        <v>16</v>
      </c>
      <c r="E267" s="13" t="n">
        <v>0.36</v>
      </c>
      <c r="F267" s="7" t="n">
        <v>1</v>
      </c>
      <c r="G267" s="7" t="n">
        <v>1</v>
      </c>
      <c r="H267" s="7"/>
    </row>
    <row r="268" customFormat="false" ht="15" hidden="false" customHeight="true" outlineLevel="0" collapsed="false">
      <c r="A268" s="7" t="s">
        <v>3567</v>
      </c>
      <c r="B268" s="7" t="s">
        <v>7989</v>
      </c>
      <c r="C268" s="12" t="n">
        <v>110</v>
      </c>
      <c r="D268" s="7" t="n">
        <v>22</v>
      </c>
      <c r="E268" s="13" t="n">
        <v>0.53</v>
      </c>
      <c r="F268" s="7" t="n">
        <v>1</v>
      </c>
      <c r="G268" s="7" t="s">
        <v>6815</v>
      </c>
      <c r="H268" s="7"/>
    </row>
    <row r="269" customFormat="false" ht="15" hidden="false" customHeight="true" outlineLevel="0" collapsed="false">
      <c r="A269" s="7" t="s">
        <v>4275</v>
      </c>
      <c r="B269" s="7" t="s">
        <v>7990</v>
      </c>
      <c r="C269" s="12" t="n">
        <v>110</v>
      </c>
      <c r="D269" s="7" t="n">
        <v>19</v>
      </c>
      <c r="E269" s="13" t="n">
        <v>0.64</v>
      </c>
      <c r="F269" s="7" t="n">
        <v>0.93</v>
      </c>
      <c r="G269" s="7" t="s">
        <v>6815</v>
      </c>
      <c r="H269" s="7"/>
    </row>
    <row r="270" customFormat="false" ht="15" hidden="false" customHeight="true" outlineLevel="0" collapsed="false">
      <c r="A270" s="7" t="s">
        <v>4384</v>
      </c>
      <c r="B270" s="7" t="s">
        <v>7990</v>
      </c>
      <c r="C270" s="12" t="n">
        <v>110</v>
      </c>
      <c r="D270" s="7" t="n">
        <v>25</v>
      </c>
      <c r="E270" s="13" t="n">
        <v>0</v>
      </c>
      <c r="F270" s="7" t="n">
        <v>1</v>
      </c>
      <c r="G270" s="7" t="n">
        <v>6</v>
      </c>
      <c r="H270" s="7"/>
    </row>
    <row r="271" customFormat="false" ht="15" hidden="false" customHeight="true" outlineLevel="0" collapsed="false">
      <c r="A271" s="7" t="s">
        <v>7899</v>
      </c>
      <c r="B271" s="7" t="s">
        <v>7990</v>
      </c>
      <c r="C271" s="12" t="n">
        <v>110</v>
      </c>
      <c r="D271" s="7" t="n">
        <v>5</v>
      </c>
      <c r="E271" s="13" t="n">
        <v>0.49</v>
      </c>
      <c r="F271" s="7" t="n">
        <v>1</v>
      </c>
      <c r="G271" s="7" t="s">
        <v>6816</v>
      </c>
      <c r="H271" s="7"/>
    </row>
    <row r="272" customFormat="false" ht="15" hidden="false" customHeight="true" outlineLevel="0" collapsed="false">
      <c r="A272" s="7" t="s">
        <v>7898</v>
      </c>
      <c r="B272" s="7" t="s">
        <v>7990</v>
      </c>
      <c r="C272" s="12" t="n">
        <v>110</v>
      </c>
      <c r="D272" s="7" t="n">
        <v>4</v>
      </c>
      <c r="E272" s="13" t="n">
        <v>0.76</v>
      </c>
      <c r="F272" s="7" t="n">
        <v>1</v>
      </c>
      <c r="G272" s="7" t="s">
        <v>6816</v>
      </c>
      <c r="H272" s="7"/>
    </row>
    <row r="273" customFormat="false" ht="15" hidden="false" customHeight="true" outlineLevel="0" collapsed="false">
      <c r="A273" s="7" t="s">
        <v>4663</v>
      </c>
      <c r="B273" s="7" t="s">
        <v>7990</v>
      </c>
      <c r="C273" s="12" t="n">
        <v>110</v>
      </c>
      <c r="D273" s="7" t="n">
        <v>19</v>
      </c>
      <c r="E273" s="13" t="n">
        <v>0.58</v>
      </c>
      <c r="F273" s="7" t="n">
        <v>1</v>
      </c>
      <c r="G273" s="7" t="s">
        <v>6815</v>
      </c>
      <c r="H273" s="7"/>
    </row>
    <row r="274" customFormat="false" ht="15" hidden="false" customHeight="true" outlineLevel="0" collapsed="false">
      <c r="A274" s="7" t="s">
        <v>7924</v>
      </c>
      <c r="B274" s="7" t="s">
        <v>7990</v>
      </c>
      <c r="C274" s="12" t="n">
        <v>110</v>
      </c>
      <c r="D274" s="7" t="n">
        <v>21</v>
      </c>
      <c r="E274" s="13" t="n">
        <v>0.23</v>
      </c>
      <c r="F274" s="7" t="n">
        <v>1</v>
      </c>
      <c r="G274" s="7" t="s">
        <v>7919</v>
      </c>
      <c r="H274" s="7"/>
    </row>
    <row r="275" customFormat="false" ht="15" hidden="false" customHeight="true" outlineLevel="0" collapsed="false">
      <c r="A275" s="7" t="s">
        <v>6610</v>
      </c>
      <c r="B275" s="7" t="s">
        <v>7989</v>
      </c>
      <c r="C275" s="12" t="n">
        <v>110</v>
      </c>
      <c r="D275" s="7" t="n">
        <v>20</v>
      </c>
      <c r="E275" s="13" t="n">
        <v>0.58</v>
      </c>
      <c r="F275" s="7" t="n">
        <v>1</v>
      </c>
      <c r="G275" s="7" t="n">
        <v>2</v>
      </c>
      <c r="H275" s="7"/>
    </row>
    <row r="276" customFormat="false" ht="15" hidden="false" customHeight="true" outlineLevel="0" collapsed="false">
      <c r="A276" s="7" t="s">
        <v>2860</v>
      </c>
      <c r="B276" s="7" t="s">
        <v>7990</v>
      </c>
      <c r="C276" s="12" t="n">
        <v>90</v>
      </c>
      <c r="D276" s="7" t="n">
        <v>10</v>
      </c>
      <c r="E276" s="13" t="n">
        <v>0</v>
      </c>
      <c r="F276" s="7" t="n">
        <v>1</v>
      </c>
      <c r="G276" s="7" t="n">
        <v>4</v>
      </c>
      <c r="H276" s="7"/>
    </row>
    <row r="277" customFormat="false" ht="15" hidden="false" customHeight="true" outlineLevel="0" collapsed="false">
      <c r="A277" s="7" t="s">
        <v>7902</v>
      </c>
      <c r="B277" s="7" t="s">
        <v>7990</v>
      </c>
      <c r="C277" s="12" t="n">
        <v>90</v>
      </c>
      <c r="D277" s="7" t="n">
        <v>9</v>
      </c>
      <c r="E277" s="13" t="n">
        <v>0.42</v>
      </c>
      <c r="F277" s="7" t="n">
        <v>1</v>
      </c>
      <c r="G277" s="7" t="s">
        <v>6816</v>
      </c>
      <c r="H277" s="7"/>
    </row>
    <row r="278" customFormat="false" ht="15" hidden="false" customHeight="true" outlineLevel="0" collapsed="false">
      <c r="A278" s="7" t="s">
        <v>6483</v>
      </c>
      <c r="B278" s="7" t="s">
        <v>7990</v>
      </c>
      <c r="C278" s="12" t="n">
        <v>90</v>
      </c>
      <c r="D278" s="7" t="n">
        <v>24</v>
      </c>
      <c r="E278" s="13" t="n">
        <v>0.35</v>
      </c>
      <c r="F278" s="7" t="n">
        <v>1</v>
      </c>
      <c r="G278" s="7" t="n">
        <v>1</v>
      </c>
      <c r="H278" s="7"/>
    </row>
    <row r="279" customFormat="false" ht="15" hidden="false" customHeight="true" outlineLevel="0" collapsed="false">
      <c r="A279" s="7" t="s">
        <v>7937</v>
      </c>
      <c r="B279" s="7" t="s">
        <v>7990</v>
      </c>
      <c r="C279" s="12" t="n">
        <v>90</v>
      </c>
      <c r="D279" s="7" t="n">
        <v>49</v>
      </c>
      <c r="E279" s="13" t="n">
        <v>1.39</v>
      </c>
      <c r="F279" s="7" t="n">
        <v>1</v>
      </c>
      <c r="G279" s="7" t="s">
        <v>7919</v>
      </c>
      <c r="H279" s="7"/>
    </row>
    <row r="280" customFormat="false" ht="15" hidden="false" customHeight="true" outlineLevel="0" collapsed="false">
      <c r="A280" s="7" t="s">
        <v>6513</v>
      </c>
      <c r="B280" s="7" t="s">
        <v>7990</v>
      </c>
      <c r="C280" s="12" t="n">
        <v>90</v>
      </c>
      <c r="D280" s="7" t="n">
        <v>19</v>
      </c>
      <c r="E280" s="13" t="n">
        <v>0.25</v>
      </c>
      <c r="F280" s="7" t="n">
        <v>1</v>
      </c>
      <c r="G280" s="7" t="n">
        <v>1</v>
      </c>
      <c r="H280" s="7"/>
    </row>
    <row r="281" customFormat="false" ht="15" hidden="false" customHeight="true" outlineLevel="0" collapsed="false">
      <c r="A281" s="7" t="s">
        <v>6530</v>
      </c>
      <c r="B281" s="7" t="s">
        <v>7989</v>
      </c>
      <c r="C281" s="12" t="n">
        <v>90</v>
      </c>
      <c r="D281" s="7" t="n">
        <v>22</v>
      </c>
      <c r="E281" s="13" t="n">
        <v>0.28</v>
      </c>
      <c r="F281" s="7" t="n">
        <v>1</v>
      </c>
      <c r="G281" s="7" t="n">
        <v>1</v>
      </c>
      <c r="H281" s="7"/>
    </row>
    <row r="282" customFormat="false" ht="15" hidden="false" customHeight="true" outlineLevel="0" collapsed="false">
      <c r="A282" s="7" t="s">
        <v>4808</v>
      </c>
      <c r="B282" s="7" t="s">
        <v>7989</v>
      </c>
      <c r="C282" s="12" t="n">
        <v>90</v>
      </c>
      <c r="D282" s="7" t="n">
        <v>20</v>
      </c>
      <c r="E282" s="13" t="n">
        <v>0.78</v>
      </c>
      <c r="F282" s="7" t="n">
        <v>1</v>
      </c>
      <c r="G282" s="7" t="n">
        <v>6</v>
      </c>
      <c r="H282" s="7"/>
    </row>
    <row r="283" customFormat="false" ht="15" hidden="false" customHeight="true" outlineLevel="0" collapsed="false">
      <c r="A283" s="7" t="s">
        <v>5055</v>
      </c>
      <c r="B283" s="7" t="s">
        <v>7990</v>
      </c>
      <c r="C283" s="12" t="n">
        <v>90</v>
      </c>
      <c r="D283" s="7" t="n">
        <v>22</v>
      </c>
      <c r="E283" s="13" t="n">
        <v>0.34</v>
      </c>
      <c r="F283" s="7" t="n">
        <v>1</v>
      </c>
      <c r="G283" s="7" t="s">
        <v>6815</v>
      </c>
      <c r="H283" s="7"/>
    </row>
    <row r="284" customFormat="false" ht="15" hidden="false" customHeight="true" outlineLevel="0" collapsed="false">
      <c r="A284" s="7" t="s">
        <v>6577</v>
      </c>
      <c r="B284" s="7" t="s">
        <v>7990</v>
      </c>
      <c r="C284" s="12" t="n">
        <v>90</v>
      </c>
      <c r="D284" s="7" t="n">
        <v>20</v>
      </c>
      <c r="E284" s="13" t="n">
        <v>0.41</v>
      </c>
      <c r="F284" s="7" t="n">
        <v>1</v>
      </c>
      <c r="G284" s="7" t="n">
        <v>2</v>
      </c>
      <c r="H284" s="7"/>
    </row>
    <row r="285" customFormat="false" ht="15" hidden="false" customHeight="true" outlineLevel="0" collapsed="false">
      <c r="A285" s="7" t="s">
        <v>5380</v>
      </c>
      <c r="B285" s="7" t="s">
        <v>7990</v>
      </c>
      <c r="C285" s="12" t="n">
        <v>90</v>
      </c>
      <c r="D285" s="7" t="n">
        <v>14</v>
      </c>
      <c r="E285" s="13" t="n">
        <v>0.49</v>
      </c>
      <c r="F285" s="7" t="n">
        <v>1</v>
      </c>
      <c r="G285" s="7" t="n">
        <v>7</v>
      </c>
      <c r="H285" s="7"/>
    </row>
    <row r="286" customFormat="false" ht="15" hidden="false" customHeight="true" outlineLevel="0" collapsed="false">
      <c r="A286" s="7" t="s">
        <v>175</v>
      </c>
      <c r="B286" s="7" t="s">
        <v>7990</v>
      </c>
      <c r="C286" s="12" t="n">
        <v>90</v>
      </c>
      <c r="D286" s="7" t="n">
        <v>16</v>
      </c>
      <c r="E286" s="13" t="n">
        <v>0.68</v>
      </c>
      <c r="F286" s="7" t="n">
        <v>1</v>
      </c>
      <c r="G286" s="7" t="n">
        <v>3</v>
      </c>
      <c r="H286" s="7"/>
    </row>
    <row r="287" customFormat="false" ht="15" hidden="false" customHeight="true" outlineLevel="0" collapsed="false">
      <c r="A287" s="7" t="s">
        <v>6608</v>
      </c>
      <c r="B287" s="7" t="s">
        <v>7990</v>
      </c>
      <c r="C287" s="12" t="n">
        <v>90</v>
      </c>
      <c r="D287" s="7" t="n">
        <v>13</v>
      </c>
      <c r="E287" s="13" t="n">
        <v>0.48</v>
      </c>
      <c r="F287" s="7" t="n">
        <v>0.99</v>
      </c>
      <c r="G287" s="7" t="n">
        <v>2</v>
      </c>
      <c r="H287" s="7"/>
    </row>
    <row r="288" customFormat="false" ht="15" hidden="false" customHeight="true" outlineLevel="0" collapsed="false">
      <c r="A288" s="7" t="s">
        <v>176</v>
      </c>
      <c r="B288" s="7" t="s">
        <v>7991</v>
      </c>
      <c r="C288" s="12" t="n">
        <v>90</v>
      </c>
      <c r="D288" s="7" t="n">
        <v>22</v>
      </c>
      <c r="E288" s="13" t="n">
        <v>0.95</v>
      </c>
      <c r="F288" s="7" t="n">
        <v>0.99</v>
      </c>
      <c r="G288" s="7" t="n">
        <v>3</v>
      </c>
      <c r="H288" s="7"/>
    </row>
    <row r="289" customFormat="false" ht="15" hidden="false" customHeight="true" outlineLevel="0" collapsed="false">
      <c r="A289" s="7" t="s">
        <v>6090</v>
      </c>
      <c r="B289" s="7" t="s">
        <v>7990</v>
      </c>
      <c r="C289" s="12" t="n">
        <v>90</v>
      </c>
      <c r="D289" s="7" t="n">
        <v>19</v>
      </c>
      <c r="E289" s="13" t="n">
        <v>0.55</v>
      </c>
      <c r="F289" s="7" t="n">
        <v>1</v>
      </c>
      <c r="G289" s="7" t="n">
        <v>7</v>
      </c>
      <c r="H289" s="7"/>
    </row>
    <row r="290" customFormat="false" ht="15" hidden="false" customHeight="true" outlineLevel="0" collapsed="false">
      <c r="A290" s="7" t="s">
        <v>6168</v>
      </c>
      <c r="B290" s="7" t="s">
        <v>7990</v>
      </c>
      <c r="C290" s="12" t="n">
        <v>90</v>
      </c>
      <c r="D290" s="7" t="n">
        <v>15</v>
      </c>
      <c r="E290" s="13" t="n">
        <v>0.61</v>
      </c>
      <c r="F290" s="7" t="n">
        <v>1</v>
      </c>
      <c r="G290" s="7" t="n">
        <v>8</v>
      </c>
      <c r="H290" s="7"/>
    </row>
    <row r="291" customFormat="false" ht="15" hidden="false" customHeight="true" outlineLevel="0" collapsed="false">
      <c r="A291" s="7" t="s">
        <v>242</v>
      </c>
      <c r="B291" s="7" t="s">
        <v>7992</v>
      </c>
      <c r="C291" s="12" t="n">
        <v>90</v>
      </c>
      <c r="D291" s="7" t="n">
        <v>36</v>
      </c>
      <c r="E291" s="13" t="n">
        <v>1.14</v>
      </c>
      <c r="F291" s="7" t="n">
        <v>1</v>
      </c>
      <c r="G291" s="7" t="n">
        <v>3</v>
      </c>
      <c r="H291" s="7"/>
    </row>
    <row r="292" customFormat="false" ht="15" hidden="false" customHeight="true" outlineLevel="0" collapsed="false">
      <c r="A292" s="7" t="s">
        <v>2447</v>
      </c>
      <c r="B292" s="7" t="s">
        <v>7990</v>
      </c>
      <c r="C292" s="12" t="n">
        <v>70</v>
      </c>
      <c r="D292" s="7" t="n">
        <v>13</v>
      </c>
      <c r="E292" s="13" t="n">
        <v>0.5</v>
      </c>
      <c r="F292" s="7" t="n">
        <v>1</v>
      </c>
      <c r="G292" s="7" t="n">
        <v>4</v>
      </c>
      <c r="H292" s="7"/>
    </row>
    <row r="293" customFormat="false" ht="15" hidden="false" customHeight="true" outlineLevel="0" collapsed="false">
      <c r="A293" s="7" t="s">
        <v>2644</v>
      </c>
      <c r="B293" s="7" t="s">
        <v>7990</v>
      </c>
      <c r="C293" s="12" t="n">
        <v>70</v>
      </c>
      <c r="D293" s="7" t="n">
        <v>19</v>
      </c>
      <c r="E293" s="13" t="n">
        <v>0</v>
      </c>
      <c r="F293" s="7" t="n">
        <v>1</v>
      </c>
      <c r="G293" s="7" t="n">
        <v>4</v>
      </c>
      <c r="H293" s="7"/>
    </row>
    <row r="294" customFormat="false" ht="15" hidden="false" customHeight="true" outlineLevel="0" collapsed="false">
      <c r="A294" s="7" t="s">
        <v>6475</v>
      </c>
      <c r="B294" s="7" t="s">
        <v>7989</v>
      </c>
      <c r="C294" s="12" t="n">
        <v>70</v>
      </c>
      <c r="D294" s="7" t="n">
        <v>13</v>
      </c>
      <c r="E294" s="13" t="n">
        <v>0.2</v>
      </c>
      <c r="F294" s="7" t="n">
        <v>1</v>
      </c>
      <c r="G294" s="7" t="n">
        <v>1</v>
      </c>
      <c r="H294" s="7"/>
    </row>
    <row r="295" customFormat="false" ht="15" hidden="false" customHeight="true" outlineLevel="0" collapsed="false">
      <c r="A295" s="7" t="s">
        <v>177</v>
      </c>
      <c r="B295" s="7" t="s">
        <v>7990</v>
      </c>
      <c r="C295" s="12" t="n">
        <v>70</v>
      </c>
      <c r="D295" s="7" t="n">
        <v>36</v>
      </c>
      <c r="E295" s="13" t="n">
        <v>0.49</v>
      </c>
      <c r="F295" s="7" t="n">
        <v>1</v>
      </c>
      <c r="G295" s="7" t="n">
        <v>2</v>
      </c>
      <c r="H295" s="7"/>
    </row>
    <row r="296" customFormat="false" ht="15" hidden="false" customHeight="true" outlineLevel="0" collapsed="false">
      <c r="A296" s="7" t="s">
        <v>6485</v>
      </c>
      <c r="B296" s="7" t="s">
        <v>7990</v>
      </c>
      <c r="C296" s="12" t="n">
        <v>70</v>
      </c>
      <c r="D296" s="7" t="n">
        <v>28</v>
      </c>
      <c r="E296" s="13" t="n">
        <v>0.25</v>
      </c>
      <c r="F296" s="7" t="n">
        <v>1</v>
      </c>
      <c r="G296" s="7" t="n">
        <v>1</v>
      </c>
      <c r="H296" s="7"/>
    </row>
    <row r="297" customFormat="false" ht="15" hidden="false" customHeight="true" outlineLevel="0" collapsed="false">
      <c r="A297" s="7" t="s">
        <v>3316</v>
      </c>
      <c r="B297" s="7" t="s">
        <v>7992</v>
      </c>
      <c r="C297" s="12" t="n">
        <v>70</v>
      </c>
      <c r="D297" s="7" t="n">
        <v>19</v>
      </c>
      <c r="E297" s="13" t="n">
        <v>0.34</v>
      </c>
      <c r="F297" s="7" t="n">
        <v>1</v>
      </c>
      <c r="G297" s="7" t="n">
        <v>4</v>
      </c>
      <c r="H297" s="7"/>
    </row>
    <row r="298" customFormat="false" ht="15" hidden="false" customHeight="true" outlineLevel="0" collapsed="false">
      <c r="A298" s="7" t="s">
        <v>6508</v>
      </c>
      <c r="B298" s="7" t="s">
        <v>7989</v>
      </c>
      <c r="C298" s="12" t="n">
        <v>70</v>
      </c>
      <c r="D298" s="7" t="n">
        <v>20</v>
      </c>
      <c r="E298" s="13" t="n">
        <v>0</v>
      </c>
      <c r="F298" s="7" t="n">
        <v>0.33</v>
      </c>
      <c r="G298" s="7" t="n">
        <v>1</v>
      </c>
      <c r="H298" s="7"/>
    </row>
    <row r="299" customFormat="false" ht="15" hidden="false" customHeight="true" outlineLevel="0" collapsed="false">
      <c r="A299" s="7" t="s">
        <v>178</v>
      </c>
      <c r="B299" s="7" t="s">
        <v>7994</v>
      </c>
      <c r="C299" s="12" t="n">
        <v>70</v>
      </c>
      <c r="D299" s="7" t="n">
        <v>16</v>
      </c>
      <c r="E299" s="13" t="n">
        <v>0.35</v>
      </c>
      <c r="F299" s="7" t="n">
        <v>0.98</v>
      </c>
      <c r="G299" s="7" t="n">
        <v>2</v>
      </c>
      <c r="H299" s="7"/>
    </row>
    <row r="300" customFormat="false" ht="15" hidden="false" customHeight="true" outlineLevel="0" collapsed="false">
      <c r="A300" s="7" t="s">
        <v>243</v>
      </c>
      <c r="B300" s="7" t="s">
        <v>7992</v>
      </c>
      <c r="C300" s="12" t="n">
        <v>70</v>
      </c>
      <c r="D300" s="7" t="n">
        <v>29</v>
      </c>
      <c r="E300" s="13" t="n">
        <v>0.62</v>
      </c>
      <c r="F300" s="7" t="n">
        <v>1</v>
      </c>
      <c r="G300" s="7" t="n">
        <v>3</v>
      </c>
      <c r="H300" s="7"/>
    </row>
    <row r="301" customFormat="false" ht="15" hidden="false" customHeight="true" outlineLevel="0" collapsed="false">
      <c r="A301" s="7" t="s">
        <v>3600</v>
      </c>
      <c r="B301" s="7" t="s">
        <v>7990</v>
      </c>
      <c r="C301" s="12" t="n">
        <v>70</v>
      </c>
      <c r="D301" s="7" t="n">
        <v>21</v>
      </c>
      <c r="E301" s="13" t="n">
        <v>0</v>
      </c>
      <c r="F301" s="7" t="n">
        <v>1</v>
      </c>
      <c r="G301" s="7" t="n">
        <v>5</v>
      </c>
      <c r="H301" s="7"/>
    </row>
    <row r="302" customFormat="false" ht="15" hidden="false" customHeight="true" outlineLevel="0" collapsed="false">
      <c r="A302" s="7" t="s">
        <v>3986</v>
      </c>
      <c r="B302" s="7" t="s">
        <v>7991</v>
      </c>
      <c r="C302" s="12" t="n">
        <v>70</v>
      </c>
      <c r="D302" s="7" t="n">
        <v>20</v>
      </c>
      <c r="E302" s="13" t="n">
        <v>0.44</v>
      </c>
      <c r="F302" s="7" t="n">
        <v>1</v>
      </c>
      <c r="G302" s="7" t="n">
        <v>6</v>
      </c>
      <c r="H302" s="7"/>
    </row>
    <row r="303" customFormat="false" ht="15" hidden="false" customHeight="true" outlineLevel="0" collapsed="false">
      <c r="A303" s="7" t="s">
        <v>4353</v>
      </c>
      <c r="B303" s="7" t="s">
        <v>7994</v>
      </c>
      <c r="C303" s="12" t="n">
        <v>70</v>
      </c>
      <c r="D303" s="7" t="n">
        <v>27</v>
      </c>
      <c r="E303" s="13" t="n">
        <v>0</v>
      </c>
      <c r="F303" s="7" t="n">
        <v>1</v>
      </c>
      <c r="G303" s="7" t="n">
        <v>6</v>
      </c>
      <c r="H303" s="7"/>
    </row>
    <row r="304" customFormat="false" ht="15" hidden="false" customHeight="true" outlineLevel="0" collapsed="false">
      <c r="A304" s="7" t="s">
        <v>4801</v>
      </c>
      <c r="B304" s="7" t="s">
        <v>7989</v>
      </c>
      <c r="C304" s="12" t="n">
        <v>70</v>
      </c>
      <c r="D304" s="7" t="n">
        <v>20</v>
      </c>
      <c r="E304" s="13" t="n">
        <v>0.89</v>
      </c>
      <c r="F304" s="7" t="n">
        <v>1</v>
      </c>
      <c r="G304" s="7" t="s">
        <v>6815</v>
      </c>
      <c r="H304" s="7"/>
    </row>
    <row r="305" customFormat="false" ht="15" hidden="false" customHeight="true" outlineLevel="0" collapsed="false">
      <c r="A305" s="7" t="s">
        <v>5008</v>
      </c>
      <c r="B305" s="7" t="s">
        <v>7990</v>
      </c>
      <c r="C305" s="12" t="n">
        <v>70</v>
      </c>
      <c r="D305" s="7" t="n">
        <v>17</v>
      </c>
      <c r="E305" s="13" t="n">
        <v>0.18</v>
      </c>
      <c r="F305" s="7" t="n">
        <v>0.99</v>
      </c>
      <c r="G305" s="7" t="n">
        <v>6</v>
      </c>
      <c r="H305" s="7"/>
    </row>
    <row r="306" customFormat="false" ht="15" hidden="false" customHeight="true" outlineLevel="0" collapsed="false">
      <c r="A306" s="7" t="s">
        <v>6597</v>
      </c>
      <c r="B306" s="7" t="s">
        <v>7990</v>
      </c>
      <c r="C306" s="12" t="n">
        <v>70</v>
      </c>
      <c r="D306" s="7" t="n">
        <v>26</v>
      </c>
      <c r="E306" s="13" t="n">
        <v>0.31</v>
      </c>
      <c r="F306" s="7" t="n">
        <v>1</v>
      </c>
      <c r="G306" s="7" t="n">
        <v>2</v>
      </c>
      <c r="H306" s="7"/>
    </row>
    <row r="307" customFormat="false" ht="15" hidden="false" customHeight="true" outlineLevel="0" collapsed="false">
      <c r="A307" s="7" t="s">
        <v>7901</v>
      </c>
      <c r="B307" s="7" t="s">
        <v>7989</v>
      </c>
      <c r="C307" s="12" t="n">
        <v>70</v>
      </c>
      <c r="D307" s="7" t="n">
        <v>19</v>
      </c>
      <c r="E307" s="13" t="n">
        <v>0.74</v>
      </c>
      <c r="F307" s="7" t="n">
        <v>1</v>
      </c>
      <c r="G307" s="7" t="s">
        <v>6816</v>
      </c>
      <c r="H307" s="7"/>
    </row>
    <row r="308" customFormat="false" ht="15" hidden="false" customHeight="true" outlineLevel="0" collapsed="false">
      <c r="A308" s="7" t="s">
        <v>5672</v>
      </c>
      <c r="B308" s="7" t="s">
        <v>7989</v>
      </c>
      <c r="C308" s="12" t="n">
        <v>70</v>
      </c>
      <c r="D308" s="7" t="n">
        <v>7</v>
      </c>
      <c r="E308" s="13" t="n">
        <v>0</v>
      </c>
      <c r="F308" s="7" t="n">
        <v>0</v>
      </c>
      <c r="G308" s="7" t="n">
        <v>7</v>
      </c>
      <c r="H308" s="7"/>
    </row>
    <row r="309" customFormat="false" ht="15" hidden="false" customHeight="true" outlineLevel="0" collapsed="false">
      <c r="A309" s="7" t="s">
        <v>2886</v>
      </c>
      <c r="B309" s="7" t="s">
        <v>7990</v>
      </c>
      <c r="C309" s="12" t="n">
        <v>50</v>
      </c>
      <c r="D309" s="7" t="n">
        <v>15</v>
      </c>
      <c r="E309" s="13" t="n">
        <v>0</v>
      </c>
      <c r="F309" s="7" t="n">
        <v>1</v>
      </c>
      <c r="G309" s="7" t="n">
        <v>4</v>
      </c>
      <c r="H309" s="7"/>
    </row>
    <row r="310" customFormat="false" ht="15" hidden="false" customHeight="true" outlineLevel="0" collapsed="false">
      <c r="A310" s="7" t="s">
        <v>3294</v>
      </c>
      <c r="B310" s="7" t="s">
        <v>7989</v>
      </c>
      <c r="C310" s="12" t="n">
        <v>50</v>
      </c>
      <c r="D310" s="7" t="n">
        <v>14</v>
      </c>
      <c r="E310" s="13" t="n">
        <v>0.4</v>
      </c>
      <c r="F310" s="7" t="n">
        <v>1</v>
      </c>
      <c r="G310" s="7" t="n">
        <v>4</v>
      </c>
      <c r="H310" s="7"/>
    </row>
    <row r="311" customFormat="false" ht="15" hidden="false" customHeight="true" outlineLevel="0" collapsed="false">
      <c r="A311" s="7" t="s">
        <v>3359</v>
      </c>
      <c r="B311" s="7" t="s">
        <v>7989</v>
      </c>
      <c r="C311" s="12" t="n">
        <v>50</v>
      </c>
      <c r="D311" s="7" t="n">
        <v>15</v>
      </c>
      <c r="E311" s="13" t="n">
        <v>0</v>
      </c>
      <c r="F311" s="7" t="n">
        <v>1</v>
      </c>
      <c r="G311" s="7" t="n">
        <v>4</v>
      </c>
      <c r="H311" s="7"/>
    </row>
    <row r="312" customFormat="false" ht="15" hidden="false" customHeight="true" outlineLevel="0" collapsed="false">
      <c r="A312" s="7" t="s">
        <v>6503</v>
      </c>
      <c r="B312" s="7" t="s">
        <v>7990</v>
      </c>
      <c r="C312" s="12" t="n">
        <v>50</v>
      </c>
      <c r="D312" s="7" t="n">
        <v>24</v>
      </c>
      <c r="E312" s="13" t="n">
        <v>0.21</v>
      </c>
      <c r="F312" s="7" t="n">
        <v>0.97</v>
      </c>
      <c r="G312" s="7" t="n">
        <v>1</v>
      </c>
      <c r="H312" s="7"/>
    </row>
    <row r="313" customFormat="false" ht="15" hidden="false" customHeight="true" outlineLevel="0" collapsed="false">
      <c r="A313" s="7" t="s">
        <v>3515</v>
      </c>
      <c r="B313" s="7" t="s">
        <v>7993</v>
      </c>
      <c r="C313" s="12" t="n">
        <v>50</v>
      </c>
      <c r="D313" s="7" t="n">
        <v>15</v>
      </c>
      <c r="E313" s="13" t="n">
        <v>0.33</v>
      </c>
      <c r="F313" s="7" t="n">
        <v>1</v>
      </c>
      <c r="G313" s="7" t="n">
        <v>5</v>
      </c>
      <c r="H313" s="7"/>
    </row>
    <row r="314" customFormat="false" ht="15" hidden="false" customHeight="true" outlineLevel="0" collapsed="false">
      <c r="A314" s="7" t="s">
        <v>3665</v>
      </c>
      <c r="B314" s="7" t="s">
        <v>7990</v>
      </c>
      <c r="C314" s="12" t="n">
        <v>50</v>
      </c>
      <c r="D314" s="7" t="n">
        <v>14</v>
      </c>
      <c r="E314" s="13" t="n">
        <v>0.44</v>
      </c>
      <c r="F314" s="7" t="n">
        <v>1</v>
      </c>
      <c r="G314" s="7" t="n">
        <v>5</v>
      </c>
      <c r="H314" s="7"/>
    </row>
    <row r="315" customFormat="false" ht="15" hidden="false" customHeight="true" outlineLevel="0" collapsed="false">
      <c r="A315" s="7" t="s">
        <v>3908</v>
      </c>
      <c r="B315" s="7" t="s">
        <v>7990</v>
      </c>
      <c r="C315" s="12" t="n">
        <v>50</v>
      </c>
      <c r="D315" s="7" t="n">
        <v>9</v>
      </c>
      <c r="E315" s="13" t="n">
        <v>0.48</v>
      </c>
      <c r="F315" s="7" t="n">
        <v>1</v>
      </c>
      <c r="G315" s="7" t="n">
        <v>6</v>
      </c>
      <c r="H315" s="7"/>
    </row>
    <row r="316" customFormat="false" ht="15" hidden="false" customHeight="true" outlineLevel="0" collapsed="false">
      <c r="A316" s="7" t="s">
        <v>4330</v>
      </c>
      <c r="B316" s="7" t="s">
        <v>7990</v>
      </c>
      <c r="C316" s="12" t="n">
        <v>50</v>
      </c>
      <c r="D316" s="7" t="n">
        <v>17</v>
      </c>
      <c r="E316" s="13" t="n">
        <v>0</v>
      </c>
      <c r="F316" s="7" t="n">
        <v>0.9</v>
      </c>
      <c r="G316" s="7" t="n">
        <v>6</v>
      </c>
      <c r="H316" s="7"/>
    </row>
    <row r="317" customFormat="false" ht="15" hidden="false" customHeight="true" outlineLevel="0" collapsed="false">
      <c r="A317" s="7" t="s">
        <v>4342</v>
      </c>
      <c r="B317" s="7" t="s">
        <v>7996</v>
      </c>
      <c r="C317" s="12" t="n">
        <v>50</v>
      </c>
      <c r="D317" s="7" t="n">
        <v>23</v>
      </c>
      <c r="E317" s="13" t="n">
        <v>0</v>
      </c>
      <c r="F317" s="7" t="n">
        <v>1</v>
      </c>
      <c r="G317" s="7" t="n">
        <v>6</v>
      </c>
      <c r="H317" s="7"/>
    </row>
    <row r="318" customFormat="false" ht="15" hidden="false" customHeight="true" outlineLevel="0" collapsed="false">
      <c r="A318" s="7" t="s">
        <v>5177</v>
      </c>
      <c r="B318" s="7" t="s">
        <v>7990</v>
      </c>
      <c r="C318" s="12" t="n">
        <v>50</v>
      </c>
      <c r="D318" s="7" t="n">
        <v>16</v>
      </c>
      <c r="E318" s="13" t="n">
        <v>0</v>
      </c>
      <c r="F318" s="7" t="n">
        <v>1</v>
      </c>
      <c r="G318" s="7" t="n">
        <v>7</v>
      </c>
      <c r="H318" s="7"/>
    </row>
    <row r="319" customFormat="false" ht="15" hidden="false" customHeight="true" outlineLevel="0" collapsed="false">
      <c r="A319" s="7" t="s">
        <v>5346</v>
      </c>
      <c r="B319" s="7" t="s">
        <v>7992</v>
      </c>
      <c r="C319" s="12" t="n">
        <v>50</v>
      </c>
      <c r="D319" s="7" t="n">
        <v>13</v>
      </c>
      <c r="E319" s="13" t="n">
        <v>0</v>
      </c>
      <c r="F319" s="7" t="n">
        <v>1</v>
      </c>
      <c r="G319" s="7" t="s">
        <v>6815</v>
      </c>
      <c r="H319" s="7"/>
    </row>
    <row r="320" customFormat="false" ht="15" hidden="false" customHeight="true" outlineLevel="0" collapsed="false">
      <c r="A320" s="7" t="s">
        <v>5367</v>
      </c>
      <c r="B320" s="7" t="s">
        <v>7990</v>
      </c>
      <c r="C320" s="12" t="n">
        <v>50</v>
      </c>
      <c r="D320" s="7" t="n">
        <v>20</v>
      </c>
      <c r="E320" s="13" t="n">
        <v>0</v>
      </c>
      <c r="F320" s="7" t="n">
        <v>1</v>
      </c>
      <c r="G320" s="7" t="n">
        <v>7</v>
      </c>
      <c r="H320" s="7"/>
    </row>
    <row r="321" customFormat="false" ht="15" hidden="false" customHeight="true" outlineLevel="0" collapsed="false">
      <c r="A321" s="7" t="s">
        <v>5395</v>
      </c>
      <c r="B321" s="7" t="s">
        <v>7990</v>
      </c>
      <c r="C321" s="12" t="n">
        <v>50</v>
      </c>
      <c r="D321" s="7" t="n">
        <v>19</v>
      </c>
      <c r="E321" s="13" t="n">
        <v>0</v>
      </c>
      <c r="F321" s="7" t="n">
        <v>1</v>
      </c>
      <c r="G321" s="7" t="s">
        <v>6815</v>
      </c>
      <c r="H321" s="7"/>
    </row>
    <row r="322" customFormat="false" ht="15" hidden="false" customHeight="true" outlineLevel="0" collapsed="false">
      <c r="A322" s="7" t="s">
        <v>7896</v>
      </c>
      <c r="B322" s="7" t="s">
        <v>7990</v>
      </c>
      <c r="C322" s="12" t="n">
        <v>50</v>
      </c>
      <c r="D322" s="7" t="n">
        <v>1</v>
      </c>
      <c r="E322" s="13" t="n">
        <v>1.76</v>
      </c>
      <c r="F322" s="7" t="n">
        <v>1</v>
      </c>
      <c r="G322" s="7" t="s">
        <v>6816</v>
      </c>
      <c r="H322" s="7"/>
    </row>
    <row r="323" customFormat="false" ht="15" hidden="false" customHeight="true" outlineLevel="0" collapsed="false">
      <c r="A323" s="7" t="s">
        <v>6605</v>
      </c>
      <c r="B323" s="7" t="s">
        <v>7991</v>
      </c>
      <c r="C323" s="12" t="n">
        <v>50</v>
      </c>
      <c r="D323" s="7" t="n">
        <v>19</v>
      </c>
      <c r="E323" s="13" t="n">
        <v>0.35</v>
      </c>
      <c r="F323" s="7" t="n">
        <v>0.92</v>
      </c>
      <c r="G323" s="7" t="n">
        <v>2</v>
      </c>
      <c r="H323" s="7"/>
    </row>
    <row r="324" customFormat="false" ht="15" hidden="false" customHeight="true" outlineLevel="0" collapsed="false">
      <c r="A324" s="7" t="s">
        <v>6454</v>
      </c>
      <c r="B324" s="7" t="s">
        <v>7989</v>
      </c>
      <c r="C324" s="12" t="n">
        <v>40</v>
      </c>
      <c r="D324" s="7" t="n">
        <v>17</v>
      </c>
      <c r="E324" s="13" t="n">
        <v>0.3</v>
      </c>
      <c r="F324" s="7" t="n">
        <v>1</v>
      </c>
      <c r="G324" s="7" t="n">
        <v>1</v>
      </c>
      <c r="H324" s="7"/>
    </row>
    <row r="325" customFormat="false" ht="15" hidden="false" customHeight="true" outlineLevel="0" collapsed="false">
      <c r="A325" s="7" t="s">
        <v>4279</v>
      </c>
      <c r="B325" s="7" t="s">
        <v>7990</v>
      </c>
      <c r="C325" s="12" t="n">
        <v>40</v>
      </c>
      <c r="D325" s="7" t="n">
        <v>9</v>
      </c>
      <c r="E325" s="13" t="n">
        <v>0</v>
      </c>
      <c r="F325" s="7" t="n">
        <v>1</v>
      </c>
      <c r="G325" s="7" t="n">
        <v>1</v>
      </c>
      <c r="H325" s="7"/>
    </row>
    <row r="326" customFormat="false" ht="15" hidden="false" customHeight="true" outlineLevel="0" collapsed="false">
      <c r="A326" s="7" t="s">
        <v>3626</v>
      </c>
      <c r="B326" s="7" t="s">
        <v>7990</v>
      </c>
      <c r="C326" s="12" t="n">
        <v>40</v>
      </c>
      <c r="D326" s="7" t="n">
        <v>22</v>
      </c>
      <c r="E326" s="13" t="n">
        <v>0.39</v>
      </c>
      <c r="F326" s="7" t="n">
        <v>1</v>
      </c>
      <c r="G326" s="7" t="s">
        <v>6815</v>
      </c>
      <c r="H326" s="7"/>
    </row>
    <row r="327" customFormat="false" ht="15" hidden="false" customHeight="true" outlineLevel="0" collapsed="false">
      <c r="A327" s="7" t="s">
        <v>3796</v>
      </c>
      <c r="B327" s="7" t="s">
        <v>7989</v>
      </c>
      <c r="C327" s="12" t="n">
        <v>40</v>
      </c>
      <c r="D327" s="7" t="n">
        <v>9</v>
      </c>
      <c r="E327" s="13" t="n">
        <v>0</v>
      </c>
      <c r="F327" s="7" t="n">
        <v>1</v>
      </c>
      <c r="G327" s="7" t="n">
        <v>5</v>
      </c>
      <c r="H327" s="7"/>
    </row>
    <row r="328" customFormat="false" ht="15" hidden="false" customHeight="true" outlineLevel="0" collapsed="false">
      <c r="A328" s="7" t="s">
        <v>3875</v>
      </c>
      <c r="B328" s="7" t="s">
        <v>7993</v>
      </c>
      <c r="C328" s="12" t="n">
        <v>40</v>
      </c>
      <c r="D328" s="7" t="n">
        <v>19</v>
      </c>
      <c r="E328" s="13" t="n">
        <v>0.52</v>
      </c>
      <c r="F328" s="7" t="n">
        <v>1</v>
      </c>
      <c r="G328" s="7" t="n">
        <v>6</v>
      </c>
      <c r="H328" s="7"/>
    </row>
    <row r="329" customFormat="false" ht="15" hidden="false" customHeight="true" outlineLevel="0" collapsed="false">
      <c r="A329" s="7" t="s">
        <v>6529</v>
      </c>
      <c r="B329" s="7" t="s">
        <v>7990</v>
      </c>
      <c r="C329" s="12" t="n">
        <v>40</v>
      </c>
      <c r="D329" s="7" t="n">
        <v>16</v>
      </c>
      <c r="E329" s="13" t="n">
        <v>0.26</v>
      </c>
      <c r="F329" s="7" t="n">
        <v>1</v>
      </c>
      <c r="G329" s="7" t="n">
        <v>1</v>
      </c>
      <c r="H329" s="7"/>
    </row>
    <row r="330" customFormat="false" ht="15" hidden="false" customHeight="true" outlineLevel="0" collapsed="false">
      <c r="A330" s="7" t="s">
        <v>4254</v>
      </c>
      <c r="B330" s="7" t="s">
        <v>7993</v>
      </c>
      <c r="C330" s="12" t="n">
        <v>40</v>
      </c>
      <c r="D330" s="7" t="n">
        <v>22</v>
      </c>
      <c r="E330" s="13" t="n">
        <v>0</v>
      </c>
      <c r="F330" s="7" t="n">
        <v>0.91</v>
      </c>
      <c r="G330" s="7" t="n">
        <v>6</v>
      </c>
      <c r="H330" s="7"/>
    </row>
    <row r="331" customFormat="false" ht="15" hidden="false" customHeight="true" outlineLevel="0" collapsed="false">
      <c r="A331" s="7" t="s">
        <v>6553</v>
      </c>
      <c r="B331" s="7" t="s">
        <v>7989</v>
      </c>
      <c r="C331" s="12" t="n">
        <v>40</v>
      </c>
      <c r="D331" s="7" t="n">
        <v>20</v>
      </c>
      <c r="E331" s="13" t="n">
        <v>0.38</v>
      </c>
      <c r="F331" s="7" t="n">
        <v>1</v>
      </c>
      <c r="G331" s="7" t="n">
        <v>1</v>
      </c>
      <c r="H331" s="7"/>
    </row>
    <row r="332" customFormat="false" ht="15" hidden="false" customHeight="true" outlineLevel="0" collapsed="false">
      <c r="A332" s="7" t="s">
        <v>4598</v>
      </c>
      <c r="B332" s="7" t="s">
        <v>7990</v>
      </c>
      <c r="C332" s="12" t="n">
        <v>40</v>
      </c>
      <c r="D332" s="7" t="n">
        <v>24</v>
      </c>
      <c r="E332" s="13" t="n">
        <v>0.63</v>
      </c>
      <c r="F332" s="7" t="n">
        <v>1</v>
      </c>
      <c r="G332" s="7" t="s">
        <v>6815</v>
      </c>
      <c r="H332" s="7"/>
    </row>
    <row r="333" customFormat="false" ht="15" hidden="false" customHeight="true" outlineLevel="0" collapsed="false">
      <c r="A333" s="7" t="s">
        <v>7900</v>
      </c>
      <c r="B333" s="7" t="s">
        <v>7989</v>
      </c>
      <c r="C333" s="12" t="n">
        <v>40</v>
      </c>
      <c r="D333" s="7" t="n">
        <v>7</v>
      </c>
      <c r="E333" s="13" t="n">
        <v>0.96</v>
      </c>
      <c r="F333" s="7" t="n">
        <v>1</v>
      </c>
      <c r="G333" s="7" t="s">
        <v>6816</v>
      </c>
      <c r="H333" s="7"/>
    </row>
    <row r="334" customFormat="false" ht="15" hidden="false" customHeight="true" outlineLevel="0" collapsed="false">
      <c r="A334" s="7" t="s">
        <v>4758</v>
      </c>
      <c r="B334" s="7" t="s">
        <v>7989</v>
      </c>
      <c r="C334" s="12" t="n">
        <v>40</v>
      </c>
      <c r="D334" s="7" t="n">
        <v>20</v>
      </c>
      <c r="E334" s="13" t="n">
        <v>0.78</v>
      </c>
      <c r="F334" s="7" t="n">
        <v>1</v>
      </c>
      <c r="G334" s="7" t="s">
        <v>6815</v>
      </c>
      <c r="H334" s="7"/>
    </row>
    <row r="335" customFormat="false" ht="15" hidden="false" customHeight="true" outlineLevel="0" collapsed="false">
      <c r="A335" s="7" t="s">
        <v>6586</v>
      </c>
      <c r="B335" s="7" t="s">
        <v>7990</v>
      </c>
      <c r="C335" s="12" t="n">
        <v>40</v>
      </c>
      <c r="D335" s="7" t="n">
        <v>12</v>
      </c>
      <c r="E335" s="13" t="n">
        <v>0.15</v>
      </c>
      <c r="F335" s="7" t="n">
        <v>1</v>
      </c>
      <c r="G335" s="7" t="n">
        <v>2</v>
      </c>
      <c r="H335" s="7"/>
    </row>
    <row r="336" customFormat="false" ht="15" hidden="false" customHeight="true" outlineLevel="0" collapsed="false">
      <c r="A336" s="7" t="s">
        <v>6590</v>
      </c>
      <c r="B336" s="7" t="s">
        <v>7991</v>
      </c>
      <c r="C336" s="12" t="n">
        <v>40</v>
      </c>
      <c r="D336" s="7" t="n">
        <v>25</v>
      </c>
      <c r="E336" s="13" t="n">
        <v>0.69</v>
      </c>
      <c r="F336" s="7" t="n">
        <v>1</v>
      </c>
      <c r="G336" s="7" t="n">
        <v>2</v>
      </c>
      <c r="H336" s="7"/>
    </row>
    <row r="337" customFormat="false" ht="15" hidden="false" customHeight="true" outlineLevel="0" collapsed="false">
      <c r="A337" s="7" t="s">
        <v>179</v>
      </c>
      <c r="B337" s="7" t="s">
        <v>7990</v>
      </c>
      <c r="C337" s="12" t="n">
        <v>40</v>
      </c>
      <c r="D337" s="7" t="n">
        <v>7</v>
      </c>
      <c r="E337" s="13" t="n">
        <v>1.16</v>
      </c>
      <c r="F337" s="7" t="n">
        <v>0.99</v>
      </c>
      <c r="G337" s="7" t="n">
        <v>3</v>
      </c>
      <c r="H337" s="7"/>
    </row>
    <row r="338" customFormat="false" ht="15" hidden="false" customHeight="true" outlineLevel="0" collapsed="false">
      <c r="A338" s="7" t="s">
        <v>6233</v>
      </c>
      <c r="B338" s="7" t="s">
        <v>7990</v>
      </c>
      <c r="C338" s="12" t="n">
        <v>40</v>
      </c>
      <c r="D338" s="7" t="n">
        <v>16</v>
      </c>
      <c r="E338" s="13" t="n">
        <v>0</v>
      </c>
      <c r="F338" s="7" t="n">
        <v>1</v>
      </c>
      <c r="G338" s="7" t="n">
        <v>8</v>
      </c>
      <c r="H338" s="7"/>
    </row>
    <row r="339" customFormat="false" ht="15" hidden="false" customHeight="true" outlineLevel="0" collapsed="false">
      <c r="A339" s="7" t="s">
        <v>6329</v>
      </c>
      <c r="B339" s="7" t="s">
        <v>7990</v>
      </c>
      <c r="C339" s="12" t="n">
        <v>40</v>
      </c>
      <c r="D339" s="7" t="n">
        <v>16</v>
      </c>
      <c r="E339" s="13" t="n">
        <v>0.45</v>
      </c>
      <c r="F339" s="7" t="n">
        <v>0.97</v>
      </c>
      <c r="G339" s="7" t="s">
        <v>6815</v>
      </c>
      <c r="H339" s="7"/>
    </row>
    <row r="340" customFormat="false" ht="15" hidden="false" customHeight="true" outlineLevel="0" collapsed="false">
      <c r="A340" s="7" t="s">
        <v>2427</v>
      </c>
      <c r="B340" s="7" t="s">
        <v>7989</v>
      </c>
      <c r="C340" s="12" t="n">
        <v>30</v>
      </c>
      <c r="D340" s="7" t="n">
        <v>15</v>
      </c>
      <c r="E340" s="13" t="n">
        <v>0.36</v>
      </c>
      <c r="F340" s="7" t="n">
        <v>1</v>
      </c>
      <c r="G340" s="7" t="s">
        <v>6815</v>
      </c>
      <c r="H340" s="7"/>
    </row>
    <row r="341" customFormat="false" ht="15" hidden="false" customHeight="true" outlineLevel="0" collapsed="false">
      <c r="A341" s="7" t="s">
        <v>2617</v>
      </c>
      <c r="B341" s="7" t="s">
        <v>7989</v>
      </c>
      <c r="C341" s="12" t="n">
        <v>30</v>
      </c>
      <c r="D341" s="7" t="n">
        <v>9</v>
      </c>
      <c r="E341" s="13" t="n">
        <v>0</v>
      </c>
      <c r="F341" s="7" t="n">
        <v>0.67</v>
      </c>
      <c r="G341" s="7" t="s">
        <v>6815</v>
      </c>
      <c r="H341" s="7"/>
    </row>
    <row r="342" customFormat="false" ht="15" hidden="false" customHeight="true" outlineLevel="0" collapsed="false">
      <c r="A342" s="7" t="s">
        <v>2847</v>
      </c>
      <c r="B342" s="7" t="s">
        <v>7990</v>
      </c>
      <c r="C342" s="12" t="n">
        <v>30</v>
      </c>
      <c r="D342" s="7" t="n">
        <v>47</v>
      </c>
      <c r="E342" s="13" t="n">
        <v>0</v>
      </c>
      <c r="F342" s="7" t="n">
        <v>1</v>
      </c>
      <c r="G342" s="7" t="n">
        <v>4</v>
      </c>
      <c r="H342" s="7" t="s">
        <v>7997</v>
      </c>
    </row>
    <row r="343" customFormat="false" ht="15" hidden="false" customHeight="true" outlineLevel="0" collapsed="false">
      <c r="A343" s="7" t="s">
        <v>2848</v>
      </c>
      <c r="B343" s="7" t="s">
        <v>7990</v>
      </c>
      <c r="C343" s="12" t="n">
        <v>30</v>
      </c>
      <c r="D343" s="7" t="n">
        <v>48</v>
      </c>
      <c r="E343" s="13" t="n">
        <v>0</v>
      </c>
      <c r="F343" s="7" t="n">
        <v>1</v>
      </c>
      <c r="G343" s="7" t="n">
        <v>9</v>
      </c>
      <c r="H343" s="7" t="s">
        <v>7997</v>
      </c>
    </row>
    <row r="344" customFormat="false" ht="15" hidden="false" customHeight="true" outlineLevel="0" collapsed="false">
      <c r="A344" s="7" t="s">
        <v>2944</v>
      </c>
      <c r="B344" s="7" t="s">
        <v>7990</v>
      </c>
      <c r="C344" s="12" t="n">
        <v>30</v>
      </c>
      <c r="D344" s="7" t="n">
        <v>9</v>
      </c>
      <c r="E344" s="13" t="n">
        <v>0.59</v>
      </c>
      <c r="F344" s="7" t="n">
        <v>1</v>
      </c>
      <c r="G344" s="7" t="n">
        <v>4</v>
      </c>
      <c r="H344" s="7"/>
    </row>
    <row r="345" customFormat="false" ht="15" hidden="false" customHeight="true" outlineLevel="0" collapsed="false">
      <c r="A345" s="7" t="s">
        <v>2955</v>
      </c>
      <c r="B345" s="7" t="s">
        <v>7993</v>
      </c>
      <c r="C345" s="12" t="n">
        <v>30</v>
      </c>
      <c r="D345" s="7" t="n">
        <v>19</v>
      </c>
      <c r="E345" s="13" t="n">
        <v>0</v>
      </c>
      <c r="F345" s="7" t="n">
        <v>1</v>
      </c>
      <c r="G345" s="7" t="n">
        <v>4</v>
      </c>
      <c r="H345" s="7"/>
    </row>
    <row r="346" customFormat="false" ht="15" hidden="false" customHeight="true" outlineLevel="0" collapsed="false">
      <c r="A346" s="7" t="s">
        <v>2993</v>
      </c>
      <c r="B346" s="7" t="s">
        <v>7989</v>
      </c>
      <c r="C346" s="12" t="n">
        <v>30</v>
      </c>
      <c r="D346" s="7" t="n">
        <v>14</v>
      </c>
      <c r="E346" s="13" t="n">
        <v>0</v>
      </c>
      <c r="F346" s="7" t="n">
        <v>0.22</v>
      </c>
      <c r="G346" s="7" t="s">
        <v>6815</v>
      </c>
      <c r="H346" s="7"/>
    </row>
    <row r="347" customFormat="false" ht="15" hidden="false" customHeight="true" outlineLevel="0" collapsed="false">
      <c r="A347" s="7" t="s">
        <v>3043</v>
      </c>
      <c r="B347" s="7" t="s">
        <v>7990</v>
      </c>
      <c r="C347" s="12" t="n">
        <v>30</v>
      </c>
      <c r="D347" s="7" t="n">
        <v>20</v>
      </c>
      <c r="E347" s="13" t="n">
        <v>0</v>
      </c>
      <c r="F347" s="7" t="n">
        <v>1</v>
      </c>
      <c r="G347" s="7" t="n">
        <v>4</v>
      </c>
      <c r="H347" s="7"/>
    </row>
    <row r="348" customFormat="false" ht="15" hidden="false" customHeight="true" outlineLevel="0" collapsed="false">
      <c r="A348" s="7" t="s">
        <v>3348</v>
      </c>
      <c r="B348" s="7" t="s">
        <v>7990</v>
      </c>
      <c r="C348" s="12" t="n">
        <v>30</v>
      </c>
      <c r="D348" s="7" t="n">
        <v>12</v>
      </c>
      <c r="E348" s="13" t="n">
        <v>0</v>
      </c>
      <c r="F348" s="7" t="n">
        <v>0.64</v>
      </c>
      <c r="G348" s="7" t="n">
        <v>4</v>
      </c>
      <c r="H348" s="7"/>
    </row>
    <row r="349" customFormat="false" ht="15" hidden="false" customHeight="true" outlineLevel="0" collapsed="false">
      <c r="A349" s="7" t="s">
        <v>245</v>
      </c>
      <c r="B349" s="7" t="s">
        <v>7989</v>
      </c>
      <c r="C349" s="12" t="n">
        <v>30</v>
      </c>
      <c r="D349" s="7" t="n">
        <v>24</v>
      </c>
      <c r="E349" s="13" t="n">
        <v>0</v>
      </c>
      <c r="F349" s="7" t="n">
        <v>1</v>
      </c>
      <c r="G349" s="7" t="n">
        <v>3</v>
      </c>
      <c r="H349" s="7"/>
    </row>
    <row r="350" customFormat="false" ht="15" hidden="false" customHeight="true" outlineLevel="0" collapsed="false">
      <c r="A350" s="7" t="s">
        <v>2179</v>
      </c>
      <c r="B350" s="7" t="s">
        <v>7989</v>
      </c>
      <c r="C350" s="12" t="n">
        <v>30</v>
      </c>
      <c r="D350" s="7" t="n">
        <v>18</v>
      </c>
      <c r="E350" s="13" t="n">
        <v>0</v>
      </c>
      <c r="F350" s="7" t="n">
        <v>1</v>
      </c>
      <c r="G350" s="7" t="n">
        <v>5</v>
      </c>
      <c r="H350" s="7"/>
    </row>
    <row r="351" customFormat="false" ht="15" hidden="false" customHeight="true" outlineLevel="0" collapsed="false">
      <c r="A351" s="7" t="s">
        <v>180</v>
      </c>
      <c r="B351" s="7" t="s">
        <v>7996</v>
      </c>
      <c r="C351" s="12" t="n">
        <v>30</v>
      </c>
      <c r="D351" s="7" t="n">
        <v>21</v>
      </c>
      <c r="E351" s="13" t="n">
        <v>0</v>
      </c>
      <c r="F351" s="7" t="n">
        <v>0</v>
      </c>
      <c r="G351" s="7" t="n">
        <v>2</v>
      </c>
      <c r="H351" s="7"/>
    </row>
    <row r="352" customFormat="false" ht="15" hidden="false" customHeight="true" outlineLevel="0" collapsed="false">
      <c r="A352" s="7" t="s">
        <v>181</v>
      </c>
      <c r="B352" s="7" t="s">
        <v>7992</v>
      </c>
      <c r="C352" s="12" t="n">
        <v>30</v>
      </c>
      <c r="D352" s="7" t="n">
        <v>25</v>
      </c>
      <c r="E352" s="13" t="n">
        <v>0</v>
      </c>
      <c r="F352" s="7" t="n">
        <v>0.33</v>
      </c>
      <c r="G352" s="7" t="n">
        <v>2</v>
      </c>
      <c r="H352" s="7"/>
    </row>
    <row r="353" customFormat="false" ht="15" hidden="false" customHeight="true" outlineLevel="0" collapsed="false">
      <c r="A353" s="7" t="s">
        <v>3519</v>
      </c>
      <c r="B353" s="7" t="s">
        <v>7995</v>
      </c>
      <c r="C353" s="12" t="n">
        <v>30</v>
      </c>
      <c r="D353" s="7" t="n">
        <v>20</v>
      </c>
      <c r="E353" s="13" t="n">
        <v>0</v>
      </c>
      <c r="F353" s="7" t="n">
        <v>1</v>
      </c>
      <c r="G353" s="7" t="s">
        <v>6816</v>
      </c>
      <c r="H353" s="7"/>
    </row>
    <row r="354" customFormat="false" ht="15" hidden="false" customHeight="true" outlineLevel="0" collapsed="false">
      <c r="A354" s="7" t="s">
        <v>3550</v>
      </c>
      <c r="B354" s="7" t="s">
        <v>7994</v>
      </c>
      <c r="C354" s="12" t="n">
        <v>30</v>
      </c>
      <c r="D354" s="7" t="n">
        <v>10</v>
      </c>
      <c r="E354" s="13" t="n">
        <v>0</v>
      </c>
      <c r="F354" s="7" t="n">
        <v>1</v>
      </c>
      <c r="G354" s="7" t="n">
        <v>5</v>
      </c>
      <c r="H354" s="7"/>
    </row>
    <row r="355" customFormat="false" ht="15" hidden="false" customHeight="true" outlineLevel="0" collapsed="false">
      <c r="A355" s="7" t="s">
        <v>3644</v>
      </c>
      <c r="B355" s="7" t="s">
        <v>7989</v>
      </c>
      <c r="C355" s="12" t="n">
        <v>30</v>
      </c>
      <c r="D355" s="7" t="n">
        <v>12</v>
      </c>
      <c r="E355" s="13" t="n">
        <v>0</v>
      </c>
      <c r="F355" s="7" t="n">
        <v>1</v>
      </c>
      <c r="G355" s="7" t="n">
        <v>5</v>
      </c>
      <c r="H355" s="7"/>
    </row>
    <row r="356" customFormat="false" ht="15" hidden="false" customHeight="true" outlineLevel="0" collapsed="false">
      <c r="A356" s="7" t="s">
        <v>3930</v>
      </c>
      <c r="B356" s="7" t="s">
        <v>7990</v>
      </c>
      <c r="C356" s="12" t="n">
        <v>30</v>
      </c>
      <c r="D356" s="7" t="n">
        <v>11</v>
      </c>
      <c r="E356" s="13" t="n">
        <v>0.34</v>
      </c>
      <c r="F356" s="7" t="n">
        <v>1</v>
      </c>
      <c r="G356" s="7" t="n">
        <v>6</v>
      </c>
      <c r="H356" s="7"/>
    </row>
    <row r="357" customFormat="false" ht="15" hidden="false" customHeight="true" outlineLevel="0" collapsed="false">
      <c r="A357" s="7" t="s">
        <v>3897</v>
      </c>
      <c r="B357" s="7" t="s">
        <v>7990</v>
      </c>
      <c r="C357" s="12" t="n">
        <v>30</v>
      </c>
      <c r="D357" s="7" t="n">
        <v>7</v>
      </c>
      <c r="E357" s="13" t="n">
        <v>0</v>
      </c>
      <c r="F357" s="7" t="n">
        <v>1</v>
      </c>
      <c r="G357" s="7" t="n">
        <v>6</v>
      </c>
      <c r="H357" s="7"/>
    </row>
    <row r="358" customFormat="false" ht="15" hidden="false" customHeight="true" outlineLevel="0" collapsed="false">
      <c r="A358" s="7" t="s">
        <v>4335</v>
      </c>
      <c r="B358" s="7" t="s">
        <v>7990</v>
      </c>
      <c r="C358" s="12" t="n">
        <v>30</v>
      </c>
      <c r="D358" s="7" t="n">
        <v>16</v>
      </c>
      <c r="E358" s="13" t="n">
        <v>0.54</v>
      </c>
      <c r="F358" s="7" t="n">
        <v>0.46</v>
      </c>
      <c r="G358" s="7" t="n">
        <v>1</v>
      </c>
      <c r="H358" s="7"/>
    </row>
    <row r="359" customFormat="false" ht="15" hidden="false" customHeight="true" outlineLevel="0" collapsed="false">
      <c r="A359" s="7" t="s">
        <v>4265</v>
      </c>
      <c r="B359" s="7" t="s">
        <v>7992</v>
      </c>
      <c r="C359" s="12" t="n">
        <v>30</v>
      </c>
      <c r="D359" s="7" t="n">
        <v>12</v>
      </c>
      <c r="E359" s="13" t="n">
        <v>0</v>
      </c>
      <c r="F359" s="7" t="n">
        <v>0.79</v>
      </c>
      <c r="G359" s="7" t="n">
        <v>6</v>
      </c>
      <c r="H359" s="7"/>
    </row>
    <row r="360" customFormat="false" ht="15" hidden="false" customHeight="true" outlineLevel="0" collapsed="false">
      <c r="A360" s="7" t="s">
        <v>4714</v>
      </c>
      <c r="B360" s="7" t="s">
        <v>7990</v>
      </c>
      <c r="C360" s="12" t="n">
        <v>30</v>
      </c>
      <c r="D360" s="7" t="n">
        <v>12</v>
      </c>
      <c r="E360" s="13" t="n">
        <v>0.78</v>
      </c>
      <c r="F360" s="7" t="n">
        <v>0.51</v>
      </c>
      <c r="G360" s="7" t="n">
        <v>6</v>
      </c>
      <c r="H360" s="7"/>
    </row>
    <row r="361" customFormat="false" ht="15" hidden="false" customHeight="true" outlineLevel="0" collapsed="false">
      <c r="A361" s="7" t="s">
        <v>4724</v>
      </c>
      <c r="B361" s="7" t="s">
        <v>7992</v>
      </c>
      <c r="C361" s="12" t="n">
        <v>30</v>
      </c>
      <c r="D361" s="7" t="n">
        <v>17</v>
      </c>
      <c r="E361" s="13" t="n">
        <v>0</v>
      </c>
      <c r="F361" s="7" t="n">
        <v>1</v>
      </c>
      <c r="G361" s="7" t="n">
        <v>6</v>
      </c>
      <c r="H361" s="7"/>
    </row>
    <row r="362" customFormat="false" ht="15" hidden="false" customHeight="true" outlineLevel="0" collapsed="false">
      <c r="A362" s="7" t="s">
        <v>4778</v>
      </c>
      <c r="B362" s="7" t="s">
        <v>7989</v>
      </c>
      <c r="C362" s="12" t="n">
        <v>30</v>
      </c>
      <c r="D362" s="7" t="n">
        <v>16</v>
      </c>
      <c r="E362" s="13" t="n">
        <v>0.58</v>
      </c>
      <c r="F362" s="7" t="n">
        <v>1</v>
      </c>
      <c r="G362" s="7" t="n">
        <v>6</v>
      </c>
      <c r="H362" s="7"/>
    </row>
    <row r="363" customFormat="false" ht="15" hidden="false" customHeight="true" outlineLevel="0" collapsed="false">
      <c r="A363" s="7" t="s">
        <v>5384</v>
      </c>
      <c r="B363" s="7" t="s">
        <v>7989</v>
      </c>
      <c r="C363" s="12" t="n">
        <v>30</v>
      </c>
      <c r="D363" s="7" t="n">
        <v>10</v>
      </c>
      <c r="E363" s="13" t="n">
        <v>0</v>
      </c>
      <c r="F363" s="7" t="n">
        <v>1</v>
      </c>
      <c r="G363" s="7" t="s">
        <v>6816</v>
      </c>
      <c r="H363" s="7"/>
    </row>
    <row r="364" customFormat="false" ht="15" hidden="false" customHeight="true" outlineLevel="0" collapsed="false">
      <c r="A364" s="7" t="s">
        <v>182</v>
      </c>
      <c r="B364" s="7" t="s">
        <v>7991</v>
      </c>
      <c r="C364" s="12" t="n">
        <v>30</v>
      </c>
      <c r="D364" s="7" t="n">
        <v>12</v>
      </c>
      <c r="E364" s="13" t="n">
        <v>0</v>
      </c>
      <c r="F364" s="7" t="n">
        <v>0.99</v>
      </c>
      <c r="G364" s="7" t="n">
        <v>3</v>
      </c>
      <c r="H364" s="7"/>
    </row>
    <row r="365" customFormat="false" ht="15" hidden="false" customHeight="true" outlineLevel="0" collapsed="false">
      <c r="A365" s="7" t="s">
        <v>6603</v>
      </c>
      <c r="B365" s="7" t="s">
        <v>7990</v>
      </c>
      <c r="C365" s="12" t="n">
        <v>30</v>
      </c>
      <c r="D365" s="7" t="n">
        <v>5</v>
      </c>
      <c r="E365" s="13" t="n">
        <v>0.54</v>
      </c>
      <c r="F365" s="7" t="n">
        <v>1</v>
      </c>
      <c r="G365" s="7" t="n">
        <v>2</v>
      </c>
      <c r="H365" s="7"/>
    </row>
    <row r="366" customFormat="false" ht="15" hidden="false" customHeight="true" outlineLevel="0" collapsed="false">
      <c r="A366" s="7" t="s">
        <v>7914</v>
      </c>
      <c r="B366" s="7" t="s">
        <v>7990</v>
      </c>
      <c r="C366" s="12" t="n">
        <v>30</v>
      </c>
      <c r="D366" s="7" t="n">
        <v>15</v>
      </c>
      <c r="E366" s="13" t="n">
        <v>0</v>
      </c>
      <c r="F366" s="7" t="n">
        <v>1</v>
      </c>
      <c r="G366" s="7" t="s">
        <v>6816</v>
      </c>
      <c r="H366" s="7"/>
    </row>
    <row r="367" customFormat="false" ht="15" hidden="false" customHeight="true" outlineLevel="0" collapsed="false">
      <c r="A367" s="7" t="s">
        <v>6309</v>
      </c>
      <c r="B367" s="7" t="s">
        <v>7990</v>
      </c>
      <c r="C367" s="12" t="n">
        <v>30</v>
      </c>
      <c r="D367" s="7" t="n">
        <v>13</v>
      </c>
      <c r="E367" s="13" t="n">
        <v>0</v>
      </c>
      <c r="F367" s="7" t="n">
        <v>0.67</v>
      </c>
      <c r="G367" s="7" t="s">
        <v>6815</v>
      </c>
      <c r="H367" s="7"/>
    </row>
    <row r="368" customFormat="false" ht="15" hidden="false" customHeight="true" outlineLevel="0" collapsed="false">
      <c r="A368" s="7" t="s">
        <v>6742</v>
      </c>
      <c r="B368" s="7" t="s">
        <v>7989</v>
      </c>
      <c r="C368" s="12" t="n">
        <v>30</v>
      </c>
      <c r="D368" s="7" t="n">
        <v>10</v>
      </c>
      <c r="E368" s="13" t="n">
        <v>0.57</v>
      </c>
      <c r="F368" s="7" t="n">
        <v>1</v>
      </c>
      <c r="G368" s="7" t="n">
        <v>3</v>
      </c>
      <c r="H368" s="7"/>
    </row>
    <row r="369" customFormat="false" ht="15" hidden="false" customHeight="true" outlineLevel="0" collapsed="false">
      <c r="A369" s="7" t="s">
        <v>244</v>
      </c>
      <c r="B369" s="7" t="s">
        <v>7992</v>
      </c>
      <c r="C369" s="12" t="n">
        <v>30</v>
      </c>
      <c r="D369" s="7" t="n">
        <v>9</v>
      </c>
      <c r="E369" s="13" t="n">
        <v>0.78</v>
      </c>
      <c r="F369" s="7" t="n">
        <v>1</v>
      </c>
      <c r="G369" s="7" t="n">
        <v>1</v>
      </c>
      <c r="H369" s="7"/>
    </row>
    <row r="370" customFormat="false" ht="15" hidden="false" customHeight="true" outlineLevel="0" collapsed="false">
      <c r="A370" s="7" t="s">
        <v>2397</v>
      </c>
      <c r="B370" s="7" t="s">
        <v>7990</v>
      </c>
      <c r="C370" s="12" t="n">
        <v>20</v>
      </c>
      <c r="D370" s="7" t="n">
        <v>19</v>
      </c>
      <c r="E370" s="13" t="n">
        <v>0</v>
      </c>
      <c r="F370" s="7" t="n">
        <v>1</v>
      </c>
      <c r="G370" s="7" t="n">
        <v>3</v>
      </c>
      <c r="H370" s="7"/>
    </row>
    <row r="371" customFormat="false" ht="15" hidden="false" customHeight="true" outlineLevel="0" collapsed="false">
      <c r="A371" s="7" t="s">
        <v>2409</v>
      </c>
      <c r="B371" s="7" t="s">
        <v>7990</v>
      </c>
      <c r="C371" s="12" t="n">
        <v>20</v>
      </c>
      <c r="D371" s="7" t="n">
        <v>16</v>
      </c>
      <c r="E371" s="13" t="n">
        <v>0</v>
      </c>
      <c r="F371" s="7" t="n">
        <v>1</v>
      </c>
      <c r="G371" s="7" t="n">
        <v>3</v>
      </c>
      <c r="H371" s="7"/>
    </row>
    <row r="372" customFormat="false" ht="15" hidden="false" customHeight="true" outlineLevel="0" collapsed="false">
      <c r="A372" s="7" t="s">
        <v>2494</v>
      </c>
      <c r="B372" s="7" t="s">
        <v>7989</v>
      </c>
      <c r="C372" s="12" t="n">
        <v>20</v>
      </c>
      <c r="D372" s="7" t="n">
        <v>12</v>
      </c>
      <c r="E372" s="13" t="n">
        <v>0</v>
      </c>
      <c r="F372" s="7" t="n">
        <v>1</v>
      </c>
      <c r="G372" s="7" t="n">
        <v>3</v>
      </c>
      <c r="H372" s="7"/>
    </row>
    <row r="373" customFormat="false" ht="15" hidden="false" customHeight="true" outlineLevel="0" collapsed="false">
      <c r="A373" s="7" t="s">
        <v>2436</v>
      </c>
      <c r="B373" s="7" t="s">
        <v>7992</v>
      </c>
      <c r="C373" s="12" t="n">
        <v>20</v>
      </c>
      <c r="D373" s="7" t="n">
        <v>15</v>
      </c>
      <c r="E373" s="13" t="n">
        <v>0</v>
      </c>
      <c r="F373" s="7" t="n">
        <v>1</v>
      </c>
      <c r="G373" s="7" t="n">
        <v>3</v>
      </c>
      <c r="H373" s="7"/>
    </row>
    <row r="374" customFormat="false" ht="15" hidden="false" customHeight="true" outlineLevel="0" collapsed="false">
      <c r="A374" s="7" t="s">
        <v>6453</v>
      </c>
      <c r="B374" s="7" t="s">
        <v>7990</v>
      </c>
      <c r="C374" s="12" t="n">
        <v>20</v>
      </c>
      <c r="D374" s="7" t="n">
        <v>17</v>
      </c>
      <c r="E374" s="13" t="n">
        <v>0.31</v>
      </c>
      <c r="F374" s="7" t="n">
        <v>1</v>
      </c>
      <c r="G374" s="7" t="n">
        <v>1</v>
      </c>
      <c r="H374" s="7"/>
    </row>
    <row r="375" customFormat="false" ht="15" hidden="false" customHeight="true" outlineLevel="0" collapsed="false">
      <c r="A375" s="7" t="s">
        <v>2462</v>
      </c>
      <c r="B375" s="7" t="s">
        <v>7989</v>
      </c>
      <c r="C375" s="12" t="n">
        <v>20</v>
      </c>
      <c r="D375" s="7" t="n">
        <v>13</v>
      </c>
      <c r="E375" s="13" t="n">
        <v>0</v>
      </c>
      <c r="F375" s="7" t="n">
        <v>1</v>
      </c>
      <c r="G375" s="7" t="s">
        <v>6815</v>
      </c>
      <c r="H375" s="7"/>
    </row>
    <row r="376" customFormat="false" ht="15" hidden="false" customHeight="true" outlineLevel="0" collapsed="false">
      <c r="A376" s="7" t="s">
        <v>2459</v>
      </c>
      <c r="B376" s="7" t="s">
        <v>7990</v>
      </c>
      <c r="C376" s="12" t="n">
        <v>20</v>
      </c>
      <c r="D376" s="7" t="n">
        <v>12</v>
      </c>
      <c r="E376" s="13" t="n">
        <v>0</v>
      </c>
      <c r="F376" s="7" t="n">
        <v>1</v>
      </c>
      <c r="G376" s="7" t="n">
        <v>9</v>
      </c>
      <c r="H376" s="7"/>
    </row>
    <row r="377" customFormat="false" ht="15" hidden="false" customHeight="true" outlineLevel="0" collapsed="false">
      <c r="A377" s="7" t="s">
        <v>2473</v>
      </c>
      <c r="B377" s="7" t="s">
        <v>7990</v>
      </c>
      <c r="C377" s="12" t="n">
        <v>20</v>
      </c>
      <c r="D377" s="7" t="n">
        <v>13</v>
      </c>
      <c r="E377" s="13" t="n">
        <v>0</v>
      </c>
      <c r="F377" s="7" t="n">
        <v>1</v>
      </c>
      <c r="G377" s="7" t="s">
        <v>6815</v>
      </c>
      <c r="H377" s="7"/>
    </row>
    <row r="378" customFormat="false" ht="15" hidden="false" customHeight="true" outlineLevel="0" collapsed="false">
      <c r="A378" s="7" t="s">
        <v>2484</v>
      </c>
      <c r="B378" s="7" t="s">
        <v>7990</v>
      </c>
      <c r="C378" s="12" t="n">
        <v>20</v>
      </c>
      <c r="D378" s="7" t="n">
        <v>9</v>
      </c>
      <c r="E378" s="13" t="n">
        <v>0</v>
      </c>
      <c r="F378" s="7" t="n">
        <v>0.75</v>
      </c>
      <c r="G378" s="7" t="s">
        <v>6815</v>
      </c>
      <c r="H378" s="7"/>
    </row>
    <row r="379" customFormat="false" ht="15" hidden="false" customHeight="true" outlineLevel="0" collapsed="false">
      <c r="A379" s="7" t="s">
        <v>2481</v>
      </c>
      <c r="B379" s="7" t="s">
        <v>7990</v>
      </c>
      <c r="C379" s="12" t="n">
        <v>20</v>
      </c>
      <c r="D379" s="7" t="n">
        <v>9</v>
      </c>
      <c r="E379" s="13" t="n">
        <v>0</v>
      </c>
      <c r="F379" s="7" t="n">
        <v>1</v>
      </c>
      <c r="G379" s="7" t="n">
        <v>9</v>
      </c>
      <c r="H379" s="7"/>
    </row>
    <row r="380" customFormat="false" ht="15" hidden="false" customHeight="true" outlineLevel="0" collapsed="false">
      <c r="A380" s="7" t="s">
        <v>5883</v>
      </c>
      <c r="B380" s="7" t="s">
        <v>7990</v>
      </c>
      <c r="C380" s="12" t="n">
        <v>20</v>
      </c>
      <c r="D380" s="7" t="n">
        <v>18</v>
      </c>
      <c r="E380" s="13" t="n">
        <v>0</v>
      </c>
      <c r="F380" s="7" t="n">
        <v>0.99</v>
      </c>
      <c r="G380" s="7" t="s">
        <v>6815</v>
      </c>
      <c r="H380" s="7"/>
    </row>
    <row r="381" customFormat="false" ht="15" hidden="false" customHeight="true" outlineLevel="0" collapsed="false">
      <c r="A381" s="7" t="s">
        <v>5880</v>
      </c>
      <c r="B381" s="7" t="s">
        <v>7990</v>
      </c>
      <c r="C381" s="12" t="n">
        <v>20</v>
      </c>
      <c r="D381" s="7" t="n">
        <v>12</v>
      </c>
      <c r="E381" s="13" t="n">
        <v>0</v>
      </c>
      <c r="F381" s="7" t="n">
        <v>1</v>
      </c>
      <c r="G381" s="7" t="n">
        <v>9</v>
      </c>
      <c r="H381" s="7"/>
    </row>
    <row r="382" customFormat="false" ht="15" hidden="false" customHeight="true" outlineLevel="0" collapsed="false">
      <c r="A382" s="7" t="s">
        <v>2513</v>
      </c>
      <c r="B382" s="7" t="s">
        <v>7990</v>
      </c>
      <c r="C382" s="12" t="n">
        <v>20</v>
      </c>
      <c r="D382" s="7" t="n">
        <v>5</v>
      </c>
      <c r="E382" s="13" t="n">
        <v>0</v>
      </c>
      <c r="F382" s="7" t="n">
        <v>0.99</v>
      </c>
      <c r="G382" s="7" t="n">
        <v>4</v>
      </c>
      <c r="H382" s="7"/>
    </row>
    <row r="383" customFormat="false" ht="15" hidden="false" customHeight="true" outlineLevel="0" collapsed="false">
      <c r="A383" s="7" t="s">
        <v>2526</v>
      </c>
      <c r="B383" s="7" t="s">
        <v>7990</v>
      </c>
      <c r="C383" s="12" t="n">
        <v>20</v>
      </c>
      <c r="D383" s="7" t="n">
        <v>12</v>
      </c>
      <c r="E383" s="13" t="n">
        <v>0</v>
      </c>
      <c r="F383" s="7" t="n">
        <v>1</v>
      </c>
      <c r="G383" s="7" t="n">
        <v>4</v>
      </c>
      <c r="H383" s="7"/>
    </row>
    <row r="384" customFormat="false" ht="15" hidden="false" customHeight="true" outlineLevel="0" collapsed="false">
      <c r="A384" s="7" t="s">
        <v>2543</v>
      </c>
      <c r="B384" s="7" t="s">
        <v>7990</v>
      </c>
      <c r="C384" s="12" t="n">
        <v>20</v>
      </c>
      <c r="D384" s="7" t="n">
        <v>13</v>
      </c>
      <c r="E384" s="13" t="n">
        <v>0</v>
      </c>
      <c r="F384" s="7" t="n">
        <v>1</v>
      </c>
      <c r="G384" s="7" t="s">
        <v>6816</v>
      </c>
      <c r="H384" s="7"/>
    </row>
    <row r="385" customFormat="false" ht="15" hidden="false" customHeight="true" outlineLevel="0" collapsed="false">
      <c r="A385" s="7" t="s">
        <v>2555</v>
      </c>
      <c r="B385" s="7" t="s">
        <v>7990</v>
      </c>
      <c r="C385" s="12" t="n">
        <v>20</v>
      </c>
      <c r="D385" s="7" t="n">
        <v>6</v>
      </c>
      <c r="E385" s="13" t="n">
        <v>0</v>
      </c>
      <c r="F385" s="7" t="n">
        <v>0</v>
      </c>
      <c r="G385" s="7" t="s">
        <v>6816</v>
      </c>
      <c r="H385" s="7"/>
    </row>
    <row r="386" customFormat="false" ht="15" hidden="false" customHeight="true" outlineLevel="0" collapsed="false">
      <c r="A386" s="7" t="s">
        <v>2565</v>
      </c>
      <c r="B386" s="7" t="s">
        <v>7996</v>
      </c>
      <c r="C386" s="12" t="n">
        <v>20</v>
      </c>
      <c r="D386" s="7" t="n">
        <v>12</v>
      </c>
      <c r="E386" s="13" t="n">
        <v>0</v>
      </c>
      <c r="F386" s="7" t="n">
        <v>0</v>
      </c>
      <c r="G386" s="7" t="s">
        <v>6815</v>
      </c>
      <c r="H386" s="7"/>
    </row>
    <row r="387" customFormat="false" ht="15" hidden="false" customHeight="true" outlineLevel="0" collapsed="false">
      <c r="A387" s="7" t="s">
        <v>2678</v>
      </c>
      <c r="B387" s="7" t="s">
        <v>7989</v>
      </c>
      <c r="C387" s="12" t="n">
        <v>20</v>
      </c>
      <c r="D387" s="7" t="n">
        <v>13</v>
      </c>
      <c r="E387" s="13" t="n">
        <v>0</v>
      </c>
      <c r="F387" s="7" t="n">
        <v>1</v>
      </c>
      <c r="G387" s="7" t="n">
        <v>4</v>
      </c>
      <c r="H387" s="7"/>
    </row>
    <row r="388" customFormat="false" ht="15" hidden="false" customHeight="true" outlineLevel="0" collapsed="false">
      <c r="A388" s="7" t="s">
        <v>2573</v>
      </c>
      <c r="B388" s="7" t="s">
        <v>7989</v>
      </c>
      <c r="C388" s="12" t="n">
        <v>20</v>
      </c>
      <c r="D388" s="7" t="n">
        <v>14</v>
      </c>
      <c r="E388" s="13" t="n">
        <v>0</v>
      </c>
      <c r="F388" s="7" t="n">
        <v>1</v>
      </c>
      <c r="G388" s="7" t="s">
        <v>6815</v>
      </c>
      <c r="H388" s="7"/>
    </row>
    <row r="389" customFormat="false" ht="15" hidden="false" customHeight="true" outlineLevel="0" collapsed="false">
      <c r="A389" s="7" t="s">
        <v>2570</v>
      </c>
      <c r="B389" s="7" t="s">
        <v>7989</v>
      </c>
      <c r="C389" s="12" t="n">
        <v>20</v>
      </c>
      <c r="D389" s="7" t="n">
        <v>9</v>
      </c>
      <c r="E389" s="13" t="n">
        <v>0</v>
      </c>
      <c r="F389" s="7" t="n">
        <v>1</v>
      </c>
      <c r="G389" s="7" t="n">
        <v>9</v>
      </c>
      <c r="H389" s="7"/>
    </row>
    <row r="390" customFormat="false" ht="15" hidden="false" customHeight="true" outlineLevel="0" collapsed="false">
      <c r="A390" s="7" t="s">
        <v>2584</v>
      </c>
      <c r="B390" s="7" t="s">
        <v>7989</v>
      </c>
      <c r="C390" s="12" t="n">
        <v>20</v>
      </c>
      <c r="D390" s="7" t="n">
        <v>12</v>
      </c>
      <c r="E390" s="13" t="n">
        <v>0</v>
      </c>
      <c r="F390" s="7" t="n">
        <v>1</v>
      </c>
      <c r="G390" s="7" t="s">
        <v>6816</v>
      </c>
      <c r="H390" s="7"/>
    </row>
    <row r="391" customFormat="false" ht="15" hidden="false" customHeight="true" outlineLevel="0" collapsed="false">
      <c r="A391" s="7" t="s">
        <v>2594</v>
      </c>
      <c r="B391" s="7" t="s">
        <v>7989</v>
      </c>
      <c r="C391" s="12" t="n">
        <v>20</v>
      </c>
      <c r="D391" s="7" t="n">
        <v>11</v>
      </c>
      <c r="E391" s="13" t="n">
        <v>0</v>
      </c>
      <c r="F391" s="7" t="n">
        <v>1</v>
      </c>
      <c r="G391" s="7" t="s">
        <v>6815</v>
      </c>
      <c r="H391" s="7"/>
    </row>
    <row r="392" customFormat="false" ht="15" hidden="false" customHeight="true" outlineLevel="0" collapsed="false">
      <c r="A392" s="7" t="s">
        <v>2591</v>
      </c>
      <c r="B392" s="7" t="s">
        <v>7989</v>
      </c>
      <c r="C392" s="12" t="n">
        <v>20</v>
      </c>
      <c r="D392" s="7" t="n">
        <v>12</v>
      </c>
      <c r="E392" s="13" t="n">
        <v>0</v>
      </c>
      <c r="F392" s="7" t="n">
        <v>1</v>
      </c>
      <c r="G392" s="7" t="n">
        <v>9</v>
      </c>
      <c r="H392" s="7"/>
    </row>
    <row r="393" customFormat="false" ht="15" hidden="false" customHeight="true" outlineLevel="0" collapsed="false">
      <c r="A393" s="7" t="s">
        <v>2562</v>
      </c>
      <c r="B393" s="7" t="s">
        <v>7992</v>
      </c>
      <c r="C393" s="12" t="n">
        <v>20</v>
      </c>
      <c r="D393" s="7" t="n">
        <v>11</v>
      </c>
      <c r="E393" s="13" t="n">
        <v>0</v>
      </c>
      <c r="F393" s="7" t="n">
        <v>1</v>
      </c>
      <c r="G393" s="7" t="n">
        <v>9</v>
      </c>
      <c r="H393" s="7"/>
    </row>
    <row r="394" customFormat="false" ht="15" hidden="false" customHeight="true" outlineLevel="0" collapsed="false">
      <c r="A394" s="7" t="s">
        <v>2601</v>
      </c>
      <c r="B394" s="7" t="s">
        <v>7990</v>
      </c>
      <c r="C394" s="12" t="n">
        <v>20</v>
      </c>
      <c r="D394" s="7" t="n">
        <v>17</v>
      </c>
      <c r="E394" s="13" t="n">
        <v>0</v>
      </c>
      <c r="F394" s="7" t="n">
        <v>0.95</v>
      </c>
      <c r="G394" s="7" t="n">
        <v>4</v>
      </c>
      <c r="H394" s="7"/>
    </row>
    <row r="395" customFormat="false" ht="15" hidden="false" customHeight="true" outlineLevel="0" collapsed="false">
      <c r="A395" s="7" t="s">
        <v>2614</v>
      </c>
      <c r="B395" s="7" t="s">
        <v>7995</v>
      </c>
      <c r="C395" s="12" t="n">
        <v>20</v>
      </c>
      <c r="D395" s="7" t="n">
        <v>7</v>
      </c>
      <c r="E395" s="13" t="n">
        <v>0</v>
      </c>
      <c r="F395" s="7" t="n">
        <v>0</v>
      </c>
      <c r="G395" s="7" t="n">
        <v>9</v>
      </c>
      <c r="H395" s="7"/>
    </row>
    <row r="396" customFormat="false" ht="15" hidden="false" customHeight="true" outlineLevel="0" collapsed="false">
      <c r="A396" s="7" t="s">
        <v>2655</v>
      </c>
      <c r="B396" s="7" t="s">
        <v>7992</v>
      </c>
      <c r="C396" s="12" t="n">
        <v>20</v>
      </c>
      <c r="D396" s="7" t="n">
        <v>6</v>
      </c>
      <c r="E396" s="13" t="n">
        <v>0</v>
      </c>
      <c r="F396" s="7" t="n">
        <v>1</v>
      </c>
      <c r="G396" s="7" t="n">
        <v>4</v>
      </c>
      <c r="H396" s="7"/>
    </row>
    <row r="397" customFormat="false" ht="15" hidden="false" customHeight="true" outlineLevel="0" collapsed="false">
      <c r="A397" s="7" t="s">
        <v>6459</v>
      </c>
      <c r="B397" s="7" t="s">
        <v>7989</v>
      </c>
      <c r="C397" s="12" t="n">
        <v>20</v>
      </c>
      <c r="D397" s="7" t="n">
        <v>4</v>
      </c>
      <c r="E397" s="13" t="n">
        <v>0</v>
      </c>
      <c r="F397" s="7" t="n">
        <v>1</v>
      </c>
      <c r="G397" s="7" t="n">
        <v>1</v>
      </c>
      <c r="H397" s="7"/>
    </row>
    <row r="398" customFormat="false" ht="15" hidden="false" customHeight="true" outlineLevel="0" collapsed="false">
      <c r="A398" s="7" t="s">
        <v>6464</v>
      </c>
      <c r="B398" s="7" t="s">
        <v>7996</v>
      </c>
      <c r="C398" s="12" t="n">
        <v>20</v>
      </c>
      <c r="D398" s="7" t="n">
        <v>4</v>
      </c>
      <c r="E398" s="13" t="n">
        <v>0</v>
      </c>
      <c r="F398" s="7" t="n">
        <v>1</v>
      </c>
      <c r="G398" s="7" t="n">
        <v>1</v>
      </c>
      <c r="H398" s="7"/>
    </row>
    <row r="399" customFormat="false" ht="15" hidden="false" customHeight="true" outlineLevel="0" collapsed="false">
      <c r="A399" s="7" t="s">
        <v>6466</v>
      </c>
      <c r="B399" s="7" t="s">
        <v>7990</v>
      </c>
      <c r="C399" s="12" t="n">
        <v>20</v>
      </c>
      <c r="D399" s="7" t="n">
        <v>16</v>
      </c>
      <c r="E399" s="13" t="n">
        <v>0</v>
      </c>
      <c r="F399" s="7" t="n">
        <v>1</v>
      </c>
      <c r="G399" s="7" t="n">
        <v>1</v>
      </c>
      <c r="H399" s="7"/>
    </row>
    <row r="400" customFormat="false" ht="15" hidden="false" customHeight="true" outlineLevel="0" collapsed="false">
      <c r="A400" s="7" t="s">
        <v>2764</v>
      </c>
      <c r="B400" s="7" t="s">
        <v>7990</v>
      </c>
      <c r="C400" s="12" t="n">
        <v>20</v>
      </c>
      <c r="D400" s="7" t="n">
        <v>20</v>
      </c>
      <c r="E400" s="13" t="n">
        <v>0</v>
      </c>
      <c r="F400" s="7" t="n">
        <v>1</v>
      </c>
      <c r="G400" s="7" t="s">
        <v>6815</v>
      </c>
      <c r="H400" s="7"/>
    </row>
    <row r="401" customFormat="false" ht="15" hidden="false" customHeight="true" outlineLevel="0" collapsed="false">
      <c r="A401" s="7" t="s">
        <v>2797</v>
      </c>
      <c r="B401" s="7" t="s">
        <v>7989</v>
      </c>
      <c r="C401" s="12" t="n">
        <v>20</v>
      </c>
      <c r="D401" s="7" t="n">
        <v>7</v>
      </c>
      <c r="E401" s="13" t="n">
        <v>0</v>
      </c>
      <c r="F401" s="7" t="n">
        <v>1</v>
      </c>
      <c r="G401" s="7" t="n">
        <v>4</v>
      </c>
      <c r="H401" s="7"/>
    </row>
    <row r="402" customFormat="false" ht="15" hidden="false" customHeight="true" outlineLevel="0" collapsed="false">
      <c r="A402" s="7" t="s">
        <v>2810</v>
      </c>
      <c r="B402" s="7" t="s">
        <v>7989</v>
      </c>
      <c r="C402" s="12" t="n">
        <v>20</v>
      </c>
      <c r="D402" s="7" t="n">
        <v>16</v>
      </c>
      <c r="E402" s="13" t="n">
        <v>0</v>
      </c>
      <c r="F402" s="7" t="n">
        <v>1</v>
      </c>
      <c r="G402" s="7" t="n">
        <v>4</v>
      </c>
      <c r="H402" s="7"/>
    </row>
    <row r="403" customFormat="false" ht="15" hidden="false" customHeight="true" outlineLevel="0" collapsed="false">
      <c r="A403" s="7" t="s">
        <v>2822</v>
      </c>
      <c r="B403" s="7" t="s">
        <v>7989</v>
      </c>
      <c r="C403" s="12" t="n">
        <v>20</v>
      </c>
      <c r="D403" s="7" t="n">
        <v>9</v>
      </c>
      <c r="E403" s="13" t="n">
        <v>0</v>
      </c>
      <c r="F403" s="7" t="n">
        <v>1</v>
      </c>
      <c r="G403" s="7" t="n">
        <v>4</v>
      </c>
      <c r="H403" s="7"/>
    </row>
    <row r="404" customFormat="false" ht="15" hidden="false" customHeight="true" outlineLevel="0" collapsed="false">
      <c r="A404" s="7" t="s">
        <v>6469</v>
      </c>
      <c r="B404" s="7" t="s">
        <v>7990</v>
      </c>
      <c r="C404" s="12" t="n">
        <v>20</v>
      </c>
      <c r="D404" s="7" t="n">
        <v>16</v>
      </c>
      <c r="E404" s="13" t="n">
        <v>0</v>
      </c>
      <c r="F404" s="7" t="n">
        <v>1</v>
      </c>
      <c r="G404" s="7" t="n">
        <v>1</v>
      </c>
      <c r="H404" s="7"/>
    </row>
    <row r="405" customFormat="false" ht="15" hidden="false" customHeight="true" outlineLevel="0" collapsed="false">
      <c r="A405" s="7" t="s">
        <v>2834</v>
      </c>
      <c r="B405" s="7" t="s">
        <v>7990</v>
      </c>
      <c r="C405" s="12" t="n">
        <v>20</v>
      </c>
      <c r="D405" s="7" t="n">
        <v>9</v>
      </c>
      <c r="E405" s="13" t="n">
        <v>0</v>
      </c>
      <c r="F405" s="7" t="n">
        <v>1</v>
      </c>
      <c r="G405" s="7" t="n">
        <v>4</v>
      </c>
      <c r="H405" s="7"/>
    </row>
    <row r="406" customFormat="false" ht="15" hidden="false" customHeight="true" outlineLevel="0" collapsed="false">
      <c r="A406" s="7" t="s">
        <v>2864</v>
      </c>
      <c r="B406" s="7" t="s">
        <v>7990</v>
      </c>
      <c r="C406" s="12" t="n">
        <v>20</v>
      </c>
      <c r="D406" s="7" t="n">
        <v>13</v>
      </c>
      <c r="E406" s="13" t="n">
        <v>0</v>
      </c>
      <c r="F406" s="7" t="n">
        <v>0</v>
      </c>
      <c r="G406" s="7" t="s">
        <v>6816</v>
      </c>
      <c r="H406" s="7"/>
    </row>
    <row r="407" customFormat="false" ht="15" hidden="false" customHeight="true" outlineLevel="0" collapsed="false">
      <c r="A407" s="7" t="s">
        <v>7926</v>
      </c>
      <c r="B407" s="7" t="s">
        <v>7990</v>
      </c>
      <c r="C407" s="12" t="n">
        <v>20</v>
      </c>
      <c r="D407" s="7" t="n">
        <v>18</v>
      </c>
      <c r="E407" s="13" t="n">
        <v>1.61</v>
      </c>
      <c r="F407" s="7" t="n">
        <v>1</v>
      </c>
      <c r="G407" s="7" t="s">
        <v>7919</v>
      </c>
      <c r="H407" s="7"/>
    </row>
    <row r="408" customFormat="false" ht="15" hidden="false" customHeight="true" outlineLevel="0" collapsed="false">
      <c r="A408" s="7" t="s">
        <v>2902</v>
      </c>
      <c r="B408" s="7" t="s">
        <v>7989</v>
      </c>
      <c r="C408" s="12" t="n">
        <v>20</v>
      </c>
      <c r="D408" s="7" t="n">
        <v>18</v>
      </c>
      <c r="E408" s="13" t="n">
        <v>0</v>
      </c>
      <c r="F408" s="7" t="n">
        <v>1</v>
      </c>
      <c r="G408" s="7" t="s">
        <v>6816</v>
      </c>
      <c r="H408" s="7"/>
    </row>
    <row r="409" customFormat="false" ht="15" hidden="false" customHeight="true" outlineLevel="0" collapsed="false">
      <c r="A409" s="7" t="s">
        <v>2937</v>
      </c>
      <c r="B409" s="7" t="s">
        <v>7990</v>
      </c>
      <c r="C409" s="12" t="n">
        <v>20</v>
      </c>
      <c r="D409" s="7" t="n">
        <v>16</v>
      </c>
      <c r="E409" s="13" t="n">
        <v>0</v>
      </c>
      <c r="F409" s="7" t="n">
        <v>0.99</v>
      </c>
      <c r="G409" s="7" t="s">
        <v>6815</v>
      </c>
      <c r="H409" s="7"/>
    </row>
    <row r="410" customFormat="false" ht="15" hidden="false" customHeight="true" outlineLevel="0" collapsed="false">
      <c r="A410" s="7" t="s">
        <v>2890</v>
      </c>
      <c r="B410" s="7" t="s">
        <v>7989</v>
      </c>
      <c r="C410" s="12" t="n">
        <v>20</v>
      </c>
      <c r="D410" s="7" t="n">
        <v>20</v>
      </c>
      <c r="E410" s="13" t="n">
        <v>0</v>
      </c>
      <c r="F410" s="7" t="n">
        <v>1</v>
      </c>
      <c r="G410" s="7" t="s">
        <v>6816</v>
      </c>
      <c r="H410" s="7"/>
    </row>
    <row r="411" customFormat="false" ht="15" hidden="false" customHeight="true" outlineLevel="0" collapsed="false">
      <c r="A411" s="7" t="s">
        <v>2913</v>
      </c>
      <c r="B411" s="7" t="s">
        <v>7994</v>
      </c>
      <c r="C411" s="12" t="n">
        <v>20</v>
      </c>
      <c r="D411" s="7" t="n">
        <v>16</v>
      </c>
      <c r="E411" s="13" t="n">
        <v>0</v>
      </c>
      <c r="F411" s="7" t="n">
        <v>1</v>
      </c>
      <c r="G411" s="7" t="s">
        <v>6815</v>
      </c>
      <c r="H411" s="7"/>
    </row>
    <row r="412" customFormat="false" ht="15" hidden="false" customHeight="true" outlineLevel="0" collapsed="false">
      <c r="A412" s="7" t="s">
        <v>2910</v>
      </c>
      <c r="B412" s="7" t="s">
        <v>7990</v>
      </c>
      <c r="C412" s="12" t="n">
        <v>20</v>
      </c>
      <c r="D412" s="7" t="n">
        <v>15</v>
      </c>
      <c r="E412" s="13" t="n">
        <v>0</v>
      </c>
      <c r="F412" s="7" t="n">
        <v>1</v>
      </c>
      <c r="G412" s="7" t="n">
        <v>9</v>
      </c>
      <c r="H412" s="7"/>
    </row>
    <row r="413" customFormat="false" ht="15" hidden="false" customHeight="true" outlineLevel="0" collapsed="false">
      <c r="A413" s="7" t="s">
        <v>6647</v>
      </c>
      <c r="B413" s="7" t="s">
        <v>7990</v>
      </c>
      <c r="C413" s="12" t="n">
        <v>20</v>
      </c>
      <c r="D413" s="7" t="n">
        <v>13</v>
      </c>
      <c r="E413" s="13" t="n">
        <v>0</v>
      </c>
      <c r="F413" s="7" t="n">
        <v>1</v>
      </c>
      <c r="G413" s="7" t="n">
        <v>2</v>
      </c>
      <c r="H413" s="7"/>
    </row>
    <row r="414" customFormat="false" ht="15" hidden="false" customHeight="true" outlineLevel="0" collapsed="false">
      <c r="A414" s="7" t="s">
        <v>3007</v>
      </c>
      <c r="B414" s="7" t="s">
        <v>7990</v>
      </c>
      <c r="C414" s="12" t="n">
        <v>20</v>
      </c>
      <c r="D414" s="7" t="n">
        <v>20</v>
      </c>
      <c r="E414" s="13" t="n">
        <v>0</v>
      </c>
      <c r="F414" s="7" t="n">
        <v>1</v>
      </c>
      <c r="G414" s="7" t="n">
        <v>4</v>
      </c>
      <c r="H414" s="7"/>
    </row>
    <row r="415" customFormat="false" ht="15" hidden="false" customHeight="true" outlineLevel="0" collapsed="false">
      <c r="A415" s="7" t="s">
        <v>3065</v>
      </c>
      <c r="B415" s="7" t="s">
        <v>7990</v>
      </c>
      <c r="C415" s="12" t="n">
        <v>20</v>
      </c>
      <c r="D415" s="7" t="n">
        <v>12</v>
      </c>
      <c r="E415" s="13" t="n">
        <v>0</v>
      </c>
      <c r="F415" s="7" t="n">
        <v>1</v>
      </c>
      <c r="G415" s="7" t="n">
        <v>4</v>
      </c>
      <c r="H415" s="7"/>
    </row>
    <row r="416" customFormat="false" ht="15" hidden="false" customHeight="true" outlineLevel="0" collapsed="false">
      <c r="A416" s="7" t="s">
        <v>3032</v>
      </c>
      <c r="B416" s="7" t="s">
        <v>7989</v>
      </c>
      <c r="C416" s="12" t="n">
        <v>20</v>
      </c>
      <c r="D416" s="7" t="n">
        <v>14</v>
      </c>
      <c r="E416" s="13" t="n">
        <v>0.49</v>
      </c>
      <c r="F416" s="7" t="n">
        <v>1</v>
      </c>
      <c r="G416" s="7" t="n">
        <v>9</v>
      </c>
      <c r="H416" s="7"/>
    </row>
    <row r="417" customFormat="false" ht="15" hidden="false" customHeight="true" outlineLevel="0" collapsed="false">
      <c r="A417" s="7" t="s">
        <v>3075</v>
      </c>
      <c r="B417" s="7" t="s">
        <v>7989</v>
      </c>
      <c r="C417" s="12" t="n">
        <v>20</v>
      </c>
      <c r="D417" s="7" t="n">
        <v>16</v>
      </c>
      <c r="E417" s="13" t="n">
        <v>0</v>
      </c>
      <c r="F417" s="7" t="n">
        <v>1</v>
      </c>
      <c r="G417" s="7" t="n">
        <v>4</v>
      </c>
      <c r="H417" s="7"/>
    </row>
    <row r="418" customFormat="false" ht="15" hidden="false" customHeight="true" outlineLevel="0" collapsed="false">
      <c r="A418" s="7" t="s">
        <v>3085</v>
      </c>
      <c r="B418" s="7" t="s">
        <v>7989</v>
      </c>
      <c r="C418" s="12" t="n">
        <v>20</v>
      </c>
      <c r="D418" s="7" t="n">
        <v>11</v>
      </c>
      <c r="E418" s="13" t="n">
        <v>0</v>
      </c>
      <c r="F418" s="7" t="n">
        <v>1</v>
      </c>
      <c r="G418" s="7" t="n">
        <v>4</v>
      </c>
      <c r="H418" s="7"/>
    </row>
    <row r="419" customFormat="false" ht="15" hidden="false" customHeight="true" outlineLevel="0" collapsed="false">
      <c r="A419" s="7" t="s">
        <v>3095</v>
      </c>
      <c r="B419" s="7" t="s">
        <v>7989</v>
      </c>
      <c r="C419" s="12" t="n">
        <v>20</v>
      </c>
      <c r="D419" s="7" t="n">
        <v>14</v>
      </c>
      <c r="E419" s="13" t="n">
        <v>0.48</v>
      </c>
      <c r="F419" s="7" t="n">
        <v>1</v>
      </c>
      <c r="G419" s="7" t="n">
        <v>4</v>
      </c>
      <c r="H419" s="7"/>
    </row>
    <row r="420" customFormat="false" ht="15" hidden="false" customHeight="true" outlineLevel="0" collapsed="false">
      <c r="A420" s="7" t="s">
        <v>3055</v>
      </c>
      <c r="B420" s="7" t="s">
        <v>7992</v>
      </c>
      <c r="C420" s="12" t="n">
        <v>20</v>
      </c>
      <c r="D420" s="7" t="n">
        <v>13</v>
      </c>
      <c r="E420" s="13" t="n">
        <v>0</v>
      </c>
      <c r="F420" s="7" t="n">
        <v>1</v>
      </c>
      <c r="G420" s="7" t="n">
        <v>9</v>
      </c>
      <c r="H420" s="7"/>
    </row>
    <row r="421" customFormat="false" ht="15" hidden="false" customHeight="true" outlineLevel="0" collapsed="false">
      <c r="A421" s="7" t="s">
        <v>3105</v>
      </c>
      <c r="B421" s="7" t="s">
        <v>7989</v>
      </c>
      <c r="C421" s="12" t="n">
        <v>20</v>
      </c>
      <c r="D421" s="7" t="n">
        <v>12</v>
      </c>
      <c r="E421" s="13" t="n">
        <v>0</v>
      </c>
      <c r="F421" s="7" t="n">
        <v>1</v>
      </c>
      <c r="G421" s="7" t="n">
        <v>4</v>
      </c>
      <c r="H421" s="7"/>
    </row>
    <row r="422" customFormat="false" ht="15" hidden="false" customHeight="true" outlineLevel="0" collapsed="false">
      <c r="A422" s="7" t="s">
        <v>3176</v>
      </c>
      <c r="B422" s="7" t="s">
        <v>7991</v>
      </c>
      <c r="C422" s="12" t="n">
        <v>20</v>
      </c>
      <c r="D422" s="7" t="n">
        <v>11</v>
      </c>
      <c r="E422" s="13" t="n">
        <v>0</v>
      </c>
      <c r="F422" s="7" t="n">
        <v>1</v>
      </c>
      <c r="G422" s="7" t="n">
        <v>9</v>
      </c>
      <c r="H422" s="7"/>
    </row>
    <row r="423" customFormat="false" ht="15" hidden="false" customHeight="true" outlineLevel="0" collapsed="false">
      <c r="A423" s="7" t="s">
        <v>3126</v>
      </c>
      <c r="B423" s="7" t="s">
        <v>7992</v>
      </c>
      <c r="C423" s="12" t="n">
        <v>20</v>
      </c>
      <c r="D423" s="7" t="n">
        <v>11</v>
      </c>
      <c r="E423" s="13" t="n">
        <v>0</v>
      </c>
      <c r="F423" s="7" t="n">
        <v>1</v>
      </c>
      <c r="G423" s="7" t="n">
        <v>9</v>
      </c>
      <c r="H423" s="7"/>
    </row>
    <row r="424" customFormat="false" ht="15" hidden="false" customHeight="true" outlineLevel="0" collapsed="false">
      <c r="A424" s="7" t="s">
        <v>3155</v>
      </c>
      <c r="B424" s="7" t="s">
        <v>7990</v>
      </c>
      <c r="C424" s="12" t="n">
        <v>20</v>
      </c>
      <c r="D424" s="7" t="n">
        <v>13</v>
      </c>
      <c r="E424" s="13" t="n">
        <v>0</v>
      </c>
      <c r="F424" s="7" t="n">
        <v>1</v>
      </c>
      <c r="G424" s="7" t="n">
        <v>4</v>
      </c>
      <c r="H424" s="7"/>
    </row>
    <row r="425" customFormat="false" ht="15" hidden="false" customHeight="true" outlineLevel="0" collapsed="false">
      <c r="A425" s="7" t="s">
        <v>3257</v>
      </c>
      <c r="B425" s="7" t="s">
        <v>7989</v>
      </c>
      <c r="C425" s="12" t="n">
        <v>20</v>
      </c>
      <c r="D425" s="7" t="n">
        <v>11</v>
      </c>
      <c r="E425" s="13" t="n">
        <v>0</v>
      </c>
      <c r="F425" s="7" t="n">
        <v>1</v>
      </c>
      <c r="G425" s="7" t="s">
        <v>6815</v>
      </c>
      <c r="H425" s="7"/>
    </row>
    <row r="426" customFormat="false" ht="15" hidden="false" customHeight="true" outlineLevel="0" collapsed="false">
      <c r="A426" s="7" t="s">
        <v>3266</v>
      </c>
      <c r="B426" s="7" t="s">
        <v>7990</v>
      </c>
      <c r="C426" s="12" t="n">
        <v>20</v>
      </c>
      <c r="D426" s="7" t="n">
        <v>12</v>
      </c>
      <c r="E426" s="13" t="n">
        <v>0.79</v>
      </c>
      <c r="F426" s="7" t="n">
        <v>0.89</v>
      </c>
      <c r="G426" s="7" t="s">
        <v>6815</v>
      </c>
      <c r="H426" s="7"/>
    </row>
    <row r="427" customFormat="false" ht="15" hidden="false" customHeight="true" outlineLevel="0" collapsed="false">
      <c r="A427" s="7" t="s">
        <v>3217</v>
      </c>
      <c r="B427" s="7" t="s">
        <v>7990</v>
      </c>
      <c r="C427" s="12" t="n">
        <v>20</v>
      </c>
      <c r="D427" s="7" t="n">
        <v>12</v>
      </c>
      <c r="E427" s="13" t="n">
        <v>0</v>
      </c>
      <c r="F427" s="7" t="n">
        <v>1</v>
      </c>
      <c r="G427" s="7" t="s">
        <v>6815</v>
      </c>
      <c r="H427" s="7"/>
    </row>
    <row r="428" customFormat="false" ht="15" hidden="false" customHeight="true" outlineLevel="0" collapsed="false">
      <c r="A428" s="7" t="s">
        <v>3227</v>
      </c>
      <c r="B428" s="7" t="s">
        <v>7989</v>
      </c>
      <c r="C428" s="12" t="n">
        <v>20</v>
      </c>
      <c r="D428" s="7" t="n">
        <v>14</v>
      </c>
      <c r="E428" s="13" t="n">
        <v>0</v>
      </c>
      <c r="F428" s="7" t="n">
        <v>0</v>
      </c>
      <c r="G428" s="7" t="s">
        <v>6815</v>
      </c>
      <c r="H428" s="7"/>
    </row>
    <row r="429" customFormat="false" ht="15" hidden="false" customHeight="true" outlineLevel="0" collapsed="false">
      <c r="A429" s="7" t="s">
        <v>3283</v>
      </c>
      <c r="B429" s="7" t="s">
        <v>7990</v>
      </c>
      <c r="C429" s="12" t="n">
        <v>20</v>
      </c>
      <c r="D429" s="7" t="n">
        <v>18</v>
      </c>
      <c r="E429" s="13" t="n">
        <v>0.45</v>
      </c>
      <c r="F429" s="7" t="n">
        <v>1</v>
      </c>
      <c r="G429" s="7" t="n">
        <v>9</v>
      </c>
      <c r="H429" s="7"/>
    </row>
    <row r="430" customFormat="false" ht="15" hidden="false" customHeight="true" outlineLevel="0" collapsed="false">
      <c r="A430" s="7" t="s">
        <v>3363</v>
      </c>
      <c r="B430" s="7" t="s">
        <v>7990</v>
      </c>
      <c r="C430" s="12" t="n">
        <v>20</v>
      </c>
      <c r="D430" s="7" t="n">
        <v>19</v>
      </c>
      <c r="E430" s="13" t="n">
        <v>0</v>
      </c>
      <c r="F430" s="7" t="n">
        <v>1</v>
      </c>
      <c r="G430" s="7" t="s">
        <v>6816</v>
      </c>
      <c r="H430" s="7"/>
    </row>
    <row r="431" customFormat="false" ht="15" hidden="false" customHeight="true" outlineLevel="0" collapsed="false">
      <c r="A431" s="7" t="s">
        <v>3375</v>
      </c>
      <c r="B431" s="7" t="s">
        <v>7990</v>
      </c>
      <c r="C431" s="12" t="n">
        <v>20</v>
      </c>
      <c r="D431" s="7" t="n">
        <v>16</v>
      </c>
      <c r="E431" s="13" t="n">
        <v>0</v>
      </c>
      <c r="F431" s="7" t="n">
        <v>1</v>
      </c>
      <c r="G431" s="7" t="s">
        <v>6816</v>
      </c>
      <c r="H431" s="7"/>
    </row>
    <row r="432" customFormat="false" ht="15" hidden="false" customHeight="true" outlineLevel="0" collapsed="false">
      <c r="A432" s="7" t="s">
        <v>3382</v>
      </c>
      <c r="B432" s="7" t="s">
        <v>7990</v>
      </c>
      <c r="C432" s="12" t="n">
        <v>20</v>
      </c>
      <c r="D432" s="7" t="n">
        <v>16</v>
      </c>
      <c r="E432" s="13" t="n">
        <v>0</v>
      </c>
      <c r="F432" s="7" t="n">
        <v>0.9</v>
      </c>
      <c r="G432" s="7" t="n">
        <v>4</v>
      </c>
      <c r="H432" s="7"/>
    </row>
    <row r="433" customFormat="false" ht="15" hidden="false" customHeight="true" outlineLevel="0" collapsed="false">
      <c r="A433" s="7" t="s">
        <v>3396</v>
      </c>
      <c r="B433" s="7" t="s">
        <v>7989</v>
      </c>
      <c r="C433" s="12" t="n">
        <v>20</v>
      </c>
      <c r="D433" s="7" t="n">
        <v>7</v>
      </c>
      <c r="E433" s="13" t="n">
        <v>0</v>
      </c>
      <c r="F433" s="7" t="n">
        <v>1</v>
      </c>
      <c r="G433" s="7" t="s">
        <v>6815</v>
      </c>
      <c r="H433" s="7"/>
    </row>
    <row r="434" customFormat="false" ht="15" hidden="false" customHeight="true" outlineLevel="0" collapsed="false">
      <c r="A434" s="7" t="s">
        <v>3393</v>
      </c>
      <c r="B434" s="7" t="s">
        <v>7992</v>
      </c>
      <c r="C434" s="12" t="n">
        <v>20</v>
      </c>
      <c r="D434" s="7" t="n">
        <v>13</v>
      </c>
      <c r="E434" s="13" t="n">
        <v>0</v>
      </c>
      <c r="F434" s="7" t="n">
        <v>1</v>
      </c>
      <c r="G434" s="7" t="n">
        <v>9</v>
      </c>
      <c r="H434" s="7"/>
    </row>
    <row r="435" customFormat="false" ht="15" hidden="false" customHeight="true" outlineLevel="0" collapsed="false">
      <c r="A435" s="7" t="s">
        <v>6505</v>
      </c>
      <c r="B435" s="7" t="s">
        <v>7990</v>
      </c>
      <c r="C435" s="12" t="n">
        <v>20</v>
      </c>
      <c r="D435" s="7" t="n">
        <v>21</v>
      </c>
      <c r="E435" s="13" t="n">
        <v>0</v>
      </c>
      <c r="F435" s="7" t="n">
        <v>1</v>
      </c>
      <c r="G435" s="7" t="n">
        <v>1</v>
      </c>
      <c r="H435" s="7"/>
    </row>
    <row r="436" customFormat="false" ht="15" hidden="false" customHeight="true" outlineLevel="0" collapsed="false">
      <c r="A436" s="7" t="s">
        <v>3450</v>
      </c>
      <c r="B436" s="7" t="s">
        <v>7990</v>
      </c>
      <c r="C436" s="12" t="n">
        <v>20</v>
      </c>
      <c r="D436" s="7" t="n">
        <v>18</v>
      </c>
      <c r="E436" s="13" t="n">
        <v>0</v>
      </c>
      <c r="F436" s="7" t="n">
        <v>1</v>
      </c>
      <c r="G436" s="7" t="s">
        <v>6815</v>
      </c>
      <c r="H436" s="7"/>
    </row>
    <row r="437" customFormat="false" ht="15" hidden="false" customHeight="true" outlineLevel="0" collapsed="false">
      <c r="A437" s="7" t="s">
        <v>3436</v>
      </c>
      <c r="B437" s="7" t="s">
        <v>7989</v>
      </c>
      <c r="C437" s="12" t="n">
        <v>20</v>
      </c>
      <c r="D437" s="7" t="n">
        <v>9</v>
      </c>
      <c r="E437" s="13" t="n">
        <v>0.38</v>
      </c>
      <c r="F437" s="7" t="n">
        <v>1</v>
      </c>
      <c r="G437" s="7" t="n">
        <v>4</v>
      </c>
      <c r="H437" s="7"/>
    </row>
    <row r="438" customFormat="false" ht="15" hidden="false" customHeight="true" outlineLevel="0" collapsed="false">
      <c r="A438" s="7" t="s">
        <v>3460</v>
      </c>
      <c r="B438" s="7" t="s">
        <v>7990</v>
      </c>
      <c r="C438" s="12" t="n">
        <v>20</v>
      </c>
      <c r="D438" s="7" t="n">
        <v>12</v>
      </c>
      <c r="E438" s="13" t="n">
        <v>0</v>
      </c>
      <c r="F438" s="7" t="n">
        <v>0.33</v>
      </c>
      <c r="G438" s="7" t="n">
        <v>9</v>
      </c>
      <c r="H438" s="7"/>
    </row>
    <row r="439" customFormat="false" ht="15" hidden="false" customHeight="true" outlineLevel="0" collapsed="false">
      <c r="A439" s="7" t="s">
        <v>3473</v>
      </c>
      <c r="B439" s="7" t="s">
        <v>7989</v>
      </c>
      <c r="C439" s="12" t="n">
        <v>20</v>
      </c>
      <c r="D439" s="7" t="n">
        <v>10</v>
      </c>
      <c r="E439" s="13" t="n">
        <v>0</v>
      </c>
      <c r="F439" s="7" t="n">
        <v>0.6</v>
      </c>
      <c r="G439" s="7" t="s">
        <v>6815</v>
      </c>
      <c r="H439" s="7"/>
    </row>
    <row r="440" customFormat="false" ht="15" hidden="false" customHeight="true" outlineLevel="0" collapsed="false">
      <c r="A440" s="7" t="s">
        <v>2206</v>
      </c>
      <c r="B440" s="7" t="s">
        <v>7996</v>
      </c>
      <c r="C440" s="12" t="n">
        <v>20</v>
      </c>
      <c r="D440" s="7" t="n">
        <v>9</v>
      </c>
      <c r="E440" s="13" t="n">
        <v>0</v>
      </c>
      <c r="F440" s="7" t="n">
        <v>0</v>
      </c>
      <c r="G440" s="7" t="n">
        <v>4</v>
      </c>
      <c r="H440" s="7"/>
    </row>
    <row r="441" customFormat="false" ht="15" hidden="false" customHeight="true" outlineLevel="0" collapsed="false">
      <c r="A441" s="7" t="s">
        <v>249</v>
      </c>
      <c r="B441" s="7" t="s">
        <v>7989</v>
      </c>
      <c r="C441" s="12" t="n">
        <v>20</v>
      </c>
      <c r="D441" s="7" t="n">
        <v>14</v>
      </c>
      <c r="E441" s="13" t="n">
        <v>0</v>
      </c>
      <c r="F441" s="7" t="n">
        <v>1</v>
      </c>
      <c r="G441" s="7" t="n">
        <v>3</v>
      </c>
      <c r="H441" s="7"/>
    </row>
    <row r="442" customFormat="false" ht="15" hidden="false" customHeight="true" outlineLevel="0" collapsed="false">
      <c r="A442" s="7" t="s">
        <v>6666</v>
      </c>
      <c r="B442" s="7" t="s">
        <v>7996</v>
      </c>
      <c r="C442" s="12" t="n">
        <v>20</v>
      </c>
      <c r="D442" s="7" t="n">
        <v>14</v>
      </c>
      <c r="E442" s="13" t="n">
        <v>0</v>
      </c>
      <c r="F442" s="7" t="n">
        <v>0</v>
      </c>
      <c r="G442" s="7" t="n">
        <v>2</v>
      </c>
      <c r="H442" s="7"/>
    </row>
    <row r="443" customFormat="false" ht="15" hidden="false" customHeight="true" outlineLevel="0" collapsed="false">
      <c r="A443" s="7" t="s">
        <v>250</v>
      </c>
      <c r="B443" s="7" t="s">
        <v>7989</v>
      </c>
      <c r="C443" s="12" t="n">
        <v>20</v>
      </c>
      <c r="D443" s="7" t="n">
        <v>9</v>
      </c>
      <c r="E443" s="13" t="n">
        <v>0</v>
      </c>
      <c r="F443" s="7" t="n">
        <v>1</v>
      </c>
      <c r="G443" s="7" t="n">
        <v>3</v>
      </c>
      <c r="H443" s="7"/>
    </row>
    <row r="444" customFormat="false" ht="15" hidden="false" customHeight="true" outlineLevel="0" collapsed="false">
      <c r="A444" s="7" t="s">
        <v>2152</v>
      </c>
      <c r="B444" s="7" t="s">
        <v>7989</v>
      </c>
      <c r="C444" s="12" t="n">
        <v>20</v>
      </c>
      <c r="D444" s="7" t="n">
        <v>9</v>
      </c>
      <c r="E444" s="13" t="n">
        <v>0</v>
      </c>
      <c r="F444" s="7" t="n">
        <v>0.79</v>
      </c>
      <c r="G444" s="7" t="n">
        <v>5</v>
      </c>
      <c r="H444" s="7"/>
    </row>
    <row r="445" customFormat="false" ht="15" hidden="false" customHeight="true" outlineLevel="0" collapsed="false">
      <c r="A445" s="7" t="s">
        <v>6670</v>
      </c>
      <c r="B445" s="7" t="s">
        <v>7989</v>
      </c>
      <c r="C445" s="12" t="n">
        <v>20</v>
      </c>
      <c r="D445" s="7" t="n">
        <v>20</v>
      </c>
      <c r="E445" s="13" t="n">
        <v>0</v>
      </c>
      <c r="F445" s="7" t="n">
        <v>1</v>
      </c>
      <c r="G445" s="7" t="n">
        <v>2</v>
      </c>
      <c r="H445" s="7"/>
    </row>
    <row r="446" customFormat="false" ht="15" hidden="false" customHeight="true" outlineLevel="0" collapsed="false">
      <c r="A446" s="7" t="s">
        <v>2092</v>
      </c>
      <c r="B446" s="7" t="s">
        <v>7989</v>
      </c>
      <c r="C446" s="12" t="n">
        <v>20</v>
      </c>
      <c r="D446" s="7" t="n">
        <v>16</v>
      </c>
      <c r="E446" s="13" t="n">
        <v>0</v>
      </c>
      <c r="F446" s="7" t="n">
        <v>0.86</v>
      </c>
      <c r="G446" s="7" t="n">
        <v>5</v>
      </c>
      <c r="H446" s="7"/>
    </row>
    <row r="447" customFormat="false" ht="15" hidden="false" customHeight="true" outlineLevel="0" collapsed="false">
      <c r="A447" s="7" t="s">
        <v>246</v>
      </c>
      <c r="B447" s="7" t="s">
        <v>7992</v>
      </c>
      <c r="C447" s="12" t="n">
        <v>20</v>
      </c>
      <c r="D447" s="7" t="n">
        <v>12</v>
      </c>
      <c r="E447" s="13" t="n">
        <v>0</v>
      </c>
      <c r="F447" s="7" t="n">
        <v>1</v>
      </c>
      <c r="G447" s="7" t="n">
        <v>1</v>
      </c>
      <c r="H447" s="7"/>
    </row>
    <row r="448" customFormat="false" ht="15" hidden="false" customHeight="true" outlineLevel="0" collapsed="false">
      <c r="A448" s="7" t="s">
        <v>2226</v>
      </c>
      <c r="B448" s="7" t="s">
        <v>7989</v>
      </c>
      <c r="C448" s="12" t="n">
        <v>20</v>
      </c>
      <c r="D448" s="7" t="n">
        <v>14</v>
      </c>
      <c r="E448" s="13" t="n">
        <v>0</v>
      </c>
      <c r="F448" s="7" t="n">
        <v>0.33</v>
      </c>
      <c r="G448" s="7" t="n">
        <v>5</v>
      </c>
      <c r="H448" s="7"/>
    </row>
    <row r="449" customFormat="false" ht="15" hidden="false" customHeight="true" outlineLevel="0" collapsed="false">
      <c r="A449" s="7" t="s">
        <v>3481</v>
      </c>
      <c r="B449" s="7" t="s">
        <v>7990</v>
      </c>
      <c r="C449" s="12" t="n">
        <v>20</v>
      </c>
      <c r="D449" s="7" t="n">
        <v>15</v>
      </c>
      <c r="E449" s="13" t="n">
        <v>0</v>
      </c>
      <c r="F449" s="7" t="n">
        <v>1</v>
      </c>
      <c r="G449" s="7" t="n">
        <v>5</v>
      </c>
      <c r="H449" s="7"/>
    </row>
    <row r="450" customFormat="false" ht="15" hidden="false" customHeight="true" outlineLevel="0" collapsed="false">
      <c r="A450" s="7" t="s">
        <v>3529</v>
      </c>
      <c r="B450" s="7" t="s">
        <v>7989</v>
      </c>
      <c r="C450" s="12" t="n">
        <v>20</v>
      </c>
      <c r="D450" s="7" t="n">
        <v>10</v>
      </c>
      <c r="E450" s="13" t="n">
        <v>0</v>
      </c>
      <c r="F450" s="7" t="n">
        <v>1</v>
      </c>
      <c r="G450" s="7" t="s">
        <v>6815</v>
      </c>
      <c r="H450" s="7"/>
    </row>
    <row r="451" customFormat="false" ht="15" hidden="false" customHeight="true" outlineLevel="0" collapsed="false">
      <c r="A451" s="7" t="s">
        <v>3564</v>
      </c>
      <c r="B451" s="7" t="s">
        <v>7990</v>
      </c>
      <c r="C451" s="12" t="n">
        <v>20</v>
      </c>
      <c r="D451" s="7" t="n">
        <v>13</v>
      </c>
      <c r="E451" s="13" t="n">
        <v>0</v>
      </c>
      <c r="F451" s="7" t="n">
        <v>1</v>
      </c>
      <c r="G451" s="7" t="s">
        <v>6815</v>
      </c>
      <c r="H451" s="7"/>
    </row>
    <row r="452" customFormat="false" ht="15" hidden="false" customHeight="true" outlineLevel="0" collapsed="false">
      <c r="A452" s="7" t="s">
        <v>3654</v>
      </c>
      <c r="B452" s="7" t="s">
        <v>7990</v>
      </c>
      <c r="C452" s="12" t="n">
        <v>20</v>
      </c>
      <c r="D452" s="7" t="n">
        <v>13</v>
      </c>
      <c r="E452" s="13" t="n">
        <v>0</v>
      </c>
      <c r="F452" s="7" t="n">
        <v>1</v>
      </c>
      <c r="G452" s="7" t="n">
        <v>5</v>
      </c>
      <c r="H452" s="7"/>
    </row>
    <row r="453" customFormat="false" ht="15" hidden="false" customHeight="true" outlineLevel="0" collapsed="false">
      <c r="A453" s="7" t="s">
        <v>6520</v>
      </c>
      <c r="B453" s="7" t="s">
        <v>7990</v>
      </c>
      <c r="C453" s="12" t="n">
        <v>20</v>
      </c>
      <c r="D453" s="7" t="n">
        <v>16</v>
      </c>
      <c r="E453" s="13" t="n">
        <v>0.31</v>
      </c>
      <c r="F453" s="7" t="n">
        <v>1</v>
      </c>
      <c r="G453" s="7" t="n">
        <v>1</v>
      </c>
      <c r="H453" s="7"/>
    </row>
    <row r="454" customFormat="false" ht="15" hidden="false" customHeight="true" outlineLevel="0" collapsed="false">
      <c r="A454" s="7" t="s">
        <v>3575</v>
      </c>
      <c r="B454" s="7" t="s">
        <v>7989</v>
      </c>
      <c r="C454" s="12" t="n">
        <v>20</v>
      </c>
      <c r="D454" s="7" t="n">
        <v>19</v>
      </c>
      <c r="E454" s="13" t="n">
        <v>0.45</v>
      </c>
      <c r="F454" s="7" t="n">
        <v>1</v>
      </c>
      <c r="G454" s="7" t="n">
        <v>5</v>
      </c>
      <c r="H454" s="7"/>
    </row>
    <row r="455" customFormat="false" ht="15" hidden="false" customHeight="true" outlineLevel="0" collapsed="false">
      <c r="A455" s="7" t="s">
        <v>3604</v>
      </c>
      <c r="B455" s="7" t="s">
        <v>7990</v>
      </c>
      <c r="C455" s="12" t="n">
        <v>20</v>
      </c>
      <c r="D455" s="7" t="n">
        <v>14</v>
      </c>
      <c r="E455" s="13" t="n">
        <v>0</v>
      </c>
      <c r="F455" s="7" t="n">
        <v>1</v>
      </c>
      <c r="G455" s="7" t="s">
        <v>6816</v>
      </c>
      <c r="H455" s="7"/>
    </row>
    <row r="456" customFormat="false" ht="15" hidden="false" customHeight="true" outlineLevel="0" collapsed="false">
      <c r="A456" s="7" t="s">
        <v>3586</v>
      </c>
      <c r="B456" s="7" t="s">
        <v>7990</v>
      </c>
      <c r="C456" s="12" t="n">
        <v>20</v>
      </c>
      <c r="D456" s="7" t="n">
        <v>14</v>
      </c>
      <c r="E456" s="13" t="n">
        <v>0</v>
      </c>
      <c r="F456" s="7" t="n">
        <v>1</v>
      </c>
      <c r="G456" s="7" t="s">
        <v>6815</v>
      </c>
      <c r="H456" s="7"/>
    </row>
    <row r="457" customFormat="false" ht="15" hidden="false" customHeight="true" outlineLevel="0" collapsed="false">
      <c r="A457" s="7" t="s">
        <v>3811</v>
      </c>
      <c r="B457" s="7" t="s">
        <v>7990</v>
      </c>
      <c r="C457" s="12" t="n">
        <v>20</v>
      </c>
      <c r="D457" s="7" t="n">
        <v>18</v>
      </c>
      <c r="E457" s="13" t="n">
        <v>0</v>
      </c>
      <c r="F457" s="7" t="n">
        <v>1</v>
      </c>
      <c r="G457" s="7" t="s">
        <v>6816</v>
      </c>
      <c r="H457" s="7"/>
    </row>
    <row r="458" customFormat="false" ht="15" hidden="false" customHeight="true" outlineLevel="0" collapsed="false">
      <c r="A458" s="7" t="s">
        <v>3808</v>
      </c>
      <c r="B458" s="7" t="s">
        <v>7990</v>
      </c>
      <c r="C458" s="12" t="n">
        <v>20</v>
      </c>
      <c r="D458" s="7" t="n">
        <v>16</v>
      </c>
      <c r="E458" s="13" t="n">
        <v>0</v>
      </c>
      <c r="F458" s="7" t="n">
        <v>0</v>
      </c>
      <c r="G458" s="7" t="s">
        <v>6816</v>
      </c>
      <c r="H458" s="7"/>
    </row>
    <row r="459" customFormat="false" ht="15" hidden="false" customHeight="true" outlineLevel="0" collapsed="false">
      <c r="A459" s="7" t="s">
        <v>3819</v>
      </c>
      <c r="B459" s="7" t="s">
        <v>7992</v>
      </c>
      <c r="C459" s="12" t="n">
        <v>20</v>
      </c>
      <c r="D459" s="7" t="n">
        <v>17</v>
      </c>
      <c r="E459" s="13" t="n">
        <v>0</v>
      </c>
      <c r="F459" s="7" t="n">
        <v>0.67</v>
      </c>
      <c r="G459" s="7" t="n">
        <v>5</v>
      </c>
      <c r="H459" s="7"/>
    </row>
    <row r="460" customFormat="false" ht="15" hidden="false" customHeight="true" outlineLevel="0" collapsed="false">
      <c r="A460" s="7" t="s">
        <v>3830</v>
      </c>
      <c r="B460" s="7" t="s">
        <v>7990</v>
      </c>
      <c r="C460" s="12" t="n">
        <v>20</v>
      </c>
      <c r="D460" s="7" t="n">
        <v>17</v>
      </c>
      <c r="E460" s="13" t="n">
        <v>0</v>
      </c>
      <c r="F460" s="7" t="n">
        <v>1</v>
      </c>
      <c r="G460" s="7" t="n">
        <v>5</v>
      </c>
      <c r="H460" s="7"/>
    </row>
    <row r="461" customFormat="false" ht="15" hidden="false" customHeight="true" outlineLevel="0" collapsed="false">
      <c r="A461" s="7" t="s">
        <v>3681</v>
      </c>
      <c r="B461" s="7" t="s">
        <v>7990</v>
      </c>
      <c r="C461" s="12" t="n">
        <v>20</v>
      </c>
      <c r="D461" s="7" t="n">
        <v>16</v>
      </c>
      <c r="E461" s="13" t="n">
        <v>0</v>
      </c>
      <c r="F461" s="7" t="n">
        <v>1</v>
      </c>
      <c r="G461" s="7" t="n">
        <v>5</v>
      </c>
      <c r="H461" s="7"/>
    </row>
    <row r="462" customFormat="false" ht="15" hidden="false" customHeight="true" outlineLevel="0" collapsed="false">
      <c r="A462" s="7" t="s">
        <v>3694</v>
      </c>
      <c r="B462" s="7" t="s">
        <v>7992</v>
      </c>
      <c r="C462" s="12" t="n">
        <v>20</v>
      </c>
      <c r="D462" s="7" t="n">
        <v>22</v>
      </c>
      <c r="E462" s="13" t="n">
        <v>0</v>
      </c>
      <c r="F462" s="7" t="n">
        <v>1</v>
      </c>
      <c r="G462" s="7" t="n">
        <v>5</v>
      </c>
      <c r="H462" s="7"/>
    </row>
    <row r="463" customFormat="false" ht="15" hidden="false" customHeight="true" outlineLevel="0" collapsed="false">
      <c r="A463" s="7" t="s">
        <v>3706</v>
      </c>
      <c r="B463" s="7" t="s">
        <v>7989</v>
      </c>
      <c r="C463" s="12" t="n">
        <v>20</v>
      </c>
      <c r="D463" s="7" t="n">
        <v>16</v>
      </c>
      <c r="E463" s="13" t="n">
        <v>0</v>
      </c>
      <c r="F463" s="7" t="n">
        <v>1</v>
      </c>
      <c r="G463" s="7" t="n">
        <v>5</v>
      </c>
      <c r="H463" s="7"/>
    </row>
    <row r="464" customFormat="false" ht="15" hidden="false" customHeight="true" outlineLevel="0" collapsed="false">
      <c r="A464" s="7" t="s">
        <v>3717</v>
      </c>
      <c r="B464" s="7" t="s">
        <v>7990</v>
      </c>
      <c r="C464" s="12" t="n">
        <v>20</v>
      </c>
      <c r="D464" s="7" t="n">
        <v>9</v>
      </c>
      <c r="E464" s="13" t="n">
        <v>0</v>
      </c>
      <c r="F464" s="7" t="n">
        <v>1</v>
      </c>
      <c r="G464" s="7" t="n">
        <v>5</v>
      </c>
      <c r="H464" s="7"/>
    </row>
    <row r="465" customFormat="false" ht="15" hidden="false" customHeight="true" outlineLevel="0" collapsed="false">
      <c r="A465" s="7" t="s">
        <v>3728</v>
      </c>
      <c r="B465" s="7" t="s">
        <v>7992</v>
      </c>
      <c r="C465" s="12" t="n">
        <v>20</v>
      </c>
      <c r="D465" s="7" t="n">
        <v>22</v>
      </c>
      <c r="E465" s="13" t="n">
        <v>0</v>
      </c>
      <c r="F465" s="7" t="n">
        <v>1</v>
      </c>
      <c r="G465" s="7" t="n">
        <v>5</v>
      </c>
      <c r="H465" s="7"/>
    </row>
    <row r="466" customFormat="false" ht="15" hidden="false" customHeight="true" outlineLevel="0" collapsed="false">
      <c r="A466" s="7" t="s">
        <v>3740</v>
      </c>
      <c r="B466" s="7" t="s">
        <v>7990</v>
      </c>
      <c r="C466" s="12" t="n">
        <v>20</v>
      </c>
      <c r="D466" s="7" t="n">
        <v>16</v>
      </c>
      <c r="E466" s="13" t="n">
        <v>0</v>
      </c>
      <c r="F466" s="7" t="n">
        <v>0.99</v>
      </c>
      <c r="G466" s="7" t="n">
        <v>5</v>
      </c>
      <c r="H466" s="7"/>
    </row>
    <row r="467" customFormat="false" ht="15" hidden="false" customHeight="true" outlineLevel="0" collapsed="false">
      <c r="A467" s="7" t="s">
        <v>3751</v>
      </c>
      <c r="B467" s="7" t="s">
        <v>7990</v>
      </c>
      <c r="C467" s="12" t="n">
        <v>20</v>
      </c>
      <c r="D467" s="7" t="n">
        <v>14</v>
      </c>
      <c r="E467" s="13" t="n">
        <v>0</v>
      </c>
      <c r="F467" s="7" t="n">
        <v>0</v>
      </c>
      <c r="G467" s="7" t="n">
        <v>5</v>
      </c>
      <c r="H467" s="7"/>
    </row>
    <row r="468" customFormat="false" ht="15" hidden="false" customHeight="true" outlineLevel="0" collapsed="false">
      <c r="A468" s="7" t="s">
        <v>3762</v>
      </c>
      <c r="B468" s="7" t="s">
        <v>7992</v>
      </c>
      <c r="C468" s="12" t="n">
        <v>20</v>
      </c>
      <c r="D468" s="7" t="n">
        <v>14</v>
      </c>
      <c r="E468" s="13" t="n">
        <v>0</v>
      </c>
      <c r="F468" s="7" t="n">
        <v>0.83</v>
      </c>
      <c r="G468" s="7" t="n">
        <v>5</v>
      </c>
      <c r="H468" s="7"/>
    </row>
    <row r="469" customFormat="false" ht="15" hidden="false" customHeight="true" outlineLevel="0" collapsed="false">
      <c r="A469" s="7" t="s">
        <v>3773</v>
      </c>
      <c r="B469" s="7" t="s">
        <v>7990</v>
      </c>
      <c r="C469" s="12" t="n">
        <v>20</v>
      </c>
      <c r="D469" s="7" t="n">
        <v>18</v>
      </c>
      <c r="E469" s="13" t="n">
        <v>0</v>
      </c>
      <c r="F469" s="7" t="n">
        <v>1</v>
      </c>
      <c r="G469" s="7" t="n">
        <v>5</v>
      </c>
      <c r="H469" s="7"/>
    </row>
    <row r="470" customFormat="false" ht="15" hidden="false" customHeight="true" outlineLevel="0" collapsed="false">
      <c r="A470" s="7" t="s">
        <v>3784</v>
      </c>
      <c r="B470" s="7" t="s">
        <v>7992</v>
      </c>
      <c r="C470" s="12" t="n">
        <v>20</v>
      </c>
      <c r="D470" s="7" t="n">
        <v>13</v>
      </c>
      <c r="E470" s="13" t="n">
        <v>0</v>
      </c>
      <c r="F470" s="7" t="n">
        <v>1</v>
      </c>
      <c r="G470" s="7" t="n">
        <v>5</v>
      </c>
      <c r="H470" s="7"/>
    </row>
    <row r="471" customFormat="false" ht="15" hidden="false" customHeight="true" outlineLevel="0" collapsed="false">
      <c r="A471" s="7" t="s">
        <v>3844</v>
      </c>
      <c r="B471" s="7" t="s">
        <v>7990</v>
      </c>
      <c r="C471" s="12" t="n">
        <v>20</v>
      </c>
      <c r="D471" s="7" t="n">
        <v>18</v>
      </c>
      <c r="E471" s="13" t="n">
        <v>0.46</v>
      </c>
      <c r="F471" s="7" t="n">
        <v>1</v>
      </c>
      <c r="G471" s="7" t="s">
        <v>6815</v>
      </c>
      <c r="H471" s="7"/>
    </row>
    <row r="472" customFormat="false" ht="15" hidden="false" customHeight="true" outlineLevel="0" collapsed="false">
      <c r="A472" s="7" t="s">
        <v>3886</v>
      </c>
      <c r="B472" s="7" t="s">
        <v>7990</v>
      </c>
      <c r="C472" s="12" t="n">
        <v>20</v>
      </c>
      <c r="D472" s="7" t="n">
        <v>12</v>
      </c>
      <c r="E472" s="13" t="n">
        <v>0</v>
      </c>
      <c r="F472" s="7" t="n">
        <v>1</v>
      </c>
      <c r="G472" s="7" t="n">
        <v>6</v>
      </c>
      <c r="H472" s="7"/>
    </row>
    <row r="473" customFormat="false" ht="15" hidden="false" customHeight="true" outlineLevel="0" collapsed="false">
      <c r="A473" s="7" t="s">
        <v>3940</v>
      </c>
      <c r="B473" s="7" t="s">
        <v>7990</v>
      </c>
      <c r="C473" s="12" t="n">
        <v>20</v>
      </c>
      <c r="D473" s="7" t="n">
        <v>12</v>
      </c>
      <c r="E473" s="13" t="n">
        <v>0</v>
      </c>
      <c r="F473" s="7" t="n">
        <v>1</v>
      </c>
      <c r="G473" s="7" t="n">
        <v>6</v>
      </c>
      <c r="H473" s="7"/>
    </row>
    <row r="474" customFormat="false" ht="15" hidden="false" customHeight="true" outlineLevel="0" collapsed="false">
      <c r="A474" s="7" t="s">
        <v>3912</v>
      </c>
      <c r="B474" s="7" t="s">
        <v>7989</v>
      </c>
      <c r="C474" s="12" t="n">
        <v>20</v>
      </c>
      <c r="D474" s="7" t="n">
        <v>12</v>
      </c>
      <c r="E474" s="13" t="n">
        <v>0</v>
      </c>
      <c r="F474" s="7" t="n">
        <v>1</v>
      </c>
      <c r="G474" s="7" t="s">
        <v>6816</v>
      </c>
      <c r="H474" s="7"/>
    </row>
    <row r="475" customFormat="false" ht="15" hidden="false" customHeight="true" outlineLevel="0" collapsed="false">
      <c r="A475" s="7" t="s">
        <v>3909</v>
      </c>
      <c r="B475" s="7" t="s">
        <v>7990</v>
      </c>
      <c r="C475" s="12" t="n">
        <v>20</v>
      </c>
      <c r="D475" s="7" t="n">
        <v>13</v>
      </c>
      <c r="E475" s="13" t="n">
        <v>0</v>
      </c>
      <c r="F475" s="7" t="n">
        <v>1</v>
      </c>
      <c r="G475" s="7" t="s">
        <v>6816</v>
      </c>
      <c r="H475" s="7"/>
    </row>
    <row r="476" customFormat="false" ht="15" hidden="false" customHeight="true" outlineLevel="0" collapsed="false">
      <c r="A476" s="7" t="s">
        <v>3955</v>
      </c>
      <c r="B476" s="7" t="s">
        <v>7990</v>
      </c>
      <c r="C476" s="12" t="n">
        <v>20</v>
      </c>
      <c r="D476" s="7" t="n">
        <v>11</v>
      </c>
      <c r="E476" s="13" t="n">
        <v>0.52</v>
      </c>
      <c r="F476" s="7" t="n">
        <v>1</v>
      </c>
      <c r="G476" s="7" t="s">
        <v>6815</v>
      </c>
      <c r="H476" s="7"/>
    </row>
    <row r="477" customFormat="false" ht="15" hidden="false" customHeight="true" outlineLevel="0" collapsed="false">
      <c r="A477" s="7" t="s">
        <v>3978</v>
      </c>
      <c r="B477" s="7" t="s">
        <v>7989</v>
      </c>
      <c r="C477" s="12" t="n">
        <v>20</v>
      </c>
      <c r="D477" s="7" t="n">
        <v>7</v>
      </c>
      <c r="E477" s="13" t="n">
        <v>0</v>
      </c>
      <c r="F477" s="7" t="n">
        <v>0.8</v>
      </c>
      <c r="G477" s="7" t="s">
        <v>6815</v>
      </c>
      <c r="H477" s="7"/>
    </row>
    <row r="478" customFormat="false" ht="15" hidden="false" customHeight="true" outlineLevel="0" collapsed="false">
      <c r="A478" s="7" t="s">
        <v>3975</v>
      </c>
      <c r="B478" s="7" t="s">
        <v>7993</v>
      </c>
      <c r="C478" s="12" t="n">
        <v>20</v>
      </c>
      <c r="D478" s="7" t="n">
        <v>9</v>
      </c>
      <c r="E478" s="13" t="n">
        <v>0</v>
      </c>
      <c r="F478" s="7" t="n">
        <v>1</v>
      </c>
      <c r="G478" s="7" t="s">
        <v>6815</v>
      </c>
      <c r="H478" s="7"/>
    </row>
    <row r="479" customFormat="false" ht="15" hidden="false" customHeight="true" outlineLevel="0" collapsed="false">
      <c r="A479" s="7" t="s">
        <v>3990</v>
      </c>
      <c r="B479" s="7" t="s">
        <v>7989</v>
      </c>
      <c r="C479" s="12" t="n">
        <v>20</v>
      </c>
      <c r="D479" s="7" t="n">
        <v>12</v>
      </c>
      <c r="E479" s="13" t="n">
        <v>0</v>
      </c>
      <c r="F479" s="7" t="n">
        <v>0.89</v>
      </c>
      <c r="G479" s="7" t="s">
        <v>6816</v>
      </c>
      <c r="H479" s="7"/>
    </row>
    <row r="480" customFormat="false" ht="15" hidden="false" customHeight="true" outlineLevel="0" collapsed="false">
      <c r="A480" s="7" t="s">
        <v>4003</v>
      </c>
      <c r="B480" s="7" t="s">
        <v>7992</v>
      </c>
      <c r="C480" s="12" t="n">
        <v>20</v>
      </c>
      <c r="D480" s="7" t="n">
        <v>23</v>
      </c>
      <c r="E480" s="13" t="n">
        <v>0</v>
      </c>
      <c r="F480" s="7" t="n">
        <v>1</v>
      </c>
      <c r="G480" s="7" t="s">
        <v>6815</v>
      </c>
      <c r="H480" s="7"/>
    </row>
    <row r="481" customFormat="false" ht="15" hidden="false" customHeight="true" outlineLevel="0" collapsed="false">
      <c r="A481" s="7" t="s">
        <v>4024</v>
      </c>
      <c r="B481" s="7" t="s">
        <v>7990</v>
      </c>
      <c r="C481" s="12" t="n">
        <v>20</v>
      </c>
      <c r="D481" s="7" t="n">
        <v>9</v>
      </c>
      <c r="E481" s="13" t="n">
        <v>0</v>
      </c>
      <c r="F481" s="7" t="n">
        <v>0</v>
      </c>
      <c r="G481" s="7" t="n">
        <v>6</v>
      </c>
      <c r="H481" s="7"/>
    </row>
    <row r="482" customFormat="false" ht="15" hidden="false" customHeight="true" outlineLevel="0" collapsed="false">
      <c r="A482" s="7" t="s">
        <v>6531</v>
      </c>
      <c r="B482" s="7" t="s">
        <v>7990</v>
      </c>
      <c r="C482" s="12" t="n">
        <v>20</v>
      </c>
      <c r="D482" s="7" t="n">
        <v>9</v>
      </c>
      <c r="E482" s="13" t="n">
        <v>0</v>
      </c>
      <c r="F482" s="7" t="n">
        <v>1</v>
      </c>
      <c r="G482" s="7" t="n">
        <v>1</v>
      </c>
      <c r="H482" s="7"/>
    </row>
    <row r="483" customFormat="false" ht="15" hidden="false" customHeight="true" outlineLevel="0" collapsed="false">
      <c r="A483" s="7" t="s">
        <v>6541</v>
      </c>
      <c r="B483" s="7" t="s">
        <v>7990</v>
      </c>
      <c r="C483" s="12" t="n">
        <v>20</v>
      </c>
      <c r="D483" s="7" t="n">
        <v>10</v>
      </c>
      <c r="E483" s="13" t="n">
        <v>0</v>
      </c>
      <c r="F483" s="7" t="n">
        <v>1</v>
      </c>
      <c r="G483" s="7" t="n">
        <v>1</v>
      </c>
      <c r="H483" s="7"/>
    </row>
    <row r="484" customFormat="false" ht="15" hidden="false" customHeight="true" outlineLevel="0" collapsed="false">
      <c r="A484" s="7" t="s">
        <v>6545</v>
      </c>
      <c r="B484" s="7" t="s">
        <v>7990</v>
      </c>
      <c r="C484" s="12" t="n">
        <v>20</v>
      </c>
      <c r="D484" s="7" t="n">
        <v>0</v>
      </c>
      <c r="E484" s="13" t="n">
        <v>0</v>
      </c>
      <c r="F484" s="7" t="n">
        <v>1</v>
      </c>
      <c r="G484" s="7" t="n">
        <v>1</v>
      </c>
      <c r="H484" s="7"/>
    </row>
    <row r="485" customFormat="false" ht="15" hidden="false" customHeight="true" outlineLevel="0" collapsed="false">
      <c r="A485" s="7" t="s">
        <v>4286</v>
      </c>
      <c r="B485" s="7" t="s">
        <v>7992</v>
      </c>
      <c r="C485" s="12" t="n">
        <v>20</v>
      </c>
      <c r="D485" s="7" t="n">
        <v>25</v>
      </c>
      <c r="E485" s="13" t="n">
        <v>0</v>
      </c>
      <c r="F485" s="7" t="n">
        <v>0.99</v>
      </c>
      <c r="G485" s="7" t="n">
        <v>6</v>
      </c>
      <c r="H485" s="7"/>
    </row>
    <row r="486" customFormat="false" ht="15" hidden="false" customHeight="true" outlineLevel="0" collapsed="false">
      <c r="A486" s="7" t="s">
        <v>4297</v>
      </c>
      <c r="B486" s="7" t="s">
        <v>7989</v>
      </c>
      <c r="C486" s="12" t="n">
        <v>20</v>
      </c>
      <c r="D486" s="7" t="n">
        <v>15</v>
      </c>
      <c r="E486" s="13" t="n">
        <v>0</v>
      </c>
      <c r="F486" s="7" t="n">
        <v>0.86</v>
      </c>
      <c r="G486" s="7" t="n">
        <v>6</v>
      </c>
      <c r="H486" s="7"/>
    </row>
    <row r="487" customFormat="false" ht="15" hidden="false" customHeight="true" outlineLevel="0" collapsed="false">
      <c r="A487" s="7" t="s">
        <v>4560</v>
      </c>
      <c r="B487" s="7" t="s">
        <v>7989</v>
      </c>
      <c r="C487" s="12" t="n">
        <v>20</v>
      </c>
      <c r="D487" s="7" t="n">
        <v>20</v>
      </c>
      <c r="E487" s="13" t="n">
        <v>0</v>
      </c>
      <c r="F487" s="7" t="n">
        <v>1</v>
      </c>
      <c r="G487" s="7" t="n">
        <v>6</v>
      </c>
      <c r="H487" s="7"/>
    </row>
    <row r="488" customFormat="false" ht="15" hidden="false" customHeight="true" outlineLevel="0" collapsed="false">
      <c r="A488" s="7" t="s">
        <v>4364</v>
      </c>
      <c r="B488" s="7" t="s">
        <v>7989</v>
      </c>
      <c r="C488" s="12" t="n">
        <v>20</v>
      </c>
      <c r="D488" s="7" t="n">
        <v>21</v>
      </c>
      <c r="E488" s="13" t="n">
        <v>0</v>
      </c>
      <c r="F488" s="7" t="n">
        <v>0.96</v>
      </c>
      <c r="G488" s="7" t="n">
        <v>6</v>
      </c>
      <c r="H488" s="7"/>
    </row>
    <row r="489" customFormat="false" ht="15" hidden="false" customHeight="true" outlineLevel="0" collapsed="false">
      <c r="A489" s="7" t="s">
        <v>4374</v>
      </c>
      <c r="B489" s="7" t="s">
        <v>7990</v>
      </c>
      <c r="C489" s="12" t="n">
        <v>20</v>
      </c>
      <c r="D489" s="7" t="n">
        <v>18</v>
      </c>
      <c r="E489" s="13" t="n">
        <v>0</v>
      </c>
      <c r="F489" s="7" t="n">
        <v>1</v>
      </c>
      <c r="G489" s="7" t="s">
        <v>6815</v>
      </c>
      <c r="H489" s="7"/>
    </row>
    <row r="490" customFormat="false" ht="15" hidden="false" customHeight="true" outlineLevel="0" collapsed="false">
      <c r="A490" s="7" t="s">
        <v>4395</v>
      </c>
      <c r="B490" s="7" t="s">
        <v>7996</v>
      </c>
      <c r="C490" s="12" t="n">
        <v>20</v>
      </c>
      <c r="D490" s="7" t="n">
        <v>22</v>
      </c>
      <c r="E490" s="13" t="n">
        <v>0</v>
      </c>
      <c r="F490" s="7" t="n">
        <v>1</v>
      </c>
      <c r="G490" s="7" t="n">
        <v>6</v>
      </c>
      <c r="H490" s="7"/>
    </row>
    <row r="491" customFormat="false" ht="15" hidden="false" customHeight="true" outlineLevel="0" collapsed="false">
      <c r="A491" s="7" t="s">
        <v>4583</v>
      </c>
      <c r="B491" s="7" t="s">
        <v>7990</v>
      </c>
      <c r="C491" s="12" t="n">
        <v>20</v>
      </c>
      <c r="D491" s="7" t="n">
        <v>13</v>
      </c>
      <c r="E491" s="13" t="n">
        <v>0.33</v>
      </c>
      <c r="F491" s="7" t="n">
        <v>1</v>
      </c>
      <c r="G491" s="7" t="n">
        <v>6</v>
      </c>
      <c r="H491" s="7"/>
    </row>
    <row r="492" customFormat="false" ht="15" hidden="false" customHeight="true" outlineLevel="0" collapsed="false">
      <c r="A492" s="7" t="s">
        <v>4606</v>
      </c>
      <c r="B492" s="7" t="s">
        <v>7990</v>
      </c>
      <c r="C492" s="12" t="n">
        <v>20</v>
      </c>
      <c r="D492" s="7" t="n">
        <v>18</v>
      </c>
      <c r="E492" s="13" t="n">
        <v>0.63</v>
      </c>
      <c r="F492" s="7" t="n">
        <v>1</v>
      </c>
      <c r="G492" s="7" t="n">
        <v>6</v>
      </c>
      <c r="H492" s="7"/>
    </row>
    <row r="493" customFormat="false" ht="15" hidden="false" customHeight="true" outlineLevel="0" collapsed="false">
      <c r="A493" s="7" t="s">
        <v>4629</v>
      </c>
      <c r="B493" s="7" t="s">
        <v>7989</v>
      </c>
      <c r="C493" s="12" t="n">
        <v>20</v>
      </c>
      <c r="D493" s="7" t="n">
        <v>13</v>
      </c>
      <c r="E493" s="13" t="n">
        <v>0</v>
      </c>
      <c r="F493" s="7" t="n">
        <v>1</v>
      </c>
      <c r="G493" s="7" t="s">
        <v>6815</v>
      </c>
      <c r="H493" s="7"/>
    </row>
    <row r="494" customFormat="false" ht="15" hidden="false" customHeight="true" outlineLevel="0" collapsed="false">
      <c r="A494" s="7" t="s">
        <v>4660</v>
      </c>
      <c r="B494" s="7" t="s">
        <v>7992</v>
      </c>
      <c r="C494" s="12" t="n">
        <v>20</v>
      </c>
      <c r="D494" s="7" t="n">
        <v>16</v>
      </c>
      <c r="E494" s="13" t="n">
        <v>0.47</v>
      </c>
      <c r="F494" s="7" t="n">
        <v>1</v>
      </c>
      <c r="G494" s="7" t="s">
        <v>6815</v>
      </c>
      <c r="H494" s="7"/>
    </row>
    <row r="495" customFormat="false" ht="15" hidden="false" customHeight="true" outlineLevel="0" collapsed="false">
      <c r="A495" s="7" t="s">
        <v>4812</v>
      </c>
      <c r="B495" s="7" t="s">
        <v>7993</v>
      </c>
      <c r="C495" s="12" t="n">
        <v>20</v>
      </c>
      <c r="D495" s="7" t="n">
        <v>15</v>
      </c>
      <c r="E495" s="13" t="n">
        <v>0</v>
      </c>
      <c r="F495" s="7" t="n">
        <v>1</v>
      </c>
      <c r="G495" s="7" t="s">
        <v>6816</v>
      </c>
      <c r="H495" s="7"/>
    </row>
    <row r="496" customFormat="false" ht="15" hidden="false" customHeight="true" outlineLevel="0" collapsed="false">
      <c r="A496" s="7" t="s">
        <v>4792</v>
      </c>
      <c r="B496" s="7" t="s">
        <v>7995</v>
      </c>
      <c r="C496" s="12" t="n">
        <v>20</v>
      </c>
      <c r="D496" s="7" t="n">
        <v>18</v>
      </c>
      <c r="E496" s="13" t="n">
        <v>0.77</v>
      </c>
      <c r="F496" s="7" t="n">
        <v>1</v>
      </c>
      <c r="G496" s="7" t="s">
        <v>6815</v>
      </c>
      <c r="H496" s="7"/>
    </row>
    <row r="497" customFormat="false" ht="15" hidden="false" customHeight="true" outlineLevel="0" collapsed="false">
      <c r="A497" s="7" t="s">
        <v>4789</v>
      </c>
      <c r="B497" s="7" t="s">
        <v>7992</v>
      </c>
      <c r="C497" s="12" t="n">
        <v>20</v>
      </c>
      <c r="D497" s="7" t="n">
        <v>16</v>
      </c>
      <c r="E497" s="13" t="n">
        <v>0</v>
      </c>
      <c r="F497" s="7" t="n">
        <v>1</v>
      </c>
      <c r="G497" s="7" t="s">
        <v>6815</v>
      </c>
      <c r="H497" s="7"/>
    </row>
    <row r="498" customFormat="false" ht="15" hidden="false" customHeight="true" outlineLevel="0" collapsed="false">
      <c r="A498" s="7" t="s">
        <v>6564</v>
      </c>
      <c r="B498" s="7" t="s">
        <v>7989</v>
      </c>
      <c r="C498" s="12" t="n">
        <v>20</v>
      </c>
      <c r="D498" s="7" t="n">
        <v>30</v>
      </c>
      <c r="E498" s="13" t="n">
        <v>0.43</v>
      </c>
      <c r="F498" s="7" t="n">
        <v>1</v>
      </c>
      <c r="G498" s="7" t="n">
        <v>2</v>
      </c>
      <c r="H498" s="7"/>
    </row>
    <row r="499" customFormat="false" ht="15" hidden="false" customHeight="true" outlineLevel="0" collapsed="false">
      <c r="A499" s="7" t="s">
        <v>4932</v>
      </c>
      <c r="B499" s="7" t="s">
        <v>7990</v>
      </c>
      <c r="C499" s="12" t="n">
        <v>20</v>
      </c>
      <c r="D499" s="7" t="n">
        <v>21</v>
      </c>
      <c r="E499" s="13" t="n">
        <v>0</v>
      </c>
      <c r="F499" s="7" t="n">
        <v>1</v>
      </c>
      <c r="G499" s="7" t="n">
        <v>6</v>
      </c>
      <c r="H499" s="7"/>
    </row>
    <row r="500" customFormat="false" ht="15" hidden="false" customHeight="true" outlineLevel="0" collapsed="false">
      <c r="A500" s="7" t="s">
        <v>6566</v>
      </c>
      <c r="B500" s="7" t="s">
        <v>7989</v>
      </c>
      <c r="C500" s="12" t="n">
        <v>20</v>
      </c>
      <c r="D500" s="7" t="n">
        <v>19</v>
      </c>
      <c r="E500" s="13" t="n">
        <v>0</v>
      </c>
      <c r="F500" s="7" t="n">
        <v>1</v>
      </c>
      <c r="G500" s="7" t="n">
        <v>2</v>
      </c>
      <c r="H500" s="7"/>
    </row>
    <row r="501" customFormat="false" ht="15" hidden="false" customHeight="true" outlineLevel="0" collapsed="false">
      <c r="A501" s="7" t="s">
        <v>5064</v>
      </c>
      <c r="B501" s="7" t="s">
        <v>7990</v>
      </c>
      <c r="C501" s="12" t="n">
        <v>20</v>
      </c>
      <c r="D501" s="7" t="n">
        <v>16</v>
      </c>
      <c r="E501" s="13" t="n">
        <v>0.57</v>
      </c>
      <c r="F501" s="7" t="n">
        <v>1</v>
      </c>
      <c r="G501" s="7" t="s">
        <v>6815</v>
      </c>
      <c r="H501" s="7"/>
    </row>
    <row r="502" customFormat="false" ht="15" hidden="false" customHeight="true" outlineLevel="0" collapsed="false">
      <c r="A502" s="7" t="s">
        <v>5042</v>
      </c>
      <c r="B502" s="7" t="s">
        <v>7989</v>
      </c>
      <c r="C502" s="12" t="n">
        <v>20</v>
      </c>
      <c r="D502" s="7" t="n">
        <v>4</v>
      </c>
      <c r="E502" s="13" t="n">
        <v>0.45</v>
      </c>
      <c r="F502" s="7" t="n">
        <v>1</v>
      </c>
      <c r="G502" s="7" t="n">
        <v>6</v>
      </c>
      <c r="H502" s="7"/>
    </row>
    <row r="503" customFormat="false" ht="15" hidden="false" customHeight="true" outlineLevel="0" collapsed="false">
      <c r="A503" s="7" t="s">
        <v>5021</v>
      </c>
      <c r="B503" s="7" t="s">
        <v>7990</v>
      </c>
      <c r="C503" s="12" t="n">
        <v>20</v>
      </c>
      <c r="D503" s="7" t="n">
        <v>22</v>
      </c>
      <c r="E503" s="13" t="n">
        <v>0.29</v>
      </c>
      <c r="F503" s="7" t="n">
        <v>1</v>
      </c>
      <c r="G503" s="7" t="s">
        <v>6815</v>
      </c>
      <c r="H503" s="7"/>
    </row>
    <row r="504" customFormat="false" ht="15" hidden="false" customHeight="true" outlineLevel="0" collapsed="false">
      <c r="A504" s="7" t="s">
        <v>5073</v>
      </c>
      <c r="B504" s="7" t="s">
        <v>7990</v>
      </c>
      <c r="C504" s="12" t="n">
        <v>20</v>
      </c>
      <c r="D504" s="7" t="n">
        <v>16</v>
      </c>
      <c r="E504" s="13" t="n">
        <v>0</v>
      </c>
      <c r="F504" s="7" t="n">
        <v>1</v>
      </c>
      <c r="G504" s="7" t="n">
        <v>6</v>
      </c>
      <c r="H504" s="7"/>
    </row>
    <row r="505" customFormat="false" ht="15" hidden="false" customHeight="true" outlineLevel="0" collapsed="false">
      <c r="A505" s="7" t="s">
        <v>5146</v>
      </c>
      <c r="B505" s="7" t="s">
        <v>7990</v>
      </c>
      <c r="C505" s="12" t="n">
        <v>20</v>
      </c>
      <c r="D505" s="7" t="n">
        <v>18</v>
      </c>
      <c r="E505" s="13" t="n">
        <v>0</v>
      </c>
      <c r="F505" s="7" t="n">
        <v>0.92</v>
      </c>
      <c r="G505" s="7" t="s">
        <v>6815</v>
      </c>
      <c r="H505" s="7"/>
    </row>
    <row r="506" customFormat="false" ht="15" hidden="false" customHeight="true" outlineLevel="0" collapsed="false">
      <c r="A506" s="7" t="s">
        <v>6583</v>
      </c>
      <c r="B506" s="7" t="s">
        <v>7990</v>
      </c>
      <c r="C506" s="12" t="n">
        <v>20</v>
      </c>
      <c r="D506" s="7" t="n">
        <v>15</v>
      </c>
      <c r="E506" s="13" t="n">
        <v>0.23</v>
      </c>
      <c r="F506" s="7" t="n">
        <v>1</v>
      </c>
      <c r="G506" s="7" t="n">
        <v>2</v>
      </c>
      <c r="H506" s="7"/>
    </row>
    <row r="507" customFormat="false" ht="15" hidden="false" customHeight="true" outlineLevel="0" collapsed="false">
      <c r="A507" s="7" t="s">
        <v>5153</v>
      </c>
      <c r="B507" s="7" t="s">
        <v>7991</v>
      </c>
      <c r="C507" s="12" t="n">
        <v>20</v>
      </c>
      <c r="D507" s="7" t="n">
        <v>15</v>
      </c>
      <c r="E507" s="13" t="n">
        <v>0</v>
      </c>
      <c r="F507" s="7" t="n">
        <v>1</v>
      </c>
      <c r="G507" s="7" t="s">
        <v>6815</v>
      </c>
      <c r="H507" s="7"/>
    </row>
    <row r="508" customFormat="false" ht="15" hidden="false" customHeight="true" outlineLevel="0" collapsed="false">
      <c r="A508" s="7" t="s">
        <v>5193</v>
      </c>
      <c r="B508" s="7" t="s">
        <v>7989</v>
      </c>
      <c r="C508" s="12" t="n">
        <v>20</v>
      </c>
      <c r="D508" s="7" t="n">
        <v>18</v>
      </c>
      <c r="E508" s="13" t="n">
        <v>0</v>
      </c>
      <c r="F508" s="7" t="n">
        <v>1</v>
      </c>
      <c r="G508" s="7" t="n">
        <v>7</v>
      </c>
      <c r="H508" s="7"/>
    </row>
    <row r="509" customFormat="false" ht="15" hidden="false" customHeight="true" outlineLevel="0" collapsed="false">
      <c r="A509" s="7" t="s">
        <v>6587</v>
      </c>
      <c r="B509" s="7" t="s">
        <v>7990</v>
      </c>
      <c r="C509" s="12" t="n">
        <v>20</v>
      </c>
      <c r="D509" s="7" t="n">
        <v>9</v>
      </c>
      <c r="E509" s="13" t="n">
        <v>0</v>
      </c>
      <c r="F509" s="7" t="n">
        <v>0.92</v>
      </c>
      <c r="G509" s="7" t="n">
        <v>2</v>
      </c>
      <c r="H509" s="7"/>
    </row>
    <row r="510" customFormat="false" ht="15" hidden="false" customHeight="true" outlineLevel="0" collapsed="false">
      <c r="A510" s="7" t="s">
        <v>5206</v>
      </c>
      <c r="B510" s="7" t="s">
        <v>7990</v>
      </c>
      <c r="C510" s="12" t="n">
        <v>20</v>
      </c>
      <c r="D510" s="7" t="n">
        <v>9</v>
      </c>
      <c r="E510" s="13" t="n">
        <v>0</v>
      </c>
      <c r="F510" s="7" t="n">
        <v>0.86</v>
      </c>
      <c r="G510" s="7" t="n">
        <v>7</v>
      </c>
      <c r="H510" s="7"/>
    </row>
    <row r="511" customFormat="false" ht="15" hidden="false" customHeight="true" outlineLevel="0" collapsed="false">
      <c r="A511" s="7" t="s">
        <v>5219</v>
      </c>
      <c r="B511" s="7" t="s">
        <v>7990</v>
      </c>
      <c r="C511" s="12" t="n">
        <v>20</v>
      </c>
      <c r="D511" s="7" t="n">
        <v>0</v>
      </c>
      <c r="E511" s="13" t="n">
        <v>0</v>
      </c>
      <c r="F511" s="7" t="n">
        <v>1</v>
      </c>
      <c r="G511" s="7" t="n">
        <v>7</v>
      </c>
      <c r="H511" s="7"/>
    </row>
    <row r="512" customFormat="false" ht="15" hidden="false" customHeight="true" outlineLevel="0" collapsed="false">
      <c r="A512" s="7" t="s">
        <v>5921</v>
      </c>
      <c r="B512" s="7" t="s">
        <v>7992</v>
      </c>
      <c r="C512" s="12" t="n">
        <v>20</v>
      </c>
      <c r="D512" s="7" t="n">
        <v>19</v>
      </c>
      <c r="E512" s="13" t="n">
        <v>0</v>
      </c>
      <c r="F512" s="7" t="n">
        <v>1</v>
      </c>
      <c r="G512" s="7" t="n">
        <v>7</v>
      </c>
      <c r="H512" s="7"/>
    </row>
    <row r="513" customFormat="false" ht="15" hidden="false" customHeight="true" outlineLevel="0" collapsed="false">
      <c r="A513" s="7" t="s">
        <v>6588</v>
      </c>
      <c r="B513" s="7" t="s">
        <v>7992</v>
      </c>
      <c r="C513" s="12" t="n">
        <v>20</v>
      </c>
      <c r="D513" s="7" t="n">
        <v>9</v>
      </c>
      <c r="E513" s="13" t="n">
        <v>0</v>
      </c>
      <c r="F513" s="7" t="n">
        <v>1</v>
      </c>
      <c r="G513" s="7" t="n">
        <v>2</v>
      </c>
      <c r="H513" s="7"/>
    </row>
    <row r="514" customFormat="false" ht="15" hidden="false" customHeight="true" outlineLevel="0" collapsed="false">
      <c r="A514" s="7" t="s">
        <v>5243</v>
      </c>
      <c r="B514" s="7" t="s">
        <v>7996</v>
      </c>
      <c r="C514" s="12" t="n">
        <v>20</v>
      </c>
      <c r="D514" s="7" t="n">
        <v>12</v>
      </c>
      <c r="E514" s="13" t="n">
        <v>0</v>
      </c>
      <c r="F514" s="7" t="n">
        <v>1</v>
      </c>
      <c r="G514" s="7" t="n">
        <v>7</v>
      </c>
      <c r="H514" s="7"/>
    </row>
    <row r="515" customFormat="false" ht="15" hidden="false" customHeight="true" outlineLevel="0" collapsed="false">
      <c r="A515" s="7" t="s">
        <v>7905</v>
      </c>
      <c r="B515" s="7" t="s">
        <v>7990</v>
      </c>
      <c r="C515" s="12" t="n">
        <v>20</v>
      </c>
      <c r="D515" s="7" t="n">
        <v>9</v>
      </c>
      <c r="E515" s="13" t="n">
        <v>0</v>
      </c>
      <c r="F515" s="7" t="n">
        <v>1</v>
      </c>
      <c r="G515" s="7" t="s">
        <v>6816</v>
      </c>
      <c r="H515" s="7"/>
    </row>
    <row r="516" customFormat="false" ht="15" hidden="false" customHeight="true" outlineLevel="0" collapsed="false">
      <c r="A516" s="7" t="s">
        <v>5298</v>
      </c>
      <c r="B516" s="7" t="s">
        <v>7989</v>
      </c>
      <c r="C516" s="12" t="n">
        <v>20</v>
      </c>
      <c r="D516" s="7" t="n">
        <v>8</v>
      </c>
      <c r="E516" s="13" t="n">
        <v>0</v>
      </c>
      <c r="F516" s="7" t="n">
        <v>0</v>
      </c>
      <c r="G516" s="7" t="n">
        <v>7</v>
      </c>
      <c r="H516" s="7"/>
    </row>
    <row r="517" customFormat="false" ht="15" hidden="false" customHeight="true" outlineLevel="0" collapsed="false">
      <c r="A517" s="7" t="s">
        <v>5310</v>
      </c>
      <c r="B517" s="7" t="s">
        <v>7990</v>
      </c>
      <c r="C517" s="12" t="n">
        <v>20</v>
      </c>
      <c r="D517" s="7" t="n">
        <v>3</v>
      </c>
      <c r="E517" s="13" t="n">
        <v>0</v>
      </c>
      <c r="F517" s="7" t="n">
        <v>0</v>
      </c>
      <c r="G517" s="7" t="n">
        <v>7</v>
      </c>
      <c r="H517" s="7"/>
    </row>
    <row r="518" customFormat="false" ht="15" hidden="false" customHeight="true" outlineLevel="0" collapsed="false">
      <c r="A518" s="7" t="s">
        <v>5354</v>
      </c>
      <c r="B518" s="7" t="s">
        <v>7992</v>
      </c>
      <c r="C518" s="12" t="n">
        <v>20</v>
      </c>
      <c r="D518" s="7" t="n">
        <v>17</v>
      </c>
      <c r="E518" s="13" t="n">
        <v>0</v>
      </c>
      <c r="F518" s="7" t="n">
        <v>1</v>
      </c>
      <c r="G518" s="7" t="n">
        <v>7</v>
      </c>
      <c r="H518" s="7"/>
    </row>
    <row r="519" customFormat="false" ht="15" hidden="false" customHeight="true" outlineLevel="0" collapsed="false">
      <c r="A519" s="7" t="s">
        <v>7903</v>
      </c>
      <c r="B519" s="7" t="s">
        <v>7991</v>
      </c>
      <c r="C519" s="12" t="n">
        <v>20</v>
      </c>
      <c r="D519" s="7" t="n">
        <v>20</v>
      </c>
      <c r="E519" s="13" t="n">
        <v>0.37</v>
      </c>
      <c r="F519" s="7" t="n">
        <v>1</v>
      </c>
      <c r="G519" s="7" t="s">
        <v>6816</v>
      </c>
      <c r="H519" s="7"/>
    </row>
    <row r="520" customFormat="false" ht="15" hidden="false" customHeight="true" outlineLevel="0" collapsed="false">
      <c r="A520" s="7" t="s">
        <v>5433</v>
      </c>
      <c r="B520" s="7" t="s">
        <v>7989</v>
      </c>
      <c r="C520" s="12" t="n">
        <v>20</v>
      </c>
      <c r="D520" s="7" t="n">
        <v>16</v>
      </c>
      <c r="E520" s="13" t="n">
        <v>0</v>
      </c>
      <c r="F520" s="7" t="n">
        <v>1</v>
      </c>
      <c r="G520" s="7" t="n">
        <v>7</v>
      </c>
      <c r="H520" s="7"/>
    </row>
    <row r="521" customFormat="false" ht="15" hidden="false" customHeight="true" outlineLevel="0" collapsed="false">
      <c r="A521" s="7" t="s">
        <v>5392</v>
      </c>
      <c r="B521" s="7" t="s">
        <v>7990</v>
      </c>
      <c r="C521" s="12" t="n">
        <v>20</v>
      </c>
      <c r="D521" s="7" t="n">
        <v>14</v>
      </c>
      <c r="E521" s="13" t="n">
        <v>0</v>
      </c>
      <c r="F521" s="7" t="n">
        <v>0.5</v>
      </c>
      <c r="G521" s="7" t="s">
        <v>6815</v>
      </c>
      <c r="H521" s="7"/>
    </row>
    <row r="522" customFormat="false" ht="15" hidden="false" customHeight="true" outlineLevel="0" collapsed="false">
      <c r="A522" s="7" t="s">
        <v>5444</v>
      </c>
      <c r="B522" s="7" t="s">
        <v>7990</v>
      </c>
      <c r="C522" s="12" t="n">
        <v>20</v>
      </c>
      <c r="D522" s="7" t="n">
        <v>17</v>
      </c>
      <c r="E522" s="13" t="n">
        <v>0</v>
      </c>
      <c r="F522" s="7" t="n">
        <v>1</v>
      </c>
      <c r="G522" s="7" t="n">
        <v>7</v>
      </c>
      <c r="H522" s="7"/>
    </row>
    <row r="523" customFormat="false" ht="15" hidden="false" customHeight="true" outlineLevel="0" collapsed="false">
      <c r="A523" s="7" t="s">
        <v>5402</v>
      </c>
      <c r="B523" s="7" t="s">
        <v>7989</v>
      </c>
      <c r="C523" s="12" t="n">
        <v>20</v>
      </c>
      <c r="D523" s="7" t="n">
        <v>17</v>
      </c>
      <c r="E523" s="13" t="n">
        <v>0.39</v>
      </c>
      <c r="F523" s="7" t="n">
        <v>1</v>
      </c>
      <c r="G523" s="7" t="s">
        <v>6815</v>
      </c>
      <c r="H523" s="7"/>
    </row>
    <row r="524" customFormat="false" ht="15" hidden="false" customHeight="true" outlineLevel="0" collapsed="false">
      <c r="A524" s="7" t="s">
        <v>6695</v>
      </c>
      <c r="B524" s="7" t="s">
        <v>7993</v>
      </c>
      <c r="C524" s="12" t="n">
        <v>20</v>
      </c>
      <c r="D524" s="7" t="n">
        <v>24</v>
      </c>
      <c r="E524" s="13" t="n">
        <v>0.73</v>
      </c>
      <c r="F524" s="7" t="n">
        <v>0.5</v>
      </c>
      <c r="G524" s="7" t="n">
        <v>3</v>
      </c>
      <c r="H524" s="7"/>
    </row>
    <row r="525" customFormat="false" ht="15" hidden="false" customHeight="true" outlineLevel="0" collapsed="false">
      <c r="A525" s="7" t="s">
        <v>5466</v>
      </c>
      <c r="B525" s="7" t="s">
        <v>7990</v>
      </c>
      <c r="C525" s="12" t="n">
        <v>20</v>
      </c>
      <c r="D525" s="7" t="n">
        <v>10</v>
      </c>
      <c r="E525" s="13" t="n">
        <v>0</v>
      </c>
      <c r="F525" s="7" t="n">
        <v>0.99</v>
      </c>
      <c r="G525" s="7" t="n">
        <v>7</v>
      </c>
      <c r="H525" s="7"/>
    </row>
    <row r="526" customFormat="false" ht="15" hidden="false" customHeight="true" outlineLevel="0" collapsed="false">
      <c r="A526" s="7" t="s">
        <v>5478</v>
      </c>
      <c r="B526" s="7" t="s">
        <v>7989</v>
      </c>
      <c r="C526" s="12" t="n">
        <v>20</v>
      </c>
      <c r="D526" s="7" t="n">
        <v>10</v>
      </c>
      <c r="E526" s="13" t="n">
        <v>0</v>
      </c>
      <c r="F526" s="7" t="n">
        <v>1</v>
      </c>
      <c r="G526" s="7" t="n">
        <v>7</v>
      </c>
      <c r="H526" s="7"/>
    </row>
    <row r="527" customFormat="false" ht="15" hidden="false" customHeight="true" outlineLevel="0" collapsed="false">
      <c r="A527" s="7" t="s">
        <v>6600</v>
      </c>
      <c r="B527" s="7" t="s">
        <v>7990</v>
      </c>
      <c r="C527" s="12" t="n">
        <v>20</v>
      </c>
      <c r="D527" s="7" t="n">
        <v>22</v>
      </c>
      <c r="E527" s="13" t="n">
        <v>0.63</v>
      </c>
      <c r="F527" s="7" t="n">
        <v>1</v>
      </c>
      <c r="G527" s="7" t="n">
        <v>2</v>
      </c>
      <c r="H527" s="7"/>
    </row>
    <row r="528" customFormat="false" ht="15" hidden="false" customHeight="true" outlineLevel="0" collapsed="false">
      <c r="A528" s="7" t="s">
        <v>6699</v>
      </c>
      <c r="B528" s="7" t="s">
        <v>7990</v>
      </c>
      <c r="C528" s="12" t="n">
        <v>20</v>
      </c>
      <c r="D528" s="7" t="n">
        <v>4</v>
      </c>
      <c r="E528" s="13" t="n">
        <v>0.91</v>
      </c>
      <c r="F528" s="7" t="n">
        <v>1</v>
      </c>
      <c r="G528" s="7" t="n">
        <v>3</v>
      </c>
      <c r="H528" s="7"/>
    </row>
    <row r="529" customFormat="false" ht="15" hidden="false" customHeight="true" outlineLevel="0" collapsed="false">
      <c r="A529" s="7" t="s">
        <v>6701</v>
      </c>
      <c r="B529" s="7" t="s">
        <v>7990</v>
      </c>
      <c r="C529" s="12" t="n">
        <v>20</v>
      </c>
      <c r="D529" s="7" t="n">
        <v>6</v>
      </c>
      <c r="E529" s="13" t="n">
        <v>0</v>
      </c>
      <c r="F529" s="7" t="n">
        <v>0.5</v>
      </c>
      <c r="G529" s="7" t="n">
        <v>3</v>
      </c>
      <c r="H529" s="7"/>
    </row>
    <row r="530" customFormat="false" ht="15" hidden="false" customHeight="true" outlineLevel="0" collapsed="false">
      <c r="A530" s="7" t="s">
        <v>6703</v>
      </c>
      <c r="B530" s="7" t="s">
        <v>7990</v>
      </c>
      <c r="C530" s="12" t="n">
        <v>20</v>
      </c>
      <c r="D530" s="7" t="n">
        <v>7</v>
      </c>
      <c r="E530" s="13" t="n">
        <v>0</v>
      </c>
      <c r="F530" s="7" t="n">
        <v>0.99</v>
      </c>
      <c r="G530" s="7" t="n">
        <v>3</v>
      </c>
      <c r="H530" s="7"/>
    </row>
    <row r="531" customFormat="false" ht="15" hidden="false" customHeight="true" outlineLevel="0" collapsed="false">
      <c r="A531" s="7" t="s">
        <v>6714</v>
      </c>
      <c r="B531" s="7" t="s">
        <v>7991</v>
      </c>
      <c r="C531" s="12" t="n">
        <v>20</v>
      </c>
      <c r="D531" s="7" t="n">
        <v>8</v>
      </c>
      <c r="E531" s="13" t="n">
        <v>0</v>
      </c>
      <c r="F531" s="7" t="n">
        <v>1</v>
      </c>
      <c r="G531" s="7" t="n">
        <v>3</v>
      </c>
      <c r="H531" s="7"/>
    </row>
    <row r="532" customFormat="false" ht="15" hidden="false" customHeight="true" outlineLevel="0" collapsed="false">
      <c r="A532" s="7" t="s">
        <v>6716</v>
      </c>
      <c r="B532" s="7" t="s">
        <v>7990</v>
      </c>
      <c r="C532" s="12" t="n">
        <v>20</v>
      </c>
      <c r="D532" s="7" t="n">
        <v>13</v>
      </c>
      <c r="E532" s="13" t="n">
        <v>0</v>
      </c>
      <c r="F532" s="7" t="n">
        <v>0.29</v>
      </c>
      <c r="G532" s="7" t="n">
        <v>3</v>
      </c>
      <c r="H532" s="7"/>
    </row>
    <row r="533" customFormat="false" ht="15" hidden="false" customHeight="true" outlineLevel="0" collapsed="false">
      <c r="A533" s="7" t="s">
        <v>5516</v>
      </c>
      <c r="B533" s="7" t="s">
        <v>7989</v>
      </c>
      <c r="C533" s="12" t="n">
        <v>20</v>
      </c>
      <c r="D533" s="7" t="n">
        <v>16</v>
      </c>
      <c r="E533" s="13" t="n">
        <v>0.5</v>
      </c>
      <c r="F533" s="7" t="n">
        <v>1</v>
      </c>
      <c r="G533" s="7" t="s">
        <v>6815</v>
      </c>
      <c r="H533" s="7"/>
    </row>
    <row r="534" customFormat="false" ht="15" hidden="false" customHeight="true" outlineLevel="0" collapsed="false">
      <c r="A534" s="7" t="s">
        <v>5491</v>
      </c>
      <c r="B534" s="7" t="s">
        <v>7990</v>
      </c>
      <c r="C534" s="12" t="n">
        <v>20</v>
      </c>
      <c r="D534" s="7" t="n">
        <v>13</v>
      </c>
      <c r="E534" s="13" t="n">
        <v>0</v>
      </c>
      <c r="F534" s="7" t="n">
        <v>1</v>
      </c>
      <c r="G534" s="7" t="n">
        <v>7</v>
      </c>
      <c r="H534" s="7"/>
    </row>
    <row r="535" customFormat="false" ht="15" hidden="false" customHeight="true" outlineLevel="0" collapsed="false">
      <c r="A535" s="7" t="s">
        <v>6602</v>
      </c>
      <c r="B535" s="7" t="s">
        <v>7990</v>
      </c>
      <c r="C535" s="12" t="n">
        <v>20</v>
      </c>
      <c r="D535" s="7" t="n">
        <v>16</v>
      </c>
      <c r="E535" s="13" t="n">
        <v>0</v>
      </c>
      <c r="F535" s="7" t="n">
        <v>1</v>
      </c>
      <c r="G535" s="7" t="n">
        <v>2</v>
      </c>
      <c r="H535" s="7"/>
    </row>
    <row r="536" customFormat="false" ht="15" hidden="false" customHeight="true" outlineLevel="0" collapsed="false">
      <c r="A536" s="7" t="s">
        <v>7930</v>
      </c>
      <c r="B536" s="7" t="s">
        <v>7989</v>
      </c>
      <c r="C536" s="12" t="n">
        <v>20</v>
      </c>
      <c r="D536" s="7" t="n">
        <v>5</v>
      </c>
      <c r="E536" s="13" t="n">
        <v>0.88</v>
      </c>
      <c r="F536" s="7" t="n">
        <v>1</v>
      </c>
      <c r="G536" s="7" t="s">
        <v>7919</v>
      </c>
      <c r="H536" s="7"/>
    </row>
    <row r="537" customFormat="false" ht="15" hidden="false" customHeight="true" outlineLevel="0" collapsed="false">
      <c r="A537" s="7" t="s">
        <v>5527</v>
      </c>
      <c r="B537" s="7" t="s">
        <v>7994</v>
      </c>
      <c r="C537" s="12" t="n">
        <v>20</v>
      </c>
      <c r="D537" s="7" t="n">
        <v>13</v>
      </c>
      <c r="E537" s="13" t="n">
        <v>0.35</v>
      </c>
      <c r="F537" s="7" t="n">
        <v>0.95</v>
      </c>
      <c r="G537" s="7" t="s">
        <v>6815</v>
      </c>
      <c r="H537" s="7"/>
    </row>
    <row r="538" customFormat="false" ht="15" hidden="false" customHeight="true" outlineLevel="0" collapsed="false">
      <c r="A538" s="7" t="s">
        <v>5548</v>
      </c>
      <c r="B538" s="7" t="s">
        <v>7989</v>
      </c>
      <c r="C538" s="12" t="n">
        <v>20</v>
      </c>
      <c r="D538" s="7" t="n">
        <v>17</v>
      </c>
      <c r="E538" s="13" t="n">
        <v>0</v>
      </c>
      <c r="F538" s="7" t="n">
        <v>1</v>
      </c>
      <c r="G538" s="7" t="n">
        <v>7</v>
      </c>
      <c r="H538" s="7"/>
    </row>
    <row r="539" customFormat="false" ht="15" hidden="false" customHeight="true" outlineLevel="0" collapsed="false">
      <c r="A539" s="7" t="s">
        <v>7913</v>
      </c>
      <c r="B539" s="7" t="s">
        <v>7989</v>
      </c>
      <c r="C539" s="12" t="n">
        <v>20</v>
      </c>
      <c r="D539" s="7" t="n">
        <v>3</v>
      </c>
      <c r="E539" s="13" t="n">
        <v>0</v>
      </c>
      <c r="F539" s="7" t="n">
        <v>0.66</v>
      </c>
      <c r="G539" s="7" t="s">
        <v>6816</v>
      </c>
      <c r="H539" s="7"/>
    </row>
    <row r="540" customFormat="false" ht="15" hidden="false" customHeight="true" outlineLevel="0" collapsed="false">
      <c r="A540" s="7" t="s">
        <v>4548</v>
      </c>
      <c r="B540" s="7" t="s">
        <v>7993</v>
      </c>
      <c r="C540" s="12" t="n">
        <v>20</v>
      </c>
      <c r="D540" s="7" t="n">
        <v>20</v>
      </c>
      <c r="E540" s="13" t="n">
        <v>0</v>
      </c>
      <c r="F540" s="7" t="n">
        <v>0.33</v>
      </c>
      <c r="G540" s="7" t="n">
        <v>7</v>
      </c>
      <c r="H540" s="7"/>
    </row>
    <row r="541" customFormat="false" ht="15" hidden="false" customHeight="true" outlineLevel="0" collapsed="false">
      <c r="A541" s="7" t="s">
        <v>5614</v>
      </c>
      <c r="B541" s="7" t="s">
        <v>7990</v>
      </c>
      <c r="C541" s="12" t="n">
        <v>20</v>
      </c>
      <c r="D541" s="7" t="n">
        <v>8</v>
      </c>
      <c r="E541" s="13" t="n">
        <v>0</v>
      </c>
      <c r="F541" s="7" t="n">
        <v>0.33</v>
      </c>
      <c r="G541" s="7" t="n">
        <v>7</v>
      </c>
      <c r="H541" s="7"/>
    </row>
    <row r="542" customFormat="false" ht="15" hidden="false" customHeight="true" outlineLevel="0" collapsed="false">
      <c r="A542" s="7" t="s">
        <v>5637</v>
      </c>
      <c r="B542" s="7" t="s">
        <v>7990</v>
      </c>
      <c r="C542" s="12" t="n">
        <v>20</v>
      </c>
      <c r="D542" s="7" t="n">
        <v>3</v>
      </c>
      <c r="E542" s="13" t="n">
        <v>0</v>
      </c>
      <c r="F542" s="7" t="n">
        <v>1</v>
      </c>
      <c r="G542" s="7" t="n">
        <v>7</v>
      </c>
      <c r="H542" s="7"/>
    </row>
    <row r="543" customFormat="false" ht="15" hidden="false" customHeight="true" outlineLevel="0" collapsed="false">
      <c r="A543" s="7" t="s">
        <v>5649</v>
      </c>
      <c r="B543" s="7" t="s">
        <v>7992</v>
      </c>
      <c r="C543" s="12" t="n">
        <v>20</v>
      </c>
      <c r="D543" s="7" t="n">
        <v>15</v>
      </c>
      <c r="E543" s="13" t="n">
        <v>0</v>
      </c>
      <c r="F543" s="7" t="n">
        <v>1</v>
      </c>
      <c r="G543" s="7" t="n">
        <v>7</v>
      </c>
      <c r="H543" s="7"/>
    </row>
    <row r="544" customFormat="false" ht="15" hidden="false" customHeight="true" outlineLevel="0" collapsed="false">
      <c r="A544" s="7" t="s">
        <v>5689</v>
      </c>
      <c r="B544" s="7" t="s">
        <v>7992</v>
      </c>
      <c r="C544" s="12" t="n">
        <v>20</v>
      </c>
      <c r="D544" s="7" t="n">
        <v>18</v>
      </c>
      <c r="E544" s="13" t="n">
        <v>0</v>
      </c>
      <c r="F544" s="7" t="n">
        <v>1</v>
      </c>
      <c r="G544" s="7" t="s">
        <v>6816</v>
      </c>
      <c r="H544" s="7"/>
    </row>
    <row r="545" customFormat="false" ht="15" hidden="false" customHeight="true" outlineLevel="0" collapsed="false">
      <c r="A545" s="7" t="s">
        <v>5686</v>
      </c>
      <c r="B545" s="7" t="s">
        <v>7992</v>
      </c>
      <c r="C545" s="12" t="n">
        <v>20</v>
      </c>
      <c r="D545" s="7" t="n">
        <v>9</v>
      </c>
      <c r="E545" s="13" t="n">
        <v>0</v>
      </c>
      <c r="F545" s="7" t="n">
        <v>1</v>
      </c>
      <c r="G545" s="7" t="s">
        <v>6816</v>
      </c>
      <c r="H545" s="7"/>
    </row>
    <row r="546" customFormat="false" ht="15" hidden="false" customHeight="true" outlineLevel="0" collapsed="false">
      <c r="A546" s="7" t="s">
        <v>5710</v>
      </c>
      <c r="B546" s="7" t="s">
        <v>7990</v>
      </c>
      <c r="C546" s="12" t="n">
        <v>20</v>
      </c>
      <c r="D546" s="7" t="n">
        <v>8</v>
      </c>
      <c r="E546" s="13" t="n">
        <v>0</v>
      </c>
      <c r="F546" s="7" t="n">
        <v>0.33</v>
      </c>
      <c r="G546" s="7" t="n">
        <v>7</v>
      </c>
      <c r="H546" s="7"/>
    </row>
    <row r="547" customFormat="false" ht="15" hidden="false" customHeight="true" outlineLevel="0" collapsed="false">
      <c r="A547" s="7" t="s">
        <v>5835</v>
      </c>
      <c r="B547" s="7" t="s">
        <v>7989</v>
      </c>
      <c r="C547" s="12" t="n">
        <v>20</v>
      </c>
      <c r="D547" s="7" t="n">
        <v>16</v>
      </c>
      <c r="E547" s="13" t="n">
        <v>0</v>
      </c>
      <c r="F547" s="7" t="n">
        <v>0</v>
      </c>
      <c r="G547" s="7" t="n">
        <v>7</v>
      </c>
      <c r="H547" s="7"/>
    </row>
    <row r="548" customFormat="false" ht="15" hidden="false" customHeight="true" outlineLevel="0" collapsed="false">
      <c r="A548" s="7" t="s">
        <v>5857</v>
      </c>
      <c r="B548" s="7" t="s">
        <v>7990</v>
      </c>
      <c r="C548" s="12" t="n">
        <v>20</v>
      </c>
      <c r="D548" s="7" t="n">
        <v>12</v>
      </c>
      <c r="E548" s="13" t="n">
        <v>0</v>
      </c>
      <c r="F548" s="7" t="n">
        <v>0.94</v>
      </c>
      <c r="G548" s="7" t="n">
        <v>7</v>
      </c>
      <c r="H548" s="7"/>
    </row>
    <row r="549" customFormat="false" ht="15" hidden="false" customHeight="true" outlineLevel="0" collapsed="false">
      <c r="A549" s="7" t="s">
        <v>5768</v>
      </c>
      <c r="B549" s="7" t="s">
        <v>7989</v>
      </c>
      <c r="C549" s="12" t="n">
        <v>20</v>
      </c>
      <c r="D549" s="7" t="n">
        <v>7</v>
      </c>
      <c r="E549" s="13" t="n">
        <v>0</v>
      </c>
      <c r="F549" s="7" t="n">
        <v>1</v>
      </c>
      <c r="G549" s="7" t="n">
        <v>7</v>
      </c>
      <c r="H549" s="7"/>
    </row>
    <row r="550" customFormat="false" ht="15" hidden="false" customHeight="true" outlineLevel="0" collapsed="false">
      <c r="A550" s="7" t="s">
        <v>5779</v>
      </c>
      <c r="B550" s="7" t="s">
        <v>7992</v>
      </c>
      <c r="C550" s="12" t="n">
        <v>20</v>
      </c>
      <c r="D550" s="7" t="n">
        <v>28</v>
      </c>
      <c r="E550" s="13" t="n">
        <v>0</v>
      </c>
      <c r="F550" s="7" t="n">
        <v>0.71</v>
      </c>
      <c r="G550" s="7" t="n">
        <v>7</v>
      </c>
      <c r="H550" s="7"/>
    </row>
    <row r="551" customFormat="false" ht="15" hidden="false" customHeight="true" outlineLevel="0" collapsed="false">
      <c r="A551" s="7" t="s">
        <v>5868</v>
      </c>
      <c r="B551" s="7" t="s">
        <v>7991</v>
      </c>
      <c r="C551" s="12" t="n">
        <v>20</v>
      </c>
      <c r="D551" s="7" t="n">
        <v>6</v>
      </c>
      <c r="E551" s="13" t="n">
        <v>0</v>
      </c>
      <c r="F551" s="7" t="n">
        <v>0.43</v>
      </c>
      <c r="G551" s="7" t="n">
        <v>7</v>
      </c>
      <c r="H551" s="7"/>
    </row>
    <row r="552" customFormat="false" ht="15" hidden="false" customHeight="true" outlineLevel="0" collapsed="false">
      <c r="A552" s="7" t="s">
        <v>5801</v>
      </c>
      <c r="B552" s="7" t="s">
        <v>7990</v>
      </c>
      <c r="C552" s="12" t="n">
        <v>20</v>
      </c>
      <c r="D552" s="7" t="n">
        <v>16</v>
      </c>
      <c r="E552" s="13" t="n">
        <v>0</v>
      </c>
      <c r="F552" s="7" t="n">
        <v>1</v>
      </c>
      <c r="G552" s="7" t="n">
        <v>7</v>
      </c>
      <c r="H552" s="7"/>
    </row>
    <row r="553" customFormat="false" ht="15" hidden="false" customHeight="true" outlineLevel="0" collapsed="false">
      <c r="A553" s="7" t="s">
        <v>5954</v>
      </c>
      <c r="B553" s="7" t="s">
        <v>7990</v>
      </c>
      <c r="C553" s="12" t="n">
        <v>20</v>
      </c>
      <c r="D553" s="7" t="n">
        <v>16</v>
      </c>
      <c r="E553" s="13" t="n">
        <v>0</v>
      </c>
      <c r="F553" s="7" t="n">
        <v>0</v>
      </c>
      <c r="G553" s="7" t="n">
        <v>7</v>
      </c>
      <c r="H553" s="7"/>
    </row>
    <row r="554" customFormat="false" ht="15" hidden="false" customHeight="true" outlineLevel="0" collapsed="false">
      <c r="A554" s="7" t="s">
        <v>5966</v>
      </c>
      <c r="B554" s="7" t="s">
        <v>7992</v>
      </c>
      <c r="C554" s="12" t="n">
        <v>20</v>
      </c>
      <c r="D554" s="7" t="n">
        <v>9</v>
      </c>
      <c r="E554" s="13" t="n">
        <v>0</v>
      </c>
      <c r="F554" s="7" t="n">
        <v>0.33</v>
      </c>
      <c r="G554" s="7" t="n">
        <v>7</v>
      </c>
      <c r="H554" s="7"/>
    </row>
    <row r="555" customFormat="false" ht="15" hidden="false" customHeight="true" outlineLevel="0" collapsed="false">
      <c r="A555" s="7" t="s">
        <v>5988</v>
      </c>
      <c r="B555" s="7" t="s">
        <v>7990</v>
      </c>
      <c r="C555" s="12" t="n">
        <v>20</v>
      </c>
      <c r="D555" s="7" t="n">
        <v>19</v>
      </c>
      <c r="E555" s="13" t="n">
        <v>0</v>
      </c>
      <c r="F555" s="7" t="n">
        <v>1</v>
      </c>
      <c r="G555" s="7" t="n">
        <v>7</v>
      </c>
      <c r="H555" s="7"/>
    </row>
    <row r="556" customFormat="false" ht="15" hidden="false" customHeight="true" outlineLevel="0" collapsed="false">
      <c r="A556" s="7" t="s">
        <v>6629</v>
      </c>
      <c r="B556" s="7" t="s">
        <v>7990</v>
      </c>
      <c r="C556" s="12" t="n">
        <v>20</v>
      </c>
      <c r="D556" s="7" t="n">
        <v>16</v>
      </c>
      <c r="E556" s="13" t="n">
        <v>0</v>
      </c>
      <c r="F556" s="7" t="n">
        <v>1</v>
      </c>
      <c r="G556" s="7" t="n">
        <v>2</v>
      </c>
      <c r="H556" s="7"/>
    </row>
    <row r="557" customFormat="false" ht="15" hidden="false" customHeight="true" outlineLevel="0" collapsed="false">
      <c r="A557" s="7" t="s">
        <v>6011</v>
      </c>
      <c r="B557" s="7" t="s">
        <v>7990</v>
      </c>
      <c r="C557" s="12" t="n">
        <v>20</v>
      </c>
      <c r="D557" s="7" t="n">
        <v>8</v>
      </c>
      <c r="E557" s="13" t="n">
        <v>0</v>
      </c>
      <c r="F557" s="7" t="n">
        <v>0</v>
      </c>
      <c r="G557" s="7" t="n">
        <v>7</v>
      </c>
      <c r="H557" s="7"/>
    </row>
    <row r="558" customFormat="false" ht="15" hidden="false" customHeight="true" outlineLevel="0" collapsed="false">
      <c r="A558" s="7" t="s">
        <v>6022</v>
      </c>
      <c r="B558" s="7" t="s">
        <v>7990</v>
      </c>
      <c r="C558" s="12" t="n">
        <v>20</v>
      </c>
      <c r="D558" s="7" t="n">
        <v>13</v>
      </c>
      <c r="E558" s="13" t="n">
        <v>0</v>
      </c>
      <c r="F558" s="7" t="n">
        <v>1</v>
      </c>
      <c r="G558" s="7" t="n">
        <v>7</v>
      </c>
      <c r="H558" s="7"/>
    </row>
    <row r="559" customFormat="false" ht="15" hidden="false" customHeight="true" outlineLevel="0" collapsed="false">
      <c r="A559" s="7" t="s">
        <v>6033</v>
      </c>
      <c r="B559" s="7" t="s">
        <v>7990</v>
      </c>
      <c r="C559" s="12" t="n">
        <v>20</v>
      </c>
      <c r="D559" s="7" t="n">
        <v>6</v>
      </c>
      <c r="E559" s="13" t="n">
        <v>0</v>
      </c>
      <c r="F559" s="7" t="n">
        <v>1</v>
      </c>
      <c r="G559" s="7" t="n">
        <v>7</v>
      </c>
      <c r="H559" s="7"/>
    </row>
    <row r="560" customFormat="false" ht="15" hidden="false" customHeight="true" outlineLevel="0" collapsed="false">
      <c r="A560" s="7" t="s">
        <v>6055</v>
      </c>
      <c r="B560" s="7" t="s">
        <v>7990</v>
      </c>
      <c r="C560" s="12" t="n">
        <v>20</v>
      </c>
      <c r="D560" s="7" t="n">
        <v>7</v>
      </c>
      <c r="E560" s="13" t="n">
        <v>0</v>
      </c>
      <c r="F560" s="7" t="n">
        <v>0</v>
      </c>
      <c r="G560" s="7" t="n">
        <v>7</v>
      </c>
      <c r="H560" s="7"/>
    </row>
    <row r="561" customFormat="false" ht="15" hidden="false" customHeight="true" outlineLevel="0" collapsed="false">
      <c r="A561" s="7" t="s">
        <v>6066</v>
      </c>
      <c r="B561" s="7" t="s">
        <v>7992</v>
      </c>
      <c r="C561" s="12" t="n">
        <v>20</v>
      </c>
      <c r="D561" s="7" t="n">
        <v>18</v>
      </c>
      <c r="E561" s="13" t="n">
        <v>0</v>
      </c>
      <c r="F561" s="7" t="n">
        <v>1</v>
      </c>
      <c r="G561" s="7" t="n">
        <v>7</v>
      </c>
      <c r="H561" s="7"/>
    </row>
    <row r="562" customFormat="false" ht="15" hidden="false" customHeight="true" outlineLevel="0" collapsed="false">
      <c r="A562" s="7" t="s">
        <v>6078</v>
      </c>
      <c r="B562" s="7" t="s">
        <v>7990</v>
      </c>
      <c r="C562" s="12" t="n">
        <v>20</v>
      </c>
      <c r="D562" s="7" t="n">
        <v>12</v>
      </c>
      <c r="E562" s="13" t="n">
        <v>0</v>
      </c>
      <c r="F562" s="7" t="n">
        <v>1</v>
      </c>
      <c r="G562" s="7" t="n">
        <v>7</v>
      </c>
      <c r="H562" s="7"/>
    </row>
    <row r="563" customFormat="false" ht="15" hidden="false" customHeight="true" outlineLevel="0" collapsed="false">
      <c r="A563" s="7" t="s">
        <v>6094</v>
      </c>
      <c r="B563" s="7" t="s">
        <v>7990</v>
      </c>
      <c r="C563" s="12" t="n">
        <v>20</v>
      </c>
      <c r="D563" s="7" t="n">
        <v>13</v>
      </c>
      <c r="E563" s="13" t="n">
        <v>0</v>
      </c>
      <c r="F563" s="7" t="n">
        <v>1</v>
      </c>
      <c r="G563" s="7" t="s">
        <v>6816</v>
      </c>
      <c r="H563" s="7"/>
    </row>
    <row r="564" customFormat="false" ht="15" hidden="false" customHeight="true" outlineLevel="0" collapsed="false">
      <c r="A564" s="7" t="s">
        <v>6111</v>
      </c>
      <c r="B564" s="7" t="s">
        <v>7990</v>
      </c>
      <c r="C564" s="12" t="n">
        <v>20</v>
      </c>
      <c r="D564" s="7" t="n">
        <v>18</v>
      </c>
      <c r="E564" s="13" t="n">
        <v>0</v>
      </c>
      <c r="F564" s="7" t="n">
        <v>1</v>
      </c>
      <c r="G564" s="7" t="n">
        <v>7</v>
      </c>
      <c r="H564" s="7"/>
    </row>
    <row r="565" customFormat="false" ht="15" hidden="false" customHeight="true" outlineLevel="0" collapsed="false">
      <c r="A565" s="7" t="s">
        <v>6136</v>
      </c>
      <c r="B565" s="7" t="s">
        <v>7993</v>
      </c>
      <c r="C565" s="12" t="n">
        <v>20</v>
      </c>
      <c r="D565" s="7" t="n">
        <v>9</v>
      </c>
      <c r="E565" s="13" t="n">
        <v>0</v>
      </c>
      <c r="F565" s="7" t="n">
        <v>0.8</v>
      </c>
      <c r="G565" s="7" t="n">
        <v>7</v>
      </c>
      <c r="H565" s="7"/>
    </row>
    <row r="566" customFormat="false" ht="15" hidden="false" customHeight="true" outlineLevel="0" collapsed="false">
      <c r="A566" s="7" t="s">
        <v>6147</v>
      </c>
      <c r="B566" s="7" t="s">
        <v>7990</v>
      </c>
      <c r="C566" s="12" t="n">
        <v>20</v>
      </c>
      <c r="D566" s="7" t="n">
        <v>9</v>
      </c>
      <c r="E566" s="13" t="n">
        <v>0</v>
      </c>
      <c r="F566" s="7" t="n">
        <v>1</v>
      </c>
      <c r="G566" s="7" t="n">
        <v>7</v>
      </c>
      <c r="H566" s="7"/>
    </row>
    <row r="567" customFormat="false" ht="15" hidden="false" customHeight="true" outlineLevel="0" collapsed="false">
      <c r="A567" s="7" t="s">
        <v>6172</v>
      </c>
      <c r="B567" s="7" t="s">
        <v>7989</v>
      </c>
      <c r="C567" s="12" t="n">
        <v>20</v>
      </c>
      <c r="D567" s="7" t="n">
        <v>13</v>
      </c>
      <c r="E567" s="13" t="n">
        <v>0</v>
      </c>
      <c r="F567" s="7" t="n">
        <v>1</v>
      </c>
      <c r="G567" s="7" t="s">
        <v>6816</v>
      </c>
      <c r="H567" s="7"/>
    </row>
    <row r="568" customFormat="false" ht="15" hidden="false" customHeight="true" outlineLevel="0" collapsed="false">
      <c r="A568" s="7" t="s">
        <v>6179</v>
      </c>
      <c r="B568" s="7" t="s">
        <v>7996</v>
      </c>
      <c r="C568" s="12" t="n">
        <v>20</v>
      </c>
      <c r="D568" s="7" t="n">
        <v>12</v>
      </c>
      <c r="E568" s="13" t="n">
        <v>0</v>
      </c>
      <c r="F568" s="7" t="n">
        <v>0.95</v>
      </c>
      <c r="G568" s="7" t="n">
        <v>8</v>
      </c>
      <c r="H568" s="7"/>
    </row>
    <row r="569" customFormat="false" ht="15" hidden="false" customHeight="true" outlineLevel="0" collapsed="false">
      <c r="A569" s="7" t="s">
        <v>6190</v>
      </c>
      <c r="B569" s="7" t="s">
        <v>7990</v>
      </c>
      <c r="C569" s="12" t="n">
        <v>20</v>
      </c>
      <c r="D569" s="7" t="n">
        <v>10</v>
      </c>
      <c r="E569" s="13" t="n">
        <v>0</v>
      </c>
      <c r="F569" s="7" t="n">
        <v>0.6</v>
      </c>
      <c r="G569" s="7" t="n">
        <v>8</v>
      </c>
      <c r="H569" s="7"/>
    </row>
    <row r="570" customFormat="false" ht="15" hidden="false" customHeight="true" outlineLevel="0" collapsed="false">
      <c r="A570" s="7" t="s">
        <v>6203</v>
      </c>
      <c r="B570" s="7" t="s">
        <v>7992</v>
      </c>
      <c r="C570" s="12" t="n">
        <v>20</v>
      </c>
      <c r="D570" s="7" t="n">
        <v>16</v>
      </c>
      <c r="E570" s="13" t="n">
        <v>0.66</v>
      </c>
      <c r="F570" s="7" t="n">
        <v>1</v>
      </c>
      <c r="G570" s="7" t="s">
        <v>6815</v>
      </c>
      <c r="H570" s="7"/>
    </row>
    <row r="571" customFormat="false" ht="15" hidden="false" customHeight="true" outlineLevel="0" collapsed="false">
      <c r="A571" s="7" t="s">
        <v>6200</v>
      </c>
      <c r="B571" s="7" t="s">
        <v>7990</v>
      </c>
      <c r="C571" s="12" t="n">
        <v>20</v>
      </c>
      <c r="D571" s="7" t="n">
        <v>11</v>
      </c>
      <c r="E571" s="13" t="n">
        <v>0</v>
      </c>
      <c r="F571" s="7" t="n">
        <v>1</v>
      </c>
      <c r="G571" s="7" t="s">
        <v>6815</v>
      </c>
      <c r="H571" s="7"/>
    </row>
    <row r="572" customFormat="false" ht="15" hidden="false" customHeight="true" outlineLevel="0" collapsed="false">
      <c r="A572" s="7" t="s">
        <v>6211</v>
      </c>
      <c r="B572" s="7" t="s">
        <v>7990</v>
      </c>
      <c r="C572" s="12" t="n">
        <v>20</v>
      </c>
      <c r="D572" s="7" t="n">
        <v>12</v>
      </c>
      <c r="E572" s="13" t="n">
        <v>0</v>
      </c>
      <c r="F572" s="7" t="n">
        <v>0.99</v>
      </c>
      <c r="G572" s="7" t="n">
        <v>8</v>
      </c>
      <c r="H572" s="7"/>
    </row>
    <row r="573" customFormat="false" ht="15" hidden="false" customHeight="true" outlineLevel="0" collapsed="false">
      <c r="A573" s="7" t="s">
        <v>6222</v>
      </c>
      <c r="B573" s="7" t="s">
        <v>7990</v>
      </c>
      <c r="C573" s="12" t="n">
        <v>20</v>
      </c>
      <c r="D573" s="7" t="n">
        <v>7</v>
      </c>
      <c r="E573" s="13" t="n">
        <v>0</v>
      </c>
      <c r="F573" s="7" t="n">
        <v>1</v>
      </c>
      <c r="G573" s="7" t="n">
        <v>8</v>
      </c>
      <c r="H573" s="7"/>
    </row>
    <row r="574" customFormat="false" ht="15" hidden="false" customHeight="true" outlineLevel="0" collapsed="false">
      <c r="A574" s="7" t="s">
        <v>6254</v>
      </c>
      <c r="B574" s="7" t="s">
        <v>7993</v>
      </c>
      <c r="C574" s="12" t="n">
        <v>20</v>
      </c>
      <c r="D574" s="7" t="n">
        <v>19</v>
      </c>
      <c r="E574" s="13" t="n">
        <v>0</v>
      </c>
      <c r="F574" s="7" t="n">
        <v>1</v>
      </c>
      <c r="G574" s="7" t="n">
        <v>8</v>
      </c>
      <c r="H574" s="7"/>
    </row>
    <row r="575" customFormat="false" ht="15" hidden="false" customHeight="true" outlineLevel="0" collapsed="false">
      <c r="A575" s="7" t="s">
        <v>6265</v>
      </c>
      <c r="B575" s="7" t="s">
        <v>7990</v>
      </c>
      <c r="C575" s="12" t="n">
        <v>20</v>
      </c>
      <c r="D575" s="7" t="n">
        <v>5</v>
      </c>
      <c r="E575" s="13" t="n">
        <v>0</v>
      </c>
      <c r="F575" s="7" t="n">
        <v>1</v>
      </c>
      <c r="G575" s="7" t="n">
        <v>8</v>
      </c>
      <c r="H575" s="7"/>
    </row>
    <row r="576" customFormat="false" ht="15" hidden="false" customHeight="true" outlineLevel="0" collapsed="false">
      <c r="A576" s="7" t="s">
        <v>6288</v>
      </c>
      <c r="B576" s="7" t="s">
        <v>7989</v>
      </c>
      <c r="C576" s="12" t="n">
        <v>20</v>
      </c>
      <c r="D576" s="7" t="n">
        <v>16</v>
      </c>
      <c r="E576" s="13" t="n">
        <v>0</v>
      </c>
      <c r="F576" s="7" t="n">
        <v>0.97</v>
      </c>
      <c r="G576" s="7" t="n">
        <v>8</v>
      </c>
      <c r="H576" s="7"/>
    </row>
    <row r="577" customFormat="false" ht="15" hidden="false" customHeight="true" outlineLevel="0" collapsed="false">
      <c r="A577" s="7" t="s">
        <v>6321</v>
      </c>
      <c r="B577" s="7" t="s">
        <v>7990</v>
      </c>
      <c r="C577" s="12" t="n">
        <v>20</v>
      </c>
      <c r="D577" s="7" t="n">
        <v>18</v>
      </c>
      <c r="E577" s="13" t="n">
        <v>0</v>
      </c>
      <c r="F577" s="7" t="n">
        <v>1</v>
      </c>
      <c r="G577" s="7" t="s">
        <v>6815</v>
      </c>
      <c r="H577" s="7"/>
    </row>
    <row r="578" customFormat="false" ht="15" hidden="false" customHeight="true" outlineLevel="0" collapsed="false">
      <c r="A578" s="7" t="s">
        <v>6300</v>
      </c>
      <c r="B578" s="7" t="s">
        <v>7990</v>
      </c>
      <c r="C578" s="12" t="n">
        <v>20</v>
      </c>
      <c r="D578" s="7" t="n">
        <v>12</v>
      </c>
      <c r="E578" s="13" t="n">
        <v>0.78</v>
      </c>
      <c r="F578" s="7" t="n">
        <v>1</v>
      </c>
      <c r="G578" s="7" t="s">
        <v>6815</v>
      </c>
      <c r="H578" s="7"/>
    </row>
    <row r="579" customFormat="false" ht="15" hidden="false" customHeight="true" outlineLevel="0" collapsed="false">
      <c r="A579" s="7" t="s">
        <v>6337</v>
      </c>
      <c r="B579" s="7" t="s">
        <v>7990</v>
      </c>
      <c r="C579" s="12" t="n">
        <v>20</v>
      </c>
      <c r="D579" s="7" t="n">
        <v>12</v>
      </c>
      <c r="E579" s="13" t="n">
        <v>0.59</v>
      </c>
      <c r="F579" s="7" t="n">
        <v>1</v>
      </c>
      <c r="G579" s="7" t="s">
        <v>6815</v>
      </c>
      <c r="H579" s="7"/>
    </row>
    <row r="580" customFormat="false" ht="15" hidden="false" customHeight="true" outlineLevel="0" collapsed="false">
      <c r="A580" s="7" t="s">
        <v>6382</v>
      </c>
      <c r="B580" s="7" t="s">
        <v>7990</v>
      </c>
      <c r="C580" s="12" t="n">
        <v>20</v>
      </c>
      <c r="D580" s="7" t="n">
        <v>20</v>
      </c>
      <c r="E580" s="13" t="n">
        <v>0</v>
      </c>
      <c r="F580" s="7" t="n">
        <v>1</v>
      </c>
      <c r="G580" s="7" t="n">
        <v>8</v>
      </c>
      <c r="H580" s="7"/>
    </row>
    <row r="581" customFormat="false" ht="15" hidden="false" customHeight="true" outlineLevel="0" collapsed="false">
      <c r="A581" s="7" t="s">
        <v>6360</v>
      </c>
      <c r="B581" s="7" t="s">
        <v>7990</v>
      </c>
      <c r="C581" s="12" t="n">
        <v>20</v>
      </c>
      <c r="D581" s="7" t="n">
        <v>16</v>
      </c>
      <c r="E581" s="13" t="n">
        <v>0</v>
      </c>
      <c r="F581" s="7" t="n">
        <v>1</v>
      </c>
      <c r="G581" s="7" t="n">
        <v>8</v>
      </c>
      <c r="H581" s="7"/>
    </row>
    <row r="582" customFormat="false" ht="15" hidden="false" customHeight="true" outlineLevel="0" collapsed="false">
      <c r="A582" s="7" t="s">
        <v>1514</v>
      </c>
      <c r="B582" s="7" t="s">
        <v>7989</v>
      </c>
      <c r="C582" s="12" t="n">
        <v>20</v>
      </c>
      <c r="D582" s="7" t="n">
        <v>22</v>
      </c>
      <c r="E582" s="13" t="n">
        <v>0</v>
      </c>
      <c r="F582" s="7" t="n">
        <v>1</v>
      </c>
      <c r="G582" s="7" t="n">
        <v>8</v>
      </c>
      <c r="H582" s="7"/>
    </row>
    <row r="583" customFormat="false" ht="15" hidden="false" customHeight="true" outlineLevel="0" collapsed="false">
      <c r="A583" s="7" t="s">
        <v>1537</v>
      </c>
      <c r="B583" s="7" t="s">
        <v>7990</v>
      </c>
      <c r="C583" s="12" t="n">
        <v>20</v>
      </c>
      <c r="D583" s="7" t="n">
        <v>14</v>
      </c>
      <c r="E583" s="13" t="n">
        <v>0</v>
      </c>
      <c r="F583" s="7" t="n">
        <v>1</v>
      </c>
      <c r="G583" s="7" t="n">
        <v>8</v>
      </c>
      <c r="H583" s="7"/>
    </row>
    <row r="584" customFormat="false" ht="15" hidden="false" customHeight="true" outlineLevel="0" collapsed="false">
      <c r="A584" s="7" t="s">
        <v>6737</v>
      </c>
      <c r="B584" s="7" t="s">
        <v>7989</v>
      </c>
      <c r="C584" s="12" t="n">
        <v>20</v>
      </c>
      <c r="D584" s="7" t="n">
        <v>10</v>
      </c>
      <c r="E584" s="13" t="n">
        <v>0</v>
      </c>
      <c r="F584" s="7" t="n">
        <v>1</v>
      </c>
      <c r="G584" s="7" t="n">
        <v>3</v>
      </c>
      <c r="H584" s="7"/>
    </row>
    <row r="585" customFormat="false" ht="15" hidden="false" customHeight="true" outlineLevel="0" collapsed="false">
      <c r="A585" s="7" t="s">
        <v>6738</v>
      </c>
      <c r="B585" s="7" t="s">
        <v>7989</v>
      </c>
      <c r="C585" s="12" t="n">
        <v>20</v>
      </c>
      <c r="D585" s="7" t="n">
        <v>8</v>
      </c>
      <c r="E585" s="13" t="n">
        <v>0</v>
      </c>
      <c r="F585" s="7" t="n">
        <v>0.9</v>
      </c>
      <c r="G585" s="7" t="n">
        <v>3</v>
      </c>
      <c r="H585" s="7"/>
    </row>
    <row r="586" customFormat="false" ht="15" hidden="false" customHeight="true" outlineLevel="0" collapsed="false">
      <c r="A586" s="7" t="s">
        <v>1467</v>
      </c>
      <c r="B586" s="7" t="s">
        <v>7996</v>
      </c>
      <c r="C586" s="12" t="n">
        <v>20</v>
      </c>
      <c r="D586" s="7" t="n">
        <v>9</v>
      </c>
      <c r="E586" s="13" t="n">
        <v>0.3</v>
      </c>
      <c r="F586" s="7" t="n">
        <v>0.98</v>
      </c>
      <c r="G586" s="7" t="n">
        <v>8</v>
      </c>
      <c r="H586" s="7"/>
    </row>
    <row r="587" customFormat="false" ht="15" hidden="false" customHeight="true" outlineLevel="0" collapsed="false">
      <c r="A587" s="7" t="s">
        <v>1385</v>
      </c>
      <c r="B587" s="7" t="s">
        <v>7989</v>
      </c>
      <c r="C587" s="12" t="n">
        <v>20</v>
      </c>
      <c r="D587" s="7" t="n">
        <v>26</v>
      </c>
      <c r="E587" s="13" t="n">
        <v>0.55</v>
      </c>
      <c r="F587" s="7" t="n">
        <v>1</v>
      </c>
      <c r="G587" s="7" t="n">
        <v>8</v>
      </c>
      <c r="H587" s="7"/>
    </row>
    <row r="588" customFormat="false" ht="15" hidden="false" customHeight="true" outlineLevel="0" collapsed="false">
      <c r="A588" s="7" t="s">
        <v>6745</v>
      </c>
      <c r="B588" s="7" t="s">
        <v>7989</v>
      </c>
      <c r="C588" s="12" t="n">
        <v>20</v>
      </c>
      <c r="D588" s="7" t="n">
        <v>8</v>
      </c>
      <c r="E588" s="13" t="n">
        <v>0</v>
      </c>
      <c r="F588" s="7" t="n">
        <v>1</v>
      </c>
      <c r="G588" s="7" t="n">
        <v>3</v>
      </c>
      <c r="H588" s="7"/>
    </row>
    <row r="589" customFormat="false" ht="15" hidden="false" customHeight="true" outlineLevel="0" collapsed="false">
      <c r="A589" s="7" t="s">
        <v>6746</v>
      </c>
      <c r="B589" s="7" t="s">
        <v>7989</v>
      </c>
      <c r="C589" s="12" t="n">
        <v>20</v>
      </c>
      <c r="D589" s="7" t="n">
        <v>25</v>
      </c>
      <c r="E589" s="13" t="n">
        <v>0</v>
      </c>
      <c r="F589" s="7" t="n">
        <v>1</v>
      </c>
      <c r="G589" s="7" t="n">
        <v>3</v>
      </c>
      <c r="H589" s="7"/>
    </row>
    <row r="590" customFormat="false" ht="15" hidden="false" customHeight="true" outlineLevel="0" collapsed="false">
      <c r="A590" s="7" t="s">
        <v>6748</v>
      </c>
      <c r="B590" s="7" t="s">
        <v>7989</v>
      </c>
      <c r="C590" s="12" t="n">
        <v>20</v>
      </c>
      <c r="D590" s="7" t="n">
        <v>15</v>
      </c>
      <c r="E590" s="13" t="n">
        <v>0</v>
      </c>
      <c r="F590" s="7" t="n">
        <v>0.99</v>
      </c>
      <c r="G590" s="7" t="n">
        <v>3</v>
      </c>
      <c r="H590" s="7"/>
    </row>
    <row r="591" customFormat="false" ht="15" hidden="false" customHeight="true" outlineLevel="0" collapsed="false">
      <c r="A591" s="7" t="s">
        <v>6749</v>
      </c>
      <c r="B591" s="7" t="s">
        <v>7989</v>
      </c>
      <c r="C591" s="12" t="n">
        <v>20</v>
      </c>
      <c r="D591" s="7" t="n">
        <v>10</v>
      </c>
      <c r="E591" s="13" t="n">
        <v>0.29</v>
      </c>
      <c r="F591" s="7" t="n">
        <v>0.96</v>
      </c>
      <c r="G591" s="7" t="n">
        <v>3</v>
      </c>
      <c r="H591" s="7"/>
    </row>
    <row r="592" customFormat="false" ht="15" hidden="false" customHeight="true" outlineLevel="0" collapsed="false">
      <c r="A592" s="7" t="s">
        <v>1500</v>
      </c>
      <c r="B592" s="7" t="s">
        <v>7989</v>
      </c>
      <c r="C592" s="12" t="n">
        <v>20</v>
      </c>
      <c r="D592" s="7" t="n">
        <v>10</v>
      </c>
      <c r="E592" s="13" t="n">
        <v>0</v>
      </c>
      <c r="F592" s="7" t="n">
        <v>1</v>
      </c>
      <c r="G592" s="7" t="n">
        <v>8</v>
      </c>
      <c r="H592" s="7"/>
    </row>
    <row r="593" customFormat="false" ht="15" hidden="false" customHeight="true" outlineLevel="0" collapsed="false">
      <c r="A593" s="7" t="s">
        <v>1418</v>
      </c>
      <c r="B593" s="7" t="s">
        <v>7990</v>
      </c>
      <c r="C593" s="12" t="n">
        <v>20</v>
      </c>
      <c r="D593" s="7" t="n">
        <v>17</v>
      </c>
      <c r="E593" s="13" t="n">
        <v>0.34</v>
      </c>
      <c r="F593" s="7" t="n">
        <v>1</v>
      </c>
      <c r="G593" s="7" t="n">
        <v>8</v>
      </c>
      <c r="H593" s="7"/>
    </row>
    <row r="594" customFormat="false" ht="15" hidden="false" customHeight="true" outlineLevel="0" collapsed="false">
      <c r="A594" s="7" t="s">
        <v>247</v>
      </c>
      <c r="B594" s="7" t="s">
        <v>7993</v>
      </c>
      <c r="C594" s="12" t="n">
        <v>20</v>
      </c>
      <c r="D594" s="7" t="n">
        <v>33</v>
      </c>
      <c r="E594" s="13" t="n">
        <v>0</v>
      </c>
      <c r="F594" s="7" t="n">
        <v>1</v>
      </c>
      <c r="G594" s="7" t="n">
        <v>1</v>
      </c>
      <c r="H594" s="7"/>
    </row>
    <row r="595" customFormat="false" ht="15" hidden="false" customHeight="true" outlineLevel="0" collapsed="false">
      <c r="A595" s="7" t="s">
        <v>248</v>
      </c>
      <c r="B595" s="7" t="s">
        <v>7993</v>
      </c>
      <c r="C595" s="12" t="n">
        <v>20</v>
      </c>
      <c r="D595" s="7" t="n">
        <v>26</v>
      </c>
      <c r="E595" s="13" t="n">
        <v>0.36</v>
      </c>
      <c r="F595" s="7" t="n">
        <v>1</v>
      </c>
      <c r="G595" s="7" t="n">
        <v>1</v>
      </c>
      <c r="H595" s="7"/>
    </row>
    <row r="596" customFormat="false" ht="15" hidden="false" customHeight="true" outlineLevel="0" collapsed="false">
      <c r="A596" s="7" t="s">
        <v>6754</v>
      </c>
      <c r="B596" s="7" t="s">
        <v>7989</v>
      </c>
      <c r="C596" s="12" t="n">
        <v>20</v>
      </c>
      <c r="D596" s="7" t="n">
        <v>13</v>
      </c>
      <c r="E596" s="13" t="n">
        <v>0.47</v>
      </c>
      <c r="F596" s="7" t="n">
        <v>1</v>
      </c>
      <c r="G596" s="7" t="n">
        <v>3</v>
      </c>
      <c r="H596" s="7"/>
    </row>
    <row r="597" customFormat="false" ht="15" hidden="false" customHeight="true" outlineLevel="0" collapsed="false">
      <c r="A597" s="7" t="s">
        <v>6757</v>
      </c>
      <c r="B597" s="7" t="s">
        <v>7989</v>
      </c>
      <c r="C597" s="12" t="n">
        <v>20</v>
      </c>
      <c r="D597" s="7" t="n">
        <v>18</v>
      </c>
      <c r="E597" s="13" t="n">
        <v>0</v>
      </c>
      <c r="F597" s="7" t="n">
        <v>1</v>
      </c>
      <c r="G597" s="7" t="n">
        <v>3</v>
      </c>
      <c r="H597" s="7"/>
    </row>
    <row r="598" customFormat="false" ht="15" hidden="false" customHeight="true" outlineLevel="0" collapsed="false">
      <c r="A598" s="7" t="s">
        <v>6758</v>
      </c>
      <c r="B598" s="7" t="s">
        <v>7989</v>
      </c>
      <c r="C598" s="12" t="n">
        <v>20</v>
      </c>
      <c r="D598" s="7" t="n">
        <v>16</v>
      </c>
      <c r="E598" s="13" t="n">
        <v>0</v>
      </c>
      <c r="F598" s="7" t="n">
        <v>1</v>
      </c>
      <c r="G598" s="7" t="n">
        <v>3</v>
      </c>
      <c r="H598" s="7"/>
    </row>
    <row r="599" customFormat="false" ht="15" hidden="false" customHeight="true" outlineLevel="0" collapsed="false">
      <c r="A599" s="7" t="s">
        <v>251</v>
      </c>
      <c r="B599" s="7" t="s">
        <v>7995</v>
      </c>
      <c r="C599" s="12" t="n">
        <v>20</v>
      </c>
      <c r="D599" s="7" t="n">
        <v>26</v>
      </c>
      <c r="E599" s="13" t="n">
        <v>0.42</v>
      </c>
      <c r="F599" s="7" t="n">
        <v>1</v>
      </c>
      <c r="G599" s="7" t="n">
        <v>3</v>
      </c>
      <c r="H599" s="7"/>
    </row>
    <row r="600" customFormat="false" ht="15" hidden="false" customHeight="true" outlineLevel="0" collapsed="false">
      <c r="A600" s="7" t="s">
        <v>2424</v>
      </c>
      <c r="B600" s="7" t="s">
        <v>7990</v>
      </c>
      <c r="C600" s="12" t="n">
        <v>10</v>
      </c>
      <c r="D600" s="7" t="n">
        <v>8</v>
      </c>
      <c r="E600" s="13" t="n">
        <v>0</v>
      </c>
      <c r="F600" s="7" t="n">
        <v>0.33</v>
      </c>
      <c r="G600" s="7" t="n">
        <v>9</v>
      </c>
      <c r="H600" s="7"/>
    </row>
    <row r="601" customFormat="false" ht="15" hidden="false" customHeight="true" outlineLevel="0" collapsed="false">
      <c r="A601" s="7" t="s">
        <v>2504</v>
      </c>
      <c r="B601" s="7" t="s">
        <v>7989</v>
      </c>
      <c r="C601" s="12" t="n">
        <v>10</v>
      </c>
      <c r="D601" s="7" t="n">
        <v>9</v>
      </c>
      <c r="E601" s="13" t="n">
        <v>0</v>
      </c>
      <c r="F601" s="7" t="n">
        <v>1</v>
      </c>
      <c r="G601" s="7" t="n">
        <v>4</v>
      </c>
      <c r="H601" s="7"/>
    </row>
    <row r="602" customFormat="false" ht="15" hidden="false" customHeight="true" outlineLevel="0" collapsed="false">
      <c r="A602" s="7" t="s">
        <v>2624</v>
      </c>
      <c r="B602" s="7" t="s">
        <v>7989</v>
      </c>
      <c r="C602" s="12" t="n">
        <v>10</v>
      </c>
      <c r="D602" s="7" t="n">
        <v>7</v>
      </c>
      <c r="E602" s="13" t="n">
        <v>0</v>
      </c>
      <c r="F602" s="7" t="n">
        <v>1</v>
      </c>
      <c r="G602" s="7" t="n">
        <v>4</v>
      </c>
      <c r="H602" s="7"/>
    </row>
    <row r="603" customFormat="false" ht="15" hidden="false" customHeight="true" outlineLevel="0" collapsed="false">
      <c r="A603" s="7" t="s">
        <v>2637</v>
      </c>
      <c r="B603" s="7" t="s">
        <v>7989</v>
      </c>
      <c r="C603" s="12" t="n">
        <v>10</v>
      </c>
      <c r="D603" s="7" t="n">
        <v>9</v>
      </c>
      <c r="E603" s="13" t="n">
        <v>0</v>
      </c>
      <c r="F603" s="7" t="n">
        <v>1</v>
      </c>
      <c r="G603" s="7" t="s">
        <v>6815</v>
      </c>
      <c r="H603" s="7"/>
    </row>
    <row r="604" customFormat="false" ht="15" hidden="false" customHeight="true" outlineLevel="0" collapsed="false">
      <c r="A604" s="7" t="s">
        <v>2670</v>
      </c>
      <c r="B604" s="7" t="s">
        <v>7989</v>
      </c>
      <c r="C604" s="12" t="n">
        <v>10</v>
      </c>
      <c r="D604" s="7" t="n">
        <v>10</v>
      </c>
      <c r="E604" s="13" t="n">
        <v>0</v>
      </c>
      <c r="F604" s="7" t="n">
        <v>0.9</v>
      </c>
      <c r="G604" s="7" t="s">
        <v>6816</v>
      </c>
      <c r="H604" s="7"/>
    </row>
    <row r="605" customFormat="false" ht="15" hidden="false" customHeight="true" outlineLevel="0" collapsed="false">
      <c r="A605" s="7" t="s">
        <v>2667</v>
      </c>
      <c r="B605" s="7" t="s">
        <v>7989</v>
      </c>
      <c r="C605" s="12" t="n">
        <v>10</v>
      </c>
      <c r="D605" s="7" t="n">
        <v>17</v>
      </c>
      <c r="E605" s="13" t="n">
        <v>0</v>
      </c>
      <c r="F605" s="7" t="n">
        <v>1</v>
      </c>
      <c r="G605" s="7" t="n">
        <v>9</v>
      </c>
      <c r="H605" s="7"/>
    </row>
    <row r="606" customFormat="false" ht="15" hidden="false" customHeight="true" outlineLevel="0" collapsed="false">
      <c r="A606" s="7" t="s">
        <v>2634</v>
      </c>
      <c r="B606" s="7" t="s">
        <v>7996</v>
      </c>
      <c r="C606" s="12" t="n">
        <v>10</v>
      </c>
      <c r="D606" s="7" t="n">
        <v>10</v>
      </c>
      <c r="E606" s="13" t="n">
        <v>0</v>
      </c>
      <c r="F606" s="7" t="n">
        <v>0</v>
      </c>
      <c r="G606" s="7" t="n">
        <v>9</v>
      </c>
      <c r="H606" s="7"/>
    </row>
    <row r="607" customFormat="false" ht="15" hidden="false" customHeight="true" outlineLevel="0" collapsed="false">
      <c r="A607" s="7" t="s">
        <v>6474</v>
      </c>
      <c r="B607" s="7" t="s">
        <v>7990</v>
      </c>
      <c r="C607" s="12" t="n">
        <v>10</v>
      </c>
      <c r="D607" s="7" t="n">
        <v>24</v>
      </c>
      <c r="E607" s="13" t="n">
        <v>0.27</v>
      </c>
      <c r="F607" s="7" t="n">
        <v>1</v>
      </c>
      <c r="G607" s="7" t="n">
        <v>1</v>
      </c>
      <c r="H607" s="7"/>
    </row>
    <row r="608" customFormat="false" ht="15" hidden="false" customHeight="true" outlineLevel="0" collapsed="false">
      <c r="A608" s="7" t="s">
        <v>3058</v>
      </c>
      <c r="B608" s="7" t="s">
        <v>7989</v>
      </c>
      <c r="C608" s="12" t="n">
        <v>10</v>
      </c>
      <c r="D608" s="7" t="n">
        <v>13</v>
      </c>
      <c r="E608" s="13" t="n">
        <v>0</v>
      </c>
      <c r="F608" s="7" t="n">
        <v>1</v>
      </c>
      <c r="G608" s="7" t="s">
        <v>6815</v>
      </c>
      <c r="H608" s="7"/>
    </row>
    <row r="609" customFormat="false" ht="15" hidden="false" customHeight="true" outlineLevel="0" collapsed="false">
      <c r="A609" s="7" t="s">
        <v>3275</v>
      </c>
      <c r="B609" s="7" t="s">
        <v>7989</v>
      </c>
      <c r="C609" s="12" t="n">
        <v>10</v>
      </c>
      <c r="D609" s="7" t="n">
        <v>14</v>
      </c>
      <c r="E609" s="13" t="n">
        <v>0</v>
      </c>
      <c r="F609" s="7" t="n">
        <v>0</v>
      </c>
      <c r="G609" s="7" t="s">
        <v>6815</v>
      </c>
      <c r="H609" s="7"/>
    </row>
    <row r="610" customFormat="false" ht="15" hidden="false" customHeight="true" outlineLevel="0" collapsed="false">
      <c r="A610" s="7" t="s">
        <v>3309</v>
      </c>
      <c r="B610" s="7" t="s">
        <v>7989</v>
      </c>
      <c r="C610" s="12" t="n">
        <v>10</v>
      </c>
      <c r="D610" s="7" t="n">
        <v>17</v>
      </c>
      <c r="E610" s="13" t="n">
        <v>0</v>
      </c>
      <c r="F610" s="7" t="n">
        <v>1</v>
      </c>
      <c r="G610" s="7" t="s">
        <v>6815</v>
      </c>
      <c r="H610" s="7"/>
    </row>
    <row r="611" customFormat="false" ht="15" hidden="false" customHeight="true" outlineLevel="0" collapsed="false">
      <c r="A611" s="7" t="s">
        <v>3320</v>
      </c>
      <c r="B611" s="7" t="s">
        <v>7992</v>
      </c>
      <c r="C611" s="12" t="n">
        <v>10</v>
      </c>
      <c r="D611" s="7" t="n">
        <v>15</v>
      </c>
      <c r="E611" s="13" t="n">
        <v>0.44</v>
      </c>
      <c r="F611" s="7" t="n">
        <v>1</v>
      </c>
      <c r="G611" s="7" t="s">
        <v>6816</v>
      </c>
      <c r="H611" s="7"/>
    </row>
    <row r="612" customFormat="false" ht="15" hidden="false" customHeight="true" outlineLevel="0" collapsed="false">
      <c r="A612" s="7" t="s">
        <v>3447</v>
      </c>
      <c r="B612" s="7" t="s">
        <v>7990</v>
      </c>
      <c r="C612" s="12" t="n">
        <v>10</v>
      </c>
      <c r="D612" s="7" t="n">
        <v>12</v>
      </c>
      <c r="E612" s="13" t="n">
        <v>0</v>
      </c>
      <c r="F612" s="7" t="n">
        <v>1</v>
      </c>
      <c r="G612" s="7" t="n">
        <v>9</v>
      </c>
      <c r="H612" s="7"/>
    </row>
    <row r="613" customFormat="false" ht="15" hidden="false" customHeight="true" outlineLevel="0" collapsed="false">
      <c r="A613" s="7" t="s">
        <v>3463</v>
      </c>
      <c r="B613" s="7" t="s">
        <v>7989</v>
      </c>
      <c r="C613" s="12" t="n">
        <v>10</v>
      </c>
      <c r="D613" s="7" t="n">
        <v>9</v>
      </c>
      <c r="E613" s="13" t="n">
        <v>0</v>
      </c>
      <c r="F613" s="7" t="n">
        <v>1</v>
      </c>
      <c r="G613" s="7" t="s">
        <v>6815</v>
      </c>
      <c r="H613" s="7"/>
    </row>
    <row r="614" customFormat="false" ht="15" hidden="false" customHeight="true" outlineLevel="0" collapsed="false">
      <c r="A614" s="7" t="s">
        <v>2159</v>
      </c>
      <c r="B614" s="7" t="s">
        <v>7996</v>
      </c>
      <c r="C614" s="12" t="n">
        <v>10</v>
      </c>
      <c r="D614" s="7" t="n">
        <v>8</v>
      </c>
      <c r="E614" s="13" t="n">
        <v>0</v>
      </c>
      <c r="F614" s="7" t="n">
        <v>0</v>
      </c>
      <c r="G614" s="7" t="n">
        <v>5</v>
      </c>
      <c r="H614" s="7"/>
    </row>
    <row r="615" customFormat="false" ht="15" hidden="false" customHeight="true" outlineLevel="0" collapsed="false">
      <c r="A615" s="7" t="s">
        <v>252</v>
      </c>
      <c r="B615" s="7" t="s">
        <v>7996</v>
      </c>
      <c r="C615" s="12" t="n">
        <v>10</v>
      </c>
      <c r="D615" s="7" t="n">
        <v>15</v>
      </c>
      <c r="E615" s="13" t="n">
        <v>0</v>
      </c>
      <c r="F615" s="7" t="n">
        <v>0.33</v>
      </c>
      <c r="G615" s="7" t="n">
        <v>3</v>
      </c>
      <c r="H615" s="7"/>
    </row>
    <row r="616" customFormat="false" ht="15" hidden="false" customHeight="true" outlineLevel="0" collapsed="false">
      <c r="A616" s="7" t="s">
        <v>2099</v>
      </c>
      <c r="B616" s="7" t="s">
        <v>7996</v>
      </c>
      <c r="C616" s="12" t="n">
        <v>10</v>
      </c>
      <c r="D616" s="7" t="n">
        <v>22</v>
      </c>
      <c r="E616" s="13" t="n">
        <v>0</v>
      </c>
      <c r="F616" s="7" t="n">
        <v>1</v>
      </c>
      <c r="G616" s="7" t="n">
        <v>5</v>
      </c>
      <c r="H616" s="7"/>
    </row>
    <row r="617" customFormat="false" ht="15" hidden="false" customHeight="true" outlineLevel="0" collapsed="false">
      <c r="A617" s="7" t="s">
        <v>2044</v>
      </c>
      <c r="B617" s="7" t="s">
        <v>7996</v>
      </c>
      <c r="C617" s="12" t="n">
        <v>10</v>
      </c>
      <c r="D617" s="7" t="n">
        <v>9</v>
      </c>
      <c r="E617" s="13" t="n">
        <v>0</v>
      </c>
      <c r="F617" s="7" t="n">
        <v>1</v>
      </c>
      <c r="G617" s="7" t="n">
        <v>5</v>
      </c>
      <c r="H617" s="7"/>
    </row>
    <row r="618" customFormat="false" ht="15" hidden="false" customHeight="true" outlineLevel="0" collapsed="false">
      <c r="A618" s="7" t="s">
        <v>3633</v>
      </c>
      <c r="B618" s="7" t="s">
        <v>7989</v>
      </c>
      <c r="C618" s="12" t="n">
        <v>10</v>
      </c>
      <c r="D618" s="7" t="n">
        <v>11</v>
      </c>
      <c r="E618" s="13" t="n">
        <v>0</v>
      </c>
      <c r="F618" s="7" t="n">
        <v>1</v>
      </c>
      <c r="G618" s="7" t="n">
        <v>5</v>
      </c>
      <c r="H618" s="7"/>
    </row>
    <row r="619" customFormat="false" ht="15" hidden="false" customHeight="true" outlineLevel="0" collapsed="false">
      <c r="A619" s="7" t="s">
        <v>6518</v>
      </c>
      <c r="B619" s="7" t="s">
        <v>7989</v>
      </c>
      <c r="C619" s="12" t="n">
        <v>10</v>
      </c>
      <c r="D619" s="7" t="n">
        <v>14</v>
      </c>
      <c r="E619" s="13" t="n">
        <v>0.34</v>
      </c>
      <c r="F619" s="7" t="n">
        <v>1</v>
      </c>
      <c r="G619" s="7" t="n">
        <v>1</v>
      </c>
      <c r="H619" s="7"/>
    </row>
    <row r="620" customFormat="false" ht="15" hidden="false" customHeight="true" outlineLevel="0" collapsed="false">
      <c r="A620" s="7" t="s">
        <v>3964</v>
      </c>
      <c r="B620" s="7" t="s">
        <v>7992</v>
      </c>
      <c r="C620" s="12" t="n">
        <v>10</v>
      </c>
      <c r="D620" s="7" t="n">
        <v>12</v>
      </c>
      <c r="E620" s="13" t="n">
        <v>0</v>
      </c>
      <c r="F620" s="7" t="n">
        <v>1</v>
      </c>
      <c r="G620" s="7" t="n">
        <v>6</v>
      </c>
      <c r="H620" s="7"/>
    </row>
    <row r="621" customFormat="false" ht="15" hidden="false" customHeight="true" outlineLevel="0" collapsed="false">
      <c r="A621" s="7" t="s">
        <v>6686</v>
      </c>
      <c r="B621" s="7" t="s">
        <v>7990</v>
      </c>
      <c r="C621" s="12" t="n">
        <v>10</v>
      </c>
      <c r="D621" s="7" t="n">
        <v>16</v>
      </c>
      <c r="E621" s="13" t="n">
        <v>0</v>
      </c>
      <c r="F621" s="7" t="n">
        <v>1</v>
      </c>
      <c r="G621" s="7" t="n">
        <v>3</v>
      </c>
      <c r="H621" s="7"/>
    </row>
    <row r="622" customFormat="false" ht="15" hidden="false" customHeight="true" outlineLevel="0" collapsed="false">
      <c r="A622" s="7" t="s">
        <v>4059</v>
      </c>
      <c r="B622" s="7" t="s">
        <v>7993</v>
      </c>
      <c r="C622" s="12" t="n">
        <v>10</v>
      </c>
      <c r="D622" s="7" t="n">
        <v>25</v>
      </c>
      <c r="E622" s="13" t="n">
        <v>0</v>
      </c>
      <c r="F622" s="7" t="n">
        <v>0.86</v>
      </c>
      <c r="G622" s="7" t="n">
        <v>6</v>
      </c>
      <c r="H622" s="7"/>
    </row>
    <row r="623" customFormat="false" ht="15" hidden="false" customHeight="true" outlineLevel="0" collapsed="false">
      <c r="A623" s="7" t="s">
        <v>4194</v>
      </c>
      <c r="B623" s="7" t="s">
        <v>7990</v>
      </c>
      <c r="C623" s="12" t="n">
        <v>10</v>
      </c>
      <c r="D623" s="7" t="n">
        <v>1</v>
      </c>
      <c r="E623" s="13" t="n">
        <v>0</v>
      </c>
      <c r="F623" s="7" t="n">
        <v>0.33</v>
      </c>
      <c r="G623" s="7" t="n">
        <v>6</v>
      </c>
      <c r="H623" s="7"/>
    </row>
    <row r="624" customFormat="false" ht="15" hidden="false" customHeight="true" outlineLevel="0" collapsed="false">
      <c r="A624" s="7" t="s">
        <v>4242</v>
      </c>
      <c r="B624" s="7" t="s">
        <v>7996</v>
      </c>
      <c r="C624" s="12" t="n">
        <v>10</v>
      </c>
      <c r="D624" s="7" t="n">
        <v>22</v>
      </c>
      <c r="E624" s="13" t="n">
        <v>0</v>
      </c>
      <c r="F624" s="7" t="n">
        <v>0.92</v>
      </c>
      <c r="G624" s="7" t="n">
        <v>6</v>
      </c>
      <c r="H624" s="7"/>
    </row>
    <row r="625" customFormat="false" ht="15" hidden="false" customHeight="true" outlineLevel="0" collapsed="false">
      <c r="A625" s="7" t="s">
        <v>4308</v>
      </c>
      <c r="B625" s="7" t="s">
        <v>7996</v>
      </c>
      <c r="C625" s="12" t="n">
        <v>10</v>
      </c>
      <c r="D625" s="7" t="n">
        <v>14</v>
      </c>
      <c r="E625" s="13" t="n">
        <v>0</v>
      </c>
      <c r="F625" s="7" t="n">
        <v>1</v>
      </c>
      <c r="G625" s="7" t="n">
        <v>6</v>
      </c>
      <c r="H625" s="7"/>
    </row>
    <row r="626" customFormat="false" ht="15" hidden="false" customHeight="true" outlineLevel="0" collapsed="false">
      <c r="A626" s="7" t="s">
        <v>4766</v>
      </c>
      <c r="B626" s="7" t="s">
        <v>7989</v>
      </c>
      <c r="C626" s="12" t="n">
        <v>10</v>
      </c>
      <c r="D626" s="7" t="n">
        <v>13</v>
      </c>
      <c r="E626" s="13" t="n">
        <v>0.84</v>
      </c>
      <c r="F626" s="7" t="n">
        <v>1</v>
      </c>
      <c r="G626" s="7" t="n">
        <v>6</v>
      </c>
      <c r="H626" s="7"/>
    </row>
    <row r="627" customFormat="false" ht="15" hidden="false" customHeight="true" outlineLevel="0" collapsed="false">
      <c r="A627" s="7" t="s">
        <v>4870</v>
      </c>
      <c r="B627" s="7" t="s">
        <v>7992</v>
      </c>
      <c r="C627" s="12" t="n">
        <v>10</v>
      </c>
      <c r="D627" s="7" t="n">
        <v>8</v>
      </c>
      <c r="E627" s="13" t="n">
        <v>0</v>
      </c>
      <c r="F627" s="7" t="n">
        <v>1</v>
      </c>
      <c r="G627" s="7" t="n">
        <v>6</v>
      </c>
      <c r="H627" s="7"/>
    </row>
    <row r="628" customFormat="false" ht="15" hidden="false" customHeight="true" outlineLevel="0" collapsed="false">
      <c r="A628" s="7" t="s">
        <v>4978</v>
      </c>
      <c r="B628" s="7" t="s">
        <v>7992</v>
      </c>
      <c r="C628" s="12" t="n">
        <v>10</v>
      </c>
      <c r="D628" s="7" t="n">
        <v>9</v>
      </c>
      <c r="E628" s="13" t="n">
        <v>0</v>
      </c>
      <c r="F628" s="7" t="n">
        <v>0.16</v>
      </c>
      <c r="G628" s="7" t="n">
        <v>6</v>
      </c>
      <c r="H628" s="7"/>
    </row>
    <row r="629" customFormat="false" ht="15" hidden="false" customHeight="true" outlineLevel="0" collapsed="false">
      <c r="A629" s="7" t="s">
        <v>5255</v>
      </c>
      <c r="B629" s="7" t="s">
        <v>7989</v>
      </c>
      <c r="C629" s="12" t="n">
        <v>10</v>
      </c>
      <c r="D629" s="7" t="n">
        <v>6</v>
      </c>
      <c r="E629" s="13" t="n">
        <v>0</v>
      </c>
      <c r="F629" s="7" t="n">
        <v>1</v>
      </c>
      <c r="G629" s="7" t="n">
        <v>7</v>
      </c>
      <c r="H629" s="7"/>
    </row>
    <row r="630" customFormat="false" ht="15" hidden="false" customHeight="true" outlineLevel="0" collapsed="false">
      <c r="A630" s="7" t="s">
        <v>6708</v>
      </c>
      <c r="B630" s="7" t="s">
        <v>7990</v>
      </c>
      <c r="C630" s="12" t="n">
        <v>10</v>
      </c>
      <c r="D630" s="7" t="n">
        <v>6</v>
      </c>
      <c r="E630" s="13" t="n">
        <v>0</v>
      </c>
      <c r="F630" s="7" t="n">
        <v>0</v>
      </c>
      <c r="G630" s="7" t="n">
        <v>3</v>
      </c>
      <c r="H630" s="7"/>
    </row>
    <row r="631" customFormat="false" ht="15" hidden="false" customHeight="true" outlineLevel="0" collapsed="false">
      <c r="A631" s="7" t="s">
        <v>6614</v>
      </c>
      <c r="B631" s="7" t="s">
        <v>7989</v>
      </c>
      <c r="C631" s="12" t="n">
        <v>10</v>
      </c>
      <c r="D631" s="7" t="n">
        <v>13</v>
      </c>
      <c r="E631" s="13" t="n">
        <v>0</v>
      </c>
      <c r="F631" s="7" t="n">
        <v>1</v>
      </c>
      <c r="G631" s="7" t="n">
        <v>2</v>
      </c>
      <c r="H631" s="7"/>
    </row>
    <row r="632" customFormat="false" ht="15" hidden="false" customHeight="true" outlineLevel="0" collapsed="false">
      <c r="A632" s="7" t="s">
        <v>5660</v>
      </c>
      <c r="B632" s="7" t="s">
        <v>7992</v>
      </c>
      <c r="C632" s="12" t="n">
        <v>10</v>
      </c>
      <c r="D632" s="7" t="n">
        <v>5</v>
      </c>
      <c r="E632" s="13" t="n">
        <v>0</v>
      </c>
      <c r="F632" s="7" t="n">
        <v>0</v>
      </c>
      <c r="G632" s="7" t="n">
        <v>7</v>
      </c>
      <c r="H632" s="7"/>
    </row>
    <row r="633" customFormat="false" ht="15" hidden="false" customHeight="true" outlineLevel="0" collapsed="false">
      <c r="A633" s="7" t="s">
        <v>5823</v>
      </c>
      <c r="B633" s="7" t="s">
        <v>7989</v>
      </c>
      <c r="C633" s="12" t="n">
        <v>10</v>
      </c>
      <c r="D633" s="7" t="n">
        <v>16</v>
      </c>
      <c r="E633" s="13" t="n">
        <v>0</v>
      </c>
      <c r="F633" s="7" t="n">
        <v>0.6</v>
      </c>
      <c r="G633" s="7" t="n">
        <v>7</v>
      </c>
      <c r="H633" s="7"/>
    </row>
    <row r="634" customFormat="false" ht="15" hidden="false" customHeight="true" outlineLevel="0" collapsed="false">
      <c r="A634" s="7" t="s">
        <v>5790</v>
      </c>
      <c r="B634" s="7" t="s">
        <v>7990</v>
      </c>
      <c r="C634" s="12" t="n">
        <v>10</v>
      </c>
      <c r="D634" s="7" t="n">
        <v>16</v>
      </c>
      <c r="E634" s="13" t="n">
        <v>0</v>
      </c>
      <c r="F634" s="7" t="n">
        <v>0</v>
      </c>
      <c r="G634" s="7" t="n">
        <v>7</v>
      </c>
      <c r="H634" s="7"/>
    </row>
    <row r="635" customFormat="false" ht="15" hidden="false" customHeight="true" outlineLevel="0" collapsed="false">
      <c r="A635" s="7" t="s">
        <v>5812</v>
      </c>
      <c r="B635" s="7" t="s">
        <v>7990</v>
      </c>
      <c r="C635" s="12" t="n">
        <v>10</v>
      </c>
      <c r="D635" s="7" t="n">
        <v>3</v>
      </c>
      <c r="E635" s="13" t="n">
        <v>0</v>
      </c>
      <c r="F635" s="7" t="n">
        <v>0.33</v>
      </c>
      <c r="G635" s="7" t="n">
        <v>7</v>
      </c>
      <c r="H635" s="7"/>
    </row>
    <row r="636" customFormat="false" ht="15" hidden="false" customHeight="true" outlineLevel="0" collapsed="false">
      <c r="A636" s="7" t="s">
        <v>6157</v>
      </c>
      <c r="B636" s="7" t="s">
        <v>7994</v>
      </c>
      <c r="C636" s="12" t="n">
        <v>10</v>
      </c>
      <c r="D636" s="7" t="n">
        <v>12</v>
      </c>
      <c r="E636" s="13" t="n">
        <v>0</v>
      </c>
      <c r="F636" s="7" t="n">
        <v>0</v>
      </c>
      <c r="G636" s="7" t="n">
        <v>8</v>
      </c>
      <c r="H636" s="7"/>
    </row>
    <row r="637" customFormat="false" ht="15" hidden="false" customHeight="true" outlineLevel="0" collapsed="false">
      <c r="A637" s="7" t="s">
        <v>6324</v>
      </c>
      <c r="B637" s="7" t="s">
        <v>7996</v>
      </c>
      <c r="C637" s="12" t="n">
        <v>10</v>
      </c>
      <c r="D637" s="7" t="n">
        <v>15</v>
      </c>
      <c r="E637" s="13" t="n">
        <v>0.52</v>
      </c>
      <c r="F637" s="7" t="n">
        <v>1</v>
      </c>
      <c r="G637" s="7" t="s">
        <v>6815</v>
      </c>
      <c r="H637" s="7"/>
    </row>
    <row r="638" customFormat="false" ht="15" hidden="false" customHeight="true" outlineLevel="0" collapsed="false">
      <c r="A638" s="7" t="s">
        <v>1460</v>
      </c>
      <c r="B638" s="7" t="s">
        <v>7989</v>
      </c>
      <c r="C638" s="12" t="n">
        <v>10</v>
      </c>
      <c r="D638" s="7" t="n">
        <v>16</v>
      </c>
      <c r="E638" s="13" t="n">
        <v>0</v>
      </c>
      <c r="F638" s="7" t="n">
        <v>0.33</v>
      </c>
      <c r="G638" s="7" t="n">
        <v>8</v>
      </c>
      <c r="H638" s="7"/>
    </row>
    <row r="639" customFormat="false" ht="15" hidden="false" customHeight="true" outlineLevel="0" collapsed="false">
      <c r="A639" s="7" t="s">
        <v>1486</v>
      </c>
      <c r="B639" s="7" t="s">
        <v>7989</v>
      </c>
      <c r="C639" s="12" t="n">
        <v>10</v>
      </c>
      <c r="D639" s="7" t="n">
        <v>7</v>
      </c>
      <c r="E639" s="13" t="n">
        <v>0</v>
      </c>
      <c r="F639" s="7" t="n">
        <v>0.5</v>
      </c>
      <c r="G639" s="7" t="n">
        <v>8</v>
      </c>
      <c r="H639" s="7"/>
    </row>
    <row r="640" customFormat="false" ht="15" hidden="false" customHeight="true" outlineLevel="0" collapsed="false">
      <c r="A640" s="7" t="s">
        <v>2398</v>
      </c>
      <c r="B640" s="7" t="s">
        <v>7990</v>
      </c>
      <c r="C640" s="12" t="n">
        <v>0</v>
      </c>
      <c r="D640" s="7" t="n">
        <v>22</v>
      </c>
      <c r="E640" s="13"/>
      <c r="F640" s="7"/>
      <c r="G640" s="7" t="n">
        <v>9</v>
      </c>
      <c r="H640" s="7" t="s">
        <v>7998</v>
      </c>
    </row>
    <row r="641" customFormat="false" ht="15" hidden="false" customHeight="true" outlineLevel="0" collapsed="false">
      <c r="A641" s="7" t="s">
        <v>2410</v>
      </c>
      <c r="B641" s="7" t="s">
        <v>7990</v>
      </c>
      <c r="C641" s="12" t="n">
        <v>0</v>
      </c>
      <c r="D641" s="7" t="n">
        <v>19</v>
      </c>
      <c r="E641" s="13"/>
      <c r="F641" s="7"/>
      <c r="G641" s="7" t="n">
        <v>9</v>
      </c>
      <c r="H641" s="7" t="s">
        <v>7998</v>
      </c>
    </row>
    <row r="642" customFormat="false" ht="15" hidden="false" customHeight="true" outlineLevel="0" collapsed="false">
      <c r="A642" s="7" t="s">
        <v>6451</v>
      </c>
      <c r="B642" s="7" t="s">
        <v>7989</v>
      </c>
      <c r="C642" s="12" t="n">
        <v>0</v>
      </c>
      <c r="D642" s="7" t="n">
        <v>20</v>
      </c>
      <c r="E642" s="13"/>
      <c r="F642" s="7"/>
      <c r="G642" s="7" t="n">
        <v>1</v>
      </c>
      <c r="H642" s="7" t="s">
        <v>7998</v>
      </c>
    </row>
    <row r="643" customFormat="false" ht="15" hidden="false" customHeight="true" outlineLevel="0" collapsed="false">
      <c r="A643" s="7" t="s">
        <v>2495</v>
      </c>
      <c r="B643" s="7" t="s">
        <v>7989</v>
      </c>
      <c r="C643" s="12" t="n">
        <v>0</v>
      </c>
      <c r="D643" s="7" t="n">
        <v>16</v>
      </c>
      <c r="E643" s="13"/>
      <c r="F643" s="7"/>
      <c r="G643" s="7" t="n">
        <v>9</v>
      </c>
      <c r="H643" s="7" t="s">
        <v>7998</v>
      </c>
    </row>
    <row r="644" customFormat="false" ht="15" hidden="false" customHeight="true" outlineLevel="0" collapsed="false">
      <c r="A644" s="7" t="s">
        <v>2437</v>
      </c>
      <c r="B644" s="7" t="s">
        <v>7990</v>
      </c>
      <c r="C644" s="12" t="n">
        <v>0</v>
      </c>
      <c r="D644" s="7" t="n">
        <v>16</v>
      </c>
      <c r="E644" s="13"/>
      <c r="F644" s="7"/>
      <c r="G644" s="7" t="n">
        <v>9</v>
      </c>
      <c r="H644" s="7" t="s">
        <v>7998</v>
      </c>
    </row>
    <row r="645" customFormat="false" ht="15" hidden="false" customHeight="true" outlineLevel="0" collapsed="false">
      <c r="A645" s="7" t="s">
        <v>2505</v>
      </c>
      <c r="B645" s="7" t="s">
        <v>7989</v>
      </c>
      <c r="C645" s="12" t="n">
        <v>0</v>
      </c>
      <c r="D645" s="7" t="n">
        <v>16</v>
      </c>
      <c r="E645" s="13"/>
      <c r="F645" s="7"/>
      <c r="G645" s="7" t="n">
        <v>9</v>
      </c>
      <c r="H645" s="7" t="s">
        <v>7998</v>
      </c>
    </row>
    <row r="646" customFormat="false" ht="15" hidden="false" customHeight="true" outlineLevel="0" collapsed="false">
      <c r="A646" s="7" t="s">
        <v>2451</v>
      </c>
      <c r="B646" s="7" t="s">
        <v>7989</v>
      </c>
      <c r="C646" s="12" t="n">
        <v>0</v>
      </c>
      <c r="D646" s="7" t="n">
        <v>10</v>
      </c>
      <c r="E646" s="13" t="n">
        <v>0</v>
      </c>
      <c r="F646" s="7" t="n">
        <v>0</v>
      </c>
      <c r="G646" s="7" t="s">
        <v>6816</v>
      </c>
      <c r="H646" s="7"/>
    </row>
    <row r="647" customFormat="false" ht="15" hidden="false" customHeight="true" outlineLevel="0" collapsed="false">
      <c r="A647" s="7" t="s">
        <v>2448</v>
      </c>
      <c r="B647" s="7" t="s">
        <v>7990</v>
      </c>
      <c r="C647" s="12" t="n">
        <v>0</v>
      </c>
      <c r="D647" s="7" t="n">
        <v>16</v>
      </c>
      <c r="E647" s="13"/>
      <c r="F647" s="7"/>
      <c r="G647" s="7" t="n">
        <v>9</v>
      </c>
      <c r="H647" s="7" t="s">
        <v>7998</v>
      </c>
    </row>
    <row r="648" customFormat="false" ht="15" hidden="false" customHeight="true" outlineLevel="0" collapsed="false">
      <c r="A648" s="7" t="s">
        <v>2470</v>
      </c>
      <c r="B648" s="7" t="s">
        <v>7990</v>
      </c>
      <c r="C648" s="12" t="n">
        <v>0</v>
      </c>
      <c r="D648" s="7" t="n">
        <v>12</v>
      </c>
      <c r="E648" s="13" t="n">
        <v>0</v>
      </c>
      <c r="F648" s="7" t="n">
        <v>0</v>
      </c>
      <c r="G648" s="7" t="n">
        <v>9</v>
      </c>
      <c r="H648" s="7"/>
    </row>
    <row r="649" customFormat="false" ht="15" hidden="false" customHeight="true" outlineLevel="0" collapsed="false">
      <c r="A649" s="7" t="s">
        <v>2514</v>
      </c>
      <c r="B649" s="7" t="s">
        <v>7989</v>
      </c>
      <c r="C649" s="12" t="n">
        <v>0</v>
      </c>
      <c r="D649" s="7" t="n">
        <v>9</v>
      </c>
      <c r="E649" s="13"/>
      <c r="F649" s="7"/>
      <c r="G649" s="7" t="n">
        <v>9</v>
      </c>
      <c r="H649" s="7" t="s">
        <v>7998</v>
      </c>
    </row>
    <row r="650" customFormat="false" ht="15" hidden="false" customHeight="true" outlineLevel="0" collapsed="false">
      <c r="A650" s="7" t="s">
        <v>2527</v>
      </c>
      <c r="B650" s="7" t="s">
        <v>7996</v>
      </c>
      <c r="C650" s="12" t="n">
        <v>0</v>
      </c>
      <c r="D650" s="7" t="n">
        <v>16</v>
      </c>
      <c r="E650" s="13"/>
      <c r="F650" s="7"/>
      <c r="G650" s="7" t="n">
        <v>9</v>
      </c>
      <c r="H650" s="7" t="s">
        <v>7998</v>
      </c>
    </row>
    <row r="651" customFormat="false" ht="15" hidden="false" customHeight="true" outlineLevel="0" collapsed="false">
      <c r="A651" s="7" t="s">
        <v>2540</v>
      </c>
      <c r="B651" s="7" t="s">
        <v>7992</v>
      </c>
      <c r="C651" s="12" t="n">
        <v>0</v>
      </c>
      <c r="D651" s="7" t="n">
        <v>9</v>
      </c>
      <c r="E651" s="13"/>
      <c r="F651" s="7"/>
      <c r="G651" s="7" t="n">
        <v>9</v>
      </c>
      <c r="H651" s="7" t="s">
        <v>7998</v>
      </c>
    </row>
    <row r="652" customFormat="false" ht="15" hidden="false" customHeight="true" outlineLevel="0" collapsed="false">
      <c r="A652" s="7" t="s">
        <v>2552</v>
      </c>
      <c r="B652" s="7" t="s">
        <v>7990</v>
      </c>
      <c r="C652" s="12" t="n">
        <v>0</v>
      </c>
      <c r="D652" s="7" t="n">
        <v>18</v>
      </c>
      <c r="E652" s="13"/>
      <c r="F652" s="7"/>
      <c r="G652" s="7" t="n">
        <v>9</v>
      </c>
      <c r="H652" s="7" t="s">
        <v>7998</v>
      </c>
    </row>
    <row r="653" customFormat="false" ht="15" hidden="false" customHeight="true" outlineLevel="0" collapsed="false">
      <c r="A653" s="7" t="s">
        <v>2679</v>
      </c>
      <c r="B653" s="7" t="s">
        <v>7995</v>
      </c>
      <c r="C653" s="12" t="n">
        <v>0</v>
      </c>
      <c r="D653" s="7" t="n">
        <v>13</v>
      </c>
      <c r="E653" s="13"/>
      <c r="F653" s="7"/>
      <c r="G653" s="7" t="n">
        <v>9</v>
      </c>
      <c r="H653" s="7" t="s">
        <v>7998</v>
      </c>
    </row>
    <row r="654" customFormat="false" ht="15" hidden="false" customHeight="true" outlineLevel="0" collapsed="false">
      <c r="A654" s="7" t="s">
        <v>2581</v>
      </c>
      <c r="B654" s="7" t="s">
        <v>7996</v>
      </c>
      <c r="C654" s="12" t="n">
        <v>0</v>
      </c>
      <c r="D654" s="7" t="n">
        <v>10</v>
      </c>
      <c r="E654" s="13"/>
      <c r="F654" s="7"/>
      <c r="G654" s="7" t="n">
        <v>9</v>
      </c>
      <c r="H654" s="7" t="s">
        <v>7998</v>
      </c>
    </row>
    <row r="655" customFormat="false" ht="15" hidden="false" customHeight="true" outlineLevel="0" collapsed="false">
      <c r="A655" s="7" t="s">
        <v>2602</v>
      </c>
      <c r="B655" s="7" t="s">
        <v>7989</v>
      </c>
      <c r="C655" s="12" t="n">
        <v>0</v>
      </c>
      <c r="D655" s="7" t="n">
        <v>14</v>
      </c>
      <c r="E655" s="13"/>
      <c r="F655" s="7"/>
      <c r="G655" s="7" t="n">
        <v>9</v>
      </c>
      <c r="H655" s="7" t="s">
        <v>7998</v>
      </c>
    </row>
    <row r="656" customFormat="false" ht="15" hidden="false" customHeight="true" outlineLevel="0" collapsed="false">
      <c r="A656" s="7" t="s">
        <v>2625</v>
      </c>
      <c r="B656" s="7" t="s">
        <v>7990</v>
      </c>
      <c r="C656" s="12" t="n">
        <v>0</v>
      </c>
      <c r="D656" s="7" t="n">
        <v>11</v>
      </c>
      <c r="E656" s="13"/>
      <c r="F656" s="7"/>
      <c r="G656" s="7" t="n">
        <v>9</v>
      </c>
      <c r="H656" s="7" t="s">
        <v>7998</v>
      </c>
    </row>
    <row r="657" customFormat="false" ht="15" hidden="false" customHeight="true" outlineLevel="0" collapsed="false">
      <c r="A657" s="7" t="s">
        <v>2648</v>
      </c>
      <c r="B657" s="7" t="s">
        <v>7989</v>
      </c>
      <c r="C657" s="12" t="n">
        <v>0</v>
      </c>
      <c r="D657" s="7" t="n">
        <v>13</v>
      </c>
      <c r="E657" s="13"/>
      <c r="F657" s="7"/>
      <c r="G657" s="7" t="s">
        <v>6816</v>
      </c>
      <c r="H657" s="7" t="s">
        <v>7998</v>
      </c>
    </row>
    <row r="658" customFormat="false" ht="15" hidden="false" customHeight="true" outlineLevel="0" collapsed="false">
      <c r="A658" s="7" t="s">
        <v>2645</v>
      </c>
      <c r="B658" s="7" t="s">
        <v>7996</v>
      </c>
      <c r="C658" s="12" t="n">
        <v>0</v>
      </c>
      <c r="D658" s="7" t="n">
        <v>17</v>
      </c>
      <c r="E658" s="13"/>
      <c r="F658" s="7"/>
      <c r="G658" s="7" t="n">
        <v>9</v>
      </c>
      <c r="H658" s="7" t="s">
        <v>7998</v>
      </c>
    </row>
    <row r="659" customFormat="false" ht="15" hidden="false" customHeight="true" outlineLevel="0" collapsed="false">
      <c r="A659" s="7" t="s">
        <v>2656</v>
      </c>
      <c r="B659" s="7" t="s">
        <v>7996</v>
      </c>
      <c r="C659" s="12" t="n">
        <v>0</v>
      </c>
      <c r="D659" s="7" t="n">
        <v>12</v>
      </c>
      <c r="E659" s="13"/>
      <c r="F659" s="7"/>
      <c r="G659" s="7" t="n">
        <v>9</v>
      </c>
      <c r="H659" s="7" t="s">
        <v>7998</v>
      </c>
    </row>
    <row r="660" customFormat="false" ht="15" hidden="false" customHeight="true" outlineLevel="0" collapsed="false">
      <c r="A660" s="7" t="s">
        <v>6457</v>
      </c>
      <c r="B660" s="7" t="s">
        <v>7989</v>
      </c>
      <c r="C660" s="12" t="n">
        <v>0</v>
      </c>
      <c r="D660" s="7" t="n">
        <v>2</v>
      </c>
      <c r="E660" s="13" t="n">
        <v>0</v>
      </c>
      <c r="F660" s="7" t="n">
        <v>1</v>
      </c>
      <c r="G660" s="7" t="n">
        <v>1</v>
      </c>
      <c r="H660" s="7"/>
    </row>
    <row r="661" customFormat="false" ht="15" hidden="false" customHeight="true" outlineLevel="0" collapsed="false">
      <c r="A661" s="7" t="s">
        <v>6461</v>
      </c>
      <c r="B661" s="7" t="s">
        <v>7990</v>
      </c>
      <c r="C661" s="12" t="n">
        <v>0</v>
      </c>
      <c r="D661" s="7" t="n">
        <v>15</v>
      </c>
      <c r="E661" s="13"/>
      <c r="F661" s="7"/>
      <c r="G661" s="7" t="n">
        <v>1</v>
      </c>
      <c r="H661" s="7" t="s">
        <v>7998</v>
      </c>
    </row>
    <row r="662" customFormat="false" ht="15" hidden="false" customHeight="true" outlineLevel="0" collapsed="false">
      <c r="A662" s="7" t="s">
        <v>2691</v>
      </c>
      <c r="B662" s="7" t="s">
        <v>7992</v>
      </c>
      <c r="C662" s="12" t="n">
        <v>0</v>
      </c>
      <c r="D662" s="7" t="n">
        <v>17</v>
      </c>
      <c r="E662" s="13"/>
      <c r="F662" s="7"/>
      <c r="G662" s="7" t="n">
        <v>4</v>
      </c>
      <c r="H662" s="7" t="s">
        <v>7998</v>
      </c>
    </row>
    <row r="663" customFormat="false" ht="15" hidden="false" customHeight="true" outlineLevel="0" collapsed="false">
      <c r="A663" s="7" t="s">
        <v>2692</v>
      </c>
      <c r="B663" s="7" t="s">
        <v>7992</v>
      </c>
      <c r="C663" s="12" t="n">
        <v>0</v>
      </c>
      <c r="D663" s="7" t="n">
        <v>17</v>
      </c>
      <c r="E663" s="13"/>
      <c r="F663" s="7"/>
      <c r="G663" s="7" t="n">
        <v>9</v>
      </c>
      <c r="H663" s="7" t="s">
        <v>7998</v>
      </c>
    </row>
    <row r="664" customFormat="false" ht="15" hidden="false" customHeight="true" outlineLevel="0" collapsed="false">
      <c r="A664" s="7" t="s">
        <v>2705</v>
      </c>
      <c r="B664" s="7" t="s">
        <v>7992</v>
      </c>
      <c r="C664" s="12" t="n">
        <v>0</v>
      </c>
      <c r="D664" s="7" t="n">
        <v>12</v>
      </c>
      <c r="E664" s="13"/>
      <c r="F664" s="7"/>
      <c r="G664" s="7" t="n">
        <v>4</v>
      </c>
      <c r="H664" s="7" t="s">
        <v>7998</v>
      </c>
    </row>
    <row r="665" customFormat="false" ht="15" hidden="false" customHeight="true" outlineLevel="0" collapsed="false">
      <c r="A665" s="7" t="s">
        <v>2706</v>
      </c>
      <c r="B665" s="7" t="s">
        <v>7992</v>
      </c>
      <c r="C665" s="12" t="n">
        <v>0</v>
      </c>
      <c r="D665" s="7" t="n">
        <v>11</v>
      </c>
      <c r="E665" s="13"/>
      <c r="F665" s="7"/>
      <c r="G665" s="7" t="n">
        <v>9</v>
      </c>
      <c r="H665" s="7" t="s">
        <v>7998</v>
      </c>
    </row>
    <row r="666" customFormat="false" ht="15" hidden="false" customHeight="true" outlineLevel="0" collapsed="false">
      <c r="A666" s="7" t="s">
        <v>2718</v>
      </c>
      <c r="B666" s="7" t="s">
        <v>7995</v>
      </c>
      <c r="C666" s="12" t="n">
        <v>0</v>
      </c>
      <c r="D666" s="7" t="n">
        <v>3</v>
      </c>
      <c r="E666" s="13" t="n">
        <v>0</v>
      </c>
      <c r="F666" s="7" t="n">
        <v>0</v>
      </c>
      <c r="G666" s="7" t="n">
        <v>4</v>
      </c>
      <c r="H666" s="7"/>
    </row>
    <row r="667" customFormat="false" ht="15" hidden="false" customHeight="true" outlineLevel="0" collapsed="false">
      <c r="A667" s="7" t="s">
        <v>2719</v>
      </c>
      <c r="B667" s="7" t="s">
        <v>7995</v>
      </c>
      <c r="C667" s="12" t="n">
        <v>0</v>
      </c>
      <c r="D667" s="7" t="n">
        <v>11</v>
      </c>
      <c r="E667" s="13"/>
      <c r="F667" s="7"/>
      <c r="G667" s="7" t="n">
        <v>9</v>
      </c>
      <c r="H667" s="7" t="s">
        <v>7998</v>
      </c>
    </row>
    <row r="668" customFormat="false" ht="15" hidden="false" customHeight="true" outlineLevel="0" collapsed="false">
      <c r="A668" s="7" t="s">
        <v>2730</v>
      </c>
      <c r="B668" s="7" t="s">
        <v>7992</v>
      </c>
      <c r="C668" s="12" t="n">
        <v>0</v>
      </c>
      <c r="D668" s="7" t="n">
        <v>12</v>
      </c>
      <c r="E668" s="13"/>
      <c r="F668" s="7"/>
      <c r="G668" s="7" t="n">
        <v>4</v>
      </c>
      <c r="H668" s="7" t="s">
        <v>7998</v>
      </c>
    </row>
    <row r="669" customFormat="false" ht="15" hidden="false" customHeight="true" outlineLevel="0" collapsed="false">
      <c r="A669" s="7" t="s">
        <v>2731</v>
      </c>
      <c r="B669" s="7" t="s">
        <v>7992</v>
      </c>
      <c r="C669" s="12" t="n">
        <v>0</v>
      </c>
      <c r="D669" s="7" t="n">
        <v>11</v>
      </c>
      <c r="E669" s="13"/>
      <c r="F669" s="7"/>
      <c r="G669" s="7" t="n">
        <v>9</v>
      </c>
      <c r="H669" s="7" t="s">
        <v>7998</v>
      </c>
    </row>
    <row r="670" customFormat="false" ht="15" hidden="false" customHeight="true" outlineLevel="0" collapsed="false">
      <c r="A670" s="7" t="s">
        <v>2743</v>
      </c>
      <c r="B670" s="7" t="s">
        <v>7992</v>
      </c>
      <c r="C670" s="12" t="n">
        <v>0</v>
      </c>
      <c r="D670" s="7" t="n">
        <v>12</v>
      </c>
      <c r="E670" s="13"/>
      <c r="F670" s="7"/>
      <c r="G670" s="7" t="n">
        <v>4</v>
      </c>
      <c r="H670" s="7" t="s">
        <v>7998</v>
      </c>
    </row>
    <row r="671" customFormat="false" ht="15" hidden="false" customHeight="true" outlineLevel="0" collapsed="false">
      <c r="A671" s="7" t="s">
        <v>2744</v>
      </c>
      <c r="B671" s="7" t="s">
        <v>7992</v>
      </c>
      <c r="C671" s="12" t="n">
        <v>0</v>
      </c>
      <c r="D671" s="7" t="n">
        <v>16</v>
      </c>
      <c r="E671" s="13"/>
      <c r="F671" s="7"/>
      <c r="G671" s="7" t="n">
        <v>9</v>
      </c>
      <c r="H671" s="7" t="s">
        <v>7998</v>
      </c>
    </row>
    <row r="672" customFormat="false" ht="15" hidden="false" customHeight="true" outlineLevel="0" collapsed="false">
      <c r="A672" s="7" t="s">
        <v>2761</v>
      </c>
      <c r="B672" s="7" t="s">
        <v>7990</v>
      </c>
      <c r="C672" s="12" t="n">
        <v>0</v>
      </c>
      <c r="D672" s="7" t="n">
        <v>9</v>
      </c>
      <c r="E672" s="13" t="n">
        <v>0</v>
      </c>
      <c r="F672" s="7" t="n">
        <v>0</v>
      </c>
      <c r="G672" s="7" t="n">
        <v>9</v>
      </c>
      <c r="H672" s="7"/>
    </row>
    <row r="673" customFormat="false" ht="15" hidden="false" customHeight="true" outlineLevel="0" collapsed="false">
      <c r="A673" s="7" t="s">
        <v>2775</v>
      </c>
      <c r="B673" s="7" t="s">
        <v>7990</v>
      </c>
      <c r="C673" s="12" t="n">
        <v>0</v>
      </c>
      <c r="D673" s="7" t="n">
        <v>9</v>
      </c>
      <c r="E673" s="13"/>
      <c r="F673" s="7"/>
      <c r="G673" s="7" t="n">
        <v>4</v>
      </c>
      <c r="H673" s="7" t="s">
        <v>7998</v>
      </c>
    </row>
    <row r="674" customFormat="false" ht="15" hidden="false" customHeight="true" outlineLevel="0" collapsed="false">
      <c r="A674" s="7" t="s">
        <v>2776</v>
      </c>
      <c r="B674" s="7" t="s">
        <v>7990</v>
      </c>
      <c r="C674" s="12" t="n">
        <v>0</v>
      </c>
      <c r="D674" s="7" t="n">
        <v>8</v>
      </c>
      <c r="E674" s="13"/>
      <c r="F674" s="7"/>
      <c r="G674" s="7" t="n">
        <v>9</v>
      </c>
      <c r="H674" s="7" t="s">
        <v>7998</v>
      </c>
    </row>
    <row r="675" customFormat="false" ht="15" hidden="false" customHeight="true" outlineLevel="0" collapsed="false">
      <c r="A675" s="7" t="s">
        <v>2786</v>
      </c>
      <c r="B675" s="7" t="s">
        <v>7990</v>
      </c>
      <c r="C675" s="12" t="n">
        <v>0</v>
      </c>
      <c r="D675" s="7" t="n">
        <v>17</v>
      </c>
      <c r="E675" s="13"/>
      <c r="F675" s="7"/>
      <c r="G675" s="7" t="n">
        <v>4</v>
      </c>
      <c r="H675" s="7" t="s">
        <v>7998</v>
      </c>
    </row>
    <row r="676" customFormat="false" ht="15" hidden="false" customHeight="true" outlineLevel="0" collapsed="false">
      <c r="A676" s="7" t="s">
        <v>2787</v>
      </c>
      <c r="B676" s="7" t="s">
        <v>7990</v>
      </c>
      <c r="C676" s="12" t="n">
        <v>0</v>
      </c>
      <c r="D676" s="7" t="n">
        <v>8</v>
      </c>
      <c r="E676" s="13"/>
      <c r="F676" s="7"/>
      <c r="G676" s="7" t="n">
        <v>9</v>
      </c>
      <c r="H676" s="7" t="s">
        <v>7998</v>
      </c>
    </row>
    <row r="677" customFormat="false" ht="15" hidden="false" customHeight="true" outlineLevel="0" collapsed="false">
      <c r="A677" s="7" t="s">
        <v>2798</v>
      </c>
      <c r="B677" s="7" t="s">
        <v>7990</v>
      </c>
      <c r="C677" s="12" t="n">
        <v>0</v>
      </c>
      <c r="D677" s="7" t="n">
        <v>11</v>
      </c>
      <c r="E677" s="13"/>
      <c r="F677" s="7"/>
      <c r="G677" s="7" t="n">
        <v>9</v>
      </c>
      <c r="H677" s="7" t="s">
        <v>7998</v>
      </c>
    </row>
    <row r="678" customFormat="false" ht="15" hidden="false" customHeight="true" outlineLevel="0" collapsed="false">
      <c r="A678" s="7" t="s">
        <v>2811</v>
      </c>
      <c r="B678" s="7" t="s">
        <v>7993</v>
      </c>
      <c r="C678" s="12" t="n">
        <v>0</v>
      </c>
      <c r="D678" s="7" t="n">
        <v>13</v>
      </c>
      <c r="E678" s="13"/>
      <c r="F678" s="7"/>
      <c r="G678" s="7" t="n">
        <v>9</v>
      </c>
      <c r="H678" s="7" t="s">
        <v>7998</v>
      </c>
    </row>
    <row r="679" customFormat="false" ht="15" hidden="false" customHeight="true" outlineLevel="0" collapsed="false">
      <c r="A679" s="7" t="s">
        <v>2823</v>
      </c>
      <c r="B679" s="7" t="s">
        <v>7990</v>
      </c>
      <c r="C679" s="12" t="n">
        <v>0</v>
      </c>
      <c r="D679" s="7" t="n">
        <v>17</v>
      </c>
      <c r="E679" s="13"/>
      <c r="F679" s="7"/>
      <c r="G679" s="7" t="n">
        <v>9</v>
      </c>
      <c r="H679" s="7" t="s">
        <v>7998</v>
      </c>
    </row>
    <row r="680" customFormat="false" ht="15" hidden="false" customHeight="true" outlineLevel="0" collapsed="false">
      <c r="A680" s="7" t="s">
        <v>6471</v>
      </c>
      <c r="B680" s="7" t="s">
        <v>7990</v>
      </c>
      <c r="C680" s="12" t="n">
        <v>0</v>
      </c>
      <c r="D680" s="7" t="n">
        <v>9</v>
      </c>
      <c r="E680" s="13" t="n">
        <v>0</v>
      </c>
      <c r="F680" s="7" t="n">
        <v>1</v>
      </c>
      <c r="G680" s="7" t="n">
        <v>1</v>
      </c>
      <c r="H680" s="7"/>
    </row>
    <row r="681" customFormat="false" ht="15" hidden="false" customHeight="true" outlineLevel="0" collapsed="false">
      <c r="A681" s="7" t="s">
        <v>2835</v>
      </c>
      <c r="B681" s="7" t="s">
        <v>7990</v>
      </c>
      <c r="C681" s="12" t="n">
        <v>0</v>
      </c>
      <c r="D681" s="7" t="n">
        <v>12</v>
      </c>
      <c r="E681" s="13"/>
      <c r="F681" s="7"/>
      <c r="G681" s="7" t="n">
        <v>9</v>
      </c>
      <c r="H681" s="7" t="s">
        <v>7998</v>
      </c>
    </row>
    <row r="682" customFormat="false" ht="15" hidden="false" customHeight="true" outlineLevel="0" collapsed="false">
      <c r="A682" s="7" t="s">
        <v>6473</v>
      </c>
      <c r="B682" s="7" t="s">
        <v>7993</v>
      </c>
      <c r="C682" s="12" t="n">
        <v>0</v>
      </c>
      <c r="D682" s="7" t="n">
        <v>22</v>
      </c>
      <c r="E682" s="13"/>
      <c r="F682" s="7"/>
      <c r="G682" s="7" t="n">
        <v>1</v>
      </c>
      <c r="H682" s="7" t="s">
        <v>7998</v>
      </c>
    </row>
    <row r="683" customFormat="false" ht="15" hidden="false" customHeight="true" outlineLevel="0" collapsed="false">
      <c r="A683" s="7" t="s">
        <v>2861</v>
      </c>
      <c r="B683" s="7" t="s">
        <v>7990</v>
      </c>
      <c r="C683" s="12" t="n">
        <v>0</v>
      </c>
      <c r="D683" s="7" t="n">
        <v>18</v>
      </c>
      <c r="E683" s="13"/>
      <c r="F683" s="7"/>
      <c r="G683" s="7" t="n">
        <v>9</v>
      </c>
      <c r="H683" s="7" t="s">
        <v>7998</v>
      </c>
    </row>
    <row r="684" customFormat="false" ht="15" hidden="false" customHeight="true" outlineLevel="0" collapsed="false">
      <c r="A684" s="7" t="s">
        <v>6476</v>
      </c>
      <c r="B684" s="7" t="s">
        <v>7990</v>
      </c>
      <c r="C684" s="12" t="n">
        <v>0</v>
      </c>
      <c r="D684" s="7" t="n">
        <v>14</v>
      </c>
      <c r="E684" s="13"/>
      <c r="F684" s="7"/>
      <c r="G684" s="7" t="n">
        <v>1</v>
      </c>
      <c r="H684" s="7" t="s">
        <v>7998</v>
      </c>
    </row>
    <row r="685" customFormat="false" ht="15" hidden="false" customHeight="true" outlineLevel="0" collapsed="false">
      <c r="A685" s="7" t="s">
        <v>2899</v>
      </c>
      <c r="B685" s="7" t="s">
        <v>7990</v>
      </c>
      <c r="C685" s="12" t="n">
        <v>0</v>
      </c>
      <c r="D685" s="7" t="n">
        <v>10</v>
      </c>
      <c r="E685" s="13" t="n">
        <v>0</v>
      </c>
      <c r="F685" s="7" t="n">
        <v>0.71</v>
      </c>
      <c r="G685" s="7" t="n">
        <v>9</v>
      </c>
      <c r="H685" s="7"/>
    </row>
    <row r="686" customFormat="false" ht="15" hidden="false" customHeight="true" outlineLevel="0" collapsed="false">
      <c r="A686" s="7" t="s">
        <v>2934</v>
      </c>
      <c r="B686" s="7" t="s">
        <v>7993</v>
      </c>
      <c r="C686" s="12" t="n">
        <v>0</v>
      </c>
      <c r="D686" s="7" t="n">
        <v>16</v>
      </c>
      <c r="E686" s="13"/>
      <c r="F686" s="7"/>
      <c r="G686" s="7" t="n">
        <v>9</v>
      </c>
      <c r="H686" s="7" t="s">
        <v>7998</v>
      </c>
    </row>
    <row r="687" customFormat="false" ht="15" hidden="false" customHeight="true" outlineLevel="0" collapsed="false">
      <c r="A687" s="7" t="s">
        <v>2920</v>
      </c>
      <c r="B687" s="7" t="s">
        <v>7990</v>
      </c>
      <c r="C687" s="12" t="n">
        <v>0</v>
      </c>
      <c r="D687" s="7" t="n">
        <v>23</v>
      </c>
      <c r="E687" s="13"/>
      <c r="F687" s="7"/>
      <c r="G687" s="7" t="n">
        <v>4</v>
      </c>
      <c r="H687" s="7" t="s">
        <v>7998</v>
      </c>
    </row>
    <row r="688" customFormat="false" ht="15" hidden="false" customHeight="true" outlineLevel="0" collapsed="false">
      <c r="A688" s="7" t="s">
        <v>2921</v>
      </c>
      <c r="B688" s="7" t="s">
        <v>7990</v>
      </c>
      <c r="C688" s="12" t="n">
        <v>0</v>
      </c>
      <c r="D688" s="7" t="n">
        <v>13</v>
      </c>
      <c r="E688" s="13"/>
      <c r="F688" s="7"/>
      <c r="G688" s="7" t="n">
        <v>9</v>
      </c>
      <c r="H688" s="7" t="s">
        <v>7998</v>
      </c>
    </row>
    <row r="689" customFormat="false" ht="15" hidden="false" customHeight="true" outlineLevel="0" collapsed="false">
      <c r="A689" s="7" t="s">
        <v>2876</v>
      </c>
      <c r="B689" s="7" t="s">
        <v>7991</v>
      </c>
      <c r="C689" s="12" t="n">
        <v>0</v>
      </c>
      <c r="D689" s="7" t="n">
        <v>13</v>
      </c>
      <c r="E689" s="13"/>
      <c r="F689" s="7"/>
      <c r="G689" s="7" t="n">
        <v>4</v>
      </c>
      <c r="H689" s="7" t="s">
        <v>7998</v>
      </c>
    </row>
    <row r="690" customFormat="false" ht="15" hidden="false" customHeight="true" outlineLevel="0" collapsed="false">
      <c r="A690" s="7" t="s">
        <v>2877</v>
      </c>
      <c r="B690" s="7" t="s">
        <v>7992</v>
      </c>
      <c r="C690" s="12" t="n">
        <v>0</v>
      </c>
      <c r="D690" s="7" t="n">
        <v>9</v>
      </c>
      <c r="E690" s="13"/>
      <c r="F690" s="7"/>
      <c r="G690" s="7" t="n">
        <v>9</v>
      </c>
      <c r="H690" s="7" t="s">
        <v>7998</v>
      </c>
    </row>
    <row r="691" customFormat="false" ht="15" hidden="false" customHeight="true" outlineLevel="0" collapsed="false">
      <c r="A691" s="7" t="s">
        <v>2977</v>
      </c>
      <c r="B691" s="7" t="s">
        <v>7990</v>
      </c>
      <c r="C691" s="12" t="n">
        <v>0</v>
      </c>
      <c r="D691" s="7" t="n">
        <v>13</v>
      </c>
      <c r="E691" s="13"/>
      <c r="F691" s="7"/>
      <c r="G691" s="7" t="n">
        <v>4</v>
      </c>
      <c r="H691" s="7" t="s">
        <v>7998</v>
      </c>
    </row>
    <row r="692" customFormat="false" ht="15" hidden="false" customHeight="true" outlineLevel="0" collapsed="false">
      <c r="A692" s="7" t="s">
        <v>2966</v>
      </c>
      <c r="B692" s="7" t="s">
        <v>7994</v>
      </c>
      <c r="C692" s="12" t="n">
        <v>0</v>
      </c>
      <c r="D692" s="7" t="n">
        <v>13</v>
      </c>
      <c r="E692" s="13"/>
      <c r="F692" s="7"/>
      <c r="G692" s="7" t="n">
        <v>4</v>
      </c>
      <c r="H692" s="7" t="s">
        <v>7998</v>
      </c>
    </row>
    <row r="693" customFormat="false" ht="15" hidden="false" customHeight="true" outlineLevel="0" collapsed="false">
      <c r="A693" s="7" t="s">
        <v>2967</v>
      </c>
      <c r="B693" s="7" t="s">
        <v>7989</v>
      </c>
      <c r="C693" s="12" t="n">
        <v>0</v>
      </c>
      <c r="D693" s="7" t="n">
        <v>12</v>
      </c>
      <c r="E693" s="13"/>
      <c r="F693" s="7"/>
      <c r="G693" s="7" t="n">
        <v>9</v>
      </c>
      <c r="H693" s="7" t="s">
        <v>7998</v>
      </c>
    </row>
    <row r="694" customFormat="false" ht="15" hidden="false" customHeight="true" outlineLevel="0" collapsed="false">
      <c r="A694" s="7" t="s">
        <v>2978</v>
      </c>
      <c r="B694" s="7" t="s">
        <v>7990</v>
      </c>
      <c r="C694" s="12" t="n">
        <v>0</v>
      </c>
      <c r="D694" s="7" t="n">
        <v>10</v>
      </c>
      <c r="E694" s="13"/>
      <c r="F694" s="7"/>
      <c r="G694" s="7" t="n">
        <v>9</v>
      </c>
      <c r="H694" s="7" t="s">
        <v>7998</v>
      </c>
    </row>
    <row r="695" customFormat="false" ht="15" hidden="false" customHeight="true" outlineLevel="0" collapsed="false">
      <c r="A695" s="7" t="s">
        <v>2887</v>
      </c>
      <c r="B695" s="7" t="s">
        <v>7990</v>
      </c>
      <c r="C695" s="12" t="n">
        <v>0</v>
      </c>
      <c r="D695" s="7" t="n">
        <v>20</v>
      </c>
      <c r="E695" s="13"/>
      <c r="F695" s="7"/>
      <c r="G695" s="7" t="n">
        <v>9</v>
      </c>
      <c r="H695" s="7" t="s">
        <v>7998</v>
      </c>
    </row>
    <row r="696" customFormat="false" ht="15" hidden="false" customHeight="true" outlineLevel="0" collapsed="false">
      <c r="A696" s="7" t="s">
        <v>2945</v>
      </c>
      <c r="B696" s="7" t="s">
        <v>7990</v>
      </c>
      <c r="C696" s="12" t="n">
        <v>0</v>
      </c>
      <c r="D696" s="7" t="n">
        <v>15</v>
      </c>
      <c r="E696" s="13"/>
      <c r="F696" s="7"/>
      <c r="G696" s="7" t="n">
        <v>9</v>
      </c>
      <c r="H696" s="7" t="s">
        <v>7998</v>
      </c>
    </row>
    <row r="697" customFormat="false" ht="15" hidden="false" customHeight="true" outlineLevel="0" collapsed="false">
      <c r="A697" s="7" t="s">
        <v>2956</v>
      </c>
      <c r="B697" s="7" t="s">
        <v>7990</v>
      </c>
      <c r="C697" s="12" t="n">
        <v>0</v>
      </c>
      <c r="D697" s="7" t="n">
        <v>17</v>
      </c>
      <c r="E697" s="13"/>
      <c r="F697" s="7"/>
      <c r="G697" s="7" t="n">
        <v>9</v>
      </c>
      <c r="H697" s="7" t="s">
        <v>7998</v>
      </c>
    </row>
    <row r="698" customFormat="false" ht="15" hidden="false" customHeight="true" outlineLevel="0" collapsed="false">
      <c r="A698" s="7" t="s">
        <v>6645</v>
      </c>
      <c r="B698" s="7" t="s">
        <v>7990</v>
      </c>
      <c r="C698" s="12" t="n">
        <v>0</v>
      </c>
      <c r="D698" s="7" t="n">
        <v>15</v>
      </c>
      <c r="E698" s="13"/>
      <c r="F698" s="7"/>
      <c r="G698" s="7" t="n">
        <v>2</v>
      </c>
      <c r="H698" s="7" t="s">
        <v>7998</v>
      </c>
    </row>
    <row r="699" customFormat="false" ht="15" hidden="false" customHeight="true" outlineLevel="0" collapsed="false">
      <c r="A699" s="7" t="s">
        <v>6650</v>
      </c>
      <c r="B699" s="7" t="s">
        <v>7991</v>
      </c>
      <c r="C699" s="12" t="n">
        <v>0</v>
      </c>
      <c r="D699" s="7" t="n">
        <v>20</v>
      </c>
      <c r="E699" s="13"/>
      <c r="F699" s="7"/>
      <c r="G699" s="7" t="n">
        <v>2</v>
      </c>
      <c r="H699" s="7" t="s">
        <v>7998</v>
      </c>
    </row>
    <row r="700" customFormat="false" ht="15" hidden="false" customHeight="true" outlineLevel="0" collapsed="false">
      <c r="A700" s="7" t="s">
        <v>6652</v>
      </c>
      <c r="B700" s="7" t="s">
        <v>7993</v>
      </c>
      <c r="C700" s="12" t="n">
        <v>0</v>
      </c>
      <c r="D700" s="7" t="n">
        <v>31</v>
      </c>
      <c r="E700" s="13"/>
      <c r="F700" s="7"/>
      <c r="G700" s="7" t="n">
        <v>2</v>
      </c>
      <c r="H700" s="7" t="s">
        <v>7998</v>
      </c>
    </row>
    <row r="701" customFormat="false" ht="15" hidden="false" customHeight="true" outlineLevel="0" collapsed="false">
      <c r="A701" s="7" t="s">
        <v>6653</v>
      </c>
      <c r="B701" s="7" t="s">
        <v>7990</v>
      </c>
      <c r="C701" s="12" t="n">
        <v>0</v>
      </c>
      <c r="D701" s="7" t="n">
        <v>27</v>
      </c>
      <c r="E701" s="13"/>
      <c r="F701" s="7"/>
      <c r="G701" s="7" t="n">
        <v>2</v>
      </c>
      <c r="H701" s="7" t="s">
        <v>7998</v>
      </c>
    </row>
    <row r="702" customFormat="false" ht="15" hidden="false" customHeight="true" outlineLevel="0" collapsed="false">
      <c r="A702" s="7" t="s">
        <v>3008</v>
      </c>
      <c r="B702" s="7" t="s">
        <v>7990</v>
      </c>
      <c r="C702" s="12" t="n">
        <v>0</v>
      </c>
      <c r="D702" s="7" t="n">
        <v>22</v>
      </c>
      <c r="E702" s="13"/>
      <c r="F702" s="7"/>
      <c r="G702" s="7" t="n">
        <v>9</v>
      </c>
      <c r="H702" s="7" t="s">
        <v>7998</v>
      </c>
    </row>
    <row r="703" customFormat="false" ht="15" hidden="false" customHeight="true" outlineLevel="0" collapsed="false">
      <c r="A703" s="7" t="s">
        <v>3019</v>
      </c>
      <c r="B703" s="7" t="s">
        <v>7992</v>
      </c>
      <c r="C703" s="12" t="n">
        <v>0</v>
      </c>
      <c r="D703" s="7" t="n">
        <v>21</v>
      </c>
      <c r="E703" s="13"/>
      <c r="F703" s="7"/>
      <c r="G703" s="7" t="n">
        <v>9</v>
      </c>
      <c r="H703" s="7" t="s">
        <v>7998</v>
      </c>
    </row>
    <row r="704" customFormat="false" ht="15" hidden="false" customHeight="true" outlineLevel="0" collapsed="false">
      <c r="A704" s="7" t="s">
        <v>2990</v>
      </c>
      <c r="B704" s="7" t="s">
        <v>7992</v>
      </c>
      <c r="C704" s="12" t="n">
        <v>0</v>
      </c>
      <c r="D704" s="7" t="n">
        <v>28</v>
      </c>
      <c r="E704" s="13"/>
      <c r="F704" s="7"/>
      <c r="G704" s="7" t="n">
        <v>9</v>
      </c>
      <c r="H704" s="7" t="s">
        <v>7998</v>
      </c>
    </row>
    <row r="705" customFormat="false" ht="15" hidden="false" customHeight="true" outlineLevel="0" collapsed="false">
      <c r="A705" s="7" t="s">
        <v>6760</v>
      </c>
      <c r="B705" s="7" t="s">
        <v>7996</v>
      </c>
      <c r="C705" s="12" t="n">
        <v>0</v>
      </c>
      <c r="D705" s="7" t="n">
        <v>14</v>
      </c>
      <c r="E705" s="13"/>
      <c r="F705" s="7"/>
      <c r="G705" s="7" t="n">
        <v>3</v>
      </c>
      <c r="H705" s="7" t="s">
        <v>7998</v>
      </c>
    </row>
    <row r="706" customFormat="false" ht="15" hidden="false" customHeight="true" outlineLevel="0" collapsed="false">
      <c r="A706" s="7" t="s">
        <v>6761</v>
      </c>
      <c r="B706" s="7" t="s">
        <v>7996</v>
      </c>
      <c r="C706" s="12" t="n">
        <v>0</v>
      </c>
      <c r="D706" s="7" t="n">
        <v>22</v>
      </c>
      <c r="E706" s="13"/>
      <c r="F706" s="7"/>
      <c r="G706" s="7" t="n">
        <v>3</v>
      </c>
      <c r="H706" s="7" t="s">
        <v>7998</v>
      </c>
    </row>
    <row r="707" customFormat="false" ht="15" hidden="false" customHeight="true" outlineLevel="0" collapsed="false">
      <c r="A707" s="7" t="s">
        <v>6762</v>
      </c>
      <c r="B707" s="7" t="s">
        <v>7994</v>
      </c>
      <c r="C707" s="12" t="n">
        <v>0</v>
      </c>
      <c r="D707" s="7" t="n">
        <v>22</v>
      </c>
      <c r="E707" s="13"/>
      <c r="F707" s="7"/>
      <c r="G707" s="7" t="n">
        <v>3</v>
      </c>
      <c r="H707" s="7" t="s">
        <v>7998</v>
      </c>
    </row>
    <row r="708" customFormat="false" ht="15" hidden="false" customHeight="true" outlineLevel="0" collapsed="false">
      <c r="A708" s="7" t="s">
        <v>6442</v>
      </c>
      <c r="B708" s="7" t="s">
        <v>7996</v>
      </c>
      <c r="C708" s="12" t="n">
        <v>0</v>
      </c>
      <c r="D708" s="7" t="n">
        <v>14</v>
      </c>
      <c r="E708" s="13"/>
      <c r="F708" s="7"/>
      <c r="G708" s="7" t="n">
        <v>1</v>
      </c>
      <c r="H708" s="7" t="s">
        <v>7998</v>
      </c>
    </row>
    <row r="709" customFormat="false" ht="15" hidden="false" customHeight="true" outlineLevel="0" collapsed="false">
      <c r="A709" s="7" t="s">
        <v>6763</v>
      </c>
      <c r="B709" s="7" t="s">
        <v>7994</v>
      </c>
      <c r="C709" s="12" t="n">
        <v>0</v>
      </c>
      <c r="D709" s="7" t="n">
        <v>20</v>
      </c>
      <c r="E709" s="13"/>
      <c r="F709" s="7"/>
      <c r="G709" s="7" t="n">
        <v>3</v>
      </c>
      <c r="H709" s="7" t="s">
        <v>7998</v>
      </c>
    </row>
    <row r="710" customFormat="false" ht="15" hidden="false" customHeight="true" outlineLevel="0" collapsed="false">
      <c r="A710" s="7" t="s">
        <v>6764</v>
      </c>
      <c r="B710" s="7" t="s">
        <v>7994</v>
      </c>
      <c r="C710" s="12" t="n">
        <v>0</v>
      </c>
      <c r="D710" s="7" t="n">
        <v>25</v>
      </c>
      <c r="E710" s="13"/>
      <c r="F710" s="7"/>
      <c r="G710" s="7" t="n">
        <v>3</v>
      </c>
      <c r="H710" s="7" t="s">
        <v>7998</v>
      </c>
    </row>
    <row r="711" customFormat="false" ht="15" hidden="false" customHeight="true" outlineLevel="0" collapsed="false">
      <c r="A711" s="7" t="s">
        <v>6765</v>
      </c>
      <c r="B711" s="7" t="s">
        <v>7994</v>
      </c>
      <c r="C711" s="12" t="n">
        <v>0</v>
      </c>
      <c r="D711" s="7" t="n">
        <v>17</v>
      </c>
      <c r="E711" s="13"/>
      <c r="F711" s="7"/>
      <c r="G711" s="7" t="n">
        <v>3</v>
      </c>
      <c r="H711" s="7" t="s">
        <v>7998</v>
      </c>
    </row>
    <row r="712" customFormat="false" ht="15" hidden="false" customHeight="true" outlineLevel="0" collapsed="false">
      <c r="A712" s="7" t="s">
        <v>6766</v>
      </c>
      <c r="B712" s="7" t="s">
        <v>7994</v>
      </c>
      <c r="C712" s="12" t="n">
        <v>0</v>
      </c>
      <c r="D712" s="7" t="n">
        <v>30</v>
      </c>
      <c r="E712" s="13"/>
      <c r="F712" s="7"/>
      <c r="G712" s="7" t="n">
        <v>3</v>
      </c>
      <c r="H712" s="7" t="s">
        <v>7998</v>
      </c>
    </row>
    <row r="713" customFormat="false" ht="15" hidden="false" customHeight="true" outlineLevel="0" collapsed="false">
      <c r="A713" s="7" t="s">
        <v>6767</v>
      </c>
      <c r="B713" s="7" t="s">
        <v>7994</v>
      </c>
      <c r="C713" s="12" t="n">
        <v>0</v>
      </c>
      <c r="D713" s="7" t="n">
        <v>20</v>
      </c>
      <c r="E713" s="13"/>
      <c r="F713" s="7"/>
      <c r="G713" s="7" t="n">
        <v>3</v>
      </c>
      <c r="H713" s="7" t="s">
        <v>7998</v>
      </c>
    </row>
    <row r="714" customFormat="false" ht="15" hidden="false" customHeight="true" outlineLevel="0" collapsed="false">
      <c r="A714" s="7" t="s">
        <v>6768</v>
      </c>
      <c r="B714" s="7" t="s">
        <v>7989</v>
      </c>
      <c r="C714" s="12" t="n">
        <v>0</v>
      </c>
      <c r="D714" s="7" t="n">
        <v>20</v>
      </c>
      <c r="E714" s="13"/>
      <c r="F714" s="7"/>
      <c r="G714" s="7" t="n">
        <v>3</v>
      </c>
      <c r="H714" s="7" t="s">
        <v>7998</v>
      </c>
    </row>
    <row r="715" customFormat="false" ht="15" hidden="false" customHeight="true" outlineLevel="0" collapsed="false">
      <c r="A715" s="7" t="s">
        <v>6769</v>
      </c>
      <c r="B715" s="7" t="s">
        <v>7989</v>
      </c>
      <c r="C715" s="12" t="n">
        <v>0</v>
      </c>
      <c r="D715" s="7" t="n">
        <v>35</v>
      </c>
      <c r="E715" s="13"/>
      <c r="F715" s="7"/>
      <c r="G715" s="7" t="n">
        <v>3</v>
      </c>
      <c r="H715" s="7" t="s">
        <v>7998</v>
      </c>
    </row>
    <row r="716" customFormat="false" ht="15" hidden="false" customHeight="true" outlineLevel="0" collapsed="false">
      <c r="A716" s="7" t="s">
        <v>6770</v>
      </c>
      <c r="B716" s="7" t="s">
        <v>7994</v>
      </c>
      <c r="C716" s="12" t="n">
        <v>0</v>
      </c>
      <c r="D716" s="7" t="n">
        <v>25</v>
      </c>
      <c r="E716" s="13"/>
      <c r="F716" s="7"/>
      <c r="G716" s="7" t="n">
        <v>3</v>
      </c>
      <c r="H716" s="7" t="s">
        <v>7998</v>
      </c>
    </row>
    <row r="717" customFormat="false" ht="15" hidden="false" customHeight="true" outlineLevel="0" collapsed="false">
      <c r="A717" s="7" t="s">
        <v>6443</v>
      </c>
      <c r="B717" s="7" t="s">
        <v>7994</v>
      </c>
      <c r="C717" s="12" t="n">
        <v>0</v>
      </c>
      <c r="D717" s="7" t="n">
        <v>19</v>
      </c>
      <c r="E717" s="13"/>
      <c r="F717" s="7"/>
      <c r="G717" s="7" t="n">
        <v>1</v>
      </c>
      <c r="H717" s="7" t="s">
        <v>7998</v>
      </c>
    </row>
    <row r="718" customFormat="false" ht="15" hidden="false" customHeight="true" outlineLevel="0" collapsed="false">
      <c r="A718" s="7" t="s">
        <v>6771</v>
      </c>
      <c r="B718" s="7" t="s">
        <v>7994</v>
      </c>
      <c r="C718" s="12" t="n">
        <v>0</v>
      </c>
      <c r="D718" s="7" t="n">
        <v>13</v>
      </c>
      <c r="E718" s="13"/>
      <c r="F718" s="7"/>
      <c r="G718" s="7" t="n">
        <v>3</v>
      </c>
      <c r="H718" s="7" t="s">
        <v>7998</v>
      </c>
    </row>
    <row r="719" customFormat="false" ht="15" hidden="false" customHeight="true" outlineLevel="0" collapsed="false">
      <c r="A719" s="7" t="s">
        <v>6772</v>
      </c>
      <c r="B719" s="7" t="s">
        <v>7994</v>
      </c>
      <c r="C719" s="12" t="n">
        <v>0</v>
      </c>
      <c r="D719" s="7" t="n">
        <v>21</v>
      </c>
      <c r="E719" s="13"/>
      <c r="F719" s="7"/>
      <c r="G719" s="7" t="n">
        <v>3</v>
      </c>
      <c r="H719" s="7" t="s">
        <v>7998</v>
      </c>
    </row>
    <row r="720" customFormat="false" ht="15" hidden="false" customHeight="true" outlineLevel="0" collapsed="false">
      <c r="A720" s="7" t="s">
        <v>3066</v>
      </c>
      <c r="B720" s="7" t="s">
        <v>7990</v>
      </c>
      <c r="C720" s="12" t="n">
        <v>0</v>
      </c>
      <c r="D720" s="7" t="n">
        <v>17</v>
      </c>
      <c r="E720" s="13"/>
      <c r="F720" s="7"/>
      <c r="G720" s="7" t="n">
        <v>9</v>
      </c>
      <c r="H720" s="7" t="s">
        <v>7998</v>
      </c>
    </row>
    <row r="721" customFormat="false" ht="15" hidden="false" customHeight="true" outlineLevel="0" collapsed="false">
      <c r="A721" s="7" t="s">
        <v>3076</v>
      </c>
      <c r="B721" s="7" t="s">
        <v>7990</v>
      </c>
      <c r="C721" s="12" t="n">
        <v>0</v>
      </c>
      <c r="D721" s="7" t="n">
        <v>18</v>
      </c>
      <c r="E721" s="13"/>
      <c r="F721" s="7"/>
      <c r="G721" s="7" t="n">
        <v>9</v>
      </c>
      <c r="H721" s="7" t="s">
        <v>7998</v>
      </c>
    </row>
    <row r="722" customFormat="false" ht="15" hidden="false" customHeight="true" outlineLevel="0" collapsed="false">
      <c r="A722" s="7" t="s">
        <v>3086</v>
      </c>
      <c r="B722" s="7" t="s">
        <v>7990</v>
      </c>
      <c r="C722" s="12" t="n">
        <v>0</v>
      </c>
      <c r="D722" s="7" t="n">
        <v>16</v>
      </c>
      <c r="E722" s="13"/>
      <c r="F722" s="7"/>
      <c r="G722" s="7" t="n">
        <v>9</v>
      </c>
      <c r="H722" s="7" t="s">
        <v>7998</v>
      </c>
    </row>
    <row r="723" customFormat="false" ht="15" hidden="false" customHeight="true" outlineLevel="0" collapsed="false">
      <c r="A723" s="7" t="s">
        <v>3096</v>
      </c>
      <c r="B723" s="7" t="s">
        <v>7989</v>
      </c>
      <c r="C723" s="12" t="n">
        <v>0</v>
      </c>
      <c r="D723" s="7" t="n">
        <v>17</v>
      </c>
      <c r="E723" s="13"/>
      <c r="F723" s="7"/>
      <c r="G723" s="7" t="n">
        <v>9</v>
      </c>
      <c r="H723" s="7" t="s">
        <v>7998</v>
      </c>
    </row>
    <row r="724" customFormat="false" ht="15" hidden="false" customHeight="true" outlineLevel="0" collapsed="false">
      <c r="A724" s="7" t="s">
        <v>3106</v>
      </c>
      <c r="B724" s="7" t="s">
        <v>7991</v>
      </c>
      <c r="C724" s="12" t="n">
        <v>0</v>
      </c>
      <c r="D724" s="7" t="n">
        <v>16</v>
      </c>
      <c r="E724" s="13"/>
      <c r="F724" s="7"/>
      <c r="G724" s="7" t="n">
        <v>9</v>
      </c>
      <c r="H724" s="7" t="s">
        <v>7998</v>
      </c>
    </row>
    <row r="725" customFormat="false" ht="15" hidden="false" customHeight="true" outlineLevel="0" collapsed="false">
      <c r="A725" s="7" t="s">
        <v>3044</v>
      </c>
      <c r="B725" s="7" t="s">
        <v>7990</v>
      </c>
      <c r="C725" s="12" t="n">
        <v>0</v>
      </c>
      <c r="D725" s="7" t="n">
        <v>22</v>
      </c>
      <c r="E725" s="13"/>
      <c r="F725" s="7"/>
      <c r="G725" s="7" t="n">
        <v>9</v>
      </c>
      <c r="H725" s="7" t="s">
        <v>7998</v>
      </c>
    </row>
    <row r="726" customFormat="false" ht="15" hidden="false" customHeight="true" outlineLevel="0" collapsed="false">
      <c r="A726" s="7" t="s">
        <v>3116</v>
      </c>
      <c r="B726" s="7" t="s">
        <v>7989</v>
      </c>
      <c r="C726" s="12" t="n">
        <v>0</v>
      </c>
      <c r="D726" s="7" t="n">
        <v>19</v>
      </c>
      <c r="E726" s="13"/>
      <c r="F726" s="7"/>
      <c r="G726" s="7" t="n">
        <v>4</v>
      </c>
      <c r="H726" s="7" t="s">
        <v>7998</v>
      </c>
    </row>
    <row r="727" customFormat="false" ht="15" hidden="false" customHeight="true" outlineLevel="0" collapsed="false">
      <c r="A727" s="7" t="s">
        <v>3117</v>
      </c>
      <c r="B727" s="7" t="s">
        <v>7990</v>
      </c>
      <c r="C727" s="12" t="n">
        <v>0</v>
      </c>
      <c r="D727" s="7" t="n">
        <v>17</v>
      </c>
      <c r="E727" s="13"/>
      <c r="F727" s="7"/>
      <c r="G727" s="7" t="n">
        <v>9</v>
      </c>
      <c r="H727" s="7" t="s">
        <v>7998</v>
      </c>
    </row>
    <row r="728" customFormat="false" ht="15" hidden="false" customHeight="true" outlineLevel="0" collapsed="false">
      <c r="A728" s="7" t="s">
        <v>3166</v>
      </c>
      <c r="B728" s="7" t="s">
        <v>7990</v>
      </c>
      <c r="C728" s="12" t="n">
        <v>0</v>
      </c>
      <c r="D728" s="7" t="n">
        <v>22</v>
      </c>
      <c r="E728" s="13"/>
      <c r="F728" s="7"/>
      <c r="G728" s="7" t="n">
        <v>4</v>
      </c>
      <c r="H728" s="7" t="s">
        <v>7998</v>
      </c>
    </row>
    <row r="729" customFormat="false" ht="15" hidden="false" customHeight="true" outlineLevel="0" collapsed="false">
      <c r="A729" s="7" t="s">
        <v>3167</v>
      </c>
      <c r="B729" s="7" t="s">
        <v>7990</v>
      </c>
      <c r="C729" s="12" t="n">
        <v>0</v>
      </c>
      <c r="D729" s="7" t="n">
        <v>17</v>
      </c>
      <c r="E729" s="13"/>
      <c r="F729" s="7"/>
      <c r="G729" s="7" t="n">
        <v>9</v>
      </c>
      <c r="H729" s="7" t="s">
        <v>7998</v>
      </c>
    </row>
    <row r="730" customFormat="false" ht="15" hidden="false" customHeight="true" outlineLevel="0" collapsed="false">
      <c r="A730" s="7" t="s">
        <v>3187</v>
      </c>
      <c r="B730" s="7" t="s">
        <v>7989</v>
      </c>
      <c r="C730" s="12" t="n">
        <v>0</v>
      </c>
      <c r="D730" s="7" t="n">
        <v>17</v>
      </c>
      <c r="E730" s="13"/>
      <c r="F730" s="7"/>
      <c r="G730" s="7" t="n">
        <v>4</v>
      </c>
      <c r="H730" s="7" t="s">
        <v>7998</v>
      </c>
    </row>
    <row r="731" customFormat="false" ht="15" hidden="false" customHeight="true" outlineLevel="0" collapsed="false">
      <c r="A731" s="7" t="s">
        <v>3188</v>
      </c>
      <c r="B731" s="7" t="s">
        <v>7989</v>
      </c>
      <c r="C731" s="12" t="n">
        <v>0</v>
      </c>
      <c r="D731" s="7" t="n">
        <v>17</v>
      </c>
      <c r="E731" s="13"/>
      <c r="F731" s="7"/>
      <c r="G731" s="7" t="n">
        <v>9</v>
      </c>
      <c r="H731" s="7" t="s">
        <v>7998</v>
      </c>
    </row>
    <row r="732" customFormat="false" ht="15" hidden="false" customHeight="true" outlineLevel="0" collapsed="false">
      <c r="A732" s="7" t="s">
        <v>3200</v>
      </c>
      <c r="B732" s="7" t="s">
        <v>7990</v>
      </c>
      <c r="C732" s="12" t="n">
        <v>0</v>
      </c>
      <c r="D732" s="7" t="n">
        <v>16</v>
      </c>
      <c r="E732" s="13"/>
      <c r="F732" s="7"/>
      <c r="G732" s="7" t="n">
        <v>4</v>
      </c>
      <c r="H732" s="7" t="s">
        <v>7998</v>
      </c>
    </row>
    <row r="733" customFormat="false" ht="15" hidden="false" customHeight="true" outlineLevel="0" collapsed="false">
      <c r="A733" s="7" t="s">
        <v>3201</v>
      </c>
      <c r="B733" s="7" t="s">
        <v>7989</v>
      </c>
      <c r="C733" s="12" t="n">
        <v>0</v>
      </c>
      <c r="D733" s="7" t="n">
        <v>16</v>
      </c>
      <c r="E733" s="13"/>
      <c r="F733" s="7"/>
      <c r="G733" s="7" t="n">
        <v>9</v>
      </c>
      <c r="H733" s="7" t="s">
        <v>7998</v>
      </c>
    </row>
    <row r="734" customFormat="false" ht="15" hidden="false" customHeight="true" outlineLevel="0" collapsed="false">
      <c r="A734" s="7" t="s">
        <v>3156</v>
      </c>
      <c r="B734" s="7" t="s">
        <v>7994</v>
      </c>
      <c r="C734" s="12" t="n">
        <v>0</v>
      </c>
      <c r="D734" s="7" t="n">
        <v>17</v>
      </c>
      <c r="E734" s="13"/>
      <c r="F734" s="7"/>
      <c r="G734" s="7" t="n">
        <v>9</v>
      </c>
      <c r="H734" s="7" t="s">
        <v>7998</v>
      </c>
    </row>
    <row r="735" customFormat="false" ht="15" hidden="false" customHeight="true" outlineLevel="0" collapsed="false">
      <c r="A735" s="7" t="s">
        <v>3137</v>
      </c>
      <c r="B735" s="7" t="s">
        <v>7990</v>
      </c>
      <c r="C735" s="12" t="n">
        <v>0</v>
      </c>
      <c r="D735" s="7" t="n">
        <v>17</v>
      </c>
      <c r="E735" s="13"/>
      <c r="F735" s="7"/>
      <c r="G735" s="7" t="n">
        <v>4</v>
      </c>
      <c r="H735" s="7" t="s">
        <v>7998</v>
      </c>
    </row>
    <row r="736" customFormat="false" ht="15" hidden="false" customHeight="true" outlineLevel="0" collapsed="false">
      <c r="A736" s="7" t="s">
        <v>3138</v>
      </c>
      <c r="B736" s="7" t="s">
        <v>7990</v>
      </c>
      <c r="C736" s="12" t="n">
        <v>0</v>
      </c>
      <c r="D736" s="7" t="n">
        <v>16</v>
      </c>
      <c r="E736" s="13"/>
      <c r="F736" s="7"/>
      <c r="G736" s="7" t="n">
        <v>9</v>
      </c>
      <c r="H736" s="7" t="s">
        <v>7998</v>
      </c>
    </row>
    <row r="737" customFormat="false" ht="15" hidden="false" customHeight="true" outlineLevel="0" collapsed="false">
      <c r="A737" s="7" t="s">
        <v>3254</v>
      </c>
      <c r="B737" s="7" t="s">
        <v>7989</v>
      </c>
      <c r="C737" s="12" t="n">
        <v>0</v>
      </c>
      <c r="D737" s="7" t="n">
        <v>16</v>
      </c>
      <c r="E737" s="13"/>
      <c r="F737" s="7"/>
      <c r="G737" s="7" t="n">
        <v>9</v>
      </c>
      <c r="H737" s="7" t="s">
        <v>7998</v>
      </c>
    </row>
    <row r="738" customFormat="false" ht="15" hidden="false" customHeight="true" outlineLevel="0" collapsed="false">
      <c r="A738" s="7" t="s">
        <v>3263</v>
      </c>
      <c r="B738" s="7" t="s">
        <v>7990</v>
      </c>
      <c r="C738" s="12" t="n">
        <v>0</v>
      </c>
      <c r="D738" s="7" t="n">
        <v>17</v>
      </c>
      <c r="E738" s="13"/>
      <c r="F738" s="7"/>
      <c r="G738" s="7" t="n">
        <v>9</v>
      </c>
      <c r="H738" s="7" t="s">
        <v>7998</v>
      </c>
    </row>
    <row r="739" customFormat="false" ht="15" hidden="false" customHeight="true" outlineLevel="0" collapsed="false">
      <c r="A739" s="7" t="s">
        <v>3214</v>
      </c>
      <c r="B739" s="7" t="s">
        <v>7990</v>
      </c>
      <c r="C739" s="12" t="n">
        <v>0</v>
      </c>
      <c r="D739" s="7" t="n">
        <v>9</v>
      </c>
      <c r="E739" s="13" t="n">
        <v>0</v>
      </c>
      <c r="F739" s="7" t="n">
        <v>0</v>
      </c>
      <c r="G739" s="7" t="n">
        <v>9</v>
      </c>
      <c r="H739" s="7"/>
    </row>
    <row r="740" customFormat="false" ht="15" hidden="false" customHeight="true" outlineLevel="0" collapsed="false">
      <c r="A740" s="7" t="s">
        <v>3224</v>
      </c>
      <c r="B740" s="7" t="s">
        <v>7989</v>
      </c>
      <c r="C740" s="12" t="n">
        <v>0</v>
      </c>
      <c r="D740" s="7" t="n">
        <v>16</v>
      </c>
      <c r="E740" s="13"/>
      <c r="F740" s="7"/>
      <c r="G740" s="7" t="n">
        <v>9</v>
      </c>
      <c r="H740" s="7" t="s">
        <v>7998</v>
      </c>
    </row>
    <row r="741" customFormat="false" ht="15" hidden="false" customHeight="true" outlineLevel="0" collapsed="false">
      <c r="A741" s="7" t="s">
        <v>3236</v>
      </c>
      <c r="B741" s="7" t="s">
        <v>7989</v>
      </c>
      <c r="C741" s="12" t="n">
        <v>0</v>
      </c>
      <c r="D741" s="7" t="n">
        <v>9</v>
      </c>
      <c r="E741" s="13" t="n">
        <v>0</v>
      </c>
      <c r="F741" s="7" t="n">
        <v>0</v>
      </c>
      <c r="G741" s="7" t="n">
        <v>4</v>
      </c>
      <c r="H741" s="7"/>
    </row>
    <row r="742" customFormat="false" ht="15" hidden="false" customHeight="true" outlineLevel="0" collapsed="false">
      <c r="A742" s="7" t="s">
        <v>3237</v>
      </c>
      <c r="B742" s="7" t="s">
        <v>7990</v>
      </c>
      <c r="C742" s="12" t="n">
        <v>0</v>
      </c>
      <c r="D742" s="7" t="n">
        <v>16</v>
      </c>
      <c r="E742" s="13"/>
      <c r="F742" s="7"/>
      <c r="G742" s="7" t="n">
        <v>9</v>
      </c>
      <c r="H742" s="7" t="s">
        <v>7998</v>
      </c>
    </row>
    <row r="743" customFormat="false" ht="15" hidden="false" customHeight="true" outlineLevel="0" collapsed="false">
      <c r="A743" s="7" t="s">
        <v>3272</v>
      </c>
      <c r="B743" s="7" t="s">
        <v>7989</v>
      </c>
      <c r="C743" s="12" t="n">
        <v>0</v>
      </c>
      <c r="D743" s="7" t="n">
        <v>9</v>
      </c>
      <c r="E743" s="13" t="n">
        <v>0</v>
      </c>
      <c r="F743" s="7" t="n">
        <v>0</v>
      </c>
      <c r="G743" s="7" t="n">
        <v>9</v>
      </c>
      <c r="H743" s="7"/>
    </row>
    <row r="744" customFormat="false" ht="15" hidden="false" customHeight="true" outlineLevel="0" collapsed="false">
      <c r="A744" s="7" t="s">
        <v>5942</v>
      </c>
      <c r="B744" s="7" t="s">
        <v>7990</v>
      </c>
      <c r="C744" s="12" t="n">
        <v>0</v>
      </c>
      <c r="D744" s="7" t="n">
        <v>11</v>
      </c>
      <c r="E744" s="13"/>
      <c r="F744" s="7"/>
      <c r="G744" s="7" t="n">
        <v>4</v>
      </c>
      <c r="H744" s="7" t="s">
        <v>7998</v>
      </c>
    </row>
    <row r="745" customFormat="false" ht="15" hidden="false" customHeight="true" outlineLevel="0" collapsed="false">
      <c r="A745" s="7" t="s">
        <v>5943</v>
      </c>
      <c r="B745" s="7" t="s">
        <v>7990</v>
      </c>
      <c r="C745" s="12" t="n">
        <v>0</v>
      </c>
      <c r="D745" s="7" t="n">
        <v>14</v>
      </c>
      <c r="E745" s="13"/>
      <c r="F745" s="7"/>
      <c r="G745" s="7" t="n">
        <v>9</v>
      </c>
      <c r="H745" s="7" t="s">
        <v>7998</v>
      </c>
    </row>
    <row r="746" customFormat="false" ht="15" hidden="false" customHeight="true" outlineLevel="0" collapsed="false">
      <c r="A746" s="7" t="s">
        <v>3337</v>
      </c>
      <c r="B746" s="7" t="s">
        <v>7992</v>
      </c>
      <c r="C746" s="12" t="n">
        <v>0</v>
      </c>
      <c r="D746" s="7" t="n">
        <v>18</v>
      </c>
      <c r="E746" s="13"/>
      <c r="F746" s="7"/>
      <c r="G746" s="7" t="n">
        <v>4</v>
      </c>
      <c r="H746" s="7" t="s">
        <v>7998</v>
      </c>
    </row>
    <row r="747" customFormat="false" ht="15" hidden="false" customHeight="true" outlineLevel="0" collapsed="false">
      <c r="A747" s="7" t="s">
        <v>3338</v>
      </c>
      <c r="B747" s="7" t="s">
        <v>7990</v>
      </c>
      <c r="C747" s="12" t="n">
        <v>0</v>
      </c>
      <c r="D747" s="7" t="n">
        <v>17</v>
      </c>
      <c r="E747" s="13"/>
      <c r="F747" s="7"/>
      <c r="G747" s="7" t="n">
        <v>9</v>
      </c>
      <c r="H747" s="7" t="s">
        <v>7998</v>
      </c>
    </row>
    <row r="748" customFormat="false" ht="15" hidden="false" customHeight="true" outlineLevel="0" collapsed="false">
      <c r="A748" s="7" t="s">
        <v>3349</v>
      </c>
      <c r="B748" s="7" t="s">
        <v>7989</v>
      </c>
      <c r="C748" s="12" t="n">
        <v>0</v>
      </c>
      <c r="D748" s="7" t="n">
        <v>18</v>
      </c>
      <c r="E748" s="13"/>
      <c r="F748" s="7"/>
      <c r="G748" s="7" t="n">
        <v>9</v>
      </c>
      <c r="H748" s="7" t="s">
        <v>7998</v>
      </c>
    </row>
    <row r="749" customFormat="false" ht="15" hidden="false" customHeight="true" outlineLevel="0" collapsed="false">
      <c r="A749" s="7" t="s">
        <v>3328</v>
      </c>
      <c r="B749" s="7" t="s">
        <v>7993</v>
      </c>
      <c r="C749" s="12" t="n">
        <v>0</v>
      </c>
      <c r="D749" s="7" t="n">
        <v>9</v>
      </c>
      <c r="E749" s="13" t="n">
        <v>0</v>
      </c>
      <c r="F749" s="7" t="n">
        <v>1</v>
      </c>
      <c r="G749" s="7" t="n">
        <v>9</v>
      </c>
      <c r="H749" s="7"/>
    </row>
    <row r="750" customFormat="false" ht="15" hidden="false" customHeight="true" outlineLevel="0" collapsed="false">
      <c r="A750" s="7" t="s">
        <v>3298</v>
      </c>
      <c r="B750" s="7" t="s">
        <v>7990</v>
      </c>
      <c r="C750" s="12" t="n">
        <v>0</v>
      </c>
      <c r="D750" s="7" t="n">
        <v>9</v>
      </c>
      <c r="E750" s="13" t="n">
        <v>0</v>
      </c>
      <c r="F750" s="7" t="n">
        <v>1</v>
      </c>
      <c r="G750" s="7" t="s">
        <v>6816</v>
      </c>
      <c r="H750" s="7"/>
    </row>
    <row r="751" customFormat="false" ht="15" hidden="false" customHeight="true" outlineLevel="0" collapsed="false">
      <c r="A751" s="7" t="s">
        <v>3295</v>
      </c>
      <c r="B751" s="7" t="s">
        <v>7990</v>
      </c>
      <c r="C751" s="12" t="n">
        <v>0</v>
      </c>
      <c r="D751" s="7" t="n">
        <v>22</v>
      </c>
      <c r="E751" s="13"/>
      <c r="F751" s="7"/>
      <c r="G751" s="7" t="n">
        <v>9</v>
      </c>
      <c r="H751" s="7" t="s">
        <v>7998</v>
      </c>
    </row>
    <row r="752" customFormat="false" ht="15" hidden="false" customHeight="true" outlineLevel="0" collapsed="false">
      <c r="A752" s="7" t="s">
        <v>3306</v>
      </c>
      <c r="B752" s="7" t="s">
        <v>7993</v>
      </c>
      <c r="C752" s="12" t="n">
        <v>0</v>
      </c>
      <c r="D752" s="7" t="n">
        <v>15</v>
      </c>
      <c r="E752" s="13" t="n">
        <v>0</v>
      </c>
      <c r="F752" s="7" t="n">
        <v>0</v>
      </c>
      <c r="G752" s="7" t="n">
        <v>9</v>
      </c>
      <c r="H752" s="7"/>
    </row>
    <row r="753" customFormat="false" ht="15" hidden="false" customHeight="true" outlineLevel="0" collapsed="false">
      <c r="A753" s="7" t="s">
        <v>3317</v>
      </c>
      <c r="B753" s="7" t="s">
        <v>7992</v>
      </c>
      <c r="C753" s="12" t="n">
        <v>0</v>
      </c>
      <c r="D753" s="7" t="n">
        <v>9</v>
      </c>
      <c r="E753" s="13" t="n">
        <v>0</v>
      </c>
      <c r="F753" s="7" t="n">
        <v>1</v>
      </c>
      <c r="G753" s="7" t="n">
        <v>9</v>
      </c>
      <c r="H753" s="7"/>
    </row>
    <row r="754" customFormat="false" ht="15" hidden="false" customHeight="true" outlineLevel="0" collapsed="false">
      <c r="A754" s="7" t="s">
        <v>3360</v>
      </c>
      <c r="B754" s="7" t="s">
        <v>7990</v>
      </c>
      <c r="C754" s="12" t="n">
        <v>0</v>
      </c>
      <c r="D754" s="7" t="n">
        <v>23</v>
      </c>
      <c r="E754" s="13"/>
      <c r="F754" s="7"/>
      <c r="G754" s="7" t="n">
        <v>9</v>
      </c>
      <c r="H754" s="7" t="s">
        <v>7998</v>
      </c>
    </row>
    <row r="755" customFormat="false" ht="15" hidden="false" customHeight="true" outlineLevel="0" collapsed="false">
      <c r="A755" s="7" t="s">
        <v>3372</v>
      </c>
      <c r="B755" s="7" t="s">
        <v>7990</v>
      </c>
      <c r="C755" s="12" t="n">
        <v>0</v>
      </c>
      <c r="D755" s="7" t="n">
        <v>22</v>
      </c>
      <c r="E755" s="13"/>
      <c r="F755" s="7"/>
      <c r="G755" s="7" t="n">
        <v>9</v>
      </c>
      <c r="H755" s="7" t="s">
        <v>7998</v>
      </c>
    </row>
    <row r="756" customFormat="false" ht="15" hidden="false" customHeight="true" outlineLevel="0" collapsed="false">
      <c r="A756" s="7" t="s">
        <v>3404</v>
      </c>
      <c r="B756" s="7" t="s">
        <v>7992</v>
      </c>
      <c r="C756" s="12" t="n">
        <v>0</v>
      </c>
      <c r="D756" s="7" t="n">
        <v>8</v>
      </c>
      <c r="E756" s="13"/>
      <c r="F756" s="7"/>
      <c r="G756" s="7" t="n">
        <v>4</v>
      </c>
      <c r="H756" s="7" t="s">
        <v>7998</v>
      </c>
    </row>
    <row r="757" customFormat="false" ht="15" hidden="false" customHeight="true" outlineLevel="0" collapsed="false">
      <c r="A757" s="7" t="s">
        <v>3405</v>
      </c>
      <c r="B757" s="7" t="s">
        <v>7990</v>
      </c>
      <c r="C757" s="12" t="n">
        <v>0</v>
      </c>
      <c r="D757" s="7" t="n">
        <v>15</v>
      </c>
      <c r="E757" s="13"/>
      <c r="F757" s="7"/>
      <c r="G757" s="7" t="n">
        <v>9</v>
      </c>
      <c r="H757" s="7" t="s">
        <v>7998</v>
      </c>
    </row>
    <row r="758" customFormat="false" ht="15" hidden="false" customHeight="true" outlineLevel="0" collapsed="false">
      <c r="A758" s="7" t="s">
        <v>3383</v>
      </c>
      <c r="B758" s="7" t="s">
        <v>7992</v>
      </c>
      <c r="C758" s="12" t="n">
        <v>0</v>
      </c>
      <c r="D758" s="7" t="n">
        <v>15</v>
      </c>
      <c r="E758" s="13"/>
      <c r="F758" s="7"/>
      <c r="G758" s="7" t="n">
        <v>9</v>
      </c>
      <c r="H758" s="7" t="s">
        <v>7998</v>
      </c>
    </row>
    <row r="759" customFormat="false" ht="15" hidden="false" customHeight="true" outlineLevel="0" collapsed="false">
      <c r="A759" s="7" t="s">
        <v>6501</v>
      </c>
      <c r="B759" s="7" t="s">
        <v>7989</v>
      </c>
      <c r="C759" s="12" t="n">
        <v>0</v>
      </c>
      <c r="D759" s="7" t="n">
        <v>16</v>
      </c>
      <c r="E759" s="13" t="n">
        <v>0</v>
      </c>
      <c r="F759" s="7" t="n">
        <v>1</v>
      </c>
      <c r="G759" s="7" t="n">
        <v>1</v>
      </c>
      <c r="H759" s="7"/>
    </row>
    <row r="760" customFormat="false" ht="15" hidden="false" customHeight="true" outlineLevel="0" collapsed="false">
      <c r="A760" s="7" t="s">
        <v>6502</v>
      </c>
      <c r="B760" s="7" t="s">
        <v>7989</v>
      </c>
      <c r="C760" s="12" t="n">
        <v>0</v>
      </c>
      <c r="D760" s="7" t="n">
        <v>9</v>
      </c>
      <c r="E760" s="13" t="n">
        <v>0.46</v>
      </c>
      <c r="F760" s="7" t="n">
        <v>1</v>
      </c>
      <c r="G760" s="7" t="n">
        <v>1</v>
      </c>
      <c r="H760" s="7"/>
    </row>
    <row r="761" customFormat="false" ht="15" hidden="false" customHeight="true" outlineLevel="0" collapsed="false">
      <c r="A761" s="7" t="s">
        <v>3425</v>
      </c>
      <c r="B761" s="7" t="s">
        <v>7990</v>
      </c>
      <c r="C761" s="12" t="n">
        <v>0</v>
      </c>
      <c r="D761" s="7" t="n">
        <v>10</v>
      </c>
      <c r="E761" s="13"/>
      <c r="F761" s="7"/>
      <c r="G761" s="7" t="n">
        <v>4</v>
      </c>
      <c r="H761" s="7" t="s">
        <v>7998</v>
      </c>
    </row>
    <row r="762" customFormat="false" ht="15" hidden="false" customHeight="true" outlineLevel="0" collapsed="false">
      <c r="A762" s="7" t="s">
        <v>3426</v>
      </c>
      <c r="B762" s="7" t="s">
        <v>7990</v>
      </c>
      <c r="C762" s="12" t="n">
        <v>0</v>
      </c>
      <c r="D762" s="7" t="n">
        <v>13</v>
      </c>
      <c r="E762" s="13"/>
      <c r="F762" s="7"/>
      <c r="G762" s="7" t="n">
        <v>9</v>
      </c>
      <c r="H762" s="7" t="s">
        <v>7998</v>
      </c>
    </row>
    <row r="763" customFormat="false" ht="15" hidden="false" customHeight="true" outlineLevel="0" collapsed="false">
      <c r="A763" s="7" t="s">
        <v>3414</v>
      </c>
      <c r="B763" s="7" t="s">
        <v>7996</v>
      </c>
      <c r="C763" s="12" t="n">
        <v>0</v>
      </c>
      <c r="D763" s="7" t="n">
        <v>28</v>
      </c>
      <c r="E763" s="13"/>
      <c r="F763" s="7"/>
      <c r="G763" s="7" t="n">
        <v>4</v>
      </c>
      <c r="H763" s="7" t="s">
        <v>7998</v>
      </c>
    </row>
    <row r="764" customFormat="false" ht="15" hidden="false" customHeight="true" outlineLevel="0" collapsed="false">
      <c r="A764" s="7" t="s">
        <v>3415</v>
      </c>
      <c r="B764" s="7" t="s">
        <v>7990</v>
      </c>
      <c r="C764" s="12" t="n">
        <v>0</v>
      </c>
      <c r="D764" s="7" t="n">
        <v>7</v>
      </c>
      <c r="E764" s="13"/>
      <c r="F764" s="7"/>
      <c r="G764" s="7" t="n">
        <v>9</v>
      </c>
      <c r="H764" s="7" t="s">
        <v>7998</v>
      </c>
    </row>
    <row r="765" customFormat="false" ht="15" hidden="false" customHeight="true" outlineLevel="0" collapsed="false">
      <c r="A765" s="7" t="s">
        <v>6506</v>
      </c>
      <c r="B765" s="7" t="s">
        <v>7990</v>
      </c>
      <c r="C765" s="12" t="n">
        <v>0</v>
      </c>
      <c r="D765" s="7" t="n">
        <v>16</v>
      </c>
      <c r="E765" s="13"/>
      <c r="F765" s="7"/>
      <c r="G765" s="7" t="n">
        <v>1</v>
      </c>
      <c r="H765" s="7" t="s">
        <v>7998</v>
      </c>
    </row>
    <row r="766" customFormat="false" ht="15" hidden="false" customHeight="true" outlineLevel="0" collapsed="false">
      <c r="A766" s="7" t="s">
        <v>6507</v>
      </c>
      <c r="B766" s="7" t="s">
        <v>7991</v>
      </c>
      <c r="C766" s="12" t="n">
        <v>0</v>
      </c>
      <c r="D766" s="7" t="n">
        <v>15</v>
      </c>
      <c r="E766" s="13"/>
      <c r="F766" s="7"/>
      <c r="G766" s="7" t="n">
        <v>1</v>
      </c>
      <c r="H766" s="7" t="s">
        <v>7998</v>
      </c>
    </row>
    <row r="767" customFormat="false" ht="15" hidden="false" customHeight="true" outlineLevel="0" collapsed="false">
      <c r="A767" s="7" t="s">
        <v>6655</v>
      </c>
      <c r="B767" s="7" t="s">
        <v>7993</v>
      </c>
      <c r="C767" s="12" t="n">
        <v>0</v>
      </c>
      <c r="D767" s="7" t="n">
        <v>13</v>
      </c>
      <c r="E767" s="13"/>
      <c r="F767" s="7"/>
      <c r="G767" s="7" t="n">
        <v>2</v>
      </c>
      <c r="H767" s="7" t="s">
        <v>7998</v>
      </c>
    </row>
    <row r="768" customFormat="false" ht="15" hidden="false" customHeight="true" outlineLevel="0" collapsed="false">
      <c r="A768" s="7" t="s">
        <v>3437</v>
      </c>
      <c r="B768" s="7" t="s">
        <v>7991</v>
      </c>
      <c r="C768" s="12" t="n">
        <v>0</v>
      </c>
      <c r="D768" s="7" t="n">
        <v>22</v>
      </c>
      <c r="E768" s="13"/>
      <c r="F768" s="7"/>
      <c r="G768" s="7" t="n">
        <v>9</v>
      </c>
      <c r="H768" s="7" t="s">
        <v>7998</v>
      </c>
    </row>
    <row r="769" customFormat="false" ht="15" hidden="false" customHeight="true" outlineLevel="0" collapsed="false">
      <c r="A769" s="7" t="s">
        <v>3470</v>
      </c>
      <c r="B769" s="7" t="s">
        <v>7990</v>
      </c>
      <c r="C769" s="12" t="n">
        <v>0</v>
      </c>
      <c r="D769" s="7" t="n">
        <v>18</v>
      </c>
      <c r="E769" s="13"/>
      <c r="F769" s="7"/>
      <c r="G769" s="7" t="n">
        <v>9</v>
      </c>
      <c r="H769" s="7" t="s">
        <v>7998</v>
      </c>
    </row>
    <row r="770" customFormat="false" ht="15" hidden="false" customHeight="true" outlineLevel="0" collapsed="false">
      <c r="A770" s="7" t="s">
        <v>2232</v>
      </c>
      <c r="B770" s="7" t="s">
        <v>7989</v>
      </c>
      <c r="C770" s="12" t="n">
        <v>0</v>
      </c>
      <c r="D770" s="7" t="n">
        <v>14</v>
      </c>
      <c r="E770" s="13"/>
      <c r="F770" s="7"/>
      <c r="G770" s="7" t="n">
        <v>4</v>
      </c>
      <c r="H770" s="7" t="s">
        <v>7998</v>
      </c>
    </row>
    <row r="771" customFormat="false" ht="15" hidden="false" customHeight="true" outlineLevel="0" collapsed="false">
      <c r="A771" s="7" t="s">
        <v>2233</v>
      </c>
      <c r="B771" s="7" t="s">
        <v>7992</v>
      </c>
      <c r="C771" s="12" t="n">
        <v>0</v>
      </c>
      <c r="D771" s="7" t="n">
        <v>17</v>
      </c>
      <c r="E771" s="13"/>
      <c r="F771" s="7"/>
      <c r="G771" s="7" t="n">
        <v>9</v>
      </c>
      <c r="H771" s="7" t="s">
        <v>7998</v>
      </c>
    </row>
    <row r="772" customFormat="false" ht="15" hidden="false" customHeight="true" outlineLevel="0" collapsed="false">
      <c r="A772" s="7" t="s">
        <v>1921</v>
      </c>
      <c r="B772" s="7" t="s">
        <v>7989</v>
      </c>
      <c r="C772" s="12" t="n">
        <v>0</v>
      </c>
      <c r="D772" s="7" t="n">
        <v>18</v>
      </c>
      <c r="E772" s="13"/>
      <c r="F772" s="7"/>
      <c r="G772" s="7" t="n">
        <v>4</v>
      </c>
      <c r="H772" s="7" t="s">
        <v>7998</v>
      </c>
    </row>
    <row r="773" customFormat="false" ht="15" hidden="false" customHeight="true" outlineLevel="0" collapsed="false">
      <c r="A773" s="7" t="s">
        <v>1922</v>
      </c>
      <c r="B773" s="7" t="s">
        <v>7990</v>
      </c>
      <c r="C773" s="12" t="n">
        <v>0</v>
      </c>
      <c r="D773" s="7" t="n">
        <v>13</v>
      </c>
      <c r="E773" s="13"/>
      <c r="F773" s="7"/>
      <c r="G773" s="7" t="n">
        <v>9</v>
      </c>
      <c r="H773" s="7" t="s">
        <v>7998</v>
      </c>
    </row>
    <row r="774" customFormat="false" ht="15" hidden="false" customHeight="true" outlineLevel="0" collapsed="false">
      <c r="A774" s="7" t="s">
        <v>2323</v>
      </c>
      <c r="B774" s="7" t="s">
        <v>7990</v>
      </c>
      <c r="C774" s="12" t="n">
        <v>0</v>
      </c>
      <c r="D774" s="7" t="n">
        <v>14</v>
      </c>
      <c r="E774" s="13"/>
      <c r="F774" s="7"/>
      <c r="G774" s="7" t="n">
        <v>4</v>
      </c>
      <c r="H774" s="7" t="s">
        <v>7998</v>
      </c>
    </row>
    <row r="775" customFormat="false" ht="15" hidden="false" customHeight="true" outlineLevel="0" collapsed="false">
      <c r="A775" s="7" t="s">
        <v>2258</v>
      </c>
      <c r="B775" s="7" t="s">
        <v>7996</v>
      </c>
      <c r="C775" s="12" t="n">
        <v>0</v>
      </c>
      <c r="D775" s="7" t="n">
        <v>14</v>
      </c>
      <c r="E775" s="13"/>
      <c r="F775" s="7"/>
      <c r="G775" s="7" t="n">
        <v>4</v>
      </c>
      <c r="H775" s="7" t="s">
        <v>7998</v>
      </c>
    </row>
    <row r="776" customFormat="false" ht="15" hidden="false" customHeight="true" outlineLevel="0" collapsed="false">
      <c r="A776" s="7" t="s">
        <v>2264</v>
      </c>
      <c r="B776" s="7" t="s">
        <v>7996</v>
      </c>
      <c r="C776" s="12" t="n">
        <v>0</v>
      </c>
      <c r="D776" s="7" t="n">
        <v>14</v>
      </c>
      <c r="E776" s="13"/>
      <c r="F776" s="7"/>
      <c r="G776" s="7" t="n">
        <v>4</v>
      </c>
      <c r="H776" s="7" t="s">
        <v>7998</v>
      </c>
    </row>
    <row r="777" customFormat="false" ht="15" hidden="false" customHeight="true" outlineLevel="0" collapsed="false">
      <c r="A777" s="7" t="s">
        <v>1898</v>
      </c>
      <c r="B777" s="7" t="s">
        <v>7995</v>
      </c>
      <c r="C777" s="12" t="n">
        <v>0</v>
      </c>
      <c r="D777" s="7" t="n">
        <v>13</v>
      </c>
      <c r="E777" s="13"/>
      <c r="F777" s="7"/>
      <c r="G777" s="7" t="n">
        <v>4</v>
      </c>
      <c r="H777" s="7" t="s">
        <v>7998</v>
      </c>
    </row>
    <row r="778" customFormat="false" ht="15" hidden="false" customHeight="true" outlineLevel="0" collapsed="false">
      <c r="A778" s="7" t="s">
        <v>2106</v>
      </c>
      <c r="B778" s="7" t="s">
        <v>7989</v>
      </c>
      <c r="C778" s="12" t="n">
        <v>0</v>
      </c>
      <c r="D778" s="7" t="n">
        <v>15</v>
      </c>
      <c r="E778" s="13"/>
      <c r="F778" s="7"/>
      <c r="G778" s="7" t="n">
        <v>4</v>
      </c>
      <c r="H778" s="7" t="s">
        <v>7998</v>
      </c>
    </row>
    <row r="779" customFormat="false" ht="15" hidden="false" customHeight="true" outlineLevel="0" collapsed="false">
      <c r="A779" s="7" t="s">
        <v>1943</v>
      </c>
      <c r="B779" s="7" t="s">
        <v>7996</v>
      </c>
      <c r="C779" s="12" t="n">
        <v>0</v>
      </c>
      <c r="D779" s="7" t="n">
        <v>14</v>
      </c>
      <c r="E779" s="13"/>
      <c r="F779" s="7"/>
      <c r="G779" s="7" t="n">
        <v>4</v>
      </c>
      <c r="H779" s="7" t="s">
        <v>7998</v>
      </c>
    </row>
    <row r="780" customFormat="false" ht="15" hidden="false" customHeight="true" outlineLevel="0" collapsed="false">
      <c r="A780" s="7" t="s">
        <v>2200</v>
      </c>
      <c r="B780" s="7" t="s">
        <v>7996</v>
      </c>
      <c r="C780" s="12" t="n">
        <v>0</v>
      </c>
      <c r="D780" s="7" t="n">
        <v>14</v>
      </c>
      <c r="E780" s="13"/>
      <c r="F780" s="7"/>
      <c r="G780" s="7" t="n">
        <v>4</v>
      </c>
      <c r="H780" s="7" t="s">
        <v>7998</v>
      </c>
    </row>
    <row r="781" customFormat="false" ht="15" hidden="false" customHeight="true" outlineLevel="0" collapsed="false">
      <c r="A781" s="7" t="s">
        <v>2139</v>
      </c>
      <c r="B781" s="7" t="s">
        <v>7994</v>
      </c>
      <c r="C781" s="12" t="n">
        <v>0</v>
      </c>
      <c r="D781" s="7" t="n">
        <v>16</v>
      </c>
      <c r="E781" s="13"/>
      <c r="F781" s="7"/>
      <c r="G781" s="7" t="n">
        <v>5</v>
      </c>
      <c r="H781" s="7" t="s">
        <v>7998</v>
      </c>
    </row>
    <row r="782" customFormat="false" ht="15" hidden="false" customHeight="true" outlineLevel="0" collapsed="false">
      <c r="A782" s="7" t="s">
        <v>2219</v>
      </c>
      <c r="B782" s="7" t="s">
        <v>7989</v>
      </c>
      <c r="C782" s="12" t="n">
        <v>0</v>
      </c>
      <c r="D782" s="7" t="n">
        <v>22</v>
      </c>
      <c r="E782" s="13"/>
      <c r="F782" s="7"/>
      <c r="G782" s="7" t="n">
        <v>5</v>
      </c>
      <c r="H782" s="7" t="s">
        <v>7998</v>
      </c>
    </row>
    <row r="783" customFormat="false" ht="15" hidden="false" customHeight="true" outlineLevel="0" collapsed="false">
      <c r="A783" s="7" t="s">
        <v>2127</v>
      </c>
      <c r="B783" s="7" t="s">
        <v>7989</v>
      </c>
      <c r="C783" s="12" t="n">
        <v>0</v>
      </c>
      <c r="D783" s="7" t="n">
        <v>18</v>
      </c>
      <c r="E783" s="13"/>
      <c r="F783" s="7"/>
      <c r="G783" s="7" t="n">
        <v>5</v>
      </c>
      <c r="H783" s="7" t="s">
        <v>7998</v>
      </c>
    </row>
    <row r="784" customFormat="false" ht="15" hidden="false" customHeight="true" outlineLevel="0" collapsed="false">
      <c r="A784" s="7" t="s">
        <v>2288</v>
      </c>
      <c r="B784" s="7" t="s">
        <v>7993</v>
      </c>
      <c r="C784" s="12" t="n">
        <v>0</v>
      </c>
      <c r="D784" s="7" t="n">
        <v>15</v>
      </c>
      <c r="E784" s="13"/>
      <c r="F784" s="7"/>
      <c r="G784" s="7" t="n">
        <v>5</v>
      </c>
      <c r="H784" s="7" t="s">
        <v>7998</v>
      </c>
    </row>
    <row r="785" customFormat="false" ht="15" hidden="false" customHeight="true" outlineLevel="0" collapsed="false">
      <c r="A785" s="7" t="s">
        <v>6657</v>
      </c>
      <c r="B785" s="7" t="s">
        <v>7996</v>
      </c>
      <c r="C785" s="12" t="n">
        <v>0</v>
      </c>
      <c r="D785" s="7" t="n">
        <v>6</v>
      </c>
      <c r="E785" s="13" t="n">
        <v>0</v>
      </c>
      <c r="F785" s="7" t="n">
        <v>0</v>
      </c>
      <c r="G785" s="7" t="n">
        <v>2</v>
      </c>
      <c r="H785" s="7"/>
    </row>
    <row r="786" customFormat="false" ht="15" hidden="false" customHeight="true" outlineLevel="0" collapsed="false">
      <c r="A786" s="7" t="s">
        <v>6658</v>
      </c>
      <c r="B786" s="7" t="s">
        <v>7996</v>
      </c>
      <c r="C786" s="12" t="n">
        <v>0</v>
      </c>
      <c r="D786" s="7" t="n">
        <v>17</v>
      </c>
      <c r="E786" s="13"/>
      <c r="F786" s="7"/>
      <c r="G786" s="7" t="n">
        <v>2</v>
      </c>
      <c r="H786" s="7" t="s">
        <v>7998</v>
      </c>
    </row>
    <row r="787" customFormat="false" ht="15" hidden="false" customHeight="true" outlineLevel="0" collapsed="false">
      <c r="A787" s="7" t="s">
        <v>6660</v>
      </c>
      <c r="B787" s="7" t="s">
        <v>7996</v>
      </c>
      <c r="C787" s="12" t="n">
        <v>0</v>
      </c>
      <c r="D787" s="7" t="n">
        <v>14</v>
      </c>
      <c r="E787" s="13"/>
      <c r="F787" s="7"/>
      <c r="G787" s="7" t="n">
        <v>2</v>
      </c>
      <c r="H787" s="7" t="s">
        <v>7998</v>
      </c>
    </row>
    <row r="788" customFormat="false" ht="15" hidden="false" customHeight="true" outlineLevel="0" collapsed="false">
      <c r="A788" s="7" t="s">
        <v>6661</v>
      </c>
      <c r="B788" s="7" t="s">
        <v>7996</v>
      </c>
      <c r="C788" s="12" t="n">
        <v>0</v>
      </c>
      <c r="D788" s="7" t="n">
        <v>14</v>
      </c>
      <c r="E788" s="13"/>
      <c r="F788" s="7"/>
      <c r="G788" s="7" t="n">
        <v>2</v>
      </c>
      <c r="H788" s="7" t="s">
        <v>7998</v>
      </c>
    </row>
    <row r="789" customFormat="false" ht="15" hidden="false" customHeight="true" outlineLevel="0" collapsed="false">
      <c r="A789" s="7" t="s">
        <v>1905</v>
      </c>
      <c r="B789" s="7" t="s">
        <v>7996</v>
      </c>
      <c r="C789" s="12" t="n">
        <v>0</v>
      </c>
      <c r="D789" s="7" t="n">
        <v>14</v>
      </c>
      <c r="E789" s="13"/>
      <c r="F789" s="7"/>
      <c r="G789" s="7" t="n">
        <v>5</v>
      </c>
      <c r="H789" s="7" t="s">
        <v>7998</v>
      </c>
    </row>
    <row r="790" customFormat="false" ht="15" hidden="false" customHeight="true" outlineLevel="0" collapsed="false">
      <c r="A790" s="7" t="s">
        <v>6662</v>
      </c>
      <c r="B790" s="7" t="s">
        <v>7992</v>
      </c>
      <c r="C790" s="12" t="n">
        <v>0</v>
      </c>
      <c r="D790" s="7" t="n">
        <v>14</v>
      </c>
      <c r="E790" s="13"/>
      <c r="F790" s="7"/>
      <c r="G790" s="7" t="n">
        <v>2</v>
      </c>
      <c r="H790" s="7" t="s">
        <v>7998</v>
      </c>
    </row>
    <row r="791" customFormat="false" ht="15" hidden="false" customHeight="true" outlineLevel="0" collapsed="false">
      <c r="A791" s="7" t="s">
        <v>6773</v>
      </c>
      <c r="B791" s="7" t="s">
        <v>7996</v>
      </c>
      <c r="C791" s="12" t="n">
        <v>0</v>
      </c>
      <c r="D791" s="7" t="n">
        <v>17</v>
      </c>
      <c r="E791" s="13"/>
      <c r="F791" s="7"/>
      <c r="G791" s="7" t="n">
        <v>3</v>
      </c>
      <c r="H791" s="7" t="s">
        <v>7998</v>
      </c>
    </row>
    <row r="792" customFormat="false" ht="15" hidden="false" customHeight="true" outlineLevel="0" collapsed="false">
      <c r="A792" s="7" t="s">
        <v>6774</v>
      </c>
      <c r="B792" s="7" t="s">
        <v>7996</v>
      </c>
      <c r="C792" s="12" t="n">
        <v>0</v>
      </c>
      <c r="D792" s="7" t="n">
        <v>16</v>
      </c>
      <c r="E792" s="13"/>
      <c r="F792" s="7"/>
      <c r="G792" s="7" t="n">
        <v>3</v>
      </c>
      <c r="H792" s="7" t="s">
        <v>7998</v>
      </c>
    </row>
    <row r="793" customFormat="false" ht="15" hidden="false" customHeight="true" outlineLevel="0" collapsed="false">
      <c r="A793" s="7" t="s">
        <v>2146</v>
      </c>
      <c r="B793" s="7" t="s">
        <v>7995</v>
      </c>
      <c r="C793" s="12" t="n">
        <v>0</v>
      </c>
      <c r="D793" s="7" t="n">
        <v>22</v>
      </c>
      <c r="E793" s="13"/>
      <c r="F793" s="7"/>
      <c r="G793" s="7" t="n">
        <v>5</v>
      </c>
      <c r="H793" s="7" t="s">
        <v>7998</v>
      </c>
    </row>
    <row r="794" customFormat="false" ht="15" hidden="false" customHeight="true" outlineLevel="0" collapsed="false">
      <c r="A794" s="7" t="s">
        <v>1890</v>
      </c>
      <c r="B794" s="7" t="s">
        <v>7996</v>
      </c>
      <c r="C794" s="12" t="n">
        <v>0</v>
      </c>
      <c r="D794" s="7" t="n">
        <v>15</v>
      </c>
      <c r="E794" s="13"/>
      <c r="F794" s="7"/>
      <c r="G794" s="7" t="n">
        <v>5</v>
      </c>
      <c r="H794" s="7" t="s">
        <v>7998</v>
      </c>
    </row>
    <row r="795" customFormat="false" ht="15" hidden="false" customHeight="true" outlineLevel="0" collapsed="false">
      <c r="A795" s="7" t="s">
        <v>1883</v>
      </c>
      <c r="B795" s="7" t="s">
        <v>7996</v>
      </c>
      <c r="C795" s="12" t="n">
        <v>0</v>
      </c>
      <c r="D795" s="7" t="n">
        <v>14</v>
      </c>
      <c r="E795" s="13"/>
      <c r="F795" s="7"/>
      <c r="G795" s="7" t="n">
        <v>5</v>
      </c>
      <c r="H795" s="7" t="s">
        <v>7998</v>
      </c>
    </row>
    <row r="796" customFormat="false" ht="15" hidden="false" customHeight="true" outlineLevel="0" collapsed="false">
      <c r="A796" s="7" t="s">
        <v>2282</v>
      </c>
      <c r="B796" s="7" t="s">
        <v>7996</v>
      </c>
      <c r="C796" s="12" t="n">
        <v>0</v>
      </c>
      <c r="D796" s="7" t="n">
        <v>18</v>
      </c>
      <c r="E796" s="13"/>
      <c r="F796" s="7"/>
      <c r="G796" s="7" t="n">
        <v>5</v>
      </c>
      <c r="H796" s="7" t="s">
        <v>7998</v>
      </c>
    </row>
    <row r="797" customFormat="false" ht="15" hidden="false" customHeight="true" outlineLevel="0" collapsed="false">
      <c r="A797" s="7" t="s">
        <v>6664</v>
      </c>
      <c r="B797" s="7" t="s">
        <v>7996</v>
      </c>
      <c r="C797" s="12" t="n">
        <v>0</v>
      </c>
      <c r="D797" s="7" t="n">
        <v>30</v>
      </c>
      <c r="E797" s="13"/>
      <c r="F797" s="7"/>
      <c r="G797" s="7" t="n">
        <v>2</v>
      </c>
      <c r="H797" s="7" t="s">
        <v>7998</v>
      </c>
    </row>
    <row r="798" customFormat="false" ht="15" hidden="false" customHeight="true" outlineLevel="0" collapsed="false">
      <c r="A798" s="7" t="s">
        <v>2276</v>
      </c>
      <c r="B798" s="7" t="s">
        <v>7990</v>
      </c>
      <c r="C798" s="12" t="n">
        <v>0</v>
      </c>
      <c r="D798" s="7" t="n">
        <v>15</v>
      </c>
      <c r="E798" s="13"/>
      <c r="F798" s="7"/>
      <c r="G798" s="7" t="n">
        <v>5</v>
      </c>
      <c r="H798" s="7" t="s">
        <v>7998</v>
      </c>
    </row>
    <row r="799" customFormat="false" ht="15" hidden="false" customHeight="true" outlineLevel="0" collapsed="false">
      <c r="A799" s="7" t="s">
        <v>2383</v>
      </c>
      <c r="B799" s="7" t="s">
        <v>7996</v>
      </c>
      <c r="C799" s="12" t="n">
        <v>0</v>
      </c>
      <c r="D799" s="7" t="n">
        <v>12</v>
      </c>
      <c r="E799" s="13"/>
      <c r="F799" s="7"/>
      <c r="G799" s="7" t="n">
        <v>5</v>
      </c>
      <c r="H799" s="7" t="s">
        <v>7998</v>
      </c>
    </row>
    <row r="800" customFormat="false" ht="15" hidden="false" customHeight="true" outlineLevel="0" collapsed="false">
      <c r="A800" s="7" t="s">
        <v>2371</v>
      </c>
      <c r="B800" s="7" t="s">
        <v>7990</v>
      </c>
      <c r="C800" s="12" t="n">
        <v>0</v>
      </c>
      <c r="D800" s="7" t="n">
        <v>20</v>
      </c>
      <c r="E800" s="13"/>
      <c r="F800" s="7"/>
      <c r="G800" s="7" t="n">
        <v>5</v>
      </c>
      <c r="H800" s="7" t="s">
        <v>7998</v>
      </c>
    </row>
    <row r="801" customFormat="false" ht="15" hidden="false" customHeight="true" outlineLevel="0" collapsed="false">
      <c r="A801" s="7" t="s">
        <v>1913</v>
      </c>
      <c r="B801" s="7" t="s">
        <v>7996</v>
      </c>
      <c r="C801" s="12" t="n">
        <v>0</v>
      </c>
      <c r="D801" s="7" t="n">
        <v>19</v>
      </c>
      <c r="E801" s="13"/>
      <c r="F801" s="7"/>
      <c r="G801" s="7" t="n">
        <v>5</v>
      </c>
      <c r="H801" s="7" t="s">
        <v>7998</v>
      </c>
    </row>
    <row r="802" customFormat="false" ht="15" hidden="false" customHeight="true" outlineLevel="0" collapsed="false">
      <c r="A802" s="7" t="s">
        <v>2359</v>
      </c>
      <c r="B802" s="7" t="s">
        <v>7990</v>
      </c>
      <c r="C802" s="12" t="n">
        <v>0</v>
      </c>
      <c r="D802" s="7" t="n">
        <v>14</v>
      </c>
      <c r="E802" s="13"/>
      <c r="F802" s="7"/>
      <c r="G802" s="7" t="n">
        <v>5</v>
      </c>
      <c r="H802" s="7" t="s">
        <v>7998</v>
      </c>
    </row>
    <row r="803" customFormat="false" ht="15" hidden="false" customHeight="true" outlineLevel="0" collapsed="false">
      <c r="A803" s="7" t="s">
        <v>2038</v>
      </c>
      <c r="B803" s="7" t="s">
        <v>7996</v>
      </c>
      <c r="C803" s="12" t="n">
        <v>0</v>
      </c>
      <c r="D803" s="7" t="n">
        <v>6</v>
      </c>
      <c r="E803" s="13" t="n">
        <v>0</v>
      </c>
      <c r="F803" s="7" t="n">
        <v>0</v>
      </c>
      <c r="G803" s="7" t="n">
        <v>5</v>
      </c>
      <c r="H803" s="7"/>
    </row>
    <row r="804" customFormat="false" ht="15" hidden="false" customHeight="true" outlineLevel="0" collapsed="false">
      <c r="A804" s="7" t="s">
        <v>2133</v>
      </c>
      <c r="B804" s="7" t="s">
        <v>7996</v>
      </c>
      <c r="C804" s="12" t="n">
        <v>0</v>
      </c>
      <c r="D804" s="7" t="n">
        <v>13</v>
      </c>
      <c r="E804" s="13"/>
      <c r="F804" s="7"/>
      <c r="G804" s="7" t="n">
        <v>5</v>
      </c>
      <c r="H804" s="7" t="s">
        <v>7998</v>
      </c>
    </row>
    <row r="805" customFormat="false" ht="15" hidden="false" customHeight="true" outlineLevel="0" collapsed="false">
      <c r="A805" s="7" t="s">
        <v>6665</v>
      </c>
      <c r="B805" s="7" t="s">
        <v>7996</v>
      </c>
      <c r="C805" s="12" t="n">
        <v>0</v>
      </c>
      <c r="D805" s="7" t="n">
        <v>14</v>
      </c>
      <c r="E805" s="13"/>
      <c r="F805" s="7"/>
      <c r="G805" s="7" t="n">
        <v>2</v>
      </c>
      <c r="H805" s="7" t="s">
        <v>7998</v>
      </c>
    </row>
    <row r="806" customFormat="false" ht="15" hidden="false" customHeight="true" outlineLevel="0" collapsed="false">
      <c r="A806" s="7" t="s">
        <v>6668</v>
      </c>
      <c r="B806" s="7" t="s">
        <v>7996</v>
      </c>
      <c r="C806" s="12" t="n">
        <v>0</v>
      </c>
      <c r="D806" s="7" t="n">
        <v>14</v>
      </c>
      <c r="E806" s="13"/>
      <c r="F806" s="7"/>
      <c r="G806" s="7" t="n">
        <v>2</v>
      </c>
      <c r="H806" s="7" t="s">
        <v>7998</v>
      </c>
    </row>
    <row r="807" customFormat="false" ht="15" hidden="false" customHeight="true" outlineLevel="0" collapsed="false">
      <c r="A807" s="7" t="s">
        <v>2193</v>
      </c>
      <c r="B807" s="7" t="s">
        <v>7996</v>
      </c>
      <c r="C807" s="12" t="n">
        <v>0</v>
      </c>
      <c r="D807" s="7" t="n">
        <v>13</v>
      </c>
      <c r="E807" s="13" t="n">
        <v>0</v>
      </c>
      <c r="F807" s="7" t="n">
        <v>0</v>
      </c>
      <c r="G807" s="7" t="n">
        <v>5</v>
      </c>
      <c r="H807" s="7"/>
    </row>
    <row r="808" customFormat="false" ht="15" hidden="false" customHeight="true" outlineLevel="0" collapsed="false">
      <c r="A808" s="7" t="s">
        <v>2032</v>
      </c>
      <c r="B808" s="7" t="s">
        <v>7992</v>
      </c>
      <c r="C808" s="12" t="n">
        <v>0</v>
      </c>
      <c r="D808" s="7" t="n">
        <v>16</v>
      </c>
      <c r="E808" s="13"/>
      <c r="F808" s="7"/>
      <c r="G808" s="7" t="n">
        <v>5</v>
      </c>
      <c r="H808" s="7" t="s">
        <v>7998</v>
      </c>
    </row>
    <row r="809" customFormat="false" ht="15" hidden="false" customHeight="true" outlineLevel="0" collapsed="false">
      <c r="A809" s="7" t="s">
        <v>1971</v>
      </c>
      <c r="B809" s="7" t="s">
        <v>7992</v>
      </c>
      <c r="C809" s="12" t="n">
        <v>0</v>
      </c>
      <c r="D809" s="7" t="n">
        <v>14</v>
      </c>
      <c r="E809" s="13"/>
      <c r="F809" s="7"/>
      <c r="G809" s="7" t="n">
        <v>5</v>
      </c>
      <c r="H809" s="7" t="s">
        <v>7998</v>
      </c>
    </row>
    <row r="810" customFormat="false" ht="15" hidden="false" customHeight="true" outlineLevel="0" collapsed="false">
      <c r="A810" s="7" t="s">
        <v>2377</v>
      </c>
      <c r="B810" s="7" t="s">
        <v>7990</v>
      </c>
      <c r="C810" s="12" t="n">
        <v>0</v>
      </c>
      <c r="D810" s="7" t="n">
        <v>27</v>
      </c>
      <c r="E810" s="13"/>
      <c r="F810" s="7"/>
      <c r="G810" s="7" t="n">
        <v>5</v>
      </c>
      <c r="H810" s="7" t="s">
        <v>7998</v>
      </c>
    </row>
    <row r="811" customFormat="false" ht="15" hidden="false" customHeight="true" outlineLevel="0" collapsed="false">
      <c r="A811" s="7" t="s">
        <v>2335</v>
      </c>
      <c r="B811" s="7" t="s">
        <v>7996</v>
      </c>
      <c r="C811" s="12" t="n">
        <v>0</v>
      </c>
      <c r="D811" s="7" t="n">
        <v>12</v>
      </c>
      <c r="E811" s="13" t="n">
        <v>0</v>
      </c>
      <c r="F811" s="7" t="n">
        <v>0</v>
      </c>
      <c r="G811" s="7" t="n">
        <v>5</v>
      </c>
      <c r="H811" s="7"/>
    </row>
    <row r="812" customFormat="false" ht="15" hidden="false" customHeight="true" outlineLevel="0" collapsed="false">
      <c r="A812" s="7" t="s">
        <v>2311</v>
      </c>
      <c r="B812" s="7" t="s">
        <v>7996</v>
      </c>
      <c r="C812" s="12" t="n">
        <v>0</v>
      </c>
      <c r="D812" s="7" t="n">
        <v>16</v>
      </c>
      <c r="E812" s="13"/>
      <c r="F812" s="7"/>
      <c r="G812" s="7" t="n">
        <v>5</v>
      </c>
      <c r="H812" s="7" t="s">
        <v>7998</v>
      </c>
    </row>
    <row r="813" customFormat="false" ht="15" hidden="false" customHeight="true" outlineLevel="0" collapsed="false">
      <c r="A813" s="7" t="s">
        <v>2341</v>
      </c>
      <c r="B813" s="7" t="s">
        <v>7996</v>
      </c>
      <c r="C813" s="12" t="n">
        <v>0</v>
      </c>
      <c r="D813" s="7" t="n">
        <v>20</v>
      </c>
      <c r="E813" s="13"/>
      <c r="F813" s="7"/>
      <c r="G813" s="7" t="n">
        <v>5</v>
      </c>
      <c r="H813" s="7" t="s">
        <v>7998</v>
      </c>
    </row>
    <row r="814" customFormat="false" ht="15" hidden="false" customHeight="true" outlineLevel="0" collapsed="false">
      <c r="A814" s="7" t="s">
        <v>6672</v>
      </c>
      <c r="B814" s="7" t="s">
        <v>7996</v>
      </c>
      <c r="C814" s="12" t="n">
        <v>0</v>
      </c>
      <c r="D814" s="7" t="n">
        <v>22</v>
      </c>
      <c r="E814" s="13"/>
      <c r="F814" s="7"/>
      <c r="G814" s="7" t="n">
        <v>2</v>
      </c>
      <c r="H814" s="7" t="s">
        <v>7998</v>
      </c>
    </row>
    <row r="815" customFormat="false" ht="15" hidden="false" customHeight="true" outlineLevel="0" collapsed="false">
      <c r="A815" s="7" t="s">
        <v>2305</v>
      </c>
      <c r="B815" s="7" t="s">
        <v>7990</v>
      </c>
      <c r="C815" s="12" t="n">
        <v>0</v>
      </c>
      <c r="D815" s="7" t="n">
        <v>14</v>
      </c>
      <c r="E815" s="13"/>
      <c r="F815" s="7"/>
      <c r="G815" s="7" t="n">
        <v>5</v>
      </c>
      <c r="H815" s="7" t="s">
        <v>7998</v>
      </c>
    </row>
    <row r="816" customFormat="false" ht="15" hidden="false" customHeight="true" outlineLevel="0" collapsed="false">
      <c r="A816" s="7" t="s">
        <v>2329</v>
      </c>
      <c r="B816" s="7" t="s">
        <v>7990</v>
      </c>
      <c r="C816" s="12" t="n">
        <v>0</v>
      </c>
      <c r="D816" s="7" t="n">
        <v>14</v>
      </c>
      <c r="E816" s="13"/>
      <c r="F816" s="7"/>
      <c r="G816" s="7" t="n">
        <v>5</v>
      </c>
      <c r="H816" s="7" t="s">
        <v>7998</v>
      </c>
    </row>
    <row r="817" customFormat="false" ht="15" hidden="false" customHeight="true" outlineLevel="0" collapsed="false">
      <c r="A817" s="7" t="s">
        <v>2294</v>
      </c>
      <c r="B817" s="7" t="s">
        <v>7996</v>
      </c>
      <c r="C817" s="12" t="n">
        <v>0</v>
      </c>
      <c r="D817" s="7" t="n">
        <v>20</v>
      </c>
      <c r="E817" s="13"/>
      <c r="F817" s="7"/>
      <c r="G817" s="7" t="n">
        <v>5</v>
      </c>
      <c r="H817" s="7" t="s">
        <v>7998</v>
      </c>
    </row>
    <row r="818" customFormat="false" ht="15" hidden="false" customHeight="true" outlineLevel="0" collapsed="false">
      <c r="A818" s="7" t="s">
        <v>2300</v>
      </c>
      <c r="B818" s="7" t="s">
        <v>7996</v>
      </c>
      <c r="C818" s="12" t="n">
        <v>0</v>
      </c>
      <c r="D818" s="7" t="n">
        <v>27</v>
      </c>
      <c r="E818" s="13"/>
      <c r="F818" s="7"/>
      <c r="G818" s="7" t="n">
        <v>5</v>
      </c>
      <c r="H818" s="7" t="s">
        <v>7998</v>
      </c>
    </row>
    <row r="819" customFormat="false" ht="15" hidden="false" customHeight="true" outlineLevel="0" collapsed="false">
      <c r="A819" s="7" t="s">
        <v>1964</v>
      </c>
      <c r="B819" s="7" t="s">
        <v>7989</v>
      </c>
      <c r="C819" s="12" t="n">
        <v>0</v>
      </c>
      <c r="D819" s="7" t="n">
        <v>22</v>
      </c>
      <c r="E819" s="13"/>
      <c r="F819" s="7"/>
      <c r="G819" s="7" t="n">
        <v>5</v>
      </c>
      <c r="H819" s="7" t="s">
        <v>7998</v>
      </c>
    </row>
    <row r="820" customFormat="false" ht="15" hidden="false" customHeight="true" outlineLevel="0" collapsed="false">
      <c r="A820" s="7" t="s">
        <v>2270</v>
      </c>
      <c r="B820" s="7" t="s">
        <v>7992</v>
      </c>
      <c r="C820" s="12" t="n">
        <v>0</v>
      </c>
      <c r="D820" s="7" t="n">
        <v>13</v>
      </c>
      <c r="E820" s="13"/>
      <c r="F820" s="7"/>
      <c r="G820" s="7" t="n">
        <v>5</v>
      </c>
      <c r="H820" s="7" t="s">
        <v>7998</v>
      </c>
    </row>
    <row r="821" customFormat="false" ht="15" hidden="false" customHeight="true" outlineLevel="0" collapsed="false">
      <c r="A821" s="7" t="s">
        <v>2085</v>
      </c>
      <c r="B821" s="7" t="s">
        <v>7994</v>
      </c>
      <c r="C821" s="12" t="n">
        <v>0</v>
      </c>
      <c r="D821" s="7" t="n">
        <v>18</v>
      </c>
      <c r="E821" s="13"/>
      <c r="F821" s="7"/>
      <c r="G821" s="7" t="n">
        <v>5</v>
      </c>
      <c r="H821" s="7" t="s">
        <v>7998</v>
      </c>
    </row>
    <row r="822" customFormat="false" ht="15" hidden="false" customHeight="true" outlineLevel="0" collapsed="false">
      <c r="A822" s="7" t="s">
        <v>6675</v>
      </c>
      <c r="B822" s="7" t="s">
        <v>7996</v>
      </c>
      <c r="C822" s="12" t="n">
        <v>0</v>
      </c>
      <c r="D822" s="7" t="n">
        <v>25</v>
      </c>
      <c r="E822" s="13"/>
      <c r="F822" s="7"/>
      <c r="G822" s="7" t="n">
        <v>2</v>
      </c>
      <c r="H822" s="7" t="s">
        <v>7998</v>
      </c>
    </row>
    <row r="823" customFormat="false" ht="15" hidden="false" customHeight="true" outlineLevel="0" collapsed="false">
      <c r="A823" s="7" t="s">
        <v>2353</v>
      </c>
      <c r="B823" s="7" t="s">
        <v>7996</v>
      </c>
      <c r="C823" s="12" t="n">
        <v>0</v>
      </c>
      <c r="D823" s="7" t="n">
        <v>21</v>
      </c>
      <c r="E823" s="13"/>
      <c r="F823" s="7"/>
      <c r="G823" s="7" t="n">
        <v>5</v>
      </c>
      <c r="H823" s="7" t="s">
        <v>7998</v>
      </c>
    </row>
    <row r="824" customFormat="false" ht="15" hidden="false" customHeight="true" outlineLevel="0" collapsed="false">
      <c r="A824" s="7" t="s">
        <v>2052</v>
      </c>
      <c r="B824" s="7" t="s">
        <v>7996</v>
      </c>
      <c r="C824" s="12" t="n">
        <v>0</v>
      </c>
      <c r="D824" s="7" t="n">
        <v>18</v>
      </c>
      <c r="E824" s="13"/>
      <c r="F824" s="7"/>
      <c r="G824" s="7" t="n">
        <v>5</v>
      </c>
      <c r="H824" s="7" t="s">
        <v>7998</v>
      </c>
    </row>
    <row r="825" customFormat="false" ht="15" hidden="false" customHeight="true" outlineLevel="0" collapsed="false">
      <c r="A825" s="7" t="s">
        <v>2239</v>
      </c>
      <c r="B825" s="7" t="s">
        <v>7989</v>
      </c>
      <c r="C825" s="12" t="n">
        <v>0</v>
      </c>
      <c r="D825" s="7" t="n">
        <v>13</v>
      </c>
      <c r="E825" s="13"/>
      <c r="F825" s="7"/>
      <c r="G825" s="7" t="n">
        <v>5</v>
      </c>
      <c r="H825" s="7" t="s">
        <v>7998</v>
      </c>
    </row>
    <row r="826" customFormat="false" ht="15" hidden="false" customHeight="true" outlineLevel="0" collapsed="false">
      <c r="A826" s="7" t="s">
        <v>2078</v>
      </c>
      <c r="B826" s="7" t="s">
        <v>7992</v>
      </c>
      <c r="C826" s="12" t="n">
        <v>0</v>
      </c>
      <c r="D826" s="7" t="n">
        <v>13</v>
      </c>
      <c r="E826" s="13"/>
      <c r="F826" s="7"/>
      <c r="G826" s="7" t="n">
        <v>5</v>
      </c>
      <c r="H826" s="7" t="s">
        <v>7998</v>
      </c>
    </row>
    <row r="827" customFormat="false" ht="15" hidden="false" customHeight="true" outlineLevel="0" collapsed="false">
      <c r="A827" s="7" t="s">
        <v>1991</v>
      </c>
      <c r="B827" s="7" t="s">
        <v>7996</v>
      </c>
      <c r="C827" s="12" t="n">
        <v>0</v>
      </c>
      <c r="D827" s="7" t="n">
        <v>16</v>
      </c>
      <c r="E827" s="13"/>
      <c r="F827" s="7"/>
      <c r="G827" s="7" t="n">
        <v>5</v>
      </c>
      <c r="H827" s="7" t="s">
        <v>7998</v>
      </c>
    </row>
    <row r="828" customFormat="false" ht="15" hidden="false" customHeight="true" outlineLevel="0" collapsed="false">
      <c r="A828" s="7" t="s">
        <v>2347</v>
      </c>
      <c r="B828" s="7" t="s">
        <v>7990</v>
      </c>
      <c r="C828" s="12" t="n">
        <v>0</v>
      </c>
      <c r="D828" s="7" t="n">
        <v>17</v>
      </c>
      <c r="E828" s="13"/>
      <c r="F828" s="7"/>
      <c r="G828" s="7" t="n">
        <v>5</v>
      </c>
      <c r="H828" s="7" t="s">
        <v>7998</v>
      </c>
    </row>
    <row r="829" customFormat="false" ht="15" hidden="false" customHeight="true" outlineLevel="0" collapsed="false">
      <c r="A829" s="7" t="s">
        <v>2365</v>
      </c>
      <c r="B829" s="7" t="s">
        <v>7990</v>
      </c>
      <c r="C829" s="12" t="n">
        <v>0</v>
      </c>
      <c r="D829" s="7" t="n">
        <v>14</v>
      </c>
      <c r="E829" s="13"/>
      <c r="F829" s="7"/>
      <c r="G829" s="7" t="n">
        <v>5</v>
      </c>
      <c r="H829" s="7" t="s">
        <v>7998</v>
      </c>
    </row>
    <row r="830" customFormat="false" ht="15" hidden="false" customHeight="true" outlineLevel="0" collapsed="false">
      <c r="A830" s="7" t="s">
        <v>6444</v>
      </c>
      <c r="B830" s="7" t="s">
        <v>7992</v>
      </c>
      <c r="C830" s="12" t="n">
        <v>0</v>
      </c>
      <c r="D830" s="7" t="n">
        <v>22</v>
      </c>
      <c r="E830" s="13" t="n">
        <v>0</v>
      </c>
      <c r="F830" s="7" t="n">
        <v>0</v>
      </c>
      <c r="G830" s="7" t="n">
        <v>1</v>
      </c>
      <c r="H830" s="7"/>
    </row>
    <row r="831" customFormat="false" ht="15" hidden="false" customHeight="true" outlineLevel="0" collapsed="false">
      <c r="A831" s="7" t="s">
        <v>1928</v>
      </c>
      <c r="B831" s="7" t="s">
        <v>7989</v>
      </c>
      <c r="C831" s="12" t="n">
        <v>0</v>
      </c>
      <c r="D831" s="7" t="n">
        <v>13</v>
      </c>
      <c r="E831" s="13"/>
      <c r="F831" s="7"/>
      <c r="G831" s="7" t="n">
        <v>5</v>
      </c>
      <c r="H831" s="7" t="s">
        <v>7998</v>
      </c>
    </row>
    <row r="832" customFormat="false" ht="15" hidden="false" customHeight="true" outlineLevel="0" collapsed="false">
      <c r="A832" s="7" t="s">
        <v>2027</v>
      </c>
      <c r="B832" s="7" t="s">
        <v>7996</v>
      </c>
      <c r="C832" s="12" t="n">
        <v>0</v>
      </c>
      <c r="D832" s="7" t="n">
        <v>12</v>
      </c>
      <c r="E832" s="13"/>
      <c r="F832" s="7"/>
      <c r="G832" s="7" t="n">
        <v>5</v>
      </c>
      <c r="H832" s="7" t="s">
        <v>7998</v>
      </c>
    </row>
    <row r="833" customFormat="false" ht="15" hidden="false" customHeight="true" outlineLevel="0" collapsed="false">
      <c r="A833" s="7" t="s">
        <v>6775</v>
      </c>
      <c r="B833" s="7" t="s">
        <v>7990</v>
      </c>
      <c r="C833" s="12" t="n">
        <v>0</v>
      </c>
      <c r="D833" s="7" t="n">
        <v>6</v>
      </c>
      <c r="E833" s="13" t="n">
        <v>0</v>
      </c>
      <c r="F833" s="7" t="n">
        <v>0</v>
      </c>
      <c r="G833" s="7" t="n">
        <v>3</v>
      </c>
      <c r="H833" s="7"/>
    </row>
    <row r="834" customFormat="false" ht="15" hidden="false" customHeight="true" outlineLevel="0" collapsed="false">
      <c r="A834" s="7" t="s">
        <v>2173</v>
      </c>
      <c r="B834" s="7" t="s">
        <v>7989</v>
      </c>
      <c r="C834" s="12" t="n">
        <v>0</v>
      </c>
      <c r="D834" s="7" t="n">
        <v>14</v>
      </c>
      <c r="E834" s="13"/>
      <c r="F834" s="7"/>
      <c r="G834" s="7" t="n">
        <v>5</v>
      </c>
      <c r="H834" s="7" t="s">
        <v>7998</v>
      </c>
    </row>
    <row r="835" customFormat="false" ht="15" hidden="false" customHeight="true" outlineLevel="0" collapsed="false">
      <c r="A835" s="7" t="s">
        <v>1936</v>
      </c>
      <c r="B835" s="7" t="s">
        <v>7996</v>
      </c>
      <c r="C835" s="12" t="n">
        <v>0</v>
      </c>
      <c r="D835" s="7" t="n">
        <v>13</v>
      </c>
      <c r="E835" s="13"/>
      <c r="F835" s="7"/>
      <c r="G835" s="7" t="n">
        <v>5</v>
      </c>
      <c r="H835" s="7" t="s">
        <v>7998</v>
      </c>
    </row>
    <row r="836" customFormat="false" ht="15" hidden="false" customHeight="true" outlineLevel="0" collapsed="false">
      <c r="A836" s="7" t="s">
        <v>6776</v>
      </c>
      <c r="B836" s="7" t="s">
        <v>7996</v>
      </c>
      <c r="C836" s="12" t="n">
        <v>0</v>
      </c>
      <c r="D836" s="7" t="n">
        <v>23</v>
      </c>
      <c r="E836" s="13"/>
      <c r="F836" s="7"/>
      <c r="G836" s="7" t="n">
        <v>3</v>
      </c>
      <c r="H836" s="7" t="s">
        <v>7998</v>
      </c>
    </row>
    <row r="837" customFormat="false" ht="15" hidden="false" customHeight="true" outlineLevel="0" collapsed="false">
      <c r="A837" s="7" t="s">
        <v>6445</v>
      </c>
      <c r="B837" s="7" t="s">
        <v>7996</v>
      </c>
      <c r="C837" s="12" t="n">
        <v>0</v>
      </c>
      <c r="D837" s="7" t="n">
        <v>16</v>
      </c>
      <c r="E837" s="13"/>
      <c r="F837" s="7"/>
      <c r="G837" s="7" t="n">
        <v>1</v>
      </c>
      <c r="H837" s="7" t="s">
        <v>7998</v>
      </c>
    </row>
    <row r="838" customFormat="false" ht="15" hidden="false" customHeight="true" outlineLevel="0" collapsed="false">
      <c r="A838" s="7" t="s">
        <v>2166</v>
      </c>
      <c r="B838" s="7" t="s">
        <v>7990</v>
      </c>
      <c r="C838" s="12" t="n">
        <v>0</v>
      </c>
      <c r="D838" s="7" t="n">
        <v>22</v>
      </c>
      <c r="E838" s="13"/>
      <c r="F838" s="7"/>
      <c r="G838" s="7" t="n">
        <v>5</v>
      </c>
      <c r="H838" s="7" t="s">
        <v>7998</v>
      </c>
    </row>
    <row r="839" customFormat="false" ht="15" hidden="false" customHeight="true" outlineLevel="0" collapsed="false">
      <c r="A839" s="7" t="s">
        <v>2113</v>
      </c>
      <c r="B839" s="7" t="s">
        <v>7992</v>
      </c>
      <c r="C839" s="12" t="n">
        <v>0</v>
      </c>
      <c r="D839" s="7" t="n">
        <v>13</v>
      </c>
      <c r="E839" s="13"/>
      <c r="F839" s="7"/>
      <c r="G839" s="7" t="n">
        <v>5</v>
      </c>
      <c r="H839" s="7" t="s">
        <v>7998</v>
      </c>
    </row>
    <row r="840" customFormat="false" ht="15" hidden="false" customHeight="true" outlineLevel="0" collapsed="false">
      <c r="A840" s="7" t="s">
        <v>1951</v>
      </c>
      <c r="B840" s="7" t="s">
        <v>7989</v>
      </c>
      <c r="C840" s="12" t="n">
        <v>0</v>
      </c>
      <c r="D840" s="7" t="n">
        <v>12</v>
      </c>
      <c r="E840" s="13"/>
      <c r="F840" s="7"/>
      <c r="G840" s="7" t="n">
        <v>5</v>
      </c>
      <c r="H840" s="7" t="s">
        <v>7998</v>
      </c>
    </row>
    <row r="841" customFormat="false" ht="15" hidden="false" customHeight="true" outlineLevel="0" collapsed="false">
      <c r="A841" s="7" t="s">
        <v>2120</v>
      </c>
      <c r="B841" s="7" t="s">
        <v>7992</v>
      </c>
      <c r="C841" s="12" t="n">
        <v>0</v>
      </c>
      <c r="D841" s="7" t="n">
        <v>15</v>
      </c>
      <c r="E841" s="13"/>
      <c r="F841" s="7"/>
      <c r="G841" s="7" t="n">
        <v>5</v>
      </c>
      <c r="H841" s="7" t="s">
        <v>7998</v>
      </c>
    </row>
    <row r="842" customFormat="false" ht="15" hidden="false" customHeight="true" outlineLevel="0" collapsed="false">
      <c r="A842" s="7" t="s">
        <v>1958</v>
      </c>
      <c r="B842" s="7" t="s">
        <v>7996</v>
      </c>
      <c r="C842" s="12" t="n">
        <v>0</v>
      </c>
      <c r="D842" s="7" t="n">
        <v>13</v>
      </c>
      <c r="E842" s="13" t="n">
        <v>0</v>
      </c>
      <c r="F842" s="7" t="n">
        <v>0</v>
      </c>
      <c r="G842" s="7" t="n">
        <v>5</v>
      </c>
      <c r="H842" s="7"/>
    </row>
    <row r="843" customFormat="false" ht="15" hidden="false" customHeight="true" outlineLevel="0" collapsed="false">
      <c r="A843" s="7" t="s">
        <v>2072</v>
      </c>
      <c r="B843" s="7" t="s">
        <v>7989</v>
      </c>
      <c r="C843" s="12" t="n">
        <v>0</v>
      </c>
      <c r="D843" s="7" t="n">
        <v>12</v>
      </c>
      <c r="E843" s="13"/>
      <c r="F843" s="7"/>
      <c r="G843" s="7" t="n">
        <v>5</v>
      </c>
      <c r="H843" s="7" t="s">
        <v>7998</v>
      </c>
    </row>
    <row r="844" customFormat="false" ht="15" hidden="false" customHeight="true" outlineLevel="0" collapsed="false">
      <c r="A844" s="7" t="s">
        <v>2317</v>
      </c>
      <c r="B844" s="7" t="s">
        <v>7990</v>
      </c>
      <c r="C844" s="12" t="n">
        <v>0</v>
      </c>
      <c r="D844" s="7" t="n">
        <v>14</v>
      </c>
      <c r="E844" s="13"/>
      <c r="F844" s="7"/>
      <c r="G844" s="7" t="n">
        <v>5</v>
      </c>
      <c r="H844" s="7" t="s">
        <v>7998</v>
      </c>
    </row>
    <row r="845" customFormat="false" ht="15" hidden="false" customHeight="true" outlineLevel="0" collapsed="false">
      <c r="A845" s="7" t="s">
        <v>2066</v>
      </c>
      <c r="B845" s="7" t="s">
        <v>7989</v>
      </c>
      <c r="C845" s="12" t="n">
        <v>0</v>
      </c>
      <c r="D845" s="7" t="n">
        <v>22</v>
      </c>
      <c r="E845" s="13"/>
      <c r="F845" s="7"/>
      <c r="G845" s="7" t="n">
        <v>5</v>
      </c>
      <c r="H845" s="7" t="s">
        <v>7998</v>
      </c>
    </row>
    <row r="846" customFormat="false" ht="15" hidden="false" customHeight="true" outlineLevel="0" collapsed="false">
      <c r="A846" s="7" t="s">
        <v>6777</v>
      </c>
      <c r="B846" s="7" t="s">
        <v>7996</v>
      </c>
      <c r="C846" s="12" t="n">
        <v>0</v>
      </c>
      <c r="D846" s="7" t="n">
        <v>21</v>
      </c>
      <c r="E846" s="13"/>
      <c r="F846" s="7"/>
      <c r="G846" s="7" t="n">
        <v>3</v>
      </c>
      <c r="H846" s="7" t="s">
        <v>7998</v>
      </c>
    </row>
    <row r="847" customFormat="false" ht="15" hidden="false" customHeight="true" outlineLevel="0" collapsed="false">
      <c r="A847" s="7" t="s">
        <v>2249</v>
      </c>
      <c r="B847" s="7" t="s">
        <v>7996</v>
      </c>
      <c r="C847" s="12" t="n">
        <v>0</v>
      </c>
      <c r="D847" s="7" t="n">
        <v>23</v>
      </c>
      <c r="E847" s="13"/>
      <c r="F847" s="7"/>
      <c r="G847" s="7" t="n">
        <v>2</v>
      </c>
      <c r="H847" s="7" t="s">
        <v>7998</v>
      </c>
    </row>
    <row r="848" customFormat="false" ht="15" hidden="false" customHeight="true" outlineLevel="0" collapsed="false">
      <c r="A848" s="7" t="s">
        <v>2245</v>
      </c>
      <c r="B848" s="7" t="s">
        <v>7989</v>
      </c>
      <c r="C848" s="12" t="n">
        <v>0</v>
      </c>
      <c r="D848" s="7" t="n">
        <v>14</v>
      </c>
      <c r="E848" s="13"/>
      <c r="F848" s="7"/>
      <c r="G848" s="7" t="n">
        <v>5</v>
      </c>
      <c r="H848" s="7" t="s">
        <v>7998</v>
      </c>
    </row>
    <row r="849" customFormat="false" ht="15" hidden="false" customHeight="true" outlineLevel="0" collapsed="false">
      <c r="A849" s="7" t="s">
        <v>2186</v>
      </c>
      <c r="B849" s="7" t="s">
        <v>7996</v>
      </c>
      <c r="C849" s="12" t="n">
        <v>0</v>
      </c>
      <c r="D849" s="7" t="n">
        <v>29</v>
      </c>
      <c r="E849" s="13"/>
      <c r="F849" s="7"/>
      <c r="G849" s="7" t="n">
        <v>5</v>
      </c>
      <c r="H849" s="7" t="s">
        <v>7998</v>
      </c>
    </row>
    <row r="850" customFormat="false" ht="15" hidden="false" customHeight="true" outlineLevel="0" collapsed="false">
      <c r="A850" s="7" t="s">
        <v>2059</v>
      </c>
      <c r="B850" s="7" t="s">
        <v>7992</v>
      </c>
      <c r="C850" s="12" t="n">
        <v>0</v>
      </c>
      <c r="D850" s="7" t="n">
        <v>12</v>
      </c>
      <c r="E850" s="13"/>
      <c r="F850" s="7"/>
      <c r="G850" s="7" t="n">
        <v>5</v>
      </c>
      <c r="H850" s="7" t="s">
        <v>7998</v>
      </c>
    </row>
    <row r="851" customFormat="false" ht="15" hidden="false" customHeight="true" outlineLevel="0" collapsed="false">
      <c r="A851" s="7" t="s">
        <v>2006</v>
      </c>
      <c r="B851" s="7" t="s">
        <v>7996</v>
      </c>
      <c r="C851" s="12" t="n">
        <v>0</v>
      </c>
      <c r="D851" s="7" t="n">
        <v>20</v>
      </c>
      <c r="E851" s="13"/>
      <c r="F851" s="7"/>
      <c r="G851" s="7" t="n">
        <v>5</v>
      </c>
      <c r="H851" s="7" t="s">
        <v>7998</v>
      </c>
    </row>
    <row r="852" customFormat="false" ht="15" hidden="false" customHeight="true" outlineLevel="0" collapsed="false">
      <c r="A852" s="7" t="s">
        <v>2213</v>
      </c>
      <c r="B852" s="7" t="s">
        <v>7989</v>
      </c>
      <c r="C852" s="12" t="n">
        <v>0</v>
      </c>
      <c r="D852" s="7" t="n">
        <v>6</v>
      </c>
      <c r="E852" s="13" t="n">
        <v>0</v>
      </c>
      <c r="F852" s="7" t="n">
        <v>0</v>
      </c>
      <c r="G852" s="7" t="n">
        <v>5</v>
      </c>
      <c r="H852" s="7"/>
    </row>
    <row r="853" customFormat="false" ht="15" hidden="false" customHeight="true" outlineLevel="0" collapsed="false">
      <c r="A853" s="7" t="s">
        <v>2019</v>
      </c>
      <c r="B853" s="7" t="s">
        <v>7995</v>
      </c>
      <c r="C853" s="12" t="n">
        <v>0</v>
      </c>
      <c r="D853" s="7" t="n">
        <v>12</v>
      </c>
      <c r="E853" s="13"/>
      <c r="F853" s="7"/>
      <c r="G853" s="7" t="n">
        <v>5</v>
      </c>
      <c r="H853" s="7" t="s">
        <v>7998</v>
      </c>
    </row>
    <row r="854" customFormat="false" ht="15" hidden="false" customHeight="true" outlineLevel="0" collapsed="false">
      <c r="A854" s="7" t="s">
        <v>2012</v>
      </c>
      <c r="B854" s="7" t="s">
        <v>7996</v>
      </c>
      <c r="C854" s="12" t="n">
        <v>0</v>
      </c>
      <c r="D854" s="7" t="n">
        <v>13</v>
      </c>
      <c r="E854" s="13"/>
      <c r="F854" s="7"/>
      <c r="G854" s="7" t="n">
        <v>5</v>
      </c>
      <c r="H854" s="7" t="s">
        <v>7998</v>
      </c>
    </row>
    <row r="855" customFormat="false" ht="15" hidden="false" customHeight="true" outlineLevel="0" collapsed="false">
      <c r="A855" s="7" t="s">
        <v>6680</v>
      </c>
      <c r="B855" s="7" t="s">
        <v>7989</v>
      </c>
      <c r="C855" s="12" t="n">
        <v>0</v>
      </c>
      <c r="D855" s="7" t="n">
        <v>18</v>
      </c>
      <c r="E855" s="13"/>
      <c r="F855" s="7"/>
      <c r="G855" s="7" t="n">
        <v>2</v>
      </c>
      <c r="H855" s="7" t="s">
        <v>7998</v>
      </c>
    </row>
    <row r="856" customFormat="false" ht="15" hidden="false" customHeight="true" outlineLevel="0" collapsed="false">
      <c r="A856" s="7" t="s">
        <v>6446</v>
      </c>
      <c r="B856" s="7" t="s">
        <v>7992</v>
      </c>
      <c r="C856" s="12" t="n">
        <v>0</v>
      </c>
      <c r="D856" s="7" t="n">
        <v>30</v>
      </c>
      <c r="E856" s="13"/>
      <c r="F856" s="7"/>
      <c r="G856" s="7" t="n">
        <v>1</v>
      </c>
      <c r="H856" s="7" t="s">
        <v>7998</v>
      </c>
    </row>
    <row r="857" customFormat="false" ht="15" hidden="false" customHeight="true" outlineLevel="0" collapsed="false">
      <c r="A857" s="7" t="s">
        <v>1999</v>
      </c>
      <c r="B857" s="7" t="s">
        <v>7996</v>
      </c>
      <c r="C857" s="12" t="n">
        <v>0</v>
      </c>
      <c r="D857" s="7" t="n">
        <v>19</v>
      </c>
      <c r="E857" s="13"/>
      <c r="F857" s="7"/>
      <c r="G857" s="7" t="n">
        <v>5</v>
      </c>
      <c r="H857" s="7" t="s">
        <v>7998</v>
      </c>
    </row>
    <row r="858" customFormat="false" ht="15" hidden="false" customHeight="true" outlineLevel="0" collapsed="false">
      <c r="A858" s="7" t="s">
        <v>2252</v>
      </c>
      <c r="B858" s="7" t="s">
        <v>7990</v>
      </c>
      <c r="C858" s="12" t="n">
        <v>0</v>
      </c>
      <c r="D858" s="7" t="n">
        <v>28</v>
      </c>
      <c r="E858" s="13"/>
      <c r="F858" s="7"/>
      <c r="G858" s="7" t="n">
        <v>5</v>
      </c>
      <c r="H858" s="7" t="s">
        <v>7998</v>
      </c>
    </row>
    <row r="859" customFormat="false" ht="15" hidden="false" customHeight="true" outlineLevel="0" collapsed="false">
      <c r="A859" s="7" t="s">
        <v>1978</v>
      </c>
      <c r="B859" s="7" t="s">
        <v>7989</v>
      </c>
      <c r="C859" s="12" t="n">
        <v>0</v>
      </c>
      <c r="D859" s="7" t="n">
        <v>15</v>
      </c>
      <c r="E859" s="13"/>
      <c r="F859" s="7"/>
      <c r="G859" s="7" t="n">
        <v>5</v>
      </c>
      <c r="H859" s="7" t="s">
        <v>7998</v>
      </c>
    </row>
    <row r="860" customFormat="false" ht="15" hidden="false" customHeight="true" outlineLevel="0" collapsed="false">
      <c r="A860" s="7" t="s">
        <v>1985</v>
      </c>
      <c r="B860" s="7" t="s">
        <v>7996</v>
      </c>
      <c r="C860" s="12" t="n">
        <v>0</v>
      </c>
      <c r="D860" s="7" t="n">
        <v>16</v>
      </c>
      <c r="E860" s="13"/>
      <c r="F860" s="7"/>
      <c r="G860" s="7" t="n">
        <v>5</v>
      </c>
      <c r="H860" s="7" t="s">
        <v>7998</v>
      </c>
    </row>
    <row r="861" customFormat="false" ht="15" hidden="false" customHeight="true" outlineLevel="0" collapsed="false">
      <c r="A861" s="7" t="s">
        <v>3494</v>
      </c>
      <c r="B861" s="7" t="s">
        <v>7996</v>
      </c>
      <c r="C861" s="12" t="n">
        <v>0</v>
      </c>
      <c r="D861" s="7" t="n">
        <v>24</v>
      </c>
      <c r="E861" s="13"/>
      <c r="F861" s="7"/>
      <c r="G861" s="7" t="n">
        <v>5</v>
      </c>
      <c r="H861" s="7" t="s">
        <v>7998</v>
      </c>
    </row>
    <row r="862" customFormat="false" ht="15" hidden="false" customHeight="true" outlineLevel="0" collapsed="false">
      <c r="A862" s="7" t="s">
        <v>3538</v>
      </c>
      <c r="B862" s="7" t="s">
        <v>7989</v>
      </c>
      <c r="C862" s="12" t="n">
        <v>0</v>
      </c>
      <c r="D862" s="7" t="n">
        <v>14</v>
      </c>
      <c r="E862" s="13"/>
      <c r="F862" s="7"/>
      <c r="G862" s="7" t="n">
        <v>5</v>
      </c>
      <c r="H862" s="7" t="s">
        <v>7998</v>
      </c>
    </row>
    <row r="863" customFormat="false" ht="15" hidden="false" customHeight="true" outlineLevel="0" collapsed="false">
      <c r="A863" s="7" t="s">
        <v>3516</v>
      </c>
      <c r="B863" s="7" t="s">
        <v>7990</v>
      </c>
      <c r="C863" s="12" t="n">
        <v>0</v>
      </c>
      <c r="D863" s="7" t="n">
        <v>19</v>
      </c>
      <c r="E863" s="13"/>
      <c r="F863" s="7"/>
      <c r="G863" s="7" t="s">
        <v>6816</v>
      </c>
      <c r="H863" s="7" t="s">
        <v>7998</v>
      </c>
    </row>
    <row r="864" customFormat="false" ht="15" hidden="false" customHeight="true" outlineLevel="0" collapsed="false">
      <c r="A864" s="7" t="s">
        <v>3526</v>
      </c>
      <c r="B864" s="7" t="s">
        <v>7990</v>
      </c>
      <c r="C864" s="12" t="n">
        <v>0</v>
      </c>
      <c r="D864" s="7" t="n">
        <v>10</v>
      </c>
      <c r="E864" s="13" t="n">
        <v>0</v>
      </c>
      <c r="F864" s="7" t="n">
        <v>0</v>
      </c>
      <c r="G864" s="7" t="s">
        <v>6815</v>
      </c>
      <c r="H864" s="7"/>
    </row>
    <row r="865" customFormat="false" ht="15" hidden="false" customHeight="true" outlineLevel="0" collapsed="false">
      <c r="A865" s="7" t="s">
        <v>3623</v>
      </c>
      <c r="B865" s="7" t="s">
        <v>7990</v>
      </c>
      <c r="C865" s="12" t="n">
        <v>0</v>
      </c>
      <c r="D865" s="7" t="n">
        <v>10</v>
      </c>
      <c r="E865" s="13" t="n">
        <v>0</v>
      </c>
      <c r="F865" s="7" t="n">
        <v>0</v>
      </c>
      <c r="G865" s="7" t="s">
        <v>6815</v>
      </c>
      <c r="H865" s="7"/>
    </row>
    <row r="866" customFormat="false" ht="15" hidden="false" customHeight="true" outlineLevel="0" collapsed="false">
      <c r="A866" s="7" t="s">
        <v>3666</v>
      </c>
      <c r="B866" s="7" t="s">
        <v>7990</v>
      </c>
      <c r="C866" s="12" t="n">
        <v>0</v>
      </c>
      <c r="D866" s="7" t="n">
        <v>16</v>
      </c>
      <c r="E866" s="13"/>
      <c r="F866" s="7"/>
      <c r="G866" s="7" t="s">
        <v>6816</v>
      </c>
      <c r="H866" s="7" t="s">
        <v>7998</v>
      </c>
    </row>
    <row r="867" customFormat="false" ht="15" hidden="false" customHeight="true" outlineLevel="0" collapsed="false">
      <c r="A867" s="7" t="s">
        <v>3611</v>
      </c>
      <c r="B867" s="7" t="s">
        <v>7990</v>
      </c>
      <c r="C867" s="12" t="n">
        <v>0</v>
      </c>
      <c r="D867" s="7" t="n">
        <v>11</v>
      </c>
      <c r="E867" s="13" t="n">
        <v>0</v>
      </c>
      <c r="F867" s="7" t="n">
        <v>1</v>
      </c>
      <c r="G867" s="7" t="n">
        <v>5</v>
      </c>
      <c r="H867" s="7"/>
    </row>
    <row r="868" customFormat="false" ht="15" hidden="false" customHeight="true" outlineLevel="0" collapsed="false">
      <c r="A868" s="7" t="s">
        <v>3601</v>
      </c>
      <c r="B868" s="7" t="s">
        <v>7990</v>
      </c>
      <c r="C868" s="12" t="n">
        <v>0</v>
      </c>
      <c r="D868" s="7" t="n">
        <v>18</v>
      </c>
      <c r="E868" s="13"/>
      <c r="F868" s="7"/>
      <c r="G868" s="7" t="s">
        <v>6816</v>
      </c>
      <c r="H868" s="7" t="s">
        <v>7998</v>
      </c>
    </row>
    <row r="869" customFormat="false" ht="15" hidden="false" customHeight="true" outlineLevel="0" collapsed="false">
      <c r="A869" s="7" t="s">
        <v>3841</v>
      </c>
      <c r="B869" s="7" t="s">
        <v>7990</v>
      </c>
      <c r="C869" s="12" t="n">
        <v>0</v>
      </c>
      <c r="D869" s="7" t="n">
        <v>23</v>
      </c>
      <c r="E869" s="13"/>
      <c r="F869" s="7"/>
      <c r="G869" s="7" t="s">
        <v>6815</v>
      </c>
      <c r="H869" s="7" t="s">
        <v>7998</v>
      </c>
    </row>
    <row r="870" customFormat="false" ht="15" hidden="false" customHeight="true" outlineLevel="0" collapsed="false">
      <c r="A870" s="7" t="s">
        <v>3919</v>
      </c>
      <c r="B870" s="7" t="s">
        <v>7989</v>
      </c>
      <c r="C870" s="12" t="n">
        <v>0</v>
      </c>
      <c r="D870" s="7" t="n">
        <v>9</v>
      </c>
      <c r="E870" s="13" t="n">
        <v>0</v>
      </c>
      <c r="F870" s="7" t="n">
        <v>0</v>
      </c>
      <c r="G870" s="7" t="n">
        <v>5</v>
      </c>
      <c r="H870" s="7"/>
    </row>
    <row r="871" customFormat="false" ht="15" hidden="false" customHeight="true" outlineLevel="0" collapsed="false">
      <c r="A871" s="7" t="s">
        <v>3852</v>
      </c>
      <c r="B871" s="7" t="s">
        <v>7990</v>
      </c>
      <c r="C871" s="12" t="n">
        <v>0</v>
      </c>
      <c r="D871" s="7" t="n">
        <v>12</v>
      </c>
      <c r="E871" s="13"/>
      <c r="F871" s="7"/>
      <c r="G871" s="7" t="n">
        <v>6</v>
      </c>
      <c r="H871" s="7" t="s">
        <v>7998</v>
      </c>
    </row>
    <row r="872" customFormat="false" ht="15" hidden="false" customHeight="true" outlineLevel="0" collapsed="false">
      <c r="A872" s="7" t="s">
        <v>3864</v>
      </c>
      <c r="B872" s="7" t="s">
        <v>7989</v>
      </c>
      <c r="C872" s="12" t="n">
        <v>0</v>
      </c>
      <c r="D872" s="7" t="n">
        <v>17</v>
      </c>
      <c r="E872" s="13"/>
      <c r="F872" s="7"/>
      <c r="G872" s="7" t="n">
        <v>6</v>
      </c>
      <c r="H872" s="7" t="s">
        <v>7998</v>
      </c>
    </row>
    <row r="873" customFormat="false" ht="15" hidden="false" customHeight="true" outlineLevel="0" collapsed="false">
      <c r="A873" s="7" t="s">
        <v>6525</v>
      </c>
      <c r="B873" s="7" t="s">
        <v>7989</v>
      </c>
      <c r="C873" s="12" t="n">
        <v>0</v>
      </c>
      <c r="D873" s="7" t="n">
        <v>24</v>
      </c>
      <c r="E873" s="13" t="n">
        <v>0.3</v>
      </c>
      <c r="F873" s="7" t="n">
        <v>1</v>
      </c>
      <c r="G873" s="7" t="n">
        <v>1</v>
      </c>
      <c r="H873" s="7"/>
    </row>
    <row r="874" customFormat="false" ht="15" hidden="false" customHeight="true" outlineLevel="0" collapsed="false">
      <c r="A874" s="7" t="s">
        <v>3952</v>
      </c>
      <c r="B874" s="7" t="s">
        <v>7990</v>
      </c>
      <c r="C874" s="12" t="n">
        <v>0</v>
      </c>
      <c r="D874" s="7" t="n">
        <v>27</v>
      </c>
      <c r="E874" s="13"/>
      <c r="F874" s="7"/>
      <c r="G874" s="7" t="s">
        <v>6816</v>
      </c>
      <c r="H874" s="7" t="s">
        <v>7998</v>
      </c>
    </row>
    <row r="875" customFormat="false" ht="15" hidden="false" customHeight="true" outlineLevel="0" collapsed="false">
      <c r="A875" s="7" t="s">
        <v>6527</v>
      </c>
      <c r="B875" s="7" t="s">
        <v>7990</v>
      </c>
      <c r="C875" s="12" t="n">
        <v>0</v>
      </c>
      <c r="D875" s="7" t="n">
        <v>15</v>
      </c>
      <c r="E875" s="13" t="n">
        <v>0.44</v>
      </c>
      <c r="F875" s="7" t="n">
        <v>1</v>
      </c>
      <c r="G875" s="7" t="n">
        <v>1</v>
      </c>
      <c r="H875" s="7"/>
    </row>
    <row r="876" customFormat="false" ht="15" hidden="false" customHeight="true" outlineLevel="0" collapsed="false">
      <c r="A876" s="7" t="s">
        <v>3987</v>
      </c>
      <c r="B876" s="7" t="s">
        <v>7993</v>
      </c>
      <c r="C876" s="12" t="n">
        <v>0</v>
      </c>
      <c r="D876" s="7" t="n">
        <v>14</v>
      </c>
      <c r="E876" s="13"/>
      <c r="F876" s="7"/>
      <c r="G876" s="7" t="s">
        <v>6816</v>
      </c>
      <c r="H876" s="7" t="s">
        <v>7998</v>
      </c>
    </row>
    <row r="877" customFormat="false" ht="15" hidden="false" customHeight="true" outlineLevel="0" collapsed="false">
      <c r="A877" s="7" t="s">
        <v>4000</v>
      </c>
      <c r="B877" s="7" t="s">
        <v>7991</v>
      </c>
      <c r="C877" s="12" t="n">
        <v>0</v>
      </c>
      <c r="D877" s="7" t="n">
        <v>10</v>
      </c>
      <c r="E877" s="13" t="n">
        <v>0</v>
      </c>
      <c r="F877" s="7" t="n">
        <v>0</v>
      </c>
      <c r="G877" s="7" t="s">
        <v>6815</v>
      </c>
      <c r="H877" s="7"/>
    </row>
    <row r="878" customFormat="false" ht="15" hidden="false" customHeight="true" outlineLevel="0" collapsed="false">
      <c r="A878" s="7" t="s">
        <v>4012</v>
      </c>
      <c r="B878" s="7" t="s">
        <v>7990</v>
      </c>
      <c r="C878" s="12" t="n">
        <v>0</v>
      </c>
      <c r="D878" s="7" t="n">
        <v>13</v>
      </c>
      <c r="E878" s="13"/>
      <c r="F878" s="7"/>
      <c r="G878" s="7" t="n">
        <v>6</v>
      </c>
      <c r="H878" s="7" t="s">
        <v>7998</v>
      </c>
    </row>
    <row r="879" customFormat="false" ht="15" hidden="false" customHeight="true" outlineLevel="0" collapsed="false">
      <c r="A879" s="7" t="s">
        <v>6533</v>
      </c>
      <c r="B879" s="7" t="s">
        <v>7990</v>
      </c>
      <c r="C879" s="12" t="n">
        <v>0</v>
      </c>
      <c r="D879" s="7" t="n">
        <v>20</v>
      </c>
      <c r="E879" s="13"/>
      <c r="F879" s="7"/>
      <c r="G879" s="7" t="n">
        <v>1</v>
      </c>
      <c r="H879" s="7" t="s">
        <v>7998</v>
      </c>
    </row>
    <row r="880" customFormat="false" ht="15" hidden="false" customHeight="true" outlineLevel="0" collapsed="false">
      <c r="A880" s="7" t="s">
        <v>6683</v>
      </c>
      <c r="B880" s="7" t="s">
        <v>7990</v>
      </c>
      <c r="C880" s="12" t="n">
        <v>0</v>
      </c>
      <c r="D880" s="7" t="n">
        <v>38</v>
      </c>
      <c r="E880" s="13"/>
      <c r="F880" s="7"/>
      <c r="G880" s="7" t="n">
        <v>2</v>
      </c>
      <c r="H880" s="7" t="s">
        <v>7998</v>
      </c>
    </row>
    <row r="881" customFormat="false" ht="15" hidden="false" customHeight="true" outlineLevel="0" collapsed="false">
      <c r="A881" s="7" t="s">
        <v>6685</v>
      </c>
      <c r="B881" s="7" t="s">
        <v>7991</v>
      </c>
      <c r="C881" s="12" t="n">
        <v>0</v>
      </c>
      <c r="D881" s="7" t="n">
        <v>31</v>
      </c>
      <c r="E881" s="13"/>
      <c r="F881" s="7"/>
      <c r="G881" s="7" t="n">
        <v>2</v>
      </c>
      <c r="H881" s="7" t="s">
        <v>7998</v>
      </c>
    </row>
    <row r="882" customFormat="false" ht="15" hidden="false" customHeight="true" outlineLevel="0" collapsed="false">
      <c r="A882" s="7" t="s">
        <v>6688</v>
      </c>
      <c r="B882" s="7" t="s">
        <v>7990</v>
      </c>
      <c r="C882" s="12" t="n">
        <v>0</v>
      </c>
      <c r="D882" s="7" t="n">
        <v>36</v>
      </c>
      <c r="E882" s="13"/>
      <c r="F882" s="7"/>
      <c r="G882" s="7" t="n">
        <v>3</v>
      </c>
      <c r="H882" s="7" t="s">
        <v>7998</v>
      </c>
    </row>
    <row r="883" customFormat="false" ht="15" hidden="false" customHeight="true" outlineLevel="0" collapsed="false">
      <c r="A883" s="7" t="s">
        <v>6534</v>
      </c>
      <c r="B883" s="7" t="s">
        <v>7993</v>
      </c>
      <c r="C883" s="12" t="n">
        <v>0</v>
      </c>
      <c r="D883" s="7" t="n">
        <v>17</v>
      </c>
      <c r="E883" s="13"/>
      <c r="F883" s="7"/>
      <c r="G883" s="7" t="n">
        <v>1</v>
      </c>
      <c r="H883" s="7" t="s">
        <v>7998</v>
      </c>
    </row>
    <row r="884" customFormat="false" ht="15" hidden="false" customHeight="true" outlineLevel="0" collapsed="false">
      <c r="A884" s="7" t="s">
        <v>6537</v>
      </c>
      <c r="B884" s="7" t="s">
        <v>7990</v>
      </c>
      <c r="C884" s="12" t="n">
        <v>0</v>
      </c>
      <c r="D884" s="7" t="n">
        <v>21</v>
      </c>
      <c r="E884" s="13"/>
      <c r="F884" s="7"/>
      <c r="G884" s="7" t="n">
        <v>1</v>
      </c>
      <c r="H884" s="7" t="s">
        <v>7998</v>
      </c>
    </row>
    <row r="885" customFormat="false" ht="15" hidden="false" customHeight="true" outlineLevel="0" collapsed="false">
      <c r="A885" s="7" t="s">
        <v>6539</v>
      </c>
      <c r="B885" s="7" t="s">
        <v>7990</v>
      </c>
      <c r="C885" s="12" t="n">
        <v>0</v>
      </c>
      <c r="D885" s="7" t="n">
        <v>17</v>
      </c>
      <c r="E885" s="13"/>
      <c r="F885" s="7"/>
      <c r="G885" s="7" t="n">
        <v>1</v>
      </c>
      <c r="H885" s="7" t="s">
        <v>7998</v>
      </c>
    </row>
    <row r="886" customFormat="false" ht="15" hidden="false" customHeight="true" outlineLevel="0" collapsed="false">
      <c r="A886" s="7" t="s">
        <v>6542</v>
      </c>
      <c r="B886" s="7" t="s">
        <v>7991</v>
      </c>
      <c r="C886" s="12" t="n">
        <v>0</v>
      </c>
      <c r="D886" s="7" t="n">
        <v>14</v>
      </c>
      <c r="E886" s="13"/>
      <c r="F886" s="7"/>
      <c r="G886" s="7" t="n">
        <v>1</v>
      </c>
      <c r="H886" s="7" t="s">
        <v>7998</v>
      </c>
    </row>
    <row r="887" customFormat="false" ht="15" hidden="false" customHeight="true" outlineLevel="0" collapsed="false">
      <c r="A887" s="7" t="s">
        <v>6543</v>
      </c>
      <c r="B887" s="7" t="s">
        <v>7993</v>
      </c>
      <c r="C887" s="12" t="n">
        <v>0</v>
      </c>
      <c r="D887" s="7" t="n">
        <v>5</v>
      </c>
      <c r="E887" s="13" t="n">
        <v>0</v>
      </c>
      <c r="F887" s="7" t="n">
        <v>0</v>
      </c>
      <c r="G887" s="7" t="n">
        <v>1</v>
      </c>
      <c r="H887" s="7"/>
    </row>
    <row r="888" customFormat="false" ht="15" hidden="false" customHeight="true" outlineLevel="0" collapsed="false">
      <c r="A888" s="7" t="s">
        <v>4036</v>
      </c>
      <c r="B888" s="7" t="s">
        <v>7990</v>
      </c>
      <c r="C888" s="12" t="n">
        <v>0</v>
      </c>
      <c r="D888" s="7" t="n">
        <v>15</v>
      </c>
      <c r="E888" s="13"/>
      <c r="F888" s="7"/>
      <c r="G888" s="7" t="n">
        <v>6</v>
      </c>
      <c r="H888" s="7" t="s">
        <v>7998</v>
      </c>
    </row>
    <row r="889" customFormat="false" ht="15" hidden="false" customHeight="true" outlineLevel="0" collapsed="false">
      <c r="A889" s="7" t="s">
        <v>4048</v>
      </c>
      <c r="B889" s="7" t="s">
        <v>7990</v>
      </c>
      <c r="C889" s="12" t="n">
        <v>0</v>
      </c>
      <c r="D889" s="7" t="n">
        <v>16</v>
      </c>
      <c r="E889" s="13"/>
      <c r="F889" s="7"/>
      <c r="G889" s="7" t="n">
        <v>6</v>
      </c>
      <c r="H889" s="7" t="s">
        <v>7998</v>
      </c>
    </row>
    <row r="890" customFormat="false" ht="15" hidden="false" customHeight="true" outlineLevel="0" collapsed="false">
      <c r="A890" s="7" t="s">
        <v>4070</v>
      </c>
      <c r="B890" s="7" t="s">
        <v>7990</v>
      </c>
      <c r="C890" s="12" t="n">
        <v>0</v>
      </c>
      <c r="D890" s="7" t="n">
        <v>14</v>
      </c>
      <c r="E890" s="13"/>
      <c r="F890" s="7"/>
      <c r="G890" s="7" t="n">
        <v>6</v>
      </c>
      <c r="H890" s="7" t="s">
        <v>7998</v>
      </c>
    </row>
    <row r="891" customFormat="false" ht="15" hidden="false" customHeight="true" outlineLevel="0" collapsed="false">
      <c r="A891" s="7" t="s">
        <v>4082</v>
      </c>
      <c r="B891" s="7" t="s">
        <v>7990</v>
      </c>
      <c r="C891" s="12" t="n">
        <v>0</v>
      </c>
      <c r="D891" s="7" t="n">
        <v>19</v>
      </c>
      <c r="E891" s="13"/>
      <c r="F891" s="7"/>
      <c r="G891" s="7" t="n">
        <v>6</v>
      </c>
      <c r="H891" s="7" t="s">
        <v>7998</v>
      </c>
    </row>
    <row r="892" customFormat="false" ht="15" hidden="false" customHeight="true" outlineLevel="0" collapsed="false">
      <c r="A892" s="7" t="s">
        <v>4094</v>
      </c>
      <c r="B892" s="7" t="s">
        <v>7990</v>
      </c>
      <c r="C892" s="12" t="n">
        <v>0</v>
      </c>
      <c r="D892" s="7" t="n">
        <v>21</v>
      </c>
      <c r="E892" s="13"/>
      <c r="F892" s="7"/>
      <c r="G892" s="7" t="n">
        <v>6</v>
      </c>
      <c r="H892" s="7" t="s">
        <v>7998</v>
      </c>
    </row>
    <row r="893" customFormat="false" ht="15" hidden="false" customHeight="true" outlineLevel="0" collapsed="false">
      <c r="A893" s="7" t="s">
        <v>4105</v>
      </c>
      <c r="B893" s="7" t="s">
        <v>7992</v>
      </c>
      <c r="C893" s="12" t="n">
        <v>0</v>
      </c>
      <c r="D893" s="7" t="n">
        <v>9</v>
      </c>
      <c r="E893" s="13" t="n">
        <v>0</v>
      </c>
      <c r="F893" s="7" t="n">
        <v>0.79</v>
      </c>
      <c r="G893" s="7" t="n">
        <v>6</v>
      </c>
      <c r="H893" s="7"/>
    </row>
    <row r="894" customFormat="false" ht="15" hidden="false" customHeight="true" outlineLevel="0" collapsed="false">
      <c r="A894" s="7" t="s">
        <v>4115</v>
      </c>
      <c r="B894" s="7" t="s">
        <v>7990</v>
      </c>
      <c r="C894" s="12" t="n">
        <v>0</v>
      </c>
      <c r="D894" s="7" t="n">
        <v>19</v>
      </c>
      <c r="E894" s="13"/>
      <c r="F894" s="7"/>
      <c r="G894" s="7" t="n">
        <v>6</v>
      </c>
      <c r="H894" s="7" t="s">
        <v>7998</v>
      </c>
    </row>
    <row r="895" customFormat="false" ht="15" hidden="false" customHeight="true" outlineLevel="0" collapsed="false">
      <c r="A895" s="7" t="s">
        <v>4125</v>
      </c>
      <c r="B895" s="7" t="s">
        <v>7990</v>
      </c>
      <c r="C895" s="12" t="n">
        <v>0</v>
      </c>
      <c r="D895" s="7" t="n">
        <v>13</v>
      </c>
      <c r="E895" s="13"/>
      <c r="F895" s="7"/>
      <c r="G895" s="7" t="n">
        <v>6</v>
      </c>
      <c r="H895" s="7" t="s">
        <v>7998</v>
      </c>
    </row>
    <row r="896" customFormat="false" ht="15" hidden="false" customHeight="true" outlineLevel="0" collapsed="false">
      <c r="A896" s="7" t="s">
        <v>4136</v>
      </c>
      <c r="B896" s="7" t="s">
        <v>7990</v>
      </c>
      <c r="C896" s="12" t="n">
        <v>0</v>
      </c>
      <c r="D896" s="7" t="n">
        <v>5</v>
      </c>
      <c r="E896" s="13" t="n">
        <v>0</v>
      </c>
      <c r="F896" s="7" t="n">
        <v>0</v>
      </c>
      <c r="G896" s="7" t="n">
        <v>6</v>
      </c>
      <c r="H896" s="7"/>
    </row>
    <row r="897" customFormat="false" ht="15" hidden="false" customHeight="true" outlineLevel="0" collapsed="false">
      <c r="A897" s="7" t="s">
        <v>4147</v>
      </c>
      <c r="B897" s="7" t="s">
        <v>7990</v>
      </c>
      <c r="C897" s="12" t="n">
        <v>0</v>
      </c>
      <c r="D897" s="7" t="n">
        <v>10</v>
      </c>
      <c r="E897" s="13" t="n">
        <v>0</v>
      </c>
      <c r="F897" s="7" t="n">
        <v>0</v>
      </c>
      <c r="G897" s="7" t="n">
        <v>6</v>
      </c>
      <c r="H897" s="7"/>
    </row>
    <row r="898" customFormat="false" ht="15" hidden="false" customHeight="true" outlineLevel="0" collapsed="false">
      <c r="A898" s="7" t="s">
        <v>4157</v>
      </c>
      <c r="B898" s="7" t="s">
        <v>7990</v>
      </c>
      <c r="C898" s="12" t="n">
        <v>0</v>
      </c>
      <c r="D898" s="7" t="n">
        <v>18</v>
      </c>
      <c r="E898" s="13"/>
      <c r="F898" s="7"/>
      <c r="G898" s="7" t="n">
        <v>6</v>
      </c>
      <c r="H898" s="7" t="s">
        <v>7998</v>
      </c>
    </row>
    <row r="899" customFormat="false" ht="15" hidden="false" customHeight="true" outlineLevel="0" collapsed="false">
      <c r="A899" s="7" t="s">
        <v>4170</v>
      </c>
      <c r="B899" s="7" t="s">
        <v>7992</v>
      </c>
      <c r="C899" s="12" t="n">
        <v>0</v>
      </c>
      <c r="D899" s="7" t="n">
        <v>18</v>
      </c>
      <c r="E899" s="13"/>
      <c r="F899" s="7"/>
      <c r="G899" s="7" t="n">
        <v>6</v>
      </c>
      <c r="H899" s="7" t="s">
        <v>7998</v>
      </c>
    </row>
    <row r="900" customFormat="false" ht="15" hidden="false" customHeight="true" outlineLevel="0" collapsed="false">
      <c r="A900" s="7" t="s">
        <v>6547</v>
      </c>
      <c r="B900" s="7" t="s">
        <v>7990</v>
      </c>
      <c r="C900" s="12" t="n">
        <v>0</v>
      </c>
      <c r="D900" s="7" t="n">
        <v>7</v>
      </c>
      <c r="E900" s="13"/>
      <c r="F900" s="7"/>
      <c r="G900" s="7" t="n">
        <v>1</v>
      </c>
      <c r="H900" s="7" t="s">
        <v>7998</v>
      </c>
    </row>
    <row r="901" customFormat="false" ht="15" hidden="false" customHeight="true" outlineLevel="0" collapsed="false">
      <c r="A901" s="7" t="s">
        <v>6549</v>
      </c>
      <c r="B901" s="7" t="s">
        <v>7989</v>
      </c>
      <c r="C901" s="12" t="n">
        <v>0</v>
      </c>
      <c r="D901" s="7" t="n">
        <v>13</v>
      </c>
      <c r="E901" s="13"/>
      <c r="F901" s="7"/>
      <c r="G901" s="7" t="n">
        <v>1</v>
      </c>
      <c r="H901" s="7" t="s">
        <v>7998</v>
      </c>
    </row>
    <row r="902" customFormat="false" ht="15" hidden="false" customHeight="true" outlineLevel="0" collapsed="false">
      <c r="A902" s="7" t="s">
        <v>4183</v>
      </c>
      <c r="B902" s="7" t="s">
        <v>7990</v>
      </c>
      <c r="C902" s="12" t="n">
        <v>0</v>
      </c>
      <c r="D902" s="7" t="n">
        <v>19</v>
      </c>
      <c r="E902" s="13"/>
      <c r="F902" s="7"/>
      <c r="G902" s="7" t="n">
        <v>6</v>
      </c>
      <c r="H902" s="7" t="s">
        <v>7998</v>
      </c>
    </row>
    <row r="903" customFormat="false" ht="15" hidden="false" customHeight="true" outlineLevel="0" collapsed="false">
      <c r="A903" s="7" t="s">
        <v>4205</v>
      </c>
      <c r="B903" s="7" t="s">
        <v>7993</v>
      </c>
      <c r="C903" s="12" t="n">
        <v>0</v>
      </c>
      <c r="D903" s="7" t="n">
        <v>15</v>
      </c>
      <c r="E903" s="13"/>
      <c r="F903" s="7"/>
      <c r="G903" s="7" t="n">
        <v>6</v>
      </c>
      <c r="H903" s="7" t="s">
        <v>7998</v>
      </c>
    </row>
    <row r="904" customFormat="false" ht="15" hidden="false" customHeight="true" outlineLevel="0" collapsed="false">
      <c r="A904" s="7" t="s">
        <v>4217</v>
      </c>
      <c r="B904" s="7" t="s">
        <v>7990</v>
      </c>
      <c r="C904" s="12" t="n">
        <v>0</v>
      </c>
      <c r="D904" s="7" t="n">
        <v>16</v>
      </c>
      <c r="E904" s="13"/>
      <c r="F904" s="7"/>
      <c r="G904" s="7" t="n">
        <v>6</v>
      </c>
      <c r="H904" s="7" t="s">
        <v>7998</v>
      </c>
    </row>
    <row r="905" customFormat="false" ht="15" hidden="false" customHeight="true" outlineLevel="0" collapsed="false">
      <c r="A905" s="7" t="s">
        <v>4234</v>
      </c>
      <c r="B905" s="7" t="s">
        <v>7990</v>
      </c>
      <c r="C905" s="12" t="n">
        <v>0</v>
      </c>
      <c r="D905" s="7" t="n">
        <v>22</v>
      </c>
      <c r="E905" s="13"/>
      <c r="F905" s="7"/>
      <c r="G905" s="7" t="s">
        <v>6816</v>
      </c>
      <c r="H905" s="7" t="s">
        <v>7998</v>
      </c>
    </row>
    <row r="906" customFormat="false" ht="15" hidden="false" customHeight="true" outlineLevel="0" collapsed="false">
      <c r="A906" s="7" t="s">
        <v>4231</v>
      </c>
      <c r="B906" s="7" t="s">
        <v>7990</v>
      </c>
      <c r="C906" s="12" t="n">
        <v>0</v>
      </c>
      <c r="D906" s="7" t="n">
        <v>17</v>
      </c>
      <c r="E906" s="13"/>
      <c r="F906" s="7"/>
      <c r="G906" s="7" t="s">
        <v>6816</v>
      </c>
      <c r="H906" s="7" t="s">
        <v>7998</v>
      </c>
    </row>
    <row r="907" customFormat="false" ht="15" hidden="false" customHeight="true" outlineLevel="0" collapsed="false">
      <c r="A907" s="7" t="s">
        <v>4278</v>
      </c>
      <c r="B907" s="7" t="s">
        <v>7990</v>
      </c>
      <c r="C907" s="12" t="n">
        <v>0</v>
      </c>
      <c r="D907" s="7" t="n">
        <v>28</v>
      </c>
      <c r="E907" s="13"/>
      <c r="F907" s="7"/>
      <c r="G907" s="7" t="s">
        <v>6815</v>
      </c>
      <c r="H907" s="7" t="s">
        <v>7998</v>
      </c>
    </row>
    <row r="908" customFormat="false" ht="15" hidden="false" customHeight="true" outlineLevel="0" collapsed="false">
      <c r="A908" s="7" t="s">
        <v>4323</v>
      </c>
      <c r="B908" s="7" t="s">
        <v>7990</v>
      </c>
      <c r="C908" s="12" t="n">
        <v>0</v>
      </c>
      <c r="D908" s="7" t="n">
        <v>22</v>
      </c>
      <c r="E908" s="13"/>
      <c r="F908" s="7"/>
      <c r="G908" s="7" t="s">
        <v>6815</v>
      </c>
      <c r="H908" s="7" t="s">
        <v>7998</v>
      </c>
    </row>
    <row r="909" customFormat="false" ht="15" hidden="false" customHeight="true" outlineLevel="0" collapsed="false">
      <c r="A909" s="7" t="s">
        <v>4320</v>
      </c>
      <c r="B909" s="7" t="s">
        <v>7990</v>
      </c>
      <c r="C909" s="12" t="n">
        <v>0</v>
      </c>
      <c r="D909" s="7" t="n">
        <v>25</v>
      </c>
      <c r="E909" s="13"/>
      <c r="F909" s="7"/>
      <c r="G909" s="7" t="s">
        <v>6815</v>
      </c>
      <c r="H909" s="7" t="s">
        <v>7998</v>
      </c>
    </row>
    <row r="910" customFormat="false" ht="15" hidden="false" customHeight="true" outlineLevel="0" collapsed="false">
      <c r="A910" s="7" t="s">
        <v>4334</v>
      </c>
      <c r="B910" s="7" t="s">
        <v>7989</v>
      </c>
      <c r="C910" s="12" t="n">
        <v>0</v>
      </c>
      <c r="D910" s="7" t="n">
        <v>16</v>
      </c>
      <c r="E910" s="13"/>
      <c r="F910" s="7"/>
      <c r="G910" s="7" t="s">
        <v>6816</v>
      </c>
      <c r="H910" s="7" t="s">
        <v>7998</v>
      </c>
    </row>
    <row r="911" customFormat="false" ht="15" hidden="false" customHeight="true" outlineLevel="0" collapsed="false">
      <c r="A911" s="7" t="s">
        <v>4331</v>
      </c>
      <c r="B911" s="7" t="s">
        <v>7990</v>
      </c>
      <c r="C911" s="12" t="n">
        <v>0</v>
      </c>
      <c r="D911" s="7" t="n">
        <v>14</v>
      </c>
      <c r="E911" s="13"/>
      <c r="F911" s="7"/>
      <c r="G911" s="7" t="s">
        <v>6816</v>
      </c>
      <c r="H911" s="7" t="s">
        <v>7998</v>
      </c>
    </row>
    <row r="912" customFormat="false" ht="15" hidden="false" customHeight="true" outlineLevel="0" collapsed="false">
      <c r="A912" s="7" t="s">
        <v>4346</v>
      </c>
      <c r="B912" s="7" t="s">
        <v>7990</v>
      </c>
      <c r="C912" s="12" t="n">
        <v>0</v>
      </c>
      <c r="D912" s="7" t="n">
        <v>22</v>
      </c>
      <c r="E912" s="13"/>
      <c r="F912" s="7"/>
      <c r="G912" s="7" t="s">
        <v>6816</v>
      </c>
      <c r="H912" s="7" t="s">
        <v>7998</v>
      </c>
    </row>
    <row r="913" customFormat="false" ht="15" hidden="false" customHeight="true" outlineLevel="0" collapsed="false">
      <c r="A913" s="7" t="s">
        <v>4343</v>
      </c>
      <c r="B913" s="7" t="s">
        <v>7989</v>
      </c>
      <c r="C913" s="12" t="n">
        <v>0</v>
      </c>
      <c r="D913" s="7" t="n">
        <v>22</v>
      </c>
      <c r="E913" s="13"/>
      <c r="F913" s="7"/>
      <c r="G913" s="7" t="s">
        <v>6816</v>
      </c>
      <c r="H913" s="7" t="s">
        <v>7998</v>
      </c>
    </row>
    <row r="914" customFormat="false" ht="15" hidden="false" customHeight="true" outlineLevel="0" collapsed="false">
      <c r="A914" s="7" t="s">
        <v>4357</v>
      </c>
      <c r="B914" s="7" t="s">
        <v>7990</v>
      </c>
      <c r="C914" s="12" t="n">
        <v>0</v>
      </c>
      <c r="D914" s="7" t="n">
        <v>17</v>
      </c>
      <c r="E914" s="13"/>
      <c r="F914" s="7"/>
      <c r="G914" s="7" t="s">
        <v>6816</v>
      </c>
      <c r="H914" s="7" t="s">
        <v>7998</v>
      </c>
    </row>
    <row r="915" customFormat="false" ht="15" hidden="false" customHeight="true" outlineLevel="0" collapsed="false">
      <c r="A915" s="7" t="s">
        <v>4354</v>
      </c>
      <c r="B915" s="7" t="s">
        <v>7991</v>
      </c>
      <c r="C915" s="12" t="n">
        <v>0</v>
      </c>
      <c r="D915" s="7" t="n">
        <v>17</v>
      </c>
      <c r="E915" s="13"/>
      <c r="F915" s="7"/>
      <c r="G915" s="7" t="s">
        <v>6816</v>
      </c>
      <c r="H915" s="7" t="s">
        <v>7998</v>
      </c>
    </row>
    <row r="916" customFormat="false" ht="15" hidden="false" customHeight="true" outlineLevel="0" collapsed="false">
      <c r="A916" s="7" t="s">
        <v>4377</v>
      </c>
      <c r="B916" s="7" t="s">
        <v>7990</v>
      </c>
      <c r="C916" s="12" t="n">
        <v>0</v>
      </c>
      <c r="D916" s="7" t="n">
        <v>20</v>
      </c>
      <c r="E916" s="13"/>
      <c r="F916" s="7"/>
      <c r="G916" s="7" t="s">
        <v>6815</v>
      </c>
      <c r="H916" s="7" t="s">
        <v>7998</v>
      </c>
    </row>
    <row r="917" customFormat="false" ht="15" hidden="false" customHeight="true" outlineLevel="0" collapsed="false">
      <c r="A917" s="7" t="s">
        <v>4388</v>
      </c>
      <c r="B917" s="7" t="s">
        <v>7989</v>
      </c>
      <c r="C917" s="12" t="n">
        <v>0</v>
      </c>
      <c r="D917" s="7" t="n">
        <v>24</v>
      </c>
      <c r="E917" s="13"/>
      <c r="F917" s="7"/>
      <c r="G917" s="7" t="s">
        <v>6816</v>
      </c>
      <c r="H917" s="7" t="s">
        <v>7998</v>
      </c>
    </row>
    <row r="918" customFormat="false" ht="15" hidden="false" customHeight="true" outlineLevel="0" collapsed="false">
      <c r="A918" s="7" t="s">
        <v>4385</v>
      </c>
      <c r="B918" s="7" t="s">
        <v>7990</v>
      </c>
      <c r="C918" s="12" t="n">
        <v>0</v>
      </c>
      <c r="D918" s="7" t="n">
        <v>28</v>
      </c>
      <c r="E918" s="13"/>
      <c r="F918" s="7"/>
      <c r="G918" s="7" t="s">
        <v>6816</v>
      </c>
      <c r="H918" s="7" t="s">
        <v>7998</v>
      </c>
    </row>
    <row r="919" customFormat="false" ht="15" hidden="false" customHeight="true" outlineLevel="0" collapsed="false">
      <c r="A919" s="7" t="s">
        <v>4571</v>
      </c>
      <c r="B919" s="7" t="s">
        <v>7990</v>
      </c>
      <c r="C919" s="12" t="n">
        <v>0</v>
      </c>
      <c r="D919" s="7" t="n">
        <v>16</v>
      </c>
      <c r="E919" s="13"/>
      <c r="F919" s="7"/>
      <c r="G919" s="7" t="n">
        <v>6</v>
      </c>
      <c r="H919" s="7" t="s">
        <v>7998</v>
      </c>
    </row>
    <row r="920" customFormat="false" ht="15" hidden="false" customHeight="true" outlineLevel="0" collapsed="false">
      <c r="A920" s="7" t="s">
        <v>6552</v>
      </c>
      <c r="B920" s="7" t="s">
        <v>7989</v>
      </c>
      <c r="C920" s="12" t="n">
        <v>0</v>
      </c>
      <c r="D920" s="7" t="n">
        <v>29</v>
      </c>
      <c r="E920" s="13"/>
      <c r="F920" s="7"/>
      <c r="G920" s="7" t="n">
        <v>1</v>
      </c>
      <c r="H920" s="7" t="s">
        <v>7998</v>
      </c>
    </row>
    <row r="921" customFormat="false" ht="15" hidden="false" customHeight="true" outlineLevel="0" collapsed="false">
      <c r="A921" s="7" t="s">
        <v>4595</v>
      </c>
      <c r="B921" s="7" t="s">
        <v>7990</v>
      </c>
      <c r="C921" s="12" t="n">
        <v>0</v>
      </c>
      <c r="D921" s="7" t="n">
        <v>17</v>
      </c>
      <c r="E921" s="13"/>
      <c r="F921" s="7"/>
      <c r="G921" s="7" t="s">
        <v>6815</v>
      </c>
      <c r="H921" s="7" t="s">
        <v>7998</v>
      </c>
    </row>
    <row r="922" customFormat="false" ht="15" hidden="false" customHeight="true" outlineLevel="0" collapsed="false">
      <c r="A922" s="7" t="s">
        <v>6557</v>
      </c>
      <c r="B922" s="7" t="s">
        <v>7991</v>
      </c>
      <c r="C922" s="12" t="n">
        <v>0</v>
      </c>
      <c r="D922" s="7" t="n">
        <v>9</v>
      </c>
      <c r="E922" s="13" t="n">
        <v>0</v>
      </c>
      <c r="F922" s="7" t="n">
        <v>0</v>
      </c>
      <c r="G922" s="7" t="n">
        <v>1</v>
      </c>
      <c r="H922" s="7"/>
    </row>
    <row r="923" customFormat="false" ht="15" hidden="false" customHeight="true" outlineLevel="0" collapsed="false">
      <c r="A923" s="7" t="s">
        <v>6558</v>
      </c>
      <c r="B923" s="7" t="s">
        <v>7990</v>
      </c>
      <c r="C923" s="12" t="n">
        <v>0</v>
      </c>
      <c r="D923" s="7" t="n">
        <v>21</v>
      </c>
      <c r="E923" s="13"/>
      <c r="F923" s="7"/>
      <c r="G923" s="7" t="n">
        <v>1</v>
      </c>
      <c r="H923" s="7" t="s">
        <v>7998</v>
      </c>
    </row>
    <row r="924" customFormat="false" ht="15" hidden="false" customHeight="true" outlineLevel="0" collapsed="false">
      <c r="A924" s="7" t="s">
        <v>4693</v>
      </c>
      <c r="B924" s="7" t="s">
        <v>7989</v>
      </c>
      <c r="C924" s="12" t="n">
        <v>0</v>
      </c>
      <c r="D924" s="7" t="n">
        <v>15</v>
      </c>
      <c r="E924" s="13" t="n">
        <v>0</v>
      </c>
      <c r="F924" s="7" t="n">
        <v>1</v>
      </c>
      <c r="G924" s="7" t="s">
        <v>6815</v>
      </c>
      <c r="H924" s="7"/>
    </row>
    <row r="925" customFormat="false" ht="15" hidden="false" customHeight="true" outlineLevel="0" collapsed="false">
      <c r="A925" s="7" t="s">
        <v>4671</v>
      </c>
      <c r="B925" s="7" t="s">
        <v>7990</v>
      </c>
      <c r="C925" s="12" t="n">
        <v>0</v>
      </c>
      <c r="D925" s="7" t="n">
        <v>11</v>
      </c>
      <c r="E925" s="13" t="n">
        <v>0</v>
      </c>
      <c r="F925" s="7" t="n">
        <v>1</v>
      </c>
      <c r="G925" s="7" t="n">
        <v>6</v>
      </c>
      <c r="H925" s="7"/>
    </row>
    <row r="926" customFormat="false" ht="15" hidden="false" customHeight="true" outlineLevel="0" collapsed="false">
      <c r="A926" s="7" t="s">
        <v>4744</v>
      </c>
      <c r="B926" s="7" t="s">
        <v>7990</v>
      </c>
      <c r="C926" s="12" t="n">
        <v>0</v>
      </c>
      <c r="D926" s="7" t="n">
        <v>17</v>
      </c>
      <c r="E926" s="13"/>
      <c r="F926" s="7"/>
      <c r="G926" s="7" t="n">
        <v>6</v>
      </c>
      <c r="H926" s="7" t="s">
        <v>7998</v>
      </c>
    </row>
    <row r="927" customFormat="false" ht="15" hidden="false" customHeight="true" outlineLevel="0" collapsed="false">
      <c r="A927" s="7" t="s">
        <v>4619</v>
      </c>
      <c r="B927" s="7" t="s">
        <v>7993</v>
      </c>
      <c r="C927" s="12" t="n">
        <v>0</v>
      </c>
      <c r="D927" s="7" t="n">
        <v>17</v>
      </c>
      <c r="E927" s="13"/>
      <c r="F927" s="7"/>
      <c r="G927" s="7" t="n">
        <v>6</v>
      </c>
      <c r="H927" s="7" t="s">
        <v>7998</v>
      </c>
    </row>
    <row r="928" customFormat="false" ht="15" hidden="false" customHeight="true" outlineLevel="0" collapsed="false">
      <c r="A928" s="7" t="s">
        <v>4703</v>
      </c>
      <c r="B928" s="7" t="s">
        <v>7989</v>
      </c>
      <c r="C928" s="12" t="n">
        <v>0</v>
      </c>
      <c r="D928" s="7" t="n">
        <v>17</v>
      </c>
      <c r="E928" s="13"/>
      <c r="F928" s="7"/>
      <c r="G928" s="7" t="n">
        <v>6</v>
      </c>
      <c r="H928" s="7" t="s">
        <v>7998</v>
      </c>
    </row>
    <row r="929" customFormat="false" ht="15" hidden="false" customHeight="true" outlineLevel="0" collapsed="false">
      <c r="A929" s="7" t="s">
        <v>4639</v>
      </c>
      <c r="B929" s="7" t="s">
        <v>7990</v>
      </c>
      <c r="C929" s="12" t="n">
        <v>0</v>
      </c>
      <c r="D929" s="7" t="n">
        <v>20</v>
      </c>
      <c r="E929" s="13"/>
      <c r="F929" s="7"/>
      <c r="G929" s="7" t="n">
        <v>6</v>
      </c>
      <c r="H929" s="7" t="s">
        <v>7998</v>
      </c>
    </row>
    <row r="930" customFormat="false" ht="15" hidden="false" customHeight="true" outlineLevel="0" collapsed="false">
      <c r="A930" s="7" t="s">
        <v>4649</v>
      </c>
      <c r="B930" s="7" t="s">
        <v>7992</v>
      </c>
      <c r="C930" s="12" t="n">
        <v>0</v>
      </c>
      <c r="D930" s="7" t="n">
        <v>20</v>
      </c>
      <c r="E930" s="13"/>
      <c r="F930" s="7"/>
      <c r="G930" s="7" t="n">
        <v>6</v>
      </c>
      <c r="H930" s="7" t="s">
        <v>7998</v>
      </c>
    </row>
    <row r="931" customFormat="false" ht="15" hidden="false" customHeight="true" outlineLevel="0" collapsed="false">
      <c r="A931" s="7" t="s">
        <v>4681</v>
      </c>
      <c r="B931" s="7" t="s">
        <v>7992</v>
      </c>
      <c r="C931" s="12" t="n">
        <v>0</v>
      </c>
      <c r="D931" s="7" t="n">
        <v>28</v>
      </c>
      <c r="E931" s="13"/>
      <c r="F931" s="7"/>
      <c r="G931" s="7" t="s">
        <v>6815</v>
      </c>
      <c r="H931" s="7" t="s">
        <v>7998</v>
      </c>
    </row>
    <row r="932" customFormat="false" ht="15" hidden="false" customHeight="true" outlineLevel="0" collapsed="false">
      <c r="A932" s="7" t="s">
        <v>4735</v>
      </c>
      <c r="B932" s="7" t="s">
        <v>7996</v>
      </c>
      <c r="C932" s="12" t="n">
        <v>0</v>
      </c>
      <c r="D932" s="7" t="n">
        <v>23</v>
      </c>
      <c r="E932" s="13"/>
      <c r="F932" s="7"/>
      <c r="G932" s="7" t="s">
        <v>6816</v>
      </c>
      <c r="H932" s="7" t="s">
        <v>7998</v>
      </c>
    </row>
    <row r="933" customFormat="false" ht="15" hidden="false" customHeight="true" outlineLevel="0" collapsed="false">
      <c r="A933" s="7" t="s">
        <v>4809</v>
      </c>
      <c r="B933" s="7" t="s">
        <v>7989</v>
      </c>
      <c r="C933" s="12" t="n">
        <v>0</v>
      </c>
      <c r="D933" s="7" t="n">
        <v>10</v>
      </c>
      <c r="E933" s="13"/>
      <c r="F933" s="7"/>
      <c r="G933" s="7" t="s">
        <v>6816</v>
      </c>
      <c r="H933" s="7" t="s">
        <v>7998</v>
      </c>
    </row>
    <row r="934" customFormat="false" ht="15" hidden="false" customHeight="true" outlineLevel="0" collapsed="false">
      <c r="A934" s="7" t="s">
        <v>4755</v>
      </c>
      <c r="B934" s="7" t="s">
        <v>7996</v>
      </c>
      <c r="C934" s="12" t="n">
        <v>0</v>
      </c>
      <c r="D934" s="7" t="n">
        <v>24</v>
      </c>
      <c r="E934" s="13"/>
      <c r="F934" s="7"/>
      <c r="G934" s="7" t="s">
        <v>6815</v>
      </c>
      <c r="H934" s="7" t="s">
        <v>7998</v>
      </c>
    </row>
    <row r="935" customFormat="false" ht="15" hidden="false" customHeight="true" outlineLevel="0" collapsed="false">
      <c r="A935" s="7" t="s">
        <v>4819</v>
      </c>
      <c r="B935" s="7" t="s">
        <v>7989</v>
      </c>
      <c r="C935" s="12" t="n">
        <v>0</v>
      </c>
      <c r="D935" s="7" t="n">
        <v>14</v>
      </c>
      <c r="E935" s="13" t="n">
        <v>0</v>
      </c>
      <c r="F935" s="7" t="n">
        <v>0</v>
      </c>
      <c r="G935" s="7" t="n">
        <v>6</v>
      </c>
      <c r="H935" s="7"/>
    </row>
    <row r="936" customFormat="false" ht="15" hidden="false" customHeight="true" outlineLevel="0" collapsed="false">
      <c r="A936" s="7" t="s">
        <v>4830</v>
      </c>
      <c r="B936" s="7" t="s">
        <v>7989</v>
      </c>
      <c r="C936" s="12" t="n">
        <v>0</v>
      </c>
      <c r="D936" s="7" t="n">
        <v>19</v>
      </c>
      <c r="E936" s="13"/>
      <c r="F936" s="7"/>
      <c r="G936" s="7" t="n">
        <v>6</v>
      </c>
      <c r="H936" s="7" t="s">
        <v>7998</v>
      </c>
    </row>
    <row r="937" customFormat="false" ht="15" hidden="false" customHeight="true" outlineLevel="0" collapsed="false">
      <c r="A937" s="7" t="s">
        <v>4798</v>
      </c>
      <c r="B937" s="7" t="s">
        <v>7992</v>
      </c>
      <c r="C937" s="12" t="n">
        <v>0</v>
      </c>
      <c r="D937" s="7" t="n">
        <v>21</v>
      </c>
      <c r="E937" s="13"/>
      <c r="F937" s="7"/>
      <c r="G937" s="7" t="s">
        <v>6815</v>
      </c>
      <c r="H937" s="7" t="s">
        <v>7998</v>
      </c>
    </row>
    <row r="938" customFormat="false" ht="15" hidden="false" customHeight="true" outlineLevel="0" collapsed="false">
      <c r="A938" s="7" t="s">
        <v>6690</v>
      </c>
      <c r="B938" s="7" t="s">
        <v>7990</v>
      </c>
      <c r="C938" s="12" t="n">
        <v>0</v>
      </c>
      <c r="D938" s="7" t="n">
        <v>15</v>
      </c>
      <c r="E938" s="13"/>
      <c r="F938" s="7"/>
      <c r="G938" s="7" t="n">
        <v>3</v>
      </c>
      <c r="H938" s="7" t="s">
        <v>7998</v>
      </c>
    </row>
    <row r="939" customFormat="false" ht="15" hidden="false" customHeight="true" outlineLevel="0" collapsed="false">
      <c r="A939" s="7" t="s">
        <v>4885</v>
      </c>
      <c r="B939" s="7" t="s">
        <v>7993</v>
      </c>
      <c r="C939" s="12" t="n">
        <v>0</v>
      </c>
      <c r="D939" s="7" t="n">
        <v>25</v>
      </c>
      <c r="E939" s="13"/>
      <c r="F939" s="7"/>
      <c r="G939" s="7" t="n">
        <v>6</v>
      </c>
      <c r="H939" s="7" t="s">
        <v>7998</v>
      </c>
    </row>
    <row r="940" customFormat="false" ht="15" hidden="false" customHeight="true" outlineLevel="0" collapsed="false">
      <c r="A940" s="7" t="s">
        <v>4841</v>
      </c>
      <c r="B940" s="7" t="s">
        <v>7996</v>
      </c>
      <c r="C940" s="12" t="n">
        <v>0</v>
      </c>
      <c r="D940" s="7" t="n">
        <v>21</v>
      </c>
      <c r="E940" s="13"/>
      <c r="F940" s="7"/>
      <c r="G940" s="7" t="n">
        <v>6</v>
      </c>
      <c r="H940" s="7" t="s">
        <v>7998</v>
      </c>
    </row>
    <row r="941" customFormat="false" ht="15" hidden="false" customHeight="true" outlineLevel="0" collapsed="false">
      <c r="A941" s="7" t="s">
        <v>4859</v>
      </c>
      <c r="B941" s="7" t="s">
        <v>7990</v>
      </c>
      <c r="C941" s="12" t="n">
        <v>0</v>
      </c>
      <c r="D941" s="7" t="n">
        <v>23</v>
      </c>
      <c r="E941" s="13"/>
      <c r="F941" s="7"/>
      <c r="G941" s="7" t="n">
        <v>6</v>
      </c>
      <c r="H941" s="7" t="s">
        <v>7998</v>
      </c>
    </row>
    <row r="942" customFormat="false" ht="15" hidden="false" customHeight="true" outlineLevel="0" collapsed="false">
      <c r="A942" s="7" t="s">
        <v>4900</v>
      </c>
      <c r="B942" s="7" t="s">
        <v>7989</v>
      </c>
      <c r="C942" s="12" t="n">
        <v>0</v>
      </c>
      <c r="D942" s="7" t="n">
        <v>10</v>
      </c>
      <c r="E942" s="13" t="n">
        <v>0</v>
      </c>
      <c r="F942" s="7" t="n">
        <v>0</v>
      </c>
      <c r="G942" s="7" t="n">
        <v>6</v>
      </c>
      <c r="H942" s="7"/>
    </row>
    <row r="943" customFormat="false" ht="15" hidden="false" customHeight="true" outlineLevel="0" collapsed="false">
      <c r="A943" s="7" t="s">
        <v>4912</v>
      </c>
      <c r="B943" s="7" t="s">
        <v>7990</v>
      </c>
      <c r="C943" s="12" t="n">
        <v>0</v>
      </c>
      <c r="D943" s="7" t="n">
        <v>24</v>
      </c>
      <c r="E943" s="13"/>
      <c r="F943" s="7"/>
      <c r="G943" s="7" t="n">
        <v>6</v>
      </c>
      <c r="H943" s="7" t="s">
        <v>7998</v>
      </c>
    </row>
    <row r="944" customFormat="false" ht="15" hidden="false" customHeight="true" outlineLevel="0" collapsed="false">
      <c r="A944" s="7" t="s">
        <v>4922</v>
      </c>
      <c r="B944" s="7" t="s">
        <v>7989</v>
      </c>
      <c r="C944" s="12" t="n">
        <v>0</v>
      </c>
      <c r="D944" s="7" t="n">
        <v>16</v>
      </c>
      <c r="E944" s="13"/>
      <c r="F944" s="7"/>
      <c r="G944" s="7" t="n">
        <v>6</v>
      </c>
      <c r="H944" s="7" t="s">
        <v>7998</v>
      </c>
    </row>
    <row r="945" customFormat="false" ht="15" hidden="false" customHeight="true" outlineLevel="0" collapsed="false">
      <c r="A945" s="7" t="s">
        <v>4947</v>
      </c>
      <c r="B945" s="7" t="s">
        <v>7990</v>
      </c>
      <c r="C945" s="12" t="n">
        <v>0</v>
      </c>
      <c r="D945" s="7" t="n">
        <v>10</v>
      </c>
      <c r="E945" s="13"/>
      <c r="F945" s="7"/>
      <c r="G945" s="7" t="n">
        <v>6</v>
      </c>
      <c r="H945" s="7" t="s">
        <v>7998</v>
      </c>
    </row>
    <row r="946" customFormat="false" ht="15" hidden="false" customHeight="true" outlineLevel="0" collapsed="false">
      <c r="A946" s="7" t="s">
        <v>4962</v>
      </c>
      <c r="B946" s="7" t="s">
        <v>7990</v>
      </c>
      <c r="C946" s="12" t="n">
        <v>0</v>
      </c>
      <c r="D946" s="7" t="n">
        <v>23</v>
      </c>
      <c r="E946" s="13"/>
      <c r="F946" s="7"/>
      <c r="G946" s="7" t="n">
        <v>6</v>
      </c>
      <c r="H946" s="7" t="s">
        <v>7998</v>
      </c>
    </row>
    <row r="947" customFormat="false" ht="15" hidden="false" customHeight="true" outlineLevel="0" collapsed="false">
      <c r="A947" s="7" t="s">
        <v>4996</v>
      </c>
      <c r="B947" s="7" t="s">
        <v>7992</v>
      </c>
      <c r="C947" s="12" t="n">
        <v>0</v>
      </c>
      <c r="D947" s="7" t="n">
        <v>19</v>
      </c>
      <c r="E947" s="13"/>
      <c r="F947" s="7"/>
      <c r="G947" s="7" t="n">
        <v>6</v>
      </c>
      <c r="H947" s="7" t="s">
        <v>7998</v>
      </c>
    </row>
    <row r="948" customFormat="false" ht="15" hidden="false" customHeight="true" outlineLevel="0" collapsed="false">
      <c r="A948" s="7" t="s">
        <v>5933</v>
      </c>
      <c r="B948" s="7" t="s">
        <v>7992</v>
      </c>
      <c r="C948" s="12" t="n">
        <v>0</v>
      </c>
      <c r="D948" s="7" t="n">
        <v>19</v>
      </c>
      <c r="E948" s="13"/>
      <c r="F948" s="7"/>
      <c r="G948" s="7" t="n">
        <v>6</v>
      </c>
      <c r="H948" s="7" t="s">
        <v>7998</v>
      </c>
    </row>
    <row r="949" customFormat="false" ht="15" hidden="false" customHeight="true" outlineLevel="0" collapsed="false">
      <c r="A949" s="7" t="s">
        <v>5911</v>
      </c>
      <c r="B949" s="7" t="s">
        <v>7992</v>
      </c>
      <c r="C949" s="12" t="n">
        <v>0</v>
      </c>
      <c r="D949" s="7" t="n">
        <v>18</v>
      </c>
      <c r="E949" s="13"/>
      <c r="F949" s="7"/>
      <c r="G949" s="7" t="n">
        <v>6</v>
      </c>
      <c r="H949" s="7" t="s">
        <v>7998</v>
      </c>
    </row>
    <row r="950" customFormat="false" ht="15" hidden="false" customHeight="true" outlineLevel="0" collapsed="false">
      <c r="A950" s="7" t="s">
        <v>5890</v>
      </c>
      <c r="B950" s="7" t="s">
        <v>7992</v>
      </c>
      <c r="C950" s="12" t="n">
        <v>0</v>
      </c>
      <c r="D950" s="7" t="n">
        <v>19</v>
      </c>
      <c r="E950" s="13"/>
      <c r="F950" s="7"/>
      <c r="G950" s="7" t="n">
        <v>6</v>
      </c>
      <c r="H950" s="7" t="s">
        <v>7998</v>
      </c>
    </row>
    <row r="951" customFormat="false" ht="15" hidden="false" customHeight="true" outlineLevel="0" collapsed="false">
      <c r="A951" s="7" t="s">
        <v>5900</v>
      </c>
      <c r="B951" s="7" t="s">
        <v>7994</v>
      </c>
      <c r="C951" s="12" t="n">
        <v>0</v>
      </c>
      <c r="D951" s="7" t="n">
        <v>12</v>
      </c>
      <c r="E951" s="13"/>
      <c r="F951" s="7"/>
      <c r="G951" s="7" t="n">
        <v>6</v>
      </c>
      <c r="H951" s="7" t="s">
        <v>7998</v>
      </c>
    </row>
    <row r="952" customFormat="false" ht="15" hidden="false" customHeight="true" outlineLevel="0" collapsed="false">
      <c r="A952" s="7" t="s">
        <v>5012</v>
      </c>
      <c r="B952" s="7" t="s">
        <v>7990</v>
      </c>
      <c r="C952" s="12" t="n">
        <v>0</v>
      </c>
      <c r="D952" s="7" t="n">
        <v>19</v>
      </c>
      <c r="E952" s="13"/>
      <c r="F952" s="7"/>
      <c r="G952" s="7" t="s">
        <v>6816</v>
      </c>
      <c r="H952" s="7" t="s">
        <v>7998</v>
      </c>
    </row>
    <row r="953" customFormat="false" ht="15" hidden="false" customHeight="true" outlineLevel="0" collapsed="false">
      <c r="A953" s="7" t="s">
        <v>5009</v>
      </c>
      <c r="B953" s="7" t="s">
        <v>7990</v>
      </c>
      <c r="C953" s="12" t="n">
        <v>0</v>
      </c>
      <c r="D953" s="7" t="n">
        <v>14</v>
      </c>
      <c r="E953" s="13"/>
      <c r="F953" s="7"/>
      <c r="G953" s="7" t="s">
        <v>6816</v>
      </c>
      <c r="H953" s="7" t="s">
        <v>7998</v>
      </c>
    </row>
    <row r="954" customFormat="false" ht="15" hidden="false" customHeight="true" outlineLevel="0" collapsed="false">
      <c r="A954" s="7" t="s">
        <v>6568</v>
      </c>
      <c r="B954" s="7" t="s">
        <v>7989</v>
      </c>
      <c r="C954" s="12" t="n">
        <v>0</v>
      </c>
      <c r="D954" s="7" t="n">
        <v>12</v>
      </c>
      <c r="E954" s="13" t="n">
        <v>0.31</v>
      </c>
      <c r="F954" s="7" t="n">
        <v>1</v>
      </c>
      <c r="G954" s="7" t="n">
        <v>2</v>
      </c>
      <c r="H954" s="7"/>
    </row>
    <row r="955" customFormat="false" ht="15" hidden="false" customHeight="true" outlineLevel="0" collapsed="false">
      <c r="A955" s="7" t="s">
        <v>5061</v>
      </c>
      <c r="B955" s="7" t="s">
        <v>7990</v>
      </c>
      <c r="C955" s="12" t="n">
        <v>0</v>
      </c>
      <c r="D955" s="7" t="n">
        <v>13</v>
      </c>
      <c r="E955" s="13" t="n">
        <v>0</v>
      </c>
      <c r="F955" s="7" t="n">
        <v>0</v>
      </c>
      <c r="G955" s="7" t="s">
        <v>6815</v>
      </c>
      <c r="H955" s="7"/>
    </row>
    <row r="956" customFormat="false" ht="15" hidden="false" customHeight="true" outlineLevel="0" collapsed="false">
      <c r="A956" s="7" t="s">
        <v>5052</v>
      </c>
      <c r="B956" s="7" t="s">
        <v>7990</v>
      </c>
      <c r="C956" s="12" t="n">
        <v>0</v>
      </c>
      <c r="D956" s="7" t="n">
        <v>27</v>
      </c>
      <c r="E956" s="13"/>
      <c r="F956" s="7"/>
      <c r="G956" s="7" t="s">
        <v>6815</v>
      </c>
      <c r="H956" s="7" t="s">
        <v>7998</v>
      </c>
    </row>
    <row r="957" customFormat="false" ht="15" hidden="false" customHeight="true" outlineLevel="0" collapsed="false">
      <c r="A957" s="7" t="s">
        <v>5031</v>
      </c>
      <c r="B957" s="7" t="s">
        <v>7990</v>
      </c>
      <c r="C957" s="12" t="n">
        <v>0</v>
      </c>
      <c r="D957" s="7" t="n">
        <v>19</v>
      </c>
      <c r="E957" s="13"/>
      <c r="F957" s="7"/>
      <c r="G957" s="7" t="n">
        <v>6</v>
      </c>
      <c r="H957" s="7" t="s">
        <v>7998</v>
      </c>
    </row>
    <row r="958" customFormat="false" ht="15" hidden="false" customHeight="true" outlineLevel="0" collapsed="false">
      <c r="A958" s="7" t="s">
        <v>7927</v>
      </c>
      <c r="B958" s="7" t="s">
        <v>7993</v>
      </c>
      <c r="C958" s="12" t="n">
        <v>0</v>
      </c>
      <c r="D958" s="7" t="n">
        <v>31</v>
      </c>
      <c r="E958" s="13"/>
      <c r="F958" s="7"/>
      <c r="G958" s="7" t="s">
        <v>7919</v>
      </c>
      <c r="H958" s="7" t="s">
        <v>7998</v>
      </c>
    </row>
    <row r="959" customFormat="false" ht="15" hidden="false" customHeight="true" outlineLevel="0" collapsed="false">
      <c r="A959" s="7" t="s">
        <v>7928</v>
      </c>
      <c r="B959" s="7" t="s">
        <v>7991</v>
      </c>
      <c r="C959" s="12" t="n">
        <v>0</v>
      </c>
      <c r="D959" s="7" t="n">
        <v>33</v>
      </c>
      <c r="E959" s="13"/>
      <c r="F959" s="7"/>
      <c r="G959" s="7" t="s">
        <v>7919</v>
      </c>
      <c r="H959" s="7" t="s">
        <v>7998</v>
      </c>
    </row>
    <row r="960" customFormat="false" ht="15" hidden="false" customHeight="true" outlineLevel="0" collapsed="false">
      <c r="A960" s="7" t="s">
        <v>5086</v>
      </c>
      <c r="B960" s="7" t="s">
        <v>7989</v>
      </c>
      <c r="C960" s="12" t="n">
        <v>0</v>
      </c>
      <c r="D960" s="7" t="n">
        <v>16</v>
      </c>
      <c r="E960" s="13"/>
      <c r="F960" s="7"/>
      <c r="G960" s="7" t="n">
        <v>6</v>
      </c>
      <c r="H960" s="7" t="s">
        <v>7998</v>
      </c>
    </row>
    <row r="961" customFormat="false" ht="15" hidden="false" customHeight="true" outlineLevel="0" collapsed="false">
      <c r="A961" s="7" t="s">
        <v>5099</v>
      </c>
      <c r="B961" s="7" t="s">
        <v>7990</v>
      </c>
      <c r="C961" s="12" t="n">
        <v>0</v>
      </c>
      <c r="D961" s="7" t="n">
        <v>16</v>
      </c>
      <c r="E961" s="13"/>
      <c r="F961" s="7"/>
      <c r="G961" s="7" t="n">
        <v>6</v>
      </c>
      <c r="H961" s="7" t="s">
        <v>7998</v>
      </c>
    </row>
    <row r="962" customFormat="false" ht="15" hidden="false" customHeight="true" outlineLevel="0" collapsed="false">
      <c r="A962" s="7" t="s">
        <v>5110</v>
      </c>
      <c r="B962" s="7" t="s">
        <v>7990</v>
      </c>
      <c r="C962" s="12" t="n">
        <v>0</v>
      </c>
      <c r="D962" s="7" t="n">
        <v>17</v>
      </c>
      <c r="E962" s="13"/>
      <c r="F962" s="7"/>
      <c r="G962" s="7" t="n">
        <v>6</v>
      </c>
      <c r="H962" s="7" t="s">
        <v>7998</v>
      </c>
    </row>
    <row r="963" customFormat="false" ht="15" hidden="false" customHeight="true" outlineLevel="0" collapsed="false">
      <c r="A963" s="7" t="s">
        <v>5122</v>
      </c>
      <c r="B963" s="7" t="s">
        <v>7989</v>
      </c>
      <c r="C963" s="12" t="n">
        <v>0</v>
      </c>
      <c r="D963" s="7" t="n">
        <v>23</v>
      </c>
      <c r="E963" s="13"/>
      <c r="F963" s="7"/>
      <c r="G963" s="7" t="n">
        <v>7</v>
      </c>
      <c r="H963" s="7" t="s">
        <v>7998</v>
      </c>
    </row>
    <row r="964" customFormat="false" ht="15" hidden="false" customHeight="true" outlineLevel="0" collapsed="false">
      <c r="A964" s="7" t="s">
        <v>5132</v>
      </c>
      <c r="B964" s="7" t="s">
        <v>7989</v>
      </c>
      <c r="C964" s="12" t="n">
        <v>0</v>
      </c>
      <c r="D964" s="7" t="n">
        <v>34</v>
      </c>
      <c r="E964" s="13"/>
      <c r="F964" s="7"/>
      <c r="G964" s="7" t="n">
        <v>7</v>
      </c>
      <c r="H964" s="7" t="s">
        <v>7999</v>
      </c>
    </row>
    <row r="965" customFormat="false" ht="15" hidden="false" customHeight="true" outlineLevel="0" collapsed="false">
      <c r="A965" s="7" t="s">
        <v>5143</v>
      </c>
      <c r="B965" s="7" t="s">
        <v>7990</v>
      </c>
      <c r="C965" s="12" t="n">
        <v>0</v>
      </c>
      <c r="D965" s="7" t="n">
        <v>13</v>
      </c>
      <c r="E965" s="13" t="n">
        <v>0</v>
      </c>
      <c r="F965" s="7" t="n">
        <v>1</v>
      </c>
      <c r="G965" s="7" t="s">
        <v>6815</v>
      </c>
      <c r="H965" s="7"/>
    </row>
    <row r="966" customFormat="false" ht="15" hidden="false" customHeight="true" outlineLevel="0" collapsed="false">
      <c r="A966" s="7" t="s">
        <v>6580</v>
      </c>
      <c r="B966" s="7" t="s">
        <v>7989</v>
      </c>
      <c r="C966" s="12" t="n">
        <v>0</v>
      </c>
      <c r="D966" s="7" t="n">
        <v>9</v>
      </c>
      <c r="E966" s="13" t="n">
        <v>0</v>
      </c>
      <c r="F966" s="7" t="n">
        <v>1</v>
      </c>
      <c r="G966" s="7" t="n">
        <v>2</v>
      </c>
      <c r="H966" s="7"/>
    </row>
    <row r="967" customFormat="false" ht="15" hidden="false" customHeight="true" outlineLevel="0" collapsed="false">
      <c r="A967" s="7" t="s">
        <v>5164</v>
      </c>
      <c r="B967" s="7" t="s">
        <v>7990</v>
      </c>
      <c r="C967" s="12" t="n">
        <v>0</v>
      </c>
      <c r="D967" s="7" t="n">
        <v>21</v>
      </c>
      <c r="E967" s="13"/>
      <c r="F967" s="7"/>
      <c r="G967" s="7" t="n">
        <v>7</v>
      </c>
      <c r="H967" s="7" t="s">
        <v>7998</v>
      </c>
    </row>
    <row r="968" customFormat="false" ht="15" hidden="false" customHeight="true" outlineLevel="0" collapsed="false">
      <c r="A968" s="7" t="s">
        <v>6585</v>
      </c>
      <c r="B968" s="7" t="s">
        <v>7989</v>
      </c>
      <c r="C968" s="12" t="n">
        <v>0</v>
      </c>
      <c r="D968" s="7" t="n">
        <v>12</v>
      </c>
      <c r="E968" s="13" t="n">
        <v>0.41</v>
      </c>
      <c r="F968" s="7" t="n">
        <v>1</v>
      </c>
      <c r="G968" s="7" t="n">
        <v>2</v>
      </c>
      <c r="H968" s="7"/>
    </row>
    <row r="969" customFormat="false" ht="15" hidden="false" customHeight="true" outlineLevel="0" collapsed="false">
      <c r="A969" s="7" t="s">
        <v>5231</v>
      </c>
      <c r="B969" s="7" t="s">
        <v>7992</v>
      </c>
      <c r="C969" s="12" t="n">
        <v>0</v>
      </c>
      <c r="D969" s="7" t="n">
        <v>13</v>
      </c>
      <c r="E969" s="13"/>
      <c r="F969" s="7"/>
      <c r="G969" s="7" t="n">
        <v>7</v>
      </c>
      <c r="H969" s="7" t="s">
        <v>7998</v>
      </c>
    </row>
    <row r="970" customFormat="false" ht="15" hidden="false" customHeight="true" outlineLevel="0" collapsed="false">
      <c r="A970" s="7" t="s">
        <v>5266</v>
      </c>
      <c r="B970" s="7" t="s">
        <v>7992</v>
      </c>
      <c r="C970" s="12" t="n">
        <v>0</v>
      </c>
      <c r="D970" s="7" t="n">
        <v>6</v>
      </c>
      <c r="E970" s="13" t="n">
        <v>0</v>
      </c>
      <c r="F970" s="7" t="n">
        <v>0</v>
      </c>
      <c r="G970" s="7" t="n">
        <v>7</v>
      </c>
      <c r="H970" s="7"/>
    </row>
    <row r="971" customFormat="false" ht="15" hidden="false" customHeight="true" outlineLevel="0" collapsed="false">
      <c r="A971" s="7" t="s">
        <v>5289</v>
      </c>
      <c r="B971" s="7" t="s">
        <v>7990</v>
      </c>
      <c r="C971" s="12" t="n">
        <v>0</v>
      </c>
      <c r="D971" s="7" t="n">
        <v>16</v>
      </c>
      <c r="E971" s="13"/>
      <c r="F971" s="7"/>
      <c r="G971" s="7" t="n">
        <v>7</v>
      </c>
      <c r="H971" s="7" t="s">
        <v>7998</v>
      </c>
    </row>
    <row r="972" customFormat="false" ht="15" hidden="false" customHeight="true" outlineLevel="0" collapsed="false">
      <c r="A972" s="7" t="s">
        <v>5276</v>
      </c>
      <c r="B972" s="7" t="s">
        <v>7990</v>
      </c>
      <c r="C972" s="12" t="n">
        <v>0</v>
      </c>
      <c r="D972" s="7" t="n">
        <v>14</v>
      </c>
      <c r="E972" s="13"/>
      <c r="F972" s="7"/>
      <c r="G972" s="7" t="n">
        <v>7</v>
      </c>
      <c r="H972" s="7" t="s">
        <v>7998</v>
      </c>
    </row>
    <row r="973" customFormat="false" ht="15" hidden="false" customHeight="true" outlineLevel="0" collapsed="false">
      <c r="A973" s="7" t="s">
        <v>5321</v>
      </c>
      <c r="B973" s="7" t="s">
        <v>7990</v>
      </c>
      <c r="C973" s="12" t="n">
        <v>0</v>
      </c>
      <c r="D973" s="7" t="n">
        <v>12</v>
      </c>
      <c r="E973" s="13"/>
      <c r="F973" s="7"/>
      <c r="G973" s="7" t="n">
        <v>7</v>
      </c>
      <c r="H973" s="7" t="s">
        <v>7998</v>
      </c>
    </row>
    <row r="974" customFormat="false" ht="15" hidden="false" customHeight="true" outlineLevel="0" collapsed="false">
      <c r="A974" s="7" t="s">
        <v>5333</v>
      </c>
      <c r="B974" s="7" t="s">
        <v>7990</v>
      </c>
      <c r="C974" s="12" t="n">
        <v>0</v>
      </c>
      <c r="D974" s="7" t="n">
        <v>9</v>
      </c>
      <c r="E974" s="13"/>
      <c r="F974" s="7"/>
      <c r="G974" s="7" t="n">
        <v>7</v>
      </c>
      <c r="H974" s="7" t="s">
        <v>7998</v>
      </c>
    </row>
    <row r="975" customFormat="false" ht="15" hidden="false" customHeight="true" outlineLevel="0" collapsed="false">
      <c r="A975" s="7" t="s">
        <v>5343</v>
      </c>
      <c r="B975" s="7" t="s">
        <v>7992</v>
      </c>
      <c r="C975" s="12" t="n">
        <v>0</v>
      </c>
      <c r="D975" s="7" t="n">
        <v>16</v>
      </c>
      <c r="E975" s="13"/>
      <c r="F975" s="7"/>
      <c r="G975" s="7" t="s">
        <v>6815</v>
      </c>
      <c r="H975" s="7" t="s">
        <v>7998</v>
      </c>
    </row>
    <row r="976" customFormat="false" ht="15" hidden="false" customHeight="true" outlineLevel="0" collapsed="false">
      <c r="A976" s="7" t="s">
        <v>6594</v>
      </c>
      <c r="B976" s="7" t="s">
        <v>7990</v>
      </c>
      <c r="C976" s="12" t="n">
        <v>0</v>
      </c>
      <c r="D976" s="7" t="n">
        <v>15</v>
      </c>
      <c r="E976" s="13"/>
      <c r="F976" s="7"/>
      <c r="G976" s="7" t="n">
        <v>2</v>
      </c>
      <c r="H976" s="7" t="s">
        <v>7998</v>
      </c>
    </row>
    <row r="977" customFormat="false" ht="15" hidden="false" customHeight="true" outlineLevel="0" collapsed="false">
      <c r="A977" s="7" t="s">
        <v>4406</v>
      </c>
      <c r="B977" s="7" t="s">
        <v>7990</v>
      </c>
      <c r="C977" s="12" t="n">
        <v>0</v>
      </c>
      <c r="D977" s="7" t="n">
        <v>27</v>
      </c>
      <c r="E977" s="13"/>
      <c r="F977" s="7"/>
      <c r="G977" s="7" t="n">
        <v>7</v>
      </c>
      <c r="H977" s="7" t="s">
        <v>7998</v>
      </c>
    </row>
    <row r="978" customFormat="false" ht="15" hidden="false" customHeight="true" outlineLevel="0" collapsed="false">
      <c r="A978" s="7" t="s">
        <v>4416</v>
      </c>
      <c r="B978" s="7" t="s">
        <v>7992</v>
      </c>
      <c r="C978" s="12" t="n">
        <v>0</v>
      </c>
      <c r="D978" s="7" t="n">
        <v>14</v>
      </c>
      <c r="E978" s="13"/>
      <c r="F978" s="7"/>
      <c r="G978" s="7" t="n">
        <v>7</v>
      </c>
      <c r="H978" s="7" t="s">
        <v>7998</v>
      </c>
    </row>
    <row r="979" customFormat="false" ht="15" hidden="false" customHeight="true" outlineLevel="0" collapsed="false">
      <c r="A979" s="7" t="s">
        <v>4427</v>
      </c>
      <c r="B979" s="7" t="s">
        <v>7992</v>
      </c>
      <c r="C979" s="12" t="n">
        <v>0</v>
      </c>
      <c r="D979" s="7" t="n">
        <v>22</v>
      </c>
      <c r="E979" s="13"/>
      <c r="F979" s="7"/>
      <c r="G979" s="7" t="n">
        <v>7</v>
      </c>
      <c r="H979" s="7" t="s">
        <v>7998</v>
      </c>
    </row>
    <row r="980" customFormat="false" ht="15" hidden="false" customHeight="true" outlineLevel="0" collapsed="false">
      <c r="A980" s="7" t="s">
        <v>4437</v>
      </c>
      <c r="B980" s="7" t="s">
        <v>7990</v>
      </c>
      <c r="C980" s="12" t="n">
        <v>0</v>
      </c>
      <c r="D980" s="7" t="n">
        <v>24</v>
      </c>
      <c r="E980" s="13"/>
      <c r="F980" s="7"/>
      <c r="G980" s="7" t="n">
        <v>7</v>
      </c>
      <c r="H980" s="7" t="s">
        <v>7998</v>
      </c>
    </row>
    <row r="981" customFormat="false" ht="15" hidden="false" customHeight="true" outlineLevel="0" collapsed="false">
      <c r="A981" s="7" t="s">
        <v>4447</v>
      </c>
      <c r="B981" s="7" t="s">
        <v>7989</v>
      </c>
      <c r="C981" s="12" t="n">
        <v>0</v>
      </c>
      <c r="D981" s="7" t="n">
        <v>28</v>
      </c>
      <c r="E981" s="13"/>
      <c r="F981" s="7"/>
      <c r="G981" s="7" t="n">
        <v>7</v>
      </c>
      <c r="H981" s="7" t="s">
        <v>7998</v>
      </c>
    </row>
    <row r="982" customFormat="false" ht="15" hidden="false" customHeight="true" outlineLevel="0" collapsed="false">
      <c r="A982" s="7" t="s">
        <v>4457</v>
      </c>
      <c r="B982" s="7" t="s">
        <v>7990</v>
      </c>
      <c r="C982" s="12" t="n">
        <v>0</v>
      </c>
      <c r="D982" s="7" t="n">
        <v>24</v>
      </c>
      <c r="E982" s="13"/>
      <c r="F982" s="7"/>
      <c r="G982" s="7" t="n">
        <v>7</v>
      </c>
      <c r="H982" s="7" t="s">
        <v>7998</v>
      </c>
    </row>
    <row r="983" customFormat="false" ht="15" hidden="false" customHeight="true" outlineLevel="0" collapsed="false">
      <c r="A983" s="7" t="s">
        <v>4467</v>
      </c>
      <c r="B983" s="7" t="s">
        <v>7992</v>
      </c>
      <c r="C983" s="12" t="n">
        <v>0</v>
      </c>
      <c r="D983" s="7" t="n">
        <v>35</v>
      </c>
      <c r="E983" s="13"/>
      <c r="F983" s="7"/>
      <c r="G983" s="7" t="n">
        <v>7</v>
      </c>
      <c r="H983" s="7" t="s">
        <v>7998</v>
      </c>
    </row>
    <row r="984" customFormat="false" ht="15" hidden="false" customHeight="true" outlineLevel="0" collapsed="false">
      <c r="A984" s="7" t="s">
        <v>4478</v>
      </c>
      <c r="B984" s="7" t="s">
        <v>7996</v>
      </c>
      <c r="C984" s="12" t="n">
        <v>0</v>
      </c>
      <c r="D984" s="7" t="n">
        <v>34</v>
      </c>
      <c r="E984" s="13"/>
      <c r="F984" s="7"/>
      <c r="G984" s="7" t="n">
        <v>7</v>
      </c>
      <c r="H984" s="7" t="s">
        <v>7998</v>
      </c>
    </row>
    <row r="985" customFormat="false" ht="15" hidden="false" customHeight="true" outlineLevel="0" collapsed="false">
      <c r="A985" s="7" t="s">
        <v>4488</v>
      </c>
      <c r="B985" s="7" t="s">
        <v>7990</v>
      </c>
      <c r="C985" s="12" t="n">
        <v>0</v>
      </c>
      <c r="D985" s="7" t="n">
        <v>28</v>
      </c>
      <c r="E985" s="13"/>
      <c r="F985" s="7"/>
      <c r="G985" s="7" t="n">
        <v>7</v>
      </c>
      <c r="H985" s="7" t="s">
        <v>7998</v>
      </c>
    </row>
    <row r="986" customFormat="false" ht="15" hidden="false" customHeight="true" outlineLevel="0" collapsed="false">
      <c r="A986" s="7" t="s">
        <v>4498</v>
      </c>
      <c r="B986" s="7" t="s">
        <v>7989</v>
      </c>
      <c r="C986" s="12" t="n">
        <v>0</v>
      </c>
      <c r="D986" s="7" t="n">
        <v>10</v>
      </c>
      <c r="E986" s="13"/>
      <c r="F986" s="7"/>
      <c r="G986" s="7" t="n">
        <v>7</v>
      </c>
      <c r="H986" s="7" t="s">
        <v>7998</v>
      </c>
    </row>
    <row r="987" customFormat="false" ht="15" hidden="false" customHeight="true" outlineLevel="0" collapsed="false">
      <c r="A987" s="7" t="s">
        <v>4508</v>
      </c>
      <c r="B987" s="7" t="s">
        <v>7990</v>
      </c>
      <c r="C987" s="12" t="n">
        <v>0</v>
      </c>
      <c r="D987" s="7" t="n">
        <v>24</v>
      </c>
      <c r="E987" s="13"/>
      <c r="F987" s="7"/>
      <c r="G987" s="7" t="n">
        <v>7</v>
      </c>
      <c r="H987" s="7" t="s">
        <v>7998</v>
      </c>
    </row>
    <row r="988" customFormat="false" ht="15" hidden="false" customHeight="true" outlineLevel="0" collapsed="false">
      <c r="A988" s="7" t="s">
        <v>4518</v>
      </c>
      <c r="B988" s="7" t="s">
        <v>7990</v>
      </c>
      <c r="C988" s="12" t="n">
        <v>0</v>
      </c>
      <c r="D988" s="7" t="n">
        <v>24</v>
      </c>
      <c r="E988" s="13"/>
      <c r="F988" s="7"/>
      <c r="G988" s="7" t="n">
        <v>7</v>
      </c>
      <c r="H988" s="7" t="s">
        <v>7998</v>
      </c>
    </row>
    <row r="989" customFormat="false" ht="15" hidden="false" customHeight="true" outlineLevel="0" collapsed="false">
      <c r="A989" s="7" t="s">
        <v>4528</v>
      </c>
      <c r="B989" s="7" t="s">
        <v>7992</v>
      </c>
      <c r="C989" s="12" t="n">
        <v>0</v>
      </c>
      <c r="D989" s="7" t="n">
        <v>16</v>
      </c>
      <c r="E989" s="13"/>
      <c r="F989" s="7"/>
      <c r="G989" s="7" t="n">
        <v>7</v>
      </c>
      <c r="H989" s="7" t="s">
        <v>7998</v>
      </c>
    </row>
    <row r="990" customFormat="false" ht="15" hidden="false" customHeight="true" outlineLevel="0" collapsed="false">
      <c r="A990" s="7" t="s">
        <v>4538</v>
      </c>
      <c r="B990" s="7" t="s">
        <v>7990</v>
      </c>
      <c r="C990" s="12" t="n">
        <v>0</v>
      </c>
      <c r="D990" s="7" t="n">
        <v>28</v>
      </c>
      <c r="E990" s="13"/>
      <c r="F990" s="7"/>
      <c r="G990" s="7" t="n">
        <v>7</v>
      </c>
      <c r="H990" s="7" t="s">
        <v>7998</v>
      </c>
    </row>
    <row r="991" customFormat="false" ht="15" hidden="false" customHeight="true" outlineLevel="0" collapsed="false">
      <c r="A991" s="7" t="s">
        <v>5381</v>
      </c>
      <c r="B991" s="7" t="s">
        <v>7989</v>
      </c>
      <c r="C991" s="12" t="n">
        <v>0</v>
      </c>
      <c r="D991" s="7" t="n">
        <v>17</v>
      </c>
      <c r="E991" s="13"/>
      <c r="F991" s="7"/>
      <c r="G991" s="7" t="s">
        <v>6816</v>
      </c>
      <c r="H991" s="7" t="s">
        <v>7998</v>
      </c>
    </row>
    <row r="992" customFormat="false" ht="15" hidden="false" customHeight="true" outlineLevel="0" collapsed="false">
      <c r="A992" s="7" t="s">
        <v>5422</v>
      </c>
      <c r="B992" s="7" t="s">
        <v>7989</v>
      </c>
      <c r="C992" s="12" t="n">
        <v>0</v>
      </c>
      <c r="D992" s="7" t="n">
        <v>24</v>
      </c>
      <c r="E992" s="13"/>
      <c r="F992" s="7"/>
      <c r="G992" s="7" t="n">
        <v>7</v>
      </c>
      <c r="H992" s="7" t="s">
        <v>7998</v>
      </c>
    </row>
    <row r="993" customFormat="false" ht="15" hidden="false" customHeight="true" outlineLevel="0" collapsed="false">
      <c r="A993" s="7" t="s">
        <v>5454</v>
      </c>
      <c r="B993" s="7" t="s">
        <v>7994</v>
      </c>
      <c r="C993" s="12" t="n">
        <v>0</v>
      </c>
      <c r="D993" s="7" t="n">
        <v>22</v>
      </c>
      <c r="E993" s="13"/>
      <c r="F993" s="7"/>
      <c r="G993" s="7" t="n">
        <v>7</v>
      </c>
      <c r="H993" s="7" t="s">
        <v>7998</v>
      </c>
    </row>
    <row r="994" customFormat="false" ht="15" hidden="false" customHeight="true" outlineLevel="0" collapsed="false">
      <c r="A994" s="7" t="s">
        <v>5412</v>
      </c>
      <c r="B994" s="7" t="s">
        <v>7989</v>
      </c>
      <c r="C994" s="12" t="n">
        <v>0</v>
      </c>
      <c r="D994" s="7" t="n">
        <v>17</v>
      </c>
      <c r="E994" s="13"/>
      <c r="F994" s="7"/>
      <c r="G994" s="7" t="n">
        <v>7</v>
      </c>
      <c r="H994" s="7" t="s">
        <v>7998</v>
      </c>
    </row>
    <row r="995" customFormat="false" ht="15" hidden="false" customHeight="true" outlineLevel="0" collapsed="false">
      <c r="A995" s="7" t="s">
        <v>6697</v>
      </c>
      <c r="B995" s="7" t="s">
        <v>7990</v>
      </c>
      <c r="C995" s="12" t="n">
        <v>0</v>
      </c>
      <c r="D995" s="7" t="n">
        <v>22</v>
      </c>
      <c r="E995" s="13"/>
      <c r="F995" s="7"/>
      <c r="G995" s="7" t="n">
        <v>3</v>
      </c>
      <c r="H995" s="7" t="s">
        <v>7998</v>
      </c>
    </row>
    <row r="996" customFormat="false" ht="15" hidden="false" customHeight="true" outlineLevel="0" collapsed="false">
      <c r="A996" s="7" t="s">
        <v>6599</v>
      </c>
      <c r="B996" s="7" t="s">
        <v>7993</v>
      </c>
      <c r="C996" s="12" t="n">
        <v>0</v>
      </c>
      <c r="D996" s="7" t="n">
        <v>11</v>
      </c>
      <c r="E996" s="13" t="n">
        <v>0.28</v>
      </c>
      <c r="F996" s="7" t="n">
        <v>1</v>
      </c>
      <c r="G996" s="7" t="n">
        <v>2</v>
      </c>
      <c r="H996" s="7"/>
    </row>
    <row r="997" customFormat="false" ht="15" hidden="false" customHeight="true" outlineLevel="0" collapsed="false">
      <c r="A997" s="7" t="s">
        <v>6700</v>
      </c>
      <c r="B997" s="7" t="s">
        <v>7990</v>
      </c>
      <c r="C997" s="12" t="n">
        <v>0</v>
      </c>
      <c r="D997" s="7" t="n">
        <v>53</v>
      </c>
      <c r="E997" s="13" t="n">
        <v>0</v>
      </c>
      <c r="F997" s="7" t="n">
        <v>0</v>
      </c>
      <c r="G997" s="7" t="n">
        <v>3</v>
      </c>
      <c r="H997" s="7"/>
    </row>
    <row r="998" customFormat="false" ht="15" hidden="false" customHeight="true" outlineLevel="0" collapsed="false">
      <c r="A998" s="7" t="s">
        <v>6704</v>
      </c>
      <c r="B998" s="7" t="s">
        <v>7990</v>
      </c>
      <c r="C998" s="12" t="n">
        <v>0</v>
      </c>
      <c r="D998" s="7" t="n">
        <v>29</v>
      </c>
      <c r="E998" s="13"/>
      <c r="F998" s="7"/>
      <c r="G998" s="7" t="n">
        <v>3</v>
      </c>
      <c r="H998" s="7" t="s">
        <v>7998</v>
      </c>
    </row>
    <row r="999" customFormat="false" ht="15" hidden="false" customHeight="true" outlineLevel="0" collapsed="false">
      <c r="A999" s="7" t="s">
        <v>6706</v>
      </c>
      <c r="B999" s="7" t="s">
        <v>7990</v>
      </c>
      <c r="C999" s="12" t="n">
        <v>0</v>
      </c>
      <c r="D999" s="7" t="n">
        <v>11</v>
      </c>
      <c r="E999" s="13"/>
      <c r="F999" s="7"/>
      <c r="G999" s="7" t="n">
        <v>3</v>
      </c>
      <c r="H999" s="7" t="s">
        <v>7998</v>
      </c>
    </row>
    <row r="1000" customFormat="false" ht="15" hidden="false" customHeight="true" outlineLevel="0" collapsed="false">
      <c r="A1000" s="7" t="s">
        <v>6711</v>
      </c>
      <c r="B1000" s="7" t="s">
        <v>7990</v>
      </c>
      <c r="C1000" s="12" t="n">
        <v>0</v>
      </c>
      <c r="D1000" s="7" t="n">
        <v>18</v>
      </c>
      <c r="E1000" s="13"/>
      <c r="F1000" s="7"/>
      <c r="G1000" s="7" t="n">
        <v>3</v>
      </c>
      <c r="H1000" s="7" t="s">
        <v>7998</v>
      </c>
    </row>
    <row r="1001" customFormat="false" ht="15" hidden="false" customHeight="true" outlineLevel="0" collapsed="false">
      <c r="A1001" s="7" t="s">
        <v>6713</v>
      </c>
      <c r="B1001" s="7" t="s">
        <v>7991</v>
      </c>
      <c r="C1001" s="12" t="n">
        <v>0</v>
      </c>
      <c r="D1001" s="7" t="n">
        <v>11</v>
      </c>
      <c r="E1001" s="13" t="n">
        <v>0</v>
      </c>
      <c r="F1001" s="7" t="n">
        <v>0</v>
      </c>
      <c r="G1001" s="7" t="n">
        <v>3</v>
      </c>
      <c r="H1001" s="7"/>
    </row>
    <row r="1002" customFormat="false" ht="15" hidden="false" customHeight="true" outlineLevel="0" collapsed="false">
      <c r="A1002" s="7" t="s">
        <v>6717</v>
      </c>
      <c r="B1002" s="7" t="s">
        <v>7993</v>
      </c>
      <c r="C1002" s="12" t="n">
        <v>0</v>
      </c>
      <c r="D1002" s="7" t="n">
        <v>22</v>
      </c>
      <c r="E1002" s="13"/>
      <c r="F1002" s="7"/>
      <c r="G1002" s="7" t="n">
        <v>3</v>
      </c>
      <c r="H1002" s="7" t="s">
        <v>7998</v>
      </c>
    </row>
    <row r="1003" customFormat="false" ht="15" hidden="false" customHeight="true" outlineLevel="0" collapsed="false">
      <c r="A1003" s="7" t="s">
        <v>6720</v>
      </c>
      <c r="B1003" s="7" t="s">
        <v>7990</v>
      </c>
      <c r="C1003" s="12" t="n">
        <v>0</v>
      </c>
      <c r="D1003" s="7" t="n">
        <v>32</v>
      </c>
      <c r="E1003" s="13"/>
      <c r="F1003" s="7"/>
      <c r="G1003" s="7" t="n">
        <v>3</v>
      </c>
      <c r="H1003" s="7" t="s">
        <v>7998</v>
      </c>
    </row>
    <row r="1004" customFormat="false" ht="15" hidden="false" customHeight="true" outlineLevel="0" collapsed="false">
      <c r="A1004" s="7" t="s">
        <v>6723</v>
      </c>
      <c r="B1004" s="7" t="s">
        <v>7990</v>
      </c>
      <c r="C1004" s="12" t="n">
        <v>0</v>
      </c>
      <c r="D1004" s="7" t="n">
        <v>11</v>
      </c>
      <c r="E1004" s="13"/>
      <c r="F1004" s="7"/>
      <c r="G1004" s="7" t="n">
        <v>3</v>
      </c>
      <c r="H1004" s="7" t="s">
        <v>7998</v>
      </c>
    </row>
    <row r="1005" customFormat="false" ht="15" hidden="false" customHeight="true" outlineLevel="0" collapsed="false">
      <c r="A1005" s="7" t="s">
        <v>5513</v>
      </c>
      <c r="B1005" s="7" t="s">
        <v>7989</v>
      </c>
      <c r="C1005" s="12" t="n">
        <v>0</v>
      </c>
      <c r="D1005" s="7" t="n">
        <v>15</v>
      </c>
      <c r="E1005" s="13"/>
      <c r="F1005" s="7"/>
      <c r="G1005" s="7" t="s">
        <v>6815</v>
      </c>
      <c r="H1005" s="7" t="s">
        <v>7998</v>
      </c>
    </row>
    <row r="1006" customFormat="false" ht="15" hidden="false" customHeight="true" outlineLevel="0" collapsed="false">
      <c r="A1006" s="7" t="s">
        <v>5503</v>
      </c>
      <c r="B1006" s="7" t="s">
        <v>7990</v>
      </c>
      <c r="C1006" s="12" t="n">
        <v>0</v>
      </c>
      <c r="D1006" s="7" t="n">
        <v>10</v>
      </c>
      <c r="E1006" s="13" t="n">
        <v>0</v>
      </c>
      <c r="F1006" s="7" t="n">
        <v>1</v>
      </c>
      <c r="G1006" s="7" t="n">
        <v>7</v>
      </c>
      <c r="H1006" s="7"/>
    </row>
    <row r="1007" customFormat="false" ht="15" hidden="false" customHeight="true" outlineLevel="0" collapsed="false">
      <c r="A1007" s="7" t="s">
        <v>6609</v>
      </c>
      <c r="B1007" s="7" t="s">
        <v>7990</v>
      </c>
      <c r="C1007" s="12" t="n">
        <v>0</v>
      </c>
      <c r="D1007" s="7" t="n">
        <v>16</v>
      </c>
      <c r="E1007" s="13"/>
      <c r="F1007" s="7"/>
      <c r="G1007" s="7" t="n">
        <v>2</v>
      </c>
      <c r="H1007" s="7" t="s">
        <v>7998</v>
      </c>
    </row>
    <row r="1008" customFormat="false" ht="15" hidden="false" customHeight="true" outlineLevel="0" collapsed="false">
      <c r="A1008" s="7" t="s">
        <v>5524</v>
      </c>
      <c r="B1008" s="7" t="s">
        <v>7990</v>
      </c>
      <c r="C1008" s="12" t="n">
        <v>0</v>
      </c>
      <c r="D1008" s="7" t="n">
        <v>18</v>
      </c>
      <c r="E1008" s="13"/>
      <c r="F1008" s="7"/>
      <c r="G1008" s="7" t="s">
        <v>6815</v>
      </c>
      <c r="H1008" s="7" t="s">
        <v>7998</v>
      </c>
    </row>
    <row r="1009" customFormat="false" ht="15" hidden="false" customHeight="true" outlineLevel="0" collapsed="false">
      <c r="A1009" s="7" t="s">
        <v>5559</v>
      </c>
      <c r="B1009" s="7" t="s">
        <v>7989</v>
      </c>
      <c r="C1009" s="12" t="n">
        <v>0</v>
      </c>
      <c r="D1009" s="7" t="n">
        <v>13</v>
      </c>
      <c r="E1009" s="13"/>
      <c r="F1009" s="7"/>
      <c r="G1009" s="7" t="n">
        <v>7</v>
      </c>
      <c r="H1009" s="7" t="s">
        <v>7998</v>
      </c>
    </row>
    <row r="1010" customFormat="false" ht="15" hidden="false" customHeight="true" outlineLevel="0" collapsed="false">
      <c r="A1010" s="7" t="s">
        <v>5538</v>
      </c>
      <c r="B1010" s="7" t="s">
        <v>7992</v>
      </c>
      <c r="C1010" s="12" t="n">
        <v>0</v>
      </c>
      <c r="D1010" s="7" t="n">
        <v>22</v>
      </c>
      <c r="E1010" s="13"/>
      <c r="F1010" s="7"/>
      <c r="G1010" s="7" t="n">
        <v>7</v>
      </c>
      <c r="H1010" s="7" t="s">
        <v>7998</v>
      </c>
    </row>
    <row r="1011" customFormat="false" ht="15" hidden="false" customHeight="true" outlineLevel="0" collapsed="false">
      <c r="A1011" s="7" t="s">
        <v>6612</v>
      </c>
      <c r="B1011" s="7" t="s">
        <v>7989</v>
      </c>
      <c r="C1011" s="12" t="n">
        <v>0</v>
      </c>
      <c r="D1011" s="7" t="n">
        <v>19</v>
      </c>
      <c r="E1011" s="13"/>
      <c r="F1011" s="7"/>
      <c r="G1011" s="7" t="n">
        <v>2</v>
      </c>
      <c r="H1011" s="7" t="s">
        <v>7998</v>
      </c>
    </row>
    <row r="1012" customFormat="false" ht="15" hidden="false" customHeight="true" outlineLevel="0" collapsed="false">
      <c r="A1012" s="7" t="s">
        <v>5569</v>
      </c>
      <c r="B1012" s="7" t="s">
        <v>7990</v>
      </c>
      <c r="C1012" s="12" t="n">
        <v>0</v>
      </c>
      <c r="D1012" s="7" t="n">
        <v>16</v>
      </c>
      <c r="E1012" s="13"/>
      <c r="F1012" s="7"/>
      <c r="G1012" s="7" t="n">
        <v>7</v>
      </c>
      <c r="H1012" s="7" t="s">
        <v>7998</v>
      </c>
    </row>
    <row r="1013" customFormat="false" ht="15" hidden="false" customHeight="true" outlineLevel="0" collapsed="false">
      <c r="A1013" s="7" t="s">
        <v>6613</v>
      </c>
      <c r="B1013" s="7" t="s">
        <v>7990</v>
      </c>
      <c r="C1013" s="12" t="n">
        <v>0</v>
      </c>
      <c r="D1013" s="7" t="n">
        <v>7</v>
      </c>
      <c r="E1013" s="13" t="n">
        <v>0</v>
      </c>
      <c r="F1013" s="7" t="n">
        <v>1</v>
      </c>
      <c r="G1013" s="7" t="n">
        <v>2</v>
      </c>
      <c r="H1013" s="7"/>
    </row>
    <row r="1014" customFormat="false" ht="15" hidden="false" customHeight="true" outlineLevel="0" collapsed="false">
      <c r="A1014" s="7" t="s">
        <v>5581</v>
      </c>
      <c r="B1014" s="7" t="s">
        <v>7992</v>
      </c>
      <c r="C1014" s="12" t="n">
        <v>0</v>
      </c>
      <c r="D1014" s="7" t="n">
        <v>15</v>
      </c>
      <c r="E1014" s="13" t="n">
        <v>0</v>
      </c>
      <c r="F1014" s="7" t="n">
        <v>0.33</v>
      </c>
      <c r="G1014" s="7" t="n">
        <v>7</v>
      </c>
      <c r="H1014" s="7"/>
    </row>
    <row r="1015" customFormat="false" ht="15" hidden="false" customHeight="true" outlineLevel="0" collapsed="false">
      <c r="A1015" s="7" t="s">
        <v>6616</v>
      </c>
      <c r="B1015" s="7" t="s">
        <v>7989</v>
      </c>
      <c r="C1015" s="12" t="n">
        <v>0</v>
      </c>
      <c r="D1015" s="7" t="n">
        <v>17</v>
      </c>
      <c r="E1015" s="13"/>
      <c r="F1015" s="7"/>
      <c r="G1015" s="7" t="n">
        <v>2</v>
      </c>
      <c r="H1015" s="7" t="s">
        <v>7998</v>
      </c>
    </row>
    <row r="1016" customFormat="false" ht="15" hidden="false" customHeight="true" outlineLevel="0" collapsed="false">
      <c r="A1016" s="7" t="s">
        <v>5592</v>
      </c>
      <c r="B1016" s="7" t="s">
        <v>7990</v>
      </c>
      <c r="C1016" s="12" t="n">
        <v>0</v>
      </c>
      <c r="D1016" s="7" t="n">
        <v>14</v>
      </c>
      <c r="E1016" s="13"/>
      <c r="F1016" s="7"/>
      <c r="G1016" s="7" t="n">
        <v>7</v>
      </c>
      <c r="H1016" s="7" t="s">
        <v>7998</v>
      </c>
    </row>
    <row r="1017" customFormat="false" ht="15" hidden="false" customHeight="true" outlineLevel="0" collapsed="false">
      <c r="A1017" s="7" t="s">
        <v>5603</v>
      </c>
      <c r="B1017" s="7" t="s">
        <v>7996</v>
      </c>
      <c r="C1017" s="12" t="n">
        <v>0</v>
      </c>
      <c r="D1017" s="7" t="n">
        <v>13</v>
      </c>
      <c r="E1017" s="13" t="n">
        <v>0</v>
      </c>
      <c r="F1017" s="7" t="n">
        <v>1</v>
      </c>
      <c r="G1017" s="7" t="n">
        <v>7</v>
      </c>
      <c r="H1017" s="7"/>
    </row>
    <row r="1018" customFormat="false" ht="15" hidden="false" customHeight="true" outlineLevel="0" collapsed="false">
      <c r="A1018" s="7" t="s">
        <v>5626</v>
      </c>
      <c r="B1018" s="7" t="s">
        <v>7992</v>
      </c>
      <c r="C1018" s="12" t="n">
        <v>0</v>
      </c>
      <c r="D1018" s="7" t="n">
        <v>21</v>
      </c>
      <c r="E1018" s="13"/>
      <c r="F1018" s="7"/>
      <c r="G1018" s="7" t="n">
        <v>7</v>
      </c>
      <c r="H1018" s="7" t="s">
        <v>7998</v>
      </c>
    </row>
    <row r="1019" customFormat="false" ht="15" hidden="false" customHeight="true" outlineLevel="0" collapsed="false">
      <c r="A1019" s="7" t="s">
        <v>6617</v>
      </c>
      <c r="B1019" s="7" t="s">
        <v>7990</v>
      </c>
      <c r="C1019" s="12" t="n">
        <v>0</v>
      </c>
      <c r="D1019" s="7" t="n">
        <v>6</v>
      </c>
      <c r="E1019" s="13" t="n">
        <v>0</v>
      </c>
      <c r="F1019" s="7" t="n">
        <v>1</v>
      </c>
      <c r="G1019" s="7" t="n">
        <v>2</v>
      </c>
      <c r="H1019" s="7"/>
    </row>
    <row r="1020" customFormat="false" ht="15" hidden="false" customHeight="true" outlineLevel="0" collapsed="false">
      <c r="A1020" s="7" t="s">
        <v>5676</v>
      </c>
      <c r="B1020" s="7" t="s">
        <v>7990</v>
      </c>
      <c r="C1020" s="12" t="n">
        <v>0</v>
      </c>
      <c r="D1020" s="7" t="n">
        <v>3</v>
      </c>
      <c r="E1020" s="13" t="n">
        <v>0</v>
      </c>
      <c r="F1020" s="7" t="n">
        <v>0</v>
      </c>
      <c r="G1020" s="7" t="s">
        <v>6816</v>
      </c>
      <c r="H1020" s="7"/>
    </row>
    <row r="1021" customFormat="false" ht="15" hidden="false" customHeight="true" outlineLevel="0" collapsed="false">
      <c r="A1021" s="7" t="s">
        <v>5673</v>
      </c>
      <c r="B1021" s="7" t="s">
        <v>7989</v>
      </c>
      <c r="C1021" s="12" t="n">
        <v>0</v>
      </c>
      <c r="D1021" s="7" t="n">
        <v>2</v>
      </c>
      <c r="E1021" s="13" t="n">
        <v>0</v>
      </c>
      <c r="F1021" s="7" t="n">
        <v>0</v>
      </c>
      <c r="G1021" s="7" t="s">
        <v>6816</v>
      </c>
      <c r="H1021" s="7"/>
    </row>
    <row r="1022" customFormat="false" ht="15" hidden="false" customHeight="true" outlineLevel="0" collapsed="false">
      <c r="A1022" s="7" t="s">
        <v>6726</v>
      </c>
      <c r="B1022" s="7" t="s">
        <v>7993</v>
      </c>
      <c r="C1022" s="12" t="n">
        <v>0</v>
      </c>
      <c r="D1022" s="7" t="n">
        <v>26</v>
      </c>
      <c r="E1022" s="13"/>
      <c r="F1022" s="7"/>
      <c r="G1022" s="7" t="n">
        <v>3</v>
      </c>
      <c r="H1022" s="7" t="s">
        <v>7998</v>
      </c>
    </row>
    <row r="1023" customFormat="false" ht="15" hidden="false" customHeight="true" outlineLevel="0" collapsed="false">
      <c r="A1023" s="7" t="s">
        <v>6621</v>
      </c>
      <c r="B1023" s="7" t="s">
        <v>7996</v>
      </c>
      <c r="C1023" s="12" t="n">
        <v>0</v>
      </c>
      <c r="D1023" s="7" t="n">
        <v>13</v>
      </c>
      <c r="E1023" s="13" t="n">
        <v>0</v>
      </c>
      <c r="F1023" s="7" t="n">
        <v>1</v>
      </c>
      <c r="G1023" s="7" t="n">
        <v>2</v>
      </c>
      <c r="H1023" s="7"/>
    </row>
    <row r="1024" customFormat="false" ht="15" hidden="false" customHeight="true" outlineLevel="0" collapsed="false">
      <c r="A1024" s="7" t="s">
        <v>5698</v>
      </c>
      <c r="B1024" s="7" t="s">
        <v>7990</v>
      </c>
      <c r="C1024" s="12" t="n">
        <v>0</v>
      </c>
      <c r="D1024" s="7" t="n">
        <v>14</v>
      </c>
      <c r="E1024" s="13" t="n">
        <v>0</v>
      </c>
      <c r="F1024" s="7" t="n">
        <v>0</v>
      </c>
      <c r="G1024" s="7" t="n">
        <v>7</v>
      </c>
      <c r="H1024" s="7"/>
    </row>
    <row r="1025" customFormat="false" ht="15" hidden="false" customHeight="true" outlineLevel="0" collapsed="false">
      <c r="A1025" s="7" t="s">
        <v>5721</v>
      </c>
      <c r="B1025" s="7" t="s">
        <v>7990</v>
      </c>
      <c r="C1025" s="12" t="n">
        <v>0</v>
      </c>
      <c r="D1025" s="7" t="n">
        <v>23</v>
      </c>
      <c r="E1025" s="13"/>
      <c r="F1025" s="7"/>
      <c r="G1025" s="7" t="n">
        <v>7</v>
      </c>
      <c r="H1025" s="7" t="s">
        <v>7998</v>
      </c>
    </row>
    <row r="1026" customFormat="false" ht="15" hidden="false" customHeight="true" outlineLevel="0" collapsed="false">
      <c r="A1026" s="7" t="s">
        <v>5849</v>
      </c>
      <c r="B1026" s="7" t="s">
        <v>7993</v>
      </c>
      <c r="C1026" s="12" t="n">
        <v>0</v>
      </c>
      <c r="D1026" s="7" t="n">
        <v>19</v>
      </c>
      <c r="E1026" s="13"/>
      <c r="F1026" s="7"/>
      <c r="G1026" s="7" t="s">
        <v>6816</v>
      </c>
      <c r="H1026" s="7" t="s">
        <v>7998</v>
      </c>
    </row>
    <row r="1027" customFormat="false" ht="15" hidden="false" customHeight="true" outlineLevel="0" collapsed="false">
      <c r="A1027" s="7" t="s">
        <v>5846</v>
      </c>
      <c r="B1027" s="7" t="s">
        <v>7991</v>
      </c>
      <c r="C1027" s="12" t="n">
        <v>0</v>
      </c>
      <c r="D1027" s="7" t="n">
        <v>10</v>
      </c>
      <c r="E1027" s="13"/>
      <c r="F1027" s="7"/>
      <c r="G1027" s="7" t="s">
        <v>6816</v>
      </c>
      <c r="H1027" s="7" t="s">
        <v>7998</v>
      </c>
    </row>
    <row r="1028" customFormat="false" ht="15" hidden="false" customHeight="true" outlineLevel="0" collapsed="false">
      <c r="A1028" s="7" t="s">
        <v>5733</v>
      </c>
      <c r="B1028" s="7" t="s">
        <v>7990</v>
      </c>
      <c r="C1028" s="12" t="n">
        <v>0</v>
      </c>
      <c r="D1028" s="7" t="n">
        <v>3</v>
      </c>
      <c r="E1028" s="13" t="n">
        <v>0</v>
      </c>
      <c r="F1028" s="7" t="n">
        <v>1</v>
      </c>
      <c r="G1028" s="7" t="n">
        <v>7</v>
      </c>
      <c r="H1028" s="7"/>
    </row>
    <row r="1029" customFormat="false" ht="15" hidden="false" customHeight="true" outlineLevel="0" collapsed="false">
      <c r="A1029" s="7" t="s">
        <v>6622</v>
      </c>
      <c r="B1029" s="7" t="s">
        <v>7990</v>
      </c>
      <c r="C1029" s="12" t="n">
        <v>0</v>
      </c>
      <c r="D1029" s="7" t="n">
        <v>13</v>
      </c>
      <c r="E1029" s="13"/>
      <c r="F1029" s="7"/>
      <c r="G1029" s="7" t="n">
        <v>2</v>
      </c>
      <c r="H1029" s="7" t="s">
        <v>7998</v>
      </c>
    </row>
    <row r="1030" customFormat="false" ht="15" hidden="false" customHeight="true" outlineLevel="0" collapsed="false">
      <c r="A1030" s="7" t="s">
        <v>6624</v>
      </c>
      <c r="B1030" s="7" t="s">
        <v>7990</v>
      </c>
      <c r="C1030" s="12" t="n">
        <v>0</v>
      </c>
      <c r="D1030" s="7" t="n">
        <v>12</v>
      </c>
      <c r="E1030" s="13"/>
      <c r="F1030" s="7"/>
      <c r="G1030" s="7" t="n">
        <v>2</v>
      </c>
      <c r="H1030" s="7" t="s">
        <v>7998</v>
      </c>
    </row>
    <row r="1031" customFormat="false" ht="15" hidden="false" customHeight="true" outlineLevel="0" collapsed="false">
      <c r="A1031" s="7" t="s">
        <v>6625</v>
      </c>
      <c r="B1031" s="7" t="s">
        <v>7990</v>
      </c>
      <c r="C1031" s="12" t="n">
        <v>0</v>
      </c>
      <c r="D1031" s="7" t="n">
        <v>18</v>
      </c>
      <c r="E1031" s="13"/>
      <c r="F1031" s="7"/>
      <c r="G1031" s="7" t="n">
        <v>2</v>
      </c>
      <c r="H1031" s="7" t="s">
        <v>7998</v>
      </c>
    </row>
    <row r="1032" customFormat="false" ht="15" hidden="false" customHeight="true" outlineLevel="0" collapsed="false">
      <c r="A1032" s="7" t="s">
        <v>5744</v>
      </c>
      <c r="B1032" s="7" t="s">
        <v>7990</v>
      </c>
      <c r="C1032" s="12" t="n">
        <v>0</v>
      </c>
      <c r="D1032" s="7" t="n">
        <v>22</v>
      </c>
      <c r="E1032" s="13"/>
      <c r="F1032" s="7"/>
      <c r="G1032" s="7" t="n">
        <v>7</v>
      </c>
      <c r="H1032" s="7" t="s">
        <v>7998</v>
      </c>
    </row>
    <row r="1033" customFormat="false" ht="15" hidden="false" customHeight="true" outlineLevel="0" collapsed="false">
      <c r="A1033" s="7" t="s">
        <v>5756</v>
      </c>
      <c r="B1033" s="7" t="s">
        <v>7990</v>
      </c>
      <c r="C1033" s="12" t="n">
        <v>0</v>
      </c>
      <c r="D1033" s="7" t="n">
        <v>15</v>
      </c>
      <c r="E1033" s="13"/>
      <c r="F1033" s="7"/>
      <c r="G1033" s="7" t="n">
        <v>7</v>
      </c>
      <c r="H1033" s="7" t="s">
        <v>7998</v>
      </c>
    </row>
    <row r="1034" customFormat="false" ht="15" hidden="false" customHeight="true" outlineLevel="0" collapsed="false">
      <c r="A1034" s="7" t="s">
        <v>6728</v>
      </c>
      <c r="B1034" s="7" t="s">
        <v>7990</v>
      </c>
      <c r="C1034" s="12" t="n">
        <v>0</v>
      </c>
      <c r="D1034" s="7" t="n">
        <v>29</v>
      </c>
      <c r="E1034" s="13"/>
      <c r="F1034" s="7"/>
      <c r="G1034" s="7" t="n">
        <v>3</v>
      </c>
      <c r="H1034" s="7" t="s">
        <v>7998</v>
      </c>
    </row>
    <row r="1035" customFormat="false" ht="15" hidden="false" customHeight="true" outlineLevel="0" collapsed="false">
      <c r="A1035" s="7" t="s">
        <v>6626</v>
      </c>
      <c r="B1035" s="7" t="s">
        <v>7990</v>
      </c>
      <c r="C1035" s="12" t="n">
        <v>0</v>
      </c>
      <c r="D1035" s="7" t="n">
        <v>19</v>
      </c>
      <c r="E1035" s="13"/>
      <c r="F1035" s="7"/>
      <c r="G1035" s="7" t="n">
        <v>2</v>
      </c>
      <c r="H1035" s="7" t="s">
        <v>7998</v>
      </c>
    </row>
    <row r="1036" customFormat="false" ht="15" hidden="false" customHeight="true" outlineLevel="0" collapsed="false">
      <c r="A1036" s="7" t="s">
        <v>6628</v>
      </c>
      <c r="B1036" s="7" t="s">
        <v>7990</v>
      </c>
      <c r="C1036" s="12" t="n">
        <v>0</v>
      </c>
      <c r="D1036" s="7" t="n">
        <v>19</v>
      </c>
      <c r="E1036" s="13"/>
      <c r="F1036" s="7"/>
      <c r="G1036" s="7" t="n">
        <v>2</v>
      </c>
      <c r="H1036" s="7" t="s">
        <v>7998</v>
      </c>
    </row>
    <row r="1037" customFormat="false" ht="15" hidden="false" customHeight="true" outlineLevel="0" collapsed="false">
      <c r="A1037" s="7" t="s">
        <v>5977</v>
      </c>
      <c r="B1037" s="7" t="s">
        <v>7990</v>
      </c>
      <c r="C1037" s="12" t="n">
        <v>0</v>
      </c>
      <c r="D1037" s="7" t="n">
        <v>14</v>
      </c>
      <c r="E1037" s="13"/>
      <c r="F1037" s="7"/>
      <c r="G1037" s="7" t="n">
        <v>7</v>
      </c>
      <c r="H1037" s="7" t="s">
        <v>7998</v>
      </c>
    </row>
    <row r="1038" customFormat="false" ht="15" hidden="false" customHeight="true" outlineLevel="0" collapsed="false">
      <c r="A1038" s="7" t="s">
        <v>6000</v>
      </c>
      <c r="B1038" s="7" t="s">
        <v>7990</v>
      </c>
      <c r="C1038" s="12" t="n">
        <v>0</v>
      </c>
      <c r="D1038" s="7" t="n">
        <v>7</v>
      </c>
      <c r="E1038" s="13" t="n">
        <v>0</v>
      </c>
      <c r="F1038" s="7" t="n">
        <v>0.71</v>
      </c>
      <c r="G1038" s="7" t="n">
        <v>7</v>
      </c>
      <c r="H1038" s="7"/>
    </row>
    <row r="1039" customFormat="false" ht="15" hidden="false" customHeight="true" outlineLevel="0" collapsed="false">
      <c r="A1039" s="7" t="s">
        <v>6044</v>
      </c>
      <c r="B1039" s="7" t="s">
        <v>7990</v>
      </c>
      <c r="C1039" s="12" t="n">
        <v>0</v>
      </c>
      <c r="D1039" s="7" t="n">
        <v>16</v>
      </c>
      <c r="E1039" s="13"/>
      <c r="F1039" s="7"/>
      <c r="G1039" s="7" t="n">
        <v>7</v>
      </c>
      <c r="H1039" s="7" t="s">
        <v>7998</v>
      </c>
    </row>
    <row r="1040" customFormat="false" ht="15" hidden="false" customHeight="true" outlineLevel="0" collapsed="false">
      <c r="A1040" s="7" t="s">
        <v>6091</v>
      </c>
      <c r="B1040" s="7" t="s">
        <v>7993</v>
      </c>
      <c r="C1040" s="12" t="n">
        <v>0</v>
      </c>
      <c r="D1040" s="7" t="n">
        <v>20</v>
      </c>
      <c r="E1040" s="13"/>
      <c r="F1040" s="7"/>
      <c r="G1040" s="7" t="s">
        <v>6816</v>
      </c>
      <c r="H1040" s="7" t="s">
        <v>7998</v>
      </c>
    </row>
    <row r="1041" customFormat="false" ht="15" hidden="false" customHeight="true" outlineLevel="0" collapsed="false">
      <c r="A1041" s="7" t="s">
        <v>6101</v>
      </c>
      <c r="B1041" s="7" t="s">
        <v>7990</v>
      </c>
      <c r="C1041" s="12" t="n">
        <v>0</v>
      </c>
      <c r="D1041" s="7" t="n">
        <v>13</v>
      </c>
      <c r="E1041" s="13"/>
      <c r="F1041" s="7"/>
      <c r="G1041" s="7" t="n">
        <v>7</v>
      </c>
      <c r="H1041" s="7" t="s">
        <v>7998</v>
      </c>
    </row>
    <row r="1042" customFormat="false" ht="15" hidden="false" customHeight="true" outlineLevel="0" collapsed="false">
      <c r="A1042" s="7" t="s">
        <v>6126</v>
      </c>
      <c r="B1042" s="7" t="s">
        <v>7996</v>
      </c>
      <c r="C1042" s="12" t="n">
        <v>0</v>
      </c>
      <c r="D1042" s="7" t="n">
        <v>25</v>
      </c>
      <c r="E1042" s="13"/>
      <c r="F1042" s="7"/>
      <c r="G1042" s="7" t="n">
        <v>7</v>
      </c>
      <c r="H1042" s="7" t="s">
        <v>7998</v>
      </c>
    </row>
    <row r="1043" customFormat="false" ht="15" hidden="false" customHeight="true" outlineLevel="0" collapsed="false">
      <c r="A1043" s="7" t="s">
        <v>6169</v>
      </c>
      <c r="B1043" s="7" t="s">
        <v>7990</v>
      </c>
      <c r="C1043" s="12" t="n">
        <v>0</v>
      </c>
      <c r="D1043" s="7" t="n">
        <v>16</v>
      </c>
      <c r="E1043" s="13"/>
      <c r="F1043" s="7"/>
      <c r="G1043" s="7" t="s">
        <v>6816</v>
      </c>
      <c r="H1043" s="7" t="s">
        <v>7998</v>
      </c>
    </row>
    <row r="1044" customFormat="false" ht="15" hidden="false" customHeight="true" outlineLevel="0" collapsed="false">
      <c r="A1044" s="7" t="s">
        <v>6244</v>
      </c>
      <c r="B1044" s="7" t="s">
        <v>7993</v>
      </c>
      <c r="C1044" s="12" t="n">
        <v>0</v>
      </c>
      <c r="D1044" s="7" t="n">
        <v>22</v>
      </c>
      <c r="E1044" s="13"/>
      <c r="F1044" s="7"/>
      <c r="G1044" s="7" t="n">
        <v>8</v>
      </c>
      <c r="H1044" s="7" t="s">
        <v>7998</v>
      </c>
    </row>
    <row r="1045" customFormat="false" ht="15" hidden="false" customHeight="true" outlineLevel="0" collapsed="false">
      <c r="A1045" s="7" t="s">
        <v>6277</v>
      </c>
      <c r="B1045" s="7" t="s">
        <v>7990</v>
      </c>
      <c r="C1045" s="12" t="n">
        <v>0</v>
      </c>
      <c r="D1045" s="7" t="n">
        <v>9</v>
      </c>
      <c r="E1045" s="13"/>
      <c r="F1045" s="7"/>
      <c r="G1045" s="7" t="n">
        <v>8</v>
      </c>
      <c r="H1045" s="7" t="s">
        <v>7998</v>
      </c>
    </row>
    <row r="1046" customFormat="false" ht="15" hidden="false" customHeight="true" outlineLevel="0" collapsed="false">
      <c r="A1046" s="7" t="s">
        <v>6730</v>
      </c>
      <c r="B1046" s="7" t="s">
        <v>7993</v>
      </c>
      <c r="C1046" s="12" t="n">
        <v>0</v>
      </c>
      <c r="D1046" s="7" t="n">
        <v>24</v>
      </c>
      <c r="E1046" s="13"/>
      <c r="F1046" s="7"/>
      <c r="G1046" s="7" t="n">
        <v>3</v>
      </c>
      <c r="H1046" s="7" t="s">
        <v>7998</v>
      </c>
    </row>
    <row r="1047" customFormat="false" ht="15" hidden="false" customHeight="true" outlineLevel="0" collapsed="false">
      <c r="A1047" s="7" t="s">
        <v>6371</v>
      </c>
      <c r="B1047" s="7" t="s">
        <v>7989</v>
      </c>
      <c r="C1047" s="12" t="n">
        <v>0</v>
      </c>
      <c r="D1047" s="7" t="n">
        <v>22</v>
      </c>
      <c r="E1047" s="13"/>
      <c r="F1047" s="7"/>
      <c r="G1047" s="7" t="n">
        <v>8</v>
      </c>
      <c r="H1047" s="7" t="s">
        <v>7998</v>
      </c>
    </row>
    <row r="1048" customFormat="false" ht="15" hidden="false" customHeight="true" outlineLevel="0" collapsed="false">
      <c r="A1048" s="7" t="s">
        <v>6636</v>
      </c>
      <c r="B1048" s="7" t="s">
        <v>7990</v>
      </c>
      <c r="C1048" s="12" t="n">
        <v>0</v>
      </c>
      <c r="D1048" s="7" t="n">
        <v>6</v>
      </c>
      <c r="E1048" s="13" t="n">
        <v>0</v>
      </c>
      <c r="F1048" s="7" t="n">
        <v>0.8</v>
      </c>
      <c r="G1048" s="7" t="n">
        <v>2</v>
      </c>
      <c r="H1048" s="7"/>
    </row>
    <row r="1049" customFormat="false" ht="15" hidden="false" customHeight="true" outlineLevel="0" collapsed="false">
      <c r="A1049" s="7" t="s">
        <v>6637</v>
      </c>
      <c r="B1049" s="7" t="s">
        <v>7989</v>
      </c>
      <c r="C1049" s="12" t="n">
        <v>0</v>
      </c>
      <c r="D1049" s="7" t="n">
        <v>18</v>
      </c>
      <c r="E1049" s="13" t="n">
        <v>0</v>
      </c>
      <c r="F1049" s="7" t="n">
        <v>0.79</v>
      </c>
      <c r="G1049" s="7" t="n">
        <v>2</v>
      </c>
      <c r="H1049" s="7"/>
    </row>
    <row r="1050" customFormat="false" ht="15" hidden="false" customHeight="true" outlineLevel="0" collapsed="false">
      <c r="A1050" s="7" t="s">
        <v>6393</v>
      </c>
      <c r="B1050" s="7" t="s">
        <v>7989</v>
      </c>
      <c r="C1050" s="12" t="n">
        <v>0</v>
      </c>
      <c r="D1050" s="7" t="n">
        <v>11</v>
      </c>
      <c r="E1050" s="13"/>
      <c r="F1050" s="7"/>
      <c r="G1050" s="7" t="n">
        <v>8</v>
      </c>
      <c r="H1050" s="7" t="s">
        <v>7998</v>
      </c>
    </row>
    <row r="1051" customFormat="false" ht="15" hidden="false" customHeight="true" outlineLevel="0" collapsed="false">
      <c r="A1051" s="7" t="s">
        <v>6349</v>
      </c>
      <c r="B1051" s="7" t="s">
        <v>7989</v>
      </c>
      <c r="C1051" s="12" t="n">
        <v>0</v>
      </c>
      <c r="D1051" s="7" t="n">
        <v>14</v>
      </c>
      <c r="E1051" s="13"/>
      <c r="F1051" s="7"/>
      <c r="G1051" s="7" t="n">
        <v>8</v>
      </c>
      <c r="H1051" s="7" t="s">
        <v>7998</v>
      </c>
    </row>
    <row r="1052" customFormat="false" ht="15" hidden="false" customHeight="true" outlineLevel="0" collapsed="false">
      <c r="A1052" s="7" t="s">
        <v>6403</v>
      </c>
      <c r="B1052" s="7" t="s">
        <v>7989</v>
      </c>
      <c r="C1052" s="12" t="n">
        <v>0</v>
      </c>
      <c r="D1052" s="7" t="n">
        <v>11</v>
      </c>
      <c r="E1052" s="13"/>
      <c r="F1052" s="7"/>
      <c r="G1052" s="7" t="n">
        <v>8</v>
      </c>
      <c r="H1052" s="7" t="s">
        <v>7998</v>
      </c>
    </row>
    <row r="1053" customFormat="false" ht="15" hidden="false" customHeight="true" outlineLevel="0" collapsed="false">
      <c r="A1053" s="7" t="s">
        <v>6415</v>
      </c>
      <c r="B1053" s="7" t="s">
        <v>7989</v>
      </c>
      <c r="C1053" s="12" t="n">
        <v>0</v>
      </c>
      <c r="D1053" s="7" t="n">
        <v>16</v>
      </c>
      <c r="E1053" s="13"/>
      <c r="F1053" s="7"/>
      <c r="G1053" s="7" t="n">
        <v>8</v>
      </c>
      <c r="H1053" s="7" t="s">
        <v>7998</v>
      </c>
    </row>
    <row r="1054" customFormat="false" ht="15" hidden="false" customHeight="true" outlineLevel="0" collapsed="false">
      <c r="A1054" s="7" t="s">
        <v>6640</v>
      </c>
      <c r="B1054" s="7" t="s">
        <v>7990</v>
      </c>
      <c r="C1054" s="12" t="n">
        <v>0</v>
      </c>
      <c r="D1054" s="7" t="n">
        <v>28</v>
      </c>
      <c r="E1054" s="13"/>
      <c r="F1054" s="7"/>
      <c r="G1054" s="7" t="n">
        <v>2</v>
      </c>
      <c r="H1054" s="7" t="s">
        <v>7998</v>
      </c>
    </row>
    <row r="1055" customFormat="false" ht="15" hidden="false" customHeight="true" outlineLevel="0" collapsed="false">
      <c r="A1055" s="7" t="s">
        <v>1750</v>
      </c>
      <c r="B1055" s="7" t="s">
        <v>7990</v>
      </c>
      <c r="C1055" s="12" t="n">
        <v>0</v>
      </c>
      <c r="D1055" s="7" t="n">
        <v>18</v>
      </c>
      <c r="E1055" s="13"/>
      <c r="F1055" s="7"/>
      <c r="G1055" s="7" t="n">
        <v>8</v>
      </c>
      <c r="H1055" s="7" t="s">
        <v>7998</v>
      </c>
    </row>
    <row r="1056" customFormat="false" ht="15" hidden="false" customHeight="true" outlineLevel="0" collapsed="false">
      <c r="A1056" s="7" t="s">
        <v>1738</v>
      </c>
      <c r="B1056" s="7" t="s">
        <v>7992</v>
      </c>
      <c r="C1056" s="12" t="n">
        <v>0</v>
      </c>
      <c r="D1056" s="7" t="n">
        <v>19</v>
      </c>
      <c r="E1056" s="13"/>
      <c r="F1056" s="7"/>
      <c r="G1056" s="7" t="n">
        <v>8</v>
      </c>
      <c r="H1056" s="7" t="s">
        <v>7998</v>
      </c>
    </row>
    <row r="1057" customFormat="false" ht="15" hidden="false" customHeight="true" outlineLevel="0" collapsed="false">
      <c r="A1057" s="7" t="s">
        <v>1846</v>
      </c>
      <c r="B1057" s="7" t="s">
        <v>7990</v>
      </c>
      <c r="C1057" s="12" t="n">
        <v>0</v>
      </c>
      <c r="D1057" s="7" t="n">
        <v>16</v>
      </c>
      <c r="E1057" s="13"/>
      <c r="F1057" s="7"/>
      <c r="G1057" s="7" t="n">
        <v>8</v>
      </c>
      <c r="H1057" s="7" t="s">
        <v>7998</v>
      </c>
    </row>
    <row r="1058" customFormat="false" ht="15" hidden="false" customHeight="true" outlineLevel="0" collapsed="false">
      <c r="A1058" s="7" t="s">
        <v>1521</v>
      </c>
      <c r="B1058" s="7" t="s">
        <v>7989</v>
      </c>
      <c r="C1058" s="12" t="n">
        <v>0</v>
      </c>
      <c r="D1058" s="7" t="n">
        <v>24</v>
      </c>
      <c r="E1058" s="13"/>
      <c r="F1058" s="7"/>
      <c r="G1058" s="7" t="n">
        <v>8</v>
      </c>
      <c r="H1058" s="7" t="s">
        <v>7998</v>
      </c>
    </row>
    <row r="1059" customFormat="false" ht="15" hidden="false" customHeight="true" outlineLevel="0" collapsed="false">
      <c r="A1059" s="7" t="s">
        <v>1529</v>
      </c>
      <c r="B1059" s="7" t="s">
        <v>7989</v>
      </c>
      <c r="C1059" s="12" t="n">
        <v>0</v>
      </c>
      <c r="D1059" s="7" t="n">
        <v>11</v>
      </c>
      <c r="E1059" s="13" t="n">
        <v>0</v>
      </c>
      <c r="F1059" s="7" t="n">
        <v>1</v>
      </c>
      <c r="G1059" s="7" t="n">
        <v>8</v>
      </c>
      <c r="H1059" s="7"/>
    </row>
    <row r="1060" customFormat="false" ht="15" hidden="false" customHeight="true" outlineLevel="0" collapsed="false">
      <c r="A1060" s="7" t="s">
        <v>1708</v>
      </c>
      <c r="B1060" s="7" t="s">
        <v>7989</v>
      </c>
      <c r="C1060" s="12" t="n">
        <v>0</v>
      </c>
      <c r="D1060" s="7" t="n">
        <v>29</v>
      </c>
      <c r="E1060" s="13"/>
      <c r="F1060" s="7"/>
      <c r="G1060" s="7" t="n">
        <v>8</v>
      </c>
      <c r="H1060" s="7" t="s">
        <v>7998</v>
      </c>
    </row>
    <row r="1061" customFormat="false" ht="15" hidden="false" customHeight="true" outlineLevel="0" collapsed="false">
      <c r="A1061" s="7" t="s">
        <v>1714</v>
      </c>
      <c r="B1061" s="7" t="s">
        <v>7989</v>
      </c>
      <c r="C1061" s="12" t="n">
        <v>0</v>
      </c>
      <c r="D1061" s="7" t="n">
        <v>12</v>
      </c>
      <c r="E1061" s="13"/>
      <c r="F1061" s="7"/>
      <c r="G1061" s="7" t="n">
        <v>8</v>
      </c>
      <c r="H1061" s="7" t="s">
        <v>7998</v>
      </c>
    </row>
    <row r="1062" customFormat="false" ht="15" hidden="false" customHeight="true" outlineLevel="0" collapsed="false">
      <c r="A1062" s="7" t="s">
        <v>1816</v>
      </c>
      <c r="B1062" s="7" t="s">
        <v>7990</v>
      </c>
      <c r="C1062" s="12" t="n">
        <v>0</v>
      </c>
      <c r="D1062" s="7" t="n">
        <v>19</v>
      </c>
      <c r="E1062" s="13"/>
      <c r="F1062" s="7"/>
      <c r="G1062" s="7" t="n">
        <v>8</v>
      </c>
      <c r="H1062" s="7" t="s">
        <v>7998</v>
      </c>
    </row>
    <row r="1063" customFormat="false" ht="15" hidden="false" customHeight="true" outlineLevel="0" collapsed="false">
      <c r="A1063" s="7" t="s">
        <v>1744</v>
      </c>
      <c r="B1063" s="7" t="s">
        <v>7992</v>
      </c>
      <c r="C1063" s="12" t="n">
        <v>0</v>
      </c>
      <c r="D1063" s="7" t="n">
        <v>15</v>
      </c>
      <c r="E1063" s="13"/>
      <c r="F1063" s="7"/>
      <c r="G1063" s="7" t="n">
        <v>8</v>
      </c>
      <c r="H1063" s="7" t="s">
        <v>7998</v>
      </c>
    </row>
    <row r="1064" customFormat="false" ht="15" hidden="false" customHeight="true" outlineLevel="0" collapsed="false">
      <c r="A1064" s="7" t="s">
        <v>6732</v>
      </c>
      <c r="B1064" s="7" t="s">
        <v>7994</v>
      </c>
      <c r="C1064" s="12" t="n">
        <v>0</v>
      </c>
      <c r="D1064" s="7" t="n">
        <v>13</v>
      </c>
      <c r="E1064" s="13"/>
      <c r="F1064" s="7"/>
      <c r="G1064" s="7" t="n">
        <v>3</v>
      </c>
      <c r="H1064" s="7" t="s">
        <v>7998</v>
      </c>
    </row>
    <row r="1065" customFormat="false" ht="15" hidden="false" customHeight="true" outlineLevel="0" collapsed="false">
      <c r="A1065" s="7" t="s">
        <v>1852</v>
      </c>
      <c r="B1065" s="7" t="s">
        <v>7989</v>
      </c>
      <c r="C1065" s="12" t="n">
        <v>0</v>
      </c>
      <c r="D1065" s="7" t="n">
        <v>22</v>
      </c>
      <c r="E1065" s="13"/>
      <c r="F1065" s="7"/>
      <c r="G1065" s="7" t="n">
        <v>8</v>
      </c>
      <c r="H1065" s="7" t="s">
        <v>7998</v>
      </c>
    </row>
    <row r="1066" customFormat="false" ht="15" hidden="false" customHeight="true" outlineLevel="0" collapsed="false">
      <c r="A1066" s="7" t="s">
        <v>6734</v>
      </c>
      <c r="B1066" s="7" t="s">
        <v>7996</v>
      </c>
      <c r="C1066" s="12" t="n">
        <v>0</v>
      </c>
      <c r="D1066" s="7" t="n">
        <v>18</v>
      </c>
      <c r="E1066" s="13"/>
      <c r="F1066" s="7"/>
      <c r="G1066" s="7" t="n">
        <v>3</v>
      </c>
      <c r="H1066" s="7" t="s">
        <v>7998</v>
      </c>
    </row>
    <row r="1067" customFormat="false" ht="15" hidden="false" customHeight="true" outlineLevel="0" collapsed="false">
      <c r="A1067" s="7" t="s">
        <v>6735</v>
      </c>
      <c r="B1067" s="7" t="s">
        <v>7994</v>
      </c>
      <c r="C1067" s="12" t="n">
        <v>0</v>
      </c>
      <c r="D1067" s="7" t="n">
        <v>22</v>
      </c>
      <c r="E1067" s="13"/>
      <c r="F1067" s="7"/>
      <c r="G1067" s="7" t="n">
        <v>3</v>
      </c>
      <c r="H1067" s="7" t="s">
        <v>7998</v>
      </c>
    </row>
    <row r="1068" customFormat="false" ht="15" hidden="false" customHeight="true" outlineLevel="0" collapsed="false">
      <c r="A1068" s="7" t="s">
        <v>1786</v>
      </c>
      <c r="B1068" s="7" t="s">
        <v>7989</v>
      </c>
      <c r="C1068" s="12" t="n">
        <v>0</v>
      </c>
      <c r="D1068" s="7" t="n">
        <v>14</v>
      </c>
      <c r="E1068" s="13"/>
      <c r="F1068" s="7"/>
      <c r="G1068" s="7" t="n">
        <v>8</v>
      </c>
      <c r="H1068" s="7" t="s">
        <v>7998</v>
      </c>
    </row>
    <row r="1069" customFormat="false" ht="15" hidden="false" customHeight="true" outlineLevel="0" collapsed="false">
      <c r="A1069" s="7" t="s">
        <v>1544</v>
      </c>
      <c r="B1069" s="7" t="s">
        <v>7989</v>
      </c>
      <c r="C1069" s="12" t="n">
        <v>0</v>
      </c>
      <c r="D1069" s="7" t="n">
        <v>31</v>
      </c>
      <c r="E1069" s="13"/>
      <c r="F1069" s="7"/>
      <c r="G1069" s="7" t="n">
        <v>8</v>
      </c>
      <c r="H1069" s="7" t="s">
        <v>7998</v>
      </c>
    </row>
    <row r="1070" customFormat="false" ht="15" hidden="false" customHeight="true" outlineLevel="0" collapsed="false">
      <c r="A1070" s="7" t="s">
        <v>1453</v>
      </c>
      <c r="B1070" s="7" t="s">
        <v>7989</v>
      </c>
      <c r="C1070" s="12" t="n">
        <v>0</v>
      </c>
      <c r="D1070" s="7" t="n">
        <v>20</v>
      </c>
      <c r="E1070" s="13"/>
      <c r="F1070" s="7"/>
      <c r="G1070" s="7" t="n">
        <v>8</v>
      </c>
      <c r="H1070" s="7" t="s">
        <v>7998</v>
      </c>
    </row>
    <row r="1071" customFormat="false" ht="15" hidden="false" customHeight="true" outlineLevel="0" collapsed="false">
      <c r="A1071" s="7" t="s">
        <v>1394</v>
      </c>
      <c r="B1071" s="7" t="s">
        <v>7995</v>
      </c>
      <c r="C1071" s="12" t="n">
        <v>0</v>
      </c>
      <c r="D1071" s="7" t="n">
        <v>20</v>
      </c>
      <c r="E1071" s="13"/>
      <c r="F1071" s="7"/>
      <c r="G1071" s="7" t="n">
        <v>8</v>
      </c>
      <c r="H1071" s="7" t="s">
        <v>7998</v>
      </c>
    </row>
    <row r="1072" customFormat="false" ht="15" hidden="false" customHeight="true" outlineLevel="0" collapsed="false">
      <c r="A1072" s="7" t="s">
        <v>1432</v>
      </c>
      <c r="B1072" s="7" t="s">
        <v>7989</v>
      </c>
      <c r="C1072" s="12" t="n">
        <v>0</v>
      </c>
      <c r="D1072" s="7" t="n">
        <v>12</v>
      </c>
      <c r="E1072" s="13"/>
      <c r="F1072" s="7"/>
      <c r="G1072" s="7" t="n">
        <v>8</v>
      </c>
      <c r="H1072" s="7" t="s">
        <v>7998</v>
      </c>
    </row>
    <row r="1073" customFormat="false" ht="15" hidden="false" customHeight="true" outlineLevel="0" collapsed="false">
      <c r="A1073" s="7" t="s">
        <v>6778</v>
      </c>
      <c r="B1073" s="7" t="s">
        <v>7995</v>
      </c>
      <c r="C1073" s="12" t="n">
        <v>0</v>
      </c>
      <c r="D1073" s="7" t="n">
        <v>16</v>
      </c>
      <c r="E1073" s="13"/>
      <c r="F1073" s="7"/>
      <c r="G1073" s="7" t="n">
        <v>3</v>
      </c>
      <c r="H1073" s="7" t="s">
        <v>7998</v>
      </c>
    </row>
    <row r="1074" customFormat="false" ht="15" hidden="false" customHeight="true" outlineLevel="0" collapsed="false">
      <c r="A1074" s="7" t="s">
        <v>1551</v>
      </c>
      <c r="B1074" s="7" t="s">
        <v>7989</v>
      </c>
      <c r="C1074" s="12" t="n">
        <v>0</v>
      </c>
      <c r="D1074" s="7" t="n">
        <v>18</v>
      </c>
      <c r="E1074" s="13"/>
      <c r="F1074" s="7"/>
      <c r="G1074" s="7" t="n">
        <v>8</v>
      </c>
      <c r="H1074" s="7" t="s">
        <v>7998</v>
      </c>
    </row>
    <row r="1075" customFormat="false" ht="15" hidden="false" customHeight="true" outlineLevel="0" collapsed="false">
      <c r="A1075" s="7" t="s">
        <v>1557</v>
      </c>
      <c r="B1075" s="7" t="s">
        <v>7989</v>
      </c>
      <c r="C1075" s="12" t="n">
        <v>0</v>
      </c>
      <c r="D1075" s="7" t="n">
        <v>11</v>
      </c>
      <c r="E1075" s="13"/>
      <c r="F1075" s="7"/>
      <c r="G1075" s="7" t="n">
        <v>8</v>
      </c>
      <c r="H1075" s="7" t="s">
        <v>7998</v>
      </c>
    </row>
    <row r="1076" customFormat="false" ht="15" hidden="false" customHeight="true" outlineLevel="0" collapsed="false">
      <c r="A1076" s="7" t="s">
        <v>1670</v>
      </c>
      <c r="B1076" s="7" t="s">
        <v>7989</v>
      </c>
      <c r="C1076" s="12" t="n">
        <v>0</v>
      </c>
      <c r="D1076" s="7" t="n">
        <v>19</v>
      </c>
      <c r="E1076" s="13"/>
      <c r="F1076" s="7"/>
      <c r="G1076" s="7" t="n">
        <v>8</v>
      </c>
      <c r="H1076" s="7" t="s">
        <v>7998</v>
      </c>
    </row>
    <row r="1077" customFormat="false" ht="15" hidden="false" customHeight="true" outlineLevel="0" collapsed="false">
      <c r="A1077" s="7" t="s">
        <v>1564</v>
      </c>
      <c r="B1077" s="7" t="s">
        <v>7989</v>
      </c>
      <c r="C1077" s="12" t="n">
        <v>0</v>
      </c>
      <c r="D1077" s="7" t="n">
        <v>11</v>
      </c>
      <c r="E1077" s="13"/>
      <c r="F1077" s="7"/>
      <c r="G1077" s="7" t="n">
        <v>8</v>
      </c>
      <c r="H1077" s="7" t="s">
        <v>7998</v>
      </c>
    </row>
    <row r="1078" customFormat="false" ht="15" hidden="false" customHeight="true" outlineLevel="0" collapsed="false">
      <c r="A1078" s="7" t="s">
        <v>1569</v>
      </c>
      <c r="B1078" s="7" t="s">
        <v>7989</v>
      </c>
      <c r="C1078" s="12" t="n">
        <v>0</v>
      </c>
      <c r="D1078" s="7" t="n">
        <v>21</v>
      </c>
      <c r="E1078" s="13"/>
      <c r="F1078" s="7"/>
      <c r="G1078" s="7" t="n">
        <v>8</v>
      </c>
      <c r="H1078" s="7" t="s">
        <v>8000</v>
      </c>
    </row>
    <row r="1079" customFormat="false" ht="15" hidden="false" customHeight="true" outlineLevel="0" collapsed="false">
      <c r="A1079" s="7" t="s">
        <v>1575</v>
      </c>
      <c r="B1079" s="7" t="s">
        <v>7989</v>
      </c>
      <c r="C1079" s="12" t="n">
        <v>0</v>
      </c>
      <c r="D1079" s="7" t="n">
        <v>18</v>
      </c>
      <c r="E1079" s="13"/>
      <c r="F1079" s="7"/>
      <c r="G1079" s="7" t="n">
        <v>8</v>
      </c>
      <c r="H1079" s="7" t="s">
        <v>7998</v>
      </c>
    </row>
    <row r="1080" customFormat="false" ht="15" hidden="false" customHeight="true" outlineLevel="0" collapsed="false">
      <c r="A1080" s="7" t="s">
        <v>1402</v>
      </c>
      <c r="B1080" s="7" t="s">
        <v>7992</v>
      </c>
      <c r="C1080" s="12" t="n">
        <v>0</v>
      </c>
      <c r="D1080" s="7" t="n">
        <v>18</v>
      </c>
      <c r="E1080" s="13"/>
      <c r="F1080" s="7"/>
      <c r="G1080" s="7" t="n">
        <v>8</v>
      </c>
      <c r="H1080" s="7" t="s">
        <v>7998</v>
      </c>
    </row>
    <row r="1081" customFormat="false" ht="15" hidden="false" customHeight="true" outlineLevel="0" collapsed="false">
      <c r="A1081" s="7" t="s">
        <v>1870</v>
      </c>
      <c r="B1081" s="7" t="s">
        <v>7989</v>
      </c>
      <c r="C1081" s="12" t="n">
        <v>0</v>
      </c>
      <c r="D1081" s="7" t="n">
        <v>13</v>
      </c>
      <c r="E1081" s="13"/>
      <c r="F1081" s="7"/>
      <c r="G1081" s="7" t="n">
        <v>8</v>
      </c>
      <c r="H1081" s="7" t="s">
        <v>7998</v>
      </c>
    </row>
    <row r="1082" customFormat="false" ht="15" hidden="false" customHeight="true" outlineLevel="0" collapsed="false">
      <c r="A1082" s="7" t="s">
        <v>1780</v>
      </c>
      <c r="B1082" s="7" t="s">
        <v>7992</v>
      </c>
      <c r="C1082" s="12" t="n">
        <v>0</v>
      </c>
      <c r="D1082" s="7" t="n">
        <v>20</v>
      </c>
      <c r="E1082" s="13"/>
      <c r="F1082" s="7"/>
      <c r="G1082" s="7" t="n">
        <v>8</v>
      </c>
      <c r="H1082" s="7" t="s">
        <v>7998</v>
      </c>
    </row>
    <row r="1083" customFormat="false" ht="15" hidden="false" customHeight="true" outlineLevel="0" collapsed="false">
      <c r="A1083" s="7" t="s">
        <v>1774</v>
      </c>
      <c r="B1083" s="7" t="s">
        <v>7992</v>
      </c>
      <c r="C1083" s="12" t="n">
        <v>0</v>
      </c>
      <c r="D1083" s="7" t="n">
        <v>12</v>
      </c>
      <c r="E1083" s="13"/>
      <c r="F1083" s="7"/>
      <c r="G1083" s="7" t="n">
        <v>8</v>
      </c>
      <c r="H1083" s="7" t="s">
        <v>7998</v>
      </c>
    </row>
    <row r="1084" customFormat="false" ht="15" hidden="false" customHeight="true" outlineLevel="0" collapsed="false">
      <c r="A1084" s="7" t="s">
        <v>1792</v>
      </c>
      <c r="B1084" s="7" t="s">
        <v>7989</v>
      </c>
      <c r="C1084" s="12" t="n">
        <v>0</v>
      </c>
      <c r="D1084" s="7" t="n">
        <v>14</v>
      </c>
      <c r="E1084" s="13"/>
      <c r="F1084" s="7"/>
      <c r="G1084" s="7" t="n">
        <v>8</v>
      </c>
      <c r="H1084" s="7" t="s">
        <v>7998</v>
      </c>
    </row>
    <row r="1085" customFormat="false" ht="15" hidden="false" customHeight="true" outlineLevel="0" collapsed="false">
      <c r="A1085" s="7" t="s">
        <v>6740</v>
      </c>
      <c r="B1085" s="7" t="s">
        <v>7989</v>
      </c>
      <c r="C1085" s="12" t="n">
        <v>0</v>
      </c>
      <c r="D1085" s="7" t="n">
        <v>22</v>
      </c>
      <c r="E1085" s="13"/>
      <c r="F1085" s="7"/>
      <c r="G1085" s="7" t="n">
        <v>3</v>
      </c>
      <c r="H1085" s="7" t="s">
        <v>7998</v>
      </c>
    </row>
    <row r="1086" customFormat="false" ht="15" hidden="false" customHeight="true" outlineLevel="0" collapsed="false">
      <c r="A1086" s="7" t="s">
        <v>1657</v>
      </c>
      <c r="B1086" s="7" t="s">
        <v>7989</v>
      </c>
      <c r="C1086" s="12" t="n">
        <v>0</v>
      </c>
      <c r="D1086" s="7" t="n">
        <v>23</v>
      </c>
      <c r="E1086" s="13"/>
      <c r="F1086" s="7"/>
      <c r="G1086" s="7" t="n">
        <v>8</v>
      </c>
      <c r="H1086" s="7" t="s">
        <v>7998</v>
      </c>
    </row>
    <row r="1087" customFormat="false" ht="15" hidden="false" customHeight="true" outlineLevel="0" collapsed="false">
      <c r="A1087" s="7" t="s">
        <v>1581</v>
      </c>
      <c r="B1087" s="7" t="s">
        <v>7996</v>
      </c>
      <c r="C1087" s="12" t="n">
        <v>0</v>
      </c>
      <c r="D1087" s="7" t="n">
        <v>33</v>
      </c>
      <c r="E1087" s="13"/>
      <c r="F1087" s="7"/>
      <c r="G1087" s="7" t="n">
        <v>8</v>
      </c>
      <c r="H1087" s="7" t="s">
        <v>7998</v>
      </c>
    </row>
    <row r="1088" customFormat="false" ht="15" hidden="false" customHeight="true" outlineLevel="0" collapsed="false">
      <c r="A1088" s="7" t="s">
        <v>1684</v>
      </c>
      <c r="B1088" s="7" t="s">
        <v>7989</v>
      </c>
      <c r="C1088" s="12" t="n">
        <v>0</v>
      </c>
      <c r="D1088" s="7" t="n">
        <v>18</v>
      </c>
      <c r="E1088" s="13"/>
      <c r="F1088" s="7"/>
      <c r="G1088" s="7" t="n">
        <v>8</v>
      </c>
      <c r="H1088" s="7" t="s">
        <v>7998</v>
      </c>
    </row>
    <row r="1089" customFormat="false" ht="15" hidden="false" customHeight="true" outlineLevel="0" collapsed="false">
      <c r="A1089" s="7" t="s">
        <v>1439</v>
      </c>
      <c r="B1089" s="7" t="s">
        <v>7989</v>
      </c>
      <c r="C1089" s="12" t="n">
        <v>0</v>
      </c>
      <c r="D1089" s="7" t="n">
        <v>11</v>
      </c>
      <c r="E1089" s="13" t="n">
        <v>0</v>
      </c>
      <c r="F1089" s="7" t="n">
        <v>0</v>
      </c>
      <c r="G1089" s="7" t="n">
        <v>8</v>
      </c>
      <c r="H1089" s="7"/>
    </row>
    <row r="1090" customFormat="false" ht="15" hidden="false" customHeight="true" outlineLevel="0" collapsed="false">
      <c r="A1090" s="7" t="s">
        <v>1864</v>
      </c>
      <c r="B1090" s="7" t="s">
        <v>7992</v>
      </c>
      <c r="C1090" s="12" t="n">
        <v>0</v>
      </c>
      <c r="D1090" s="7" t="n">
        <v>19</v>
      </c>
      <c r="E1090" s="13"/>
      <c r="F1090" s="7"/>
      <c r="G1090" s="7" t="n">
        <v>8</v>
      </c>
      <c r="H1090" s="7" t="s">
        <v>7998</v>
      </c>
    </row>
    <row r="1091" customFormat="false" ht="15" hidden="false" customHeight="true" outlineLevel="0" collapsed="false">
      <c r="A1091" s="7" t="s">
        <v>1588</v>
      </c>
      <c r="B1091" s="7" t="s">
        <v>7989</v>
      </c>
      <c r="C1091" s="12" t="n">
        <v>0</v>
      </c>
      <c r="D1091" s="7" t="n">
        <v>35</v>
      </c>
      <c r="E1091" s="13"/>
      <c r="F1091" s="7"/>
      <c r="G1091" s="7" t="n">
        <v>8</v>
      </c>
      <c r="H1091" s="7" t="s">
        <v>7998</v>
      </c>
    </row>
    <row r="1092" customFormat="false" ht="15" hidden="false" customHeight="true" outlineLevel="0" collapsed="false">
      <c r="A1092" s="7" t="s">
        <v>6744</v>
      </c>
      <c r="B1092" s="7" t="s">
        <v>7989</v>
      </c>
      <c r="C1092" s="12" t="n">
        <v>0</v>
      </c>
      <c r="D1092" s="7" t="n">
        <v>13</v>
      </c>
      <c r="E1092" s="13"/>
      <c r="F1092" s="7"/>
      <c r="G1092" s="7" t="n">
        <v>3</v>
      </c>
      <c r="H1092" s="7" t="s">
        <v>7998</v>
      </c>
    </row>
    <row r="1093" customFormat="false" ht="15" hidden="false" customHeight="true" outlineLevel="0" collapsed="false">
      <c r="A1093" s="7" t="s">
        <v>1828</v>
      </c>
      <c r="B1093" s="7" t="s">
        <v>7996</v>
      </c>
      <c r="C1093" s="12" t="n">
        <v>0</v>
      </c>
      <c r="D1093" s="7" t="n">
        <v>20</v>
      </c>
      <c r="E1093" s="13"/>
      <c r="F1093" s="7"/>
      <c r="G1093" s="7" t="n">
        <v>8</v>
      </c>
      <c r="H1093" s="7" t="s">
        <v>7998</v>
      </c>
    </row>
    <row r="1094" customFormat="false" ht="15" hidden="false" customHeight="true" outlineLevel="0" collapsed="false">
      <c r="A1094" s="7" t="s">
        <v>1858</v>
      </c>
      <c r="B1094" s="7" t="s">
        <v>7990</v>
      </c>
      <c r="C1094" s="12" t="n">
        <v>0</v>
      </c>
      <c r="D1094" s="7" t="n">
        <v>14</v>
      </c>
      <c r="E1094" s="13"/>
      <c r="F1094" s="7"/>
      <c r="G1094" s="7" t="n">
        <v>8</v>
      </c>
      <c r="H1094" s="7" t="s">
        <v>7998</v>
      </c>
    </row>
    <row r="1095" customFormat="false" ht="15" hidden="false" customHeight="true" outlineLevel="0" collapsed="false">
      <c r="A1095" s="7" t="s">
        <v>1597</v>
      </c>
      <c r="B1095" s="7" t="s">
        <v>7989</v>
      </c>
      <c r="C1095" s="12" t="n">
        <v>0</v>
      </c>
      <c r="D1095" s="7" t="n">
        <v>12</v>
      </c>
      <c r="E1095" s="13"/>
      <c r="F1095" s="7"/>
      <c r="G1095" s="7" t="n">
        <v>8</v>
      </c>
      <c r="H1095" s="7" t="s">
        <v>7998</v>
      </c>
    </row>
    <row r="1096" customFormat="false" ht="15" hidden="false" customHeight="true" outlineLevel="0" collapsed="false">
      <c r="A1096" s="7" t="s">
        <v>1474</v>
      </c>
      <c r="B1096" s="7" t="s">
        <v>7989</v>
      </c>
      <c r="C1096" s="12" t="n">
        <v>0</v>
      </c>
      <c r="D1096" s="7" t="n">
        <v>23</v>
      </c>
      <c r="E1096" s="13"/>
      <c r="F1096" s="7"/>
      <c r="G1096" s="7" t="n">
        <v>8</v>
      </c>
      <c r="H1096" s="7" t="s">
        <v>7998</v>
      </c>
    </row>
    <row r="1097" customFormat="false" ht="15" hidden="false" customHeight="true" outlineLevel="0" collapsed="false">
      <c r="A1097" s="7" t="s">
        <v>1603</v>
      </c>
      <c r="B1097" s="7" t="s">
        <v>7989</v>
      </c>
      <c r="C1097" s="12" t="n">
        <v>0</v>
      </c>
      <c r="D1097" s="7" t="n">
        <v>30</v>
      </c>
      <c r="E1097" s="13"/>
      <c r="F1097" s="7"/>
      <c r="G1097" s="7" t="n">
        <v>8</v>
      </c>
      <c r="H1097" s="7" t="s">
        <v>7998</v>
      </c>
    </row>
    <row r="1098" customFormat="false" ht="15" hidden="false" customHeight="true" outlineLevel="0" collapsed="false">
      <c r="A1098" s="7" t="s">
        <v>1480</v>
      </c>
      <c r="B1098" s="7" t="s">
        <v>7989</v>
      </c>
      <c r="C1098" s="12" t="n">
        <v>0</v>
      </c>
      <c r="D1098" s="7" t="n">
        <v>28</v>
      </c>
      <c r="E1098" s="13"/>
      <c r="F1098" s="7"/>
      <c r="G1098" s="7" t="n">
        <v>8</v>
      </c>
      <c r="H1098" s="7" t="s">
        <v>7998</v>
      </c>
    </row>
    <row r="1099" customFormat="false" ht="15" hidden="false" customHeight="true" outlineLevel="0" collapsed="false">
      <c r="A1099" s="7" t="s">
        <v>1834</v>
      </c>
      <c r="B1099" s="7" t="s">
        <v>7989</v>
      </c>
      <c r="C1099" s="12" t="n">
        <v>0</v>
      </c>
      <c r="D1099" s="7" t="n">
        <v>14</v>
      </c>
      <c r="E1099" s="13"/>
      <c r="F1099" s="7"/>
      <c r="G1099" s="7" t="n">
        <v>8</v>
      </c>
      <c r="H1099" s="7" t="s">
        <v>7998</v>
      </c>
    </row>
    <row r="1100" customFormat="false" ht="15" hidden="false" customHeight="true" outlineLevel="0" collapsed="false">
      <c r="A1100" s="7" t="s">
        <v>1876</v>
      </c>
      <c r="B1100" s="7" t="s">
        <v>7990</v>
      </c>
      <c r="C1100" s="12" t="n">
        <v>0</v>
      </c>
      <c r="D1100" s="7" t="n">
        <v>12</v>
      </c>
      <c r="E1100" s="13"/>
      <c r="F1100" s="7"/>
      <c r="G1100" s="7" t="n">
        <v>8</v>
      </c>
      <c r="H1100" s="7" t="s">
        <v>7998</v>
      </c>
    </row>
    <row r="1101" customFormat="false" ht="15" hidden="false" customHeight="true" outlineLevel="0" collapsed="false">
      <c r="A1101" s="7" t="s">
        <v>1609</v>
      </c>
      <c r="B1101" s="7" t="s">
        <v>7989</v>
      </c>
      <c r="C1101" s="12" t="n">
        <v>0</v>
      </c>
      <c r="D1101" s="7" t="n">
        <v>5</v>
      </c>
      <c r="E1101" s="13" t="n">
        <v>0</v>
      </c>
      <c r="F1101" s="7" t="n">
        <v>0</v>
      </c>
      <c r="G1101" s="7" t="n">
        <v>8</v>
      </c>
      <c r="H1101" s="7"/>
    </row>
    <row r="1102" customFormat="false" ht="15" hidden="false" customHeight="true" outlineLevel="0" collapsed="false">
      <c r="A1102" s="7" t="s">
        <v>1664</v>
      </c>
      <c r="B1102" s="7" t="s">
        <v>7989</v>
      </c>
      <c r="C1102" s="12" t="n">
        <v>0</v>
      </c>
      <c r="D1102" s="7" t="n">
        <v>17</v>
      </c>
      <c r="E1102" s="13"/>
      <c r="F1102" s="7"/>
      <c r="G1102" s="7" t="n">
        <v>8</v>
      </c>
      <c r="H1102" s="7" t="s">
        <v>7998</v>
      </c>
    </row>
    <row r="1103" customFormat="false" ht="15" hidden="false" customHeight="true" outlineLevel="0" collapsed="false">
      <c r="A1103" s="7" t="s">
        <v>1617</v>
      </c>
      <c r="B1103" s="7" t="s">
        <v>7992</v>
      </c>
      <c r="C1103" s="12" t="n">
        <v>0</v>
      </c>
      <c r="D1103" s="7" t="n">
        <v>20</v>
      </c>
      <c r="E1103" s="13"/>
      <c r="F1103" s="7"/>
      <c r="G1103" s="7" t="n">
        <v>8</v>
      </c>
      <c r="H1103" s="7" t="s">
        <v>7998</v>
      </c>
    </row>
    <row r="1104" customFormat="false" ht="15" hidden="false" customHeight="true" outlineLevel="0" collapsed="false">
      <c r="A1104" s="7" t="s">
        <v>1677</v>
      </c>
      <c r="B1104" s="7" t="s">
        <v>7990</v>
      </c>
      <c r="C1104" s="12" t="n">
        <v>0</v>
      </c>
      <c r="D1104" s="7" t="n">
        <v>30</v>
      </c>
      <c r="E1104" s="13"/>
      <c r="F1104" s="7"/>
      <c r="G1104" s="7" t="n">
        <v>8</v>
      </c>
      <c r="H1104" s="7" t="s">
        <v>7998</v>
      </c>
    </row>
    <row r="1105" customFormat="false" ht="15" hidden="false" customHeight="true" outlineLevel="0" collapsed="false">
      <c r="A1105" s="7" t="s">
        <v>1624</v>
      </c>
      <c r="B1105" s="7" t="s">
        <v>7989</v>
      </c>
      <c r="C1105" s="12" t="n">
        <v>0</v>
      </c>
      <c r="D1105" s="7" t="n">
        <v>22</v>
      </c>
      <c r="E1105" s="13"/>
      <c r="F1105" s="7"/>
      <c r="G1105" s="7" t="n">
        <v>8</v>
      </c>
      <c r="H1105" s="7" t="s">
        <v>7998</v>
      </c>
    </row>
    <row r="1106" customFormat="false" ht="15" hidden="false" customHeight="true" outlineLevel="0" collapsed="false">
      <c r="A1106" s="7" t="s">
        <v>6779</v>
      </c>
      <c r="B1106" s="7" t="s">
        <v>7990</v>
      </c>
      <c r="C1106" s="12" t="n">
        <v>0</v>
      </c>
      <c r="D1106" s="7" t="n">
        <v>14</v>
      </c>
      <c r="E1106" s="13"/>
      <c r="F1106" s="7"/>
      <c r="G1106" s="7" t="n">
        <v>3</v>
      </c>
      <c r="H1106" s="7" t="s">
        <v>7998</v>
      </c>
    </row>
    <row r="1107" customFormat="false" ht="15" hidden="false" customHeight="true" outlineLevel="0" collapsed="false">
      <c r="A1107" s="7" t="s">
        <v>1690</v>
      </c>
      <c r="B1107" s="7" t="s">
        <v>7989</v>
      </c>
      <c r="C1107" s="12" t="n">
        <v>0</v>
      </c>
      <c r="D1107" s="7" t="n">
        <v>14</v>
      </c>
      <c r="E1107" s="13"/>
      <c r="F1107" s="7"/>
      <c r="G1107" s="7" t="n">
        <v>8</v>
      </c>
      <c r="H1107" s="7" t="s">
        <v>7998</v>
      </c>
    </row>
    <row r="1108" customFormat="false" ht="15" hidden="false" customHeight="true" outlineLevel="0" collapsed="false">
      <c r="A1108" s="7" t="s">
        <v>1493</v>
      </c>
      <c r="B1108" s="7" t="s">
        <v>7990</v>
      </c>
      <c r="C1108" s="12" t="n">
        <v>0</v>
      </c>
      <c r="D1108" s="7" t="n">
        <v>20</v>
      </c>
      <c r="E1108" s="13"/>
      <c r="F1108" s="7"/>
      <c r="G1108" s="7" t="n">
        <v>8</v>
      </c>
      <c r="H1108" s="7" t="s">
        <v>7998</v>
      </c>
    </row>
    <row r="1109" customFormat="false" ht="15" hidden="false" customHeight="true" outlineLevel="0" collapsed="false">
      <c r="A1109" s="7" t="s">
        <v>1633</v>
      </c>
      <c r="B1109" s="7" t="s">
        <v>7989</v>
      </c>
      <c r="C1109" s="12" t="n">
        <v>0</v>
      </c>
      <c r="D1109" s="7" t="n">
        <v>22</v>
      </c>
      <c r="E1109" s="13"/>
      <c r="F1109" s="7"/>
      <c r="G1109" s="7" t="n">
        <v>8</v>
      </c>
      <c r="H1109" s="7" t="s">
        <v>7998</v>
      </c>
    </row>
    <row r="1110" customFormat="false" ht="15" hidden="false" customHeight="true" outlineLevel="0" collapsed="false">
      <c r="A1110" s="7" t="s">
        <v>6780</v>
      </c>
      <c r="B1110" s="7" t="s">
        <v>7989</v>
      </c>
      <c r="C1110" s="12" t="n">
        <v>0</v>
      </c>
      <c r="D1110" s="7" t="n">
        <v>25</v>
      </c>
      <c r="E1110" s="13"/>
      <c r="F1110" s="7"/>
      <c r="G1110" s="7" t="n">
        <v>3</v>
      </c>
      <c r="H1110" s="7" t="s">
        <v>7998</v>
      </c>
    </row>
    <row r="1111" customFormat="false" ht="15" hidden="false" customHeight="true" outlineLevel="0" collapsed="false">
      <c r="A1111" s="7" t="s">
        <v>6751</v>
      </c>
      <c r="B1111" s="7" t="s">
        <v>7989</v>
      </c>
      <c r="C1111" s="12" t="n">
        <v>0</v>
      </c>
      <c r="D1111" s="7" t="n">
        <v>30</v>
      </c>
      <c r="E1111" s="13"/>
      <c r="F1111" s="7"/>
      <c r="G1111" s="7" t="n">
        <v>3</v>
      </c>
      <c r="H1111" s="7" t="s">
        <v>7998</v>
      </c>
    </row>
    <row r="1112" customFormat="false" ht="15" hidden="false" customHeight="true" outlineLevel="0" collapsed="false">
      <c r="A1112" s="7" t="s">
        <v>6753</v>
      </c>
      <c r="B1112" s="7" t="s">
        <v>7989</v>
      </c>
      <c r="C1112" s="12" t="n">
        <v>0</v>
      </c>
      <c r="D1112" s="7" t="n">
        <v>5</v>
      </c>
      <c r="E1112" s="13" t="n">
        <v>0</v>
      </c>
      <c r="F1112" s="7" t="n">
        <v>0</v>
      </c>
      <c r="G1112" s="7" t="n">
        <v>3</v>
      </c>
      <c r="H1112" s="7"/>
    </row>
    <row r="1113" customFormat="false" ht="15" hidden="false" customHeight="true" outlineLevel="0" collapsed="false">
      <c r="A1113" s="7" t="s">
        <v>6781</v>
      </c>
      <c r="B1113" s="7" t="s">
        <v>7994</v>
      </c>
      <c r="C1113" s="12" t="n">
        <v>0</v>
      </c>
      <c r="D1113" s="7" t="n">
        <v>16</v>
      </c>
      <c r="E1113" s="13"/>
      <c r="F1113" s="7"/>
      <c r="G1113" s="7" t="n">
        <v>3</v>
      </c>
      <c r="H1113" s="7" t="s">
        <v>7998</v>
      </c>
    </row>
    <row r="1114" customFormat="false" ht="15" hidden="false" customHeight="true" outlineLevel="0" collapsed="false">
      <c r="A1114" s="7" t="s">
        <v>1639</v>
      </c>
      <c r="B1114" s="7" t="s">
        <v>7990</v>
      </c>
      <c r="C1114" s="12" t="n">
        <v>0</v>
      </c>
      <c r="D1114" s="7" t="n">
        <v>27</v>
      </c>
      <c r="E1114" s="13"/>
      <c r="F1114" s="7"/>
      <c r="G1114" s="7" t="n">
        <v>8</v>
      </c>
      <c r="H1114" s="7" t="s">
        <v>7998</v>
      </c>
    </row>
    <row r="1115" customFormat="false" ht="15" hidden="false" customHeight="true" outlineLevel="0" collapsed="false">
      <c r="A1115" s="7" t="s">
        <v>1646</v>
      </c>
      <c r="B1115" s="7" t="s">
        <v>7990</v>
      </c>
      <c r="C1115" s="12" t="n">
        <v>0</v>
      </c>
      <c r="D1115" s="7" t="n">
        <v>10</v>
      </c>
      <c r="E1115" s="13"/>
      <c r="F1115" s="7"/>
      <c r="G1115" s="7" t="n">
        <v>8</v>
      </c>
      <c r="H1115" s="7" t="s">
        <v>7998</v>
      </c>
    </row>
    <row r="1116" customFormat="false" ht="15" hidden="false" customHeight="true" outlineLevel="0" collapsed="false">
      <c r="A1116" s="7" t="s">
        <v>1732</v>
      </c>
      <c r="B1116" s="7" t="s">
        <v>7989</v>
      </c>
      <c r="C1116" s="12" t="n">
        <v>0</v>
      </c>
      <c r="D1116" s="7" t="n">
        <v>12</v>
      </c>
      <c r="E1116" s="13"/>
      <c r="F1116" s="7"/>
      <c r="G1116" s="7" t="n">
        <v>8</v>
      </c>
      <c r="H1116" s="7" t="s">
        <v>7998</v>
      </c>
    </row>
    <row r="1117" customFormat="false" ht="15" hidden="false" customHeight="true" outlineLevel="0" collapsed="false">
      <c r="A1117" s="7" t="s">
        <v>1696</v>
      </c>
      <c r="B1117" s="7" t="s">
        <v>7990</v>
      </c>
      <c r="C1117" s="12" t="n">
        <v>0</v>
      </c>
      <c r="D1117" s="7" t="n">
        <v>12</v>
      </c>
      <c r="E1117" s="13"/>
      <c r="F1117" s="7"/>
      <c r="G1117" s="7" t="n">
        <v>8</v>
      </c>
      <c r="H1117" s="7" t="s">
        <v>7998</v>
      </c>
    </row>
    <row r="1118" customFormat="false" ht="15" hidden="false" customHeight="true" outlineLevel="0" collapsed="false">
      <c r="A1118" s="7" t="s">
        <v>1768</v>
      </c>
      <c r="B1118" s="7" t="s">
        <v>7989</v>
      </c>
      <c r="C1118" s="12" t="n">
        <v>0</v>
      </c>
      <c r="D1118" s="7" t="n">
        <v>12</v>
      </c>
      <c r="E1118" s="13"/>
      <c r="F1118" s="7"/>
      <c r="G1118" s="7" t="n">
        <v>8</v>
      </c>
      <c r="H1118" s="7" t="s">
        <v>7998</v>
      </c>
    </row>
    <row r="1119" customFormat="false" ht="15" hidden="false" customHeight="true" outlineLevel="0" collapsed="false">
      <c r="A1119" s="7" t="s">
        <v>6447</v>
      </c>
      <c r="B1119" s="7" t="s">
        <v>7990</v>
      </c>
      <c r="C1119" s="12" t="n">
        <v>0</v>
      </c>
      <c r="D1119" s="7" t="n">
        <v>21</v>
      </c>
      <c r="E1119" s="13"/>
      <c r="F1119" s="7"/>
      <c r="G1119" s="7" t="n">
        <v>1</v>
      </c>
      <c r="H1119" s="7" t="s">
        <v>7998</v>
      </c>
    </row>
    <row r="1120" customFormat="false" ht="15" hidden="false" customHeight="true" outlineLevel="0" collapsed="false">
      <c r="A1120" s="7" t="s">
        <v>6782</v>
      </c>
      <c r="B1120" s="7" t="s">
        <v>7993</v>
      </c>
      <c r="C1120" s="12" t="n">
        <v>0</v>
      </c>
      <c r="D1120" s="7" t="n">
        <v>18</v>
      </c>
      <c r="E1120" s="13" t="n">
        <v>0</v>
      </c>
      <c r="F1120" s="7" t="n">
        <v>0.69</v>
      </c>
      <c r="G1120" s="7" t="n">
        <v>3</v>
      </c>
      <c r="H1120" s="7"/>
    </row>
    <row r="1121" customFormat="false" ht="15" hidden="false" customHeight="true" outlineLevel="0" collapsed="false">
      <c r="A1121" s="7" t="s">
        <v>1446</v>
      </c>
      <c r="B1121" s="7" t="s">
        <v>7989</v>
      </c>
      <c r="C1121" s="12" t="n">
        <v>0</v>
      </c>
      <c r="D1121" s="7" t="n">
        <v>22</v>
      </c>
      <c r="E1121" s="13"/>
      <c r="F1121" s="7"/>
      <c r="G1121" s="7" t="n">
        <v>8</v>
      </c>
      <c r="H1121" s="7" t="s">
        <v>7998</v>
      </c>
    </row>
    <row r="1122" customFormat="false" ht="15" hidden="false" customHeight="true" outlineLevel="0" collapsed="false">
      <c r="A1122" s="7" t="s">
        <v>1376</v>
      </c>
      <c r="B1122" s="7" t="s">
        <v>7990</v>
      </c>
      <c r="C1122" s="12" t="n">
        <v>0</v>
      </c>
      <c r="D1122" s="7" t="n">
        <v>16</v>
      </c>
      <c r="E1122" s="13"/>
      <c r="F1122" s="7"/>
      <c r="G1122" s="7" t="n">
        <v>8</v>
      </c>
      <c r="H1122" s="7" t="s">
        <v>7998</v>
      </c>
    </row>
    <row r="1123" customFormat="false" ht="15" hidden="false" customHeight="true" outlineLevel="0" collapsed="false">
      <c r="A1123" s="7" t="s">
        <v>1702</v>
      </c>
      <c r="B1123" s="7" t="s">
        <v>7992</v>
      </c>
      <c r="C1123" s="12" t="n">
        <v>0</v>
      </c>
      <c r="D1123" s="7" t="n">
        <v>12</v>
      </c>
      <c r="E1123" s="13"/>
      <c r="F1123" s="7"/>
      <c r="G1123" s="7" t="n">
        <v>8</v>
      </c>
      <c r="H1123" s="7" t="s">
        <v>7998</v>
      </c>
    </row>
    <row r="1124" customFormat="false" ht="15" hidden="false" customHeight="true" outlineLevel="0" collapsed="false">
      <c r="A1124" s="7" t="s">
        <v>1822</v>
      </c>
      <c r="B1124" s="7" t="s">
        <v>7990</v>
      </c>
      <c r="C1124" s="12" t="n">
        <v>0</v>
      </c>
      <c r="D1124" s="7" t="n">
        <v>15</v>
      </c>
      <c r="E1124" s="13"/>
      <c r="F1124" s="7"/>
      <c r="G1124" s="7" t="n">
        <v>8</v>
      </c>
      <c r="H1124" s="7" t="s">
        <v>7998</v>
      </c>
    </row>
    <row r="1125" customFormat="false" ht="15" hidden="false" customHeight="true" outlineLevel="0" collapsed="false">
      <c r="A1125" s="7" t="s">
        <v>1726</v>
      </c>
      <c r="B1125" s="7" t="s">
        <v>7996</v>
      </c>
      <c r="C1125" s="12" t="n">
        <v>0</v>
      </c>
      <c r="D1125" s="7" t="n">
        <v>30</v>
      </c>
      <c r="E1125" s="13"/>
      <c r="F1125" s="7"/>
      <c r="G1125" s="7" t="n">
        <v>8</v>
      </c>
      <c r="H1125" s="7" t="s">
        <v>7998</v>
      </c>
    </row>
    <row r="1126" customFormat="false" ht="15" hidden="false" customHeight="true" outlineLevel="0" collapsed="false">
      <c r="A1126" s="7" t="s">
        <v>1410</v>
      </c>
      <c r="B1126" s="7" t="s">
        <v>7989</v>
      </c>
      <c r="C1126" s="12" t="n">
        <v>0</v>
      </c>
      <c r="D1126" s="7" t="n">
        <v>25</v>
      </c>
      <c r="E1126" s="13"/>
      <c r="F1126" s="7"/>
      <c r="G1126" s="7" t="n">
        <v>8</v>
      </c>
      <c r="H1126" s="7" t="s">
        <v>7998</v>
      </c>
    </row>
    <row r="1127" customFormat="false" ht="15" hidden="false" customHeight="true" outlineLevel="0" collapsed="false">
      <c r="A1127" s="7" t="s">
        <v>1840</v>
      </c>
      <c r="B1127" s="7" t="s">
        <v>7989</v>
      </c>
      <c r="C1127" s="12" t="n">
        <v>0</v>
      </c>
      <c r="D1127" s="7" t="n">
        <v>12</v>
      </c>
      <c r="E1127" s="13"/>
      <c r="F1127" s="7"/>
      <c r="G1127" s="7" t="n">
        <v>8</v>
      </c>
      <c r="H1127" s="7" t="s">
        <v>7998</v>
      </c>
    </row>
    <row r="1128" customFormat="false" ht="15" hidden="false" customHeight="true" outlineLevel="0" collapsed="false">
      <c r="A1128" s="7" t="s">
        <v>1762</v>
      </c>
      <c r="B1128" s="7" t="s">
        <v>7989</v>
      </c>
      <c r="C1128" s="12" t="n">
        <v>0</v>
      </c>
      <c r="D1128" s="7" t="n">
        <v>14</v>
      </c>
      <c r="E1128" s="13"/>
      <c r="F1128" s="7"/>
      <c r="G1128" s="7" t="n">
        <v>8</v>
      </c>
      <c r="H1128" s="7" t="s">
        <v>7998</v>
      </c>
    </row>
    <row r="1129" customFormat="false" ht="15" hidden="false" customHeight="true" outlineLevel="0" collapsed="false">
      <c r="A1129" s="7" t="s">
        <v>6448</v>
      </c>
      <c r="B1129" s="7" t="s">
        <v>7992</v>
      </c>
      <c r="C1129" s="12" t="n">
        <v>0</v>
      </c>
      <c r="D1129" s="7" t="n">
        <v>33</v>
      </c>
      <c r="E1129" s="13"/>
      <c r="F1129" s="7"/>
      <c r="G1129" s="7" t="n">
        <v>1</v>
      </c>
      <c r="H1129" s="7" t="s">
        <v>7998</v>
      </c>
    </row>
    <row r="1130" customFormat="false" ht="15" hidden="false" customHeight="true" outlineLevel="0" collapsed="false">
      <c r="A1130" s="7" t="s">
        <v>1681</v>
      </c>
      <c r="B1130" s="7" t="s">
        <v>7989</v>
      </c>
      <c r="C1130" s="12" t="n">
        <v>0</v>
      </c>
      <c r="D1130" s="7" t="n">
        <v>22</v>
      </c>
      <c r="E1130" s="13"/>
      <c r="F1130" s="7"/>
      <c r="G1130" s="7" t="n">
        <v>3</v>
      </c>
      <c r="H1130" s="7" t="s">
        <v>7998</v>
      </c>
    </row>
    <row r="1131" customFormat="false" ht="15" hidden="false" customHeight="true" outlineLevel="0" collapsed="false">
      <c r="A1131" s="7" t="s">
        <v>1810</v>
      </c>
      <c r="B1131" s="7" t="s">
        <v>7996</v>
      </c>
      <c r="C1131" s="12" t="n">
        <v>0</v>
      </c>
      <c r="D1131" s="7" t="n">
        <v>11</v>
      </c>
      <c r="E1131" s="13"/>
      <c r="F1131" s="7"/>
      <c r="G1131" s="7" t="n">
        <v>8</v>
      </c>
      <c r="H1131" s="7" t="s">
        <v>7998</v>
      </c>
    </row>
    <row r="1132" customFormat="false" ht="15" hidden="false" customHeight="true" outlineLevel="0" collapsed="false">
      <c r="A1132" s="7" t="s">
        <v>6783</v>
      </c>
      <c r="B1132" s="7" t="s">
        <v>7989</v>
      </c>
      <c r="C1132" s="12" t="n">
        <v>0</v>
      </c>
      <c r="D1132" s="7" t="n">
        <v>29</v>
      </c>
      <c r="E1132" s="13"/>
      <c r="F1132" s="7"/>
      <c r="G1132" s="7" t="n">
        <v>3</v>
      </c>
      <c r="H1132" s="7" t="s">
        <v>7998</v>
      </c>
    </row>
    <row r="1133" customFormat="false" ht="15" hidden="false" customHeight="true" outlineLevel="0" collapsed="false">
      <c r="A1133" s="7" t="s">
        <v>1720</v>
      </c>
      <c r="B1133" s="7" t="s">
        <v>7990</v>
      </c>
      <c r="C1133" s="12" t="n">
        <v>0</v>
      </c>
      <c r="D1133" s="7" t="n">
        <v>12</v>
      </c>
      <c r="E1133" s="13"/>
      <c r="F1133" s="7"/>
      <c r="G1133" s="7" t="n">
        <v>8</v>
      </c>
      <c r="H1133" s="7" t="s">
        <v>7998</v>
      </c>
    </row>
    <row r="1134" customFormat="false" ht="15" hidden="false" customHeight="true" outlineLevel="0" collapsed="false">
      <c r="A1134" s="7" t="s">
        <v>1756</v>
      </c>
      <c r="B1134" s="7" t="s">
        <v>7990</v>
      </c>
      <c r="C1134" s="12" t="n">
        <v>0</v>
      </c>
      <c r="D1134" s="7" t="n">
        <v>12</v>
      </c>
      <c r="E1134" s="13"/>
      <c r="F1134" s="7"/>
      <c r="G1134" s="7" t="n">
        <v>8</v>
      </c>
      <c r="H1134" s="7" t="s">
        <v>7998</v>
      </c>
    </row>
    <row r="1135" customFormat="false" ht="15" hidden="false" customHeight="true" outlineLevel="0" collapsed="false">
      <c r="A1135" s="7" t="s">
        <v>1804</v>
      </c>
      <c r="B1135" s="7" t="s">
        <v>7990</v>
      </c>
      <c r="C1135" s="12" t="n">
        <v>0</v>
      </c>
      <c r="D1135" s="7" t="n">
        <v>17</v>
      </c>
      <c r="E1135" s="13"/>
      <c r="F1135" s="7"/>
      <c r="G1135" s="7" t="n">
        <v>8</v>
      </c>
      <c r="H1135" s="7" t="s">
        <v>7998</v>
      </c>
    </row>
    <row r="1136" customFormat="false" ht="15" hidden="false" customHeight="true" outlineLevel="0" collapsed="false">
      <c r="A1136" s="7" t="s">
        <v>1425</v>
      </c>
      <c r="B1136" s="7" t="s">
        <v>7990</v>
      </c>
      <c r="C1136" s="12" t="n">
        <v>0</v>
      </c>
      <c r="D1136" s="7" t="n">
        <v>20</v>
      </c>
      <c r="E1136" s="13"/>
      <c r="F1136" s="7"/>
      <c r="G1136" s="7" t="n">
        <v>8</v>
      </c>
      <c r="H1136" s="7" t="s">
        <v>7998</v>
      </c>
    </row>
    <row r="1137" customFormat="false" ht="15" hidden="false" customHeight="true" outlineLevel="0" collapsed="false">
      <c r="A1137" s="7" t="s">
        <v>1651</v>
      </c>
      <c r="B1137" s="7" t="s">
        <v>7994</v>
      </c>
      <c r="C1137" s="12" t="n">
        <v>0</v>
      </c>
      <c r="D1137" s="7" t="n">
        <v>32</v>
      </c>
      <c r="E1137" s="13"/>
      <c r="F1137" s="7"/>
      <c r="G1137" s="7" t="n">
        <v>8</v>
      </c>
      <c r="H1137" s="7" t="s">
        <v>7998</v>
      </c>
    </row>
    <row r="1138" customFormat="false" ht="15" hidden="false" customHeight="true" outlineLevel="0" collapsed="false">
      <c r="A1138" s="7" t="s">
        <v>1508</v>
      </c>
      <c r="B1138" s="7" t="s">
        <v>7992</v>
      </c>
      <c r="C1138" s="12" t="n">
        <v>0</v>
      </c>
      <c r="D1138" s="7" t="n">
        <v>20</v>
      </c>
      <c r="E1138" s="13"/>
      <c r="F1138" s="7"/>
      <c r="G1138" s="7" t="n">
        <v>9</v>
      </c>
      <c r="H1138" s="7" t="s">
        <v>7998</v>
      </c>
    </row>
    <row r="1139" customFormat="false" ht="15" hidden="false" customHeight="true" outlineLevel="0" collapsed="false">
      <c r="A1139" s="7" t="s">
        <v>1798</v>
      </c>
      <c r="B1139" s="7" t="s">
        <v>7992</v>
      </c>
      <c r="C1139" s="12" t="n">
        <v>0</v>
      </c>
      <c r="D1139" s="7" t="n">
        <v>12</v>
      </c>
      <c r="E1139" s="13"/>
      <c r="F1139" s="7"/>
      <c r="G1139" s="7" t="n">
        <v>9</v>
      </c>
      <c r="H1139" s="7" t="s">
        <v>7998</v>
      </c>
    </row>
    <row r="1140" customFormat="false" ht="15" hidden="false" customHeight="true" outlineLevel="0" collapsed="false">
      <c r="A1140" s="7" t="s">
        <v>4235</v>
      </c>
      <c r="B1140" s="7" t="s">
        <v>7990</v>
      </c>
      <c r="C1140" s="12" t="n">
        <v>0</v>
      </c>
      <c r="D1140" s="7" t="n">
        <v>14</v>
      </c>
      <c r="E1140" s="13"/>
      <c r="F1140" s="7"/>
      <c r="G1140" s="7" t="n">
        <v>2</v>
      </c>
      <c r="H1140" s="7" t="s">
        <v>7998</v>
      </c>
    </row>
    <row r="1141" customFormat="false" ht="15" hidden="false" customHeight="true" outlineLevel="0" collapsed="false">
      <c r="A1141" s="7" t="s">
        <v>4421</v>
      </c>
      <c r="B1141" s="7" t="s">
        <v>7990</v>
      </c>
      <c r="C1141" s="12" t="n">
        <v>0</v>
      </c>
      <c r="D1141" s="7" t="n">
        <v>21</v>
      </c>
      <c r="E1141" s="13"/>
      <c r="F1141" s="7"/>
      <c r="G1141" s="7" t="n">
        <v>2</v>
      </c>
      <c r="H1141" s="7" t="s">
        <v>7998</v>
      </c>
    </row>
    <row r="1142" customFormat="false" ht="15" hidden="false" customHeight="true" outlineLevel="0" collapsed="false">
      <c r="A1142" s="7" t="s">
        <v>4247</v>
      </c>
      <c r="B1142" s="7" t="s">
        <v>7990</v>
      </c>
      <c r="C1142" s="12" t="n">
        <v>0</v>
      </c>
      <c r="D1142" s="7" t="n">
        <v>17</v>
      </c>
      <c r="E1142" s="13"/>
      <c r="F1142" s="7"/>
      <c r="G1142" s="7" t="n">
        <v>2</v>
      </c>
      <c r="H1142" s="7" t="s">
        <v>7998</v>
      </c>
    </row>
    <row r="1143" customFormat="false" ht="15" hidden="false" customHeight="true" outlineLevel="0" collapsed="false">
      <c r="A1143" s="7" t="s">
        <v>6427</v>
      </c>
      <c r="B1143" s="7" t="s">
        <v>7990</v>
      </c>
      <c r="C1143" s="12" t="n">
        <v>0</v>
      </c>
      <c r="D1143" s="7" t="n">
        <v>24</v>
      </c>
      <c r="E1143" s="13"/>
      <c r="F1143" s="7"/>
      <c r="G1143" s="7" t="n">
        <v>9</v>
      </c>
      <c r="H1143" s="7" t="s">
        <v>7998</v>
      </c>
    </row>
  </sheetData>
  <autoFilter ref="A1:H11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14" t="s">
        <v>8001</v>
      </c>
      <c r="B1" s="14" t="s">
        <v>8002</v>
      </c>
      <c r="C1" s="14" t="s">
        <v>8003</v>
      </c>
    </row>
    <row r="2" customFormat="false" ht="15" hidden="false" customHeight="true" outlineLevel="0" collapsed="false">
      <c r="A2" s="7" t="s">
        <v>2397</v>
      </c>
      <c r="B2" s="7" t="s">
        <v>2397</v>
      </c>
      <c r="C2" s="7" t="s">
        <v>8004</v>
      </c>
    </row>
    <row r="3" customFormat="false" ht="15" hidden="false" customHeight="true" outlineLevel="0" collapsed="false">
      <c r="A3" s="7" t="s">
        <v>2397</v>
      </c>
      <c r="B3" s="7" t="s">
        <v>8005</v>
      </c>
      <c r="C3" s="7"/>
    </row>
    <row r="4" customFormat="false" ht="15" hidden="false" customHeight="true" outlineLevel="0" collapsed="false">
      <c r="A4" s="7" t="s">
        <v>2397</v>
      </c>
      <c r="B4" s="7" t="s">
        <v>8006</v>
      </c>
      <c r="C4" s="7"/>
    </row>
    <row r="5" customFormat="false" ht="15" hidden="false" customHeight="true" outlineLevel="0" collapsed="false">
      <c r="A5" s="7" t="s">
        <v>2397</v>
      </c>
      <c r="B5" s="7" t="s">
        <v>8007</v>
      </c>
      <c r="C5" s="7"/>
    </row>
    <row r="6" customFormat="false" ht="15" hidden="false" customHeight="true" outlineLevel="0" collapsed="false">
      <c r="A6" s="7" t="s">
        <v>2397</v>
      </c>
      <c r="B6" s="7" t="s">
        <v>6819</v>
      </c>
      <c r="C6" s="7" t="s">
        <v>8004</v>
      </c>
    </row>
    <row r="7" customFormat="false" ht="15" hidden="false" customHeight="true" outlineLevel="0" collapsed="false">
      <c r="A7" s="7" t="s">
        <v>2397</v>
      </c>
      <c r="B7" s="7" t="s">
        <v>8008</v>
      </c>
      <c r="C7" s="7"/>
    </row>
    <row r="8" customFormat="false" ht="15" hidden="false" customHeight="true" outlineLevel="0" collapsed="false">
      <c r="A8" s="7" t="s">
        <v>2397</v>
      </c>
      <c r="B8" s="7" t="s">
        <v>8009</v>
      </c>
      <c r="C8" s="7"/>
    </row>
    <row r="9" customFormat="false" ht="15" hidden="false" customHeight="true" outlineLevel="0" collapsed="false">
      <c r="A9" s="7" t="s">
        <v>2397</v>
      </c>
      <c r="B9" s="7" t="s">
        <v>6821</v>
      </c>
      <c r="C9" s="7" t="s">
        <v>8004</v>
      </c>
    </row>
    <row r="10" customFormat="false" ht="15" hidden="false" customHeight="true" outlineLevel="0" collapsed="false">
      <c r="A10" s="7" t="s">
        <v>2397</v>
      </c>
      <c r="B10" s="7" t="s">
        <v>8010</v>
      </c>
      <c r="C10" s="7"/>
    </row>
    <row r="11" customFormat="false" ht="15" hidden="false" customHeight="true" outlineLevel="0" collapsed="false">
      <c r="A11" s="7" t="s">
        <v>2397</v>
      </c>
      <c r="B11" s="7" t="s">
        <v>8011</v>
      </c>
      <c r="C11" s="7"/>
    </row>
    <row r="12" customFormat="false" ht="15" hidden="false" customHeight="true" outlineLevel="0" collapsed="false">
      <c r="A12" s="7" t="s">
        <v>2409</v>
      </c>
      <c r="B12" s="7" t="s">
        <v>2409</v>
      </c>
      <c r="C12" s="7" t="s">
        <v>8004</v>
      </c>
    </row>
    <row r="13" customFormat="false" ht="15" hidden="false" customHeight="true" outlineLevel="0" collapsed="false">
      <c r="A13" s="7" t="s">
        <v>2409</v>
      </c>
      <c r="B13" s="7" t="s">
        <v>2413</v>
      </c>
      <c r="C13" s="7" t="s">
        <v>8004</v>
      </c>
    </row>
    <row r="14" customFormat="false" ht="15" hidden="false" customHeight="true" outlineLevel="0" collapsed="false">
      <c r="A14" s="7" t="s">
        <v>2409</v>
      </c>
      <c r="B14" s="7" t="s">
        <v>6825</v>
      </c>
      <c r="C14" s="7" t="s">
        <v>8004</v>
      </c>
    </row>
    <row r="15" customFormat="false" ht="15" hidden="false" customHeight="true" outlineLevel="0" collapsed="false">
      <c r="A15" s="7" t="s">
        <v>2409</v>
      </c>
      <c r="B15" s="7" t="s">
        <v>6824</v>
      </c>
      <c r="C15" s="7" t="s">
        <v>8004</v>
      </c>
    </row>
    <row r="16" customFormat="false" ht="15" hidden="false" customHeight="true" outlineLevel="0" collapsed="false">
      <c r="A16" s="7" t="s">
        <v>2409</v>
      </c>
      <c r="B16" s="7" t="s">
        <v>6822</v>
      </c>
      <c r="C16" s="7" t="s">
        <v>8004</v>
      </c>
    </row>
    <row r="17" customFormat="false" ht="15" hidden="false" customHeight="true" outlineLevel="0" collapsed="false">
      <c r="A17" s="7" t="s">
        <v>2409</v>
      </c>
      <c r="B17" s="7" t="s">
        <v>8012</v>
      </c>
      <c r="C17" s="7"/>
    </row>
    <row r="18" customFormat="false" ht="15" hidden="false" customHeight="true" outlineLevel="0" collapsed="false">
      <c r="A18" s="7" t="s">
        <v>2409</v>
      </c>
      <c r="B18" s="7" t="s">
        <v>6826</v>
      </c>
      <c r="C18" s="7" t="s">
        <v>8004</v>
      </c>
    </row>
    <row r="19" customFormat="false" ht="15" hidden="false" customHeight="true" outlineLevel="0" collapsed="false">
      <c r="A19" s="7" t="s">
        <v>2409</v>
      </c>
      <c r="B19" s="7" t="s">
        <v>6823</v>
      </c>
      <c r="C19" s="7" t="s">
        <v>8004</v>
      </c>
    </row>
    <row r="20" customFormat="false" ht="15" hidden="false" customHeight="true" outlineLevel="0" collapsed="false">
      <c r="A20" s="7" t="s">
        <v>2409</v>
      </c>
      <c r="B20" s="7" t="s">
        <v>8013</v>
      </c>
      <c r="C20" s="7"/>
    </row>
    <row r="21" customFormat="false" ht="15" hidden="false" customHeight="true" outlineLevel="0" collapsed="false">
      <c r="A21" s="7" t="s">
        <v>2409</v>
      </c>
      <c r="B21" s="7" t="s">
        <v>8014</v>
      </c>
      <c r="C21" s="7"/>
    </row>
    <row r="22" customFormat="false" ht="15" hidden="false" customHeight="true" outlineLevel="0" collapsed="false">
      <c r="A22" s="7" t="s">
        <v>6449</v>
      </c>
      <c r="B22" s="7" t="s">
        <v>6449</v>
      </c>
      <c r="C22" s="7" t="s">
        <v>8004</v>
      </c>
    </row>
    <row r="23" customFormat="false" ht="15" hidden="false" customHeight="true" outlineLevel="0" collapsed="false">
      <c r="A23" s="7" t="s">
        <v>6449</v>
      </c>
      <c r="B23" s="7" t="s">
        <v>8015</v>
      </c>
      <c r="C23" s="7"/>
    </row>
    <row r="24" customFormat="false" ht="15" hidden="false" customHeight="true" outlineLevel="0" collapsed="false">
      <c r="A24" s="7" t="s">
        <v>6449</v>
      </c>
      <c r="B24" s="7" t="s">
        <v>8016</v>
      </c>
      <c r="C24" s="7"/>
    </row>
    <row r="25" customFormat="false" ht="15" hidden="false" customHeight="true" outlineLevel="0" collapsed="false">
      <c r="A25" s="7" t="s">
        <v>6449</v>
      </c>
      <c r="B25" s="7" t="s">
        <v>8017</v>
      </c>
      <c r="C25" s="7"/>
    </row>
    <row r="26" customFormat="false" ht="15" hidden="false" customHeight="true" outlineLevel="0" collapsed="false">
      <c r="A26" s="7" t="s">
        <v>6449</v>
      </c>
      <c r="B26" s="7" t="s">
        <v>8018</v>
      </c>
      <c r="C26" s="7"/>
    </row>
    <row r="27" customFormat="false" ht="15" hidden="false" customHeight="true" outlineLevel="0" collapsed="false">
      <c r="A27" s="7" t="s">
        <v>6449</v>
      </c>
      <c r="B27" s="7" t="s">
        <v>8019</v>
      </c>
      <c r="C27" s="7"/>
    </row>
    <row r="28" customFormat="false" ht="15" hidden="false" customHeight="true" outlineLevel="0" collapsed="false">
      <c r="A28" s="7" t="s">
        <v>6449</v>
      </c>
      <c r="B28" s="7" t="s">
        <v>8020</v>
      </c>
      <c r="C28" s="7"/>
    </row>
    <row r="29" customFormat="false" ht="15" hidden="false" customHeight="true" outlineLevel="0" collapsed="false">
      <c r="A29" s="7" t="s">
        <v>6449</v>
      </c>
      <c r="B29" s="7" t="s">
        <v>8021</v>
      </c>
      <c r="C29" s="7"/>
    </row>
    <row r="30" customFormat="false" ht="15" hidden="false" customHeight="true" outlineLevel="0" collapsed="false">
      <c r="A30" s="7" t="s">
        <v>6449</v>
      </c>
      <c r="B30" s="7" t="s">
        <v>8022</v>
      </c>
      <c r="C30" s="7"/>
    </row>
    <row r="31" customFormat="false" ht="15" hidden="false" customHeight="true" outlineLevel="0" collapsed="false">
      <c r="A31" s="7" t="s">
        <v>6449</v>
      </c>
      <c r="B31" s="7" t="s">
        <v>8023</v>
      </c>
      <c r="C31" s="7"/>
    </row>
    <row r="32" customFormat="false" ht="15" hidden="false" customHeight="true" outlineLevel="0" collapsed="false">
      <c r="A32" s="7" t="s">
        <v>2494</v>
      </c>
      <c r="B32" s="7" t="s">
        <v>2494</v>
      </c>
      <c r="C32" s="7" t="s">
        <v>8004</v>
      </c>
    </row>
    <row r="33" customFormat="false" ht="15" hidden="false" customHeight="true" outlineLevel="0" collapsed="false">
      <c r="A33" s="7" t="s">
        <v>2494</v>
      </c>
      <c r="B33" s="7" t="s">
        <v>8024</v>
      </c>
      <c r="C33" s="7"/>
    </row>
    <row r="34" customFormat="false" ht="15" hidden="false" customHeight="true" outlineLevel="0" collapsed="false">
      <c r="A34" s="7" t="s">
        <v>2494</v>
      </c>
      <c r="B34" s="7" t="s">
        <v>6827</v>
      </c>
      <c r="C34" s="7" t="s">
        <v>8004</v>
      </c>
    </row>
    <row r="35" customFormat="false" ht="15" hidden="false" customHeight="true" outlineLevel="0" collapsed="false">
      <c r="A35" s="7" t="s">
        <v>2494</v>
      </c>
      <c r="B35" s="7" t="s">
        <v>6828</v>
      </c>
      <c r="C35" s="7" t="s">
        <v>8004</v>
      </c>
    </row>
    <row r="36" customFormat="false" ht="15" hidden="false" customHeight="true" outlineLevel="0" collapsed="false">
      <c r="A36" s="7" t="s">
        <v>2494</v>
      </c>
      <c r="B36" s="7" t="s">
        <v>8025</v>
      </c>
      <c r="C36" s="7"/>
    </row>
    <row r="37" customFormat="false" ht="15" hidden="false" customHeight="true" outlineLevel="0" collapsed="false">
      <c r="A37" s="7" t="s">
        <v>2494</v>
      </c>
      <c r="B37" s="7" t="s">
        <v>8026</v>
      </c>
      <c r="C37" s="7"/>
    </row>
    <row r="38" customFormat="false" ht="15" hidden="false" customHeight="true" outlineLevel="0" collapsed="false">
      <c r="A38" s="7" t="s">
        <v>2436</v>
      </c>
      <c r="B38" s="7" t="s">
        <v>2436</v>
      </c>
      <c r="C38" s="7" t="s">
        <v>8004</v>
      </c>
    </row>
    <row r="39" customFormat="false" ht="15" hidden="false" customHeight="true" outlineLevel="0" collapsed="false">
      <c r="A39" s="7" t="s">
        <v>2436</v>
      </c>
      <c r="B39" s="7" t="s">
        <v>6829</v>
      </c>
      <c r="C39" s="7" t="s">
        <v>8004</v>
      </c>
    </row>
    <row r="40" customFormat="false" ht="15" hidden="false" customHeight="true" outlineLevel="0" collapsed="false">
      <c r="A40" s="7" t="s">
        <v>2436</v>
      </c>
      <c r="B40" s="7" t="s">
        <v>6830</v>
      </c>
      <c r="C40" s="7" t="s">
        <v>8004</v>
      </c>
    </row>
    <row r="41" customFormat="false" ht="15" hidden="false" customHeight="true" outlineLevel="0" collapsed="false">
      <c r="A41" s="7" t="s">
        <v>2436</v>
      </c>
      <c r="B41" s="7" t="s">
        <v>8027</v>
      </c>
      <c r="C41" s="7"/>
    </row>
    <row r="42" customFormat="false" ht="15" hidden="false" customHeight="true" outlineLevel="0" collapsed="false">
      <c r="A42" s="7" t="s">
        <v>2436</v>
      </c>
      <c r="B42" s="7" t="s">
        <v>8028</v>
      </c>
      <c r="C42" s="7"/>
    </row>
    <row r="43" customFormat="false" ht="15" hidden="false" customHeight="true" outlineLevel="0" collapsed="false">
      <c r="A43" s="7" t="s">
        <v>2436</v>
      </c>
      <c r="B43" s="7" t="s">
        <v>8029</v>
      </c>
      <c r="C43" s="7"/>
    </row>
    <row r="44" customFormat="false" ht="15" hidden="false" customHeight="true" outlineLevel="0" collapsed="false">
      <c r="A44" s="7" t="s">
        <v>2436</v>
      </c>
      <c r="B44" s="7" t="s">
        <v>8030</v>
      </c>
      <c r="C44" s="7"/>
    </row>
    <row r="45" customFormat="false" ht="15" hidden="false" customHeight="true" outlineLevel="0" collapsed="false">
      <c r="A45" s="7" t="s">
        <v>2436</v>
      </c>
      <c r="B45" s="7" t="s">
        <v>8031</v>
      </c>
      <c r="C45" s="7"/>
    </row>
    <row r="46" customFormat="false" ht="15" hidden="false" customHeight="true" outlineLevel="0" collapsed="false">
      <c r="A46" s="7" t="s">
        <v>2436</v>
      </c>
      <c r="B46" s="7" t="s">
        <v>8032</v>
      </c>
      <c r="C46" s="7"/>
    </row>
    <row r="47" customFormat="false" ht="15" hidden="false" customHeight="true" outlineLevel="0" collapsed="false">
      <c r="A47" s="7" t="s">
        <v>2436</v>
      </c>
      <c r="B47" s="7" t="s">
        <v>6831</v>
      </c>
      <c r="C47" s="7" t="s">
        <v>8004</v>
      </c>
    </row>
    <row r="48" customFormat="false" ht="15" hidden="false" customHeight="true" outlineLevel="0" collapsed="false">
      <c r="A48" s="7" t="s">
        <v>2423</v>
      </c>
      <c r="B48" s="7" t="s">
        <v>2423</v>
      </c>
      <c r="C48" s="7" t="s">
        <v>8004</v>
      </c>
    </row>
    <row r="49" customFormat="false" ht="15" hidden="false" customHeight="true" outlineLevel="0" collapsed="false">
      <c r="A49" s="7" t="s">
        <v>2423</v>
      </c>
      <c r="B49" s="7" t="s">
        <v>2427</v>
      </c>
      <c r="C49" s="7" t="s">
        <v>8004</v>
      </c>
    </row>
    <row r="50" customFormat="false" ht="15" hidden="false" customHeight="true" outlineLevel="0" collapsed="false">
      <c r="A50" s="7" t="s">
        <v>2423</v>
      </c>
      <c r="B50" s="7" t="s">
        <v>6835</v>
      </c>
      <c r="C50" s="7" t="s">
        <v>8004</v>
      </c>
    </row>
    <row r="51" customFormat="false" ht="15" hidden="false" customHeight="true" outlineLevel="0" collapsed="false">
      <c r="A51" s="7" t="s">
        <v>2423</v>
      </c>
      <c r="B51" s="7" t="s">
        <v>6832</v>
      </c>
      <c r="C51" s="7" t="s">
        <v>8004</v>
      </c>
    </row>
    <row r="52" customFormat="false" ht="15" hidden="false" customHeight="true" outlineLevel="0" collapsed="false">
      <c r="A52" s="7" t="s">
        <v>2423</v>
      </c>
      <c r="B52" s="7" t="s">
        <v>6833</v>
      </c>
      <c r="C52" s="7" t="s">
        <v>8004</v>
      </c>
    </row>
    <row r="53" customFormat="false" ht="15" hidden="false" customHeight="true" outlineLevel="0" collapsed="false">
      <c r="A53" s="7" t="s">
        <v>2423</v>
      </c>
      <c r="B53" s="7" t="s">
        <v>8033</v>
      </c>
      <c r="C53" s="7"/>
    </row>
    <row r="54" customFormat="false" ht="15" hidden="false" customHeight="true" outlineLevel="0" collapsed="false">
      <c r="A54" s="7" t="s">
        <v>2423</v>
      </c>
      <c r="B54" s="7" t="s">
        <v>6834</v>
      </c>
      <c r="C54" s="7" t="s">
        <v>8004</v>
      </c>
    </row>
    <row r="55" customFormat="false" ht="15" hidden="false" customHeight="true" outlineLevel="0" collapsed="false">
      <c r="A55" s="7" t="s">
        <v>2423</v>
      </c>
      <c r="B55" s="7" t="s">
        <v>8034</v>
      </c>
      <c r="C55" s="7"/>
    </row>
    <row r="56" customFormat="false" ht="15" hidden="false" customHeight="true" outlineLevel="0" collapsed="false">
      <c r="A56" s="7" t="s">
        <v>2423</v>
      </c>
      <c r="B56" s="7" t="s">
        <v>8035</v>
      </c>
      <c r="C56" s="7"/>
    </row>
    <row r="57" customFormat="false" ht="15" hidden="false" customHeight="true" outlineLevel="0" collapsed="false">
      <c r="A57" s="7" t="s">
        <v>2423</v>
      </c>
      <c r="B57" s="7" t="s">
        <v>8036</v>
      </c>
      <c r="C57" s="7"/>
    </row>
    <row r="58" customFormat="false" ht="15" hidden="false" customHeight="true" outlineLevel="0" collapsed="false">
      <c r="A58" s="7" t="s">
        <v>2504</v>
      </c>
      <c r="B58" s="7" t="s">
        <v>2504</v>
      </c>
      <c r="C58" s="7" t="s">
        <v>8004</v>
      </c>
    </row>
    <row r="59" customFormat="false" ht="15" hidden="false" customHeight="true" outlineLevel="0" collapsed="false">
      <c r="A59" s="7" t="s">
        <v>2504</v>
      </c>
      <c r="B59" s="7" t="s">
        <v>8037</v>
      </c>
      <c r="C59" s="7"/>
    </row>
    <row r="60" customFormat="false" ht="15" hidden="false" customHeight="true" outlineLevel="0" collapsed="false">
      <c r="A60" s="7" t="s">
        <v>2504</v>
      </c>
      <c r="B60" s="7" t="s">
        <v>8038</v>
      </c>
      <c r="C60" s="7"/>
    </row>
    <row r="61" customFormat="false" ht="15" hidden="false" customHeight="true" outlineLevel="0" collapsed="false">
      <c r="A61" s="7" t="s">
        <v>2504</v>
      </c>
      <c r="B61" s="7" t="s">
        <v>8039</v>
      </c>
      <c r="C61" s="7"/>
    </row>
    <row r="62" customFormat="false" ht="15" hidden="false" customHeight="true" outlineLevel="0" collapsed="false">
      <c r="A62" s="7" t="s">
        <v>2504</v>
      </c>
      <c r="B62" s="7" t="s">
        <v>8026</v>
      </c>
      <c r="C62" s="7"/>
    </row>
    <row r="63" customFormat="false" ht="15" hidden="false" customHeight="true" outlineLevel="0" collapsed="false">
      <c r="A63" s="7" t="s">
        <v>2447</v>
      </c>
      <c r="B63" s="7" t="s">
        <v>2447</v>
      </c>
      <c r="C63" s="7" t="s">
        <v>8004</v>
      </c>
    </row>
    <row r="64" customFormat="false" ht="15" hidden="false" customHeight="true" outlineLevel="0" collapsed="false">
      <c r="A64" s="7" t="s">
        <v>2447</v>
      </c>
      <c r="B64" s="7" t="s">
        <v>6837</v>
      </c>
      <c r="C64" s="7" t="s">
        <v>8004</v>
      </c>
    </row>
    <row r="65" customFormat="false" ht="15" hidden="false" customHeight="true" outlineLevel="0" collapsed="false">
      <c r="A65" s="7" t="s">
        <v>2447</v>
      </c>
      <c r="B65" s="7" t="s">
        <v>6838</v>
      </c>
      <c r="C65" s="7" t="s">
        <v>8004</v>
      </c>
    </row>
    <row r="66" customFormat="false" ht="15" hidden="false" customHeight="true" outlineLevel="0" collapsed="false">
      <c r="A66" s="7" t="s">
        <v>2447</v>
      </c>
      <c r="B66" s="7" t="s">
        <v>6836</v>
      </c>
      <c r="C66" s="7" t="s">
        <v>8004</v>
      </c>
    </row>
    <row r="67" customFormat="false" ht="15" hidden="false" customHeight="true" outlineLevel="0" collapsed="false">
      <c r="A67" s="7" t="s">
        <v>2447</v>
      </c>
      <c r="B67" s="7" t="s">
        <v>2451</v>
      </c>
      <c r="C67" s="7" t="s">
        <v>8004</v>
      </c>
    </row>
    <row r="68" customFormat="false" ht="15" hidden="false" customHeight="true" outlineLevel="0" collapsed="false">
      <c r="A68" s="7" t="s">
        <v>2447</v>
      </c>
      <c r="B68" s="7" t="s">
        <v>6839</v>
      </c>
      <c r="C68" s="7" t="s">
        <v>8004</v>
      </c>
    </row>
    <row r="69" customFormat="false" ht="15" hidden="false" customHeight="true" outlineLevel="0" collapsed="false">
      <c r="A69" s="7" t="s">
        <v>2447</v>
      </c>
      <c r="B69" s="7" t="s">
        <v>8040</v>
      </c>
      <c r="C69" s="7"/>
    </row>
    <row r="70" customFormat="false" ht="15" hidden="false" customHeight="true" outlineLevel="0" collapsed="false">
      <c r="A70" s="7" t="s">
        <v>2447</v>
      </c>
      <c r="B70" s="7" t="s">
        <v>6840</v>
      </c>
      <c r="C70" s="7" t="s">
        <v>8004</v>
      </c>
    </row>
    <row r="71" customFormat="false" ht="15" hidden="false" customHeight="true" outlineLevel="0" collapsed="false">
      <c r="A71" s="7" t="s">
        <v>2447</v>
      </c>
      <c r="B71" s="7" t="s">
        <v>8041</v>
      </c>
      <c r="C71" s="7"/>
    </row>
    <row r="72" customFormat="false" ht="15" hidden="false" customHeight="true" outlineLevel="0" collapsed="false">
      <c r="A72" s="7" t="s">
        <v>2447</v>
      </c>
      <c r="B72" s="7" t="s">
        <v>8042</v>
      </c>
      <c r="C72" s="7"/>
    </row>
    <row r="73" customFormat="false" ht="15" hidden="false" customHeight="true" outlineLevel="0" collapsed="false">
      <c r="A73" s="7" t="s">
        <v>290</v>
      </c>
      <c r="B73" s="7" t="s">
        <v>290</v>
      </c>
      <c r="C73" s="7" t="s">
        <v>8004</v>
      </c>
    </row>
    <row r="74" customFormat="false" ht="15" hidden="false" customHeight="true" outlineLevel="0" collapsed="false">
      <c r="A74" s="7" t="s">
        <v>290</v>
      </c>
      <c r="B74" s="7" t="s">
        <v>8043</v>
      </c>
      <c r="C74" s="7"/>
    </row>
    <row r="75" customFormat="false" ht="15" hidden="false" customHeight="true" outlineLevel="0" collapsed="false">
      <c r="A75" s="7" t="s">
        <v>290</v>
      </c>
      <c r="B75" s="7" t="s">
        <v>8044</v>
      </c>
      <c r="C75" s="7"/>
    </row>
    <row r="76" customFormat="false" ht="15" hidden="false" customHeight="true" outlineLevel="0" collapsed="false">
      <c r="A76" s="7" t="s">
        <v>290</v>
      </c>
      <c r="B76" s="7" t="s">
        <v>8045</v>
      </c>
      <c r="C76" s="7"/>
    </row>
    <row r="77" customFormat="false" ht="15" hidden="false" customHeight="true" outlineLevel="0" collapsed="false">
      <c r="A77" s="7" t="s">
        <v>290</v>
      </c>
      <c r="B77" s="7" t="s">
        <v>6454</v>
      </c>
      <c r="C77" s="7" t="s">
        <v>8004</v>
      </c>
    </row>
    <row r="78" customFormat="false" ht="15" hidden="false" customHeight="true" outlineLevel="0" collapsed="false">
      <c r="A78" s="7" t="s">
        <v>290</v>
      </c>
      <c r="B78" s="7" t="s">
        <v>8046</v>
      </c>
      <c r="C78" s="7"/>
    </row>
    <row r="79" customFormat="false" ht="15" hidden="false" customHeight="true" outlineLevel="0" collapsed="false">
      <c r="A79" s="7" t="s">
        <v>290</v>
      </c>
      <c r="B79" s="7" t="s">
        <v>8047</v>
      </c>
      <c r="C79" s="7"/>
    </row>
    <row r="80" customFormat="false" ht="15" hidden="false" customHeight="true" outlineLevel="0" collapsed="false">
      <c r="A80" s="7" t="s">
        <v>290</v>
      </c>
      <c r="B80" s="7" t="s">
        <v>8048</v>
      </c>
      <c r="C80" s="7"/>
    </row>
    <row r="81" customFormat="false" ht="15" hidden="false" customHeight="true" outlineLevel="0" collapsed="false">
      <c r="A81" s="7" t="s">
        <v>290</v>
      </c>
      <c r="B81" s="7" t="s">
        <v>8049</v>
      </c>
      <c r="C81" s="7"/>
    </row>
    <row r="82" customFormat="false" ht="15" hidden="false" customHeight="true" outlineLevel="0" collapsed="false">
      <c r="A82" s="7" t="s">
        <v>290</v>
      </c>
      <c r="B82" s="7" t="s">
        <v>8050</v>
      </c>
      <c r="C82" s="7"/>
    </row>
    <row r="83" customFormat="false" ht="15" hidden="false" customHeight="true" outlineLevel="0" collapsed="false">
      <c r="A83" s="7" t="s">
        <v>2458</v>
      </c>
      <c r="B83" s="7" t="s">
        <v>2458</v>
      </c>
      <c r="C83" s="7" t="s">
        <v>8004</v>
      </c>
    </row>
    <row r="84" customFormat="false" ht="15" hidden="false" customHeight="true" outlineLevel="0" collapsed="false">
      <c r="A84" s="7" t="s">
        <v>2458</v>
      </c>
      <c r="B84" s="7" t="s">
        <v>6844</v>
      </c>
      <c r="C84" s="7" t="s">
        <v>8004</v>
      </c>
    </row>
    <row r="85" customFormat="false" ht="15" hidden="false" customHeight="true" outlineLevel="0" collapsed="false">
      <c r="A85" s="7" t="s">
        <v>2458</v>
      </c>
      <c r="B85" s="7" t="s">
        <v>6841</v>
      </c>
      <c r="C85" s="7" t="s">
        <v>8004</v>
      </c>
    </row>
    <row r="86" customFormat="false" ht="15" hidden="false" customHeight="true" outlineLevel="0" collapsed="false">
      <c r="A86" s="7" t="s">
        <v>2458</v>
      </c>
      <c r="B86" s="7" t="s">
        <v>2461</v>
      </c>
      <c r="C86" s="7" t="s">
        <v>8004</v>
      </c>
    </row>
    <row r="87" customFormat="false" ht="15" hidden="false" customHeight="true" outlineLevel="0" collapsed="false">
      <c r="A87" s="7" t="s">
        <v>2458</v>
      </c>
      <c r="B87" s="7" t="s">
        <v>8051</v>
      </c>
      <c r="C87" s="7"/>
    </row>
    <row r="88" customFormat="false" ht="15" hidden="false" customHeight="true" outlineLevel="0" collapsed="false">
      <c r="A88" s="7" t="s">
        <v>2458</v>
      </c>
      <c r="B88" s="7" t="s">
        <v>6846</v>
      </c>
      <c r="C88" s="7" t="s">
        <v>8004</v>
      </c>
    </row>
    <row r="89" customFormat="false" ht="15" hidden="false" customHeight="true" outlineLevel="0" collapsed="false">
      <c r="A89" s="7" t="s">
        <v>2458</v>
      </c>
      <c r="B89" s="7" t="s">
        <v>8052</v>
      </c>
      <c r="C89" s="7"/>
    </row>
    <row r="90" customFormat="false" ht="15" hidden="false" customHeight="true" outlineLevel="0" collapsed="false">
      <c r="A90" s="7" t="s">
        <v>2458</v>
      </c>
      <c r="B90" s="7" t="s">
        <v>6842</v>
      </c>
      <c r="C90" s="7" t="s">
        <v>8004</v>
      </c>
    </row>
    <row r="91" customFormat="false" ht="15" hidden="false" customHeight="true" outlineLevel="0" collapsed="false">
      <c r="A91" s="7" t="s">
        <v>2458</v>
      </c>
      <c r="B91" s="7" t="s">
        <v>6845</v>
      </c>
      <c r="C91" s="7" t="s">
        <v>8004</v>
      </c>
    </row>
    <row r="92" customFormat="false" ht="15" hidden="false" customHeight="true" outlineLevel="0" collapsed="false">
      <c r="A92" s="7" t="s">
        <v>2458</v>
      </c>
      <c r="B92" s="7" t="s">
        <v>8053</v>
      </c>
      <c r="C92" s="7"/>
    </row>
    <row r="93" customFormat="false" ht="15" hidden="false" customHeight="true" outlineLevel="0" collapsed="false">
      <c r="A93" s="7" t="s">
        <v>2469</v>
      </c>
      <c r="B93" s="7" t="s">
        <v>2469</v>
      </c>
      <c r="C93" s="7" t="s">
        <v>8004</v>
      </c>
    </row>
    <row r="94" customFormat="false" ht="15" hidden="false" customHeight="true" outlineLevel="0" collapsed="false">
      <c r="A94" s="7" t="s">
        <v>2469</v>
      </c>
      <c r="B94" s="7" t="s">
        <v>6848</v>
      </c>
      <c r="C94" s="7" t="s">
        <v>8004</v>
      </c>
    </row>
    <row r="95" customFormat="false" ht="15" hidden="false" customHeight="true" outlineLevel="0" collapsed="false">
      <c r="A95" s="7" t="s">
        <v>2469</v>
      </c>
      <c r="B95" s="7" t="s">
        <v>6847</v>
      </c>
      <c r="C95" s="7" t="s">
        <v>8004</v>
      </c>
    </row>
    <row r="96" customFormat="false" ht="15" hidden="false" customHeight="true" outlineLevel="0" collapsed="false">
      <c r="A96" s="7" t="s">
        <v>2469</v>
      </c>
      <c r="B96" s="7" t="s">
        <v>8054</v>
      </c>
      <c r="C96" s="7"/>
    </row>
    <row r="97" customFormat="false" ht="15" hidden="false" customHeight="true" outlineLevel="0" collapsed="false">
      <c r="A97" s="7" t="s">
        <v>2469</v>
      </c>
      <c r="B97" s="7" t="s">
        <v>2472</v>
      </c>
      <c r="C97" s="7" t="s">
        <v>8004</v>
      </c>
    </row>
    <row r="98" customFormat="false" ht="15" hidden="false" customHeight="true" outlineLevel="0" collapsed="false">
      <c r="A98" s="7" t="s">
        <v>2469</v>
      </c>
      <c r="B98" s="7" t="s">
        <v>2473</v>
      </c>
      <c r="C98" s="7" t="s">
        <v>8004</v>
      </c>
    </row>
    <row r="99" customFormat="false" ht="15" hidden="false" customHeight="true" outlineLevel="0" collapsed="false">
      <c r="A99" s="7" t="s">
        <v>2469</v>
      </c>
      <c r="B99" s="7" t="s">
        <v>6849</v>
      </c>
      <c r="C99" s="7" t="s">
        <v>8004</v>
      </c>
    </row>
    <row r="100" customFormat="false" ht="15" hidden="false" customHeight="true" outlineLevel="0" collapsed="false">
      <c r="A100" s="7" t="s">
        <v>2469</v>
      </c>
      <c r="B100" s="7" t="s">
        <v>6850</v>
      </c>
      <c r="C100" s="7" t="s">
        <v>8004</v>
      </c>
    </row>
    <row r="101" customFormat="false" ht="15" hidden="false" customHeight="true" outlineLevel="0" collapsed="false">
      <c r="A101" s="7" t="s">
        <v>2469</v>
      </c>
      <c r="B101" s="7" t="s">
        <v>8055</v>
      </c>
      <c r="C101" s="7"/>
    </row>
    <row r="102" customFormat="false" ht="15" hidden="false" customHeight="true" outlineLevel="0" collapsed="false">
      <c r="A102" s="7" t="s">
        <v>2469</v>
      </c>
      <c r="B102" s="7" t="s">
        <v>8056</v>
      </c>
      <c r="C102" s="7"/>
    </row>
    <row r="103" customFormat="false" ht="15" hidden="false" customHeight="true" outlineLevel="0" collapsed="false">
      <c r="A103" s="7" t="s">
        <v>2480</v>
      </c>
      <c r="B103" s="7" t="s">
        <v>2480</v>
      </c>
      <c r="C103" s="7" t="s">
        <v>8004</v>
      </c>
    </row>
    <row r="104" customFormat="false" ht="15" hidden="false" customHeight="true" outlineLevel="0" collapsed="false">
      <c r="A104" s="7" t="s">
        <v>2480</v>
      </c>
      <c r="B104" s="7" t="s">
        <v>6854</v>
      </c>
      <c r="C104" s="7" t="s">
        <v>8004</v>
      </c>
    </row>
    <row r="105" customFormat="false" ht="15" hidden="false" customHeight="true" outlineLevel="0" collapsed="false">
      <c r="A105" s="7" t="s">
        <v>2480</v>
      </c>
      <c r="B105" s="7" t="s">
        <v>6851</v>
      </c>
      <c r="C105" s="7" t="s">
        <v>8004</v>
      </c>
    </row>
    <row r="106" customFormat="false" ht="15" hidden="false" customHeight="true" outlineLevel="0" collapsed="false">
      <c r="A106" s="7" t="s">
        <v>2480</v>
      </c>
      <c r="B106" s="7" t="s">
        <v>6855</v>
      </c>
      <c r="C106" s="7" t="s">
        <v>8004</v>
      </c>
    </row>
    <row r="107" customFormat="false" ht="15" hidden="false" customHeight="true" outlineLevel="0" collapsed="false">
      <c r="A107" s="7" t="s">
        <v>2480</v>
      </c>
      <c r="B107" s="7" t="s">
        <v>6853</v>
      </c>
      <c r="C107" s="7" t="s">
        <v>8004</v>
      </c>
    </row>
    <row r="108" customFormat="false" ht="15" hidden="false" customHeight="true" outlineLevel="0" collapsed="false">
      <c r="A108" s="7" t="s">
        <v>2480</v>
      </c>
      <c r="B108" s="7" t="s">
        <v>6852</v>
      </c>
      <c r="C108" s="7" t="s">
        <v>8004</v>
      </c>
    </row>
    <row r="109" customFormat="false" ht="15" hidden="false" customHeight="true" outlineLevel="0" collapsed="false">
      <c r="A109" s="7" t="s">
        <v>2480</v>
      </c>
      <c r="B109" s="7" t="s">
        <v>8057</v>
      </c>
      <c r="C109" s="7"/>
    </row>
    <row r="110" customFormat="false" ht="15" hidden="false" customHeight="true" outlineLevel="0" collapsed="false">
      <c r="A110" s="7" t="s">
        <v>2480</v>
      </c>
      <c r="B110" s="7" t="s">
        <v>2484</v>
      </c>
      <c r="C110" s="7" t="s">
        <v>8004</v>
      </c>
    </row>
    <row r="111" customFormat="false" ht="15" hidden="false" customHeight="true" outlineLevel="0" collapsed="false">
      <c r="A111" s="7" t="s">
        <v>2480</v>
      </c>
      <c r="B111" s="7" t="s">
        <v>8058</v>
      </c>
      <c r="C111" s="7"/>
    </row>
    <row r="112" customFormat="false" ht="15" hidden="false" customHeight="true" outlineLevel="0" collapsed="false">
      <c r="A112" s="7" t="s">
        <v>2480</v>
      </c>
      <c r="B112" s="7" t="s">
        <v>8059</v>
      </c>
      <c r="C112" s="7"/>
    </row>
    <row r="113" customFormat="false" ht="15" hidden="false" customHeight="true" outlineLevel="0" collapsed="false">
      <c r="A113" s="7" t="s">
        <v>5879</v>
      </c>
      <c r="B113" s="7" t="s">
        <v>5879</v>
      </c>
      <c r="C113" s="7" t="s">
        <v>8004</v>
      </c>
    </row>
    <row r="114" customFormat="false" ht="15" hidden="false" customHeight="true" outlineLevel="0" collapsed="false">
      <c r="A114" s="7" t="s">
        <v>5879</v>
      </c>
      <c r="B114" s="7" t="s">
        <v>8060</v>
      </c>
      <c r="C114" s="7"/>
    </row>
    <row r="115" customFormat="false" ht="15" hidden="false" customHeight="true" outlineLevel="0" collapsed="false">
      <c r="A115" s="7" t="s">
        <v>5879</v>
      </c>
      <c r="B115" s="7" t="s">
        <v>6859</v>
      </c>
      <c r="C115" s="7" t="s">
        <v>8004</v>
      </c>
    </row>
    <row r="116" customFormat="false" ht="15" hidden="false" customHeight="true" outlineLevel="0" collapsed="false">
      <c r="A116" s="7" t="s">
        <v>5879</v>
      </c>
      <c r="B116" s="7" t="s">
        <v>6858</v>
      </c>
      <c r="C116" s="7" t="s">
        <v>8004</v>
      </c>
    </row>
    <row r="117" customFormat="false" ht="15" hidden="false" customHeight="true" outlineLevel="0" collapsed="false">
      <c r="A117" s="7" t="s">
        <v>5879</v>
      </c>
      <c r="B117" s="7" t="s">
        <v>8061</v>
      </c>
      <c r="C117" s="7"/>
    </row>
    <row r="118" customFormat="false" ht="15" hidden="false" customHeight="true" outlineLevel="0" collapsed="false">
      <c r="A118" s="7" t="s">
        <v>5879</v>
      </c>
      <c r="B118" s="7" t="s">
        <v>6856</v>
      </c>
      <c r="C118" s="7" t="s">
        <v>8004</v>
      </c>
    </row>
    <row r="119" customFormat="false" ht="15" hidden="false" customHeight="true" outlineLevel="0" collapsed="false">
      <c r="A119" s="7" t="s">
        <v>5879</v>
      </c>
      <c r="B119" s="7" t="s">
        <v>8062</v>
      </c>
      <c r="C119" s="7"/>
    </row>
    <row r="120" customFormat="false" ht="15" hidden="false" customHeight="true" outlineLevel="0" collapsed="false">
      <c r="A120" s="7" t="s">
        <v>5879</v>
      </c>
      <c r="B120" s="7" t="s">
        <v>6857</v>
      </c>
      <c r="C120" s="7" t="s">
        <v>8004</v>
      </c>
    </row>
    <row r="121" customFormat="false" ht="15" hidden="false" customHeight="true" outlineLevel="0" collapsed="false">
      <c r="A121" s="7" t="s">
        <v>5879</v>
      </c>
      <c r="B121" s="7" t="s">
        <v>5883</v>
      </c>
      <c r="C121" s="7" t="s">
        <v>8004</v>
      </c>
    </row>
    <row r="122" customFormat="false" ht="15" hidden="false" customHeight="true" outlineLevel="0" collapsed="false">
      <c r="A122" s="7" t="s">
        <v>5879</v>
      </c>
      <c r="B122" s="7" t="s">
        <v>8063</v>
      </c>
      <c r="C122" s="7"/>
    </row>
    <row r="123" customFormat="false" ht="15" hidden="false" customHeight="true" outlineLevel="0" collapsed="false">
      <c r="A123" s="7" t="s">
        <v>2513</v>
      </c>
      <c r="B123" s="7" t="s">
        <v>2513</v>
      </c>
      <c r="C123" s="7" t="s">
        <v>8004</v>
      </c>
    </row>
    <row r="124" customFormat="false" ht="15" hidden="false" customHeight="true" outlineLevel="0" collapsed="false">
      <c r="A124" s="7" t="s">
        <v>2513</v>
      </c>
      <c r="B124" s="7" t="s">
        <v>2517</v>
      </c>
      <c r="C124" s="7" t="s">
        <v>8004</v>
      </c>
    </row>
    <row r="125" customFormat="false" ht="15" hidden="false" customHeight="true" outlineLevel="0" collapsed="false">
      <c r="A125" s="7" t="s">
        <v>2513</v>
      </c>
      <c r="B125" s="7" t="s">
        <v>6861</v>
      </c>
      <c r="C125" s="7" t="s">
        <v>8004</v>
      </c>
    </row>
    <row r="126" customFormat="false" ht="15" hidden="false" customHeight="true" outlineLevel="0" collapsed="false">
      <c r="A126" s="7" t="s">
        <v>2513</v>
      </c>
      <c r="B126" s="7" t="s">
        <v>6864</v>
      </c>
      <c r="C126" s="7" t="s">
        <v>8004</v>
      </c>
    </row>
    <row r="127" customFormat="false" ht="15" hidden="false" customHeight="true" outlineLevel="0" collapsed="false">
      <c r="A127" s="7" t="s">
        <v>2513</v>
      </c>
      <c r="B127" s="7" t="s">
        <v>6865</v>
      </c>
      <c r="C127" s="7" t="s">
        <v>8004</v>
      </c>
    </row>
    <row r="128" customFormat="false" ht="15" hidden="false" customHeight="true" outlineLevel="0" collapsed="false">
      <c r="A128" s="7" t="s">
        <v>2513</v>
      </c>
      <c r="B128" s="7" t="s">
        <v>6862</v>
      </c>
      <c r="C128" s="7" t="s">
        <v>8004</v>
      </c>
    </row>
    <row r="129" customFormat="false" ht="15" hidden="false" customHeight="true" outlineLevel="0" collapsed="false">
      <c r="A129" s="7" t="s">
        <v>2513</v>
      </c>
      <c r="B129" s="7" t="s">
        <v>8064</v>
      </c>
      <c r="C129" s="7"/>
    </row>
    <row r="130" customFormat="false" ht="15" hidden="false" customHeight="true" outlineLevel="0" collapsed="false">
      <c r="A130" s="7" t="s">
        <v>2513</v>
      </c>
      <c r="B130" s="7" t="s">
        <v>6863</v>
      </c>
      <c r="C130" s="7" t="s">
        <v>8004</v>
      </c>
    </row>
    <row r="131" customFormat="false" ht="15" hidden="false" customHeight="true" outlineLevel="0" collapsed="false">
      <c r="A131" s="7" t="s">
        <v>2513</v>
      </c>
      <c r="B131" s="7" t="s">
        <v>8065</v>
      </c>
      <c r="C131" s="7"/>
    </row>
    <row r="132" customFormat="false" ht="15" hidden="false" customHeight="true" outlineLevel="0" collapsed="false">
      <c r="A132" s="7" t="s">
        <v>2513</v>
      </c>
      <c r="B132" s="7" t="s">
        <v>8066</v>
      </c>
      <c r="C132" s="7"/>
    </row>
    <row r="133" customFormat="false" ht="15" hidden="false" customHeight="true" outlineLevel="0" collapsed="false">
      <c r="A133" s="7" t="s">
        <v>2561</v>
      </c>
      <c r="B133" s="7" t="s">
        <v>2561</v>
      </c>
      <c r="C133" s="7" t="s">
        <v>8004</v>
      </c>
    </row>
    <row r="134" customFormat="false" ht="15" hidden="false" customHeight="true" outlineLevel="0" collapsed="false">
      <c r="A134" s="7" t="s">
        <v>2561</v>
      </c>
      <c r="B134" s="7" t="s">
        <v>8067</v>
      </c>
      <c r="C134" s="7"/>
    </row>
    <row r="135" customFormat="false" ht="15" hidden="false" customHeight="true" outlineLevel="0" collapsed="false">
      <c r="A135" s="7" t="s">
        <v>2561</v>
      </c>
      <c r="B135" s="7" t="s">
        <v>2569</v>
      </c>
      <c r="C135" s="7" t="s">
        <v>8004</v>
      </c>
    </row>
    <row r="136" customFormat="false" ht="15" hidden="false" customHeight="true" outlineLevel="0" collapsed="false">
      <c r="A136" s="7" t="s">
        <v>2561</v>
      </c>
      <c r="B136" s="7" t="s">
        <v>2590</v>
      </c>
      <c r="C136" s="7" t="s">
        <v>8004</v>
      </c>
    </row>
    <row r="137" customFormat="false" ht="15" hidden="false" customHeight="true" outlineLevel="0" collapsed="false">
      <c r="A137" s="7" t="s">
        <v>2561</v>
      </c>
      <c r="B137" s="7" t="s">
        <v>8068</v>
      </c>
      <c r="C137" s="7"/>
    </row>
    <row r="138" customFormat="false" ht="15" hidden="false" customHeight="true" outlineLevel="0" collapsed="false">
      <c r="A138" s="7" t="s">
        <v>2561</v>
      </c>
      <c r="B138" s="7" t="s">
        <v>8069</v>
      </c>
      <c r="C138" s="7"/>
    </row>
    <row r="139" customFormat="false" ht="15" hidden="false" customHeight="true" outlineLevel="0" collapsed="false">
      <c r="A139" s="7" t="s">
        <v>2561</v>
      </c>
      <c r="B139" s="7" t="s">
        <v>2580</v>
      </c>
      <c r="C139" s="7" t="s">
        <v>8004</v>
      </c>
    </row>
    <row r="140" customFormat="false" ht="15" hidden="false" customHeight="true" outlineLevel="0" collapsed="false">
      <c r="A140" s="7" t="s">
        <v>2561</v>
      </c>
      <c r="B140" s="7" t="s">
        <v>8070</v>
      </c>
      <c r="C140" s="7"/>
    </row>
    <row r="141" customFormat="false" ht="15" hidden="false" customHeight="true" outlineLevel="0" collapsed="false">
      <c r="A141" s="7" t="s">
        <v>2561</v>
      </c>
      <c r="B141" s="7" t="s">
        <v>8071</v>
      </c>
      <c r="C141" s="7"/>
    </row>
    <row r="142" customFormat="false" ht="15" hidden="false" customHeight="true" outlineLevel="0" collapsed="false">
      <c r="A142" s="7" t="s">
        <v>2561</v>
      </c>
      <c r="B142" s="7" t="s">
        <v>2551</v>
      </c>
      <c r="C142" s="7" t="s">
        <v>8004</v>
      </c>
    </row>
    <row r="143" customFormat="false" ht="15" hidden="false" customHeight="true" outlineLevel="0" collapsed="false">
      <c r="A143" s="7" t="s">
        <v>2526</v>
      </c>
      <c r="B143" s="7" t="s">
        <v>2526</v>
      </c>
      <c r="C143" s="7" t="s">
        <v>8004</v>
      </c>
    </row>
    <row r="144" customFormat="false" ht="15" hidden="false" customHeight="true" outlineLevel="0" collapsed="false">
      <c r="A144" s="7" t="s">
        <v>2526</v>
      </c>
      <c r="B144" s="7" t="s">
        <v>6867</v>
      </c>
      <c r="C144" s="7" t="s">
        <v>8004</v>
      </c>
    </row>
    <row r="145" customFormat="false" ht="15" hidden="false" customHeight="true" outlineLevel="0" collapsed="false">
      <c r="A145" s="7" t="s">
        <v>2526</v>
      </c>
      <c r="B145" s="7" t="s">
        <v>6870</v>
      </c>
      <c r="C145" s="7" t="s">
        <v>8004</v>
      </c>
    </row>
    <row r="146" customFormat="false" ht="15" hidden="false" customHeight="true" outlineLevel="0" collapsed="false">
      <c r="A146" s="7" t="s">
        <v>2526</v>
      </c>
      <c r="B146" s="7" t="s">
        <v>6869</v>
      </c>
      <c r="C146" s="7" t="s">
        <v>8004</v>
      </c>
    </row>
    <row r="147" customFormat="false" ht="15" hidden="false" customHeight="true" outlineLevel="0" collapsed="false">
      <c r="A147" s="7" t="s">
        <v>2526</v>
      </c>
      <c r="B147" s="7" t="s">
        <v>6868</v>
      </c>
      <c r="C147" s="7" t="s">
        <v>8004</v>
      </c>
    </row>
    <row r="148" customFormat="false" ht="15" hidden="false" customHeight="true" outlineLevel="0" collapsed="false">
      <c r="A148" s="7" t="s">
        <v>2526</v>
      </c>
      <c r="B148" s="7" t="s">
        <v>6866</v>
      </c>
      <c r="C148" s="7" t="s">
        <v>8004</v>
      </c>
    </row>
    <row r="149" customFormat="false" ht="15" hidden="false" customHeight="true" outlineLevel="0" collapsed="false">
      <c r="A149" s="7" t="s">
        <v>2526</v>
      </c>
      <c r="B149" s="7" t="s">
        <v>8072</v>
      </c>
      <c r="C149" s="7"/>
    </row>
    <row r="150" customFormat="false" ht="15" hidden="false" customHeight="true" outlineLevel="0" collapsed="false">
      <c r="A150" s="7" t="s">
        <v>2526</v>
      </c>
      <c r="B150" s="7" t="s">
        <v>2530</v>
      </c>
      <c r="C150" s="7" t="s">
        <v>8004</v>
      </c>
    </row>
    <row r="151" customFormat="false" ht="15" hidden="false" customHeight="true" outlineLevel="0" collapsed="false">
      <c r="A151" s="7" t="s">
        <v>2526</v>
      </c>
      <c r="B151" s="7" t="s">
        <v>8073</v>
      </c>
      <c r="C151" s="7"/>
    </row>
    <row r="152" customFormat="false" ht="15" hidden="false" customHeight="true" outlineLevel="0" collapsed="false">
      <c r="A152" s="7" t="s">
        <v>2526</v>
      </c>
      <c r="B152" s="7" t="s">
        <v>2529</v>
      </c>
      <c r="C152" s="7" t="s">
        <v>8004</v>
      </c>
    </row>
    <row r="153" customFormat="false" ht="15" hidden="false" customHeight="true" outlineLevel="0" collapsed="false">
      <c r="A153" s="7" t="s">
        <v>2539</v>
      </c>
      <c r="B153" s="7" t="s">
        <v>2539</v>
      </c>
      <c r="C153" s="7" t="s">
        <v>8004</v>
      </c>
    </row>
    <row r="154" customFormat="false" ht="15" hidden="false" customHeight="true" outlineLevel="0" collapsed="false">
      <c r="A154" s="7" t="s">
        <v>2539</v>
      </c>
      <c r="B154" s="7" t="s">
        <v>6873</v>
      </c>
      <c r="C154" s="7" t="s">
        <v>8004</v>
      </c>
    </row>
    <row r="155" customFormat="false" ht="15" hidden="false" customHeight="true" outlineLevel="0" collapsed="false">
      <c r="A155" s="7" t="s">
        <v>2539</v>
      </c>
      <c r="B155" s="7" t="s">
        <v>2543</v>
      </c>
      <c r="C155" s="7" t="s">
        <v>8004</v>
      </c>
    </row>
    <row r="156" customFormat="false" ht="15" hidden="false" customHeight="true" outlineLevel="0" collapsed="false">
      <c r="A156" s="7" t="s">
        <v>2539</v>
      </c>
      <c r="B156" s="7" t="s">
        <v>6872</v>
      </c>
      <c r="C156" s="7" t="s">
        <v>8004</v>
      </c>
    </row>
    <row r="157" customFormat="false" ht="15" hidden="false" customHeight="true" outlineLevel="0" collapsed="false">
      <c r="A157" s="7" t="s">
        <v>2539</v>
      </c>
      <c r="B157" s="7" t="s">
        <v>6875</v>
      </c>
      <c r="C157" s="7" t="s">
        <v>8004</v>
      </c>
    </row>
    <row r="158" customFormat="false" ht="15" hidden="false" customHeight="true" outlineLevel="0" collapsed="false">
      <c r="A158" s="7" t="s">
        <v>2539</v>
      </c>
      <c r="B158" s="7" t="s">
        <v>6874</v>
      </c>
      <c r="C158" s="7" t="s">
        <v>8004</v>
      </c>
    </row>
    <row r="159" customFormat="false" ht="15" hidden="false" customHeight="true" outlineLevel="0" collapsed="false">
      <c r="A159" s="7" t="s">
        <v>2539</v>
      </c>
      <c r="B159" s="7" t="s">
        <v>6871</v>
      </c>
      <c r="C159" s="7" t="s">
        <v>8004</v>
      </c>
    </row>
    <row r="160" customFormat="false" ht="15" hidden="false" customHeight="true" outlineLevel="0" collapsed="false">
      <c r="A160" s="7" t="s">
        <v>2539</v>
      </c>
      <c r="B160" s="7" t="s">
        <v>8074</v>
      </c>
      <c r="C160" s="7"/>
    </row>
    <row r="161" customFormat="false" ht="15" hidden="false" customHeight="true" outlineLevel="0" collapsed="false">
      <c r="A161" s="7" t="s">
        <v>2539</v>
      </c>
      <c r="B161" s="7" t="s">
        <v>8075</v>
      </c>
      <c r="C161" s="7"/>
    </row>
    <row r="162" customFormat="false" ht="15" hidden="false" customHeight="true" outlineLevel="0" collapsed="false">
      <c r="A162" s="7" t="s">
        <v>2539</v>
      </c>
      <c r="B162" s="7" t="s">
        <v>8076</v>
      </c>
      <c r="C162" s="7"/>
    </row>
    <row r="163" customFormat="false" ht="15" hidden="false" customHeight="true" outlineLevel="0" collapsed="false">
      <c r="A163" s="7" t="s">
        <v>2551</v>
      </c>
      <c r="B163" s="7" t="s">
        <v>2551</v>
      </c>
      <c r="C163" s="7" t="s">
        <v>8004</v>
      </c>
    </row>
    <row r="164" customFormat="false" ht="15" hidden="false" customHeight="true" outlineLevel="0" collapsed="false">
      <c r="A164" s="7" t="s">
        <v>2551</v>
      </c>
      <c r="B164" s="7" t="s">
        <v>6877</v>
      </c>
      <c r="C164" s="7" t="s">
        <v>8004</v>
      </c>
    </row>
    <row r="165" customFormat="false" ht="15" hidden="false" customHeight="true" outlineLevel="0" collapsed="false">
      <c r="A165" s="7" t="s">
        <v>2551</v>
      </c>
      <c r="B165" s="7" t="s">
        <v>8077</v>
      </c>
      <c r="C165" s="7"/>
    </row>
    <row r="166" customFormat="false" ht="15" hidden="false" customHeight="true" outlineLevel="0" collapsed="false">
      <c r="A166" s="7" t="s">
        <v>2551</v>
      </c>
      <c r="B166" s="7" t="s">
        <v>6880</v>
      </c>
      <c r="C166" s="7" t="s">
        <v>8004</v>
      </c>
    </row>
    <row r="167" customFormat="false" ht="15" hidden="false" customHeight="true" outlineLevel="0" collapsed="false">
      <c r="A167" s="7" t="s">
        <v>2551</v>
      </c>
      <c r="B167" s="7" t="s">
        <v>6876</v>
      </c>
      <c r="C167" s="7" t="s">
        <v>8004</v>
      </c>
    </row>
    <row r="168" customFormat="false" ht="15" hidden="false" customHeight="true" outlineLevel="0" collapsed="false">
      <c r="A168" s="7" t="s">
        <v>2551</v>
      </c>
      <c r="B168" s="7" t="s">
        <v>6879</v>
      </c>
      <c r="C168" s="7" t="s">
        <v>8004</v>
      </c>
    </row>
    <row r="169" customFormat="false" ht="15" hidden="false" customHeight="true" outlineLevel="0" collapsed="false">
      <c r="A169" s="7" t="s">
        <v>2551</v>
      </c>
      <c r="B169" s="7" t="s">
        <v>2555</v>
      </c>
      <c r="C169" s="7" t="s">
        <v>8004</v>
      </c>
    </row>
    <row r="170" customFormat="false" ht="15" hidden="false" customHeight="true" outlineLevel="0" collapsed="false">
      <c r="A170" s="7" t="s">
        <v>2551</v>
      </c>
      <c r="B170" s="7" t="s">
        <v>8078</v>
      </c>
      <c r="C170" s="7"/>
    </row>
    <row r="171" customFormat="false" ht="15" hidden="false" customHeight="true" outlineLevel="0" collapsed="false">
      <c r="A171" s="7" t="s">
        <v>2551</v>
      </c>
      <c r="B171" s="7" t="s">
        <v>8079</v>
      </c>
      <c r="C171" s="7"/>
    </row>
    <row r="172" customFormat="false" ht="15" hidden="false" customHeight="true" outlineLevel="0" collapsed="false">
      <c r="A172" s="7" t="s">
        <v>2551</v>
      </c>
      <c r="B172" s="7" t="s">
        <v>6878</v>
      </c>
      <c r="C172" s="7" t="s">
        <v>8004</v>
      </c>
    </row>
    <row r="173" customFormat="false" ht="15" hidden="false" customHeight="true" outlineLevel="0" collapsed="false">
      <c r="A173" s="7" t="s">
        <v>2678</v>
      </c>
      <c r="B173" s="7" t="s">
        <v>2678</v>
      </c>
      <c r="C173" s="7" t="s">
        <v>8004</v>
      </c>
    </row>
    <row r="174" customFormat="false" ht="15" hidden="false" customHeight="true" outlineLevel="0" collapsed="false">
      <c r="A174" s="7" t="s">
        <v>2678</v>
      </c>
      <c r="B174" s="7" t="s">
        <v>6881</v>
      </c>
      <c r="C174" s="7" t="s">
        <v>8004</v>
      </c>
    </row>
    <row r="175" customFormat="false" ht="15" hidden="false" customHeight="true" outlineLevel="0" collapsed="false">
      <c r="A175" s="7" t="s">
        <v>2678</v>
      </c>
      <c r="B175" s="7" t="s">
        <v>2682</v>
      </c>
      <c r="C175" s="7" t="s">
        <v>8004</v>
      </c>
    </row>
    <row r="176" customFormat="false" ht="15" hidden="false" customHeight="true" outlineLevel="0" collapsed="false">
      <c r="A176" s="7" t="s">
        <v>2678</v>
      </c>
      <c r="B176" s="7" t="s">
        <v>6884</v>
      </c>
      <c r="C176" s="7" t="s">
        <v>8004</v>
      </c>
    </row>
    <row r="177" customFormat="false" ht="15" hidden="false" customHeight="true" outlineLevel="0" collapsed="false">
      <c r="A177" s="7" t="s">
        <v>2678</v>
      </c>
      <c r="B177" s="7" t="s">
        <v>6883</v>
      </c>
      <c r="C177" s="7" t="s">
        <v>8004</v>
      </c>
    </row>
    <row r="178" customFormat="false" ht="15" hidden="false" customHeight="true" outlineLevel="0" collapsed="false">
      <c r="A178" s="7" t="s">
        <v>2678</v>
      </c>
      <c r="B178" s="7" t="s">
        <v>6882</v>
      </c>
      <c r="C178" s="7" t="s">
        <v>8004</v>
      </c>
    </row>
    <row r="179" customFormat="false" ht="15" hidden="false" customHeight="true" outlineLevel="0" collapsed="false">
      <c r="A179" s="7" t="s">
        <v>2678</v>
      </c>
      <c r="B179" s="7" t="s">
        <v>8080</v>
      </c>
      <c r="C179" s="7"/>
    </row>
    <row r="180" customFormat="false" ht="15" hidden="false" customHeight="true" outlineLevel="0" collapsed="false">
      <c r="A180" s="7" t="s">
        <v>2678</v>
      </c>
      <c r="B180" s="7" t="s">
        <v>8081</v>
      </c>
      <c r="C180" s="7"/>
    </row>
    <row r="181" customFormat="false" ht="15" hidden="false" customHeight="true" outlineLevel="0" collapsed="false">
      <c r="A181" s="7" t="s">
        <v>2678</v>
      </c>
      <c r="B181" s="7" t="s">
        <v>7659</v>
      </c>
      <c r="C181" s="7" t="s">
        <v>8004</v>
      </c>
    </row>
    <row r="182" customFormat="false" ht="15" hidden="false" customHeight="true" outlineLevel="0" collapsed="false">
      <c r="A182" s="7" t="s">
        <v>2678</v>
      </c>
      <c r="B182" s="7" t="s">
        <v>8082</v>
      </c>
      <c r="C182" s="7"/>
    </row>
    <row r="183" customFormat="false" ht="15" hidden="false" customHeight="true" outlineLevel="0" collapsed="false">
      <c r="A183" s="7" t="s">
        <v>2569</v>
      </c>
      <c r="B183" s="7" t="s">
        <v>2569</v>
      </c>
      <c r="C183" s="7" t="s">
        <v>8004</v>
      </c>
    </row>
    <row r="184" customFormat="false" ht="15" hidden="false" customHeight="true" outlineLevel="0" collapsed="false">
      <c r="A184" s="7" t="s">
        <v>2569</v>
      </c>
      <c r="B184" s="7" t="s">
        <v>6886</v>
      </c>
      <c r="C184" s="7" t="s">
        <v>8004</v>
      </c>
    </row>
    <row r="185" customFormat="false" ht="15" hidden="false" customHeight="true" outlineLevel="0" collapsed="false">
      <c r="A185" s="7" t="s">
        <v>2569</v>
      </c>
      <c r="B185" s="7" t="s">
        <v>8083</v>
      </c>
      <c r="C185" s="7"/>
    </row>
    <row r="186" customFormat="false" ht="15" hidden="false" customHeight="true" outlineLevel="0" collapsed="false">
      <c r="A186" s="7" t="s">
        <v>2569</v>
      </c>
      <c r="B186" s="7" t="s">
        <v>8084</v>
      </c>
      <c r="C186" s="7"/>
    </row>
    <row r="187" customFormat="false" ht="15" hidden="false" customHeight="true" outlineLevel="0" collapsed="false">
      <c r="A187" s="7" t="s">
        <v>2569</v>
      </c>
      <c r="B187" s="7" t="s">
        <v>2573</v>
      </c>
      <c r="C187" s="7" t="s">
        <v>8004</v>
      </c>
    </row>
    <row r="188" customFormat="false" ht="15" hidden="false" customHeight="true" outlineLevel="0" collapsed="false">
      <c r="A188" s="7" t="s">
        <v>2569</v>
      </c>
      <c r="B188" s="7" t="s">
        <v>6885</v>
      </c>
      <c r="C188" s="7" t="s">
        <v>8004</v>
      </c>
    </row>
    <row r="189" customFormat="false" ht="15" hidden="false" customHeight="true" outlineLevel="0" collapsed="false">
      <c r="A189" s="7" t="s">
        <v>2569</v>
      </c>
      <c r="B189" s="7" t="s">
        <v>6887</v>
      </c>
      <c r="C189" s="7" t="s">
        <v>8004</v>
      </c>
    </row>
    <row r="190" customFormat="false" ht="15" hidden="false" customHeight="true" outlineLevel="0" collapsed="false">
      <c r="A190" s="7" t="s">
        <v>2569</v>
      </c>
      <c r="B190" s="7" t="s">
        <v>6888</v>
      </c>
      <c r="C190" s="7" t="s">
        <v>8004</v>
      </c>
    </row>
    <row r="191" customFormat="false" ht="15" hidden="false" customHeight="true" outlineLevel="0" collapsed="false">
      <c r="A191" s="7" t="s">
        <v>2569</v>
      </c>
      <c r="B191" s="7" t="s">
        <v>2572</v>
      </c>
      <c r="C191" s="7" t="s">
        <v>8004</v>
      </c>
    </row>
    <row r="192" customFormat="false" ht="15" hidden="false" customHeight="true" outlineLevel="0" collapsed="false">
      <c r="A192" s="7" t="s">
        <v>2569</v>
      </c>
      <c r="B192" s="7" t="s">
        <v>8085</v>
      </c>
      <c r="C192" s="7"/>
    </row>
    <row r="193" customFormat="false" ht="15" hidden="false" customHeight="true" outlineLevel="0" collapsed="false">
      <c r="A193" s="7" t="s">
        <v>2580</v>
      </c>
      <c r="B193" s="7" t="s">
        <v>2580</v>
      </c>
      <c r="C193" s="7" t="s">
        <v>8004</v>
      </c>
    </row>
    <row r="194" customFormat="false" ht="15" hidden="false" customHeight="true" outlineLevel="0" collapsed="false">
      <c r="A194" s="7" t="s">
        <v>2580</v>
      </c>
      <c r="B194" s="7" t="s">
        <v>6891</v>
      </c>
      <c r="C194" s="7" t="s">
        <v>8004</v>
      </c>
    </row>
    <row r="195" customFormat="false" ht="15" hidden="false" customHeight="true" outlineLevel="0" collapsed="false">
      <c r="A195" s="7" t="s">
        <v>2580</v>
      </c>
      <c r="B195" s="7" t="s">
        <v>8086</v>
      </c>
      <c r="C195" s="7"/>
    </row>
    <row r="196" customFormat="false" ht="15" hidden="false" customHeight="true" outlineLevel="0" collapsed="false">
      <c r="A196" s="7" t="s">
        <v>2580</v>
      </c>
      <c r="B196" s="7" t="s">
        <v>2584</v>
      </c>
      <c r="C196" s="7" t="s">
        <v>8004</v>
      </c>
    </row>
    <row r="197" customFormat="false" ht="15" hidden="false" customHeight="true" outlineLevel="0" collapsed="false">
      <c r="A197" s="7" t="s">
        <v>2580</v>
      </c>
      <c r="B197" s="7" t="s">
        <v>6893</v>
      </c>
      <c r="C197" s="7" t="s">
        <v>8004</v>
      </c>
    </row>
    <row r="198" customFormat="false" ht="15" hidden="false" customHeight="true" outlineLevel="0" collapsed="false">
      <c r="A198" s="7" t="s">
        <v>2580</v>
      </c>
      <c r="B198" s="7" t="s">
        <v>6889</v>
      </c>
      <c r="C198" s="7" t="s">
        <v>8004</v>
      </c>
    </row>
    <row r="199" customFormat="false" ht="15" hidden="false" customHeight="true" outlineLevel="0" collapsed="false">
      <c r="A199" s="7" t="s">
        <v>2580</v>
      </c>
      <c r="B199" s="7" t="s">
        <v>6890</v>
      </c>
      <c r="C199" s="7" t="s">
        <v>8004</v>
      </c>
    </row>
    <row r="200" customFormat="false" ht="15" hidden="false" customHeight="true" outlineLevel="0" collapsed="false">
      <c r="A200" s="7" t="s">
        <v>2580</v>
      </c>
      <c r="B200" s="7" t="s">
        <v>6892</v>
      </c>
      <c r="C200" s="7" t="s">
        <v>8004</v>
      </c>
    </row>
    <row r="201" customFormat="false" ht="15" hidden="false" customHeight="true" outlineLevel="0" collapsed="false">
      <c r="A201" s="7" t="s">
        <v>2580</v>
      </c>
      <c r="B201" s="7" t="s">
        <v>8087</v>
      </c>
      <c r="C201" s="7"/>
    </row>
    <row r="202" customFormat="false" ht="15" hidden="false" customHeight="true" outlineLevel="0" collapsed="false">
      <c r="A202" s="7" t="s">
        <v>2580</v>
      </c>
      <c r="B202" s="7" t="s">
        <v>8088</v>
      </c>
      <c r="C202" s="7"/>
    </row>
    <row r="203" customFormat="false" ht="15" hidden="false" customHeight="true" outlineLevel="0" collapsed="false">
      <c r="A203" s="7" t="s">
        <v>2590</v>
      </c>
      <c r="B203" s="7" t="s">
        <v>2590</v>
      </c>
      <c r="C203" s="7" t="s">
        <v>8004</v>
      </c>
    </row>
    <row r="204" customFormat="false" ht="15" hidden="false" customHeight="true" outlineLevel="0" collapsed="false">
      <c r="A204" s="7" t="s">
        <v>2590</v>
      </c>
      <c r="B204" s="7" t="s">
        <v>6894</v>
      </c>
      <c r="C204" s="7" t="s">
        <v>8004</v>
      </c>
    </row>
    <row r="205" customFormat="false" ht="15" hidden="false" customHeight="true" outlineLevel="0" collapsed="false">
      <c r="A205" s="7" t="s">
        <v>2590</v>
      </c>
      <c r="B205" s="7" t="s">
        <v>6896</v>
      </c>
      <c r="C205" s="7" t="s">
        <v>8004</v>
      </c>
    </row>
    <row r="206" customFormat="false" ht="15" hidden="false" customHeight="true" outlineLevel="0" collapsed="false">
      <c r="A206" s="7" t="s">
        <v>2590</v>
      </c>
      <c r="B206" s="7" t="s">
        <v>6898</v>
      </c>
      <c r="C206" s="7" t="s">
        <v>8004</v>
      </c>
    </row>
    <row r="207" customFormat="false" ht="15" hidden="false" customHeight="true" outlineLevel="0" collapsed="false">
      <c r="A207" s="7" t="s">
        <v>2590</v>
      </c>
      <c r="B207" s="7" t="s">
        <v>8089</v>
      </c>
      <c r="C207" s="7"/>
    </row>
    <row r="208" customFormat="false" ht="15" hidden="false" customHeight="true" outlineLevel="0" collapsed="false">
      <c r="A208" s="7" t="s">
        <v>2590</v>
      </c>
      <c r="B208" s="7" t="s">
        <v>2594</v>
      </c>
      <c r="C208" s="7" t="s">
        <v>8004</v>
      </c>
    </row>
    <row r="209" customFormat="false" ht="15" hidden="false" customHeight="true" outlineLevel="0" collapsed="false">
      <c r="A209" s="7" t="s">
        <v>2590</v>
      </c>
      <c r="B209" s="7" t="s">
        <v>8090</v>
      </c>
      <c r="C209" s="7"/>
    </row>
    <row r="210" customFormat="false" ht="15" hidden="false" customHeight="true" outlineLevel="0" collapsed="false">
      <c r="A210" s="7" t="s">
        <v>2590</v>
      </c>
      <c r="B210" s="7" t="s">
        <v>6895</v>
      </c>
      <c r="C210" s="7" t="s">
        <v>8004</v>
      </c>
    </row>
    <row r="211" customFormat="false" ht="15" hidden="false" customHeight="true" outlineLevel="0" collapsed="false">
      <c r="A211" s="7" t="s">
        <v>2590</v>
      </c>
      <c r="B211" s="7" t="s">
        <v>6897</v>
      </c>
      <c r="C211" s="7" t="s">
        <v>8004</v>
      </c>
    </row>
    <row r="212" customFormat="false" ht="15" hidden="false" customHeight="true" outlineLevel="0" collapsed="false">
      <c r="A212" s="7" t="s">
        <v>2590</v>
      </c>
      <c r="B212" s="7" t="s">
        <v>8091</v>
      </c>
      <c r="C212" s="7"/>
    </row>
    <row r="213" customFormat="false" ht="15" hidden="false" customHeight="true" outlineLevel="0" collapsed="false">
      <c r="A213" s="7" t="s">
        <v>2601</v>
      </c>
      <c r="B213" s="7" t="s">
        <v>2601</v>
      </c>
      <c r="C213" s="7" t="s">
        <v>8004</v>
      </c>
    </row>
    <row r="214" customFormat="false" ht="15" hidden="false" customHeight="true" outlineLevel="0" collapsed="false">
      <c r="A214" s="7" t="s">
        <v>2601</v>
      </c>
      <c r="B214" s="7" t="s">
        <v>6900</v>
      </c>
      <c r="C214" s="7" t="s">
        <v>8004</v>
      </c>
    </row>
    <row r="215" customFormat="false" ht="15" hidden="false" customHeight="true" outlineLevel="0" collapsed="false">
      <c r="A215" s="7" t="s">
        <v>2601</v>
      </c>
      <c r="B215" s="7" t="s">
        <v>6901</v>
      </c>
      <c r="C215" s="7" t="s">
        <v>8004</v>
      </c>
    </row>
    <row r="216" customFormat="false" ht="15" hidden="false" customHeight="true" outlineLevel="0" collapsed="false">
      <c r="A216" s="7" t="s">
        <v>2601</v>
      </c>
      <c r="B216" s="7" t="s">
        <v>6903</v>
      </c>
      <c r="C216" s="7" t="s">
        <v>8004</v>
      </c>
    </row>
    <row r="217" customFormat="false" ht="15" hidden="false" customHeight="true" outlineLevel="0" collapsed="false">
      <c r="A217" s="7" t="s">
        <v>2601</v>
      </c>
      <c r="B217" s="7" t="s">
        <v>2605</v>
      </c>
      <c r="C217" s="7" t="s">
        <v>8004</v>
      </c>
    </row>
    <row r="218" customFormat="false" ht="15" hidden="false" customHeight="true" outlineLevel="0" collapsed="false">
      <c r="A218" s="7" t="s">
        <v>2601</v>
      </c>
      <c r="B218" s="7" t="s">
        <v>8092</v>
      </c>
      <c r="C218" s="7"/>
    </row>
    <row r="219" customFormat="false" ht="15" hidden="false" customHeight="true" outlineLevel="0" collapsed="false">
      <c r="A219" s="7" t="s">
        <v>2601</v>
      </c>
      <c r="B219" s="7" t="s">
        <v>6899</v>
      </c>
      <c r="C219" s="7" t="s">
        <v>8004</v>
      </c>
    </row>
    <row r="220" customFormat="false" ht="15" hidden="false" customHeight="true" outlineLevel="0" collapsed="false">
      <c r="A220" s="7" t="s">
        <v>2601</v>
      </c>
      <c r="B220" s="7" t="s">
        <v>6902</v>
      </c>
      <c r="C220" s="7" t="s">
        <v>8004</v>
      </c>
    </row>
    <row r="221" customFormat="false" ht="15" hidden="false" customHeight="true" outlineLevel="0" collapsed="false">
      <c r="A221" s="7" t="s">
        <v>2601</v>
      </c>
      <c r="B221" s="7" t="s">
        <v>8093</v>
      </c>
      <c r="C221" s="7"/>
    </row>
    <row r="222" customFormat="false" ht="15" hidden="false" customHeight="true" outlineLevel="0" collapsed="false">
      <c r="A222" s="7" t="s">
        <v>2601</v>
      </c>
      <c r="B222" s="7" t="s">
        <v>8094</v>
      </c>
      <c r="C222" s="7"/>
    </row>
    <row r="223" customFormat="false" ht="15" hidden="false" customHeight="true" outlineLevel="0" collapsed="false">
      <c r="A223" s="7" t="s">
        <v>2613</v>
      </c>
      <c r="B223" s="7" t="s">
        <v>2613</v>
      </c>
      <c r="C223" s="7" t="s">
        <v>8004</v>
      </c>
    </row>
    <row r="224" customFormat="false" ht="15" hidden="false" customHeight="true" outlineLevel="0" collapsed="false">
      <c r="A224" s="7" t="s">
        <v>2613</v>
      </c>
      <c r="B224" s="7" t="s">
        <v>8095</v>
      </c>
      <c r="C224" s="7"/>
    </row>
    <row r="225" customFormat="false" ht="15" hidden="false" customHeight="true" outlineLevel="0" collapsed="false">
      <c r="A225" s="7" t="s">
        <v>2613</v>
      </c>
      <c r="B225" s="7" t="s">
        <v>8096</v>
      </c>
      <c r="C225" s="7"/>
    </row>
    <row r="226" customFormat="false" ht="15" hidden="false" customHeight="true" outlineLevel="0" collapsed="false">
      <c r="A226" s="7" t="s">
        <v>2613</v>
      </c>
      <c r="B226" s="7" t="s">
        <v>8097</v>
      </c>
      <c r="C226" s="7"/>
    </row>
    <row r="227" customFormat="false" ht="15" hidden="false" customHeight="true" outlineLevel="0" collapsed="false">
      <c r="A227" s="7" t="s">
        <v>2613</v>
      </c>
      <c r="B227" s="7" t="s">
        <v>6904</v>
      </c>
      <c r="C227" s="7" t="s">
        <v>8004</v>
      </c>
    </row>
    <row r="228" customFormat="false" ht="15" hidden="false" customHeight="true" outlineLevel="0" collapsed="false">
      <c r="A228" s="7" t="s">
        <v>2613</v>
      </c>
      <c r="B228" s="7" t="s">
        <v>2617</v>
      </c>
      <c r="C228" s="7" t="s">
        <v>8004</v>
      </c>
    </row>
    <row r="229" customFormat="false" ht="15" hidden="false" customHeight="true" outlineLevel="0" collapsed="false">
      <c r="A229" s="7" t="s">
        <v>2613</v>
      </c>
      <c r="B229" s="7" t="s">
        <v>8098</v>
      </c>
      <c r="C229" s="7"/>
    </row>
    <row r="230" customFormat="false" ht="15" hidden="false" customHeight="true" outlineLevel="0" collapsed="false">
      <c r="A230" s="7" t="s">
        <v>2613</v>
      </c>
      <c r="B230" s="7" t="s">
        <v>8099</v>
      </c>
      <c r="C230" s="7"/>
    </row>
    <row r="231" customFormat="false" ht="15" hidden="false" customHeight="true" outlineLevel="0" collapsed="false">
      <c r="A231" s="7" t="s">
        <v>2613</v>
      </c>
      <c r="B231" s="7" t="s">
        <v>8100</v>
      </c>
      <c r="C231" s="7"/>
    </row>
    <row r="232" customFormat="false" ht="15" hidden="false" customHeight="true" outlineLevel="0" collapsed="false">
      <c r="A232" s="7" t="s">
        <v>2613</v>
      </c>
      <c r="B232" s="7" t="s">
        <v>8101</v>
      </c>
      <c r="C232" s="7"/>
    </row>
    <row r="233" customFormat="false" ht="15" hidden="false" customHeight="true" outlineLevel="0" collapsed="false">
      <c r="A233" s="7" t="s">
        <v>2633</v>
      </c>
      <c r="B233" s="7" t="s">
        <v>2633</v>
      </c>
      <c r="C233" s="7" t="s">
        <v>8004</v>
      </c>
    </row>
    <row r="234" customFormat="false" ht="15" hidden="false" customHeight="true" outlineLevel="0" collapsed="false">
      <c r="A234" s="7" t="s">
        <v>2633</v>
      </c>
      <c r="B234" s="7" t="s">
        <v>8102</v>
      </c>
      <c r="C234" s="7"/>
    </row>
    <row r="235" customFormat="false" ht="15" hidden="false" customHeight="true" outlineLevel="0" collapsed="false">
      <c r="A235" s="7" t="s">
        <v>2633</v>
      </c>
      <c r="B235" s="7" t="s">
        <v>2666</v>
      </c>
      <c r="C235" s="7" t="s">
        <v>8004</v>
      </c>
    </row>
    <row r="236" customFormat="false" ht="15" hidden="false" customHeight="true" outlineLevel="0" collapsed="false">
      <c r="A236" s="7" t="s">
        <v>2633</v>
      </c>
      <c r="B236" s="7" t="s">
        <v>2644</v>
      </c>
      <c r="C236" s="7" t="s">
        <v>8004</v>
      </c>
    </row>
    <row r="237" customFormat="false" ht="15" hidden="false" customHeight="true" outlineLevel="0" collapsed="false">
      <c r="A237" s="7" t="s">
        <v>2633</v>
      </c>
      <c r="B237" s="7" t="s">
        <v>2624</v>
      </c>
      <c r="C237" s="7" t="s">
        <v>8004</v>
      </c>
    </row>
    <row r="238" customFormat="false" ht="15" hidden="false" customHeight="true" outlineLevel="0" collapsed="false">
      <c r="A238" s="7" t="s">
        <v>2633</v>
      </c>
      <c r="B238" s="7" t="s">
        <v>8103</v>
      </c>
      <c r="C238" s="7"/>
    </row>
    <row r="239" customFormat="false" ht="15" hidden="false" customHeight="true" outlineLevel="0" collapsed="false">
      <c r="A239" s="7" t="s">
        <v>2633</v>
      </c>
      <c r="B239" s="7" t="s">
        <v>2655</v>
      </c>
      <c r="C239" s="7" t="s">
        <v>8004</v>
      </c>
    </row>
    <row r="240" customFormat="false" ht="15" hidden="false" customHeight="true" outlineLevel="0" collapsed="false">
      <c r="A240" s="7" t="s">
        <v>2633</v>
      </c>
      <c r="B240" s="7" t="s">
        <v>2638</v>
      </c>
      <c r="C240" s="7" t="s">
        <v>8004</v>
      </c>
    </row>
    <row r="241" customFormat="false" ht="15" hidden="false" customHeight="true" outlineLevel="0" collapsed="false">
      <c r="A241" s="7" t="s">
        <v>2633</v>
      </c>
      <c r="B241" s="7" t="s">
        <v>8104</v>
      </c>
      <c r="C241" s="7"/>
    </row>
    <row r="242" customFormat="false" ht="15" hidden="false" customHeight="true" outlineLevel="0" collapsed="false">
      <c r="A242" s="7" t="s">
        <v>2633</v>
      </c>
      <c r="B242" s="7" t="s">
        <v>8105</v>
      </c>
      <c r="C242" s="7"/>
    </row>
    <row r="243" customFormat="false" ht="15" hidden="false" customHeight="true" outlineLevel="0" collapsed="false">
      <c r="A243" s="7" t="s">
        <v>2624</v>
      </c>
      <c r="B243" s="7" t="s">
        <v>2624</v>
      </c>
      <c r="C243" s="7" t="s">
        <v>8004</v>
      </c>
    </row>
    <row r="244" customFormat="false" ht="15" hidden="false" customHeight="true" outlineLevel="0" collapsed="false">
      <c r="A244" s="7" t="s">
        <v>2624</v>
      </c>
      <c r="B244" s="7" t="s">
        <v>6905</v>
      </c>
      <c r="C244" s="7" t="s">
        <v>8004</v>
      </c>
    </row>
    <row r="245" customFormat="false" ht="15" hidden="false" customHeight="true" outlineLevel="0" collapsed="false">
      <c r="A245" s="7" t="s">
        <v>2624</v>
      </c>
      <c r="B245" s="7" t="s">
        <v>6907</v>
      </c>
      <c r="C245" s="7" t="s">
        <v>8004</v>
      </c>
    </row>
    <row r="246" customFormat="false" ht="15" hidden="false" customHeight="true" outlineLevel="0" collapsed="false">
      <c r="A246" s="7" t="s">
        <v>2624</v>
      </c>
      <c r="B246" s="7" t="s">
        <v>2628</v>
      </c>
      <c r="C246" s="7" t="s">
        <v>8004</v>
      </c>
    </row>
    <row r="247" customFormat="false" ht="15" hidden="false" customHeight="true" outlineLevel="0" collapsed="false">
      <c r="A247" s="7" t="s">
        <v>2624</v>
      </c>
      <c r="B247" s="7" t="s">
        <v>8106</v>
      </c>
      <c r="C247" s="7"/>
    </row>
    <row r="248" customFormat="false" ht="15" hidden="false" customHeight="true" outlineLevel="0" collapsed="false">
      <c r="A248" s="7" t="s">
        <v>2624</v>
      </c>
      <c r="B248" s="7" t="s">
        <v>8107</v>
      </c>
      <c r="C248" s="7"/>
    </row>
    <row r="249" customFormat="false" ht="15" hidden="false" customHeight="true" outlineLevel="0" collapsed="false">
      <c r="A249" s="7" t="s">
        <v>2624</v>
      </c>
      <c r="B249" s="7" t="s">
        <v>6906</v>
      </c>
      <c r="C249" s="7" t="s">
        <v>8004</v>
      </c>
    </row>
    <row r="250" customFormat="false" ht="15" hidden="false" customHeight="true" outlineLevel="0" collapsed="false">
      <c r="A250" s="7" t="s">
        <v>2624</v>
      </c>
      <c r="B250" s="7" t="s">
        <v>8108</v>
      </c>
      <c r="C250" s="7"/>
    </row>
    <row r="251" customFormat="false" ht="15" hidden="false" customHeight="true" outlineLevel="0" collapsed="false">
      <c r="A251" s="7" t="s">
        <v>2624</v>
      </c>
      <c r="B251" s="7" t="s">
        <v>8109</v>
      </c>
      <c r="C251" s="7"/>
    </row>
    <row r="252" customFormat="false" ht="15" hidden="false" customHeight="true" outlineLevel="0" collapsed="false">
      <c r="A252" s="7" t="s">
        <v>2624</v>
      </c>
      <c r="B252" s="7" t="s">
        <v>8110</v>
      </c>
      <c r="C252" s="7"/>
    </row>
    <row r="253" customFormat="false" ht="15" hidden="false" customHeight="true" outlineLevel="0" collapsed="false">
      <c r="A253" s="7" t="s">
        <v>2644</v>
      </c>
      <c r="B253" s="7" t="s">
        <v>2644</v>
      </c>
      <c r="C253" s="7" t="s">
        <v>8004</v>
      </c>
    </row>
    <row r="254" customFormat="false" ht="15" hidden="false" customHeight="true" outlineLevel="0" collapsed="false">
      <c r="A254" s="7" t="s">
        <v>2644</v>
      </c>
      <c r="B254" s="7" t="s">
        <v>6908</v>
      </c>
      <c r="C254" s="7" t="s">
        <v>8004</v>
      </c>
    </row>
    <row r="255" customFormat="false" ht="15" hidden="false" customHeight="true" outlineLevel="0" collapsed="false">
      <c r="A255" s="7" t="s">
        <v>2644</v>
      </c>
      <c r="B255" s="7" t="s">
        <v>2648</v>
      </c>
      <c r="C255" s="7" t="s">
        <v>8004</v>
      </c>
    </row>
    <row r="256" customFormat="false" ht="15" hidden="false" customHeight="true" outlineLevel="0" collapsed="false">
      <c r="A256" s="7" t="s">
        <v>2644</v>
      </c>
      <c r="B256" s="7" t="s">
        <v>6909</v>
      </c>
      <c r="C256" s="7" t="s">
        <v>8004</v>
      </c>
    </row>
    <row r="257" customFormat="false" ht="15" hidden="false" customHeight="true" outlineLevel="0" collapsed="false">
      <c r="A257" s="7" t="s">
        <v>2644</v>
      </c>
      <c r="B257" s="7" t="s">
        <v>8111</v>
      </c>
      <c r="C257" s="7"/>
    </row>
    <row r="258" customFormat="false" ht="15" hidden="false" customHeight="true" outlineLevel="0" collapsed="false">
      <c r="A258" s="7" t="s">
        <v>2644</v>
      </c>
      <c r="B258" s="7" t="s">
        <v>8112</v>
      </c>
      <c r="C258" s="7"/>
    </row>
    <row r="259" customFormat="false" ht="15" hidden="false" customHeight="true" outlineLevel="0" collapsed="false">
      <c r="A259" s="7" t="s">
        <v>2644</v>
      </c>
      <c r="B259" s="7" t="s">
        <v>8113</v>
      </c>
      <c r="C259" s="7"/>
    </row>
    <row r="260" customFormat="false" ht="15" hidden="false" customHeight="true" outlineLevel="0" collapsed="false">
      <c r="A260" s="7" t="s">
        <v>2644</v>
      </c>
      <c r="B260" s="7" t="s">
        <v>8114</v>
      </c>
      <c r="C260" s="7"/>
    </row>
    <row r="261" customFormat="false" ht="15" hidden="false" customHeight="true" outlineLevel="0" collapsed="false">
      <c r="A261" s="7" t="s">
        <v>2644</v>
      </c>
      <c r="B261" s="7" t="s">
        <v>6860</v>
      </c>
      <c r="C261" s="7" t="s">
        <v>8004</v>
      </c>
    </row>
    <row r="262" customFormat="false" ht="15" hidden="false" customHeight="true" outlineLevel="0" collapsed="false">
      <c r="A262" s="7" t="s">
        <v>2644</v>
      </c>
      <c r="B262" s="7" t="s">
        <v>8115</v>
      </c>
      <c r="C262" s="7"/>
    </row>
    <row r="263" customFormat="false" ht="15" hidden="false" customHeight="true" outlineLevel="0" collapsed="false">
      <c r="A263" s="7" t="s">
        <v>2655</v>
      </c>
      <c r="B263" s="7" t="s">
        <v>2655</v>
      </c>
      <c r="C263" s="7" t="s">
        <v>8004</v>
      </c>
    </row>
    <row r="264" customFormat="false" ht="15" hidden="false" customHeight="true" outlineLevel="0" collapsed="false">
      <c r="A264" s="7" t="s">
        <v>2655</v>
      </c>
      <c r="B264" s="7" t="s">
        <v>6910</v>
      </c>
      <c r="C264" s="7" t="s">
        <v>8004</v>
      </c>
    </row>
    <row r="265" customFormat="false" ht="15" hidden="false" customHeight="true" outlineLevel="0" collapsed="false">
      <c r="A265" s="7" t="s">
        <v>2655</v>
      </c>
      <c r="B265" s="7" t="s">
        <v>6911</v>
      </c>
      <c r="C265" s="7" t="s">
        <v>8004</v>
      </c>
    </row>
    <row r="266" customFormat="false" ht="15" hidden="false" customHeight="true" outlineLevel="0" collapsed="false">
      <c r="A266" s="7" t="s">
        <v>2655</v>
      </c>
      <c r="B266" s="7" t="s">
        <v>2659</v>
      </c>
      <c r="C266" s="7" t="s">
        <v>8004</v>
      </c>
    </row>
    <row r="267" customFormat="false" ht="15" hidden="false" customHeight="true" outlineLevel="0" collapsed="false">
      <c r="A267" s="7" t="s">
        <v>2655</v>
      </c>
      <c r="B267" s="7" t="s">
        <v>8116</v>
      </c>
      <c r="C267" s="7"/>
    </row>
    <row r="268" customFormat="false" ht="15" hidden="false" customHeight="true" outlineLevel="0" collapsed="false">
      <c r="A268" s="7" t="s">
        <v>2655</v>
      </c>
      <c r="B268" s="7" t="s">
        <v>8117</v>
      </c>
      <c r="C268" s="7"/>
    </row>
    <row r="269" customFormat="false" ht="15" hidden="false" customHeight="true" outlineLevel="0" collapsed="false">
      <c r="A269" s="7" t="s">
        <v>2655</v>
      </c>
      <c r="B269" s="7" t="s">
        <v>8118</v>
      </c>
      <c r="C269" s="7"/>
    </row>
    <row r="270" customFormat="false" ht="15" hidden="false" customHeight="true" outlineLevel="0" collapsed="false">
      <c r="A270" s="7" t="s">
        <v>2655</v>
      </c>
      <c r="B270" s="7" t="s">
        <v>8119</v>
      </c>
      <c r="C270" s="7"/>
    </row>
    <row r="271" customFormat="false" ht="15" hidden="false" customHeight="true" outlineLevel="0" collapsed="false">
      <c r="A271" s="7" t="s">
        <v>2655</v>
      </c>
      <c r="B271" s="7" t="s">
        <v>8120</v>
      </c>
      <c r="C271" s="7"/>
    </row>
    <row r="272" customFormat="false" ht="15" hidden="false" customHeight="true" outlineLevel="0" collapsed="false">
      <c r="A272" s="7" t="s">
        <v>2655</v>
      </c>
      <c r="B272" s="7" t="s">
        <v>8121</v>
      </c>
      <c r="C272" s="7"/>
    </row>
    <row r="273" customFormat="false" ht="15" hidden="false" customHeight="true" outlineLevel="0" collapsed="false">
      <c r="A273" s="7" t="s">
        <v>2666</v>
      </c>
      <c r="B273" s="7" t="s">
        <v>2666</v>
      </c>
      <c r="C273" s="7" t="s">
        <v>8004</v>
      </c>
    </row>
    <row r="274" customFormat="false" ht="15" hidden="false" customHeight="true" outlineLevel="0" collapsed="false">
      <c r="A274" s="7" t="s">
        <v>2666</v>
      </c>
      <c r="B274" s="7" t="s">
        <v>6912</v>
      </c>
      <c r="C274" s="7" t="s">
        <v>8004</v>
      </c>
    </row>
    <row r="275" customFormat="false" ht="15" hidden="false" customHeight="true" outlineLevel="0" collapsed="false">
      <c r="A275" s="7" t="s">
        <v>2666</v>
      </c>
      <c r="B275" s="7" t="s">
        <v>2670</v>
      </c>
      <c r="C275" s="7" t="s">
        <v>8004</v>
      </c>
    </row>
    <row r="276" customFormat="false" ht="15" hidden="false" customHeight="true" outlineLevel="0" collapsed="false">
      <c r="A276" s="7" t="s">
        <v>2666</v>
      </c>
      <c r="B276" s="7" t="s">
        <v>8122</v>
      </c>
      <c r="C276" s="7"/>
    </row>
    <row r="277" customFormat="false" ht="15" hidden="false" customHeight="true" outlineLevel="0" collapsed="false">
      <c r="A277" s="7" t="s">
        <v>2666</v>
      </c>
      <c r="B277" s="7" t="s">
        <v>6915</v>
      </c>
      <c r="C277" s="7" t="s">
        <v>8004</v>
      </c>
    </row>
    <row r="278" customFormat="false" ht="15" hidden="false" customHeight="true" outlineLevel="0" collapsed="false">
      <c r="A278" s="7" t="s">
        <v>2666</v>
      </c>
      <c r="B278" s="7" t="s">
        <v>8123</v>
      </c>
      <c r="C278" s="7"/>
    </row>
    <row r="279" customFormat="false" ht="15" hidden="false" customHeight="true" outlineLevel="0" collapsed="false">
      <c r="A279" s="7" t="s">
        <v>2666</v>
      </c>
      <c r="B279" s="7" t="s">
        <v>8124</v>
      </c>
      <c r="C279" s="7"/>
    </row>
    <row r="280" customFormat="false" ht="15" hidden="false" customHeight="true" outlineLevel="0" collapsed="false">
      <c r="A280" s="7" t="s">
        <v>2666</v>
      </c>
      <c r="B280" s="7" t="s">
        <v>8125</v>
      </c>
      <c r="C280" s="7"/>
    </row>
    <row r="281" customFormat="false" ht="15" hidden="false" customHeight="true" outlineLevel="0" collapsed="false">
      <c r="A281" s="7" t="s">
        <v>2666</v>
      </c>
      <c r="B281" s="7" t="s">
        <v>6913</v>
      </c>
      <c r="C281" s="7" t="s">
        <v>8004</v>
      </c>
    </row>
    <row r="282" customFormat="false" ht="15" hidden="false" customHeight="true" outlineLevel="0" collapsed="false">
      <c r="A282" s="7" t="s">
        <v>2666</v>
      </c>
      <c r="B282" s="7" t="s">
        <v>6914</v>
      </c>
      <c r="C282" s="7" t="s">
        <v>8004</v>
      </c>
    </row>
    <row r="283" customFormat="false" ht="15" hidden="false" customHeight="true" outlineLevel="0" collapsed="false">
      <c r="A283" s="7" t="s">
        <v>6455</v>
      </c>
      <c r="B283" s="7" t="s">
        <v>8126</v>
      </c>
      <c r="C283" s="7"/>
    </row>
    <row r="284" customFormat="false" ht="15" hidden="false" customHeight="true" outlineLevel="0" collapsed="false">
      <c r="A284" s="7" t="s">
        <v>6455</v>
      </c>
      <c r="B284" s="7" t="s">
        <v>8127</v>
      </c>
      <c r="C284" s="7"/>
    </row>
    <row r="285" customFormat="false" ht="15" hidden="false" customHeight="true" outlineLevel="0" collapsed="false">
      <c r="A285" s="7" t="s">
        <v>6455</v>
      </c>
      <c r="B285" s="7" t="s">
        <v>8128</v>
      </c>
      <c r="C285" s="7"/>
    </row>
    <row r="286" customFormat="false" ht="15" hidden="false" customHeight="true" outlineLevel="0" collapsed="false">
      <c r="A286" s="7" t="s">
        <v>6455</v>
      </c>
      <c r="B286" s="7" t="s">
        <v>8129</v>
      </c>
      <c r="C286" s="7"/>
    </row>
    <row r="287" customFormat="false" ht="15" hidden="false" customHeight="true" outlineLevel="0" collapsed="false">
      <c r="A287" s="7" t="s">
        <v>6455</v>
      </c>
      <c r="B287" s="7" t="s">
        <v>8130</v>
      </c>
      <c r="C287" s="7"/>
    </row>
    <row r="288" customFormat="false" ht="15" hidden="false" customHeight="true" outlineLevel="0" collapsed="false">
      <c r="A288" s="7" t="s">
        <v>6455</v>
      </c>
      <c r="B288" s="7" t="s">
        <v>8131</v>
      </c>
      <c r="C288" s="7"/>
    </row>
    <row r="289" customFormat="false" ht="15" hidden="false" customHeight="true" outlineLevel="0" collapsed="false">
      <c r="A289" s="7" t="s">
        <v>6455</v>
      </c>
      <c r="B289" s="7" t="s">
        <v>8132</v>
      </c>
      <c r="C289" s="7"/>
    </row>
    <row r="290" customFormat="false" ht="15" hidden="false" customHeight="true" outlineLevel="0" collapsed="false">
      <c r="A290" s="7" t="s">
        <v>6455</v>
      </c>
      <c r="B290" s="7" t="s">
        <v>8133</v>
      </c>
      <c r="C290" s="7"/>
    </row>
    <row r="291" customFormat="false" ht="15" hidden="false" customHeight="true" outlineLevel="0" collapsed="false">
      <c r="A291" s="7" t="s">
        <v>6455</v>
      </c>
      <c r="B291" s="7" t="s">
        <v>8134</v>
      </c>
      <c r="C291" s="7"/>
    </row>
    <row r="292" customFormat="false" ht="15" hidden="false" customHeight="true" outlineLevel="0" collapsed="false">
      <c r="A292" s="7" t="s">
        <v>6455</v>
      </c>
      <c r="B292" s="7" t="s">
        <v>8135</v>
      </c>
      <c r="C292" s="7"/>
    </row>
    <row r="293" customFormat="false" ht="15" hidden="false" customHeight="true" outlineLevel="0" collapsed="false">
      <c r="A293" s="7" t="s">
        <v>2691</v>
      </c>
      <c r="B293" s="7" t="s">
        <v>2691</v>
      </c>
      <c r="C293" s="7" t="s">
        <v>8004</v>
      </c>
    </row>
    <row r="294" customFormat="false" ht="15" hidden="false" customHeight="true" outlineLevel="0" collapsed="false">
      <c r="A294" s="7" t="s">
        <v>2691</v>
      </c>
      <c r="B294" s="7" t="s">
        <v>8136</v>
      </c>
      <c r="C294" s="7"/>
    </row>
    <row r="295" customFormat="false" ht="15" hidden="false" customHeight="true" outlineLevel="0" collapsed="false">
      <c r="A295" s="7" t="s">
        <v>2691</v>
      </c>
      <c r="B295" s="7" t="s">
        <v>2697</v>
      </c>
      <c r="C295" s="7" t="s">
        <v>8004</v>
      </c>
    </row>
    <row r="296" customFormat="false" ht="15" hidden="false" customHeight="true" outlineLevel="0" collapsed="false">
      <c r="A296" s="7" t="s">
        <v>2691</v>
      </c>
      <c r="B296" s="7" t="s">
        <v>8137</v>
      </c>
      <c r="C296" s="7"/>
    </row>
    <row r="297" customFormat="false" ht="15" hidden="false" customHeight="true" outlineLevel="0" collapsed="false">
      <c r="A297" s="7" t="s">
        <v>2691</v>
      </c>
      <c r="B297" s="7" t="s">
        <v>8138</v>
      </c>
      <c r="C297" s="7"/>
    </row>
    <row r="298" customFormat="false" ht="15" hidden="false" customHeight="true" outlineLevel="0" collapsed="false">
      <c r="A298" s="7" t="s">
        <v>2691</v>
      </c>
      <c r="B298" s="7" t="s">
        <v>8139</v>
      </c>
      <c r="C298" s="7"/>
    </row>
    <row r="299" customFormat="false" ht="15" hidden="false" customHeight="true" outlineLevel="0" collapsed="false">
      <c r="A299" s="7" t="s">
        <v>2691</v>
      </c>
      <c r="B299" s="7" t="s">
        <v>8140</v>
      </c>
      <c r="C299" s="7"/>
    </row>
    <row r="300" customFormat="false" ht="15" hidden="false" customHeight="true" outlineLevel="0" collapsed="false">
      <c r="A300" s="7" t="s">
        <v>2691</v>
      </c>
      <c r="B300" s="7" t="s">
        <v>8141</v>
      </c>
      <c r="C300" s="7"/>
    </row>
    <row r="301" customFormat="false" ht="15" hidden="false" customHeight="true" outlineLevel="0" collapsed="false">
      <c r="A301" s="7" t="s">
        <v>2705</v>
      </c>
      <c r="B301" s="7" t="s">
        <v>2710</v>
      </c>
      <c r="C301" s="7" t="s">
        <v>8004</v>
      </c>
    </row>
    <row r="302" customFormat="false" ht="15" hidden="false" customHeight="true" outlineLevel="0" collapsed="false">
      <c r="A302" s="7" t="s">
        <v>2705</v>
      </c>
      <c r="B302" s="7" t="s">
        <v>2705</v>
      </c>
      <c r="C302" s="7" t="s">
        <v>8004</v>
      </c>
    </row>
    <row r="303" customFormat="false" ht="15" hidden="false" customHeight="true" outlineLevel="0" collapsed="false">
      <c r="A303" s="7" t="s">
        <v>2705</v>
      </c>
      <c r="B303" s="7" t="s">
        <v>8142</v>
      </c>
      <c r="C303" s="7"/>
    </row>
    <row r="304" customFormat="false" ht="15" hidden="false" customHeight="true" outlineLevel="0" collapsed="false">
      <c r="A304" s="7" t="s">
        <v>2705</v>
      </c>
      <c r="B304" s="7" t="s">
        <v>8143</v>
      </c>
      <c r="C304" s="7"/>
    </row>
    <row r="305" customFormat="false" ht="15" hidden="false" customHeight="true" outlineLevel="0" collapsed="false">
      <c r="A305" s="7" t="s">
        <v>2705</v>
      </c>
      <c r="B305" s="7" t="s">
        <v>8144</v>
      </c>
      <c r="C305" s="7"/>
    </row>
    <row r="306" customFormat="false" ht="15" hidden="false" customHeight="true" outlineLevel="0" collapsed="false">
      <c r="A306" s="7" t="s">
        <v>2705</v>
      </c>
      <c r="B306" s="7" t="s">
        <v>8145</v>
      </c>
      <c r="C306" s="7"/>
    </row>
    <row r="307" customFormat="false" ht="15" hidden="false" customHeight="true" outlineLevel="0" collapsed="false">
      <c r="A307" s="7" t="s">
        <v>2705</v>
      </c>
      <c r="B307" s="7" t="s">
        <v>8146</v>
      </c>
      <c r="C307" s="7"/>
    </row>
    <row r="308" customFormat="false" ht="15" hidden="false" customHeight="true" outlineLevel="0" collapsed="false">
      <c r="A308" s="7" t="s">
        <v>2705</v>
      </c>
      <c r="B308" s="7" t="s">
        <v>8147</v>
      </c>
      <c r="C308" s="7"/>
    </row>
    <row r="309" customFormat="false" ht="15" hidden="false" customHeight="true" outlineLevel="0" collapsed="false">
      <c r="A309" s="7" t="s">
        <v>2718</v>
      </c>
      <c r="B309" s="7" t="s">
        <v>2718</v>
      </c>
      <c r="C309" s="7" t="s">
        <v>8004</v>
      </c>
    </row>
    <row r="310" customFormat="false" ht="15" hidden="false" customHeight="true" outlineLevel="0" collapsed="false">
      <c r="A310" s="7" t="s">
        <v>2718</v>
      </c>
      <c r="B310" s="7" t="s">
        <v>8148</v>
      </c>
      <c r="C310" s="7"/>
    </row>
    <row r="311" customFormat="false" ht="15" hidden="false" customHeight="true" outlineLevel="0" collapsed="false">
      <c r="A311" s="7" t="s">
        <v>2718</v>
      </c>
      <c r="B311" s="7" t="s">
        <v>8149</v>
      </c>
      <c r="C311" s="7"/>
    </row>
    <row r="312" customFormat="false" ht="15" hidden="false" customHeight="true" outlineLevel="0" collapsed="false">
      <c r="A312" s="7" t="s">
        <v>2730</v>
      </c>
      <c r="B312" s="7" t="s">
        <v>2730</v>
      </c>
      <c r="C312" s="7" t="s">
        <v>8004</v>
      </c>
    </row>
    <row r="313" customFormat="false" ht="15" hidden="false" customHeight="true" outlineLevel="0" collapsed="false">
      <c r="A313" s="7" t="s">
        <v>2730</v>
      </c>
      <c r="B313" s="7" t="s">
        <v>2735</v>
      </c>
      <c r="C313" s="7" t="s">
        <v>8004</v>
      </c>
    </row>
    <row r="314" customFormat="false" ht="15" hidden="false" customHeight="true" outlineLevel="0" collapsed="false">
      <c r="A314" s="7" t="s">
        <v>2730</v>
      </c>
      <c r="B314" s="7" t="s">
        <v>8150</v>
      </c>
      <c r="C314" s="7"/>
    </row>
    <row r="315" customFormat="false" ht="15" hidden="false" customHeight="true" outlineLevel="0" collapsed="false">
      <c r="A315" s="7" t="s">
        <v>2730</v>
      </c>
      <c r="B315" s="7" t="s">
        <v>8151</v>
      </c>
      <c r="C315" s="7"/>
    </row>
    <row r="316" customFormat="false" ht="15" hidden="false" customHeight="true" outlineLevel="0" collapsed="false">
      <c r="A316" s="7" t="s">
        <v>2730</v>
      </c>
      <c r="B316" s="7" t="s">
        <v>8152</v>
      </c>
      <c r="C316" s="7"/>
    </row>
    <row r="317" customFormat="false" ht="15" hidden="false" customHeight="true" outlineLevel="0" collapsed="false">
      <c r="A317" s="7" t="s">
        <v>2730</v>
      </c>
      <c r="B317" s="7" t="s">
        <v>8153</v>
      </c>
      <c r="C317" s="7"/>
    </row>
    <row r="318" customFormat="false" ht="15" hidden="false" customHeight="true" outlineLevel="0" collapsed="false">
      <c r="A318" s="7" t="s">
        <v>2730</v>
      </c>
      <c r="B318" s="7" t="s">
        <v>8154</v>
      </c>
      <c r="C318" s="7"/>
    </row>
    <row r="319" customFormat="false" ht="15" hidden="false" customHeight="true" outlineLevel="0" collapsed="false">
      <c r="A319" s="7" t="s">
        <v>2730</v>
      </c>
      <c r="B319" s="7" t="s">
        <v>8155</v>
      </c>
      <c r="C319" s="7"/>
    </row>
    <row r="320" customFormat="false" ht="15" hidden="false" customHeight="true" outlineLevel="0" collapsed="false">
      <c r="A320" s="7" t="s">
        <v>2730</v>
      </c>
      <c r="B320" s="7" t="s">
        <v>8156</v>
      </c>
      <c r="C320" s="7"/>
    </row>
    <row r="321" customFormat="false" ht="15" hidden="false" customHeight="true" outlineLevel="0" collapsed="false">
      <c r="A321" s="7" t="s">
        <v>6464</v>
      </c>
      <c r="B321" s="7" t="s">
        <v>6464</v>
      </c>
      <c r="C321" s="7" t="s">
        <v>8004</v>
      </c>
    </row>
    <row r="322" customFormat="false" ht="15" hidden="false" customHeight="true" outlineLevel="0" collapsed="false">
      <c r="A322" s="7" t="s">
        <v>6464</v>
      </c>
      <c r="B322" s="7" t="s">
        <v>8157</v>
      </c>
      <c r="C322" s="7"/>
    </row>
    <row r="323" customFormat="false" ht="15" hidden="false" customHeight="true" outlineLevel="0" collapsed="false">
      <c r="A323" s="7" t="s">
        <v>6464</v>
      </c>
      <c r="B323" s="7" t="s">
        <v>8158</v>
      </c>
      <c r="C323" s="7"/>
    </row>
    <row r="324" customFormat="false" ht="15" hidden="false" customHeight="true" outlineLevel="0" collapsed="false">
      <c r="A324" s="7" t="s">
        <v>6464</v>
      </c>
      <c r="B324" s="7" t="s">
        <v>2735</v>
      </c>
      <c r="C324" s="7" t="s">
        <v>8004</v>
      </c>
    </row>
    <row r="325" customFormat="false" ht="15" hidden="false" customHeight="true" outlineLevel="0" collapsed="false">
      <c r="A325" s="7" t="s">
        <v>6464</v>
      </c>
      <c r="B325" s="7" t="s">
        <v>8159</v>
      </c>
      <c r="C325" s="7"/>
    </row>
    <row r="326" customFormat="false" ht="15" hidden="false" customHeight="true" outlineLevel="0" collapsed="false">
      <c r="A326" s="7" t="s">
        <v>6464</v>
      </c>
      <c r="B326" s="7" t="s">
        <v>2710</v>
      </c>
      <c r="C326" s="7" t="s">
        <v>8004</v>
      </c>
    </row>
    <row r="327" customFormat="false" ht="15" hidden="false" customHeight="true" outlineLevel="0" collapsed="false">
      <c r="A327" s="7" t="s">
        <v>6464</v>
      </c>
      <c r="B327" s="7" t="s">
        <v>2697</v>
      </c>
      <c r="C327" s="7" t="s">
        <v>8004</v>
      </c>
    </row>
    <row r="328" customFormat="false" ht="15" hidden="false" customHeight="true" outlineLevel="0" collapsed="false">
      <c r="A328" s="7" t="s">
        <v>6464</v>
      </c>
      <c r="B328" s="7" t="s">
        <v>8160</v>
      </c>
      <c r="C328" s="7"/>
    </row>
    <row r="329" customFormat="false" ht="15" hidden="false" customHeight="true" outlineLevel="0" collapsed="false">
      <c r="A329" s="7" t="s">
        <v>2743</v>
      </c>
      <c r="B329" s="7" t="s">
        <v>2743</v>
      </c>
      <c r="C329" s="7" t="s">
        <v>8004</v>
      </c>
    </row>
    <row r="330" customFormat="false" ht="15" hidden="false" customHeight="true" outlineLevel="0" collapsed="false">
      <c r="A330" s="7" t="s">
        <v>2743</v>
      </c>
      <c r="B330" s="7" t="s">
        <v>8161</v>
      </c>
      <c r="C330" s="7"/>
    </row>
    <row r="331" customFormat="false" ht="15" hidden="false" customHeight="true" outlineLevel="0" collapsed="false">
      <c r="A331" s="7" t="s">
        <v>2743</v>
      </c>
      <c r="B331" s="7" t="s">
        <v>8162</v>
      </c>
      <c r="C331" s="7"/>
    </row>
    <row r="332" customFormat="false" ht="15" hidden="false" customHeight="true" outlineLevel="0" collapsed="false">
      <c r="A332" s="7" t="s">
        <v>2743</v>
      </c>
      <c r="B332" s="7" t="s">
        <v>8163</v>
      </c>
      <c r="C332" s="7"/>
    </row>
    <row r="333" customFormat="false" ht="15" hidden="false" customHeight="true" outlineLevel="0" collapsed="false">
      <c r="A333" s="7" t="s">
        <v>2743</v>
      </c>
      <c r="B333" s="7" t="s">
        <v>8164</v>
      </c>
      <c r="C333" s="7"/>
    </row>
    <row r="334" customFormat="false" ht="15" hidden="false" customHeight="true" outlineLevel="0" collapsed="false">
      <c r="A334" s="7" t="s">
        <v>2743</v>
      </c>
      <c r="B334" s="7" t="s">
        <v>8165</v>
      </c>
      <c r="C334" s="7"/>
    </row>
    <row r="335" customFormat="false" ht="15" hidden="false" customHeight="true" outlineLevel="0" collapsed="false">
      <c r="A335" s="7" t="s">
        <v>2743</v>
      </c>
      <c r="B335" s="7" t="s">
        <v>8166</v>
      </c>
      <c r="C335" s="7"/>
    </row>
    <row r="336" customFormat="false" ht="15" hidden="false" customHeight="true" outlineLevel="0" collapsed="false">
      <c r="A336" s="7" t="s">
        <v>282</v>
      </c>
      <c r="B336" s="7" t="s">
        <v>282</v>
      </c>
      <c r="C336" s="7" t="s">
        <v>8004</v>
      </c>
    </row>
    <row r="337" customFormat="false" ht="15" hidden="false" customHeight="true" outlineLevel="0" collapsed="false">
      <c r="A337" s="7" t="s">
        <v>282</v>
      </c>
      <c r="B337" s="7" t="s">
        <v>8167</v>
      </c>
      <c r="C337" s="7"/>
    </row>
    <row r="338" customFormat="false" ht="15" hidden="false" customHeight="true" outlineLevel="0" collapsed="false">
      <c r="A338" s="7" t="s">
        <v>282</v>
      </c>
      <c r="B338" s="7" t="s">
        <v>8168</v>
      </c>
      <c r="C338" s="7"/>
    </row>
    <row r="339" customFormat="false" ht="15" hidden="false" customHeight="true" outlineLevel="0" collapsed="false">
      <c r="A339" s="7" t="s">
        <v>282</v>
      </c>
      <c r="B339" s="7" t="s">
        <v>8169</v>
      </c>
      <c r="C339" s="7"/>
    </row>
    <row r="340" customFormat="false" ht="15" hidden="false" customHeight="true" outlineLevel="0" collapsed="false">
      <c r="A340" s="7" t="s">
        <v>282</v>
      </c>
      <c r="B340" s="7" t="s">
        <v>8170</v>
      </c>
      <c r="C340" s="7"/>
    </row>
    <row r="341" customFormat="false" ht="15" hidden="false" customHeight="true" outlineLevel="0" collapsed="false">
      <c r="A341" s="7" t="s">
        <v>282</v>
      </c>
      <c r="B341" s="7" t="s">
        <v>8171</v>
      </c>
      <c r="C341" s="7"/>
    </row>
    <row r="342" customFormat="false" ht="15" hidden="false" customHeight="true" outlineLevel="0" collapsed="false">
      <c r="A342" s="7" t="s">
        <v>282</v>
      </c>
      <c r="B342" s="7" t="s">
        <v>8172</v>
      </c>
      <c r="C342" s="7"/>
    </row>
    <row r="343" customFormat="false" ht="15" hidden="false" customHeight="true" outlineLevel="0" collapsed="false">
      <c r="A343" s="7" t="s">
        <v>282</v>
      </c>
      <c r="B343" s="7" t="s">
        <v>8173</v>
      </c>
      <c r="C343" s="7"/>
    </row>
    <row r="344" customFormat="false" ht="15" hidden="false" customHeight="true" outlineLevel="0" collapsed="false">
      <c r="A344" s="7" t="s">
        <v>282</v>
      </c>
      <c r="B344" s="7" t="s">
        <v>8174</v>
      </c>
      <c r="C344" s="7"/>
    </row>
    <row r="345" customFormat="false" ht="15" hidden="false" customHeight="true" outlineLevel="0" collapsed="false">
      <c r="A345" s="7" t="s">
        <v>282</v>
      </c>
      <c r="B345" s="7" t="s">
        <v>8175</v>
      </c>
      <c r="C345" s="7"/>
    </row>
    <row r="346" customFormat="false" ht="15" hidden="false" customHeight="true" outlineLevel="0" collapsed="false">
      <c r="A346" s="7" t="s">
        <v>2760</v>
      </c>
      <c r="B346" s="7" t="s">
        <v>2760</v>
      </c>
      <c r="C346" s="7" t="s">
        <v>8004</v>
      </c>
    </row>
    <row r="347" customFormat="false" ht="15" hidden="false" customHeight="true" outlineLevel="0" collapsed="false">
      <c r="A347" s="7" t="s">
        <v>2760</v>
      </c>
      <c r="B347" s="7" t="s">
        <v>6918</v>
      </c>
      <c r="C347" s="7" t="s">
        <v>8004</v>
      </c>
    </row>
    <row r="348" customFormat="false" ht="15" hidden="false" customHeight="true" outlineLevel="0" collapsed="false">
      <c r="A348" s="7" t="s">
        <v>2760</v>
      </c>
      <c r="B348" s="7" t="s">
        <v>6920</v>
      </c>
      <c r="C348" s="7" t="s">
        <v>8004</v>
      </c>
    </row>
    <row r="349" customFormat="false" ht="15" hidden="false" customHeight="true" outlineLevel="0" collapsed="false">
      <c r="A349" s="7" t="s">
        <v>2760</v>
      </c>
      <c r="B349" s="7" t="s">
        <v>6917</v>
      </c>
      <c r="C349" s="7" t="s">
        <v>8004</v>
      </c>
    </row>
    <row r="350" customFormat="false" ht="15" hidden="false" customHeight="true" outlineLevel="0" collapsed="false">
      <c r="A350" s="7" t="s">
        <v>2760</v>
      </c>
      <c r="B350" s="7" t="s">
        <v>6921</v>
      </c>
      <c r="C350" s="7" t="s">
        <v>8004</v>
      </c>
    </row>
    <row r="351" customFormat="false" ht="15" hidden="false" customHeight="true" outlineLevel="0" collapsed="false">
      <c r="A351" s="7" t="s">
        <v>2760</v>
      </c>
      <c r="B351" s="7" t="s">
        <v>6916</v>
      </c>
      <c r="C351" s="7" t="s">
        <v>8004</v>
      </c>
    </row>
    <row r="352" customFormat="false" ht="15" hidden="false" customHeight="true" outlineLevel="0" collapsed="false">
      <c r="A352" s="7" t="s">
        <v>2760</v>
      </c>
      <c r="B352" s="7" t="s">
        <v>2764</v>
      </c>
      <c r="C352" s="7" t="s">
        <v>8004</v>
      </c>
    </row>
    <row r="353" customFormat="false" ht="15" hidden="false" customHeight="true" outlineLevel="0" collapsed="false">
      <c r="A353" s="7" t="s">
        <v>2760</v>
      </c>
      <c r="B353" s="7" t="s">
        <v>6919</v>
      </c>
      <c r="C353" s="7" t="s">
        <v>8004</v>
      </c>
    </row>
    <row r="354" customFormat="false" ht="15" hidden="false" customHeight="true" outlineLevel="0" collapsed="false">
      <c r="A354" s="7" t="s">
        <v>2760</v>
      </c>
      <c r="B354" s="7" t="s">
        <v>8176</v>
      </c>
      <c r="C354" s="7"/>
    </row>
    <row r="355" customFormat="false" ht="15" hidden="false" customHeight="true" outlineLevel="0" collapsed="false">
      <c r="A355" s="7" t="s">
        <v>2760</v>
      </c>
      <c r="B355" s="7" t="s">
        <v>8177</v>
      </c>
      <c r="C355" s="7"/>
    </row>
    <row r="356" customFormat="false" ht="15" hidden="false" customHeight="true" outlineLevel="0" collapsed="false">
      <c r="A356" s="7" t="s">
        <v>2797</v>
      </c>
      <c r="B356" s="7" t="s">
        <v>2797</v>
      </c>
      <c r="C356" s="7" t="s">
        <v>8004</v>
      </c>
    </row>
    <row r="357" customFormat="false" ht="15" hidden="false" customHeight="true" outlineLevel="0" collapsed="false">
      <c r="A357" s="7" t="s">
        <v>2797</v>
      </c>
      <c r="B357" s="7" t="s">
        <v>2801</v>
      </c>
      <c r="C357" s="7" t="s">
        <v>8004</v>
      </c>
    </row>
    <row r="358" customFormat="false" ht="15" hidden="false" customHeight="true" outlineLevel="0" collapsed="false">
      <c r="A358" s="7" t="s">
        <v>2797</v>
      </c>
      <c r="B358" s="7" t="s">
        <v>8178</v>
      </c>
      <c r="C358" s="7"/>
    </row>
    <row r="359" customFormat="false" ht="15" hidden="false" customHeight="true" outlineLevel="0" collapsed="false">
      <c r="A359" s="7" t="s">
        <v>2797</v>
      </c>
      <c r="B359" s="7" t="s">
        <v>6924</v>
      </c>
      <c r="C359" s="7" t="s">
        <v>8004</v>
      </c>
    </row>
    <row r="360" customFormat="false" ht="15" hidden="false" customHeight="true" outlineLevel="0" collapsed="false">
      <c r="A360" s="7" t="s">
        <v>2797</v>
      </c>
      <c r="B360" s="7" t="s">
        <v>6923</v>
      </c>
      <c r="C360" s="7" t="s">
        <v>8004</v>
      </c>
    </row>
    <row r="361" customFormat="false" ht="15" hidden="false" customHeight="true" outlineLevel="0" collapsed="false">
      <c r="A361" s="7" t="s">
        <v>2797</v>
      </c>
      <c r="B361" s="7" t="s">
        <v>8179</v>
      </c>
      <c r="C361" s="7"/>
    </row>
    <row r="362" customFormat="false" ht="15" hidden="false" customHeight="true" outlineLevel="0" collapsed="false">
      <c r="A362" s="7" t="s">
        <v>2797</v>
      </c>
      <c r="B362" s="7" t="s">
        <v>8180</v>
      </c>
      <c r="C362" s="7"/>
    </row>
    <row r="363" customFormat="false" ht="15" hidden="false" customHeight="true" outlineLevel="0" collapsed="false">
      <c r="A363" s="7" t="s">
        <v>2797</v>
      </c>
      <c r="B363" s="7" t="s">
        <v>8181</v>
      </c>
      <c r="C363" s="7"/>
    </row>
    <row r="364" customFormat="false" ht="15" hidden="false" customHeight="true" outlineLevel="0" collapsed="false">
      <c r="A364" s="7" t="s">
        <v>2797</v>
      </c>
      <c r="B364" s="7" t="s">
        <v>8182</v>
      </c>
      <c r="C364" s="7"/>
    </row>
    <row r="365" customFormat="false" ht="15" hidden="false" customHeight="true" outlineLevel="0" collapsed="false">
      <c r="A365" s="7" t="s">
        <v>2797</v>
      </c>
      <c r="B365" s="7" t="s">
        <v>6922</v>
      </c>
      <c r="C365" s="7" t="s">
        <v>8004</v>
      </c>
    </row>
    <row r="366" customFormat="false" ht="15" hidden="false" customHeight="true" outlineLevel="0" collapsed="false">
      <c r="A366" s="7" t="s">
        <v>2810</v>
      </c>
      <c r="B366" s="7" t="s">
        <v>6927</v>
      </c>
      <c r="C366" s="7" t="s">
        <v>8004</v>
      </c>
    </row>
    <row r="367" customFormat="false" ht="15" hidden="false" customHeight="true" outlineLevel="0" collapsed="false">
      <c r="A367" s="7" t="s">
        <v>2810</v>
      </c>
      <c r="B367" s="7" t="s">
        <v>6929</v>
      </c>
      <c r="C367" s="7" t="s">
        <v>8004</v>
      </c>
    </row>
    <row r="368" customFormat="false" ht="15" hidden="false" customHeight="true" outlineLevel="0" collapsed="false">
      <c r="A368" s="7" t="s">
        <v>2810</v>
      </c>
      <c r="B368" s="7" t="s">
        <v>6928</v>
      </c>
      <c r="C368" s="7" t="s">
        <v>8004</v>
      </c>
    </row>
    <row r="369" customFormat="false" ht="15" hidden="false" customHeight="true" outlineLevel="0" collapsed="false">
      <c r="A369" s="7" t="s">
        <v>2810</v>
      </c>
      <c r="B369" s="7" t="s">
        <v>2813</v>
      </c>
      <c r="C369" s="7" t="s">
        <v>8004</v>
      </c>
    </row>
    <row r="370" customFormat="false" ht="15" hidden="false" customHeight="true" outlineLevel="0" collapsed="false">
      <c r="A370" s="7" t="s">
        <v>2810</v>
      </c>
      <c r="B370" s="7" t="s">
        <v>8183</v>
      </c>
      <c r="C370" s="7"/>
    </row>
    <row r="371" customFormat="false" ht="15" hidden="false" customHeight="true" outlineLevel="0" collapsed="false">
      <c r="A371" s="7" t="s">
        <v>2810</v>
      </c>
      <c r="B371" s="7" t="s">
        <v>6926</v>
      </c>
      <c r="C371" s="7" t="s">
        <v>8004</v>
      </c>
    </row>
    <row r="372" customFormat="false" ht="15" hidden="false" customHeight="true" outlineLevel="0" collapsed="false">
      <c r="A372" s="7" t="s">
        <v>2810</v>
      </c>
      <c r="B372" s="7" t="s">
        <v>6925</v>
      </c>
      <c r="C372" s="7" t="s">
        <v>8004</v>
      </c>
    </row>
    <row r="373" customFormat="false" ht="15" hidden="false" customHeight="true" outlineLevel="0" collapsed="false">
      <c r="A373" s="7" t="s">
        <v>2810</v>
      </c>
      <c r="B373" s="7" t="s">
        <v>8184</v>
      </c>
      <c r="C373" s="7"/>
    </row>
    <row r="374" customFormat="false" ht="15" hidden="false" customHeight="true" outlineLevel="0" collapsed="false">
      <c r="A374" s="7" t="s">
        <v>2810</v>
      </c>
      <c r="B374" s="7" t="s">
        <v>8185</v>
      </c>
      <c r="C374" s="7"/>
    </row>
    <row r="375" customFormat="false" ht="15" hidden="false" customHeight="true" outlineLevel="0" collapsed="false">
      <c r="A375" s="7" t="s">
        <v>2810</v>
      </c>
      <c r="B375" s="7" t="s">
        <v>2814</v>
      </c>
      <c r="C375" s="7" t="s">
        <v>8004</v>
      </c>
    </row>
    <row r="376" customFormat="false" ht="15" hidden="false" customHeight="true" outlineLevel="0" collapsed="false">
      <c r="A376" s="7" t="s">
        <v>2822</v>
      </c>
      <c r="B376" s="7" t="s">
        <v>2822</v>
      </c>
      <c r="C376" s="7" t="s">
        <v>8004</v>
      </c>
    </row>
    <row r="377" customFormat="false" ht="15" hidden="false" customHeight="true" outlineLevel="0" collapsed="false">
      <c r="A377" s="7" t="s">
        <v>2822</v>
      </c>
      <c r="B377" s="7" t="s">
        <v>8186</v>
      </c>
      <c r="C377" s="7"/>
    </row>
    <row r="378" customFormat="false" ht="15" hidden="false" customHeight="true" outlineLevel="0" collapsed="false">
      <c r="A378" s="7" t="s">
        <v>2822</v>
      </c>
      <c r="B378" s="7" t="s">
        <v>6931</v>
      </c>
      <c r="C378" s="7" t="s">
        <v>8004</v>
      </c>
    </row>
    <row r="379" customFormat="false" ht="15" hidden="false" customHeight="true" outlineLevel="0" collapsed="false">
      <c r="A379" s="7" t="s">
        <v>2822</v>
      </c>
      <c r="B379" s="7" t="s">
        <v>6932</v>
      </c>
      <c r="C379" s="7" t="s">
        <v>8004</v>
      </c>
    </row>
    <row r="380" customFormat="false" ht="15" hidden="false" customHeight="true" outlineLevel="0" collapsed="false">
      <c r="A380" s="7" t="s">
        <v>2822</v>
      </c>
      <c r="B380" s="7" t="s">
        <v>6930</v>
      </c>
      <c r="C380" s="7" t="s">
        <v>8004</v>
      </c>
    </row>
    <row r="381" customFormat="false" ht="15" hidden="false" customHeight="true" outlineLevel="0" collapsed="false">
      <c r="A381" s="7" t="s">
        <v>2822</v>
      </c>
      <c r="B381" s="7" t="s">
        <v>6933</v>
      </c>
      <c r="C381" s="7" t="s">
        <v>8004</v>
      </c>
    </row>
    <row r="382" customFormat="false" ht="15" hidden="false" customHeight="true" outlineLevel="0" collapsed="false">
      <c r="A382" s="7" t="s">
        <v>2822</v>
      </c>
      <c r="B382" s="7" t="s">
        <v>8187</v>
      </c>
      <c r="C382" s="7"/>
    </row>
    <row r="383" customFormat="false" ht="15" hidden="false" customHeight="true" outlineLevel="0" collapsed="false">
      <c r="A383" s="7" t="s">
        <v>2822</v>
      </c>
      <c r="B383" s="7" t="s">
        <v>6934</v>
      </c>
      <c r="C383" s="7" t="s">
        <v>8004</v>
      </c>
    </row>
    <row r="384" customFormat="false" ht="15" hidden="false" customHeight="true" outlineLevel="0" collapsed="false">
      <c r="A384" s="7" t="s">
        <v>2822</v>
      </c>
      <c r="B384" s="7" t="s">
        <v>8188</v>
      </c>
      <c r="C384" s="7"/>
    </row>
    <row r="385" customFormat="false" ht="15" hidden="false" customHeight="true" outlineLevel="0" collapsed="false">
      <c r="A385" s="7" t="s">
        <v>2822</v>
      </c>
      <c r="B385" s="7" t="s">
        <v>8189</v>
      </c>
      <c r="C385" s="7"/>
    </row>
    <row r="386" customFormat="false" ht="15" hidden="false" customHeight="true" outlineLevel="0" collapsed="false">
      <c r="A386" s="7" t="s">
        <v>6467</v>
      </c>
      <c r="B386" s="7" t="s">
        <v>6467</v>
      </c>
      <c r="C386" s="7" t="s">
        <v>8004</v>
      </c>
    </row>
    <row r="387" customFormat="false" ht="15" hidden="false" customHeight="true" outlineLevel="0" collapsed="false">
      <c r="A387" s="7" t="s">
        <v>6467</v>
      </c>
      <c r="B387" s="7" t="s">
        <v>8190</v>
      </c>
      <c r="C387" s="7"/>
    </row>
    <row r="388" customFormat="false" ht="15" hidden="false" customHeight="true" outlineLevel="0" collapsed="false">
      <c r="A388" s="7" t="s">
        <v>6467</v>
      </c>
      <c r="B388" s="7" t="s">
        <v>8191</v>
      </c>
      <c r="C388" s="7"/>
    </row>
    <row r="389" customFormat="false" ht="15" hidden="false" customHeight="true" outlineLevel="0" collapsed="false">
      <c r="A389" s="7" t="s">
        <v>6467</v>
      </c>
      <c r="B389" s="7" t="s">
        <v>8192</v>
      </c>
      <c r="C389" s="7"/>
    </row>
    <row r="390" customFormat="false" ht="15" hidden="false" customHeight="true" outlineLevel="0" collapsed="false">
      <c r="A390" s="7" t="s">
        <v>6467</v>
      </c>
      <c r="B390" s="7" t="s">
        <v>8193</v>
      </c>
      <c r="C390" s="7"/>
    </row>
    <row r="391" customFormat="false" ht="15" hidden="false" customHeight="true" outlineLevel="0" collapsed="false">
      <c r="A391" s="7" t="s">
        <v>6467</v>
      </c>
      <c r="B391" s="7" t="s">
        <v>8194</v>
      </c>
      <c r="C391" s="7"/>
    </row>
    <row r="392" customFormat="false" ht="15" hidden="false" customHeight="true" outlineLevel="0" collapsed="false">
      <c r="A392" s="7" t="s">
        <v>6467</v>
      </c>
      <c r="B392" s="7" t="s">
        <v>8195</v>
      </c>
      <c r="C392" s="7"/>
    </row>
    <row r="393" customFormat="false" ht="15" hidden="false" customHeight="true" outlineLevel="0" collapsed="false">
      <c r="A393" s="7" t="s">
        <v>6467</v>
      </c>
      <c r="B393" s="7" t="s">
        <v>8196</v>
      </c>
      <c r="C393" s="7"/>
    </row>
    <row r="394" customFormat="false" ht="15" hidden="false" customHeight="true" outlineLevel="0" collapsed="false">
      <c r="A394" s="7" t="s">
        <v>6467</v>
      </c>
      <c r="B394" s="7" t="s">
        <v>8197</v>
      </c>
      <c r="C394" s="7"/>
    </row>
    <row r="395" customFormat="false" ht="15" hidden="false" customHeight="true" outlineLevel="0" collapsed="false">
      <c r="A395" s="7" t="s">
        <v>6467</v>
      </c>
      <c r="B395" s="7" t="s">
        <v>6469</v>
      </c>
      <c r="C395" s="7" t="s">
        <v>8004</v>
      </c>
    </row>
    <row r="396" customFormat="false" ht="15" hidden="false" customHeight="true" outlineLevel="0" collapsed="false">
      <c r="A396" s="7" t="s">
        <v>2834</v>
      </c>
      <c r="B396" s="7" t="s">
        <v>2834</v>
      </c>
      <c r="C396" s="7" t="s">
        <v>8004</v>
      </c>
    </row>
    <row r="397" customFormat="false" ht="15" hidden="false" customHeight="true" outlineLevel="0" collapsed="false">
      <c r="A397" s="7" t="s">
        <v>2834</v>
      </c>
      <c r="B397" s="7" t="s">
        <v>6939</v>
      </c>
      <c r="C397" s="7" t="s">
        <v>8004</v>
      </c>
    </row>
    <row r="398" customFormat="false" ht="15" hidden="false" customHeight="true" outlineLevel="0" collapsed="false">
      <c r="A398" s="7" t="s">
        <v>2834</v>
      </c>
      <c r="B398" s="7" t="s">
        <v>6938</v>
      </c>
      <c r="C398" s="7" t="s">
        <v>8004</v>
      </c>
    </row>
    <row r="399" customFormat="false" ht="15" hidden="false" customHeight="true" outlineLevel="0" collapsed="false">
      <c r="A399" s="7" t="s">
        <v>2834</v>
      </c>
      <c r="B399" s="7" t="s">
        <v>8198</v>
      </c>
      <c r="C399" s="7"/>
    </row>
    <row r="400" customFormat="false" ht="15" hidden="false" customHeight="true" outlineLevel="0" collapsed="false">
      <c r="A400" s="7" t="s">
        <v>2834</v>
      </c>
      <c r="B400" s="7" t="s">
        <v>6936</v>
      </c>
      <c r="C400" s="7" t="s">
        <v>8004</v>
      </c>
    </row>
    <row r="401" customFormat="false" ht="15" hidden="false" customHeight="true" outlineLevel="0" collapsed="false">
      <c r="A401" s="7" t="s">
        <v>2834</v>
      </c>
      <c r="B401" s="7" t="s">
        <v>6937</v>
      </c>
      <c r="C401" s="7" t="s">
        <v>8004</v>
      </c>
    </row>
    <row r="402" customFormat="false" ht="15" hidden="false" customHeight="true" outlineLevel="0" collapsed="false">
      <c r="A402" s="7" t="s">
        <v>2834</v>
      </c>
      <c r="B402" s="7" t="s">
        <v>8199</v>
      </c>
      <c r="C402" s="7"/>
    </row>
    <row r="403" customFormat="false" ht="15" hidden="false" customHeight="true" outlineLevel="0" collapsed="false">
      <c r="A403" s="7" t="s">
        <v>2834</v>
      </c>
      <c r="B403" s="7" t="s">
        <v>6935</v>
      </c>
      <c r="C403" s="7" t="s">
        <v>8004</v>
      </c>
    </row>
    <row r="404" customFormat="false" ht="15" hidden="false" customHeight="true" outlineLevel="0" collapsed="false">
      <c r="A404" s="7" t="s">
        <v>2834</v>
      </c>
      <c r="B404" s="7" t="s">
        <v>2838</v>
      </c>
      <c r="C404" s="7" t="s">
        <v>8004</v>
      </c>
    </row>
    <row r="405" customFormat="false" ht="15" hidden="false" customHeight="true" outlineLevel="0" collapsed="false">
      <c r="A405" s="7" t="s">
        <v>2834</v>
      </c>
      <c r="B405" s="7" t="s">
        <v>2837</v>
      </c>
      <c r="C405" s="7" t="s">
        <v>8004</v>
      </c>
    </row>
    <row r="406" customFormat="false" ht="15" hidden="false" customHeight="true" outlineLevel="0" collapsed="false">
      <c r="A406" s="7" t="s">
        <v>255</v>
      </c>
      <c r="B406" s="7" t="s">
        <v>255</v>
      </c>
      <c r="C406" s="7" t="s">
        <v>8004</v>
      </c>
    </row>
    <row r="407" customFormat="false" ht="15" hidden="false" customHeight="true" outlineLevel="0" collapsed="false">
      <c r="A407" s="7" t="s">
        <v>255</v>
      </c>
      <c r="B407" s="7" t="s">
        <v>8200</v>
      </c>
      <c r="C407" s="7"/>
    </row>
    <row r="408" customFormat="false" ht="15" hidden="false" customHeight="true" outlineLevel="0" collapsed="false">
      <c r="A408" s="7" t="s">
        <v>255</v>
      </c>
      <c r="B408" s="7" t="s">
        <v>8201</v>
      </c>
      <c r="C408" s="7"/>
    </row>
    <row r="409" customFormat="false" ht="15" hidden="false" customHeight="true" outlineLevel="0" collapsed="false">
      <c r="A409" s="7" t="s">
        <v>255</v>
      </c>
      <c r="B409" s="7" t="s">
        <v>8202</v>
      </c>
      <c r="C409" s="7"/>
    </row>
    <row r="410" customFormat="false" ht="15" hidden="false" customHeight="true" outlineLevel="0" collapsed="false">
      <c r="A410" s="7" t="s">
        <v>255</v>
      </c>
      <c r="B410" s="7" t="s">
        <v>8203</v>
      </c>
      <c r="C410" s="7"/>
    </row>
    <row r="411" customFormat="false" ht="15" hidden="false" customHeight="true" outlineLevel="0" collapsed="false">
      <c r="A411" s="7" t="s">
        <v>255</v>
      </c>
      <c r="B411" s="7" t="s">
        <v>8204</v>
      </c>
      <c r="C411" s="7"/>
    </row>
    <row r="412" customFormat="false" ht="15" hidden="false" customHeight="true" outlineLevel="0" collapsed="false">
      <c r="A412" s="7" t="s">
        <v>255</v>
      </c>
      <c r="B412" s="7" t="s">
        <v>8205</v>
      </c>
      <c r="C412" s="7"/>
    </row>
    <row r="413" customFormat="false" ht="15" hidden="false" customHeight="true" outlineLevel="0" collapsed="false">
      <c r="A413" s="7" t="s">
        <v>255</v>
      </c>
      <c r="B413" s="7" t="s">
        <v>8206</v>
      </c>
      <c r="C413" s="7"/>
    </row>
    <row r="414" customFormat="false" ht="15" hidden="false" customHeight="true" outlineLevel="0" collapsed="false">
      <c r="A414" s="7" t="s">
        <v>255</v>
      </c>
      <c r="B414" s="7" t="s">
        <v>8207</v>
      </c>
      <c r="C414" s="7"/>
    </row>
    <row r="415" customFormat="false" ht="15" hidden="false" customHeight="true" outlineLevel="0" collapsed="false">
      <c r="A415" s="7" t="s">
        <v>255</v>
      </c>
      <c r="B415" s="7" t="s">
        <v>8208</v>
      </c>
      <c r="C415" s="7"/>
    </row>
    <row r="416" customFormat="false" ht="15" hidden="false" customHeight="true" outlineLevel="0" collapsed="false">
      <c r="A416" s="7" t="s">
        <v>2847</v>
      </c>
      <c r="B416" s="7" t="s">
        <v>8209</v>
      </c>
      <c r="C416" s="7"/>
    </row>
    <row r="417" customFormat="false" ht="15" hidden="false" customHeight="true" outlineLevel="0" collapsed="false">
      <c r="A417" s="7" t="s">
        <v>2847</v>
      </c>
      <c r="B417" s="7" t="s">
        <v>6940</v>
      </c>
      <c r="C417" s="7" t="s">
        <v>8004</v>
      </c>
    </row>
    <row r="418" customFormat="false" ht="15" hidden="false" customHeight="true" outlineLevel="0" collapsed="false">
      <c r="A418" s="7" t="s">
        <v>2847</v>
      </c>
      <c r="B418" s="7" t="s">
        <v>6943</v>
      </c>
      <c r="C418" s="7" t="s">
        <v>8004</v>
      </c>
    </row>
    <row r="419" customFormat="false" ht="15" hidden="false" customHeight="true" outlineLevel="0" collapsed="false">
      <c r="A419" s="7" t="s">
        <v>2847</v>
      </c>
      <c r="B419" s="7" t="s">
        <v>8210</v>
      </c>
      <c r="C419" s="7"/>
    </row>
    <row r="420" customFormat="false" ht="15" hidden="false" customHeight="true" outlineLevel="0" collapsed="false">
      <c r="A420" s="7" t="s">
        <v>2847</v>
      </c>
      <c r="B420" s="7" t="s">
        <v>8211</v>
      </c>
      <c r="C420" s="7"/>
    </row>
    <row r="421" customFormat="false" ht="15" hidden="false" customHeight="true" outlineLevel="0" collapsed="false">
      <c r="A421" s="7" t="s">
        <v>2847</v>
      </c>
      <c r="B421" s="7" t="s">
        <v>6942</v>
      </c>
      <c r="C421" s="7" t="s">
        <v>8004</v>
      </c>
    </row>
    <row r="422" customFormat="false" ht="15" hidden="false" customHeight="true" outlineLevel="0" collapsed="false">
      <c r="A422" s="7" t="s">
        <v>2847</v>
      </c>
      <c r="B422" s="7" t="s">
        <v>8212</v>
      </c>
      <c r="C422" s="7"/>
    </row>
    <row r="423" customFormat="false" ht="15" hidden="false" customHeight="true" outlineLevel="0" collapsed="false">
      <c r="A423" s="7" t="s">
        <v>2847</v>
      </c>
      <c r="B423" s="7" t="s">
        <v>8213</v>
      </c>
      <c r="C423" s="7"/>
    </row>
    <row r="424" customFormat="false" ht="15" hidden="false" customHeight="true" outlineLevel="0" collapsed="false">
      <c r="A424" s="7" t="s">
        <v>2847</v>
      </c>
      <c r="B424" s="7" t="s">
        <v>6941</v>
      </c>
      <c r="C424" s="7" t="s">
        <v>8004</v>
      </c>
    </row>
    <row r="425" customFormat="false" ht="15" hidden="false" customHeight="true" outlineLevel="0" collapsed="false">
      <c r="A425" s="7" t="s">
        <v>2847</v>
      </c>
      <c r="B425" s="7" t="s">
        <v>8214</v>
      </c>
      <c r="C425" s="7"/>
    </row>
    <row r="426" customFormat="false" ht="15" hidden="false" customHeight="true" outlineLevel="0" collapsed="false">
      <c r="A426" s="7" t="s">
        <v>2860</v>
      </c>
      <c r="B426" s="7" t="s">
        <v>8215</v>
      </c>
      <c r="C426" s="7"/>
    </row>
    <row r="427" customFormat="false" ht="15" hidden="false" customHeight="true" outlineLevel="0" collapsed="false">
      <c r="A427" s="7" t="s">
        <v>2860</v>
      </c>
      <c r="B427" s="7" t="s">
        <v>2860</v>
      </c>
      <c r="C427" s="7" t="s">
        <v>8004</v>
      </c>
    </row>
    <row r="428" customFormat="false" ht="15" hidden="false" customHeight="true" outlineLevel="0" collapsed="false">
      <c r="A428" s="7" t="s">
        <v>2860</v>
      </c>
      <c r="B428" s="7" t="s">
        <v>8216</v>
      </c>
      <c r="C428" s="7"/>
    </row>
    <row r="429" customFormat="false" ht="15" hidden="false" customHeight="true" outlineLevel="0" collapsed="false">
      <c r="A429" s="7" t="s">
        <v>2860</v>
      </c>
      <c r="B429" s="7" t="s">
        <v>6944</v>
      </c>
      <c r="C429" s="7" t="s">
        <v>8004</v>
      </c>
    </row>
    <row r="430" customFormat="false" ht="15" hidden="false" customHeight="true" outlineLevel="0" collapsed="false">
      <c r="A430" s="7" t="s">
        <v>2860</v>
      </c>
      <c r="B430" s="7" t="s">
        <v>8217</v>
      </c>
      <c r="C430" s="7"/>
    </row>
    <row r="431" customFormat="false" ht="15" hidden="false" customHeight="true" outlineLevel="0" collapsed="false">
      <c r="A431" s="7" t="s">
        <v>2860</v>
      </c>
      <c r="B431" s="7" t="s">
        <v>6945</v>
      </c>
      <c r="C431" s="7" t="s">
        <v>8004</v>
      </c>
    </row>
    <row r="432" customFormat="false" ht="15" hidden="false" customHeight="true" outlineLevel="0" collapsed="false">
      <c r="A432" s="7" t="s">
        <v>2860</v>
      </c>
      <c r="B432" s="7" t="s">
        <v>6946</v>
      </c>
      <c r="C432" s="7" t="s">
        <v>8004</v>
      </c>
    </row>
    <row r="433" customFormat="false" ht="15" hidden="false" customHeight="true" outlineLevel="0" collapsed="false">
      <c r="A433" s="7" t="s">
        <v>2860</v>
      </c>
      <c r="B433" s="7" t="s">
        <v>8218</v>
      </c>
      <c r="C433" s="7"/>
    </row>
    <row r="434" customFormat="false" ht="15" hidden="false" customHeight="true" outlineLevel="0" collapsed="false">
      <c r="A434" s="7" t="s">
        <v>2860</v>
      </c>
      <c r="B434" s="7" t="s">
        <v>8219</v>
      </c>
      <c r="C434" s="7"/>
    </row>
    <row r="435" customFormat="false" ht="15" hidden="false" customHeight="true" outlineLevel="0" collapsed="false">
      <c r="A435" s="7" t="s">
        <v>2860</v>
      </c>
      <c r="B435" s="7" t="s">
        <v>8220</v>
      </c>
      <c r="C435" s="7"/>
    </row>
    <row r="436" customFormat="false" ht="15" hidden="false" customHeight="true" outlineLevel="0" collapsed="false">
      <c r="A436" s="7" t="s">
        <v>285</v>
      </c>
      <c r="B436" s="7" t="s">
        <v>285</v>
      </c>
      <c r="C436" s="7" t="s">
        <v>8004</v>
      </c>
    </row>
    <row r="437" customFormat="false" ht="15" hidden="false" customHeight="true" outlineLevel="0" collapsed="false">
      <c r="A437" s="7" t="s">
        <v>285</v>
      </c>
      <c r="B437" s="7" t="s">
        <v>6475</v>
      </c>
      <c r="C437" s="7" t="s">
        <v>8004</v>
      </c>
    </row>
    <row r="438" customFormat="false" ht="15" hidden="false" customHeight="true" outlineLevel="0" collapsed="false">
      <c r="A438" s="7" t="s">
        <v>285</v>
      </c>
      <c r="B438" s="7" t="s">
        <v>8221</v>
      </c>
      <c r="C438" s="7"/>
    </row>
    <row r="439" customFormat="false" ht="15" hidden="false" customHeight="true" outlineLevel="0" collapsed="false">
      <c r="A439" s="7" t="s">
        <v>285</v>
      </c>
      <c r="B439" s="7" t="s">
        <v>8222</v>
      </c>
      <c r="C439" s="7"/>
    </row>
    <row r="440" customFormat="false" ht="15" hidden="false" customHeight="true" outlineLevel="0" collapsed="false">
      <c r="A440" s="7" t="s">
        <v>285</v>
      </c>
      <c r="B440" s="7" t="s">
        <v>8223</v>
      </c>
      <c r="C440" s="7"/>
    </row>
    <row r="441" customFormat="false" ht="15" hidden="false" customHeight="true" outlineLevel="0" collapsed="false">
      <c r="A441" s="7" t="s">
        <v>285</v>
      </c>
      <c r="B441" s="7" t="s">
        <v>8224</v>
      </c>
      <c r="C441" s="7"/>
    </row>
    <row r="442" customFormat="false" ht="15" hidden="false" customHeight="true" outlineLevel="0" collapsed="false">
      <c r="A442" s="7" t="s">
        <v>285</v>
      </c>
      <c r="B442" s="7" t="s">
        <v>8225</v>
      </c>
      <c r="C442" s="7"/>
    </row>
    <row r="443" customFormat="false" ht="15" hidden="false" customHeight="true" outlineLevel="0" collapsed="false">
      <c r="A443" s="7" t="s">
        <v>285</v>
      </c>
      <c r="B443" s="7" t="s">
        <v>8226</v>
      </c>
      <c r="C443" s="7"/>
    </row>
    <row r="444" customFormat="false" ht="15" hidden="false" customHeight="true" outlineLevel="0" collapsed="false">
      <c r="A444" s="7" t="s">
        <v>285</v>
      </c>
      <c r="B444" s="7" t="s">
        <v>8227</v>
      </c>
      <c r="C444" s="7"/>
    </row>
    <row r="445" customFormat="false" ht="15" hidden="false" customHeight="true" outlineLevel="0" collapsed="false">
      <c r="A445" s="7" t="s">
        <v>285</v>
      </c>
      <c r="B445" s="7" t="s">
        <v>8228</v>
      </c>
      <c r="C445" s="7"/>
    </row>
    <row r="446" customFormat="false" ht="15" hidden="false" customHeight="true" outlineLevel="0" collapsed="false">
      <c r="A446" s="7" t="s">
        <v>2898</v>
      </c>
      <c r="B446" s="7" t="s">
        <v>2898</v>
      </c>
      <c r="C446" s="7" t="s">
        <v>8004</v>
      </c>
    </row>
    <row r="447" customFormat="false" ht="15" hidden="false" customHeight="true" outlineLevel="0" collapsed="false">
      <c r="A447" s="7" t="s">
        <v>2898</v>
      </c>
      <c r="B447" s="7" t="s">
        <v>6948</v>
      </c>
      <c r="C447" s="7" t="s">
        <v>8004</v>
      </c>
    </row>
    <row r="448" customFormat="false" ht="15" hidden="false" customHeight="true" outlineLevel="0" collapsed="false">
      <c r="A448" s="7" t="s">
        <v>2898</v>
      </c>
      <c r="B448" s="7" t="s">
        <v>6950</v>
      </c>
      <c r="C448" s="7" t="s">
        <v>8004</v>
      </c>
    </row>
    <row r="449" customFormat="false" ht="15" hidden="false" customHeight="true" outlineLevel="0" collapsed="false">
      <c r="A449" s="7" t="s">
        <v>2898</v>
      </c>
      <c r="B449" s="7" t="s">
        <v>6947</v>
      </c>
      <c r="C449" s="7" t="s">
        <v>8004</v>
      </c>
    </row>
    <row r="450" customFormat="false" ht="15" hidden="false" customHeight="true" outlineLevel="0" collapsed="false">
      <c r="A450" s="7" t="s">
        <v>2898</v>
      </c>
      <c r="B450" s="7" t="s">
        <v>8229</v>
      </c>
      <c r="C450" s="7"/>
    </row>
    <row r="451" customFormat="false" ht="15" hidden="false" customHeight="true" outlineLevel="0" collapsed="false">
      <c r="A451" s="7" t="s">
        <v>2898</v>
      </c>
      <c r="B451" s="7" t="s">
        <v>2902</v>
      </c>
      <c r="C451" s="7" t="s">
        <v>8004</v>
      </c>
    </row>
    <row r="452" customFormat="false" ht="15" hidden="false" customHeight="true" outlineLevel="0" collapsed="false">
      <c r="A452" s="7" t="s">
        <v>2898</v>
      </c>
      <c r="B452" s="7" t="s">
        <v>6951</v>
      </c>
      <c r="C452" s="7" t="s">
        <v>8004</v>
      </c>
    </row>
    <row r="453" customFormat="false" ht="15" hidden="false" customHeight="true" outlineLevel="0" collapsed="false">
      <c r="A453" s="7" t="s">
        <v>2898</v>
      </c>
      <c r="B453" s="7" t="s">
        <v>8230</v>
      </c>
      <c r="C453" s="7"/>
    </row>
    <row r="454" customFormat="false" ht="15" hidden="false" customHeight="true" outlineLevel="0" collapsed="false">
      <c r="A454" s="7" t="s">
        <v>2898</v>
      </c>
      <c r="B454" s="7" t="s">
        <v>6949</v>
      </c>
      <c r="C454" s="7" t="s">
        <v>8004</v>
      </c>
    </row>
    <row r="455" customFormat="false" ht="15" hidden="false" customHeight="true" outlineLevel="0" collapsed="false">
      <c r="A455" s="7" t="s">
        <v>2898</v>
      </c>
      <c r="B455" s="7" t="s">
        <v>8231</v>
      </c>
      <c r="C455" s="7"/>
    </row>
    <row r="456" customFormat="false" ht="15" hidden="false" customHeight="true" outlineLevel="0" collapsed="false">
      <c r="A456" s="7" t="s">
        <v>2933</v>
      </c>
      <c r="B456" s="7" t="s">
        <v>2933</v>
      </c>
      <c r="C456" s="7" t="s">
        <v>8004</v>
      </c>
    </row>
    <row r="457" customFormat="false" ht="15" hidden="false" customHeight="true" outlineLevel="0" collapsed="false">
      <c r="A457" s="7" t="s">
        <v>2933</v>
      </c>
      <c r="B457" s="7" t="s">
        <v>6955</v>
      </c>
      <c r="C457" s="7" t="s">
        <v>8004</v>
      </c>
    </row>
    <row r="458" customFormat="false" ht="15" hidden="false" customHeight="true" outlineLevel="0" collapsed="false">
      <c r="A458" s="7" t="s">
        <v>2933</v>
      </c>
      <c r="B458" s="7" t="s">
        <v>6952</v>
      </c>
      <c r="C458" s="7" t="s">
        <v>8004</v>
      </c>
    </row>
    <row r="459" customFormat="false" ht="15" hidden="false" customHeight="true" outlineLevel="0" collapsed="false">
      <c r="A459" s="7" t="s">
        <v>2933</v>
      </c>
      <c r="B459" s="7" t="s">
        <v>2936</v>
      </c>
      <c r="C459" s="7" t="s">
        <v>8004</v>
      </c>
    </row>
    <row r="460" customFormat="false" ht="15" hidden="false" customHeight="true" outlineLevel="0" collapsed="false">
      <c r="A460" s="7" t="s">
        <v>2933</v>
      </c>
      <c r="B460" s="7" t="s">
        <v>6956</v>
      </c>
      <c r="C460" s="7" t="s">
        <v>8004</v>
      </c>
    </row>
    <row r="461" customFormat="false" ht="15" hidden="false" customHeight="true" outlineLevel="0" collapsed="false">
      <c r="A461" s="7" t="s">
        <v>2933</v>
      </c>
      <c r="B461" s="7" t="s">
        <v>8232</v>
      </c>
      <c r="C461" s="7"/>
    </row>
    <row r="462" customFormat="false" ht="15" hidden="false" customHeight="true" outlineLevel="0" collapsed="false">
      <c r="A462" s="7" t="s">
        <v>2933</v>
      </c>
      <c r="B462" s="7" t="s">
        <v>8233</v>
      </c>
      <c r="C462" s="7"/>
    </row>
    <row r="463" customFormat="false" ht="15" hidden="false" customHeight="true" outlineLevel="0" collapsed="false">
      <c r="A463" s="7" t="s">
        <v>2933</v>
      </c>
      <c r="B463" s="7" t="s">
        <v>6953</v>
      </c>
      <c r="C463" s="7" t="s">
        <v>8004</v>
      </c>
    </row>
    <row r="464" customFormat="false" ht="15" hidden="false" customHeight="true" outlineLevel="0" collapsed="false">
      <c r="A464" s="7" t="s">
        <v>2933</v>
      </c>
      <c r="B464" s="7" t="s">
        <v>6954</v>
      </c>
      <c r="C464" s="7" t="s">
        <v>8004</v>
      </c>
    </row>
    <row r="465" customFormat="false" ht="15" hidden="false" customHeight="true" outlineLevel="0" collapsed="false">
      <c r="A465" s="7" t="s">
        <v>2933</v>
      </c>
      <c r="B465" s="7" t="s">
        <v>8234</v>
      </c>
      <c r="C465" s="7"/>
    </row>
    <row r="466" customFormat="false" ht="15" hidden="false" customHeight="true" outlineLevel="0" collapsed="false">
      <c r="A466" s="7" t="s">
        <v>2886</v>
      </c>
      <c r="B466" s="7" t="s">
        <v>2886</v>
      </c>
      <c r="C466" s="7" t="s">
        <v>8004</v>
      </c>
    </row>
    <row r="467" customFormat="false" ht="15" hidden="false" customHeight="true" outlineLevel="0" collapsed="false">
      <c r="A467" s="7" t="s">
        <v>2886</v>
      </c>
      <c r="B467" s="7" t="s">
        <v>6958</v>
      </c>
      <c r="C467" s="7" t="s">
        <v>8004</v>
      </c>
    </row>
    <row r="468" customFormat="false" ht="15" hidden="false" customHeight="true" outlineLevel="0" collapsed="false">
      <c r="A468" s="7" t="s">
        <v>2886</v>
      </c>
      <c r="B468" s="7" t="s">
        <v>8235</v>
      </c>
      <c r="C468" s="7"/>
    </row>
    <row r="469" customFormat="false" ht="15" hidden="false" customHeight="true" outlineLevel="0" collapsed="false">
      <c r="A469" s="7" t="s">
        <v>2886</v>
      </c>
      <c r="B469" s="7" t="s">
        <v>8236</v>
      </c>
      <c r="C469" s="7"/>
    </row>
    <row r="470" customFormat="false" ht="15" hidden="false" customHeight="true" outlineLevel="0" collapsed="false">
      <c r="A470" s="7" t="s">
        <v>2886</v>
      </c>
      <c r="B470" s="7" t="s">
        <v>6959</v>
      </c>
      <c r="C470" s="7" t="s">
        <v>8004</v>
      </c>
    </row>
    <row r="471" customFormat="false" ht="15" hidden="false" customHeight="true" outlineLevel="0" collapsed="false">
      <c r="A471" s="7" t="s">
        <v>2886</v>
      </c>
      <c r="B471" s="7" t="s">
        <v>6960</v>
      </c>
      <c r="C471" s="7" t="s">
        <v>8004</v>
      </c>
    </row>
    <row r="472" customFormat="false" ht="15" hidden="false" customHeight="true" outlineLevel="0" collapsed="false">
      <c r="A472" s="7" t="s">
        <v>2886</v>
      </c>
      <c r="B472" s="7" t="s">
        <v>6957</v>
      </c>
      <c r="C472" s="7" t="s">
        <v>8004</v>
      </c>
    </row>
    <row r="473" customFormat="false" ht="15" hidden="false" customHeight="true" outlineLevel="0" collapsed="false">
      <c r="A473" s="7" t="s">
        <v>2886</v>
      </c>
      <c r="B473" s="7" t="s">
        <v>8237</v>
      </c>
      <c r="C473" s="7"/>
    </row>
    <row r="474" customFormat="false" ht="15" hidden="false" customHeight="true" outlineLevel="0" collapsed="false">
      <c r="A474" s="7" t="s">
        <v>2886</v>
      </c>
      <c r="B474" s="7" t="s">
        <v>8238</v>
      </c>
      <c r="C474" s="7"/>
    </row>
    <row r="475" customFormat="false" ht="15" hidden="false" customHeight="true" outlineLevel="0" collapsed="false">
      <c r="A475" s="7" t="s">
        <v>2886</v>
      </c>
      <c r="B475" s="7" t="s">
        <v>8239</v>
      </c>
      <c r="C475" s="7"/>
    </row>
    <row r="476" customFormat="false" ht="15" hidden="false" customHeight="true" outlineLevel="0" collapsed="false">
      <c r="A476" s="7" t="s">
        <v>2944</v>
      </c>
      <c r="B476" s="7" t="s">
        <v>8240</v>
      </c>
      <c r="C476" s="7"/>
    </row>
    <row r="477" customFormat="false" ht="15" hidden="false" customHeight="true" outlineLevel="0" collapsed="false">
      <c r="A477" s="7" t="s">
        <v>2944</v>
      </c>
      <c r="B477" s="7" t="s">
        <v>8241</v>
      </c>
      <c r="C477" s="7"/>
    </row>
    <row r="478" customFormat="false" ht="15" hidden="false" customHeight="true" outlineLevel="0" collapsed="false">
      <c r="A478" s="7" t="s">
        <v>2944</v>
      </c>
      <c r="B478" s="7" t="s">
        <v>2944</v>
      </c>
      <c r="C478" s="7" t="s">
        <v>8004</v>
      </c>
    </row>
    <row r="479" customFormat="false" ht="15" hidden="false" customHeight="true" outlineLevel="0" collapsed="false">
      <c r="A479" s="7" t="s">
        <v>2944</v>
      </c>
      <c r="B479" s="7" t="s">
        <v>8242</v>
      </c>
      <c r="C479" s="7"/>
    </row>
    <row r="480" customFormat="false" ht="15" hidden="false" customHeight="true" outlineLevel="0" collapsed="false">
      <c r="A480" s="7" t="s">
        <v>2944</v>
      </c>
      <c r="B480" s="7" t="s">
        <v>6962</v>
      </c>
      <c r="C480" s="7" t="s">
        <v>8004</v>
      </c>
    </row>
    <row r="481" customFormat="false" ht="15" hidden="false" customHeight="true" outlineLevel="0" collapsed="false">
      <c r="A481" s="7" t="s">
        <v>2944</v>
      </c>
      <c r="B481" s="7" t="s">
        <v>8243</v>
      </c>
      <c r="C481" s="7"/>
    </row>
    <row r="482" customFormat="false" ht="15" hidden="false" customHeight="true" outlineLevel="0" collapsed="false">
      <c r="A482" s="7" t="s">
        <v>2944</v>
      </c>
      <c r="B482" s="7" t="s">
        <v>8244</v>
      </c>
      <c r="C482" s="7"/>
    </row>
    <row r="483" customFormat="false" ht="15" hidden="false" customHeight="true" outlineLevel="0" collapsed="false">
      <c r="A483" s="7" t="s">
        <v>2944</v>
      </c>
      <c r="B483" s="7" t="s">
        <v>6961</v>
      </c>
      <c r="C483" s="7" t="s">
        <v>8004</v>
      </c>
    </row>
    <row r="484" customFormat="false" ht="15" hidden="false" customHeight="true" outlineLevel="0" collapsed="false">
      <c r="A484" s="7" t="s">
        <v>2944</v>
      </c>
      <c r="B484" s="7" t="s">
        <v>8245</v>
      </c>
      <c r="C484" s="7"/>
    </row>
    <row r="485" customFormat="false" ht="15" hidden="false" customHeight="true" outlineLevel="0" collapsed="false">
      <c r="A485" s="7" t="s">
        <v>2944</v>
      </c>
      <c r="B485" s="7" t="s">
        <v>8246</v>
      </c>
      <c r="C485" s="7"/>
    </row>
    <row r="486" customFormat="false" ht="15" hidden="false" customHeight="true" outlineLevel="0" collapsed="false">
      <c r="A486" s="7" t="s">
        <v>2955</v>
      </c>
      <c r="B486" s="7" t="s">
        <v>2955</v>
      </c>
      <c r="C486" s="7" t="s">
        <v>8004</v>
      </c>
    </row>
    <row r="487" customFormat="false" ht="15" hidden="false" customHeight="true" outlineLevel="0" collapsed="false">
      <c r="A487" s="7" t="s">
        <v>2955</v>
      </c>
      <c r="B487" s="7" t="s">
        <v>6964</v>
      </c>
      <c r="C487" s="7" t="s">
        <v>8004</v>
      </c>
    </row>
    <row r="488" customFormat="false" ht="15" hidden="false" customHeight="true" outlineLevel="0" collapsed="false">
      <c r="A488" s="7" t="s">
        <v>2955</v>
      </c>
      <c r="B488" s="7" t="s">
        <v>6967</v>
      </c>
      <c r="C488" s="7" t="s">
        <v>8004</v>
      </c>
    </row>
    <row r="489" customFormat="false" ht="15" hidden="false" customHeight="true" outlineLevel="0" collapsed="false">
      <c r="A489" s="7" t="s">
        <v>2955</v>
      </c>
      <c r="B489" s="7" t="s">
        <v>6965</v>
      </c>
      <c r="C489" s="7" t="s">
        <v>8004</v>
      </c>
    </row>
    <row r="490" customFormat="false" ht="15" hidden="false" customHeight="true" outlineLevel="0" collapsed="false">
      <c r="A490" s="7" t="s">
        <v>2955</v>
      </c>
      <c r="B490" s="7" t="s">
        <v>8247</v>
      </c>
      <c r="C490" s="7"/>
    </row>
    <row r="491" customFormat="false" ht="15" hidden="false" customHeight="true" outlineLevel="0" collapsed="false">
      <c r="A491" s="7" t="s">
        <v>2955</v>
      </c>
      <c r="B491" s="7" t="s">
        <v>2958</v>
      </c>
      <c r="C491" s="7" t="s">
        <v>8004</v>
      </c>
    </row>
    <row r="492" customFormat="false" ht="15" hidden="false" customHeight="true" outlineLevel="0" collapsed="false">
      <c r="A492" s="7" t="s">
        <v>2955</v>
      </c>
      <c r="B492" s="7" t="s">
        <v>2959</v>
      </c>
      <c r="C492" s="7" t="s">
        <v>8004</v>
      </c>
    </row>
    <row r="493" customFormat="false" ht="15" hidden="false" customHeight="true" outlineLevel="0" collapsed="false">
      <c r="A493" s="7" t="s">
        <v>2955</v>
      </c>
      <c r="B493" s="7" t="s">
        <v>6966</v>
      </c>
      <c r="C493" s="7" t="s">
        <v>8004</v>
      </c>
    </row>
    <row r="494" customFormat="false" ht="15" hidden="false" customHeight="true" outlineLevel="0" collapsed="false">
      <c r="A494" s="7" t="s">
        <v>2955</v>
      </c>
      <c r="B494" s="7" t="s">
        <v>6963</v>
      </c>
      <c r="C494" s="7" t="s">
        <v>8004</v>
      </c>
    </row>
    <row r="495" customFormat="false" ht="15" hidden="false" customHeight="true" outlineLevel="0" collapsed="false">
      <c r="A495" s="7" t="s">
        <v>2955</v>
      </c>
      <c r="B495" s="7" t="s">
        <v>8248</v>
      </c>
      <c r="C495" s="7"/>
    </row>
    <row r="496" customFormat="false" ht="15" hidden="false" customHeight="true" outlineLevel="0" collapsed="false">
      <c r="A496" s="7" t="s">
        <v>6478</v>
      </c>
      <c r="B496" s="7" t="s">
        <v>6478</v>
      </c>
      <c r="C496" s="7" t="s">
        <v>8004</v>
      </c>
    </row>
    <row r="497" customFormat="false" ht="15" hidden="false" customHeight="true" outlineLevel="0" collapsed="false">
      <c r="A497" s="7" t="s">
        <v>6478</v>
      </c>
      <c r="B497" s="7" t="s">
        <v>6480</v>
      </c>
      <c r="C497" s="7" t="s">
        <v>8004</v>
      </c>
    </row>
    <row r="498" customFormat="false" ht="15" hidden="false" customHeight="true" outlineLevel="0" collapsed="false">
      <c r="A498" s="7" t="s">
        <v>6478</v>
      </c>
      <c r="B498" s="7" t="s">
        <v>8249</v>
      </c>
      <c r="C498" s="7"/>
    </row>
    <row r="499" customFormat="false" ht="15" hidden="false" customHeight="true" outlineLevel="0" collapsed="false">
      <c r="A499" s="7" t="s">
        <v>6478</v>
      </c>
      <c r="B499" s="7" t="s">
        <v>8250</v>
      </c>
      <c r="C499" s="7"/>
    </row>
    <row r="500" customFormat="false" ht="15" hidden="false" customHeight="true" outlineLevel="0" collapsed="false">
      <c r="A500" s="7" t="s">
        <v>6478</v>
      </c>
      <c r="B500" s="7" t="s">
        <v>8251</v>
      </c>
      <c r="C500" s="7"/>
    </row>
    <row r="501" customFormat="false" ht="15" hidden="false" customHeight="true" outlineLevel="0" collapsed="false">
      <c r="A501" s="7" t="s">
        <v>6478</v>
      </c>
      <c r="B501" s="7" t="s">
        <v>8252</v>
      </c>
      <c r="C501" s="7"/>
    </row>
    <row r="502" customFormat="false" ht="15" hidden="false" customHeight="true" outlineLevel="0" collapsed="false">
      <c r="A502" s="7" t="s">
        <v>6478</v>
      </c>
      <c r="B502" s="7" t="s">
        <v>8253</v>
      </c>
      <c r="C502" s="7"/>
    </row>
    <row r="503" customFormat="false" ht="15" hidden="false" customHeight="true" outlineLevel="0" collapsed="false">
      <c r="A503" s="7" t="s">
        <v>6478</v>
      </c>
      <c r="B503" s="7" t="s">
        <v>8254</v>
      </c>
      <c r="C503" s="7"/>
    </row>
    <row r="504" customFormat="false" ht="15" hidden="false" customHeight="true" outlineLevel="0" collapsed="false">
      <c r="A504" s="7" t="s">
        <v>6478</v>
      </c>
      <c r="B504" s="7" t="s">
        <v>8255</v>
      </c>
      <c r="C504" s="7"/>
    </row>
    <row r="505" customFormat="false" ht="15" hidden="false" customHeight="true" outlineLevel="0" collapsed="false">
      <c r="A505" s="7" t="s">
        <v>6478</v>
      </c>
      <c r="B505" s="7" t="s">
        <v>8256</v>
      </c>
      <c r="C505" s="7"/>
    </row>
    <row r="506" customFormat="false" ht="15" hidden="false" customHeight="true" outlineLevel="0" collapsed="false">
      <c r="A506" s="7" t="s">
        <v>2909</v>
      </c>
      <c r="B506" s="7" t="s">
        <v>2909</v>
      </c>
      <c r="C506" s="7" t="s">
        <v>8004</v>
      </c>
    </row>
    <row r="507" customFormat="false" ht="15" hidden="false" customHeight="true" outlineLevel="0" collapsed="false">
      <c r="A507" s="7" t="s">
        <v>2909</v>
      </c>
      <c r="B507" s="7" t="s">
        <v>8257</v>
      </c>
      <c r="C507" s="7"/>
    </row>
    <row r="508" customFormat="false" ht="15" hidden="false" customHeight="true" outlineLevel="0" collapsed="false">
      <c r="A508" s="7" t="s">
        <v>2909</v>
      </c>
      <c r="B508" s="7" t="s">
        <v>8258</v>
      </c>
      <c r="C508" s="7"/>
    </row>
    <row r="509" customFormat="false" ht="15" hidden="false" customHeight="true" outlineLevel="0" collapsed="false">
      <c r="A509" s="7" t="s">
        <v>2909</v>
      </c>
      <c r="B509" s="7" t="s">
        <v>6971</v>
      </c>
      <c r="C509" s="7" t="s">
        <v>8004</v>
      </c>
    </row>
    <row r="510" customFormat="false" ht="15" hidden="false" customHeight="true" outlineLevel="0" collapsed="false">
      <c r="A510" s="7" t="s">
        <v>2909</v>
      </c>
      <c r="B510" s="7" t="s">
        <v>6969</v>
      </c>
      <c r="C510" s="7" t="s">
        <v>8004</v>
      </c>
    </row>
    <row r="511" customFormat="false" ht="15" hidden="false" customHeight="true" outlineLevel="0" collapsed="false">
      <c r="A511" s="7" t="s">
        <v>2909</v>
      </c>
      <c r="B511" s="7" t="s">
        <v>6972</v>
      </c>
      <c r="C511" s="7" t="s">
        <v>8004</v>
      </c>
    </row>
    <row r="512" customFormat="false" ht="15" hidden="false" customHeight="true" outlineLevel="0" collapsed="false">
      <c r="A512" s="7" t="s">
        <v>2909</v>
      </c>
      <c r="B512" s="7" t="s">
        <v>2912</v>
      </c>
      <c r="C512" s="7" t="s">
        <v>8004</v>
      </c>
    </row>
    <row r="513" customFormat="false" ht="15" hidden="false" customHeight="true" outlineLevel="0" collapsed="false">
      <c r="A513" s="7" t="s">
        <v>2909</v>
      </c>
      <c r="B513" s="7" t="s">
        <v>6968</v>
      </c>
      <c r="C513" s="7" t="s">
        <v>8004</v>
      </c>
    </row>
    <row r="514" customFormat="false" ht="15" hidden="false" customHeight="true" outlineLevel="0" collapsed="false">
      <c r="A514" s="7" t="s">
        <v>2909</v>
      </c>
      <c r="B514" s="7" t="s">
        <v>6970</v>
      </c>
      <c r="C514" s="7" t="s">
        <v>8004</v>
      </c>
    </row>
    <row r="515" customFormat="false" ht="15" hidden="false" customHeight="true" outlineLevel="0" collapsed="false">
      <c r="A515" s="7" t="s">
        <v>2909</v>
      </c>
      <c r="B515" s="7" t="s">
        <v>8259</v>
      </c>
      <c r="C515" s="7"/>
    </row>
    <row r="516" customFormat="false" ht="15" hidden="false" customHeight="true" outlineLevel="0" collapsed="false">
      <c r="A516" s="7" t="s">
        <v>3007</v>
      </c>
      <c r="B516" s="7" t="s">
        <v>3007</v>
      </c>
      <c r="C516" s="7" t="s">
        <v>8004</v>
      </c>
    </row>
    <row r="517" customFormat="false" ht="15" hidden="false" customHeight="true" outlineLevel="0" collapsed="false">
      <c r="A517" s="7" t="s">
        <v>3007</v>
      </c>
      <c r="B517" s="7" t="s">
        <v>6973</v>
      </c>
      <c r="C517" s="7" t="s">
        <v>8004</v>
      </c>
    </row>
    <row r="518" customFormat="false" ht="15" hidden="false" customHeight="true" outlineLevel="0" collapsed="false">
      <c r="A518" s="7" t="s">
        <v>3007</v>
      </c>
      <c r="B518" s="7" t="s">
        <v>6975</v>
      </c>
      <c r="C518" s="7" t="s">
        <v>8004</v>
      </c>
    </row>
    <row r="519" customFormat="false" ht="15" hidden="false" customHeight="true" outlineLevel="0" collapsed="false">
      <c r="A519" s="7" t="s">
        <v>3007</v>
      </c>
      <c r="B519" s="7" t="s">
        <v>8260</v>
      </c>
      <c r="C519" s="7"/>
    </row>
    <row r="520" customFormat="false" ht="15" hidden="false" customHeight="true" outlineLevel="0" collapsed="false">
      <c r="A520" s="7" t="s">
        <v>3007</v>
      </c>
      <c r="B520" s="7" t="s">
        <v>8261</v>
      </c>
      <c r="C520" s="7"/>
    </row>
    <row r="521" customFormat="false" ht="15" hidden="false" customHeight="true" outlineLevel="0" collapsed="false">
      <c r="A521" s="7" t="s">
        <v>3007</v>
      </c>
      <c r="B521" s="7" t="s">
        <v>8262</v>
      </c>
      <c r="C521" s="7"/>
    </row>
    <row r="522" customFormat="false" ht="15" hidden="false" customHeight="true" outlineLevel="0" collapsed="false">
      <c r="A522" s="7" t="s">
        <v>3007</v>
      </c>
      <c r="B522" s="7" t="s">
        <v>6974</v>
      </c>
      <c r="C522" s="7" t="s">
        <v>8004</v>
      </c>
    </row>
    <row r="523" customFormat="false" ht="15" hidden="false" customHeight="true" outlineLevel="0" collapsed="false">
      <c r="A523" s="7" t="s">
        <v>3007</v>
      </c>
      <c r="B523" s="7" t="s">
        <v>8263</v>
      </c>
      <c r="C523" s="7"/>
    </row>
    <row r="524" customFormat="false" ht="15" hidden="false" customHeight="true" outlineLevel="0" collapsed="false">
      <c r="A524" s="7" t="s">
        <v>3007</v>
      </c>
      <c r="B524" s="7" t="s">
        <v>8264</v>
      </c>
      <c r="C524" s="7"/>
    </row>
    <row r="525" customFormat="false" ht="15" hidden="false" customHeight="true" outlineLevel="0" collapsed="false">
      <c r="A525" s="7" t="s">
        <v>3007</v>
      </c>
      <c r="B525" s="7" t="s">
        <v>6976</v>
      </c>
      <c r="C525" s="7" t="s">
        <v>8004</v>
      </c>
    </row>
    <row r="526" customFormat="false" ht="15" hidden="false" customHeight="true" outlineLevel="0" collapsed="false">
      <c r="A526" s="7" t="s">
        <v>2989</v>
      </c>
      <c r="B526" s="7" t="s">
        <v>2989</v>
      </c>
      <c r="C526" s="7" t="s">
        <v>8004</v>
      </c>
    </row>
    <row r="527" customFormat="false" ht="15" hidden="false" customHeight="true" outlineLevel="0" collapsed="false">
      <c r="A527" s="7" t="s">
        <v>2989</v>
      </c>
      <c r="B527" s="7" t="s">
        <v>8265</v>
      </c>
      <c r="C527" s="7"/>
    </row>
    <row r="528" customFormat="false" ht="15" hidden="false" customHeight="true" outlineLevel="0" collapsed="false">
      <c r="A528" s="7" t="s">
        <v>2989</v>
      </c>
      <c r="B528" s="7" t="s">
        <v>3018</v>
      </c>
      <c r="C528" s="7" t="s">
        <v>8004</v>
      </c>
    </row>
    <row r="529" customFormat="false" ht="15" hidden="false" customHeight="true" outlineLevel="0" collapsed="false">
      <c r="A529" s="7" t="s">
        <v>2989</v>
      </c>
      <c r="B529" s="7" t="s">
        <v>6984</v>
      </c>
      <c r="C529" s="7" t="s">
        <v>8004</v>
      </c>
    </row>
    <row r="530" customFormat="false" ht="15" hidden="false" customHeight="true" outlineLevel="0" collapsed="false">
      <c r="A530" s="7" t="s">
        <v>2989</v>
      </c>
      <c r="B530" s="7" t="s">
        <v>8266</v>
      </c>
      <c r="C530" s="7"/>
    </row>
    <row r="531" customFormat="false" ht="15" hidden="false" customHeight="true" outlineLevel="0" collapsed="false">
      <c r="A531" s="7" t="s">
        <v>2989</v>
      </c>
      <c r="B531" s="7" t="s">
        <v>2993</v>
      </c>
      <c r="C531" s="7" t="s">
        <v>8004</v>
      </c>
    </row>
    <row r="532" customFormat="false" ht="15" hidden="false" customHeight="true" outlineLevel="0" collapsed="false">
      <c r="A532" s="7" t="s">
        <v>2989</v>
      </c>
      <c r="B532" s="7" t="s">
        <v>3022</v>
      </c>
      <c r="C532" s="7" t="s">
        <v>8004</v>
      </c>
    </row>
    <row r="533" customFormat="false" ht="15" hidden="false" customHeight="true" outlineLevel="0" collapsed="false">
      <c r="A533" s="7" t="s">
        <v>2989</v>
      </c>
      <c r="B533" s="7" t="s">
        <v>6983</v>
      </c>
      <c r="C533" s="7" t="s">
        <v>8004</v>
      </c>
    </row>
    <row r="534" customFormat="false" ht="15" hidden="false" customHeight="true" outlineLevel="0" collapsed="false">
      <c r="A534" s="7" t="s">
        <v>2989</v>
      </c>
      <c r="B534" s="7" t="s">
        <v>6977</v>
      </c>
      <c r="C534" s="7" t="s">
        <v>8004</v>
      </c>
    </row>
    <row r="535" customFormat="false" ht="15" hidden="false" customHeight="true" outlineLevel="0" collapsed="false">
      <c r="A535" s="7" t="s">
        <v>2989</v>
      </c>
      <c r="B535" s="7" t="s">
        <v>6982</v>
      </c>
      <c r="C535" s="7" t="s">
        <v>8004</v>
      </c>
    </row>
    <row r="536" customFormat="false" ht="15" hidden="false" customHeight="true" outlineLevel="0" collapsed="false">
      <c r="A536" s="7" t="s">
        <v>3018</v>
      </c>
      <c r="B536" s="7" t="s">
        <v>3018</v>
      </c>
      <c r="C536" s="7" t="s">
        <v>8004</v>
      </c>
    </row>
    <row r="537" customFormat="false" ht="15" hidden="false" customHeight="true" outlineLevel="0" collapsed="false">
      <c r="A537" s="7" t="s">
        <v>3018</v>
      </c>
      <c r="B537" s="7" t="s">
        <v>3022</v>
      </c>
      <c r="C537" s="7" t="s">
        <v>8004</v>
      </c>
    </row>
    <row r="538" customFormat="false" ht="15" hidden="false" customHeight="true" outlineLevel="0" collapsed="false">
      <c r="A538" s="7" t="s">
        <v>3018</v>
      </c>
      <c r="B538" s="7" t="s">
        <v>6977</v>
      </c>
      <c r="C538" s="7" t="s">
        <v>8004</v>
      </c>
    </row>
    <row r="539" customFormat="false" ht="15" hidden="false" customHeight="true" outlineLevel="0" collapsed="false">
      <c r="A539" s="7" t="s">
        <v>3018</v>
      </c>
      <c r="B539" s="7" t="s">
        <v>6981</v>
      </c>
      <c r="C539" s="7" t="s">
        <v>8004</v>
      </c>
    </row>
    <row r="540" customFormat="false" ht="15" hidden="false" customHeight="true" outlineLevel="0" collapsed="false">
      <c r="A540" s="7" t="s">
        <v>3018</v>
      </c>
      <c r="B540" s="7" t="s">
        <v>6978</v>
      </c>
      <c r="C540" s="7" t="s">
        <v>8004</v>
      </c>
    </row>
    <row r="541" customFormat="false" ht="15" hidden="false" customHeight="true" outlineLevel="0" collapsed="false">
      <c r="A541" s="7" t="s">
        <v>3018</v>
      </c>
      <c r="B541" s="7" t="s">
        <v>6979</v>
      </c>
      <c r="C541" s="7" t="s">
        <v>8004</v>
      </c>
    </row>
    <row r="542" customFormat="false" ht="15" hidden="false" customHeight="true" outlineLevel="0" collapsed="false">
      <c r="A542" s="7" t="s">
        <v>3018</v>
      </c>
      <c r="B542" s="7" t="s">
        <v>6980</v>
      </c>
      <c r="C542" s="7" t="s">
        <v>8004</v>
      </c>
    </row>
    <row r="543" customFormat="false" ht="15" hidden="false" customHeight="true" outlineLevel="0" collapsed="false">
      <c r="A543" s="7" t="s">
        <v>3018</v>
      </c>
      <c r="B543" s="7" t="s">
        <v>8267</v>
      </c>
      <c r="C543" s="7"/>
    </row>
    <row r="544" customFormat="false" ht="15" hidden="false" customHeight="true" outlineLevel="0" collapsed="false">
      <c r="A544" s="7" t="s">
        <v>3018</v>
      </c>
      <c r="B544" s="7" t="s">
        <v>8268</v>
      </c>
      <c r="C544" s="7"/>
    </row>
    <row r="545" customFormat="false" ht="15" hidden="false" customHeight="true" outlineLevel="0" collapsed="false">
      <c r="A545" s="7" t="s">
        <v>3018</v>
      </c>
      <c r="B545" s="7" t="s">
        <v>8269</v>
      </c>
      <c r="C545" s="7"/>
    </row>
    <row r="546" customFormat="false" ht="15" hidden="false" customHeight="true" outlineLevel="0" collapsed="false">
      <c r="A546" s="7" t="s">
        <v>265</v>
      </c>
      <c r="B546" s="7" t="s">
        <v>265</v>
      </c>
      <c r="C546" s="7" t="s">
        <v>8004</v>
      </c>
    </row>
    <row r="547" customFormat="false" ht="15" hidden="false" customHeight="true" outlineLevel="0" collapsed="false">
      <c r="A547" s="7" t="s">
        <v>265</v>
      </c>
      <c r="B547" s="7" t="s">
        <v>8270</v>
      </c>
      <c r="C547" s="7"/>
    </row>
    <row r="548" customFormat="false" ht="15" hidden="false" customHeight="true" outlineLevel="0" collapsed="false">
      <c r="A548" s="7" t="s">
        <v>265</v>
      </c>
      <c r="B548" s="7" t="s">
        <v>8271</v>
      </c>
      <c r="C548" s="7"/>
    </row>
    <row r="549" customFormat="false" ht="15" hidden="false" customHeight="true" outlineLevel="0" collapsed="false">
      <c r="A549" s="7" t="s">
        <v>265</v>
      </c>
      <c r="B549" s="7" t="s">
        <v>8272</v>
      </c>
      <c r="C549" s="7"/>
    </row>
    <row r="550" customFormat="false" ht="15" hidden="false" customHeight="true" outlineLevel="0" collapsed="false">
      <c r="A550" s="7" t="s">
        <v>265</v>
      </c>
      <c r="B550" s="7" t="s">
        <v>8273</v>
      </c>
      <c r="C550" s="7"/>
    </row>
    <row r="551" customFormat="false" ht="15" hidden="false" customHeight="true" outlineLevel="0" collapsed="false">
      <c r="A551" s="7" t="s">
        <v>265</v>
      </c>
      <c r="B551" s="7" t="s">
        <v>8274</v>
      </c>
      <c r="C551" s="7"/>
    </row>
    <row r="552" customFormat="false" ht="15" hidden="false" customHeight="true" outlineLevel="0" collapsed="false">
      <c r="A552" s="7" t="s">
        <v>265</v>
      </c>
      <c r="B552" s="7" t="s">
        <v>8275</v>
      </c>
      <c r="C552" s="7"/>
    </row>
    <row r="553" customFormat="false" ht="15" hidden="false" customHeight="true" outlineLevel="0" collapsed="false">
      <c r="A553" s="7" t="s">
        <v>265</v>
      </c>
      <c r="B553" s="7" t="s">
        <v>8276</v>
      </c>
      <c r="C553" s="7"/>
    </row>
    <row r="554" customFormat="false" ht="15" hidden="false" customHeight="true" outlineLevel="0" collapsed="false">
      <c r="A554" s="7" t="s">
        <v>265</v>
      </c>
      <c r="B554" s="7" t="s">
        <v>8277</v>
      </c>
      <c r="C554" s="7"/>
    </row>
    <row r="555" customFormat="false" ht="15" hidden="false" customHeight="true" outlineLevel="0" collapsed="false">
      <c r="A555" s="7" t="s">
        <v>265</v>
      </c>
      <c r="B555" s="7" t="s">
        <v>8278</v>
      </c>
      <c r="C555" s="7"/>
    </row>
    <row r="556" customFormat="false" ht="15" hidden="false" customHeight="true" outlineLevel="0" collapsed="false">
      <c r="A556" s="7" t="s">
        <v>8279</v>
      </c>
      <c r="B556" s="7" t="s">
        <v>6762</v>
      </c>
      <c r="C556" s="7" t="s">
        <v>8004</v>
      </c>
    </row>
    <row r="557" customFormat="false" ht="15" hidden="false" customHeight="true" outlineLevel="0" collapsed="false">
      <c r="A557" s="7" t="s">
        <v>8279</v>
      </c>
      <c r="B557" s="7" t="s">
        <v>6760</v>
      </c>
      <c r="C557" s="7" t="s">
        <v>8004</v>
      </c>
    </row>
    <row r="558" customFormat="false" ht="15" hidden="false" customHeight="true" outlineLevel="0" collapsed="false">
      <c r="A558" s="7" t="s">
        <v>8279</v>
      </c>
      <c r="B558" s="7" t="s">
        <v>6761</v>
      </c>
      <c r="C558" s="7" t="s">
        <v>8004</v>
      </c>
    </row>
    <row r="559" customFormat="false" ht="15" hidden="false" customHeight="true" outlineLevel="0" collapsed="false">
      <c r="A559" s="7" t="s">
        <v>8279</v>
      </c>
      <c r="B559" s="7" t="s">
        <v>6773</v>
      </c>
      <c r="C559" s="7" t="s">
        <v>8004</v>
      </c>
    </row>
    <row r="560" customFormat="false" ht="15" hidden="false" customHeight="true" outlineLevel="0" collapsed="false">
      <c r="A560" s="7" t="s">
        <v>8279</v>
      </c>
      <c r="B560" s="7" t="s">
        <v>6774</v>
      </c>
      <c r="C560" s="7" t="s">
        <v>8004</v>
      </c>
    </row>
    <row r="561" customFormat="false" ht="15" hidden="false" customHeight="true" outlineLevel="0" collapsed="false">
      <c r="A561" s="7" t="s">
        <v>8279</v>
      </c>
      <c r="B561" s="7" t="s">
        <v>8280</v>
      </c>
      <c r="C561" s="7"/>
    </row>
    <row r="562" customFormat="false" ht="15" hidden="false" customHeight="true" outlineLevel="0" collapsed="false">
      <c r="A562" s="7" t="s">
        <v>8279</v>
      </c>
      <c r="B562" s="7" t="s">
        <v>8281</v>
      </c>
      <c r="C562" s="7"/>
    </row>
    <row r="563" customFormat="false" ht="15" hidden="false" customHeight="true" outlineLevel="0" collapsed="false">
      <c r="A563" s="7" t="s">
        <v>8279</v>
      </c>
      <c r="B563" s="7" t="s">
        <v>6777</v>
      </c>
      <c r="C563" s="7" t="s">
        <v>8004</v>
      </c>
    </row>
    <row r="564" customFormat="false" ht="15" hidden="false" customHeight="true" outlineLevel="0" collapsed="false">
      <c r="A564" s="7" t="s">
        <v>6763</v>
      </c>
      <c r="B564" s="7" t="s">
        <v>6768</v>
      </c>
      <c r="C564" s="7" t="s">
        <v>8004</v>
      </c>
    </row>
    <row r="565" customFormat="false" ht="15" hidden="false" customHeight="true" outlineLevel="0" collapsed="false">
      <c r="A565" s="7" t="s">
        <v>6763</v>
      </c>
      <c r="B565" s="7" t="s">
        <v>6767</v>
      </c>
      <c r="C565" s="7" t="s">
        <v>8004</v>
      </c>
    </row>
    <row r="566" customFormat="false" ht="15" hidden="false" customHeight="true" outlineLevel="0" collapsed="false">
      <c r="A566" s="7" t="s">
        <v>6763</v>
      </c>
      <c r="B566" s="7" t="s">
        <v>6770</v>
      </c>
      <c r="C566" s="7" t="s">
        <v>8004</v>
      </c>
    </row>
    <row r="567" customFormat="false" ht="15" hidden="false" customHeight="true" outlineLevel="0" collapsed="false">
      <c r="A567" s="7" t="s">
        <v>6763</v>
      </c>
      <c r="B567" s="7" t="s">
        <v>6764</v>
      </c>
      <c r="C567" s="7" t="s">
        <v>8004</v>
      </c>
    </row>
    <row r="568" customFormat="false" ht="15" hidden="false" customHeight="true" outlineLevel="0" collapsed="false">
      <c r="A568" s="7" t="s">
        <v>6763</v>
      </c>
      <c r="B568" s="7" t="s">
        <v>6763</v>
      </c>
      <c r="C568" s="7" t="s">
        <v>8004</v>
      </c>
    </row>
    <row r="569" customFormat="false" ht="15" hidden="false" customHeight="true" outlineLevel="0" collapsed="false">
      <c r="A569" s="7" t="s">
        <v>6763</v>
      </c>
      <c r="B569" s="7" t="s">
        <v>6765</v>
      </c>
      <c r="C569" s="7" t="s">
        <v>8004</v>
      </c>
    </row>
    <row r="570" customFormat="false" ht="15" hidden="false" customHeight="true" outlineLevel="0" collapsed="false">
      <c r="A570" s="7" t="s">
        <v>6763</v>
      </c>
      <c r="B570" s="7" t="s">
        <v>6766</v>
      </c>
      <c r="C570" s="7" t="s">
        <v>8004</v>
      </c>
    </row>
    <row r="571" customFormat="false" ht="15" hidden="false" customHeight="true" outlineLevel="0" collapsed="false">
      <c r="A571" s="7" t="s">
        <v>6763</v>
      </c>
      <c r="B571" s="7" t="s">
        <v>6771</v>
      </c>
      <c r="C571" s="7" t="s">
        <v>8004</v>
      </c>
    </row>
    <row r="572" customFormat="false" ht="15" hidden="false" customHeight="true" outlineLevel="0" collapsed="false">
      <c r="A572" s="7" t="s">
        <v>6763</v>
      </c>
      <c r="B572" s="7" t="s">
        <v>6772</v>
      </c>
      <c r="C572" s="7" t="s">
        <v>8004</v>
      </c>
    </row>
    <row r="573" customFormat="false" ht="15" hidden="false" customHeight="true" outlineLevel="0" collapsed="false">
      <c r="A573" s="7" t="s">
        <v>6763</v>
      </c>
      <c r="B573" s="7" t="s">
        <v>6769</v>
      </c>
      <c r="C573" s="7" t="s">
        <v>8004</v>
      </c>
    </row>
    <row r="574" customFormat="false" ht="15" hidden="false" customHeight="true" outlineLevel="0" collapsed="false">
      <c r="A574" s="7" t="s">
        <v>3065</v>
      </c>
      <c r="B574" s="7" t="s">
        <v>3065</v>
      </c>
      <c r="C574" s="7" t="s">
        <v>8004</v>
      </c>
    </row>
    <row r="575" customFormat="false" ht="15" hidden="false" customHeight="true" outlineLevel="0" collapsed="false">
      <c r="A575" s="7" t="s">
        <v>3065</v>
      </c>
      <c r="B575" s="7" t="s">
        <v>6991</v>
      </c>
      <c r="C575" s="7" t="s">
        <v>8004</v>
      </c>
    </row>
    <row r="576" customFormat="false" ht="15" hidden="false" customHeight="true" outlineLevel="0" collapsed="false">
      <c r="A576" s="7" t="s">
        <v>3065</v>
      </c>
      <c r="B576" s="7" t="s">
        <v>6987</v>
      </c>
      <c r="C576" s="7" t="s">
        <v>8004</v>
      </c>
    </row>
    <row r="577" customFormat="false" ht="15" hidden="false" customHeight="true" outlineLevel="0" collapsed="false">
      <c r="A577" s="7" t="s">
        <v>3065</v>
      </c>
      <c r="B577" s="7" t="s">
        <v>8282</v>
      </c>
      <c r="C577" s="7"/>
    </row>
    <row r="578" customFormat="false" ht="15" hidden="false" customHeight="true" outlineLevel="0" collapsed="false">
      <c r="A578" s="7" t="s">
        <v>3065</v>
      </c>
      <c r="B578" s="7" t="s">
        <v>6989</v>
      </c>
      <c r="C578" s="7" t="s">
        <v>8004</v>
      </c>
    </row>
    <row r="579" customFormat="false" ht="15" hidden="false" customHeight="true" outlineLevel="0" collapsed="false">
      <c r="A579" s="7" t="s">
        <v>3065</v>
      </c>
      <c r="B579" s="7" t="s">
        <v>6990</v>
      </c>
      <c r="C579" s="7" t="s">
        <v>8004</v>
      </c>
    </row>
    <row r="580" customFormat="false" ht="15" hidden="false" customHeight="true" outlineLevel="0" collapsed="false">
      <c r="A580" s="7" t="s">
        <v>3065</v>
      </c>
      <c r="B580" s="7" t="s">
        <v>6986</v>
      </c>
      <c r="C580" s="7" t="s">
        <v>8004</v>
      </c>
    </row>
    <row r="581" customFormat="false" ht="15" hidden="false" customHeight="true" outlineLevel="0" collapsed="false">
      <c r="A581" s="7" t="s">
        <v>3065</v>
      </c>
      <c r="B581" s="7" t="s">
        <v>6988</v>
      </c>
      <c r="C581" s="7" t="s">
        <v>8004</v>
      </c>
    </row>
    <row r="582" customFormat="false" ht="15" hidden="false" customHeight="true" outlineLevel="0" collapsed="false">
      <c r="A582" s="7" t="s">
        <v>3065</v>
      </c>
      <c r="B582" s="7" t="s">
        <v>8283</v>
      </c>
      <c r="C582" s="7"/>
    </row>
    <row r="583" customFormat="false" ht="15" hidden="false" customHeight="true" outlineLevel="0" collapsed="false">
      <c r="A583" s="7" t="s">
        <v>3031</v>
      </c>
      <c r="B583" s="7" t="s">
        <v>3031</v>
      </c>
      <c r="C583" s="7" t="s">
        <v>8004</v>
      </c>
    </row>
    <row r="584" customFormat="false" ht="15" hidden="false" customHeight="true" outlineLevel="0" collapsed="false">
      <c r="A584" s="7" t="s">
        <v>3031</v>
      </c>
      <c r="B584" s="7" t="s">
        <v>6994</v>
      </c>
      <c r="C584" s="7" t="s">
        <v>8004</v>
      </c>
    </row>
    <row r="585" customFormat="false" ht="15" hidden="false" customHeight="true" outlineLevel="0" collapsed="false">
      <c r="A585" s="7" t="s">
        <v>3031</v>
      </c>
      <c r="B585" s="7" t="s">
        <v>6995</v>
      </c>
      <c r="C585" s="7" t="s">
        <v>8004</v>
      </c>
    </row>
    <row r="586" customFormat="false" ht="15" hidden="false" customHeight="true" outlineLevel="0" collapsed="false">
      <c r="A586" s="7" t="s">
        <v>3031</v>
      </c>
      <c r="B586" s="7" t="s">
        <v>3035</v>
      </c>
      <c r="C586" s="7" t="s">
        <v>8004</v>
      </c>
    </row>
    <row r="587" customFormat="false" ht="15" hidden="false" customHeight="true" outlineLevel="0" collapsed="false">
      <c r="A587" s="7" t="s">
        <v>3031</v>
      </c>
      <c r="B587" s="7" t="s">
        <v>6992</v>
      </c>
      <c r="C587" s="7" t="s">
        <v>8004</v>
      </c>
    </row>
    <row r="588" customFormat="false" ht="15" hidden="false" customHeight="true" outlineLevel="0" collapsed="false">
      <c r="A588" s="7" t="s">
        <v>3031</v>
      </c>
      <c r="B588" s="7" t="s">
        <v>3034</v>
      </c>
      <c r="C588" s="7" t="s">
        <v>8004</v>
      </c>
    </row>
    <row r="589" customFormat="false" ht="15" hidden="false" customHeight="true" outlineLevel="0" collapsed="false">
      <c r="A589" s="7" t="s">
        <v>3031</v>
      </c>
      <c r="B589" s="7" t="s">
        <v>6993</v>
      </c>
      <c r="C589" s="7" t="s">
        <v>8004</v>
      </c>
    </row>
    <row r="590" customFormat="false" ht="15" hidden="false" customHeight="true" outlineLevel="0" collapsed="false">
      <c r="A590" s="7" t="s">
        <v>3031</v>
      </c>
      <c r="B590" s="7" t="s">
        <v>8284</v>
      </c>
      <c r="C590" s="7"/>
    </row>
    <row r="591" customFormat="false" ht="15" hidden="false" customHeight="true" outlineLevel="0" collapsed="false">
      <c r="A591" s="7" t="s">
        <v>3031</v>
      </c>
      <c r="B591" s="7" t="s">
        <v>8285</v>
      </c>
      <c r="C591" s="7"/>
    </row>
    <row r="592" customFormat="false" ht="15" hidden="false" customHeight="true" outlineLevel="0" collapsed="false">
      <c r="A592" s="7" t="s">
        <v>3031</v>
      </c>
      <c r="B592" s="7" t="s">
        <v>8286</v>
      </c>
      <c r="C592" s="7"/>
    </row>
    <row r="593" customFormat="false" ht="15" hidden="false" customHeight="true" outlineLevel="0" collapsed="false">
      <c r="A593" s="7" t="s">
        <v>3075</v>
      </c>
      <c r="B593" s="7" t="s">
        <v>3075</v>
      </c>
      <c r="C593" s="7" t="s">
        <v>8004</v>
      </c>
    </row>
    <row r="594" customFormat="false" ht="15" hidden="false" customHeight="true" outlineLevel="0" collapsed="false">
      <c r="A594" s="7" t="s">
        <v>3075</v>
      </c>
      <c r="B594" s="7" t="s">
        <v>6998</v>
      </c>
      <c r="C594" s="7" t="s">
        <v>8004</v>
      </c>
    </row>
    <row r="595" customFormat="false" ht="15" hidden="false" customHeight="true" outlineLevel="0" collapsed="false">
      <c r="A595" s="7" t="s">
        <v>3075</v>
      </c>
      <c r="B595" s="7" t="s">
        <v>6996</v>
      </c>
      <c r="C595" s="7" t="s">
        <v>8004</v>
      </c>
    </row>
    <row r="596" customFormat="false" ht="15" hidden="false" customHeight="true" outlineLevel="0" collapsed="false">
      <c r="A596" s="7" t="s">
        <v>3075</v>
      </c>
      <c r="B596" s="7" t="s">
        <v>6997</v>
      </c>
      <c r="C596" s="7" t="s">
        <v>8004</v>
      </c>
    </row>
    <row r="597" customFormat="false" ht="15" hidden="false" customHeight="true" outlineLevel="0" collapsed="false">
      <c r="A597" s="7" t="s">
        <v>3075</v>
      </c>
      <c r="B597" s="7" t="s">
        <v>8287</v>
      </c>
      <c r="C597" s="7"/>
    </row>
    <row r="598" customFormat="false" ht="15" hidden="false" customHeight="true" outlineLevel="0" collapsed="false">
      <c r="A598" s="7" t="s">
        <v>3075</v>
      </c>
      <c r="B598" s="7" t="s">
        <v>8288</v>
      </c>
      <c r="C598" s="7"/>
    </row>
    <row r="599" customFormat="false" ht="15" hidden="false" customHeight="true" outlineLevel="0" collapsed="false">
      <c r="A599" s="7" t="s">
        <v>3075</v>
      </c>
      <c r="B599" s="7" t="s">
        <v>7000</v>
      </c>
      <c r="C599" s="7" t="s">
        <v>8004</v>
      </c>
    </row>
    <row r="600" customFormat="false" ht="15" hidden="false" customHeight="true" outlineLevel="0" collapsed="false">
      <c r="A600" s="7" t="s">
        <v>3075</v>
      </c>
      <c r="B600" s="7" t="s">
        <v>6999</v>
      </c>
      <c r="C600" s="7" t="s">
        <v>8004</v>
      </c>
    </row>
    <row r="601" customFormat="false" ht="15" hidden="false" customHeight="true" outlineLevel="0" collapsed="false">
      <c r="A601" s="7" t="s">
        <v>3075</v>
      </c>
      <c r="B601" s="7" t="s">
        <v>8289</v>
      </c>
      <c r="C601" s="7"/>
    </row>
    <row r="602" customFormat="false" ht="15" hidden="false" customHeight="true" outlineLevel="0" collapsed="false">
      <c r="A602" s="7" t="s">
        <v>3075</v>
      </c>
      <c r="B602" s="7" t="s">
        <v>8290</v>
      </c>
      <c r="C602" s="7"/>
    </row>
    <row r="603" customFormat="false" ht="15" hidden="false" customHeight="true" outlineLevel="0" collapsed="false">
      <c r="A603" s="7" t="s">
        <v>3085</v>
      </c>
      <c r="B603" s="7" t="s">
        <v>3085</v>
      </c>
      <c r="C603" s="7" t="s">
        <v>8004</v>
      </c>
    </row>
    <row r="604" customFormat="false" ht="15" hidden="false" customHeight="true" outlineLevel="0" collapsed="false">
      <c r="A604" s="7" t="s">
        <v>3085</v>
      </c>
      <c r="B604" s="7" t="s">
        <v>7001</v>
      </c>
      <c r="C604" s="7" t="s">
        <v>8004</v>
      </c>
    </row>
    <row r="605" customFormat="false" ht="15" hidden="false" customHeight="true" outlineLevel="0" collapsed="false">
      <c r="A605" s="7" t="s">
        <v>3085</v>
      </c>
      <c r="B605" s="7" t="s">
        <v>8291</v>
      </c>
      <c r="C605" s="7"/>
    </row>
    <row r="606" customFormat="false" ht="15" hidden="false" customHeight="true" outlineLevel="0" collapsed="false">
      <c r="A606" s="7" t="s">
        <v>3085</v>
      </c>
      <c r="B606" s="7" t="s">
        <v>7003</v>
      </c>
      <c r="C606" s="7" t="s">
        <v>8004</v>
      </c>
    </row>
    <row r="607" customFormat="false" ht="15" hidden="false" customHeight="true" outlineLevel="0" collapsed="false">
      <c r="A607" s="7" t="s">
        <v>3085</v>
      </c>
      <c r="B607" s="7" t="s">
        <v>7002</v>
      </c>
      <c r="C607" s="7" t="s">
        <v>8004</v>
      </c>
    </row>
    <row r="608" customFormat="false" ht="15" hidden="false" customHeight="true" outlineLevel="0" collapsed="false">
      <c r="A608" s="7" t="s">
        <v>3085</v>
      </c>
      <c r="B608" s="7" t="s">
        <v>8290</v>
      </c>
      <c r="C608" s="7"/>
    </row>
    <row r="609" customFormat="false" ht="15" hidden="false" customHeight="true" outlineLevel="0" collapsed="false">
      <c r="A609" s="7" t="s">
        <v>3095</v>
      </c>
      <c r="B609" s="7" t="s">
        <v>3095</v>
      </c>
      <c r="C609" s="7" t="s">
        <v>8004</v>
      </c>
    </row>
    <row r="610" customFormat="false" ht="15" hidden="false" customHeight="true" outlineLevel="0" collapsed="false">
      <c r="A610" s="7" t="s">
        <v>3095</v>
      </c>
      <c r="B610" s="7" t="s">
        <v>7007</v>
      </c>
      <c r="C610" s="7" t="s">
        <v>8004</v>
      </c>
    </row>
    <row r="611" customFormat="false" ht="15" hidden="false" customHeight="true" outlineLevel="0" collapsed="false">
      <c r="A611" s="7" t="s">
        <v>3095</v>
      </c>
      <c r="B611" s="7" t="s">
        <v>7009</v>
      </c>
      <c r="C611" s="7" t="s">
        <v>8004</v>
      </c>
    </row>
    <row r="612" customFormat="false" ht="15" hidden="false" customHeight="true" outlineLevel="0" collapsed="false">
      <c r="A612" s="7" t="s">
        <v>3095</v>
      </c>
      <c r="B612" s="7" t="s">
        <v>7005</v>
      </c>
      <c r="C612" s="7" t="s">
        <v>8004</v>
      </c>
    </row>
    <row r="613" customFormat="false" ht="15" hidden="false" customHeight="true" outlineLevel="0" collapsed="false">
      <c r="A613" s="7" t="s">
        <v>3095</v>
      </c>
      <c r="B613" s="7" t="s">
        <v>7004</v>
      </c>
      <c r="C613" s="7" t="s">
        <v>8004</v>
      </c>
    </row>
    <row r="614" customFormat="false" ht="15" hidden="false" customHeight="true" outlineLevel="0" collapsed="false">
      <c r="A614" s="7" t="s">
        <v>3095</v>
      </c>
      <c r="B614" s="7" t="s">
        <v>8292</v>
      </c>
      <c r="C614" s="7"/>
    </row>
    <row r="615" customFormat="false" ht="15" hidden="false" customHeight="true" outlineLevel="0" collapsed="false">
      <c r="A615" s="7" t="s">
        <v>3095</v>
      </c>
      <c r="B615" s="7" t="s">
        <v>8293</v>
      </c>
      <c r="C615" s="7"/>
    </row>
    <row r="616" customFormat="false" ht="15" hidden="false" customHeight="true" outlineLevel="0" collapsed="false">
      <c r="A616" s="7" t="s">
        <v>3095</v>
      </c>
      <c r="B616" s="7" t="s">
        <v>8294</v>
      </c>
      <c r="C616" s="7"/>
    </row>
    <row r="617" customFormat="false" ht="15" hidden="false" customHeight="true" outlineLevel="0" collapsed="false">
      <c r="A617" s="7" t="s">
        <v>3095</v>
      </c>
      <c r="B617" s="7" t="s">
        <v>7006</v>
      </c>
      <c r="C617" s="7" t="s">
        <v>8004</v>
      </c>
    </row>
    <row r="618" customFormat="false" ht="15" hidden="false" customHeight="true" outlineLevel="0" collapsed="false">
      <c r="A618" s="7" t="s">
        <v>3095</v>
      </c>
      <c r="B618" s="7" t="s">
        <v>7008</v>
      </c>
      <c r="C618" s="7" t="s">
        <v>8004</v>
      </c>
    </row>
    <row r="619" customFormat="false" ht="15" hidden="false" customHeight="true" outlineLevel="0" collapsed="false">
      <c r="A619" s="7" t="s">
        <v>3054</v>
      </c>
      <c r="B619" s="7" t="s">
        <v>3054</v>
      </c>
      <c r="C619" s="7" t="s">
        <v>8004</v>
      </c>
    </row>
    <row r="620" customFormat="false" ht="15" hidden="false" customHeight="true" outlineLevel="0" collapsed="false">
      <c r="A620" s="7" t="s">
        <v>3054</v>
      </c>
      <c r="B620" s="7" t="s">
        <v>3057</v>
      </c>
      <c r="C620" s="7" t="s">
        <v>8004</v>
      </c>
    </row>
    <row r="621" customFormat="false" ht="15" hidden="false" customHeight="true" outlineLevel="0" collapsed="false">
      <c r="A621" s="7" t="s">
        <v>3054</v>
      </c>
      <c r="B621" s="7" t="s">
        <v>7013</v>
      </c>
      <c r="C621" s="7" t="s">
        <v>8004</v>
      </c>
    </row>
    <row r="622" customFormat="false" ht="15" hidden="false" customHeight="true" outlineLevel="0" collapsed="false">
      <c r="A622" s="7" t="s">
        <v>3054</v>
      </c>
      <c r="B622" s="7" t="s">
        <v>7011</v>
      </c>
      <c r="C622" s="7" t="s">
        <v>8004</v>
      </c>
    </row>
    <row r="623" customFormat="false" ht="15" hidden="false" customHeight="true" outlineLevel="0" collapsed="false">
      <c r="A623" s="7" t="s">
        <v>3054</v>
      </c>
      <c r="B623" s="7" t="s">
        <v>7010</v>
      </c>
      <c r="C623" s="7" t="s">
        <v>8004</v>
      </c>
    </row>
    <row r="624" customFormat="false" ht="15" hidden="false" customHeight="true" outlineLevel="0" collapsed="false">
      <c r="A624" s="7" t="s">
        <v>3054</v>
      </c>
      <c r="B624" s="7" t="s">
        <v>8295</v>
      </c>
      <c r="C624" s="7"/>
    </row>
    <row r="625" customFormat="false" ht="15" hidden="false" customHeight="true" outlineLevel="0" collapsed="false">
      <c r="A625" s="7" t="s">
        <v>3054</v>
      </c>
      <c r="B625" s="7" t="s">
        <v>7012</v>
      </c>
      <c r="C625" s="7" t="s">
        <v>8004</v>
      </c>
    </row>
    <row r="626" customFormat="false" ht="15" hidden="false" customHeight="true" outlineLevel="0" collapsed="false">
      <c r="A626" s="7" t="s">
        <v>3054</v>
      </c>
      <c r="B626" s="7" t="s">
        <v>8296</v>
      </c>
      <c r="C626" s="7"/>
    </row>
    <row r="627" customFormat="false" ht="15" hidden="false" customHeight="true" outlineLevel="0" collapsed="false">
      <c r="A627" s="7" t="s">
        <v>3054</v>
      </c>
      <c r="B627" s="7" t="s">
        <v>7014</v>
      </c>
      <c r="C627" s="7" t="s">
        <v>8004</v>
      </c>
    </row>
    <row r="628" customFormat="false" ht="15" hidden="false" customHeight="true" outlineLevel="0" collapsed="false">
      <c r="A628" s="7" t="s">
        <v>3054</v>
      </c>
      <c r="B628" s="7" t="s">
        <v>8297</v>
      </c>
      <c r="C628" s="7"/>
    </row>
    <row r="629" customFormat="false" ht="15" hidden="false" customHeight="true" outlineLevel="0" collapsed="false">
      <c r="A629" s="7" t="s">
        <v>271</v>
      </c>
      <c r="B629" s="7" t="s">
        <v>271</v>
      </c>
      <c r="C629" s="7" t="s">
        <v>8004</v>
      </c>
    </row>
    <row r="630" customFormat="false" ht="15" hidden="false" customHeight="true" outlineLevel="0" collapsed="false">
      <c r="A630" s="7" t="s">
        <v>271</v>
      </c>
      <c r="B630" s="7" t="s">
        <v>8298</v>
      </c>
      <c r="C630" s="7"/>
    </row>
    <row r="631" customFormat="false" ht="15" hidden="false" customHeight="true" outlineLevel="0" collapsed="false">
      <c r="A631" s="7" t="s">
        <v>271</v>
      </c>
      <c r="B631" s="7" t="s">
        <v>8299</v>
      </c>
      <c r="C631" s="7"/>
    </row>
    <row r="632" customFormat="false" ht="15" hidden="false" customHeight="true" outlineLevel="0" collapsed="false">
      <c r="A632" s="7" t="s">
        <v>271</v>
      </c>
      <c r="B632" s="7" t="s">
        <v>8300</v>
      </c>
      <c r="C632" s="7"/>
    </row>
    <row r="633" customFormat="false" ht="15" hidden="false" customHeight="true" outlineLevel="0" collapsed="false">
      <c r="A633" s="7" t="s">
        <v>271</v>
      </c>
      <c r="B633" s="7" t="s">
        <v>8301</v>
      </c>
      <c r="C633" s="7"/>
    </row>
    <row r="634" customFormat="false" ht="15" hidden="false" customHeight="true" outlineLevel="0" collapsed="false">
      <c r="A634" s="7" t="s">
        <v>271</v>
      </c>
      <c r="B634" s="7" t="s">
        <v>8302</v>
      </c>
      <c r="C634" s="7"/>
    </row>
    <row r="635" customFormat="false" ht="15" hidden="false" customHeight="true" outlineLevel="0" collapsed="false">
      <c r="A635" s="7" t="s">
        <v>271</v>
      </c>
      <c r="B635" s="7" t="s">
        <v>8303</v>
      </c>
      <c r="C635" s="7"/>
    </row>
    <row r="636" customFormat="false" ht="15" hidden="false" customHeight="true" outlineLevel="0" collapsed="false">
      <c r="A636" s="7" t="s">
        <v>271</v>
      </c>
      <c r="B636" s="7" t="s">
        <v>8304</v>
      </c>
      <c r="C636" s="7"/>
    </row>
    <row r="637" customFormat="false" ht="15" hidden="false" customHeight="true" outlineLevel="0" collapsed="false">
      <c r="A637" s="7" t="s">
        <v>271</v>
      </c>
      <c r="B637" s="7" t="s">
        <v>8305</v>
      </c>
      <c r="C637" s="7"/>
    </row>
    <row r="638" customFormat="false" ht="15" hidden="false" customHeight="true" outlineLevel="0" collapsed="false">
      <c r="A638" s="7" t="s">
        <v>271</v>
      </c>
      <c r="B638" s="7" t="s">
        <v>8306</v>
      </c>
      <c r="C638" s="7"/>
    </row>
    <row r="639" customFormat="false" ht="15" hidden="false" customHeight="true" outlineLevel="0" collapsed="false">
      <c r="A639" s="7" t="s">
        <v>3105</v>
      </c>
      <c r="B639" s="7" t="s">
        <v>3105</v>
      </c>
      <c r="C639" s="7" t="s">
        <v>8004</v>
      </c>
    </row>
    <row r="640" customFormat="false" ht="15" hidden="false" customHeight="true" outlineLevel="0" collapsed="false">
      <c r="A640" s="7" t="s">
        <v>3105</v>
      </c>
      <c r="B640" s="7" t="s">
        <v>7019</v>
      </c>
      <c r="C640" s="7" t="s">
        <v>8004</v>
      </c>
    </row>
    <row r="641" customFormat="false" ht="15" hidden="false" customHeight="true" outlineLevel="0" collapsed="false">
      <c r="A641" s="7" t="s">
        <v>3105</v>
      </c>
      <c r="B641" s="7" t="s">
        <v>7016</v>
      </c>
      <c r="C641" s="7" t="s">
        <v>8004</v>
      </c>
    </row>
    <row r="642" customFormat="false" ht="15" hidden="false" customHeight="true" outlineLevel="0" collapsed="false">
      <c r="A642" s="7" t="s">
        <v>3105</v>
      </c>
      <c r="B642" s="7" t="s">
        <v>8307</v>
      </c>
      <c r="C642" s="7"/>
    </row>
    <row r="643" customFormat="false" ht="15" hidden="false" customHeight="true" outlineLevel="0" collapsed="false">
      <c r="A643" s="7" t="s">
        <v>3105</v>
      </c>
      <c r="B643" s="7" t="s">
        <v>7017</v>
      </c>
      <c r="C643" s="7" t="s">
        <v>8004</v>
      </c>
    </row>
    <row r="644" customFormat="false" ht="15" hidden="false" customHeight="true" outlineLevel="0" collapsed="false">
      <c r="A644" s="7" t="s">
        <v>3105</v>
      </c>
      <c r="B644" s="7" t="s">
        <v>6985</v>
      </c>
      <c r="C644" s="7" t="s">
        <v>8004</v>
      </c>
    </row>
    <row r="645" customFormat="false" ht="15" hidden="false" customHeight="true" outlineLevel="0" collapsed="false">
      <c r="A645" s="7" t="s">
        <v>3105</v>
      </c>
      <c r="B645" s="7" t="s">
        <v>7018</v>
      </c>
      <c r="C645" s="7" t="s">
        <v>8004</v>
      </c>
    </row>
    <row r="646" customFormat="false" ht="15" hidden="false" customHeight="true" outlineLevel="0" collapsed="false">
      <c r="A646" s="7" t="s">
        <v>3105</v>
      </c>
      <c r="B646" s="7" t="s">
        <v>7015</v>
      </c>
      <c r="C646" s="7" t="s">
        <v>8004</v>
      </c>
    </row>
    <row r="647" customFormat="false" ht="15" hidden="false" customHeight="true" outlineLevel="0" collapsed="false">
      <c r="A647" s="7" t="s">
        <v>3105</v>
      </c>
      <c r="B647" s="7" t="s">
        <v>8308</v>
      </c>
      <c r="C647" s="7"/>
    </row>
    <row r="648" customFormat="false" ht="15" hidden="false" customHeight="true" outlineLevel="0" collapsed="false">
      <c r="A648" s="7" t="s">
        <v>3043</v>
      </c>
      <c r="B648" s="7" t="s">
        <v>3043</v>
      </c>
      <c r="C648" s="7" t="s">
        <v>8004</v>
      </c>
    </row>
    <row r="649" customFormat="false" ht="15" hidden="false" customHeight="true" outlineLevel="0" collapsed="false">
      <c r="A649" s="7" t="s">
        <v>3043</v>
      </c>
      <c r="B649" s="7" t="s">
        <v>3047</v>
      </c>
      <c r="C649" s="7" t="s">
        <v>8004</v>
      </c>
    </row>
    <row r="650" customFormat="false" ht="15" hidden="false" customHeight="true" outlineLevel="0" collapsed="false">
      <c r="A650" s="7" t="s">
        <v>3043</v>
      </c>
      <c r="B650" s="7" t="s">
        <v>7024</v>
      </c>
      <c r="C650" s="7" t="s">
        <v>8004</v>
      </c>
    </row>
    <row r="651" customFormat="false" ht="15" hidden="false" customHeight="true" outlineLevel="0" collapsed="false">
      <c r="A651" s="7" t="s">
        <v>3043</v>
      </c>
      <c r="B651" s="7" t="s">
        <v>7020</v>
      </c>
      <c r="C651" s="7" t="s">
        <v>8004</v>
      </c>
    </row>
    <row r="652" customFormat="false" ht="15" hidden="false" customHeight="true" outlineLevel="0" collapsed="false">
      <c r="A652" s="7" t="s">
        <v>3043</v>
      </c>
      <c r="B652" s="7" t="s">
        <v>7021</v>
      </c>
      <c r="C652" s="7" t="s">
        <v>8004</v>
      </c>
    </row>
    <row r="653" customFormat="false" ht="15" hidden="false" customHeight="true" outlineLevel="0" collapsed="false">
      <c r="A653" s="7" t="s">
        <v>3043</v>
      </c>
      <c r="B653" s="7" t="s">
        <v>7023</v>
      </c>
      <c r="C653" s="7" t="s">
        <v>8004</v>
      </c>
    </row>
    <row r="654" customFormat="false" ht="15" hidden="false" customHeight="true" outlineLevel="0" collapsed="false">
      <c r="A654" s="7" t="s">
        <v>3043</v>
      </c>
      <c r="B654" s="7" t="s">
        <v>7022</v>
      </c>
      <c r="C654" s="7" t="s">
        <v>8004</v>
      </c>
    </row>
    <row r="655" customFormat="false" ht="15" hidden="false" customHeight="true" outlineLevel="0" collapsed="false">
      <c r="A655" s="7" t="s">
        <v>3043</v>
      </c>
      <c r="B655" s="7" t="s">
        <v>8309</v>
      </c>
      <c r="C655" s="7"/>
    </row>
    <row r="656" customFormat="false" ht="15" hidden="false" customHeight="true" outlineLevel="0" collapsed="false">
      <c r="A656" s="7" t="s">
        <v>3043</v>
      </c>
      <c r="B656" s="7" t="s">
        <v>8310</v>
      </c>
      <c r="C656" s="7"/>
    </row>
    <row r="657" customFormat="false" ht="15" hidden="false" customHeight="true" outlineLevel="0" collapsed="false">
      <c r="A657" s="7" t="s">
        <v>3043</v>
      </c>
      <c r="B657" s="7" t="s">
        <v>3046</v>
      </c>
      <c r="C657" s="7" t="s">
        <v>8004</v>
      </c>
    </row>
    <row r="658" customFormat="false" ht="15" hidden="false" customHeight="true" outlineLevel="0" collapsed="false">
      <c r="A658" s="7" t="s">
        <v>3175</v>
      </c>
      <c r="B658" s="7" t="s">
        <v>3175</v>
      </c>
      <c r="C658" s="7" t="s">
        <v>8004</v>
      </c>
    </row>
    <row r="659" customFormat="false" ht="15" hidden="false" customHeight="true" outlineLevel="0" collapsed="false">
      <c r="A659" s="7" t="s">
        <v>3175</v>
      </c>
      <c r="B659" s="7" t="s">
        <v>3179</v>
      </c>
      <c r="C659" s="7" t="s">
        <v>8004</v>
      </c>
    </row>
    <row r="660" customFormat="false" ht="15" hidden="false" customHeight="true" outlineLevel="0" collapsed="false">
      <c r="A660" s="7" t="s">
        <v>3175</v>
      </c>
      <c r="B660" s="7" t="s">
        <v>7027</v>
      </c>
      <c r="C660" s="7" t="s">
        <v>8004</v>
      </c>
    </row>
    <row r="661" customFormat="false" ht="15" hidden="false" customHeight="true" outlineLevel="0" collapsed="false">
      <c r="A661" s="7" t="s">
        <v>3175</v>
      </c>
      <c r="B661" s="7" t="s">
        <v>7025</v>
      </c>
      <c r="C661" s="7" t="s">
        <v>8004</v>
      </c>
    </row>
    <row r="662" customFormat="false" ht="15" hidden="false" customHeight="true" outlineLevel="0" collapsed="false">
      <c r="A662" s="7" t="s">
        <v>3175</v>
      </c>
      <c r="B662" s="7" t="s">
        <v>8311</v>
      </c>
      <c r="C662" s="7"/>
    </row>
    <row r="663" customFormat="false" ht="15" hidden="false" customHeight="true" outlineLevel="0" collapsed="false">
      <c r="A663" s="7" t="s">
        <v>3175</v>
      </c>
      <c r="B663" s="7" t="s">
        <v>8312</v>
      </c>
      <c r="C663" s="7"/>
    </row>
    <row r="664" customFormat="false" ht="15" hidden="false" customHeight="true" outlineLevel="0" collapsed="false">
      <c r="A664" s="7" t="s">
        <v>3175</v>
      </c>
      <c r="B664" s="7" t="s">
        <v>7028</v>
      </c>
      <c r="C664" s="7" t="s">
        <v>8004</v>
      </c>
    </row>
    <row r="665" customFormat="false" ht="15" hidden="false" customHeight="true" outlineLevel="0" collapsed="false">
      <c r="A665" s="7" t="s">
        <v>3175</v>
      </c>
      <c r="B665" s="7" t="s">
        <v>7026</v>
      </c>
      <c r="C665" s="7" t="s">
        <v>8004</v>
      </c>
    </row>
    <row r="666" customFormat="false" ht="15" hidden="false" customHeight="true" outlineLevel="0" collapsed="false">
      <c r="A666" s="7" t="s">
        <v>3175</v>
      </c>
      <c r="B666" s="7" t="s">
        <v>7029</v>
      </c>
      <c r="C666" s="7" t="s">
        <v>8004</v>
      </c>
    </row>
    <row r="667" customFormat="false" ht="15" hidden="false" customHeight="true" outlineLevel="0" collapsed="false">
      <c r="A667" s="7" t="s">
        <v>3175</v>
      </c>
      <c r="B667" s="7" t="s">
        <v>8313</v>
      </c>
      <c r="C667" s="7"/>
    </row>
    <row r="668" customFormat="false" ht="15" hidden="false" customHeight="true" outlineLevel="0" collapsed="false">
      <c r="A668" s="7" t="s">
        <v>3116</v>
      </c>
      <c r="B668" s="7" t="s">
        <v>8314</v>
      </c>
      <c r="C668" s="7"/>
    </row>
    <row r="669" customFormat="false" ht="15" hidden="false" customHeight="true" outlineLevel="0" collapsed="false">
      <c r="A669" s="7" t="s">
        <v>3116</v>
      </c>
      <c r="B669" s="7" t="s">
        <v>8315</v>
      </c>
      <c r="C669" s="7"/>
    </row>
    <row r="670" customFormat="false" ht="15" hidden="false" customHeight="true" outlineLevel="0" collapsed="false">
      <c r="A670" s="7" t="s">
        <v>3125</v>
      </c>
      <c r="B670" s="7" t="s">
        <v>3125</v>
      </c>
      <c r="C670" s="7" t="s">
        <v>8004</v>
      </c>
    </row>
    <row r="671" customFormat="false" ht="15" hidden="false" customHeight="true" outlineLevel="0" collapsed="false">
      <c r="A671" s="7" t="s">
        <v>3125</v>
      </c>
      <c r="B671" s="7" t="s">
        <v>7030</v>
      </c>
      <c r="C671" s="7" t="s">
        <v>8004</v>
      </c>
    </row>
    <row r="672" customFormat="false" ht="15" hidden="false" customHeight="true" outlineLevel="0" collapsed="false">
      <c r="A672" s="7" t="s">
        <v>3125</v>
      </c>
      <c r="B672" s="7" t="s">
        <v>7031</v>
      </c>
      <c r="C672" s="7" t="s">
        <v>8004</v>
      </c>
    </row>
    <row r="673" customFormat="false" ht="15" hidden="false" customHeight="true" outlineLevel="0" collapsed="false">
      <c r="A673" s="7" t="s">
        <v>3125</v>
      </c>
      <c r="B673" s="7" t="s">
        <v>8316</v>
      </c>
      <c r="C673" s="7"/>
    </row>
    <row r="674" customFormat="false" ht="15" hidden="false" customHeight="true" outlineLevel="0" collapsed="false">
      <c r="A674" s="7" t="s">
        <v>3125</v>
      </c>
      <c r="B674" s="7" t="s">
        <v>8317</v>
      </c>
      <c r="C674" s="7"/>
    </row>
    <row r="675" customFormat="false" ht="15" hidden="false" customHeight="true" outlineLevel="0" collapsed="false">
      <c r="A675" s="7" t="s">
        <v>3125</v>
      </c>
      <c r="B675" s="7" t="s">
        <v>8318</v>
      </c>
      <c r="C675" s="7"/>
    </row>
    <row r="676" customFormat="false" ht="15" hidden="false" customHeight="true" outlineLevel="0" collapsed="false">
      <c r="A676" s="7" t="s">
        <v>3125</v>
      </c>
      <c r="B676" s="7" t="s">
        <v>7032</v>
      </c>
      <c r="C676" s="7" t="s">
        <v>8004</v>
      </c>
    </row>
    <row r="677" customFormat="false" ht="15" hidden="false" customHeight="true" outlineLevel="0" collapsed="false">
      <c r="A677" s="7" t="s">
        <v>3125</v>
      </c>
      <c r="B677" s="7" t="s">
        <v>3129</v>
      </c>
      <c r="C677" s="7" t="s">
        <v>8004</v>
      </c>
    </row>
    <row r="678" customFormat="false" ht="15" hidden="false" customHeight="true" outlineLevel="0" collapsed="false">
      <c r="A678" s="7" t="s">
        <v>3125</v>
      </c>
      <c r="B678" s="7" t="s">
        <v>8319</v>
      </c>
      <c r="C678" s="7"/>
    </row>
    <row r="679" customFormat="false" ht="15" hidden="false" customHeight="true" outlineLevel="0" collapsed="false">
      <c r="A679" s="7" t="s">
        <v>3125</v>
      </c>
      <c r="B679" s="7" t="s">
        <v>8320</v>
      </c>
      <c r="C679" s="7"/>
    </row>
    <row r="680" customFormat="false" ht="15" hidden="false" customHeight="true" outlineLevel="0" collapsed="false">
      <c r="A680" s="7" t="s">
        <v>3200</v>
      </c>
      <c r="B680" s="7" t="s">
        <v>8321</v>
      </c>
      <c r="C680" s="7"/>
    </row>
    <row r="681" customFormat="false" ht="15" hidden="false" customHeight="true" outlineLevel="0" collapsed="false">
      <c r="A681" s="7" t="s">
        <v>3200</v>
      </c>
      <c r="B681" s="7" t="s">
        <v>3206</v>
      </c>
      <c r="C681" s="7" t="s">
        <v>8004</v>
      </c>
    </row>
    <row r="682" customFormat="false" ht="15" hidden="false" customHeight="true" outlineLevel="0" collapsed="false">
      <c r="A682" s="7" t="s">
        <v>3200</v>
      </c>
      <c r="B682" s="7" t="s">
        <v>8322</v>
      </c>
      <c r="C682" s="7"/>
    </row>
    <row r="683" customFormat="false" ht="15" hidden="false" customHeight="true" outlineLevel="0" collapsed="false">
      <c r="A683" s="7" t="s">
        <v>3200</v>
      </c>
      <c r="B683" s="7" t="s">
        <v>8323</v>
      </c>
      <c r="C683" s="7"/>
    </row>
    <row r="684" customFormat="false" ht="15" hidden="false" customHeight="true" outlineLevel="0" collapsed="false">
      <c r="A684" s="7" t="s">
        <v>3155</v>
      </c>
      <c r="B684" s="7" t="s">
        <v>7037</v>
      </c>
      <c r="C684" s="7" t="s">
        <v>8004</v>
      </c>
    </row>
    <row r="685" customFormat="false" ht="15" hidden="false" customHeight="true" outlineLevel="0" collapsed="false">
      <c r="A685" s="7" t="s">
        <v>3155</v>
      </c>
      <c r="B685" s="7" t="s">
        <v>3155</v>
      </c>
      <c r="C685" s="7" t="s">
        <v>8004</v>
      </c>
    </row>
    <row r="686" customFormat="false" ht="15" hidden="false" customHeight="true" outlineLevel="0" collapsed="false">
      <c r="A686" s="7" t="s">
        <v>3155</v>
      </c>
      <c r="B686" s="7" t="s">
        <v>7033</v>
      </c>
      <c r="C686" s="7" t="s">
        <v>8004</v>
      </c>
    </row>
    <row r="687" customFormat="false" ht="15" hidden="false" customHeight="true" outlineLevel="0" collapsed="false">
      <c r="A687" s="7" t="s">
        <v>3155</v>
      </c>
      <c r="B687" s="7" t="s">
        <v>8324</v>
      </c>
      <c r="C687" s="7"/>
    </row>
    <row r="688" customFormat="false" ht="15" hidden="false" customHeight="true" outlineLevel="0" collapsed="false">
      <c r="A688" s="7" t="s">
        <v>3155</v>
      </c>
      <c r="B688" s="7" t="s">
        <v>8325</v>
      </c>
      <c r="C688" s="7"/>
    </row>
    <row r="689" customFormat="false" ht="15" hidden="false" customHeight="true" outlineLevel="0" collapsed="false">
      <c r="A689" s="7" t="s">
        <v>3155</v>
      </c>
      <c r="B689" s="7" t="s">
        <v>7035</v>
      </c>
      <c r="C689" s="7" t="s">
        <v>8004</v>
      </c>
    </row>
    <row r="690" customFormat="false" ht="15" hidden="false" customHeight="true" outlineLevel="0" collapsed="false">
      <c r="A690" s="7" t="s">
        <v>3155</v>
      </c>
      <c r="B690" s="7" t="s">
        <v>7034</v>
      </c>
      <c r="C690" s="7" t="s">
        <v>8004</v>
      </c>
    </row>
    <row r="691" customFormat="false" ht="15" hidden="false" customHeight="true" outlineLevel="0" collapsed="false">
      <c r="A691" s="7" t="s">
        <v>3155</v>
      </c>
      <c r="B691" s="7" t="s">
        <v>7036</v>
      </c>
      <c r="C691" s="7" t="s">
        <v>8004</v>
      </c>
    </row>
    <row r="692" customFormat="false" ht="15" hidden="false" customHeight="true" outlineLevel="0" collapsed="false">
      <c r="A692" s="7" t="s">
        <v>3155</v>
      </c>
      <c r="B692" s="7" t="s">
        <v>8326</v>
      </c>
      <c r="C692" s="7"/>
    </row>
    <row r="693" customFormat="false" ht="15" hidden="false" customHeight="true" outlineLevel="0" collapsed="false">
      <c r="A693" s="7" t="s">
        <v>3155</v>
      </c>
      <c r="B693" s="7" t="s">
        <v>8327</v>
      </c>
      <c r="C693" s="7"/>
    </row>
    <row r="694" customFormat="false" ht="15" hidden="false" customHeight="true" outlineLevel="0" collapsed="false">
      <c r="A694" s="7" t="s">
        <v>269</v>
      </c>
      <c r="B694" s="7" t="s">
        <v>269</v>
      </c>
      <c r="C694" s="7" t="s">
        <v>8004</v>
      </c>
    </row>
    <row r="695" customFormat="false" ht="15" hidden="false" customHeight="true" outlineLevel="0" collapsed="false">
      <c r="A695" s="7" t="s">
        <v>269</v>
      </c>
      <c r="B695" s="7" t="s">
        <v>8328</v>
      </c>
      <c r="C695" s="7"/>
    </row>
    <row r="696" customFormat="false" ht="15" hidden="false" customHeight="true" outlineLevel="0" collapsed="false">
      <c r="A696" s="7" t="s">
        <v>269</v>
      </c>
      <c r="B696" s="7" t="s">
        <v>6488</v>
      </c>
      <c r="C696" s="7" t="s">
        <v>8004</v>
      </c>
    </row>
    <row r="697" customFormat="false" ht="15" hidden="false" customHeight="true" outlineLevel="0" collapsed="false">
      <c r="A697" s="7" t="s">
        <v>269</v>
      </c>
      <c r="B697" s="7" t="s">
        <v>8329</v>
      </c>
      <c r="C697" s="7"/>
    </row>
    <row r="698" customFormat="false" ht="15" hidden="false" customHeight="true" outlineLevel="0" collapsed="false">
      <c r="A698" s="7" t="s">
        <v>269</v>
      </c>
      <c r="B698" s="7" t="s">
        <v>8330</v>
      </c>
      <c r="C698" s="7"/>
    </row>
    <row r="699" customFormat="false" ht="15" hidden="false" customHeight="true" outlineLevel="0" collapsed="false">
      <c r="A699" s="7" t="s">
        <v>269</v>
      </c>
      <c r="B699" s="7" t="s">
        <v>8331</v>
      </c>
      <c r="C699" s="7"/>
    </row>
    <row r="700" customFormat="false" ht="15" hidden="false" customHeight="true" outlineLevel="0" collapsed="false">
      <c r="A700" s="7" t="s">
        <v>269</v>
      </c>
      <c r="B700" s="7" t="s">
        <v>8332</v>
      </c>
      <c r="C700" s="7"/>
    </row>
    <row r="701" customFormat="false" ht="15" hidden="false" customHeight="true" outlineLevel="0" collapsed="false">
      <c r="A701" s="7" t="s">
        <v>269</v>
      </c>
      <c r="B701" s="7" t="s">
        <v>8333</v>
      </c>
      <c r="C701" s="7"/>
    </row>
    <row r="702" customFormat="false" ht="15" hidden="false" customHeight="true" outlineLevel="0" collapsed="false">
      <c r="A702" s="7" t="s">
        <v>269</v>
      </c>
      <c r="B702" s="7" t="s">
        <v>8334</v>
      </c>
      <c r="C702" s="7"/>
    </row>
    <row r="703" customFormat="false" ht="15" hidden="false" customHeight="true" outlineLevel="0" collapsed="false">
      <c r="A703" s="7" t="s">
        <v>269</v>
      </c>
      <c r="B703" s="7" t="s">
        <v>8335</v>
      </c>
      <c r="C703" s="7"/>
    </row>
    <row r="704" customFormat="false" ht="15" hidden="false" customHeight="true" outlineLevel="0" collapsed="false">
      <c r="A704" s="7" t="s">
        <v>3253</v>
      </c>
      <c r="B704" s="7" t="s">
        <v>3253</v>
      </c>
      <c r="C704" s="7" t="s">
        <v>8004</v>
      </c>
    </row>
    <row r="705" customFormat="false" ht="15" hidden="false" customHeight="true" outlineLevel="0" collapsed="false">
      <c r="A705" s="7" t="s">
        <v>3262</v>
      </c>
      <c r="B705" s="7" t="s">
        <v>3262</v>
      </c>
      <c r="C705" s="7" t="s">
        <v>8004</v>
      </c>
    </row>
    <row r="706" customFormat="false" ht="15" hidden="false" customHeight="true" outlineLevel="0" collapsed="false">
      <c r="A706" s="7" t="s">
        <v>3262</v>
      </c>
      <c r="B706" s="7" t="s">
        <v>8336</v>
      </c>
      <c r="C706" s="7"/>
    </row>
    <row r="707" customFormat="false" ht="15" hidden="false" customHeight="true" outlineLevel="0" collapsed="false">
      <c r="A707" s="7" t="s">
        <v>3262</v>
      </c>
      <c r="B707" s="7" t="s">
        <v>8337</v>
      </c>
      <c r="C707" s="7"/>
    </row>
    <row r="708" customFormat="false" ht="15" hidden="false" customHeight="true" outlineLevel="0" collapsed="false">
      <c r="A708" s="7" t="s">
        <v>3262</v>
      </c>
      <c r="B708" s="7" t="s">
        <v>8338</v>
      </c>
      <c r="C708" s="7"/>
    </row>
    <row r="709" customFormat="false" ht="15" hidden="false" customHeight="true" outlineLevel="0" collapsed="false">
      <c r="A709" s="7" t="s">
        <v>3262</v>
      </c>
      <c r="B709" s="7" t="s">
        <v>7038</v>
      </c>
      <c r="C709" s="7" t="s">
        <v>8004</v>
      </c>
    </row>
    <row r="710" customFormat="false" ht="15" hidden="false" customHeight="true" outlineLevel="0" collapsed="false">
      <c r="A710" s="7" t="s">
        <v>3262</v>
      </c>
      <c r="B710" s="7" t="s">
        <v>7040</v>
      </c>
      <c r="C710" s="7" t="s">
        <v>8004</v>
      </c>
    </row>
    <row r="711" customFormat="false" ht="15" hidden="false" customHeight="true" outlineLevel="0" collapsed="false">
      <c r="A711" s="7" t="s">
        <v>3262</v>
      </c>
      <c r="B711" s="7" t="s">
        <v>3266</v>
      </c>
      <c r="C711" s="7" t="s">
        <v>8004</v>
      </c>
    </row>
    <row r="712" customFormat="false" ht="15" hidden="false" customHeight="true" outlineLevel="0" collapsed="false">
      <c r="A712" s="7" t="s">
        <v>3262</v>
      </c>
      <c r="B712" s="7" t="s">
        <v>7039</v>
      </c>
      <c r="C712" s="7" t="s">
        <v>8004</v>
      </c>
    </row>
    <row r="713" customFormat="false" ht="15" hidden="false" customHeight="true" outlineLevel="0" collapsed="false">
      <c r="A713" s="7" t="s">
        <v>3262</v>
      </c>
      <c r="B713" s="7" t="s">
        <v>8339</v>
      </c>
      <c r="C713" s="7"/>
    </row>
    <row r="714" customFormat="false" ht="15" hidden="false" customHeight="true" outlineLevel="0" collapsed="false">
      <c r="A714" s="7" t="s">
        <v>3262</v>
      </c>
      <c r="B714" s="7" t="s">
        <v>8340</v>
      </c>
      <c r="C714" s="7"/>
    </row>
    <row r="715" customFormat="false" ht="15" hidden="false" customHeight="true" outlineLevel="0" collapsed="false">
      <c r="A715" s="7" t="s">
        <v>3213</v>
      </c>
      <c r="B715" s="7" t="s">
        <v>3213</v>
      </c>
      <c r="C715" s="7" t="s">
        <v>8004</v>
      </c>
    </row>
    <row r="716" customFormat="false" ht="15" hidden="false" customHeight="true" outlineLevel="0" collapsed="false">
      <c r="A716" s="7" t="s">
        <v>3213</v>
      </c>
      <c r="B716" s="7" t="s">
        <v>7042</v>
      </c>
      <c r="C716" s="7" t="s">
        <v>8004</v>
      </c>
    </row>
    <row r="717" customFormat="false" ht="15" hidden="false" customHeight="true" outlineLevel="0" collapsed="false">
      <c r="A717" s="7" t="s">
        <v>3213</v>
      </c>
      <c r="B717" s="7" t="s">
        <v>8341</v>
      </c>
      <c r="C717" s="7"/>
    </row>
    <row r="718" customFormat="false" ht="15" hidden="false" customHeight="true" outlineLevel="0" collapsed="false">
      <c r="A718" s="7" t="s">
        <v>3213</v>
      </c>
      <c r="B718" s="7" t="s">
        <v>3217</v>
      </c>
      <c r="C718" s="7" t="s">
        <v>8004</v>
      </c>
    </row>
    <row r="719" customFormat="false" ht="15" hidden="false" customHeight="true" outlineLevel="0" collapsed="false">
      <c r="A719" s="7" t="s">
        <v>3213</v>
      </c>
      <c r="B719" s="7" t="s">
        <v>7044</v>
      </c>
      <c r="C719" s="7" t="s">
        <v>8004</v>
      </c>
    </row>
    <row r="720" customFormat="false" ht="15" hidden="false" customHeight="true" outlineLevel="0" collapsed="false">
      <c r="A720" s="7" t="s">
        <v>3213</v>
      </c>
      <c r="B720" s="7" t="s">
        <v>7041</v>
      </c>
      <c r="C720" s="7" t="s">
        <v>8004</v>
      </c>
    </row>
    <row r="721" customFormat="false" ht="15" hidden="false" customHeight="true" outlineLevel="0" collapsed="false">
      <c r="A721" s="7" t="s">
        <v>3213</v>
      </c>
      <c r="B721" s="7" t="s">
        <v>8342</v>
      </c>
      <c r="C721" s="7"/>
    </row>
    <row r="722" customFormat="false" ht="15" hidden="false" customHeight="true" outlineLevel="0" collapsed="false">
      <c r="A722" s="7" t="s">
        <v>3213</v>
      </c>
      <c r="B722" s="7" t="s">
        <v>7043</v>
      </c>
      <c r="C722" s="7" t="s">
        <v>8004</v>
      </c>
    </row>
    <row r="723" customFormat="false" ht="15" hidden="false" customHeight="true" outlineLevel="0" collapsed="false">
      <c r="A723" s="7" t="s">
        <v>3213</v>
      </c>
      <c r="B723" s="7" t="s">
        <v>7045</v>
      </c>
      <c r="C723" s="7" t="s">
        <v>8004</v>
      </c>
    </row>
    <row r="724" customFormat="false" ht="15" hidden="false" customHeight="true" outlineLevel="0" collapsed="false">
      <c r="A724" s="7" t="s">
        <v>3213</v>
      </c>
      <c r="B724" s="7" t="s">
        <v>3216</v>
      </c>
      <c r="C724" s="7" t="s">
        <v>8004</v>
      </c>
    </row>
    <row r="725" customFormat="false" ht="15" hidden="false" customHeight="true" outlineLevel="0" collapsed="false">
      <c r="A725" s="7" t="s">
        <v>3223</v>
      </c>
      <c r="B725" s="7" t="s">
        <v>3223</v>
      </c>
      <c r="C725" s="7" t="s">
        <v>8004</v>
      </c>
    </row>
    <row r="726" customFormat="false" ht="15" hidden="false" customHeight="true" outlineLevel="0" collapsed="false">
      <c r="A726" s="7" t="s">
        <v>3223</v>
      </c>
      <c r="B726" s="7" t="s">
        <v>7046</v>
      </c>
      <c r="C726" s="7" t="s">
        <v>8004</v>
      </c>
    </row>
    <row r="727" customFormat="false" ht="15" hidden="false" customHeight="true" outlineLevel="0" collapsed="false">
      <c r="A727" s="7" t="s">
        <v>3223</v>
      </c>
      <c r="B727" s="7" t="s">
        <v>3227</v>
      </c>
      <c r="C727" s="7" t="s">
        <v>8004</v>
      </c>
    </row>
    <row r="728" customFormat="false" ht="15" hidden="false" customHeight="true" outlineLevel="0" collapsed="false">
      <c r="A728" s="7" t="s">
        <v>3223</v>
      </c>
      <c r="B728" s="7" t="s">
        <v>7049</v>
      </c>
      <c r="C728" s="7" t="s">
        <v>8004</v>
      </c>
    </row>
    <row r="729" customFormat="false" ht="15" hidden="false" customHeight="true" outlineLevel="0" collapsed="false">
      <c r="A729" s="7" t="s">
        <v>3223</v>
      </c>
      <c r="B729" s="7" t="s">
        <v>8343</v>
      </c>
      <c r="C729" s="7"/>
    </row>
    <row r="730" customFormat="false" ht="15" hidden="false" customHeight="true" outlineLevel="0" collapsed="false">
      <c r="A730" s="7" t="s">
        <v>3223</v>
      </c>
      <c r="B730" s="7" t="s">
        <v>7047</v>
      </c>
      <c r="C730" s="7" t="s">
        <v>8004</v>
      </c>
    </row>
    <row r="731" customFormat="false" ht="15" hidden="false" customHeight="true" outlineLevel="0" collapsed="false">
      <c r="A731" s="7" t="s">
        <v>3223</v>
      </c>
      <c r="B731" s="7" t="s">
        <v>7048</v>
      </c>
      <c r="C731" s="7" t="s">
        <v>8004</v>
      </c>
    </row>
    <row r="732" customFormat="false" ht="15" hidden="false" customHeight="true" outlineLevel="0" collapsed="false">
      <c r="A732" s="7" t="s">
        <v>3223</v>
      </c>
      <c r="B732" s="7" t="s">
        <v>7050</v>
      </c>
      <c r="C732" s="7" t="s">
        <v>8004</v>
      </c>
    </row>
    <row r="733" customFormat="false" ht="15" hidden="false" customHeight="true" outlineLevel="0" collapsed="false">
      <c r="A733" s="7" t="s">
        <v>3223</v>
      </c>
      <c r="B733" s="7" t="s">
        <v>8344</v>
      </c>
      <c r="C733" s="7"/>
    </row>
    <row r="734" customFormat="false" ht="15" hidden="false" customHeight="true" outlineLevel="0" collapsed="false">
      <c r="A734" s="7" t="s">
        <v>3223</v>
      </c>
      <c r="B734" s="7" t="s">
        <v>8345</v>
      </c>
      <c r="C734" s="7"/>
    </row>
    <row r="735" customFormat="false" ht="15" hidden="false" customHeight="true" outlineLevel="0" collapsed="false">
      <c r="A735" s="7" t="s">
        <v>3236</v>
      </c>
      <c r="B735" s="7" t="s">
        <v>7051</v>
      </c>
      <c r="C735" s="7" t="s">
        <v>8004</v>
      </c>
    </row>
    <row r="736" customFormat="false" ht="15" hidden="false" customHeight="true" outlineLevel="0" collapsed="false">
      <c r="A736" s="7" t="s">
        <v>3236</v>
      </c>
      <c r="B736" s="7" t="s">
        <v>7052</v>
      </c>
      <c r="C736" s="7" t="s">
        <v>8004</v>
      </c>
    </row>
    <row r="737" customFormat="false" ht="15" hidden="false" customHeight="true" outlineLevel="0" collapsed="false">
      <c r="A737" s="7" t="s">
        <v>3236</v>
      </c>
      <c r="B737" s="7" t="s">
        <v>7055</v>
      </c>
      <c r="C737" s="7" t="s">
        <v>8004</v>
      </c>
    </row>
    <row r="738" customFormat="false" ht="15" hidden="false" customHeight="true" outlineLevel="0" collapsed="false">
      <c r="A738" s="7" t="s">
        <v>3236</v>
      </c>
      <c r="B738" s="7" t="s">
        <v>7056</v>
      </c>
      <c r="C738" s="7" t="s">
        <v>8004</v>
      </c>
    </row>
    <row r="739" customFormat="false" ht="15" hidden="false" customHeight="true" outlineLevel="0" collapsed="false">
      <c r="A739" s="7" t="s">
        <v>3236</v>
      </c>
      <c r="B739" s="7" t="s">
        <v>7054</v>
      </c>
      <c r="C739" s="7" t="s">
        <v>8004</v>
      </c>
    </row>
    <row r="740" customFormat="false" ht="15" hidden="false" customHeight="true" outlineLevel="0" collapsed="false">
      <c r="A740" s="7" t="s">
        <v>3236</v>
      </c>
      <c r="B740" s="7" t="s">
        <v>8346</v>
      </c>
      <c r="C740" s="7"/>
    </row>
    <row r="741" customFormat="false" ht="15" hidden="false" customHeight="true" outlineLevel="0" collapsed="false">
      <c r="A741" s="7" t="s">
        <v>3236</v>
      </c>
      <c r="B741" s="7" t="s">
        <v>7053</v>
      </c>
      <c r="C741" s="7" t="s">
        <v>8004</v>
      </c>
    </row>
    <row r="742" customFormat="false" ht="15" hidden="false" customHeight="true" outlineLevel="0" collapsed="false">
      <c r="A742" s="7" t="s">
        <v>3236</v>
      </c>
      <c r="B742" s="7" t="s">
        <v>8347</v>
      </c>
      <c r="C742" s="7"/>
    </row>
    <row r="743" customFormat="false" ht="15" hidden="false" customHeight="true" outlineLevel="0" collapsed="false">
      <c r="A743" s="7" t="s">
        <v>3236</v>
      </c>
      <c r="B743" s="7" t="s">
        <v>8348</v>
      </c>
      <c r="C743" s="7"/>
    </row>
    <row r="744" customFormat="false" ht="15" hidden="false" customHeight="true" outlineLevel="0" collapsed="false">
      <c r="A744" s="7" t="s">
        <v>3236</v>
      </c>
      <c r="B744" s="7" t="s">
        <v>8349</v>
      </c>
      <c r="C744" s="7"/>
    </row>
    <row r="745" customFormat="false" ht="15" hidden="false" customHeight="true" outlineLevel="0" collapsed="false">
      <c r="A745" s="7" t="s">
        <v>270</v>
      </c>
      <c r="B745" s="7" t="s">
        <v>270</v>
      </c>
      <c r="C745" s="7" t="s">
        <v>8004</v>
      </c>
    </row>
    <row r="746" customFormat="false" ht="15" hidden="false" customHeight="true" outlineLevel="0" collapsed="false">
      <c r="A746" s="7" t="s">
        <v>270</v>
      </c>
      <c r="B746" s="7" t="s">
        <v>8350</v>
      </c>
      <c r="C746" s="7"/>
    </row>
    <row r="747" customFormat="false" ht="15" hidden="false" customHeight="true" outlineLevel="0" collapsed="false">
      <c r="A747" s="7" t="s">
        <v>270</v>
      </c>
      <c r="B747" s="7" t="s">
        <v>8351</v>
      </c>
      <c r="C747" s="7"/>
    </row>
    <row r="748" customFormat="false" ht="15" hidden="false" customHeight="true" outlineLevel="0" collapsed="false">
      <c r="A748" s="7" t="s">
        <v>270</v>
      </c>
      <c r="B748" s="7" t="s">
        <v>8352</v>
      </c>
      <c r="C748" s="7"/>
    </row>
    <row r="749" customFormat="false" ht="15" hidden="false" customHeight="true" outlineLevel="0" collapsed="false">
      <c r="A749" s="7" t="s">
        <v>270</v>
      </c>
      <c r="B749" s="7" t="s">
        <v>8353</v>
      </c>
      <c r="C749" s="7"/>
    </row>
    <row r="750" customFormat="false" ht="15" hidden="false" customHeight="true" outlineLevel="0" collapsed="false">
      <c r="A750" s="7" t="s">
        <v>270</v>
      </c>
      <c r="B750" s="7" t="s">
        <v>8354</v>
      </c>
      <c r="C750" s="7"/>
    </row>
    <row r="751" customFormat="false" ht="15" hidden="false" customHeight="true" outlineLevel="0" collapsed="false">
      <c r="A751" s="7" t="s">
        <v>270</v>
      </c>
      <c r="B751" s="7" t="s">
        <v>8355</v>
      </c>
      <c r="C751" s="7"/>
    </row>
    <row r="752" customFormat="false" ht="15" hidden="false" customHeight="true" outlineLevel="0" collapsed="false">
      <c r="A752" s="7" t="s">
        <v>270</v>
      </c>
      <c r="B752" s="7" t="s">
        <v>8356</v>
      </c>
      <c r="C752" s="7"/>
    </row>
    <row r="753" customFormat="false" ht="15" hidden="false" customHeight="true" outlineLevel="0" collapsed="false">
      <c r="A753" s="7" t="s">
        <v>270</v>
      </c>
      <c r="B753" s="7" t="s">
        <v>8357</v>
      </c>
      <c r="C753" s="7"/>
    </row>
    <row r="754" customFormat="false" ht="15" hidden="false" customHeight="true" outlineLevel="0" collapsed="false">
      <c r="A754" s="7" t="s">
        <v>270</v>
      </c>
      <c r="B754" s="7" t="s">
        <v>8358</v>
      </c>
      <c r="C754" s="7"/>
    </row>
    <row r="755" customFormat="false" ht="15" hidden="false" customHeight="true" outlineLevel="0" collapsed="false">
      <c r="A755" s="7" t="s">
        <v>3271</v>
      </c>
      <c r="B755" s="7" t="s">
        <v>3271</v>
      </c>
      <c r="C755" s="7" t="s">
        <v>8004</v>
      </c>
    </row>
    <row r="756" customFormat="false" ht="15" hidden="false" customHeight="true" outlineLevel="0" collapsed="false">
      <c r="A756" s="7" t="s">
        <v>3271</v>
      </c>
      <c r="B756" s="7" t="s">
        <v>3275</v>
      </c>
      <c r="C756" s="7" t="s">
        <v>8004</v>
      </c>
    </row>
    <row r="757" customFormat="false" ht="15" hidden="false" customHeight="true" outlineLevel="0" collapsed="false">
      <c r="A757" s="7" t="s">
        <v>3271</v>
      </c>
      <c r="B757" s="7" t="s">
        <v>7058</v>
      </c>
      <c r="C757" s="7" t="s">
        <v>8004</v>
      </c>
    </row>
    <row r="758" customFormat="false" ht="15" hidden="false" customHeight="true" outlineLevel="0" collapsed="false">
      <c r="A758" s="7" t="s">
        <v>3271</v>
      </c>
      <c r="B758" s="7" t="s">
        <v>7061</v>
      </c>
      <c r="C758" s="7" t="s">
        <v>8004</v>
      </c>
    </row>
    <row r="759" customFormat="false" ht="15" hidden="false" customHeight="true" outlineLevel="0" collapsed="false">
      <c r="A759" s="7" t="s">
        <v>3271</v>
      </c>
      <c r="B759" s="7" t="s">
        <v>7060</v>
      </c>
      <c r="C759" s="7" t="s">
        <v>8004</v>
      </c>
    </row>
    <row r="760" customFormat="false" ht="15" hidden="false" customHeight="true" outlineLevel="0" collapsed="false">
      <c r="A760" s="7" t="s">
        <v>3271</v>
      </c>
      <c r="B760" s="7" t="s">
        <v>8359</v>
      </c>
      <c r="C760" s="7"/>
    </row>
    <row r="761" customFormat="false" ht="15" hidden="false" customHeight="true" outlineLevel="0" collapsed="false">
      <c r="A761" s="7" t="s">
        <v>3271</v>
      </c>
      <c r="B761" s="7" t="s">
        <v>7059</v>
      </c>
      <c r="C761" s="7" t="s">
        <v>8004</v>
      </c>
    </row>
    <row r="762" customFormat="false" ht="15" hidden="false" customHeight="true" outlineLevel="0" collapsed="false">
      <c r="A762" s="7" t="s">
        <v>3271</v>
      </c>
      <c r="B762" s="7" t="s">
        <v>7057</v>
      </c>
      <c r="C762" s="7" t="s">
        <v>8004</v>
      </c>
    </row>
    <row r="763" customFormat="false" ht="15" hidden="false" customHeight="true" outlineLevel="0" collapsed="false">
      <c r="A763" s="7" t="s">
        <v>3271</v>
      </c>
      <c r="B763" s="7" t="s">
        <v>8360</v>
      </c>
      <c r="C763" s="7"/>
    </row>
    <row r="764" customFormat="false" ht="15" hidden="false" customHeight="true" outlineLevel="0" collapsed="false">
      <c r="A764" s="7" t="s">
        <v>3271</v>
      </c>
      <c r="B764" s="7" t="s">
        <v>8361</v>
      </c>
      <c r="C764" s="7"/>
    </row>
    <row r="765" customFormat="false" ht="15" hidden="false" customHeight="true" outlineLevel="0" collapsed="false">
      <c r="A765" s="7" t="s">
        <v>5942</v>
      </c>
      <c r="B765" s="7" t="s">
        <v>5947</v>
      </c>
      <c r="C765" s="7" t="s">
        <v>8004</v>
      </c>
    </row>
    <row r="766" customFormat="false" ht="15" hidden="false" customHeight="true" outlineLevel="0" collapsed="false">
      <c r="A766" s="7" t="s">
        <v>5942</v>
      </c>
      <c r="B766" s="7" t="s">
        <v>8362</v>
      </c>
      <c r="C766" s="7"/>
    </row>
    <row r="767" customFormat="false" ht="15" hidden="false" customHeight="true" outlineLevel="0" collapsed="false">
      <c r="A767" s="7" t="s">
        <v>5942</v>
      </c>
      <c r="B767" s="7" t="s">
        <v>8363</v>
      </c>
      <c r="C767" s="7"/>
    </row>
    <row r="768" customFormat="false" ht="15" hidden="false" customHeight="true" outlineLevel="0" collapsed="false">
      <c r="A768" s="7" t="s">
        <v>5942</v>
      </c>
      <c r="B768" s="7" t="s">
        <v>8364</v>
      </c>
      <c r="C768" s="7"/>
    </row>
    <row r="769" customFormat="false" ht="15" hidden="false" customHeight="true" outlineLevel="0" collapsed="false">
      <c r="A769" s="7" t="s">
        <v>3337</v>
      </c>
      <c r="B769" s="7" t="s">
        <v>3337</v>
      </c>
      <c r="C769" s="7" t="s">
        <v>8004</v>
      </c>
    </row>
    <row r="770" customFormat="false" ht="15" hidden="false" customHeight="true" outlineLevel="0" collapsed="false">
      <c r="A770" s="7" t="s">
        <v>3337</v>
      </c>
      <c r="B770" s="7" t="s">
        <v>7063</v>
      </c>
      <c r="C770" s="7" t="s">
        <v>8004</v>
      </c>
    </row>
    <row r="771" customFormat="false" ht="15" hidden="false" customHeight="true" outlineLevel="0" collapsed="false">
      <c r="A771" s="7" t="s">
        <v>3337</v>
      </c>
      <c r="B771" s="7" t="s">
        <v>7064</v>
      </c>
      <c r="C771" s="7" t="s">
        <v>8004</v>
      </c>
    </row>
    <row r="772" customFormat="false" ht="15" hidden="false" customHeight="true" outlineLevel="0" collapsed="false">
      <c r="A772" s="7" t="s">
        <v>3337</v>
      </c>
      <c r="B772" s="7" t="s">
        <v>8365</v>
      </c>
      <c r="C772" s="7"/>
    </row>
    <row r="773" customFormat="false" ht="15" hidden="false" customHeight="true" outlineLevel="0" collapsed="false">
      <c r="A773" s="7" t="s">
        <v>3337</v>
      </c>
      <c r="B773" s="7" t="s">
        <v>7088</v>
      </c>
      <c r="C773" s="7" t="s">
        <v>8004</v>
      </c>
    </row>
    <row r="774" customFormat="false" ht="15" hidden="false" customHeight="true" outlineLevel="0" collapsed="false">
      <c r="A774" s="7" t="s">
        <v>3337</v>
      </c>
      <c r="B774" s="7" t="s">
        <v>8366</v>
      </c>
      <c r="C774" s="7"/>
    </row>
    <row r="775" customFormat="false" ht="15" hidden="false" customHeight="true" outlineLevel="0" collapsed="false">
      <c r="A775" s="7" t="s">
        <v>3337</v>
      </c>
      <c r="B775" s="7" t="s">
        <v>8367</v>
      </c>
      <c r="C775" s="7"/>
    </row>
    <row r="776" customFormat="false" ht="15" hidden="false" customHeight="true" outlineLevel="0" collapsed="false">
      <c r="A776" s="7" t="s">
        <v>3337</v>
      </c>
      <c r="B776" s="7" t="s">
        <v>8368</v>
      </c>
      <c r="C776" s="7"/>
    </row>
    <row r="777" customFormat="false" ht="15" hidden="false" customHeight="true" outlineLevel="0" collapsed="false">
      <c r="A777" s="7" t="s">
        <v>3337</v>
      </c>
      <c r="B777" s="7" t="s">
        <v>8369</v>
      </c>
      <c r="C777" s="7"/>
    </row>
    <row r="778" customFormat="false" ht="15" hidden="false" customHeight="true" outlineLevel="0" collapsed="false">
      <c r="A778" s="7" t="s">
        <v>3337</v>
      </c>
      <c r="B778" s="7" t="s">
        <v>8370</v>
      </c>
      <c r="C778" s="7"/>
    </row>
    <row r="779" customFormat="false" ht="15" hidden="false" customHeight="true" outlineLevel="0" collapsed="false">
      <c r="A779" s="7" t="s">
        <v>3348</v>
      </c>
      <c r="B779" s="7" t="s">
        <v>3348</v>
      </c>
      <c r="C779" s="7" t="s">
        <v>8004</v>
      </c>
    </row>
    <row r="780" customFormat="false" ht="15" hidden="false" customHeight="true" outlineLevel="0" collapsed="false">
      <c r="A780" s="7" t="s">
        <v>3348</v>
      </c>
      <c r="B780" s="7" t="s">
        <v>8371</v>
      </c>
      <c r="C780" s="7"/>
    </row>
    <row r="781" customFormat="false" ht="15" hidden="false" customHeight="true" outlineLevel="0" collapsed="false">
      <c r="A781" s="7" t="s">
        <v>3348</v>
      </c>
      <c r="B781" s="7" t="s">
        <v>7065</v>
      </c>
      <c r="C781" s="7" t="s">
        <v>8004</v>
      </c>
    </row>
    <row r="782" customFormat="false" ht="15" hidden="false" customHeight="true" outlineLevel="0" collapsed="false">
      <c r="A782" s="7" t="s">
        <v>3348</v>
      </c>
      <c r="B782" s="7" t="s">
        <v>7066</v>
      </c>
      <c r="C782" s="7" t="s">
        <v>8004</v>
      </c>
    </row>
    <row r="783" customFormat="false" ht="15" hidden="false" customHeight="true" outlineLevel="0" collapsed="false">
      <c r="A783" s="7" t="s">
        <v>3348</v>
      </c>
      <c r="B783" s="7" t="s">
        <v>8372</v>
      </c>
      <c r="C783" s="7"/>
    </row>
    <row r="784" customFormat="false" ht="15" hidden="false" customHeight="true" outlineLevel="0" collapsed="false">
      <c r="A784" s="7" t="s">
        <v>3348</v>
      </c>
      <c r="B784" s="7" t="s">
        <v>8373</v>
      </c>
      <c r="C784" s="7"/>
    </row>
    <row r="785" customFormat="false" ht="15" hidden="false" customHeight="true" outlineLevel="0" collapsed="false">
      <c r="A785" s="7" t="s">
        <v>3348</v>
      </c>
      <c r="B785" s="7" t="s">
        <v>7067</v>
      </c>
      <c r="C785" s="7" t="s">
        <v>8004</v>
      </c>
    </row>
    <row r="786" customFormat="false" ht="15" hidden="false" customHeight="true" outlineLevel="0" collapsed="false">
      <c r="A786" s="7" t="s">
        <v>3348</v>
      </c>
      <c r="B786" s="7" t="s">
        <v>3337</v>
      </c>
      <c r="C786" s="7" t="s">
        <v>8004</v>
      </c>
    </row>
    <row r="787" customFormat="false" ht="15" hidden="false" customHeight="true" outlineLevel="0" collapsed="false">
      <c r="A787" s="7" t="s">
        <v>3348</v>
      </c>
      <c r="B787" s="7" t="s">
        <v>7094</v>
      </c>
      <c r="C787" s="7" t="s">
        <v>8004</v>
      </c>
    </row>
    <row r="788" customFormat="false" ht="15" hidden="false" customHeight="true" outlineLevel="0" collapsed="false">
      <c r="A788" s="7" t="s">
        <v>3348</v>
      </c>
      <c r="B788" s="7" t="s">
        <v>8374</v>
      </c>
      <c r="C788" s="7"/>
    </row>
    <row r="789" customFormat="false" ht="15" hidden="false" customHeight="true" outlineLevel="0" collapsed="false">
      <c r="A789" s="7" t="s">
        <v>3282</v>
      </c>
      <c r="B789" s="7" t="s">
        <v>3282</v>
      </c>
      <c r="C789" s="7" t="s">
        <v>8004</v>
      </c>
    </row>
    <row r="790" customFormat="false" ht="15" hidden="false" customHeight="true" outlineLevel="0" collapsed="false">
      <c r="A790" s="7" t="s">
        <v>3282</v>
      </c>
      <c r="B790" s="7" t="s">
        <v>7086</v>
      </c>
      <c r="C790" s="7" t="s">
        <v>8004</v>
      </c>
    </row>
    <row r="791" customFormat="false" ht="15" hidden="false" customHeight="true" outlineLevel="0" collapsed="false">
      <c r="A791" s="7" t="s">
        <v>3282</v>
      </c>
      <c r="B791" s="7" t="s">
        <v>3305</v>
      </c>
      <c r="C791" s="7" t="s">
        <v>8004</v>
      </c>
    </row>
    <row r="792" customFormat="false" ht="15" hidden="false" customHeight="true" outlineLevel="0" collapsed="false">
      <c r="A792" s="7" t="s">
        <v>3282</v>
      </c>
      <c r="B792" s="7" t="s">
        <v>7078</v>
      </c>
      <c r="C792" s="7" t="s">
        <v>8004</v>
      </c>
    </row>
    <row r="793" customFormat="false" ht="15" hidden="false" customHeight="true" outlineLevel="0" collapsed="false">
      <c r="A793" s="7" t="s">
        <v>3282</v>
      </c>
      <c r="B793" s="7" t="s">
        <v>7069</v>
      </c>
      <c r="C793" s="7" t="s">
        <v>8004</v>
      </c>
    </row>
    <row r="794" customFormat="false" ht="15" hidden="false" customHeight="true" outlineLevel="0" collapsed="false">
      <c r="A794" s="7" t="s">
        <v>3282</v>
      </c>
      <c r="B794" s="7" t="s">
        <v>7085</v>
      </c>
      <c r="C794" s="7" t="s">
        <v>8004</v>
      </c>
    </row>
    <row r="795" customFormat="false" ht="15" hidden="false" customHeight="true" outlineLevel="0" collapsed="false">
      <c r="A795" s="7" t="s">
        <v>3282</v>
      </c>
      <c r="B795" s="7" t="s">
        <v>8375</v>
      </c>
      <c r="C795" s="7"/>
    </row>
    <row r="796" customFormat="false" ht="15" hidden="false" customHeight="true" outlineLevel="0" collapsed="false">
      <c r="A796" s="7" t="s">
        <v>3282</v>
      </c>
      <c r="B796" s="7" t="s">
        <v>8376</v>
      </c>
      <c r="C796" s="7"/>
    </row>
    <row r="797" customFormat="false" ht="15" hidden="false" customHeight="true" outlineLevel="0" collapsed="false">
      <c r="A797" s="7" t="s">
        <v>3282</v>
      </c>
      <c r="B797" s="7" t="s">
        <v>8377</v>
      </c>
      <c r="C797" s="7"/>
    </row>
    <row r="798" customFormat="false" ht="15" hidden="false" customHeight="true" outlineLevel="0" collapsed="false">
      <c r="A798" s="7" t="s">
        <v>3282</v>
      </c>
      <c r="B798" s="7" t="s">
        <v>8378</v>
      </c>
      <c r="C798" s="7"/>
    </row>
    <row r="799" customFormat="false" ht="15" hidden="false" customHeight="true" outlineLevel="0" collapsed="false">
      <c r="A799" s="7" t="s">
        <v>3327</v>
      </c>
      <c r="B799" s="7" t="s">
        <v>3327</v>
      </c>
      <c r="C799" s="7" t="s">
        <v>8004</v>
      </c>
    </row>
    <row r="800" customFormat="false" ht="15" hidden="false" customHeight="true" outlineLevel="0" collapsed="false">
      <c r="A800" s="7" t="s">
        <v>3327</v>
      </c>
      <c r="B800" s="7" t="s">
        <v>7070</v>
      </c>
      <c r="C800" s="7" t="s">
        <v>8004</v>
      </c>
    </row>
    <row r="801" customFormat="false" ht="15" hidden="false" customHeight="true" outlineLevel="0" collapsed="false">
      <c r="A801" s="7" t="s">
        <v>3327</v>
      </c>
      <c r="B801" s="7" t="s">
        <v>7071</v>
      </c>
      <c r="C801" s="7" t="s">
        <v>8004</v>
      </c>
    </row>
    <row r="802" customFormat="false" ht="15" hidden="false" customHeight="true" outlineLevel="0" collapsed="false">
      <c r="A802" s="7" t="s">
        <v>3327</v>
      </c>
      <c r="B802" s="7" t="s">
        <v>7068</v>
      </c>
      <c r="C802" s="7" t="s">
        <v>8004</v>
      </c>
    </row>
    <row r="803" customFormat="false" ht="15" hidden="false" customHeight="true" outlineLevel="0" collapsed="false">
      <c r="A803" s="7" t="s">
        <v>3327</v>
      </c>
      <c r="B803" s="7" t="s">
        <v>7087</v>
      </c>
      <c r="C803" s="7" t="s">
        <v>8004</v>
      </c>
    </row>
    <row r="804" customFormat="false" ht="15" hidden="false" customHeight="true" outlineLevel="0" collapsed="false">
      <c r="A804" s="7" t="s">
        <v>3327</v>
      </c>
      <c r="B804" s="7" t="s">
        <v>3285</v>
      </c>
      <c r="C804" s="7" t="s">
        <v>8004</v>
      </c>
    </row>
    <row r="805" customFormat="false" ht="15" hidden="false" customHeight="true" outlineLevel="0" collapsed="false">
      <c r="A805" s="7" t="s">
        <v>3327</v>
      </c>
      <c r="B805" s="7" t="s">
        <v>7072</v>
      </c>
      <c r="C805" s="7" t="s">
        <v>8004</v>
      </c>
    </row>
    <row r="806" customFormat="false" ht="15" hidden="false" customHeight="true" outlineLevel="0" collapsed="false">
      <c r="A806" s="7" t="s">
        <v>3327</v>
      </c>
      <c r="B806" s="7" t="s">
        <v>8379</v>
      </c>
      <c r="C806" s="7"/>
    </row>
    <row r="807" customFormat="false" ht="15" hidden="false" customHeight="true" outlineLevel="0" collapsed="false">
      <c r="A807" s="7" t="s">
        <v>3294</v>
      </c>
      <c r="B807" s="7" t="s">
        <v>3294</v>
      </c>
      <c r="C807" s="7" t="s">
        <v>8004</v>
      </c>
    </row>
    <row r="808" customFormat="false" ht="15" hidden="false" customHeight="true" outlineLevel="0" collapsed="false">
      <c r="A808" s="7" t="s">
        <v>3294</v>
      </c>
      <c r="B808" s="7" t="s">
        <v>7077</v>
      </c>
      <c r="C808" s="7" t="s">
        <v>8004</v>
      </c>
    </row>
    <row r="809" customFormat="false" ht="15" hidden="false" customHeight="true" outlineLevel="0" collapsed="false">
      <c r="A809" s="7" t="s">
        <v>3294</v>
      </c>
      <c r="B809" s="7" t="s">
        <v>7075</v>
      </c>
      <c r="C809" s="7" t="s">
        <v>8004</v>
      </c>
    </row>
    <row r="810" customFormat="false" ht="15" hidden="false" customHeight="true" outlineLevel="0" collapsed="false">
      <c r="A810" s="7" t="s">
        <v>3294</v>
      </c>
      <c r="B810" s="7" t="s">
        <v>3298</v>
      </c>
      <c r="C810" s="7" t="s">
        <v>8004</v>
      </c>
    </row>
    <row r="811" customFormat="false" ht="15" hidden="false" customHeight="true" outlineLevel="0" collapsed="false">
      <c r="A811" s="7" t="s">
        <v>3294</v>
      </c>
      <c r="B811" s="7" t="s">
        <v>7076</v>
      </c>
      <c r="C811" s="7" t="s">
        <v>8004</v>
      </c>
    </row>
    <row r="812" customFormat="false" ht="15" hidden="false" customHeight="true" outlineLevel="0" collapsed="false">
      <c r="A812" s="7" t="s">
        <v>3294</v>
      </c>
      <c r="B812" s="7" t="s">
        <v>7074</v>
      </c>
      <c r="C812" s="7" t="s">
        <v>8004</v>
      </c>
    </row>
    <row r="813" customFormat="false" ht="15" hidden="false" customHeight="true" outlineLevel="0" collapsed="false">
      <c r="A813" s="7" t="s">
        <v>3294</v>
      </c>
      <c r="B813" s="7" t="s">
        <v>7073</v>
      </c>
      <c r="C813" s="7" t="s">
        <v>8004</v>
      </c>
    </row>
    <row r="814" customFormat="false" ht="15" hidden="false" customHeight="true" outlineLevel="0" collapsed="false">
      <c r="A814" s="7" t="s">
        <v>3294</v>
      </c>
      <c r="B814" s="7" t="s">
        <v>8380</v>
      </c>
      <c r="C814" s="7"/>
    </row>
    <row r="815" customFormat="false" ht="15" hidden="false" customHeight="true" outlineLevel="0" collapsed="false">
      <c r="A815" s="7" t="s">
        <v>3294</v>
      </c>
      <c r="B815" s="7" t="s">
        <v>8381</v>
      </c>
      <c r="C815" s="7"/>
    </row>
    <row r="816" customFormat="false" ht="15" hidden="false" customHeight="true" outlineLevel="0" collapsed="false">
      <c r="A816" s="7" t="s">
        <v>3294</v>
      </c>
      <c r="B816" s="7" t="s">
        <v>8382</v>
      </c>
      <c r="C816" s="7"/>
    </row>
    <row r="817" customFormat="false" ht="15" hidden="false" customHeight="true" outlineLevel="0" collapsed="false">
      <c r="A817" s="7" t="s">
        <v>3305</v>
      </c>
      <c r="B817" s="7" t="s">
        <v>3305</v>
      </c>
      <c r="C817" s="7" t="s">
        <v>8004</v>
      </c>
    </row>
    <row r="818" customFormat="false" ht="15" hidden="false" customHeight="true" outlineLevel="0" collapsed="false">
      <c r="A818" s="7" t="s">
        <v>3305</v>
      </c>
      <c r="B818" s="7" t="s">
        <v>7082</v>
      </c>
      <c r="C818" s="7" t="s">
        <v>8004</v>
      </c>
    </row>
    <row r="819" customFormat="false" ht="15" hidden="false" customHeight="true" outlineLevel="0" collapsed="false">
      <c r="A819" s="7" t="s">
        <v>3305</v>
      </c>
      <c r="B819" s="7" t="s">
        <v>7084</v>
      </c>
      <c r="C819" s="7" t="s">
        <v>8004</v>
      </c>
    </row>
    <row r="820" customFormat="false" ht="15" hidden="false" customHeight="true" outlineLevel="0" collapsed="false">
      <c r="A820" s="7" t="s">
        <v>3305</v>
      </c>
      <c r="B820" s="7" t="s">
        <v>7083</v>
      </c>
      <c r="C820" s="7" t="s">
        <v>8004</v>
      </c>
    </row>
    <row r="821" customFormat="false" ht="15" hidden="false" customHeight="true" outlineLevel="0" collapsed="false">
      <c r="A821" s="7" t="s">
        <v>3305</v>
      </c>
      <c r="B821" s="7" t="s">
        <v>8383</v>
      </c>
      <c r="C821" s="7"/>
    </row>
    <row r="822" customFormat="false" ht="15" hidden="false" customHeight="true" outlineLevel="0" collapsed="false">
      <c r="A822" s="7" t="s">
        <v>3305</v>
      </c>
      <c r="B822" s="7" t="s">
        <v>7079</v>
      </c>
      <c r="C822" s="7" t="s">
        <v>8004</v>
      </c>
    </row>
    <row r="823" customFormat="false" ht="15" hidden="false" customHeight="true" outlineLevel="0" collapsed="false">
      <c r="A823" s="7" t="s">
        <v>3305</v>
      </c>
      <c r="B823" s="7" t="s">
        <v>7080</v>
      </c>
      <c r="C823" s="7" t="s">
        <v>8004</v>
      </c>
    </row>
    <row r="824" customFormat="false" ht="15" hidden="false" customHeight="true" outlineLevel="0" collapsed="false">
      <c r="A824" s="7" t="s">
        <v>3305</v>
      </c>
      <c r="B824" s="7" t="s">
        <v>7081</v>
      </c>
      <c r="C824" s="7" t="s">
        <v>8004</v>
      </c>
    </row>
    <row r="825" customFormat="false" ht="15" hidden="false" customHeight="true" outlineLevel="0" collapsed="false">
      <c r="A825" s="7" t="s">
        <v>3305</v>
      </c>
      <c r="B825" s="7" t="s">
        <v>8384</v>
      </c>
      <c r="C825" s="7"/>
    </row>
    <row r="826" customFormat="false" ht="15" hidden="false" customHeight="true" outlineLevel="0" collapsed="false">
      <c r="A826" s="7" t="s">
        <v>3305</v>
      </c>
      <c r="B826" s="7" t="s">
        <v>3309</v>
      </c>
      <c r="C826" s="7" t="s">
        <v>8004</v>
      </c>
    </row>
    <row r="827" customFormat="false" ht="15" hidden="false" customHeight="true" outlineLevel="0" collapsed="false">
      <c r="A827" s="7" t="s">
        <v>262</v>
      </c>
      <c r="B827" s="7" t="s">
        <v>262</v>
      </c>
      <c r="C827" s="7" t="s">
        <v>8004</v>
      </c>
    </row>
    <row r="828" customFormat="false" ht="15" hidden="false" customHeight="true" outlineLevel="0" collapsed="false">
      <c r="A828" s="7" t="s">
        <v>262</v>
      </c>
      <c r="B828" s="7" t="s">
        <v>8385</v>
      </c>
      <c r="C828" s="7"/>
    </row>
    <row r="829" customFormat="false" ht="15" hidden="false" customHeight="true" outlineLevel="0" collapsed="false">
      <c r="A829" s="7" t="s">
        <v>262</v>
      </c>
      <c r="B829" s="7" t="s">
        <v>8386</v>
      </c>
      <c r="C829" s="7"/>
    </row>
    <row r="830" customFormat="false" ht="15" hidden="false" customHeight="true" outlineLevel="0" collapsed="false">
      <c r="A830" s="7" t="s">
        <v>262</v>
      </c>
      <c r="B830" s="7" t="s">
        <v>8387</v>
      </c>
      <c r="C830" s="7"/>
    </row>
    <row r="831" customFormat="false" ht="15" hidden="false" customHeight="true" outlineLevel="0" collapsed="false">
      <c r="A831" s="7" t="s">
        <v>262</v>
      </c>
      <c r="B831" s="7" t="s">
        <v>8388</v>
      </c>
      <c r="C831" s="7"/>
    </row>
    <row r="832" customFormat="false" ht="15" hidden="false" customHeight="true" outlineLevel="0" collapsed="false">
      <c r="A832" s="7" t="s">
        <v>262</v>
      </c>
      <c r="B832" s="7" t="s">
        <v>8389</v>
      </c>
      <c r="C832" s="7"/>
    </row>
    <row r="833" customFormat="false" ht="15" hidden="false" customHeight="true" outlineLevel="0" collapsed="false">
      <c r="A833" s="7" t="s">
        <v>262</v>
      </c>
      <c r="B833" s="7" t="s">
        <v>8390</v>
      </c>
      <c r="C833" s="7"/>
    </row>
    <row r="834" customFormat="false" ht="15" hidden="false" customHeight="true" outlineLevel="0" collapsed="false">
      <c r="A834" s="7" t="s">
        <v>262</v>
      </c>
      <c r="B834" s="7" t="s">
        <v>8391</v>
      </c>
      <c r="C834" s="7"/>
    </row>
    <row r="835" customFormat="false" ht="15" hidden="false" customHeight="true" outlineLevel="0" collapsed="false">
      <c r="A835" s="7" t="s">
        <v>262</v>
      </c>
      <c r="B835" s="7" t="s">
        <v>8392</v>
      </c>
      <c r="C835" s="7"/>
    </row>
    <row r="836" customFormat="false" ht="15" hidden="false" customHeight="true" outlineLevel="0" collapsed="false">
      <c r="A836" s="7" t="s">
        <v>262</v>
      </c>
      <c r="B836" s="7" t="s">
        <v>8393</v>
      </c>
      <c r="C836" s="7"/>
    </row>
    <row r="837" customFormat="false" ht="15" hidden="false" customHeight="true" outlineLevel="0" collapsed="false">
      <c r="A837" s="7" t="s">
        <v>3316</v>
      </c>
      <c r="B837" s="7" t="s">
        <v>3316</v>
      </c>
      <c r="C837" s="7" t="s">
        <v>8004</v>
      </c>
    </row>
    <row r="838" customFormat="false" ht="15" hidden="false" customHeight="true" outlineLevel="0" collapsed="false">
      <c r="A838" s="7" t="s">
        <v>3316</v>
      </c>
      <c r="B838" s="7" t="s">
        <v>7089</v>
      </c>
      <c r="C838" s="7" t="s">
        <v>8004</v>
      </c>
    </row>
    <row r="839" customFormat="false" ht="15" hidden="false" customHeight="true" outlineLevel="0" collapsed="false">
      <c r="A839" s="7" t="s">
        <v>3316</v>
      </c>
      <c r="B839" s="7" t="s">
        <v>3320</v>
      </c>
      <c r="C839" s="7" t="s">
        <v>8004</v>
      </c>
    </row>
    <row r="840" customFormat="false" ht="15" hidden="false" customHeight="true" outlineLevel="0" collapsed="false">
      <c r="A840" s="7" t="s">
        <v>3316</v>
      </c>
      <c r="B840" s="7" t="s">
        <v>7091</v>
      </c>
      <c r="C840" s="7" t="s">
        <v>8004</v>
      </c>
    </row>
    <row r="841" customFormat="false" ht="15" hidden="false" customHeight="true" outlineLevel="0" collapsed="false">
      <c r="A841" s="7" t="s">
        <v>3316</v>
      </c>
      <c r="B841" s="7" t="s">
        <v>7093</v>
      </c>
      <c r="C841" s="7" t="s">
        <v>8004</v>
      </c>
    </row>
    <row r="842" customFormat="false" ht="15" hidden="false" customHeight="true" outlineLevel="0" collapsed="false">
      <c r="A842" s="7" t="s">
        <v>3316</v>
      </c>
      <c r="B842" s="7" t="s">
        <v>8394</v>
      </c>
      <c r="C842" s="7"/>
    </row>
    <row r="843" customFormat="false" ht="15" hidden="false" customHeight="true" outlineLevel="0" collapsed="false">
      <c r="A843" s="7" t="s">
        <v>3316</v>
      </c>
      <c r="B843" s="7" t="s">
        <v>7092</v>
      </c>
      <c r="C843" s="7" t="s">
        <v>8004</v>
      </c>
    </row>
    <row r="844" customFormat="false" ht="15" hidden="false" customHeight="true" outlineLevel="0" collapsed="false">
      <c r="A844" s="7" t="s">
        <v>3316</v>
      </c>
      <c r="B844" s="7" t="s">
        <v>8395</v>
      </c>
      <c r="C844" s="7"/>
    </row>
    <row r="845" customFormat="false" ht="15" hidden="false" customHeight="true" outlineLevel="0" collapsed="false">
      <c r="A845" s="7" t="s">
        <v>3316</v>
      </c>
      <c r="B845" s="7" t="s">
        <v>7090</v>
      </c>
      <c r="C845" s="7" t="s">
        <v>8004</v>
      </c>
    </row>
    <row r="846" customFormat="false" ht="15" hidden="false" customHeight="true" outlineLevel="0" collapsed="false">
      <c r="A846" s="7" t="s">
        <v>3316</v>
      </c>
      <c r="B846" s="7" t="s">
        <v>8396</v>
      </c>
      <c r="C846" s="7"/>
    </row>
    <row r="847" customFormat="false" ht="15" hidden="false" customHeight="true" outlineLevel="0" collapsed="false">
      <c r="A847" s="7" t="s">
        <v>3359</v>
      </c>
      <c r="B847" s="7" t="s">
        <v>3359</v>
      </c>
      <c r="C847" s="7" t="s">
        <v>8004</v>
      </c>
    </row>
    <row r="848" customFormat="false" ht="15" hidden="false" customHeight="true" outlineLevel="0" collapsed="false">
      <c r="A848" s="7" t="s">
        <v>3359</v>
      </c>
      <c r="B848" s="7" t="s">
        <v>3362</v>
      </c>
      <c r="C848" s="7" t="s">
        <v>8004</v>
      </c>
    </row>
    <row r="849" customFormat="false" ht="15" hidden="false" customHeight="true" outlineLevel="0" collapsed="false">
      <c r="A849" s="7" t="s">
        <v>3359</v>
      </c>
      <c r="B849" s="7" t="s">
        <v>7098</v>
      </c>
      <c r="C849" s="7" t="s">
        <v>8004</v>
      </c>
    </row>
    <row r="850" customFormat="false" ht="15" hidden="false" customHeight="true" outlineLevel="0" collapsed="false">
      <c r="A850" s="7" t="s">
        <v>3359</v>
      </c>
      <c r="B850" s="7" t="s">
        <v>7096</v>
      </c>
      <c r="C850" s="7" t="s">
        <v>8004</v>
      </c>
    </row>
    <row r="851" customFormat="false" ht="15" hidden="false" customHeight="true" outlineLevel="0" collapsed="false">
      <c r="A851" s="7" t="s">
        <v>3359</v>
      </c>
      <c r="B851" s="7" t="s">
        <v>3363</v>
      </c>
      <c r="C851" s="7" t="s">
        <v>8004</v>
      </c>
    </row>
    <row r="852" customFormat="false" ht="15" hidden="false" customHeight="true" outlineLevel="0" collapsed="false">
      <c r="A852" s="7" t="s">
        <v>3359</v>
      </c>
      <c r="B852" s="7" t="s">
        <v>8397</v>
      </c>
      <c r="C852" s="7"/>
    </row>
    <row r="853" customFormat="false" ht="15" hidden="false" customHeight="true" outlineLevel="0" collapsed="false">
      <c r="A853" s="7" t="s">
        <v>3359</v>
      </c>
      <c r="B853" s="7" t="s">
        <v>7097</v>
      </c>
      <c r="C853" s="7" t="s">
        <v>8004</v>
      </c>
    </row>
    <row r="854" customFormat="false" ht="15" hidden="false" customHeight="true" outlineLevel="0" collapsed="false">
      <c r="A854" s="7" t="s">
        <v>3359</v>
      </c>
      <c r="B854" s="7" t="s">
        <v>7095</v>
      </c>
      <c r="C854" s="7" t="s">
        <v>8004</v>
      </c>
    </row>
    <row r="855" customFormat="false" ht="15" hidden="false" customHeight="true" outlineLevel="0" collapsed="false">
      <c r="A855" s="7" t="s">
        <v>3359</v>
      </c>
      <c r="B855" s="7" t="s">
        <v>8398</v>
      </c>
      <c r="C855" s="7"/>
    </row>
    <row r="856" customFormat="false" ht="15" hidden="false" customHeight="true" outlineLevel="0" collapsed="false">
      <c r="A856" s="7" t="s">
        <v>3359</v>
      </c>
      <c r="B856" s="7" t="s">
        <v>8399</v>
      </c>
      <c r="C856" s="7"/>
    </row>
    <row r="857" customFormat="false" ht="15" hidden="false" customHeight="true" outlineLevel="0" collapsed="false">
      <c r="A857" s="7" t="s">
        <v>3371</v>
      </c>
      <c r="B857" s="7" t="s">
        <v>3371</v>
      </c>
      <c r="C857" s="7" t="s">
        <v>8004</v>
      </c>
    </row>
    <row r="858" customFormat="false" ht="15" hidden="false" customHeight="true" outlineLevel="0" collapsed="false">
      <c r="A858" s="7" t="s">
        <v>3371</v>
      </c>
      <c r="B858" s="7" t="s">
        <v>7102</v>
      </c>
      <c r="C858" s="7" t="s">
        <v>8004</v>
      </c>
    </row>
    <row r="859" customFormat="false" ht="15" hidden="false" customHeight="true" outlineLevel="0" collapsed="false">
      <c r="A859" s="7" t="s">
        <v>3371</v>
      </c>
      <c r="B859" s="7" t="s">
        <v>3374</v>
      </c>
      <c r="C859" s="7" t="s">
        <v>8004</v>
      </c>
    </row>
    <row r="860" customFormat="false" ht="15" hidden="false" customHeight="true" outlineLevel="0" collapsed="false">
      <c r="A860" s="7" t="s">
        <v>3371</v>
      </c>
      <c r="B860" s="7" t="s">
        <v>7100</v>
      </c>
      <c r="C860" s="7" t="s">
        <v>8004</v>
      </c>
    </row>
    <row r="861" customFormat="false" ht="15" hidden="false" customHeight="true" outlineLevel="0" collapsed="false">
      <c r="A861" s="7" t="s">
        <v>3371</v>
      </c>
      <c r="B861" s="7" t="s">
        <v>3375</v>
      </c>
      <c r="C861" s="7" t="s">
        <v>8004</v>
      </c>
    </row>
    <row r="862" customFormat="false" ht="15" hidden="false" customHeight="true" outlineLevel="0" collapsed="false">
      <c r="A862" s="7" t="s">
        <v>3371</v>
      </c>
      <c r="B862" s="7" t="s">
        <v>8400</v>
      </c>
      <c r="C862" s="7"/>
    </row>
    <row r="863" customFormat="false" ht="15" hidden="false" customHeight="true" outlineLevel="0" collapsed="false">
      <c r="A863" s="7" t="s">
        <v>3371</v>
      </c>
      <c r="B863" s="7" t="s">
        <v>7101</v>
      </c>
      <c r="C863" s="7" t="s">
        <v>8004</v>
      </c>
    </row>
    <row r="864" customFormat="false" ht="15" hidden="false" customHeight="true" outlineLevel="0" collapsed="false">
      <c r="A864" s="7" t="s">
        <v>3371</v>
      </c>
      <c r="B864" s="7" t="s">
        <v>8401</v>
      </c>
      <c r="C864" s="7"/>
    </row>
    <row r="865" customFormat="false" ht="15" hidden="false" customHeight="true" outlineLevel="0" collapsed="false">
      <c r="A865" s="7" t="s">
        <v>3371</v>
      </c>
      <c r="B865" s="7" t="s">
        <v>7099</v>
      </c>
      <c r="C865" s="7" t="s">
        <v>8004</v>
      </c>
    </row>
    <row r="866" customFormat="false" ht="15" hidden="false" customHeight="true" outlineLevel="0" collapsed="false">
      <c r="A866" s="7" t="s">
        <v>3371</v>
      </c>
      <c r="B866" s="7" t="s">
        <v>8402</v>
      </c>
      <c r="C866" s="7"/>
    </row>
    <row r="867" customFormat="false" ht="15" hidden="false" customHeight="true" outlineLevel="0" collapsed="false">
      <c r="A867" s="7" t="s">
        <v>3382</v>
      </c>
      <c r="B867" s="7" t="s">
        <v>3382</v>
      </c>
      <c r="C867" s="7" t="s">
        <v>8004</v>
      </c>
    </row>
    <row r="868" customFormat="false" ht="15" hidden="false" customHeight="true" outlineLevel="0" collapsed="false">
      <c r="A868" s="7" t="s">
        <v>3382</v>
      </c>
      <c r="B868" s="7" t="s">
        <v>3386</v>
      </c>
      <c r="C868" s="7" t="s">
        <v>8004</v>
      </c>
    </row>
    <row r="869" customFormat="false" ht="15" hidden="false" customHeight="true" outlineLevel="0" collapsed="false">
      <c r="A869" s="7" t="s">
        <v>3382</v>
      </c>
      <c r="B869" s="7" t="s">
        <v>7106</v>
      </c>
      <c r="C869" s="7" t="s">
        <v>8004</v>
      </c>
    </row>
    <row r="870" customFormat="false" ht="15" hidden="false" customHeight="true" outlineLevel="0" collapsed="false">
      <c r="A870" s="7" t="s">
        <v>3382</v>
      </c>
      <c r="B870" s="7" t="s">
        <v>8403</v>
      </c>
      <c r="C870" s="7"/>
    </row>
    <row r="871" customFormat="false" ht="15" hidden="false" customHeight="true" outlineLevel="0" collapsed="false">
      <c r="A871" s="7" t="s">
        <v>3382</v>
      </c>
      <c r="B871" s="7" t="s">
        <v>7105</v>
      </c>
      <c r="C871" s="7" t="s">
        <v>8004</v>
      </c>
    </row>
    <row r="872" customFormat="false" ht="15" hidden="false" customHeight="true" outlineLevel="0" collapsed="false">
      <c r="A872" s="7" t="s">
        <v>3382</v>
      </c>
      <c r="B872" s="7" t="s">
        <v>3385</v>
      </c>
      <c r="C872" s="7" t="s">
        <v>8004</v>
      </c>
    </row>
    <row r="873" customFormat="false" ht="15" hidden="false" customHeight="true" outlineLevel="0" collapsed="false">
      <c r="A873" s="7" t="s">
        <v>3382</v>
      </c>
      <c r="B873" s="7" t="s">
        <v>7104</v>
      </c>
      <c r="C873" s="7" t="s">
        <v>8004</v>
      </c>
    </row>
    <row r="874" customFormat="false" ht="15" hidden="false" customHeight="true" outlineLevel="0" collapsed="false">
      <c r="A874" s="7" t="s">
        <v>3382</v>
      </c>
      <c r="B874" s="7" t="s">
        <v>8404</v>
      </c>
      <c r="C874" s="7"/>
    </row>
    <row r="875" customFormat="false" ht="15" hidden="false" customHeight="true" outlineLevel="0" collapsed="false">
      <c r="A875" s="7" t="s">
        <v>3382</v>
      </c>
      <c r="B875" s="7" t="s">
        <v>7103</v>
      </c>
      <c r="C875" s="7" t="s">
        <v>8004</v>
      </c>
    </row>
    <row r="876" customFormat="false" ht="15" hidden="false" customHeight="true" outlineLevel="0" collapsed="false">
      <c r="A876" s="7" t="s">
        <v>3382</v>
      </c>
      <c r="B876" s="7" t="s">
        <v>8405</v>
      </c>
      <c r="C876" s="7"/>
    </row>
    <row r="877" customFormat="false" ht="15" hidden="false" customHeight="true" outlineLevel="0" collapsed="false">
      <c r="A877" s="7" t="s">
        <v>3392</v>
      </c>
      <c r="B877" s="7" t="s">
        <v>3392</v>
      </c>
      <c r="C877" s="7" t="s">
        <v>8004</v>
      </c>
    </row>
    <row r="878" customFormat="false" ht="15" hidden="false" customHeight="true" outlineLevel="0" collapsed="false">
      <c r="A878" s="7" t="s">
        <v>3392</v>
      </c>
      <c r="B878" s="7" t="s">
        <v>3395</v>
      </c>
      <c r="C878" s="7" t="s">
        <v>8004</v>
      </c>
    </row>
    <row r="879" customFormat="false" ht="15" hidden="false" customHeight="true" outlineLevel="0" collapsed="false">
      <c r="A879" s="7" t="s">
        <v>3392</v>
      </c>
      <c r="B879" s="7" t="s">
        <v>7110</v>
      </c>
      <c r="C879" s="7" t="s">
        <v>8004</v>
      </c>
    </row>
    <row r="880" customFormat="false" ht="15" hidden="false" customHeight="true" outlineLevel="0" collapsed="false">
      <c r="A880" s="7" t="s">
        <v>3392</v>
      </c>
      <c r="B880" s="7" t="s">
        <v>7108</v>
      </c>
      <c r="C880" s="7" t="s">
        <v>8004</v>
      </c>
    </row>
    <row r="881" customFormat="false" ht="15" hidden="false" customHeight="true" outlineLevel="0" collapsed="false">
      <c r="A881" s="7" t="s">
        <v>3392</v>
      </c>
      <c r="B881" s="7" t="s">
        <v>7109</v>
      </c>
      <c r="C881" s="7" t="s">
        <v>8004</v>
      </c>
    </row>
    <row r="882" customFormat="false" ht="15" hidden="false" customHeight="true" outlineLevel="0" collapsed="false">
      <c r="A882" s="7" t="s">
        <v>3392</v>
      </c>
      <c r="B882" s="7" t="s">
        <v>3396</v>
      </c>
      <c r="C882" s="7" t="s">
        <v>8004</v>
      </c>
    </row>
    <row r="883" customFormat="false" ht="15" hidden="false" customHeight="true" outlineLevel="0" collapsed="false">
      <c r="A883" s="7" t="s">
        <v>3392</v>
      </c>
      <c r="B883" s="7" t="s">
        <v>7107</v>
      </c>
      <c r="C883" s="7" t="s">
        <v>8004</v>
      </c>
    </row>
    <row r="884" customFormat="false" ht="15" hidden="false" customHeight="true" outlineLevel="0" collapsed="false">
      <c r="A884" s="7" t="s">
        <v>3392</v>
      </c>
      <c r="B884" s="7" t="s">
        <v>8406</v>
      </c>
      <c r="C884" s="7"/>
    </row>
    <row r="885" customFormat="false" ht="15" hidden="false" customHeight="true" outlineLevel="0" collapsed="false">
      <c r="A885" s="7" t="s">
        <v>3392</v>
      </c>
      <c r="B885" s="7" t="s">
        <v>8407</v>
      </c>
      <c r="C885" s="7"/>
    </row>
    <row r="886" customFormat="false" ht="15" hidden="false" customHeight="true" outlineLevel="0" collapsed="false">
      <c r="A886" s="7" t="s">
        <v>3392</v>
      </c>
      <c r="B886" s="7" t="s">
        <v>8408</v>
      </c>
      <c r="C886" s="7"/>
    </row>
    <row r="887" customFormat="false" ht="15" hidden="false" customHeight="true" outlineLevel="0" collapsed="false">
      <c r="A887" s="7" t="s">
        <v>6499</v>
      </c>
      <c r="B887" s="7" t="s">
        <v>6499</v>
      </c>
      <c r="C887" s="7" t="s">
        <v>8004</v>
      </c>
    </row>
    <row r="888" customFormat="false" ht="15" hidden="false" customHeight="true" outlineLevel="0" collapsed="false">
      <c r="A888" s="7" t="s">
        <v>6499</v>
      </c>
      <c r="B888" s="7" t="s">
        <v>8409</v>
      </c>
      <c r="C888" s="7"/>
    </row>
    <row r="889" customFormat="false" ht="15" hidden="false" customHeight="true" outlineLevel="0" collapsed="false">
      <c r="A889" s="7" t="s">
        <v>6499</v>
      </c>
      <c r="B889" s="7" t="s">
        <v>8410</v>
      </c>
      <c r="C889" s="7"/>
    </row>
    <row r="890" customFormat="false" ht="15" hidden="false" customHeight="true" outlineLevel="0" collapsed="false">
      <c r="A890" s="7" t="s">
        <v>6499</v>
      </c>
      <c r="B890" s="7" t="s">
        <v>8411</v>
      </c>
      <c r="C890" s="7"/>
    </row>
    <row r="891" customFormat="false" ht="15" hidden="false" customHeight="true" outlineLevel="0" collapsed="false">
      <c r="A891" s="7" t="s">
        <v>6499</v>
      </c>
      <c r="B891" s="7" t="s">
        <v>8412</v>
      </c>
      <c r="C891" s="7"/>
    </row>
    <row r="892" customFormat="false" ht="15" hidden="false" customHeight="true" outlineLevel="0" collapsed="false">
      <c r="A892" s="7" t="s">
        <v>6499</v>
      </c>
      <c r="B892" s="7" t="s">
        <v>8413</v>
      </c>
      <c r="C892" s="7"/>
    </row>
    <row r="893" customFormat="false" ht="15" hidden="false" customHeight="true" outlineLevel="0" collapsed="false">
      <c r="A893" s="7" t="s">
        <v>6499</v>
      </c>
      <c r="B893" s="7" t="s">
        <v>8414</v>
      </c>
      <c r="C893" s="7"/>
    </row>
    <row r="894" customFormat="false" ht="15" hidden="false" customHeight="true" outlineLevel="0" collapsed="false">
      <c r="A894" s="7" t="s">
        <v>6499</v>
      </c>
      <c r="B894" s="7" t="s">
        <v>8415</v>
      </c>
      <c r="C894" s="7"/>
    </row>
    <row r="895" customFormat="false" ht="15" hidden="false" customHeight="true" outlineLevel="0" collapsed="false">
      <c r="A895" s="7" t="s">
        <v>6499</v>
      </c>
      <c r="B895" s="7" t="s">
        <v>8416</v>
      </c>
      <c r="C895" s="7"/>
    </row>
    <row r="896" customFormat="false" ht="15" hidden="false" customHeight="true" outlineLevel="0" collapsed="false">
      <c r="A896" s="7" t="s">
        <v>6499</v>
      </c>
      <c r="B896" s="7" t="s">
        <v>8417</v>
      </c>
      <c r="C896" s="7"/>
    </row>
    <row r="897" customFormat="false" ht="15" hidden="false" customHeight="true" outlineLevel="0" collapsed="false">
      <c r="A897" s="7" t="s">
        <v>6503</v>
      </c>
      <c r="B897" s="7" t="s">
        <v>6503</v>
      </c>
      <c r="C897" s="7" t="s">
        <v>8004</v>
      </c>
    </row>
    <row r="898" customFormat="false" ht="15" hidden="false" customHeight="true" outlineLevel="0" collapsed="false">
      <c r="A898" s="7" t="s">
        <v>6503</v>
      </c>
      <c r="B898" s="7" t="s">
        <v>8418</v>
      </c>
      <c r="C898" s="7"/>
    </row>
    <row r="899" customFormat="false" ht="15" hidden="false" customHeight="true" outlineLevel="0" collapsed="false">
      <c r="A899" s="7" t="s">
        <v>6503</v>
      </c>
      <c r="B899" s="7" t="s">
        <v>8419</v>
      </c>
      <c r="C899" s="7"/>
    </row>
    <row r="900" customFormat="false" ht="15" hidden="false" customHeight="true" outlineLevel="0" collapsed="false">
      <c r="A900" s="7" t="s">
        <v>6503</v>
      </c>
      <c r="B900" s="7" t="s">
        <v>8420</v>
      </c>
      <c r="C900" s="7"/>
    </row>
    <row r="901" customFormat="false" ht="15" hidden="false" customHeight="true" outlineLevel="0" collapsed="false">
      <c r="A901" s="7" t="s">
        <v>6503</v>
      </c>
      <c r="B901" s="7" t="s">
        <v>8421</v>
      </c>
      <c r="C901" s="7"/>
    </row>
    <row r="902" customFormat="false" ht="15" hidden="false" customHeight="true" outlineLevel="0" collapsed="false">
      <c r="A902" s="7" t="s">
        <v>6503</v>
      </c>
      <c r="B902" s="7" t="s">
        <v>8422</v>
      </c>
      <c r="C902" s="7"/>
    </row>
    <row r="903" customFormat="false" ht="15" hidden="false" customHeight="true" outlineLevel="0" collapsed="false">
      <c r="A903" s="7" t="s">
        <v>6503</v>
      </c>
      <c r="B903" s="7" t="s">
        <v>8423</v>
      </c>
      <c r="C903" s="7"/>
    </row>
    <row r="904" customFormat="false" ht="15" hidden="false" customHeight="true" outlineLevel="0" collapsed="false">
      <c r="A904" s="7" t="s">
        <v>6503</v>
      </c>
      <c r="B904" s="7" t="s">
        <v>8424</v>
      </c>
      <c r="C904" s="7"/>
    </row>
    <row r="905" customFormat="false" ht="15" hidden="false" customHeight="true" outlineLevel="0" collapsed="false">
      <c r="A905" s="7" t="s">
        <v>6503</v>
      </c>
      <c r="B905" s="7" t="s">
        <v>8425</v>
      </c>
      <c r="C905" s="7"/>
    </row>
    <row r="906" customFormat="false" ht="15" hidden="false" customHeight="true" outlineLevel="0" collapsed="false">
      <c r="A906" s="7" t="s">
        <v>6503</v>
      </c>
      <c r="B906" s="7" t="s">
        <v>8426</v>
      </c>
      <c r="C906" s="7"/>
    </row>
    <row r="907" customFormat="false" ht="15" hidden="false" customHeight="true" outlineLevel="0" collapsed="false">
      <c r="A907" s="7" t="s">
        <v>3446</v>
      </c>
      <c r="B907" s="7" t="s">
        <v>3446</v>
      </c>
      <c r="C907" s="7" t="s">
        <v>8004</v>
      </c>
    </row>
    <row r="908" customFormat="false" ht="15" hidden="false" customHeight="true" outlineLevel="0" collapsed="false">
      <c r="A908" s="7" t="s">
        <v>3446</v>
      </c>
      <c r="B908" s="7" t="s">
        <v>7114</v>
      </c>
      <c r="C908" s="7" t="s">
        <v>8004</v>
      </c>
    </row>
    <row r="909" customFormat="false" ht="15" hidden="false" customHeight="true" outlineLevel="0" collapsed="false">
      <c r="A909" s="7" t="s">
        <v>3446</v>
      </c>
      <c r="B909" s="7" t="s">
        <v>3449</v>
      </c>
      <c r="C909" s="7" t="s">
        <v>8004</v>
      </c>
    </row>
    <row r="910" customFormat="false" ht="15" hidden="false" customHeight="true" outlineLevel="0" collapsed="false">
      <c r="A910" s="7" t="s">
        <v>3446</v>
      </c>
      <c r="B910" s="7" t="s">
        <v>7115</v>
      </c>
      <c r="C910" s="7" t="s">
        <v>8004</v>
      </c>
    </row>
    <row r="911" customFormat="false" ht="15" hidden="false" customHeight="true" outlineLevel="0" collapsed="false">
      <c r="A911" s="7" t="s">
        <v>3446</v>
      </c>
      <c r="B911" s="7" t="s">
        <v>8427</v>
      </c>
      <c r="C911" s="7"/>
    </row>
    <row r="912" customFormat="false" ht="15" hidden="false" customHeight="true" outlineLevel="0" collapsed="false">
      <c r="A912" s="7" t="s">
        <v>3446</v>
      </c>
      <c r="B912" s="7" t="s">
        <v>7116</v>
      </c>
      <c r="C912" s="7" t="s">
        <v>8004</v>
      </c>
    </row>
    <row r="913" customFormat="false" ht="15" hidden="false" customHeight="true" outlineLevel="0" collapsed="false">
      <c r="A913" s="7" t="s">
        <v>3446</v>
      </c>
      <c r="B913" s="7" t="s">
        <v>7113</v>
      </c>
      <c r="C913" s="7" t="s">
        <v>8004</v>
      </c>
    </row>
    <row r="914" customFormat="false" ht="15" hidden="false" customHeight="true" outlineLevel="0" collapsed="false">
      <c r="A914" s="7" t="s">
        <v>3446</v>
      </c>
      <c r="B914" s="7" t="s">
        <v>7112</v>
      </c>
      <c r="C914" s="7" t="s">
        <v>8004</v>
      </c>
    </row>
    <row r="915" customFormat="false" ht="15" hidden="false" customHeight="true" outlineLevel="0" collapsed="false">
      <c r="A915" s="7" t="s">
        <v>3446</v>
      </c>
      <c r="B915" s="7" t="s">
        <v>8428</v>
      </c>
      <c r="C915" s="7"/>
    </row>
    <row r="916" customFormat="false" ht="15" hidden="false" customHeight="true" outlineLevel="0" collapsed="false">
      <c r="A916" s="7" t="s">
        <v>3446</v>
      </c>
      <c r="B916" s="7" t="s">
        <v>3450</v>
      </c>
      <c r="C916" s="7" t="s">
        <v>8004</v>
      </c>
    </row>
    <row r="917" customFormat="false" ht="15" hidden="false" customHeight="true" outlineLevel="0" collapsed="false">
      <c r="A917" s="7" t="s">
        <v>3436</v>
      </c>
      <c r="B917" s="7" t="s">
        <v>3436</v>
      </c>
      <c r="C917" s="7" t="s">
        <v>8004</v>
      </c>
    </row>
    <row r="918" customFormat="false" ht="15" hidden="false" customHeight="true" outlineLevel="0" collapsed="false">
      <c r="A918" s="7" t="s">
        <v>3436</v>
      </c>
      <c r="B918" s="7" t="s">
        <v>8429</v>
      </c>
      <c r="C918" s="7"/>
    </row>
    <row r="919" customFormat="false" ht="15" hidden="false" customHeight="true" outlineLevel="0" collapsed="false">
      <c r="A919" s="7" t="s">
        <v>3436</v>
      </c>
      <c r="B919" s="7" t="s">
        <v>7118</v>
      </c>
      <c r="C919" s="7" t="s">
        <v>8004</v>
      </c>
    </row>
    <row r="920" customFormat="false" ht="15" hidden="false" customHeight="true" outlineLevel="0" collapsed="false">
      <c r="A920" s="7" t="s">
        <v>3436</v>
      </c>
      <c r="B920" s="7" t="s">
        <v>7120</v>
      </c>
      <c r="C920" s="7" t="s">
        <v>8004</v>
      </c>
    </row>
    <row r="921" customFormat="false" ht="15" hidden="false" customHeight="true" outlineLevel="0" collapsed="false">
      <c r="A921" s="7" t="s">
        <v>3436</v>
      </c>
      <c r="B921" s="7" t="s">
        <v>7119</v>
      </c>
      <c r="C921" s="7" t="s">
        <v>8004</v>
      </c>
    </row>
    <row r="922" customFormat="false" ht="15" hidden="false" customHeight="true" outlineLevel="0" collapsed="false">
      <c r="A922" s="7" t="s">
        <v>3436</v>
      </c>
      <c r="B922" s="7" t="s">
        <v>3440</v>
      </c>
      <c r="C922" s="7" t="s">
        <v>8004</v>
      </c>
    </row>
    <row r="923" customFormat="false" ht="15" hidden="false" customHeight="true" outlineLevel="0" collapsed="false">
      <c r="A923" s="7" t="s">
        <v>3436</v>
      </c>
      <c r="B923" s="7" t="s">
        <v>8430</v>
      </c>
      <c r="C923" s="7"/>
    </row>
    <row r="924" customFormat="false" ht="15" hidden="false" customHeight="true" outlineLevel="0" collapsed="false">
      <c r="A924" s="7" t="s">
        <v>3436</v>
      </c>
      <c r="B924" s="7" t="s">
        <v>8431</v>
      </c>
      <c r="C924" s="7"/>
    </row>
    <row r="925" customFormat="false" ht="15" hidden="false" customHeight="true" outlineLevel="0" collapsed="false">
      <c r="A925" s="7" t="s">
        <v>3436</v>
      </c>
      <c r="B925" s="7" t="s">
        <v>7121</v>
      </c>
      <c r="C925" s="7" t="s">
        <v>8004</v>
      </c>
    </row>
    <row r="926" customFormat="false" ht="15" hidden="false" customHeight="true" outlineLevel="0" collapsed="false">
      <c r="A926" s="7" t="s">
        <v>3436</v>
      </c>
      <c r="B926" s="7" t="s">
        <v>7117</v>
      </c>
      <c r="C926" s="7" t="s">
        <v>8004</v>
      </c>
    </row>
    <row r="927" customFormat="false" ht="15" hidden="false" customHeight="true" outlineLevel="0" collapsed="false">
      <c r="A927" s="7" t="s">
        <v>3459</v>
      </c>
      <c r="B927" s="7" t="s">
        <v>3459</v>
      </c>
      <c r="C927" s="7" t="s">
        <v>8004</v>
      </c>
    </row>
    <row r="928" customFormat="false" ht="15" hidden="false" customHeight="true" outlineLevel="0" collapsed="false">
      <c r="A928" s="7" t="s">
        <v>3459</v>
      </c>
      <c r="B928" s="7" t="s">
        <v>3462</v>
      </c>
      <c r="C928" s="7" t="s">
        <v>8004</v>
      </c>
    </row>
    <row r="929" customFormat="false" ht="15" hidden="false" customHeight="true" outlineLevel="0" collapsed="false">
      <c r="A929" s="7" t="s">
        <v>3459</v>
      </c>
      <c r="B929" s="7" t="s">
        <v>7124</v>
      </c>
      <c r="C929" s="7" t="s">
        <v>8004</v>
      </c>
    </row>
    <row r="930" customFormat="false" ht="15" hidden="false" customHeight="true" outlineLevel="0" collapsed="false">
      <c r="A930" s="7" t="s">
        <v>3459</v>
      </c>
      <c r="B930" s="7" t="s">
        <v>7123</v>
      </c>
      <c r="C930" s="7" t="s">
        <v>8004</v>
      </c>
    </row>
    <row r="931" customFormat="false" ht="15" hidden="false" customHeight="true" outlineLevel="0" collapsed="false">
      <c r="A931" s="7" t="s">
        <v>3459</v>
      </c>
      <c r="B931" s="7" t="s">
        <v>8432</v>
      </c>
      <c r="C931" s="7"/>
    </row>
    <row r="932" customFormat="false" ht="15" hidden="false" customHeight="true" outlineLevel="0" collapsed="false">
      <c r="A932" s="7" t="s">
        <v>3459</v>
      </c>
      <c r="B932" s="7" t="s">
        <v>7122</v>
      </c>
      <c r="C932" s="7" t="s">
        <v>8004</v>
      </c>
    </row>
    <row r="933" customFormat="false" ht="15" hidden="false" customHeight="true" outlineLevel="0" collapsed="false">
      <c r="A933" s="7" t="s">
        <v>3459</v>
      </c>
      <c r="B933" s="7" t="s">
        <v>7126</v>
      </c>
      <c r="C933" s="7" t="s">
        <v>8004</v>
      </c>
    </row>
    <row r="934" customFormat="false" ht="15" hidden="false" customHeight="true" outlineLevel="0" collapsed="false">
      <c r="A934" s="7" t="s">
        <v>3459</v>
      </c>
      <c r="B934" s="7" t="s">
        <v>3463</v>
      </c>
      <c r="C934" s="7" t="s">
        <v>8004</v>
      </c>
    </row>
    <row r="935" customFormat="false" ht="15" hidden="false" customHeight="true" outlineLevel="0" collapsed="false">
      <c r="A935" s="7" t="s">
        <v>3459</v>
      </c>
      <c r="B935" s="7" t="s">
        <v>7125</v>
      </c>
      <c r="C935" s="7" t="s">
        <v>8004</v>
      </c>
    </row>
    <row r="936" customFormat="false" ht="15" hidden="false" customHeight="true" outlineLevel="0" collapsed="false">
      <c r="A936" s="7" t="s">
        <v>3459</v>
      </c>
      <c r="B936" s="7" t="s">
        <v>8433</v>
      </c>
      <c r="C936" s="7"/>
    </row>
    <row r="937" customFormat="false" ht="15" hidden="false" customHeight="true" outlineLevel="0" collapsed="false">
      <c r="A937" s="7" t="s">
        <v>287</v>
      </c>
      <c r="B937" s="7" t="s">
        <v>287</v>
      </c>
      <c r="C937" s="7" t="s">
        <v>8004</v>
      </c>
    </row>
    <row r="938" customFormat="false" ht="15" hidden="false" customHeight="true" outlineLevel="0" collapsed="false">
      <c r="A938" s="7" t="s">
        <v>287</v>
      </c>
      <c r="B938" s="7" t="s">
        <v>6511</v>
      </c>
      <c r="C938" s="7" t="s">
        <v>8004</v>
      </c>
    </row>
    <row r="939" customFormat="false" ht="15" hidden="false" customHeight="true" outlineLevel="0" collapsed="false">
      <c r="A939" s="7" t="s">
        <v>287</v>
      </c>
      <c r="B939" s="7" t="s">
        <v>6513</v>
      </c>
      <c r="C939" s="7" t="s">
        <v>8004</v>
      </c>
    </row>
    <row r="940" customFormat="false" ht="15" hidden="false" customHeight="true" outlineLevel="0" collapsed="false">
      <c r="A940" s="7" t="s">
        <v>287</v>
      </c>
      <c r="B940" s="7" t="s">
        <v>8434</v>
      </c>
      <c r="C940" s="7"/>
    </row>
    <row r="941" customFormat="false" ht="15" hidden="false" customHeight="true" outlineLevel="0" collapsed="false">
      <c r="A941" s="7" t="s">
        <v>287</v>
      </c>
      <c r="B941" s="7" t="s">
        <v>8435</v>
      </c>
      <c r="C941" s="7"/>
    </row>
    <row r="942" customFormat="false" ht="15" hidden="false" customHeight="true" outlineLevel="0" collapsed="false">
      <c r="A942" s="7" t="s">
        <v>287</v>
      </c>
      <c r="B942" s="7" t="s">
        <v>8436</v>
      </c>
      <c r="C942" s="7"/>
    </row>
    <row r="943" customFormat="false" ht="15" hidden="false" customHeight="true" outlineLevel="0" collapsed="false">
      <c r="A943" s="7" t="s">
        <v>287</v>
      </c>
      <c r="B943" s="7" t="s">
        <v>8437</v>
      </c>
      <c r="C943" s="7"/>
    </row>
    <row r="944" customFormat="false" ht="15" hidden="false" customHeight="true" outlineLevel="0" collapsed="false">
      <c r="A944" s="7" t="s">
        <v>287</v>
      </c>
      <c r="B944" s="7" t="s">
        <v>8438</v>
      </c>
      <c r="C944" s="7"/>
    </row>
    <row r="945" customFormat="false" ht="15" hidden="false" customHeight="true" outlineLevel="0" collapsed="false">
      <c r="A945" s="7" t="s">
        <v>287</v>
      </c>
      <c r="B945" s="7" t="s">
        <v>8439</v>
      </c>
      <c r="C945" s="7"/>
    </row>
    <row r="946" customFormat="false" ht="15" hidden="false" customHeight="true" outlineLevel="0" collapsed="false">
      <c r="A946" s="7" t="s">
        <v>287</v>
      </c>
      <c r="B946" s="7" t="s">
        <v>8440</v>
      </c>
      <c r="C946" s="7"/>
    </row>
    <row r="947" customFormat="false" ht="15" hidden="false" customHeight="true" outlineLevel="0" collapsed="false">
      <c r="A947" s="7" t="s">
        <v>3469</v>
      </c>
      <c r="B947" s="7" t="s">
        <v>3469</v>
      </c>
      <c r="C947" s="7" t="s">
        <v>8004</v>
      </c>
    </row>
    <row r="948" customFormat="false" ht="15" hidden="false" customHeight="true" outlineLevel="0" collapsed="false">
      <c r="A948" s="7" t="s">
        <v>3469</v>
      </c>
      <c r="B948" s="7" t="s">
        <v>7129</v>
      </c>
      <c r="C948" s="7" t="s">
        <v>8004</v>
      </c>
    </row>
    <row r="949" customFormat="false" ht="15" hidden="false" customHeight="true" outlineLevel="0" collapsed="false">
      <c r="A949" s="7" t="s">
        <v>3469</v>
      </c>
      <c r="B949" s="7" t="s">
        <v>7127</v>
      </c>
      <c r="C949" s="7" t="s">
        <v>8004</v>
      </c>
    </row>
    <row r="950" customFormat="false" ht="15" hidden="false" customHeight="true" outlineLevel="0" collapsed="false">
      <c r="A950" s="7" t="s">
        <v>3469</v>
      </c>
      <c r="B950" s="7" t="s">
        <v>7131</v>
      </c>
      <c r="C950" s="7" t="s">
        <v>8004</v>
      </c>
    </row>
    <row r="951" customFormat="false" ht="15" hidden="false" customHeight="true" outlineLevel="0" collapsed="false">
      <c r="A951" s="7" t="s">
        <v>3469</v>
      </c>
      <c r="B951" s="7" t="s">
        <v>8441</v>
      </c>
      <c r="C951" s="7"/>
    </row>
    <row r="952" customFormat="false" ht="15" hidden="false" customHeight="true" outlineLevel="0" collapsed="false">
      <c r="A952" s="7" t="s">
        <v>3469</v>
      </c>
      <c r="B952" s="7" t="s">
        <v>3472</v>
      </c>
      <c r="C952" s="7" t="s">
        <v>8004</v>
      </c>
    </row>
    <row r="953" customFormat="false" ht="15" hidden="false" customHeight="true" outlineLevel="0" collapsed="false">
      <c r="A953" s="7" t="s">
        <v>3469</v>
      </c>
      <c r="B953" s="7" t="s">
        <v>7130</v>
      </c>
      <c r="C953" s="7" t="s">
        <v>8004</v>
      </c>
    </row>
    <row r="954" customFormat="false" ht="15" hidden="false" customHeight="true" outlineLevel="0" collapsed="false">
      <c r="A954" s="7" t="s">
        <v>3469</v>
      </c>
      <c r="B954" s="7" t="s">
        <v>7128</v>
      </c>
      <c r="C954" s="7" t="s">
        <v>8004</v>
      </c>
    </row>
    <row r="955" customFormat="false" ht="15" hidden="false" customHeight="true" outlineLevel="0" collapsed="false">
      <c r="A955" s="7" t="s">
        <v>3469</v>
      </c>
      <c r="B955" s="7" t="s">
        <v>8442</v>
      </c>
      <c r="C955" s="7"/>
    </row>
    <row r="956" customFormat="false" ht="15" hidden="false" customHeight="true" outlineLevel="0" collapsed="false">
      <c r="A956" s="7" t="s">
        <v>3469</v>
      </c>
      <c r="B956" s="7" t="s">
        <v>8443</v>
      </c>
      <c r="C956" s="7"/>
    </row>
    <row r="957" customFormat="false" ht="15" hidden="false" customHeight="true" outlineLevel="0" collapsed="false">
      <c r="A957" s="7" t="s">
        <v>241</v>
      </c>
      <c r="B957" s="7" t="s">
        <v>241</v>
      </c>
      <c r="C957" s="7" t="s">
        <v>8004</v>
      </c>
    </row>
    <row r="958" customFormat="false" ht="15" hidden="false" customHeight="true" outlineLevel="0" collapsed="false">
      <c r="A958" s="7" t="s">
        <v>241</v>
      </c>
      <c r="B958" s="7" t="s">
        <v>249</v>
      </c>
      <c r="C958" s="7" t="s">
        <v>8004</v>
      </c>
    </row>
    <row r="959" customFormat="false" ht="15" hidden="false" customHeight="true" outlineLevel="0" collapsed="false">
      <c r="A959" s="7" t="s">
        <v>241</v>
      </c>
      <c r="B959" s="7" t="s">
        <v>178</v>
      </c>
      <c r="C959" s="7" t="s">
        <v>8004</v>
      </c>
    </row>
    <row r="960" customFormat="false" ht="15" hidden="false" customHeight="true" outlineLevel="0" collapsed="false">
      <c r="A960" s="7" t="s">
        <v>241</v>
      </c>
      <c r="B960" s="7" t="s">
        <v>243</v>
      </c>
      <c r="C960" s="7" t="s">
        <v>8004</v>
      </c>
    </row>
    <row r="961" customFormat="false" ht="15" hidden="false" customHeight="true" outlineLevel="0" collapsed="false">
      <c r="A961" s="7" t="s">
        <v>241</v>
      </c>
      <c r="B961" s="7" t="s">
        <v>245</v>
      </c>
      <c r="C961" s="7" t="s">
        <v>8004</v>
      </c>
    </row>
    <row r="962" customFormat="false" ht="15" hidden="false" customHeight="true" outlineLevel="0" collapsed="false">
      <c r="A962" s="7" t="s">
        <v>241</v>
      </c>
      <c r="B962" s="7" t="s">
        <v>180</v>
      </c>
      <c r="C962" s="7" t="s">
        <v>8004</v>
      </c>
    </row>
    <row r="963" customFormat="false" ht="15" hidden="false" customHeight="true" outlineLevel="0" collapsed="false">
      <c r="A963" s="7" t="s">
        <v>241</v>
      </c>
      <c r="B963" s="7" t="s">
        <v>246</v>
      </c>
      <c r="C963" s="7" t="s">
        <v>8004</v>
      </c>
    </row>
    <row r="964" customFormat="false" ht="15" hidden="false" customHeight="true" outlineLevel="0" collapsed="false">
      <c r="A964" s="7" t="s">
        <v>241</v>
      </c>
      <c r="B964" s="7" t="s">
        <v>250</v>
      </c>
      <c r="C964" s="7" t="s">
        <v>8004</v>
      </c>
    </row>
    <row r="965" customFormat="false" ht="15" hidden="false" customHeight="true" outlineLevel="0" collapsed="false">
      <c r="A965" s="7" t="s">
        <v>241</v>
      </c>
      <c r="B965" s="7" t="s">
        <v>252</v>
      </c>
      <c r="C965" s="7" t="s">
        <v>8004</v>
      </c>
    </row>
    <row r="966" customFormat="false" ht="15" hidden="false" customHeight="true" outlineLevel="0" collapsed="false">
      <c r="A966" s="7" t="s">
        <v>241</v>
      </c>
      <c r="B966" s="7" t="s">
        <v>2092</v>
      </c>
      <c r="C966" s="7" t="s">
        <v>8004</v>
      </c>
    </row>
    <row r="967" customFormat="false" ht="15" hidden="false" customHeight="true" outlineLevel="0" collapsed="false">
      <c r="A967" s="7" t="s">
        <v>2232</v>
      </c>
      <c r="B967" s="7" t="s">
        <v>1193</v>
      </c>
      <c r="C967" s="7" t="s">
        <v>8004</v>
      </c>
    </row>
    <row r="968" customFormat="false" ht="15" hidden="false" customHeight="true" outlineLevel="0" collapsed="false">
      <c r="A968" s="7" t="s">
        <v>2232</v>
      </c>
      <c r="B968" s="7" t="s">
        <v>8444</v>
      </c>
      <c r="C968" s="7"/>
    </row>
    <row r="969" customFormat="false" ht="15" hidden="false" customHeight="true" outlineLevel="0" collapsed="false">
      <c r="A969" s="7" t="s">
        <v>2232</v>
      </c>
      <c r="B969" s="7" t="s">
        <v>8445</v>
      </c>
      <c r="C969" s="7"/>
    </row>
    <row r="970" customFormat="false" ht="15" hidden="false" customHeight="true" outlineLevel="0" collapsed="false">
      <c r="A970" s="7" t="s">
        <v>2232</v>
      </c>
      <c r="B970" s="7" t="s">
        <v>8446</v>
      </c>
      <c r="C970" s="7"/>
    </row>
    <row r="971" customFormat="false" ht="15" hidden="false" customHeight="true" outlineLevel="0" collapsed="false">
      <c r="A971" s="7" t="s">
        <v>2232</v>
      </c>
      <c r="B971" s="7" t="s">
        <v>8447</v>
      </c>
      <c r="C971" s="7"/>
    </row>
    <row r="972" customFormat="false" ht="15" hidden="false" customHeight="true" outlineLevel="0" collapsed="false">
      <c r="A972" s="7" t="s">
        <v>2232</v>
      </c>
      <c r="B972" s="7" t="s">
        <v>8448</v>
      </c>
      <c r="C972" s="7"/>
    </row>
    <row r="973" customFormat="false" ht="15" hidden="false" customHeight="true" outlineLevel="0" collapsed="false">
      <c r="A973" s="7" t="s">
        <v>2106</v>
      </c>
      <c r="B973" s="7" t="s">
        <v>2106</v>
      </c>
      <c r="C973" s="7" t="s">
        <v>8004</v>
      </c>
    </row>
    <row r="974" customFormat="false" ht="15" hidden="false" customHeight="true" outlineLevel="0" collapsed="false">
      <c r="A974" s="7" t="s">
        <v>2106</v>
      </c>
      <c r="B974" s="7" t="s">
        <v>8449</v>
      </c>
      <c r="C974" s="7"/>
    </row>
    <row r="975" customFormat="false" ht="15" hidden="false" customHeight="true" outlineLevel="0" collapsed="false">
      <c r="A975" s="7" t="s">
        <v>2106</v>
      </c>
      <c r="B975" s="7" t="s">
        <v>8450</v>
      </c>
      <c r="C975" s="7"/>
    </row>
    <row r="976" customFormat="false" ht="15" hidden="false" customHeight="true" outlineLevel="0" collapsed="false">
      <c r="A976" s="7" t="s">
        <v>2106</v>
      </c>
      <c r="B976" s="7" t="s">
        <v>8451</v>
      </c>
      <c r="C976" s="7"/>
    </row>
    <row r="977" customFormat="false" ht="15" hidden="false" customHeight="true" outlineLevel="0" collapsed="false">
      <c r="A977" s="7" t="s">
        <v>2206</v>
      </c>
      <c r="B977" s="7" t="s">
        <v>2206</v>
      </c>
      <c r="C977" s="7" t="s">
        <v>8004</v>
      </c>
    </row>
    <row r="978" customFormat="false" ht="15" hidden="false" customHeight="true" outlineLevel="0" collapsed="false">
      <c r="A978" s="7" t="s">
        <v>2206</v>
      </c>
      <c r="B978" s="7" t="s">
        <v>7136</v>
      </c>
      <c r="C978" s="7" t="s">
        <v>8004</v>
      </c>
    </row>
    <row r="979" customFormat="false" ht="15" hidden="false" customHeight="true" outlineLevel="0" collapsed="false">
      <c r="A979" s="7" t="s">
        <v>2206</v>
      </c>
      <c r="B979" s="7" t="s">
        <v>8452</v>
      </c>
      <c r="C979" s="7"/>
    </row>
    <row r="980" customFormat="false" ht="15" hidden="false" customHeight="true" outlineLevel="0" collapsed="false">
      <c r="A980" s="7" t="s">
        <v>2206</v>
      </c>
      <c r="B980" s="7" t="s">
        <v>8453</v>
      </c>
      <c r="C980" s="7"/>
    </row>
    <row r="981" customFormat="false" ht="15" hidden="false" customHeight="true" outlineLevel="0" collapsed="false">
      <c r="A981" s="7" t="s">
        <v>2206</v>
      </c>
      <c r="B981" s="7" t="s">
        <v>8454</v>
      </c>
      <c r="C981" s="7"/>
    </row>
    <row r="982" customFormat="false" ht="15" hidden="false" customHeight="true" outlineLevel="0" collapsed="false">
      <c r="A982" s="7" t="s">
        <v>2206</v>
      </c>
      <c r="B982" s="7" t="s">
        <v>8455</v>
      </c>
      <c r="C982" s="7"/>
    </row>
    <row r="983" customFormat="false" ht="15" hidden="false" customHeight="true" outlineLevel="0" collapsed="false">
      <c r="A983" s="7" t="s">
        <v>2206</v>
      </c>
      <c r="B983" s="7" t="s">
        <v>8456</v>
      </c>
      <c r="C983" s="7"/>
    </row>
    <row r="984" customFormat="false" ht="15" hidden="false" customHeight="true" outlineLevel="0" collapsed="false">
      <c r="A984" s="7" t="s">
        <v>2206</v>
      </c>
      <c r="B984" s="7" t="s">
        <v>8457</v>
      </c>
      <c r="C984" s="7"/>
    </row>
    <row r="985" customFormat="false" ht="15" hidden="false" customHeight="true" outlineLevel="0" collapsed="false">
      <c r="A985" s="7" t="s">
        <v>2206</v>
      </c>
      <c r="B985" s="7" t="s">
        <v>7543</v>
      </c>
      <c r="C985" s="7" t="s">
        <v>8004</v>
      </c>
    </row>
    <row r="986" customFormat="false" ht="15" hidden="false" customHeight="true" outlineLevel="0" collapsed="false">
      <c r="A986" s="7" t="s">
        <v>2206</v>
      </c>
      <c r="B986" s="7" t="s">
        <v>8458</v>
      </c>
      <c r="C986" s="7"/>
    </row>
    <row r="987" customFormat="false" ht="15" hidden="false" customHeight="true" outlineLevel="0" collapsed="false">
      <c r="A987" s="7" t="s">
        <v>1943</v>
      </c>
      <c r="B987" s="7" t="s">
        <v>7134</v>
      </c>
      <c r="C987" s="7" t="s">
        <v>8004</v>
      </c>
    </row>
    <row r="988" customFormat="false" ht="15" hidden="false" customHeight="true" outlineLevel="0" collapsed="false">
      <c r="A988" s="7" t="s">
        <v>1943</v>
      </c>
      <c r="B988" s="7" t="s">
        <v>7135</v>
      </c>
      <c r="C988" s="7" t="s">
        <v>8004</v>
      </c>
    </row>
    <row r="989" customFormat="false" ht="15" hidden="false" customHeight="true" outlineLevel="0" collapsed="false">
      <c r="A989" s="7" t="s">
        <v>1943</v>
      </c>
      <c r="B989" s="7" t="s">
        <v>8459</v>
      </c>
      <c r="C989" s="7"/>
    </row>
    <row r="990" customFormat="false" ht="15" hidden="false" customHeight="true" outlineLevel="0" collapsed="false">
      <c r="A990" s="7" t="s">
        <v>1943</v>
      </c>
      <c r="B990" s="7" t="s">
        <v>8460</v>
      </c>
      <c r="C990" s="7"/>
    </row>
    <row r="991" customFormat="false" ht="15" hidden="false" customHeight="true" outlineLevel="0" collapsed="false">
      <c r="A991" s="7" t="s">
        <v>1943</v>
      </c>
      <c r="B991" s="7" t="s">
        <v>8461</v>
      </c>
      <c r="C991" s="7"/>
    </row>
    <row r="992" customFormat="false" ht="15" hidden="false" customHeight="true" outlineLevel="0" collapsed="false">
      <c r="A992" s="7" t="s">
        <v>1943</v>
      </c>
      <c r="B992" s="7" t="s">
        <v>8462</v>
      </c>
      <c r="C992" s="7"/>
    </row>
    <row r="993" customFormat="false" ht="15" hidden="false" customHeight="true" outlineLevel="0" collapsed="false">
      <c r="A993" s="7" t="s">
        <v>2200</v>
      </c>
      <c r="B993" s="7" t="s">
        <v>2200</v>
      </c>
      <c r="C993" s="7" t="s">
        <v>8004</v>
      </c>
    </row>
    <row r="994" customFormat="false" ht="15" hidden="false" customHeight="true" outlineLevel="0" collapsed="false">
      <c r="A994" s="7" t="s">
        <v>2200</v>
      </c>
      <c r="B994" s="7" t="s">
        <v>8463</v>
      </c>
      <c r="C994" s="7"/>
    </row>
    <row r="995" customFormat="false" ht="15" hidden="false" customHeight="true" outlineLevel="0" collapsed="false">
      <c r="A995" s="7" t="s">
        <v>2139</v>
      </c>
      <c r="B995" s="7" t="s">
        <v>2139</v>
      </c>
      <c r="C995" s="7" t="s">
        <v>8004</v>
      </c>
    </row>
    <row r="996" customFormat="false" ht="15" hidden="false" customHeight="true" outlineLevel="0" collapsed="false">
      <c r="A996" s="7" t="s">
        <v>2139</v>
      </c>
      <c r="B996" s="7" t="s">
        <v>7138</v>
      </c>
      <c r="C996" s="7" t="s">
        <v>8004</v>
      </c>
    </row>
    <row r="997" customFormat="false" ht="15" hidden="false" customHeight="true" outlineLevel="0" collapsed="false">
      <c r="A997" s="7" t="s">
        <v>2139</v>
      </c>
      <c r="B997" s="7" t="s">
        <v>7137</v>
      </c>
      <c r="C997" s="7" t="s">
        <v>8004</v>
      </c>
    </row>
    <row r="998" customFormat="false" ht="15" hidden="false" customHeight="true" outlineLevel="0" collapsed="false">
      <c r="A998" s="7" t="s">
        <v>2139</v>
      </c>
      <c r="B998" s="7" t="s">
        <v>8464</v>
      </c>
      <c r="C998" s="7"/>
    </row>
    <row r="999" customFormat="false" ht="15" hidden="false" customHeight="true" outlineLevel="0" collapsed="false">
      <c r="A999" s="7" t="s">
        <v>2139</v>
      </c>
      <c r="B999" s="7" t="s">
        <v>8465</v>
      </c>
      <c r="C999" s="7"/>
    </row>
    <row r="1000" customFormat="false" ht="15" hidden="false" customHeight="true" outlineLevel="0" collapsed="false">
      <c r="A1000" s="7" t="s">
        <v>2139</v>
      </c>
      <c r="B1000" s="7" t="s">
        <v>8466</v>
      </c>
      <c r="C1000" s="7"/>
    </row>
    <row r="1001" customFormat="false" ht="15" hidden="false" customHeight="true" outlineLevel="0" collapsed="false">
      <c r="A1001" s="7" t="s">
        <v>2219</v>
      </c>
      <c r="B1001" s="7" t="s">
        <v>2219</v>
      </c>
      <c r="C1001" s="7" t="s">
        <v>8004</v>
      </c>
    </row>
    <row r="1002" customFormat="false" ht="15" hidden="false" customHeight="true" outlineLevel="0" collapsed="false">
      <c r="A1002" s="7" t="s">
        <v>2219</v>
      </c>
      <c r="B1002" s="7" t="s">
        <v>1178</v>
      </c>
      <c r="C1002" s="7" t="s">
        <v>8004</v>
      </c>
    </row>
    <row r="1003" customFormat="false" ht="15" hidden="false" customHeight="true" outlineLevel="0" collapsed="false">
      <c r="A1003" s="7" t="s">
        <v>2127</v>
      </c>
      <c r="B1003" s="7" t="s">
        <v>2127</v>
      </c>
      <c r="C1003" s="7" t="s">
        <v>8004</v>
      </c>
    </row>
    <row r="1004" customFormat="false" ht="15" hidden="false" customHeight="true" outlineLevel="0" collapsed="false">
      <c r="A1004" s="7" t="s">
        <v>2127</v>
      </c>
      <c r="B1004" s="7" t="s">
        <v>7140</v>
      </c>
      <c r="C1004" s="7" t="s">
        <v>8004</v>
      </c>
    </row>
    <row r="1005" customFormat="false" ht="15" hidden="false" customHeight="true" outlineLevel="0" collapsed="false">
      <c r="A1005" s="7" t="s">
        <v>2127</v>
      </c>
      <c r="B1005" s="7" t="s">
        <v>1178</v>
      </c>
      <c r="C1005" s="7" t="s">
        <v>8004</v>
      </c>
    </row>
    <row r="1006" customFormat="false" ht="15" hidden="false" customHeight="true" outlineLevel="0" collapsed="false">
      <c r="A1006" s="7" t="s">
        <v>1905</v>
      </c>
      <c r="B1006" s="7" t="s">
        <v>1905</v>
      </c>
      <c r="C1006" s="7" t="s">
        <v>8004</v>
      </c>
    </row>
    <row r="1007" customFormat="false" ht="15" hidden="false" customHeight="true" outlineLevel="0" collapsed="false">
      <c r="A1007" s="7" t="s">
        <v>1905</v>
      </c>
      <c r="B1007" s="7" t="s">
        <v>6662</v>
      </c>
      <c r="C1007" s="7" t="s">
        <v>8004</v>
      </c>
    </row>
    <row r="1008" customFormat="false" ht="15" hidden="false" customHeight="true" outlineLevel="0" collapsed="false">
      <c r="A1008" s="7" t="s">
        <v>1905</v>
      </c>
      <c r="B1008" s="7" t="s">
        <v>7142</v>
      </c>
      <c r="C1008" s="7" t="s">
        <v>8004</v>
      </c>
    </row>
    <row r="1009" customFormat="false" ht="15" hidden="false" customHeight="true" outlineLevel="0" collapsed="false">
      <c r="A1009" s="7" t="s">
        <v>1905</v>
      </c>
      <c r="B1009" s="7" t="s">
        <v>7141</v>
      </c>
      <c r="C1009" s="7" t="s">
        <v>8004</v>
      </c>
    </row>
    <row r="1010" customFormat="false" ht="15" hidden="false" customHeight="true" outlineLevel="0" collapsed="false">
      <c r="A1010" s="7" t="s">
        <v>1905</v>
      </c>
      <c r="B1010" s="7" t="s">
        <v>7544</v>
      </c>
      <c r="C1010" s="7" t="s">
        <v>8004</v>
      </c>
    </row>
    <row r="1011" customFormat="false" ht="15" hidden="false" customHeight="true" outlineLevel="0" collapsed="false">
      <c r="A1011" s="7" t="s">
        <v>1905</v>
      </c>
      <c r="B1011" s="7" t="s">
        <v>8467</v>
      </c>
      <c r="C1011" s="7"/>
    </row>
    <row r="1012" customFormat="false" ht="15" hidden="false" customHeight="true" outlineLevel="0" collapsed="false">
      <c r="A1012" s="7" t="s">
        <v>1905</v>
      </c>
      <c r="B1012" s="7" t="s">
        <v>8468</v>
      </c>
      <c r="C1012" s="7"/>
    </row>
    <row r="1013" customFormat="false" ht="15" hidden="false" customHeight="true" outlineLevel="0" collapsed="false">
      <c r="A1013" s="7" t="s">
        <v>1905</v>
      </c>
      <c r="B1013" s="7" t="s">
        <v>8469</v>
      </c>
      <c r="C1013" s="7"/>
    </row>
    <row r="1014" customFormat="false" ht="15" hidden="false" customHeight="true" outlineLevel="0" collapsed="false">
      <c r="A1014" s="7" t="s">
        <v>2146</v>
      </c>
      <c r="B1014" s="7" t="s">
        <v>2146</v>
      </c>
      <c r="C1014" s="7" t="s">
        <v>8004</v>
      </c>
    </row>
    <row r="1015" customFormat="false" ht="15" hidden="false" customHeight="true" outlineLevel="0" collapsed="false">
      <c r="A1015" s="7" t="s">
        <v>2146</v>
      </c>
      <c r="B1015" s="7" t="s">
        <v>7062</v>
      </c>
      <c r="C1015" s="7" t="s">
        <v>8004</v>
      </c>
    </row>
    <row r="1016" customFormat="false" ht="15" hidden="false" customHeight="true" outlineLevel="0" collapsed="false">
      <c r="A1016" s="7" t="s">
        <v>2146</v>
      </c>
      <c r="B1016" s="7" t="s">
        <v>7148</v>
      </c>
      <c r="C1016" s="7" t="s">
        <v>8004</v>
      </c>
    </row>
    <row r="1017" customFormat="false" ht="15" hidden="false" customHeight="true" outlineLevel="0" collapsed="false">
      <c r="A1017" s="7" t="s">
        <v>2146</v>
      </c>
      <c r="B1017" s="7" t="s">
        <v>7150</v>
      </c>
      <c r="C1017" s="7" t="s">
        <v>8004</v>
      </c>
    </row>
    <row r="1018" customFormat="false" ht="15" hidden="false" customHeight="true" outlineLevel="0" collapsed="false">
      <c r="A1018" s="7" t="s">
        <v>2146</v>
      </c>
      <c r="B1018" s="7" t="s">
        <v>7149</v>
      </c>
      <c r="C1018" s="7" t="s">
        <v>8004</v>
      </c>
    </row>
    <row r="1019" customFormat="false" ht="15" hidden="false" customHeight="true" outlineLevel="0" collapsed="false">
      <c r="A1019" s="7" t="s">
        <v>2159</v>
      </c>
      <c r="B1019" s="7" t="s">
        <v>2159</v>
      </c>
      <c r="C1019" s="7" t="s">
        <v>8004</v>
      </c>
    </row>
    <row r="1020" customFormat="false" ht="15" hidden="false" customHeight="true" outlineLevel="0" collapsed="false">
      <c r="A1020" s="7" t="s">
        <v>2159</v>
      </c>
      <c r="B1020" s="7" t="s">
        <v>7147</v>
      </c>
      <c r="C1020" s="7" t="s">
        <v>8004</v>
      </c>
    </row>
    <row r="1021" customFormat="false" ht="15" hidden="false" customHeight="true" outlineLevel="0" collapsed="false">
      <c r="A1021" s="7" t="s">
        <v>2159</v>
      </c>
      <c r="B1021" s="7" t="s">
        <v>7144</v>
      </c>
      <c r="C1021" s="7" t="s">
        <v>8004</v>
      </c>
    </row>
    <row r="1022" customFormat="false" ht="15" hidden="false" customHeight="true" outlineLevel="0" collapsed="false">
      <c r="A1022" s="7" t="s">
        <v>2159</v>
      </c>
      <c r="B1022" s="7" t="s">
        <v>7146</v>
      </c>
      <c r="C1022" s="7" t="s">
        <v>8004</v>
      </c>
    </row>
    <row r="1023" customFormat="false" ht="15" hidden="false" customHeight="true" outlineLevel="0" collapsed="false">
      <c r="A1023" s="7" t="s">
        <v>2159</v>
      </c>
      <c r="B1023" s="7" t="s">
        <v>8470</v>
      </c>
      <c r="C1023" s="7"/>
    </row>
    <row r="1024" customFormat="false" ht="15" hidden="false" customHeight="true" outlineLevel="0" collapsed="false">
      <c r="A1024" s="7" t="s">
        <v>2159</v>
      </c>
      <c r="B1024" s="7" t="s">
        <v>2162</v>
      </c>
      <c r="C1024" s="7" t="s">
        <v>8004</v>
      </c>
    </row>
    <row r="1025" customFormat="false" ht="15" hidden="false" customHeight="true" outlineLevel="0" collapsed="false">
      <c r="A1025" s="7" t="s">
        <v>2159</v>
      </c>
      <c r="B1025" s="7" t="s">
        <v>7145</v>
      </c>
      <c r="C1025" s="7" t="s">
        <v>8004</v>
      </c>
    </row>
    <row r="1026" customFormat="false" ht="15" hidden="false" customHeight="true" outlineLevel="0" collapsed="false">
      <c r="A1026" s="7" t="s">
        <v>2159</v>
      </c>
      <c r="B1026" s="7" t="s">
        <v>8471</v>
      </c>
      <c r="C1026" s="7"/>
    </row>
    <row r="1027" customFormat="false" ht="15" hidden="false" customHeight="true" outlineLevel="0" collapsed="false">
      <c r="A1027" s="7" t="s">
        <v>2159</v>
      </c>
      <c r="B1027" s="7" t="s">
        <v>8472</v>
      </c>
      <c r="C1027" s="7"/>
    </row>
    <row r="1028" customFormat="false" ht="15" hidden="false" customHeight="true" outlineLevel="0" collapsed="false">
      <c r="A1028" s="7" t="s">
        <v>2159</v>
      </c>
      <c r="B1028" s="7" t="s">
        <v>7143</v>
      </c>
      <c r="C1028" s="7" t="s">
        <v>8004</v>
      </c>
    </row>
    <row r="1029" customFormat="false" ht="15" hidden="false" customHeight="true" outlineLevel="0" collapsed="false">
      <c r="A1029" s="7" t="s">
        <v>1883</v>
      </c>
      <c r="B1029" s="7" t="s">
        <v>1883</v>
      </c>
      <c r="C1029" s="7" t="s">
        <v>8004</v>
      </c>
    </row>
    <row r="1030" customFormat="false" ht="15" hidden="false" customHeight="true" outlineLevel="0" collapsed="false">
      <c r="A1030" s="7" t="s">
        <v>2038</v>
      </c>
      <c r="B1030" s="7" t="s">
        <v>2038</v>
      </c>
      <c r="C1030" s="7" t="s">
        <v>8004</v>
      </c>
    </row>
    <row r="1031" customFormat="false" ht="15" hidden="false" customHeight="true" outlineLevel="0" collapsed="false">
      <c r="A1031" s="7" t="s">
        <v>2038</v>
      </c>
      <c r="B1031" s="7" t="s">
        <v>998</v>
      </c>
      <c r="C1031" s="7" t="s">
        <v>8004</v>
      </c>
    </row>
    <row r="1032" customFormat="false" ht="15" hidden="false" customHeight="true" outlineLevel="0" collapsed="false">
      <c r="A1032" s="7" t="s">
        <v>2038</v>
      </c>
      <c r="B1032" s="7" t="s">
        <v>8473</v>
      </c>
      <c r="C1032" s="7"/>
    </row>
    <row r="1033" customFormat="false" ht="15" hidden="false" customHeight="true" outlineLevel="0" collapsed="false">
      <c r="A1033" s="7" t="s">
        <v>2038</v>
      </c>
      <c r="B1033" s="7" t="s">
        <v>8474</v>
      </c>
      <c r="C1033" s="7"/>
    </row>
    <row r="1034" customFormat="false" ht="15" hidden="false" customHeight="true" outlineLevel="0" collapsed="false">
      <c r="A1034" s="7" t="s">
        <v>2038</v>
      </c>
      <c r="B1034" s="7" t="s">
        <v>8475</v>
      </c>
      <c r="C1034" s="7"/>
    </row>
    <row r="1035" customFormat="false" ht="15" hidden="false" customHeight="true" outlineLevel="0" collapsed="false">
      <c r="A1035" s="7" t="s">
        <v>2193</v>
      </c>
      <c r="B1035" s="7" t="s">
        <v>2193</v>
      </c>
      <c r="C1035" s="7" t="s">
        <v>8004</v>
      </c>
    </row>
    <row r="1036" customFormat="false" ht="15" hidden="false" customHeight="true" outlineLevel="0" collapsed="false">
      <c r="A1036" s="7" t="s">
        <v>2193</v>
      </c>
      <c r="B1036" s="7" t="s">
        <v>7153</v>
      </c>
      <c r="C1036" s="7" t="s">
        <v>8004</v>
      </c>
    </row>
    <row r="1037" customFormat="false" ht="15" hidden="false" customHeight="true" outlineLevel="0" collapsed="false">
      <c r="A1037" s="7" t="s">
        <v>2193</v>
      </c>
      <c r="B1037" s="7" t="s">
        <v>7152</v>
      </c>
      <c r="C1037" s="7" t="s">
        <v>8004</v>
      </c>
    </row>
    <row r="1038" customFormat="false" ht="15" hidden="false" customHeight="true" outlineLevel="0" collapsed="false">
      <c r="A1038" s="7" t="s">
        <v>2193</v>
      </c>
      <c r="B1038" s="7" t="s">
        <v>7154</v>
      </c>
      <c r="C1038" s="7" t="s">
        <v>8004</v>
      </c>
    </row>
    <row r="1039" customFormat="false" ht="15" hidden="false" customHeight="true" outlineLevel="0" collapsed="false">
      <c r="A1039" s="7" t="s">
        <v>2193</v>
      </c>
      <c r="B1039" s="7" t="s">
        <v>7156</v>
      </c>
      <c r="C1039" s="7" t="s">
        <v>8004</v>
      </c>
    </row>
    <row r="1040" customFormat="false" ht="15" hidden="false" customHeight="true" outlineLevel="0" collapsed="false">
      <c r="A1040" s="7" t="s">
        <v>2193</v>
      </c>
      <c r="B1040" s="7" t="s">
        <v>7155</v>
      </c>
      <c r="C1040" s="7" t="s">
        <v>8004</v>
      </c>
    </row>
    <row r="1041" customFormat="false" ht="15" hidden="false" customHeight="true" outlineLevel="0" collapsed="false">
      <c r="A1041" s="7" t="s">
        <v>2193</v>
      </c>
      <c r="B1041" s="7" t="s">
        <v>8476</v>
      </c>
      <c r="C1041" s="7"/>
    </row>
    <row r="1042" customFormat="false" ht="15" hidden="false" customHeight="true" outlineLevel="0" collapsed="false">
      <c r="A1042" s="7" t="s">
        <v>2193</v>
      </c>
      <c r="B1042" s="7" t="s">
        <v>7151</v>
      </c>
      <c r="C1042" s="7" t="s">
        <v>8004</v>
      </c>
    </row>
    <row r="1043" customFormat="false" ht="15" hidden="false" customHeight="true" outlineLevel="0" collapsed="false">
      <c r="A1043" s="7" t="s">
        <v>2193</v>
      </c>
      <c r="B1043" s="7" t="s">
        <v>8477</v>
      </c>
      <c r="C1043" s="7"/>
    </row>
    <row r="1044" customFormat="false" ht="15" hidden="false" customHeight="true" outlineLevel="0" collapsed="false">
      <c r="A1044" s="7" t="s">
        <v>2193</v>
      </c>
      <c r="B1044" s="7" t="s">
        <v>8478</v>
      </c>
      <c r="C1044" s="7"/>
    </row>
    <row r="1045" customFormat="false" ht="15" hidden="false" customHeight="true" outlineLevel="0" collapsed="false">
      <c r="A1045" s="7" t="s">
        <v>2032</v>
      </c>
      <c r="B1045" s="7" t="s">
        <v>2032</v>
      </c>
      <c r="C1045" s="7" t="s">
        <v>8004</v>
      </c>
    </row>
    <row r="1046" customFormat="false" ht="15" hidden="false" customHeight="true" outlineLevel="0" collapsed="false">
      <c r="A1046" s="7" t="s">
        <v>2032</v>
      </c>
      <c r="B1046" s="7" t="s">
        <v>991</v>
      </c>
      <c r="C1046" s="7" t="s">
        <v>8004</v>
      </c>
    </row>
    <row r="1047" customFormat="false" ht="15" hidden="false" customHeight="true" outlineLevel="0" collapsed="false">
      <c r="A1047" s="7" t="s">
        <v>2032</v>
      </c>
      <c r="B1047" s="7" t="s">
        <v>8479</v>
      </c>
      <c r="C1047" s="7"/>
    </row>
    <row r="1048" customFormat="false" ht="15" hidden="false" customHeight="true" outlineLevel="0" collapsed="false">
      <c r="A1048" s="7" t="s">
        <v>2032</v>
      </c>
      <c r="B1048" s="7" t="s">
        <v>8480</v>
      </c>
      <c r="C1048" s="7"/>
    </row>
    <row r="1049" customFormat="false" ht="15" hidden="false" customHeight="true" outlineLevel="0" collapsed="false">
      <c r="A1049" s="7" t="s">
        <v>2032</v>
      </c>
      <c r="B1049" s="7" t="s">
        <v>8481</v>
      </c>
      <c r="C1049" s="7"/>
    </row>
    <row r="1050" customFormat="false" ht="15" hidden="false" customHeight="true" outlineLevel="0" collapsed="false">
      <c r="A1050" s="7" t="s">
        <v>2032</v>
      </c>
      <c r="B1050" s="7" t="s">
        <v>8482</v>
      </c>
      <c r="C1050" s="7"/>
    </row>
    <row r="1051" customFormat="false" ht="15" hidden="false" customHeight="true" outlineLevel="0" collapsed="false">
      <c r="A1051" s="7" t="s">
        <v>2032</v>
      </c>
      <c r="B1051" s="7" t="s">
        <v>8483</v>
      </c>
      <c r="C1051" s="7"/>
    </row>
    <row r="1052" customFormat="false" ht="15" hidden="false" customHeight="true" outlineLevel="0" collapsed="false">
      <c r="A1052" s="7" t="s">
        <v>2032</v>
      </c>
      <c r="B1052" s="7" t="s">
        <v>8484</v>
      </c>
      <c r="C1052" s="7"/>
    </row>
    <row r="1053" customFormat="false" ht="15" hidden="false" customHeight="true" outlineLevel="0" collapsed="false">
      <c r="A1053" s="7" t="s">
        <v>2335</v>
      </c>
      <c r="B1053" s="7" t="s">
        <v>1296</v>
      </c>
      <c r="C1053" s="7" t="s">
        <v>8004</v>
      </c>
    </row>
    <row r="1054" customFormat="false" ht="15" hidden="false" customHeight="true" outlineLevel="0" collapsed="false">
      <c r="A1054" s="7" t="s">
        <v>2335</v>
      </c>
      <c r="B1054" s="7" t="s">
        <v>8485</v>
      </c>
      <c r="C1054" s="7"/>
    </row>
    <row r="1055" customFormat="false" ht="15" hidden="false" customHeight="true" outlineLevel="0" collapsed="false">
      <c r="A1055" s="7" t="s">
        <v>2335</v>
      </c>
      <c r="B1055" s="7" t="s">
        <v>8281</v>
      </c>
      <c r="C1055" s="7"/>
    </row>
    <row r="1056" customFormat="false" ht="15" hidden="false" customHeight="true" outlineLevel="0" collapsed="false">
      <c r="A1056" s="7" t="s">
        <v>2152</v>
      </c>
      <c r="B1056" s="7" t="s">
        <v>2152</v>
      </c>
      <c r="C1056" s="7" t="s">
        <v>8004</v>
      </c>
    </row>
    <row r="1057" customFormat="false" ht="15" hidden="false" customHeight="true" outlineLevel="0" collapsed="false">
      <c r="A1057" s="7" t="s">
        <v>2152</v>
      </c>
      <c r="B1057" s="7" t="s">
        <v>7160</v>
      </c>
      <c r="C1057" s="7" t="s">
        <v>8004</v>
      </c>
    </row>
    <row r="1058" customFormat="false" ht="15" hidden="false" customHeight="true" outlineLevel="0" collapsed="false">
      <c r="A1058" s="7" t="s">
        <v>2152</v>
      </c>
      <c r="B1058" s="7" t="s">
        <v>7158</v>
      </c>
      <c r="C1058" s="7" t="s">
        <v>8004</v>
      </c>
    </row>
    <row r="1059" customFormat="false" ht="15" hidden="false" customHeight="true" outlineLevel="0" collapsed="false">
      <c r="A1059" s="7" t="s">
        <v>2152</v>
      </c>
      <c r="B1059" s="7" t="s">
        <v>7159</v>
      </c>
      <c r="C1059" s="7" t="s">
        <v>8004</v>
      </c>
    </row>
    <row r="1060" customFormat="false" ht="15" hidden="false" customHeight="true" outlineLevel="0" collapsed="false">
      <c r="A1060" s="7" t="s">
        <v>2152</v>
      </c>
      <c r="B1060" s="7" t="s">
        <v>7157</v>
      </c>
      <c r="C1060" s="7" t="s">
        <v>8004</v>
      </c>
    </row>
    <row r="1061" customFormat="false" ht="15" hidden="false" customHeight="true" outlineLevel="0" collapsed="false">
      <c r="A1061" s="7" t="s">
        <v>2152</v>
      </c>
      <c r="B1061" s="7" t="s">
        <v>8486</v>
      </c>
      <c r="C1061" s="7"/>
    </row>
    <row r="1062" customFormat="false" ht="15" hidden="false" customHeight="true" outlineLevel="0" collapsed="false">
      <c r="A1062" s="7" t="s">
        <v>2152</v>
      </c>
      <c r="B1062" s="7" t="s">
        <v>8487</v>
      </c>
      <c r="C1062" s="7"/>
    </row>
    <row r="1063" customFormat="false" ht="15" hidden="false" customHeight="true" outlineLevel="0" collapsed="false">
      <c r="A1063" s="7" t="s">
        <v>2152</v>
      </c>
      <c r="B1063" s="7" t="s">
        <v>2155</v>
      </c>
      <c r="C1063" s="7" t="s">
        <v>8004</v>
      </c>
    </row>
    <row r="1064" customFormat="false" ht="15" hidden="false" customHeight="true" outlineLevel="0" collapsed="false">
      <c r="A1064" s="7" t="s">
        <v>2152</v>
      </c>
      <c r="B1064" s="7" t="s">
        <v>8488</v>
      </c>
      <c r="C1064" s="7"/>
    </row>
    <row r="1065" customFormat="false" ht="15" hidden="false" customHeight="true" outlineLevel="0" collapsed="false">
      <c r="A1065" s="7" t="s">
        <v>2152</v>
      </c>
      <c r="B1065" s="7" t="s">
        <v>8489</v>
      </c>
      <c r="C1065" s="7"/>
    </row>
    <row r="1066" customFormat="false" ht="15" hidden="false" customHeight="true" outlineLevel="0" collapsed="false">
      <c r="A1066" s="7" t="s">
        <v>2311</v>
      </c>
      <c r="B1066" s="7" t="s">
        <v>1296</v>
      </c>
      <c r="C1066" s="7" t="s">
        <v>8004</v>
      </c>
    </row>
    <row r="1067" customFormat="false" ht="15" hidden="false" customHeight="true" outlineLevel="0" collapsed="false">
      <c r="A1067" s="7" t="s">
        <v>2311</v>
      </c>
      <c r="B1067" s="7" t="s">
        <v>7158</v>
      </c>
      <c r="C1067" s="7" t="s">
        <v>8004</v>
      </c>
    </row>
    <row r="1068" customFormat="false" ht="15" hidden="false" customHeight="true" outlineLevel="0" collapsed="false">
      <c r="A1068" s="7" t="s">
        <v>2092</v>
      </c>
      <c r="B1068" s="7" t="s">
        <v>2092</v>
      </c>
      <c r="C1068" s="7" t="s">
        <v>8004</v>
      </c>
    </row>
    <row r="1069" customFormat="false" ht="15" hidden="false" customHeight="true" outlineLevel="0" collapsed="false">
      <c r="A1069" s="7" t="s">
        <v>2092</v>
      </c>
      <c r="B1069" s="7" t="s">
        <v>7165</v>
      </c>
      <c r="C1069" s="7" t="s">
        <v>8004</v>
      </c>
    </row>
    <row r="1070" customFormat="false" ht="15" hidden="false" customHeight="true" outlineLevel="0" collapsed="false">
      <c r="A1070" s="7" t="s">
        <v>2092</v>
      </c>
      <c r="B1070" s="7" t="s">
        <v>7162</v>
      </c>
      <c r="C1070" s="7" t="s">
        <v>8004</v>
      </c>
    </row>
    <row r="1071" customFormat="false" ht="15" hidden="false" customHeight="true" outlineLevel="0" collapsed="false">
      <c r="A1071" s="7" t="s">
        <v>2092</v>
      </c>
      <c r="B1071" s="7" t="s">
        <v>8490</v>
      </c>
      <c r="C1071" s="7"/>
    </row>
    <row r="1072" customFormat="false" ht="15" hidden="false" customHeight="true" outlineLevel="0" collapsed="false">
      <c r="A1072" s="7" t="s">
        <v>2092</v>
      </c>
      <c r="B1072" s="7" t="s">
        <v>7163</v>
      </c>
      <c r="C1072" s="7" t="s">
        <v>8004</v>
      </c>
    </row>
    <row r="1073" customFormat="false" ht="15" hidden="false" customHeight="true" outlineLevel="0" collapsed="false">
      <c r="A1073" s="7" t="s">
        <v>2092</v>
      </c>
      <c r="B1073" s="7" t="s">
        <v>8491</v>
      </c>
      <c r="C1073" s="7"/>
    </row>
    <row r="1074" customFormat="false" ht="15" hidden="false" customHeight="true" outlineLevel="0" collapsed="false">
      <c r="A1074" s="7" t="s">
        <v>2092</v>
      </c>
      <c r="B1074" s="7" t="s">
        <v>7164</v>
      </c>
      <c r="C1074" s="7" t="s">
        <v>8004</v>
      </c>
    </row>
    <row r="1075" customFormat="false" ht="15" hidden="false" customHeight="true" outlineLevel="0" collapsed="false">
      <c r="A1075" s="7" t="s">
        <v>2092</v>
      </c>
      <c r="B1075" s="7" t="s">
        <v>8492</v>
      </c>
      <c r="C1075" s="7"/>
    </row>
    <row r="1076" customFormat="false" ht="15" hidden="false" customHeight="true" outlineLevel="0" collapsed="false">
      <c r="A1076" s="7" t="s">
        <v>2092</v>
      </c>
      <c r="B1076" s="7" t="s">
        <v>8493</v>
      </c>
      <c r="C1076" s="7"/>
    </row>
    <row r="1077" customFormat="false" ht="15" hidden="false" customHeight="true" outlineLevel="0" collapsed="false">
      <c r="A1077" s="7" t="s">
        <v>2092</v>
      </c>
      <c r="B1077" s="7" t="s">
        <v>7161</v>
      </c>
      <c r="C1077" s="7" t="s">
        <v>8004</v>
      </c>
    </row>
    <row r="1078" customFormat="false" ht="15" hidden="false" customHeight="true" outlineLevel="0" collapsed="false">
      <c r="A1078" s="7" t="s">
        <v>1964</v>
      </c>
      <c r="B1078" s="7" t="s">
        <v>1964</v>
      </c>
      <c r="C1078" s="7" t="s">
        <v>8004</v>
      </c>
    </row>
    <row r="1079" customFormat="false" ht="15" hidden="false" customHeight="true" outlineLevel="0" collapsed="false">
      <c r="A1079" s="7" t="s">
        <v>1964</v>
      </c>
      <c r="B1079" s="7" t="s">
        <v>8494</v>
      </c>
      <c r="C1079" s="7"/>
    </row>
    <row r="1080" customFormat="false" ht="15" hidden="false" customHeight="true" outlineLevel="0" collapsed="false">
      <c r="A1080" s="7" t="s">
        <v>1964</v>
      </c>
      <c r="B1080" s="7" t="s">
        <v>8495</v>
      </c>
      <c r="C1080" s="7"/>
    </row>
    <row r="1081" customFormat="false" ht="15" hidden="false" customHeight="true" outlineLevel="0" collapsed="false">
      <c r="A1081" s="7" t="s">
        <v>1964</v>
      </c>
      <c r="B1081" s="7" t="s">
        <v>8496</v>
      </c>
      <c r="C1081" s="7"/>
    </row>
    <row r="1082" customFormat="false" ht="15" hidden="false" customHeight="true" outlineLevel="0" collapsed="false">
      <c r="A1082" s="7" t="s">
        <v>1964</v>
      </c>
      <c r="B1082" s="7" t="s">
        <v>8497</v>
      </c>
      <c r="C1082" s="7"/>
    </row>
    <row r="1083" customFormat="false" ht="15" hidden="false" customHeight="true" outlineLevel="0" collapsed="false">
      <c r="A1083" s="7" t="s">
        <v>1964</v>
      </c>
      <c r="B1083" s="7" t="s">
        <v>8498</v>
      </c>
      <c r="C1083" s="7"/>
    </row>
    <row r="1084" customFormat="false" ht="15" hidden="false" customHeight="true" outlineLevel="0" collapsed="false">
      <c r="A1084" s="7" t="s">
        <v>1964</v>
      </c>
      <c r="B1084" s="7" t="s">
        <v>8499</v>
      </c>
      <c r="C1084" s="7"/>
    </row>
    <row r="1085" customFormat="false" ht="15" hidden="false" customHeight="true" outlineLevel="0" collapsed="false">
      <c r="A1085" s="7" t="s">
        <v>1964</v>
      </c>
      <c r="B1085" s="7" t="s">
        <v>8500</v>
      </c>
      <c r="C1085" s="7"/>
    </row>
    <row r="1086" customFormat="false" ht="15" hidden="false" customHeight="true" outlineLevel="0" collapsed="false">
      <c r="A1086" s="7" t="s">
        <v>2052</v>
      </c>
      <c r="B1086" s="7" t="s">
        <v>2052</v>
      </c>
      <c r="C1086" s="7" t="s">
        <v>8004</v>
      </c>
    </row>
    <row r="1087" customFormat="false" ht="15" hidden="false" customHeight="true" outlineLevel="0" collapsed="false">
      <c r="A1087" s="7" t="s">
        <v>2052</v>
      </c>
      <c r="B1087" s="7" t="s">
        <v>8501</v>
      </c>
      <c r="C1087" s="7"/>
    </row>
    <row r="1088" customFormat="false" ht="15" hidden="false" customHeight="true" outlineLevel="0" collapsed="false">
      <c r="A1088" s="7" t="s">
        <v>2052</v>
      </c>
      <c r="B1088" s="7" t="s">
        <v>8502</v>
      </c>
      <c r="C1088" s="7"/>
    </row>
    <row r="1089" customFormat="false" ht="15" hidden="false" customHeight="true" outlineLevel="0" collapsed="false">
      <c r="A1089" s="7" t="s">
        <v>2052</v>
      </c>
      <c r="B1089" s="7" t="s">
        <v>8503</v>
      </c>
      <c r="C1089" s="7"/>
    </row>
    <row r="1090" customFormat="false" ht="15" hidden="false" customHeight="true" outlineLevel="0" collapsed="false">
      <c r="A1090" s="7" t="s">
        <v>2052</v>
      </c>
      <c r="B1090" s="7" t="s">
        <v>8504</v>
      </c>
      <c r="C1090" s="7"/>
    </row>
    <row r="1091" customFormat="false" ht="15" hidden="false" customHeight="true" outlineLevel="0" collapsed="false">
      <c r="A1091" s="7" t="s">
        <v>2052</v>
      </c>
      <c r="B1091" s="7" t="s">
        <v>8505</v>
      </c>
      <c r="C1091" s="7"/>
    </row>
    <row r="1092" customFormat="false" ht="15" hidden="false" customHeight="true" outlineLevel="0" collapsed="false">
      <c r="A1092" s="7" t="s">
        <v>2052</v>
      </c>
      <c r="B1092" s="7" t="s">
        <v>8506</v>
      </c>
      <c r="C1092" s="7"/>
    </row>
    <row r="1093" customFormat="false" ht="15" hidden="false" customHeight="true" outlineLevel="0" collapsed="false">
      <c r="A1093" s="7" t="s">
        <v>2052</v>
      </c>
      <c r="B1093" s="7" t="s">
        <v>8507</v>
      </c>
      <c r="C1093" s="7"/>
    </row>
    <row r="1094" customFormat="false" ht="15" hidden="false" customHeight="true" outlineLevel="0" collapsed="false">
      <c r="A1094" s="7" t="s">
        <v>2052</v>
      </c>
      <c r="B1094" s="7" t="s">
        <v>7166</v>
      </c>
      <c r="C1094" s="7" t="s">
        <v>8004</v>
      </c>
    </row>
    <row r="1095" customFormat="false" ht="15" hidden="false" customHeight="true" outlineLevel="0" collapsed="false">
      <c r="A1095" s="7" t="s">
        <v>2052</v>
      </c>
      <c r="B1095" s="7" t="s">
        <v>7167</v>
      </c>
      <c r="C1095" s="7" t="s">
        <v>8004</v>
      </c>
    </row>
    <row r="1096" customFormat="false" ht="15" hidden="false" customHeight="true" outlineLevel="0" collapsed="false">
      <c r="A1096" s="7" t="s">
        <v>1991</v>
      </c>
      <c r="B1096" s="7" t="s">
        <v>953</v>
      </c>
      <c r="C1096" s="7" t="s">
        <v>8004</v>
      </c>
    </row>
    <row r="1097" customFormat="false" ht="15" hidden="false" customHeight="true" outlineLevel="0" collapsed="false">
      <c r="A1097" s="7" t="s">
        <v>1991</v>
      </c>
      <c r="B1097" s="7" t="s">
        <v>1991</v>
      </c>
      <c r="C1097" s="7" t="s">
        <v>8004</v>
      </c>
    </row>
    <row r="1098" customFormat="false" ht="15" hidden="false" customHeight="true" outlineLevel="0" collapsed="false">
      <c r="A1098" s="7" t="s">
        <v>1991</v>
      </c>
      <c r="B1098" s="7" t="s">
        <v>8508</v>
      </c>
      <c r="C1098" s="7"/>
    </row>
    <row r="1099" customFormat="false" ht="15" hidden="false" customHeight="true" outlineLevel="0" collapsed="false">
      <c r="A1099" s="7" t="s">
        <v>2173</v>
      </c>
      <c r="B1099" s="7" t="s">
        <v>1131</v>
      </c>
      <c r="C1099" s="7" t="s">
        <v>8004</v>
      </c>
    </row>
    <row r="1100" customFormat="false" ht="15" hidden="false" customHeight="true" outlineLevel="0" collapsed="false">
      <c r="A1100" s="7" t="s">
        <v>1936</v>
      </c>
      <c r="B1100" s="7" t="s">
        <v>8509</v>
      </c>
      <c r="C1100" s="7"/>
    </row>
    <row r="1101" customFormat="false" ht="15" hidden="false" customHeight="true" outlineLevel="0" collapsed="false">
      <c r="A1101" s="7" t="s">
        <v>1936</v>
      </c>
      <c r="B1101" s="7" t="s">
        <v>8510</v>
      </c>
      <c r="C1101" s="7"/>
    </row>
    <row r="1102" customFormat="false" ht="15" hidden="false" customHeight="true" outlineLevel="0" collapsed="false">
      <c r="A1102" s="7" t="s">
        <v>1936</v>
      </c>
      <c r="B1102" s="7" t="s">
        <v>8511</v>
      </c>
      <c r="C1102" s="7"/>
    </row>
    <row r="1103" customFormat="false" ht="15" hidden="false" customHeight="true" outlineLevel="0" collapsed="false">
      <c r="A1103" s="7" t="s">
        <v>2166</v>
      </c>
      <c r="B1103" s="7" t="s">
        <v>2166</v>
      </c>
      <c r="C1103" s="7" t="s">
        <v>8004</v>
      </c>
    </row>
    <row r="1104" customFormat="false" ht="15" hidden="false" customHeight="true" outlineLevel="0" collapsed="false">
      <c r="A1104" s="7" t="s">
        <v>2166</v>
      </c>
      <c r="B1104" s="7" t="s">
        <v>8512</v>
      </c>
      <c r="C1104" s="7"/>
    </row>
    <row r="1105" customFormat="false" ht="15" hidden="false" customHeight="true" outlineLevel="0" collapsed="false">
      <c r="A1105" s="7" t="s">
        <v>2166</v>
      </c>
      <c r="B1105" s="7" t="s">
        <v>7132</v>
      </c>
      <c r="C1105" s="7" t="s">
        <v>8004</v>
      </c>
    </row>
    <row r="1106" customFormat="false" ht="15" hidden="false" customHeight="true" outlineLevel="0" collapsed="false">
      <c r="A1106" s="7" t="s">
        <v>2166</v>
      </c>
      <c r="B1106" s="7" t="s">
        <v>8513</v>
      </c>
      <c r="C1106" s="7"/>
    </row>
    <row r="1107" customFormat="false" ht="15" hidden="false" customHeight="true" outlineLevel="0" collapsed="false">
      <c r="A1107" s="7" t="s">
        <v>2166</v>
      </c>
      <c r="B1107" s="7" t="s">
        <v>8514</v>
      </c>
      <c r="C1107" s="7"/>
    </row>
    <row r="1108" customFormat="false" ht="15" hidden="false" customHeight="true" outlineLevel="0" collapsed="false">
      <c r="A1108" s="7" t="s">
        <v>2166</v>
      </c>
      <c r="B1108" s="7" t="s">
        <v>8515</v>
      </c>
      <c r="C1108" s="7"/>
    </row>
    <row r="1109" customFormat="false" ht="15" hidden="false" customHeight="true" outlineLevel="0" collapsed="false">
      <c r="A1109" s="7" t="s">
        <v>2166</v>
      </c>
      <c r="B1109" s="7" t="s">
        <v>7133</v>
      </c>
      <c r="C1109" s="7" t="s">
        <v>8004</v>
      </c>
    </row>
    <row r="1110" customFormat="false" ht="15" hidden="false" customHeight="true" outlineLevel="0" collapsed="false">
      <c r="A1110" s="7" t="s">
        <v>2166</v>
      </c>
      <c r="B1110" s="7" t="s">
        <v>7542</v>
      </c>
      <c r="C1110" s="7" t="s">
        <v>8004</v>
      </c>
    </row>
    <row r="1111" customFormat="false" ht="15" hidden="false" customHeight="true" outlineLevel="0" collapsed="false">
      <c r="A1111" s="7" t="s">
        <v>2179</v>
      </c>
      <c r="B1111" s="7" t="s">
        <v>2179</v>
      </c>
      <c r="C1111" s="7" t="s">
        <v>8004</v>
      </c>
    </row>
    <row r="1112" customFormat="false" ht="15" hidden="false" customHeight="true" outlineLevel="0" collapsed="false">
      <c r="A1112" s="7" t="s">
        <v>2179</v>
      </c>
      <c r="B1112" s="7" t="s">
        <v>7171</v>
      </c>
      <c r="C1112" s="7" t="s">
        <v>8004</v>
      </c>
    </row>
    <row r="1113" customFormat="false" ht="15" hidden="false" customHeight="true" outlineLevel="0" collapsed="false">
      <c r="A1113" s="7" t="s">
        <v>2179</v>
      </c>
      <c r="B1113" s="7" t="s">
        <v>8516</v>
      </c>
      <c r="C1113" s="7"/>
    </row>
    <row r="1114" customFormat="false" ht="15" hidden="false" customHeight="true" outlineLevel="0" collapsed="false">
      <c r="A1114" s="7" t="s">
        <v>2179</v>
      </c>
      <c r="B1114" s="7" t="s">
        <v>7170</v>
      </c>
      <c r="C1114" s="7" t="s">
        <v>8004</v>
      </c>
    </row>
    <row r="1115" customFormat="false" ht="15" hidden="false" customHeight="true" outlineLevel="0" collapsed="false">
      <c r="A1115" s="7" t="s">
        <v>2179</v>
      </c>
      <c r="B1115" s="7" t="s">
        <v>8517</v>
      </c>
      <c r="C1115" s="7"/>
    </row>
    <row r="1116" customFormat="false" ht="15" hidden="false" customHeight="true" outlineLevel="0" collapsed="false">
      <c r="A1116" s="7" t="s">
        <v>2179</v>
      </c>
      <c r="B1116" s="7" t="s">
        <v>8518</v>
      </c>
      <c r="C1116" s="7"/>
    </row>
    <row r="1117" customFormat="false" ht="15" hidden="false" customHeight="true" outlineLevel="0" collapsed="false">
      <c r="A1117" s="7" t="s">
        <v>2179</v>
      </c>
      <c r="B1117" s="7" t="s">
        <v>2182</v>
      </c>
      <c r="C1117" s="7" t="s">
        <v>8004</v>
      </c>
    </row>
    <row r="1118" customFormat="false" ht="15" hidden="false" customHeight="true" outlineLevel="0" collapsed="false">
      <c r="A1118" s="7" t="s">
        <v>2179</v>
      </c>
      <c r="B1118" s="7" t="s">
        <v>7169</v>
      </c>
      <c r="C1118" s="7" t="s">
        <v>8004</v>
      </c>
    </row>
    <row r="1119" customFormat="false" ht="15" hidden="false" customHeight="true" outlineLevel="0" collapsed="false">
      <c r="A1119" s="7" t="s">
        <v>2179</v>
      </c>
      <c r="B1119" s="7" t="s">
        <v>8519</v>
      </c>
      <c r="C1119" s="7"/>
    </row>
    <row r="1120" customFormat="false" ht="15" hidden="false" customHeight="true" outlineLevel="0" collapsed="false">
      <c r="A1120" s="7" t="s">
        <v>2179</v>
      </c>
      <c r="B1120" s="7" t="s">
        <v>7168</v>
      </c>
      <c r="C1120" s="7" t="s">
        <v>8004</v>
      </c>
    </row>
    <row r="1121" customFormat="false" ht="15" hidden="false" customHeight="true" outlineLevel="0" collapsed="false">
      <c r="A1121" s="7" t="s">
        <v>1958</v>
      </c>
      <c r="B1121" s="7" t="s">
        <v>917</v>
      </c>
      <c r="C1121" s="7" t="s">
        <v>8004</v>
      </c>
    </row>
    <row r="1122" customFormat="false" ht="15" hidden="false" customHeight="true" outlineLevel="0" collapsed="false">
      <c r="A1122" s="7" t="s">
        <v>1958</v>
      </c>
      <c r="B1122" s="7" t="s">
        <v>1958</v>
      </c>
      <c r="C1122" s="7" t="s">
        <v>8004</v>
      </c>
    </row>
    <row r="1123" customFormat="false" ht="15" hidden="false" customHeight="true" outlineLevel="0" collapsed="false">
      <c r="A1123" s="7" t="s">
        <v>2186</v>
      </c>
      <c r="B1123" s="7" t="s">
        <v>2186</v>
      </c>
      <c r="C1123" s="7" t="s">
        <v>8004</v>
      </c>
    </row>
    <row r="1124" customFormat="false" ht="15" hidden="false" customHeight="true" outlineLevel="0" collapsed="false">
      <c r="A1124" s="7" t="s">
        <v>2186</v>
      </c>
      <c r="B1124" s="7" t="s">
        <v>7175</v>
      </c>
      <c r="C1124" s="7" t="s">
        <v>8004</v>
      </c>
    </row>
    <row r="1125" customFormat="false" ht="15" hidden="false" customHeight="true" outlineLevel="0" collapsed="false">
      <c r="A1125" s="7" t="s">
        <v>2186</v>
      </c>
      <c r="B1125" s="7" t="s">
        <v>7174</v>
      </c>
      <c r="C1125" s="7" t="s">
        <v>8004</v>
      </c>
    </row>
    <row r="1126" customFormat="false" ht="15" hidden="false" customHeight="true" outlineLevel="0" collapsed="false">
      <c r="A1126" s="7" t="s">
        <v>2186</v>
      </c>
      <c r="B1126" s="7" t="s">
        <v>7172</v>
      </c>
      <c r="C1126" s="7" t="s">
        <v>8004</v>
      </c>
    </row>
    <row r="1127" customFormat="false" ht="15" hidden="false" customHeight="true" outlineLevel="0" collapsed="false">
      <c r="A1127" s="7" t="s">
        <v>2186</v>
      </c>
      <c r="B1127" s="7" t="s">
        <v>7173</v>
      </c>
      <c r="C1127" s="7" t="s">
        <v>8004</v>
      </c>
    </row>
    <row r="1128" customFormat="false" ht="15" hidden="false" customHeight="true" outlineLevel="0" collapsed="false">
      <c r="A1128" s="7" t="s">
        <v>2186</v>
      </c>
      <c r="B1128" s="7" t="s">
        <v>8518</v>
      </c>
      <c r="C1128" s="7"/>
    </row>
    <row r="1129" customFormat="false" ht="15" hidden="false" customHeight="true" outlineLevel="0" collapsed="false">
      <c r="A1129" s="7" t="s">
        <v>2186</v>
      </c>
      <c r="B1129" s="7" t="s">
        <v>8520</v>
      </c>
      <c r="C1129" s="7"/>
    </row>
    <row r="1130" customFormat="false" ht="15" hidden="false" customHeight="true" outlineLevel="0" collapsed="false">
      <c r="A1130" s="7" t="s">
        <v>2186</v>
      </c>
      <c r="B1130" s="7" t="s">
        <v>8521</v>
      </c>
      <c r="C1130" s="7"/>
    </row>
    <row r="1131" customFormat="false" ht="15" hidden="false" customHeight="true" outlineLevel="0" collapsed="false">
      <c r="A1131" s="7" t="s">
        <v>2186</v>
      </c>
      <c r="B1131" s="7" t="s">
        <v>8522</v>
      </c>
      <c r="C1131" s="7"/>
    </row>
    <row r="1132" customFormat="false" ht="15" hidden="false" customHeight="true" outlineLevel="0" collapsed="false">
      <c r="A1132" s="7" t="s">
        <v>2213</v>
      </c>
      <c r="B1132" s="7" t="s">
        <v>2213</v>
      </c>
      <c r="C1132" s="7" t="s">
        <v>8004</v>
      </c>
    </row>
    <row r="1133" customFormat="false" ht="15" hidden="false" customHeight="true" outlineLevel="0" collapsed="false">
      <c r="A1133" s="7" t="s">
        <v>2044</v>
      </c>
      <c r="B1133" s="7" t="s">
        <v>2044</v>
      </c>
      <c r="C1133" s="7" t="s">
        <v>8004</v>
      </c>
    </row>
    <row r="1134" customFormat="false" ht="15" hidden="false" customHeight="true" outlineLevel="0" collapsed="false">
      <c r="A1134" s="7" t="s">
        <v>2044</v>
      </c>
      <c r="B1134" s="7" t="s">
        <v>8523</v>
      </c>
      <c r="C1134" s="7"/>
    </row>
    <row r="1135" customFormat="false" ht="15" hidden="false" customHeight="true" outlineLevel="0" collapsed="false">
      <c r="A1135" s="7" t="s">
        <v>2044</v>
      </c>
      <c r="B1135" s="7" t="s">
        <v>7178</v>
      </c>
      <c r="C1135" s="7" t="s">
        <v>8004</v>
      </c>
    </row>
    <row r="1136" customFormat="false" ht="15" hidden="false" customHeight="true" outlineLevel="0" collapsed="false">
      <c r="A1136" s="7" t="s">
        <v>2044</v>
      </c>
      <c r="B1136" s="7" t="s">
        <v>8524</v>
      </c>
      <c r="C1136" s="7"/>
    </row>
    <row r="1137" customFormat="false" ht="15" hidden="false" customHeight="true" outlineLevel="0" collapsed="false">
      <c r="A1137" s="7" t="s">
        <v>2044</v>
      </c>
      <c r="B1137" s="7" t="s">
        <v>7177</v>
      </c>
      <c r="C1137" s="7" t="s">
        <v>8004</v>
      </c>
    </row>
    <row r="1138" customFormat="false" ht="15" hidden="false" customHeight="true" outlineLevel="0" collapsed="false">
      <c r="A1138" s="7" t="s">
        <v>2044</v>
      </c>
      <c r="B1138" s="7" t="s">
        <v>8525</v>
      </c>
      <c r="C1138" s="7"/>
    </row>
    <row r="1139" customFormat="false" ht="15" hidden="false" customHeight="true" outlineLevel="0" collapsed="false">
      <c r="A1139" s="7" t="s">
        <v>2044</v>
      </c>
      <c r="B1139" s="7" t="s">
        <v>8526</v>
      </c>
      <c r="C1139" s="7"/>
    </row>
    <row r="1140" customFormat="false" ht="15" hidden="false" customHeight="true" outlineLevel="0" collapsed="false">
      <c r="A1140" s="7" t="s">
        <v>2044</v>
      </c>
      <c r="B1140" s="7" t="s">
        <v>2047</v>
      </c>
      <c r="C1140" s="7" t="s">
        <v>8004</v>
      </c>
    </row>
    <row r="1141" customFormat="false" ht="15" hidden="false" customHeight="true" outlineLevel="0" collapsed="false">
      <c r="A1141" s="7" t="s">
        <v>2044</v>
      </c>
      <c r="B1141" s="7" t="s">
        <v>8527</v>
      </c>
      <c r="C1141" s="7"/>
    </row>
    <row r="1142" customFormat="false" ht="15" hidden="false" customHeight="true" outlineLevel="0" collapsed="false">
      <c r="A1142" s="7" t="s">
        <v>2044</v>
      </c>
      <c r="B1142" s="7" t="s">
        <v>7176</v>
      </c>
      <c r="C1142" s="7" t="s">
        <v>8004</v>
      </c>
    </row>
    <row r="1143" customFormat="false" ht="15" hidden="false" customHeight="true" outlineLevel="0" collapsed="false">
      <c r="A1143" s="7" t="s">
        <v>6446</v>
      </c>
      <c r="B1143" s="7" t="s">
        <v>6446</v>
      </c>
      <c r="C1143" s="7" t="s">
        <v>8004</v>
      </c>
    </row>
    <row r="1144" customFormat="false" ht="15" hidden="false" customHeight="true" outlineLevel="0" collapsed="false">
      <c r="A1144" s="7" t="s">
        <v>6446</v>
      </c>
      <c r="B1144" s="7" t="s">
        <v>6775</v>
      </c>
      <c r="C1144" s="7" t="s">
        <v>8004</v>
      </c>
    </row>
    <row r="1145" customFormat="false" ht="15" hidden="false" customHeight="true" outlineLevel="0" collapsed="false">
      <c r="A1145" s="7" t="s">
        <v>6446</v>
      </c>
      <c r="B1145" s="7" t="s">
        <v>8281</v>
      </c>
      <c r="C1145" s="7"/>
    </row>
    <row r="1146" customFormat="false" ht="15" hidden="false" customHeight="true" outlineLevel="0" collapsed="false">
      <c r="A1146" s="7" t="s">
        <v>6446</v>
      </c>
      <c r="B1146" s="7" t="s">
        <v>8528</v>
      </c>
      <c r="C1146" s="7"/>
    </row>
    <row r="1147" customFormat="false" ht="15" hidden="false" customHeight="true" outlineLevel="0" collapsed="false">
      <c r="A1147" s="7" t="s">
        <v>6446</v>
      </c>
      <c r="B1147" s="7" t="s">
        <v>6776</v>
      </c>
      <c r="C1147" s="7" t="s">
        <v>8004</v>
      </c>
    </row>
    <row r="1148" customFormat="false" ht="15" hidden="false" customHeight="true" outlineLevel="0" collapsed="false">
      <c r="A1148" s="7" t="s">
        <v>2226</v>
      </c>
      <c r="B1148" s="7" t="s">
        <v>2226</v>
      </c>
      <c r="C1148" s="7" t="s">
        <v>8004</v>
      </c>
    </row>
    <row r="1149" customFormat="false" ht="15" hidden="false" customHeight="true" outlineLevel="0" collapsed="false">
      <c r="A1149" s="7" t="s">
        <v>2226</v>
      </c>
      <c r="B1149" s="7" t="s">
        <v>8529</v>
      </c>
      <c r="C1149" s="7"/>
    </row>
    <row r="1150" customFormat="false" ht="15" hidden="false" customHeight="true" outlineLevel="0" collapsed="false">
      <c r="A1150" s="7" t="s">
        <v>2226</v>
      </c>
      <c r="B1150" s="7" t="s">
        <v>8530</v>
      </c>
      <c r="C1150" s="7"/>
    </row>
    <row r="1151" customFormat="false" ht="15" hidden="false" customHeight="true" outlineLevel="0" collapsed="false">
      <c r="A1151" s="7" t="s">
        <v>2226</v>
      </c>
      <c r="B1151" s="7" t="s">
        <v>7183</v>
      </c>
      <c r="C1151" s="7" t="s">
        <v>8004</v>
      </c>
    </row>
    <row r="1152" customFormat="false" ht="15" hidden="false" customHeight="true" outlineLevel="0" collapsed="false">
      <c r="A1152" s="7" t="s">
        <v>2226</v>
      </c>
      <c r="B1152" s="7" t="s">
        <v>7179</v>
      </c>
      <c r="C1152" s="7" t="s">
        <v>8004</v>
      </c>
    </row>
    <row r="1153" customFormat="false" ht="15" hidden="false" customHeight="true" outlineLevel="0" collapsed="false">
      <c r="A1153" s="7" t="s">
        <v>2226</v>
      </c>
      <c r="B1153" s="7" t="s">
        <v>7182</v>
      </c>
      <c r="C1153" s="7" t="s">
        <v>8004</v>
      </c>
    </row>
    <row r="1154" customFormat="false" ht="15" hidden="false" customHeight="true" outlineLevel="0" collapsed="false">
      <c r="A1154" s="7" t="s">
        <v>2226</v>
      </c>
      <c r="B1154" s="7" t="s">
        <v>7180</v>
      </c>
      <c r="C1154" s="7" t="s">
        <v>8004</v>
      </c>
    </row>
    <row r="1155" customFormat="false" ht="15" hidden="false" customHeight="true" outlineLevel="0" collapsed="false">
      <c r="A1155" s="7" t="s">
        <v>2226</v>
      </c>
      <c r="B1155" s="7" t="s">
        <v>8531</v>
      </c>
      <c r="C1155" s="7"/>
    </row>
    <row r="1156" customFormat="false" ht="15" hidden="false" customHeight="true" outlineLevel="0" collapsed="false">
      <c r="A1156" s="7" t="s">
        <v>2226</v>
      </c>
      <c r="B1156" s="7" t="s">
        <v>7181</v>
      </c>
      <c r="C1156" s="7" t="s">
        <v>8004</v>
      </c>
    </row>
    <row r="1157" customFormat="false" ht="15" hidden="false" customHeight="true" outlineLevel="0" collapsed="false">
      <c r="A1157" s="7" t="s">
        <v>2226</v>
      </c>
      <c r="B1157" s="7" t="s">
        <v>8532</v>
      </c>
      <c r="C1157" s="7"/>
    </row>
    <row r="1158" customFormat="false" ht="15" hidden="false" customHeight="true" outlineLevel="0" collapsed="false">
      <c r="A1158" s="7" t="s">
        <v>1999</v>
      </c>
      <c r="B1158" s="7" t="s">
        <v>1999</v>
      </c>
      <c r="C1158" s="7" t="s">
        <v>8004</v>
      </c>
    </row>
    <row r="1159" customFormat="false" ht="15" hidden="false" customHeight="true" outlineLevel="0" collapsed="false">
      <c r="A1159" s="7" t="s">
        <v>1999</v>
      </c>
      <c r="B1159" s="7" t="s">
        <v>7184</v>
      </c>
      <c r="C1159" s="7" t="s">
        <v>8004</v>
      </c>
    </row>
    <row r="1160" customFormat="false" ht="15" hidden="false" customHeight="true" outlineLevel="0" collapsed="false">
      <c r="A1160" s="7" t="s">
        <v>1999</v>
      </c>
      <c r="B1160" s="7" t="s">
        <v>7545</v>
      </c>
      <c r="C1160" s="7" t="s">
        <v>8004</v>
      </c>
    </row>
    <row r="1161" customFormat="false" ht="15" hidden="false" customHeight="true" outlineLevel="0" collapsed="false">
      <c r="A1161" s="7" t="s">
        <v>1978</v>
      </c>
      <c r="B1161" s="7" t="s">
        <v>1978</v>
      </c>
      <c r="C1161" s="7" t="s">
        <v>8004</v>
      </c>
    </row>
    <row r="1162" customFormat="false" ht="15" hidden="false" customHeight="true" outlineLevel="0" collapsed="false">
      <c r="A1162" s="7" t="s">
        <v>1978</v>
      </c>
      <c r="B1162" s="7" t="s">
        <v>938</v>
      </c>
      <c r="C1162" s="7" t="s">
        <v>8004</v>
      </c>
    </row>
    <row r="1163" customFormat="false" ht="15" hidden="false" customHeight="true" outlineLevel="0" collapsed="false">
      <c r="A1163" s="7" t="s">
        <v>1978</v>
      </c>
      <c r="B1163" s="7" t="s">
        <v>8533</v>
      </c>
      <c r="C1163" s="7"/>
    </row>
    <row r="1164" customFormat="false" ht="15" hidden="false" customHeight="true" outlineLevel="0" collapsed="false">
      <c r="A1164" s="7" t="s">
        <v>1978</v>
      </c>
      <c r="B1164" s="7" t="s">
        <v>8534</v>
      </c>
      <c r="C1164" s="7"/>
    </row>
    <row r="1165" customFormat="false" ht="15" hidden="false" customHeight="true" outlineLevel="0" collapsed="false">
      <c r="A1165" s="7" t="s">
        <v>1978</v>
      </c>
      <c r="B1165" s="7" t="s">
        <v>8535</v>
      </c>
      <c r="C1165" s="7"/>
    </row>
    <row r="1166" customFormat="false" ht="15" hidden="false" customHeight="true" outlineLevel="0" collapsed="false">
      <c r="A1166" s="7" t="s">
        <v>1978</v>
      </c>
      <c r="B1166" s="7" t="s">
        <v>8536</v>
      </c>
      <c r="C1166" s="7"/>
    </row>
    <row r="1167" customFormat="false" ht="15" hidden="false" customHeight="true" outlineLevel="0" collapsed="false">
      <c r="A1167" s="7" t="s">
        <v>1985</v>
      </c>
      <c r="B1167" s="7" t="s">
        <v>1985</v>
      </c>
      <c r="C1167" s="7" t="s">
        <v>8004</v>
      </c>
    </row>
    <row r="1168" customFormat="false" ht="15" hidden="false" customHeight="true" outlineLevel="0" collapsed="false">
      <c r="A1168" s="7" t="s">
        <v>1985</v>
      </c>
      <c r="B1168" s="7" t="s">
        <v>945</v>
      </c>
      <c r="C1168" s="7" t="s">
        <v>8004</v>
      </c>
    </row>
    <row r="1169" customFormat="false" ht="15" hidden="false" customHeight="true" outlineLevel="0" collapsed="false">
      <c r="A1169" s="7" t="s">
        <v>3494</v>
      </c>
      <c r="B1169" s="7" t="s">
        <v>8537</v>
      </c>
      <c r="C1169" s="7"/>
    </row>
    <row r="1170" customFormat="false" ht="15" hidden="false" customHeight="true" outlineLevel="0" collapsed="false">
      <c r="A1170" s="7" t="s">
        <v>3494</v>
      </c>
      <c r="B1170" s="7" t="s">
        <v>8538</v>
      </c>
      <c r="C1170" s="7"/>
    </row>
    <row r="1171" customFormat="false" ht="15" hidden="false" customHeight="true" outlineLevel="0" collapsed="false">
      <c r="A1171" s="7" t="s">
        <v>3494</v>
      </c>
      <c r="B1171" s="7" t="s">
        <v>8539</v>
      </c>
      <c r="C1171" s="7"/>
    </row>
    <row r="1172" customFormat="false" ht="15" hidden="false" customHeight="true" outlineLevel="0" collapsed="false">
      <c r="A1172" s="7" t="s">
        <v>3481</v>
      </c>
      <c r="B1172" s="7" t="s">
        <v>3481</v>
      </c>
      <c r="C1172" s="7" t="s">
        <v>8004</v>
      </c>
    </row>
    <row r="1173" customFormat="false" ht="15" hidden="false" customHeight="true" outlineLevel="0" collapsed="false">
      <c r="A1173" s="7" t="s">
        <v>3481</v>
      </c>
      <c r="B1173" s="7" t="s">
        <v>7186</v>
      </c>
      <c r="C1173" s="7" t="s">
        <v>8004</v>
      </c>
    </row>
    <row r="1174" customFormat="false" ht="15" hidden="false" customHeight="true" outlineLevel="0" collapsed="false">
      <c r="A1174" s="7" t="s">
        <v>3481</v>
      </c>
      <c r="B1174" s="7" t="s">
        <v>7187</v>
      </c>
      <c r="C1174" s="7" t="s">
        <v>8004</v>
      </c>
    </row>
    <row r="1175" customFormat="false" ht="15" hidden="false" customHeight="true" outlineLevel="0" collapsed="false">
      <c r="A1175" s="7" t="s">
        <v>3481</v>
      </c>
      <c r="B1175" s="7" t="s">
        <v>8540</v>
      </c>
      <c r="C1175" s="7"/>
    </row>
    <row r="1176" customFormat="false" ht="15" hidden="false" customHeight="true" outlineLevel="0" collapsed="false">
      <c r="A1176" s="7" t="s">
        <v>3481</v>
      </c>
      <c r="B1176" s="7" t="s">
        <v>8541</v>
      </c>
      <c r="C1176" s="7"/>
    </row>
    <row r="1177" customFormat="false" ht="15" hidden="false" customHeight="true" outlineLevel="0" collapsed="false">
      <c r="A1177" s="7" t="s">
        <v>3481</v>
      </c>
      <c r="B1177" s="7" t="s">
        <v>8542</v>
      </c>
      <c r="C1177" s="7"/>
    </row>
    <row r="1178" customFormat="false" ht="15" hidden="false" customHeight="true" outlineLevel="0" collapsed="false">
      <c r="A1178" s="7" t="s">
        <v>3481</v>
      </c>
      <c r="B1178" s="7" t="s">
        <v>7188</v>
      </c>
      <c r="C1178" s="7" t="s">
        <v>8004</v>
      </c>
    </row>
    <row r="1179" customFormat="false" ht="15" hidden="false" customHeight="true" outlineLevel="0" collapsed="false">
      <c r="A1179" s="7" t="s">
        <v>3481</v>
      </c>
      <c r="B1179" s="7" t="s">
        <v>7185</v>
      </c>
      <c r="C1179" s="7" t="s">
        <v>8004</v>
      </c>
    </row>
    <row r="1180" customFormat="false" ht="15" hidden="false" customHeight="true" outlineLevel="0" collapsed="false">
      <c r="A1180" s="7" t="s">
        <v>3481</v>
      </c>
      <c r="B1180" s="7" t="s">
        <v>8543</v>
      </c>
      <c r="C1180" s="7"/>
    </row>
    <row r="1181" customFormat="false" ht="15" hidden="false" customHeight="true" outlineLevel="0" collapsed="false">
      <c r="A1181" s="7" t="s">
        <v>3481</v>
      </c>
      <c r="B1181" s="7" t="s">
        <v>8544</v>
      </c>
      <c r="C1181" s="7"/>
    </row>
    <row r="1182" customFormat="false" ht="15" hidden="false" customHeight="true" outlineLevel="0" collapsed="false">
      <c r="A1182" s="7" t="s">
        <v>260</v>
      </c>
      <c r="B1182" s="7" t="s">
        <v>260</v>
      </c>
      <c r="C1182" s="7" t="s">
        <v>8004</v>
      </c>
    </row>
    <row r="1183" customFormat="false" ht="15" hidden="false" customHeight="true" outlineLevel="0" collapsed="false">
      <c r="A1183" s="7" t="s">
        <v>260</v>
      </c>
      <c r="B1183" s="7" t="s">
        <v>8545</v>
      </c>
      <c r="C1183" s="7"/>
    </row>
    <row r="1184" customFormat="false" ht="15" hidden="false" customHeight="true" outlineLevel="0" collapsed="false">
      <c r="A1184" s="7" t="s">
        <v>260</v>
      </c>
      <c r="B1184" s="7" t="s">
        <v>8546</v>
      </c>
      <c r="C1184" s="7"/>
    </row>
    <row r="1185" customFormat="false" ht="15" hidden="false" customHeight="true" outlineLevel="0" collapsed="false">
      <c r="A1185" s="7" t="s">
        <v>260</v>
      </c>
      <c r="B1185" s="7" t="s">
        <v>8547</v>
      </c>
      <c r="C1185" s="7"/>
    </row>
    <row r="1186" customFormat="false" ht="15" hidden="false" customHeight="true" outlineLevel="0" collapsed="false">
      <c r="A1186" s="7" t="s">
        <v>260</v>
      </c>
      <c r="B1186" s="7" t="s">
        <v>8548</v>
      </c>
      <c r="C1186" s="7"/>
    </row>
    <row r="1187" customFormat="false" ht="15" hidden="false" customHeight="true" outlineLevel="0" collapsed="false">
      <c r="A1187" s="7" t="s">
        <v>260</v>
      </c>
      <c r="B1187" s="7" t="s">
        <v>8549</v>
      </c>
      <c r="C1187" s="7"/>
    </row>
    <row r="1188" customFormat="false" ht="15" hidden="false" customHeight="true" outlineLevel="0" collapsed="false">
      <c r="A1188" s="7" t="s">
        <v>260</v>
      </c>
      <c r="B1188" s="7" t="s">
        <v>8550</v>
      </c>
      <c r="C1188" s="7"/>
    </row>
    <row r="1189" customFormat="false" ht="15" hidden="false" customHeight="true" outlineLevel="0" collapsed="false">
      <c r="A1189" s="7" t="s">
        <v>260</v>
      </c>
      <c r="B1189" s="7" t="s">
        <v>8551</v>
      </c>
      <c r="C1189" s="7"/>
    </row>
    <row r="1190" customFormat="false" ht="15" hidden="false" customHeight="true" outlineLevel="0" collapsed="false">
      <c r="A1190" s="7" t="s">
        <v>260</v>
      </c>
      <c r="B1190" s="7" t="s">
        <v>8552</v>
      </c>
      <c r="C1190" s="7"/>
    </row>
    <row r="1191" customFormat="false" ht="15" hidden="false" customHeight="true" outlineLevel="0" collapsed="false">
      <c r="A1191" s="7" t="s">
        <v>260</v>
      </c>
      <c r="B1191" s="7" t="s">
        <v>8553</v>
      </c>
      <c r="C1191" s="7"/>
    </row>
    <row r="1192" customFormat="false" ht="15" hidden="false" customHeight="true" outlineLevel="0" collapsed="false">
      <c r="A1192" s="7" t="s">
        <v>3502</v>
      </c>
      <c r="B1192" s="7" t="s">
        <v>3502</v>
      </c>
      <c r="C1192" s="7" t="s">
        <v>8004</v>
      </c>
    </row>
    <row r="1193" customFormat="false" ht="15" hidden="false" customHeight="true" outlineLevel="0" collapsed="false">
      <c r="A1193" s="7" t="s">
        <v>3502</v>
      </c>
      <c r="B1193" s="7" t="s">
        <v>8554</v>
      </c>
      <c r="C1193" s="7"/>
    </row>
    <row r="1194" customFormat="false" ht="15" hidden="false" customHeight="true" outlineLevel="0" collapsed="false">
      <c r="A1194" s="7" t="s">
        <v>3502</v>
      </c>
      <c r="B1194" s="7" t="s">
        <v>7191</v>
      </c>
      <c r="C1194" s="7" t="s">
        <v>8004</v>
      </c>
    </row>
    <row r="1195" customFormat="false" ht="15" hidden="false" customHeight="true" outlineLevel="0" collapsed="false">
      <c r="A1195" s="7" t="s">
        <v>3502</v>
      </c>
      <c r="B1195" s="7" t="s">
        <v>7192</v>
      </c>
      <c r="C1195" s="7" t="s">
        <v>8004</v>
      </c>
    </row>
    <row r="1196" customFormat="false" ht="15" hidden="false" customHeight="true" outlineLevel="0" collapsed="false">
      <c r="A1196" s="7" t="s">
        <v>3502</v>
      </c>
      <c r="B1196" s="7" t="s">
        <v>3506</v>
      </c>
      <c r="C1196" s="7" t="s">
        <v>8004</v>
      </c>
    </row>
    <row r="1197" customFormat="false" ht="15" hidden="false" customHeight="true" outlineLevel="0" collapsed="false">
      <c r="A1197" s="7" t="s">
        <v>3502</v>
      </c>
      <c r="B1197" s="7" t="s">
        <v>3505</v>
      </c>
      <c r="C1197" s="7" t="s">
        <v>8004</v>
      </c>
    </row>
    <row r="1198" customFormat="false" ht="15" hidden="false" customHeight="true" outlineLevel="0" collapsed="false">
      <c r="A1198" s="7" t="s">
        <v>3502</v>
      </c>
      <c r="B1198" s="7" t="s">
        <v>7189</v>
      </c>
      <c r="C1198" s="7" t="s">
        <v>8004</v>
      </c>
    </row>
    <row r="1199" customFormat="false" ht="15" hidden="false" customHeight="true" outlineLevel="0" collapsed="false">
      <c r="A1199" s="7" t="s">
        <v>3502</v>
      </c>
      <c r="B1199" s="7" t="s">
        <v>7190</v>
      </c>
      <c r="C1199" s="7" t="s">
        <v>8004</v>
      </c>
    </row>
    <row r="1200" customFormat="false" ht="15" hidden="false" customHeight="true" outlineLevel="0" collapsed="false">
      <c r="A1200" s="7" t="s">
        <v>3502</v>
      </c>
      <c r="B1200" s="7" t="s">
        <v>8555</v>
      </c>
      <c r="C1200" s="7"/>
    </row>
    <row r="1201" customFormat="false" ht="15" hidden="false" customHeight="true" outlineLevel="0" collapsed="false">
      <c r="A1201" s="7" t="s">
        <v>3502</v>
      </c>
      <c r="B1201" s="7" t="s">
        <v>8556</v>
      </c>
      <c r="C1201" s="7"/>
    </row>
    <row r="1202" customFormat="false" ht="15" hidden="false" customHeight="true" outlineLevel="0" collapsed="false">
      <c r="A1202" s="7" t="s">
        <v>3538</v>
      </c>
      <c r="B1202" s="7" t="s">
        <v>7193</v>
      </c>
      <c r="C1202" s="7" t="s">
        <v>8004</v>
      </c>
    </row>
    <row r="1203" customFormat="false" ht="15" hidden="false" customHeight="true" outlineLevel="0" collapsed="false">
      <c r="A1203" s="7" t="s">
        <v>3538</v>
      </c>
      <c r="B1203" s="7" t="s">
        <v>7194</v>
      </c>
      <c r="C1203" s="7" t="s">
        <v>8004</v>
      </c>
    </row>
    <row r="1204" customFormat="false" ht="15" hidden="false" customHeight="true" outlineLevel="0" collapsed="false">
      <c r="A1204" s="7" t="s">
        <v>3538</v>
      </c>
      <c r="B1204" s="7" t="s">
        <v>7196</v>
      </c>
      <c r="C1204" s="7" t="s">
        <v>8004</v>
      </c>
    </row>
    <row r="1205" customFormat="false" ht="15" hidden="false" customHeight="true" outlineLevel="0" collapsed="false">
      <c r="A1205" s="7" t="s">
        <v>3538</v>
      </c>
      <c r="B1205" s="7" t="s">
        <v>8557</v>
      </c>
      <c r="C1205" s="7"/>
    </row>
    <row r="1206" customFormat="false" ht="15" hidden="false" customHeight="true" outlineLevel="0" collapsed="false">
      <c r="A1206" s="7" t="s">
        <v>3538</v>
      </c>
      <c r="B1206" s="7" t="s">
        <v>7195</v>
      </c>
      <c r="C1206" s="7" t="s">
        <v>8004</v>
      </c>
    </row>
    <row r="1207" customFormat="false" ht="15" hidden="false" customHeight="true" outlineLevel="0" collapsed="false">
      <c r="A1207" s="7" t="s">
        <v>3538</v>
      </c>
      <c r="B1207" s="7" t="s">
        <v>8558</v>
      </c>
      <c r="C1207" s="7"/>
    </row>
    <row r="1208" customFormat="false" ht="15" hidden="false" customHeight="true" outlineLevel="0" collapsed="false">
      <c r="A1208" s="7" t="s">
        <v>3538</v>
      </c>
      <c r="B1208" s="7" t="s">
        <v>8559</v>
      </c>
      <c r="C1208" s="7"/>
    </row>
    <row r="1209" customFormat="false" ht="15" hidden="false" customHeight="true" outlineLevel="0" collapsed="false">
      <c r="A1209" s="7" t="s">
        <v>3515</v>
      </c>
      <c r="B1209" s="7" t="s">
        <v>3515</v>
      </c>
      <c r="C1209" s="7" t="s">
        <v>8004</v>
      </c>
    </row>
    <row r="1210" customFormat="false" ht="15" hidden="false" customHeight="true" outlineLevel="0" collapsed="false">
      <c r="A1210" s="7" t="s">
        <v>3515</v>
      </c>
      <c r="B1210" s="7" t="s">
        <v>3519</v>
      </c>
      <c r="C1210" s="7" t="s">
        <v>8004</v>
      </c>
    </row>
    <row r="1211" customFormat="false" ht="15" hidden="false" customHeight="true" outlineLevel="0" collapsed="false">
      <c r="A1211" s="7" t="s">
        <v>3515</v>
      </c>
      <c r="B1211" s="7" t="s">
        <v>7198</v>
      </c>
      <c r="C1211" s="7" t="s">
        <v>8004</v>
      </c>
    </row>
    <row r="1212" customFormat="false" ht="15" hidden="false" customHeight="true" outlineLevel="0" collapsed="false">
      <c r="A1212" s="7" t="s">
        <v>3515</v>
      </c>
      <c r="B1212" s="7" t="s">
        <v>7199</v>
      </c>
      <c r="C1212" s="7" t="s">
        <v>8004</v>
      </c>
    </row>
    <row r="1213" customFormat="false" ht="15" hidden="false" customHeight="true" outlineLevel="0" collapsed="false">
      <c r="A1213" s="7" t="s">
        <v>3515</v>
      </c>
      <c r="B1213" s="7" t="s">
        <v>7200</v>
      </c>
      <c r="C1213" s="7" t="s">
        <v>8004</v>
      </c>
    </row>
    <row r="1214" customFormat="false" ht="15" hidden="false" customHeight="true" outlineLevel="0" collapsed="false">
      <c r="A1214" s="7" t="s">
        <v>3515</v>
      </c>
      <c r="B1214" s="7" t="s">
        <v>8560</v>
      </c>
      <c r="C1214" s="7"/>
    </row>
    <row r="1215" customFormat="false" ht="15" hidden="false" customHeight="true" outlineLevel="0" collapsed="false">
      <c r="A1215" s="7" t="s">
        <v>3515</v>
      </c>
      <c r="B1215" s="7" t="s">
        <v>7197</v>
      </c>
      <c r="C1215" s="7" t="s">
        <v>8004</v>
      </c>
    </row>
    <row r="1216" customFormat="false" ht="15" hidden="false" customHeight="true" outlineLevel="0" collapsed="false">
      <c r="A1216" s="7" t="s">
        <v>3515</v>
      </c>
      <c r="B1216" s="7" t="s">
        <v>7201</v>
      </c>
      <c r="C1216" s="7" t="s">
        <v>8004</v>
      </c>
    </row>
    <row r="1217" customFormat="false" ht="15" hidden="false" customHeight="true" outlineLevel="0" collapsed="false">
      <c r="A1217" s="7" t="s">
        <v>3515</v>
      </c>
      <c r="B1217" s="7" t="s">
        <v>8561</v>
      </c>
      <c r="C1217" s="7"/>
    </row>
    <row r="1218" customFormat="false" ht="15" hidden="false" customHeight="true" outlineLevel="0" collapsed="false">
      <c r="A1218" s="7" t="s">
        <v>3515</v>
      </c>
      <c r="B1218" s="7" t="s">
        <v>8562</v>
      </c>
      <c r="C1218" s="7"/>
    </row>
    <row r="1219" customFormat="false" ht="15" hidden="false" customHeight="true" outlineLevel="0" collapsed="false">
      <c r="A1219" s="7" t="s">
        <v>3525</v>
      </c>
      <c r="B1219" s="7" t="s">
        <v>3525</v>
      </c>
      <c r="C1219" s="7" t="s">
        <v>8004</v>
      </c>
    </row>
    <row r="1220" customFormat="false" ht="15" hidden="false" customHeight="true" outlineLevel="0" collapsed="false">
      <c r="A1220" s="7" t="s">
        <v>3525</v>
      </c>
      <c r="B1220" s="7" t="s">
        <v>8563</v>
      </c>
      <c r="C1220" s="7"/>
    </row>
    <row r="1221" customFormat="false" ht="15" hidden="false" customHeight="true" outlineLevel="0" collapsed="false">
      <c r="A1221" s="7" t="s">
        <v>3525</v>
      </c>
      <c r="B1221" s="7" t="s">
        <v>7205</v>
      </c>
      <c r="C1221" s="7" t="s">
        <v>8004</v>
      </c>
    </row>
    <row r="1222" customFormat="false" ht="15" hidden="false" customHeight="true" outlineLevel="0" collapsed="false">
      <c r="A1222" s="7" t="s">
        <v>3525</v>
      </c>
      <c r="B1222" s="7" t="s">
        <v>7202</v>
      </c>
      <c r="C1222" s="7" t="s">
        <v>8004</v>
      </c>
    </row>
    <row r="1223" customFormat="false" ht="15" hidden="false" customHeight="true" outlineLevel="0" collapsed="false">
      <c r="A1223" s="7" t="s">
        <v>3525</v>
      </c>
      <c r="B1223" s="7" t="s">
        <v>7203</v>
      </c>
      <c r="C1223" s="7" t="s">
        <v>8004</v>
      </c>
    </row>
    <row r="1224" customFormat="false" ht="15" hidden="false" customHeight="true" outlineLevel="0" collapsed="false">
      <c r="A1224" s="7" t="s">
        <v>3525</v>
      </c>
      <c r="B1224" s="7" t="s">
        <v>7204</v>
      </c>
      <c r="C1224" s="7" t="s">
        <v>8004</v>
      </c>
    </row>
    <row r="1225" customFormat="false" ht="15" hidden="false" customHeight="true" outlineLevel="0" collapsed="false">
      <c r="A1225" s="7" t="s">
        <v>3525</v>
      </c>
      <c r="B1225" s="7" t="s">
        <v>7206</v>
      </c>
      <c r="C1225" s="7" t="s">
        <v>8004</v>
      </c>
    </row>
    <row r="1226" customFormat="false" ht="15" hidden="false" customHeight="true" outlineLevel="0" collapsed="false">
      <c r="A1226" s="7" t="s">
        <v>3525</v>
      </c>
      <c r="B1226" s="7" t="s">
        <v>3529</v>
      </c>
      <c r="C1226" s="7" t="s">
        <v>8004</v>
      </c>
    </row>
    <row r="1227" customFormat="false" ht="15" hidden="false" customHeight="true" outlineLevel="0" collapsed="false">
      <c r="A1227" s="7" t="s">
        <v>3525</v>
      </c>
      <c r="B1227" s="7" t="s">
        <v>8564</v>
      </c>
      <c r="C1227" s="7"/>
    </row>
    <row r="1228" customFormat="false" ht="15" hidden="false" customHeight="true" outlineLevel="0" collapsed="false">
      <c r="A1228" s="7" t="s">
        <v>3525</v>
      </c>
      <c r="B1228" s="7" t="s">
        <v>8565</v>
      </c>
      <c r="C1228" s="7"/>
    </row>
    <row r="1229" customFormat="false" ht="15" hidden="false" customHeight="true" outlineLevel="0" collapsed="false">
      <c r="A1229" s="7" t="s">
        <v>3550</v>
      </c>
      <c r="B1229" s="7" t="s">
        <v>3550</v>
      </c>
      <c r="C1229" s="7" t="s">
        <v>8004</v>
      </c>
    </row>
    <row r="1230" customFormat="false" ht="15" hidden="false" customHeight="true" outlineLevel="0" collapsed="false">
      <c r="A1230" s="7" t="s">
        <v>3550</v>
      </c>
      <c r="B1230" s="7" t="s">
        <v>7207</v>
      </c>
      <c r="C1230" s="7" t="s">
        <v>8004</v>
      </c>
    </row>
    <row r="1231" customFormat="false" ht="15" hidden="false" customHeight="true" outlineLevel="0" collapsed="false">
      <c r="A1231" s="7" t="s">
        <v>3550</v>
      </c>
      <c r="B1231" s="7" t="s">
        <v>8566</v>
      </c>
      <c r="C1231" s="7"/>
    </row>
    <row r="1232" customFormat="false" ht="15" hidden="false" customHeight="true" outlineLevel="0" collapsed="false">
      <c r="A1232" s="7" t="s">
        <v>3550</v>
      </c>
      <c r="B1232" s="7" t="s">
        <v>7208</v>
      </c>
      <c r="C1232" s="7" t="s">
        <v>8004</v>
      </c>
    </row>
    <row r="1233" customFormat="false" ht="15" hidden="false" customHeight="true" outlineLevel="0" collapsed="false">
      <c r="A1233" s="7" t="s">
        <v>3550</v>
      </c>
      <c r="B1233" s="7" t="s">
        <v>7210</v>
      </c>
      <c r="C1233" s="7" t="s">
        <v>8004</v>
      </c>
    </row>
    <row r="1234" customFormat="false" ht="15" hidden="false" customHeight="true" outlineLevel="0" collapsed="false">
      <c r="A1234" s="7" t="s">
        <v>3550</v>
      </c>
      <c r="B1234" s="7" t="s">
        <v>7209</v>
      </c>
      <c r="C1234" s="7" t="s">
        <v>8004</v>
      </c>
    </row>
    <row r="1235" customFormat="false" ht="15" hidden="false" customHeight="true" outlineLevel="0" collapsed="false">
      <c r="A1235" s="7" t="s">
        <v>3550</v>
      </c>
      <c r="B1235" s="7" t="s">
        <v>8567</v>
      </c>
      <c r="C1235" s="7"/>
    </row>
    <row r="1236" customFormat="false" ht="15" hidden="false" customHeight="true" outlineLevel="0" collapsed="false">
      <c r="A1236" s="7" t="s">
        <v>3550</v>
      </c>
      <c r="B1236" s="7" t="s">
        <v>8568</v>
      </c>
      <c r="C1236" s="7"/>
    </row>
    <row r="1237" customFormat="false" ht="15" hidden="false" customHeight="true" outlineLevel="0" collapsed="false">
      <c r="A1237" s="7" t="s">
        <v>3550</v>
      </c>
      <c r="B1237" s="7" t="s">
        <v>8569</v>
      </c>
      <c r="C1237" s="7"/>
    </row>
    <row r="1238" customFormat="false" ht="15" hidden="false" customHeight="true" outlineLevel="0" collapsed="false">
      <c r="A1238" s="7" t="s">
        <v>3550</v>
      </c>
      <c r="B1238" s="7" t="s">
        <v>8570</v>
      </c>
      <c r="C1238" s="7"/>
    </row>
    <row r="1239" customFormat="false" ht="15" hidden="false" customHeight="true" outlineLevel="0" collapsed="false">
      <c r="A1239" s="7" t="s">
        <v>272</v>
      </c>
      <c r="B1239" s="7" t="s">
        <v>272</v>
      </c>
      <c r="C1239" s="7" t="s">
        <v>8004</v>
      </c>
    </row>
    <row r="1240" customFormat="false" ht="15" hidden="false" customHeight="true" outlineLevel="0" collapsed="false">
      <c r="A1240" s="7" t="s">
        <v>272</v>
      </c>
      <c r="B1240" s="7" t="s">
        <v>8571</v>
      </c>
      <c r="C1240" s="7"/>
    </row>
    <row r="1241" customFormat="false" ht="15" hidden="false" customHeight="true" outlineLevel="0" collapsed="false">
      <c r="A1241" s="7" t="s">
        <v>272</v>
      </c>
      <c r="B1241" s="7" t="s">
        <v>8572</v>
      </c>
      <c r="C1241" s="7"/>
    </row>
    <row r="1242" customFormat="false" ht="15" hidden="false" customHeight="true" outlineLevel="0" collapsed="false">
      <c r="A1242" s="7" t="s">
        <v>272</v>
      </c>
      <c r="B1242" s="7" t="s">
        <v>8573</v>
      </c>
      <c r="C1242" s="7"/>
    </row>
    <row r="1243" customFormat="false" ht="15" hidden="false" customHeight="true" outlineLevel="0" collapsed="false">
      <c r="A1243" s="7" t="s">
        <v>272</v>
      </c>
      <c r="B1243" s="7" t="s">
        <v>8574</v>
      </c>
      <c r="C1243" s="7"/>
    </row>
    <row r="1244" customFormat="false" ht="15" hidden="false" customHeight="true" outlineLevel="0" collapsed="false">
      <c r="A1244" s="7" t="s">
        <v>272</v>
      </c>
      <c r="B1244" s="7" t="s">
        <v>8575</v>
      </c>
      <c r="C1244" s="7"/>
    </row>
    <row r="1245" customFormat="false" ht="15" hidden="false" customHeight="true" outlineLevel="0" collapsed="false">
      <c r="A1245" s="7" t="s">
        <v>272</v>
      </c>
      <c r="B1245" s="7" t="s">
        <v>8576</v>
      </c>
      <c r="C1245" s="7"/>
    </row>
    <row r="1246" customFormat="false" ht="15" hidden="false" customHeight="true" outlineLevel="0" collapsed="false">
      <c r="A1246" s="7" t="s">
        <v>272</v>
      </c>
      <c r="B1246" s="7" t="s">
        <v>8577</v>
      </c>
      <c r="C1246" s="7"/>
    </row>
    <row r="1247" customFormat="false" ht="15" hidden="false" customHeight="true" outlineLevel="0" collapsed="false">
      <c r="A1247" s="7" t="s">
        <v>272</v>
      </c>
      <c r="B1247" s="7" t="s">
        <v>8578</v>
      </c>
      <c r="C1247" s="7"/>
    </row>
    <row r="1248" customFormat="false" ht="15" hidden="false" customHeight="true" outlineLevel="0" collapsed="false">
      <c r="A1248" s="7" t="s">
        <v>272</v>
      </c>
      <c r="B1248" s="7" t="s">
        <v>8579</v>
      </c>
      <c r="C1248" s="7"/>
    </row>
    <row r="1249" customFormat="false" ht="15" hidden="false" customHeight="true" outlineLevel="0" collapsed="false">
      <c r="A1249" s="7" t="s">
        <v>3563</v>
      </c>
      <c r="B1249" s="7" t="s">
        <v>3563</v>
      </c>
      <c r="C1249" s="7" t="s">
        <v>8004</v>
      </c>
    </row>
    <row r="1250" customFormat="false" ht="15" hidden="false" customHeight="true" outlineLevel="0" collapsed="false">
      <c r="A1250" s="7" t="s">
        <v>3563</v>
      </c>
      <c r="B1250" s="7" t="s">
        <v>8580</v>
      </c>
      <c r="C1250" s="7"/>
    </row>
    <row r="1251" customFormat="false" ht="15" hidden="false" customHeight="true" outlineLevel="0" collapsed="false">
      <c r="A1251" s="7" t="s">
        <v>3563</v>
      </c>
      <c r="B1251" s="7" t="s">
        <v>3567</v>
      </c>
      <c r="C1251" s="7" t="s">
        <v>8004</v>
      </c>
    </row>
    <row r="1252" customFormat="false" ht="15" hidden="false" customHeight="true" outlineLevel="0" collapsed="false">
      <c r="A1252" s="7" t="s">
        <v>3563</v>
      </c>
      <c r="B1252" s="7" t="s">
        <v>7211</v>
      </c>
      <c r="C1252" s="7" t="s">
        <v>8004</v>
      </c>
    </row>
    <row r="1253" customFormat="false" ht="15" hidden="false" customHeight="true" outlineLevel="0" collapsed="false">
      <c r="A1253" s="7" t="s">
        <v>3563</v>
      </c>
      <c r="B1253" s="7" t="s">
        <v>7213</v>
      </c>
      <c r="C1253" s="7" t="s">
        <v>8004</v>
      </c>
    </row>
    <row r="1254" customFormat="false" ht="15" hidden="false" customHeight="true" outlineLevel="0" collapsed="false">
      <c r="A1254" s="7" t="s">
        <v>3563</v>
      </c>
      <c r="B1254" s="7" t="s">
        <v>8581</v>
      </c>
      <c r="C1254" s="7"/>
    </row>
    <row r="1255" customFormat="false" ht="15" hidden="false" customHeight="true" outlineLevel="0" collapsed="false">
      <c r="A1255" s="7" t="s">
        <v>3563</v>
      </c>
      <c r="B1255" s="7" t="s">
        <v>7214</v>
      </c>
      <c r="C1255" s="7" t="s">
        <v>8004</v>
      </c>
    </row>
    <row r="1256" customFormat="false" ht="15" hidden="false" customHeight="true" outlineLevel="0" collapsed="false">
      <c r="A1256" s="7" t="s">
        <v>3563</v>
      </c>
      <c r="B1256" s="7" t="s">
        <v>8582</v>
      </c>
      <c r="C1256" s="7"/>
    </row>
    <row r="1257" customFormat="false" ht="15" hidden="false" customHeight="true" outlineLevel="0" collapsed="false">
      <c r="A1257" s="7" t="s">
        <v>3563</v>
      </c>
      <c r="B1257" s="7" t="s">
        <v>7212</v>
      </c>
      <c r="C1257" s="7" t="s">
        <v>8004</v>
      </c>
    </row>
    <row r="1258" customFormat="false" ht="15" hidden="false" customHeight="true" outlineLevel="0" collapsed="false">
      <c r="A1258" s="7" t="s">
        <v>3563</v>
      </c>
      <c r="B1258" s="7" t="s">
        <v>8583</v>
      </c>
      <c r="C1258" s="7"/>
    </row>
    <row r="1259" customFormat="false" ht="15" hidden="false" customHeight="true" outlineLevel="0" collapsed="false">
      <c r="A1259" s="7" t="s">
        <v>3633</v>
      </c>
      <c r="B1259" s="7" t="s">
        <v>3633</v>
      </c>
      <c r="C1259" s="7" t="s">
        <v>8004</v>
      </c>
    </row>
    <row r="1260" customFormat="false" ht="15" hidden="false" customHeight="true" outlineLevel="0" collapsed="false">
      <c r="A1260" s="7" t="s">
        <v>3633</v>
      </c>
      <c r="B1260" s="7" t="s">
        <v>8584</v>
      </c>
      <c r="C1260" s="7"/>
    </row>
    <row r="1261" customFormat="false" ht="15" hidden="false" customHeight="true" outlineLevel="0" collapsed="false">
      <c r="A1261" s="7" t="s">
        <v>3633</v>
      </c>
      <c r="B1261" s="7" t="s">
        <v>8585</v>
      </c>
      <c r="C1261" s="7"/>
    </row>
    <row r="1262" customFormat="false" ht="15" hidden="false" customHeight="true" outlineLevel="0" collapsed="false">
      <c r="A1262" s="7" t="s">
        <v>3633</v>
      </c>
      <c r="B1262" s="7" t="s">
        <v>7242</v>
      </c>
      <c r="C1262" s="7" t="s">
        <v>8004</v>
      </c>
    </row>
    <row r="1263" customFormat="false" ht="15" hidden="false" customHeight="true" outlineLevel="0" collapsed="false">
      <c r="A1263" s="7" t="s">
        <v>3633</v>
      </c>
      <c r="B1263" s="7" t="s">
        <v>7241</v>
      </c>
      <c r="C1263" s="7" t="s">
        <v>8004</v>
      </c>
    </row>
    <row r="1264" customFormat="false" ht="15" hidden="false" customHeight="true" outlineLevel="0" collapsed="false">
      <c r="A1264" s="7" t="s">
        <v>3633</v>
      </c>
      <c r="B1264" s="7" t="s">
        <v>7243</v>
      </c>
      <c r="C1264" s="7" t="s">
        <v>8004</v>
      </c>
    </row>
    <row r="1265" customFormat="false" ht="15" hidden="false" customHeight="true" outlineLevel="0" collapsed="false">
      <c r="A1265" s="7" t="s">
        <v>3633</v>
      </c>
      <c r="B1265" s="7" t="s">
        <v>8586</v>
      </c>
      <c r="C1265" s="7"/>
    </row>
    <row r="1266" customFormat="false" ht="15" hidden="false" customHeight="true" outlineLevel="0" collapsed="false">
      <c r="A1266" s="7" t="s">
        <v>3633</v>
      </c>
      <c r="B1266" s="7" t="s">
        <v>7244</v>
      </c>
      <c r="C1266" s="7" t="s">
        <v>8004</v>
      </c>
    </row>
    <row r="1267" customFormat="false" ht="15" hidden="false" customHeight="true" outlineLevel="0" collapsed="false">
      <c r="A1267" s="7" t="s">
        <v>3644</v>
      </c>
      <c r="B1267" s="7" t="s">
        <v>7217</v>
      </c>
      <c r="C1267" s="7" t="s">
        <v>8004</v>
      </c>
    </row>
    <row r="1268" customFormat="false" ht="15" hidden="false" customHeight="true" outlineLevel="0" collapsed="false">
      <c r="A1268" s="7" t="s">
        <v>3644</v>
      </c>
      <c r="B1268" s="7" t="s">
        <v>7246</v>
      </c>
      <c r="C1268" s="7" t="s">
        <v>8004</v>
      </c>
    </row>
    <row r="1269" customFormat="false" ht="15" hidden="false" customHeight="true" outlineLevel="0" collapsed="false">
      <c r="A1269" s="7" t="s">
        <v>3644</v>
      </c>
      <c r="B1269" s="7" t="s">
        <v>7238</v>
      </c>
      <c r="C1269" s="7" t="s">
        <v>8004</v>
      </c>
    </row>
    <row r="1270" customFormat="false" ht="15" hidden="false" customHeight="true" outlineLevel="0" collapsed="false">
      <c r="A1270" s="7" t="s">
        <v>3644</v>
      </c>
      <c r="B1270" s="7" t="s">
        <v>7245</v>
      </c>
      <c r="C1270" s="7" t="s">
        <v>8004</v>
      </c>
    </row>
    <row r="1271" customFormat="false" ht="15" hidden="false" customHeight="true" outlineLevel="0" collapsed="false">
      <c r="A1271" s="7" t="s">
        <v>3644</v>
      </c>
      <c r="B1271" s="7" t="s">
        <v>8587</v>
      </c>
      <c r="C1271" s="7"/>
    </row>
    <row r="1272" customFormat="false" ht="15" hidden="false" customHeight="true" outlineLevel="0" collapsed="false">
      <c r="A1272" s="7" t="s">
        <v>3644</v>
      </c>
      <c r="B1272" s="7" t="s">
        <v>8588</v>
      </c>
      <c r="C1272" s="7"/>
    </row>
    <row r="1273" customFormat="false" ht="15" hidden="false" customHeight="true" outlineLevel="0" collapsed="false">
      <c r="A1273" s="7" t="s">
        <v>3644</v>
      </c>
      <c r="B1273" s="7" t="s">
        <v>7216</v>
      </c>
      <c r="C1273" s="7" t="s">
        <v>8004</v>
      </c>
    </row>
    <row r="1274" customFormat="false" ht="15" hidden="false" customHeight="true" outlineLevel="0" collapsed="false">
      <c r="A1274" s="7" t="s">
        <v>3644</v>
      </c>
      <c r="B1274" s="7" t="s">
        <v>8589</v>
      </c>
      <c r="C1274" s="7"/>
    </row>
    <row r="1275" customFormat="false" ht="15" hidden="false" customHeight="true" outlineLevel="0" collapsed="false">
      <c r="A1275" s="7" t="s">
        <v>3644</v>
      </c>
      <c r="B1275" s="7" t="s">
        <v>8590</v>
      </c>
      <c r="C1275" s="7"/>
    </row>
    <row r="1276" customFormat="false" ht="15" hidden="false" customHeight="true" outlineLevel="0" collapsed="false">
      <c r="A1276" s="7" t="s">
        <v>3644</v>
      </c>
      <c r="B1276" s="7" t="s">
        <v>7215</v>
      </c>
      <c r="C1276" s="7" t="s">
        <v>8004</v>
      </c>
    </row>
    <row r="1277" customFormat="false" ht="15" hidden="false" customHeight="true" outlineLevel="0" collapsed="false">
      <c r="A1277" s="7" t="s">
        <v>3622</v>
      </c>
      <c r="B1277" s="7" t="s">
        <v>3622</v>
      </c>
      <c r="C1277" s="7" t="s">
        <v>8004</v>
      </c>
    </row>
    <row r="1278" customFormat="false" ht="15" hidden="false" customHeight="true" outlineLevel="0" collapsed="false">
      <c r="A1278" s="7" t="s">
        <v>3622</v>
      </c>
      <c r="B1278" s="7" t="s">
        <v>7220</v>
      </c>
      <c r="C1278" s="7" t="s">
        <v>8004</v>
      </c>
    </row>
    <row r="1279" customFormat="false" ht="15" hidden="false" customHeight="true" outlineLevel="0" collapsed="false">
      <c r="A1279" s="7" t="s">
        <v>3622</v>
      </c>
      <c r="B1279" s="7" t="s">
        <v>3626</v>
      </c>
      <c r="C1279" s="7" t="s">
        <v>8004</v>
      </c>
    </row>
    <row r="1280" customFormat="false" ht="15" hidden="false" customHeight="true" outlineLevel="0" collapsed="false">
      <c r="A1280" s="7" t="s">
        <v>3622</v>
      </c>
      <c r="B1280" s="7" t="s">
        <v>8591</v>
      </c>
      <c r="C1280" s="7"/>
    </row>
    <row r="1281" customFormat="false" ht="15" hidden="false" customHeight="true" outlineLevel="0" collapsed="false">
      <c r="A1281" s="7" t="s">
        <v>3622</v>
      </c>
      <c r="B1281" s="7" t="s">
        <v>8592</v>
      </c>
      <c r="C1281" s="7"/>
    </row>
    <row r="1282" customFormat="false" ht="15" hidden="false" customHeight="true" outlineLevel="0" collapsed="false">
      <c r="A1282" s="7" t="s">
        <v>3622</v>
      </c>
      <c r="B1282" s="7" t="s">
        <v>7219</v>
      </c>
      <c r="C1282" s="7" t="s">
        <v>8004</v>
      </c>
    </row>
    <row r="1283" customFormat="false" ht="15" hidden="false" customHeight="true" outlineLevel="0" collapsed="false">
      <c r="A1283" s="7" t="s">
        <v>3622</v>
      </c>
      <c r="B1283" s="7" t="s">
        <v>7221</v>
      </c>
      <c r="C1283" s="7" t="s">
        <v>8004</v>
      </c>
    </row>
    <row r="1284" customFormat="false" ht="15" hidden="false" customHeight="true" outlineLevel="0" collapsed="false">
      <c r="A1284" s="7" t="s">
        <v>3622</v>
      </c>
      <c r="B1284" s="7" t="s">
        <v>7218</v>
      </c>
      <c r="C1284" s="7" t="s">
        <v>8004</v>
      </c>
    </row>
    <row r="1285" customFormat="false" ht="15" hidden="false" customHeight="true" outlineLevel="0" collapsed="false">
      <c r="A1285" s="7" t="s">
        <v>3622</v>
      </c>
      <c r="B1285" s="7" t="s">
        <v>8593</v>
      </c>
      <c r="C1285" s="7"/>
    </row>
    <row r="1286" customFormat="false" ht="15" hidden="false" customHeight="true" outlineLevel="0" collapsed="false">
      <c r="A1286" s="7" t="s">
        <v>3622</v>
      </c>
      <c r="B1286" s="7" t="s">
        <v>7222</v>
      </c>
      <c r="C1286" s="7" t="s">
        <v>8004</v>
      </c>
    </row>
    <row r="1287" customFormat="false" ht="15" hidden="false" customHeight="true" outlineLevel="0" collapsed="false">
      <c r="A1287" s="7" t="s">
        <v>3654</v>
      </c>
      <c r="B1287" s="7" t="s">
        <v>7240</v>
      </c>
      <c r="C1287" s="7" t="s">
        <v>8004</v>
      </c>
    </row>
    <row r="1288" customFormat="false" ht="15" hidden="false" customHeight="true" outlineLevel="0" collapsed="false">
      <c r="A1288" s="7" t="s">
        <v>3654</v>
      </c>
      <c r="B1288" s="7" t="s">
        <v>7247</v>
      </c>
      <c r="C1288" s="7" t="s">
        <v>8004</v>
      </c>
    </row>
    <row r="1289" customFormat="false" ht="15" hidden="false" customHeight="true" outlineLevel="0" collapsed="false">
      <c r="A1289" s="7" t="s">
        <v>3654</v>
      </c>
      <c r="B1289" s="7" t="s">
        <v>7249</v>
      </c>
      <c r="C1289" s="7" t="s">
        <v>8004</v>
      </c>
    </row>
    <row r="1290" customFormat="false" ht="15" hidden="false" customHeight="true" outlineLevel="0" collapsed="false">
      <c r="A1290" s="7" t="s">
        <v>3654</v>
      </c>
      <c r="B1290" s="7" t="s">
        <v>7248</v>
      </c>
      <c r="C1290" s="7" t="s">
        <v>8004</v>
      </c>
    </row>
    <row r="1291" customFormat="false" ht="15" hidden="false" customHeight="true" outlineLevel="0" collapsed="false">
      <c r="A1291" s="7" t="s">
        <v>3654</v>
      </c>
      <c r="B1291" s="7" t="s">
        <v>8594</v>
      </c>
      <c r="C1291" s="7"/>
    </row>
    <row r="1292" customFormat="false" ht="15" hidden="false" customHeight="true" outlineLevel="0" collapsed="false">
      <c r="A1292" s="7" t="s">
        <v>3654</v>
      </c>
      <c r="B1292" s="7" t="s">
        <v>8595</v>
      </c>
      <c r="C1292" s="7"/>
    </row>
    <row r="1293" customFormat="false" ht="15" hidden="false" customHeight="true" outlineLevel="0" collapsed="false">
      <c r="A1293" s="7" t="s">
        <v>3654</v>
      </c>
      <c r="B1293" s="7" t="s">
        <v>8596</v>
      </c>
      <c r="C1293" s="7"/>
    </row>
    <row r="1294" customFormat="false" ht="15" hidden="false" customHeight="true" outlineLevel="0" collapsed="false">
      <c r="A1294" s="7" t="s">
        <v>3654</v>
      </c>
      <c r="B1294" s="7" t="s">
        <v>7250</v>
      </c>
      <c r="C1294" s="7" t="s">
        <v>8004</v>
      </c>
    </row>
    <row r="1295" customFormat="false" ht="15" hidden="false" customHeight="true" outlineLevel="0" collapsed="false">
      <c r="A1295" s="7" t="s">
        <v>3654</v>
      </c>
      <c r="B1295" s="7" t="s">
        <v>7239</v>
      </c>
      <c r="C1295" s="7" t="s">
        <v>8004</v>
      </c>
    </row>
    <row r="1296" customFormat="false" ht="15" hidden="false" customHeight="true" outlineLevel="0" collapsed="false">
      <c r="A1296" s="7" t="s">
        <v>3654</v>
      </c>
      <c r="B1296" s="7" t="s">
        <v>8597</v>
      </c>
      <c r="C1296" s="7"/>
    </row>
    <row r="1297" customFormat="false" ht="15" hidden="false" customHeight="true" outlineLevel="0" collapsed="false">
      <c r="A1297" s="7" t="s">
        <v>288</v>
      </c>
      <c r="B1297" s="7" t="s">
        <v>288</v>
      </c>
      <c r="C1297" s="7" t="s">
        <v>8004</v>
      </c>
    </row>
    <row r="1298" customFormat="false" ht="15" hidden="false" customHeight="true" outlineLevel="0" collapsed="false">
      <c r="A1298" s="7" t="s">
        <v>288</v>
      </c>
      <c r="B1298" s="7" t="s">
        <v>8598</v>
      </c>
      <c r="C1298" s="7"/>
    </row>
    <row r="1299" customFormat="false" ht="15" hidden="false" customHeight="true" outlineLevel="0" collapsed="false">
      <c r="A1299" s="7" t="s">
        <v>288</v>
      </c>
      <c r="B1299" s="7" t="s">
        <v>6520</v>
      </c>
      <c r="C1299" s="7" t="s">
        <v>8004</v>
      </c>
    </row>
    <row r="1300" customFormat="false" ht="15" hidden="false" customHeight="true" outlineLevel="0" collapsed="false">
      <c r="A1300" s="7" t="s">
        <v>288</v>
      </c>
      <c r="B1300" s="7" t="s">
        <v>8599</v>
      </c>
      <c r="C1300" s="7"/>
    </row>
    <row r="1301" customFormat="false" ht="15" hidden="false" customHeight="true" outlineLevel="0" collapsed="false">
      <c r="A1301" s="7" t="s">
        <v>288</v>
      </c>
      <c r="B1301" s="7" t="s">
        <v>8600</v>
      </c>
      <c r="C1301" s="7"/>
    </row>
    <row r="1302" customFormat="false" ht="15" hidden="false" customHeight="true" outlineLevel="0" collapsed="false">
      <c r="A1302" s="7" t="s">
        <v>288</v>
      </c>
      <c r="B1302" s="7" t="s">
        <v>8601</v>
      </c>
      <c r="C1302" s="7"/>
    </row>
    <row r="1303" customFormat="false" ht="15" hidden="false" customHeight="true" outlineLevel="0" collapsed="false">
      <c r="A1303" s="7" t="s">
        <v>288</v>
      </c>
      <c r="B1303" s="7" t="s">
        <v>8602</v>
      </c>
      <c r="C1303" s="7"/>
    </row>
    <row r="1304" customFormat="false" ht="15" hidden="false" customHeight="true" outlineLevel="0" collapsed="false">
      <c r="A1304" s="7" t="s">
        <v>288</v>
      </c>
      <c r="B1304" s="7" t="s">
        <v>8603</v>
      </c>
      <c r="C1304" s="7"/>
    </row>
    <row r="1305" customFormat="false" ht="15" hidden="false" customHeight="true" outlineLevel="0" collapsed="false">
      <c r="A1305" s="7" t="s">
        <v>288</v>
      </c>
      <c r="B1305" s="7" t="s">
        <v>8604</v>
      </c>
      <c r="C1305" s="7"/>
    </row>
    <row r="1306" customFormat="false" ht="15" hidden="false" customHeight="true" outlineLevel="0" collapsed="false">
      <c r="A1306" s="7" t="s">
        <v>288</v>
      </c>
      <c r="B1306" s="7" t="s">
        <v>8605</v>
      </c>
      <c r="C1306" s="7"/>
    </row>
    <row r="1307" customFormat="false" ht="15" hidden="false" customHeight="true" outlineLevel="0" collapsed="false">
      <c r="A1307" s="7" t="s">
        <v>3575</v>
      </c>
      <c r="B1307" s="7" t="s">
        <v>3575</v>
      </c>
      <c r="C1307" s="7" t="s">
        <v>8004</v>
      </c>
    </row>
    <row r="1308" customFormat="false" ht="15" hidden="false" customHeight="true" outlineLevel="0" collapsed="false">
      <c r="A1308" s="7" t="s">
        <v>3575</v>
      </c>
      <c r="B1308" s="7" t="s">
        <v>8606</v>
      </c>
      <c r="C1308" s="7"/>
    </row>
    <row r="1309" customFormat="false" ht="15" hidden="false" customHeight="true" outlineLevel="0" collapsed="false">
      <c r="A1309" s="7" t="s">
        <v>3575</v>
      </c>
      <c r="B1309" s="7" t="s">
        <v>3579</v>
      </c>
      <c r="C1309" s="7" t="s">
        <v>8004</v>
      </c>
    </row>
    <row r="1310" customFormat="false" ht="15" hidden="false" customHeight="true" outlineLevel="0" collapsed="false">
      <c r="A1310" s="7" t="s">
        <v>3575</v>
      </c>
      <c r="B1310" s="7" t="s">
        <v>8607</v>
      </c>
      <c r="C1310" s="7"/>
    </row>
    <row r="1311" customFormat="false" ht="15" hidden="false" customHeight="true" outlineLevel="0" collapsed="false">
      <c r="A1311" s="7" t="s">
        <v>3575</v>
      </c>
      <c r="B1311" s="7" t="s">
        <v>8608</v>
      </c>
      <c r="C1311" s="7"/>
    </row>
    <row r="1312" customFormat="false" ht="15" hidden="false" customHeight="true" outlineLevel="0" collapsed="false">
      <c r="A1312" s="7" t="s">
        <v>3575</v>
      </c>
      <c r="B1312" s="7" t="s">
        <v>8609</v>
      </c>
      <c r="C1312" s="7"/>
    </row>
    <row r="1313" customFormat="false" ht="15" hidden="false" customHeight="true" outlineLevel="0" collapsed="false">
      <c r="A1313" s="7" t="s">
        <v>3575</v>
      </c>
      <c r="B1313" s="7" t="s">
        <v>7223</v>
      </c>
      <c r="C1313" s="7" t="s">
        <v>8004</v>
      </c>
    </row>
    <row r="1314" customFormat="false" ht="15" hidden="false" customHeight="true" outlineLevel="0" collapsed="false">
      <c r="A1314" s="7" t="s">
        <v>3575</v>
      </c>
      <c r="B1314" s="7" t="s">
        <v>8610</v>
      </c>
      <c r="C1314" s="7"/>
    </row>
    <row r="1315" customFormat="false" ht="15" hidden="false" customHeight="true" outlineLevel="0" collapsed="false">
      <c r="A1315" s="7" t="s">
        <v>3575</v>
      </c>
      <c r="B1315" s="7" t="s">
        <v>8611</v>
      </c>
      <c r="C1315" s="7"/>
    </row>
    <row r="1316" customFormat="false" ht="15" hidden="false" customHeight="true" outlineLevel="0" collapsed="false">
      <c r="A1316" s="7" t="s">
        <v>3575</v>
      </c>
      <c r="B1316" s="7" t="s">
        <v>7224</v>
      </c>
      <c r="C1316" s="7" t="s">
        <v>8004</v>
      </c>
    </row>
    <row r="1317" customFormat="false" ht="15" hidden="false" customHeight="true" outlineLevel="0" collapsed="false">
      <c r="A1317" s="7" t="s">
        <v>3585</v>
      </c>
      <c r="B1317" s="7" t="s">
        <v>3585</v>
      </c>
      <c r="C1317" s="7" t="s">
        <v>8004</v>
      </c>
    </row>
    <row r="1318" customFormat="false" ht="15" hidden="false" customHeight="true" outlineLevel="0" collapsed="false">
      <c r="A1318" s="7" t="s">
        <v>3585</v>
      </c>
      <c r="B1318" s="7" t="s">
        <v>7226</v>
      </c>
      <c r="C1318" s="7" t="s">
        <v>8004</v>
      </c>
    </row>
    <row r="1319" customFormat="false" ht="15" hidden="false" customHeight="true" outlineLevel="0" collapsed="false">
      <c r="A1319" s="7" t="s">
        <v>3585</v>
      </c>
      <c r="B1319" s="7" t="s">
        <v>7225</v>
      </c>
      <c r="C1319" s="7" t="s">
        <v>8004</v>
      </c>
    </row>
    <row r="1320" customFormat="false" ht="15" hidden="false" customHeight="true" outlineLevel="0" collapsed="false">
      <c r="A1320" s="7" t="s">
        <v>3585</v>
      </c>
      <c r="B1320" s="7" t="s">
        <v>8612</v>
      </c>
      <c r="C1320" s="7"/>
    </row>
    <row r="1321" customFormat="false" ht="15" hidden="false" customHeight="true" outlineLevel="0" collapsed="false">
      <c r="A1321" s="7" t="s">
        <v>3585</v>
      </c>
      <c r="B1321" s="7" t="s">
        <v>7237</v>
      </c>
      <c r="C1321" s="7" t="s">
        <v>8004</v>
      </c>
    </row>
    <row r="1322" customFormat="false" ht="15" hidden="false" customHeight="true" outlineLevel="0" collapsed="false">
      <c r="A1322" s="7" t="s">
        <v>3585</v>
      </c>
      <c r="B1322" s="7" t="s">
        <v>3589</v>
      </c>
      <c r="C1322" s="7" t="s">
        <v>8004</v>
      </c>
    </row>
    <row r="1323" customFormat="false" ht="15" hidden="false" customHeight="true" outlineLevel="0" collapsed="false">
      <c r="A1323" s="7" t="s">
        <v>3585</v>
      </c>
      <c r="B1323" s="7" t="s">
        <v>7227</v>
      </c>
      <c r="C1323" s="7" t="s">
        <v>8004</v>
      </c>
    </row>
    <row r="1324" customFormat="false" ht="15" hidden="false" customHeight="true" outlineLevel="0" collapsed="false">
      <c r="A1324" s="7" t="s">
        <v>3585</v>
      </c>
      <c r="B1324" s="7" t="s">
        <v>8613</v>
      </c>
      <c r="C1324" s="7"/>
    </row>
    <row r="1325" customFormat="false" ht="15" hidden="false" customHeight="true" outlineLevel="0" collapsed="false">
      <c r="A1325" s="7" t="s">
        <v>3585</v>
      </c>
      <c r="B1325" s="7" t="s">
        <v>7228</v>
      </c>
      <c r="C1325" s="7" t="s">
        <v>8004</v>
      </c>
    </row>
    <row r="1326" customFormat="false" ht="15" hidden="false" customHeight="true" outlineLevel="0" collapsed="false">
      <c r="A1326" s="7" t="s">
        <v>3585</v>
      </c>
      <c r="B1326" s="7" t="s">
        <v>8614</v>
      </c>
      <c r="C1326" s="7"/>
    </row>
    <row r="1327" customFormat="false" ht="15" hidden="false" customHeight="true" outlineLevel="0" collapsed="false">
      <c r="A1327" s="7" t="s">
        <v>3665</v>
      </c>
      <c r="B1327" s="7" t="s">
        <v>3665</v>
      </c>
      <c r="C1327" s="7" t="s">
        <v>8004</v>
      </c>
    </row>
    <row r="1328" customFormat="false" ht="15" hidden="false" customHeight="true" outlineLevel="0" collapsed="false">
      <c r="A1328" s="7" t="s">
        <v>3665</v>
      </c>
      <c r="B1328" s="7" t="s">
        <v>8615</v>
      </c>
      <c r="C1328" s="7"/>
    </row>
    <row r="1329" customFormat="false" ht="15" hidden="false" customHeight="true" outlineLevel="0" collapsed="false">
      <c r="A1329" s="7" t="s">
        <v>3665</v>
      </c>
      <c r="B1329" s="7" t="s">
        <v>8616</v>
      </c>
      <c r="C1329" s="7"/>
    </row>
    <row r="1330" customFormat="false" ht="15" hidden="false" customHeight="true" outlineLevel="0" collapsed="false">
      <c r="A1330" s="7" t="s">
        <v>3665</v>
      </c>
      <c r="B1330" s="7" t="s">
        <v>7251</v>
      </c>
      <c r="C1330" s="7" t="s">
        <v>8004</v>
      </c>
    </row>
    <row r="1331" customFormat="false" ht="15" hidden="false" customHeight="true" outlineLevel="0" collapsed="false">
      <c r="A1331" s="7" t="s">
        <v>3665</v>
      </c>
      <c r="B1331" s="7" t="s">
        <v>8617</v>
      </c>
      <c r="C1331" s="7"/>
    </row>
    <row r="1332" customFormat="false" ht="15" hidden="false" customHeight="true" outlineLevel="0" collapsed="false">
      <c r="A1332" s="7" t="s">
        <v>3665</v>
      </c>
      <c r="B1332" s="7" t="s">
        <v>8618</v>
      </c>
      <c r="C1332" s="7"/>
    </row>
    <row r="1333" customFormat="false" ht="15" hidden="false" customHeight="true" outlineLevel="0" collapsed="false">
      <c r="A1333" s="7" t="s">
        <v>3665</v>
      </c>
      <c r="B1333" s="7" t="s">
        <v>7255</v>
      </c>
      <c r="C1333" s="7" t="s">
        <v>8004</v>
      </c>
    </row>
    <row r="1334" customFormat="false" ht="15" hidden="false" customHeight="true" outlineLevel="0" collapsed="false">
      <c r="A1334" s="7" t="s">
        <v>3665</v>
      </c>
      <c r="B1334" s="7" t="s">
        <v>7257</v>
      </c>
      <c r="C1334" s="7" t="s">
        <v>8004</v>
      </c>
    </row>
    <row r="1335" customFormat="false" ht="15" hidden="false" customHeight="true" outlineLevel="0" collapsed="false">
      <c r="A1335" s="7" t="s">
        <v>3665</v>
      </c>
      <c r="B1335" s="7" t="s">
        <v>7256</v>
      </c>
      <c r="C1335" s="7" t="s">
        <v>8004</v>
      </c>
    </row>
    <row r="1336" customFormat="false" ht="15" hidden="false" customHeight="true" outlineLevel="0" collapsed="false">
      <c r="A1336" s="7" t="s">
        <v>3665</v>
      </c>
      <c r="B1336" s="7" t="s">
        <v>7229</v>
      </c>
      <c r="C1336" s="7" t="s">
        <v>8004</v>
      </c>
    </row>
    <row r="1337" customFormat="false" ht="15" hidden="false" customHeight="true" outlineLevel="0" collapsed="false">
      <c r="A1337" s="7" t="s">
        <v>3611</v>
      </c>
      <c r="B1337" s="7" t="s">
        <v>3611</v>
      </c>
      <c r="C1337" s="7" t="s">
        <v>8004</v>
      </c>
    </row>
    <row r="1338" customFormat="false" ht="15" hidden="false" customHeight="true" outlineLevel="0" collapsed="false">
      <c r="A1338" s="7" t="s">
        <v>3611</v>
      </c>
      <c r="B1338" s="7" t="s">
        <v>3615</v>
      </c>
      <c r="C1338" s="7" t="s">
        <v>8004</v>
      </c>
    </row>
    <row r="1339" customFormat="false" ht="15" hidden="false" customHeight="true" outlineLevel="0" collapsed="false">
      <c r="A1339" s="7" t="s">
        <v>3611</v>
      </c>
      <c r="B1339" s="7" t="s">
        <v>7230</v>
      </c>
      <c r="C1339" s="7" t="s">
        <v>8004</v>
      </c>
    </row>
    <row r="1340" customFormat="false" ht="15" hidden="false" customHeight="true" outlineLevel="0" collapsed="false">
      <c r="A1340" s="7" t="s">
        <v>3611</v>
      </c>
      <c r="B1340" s="7" t="s">
        <v>8619</v>
      </c>
      <c r="C1340" s="7"/>
    </row>
    <row r="1341" customFormat="false" ht="15" hidden="false" customHeight="true" outlineLevel="0" collapsed="false">
      <c r="A1341" s="7" t="s">
        <v>3611</v>
      </c>
      <c r="B1341" s="7" t="s">
        <v>7254</v>
      </c>
      <c r="C1341" s="7" t="s">
        <v>8004</v>
      </c>
    </row>
    <row r="1342" customFormat="false" ht="15" hidden="false" customHeight="true" outlineLevel="0" collapsed="false">
      <c r="A1342" s="7" t="s">
        <v>3611</v>
      </c>
      <c r="B1342" s="7" t="s">
        <v>8620</v>
      </c>
      <c r="C1342" s="7"/>
    </row>
    <row r="1343" customFormat="false" ht="15" hidden="false" customHeight="true" outlineLevel="0" collapsed="false">
      <c r="A1343" s="7" t="s">
        <v>3611</v>
      </c>
      <c r="B1343" s="7" t="s">
        <v>7252</v>
      </c>
      <c r="C1343" s="7" t="s">
        <v>8004</v>
      </c>
    </row>
    <row r="1344" customFormat="false" ht="15" hidden="false" customHeight="true" outlineLevel="0" collapsed="false">
      <c r="A1344" s="7" t="s">
        <v>3611</v>
      </c>
      <c r="B1344" s="7" t="s">
        <v>7253</v>
      </c>
      <c r="C1344" s="7" t="s">
        <v>8004</v>
      </c>
    </row>
    <row r="1345" customFormat="false" ht="15" hidden="false" customHeight="true" outlineLevel="0" collapsed="false">
      <c r="A1345" s="7" t="s">
        <v>3611</v>
      </c>
      <c r="B1345" s="7" t="s">
        <v>7231</v>
      </c>
      <c r="C1345" s="7" t="s">
        <v>8004</v>
      </c>
    </row>
    <row r="1346" customFormat="false" ht="15" hidden="false" customHeight="true" outlineLevel="0" collapsed="false">
      <c r="A1346" s="7" t="s">
        <v>3611</v>
      </c>
      <c r="B1346" s="7" t="s">
        <v>8621</v>
      </c>
      <c r="C1346" s="7"/>
    </row>
    <row r="1347" customFormat="false" ht="15" hidden="false" customHeight="true" outlineLevel="0" collapsed="false">
      <c r="A1347" s="7" t="s">
        <v>3600</v>
      </c>
      <c r="B1347" s="7" t="s">
        <v>3600</v>
      </c>
      <c r="C1347" s="7" t="s">
        <v>8004</v>
      </c>
    </row>
    <row r="1348" customFormat="false" ht="15" hidden="false" customHeight="true" outlineLevel="0" collapsed="false">
      <c r="A1348" s="7" t="s">
        <v>3600</v>
      </c>
      <c r="B1348" s="7" t="s">
        <v>8622</v>
      </c>
      <c r="C1348" s="7"/>
    </row>
    <row r="1349" customFormat="false" ht="15" hidden="false" customHeight="true" outlineLevel="0" collapsed="false">
      <c r="A1349" s="7" t="s">
        <v>3600</v>
      </c>
      <c r="B1349" s="7" t="s">
        <v>7235</v>
      </c>
      <c r="C1349" s="7" t="s">
        <v>8004</v>
      </c>
    </row>
    <row r="1350" customFormat="false" ht="15" hidden="false" customHeight="true" outlineLevel="0" collapsed="false">
      <c r="A1350" s="7" t="s">
        <v>3600</v>
      </c>
      <c r="B1350" s="7" t="s">
        <v>3604</v>
      </c>
      <c r="C1350" s="7" t="s">
        <v>8004</v>
      </c>
    </row>
    <row r="1351" customFormat="false" ht="15" hidden="false" customHeight="true" outlineLevel="0" collapsed="false">
      <c r="A1351" s="7" t="s">
        <v>3600</v>
      </c>
      <c r="B1351" s="7" t="s">
        <v>8623</v>
      </c>
      <c r="C1351" s="7"/>
    </row>
    <row r="1352" customFormat="false" ht="15" hidden="false" customHeight="true" outlineLevel="0" collapsed="false">
      <c r="A1352" s="7" t="s">
        <v>3600</v>
      </c>
      <c r="B1352" s="7" t="s">
        <v>7233</v>
      </c>
      <c r="C1352" s="7" t="s">
        <v>8004</v>
      </c>
    </row>
    <row r="1353" customFormat="false" ht="15" hidden="false" customHeight="true" outlineLevel="0" collapsed="false">
      <c r="A1353" s="7" t="s">
        <v>3600</v>
      </c>
      <c r="B1353" s="7" t="s">
        <v>8624</v>
      </c>
      <c r="C1353" s="7"/>
    </row>
    <row r="1354" customFormat="false" ht="15" hidden="false" customHeight="true" outlineLevel="0" collapsed="false">
      <c r="A1354" s="7" t="s">
        <v>3600</v>
      </c>
      <c r="B1354" s="7" t="s">
        <v>7236</v>
      </c>
      <c r="C1354" s="7" t="s">
        <v>8004</v>
      </c>
    </row>
    <row r="1355" customFormat="false" ht="15" hidden="false" customHeight="true" outlineLevel="0" collapsed="false">
      <c r="A1355" s="7" t="s">
        <v>3600</v>
      </c>
      <c r="B1355" s="7" t="s">
        <v>7234</v>
      </c>
      <c r="C1355" s="7" t="s">
        <v>8004</v>
      </c>
    </row>
    <row r="1356" customFormat="false" ht="15" hidden="false" customHeight="true" outlineLevel="0" collapsed="false">
      <c r="A1356" s="7" t="s">
        <v>3600</v>
      </c>
      <c r="B1356" s="7" t="s">
        <v>7232</v>
      </c>
      <c r="C1356" s="7" t="s">
        <v>8004</v>
      </c>
    </row>
    <row r="1357" customFormat="false" ht="15" hidden="false" customHeight="true" outlineLevel="0" collapsed="false">
      <c r="A1357" s="7" t="s">
        <v>3796</v>
      </c>
      <c r="B1357" s="7" t="s">
        <v>3796</v>
      </c>
      <c r="C1357" s="7" t="s">
        <v>8004</v>
      </c>
    </row>
    <row r="1358" customFormat="false" ht="15" hidden="false" customHeight="true" outlineLevel="0" collapsed="false">
      <c r="A1358" s="7" t="s">
        <v>3796</v>
      </c>
      <c r="B1358" s="7" t="s">
        <v>8625</v>
      </c>
      <c r="C1358" s="7"/>
    </row>
    <row r="1359" customFormat="false" ht="15" hidden="false" customHeight="true" outlineLevel="0" collapsed="false">
      <c r="A1359" s="7" t="s">
        <v>3796</v>
      </c>
      <c r="B1359" s="7" t="s">
        <v>7262</v>
      </c>
      <c r="C1359" s="7" t="s">
        <v>8004</v>
      </c>
    </row>
    <row r="1360" customFormat="false" ht="15" hidden="false" customHeight="true" outlineLevel="0" collapsed="false">
      <c r="A1360" s="7" t="s">
        <v>3796</v>
      </c>
      <c r="B1360" s="7" t="s">
        <v>7261</v>
      </c>
      <c r="C1360" s="7" t="s">
        <v>8004</v>
      </c>
    </row>
    <row r="1361" customFormat="false" ht="15" hidden="false" customHeight="true" outlineLevel="0" collapsed="false">
      <c r="A1361" s="7" t="s">
        <v>3796</v>
      </c>
      <c r="B1361" s="7" t="s">
        <v>7263</v>
      </c>
      <c r="C1361" s="7" t="s">
        <v>8004</v>
      </c>
    </row>
    <row r="1362" customFormat="false" ht="15" hidden="false" customHeight="true" outlineLevel="0" collapsed="false">
      <c r="A1362" s="7" t="s">
        <v>3796</v>
      </c>
      <c r="B1362" s="7" t="s">
        <v>3799</v>
      </c>
      <c r="C1362" s="7" t="s">
        <v>8004</v>
      </c>
    </row>
    <row r="1363" customFormat="false" ht="15" hidden="false" customHeight="true" outlineLevel="0" collapsed="false">
      <c r="A1363" s="7" t="s">
        <v>3796</v>
      </c>
      <c r="B1363" s="7" t="s">
        <v>8626</v>
      </c>
      <c r="C1363" s="7"/>
    </row>
    <row r="1364" customFormat="false" ht="15" hidden="false" customHeight="true" outlineLevel="0" collapsed="false">
      <c r="A1364" s="7" t="s">
        <v>3796</v>
      </c>
      <c r="B1364" s="7" t="s">
        <v>7260</v>
      </c>
      <c r="C1364" s="7" t="s">
        <v>8004</v>
      </c>
    </row>
    <row r="1365" customFormat="false" ht="15" hidden="false" customHeight="true" outlineLevel="0" collapsed="false">
      <c r="A1365" s="7" t="s">
        <v>3796</v>
      </c>
      <c r="B1365" s="7" t="s">
        <v>3800</v>
      </c>
      <c r="C1365" s="7" t="s">
        <v>8004</v>
      </c>
    </row>
    <row r="1366" customFormat="false" ht="15" hidden="false" customHeight="true" outlineLevel="0" collapsed="false">
      <c r="A1366" s="7" t="s">
        <v>3796</v>
      </c>
      <c r="B1366" s="7" t="s">
        <v>8627</v>
      </c>
      <c r="C1366" s="7"/>
    </row>
    <row r="1367" customFormat="false" ht="15" hidden="false" customHeight="true" outlineLevel="0" collapsed="false">
      <c r="A1367" s="7" t="s">
        <v>3807</v>
      </c>
      <c r="B1367" s="7" t="s">
        <v>3807</v>
      </c>
      <c r="C1367" s="7" t="s">
        <v>8004</v>
      </c>
    </row>
    <row r="1368" customFormat="false" ht="15" hidden="false" customHeight="true" outlineLevel="0" collapsed="false">
      <c r="A1368" s="7" t="s">
        <v>3807</v>
      </c>
      <c r="B1368" s="7" t="s">
        <v>8628</v>
      </c>
      <c r="C1368" s="7"/>
    </row>
    <row r="1369" customFormat="false" ht="15" hidden="false" customHeight="true" outlineLevel="0" collapsed="false">
      <c r="A1369" s="7" t="s">
        <v>3807</v>
      </c>
      <c r="B1369" s="7" t="s">
        <v>8629</v>
      </c>
      <c r="C1369" s="7"/>
    </row>
    <row r="1370" customFormat="false" ht="15" hidden="false" customHeight="true" outlineLevel="0" collapsed="false">
      <c r="A1370" s="7" t="s">
        <v>3807</v>
      </c>
      <c r="B1370" s="7" t="s">
        <v>7266</v>
      </c>
      <c r="C1370" s="7" t="s">
        <v>8004</v>
      </c>
    </row>
    <row r="1371" customFormat="false" ht="15" hidden="false" customHeight="true" outlineLevel="0" collapsed="false">
      <c r="A1371" s="7" t="s">
        <v>3807</v>
      </c>
      <c r="B1371" s="7" t="s">
        <v>3810</v>
      </c>
      <c r="C1371" s="7" t="s">
        <v>8004</v>
      </c>
    </row>
    <row r="1372" customFormat="false" ht="15" hidden="false" customHeight="true" outlineLevel="0" collapsed="false">
      <c r="A1372" s="7" t="s">
        <v>3807</v>
      </c>
      <c r="B1372" s="7" t="s">
        <v>7264</v>
      </c>
      <c r="C1372" s="7" t="s">
        <v>8004</v>
      </c>
    </row>
    <row r="1373" customFormat="false" ht="15" hidden="false" customHeight="true" outlineLevel="0" collapsed="false">
      <c r="A1373" s="7" t="s">
        <v>3807</v>
      </c>
      <c r="B1373" s="7" t="s">
        <v>7265</v>
      </c>
      <c r="C1373" s="7" t="s">
        <v>8004</v>
      </c>
    </row>
    <row r="1374" customFormat="false" ht="15" hidden="false" customHeight="true" outlineLevel="0" collapsed="false">
      <c r="A1374" s="7" t="s">
        <v>3807</v>
      </c>
      <c r="B1374" s="7" t="s">
        <v>8630</v>
      </c>
      <c r="C1374" s="7"/>
    </row>
    <row r="1375" customFormat="false" ht="15" hidden="false" customHeight="true" outlineLevel="0" collapsed="false">
      <c r="A1375" s="7" t="s">
        <v>3807</v>
      </c>
      <c r="B1375" s="7" t="s">
        <v>8631</v>
      </c>
      <c r="C1375" s="7"/>
    </row>
    <row r="1376" customFormat="false" ht="15" hidden="false" customHeight="true" outlineLevel="0" collapsed="false">
      <c r="A1376" s="7" t="s">
        <v>3807</v>
      </c>
      <c r="B1376" s="7" t="s">
        <v>7267</v>
      </c>
      <c r="C1376" s="7" t="s">
        <v>8004</v>
      </c>
    </row>
    <row r="1377" customFormat="false" ht="15" hidden="false" customHeight="true" outlineLevel="0" collapsed="false">
      <c r="A1377" s="7" t="s">
        <v>3819</v>
      </c>
      <c r="B1377" s="7" t="s">
        <v>7271</v>
      </c>
      <c r="C1377" s="7" t="s">
        <v>8004</v>
      </c>
    </row>
    <row r="1378" customFormat="false" ht="15" hidden="false" customHeight="true" outlineLevel="0" collapsed="false">
      <c r="A1378" s="7" t="s">
        <v>3819</v>
      </c>
      <c r="B1378" s="7" t="s">
        <v>7270</v>
      </c>
      <c r="C1378" s="7" t="s">
        <v>8004</v>
      </c>
    </row>
    <row r="1379" customFormat="false" ht="15" hidden="false" customHeight="true" outlineLevel="0" collapsed="false">
      <c r="A1379" s="7" t="s">
        <v>3819</v>
      </c>
      <c r="B1379" s="7" t="s">
        <v>8632</v>
      </c>
      <c r="C1379" s="7"/>
    </row>
    <row r="1380" customFormat="false" ht="15" hidden="false" customHeight="true" outlineLevel="0" collapsed="false">
      <c r="A1380" s="7" t="s">
        <v>3819</v>
      </c>
      <c r="B1380" s="7" t="s">
        <v>7272</v>
      </c>
      <c r="C1380" s="7" t="s">
        <v>8004</v>
      </c>
    </row>
    <row r="1381" customFormat="false" ht="15" hidden="false" customHeight="true" outlineLevel="0" collapsed="false">
      <c r="A1381" s="7" t="s">
        <v>3819</v>
      </c>
      <c r="B1381" s="7" t="s">
        <v>3822</v>
      </c>
      <c r="C1381" s="7" t="s">
        <v>8004</v>
      </c>
    </row>
    <row r="1382" customFormat="false" ht="15" hidden="false" customHeight="true" outlineLevel="0" collapsed="false">
      <c r="A1382" s="7" t="s">
        <v>3819</v>
      </c>
      <c r="B1382" s="7" t="s">
        <v>7268</v>
      </c>
      <c r="C1382" s="7" t="s">
        <v>8004</v>
      </c>
    </row>
    <row r="1383" customFormat="false" ht="15" hidden="false" customHeight="true" outlineLevel="0" collapsed="false">
      <c r="A1383" s="7" t="s">
        <v>3819</v>
      </c>
      <c r="B1383" s="7" t="s">
        <v>7269</v>
      </c>
      <c r="C1383" s="7" t="s">
        <v>8004</v>
      </c>
    </row>
    <row r="1384" customFormat="false" ht="15" hidden="false" customHeight="true" outlineLevel="0" collapsed="false">
      <c r="A1384" s="7" t="s">
        <v>3819</v>
      </c>
      <c r="B1384" s="7" t="s">
        <v>8633</v>
      </c>
      <c r="C1384" s="7"/>
    </row>
    <row r="1385" customFormat="false" ht="15" hidden="false" customHeight="true" outlineLevel="0" collapsed="false">
      <c r="A1385" s="7" t="s">
        <v>3819</v>
      </c>
      <c r="B1385" s="7" t="s">
        <v>8634</v>
      </c>
      <c r="C1385" s="7"/>
    </row>
    <row r="1386" customFormat="false" ht="15" hidden="false" customHeight="true" outlineLevel="0" collapsed="false">
      <c r="A1386" s="7" t="s">
        <v>3819</v>
      </c>
      <c r="B1386" s="7" t="s">
        <v>8635</v>
      </c>
      <c r="C1386" s="7"/>
    </row>
    <row r="1387" customFormat="false" ht="15" hidden="false" customHeight="true" outlineLevel="0" collapsed="false">
      <c r="A1387" s="7" t="s">
        <v>3830</v>
      </c>
      <c r="B1387" s="7" t="s">
        <v>3830</v>
      </c>
      <c r="C1387" s="7" t="s">
        <v>8004</v>
      </c>
    </row>
    <row r="1388" customFormat="false" ht="15" hidden="false" customHeight="true" outlineLevel="0" collapsed="false">
      <c r="A1388" s="7" t="s">
        <v>3830</v>
      </c>
      <c r="B1388" s="7" t="s">
        <v>8636</v>
      </c>
      <c r="C1388" s="7"/>
    </row>
    <row r="1389" customFormat="false" ht="15" hidden="false" customHeight="true" outlineLevel="0" collapsed="false">
      <c r="A1389" s="7" t="s">
        <v>3830</v>
      </c>
      <c r="B1389" s="7" t="s">
        <v>7276</v>
      </c>
      <c r="C1389" s="7" t="s">
        <v>8004</v>
      </c>
    </row>
    <row r="1390" customFormat="false" ht="15" hidden="false" customHeight="true" outlineLevel="0" collapsed="false">
      <c r="A1390" s="7" t="s">
        <v>3830</v>
      </c>
      <c r="B1390" s="7" t="s">
        <v>7277</v>
      </c>
      <c r="C1390" s="7" t="s">
        <v>8004</v>
      </c>
    </row>
    <row r="1391" customFormat="false" ht="15" hidden="false" customHeight="true" outlineLevel="0" collapsed="false">
      <c r="A1391" s="7" t="s">
        <v>3830</v>
      </c>
      <c r="B1391" s="7" t="s">
        <v>3834</v>
      </c>
      <c r="C1391" s="7" t="s">
        <v>8004</v>
      </c>
    </row>
    <row r="1392" customFormat="false" ht="15" hidden="false" customHeight="true" outlineLevel="0" collapsed="false">
      <c r="A1392" s="7" t="s">
        <v>3830</v>
      </c>
      <c r="B1392" s="7" t="s">
        <v>7273</v>
      </c>
      <c r="C1392" s="7" t="s">
        <v>8004</v>
      </c>
    </row>
    <row r="1393" customFormat="false" ht="15" hidden="false" customHeight="true" outlineLevel="0" collapsed="false">
      <c r="A1393" s="7" t="s">
        <v>3830</v>
      </c>
      <c r="B1393" s="7" t="s">
        <v>7275</v>
      </c>
      <c r="C1393" s="7" t="s">
        <v>8004</v>
      </c>
    </row>
    <row r="1394" customFormat="false" ht="15" hidden="false" customHeight="true" outlineLevel="0" collapsed="false">
      <c r="A1394" s="7" t="s">
        <v>3830</v>
      </c>
      <c r="B1394" s="7" t="s">
        <v>7274</v>
      </c>
      <c r="C1394" s="7" t="s">
        <v>8004</v>
      </c>
    </row>
    <row r="1395" customFormat="false" ht="15" hidden="false" customHeight="true" outlineLevel="0" collapsed="false">
      <c r="A1395" s="7" t="s">
        <v>3830</v>
      </c>
      <c r="B1395" s="7" t="s">
        <v>8637</v>
      </c>
      <c r="C1395" s="7"/>
    </row>
    <row r="1396" customFormat="false" ht="15" hidden="false" customHeight="true" outlineLevel="0" collapsed="false">
      <c r="A1396" s="7" t="s">
        <v>3830</v>
      </c>
      <c r="B1396" s="7" t="s">
        <v>3833</v>
      </c>
      <c r="C1396" s="7" t="s">
        <v>8004</v>
      </c>
    </row>
    <row r="1397" customFormat="false" ht="15" hidden="false" customHeight="true" outlineLevel="0" collapsed="false">
      <c r="A1397" s="7" t="s">
        <v>283</v>
      </c>
      <c r="B1397" s="7" t="s">
        <v>283</v>
      </c>
      <c r="C1397" s="7" t="s">
        <v>8004</v>
      </c>
    </row>
    <row r="1398" customFormat="false" ht="15" hidden="false" customHeight="true" outlineLevel="0" collapsed="false">
      <c r="A1398" s="7" t="s">
        <v>283</v>
      </c>
      <c r="B1398" s="7" t="s">
        <v>8638</v>
      </c>
      <c r="C1398" s="7"/>
    </row>
    <row r="1399" customFormat="false" ht="15" hidden="false" customHeight="true" outlineLevel="0" collapsed="false">
      <c r="A1399" s="7" t="s">
        <v>283</v>
      </c>
      <c r="B1399" s="7" t="s">
        <v>8639</v>
      </c>
      <c r="C1399" s="7"/>
    </row>
    <row r="1400" customFormat="false" ht="15" hidden="false" customHeight="true" outlineLevel="0" collapsed="false">
      <c r="A1400" s="7" t="s">
        <v>283</v>
      </c>
      <c r="B1400" s="7" t="s">
        <v>8640</v>
      </c>
      <c r="C1400" s="7"/>
    </row>
    <row r="1401" customFormat="false" ht="15" hidden="false" customHeight="true" outlineLevel="0" collapsed="false">
      <c r="A1401" s="7" t="s">
        <v>283</v>
      </c>
      <c r="B1401" s="7" t="s">
        <v>8641</v>
      </c>
      <c r="C1401" s="7"/>
    </row>
    <row r="1402" customFormat="false" ht="15" hidden="false" customHeight="true" outlineLevel="0" collapsed="false">
      <c r="A1402" s="7" t="s">
        <v>283</v>
      </c>
      <c r="B1402" s="7" t="s">
        <v>8642</v>
      </c>
      <c r="C1402" s="7"/>
    </row>
    <row r="1403" customFormat="false" ht="15" hidden="false" customHeight="true" outlineLevel="0" collapsed="false">
      <c r="A1403" s="7" t="s">
        <v>283</v>
      </c>
      <c r="B1403" s="7" t="s">
        <v>8643</v>
      </c>
      <c r="C1403" s="7"/>
    </row>
    <row r="1404" customFormat="false" ht="15" hidden="false" customHeight="true" outlineLevel="0" collapsed="false">
      <c r="A1404" s="7" t="s">
        <v>283</v>
      </c>
      <c r="B1404" s="7" t="s">
        <v>8644</v>
      </c>
      <c r="C1404" s="7"/>
    </row>
    <row r="1405" customFormat="false" ht="15" hidden="false" customHeight="true" outlineLevel="0" collapsed="false">
      <c r="A1405" s="7" t="s">
        <v>283</v>
      </c>
      <c r="B1405" s="7" t="s">
        <v>8645</v>
      </c>
      <c r="C1405" s="7"/>
    </row>
    <row r="1406" customFormat="false" ht="15" hidden="false" customHeight="true" outlineLevel="0" collapsed="false">
      <c r="A1406" s="7" t="s">
        <v>283</v>
      </c>
      <c r="B1406" s="7" t="s">
        <v>8646</v>
      </c>
      <c r="C1406" s="7"/>
    </row>
    <row r="1407" customFormat="false" ht="15" hidden="false" customHeight="true" outlineLevel="0" collapsed="false">
      <c r="A1407" s="7" t="s">
        <v>3681</v>
      </c>
      <c r="B1407" s="7" t="s">
        <v>3681</v>
      </c>
      <c r="C1407" s="7" t="s">
        <v>8004</v>
      </c>
    </row>
    <row r="1408" customFormat="false" ht="15" hidden="false" customHeight="true" outlineLevel="0" collapsed="false">
      <c r="A1408" s="7" t="s">
        <v>3681</v>
      </c>
      <c r="B1408" s="7" t="s">
        <v>8647</v>
      </c>
      <c r="C1408" s="7"/>
    </row>
    <row r="1409" customFormat="false" ht="15" hidden="false" customHeight="true" outlineLevel="0" collapsed="false">
      <c r="A1409" s="7" t="s">
        <v>3681</v>
      </c>
      <c r="B1409" s="7" t="s">
        <v>7284</v>
      </c>
      <c r="C1409" s="7" t="s">
        <v>8004</v>
      </c>
    </row>
    <row r="1410" customFormat="false" ht="15" hidden="false" customHeight="true" outlineLevel="0" collapsed="false">
      <c r="A1410" s="7" t="s">
        <v>3681</v>
      </c>
      <c r="B1410" s="7" t="s">
        <v>7285</v>
      </c>
      <c r="C1410" s="7" t="s">
        <v>8004</v>
      </c>
    </row>
    <row r="1411" customFormat="false" ht="15" hidden="false" customHeight="true" outlineLevel="0" collapsed="false">
      <c r="A1411" s="7" t="s">
        <v>3681</v>
      </c>
      <c r="B1411" s="7" t="s">
        <v>7286</v>
      </c>
      <c r="C1411" s="7" t="s">
        <v>8004</v>
      </c>
    </row>
    <row r="1412" customFormat="false" ht="15" hidden="false" customHeight="true" outlineLevel="0" collapsed="false">
      <c r="A1412" s="7" t="s">
        <v>3681</v>
      </c>
      <c r="B1412" s="7" t="s">
        <v>3685</v>
      </c>
      <c r="C1412" s="7" t="s">
        <v>8004</v>
      </c>
    </row>
    <row r="1413" customFormat="false" ht="15" hidden="false" customHeight="true" outlineLevel="0" collapsed="false">
      <c r="A1413" s="7" t="s">
        <v>3681</v>
      </c>
      <c r="B1413" s="7" t="s">
        <v>7282</v>
      </c>
      <c r="C1413" s="7" t="s">
        <v>8004</v>
      </c>
    </row>
    <row r="1414" customFormat="false" ht="15" hidden="false" customHeight="true" outlineLevel="0" collapsed="false">
      <c r="A1414" s="7" t="s">
        <v>3681</v>
      </c>
      <c r="B1414" s="7" t="s">
        <v>7283</v>
      </c>
      <c r="C1414" s="7" t="s">
        <v>8004</v>
      </c>
    </row>
    <row r="1415" customFormat="false" ht="15" hidden="false" customHeight="true" outlineLevel="0" collapsed="false">
      <c r="A1415" s="7" t="s">
        <v>3681</v>
      </c>
      <c r="B1415" s="7" t="s">
        <v>8648</v>
      </c>
      <c r="C1415" s="7"/>
    </row>
    <row r="1416" customFormat="false" ht="15" hidden="false" customHeight="true" outlineLevel="0" collapsed="false">
      <c r="A1416" s="7" t="s">
        <v>3681</v>
      </c>
      <c r="B1416" s="7" t="s">
        <v>8649</v>
      </c>
      <c r="C1416" s="7"/>
    </row>
    <row r="1417" customFormat="false" ht="15" hidden="false" customHeight="true" outlineLevel="0" collapsed="false">
      <c r="A1417" s="7" t="s">
        <v>3694</v>
      </c>
      <c r="B1417" s="7" t="s">
        <v>3694</v>
      </c>
      <c r="C1417" s="7" t="s">
        <v>8004</v>
      </c>
    </row>
    <row r="1418" customFormat="false" ht="15" hidden="false" customHeight="true" outlineLevel="0" collapsed="false">
      <c r="A1418" s="7" t="s">
        <v>3694</v>
      </c>
      <c r="B1418" s="7" t="s">
        <v>3698</v>
      </c>
      <c r="C1418" s="7" t="s">
        <v>8004</v>
      </c>
    </row>
    <row r="1419" customFormat="false" ht="15" hidden="false" customHeight="true" outlineLevel="0" collapsed="false">
      <c r="A1419" s="7" t="s">
        <v>3694</v>
      </c>
      <c r="B1419" s="7" t="s">
        <v>8650</v>
      </c>
      <c r="C1419" s="7"/>
    </row>
    <row r="1420" customFormat="false" ht="15" hidden="false" customHeight="true" outlineLevel="0" collapsed="false">
      <c r="A1420" s="7" t="s">
        <v>3694</v>
      </c>
      <c r="B1420" s="7" t="s">
        <v>7289</v>
      </c>
      <c r="C1420" s="7" t="s">
        <v>8004</v>
      </c>
    </row>
    <row r="1421" customFormat="false" ht="15" hidden="false" customHeight="true" outlineLevel="0" collapsed="false">
      <c r="A1421" s="7" t="s">
        <v>3694</v>
      </c>
      <c r="B1421" s="7" t="s">
        <v>7288</v>
      </c>
      <c r="C1421" s="7" t="s">
        <v>8004</v>
      </c>
    </row>
    <row r="1422" customFormat="false" ht="15" hidden="false" customHeight="true" outlineLevel="0" collapsed="false">
      <c r="A1422" s="7" t="s">
        <v>3694</v>
      </c>
      <c r="B1422" s="7" t="s">
        <v>8651</v>
      </c>
      <c r="C1422" s="7"/>
    </row>
    <row r="1423" customFormat="false" ht="15" hidden="false" customHeight="true" outlineLevel="0" collapsed="false">
      <c r="A1423" s="7" t="s">
        <v>3694</v>
      </c>
      <c r="B1423" s="7" t="s">
        <v>7287</v>
      </c>
      <c r="C1423" s="7" t="s">
        <v>8004</v>
      </c>
    </row>
    <row r="1424" customFormat="false" ht="15" hidden="false" customHeight="true" outlineLevel="0" collapsed="false">
      <c r="A1424" s="7" t="s">
        <v>3694</v>
      </c>
      <c r="B1424" s="7" t="s">
        <v>8652</v>
      </c>
      <c r="C1424" s="7"/>
    </row>
    <row r="1425" customFormat="false" ht="15" hidden="false" customHeight="true" outlineLevel="0" collapsed="false">
      <c r="A1425" s="7" t="s">
        <v>3694</v>
      </c>
      <c r="B1425" s="7" t="s">
        <v>7278</v>
      </c>
      <c r="C1425" s="7" t="s">
        <v>8004</v>
      </c>
    </row>
    <row r="1426" customFormat="false" ht="15" hidden="false" customHeight="true" outlineLevel="0" collapsed="false">
      <c r="A1426" s="7" t="s">
        <v>3694</v>
      </c>
      <c r="B1426" s="7" t="s">
        <v>8653</v>
      </c>
      <c r="C1426" s="7"/>
    </row>
    <row r="1427" customFormat="false" ht="15" hidden="false" customHeight="true" outlineLevel="0" collapsed="false">
      <c r="A1427" s="7" t="s">
        <v>3706</v>
      </c>
      <c r="B1427" s="7" t="s">
        <v>3706</v>
      </c>
      <c r="C1427" s="7" t="s">
        <v>8004</v>
      </c>
    </row>
    <row r="1428" customFormat="false" ht="15" hidden="false" customHeight="true" outlineLevel="0" collapsed="false">
      <c r="A1428" s="7" t="s">
        <v>3706</v>
      </c>
      <c r="B1428" s="7" t="s">
        <v>8654</v>
      </c>
      <c r="C1428" s="7"/>
    </row>
    <row r="1429" customFormat="false" ht="15" hidden="false" customHeight="true" outlineLevel="0" collapsed="false">
      <c r="A1429" s="7" t="s">
        <v>3706</v>
      </c>
      <c r="B1429" s="7" t="s">
        <v>3710</v>
      </c>
      <c r="C1429" s="7" t="s">
        <v>8004</v>
      </c>
    </row>
    <row r="1430" customFormat="false" ht="15" hidden="false" customHeight="true" outlineLevel="0" collapsed="false">
      <c r="A1430" s="7" t="s">
        <v>3706</v>
      </c>
      <c r="B1430" s="7" t="s">
        <v>7290</v>
      </c>
      <c r="C1430" s="7" t="s">
        <v>8004</v>
      </c>
    </row>
    <row r="1431" customFormat="false" ht="15" hidden="false" customHeight="true" outlineLevel="0" collapsed="false">
      <c r="A1431" s="7" t="s">
        <v>3706</v>
      </c>
      <c r="B1431" s="7" t="s">
        <v>8655</v>
      </c>
      <c r="C1431" s="7"/>
    </row>
    <row r="1432" customFormat="false" ht="15" hidden="false" customHeight="true" outlineLevel="0" collapsed="false">
      <c r="A1432" s="7" t="s">
        <v>3706</v>
      </c>
      <c r="B1432" s="7" t="s">
        <v>8656</v>
      </c>
      <c r="C1432" s="7"/>
    </row>
    <row r="1433" customFormat="false" ht="15" hidden="false" customHeight="true" outlineLevel="0" collapsed="false">
      <c r="A1433" s="7" t="s">
        <v>3706</v>
      </c>
      <c r="B1433" s="7" t="s">
        <v>7279</v>
      </c>
      <c r="C1433" s="7" t="s">
        <v>8004</v>
      </c>
    </row>
    <row r="1434" customFormat="false" ht="15" hidden="false" customHeight="true" outlineLevel="0" collapsed="false">
      <c r="A1434" s="7" t="s">
        <v>3706</v>
      </c>
      <c r="B1434" s="7" t="s">
        <v>7280</v>
      </c>
      <c r="C1434" s="7" t="s">
        <v>8004</v>
      </c>
    </row>
    <row r="1435" customFormat="false" ht="15" hidden="false" customHeight="true" outlineLevel="0" collapsed="false">
      <c r="A1435" s="7" t="s">
        <v>3706</v>
      </c>
      <c r="B1435" s="7" t="s">
        <v>8657</v>
      </c>
      <c r="C1435" s="7"/>
    </row>
    <row r="1436" customFormat="false" ht="15" hidden="false" customHeight="true" outlineLevel="0" collapsed="false">
      <c r="A1436" s="7" t="s">
        <v>3706</v>
      </c>
      <c r="B1436" s="7" t="s">
        <v>7258</v>
      </c>
      <c r="C1436" s="7" t="s">
        <v>8004</v>
      </c>
    </row>
    <row r="1437" customFormat="false" ht="15" hidden="false" customHeight="true" outlineLevel="0" collapsed="false">
      <c r="A1437" s="7" t="s">
        <v>3717</v>
      </c>
      <c r="B1437" s="7" t="s">
        <v>3717</v>
      </c>
      <c r="C1437" s="7" t="s">
        <v>8004</v>
      </c>
    </row>
    <row r="1438" customFormat="false" ht="15" hidden="false" customHeight="true" outlineLevel="0" collapsed="false">
      <c r="A1438" s="7" t="s">
        <v>3717</v>
      </c>
      <c r="B1438" s="7" t="s">
        <v>3721</v>
      </c>
      <c r="C1438" s="7" t="s">
        <v>8004</v>
      </c>
    </row>
    <row r="1439" customFormat="false" ht="15" hidden="false" customHeight="true" outlineLevel="0" collapsed="false">
      <c r="A1439" s="7" t="s">
        <v>3717</v>
      </c>
      <c r="B1439" s="7" t="s">
        <v>8658</v>
      </c>
      <c r="C1439" s="7"/>
    </row>
    <row r="1440" customFormat="false" ht="15" hidden="false" customHeight="true" outlineLevel="0" collapsed="false">
      <c r="A1440" s="7" t="s">
        <v>3717</v>
      </c>
      <c r="B1440" s="7" t="s">
        <v>7293</v>
      </c>
      <c r="C1440" s="7" t="s">
        <v>8004</v>
      </c>
    </row>
    <row r="1441" customFormat="false" ht="15" hidden="false" customHeight="true" outlineLevel="0" collapsed="false">
      <c r="A1441" s="7" t="s">
        <v>3717</v>
      </c>
      <c r="B1441" s="7" t="s">
        <v>7292</v>
      </c>
      <c r="C1441" s="7" t="s">
        <v>8004</v>
      </c>
    </row>
    <row r="1442" customFormat="false" ht="15" hidden="false" customHeight="true" outlineLevel="0" collapsed="false">
      <c r="A1442" s="7" t="s">
        <v>3717</v>
      </c>
      <c r="B1442" s="7" t="s">
        <v>7291</v>
      </c>
      <c r="C1442" s="7" t="s">
        <v>8004</v>
      </c>
    </row>
    <row r="1443" customFormat="false" ht="15" hidden="false" customHeight="true" outlineLevel="0" collapsed="false">
      <c r="A1443" s="7" t="s">
        <v>3717</v>
      </c>
      <c r="B1443" s="7" t="s">
        <v>8659</v>
      </c>
      <c r="C1443" s="7"/>
    </row>
    <row r="1444" customFormat="false" ht="15" hidden="false" customHeight="true" outlineLevel="0" collapsed="false">
      <c r="A1444" s="7" t="s">
        <v>3717</v>
      </c>
      <c r="B1444" s="7" t="s">
        <v>7281</v>
      </c>
      <c r="C1444" s="7" t="s">
        <v>8004</v>
      </c>
    </row>
    <row r="1445" customFormat="false" ht="15" hidden="false" customHeight="true" outlineLevel="0" collapsed="false">
      <c r="A1445" s="7" t="s">
        <v>3717</v>
      </c>
      <c r="B1445" s="7" t="s">
        <v>8660</v>
      </c>
      <c r="C1445" s="7"/>
    </row>
    <row r="1446" customFormat="false" ht="15" hidden="false" customHeight="true" outlineLevel="0" collapsed="false">
      <c r="A1446" s="7" t="s">
        <v>3717</v>
      </c>
      <c r="B1446" s="7" t="s">
        <v>7259</v>
      </c>
      <c r="C1446" s="7" t="s">
        <v>8004</v>
      </c>
    </row>
    <row r="1447" customFormat="false" ht="15" hidden="false" customHeight="true" outlineLevel="0" collapsed="false">
      <c r="A1447" s="7" t="s">
        <v>3728</v>
      </c>
      <c r="B1447" s="7" t="s">
        <v>3728</v>
      </c>
      <c r="C1447" s="7" t="s">
        <v>8004</v>
      </c>
    </row>
    <row r="1448" customFormat="false" ht="15" hidden="false" customHeight="true" outlineLevel="0" collapsed="false">
      <c r="A1448" s="7" t="s">
        <v>3728</v>
      </c>
      <c r="B1448" s="7" t="s">
        <v>3732</v>
      </c>
      <c r="C1448" s="7" t="s">
        <v>8004</v>
      </c>
    </row>
    <row r="1449" customFormat="false" ht="15" hidden="false" customHeight="true" outlineLevel="0" collapsed="false">
      <c r="A1449" s="7" t="s">
        <v>3728</v>
      </c>
      <c r="B1449" s="7" t="s">
        <v>7294</v>
      </c>
      <c r="C1449" s="7" t="s">
        <v>8004</v>
      </c>
    </row>
    <row r="1450" customFormat="false" ht="15" hidden="false" customHeight="true" outlineLevel="0" collapsed="false">
      <c r="A1450" s="7" t="s">
        <v>3728</v>
      </c>
      <c r="B1450" s="7" t="s">
        <v>8661</v>
      </c>
      <c r="C1450" s="7"/>
    </row>
    <row r="1451" customFormat="false" ht="15" hidden="false" customHeight="true" outlineLevel="0" collapsed="false">
      <c r="A1451" s="7" t="s">
        <v>3728</v>
      </c>
      <c r="B1451" s="7" t="s">
        <v>8662</v>
      </c>
      <c r="C1451" s="7"/>
    </row>
    <row r="1452" customFormat="false" ht="15" hidden="false" customHeight="true" outlineLevel="0" collapsed="false">
      <c r="A1452" s="7" t="s">
        <v>3728</v>
      </c>
      <c r="B1452" s="7" t="s">
        <v>7295</v>
      </c>
      <c r="C1452" s="7" t="s">
        <v>8004</v>
      </c>
    </row>
    <row r="1453" customFormat="false" ht="15" hidden="false" customHeight="true" outlineLevel="0" collapsed="false">
      <c r="A1453" s="7" t="s">
        <v>3728</v>
      </c>
      <c r="B1453" s="7" t="s">
        <v>8663</v>
      </c>
      <c r="C1453" s="7"/>
    </row>
    <row r="1454" customFormat="false" ht="15" hidden="false" customHeight="true" outlineLevel="0" collapsed="false">
      <c r="A1454" s="7" t="s">
        <v>3728</v>
      </c>
      <c r="B1454" s="7" t="s">
        <v>7311</v>
      </c>
      <c r="C1454" s="7" t="s">
        <v>8004</v>
      </c>
    </row>
    <row r="1455" customFormat="false" ht="15" hidden="false" customHeight="true" outlineLevel="0" collapsed="false">
      <c r="A1455" s="7" t="s">
        <v>3728</v>
      </c>
      <c r="B1455" s="7" t="s">
        <v>7307</v>
      </c>
      <c r="C1455" s="7" t="s">
        <v>8004</v>
      </c>
    </row>
    <row r="1456" customFormat="false" ht="15" hidden="false" customHeight="true" outlineLevel="0" collapsed="false">
      <c r="A1456" s="7" t="s">
        <v>3728</v>
      </c>
      <c r="B1456" s="7" t="s">
        <v>8664</v>
      </c>
      <c r="C1456" s="7"/>
    </row>
    <row r="1457" customFormat="false" ht="15" hidden="false" customHeight="true" outlineLevel="0" collapsed="false">
      <c r="A1457" s="7" t="s">
        <v>3740</v>
      </c>
      <c r="B1457" s="7" t="s">
        <v>3740</v>
      </c>
      <c r="C1457" s="7" t="s">
        <v>8004</v>
      </c>
    </row>
    <row r="1458" customFormat="false" ht="15" hidden="false" customHeight="true" outlineLevel="0" collapsed="false">
      <c r="A1458" s="7" t="s">
        <v>3740</v>
      </c>
      <c r="B1458" s="7" t="s">
        <v>3744</v>
      </c>
      <c r="C1458" s="7" t="s">
        <v>8004</v>
      </c>
    </row>
    <row r="1459" customFormat="false" ht="15" hidden="false" customHeight="true" outlineLevel="0" collapsed="false">
      <c r="A1459" s="7" t="s">
        <v>3740</v>
      </c>
      <c r="B1459" s="7" t="s">
        <v>7297</v>
      </c>
      <c r="C1459" s="7" t="s">
        <v>8004</v>
      </c>
    </row>
    <row r="1460" customFormat="false" ht="15" hidden="false" customHeight="true" outlineLevel="0" collapsed="false">
      <c r="A1460" s="7" t="s">
        <v>3740</v>
      </c>
      <c r="B1460" s="7" t="s">
        <v>7300</v>
      </c>
      <c r="C1460" s="7" t="s">
        <v>8004</v>
      </c>
    </row>
    <row r="1461" customFormat="false" ht="15" hidden="false" customHeight="true" outlineLevel="0" collapsed="false">
      <c r="A1461" s="7" t="s">
        <v>3740</v>
      </c>
      <c r="B1461" s="7" t="s">
        <v>7299</v>
      </c>
      <c r="C1461" s="7" t="s">
        <v>8004</v>
      </c>
    </row>
    <row r="1462" customFormat="false" ht="15" hidden="false" customHeight="true" outlineLevel="0" collapsed="false">
      <c r="A1462" s="7" t="s">
        <v>3740</v>
      </c>
      <c r="B1462" s="7" t="s">
        <v>8665</v>
      </c>
      <c r="C1462" s="7"/>
    </row>
    <row r="1463" customFormat="false" ht="15" hidden="false" customHeight="true" outlineLevel="0" collapsed="false">
      <c r="A1463" s="7" t="s">
        <v>3740</v>
      </c>
      <c r="B1463" s="7" t="s">
        <v>7298</v>
      </c>
      <c r="C1463" s="7" t="s">
        <v>8004</v>
      </c>
    </row>
    <row r="1464" customFormat="false" ht="15" hidden="false" customHeight="true" outlineLevel="0" collapsed="false">
      <c r="A1464" s="7" t="s">
        <v>3740</v>
      </c>
      <c r="B1464" s="7" t="s">
        <v>7296</v>
      </c>
      <c r="C1464" s="7" t="s">
        <v>8004</v>
      </c>
    </row>
    <row r="1465" customFormat="false" ht="15" hidden="false" customHeight="true" outlineLevel="0" collapsed="false">
      <c r="A1465" s="7" t="s">
        <v>3740</v>
      </c>
      <c r="B1465" s="7" t="s">
        <v>8666</v>
      </c>
      <c r="C1465" s="7"/>
    </row>
    <row r="1466" customFormat="false" ht="15" hidden="false" customHeight="true" outlineLevel="0" collapsed="false">
      <c r="A1466" s="7" t="s">
        <v>3740</v>
      </c>
      <c r="B1466" s="7" t="s">
        <v>8667</v>
      </c>
      <c r="C1466" s="7"/>
    </row>
    <row r="1467" customFormat="false" ht="15" hidden="false" customHeight="true" outlineLevel="0" collapsed="false">
      <c r="A1467" s="7" t="s">
        <v>3751</v>
      </c>
      <c r="B1467" s="7" t="s">
        <v>3751</v>
      </c>
      <c r="C1467" s="7" t="s">
        <v>8004</v>
      </c>
    </row>
    <row r="1468" customFormat="false" ht="15" hidden="false" customHeight="true" outlineLevel="0" collapsed="false">
      <c r="A1468" s="7" t="s">
        <v>3751</v>
      </c>
      <c r="B1468" s="7" t="s">
        <v>8668</v>
      </c>
      <c r="C1468" s="7"/>
    </row>
    <row r="1469" customFormat="false" ht="15" hidden="false" customHeight="true" outlineLevel="0" collapsed="false">
      <c r="A1469" s="7" t="s">
        <v>3751</v>
      </c>
      <c r="B1469" s="7" t="s">
        <v>3755</v>
      </c>
      <c r="C1469" s="7" t="s">
        <v>8004</v>
      </c>
    </row>
    <row r="1470" customFormat="false" ht="15" hidden="false" customHeight="true" outlineLevel="0" collapsed="false">
      <c r="A1470" s="7" t="s">
        <v>3751</v>
      </c>
      <c r="B1470" s="7" t="s">
        <v>7301</v>
      </c>
      <c r="C1470" s="7" t="s">
        <v>8004</v>
      </c>
    </row>
    <row r="1471" customFormat="false" ht="15" hidden="false" customHeight="true" outlineLevel="0" collapsed="false">
      <c r="A1471" s="7" t="s">
        <v>3751</v>
      </c>
      <c r="B1471" s="7" t="s">
        <v>7312</v>
      </c>
      <c r="C1471" s="7" t="s">
        <v>8004</v>
      </c>
    </row>
    <row r="1472" customFormat="false" ht="15" hidden="false" customHeight="true" outlineLevel="0" collapsed="false">
      <c r="A1472" s="7" t="s">
        <v>3751</v>
      </c>
      <c r="B1472" s="7" t="s">
        <v>8669</v>
      </c>
      <c r="C1472" s="7"/>
    </row>
    <row r="1473" customFormat="false" ht="15" hidden="false" customHeight="true" outlineLevel="0" collapsed="false">
      <c r="A1473" s="7" t="s">
        <v>3751</v>
      </c>
      <c r="B1473" s="7" t="s">
        <v>7313</v>
      </c>
      <c r="C1473" s="7" t="s">
        <v>8004</v>
      </c>
    </row>
    <row r="1474" customFormat="false" ht="15" hidden="false" customHeight="true" outlineLevel="0" collapsed="false">
      <c r="A1474" s="7" t="s">
        <v>3751</v>
      </c>
      <c r="B1474" s="7" t="s">
        <v>8670</v>
      </c>
      <c r="C1474" s="7"/>
    </row>
    <row r="1475" customFormat="false" ht="15" hidden="false" customHeight="true" outlineLevel="0" collapsed="false">
      <c r="A1475" s="7" t="s">
        <v>3751</v>
      </c>
      <c r="B1475" s="7" t="s">
        <v>8671</v>
      </c>
      <c r="C1475" s="7"/>
    </row>
    <row r="1476" customFormat="false" ht="15" hidden="false" customHeight="true" outlineLevel="0" collapsed="false">
      <c r="A1476" s="7" t="s">
        <v>3751</v>
      </c>
      <c r="B1476" s="7" t="s">
        <v>8672</v>
      </c>
      <c r="C1476" s="7"/>
    </row>
    <row r="1477" customFormat="false" ht="15" hidden="false" customHeight="true" outlineLevel="0" collapsed="false">
      <c r="A1477" s="7" t="s">
        <v>3762</v>
      </c>
      <c r="B1477" s="7" t="s">
        <v>3762</v>
      </c>
      <c r="C1477" s="7" t="s">
        <v>8004</v>
      </c>
    </row>
    <row r="1478" customFormat="false" ht="15" hidden="false" customHeight="true" outlineLevel="0" collapsed="false">
      <c r="A1478" s="7" t="s">
        <v>3762</v>
      </c>
      <c r="B1478" s="7" t="s">
        <v>7304</v>
      </c>
      <c r="C1478" s="7" t="s">
        <v>8004</v>
      </c>
    </row>
    <row r="1479" customFormat="false" ht="15" hidden="false" customHeight="true" outlineLevel="0" collapsed="false">
      <c r="A1479" s="7" t="s">
        <v>3762</v>
      </c>
      <c r="B1479" s="7" t="s">
        <v>7303</v>
      </c>
      <c r="C1479" s="7" t="s">
        <v>8004</v>
      </c>
    </row>
    <row r="1480" customFormat="false" ht="15" hidden="false" customHeight="true" outlineLevel="0" collapsed="false">
      <c r="A1480" s="7" t="s">
        <v>3762</v>
      </c>
      <c r="B1480" s="7" t="s">
        <v>7302</v>
      </c>
      <c r="C1480" s="7" t="s">
        <v>8004</v>
      </c>
    </row>
    <row r="1481" customFormat="false" ht="15" hidden="false" customHeight="true" outlineLevel="0" collapsed="false">
      <c r="A1481" s="7" t="s">
        <v>3762</v>
      </c>
      <c r="B1481" s="7" t="s">
        <v>8673</v>
      </c>
      <c r="C1481" s="7"/>
    </row>
    <row r="1482" customFormat="false" ht="15" hidden="false" customHeight="true" outlineLevel="0" collapsed="false">
      <c r="A1482" s="7" t="s">
        <v>3762</v>
      </c>
      <c r="B1482" s="7" t="s">
        <v>3766</v>
      </c>
      <c r="C1482" s="7" t="s">
        <v>8004</v>
      </c>
    </row>
    <row r="1483" customFormat="false" ht="15" hidden="false" customHeight="true" outlineLevel="0" collapsed="false">
      <c r="A1483" s="7" t="s">
        <v>3762</v>
      </c>
      <c r="B1483" s="7" t="s">
        <v>8674</v>
      </c>
      <c r="C1483" s="7"/>
    </row>
    <row r="1484" customFormat="false" ht="15" hidden="false" customHeight="true" outlineLevel="0" collapsed="false">
      <c r="A1484" s="7" t="s">
        <v>3762</v>
      </c>
      <c r="B1484" s="7" t="s">
        <v>7314</v>
      </c>
      <c r="C1484" s="7" t="s">
        <v>8004</v>
      </c>
    </row>
    <row r="1485" customFormat="false" ht="15" hidden="false" customHeight="true" outlineLevel="0" collapsed="false">
      <c r="A1485" s="7" t="s">
        <v>3762</v>
      </c>
      <c r="B1485" s="7" t="s">
        <v>8675</v>
      </c>
      <c r="C1485" s="7"/>
    </row>
    <row r="1486" customFormat="false" ht="15" hidden="false" customHeight="true" outlineLevel="0" collapsed="false">
      <c r="A1486" s="7" t="s">
        <v>3762</v>
      </c>
      <c r="B1486" s="7" t="s">
        <v>8676</v>
      </c>
      <c r="C1486" s="7"/>
    </row>
    <row r="1487" customFormat="false" ht="15" hidden="false" customHeight="true" outlineLevel="0" collapsed="false">
      <c r="A1487" s="7" t="s">
        <v>3773</v>
      </c>
      <c r="B1487" s="7" t="s">
        <v>3773</v>
      </c>
      <c r="C1487" s="7" t="s">
        <v>8004</v>
      </c>
    </row>
    <row r="1488" customFormat="false" ht="15" hidden="false" customHeight="true" outlineLevel="0" collapsed="false">
      <c r="A1488" s="7" t="s">
        <v>3773</v>
      </c>
      <c r="B1488" s="7" t="s">
        <v>8677</v>
      </c>
      <c r="C1488" s="7"/>
    </row>
    <row r="1489" customFormat="false" ht="15" hidden="false" customHeight="true" outlineLevel="0" collapsed="false">
      <c r="A1489" s="7" t="s">
        <v>3773</v>
      </c>
      <c r="B1489" s="7" t="s">
        <v>3777</v>
      </c>
      <c r="C1489" s="7" t="s">
        <v>8004</v>
      </c>
    </row>
    <row r="1490" customFormat="false" ht="15" hidden="false" customHeight="true" outlineLevel="0" collapsed="false">
      <c r="A1490" s="7" t="s">
        <v>3773</v>
      </c>
      <c r="B1490" s="7" t="s">
        <v>7305</v>
      </c>
      <c r="C1490" s="7" t="s">
        <v>8004</v>
      </c>
    </row>
    <row r="1491" customFormat="false" ht="15" hidden="false" customHeight="true" outlineLevel="0" collapsed="false">
      <c r="A1491" s="7" t="s">
        <v>3773</v>
      </c>
      <c r="B1491" s="7" t="s">
        <v>7306</v>
      </c>
      <c r="C1491" s="7" t="s">
        <v>8004</v>
      </c>
    </row>
    <row r="1492" customFormat="false" ht="15" hidden="false" customHeight="true" outlineLevel="0" collapsed="false">
      <c r="A1492" s="7" t="s">
        <v>3773</v>
      </c>
      <c r="B1492" s="7" t="s">
        <v>8678</v>
      </c>
      <c r="C1492" s="7"/>
    </row>
    <row r="1493" customFormat="false" ht="15" hidden="false" customHeight="true" outlineLevel="0" collapsed="false">
      <c r="A1493" s="7" t="s">
        <v>3773</v>
      </c>
      <c r="B1493" s="7" t="s">
        <v>8679</v>
      </c>
      <c r="C1493" s="7"/>
    </row>
    <row r="1494" customFormat="false" ht="15" hidden="false" customHeight="true" outlineLevel="0" collapsed="false">
      <c r="A1494" s="7" t="s">
        <v>3773</v>
      </c>
      <c r="B1494" s="7" t="s">
        <v>7315</v>
      </c>
      <c r="C1494" s="7" t="s">
        <v>8004</v>
      </c>
    </row>
    <row r="1495" customFormat="false" ht="15" hidden="false" customHeight="true" outlineLevel="0" collapsed="false">
      <c r="A1495" s="7" t="s">
        <v>3773</v>
      </c>
      <c r="B1495" s="7" t="s">
        <v>7307</v>
      </c>
      <c r="C1495" s="7" t="s">
        <v>8004</v>
      </c>
    </row>
    <row r="1496" customFormat="false" ht="15" hidden="false" customHeight="true" outlineLevel="0" collapsed="false">
      <c r="A1496" s="7" t="s">
        <v>3773</v>
      </c>
      <c r="B1496" s="7" t="s">
        <v>8680</v>
      </c>
      <c r="C1496" s="7"/>
    </row>
    <row r="1497" customFormat="false" ht="15" hidden="false" customHeight="true" outlineLevel="0" collapsed="false">
      <c r="A1497" s="7" t="s">
        <v>3784</v>
      </c>
      <c r="B1497" s="7" t="s">
        <v>3784</v>
      </c>
      <c r="C1497" s="7" t="s">
        <v>8004</v>
      </c>
    </row>
    <row r="1498" customFormat="false" ht="15" hidden="false" customHeight="true" outlineLevel="0" collapsed="false">
      <c r="A1498" s="7" t="s">
        <v>3784</v>
      </c>
      <c r="B1498" s="7" t="s">
        <v>3788</v>
      </c>
      <c r="C1498" s="7" t="s">
        <v>8004</v>
      </c>
    </row>
    <row r="1499" customFormat="false" ht="15" hidden="false" customHeight="true" outlineLevel="0" collapsed="false">
      <c r="A1499" s="7" t="s">
        <v>3784</v>
      </c>
      <c r="B1499" s="7" t="s">
        <v>8681</v>
      </c>
      <c r="C1499" s="7"/>
    </row>
    <row r="1500" customFormat="false" ht="15" hidden="false" customHeight="true" outlineLevel="0" collapsed="false">
      <c r="A1500" s="7" t="s">
        <v>3784</v>
      </c>
      <c r="B1500" s="7" t="s">
        <v>7310</v>
      </c>
      <c r="C1500" s="7" t="s">
        <v>8004</v>
      </c>
    </row>
    <row r="1501" customFormat="false" ht="15" hidden="false" customHeight="true" outlineLevel="0" collapsed="false">
      <c r="A1501" s="7" t="s">
        <v>3784</v>
      </c>
      <c r="B1501" s="7" t="s">
        <v>7309</v>
      </c>
      <c r="C1501" s="7" t="s">
        <v>8004</v>
      </c>
    </row>
    <row r="1502" customFormat="false" ht="15" hidden="false" customHeight="true" outlineLevel="0" collapsed="false">
      <c r="A1502" s="7" t="s">
        <v>3784</v>
      </c>
      <c r="B1502" s="7" t="s">
        <v>8682</v>
      </c>
      <c r="C1502" s="7"/>
    </row>
    <row r="1503" customFormat="false" ht="15" hidden="false" customHeight="true" outlineLevel="0" collapsed="false">
      <c r="A1503" s="7" t="s">
        <v>3784</v>
      </c>
      <c r="B1503" s="7" t="s">
        <v>7316</v>
      </c>
      <c r="C1503" s="7" t="s">
        <v>8004</v>
      </c>
    </row>
    <row r="1504" customFormat="false" ht="15" hidden="false" customHeight="true" outlineLevel="0" collapsed="false">
      <c r="A1504" s="7" t="s">
        <v>3784</v>
      </c>
      <c r="B1504" s="7" t="s">
        <v>8683</v>
      </c>
      <c r="C1504" s="7"/>
    </row>
    <row r="1505" customFormat="false" ht="15" hidden="false" customHeight="true" outlineLevel="0" collapsed="false">
      <c r="A1505" s="7" t="s">
        <v>3784</v>
      </c>
      <c r="B1505" s="7" t="s">
        <v>8684</v>
      </c>
      <c r="C1505" s="7"/>
    </row>
    <row r="1506" customFormat="false" ht="15" hidden="false" customHeight="true" outlineLevel="0" collapsed="false">
      <c r="A1506" s="7" t="s">
        <v>3784</v>
      </c>
      <c r="B1506" s="7" t="s">
        <v>8685</v>
      </c>
      <c r="C1506" s="7"/>
    </row>
    <row r="1507" customFormat="false" ht="15" hidden="false" customHeight="true" outlineLevel="0" collapsed="false">
      <c r="A1507" s="7" t="s">
        <v>3840</v>
      </c>
      <c r="B1507" s="7" t="s">
        <v>3840</v>
      </c>
      <c r="C1507" s="7" t="s">
        <v>8004</v>
      </c>
    </row>
    <row r="1508" customFormat="false" ht="15" hidden="false" customHeight="true" outlineLevel="0" collapsed="false">
      <c r="A1508" s="7" t="s">
        <v>3840</v>
      </c>
      <c r="B1508" s="7" t="s">
        <v>8686</v>
      </c>
      <c r="C1508" s="7"/>
    </row>
    <row r="1509" customFormat="false" ht="15" hidden="false" customHeight="true" outlineLevel="0" collapsed="false">
      <c r="A1509" s="7" t="s">
        <v>3840</v>
      </c>
      <c r="B1509" s="7" t="s">
        <v>7321</v>
      </c>
      <c r="C1509" s="7" t="s">
        <v>8004</v>
      </c>
    </row>
    <row r="1510" customFormat="false" ht="15" hidden="false" customHeight="true" outlineLevel="0" collapsed="false">
      <c r="A1510" s="7" t="s">
        <v>3840</v>
      </c>
      <c r="B1510" s="7" t="s">
        <v>3844</v>
      </c>
      <c r="C1510" s="7" t="s">
        <v>8004</v>
      </c>
    </row>
    <row r="1511" customFormat="false" ht="15" hidden="false" customHeight="true" outlineLevel="0" collapsed="false">
      <c r="A1511" s="7" t="s">
        <v>3840</v>
      </c>
      <c r="B1511" s="7" t="s">
        <v>7319</v>
      </c>
      <c r="C1511" s="7" t="s">
        <v>8004</v>
      </c>
    </row>
    <row r="1512" customFormat="false" ht="15" hidden="false" customHeight="true" outlineLevel="0" collapsed="false">
      <c r="A1512" s="7" t="s">
        <v>3840</v>
      </c>
      <c r="B1512" s="7" t="s">
        <v>7318</v>
      </c>
      <c r="C1512" s="7" t="s">
        <v>8004</v>
      </c>
    </row>
    <row r="1513" customFormat="false" ht="15" hidden="false" customHeight="true" outlineLevel="0" collapsed="false">
      <c r="A1513" s="7" t="s">
        <v>3840</v>
      </c>
      <c r="B1513" s="7" t="s">
        <v>7320</v>
      </c>
      <c r="C1513" s="7" t="s">
        <v>8004</v>
      </c>
    </row>
    <row r="1514" customFormat="false" ht="15" hidden="false" customHeight="true" outlineLevel="0" collapsed="false">
      <c r="A1514" s="7" t="s">
        <v>3840</v>
      </c>
      <c r="B1514" s="7" t="s">
        <v>7322</v>
      </c>
      <c r="C1514" s="7" t="s">
        <v>8004</v>
      </c>
    </row>
    <row r="1515" customFormat="false" ht="15" hidden="false" customHeight="true" outlineLevel="0" collapsed="false">
      <c r="A1515" s="7" t="s">
        <v>3840</v>
      </c>
      <c r="B1515" s="7" t="s">
        <v>8687</v>
      </c>
      <c r="C1515" s="7"/>
    </row>
    <row r="1516" customFormat="false" ht="15" hidden="false" customHeight="true" outlineLevel="0" collapsed="false">
      <c r="A1516" s="7" t="s">
        <v>3840</v>
      </c>
      <c r="B1516" s="7" t="s">
        <v>8688</v>
      </c>
      <c r="C1516" s="7"/>
    </row>
    <row r="1517" customFormat="false" ht="15" hidden="false" customHeight="true" outlineLevel="0" collapsed="false">
      <c r="A1517" s="7" t="s">
        <v>3919</v>
      </c>
      <c r="B1517" s="7" t="s">
        <v>3919</v>
      </c>
      <c r="C1517" s="7" t="s">
        <v>8004</v>
      </c>
    </row>
    <row r="1518" customFormat="false" ht="15" hidden="false" customHeight="true" outlineLevel="0" collapsed="false">
      <c r="A1518" s="7" t="s">
        <v>3919</v>
      </c>
      <c r="B1518" s="7" t="s">
        <v>3924</v>
      </c>
      <c r="C1518" s="7" t="s">
        <v>8004</v>
      </c>
    </row>
    <row r="1519" customFormat="false" ht="15" hidden="false" customHeight="true" outlineLevel="0" collapsed="false">
      <c r="A1519" s="7" t="s">
        <v>3852</v>
      </c>
      <c r="B1519" s="7" t="s">
        <v>8689</v>
      </c>
      <c r="C1519" s="7"/>
    </row>
    <row r="1520" customFormat="false" ht="15" hidden="false" customHeight="true" outlineLevel="0" collapsed="false">
      <c r="A1520" s="7" t="s">
        <v>3852</v>
      </c>
      <c r="B1520" s="7" t="s">
        <v>8690</v>
      </c>
      <c r="C1520" s="7"/>
    </row>
    <row r="1521" customFormat="false" ht="15" hidden="false" customHeight="true" outlineLevel="0" collapsed="false">
      <c r="A1521" s="7" t="s">
        <v>3852</v>
      </c>
      <c r="B1521" s="7" t="s">
        <v>8691</v>
      </c>
      <c r="C1521" s="7"/>
    </row>
    <row r="1522" customFormat="false" ht="15" hidden="false" customHeight="true" outlineLevel="0" collapsed="false">
      <c r="A1522" s="7" t="s">
        <v>3886</v>
      </c>
      <c r="B1522" s="7" t="s">
        <v>7323</v>
      </c>
      <c r="C1522" s="7" t="s">
        <v>8004</v>
      </c>
    </row>
    <row r="1523" customFormat="false" ht="15" hidden="false" customHeight="true" outlineLevel="0" collapsed="false">
      <c r="A1523" s="7" t="s">
        <v>3886</v>
      </c>
      <c r="B1523" s="7" t="s">
        <v>8692</v>
      </c>
      <c r="C1523" s="7"/>
    </row>
    <row r="1524" customFormat="false" ht="15" hidden="false" customHeight="true" outlineLevel="0" collapsed="false">
      <c r="A1524" s="7" t="s">
        <v>3886</v>
      </c>
      <c r="B1524" s="7" t="s">
        <v>8693</v>
      </c>
      <c r="C1524" s="7"/>
    </row>
    <row r="1525" customFormat="false" ht="15" hidden="false" customHeight="true" outlineLevel="0" collapsed="false">
      <c r="A1525" s="7" t="s">
        <v>3886</v>
      </c>
      <c r="B1525" s="7" t="s">
        <v>8694</v>
      </c>
      <c r="C1525" s="7"/>
    </row>
    <row r="1526" customFormat="false" ht="15" hidden="false" customHeight="true" outlineLevel="0" collapsed="false">
      <c r="A1526" s="7" t="s">
        <v>3886</v>
      </c>
      <c r="B1526" s="7" t="s">
        <v>8695</v>
      </c>
      <c r="C1526" s="7"/>
    </row>
    <row r="1527" customFormat="false" ht="15" hidden="false" customHeight="true" outlineLevel="0" collapsed="false">
      <c r="A1527" s="7" t="s">
        <v>3886</v>
      </c>
      <c r="B1527" s="7" t="s">
        <v>3875</v>
      </c>
      <c r="C1527" s="7" t="s">
        <v>8004</v>
      </c>
    </row>
    <row r="1528" customFormat="false" ht="15" hidden="false" customHeight="true" outlineLevel="0" collapsed="false">
      <c r="A1528" s="7" t="s">
        <v>3886</v>
      </c>
      <c r="B1528" s="7" t="s">
        <v>8696</v>
      </c>
      <c r="C1528" s="7"/>
    </row>
    <row r="1529" customFormat="false" ht="15" hidden="false" customHeight="true" outlineLevel="0" collapsed="false">
      <c r="A1529" s="7" t="s">
        <v>3886</v>
      </c>
      <c r="B1529" s="7" t="s">
        <v>3897</v>
      </c>
      <c r="C1529" s="7" t="s">
        <v>8004</v>
      </c>
    </row>
    <row r="1530" customFormat="false" ht="15" hidden="false" customHeight="true" outlineLevel="0" collapsed="false">
      <c r="A1530" s="7" t="s">
        <v>3886</v>
      </c>
      <c r="B1530" s="7" t="s">
        <v>7338</v>
      </c>
      <c r="C1530" s="7" t="s">
        <v>8004</v>
      </c>
    </row>
    <row r="1531" customFormat="false" ht="15" hidden="false" customHeight="true" outlineLevel="0" collapsed="false">
      <c r="A1531" s="7" t="s">
        <v>3886</v>
      </c>
      <c r="B1531" s="7" t="s">
        <v>7329</v>
      </c>
      <c r="C1531" s="7" t="s">
        <v>8004</v>
      </c>
    </row>
    <row r="1532" customFormat="false" ht="15" hidden="false" customHeight="true" outlineLevel="0" collapsed="false">
      <c r="A1532" s="7" t="s">
        <v>3875</v>
      </c>
      <c r="B1532" s="7" t="s">
        <v>3875</v>
      </c>
      <c r="C1532" s="7" t="s">
        <v>8004</v>
      </c>
    </row>
    <row r="1533" customFormat="false" ht="15" hidden="false" customHeight="true" outlineLevel="0" collapsed="false">
      <c r="A1533" s="7" t="s">
        <v>3875</v>
      </c>
      <c r="B1533" s="7" t="s">
        <v>3879</v>
      </c>
      <c r="C1533" s="7" t="s">
        <v>8004</v>
      </c>
    </row>
    <row r="1534" customFormat="false" ht="15" hidden="false" customHeight="true" outlineLevel="0" collapsed="false">
      <c r="A1534" s="7" t="s">
        <v>3875</v>
      </c>
      <c r="B1534" s="7" t="s">
        <v>7328</v>
      </c>
      <c r="C1534" s="7" t="s">
        <v>8004</v>
      </c>
    </row>
    <row r="1535" customFormat="false" ht="15" hidden="false" customHeight="true" outlineLevel="0" collapsed="false">
      <c r="A1535" s="7" t="s">
        <v>3875</v>
      </c>
      <c r="B1535" s="7" t="s">
        <v>7327</v>
      </c>
      <c r="C1535" s="7" t="s">
        <v>8004</v>
      </c>
    </row>
    <row r="1536" customFormat="false" ht="15" hidden="false" customHeight="true" outlineLevel="0" collapsed="false">
      <c r="A1536" s="7" t="s">
        <v>3875</v>
      </c>
      <c r="B1536" s="7" t="s">
        <v>7326</v>
      </c>
      <c r="C1536" s="7" t="s">
        <v>8004</v>
      </c>
    </row>
    <row r="1537" customFormat="false" ht="15" hidden="false" customHeight="true" outlineLevel="0" collapsed="false">
      <c r="A1537" s="7" t="s">
        <v>3875</v>
      </c>
      <c r="B1537" s="7" t="s">
        <v>8697</v>
      </c>
      <c r="C1537" s="7"/>
    </row>
    <row r="1538" customFormat="false" ht="15" hidden="false" customHeight="true" outlineLevel="0" collapsed="false">
      <c r="A1538" s="7" t="s">
        <v>3875</v>
      </c>
      <c r="B1538" s="7" t="s">
        <v>7325</v>
      </c>
      <c r="C1538" s="7" t="s">
        <v>8004</v>
      </c>
    </row>
    <row r="1539" customFormat="false" ht="15" hidden="false" customHeight="true" outlineLevel="0" collapsed="false">
      <c r="A1539" s="7" t="s">
        <v>3875</v>
      </c>
      <c r="B1539" s="7" t="s">
        <v>7324</v>
      </c>
      <c r="C1539" s="7" t="s">
        <v>8004</v>
      </c>
    </row>
    <row r="1540" customFormat="false" ht="15" hidden="false" customHeight="true" outlineLevel="0" collapsed="false">
      <c r="A1540" s="7" t="s">
        <v>3875</v>
      </c>
      <c r="B1540" s="7" t="s">
        <v>8698</v>
      </c>
      <c r="C1540" s="7"/>
    </row>
    <row r="1541" customFormat="false" ht="15" hidden="false" customHeight="true" outlineLevel="0" collapsed="false">
      <c r="A1541" s="7" t="s">
        <v>3875</v>
      </c>
      <c r="B1541" s="7" t="s">
        <v>8699</v>
      </c>
      <c r="C1541" s="7"/>
    </row>
    <row r="1542" customFormat="false" ht="15" hidden="false" customHeight="true" outlineLevel="0" collapsed="false">
      <c r="A1542" s="7" t="s">
        <v>3930</v>
      </c>
      <c r="B1542" s="7" t="s">
        <v>3930</v>
      </c>
      <c r="C1542" s="7" t="s">
        <v>8004</v>
      </c>
    </row>
    <row r="1543" customFormat="false" ht="15" hidden="false" customHeight="true" outlineLevel="0" collapsed="false">
      <c r="A1543" s="7" t="s">
        <v>3930</v>
      </c>
      <c r="B1543" s="7" t="s">
        <v>7332</v>
      </c>
      <c r="C1543" s="7" t="s">
        <v>8004</v>
      </c>
    </row>
    <row r="1544" customFormat="false" ht="15" hidden="false" customHeight="true" outlineLevel="0" collapsed="false">
      <c r="A1544" s="7" t="s">
        <v>3930</v>
      </c>
      <c r="B1544" s="7" t="s">
        <v>7331</v>
      </c>
      <c r="C1544" s="7" t="s">
        <v>8004</v>
      </c>
    </row>
    <row r="1545" customFormat="false" ht="15" hidden="false" customHeight="true" outlineLevel="0" collapsed="false">
      <c r="A1545" s="7" t="s">
        <v>3930</v>
      </c>
      <c r="B1545" s="7" t="s">
        <v>7317</v>
      </c>
      <c r="C1545" s="7" t="s">
        <v>8004</v>
      </c>
    </row>
    <row r="1546" customFormat="false" ht="15" hidden="false" customHeight="true" outlineLevel="0" collapsed="false">
      <c r="A1546" s="7" t="s">
        <v>3930</v>
      </c>
      <c r="B1546" s="7" t="s">
        <v>3940</v>
      </c>
      <c r="C1546" s="7" t="s">
        <v>8004</v>
      </c>
    </row>
    <row r="1547" customFormat="false" ht="15" hidden="false" customHeight="true" outlineLevel="0" collapsed="false">
      <c r="A1547" s="7" t="s">
        <v>3930</v>
      </c>
      <c r="B1547" s="7" t="s">
        <v>8700</v>
      </c>
      <c r="C1547" s="7"/>
    </row>
    <row r="1548" customFormat="false" ht="15" hidden="false" customHeight="true" outlineLevel="0" collapsed="false">
      <c r="A1548" s="7" t="s">
        <v>3930</v>
      </c>
      <c r="B1548" s="7" t="s">
        <v>7330</v>
      </c>
      <c r="C1548" s="7" t="s">
        <v>8004</v>
      </c>
    </row>
    <row r="1549" customFormat="false" ht="15" hidden="false" customHeight="true" outlineLevel="0" collapsed="false">
      <c r="A1549" s="7" t="s">
        <v>3930</v>
      </c>
      <c r="B1549" s="7" t="s">
        <v>8701</v>
      </c>
      <c r="C1549" s="7"/>
    </row>
    <row r="1550" customFormat="false" ht="15" hidden="false" customHeight="true" outlineLevel="0" collapsed="false">
      <c r="A1550" s="7" t="s">
        <v>3930</v>
      </c>
      <c r="B1550" s="7" t="s">
        <v>8702</v>
      </c>
      <c r="C1550" s="7"/>
    </row>
    <row r="1551" customFormat="false" ht="15" hidden="false" customHeight="true" outlineLevel="0" collapsed="false">
      <c r="A1551" s="7" t="s">
        <v>3930</v>
      </c>
      <c r="B1551" s="7" t="s">
        <v>7339</v>
      </c>
      <c r="C1551" s="7" t="s">
        <v>8004</v>
      </c>
    </row>
    <row r="1552" customFormat="false" ht="15" hidden="false" customHeight="true" outlineLevel="0" collapsed="false">
      <c r="A1552" s="7" t="s">
        <v>3897</v>
      </c>
      <c r="B1552" s="7" t="s">
        <v>3897</v>
      </c>
      <c r="C1552" s="7" t="s">
        <v>8004</v>
      </c>
    </row>
    <row r="1553" customFormat="false" ht="15" hidden="false" customHeight="true" outlineLevel="0" collapsed="false">
      <c r="A1553" s="7" t="s">
        <v>3897</v>
      </c>
      <c r="B1553" s="7" t="s">
        <v>7337</v>
      </c>
      <c r="C1553" s="7" t="s">
        <v>8004</v>
      </c>
    </row>
    <row r="1554" customFormat="false" ht="15" hidden="false" customHeight="true" outlineLevel="0" collapsed="false">
      <c r="A1554" s="7" t="s">
        <v>3897</v>
      </c>
      <c r="B1554" s="7" t="s">
        <v>7336</v>
      </c>
      <c r="C1554" s="7" t="s">
        <v>8004</v>
      </c>
    </row>
    <row r="1555" customFormat="false" ht="15" hidden="false" customHeight="true" outlineLevel="0" collapsed="false">
      <c r="A1555" s="7" t="s">
        <v>3897</v>
      </c>
      <c r="B1555" s="7" t="s">
        <v>8703</v>
      </c>
      <c r="C1555" s="7"/>
    </row>
    <row r="1556" customFormat="false" ht="15" hidden="false" customHeight="true" outlineLevel="0" collapsed="false">
      <c r="A1556" s="7" t="s">
        <v>3897</v>
      </c>
      <c r="B1556" s="7" t="s">
        <v>8704</v>
      </c>
      <c r="C1556" s="7"/>
    </row>
    <row r="1557" customFormat="false" ht="15" hidden="false" customHeight="true" outlineLevel="0" collapsed="false">
      <c r="A1557" s="7" t="s">
        <v>3897</v>
      </c>
      <c r="B1557" s="7" t="s">
        <v>7333</v>
      </c>
      <c r="C1557" s="7" t="s">
        <v>8004</v>
      </c>
    </row>
    <row r="1558" customFormat="false" ht="15" hidden="false" customHeight="true" outlineLevel="0" collapsed="false">
      <c r="A1558" s="7" t="s">
        <v>3897</v>
      </c>
      <c r="B1558" s="7" t="s">
        <v>7334</v>
      </c>
      <c r="C1558" s="7" t="s">
        <v>8004</v>
      </c>
    </row>
    <row r="1559" customFormat="false" ht="15" hidden="false" customHeight="true" outlineLevel="0" collapsed="false">
      <c r="A1559" s="7" t="s">
        <v>3897</v>
      </c>
      <c r="B1559" s="7" t="s">
        <v>7335</v>
      </c>
      <c r="C1559" s="7" t="s">
        <v>8004</v>
      </c>
    </row>
    <row r="1560" customFormat="false" ht="15" hidden="false" customHeight="true" outlineLevel="0" collapsed="false">
      <c r="A1560" s="7" t="s">
        <v>3897</v>
      </c>
      <c r="B1560" s="7" t="s">
        <v>3900</v>
      </c>
      <c r="C1560" s="7" t="s">
        <v>8004</v>
      </c>
    </row>
    <row r="1561" customFormat="false" ht="15" hidden="false" customHeight="true" outlineLevel="0" collapsed="false">
      <c r="A1561" s="7" t="s">
        <v>3897</v>
      </c>
      <c r="B1561" s="7" t="s">
        <v>8705</v>
      </c>
      <c r="C1561" s="7"/>
    </row>
    <row r="1562" customFormat="false" ht="15" hidden="false" customHeight="true" outlineLevel="0" collapsed="false">
      <c r="A1562" s="7" t="s">
        <v>3940</v>
      </c>
      <c r="B1562" s="7" t="s">
        <v>3940</v>
      </c>
      <c r="C1562" s="7" t="s">
        <v>8004</v>
      </c>
    </row>
    <row r="1563" customFormat="false" ht="15" hidden="false" customHeight="true" outlineLevel="0" collapsed="false">
      <c r="A1563" s="7" t="s">
        <v>3940</v>
      </c>
      <c r="B1563" s="7" t="s">
        <v>3944</v>
      </c>
      <c r="C1563" s="7" t="s">
        <v>8004</v>
      </c>
    </row>
    <row r="1564" customFormat="false" ht="15" hidden="false" customHeight="true" outlineLevel="0" collapsed="false">
      <c r="A1564" s="7" t="s">
        <v>3940</v>
      </c>
      <c r="B1564" s="7" t="s">
        <v>8706</v>
      </c>
      <c r="C1564" s="7"/>
    </row>
    <row r="1565" customFormat="false" ht="15" hidden="false" customHeight="true" outlineLevel="0" collapsed="false">
      <c r="A1565" s="7" t="s">
        <v>3940</v>
      </c>
      <c r="B1565" s="7" t="s">
        <v>8691</v>
      </c>
      <c r="C1565" s="7"/>
    </row>
    <row r="1566" customFormat="false" ht="15" hidden="false" customHeight="true" outlineLevel="0" collapsed="false">
      <c r="A1566" s="7" t="s">
        <v>3908</v>
      </c>
      <c r="B1566" s="7" t="s">
        <v>3908</v>
      </c>
      <c r="C1566" s="7" t="s">
        <v>8004</v>
      </c>
    </row>
    <row r="1567" customFormat="false" ht="15" hidden="false" customHeight="true" outlineLevel="0" collapsed="false">
      <c r="A1567" s="7" t="s">
        <v>3908</v>
      </c>
      <c r="B1567" s="7" t="s">
        <v>3912</v>
      </c>
      <c r="C1567" s="7" t="s">
        <v>8004</v>
      </c>
    </row>
    <row r="1568" customFormat="false" ht="15" hidden="false" customHeight="true" outlineLevel="0" collapsed="false">
      <c r="A1568" s="7" t="s">
        <v>3908</v>
      </c>
      <c r="B1568" s="7" t="s">
        <v>7342</v>
      </c>
      <c r="C1568" s="7" t="s">
        <v>8004</v>
      </c>
    </row>
    <row r="1569" customFormat="false" ht="15" hidden="false" customHeight="true" outlineLevel="0" collapsed="false">
      <c r="A1569" s="7" t="s">
        <v>3908</v>
      </c>
      <c r="B1569" s="7" t="s">
        <v>7341</v>
      </c>
      <c r="C1569" s="7" t="s">
        <v>8004</v>
      </c>
    </row>
    <row r="1570" customFormat="false" ht="15" hidden="false" customHeight="true" outlineLevel="0" collapsed="false">
      <c r="A1570" s="7" t="s">
        <v>3908</v>
      </c>
      <c r="B1570" s="7" t="s">
        <v>7343</v>
      </c>
      <c r="C1570" s="7" t="s">
        <v>8004</v>
      </c>
    </row>
    <row r="1571" customFormat="false" ht="15" hidden="false" customHeight="true" outlineLevel="0" collapsed="false">
      <c r="A1571" s="7" t="s">
        <v>3908</v>
      </c>
      <c r="B1571" s="7" t="s">
        <v>7340</v>
      </c>
      <c r="C1571" s="7" t="s">
        <v>8004</v>
      </c>
    </row>
    <row r="1572" customFormat="false" ht="15" hidden="false" customHeight="true" outlineLevel="0" collapsed="false">
      <c r="A1572" s="7" t="s">
        <v>3908</v>
      </c>
      <c r="B1572" s="7" t="s">
        <v>8707</v>
      </c>
      <c r="C1572" s="7"/>
    </row>
    <row r="1573" customFormat="false" ht="15" hidden="false" customHeight="true" outlineLevel="0" collapsed="false">
      <c r="A1573" s="7" t="s">
        <v>3908</v>
      </c>
      <c r="B1573" s="7" t="s">
        <v>7344</v>
      </c>
      <c r="C1573" s="7" t="s">
        <v>8004</v>
      </c>
    </row>
    <row r="1574" customFormat="false" ht="15" hidden="false" customHeight="true" outlineLevel="0" collapsed="false">
      <c r="A1574" s="7" t="s">
        <v>3908</v>
      </c>
      <c r="B1574" s="7" t="s">
        <v>8708</v>
      </c>
      <c r="C1574" s="7"/>
    </row>
    <row r="1575" customFormat="false" ht="15" hidden="false" customHeight="true" outlineLevel="0" collapsed="false">
      <c r="A1575" s="7" t="s">
        <v>3908</v>
      </c>
      <c r="B1575" s="7" t="s">
        <v>3911</v>
      </c>
      <c r="C1575" s="7" t="s">
        <v>8004</v>
      </c>
    </row>
    <row r="1576" customFormat="false" ht="15" hidden="false" customHeight="true" outlineLevel="0" collapsed="false">
      <c r="A1576" s="7" t="s">
        <v>275</v>
      </c>
      <c r="B1576" s="7" t="s">
        <v>275</v>
      </c>
      <c r="C1576" s="7" t="s">
        <v>8004</v>
      </c>
    </row>
    <row r="1577" customFormat="false" ht="15" hidden="false" customHeight="true" outlineLevel="0" collapsed="false">
      <c r="A1577" s="7" t="s">
        <v>275</v>
      </c>
      <c r="B1577" s="7" t="s">
        <v>8709</v>
      </c>
      <c r="C1577" s="7"/>
    </row>
    <row r="1578" customFormat="false" ht="15" hidden="false" customHeight="true" outlineLevel="0" collapsed="false">
      <c r="A1578" s="7" t="s">
        <v>275</v>
      </c>
      <c r="B1578" s="7" t="s">
        <v>8710</v>
      </c>
      <c r="C1578" s="7"/>
    </row>
    <row r="1579" customFormat="false" ht="15" hidden="false" customHeight="true" outlineLevel="0" collapsed="false">
      <c r="A1579" s="7" t="s">
        <v>275</v>
      </c>
      <c r="B1579" s="7" t="s">
        <v>8711</v>
      </c>
      <c r="C1579" s="7"/>
    </row>
    <row r="1580" customFormat="false" ht="15" hidden="false" customHeight="true" outlineLevel="0" collapsed="false">
      <c r="A1580" s="7" t="s">
        <v>275</v>
      </c>
      <c r="B1580" s="7" t="s">
        <v>8712</v>
      </c>
      <c r="C1580" s="7"/>
    </row>
    <row r="1581" customFormat="false" ht="15" hidden="false" customHeight="true" outlineLevel="0" collapsed="false">
      <c r="A1581" s="7" t="s">
        <v>275</v>
      </c>
      <c r="B1581" s="7" t="s">
        <v>8713</v>
      </c>
      <c r="C1581" s="7"/>
    </row>
    <row r="1582" customFormat="false" ht="15" hidden="false" customHeight="true" outlineLevel="0" collapsed="false">
      <c r="A1582" s="7" t="s">
        <v>275</v>
      </c>
      <c r="B1582" s="7" t="s">
        <v>8714</v>
      </c>
      <c r="C1582" s="7"/>
    </row>
    <row r="1583" customFormat="false" ht="15" hidden="false" customHeight="true" outlineLevel="0" collapsed="false">
      <c r="A1583" s="7" t="s">
        <v>275</v>
      </c>
      <c r="B1583" s="7" t="s">
        <v>8715</v>
      </c>
      <c r="C1583" s="7"/>
    </row>
    <row r="1584" customFormat="false" ht="15" hidden="false" customHeight="true" outlineLevel="0" collapsed="false">
      <c r="A1584" s="7" t="s">
        <v>275</v>
      </c>
      <c r="B1584" s="7" t="s">
        <v>8716</v>
      </c>
      <c r="C1584" s="7"/>
    </row>
    <row r="1585" customFormat="false" ht="15" hidden="false" customHeight="true" outlineLevel="0" collapsed="false">
      <c r="A1585" s="7" t="s">
        <v>275</v>
      </c>
      <c r="B1585" s="7" t="s">
        <v>8717</v>
      </c>
      <c r="C1585" s="7"/>
    </row>
    <row r="1586" customFormat="false" ht="15" hidden="false" customHeight="true" outlineLevel="0" collapsed="false">
      <c r="A1586" s="7" t="s">
        <v>3951</v>
      </c>
      <c r="B1586" s="7" t="s">
        <v>7347</v>
      </c>
      <c r="C1586" s="7" t="s">
        <v>8004</v>
      </c>
    </row>
    <row r="1587" customFormat="false" ht="15" hidden="false" customHeight="true" outlineLevel="0" collapsed="false">
      <c r="A1587" s="7" t="s">
        <v>3951</v>
      </c>
      <c r="B1587" s="7" t="s">
        <v>3951</v>
      </c>
      <c r="C1587" s="7" t="s">
        <v>8004</v>
      </c>
    </row>
    <row r="1588" customFormat="false" ht="15" hidden="false" customHeight="true" outlineLevel="0" collapsed="false">
      <c r="A1588" s="7" t="s">
        <v>3951</v>
      </c>
      <c r="B1588" s="7" t="s">
        <v>7349</v>
      </c>
      <c r="C1588" s="7" t="s">
        <v>8004</v>
      </c>
    </row>
    <row r="1589" customFormat="false" ht="15" hidden="false" customHeight="true" outlineLevel="0" collapsed="false">
      <c r="A1589" s="7" t="s">
        <v>3951</v>
      </c>
      <c r="B1589" s="7" t="s">
        <v>7348</v>
      </c>
      <c r="C1589" s="7" t="s">
        <v>8004</v>
      </c>
    </row>
    <row r="1590" customFormat="false" ht="15" hidden="false" customHeight="true" outlineLevel="0" collapsed="false">
      <c r="A1590" s="7" t="s">
        <v>3951</v>
      </c>
      <c r="B1590" s="7" t="s">
        <v>3955</v>
      </c>
      <c r="C1590" s="7" t="s">
        <v>8004</v>
      </c>
    </row>
    <row r="1591" customFormat="false" ht="15" hidden="false" customHeight="true" outlineLevel="0" collapsed="false">
      <c r="A1591" s="7" t="s">
        <v>3951</v>
      </c>
      <c r="B1591" s="7" t="s">
        <v>7345</v>
      </c>
      <c r="C1591" s="7" t="s">
        <v>8004</v>
      </c>
    </row>
    <row r="1592" customFormat="false" ht="15" hidden="false" customHeight="true" outlineLevel="0" collapsed="false">
      <c r="A1592" s="7" t="s">
        <v>3951</v>
      </c>
      <c r="B1592" s="7" t="s">
        <v>7346</v>
      </c>
      <c r="C1592" s="7" t="s">
        <v>8004</v>
      </c>
    </row>
    <row r="1593" customFormat="false" ht="15" hidden="false" customHeight="true" outlineLevel="0" collapsed="false">
      <c r="A1593" s="7" t="s">
        <v>3951</v>
      </c>
      <c r="B1593" s="7" t="s">
        <v>8718</v>
      </c>
      <c r="C1593" s="7"/>
    </row>
    <row r="1594" customFormat="false" ht="15" hidden="false" customHeight="true" outlineLevel="0" collapsed="false">
      <c r="A1594" s="7" t="s">
        <v>3951</v>
      </c>
      <c r="B1594" s="7" t="s">
        <v>8719</v>
      </c>
      <c r="C1594" s="7"/>
    </row>
    <row r="1595" customFormat="false" ht="15" hidden="false" customHeight="true" outlineLevel="0" collapsed="false">
      <c r="A1595" s="7" t="s">
        <v>3951</v>
      </c>
      <c r="B1595" s="7" t="s">
        <v>8720</v>
      </c>
      <c r="C1595" s="7"/>
    </row>
    <row r="1596" customFormat="false" ht="15" hidden="false" customHeight="true" outlineLevel="0" collapsed="false">
      <c r="A1596" s="7" t="s">
        <v>276</v>
      </c>
      <c r="B1596" s="7" t="s">
        <v>276</v>
      </c>
      <c r="C1596" s="7" t="s">
        <v>8004</v>
      </c>
    </row>
    <row r="1597" customFormat="false" ht="15" hidden="false" customHeight="true" outlineLevel="0" collapsed="false">
      <c r="A1597" s="7" t="s">
        <v>276</v>
      </c>
      <c r="B1597" s="7" t="s">
        <v>8721</v>
      </c>
      <c r="C1597" s="7"/>
    </row>
    <row r="1598" customFormat="false" ht="15" hidden="false" customHeight="true" outlineLevel="0" collapsed="false">
      <c r="A1598" s="7" t="s">
        <v>276</v>
      </c>
      <c r="B1598" s="7" t="s">
        <v>8722</v>
      </c>
      <c r="C1598" s="7"/>
    </row>
    <row r="1599" customFormat="false" ht="15" hidden="false" customHeight="true" outlineLevel="0" collapsed="false">
      <c r="A1599" s="7" t="s">
        <v>276</v>
      </c>
      <c r="B1599" s="7" t="s">
        <v>8723</v>
      </c>
      <c r="C1599" s="7"/>
    </row>
    <row r="1600" customFormat="false" ht="15" hidden="false" customHeight="true" outlineLevel="0" collapsed="false">
      <c r="A1600" s="7" t="s">
        <v>276</v>
      </c>
      <c r="B1600" s="7" t="s">
        <v>8724</v>
      </c>
      <c r="C1600" s="7"/>
    </row>
    <row r="1601" customFormat="false" ht="15" hidden="false" customHeight="true" outlineLevel="0" collapsed="false">
      <c r="A1601" s="7" t="s">
        <v>276</v>
      </c>
      <c r="B1601" s="7" t="s">
        <v>8725</v>
      </c>
      <c r="C1601" s="7"/>
    </row>
    <row r="1602" customFormat="false" ht="15" hidden="false" customHeight="true" outlineLevel="0" collapsed="false">
      <c r="A1602" s="7" t="s">
        <v>276</v>
      </c>
      <c r="B1602" s="7" t="s">
        <v>8726</v>
      </c>
      <c r="C1602" s="7"/>
    </row>
    <row r="1603" customFormat="false" ht="15" hidden="false" customHeight="true" outlineLevel="0" collapsed="false">
      <c r="A1603" s="7" t="s">
        <v>276</v>
      </c>
      <c r="B1603" s="7" t="s">
        <v>8727</v>
      </c>
      <c r="C1603" s="7"/>
    </row>
    <row r="1604" customFormat="false" ht="15" hidden="false" customHeight="true" outlineLevel="0" collapsed="false">
      <c r="A1604" s="7" t="s">
        <v>276</v>
      </c>
      <c r="B1604" s="7" t="s">
        <v>8728</v>
      </c>
      <c r="C1604" s="7"/>
    </row>
    <row r="1605" customFormat="false" ht="15" hidden="false" customHeight="true" outlineLevel="0" collapsed="false">
      <c r="A1605" s="7" t="s">
        <v>276</v>
      </c>
      <c r="B1605" s="7" t="s">
        <v>8729</v>
      </c>
      <c r="C1605" s="7"/>
    </row>
    <row r="1606" customFormat="false" ht="15" hidden="false" customHeight="true" outlineLevel="0" collapsed="false">
      <c r="A1606" s="7" t="s">
        <v>3964</v>
      </c>
      <c r="B1606" s="7" t="s">
        <v>3964</v>
      </c>
      <c r="C1606" s="7" t="s">
        <v>8004</v>
      </c>
    </row>
    <row r="1607" customFormat="false" ht="15" hidden="false" customHeight="true" outlineLevel="0" collapsed="false">
      <c r="A1607" s="7" t="s">
        <v>3964</v>
      </c>
      <c r="B1607" s="7" t="s">
        <v>8730</v>
      </c>
      <c r="C1607" s="7"/>
    </row>
    <row r="1608" customFormat="false" ht="15" hidden="false" customHeight="true" outlineLevel="0" collapsed="false">
      <c r="A1608" s="7" t="s">
        <v>3964</v>
      </c>
      <c r="B1608" s="7" t="s">
        <v>3968</v>
      </c>
      <c r="C1608" s="7" t="s">
        <v>8004</v>
      </c>
    </row>
    <row r="1609" customFormat="false" ht="15" hidden="false" customHeight="true" outlineLevel="0" collapsed="false">
      <c r="A1609" s="7" t="s">
        <v>3964</v>
      </c>
      <c r="B1609" s="7" t="s">
        <v>7352</v>
      </c>
      <c r="C1609" s="7" t="s">
        <v>8004</v>
      </c>
    </row>
    <row r="1610" customFormat="false" ht="15" hidden="false" customHeight="true" outlineLevel="0" collapsed="false">
      <c r="A1610" s="7" t="s">
        <v>3964</v>
      </c>
      <c r="B1610" s="7" t="s">
        <v>7351</v>
      </c>
      <c r="C1610" s="7" t="s">
        <v>8004</v>
      </c>
    </row>
    <row r="1611" customFormat="false" ht="15" hidden="false" customHeight="true" outlineLevel="0" collapsed="false">
      <c r="A1611" s="7" t="s">
        <v>3964</v>
      </c>
      <c r="B1611" s="7" t="s">
        <v>7350</v>
      </c>
      <c r="C1611" s="7" t="s">
        <v>8004</v>
      </c>
    </row>
    <row r="1612" customFormat="false" ht="15" hidden="false" customHeight="true" outlineLevel="0" collapsed="false">
      <c r="A1612" s="7" t="s">
        <v>3964</v>
      </c>
      <c r="B1612" s="7" t="s">
        <v>8731</v>
      </c>
      <c r="C1612" s="7"/>
    </row>
    <row r="1613" customFormat="false" ht="15" hidden="false" customHeight="true" outlineLevel="0" collapsed="false">
      <c r="A1613" s="7" t="s">
        <v>3964</v>
      </c>
      <c r="B1613" s="7" t="s">
        <v>8732</v>
      </c>
      <c r="C1613" s="7"/>
    </row>
    <row r="1614" customFormat="false" ht="15" hidden="false" customHeight="true" outlineLevel="0" collapsed="false">
      <c r="A1614" s="7" t="s">
        <v>3964</v>
      </c>
      <c r="B1614" s="7" t="s">
        <v>8733</v>
      </c>
      <c r="C1614" s="7"/>
    </row>
    <row r="1615" customFormat="false" ht="15" hidden="false" customHeight="true" outlineLevel="0" collapsed="false">
      <c r="A1615" s="7" t="s">
        <v>3964</v>
      </c>
      <c r="B1615" s="7" t="s">
        <v>8734</v>
      </c>
      <c r="C1615" s="7"/>
    </row>
    <row r="1616" customFormat="false" ht="15" hidden="false" customHeight="true" outlineLevel="0" collapsed="false">
      <c r="A1616" s="7" t="s">
        <v>3974</v>
      </c>
      <c r="B1616" s="7" t="s">
        <v>3974</v>
      </c>
      <c r="C1616" s="7" t="s">
        <v>8004</v>
      </c>
    </row>
    <row r="1617" customFormat="false" ht="15" hidden="false" customHeight="true" outlineLevel="0" collapsed="false">
      <c r="A1617" s="7" t="s">
        <v>3974</v>
      </c>
      <c r="B1617" s="7" t="s">
        <v>7355</v>
      </c>
      <c r="C1617" s="7" t="s">
        <v>8004</v>
      </c>
    </row>
    <row r="1618" customFormat="false" ht="15" hidden="false" customHeight="true" outlineLevel="0" collapsed="false">
      <c r="A1618" s="7" t="s">
        <v>3974</v>
      </c>
      <c r="B1618" s="7" t="s">
        <v>7353</v>
      </c>
      <c r="C1618" s="7" t="s">
        <v>8004</v>
      </c>
    </row>
    <row r="1619" customFormat="false" ht="15" hidden="false" customHeight="true" outlineLevel="0" collapsed="false">
      <c r="A1619" s="7" t="s">
        <v>3974</v>
      </c>
      <c r="B1619" s="7" t="s">
        <v>7354</v>
      </c>
      <c r="C1619" s="7" t="s">
        <v>8004</v>
      </c>
    </row>
    <row r="1620" customFormat="false" ht="15" hidden="false" customHeight="true" outlineLevel="0" collapsed="false">
      <c r="A1620" s="7" t="s">
        <v>3974</v>
      </c>
      <c r="B1620" s="7" t="s">
        <v>3977</v>
      </c>
      <c r="C1620" s="7" t="s">
        <v>8004</v>
      </c>
    </row>
    <row r="1621" customFormat="false" ht="15" hidden="false" customHeight="true" outlineLevel="0" collapsed="false">
      <c r="A1621" s="7" t="s">
        <v>3974</v>
      </c>
      <c r="B1621" s="7" t="s">
        <v>7357</v>
      </c>
      <c r="C1621" s="7" t="s">
        <v>8004</v>
      </c>
    </row>
    <row r="1622" customFormat="false" ht="15" hidden="false" customHeight="true" outlineLevel="0" collapsed="false">
      <c r="A1622" s="7" t="s">
        <v>3974</v>
      </c>
      <c r="B1622" s="7" t="s">
        <v>7356</v>
      </c>
      <c r="C1622" s="7" t="s">
        <v>8004</v>
      </c>
    </row>
    <row r="1623" customFormat="false" ht="15" hidden="false" customHeight="true" outlineLevel="0" collapsed="false">
      <c r="A1623" s="7" t="s">
        <v>3974</v>
      </c>
      <c r="B1623" s="7" t="s">
        <v>8735</v>
      </c>
      <c r="C1623" s="7"/>
    </row>
    <row r="1624" customFormat="false" ht="15" hidden="false" customHeight="true" outlineLevel="0" collapsed="false">
      <c r="A1624" s="7" t="s">
        <v>3974</v>
      </c>
      <c r="B1624" s="7" t="s">
        <v>8736</v>
      </c>
      <c r="C1624" s="7"/>
    </row>
    <row r="1625" customFormat="false" ht="15" hidden="false" customHeight="true" outlineLevel="0" collapsed="false">
      <c r="A1625" s="7" t="s">
        <v>3974</v>
      </c>
      <c r="B1625" s="7" t="s">
        <v>8737</v>
      </c>
      <c r="C1625" s="7"/>
    </row>
    <row r="1626" customFormat="false" ht="15" hidden="false" customHeight="true" outlineLevel="0" collapsed="false">
      <c r="A1626" s="7" t="s">
        <v>3986</v>
      </c>
      <c r="B1626" s="7" t="s">
        <v>3986</v>
      </c>
      <c r="C1626" s="7" t="s">
        <v>8004</v>
      </c>
    </row>
    <row r="1627" customFormat="false" ht="15" hidden="false" customHeight="true" outlineLevel="0" collapsed="false">
      <c r="A1627" s="7" t="s">
        <v>3986</v>
      </c>
      <c r="B1627" s="7" t="s">
        <v>7360</v>
      </c>
      <c r="C1627" s="7" t="s">
        <v>8004</v>
      </c>
    </row>
    <row r="1628" customFormat="false" ht="15" hidden="false" customHeight="true" outlineLevel="0" collapsed="false">
      <c r="A1628" s="7" t="s">
        <v>3986</v>
      </c>
      <c r="B1628" s="7" t="s">
        <v>7359</v>
      </c>
      <c r="C1628" s="7" t="s">
        <v>8004</v>
      </c>
    </row>
    <row r="1629" customFormat="false" ht="15" hidden="false" customHeight="true" outlineLevel="0" collapsed="false">
      <c r="A1629" s="7" t="s">
        <v>3986</v>
      </c>
      <c r="B1629" s="7" t="s">
        <v>8738</v>
      </c>
      <c r="C1629" s="7"/>
    </row>
    <row r="1630" customFormat="false" ht="15" hidden="false" customHeight="true" outlineLevel="0" collapsed="false">
      <c r="A1630" s="7" t="s">
        <v>3986</v>
      </c>
      <c r="B1630" s="7" t="s">
        <v>7358</v>
      </c>
      <c r="C1630" s="7" t="s">
        <v>8004</v>
      </c>
    </row>
    <row r="1631" customFormat="false" ht="15" hidden="false" customHeight="true" outlineLevel="0" collapsed="false">
      <c r="A1631" s="7" t="s">
        <v>3986</v>
      </c>
      <c r="B1631" s="7" t="s">
        <v>7361</v>
      </c>
      <c r="C1631" s="7" t="s">
        <v>8004</v>
      </c>
    </row>
    <row r="1632" customFormat="false" ht="15" hidden="false" customHeight="true" outlineLevel="0" collapsed="false">
      <c r="A1632" s="7" t="s">
        <v>3986</v>
      </c>
      <c r="B1632" s="7" t="s">
        <v>7362</v>
      </c>
      <c r="C1632" s="7" t="s">
        <v>8004</v>
      </c>
    </row>
    <row r="1633" customFormat="false" ht="15" hidden="false" customHeight="true" outlineLevel="0" collapsed="false">
      <c r="A1633" s="7" t="s">
        <v>3986</v>
      </c>
      <c r="B1633" s="7" t="s">
        <v>3989</v>
      </c>
      <c r="C1633" s="7" t="s">
        <v>8004</v>
      </c>
    </row>
    <row r="1634" customFormat="false" ht="15" hidden="false" customHeight="true" outlineLevel="0" collapsed="false">
      <c r="A1634" s="7" t="s">
        <v>3986</v>
      </c>
      <c r="B1634" s="7" t="s">
        <v>8739</v>
      </c>
      <c r="C1634" s="7"/>
    </row>
    <row r="1635" customFormat="false" ht="15" hidden="false" customHeight="true" outlineLevel="0" collapsed="false">
      <c r="A1635" s="7" t="s">
        <v>280</v>
      </c>
      <c r="B1635" s="7" t="s">
        <v>280</v>
      </c>
      <c r="C1635" s="7" t="s">
        <v>8004</v>
      </c>
    </row>
    <row r="1636" customFormat="false" ht="15" hidden="false" customHeight="true" outlineLevel="0" collapsed="false">
      <c r="A1636" s="7" t="s">
        <v>280</v>
      </c>
      <c r="B1636" s="7" t="s">
        <v>8740</v>
      </c>
      <c r="C1636" s="7"/>
    </row>
    <row r="1637" customFormat="false" ht="15" hidden="false" customHeight="true" outlineLevel="0" collapsed="false">
      <c r="A1637" s="7" t="s">
        <v>280</v>
      </c>
      <c r="B1637" s="7" t="s">
        <v>6529</v>
      </c>
      <c r="C1637" s="7" t="s">
        <v>8004</v>
      </c>
    </row>
    <row r="1638" customFormat="false" ht="15" hidden="false" customHeight="true" outlineLevel="0" collapsed="false">
      <c r="A1638" s="7" t="s">
        <v>280</v>
      </c>
      <c r="B1638" s="7" t="s">
        <v>8741</v>
      </c>
      <c r="C1638" s="7"/>
    </row>
    <row r="1639" customFormat="false" ht="15" hidden="false" customHeight="true" outlineLevel="0" collapsed="false">
      <c r="A1639" s="7" t="s">
        <v>280</v>
      </c>
      <c r="B1639" s="7" t="s">
        <v>8742</v>
      </c>
      <c r="C1639" s="7"/>
    </row>
    <row r="1640" customFormat="false" ht="15" hidden="false" customHeight="true" outlineLevel="0" collapsed="false">
      <c r="A1640" s="7" t="s">
        <v>280</v>
      </c>
      <c r="B1640" s="7" t="s">
        <v>8743</v>
      </c>
      <c r="C1640" s="7"/>
    </row>
    <row r="1641" customFormat="false" ht="15" hidden="false" customHeight="true" outlineLevel="0" collapsed="false">
      <c r="A1641" s="7" t="s">
        <v>280</v>
      </c>
      <c r="B1641" s="7" t="s">
        <v>8744</v>
      </c>
      <c r="C1641" s="7"/>
    </row>
    <row r="1642" customFormat="false" ht="15" hidden="false" customHeight="true" outlineLevel="0" collapsed="false">
      <c r="A1642" s="7" t="s">
        <v>280</v>
      </c>
      <c r="B1642" s="7" t="s">
        <v>8745</v>
      </c>
      <c r="C1642" s="7"/>
    </row>
    <row r="1643" customFormat="false" ht="15" hidden="false" customHeight="true" outlineLevel="0" collapsed="false">
      <c r="A1643" s="7" t="s">
        <v>280</v>
      </c>
      <c r="B1643" s="7" t="s">
        <v>8746</v>
      </c>
      <c r="C1643" s="7"/>
    </row>
    <row r="1644" customFormat="false" ht="15" hidden="false" customHeight="true" outlineLevel="0" collapsed="false">
      <c r="A1644" s="7" t="s">
        <v>280</v>
      </c>
      <c r="B1644" s="7" t="s">
        <v>8747</v>
      </c>
      <c r="C1644" s="7"/>
    </row>
    <row r="1645" customFormat="false" ht="15" hidden="false" customHeight="true" outlineLevel="0" collapsed="false">
      <c r="A1645" s="7" t="s">
        <v>274</v>
      </c>
      <c r="B1645" s="7" t="s">
        <v>274</v>
      </c>
      <c r="C1645" s="7" t="s">
        <v>8004</v>
      </c>
    </row>
    <row r="1646" customFormat="false" ht="15" hidden="false" customHeight="true" outlineLevel="0" collapsed="false">
      <c r="A1646" s="7" t="s">
        <v>274</v>
      </c>
      <c r="B1646" s="7" t="s">
        <v>6530</v>
      </c>
      <c r="C1646" s="7" t="s">
        <v>8004</v>
      </c>
    </row>
    <row r="1647" customFormat="false" ht="15" hidden="false" customHeight="true" outlineLevel="0" collapsed="false">
      <c r="A1647" s="7" t="s">
        <v>274</v>
      </c>
      <c r="B1647" s="7" t="s">
        <v>8748</v>
      </c>
      <c r="C1647" s="7"/>
    </row>
    <row r="1648" customFormat="false" ht="15" hidden="false" customHeight="true" outlineLevel="0" collapsed="false">
      <c r="A1648" s="7" t="s">
        <v>274</v>
      </c>
      <c r="B1648" s="7" t="s">
        <v>8749</v>
      </c>
      <c r="C1648" s="7"/>
    </row>
    <row r="1649" customFormat="false" ht="15" hidden="false" customHeight="true" outlineLevel="0" collapsed="false">
      <c r="A1649" s="7" t="s">
        <v>274</v>
      </c>
      <c r="B1649" s="7" t="s">
        <v>8750</v>
      </c>
      <c r="C1649" s="7"/>
    </row>
    <row r="1650" customFormat="false" ht="15" hidden="false" customHeight="true" outlineLevel="0" collapsed="false">
      <c r="A1650" s="7" t="s">
        <v>274</v>
      </c>
      <c r="B1650" s="7" t="s">
        <v>8751</v>
      </c>
      <c r="C1650" s="7"/>
    </row>
    <row r="1651" customFormat="false" ht="15" hidden="false" customHeight="true" outlineLevel="0" collapsed="false">
      <c r="A1651" s="7" t="s">
        <v>274</v>
      </c>
      <c r="B1651" s="7" t="s">
        <v>8752</v>
      </c>
      <c r="C1651" s="7"/>
    </row>
    <row r="1652" customFormat="false" ht="15" hidden="false" customHeight="true" outlineLevel="0" collapsed="false">
      <c r="A1652" s="7" t="s">
        <v>274</v>
      </c>
      <c r="B1652" s="7" t="s">
        <v>8753</v>
      </c>
      <c r="C1652" s="7"/>
    </row>
    <row r="1653" customFormat="false" ht="15" hidden="false" customHeight="true" outlineLevel="0" collapsed="false">
      <c r="A1653" s="7" t="s">
        <v>274</v>
      </c>
      <c r="B1653" s="7" t="s">
        <v>8754</v>
      </c>
      <c r="C1653" s="7"/>
    </row>
    <row r="1654" customFormat="false" ht="15" hidden="false" customHeight="true" outlineLevel="0" collapsed="false">
      <c r="A1654" s="7" t="s">
        <v>274</v>
      </c>
      <c r="B1654" s="7" t="s">
        <v>8755</v>
      </c>
      <c r="C1654" s="7"/>
    </row>
    <row r="1655" customFormat="false" ht="15" hidden="false" customHeight="true" outlineLevel="0" collapsed="false">
      <c r="A1655" s="7" t="s">
        <v>3999</v>
      </c>
      <c r="B1655" s="7" t="s">
        <v>3999</v>
      </c>
      <c r="C1655" s="7" t="s">
        <v>8004</v>
      </c>
    </row>
    <row r="1656" customFormat="false" ht="15" hidden="false" customHeight="true" outlineLevel="0" collapsed="false">
      <c r="A1656" s="7" t="s">
        <v>3999</v>
      </c>
      <c r="B1656" s="7" t="s">
        <v>7367</v>
      </c>
      <c r="C1656" s="7" t="s">
        <v>8004</v>
      </c>
    </row>
    <row r="1657" customFormat="false" ht="15" hidden="false" customHeight="true" outlineLevel="0" collapsed="false">
      <c r="A1657" s="7" t="s">
        <v>3999</v>
      </c>
      <c r="B1657" s="7" t="s">
        <v>7368</v>
      </c>
      <c r="C1657" s="7" t="s">
        <v>8004</v>
      </c>
    </row>
    <row r="1658" customFormat="false" ht="15" hidden="false" customHeight="true" outlineLevel="0" collapsed="false">
      <c r="A1658" s="7" t="s">
        <v>3999</v>
      </c>
      <c r="B1658" s="7" t="s">
        <v>7366</v>
      </c>
      <c r="C1658" s="7" t="s">
        <v>8004</v>
      </c>
    </row>
    <row r="1659" customFormat="false" ht="15" hidden="false" customHeight="true" outlineLevel="0" collapsed="false">
      <c r="A1659" s="7" t="s">
        <v>3999</v>
      </c>
      <c r="B1659" s="7" t="s">
        <v>7363</v>
      </c>
      <c r="C1659" s="7" t="s">
        <v>8004</v>
      </c>
    </row>
    <row r="1660" customFormat="false" ht="15" hidden="false" customHeight="true" outlineLevel="0" collapsed="false">
      <c r="A1660" s="7" t="s">
        <v>3999</v>
      </c>
      <c r="B1660" s="7" t="s">
        <v>7365</v>
      </c>
      <c r="C1660" s="7" t="s">
        <v>8004</v>
      </c>
    </row>
    <row r="1661" customFormat="false" ht="15" hidden="false" customHeight="true" outlineLevel="0" collapsed="false">
      <c r="A1661" s="7" t="s">
        <v>3999</v>
      </c>
      <c r="B1661" s="7" t="s">
        <v>7364</v>
      </c>
      <c r="C1661" s="7" t="s">
        <v>8004</v>
      </c>
    </row>
    <row r="1662" customFormat="false" ht="15" hidden="false" customHeight="true" outlineLevel="0" collapsed="false">
      <c r="A1662" s="7" t="s">
        <v>3999</v>
      </c>
      <c r="B1662" s="7" t="s">
        <v>8756</v>
      </c>
      <c r="C1662" s="7"/>
    </row>
    <row r="1663" customFormat="false" ht="15" hidden="false" customHeight="true" outlineLevel="0" collapsed="false">
      <c r="A1663" s="7" t="s">
        <v>3999</v>
      </c>
      <c r="B1663" s="7" t="s">
        <v>8757</v>
      </c>
      <c r="C1663" s="7"/>
    </row>
    <row r="1664" customFormat="false" ht="15" hidden="false" customHeight="true" outlineLevel="0" collapsed="false">
      <c r="A1664" s="7" t="s">
        <v>3999</v>
      </c>
      <c r="B1664" s="7" t="s">
        <v>8758</v>
      </c>
      <c r="C1664" s="7"/>
    </row>
    <row r="1665" customFormat="false" ht="15" hidden="false" customHeight="true" outlineLevel="0" collapsed="false">
      <c r="A1665" s="7" t="s">
        <v>4012</v>
      </c>
      <c r="B1665" s="7" t="s">
        <v>4012</v>
      </c>
      <c r="C1665" s="7" t="s">
        <v>8004</v>
      </c>
    </row>
    <row r="1666" customFormat="false" ht="15" hidden="false" customHeight="true" outlineLevel="0" collapsed="false">
      <c r="A1666" s="7" t="s">
        <v>4012</v>
      </c>
      <c r="B1666" s="7" t="s">
        <v>4016</v>
      </c>
      <c r="C1666" s="7" t="s">
        <v>8004</v>
      </c>
    </row>
    <row r="1667" customFormat="false" ht="15" hidden="false" customHeight="true" outlineLevel="0" collapsed="false">
      <c r="A1667" s="7" t="s">
        <v>4012</v>
      </c>
      <c r="B1667" s="7" t="s">
        <v>8759</v>
      </c>
      <c r="C1667" s="7"/>
    </row>
    <row r="1668" customFormat="false" ht="15" hidden="false" customHeight="true" outlineLevel="0" collapsed="false">
      <c r="A1668" s="7" t="s">
        <v>4012</v>
      </c>
      <c r="B1668" s="7" t="s">
        <v>4018</v>
      </c>
      <c r="C1668" s="7" t="s">
        <v>8004</v>
      </c>
    </row>
    <row r="1669" customFormat="false" ht="15" hidden="false" customHeight="true" outlineLevel="0" collapsed="false">
      <c r="A1669" s="7" t="s">
        <v>4012</v>
      </c>
      <c r="B1669" s="7" t="s">
        <v>8760</v>
      </c>
      <c r="C1669" s="7"/>
    </row>
    <row r="1670" customFormat="false" ht="15" hidden="false" customHeight="true" outlineLevel="0" collapsed="false">
      <c r="A1670" s="7" t="s">
        <v>4024</v>
      </c>
      <c r="B1670" s="7" t="s">
        <v>4029</v>
      </c>
      <c r="C1670" s="7" t="s">
        <v>8004</v>
      </c>
    </row>
    <row r="1671" customFormat="false" ht="15" hidden="false" customHeight="true" outlineLevel="0" collapsed="false">
      <c r="A1671" s="7" t="s">
        <v>4024</v>
      </c>
      <c r="B1671" s="7" t="s">
        <v>8761</v>
      </c>
      <c r="C1671" s="7"/>
    </row>
    <row r="1672" customFormat="false" ht="15" hidden="false" customHeight="true" outlineLevel="0" collapsed="false">
      <c r="A1672" s="7" t="s">
        <v>4024</v>
      </c>
      <c r="B1672" s="7" t="s">
        <v>8762</v>
      </c>
      <c r="C1672" s="7"/>
    </row>
    <row r="1673" customFormat="false" ht="15" hidden="false" customHeight="true" outlineLevel="0" collapsed="false">
      <c r="A1673" s="7" t="s">
        <v>4024</v>
      </c>
      <c r="B1673" s="7" t="s">
        <v>8763</v>
      </c>
      <c r="C1673" s="7"/>
    </row>
    <row r="1674" customFormat="false" ht="15" hidden="false" customHeight="true" outlineLevel="0" collapsed="false">
      <c r="A1674" s="7" t="s">
        <v>6531</v>
      </c>
      <c r="B1674" s="7" t="s">
        <v>6531</v>
      </c>
      <c r="C1674" s="7" t="s">
        <v>8004</v>
      </c>
    </row>
    <row r="1675" customFormat="false" ht="15" hidden="false" customHeight="true" outlineLevel="0" collapsed="false">
      <c r="A1675" s="7" t="s">
        <v>6531</v>
      </c>
      <c r="B1675" s="7" t="s">
        <v>8764</v>
      </c>
      <c r="C1675" s="7"/>
    </row>
    <row r="1676" customFormat="false" ht="15" hidden="false" customHeight="true" outlineLevel="0" collapsed="false">
      <c r="A1676" s="7" t="s">
        <v>6531</v>
      </c>
      <c r="B1676" s="7" t="s">
        <v>8765</v>
      </c>
      <c r="C1676" s="7"/>
    </row>
    <row r="1677" customFormat="false" ht="15" hidden="false" customHeight="true" outlineLevel="0" collapsed="false">
      <c r="A1677" s="7" t="s">
        <v>6531</v>
      </c>
      <c r="B1677" s="7" t="s">
        <v>8766</v>
      </c>
      <c r="C1677" s="7"/>
    </row>
    <row r="1678" customFormat="false" ht="15" hidden="false" customHeight="true" outlineLevel="0" collapsed="false">
      <c r="A1678" s="7" t="s">
        <v>6531</v>
      </c>
      <c r="B1678" s="7" t="s">
        <v>8767</v>
      </c>
      <c r="C1678" s="7"/>
    </row>
    <row r="1679" customFormat="false" ht="15" hidden="false" customHeight="true" outlineLevel="0" collapsed="false">
      <c r="A1679" s="7" t="s">
        <v>6531</v>
      </c>
      <c r="B1679" s="7" t="s">
        <v>6533</v>
      </c>
      <c r="C1679" s="7" t="s">
        <v>8004</v>
      </c>
    </row>
    <row r="1680" customFormat="false" ht="15" hidden="false" customHeight="true" outlineLevel="0" collapsed="false">
      <c r="A1680" s="7" t="s">
        <v>6531</v>
      </c>
      <c r="B1680" s="7" t="s">
        <v>8768</v>
      </c>
      <c r="C1680" s="7"/>
    </row>
    <row r="1681" customFormat="false" ht="15" hidden="false" customHeight="true" outlineLevel="0" collapsed="false">
      <c r="A1681" s="7" t="s">
        <v>6531</v>
      </c>
      <c r="B1681" s="7" t="s">
        <v>8769</v>
      </c>
      <c r="C1681" s="7"/>
    </row>
    <row r="1682" customFormat="false" ht="15" hidden="false" customHeight="true" outlineLevel="0" collapsed="false">
      <c r="A1682" s="7" t="s">
        <v>6531</v>
      </c>
      <c r="B1682" s="7" t="s">
        <v>8770</v>
      </c>
      <c r="C1682" s="7"/>
    </row>
    <row r="1683" customFormat="false" ht="15" hidden="false" customHeight="true" outlineLevel="0" collapsed="false">
      <c r="A1683" s="7" t="s">
        <v>6531</v>
      </c>
      <c r="B1683" s="7" t="s">
        <v>8771</v>
      </c>
      <c r="C1683" s="7"/>
    </row>
    <row r="1684" customFormat="false" ht="15" hidden="false" customHeight="true" outlineLevel="0" collapsed="false">
      <c r="A1684" s="7" t="s">
        <v>4036</v>
      </c>
      <c r="B1684" s="7" t="s">
        <v>8772</v>
      </c>
      <c r="C1684" s="7"/>
    </row>
    <row r="1685" customFormat="false" ht="15" hidden="false" customHeight="true" outlineLevel="0" collapsed="false">
      <c r="A1685" s="7" t="s">
        <v>4036</v>
      </c>
      <c r="B1685" s="7" t="s">
        <v>4042</v>
      </c>
      <c r="C1685" s="7" t="s">
        <v>8004</v>
      </c>
    </row>
    <row r="1686" customFormat="false" ht="15" hidden="false" customHeight="true" outlineLevel="0" collapsed="false">
      <c r="A1686" s="7" t="s">
        <v>4048</v>
      </c>
      <c r="B1686" s="7" t="s">
        <v>4048</v>
      </c>
      <c r="C1686" s="7" t="s">
        <v>8004</v>
      </c>
    </row>
    <row r="1687" customFormat="false" ht="15" hidden="false" customHeight="true" outlineLevel="0" collapsed="false">
      <c r="A1687" s="7" t="s">
        <v>4048</v>
      </c>
      <c r="B1687" s="7" t="s">
        <v>4053</v>
      </c>
      <c r="C1687" s="7" t="s">
        <v>8004</v>
      </c>
    </row>
    <row r="1688" customFormat="false" ht="15" hidden="false" customHeight="true" outlineLevel="0" collapsed="false">
      <c r="A1688" s="7" t="s">
        <v>4048</v>
      </c>
      <c r="B1688" s="7" t="s">
        <v>8773</v>
      </c>
      <c r="C1688" s="7"/>
    </row>
    <row r="1689" customFormat="false" ht="15" hidden="false" customHeight="true" outlineLevel="0" collapsed="false">
      <c r="A1689" s="7" t="s">
        <v>4048</v>
      </c>
      <c r="B1689" s="7" t="s">
        <v>8774</v>
      </c>
      <c r="C1689" s="7"/>
    </row>
    <row r="1690" customFormat="false" ht="15" hidden="false" customHeight="true" outlineLevel="0" collapsed="false">
      <c r="A1690" s="7" t="s">
        <v>4059</v>
      </c>
      <c r="B1690" s="7" t="s">
        <v>4059</v>
      </c>
      <c r="C1690" s="7" t="s">
        <v>8004</v>
      </c>
    </row>
    <row r="1691" customFormat="false" ht="15" hidden="false" customHeight="true" outlineLevel="0" collapsed="false">
      <c r="A1691" s="7" t="s">
        <v>4059</v>
      </c>
      <c r="B1691" s="7" t="s">
        <v>7369</v>
      </c>
      <c r="C1691" s="7" t="s">
        <v>8004</v>
      </c>
    </row>
    <row r="1692" customFormat="false" ht="15" hidden="false" customHeight="true" outlineLevel="0" collapsed="false">
      <c r="A1692" s="7" t="s">
        <v>4059</v>
      </c>
      <c r="B1692" s="7" t="s">
        <v>4062</v>
      </c>
      <c r="C1692" s="7" t="s">
        <v>8004</v>
      </c>
    </row>
    <row r="1693" customFormat="false" ht="15" hidden="false" customHeight="true" outlineLevel="0" collapsed="false">
      <c r="A1693" s="7" t="s">
        <v>4059</v>
      </c>
      <c r="B1693" s="7" t="s">
        <v>8775</v>
      </c>
      <c r="C1693" s="7"/>
    </row>
    <row r="1694" customFormat="false" ht="15" hidden="false" customHeight="true" outlineLevel="0" collapsed="false">
      <c r="A1694" s="7" t="s">
        <v>4059</v>
      </c>
      <c r="B1694" s="7" t="s">
        <v>8776</v>
      </c>
      <c r="C1694" s="7"/>
    </row>
    <row r="1695" customFormat="false" ht="15" hidden="false" customHeight="true" outlineLevel="0" collapsed="false">
      <c r="A1695" s="7" t="s">
        <v>4059</v>
      </c>
      <c r="B1695" s="7" t="s">
        <v>8777</v>
      </c>
      <c r="C1695" s="7"/>
    </row>
    <row r="1696" customFormat="false" ht="15" hidden="false" customHeight="true" outlineLevel="0" collapsed="false">
      <c r="A1696" s="7" t="s">
        <v>4070</v>
      </c>
      <c r="B1696" s="7" t="s">
        <v>4076</v>
      </c>
      <c r="C1696" s="7" t="s">
        <v>8004</v>
      </c>
    </row>
    <row r="1697" customFormat="false" ht="15" hidden="false" customHeight="true" outlineLevel="0" collapsed="false">
      <c r="A1697" s="7" t="s">
        <v>4070</v>
      </c>
      <c r="B1697" s="7" t="s">
        <v>4070</v>
      </c>
      <c r="C1697" s="7" t="s">
        <v>8004</v>
      </c>
    </row>
    <row r="1698" customFormat="false" ht="15" hidden="false" customHeight="true" outlineLevel="0" collapsed="false">
      <c r="A1698" s="7" t="s">
        <v>4082</v>
      </c>
      <c r="B1698" s="7" t="s">
        <v>7370</v>
      </c>
      <c r="C1698" s="7" t="s">
        <v>8004</v>
      </c>
    </row>
    <row r="1699" customFormat="false" ht="15" hidden="false" customHeight="true" outlineLevel="0" collapsed="false">
      <c r="A1699" s="7" t="s">
        <v>4082</v>
      </c>
      <c r="B1699" s="7" t="s">
        <v>4082</v>
      </c>
      <c r="C1699" s="7" t="s">
        <v>8004</v>
      </c>
    </row>
    <row r="1700" customFormat="false" ht="15" hidden="false" customHeight="true" outlineLevel="0" collapsed="false">
      <c r="A1700" s="7" t="s">
        <v>4082</v>
      </c>
      <c r="B1700" s="7" t="s">
        <v>7371</v>
      </c>
      <c r="C1700" s="7" t="s">
        <v>8004</v>
      </c>
    </row>
    <row r="1701" customFormat="false" ht="15" hidden="false" customHeight="true" outlineLevel="0" collapsed="false">
      <c r="A1701" s="7" t="s">
        <v>4082</v>
      </c>
      <c r="B1701" s="7" t="s">
        <v>8778</v>
      </c>
      <c r="C1701" s="7"/>
    </row>
    <row r="1702" customFormat="false" ht="15" hidden="false" customHeight="true" outlineLevel="0" collapsed="false">
      <c r="A1702" s="7" t="s">
        <v>4082</v>
      </c>
      <c r="B1702" s="7" t="s">
        <v>4085</v>
      </c>
      <c r="C1702" s="7" t="s">
        <v>8004</v>
      </c>
    </row>
    <row r="1703" customFormat="false" ht="15" hidden="false" customHeight="true" outlineLevel="0" collapsed="false">
      <c r="A1703" s="7" t="s">
        <v>4094</v>
      </c>
      <c r="B1703" s="7" t="s">
        <v>7372</v>
      </c>
      <c r="C1703" s="7" t="s">
        <v>8004</v>
      </c>
    </row>
    <row r="1704" customFormat="false" ht="15" hidden="false" customHeight="true" outlineLevel="0" collapsed="false">
      <c r="A1704" s="7" t="s">
        <v>4094</v>
      </c>
      <c r="B1704" s="7" t="s">
        <v>4094</v>
      </c>
      <c r="C1704" s="7" t="s">
        <v>8004</v>
      </c>
    </row>
    <row r="1705" customFormat="false" ht="15" hidden="false" customHeight="true" outlineLevel="0" collapsed="false">
      <c r="A1705" s="7" t="s">
        <v>4094</v>
      </c>
      <c r="B1705" s="7" t="s">
        <v>8779</v>
      </c>
      <c r="C1705" s="7"/>
    </row>
    <row r="1706" customFormat="false" ht="15" hidden="false" customHeight="true" outlineLevel="0" collapsed="false">
      <c r="A1706" s="7" t="s">
        <v>4094</v>
      </c>
      <c r="B1706" s="7" t="s">
        <v>7373</v>
      </c>
      <c r="C1706" s="7" t="s">
        <v>8004</v>
      </c>
    </row>
    <row r="1707" customFormat="false" ht="15" hidden="false" customHeight="true" outlineLevel="0" collapsed="false">
      <c r="A1707" s="7" t="s">
        <v>4115</v>
      </c>
      <c r="B1707" s="7" t="s">
        <v>4115</v>
      </c>
      <c r="C1707" s="7" t="s">
        <v>8004</v>
      </c>
    </row>
    <row r="1708" customFormat="false" ht="15" hidden="false" customHeight="true" outlineLevel="0" collapsed="false">
      <c r="A1708" s="7" t="s">
        <v>4115</v>
      </c>
      <c r="B1708" s="7" t="s">
        <v>8780</v>
      </c>
      <c r="C1708" s="7"/>
    </row>
    <row r="1709" customFormat="false" ht="15" hidden="false" customHeight="true" outlineLevel="0" collapsed="false">
      <c r="A1709" s="7" t="s">
        <v>4125</v>
      </c>
      <c r="B1709" s="7" t="s">
        <v>4130</v>
      </c>
      <c r="C1709" s="7" t="s">
        <v>8004</v>
      </c>
    </row>
    <row r="1710" customFormat="false" ht="15" hidden="false" customHeight="true" outlineLevel="0" collapsed="false">
      <c r="A1710" s="7" t="s">
        <v>4125</v>
      </c>
      <c r="B1710" s="7" t="s">
        <v>8781</v>
      </c>
      <c r="C1710" s="7"/>
    </row>
    <row r="1711" customFormat="false" ht="15" hidden="false" customHeight="true" outlineLevel="0" collapsed="false">
      <c r="A1711" s="7" t="s">
        <v>4136</v>
      </c>
      <c r="B1711" s="7" t="s">
        <v>4136</v>
      </c>
      <c r="C1711" s="7" t="s">
        <v>8004</v>
      </c>
    </row>
    <row r="1712" customFormat="false" ht="15" hidden="false" customHeight="true" outlineLevel="0" collapsed="false">
      <c r="A1712" s="7" t="s">
        <v>4136</v>
      </c>
      <c r="B1712" s="7" t="s">
        <v>7374</v>
      </c>
      <c r="C1712" s="7" t="s">
        <v>8004</v>
      </c>
    </row>
    <row r="1713" customFormat="false" ht="15" hidden="false" customHeight="true" outlineLevel="0" collapsed="false">
      <c r="A1713" s="7" t="s">
        <v>4136</v>
      </c>
      <c r="B1713" s="7" t="s">
        <v>4139</v>
      </c>
      <c r="C1713" s="7" t="s">
        <v>8004</v>
      </c>
    </row>
    <row r="1714" customFormat="false" ht="15" hidden="false" customHeight="true" outlineLevel="0" collapsed="false">
      <c r="A1714" s="7" t="s">
        <v>4136</v>
      </c>
      <c r="B1714" s="7" t="s">
        <v>8782</v>
      </c>
      <c r="C1714" s="7"/>
    </row>
    <row r="1715" customFormat="false" ht="15" hidden="false" customHeight="true" outlineLevel="0" collapsed="false">
      <c r="A1715" s="7" t="s">
        <v>4136</v>
      </c>
      <c r="B1715" s="7" t="s">
        <v>8783</v>
      </c>
      <c r="C1715" s="7"/>
    </row>
    <row r="1716" customFormat="false" ht="15" hidden="false" customHeight="true" outlineLevel="0" collapsed="false">
      <c r="A1716" s="7" t="s">
        <v>4136</v>
      </c>
      <c r="B1716" s="7" t="s">
        <v>8784</v>
      </c>
      <c r="C1716" s="7"/>
    </row>
    <row r="1717" customFormat="false" ht="15" hidden="false" customHeight="true" outlineLevel="0" collapsed="false">
      <c r="A1717" s="7" t="s">
        <v>4147</v>
      </c>
      <c r="B1717" s="7" t="s">
        <v>4147</v>
      </c>
      <c r="C1717" s="7" t="s">
        <v>8004</v>
      </c>
    </row>
    <row r="1718" customFormat="false" ht="15" hidden="false" customHeight="true" outlineLevel="0" collapsed="false">
      <c r="A1718" s="7" t="s">
        <v>4157</v>
      </c>
      <c r="B1718" s="7" t="s">
        <v>4157</v>
      </c>
      <c r="C1718" s="7" t="s">
        <v>8004</v>
      </c>
    </row>
    <row r="1719" customFormat="false" ht="15" hidden="false" customHeight="true" outlineLevel="0" collapsed="false">
      <c r="A1719" s="7" t="s">
        <v>4157</v>
      </c>
      <c r="B1719" s="7" t="s">
        <v>4163</v>
      </c>
      <c r="C1719" s="7" t="s">
        <v>8004</v>
      </c>
    </row>
    <row r="1720" customFormat="false" ht="15" hidden="false" customHeight="true" outlineLevel="0" collapsed="false">
      <c r="A1720" s="7" t="s">
        <v>4157</v>
      </c>
      <c r="B1720" s="7" t="s">
        <v>8785</v>
      </c>
      <c r="C1720" s="7"/>
    </row>
    <row r="1721" customFormat="false" ht="15" hidden="false" customHeight="true" outlineLevel="0" collapsed="false">
      <c r="A1721" s="7" t="s">
        <v>4170</v>
      </c>
      <c r="B1721" s="7" t="s">
        <v>8786</v>
      </c>
      <c r="C1721" s="7"/>
    </row>
    <row r="1722" customFormat="false" ht="15" hidden="false" customHeight="true" outlineLevel="0" collapsed="false">
      <c r="A1722" s="7" t="s">
        <v>4170</v>
      </c>
      <c r="B1722" s="7" t="s">
        <v>8787</v>
      </c>
      <c r="C1722" s="7"/>
    </row>
    <row r="1723" customFormat="false" ht="15" hidden="false" customHeight="true" outlineLevel="0" collapsed="false">
      <c r="A1723" s="7" t="s">
        <v>4170</v>
      </c>
      <c r="B1723" s="7" t="s">
        <v>4176</v>
      </c>
      <c r="C1723" s="7" t="s">
        <v>8004</v>
      </c>
    </row>
    <row r="1724" customFormat="false" ht="15" hidden="false" customHeight="true" outlineLevel="0" collapsed="false">
      <c r="A1724" s="7" t="s">
        <v>6545</v>
      </c>
      <c r="B1724" s="7" t="s">
        <v>6545</v>
      </c>
      <c r="C1724" s="7" t="s">
        <v>8004</v>
      </c>
    </row>
    <row r="1725" customFormat="false" ht="15" hidden="false" customHeight="true" outlineLevel="0" collapsed="false">
      <c r="A1725" s="7" t="s">
        <v>6545</v>
      </c>
      <c r="B1725" s="7" t="s">
        <v>8788</v>
      </c>
      <c r="C1725" s="7"/>
    </row>
    <row r="1726" customFormat="false" ht="15" hidden="false" customHeight="true" outlineLevel="0" collapsed="false">
      <c r="A1726" s="7" t="s">
        <v>6545</v>
      </c>
      <c r="B1726" s="7" t="s">
        <v>8789</v>
      </c>
      <c r="C1726" s="7"/>
    </row>
    <row r="1727" customFormat="false" ht="15" hidden="false" customHeight="true" outlineLevel="0" collapsed="false">
      <c r="A1727" s="7" t="s">
        <v>6545</v>
      </c>
      <c r="B1727" s="7" t="s">
        <v>8790</v>
      </c>
      <c r="C1727" s="7"/>
    </row>
    <row r="1728" customFormat="false" ht="15" hidden="false" customHeight="true" outlineLevel="0" collapsed="false">
      <c r="A1728" s="7" t="s">
        <v>6545</v>
      </c>
      <c r="B1728" s="7" t="s">
        <v>8791</v>
      </c>
      <c r="C1728" s="7"/>
    </row>
    <row r="1729" customFormat="false" ht="15" hidden="false" customHeight="true" outlineLevel="0" collapsed="false">
      <c r="A1729" s="7" t="s">
        <v>6545</v>
      </c>
      <c r="B1729" s="7" t="s">
        <v>8792</v>
      </c>
      <c r="C1729" s="7"/>
    </row>
    <row r="1730" customFormat="false" ht="15" hidden="false" customHeight="true" outlineLevel="0" collapsed="false">
      <c r="A1730" s="7" t="s">
        <v>6545</v>
      </c>
      <c r="B1730" s="7" t="s">
        <v>8793</v>
      </c>
      <c r="C1730" s="7"/>
    </row>
    <row r="1731" customFormat="false" ht="15" hidden="false" customHeight="true" outlineLevel="0" collapsed="false">
      <c r="A1731" s="7" t="s">
        <v>6545</v>
      </c>
      <c r="B1731" s="7" t="s">
        <v>8794</v>
      </c>
      <c r="C1731" s="7"/>
    </row>
    <row r="1732" customFormat="false" ht="15" hidden="false" customHeight="true" outlineLevel="0" collapsed="false">
      <c r="A1732" s="7" t="s">
        <v>6545</v>
      </c>
      <c r="B1732" s="7" t="s">
        <v>8795</v>
      </c>
      <c r="C1732" s="7"/>
    </row>
    <row r="1733" customFormat="false" ht="15" hidden="false" customHeight="true" outlineLevel="0" collapsed="false">
      <c r="A1733" s="7" t="s">
        <v>6545</v>
      </c>
      <c r="B1733" s="7" t="s">
        <v>4163</v>
      </c>
      <c r="C1733" s="7" t="s">
        <v>8004</v>
      </c>
    </row>
    <row r="1734" customFormat="false" ht="15" hidden="false" customHeight="true" outlineLevel="0" collapsed="false">
      <c r="A1734" s="7" t="s">
        <v>4183</v>
      </c>
      <c r="B1734" s="7" t="s">
        <v>8796</v>
      </c>
      <c r="C1734" s="7"/>
    </row>
    <row r="1735" customFormat="false" ht="15" hidden="false" customHeight="true" outlineLevel="0" collapsed="false">
      <c r="A1735" s="7" t="s">
        <v>4183</v>
      </c>
      <c r="B1735" s="7" t="s">
        <v>8797</v>
      </c>
      <c r="C1735" s="7"/>
    </row>
    <row r="1736" customFormat="false" ht="15" hidden="false" customHeight="true" outlineLevel="0" collapsed="false">
      <c r="A1736" s="7" t="s">
        <v>4183</v>
      </c>
      <c r="B1736" s="7" t="s">
        <v>8798</v>
      </c>
      <c r="C1736" s="7"/>
    </row>
    <row r="1737" customFormat="false" ht="15" hidden="false" customHeight="true" outlineLevel="0" collapsed="false">
      <c r="A1737" s="7" t="s">
        <v>4194</v>
      </c>
      <c r="B1737" s="7" t="s">
        <v>4194</v>
      </c>
      <c r="C1737" s="7" t="s">
        <v>8004</v>
      </c>
    </row>
    <row r="1738" customFormat="false" ht="15" hidden="false" customHeight="true" outlineLevel="0" collapsed="false">
      <c r="A1738" s="7" t="s">
        <v>4194</v>
      </c>
      <c r="B1738" s="7" t="s">
        <v>7376</v>
      </c>
      <c r="C1738" s="7" t="s">
        <v>8004</v>
      </c>
    </row>
    <row r="1739" customFormat="false" ht="15" hidden="false" customHeight="true" outlineLevel="0" collapsed="false">
      <c r="A1739" s="7" t="s">
        <v>4194</v>
      </c>
      <c r="B1739" s="7" t="s">
        <v>7375</v>
      </c>
      <c r="C1739" s="7" t="s">
        <v>8004</v>
      </c>
    </row>
    <row r="1740" customFormat="false" ht="15" hidden="false" customHeight="true" outlineLevel="0" collapsed="false">
      <c r="A1740" s="7" t="s">
        <v>4194</v>
      </c>
      <c r="B1740" s="7" t="s">
        <v>8799</v>
      </c>
      <c r="C1740" s="7"/>
    </row>
    <row r="1741" customFormat="false" ht="15" hidden="false" customHeight="true" outlineLevel="0" collapsed="false">
      <c r="A1741" s="7" t="s">
        <v>4194</v>
      </c>
      <c r="B1741" s="7" t="s">
        <v>8800</v>
      </c>
      <c r="C1741" s="7"/>
    </row>
    <row r="1742" customFormat="false" ht="15" hidden="false" customHeight="true" outlineLevel="0" collapsed="false">
      <c r="A1742" s="7" t="s">
        <v>4205</v>
      </c>
      <c r="B1742" s="7" t="s">
        <v>7377</v>
      </c>
      <c r="C1742" s="7" t="s">
        <v>8004</v>
      </c>
    </row>
    <row r="1743" customFormat="false" ht="15" hidden="false" customHeight="true" outlineLevel="0" collapsed="false">
      <c r="A1743" s="7" t="s">
        <v>4205</v>
      </c>
      <c r="B1743" s="7" t="s">
        <v>4205</v>
      </c>
      <c r="C1743" s="7" t="s">
        <v>8004</v>
      </c>
    </row>
    <row r="1744" customFormat="false" ht="15" hidden="false" customHeight="true" outlineLevel="0" collapsed="false">
      <c r="A1744" s="7" t="s">
        <v>4205</v>
      </c>
      <c r="B1744" s="7" t="s">
        <v>7378</v>
      </c>
      <c r="C1744" s="7" t="s">
        <v>8004</v>
      </c>
    </row>
    <row r="1745" customFormat="false" ht="15" hidden="false" customHeight="true" outlineLevel="0" collapsed="false">
      <c r="A1745" s="7" t="s">
        <v>4217</v>
      </c>
      <c r="B1745" s="7" t="s">
        <v>7379</v>
      </c>
      <c r="C1745" s="7" t="s">
        <v>8004</v>
      </c>
    </row>
    <row r="1746" customFormat="false" ht="15" hidden="false" customHeight="true" outlineLevel="0" collapsed="false">
      <c r="A1746" s="7" t="s">
        <v>4217</v>
      </c>
      <c r="B1746" s="7" t="s">
        <v>8801</v>
      </c>
      <c r="C1746" s="7"/>
    </row>
    <row r="1747" customFormat="false" ht="15" hidden="false" customHeight="true" outlineLevel="0" collapsed="false">
      <c r="A1747" s="7" t="s">
        <v>4217</v>
      </c>
      <c r="B1747" s="7" t="s">
        <v>7380</v>
      </c>
      <c r="C1747" s="7" t="s">
        <v>8004</v>
      </c>
    </row>
    <row r="1748" customFormat="false" ht="15" hidden="false" customHeight="true" outlineLevel="0" collapsed="false">
      <c r="A1748" s="7" t="s">
        <v>4217</v>
      </c>
      <c r="B1748" s="7" t="s">
        <v>4221</v>
      </c>
      <c r="C1748" s="7" t="s">
        <v>8004</v>
      </c>
    </row>
    <row r="1749" customFormat="false" ht="15" hidden="false" customHeight="true" outlineLevel="0" collapsed="false">
      <c r="A1749" s="7" t="s">
        <v>4230</v>
      </c>
      <c r="B1749" s="7" t="s">
        <v>4230</v>
      </c>
      <c r="C1749" s="7" t="s">
        <v>8004</v>
      </c>
    </row>
    <row r="1750" customFormat="false" ht="15" hidden="false" customHeight="true" outlineLevel="0" collapsed="false">
      <c r="A1750" s="7" t="s">
        <v>4230</v>
      </c>
      <c r="B1750" s="7" t="s">
        <v>7381</v>
      </c>
      <c r="C1750" s="7" t="s">
        <v>8004</v>
      </c>
    </row>
    <row r="1751" customFormat="false" ht="15" hidden="false" customHeight="true" outlineLevel="0" collapsed="false">
      <c r="A1751" s="7" t="s">
        <v>4230</v>
      </c>
      <c r="B1751" s="7" t="s">
        <v>8802</v>
      </c>
      <c r="C1751" s="7"/>
    </row>
    <row r="1752" customFormat="false" ht="15" hidden="false" customHeight="true" outlineLevel="0" collapsed="false">
      <c r="A1752" s="7" t="s">
        <v>4230</v>
      </c>
      <c r="B1752" s="7" t="s">
        <v>7384</v>
      </c>
      <c r="C1752" s="7" t="s">
        <v>8004</v>
      </c>
    </row>
    <row r="1753" customFormat="false" ht="15" hidden="false" customHeight="true" outlineLevel="0" collapsed="false">
      <c r="A1753" s="7" t="s">
        <v>4230</v>
      </c>
      <c r="B1753" s="7" t="s">
        <v>7382</v>
      </c>
      <c r="C1753" s="7" t="s">
        <v>8004</v>
      </c>
    </row>
    <row r="1754" customFormat="false" ht="15" hidden="false" customHeight="true" outlineLevel="0" collapsed="false">
      <c r="A1754" s="7" t="s">
        <v>4230</v>
      </c>
      <c r="B1754" s="7" t="s">
        <v>7385</v>
      </c>
      <c r="C1754" s="7" t="s">
        <v>8004</v>
      </c>
    </row>
    <row r="1755" customFormat="false" ht="15" hidden="false" customHeight="true" outlineLevel="0" collapsed="false">
      <c r="A1755" s="7" t="s">
        <v>4230</v>
      </c>
      <c r="B1755" s="7" t="s">
        <v>7383</v>
      </c>
      <c r="C1755" s="7" t="s">
        <v>8004</v>
      </c>
    </row>
    <row r="1756" customFormat="false" ht="15" hidden="false" customHeight="true" outlineLevel="0" collapsed="false">
      <c r="A1756" s="7" t="s">
        <v>4230</v>
      </c>
      <c r="B1756" s="7" t="s">
        <v>8803</v>
      </c>
      <c r="C1756" s="7"/>
    </row>
    <row r="1757" customFormat="false" ht="15" hidden="false" customHeight="true" outlineLevel="0" collapsed="false">
      <c r="A1757" s="7" t="s">
        <v>4230</v>
      </c>
      <c r="B1757" s="7" t="s">
        <v>8804</v>
      </c>
      <c r="C1757" s="7"/>
    </row>
    <row r="1758" customFormat="false" ht="15" hidden="false" customHeight="true" outlineLevel="0" collapsed="false">
      <c r="A1758" s="7" t="s">
        <v>4230</v>
      </c>
      <c r="B1758" s="7" t="s">
        <v>8805</v>
      </c>
      <c r="C1758" s="7"/>
    </row>
    <row r="1759" customFormat="false" ht="15" hidden="false" customHeight="true" outlineLevel="0" collapsed="false">
      <c r="A1759" s="7" t="s">
        <v>4242</v>
      </c>
      <c r="B1759" s="7" t="s">
        <v>4242</v>
      </c>
      <c r="C1759" s="7" t="s">
        <v>8004</v>
      </c>
    </row>
    <row r="1760" customFormat="false" ht="15" hidden="false" customHeight="true" outlineLevel="0" collapsed="false">
      <c r="A1760" s="7" t="s">
        <v>4242</v>
      </c>
      <c r="B1760" s="7" t="s">
        <v>7386</v>
      </c>
      <c r="C1760" s="7" t="s">
        <v>8004</v>
      </c>
    </row>
    <row r="1761" customFormat="false" ht="15" hidden="false" customHeight="true" outlineLevel="0" collapsed="false">
      <c r="A1761" s="7" t="s">
        <v>4242</v>
      </c>
      <c r="B1761" s="7" t="s">
        <v>7387</v>
      </c>
      <c r="C1761" s="7" t="s">
        <v>8004</v>
      </c>
    </row>
    <row r="1762" customFormat="false" ht="15" hidden="false" customHeight="true" outlineLevel="0" collapsed="false">
      <c r="A1762" s="7" t="s">
        <v>4242</v>
      </c>
      <c r="B1762" s="7" t="s">
        <v>7389</v>
      </c>
      <c r="C1762" s="7" t="s">
        <v>8004</v>
      </c>
    </row>
    <row r="1763" customFormat="false" ht="15" hidden="false" customHeight="true" outlineLevel="0" collapsed="false">
      <c r="A1763" s="7" t="s">
        <v>4242</v>
      </c>
      <c r="B1763" s="7" t="s">
        <v>8806</v>
      </c>
      <c r="C1763" s="7"/>
    </row>
    <row r="1764" customFormat="false" ht="15" hidden="false" customHeight="true" outlineLevel="0" collapsed="false">
      <c r="A1764" s="7" t="s">
        <v>4242</v>
      </c>
      <c r="B1764" s="7" t="s">
        <v>7390</v>
      </c>
      <c r="C1764" s="7" t="s">
        <v>8004</v>
      </c>
    </row>
    <row r="1765" customFormat="false" ht="15" hidden="false" customHeight="true" outlineLevel="0" collapsed="false">
      <c r="A1765" s="7" t="s">
        <v>4242</v>
      </c>
      <c r="B1765" s="7" t="s">
        <v>8807</v>
      </c>
      <c r="C1765" s="7"/>
    </row>
    <row r="1766" customFormat="false" ht="15" hidden="false" customHeight="true" outlineLevel="0" collapsed="false">
      <c r="A1766" s="7" t="s">
        <v>4242</v>
      </c>
      <c r="B1766" s="7" t="s">
        <v>8808</v>
      </c>
      <c r="C1766" s="7"/>
    </row>
    <row r="1767" customFormat="false" ht="15" hidden="false" customHeight="true" outlineLevel="0" collapsed="false">
      <c r="A1767" s="7" t="s">
        <v>4242</v>
      </c>
      <c r="B1767" s="7" t="s">
        <v>8809</v>
      </c>
      <c r="C1767" s="7"/>
    </row>
    <row r="1768" customFormat="false" ht="15" hidden="false" customHeight="true" outlineLevel="0" collapsed="false">
      <c r="A1768" s="7" t="s">
        <v>4242</v>
      </c>
      <c r="B1768" s="7" t="s">
        <v>7388</v>
      </c>
      <c r="C1768" s="7" t="s">
        <v>8004</v>
      </c>
    </row>
    <row r="1769" customFormat="false" ht="15" hidden="false" customHeight="true" outlineLevel="0" collapsed="false">
      <c r="A1769" s="7" t="s">
        <v>4254</v>
      </c>
      <c r="B1769" s="7" t="s">
        <v>4254</v>
      </c>
      <c r="C1769" s="7" t="s">
        <v>8004</v>
      </c>
    </row>
    <row r="1770" customFormat="false" ht="15" hidden="false" customHeight="true" outlineLevel="0" collapsed="false">
      <c r="A1770" s="7" t="s">
        <v>4254</v>
      </c>
      <c r="B1770" s="7" t="s">
        <v>7391</v>
      </c>
      <c r="C1770" s="7" t="s">
        <v>8004</v>
      </c>
    </row>
    <row r="1771" customFormat="false" ht="15" hidden="false" customHeight="true" outlineLevel="0" collapsed="false">
      <c r="A1771" s="7" t="s">
        <v>4254</v>
      </c>
      <c r="B1771" s="7" t="s">
        <v>8810</v>
      </c>
      <c r="C1771" s="7"/>
    </row>
    <row r="1772" customFormat="false" ht="15" hidden="false" customHeight="true" outlineLevel="0" collapsed="false">
      <c r="A1772" s="7" t="s">
        <v>4254</v>
      </c>
      <c r="B1772" s="7" t="s">
        <v>7392</v>
      </c>
      <c r="C1772" s="7" t="s">
        <v>8004</v>
      </c>
    </row>
    <row r="1773" customFormat="false" ht="15" hidden="false" customHeight="true" outlineLevel="0" collapsed="false">
      <c r="A1773" s="7" t="s">
        <v>4254</v>
      </c>
      <c r="B1773" s="7" t="s">
        <v>8811</v>
      </c>
      <c r="C1773" s="7"/>
    </row>
    <row r="1774" customFormat="false" ht="15" hidden="false" customHeight="true" outlineLevel="0" collapsed="false">
      <c r="A1774" s="7" t="s">
        <v>4254</v>
      </c>
      <c r="B1774" s="7" t="s">
        <v>7394</v>
      </c>
      <c r="C1774" s="7" t="s">
        <v>8004</v>
      </c>
    </row>
    <row r="1775" customFormat="false" ht="15" hidden="false" customHeight="true" outlineLevel="0" collapsed="false">
      <c r="A1775" s="7" t="s">
        <v>4254</v>
      </c>
      <c r="B1775" s="7" t="s">
        <v>8812</v>
      </c>
      <c r="C1775" s="7"/>
    </row>
    <row r="1776" customFormat="false" ht="15" hidden="false" customHeight="true" outlineLevel="0" collapsed="false">
      <c r="A1776" s="7" t="s">
        <v>4254</v>
      </c>
      <c r="B1776" s="7" t="s">
        <v>8813</v>
      </c>
      <c r="C1776" s="7"/>
    </row>
    <row r="1777" customFormat="false" ht="15" hidden="false" customHeight="true" outlineLevel="0" collapsed="false">
      <c r="A1777" s="7" t="s">
        <v>4254</v>
      </c>
      <c r="B1777" s="7" t="s">
        <v>7393</v>
      </c>
      <c r="C1777" s="7" t="s">
        <v>8004</v>
      </c>
    </row>
    <row r="1778" customFormat="false" ht="15" hidden="false" customHeight="true" outlineLevel="0" collapsed="false">
      <c r="A1778" s="7" t="s">
        <v>4254</v>
      </c>
      <c r="B1778" s="7" t="s">
        <v>8814</v>
      </c>
      <c r="C1778" s="7"/>
    </row>
    <row r="1779" customFormat="false" ht="15" hidden="false" customHeight="true" outlineLevel="0" collapsed="false">
      <c r="A1779" s="7" t="s">
        <v>4265</v>
      </c>
      <c r="B1779" s="7" t="s">
        <v>4265</v>
      </c>
      <c r="C1779" s="7" t="s">
        <v>8004</v>
      </c>
    </row>
    <row r="1780" customFormat="false" ht="15" hidden="false" customHeight="true" outlineLevel="0" collapsed="false">
      <c r="A1780" s="7" t="s">
        <v>4265</v>
      </c>
      <c r="B1780" s="7" t="s">
        <v>7396</v>
      </c>
      <c r="C1780" s="7" t="s">
        <v>8004</v>
      </c>
    </row>
    <row r="1781" customFormat="false" ht="15" hidden="false" customHeight="true" outlineLevel="0" collapsed="false">
      <c r="A1781" s="7" t="s">
        <v>4265</v>
      </c>
      <c r="B1781" s="7" t="s">
        <v>8815</v>
      </c>
      <c r="C1781" s="7"/>
    </row>
    <row r="1782" customFormat="false" ht="15" hidden="false" customHeight="true" outlineLevel="0" collapsed="false">
      <c r="A1782" s="7" t="s">
        <v>4265</v>
      </c>
      <c r="B1782" s="7" t="s">
        <v>7397</v>
      </c>
      <c r="C1782" s="7" t="s">
        <v>8004</v>
      </c>
    </row>
    <row r="1783" customFormat="false" ht="15" hidden="false" customHeight="true" outlineLevel="0" collapsed="false">
      <c r="A1783" s="7" t="s">
        <v>4265</v>
      </c>
      <c r="B1783" s="7" t="s">
        <v>8816</v>
      </c>
      <c r="C1783" s="7"/>
    </row>
    <row r="1784" customFormat="false" ht="15" hidden="false" customHeight="true" outlineLevel="0" collapsed="false">
      <c r="A1784" s="7" t="s">
        <v>4265</v>
      </c>
      <c r="B1784" s="7" t="s">
        <v>7398</v>
      </c>
      <c r="C1784" s="7" t="s">
        <v>8004</v>
      </c>
    </row>
    <row r="1785" customFormat="false" ht="15" hidden="false" customHeight="true" outlineLevel="0" collapsed="false">
      <c r="A1785" s="7" t="s">
        <v>4265</v>
      </c>
      <c r="B1785" s="7" t="s">
        <v>7399</v>
      </c>
      <c r="C1785" s="7" t="s">
        <v>8004</v>
      </c>
    </row>
    <row r="1786" customFormat="false" ht="15" hidden="false" customHeight="true" outlineLevel="0" collapsed="false">
      <c r="A1786" s="7" t="s">
        <v>4265</v>
      </c>
      <c r="B1786" s="7" t="s">
        <v>8817</v>
      </c>
      <c r="C1786" s="7"/>
    </row>
    <row r="1787" customFormat="false" ht="15" hidden="false" customHeight="true" outlineLevel="0" collapsed="false">
      <c r="A1787" s="7" t="s">
        <v>4265</v>
      </c>
      <c r="B1787" s="7" t="s">
        <v>7395</v>
      </c>
      <c r="C1787" s="7" t="s">
        <v>8004</v>
      </c>
    </row>
    <row r="1788" customFormat="false" ht="15" hidden="false" customHeight="true" outlineLevel="0" collapsed="false">
      <c r="A1788" s="7" t="s">
        <v>4265</v>
      </c>
      <c r="B1788" s="7" t="s">
        <v>8818</v>
      </c>
      <c r="C1788" s="7"/>
    </row>
    <row r="1789" customFormat="false" ht="15" hidden="false" customHeight="true" outlineLevel="0" collapsed="false">
      <c r="A1789" s="7" t="s">
        <v>4274</v>
      </c>
      <c r="B1789" s="7" t="s">
        <v>4274</v>
      </c>
      <c r="C1789" s="7" t="s">
        <v>8004</v>
      </c>
    </row>
    <row r="1790" customFormat="false" ht="15" hidden="false" customHeight="true" outlineLevel="0" collapsed="false">
      <c r="A1790" s="7" t="s">
        <v>4274</v>
      </c>
      <c r="B1790" s="7" t="s">
        <v>8819</v>
      </c>
      <c r="C1790" s="7"/>
    </row>
    <row r="1791" customFormat="false" ht="15" hidden="false" customHeight="true" outlineLevel="0" collapsed="false">
      <c r="A1791" s="7" t="s">
        <v>4274</v>
      </c>
      <c r="B1791" s="7" t="s">
        <v>7400</v>
      </c>
      <c r="C1791" s="7" t="s">
        <v>8004</v>
      </c>
    </row>
    <row r="1792" customFormat="false" ht="15" hidden="false" customHeight="true" outlineLevel="0" collapsed="false">
      <c r="A1792" s="7" t="s">
        <v>4274</v>
      </c>
      <c r="B1792" s="7" t="s">
        <v>7401</v>
      </c>
      <c r="C1792" s="7" t="s">
        <v>8004</v>
      </c>
    </row>
    <row r="1793" customFormat="false" ht="15" hidden="false" customHeight="true" outlineLevel="0" collapsed="false">
      <c r="A1793" s="7" t="s">
        <v>4274</v>
      </c>
      <c r="B1793" s="7" t="s">
        <v>7402</v>
      </c>
      <c r="C1793" s="7" t="s">
        <v>8004</v>
      </c>
    </row>
    <row r="1794" customFormat="false" ht="15" hidden="false" customHeight="true" outlineLevel="0" collapsed="false">
      <c r="A1794" s="7" t="s">
        <v>4274</v>
      </c>
      <c r="B1794" s="7" t="s">
        <v>8820</v>
      </c>
      <c r="C1794" s="7"/>
    </row>
    <row r="1795" customFormat="false" ht="15" hidden="false" customHeight="true" outlineLevel="0" collapsed="false">
      <c r="A1795" s="7" t="s">
        <v>4274</v>
      </c>
      <c r="B1795" s="7" t="s">
        <v>8821</v>
      </c>
      <c r="C1795" s="7"/>
    </row>
    <row r="1796" customFormat="false" ht="15" hidden="false" customHeight="true" outlineLevel="0" collapsed="false">
      <c r="A1796" s="7" t="s">
        <v>4274</v>
      </c>
      <c r="B1796" s="7" t="s">
        <v>4277</v>
      </c>
      <c r="C1796" s="7" t="s">
        <v>8004</v>
      </c>
    </row>
    <row r="1797" customFormat="false" ht="15" hidden="false" customHeight="true" outlineLevel="0" collapsed="false">
      <c r="A1797" s="7" t="s">
        <v>4274</v>
      </c>
      <c r="B1797" s="7" t="s">
        <v>8822</v>
      </c>
      <c r="C1797" s="7"/>
    </row>
    <row r="1798" customFormat="false" ht="15" hidden="false" customHeight="true" outlineLevel="0" collapsed="false">
      <c r="A1798" s="7" t="s">
        <v>4274</v>
      </c>
      <c r="B1798" s="7" t="s">
        <v>7403</v>
      </c>
      <c r="C1798" s="7" t="s">
        <v>8004</v>
      </c>
    </row>
    <row r="1799" customFormat="false" ht="15" hidden="false" customHeight="true" outlineLevel="0" collapsed="false">
      <c r="A1799" s="7" t="s">
        <v>4286</v>
      </c>
      <c r="B1799" s="7" t="s">
        <v>4286</v>
      </c>
      <c r="C1799" s="7" t="s">
        <v>8004</v>
      </c>
    </row>
    <row r="1800" customFormat="false" ht="15" hidden="false" customHeight="true" outlineLevel="0" collapsed="false">
      <c r="A1800" s="7" t="s">
        <v>4286</v>
      </c>
      <c r="B1800" s="7" t="s">
        <v>7404</v>
      </c>
      <c r="C1800" s="7" t="s">
        <v>8004</v>
      </c>
    </row>
    <row r="1801" customFormat="false" ht="15" hidden="false" customHeight="true" outlineLevel="0" collapsed="false">
      <c r="A1801" s="7" t="s">
        <v>4286</v>
      </c>
      <c r="B1801" s="7" t="s">
        <v>7405</v>
      </c>
      <c r="C1801" s="7" t="s">
        <v>8004</v>
      </c>
    </row>
    <row r="1802" customFormat="false" ht="15" hidden="false" customHeight="true" outlineLevel="0" collapsed="false">
      <c r="A1802" s="7" t="s">
        <v>4286</v>
      </c>
      <c r="B1802" s="7" t="s">
        <v>7406</v>
      </c>
      <c r="C1802" s="7" t="s">
        <v>8004</v>
      </c>
    </row>
    <row r="1803" customFormat="false" ht="15" hidden="false" customHeight="true" outlineLevel="0" collapsed="false">
      <c r="A1803" s="7" t="s">
        <v>4286</v>
      </c>
      <c r="B1803" s="7" t="s">
        <v>8823</v>
      </c>
      <c r="C1803" s="7"/>
    </row>
    <row r="1804" customFormat="false" ht="15" hidden="false" customHeight="true" outlineLevel="0" collapsed="false">
      <c r="A1804" s="7" t="s">
        <v>4286</v>
      </c>
      <c r="B1804" s="7" t="s">
        <v>8824</v>
      </c>
      <c r="C1804" s="7"/>
    </row>
    <row r="1805" customFormat="false" ht="15" hidden="false" customHeight="true" outlineLevel="0" collapsed="false">
      <c r="A1805" s="7" t="s">
        <v>4286</v>
      </c>
      <c r="B1805" s="7" t="s">
        <v>8825</v>
      </c>
      <c r="C1805" s="7"/>
    </row>
    <row r="1806" customFormat="false" ht="15" hidden="false" customHeight="true" outlineLevel="0" collapsed="false">
      <c r="A1806" s="7" t="s">
        <v>4286</v>
      </c>
      <c r="B1806" s="7" t="s">
        <v>8826</v>
      </c>
      <c r="C1806" s="7"/>
    </row>
    <row r="1807" customFormat="false" ht="15" hidden="false" customHeight="true" outlineLevel="0" collapsed="false">
      <c r="A1807" s="7" t="s">
        <v>4286</v>
      </c>
      <c r="B1807" s="7" t="s">
        <v>8827</v>
      </c>
      <c r="C1807" s="7"/>
    </row>
    <row r="1808" customFormat="false" ht="15" hidden="false" customHeight="true" outlineLevel="0" collapsed="false">
      <c r="A1808" s="7" t="s">
        <v>4286</v>
      </c>
      <c r="B1808" s="7" t="s">
        <v>8828</v>
      </c>
      <c r="C1808" s="7"/>
    </row>
    <row r="1809" customFormat="false" ht="15" hidden="false" customHeight="true" outlineLevel="0" collapsed="false">
      <c r="A1809" s="7" t="s">
        <v>4297</v>
      </c>
      <c r="B1809" s="7" t="s">
        <v>7407</v>
      </c>
      <c r="C1809" s="7" t="s">
        <v>8004</v>
      </c>
    </row>
    <row r="1810" customFormat="false" ht="15" hidden="false" customHeight="true" outlineLevel="0" collapsed="false">
      <c r="A1810" s="7" t="s">
        <v>4297</v>
      </c>
      <c r="B1810" s="7" t="s">
        <v>4297</v>
      </c>
      <c r="C1810" s="7" t="s">
        <v>8004</v>
      </c>
    </row>
    <row r="1811" customFormat="false" ht="15" hidden="false" customHeight="true" outlineLevel="0" collapsed="false">
      <c r="A1811" s="7" t="s">
        <v>4297</v>
      </c>
      <c r="B1811" s="7" t="s">
        <v>8829</v>
      </c>
      <c r="C1811" s="7"/>
    </row>
    <row r="1812" customFormat="false" ht="15" hidden="false" customHeight="true" outlineLevel="0" collapsed="false">
      <c r="A1812" s="7" t="s">
        <v>4297</v>
      </c>
      <c r="B1812" s="7" t="s">
        <v>7408</v>
      </c>
      <c r="C1812" s="7" t="s">
        <v>8004</v>
      </c>
    </row>
    <row r="1813" customFormat="false" ht="15" hidden="false" customHeight="true" outlineLevel="0" collapsed="false">
      <c r="A1813" s="7" t="s">
        <v>4297</v>
      </c>
      <c r="B1813" s="7" t="s">
        <v>8830</v>
      </c>
      <c r="C1813" s="7"/>
    </row>
    <row r="1814" customFormat="false" ht="15" hidden="false" customHeight="true" outlineLevel="0" collapsed="false">
      <c r="A1814" s="7" t="s">
        <v>4297</v>
      </c>
      <c r="B1814" s="7" t="s">
        <v>7409</v>
      </c>
      <c r="C1814" s="7" t="s">
        <v>8004</v>
      </c>
    </row>
    <row r="1815" customFormat="false" ht="15" hidden="false" customHeight="true" outlineLevel="0" collapsed="false">
      <c r="A1815" s="7" t="s">
        <v>4297</v>
      </c>
      <c r="B1815" s="7" t="s">
        <v>8831</v>
      </c>
      <c r="C1815" s="7"/>
    </row>
    <row r="1816" customFormat="false" ht="15" hidden="false" customHeight="true" outlineLevel="0" collapsed="false">
      <c r="A1816" s="7" t="s">
        <v>4297</v>
      </c>
      <c r="B1816" s="7" t="s">
        <v>8832</v>
      </c>
      <c r="C1816" s="7"/>
    </row>
    <row r="1817" customFormat="false" ht="15" hidden="false" customHeight="true" outlineLevel="0" collapsed="false">
      <c r="A1817" s="7" t="s">
        <v>4297</v>
      </c>
      <c r="B1817" s="7" t="s">
        <v>8833</v>
      </c>
      <c r="C1817" s="7"/>
    </row>
    <row r="1818" customFormat="false" ht="15" hidden="false" customHeight="true" outlineLevel="0" collapsed="false">
      <c r="A1818" s="7" t="s">
        <v>4297</v>
      </c>
      <c r="B1818" s="7" t="s">
        <v>8834</v>
      </c>
      <c r="C1818" s="7"/>
    </row>
    <row r="1819" customFormat="false" ht="15" hidden="false" customHeight="true" outlineLevel="0" collapsed="false">
      <c r="A1819" s="7" t="s">
        <v>4308</v>
      </c>
      <c r="B1819" s="7" t="s">
        <v>4308</v>
      </c>
      <c r="C1819" s="7" t="s">
        <v>8004</v>
      </c>
    </row>
    <row r="1820" customFormat="false" ht="15" hidden="false" customHeight="true" outlineLevel="0" collapsed="false">
      <c r="A1820" s="7" t="s">
        <v>4308</v>
      </c>
      <c r="B1820" s="7" t="s">
        <v>7411</v>
      </c>
      <c r="C1820" s="7" t="s">
        <v>8004</v>
      </c>
    </row>
    <row r="1821" customFormat="false" ht="15" hidden="false" customHeight="true" outlineLevel="0" collapsed="false">
      <c r="A1821" s="7" t="s">
        <v>4308</v>
      </c>
      <c r="B1821" s="7" t="s">
        <v>8835</v>
      </c>
      <c r="C1821" s="7"/>
    </row>
    <row r="1822" customFormat="false" ht="15" hidden="false" customHeight="true" outlineLevel="0" collapsed="false">
      <c r="A1822" s="7" t="s">
        <v>4308</v>
      </c>
      <c r="B1822" s="7" t="s">
        <v>7412</v>
      </c>
      <c r="C1822" s="7" t="s">
        <v>8004</v>
      </c>
    </row>
    <row r="1823" customFormat="false" ht="15" hidden="false" customHeight="true" outlineLevel="0" collapsed="false">
      <c r="A1823" s="7" t="s">
        <v>4308</v>
      </c>
      <c r="B1823" s="7" t="s">
        <v>7413</v>
      </c>
      <c r="C1823" s="7" t="s">
        <v>8004</v>
      </c>
    </row>
    <row r="1824" customFormat="false" ht="15" hidden="false" customHeight="true" outlineLevel="0" collapsed="false">
      <c r="A1824" s="7" t="s">
        <v>4308</v>
      </c>
      <c r="B1824" s="7" t="s">
        <v>8836</v>
      </c>
      <c r="C1824" s="7"/>
    </row>
    <row r="1825" customFormat="false" ht="15" hidden="false" customHeight="true" outlineLevel="0" collapsed="false">
      <c r="A1825" s="7" t="s">
        <v>4308</v>
      </c>
      <c r="B1825" s="7" t="s">
        <v>7414</v>
      </c>
      <c r="C1825" s="7" t="s">
        <v>8004</v>
      </c>
    </row>
    <row r="1826" customFormat="false" ht="15" hidden="false" customHeight="true" outlineLevel="0" collapsed="false">
      <c r="A1826" s="7" t="s">
        <v>4308</v>
      </c>
      <c r="B1826" s="7" t="s">
        <v>8837</v>
      </c>
      <c r="C1826" s="7"/>
    </row>
    <row r="1827" customFormat="false" ht="15" hidden="false" customHeight="true" outlineLevel="0" collapsed="false">
      <c r="A1827" s="7" t="s">
        <v>4308</v>
      </c>
      <c r="B1827" s="7" t="s">
        <v>7410</v>
      </c>
      <c r="C1827" s="7" t="s">
        <v>8004</v>
      </c>
    </row>
    <row r="1828" customFormat="false" ht="15" hidden="false" customHeight="true" outlineLevel="0" collapsed="false">
      <c r="A1828" s="7" t="s">
        <v>4308</v>
      </c>
      <c r="B1828" s="7" t="s">
        <v>4311</v>
      </c>
      <c r="C1828" s="7" t="s">
        <v>8004</v>
      </c>
    </row>
    <row r="1829" customFormat="false" ht="15" hidden="false" customHeight="true" outlineLevel="0" collapsed="false">
      <c r="A1829" s="7" t="s">
        <v>4319</v>
      </c>
      <c r="B1829" s="7" t="s">
        <v>4319</v>
      </c>
      <c r="C1829" s="7" t="s">
        <v>8004</v>
      </c>
    </row>
    <row r="1830" customFormat="false" ht="15" hidden="false" customHeight="true" outlineLevel="0" collapsed="false">
      <c r="A1830" s="7" t="s">
        <v>4319</v>
      </c>
      <c r="B1830" s="7" t="s">
        <v>7415</v>
      </c>
      <c r="C1830" s="7" t="s">
        <v>8004</v>
      </c>
    </row>
    <row r="1831" customFormat="false" ht="15" hidden="false" customHeight="true" outlineLevel="0" collapsed="false">
      <c r="A1831" s="7" t="s">
        <v>4319</v>
      </c>
      <c r="B1831" s="7" t="s">
        <v>8838</v>
      </c>
      <c r="C1831" s="7"/>
    </row>
    <row r="1832" customFormat="false" ht="15" hidden="false" customHeight="true" outlineLevel="0" collapsed="false">
      <c r="A1832" s="7" t="s">
        <v>4319</v>
      </c>
      <c r="B1832" s="7" t="s">
        <v>7416</v>
      </c>
      <c r="C1832" s="7" t="s">
        <v>8004</v>
      </c>
    </row>
    <row r="1833" customFormat="false" ht="15" hidden="false" customHeight="true" outlineLevel="0" collapsed="false">
      <c r="A1833" s="7" t="s">
        <v>4319</v>
      </c>
      <c r="B1833" s="7" t="s">
        <v>8839</v>
      </c>
      <c r="C1833" s="7"/>
    </row>
    <row r="1834" customFormat="false" ht="15" hidden="false" customHeight="true" outlineLevel="0" collapsed="false">
      <c r="A1834" s="7" t="s">
        <v>4319</v>
      </c>
      <c r="B1834" s="7" t="s">
        <v>7417</v>
      </c>
      <c r="C1834" s="7" t="s">
        <v>8004</v>
      </c>
    </row>
    <row r="1835" customFormat="false" ht="15" hidden="false" customHeight="true" outlineLevel="0" collapsed="false">
      <c r="A1835" s="7" t="s">
        <v>4319</v>
      </c>
      <c r="B1835" s="7" t="s">
        <v>7418</v>
      </c>
      <c r="C1835" s="7" t="s">
        <v>8004</v>
      </c>
    </row>
    <row r="1836" customFormat="false" ht="15" hidden="false" customHeight="true" outlineLevel="0" collapsed="false">
      <c r="A1836" s="7" t="s">
        <v>4319</v>
      </c>
      <c r="B1836" s="7" t="s">
        <v>4322</v>
      </c>
      <c r="C1836" s="7" t="s">
        <v>8004</v>
      </c>
    </row>
    <row r="1837" customFormat="false" ht="15" hidden="false" customHeight="true" outlineLevel="0" collapsed="false">
      <c r="A1837" s="7" t="s">
        <v>4319</v>
      </c>
      <c r="B1837" s="7" t="s">
        <v>8840</v>
      </c>
      <c r="C1837" s="7"/>
    </row>
    <row r="1838" customFormat="false" ht="15" hidden="false" customHeight="true" outlineLevel="0" collapsed="false">
      <c r="A1838" s="7" t="s">
        <v>4319</v>
      </c>
      <c r="B1838" s="7" t="s">
        <v>8841</v>
      </c>
      <c r="C1838" s="7"/>
    </row>
    <row r="1839" customFormat="false" ht="15" hidden="false" customHeight="true" outlineLevel="0" collapsed="false">
      <c r="A1839" s="7" t="s">
        <v>4330</v>
      </c>
      <c r="B1839" s="7" t="s">
        <v>4330</v>
      </c>
      <c r="C1839" s="7" t="s">
        <v>8004</v>
      </c>
    </row>
    <row r="1840" customFormat="false" ht="15" hidden="false" customHeight="true" outlineLevel="0" collapsed="false">
      <c r="A1840" s="7" t="s">
        <v>4330</v>
      </c>
      <c r="B1840" s="7" t="s">
        <v>7419</v>
      </c>
      <c r="C1840" s="7" t="s">
        <v>8004</v>
      </c>
    </row>
    <row r="1841" customFormat="false" ht="15" hidden="false" customHeight="true" outlineLevel="0" collapsed="false">
      <c r="A1841" s="7" t="s">
        <v>4330</v>
      </c>
      <c r="B1841" s="7" t="s">
        <v>7420</v>
      </c>
      <c r="C1841" s="7" t="s">
        <v>8004</v>
      </c>
    </row>
    <row r="1842" customFormat="false" ht="15" hidden="false" customHeight="true" outlineLevel="0" collapsed="false">
      <c r="A1842" s="7" t="s">
        <v>4330</v>
      </c>
      <c r="B1842" s="7" t="s">
        <v>7421</v>
      </c>
      <c r="C1842" s="7" t="s">
        <v>8004</v>
      </c>
    </row>
    <row r="1843" customFormat="false" ht="15" hidden="false" customHeight="true" outlineLevel="0" collapsed="false">
      <c r="A1843" s="7" t="s">
        <v>4330</v>
      </c>
      <c r="B1843" s="7" t="s">
        <v>8842</v>
      </c>
      <c r="C1843" s="7"/>
    </row>
    <row r="1844" customFormat="false" ht="15" hidden="false" customHeight="true" outlineLevel="0" collapsed="false">
      <c r="A1844" s="7" t="s">
        <v>4330</v>
      </c>
      <c r="B1844" s="7" t="s">
        <v>8843</v>
      </c>
      <c r="C1844" s="7"/>
    </row>
    <row r="1845" customFormat="false" ht="15" hidden="false" customHeight="true" outlineLevel="0" collapsed="false">
      <c r="A1845" s="7" t="s">
        <v>4330</v>
      </c>
      <c r="B1845" s="7" t="s">
        <v>8844</v>
      </c>
      <c r="C1845" s="7"/>
    </row>
    <row r="1846" customFormat="false" ht="15" hidden="false" customHeight="true" outlineLevel="0" collapsed="false">
      <c r="A1846" s="7" t="s">
        <v>4330</v>
      </c>
      <c r="B1846" s="7" t="s">
        <v>8845</v>
      </c>
      <c r="C1846" s="7"/>
    </row>
    <row r="1847" customFormat="false" ht="15" hidden="false" customHeight="true" outlineLevel="0" collapsed="false">
      <c r="A1847" s="7" t="s">
        <v>4330</v>
      </c>
      <c r="B1847" s="7" t="s">
        <v>7422</v>
      </c>
      <c r="C1847" s="7" t="s">
        <v>8004</v>
      </c>
    </row>
    <row r="1848" customFormat="false" ht="15" hidden="false" customHeight="true" outlineLevel="0" collapsed="false">
      <c r="A1848" s="7" t="s">
        <v>4330</v>
      </c>
      <c r="B1848" s="7" t="s">
        <v>8846</v>
      </c>
      <c r="C1848" s="7"/>
    </row>
    <row r="1849" customFormat="false" ht="15" hidden="false" customHeight="true" outlineLevel="0" collapsed="false">
      <c r="A1849" s="7" t="s">
        <v>4342</v>
      </c>
      <c r="B1849" s="7" t="s">
        <v>4342</v>
      </c>
      <c r="C1849" s="7" t="s">
        <v>8004</v>
      </c>
    </row>
    <row r="1850" customFormat="false" ht="15" hidden="false" customHeight="true" outlineLevel="0" collapsed="false">
      <c r="A1850" s="7" t="s">
        <v>4342</v>
      </c>
      <c r="B1850" s="7" t="s">
        <v>4560</v>
      </c>
      <c r="C1850" s="7" t="s">
        <v>8004</v>
      </c>
    </row>
    <row r="1851" customFormat="false" ht="15" hidden="false" customHeight="true" outlineLevel="0" collapsed="false">
      <c r="A1851" s="7" t="s">
        <v>4342</v>
      </c>
      <c r="B1851" s="7" t="s">
        <v>7423</v>
      </c>
      <c r="C1851" s="7" t="s">
        <v>8004</v>
      </c>
    </row>
    <row r="1852" customFormat="false" ht="15" hidden="false" customHeight="true" outlineLevel="0" collapsed="false">
      <c r="A1852" s="7" t="s">
        <v>4342</v>
      </c>
      <c r="B1852" s="7" t="s">
        <v>7424</v>
      </c>
      <c r="C1852" s="7" t="s">
        <v>8004</v>
      </c>
    </row>
    <row r="1853" customFormat="false" ht="15" hidden="false" customHeight="true" outlineLevel="0" collapsed="false">
      <c r="A1853" s="7" t="s">
        <v>4342</v>
      </c>
      <c r="B1853" s="7" t="s">
        <v>7430</v>
      </c>
      <c r="C1853" s="7" t="s">
        <v>8004</v>
      </c>
    </row>
    <row r="1854" customFormat="false" ht="15" hidden="false" customHeight="true" outlineLevel="0" collapsed="false">
      <c r="A1854" s="7" t="s">
        <v>4342</v>
      </c>
      <c r="B1854" s="7" t="s">
        <v>7431</v>
      </c>
      <c r="C1854" s="7" t="s">
        <v>8004</v>
      </c>
    </row>
    <row r="1855" customFormat="false" ht="15" hidden="false" customHeight="true" outlineLevel="0" collapsed="false">
      <c r="A1855" s="7" t="s">
        <v>4342</v>
      </c>
      <c r="B1855" s="7" t="s">
        <v>7432</v>
      </c>
      <c r="C1855" s="7" t="s">
        <v>8004</v>
      </c>
    </row>
    <row r="1856" customFormat="false" ht="15" hidden="false" customHeight="true" outlineLevel="0" collapsed="false">
      <c r="A1856" s="7" t="s">
        <v>4342</v>
      </c>
      <c r="B1856" s="7" t="s">
        <v>7428</v>
      </c>
      <c r="C1856" s="7" t="s">
        <v>8004</v>
      </c>
    </row>
    <row r="1857" customFormat="false" ht="15" hidden="false" customHeight="true" outlineLevel="0" collapsed="false">
      <c r="A1857" s="7" t="s">
        <v>4342</v>
      </c>
      <c r="B1857" s="7" t="s">
        <v>8847</v>
      </c>
      <c r="C1857" s="7"/>
    </row>
    <row r="1858" customFormat="false" ht="15" hidden="false" customHeight="true" outlineLevel="0" collapsed="false">
      <c r="A1858" s="7" t="s">
        <v>4342</v>
      </c>
      <c r="B1858" s="7" t="s">
        <v>7427</v>
      </c>
      <c r="C1858" s="7" t="s">
        <v>8004</v>
      </c>
    </row>
    <row r="1859" customFormat="false" ht="15" hidden="false" customHeight="true" outlineLevel="0" collapsed="false">
      <c r="A1859" s="7" t="s">
        <v>4560</v>
      </c>
      <c r="B1859" s="7" t="s">
        <v>4560</v>
      </c>
      <c r="C1859" s="7" t="s">
        <v>8004</v>
      </c>
    </row>
    <row r="1860" customFormat="false" ht="15" hidden="false" customHeight="true" outlineLevel="0" collapsed="false">
      <c r="A1860" s="7" t="s">
        <v>4560</v>
      </c>
      <c r="B1860" s="7" t="s">
        <v>7424</v>
      </c>
      <c r="C1860" s="7" t="s">
        <v>8004</v>
      </c>
    </row>
    <row r="1861" customFormat="false" ht="15" hidden="false" customHeight="true" outlineLevel="0" collapsed="false">
      <c r="A1861" s="7" t="s">
        <v>4560</v>
      </c>
      <c r="B1861" s="7" t="s">
        <v>7428</v>
      </c>
      <c r="C1861" s="7" t="s">
        <v>8004</v>
      </c>
    </row>
    <row r="1862" customFormat="false" ht="15" hidden="false" customHeight="true" outlineLevel="0" collapsed="false">
      <c r="A1862" s="7" t="s">
        <v>4560</v>
      </c>
      <c r="B1862" s="7" t="s">
        <v>7427</v>
      </c>
      <c r="C1862" s="7" t="s">
        <v>8004</v>
      </c>
    </row>
    <row r="1863" customFormat="false" ht="15" hidden="false" customHeight="true" outlineLevel="0" collapsed="false">
      <c r="A1863" s="7" t="s">
        <v>4560</v>
      </c>
      <c r="B1863" s="7" t="s">
        <v>7429</v>
      </c>
      <c r="C1863" s="7" t="s">
        <v>8004</v>
      </c>
    </row>
    <row r="1864" customFormat="false" ht="15" hidden="false" customHeight="true" outlineLevel="0" collapsed="false">
      <c r="A1864" s="7" t="s">
        <v>4560</v>
      </c>
      <c r="B1864" s="7" t="s">
        <v>8848</v>
      </c>
      <c r="C1864" s="7"/>
    </row>
    <row r="1865" customFormat="false" ht="15" hidden="false" customHeight="true" outlineLevel="0" collapsed="false">
      <c r="A1865" s="7" t="s">
        <v>4560</v>
      </c>
      <c r="B1865" s="7" t="s">
        <v>7426</v>
      </c>
      <c r="C1865" s="7" t="s">
        <v>8004</v>
      </c>
    </row>
    <row r="1866" customFormat="false" ht="15" hidden="false" customHeight="true" outlineLevel="0" collapsed="false">
      <c r="A1866" s="7" t="s">
        <v>4560</v>
      </c>
      <c r="B1866" s="7" t="s">
        <v>8849</v>
      </c>
      <c r="C1866" s="7"/>
    </row>
    <row r="1867" customFormat="false" ht="15" hidden="false" customHeight="true" outlineLevel="0" collapsed="false">
      <c r="A1867" s="7" t="s">
        <v>4560</v>
      </c>
      <c r="B1867" s="7" t="s">
        <v>8850</v>
      </c>
      <c r="C1867" s="7"/>
    </row>
    <row r="1868" customFormat="false" ht="15" hidden="false" customHeight="true" outlineLevel="0" collapsed="false">
      <c r="A1868" s="7" t="s">
        <v>4560</v>
      </c>
      <c r="B1868" s="7" t="s">
        <v>8851</v>
      </c>
      <c r="C1868" s="7"/>
    </row>
    <row r="1869" customFormat="false" ht="15" hidden="false" customHeight="true" outlineLevel="0" collapsed="false">
      <c r="A1869" s="7" t="s">
        <v>4353</v>
      </c>
      <c r="B1869" s="7" t="s">
        <v>4353</v>
      </c>
      <c r="C1869" s="7" t="s">
        <v>8004</v>
      </c>
    </row>
    <row r="1870" customFormat="false" ht="15" hidden="false" customHeight="true" outlineLevel="0" collapsed="false">
      <c r="A1870" s="7" t="s">
        <v>4353</v>
      </c>
      <c r="B1870" s="7" t="s">
        <v>7433</v>
      </c>
      <c r="C1870" s="7" t="s">
        <v>8004</v>
      </c>
    </row>
    <row r="1871" customFormat="false" ht="15" hidden="false" customHeight="true" outlineLevel="0" collapsed="false">
      <c r="A1871" s="7" t="s">
        <v>4353</v>
      </c>
      <c r="B1871" s="7" t="s">
        <v>8852</v>
      </c>
      <c r="C1871" s="7"/>
    </row>
    <row r="1872" customFormat="false" ht="15" hidden="false" customHeight="true" outlineLevel="0" collapsed="false">
      <c r="A1872" s="7" t="s">
        <v>4353</v>
      </c>
      <c r="B1872" s="7" t="s">
        <v>7434</v>
      </c>
      <c r="C1872" s="7" t="s">
        <v>8004</v>
      </c>
    </row>
    <row r="1873" customFormat="false" ht="15" hidden="false" customHeight="true" outlineLevel="0" collapsed="false">
      <c r="A1873" s="7" t="s">
        <v>4353</v>
      </c>
      <c r="B1873" s="7" t="s">
        <v>7436</v>
      </c>
      <c r="C1873" s="7" t="s">
        <v>8004</v>
      </c>
    </row>
    <row r="1874" customFormat="false" ht="15" hidden="false" customHeight="true" outlineLevel="0" collapsed="false">
      <c r="A1874" s="7" t="s">
        <v>4353</v>
      </c>
      <c r="B1874" s="7" t="s">
        <v>8853</v>
      </c>
      <c r="C1874" s="7"/>
    </row>
    <row r="1875" customFormat="false" ht="15" hidden="false" customHeight="true" outlineLevel="0" collapsed="false">
      <c r="A1875" s="7" t="s">
        <v>4353</v>
      </c>
      <c r="B1875" s="7" t="s">
        <v>8854</v>
      </c>
      <c r="C1875" s="7"/>
    </row>
    <row r="1876" customFormat="false" ht="15" hidden="false" customHeight="true" outlineLevel="0" collapsed="false">
      <c r="A1876" s="7" t="s">
        <v>4353</v>
      </c>
      <c r="B1876" s="7" t="s">
        <v>7435</v>
      </c>
      <c r="C1876" s="7" t="s">
        <v>8004</v>
      </c>
    </row>
    <row r="1877" customFormat="false" ht="15" hidden="false" customHeight="true" outlineLevel="0" collapsed="false">
      <c r="A1877" s="7" t="s">
        <v>4353</v>
      </c>
      <c r="B1877" s="7" t="s">
        <v>7437</v>
      </c>
      <c r="C1877" s="7" t="s">
        <v>8004</v>
      </c>
    </row>
    <row r="1878" customFormat="false" ht="15" hidden="false" customHeight="true" outlineLevel="0" collapsed="false">
      <c r="A1878" s="7" t="s">
        <v>4353</v>
      </c>
      <c r="B1878" s="7" t="s">
        <v>4356</v>
      </c>
      <c r="C1878" s="7" t="s">
        <v>8004</v>
      </c>
    </row>
    <row r="1879" customFormat="false" ht="15" hidden="false" customHeight="true" outlineLevel="0" collapsed="false">
      <c r="A1879" s="7" t="s">
        <v>4364</v>
      </c>
      <c r="B1879" s="7" t="s">
        <v>4364</v>
      </c>
      <c r="C1879" s="7" t="s">
        <v>8004</v>
      </c>
    </row>
    <row r="1880" customFormat="false" ht="15" hidden="false" customHeight="true" outlineLevel="0" collapsed="false">
      <c r="A1880" s="7" t="s">
        <v>4364</v>
      </c>
      <c r="B1880" s="7" t="s">
        <v>7438</v>
      </c>
      <c r="C1880" s="7" t="s">
        <v>8004</v>
      </c>
    </row>
    <row r="1881" customFormat="false" ht="15" hidden="false" customHeight="true" outlineLevel="0" collapsed="false">
      <c r="A1881" s="7" t="s">
        <v>4364</v>
      </c>
      <c r="B1881" s="7" t="s">
        <v>7439</v>
      </c>
      <c r="C1881" s="7" t="s">
        <v>8004</v>
      </c>
    </row>
    <row r="1882" customFormat="false" ht="15" hidden="false" customHeight="true" outlineLevel="0" collapsed="false">
      <c r="A1882" s="7" t="s">
        <v>4364</v>
      </c>
      <c r="B1882" s="7" t="s">
        <v>8855</v>
      </c>
      <c r="C1882" s="7"/>
    </row>
    <row r="1883" customFormat="false" ht="15" hidden="false" customHeight="true" outlineLevel="0" collapsed="false">
      <c r="A1883" s="7" t="s">
        <v>4364</v>
      </c>
      <c r="B1883" s="7" t="s">
        <v>7440</v>
      </c>
      <c r="C1883" s="7" t="s">
        <v>8004</v>
      </c>
    </row>
    <row r="1884" customFormat="false" ht="15" hidden="false" customHeight="true" outlineLevel="0" collapsed="false">
      <c r="A1884" s="7" t="s">
        <v>4364</v>
      </c>
      <c r="B1884" s="7" t="s">
        <v>7441</v>
      </c>
      <c r="C1884" s="7" t="s">
        <v>8004</v>
      </c>
    </row>
    <row r="1885" customFormat="false" ht="15" hidden="false" customHeight="true" outlineLevel="0" collapsed="false">
      <c r="A1885" s="7" t="s">
        <v>4364</v>
      </c>
      <c r="B1885" s="7" t="s">
        <v>8856</v>
      </c>
      <c r="C1885" s="7"/>
    </row>
    <row r="1886" customFormat="false" ht="15" hidden="false" customHeight="true" outlineLevel="0" collapsed="false">
      <c r="A1886" s="7" t="s">
        <v>4364</v>
      </c>
      <c r="B1886" s="7" t="s">
        <v>8857</v>
      </c>
      <c r="C1886" s="7"/>
    </row>
    <row r="1887" customFormat="false" ht="15" hidden="false" customHeight="true" outlineLevel="0" collapsed="false">
      <c r="A1887" s="7" t="s">
        <v>4364</v>
      </c>
      <c r="B1887" s="7" t="s">
        <v>8858</v>
      </c>
      <c r="C1887" s="7"/>
    </row>
    <row r="1888" customFormat="false" ht="15" hidden="false" customHeight="true" outlineLevel="0" collapsed="false">
      <c r="A1888" s="7" t="s">
        <v>4364</v>
      </c>
      <c r="B1888" s="7" t="s">
        <v>8859</v>
      </c>
      <c r="C1888" s="7"/>
    </row>
    <row r="1889" customFormat="false" ht="15" hidden="false" customHeight="true" outlineLevel="0" collapsed="false">
      <c r="A1889" s="7" t="s">
        <v>4373</v>
      </c>
      <c r="B1889" s="7" t="s">
        <v>4373</v>
      </c>
      <c r="C1889" s="7" t="s">
        <v>8004</v>
      </c>
    </row>
    <row r="1890" customFormat="false" ht="15" hidden="false" customHeight="true" outlineLevel="0" collapsed="false">
      <c r="A1890" s="7" t="s">
        <v>4373</v>
      </c>
      <c r="B1890" s="7" t="s">
        <v>7442</v>
      </c>
      <c r="C1890" s="7" t="s">
        <v>8004</v>
      </c>
    </row>
    <row r="1891" customFormat="false" ht="15" hidden="false" customHeight="true" outlineLevel="0" collapsed="false">
      <c r="A1891" s="7" t="s">
        <v>4373</v>
      </c>
      <c r="B1891" s="7" t="s">
        <v>8860</v>
      </c>
      <c r="C1891" s="7"/>
    </row>
    <row r="1892" customFormat="false" ht="15" hidden="false" customHeight="true" outlineLevel="0" collapsed="false">
      <c r="A1892" s="7" t="s">
        <v>4373</v>
      </c>
      <c r="B1892" s="7" t="s">
        <v>7443</v>
      </c>
      <c r="C1892" s="7" t="s">
        <v>8004</v>
      </c>
    </row>
    <row r="1893" customFormat="false" ht="15" hidden="false" customHeight="true" outlineLevel="0" collapsed="false">
      <c r="A1893" s="7" t="s">
        <v>4373</v>
      </c>
      <c r="B1893" s="7" t="s">
        <v>4376</v>
      </c>
      <c r="C1893" s="7" t="s">
        <v>8004</v>
      </c>
    </row>
    <row r="1894" customFormat="false" ht="15" hidden="false" customHeight="true" outlineLevel="0" collapsed="false">
      <c r="A1894" s="7" t="s">
        <v>4373</v>
      </c>
      <c r="B1894" s="7" t="s">
        <v>8861</v>
      </c>
      <c r="C1894" s="7"/>
    </row>
    <row r="1895" customFormat="false" ht="15" hidden="false" customHeight="true" outlineLevel="0" collapsed="false">
      <c r="A1895" s="7" t="s">
        <v>4373</v>
      </c>
      <c r="B1895" s="7" t="s">
        <v>7446</v>
      </c>
      <c r="C1895" s="7" t="s">
        <v>8004</v>
      </c>
    </row>
    <row r="1896" customFormat="false" ht="15" hidden="false" customHeight="true" outlineLevel="0" collapsed="false">
      <c r="A1896" s="7" t="s">
        <v>4373</v>
      </c>
      <c r="B1896" s="7" t="s">
        <v>8862</v>
      </c>
      <c r="C1896" s="7"/>
    </row>
    <row r="1897" customFormat="false" ht="15" hidden="false" customHeight="true" outlineLevel="0" collapsed="false">
      <c r="A1897" s="7" t="s">
        <v>4373</v>
      </c>
      <c r="B1897" s="7" t="s">
        <v>7444</v>
      </c>
      <c r="C1897" s="7" t="s">
        <v>8004</v>
      </c>
    </row>
    <row r="1898" customFormat="false" ht="15" hidden="false" customHeight="true" outlineLevel="0" collapsed="false">
      <c r="A1898" s="7" t="s">
        <v>4373</v>
      </c>
      <c r="B1898" s="7" t="s">
        <v>7445</v>
      </c>
      <c r="C1898" s="7" t="s">
        <v>8004</v>
      </c>
    </row>
    <row r="1899" customFormat="false" ht="15" hidden="false" customHeight="true" outlineLevel="0" collapsed="false">
      <c r="A1899" s="7" t="s">
        <v>4384</v>
      </c>
      <c r="B1899" s="7" t="s">
        <v>4384</v>
      </c>
      <c r="C1899" s="7" t="s">
        <v>8004</v>
      </c>
    </row>
    <row r="1900" customFormat="false" ht="15" hidden="false" customHeight="true" outlineLevel="0" collapsed="false">
      <c r="A1900" s="7" t="s">
        <v>4384</v>
      </c>
      <c r="B1900" s="7" t="s">
        <v>8863</v>
      </c>
      <c r="C1900" s="7"/>
    </row>
    <row r="1901" customFormat="false" ht="15" hidden="false" customHeight="true" outlineLevel="0" collapsed="false">
      <c r="A1901" s="7" t="s">
        <v>4384</v>
      </c>
      <c r="B1901" s="7" t="s">
        <v>7448</v>
      </c>
      <c r="C1901" s="7" t="s">
        <v>8004</v>
      </c>
    </row>
    <row r="1902" customFormat="false" ht="15" hidden="false" customHeight="true" outlineLevel="0" collapsed="false">
      <c r="A1902" s="7" t="s">
        <v>4384</v>
      </c>
      <c r="B1902" s="7" t="s">
        <v>7449</v>
      </c>
      <c r="C1902" s="7" t="s">
        <v>8004</v>
      </c>
    </row>
    <row r="1903" customFormat="false" ht="15" hidden="false" customHeight="true" outlineLevel="0" collapsed="false">
      <c r="A1903" s="7" t="s">
        <v>4384</v>
      </c>
      <c r="B1903" s="7" t="s">
        <v>8864</v>
      </c>
      <c r="C1903" s="7"/>
    </row>
    <row r="1904" customFormat="false" ht="15" hidden="false" customHeight="true" outlineLevel="0" collapsed="false">
      <c r="A1904" s="7" t="s">
        <v>4384</v>
      </c>
      <c r="B1904" s="7" t="s">
        <v>7450</v>
      </c>
      <c r="C1904" s="7" t="s">
        <v>8004</v>
      </c>
    </row>
    <row r="1905" customFormat="false" ht="15" hidden="false" customHeight="true" outlineLevel="0" collapsed="false">
      <c r="A1905" s="7" t="s">
        <v>4384</v>
      </c>
      <c r="B1905" s="7" t="s">
        <v>8865</v>
      </c>
      <c r="C1905" s="7"/>
    </row>
    <row r="1906" customFormat="false" ht="15" hidden="false" customHeight="true" outlineLevel="0" collapsed="false">
      <c r="A1906" s="7" t="s">
        <v>4384</v>
      </c>
      <c r="B1906" s="7" t="s">
        <v>8866</v>
      </c>
      <c r="C1906" s="7"/>
    </row>
    <row r="1907" customFormat="false" ht="15" hidden="false" customHeight="true" outlineLevel="0" collapsed="false">
      <c r="A1907" s="7" t="s">
        <v>4384</v>
      </c>
      <c r="B1907" s="7" t="s">
        <v>7447</v>
      </c>
      <c r="C1907" s="7" t="s">
        <v>8004</v>
      </c>
    </row>
    <row r="1908" customFormat="false" ht="15" hidden="false" customHeight="true" outlineLevel="0" collapsed="false">
      <c r="A1908" s="7" t="s">
        <v>4384</v>
      </c>
      <c r="B1908" s="7" t="s">
        <v>8867</v>
      </c>
      <c r="C1908" s="7"/>
    </row>
    <row r="1909" customFormat="false" ht="15" hidden="false" customHeight="true" outlineLevel="0" collapsed="false">
      <c r="A1909" s="7" t="s">
        <v>4395</v>
      </c>
      <c r="B1909" s="7" t="s">
        <v>7451</v>
      </c>
      <c r="C1909" s="7" t="s">
        <v>8004</v>
      </c>
    </row>
    <row r="1910" customFormat="false" ht="15" hidden="false" customHeight="true" outlineLevel="0" collapsed="false">
      <c r="A1910" s="7" t="s">
        <v>4395</v>
      </c>
      <c r="B1910" s="7" t="s">
        <v>4395</v>
      </c>
      <c r="C1910" s="7" t="s">
        <v>8004</v>
      </c>
    </row>
    <row r="1911" customFormat="false" ht="15" hidden="false" customHeight="true" outlineLevel="0" collapsed="false">
      <c r="A1911" s="7" t="s">
        <v>4395</v>
      </c>
      <c r="B1911" s="7" t="s">
        <v>7452</v>
      </c>
      <c r="C1911" s="7" t="s">
        <v>8004</v>
      </c>
    </row>
    <row r="1912" customFormat="false" ht="15" hidden="false" customHeight="true" outlineLevel="0" collapsed="false">
      <c r="A1912" s="7" t="s">
        <v>4395</v>
      </c>
      <c r="B1912" s="7" t="s">
        <v>8868</v>
      </c>
      <c r="C1912" s="7"/>
    </row>
    <row r="1913" customFormat="false" ht="15" hidden="false" customHeight="true" outlineLevel="0" collapsed="false">
      <c r="A1913" s="7" t="s">
        <v>4395</v>
      </c>
      <c r="B1913" s="7" t="s">
        <v>8869</v>
      </c>
      <c r="C1913" s="7"/>
    </row>
    <row r="1914" customFormat="false" ht="15" hidden="false" customHeight="true" outlineLevel="0" collapsed="false">
      <c r="A1914" s="7" t="s">
        <v>4395</v>
      </c>
      <c r="B1914" s="7" t="s">
        <v>8870</v>
      </c>
      <c r="C1914" s="7"/>
    </row>
    <row r="1915" customFormat="false" ht="15" hidden="false" customHeight="true" outlineLevel="0" collapsed="false">
      <c r="A1915" s="7" t="s">
        <v>4395</v>
      </c>
      <c r="B1915" s="7" t="s">
        <v>8871</v>
      </c>
      <c r="C1915" s="7"/>
    </row>
    <row r="1916" customFormat="false" ht="15" hidden="false" customHeight="true" outlineLevel="0" collapsed="false">
      <c r="A1916" s="7" t="s">
        <v>4395</v>
      </c>
      <c r="B1916" s="7" t="s">
        <v>7453</v>
      </c>
      <c r="C1916" s="7" t="s">
        <v>8004</v>
      </c>
    </row>
    <row r="1917" customFormat="false" ht="15" hidden="false" customHeight="true" outlineLevel="0" collapsed="false">
      <c r="A1917" s="7" t="s">
        <v>4395</v>
      </c>
      <c r="B1917" s="7" t="s">
        <v>8872</v>
      </c>
      <c r="C1917" s="7"/>
    </row>
    <row r="1918" customFormat="false" ht="15" hidden="false" customHeight="true" outlineLevel="0" collapsed="false">
      <c r="A1918" s="7" t="s">
        <v>4395</v>
      </c>
      <c r="B1918" s="7" t="s">
        <v>8873</v>
      </c>
      <c r="C1918" s="7"/>
    </row>
    <row r="1919" customFormat="false" ht="15" hidden="false" customHeight="true" outlineLevel="0" collapsed="false">
      <c r="A1919" s="7" t="s">
        <v>6551</v>
      </c>
      <c r="B1919" s="7" t="s">
        <v>273</v>
      </c>
      <c r="C1919" s="7" t="s">
        <v>8004</v>
      </c>
    </row>
    <row r="1920" customFormat="false" ht="15" hidden="false" customHeight="true" outlineLevel="0" collapsed="false">
      <c r="A1920" s="7" t="s">
        <v>6551</v>
      </c>
      <c r="B1920" s="7" t="s">
        <v>8874</v>
      </c>
      <c r="C1920" s="7"/>
    </row>
    <row r="1921" customFormat="false" ht="15" hidden="false" customHeight="true" outlineLevel="0" collapsed="false">
      <c r="A1921" s="7" t="s">
        <v>6551</v>
      </c>
      <c r="B1921" s="7" t="s">
        <v>8875</v>
      </c>
      <c r="C1921" s="7"/>
    </row>
    <row r="1922" customFormat="false" ht="15" hidden="false" customHeight="true" outlineLevel="0" collapsed="false">
      <c r="A1922" s="7" t="s">
        <v>6551</v>
      </c>
      <c r="B1922" s="7" t="s">
        <v>8876</v>
      </c>
      <c r="C1922" s="7"/>
    </row>
    <row r="1923" customFormat="false" ht="15" hidden="false" customHeight="true" outlineLevel="0" collapsed="false">
      <c r="A1923" s="7" t="s">
        <v>6551</v>
      </c>
      <c r="B1923" s="7" t="s">
        <v>8877</v>
      </c>
      <c r="C1923" s="7"/>
    </row>
    <row r="1924" customFormat="false" ht="15" hidden="false" customHeight="true" outlineLevel="0" collapsed="false">
      <c r="A1924" s="7" t="s">
        <v>6551</v>
      </c>
      <c r="B1924" s="7" t="s">
        <v>8878</v>
      </c>
      <c r="C1924" s="7"/>
    </row>
    <row r="1925" customFormat="false" ht="15" hidden="false" customHeight="true" outlineLevel="0" collapsed="false">
      <c r="A1925" s="7" t="s">
        <v>6551</v>
      </c>
      <c r="B1925" s="7" t="s">
        <v>8879</v>
      </c>
      <c r="C1925" s="7"/>
    </row>
    <row r="1926" customFormat="false" ht="15" hidden="false" customHeight="true" outlineLevel="0" collapsed="false">
      <c r="A1926" s="7" t="s">
        <v>6551</v>
      </c>
      <c r="B1926" s="7" t="s">
        <v>8880</v>
      </c>
      <c r="C1926" s="7"/>
    </row>
    <row r="1927" customFormat="false" ht="15" hidden="false" customHeight="true" outlineLevel="0" collapsed="false">
      <c r="A1927" s="7" t="s">
        <v>6551</v>
      </c>
      <c r="B1927" s="7" t="s">
        <v>8881</v>
      </c>
      <c r="C1927" s="7"/>
    </row>
    <row r="1928" customFormat="false" ht="15" hidden="false" customHeight="true" outlineLevel="0" collapsed="false">
      <c r="A1928" s="7" t="s">
        <v>6551</v>
      </c>
      <c r="B1928" s="7" t="s">
        <v>8882</v>
      </c>
      <c r="C1928" s="7"/>
    </row>
    <row r="1929" customFormat="false" ht="15" hidden="false" customHeight="true" outlineLevel="0" collapsed="false">
      <c r="A1929" s="7" t="s">
        <v>4583</v>
      </c>
      <c r="B1929" s="7" t="s">
        <v>7454</v>
      </c>
      <c r="C1929" s="7" t="s">
        <v>8004</v>
      </c>
    </row>
    <row r="1930" customFormat="false" ht="15" hidden="false" customHeight="true" outlineLevel="0" collapsed="false">
      <c r="A1930" s="7" t="s">
        <v>4583</v>
      </c>
      <c r="B1930" s="7" t="s">
        <v>7455</v>
      </c>
      <c r="C1930" s="7" t="s">
        <v>8004</v>
      </c>
    </row>
    <row r="1931" customFormat="false" ht="15" hidden="false" customHeight="true" outlineLevel="0" collapsed="false">
      <c r="A1931" s="7" t="s">
        <v>4583</v>
      </c>
      <c r="B1931" s="7" t="s">
        <v>7456</v>
      </c>
      <c r="C1931" s="7" t="s">
        <v>8004</v>
      </c>
    </row>
    <row r="1932" customFormat="false" ht="15" hidden="false" customHeight="true" outlineLevel="0" collapsed="false">
      <c r="A1932" s="7" t="s">
        <v>4583</v>
      </c>
      <c r="B1932" s="7" t="s">
        <v>8883</v>
      </c>
      <c r="C1932" s="7"/>
    </row>
    <row r="1933" customFormat="false" ht="15" hidden="false" customHeight="true" outlineLevel="0" collapsed="false">
      <c r="A1933" s="7" t="s">
        <v>4583</v>
      </c>
      <c r="B1933" s="7" t="s">
        <v>8884</v>
      </c>
      <c r="C1933" s="7"/>
    </row>
    <row r="1934" customFormat="false" ht="15" hidden="false" customHeight="true" outlineLevel="0" collapsed="false">
      <c r="A1934" s="7" t="s">
        <v>4583</v>
      </c>
      <c r="B1934" s="7" t="s">
        <v>8885</v>
      </c>
      <c r="C1934" s="7"/>
    </row>
    <row r="1935" customFormat="false" ht="15" hidden="false" customHeight="true" outlineLevel="0" collapsed="false">
      <c r="A1935" s="7" t="s">
        <v>4583</v>
      </c>
      <c r="B1935" s="7" t="s">
        <v>8886</v>
      </c>
      <c r="C1935" s="7"/>
    </row>
    <row r="1936" customFormat="false" ht="15" hidden="false" customHeight="true" outlineLevel="0" collapsed="false">
      <c r="A1936" s="7" t="s">
        <v>4583</v>
      </c>
      <c r="B1936" s="7" t="s">
        <v>8887</v>
      </c>
      <c r="C1936" s="7"/>
    </row>
    <row r="1937" customFormat="false" ht="15" hidden="false" customHeight="true" outlineLevel="0" collapsed="false">
      <c r="A1937" s="7" t="s">
        <v>4583</v>
      </c>
      <c r="B1937" s="7" t="s">
        <v>8888</v>
      </c>
      <c r="C1937" s="7"/>
    </row>
    <row r="1938" customFormat="false" ht="15" hidden="false" customHeight="true" outlineLevel="0" collapsed="false">
      <c r="A1938" s="7" t="s">
        <v>4583</v>
      </c>
      <c r="B1938" s="7" t="s">
        <v>8889</v>
      </c>
      <c r="C1938" s="7"/>
    </row>
    <row r="1939" customFormat="false" ht="15" hidden="false" customHeight="true" outlineLevel="0" collapsed="false">
      <c r="A1939" s="7" t="s">
        <v>273</v>
      </c>
      <c r="B1939" s="7" t="s">
        <v>273</v>
      </c>
      <c r="C1939" s="7" t="s">
        <v>8004</v>
      </c>
    </row>
    <row r="1940" customFormat="false" ht="15" hidden="false" customHeight="true" outlineLevel="0" collapsed="false">
      <c r="A1940" s="7" t="s">
        <v>273</v>
      </c>
      <c r="B1940" s="7" t="s">
        <v>8874</v>
      </c>
      <c r="C1940" s="7"/>
    </row>
    <row r="1941" customFormat="false" ht="15" hidden="false" customHeight="true" outlineLevel="0" collapsed="false">
      <c r="A1941" s="7" t="s">
        <v>273</v>
      </c>
      <c r="B1941" s="7" t="s">
        <v>8875</v>
      </c>
      <c r="C1941" s="7"/>
    </row>
    <row r="1942" customFormat="false" ht="15" hidden="false" customHeight="true" outlineLevel="0" collapsed="false">
      <c r="A1942" s="7" t="s">
        <v>273</v>
      </c>
      <c r="B1942" s="7" t="s">
        <v>8876</v>
      </c>
      <c r="C1942" s="7"/>
    </row>
    <row r="1943" customFormat="false" ht="15" hidden="false" customHeight="true" outlineLevel="0" collapsed="false">
      <c r="A1943" s="7" t="s">
        <v>273</v>
      </c>
      <c r="B1943" s="7" t="s">
        <v>8877</v>
      </c>
      <c r="C1943" s="7"/>
    </row>
    <row r="1944" customFormat="false" ht="15" hidden="false" customHeight="true" outlineLevel="0" collapsed="false">
      <c r="A1944" s="7" t="s">
        <v>273</v>
      </c>
      <c r="B1944" s="7" t="s">
        <v>8878</v>
      </c>
      <c r="C1944" s="7"/>
    </row>
    <row r="1945" customFormat="false" ht="15" hidden="false" customHeight="true" outlineLevel="0" collapsed="false">
      <c r="A1945" s="7" t="s">
        <v>273</v>
      </c>
      <c r="B1945" s="7" t="s">
        <v>8879</v>
      </c>
      <c r="C1945" s="7"/>
    </row>
    <row r="1946" customFormat="false" ht="15" hidden="false" customHeight="true" outlineLevel="0" collapsed="false">
      <c r="A1946" s="7" t="s">
        <v>273</v>
      </c>
      <c r="B1946" s="7" t="s">
        <v>8880</v>
      </c>
      <c r="C1946" s="7"/>
    </row>
    <row r="1947" customFormat="false" ht="15" hidden="false" customHeight="true" outlineLevel="0" collapsed="false">
      <c r="A1947" s="7" t="s">
        <v>273</v>
      </c>
      <c r="B1947" s="7" t="s">
        <v>8881</v>
      </c>
      <c r="C1947" s="7"/>
    </row>
    <row r="1948" customFormat="false" ht="15" hidden="false" customHeight="true" outlineLevel="0" collapsed="false">
      <c r="A1948" s="7" t="s">
        <v>273</v>
      </c>
      <c r="B1948" s="7" t="s">
        <v>8882</v>
      </c>
      <c r="C1948" s="7"/>
    </row>
    <row r="1949" customFormat="false" ht="15" hidden="false" customHeight="true" outlineLevel="0" collapsed="false">
      <c r="A1949" s="7" t="s">
        <v>4594</v>
      </c>
      <c r="B1949" s="7" t="s">
        <v>4594</v>
      </c>
      <c r="C1949" s="7" t="s">
        <v>8004</v>
      </c>
    </row>
    <row r="1950" customFormat="false" ht="15" hidden="false" customHeight="true" outlineLevel="0" collapsed="false">
      <c r="A1950" s="7" t="s">
        <v>4594</v>
      </c>
      <c r="B1950" s="7" t="s">
        <v>7462</v>
      </c>
      <c r="C1950" s="7" t="s">
        <v>8004</v>
      </c>
    </row>
    <row r="1951" customFormat="false" ht="15" hidden="false" customHeight="true" outlineLevel="0" collapsed="false">
      <c r="A1951" s="7" t="s">
        <v>4594</v>
      </c>
      <c r="B1951" s="7" t="s">
        <v>7458</v>
      </c>
      <c r="C1951" s="7" t="s">
        <v>8004</v>
      </c>
    </row>
    <row r="1952" customFormat="false" ht="15" hidden="false" customHeight="true" outlineLevel="0" collapsed="false">
      <c r="A1952" s="7" t="s">
        <v>4594</v>
      </c>
      <c r="B1952" s="7" t="s">
        <v>7457</v>
      </c>
      <c r="C1952" s="7" t="s">
        <v>8004</v>
      </c>
    </row>
    <row r="1953" customFormat="false" ht="15" hidden="false" customHeight="true" outlineLevel="0" collapsed="false">
      <c r="A1953" s="7" t="s">
        <v>4594</v>
      </c>
      <c r="B1953" s="7" t="s">
        <v>8890</v>
      </c>
      <c r="C1953" s="7"/>
    </row>
    <row r="1954" customFormat="false" ht="15" hidden="false" customHeight="true" outlineLevel="0" collapsed="false">
      <c r="A1954" s="7" t="s">
        <v>4594</v>
      </c>
      <c r="B1954" s="7" t="s">
        <v>4598</v>
      </c>
      <c r="C1954" s="7" t="s">
        <v>8004</v>
      </c>
    </row>
    <row r="1955" customFormat="false" ht="15" hidden="false" customHeight="true" outlineLevel="0" collapsed="false">
      <c r="A1955" s="7" t="s">
        <v>4594</v>
      </c>
      <c r="B1955" s="7" t="s">
        <v>7460</v>
      </c>
      <c r="C1955" s="7" t="s">
        <v>8004</v>
      </c>
    </row>
    <row r="1956" customFormat="false" ht="15" hidden="false" customHeight="true" outlineLevel="0" collapsed="false">
      <c r="A1956" s="7" t="s">
        <v>4594</v>
      </c>
      <c r="B1956" s="7" t="s">
        <v>7461</v>
      </c>
      <c r="C1956" s="7" t="s">
        <v>8004</v>
      </c>
    </row>
    <row r="1957" customFormat="false" ht="15" hidden="false" customHeight="true" outlineLevel="0" collapsed="false">
      <c r="A1957" s="7" t="s">
        <v>4594</v>
      </c>
      <c r="B1957" s="7" t="s">
        <v>8891</v>
      </c>
      <c r="C1957" s="7"/>
    </row>
    <row r="1958" customFormat="false" ht="15" hidden="false" customHeight="true" outlineLevel="0" collapsed="false">
      <c r="A1958" s="7" t="s">
        <v>4594</v>
      </c>
      <c r="B1958" s="7" t="s">
        <v>7459</v>
      </c>
      <c r="C1958" s="7" t="s">
        <v>8004</v>
      </c>
    </row>
    <row r="1959" customFormat="false" ht="15" hidden="false" customHeight="true" outlineLevel="0" collapsed="false">
      <c r="A1959" s="7" t="s">
        <v>4606</v>
      </c>
      <c r="B1959" s="7" t="s">
        <v>4606</v>
      </c>
      <c r="C1959" s="7" t="s">
        <v>8004</v>
      </c>
    </row>
    <row r="1960" customFormat="false" ht="15" hidden="false" customHeight="true" outlineLevel="0" collapsed="false">
      <c r="A1960" s="7" t="s">
        <v>4606</v>
      </c>
      <c r="B1960" s="7" t="s">
        <v>7467</v>
      </c>
      <c r="C1960" s="7" t="s">
        <v>8004</v>
      </c>
    </row>
    <row r="1961" customFormat="false" ht="15" hidden="false" customHeight="true" outlineLevel="0" collapsed="false">
      <c r="A1961" s="7" t="s">
        <v>4606</v>
      </c>
      <c r="B1961" s="7" t="s">
        <v>7468</v>
      </c>
      <c r="C1961" s="7" t="s">
        <v>8004</v>
      </c>
    </row>
    <row r="1962" customFormat="false" ht="15" hidden="false" customHeight="true" outlineLevel="0" collapsed="false">
      <c r="A1962" s="7" t="s">
        <v>4606</v>
      </c>
      <c r="B1962" s="7" t="s">
        <v>4610</v>
      </c>
      <c r="C1962" s="7" t="s">
        <v>8004</v>
      </c>
    </row>
    <row r="1963" customFormat="false" ht="15" hidden="false" customHeight="true" outlineLevel="0" collapsed="false">
      <c r="A1963" s="7" t="s">
        <v>4606</v>
      </c>
      <c r="B1963" s="7" t="s">
        <v>8892</v>
      </c>
      <c r="C1963" s="7"/>
    </row>
    <row r="1964" customFormat="false" ht="15" hidden="false" customHeight="true" outlineLevel="0" collapsed="false">
      <c r="A1964" s="7" t="s">
        <v>4606</v>
      </c>
      <c r="B1964" s="7" t="s">
        <v>7464</v>
      </c>
      <c r="C1964" s="7" t="s">
        <v>8004</v>
      </c>
    </row>
    <row r="1965" customFormat="false" ht="15" hidden="false" customHeight="true" outlineLevel="0" collapsed="false">
      <c r="A1965" s="7" t="s">
        <v>4606</v>
      </c>
      <c r="B1965" s="7" t="s">
        <v>7463</v>
      </c>
      <c r="C1965" s="7" t="s">
        <v>8004</v>
      </c>
    </row>
    <row r="1966" customFormat="false" ht="15" hidden="false" customHeight="true" outlineLevel="0" collapsed="false">
      <c r="A1966" s="7" t="s">
        <v>4606</v>
      </c>
      <c r="B1966" s="7" t="s">
        <v>7465</v>
      </c>
      <c r="C1966" s="7" t="s">
        <v>8004</v>
      </c>
    </row>
    <row r="1967" customFormat="false" ht="15" hidden="false" customHeight="true" outlineLevel="0" collapsed="false">
      <c r="A1967" s="7" t="s">
        <v>4606</v>
      </c>
      <c r="B1967" s="7" t="s">
        <v>7466</v>
      </c>
      <c r="C1967" s="7" t="s">
        <v>8004</v>
      </c>
    </row>
    <row r="1968" customFormat="false" ht="15" hidden="false" customHeight="true" outlineLevel="0" collapsed="false">
      <c r="A1968" s="7" t="s">
        <v>4606</v>
      </c>
      <c r="B1968" s="7" t="s">
        <v>8893</v>
      </c>
      <c r="C1968" s="7"/>
    </row>
    <row r="1969" customFormat="false" ht="15" hidden="false" customHeight="true" outlineLevel="0" collapsed="false">
      <c r="A1969" s="7" t="s">
        <v>267</v>
      </c>
      <c r="B1969" s="7" t="s">
        <v>267</v>
      </c>
      <c r="C1969" s="7" t="s">
        <v>8004</v>
      </c>
    </row>
    <row r="1970" customFormat="false" ht="15" hidden="false" customHeight="true" outlineLevel="0" collapsed="false">
      <c r="A1970" s="7" t="s">
        <v>267</v>
      </c>
      <c r="B1970" s="7" t="s">
        <v>8894</v>
      </c>
      <c r="C1970" s="7"/>
    </row>
    <row r="1971" customFormat="false" ht="15" hidden="false" customHeight="true" outlineLevel="0" collapsed="false">
      <c r="A1971" s="7" t="s">
        <v>267</v>
      </c>
      <c r="B1971" s="7" t="s">
        <v>8895</v>
      </c>
      <c r="C1971" s="7"/>
    </row>
    <row r="1972" customFormat="false" ht="15" hidden="false" customHeight="true" outlineLevel="0" collapsed="false">
      <c r="A1972" s="7" t="s">
        <v>267</v>
      </c>
      <c r="B1972" s="7" t="s">
        <v>8896</v>
      </c>
      <c r="C1972" s="7"/>
    </row>
    <row r="1973" customFormat="false" ht="15" hidden="false" customHeight="true" outlineLevel="0" collapsed="false">
      <c r="A1973" s="7" t="s">
        <v>267</v>
      </c>
      <c r="B1973" s="7" t="s">
        <v>8897</v>
      </c>
      <c r="C1973" s="7"/>
    </row>
    <row r="1974" customFormat="false" ht="15" hidden="false" customHeight="true" outlineLevel="0" collapsed="false">
      <c r="A1974" s="7" t="s">
        <v>267</v>
      </c>
      <c r="B1974" s="7" t="s">
        <v>8898</v>
      </c>
      <c r="C1974" s="7"/>
    </row>
    <row r="1975" customFormat="false" ht="15" hidden="false" customHeight="true" outlineLevel="0" collapsed="false">
      <c r="A1975" s="7" t="s">
        <v>267</v>
      </c>
      <c r="B1975" s="7" t="s">
        <v>8899</v>
      </c>
      <c r="C1975" s="7"/>
    </row>
    <row r="1976" customFormat="false" ht="15" hidden="false" customHeight="true" outlineLevel="0" collapsed="false">
      <c r="A1976" s="7" t="s">
        <v>267</v>
      </c>
      <c r="B1976" s="7" t="s">
        <v>8900</v>
      </c>
      <c r="C1976" s="7"/>
    </row>
    <row r="1977" customFormat="false" ht="15" hidden="false" customHeight="true" outlineLevel="0" collapsed="false">
      <c r="A1977" s="7" t="s">
        <v>267</v>
      </c>
      <c r="B1977" s="7" t="s">
        <v>8901</v>
      </c>
      <c r="C1977" s="7"/>
    </row>
    <row r="1978" customFormat="false" ht="15" hidden="false" customHeight="true" outlineLevel="0" collapsed="false">
      <c r="A1978" s="7" t="s">
        <v>267</v>
      </c>
      <c r="B1978" s="7" t="s">
        <v>8902</v>
      </c>
      <c r="C1978" s="7"/>
    </row>
    <row r="1979" customFormat="false" ht="15" hidden="false" customHeight="true" outlineLevel="0" collapsed="false">
      <c r="A1979" s="7" t="s">
        <v>4692</v>
      </c>
      <c r="B1979" s="7" t="s">
        <v>4692</v>
      </c>
      <c r="C1979" s="7" t="s">
        <v>8004</v>
      </c>
    </row>
    <row r="1980" customFormat="false" ht="15" hidden="false" customHeight="true" outlineLevel="0" collapsed="false">
      <c r="A1980" s="7" t="s">
        <v>4692</v>
      </c>
      <c r="B1980" s="7" t="s">
        <v>8903</v>
      </c>
      <c r="C1980" s="7"/>
    </row>
    <row r="1981" customFormat="false" ht="15" hidden="false" customHeight="true" outlineLevel="0" collapsed="false">
      <c r="A1981" s="7" t="s">
        <v>4692</v>
      </c>
      <c r="B1981" s="7" t="s">
        <v>7470</v>
      </c>
      <c r="C1981" s="7" t="s">
        <v>8004</v>
      </c>
    </row>
    <row r="1982" customFormat="false" ht="15" hidden="false" customHeight="true" outlineLevel="0" collapsed="false">
      <c r="A1982" s="7" t="s">
        <v>4692</v>
      </c>
      <c r="B1982" s="7" t="s">
        <v>8904</v>
      </c>
      <c r="C1982" s="7"/>
    </row>
    <row r="1983" customFormat="false" ht="15" hidden="false" customHeight="true" outlineLevel="0" collapsed="false">
      <c r="A1983" s="7" t="s">
        <v>4692</v>
      </c>
      <c r="B1983" s="7" t="s">
        <v>7471</v>
      </c>
      <c r="C1983" s="7" t="s">
        <v>8004</v>
      </c>
    </row>
    <row r="1984" customFormat="false" ht="15" hidden="false" customHeight="true" outlineLevel="0" collapsed="false">
      <c r="A1984" s="7" t="s">
        <v>4692</v>
      </c>
      <c r="B1984" s="7" t="s">
        <v>8905</v>
      </c>
      <c r="C1984" s="7"/>
    </row>
    <row r="1985" customFormat="false" ht="15" hidden="false" customHeight="true" outlineLevel="0" collapsed="false">
      <c r="A1985" s="7" t="s">
        <v>4692</v>
      </c>
      <c r="B1985" s="7" t="s">
        <v>8906</v>
      </c>
      <c r="C1985" s="7"/>
    </row>
    <row r="1986" customFormat="false" ht="15" hidden="false" customHeight="true" outlineLevel="0" collapsed="false">
      <c r="A1986" s="7" t="s">
        <v>4692</v>
      </c>
      <c r="B1986" s="7" t="s">
        <v>7473</v>
      </c>
      <c r="C1986" s="7" t="s">
        <v>8004</v>
      </c>
    </row>
    <row r="1987" customFormat="false" ht="15" hidden="false" customHeight="true" outlineLevel="0" collapsed="false">
      <c r="A1987" s="7" t="s">
        <v>4692</v>
      </c>
      <c r="B1987" s="7" t="s">
        <v>4695</v>
      </c>
      <c r="C1987" s="7" t="s">
        <v>8004</v>
      </c>
    </row>
    <row r="1988" customFormat="false" ht="15" hidden="false" customHeight="true" outlineLevel="0" collapsed="false">
      <c r="A1988" s="7" t="s">
        <v>4692</v>
      </c>
      <c r="B1988" s="7" t="s">
        <v>7472</v>
      </c>
      <c r="C1988" s="7" t="s">
        <v>8004</v>
      </c>
    </row>
    <row r="1989" customFormat="false" ht="15" hidden="false" customHeight="true" outlineLevel="0" collapsed="false">
      <c r="A1989" s="7" t="s">
        <v>4671</v>
      </c>
      <c r="B1989" s="7" t="s">
        <v>4671</v>
      </c>
      <c r="C1989" s="7" t="s">
        <v>8004</v>
      </c>
    </row>
    <row r="1990" customFormat="false" ht="15" hidden="false" customHeight="true" outlineLevel="0" collapsed="false">
      <c r="A1990" s="7" t="s">
        <v>4671</v>
      </c>
      <c r="B1990" s="7" t="s">
        <v>7477</v>
      </c>
      <c r="C1990" s="7" t="s">
        <v>8004</v>
      </c>
    </row>
    <row r="1991" customFormat="false" ht="15" hidden="false" customHeight="true" outlineLevel="0" collapsed="false">
      <c r="A1991" s="7" t="s">
        <v>4671</v>
      </c>
      <c r="B1991" s="7" t="s">
        <v>7476</v>
      </c>
      <c r="C1991" s="7" t="s">
        <v>8004</v>
      </c>
    </row>
    <row r="1992" customFormat="false" ht="15" hidden="false" customHeight="true" outlineLevel="0" collapsed="false">
      <c r="A1992" s="7" t="s">
        <v>4671</v>
      </c>
      <c r="B1992" s="7" t="s">
        <v>8907</v>
      </c>
      <c r="C1992" s="7"/>
    </row>
    <row r="1993" customFormat="false" ht="15" hidden="false" customHeight="true" outlineLevel="0" collapsed="false">
      <c r="A1993" s="7" t="s">
        <v>4671</v>
      </c>
      <c r="B1993" s="7" t="s">
        <v>8908</v>
      </c>
      <c r="C1993" s="7"/>
    </row>
    <row r="1994" customFormat="false" ht="15" hidden="false" customHeight="true" outlineLevel="0" collapsed="false">
      <c r="A1994" s="7" t="s">
        <v>4671</v>
      </c>
      <c r="B1994" s="7" t="s">
        <v>7474</v>
      </c>
      <c r="C1994" s="7" t="s">
        <v>8004</v>
      </c>
    </row>
    <row r="1995" customFormat="false" ht="15" hidden="false" customHeight="true" outlineLevel="0" collapsed="false">
      <c r="A1995" s="7" t="s">
        <v>4671</v>
      </c>
      <c r="B1995" s="7" t="s">
        <v>8909</v>
      </c>
      <c r="C1995" s="7"/>
    </row>
    <row r="1996" customFormat="false" ht="15" hidden="false" customHeight="true" outlineLevel="0" collapsed="false">
      <c r="A1996" s="7" t="s">
        <v>4671</v>
      </c>
      <c r="B1996" s="7" t="s">
        <v>8910</v>
      </c>
      <c r="C1996" s="7"/>
    </row>
    <row r="1997" customFormat="false" ht="15" hidden="false" customHeight="true" outlineLevel="0" collapsed="false">
      <c r="A1997" s="7" t="s">
        <v>4671</v>
      </c>
      <c r="B1997" s="7" t="s">
        <v>8911</v>
      </c>
      <c r="C1997" s="7"/>
    </row>
    <row r="1998" customFormat="false" ht="15" hidden="false" customHeight="true" outlineLevel="0" collapsed="false">
      <c r="A1998" s="7" t="s">
        <v>4671</v>
      </c>
      <c r="B1998" s="7" t="s">
        <v>8912</v>
      </c>
      <c r="C1998" s="7"/>
    </row>
    <row r="1999" customFormat="false" ht="15" hidden="false" customHeight="true" outlineLevel="0" collapsed="false">
      <c r="A1999" s="7" t="s">
        <v>4744</v>
      </c>
      <c r="B1999" s="7" t="s">
        <v>7480</v>
      </c>
      <c r="C1999" s="7" t="s">
        <v>8004</v>
      </c>
    </row>
    <row r="2000" customFormat="false" ht="15" hidden="false" customHeight="true" outlineLevel="0" collapsed="false">
      <c r="A2000" s="7" t="s">
        <v>4744</v>
      </c>
      <c r="B2000" s="7" t="s">
        <v>8913</v>
      </c>
      <c r="C2000" s="7"/>
    </row>
    <row r="2001" customFormat="false" ht="15" hidden="false" customHeight="true" outlineLevel="0" collapsed="false">
      <c r="A2001" s="7" t="s">
        <v>4744</v>
      </c>
      <c r="B2001" s="7" t="s">
        <v>7478</v>
      </c>
      <c r="C2001" s="7" t="s">
        <v>8004</v>
      </c>
    </row>
    <row r="2002" customFormat="false" ht="15" hidden="false" customHeight="true" outlineLevel="0" collapsed="false">
      <c r="A2002" s="7" t="s">
        <v>4744</v>
      </c>
      <c r="B2002" s="7" t="s">
        <v>7479</v>
      </c>
      <c r="C2002" s="7" t="s">
        <v>8004</v>
      </c>
    </row>
    <row r="2003" customFormat="false" ht="15" hidden="false" customHeight="true" outlineLevel="0" collapsed="false">
      <c r="A2003" s="7" t="s">
        <v>4744</v>
      </c>
      <c r="B2003" s="7" t="s">
        <v>7469</v>
      </c>
      <c r="C2003" s="7" t="s">
        <v>8004</v>
      </c>
    </row>
    <row r="2004" customFormat="false" ht="15" hidden="false" customHeight="true" outlineLevel="0" collapsed="false">
      <c r="A2004" s="7" t="s">
        <v>4744</v>
      </c>
      <c r="B2004" s="7" t="s">
        <v>7475</v>
      </c>
      <c r="C2004" s="7" t="s">
        <v>8004</v>
      </c>
    </row>
    <row r="2005" customFormat="false" ht="15" hidden="false" customHeight="true" outlineLevel="0" collapsed="false">
      <c r="A2005" s="7" t="s">
        <v>4744</v>
      </c>
      <c r="B2005" s="7" t="s">
        <v>8914</v>
      </c>
      <c r="C2005" s="7"/>
    </row>
    <row r="2006" customFormat="false" ht="15" hidden="false" customHeight="true" outlineLevel="0" collapsed="false">
      <c r="A2006" s="7" t="s">
        <v>4744</v>
      </c>
      <c r="B2006" s="7" t="s">
        <v>7630</v>
      </c>
      <c r="C2006" s="7" t="s">
        <v>8004</v>
      </c>
    </row>
    <row r="2007" customFormat="false" ht="15" hidden="false" customHeight="true" outlineLevel="0" collapsed="false">
      <c r="A2007" s="7" t="s">
        <v>4744</v>
      </c>
      <c r="B2007" s="7" t="s">
        <v>8915</v>
      </c>
      <c r="C2007" s="7"/>
    </row>
    <row r="2008" customFormat="false" ht="15" hidden="false" customHeight="true" outlineLevel="0" collapsed="false">
      <c r="A2008" s="7" t="s">
        <v>4744</v>
      </c>
      <c r="B2008" s="7" t="s">
        <v>8916</v>
      </c>
      <c r="C2008" s="7"/>
    </row>
    <row r="2009" customFormat="false" ht="15" hidden="false" customHeight="true" outlineLevel="0" collapsed="false">
      <c r="A2009" s="7" t="s">
        <v>4628</v>
      </c>
      <c r="B2009" s="7" t="s">
        <v>4628</v>
      </c>
      <c r="C2009" s="7" t="s">
        <v>8004</v>
      </c>
    </row>
    <row r="2010" customFormat="false" ht="15" hidden="false" customHeight="true" outlineLevel="0" collapsed="false">
      <c r="A2010" s="7" t="s">
        <v>4628</v>
      </c>
      <c r="B2010" s="7" t="s">
        <v>8917</v>
      </c>
      <c r="C2010" s="7"/>
    </row>
    <row r="2011" customFormat="false" ht="15" hidden="false" customHeight="true" outlineLevel="0" collapsed="false">
      <c r="A2011" s="7" t="s">
        <v>4628</v>
      </c>
      <c r="B2011" s="7" t="s">
        <v>4632</v>
      </c>
      <c r="C2011" s="7" t="s">
        <v>8004</v>
      </c>
    </row>
    <row r="2012" customFormat="false" ht="15" hidden="false" customHeight="true" outlineLevel="0" collapsed="false">
      <c r="A2012" s="7" t="s">
        <v>4628</v>
      </c>
      <c r="B2012" s="7" t="s">
        <v>7484</v>
      </c>
      <c r="C2012" s="7" t="s">
        <v>8004</v>
      </c>
    </row>
    <row r="2013" customFormat="false" ht="15" hidden="false" customHeight="true" outlineLevel="0" collapsed="false">
      <c r="A2013" s="7" t="s">
        <v>4628</v>
      </c>
      <c r="B2013" s="7" t="s">
        <v>7483</v>
      </c>
      <c r="C2013" s="7" t="s">
        <v>8004</v>
      </c>
    </row>
    <row r="2014" customFormat="false" ht="15" hidden="false" customHeight="true" outlineLevel="0" collapsed="false">
      <c r="A2014" s="7" t="s">
        <v>4628</v>
      </c>
      <c r="B2014" s="7" t="s">
        <v>7481</v>
      </c>
      <c r="C2014" s="7" t="s">
        <v>8004</v>
      </c>
    </row>
    <row r="2015" customFormat="false" ht="15" hidden="false" customHeight="true" outlineLevel="0" collapsed="false">
      <c r="A2015" s="7" t="s">
        <v>4628</v>
      </c>
      <c r="B2015" s="7" t="s">
        <v>7482</v>
      </c>
      <c r="C2015" s="7" t="s">
        <v>8004</v>
      </c>
    </row>
    <row r="2016" customFormat="false" ht="15" hidden="false" customHeight="true" outlineLevel="0" collapsed="false">
      <c r="A2016" s="7" t="s">
        <v>4628</v>
      </c>
      <c r="B2016" s="7" t="s">
        <v>8918</v>
      </c>
      <c r="C2016" s="7"/>
    </row>
    <row r="2017" customFormat="false" ht="15" hidden="false" customHeight="true" outlineLevel="0" collapsed="false">
      <c r="A2017" s="7" t="s">
        <v>4628</v>
      </c>
      <c r="B2017" s="7" t="s">
        <v>7485</v>
      </c>
      <c r="C2017" s="7" t="s">
        <v>8004</v>
      </c>
    </row>
    <row r="2018" customFormat="false" ht="15" hidden="false" customHeight="true" outlineLevel="0" collapsed="false">
      <c r="A2018" s="7" t="s">
        <v>4628</v>
      </c>
      <c r="B2018" s="7" t="s">
        <v>4631</v>
      </c>
      <c r="C2018" s="7" t="s">
        <v>8004</v>
      </c>
    </row>
    <row r="2019" customFormat="false" ht="15" hidden="false" customHeight="true" outlineLevel="0" collapsed="false">
      <c r="A2019" s="7" t="s">
        <v>4703</v>
      </c>
      <c r="B2019" s="7" t="s">
        <v>7486</v>
      </c>
      <c r="C2019" s="7" t="s">
        <v>8004</v>
      </c>
    </row>
    <row r="2020" customFormat="false" ht="15" hidden="false" customHeight="true" outlineLevel="0" collapsed="false">
      <c r="A2020" s="7" t="s">
        <v>4703</v>
      </c>
      <c r="B2020" s="7" t="s">
        <v>7487</v>
      </c>
      <c r="C2020" s="7" t="s">
        <v>8004</v>
      </c>
    </row>
    <row r="2021" customFormat="false" ht="15" hidden="false" customHeight="true" outlineLevel="0" collapsed="false">
      <c r="A2021" s="7" t="s">
        <v>4703</v>
      </c>
      <c r="B2021" s="7" t="s">
        <v>8919</v>
      </c>
      <c r="C2021" s="7"/>
    </row>
    <row r="2022" customFormat="false" ht="15" hidden="false" customHeight="true" outlineLevel="0" collapsed="false">
      <c r="A2022" s="7" t="s">
        <v>4703</v>
      </c>
      <c r="B2022" s="7" t="s">
        <v>8920</v>
      </c>
      <c r="C2022" s="7"/>
    </row>
    <row r="2023" customFormat="false" ht="15" hidden="false" customHeight="true" outlineLevel="0" collapsed="false">
      <c r="A2023" s="7" t="s">
        <v>4703</v>
      </c>
      <c r="B2023" s="7" t="s">
        <v>8921</v>
      </c>
      <c r="C2023" s="7"/>
    </row>
    <row r="2024" customFormat="false" ht="15" hidden="false" customHeight="true" outlineLevel="0" collapsed="false">
      <c r="A2024" s="7" t="s">
        <v>4703</v>
      </c>
      <c r="B2024" s="7" t="s">
        <v>8922</v>
      </c>
      <c r="C2024" s="7"/>
    </row>
    <row r="2025" customFormat="false" ht="15" hidden="false" customHeight="true" outlineLevel="0" collapsed="false">
      <c r="A2025" s="7" t="s">
        <v>4703</v>
      </c>
      <c r="B2025" s="7" t="s">
        <v>8923</v>
      </c>
      <c r="C2025" s="7"/>
    </row>
    <row r="2026" customFormat="false" ht="15" hidden="false" customHeight="true" outlineLevel="0" collapsed="false">
      <c r="A2026" s="7" t="s">
        <v>4703</v>
      </c>
      <c r="B2026" s="7" t="s">
        <v>8924</v>
      </c>
      <c r="C2026" s="7"/>
    </row>
    <row r="2027" customFormat="false" ht="15" hidden="false" customHeight="true" outlineLevel="0" collapsed="false">
      <c r="A2027" s="7" t="s">
        <v>4703</v>
      </c>
      <c r="B2027" s="7" t="s">
        <v>8925</v>
      </c>
      <c r="C2027" s="7"/>
    </row>
    <row r="2028" customFormat="false" ht="15" hidden="false" customHeight="true" outlineLevel="0" collapsed="false">
      <c r="A2028" s="7" t="s">
        <v>4703</v>
      </c>
      <c r="B2028" s="7" t="s">
        <v>8926</v>
      </c>
      <c r="C2028" s="7"/>
    </row>
    <row r="2029" customFormat="false" ht="15" hidden="false" customHeight="true" outlineLevel="0" collapsed="false">
      <c r="A2029" s="7" t="s">
        <v>4639</v>
      </c>
      <c r="B2029" s="7" t="s">
        <v>4639</v>
      </c>
      <c r="C2029" s="7" t="s">
        <v>8004</v>
      </c>
    </row>
    <row r="2030" customFormat="false" ht="15" hidden="false" customHeight="true" outlineLevel="0" collapsed="false">
      <c r="A2030" s="7" t="s">
        <v>4639</v>
      </c>
      <c r="B2030" s="7" t="s">
        <v>8927</v>
      </c>
      <c r="C2030" s="7"/>
    </row>
    <row r="2031" customFormat="false" ht="15" hidden="false" customHeight="true" outlineLevel="0" collapsed="false">
      <c r="A2031" s="7" t="s">
        <v>4639</v>
      </c>
      <c r="B2031" s="7" t="s">
        <v>8928</v>
      </c>
      <c r="C2031" s="7"/>
    </row>
    <row r="2032" customFormat="false" ht="15" hidden="false" customHeight="true" outlineLevel="0" collapsed="false">
      <c r="A2032" s="7" t="s">
        <v>4639</v>
      </c>
      <c r="B2032" s="7" t="s">
        <v>8929</v>
      </c>
      <c r="C2032" s="7"/>
    </row>
    <row r="2033" customFormat="false" ht="15" hidden="false" customHeight="true" outlineLevel="0" collapsed="false">
      <c r="A2033" s="7" t="s">
        <v>4639</v>
      </c>
      <c r="B2033" s="7" t="s">
        <v>8930</v>
      </c>
      <c r="C2033" s="7"/>
    </row>
    <row r="2034" customFormat="false" ht="15" hidden="false" customHeight="true" outlineLevel="0" collapsed="false">
      <c r="A2034" s="7" t="s">
        <v>4639</v>
      </c>
      <c r="B2034" s="7" t="s">
        <v>8931</v>
      </c>
      <c r="C2034" s="7"/>
    </row>
    <row r="2035" customFormat="false" ht="15" hidden="false" customHeight="true" outlineLevel="0" collapsed="false">
      <c r="A2035" s="7" t="s">
        <v>4639</v>
      </c>
      <c r="B2035" s="7" t="s">
        <v>8932</v>
      </c>
      <c r="C2035" s="7"/>
    </row>
    <row r="2036" customFormat="false" ht="15" hidden="false" customHeight="true" outlineLevel="0" collapsed="false">
      <c r="A2036" s="7" t="s">
        <v>4639</v>
      </c>
      <c r="B2036" s="7" t="s">
        <v>8933</v>
      </c>
      <c r="C2036" s="7"/>
    </row>
    <row r="2037" customFormat="false" ht="15" hidden="false" customHeight="true" outlineLevel="0" collapsed="false">
      <c r="A2037" s="7" t="s">
        <v>4714</v>
      </c>
      <c r="B2037" s="7" t="s">
        <v>4714</v>
      </c>
      <c r="C2037" s="7" t="s">
        <v>8004</v>
      </c>
    </row>
    <row r="2038" customFormat="false" ht="15" hidden="false" customHeight="true" outlineLevel="0" collapsed="false">
      <c r="A2038" s="7" t="s">
        <v>4714</v>
      </c>
      <c r="B2038" s="7" t="s">
        <v>8934</v>
      </c>
      <c r="C2038" s="7"/>
    </row>
    <row r="2039" customFormat="false" ht="15" hidden="false" customHeight="true" outlineLevel="0" collapsed="false">
      <c r="A2039" s="7" t="s">
        <v>4714</v>
      </c>
      <c r="B2039" s="7" t="s">
        <v>8935</v>
      </c>
      <c r="C2039" s="7"/>
    </row>
    <row r="2040" customFormat="false" ht="15" hidden="false" customHeight="true" outlineLevel="0" collapsed="false">
      <c r="A2040" s="7" t="s">
        <v>4714</v>
      </c>
      <c r="B2040" s="7" t="s">
        <v>8936</v>
      </c>
      <c r="C2040" s="7"/>
    </row>
    <row r="2041" customFormat="false" ht="15" hidden="false" customHeight="true" outlineLevel="0" collapsed="false">
      <c r="A2041" s="7" t="s">
        <v>4714</v>
      </c>
      <c r="B2041" s="7" t="s">
        <v>8937</v>
      </c>
      <c r="C2041" s="7"/>
    </row>
    <row r="2042" customFormat="false" ht="15" hidden="false" customHeight="true" outlineLevel="0" collapsed="false">
      <c r="A2042" s="7" t="s">
        <v>4714</v>
      </c>
      <c r="B2042" s="7" t="s">
        <v>8938</v>
      </c>
      <c r="C2042" s="7"/>
    </row>
    <row r="2043" customFormat="false" ht="15" hidden="false" customHeight="true" outlineLevel="0" collapsed="false">
      <c r="A2043" s="7" t="s">
        <v>4714</v>
      </c>
      <c r="B2043" s="7" t="s">
        <v>7489</v>
      </c>
      <c r="C2043" s="7" t="s">
        <v>8004</v>
      </c>
    </row>
    <row r="2044" customFormat="false" ht="15" hidden="false" customHeight="true" outlineLevel="0" collapsed="false">
      <c r="A2044" s="7" t="s">
        <v>4714</v>
      </c>
      <c r="B2044" s="7" t="s">
        <v>8939</v>
      </c>
      <c r="C2044" s="7"/>
    </row>
    <row r="2045" customFormat="false" ht="15" hidden="false" customHeight="true" outlineLevel="0" collapsed="false">
      <c r="A2045" s="7" t="s">
        <v>4714</v>
      </c>
      <c r="B2045" s="7" t="s">
        <v>7488</v>
      </c>
      <c r="C2045" s="7" t="s">
        <v>8004</v>
      </c>
    </row>
    <row r="2046" customFormat="false" ht="15" hidden="false" customHeight="true" outlineLevel="0" collapsed="false">
      <c r="A2046" s="7" t="s">
        <v>4714</v>
      </c>
      <c r="B2046" s="7" t="s">
        <v>8940</v>
      </c>
      <c r="C2046" s="7"/>
    </row>
    <row r="2047" customFormat="false" ht="15" hidden="false" customHeight="true" outlineLevel="0" collapsed="false">
      <c r="A2047" s="7" t="s">
        <v>4649</v>
      </c>
      <c r="B2047" s="7" t="s">
        <v>8941</v>
      </c>
      <c r="C2047" s="7"/>
    </row>
    <row r="2048" customFormat="false" ht="15" hidden="false" customHeight="true" outlineLevel="0" collapsed="false">
      <c r="A2048" s="7" t="s">
        <v>4649</v>
      </c>
      <c r="B2048" s="7" t="s">
        <v>8942</v>
      </c>
      <c r="C2048" s="7"/>
    </row>
    <row r="2049" customFormat="false" ht="15" hidden="false" customHeight="true" outlineLevel="0" collapsed="false">
      <c r="A2049" s="7" t="s">
        <v>4649</v>
      </c>
      <c r="B2049" s="7" t="s">
        <v>8943</v>
      </c>
      <c r="C2049" s="7"/>
    </row>
    <row r="2050" customFormat="false" ht="15" hidden="false" customHeight="true" outlineLevel="0" collapsed="false">
      <c r="A2050" s="7" t="s">
        <v>4649</v>
      </c>
      <c r="B2050" s="7" t="s">
        <v>8944</v>
      </c>
      <c r="C2050" s="7"/>
    </row>
    <row r="2051" customFormat="false" ht="15" hidden="false" customHeight="true" outlineLevel="0" collapsed="false">
      <c r="A2051" s="7" t="s">
        <v>4649</v>
      </c>
      <c r="B2051" s="7" t="s">
        <v>8945</v>
      </c>
      <c r="C2051" s="7"/>
    </row>
    <row r="2052" customFormat="false" ht="15" hidden="false" customHeight="true" outlineLevel="0" collapsed="false">
      <c r="A2052" s="7" t="s">
        <v>4649</v>
      </c>
      <c r="B2052" s="7" t="s">
        <v>8946</v>
      </c>
      <c r="C2052" s="7"/>
    </row>
    <row r="2053" customFormat="false" ht="15" hidden="false" customHeight="true" outlineLevel="0" collapsed="false">
      <c r="A2053" s="7" t="s">
        <v>4649</v>
      </c>
      <c r="B2053" s="7" t="s">
        <v>4655</v>
      </c>
      <c r="C2053" s="7" t="s">
        <v>8004</v>
      </c>
    </row>
    <row r="2054" customFormat="false" ht="15" hidden="false" customHeight="true" outlineLevel="0" collapsed="false">
      <c r="A2054" s="7" t="s">
        <v>4649</v>
      </c>
      <c r="B2054" s="7" t="s">
        <v>8947</v>
      </c>
      <c r="C2054" s="7"/>
    </row>
    <row r="2055" customFormat="false" ht="15" hidden="false" customHeight="true" outlineLevel="0" collapsed="false">
      <c r="A2055" s="7" t="s">
        <v>4680</v>
      </c>
      <c r="B2055" s="7" t="s">
        <v>4680</v>
      </c>
      <c r="C2055" s="7" t="s">
        <v>8004</v>
      </c>
    </row>
    <row r="2056" customFormat="false" ht="15" hidden="false" customHeight="true" outlineLevel="0" collapsed="false">
      <c r="A2056" s="7" t="s">
        <v>4680</v>
      </c>
      <c r="B2056" s="7" t="s">
        <v>7490</v>
      </c>
      <c r="C2056" s="7" t="s">
        <v>8004</v>
      </c>
    </row>
    <row r="2057" customFormat="false" ht="15" hidden="false" customHeight="true" outlineLevel="0" collapsed="false">
      <c r="A2057" s="7" t="s">
        <v>4680</v>
      </c>
      <c r="B2057" s="7" t="s">
        <v>4684</v>
      </c>
      <c r="C2057" s="7" t="s">
        <v>8004</v>
      </c>
    </row>
    <row r="2058" customFormat="false" ht="15" hidden="false" customHeight="true" outlineLevel="0" collapsed="false">
      <c r="A2058" s="7" t="s">
        <v>4680</v>
      </c>
      <c r="B2058" s="7" t="s">
        <v>7494</v>
      </c>
      <c r="C2058" s="7" t="s">
        <v>8004</v>
      </c>
    </row>
    <row r="2059" customFormat="false" ht="15" hidden="false" customHeight="true" outlineLevel="0" collapsed="false">
      <c r="A2059" s="7" t="s">
        <v>4680</v>
      </c>
      <c r="B2059" s="7" t="s">
        <v>7492</v>
      </c>
      <c r="C2059" s="7" t="s">
        <v>8004</v>
      </c>
    </row>
    <row r="2060" customFormat="false" ht="15" hidden="false" customHeight="true" outlineLevel="0" collapsed="false">
      <c r="A2060" s="7" t="s">
        <v>4680</v>
      </c>
      <c r="B2060" s="7" t="s">
        <v>7491</v>
      </c>
      <c r="C2060" s="7" t="s">
        <v>8004</v>
      </c>
    </row>
    <row r="2061" customFormat="false" ht="15" hidden="false" customHeight="true" outlineLevel="0" collapsed="false">
      <c r="A2061" s="7" t="s">
        <v>4680</v>
      </c>
      <c r="B2061" s="7" t="s">
        <v>7493</v>
      </c>
      <c r="C2061" s="7" t="s">
        <v>8004</v>
      </c>
    </row>
    <row r="2062" customFormat="false" ht="15" hidden="false" customHeight="true" outlineLevel="0" collapsed="false">
      <c r="A2062" s="7" t="s">
        <v>4680</v>
      </c>
      <c r="B2062" s="7" t="s">
        <v>8948</v>
      </c>
      <c r="C2062" s="7"/>
    </row>
    <row r="2063" customFormat="false" ht="15" hidden="false" customHeight="true" outlineLevel="0" collapsed="false">
      <c r="A2063" s="7" t="s">
        <v>4680</v>
      </c>
      <c r="B2063" s="7" t="s">
        <v>7495</v>
      </c>
      <c r="C2063" s="7" t="s">
        <v>8004</v>
      </c>
    </row>
    <row r="2064" customFormat="false" ht="15" hidden="false" customHeight="true" outlineLevel="0" collapsed="false">
      <c r="A2064" s="7" t="s">
        <v>4680</v>
      </c>
      <c r="B2064" s="7" t="s">
        <v>8949</v>
      </c>
      <c r="C2064" s="7"/>
    </row>
    <row r="2065" customFormat="false" ht="15" hidden="false" customHeight="true" outlineLevel="0" collapsed="false">
      <c r="A2065" s="7" t="s">
        <v>4659</v>
      </c>
      <c r="B2065" s="7" t="s">
        <v>4659</v>
      </c>
      <c r="C2065" s="7" t="s">
        <v>8004</v>
      </c>
    </row>
    <row r="2066" customFormat="false" ht="15" hidden="false" customHeight="true" outlineLevel="0" collapsed="false">
      <c r="A2066" s="7" t="s">
        <v>4659</v>
      </c>
      <c r="B2066" s="7" t="s">
        <v>4662</v>
      </c>
      <c r="C2066" s="7" t="s">
        <v>8004</v>
      </c>
    </row>
    <row r="2067" customFormat="false" ht="15" hidden="false" customHeight="true" outlineLevel="0" collapsed="false">
      <c r="A2067" s="7" t="s">
        <v>4659</v>
      </c>
      <c r="B2067" s="7" t="s">
        <v>7499</v>
      </c>
      <c r="C2067" s="7" t="s">
        <v>8004</v>
      </c>
    </row>
    <row r="2068" customFormat="false" ht="15" hidden="false" customHeight="true" outlineLevel="0" collapsed="false">
      <c r="A2068" s="7" t="s">
        <v>4659</v>
      </c>
      <c r="B2068" s="7" t="s">
        <v>8950</v>
      </c>
      <c r="C2068" s="7"/>
    </row>
    <row r="2069" customFormat="false" ht="15" hidden="false" customHeight="true" outlineLevel="0" collapsed="false">
      <c r="A2069" s="7" t="s">
        <v>4659</v>
      </c>
      <c r="B2069" s="7" t="s">
        <v>7497</v>
      </c>
      <c r="C2069" s="7" t="s">
        <v>8004</v>
      </c>
    </row>
    <row r="2070" customFormat="false" ht="15" hidden="false" customHeight="true" outlineLevel="0" collapsed="false">
      <c r="A2070" s="7" t="s">
        <v>4659</v>
      </c>
      <c r="B2070" s="7" t="s">
        <v>7498</v>
      </c>
      <c r="C2070" s="7" t="s">
        <v>8004</v>
      </c>
    </row>
    <row r="2071" customFormat="false" ht="15" hidden="false" customHeight="true" outlineLevel="0" collapsed="false">
      <c r="A2071" s="7" t="s">
        <v>4659</v>
      </c>
      <c r="B2071" s="7" t="s">
        <v>4663</v>
      </c>
      <c r="C2071" s="7" t="s">
        <v>8004</v>
      </c>
    </row>
    <row r="2072" customFormat="false" ht="15" hidden="false" customHeight="true" outlineLevel="0" collapsed="false">
      <c r="A2072" s="7" t="s">
        <v>4659</v>
      </c>
      <c r="B2072" s="7" t="s">
        <v>7496</v>
      </c>
      <c r="C2072" s="7" t="s">
        <v>8004</v>
      </c>
    </row>
    <row r="2073" customFormat="false" ht="15" hidden="false" customHeight="true" outlineLevel="0" collapsed="false">
      <c r="A2073" s="7" t="s">
        <v>4659</v>
      </c>
      <c r="B2073" s="7" t="s">
        <v>8951</v>
      </c>
      <c r="C2073" s="7"/>
    </row>
    <row r="2074" customFormat="false" ht="15" hidden="false" customHeight="true" outlineLevel="0" collapsed="false">
      <c r="A2074" s="7" t="s">
        <v>4659</v>
      </c>
      <c r="B2074" s="7" t="s">
        <v>8952</v>
      </c>
      <c r="C2074" s="7"/>
    </row>
    <row r="2075" customFormat="false" ht="15" hidden="false" customHeight="true" outlineLevel="0" collapsed="false">
      <c r="A2075" s="7" t="s">
        <v>4724</v>
      </c>
      <c r="B2075" s="7" t="s">
        <v>4724</v>
      </c>
      <c r="C2075" s="7" t="s">
        <v>8004</v>
      </c>
    </row>
    <row r="2076" customFormat="false" ht="15" hidden="false" customHeight="true" outlineLevel="0" collapsed="false">
      <c r="A2076" s="7" t="s">
        <v>4724</v>
      </c>
      <c r="B2076" s="7" t="s">
        <v>7500</v>
      </c>
      <c r="C2076" s="7" t="s">
        <v>8004</v>
      </c>
    </row>
    <row r="2077" customFormat="false" ht="15" hidden="false" customHeight="true" outlineLevel="0" collapsed="false">
      <c r="A2077" s="7" t="s">
        <v>4724</v>
      </c>
      <c r="B2077" s="7" t="s">
        <v>7503</v>
      </c>
      <c r="C2077" s="7" t="s">
        <v>8004</v>
      </c>
    </row>
    <row r="2078" customFormat="false" ht="15" hidden="false" customHeight="true" outlineLevel="0" collapsed="false">
      <c r="A2078" s="7" t="s">
        <v>4724</v>
      </c>
      <c r="B2078" s="7" t="s">
        <v>8953</v>
      </c>
      <c r="C2078" s="7"/>
    </row>
    <row r="2079" customFormat="false" ht="15" hidden="false" customHeight="true" outlineLevel="0" collapsed="false">
      <c r="A2079" s="7" t="s">
        <v>4724</v>
      </c>
      <c r="B2079" s="7" t="s">
        <v>8954</v>
      </c>
      <c r="C2079" s="7"/>
    </row>
    <row r="2080" customFormat="false" ht="15" hidden="false" customHeight="true" outlineLevel="0" collapsed="false">
      <c r="A2080" s="7" t="s">
        <v>4724</v>
      </c>
      <c r="B2080" s="7" t="s">
        <v>8955</v>
      </c>
      <c r="C2080" s="7"/>
    </row>
    <row r="2081" customFormat="false" ht="15" hidden="false" customHeight="true" outlineLevel="0" collapsed="false">
      <c r="A2081" s="7" t="s">
        <v>4724</v>
      </c>
      <c r="B2081" s="7" t="s">
        <v>8956</v>
      </c>
      <c r="C2081" s="7"/>
    </row>
    <row r="2082" customFormat="false" ht="15" hidden="false" customHeight="true" outlineLevel="0" collapsed="false">
      <c r="A2082" s="7" t="s">
        <v>4724</v>
      </c>
      <c r="B2082" s="7" t="s">
        <v>7502</v>
      </c>
      <c r="C2082" s="7" t="s">
        <v>8004</v>
      </c>
    </row>
    <row r="2083" customFormat="false" ht="15" hidden="false" customHeight="true" outlineLevel="0" collapsed="false">
      <c r="A2083" s="7" t="s">
        <v>4724</v>
      </c>
      <c r="B2083" s="7" t="s">
        <v>7501</v>
      </c>
      <c r="C2083" s="7" t="s">
        <v>8004</v>
      </c>
    </row>
    <row r="2084" customFormat="false" ht="15" hidden="false" customHeight="true" outlineLevel="0" collapsed="false">
      <c r="A2084" s="7" t="s">
        <v>4724</v>
      </c>
      <c r="B2084" s="7" t="s">
        <v>8957</v>
      </c>
      <c r="C2084" s="7"/>
    </row>
    <row r="2085" customFormat="false" ht="15" hidden="false" customHeight="true" outlineLevel="0" collapsed="false">
      <c r="A2085" s="7" t="s">
        <v>264</v>
      </c>
      <c r="B2085" s="7" t="s">
        <v>264</v>
      </c>
      <c r="C2085" s="7" t="s">
        <v>8004</v>
      </c>
    </row>
    <row r="2086" customFormat="false" ht="15" hidden="false" customHeight="true" outlineLevel="0" collapsed="false">
      <c r="A2086" s="7" t="s">
        <v>264</v>
      </c>
      <c r="B2086" s="7" t="s">
        <v>8958</v>
      </c>
      <c r="C2086" s="7"/>
    </row>
    <row r="2087" customFormat="false" ht="15" hidden="false" customHeight="true" outlineLevel="0" collapsed="false">
      <c r="A2087" s="7" t="s">
        <v>264</v>
      </c>
      <c r="B2087" s="7" t="s">
        <v>6560</v>
      </c>
      <c r="C2087" s="7" t="s">
        <v>8004</v>
      </c>
    </row>
    <row r="2088" customFormat="false" ht="15" hidden="false" customHeight="true" outlineLevel="0" collapsed="false">
      <c r="A2088" s="7" t="s">
        <v>264</v>
      </c>
      <c r="B2088" s="7" t="s">
        <v>8959</v>
      </c>
      <c r="C2088" s="7"/>
    </row>
    <row r="2089" customFormat="false" ht="15" hidden="false" customHeight="true" outlineLevel="0" collapsed="false">
      <c r="A2089" s="7" t="s">
        <v>264</v>
      </c>
      <c r="B2089" s="7" t="s">
        <v>8960</v>
      </c>
      <c r="C2089" s="7"/>
    </row>
    <row r="2090" customFormat="false" ht="15" hidden="false" customHeight="true" outlineLevel="0" collapsed="false">
      <c r="A2090" s="7" t="s">
        <v>264</v>
      </c>
      <c r="B2090" s="7" t="s">
        <v>8961</v>
      </c>
      <c r="C2090" s="7"/>
    </row>
    <row r="2091" customFormat="false" ht="15" hidden="false" customHeight="true" outlineLevel="0" collapsed="false">
      <c r="A2091" s="7" t="s">
        <v>264</v>
      </c>
      <c r="B2091" s="7" t="s">
        <v>8962</v>
      </c>
      <c r="C2091" s="7"/>
    </row>
    <row r="2092" customFormat="false" ht="15" hidden="false" customHeight="true" outlineLevel="0" collapsed="false">
      <c r="A2092" s="7" t="s">
        <v>264</v>
      </c>
      <c r="B2092" s="7" t="s">
        <v>8963</v>
      </c>
      <c r="C2092" s="7"/>
    </row>
    <row r="2093" customFormat="false" ht="15" hidden="false" customHeight="true" outlineLevel="0" collapsed="false">
      <c r="A2093" s="7" t="s">
        <v>264</v>
      </c>
      <c r="B2093" s="7" t="s">
        <v>8964</v>
      </c>
      <c r="C2093" s="7"/>
    </row>
    <row r="2094" customFormat="false" ht="15" hidden="false" customHeight="true" outlineLevel="0" collapsed="false">
      <c r="A2094" s="7" t="s">
        <v>264</v>
      </c>
      <c r="B2094" s="7" t="s">
        <v>8965</v>
      </c>
      <c r="C2094" s="7"/>
    </row>
    <row r="2095" customFormat="false" ht="15" hidden="false" customHeight="true" outlineLevel="0" collapsed="false">
      <c r="A2095" s="7" t="s">
        <v>4734</v>
      </c>
      <c r="B2095" s="7" t="s">
        <v>4734</v>
      </c>
      <c r="C2095" s="7" t="s">
        <v>8004</v>
      </c>
    </row>
    <row r="2096" customFormat="false" ht="15" hidden="false" customHeight="true" outlineLevel="0" collapsed="false">
      <c r="A2096" s="7" t="s">
        <v>4734</v>
      </c>
      <c r="B2096" s="7" t="s">
        <v>8966</v>
      </c>
      <c r="C2096" s="7"/>
    </row>
    <row r="2097" customFormat="false" ht="15" hidden="false" customHeight="true" outlineLevel="0" collapsed="false">
      <c r="A2097" s="7" t="s">
        <v>4734</v>
      </c>
      <c r="B2097" s="7" t="s">
        <v>7506</v>
      </c>
      <c r="C2097" s="7" t="s">
        <v>8004</v>
      </c>
    </row>
    <row r="2098" customFormat="false" ht="15" hidden="false" customHeight="true" outlineLevel="0" collapsed="false">
      <c r="A2098" s="7" t="s">
        <v>4734</v>
      </c>
      <c r="B2098" s="7" t="s">
        <v>8967</v>
      </c>
      <c r="C2098" s="7"/>
    </row>
    <row r="2099" customFormat="false" ht="15" hidden="false" customHeight="true" outlineLevel="0" collapsed="false">
      <c r="A2099" s="7" t="s">
        <v>4734</v>
      </c>
      <c r="B2099" s="7" t="s">
        <v>8968</v>
      </c>
      <c r="C2099" s="7"/>
    </row>
    <row r="2100" customFormat="false" ht="15" hidden="false" customHeight="true" outlineLevel="0" collapsed="false">
      <c r="A2100" s="7" t="s">
        <v>4734</v>
      </c>
      <c r="B2100" s="7" t="s">
        <v>7504</v>
      </c>
      <c r="C2100" s="7" t="s">
        <v>8004</v>
      </c>
    </row>
    <row r="2101" customFormat="false" ht="15" hidden="false" customHeight="true" outlineLevel="0" collapsed="false">
      <c r="A2101" s="7" t="s">
        <v>4734</v>
      </c>
      <c r="B2101" s="7" t="s">
        <v>8969</v>
      </c>
      <c r="C2101" s="7"/>
    </row>
    <row r="2102" customFormat="false" ht="15" hidden="false" customHeight="true" outlineLevel="0" collapsed="false">
      <c r="A2102" s="7" t="s">
        <v>4734</v>
      </c>
      <c r="B2102" s="7" t="s">
        <v>8970</v>
      </c>
      <c r="C2102" s="7"/>
    </row>
    <row r="2103" customFormat="false" ht="15" hidden="false" customHeight="true" outlineLevel="0" collapsed="false">
      <c r="A2103" s="7" t="s">
        <v>4734</v>
      </c>
      <c r="B2103" s="7" t="s">
        <v>8971</v>
      </c>
      <c r="C2103" s="7"/>
    </row>
    <row r="2104" customFormat="false" ht="15" hidden="false" customHeight="true" outlineLevel="0" collapsed="false">
      <c r="A2104" s="7" t="s">
        <v>4734</v>
      </c>
      <c r="B2104" s="7" t="s">
        <v>7505</v>
      </c>
      <c r="C2104" s="7" t="s">
        <v>8004</v>
      </c>
    </row>
    <row r="2105" customFormat="false" ht="15" hidden="false" customHeight="true" outlineLevel="0" collapsed="false">
      <c r="A2105" s="7" t="s">
        <v>4808</v>
      </c>
      <c r="B2105" s="7" t="s">
        <v>4808</v>
      </c>
      <c r="C2105" s="7" t="s">
        <v>8004</v>
      </c>
    </row>
    <row r="2106" customFormat="false" ht="15" hidden="false" customHeight="true" outlineLevel="0" collapsed="false">
      <c r="A2106" s="7" t="s">
        <v>4808</v>
      </c>
      <c r="B2106" s="7" t="s">
        <v>4812</v>
      </c>
      <c r="C2106" s="7" t="s">
        <v>8004</v>
      </c>
    </row>
    <row r="2107" customFormat="false" ht="15" hidden="false" customHeight="true" outlineLevel="0" collapsed="false">
      <c r="A2107" s="7" t="s">
        <v>4808</v>
      </c>
      <c r="B2107" s="7" t="s">
        <v>7511</v>
      </c>
      <c r="C2107" s="7" t="s">
        <v>8004</v>
      </c>
    </row>
    <row r="2108" customFormat="false" ht="15" hidden="false" customHeight="true" outlineLevel="0" collapsed="false">
      <c r="A2108" s="7" t="s">
        <v>4808</v>
      </c>
      <c r="B2108" s="7" t="s">
        <v>7508</v>
      </c>
      <c r="C2108" s="7" t="s">
        <v>8004</v>
      </c>
    </row>
    <row r="2109" customFormat="false" ht="15" hidden="false" customHeight="true" outlineLevel="0" collapsed="false">
      <c r="A2109" s="7" t="s">
        <v>4808</v>
      </c>
      <c r="B2109" s="7" t="s">
        <v>7510</v>
      </c>
      <c r="C2109" s="7" t="s">
        <v>8004</v>
      </c>
    </row>
    <row r="2110" customFormat="false" ht="15" hidden="false" customHeight="true" outlineLevel="0" collapsed="false">
      <c r="A2110" s="7" t="s">
        <v>4808</v>
      </c>
      <c r="B2110" s="7" t="s">
        <v>7509</v>
      </c>
      <c r="C2110" s="7" t="s">
        <v>8004</v>
      </c>
    </row>
    <row r="2111" customFormat="false" ht="15" hidden="false" customHeight="true" outlineLevel="0" collapsed="false">
      <c r="A2111" s="7" t="s">
        <v>4808</v>
      </c>
      <c r="B2111" s="7" t="s">
        <v>7507</v>
      </c>
      <c r="C2111" s="7" t="s">
        <v>8004</v>
      </c>
    </row>
    <row r="2112" customFormat="false" ht="15" hidden="false" customHeight="true" outlineLevel="0" collapsed="false">
      <c r="A2112" s="7" t="s">
        <v>4808</v>
      </c>
      <c r="B2112" s="7" t="s">
        <v>8972</v>
      </c>
      <c r="C2112" s="7"/>
    </row>
    <row r="2113" customFormat="false" ht="15" hidden="false" customHeight="true" outlineLevel="0" collapsed="false">
      <c r="A2113" s="7" t="s">
        <v>4808</v>
      </c>
      <c r="B2113" s="7" t="s">
        <v>8973</v>
      </c>
      <c r="C2113" s="7"/>
    </row>
    <row r="2114" customFormat="false" ht="15" hidden="false" customHeight="true" outlineLevel="0" collapsed="false">
      <c r="A2114" s="7" t="s">
        <v>4808</v>
      </c>
      <c r="B2114" s="7" t="s">
        <v>8974</v>
      </c>
      <c r="C2114" s="7"/>
    </row>
    <row r="2115" customFormat="false" ht="15" hidden="false" customHeight="true" outlineLevel="0" collapsed="false">
      <c r="A2115" s="7" t="s">
        <v>4754</v>
      </c>
      <c r="B2115" s="7" t="s">
        <v>4754</v>
      </c>
      <c r="C2115" s="7" t="s">
        <v>8004</v>
      </c>
    </row>
    <row r="2116" customFormat="false" ht="15" hidden="false" customHeight="true" outlineLevel="0" collapsed="false">
      <c r="A2116" s="7" t="s">
        <v>4754</v>
      </c>
      <c r="B2116" s="7" t="s">
        <v>7514</v>
      </c>
      <c r="C2116" s="7" t="s">
        <v>8004</v>
      </c>
    </row>
    <row r="2117" customFormat="false" ht="15" hidden="false" customHeight="true" outlineLevel="0" collapsed="false">
      <c r="A2117" s="7" t="s">
        <v>4754</v>
      </c>
      <c r="B2117" s="7" t="s">
        <v>8975</v>
      </c>
      <c r="C2117" s="7"/>
    </row>
    <row r="2118" customFormat="false" ht="15" hidden="false" customHeight="true" outlineLevel="0" collapsed="false">
      <c r="A2118" s="7" t="s">
        <v>4754</v>
      </c>
      <c r="B2118" s="7" t="s">
        <v>7512</v>
      </c>
      <c r="C2118" s="7" t="s">
        <v>8004</v>
      </c>
    </row>
    <row r="2119" customFormat="false" ht="15" hidden="false" customHeight="true" outlineLevel="0" collapsed="false">
      <c r="A2119" s="7" t="s">
        <v>4754</v>
      </c>
      <c r="B2119" s="7" t="s">
        <v>7513</v>
      </c>
      <c r="C2119" s="7" t="s">
        <v>8004</v>
      </c>
    </row>
    <row r="2120" customFormat="false" ht="15" hidden="false" customHeight="true" outlineLevel="0" collapsed="false">
      <c r="A2120" s="7" t="s">
        <v>4754</v>
      </c>
      <c r="B2120" s="7" t="s">
        <v>8976</v>
      </c>
      <c r="C2120" s="7"/>
    </row>
    <row r="2121" customFormat="false" ht="15" hidden="false" customHeight="true" outlineLevel="0" collapsed="false">
      <c r="A2121" s="7" t="s">
        <v>4754</v>
      </c>
      <c r="B2121" s="7" t="s">
        <v>4758</v>
      </c>
      <c r="C2121" s="7" t="s">
        <v>8004</v>
      </c>
    </row>
    <row r="2122" customFormat="false" ht="15" hidden="false" customHeight="true" outlineLevel="0" collapsed="false">
      <c r="A2122" s="7" t="s">
        <v>4754</v>
      </c>
      <c r="B2122" s="7" t="s">
        <v>8977</v>
      </c>
      <c r="C2122" s="7"/>
    </row>
    <row r="2123" customFormat="false" ht="15" hidden="false" customHeight="true" outlineLevel="0" collapsed="false">
      <c r="A2123" s="7" t="s">
        <v>4754</v>
      </c>
      <c r="B2123" s="7" t="s">
        <v>8978</v>
      </c>
      <c r="C2123" s="7"/>
    </row>
    <row r="2124" customFormat="false" ht="15" hidden="false" customHeight="true" outlineLevel="0" collapsed="false">
      <c r="A2124" s="7" t="s">
        <v>4754</v>
      </c>
      <c r="B2124" s="7" t="s">
        <v>7515</v>
      </c>
      <c r="C2124" s="7" t="s">
        <v>8004</v>
      </c>
    </row>
    <row r="2125" customFormat="false" ht="15" hidden="false" customHeight="true" outlineLevel="0" collapsed="false">
      <c r="A2125" s="7" t="s">
        <v>4766</v>
      </c>
      <c r="B2125" s="7" t="s">
        <v>4766</v>
      </c>
      <c r="C2125" s="7" t="s">
        <v>8004</v>
      </c>
    </row>
    <row r="2126" customFormat="false" ht="15" hidden="false" customHeight="true" outlineLevel="0" collapsed="false">
      <c r="A2126" s="7" t="s">
        <v>4766</v>
      </c>
      <c r="B2126" s="7" t="s">
        <v>8979</v>
      </c>
      <c r="C2126" s="7"/>
    </row>
    <row r="2127" customFormat="false" ht="15" hidden="false" customHeight="true" outlineLevel="0" collapsed="false">
      <c r="A2127" s="7" t="s">
        <v>4766</v>
      </c>
      <c r="B2127" s="7" t="s">
        <v>4770</v>
      </c>
      <c r="C2127" s="7" t="s">
        <v>8004</v>
      </c>
    </row>
    <row r="2128" customFormat="false" ht="15" hidden="false" customHeight="true" outlineLevel="0" collapsed="false">
      <c r="A2128" s="7" t="s">
        <v>4766</v>
      </c>
      <c r="B2128" s="7" t="s">
        <v>8980</v>
      </c>
      <c r="C2128" s="7"/>
    </row>
    <row r="2129" customFormat="false" ht="15" hidden="false" customHeight="true" outlineLevel="0" collapsed="false">
      <c r="A2129" s="7" t="s">
        <v>4766</v>
      </c>
      <c r="B2129" s="7" t="s">
        <v>7516</v>
      </c>
      <c r="C2129" s="7" t="s">
        <v>8004</v>
      </c>
    </row>
    <row r="2130" customFormat="false" ht="15" hidden="false" customHeight="true" outlineLevel="0" collapsed="false">
      <c r="A2130" s="7" t="s">
        <v>4766</v>
      </c>
      <c r="B2130" s="7" t="s">
        <v>8981</v>
      </c>
      <c r="C2130" s="7"/>
    </row>
    <row r="2131" customFormat="false" ht="15" hidden="false" customHeight="true" outlineLevel="0" collapsed="false">
      <c r="A2131" s="7" t="s">
        <v>4766</v>
      </c>
      <c r="B2131" s="7" t="s">
        <v>8982</v>
      </c>
      <c r="C2131" s="7"/>
    </row>
    <row r="2132" customFormat="false" ht="15" hidden="false" customHeight="true" outlineLevel="0" collapsed="false">
      <c r="A2132" s="7" t="s">
        <v>4766</v>
      </c>
      <c r="B2132" s="7" t="s">
        <v>8983</v>
      </c>
      <c r="C2132" s="7"/>
    </row>
    <row r="2133" customFormat="false" ht="15" hidden="false" customHeight="true" outlineLevel="0" collapsed="false">
      <c r="A2133" s="7" t="s">
        <v>4766</v>
      </c>
      <c r="B2133" s="7" t="s">
        <v>8984</v>
      </c>
      <c r="C2133" s="7"/>
    </row>
    <row r="2134" customFormat="false" ht="15" hidden="false" customHeight="true" outlineLevel="0" collapsed="false">
      <c r="A2134" s="7" t="s">
        <v>4766</v>
      </c>
      <c r="B2134" s="7" t="s">
        <v>7517</v>
      </c>
      <c r="C2134" s="7" t="s">
        <v>8004</v>
      </c>
    </row>
    <row r="2135" customFormat="false" ht="15" hidden="false" customHeight="true" outlineLevel="0" collapsed="false">
      <c r="A2135" s="7" t="s">
        <v>4819</v>
      </c>
      <c r="B2135" s="7" t="s">
        <v>4819</v>
      </c>
      <c r="C2135" s="7" t="s">
        <v>8004</v>
      </c>
    </row>
    <row r="2136" customFormat="false" ht="15" hidden="false" customHeight="true" outlineLevel="0" collapsed="false">
      <c r="A2136" s="7" t="s">
        <v>4819</v>
      </c>
      <c r="B2136" s="7" t="s">
        <v>8985</v>
      </c>
      <c r="C2136" s="7"/>
    </row>
    <row r="2137" customFormat="false" ht="15" hidden="false" customHeight="true" outlineLevel="0" collapsed="false">
      <c r="A2137" s="7" t="s">
        <v>4819</v>
      </c>
      <c r="B2137" s="7" t="s">
        <v>7518</v>
      </c>
      <c r="C2137" s="7" t="s">
        <v>8004</v>
      </c>
    </row>
    <row r="2138" customFormat="false" ht="15" hidden="false" customHeight="true" outlineLevel="0" collapsed="false">
      <c r="A2138" s="7" t="s">
        <v>4819</v>
      </c>
      <c r="B2138" s="7" t="s">
        <v>8986</v>
      </c>
      <c r="C2138" s="7"/>
    </row>
    <row r="2139" customFormat="false" ht="15" hidden="false" customHeight="true" outlineLevel="0" collapsed="false">
      <c r="A2139" s="7" t="s">
        <v>4819</v>
      </c>
      <c r="B2139" s="7" t="s">
        <v>7519</v>
      </c>
      <c r="C2139" s="7" t="s">
        <v>8004</v>
      </c>
    </row>
    <row r="2140" customFormat="false" ht="15" hidden="false" customHeight="true" outlineLevel="0" collapsed="false">
      <c r="A2140" s="7" t="s">
        <v>4819</v>
      </c>
      <c r="B2140" s="7" t="s">
        <v>7530</v>
      </c>
      <c r="C2140" s="7" t="s">
        <v>8004</v>
      </c>
    </row>
    <row r="2141" customFormat="false" ht="15" hidden="false" customHeight="true" outlineLevel="0" collapsed="false">
      <c r="A2141" s="7" t="s">
        <v>4819</v>
      </c>
      <c r="B2141" s="7" t="s">
        <v>7520</v>
      </c>
      <c r="C2141" s="7" t="s">
        <v>8004</v>
      </c>
    </row>
    <row r="2142" customFormat="false" ht="15" hidden="false" customHeight="true" outlineLevel="0" collapsed="false">
      <c r="A2142" s="7" t="s">
        <v>4778</v>
      </c>
      <c r="B2142" s="7" t="s">
        <v>4778</v>
      </c>
      <c r="C2142" s="7" t="s">
        <v>8004</v>
      </c>
    </row>
    <row r="2143" customFormat="false" ht="15" hidden="false" customHeight="true" outlineLevel="0" collapsed="false">
      <c r="A2143" s="7" t="s">
        <v>4778</v>
      </c>
      <c r="B2143" s="7" t="s">
        <v>4782</v>
      </c>
      <c r="C2143" s="7" t="s">
        <v>8004</v>
      </c>
    </row>
    <row r="2144" customFormat="false" ht="15" hidden="false" customHeight="true" outlineLevel="0" collapsed="false">
      <c r="A2144" s="7" t="s">
        <v>4778</v>
      </c>
      <c r="B2144" s="7" t="s">
        <v>7525</v>
      </c>
      <c r="C2144" s="7" t="s">
        <v>8004</v>
      </c>
    </row>
    <row r="2145" customFormat="false" ht="15" hidden="false" customHeight="true" outlineLevel="0" collapsed="false">
      <c r="A2145" s="7" t="s">
        <v>4778</v>
      </c>
      <c r="B2145" s="7" t="s">
        <v>7524</v>
      </c>
      <c r="C2145" s="7" t="s">
        <v>8004</v>
      </c>
    </row>
    <row r="2146" customFormat="false" ht="15" hidden="false" customHeight="true" outlineLevel="0" collapsed="false">
      <c r="A2146" s="7" t="s">
        <v>4778</v>
      </c>
      <c r="B2146" s="7" t="s">
        <v>7522</v>
      </c>
      <c r="C2146" s="7" t="s">
        <v>8004</v>
      </c>
    </row>
    <row r="2147" customFormat="false" ht="15" hidden="false" customHeight="true" outlineLevel="0" collapsed="false">
      <c r="A2147" s="7" t="s">
        <v>4778</v>
      </c>
      <c r="B2147" s="7" t="s">
        <v>8987</v>
      </c>
      <c r="C2147" s="7"/>
    </row>
    <row r="2148" customFormat="false" ht="15" hidden="false" customHeight="true" outlineLevel="0" collapsed="false">
      <c r="A2148" s="7" t="s">
        <v>4778</v>
      </c>
      <c r="B2148" s="7" t="s">
        <v>7521</v>
      </c>
      <c r="C2148" s="7" t="s">
        <v>8004</v>
      </c>
    </row>
    <row r="2149" customFormat="false" ht="15" hidden="false" customHeight="true" outlineLevel="0" collapsed="false">
      <c r="A2149" s="7" t="s">
        <v>4778</v>
      </c>
      <c r="B2149" s="7" t="s">
        <v>8988</v>
      </c>
      <c r="C2149" s="7"/>
    </row>
    <row r="2150" customFormat="false" ht="15" hidden="false" customHeight="true" outlineLevel="0" collapsed="false">
      <c r="A2150" s="7" t="s">
        <v>4778</v>
      </c>
      <c r="B2150" s="7" t="s">
        <v>8989</v>
      </c>
      <c r="C2150" s="7"/>
    </row>
    <row r="2151" customFormat="false" ht="15" hidden="false" customHeight="true" outlineLevel="0" collapsed="false">
      <c r="A2151" s="7" t="s">
        <v>4778</v>
      </c>
      <c r="B2151" s="7" t="s">
        <v>7523</v>
      </c>
      <c r="C2151" s="7" t="s">
        <v>8004</v>
      </c>
    </row>
    <row r="2152" customFormat="false" ht="15" hidden="false" customHeight="true" outlineLevel="0" collapsed="false">
      <c r="A2152" s="7" t="s">
        <v>4788</v>
      </c>
      <c r="B2152" s="7" t="s">
        <v>4788</v>
      </c>
      <c r="C2152" s="7" t="s">
        <v>8004</v>
      </c>
    </row>
    <row r="2153" customFormat="false" ht="15" hidden="false" customHeight="true" outlineLevel="0" collapsed="false">
      <c r="A2153" s="7" t="s">
        <v>4788</v>
      </c>
      <c r="B2153" s="7" t="s">
        <v>4792</v>
      </c>
      <c r="C2153" s="7" t="s">
        <v>8004</v>
      </c>
    </row>
    <row r="2154" customFormat="false" ht="15" hidden="false" customHeight="true" outlineLevel="0" collapsed="false">
      <c r="A2154" s="7" t="s">
        <v>4788</v>
      </c>
      <c r="B2154" s="7" t="s">
        <v>7529</v>
      </c>
      <c r="C2154" s="7" t="s">
        <v>8004</v>
      </c>
    </row>
    <row r="2155" customFormat="false" ht="15" hidden="false" customHeight="true" outlineLevel="0" collapsed="false">
      <c r="A2155" s="7" t="s">
        <v>4788</v>
      </c>
      <c r="B2155" s="7" t="s">
        <v>7528</v>
      </c>
      <c r="C2155" s="7" t="s">
        <v>8004</v>
      </c>
    </row>
    <row r="2156" customFormat="false" ht="15" hidden="false" customHeight="true" outlineLevel="0" collapsed="false">
      <c r="A2156" s="7" t="s">
        <v>4788</v>
      </c>
      <c r="B2156" s="7" t="s">
        <v>7527</v>
      </c>
      <c r="C2156" s="7" t="s">
        <v>8004</v>
      </c>
    </row>
    <row r="2157" customFormat="false" ht="15" hidden="false" customHeight="true" outlineLevel="0" collapsed="false">
      <c r="A2157" s="7" t="s">
        <v>4788</v>
      </c>
      <c r="B2157" s="7" t="s">
        <v>4791</v>
      </c>
      <c r="C2157" s="7" t="s">
        <v>8004</v>
      </c>
    </row>
    <row r="2158" customFormat="false" ht="15" hidden="false" customHeight="true" outlineLevel="0" collapsed="false">
      <c r="A2158" s="7" t="s">
        <v>4788</v>
      </c>
      <c r="B2158" s="7" t="s">
        <v>7526</v>
      </c>
      <c r="C2158" s="7" t="s">
        <v>8004</v>
      </c>
    </row>
    <row r="2159" customFormat="false" ht="15" hidden="false" customHeight="true" outlineLevel="0" collapsed="false">
      <c r="A2159" s="7" t="s">
        <v>4788</v>
      </c>
      <c r="B2159" s="7" t="s">
        <v>8990</v>
      </c>
      <c r="C2159" s="7"/>
    </row>
    <row r="2160" customFormat="false" ht="15" hidden="false" customHeight="true" outlineLevel="0" collapsed="false">
      <c r="A2160" s="7" t="s">
        <v>4788</v>
      </c>
      <c r="B2160" s="7" t="s">
        <v>8991</v>
      </c>
      <c r="C2160" s="7"/>
    </row>
    <row r="2161" customFormat="false" ht="15" hidden="false" customHeight="true" outlineLevel="0" collapsed="false">
      <c r="A2161" s="7" t="s">
        <v>4788</v>
      </c>
      <c r="B2161" s="7" t="s">
        <v>8992</v>
      </c>
      <c r="C2161" s="7"/>
    </row>
    <row r="2162" customFormat="false" ht="15" hidden="false" customHeight="true" outlineLevel="0" collapsed="false">
      <c r="A2162" s="7" t="s">
        <v>268</v>
      </c>
      <c r="B2162" s="7" t="s">
        <v>268</v>
      </c>
      <c r="C2162" s="7" t="s">
        <v>8004</v>
      </c>
    </row>
    <row r="2163" customFormat="false" ht="15" hidden="false" customHeight="true" outlineLevel="0" collapsed="false">
      <c r="A2163" s="7" t="s">
        <v>268</v>
      </c>
      <c r="B2163" s="7" t="s">
        <v>8993</v>
      </c>
      <c r="C2163" s="7"/>
    </row>
    <row r="2164" customFormat="false" ht="15" hidden="false" customHeight="true" outlineLevel="0" collapsed="false">
      <c r="A2164" s="7" t="s">
        <v>268</v>
      </c>
      <c r="B2164" s="7" t="s">
        <v>8994</v>
      </c>
      <c r="C2164" s="7"/>
    </row>
    <row r="2165" customFormat="false" ht="15" hidden="false" customHeight="true" outlineLevel="0" collapsed="false">
      <c r="A2165" s="7" t="s">
        <v>268</v>
      </c>
      <c r="B2165" s="7" t="s">
        <v>8995</v>
      </c>
      <c r="C2165" s="7"/>
    </row>
    <row r="2166" customFormat="false" ht="15" hidden="false" customHeight="true" outlineLevel="0" collapsed="false">
      <c r="A2166" s="7" t="s">
        <v>268</v>
      </c>
      <c r="B2166" s="7" t="s">
        <v>8996</v>
      </c>
      <c r="C2166" s="7"/>
    </row>
    <row r="2167" customFormat="false" ht="15" hidden="false" customHeight="true" outlineLevel="0" collapsed="false">
      <c r="A2167" s="7" t="s">
        <v>268</v>
      </c>
      <c r="B2167" s="7" t="s">
        <v>8997</v>
      </c>
      <c r="C2167" s="7"/>
    </row>
    <row r="2168" customFormat="false" ht="15" hidden="false" customHeight="true" outlineLevel="0" collapsed="false">
      <c r="A2168" s="7" t="s">
        <v>268</v>
      </c>
      <c r="B2168" s="7" t="s">
        <v>8998</v>
      </c>
      <c r="C2168" s="7"/>
    </row>
    <row r="2169" customFormat="false" ht="15" hidden="false" customHeight="true" outlineLevel="0" collapsed="false">
      <c r="A2169" s="7" t="s">
        <v>268</v>
      </c>
      <c r="B2169" s="7" t="s">
        <v>8999</v>
      </c>
      <c r="C2169" s="7"/>
    </row>
    <row r="2170" customFormat="false" ht="15" hidden="false" customHeight="true" outlineLevel="0" collapsed="false">
      <c r="A2170" s="7" t="s">
        <v>268</v>
      </c>
      <c r="B2170" s="7" t="s">
        <v>9000</v>
      </c>
      <c r="C2170" s="7"/>
    </row>
    <row r="2171" customFormat="false" ht="15" hidden="false" customHeight="true" outlineLevel="0" collapsed="false">
      <c r="A2171" s="7" t="s">
        <v>268</v>
      </c>
      <c r="B2171" s="7" t="s">
        <v>9001</v>
      </c>
      <c r="C2171" s="7"/>
    </row>
    <row r="2172" customFormat="false" ht="15" hidden="false" customHeight="true" outlineLevel="0" collapsed="false">
      <c r="A2172" s="7" t="s">
        <v>4797</v>
      </c>
      <c r="B2172" s="7" t="s">
        <v>4797</v>
      </c>
      <c r="C2172" s="7" t="s">
        <v>8004</v>
      </c>
    </row>
    <row r="2173" customFormat="false" ht="15" hidden="false" customHeight="true" outlineLevel="0" collapsed="false">
      <c r="A2173" s="7" t="s">
        <v>4797</v>
      </c>
      <c r="B2173" s="7" t="s">
        <v>7535</v>
      </c>
      <c r="C2173" s="7" t="s">
        <v>8004</v>
      </c>
    </row>
    <row r="2174" customFormat="false" ht="15" hidden="false" customHeight="true" outlineLevel="0" collapsed="false">
      <c r="A2174" s="7" t="s">
        <v>4797</v>
      </c>
      <c r="B2174" s="7" t="s">
        <v>4801</v>
      </c>
      <c r="C2174" s="7" t="s">
        <v>8004</v>
      </c>
    </row>
    <row r="2175" customFormat="false" ht="15" hidden="false" customHeight="true" outlineLevel="0" collapsed="false">
      <c r="A2175" s="7" t="s">
        <v>4797</v>
      </c>
      <c r="B2175" s="7" t="s">
        <v>7531</v>
      </c>
      <c r="C2175" s="7" t="s">
        <v>8004</v>
      </c>
    </row>
    <row r="2176" customFormat="false" ht="15" hidden="false" customHeight="true" outlineLevel="0" collapsed="false">
      <c r="A2176" s="7" t="s">
        <v>4797</v>
      </c>
      <c r="B2176" s="7" t="s">
        <v>7532</v>
      </c>
      <c r="C2176" s="7" t="s">
        <v>8004</v>
      </c>
    </row>
    <row r="2177" customFormat="false" ht="15" hidden="false" customHeight="true" outlineLevel="0" collapsed="false">
      <c r="A2177" s="7" t="s">
        <v>4797</v>
      </c>
      <c r="B2177" s="7" t="s">
        <v>7534</v>
      </c>
      <c r="C2177" s="7" t="s">
        <v>8004</v>
      </c>
    </row>
    <row r="2178" customFormat="false" ht="15" hidden="false" customHeight="true" outlineLevel="0" collapsed="false">
      <c r="A2178" s="7" t="s">
        <v>4797</v>
      </c>
      <c r="B2178" s="7" t="s">
        <v>7533</v>
      </c>
      <c r="C2178" s="7" t="s">
        <v>8004</v>
      </c>
    </row>
    <row r="2179" customFormat="false" ht="15" hidden="false" customHeight="true" outlineLevel="0" collapsed="false">
      <c r="A2179" s="7" t="s">
        <v>4797</v>
      </c>
      <c r="B2179" s="7" t="s">
        <v>9002</v>
      </c>
      <c r="C2179" s="7"/>
    </row>
    <row r="2180" customFormat="false" ht="15" hidden="false" customHeight="true" outlineLevel="0" collapsed="false">
      <c r="A2180" s="7" t="s">
        <v>4797</v>
      </c>
      <c r="B2180" s="7" t="s">
        <v>9003</v>
      </c>
      <c r="C2180" s="7"/>
    </row>
    <row r="2181" customFormat="false" ht="15" hidden="false" customHeight="true" outlineLevel="0" collapsed="false">
      <c r="A2181" s="7" t="s">
        <v>4797</v>
      </c>
      <c r="B2181" s="7" t="s">
        <v>9004</v>
      </c>
      <c r="C2181" s="7"/>
    </row>
    <row r="2182" customFormat="false" ht="15" hidden="false" customHeight="true" outlineLevel="0" collapsed="false">
      <c r="A2182" s="7" t="s">
        <v>4885</v>
      </c>
      <c r="B2182" s="7" t="s">
        <v>4885</v>
      </c>
      <c r="C2182" s="7" t="s">
        <v>8004</v>
      </c>
    </row>
    <row r="2183" customFormat="false" ht="15" hidden="false" customHeight="true" outlineLevel="0" collapsed="false">
      <c r="A2183" s="7" t="s">
        <v>4885</v>
      </c>
      <c r="B2183" s="7" t="s">
        <v>9005</v>
      </c>
      <c r="C2183" s="7"/>
    </row>
    <row r="2184" customFormat="false" ht="15" hidden="false" customHeight="true" outlineLevel="0" collapsed="false">
      <c r="A2184" s="7" t="s">
        <v>4885</v>
      </c>
      <c r="B2184" s="7" t="s">
        <v>9006</v>
      </c>
      <c r="C2184" s="7"/>
    </row>
    <row r="2185" customFormat="false" ht="15" hidden="false" customHeight="true" outlineLevel="0" collapsed="false">
      <c r="A2185" s="7" t="s">
        <v>4885</v>
      </c>
      <c r="B2185" s="7" t="s">
        <v>9007</v>
      </c>
      <c r="C2185" s="7"/>
    </row>
    <row r="2186" customFormat="false" ht="15" hidden="false" customHeight="true" outlineLevel="0" collapsed="false">
      <c r="A2186" s="7" t="s">
        <v>4841</v>
      </c>
      <c r="B2186" s="7" t="s">
        <v>4841</v>
      </c>
      <c r="C2186" s="7" t="s">
        <v>8004</v>
      </c>
    </row>
    <row r="2187" customFormat="false" ht="15" hidden="false" customHeight="true" outlineLevel="0" collapsed="false">
      <c r="A2187" s="7" t="s">
        <v>4841</v>
      </c>
      <c r="B2187" s="7" t="s">
        <v>9008</v>
      </c>
      <c r="C2187" s="7"/>
    </row>
    <row r="2188" customFormat="false" ht="15" hidden="false" customHeight="true" outlineLevel="0" collapsed="false">
      <c r="A2188" s="7" t="s">
        <v>4841</v>
      </c>
      <c r="B2188" s="7" t="s">
        <v>9009</v>
      </c>
      <c r="C2188" s="7"/>
    </row>
    <row r="2189" customFormat="false" ht="15" hidden="false" customHeight="true" outlineLevel="0" collapsed="false">
      <c r="A2189" s="7" t="s">
        <v>4841</v>
      </c>
      <c r="B2189" s="7" t="s">
        <v>9010</v>
      </c>
      <c r="C2189" s="7"/>
    </row>
    <row r="2190" customFormat="false" ht="15" hidden="false" customHeight="true" outlineLevel="0" collapsed="false">
      <c r="A2190" s="7" t="s">
        <v>4841</v>
      </c>
      <c r="B2190" s="7" t="s">
        <v>9011</v>
      </c>
      <c r="C2190" s="7"/>
    </row>
    <row r="2191" customFormat="false" ht="15" hidden="false" customHeight="true" outlineLevel="0" collapsed="false">
      <c r="A2191" s="7" t="s">
        <v>4841</v>
      </c>
      <c r="B2191" s="7" t="s">
        <v>9012</v>
      </c>
      <c r="C2191" s="7"/>
    </row>
    <row r="2192" customFormat="false" ht="15" hidden="false" customHeight="true" outlineLevel="0" collapsed="false">
      <c r="A2192" s="7" t="s">
        <v>4859</v>
      </c>
      <c r="B2192" s="7" t="s">
        <v>4859</v>
      </c>
      <c r="C2192" s="7" t="s">
        <v>8004</v>
      </c>
    </row>
    <row r="2193" customFormat="false" ht="15" hidden="false" customHeight="true" outlineLevel="0" collapsed="false">
      <c r="A2193" s="7" t="s">
        <v>4859</v>
      </c>
      <c r="B2193" s="7" t="s">
        <v>4864</v>
      </c>
      <c r="C2193" s="7" t="s">
        <v>8004</v>
      </c>
    </row>
    <row r="2194" customFormat="false" ht="15" hidden="false" customHeight="true" outlineLevel="0" collapsed="false">
      <c r="A2194" s="7" t="s">
        <v>4870</v>
      </c>
      <c r="B2194" s="7" t="s">
        <v>4870</v>
      </c>
      <c r="C2194" s="7" t="s">
        <v>8004</v>
      </c>
    </row>
    <row r="2195" customFormat="false" ht="15" hidden="false" customHeight="true" outlineLevel="0" collapsed="false">
      <c r="A2195" s="7" t="s">
        <v>4870</v>
      </c>
      <c r="B2195" s="7" t="s">
        <v>9013</v>
      </c>
      <c r="C2195" s="7"/>
    </row>
    <row r="2196" customFormat="false" ht="15" hidden="false" customHeight="true" outlineLevel="0" collapsed="false">
      <c r="A2196" s="7" t="s">
        <v>4900</v>
      </c>
      <c r="B2196" s="7" t="s">
        <v>4900</v>
      </c>
      <c r="C2196" s="7" t="s">
        <v>8004</v>
      </c>
    </row>
    <row r="2197" customFormat="false" ht="15" hidden="false" customHeight="true" outlineLevel="0" collapsed="false">
      <c r="A2197" s="7" t="s">
        <v>4900</v>
      </c>
      <c r="B2197" s="7" t="s">
        <v>7537</v>
      </c>
      <c r="C2197" s="7" t="s">
        <v>8004</v>
      </c>
    </row>
    <row r="2198" customFormat="false" ht="15" hidden="false" customHeight="true" outlineLevel="0" collapsed="false">
      <c r="A2198" s="7" t="s">
        <v>4900</v>
      </c>
      <c r="B2198" s="7" t="s">
        <v>9014</v>
      </c>
      <c r="C2198" s="7"/>
    </row>
    <row r="2199" customFormat="false" ht="15" hidden="false" customHeight="true" outlineLevel="0" collapsed="false">
      <c r="A2199" s="7" t="s">
        <v>4900</v>
      </c>
      <c r="B2199" s="7" t="s">
        <v>7536</v>
      </c>
      <c r="C2199" s="7" t="s">
        <v>8004</v>
      </c>
    </row>
    <row r="2200" customFormat="false" ht="15" hidden="false" customHeight="true" outlineLevel="0" collapsed="false">
      <c r="A2200" s="7" t="s">
        <v>4900</v>
      </c>
      <c r="B2200" s="7" t="s">
        <v>4904</v>
      </c>
      <c r="C2200" s="7" t="s">
        <v>8004</v>
      </c>
    </row>
    <row r="2201" customFormat="false" ht="15" hidden="false" customHeight="true" outlineLevel="0" collapsed="false">
      <c r="A2201" s="7" t="s">
        <v>4900</v>
      </c>
      <c r="B2201" s="7" t="s">
        <v>9015</v>
      </c>
      <c r="C2201" s="7"/>
    </row>
    <row r="2202" customFormat="false" ht="15" hidden="false" customHeight="true" outlineLevel="0" collapsed="false">
      <c r="A2202" s="7" t="s">
        <v>4932</v>
      </c>
      <c r="B2202" s="7" t="s">
        <v>4932</v>
      </c>
      <c r="C2202" s="7" t="s">
        <v>8004</v>
      </c>
    </row>
    <row r="2203" customFormat="false" ht="15" hidden="false" customHeight="true" outlineLevel="0" collapsed="false">
      <c r="A2203" s="7" t="s">
        <v>4932</v>
      </c>
      <c r="B2203" s="7" t="s">
        <v>4936</v>
      </c>
      <c r="C2203" s="7" t="s">
        <v>8004</v>
      </c>
    </row>
    <row r="2204" customFormat="false" ht="15" hidden="false" customHeight="true" outlineLevel="0" collapsed="false">
      <c r="A2204" s="7" t="s">
        <v>4932</v>
      </c>
      <c r="B2204" s="7" t="s">
        <v>4935</v>
      </c>
      <c r="C2204" s="7" t="s">
        <v>8004</v>
      </c>
    </row>
    <row r="2205" customFormat="false" ht="15" hidden="false" customHeight="true" outlineLevel="0" collapsed="false">
      <c r="A2205" s="7" t="s">
        <v>4932</v>
      </c>
      <c r="B2205" s="7" t="s">
        <v>7538</v>
      </c>
      <c r="C2205" s="7" t="s">
        <v>8004</v>
      </c>
    </row>
    <row r="2206" customFormat="false" ht="15" hidden="false" customHeight="true" outlineLevel="0" collapsed="false">
      <c r="A2206" s="7" t="s">
        <v>4932</v>
      </c>
      <c r="B2206" s="7" t="s">
        <v>9016</v>
      </c>
      <c r="C2206" s="7"/>
    </row>
    <row r="2207" customFormat="false" ht="15" hidden="false" customHeight="true" outlineLevel="0" collapsed="false">
      <c r="A2207" s="7" t="s">
        <v>4932</v>
      </c>
      <c r="B2207" s="7" t="s">
        <v>9017</v>
      </c>
      <c r="C2207" s="7"/>
    </row>
    <row r="2208" customFormat="false" ht="15" hidden="false" customHeight="true" outlineLevel="0" collapsed="false">
      <c r="A2208" s="7" t="s">
        <v>4932</v>
      </c>
      <c r="B2208" s="7" t="s">
        <v>9018</v>
      </c>
      <c r="C2208" s="7"/>
    </row>
    <row r="2209" customFormat="false" ht="15" hidden="false" customHeight="true" outlineLevel="0" collapsed="false">
      <c r="A2209" s="7" t="s">
        <v>4932</v>
      </c>
      <c r="B2209" s="7" t="s">
        <v>9019</v>
      </c>
      <c r="C2209" s="7"/>
    </row>
    <row r="2210" customFormat="false" ht="15" hidden="false" customHeight="true" outlineLevel="0" collapsed="false">
      <c r="A2210" s="7" t="s">
        <v>4932</v>
      </c>
      <c r="B2210" s="7" t="s">
        <v>9020</v>
      </c>
      <c r="C2210" s="7"/>
    </row>
    <row r="2211" customFormat="false" ht="15" hidden="false" customHeight="true" outlineLevel="0" collapsed="false">
      <c r="A2211" s="7" t="s">
        <v>4932</v>
      </c>
      <c r="B2211" s="7" t="s">
        <v>9021</v>
      </c>
      <c r="C2211" s="7"/>
    </row>
    <row r="2212" customFormat="false" ht="15" hidden="false" customHeight="true" outlineLevel="0" collapsed="false">
      <c r="A2212" s="7" t="s">
        <v>6566</v>
      </c>
      <c r="B2212" s="7" t="s">
        <v>6566</v>
      </c>
      <c r="C2212" s="7" t="s">
        <v>8004</v>
      </c>
    </row>
    <row r="2213" customFormat="false" ht="15" hidden="false" customHeight="true" outlineLevel="0" collapsed="false">
      <c r="A2213" s="7" t="s">
        <v>6566</v>
      </c>
      <c r="B2213" s="7" t="s">
        <v>9022</v>
      </c>
      <c r="C2213" s="7"/>
    </row>
    <row r="2214" customFormat="false" ht="15" hidden="false" customHeight="true" outlineLevel="0" collapsed="false">
      <c r="A2214" s="7" t="s">
        <v>6566</v>
      </c>
      <c r="B2214" s="7" t="s">
        <v>9023</v>
      </c>
      <c r="C2214" s="7"/>
    </row>
    <row r="2215" customFormat="false" ht="15" hidden="false" customHeight="true" outlineLevel="0" collapsed="false">
      <c r="A2215" s="7" t="s">
        <v>6566</v>
      </c>
      <c r="B2215" s="7" t="s">
        <v>9024</v>
      </c>
      <c r="C2215" s="7"/>
    </row>
    <row r="2216" customFormat="false" ht="15" hidden="false" customHeight="true" outlineLevel="0" collapsed="false">
      <c r="A2216" s="7" t="s">
        <v>6566</v>
      </c>
      <c r="B2216" s="7" t="s">
        <v>9025</v>
      </c>
      <c r="C2216" s="7"/>
    </row>
    <row r="2217" customFormat="false" ht="15" hidden="false" customHeight="true" outlineLevel="0" collapsed="false">
      <c r="A2217" s="7" t="s">
        <v>6566</v>
      </c>
      <c r="B2217" s="7" t="s">
        <v>9026</v>
      </c>
      <c r="C2217" s="7"/>
    </row>
    <row r="2218" customFormat="false" ht="15" hidden="false" customHeight="true" outlineLevel="0" collapsed="false">
      <c r="A2218" s="7" t="s">
        <v>6566</v>
      </c>
      <c r="B2218" s="7" t="s">
        <v>9027</v>
      </c>
      <c r="C2218" s="7"/>
    </row>
    <row r="2219" customFormat="false" ht="15" hidden="false" customHeight="true" outlineLevel="0" collapsed="false">
      <c r="A2219" s="7" t="s">
        <v>6566</v>
      </c>
      <c r="B2219" s="7" t="s">
        <v>9028</v>
      </c>
      <c r="C2219" s="7"/>
    </row>
    <row r="2220" customFormat="false" ht="15" hidden="false" customHeight="true" outlineLevel="0" collapsed="false">
      <c r="A2220" s="7" t="s">
        <v>6566</v>
      </c>
      <c r="B2220" s="7" t="s">
        <v>9029</v>
      </c>
      <c r="C2220" s="7"/>
    </row>
    <row r="2221" customFormat="false" ht="15" hidden="false" customHeight="true" outlineLevel="0" collapsed="false">
      <c r="A2221" s="7" t="s">
        <v>6566</v>
      </c>
      <c r="B2221" s="7" t="s">
        <v>7537</v>
      </c>
      <c r="C2221" s="7" t="s">
        <v>8004</v>
      </c>
    </row>
    <row r="2222" customFormat="false" ht="15" hidden="false" customHeight="true" outlineLevel="0" collapsed="false">
      <c r="A2222" s="7" t="s">
        <v>4947</v>
      </c>
      <c r="B2222" s="7" t="s">
        <v>4947</v>
      </c>
      <c r="C2222" s="7" t="s">
        <v>8004</v>
      </c>
    </row>
    <row r="2223" customFormat="false" ht="15" hidden="false" customHeight="true" outlineLevel="0" collapsed="false">
      <c r="A2223" s="7" t="s">
        <v>4947</v>
      </c>
      <c r="B2223" s="7" t="s">
        <v>9030</v>
      </c>
      <c r="C2223" s="7"/>
    </row>
    <row r="2224" customFormat="false" ht="15" hidden="false" customHeight="true" outlineLevel="0" collapsed="false">
      <c r="A2224" s="7" t="s">
        <v>4947</v>
      </c>
      <c r="B2224" s="7" t="s">
        <v>9031</v>
      </c>
      <c r="C2224" s="7"/>
    </row>
    <row r="2225" customFormat="false" ht="15" hidden="false" customHeight="true" outlineLevel="0" collapsed="false">
      <c r="A2225" s="7" t="s">
        <v>4962</v>
      </c>
      <c r="B2225" s="7" t="s">
        <v>4962</v>
      </c>
      <c r="C2225" s="7" t="s">
        <v>8004</v>
      </c>
    </row>
    <row r="2226" customFormat="false" ht="15" hidden="false" customHeight="true" outlineLevel="0" collapsed="false">
      <c r="A2226" s="7" t="s">
        <v>4962</v>
      </c>
      <c r="B2226" s="7" t="s">
        <v>4967</v>
      </c>
      <c r="C2226" s="7" t="s">
        <v>8004</v>
      </c>
    </row>
    <row r="2227" customFormat="false" ht="15" hidden="false" customHeight="true" outlineLevel="0" collapsed="false">
      <c r="A2227" s="7" t="s">
        <v>4978</v>
      </c>
      <c r="B2227" s="7" t="s">
        <v>4978</v>
      </c>
      <c r="C2227" s="7" t="s">
        <v>8004</v>
      </c>
    </row>
    <row r="2228" customFormat="false" ht="15" hidden="false" customHeight="true" outlineLevel="0" collapsed="false">
      <c r="A2228" s="7" t="s">
        <v>4978</v>
      </c>
      <c r="B2228" s="7" t="s">
        <v>9032</v>
      </c>
      <c r="C2228" s="7"/>
    </row>
    <row r="2229" customFormat="false" ht="15" hidden="false" customHeight="true" outlineLevel="0" collapsed="false">
      <c r="A2229" s="7" t="s">
        <v>4978</v>
      </c>
      <c r="B2229" s="7" t="s">
        <v>4983</v>
      </c>
      <c r="C2229" s="7" t="s">
        <v>8004</v>
      </c>
    </row>
    <row r="2230" customFormat="false" ht="15" hidden="false" customHeight="true" outlineLevel="0" collapsed="false">
      <c r="A2230" s="7" t="s">
        <v>4978</v>
      </c>
      <c r="B2230" s="7" t="s">
        <v>9033</v>
      </c>
      <c r="C2230" s="7"/>
    </row>
    <row r="2231" customFormat="false" ht="15" hidden="false" customHeight="true" outlineLevel="0" collapsed="false">
      <c r="A2231" s="7" t="s">
        <v>4978</v>
      </c>
      <c r="B2231" s="7" t="s">
        <v>9034</v>
      </c>
      <c r="C2231" s="7"/>
    </row>
    <row r="2232" customFormat="false" ht="15" hidden="false" customHeight="true" outlineLevel="0" collapsed="false">
      <c r="A2232" s="7" t="s">
        <v>4978</v>
      </c>
      <c r="B2232" s="7" t="s">
        <v>9035</v>
      </c>
      <c r="C2232" s="7"/>
    </row>
    <row r="2233" customFormat="false" ht="15" hidden="false" customHeight="true" outlineLevel="0" collapsed="false">
      <c r="A2233" s="7" t="s">
        <v>277</v>
      </c>
      <c r="B2233" s="7" t="s">
        <v>277</v>
      </c>
      <c r="C2233" s="7" t="s">
        <v>8004</v>
      </c>
    </row>
    <row r="2234" customFormat="false" ht="15" hidden="false" customHeight="true" outlineLevel="0" collapsed="false">
      <c r="A2234" s="7" t="s">
        <v>277</v>
      </c>
      <c r="B2234" s="7" t="s">
        <v>9036</v>
      </c>
      <c r="C2234" s="7"/>
    </row>
    <row r="2235" customFormat="false" ht="15" hidden="false" customHeight="true" outlineLevel="0" collapsed="false">
      <c r="A2235" s="7" t="s">
        <v>277</v>
      </c>
      <c r="B2235" s="7" t="s">
        <v>9037</v>
      </c>
      <c r="C2235" s="7"/>
    </row>
    <row r="2236" customFormat="false" ht="15" hidden="false" customHeight="true" outlineLevel="0" collapsed="false">
      <c r="A2236" s="7" t="s">
        <v>277</v>
      </c>
      <c r="B2236" s="7" t="s">
        <v>9038</v>
      </c>
      <c r="C2236" s="7"/>
    </row>
    <row r="2237" customFormat="false" ht="15" hidden="false" customHeight="true" outlineLevel="0" collapsed="false">
      <c r="A2237" s="7" t="s">
        <v>277</v>
      </c>
      <c r="B2237" s="7" t="s">
        <v>9039</v>
      </c>
      <c r="C2237" s="7"/>
    </row>
    <row r="2238" customFormat="false" ht="15" hidden="false" customHeight="true" outlineLevel="0" collapsed="false">
      <c r="A2238" s="7" t="s">
        <v>277</v>
      </c>
      <c r="B2238" s="7" t="s">
        <v>9040</v>
      </c>
      <c r="C2238" s="7"/>
    </row>
    <row r="2239" customFormat="false" ht="15" hidden="false" customHeight="true" outlineLevel="0" collapsed="false">
      <c r="A2239" s="7" t="s">
        <v>277</v>
      </c>
      <c r="B2239" s="7" t="s">
        <v>9041</v>
      </c>
      <c r="C2239" s="7"/>
    </row>
    <row r="2240" customFormat="false" ht="15" hidden="false" customHeight="true" outlineLevel="0" collapsed="false">
      <c r="A2240" s="7" t="s">
        <v>277</v>
      </c>
      <c r="B2240" s="7" t="s">
        <v>9042</v>
      </c>
      <c r="C2240" s="7"/>
    </row>
    <row r="2241" customFormat="false" ht="15" hidden="false" customHeight="true" outlineLevel="0" collapsed="false">
      <c r="A2241" s="7" t="s">
        <v>277</v>
      </c>
      <c r="B2241" s="7" t="s">
        <v>9043</v>
      </c>
      <c r="C2241" s="7"/>
    </row>
    <row r="2242" customFormat="false" ht="15" hidden="false" customHeight="true" outlineLevel="0" collapsed="false">
      <c r="A2242" s="7" t="s">
        <v>277</v>
      </c>
      <c r="B2242" s="7" t="s">
        <v>9044</v>
      </c>
      <c r="C2242" s="7"/>
    </row>
    <row r="2243" customFormat="false" ht="15" hidden="false" customHeight="true" outlineLevel="0" collapsed="false">
      <c r="A2243" s="7" t="s">
        <v>5900</v>
      </c>
      <c r="B2243" s="7" t="s">
        <v>5905</v>
      </c>
      <c r="C2243" s="7" t="s">
        <v>8004</v>
      </c>
    </row>
    <row r="2244" customFormat="false" ht="15" hidden="false" customHeight="true" outlineLevel="0" collapsed="false">
      <c r="A2244" s="7" t="s">
        <v>5900</v>
      </c>
      <c r="B2244" s="7" t="s">
        <v>9045</v>
      </c>
      <c r="C2244" s="7"/>
    </row>
    <row r="2245" customFormat="false" ht="15" hidden="false" customHeight="true" outlineLevel="0" collapsed="false">
      <c r="A2245" s="7" t="s">
        <v>5900</v>
      </c>
      <c r="B2245" s="7" t="s">
        <v>9046</v>
      </c>
      <c r="C2245" s="7"/>
    </row>
    <row r="2246" customFormat="false" ht="15" hidden="false" customHeight="true" outlineLevel="0" collapsed="false">
      <c r="A2246" s="7" t="s">
        <v>5008</v>
      </c>
      <c r="B2246" s="7" t="s">
        <v>5008</v>
      </c>
      <c r="C2246" s="7" t="s">
        <v>8004</v>
      </c>
    </row>
    <row r="2247" customFormat="false" ht="15" hidden="false" customHeight="true" outlineLevel="0" collapsed="false">
      <c r="A2247" s="7" t="s">
        <v>5008</v>
      </c>
      <c r="B2247" s="7" t="s">
        <v>9047</v>
      </c>
      <c r="C2247" s="7"/>
    </row>
    <row r="2248" customFormat="false" ht="15" hidden="false" customHeight="true" outlineLevel="0" collapsed="false">
      <c r="A2248" s="7" t="s">
        <v>5008</v>
      </c>
      <c r="B2248" s="7" t="s">
        <v>9048</v>
      </c>
      <c r="C2248" s="7"/>
    </row>
    <row r="2249" customFormat="false" ht="15" hidden="false" customHeight="true" outlineLevel="0" collapsed="false">
      <c r="A2249" s="7" t="s">
        <v>5008</v>
      </c>
      <c r="B2249" s="7" t="s">
        <v>7540</v>
      </c>
      <c r="C2249" s="7" t="s">
        <v>8004</v>
      </c>
    </row>
    <row r="2250" customFormat="false" ht="15" hidden="false" customHeight="true" outlineLevel="0" collapsed="false">
      <c r="A2250" s="7" t="s">
        <v>5008</v>
      </c>
      <c r="B2250" s="7" t="s">
        <v>7539</v>
      </c>
      <c r="C2250" s="7" t="s">
        <v>8004</v>
      </c>
    </row>
    <row r="2251" customFormat="false" ht="15" hidden="false" customHeight="true" outlineLevel="0" collapsed="false">
      <c r="A2251" s="7" t="s">
        <v>5008</v>
      </c>
      <c r="B2251" s="7" t="s">
        <v>5011</v>
      </c>
      <c r="C2251" s="7" t="s">
        <v>8004</v>
      </c>
    </row>
    <row r="2252" customFormat="false" ht="15" hidden="false" customHeight="true" outlineLevel="0" collapsed="false">
      <c r="A2252" s="7" t="s">
        <v>5008</v>
      </c>
      <c r="B2252" s="7" t="s">
        <v>9049</v>
      </c>
      <c r="C2252" s="7"/>
    </row>
    <row r="2253" customFormat="false" ht="15" hidden="false" customHeight="true" outlineLevel="0" collapsed="false">
      <c r="A2253" s="7" t="s">
        <v>5008</v>
      </c>
      <c r="B2253" s="7" t="s">
        <v>9050</v>
      </c>
      <c r="C2253" s="7"/>
    </row>
    <row r="2254" customFormat="false" ht="15" hidden="false" customHeight="true" outlineLevel="0" collapsed="false">
      <c r="A2254" s="7" t="s">
        <v>5008</v>
      </c>
      <c r="B2254" s="7" t="s">
        <v>7541</v>
      </c>
      <c r="C2254" s="7" t="s">
        <v>8004</v>
      </c>
    </row>
    <row r="2255" customFormat="false" ht="15" hidden="false" customHeight="true" outlineLevel="0" collapsed="false">
      <c r="A2255" s="7" t="s">
        <v>5008</v>
      </c>
      <c r="B2255" s="7" t="s">
        <v>9051</v>
      </c>
      <c r="C2255" s="7"/>
    </row>
    <row r="2256" customFormat="false" ht="15" hidden="false" customHeight="true" outlineLevel="0" collapsed="false">
      <c r="A2256" s="7" t="s">
        <v>293</v>
      </c>
      <c r="B2256" s="7" t="s">
        <v>293</v>
      </c>
      <c r="C2256" s="7" t="s">
        <v>8004</v>
      </c>
    </row>
    <row r="2257" customFormat="false" ht="15" hidden="false" customHeight="true" outlineLevel="0" collapsed="false">
      <c r="A2257" s="7" t="s">
        <v>293</v>
      </c>
      <c r="B2257" s="7" t="s">
        <v>9052</v>
      </c>
      <c r="C2257" s="7"/>
    </row>
    <row r="2258" customFormat="false" ht="15" hidden="false" customHeight="true" outlineLevel="0" collapsed="false">
      <c r="A2258" s="7" t="s">
        <v>293</v>
      </c>
      <c r="B2258" s="7" t="s">
        <v>9053</v>
      </c>
      <c r="C2258" s="7"/>
    </row>
    <row r="2259" customFormat="false" ht="15" hidden="false" customHeight="true" outlineLevel="0" collapsed="false">
      <c r="A2259" s="7" t="s">
        <v>293</v>
      </c>
      <c r="B2259" s="7" t="s">
        <v>9054</v>
      </c>
      <c r="C2259" s="7"/>
    </row>
    <row r="2260" customFormat="false" ht="15" hidden="false" customHeight="true" outlineLevel="0" collapsed="false">
      <c r="A2260" s="7" t="s">
        <v>293</v>
      </c>
      <c r="B2260" s="7" t="s">
        <v>9055</v>
      </c>
      <c r="C2260" s="7"/>
    </row>
    <row r="2261" customFormat="false" ht="15" hidden="false" customHeight="true" outlineLevel="0" collapsed="false">
      <c r="A2261" s="7" t="s">
        <v>293</v>
      </c>
      <c r="B2261" s="7" t="s">
        <v>9056</v>
      </c>
      <c r="C2261" s="7"/>
    </row>
    <row r="2262" customFormat="false" ht="15" hidden="false" customHeight="true" outlineLevel="0" collapsed="false">
      <c r="A2262" s="7" t="s">
        <v>293</v>
      </c>
      <c r="B2262" s="7" t="s">
        <v>9057</v>
      </c>
      <c r="C2262" s="7"/>
    </row>
    <row r="2263" customFormat="false" ht="15" hidden="false" customHeight="true" outlineLevel="0" collapsed="false">
      <c r="A2263" s="7" t="s">
        <v>293</v>
      </c>
      <c r="B2263" s="7" t="s">
        <v>9058</v>
      </c>
      <c r="C2263" s="7"/>
    </row>
    <row r="2264" customFormat="false" ht="15" hidden="false" customHeight="true" outlineLevel="0" collapsed="false">
      <c r="A2264" s="7" t="s">
        <v>293</v>
      </c>
      <c r="B2264" s="7" t="s">
        <v>9059</v>
      </c>
      <c r="C2264" s="7"/>
    </row>
    <row r="2265" customFormat="false" ht="15" hidden="false" customHeight="true" outlineLevel="0" collapsed="false">
      <c r="A2265" s="7" t="s">
        <v>293</v>
      </c>
      <c r="B2265" s="7" t="s">
        <v>9060</v>
      </c>
      <c r="C2265" s="7"/>
    </row>
    <row r="2266" customFormat="false" ht="15" hidden="false" customHeight="true" outlineLevel="0" collapsed="false">
      <c r="A2266" s="7" t="s">
        <v>5060</v>
      </c>
      <c r="B2266" s="7" t="s">
        <v>5060</v>
      </c>
      <c r="C2266" s="7" t="s">
        <v>8004</v>
      </c>
    </row>
    <row r="2267" customFormat="false" ht="15" hidden="false" customHeight="true" outlineLevel="0" collapsed="false">
      <c r="A2267" s="7" t="s">
        <v>5060</v>
      </c>
      <c r="B2267" s="7" t="s">
        <v>9061</v>
      </c>
      <c r="C2267" s="7"/>
    </row>
    <row r="2268" customFormat="false" ht="15" hidden="false" customHeight="true" outlineLevel="0" collapsed="false">
      <c r="A2268" s="7" t="s">
        <v>5060</v>
      </c>
      <c r="B2268" s="7" t="s">
        <v>9062</v>
      </c>
      <c r="C2268" s="7"/>
    </row>
    <row r="2269" customFormat="false" ht="15" hidden="false" customHeight="true" outlineLevel="0" collapsed="false">
      <c r="A2269" s="7" t="s">
        <v>5060</v>
      </c>
      <c r="B2269" s="7" t="s">
        <v>9063</v>
      </c>
      <c r="C2269" s="7"/>
    </row>
    <row r="2270" customFormat="false" ht="15" hidden="false" customHeight="true" outlineLevel="0" collapsed="false">
      <c r="A2270" s="7" t="s">
        <v>5060</v>
      </c>
      <c r="B2270" s="7" t="s">
        <v>5064</v>
      </c>
      <c r="C2270" s="7" t="s">
        <v>8004</v>
      </c>
    </row>
    <row r="2271" customFormat="false" ht="15" hidden="false" customHeight="true" outlineLevel="0" collapsed="false">
      <c r="A2271" s="7" t="s">
        <v>5060</v>
      </c>
      <c r="B2271" s="7" t="s">
        <v>9064</v>
      </c>
      <c r="C2271" s="7"/>
    </row>
    <row r="2272" customFormat="false" ht="15" hidden="false" customHeight="true" outlineLevel="0" collapsed="false">
      <c r="A2272" s="7" t="s">
        <v>5060</v>
      </c>
      <c r="B2272" s="7" t="s">
        <v>9065</v>
      </c>
      <c r="C2272" s="7"/>
    </row>
    <row r="2273" customFormat="false" ht="15" hidden="false" customHeight="true" outlineLevel="0" collapsed="false">
      <c r="A2273" s="7" t="s">
        <v>5060</v>
      </c>
      <c r="B2273" s="7" t="s">
        <v>9066</v>
      </c>
      <c r="C2273" s="7"/>
    </row>
    <row r="2274" customFormat="false" ht="15" hidden="false" customHeight="true" outlineLevel="0" collapsed="false">
      <c r="A2274" s="7" t="s">
        <v>5060</v>
      </c>
      <c r="B2274" s="7" t="s">
        <v>9067</v>
      </c>
      <c r="C2274" s="7"/>
    </row>
    <row r="2275" customFormat="false" ht="15" hidden="false" customHeight="true" outlineLevel="0" collapsed="false">
      <c r="A2275" s="7" t="s">
        <v>5060</v>
      </c>
      <c r="B2275" s="7" t="s">
        <v>9068</v>
      </c>
      <c r="C2275" s="7"/>
    </row>
    <row r="2276" customFormat="false" ht="15" hidden="false" customHeight="true" outlineLevel="0" collapsed="false">
      <c r="A2276" s="7" t="s">
        <v>5042</v>
      </c>
      <c r="B2276" s="7" t="s">
        <v>5042</v>
      </c>
      <c r="C2276" s="7" t="s">
        <v>8004</v>
      </c>
    </row>
    <row r="2277" customFormat="false" ht="15" hidden="false" customHeight="true" outlineLevel="0" collapsed="false">
      <c r="A2277" s="7" t="s">
        <v>5042</v>
      </c>
      <c r="B2277" s="7" t="s">
        <v>9069</v>
      </c>
      <c r="C2277" s="7"/>
    </row>
    <row r="2278" customFormat="false" ht="15" hidden="false" customHeight="true" outlineLevel="0" collapsed="false">
      <c r="A2278" s="7" t="s">
        <v>5042</v>
      </c>
      <c r="B2278" s="7" t="s">
        <v>9070</v>
      </c>
      <c r="C2278" s="7"/>
    </row>
    <row r="2279" customFormat="false" ht="15" hidden="false" customHeight="true" outlineLevel="0" collapsed="false">
      <c r="A2279" s="7" t="s">
        <v>5042</v>
      </c>
      <c r="B2279" s="7" t="s">
        <v>9071</v>
      </c>
      <c r="C2279" s="7"/>
    </row>
    <row r="2280" customFormat="false" ht="15" hidden="false" customHeight="true" outlineLevel="0" collapsed="false">
      <c r="A2280" s="7" t="s">
        <v>5042</v>
      </c>
      <c r="B2280" s="7" t="s">
        <v>9072</v>
      </c>
      <c r="C2280" s="7"/>
    </row>
    <row r="2281" customFormat="false" ht="15" hidden="false" customHeight="true" outlineLevel="0" collapsed="false">
      <c r="A2281" s="7" t="s">
        <v>5042</v>
      </c>
      <c r="B2281" s="7" t="s">
        <v>9073</v>
      </c>
      <c r="C2281" s="7"/>
    </row>
    <row r="2282" customFormat="false" ht="15" hidden="false" customHeight="true" outlineLevel="0" collapsed="false">
      <c r="A2282" s="7" t="s">
        <v>5042</v>
      </c>
      <c r="B2282" s="7" t="s">
        <v>9074</v>
      </c>
      <c r="C2282" s="7"/>
    </row>
    <row r="2283" customFormat="false" ht="15" hidden="false" customHeight="true" outlineLevel="0" collapsed="false">
      <c r="A2283" s="7" t="s">
        <v>5042</v>
      </c>
      <c r="B2283" s="7" t="s">
        <v>9075</v>
      </c>
      <c r="C2283" s="7"/>
    </row>
    <row r="2284" customFormat="false" ht="15" hidden="false" customHeight="true" outlineLevel="0" collapsed="false">
      <c r="A2284" s="7" t="s">
        <v>5042</v>
      </c>
      <c r="B2284" s="7" t="s">
        <v>9076</v>
      </c>
      <c r="C2284" s="7"/>
    </row>
    <row r="2285" customFormat="false" ht="15" hidden="false" customHeight="true" outlineLevel="0" collapsed="false">
      <c r="A2285" s="7" t="s">
        <v>5020</v>
      </c>
      <c r="B2285" s="7" t="s">
        <v>9077</v>
      </c>
      <c r="C2285" s="7"/>
    </row>
    <row r="2286" customFormat="false" ht="15" hidden="false" customHeight="true" outlineLevel="0" collapsed="false">
      <c r="A2286" s="7" t="s">
        <v>5020</v>
      </c>
      <c r="B2286" s="7" t="s">
        <v>5020</v>
      </c>
      <c r="C2286" s="7" t="s">
        <v>8004</v>
      </c>
    </row>
    <row r="2287" customFormat="false" ht="15" hidden="false" customHeight="true" outlineLevel="0" collapsed="false">
      <c r="A2287" s="7" t="s">
        <v>5020</v>
      </c>
      <c r="B2287" s="7" t="s">
        <v>9078</v>
      </c>
      <c r="C2287" s="7"/>
    </row>
    <row r="2288" customFormat="false" ht="15" hidden="false" customHeight="true" outlineLevel="0" collapsed="false">
      <c r="A2288" s="7" t="s">
        <v>5020</v>
      </c>
      <c r="B2288" s="7" t="s">
        <v>9079</v>
      </c>
      <c r="C2288" s="7"/>
    </row>
    <row r="2289" customFormat="false" ht="15" hidden="false" customHeight="true" outlineLevel="0" collapsed="false">
      <c r="A2289" s="7" t="s">
        <v>5020</v>
      </c>
      <c r="B2289" s="7" t="s">
        <v>9080</v>
      </c>
      <c r="C2289" s="7"/>
    </row>
    <row r="2290" customFormat="false" ht="15" hidden="false" customHeight="true" outlineLevel="0" collapsed="false">
      <c r="A2290" s="7" t="s">
        <v>5020</v>
      </c>
      <c r="B2290" s="7" t="s">
        <v>9081</v>
      </c>
      <c r="C2290" s="7"/>
    </row>
    <row r="2291" customFormat="false" ht="15" hidden="false" customHeight="true" outlineLevel="0" collapsed="false">
      <c r="A2291" s="7" t="s">
        <v>5020</v>
      </c>
      <c r="B2291" s="7" t="s">
        <v>9082</v>
      </c>
      <c r="C2291" s="7"/>
    </row>
    <row r="2292" customFormat="false" ht="15" hidden="false" customHeight="true" outlineLevel="0" collapsed="false">
      <c r="A2292" s="7" t="s">
        <v>5020</v>
      </c>
      <c r="B2292" s="7" t="s">
        <v>9083</v>
      </c>
      <c r="C2292" s="7"/>
    </row>
    <row r="2293" customFormat="false" ht="15" hidden="false" customHeight="true" outlineLevel="0" collapsed="false">
      <c r="A2293" s="7" t="s">
        <v>5020</v>
      </c>
      <c r="B2293" s="7" t="s">
        <v>9084</v>
      </c>
      <c r="C2293" s="7"/>
    </row>
    <row r="2294" customFormat="false" ht="15" hidden="false" customHeight="true" outlineLevel="0" collapsed="false">
      <c r="A2294" s="7" t="s">
        <v>5020</v>
      </c>
      <c r="B2294" s="7" t="s">
        <v>9085</v>
      </c>
      <c r="C2294" s="7"/>
    </row>
    <row r="2295" customFormat="false" ht="15" hidden="false" customHeight="true" outlineLevel="0" collapsed="false">
      <c r="A2295" s="7" t="s">
        <v>5051</v>
      </c>
      <c r="B2295" s="7" t="s">
        <v>5051</v>
      </c>
      <c r="C2295" s="7" t="s">
        <v>8004</v>
      </c>
    </row>
    <row r="2296" customFormat="false" ht="15" hidden="false" customHeight="true" outlineLevel="0" collapsed="false">
      <c r="A2296" s="7" t="s">
        <v>5051</v>
      </c>
      <c r="B2296" s="7" t="s">
        <v>5055</v>
      </c>
      <c r="C2296" s="7" t="s">
        <v>8004</v>
      </c>
    </row>
    <row r="2297" customFormat="false" ht="15" hidden="false" customHeight="true" outlineLevel="0" collapsed="false">
      <c r="A2297" s="7" t="s">
        <v>5051</v>
      </c>
      <c r="B2297" s="7" t="s">
        <v>9086</v>
      </c>
      <c r="C2297" s="7"/>
    </row>
    <row r="2298" customFormat="false" ht="15" hidden="false" customHeight="true" outlineLevel="0" collapsed="false">
      <c r="A2298" s="7" t="s">
        <v>5051</v>
      </c>
      <c r="B2298" s="7" t="s">
        <v>9087</v>
      </c>
      <c r="C2298" s="7"/>
    </row>
    <row r="2299" customFormat="false" ht="15" hidden="false" customHeight="true" outlineLevel="0" collapsed="false">
      <c r="A2299" s="7" t="s">
        <v>5051</v>
      </c>
      <c r="B2299" s="7" t="s">
        <v>9088</v>
      </c>
      <c r="C2299" s="7"/>
    </row>
    <row r="2300" customFormat="false" ht="15" hidden="false" customHeight="true" outlineLevel="0" collapsed="false">
      <c r="A2300" s="7" t="s">
        <v>5051</v>
      </c>
      <c r="B2300" s="7" t="s">
        <v>9089</v>
      </c>
      <c r="C2300" s="7"/>
    </row>
    <row r="2301" customFormat="false" ht="15" hidden="false" customHeight="true" outlineLevel="0" collapsed="false">
      <c r="A2301" s="7" t="s">
        <v>5051</v>
      </c>
      <c r="B2301" s="7" t="s">
        <v>9090</v>
      </c>
      <c r="C2301" s="7"/>
    </row>
    <row r="2302" customFormat="false" ht="15" hidden="false" customHeight="true" outlineLevel="0" collapsed="false">
      <c r="A2302" s="7" t="s">
        <v>5051</v>
      </c>
      <c r="B2302" s="7" t="s">
        <v>9091</v>
      </c>
      <c r="C2302" s="7"/>
    </row>
    <row r="2303" customFormat="false" ht="15" hidden="false" customHeight="true" outlineLevel="0" collapsed="false">
      <c r="A2303" s="7" t="s">
        <v>5051</v>
      </c>
      <c r="B2303" s="7" t="s">
        <v>9092</v>
      </c>
      <c r="C2303" s="7"/>
    </row>
    <row r="2304" customFormat="false" ht="15" hidden="false" customHeight="true" outlineLevel="0" collapsed="false">
      <c r="A2304" s="7" t="s">
        <v>5051</v>
      </c>
      <c r="B2304" s="7" t="s">
        <v>9093</v>
      </c>
      <c r="C2304" s="7"/>
    </row>
    <row r="2305" customFormat="false" ht="15" hidden="false" customHeight="true" outlineLevel="0" collapsed="false">
      <c r="A2305" s="7" t="s">
        <v>266</v>
      </c>
      <c r="B2305" s="7" t="s">
        <v>266</v>
      </c>
      <c r="C2305" s="7" t="s">
        <v>8004</v>
      </c>
    </row>
    <row r="2306" customFormat="false" ht="15" hidden="false" customHeight="true" outlineLevel="0" collapsed="false">
      <c r="A2306" s="7" t="s">
        <v>266</v>
      </c>
      <c r="B2306" s="7" t="s">
        <v>9094</v>
      </c>
      <c r="C2306" s="7"/>
    </row>
    <row r="2307" customFormat="false" ht="15" hidden="false" customHeight="true" outlineLevel="0" collapsed="false">
      <c r="A2307" s="7" t="s">
        <v>266</v>
      </c>
      <c r="B2307" s="7" t="s">
        <v>9095</v>
      </c>
      <c r="C2307" s="7"/>
    </row>
    <row r="2308" customFormat="false" ht="15" hidden="false" customHeight="true" outlineLevel="0" collapsed="false">
      <c r="A2308" s="7" t="s">
        <v>266</v>
      </c>
      <c r="B2308" s="7" t="s">
        <v>9096</v>
      </c>
      <c r="C2308" s="7"/>
    </row>
    <row r="2309" customFormat="false" ht="15" hidden="false" customHeight="true" outlineLevel="0" collapsed="false">
      <c r="A2309" s="7" t="s">
        <v>266</v>
      </c>
      <c r="B2309" s="7" t="s">
        <v>9097</v>
      </c>
      <c r="C2309" s="7"/>
    </row>
    <row r="2310" customFormat="false" ht="15" hidden="false" customHeight="true" outlineLevel="0" collapsed="false">
      <c r="A2310" s="7" t="s">
        <v>266</v>
      </c>
      <c r="B2310" s="7" t="s">
        <v>9098</v>
      </c>
      <c r="C2310" s="7"/>
    </row>
    <row r="2311" customFormat="false" ht="15" hidden="false" customHeight="true" outlineLevel="0" collapsed="false">
      <c r="A2311" s="7" t="s">
        <v>266</v>
      </c>
      <c r="B2311" s="7" t="s">
        <v>9099</v>
      </c>
      <c r="C2311" s="7"/>
    </row>
    <row r="2312" customFormat="false" ht="15" hidden="false" customHeight="true" outlineLevel="0" collapsed="false">
      <c r="A2312" s="7" t="s">
        <v>266</v>
      </c>
      <c r="B2312" s="7" t="s">
        <v>9100</v>
      </c>
      <c r="C2312" s="7"/>
    </row>
    <row r="2313" customFormat="false" ht="15" hidden="false" customHeight="true" outlineLevel="0" collapsed="false">
      <c r="A2313" s="7" t="s">
        <v>266</v>
      </c>
      <c r="B2313" s="7" t="s">
        <v>9101</v>
      </c>
      <c r="C2313" s="7"/>
    </row>
    <row r="2314" customFormat="false" ht="15" hidden="false" customHeight="true" outlineLevel="0" collapsed="false">
      <c r="A2314" s="7" t="s">
        <v>266</v>
      </c>
      <c r="B2314" s="7" t="s">
        <v>9102</v>
      </c>
      <c r="C2314" s="7"/>
    </row>
    <row r="2315" customFormat="false" ht="15" hidden="false" customHeight="true" outlineLevel="0" collapsed="false">
      <c r="A2315" s="7" t="s">
        <v>5031</v>
      </c>
      <c r="B2315" s="7" t="s">
        <v>5031</v>
      </c>
      <c r="C2315" s="7" t="s">
        <v>8004</v>
      </c>
    </row>
    <row r="2316" customFormat="false" ht="15" hidden="false" customHeight="true" outlineLevel="0" collapsed="false">
      <c r="A2316" s="7" t="s">
        <v>5031</v>
      </c>
      <c r="B2316" s="7" t="s">
        <v>9103</v>
      </c>
      <c r="C2316" s="7"/>
    </row>
    <row r="2317" customFormat="false" ht="15" hidden="false" customHeight="true" outlineLevel="0" collapsed="false">
      <c r="A2317" s="7" t="s">
        <v>5031</v>
      </c>
      <c r="B2317" s="7" t="s">
        <v>9104</v>
      </c>
      <c r="C2317" s="7"/>
    </row>
    <row r="2318" customFormat="false" ht="15" hidden="false" customHeight="true" outlineLevel="0" collapsed="false">
      <c r="A2318" s="7" t="s">
        <v>5031</v>
      </c>
      <c r="B2318" s="7" t="s">
        <v>9105</v>
      </c>
      <c r="C2318" s="7"/>
    </row>
    <row r="2319" customFormat="false" ht="15" hidden="false" customHeight="true" outlineLevel="0" collapsed="false">
      <c r="A2319" s="7" t="s">
        <v>5031</v>
      </c>
      <c r="B2319" s="7" t="s">
        <v>9106</v>
      </c>
      <c r="C2319" s="7"/>
    </row>
    <row r="2320" customFormat="false" ht="15" hidden="false" customHeight="true" outlineLevel="0" collapsed="false">
      <c r="A2320" s="7" t="s">
        <v>5031</v>
      </c>
      <c r="B2320" s="7" t="s">
        <v>9107</v>
      </c>
      <c r="C2320" s="7"/>
    </row>
    <row r="2321" customFormat="false" ht="15" hidden="false" customHeight="true" outlineLevel="0" collapsed="false">
      <c r="A2321" s="7" t="s">
        <v>5031</v>
      </c>
      <c r="B2321" s="7" t="s">
        <v>9108</v>
      </c>
      <c r="C2321" s="7"/>
    </row>
    <row r="2322" customFormat="false" ht="15" hidden="false" customHeight="true" outlineLevel="0" collapsed="false">
      <c r="A2322" s="7" t="s">
        <v>5086</v>
      </c>
      <c r="B2322" s="7" t="s">
        <v>7559</v>
      </c>
      <c r="C2322" s="7" t="s">
        <v>8004</v>
      </c>
    </row>
    <row r="2323" customFormat="false" ht="15" hidden="false" customHeight="true" outlineLevel="0" collapsed="false">
      <c r="A2323" s="7" t="s">
        <v>5086</v>
      </c>
      <c r="B2323" s="7" t="s">
        <v>9109</v>
      </c>
      <c r="C2323" s="7"/>
    </row>
    <row r="2324" customFormat="false" ht="15" hidden="false" customHeight="true" outlineLevel="0" collapsed="false">
      <c r="A2324" s="7" t="s">
        <v>5086</v>
      </c>
      <c r="B2324" s="7" t="s">
        <v>9110</v>
      </c>
      <c r="C2324" s="7"/>
    </row>
    <row r="2325" customFormat="false" ht="15" hidden="false" customHeight="true" outlineLevel="0" collapsed="false">
      <c r="A2325" s="7" t="s">
        <v>5086</v>
      </c>
      <c r="B2325" s="7" t="s">
        <v>9111</v>
      </c>
      <c r="C2325" s="7"/>
    </row>
    <row r="2326" customFormat="false" ht="15" hidden="false" customHeight="true" outlineLevel="0" collapsed="false">
      <c r="A2326" s="7" t="s">
        <v>5086</v>
      </c>
      <c r="B2326" s="7" t="s">
        <v>7553</v>
      </c>
      <c r="C2326" s="7" t="s">
        <v>8004</v>
      </c>
    </row>
    <row r="2327" customFormat="false" ht="15" hidden="false" customHeight="true" outlineLevel="0" collapsed="false">
      <c r="A2327" s="7" t="s">
        <v>5073</v>
      </c>
      <c r="B2327" s="7" t="s">
        <v>5073</v>
      </c>
      <c r="C2327" s="7" t="s">
        <v>8004</v>
      </c>
    </row>
    <row r="2328" customFormat="false" ht="15" hidden="false" customHeight="true" outlineLevel="0" collapsed="false">
      <c r="A2328" s="7" t="s">
        <v>5073</v>
      </c>
      <c r="B2328" s="7" t="s">
        <v>5077</v>
      </c>
      <c r="C2328" s="7" t="s">
        <v>8004</v>
      </c>
    </row>
    <row r="2329" customFormat="false" ht="15" hidden="false" customHeight="true" outlineLevel="0" collapsed="false">
      <c r="A2329" s="7" t="s">
        <v>5073</v>
      </c>
      <c r="B2329" s="7" t="s">
        <v>7555</v>
      </c>
      <c r="C2329" s="7" t="s">
        <v>8004</v>
      </c>
    </row>
    <row r="2330" customFormat="false" ht="15" hidden="false" customHeight="true" outlineLevel="0" collapsed="false">
      <c r="A2330" s="7" t="s">
        <v>5073</v>
      </c>
      <c r="B2330" s="7" t="s">
        <v>7558</v>
      </c>
      <c r="C2330" s="7" t="s">
        <v>8004</v>
      </c>
    </row>
    <row r="2331" customFormat="false" ht="15" hidden="false" customHeight="true" outlineLevel="0" collapsed="false">
      <c r="A2331" s="7" t="s">
        <v>5073</v>
      </c>
      <c r="B2331" s="7" t="s">
        <v>7557</v>
      </c>
      <c r="C2331" s="7" t="s">
        <v>8004</v>
      </c>
    </row>
    <row r="2332" customFormat="false" ht="15" hidden="false" customHeight="true" outlineLevel="0" collapsed="false">
      <c r="A2332" s="7" t="s">
        <v>5073</v>
      </c>
      <c r="B2332" s="7" t="s">
        <v>9112</v>
      </c>
      <c r="C2332" s="7"/>
    </row>
    <row r="2333" customFormat="false" ht="15" hidden="false" customHeight="true" outlineLevel="0" collapsed="false">
      <c r="A2333" s="7" t="s">
        <v>5073</v>
      </c>
      <c r="B2333" s="7" t="s">
        <v>7554</v>
      </c>
      <c r="C2333" s="7" t="s">
        <v>8004</v>
      </c>
    </row>
    <row r="2334" customFormat="false" ht="15" hidden="false" customHeight="true" outlineLevel="0" collapsed="false">
      <c r="A2334" s="7" t="s">
        <v>5073</v>
      </c>
      <c r="B2334" s="7" t="s">
        <v>9113</v>
      </c>
      <c r="C2334" s="7"/>
    </row>
    <row r="2335" customFormat="false" ht="15" hidden="false" customHeight="true" outlineLevel="0" collapsed="false">
      <c r="A2335" s="7" t="s">
        <v>5073</v>
      </c>
      <c r="B2335" s="7" t="s">
        <v>7556</v>
      </c>
      <c r="C2335" s="7" t="s">
        <v>8004</v>
      </c>
    </row>
    <row r="2336" customFormat="false" ht="15" hidden="false" customHeight="true" outlineLevel="0" collapsed="false">
      <c r="A2336" s="7" t="s">
        <v>5073</v>
      </c>
      <c r="B2336" s="7" t="s">
        <v>9114</v>
      </c>
      <c r="C2336" s="7"/>
    </row>
    <row r="2337" customFormat="false" ht="15" hidden="false" customHeight="true" outlineLevel="0" collapsed="false">
      <c r="A2337" s="7" t="s">
        <v>284</v>
      </c>
      <c r="B2337" s="7" t="s">
        <v>284</v>
      </c>
      <c r="C2337" s="7" t="s">
        <v>8004</v>
      </c>
    </row>
    <row r="2338" customFormat="false" ht="15" hidden="false" customHeight="true" outlineLevel="0" collapsed="false">
      <c r="A2338" s="7" t="s">
        <v>284</v>
      </c>
      <c r="B2338" s="7" t="s">
        <v>9115</v>
      </c>
      <c r="C2338" s="7"/>
    </row>
    <row r="2339" customFormat="false" ht="15" hidden="false" customHeight="true" outlineLevel="0" collapsed="false">
      <c r="A2339" s="7" t="s">
        <v>284</v>
      </c>
      <c r="B2339" s="7" t="s">
        <v>9116</v>
      </c>
      <c r="C2339" s="7"/>
    </row>
    <row r="2340" customFormat="false" ht="15" hidden="false" customHeight="true" outlineLevel="0" collapsed="false">
      <c r="A2340" s="7" t="s">
        <v>284</v>
      </c>
      <c r="B2340" s="7" t="s">
        <v>9117</v>
      </c>
      <c r="C2340" s="7"/>
    </row>
    <row r="2341" customFormat="false" ht="15" hidden="false" customHeight="true" outlineLevel="0" collapsed="false">
      <c r="A2341" s="7" t="s">
        <v>284</v>
      </c>
      <c r="B2341" s="7" t="s">
        <v>9118</v>
      </c>
      <c r="C2341" s="7"/>
    </row>
    <row r="2342" customFormat="false" ht="15" hidden="false" customHeight="true" outlineLevel="0" collapsed="false">
      <c r="A2342" s="7" t="s">
        <v>284</v>
      </c>
      <c r="B2342" s="7" t="s">
        <v>9119</v>
      </c>
      <c r="C2342" s="7"/>
    </row>
    <row r="2343" customFormat="false" ht="15" hidden="false" customHeight="true" outlineLevel="0" collapsed="false">
      <c r="A2343" s="7" t="s">
        <v>284</v>
      </c>
      <c r="B2343" s="7" t="s">
        <v>9120</v>
      </c>
      <c r="C2343" s="7"/>
    </row>
    <row r="2344" customFormat="false" ht="15" hidden="false" customHeight="true" outlineLevel="0" collapsed="false">
      <c r="A2344" s="7" t="s">
        <v>284</v>
      </c>
      <c r="B2344" s="7" t="s">
        <v>9121</v>
      </c>
      <c r="C2344" s="7"/>
    </row>
    <row r="2345" customFormat="false" ht="15" hidden="false" customHeight="true" outlineLevel="0" collapsed="false">
      <c r="A2345" s="7" t="s">
        <v>284</v>
      </c>
      <c r="B2345" s="7" t="s">
        <v>9122</v>
      </c>
      <c r="C2345" s="7"/>
    </row>
    <row r="2346" customFormat="false" ht="15" hidden="false" customHeight="true" outlineLevel="0" collapsed="false">
      <c r="A2346" s="7" t="s">
        <v>284</v>
      </c>
      <c r="B2346" s="7" t="s">
        <v>9123</v>
      </c>
      <c r="C2346" s="7"/>
    </row>
    <row r="2347" customFormat="false" ht="15" hidden="false" customHeight="true" outlineLevel="0" collapsed="false">
      <c r="A2347" s="7" t="s">
        <v>5099</v>
      </c>
      <c r="B2347" s="7" t="s">
        <v>5099</v>
      </c>
      <c r="C2347" s="7" t="s">
        <v>8004</v>
      </c>
    </row>
    <row r="2348" customFormat="false" ht="15" hidden="false" customHeight="true" outlineLevel="0" collapsed="false">
      <c r="A2348" s="7" t="s">
        <v>5099</v>
      </c>
      <c r="B2348" s="7" t="s">
        <v>9124</v>
      </c>
      <c r="C2348" s="7"/>
    </row>
    <row r="2349" customFormat="false" ht="15" hidden="false" customHeight="true" outlineLevel="0" collapsed="false">
      <c r="A2349" s="7" t="s">
        <v>257</v>
      </c>
      <c r="B2349" s="7" t="s">
        <v>257</v>
      </c>
      <c r="C2349" s="7" t="s">
        <v>8004</v>
      </c>
    </row>
    <row r="2350" customFormat="false" ht="15" hidden="false" customHeight="true" outlineLevel="0" collapsed="false">
      <c r="A2350" s="7" t="s">
        <v>257</v>
      </c>
      <c r="B2350" s="7" t="s">
        <v>9125</v>
      </c>
      <c r="C2350" s="7"/>
    </row>
    <row r="2351" customFormat="false" ht="15" hidden="false" customHeight="true" outlineLevel="0" collapsed="false">
      <c r="A2351" s="7" t="s">
        <v>257</v>
      </c>
      <c r="B2351" s="7" t="s">
        <v>9126</v>
      </c>
      <c r="C2351" s="7"/>
    </row>
    <row r="2352" customFormat="false" ht="15" hidden="false" customHeight="true" outlineLevel="0" collapsed="false">
      <c r="A2352" s="7" t="s">
        <v>257</v>
      </c>
      <c r="B2352" s="7" t="s">
        <v>9127</v>
      </c>
      <c r="C2352" s="7"/>
    </row>
    <row r="2353" customFormat="false" ht="15" hidden="false" customHeight="true" outlineLevel="0" collapsed="false">
      <c r="A2353" s="7" t="s">
        <v>257</v>
      </c>
      <c r="B2353" s="7" t="s">
        <v>9128</v>
      </c>
      <c r="C2353" s="7"/>
    </row>
    <row r="2354" customFormat="false" ht="15" hidden="false" customHeight="true" outlineLevel="0" collapsed="false">
      <c r="A2354" s="7" t="s">
        <v>257</v>
      </c>
      <c r="B2354" s="7" t="s">
        <v>9129</v>
      </c>
      <c r="C2354" s="7"/>
    </row>
    <row r="2355" customFormat="false" ht="15" hidden="false" customHeight="true" outlineLevel="0" collapsed="false">
      <c r="A2355" s="7" t="s">
        <v>257</v>
      </c>
      <c r="B2355" s="7" t="s">
        <v>9130</v>
      </c>
      <c r="C2355" s="7"/>
    </row>
    <row r="2356" customFormat="false" ht="15" hidden="false" customHeight="true" outlineLevel="0" collapsed="false">
      <c r="A2356" s="7" t="s">
        <v>257</v>
      </c>
      <c r="B2356" s="7" t="s">
        <v>9131</v>
      </c>
      <c r="C2356" s="7"/>
    </row>
    <row r="2357" customFormat="false" ht="15" hidden="false" customHeight="true" outlineLevel="0" collapsed="false">
      <c r="A2357" s="7" t="s">
        <v>257</v>
      </c>
      <c r="B2357" s="7" t="s">
        <v>9132</v>
      </c>
      <c r="C2357" s="7"/>
    </row>
    <row r="2358" customFormat="false" ht="15" hidden="false" customHeight="true" outlineLevel="0" collapsed="false">
      <c r="A2358" s="7" t="s">
        <v>257</v>
      </c>
      <c r="B2358" s="7" t="s">
        <v>9133</v>
      </c>
      <c r="C2358" s="7"/>
    </row>
    <row r="2359" customFormat="false" ht="15" hidden="false" customHeight="true" outlineLevel="0" collapsed="false">
      <c r="A2359" s="7" t="s">
        <v>5132</v>
      </c>
      <c r="B2359" s="7" t="s">
        <v>9134</v>
      </c>
      <c r="C2359" s="7"/>
    </row>
    <row r="2360" customFormat="false" ht="15" hidden="false" customHeight="true" outlineLevel="0" collapsed="false">
      <c r="A2360" s="7" t="s">
        <v>5132</v>
      </c>
      <c r="B2360" s="7" t="s">
        <v>9135</v>
      </c>
      <c r="C2360" s="7"/>
    </row>
    <row r="2361" customFormat="false" ht="15" hidden="false" customHeight="true" outlineLevel="0" collapsed="false">
      <c r="A2361" s="7" t="s">
        <v>5132</v>
      </c>
      <c r="B2361" s="7" t="s">
        <v>9136</v>
      </c>
      <c r="C2361" s="7"/>
    </row>
    <row r="2362" customFormat="false" ht="15" hidden="false" customHeight="true" outlineLevel="0" collapsed="false">
      <c r="A2362" s="7" t="s">
        <v>5132</v>
      </c>
      <c r="B2362" s="7" t="s">
        <v>9137</v>
      </c>
      <c r="C2362" s="7"/>
    </row>
    <row r="2363" customFormat="false" ht="15" hidden="false" customHeight="true" outlineLevel="0" collapsed="false">
      <c r="A2363" s="7" t="s">
        <v>5132</v>
      </c>
      <c r="B2363" s="7" t="s">
        <v>9138</v>
      </c>
      <c r="C2363" s="7"/>
    </row>
    <row r="2364" customFormat="false" ht="15" hidden="false" customHeight="true" outlineLevel="0" collapsed="false">
      <c r="A2364" s="7" t="s">
        <v>5132</v>
      </c>
      <c r="B2364" s="7" t="s">
        <v>9139</v>
      </c>
      <c r="C2364" s="7"/>
    </row>
    <row r="2365" customFormat="false" ht="15" hidden="false" customHeight="true" outlineLevel="0" collapsed="false">
      <c r="A2365" s="7" t="s">
        <v>6577</v>
      </c>
      <c r="B2365" s="7" t="s">
        <v>6577</v>
      </c>
      <c r="C2365" s="7" t="s">
        <v>8004</v>
      </c>
    </row>
    <row r="2366" customFormat="false" ht="15" hidden="false" customHeight="true" outlineLevel="0" collapsed="false">
      <c r="A2366" s="7" t="s">
        <v>6577</v>
      </c>
      <c r="B2366" s="7" t="s">
        <v>9140</v>
      </c>
      <c r="C2366" s="7"/>
    </row>
    <row r="2367" customFormat="false" ht="15" hidden="false" customHeight="true" outlineLevel="0" collapsed="false">
      <c r="A2367" s="7" t="s">
        <v>6577</v>
      </c>
      <c r="B2367" s="7" t="s">
        <v>9141</v>
      </c>
      <c r="C2367" s="7"/>
    </row>
    <row r="2368" customFormat="false" ht="15" hidden="false" customHeight="true" outlineLevel="0" collapsed="false">
      <c r="A2368" s="7" t="s">
        <v>6577</v>
      </c>
      <c r="B2368" s="7" t="s">
        <v>9142</v>
      </c>
      <c r="C2368" s="7"/>
    </row>
    <row r="2369" customFormat="false" ht="15" hidden="false" customHeight="true" outlineLevel="0" collapsed="false">
      <c r="A2369" s="7" t="s">
        <v>6577</v>
      </c>
      <c r="B2369" s="7" t="s">
        <v>9143</v>
      </c>
      <c r="C2369" s="7"/>
    </row>
    <row r="2370" customFormat="false" ht="15" hidden="false" customHeight="true" outlineLevel="0" collapsed="false">
      <c r="A2370" s="7" t="s">
        <v>6577</v>
      </c>
      <c r="B2370" s="7" t="s">
        <v>9144</v>
      </c>
      <c r="C2370" s="7"/>
    </row>
    <row r="2371" customFormat="false" ht="15" hidden="false" customHeight="true" outlineLevel="0" collapsed="false">
      <c r="A2371" s="7" t="s">
        <v>6577</v>
      </c>
      <c r="B2371" s="7" t="s">
        <v>9145</v>
      </c>
      <c r="C2371" s="7"/>
    </row>
    <row r="2372" customFormat="false" ht="15" hidden="false" customHeight="true" outlineLevel="0" collapsed="false">
      <c r="A2372" s="7" t="s">
        <v>6577</v>
      </c>
      <c r="B2372" s="7" t="s">
        <v>9146</v>
      </c>
      <c r="C2372" s="7"/>
    </row>
    <row r="2373" customFormat="false" ht="15" hidden="false" customHeight="true" outlineLevel="0" collapsed="false">
      <c r="A2373" s="7" t="s">
        <v>6577</v>
      </c>
      <c r="B2373" s="7" t="s">
        <v>9147</v>
      </c>
      <c r="C2373" s="7"/>
    </row>
    <row r="2374" customFormat="false" ht="15" hidden="false" customHeight="true" outlineLevel="0" collapsed="false">
      <c r="A2374" s="7" t="s">
        <v>6577</v>
      </c>
      <c r="B2374" s="7" t="s">
        <v>9148</v>
      </c>
      <c r="C2374" s="7"/>
    </row>
    <row r="2375" customFormat="false" ht="15" hidden="false" customHeight="true" outlineLevel="0" collapsed="false">
      <c r="A2375" s="7" t="s">
        <v>5142</v>
      </c>
      <c r="B2375" s="7" t="s">
        <v>5142</v>
      </c>
      <c r="C2375" s="7" t="s">
        <v>8004</v>
      </c>
    </row>
    <row r="2376" customFormat="false" ht="15" hidden="false" customHeight="true" outlineLevel="0" collapsed="false">
      <c r="A2376" s="7" t="s">
        <v>5142</v>
      </c>
      <c r="B2376" s="7" t="s">
        <v>9149</v>
      </c>
      <c r="C2376" s="7"/>
    </row>
    <row r="2377" customFormat="false" ht="15" hidden="false" customHeight="true" outlineLevel="0" collapsed="false">
      <c r="A2377" s="7" t="s">
        <v>5142</v>
      </c>
      <c r="B2377" s="7" t="s">
        <v>9150</v>
      </c>
      <c r="C2377" s="7"/>
    </row>
    <row r="2378" customFormat="false" ht="15" hidden="false" customHeight="true" outlineLevel="0" collapsed="false">
      <c r="A2378" s="7" t="s">
        <v>5142</v>
      </c>
      <c r="B2378" s="7" t="s">
        <v>9151</v>
      </c>
      <c r="C2378" s="7"/>
    </row>
    <row r="2379" customFormat="false" ht="15" hidden="false" customHeight="true" outlineLevel="0" collapsed="false">
      <c r="A2379" s="7" t="s">
        <v>5142</v>
      </c>
      <c r="B2379" s="7" t="s">
        <v>9152</v>
      </c>
      <c r="C2379" s="7"/>
    </row>
    <row r="2380" customFormat="false" ht="15" hidden="false" customHeight="true" outlineLevel="0" collapsed="false">
      <c r="A2380" s="7" t="s">
        <v>5142</v>
      </c>
      <c r="B2380" s="7" t="s">
        <v>9153</v>
      </c>
      <c r="C2380" s="7"/>
    </row>
    <row r="2381" customFormat="false" ht="15" hidden="false" customHeight="true" outlineLevel="0" collapsed="false">
      <c r="A2381" s="7" t="s">
        <v>5142</v>
      </c>
      <c r="B2381" s="7" t="s">
        <v>9154</v>
      </c>
      <c r="C2381" s="7"/>
    </row>
    <row r="2382" customFormat="false" ht="15" hidden="false" customHeight="true" outlineLevel="0" collapsed="false">
      <c r="A2382" s="7" t="s">
        <v>5142</v>
      </c>
      <c r="B2382" s="7" t="s">
        <v>9155</v>
      </c>
      <c r="C2382" s="7"/>
    </row>
    <row r="2383" customFormat="false" ht="15" hidden="false" customHeight="true" outlineLevel="0" collapsed="false">
      <c r="A2383" s="7" t="s">
        <v>5142</v>
      </c>
      <c r="B2383" s="7" t="s">
        <v>9156</v>
      </c>
      <c r="C2383" s="7"/>
    </row>
    <row r="2384" customFormat="false" ht="15" hidden="false" customHeight="true" outlineLevel="0" collapsed="false">
      <c r="A2384" s="7" t="s">
        <v>5142</v>
      </c>
      <c r="B2384" s="7" t="s">
        <v>9157</v>
      </c>
      <c r="C2384" s="7"/>
    </row>
    <row r="2385" customFormat="false" ht="15" hidden="false" customHeight="true" outlineLevel="0" collapsed="false">
      <c r="A2385" s="7" t="s">
        <v>6579</v>
      </c>
      <c r="B2385" s="7" t="s">
        <v>6579</v>
      </c>
      <c r="C2385" s="7" t="s">
        <v>8004</v>
      </c>
    </row>
    <row r="2386" customFormat="false" ht="15" hidden="false" customHeight="true" outlineLevel="0" collapsed="false">
      <c r="A2386" s="7" t="s">
        <v>6579</v>
      </c>
      <c r="B2386" s="7" t="s">
        <v>9158</v>
      </c>
      <c r="C2386" s="7"/>
    </row>
    <row r="2387" customFormat="false" ht="15" hidden="false" customHeight="true" outlineLevel="0" collapsed="false">
      <c r="A2387" s="7" t="s">
        <v>6579</v>
      </c>
      <c r="B2387" s="7" t="s">
        <v>6580</v>
      </c>
      <c r="C2387" s="7" t="s">
        <v>8004</v>
      </c>
    </row>
    <row r="2388" customFormat="false" ht="15" hidden="false" customHeight="true" outlineLevel="0" collapsed="false">
      <c r="A2388" s="7" t="s">
        <v>6579</v>
      </c>
      <c r="B2388" s="7" t="s">
        <v>9159</v>
      </c>
      <c r="C2388" s="7"/>
    </row>
    <row r="2389" customFormat="false" ht="15" hidden="false" customHeight="true" outlineLevel="0" collapsed="false">
      <c r="A2389" s="7" t="s">
        <v>6579</v>
      </c>
      <c r="B2389" s="7" t="s">
        <v>9160</v>
      </c>
      <c r="C2389" s="7"/>
    </row>
    <row r="2390" customFormat="false" ht="15" hidden="false" customHeight="true" outlineLevel="0" collapsed="false">
      <c r="A2390" s="7" t="s">
        <v>6579</v>
      </c>
      <c r="B2390" s="7" t="s">
        <v>9161</v>
      </c>
      <c r="C2390" s="7"/>
    </row>
    <row r="2391" customFormat="false" ht="15" hidden="false" customHeight="true" outlineLevel="0" collapsed="false">
      <c r="A2391" s="7" t="s">
        <v>6579</v>
      </c>
      <c r="B2391" s="7" t="s">
        <v>9162</v>
      </c>
      <c r="C2391" s="7"/>
    </row>
    <row r="2392" customFormat="false" ht="15" hidden="false" customHeight="true" outlineLevel="0" collapsed="false">
      <c r="A2392" s="7" t="s">
        <v>6579</v>
      </c>
      <c r="B2392" s="7" t="s">
        <v>9163</v>
      </c>
      <c r="C2392" s="7"/>
    </row>
    <row r="2393" customFormat="false" ht="15" hidden="false" customHeight="true" outlineLevel="0" collapsed="false">
      <c r="A2393" s="7" t="s">
        <v>6579</v>
      </c>
      <c r="B2393" s="7" t="s">
        <v>9164</v>
      </c>
      <c r="C2393" s="7"/>
    </row>
    <row r="2394" customFormat="false" ht="15" hidden="false" customHeight="true" outlineLevel="0" collapsed="false">
      <c r="A2394" s="7" t="s">
        <v>6579</v>
      </c>
      <c r="B2394" s="7" t="s">
        <v>9165</v>
      </c>
      <c r="C2394" s="7"/>
    </row>
    <row r="2395" customFormat="false" ht="15" hidden="false" customHeight="true" outlineLevel="0" collapsed="false">
      <c r="A2395" s="7" t="s">
        <v>6581</v>
      </c>
      <c r="B2395" s="7" t="s">
        <v>6581</v>
      </c>
      <c r="C2395" s="7" t="s">
        <v>8004</v>
      </c>
    </row>
    <row r="2396" customFormat="false" ht="15" hidden="false" customHeight="true" outlineLevel="0" collapsed="false">
      <c r="A2396" s="7" t="s">
        <v>6581</v>
      </c>
      <c r="B2396" s="7" t="s">
        <v>9166</v>
      </c>
      <c r="C2396" s="7"/>
    </row>
    <row r="2397" customFormat="false" ht="15" hidden="false" customHeight="true" outlineLevel="0" collapsed="false">
      <c r="A2397" s="7" t="s">
        <v>6581</v>
      </c>
      <c r="B2397" s="7" t="s">
        <v>9167</v>
      </c>
      <c r="C2397" s="7"/>
    </row>
    <row r="2398" customFormat="false" ht="15" hidden="false" customHeight="true" outlineLevel="0" collapsed="false">
      <c r="A2398" s="7" t="s">
        <v>6581</v>
      </c>
      <c r="B2398" s="7" t="s">
        <v>6583</v>
      </c>
      <c r="C2398" s="7" t="s">
        <v>8004</v>
      </c>
    </row>
    <row r="2399" customFormat="false" ht="15" hidden="false" customHeight="true" outlineLevel="0" collapsed="false">
      <c r="A2399" s="7" t="s">
        <v>6581</v>
      </c>
      <c r="B2399" s="7" t="s">
        <v>9168</v>
      </c>
      <c r="C2399" s="7"/>
    </row>
    <row r="2400" customFormat="false" ht="15" hidden="false" customHeight="true" outlineLevel="0" collapsed="false">
      <c r="A2400" s="7" t="s">
        <v>6581</v>
      </c>
      <c r="B2400" s="7" t="s">
        <v>9169</v>
      </c>
      <c r="C2400" s="7"/>
    </row>
    <row r="2401" customFormat="false" ht="15" hidden="false" customHeight="true" outlineLevel="0" collapsed="false">
      <c r="A2401" s="7" t="s">
        <v>6581</v>
      </c>
      <c r="B2401" s="7" t="s">
        <v>9170</v>
      </c>
      <c r="C2401" s="7"/>
    </row>
    <row r="2402" customFormat="false" ht="15" hidden="false" customHeight="true" outlineLevel="0" collapsed="false">
      <c r="A2402" s="7" t="s">
        <v>6581</v>
      </c>
      <c r="B2402" s="7" t="s">
        <v>9171</v>
      </c>
      <c r="C2402" s="7"/>
    </row>
    <row r="2403" customFormat="false" ht="15" hidden="false" customHeight="true" outlineLevel="0" collapsed="false">
      <c r="A2403" s="7" t="s">
        <v>6581</v>
      </c>
      <c r="B2403" s="7" t="s">
        <v>9172</v>
      </c>
      <c r="C2403" s="7"/>
    </row>
    <row r="2404" customFormat="false" ht="15" hidden="false" customHeight="true" outlineLevel="0" collapsed="false">
      <c r="A2404" s="7" t="s">
        <v>6581</v>
      </c>
      <c r="B2404" s="7" t="s">
        <v>9173</v>
      </c>
      <c r="C2404" s="7"/>
    </row>
    <row r="2405" customFormat="false" ht="15" hidden="false" customHeight="true" outlineLevel="0" collapsed="false">
      <c r="A2405" s="7" t="s">
        <v>5152</v>
      </c>
      <c r="B2405" s="7" t="s">
        <v>5151</v>
      </c>
      <c r="C2405" s="7" t="s">
        <v>8004</v>
      </c>
    </row>
    <row r="2406" customFormat="false" ht="15" hidden="false" customHeight="true" outlineLevel="0" collapsed="false">
      <c r="A2406" s="7" t="s">
        <v>5152</v>
      </c>
      <c r="B2406" s="7" t="s">
        <v>7563</v>
      </c>
      <c r="C2406" s="7" t="s">
        <v>8004</v>
      </c>
    </row>
    <row r="2407" customFormat="false" ht="15" hidden="false" customHeight="true" outlineLevel="0" collapsed="false">
      <c r="A2407" s="7" t="s">
        <v>5152</v>
      </c>
      <c r="B2407" s="7" t="s">
        <v>7560</v>
      </c>
      <c r="C2407" s="7" t="s">
        <v>8004</v>
      </c>
    </row>
    <row r="2408" customFormat="false" ht="15" hidden="false" customHeight="true" outlineLevel="0" collapsed="false">
      <c r="A2408" s="7" t="s">
        <v>5152</v>
      </c>
      <c r="B2408" s="7" t="s">
        <v>9174</v>
      </c>
      <c r="C2408" s="7"/>
    </row>
    <row r="2409" customFormat="false" ht="15" hidden="false" customHeight="true" outlineLevel="0" collapsed="false">
      <c r="A2409" s="7" t="s">
        <v>5152</v>
      </c>
      <c r="B2409" s="7" t="s">
        <v>6581</v>
      </c>
      <c r="C2409" s="7" t="s">
        <v>8004</v>
      </c>
    </row>
    <row r="2410" customFormat="false" ht="15" hidden="false" customHeight="true" outlineLevel="0" collapsed="false">
      <c r="A2410" s="7" t="s">
        <v>5152</v>
      </c>
      <c r="B2410" s="7" t="s">
        <v>7561</v>
      </c>
      <c r="C2410" s="7" t="s">
        <v>8004</v>
      </c>
    </row>
    <row r="2411" customFormat="false" ht="15" hidden="false" customHeight="true" outlineLevel="0" collapsed="false">
      <c r="A2411" s="7" t="s">
        <v>5152</v>
      </c>
      <c r="B2411" s="7" t="s">
        <v>7562</v>
      </c>
      <c r="C2411" s="7" t="s">
        <v>8004</v>
      </c>
    </row>
    <row r="2412" customFormat="false" ht="15" hidden="false" customHeight="true" outlineLevel="0" collapsed="false">
      <c r="A2412" s="7" t="s">
        <v>5152</v>
      </c>
      <c r="B2412" s="7" t="s">
        <v>7569</v>
      </c>
      <c r="C2412" s="7" t="s">
        <v>8004</v>
      </c>
    </row>
    <row r="2413" customFormat="false" ht="15" hidden="false" customHeight="true" outlineLevel="0" collapsed="false">
      <c r="A2413" s="7" t="s">
        <v>5152</v>
      </c>
      <c r="B2413" s="7" t="s">
        <v>9175</v>
      </c>
      <c r="C2413" s="7"/>
    </row>
    <row r="2414" customFormat="false" ht="15" hidden="false" customHeight="true" outlineLevel="0" collapsed="false">
      <c r="A2414" s="7" t="s">
        <v>5152</v>
      </c>
      <c r="B2414" s="7" t="s">
        <v>9176</v>
      </c>
      <c r="C2414" s="7"/>
    </row>
    <row r="2415" customFormat="false" ht="15" hidden="false" customHeight="true" outlineLevel="0" collapsed="false">
      <c r="A2415" s="7" t="s">
        <v>5164</v>
      </c>
      <c r="B2415" s="7" t="s">
        <v>7563</v>
      </c>
      <c r="C2415" s="7" t="s">
        <v>8004</v>
      </c>
    </row>
    <row r="2416" customFormat="false" ht="15" hidden="false" customHeight="true" outlineLevel="0" collapsed="false">
      <c r="A2416" s="7" t="s">
        <v>5164</v>
      </c>
      <c r="B2416" s="7" t="s">
        <v>7564</v>
      </c>
      <c r="C2416" s="7" t="s">
        <v>8004</v>
      </c>
    </row>
    <row r="2417" customFormat="false" ht="15" hidden="false" customHeight="true" outlineLevel="0" collapsed="false">
      <c r="A2417" s="7" t="s">
        <v>5164</v>
      </c>
      <c r="B2417" s="7" t="s">
        <v>7567</v>
      </c>
      <c r="C2417" s="7" t="s">
        <v>8004</v>
      </c>
    </row>
    <row r="2418" customFormat="false" ht="15" hidden="false" customHeight="true" outlineLevel="0" collapsed="false">
      <c r="A2418" s="7" t="s">
        <v>5164</v>
      </c>
      <c r="B2418" s="7" t="s">
        <v>7568</v>
      </c>
      <c r="C2418" s="7" t="s">
        <v>8004</v>
      </c>
    </row>
    <row r="2419" customFormat="false" ht="15" hidden="false" customHeight="true" outlineLevel="0" collapsed="false">
      <c r="A2419" s="7" t="s">
        <v>5164</v>
      </c>
      <c r="B2419" s="7" t="s">
        <v>7566</v>
      </c>
      <c r="C2419" s="7" t="s">
        <v>8004</v>
      </c>
    </row>
    <row r="2420" customFormat="false" ht="15" hidden="false" customHeight="true" outlineLevel="0" collapsed="false">
      <c r="A2420" s="7" t="s">
        <v>5164</v>
      </c>
      <c r="B2420" s="7" t="s">
        <v>9177</v>
      </c>
      <c r="C2420" s="7"/>
    </row>
    <row r="2421" customFormat="false" ht="15" hidden="false" customHeight="true" outlineLevel="0" collapsed="false">
      <c r="A2421" s="7" t="s">
        <v>5164</v>
      </c>
      <c r="B2421" s="7" t="s">
        <v>7565</v>
      </c>
      <c r="C2421" s="7" t="s">
        <v>8004</v>
      </c>
    </row>
    <row r="2422" customFormat="false" ht="15" hidden="false" customHeight="true" outlineLevel="0" collapsed="false">
      <c r="A2422" s="7" t="s">
        <v>5164</v>
      </c>
      <c r="B2422" s="7" t="s">
        <v>9178</v>
      </c>
      <c r="C2422" s="7"/>
    </row>
    <row r="2423" customFormat="false" ht="15" hidden="false" customHeight="true" outlineLevel="0" collapsed="false">
      <c r="A2423" s="7" t="s">
        <v>5164</v>
      </c>
      <c r="B2423" s="7" t="s">
        <v>9179</v>
      </c>
      <c r="C2423" s="7"/>
    </row>
    <row r="2424" customFormat="false" ht="15" hidden="false" customHeight="true" outlineLevel="0" collapsed="false">
      <c r="A2424" s="7" t="s">
        <v>5164</v>
      </c>
      <c r="B2424" s="7" t="s">
        <v>9180</v>
      </c>
      <c r="C2424" s="7"/>
    </row>
    <row r="2425" customFormat="false" ht="15" hidden="false" customHeight="true" outlineLevel="0" collapsed="false">
      <c r="A2425" s="7" t="s">
        <v>278</v>
      </c>
      <c r="B2425" s="7" t="s">
        <v>278</v>
      </c>
      <c r="C2425" s="7" t="s">
        <v>8004</v>
      </c>
    </row>
    <row r="2426" customFormat="false" ht="15" hidden="false" customHeight="true" outlineLevel="0" collapsed="false">
      <c r="A2426" s="7" t="s">
        <v>278</v>
      </c>
      <c r="B2426" s="7" t="s">
        <v>9181</v>
      </c>
      <c r="C2426" s="7"/>
    </row>
    <row r="2427" customFormat="false" ht="15" hidden="false" customHeight="true" outlineLevel="0" collapsed="false">
      <c r="A2427" s="7" t="s">
        <v>278</v>
      </c>
      <c r="B2427" s="7" t="s">
        <v>9182</v>
      </c>
      <c r="C2427" s="7"/>
    </row>
    <row r="2428" customFormat="false" ht="15" hidden="false" customHeight="true" outlineLevel="0" collapsed="false">
      <c r="A2428" s="7" t="s">
        <v>278</v>
      </c>
      <c r="B2428" s="7" t="s">
        <v>9183</v>
      </c>
      <c r="C2428" s="7"/>
    </row>
    <row r="2429" customFormat="false" ht="15" hidden="false" customHeight="true" outlineLevel="0" collapsed="false">
      <c r="A2429" s="7" t="s">
        <v>278</v>
      </c>
      <c r="B2429" s="7" t="s">
        <v>9184</v>
      </c>
      <c r="C2429" s="7"/>
    </row>
    <row r="2430" customFormat="false" ht="15" hidden="false" customHeight="true" outlineLevel="0" collapsed="false">
      <c r="A2430" s="7" t="s">
        <v>278</v>
      </c>
      <c r="B2430" s="7" t="s">
        <v>9185</v>
      </c>
      <c r="C2430" s="7"/>
    </row>
    <row r="2431" customFormat="false" ht="15" hidden="false" customHeight="true" outlineLevel="0" collapsed="false">
      <c r="A2431" s="7" t="s">
        <v>278</v>
      </c>
      <c r="B2431" s="7" t="s">
        <v>9186</v>
      </c>
      <c r="C2431" s="7"/>
    </row>
    <row r="2432" customFormat="false" ht="15" hidden="false" customHeight="true" outlineLevel="0" collapsed="false">
      <c r="A2432" s="7" t="s">
        <v>278</v>
      </c>
      <c r="B2432" s="7" t="s">
        <v>9187</v>
      </c>
      <c r="C2432" s="7"/>
    </row>
    <row r="2433" customFormat="false" ht="15" hidden="false" customHeight="true" outlineLevel="0" collapsed="false">
      <c r="A2433" s="7" t="s">
        <v>278</v>
      </c>
      <c r="B2433" s="7" t="s">
        <v>9188</v>
      </c>
      <c r="C2433" s="7"/>
    </row>
    <row r="2434" customFormat="false" ht="15" hidden="false" customHeight="true" outlineLevel="0" collapsed="false">
      <c r="A2434" s="7" t="s">
        <v>278</v>
      </c>
      <c r="B2434" s="7" t="s">
        <v>9189</v>
      </c>
      <c r="C2434" s="7"/>
    </row>
    <row r="2435" customFormat="false" ht="15" hidden="false" customHeight="true" outlineLevel="0" collapsed="false">
      <c r="A2435" s="7" t="s">
        <v>5177</v>
      </c>
      <c r="B2435" s="7" t="s">
        <v>5177</v>
      </c>
      <c r="C2435" s="7" t="s">
        <v>8004</v>
      </c>
    </row>
    <row r="2436" customFormat="false" ht="15" hidden="false" customHeight="true" outlineLevel="0" collapsed="false">
      <c r="A2436" s="7" t="s">
        <v>5177</v>
      </c>
      <c r="B2436" s="7" t="s">
        <v>5181</v>
      </c>
      <c r="C2436" s="7" t="s">
        <v>8004</v>
      </c>
    </row>
    <row r="2437" customFormat="false" ht="15" hidden="false" customHeight="true" outlineLevel="0" collapsed="false">
      <c r="A2437" s="7" t="s">
        <v>5177</v>
      </c>
      <c r="B2437" s="7" t="s">
        <v>7573</v>
      </c>
      <c r="C2437" s="7" t="s">
        <v>8004</v>
      </c>
    </row>
    <row r="2438" customFormat="false" ht="15" hidden="false" customHeight="true" outlineLevel="0" collapsed="false">
      <c r="A2438" s="7" t="s">
        <v>5177</v>
      </c>
      <c r="B2438" s="7" t="s">
        <v>7572</v>
      </c>
      <c r="C2438" s="7" t="s">
        <v>8004</v>
      </c>
    </row>
    <row r="2439" customFormat="false" ht="15" hidden="false" customHeight="true" outlineLevel="0" collapsed="false">
      <c r="A2439" s="7" t="s">
        <v>5177</v>
      </c>
      <c r="B2439" s="7" t="s">
        <v>9190</v>
      </c>
      <c r="C2439" s="7"/>
    </row>
    <row r="2440" customFormat="false" ht="15" hidden="false" customHeight="true" outlineLevel="0" collapsed="false">
      <c r="A2440" s="7" t="s">
        <v>5177</v>
      </c>
      <c r="B2440" s="7" t="s">
        <v>7574</v>
      </c>
      <c r="C2440" s="7" t="s">
        <v>8004</v>
      </c>
    </row>
    <row r="2441" customFormat="false" ht="15" hidden="false" customHeight="true" outlineLevel="0" collapsed="false">
      <c r="A2441" s="7" t="s">
        <v>5177</v>
      </c>
      <c r="B2441" s="7" t="s">
        <v>7570</v>
      </c>
      <c r="C2441" s="7" t="s">
        <v>8004</v>
      </c>
    </row>
    <row r="2442" customFormat="false" ht="15" hidden="false" customHeight="true" outlineLevel="0" collapsed="false">
      <c r="A2442" s="7" t="s">
        <v>5177</v>
      </c>
      <c r="B2442" s="7" t="s">
        <v>7571</v>
      </c>
      <c r="C2442" s="7" t="s">
        <v>8004</v>
      </c>
    </row>
    <row r="2443" customFormat="false" ht="15" hidden="false" customHeight="true" outlineLevel="0" collapsed="false">
      <c r="A2443" s="7" t="s">
        <v>5177</v>
      </c>
      <c r="B2443" s="7" t="s">
        <v>9191</v>
      </c>
      <c r="C2443" s="7"/>
    </row>
    <row r="2444" customFormat="false" ht="15" hidden="false" customHeight="true" outlineLevel="0" collapsed="false">
      <c r="A2444" s="7" t="s">
        <v>5177</v>
      </c>
      <c r="B2444" s="7" t="s">
        <v>9192</v>
      </c>
      <c r="C2444" s="7"/>
    </row>
    <row r="2445" customFormat="false" ht="15" hidden="false" customHeight="true" outlineLevel="0" collapsed="false">
      <c r="A2445" s="7" t="s">
        <v>5193</v>
      </c>
      <c r="B2445" s="7" t="s">
        <v>5193</v>
      </c>
      <c r="C2445" s="7" t="s">
        <v>8004</v>
      </c>
    </row>
    <row r="2446" customFormat="false" ht="15" hidden="false" customHeight="true" outlineLevel="0" collapsed="false">
      <c r="A2446" s="7" t="s">
        <v>5193</v>
      </c>
      <c r="B2446" s="7" t="s">
        <v>7576</v>
      </c>
      <c r="C2446" s="7" t="s">
        <v>8004</v>
      </c>
    </row>
    <row r="2447" customFormat="false" ht="15" hidden="false" customHeight="true" outlineLevel="0" collapsed="false">
      <c r="A2447" s="7" t="s">
        <v>5193</v>
      </c>
      <c r="B2447" s="7" t="s">
        <v>7575</v>
      </c>
      <c r="C2447" s="7" t="s">
        <v>8004</v>
      </c>
    </row>
    <row r="2448" customFormat="false" ht="15" hidden="false" customHeight="true" outlineLevel="0" collapsed="false">
      <c r="A2448" s="7" t="s">
        <v>5193</v>
      </c>
      <c r="B2448" s="7" t="s">
        <v>9193</v>
      </c>
      <c r="C2448" s="7"/>
    </row>
    <row r="2449" customFormat="false" ht="15" hidden="false" customHeight="true" outlineLevel="0" collapsed="false">
      <c r="A2449" s="7" t="s">
        <v>5193</v>
      </c>
      <c r="B2449" s="7" t="s">
        <v>9194</v>
      </c>
      <c r="C2449" s="7"/>
    </row>
    <row r="2450" customFormat="false" ht="15" hidden="false" customHeight="true" outlineLevel="0" collapsed="false">
      <c r="A2450" s="7" t="s">
        <v>5193</v>
      </c>
      <c r="B2450" s="7" t="s">
        <v>5197</v>
      </c>
      <c r="C2450" s="7" t="s">
        <v>8004</v>
      </c>
    </row>
    <row r="2451" customFormat="false" ht="15" hidden="false" customHeight="true" outlineLevel="0" collapsed="false">
      <c r="A2451" s="7" t="s">
        <v>5193</v>
      </c>
      <c r="B2451" s="7" t="s">
        <v>9195</v>
      </c>
      <c r="C2451" s="7"/>
    </row>
    <row r="2452" customFormat="false" ht="15" hidden="false" customHeight="true" outlineLevel="0" collapsed="false">
      <c r="A2452" s="7" t="s">
        <v>5193</v>
      </c>
      <c r="B2452" s="7" t="s">
        <v>9196</v>
      </c>
      <c r="C2452" s="7"/>
    </row>
    <row r="2453" customFormat="false" ht="15" hidden="false" customHeight="true" outlineLevel="0" collapsed="false">
      <c r="A2453" s="7" t="s">
        <v>5193</v>
      </c>
      <c r="B2453" s="7" t="s">
        <v>9197</v>
      </c>
      <c r="C2453" s="7"/>
    </row>
    <row r="2454" customFormat="false" ht="15" hidden="false" customHeight="true" outlineLevel="0" collapsed="false">
      <c r="A2454" s="7" t="s">
        <v>5193</v>
      </c>
      <c r="B2454" s="7" t="s">
        <v>9198</v>
      </c>
      <c r="C2454" s="7"/>
    </row>
    <row r="2455" customFormat="false" ht="15" hidden="false" customHeight="true" outlineLevel="0" collapsed="false">
      <c r="A2455" s="7" t="s">
        <v>6586</v>
      </c>
      <c r="B2455" s="7" t="s">
        <v>6586</v>
      </c>
      <c r="C2455" s="7" t="s">
        <v>8004</v>
      </c>
    </row>
    <row r="2456" customFormat="false" ht="15" hidden="false" customHeight="true" outlineLevel="0" collapsed="false">
      <c r="A2456" s="7" t="s">
        <v>6586</v>
      </c>
      <c r="B2456" s="7" t="s">
        <v>9199</v>
      </c>
      <c r="C2456" s="7"/>
    </row>
    <row r="2457" customFormat="false" ht="15" hidden="false" customHeight="true" outlineLevel="0" collapsed="false">
      <c r="A2457" s="7" t="s">
        <v>6586</v>
      </c>
      <c r="B2457" s="7" t="s">
        <v>6587</v>
      </c>
      <c r="C2457" s="7" t="s">
        <v>8004</v>
      </c>
    </row>
    <row r="2458" customFormat="false" ht="15" hidden="false" customHeight="true" outlineLevel="0" collapsed="false">
      <c r="A2458" s="7" t="s">
        <v>6586</v>
      </c>
      <c r="B2458" s="7" t="s">
        <v>9200</v>
      </c>
      <c r="C2458" s="7"/>
    </row>
    <row r="2459" customFormat="false" ht="15" hidden="false" customHeight="true" outlineLevel="0" collapsed="false">
      <c r="A2459" s="7" t="s">
        <v>6586</v>
      </c>
      <c r="B2459" s="7" t="s">
        <v>9201</v>
      </c>
      <c r="C2459" s="7"/>
    </row>
    <row r="2460" customFormat="false" ht="15" hidden="false" customHeight="true" outlineLevel="0" collapsed="false">
      <c r="A2460" s="7" t="s">
        <v>6586</v>
      </c>
      <c r="B2460" s="7" t="s">
        <v>9202</v>
      </c>
      <c r="C2460" s="7"/>
    </row>
    <row r="2461" customFormat="false" ht="15" hidden="false" customHeight="true" outlineLevel="0" collapsed="false">
      <c r="A2461" s="7" t="s">
        <v>6586</v>
      </c>
      <c r="B2461" s="7" t="s">
        <v>9203</v>
      </c>
      <c r="C2461" s="7"/>
    </row>
    <row r="2462" customFormat="false" ht="15" hidden="false" customHeight="true" outlineLevel="0" collapsed="false">
      <c r="A2462" s="7" t="s">
        <v>6586</v>
      </c>
      <c r="B2462" s="7" t="s">
        <v>9204</v>
      </c>
      <c r="C2462" s="7"/>
    </row>
    <row r="2463" customFormat="false" ht="15" hidden="false" customHeight="true" outlineLevel="0" collapsed="false">
      <c r="A2463" s="7" t="s">
        <v>6586</v>
      </c>
      <c r="B2463" s="7" t="s">
        <v>9205</v>
      </c>
      <c r="C2463" s="7"/>
    </row>
    <row r="2464" customFormat="false" ht="15" hidden="false" customHeight="true" outlineLevel="0" collapsed="false">
      <c r="A2464" s="7" t="s">
        <v>6586</v>
      </c>
      <c r="B2464" s="7" t="s">
        <v>9206</v>
      </c>
      <c r="C2464" s="7"/>
    </row>
    <row r="2465" customFormat="false" ht="15" hidden="false" customHeight="true" outlineLevel="0" collapsed="false">
      <c r="A2465" s="7" t="s">
        <v>5206</v>
      </c>
      <c r="B2465" s="7" t="s">
        <v>5206</v>
      </c>
      <c r="C2465" s="7" t="s">
        <v>8004</v>
      </c>
    </row>
    <row r="2466" customFormat="false" ht="15" hidden="false" customHeight="true" outlineLevel="0" collapsed="false">
      <c r="A2466" s="7" t="s">
        <v>5206</v>
      </c>
      <c r="B2466" s="7" t="s">
        <v>5210</v>
      </c>
      <c r="C2466" s="7" t="s">
        <v>8004</v>
      </c>
    </row>
    <row r="2467" customFormat="false" ht="15" hidden="false" customHeight="true" outlineLevel="0" collapsed="false">
      <c r="A2467" s="7" t="s">
        <v>5206</v>
      </c>
      <c r="B2467" s="7" t="s">
        <v>9207</v>
      </c>
      <c r="C2467" s="7"/>
    </row>
    <row r="2468" customFormat="false" ht="15" hidden="false" customHeight="true" outlineLevel="0" collapsed="false">
      <c r="A2468" s="7" t="s">
        <v>5206</v>
      </c>
      <c r="B2468" s="7" t="s">
        <v>7578</v>
      </c>
      <c r="C2468" s="7" t="s">
        <v>8004</v>
      </c>
    </row>
    <row r="2469" customFormat="false" ht="15" hidden="false" customHeight="true" outlineLevel="0" collapsed="false">
      <c r="A2469" s="7" t="s">
        <v>5206</v>
      </c>
      <c r="B2469" s="7" t="s">
        <v>7577</v>
      </c>
      <c r="C2469" s="7" t="s">
        <v>8004</v>
      </c>
    </row>
    <row r="2470" customFormat="false" ht="15" hidden="false" customHeight="true" outlineLevel="0" collapsed="false">
      <c r="A2470" s="7" t="s">
        <v>5206</v>
      </c>
      <c r="B2470" s="7" t="s">
        <v>7579</v>
      </c>
      <c r="C2470" s="7" t="s">
        <v>8004</v>
      </c>
    </row>
    <row r="2471" customFormat="false" ht="15" hidden="false" customHeight="true" outlineLevel="0" collapsed="false">
      <c r="A2471" s="7" t="s">
        <v>5206</v>
      </c>
      <c r="B2471" s="7" t="s">
        <v>9208</v>
      </c>
      <c r="C2471" s="7"/>
    </row>
    <row r="2472" customFormat="false" ht="15" hidden="false" customHeight="true" outlineLevel="0" collapsed="false">
      <c r="A2472" s="7" t="s">
        <v>5206</v>
      </c>
      <c r="B2472" s="7" t="s">
        <v>7587</v>
      </c>
      <c r="C2472" s="7" t="s">
        <v>8004</v>
      </c>
    </row>
    <row r="2473" customFormat="false" ht="15" hidden="false" customHeight="true" outlineLevel="0" collapsed="false">
      <c r="A2473" s="7" t="s">
        <v>5219</v>
      </c>
      <c r="B2473" s="7" t="s">
        <v>5219</v>
      </c>
      <c r="C2473" s="7" t="s">
        <v>8004</v>
      </c>
    </row>
    <row r="2474" customFormat="false" ht="15" hidden="false" customHeight="true" outlineLevel="0" collapsed="false">
      <c r="A2474" s="7" t="s">
        <v>5219</v>
      </c>
      <c r="B2474" s="7" t="s">
        <v>7582</v>
      </c>
      <c r="C2474" s="7" t="s">
        <v>8004</v>
      </c>
    </row>
    <row r="2475" customFormat="false" ht="15" hidden="false" customHeight="true" outlineLevel="0" collapsed="false">
      <c r="A2475" s="7" t="s">
        <v>5219</v>
      </c>
      <c r="B2475" s="7" t="s">
        <v>7581</v>
      </c>
      <c r="C2475" s="7" t="s">
        <v>8004</v>
      </c>
    </row>
    <row r="2476" customFormat="false" ht="15" hidden="false" customHeight="true" outlineLevel="0" collapsed="false">
      <c r="A2476" s="7" t="s">
        <v>5219</v>
      </c>
      <c r="B2476" s="7" t="s">
        <v>7580</v>
      </c>
      <c r="C2476" s="7" t="s">
        <v>8004</v>
      </c>
    </row>
    <row r="2477" customFormat="false" ht="15" hidden="false" customHeight="true" outlineLevel="0" collapsed="false">
      <c r="A2477" s="7" t="s">
        <v>5219</v>
      </c>
      <c r="B2477" s="7" t="s">
        <v>5223</v>
      </c>
      <c r="C2477" s="7" t="s">
        <v>8004</v>
      </c>
    </row>
    <row r="2478" customFormat="false" ht="15" hidden="false" customHeight="true" outlineLevel="0" collapsed="false">
      <c r="A2478" s="7" t="s">
        <v>5219</v>
      </c>
      <c r="B2478" s="7" t="s">
        <v>7586</v>
      </c>
      <c r="C2478" s="7" t="s">
        <v>8004</v>
      </c>
    </row>
    <row r="2479" customFormat="false" ht="15" hidden="false" customHeight="true" outlineLevel="0" collapsed="false">
      <c r="A2479" s="7" t="s">
        <v>5219</v>
      </c>
      <c r="B2479" s="7" t="s">
        <v>9209</v>
      </c>
      <c r="C2479" s="7"/>
    </row>
    <row r="2480" customFormat="false" ht="15" hidden="false" customHeight="true" outlineLevel="0" collapsed="false">
      <c r="A2480" s="7" t="s">
        <v>5219</v>
      </c>
      <c r="B2480" s="7" t="s">
        <v>9210</v>
      </c>
      <c r="C2480" s="7"/>
    </row>
    <row r="2481" customFormat="false" ht="15" hidden="false" customHeight="true" outlineLevel="0" collapsed="false">
      <c r="A2481" s="7" t="s">
        <v>5921</v>
      </c>
      <c r="B2481" s="7" t="s">
        <v>5921</v>
      </c>
      <c r="C2481" s="7" t="s">
        <v>8004</v>
      </c>
    </row>
    <row r="2482" customFormat="false" ht="15" hidden="false" customHeight="true" outlineLevel="0" collapsed="false">
      <c r="A2482" s="7" t="s">
        <v>5921</v>
      </c>
      <c r="B2482" s="7" t="s">
        <v>9211</v>
      </c>
      <c r="C2482" s="7"/>
    </row>
    <row r="2483" customFormat="false" ht="15" hidden="false" customHeight="true" outlineLevel="0" collapsed="false">
      <c r="A2483" s="7" t="s">
        <v>5921</v>
      </c>
      <c r="B2483" s="7" t="s">
        <v>7583</v>
      </c>
      <c r="C2483" s="7" t="s">
        <v>8004</v>
      </c>
    </row>
    <row r="2484" customFormat="false" ht="15" hidden="false" customHeight="true" outlineLevel="0" collapsed="false">
      <c r="A2484" s="7" t="s">
        <v>5921</v>
      </c>
      <c r="B2484" s="7" t="s">
        <v>5925</v>
      </c>
      <c r="C2484" s="7" t="s">
        <v>8004</v>
      </c>
    </row>
    <row r="2485" customFormat="false" ht="15" hidden="false" customHeight="true" outlineLevel="0" collapsed="false">
      <c r="A2485" s="7" t="s">
        <v>5921</v>
      </c>
      <c r="B2485" s="7" t="s">
        <v>5924</v>
      </c>
      <c r="C2485" s="7" t="s">
        <v>8004</v>
      </c>
    </row>
    <row r="2486" customFormat="false" ht="15" hidden="false" customHeight="true" outlineLevel="0" collapsed="false">
      <c r="A2486" s="7" t="s">
        <v>5921</v>
      </c>
      <c r="B2486" s="7" t="s">
        <v>9212</v>
      </c>
      <c r="C2486" s="7"/>
    </row>
    <row r="2487" customFormat="false" ht="15" hidden="false" customHeight="true" outlineLevel="0" collapsed="false">
      <c r="A2487" s="7" t="s">
        <v>5921</v>
      </c>
      <c r="B2487" s="7" t="s">
        <v>9213</v>
      </c>
      <c r="C2487" s="7"/>
    </row>
    <row r="2488" customFormat="false" ht="15" hidden="false" customHeight="true" outlineLevel="0" collapsed="false">
      <c r="A2488" s="7" t="s">
        <v>5921</v>
      </c>
      <c r="B2488" s="7" t="s">
        <v>9214</v>
      </c>
      <c r="C2488" s="7"/>
    </row>
    <row r="2489" customFormat="false" ht="15" hidden="false" customHeight="true" outlineLevel="0" collapsed="false">
      <c r="A2489" s="7" t="s">
        <v>5921</v>
      </c>
      <c r="B2489" s="7" t="s">
        <v>9215</v>
      </c>
      <c r="C2489" s="7"/>
    </row>
    <row r="2490" customFormat="false" ht="15" hidden="false" customHeight="true" outlineLevel="0" collapsed="false">
      <c r="A2490" s="7" t="s">
        <v>5921</v>
      </c>
      <c r="B2490" s="7" t="s">
        <v>9216</v>
      </c>
      <c r="C2490" s="7"/>
    </row>
    <row r="2491" customFormat="false" ht="15" hidden="false" customHeight="true" outlineLevel="0" collapsed="false">
      <c r="A2491" s="7" t="s">
        <v>5231</v>
      </c>
      <c r="B2491" s="7" t="s">
        <v>5231</v>
      </c>
      <c r="C2491" s="7" t="s">
        <v>8004</v>
      </c>
    </row>
    <row r="2492" customFormat="false" ht="15" hidden="false" customHeight="true" outlineLevel="0" collapsed="false">
      <c r="A2492" s="7" t="s">
        <v>5231</v>
      </c>
      <c r="B2492" s="7" t="s">
        <v>9217</v>
      </c>
      <c r="C2492" s="7"/>
    </row>
    <row r="2493" customFormat="false" ht="15" hidden="false" customHeight="true" outlineLevel="0" collapsed="false">
      <c r="A2493" s="7" t="s">
        <v>5231</v>
      </c>
      <c r="B2493" s="7" t="s">
        <v>7585</v>
      </c>
      <c r="C2493" s="7" t="s">
        <v>8004</v>
      </c>
    </row>
    <row r="2494" customFormat="false" ht="15" hidden="false" customHeight="true" outlineLevel="0" collapsed="false">
      <c r="A2494" s="7" t="s">
        <v>5231</v>
      </c>
      <c r="B2494" s="7" t="s">
        <v>5234</v>
      </c>
      <c r="C2494" s="7" t="s">
        <v>8004</v>
      </c>
    </row>
    <row r="2495" customFormat="false" ht="15" hidden="false" customHeight="true" outlineLevel="0" collapsed="false">
      <c r="A2495" s="7" t="s">
        <v>5231</v>
      </c>
      <c r="B2495" s="7" t="s">
        <v>7584</v>
      </c>
      <c r="C2495" s="7" t="s">
        <v>8004</v>
      </c>
    </row>
    <row r="2496" customFormat="false" ht="15" hidden="false" customHeight="true" outlineLevel="0" collapsed="false">
      <c r="A2496" s="7" t="s">
        <v>5231</v>
      </c>
      <c r="B2496" s="7" t="s">
        <v>7599</v>
      </c>
      <c r="C2496" s="7" t="s">
        <v>8004</v>
      </c>
    </row>
    <row r="2497" customFormat="false" ht="15" hidden="false" customHeight="true" outlineLevel="0" collapsed="false">
      <c r="A2497" s="7" t="s">
        <v>5231</v>
      </c>
      <c r="B2497" s="7" t="s">
        <v>7600</v>
      </c>
      <c r="C2497" s="7" t="s">
        <v>8004</v>
      </c>
    </row>
    <row r="2498" customFormat="false" ht="15" hidden="false" customHeight="true" outlineLevel="0" collapsed="false">
      <c r="A2498" s="7" t="s">
        <v>5231</v>
      </c>
      <c r="B2498" s="7" t="s">
        <v>7598</v>
      </c>
      <c r="C2498" s="7" t="s">
        <v>8004</v>
      </c>
    </row>
    <row r="2499" customFormat="false" ht="15" hidden="false" customHeight="true" outlineLevel="0" collapsed="false">
      <c r="A2499" s="7" t="s">
        <v>5231</v>
      </c>
      <c r="B2499" s="7" t="s">
        <v>9218</v>
      </c>
      <c r="C2499" s="7"/>
    </row>
    <row r="2500" customFormat="false" ht="15" hidden="false" customHeight="true" outlineLevel="0" collapsed="false">
      <c r="A2500" s="7" t="s">
        <v>5231</v>
      </c>
      <c r="B2500" s="7" t="s">
        <v>9219</v>
      </c>
      <c r="C2500" s="7"/>
    </row>
    <row r="2501" customFormat="false" ht="15" hidden="false" customHeight="true" outlineLevel="0" collapsed="false">
      <c r="A2501" s="7" t="s">
        <v>5266</v>
      </c>
      <c r="B2501" s="7" t="s">
        <v>5266</v>
      </c>
      <c r="C2501" s="7" t="s">
        <v>8004</v>
      </c>
    </row>
    <row r="2502" customFormat="false" ht="15" hidden="false" customHeight="true" outlineLevel="0" collapsed="false">
      <c r="A2502" s="7" t="s">
        <v>5266</v>
      </c>
      <c r="B2502" s="7" t="s">
        <v>9220</v>
      </c>
      <c r="C2502" s="7"/>
    </row>
    <row r="2503" customFormat="false" ht="15" hidden="false" customHeight="true" outlineLevel="0" collapsed="false">
      <c r="A2503" s="7" t="s">
        <v>5266</v>
      </c>
      <c r="B2503" s="7" t="s">
        <v>9221</v>
      </c>
      <c r="C2503" s="7"/>
    </row>
    <row r="2504" customFormat="false" ht="15" hidden="false" customHeight="true" outlineLevel="0" collapsed="false">
      <c r="A2504" s="7" t="s">
        <v>5289</v>
      </c>
      <c r="B2504" s="7" t="s">
        <v>5289</v>
      </c>
      <c r="C2504" s="7" t="s">
        <v>8004</v>
      </c>
    </row>
    <row r="2505" customFormat="false" ht="15" hidden="false" customHeight="true" outlineLevel="0" collapsed="false">
      <c r="A2505" s="7" t="s">
        <v>6588</v>
      </c>
      <c r="B2505" s="7" t="s">
        <v>6588</v>
      </c>
      <c r="C2505" s="7" t="s">
        <v>8004</v>
      </c>
    </row>
    <row r="2506" customFormat="false" ht="15" hidden="false" customHeight="true" outlineLevel="0" collapsed="false">
      <c r="A2506" s="7" t="s">
        <v>6588</v>
      </c>
      <c r="B2506" s="7" t="s">
        <v>9222</v>
      </c>
      <c r="C2506" s="7"/>
    </row>
    <row r="2507" customFormat="false" ht="15" hidden="false" customHeight="true" outlineLevel="0" collapsed="false">
      <c r="A2507" s="7" t="s">
        <v>6588</v>
      </c>
      <c r="B2507" s="7" t="s">
        <v>9223</v>
      </c>
      <c r="C2507" s="7"/>
    </row>
    <row r="2508" customFormat="false" ht="15" hidden="false" customHeight="true" outlineLevel="0" collapsed="false">
      <c r="A2508" s="7" t="s">
        <v>6588</v>
      </c>
      <c r="B2508" s="7" t="s">
        <v>9224</v>
      </c>
      <c r="C2508" s="7"/>
    </row>
    <row r="2509" customFormat="false" ht="15" hidden="false" customHeight="true" outlineLevel="0" collapsed="false">
      <c r="A2509" s="7" t="s">
        <v>6588</v>
      </c>
      <c r="B2509" s="7" t="s">
        <v>9225</v>
      </c>
      <c r="C2509" s="7"/>
    </row>
    <row r="2510" customFormat="false" ht="15" hidden="false" customHeight="true" outlineLevel="0" collapsed="false">
      <c r="A2510" s="7" t="s">
        <v>6588</v>
      </c>
      <c r="B2510" s="7" t="s">
        <v>9226</v>
      </c>
      <c r="C2510" s="7"/>
    </row>
    <row r="2511" customFormat="false" ht="15" hidden="false" customHeight="true" outlineLevel="0" collapsed="false">
      <c r="A2511" s="7" t="s">
        <v>6588</v>
      </c>
      <c r="B2511" s="7" t="s">
        <v>9227</v>
      </c>
      <c r="C2511" s="7"/>
    </row>
    <row r="2512" customFormat="false" ht="15" hidden="false" customHeight="true" outlineLevel="0" collapsed="false">
      <c r="A2512" s="7" t="s">
        <v>6588</v>
      </c>
      <c r="B2512" s="7" t="s">
        <v>9228</v>
      </c>
      <c r="C2512" s="7"/>
    </row>
    <row r="2513" customFormat="false" ht="15" hidden="false" customHeight="true" outlineLevel="0" collapsed="false">
      <c r="A2513" s="7" t="s">
        <v>6588</v>
      </c>
      <c r="B2513" s="7" t="s">
        <v>9229</v>
      </c>
      <c r="C2513" s="7"/>
    </row>
    <row r="2514" customFormat="false" ht="15" hidden="false" customHeight="true" outlineLevel="0" collapsed="false">
      <c r="A2514" s="7" t="s">
        <v>6588</v>
      </c>
      <c r="B2514" s="7" t="s">
        <v>9230</v>
      </c>
      <c r="C2514" s="7"/>
    </row>
    <row r="2515" customFormat="false" ht="15" hidden="false" customHeight="true" outlineLevel="0" collapsed="false">
      <c r="A2515" s="7" t="s">
        <v>5276</v>
      </c>
      <c r="B2515" s="7" t="s">
        <v>7663</v>
      </c>
      <c r="C2515" s="7" t="s">
        <v>8004</v>
      </c>
    </row>
    <row r="2516" customFormat="false" ht="15" hidden="false" customHeight="true" outlineLevel="0" collapsed="false">
      <c r="A2516" s="7" t="s">
        <v>5276</v>
      </c>
      <c r="B2516" s="7" t="s">
        <v>7589</v>
      </c>
      <c r="C2516" s="7" t="s">
        <v>8004</v>
      </c>
    </row>
    <row r="2517" customFormat="false" ht="15" hidden="false" customHeight="true" outlineLevel="0" collapsed="false">
      <c r="A2517" s="7" t="s">
        <v>5243</v>
      </c>
      <c r="B2517" s="7" t="s">
        <v>5243</v>
      </c>
      <c r="C2517" s="7" t="s">
        <v>8004</v>
      </c>
    </row>
    <row r="2518" customFormat="false" ht="15" hidden="false" customHeight="true" outlineLevel="0" collapsed="false">
      <c r="A2518" s="7" t="s">
        <v>5243</v>
      </c>
      <c r="B2518" s="7" t="s">
        <v>5246</v>
      </c>
      <c r="C2518" s="7" t="s">
        <v>8004</v>
      </c>
    </row>
    <row r="2519" customFormat="false" ht="15" hidden="false" customHeight="true" outlineLevel="0" collapsed="false">
      <c r="A2519" s="7" t="s">
        <v>5243</v>
      </c>
      <c r="B2519" s="7" t="s">
        <v>7591</v>
      </c>
      <c r="C2519" s="7" t="s">
        <v>8004</v>
      </c>
    </row>
    <row r="2520" customFormat="false" ht="15" hidden="false" customHeight="true" outlineLevel="0" collapsed="false">
      <c r="A2520" s="7" t="s">
        <v>5243</v>
      </c>
      <c r="B2520" s="7" t="s">
        <v>9231</v>
      </c>
      <c r="C2520" s="7"/>
    </row>
    <row r="2521" customFormat="false" ht="15" hidden="false" customHeight="true" outlineLevel="0" collapsed="false">
      <c r="A2521" s="7" t="s">
        <v>5243</v>
      </c>
      <c r="B2521" s="7" t="s">
        <v>7590</v>
      </c>
      <c r="C2521" s="7" t="s">
        <v>8004</v>
      </c>
    </row>
    <row r="2522" customFormat="false" ht="15" hidden="false" customHeight="true" outlineLevel="0" collapsed="false">
      <c r="A2522" s="7" t="s">
        <v>5243</v>
      </c>
      <c r="B2522" s="7" t="s">
        <v>7592</v>
      </c>
      <c r="C2522" s="7" t="s">
        <v>8004</v>
      </c>
    </row>
    <row r="2523" customFormat="false" ht="15" hidden="false" customHeight="true" outlineLevel="0" collapsed="false">
      <c r="A2523" s="7" t="s">
        <v>5243</v>
      </c>
      <c r="B2523" s="7" t="s">
        <v>5247</v>
      </c>
      <c r="C2523" s="7" t="s">
        <v>8004</v>
      </c>
    </row>
    <row r="2524" customFormat="false" ht="15" hidden="false" customHeight="true" outlineLevel="0" collapsed="false">
      <c r="A2524" s="7" t="s">
        <v>5243</v>
      </c>
      <c r="B2524" s="7" t="s">
        <v>9232</v>
      </c>
      <c r="C2524" s="7"/>
    </row>
    <row r="2525" customFormat="false" ht="15" hidden="false" customHeight="true" outlineLevel="0" collapsed="false">
      <c r="A2525" s="7" t="s">
        <v>5243</v>
      </c>
      <c r="B2525" s="7" t="s">
        <v>9233</v>
      </c>
      <c r="C2525" s="7"/>
    </row>
    <row r="2526" customFormat="false" ht="15" hidden="false" customHeight="true" outlineLevel="0" collapsed="false">
      <c r="A2526" s="7" t="s">
        <v>5243</v>
      </c>
      <c r="B2526" s="7" t="s">
        <v>7588</v>
      </c>
      <c r="C2526" s="7" t="s">
        <v>8004</v>
      </c>
    </row>
    <row r="2527" customFormat="false" ht="15" hidden="false" customHeight="true" outlineLevel="0" collapsed="false">
      <c r="A2527" s="7" t="s">
        <v>5255</v>
      </c>
      <c r="B2527" s="7" t="s">
        <v>5255</v>
      </c>
      <c r="C2527" s="7" t="s">
        <v>8004</v>
      </c>
    </row>
    <row r="2528" customFormat="false" ht="15" hidden="false" customHeight="true" outlineLevel="0" collapsed="false">
      <c r="A2528" s="7" t="s">
        <v>5255</v>
      </c>
      <c r="B2528" s="7" t="s">
        <v>9234</v>
      </c>
      <c r="C2528" s="7"/>
    </row>
    <row r="2529" customFormat="false" ht="15" hidden="false" customHeight="true" outlineLevel="0" collapsed="false">
      <c r="A2529" s="7" t="s">
        <v>5255</v>
      </c>
      <c r="B2529" s="7" t="s">
        <v>5259</v>
      </c>
      <c r="C2529" s="7" t="s">
        <v>8004</v>
      </c>
    </row>
    <row r="2530" customFormat="false" ht="15" hidden="false" customHeight="true" outlineLevel="0" collapsed="false">
      <c r="A2530" s="7" t="s">
        <v>5255</v>
      </c>
      <c r="B2530" s="7" t="s">
        <v>7658</v>
      </c>
      <c r="C2530" s="7" t="s">
        <v>8004</v>
      </c>
    </row>
    <row r="2531" customFormat="false" ht="15" hidden="false" customHeight="true" outlineLevel="0" collapsed="false">
      <c r="A2531" s="7" t="s">
        <v>5255</v>
      </c>
      <c r="B2531" s="7" t="s">
        <v>7593</v>
      </c>
      <c r="C2531" s="7" t="s">
        <v>8004</v>
      </c>
    </row>
    <row r="2532" customFormat="false" ht="15" hidden="false" customHeight="true" outlineLevel="0" collapsed="false">
      <c r="A2532" s="7" t="s">
        <v>5255</v>
      </c>
      <c r="B2532" s="7" t="s">
        <v>9235</v>
      </c>
      <c r="C2532" s="7"/>
    </row>
    <row r="2533" customFormat="false" ht="15" hidden="false" customHeight="true" outlineLevel="0" collapsed="false">
      <c r="A2533" s="7" t="s">
        <v>5255</v>
      </c>
      <c r="B2533" s="7" t="s">
        <v>9236</v>
      </c>
      <c r="C2533" s="7"/>
    </row>
    <row r="2534" customFormat="false" ht="15" hidden="false" customHeight="true" outlineLevel="0" collapsed="false">
      <c r="A2534" s="7" t="s">
        <v>5298</v>
      </c>
      <c r="B2534" s="7" t="s">
        <v>5298</v>
      </c>
      <c r="C2534" s="7" t="s">
        <v>8004</v>
      </c>
    </row>
    <row r="2535" customFormat="false" ht="15" hidden="false" customHeight="true" outlineLevel="0" collapsed="false">
      <c r="A2535" s="7" t="s">
        <v>5298</v>
      </c>
      <c r="B2535" s="7" t="s">
        <v>7595</v>
      </c>
      <c r="C2535" s="7" t="s">
        <v>8004</v>
      </c>
    </row>
    <row r="2536" customFormat="false" ht="15" hidden="false" customHeight="true" outlineLevel="0" collapsed="false">
      <c r="A2536" s="7" t="s">
        <v>5298</v>
      </c>
      <c r="B2536" s="7" t="s">
        <v>7594</v>
      </c>
      <c r="C2536" s="7" t="s">
        <v>8004</v>
      </c>
    </row>
    <row r="2537" customFormat="false" ht="15" hidden="false" customHeight="true" outlineLevel="0" collapsed="false">
      <c r="A2537" s="7" t="s">
        <v>5298</v>
      </c>
      <c r="B2537" s="7" t="s">
        <v>5302</v>
      </c>
      <c r="C2537" s="7" t="s">
        <v>8004</v>
      </c>
    </row>
    <row r="2538" customFormat="false" ht="15" hidden="false" customHeight="true" outlineLevel="0" collapsed="false">
      <c r="A2538" s="7" t="s">
        <v>5310</v>
      </c>
      <c r="B2538" s="7" t="s">
        <v>5310</v>
      </c>
      <c r="C2538" s="7" t="s">
        <v>8004</v>
      </c>
    </row>
    <row r="2539" customFormat="false" ht="15" hidden="false" customHeight="true" outlineLevel="0" collapsed="false">
      <c r="A2539" s="7" t="s">
        <v>5310</v>
      </c>
      <c r="B2539" s="7" t="s">
        <v>9237</v>
      </c>
      <c r="C2539" s="7"/>
    </row>
    <row r="2540" customFormat="false" ht="15" hidden="false" customHeight="true" outlineLevel="0" collapsed="false">
      <c r="A2540" s="7" t="s">
        <v>5310</v>
      </c>
      <c r="B2540" s="7" t="s">
        <v>5314</v>
      </c>
      <c r="C2540" s="7" t="s">
        <v>8004</v>
      </c>
    </row>
    <row r="2541" customFormat="false" ht="15" hidden="false" customHeight="true" outlineLevel="0" collapsed="false">
      <c r="A2541" s="7" t="s">
        <v>5310</v>
      </c>
      <c r="B2541" s="7" t="s">
        <v>7596</v>
      </c>
      <c r="C2541" s="7" t="s">
        <v>8004</v>
      </c>
    </row>
    <row r="2542" customFormat="false" ht="15" hidden="false" customHeight="true" outlineLevel="0" collapsed="false">
      <c r="A2542" s="7" t="s">
        <v>5310</v>
      </c>
      <c r="B2542" s="7" t="s">
        <v>9238</v>
      </c>
      <c r="C2542" s="7"/>
    </row>
    <row r="2543" customFormat="false" ht="15" hidden="false" customHeight="true" outlineLevel="0" collapsed="false">
      <c r="A2543" s="7" t="s">
        <v>5310</v>
      </c>
      <c r="B2543" s="7" t="s">
        <v>9239</v>
      </c>
      <c r="C2543" s="7"/>
    </row>
    <row r="2544" customFormat="false" ht="15" hidden="false" customHeight="true" outlineLevel="0" collapsed="false">
      <c r="A2544" s="7" t="s">
        <v>5321</v>
      </c>
      <c r="B2544" s="7" t="s">
        <v>5321</v>
      </c>
      <c r="C2544" s="7" t="s">
        <v>8004</v>
      </c>
    </row>
    <row r="2545" customFormat="false" ht="15" hidden="false" customHeight="true" outlineLevel="0" collapsed="false">
      <c r="A2545" s="7" t="s">
        <v>5321</v>
      </c>
      <c r="B2545" s="7" t="s">
        <v>9240</v>
      </c>
      <c r="C2545" s="7"/>
    </row>
    <row r="2546" customFormat="false" ht="15" hidden="false" customHeight="true" outlineLevel="0" collapsed="false">
      <c r="A2546" s="7" t="s">
        <v>5321</v>
      </c>
      <c r="B2546" s="7" t="s">
        <v>9241</v>
      </c>
      <c r="C2546" s="7"/>
    </row>
    <row r="2547" customFormat="false" ht="15" hidden="false" customHeight="true" outlineLevel="0" collapsed="false">
      <c r="A2547" s="7" t="s">
        <v>5321</v>
      </c>
      <c r="B2547" s="7" t="s">
        <v>5325</v>
      </c>
      <c r="C2547" s="7" t="s">
        <v>8004</v>
      </c>
    </row>
    <row r="2548" customFormat="false" ht="15" hidden="false" customHeight="true" outlineLevel="0" collapsed="false">
      <c r="A2548" s="7" t="s">
        <v>5321</v>
      </c>
      <c r="B2548" s="7" t="s">
        <v>7664</v>
      </c>
      <c r="C2548" s="7" t="s">
        <v>8004</v>
      </c>
    </row>
    <row r="2549" customFormat="false" ht="15" hidden="false" customHeight="true" outlineLevel="0" collapsed="false">
      <c r="A2549" s="7" t="s">
        <v>5321</v>
      </c>
      <c r="B2549" s="7" t="s">
        <v>7597</v>
      </c>
      <c r="C2549" s="7" t="s">
        <v>8004</v>
      </c>
    </row>
    <row r="2550" customFormat="false" ht="15" hidden="false" customHeight="true" outlineLevel="0" collapsed="false">
      <c r="A2550" s="7" t="s">
        <v>6590</v>
      </c>
      <c r="B2550" s="7" t="s">
        <v>6590</v>
      </c>
      <c r="C2550" s="7" t="s">
        <v>8004</v>
      </c>
    </row>
    <row r="2551" customFormat="false" ht="15" hidden="false" customHeight="true" outlineLevel="0" collapsed="false">
      <c r="A2551" s="7" t="s">
        <v>6590</v>
      </c>
      <c r="B2551" s="7" t="s">
        <v>9242</v>
      </c>
      <c r="C2551" s="7"/>
    </row>
    <row r="2552" customFormat="false" ht="15" hidden="false" customHeight="true" outlineLevel="0" collapsed="false">
      <c r="A2552" s="7" t="s">
        <v>6590</v>
      </c>
      <c r="B2552" s="7" t="s">
        <v>9243</v>
      </c>
      <c r="C2552" s="7"/>
    </row>
    <row r="2553" customFormat="false" ht="15" hidden="false" customHeight="true" outlineLevel="0" collapsed="false">
      <c r="A2553" s="7" t="s">
        <v>6590</v>
      </c>
      <c r="B2553" s="7" t="s">
        <v>9244</v>
      </c>
      <c r="C2553" s="7"/>
    </row>
    <row r="2554" customFormat="false" ht="15" hidden="false" customHeight="true" outlineLevel="0" collapsed="false">
      <c r="A2554" s="7" t="s">
        <v>6590</v>
      </c>
      <c r="B2554" s="7" t="s">
        <v>9245</v>
      </c>
      <c r="C2554" s="7"/>
    </row>
    <row r="2555" customFormat="false" ht="15" hidden="false" customHeight="true" outlineLevel="0" collapsed="false">
      <c r="A2555" s="7" t="s">
        <v>6590</v>
      </c>
      <c r="B2555" s="7" t="s">
        <v>9246</v>
      </c>
      <c r="C2555" s="7"/>
    </row>
    <row r="2556" customFormat="false" ht="15" hidden="false" customHeight="true" outlineLevel="0" collapsed="false">
      <c r="A2556" s="7" t="s">
        <v>6590</v>
      </c>
      <c r="B2556" s="7" t="s">
        <v>9247</v>
      </c>
      <c r="C2556" s="7"/>
    </row>
    <row r="2557" customFormat="false" ht="15" hidden="false" customHeight="true" outlineLevel="0" collapsed="false">
      <c r="A2557" s="7" t="s">
        <v>6590</v>
      </c>
      <c r="B2557" s="7" t="s">
        <v>9248</v>
      </c>
      <c r="C2557" s="7"/>
    </row>
    <row r="2558" customFormat="false" ht="15" hidden="false" customHeight="true" outlineLevel="0" collapsed="false">
      <c r="A2558" s="7" t="s">
        <v>6590</v>
      </c>
      <c r="B2558" s="7" t="s">
        <v>9249</v>
      </c>
      <c r="C2558" s="7"/>
    </row>
    <row r="2559" customFormat="false" ht="15" hidden="false" customHeight="true" outlineLevel="0" collapsed="false">
      <c r="A2559" s="7" t="s">
        <v>6590</v>
      </c>
      <c r="B2559" s="7" t="s">
        <v>9250</v>
      </c>
      <c r="C2559" s="7"/>
    </row>
    <row r="2560" customFormat="false" ht="15" hidden="false" customHeight="true" outlineLevel="0" collapsed="false">
      <c r="A2560" s="7" t="s">
        <v>5342</v>
      </c>
      <c r="B2560" s="7" t="s">
        <v>5342</v>
      </c>
      <c r="C2560" s="7" t="s">
        <v>8004</v>
      </c>
    </row>
    <row r="2561" customFormat="false" ht="15" hidden="false" customHeight="true" outlineLevel="0" collapsed="false">
      <c r="A2561" s="7" t="s">
        <v>5342</v>
      </c>
      <c r="B2561" s="7" t="s">
        <v>7605</v>
      </c>
      <c r="C2561" s="7" t="s">
        <v>8004</v>
      </c>
    </row>
    <row r="2562" customFormat="false" ht="15" hidden="false" customHeight="true" outlineLevel="0" collapsed="false">
      <c r="A2562" s="7" t="s">
        <v>5342</v>
      </c>
      <c r="B2562" s="7" t="s">
        <v>5346</v>
      </c>
      <c r="C2562" s="7" t="s">
        <v>8004</v>
      </c>
    </row>
    <row r="2563" customFormat="false" ht="15" hidden="false" customHeight="true" outlineLevel="0" collapsed="false">
      <c r="A2563" s="7" t="s">
        <v>5342</v>
      </c>
      <c r="B2563" s="7" t="s">
        <v>7602</v>
      </c>
      <c r="C2563" s="7" t="s">
        <v>8004</v>
      </c>
    </row>
    <row r="2564" customFormat="false" ht="15" hidden="false" customHeight="true" outlineLevel="0" collapsed="false">
      <c r="A2564" s="7" t="s">
        <v>5342</v>
      </c>
      <c r="B2564" s="7" t="s">
        <v>7603</v>
      </c>
      <c r="C2564" s="7" t="s">
        <v>8004</v>
      </c>
    </row>
    <row r="2565" customFormat="false" ht="15" hidden="false" customHeight="true" outlineLevel="0" collapsed="false">
      <c r="A2565" s="7" t="s">
        <v>5342</v>
      </c>
      <c r="B2565" s="7" t="s">
        <v>7604</v>
      </c>
      <c r="C2565" s="7" t="s">
        <v>8004</v>
      </c>
    </row>
    <row r="2566" customFormat="false" ht="15" hidden="false" customHeight="true" outlineLevel="0" collapsed="false">
      <c r="A2566" s="7" t="s">
        <v>5342</v>
      </c>
      <c r="B2566" s="7" t="s">
        <v>9251</v>
      </c>
      <c r="C2566" s="7"/>
    </row>
    <row r="2567" customFormat="false" ht="15" hidden="false" customHeight="true" outlineLevel="0" collapsed="false">
      <c r="A2567" s="7" t="s">
        <v>5342</v>
      </c>
      <c r="B2567" s="7" t="s">
        <v>7601</v>
      </c>
      <c r="C2567" s="7" t="s">
        <v>8004</v>
      </c>
    </row>
    <row r="2568" customFormat="false" ht="15" hidden="false" customHeight="true" outlineLevel="0" collapsed="false">
      <c r="A2568" s="7" t="s">
        <v>5342</v>
      </c>
      <c r="B2568" s="7" t="s">
        <v>9252</v>
      </c>
      <c r="C2568" s="7"/>
    </row>
    <row r="2569" customFormat="false" ht="15" hidden="false" customHeight="true" outlineLevel="0" collapsed="false">
      <c r="A2569" s="7" t="s">
        <v>5342</v>
      </c>
      <c r="B2569" s="7" t="s">
        <v>9253</v>
      </c>
      <c r="C2569" s="7"/>
    </row>
    <row r="2570" customFormat="false" ht="15" hidden="false" customHeight="true" outlineLevel="0" collapsed="false">
      <c r="A2570" s="7" t="s">
        <v>5354</v>
      </c>
      <c r="B2570" s="7" t="s">
        <v>5354</v>
      </c>
      <c r="C2570" s="7" t="s">
        <v>8004</v>
      </c>
    </row>
    <row r="2571" customFormat="false" ht="15" hidden="false" customHeight="true" outlineLevel="0" collapsed="false">
      <c r="A2571" s="7" t="s">
        <v>5354</v>
      </c>
      <c r="B2571" s="7" t="s">
        <v>7610</v>
      </c>
      <c r="C2571" s="7" t="s">
        <v>8004</v>
      </c>
    </row>
    <row r="2572" customFormat="false" ht="15" hidden="false" customHeight="true" outlineLevel="0" collapsed="false">
      <c r="A2572" s="7" t="s">
        <v>5354</v>
      </c>
      <c r="B2572" s="7" t="s">
        <v>7609</v>
      </c>
      <c r="C2572" s="7" t="s">
        <v>8004</v>
      </c>
    </row>
    <row r="2573" customFormat="false" ht="15" hidden="false" customHeight="true" outlineLevel="0" collapsed="false">
      <c r="A2573" s="7" t="s">
        <v>5354</v>
      </c>
      <c r="B2573" s="7" t="s">
        <v>9254</v>
      </c>
      <c r="C2573" s="7"/>
    </row>
    <row r="2574" customFormat="false" ht="15" hidden="false" customHeight="true" outlineLevel="0" collapsed="false">
      <c r="A2574" s="7" t="s">
        <v>5354</v>
      </c>
      <c r="B2574" s="7" t="s">
        <v>5358</v>
      </c>
      <c r="C2574" s="7" t="s">
        <v>8004</v>
      </c>
    </row>
    <row r="2575" customFormat="false" ht="15" hidden="false" customHeight="true" outlineLevel="0" collapsed="false">
      <c r="A2575" s="7" t="s">
        <v>5354</v>
      </c>
      <c r="B2575" s="7" t="s">
        <v>7608</v>
      </c>
      <c r="C2575" s="7" t="s">
        <v>8004</v>
      </c>
    </row>
    <row r="2576" customFormat="false" ht="15" hidden="false" customHeight="true" outlineLevel="0" collapsed="false">
      <c r="A2576" s="7" t="s">
        <v>5354</v>
      </c>
      <c r="B2576" s="7" t="s">
        <v>7607</v>
      </c>
      <c r="C2576" s="7" t="s">
        <v>8004</v>
      </c>
    </row>
    <row r="2577" customFormat="false" ht="15" hidden="false" customHeight="true" outlineLevel="0" collapsed="false">
      <c r="A2577" s="7" t="s">
        <v>5354</v>
      </c>
      <c r="B2577" s="7" t="s">
        <v>7606</v>
      </c>
      <c r="C2577" s="7" t="s">
        <v>8004</v>
      </c>
    </row>
    <row r="2578" customFormat="false" ht="15" hidden="false" customHeight="true" outlineLevel="0" collapsed="false">
      <c r="A2578" s="7" t="s">
        <v>5354</v>
      </c>
      <c r="B2578" s="7" t="s">
        <v>9255</v>
      </c>
      <c r="C2578" s="7"/>
    </row>
    <row r="2579" customFormat="false" ht="15" hidden="false" customHeight="true" outlineLevel="0" collapsed="false">
      <c r="A2579" s="7" t="s">
        <v>5354</v>
      </c>
      <c r="B2579" s="7" t="s">
        <v>9256</v>
      </c>
      <c r="C2579" s="7"/>
    </row>
    <row r="2580" customFormat="false" ht="15" hidden="false" customHeight="true" outlineLevel="0" collapsed="false">
      <c r="A2580" s="7" t="s">
        <v>263</v>
      </c>
      <c r="B2580" s="7" t="s">
        <v>263</v>
      </c>
      <c r="C2580" s="7" t="s">
        <v>8004</v>
      </c>
    </row>
    <row r="2581" customFormat="false" ht="15" hidden="false" customHeight="true" outlineLevel="0" collapsed="false">
      <c r="A2581" s="7" t="s">
        <v>263</v>
      </c>
      <c r="B2581" s="7" t="s">
        <v>9257</v>
      </c>
      <c r="C2581" s="7"/>
    </row>
    <row r="2582" customFormat="false" ht="15" hidden="false" customHeight="true" outlineLevel="0" collapsed="false">
      <c r="A2582" s="7" t="s">
        <v>263</v>
      </c>
      <c r="B2582" s="7" t="s">
        <v>6593</v>
      </c>
      <c r="C2582" s="7" t="s">
        <v>8004</v>
      </c>
    </row>
    <row r="2583" customFormat="false" ht="15" hidden="false" customHeight="true" outlineLevel="0" collapsed="false">
      <c r="A2583" s="7" t="s">
        <v>263</v>
      </c>
      <c r="B2583" s="7" t="s">
        <v>9258</v>
      </c>
      <c r="C2583" s="7"/>
    </row>
    <row r="2584" customFormat="false" ht="15" hidden="false" customHeight="true" outlineLevel="0" collapsed="false">
      <c r="A2584" s="7" t="s">
        <v>263</v>
      </c>
      <c r="B2584" s="7" t="s">
        <v>9259</v>
      </c>
      <c r="C2584" s="7"/>
    </row>
    <row r="2585" customFormat="false" ht="15" hidden="false" customHeight="true" outlineLevel="0" collapsed="false">
      <c r="A2585" s="7" t="s">
        <v>263</v>
      </c>
      <c r="B2585" s="7" t="s">
        <v>9260</v>
      </c>
      <c r="C2585" s="7"/>
    </row>
    <row r="2586" customFormat="false" ht="15" hidden="false" customHeight="true" outlineLevel="0" collapsed="false">
      <c r="A2586" s="7" t="s">
        <v>263</v>
      </c>
      <c r="B2586" s="7" t="s">
        <v>9261</v>
      </c>
      <c r="C2586" s="7"/>
    </row>
    <row r="2587" customFormat="false" ht="15" hidden="false" customHeight="true" outlineLevel="0" collapsed="false">
      <c r="A2587" s="7" t="s">
        <v>263</v>
      </c>
      <c r="B2587" s="7" t="s">
        <v>9262</v>
      </c>
      <c r="C2587" s="7"/>
    </row>
    <row r="2588" customFormat="false" ht="15" hidden="false" customHeight="true" outlineLevel="0" collapsed="false">
      <c r="A2588" s="7" t="s">
        <v>263</v>
      </c>
      <c r="B2588" s="7" t="s">
        <v>9263</v>
      </c>
      <c r="C2588" s="7"/>
    </row>
    <row r="2589" customFormat="false" ht="15" hidden="false" customHeight="true" outlineLevel="0" collapsed="false">
      <c r="A2589" s="7" t="s">
        <v>263</v>
      </c>
      <c r="B2589" s="7" t="s">
        <v>9264</v>
      </c>
      <c r="C2589" s="7"/>
    </row>
    <row r="2590" customFormat="false" ht="15" hidden="false" customHeight="true" outlineLevel="0" collapsed="false">
      <c r="A2590" s="7" t="s">
        <v>4406</v>
      </c>
      <c r="B2590" s="7" t="s">
        <v>4406</v>
      </c>
      <c r="C2590" s="7" t="s">
        <v>8004</v>
      </c>
    </row>
    <row r="2591" customFormat="false" ht="15" hidden="false" customHeight="true" outlineLevel="0" collapsed="false">
      <c r="A2591" s="7" t="s">
        <v>4406</v>
      </c>
      <c r="B2591" s="7" t="s">
        <v>9265</v>
      </c>
      <c r="C2591" s="7"/>
    </row>
    <row r="2592" customFormat="false" ht="15" hidden="false" customHeight="true" outlineLevel="0" collapsed="false">
      <c r="A2592" s="7" t="s">
        <v>4406</v>
      </c>
      <c r="B2592" s="7" t="s">
        <v>9266</v>
      </c>
      <c r="C2592" s="7"/>
    </row>
    <row r="2593" customFormat="false" ht="15" hidden="false" customHeight="true" outlineLevel="0" collapsed="false">
      <c r="A2593" s="7" t="s">
        <v>4406</v>
      </c>
      <c r="B2593" s="7" t="s">
        <v>9267</v>
      </c>
      <c r="C2593" s="7"/>
    </row>
    <row r="2594" customFormat="false" ht="15" hidden="false" customHeight="true" outlineLevel="0" collapsed="false">
      <c r="A2594" s="7" t="s">
        <v>4416</v>
      </c>
      <c r="B2594" s="7" t="s">
        <v>4416</v>
      </c>
      <c r="C2594" s="7" t="s">
        <v>8004</v>
      </c>
    </row>
    <row r="2595" customFormat="false" ht="15" hidden="false" customHeight="true" outlineLevel="0" collapsed="false">
      <c r="A2595" s="7" t="s">
        <v>4427</v>
      </c>
      <c r="B2595" s="7" t="s">
        <v>4427</v>
      </c>
      <c r="C2595" s="7" t="s">
        <v>8004</v>
      </c>
    </row>
    <row r="2596" customFormat="false" ht="15" hidden="false" customHeight="true" outlineLevel="0" collapsed="false">
      <c r="A2596" s="7" t="s">
        <v>4437</v>
      </c>
      <c r="B2596" s="7" t="s">
        <v>4437</v>
      </c>
      <c r="C2596" s="7" t="s">
        <v>8004</v>
      </c>
    </row>
    <row r="2597" customFormat="false" ht="15" hidden="false" customHeight="true" outlineLevel="0" collapsed="false">
      <c r="A2597" s="7" t="s">
        <v>4447</v>
      </c>
      <c r="B2597" s="7" t="s">
        <v>4447</v>
      </c>
      <c r="C2597" s="7" t="s">
        <v>8004</v>
      </c>
    </row>
    <row r="2598" customFormat="false" ht="15" hidden="false" customHeight="true" outlineLevel="0" collapsed="false">
      <c r="A2598" s="7" t="s">
        <v>4457</v>
      </c>
      <c r="B2598" s="7" t="s">
        <v>4457</v>
      </c>
      <c r="C2598" s="7" t="s">
        <v>8004</v>
      </c>
    </row>
    <row r="2599" customFormat="false" ht="15" hidden="false" customHeight="true" outlineLevel="0" collapsed="false">
      <c r="A2599" s="7" t="s">
        <v>4467</v>
      </c>
      <c r="B2599" s="7" t="s">
        <v>7551</v>
      </c>
      <c r="C2599" s="7" t="s">
        <v>8004</v>
      </c>
    </row>
    <row r="2600" customFormat="false" ht="15" hidden="false" customHeight="true" outlineLevel="0" collapsed="false">
      <c r="A2600" s="7" t="s">
        <v>4467</v>
      </c>
      <c r="B2600" s="7" t="s">
        <v>7611</v>
      </c>
      <c r="C2600" s="7" t="s">
        <v>8004</v>
      </c>
    </row>
    <row r="2601" customFormat="false" ht="15" hidden="false" customHeight="true" outlineLevel="0" collapsed="false">
      <c r="A2601" s="7" t="s">
        <v>4467</v>
      </c>
      <c r="B2601" s="7" t="s">
        <v>7552</v>
      </c>
      <c r="C2601" s="7" t="s">
        <v>8004</v>
      </c>
    </row>
    <row r="2602" customFormat="false" ht="15" hidden="false" customHeight="true" outlineLevel="0" collapsed="false">
      <c r="A2602" s="7" t="s">
        <v>4478</v>
      </c>
      <c r="B2602" s="7" t="s">
        <v>9268</v>
      </c>
      <c r="C2602" s="7"/>
    </row>
    <row r="2603" customFormat="false" ht="15" hidden="false" customHeight="true" outlineLevel="0" collapsed="false">
      <c r="A2603" s="7" t="s">
        <v>4478</v>
      </c>
      <c r="B2603" s="7" t="s">
        <v>9269</v>
      </c>
      <c r="C2603" s="7"/>
    </row>
    <row r="2604" customFormat="false" ht="15" hidden="false" customHeight="true" outlineLevel="0" collapsed="false">
      <c r="A2604" s="7" t="s">
        <v>4478</v>
      </c>
      <c r="B2604" s="7" t="s">
        <v>9270</v>
      </c>
      <c r="C2604" s="7"/>
    </row>
    <row r="2605" customFormat="false" ht="15" hidden="false" customHeight="true" outlineLevel="0" collapsed="false">
      <c r="A2605" s="7" t="s">
        <v>4478</v>
      </c>
      <c r="B2605" s="7" t="s">
        <v>9271</v>
      </c>
      <c r="C2605" s="7"/>
    </row>
    <row r="2606" customFormat="false" ht="15" hidden="false" customHeight="true" outlineLevel="0" collapsed="false">
      <c r="A2606" s="7" t="s">
        <v>4478</v>
      </c>
      <c r="B2606" s="7" t="s">
        <v>9272</v>
      </c>
      <c r="C2606" s="7"/>
    </row>
    <row r="2607" customFormat="false" ht="15" hidden="false" customHeight="true" outlineLevel="0" collapsed="false">
      <c r="A2607" s="7" t="s">
        <v>4488</v>
      </c>
      <c r="B2607" s="7" t="s">
        <v>9273</v>
      </c>
      <c r="C2607" s="7"/>
    </row>
    <row r="2608" customFormat="false" ht="15" hidden="false" customHeight="true" outlineLevel="0" collapsed="false">
      <c r="A2608" s="7" t="s">
        <v>4488</v>
      </c>
      <c r="B2608" s="7" t="s">
        <v>9274</v>
      </c>
      <c r="C2608" s="7"/>
    </row>
    <row r="2609" customFormat="false" ht="15" hidden="false" customHeight="true" outlineLevel="0" collapsed="false">
      <c r="A2609" s="7" t="s">
        <v>4488</v>
      </c>
      <c r="B2609" s="7" t="s">
        <v>9275</v>
      </c>
      <c r="C2609" s="7"/>
    </row>
    <row r="2610" customFormat="false" ht="15" hidden="false" customHeight="true" outlineLevel="0" collapsed="false">
      <c r="A2610" s="7" t="s">
        <v>4488</v>
      </c>
      <c r="B2610" s="7" t="s">
        <v>9276</v>
      </c>
      <c r="C2610" s="7"/>
    </row>
    <row r="2611" customFormat="false" ht="15" hidden="false" customHeight="true" outlineLevel="0" collapsed="false">
      <c r="A2611" s="7" t="s">
        <v>4488</v>
      </c>
      <c r="B2611" s="7" t="s">
        <v>9277</v>
      </c>
      <c r="C2611" s="7"/>
    </row>
    <row r="2612" customFormat="false" ht="15" hidden="false" customHeight="true" outlineLevel="0" collapsed="false">
      <c r="A2612" s="7" t="s">
        <v>4488</v>
      </c>
      <c r="B2612" s="7" t="s">
        <v>9278</v>
      </c>
      <c r="C2612" s="7"/>
    </row>
    <row r="2613" customFormat="false" ht="15" hidden="false" customHeight="true" outlineLevel="0" collapsed="false">
      <c r="A2613" s="7" t="s">
        <v>4488</v>
      </c>
      <c r="B2613" s="7" t="s">
        <v>9279</v>
      </c>
      <c r="C2613" s="7"/>
    </row>
    <row r="2614" customFormat="false" ht="15" hidden="false" customHeight="true" outlineLevel="0" collapsed="false">
      <c r="A2614" s="7" t="s">
        <v>4488</v>
      </c>
      <c r="B2614" s="7" t="s">
        <v>9280</v>
      </c>
      <c r="C2614" s="7"/>
    </row>
    <row r="2615" customFormat="false" ht="15" hidden="false" customHeight="true" outlineLevel="0" collapsed="false">
      <c r="A2615" s="7" t="s">
        <v>4488</v>
      </c>
      <c r="B2615" s="7" t="s">
        <v>9281</v>
      </c>
      <c r="C2615" s="7"/>
    </row>
    <row r="2616" customFormat="false" ht="15" hidden="false" customHeight="true" outlineLevel="0" collapsed="false">
      <c r="A2616" s="7" t="s">
        <v>4488</v>
      </c>
      <c r="B2616" s="7" t="s">
        <v>9282</v>
      </c>
      <c r="C2616" s="7"/>
    </row>
    <row r="2617" customFormat="false" ht="15" hidden="false" customHeight="true" outlineLevel="0" collapsed="false">
      <c r="A2617" s="7" t="s">
        <v>4528</v>
      </c>
      <c r="B2617" s="7" t="s">
        <v>4528</v>
      </c>
      <c r="C2617" s="7" t="s">
        <v>8004</v>
      </c>
    </row>
    <row r="2618" customFormat="false" ht="15" hidden="false" customHeight="true" outlineLevel="0" collapsed="false">
      <c r="A2618" s="7" t="s">
        <v>4538</v>
      </c>
      <c r="B2618" s="7" t="s">
        <v>4538</v>
      </c>
      <c r="C2618" s="7" t="s">
        <v>8004</v>
      </c>
    </row>
    <row r="2619" customFormat="false" ht="15" hidden="false" customHeight="true" outlineLevel="0" collapsed="false">
      <c r="A2619" s="7" t="s">
        <v>4538</v>
      </c>
      <c r="B2619" s="7" t="s">
        <v>9283</v>
      </c>
      <c r="C2619" s="7"/>
    </row>
    <row r="2620" customFormat="false" ht="15" hidden="false" customHeight="true" outlineLevel="0" collapsed="false">
      <c r="A2620" s="7" t="s">
        <v>4538</v>
      </c>
      <c r="B2620" s="7" t="s">
        <v>9284</v>
      </c>
      <c r="C2620" s="7"/>
    </row>
    <row r="2621" customFormat="false" ht="15" hidden="false" customHeight="true" outlineLevel="0" collapsed="false">
      <c r="A2621" s="7" t="s">
        <v>4538</v>
      </c>
      <c r="B2621" s="7" t="s">
        <v>9285</v>
      </c>
      <c r="C2621" s="7"/>
    </row>
    <row r="2622" customFormat="false" ht="15" hidden="false" customHeight="true" outlineLevel="0" collapsed="false">
      <c r="A2622" s="7" t="s">
        <v>5367</v>
      </c>
      <c r="B2622" s="7" t="s">
        <v>5367</v>
      </c>
      <c r="C2622" s="7" t="s">
        <v>8004</v>
      </c>
    </row>
    <row r="2623" customFormat="false" ht="15" hidden="false" customHeight="true" outlineLevel="0" collapsed="false">
      <c r="A2623" s="7" t="s">
        <v>5367</v>
      </c>
      <c r="B2623" s="7" t="s">
        <v>7615</v>
      </c>
      <c r="C2623" s="7" t="s">
        <v>8004</v>
      </c>
    </row>
    <row r="2624" customFormat="false" ht="15" hidden="false" customHeight="true" outlineLevel="0" collapsed="false">
      <c r="A2624" s="7" t="s">
        <v>5367</v>
      </c>
      <c r="B2624" s="7" t="s">
        <v>7614</v>
      </c>
      <c r="C2624" s="7" t="s">
        <v>8004</v>
      </c>
    </row>
    <row r="2625" customFormat="false" ht="15" hidden="false" customHeight="true" outlineLevel="0" collapsed="false">
      <c r="A2625" s="7" t="s">
        <v>5367</v>
      </c>
      <c r="B2625" s="7" t="s">
        <v>9286</v>
      </c>
      <c r="C2625" s="7"/>
    </row>
    <row r="2626" customFormat="false" ht="15" hidden="false" customHeight="true" outlineLevel="0" collapsed="false">
      <c r="A2626" s="7" t="s">
        <v>5367</v>
      </c>
      <c r="B2626" s="7" t="s">
        <v>5371</v>
      </c>
      <c r="C2626" s="7" t="s">
        <v>8004</v>
      </c>
    </row>
    <row r="2627" customFormat="false" ht="15" hidden="false" customHeight="true" outlineLevel="0" collapsed="false">
      <c r="A2627" s="7" t="s">
        <v>5367</v>
      </c>
      <c r="B2627" s="7" t="s">
        <v>7612</v>
      </c>
      <c r="C2627" s="7" t="s">
        <v>8004</v>
      </c>
    </row>
    <row r="2628" customFormat="false" ht="15" hidden="false" customHeight="true" outlineLevel="0" collapsed="false">
      <c r="A2628" s="7" t="s">
        <v>5367</v>
      </c>
      <c r="B2628" s="7" t="s">
        <v>5370</v>
      </c>
      <c r="C2628" s="7" t="s">
        <v>8004</v>
      </c>
    </row>
    <row r="2629" customFormat="false" ht="15" hidden="false" customHeight="true" outlineLevel="0" collapsed="false">
      <c r="A2629" s="7" t="s">
        <v>5367</v>
      </c>
      <c r="B2629" s="7" t="s">
        <v>7613</v>
      </c>
      <c r="C2629" s="7" t="s">
        <v>8004</v>
      </c>
    </row>
    <row r="2630" customFormat="false" ht="15" hidden="false" customHeight="true" outlineLevel="0" collapsed="false">
      <c r="A2630" s="7" t="s">
        <v>5367</v>
      </c>
      <c r="B2630" s="7" t="s">
        <v>9287</v>
      </c>
      <c r="C2630" s="7"/>
    </row>
    <row r="2631" customFormat="false" ht="15" hidden="false" customHeight="true" outlineLevel="0" collapsed="false">
      <c r="A2631" s="7" t="s">
        <v>5367</v>
      </c>
      <c r="B2631" s="7" t="s">
        <v>9288</v>
      </c>
      <c r="C2631" s="7"/>
    </row>
    <row r="2632" customFormat="false" ht="15" hidden="false" customHeight="true" outlineLevel="0" collapsed="false">
      <c r="A2632" s="7" t="s">
        <v>5380</v>
      </c>
      <c r="B2632" s="7" t="s">
        <v>5380</v>
      </c>
      <c r="C2632" s="7" t="s">
        <v>8004</v>
      </c>
    </row>
    <row r="2633" customFormat="false" ht="15" hidden="false" customHeight="true" outlineLevel="0" collapsed="false">
      <c r="A2633" s="7" t="s">
        <v>5380</v>
      </c>
      <c r="B2633" s="7" t="s">
        <v>5384</v>
      </c>
      <c r="C2633" s="7" t="s">
        <v>8004</v>
      </c>
    </row>
    <row r="2634" customFormat="false" ht="15" hidden="false" customHeight="true" outlineLevel="0" collapsed="false">
      <c r="A2634" s="7" t="s">
        <v>5380</v>
      </c>
      <c r="B2634" s="7" t="s">
        <v>7619</v>
      </c>
      <c r="C2634" s="7" t="s">
        <v>8004</v>
      </c>
    </row>
    <row r="2635" customFormat="false" ht="15" hidden="false" customHeight="true" outlineLevel="0" collapsed="false">
      <c r="A2635" s="7" t="s">
        <v>5380</v>
      </c>
      <c r="B2635" s="7" t="s">
        <v>9289</v>
      </c>
      <c r="C2635" s="7"/>
    </row>
    <row r="2636" customFormat="false" ht="15" hidden="false" customHeight="true" outlineLevel="0" collapsed="false">
      <c r="A2636" s="7" t="s">
        <v>5380</v>
      </c>
      <c r="B2636" s="7" t="s">
        <v>5383</v>
      </c>
      <c r="C2636" s="7" t="s">
        <v>8004</v>
      </c>
    </row>
    <row r="2637" customFormat="false" ht="15" hidden="false" customHeight="true" outlineLevel="0" collapsed="false">
      <c r="A2637" s="7" t="s">
        <v>5380</v>
      </c>
      <c r="B2637" s="7" t="s">
        <v>9290</v>
      </c>
      <c r="C2637" s="7"/>
    </row>
    <row r="2638" customFormat="false" ht="15" hidden="false" customHeight="true" outlineLevel="0" collapsed="false">
      <c r="A2638" s="7" t="s">
        <v>5380</v>
      </c>
      <c r="B2638" s="7" t="s">
        <v>7616</v>
      </c>
      <c r="C2638" s="7" t="s">
        <v>8004</v>
      </c>
    </row>
    <row r="2639" customFormat="false" ht="15" hidden="false" customHeight="true" outlineLevel="0" collapsed="false">
      <c r="A2639" s="7" t="s">
        <v>5380</v>
      </c>
      <c r="B2639" s="7" t="s">
        <v>7617</v>
      </c>
      <c r="C2639" s="7" t="s">
        <v>8004</v>
      </c>
    </row>
    <row r="2640" customFormat="false" ht="15" hidden="false" customHeight="true" outlineLevel="0" collapsed="false">
      <c r="A2640" s="7" t="s">
        <v>5380</v>
      </c>
      <c r="B2640" s="7" t="s">
        <v>7618</v>
      </c>
      <c r="C2640" s="7" t="s">
        <v>8004</v>
      </c>
    </row>
    <row r="2641" customFormat="false" ht="15" hidden="false" customHeight="true" outlineLevel="0" collapsed="false">
      <c r="A2641" s="7" t="s">
        <v>5380</v>
      </c>
      <c r="B2641" s="7" t="s">
        <v>9291</v>
      </c>
      <c r="C2641" s="7"/>
    </row>
    <row r="2642" customFormat="false" ht="15" hidden="false" customHeight="true" outlineLevel="0" collapsed="false">
      <c r="A2642" s="7" t="s">
        <v>289</v>
      </c>
      <c r="B2642" s="7" t="s">
        <v>289</v>
      </c>
      <c r="C2642" s="7" t="s">
        <v>8004</v>
      </c>
    </row>
    <row r="2643" customFormat="false" ht="15" hidden="false" customHeight="true" outlineLevel="0" collapsed="false">
      <c r="A2643" s="7" t="s">
        <v>289</v>
      </c>
      <c r="B2643" s="7" t="s">
        <v>9292</v>
      </c>
      <c r="C2643" s="7"/>
    </row>
    <row r="2644" customFormat="false" ht="15" hidden="false" customHeight="true" outlineLevel="0" collapsed="false">
      <c r="A2644" s="7" t="s">
        <v>289</v>
      </c>
      <c r="B2644" s="7" t="s">
        <v>9293</v>
      </c>
      <c r="C2644" s="7"/>
    </row>
    <row r="2645" customFormat="false" ht="15" hidden="false" customHeight="true" outlineLevel="0" collapsed="false">
      <c r="A2645" s="7" t="s">
        <v>289</v>
      </c>
      <c r="B2645" s="7" t="s">
        <v>9294</v>
      </c>
      <c r="C2645" s="7"/>
    </row>
    <row r="2646" customFormat="false" ht="15" hidden="false" customHeight="true" outlineLevel="0" collapsed="false">
      <c r="A2646" s="7" t="s">
        <v>289</v>
      </c>
      <c r="B2646" s="7" t="s">
        <v>9295</v>
      </c>
      <c r="C2646" s="7"/>
    </row>
    <row r="2647" customFormat="false" ht="15" hidden="false" customHeight="true" outlineLevel="0" collapsed="false">
      <c r="A2647" s="7" t="s">
        <v>289</v>
      </c>
      <c r="B2647" s="7" t="s">
        <v>9296</v>
      </c>
      <c r="C2647" s="7"/>
    </row>
    <row r="2648" customFormat="false" ht="15" hidden="false" customHeight="true" outlineLevel="0" collapsed="false">
      <c r="A2648" s="7" t="s">
        <v>289</v>
      </c>
      <c r="B2648" s="7" t="s">
        <v>9297</v>
      </c>
      <c r="C2648" s="7"/>
    </row>
    <row r="2649" customFormat="false" ht="15" hidden="false" customHeight="true" outlineLevel="0" collapsed="false">
      <c r="A2649" s="7" t="s">
        <v>289</v>
      </c>
      <c r="B2649" s="7" t="s">
        <v>9298</v>
      </c>
      <c r="C2649" s="7"/>
    </row>
    <row r="2650" customFormat="false" ht="15" hidden="false" customHeight="true" outlineLevel="0" collapsed="false">
      <c r="A2650" s="7" t="s">
        <v>289</v>
      </c>
      <c r="B2650" s="7" t="s">
        <v>9299</v>
      </c>
      <c r="C2650" s="7"/>
    </row>
    <row r="2651" customFormat="false" ht="15" hidden="false" customHeight="true" outlineLevel="0" collapsed="false">
      <c r="A2651" s="7" t="s">
        <v>289</v>
      </c>
      <c r="B2651" s="7" t="s">
        <v>9300</v>
      </c>
      <c r="C2651" s="7"/>
    </row>
    <row r="2652" customFormat="false" ht="15" hidden="false" customHeight="true" outlineLevel="0" collapsed="false">
      <c r="A2652" s="7" t="s">
        <v>5433</v>
      </c>
      <c r="B2652" s="7" t="s">
        <v>5433</v>
      </c>
      <c r="C2652" s="7" t="s">
        <v>8004</v>
      </c>
    </row>
    <row r="2653" customFormat="false" ht="15" hidden="false" customHeight="true" outlineLevel="0" collapsed="false">
      <c r="A2653" s="7" t="s">
        <v>5433</v>
      </c>
      <c r="B2653" s="7" t="s">
        <v>5437</v>
      </c>
      <c r="C2653" s="7" t="s">
        <v>8004</v>
      </c>
    </row>
    <row r="2654" customFormat="false" ht="15" hidden="false" customHeight="true" outlineLevel="0" collapsed="false">
      <c r="A2654" s="7" t="s">
        <v>5433</v>
      </c>
      <c r="B2654" s="7" t="s">
        <v>9301</v>
      </c>
      <c r="C2654" s="7"/>
    </row>
    <row r="2655" customFormat="false" ht="15" hidden="false" customHeight="true" outlineLevel="0" collapsed="false">
      <c r="A2655" s="7" t="s">
        <v>5433</v>
      </c>
      <c r="B2655" s="7" t="s">
        <v>7620</v>
      </c>
      <c r="C2655" s="7" t="s">
        <v>8004</v>
      </c>
    </row>
    <row r="2656" customFormat="false" ht="15" hidden="false" customHeight="true" outlineLevel="0" collapsed="false">
      <c r="A2656" s="7" t="s">
        <v>5433</v>
      </c>
      <c r="B2656" s="7" t="s">
        <v>5427</v>
      </c>
      <c r="C2656" s="7" t="s">
        <v>8004</v>
      </c>
    </row>
    <row r="2657" customFormat="false" ht="15" hidden="false" customHeight="true" outlineLevel="0" collapsed="false">
      <c r="A2657" s="7" t="s">
        <v>5433</v>
      </c>
      <c r="B2657" s="7" t="s">
        <v>9302</v>
      </c>
      <c r="C2657" s="7"/>
    </row>
    <row r="2658" customFormat="false" ht="15" hidden="false" customHeight="true" outlineLevel="0" collapsed="false">
      <c r="A2658" s="7" t="s">
        <v>5422</v>
      </c>
      <c r="B2658" s="7" t="s">
        <v>9303</v>
      </c>
      <c r="C2658" s="7"/>
    </row>
    <row r="2659" customFormat="false" ht="15" hidden="false" customHeight="true" outlineLevel="0" collapsed="false">
      <c r="A2659" s="7" t="s">
        <v>5422</v>
      </c>
      <c r="B2659" s="7" t="s">
        <v>9304</v>
      </c>
      <c r="C2659" s="7"/>
    </row>
    <row r="2660" customFormat="false" ht="15" hidden="false" customHeight="true" outlineLevel="0" collapsed="false">
      <c r="A2660" s="7" t="s">
        <v>5422</v>
      </c>
      <c r="B2660" s="7" t="s">
        <v>9305</v>
      </c>
      <c r="C2660" s="7"/>
    </row>
    <row r="2661" customFormat="false" ht="15" hidden="false" customHeight="true" outlineLevel="0" collapsed="false">
      <c r="A2661" s="7" t="s">
        <v>5422</v>
      </c>
      <c r="B2661" s="7" t="s">
        <v>9306</v>
      </c>
      <c r="C2661" s="7"/>
    </row>
    <row r="2662" customFormat="false" ht="15" hidden="false" customHeight="true" outlineLevel="0" collapsed="false">
      <c r="A2662" s="7" t="s">
        <v>5422</v>
      </c>
      <c r="B2662" s="7" t="s">
        <v>5427</v>
      </c>
      <c r="C2662" s="7" t="s">
        <v>8004</v>
      </c>
    </row>
    <row r="2663" customFormat="false" ht="15" hidden="false" customHeight="true" outlineLevel="0" collapsed="false">
      <c r="A2663" s="7" t="s">
        <v>5391</v>
      </c>
      <c r="B2663" s="7" t="s">
        <v>5391</v>
      </c>
      <c r="C2663" s="7" t="s">
        <v>8004</v>
      </c>
    </row>
    <row r="2664" customFormat="false" ht="15" hidden="false" customHeight="true" outlineLevel="0" collapsed="false">
      <c r="A2664" s="7" t="s">
        <v>5391</v>
      </c>
      <c r="B2664" s="7" t="s">
        <v>7624</v>
      </c>
      <c r="C2664" s="7" t="s">
        <v>8004</v>
      </c>
    </row>
    <row r="2665" customFormat="false" ht="15" hidden="false" customHeight="true" outlineLevel="0" collapsed="false">
      <c r="A2665" s="7" t="s">
        <v>5391</v>
      </c>
      <c r="B2665" s="7" t="s">
        <v>7621</v>
      </c>
      <c r="C2665" s="7" t="s">
        <v>8004</v>
      </c>
    </row>
    <row r="2666" customFormat="false" ht="15" hidden="false" customHeight="true" outlineLevel="0" collapsed="false">
      <c r="A2666" s="7" t="s">
        <v>5391</v>
      </c>
      <c r="B2666" s="7" t="s">
        <v>7623</v>
      </c>
      <c r="C2666" s="7" t="s">
        <v>8004</v>
      </c>
    </row>
    <row r="2667" customFormat="false" ht="15" hidden="false" customHeight="true" outlineLevel="0" collapsed="false">
      <c r="A2667" s="7" t="s">
        <v>5391</v>
      </c>
      <c r="B2667" s="7" t="s">
        <v>7625</v>
      </c>
      <c r="C2667" s="7" t="s">
        <v>8004</v>
      </c>
    </row>
    <row r="2668" customFormat="false" ht="15" hidden="false" customHeight="true" outlineLevel="0" collapsed="false">
      <c r="A2668" s="7" t="s">
        <v>5391</v>
      </c>
      <c r="B2668" s="7" t="s">
        <v>5395</v>
      </c>
      <c r="C2668" s="7" t="s">
        <v>8004</v>
      </c>
    </row>
    <row r="2669" customFormat="false" ht="15" hidden="false" customHeight="true" outlineLevel="0" collapsed="false">
      <c r="A2669" s="7" t="s">
        <v>5391</v>
      </c>
      <c r="B2669" s="7" t="s">
        <v>9307</v>
      </c>
      <c r="C2669" s="7"/>
    </row>
    <row r="2670" customFormat="false" ht="15" hidden="false" customHeight="true" outlineLevel="0" collapsed="false">
      <c r="A2670" s="7" t="s">
        <v>5391</v>
      </c>
      <c r="B2670" s="7" t="s">
        <v>9308</v>
      </c>
      <c r="C2670" s="7"/>
    </row>
    <row r="2671" customFormat="false" ht="15" hidden="false" customHeight="true" outlineLevel="0" collapsed="false">
      <c r="A2671" s="7" t="s">
        <v>5391</v>
      </c>
      <c r="B2671" s="7" t="s">
        <v>7622</v>
      </c>
      <c r="C2671" s="7" t="s">
        <v>8004</v>
      </c>
    </row>
    <row r="2672" customFormat="false" ht="15" hidden="false" customHeight="true" outlineLevel="0" collapsed="false">
      <c r="A2672" s="7" t="s">
        <v>5391</v>
      </c>
      <c r="B2672" s="7" t="s">
        <v>9309</v>
      </c>
      <c r="C2672" s="7"/>
    </row>
    <row r="2673" customFormat="false" ht="15" hidden="false" customHeight="true" outlineLevel="0" collapsed="false">
      <c r="A2673" s="7" t="s">
        <v>5401</v>
      </c>
      <c r="B2673" s="7" t="s">
        <v>5401</v>
      </c>
      <c r="C2673" s="7" t="s">
        <v>8004</v>
      </c>
    </row>
    <row r="2674" customFormat="false" ht="15" hidden="false" customHeight="true" outlineLevel="0" collapsed="false">
      <c r="A2674" s="7" t="s">
        <v>5401</v>
      </c>
      <c r="B2674" s="7" t="s">
        <v>7629</v>
      </c>
      <c r="C2674" s="7" t="s">
        <v>8004</v>
      </c>
    </row>
    <row r="2675" customFormat="false" ht="15" hidden="false" customHeight="true" outlineLevel="0" collapsed="false">
      <c r="A2675" s="7" t="s">
        <v>5401</v>
      </c>
      <c r="B2675" s="7" t="s">
        <v>9310</v>
      </c>
      <c r="C2675" s="7"/>
    </row>
    <row r="2676" customFormat="false" ht="15" hidden="false" customHeight="true" outlineLevel="0" collapsed="false">
      <c r="A2676" s="7" t="s">
        <v>5401</v>
      </c>
      <c r="B2676" s="7" t="s">
        <v>9311</v>
      </c>
      <c r="C2676" s="7"/>
    </row>
    <row r="2677" customFormat="false" ht="15" hidden="false" customHeight="true" outlineLevel="0" collapsed="false">
      <c r="A2677" s="7" t="s">
        <v>5401</v>
      </c>
      <c r="B2677" s="7" t="s">
        <v>9312</v>
      </c>
      <c r="C2677" s="7"/>
    </row>
    <row r="2678" customFormat="false" ht="15" hidden="false" customHeight="true" outlineLevel="0" collapsed="false">
      <c r="A2678" s="7" t="s">
        <v>5401</v>
      </c>
      <c r="B2678" s="7" t="s">
        <v>7628</v>
      </c>
      <c r="C2678" s="7" t="s">
        <v>8004</v>
      </c>
    </row>
    <row r="2679" customFormat="false" ht="15" hidden="false" customHeight="true" outlineLevel="0" collapsed="false">
      <c r="A2679" s="7" t="s">
        <v>5401</v>
      </c>
      <c r="B2679" s="7" t="s">
        <v>5405</v>
      </c>
      <c r="C2679" s="7" t="s">
        <v>8004</v>
      </c>
    </row>
    <row r="2680" customFormat="false" ht="15" hidden="false" customHeight="true" outlineLevel="0" collapsed="false">
      <c r="A2680" s="7" t="s">
        <v>5401</v>
      </c>
      <c r="B2680" s="7" t="s">
        <v>7626</v>
      </c>
      <c r="C2680" s="7" t="s">
        <v>8004</v>
      </c>
    </row>
    <row r="2681" customFormat="false" ht="15" hidden="false" customHeight="true" outlineLevel="0" collapsed="false">
      <c r="A2681" s="7" t="s">
        <v>5401</v>
      </c>
      <c r="B2681" s="7" t="s">
        <v>9313</v>
      </c>
      <c r="C2681" s="7"/>
    </row>
    <row r="2682" customFormat="false" ht="15" hidden="false" customHeight="true" outlineLevel="0" collapsed="false">
      <c r="A2682" s="7" t="s">
        <v>5401</v>
      </c>
      <c r="B2682" s="7" t="s">
        <v>7627</v>
      </c>
      <c r="C2682" s="7" t="s">
        <v>8004</v>
      </c>
    </row>
    <row r="2683" customFormat="false" ht="15" hidden="false" customHeight="true" outlineLevel="0" collapsed="false">
      <c r="A2683" s="7" t="s">
        <v>5412</v>
      </c>
      <c r="B2683" s="7" t="s">
        <v>5412</v>
      </c>
      <c r="C2683" s="7" t="s">
        <v>8004</v>
      </c>
    </row>
    <row r="2684" customFormat="false" ht="15" hidden="false" customHeight="true" outlineLevel="0" collapsed="false">
      <c r="A2684" s="7" t="s">
        <v>5412</v>
      </c>
      <c r="B2684" s="7" t="s">
        <v>9314</v>
      </c>
      <c r="C2684" s="7"/>
    </row>
    <row r="2685" customFormat="false" ht="15" hidden="false" customHeight="true" outlineLevel="0" collapsed="false">
      <c r="A2685" s="7" t="s">
        <v>5412</v>
      </c>
      <c r="B2685" s="7" t="s">
        <v>9315</v>
      </c>
      <c r="C2685" s="7"/>
    </row>
    <row r="2686" customFormat="false" ht="15" hidden="false" customHeight="true" outlineLevel="0" collapsed="false">
      <c r="A2686" s="7" t="s">
        <v>5444</v>
      </c>
      <c r="B2686" s="7" t="s">
        <v>5444</v>
      </c>
      <c r="C2686" s="7" t="s">
        <v>8004</v>
      </c>
    </row>
    <row r="2687" customFormat="false" ht="15" hidden="false" customHeight="true" outlineLevel="0" collapsed="false">
      <c r="A2687" s="7" t="s">
        <v>5444</v>
      </c>
      <c r="B2687" s="7" t="s">
        <v>9316</v>
      </c>
      <c r="C2687" s="7"/>
    </row>
    <row r="2688" customFormat="false" ht="15" hidden="false" customHeight="true" outlineLevel="0" collapsed="false">
      <c r="A2688" s="7" t="s">
        <v>5444</v>
      </c>
      <c r="B2688" s="7" t="s">
        <v>9317</v>
      </c>
      <c r="C2688" s="7"/>
    </row>
    <row r="2689" customFormat="false" ht="15" hidden="false" customHeight="true" outlineLevel="0" collapsed="false">
      <c r="A2689" s="7" t="s">
        <v>5444</v>
      </c>
      <c r="B2689" s="7" t="s">
        <v>9318</v>
      </c>
      <c r="C2689" s="7"/>
    </row>
    <row r="2690" customFormat="false" ht="15" hidden="false" customHeight="true" outlineLevel="0" collapsed="false">
      <c r="A2690" s="7" t="s">
        <v>5444</v>
      </c>
      <c r="B2690" s="7" t="s">
        <v>9319</v>
      </c>
      <c r="C2690" s="7"/>
    </row>
    <row r="2691" customFormat="false" ht="15" hidden="false" customHeight="true" outlineLevel="0" collapsed="false">
      <c r="A2691" s="7" t="s">
        <v>5444</v>
      </c>
      <c r="B2691" s="7" t="s">
        <v>9320</v>
      </c>
      <c r="C2691" s="7"/>
    </row>
    <row r="2692" customFormat="false" ht="15" hidden="false" customHeight="true" outlineLevel="0" collapsed="false">
      <c r="A2692" s="7" t="s">
        <v>5444</v>
      </c>
      <c r="B2692" s="7" t="s">
        <v>9321</v>
      </c>
      <c r="C2692" s="7"/>
    </row>
    <row r="2693" customFormat="false" ht="15" hidden="false" customHeight="true" outlineLevel="0" collapsed="false">
      <c r="A2693" s="7" t="s">
        <v>5444</v>
      </c>
      <c r="B2693" s="7" t="s">
        <v>9322</v>
      </c>
      <c r="C2693" s="7"/>
    </row>
    <row r="2694" customFormat="false" ht="15" hidden="false" customHeight="true" outlineLevel="0" collapsed="false">
      <c r="A2694" s="7" t="s">
        <v>5444</v>
      </c>
      <c r="B2694" s="7" t="s">
        <v>9314</v>
      </c>
      <c r="C2694" s="7"/>
    </row>
    <row r="2695" customFormat="false" ht="15" hidden="false" customHeight="true" outlineLevel="0" collapsed="false">
      <c r="A2695" s="7" t="s">
        <v>5444</v>
      </c>
      <c r="B2695" s="7" t="s">
        <v>5412</v>
      </c>
      <c r="C2695" s="7" t="s">
        <v>8004</v>
      </c>
    </row>
    <row r="2696" customFormat="false" ht="15" hidden="false" customHeight="true" outlineLevel="0" collapsed="false">
      <c r="A2696" s="7" t="s">
        <v>261</v>
      </c>
      <c r="B2696" s="7" t="s">
        <v>261</v>
      </c>
      <c r="C2696" s="7" t="s">
        <v>8004</v>
      </c>
    </row>
    <row r="2697" customFormat="false" ht="15" hidden="false" customHeight="true" outlineLevel="0" collapsed="false">
      <c r="A2697" s="7" t="s">
        <v>261</v>
      </c>
      <c r="B2697" s="7" t="s">
        <v>9323</v>
      </c>
      <c r="C2697" s="7"/>
    </row>
    <row r="2698" customFormat="false" ht="15" hidden="false" customHeight="true" outlineLevel="0" collapsed="false">
      <c r="A2698" s="7" t="s">
        <v>261</v>
      </c>
      <c r="B2698" s="7" t="s">
        <v>9324</v>
      </c>
      <c r="C2698" s="7"/>
    </row>
    <row r="2699" customFormat="false" ht="15" hidden="false" customHeight="true" outlineLevel="0" collapsed="false">
      <c r="A2699" s="7" t="s">
        <v>261</v>
      </c>
      <c r="B2699" s="7" t="s">
        <v>6597</v>
      </c>
      <c r="C2699" s="7" t="s">
        <v>8004</v>
      </c>
    </row>
    <row r="2700" customFormat="false" ht="15" hidden="false" customHeight="true" outlineLevel="0" collapsed="false">
      <c r="A2700" s="7" t="s">
        <v>261</v>
      </c>
      <c r="B2700" s="7" t="s">
        <v>9325</v>
      </c>
      <c r="C2700" s="7"/>
    </row>
    <row r="2701" customFormat="false" ht="15" hidden="false" customHeight="true" outlineLevel="0" collapsed="false">
      <c r="A2701" s="7" t="s">
        <v>261</v>
      </c>
      <c r="B2701" s="7" t="s">
        <v>9326</v>
      </c>
      <c r="C2701" s="7"/>
    </row>
    <row r="2702" customFormat="false" ht="15" hidden="false" customHeight="true" outlineLevel="0" collapsed="false">
      <c r="A2702" s="7" t="s">
        <v>261</v>
      </c>
      <c r="B2702" s="7" t="s">
        <v>9327</v>
      </c>
      <c r="C2702" s="7"/>
    </row>
    <row r="2703" customFormat="false" ht="15" hidden="false" customHeight="true" outlineLevel="0" collapsed="false">
      <c r="A2703" s="7" t="s">
        <v>261</v>
      </c>
      <c r="B2703" s="7" t="s">
        <v>9328</v>
      </c>
      <c r="C2703" s="7"/>
    </row>
    <row r="2704" customFormat="false" ht="15" hidden="false" customHeight="true" outlineLevel="0" collapsed="false">
      <c r="A2704" s="7" t="s">
        <v>261</v>
      </c>
      <c r="B2704" s="7" t="s">
        <v>9329</v>
      </c>
      <c r="C2704" s="7"/>
    </row>
    <row r="2705" customFormat="false" ht="15" hidden="false" customHeight="true" outlineLevel="0" collapsed="false">
      <c r="A2705" s="7" t="s">
        <v>261</v>
      </c>
      <c r="B2705" s="7" t="s">
        <v>9330</v>
      </c>
      <c r="C2705" s="7"/>
    </row>
    <row r="2706" customFormat="false" ht="15" hidden="false" customHeight="true" outlineLevel="0" collapsed="false">
      <c r="A2706" s="7" t="s">
        <v>5466</v>
      </c>
      <c r="B2706" s="7" t="s">
        <v>5466</v>
      </c>
      <c r="C2706" s="7" t="s">
        <v>8004</v>
      </c>
    </row>
    <row r="2707" customFormat="false" ht="15" hidden="false" customHeight="true" outlineLevel="0" collapsed="false">
      <c r="A2707" s="7" t="s">
        <v>5466</v>
      </c>
      <c r="B2707" s="7" t="s">
        <v>5470</v>
      </c>
      <c r="C2707" s="7" t="s">
        <v>8004</v>
      </c>
    </row>
    <row r="2708" customFormat="false" ht="15" hidden="false" customHeight="true" outlineLevel="0" collapsed="false">
      <c r="A2708" s="7" t="s">
        <v>5466</v>
      </c>
      <c r="B2708" s="7" t="s">
        <v>9331</v>
      </c>
      <c r="C2708" s="7"/>
    </row>
    <row r="2709" customFormat="false" ht="15" hidden="false" customHeight="true" outlineLevel="0" collapsed="false">
      <c r="A2709" s="7" t="s">
        <v>5466</v>
      </c>
      <c r="B2709" s="7" t="s">
        <v>7631</v>
      </c>
      <c r="C2709" s="7" t="s">
        <v>8004</v>
      </c>
    </row>
    <row r="2710" customFormat="false" ht="15" hidden="false" customHeight="true" outlineLevel="0" collapsed="false">
      <c r="A2710" s="7" t="s">
        <v>5466</v>
      </c>
      <c r="B2710" s="7" t="s">
        <v>7634</v>
      </c>
      <c r="C2710" s="7" t="s">
        <v>8004</v>
      </c>
    </row>
    <row r="2711" customFormat="false" ht="15" hidden="false" customHeight="true" outlineLevel="0" collapsed="false">
      <c r="A2711" s="7" t="s">
        <v>5466</v>
      </c>
      <c r="B2711" s="7" t="s">
        <v>7632</v>
      </c>
      <c r="C2711" s="7" t="s">
        <v>8004</v>
      </c>
    </row>
    <row r="2712" customFormat="false" ht="15" hidden="false" customHeight="true" outlineLevel="0" collapsed="false">
      <c r="A2712" s="7" t="s">
        <v>5466</v>
      </c>
      <c r="B2712" s="7" t="s">
        <v>9332</v>
      </c>
      <c r="C2712" s="7"/>
    </row>
    <row r="2713" customFormat="false" ht="15" hidden="false" customHeight="true" outlineLevel="0" collapsed="false">
      <c r="A2713" s="7" t="s">
        <v>5466</v>
      </c>
      <c r="B2713" s="7" t="s">
        <v>7633</v>
      </c>
      <c r="C2713" s="7" t="s">
        <v>8004</v>
      </c>
    </row>
    <row r="2714" customFormat="false" ht="15" hidden="false" customHeight="true" outlineLevel="0" collapsed="false">
      <c r="A2714" s="7" t="s">
        <v>5466</v>
      </c>
      <c r="B2714" s="7" t="s">
        <v>7635</v>
      </c>
      <c r="C2714" s="7" t="s">
        <v>8004</v>
      </c>
    </row>
    <row r="2715" customFormat="false" ht="15" hidden="false" customHeight="true" outlineLevel="0" collapsed="false">
      <c r="A2715" s="7" t="s">
        <v>5466</v>
      </c>
      <c r="B2715" s="7" t="s">
        <v>9333</v>
      </c>
      <c r="C2715" s="7"/>
    </row>
    <row r="2716" customFormat="false" ht="15" hidden="false" customHeight="true" outlineLevel="0" collapsed="false">
      <c r="A2716" s="7" t="s">
        <v>5478</v>
      </c>
      <c r="B2716" s="7" t="s">
        <v>5478</v>
      </c>
      <c r="C2716" s="7" t="s">
        <v>8004</v>
      </c>
    </row>
    <row r="2717" customFormat="false" ht="15" hidden="false" customHeight="true" outlineLevel="0" collapsed="false">
      <c r="A2717" s="7" t="s">
        <v>5478</v>
      </c>
      <c r="B2717" s="7" t="s">
        <v>7639</v>
      </c>
      <c r="C2717" s="7" t="s">
        <v>8004</v>
      </c>
    </row>
    <row r="2718" customFormat="false" ht="15" hidden="false" customHeight="true" outlineLevel="0" collapsed="false">
      <c r="A2718" s="7" t="s">
        <v>5478</v>
      </c>
      <c r="B2718" s="7" t="s">
        <v>9334</v>
      </c>
      <c r="C2718" s="7"/>
    </row>
    <row r="2719" customFormat="false" ht="15" hidden="false" customHeight="true" outlineLevel="0" collapsed="false">
      <c r="A2719" s="7" t="s">
        <v>5478</v>
      </c>
      <c r="B2719" s="7" t="s">
        <v>7636</v>
      </c>
      <c r="C2719" s="7" t="s">
        <v>8004</v>
      </c>
    </row>
    <row r="2720" customFormat="false" ht="15" hidden="false" customHeight="true" outlineLevel="0" collapsed="false">
      <c r="A2720" s="7" t="s">
        <v>5478</v>
      </c>
      <c r="B2720" s="7" t="s">
        <v>7638</v>
      </c>
      <c r="C2720" s="7" t="s">
        <v>8004</v>
      </c>
    </row>
    <row r="2721" customFormat="false" ht="15" hidden="false" customHeight="true" outlineLevel="0" collapsed="false">
      <c r="A2721" s="7" t="s">
        <v>5478</v>
      </c>
      <c r="B2721" s="7" t="s">
        <v>7640</v>
      </c>
      <c r="C2721" s="7" t="s">
        <v>8004</v>
      </c>
    </row>
    <row r="2722" customFormat="false" ht="15" hidden="false" customHeight="true" outlineLevel="0" collapsed="false">
      <c r="A2722" s="7" t="s">
        <v>5478</v>
      </c>
      <c r="B2722" s="7" t="s">
        <v>5482</v>
      </c>
      <c r="C2722" s="7" t="s">
        <v>8004</v>
      </c>
    </row>
    <row r="2723" customFormat="false" ht="15" hidden="false" customHeight="true" outlineLevel="0" collapsed="false">
      <c r="A2723" s="7" t="s">
        <v>5478</v>
      </c>
      <c r="B2723" s="7" t="s">
        <v>7637</v>
      </c>
      <c r="C2723" s="7" t="s">
        <v>8004</v>
      </c>
    </row>
    <row r="2724" customFormat="false" ht="15" hidden="false" customHeight="true" outlineLevel="0" collapsed="false">
      <c r="A2724" s="7" t="s">
        <v>5478</v>
      </c>
      <c r="B2724" s="7" t="s">
        <v>9335</v>
      </c>
      <c r="C2724" s="7"/>
    </row>
    <row r="2725" customFormat="false" ht="15" hidden="false" customHeight="true" outlineLevel="0" collapsed="false">
      <c r="A2725" s="7" t="s">
        <v>5478</v>
      </c>
      <c r="B2725" s="7" t="s">
        <v>9336</v>
      </c>
      <c r="C2725" s="7"/>
    </row>
    <row r="2726" customFormat="false" ht="15" hidden="false" customHeight="true" outlineLevel="0" collapsed="false">
      <c r="A2726" s="7" t="s">
        <v>281</v>
      </c>
      <c r="B2726" s="7" t="s">
        <v>281</v>
      </c>
      <c r="C2726" s="7" t="s">
        <v>8004</v>
      </c>
    </row>
    <row r="2727" customFormat="false" ht="15" hidden="false" customHeight="true" outlineLevel="0" collapsed="false">
      <c r="A2727" s="7" t="s">
        <v>281</v>
      </c>
      <c r="B2727" s="7" t="s">
        <v>9337</v>
      </c>
      <c r="C2727" s="7"/>
    </row>
    <row r="2728" customFormat="false" ht="15" hidden="false" customHeight="true" outlineLevel="0" collapsed="false">
      <c r="A2728" s="7" t="s">
        <v>281</v>
      </c>
      <c r="B2728" s="7" t="s">
        <v>9338</v>
      </c>
      <c r="C2728" s="7"/>
    </row>
    <row r="2729" customFormat="false" ht="15" hidden="false" customHeight="true" outlineLevel="0" collapsed="false">
      <c r="A2729" s="7" t="s">
        <v>281</v>
      </c>
      <c r="B2729" s="7" t="s">
        <v>9339</v>
      </c>
      <c r="C2729" s="7"/>
    </row>
    <row r="2730" customFormat="false" ht="15" hidden="false" customHeight="true" outlineLevel="0" collapsed="false">
      <c r="A2730" s="7" t="s">
        <v>281</v>
      </c>
      <c r="B2730" s="7" t="s">
        <v>9340</v>
      </c>
      <c r="C2730" s="7"/>
    </row>
    <row r="2731" customFormat="false" ht="15" hidden="false" customHeight="true" outlineLevel="0" collapsed="false">
      <c r="A2731" s="7" t="s">
        <v>281</v>
      </c>
      <c r="B2731" s="7" t="s">
        <v>9341</v>
      </c>
      <c r="C2731" s="7"/>
    </row>
    <row r="2732" customFormat="false" ht="15" hidden="false" customHeight="true" outlineLevel="0" collapsed="false">
      <c r="A2732" s="7" t="s">
        <v>281</v>
      </c>
      <c r="B2732" s="7" t="s">
        <v>9342</v>
      </c>
      <c r="C2732" s="7"/>
    </row>
    <row r="2733" customFormat="false" ht="15" hidden="false" customHeight="true" outlineLevel="0" collapsed="false">
      <c r="A2733" s="7" t="s">
        <v>281</v>
      </c>
      <c r="B2733" s="7" t="s">
        <v>9343</v>
      </c>
      <c r="C2733" s="7"/>
    </row>
    <row r="2734" customFormat="false" ht="15" hidden="false" customHeight="true" outlineLevel="0" collapsed="false">
      <c r="A2734" s="7" t="s">
        <v>281</v>
      </c>
      <c r="B2734" s="7" t="s">
        <v>9344</v>
      </c>
      <c r="C2734" s="7"/>
    </row>
    <row r="2735" customFormat="false" ht="15" hidden="false" customHeight="true" outlineLevel="0" collapsed="false">
      <c r="A2735" s="7" t="s">
        <v>281</v>
      </c>
      <c r="B2735" s="7" t="s">
        <v>9345</v>
      </c>
      <c r="C2735" s="7"/>
    </row>
    <row r="2736" customFormat="false" ht="15" hidden="false" customHeight="true" outlineLevel="0" collapsed="false">
      <c r="A2736" s="7" t="s">
        <v>5512</v>
      </c>
      <c r="B2736" s="7" t="s">
        <v>5512</v>
      </c>
      <c r="C2736" s="7" t="s">
        <v>8004</v>
      </c>
    </row>
    <row r="2737" customFormat="false" ht="15" hidden="false" customHeight="true" outlineLevel="0" collapsed="false">
      <c r="A2737" s="7" t="s">
        <v>5512</v>
      </c>
      <c r="B2737" s="7" t="s">
        <v>7644</v>
      </c>
      <c r="C2737" s="7" t="s">
        <v>8004</v>
      </c>
    </row>
    <row r="2738" customFormat="false" ht="15" hidden="false" customHeight="true" outlineLevel="0" collapsed="false">
      <c r="A2738" s="7" t="s">
        <v>5512</v>
      </c>
      <c r="B2738" s="7" t="s">
        <v>5516</v>
      </c>
      <c r="C2738" s="7" t="s">
        <v>8004</v>
      </c>
    </row>
    <row r="2739" customFormat="false" ht="15" hidden="false" customHeight="true" outlineLevel="0" collapsed="false">
      <c r="A2739" s="7" t="s">
        <v>5512</v>
      </c>
      <c r="B2739" s="7" t="s">
        <v>7642</v>
      </c>
      <c r="C2739" s="7" t="s">
        <v>8004</v>
      </c>
    </row>
    <row r="2740" customFormat="false" ht="15" hidden="false" customHeight="true" outlineLevel="0" collapsed="false">
      <c r="A2740" s="7" t="s">
        <v>5512</v>
      </c>
      <c r="B2740" s="7" t="s">
        <v>7641</v>
      </c>
      <c r="C2740" s="7" t="s">
        <v>8004</v>
      </c>
    </row>
    <row r="2741" customFormat="false" ht="15" hidden="false" customHeight="true" outlineLevel="0" collapsed="false">
      <c r="A2741" s="7" t="s">
        <v>5512</v>
      </c>
      <c r="B2741" s="7" t="s">
        <v>9346</v>
      </c>
      <c r="C2741" s="7"/>
    </row>
    <row r="2742" customFormat="false" ht="15" hidden="false" customHeight="true" outlineLevel="0" collapsed="false">
      <c r="A2742" s="7" t="s">
        <v>5512</v>
      </c>
      <c r="B2742" s="7" t="s">
        <v>9347</v>
      </c>
      <c r="C2742" s="7"/>
    </row>
    <row r="2743" customFormat="false" ht="15" hidden="false" customHeight="true" outlineLevel="0" collapsed="false">
      <c r="A2743" s="7" t="s">
        <v>5512</v>
      </c>
      <c r="B2743" s="7" t="s">
        <v>7643</v>
      </c>
      <c r="C2743" s="7" t="s">
        <v>8004</v>
      </c>
    </row>
    <row r="2744" customFormat="false" ht="15" hidden="false" customHeight="true" outlineLevel="0" collapsed="false">
      <c r="A2744" s="7" t="s">
        <v>5512</v>
      </c>
      <c r="B2744" s="7" t="s">
        <v>9348</v>
      </c>
      <c r="C2744" s="7"/>
    </row>
    <row r="2745" customFormat="false" ht="15" hidden="false" customHeight="true" outlineLevel="0" collapsed="false">
      <c r="A2745" s="7" t="s">
        <v>5512</v>
      </c>
      <c r="B2745" s="7" t="s">
        <v>9349</v>
      </c>
      <c r="C2745" s="7"/>
    </row>
    <row r="2746" customFormat="false" ht="15" hidden="false" customHeight="true" outlineLevel="0" collapsed="false">
      <c r="A2746" s="7" t="s">
        <v>5491</v>
      </c>
      <c r="B2746" s="7" t="s">
        <v>5491</v>
      </c>
      <c r="C2746" s="7" t="s">
        <v>8004</v>
      </c>
    </row>
    <row r="2747" customFormat="false" ht="15" hidden="false" customHeight="true" outlineLevel="0" collapsed="false">
      <c r="A2747" s="7" t="s">
        <v>5491</v>
      </c>
      <c r="B2747" s="7" t="s">
        <v>5495</v>
      </c>
      <c r="C2747" s="7" t="s">
        <v>8004</v>
      </c>
    </row>
    <row r="2748" customFormat="false" ht="15" hidden="false" customHeight="true" outlineLevel="0" collapsed="false">
      <c r="A2748" s="7" t="s">
        <v>5491</v>
      </c>
      <c r="B2748" s="7" t="s">
        <v>9350</v>
      </c>
      <c r="C2748" s="7"/>
    </row>
    <row r="2749" customFormat="false" ht="15" hidden="false" customHeight="true" outlineLevel="0" collapsed="false">
      <c r="A2749" s="7" t="s">
        <v>5491</v>
      </c>
      <c r="B2749" s="7" t="s">
        <v>9351</v>
      </c>
      <c r="C2749" s="7"/>
    </row>
    <row r="2750" customFormat="false" ht="15" hidden="false" customHeight="true" outlineLevel="0" collapsed="false">
      <c r="A2750" s="7" t="s">
        <v>5491</v>
      </c>
      <c r="B2750" s="7" t="s">
        <v>7647</v>
      </c>
      <c r="C2750" s="7" t="s">
        <v>8004</v>
      </c>
    </row>
    <row r="2751" customFormat="false" ht="15" hidden="false" customHeight="true" outlineLevel="0" collapsed="false">
      <c r="A2751" s="7" t="s">
        <v>5491</v>
      </c>
      <c r="B2751" s="7" t="s">
        <v>7649</v>
      </c>
      <c r="C2751" s="7" t="s">
        <v>8004</v>
      </c>
    </row>
    <row r="2752" customFormat="false" ht="15" hidden="false" customHeight="true" outlineLevel="0" collapsed="false">
      <c r="A2752" s="7" t="s">
        <v>5491</v>
      </c>
      <c r="B2752" s="7" t="s">
        <v>7646</v>
      </c>
      <c r="C2752" s="7" t="s">
        <v>8004</v>
      </c>
    </row>
    <row r="2753" customFormat="false" ht="15" hidden="false" customHeight="true" outlineLevel="0" collapsed="false">
      <c r="A2753" s="7" t="s">
        <v>5491</v>
      </c>
      <c r="B2753" s="7" t="s">
        <v>7645</v>
      </c>
      <c r="C2753" s="7" t="s">
        <v>8004</v>
      </c>
    </row>
    <row r="2754" customFormat="false" ht="15" hidden="false" customHeight="true" outlineLevel="0" collapsed="false">
      <c r="A2754" s="7" t="s">
        <v>5491</v>
      </c>
      <c r="B2754" s="7" t="s">
        <v>9352</v>
      </c>
      <c r="C2754" s="7"/>
    </row>
    <row r="2755" customFormat="false" ht="15" hidden="false" customHeight="true" outlineLevel="0" collapsed="false">
      <c r="A2755" s="7" t="s">
        <v>5491</v>
      </c>
      <c r="B2755" s="7" t="s">
        <v>7648</v>
      </c>
      <c r="C2755" s="7" t="s">
        <v>8004</v>
      </c>
    </row>
    <row r="2756" customFormat="false" ht="15" hidden="false" customHeight="true" outlineLevel="0" collapsed="false">
      <c r="A2756" s="7" t="s">
        <v>5503</v>
      </c>
      <c r="B2756" s="7" t="s">
        <v>5503</v>
      </c>
      <c r="C2756" s="7" t="s">
        <v>8004</v>
      </c>
    </row>
    <row r="2757" customFormat="false" ht="15" hidden="false" customHeight="true" outlineLevel="0" collapsed="false">
      <c r="A2757" s="7" t="s">
        <v>5503</v>
      </c>
      <c r="B2757" s="7" t="s">
        <v>5507</v>
      </c>
      <c r="C2757" s="7" t="s">
        <v>8004</v>
      </c>
    </row>
    <row r="2758" customFormat="false" ht="15" hidden="false" customHeight="true" outlineLevel="0" collapsed="false">
      <c r="A2758" s="7" t="s">
        <v>5503</v>
      </c>
      <c r="B2758" s="7" t="s">
        <v>7650</v>
      </c>
      <c r="C2758" s="7" t="s">
        <v>8004</v>
      </c>
    </row>
    <row r="2759" customFormat="false" ht="15" hidden="false" customHeight="true" outlineLevel="0" collapsed="false">
      <c r="A2759" s="7" t="s">
        <v>5503</v>
      </c>
      <c r="B2759" s="7" t="s">
        <v>7653</v>
      </c>
      <c r="C2759" s="7" t="s">
        <v>8004</v>
      </c>
    </row>
    <row r="2760" customFormat="false" ht="15" hidden="false" customHeight="true" outlineLevel="0" collapsed="false">
      <c r="A2760" s="7" t="s">
        <v>5503</v>
      </c>
      <c r="B2760" s="7" t="s">
        <v>7651</v>
      </c>
      <c r="C2760" s="7" t="s">
        <v>8004</v>
      </c>
    </row>
    <row r="2761" customFormat="false" ht="15" hidden="false" customHeight="true" outlineLevel="0" collapsed="false">
      <c r="A2761" s="7" t="s">
        <v>5503</v>
      </c>
      <c r="B2761" s="7" t="s">
        <v>9353</v>
      </c>
      <c r="C2761" s="7"/>
    </row>
    <row r="2762" customFormat="false" ht="15" hidden="false" customHeight="true" outlineLevel="0" collapsed="false">
      <c r="A2762" s="7" t="s">
        <v>5503</v>
      </c>
      <c r="B2762" s="7" t="s">
        <v>9354</v>
      </c>
      <c r="C2762" s="7"/>
    </row>
    <row r="2763" customFormat="false" ht="15" hidden="false" customHeight="true" outlineLevel="0" collapsed="false">
      <c r="A2763" s="7" t="s">
        <v>5503</v>
      </c>
      <c r="B2763" s="7" t="s">
        <v>9355</v>
      </c>
      <c r="C2763" s="7"/>
    </row>
    <row r="2764" customFormat="false" ht="15" hidden="false" customHeight="true" outlineLevel="0" collapsed="false">
      <c r="A2764" s="7" t="s">
        <v>5503</v>
      </c>
      <c r="B2764" s="7" t="s">
        <v>7654</v>
      </c>
      <c r="C2764" s="7" t="s">
        <v>8004</v>
      </c>
    </row>
    <row r="2765" customFormat="false" ht="15" hidden="false" customHeight="true" outlineLevel="0" collapsed="false">
      <c r="A2765" s="7" t="s">
        <v>5503</v>
      </c>
      <c r="B2765" s="7" t="s">
        <v>7652</v>
      </c>
      <c r="C2765" s="7" t="s">
        <v>8004</v>
      </c>
    </row>
    <row r="2766" customFormat="false" ht="15" hidden="false" customHeight="true" outlineLevel="0" collapsed="false">
      <c r="A2766" s="7" t="s">
        <v>279</v>
      </c>
      <c r="B2766" s="7" t="s">
        <v>279</v>
      </c>
      <c r="C2766" s="7" t="s">
        <v>8004</v>
      </c>
    </row>
    <row r="2767" customFormat="false" ht="15" hidden="false" customHeight="true" outlineLevel="0" collapsed="false">
      <c r="A2767" s="7" t="s">
        <v>279</v>
      </c>
      <c r="B2767" s="7" t="s">
        <v>9356</v>
      </c>
      <c r="C2767" s="7"/>
    </row>
    <row r="2768" customFormat="false" ht="15" hidden="false" customHeight="true" outlineLevel="0" collapsed="false">
      <c r="A2768" s="7" t="s">
        <v>279</v>
      </c>
      <c r="B2768" s="7" t="s">
        <v>9357</v>
      </c>
      <c r="C2768" s="7"/>
    </row>
    <row r="2769" customFormat="false" ht="15" hidden="false" customHeight="true" outlineLevel="0" collapsed="false">
      <c r="A2769" s="7" t="s">
        <v>279</v>
      </c>
      <c r="B2769" s="7" t="s">
        <v>9358</v>
      </c>
      <c r="C2769" s="7"/>
    </row>
    <row r="2770" customFormat="false" ht="15" hidden="false" customHeight="true" outlineLevel="0" collapsed="false">
      <c r="A2770" s="7" t="s">
        <v>279</v>
      </c>
      <c r="B2770" s="7" t="s">
        <v>9359</v>
      </c>
      <c r="C2770" s="7"/>
    </row>
    <row r="2771" customFormat="false" ht="15" hidden="false" customHeight="true" outlineLevel="0" collapsed="false">
      <c r="A2771" s="7" t="s">
        <v>279</v>
      </c>
      <c r="B2771" s="7" t="s">
        <v>9360</v>
      </c>
      <c r="C2771" s="7"/>
    </row>
    <row r="2772" customFormat="false" ht="15" hidden="false" customHeight="true" outlineLevel="0" collapsed="false">
      <c r="A2772" s="7" t="s">
        <v>279</v>
      </c>
      <c r="B2772" s="7" t="s">
        <v>9361</v>
      </c>
      <c r="C2772" s="7"/>
    </row>
    <row r="2773" customFormat="false" ht="15" hidden="false" customHeight="true" outlineLevel="0" collapsed="false">
      <c r="A2773" s="7" t="s">
        <v>279</v>
      </c>
      <c r="B2773" s="7" t="s">
        <v>9362</v>
      </c>
      <c r="C2773" s="7"/>
    </row>
    <row r="2774" customFormat="false" ht="15" hidden="false" customHeight="true" outlineLevel="0" collapsed="false">
      <c r="A2774" s="7" t="s">
        <v>279</v>
      </c>
      <c r="B2774" s="7" t="s">
        <v>9363</v>
      </c>
      <c r="C2774" s="7"/>
    </row>
    <row r="2775" customFormat="false" ht="15" hidden="false" customHeight="true" outlineLevel="0" collapsed="false">
      <c r="A2775" s="7" t="s">
        <v>279</v>
      </c>
      <c r="B2775" s="7" t="s">
        <v>9364</v>
      </c>
      <c r="C2775" s="7"/>
    </row>
    <row r="2776" customFormat="false" ht="15" hidden="false" customHeight="true" outlineLevel="0" collapsed="false">
      <c r="A2776" s="7" t="s">
        <v>6608</v>
      </c>
      <c r="B2776" s="7" t="s">
        <v>6608</v>
      </c>
      <c r="C2776" s="7" t="s">
        <v>8004</v>
      </c>
    </row>
    <row r="2777" customFormat="false" ht="15" hidden="false" customHeight="true" outlineLevel="0" collapsed="false">
      <c r="A2777" s="7" t="s">
        <v>6608</v>
      </c>
      <c r="B2777" s="7" t="s">
        <v>9365</v>
      </c>
      <c r="C2777" s="7"/>
    </row>
    <row r="2778" customFormat="false" ht="15" hidden="false" customHeight="true" outlineLevel="0" collapsed="false">
      <c r="A2778" s="7" t="s">
        <v>6608</v>
      </c>
      <c r="B2778" s="7" t="s">
        <v>9366</v>
      </c>
      <c r="C2778" s="7"/>
    </row>
    <row r="2779" customFormat="false" ht="15" hidden="false" customHeight="true" outlineLevel="0" collapsed="false">
      <c r="A2779" s="7" t="s">
        <v>6608</v>
      </c>
      <c r="B2779" s="7" t="s">
        <v>9367</v>
      </c>
      <c r="C2779" s="7"/>
    </row>
    <row r="2780" customFormat="false" ht="15" hidden="false" customHeight="true" outlineLevel="0" collapsed="false">
      <c r="A2780" s="7" t="s">
        <v>6608</v>
      </c>
      <c r="B2780" s="7" t="s">
        <v>9368</v>
      </c>
      <c r="C2780" s="7"/>
    </row>
    <row r="2781" customFormat="false" ht="15" hidden="false" customHeight="true" outlineLevel="0" collapsed="false">
      <c r="A2781" s="7" t="s">
        <v>6608</v>
      </c>
      <c r="B2781" s="7" t="s">
        <v>9369</v>
      </c>
      <c r="C2781" s="7"/>
    </row>
    <row r="2782" customFormat="false" ht="15" hidden="false" customHeight="true" outlineLevel="0" collapsed="false">
      <c r="A2782" s="7" t="s">
        <v>6608</v>
      </c>
      <c r="B2782" s="7" t="s">
        <v>9370</v>
      </c>
      <c r="C2782" s="7"/>
    </row>
    <row r="2783" customFormat="false" ht="15" hidden="false" customHeight="true" outlineLevel="0" collapsed="false">
      <c r="A2783" s="7" t="s">
        <v>6608</v>
      </c>
      <c r="B2783" s="7" t="s">
        <v>9371</v>
      </c>
      <c r="C2783" s="7"/>
    </row>
    <row r="2784" customFormat="false" ht="15" hidden="false" customHeight="true" outlineLevel="0" collapsed="false">
      <c r="A2784" s="7" t="s">
        <v>6608</v>
      </c>
      <c r="B2784" s="7" t="s">
        <v>9372</v>
      </c>
      <c r="C2784" s="7"/>
    </row>
    <row r="2785" customFormat="false" ht="15" hidden="false" customHeight="true" outlineLevel="0" collapsed="false">
      <c r="A2785" s="7" t="s">
        <v>6608</v>
      </c>
      <c r="B2785" s="7" t="s">
        <v>9373</v>
      </c>
      <c r="C2785" s="7"/>
    </row>
    <row r="2786" customFormat="false" ht="15" hidden="false" customHeight="true" outlineLevel="0" collapsed="false">
      <c r="A2786" s="7" t="s">
        <v>5523</v>
      </c>
      <c r="B2786" s="7" t="s">
        <v>5523</v>
      </c>
      <c r="C2786" s="7" t="s">
        <v>8004</v>
      </c>
    </row>
    <row r="2787" customFormat="false" ht="15" hidden="false" customHeight="true" outlineLevel="0" collapsed="false">
      <c r="A2787" s="7" t="s">
        <v>5523</v>
      </c>
      <c r="B2787" s="7" t="s">
        <v>7656</v>
      </c>
      <c r="C2787" s="7" t="s">
        <v>8004</v>
      </c>
    </row>
    <row r="2788" customFormat="false" ht="15" hidden="false" customHeight="true" outlineLevel="0" collapsed="false">
      <c r="A2788" s="7" t="s">
        <v>5523</v>
      </c>
      <c r="B2788" s="7" t="s">
        <v>9374</v>
      </c>
      <c r="C2788" s="7"/>
    </row>
    <row r="2789" customFormat="false" ht="15" hidden="false" customHeight="true" outlineLevel="0" collapsed="false">
      <c r="A2789" s="7" t="s">
        <v>5523</v>
      </c>
      <c r="B2789" s="7" t="s">
        <v>9375</v>
      </c>
      <c r="C2789" s="7"/>
    </row>
    <row r="2790" customFormat="false" ht="15" hidden="false" customHeight="true" outlineLevel="0" collapsed="false">
      <c r="A2790" s="7" t="s">
        <v>5523</v>
      </c>
      <c r="B2790" s="7" t="s">
        <v>9376</v>
      </c>
      <c r="C2790" s="7"/>
    </row>
    <row r="2791" customFormat="false" ht="15" hidden="false" customHeight="true" outlineLevel="0" collapsed="false">
      <c r="A2791" s="7" t="s">
        <v>5523</v>
      </c>
      <c r="B2791" s="7" t="s">
        <v>9377</v>
      </c>
      <c r="C2791" s="7"/>
    </row>
    <row r="2792" customFormat="false" ht="15" hidden="false" customHeight="true" outlineLevel="0" collapsed="false">
      <c r="A2792" s="7" t="s">
        <v>5523</v>
      </c>
      <c r="B2792" s="7" t="s">
        <v>9378</v>
      </c>
      <c r="C2792" s="7"/>
    </row>
    <row r="2793" customFormat="false" ht="15" hidden="false" customHeight="true" outlineLevel="0" collapsed="false">
      <c r="A2793" s="7" t="s">
        <v>5523</v>
      </c>
      <c r="B2793" s="7" t="s">
        <v>7657</v>
      </c>
      <c r="C2793" s="7" t="s">
        <v>8004</v>
      </c>
    </row>
    <row r="2794" customFormat="false" ht="15" hidden="false" customHeight="true" outlineLevel="0" collapsed="false">
      <c r="A2794" s="7" t="s">
        <v>5523</v>
      </c>
      <c r="B2794" s="7" t="s">
        <v>9379</v>
      </c>
      <c r="C2794" s="7"/>
    </row>
    <row r="2795" customFormat="false" ht="15" hidden="false" customHeight="true" outlineLevel="0" collapsed="false">
      <c r="A2795" s="7" t="s">
        <v>5523</v>
      </c>
      <c r="B2795" s="7" t="s">
        <v>7655</v>
      </c>
      <c r="C2795" s="7" t="s">
        <v>8004</v>
      </c>
    </row>
    <row r="2796" customFormat="false" ht="15" hidden="false" customHeight="true" outlineLevel="0" collapsed="false">
      <c r="A2796" s="7" t="s">
        <v>5559</v>
      </c>
      <c r="B2796" s="7" t="s">
        <v>5559</v>
      </c>
      <c r="C2796" s="7" t="s">
        <v>8004</v>
      </c>
    </row>
    <row r="2797" customFormat="false" ht="15" hidden="false" customHeight="true" outlineLevel="0" collapsed="false">
      <c r="A2797" s="7" t="s">
        <v>5538</v>
      </c>
      <c r="B2797" s="7" t="s">
        <v>5538</v>
      </c>
      <c r="C2797" s="7" t="s">
        <v>8004</v>
      </c>
    </row>
    <row r="2798" customFormat="false" ht="15" hidden="false" customHeight="true" outlineLevel="0" collapsed="false">
      <c r="A2798" s="7" t="s">
        <v>5538</v>
      </c>
      <c r="B2798" s="7" t="s">
        <v>9380</v>
      </c>
      <c r="C2798" s="7"/>
    </row>
    <row r="2799" customFormat="false" ht="15" hidden="false" customHeight="true" outlineLevel="0" collapsed="false">
      <c r="A2799" s="7" t="s">
        <v>5548</v>
      </c>
      <c r="B2799" s="7" t="s">
        <v>5548</v>
      </c>
      <c r="C2799" s="7" t="s">
        <v>8004</v>
      </c>
    </row>
    <row r="2800" customFormat="false" ht="15" hidden="false" customHeight="true" outlineLevel="0" collapsed="false">
      <c r="A2800" s="7" t="s">
        <v>5548</v>
      </c>
      <c r="B2800" s="7" t="s">
        <v>9381</v>
      </c>
      <c r="C2800" s="7"/>
    </row>
    <row r="2801" customFormat="false" ht="15" hidden="false" customHeight="true" outlineLevel="0" collapsed="false">
      <c r="A2801" s="7" t="s">
        <v>5548</v>
      </c>
      <c r="B2801" s="7" t="s">
        <v>9382</v>
      </c>
      <c r="C2801" s="7"/>
    </row>
    <row r="2802" customFormat="false" ht="15" hidden="false" customHeight="true" outlineLevel="0" collapsed="false">
      <c r="A2802" s="7" t="s">
        <v>5548</v>
      </c>
      <c r="B2802" s="7" t="s">
        <v>9383</v>
      </c>
      <c r="C2802" s="7"/>
    </row>
    <row r="2803" customFormat="false" ht="15" hidden="false" customHeight="true" outlineLevel="0" collapsed="false">
      <c r="A2803" s="7" t="s">
        <v>5548</v>
      </c>
      <c r="B2803" s="7" t="s">
        <v>9384</v>
      </c>
      <c r="C2803" s="7"/>
    </row>
    <row r="2804" customFormat="false" ht="15" hidden="false" customHeight="true" outlineLevel="0" collapsed="false">
      <c r="A2804" s="7" t="s">
        <v>5548</v>
      </c>
      <c r="B2804" s="7" t="s">
        <v>9385</v>
      </c>
      <c r="C2804" s="7"/>
    </row>
    <row r="2805" customFormat="false" ht="15" hidden="false" customHeight="true" outlineLevel="0" collapsed="false">
      <c r="A2805" s="7" t="s">
        <v>5548</v>
      </c>
      <c r="B2805" s="7" t="s">
        <v>9386</v>
      </c>
      <c r="C2805" s="7"/>
    </row>
    <row r="2806" customFormat="false" ht="15" hidden="false" customHeight="true" outlineLevel="0" collapsed="false">
      <c r="A2806" s="7" t="s">
        <v>5548</v>
      </c>
      <c r="B2806" s="7" t="s">
        <v>9387</v>
      </c>
      <c r="C2806" s="7"/>
    </row>
    <row r="2807" customFormat="false" ht="15" hidden="false" customHeight="true" outlineLevel="0" collapsed="false">
      <c r="A2807" s="7" t="s">
        <v>5548</v>
      </c>
      <c r="B2807" s="7" t="s">
        <v>9388</v>
      </c>
      <c r="C2807" s="7"/>
    </row>
    <row r="2808" customFormat="false" ht="15" hidden="false" customHeight="true" outlineLevel="0" collapsed="false">
      <c r="A2808" s="7" t="s">
        <v>5548</v>
      </c>
      <c r="B2808" s="7" t="s">
        <v>9389</v>
      </c>
      <c r="C2808" s="7"/>
    </row>
    <row r="2809" customFormat="false" ht="15" hidden="false" customHeight="true" outlineLevel="0" collapsed="false">
      <c r="A2809" s="7" t="s">
        <v>6610</v>
      </c>
      <c r="B2809" s="7" t="s">
        <v>6610</v>
      </c>
      <c r="C2809" s="7" t="s">
        <v>8004</v>
      </c>
    </row>
    <row r="2810" customFormat="false" ht="15" hidden="false" customHeight="true" outlineLevel="0" collapsed="false">
      <c r="A2810" s="7" t="s">
        <v>6610</v>
      </c>
      <c r="B2810" s="7" t="s">
        <v>9390</v>
      </c>
      <c r="C2810" s="7"/>
    </row>
    <row r="2811" customFormat="false" ht="15" hidden="false" customHeight="true" outlineLevel="0" collapsed="false">
      <c r="A2811" s="7" t="s">
        <v>6610</v>
      </c>
      <c r="B2811" s="7" t="s">
        <v>9391</v>
      </c>
      <c r="C2811" s="7"/>
    </row>
    <row r="2812" customFormat="false" ht="15" hidden="false" customHeight="true" outlineLevel="0" collapsed="false">
      <c r="A2812" s="7" t="s">
        <v>6610</v>
      </c>
      <c r="B2812" s="7" t="s">
        <v>9392</v>
      </c>
      <c r="C2812" s="7"/>
    </row>
    <row r="2813" customFormat="false" ht="15" hidden="false" customHeight="true" outlineLevel="0" collapsed="false">
      <c r="A2813" s="7" t="s">
        <v>6610</v>
      </c>
      <c r="B2813" s="7" t="s">
        <v>9393</v>
      </c>
      <c r="C2813" s="7"/>
    </row>
    <row r="2814" customFormat="false" ht="15" hidden="false" customHeight="true" outlineLevel="0" collapsed="false">
      <c r="A2814" s="7" t="s">
        <v>6610</v>
      </c>
      <c r="B2814" s="7" t="s">
        <v>9394</v>
      </c>
      <c r="C2814" s="7"/>
    </row>
    <row r="2815" customFormat="false" ht="15" hidden="false" customHeight="true" outlineLevel="0" collapsed="false">
      <c r="A2815" s="7" t="s">
        <v>6610</v>
      </c>
      <c r="B2815" s="7" t="s">
        <v>9395</v>
      </c>
      <c r="C2815" s="7"/>
    </row>
    <row r="2816" customFormat="false" ht="15" hidden="false" customHeight="true" outlineLevel="0" collapsed="false">
      <c r="A2816" s="7" t="s">
        <v>6610</v>
      </c>
      <c r="B2816" s="7" t="s">
        <v>9396</v>
      </c>
      <c r="C2816" s="7"/>
    </row>
    <row r="2817" customFormat="false" ht="15" hidden="false" customHeight="true" outlineLevel="0" collapsed="false">
      <c r="A2817" s="7" t="s">
        <v>6610</v>
      </c>
      <c r="B2817" s="7" t="s">
        <v>9397</v>
      </c>
      <c r="C2817" s="7"/>
    </row>
    <row r="2818" customFormat="false" ht="15" hidden="false" customHeight="true" outlineLevel="0" collapsed="false">
      <c r="A2818" s="7" t="s">
        <v>6610</v>
      </c>
      <c r="B2818" s="7" t="s">
        <v>9398</v>
      </c>
      <c r="C2818" s="7"/>
    </row>
    <row r="2819" customFormat="false" ht="15" hidden="false" customHeight="true" outlineLevel="0" collapsed="false">
      <c r="A2819" s="7" t="s">
        <v>5569</v>
      </c>
      <c r="B2819" s="7" t="s">
        <v>5569</v>
      </c>
      <c r="C2819" s="7" t="s">
        <v>8004</v>
      </c>
    </row>
    <row r="2820" customFormat="false" ht="15" hidden="false" customHeight="true" outlineLevel="0" collapsed="false">
      <c r="A2820" s="7" t="s">
        <v>5569</v>
      </c>
      <c r="B2820" s="7" t="s">
        <v>9399</v>
      </c>
      <c r="C2820" s="7"/>
    </row>
    <row r="2821" customFormat="false" ht="15" hidden="false" customHeight="true" outlineLevel="0" collapsed="false">
      <c r="A2821" s="7" t="s">
        <v>5569</v>
      </c>
      <c r="B2821" s="7" t="s">
        <v>9400</v>
      </c>
      <c r="C2821" s="7"/>
    </row>
    <row r="2822" customFormat="false" ht="15" hidden="false" customHeight="true" outlineLevel="0" collapsed="false">
      <c r="A2822" s="7" t="s">
        <v>5569</v>
      </c>
      <c r="B2822" s="7" t="s">
        <v>9401</v>
      </c>
      <c r="C2822" s="7"/>
    </row>
    <row r="2823" customFormat="false" ht="15" hidden="false" customHeight="true" outlineLevel="0" collapsed="false">
      <c r="A2823" s="7" t="s">
        <v>5569</v>
      </c>
      <c r="B2823" s="7" t="s">
        <v>9402</v>
      </c>
      <c r="C2823" s="7"/>
    </row>
    <row r="2824" customFormat="false" ht="15" hidden="false" customHeight="true" outlineLevel="0" collapsed="false">
      <c r="A2824" s="7" t="s">
        <v>6613</v>
      </c>
      <c r="B2824" s="7" t="s">
        <v>6613</v>
      </c>
      <c r="C2824" s="7" t="s">
        <v>8004</v>
      </c>
    </row>
    <row r="2825" customFormat="false" ht="15" hidden="false" customHeight="true" outlineLevel="0" collapsed="false">
      <c r="A2825" s="7" t="s">
        <v>6613</v>
      </c>
      <c r="B2825" s="7" t="s">
        <v>9403</v>
      </c>
      <c r="C2825" s="7"/>
    </row>
    <row r="2826" customFormat="false" ht="15" hidden="false" customHeight="true" outlineLevel="0" collapsed="false">
      <c r="A2826" s="7" t="s">
        <v>6613</v>
      </c>
      <c r="B2826" s="7" t="s">
        <v>9404</v>
      </c>
      <c r="C2826" s="7"/>
    </row>
    <row r="2827" customFormat="false" ht="15" hidden="false" customHeight="true" outlineLevel="0" collapsed="false">
      <c r="A2827" s="7" t="s">
        <v>6613</v>
      </c>
      <c r="B2827" s="7" t="s">
        <v>9405</v>
      </c>
      <c r="C2827" s="7"/>
    </row>
    <row r="2828" customFormat="false" ht="15" hidden="false" customHeight="true" outlineLevel="0" collapsed="false">
      <c r="A2828" s="7" t="s">
        <v>6613</v>
      </c>
      <c r="B2828" s="7" t="s">
        <v>9406</v>
      </c>
      <c r="C2828" s="7"/>
    </row>
    <row r="2829" customFormat="false" ht="15" hidden="false" customHeight="true" outlineLevel="0" collapsed="false">
      <c r="A2829" s="7" t="s">
        <v>6613</v>
      </c>
      <c r="B2829" s="7" t="s">
        <v>9407</v>
      </c>
      <c r="C2829" s="7"/>
    </row>
    <row r="2830" customFormat="false" ht="15" hidden="false" customHeight="true" outlineLevel="0" collapsed="false">
      <c r="A2830" s="7" t="s">
        <v>6613</v>
      </c>
      <c r="B2830" s="7" t="s">
        <v>9408</v>
      </c>
      <c r="C2830" s="7"/>
    </row>
    <row r="2831" customFormat="false" ht="15" hidden="false" customHeight="true" outlineLevel="0" collapsed="false">
      <c r="A2831" s="7" t="s">
        <v>6613</v>
      </c>
      <c r="B2831" s="7" t="s">
        <v>9409</v>
      </c>
      <c r="C2831" s="7"/>
    </row>
    <row r="2832" customFormat="false" ht="15" hidden="false" customHeight="true" outlineLevel="0" collapsed="false">
      <c r="A2832" s="7" t="s">
        <v>6613</v>
      </c>
      <c r="B2832" s="7" t="s">
        <v>9410</v>
      </c>
      <c r="C2832" s="7"/>
    </row>
    <row r="2833" customFormat="false" ht="15" hidden="false" customHeight="true" outlineLevel="0" collapsed="false">
      <c r="A2833" s="7" t="s">
        <v>6613</v>
      </c>
      <c r="B2833" s="7" t="s">
        <v>9411</v>
      </c>
      <c r="C2833" s="7"/>
    </row>
    <row r="2834" customFormat="false" ht="15" hidden="false" customHeight="true" outlineLevel="0" collapsed="false">
      <c r="A2834" s="7" t="s">
        <v>4548</v>
      </c>
      <c r="B2834" s="7" t="s">
        <v>4548</v>
      </c>
      <c r="C2834" s="7" t="s">
        <v>8004</v>
      </c>
    </row>
    <row r="2835" customFormat="false" ht="15" hidden="false" customHeight="true" outlineLevel="0" collapsed="false">
      <c r="A2835" s="7" t="s">
        <v>4548</v>
      </c>
      <c r="B2835" s="7" t="s">
        <v>7661</v>
      </c>
      <c r="C2835" s="7" t="s">
        <v>8004</v>
      </c>
    </row>
    <row r="2836" customFormat="false" ht="15" hidden="false" customHeight="true" outlineLevel="0" collapsed="false">
      <c r="A2836" s="7" t="s">
        <v>4548</v>
      </c>
      <c r="B2836" s="7" t="s">
        <v>9412</v>
      </c>
      <c r="C2836" s="7"/>
    </row>
    <row r="2837" customFormat="false" ht="15" hidden="false" customHeight="true" outlineLevel="0" collapsed="false">
      <c r="A2837" s="7" t="s">
        <v>4548</v>
      </c>
      <c r="B2837" s="7" t="s">
        <v>7662</v>
      </c>
      <c r="C2837" s="7" t="s">
        <v>8004</v>
      </c>
    </row>
    <row r="2838" customFormat="false" ht="15" hidden="false" customHeight="true" outlineLevel="0" collapsed="false">
      <c r="A2838" s="7" t="s">
        <v>4548</v>
      </c>
      <c r="B2838" s="7" t="s">
        <v>7660</v>
      </c>
      <c r="C2838" s="7" t="s">
        <v>8004</v>
      </c>
    </row>
    <row r="2839" customFormat="false" ht="15" hidden="false" customHeight="true" outlineLevel="0" collapsed="false">
      <c r="A2839" s="7" t="s">
        <v>4548</v>
      </c>
      <c r="B2839" s="7" t="s">
        <v>9413</v>
      </c>
      <c r="C2839" s="7"/>
    </row>
    <row r="2840" customFormat="false" ht="15" hidden="false" customHeight="true" outlineLevel="0" collapsed="false">
      <c r="A2840" s="7" t="s">
        <v>4548</v>
      </c>
      <c r="B2840" s="7" t="s">
        <v>9414</v>
      </c>
      <c r="C2840" s="7"/>
    </row>
    <row r="2841" customFormat="false" ht="15" hidden="false" customHeight="true" outlineLevel="0" collapsed="false">
      <c r="A2841" s="7" t="s">
        <v>4548</v>
      </c>
      <c r="B2841" s="7" t="s">
        <v>9415</v>
      </c>
      <c r="C2841" s="7"/>
    </row>
    <row r="2842" customFormat="false" ht="15" hidden="false" customHeight="true" outlineLevel="0" collapsed="false">
      <c r="A2842" s="7" t="s">
        <v>4548</v>
      </c>
      <c r="B2842" s="7" t="s">
        <v>9416</v>
      </c>
      <c r="C2842" s="7"/>
    </row>
    <row r="2843" customFormat="false" ht="15" hidden="false" customHeight="true" outlineLevel="0" collapsed="false">
      <c r="A2843" s="7" t="s">
        <v>4548</v>
      </c>
      <c r="B2843" s="7" t="s">
        <v>9417</v>
      </c>
      <c r="C2843" s="7"/>
    </row>
    <row r="2844" customFormat="false" ht="15" hidden="false" customHeight="true" outlineLevel="0" collapsed="false">
      <c r="A2844" s="7" t="s">
        <v>5581</v>
      </c>
      <c r="B2844" s="7" t="s">
        <v>5581</v>
      </c>
      <c r="C2844" s="7" t="s">
        <v>8004</v>
      </c>
    </row>
    <row r="2845" customFormat="false" ht="15" hidden="false" customHeight="true" outlineLevel="0" collapsed="false">
      <c r="A2845" s="7" t="s">
        <v>5581</v>
      </c>
      <c r="B2845" s="7" t="s">
        <v>9418</v>
      </c>
      <c r="C2845" s="7"/>
    </row>
    <row r="2846" customFormat="false" ht="15" hidden="false" customHeight="true" outlineLevel="0" collapsed="false">
      <c r="A2846" s="7" t="s">
        <v>5581</v>
      </c>
      <c r="B2846" s="7" t="s">
        <v>9419</v>
      </c>
      <c r="C2846" s="7"/>
    </row>
    <row r="2847" customFormat="false" ht="15" hidden="false" customHeight="true" outlineLevel="0" collapsed="false">
      <c r="A2847" s="7" t="s">
        <v>5581</v>
      </c>
      <c r="B2847" s="7" t="s">
        <v>9420</v>
      </c>
      <c r="C2847" s="7"/>
    </row>
    <row r="2848" customFormat="false" ht="15" hidden="false" customHeight="true" outlineLevel="0" collapsed="false">
      <c r="A2848" s="7" t="s">
        <v>5581</v>
      </c>
      <c r="B2848" s="7" t="s">
        <v>9421</v>
      </c>
      <c r="C2848" s="7"/>
    </row>
    <row r="2849" customFormat="false" ht="15" hidden="false" customHeight="true" outlineLevel="0" collapsed="false">
      <c r="A2849" s="7" t="s">
        <v>5581</v>
      </c>
      <c r="B2849" s="7" t="s">
        <v>9422</v>
      </c>
      <c r="C2849" s="7"/>
    </row>
    <row r="2850" customFormat="false" ht="15" hidden="false" customHeight="true" outlineLevel="0" collapsed="false">
      <c r="A2850" s="7" t="s">
        <v>5581</v>
      </c>
      <c r="B2850" s="7" t="s">
        <v>9423</v>
      </c>
      <c r="C2850" s="7"/>
    </row>
    <row r="2851" customFormat="false" ht="15" hidden="false" customHeight="true" outlineLevel="0" collapsed="false">
      <c r="A2851" s="7" t="s">
        <v>5581</v>
      </c>
      <c r="B2851" s="7" t="s">
        <v>9424</v>
      </c>
      <c r="C2851" s="7"/>
    </row>
    <row r="2852" customFormat="false" ht="15" hidden="false" customHeight="true" outlineLevel="0" collapsed="false">
      <c r="A2852" s="7" t="s">
        <v>5581</v>
      </c>
      <c r="B2852" s="7" t="s">
        <v>9425</v>
      </c>
      <c r="C2852" s="7"/>
    </row>
    <row r="2853" customFormat="false" ht="15" hidden="false" customHeight="true" outlineLevel="0" collapsed="false">
      <c r="A2853" s="7" t="s">
        <v>5581</v>
      </c>
      <c r="B2853" s="7" t="s">
        <v>9426</v>
      </c>
      <c r="C2853" s="7"/>
    </row>
    <row r="2854" customFormat="false" ht="15" hidden="false" customHeight="true" outlineLevel="0" collapsed="false">
      <c r="A2854" s="7" t="s">
        <v>6614</v>
      </c>
      <c r="B2854" s="7" t="s">
        <v>6614</v>
      </c>
      <c r="C2854" s="7" t="s">
        <v>8004</v>
      </c>
    </row>
    <row r="2855" customFormat="false" ht="15" hidden="false" customHeight="true" outlineLevel="0" collapsed="false">
      <c r="A2855" s="7" t="s">
        <v>6614</v>
      </c>
      <c r="B2855" s="7" t="s">
        <v>9427</v>
      </c>
      <c r="C2855" s="7"/>
    </row>
    <row r="2856" customFormat="false" ht="15" hidden="false" customHeight="true" outlineLevel="0" collapsed="false">
      <c r="A2856" s="7" t="s">
        <v>6614</v>
      </c>
      <c r="B2856" s="7" t="s">
        <v>9428</v>
      </c>
      <c r="C2856" s="7"/>
    </row>
    <row r="2857" customFormat="false" ht="15" hidden="false" customHeight="true" outlineLevel="0" collapsed="false">
      <c r="A2857" s="7" t="s">
        <v>6614</v>
      </c>
      <c r="B2857" s="7" t="s">
        <v>9429</v>
      </c>
      <c r="C2857" s="7"/>
    </row>
    <row r="2858" customFormat="false" ht="15" hidden="false" customHeight="true" outlineLevel="0" collapsed="false">
      <c r="A2858" s="7" t="s">
        <v>6614</v>
      </c>
      <c r="B2858" s="7" t="s">
        <v>9430</v>
      </c>
      <c r="C2858" s="7"/>
    </row>
    <row r="2859" customFormat="false" ht="15" hidden="false" customHeight="true" outlineLevel="0" collapsed="false">
      <c r="A2859" s="7" t="s">
        <v>6614</v>
      </c>
      <c r="B2859" s="7" t="s">
        <v>9431</v>
      </c>
      <c r="C2859" s="7"/>
    </row>
    <row r="2860" customFormat="false" ht="15" hidden="false" customHeight="true" outlineLevel="0" collapsed="false">
      <c r="A2860" s="7" t="s">
        <v>6614</v>
      </c>
      <c r="B2860" s="7" t="s">
        <v>9432</v>
      </c>
      <c r="C2860" s="7"/>
    </row>
    <row r="2861" customFormat="false" ht="15" hidden="false" customHeight="true" outlineLevel="0" collapsed="false">
      <c r="A2861" s="7" t="s">
        <v>5592</v>
      </c>
      <c r="B2861" s="7" t="s">
        <v>9433</v>
      </c>
      <c r="C2861" s="7"/>
    </row>
    <row r="2862" customFormat="false" ht="15" hidden="false" customHeight="true" outlineLevel="0" collapsed="false">
      <c r="A2862" s="7" t="s">
        <v>5592</v>
      </c>
      <c r="B2862" s="7" t="s">
        <v>9434</v>
      </c>
      <c r="C2862" s="7"/>
    </row>
    <row r="2863" customFormat="false" ht="15" hidden="false" customHeight="true" outlineLevel="0" collapsed="false">
      <c r="A2863" s="7" t="s">
        <v>5592</v>
      </c>
      <c r="B2863" s="7" t="s">
        <v>9435</v>
      </c>
      <c r="C2863" s="7"/>
    </row>
    <row r="2864" customFormat="false" ht="15" hidden="false" customHeight="true" outlineLevel="0" collapsed="false">
      <c r="A2864" s="7" t="s">
        <v>5592</v>
      </c>
      <c r="B2864" s="7" t="s">
        <v>9436</v>
      </c>
      <c r="C2864" s="7"/>
    </row>
    <row r="2865" customFormat="false" ht="15" hidden="false" customHeight="true" outlineLevel="0" collapsed="false">
      <c r="A2865" s="7" t="s">
        <v>5592</v>
      </c>
      <c r="B2865" s="7" t="s">
        <v>9437</v>
      </c>
      <c r="C2865" s="7"/>
    </row>
    <row r="2866" customFormat="false" ht="15" hidden="false" customHeight="true" outlineLevel="0" collapsed="false">
      <c r="A2866" s="7" t="s">
        <v>5603</v>
      </c>
      <c r="B2866" s="7" t="s">
        <v>9438</v>
      </c>
      <c r="C2866" s="7"/>
    </row>
    <row r="2867" customFormat="false" ht="15" hidden="false" customHeight="true" outlineLevel="0" collapsed="false">
      <c r="A2867" s="7" t="s">
        <v>5603</v>
      </c>
      <c r="B2867" s="7" t="s">
        <v>9439</v>
      </c>
      <c r="C2867" s="7"/>
    </row>
    <row r="2868" customFormat="false" ht="15" hidden="false" customHeight="true" outlineLevel="0" collapsed="false">
      <c r="A2868" s="7" t="s">
        <v>5603</v>
      </c>
      <c r="B2868" s="7" t="s">
        <v>9440</v>
      </c>
      <c r="C2868" s="7"/>
    </row>
    <row r="2869" customFormat="false" ht="15" hidden="false" customHeight="true" outlineLevel="0" collapsed="false">
      <c r="A2869" s="7" t="s">
        <v>5603</v>
      </c>
      <c r="B2869" s="7" t="s">
        <v>9441</v>
      </c>
      <c r="C2869" s="7"/>
    </row>
    <row r="2870" customFormat="false" ht="15" hidden="false" customHeight="true" outlineLevel="0" collapsed="false">
      <c r="A2870" s="7" t="s">
        <v>5603</v>
      </c>
      <c r="B2870" s="7" t="s">
        <v>9442</v>
      </c>
      <c r="C2870" s="7"/>
    </row>
    <row r="2871" customFormat="false" ht="15" hidden="false" customHeight="true" outlineLevel="0" collapsed="false">
      <c r="A2871" s="7" t="s">
        <v>5603</v>
      </c>
      <c r="B2871" s="7" t="s">
        <v>9443</v>
      </c>
      <c r="C2871" s="7"/>
    </row>
    <row r="2872" customFormat="false" ht="15" hidden="false" customHeight="true" outlineLevel="0" collapsed="false">
      <c r="A2872" s="7" t="s">
        <v>5614</v>
      </c>
      <c r="B2872" s="7" t="s">
        <v>5614</v>
      </c>
      <c r="C2872" s="7" t="s">
        <v>8004</v>
      </c>
    </row>
    <row r="2873" customFormat="false" ht="15" hidden="false" customHeight="true" outlineLevel="0" collapsed="false">
      <c r="A2873" s="7" t="s">
        <v>5614</v>
      </c>
      <c r="B2873" s="7" t="s">
        <v>5618</v>
      </c>
      <c r="C2873" s="7" t="s">
        <v>8004</v>
      </c>
    </row>
    <row r="2874" customFormat="false" ht="15" hidden="false" customHeight="true" outlineLevel="0" collapsed="false">
      <c r="A2874" s="7" t="s">
        <v>5614</v>
      </c>
      <c r="B2874" s="7" t="s">
        <v>7668</v>
      </c>
      <c r="C2874" s="7" t="s">
        <v>8004</v>
      </c>
    </row>
    <row r="2875" customFormat="false" ht="15" hidden="false" customHeight="true" outlineLevel="0" collapsed="false">
      <c r="A2875" s="7" t="s">
        <v>5614</v>
      </c>
      <c r="B2875" s="7" t="s">
        <v>9444</v>
      </c>
      <c r="C2875" s="7"/>
    </row>
    <row r="2876" customFormat="false" ht="15" hidden="false" customHeight="true" outlineLevel="0" collapsed="false">
      <c r="A2876" s="7" t="s">
        <v>5614</v>
      </c>
      <c r="B2876" s="7" t="s">
        <v>7665</v>
      </c>
      <c r="C2876" s="7" t="s">
        <v>8004</v>
      </c>
    </row>
    <row r="2877" customFormat="false" ht="15" hidden="false" customHeight="true" outlineLevel="0" collapsed="false">
      <c r="A2877" s="7" t="s">
        <v>5614</v>
      </c>
      <c r="B2877" s="7" t="s">
        <v>7667</v>
      </c>
      <c r="C2877" s="7" t="s">
        <v>8004</v>
      </c>
    </row>
    <row r="2878" customFormat="false" ht="15" hidden="false" customHeight="true" outlineLevel="0" collapsed="false">
      <c r="A2878" s="7" t="s">
        <v>5614</v>
      </c>
      <c r="B2878" s="7" t="s">
        <v>7666</v>
      </c>
      <c r="C2878" s="7" t="s">
        <v>8004</v>
      </c>
    </row>
    <row r="2879" customFormat="false" ht="15" hidden="false" customHeight="true" outlineLevel="0" collapsed="false">
      <c r="A2879" s="7" t="s">
        <v>5614</v>
      </c>
      <c r="B2879" s="7" t="s">
        <v>9445</v>
      </c>
      <c r="C2879" s="7"/>
    </row>
    <row r="2880" customFormat="false" ht="15" hidden="false" customHeight="true" outlineLevel="0" collapsed="false">
      <c r="A2880" s="7" t="s">
        <v>5614</v>
      </c>
      <c r="B2880" s="7" t="s">
        <v>9446</v>
      </c>
      <c r="C2880" s="7"/>
    </row>
    <row r="2881" customFormat="false" ht="15" hidden="false" customHeight="true" outlineLevel="0" collapsed="false">
      <c r="A2881" s="7" t="s">
        <v>5614</v>
      </c>
      <c r="B2881" s="7" t="s">
        <v>9447</v>
      </c>
      <c r="C2881" s="7"/>
    </row>
    <row r="2882" customFormat="false" ht="15" hidden="false" customHeight="true" outlineLevel="0" collapsed="false">
      <c r="A2882" s="7" t="s">
        <v>5637</v>
      </c>
      <c r="B2882" s="7" t="s">
        <v>5637</v>
      </c>
      <c r="C2882" s="7" t="s">
        <v>8004</v>
      </c>
    </row>
    <row r="2883" customFormat="false" ht="15" hidden="false" customHeight="true" outlineLevel="0" collapsed="false">
      <c r="A2883" s="7" t="s">
        <v>5637</v>
      </c>
      <c r="B2883" s="7" t="s">
        <v>7669</v>
      </c>
      <c r="C2883" s="7" t="s">
        <v>8004</v>
      </c>
    </row>
    <row r="2884" customFormat="false" ht="15" hidden="false" customHeight="true" outlineLevel="0" collapsed="false">
      <c r="A2884" s="7" t="s">
        <v>5637</v>
      </c>
      <c r="B2884" s="7" t="s">
        <v>5641</v>
      </c>
      <c r="C2884" s="7" t="s">
        <v>8004</v>
      </c>
    </row>
    <row r="2885" customFormat="false" ht="15" hidden="false" customHeight="true" outlineLevel="0" collapsed="false">
      <c r="A2885" s="7" t="s">
        <v>5637</v>
      </c>
      <c r="B2885" s="7" t="s">
        <v>7670</v>
      </c>
      <c r="C2885" s="7" t="s">
        <v>8004</v>
      </c>
    </row>
    <row r="2886" customFormat="false" ht="15" hidden="false" customHeight="true" outlineLevel="0" collapsed="false">
      <c r="A2886" s="7" t="s">
        <v>5637</v>
      </c>
      <c r="B2886" s="7" t="s">
        <v>9448</v>
      </c>
      <c r="C2886" s="7"/>
    </row>
    <row r="2887" customFormat="false" ht="15" hidden="false" customHeight="true" outlineLevel="0" collapsed="false">
      <c r="A2887" s="7" t="s">
        <v>5637</v>
      </c>
      <c r="B2887" s="7" t="s">
        <v>9449</v>
      </c>
      <c r="C2887" s="7"/>
    </row>
    <row r="2888" customFormat="false" ht="15" hidden="false" customHeight="true" outlineLevel="0" collapsed="false">
      <c r="A2888" s="7" t="s">
        <v>5637</v>
      </c>
      <c r="B2888" s="7" t="s">
        <v>9450</v>
      </c>
      <c r="C2888" s="7"/>
    </row>
    <row r="2889" customFormat="false" ht="15" hidden="false" customHeight="true" outlineLevel="0" collapsed="false">
      <c r="A2889" s="7" t="s">
        <v>5637</v>
      </c>
      <c r="B2889" s="7" t="s">
        <v>9451</v>
      </c>
      <c r="C2889" s="7"/>
    </row>
    <row r="2890" customFormat="false" ht="15" hidden="false" customHeight="true" outlineLevel="0" collapsed="false">
      <c r="A2890" s="7" t="s">
        <v>6617</v>
      </c>
      <c r="B2890" s="7" t="s">
        <v>6617</v>
      </c>
      <c r="C2890" s="7" t="s">
        <v>8004</v>
      </c>
    </row>
    <row r="2891" customFormat="false" ht="15" hidden="false" customHeight="true" outlineLevel="0" collapsed="false">
      <c r="A2891" s="7" t="s">
        <v>6617</v>
      </c>
      <c r="B2891" s="7" t="s">
        <v>9452</v>
      </c>
      <c r="C2891" s="7"/>
    </row>
    <row r="2892" customFormat="false" ht="15" hidden="false" customHeight="true" outlineLevel="0" collapsed="false">
      <c r="A2892" s="7" t="s">
        <v>6617</v>
      </c>
      <c r="B2892" s="7" t="s">
        <v>5665</v>
      </c>
      <c r="C2892" s="7" t="s">
        <v>8004</v>
      </c>
    </row>
    <row r="2893" customFormat="false" ht="15" hidden="false" customHeight="true" outlineLevel="0" collapsed="false">
      <c r="A2893" s="7" t="s">
        <v>6617</v>
      </c>
      <c r="B2893" s="7" t="s">
        <v>7670</v>
      </c>
      <c r="C2893" s="7" t="s">
        <v>8004</v>
      </c>
    </row>
    <row r="2894" customFormat="false" ht="15" hidden="false" customHeight="true" outlineLevel="0" collapsed="false">
      <c r="A2894" s="7" t="s">
        <v>6617</v>
      </c>
      <c r="B2894" s="7" t="s">
        <v>9453</v>
      </c>
      <c r="C2894" s="7"/>
    </row>
    <row r="2895" customFormat="false" ht="15" hidden="false" customHeight="true" outlineLevel="0" collapsed="false">
      <c r="A2895" s="7" t="s">
        <v>6617</v>
      </c>
      <c r="B2895" s="7" t="s">
        <v>9454</v>
      </c>
      <c r="C2895" s="7"/>
    </row>
    <row r="2896" customFormat="false" ht="15" hidden="false" customHeight="true" outlineLevel="0" collapsed="false">
      <c r="A2896" s="7" t="s">
        <v>6617</v>
      </c>
      <c r="B2896" s="7" t="s">
        <v>7671</v>
      </c>
      <c r="C2896" s="7" t="s">
        <v>8004</v>
      </c>
    </row>
    <row r="2897" customFormat="false" ht="15" hidden="false" customHeight="true" outlineLevel="0" collapsed="false">
      <c r="A2897" s="7" t="s">
        <v>6617</v>
      </c>
      <c r="B2897" s="7" t="s">
        <v>9455</v>
      </c>
      <c r="C2897" s="7"/>
    </row>
    <row r="2898" customFormat="false" ht="15" hidden="false" customHeight="true" outlineLevel="0" collapsed="false">
      <c r="A2898" s="7" t="s">
        <v>6617</v>
      </c>
      <c r="B2898" s="7" t="s">
        <v>9456</v>
      </c>
      <c r="C2898" s="7"/>
    </row>
    <row r="2899" customFormat="false" ht="15" hidden="false" customHeight="true" outlineLevel="0" collapsed="false">
      <c r="A2899" s="7" t="s">
        <v>6617</v>
      </c>
      <c r="B2899" s="7" t="s">
        <v>9457</v>
      </c>
      <c r="C2899" s="7"/>
    </row>
    <row r="2900" customFormat="false" ht="15" hidden="false" customHeight="true" outlineLevel="0" collapsed="false">
      <c r="A2900" s="7" t="s">
        <v>5649</v>
      </c>
      <c r="B2900" s="7" t="s">
        <v>5649</v>
      </c>
      <c r="C2900" s="7" t="s">
        <v>8004</v>
      </c>
    </row>
    <row r="2901" customFormat="false" ht="15" hidden="false" customHeight="true" outlineLevel="0" collapsed="false">
      <c r="A2901" s="7" t="s">
        <v>5649</v>
      </c>
      <c r="B2901" s="7" t="s">
        <v>5653</v>
      </c>
      <c r="C2901" s="7" t="s">
        <v>8004</v>
      </c>
    </row>
    <row r="2902" customFormat="false" ht="15" hidden="false" customHeight="true" outlineLevel="0" collapsed="false">
      <c r="A2902" s="7" t="s">
        <v>5649</v>
      </c>
      <c r="B2902" s="7" t="s">
        <v>7671</v>
      </c>
      <c r="C2902" s="7" t="s">
        <v>8004</v>
      </c>
    </row>
    <row r="2903" customFormat="false" ht="15" hidden="false" customHeight="true" outlineLevel="0" collapsed="false">
      <c r="A2903" s="7" t="s">
        <v>5649</v>
      </c>
      <c r="B2903" s="7" t="s">
        <v>9458</v>
      </c>
      <c r="C2903" s="7"/>
    </row>
    <row r="2904" customFormat="false" ht="15" hidden="false" customHeight="true" outlineLevel="0" collapsed="false">
      <c r="A2904" s="7" t="s">
        <v>5660</v>
      </c>
      <c r="B2904" s="7" t="s">
        <v>5660</v>
      </c>
      <c r="C2904" s="7" t="s">
        <v>8004</v>
      </c>
    </row>
    <row r="2905" customFormat="false" ht="15" hidden="false" customHeight="true" outlineLevel="0" collapsed="false">
      <c r="A2905" s="7" t="s">
        <v>5660</v>
      </c>
      <c r="B2905" s="7" t="s">
        <v>5665</v>
      </c>
      <c r="C2905" s="7" t="s">
        <v>8004</v>
      </c>
    </row>
    <row r="2906" customFormat="false" ht="15" hidden="false" customHeight="true" outlineLevel="0" collapsed="false">
      <c r="A2906" s="7" t="s">
        <v>5660</v>
      </c>
      <c r="B2906" s="7" t="s">
        <v>9459</v>
      </c>
      <c r="C2906" s="7"/>
    </row>
    <row r="2907" customFormat="false" ht="15" hidden="false" customHeight="true" outlineLevel="0" collapsed="false">
      <c r="A2907" s="7" t="s">
        <v>5672</v>
      </c>
      <c r="B2907" s="7" t="s">
        <v>5672</v>
      </c>
      <c r="C2907" s="7" t="s">
        <v>8004</v>
      </c>
    </row>
    <row r="2908" customFormat="false" ht="15" hidden="false" customHeight="true" outlineLevel="0" collapsed="false">
      <c r="A2908" s="7" t="s">
        <v>5672</v>
      </c>
      <c r="B2908" s="7" t="s">
        <v>9460</v>
      </c>
      <c r="C2908" s="7"/>
    </row>
    <row r="2909" customFormat="false" ht="15" hidden="false" customHeight="true" outlineLevel="0" collapsed="false">
      <c r="A2909" s="7" t="s">
        <v>5672</v>
      </c>
      <c r="B2909" s="7" t="s">
        <v>7677</v>
      </c>
      <c r="C2909" s="7" t="s">
        <v>8004</v>
      </c>
    </row>
    <row r="2910" customFormat="false" ht="15" hidden="false" customHeight="true" outlineLevel="0" collapsed="false">
      <c r="A2910" s="7" t="s">
        <v>5672</v>
      </c>
      <c r="B2910" s="7" t="s">
        <v>5676</v>
      </c>
      <c r="C2910" s="7" t="s">
        <v>8004</v>
      </c>
    </row>
    <row r="2911" customFormat="false" ht="15" hidden="false" customHeight="true" outlineLevel="0" collapsed="false">
      <c r="A2911" s="7" t="s">
        <v>5672</v>
      </c>
      <c r="B2911" s="7" t="s">
        <v>7678</v>
      </c>
      <c r="C2911" s="7" t="s">
        <v>8004</v>
      </c>
    </row>
    <row r="2912" customFormat="false" ht="15" hidden="false" customHeight="true" outlineLevel="0" collapsed="false">
      <c r="A2912" s="7" t="s">
        <v>5672</v>
      </c>
      <c r="B2912" s="7" t="s">
        <v>7676</v>
      </c>
      <c r="C2912" s="7" t="s">
        <v>8004</v>
      </c>
    </row>
    <row r="2913" customFormat="false" ht="15" hidden="false" customHeight="true" outlineLevel="0" collapsed="false">
      <c r="A2913" s="7" t="s">
        <v>5672</v>
      </c>
      <c r="B2913" s="7" t="s">
        <v>9461</v>
      </c>
      <c r="C2913" s="7"/>
    </row>
    <row r="2914" customFormat="false" ht="15" hidden="false" customHeight="true" outlineLevel="0" collapsed="false">
      <c r="A2914" s="7" t="s">
        <v>5672</v>
      </c>
      <c r="B2914" s="7" t="s">
        <v>7675</v>
      </c>
      <c r="C2914" s="7" t="s">
        <v>8004</v>
      </c>
    </row>
    <row r="2915" customFormat="false" ht="15" hidden="false" customHeight="true" outlineLevel="0" collapsed="false">
      <c r="A2915" s="7" t="s">
        <v>5672</v>
      </c>
      <c r="B2915" s="7" t="s">
        <v>7674</v>
      </c>
      <c r="C2915" s="7" t="s">
        <v>8004</v>
      </c>
    </row>
    <row r="2916" customFormat="false" ht="15" hidden="false" customHeight="true" outlineLevel="0" collapsed="false">
      <c r="A2916" s="7" t="s">
        <v>5672</v>
      </c>
      <c r="B2916" s="7" t="s">
        <v>9462</v>
      </c>
      <c r="C2916" s="7"/>
    </row>
    <row r="2917" customFormat="false" ht="15" hidden="false" customHeight="true" outlineLevel="0" collapsed="false">
      <c r="A2917" s="7" t="s">
        <v>6619</v>
      </c>
      <c r="B2917" s="7" t="s">
        <v>6619</v>
      </c>
      <c r="C2917" s="7" t="s">
        <v>8004</v>
      </c>
    </row>
    <row r="2918" customFormat="false" ht="15" hidden="false" customHeight="true" outlineLevel="0" collapsed="false">
      <c r="A2918" s="7" t="s">
        <v>6619</v>
      </c>
      <c r="B2918" s="7" t="s">
        <v>9463</v>
      </c>
      <c r="C2918" s="7"/>
    </row>
    <row r="2919" customFormat="false" ht="15" hidden="false" customHeight="true" outlineLevel="0" collapsed="false">
      <c r="A2919" s="7" t="s">
        <v>6619</v>
      </c>
      <c r="B2919" s="7" t="s">
        <v>9464</v>
      </c>
      <c r="C2919" s="7"/>
    </row>
    <row r="2920" customFormat="false" ht="15" hidden="false" customHeight="true" outlineLevel="0" collapsed="false">
      <c r="A2920" s="7" t="s">
        <v>6619</v>
      </c>
      <c r="B2920" s="7" t="s">
        <v>9465</v>
      </c>
      <c r="C2920" s="7"/>
    </row>
    <row r="2921" customFormat="false" ht="15" hidden="false" customHeight="true" outlineLevel="0" collapsed="false">
      <c r="A2921" s="7" t="s">
        <v>6619</v>
      </c>
      <c r="B2921" s="7" t="s">
        <v>9466</v>
      </c>
      <c r="C2921" s="7"/>
    </row>
    <row r="2922" customFormat="false" ht="15" hidden="false" customHeight="true" outlineLevel="0" collapsed="false">
      <c r="A2922" s="7" t="s">
        <v>6619</v>
      </c>
      <c r="B2922" s="7" t="s">
        <v>9467</v>
      </c>
      <c r="C2922" s="7"/>
    </row>
    <row r="2923" customFormat="false" ht="15" hidden="false" customHeight="true" outlineLevel="0" collapsed="false">
      <c r="A2923" s="7" t="s">
        <v>6619</v>
      </c>
      <c r="B2923" s="7" t="s">
        <v>9468</v>
      </c>
      <c r="C2923" s="7"/>
    </row>
    <row r="2924" customFormat="false" ht="15" hidden="false" customHeight="true" outlineLevel="0" collapsed="false">
      <c r="A2924" s="7" t="s">
        <v>6619</v>
      </c>
      <c r="B2924" s="7" t="s">
        <v>9469</v>
      </c>
      <c r="C2924" s="7"/>
    </row>
    <row r="2925" customFormat="false" ht="15" hidden="false" customHeight="true" outlineLevel="0" collapsed="false">
      <c r="A2925" s="7" t="s">
        <v>6619</v>
      </c>
      <c r="B2925" s="7" t="s">
        <v>9470</v>
      </c>
      <c r="C2925" s="7"/>
    </row>
    <row r="2926" customFormat="false" ht="15" hidden="false" customHeight="true" outlineLevel="0" collapsed="false">
      <c r="A2926" s="7" t="s">
        <v>6619</v>
      </c>
      <c r="B2926" s="7" t="s">
        <v>9471</v>
      </c>
      <c r="C2926" s="7"/>
    </row>
    <row r="2927" customFormat="false" ht="15" hidden="false" customHeight="true" outlineLevel="0" collapsed="false">
      <c r="A2927" s="7" t="s">
        <v>6620</v>
      </c>
      <c r="B2927" s="7" t="s">
        <v>6620</v>
      </c>
      <c r="C2927" s="7" t="s">
        <v>8004</v>
      </c>
    </row>
    <row r="2928" customFormat="false" ht="15" hidden="false" customHeight="true" outlineLevel="0" collapsed="false">
      <c r="A2928" s="7" t="s">
        <v>6620</v>
      </c>
      <c r="B2928" s="7" t="s">
        <v>9472</v>
      </c>
      <c r="C2928" s="7"/>
    </row>
    <row r="2929" customFormat="false" ht="15" hidden="false" customHeight="true" outlineLevel="0" collapsed="false">
      <c r="A2929" s="7" t="s">
        <v>6620</v>
      </c>
      <c r="B2929" s="7" t="s">
        <v>9473</v>
      </c>
      <c r="C2929" s="7"/>
    </row>
    <row r="2930" customFormat="false" ht="15" hidden="false" customHeight="true" outlineLevel="0" collapsed="false">
      <c r="A2930" s="7" t="s">
        <v>6620</v>
      </c>
      <c r="B2930" s="7" t="s">
        <v>9474</v>
      </c>
      <c r="C2930" s="7"/>
    </row>
    <row r="2931" customFormat="false" ht="15" hidden="false" customHeight="true" outlineLevel="0" collapsed="false">
      <c r="A2931" s="7" t="s">
        <v>6620</v>
      </c>
      <c r="B2931" s="7" t="s">
        <v>9475</v>
      </c>
      <c r="C2931" s="7"/>
    </row>
    <row r="2932" customFormat="false" ht="15" hidden="false" customHeight="true" outlineLevel="0" collapsed="false">
      <c r="A2932" s="7" t="s">
        <v>6620</v>
      </c>
      <c r="B2932" s="7" t="s">
        <v>9476</v>
      </c>
      <c r="C2932" s="7"/>
    </row>
    <row r="2933" customFormat="false" ht="15" hidden="false" customHeight="true" outlineLevel="0" collapsed="false">
      <c r="A2933" s="7" t="s">
        <v>6620</v>
      </c>
      <c r="B2933" s="7" t="s">
        <v>9477</v>
      </c>
      <c r="C2933" s="7"/>
    </row>
    <row r="2934" customFormat="false" ht="15" hidden="false" customHeight="true" outlineLevel="0" collapsed="false">
      <c r="A2934" s="7" t="s">
        <v>6620</v>
      </c>
      <c r="B2934" s="7" t="s">
        <v>9478</v>
      </c>
      <c r="C2934" s="7"/>
    </row>
    <row r="2935" customFormat="false" ht="15" hidden="false" customHeight="true" outlineLevel="0" collapsed="false">
      <c r="A2935" s="7" t="s">
        <v>6620</v>
      </c>
      <c r="B2935" s="7" t="s">
        <v>9479</v>
      </c>
      <c r="C2935" s="7"/>
    </row>
    <row r="2936" customFormat="false" ht="15" hidden="false" customHeight="true" outlineLevel="0" collapsed="false">
      <c r="A2936" s="7" t="s">
        <v>6620</v>
      </c>
      <c r="B2936" s="7" t="s">
        <v>9480</v>
      </c>
      <c r="C2936" s="7"/>
    </row>
    <row r="2937" customFormat="false" ht="15" hidden="false" customHeight="true" outlineLevel="0" collapsed="false">
      <c r="A2937" s="7" t="s">
        <v>5685</v>
      </c>
      <c r="B2937" s="7" t="s">
        <v>5685</v>
      </c>
      <c r="C2937" s="7" t="s">
        <v>8004</v>
      </c>
    </row>
    <row r="2938" customFormat="false" ht="15" hidden="false" customHeight="true" outlineLevel="0" collapsed="false">
      <c r="A2938" s="7" t="s">
        <v>5685</v>
      </c>
      <c r="B2938" s="7" t="s">
        <v>7681</v>
      </c>
      <c r="C2938" s="7" t="s">
        <v>8004</v>
      </c>
    </row>
    <row r="2939" customFormat="false" ht="15" hidden="false" customHeight="true" outlineLevel="0" collapsed="false">
      <c r="A2939" s="7" t="s">
        <v>5685</v>
      </c>
      <c r="B2939" s="7" t="s">
        <v>9481</v>
      </c>
      <c r="C2939" s="7"/>
    </row>
    <row r="2940" customFormat="false" ht="15" hidden="false" customHeight="true" outlineLevel="0" collapsed="false">
      <c r="A2940" s="7" t="s">
        <v>5685</v>
      </c>
      <c r="B2940" s="7" t="s">
        <v>9482</v>
      </c>
      <c r="C2940" s="7"/>
    </row>
    <row r="2941" customFormat="false" ht="15" hidden="false" customHeight="true" outlineLevel="0" collapsed="false">
      <c r="A2941" s="7" t="s">
        <v>5685</v>
      </c>
      <c r="B2941" s="7" t="s">
        <v>5689</v>
      </c>
      <c r="C2941" s="7" t="s">
        <v>8004</v>
      </c>
    </row>
    <row r="2942" customFormat="false" ht="15" hidden="false" customHeight="true" outlineLevel="0" collapsed="false">
      <c r="A2942" s="7" t="s">
        <v>5685</v>
      </c>
      <c r="B2942" s="7" t="s">
        <v>7679</v>
      </c>
      <c r="C2942" s="7" t="s">
        <v>8004</v>
      </c>
    </row>
    <row r="2943" customFormat="false" ht="15" hidden="false" customHeight="true" outlineLevel="0" collapsed="false">
      <c r="A2943" s="7" t="s">
        <v>5685</v>
      </c>
      <c r="B2943" s="7" t="s">
        <v>9483</v>
      </c>
      <c r="C2943" s="7"/>
    </row>
    <row r="2944" customFormat="false" ht="15" hidden="false" customHeight="true" outlineLevel="0" collapsed="false">
      <c r="A2944" s="7" t="s">
        <v>5685</v>
      </c>
      <c r="B2944" s="7" t="s">
        <v>9484</v>
      </c>
      <c r="C2944" s="7"/>
    </row>
    <row r="2945" customFormat="false" ht="15" hidden="false" customHeight="true" outlineLevel="0" collapsed="false">
      <c r="A2945" s="7" t="s">
        <v>5685</v>
      </c>
      <c r="B2945" s="7" t="s">
        <v>7682</v>
      </c>
      <c r="C2945" s="7" t="s">
        <v>8004</v>
      </c>
    </row>
    <row r="2946" customFormat="false" ht="15" hidden="false" customHeight="true" outlineLevel="0" collapsed="false">
      <c r="A2946" s="7" t="s">
        <v>5685</v>
      </c>
      <c r="B2946" s="7" t="s">
        <v>7680</v>
      </c>
      <c r="C2946" s="7" t="s">
        <v>8004</v>
      </c>
    </row>
    <row r="2947" customFormat="false" ht="15" hidden="false" customHeight="true" outlineLevel="0" collapsed="false">
      <c r="A2947" s="7" t="s">
        <v>5698</v>
      </c>
      <c r="B2947" s="7" t="s">
        <v>5698</v>
      </c>
      <c r="C2947" s="7" t="s">
        <v>8004</v>
      </c>
    </row>
    <row r="2948" customFormat="false" ht="15" hidden="false" customHeight="true" outlineLevel="0" collapsed="false">
      <c r="A2948" s="7" t="s">
        <v>5698</v>
      </c>
      <c r="B2948" s="7" t="s">
        <v>7684</v>
      </c>
      <c r="C2948" s="7" t="s">
        <v>8004</v>
      </c>
    </row>
    <row r="2949" customFormat="false" ht="15" hidden="false" customHeight="true" outlineLevel="0" collapsed="false">
      <c r="A2949" s="7" t="s">
        <v>5698</v>
      </c>
      <c r="B2949" s="7" t="s">
        <v>7685</v>
      </c>
      <c r="C2949" s="7" t="s">
        <v>8004</v>
      </c>
    </row>
    <row r="2950" customFormat="false" ht="15" hidden="false" customHeight="true" outlineLevel="0" collapsed="false">
      <c r="A2950" s="7" t="s">
        <v>5698</v>
      </c>
      <c r="B2950" s="7" t="s">
        <v>7686</v>
      </c>
      <c r="C2950" s="7" t="s">
        <v>8004</v>
      </c>
    </row>
    <row r="2951" customFormat="false" ht="15" hidden="false" customHeight="true" outlineLevel="0" collapsed="false">
      <c r="A2951" s="7" t="s">
        <v>5698</v>
      </c>
      <c r="B2951" s="7" t="s">
        <v>5702</v>
      </c>
      <c r="C2951" s="7" t="s">
        <v>8004</v>
      </c>
    </row>
    <row r="2952" customFormat="false" ht="15" hidden="false" customHeight="true" outlineLevel="0" collapsed="false">
      <c r="A2952" s="7" t="s">
        <v>5698</v>
      </c>
      <c r="B2952" s="7" t="s">
        <v>7683</v>
      </c>
      <c r="C2952" s="7" t="s">
        <v>8004</v>
      </c>
    </row>
    <row r="2953" customFormat="false" ht="15" hidden="false" customHeight="true" outlineLevel="0" collapsed="false">
      <c r="A2953" s="7" t="s">
        <v>5698</v>
      </c>
      <c r="B2953" s="7" t="s">
        <v>9485</v>
      </c>
      <c r="C2953" s="7"/>
    </row>
    <row r="2954" customFormat="false" ht="15" hidden="false" customHeight="true" outlineLevel="0" collapsed="false">
      <c r="A2954" s="7" t="s">
        <v>5698</v>
      </c>
      <c r="B2954" s="7" t="s">
        <v>9486</v>
      </c>
      <c r="C2954" s="7"/>
    </row>
    <row r="2955" customFormat="false" ht="15" hidden="false" customHeight="true" outlineLevel="0" collapsed="false">
      <c r="A2955" s="7" t="s">
        <v>5698</v>
      </c>
      <c r="B2955" s="7" t="s">
        <v>7688</v>
      </c>
      <c r="C2955" s="7" t="s">
        <v>8004</v>
      </c>
    </row>
    <row r="2956" customFormat="false" ht="15" hidden="false" customHeight="true" outlineLevel="0" collapsed="false">
      <c r="A2956" s="7" t="s">
        <v>5698</v>
      </c>
      <c r="B2956" s="7" t="s">
        <v>9487</v>
      </c>
      <c r="C2956" s="7"/>
    </row>
    <row r="2957" customFormat="false" ht="15" hidden="false" customHeight="true" outlineLevel="0" collapsed="false">
      <c r="A2957" s="7" t="s">
        <v>5710</v>
      </c>
      <c r="B2957" s="7" t="s">
        <v>5710</v>
      </c>
      <c r="C2957" s="7" t="s">
        <v>8004</v>
      </c>
    </row>
    <row r="2958" customFormat="false" ht="15" hidden="false" customHeight="true" outlineLevel="0" collapsed="false">
      <c r="A2958" s="7" t="s">
        <v>5710</v>
      </c>
      <c r="B2958" s="7" t="s">
        <v>5715</v>
      </c>
      <c r="C2958" s="7" t="s">
        <v>8004</v>
      </c>
    </row>
    <row r="2959" customFormat="false" ht="15" hidden="false" customHeight="true" outlineLevel="0" collapsed="false">
      <c r="A2959" s="7" t="s">
        <v>5710</v>
      </c>
      <c r="B2959" s="7" t="s">
        <v>9488</v>
      </c>
      <c r="C2959" s="7"/>
    </row>
    <row r="2960" customFormat="false" ht="15" hidden="false" customHeight="true" outlineLevel="0" collapsed="false">
      <c r="A2960" s="7" t="s">
        <v>5710</v>
      </c>
      <c r="B2960" s="7" t="s">
        <v>9489</v>
      </c>
      <c r="C2960" s="7"/>
    </row>
    <row r="2961" customFormat="false" ht="15" hidden="false" customHeight="true" outlineLevel="0" collapsed="false">
      <c r="A2961" s="7" t="s">
        <v>5710</v>
      </c>
      <c r="B2961" s="7" t="s">
        <v>9490</v>
      </c>
      <c r="C2961" s="7"/>
    </row>
    <row r="2962" customFormat="false" ht="15" hidden="false" customHeight="true" outlineLevel="0" collapsed="false">
      <c r="A2962" s="7" t="s">
        <v>5710</v>
      </c>
      <c r="B2962" s="7" t="s">
        <v>9491</v>
      </c>
      <c r="C2962" s="7"/>
    </row>
    <row r="2963" customFormat="false" ht="15" hidden="false" customHeight="true" outlineLevel="0" collapsed="false">
      <c r="A2963" s="7" t="s">
        <v>5710</v>
      </c>
      <c r="B2963" s="7" t="s">
        <v>9492</v>
      </c>
      <c r="C2963" s="7"/>
    </row>
    <row r="2964" customFormat="false" ht="15" hidden="false" customHeight="true" outlineLevel="0" collapsed="false">
      <c r="A2964" s="7" t="s">
        <v>5710</v>
      </c>
      <c r="B2964" s="7" t="s">
        <v>9493</v>
      </c>
      <c r="C2964" s="7"/>
    </row>
    <row r="2965" customFormat="false" ht="15" hidden="false" customHeight="true" outlineLevel="0" collapsed="false">
      <c r="A2965" s="7" t="s">
        <v>5710</v>
      </c>
      <c r="B2965" s="7" t="s">
        <v>9494</v>
      </c>
      <c r="C2965" s="7"/>
    </row>
    <row r="2966" customFormat="false" ht="15" hidden="false" customHeight="true" outlineLevel="0" collapsed="false">
      <c r="A2966" s="7" t="s">
        <v>5710</v>
      </c>
      <c r="B2966" s="7" t="s">
        <v>9495</v>
      </c>
      <c r="C2966" s="7"/>
    </row>
    <row r="2967" customFormat="false" ht="15" hidden="false" customHeight="true" outlineLevel="0" collapsed="false">
      <c r="A2967" s="7" t="s">
        <v>5721</v>
      </c>
      <c r="B2967" s="7" t="s">
        <v>7687</v>
      </c>
      <c r="C2967" s="7" t="s">
        <v>8004</v>
      </c>
    </row>
    <row r="2968" customFormat="false" ht="15" hidden="false" customHeight="true" outlineLevel="0" collapsed="false">
      <c r="A2968" s="7" t="s">
        <v>5721</v>
      </c>
      <c r="B2968" s="7" t="s">
        <v>7708</v>
      </c>
      <c r="C2968" s="7" t="s">
        <v>8004</v>
      </c>
    </row>
    <row r="2969" customFormat="false" ht="15" hidden="false" customHeight="true" outlineLevel="0" collapsed="false">
      <c r="A2969" s="7" t="s">
        <v>5721</v>
      </c>
      <c r="B2969" s="7" t="s">
        <v>9496</v>
      </c>
      <c r="C2969" s="7"/>
    </row>
    <row r="2970" customFormat="false" ht="15" hidden="false" customHeight="true" outlineLevel="0" collapsed="false">
      <c r="A2970" s="7" t="s">
        <v>5721</v>
      </c>
      <c r="B2970" s="7" t="s">
        <v>9285</v>
      </c>
      <c r="C2970" s="7"/>
    </row>
    <row r="2971" customFormat="false" ht="15" hidden="false" customHeight="true" outlineLevel="0" collapsed="false">
      <c r="A2971" s="7" t="s">
        <v>5721</v>
      </c>
      <c r="B2971" s="7" t="s">
        <v>9497</v>
      </c>
      <c r="C2971" s="7"/>
    </row>
    <row r="2972" customFormat="false" ht="15" hidden="false" customHeight="true" outlineLevel="0" collapsed="false">
      <c r="A2972" s="7" t="s">
        <v>5845</v>
      </c>
      <c r="B2972" s="7" t="s">
        <v>5845</v>
      </c>
      <c r="C2972" s="7" t="s">
        <v>8004</v>
      </c>
    </row>
    <row r="2973" customFormat="false" ht="15" hidden="false" customHeight="true" outlineLevel="0" collapsed="false">
      <c r="A2973" s="7" t="s">
        <v>5845</v>
      </c>
      <c r="B2973" s="7" t="s">
        <v>9498</v>
      </c>
      <c r="C2973" s="7"/>
    </row>
    <row r="2974" customFormat="false" ht="15" hidden="false" customHeight="true" outlineLevel="0" collapsed="false">
      <c r="A2974" s="7" t="s">
        <v>5845</v>
      </c>
      <c r="B2974" s="7" t="s">
        <v>9499</v>
      </c>
      <c r="C2974" s="7"/>
    </row>
    <row r="2975" customFormat="false" ht="15" hidden="false" customHeight="true" outlineLevel="0" collapsed="false">
      <c r="A2975" s="7" t="s">
        <v>5845</v>
      </c>
      <c r="B2975" s="7" t="s">
        <v>9500</v>
      </c>
      <c r="C2975" s="7"/>
    </row>
    <row r="2976" customFormat="false" ht="15" hidden="false" customHeight="true" outlineLevel="0" collapsed="false">
      <c r="A2976" s="7" t="s">
        <v>5845</v>
      </c>
      <c r="B2976" s="7" t="s">
        <v>9501</v>
      </c>
      <c r="C2976" s="7"/>
    </row>
    <row r="2977" customFormat="false" ht="15" hidden="false" customHeight="true" outlineLevel="0" collapsed="false">
      <c r="A2977" s="7" t="s">
        <v>5845</v>
      </c>
      <c r="B2977" s="7" t="s">
        <v>9502</v>
      </c>
      <c r="C2977" s="7"/>
    </row>
    <row r="2978" customFormat="false" ht="15" hidden="false" customHeight="true" outlineLevel="0" collapsed="false">
      <c r="A2978" s="7" t="s">
        <v>5845</v>
      </c>
      <c r="B2978" s="7" t="s">
        <v>9503</v>
      </c>
      <c r="C2978" s="7"/>
    </row>
    <row r="2979" customFormat="false" ht="15" hidden="false" customHeight="true" outlineLevel="0" collapsed="false">
      <c r="A2979" s="7" t="s">
        <v>5845</v>
      </c>
      <c r="B2979" s="7" t="s">
        <v>5851</v>
      </c>
      <c r="C2979" s="7" t="s">
        <v>8004</v>
      </c>
    </row>
    <row r="2980" customFormat="false" ht="15" hidden="false" customHeight="true" outlineLevel="0" collapsed="false">
      <c r="A2980" s="7" t="s">
        <v>5845</v>
      </c>
      <c r="B2980" s="7" t="s">
        <v>9504</v>
      </c>
      <c r="C2980" s="7"/>
    </row>
    <row r="2981" customFormat="false" ht="15" hidden="false" customHeight="true" outlineLevel="0" collapsed="false">
      <c r="A2981" s="7" t="s">
        <v>5845</v>
      </c>
      <c r="B2981" s="7" t="s">
        <v>9505</v>
      </c>
      <c r="C2981" s="7"/>
    </row>
    <row r="2982" customFormat="false" ht="15" hidden="false" customHeight="true" outlineLevel="0" collapsed="false">
      <c r="A2982" s="7" t="s">
        <v>5733</v>
      </c>
      <c r="B2982" s="7" t="s">
        <v>5733</v>
      </c>
      <c r="C2982" s="7" t="s">
        <v>8004</v>
      </c>
    </row>
    <row r="2983" customFormat="false" ht="15" hidden="false" customHeight="true" outlineLevel="0" collapsed="false">
      <c r="A2983" s="7" t="s">
        <v>5733</v>
      </c>
      <c r="B2983" s="7" t="s">
        <v>5738</v>
      </c>
      <c r="C2983" s="7" t="s">
        <v>8004</v>
      </c>
    </row>
    <row r="2984" customFormat="false" ht="15" hidden="false" customHeight="true" outlineLevel="0" collapsed="false">
      <c r="A2984" s="7" t="s">
        <v>5733</v>
      </c>
      <c r="B2984" s="7" t="s">
        <v>9506</v>
      </c>
      <c r="C2984" s="7"/>
    </row>
    <row r="2985" customFormat="false" ht="15" hidden="false" customHeight="true" outlineLevel="0" collapsed="false">
      <c r="A2985" s="7" t="s">
        <v>5733</v>
      </c>
      <c r="B2985" s="7" t="s">
        <v>9507</v>
      </c>
      <c r="C2985" s="7"/>
    </row>
    <row r="2986" customFormat="false" ht="15" hidden="false" customHeight="true" outlineLevel="0" collapsed="false">
      <c r="A2986" s="7" t="s">
        <v>5733</v>
      </c>
      <c r="B2986" s="7" t="s">
        <v>9508</v>
      </c>
      <c r="C2986" s="7"/>
    </row>
    <row r="2987" customFormat="false" ht="15" hidden="false" customHeight="true" outlineLevel="0" collapsed="false">
      <c r="A2987" s="7" t="s">
        <v>5733</v>
      </c>
      <c r="B2987" s="7" t="s">
        <v>9509</v>
      </c>
      <c r="C2987" s="7"/>
    </row>
    <row r="2988" customFormat="false" ht="15" hidden="false" customHeight="true" outlineLevel="0" collapsed="false">
      <c r="A2988" s="7" t="s">
        <v>5733</v>
      </c>
      <c r="B2988" s="7" t="s">
        <v>9510</v>
      </c>
      <c r="C2988" s="7"/>
    </row>
    <row r="2989" customFormat="false" ht="15" hidden="false" customHeight="true" outlineLevel="0" collapsed="false">
      <c r="A2989" s="7" t="s">
        <v>5733</v>
      </c>
      <c r="B2989" s="7" t="s">
        <v>9511</v>
      </c>
      <c r="C2989" s="7"/>
    </row>
    <row r="2990" customFormat="false" ht="15" hidden="false" customHeight="true" outlineLevel="0" collapsed="false">
      <c r="A2990" s="7" t="s">
        <v>5733</v>
      </c>
      <c r="B2990" s="7" t="s">
        <v>9512</v>
      </c>
      <c r="C2990" s="7"/>
    </row>
    <row r="2991" customFormat="false" ht="15" hidden="false" customHeight="true" outlineLevel="0" collapsed="false">
      <c r="A2991" s="7" t="s">
        <v>5733</v>
      </c>
      <c r="B2991" s="7" t="s">
        <v>9513</v>
      </c>
      <c r="C2991" s="7"/>
    </row>
    <row r="2992" customFormat="false" ht="15" hidden="false" customHeight="true" outlineLevel="0" collapsed="false">
      <c r="A2992" s="7" t="s">
        <v>6622</v>
      </c>
      <c r="B2992" s="7" t="s">
        <v>9514</v>
      </c>
      <c r="C2992" s="7"/>
    </row>
    <row r="2993" customFormat="false" ht="15" hidden="false" customHeight="true" outlineLevel="0" collapsed="false">
      <c r="A2993" s="7" t="s">
        <v>6622</v>
      </c>
      <c r="B2993" s="7" t="s">
        <v>9515</v>
      </c>
      <c r="C2993" s="7"/>
    </row>
    <row r="2994" customFormat="false" ht="15" hidden="false" customHeight="true" outlineLevel="0" collapsed="false">
      <c r="A2994" s="7" t="s">
        <v>6622</v>
      </c>
      <c r="B2994" s="7" t="s">
        <v>9516</v>
      </c>
      <c r="C2994" s="7"/>
    </row>
    <row r="2995" customFormat="false" ht="15" hidden="false" customHeight="true" outlineLevel="0" collapsed="false">
      <c r="A2995" s="7" t="s">
        <v>6622</v>
      </c>
      <c r="B2995" s="7" t="s">
        <v>9517</v>
      </c>
      <c r="C2995" s="7"/>
    </row>
    <row r="2996" customFormat="false" ht="15" hidden="false" customHeight="true" outlineLevel="0" collapsed="false">
      <c r="A2996" s="7" t="s">
        <v>6622</v>
      </c>
      <c r="B2996" s="7" t="s">
        <v>9518</v>
      </c>
      <c r="C2996" s="7"/>
    </row>
    <row r="2997" customFormat="false" ht="15" hidden="false" customHeight="true" outlineLevel="0" collapsed="false">
      <c r="A2997" s="7" t="s">
        <v>6622</v>
      </c>
      <c r="B2997" s="7" t="s">
        <v>9519</v>
      </c>
      <c r="C2997" s="7"/>
    </row>
    <row r="2998" customFormat="false" ht="15" hidden="false" customHeight="true" outlineLevel="0" collapsed="false">
      <c r="A2998" s="7" t="s">
        <v>6622</v>
      </c>
      <c r="B2998" s="7" t="s">
        <v>9520</v>
      </c>
      <c r="C2998" s="7"/>
    </row>
    <row r="2999" customFormat="false" ht="15" hidden="false" customHeight="true" outlineLevel="0" collapsed="false">
      <c r="A2999" s="7" t="s">
        <v>6622</v>
      </c>
      <c r="B2999" s="7" t="s">
        <v>9521</v>
      </c>
      <c r="C2999" s="7"/>
    </row>
    <row r="3000" customFormat="false" ht="15" hidden="false" customHeight="true" outlineLevel="0" collapsed="false">
      <c r="A3000" s="7" t="s">
        <v>5823</v>
      </c>
      <c r="B3000" s="7" t="s">
        <v>9522</v>
      </c>
      <c r="C3000" s="7"/>
    </row>
    <row r="3001" customFormat="false" ht="15" hidden="false" customHeight="true" outlineLevel="0" collapsed="false">
      <c r="A3001" s="7" t="s">
        <v>5823</v>
      </c>
      <c r="B3001" s="7" t="s">
        <v>9523</v>
      </c>
      <c r="C3001" s="7"/>
    </row>
    <row r="3002" customFormat="false" ht="15" hidden="false" customHeight="true" outlineLevel="0" collapsed="false">
      <c r="A3002" s="7" t="s">
        <v>5823</v>
      </c>
      <c r="B3002" s="7" t="s">
        <v>9524</v>
      </c>
      <c r="C3002" s="7"/>
    </row>
    <row r="3003" customFormat="false" ht="15" hidden="false" customHeight="true" outlineLevel="0" collapsed="false">
      <c r="A3003" s="7" t="s">
        <v>5823</v>
      </c>
      <c r="B3003" s="7" t="s">
        <v>5828</v>
      </c>
      <c r="C3003" s="7" t="s">
        <v>8004</v>
      </c>
    </row>
    <row r="3004" customFormat="false" ht="15" hidden="false" customHeight="true" outlineLevel="0" collapsed="false">
      <c r="A3004" s="7" t="s">
        <v>5823</v>
      </c>
      <c r="B3004" s="7" t="s">
        <v>9525</v>
      </c>
      <c r="C3004" s="7"/>
    </row>
    <row r="3005" customFormat="false" ht="15" hidden="false" customHeight="true" outlineLevel="0" collapsed="false">
      <c r="A3005" s="7" t="s">
        <v>5823</v>
      </c>
      <c r="B3005" s="7" t="s">
        <v>9526</v>
      </c>
      <c r="C3005" s="7"/>
    </row>
    <row r="3006" customFormat="false" ht="15" hidden="false" customHeight="true" outlineLevel="0" collapsed="false">
      <c r="A3006" s="7" t="s">
        <v>5823</v>
      </c>
      <c r="B3006" s="7" t="s">
        <v>9527</v>
      </c>
      <c r="C3006" s="7"/>
    </row>
    <row r="3007" customFormat="false" ht="15" hidden="false" customHeight="true" outlineLevel="0" collapsed="false">
      <c r="A3007" s="7" t="s">
        <v>5823</v>
      </c>
      <c r="B3007" s="7" t="s">
        <v>9528</v>
      </c>
      <c r="C3007" s="7"/>
    </row>
    <row r="3008" customFormat="false" ht="15" hidden="false" customHeight="true" outlineLevel="0" collapsed="false">
      <c r="A3008" s="7" t="s">
        <v>5823</v>
      </c>
      <c r="B3008" s="7" t="s">
        <v>9529</v>
      </c>
      <c r="C3008" s="7"/>
    </row>
    <row r="3009" customFormat="false" ht="15" hidden="false" customHeight="true" outlineLevel="0" collapsed="false">
      <c r="A3009" s="7" t="s">
        <v>5823</v>
      </c>
      <c r="B3009" s="7" t="s">
        <v>9530</v>
      </c>
      <c r="C3009" s="7"/>
    </row>
    <row r="3010" customFormat="false" ht="15" hidden="false" customHeight="true" outlineLevel="0" collapsed="false">
      <c r="A3010" s="7" t="s">
        <v>5835</v>
      </c>
      <c r="B3010" s="7" t="s">
        <v>5835</v>
      </c>
      <c r="C3010" s="7" t="s">
        <v>8004</v>
      </c>
    </row>
    <row r="3011" customFormat="false" ht="15" hidden="false" customHeight="true" outlineLevel="0" collapsed="false">
      <c r="A3011" s="7" t="s">
        <v>5835</v>
      </c>
      <c r="B3011" s="7" t="s">
        <v>9531</v>
      </c>
      <c r="C3011" s="7"/>
    </row>
    <row r="3012" customFormat="false" ht="15" hidden="false" customHeight="true" outlineLevel="0" collapsed="false">
      <c r="A3012" s="7" t="s">
        <v>5835</v>
      </c>
      <c r="B3012" s="7" t="s">
        <v>9532</v>
      </c>
      <c r="C3012" s="7"/>
    </row>
    <row r="3013" customFormat="false" ht="15" hidden="false" customHeight="true" outlineLevel="0" collapsed="false">
      <c r="A3013" s="7" t="s">
        <v>5835</v>
      </c>
      <c r="B3013" s="7" t="s">
        <v>7693</v>
      </c>
      <c r="C3013" s="7" t="s">
        <v>8004</v>
      </c>
    </row>
    <row r="3014" customFormat="false" ht="15" hidden="false" customHeight="true" outlineLevel="0" collapsed="false">
      <c r="A3014" s="7" t="s">
        <v>5835</v>
      </c>
      <c r="B3014" s="7" t="s">
        <v>9533</v>
      </c>
      <c r="C3014" s="7"/>
    </row>
    <row r="3015" customFormat="false" ht="15" hidden="false" customHeight="true" outlineLevel="0" collapsed="false">
      <c r="A3015" s="7" t="s">
        <v>5835</v>
      </c>
      <c r="B3015" s="7" t="s">
        <v>9534</v>
      </c>
      <c r="C3015" s="7"/>
    </row>
    <row r="3016" customFormat="false" ht="15" hidden="false" customHeight="true" outlineLevel="0" collapsed="false">
      <c r="A3016" s="7" t="s">
        <v>5835</v>
      </c>
      <c r="B3016" s="7" t="s">
        <v>7707</v>
      </c>
      <c r="C3016" s="7" t="s">
        <v>8004</v>
      </c>
    </row>
    <row r="3017" customFormat="false" ht="15" hidden="false" customHeight="true" outlineLevel="0" collapsed="false">
      <c r="A3017" s="7" t="s">
        <v>5835</v>
      </c>
      <c r="B3017" s="7" t="s">
        <v>9535</v>
      </c>
      <c r="C3017" s="7"/>
    </row>
    <row r="3018" customFormat="false" ht="15" hidden="false" customHeight="true" outlineLevel="0" collapsed="false">
      <c r="A3018" s="7" t="s">
        <v>5835</v>
      </c>
      <c r="B3018" s="7" t="s">
        <v>9536</v>
      </c>
      <c r="C3018" s="7"/>
    </row>
    <row r="3019" customFormat="false" ht="15" hidden="false" customHeight="true" outlineLevel="0" collapsed="false">
      <c r="A3019" s="7" t="s">
        <v>5835</v>
      </c>
      <c r="B3019" s="7" t="s">
        <v>9537</v>
      </c>
      <c r="C3019" s="7"/>
    </row>
    <row r="3020" customFormat="false" ht="15" hidden="false" customHeight="true" outlineLevel="0" collapsed="false">
      <c r="A3020" s="7" t="s">
        <v>5857</v>
      </c>
      <c r="B3020" s="7" t="s">
        <v>5857</v>
      </c>
      <c r="C3020" s="7" t="s">
        <v>8004</v>
      </c>
    </row>
    <row r="3021" customFormat="false" ht="15" hidden="false" customHeight="true" outlineLevel="0" collapsed="false">
      <c r="A3021" s="7" t="s">
        <v>5857</v>
      </c>
      <c r="B3021" s="7" t="s">
        <v>7691</v>
      </c>
      <c r="C3021" s="7" t="s">
        <v>8004</v>
      </c>
    </row>
    <row r="3022" customFormat="false" ht="15" hidden="false" customHeight="true" outlineLevel="0" collapsed="false">
      <c r="A3022" s="7" t="s">
        <v>5857</v>
      </c>
      <c r="B3022" s="7" t="s">
        <v>7689</v>
      </c>
      <c r="C3022" s="7" t="s">
        <v>8004</v>
      </c>
    </row>
    <row r="3023" customFormat="false" ht="15" hidden="false" customHeight="true" outlineLevel="0" collapsed="false">
      <c r="A3023" s="7" t="s">
        <v>5857</v>
      </c>
      <c r="B3023" s="7" t="s">
        <v>9538</v>
      </c>
      <c r="C3023" s="7"/>
    </row>
    <row r="3024" customFormat="false" ht="15" hidden="false" customHeight="true" outlineLevel="0" collapsed="false">
      <c r="A3024" s="7" t="s">
        <v>5857</v>
      </c>
      <c r="B3024" s="7" t="s">
        <v>9539</v>
      </c>
      <c r="C3024" s="7"/>
    </row>
    <row r="3025" customFormat="false" ht="15" hidden="false" customHeight="true" outlineLevel="0" collapsed="false">
      <c r="A3025" s="7" t="s">
        <v>5857</v>
      </c>
      <c r="B3025" s="7" t="s">
        <v>7692</v>
      </c>
      <c r="C3025" s="7" t="s">
        <v>8004</v>
      </c>
    </row>
    <row r="3026" customFormat="false" ht="15" hidden="false" customHeight="true" outlineLevel="0" collapsed="false">
      <c r="A3026" s="7" t="s">
        <v>5857</v>
      </c>
      <c r="B3026" s="7" t="s">
        <v>9540</v>
      </c>
      <c r="C3026" s="7"/>
    </row>
    <row r="3027" customFormat="false" ht="15" hidden="false" customHeight="true" outlineLevel="0" collapsed="false">
      <c r="A3027" s="7" t="s">
        <v>5857</v>
      </c>
      <c r="B3027" s="7" t="s">
        <v>5861</v>
      </c>
      <c r="C3027" s="7" t="s">
        <v>8004</v>
      </c>
    </row>
    <row r="3028" customFormat="false" ht="15" hidden="false" customHeight="true" outlineLevel="0" collapsed="false">
      <c r="A3028" s="7" t="s">
        <v>5857</v>
      </c>
      <c r="B3028" s="7" t="s">
        <v>7690</v>
      </c>
      <c r="C3028" s="7" t="s">
        <v>8004</v>
      </c>
    </row>
    <row r="3029" customFormat="false" ht="15" hidden="false" customHeight="true" outlineLevel="0" collapsed="false">
      <c r="A3029" s="7" t="s">
        <v>5857</v>
      </c>
      <c r="B3029" s="7" t="s">
        <v>9541</v>
      </c>
      <c r="C3029" s="7"/>
    </row>
    <row r="3030" customFormat="false" ht="15" hidden="false" customHeight="true" outlineLevel="0" collapsed="false">
      <c r="A3030" s="7" t="s">
        <v>5756</v>
      </c>
      <c r="B3030" s="7" t="s">
        <v>5762</v>
      </c>
      <c r="C3030" s="7" t="s">
        <v>8004</v>
      </c>
    </row>
    <row r="3031" customFormat="false" ht="15" hidden="false" customHeight="true" outlineLevel="0" collapsed="false">
      <c r="A3031" s="7" t="s">
        <v>5756</v>
      </c>
      <c r="B3031" s="7" t="s">
        <v>5756</v>
      </c>
      <c r="C3031" s="7" t="s">
        <v>8004</v>
      </c>
    </row>
    <row r="3032" customFormat="false" ht="15" hidden="false" customHeight="true" outlineLevel="0" collapsed="false">
      <c r="A3032" s="7" t="s">
        <v>5756</v>
      </c>
      <c r="B3032" s="7" t="s">
        <v>9542</v>
      </c>
      <c r="C3032" s="7"/>
    </row>
    <row r="3033" customFormat="false" ht="15" hidden="false" customHeight="true" outlineLevel="0" collapsed="false">
      <c r="A3033" s="7" t="s">
        <v>5756</v>
      </c>
      <c r="B3033" s="7" t="s">
        <v>9543</v>
      </c>
      <c r="C3033" s="7"/>
    </row>
    <row r="3034" customFormat="false" ht="15" hidden="false" customHeight="true" outlineLevel="0" collapsed="false">
      <c r="A3034" s="7" t="s">
        <v>5756</v>
      </c>
      <c r="B3034" s="7" t="s">
        <v>9544</v>
      </c>
      <c r="C3034" s="7"/>
    </row>
    <row r="3035" customFormat="false" ht="15" hidden="false" customHeight="true" outlineLevel="0" collapsed="false">
      <c r="A3035" s="7" t="s">
        <v>5756</v>
      </c>
      <c r="B3035" s="7" t="s">
        <v>9545</v>
      </c>
      <c r="C3035" s="7"/>
    </row>
    <row r="3036" customFormat="false" ht="15" hidden="false" customHeight="true" outlineLevel="0" collapsed="false">
      <c r="A3036" s="7" t="s">
        <v>5756</v>
      </c>
      <c r="B3036" s="7" t="s">
        <v>9546</v>
      </c>
      <c r="C3036" s="7"/>
    </row>
    <row r="3037" customFormat="false" ht="15" hidden="false" customHeight="true" outlineLevel="0" collapsed="false">
      <c r="A3037" s="7" t="s">
        <v>5756</v>
      </c>
      <c r="B3037" s="7" t="s">
        <v>9547</v>
      </c>
      <c r="C3037" s="7"/>
    </row>
    <row r="3038" customFormat="false" ht="15" hidden="false" customHeight="true" outlineLevel="0" collapsed="false">
      <c r="A3038" s="7" t="s">
        <v>5756</v>
      </c>
      <c r="B3038" s="7" t="s">
        <v>9548</v>
      </c>
      <c r="C3038" s="7"/>
    </row>
    <row r="3039" customFormat="false" ht="15" hidden="false" customHeight="true" outlineLevel="0" collapsed="false">
      <c r="A3039" s="7" t="s">
        <v>5756</v>
      </c>
      <c r="B3039" s="7" t="s">
        <v>9549</v>
      </c>
      <c r="C3039" s="7"/>
    </row>
    <row r="3040" customFormat="false" ht="15" hidden="false" customHeight="true" outlineLevel="0" collapsed="false">
      <c r="A3040" s="7" t="s">
        <v>5768</v>
      </c>
      <c r="B3040" s="7" t="s">
        <v>7696</v>
      </c>
      <c r="C3040" s="7" t="s">
        <v>8004</v>
      </c>
    </row>
    <row r="3041" customFormat="false" ht="15" hidden="false" customHeight="true" outlineLevel="0" collapsed="false">
      <c r="A3041" s="7" t="s">
        <v>5768</v>
      </c>
      <c r="B3041" s="7" t="s">
        <v>5768</v>
      </c>
      <c r="C3041" s="7" t="s">
        <v>8004</v>
      </c>
    </row>
    <row r="3042" customFormat="false" ht="15" hidden="false" customHeight="true" outlineLevel="0" collapsed="false">
      <c r="A3042" s="7" t="s">
        <v>5768</v>
      </c>
      <c r="B3042" s="7" t="s">
        <v>5772</v>
      </c>
      <c r="C3042" s="7" t="s">
        <v>8004</v>
      </c>
    </row>
    <row r="3043" customFormat="false" ht="15" hidden="false" customHeight="true" outlineLevel="0" collapsed="false">
      <c r="A3043" s="7" t="s">
        <v>5768</v>
      </c>
      <c r="B3043" s="7" t="s">
        <v>7697</v>
      </c>
      <c r="C3043" s="7" t="s">
        <v>8004</v>
      </c>
    </row>
    <row r="3044" customFormat="false" ht="15" hidden="false" customHeight="true" outlineLevel="0" collapsed="false">
      <c r="A3044" s="7" t="s">
        <v>5768</v>
      </c>
      <c r="B3044" s="7" t="s">
        <v>9550</v>
      </c>
      <c r="C3044" s="7"/>
    </row>
    <row r="3045" customFormat="false" ht="15" hidden="false" customHeight="true" outlineLevel="0" collapsed="false">
      <c r="A3045" s="7" t="s">
        <v>5768</v>
      </c>
      <c r="B3045" s="7" t="s">
        <v>9551</v>
      </c>
      <c r="C3045" s="7"/>
    </row>
    <row r="3046" customFormat="false" ht="15" hidden="false" customHeight="true" outlineLevel="0" collapsed="false">
      <c r="A3046" s="7" t="s">
        <v>5768</v>
      </c>
      <c r="B3046" s="7" t="s">
        <v>9552</v>
      </c>
      <c r="C3046" s="7"/>
    </row>
    <row r="3047" customFormat="false" ht="15" hidden="false" customHeight="true" outlineLevel="0" collapsed="false">
      <c r="A3047" s="7" t="s">
        <v>5768</v>
      </c>
      <c r="B3047" s="7" t="s">
        <v>9553</v>
      </c>
      <c r="C3047" s="7"/>
    </row>
    <row r="3048" customFormat="false" ht="15" hidden="false" customHeight="true" outlineLevel="0" collapsed="false">
      <c r="A3048" s="7" t="s">
        <v>5768</v>
      </c>
      <c r="B3048" s="7" t="s">
        <v>7694</v>
      </c>
      <c r="C3048" s="7" t="s">
        <v>8004</v>
      </c>
    </row>
    <row r="3049" customFormat="false" ht="15" hidden="false" customHeight="true" outlineLevel="0" collapsed="false">
      <c r="A3049" s="7" t="s">
        <v>5768</v>
      </c>
      <c r="B3049" s="7" t="s">
        <v>7695</v>
      </c>
      <c r="C3049" s="7" t="s">
        <v>8004</v>
      </c>
    </row>
    <row r="3050" customFormat="false" ht="15" hidden="false" customHeight="true" outlineLevel="0" collapsed="false">
      <c r="A3050" s="7" t="s">
        <v>5779</v>
      </c>
      <c r="B3050" s="7" t="s">
        <v>5779</v>
      </c>
      <c r="C3050" s="7" t="s">
        <v>8004</v>
      </c>
    </row>
    <row r="3051" customFormat="false" ht="15" hidden="false" customHeight="true" outlineLevel="0" collapsed="false">
      <c r="A3051" s="7" t="s">
        <v>5779</v>
      </c>
      <c r="B3051" s="7" t="s">
        <v>7700</v>
      </c>
      <c r="C3051" s="7" t="s">
        <v>8004</v>
      </c>
    </row>
    <row r="3052" customFormat="false" ht="15" hidden="false" customHeight="true" outlineLevel="0" collapsed="false">
      <c r="A3052" s="7" t="s">
        <v>5779</v>
      </c>
      <c r="B3052" s="7" t="s">
        <v>7698</v>
      </c>
      <c r="C3052" s="7" t="s">
        <v>8004</v>
      </c>
    </row>
    <row r="3053" customFormat="false" ht="15" hidden="false" customHeight="true" outlineLevel="0" collapsed="false">
      <c r="A3053" s="7" t="s">
        <v>5779</v>
      </c>
      <c r="B3053" s="7" t="s">
        <v>9554</v>
      </c>
      <c r="C3053" s="7"/>
    </row>
    <row r="3054" customFormat="false" ht="15" hidden="false" customHeight="true" outlineLevel="0" collapsed="false">
      <c r="A3054" s="7" t="s">
        <v>5779</v>
      </c>
      <c r="B3054" s="7" t="s">
        <v>9555</v>
      </c>
      <c r="C3054" s="7"/>
    </row>
    <row r="3055" customFormat="false" ht="15" hidden="false" customHeight="true" outlineLevel="0" collapsed="false">
      <c r="A3055" s="7" t="s">
        <v>5779</v>
      </c>
      <c r="B3055" s="7" t="s">
        <v>7701</v>
      </c>
      <c r="C3055" s="7" t="s">
        <v>8004</v>
      </c>
    </row>
    <row r="3056" customFormat="false" ht="15" hidden="false" customHeight="true" outlineLevel="0" collapsed="false">
      <c r="A3056" s="7" t="s">
        <v>5779</v>
      </c>
      <c r="B3056" s="7" t="s">
        <v>9556</v>
      </c>
      <c r="C3056" s="7"/>
    </row>
    <row r="3057" customFormat="false" ht="15" hidden="false" customHeight="true" outlineLevel="0" collapsed="false">
      <c r="A3057" s="7" t="s">
        <v>5779</v>
      </c>
      <c r="B3057" s="7" t="s">
        <v>9557</v>
      </c>
      <c r="C3057" s="7"/>
    </row>
    <row r="3058" customFormat="false" ht="15" hidden="false" customHeight="true" outlineLevel="0" collapsed="false">
      <c r="A3058" s="7" t="s">
        <v>5779</v>
      </c>
      <c r="B3058" s="7" t="s">
        <v>7699</v>
      </c>
      <c r="C3058" s="7" t="s">
        <v>8004</v>
      </c>
    </row>
    <row r="3059" customFormat="false" ht="15" hidden="false" customHeight="true" outlineLevel="0" collapsed="false">
      <c r="A3059" s="7" t="s">
        <v>5779</v>
      </c>
      <c r="B3059" s="7" t="s">
        <v>9558</v>
      </c>
      <c r="C3059" s="7"/>
    </row>
    <row r="3060" customFormat="false" ht="15" hidden="false" customHeight="true" outlineLevel="0" collapsed="false">
      <c r="A3060" s="7" t="s">
        <v>5790</v>
      </c>
      <c r="B3060" s="7" t="s">
        <v>7705</v>
      </c>
      <c r="C3060" s="7" t="s">
        <v>8004</v>
      </c>
    </row>
    <row r="3061" customFormat="false" ht="15" hidden="false" customHeight="true" outlineLevel="0" collapsed="false">
      <c r="A3061" s="7" t="s">
        <v>5790</v>
      </c>
      <c r="B3061" s="7" t="s">
        <v>5790</v>
      </c>
      <c r="C3061" s="7" t="s">
        <v>8004</v>
      </c>
    </row>
    <row r="3062" customFormat="false" ht="15" hidden="false" customHeight="true" outlineLevel="0" collapsed="false">
      <c r="A3062" s="7" t="s">
        <v>5790</v>
      </c>
      <c r="B3062" s="7" t="s">
        <v>7702</v>
      </c>
      <c r="C3062" s="7" t="s">
        <v>8004</v>
      </c>
    </row>
    <row r="3063" customFormat="false" ht="15" hidden="false" customHeight="true" outlineLevel="0" collapsed="false">
      <c r="A3063" s="7" t="s">
        <v>5790</v>
      </c>
      <c r="B3063" s="7" t="s">
        <v>7703</v>
      </c>
      <c r="C3063" s="7" t="s">
        <v>8004</v>
      </c>
    </row>
    <row r="3064" customFormat="false" ht="15" hidden="false" customHeight="true" outlineLevel="0" collapsed="false">
      <c r="A3064" s="7" t="s">
        <v>5790</v>
      </c>
      <c r="B3064" s="7" t="s">
        <v>7704</v>
      </c>
      <c r="C3064" s="7" t="s">
        <v>8004</v>
      </c>
    </row>
    <row r="3065" customFormat="false" ht="15" hidden="false" customHeight="true" outlineLevel="0" collapsed="false">
      <c r="A3065" s="7" t="s">
        <v>5790</v>
      </c>
      <c r="B3065" s="7" t="s">
        <v>9559</v>
      </c>
      <c r="C3065" s="7"/>
    </row>
    <row r="3066" customFormat="false" ht="15" hidden="false" customHeight="true" outlineLevel="0" collapsed="false">
      <c r="A3066" s="7" t="s">
        <v>5790</v>
      </c>
      <c r="B3066" s="7" t="s">
        <v>7706</v>
      </c>
      <c r="C3066" s="7" t="s">
        <v>8004</v>
      </c>
    </row>
    <row r="3067" customFormat="false" ht="15" hidden="false" customHeight="true" outlineLevel="0" collapsed="false">
      <c r="A3067" s="7" t="s">
        <v>5790</v>
      </c>
      <c r="B3067" s="7" t="s">
        <v>9560</v>
      </c>
      <c r="C3067" s="7"/>
    </row>
    <row r="3068" customFormat="false" ht="15" hidden="false" customHeight="true" outlineLevel="0" collapsed="false">
      <c r="A3068" s="7" t="s">
        <v>5790</v>
      </c>
      <c r="B3068" s="7" t="s">
        <v>9561</v>
      </c>
      <c r="C3068" s="7"/>
    </row>
    <row r="3069" customFormat="false" ht="15" hidden="false" customHeight="true" outlineLevel="0" collapsed="false">
      <c r="A3069" s="7" t="s">
        <v>5790</v>
      </c>
      <c r="B3069" s="7" t="s">
        <v>9562</v>
      </c>
      <c r="C3069" s="7"/>
    </row>
    <row r="3070" customFormat="false" ht="15" hidden="false" customHeight="true" outlineLevel="0" collapsed="false">
      <c r="A3070" s="7" t="s">
        <v>5868</v>
      </c>
      <c r="B3070" s="7" t="s">
        <v>9563</v>
      </c>
      <c r="C3070" s="7"/>
    </row>
    <row r="3071" customFormat="false" ht="15" hidden="false" customHeight="true" outlineLevel="0" collapsed="false">
      <c r="A3071" s="7" t="s">
        <v>5868</v>
      </c>
      <c r="B3071" s="7" t="s">
        <v>9564</v>
      </c>
      <c r="C3071" s="7"/>
    </row>
    <row r="3072" customFormat="false" ht="15" hidden="false" customHeight="true" outlineLevel="0" collapsed="false">
      <c r="A3072" s="7" t="s">
        <v>5868</v>
      </c>
      <c r="B3072" s="7" t="s">
        <v>9565</v>
      </c>
      <c r="C3072" s="7"/>
    </row>
    <row r="3073" customFormat="false" ht="15" hidden="false" customHeight="true" outlineLevel="0" collapsed="false">
      <c r="A3073" s="7" t="s">
        <v>5868</v>
      </c>
      <c r="B3073" s="7" t="s">
        <v>9566</v>
      </c>
      <c r="C3073" s="7"/>
    </row>
    <row r="3074" customFormat="false" ht="15" hidden="false" customHeight="true" outlineLevel="0" collapsed="false">
      <c r="A3074" s="7" t="s">
        <v>5868</v>
      </c>
      <c r="B3074" s="7" t="s">
        <v>9567</v>
      </c>
      <c r="C3074" s="7"/>
    </row>
    <row r="3075" customFormat="false" ht="15" hidden="false" customHeight="true" outlineLevel="0" collapsed="false">
      <c r="A3075" s="7" t="s">
        <v>5868</v>
      </c>
      <c r="B3075" s="7" t="s">
        <v>5868</v>
      </c>
      <c r="C3075" s="7" t="s">
        <v>8004</v>
      </c>
    </row>
    <row r="3076" customFormat="false" ht="15" hidden="false" customHeight="true" outlineLevel="0" collapsed="false">
      <c r="A3076" s="7" t="s">
        <v>5868</v>
      </c>
      <c r="B3076" s="7" t="s">
        <v>9568</v>
      </c>
      <c r="C3076" s="7"/>
    </row>
    <row r="3077" customFormat="false" ht="15" hidden="false" customHeight="true" outlineLevel="0" collapsed="false">
      <c r="A3077" s="7" t="s">
        <v>5868</v>
      </c>
      <c r="B3077" s="7" t="s">
        <v>5874</v>
      </c>
      <c r="C3077" s="7" t="s">
        <v>8004</v>
      </c>
    </row>
    <row r="3078" customFormat="false" ht="15" hidden="false" customHeight="true" outlineLevel="0" collapsed="false">
      <c r="A3078" s="7" t="s">
        <v>5868</v>
      </c>
      <c r="B3078" s="7" t="s">
        <v>9569</v>
      </c>
      <c r="C3078" s="7"/>
    </row>
    <row r="3079" customFormat="false" ht="15" hidden="false" customHeight="true" outlineLevel="0" collapsed="false">
      <c r="A3079" s="7" t="s">
        <v>5868</v>
      </c>
      <c r="B3079" s="7" t="s">
        <v>9570</v>
      </c>
      <c r="C3079" s="7"/>
    </row>
    <row r="3080" customFormat="false" ht="15" hidden="false" customHeight="true" outlineLevel="0" collapsed="false">
      <c r="A3080" s="7" t="s">
        <v>5801</v>
      </c>
      <c r="B3080" s="7" t="s">
        <v>5801</v>
      </c>
      <c r="C3080" s="7" t="s">
        <v>8004</v>
      </c>
    </row>
    <row r="3081" customFormat="false" ht="15" hidden="false" customHeight="true" outlineLevel="0" collapsed="false">
      <c r="A3081" s="7" t="s">
        <v>5801</v>
      </c>
      <c r="B3081" s="7" t="s">
        <v>7712</v>
      </c>
      <c r="C3081" s="7" t="s">
        <v>8004</v>
      </c>
    </row>
    <row r="3082" customFormat="false" ht="15" hidden="false" customHeight="true" outlineLevel="0" collapsed="false">
      <c r="A3082" s="7" t="s">
        <v>5801</v>
      </c>
      <c r="B3082" s="7" t="s">
        <v>7709</v>
      </c>
      <c r="C3082" s="7" t="s">
        <v>8004</v>
      </c>
    </row>
    <row r="3083" customFormat="false" ht="15" hidden="false" customHeight="true" outlineLevel="0" collapsed="false">
      <c r="A3083" s="7" t="s">
        <v>5801</v>
      </c>
      <c r="B3083" s="7" t="s">
        <v>9571</v>
      </c>
      <c r="C3083" s="7"/>
    </row>
    <row r="3084" customFormat="false" ht="15" hidden="false" customHeight="true" outlineLevel="0" collapsed="false">
      <c r="A3084" s="7" t="s">
        <v>5801</v>
      </c>
      <c r="B3084" s="7" t="s">
        <v>9572</v>
      </c>
      <c r="C3084" s="7"/>
    </row>
    <row r="3085" customFormat="false" ht="15" hidden="false" customHeight="true" outlineLevel="0" collapsed="false">
      <c r="A3085" s="7" t="s">
        <v>5801</v>
      </c>
      <c r="B3085" s="7" t="s">
        <v>7710</v>
      </c>
      <c r="C3085" s="7" t="s">
        <v>8004</v>
      </c>
    </row>
    <row r="3086" customFormat="false" ht="15" hidden="false" customHeight="true" outlineLevel="0" collapsed="false">
      <c r="A3086" s="7" t="s">
        <v>5801</v>
      </c>
      <c r="B3086" s="7" t="s">
        <v>7711</v>
      </c>
      <c r="C3086" s="7" t="s">
        <v>8004</v>
      </c>
    </row>
    <row r="3087" customFormat="false" ht="15" hidden="false" customHeight="true" outlineLevel="0" collapsed="false">
      <c r="A3087" s="7" t="s">
        <v>5801</v>
      </c>
      <c r="B3087" s="7" t="s">
        <v>5805</v>
      </c>
      <c r="C3087" s="7" t="s">
        <v>8004</v>
      </c>
    </row>
    <row r="3088" customFormat="false" ht="15" hidden="false" customHeight="true" outlineLevel="0" collapsed="false">
      <c r="A3088" s="7" t="s">
        <v>5801</v>
      </c>
      <c r="B3088" s="7" t="s">
        <v>7713</v>
      </c>
      <c r="C3088" s="7" t="s">
        <v>8004</v>
      </c>
    </row>
    <row r="3089" customFormat="false" ht="15" hidden="false" customHeight="true" outlineLevel="0" collapsed="false">
      <c r="A3089" s="7" t="s">
        <v>5801</v>
      </c>
      <c r="B3089" s="7" t="s">
        <v>9573</v>
      </c>
      <c r="C3089" s="7"/>
    </row>
    <row r="3090" customFormat="false" ht="15" hidden="false" customHeight="true" outlineLevel="0" collapsed="false">
      <c r="A3090" s="7" t="s">
        <v>5812</v>
      </c>
      <c r="B3090" s="7" t="s">
        <v>5812</v>
      </c>
      <c r="C3090" s="7" t="s">
        <v>8004</v>
      </c>
    </row>
    <row r="3091" customFormat="false" ht="15" hidden="false" customHeight="true" outlineLevel="0" collapsed="false">
      <c r="A3091" s="7" t="s">
        <v>5812</v>
      </c>
      <c r="B3091" s="7" t="s">
        <v>7715</v>
      </c>
      <c r="C3091" s="7" t="s">
        <v>8004</v>
      </c>
    </row>
    <row r="3092" customFormat="false" ht="15" hidden="false" customHeight="true" outlineLevel="0" collapsed="false">
      <c r="A3092" s="7" t="s">
        <v>5812</v>
      </c>
      <c r="B3092" s="7" t="s">
        <v>5816</v>
      </c>
      <c r="C3092" s="7" t="s">
        <v>8004</v>
      </c>
    </row>
    <row r="3093" customFormat="false" ht="15" hidden="false" customHeight="true" outlineLevel="0" collapsed="false">
      <c r="A3093" s="7" t="s">
        <v>5812</v>
      </c>
      <c r="B3093" s="7" t="s">
        <v>9574</v>
      </c>
      <c r="C3093" s="7"/>
    </row>
    <row r="3094" customFormat="false" ht="15" hidden="false" customHeight="true" outlineLevel="0" collapsed="false">
      <c r="A3094" s="7" t="s">
        <v>5812</v>
      </c>
      <c r="B3094" s="7" t="s">
        <v>7714</v>
      </c>
      <c r="C3094" s="7" t="s">
        <v>8004</v>
      </c>
    </row>
    <row r="3095" customFormat="false" ht="15" hidden="false" customHeight="true" outlineLevel="0" collapsed="false">
      <c r="A3095" s="7" t="s">
        <v>5812</v>
      </c>
      <c r="B3095" s="7" t="s">
        <v>9575</v>
      </c>
      <c r="C3095" s="7"/>
    </row>
    <row r="3096" customFormat="false" ht="15" hidden="false" customHeight="true" outlineLevel="0" collapsed="false">
      <c r="A3096" s="7" t="s">
        <v>5812</v>
      </c>
      <c r="B3096" s="7" t="s">
        <v>9576</v>
      </c>
      <c r="C3096" s="7"/>
    </row>
    <row r="3097" customFormat="false" ht="15" hidden="false" customHeight="true" outlineLevel="0" collapsed="false">
      <c r="A3097" s="7" t="s">
        <v>5812</v>
      </c>
      <c r="B3097" s="7" t="s">
        <v>9577</v>
      </c>
      <c r="C3097" s="7"/>
    </row>
    <row r="3098" customFormat="false" ht="15" hidden="false" customHeight="true" outlineLevel="0" collapsed="false">
      <c r="A3098" s="7" t="s">
        <v>5812</v>
      </c>
      <c r="B3098" s="7" t="s">
        <v>9578</v>
      </c>
      <c r="C3098" s="7"/>
    </row>
    <row r="3099" customFormat="false" ht="15" hidden="false" customHeight="true" outlineLevel="0" collapsed="false">
      <c r="A3099" s="7" t="s">
        <v>5812</v>
      </c>
      <c r="B3099" s="7" t="s">
        <v>7672</v>
      </c>
      <c r="C3099" s="7" t="s">
        <v>8004</v>
      </c>
    </row>
    <row r="3100" customFormat="false" ht="15" hidden="false" customHeight="true" outlineLevel="0" collapsed="false">
      <c r="A3100" s="7" t="s">
        <v>5954</v>
      </c>
      <c r="B3100" s="7" t="s">
        <v>5954</v>
      </c>
      <c r="C3100" s="7" t="s">
        <v>8004</v>
      </c>
    </row>
    <row r="3101" customFormat="false" ht="15" hidden="false" customHeight="true" outlineLevel="0" collapsed="false">
      <c r="A3101" s="7" t="s">
        <v>5954</v>
      </c>
      <c r="B3101" s="7" t="s">
        <v>7716</v>
      </c>
      <c r="C3101" s="7" t="s">
        <v>8004</v>
      </c>
    </row>
    <row r="3102" customFormat="false" ht="15" hidden="false" customHeight="true" outlineLevel="0" collapsed="false">
      <c r="A3102" s="7" t="s">
        <v>5954</v>
      </c>
      <c r="B3102" s="7" t="s">
        <v>5958</v>
      </c>
      <c r="C3102" s="7" t="s">
        <v>8004</v>
      </c>
    </row>
    <row r="3103" customFormat="false" ht="15" hidden="false" customHeight="true" outlineLevel="0" collapsed="false">
      <c r="A3103" s="7" t="s">
        <v>5954</v>
      </c>
      <c r="B3103" s="7" t="s">
        <v>9579</v>
      </c>
      <c r="C3103" s="7"/>
    </row>
    <row r="3104" customFormat="false" ht="15" hidden="false" customHeight="true" outlineLevel="0" collapsed="false">
      <c r="A3104" s="7" t="s">
        <v>5954</v>
      </c>
      <c r="B3104" s="7" t="s">
        <v>9580</v>
      </c>
      <c r="C3104" s="7"/>
    </row>
    <row r="3105" customFormat="false" ht="15" hidden="false" customHeight="true" outlineLevel="0" collapsed="false">
      <c r="A3105" s="7" t="s">
        <v>5954</v>
      </c>
      <c r="B3105" s="7" t="s">
        <v>9581</v>
      </c>
      <c r="C3105" s="7"/>
    </row>
    <row r="3106" customFormat="false" ht="15" hidden="false" customHeight="true" outlineLevel="0" collapsed="false">
      <c r="A3106" s="7" t="s">
        <v>5954</v>
      </c>
      <c r="B3106" s="7" t="s">
        <v>9582</v>
      </c>
      <c r="C3106" s="7"/>
    </row>
    <row r="3107" customFormat="false" ht="15" hidden="false" customHeight="true" outlineLevel="0" collapsed="false">
      <c r="A3107" s="7" t="s">
        <v>5954</v>
      </c>
      <c r="B3107" s="7" t="s">
        <v>7717</v>
      </c>
      <c r="C3107" s="7" t="s">
        <v>8004</v>
      </c>
    </row>
    <row r="3108" customFormat="false" ht="15" hidden="false" customHeight="true" outlineLevel="0" collapsed="false">
      <c r="A3108" s="7" t="s">
        <v>5954</v>
      </c>
      <c r="B3108" s="7" t="s">
        <v>7718</v>
      </c>
      <c r="C3108" s="7" t="s">
        <v>8004</v>
      </c>
    </row>
    <row r="3109" customFormat="false" ht="15" hidden="false" customHeight="true" outlineLevel="0" collapsed="false">
      <c r="A3109" s="7" t="s">
        <v>5966</v>
      </c>
      <c r="B3109" s="7" t="s">
        <v>5966</v>
      </c>
      <c r="C3109" s="7" t="s">
        <v>8004</v>
      </c>
    </row>
    <row r="3110" customFormat="false" ht="15" hidden="false" customHeight="true" outlineLevel="0" collapsed="false">
      <c r="A3110" s="7" t="s">
        <v>5966</v>
      </c>
      <c r="B3110" s="7" t="s">
        <v>9583</v>
      </c>
      <c r="C3110" s="7"/>
    </row>
    <row r="3111" customFormat="false" ht="15" hidden="false" customHeight="true" outlineLevel="0" collapsed="false">
      <c r="A3111" s="7" t="s">
        <v>5966</v>
      </c>
      <c r="B3111" s="7" t="s">
        <v>7720</v>
      </c>
      <c r="C3111" s="7" t="s">
        <v>8004</v>
      </c>
    </row>
    <row r="3112" customFormat="false" ht="15" hidden="false" customHeight="true" outlineLevel="0" collapsed="false">
      <c r="A3112" s="7" t="s">
        <v>5966</v>
      </c>
      <c r="B3112" s="7" t="s">
        <v>5970</v>
      </c>
      <c r="C3112" s="7" t="s">
        <v>8004</v>
      </c>
    </row>
    <row r="3113" customFormat="false" ht="15" hidden="false" customHeight="true" outlineLevel="0" collapsed="false">
      <c r="A3113" s="7" t="s">
        <v>5966</v>
      </c>
      <c r="B3113" s="7" t="s">
        <v>7721</v>
      </c>
      <c r="C3113" s="7" t="s">
        <v>8004</v>
      </c>
    </row>
    <row r="3114" customFormat="false" ht="15" hidden="false" customHeight="true" outlineLevel="0" collapsed="false">
      <c r="A3114" s="7" t="s">
        <v>5966</v>
      </c>
      <c r="B3114" s="7" t="s">
        <v>7719</v>
      </c>
      <c r="C3114" s="7" t="s">
        <v>8004</v>
      </c>
    </row>
    <row r="3115" customFormat="false" ht="15" hidden="false" customHeight="true" outlineLevel="0" collapsed="false">
      <c r="A3115" s="7" t="s">
        <v>5966</v>
      </c>
      <c r="B3115" s="7" t="s">
        <v>9584</v>
      </c>
      <c r="C3115" s="7"/>
    </row>
    <row r="3116" customFormat="false" ht="15" hidden="false" customHeight="true" outlineLevel="0" collapsed="false">
      <c r="A3116" s="7" t="s">
        <v>5966</v>
      </c>
      <c r="B3116" s="7" t="s">
        <v>7894</v>
      </c>
      <c r="C3116" s="7" t="s">
        <v>8004</v>
      </c>
    </row>
    <row r="3117" customFormat="false" ht="15" hidden="false" customHeight="true" outlineLevel="0" collapsed="false">
      <c r="A3117" s="7" t="s">
        <v>5966</v>
      </c>
      <c r="B3117" s="7" t="s">
        <v>7722</v>
      </c>
      <c r="C3117" s="7" t="s">
        <v>8004</v>
      </c>
    </row>
    <row r="3118" customFormat="false" ht="15" hidden="false" customHeight="true" outlineLevel="0" collapsed="false">
      <c r="A3118" s="7" t="s">
        <v>5966</v>
      </c>
      <c r="B3118" s="7" t="s">
        <v>9585</v>
      </c>
      <c r="C3118" s="7"/>
    </row>
    <row r="3119" customFormat="false" ht="15" hidden="false" customHeight="true" outlineLevel="0" collapsed="false">
      <c r="A3119" s="7" t="s">
        <v>5977</v>
      </c>
      <c r="B3119" s="7" t="s">
        <v>5977</v>
      </c>
      <c r="C3119" s="7" t="s">
        <v>8004</v>
      </c>
    </row>
    <row r="3120" customFormat="false" ht="15" hidden="false" customHeight="true" outlineLevel="0" collapsed="false">
      <c r="A3120" s="7" t="s">
        <v>5977</v>
      </c>
      <c r="B3120" s="7" t="s">
        <v>9586</v>
      </c>
      <c r="C3120" s="7"/>
    </row>
    <row r="3121" customFormat="false" ht="15" hidden="false" customHeight="true" outlineLevel="0" collapsed="false">
      <c r="A3121" s="7" t="s">
        <v>5977</v>
      </c>
      <c r="B3121" s="7" t="s">
        <v>9587</v>
      </c>
      <c r="C3121" s="7"/>
    </row>
    <row r="3122" customFormat="false" ht="15" hidden="false" customHeight="true" outlineLevel="0" collapsed="false">
      <c r="A3122" s="7" t="s">
        <v>5988</v>
      </c>
      <c r="B3122" s="7" t="s">
        <v>5988</v>
      </c>
      <c r="C3122" s="7" t="s">
        <v>8004</v>
      </c>
    </row>
    <row r="3123" customFormat="false" ht="15" hidden="false" customHeight="true" outlineLevel="0" collapsed="false">
      <c r="A3123" s="7" t="s">
        <v>5988</v>
      </c>
      <c r="B3123" s="7" t="s">
        <v>5992</v>
      </c>
      <c r="C3123" s="7" t="s">
        <v>8004</v>
      </c>
    </row>
    <row r="3124" customFormat="false" ht="15" hidden="false" customHeight="true" outlineLevel="0" collapsed="false">
      <c r="A3124" s="7" t="s">
        <v>5988</v>
      </c>
      <c r="B3124" s="7" t="s">
        <v>9588</v>
      </c>
      <c r="C3124" s="7"/>
    </row>
    <row r="3125" customFormat="false" ht="15" hidden="false" customHeight="true" outlineLevel="0" collapsed="false">
      <c r="A3125" s="7" t="s">
        <v>5988</v>
      </c>
      <c r="B3125" s="7" t="s">
        <v>7723</v>
      </c>
      <c r="C3125" s="7" t="s">
        <v>8004</v>
      </c>
    </row>
    <row r="3126" customFormat="false" ht="15" hidden="false" customHeight="true" outlineLevel="0" collapsed="false">
      <c r="A3126" s="7" t="s">
        <v>5988</v>
      </c>
      <c r="B3126" s="7" t="s">
        <v>7724</v>
      </c>
      <c r="C3126" s="7" t="s">
        <v>8004</v>
      </c>
    </row>
    <row r="3127" customFormat="false" ht="15" hidden="false" customHeight="true" outlineLevel="0" collapsed="false">
      <c r="A3127" s="7" t="s">
        <v>5988</v>
      </c>
      <c r="B3127" s="7" t="s">
        <v>9589</v>
      </c>
      <c r="C3127" s="7"/>
    </row>
    <row r="3128" customFormat="false" ht="15" hidden="false" customHeight="true" outlineLevel="0" collapsed="false">
      <c r="A3128" s="7" t="s">
        <v>5988</v>
      </c>
      <c r="B3128" s="7" t="s">
        <v>7751</v>
      </c>
      <c r="C3128" s="7" t="s">
        <v>8004</v>
      </c>
    </row>
    <row r="3129" customFormat="false" ht="15" hidden="false" customHeight="true" outlineLevel="0" collapsed="false">
      <c r="A3129" s="7" t="s">
        <v>5988</v>
      </c>
      <c r="B3129" s="7" t="s">
        <v>9590</v>
      </c>
      <c r="C3129" s="7"/>
    </row>
    <row r="3130" customFormat="false" ht="15" hidden="false" customHeight="true" outlineLevel="0" collapsed="false">
      <c r="A3130" s="7" t="s">
        <v>5988</v>
      </c>
      <c r="B3130" s="7" t="s">
        <v>9591</v>
      </c>
      <c r="C3130" s="7"/>
    </row>
    <row r="3131" customFormat="false" ht="15" hidden="false" customHeight="true" outlineLevel="0" collapsed="false">
      <c r="A3131" s="7" t="s">
        <v>5988</v>
      </c>
      <c r="B3131" s="7" t="s">
        <v>9592</v>
      </c>
      <c r="C3131" s="7"/>
    </row>
    <row r="3132" customFormat="false" ht="15" hidden="false" customHeight="true" outlineLevel="0" collapsed="false">
      <c r="A3132" s="7" t="s">
        <v>6000</v>
      </c>
      <c r="B3132" s="7" t="s">
        <v>6000</v>
      </c>
      <c r="C3132" s="7" t="s">
        <v>8004</v>
      </c>
    </row>
    <row r="3133" customFormat="false" ht="15" hidden="false" customHeight="true" outlineLevel="0" collapsed="false">
      <c r="A3133" s="7" t="s">
        <v>6000</v>
      </c>
      <c r="B3133" s="7" t="s">
        <v>9593</v>
      </c>
      <c r="C3133" s="7"/>
    </row>
    <row r="3134" customFormat="false" ht="15" hidden="false" customHeight="true" outlineLevel="0" collapsed="false">
      <c r="A3134" s="7" t="s">
        <v>6000</v>
      </c>
      <c r="B3134" s="7" t="s">
        <v>7727</v>
      </c>
      <c r="C3134" s="7" t="s">
        <v>8004</v>
      </c>
    </row>
    <row r="3135" customFormat="false" ht="15" hidden="false" customHeight="true" outlineLevel="0" collapsed="false">
      <c r="A3135" s="7" t="s">
        <v>6000</v>
      </c>
      <c r="B3135" s="7" t="s">
        <v>7726</v>
      </c>
      <c r="C3135" s="7" t="s">
        <v>8004</v>
      </c>
    </row>
    <row r="3136" customFormat="false" ht="15" hidden="false" customHeight="true" outlineLevel="0" collapsed="false">
      <c r="A3136" s="7" t="s">
        <v>6000</v>
      </c>
      <c r="B3136" s="7" t="s">
        <v>7728</v>
      </c>
      <c r="C3136" s="7" t="s">
        <v>8004</v>
      </c>
    </row>
    <row r="3137" customFormat="false" ht="15" hidden="false" customHeight="true" outlineLevel="0" collapsed="false">
      <c r="A3137" s="7" t="s">
        <v>6000</v>
      </c>
      <c r="B3137" s="7" t="s">
        <v>6004</v>
      </c>
      <c r="C3137" s="7" t="s">
        <v>8004</v>
      </c>
    </row>
    <row r="3138" customFormat="false" ht="15" hidden="false" customHeight="true" outlineLevel="0" collapsed="false">
      <c r="A3138" s="7" t="s">
        <v>6000</v>
      </c>
      <c r="B3138" s="7" t="s">
        <v>7725</v>
      </c>
      <c r="C3138" s="7" t="s">
        <v>8004</v>
      </c>
    </row>
    <row r="3139" customFormat="false" ht="15" hidden="false" customHeight="true" outlineLevel="0" collapsed="false">
      <c r="A3139" s="7" t="s">
        <v>6629</v>
      </c>
      <c r="B3139" s="7" t="s">
        <v>6629</v>
      </c>
      <c r="C3139" s="7" t="s">
        <v>8004</v>
      </c>
    </row>
    <row r="3140" customFormat="false" ht="15" hidden="false" customHeight="true" outlineLevel="0" collapsed="false">
      <c r="A3140" s="7" t="s">
        <v>6011</v>
      </c>
      <c r="B3140" s="7" t="s">
        <v>6011</v>
      </c>
      <c r="C3140" s="7" t="s">
        <v>8004</v>
      </c>
    </row>
    <row r="3141" customFormat="false" ht="15" hidden="false" customHeight="true" outlineLevel="0" collapsed="false">
      <c r="A3141" s="7" t="s">
        <v>6011</v>
      </c>
      <c r="B3141" s="7" t="s">
        <v>7729</v>
      </c>
      <c r="C3141" s="7" t="s">
        <v>8004</v>
      </c>
    </row>
    <row r="3142" customFormat="false" ht="15" hidden="false" customHeight="true" outlineLevel="0" collapsed="false">
      <c r="A3142" s="7" t="s">
        <v>6011</v>
      </c>
      <c r="B3142" s="7" t="s">
        <v>6015</v>
      </c>
      <c r="C3142" s="7" t="s">
        <v>8004</v>
      </c>
    </row>
    <row r="3143" customFormat="false" ht="15" hidden="false" customHeight="true" outlineLevel="0" collapsed="false">
      <c r="A3143" s="7" t="s">
        <v>6011</v>
      </c>
      <c r="B3143" s="7" t="s">
        <v>9594</v>
      </c>
      <c r="C3143" s="7"/>
    </row>
    <row r="3144" customFormat="false" ht="15" hidden="false" customHeight="true" outlineLevel="0" collapsed="false">
      <c r="A3144" s="7" t="s">
        <v>6011</v>
      </c>
      <c r="B3144" s="7" t="s">
        <v>7731</v>
      </c>
      <c r="C3144" s="7" t="s">
        <v>8004</v>
      </c>
    </row>
    <row r="3145" customFormat="false" ht="15" hidden="false" customHeight="true" outlineLevel="0" collapsed="false">
      <c r="A3145" s="7" t="s">
        <v>6011</v>
      </c>
      <c r="B3145" s="7" t="s">
        <v>7732</v>
      </c>
      <c r="C3145" s="7" t="s">
        <v>8004</v>
      </c>
    </row>
    <row r="3146" customFormat="false" ht="15" hidden="false" customHeight="true" outlineLevel="0" collapsed="false">
      <c r="A3146" s="7" t="s">
        <v>6011</v>
      </c>
      <c r="B3146" s="7" t="s">
        <v>7730</v>
      </c>
      <c r="C3146" s="7" t="s">
        <v>8004</v>
      </c>
    </row>
    <row r="3147" customFormat="false" ht="15" hidden="false" customHeight="true" outlineLevel="0" collapsed="false">
      <c r="A3147" s="7" t="s">
        <v>6011</v>
      </c>
      <c r="B3147" s="7" t="s">
        <v>9595</v>
      </c>
      <c r="C3147" s="7"/>
    </row>
    <row r="3148" customFormat="false" ht="15" hidden="false" customHeight="true" outlineLevel="0" collapsed="false">
      <c r="A3148" s="7" t="s">
        <v>6011</v>
      </c>
      <c r="B3148" s="7" t="s">
        <v>7752</v>
      </c>
      <c r="C3148" s="7" t="s">
        <v>8004</v>
      </c>
    </row>
    <row r="3149" customFormat="false" ht="15" hidden="false" customHeight="true" outlineLevel="0" collapsed="false">
      <c r="A3149" s="7" t="s">
        <v>6011</v>
      </c>
      <c r="B3149" s="7" t="s">
        <v>9596</v>
      </c>
      <c r="C3149" s="7"/>
    </row>
    <row r="3150" customFormat="false" ht="15" hidden="false" customHeight="true" outlineLevel="0" collapsed="false">
      <c r="A3150" s="7" t="s">
        <v>6022</v>
      </c>
      <c r="B3150" s="7" t="s">
        <v>6022</v>
      </c>
      <c r="C3150" s="7" t="s">
        <v>8004</v>
      </c>
    </row>
    <row r="3151" customFormat="false" ht="15" hidden="false" customHeight="true" outlineLevel="0" collapsed="false">
      <c r="A3151" s="7" t="s">
        <v>6022</v>
      </c>
      <c r="B3151" s="7" t="s">
        <v>6026</v>
      </c>
      <c r="C3151" s="7" t="s">
        <v>8004</v>
      </c>
    </row>
    <row r="3152" customFormat="false" ht="15" hidden="false" customHeight="true" outlineLevel="0" collapsed="false">
      <c r="A3152" s="7" t="s">
        <v>6022</v>
      </c>
      <c r="B3152" s="7" t="s">
        <v>7734</v>
      </c>
      <c r="C3152" s="7" t="s">
        <v>8004</v>
      </c>
    </row>
    <row r="3153" customFormat="false" ht="15" hidden="false" customHeight="true" outlineLevel="0" collapsed="false">
      <c r="A3153" s="7" t="s">
        <v>6022</v>
      </c>
      <c r="B3153" s="7" t="s">
        <v>7733</v>
      </c>
      <c r="C3153" s="7" t="s">
        <v>8004</v>
      </c>
    </row>
    <row r="3154" customFormat="false" ht="15" hidden="false" customHeight="true" outlineLevel="0" collapsed="false">
      <c r="A3154" s="7" t="s">
        <v>6022</v>
      </c>
      <c r="B3154" s="7" t="s">
        <v>9597</v>
      </c>
      <c r="C3154" s="7"/>
    </row>
    <row r="3155" customFormat="false" ht="15" hidden="false" customHeight="true" outlineLevel="0" collapsed="false">
      <c r="A3155" s="7" t="s">
        <v>6022</v>
      </c>
      <c r="B3155" s="7" t="s">
        <v>7753</v>
      </c>
      <c r="C3155" s="7" t="s">
        <v>8004</v>
      </c>
    </row>
    <row r="3156" customFormat="false" ht="15" hidden="false" customHeight="true" outlineLevel="0" collapsed="false">
      <c r="A3156" s="7" t="s">
        <v>6022</v>
      </c>
      <c r="B3156" s="7" t="s">
        <v>7673</v>
      </c>
      <c r="C3156" s="7" t="s">
        <v>8004</v>
      </c>
    </row>
    <row r="3157" customFormat="false" ht="15" hidden="false" customHeight="true" outlineLevel="0" collapsed="false">
      <c r="A3157" s="7" t="s">
        <v>6022</v>
      </c>
      <c r="B3157" s="7" t="s">
        <v>7735</v>
      </c>
      <c r="C3157" s="7" t="s">
        <v>8004</v>
      </c>
    </row>
    <row r="3158" customFormat="false" ht="15" hidden="false" customHeight="true" outlineLevel="0" collapsed="false">
      <c r="A3158" s="7" t="s">
        <v>6022</v>
      </c>
      <c r="B3158" s="7" t="s">
        <v>9598</v>
      </c>
      <c r="C3158" s="7"/>
    </row>
    <row r="3159" customFormat="false" ht="15" hidden="false" customHeight="true" outlineLevel="0" collapsed="false">
      <c r="A3159" s="7" t="s">
        <v>6033</v>
      </c>
      <c r="B3159" s="7" t="s">
        <v>6033</v>
      </c>
      <c r="C3159" s="7" t="s">
        <v>8004</v>
      </c>
    </row>
    <row r="3160" customFormat="false" ht="15" hidden="false" customHeight="true" outlineLevel="0" collapsed="false">
      <c r="A3160" s="7" t="s">
        <v>6033</v>
      </c>
      <c r="B3160" s="7" t="s">
        <v>7737</v>
      </c>
      <c r="C3160" s="7" t="s">
        <v>8004</v>
      </c>
    </row>
    <row r="3161" customFormat="false" ht="15" hidden="false" customHeight="true" outlineLevel="0" collapsed="false">
      <c r="A3161" s="7" t="s">
        <v>6033</v>
      </c>
      <c r="B3161" s="7" t="s">
        <v>6037</v>
      </c>
      <c r="C3161" s="7" t="s">
        <v>8004</v>
      </c>
    </row>
    <row r="3162" customFormat="false" ht="15" hidden="false" customHeight="true" outlineLevel="0" collapsed="false">
      <c r="A3162" s="7" t="s">
        <v>6033</v>
      </c>
      <c r="B3162" s="7" t="s">
        <v>9599</v>
      </c>
      <c r="C3162" s="7"/>
    </row>
    <row r="3163" customFormat="false" ht="15" hidden="false" customHeight="true" outlineLevel="0" collapsed="false">
      <c r="A3163" s="7" t="s">
        <v>6033</v>
      </c>
      <c r="B3163" s="7" t="s">
        <v>7736</v>
      </c>
      <c r="C3163" s="7" t="s">
        <v>8004</v>
      </c>
    </row>
    <row r="3164" customFormat="false" ht="15" hidden="false" customHeight="true" outlineLevel="0" collapsed="false">
      <c r="A3164" s="7" t="s">
        <v>6033</v>
      </c>
      <c r="B3164" s="7" t="s">
        <v>9600</v>
      </c>
      <c r="C3164" s="7"/>
    </row>
    <row r="3165" customFormat="false" ht="15" hidden="false" customHeight="true" outlineLevel="0" collapsed="false">
      <c r="A3165" s="7" t="s">
        <v>6033</v>
      </c>
      <c r="B3165" s="7" t="s">
        <v>7738</v>
      </c>
      <c r="C3165" s="7" t="s">
        <v>8004</v>
      </c>
    </row>
    <row r="3166" customFormat="false" ht="15" hidden="false" customHeight="true" outlineLevel="0" collapsed="false">
      <c r="A3166" s="7" t="s">
        <v>6033</v>
      </c>
      <c r="B3166" s="7" t="s">
        <v>7739</v>
      </c>
      <c r="C3166" s="7" t="s">
        <v>8004</v>
      </c>
    </row>
    <row r="3167" customFormat="false" ht="15" hidden="false" customHeight="true" outlineLevel="0" collapsed="false">
      <c r="A3167" s="7" t="s">
        <v>6044</v>
      </c>
      <c r="B3167" s="7" t="s">
        <v>6044</v>
      </c>
      <c r="C3167" s="7" t="s">
        <v>8004</v>
      </c>
    </row>
    <row r="3168" customFormat="false" ht="15" hidden="false" customHeight="true" outlineLevel="0" collapsed="false">
      <c r="A3168" s="7" t="s">
        <v>6044</v>
      </c>
      <c r="B3168" s="7" t="s">
        <v>6048</v>
      </c>
      <c r="C3168" s="7" t="s">
        <v>8004</v>
      </c>
    </row>
    <row r="3169" customFormat="false" ht="15" hidden="false" customHeight="true" outlineLevel="0" collapsed="false">
      <c r="A3169" s="7" t="s">
        <v>6044</v>
      </c>
      <c r="B3169" s="7" t="s">
        <v>7741</v>
      </c>
      <c r="C3169" s="7" t="s">
        <v>8004</v>
      </c>
    </row>
    <row r="3170" customFormat="false" ht="15" hidden="false" customHeight="true" outlineLevel="0" collapsed="false">
      <c r="A3170" s="7" t="s">
        <v>6044</v>
      </c>
      <c r="B3170" s="7" t="s">
        <v>7740</v>
      </c>
      <c r="C3170" s="7" t="s">
        <v>8004</v>
      </c>
    </row>
    <row r="3171" customFormat="false" ht="15" hidden="false" customHeight="true" outlineLevel="0" collapsed="false">
      <c r="A3171" s="7" t="s">
        <v>6044</v>
      </c>
      <c r="B3171" s="7" t="s">
        <v>7754</v>
      </c>
      <c r="C3171" s="7" t="s">
        <v>8004</v>
      </c>
    </row>
    <row r="3172" customFormat="false" ht="15" hidden="false" customHeight="true" outlineLevel="0" collapsed="false">
      <c r="A3172" s="7" t="s">
        <v>6044</v>
      </c>
      <c r="B3172" s="7" t="s">
        <v>7742</v>
      </c>
      <c r="C3172" s="7" t="s">
        <v>8004</v>
      </c>
    </row>
    <row r="3173" customFormat="false" ht="15" hidden="false" customHeight="true" outlineLevel="0" collapsed="false">
      <c r="A3173" s="7" t="s">
        <v>6044</v>
      </c>
      <c r="B3173" s="7" t="s">
        <v>7743</v>
      </c>
      <c r="C3173" s="7" t="s">
        <v>8004</v>
      </c>
    </row>
    <row r="3174" customFormat="false" ht="15" hidden="false" customHeight="true" outlineLevel="0" collapsed="false">
      <c r="A3174" s="7" t="s">
        <v>6055</v>
      </c>
      <c r="B3174" s="7" t="s">
        <v>6055</v>
      </c>
      <c r="C3174" s="7" t="s">
        <v>8004</v>
      </c>
    </row>
    <row r="3175" customFormat="false" ht="15" hidden="false" customHeight="true" outlineLevel="0" collapsed="false">
      <c r="A3175" s="7" t="s">
        <v>6055</v>
      </c>
      <c r="B3175" s="7" t="s">
        <v>6059</v>
      </c>
      <c r="C3175" s="7" t="s">
        <v>8004</v>
      </c>
    </row>
    <row r="3176" customFormat="false" ht="15" hidden="false" customHeight="true" outlineLevel="0" collapsed="false">
      <c r="A3176" s="7" t="s">
        <v>6055</v>
      </c>
      <c r="B3176" s="7" t="s">
        <v>9601</v>
      </c>
      <c r="C3176" s="7"/>
    </row>
    <row r="3177" customFormat="false" ht="15" hidden="false" customHeight="true" outlineLevel="0" collapsed="false">
      <c r="A3177" s="7" t="s">
        <v>6055</v>
      </c>
      <c r="B3177" s="7" t="s">
        <v>7746</v>
      </c>
      <c r="C3177" s="7" t="s">
        <v>8004</v>
      </c>
    </row>
    <row r="3178" customFormat="false" ht="15" hidden="false" customHeight="true" outlineLevel="0" collapsed="false">
      <c r="A3178" s="7" t="s">
        <v>6055</v>
      </c>
      <c r="B3178" s="7" t="s">
        <v>7745</v>
      </c>
      <c r="C3178" s="7" t="s">
        <v>8004</v>
      </c>
    </row>
    <row r="3179" customFormat="false" ht="15" hidden="false" customHeight="true" outlineLevel="0" collapsed="false">
      <c r="A3179" s="7" t="s">
        <v>6055</v>
      </c>
      <c r="B3179" s="7" t="s">
        <v>7747</v>
      </c>
      <c r="C3179" s="7" t="s">
        <v>8004</v>
      </c>
    </row>
    <row r="3180" customFormat="false" ht="15" hidden="false" customHeight="true" outlineLevel="0" collapsed="false">
      <c r="A3180" s="7" t="s">
        <v>6055</v>
      </c>
      <c r="B3180" s="7" t="s">
        <v>9602</v>
      </c>
      <c r="C3180" s="7"/>
    </row>
    <row r="3181" customFormat="false" ht="15" hidden="false" customHeight="true" outlineLevel="0" collapsed="false">
      <c r="A3181" s="7" t="s">
        <v>6055</v>
      </c>
      <c r="B3181" s="7" t="s">
        <v>7744</v>
      </c>
      <c r="C3181" s="7" t="s">
        <v>8004</v>
      </c>
    </row>
    <row r="3182" customFormat="false" ht="15" hidden="false" customHeight="true" outlineLevel="0" collapsed="false">
      <c r="A3182" s="7" t="s">
        <v>6066</v>
      </c>
      <c r="B3182" s="7" t="s">
        <v>6066</v>
      </c>
      <c r="C3182" s="7" t="s">
        <v>8004</v>
      </c>
    </row>
    <row r="3183" customFormat="false" ht="15" hidden="false" customHeight="true" outlineLevel="0" collapsed="false">
      <c r="A3183" s="7" t="s">
        <v>6066</v>
      </c>
      <c r="B3183" s="7" t="s">
        <v>6069</v>
      </c>
      <c r="C3183" s="7" t="s">
        <v>8004</v>
      </c>
    </row>
    <row r="3184" customFormat="false" ht="15" hidden="false" customHeight="true" outlineLevel="0" collapsed="false">
      <c r="A3184" s="7" t="s">
        <v>6066</v>
      </c>
      <c r="B3184" s="7" t="s">
        <v>7748</v>
      </c>
      <c r="C3184" s="7" t="s">
        <v>8004</v>
      </c>
    </row>
    <row r="3185" customFormat="false" ht="15" hidden="false" customHeight="true" outlineLevel="0" collapsed="false">
      <c r="A3185" s="7" t="s">
        <v>6066</v>
      </c>
      <c r="B3185" s="7" t="s">
        <v>7749</v>
      </c>
      <c r="C3185" s="7" t="s">
        <v>8004</v>
      </c>
    </row>
    <row r="3186" customFormat="false" ht="15" hidden="false" customHeight="true" outlineLevel="0" collapsed="false">
      <c r="A3186" s="7" t="s">
        <v>6066</v>
      </c>
      <c r="B3186" s="7" t="s">
        <v>6070</v>
      </c>
      <c r="C3186" s="7" t="s">
        <v>8004</v>
      </c>
    </row>
    <row r="3187" customFormat="false" ht="15" hidden="false" customHeight="true" outlineLevel="0" collapsed="false">
      <c r="A3187" s="7" t="s">
        <v>6066</v>
      </c>
      <c r="B3187" s="7" t="s">
        <v>9603</v>
      </c>
      <c r="C3187" s="7"/>
    </row>
    <row r="3188" customFormat="false" ht="15" hidden="false" customHeight="true" outlineLevel="0" collapsed="false">
      <c r="A3188" s="7" t="s">
        <v>6066</v>
      </c>
      <c r="B3188" s="7" t="s">
        <v>7755</v>
      </c>
      <c r="C3188" s="7" t="s">
        <v>8004</v>
      </c>
    </row>
    <row r="3189" customFormat="false" ht="15" hidden="false" customHeight="true" outlineLevel="0" collapsed="false">
      <c r="A3189" s="7" t="s">
        <v>6066</v>
      </c>
      <c r="B3189" s="7" t="s">
        <v>7750</v>
      </c>
      <c r="C3189" s="7" t="s">
        <v>8004</v>
      </c>
    </row>
    <row r="3190" customFormat="false" ht="15" hidden="false" customHeight="true" outlineLevel="0" collapsed="false">
      <c r="A3190" s="7" t="s">
        <v>6078</v>
      </c>
      <c r="B3190" s="7" t="s">
        <v>6078</v>
      </c>
      <c r="C3190" s="7" t="s">
        <v>8004</v>
      </c>
    </row>
    <row r="3191" customFormat="false" ht="15" hidden="false" customHeight="true" outlineLevel="0" collapsed="false">
      <c r="A3191" s="7" t="s">
        <v>6078</v>
      </c>
      <c r="B3191" s="7" t="s">
        <v>6082</v>
      </c>
      <c r="C3191" s="7" t="s">
        <v>8004</v>
      </c>
    </row>
    <row r="3192" customFormat="false" ht="15" hidden="false" customHeight="true" outlineLevel="0" collapsed="false">
      <c r="A3192" s="7" t="s">
        <v>6078</v>
      </c>
      <c r="B3192" s="7" t="s">
        <v>7759</v>
      </c>
      <c r="C3192" s="7" t="s">
        <v>8004</v>
      </c>
    </row>
    <row r="3193" customFormat="false" ht="15" hidden="false" customHeight="true" outlineLevel="0" collapsed="false">
      <c r="A3193" s="7" t="s">
        <v>6078</v>
      </c>
      <c r="B3193" s="7" t="s">
        <v>9604</v>
      </c>
      <c r="C3193" s="7"/>
    </row>
    <row r="3194" customFormat="false" ht="15" hidden="false" customHeight="true" outlineLevel="0" collapsed="false">
      <c r="A3194" s="7" t="s">
        <v>6078</v>
      </c>
      <c r="B3194" s="7" t="s">
        <v>7758</v>
      </c>
      <c r="C3194" s="7" t="s">
        <v>8004</v>
      </c>
    </row>
    <row r="3195" customFormat="false" ht="15" hidden="false" customHeight="true" outlineLevel="0" collapsed="false">
      <c r="A3195" s="7" t="s">
        <v>6078</v>
      </c>
      <c r="B3195" s="7" t="s">
        <v>7760</v>
      </c>
      <c r="C3195" s="7" t="s">
        <v>8004</v>
      </c>
    </row>
    <row r="3196" customFormat="false" ht="15" hidden="false" customHeight="true" outlineLevel="0" collapsed="false">
      <c r="A3196" s="7" t="s">
        <v>6078</v>
      </c>
      <c r="B3196" s="7" t="s">
        <v>7757</v>
      </c>
      <c r="C3196" s="7" t="s">
        <v>8004</v>
      </c>
    </row>
    <row r="3197" customFormat="false" ht="15" hidden="false" customHeight="true" outlineLevel="0" collapsed="false">
      <c r="A3197" s="7" t="s">
        <v>6078</v>
      </c>
      <c r="B3197" s="7" t="s">
        <v>7756</v>
      </c>
      <c r="C3197" s="7" t="s">
        <v>8004</v>
      </c>
    </row>
    <row r="3198" customFormat="false" ht="15" hidden="false" customHeight="true" outlineLevel="0" collapsed="false">
      <c r="A3198" s="7" t="s">
        <v>6078</v>
      </c>
      <c r="B3198" s="7" t="s">
        <v>9605</v>
      </c>
      <c r="C3198" s="7"/>
    </row>
    <row r="3199" customFormat="false" ht="15" hidden="false" customHeight="true" outlineLevel="0" collapsed="false">
      <c r="A3199" s="7" t="s">
        <v>6078</v>
      </c>
      <c r="B3199" s="7" t="s">
        <v>9606</v>
      </c>
      <c r="C3199" s="7"/>
    </row>
    <row r="3200" customFormat="false" ht="15" hidden="false" customHeight="true" outlineLevel="0" collapsed="false">
      <c r="A3200" s="7" t="s">
        <v>6090</v>
      </c>
      <c r="B3200" s="7" t="s">
        <v>6090</v>
      </c>
      <c r="C3200" s="7" t="s">
        <v>8004</v>
      </c>
    </row>
    <row r="3201" customFormat="false" ht="15" hidden="false" customHeight="true" outlineLevel="0" collapsed="false">
      <c r="A3201" s="7" t="s">
        <v>6090</v>
      </c>
      <c r="B3201" s="7" t="s">
        <v>6094</v>
      </c>
      <c r="C3201" s="7" t="s">
        <v>8004</v>
      </c>
    </row>
    <row r="3202" customFormat="false" ht="15" hidden="false" customHeight="true" outlineLevel="0" collapsed="false">
      <c r="A3202" s="7" t="s">
        <v>6090</v>
      </c>
      <c r="B3202" s="7" t="s">
        <v>6093</v>
      </c>
      <c r="C3202" s="7" t="s">
        <v>8004</v>
      </c>
    </row>
    <row r="3203" customFormat="false" ht="15" hidden="false" customHeight="true" outlineLevel="0" collapsed="false">
      <c r="A3203" s="7" t="s">
        <v>6090</v>
      </c>
      <c r="B3203" s="7" t="s">
        <v>7763</v>
      </c>
      <c r="C3203" s="7" t="s">
        <v>8004</v>
      </c>
    </row>
    <row r="3204" customFormat="false" ht="15" hidden="false" customHeight="true" outlineLevel="0" collapsed="false">
      <c r="A3204" s="7" t="s">
        <v>6090</v>
      </c>
      <c r="B3204" s="7" t="s">
        <v>7761</v>
      </c>
      <c r="C3204" s="7" t="s">
        <v>8004</v>
      </c>
    </row>
    <row r="3205" customFormat="false" ht="15" hidden="false" customHeight="true" outlineLevel="0" collapsed="false">
      <c r="A3205" s="7" t="s">
        <v>6090</v>
      </c>
      <c r="B3205" s="7" t="s">
        <v>7764</v>
      </c>
      <c r="C3205" s="7" t="s">
        <v>8004</v>
      </c>
    </row>
    <row r="3206" customFormat="false" ht="15" hidden="false" customHeight="true" outlineLevel="0" collapsed="false">
      <c r="A3206" s="7" t="s">
        <v>6090</v>
      </c>
      <c r="B3206" s="7" t="s">
        <v>9607</v>
      </c>
      <c r="C3206" s="7"/>
    </row>
    <row r="3207" customFormat="false" ht="15" hidden="false" customHeight="true" outlineLevel="0" collapsed="false">
      <c r="A3207" s="7" t="s">
        <v>6090</v>
      </c>
      <c r="B3207" s="7" t="s">
        <v>7762</v>
      </c>
      <c r="C3207" s="7" t="s">
        <v>8004</v>
      </c>
    </row>
    <row r="3208" customFormat="false" ht="15" hidden="false" customHeight="true" outlineLevel="0" collapsed="false">
      <c r="A3208" s="7" t="s">
        <v>6090</v>
      </c>
      <c r="B3208" s="7" t="s">
        <v>9608</v>
      </c>
      <c r="C3208" s="7"/>
    </row>
    <row r="3209" customFormat="false" ht="15" hidden="false" customHeight="true" outlineLevel="0" collapsed="false">
      <c r="A3209" s="7" t="s">
        <v>6090</v>
      </c>
      <c r="B3209" s="7" t="s">
        <v>9609</v>
      </c>
      <c r="C3209" s="7"/>
    </row>
    <row r="3210" customFormat="false" ht="15" hidden="false" customHeight="true" outlineLevel="0" collapsed="false">
      <c r="A3210" s="7" t="s">
        <v>6111</v>
      </c>
      <c r="B3210" s="7" t="s">
        <v>6111</v>
      </c>
      <c r="C3210" s="7" t="s">
        <v>8004</v>
      </c>
    </row>
    <row r="3211" customFormat="false" ht="15" hidden="false" customHeight="true" outlineLevel="0" collapsed="false">
      <c r="A3211" s="7" t="s">
        <v>6111</v>
      </c>
      <c r="B3211" s="7" t="s">
        <v>6115</v>
      </c>
      <c r="C3211" s="7" t="s">
        <v>8004</v>
      </c>
    </row>
    <row r="3212" customFormat="false" ht="15" hidden="false" customHeight="true" outlineLevel="0" collapsed="false">
      <c r="A3212" s="7" t="s">
        <v>6111</v>
      </c>
      <c r="B3212" s="7" t="s">
        <v>7768</v>
      </c>
      <c r="C3212" s="7" t="s">
        <v>8004</v>
      </c>
    </row>
    <row r="3213" customFormat="false" ht="15" hidden="false" customHeight="true" outlineLevel="0" collapsed="false">
      <c r="A3213" s="7" t="s">
        <v>6111</v>
      </c>
      <c r="B3213" s="7" t="s">
        <v>9610</v>
      </c>
      <c r="C3213" s="7"/>
    </row>
    <row r="3214" customFormat="false" ht="15" hidden="false" customHeight="true" outlineLevel="0" collapsed="false">
      <c r="A3214" s="7" t="s">
        <v>6111</v>
      </c>
      <c r="B3214" s="7" t="s">
        <v>7766</v>
      </c>
      <c r="C3214" s="7" t="s">
        <v>8004</v>
      </c>
    </row>
    <row r="3215" customFormat="false" ht="15" hidden="false" customHeight="true" outlineLevel="0" collapsed="false">
      <c r="A3215" s="7" t="s">
        <v>6111</v>
      </c>
      <c r="B3215" s="7" t="s">
        <v>7765</v>
      </c>
      <c r="C3215" s="7" t="s">
        <v>8004</v>
      </c>
    </row>
    <row r="3216" customFormat="false" ht="15" hidden="false" customHeight="true" outlineLevel="0" collapsed="false">
      <c r="A3216" s="7" t="s">
        <v>6111</v>
      </c>
      <c r="B3216" s="7" t="s">
        <v>7767</v>
      </c>
      <c r="C3216" s="7" t="s">
        <v>8004</v>
      </c>
    </row>
    <row r="3217" customFormat="false" ht="15" hidden="false" customHeight="true" outlineLevel="0" collapsed="false">
      <c r="A3217" s="7" t="s">
        <v>6111</v>
      </c>
      <c r="B3217" s="7" t="s">
        <v>7769</v>
      </c>
      <c r="C3217" s="7" t="s">
        <v>8004</v>
      </c>
    </row>
    <row r="3218" customFormat="false" ht="15" hidden="false" customHeight="true" outlineLevel="0" collapsed="false">
      <c r="A3218" s="7" t="s">
        <v>6111</v>
      </c>
      <c r="B3218" s="7" t="s">
        <v>9611</v>
      </c>
      <c r="C3218" s="7"/>
    </row>
    <row r="3219" customFormat="false" ht="15" hidden="false" customHeight="true" outlineLevel="0" collapsed="false">
      <c r="A3219" s="7" t="s">
        <v>6111</v>
      </c>
      <c r="B3219" s="7" t="s">
        <v>9612</v>
      </c>
      <c r="C3219" s="7"/>
    </row>
    <row r="3220" customFormat="false" ht="15" hidden="false" customHeight="true" outlineLevel="0" collapsed="false">
      <c r="A3220" s="7" t="s">
        <v>6126</v>
      </c>
      <c r="B3220" s="7" t="s">
        <v>9613</v>
      </c>
      <c r="C3220" s="7"/>
    </row>
    <row r="3221" customFormat="false" ht="15" hidden="false" customHeight="true" outlineLevel="0" collapsed="false">
      <c r="A3221" s="7" t="s">
        <v>6126</v>
      </c>
      <c r="B3221" s="7" t="s">
        <v>9614</v>
      </c>
      <c r="C3221" s="7"/>
    </row>
    <row r="3222" customFormat="false" ht="15" hidden="false" customHeight="true" outlineLevel="0" collapsed="false">
      <c r="A3222" s="7" t="s">
        <v>6126</v>
      </c>
      <c r="B3222" s="7" t="s">
        <v>9615</v>
      </c>
      <c r="C3222" s="7"/>
    </row>
    <row r="3223" customFormat="false" ht="15" hidden="false" customHeight="true" outlineLevel="0" collapsed="false">
      <c r="A3223" s="7" t="s">
        <v>6126</v>
      </c>
      <c r="B3223" s="7" t="s">
        <v>9616</v>
      </c>
      <c r="C3223" s="7"/>
    </row>
    <row r="3224" customFormat="false" ht="15" hidden="false" customHeight="true" outlineLevel="0" collapsed="false">
      <c r="A3224" s="7" t="s">
        <v>6136</v>
      </c>
      <c r="B3224" s="7" t="s">
        <v>6136</v>
      </c>
      <c r="C3224" s="7" t="s">
        <v>8004</v>
      </c>
    </row>
    <row r="3225" customFormat="false" ht="15" hidden="false" customHeight="true" outlineLevel="0" collapsed="false">
      <c r="A3225" s="7" t="s">
        <v>6136</v>
      </c>
      <c r="B3225" s="7" t="s">
        <v>6140</v>
      </c>
      <c r="C3225" s="7" t="s">
        <v>8004</v>
      </c>
    </row>
    <row r="3226" customFormat="false" ht="15" hidden="false" customHeight="true" outlineLevel="0" collapsed="false">
      <c r="A3226" s="7" t="s">
        <v>6136</v>
      </c>
      <c r="B3226" s="7" t="s">
        <v>7773</v>
      </c>
      <c r="C3226" s="7" t="s">
        <v>8004</v>
      </c>
    </row>
    <row r="3227" customFormat="false" ht="15" hidden="false" customHeight="true" outlineLevel="0" collapsed="false">
      <c r="A3227" s="7" t="s">
        <v>6136</v>
      </c>
      <c r="B3227" s="7" t="s">
        <v>9617</v>
      </c>
      <c r="C3227" s="7"/>
    </row>
    <row r="3228" customFormat="false" ht="15" hidden="false" customHeight="true" outlineLevel="0" collapsed="false">
      <c r="A3228" s="7" t="s">
        <v>6136</v>
      </c>
      <c r="B3228" s="7" t="s">
        <v>7772</v>
      </c>
      <c r="C3228" s="7" t="s">
        <v>8004</v>
      </c>
    </row>
    <row r="3229" customFormat="false" ht="15" hidden="false" customHeight="true" outlineLevel="0" collapsed="false">
      <c r="A3229" s="7" t="s">
        <v>6136</v>
      </c>
      <c r="B3229" s="7" t="s">
        <v>7770</v>
      </c>
      <c r="C3229" s="7" t="s">
        <v>8004</v>
      </c>
    </row>
    <row r="3230" customFormat="false" ht="15" hidden="false" customHeight="true" outlineLevel="0" collapsed="false">
      <c r="A3230" s="7" t="s">
        <v>6136</v>
      </c>
      <c r="B3230" s="7" t="s">
        <v>6139</v>
      </c>
      <c r="C3230" s="7" t="s">
        <v>8004</v>
      </c>
    </row>
    <row r="3231" customFormat="false" ht="15" hidden="false" customHeight="true" outlineLevel="0" collapsed="false">
      <c r="A3231" s="7" t="s">
        <v>6136</v>
      </c>
      <c r="B3231" s="7" t="s">
        <v>7771</v>
      </c>
      <c r="C3231" s="7" t="s">
        <v>8004</v>
      </c>
    </row>
    <row r="3232" customFormat="false" ht="15" hidden="false" customHeight="true" outlineLevel="0" collapsed="false">
      <c r="A3232" s="7" t="s">
        <v>6136</v>
      </c>
      <c r="B3232" s="7" t="s">
        <v>9618</v>
      </c>
      <c r="C3232" s="7"/>
    </row>
    <row r="3233" customFormat="false" ht="15" hidden="false" customHeight="true" outlineLevel="0" collapsed="false">
      <c r="A3233" s="7" t="s">
        <v>6136</v>
      </c>
      <c r="B3233" s="7" t="s">
        <v>9619</v>
      </c>
      <c r="C3233" s="7"/>
    </row>
    <row r="3234" customFormat="false" ht="15" hidden="false" customHeight="true" outlineLevel="0" collapsed="false">
      <c r="A3234" s="7" t="s">
        <v>6147</v>
      </c>
      <c r="B3234" s="7" t="s">
        <v>6147</v>
      </c>
      <c r="C3234" s="7" t="s">
        <v>8004</v>
      </c>
    </row>
    <row r="3235" customFormat="false" ht="15" hidden="false" customHeight="true" outlineLevel="0" collapsed="false">
      <c r="A3235" s="7" t="s">
        <v>6147</v>
      </c>
      <c r="B3235" s="7" t="s">
        <v>6151</v>
      </c>
      <c r="C3235" s="7" t="s">
        <v>8004</v>
      </c>
    </row>
    <row r="3236" customFormat="false" ht="15" hidden="false" customHeight="true" outlineLevel="0" collapsed="false">
      <c r="A3236" s="7" t="s">
        <v>6147</v>
      </c>
      <c r="B3236" s="7" t="s">
        <v>9620</v>
      </c>
      <c r="C3236" s="7"/>
    </row>
    <row r="3237" customFormat="false" ht="15" hidden="false" customHeight="true" outlineLevel="0" collapsed="false">
      <c r="A3237" s="7" t="s">
        <v>6157</v>
      </c>
      <c r="B3237" s="7" t="s">
        <v>6157</v>
      </c>
      <c r="C3237" s="7" t="s">
        <v>8004</v>
      </c>
    </row>
    <row r="3238" customFormat="false" ht="15" hidden="false" customHeight="true" outlineLevel="0" collapsed="false">
      <c r="A3238" s="7" t="s">
        <v>6157</v>
      </c>
      <c r="B3238" s="7" t="s">
        <v>6161</v>
      </c>
      <c r="C3238" s="7" t="s">
        <v>8004</v>
      </c>
    </row>
    <row r="3239" customFormat="false" ht="15" hidden="false" customHeight="true" outlineLevel="0" collapsed="false">
      <c r="A3239" s="7" t="s">
        <v>6157</v>
      </c>
      <c r="B3239" s="7" t="s">
        <v>7778</v>
      </c>
      <c r="C3239" s="7" t="s">
        <v>8004</v>
      </c>
    </row>
    <row r="3240" customFormat="false" ht="15" hidden="false" customHeight="true" outlineLevel="0" collapsed="false">
      <c r="A3240" s="7" t="s">
        <v>6157</v>
      </c>
      <c r="B3240" s="7" t="s">
        <v>9621</v>
      </c>
      <c r="C3240" s="7"/>
    </row>
    <row r="3241" customFormat="false" ht="15" hidden="false" customHeight="true" outlineLevel="0" collapsed="false">
      <c r="A3241" s="7" t="s">
        <v>6157</v>
      </c>
      <c r="B3241" s="7" t="s">
        <v>7777</v>
      </c>
      <c r="C3241" s="7" t="s">
        <v>8004</v>
      </c>
    </row>
    <row r="3242" customFormat="false" ht="15" hidden="false" customHeight="true" outlineLevel="0" collapsed="false">
      <c r="A3242" s="7" t="s">
        <v>6157</v>
      </c>
      <c r="B3242" s="7" t="s">
        <v>7775</v>
      </c>
      <c r="C3242" s="7" t="s">
        <v>8004</v>
      </c>
    </row>
    <row r="3243" customFormat="false" ht="15" hidden="false" customHeight="true" outlineLevel="0" collapsed="false">
      <c r="A3243" s="7" t="s">
        <v>6157</v>
      </c>
      <c r="B3243" s="7" t="s">
        <v>7774</v>
      </c>
      <c r="C3243" s="7" t="s">
        <v>8004</v>
      </c>
    </row>
    <row r="3244" customFormat="false" ht="15" hidden="false" customHeight="true" outlineLevel="0" collapsed="false">
      <c r="A3244" s="7" t="s">
        <v>6157</v>
      </c>
      <c r="B3244" s="7" t="s">
        <v>9622</v>
      </c>
      <c r="C3244" s="7"/>
    </row>
    <row r="3245" customFormat="false" ht="15" hidden="false" customHeight="true" outlineLevel="0" collapsed="false">
      <c r="A3245" s="7" t="s">
        <v>6157</v>
      </c>
      <c r="B3245" s="7" t="s">
        <v>7776</v>
      </c>
      <c r="C3245" s="7" t="s">
        <v>8004</v>
      </c>
    </row>
    <row r="3246" customFormat="false" ht="15" hidden="false" customHeight="true" outlineLevel="0" collapsed="false">
      <c r="A3246" s="7" t="s">
        <v>6157</v>
      </c>
      <c r="B3246" s="7" t="s">
        <v>6160</v>
      </c>
      <c r="C3246" s="7" t="s">
        <v>8004</v>
      </c>
    </row>
    <row r="3247" customFormat="false" ht="15" hidden="false" customHeight="true" outlineLevel="0" collapsed="false">
      <c r="A3247" s="7" t="s">
        <v>6168</v>
      </c>
      <c r="B3247" s="7" t="s">
        <v>6168</v>
      </c>
      <c r="C3247" s="7" t="s">
        <v>8004</v>
      </c>
    </row>
    <row r="3248" customFormat="false" ht="15" hidden="false" customHeight="true" outlineLevel="0" collapsed="false">
      <c r="A3248" s="7" t="s">
        <v>6168</v>
      </c>
      <c r="B3248" s="7" t="s">
        <v>6172</v>
      </c>
      <c r="C3248" s="7" t="s">
        <v>8004</v>
      </c>
    </row>
    <row r="3249" customFormat="false" ht="15" hidden="false" customHeight="true" outlineLevel="0" collapsed="false">
      <c r="A3249" s="7" t="s">
        <v>6168</v>
      </c>
      <c r="B3249" s="7" t="s">
        <v>7782</v>
      </c>
      <c r="C3249" s="7" t="s">
        <v>8004</v>
      </c>
    </row>
    <row r="3250" customFormat="false" ht="15" hidden="false" customHeight="true" outlineLevel="0" collapsed="false">
      <c r="A3250" s="7" t="s">
        <v>6168</v>
      </c>
      <c r="B3250" s="7" t="s">
        <v>6171</v>
      </c>
      <c r="C3250" s="7" t="s">
        <v>8004</v>
      </c>
    </row>
    <row r="3251" customFormat="false" ht="15" hidden="false" customHeight="true" outlineLevel="0" collapsed="false">
      <c r="A3251" s="7" t="s">
        <v>6168</v>
      </c>
      <c r="B3251" s="7" t="s">
        <v>7780</v>
      </c>
      <c r="C3251" s="7" t="s">
        <v>8004</v>
      </c>
    </row>
    <row r="3252" customFormat="false" ht="15" hidden="false" customHeight="true" outlineLevel="0" collapsed="false">
      <c r="A3252" s="7" t="s">
        <v>6168</v>
      </c>
      <c r="B3252" s="7" t="s">
        <v>9623</v>
      </c>
      <c r="C3252" s="7"/>
    </row>
    <row r="3253" customFormat="false" ht="15" hidden="false" customHeight="true" outlineLevel="0" collapsed="false">
      <c r="A3253" s="7" t="s">
        <v>6168</v>
      </c>
      <c r="B3253" s="7" t="s">
        <v>7781</v>
      </c>
      <c r="C3253" s="7" t="s">
        <v>8004</v>
      </c>
    </row>
    <row r="3254" customFormat="false" ht="15" hidden="false" customHeight="true" outlineLevel="0" collapsed="false">
      <c r="A3254" s="7" t="s">
        <v>6168</v>
      </c>
      <c r="B3254" s="7" t="s">
        <v>7779</v>
      </c>
      <c r="C3254" s="7" t="s">
        <v>8004</v>
      </c>
    </row>
    <row r="3255" customFormat="false" ht="15" hidden="false" customHeight="true" outlineLevel="0" collapsed="false">
      <c r="A3255" s="7" t="s">
        <v>6168</v>
      </c>
      <c r="B3255" s="7" t="s">
        <v>9624</v>
      </c>
      <c r="C3255" s="7"/>
    </row>
    <row r="3256" customFormat="false" ht="15" hidden="false" customHeight="true" outlineLevel="0" collapsed="false">
      <c r="A3256" s="7" t="s">
        <v>6168</v>
      </c>
      <c r="B3256" s="7" t="s">
        <v>9625</v>
      </c>
      <c r="C3256" s="7"/>
    </row>
    <row r="3257" customFormat="false" ht="15" hidden="false" customHeight="true" outlineLevel="0" collapsed="false">
      <c r="A3257" s="7" t="s">
        <v>6179</v>
      </c>
      <c r="B3257" s="7" t="s">
        <v>6179</v>
      </c>
      <c r="C3257" s="7" t="s">
        <v>8004</v>
      </c>
    </row>
    <row r="3258" customFormat="false" ht="15" hidden="false" customHeight="true" outlineLevel="0" collapsed="false">
      <c r="A3258" s="7" t="s">
        <v>6179</v>
      </c>
      <c r="B3258" s="7" t="s">
        <v>6183</v>
      </c>
      <c r="C3258" s="7" t="s">
        <v>8004</v>
      </c>
    </row>
    <row r="3259" customFormat="false" ht="15" hidden="false" customHeight="true" outlineLevel="0" collapsed="false">
      <c r="A3259" s="7" t="s">
        <v>6179</v>
      </c>
      <c r="B3259" s="7" t="s">
        <v>6182</v>
      </c>
      <c r="C3259" s="7" t="s">
        <v>8004</v>
      </c>
    </row>
    <row r="3260" customFormat="false" ht="15" hidden="false" customHeight="true" outlineLevel="0" collapsed="false">
      <c r="A3260" s="7" t="s">
        <v>6179</v>
      </c>
      <c r="B3260" s="7" t="s">
        <v>7786</v>
      </c>
      <c r="C3260" s="7" t="s">
        <v>8004</v>
      </c>
    </row>
    <row r="3261" customFormat="false" ht="15" hidden="false" customHeight="true" outlineLevel="0" collapsed="false">
      <c r="A3261" s="7" t="s">
        <v>6179</v>
      </c>
      <c r="B3261" s="7" t="s">
        <v>7783</v>
      </c>
      <c r="C3261" s="7" t="s">
        <v>8004</v>
      </c>
    </row>
    <row r="3262" customFormat="false" ht="15" hidden="false" customHeight="true" outlineLevel="0" collapsed="false">
      <c r="A3262" s="7" t="s">
        <v>6179</v>
      </c>
      <c r="B3262" s="7" t="s">
        <v>9626</v>
      </c>
      <c r="C3262" s="7"/>
    </row>
    <row r="3263" customFormat="false" ht="15" hidden="false" customHeight="true" outlineLevel="0" collapsed="false">
      <c r="A3263" s="7" t="s">
        <v>6179</v>
      </c>
      <c r="B3263" s="7" t="s">
        <v>7784</v>
      </c>
      <c r="C3263" s="7" t="s">
        <v>8004</v>
      </c>
    </row>
    <row r="3264" customFormat="false" ht="15" hidden="false" customHeight="true" outlineLevel="0" collapsed="false">
      <c r="A3264" s="7" t="s">
        <v>6179</v>
      </c>
      <c r="B3264" s="7" t="s">
        <v>7785</v>
      </c>
      <c r="C3264" s="7" t="s">
        <v>8004</v>
      </c>
    </row>
    <row r="3265" customFormat="false" ht="15" hidden="false" customHeight="true" outlineLevel="0" collapsed="false">
      <c r="A3265" s="7" t="s">
        <v>6179</v>
      </c>
      <c r="B3265" s="7" t="s">
        <v>9627</v>
      </c>
      <c r="C3265" s="7"/>
    </row>
    <row r="3266" customFormat="false" ht="15" hidden="false" customHeight="true" outlineLevel="0" collapsed="false">
      <c r="A3266" s="7" t="s">
        <v>6179</v>
      </c>
      <c r="B3266" s="7" t="s">
        <v>9628</v>
      </c>
      <c r="C3266" s="7"/>
    </row>
    <row r="3267" customFormat="false" ht="15" hidden="false" customHeight="true" outlineLevel="0" collapsed="false">
      <c r="A3267" s="7" t="s">
        <v>6190</v>
      </c>
      <c r="B3267" s="7" t="s">
        <v>6190</v>
      </c>
      <c r="C3267" s="7" t="s">
        <v>8004</v>
      </c>
    </row>
    <row r="3268" customFormat="false" ht="15" hidden="false" customHeight="true" outlineLevel="0" collapsed="false">
      <c r="A3268" s="7" t="s">
        <v>6190</v>
      </c>
      <c r="B3268" s="7" t="s">
        <v>6194</v>
      </c>
      <c r="C3268" s="7" t="s">
        <v>8004</v>
      </c>
    </row>
    <row r="3269" customFormat="false" ht="15" hidden="false" customHeight="true" outlineLevel="0" collapsed="false">
      <c r="A3269" s="7" t="s">
        <v>6190</v>
      </c>
      <c r="B3269" s="7" t="s">
        <v>7788</v>
      </c>
      <c r="C3269" s="7" t="s">
        <v>8004</v>
      </c>
    </row>
    <row r="3270" customFormat="false" ht="15" hidden="false" customHeight="true" outlineLevel="0" collapsed="false">
      <c r="A3270" s="7" t="s">
        <v>6190</v>
      </c>
      <c r="B3270" s="7" t="s">
        <v>9629</v>
      </c>
      <c r="C3270" s="7"/>
    </row>
    <row r="3271" customFormat="false" ht="15" hidden="false" customHeight="true" outlineLevel="0" collapsed="false">
      <c r="A3271" s="7" t="s">
        <v>6190</v>
      </c>
      <c r="B3271" s="7" t="s">
        <v>9630</v>
      </c>
      <c r="C3271" s="7"/>
    </row>
    <row r="3272" customFormat="false" ht="15" hidden="false" customHeight="true" outlineLevel="0" collapsed="false">
      <c r="A3272" s="7" t="s">
        <v>6190</v>
      </c>
      <c r="B3272" s="7" t="s">
        <v>7790</v>
      </c>
      <c r="C3272" s="7" t="s">
        <v>8004</v>
      </c>
    </row>
    <row r="3273" customFormat="false" ht="15" hidden="false" customHeight="true" outlineLevel="0" collapsed="false">
      <c r="A3273" s="7" t="s">
        <v>6190</v>
      </c>
      <c r="B3273" s="7" t="s">
        <v>7787</v>
      </c>
      <c r="C3273" s="7" t="s">
        <v>8004</v>
      </c>
    </row>
    <row r="3274" customFormat="false" ht="15" hidden="false" customHeight="true" outlineLevel="0" collapsed="false">
      <c r="A3274" s="7" t="s">
        <v>6190</v>
      </c>
      <c r="B3274" s="7" t="s">
        <v>7789</v>
      </c>
      <c r="C3274" s="7" t="s">
        <v>8004</v>
      </c>
    </row>
    <row r="3275" customFormat="false" ht="15" hidden="false" customHeight="true" outlineLevel="0" collapsed="false">
      <c r="A3275" s="7" t="s">
        <v>6190</v>
      </c>
      <c r="B3275" s="7" t="s">
        <v>6193</v>
      </c>
      <c r="C3275" s="7" t="s">
        <v>8004</v>
      </c>
    </row>
    <row r="3276" customFormat="false" ht="15" hidden="false" customHeight="true" outlineLevel="0" collapsed="false">
      <c r="A3276" s="7" t="s">
        <v>6190</v>
      </c>
      <c r="B3276" s="7" t="s">
        <v>9631</v>
      </c>
      <c r="C3276" s="7"/>
    </row>
    <row r="3277" customFormat="false" ht="15" hidden="false" customHeight="true" outlineLevel="0" collapsed="false">
      <c r="A3277" s="7" t="s">
        <v>6199</v>
      </c>
      <c r="B3277" s="7" t="s">
        <v>6199</v>
      </c>
      <c r="C3277" s="7" t="s">
        <v>8004</v>
      </c>
    </row>
    <row r="3278" customFormat="false" ht="15" hidden="false" customHeight="true" outlineLevel="0" collapsed="false">
      <c r="A3278" s="7" t="s">
        <v>6199</v>
      </c>
      <c r="B3278" s="7" t="s">
        <v>9632</v>
      </c>
      <c r="C3278" s="7"/>
    </row>
    <row r="3279" customFormat="false" ht="15" hidden="false" customHeight="true" outlineLevel="0" collapsed="false">
      <c r="A3279" s="7" t="s">
        <v>6199</v>
      </c>
      <c r="B3279" s="7" t="s">
        <v>6203</v>
      </c>
      <c r="C3279" s="7" t="s">
        <v>8004</v>
      </c>
    </row>
    <row r="3280" customFormat="false" ht="15" hidden="false" customHeight="true" outlineLevel="0" collapsed="false">
      <c r="A3280" s="7" t="s">
        <v>6199</v>
      </c>
      <c r="B3280" s="7" t="s">
        <v>6202</v>
      </c>
      <c r="C3280" s="7" t="s">
        <v>8004</v>
      </c>
    </row>
    <row r="3281" customFormat="false" ht="15" hidden="false" customHeight="true" outlineLevel="0" collapsed="false">
      <c r="A3281" s="7" t="s">
        <v>6199</v>
      </c>
      <c r="B3281" s="7" t="s">
        <v>7793</v>
      </c>
      <c r="C3281" s="7" t="s">
        <v>8004</v>
      </c>
    </row>
    <row r="3282" customFormat="false" ht="15" hidden="false" customHeight="true" outlineLevel="0" collapsed="false">
      <c r="A3282" s="7" t="s">
        <v>6199</v>
      </c>
      <c r="B3282" s="7" t="s">
        <v>7792</v>
      </c>
      <c r="C3282" s="7" t="s">
        <v>8004</v>
      </c>
    </row>
    <row r="3283" customFormat="false" ht="15" hidden="false" customHeight="true" outlineLevel="0" collapsed="false">
      <c r="A3283" s="7" t="s">
        <v>6199</v>
      </c>
      <c r="B3283" s="7" t="s">
        <v>7791</v>
      </c>
      <c r="C3283" s="7" t="s">
        <v>8004</v>
      </c>
    </row>
    <row r="3284" customFormat="false" ht="15" hidden="false" customHeight="true" outlineLevel="0" collapsed="false">
      <c r="A3284" s="7" t="s">
        <v>6199</v>
      </c>
      <c r="B3284" s="7" t="s">
        <v>9633</v>
      </c>
      <c r="C3284" s="7"/>
    </row>
    <row r="3285" customFormat="false" ht="15" hidden="false" customHeight="true" outlineLevel="0" collapsed="false">
      <c r="A3285" s="7" t="s">
        <v>6199</v>
      </c>
      <c r="B3285" s="7" t="s">
        <v>7794</v>
      </c>
      <c r="C3285" s="7" t="s">
        <v>8004</v>
      </c>
    </row>
    <row r="3286" customFormat="false" ht="15" hidden="false" customHeight="true" outlineLevel="0" collapsed="false">
      <c r="A3286" s="7" t="s">
        <v>6199</v>
      </c>
      <c r="B3286" s="7" t="s">
        <v>9634</v>
      </c>
      <c r="C3286" s="7"/>
    </row>
    <row r="3287" customFormat="false" ht="15" hidden="false" customHeight="true" outlineLevel="0" collapsed="false">
      <c r="A3287" s="7" t="s">
        <v>6211</v>
      </c>
      <c r="B3287" s="7" t="s">
        <v>6211</v>
      </c>
      <c r="C3287" s="7" t="s">
        <v>8004</v>
      </c>
    </row>
    <row r="3288" customFormat="false" ht="15" hidden="false" customHeight="true" outlineLevel="0" collapsed="false">
      <c r="A3288" s="7" t="s">
        <v>6211</v>
      </c>
      <c r="B3288" s="7" t="s">
        <v>9635</v>
      </c>
      <c r="C3288" s="7"/>
    </row>
    <row r="3289" customFormat="false" ht="15" hidden="false" customHeight="true" outlineLevel="0" collapsed="false">
      <c r="A3289" s="7" t="s">
        <v>6211</v>
      </c>
      <c r="B3289" s="7" t="s">
        <v>7798</v>
      </c>
      <c r="C3289" s="7" t="s">
        <v>8004</v>
      </c>
    </row>
    <row r="3290" customFormat="false" ht="15" hidden="false" customHeight="true" outlineLevel="0" collapsed="false">
      <c r="A3290" s="7" t="s">
        <v>6211</v>
      </c>
      <c r="B3290" s="7" t="s">
        <v>6215</v>
      </c>
      <c r="C3290" s="7" t="s">
        <v>8004</v>
      </c>
    </row>
    <row r="3291" customFormat="false" ht="15" hidden="false" customHeight="true" outlineLevel="0" collapsed="false">
      <c r="A3291" s="7" t="s">
        <v>6211</v>
      </c>
      <c r="B3291" s="7" t="s">
        <v>9636</v>
      </c>
      <c r="C3291" s="7"/>
    </row>
    <row r="3292" customFormat="false" ht="15" hidden="false" customHeight="true" outlineLevel="0" collapsed="false">
      <c r="A3292" s="7" t="s">
        <v>6211</v>
      </c>
      <c r="B3292" s="7" t="s">
        <v>9637</v>
      </c>
      <c r="C3292" s="7"/>
    </row>
    <row r="3293" customFormat="false" ht="15" hidden="false" customHeight="true" outlineLevel="0" collapsed="false">
      <c r="A3293" s="7" t="s">
        <v>6211</v>
      </c>
      <c r="B3293" s="7" t="s">
        <v>7797</v>
      </c>
      <c r="C3293" s="7" t="s">
        <v>8004</v>
      </c>
    </row>
    <row r="3294" customFormat="false" ht="15" hidden="false" customHeight="true" outlineLevel="0" collapsed="false">
      <c r="A3294" s="7" t="s">
        <v>6211</v>
      </c>
      <c r="B3294" s="7" t="s">
        <v>6214</v>
      </c>
      <c r="C3294" s="7" t="s">
        <v>8004</v>
      </c>
    </row>
    <row r="3295" customFormat="false" ht="15" hidden="false" customHeight="true" outlineLevel="0" collapsed="false">
      <c r="A3295" s="7" t="s">
        <v>6211</v>
      </c>
      <c r="B3295" s="7" t="s">
        <v>7796</v>
      </c>
      <c r="C3295" s="7" t="s">
        <v>8004</v>
      </c>
    </row>
    <row r="3296" customFormat="false" ht="15" hidden="false" customHeight="true" outlineLevel="0" collapsed="false">
      <c r="A3296" s="7" t="s">
        <v>6211</v>
      </c>
      <c r="B3296" s="7" t="s">
        <v>7795</v>
      </c>
      <c r="C3296" s="7" t="s">
        <v>8004</v>
      </c>
    </row>
    <row r="3297" customFormat="false" ht="15" hidden="false" customHeight="true" outlineLevel="0" collapsed="false">
      <c r="A3297" s="7" t="s">
        <v>6222</v>
      </c>
      <c r="B3297" s="7" t="s">
        <v>6222</v>
      </c>
      <c r="C3297" s="7" t="s">
        <v>8004</v>
      </c>
    </row>
    <row r="3298" customFormat="false" ht="15" hidden="false" customHeight="true" outlineLevel="0" collapsed="false">
      <c r="A3298" s="7" t="s">
        <v>6222</v>
      </c>
      <c r="B3298" s="7" t="s">
        <v>9638</v>
      </c>
      <c r="C3298" s="7"/>
    </row>
    <row r="3299" customFormat="false" ht="15" hidden="false" customHeight="true" outlineLevel="0" collapsed="false">
      <c r="A3299" s="7" t="s">
        <v>6222</v>
      </c>
      <c r="B3299" s="7" t="s">
        <v>6226</v>
      </c>
      <c r="C3299" s="7" t="s">
        <v>8004</v>
      </c>
    </row>
    <row r="3300" customFormat="false" ht="15" hidden="false" customHeight="true" outlineLevel="0" collapsed="false">
      <c r="A3300" s="7" t="s">
        <v>6222</v>
      </c>
      <c r="B3300" s="7" t="s">
        <v>7801</v>
      </c>
      <c r="C3300" s="7" t="s">
        <v>8004</v>
      </c>
    </row>
    <row r="3301" customFormat="false" ht="15" hidden="false" customHeight="true" outlineLevel="0" collapsed="false">
      <c r="A3301" s="7" t="s">
        <v>6222</v>
      </c>
      <c r="B3301" s="7" t="s">
        <v>7803</v>
      </c>
      <c r="C3301" s="7" t="s">
        <v>8004</v>
      </c>
    </row>
    <row r="3302" customFormat="false" ht="15" hidden="false" customHeight="true" outlineLevel="0" collapsed="false">
      <c r="A3302" s="7" t="s">
        <v>6222</v>
      </c>
      <c r="B3302" s="7" t="s">
        <v>7800</v>
      </c>
      <c r="C3302" s="7" t="s">
        <v>8004</v>
      </c>
    </row>
    <row r="3303" customFormat="false" ht="15" hidden="false" customHeight="true" outlineLevel="0" collapsed="false">
      <c r="A3303" s="7" t="s">
        <v>6222</v>
      </c>
      <c r="B3303" s="7" t="s">
        <v>7802</v>
      </c>
      <c r="C3303" s="7" t="s">
        <v>8004</v>
      </c>
    </row>
    <row r="3304" customFormat="false" ht="15" hidden="false" customHeight="true" outlineLevel="0" collapsed="false">
      <c r="A3304" s="7" t="s">
        <v>6222</v>
      </c>
      <c r="B3304" s="7" t="s">
        <v>7799</v>
      </c>
      <c r="C3304" s="7" t="s">
        <v>8004</v>
      </c>
    </row>
    <row r="3305" customFormat="false" ht="15" hidden="false" customHeight="true" outlineLevel="0" collapsed="false">
      <c r="A3305" s="7" t="s">
        <v>6222</v>
      </c>
      <c r="B3305" s="7" t="s">
        <v>9639</v>
      </c>
      <c r="C3305" s="7"/>
    </row>
    <row r="3306" customFormat="false" ht="15" hidden="false" customHeight="true" outlineLevel="0" collapsed="false">
      <c r="A3306" s="7" t="s">
        <v>6222</v>
      </c>
      <c r="B3306" s="7" t="s">
        <v>9640</v>
      </c>
      <c r="C3306" s="7"/>
    </row>
    <row r="3307" customFormat="false" ht="15" hidden="false" customHeight="true" outlineLevel="0" collapsed="false">
      <c r="A3307" s="7" t="s">
        <v>6233</v>
      </c>
      <c r="B3307" s="7" t="s">
        <v>6233</v>
      </c>
      <c r="C3307" s="7" t="s">
        <v>8004</v>
      </c>
    </row>
    <row r="3308" customFormat="false" ht="15" hidden="false" customHeight="true" outlineLevel="0" collapsed="false">
      <c r="A3308" s="7" t="s">
        <v>6233</v>
      </c>
      <c r="B3308" s="7" t="s">
        <v>6237</v>
      </c>
      <c r="C3308" s="7" t="s">
        <v>8004</v>
      </c>
    </row>
    <row r="3309" customFormat="false" ht="15" hidden="false" customHeight="true" outlineLevel="0" collapsed="false">
      <c r="A3309" s="7" t="s">
        <v>6233</v>
      </c>
      <c r="B3309" s="7" t="s">
        <v>9641</v>
      </c>
      <c r="C3309" s="7"/>
    </row>
    <row r="3310" customFormat="false" ht="15" hidden="false" customHeight="true" outlineLevel="0" collapsed="false">
      <c r="A3310" s="7" t="s">
        <v>6233</v>
      </c>
      <c r="B3310" s="7" t="s">
        <v>7804</v>
      </c>
      <c r="C3310" s="7" t="s">
        <v>8004</v>
      </c>
    </row>
    <row r="3311" customFormat="false" ht="15" hidden="false" customHeight="true" outlineLevel="0" collapsed="false">
      <c r="A3311" s="7" t="s">
        <v>6233</v>
      </c>
      <c r="B3311" s="7" t="s">
        <v>9642</v>
      </c>
      <c r="C3311" s="7"/>
    </row>
    <row r="3312" customFormat="false" ht="15" hidden="false" customHeight="true" outlineLevel="0" collapsed="false">
      <c r="A3312" s="7" t="s">
        <v>6233</v>
      </c>
      <c r="B3312" s="7" t="s">
        <v>9643</v>
      </c>
      <c r="C3312" s="7"/>
    </row>
    <row r="3313" customFormat="false" ht="15" hidden="false" customHeight="true" outlineLevel="0" collapsed="false">
      <c r="A3313" s="7" t="s">
        <v>6233</v>
      </c>
      <c r="B3313" s="7" t="s">
        <v>7805</v>
      </c>
      <c r="C3313" s="7" t="s">
        <v>8004</v>
      </c>
    </row>
    <row r="3314" customFormat="false" ht="15" hidden="false" customHeight="true" outlineLevel="0" collapsed="false">
      <c r="A3314" s="7" t="s">
        <v>6233</v>
      </c>
      <c r="B3314" s="7" t="s">
        <v>9644</v>
      </c>
      <c r="C3314" s="7"/>
    </row>
    <row r="3315" customFormat="false" ht="15" hidden="false" customHeight="true" outlineLevel="0" collapsed="false">
      <c r="A3315" s="7" t="s">
        <v>6233</v>
      </c>
      <c r="B3315" s="7" t="s">
        <v>6236</v>
      </c>
      <c r="C3315" s="7" t="s">
        <v>8004</v>
      </c>
    </row>
    <row r="3316" customFormat="false" ht="15" hidden="false" customHeight="true" outlineLevel="0" collapsed="false">
      <c r="A3316" s="7" t="s">
        <v>6631</v>
      </c>
      <c r="B3316" s="7" t="s">
        <v>6631</v>
      </c>
      <c r="C3316" s="7" t="s">
        <v>8004</v>
      </c>
    </row>
    <row r="3317" customFormat="false" ht="15" hidden="false" customHeight="true" outlineLevel="0" collapsed="false">
      <c r="A3317" s="7" t="s">
        <v>6631</v>
      </c>
      <c r="B3317" s="7" t="s">
        <v>9645</v>
      </c>
      <c r="C3317" s="7"/>
    </row>
    <row r="3318" customFormat="false" ht="15" hidden="false" customHeight="true" outlineLevel="0" collapsed="false">
      <c r="A3318" s="7" t="s">
        <v>6631</v>
      </c>
      <c r="B3318" s="7" t="s">
        <v>9646</v>
      </c>
      <c r="C3318" s="7"/>
    </row>
    <row r="3319" customFormat="false" ht="15" hidden="false" customHeight="true" outlineLevel="0" collapsed="false">
      <c r="A3319" s="7" t="s">
        <v>6631</v>
      </c>
      <c r="B3319" s="7" t="s">
        <v>9647</v>
      </c>
      <c r="C3319" s="7"/>
    </row>
    <row r="3320" customFormat="false" ht="15" hidden="false" customHeight="true" outlineLevel="0" collapsed="false">
      <c r="A3320" s="7" t="s">
        <v>6631</v>
      </c>
      <c r="B3320" s="7" t="s">
        <v>9648</v>
      </c>
      <c r="C3320" s="7"/>
    </row>
    <row r="3321" customFormat="false" ht="15" hidden="false" customHeight="true" outlineLevel="0" collapsed="false">
      <c r="A3321" s="7" t="s">
        <v>6631</v>
      </c>
      <c r="B3321" s="7" t="s">
        <v>9649</v>
      </c>
      <c r="C3321" s="7"/>
    </row>
    <row r="3322" customFormat="false" ht="15" hidden="false" customHeight="true" outlineLevel="0" collapsed="false">
      <c r="A3322" s="7" t="s">
        <v>6631</v>
      </c>
      <c r="B3322" s="7" t="s">
        <v>9650</v>
      </c>
      <c r="C3322" s="7"/>
    </row>
    <row r="3323" customFormat="false" ht="15" hidden="false" customHeight="true" outlineLevel="0" collapsed="false">
      <c r="A3323" s="7" t="s">
        <v>6631</v>
      </c>
      <c r="B3323" s="7" t="s">
        <v>9651</v>
      </c>
      <c r="C3323" s="7"/>
    </row>
    <row r="3324" customFormat="false" ht="15" hidden="false" customHeight="true" outlineLevel="0" collapsed="false">
      <c r="A3324" s="7" t="s">
        <v>6631</v>
      </c>
      <c r="B3324" s="7" t="s">
        <v>9652</v>
      </c>
      <c r="C3324" s="7"/>
    </row>
    <row r="3325" customFormat="false" ht="15" hidden="false" customHeight="true" outlineLevel="0" collapsed="false">
      <c r="A3325" s="7" t="s">
        <v>6631</v>
      </c>
      <c r="B3325" s="7" t="s">
        <v>9653</v>
      </c>
      <c r="C3325" s="7"/>
    </row>
    <row r="3326" customFormat="false" ht="15" hidden="false" customHeight="true" outlineLevel="0" collapsed="false">
      <c r="A3326" s="7" t="s">
        <v>6254</v>
      </c>
      <c r="B3326" s="7" t="s">
        <v>6254</v>
      </c>
      <c r="C3326" s="7" t="s">
        <v>8004</v>
      </c>
    </row>
    <row r="3327" customFormat="false" ht="15" hidden="false" customHeight="true" outlineLevel="0" collapsed="false">
      <c r="A3327" s="7" t="s">
        <v>6254</v>
      </c>
      <c r="B3327" s="7" t="s">
        <v>6258</v>
      </c>
      <c r="C3327" s="7" t="s">
        <v>8004</v>
      </c>
    </row>
    <row r="3328" customFormat="false" ht="15" hidden="false" customHeight="true" outlineLevel="0" collapsed="false">
      <c r="A3328" s="7" t="s">
        <v>6254</v>
      </c>
      <c r="B3328" s="7" t="s">
        <v>9654</v>
      </c>
      <c r="C3328" s="7"/>
    </row>
    <row r="3329" customFormat="false" ht="15" hidden="false" customHeight="true" outlineLevel="0" collapsed="false">
      <c r="A3329" s="7" t="s">
        <v>6254</v>
      </c>
      <c r="B3329" s="7" t="s">
        <v>7809</v>
      </c>
      <c r="C3329" s="7" t="s">
        <v>8004</v>
      </c>
    </row>
    <row r="3330" customFormat="false" ht="15" hidden="false" customHeight="true" outlineLevel="0" collapsed="false">
      <c r="A3330" s="7" t="s">
        <v>6254</v>
      </c>
      <c r="B3330" s="7" t="s">
        <v>9655</v>
      </c>
      <c r="C3330" s="7"/>
    </row>
    <row r="3331" customFormat="false" ht="15" hidden="false" customHeight="true" outlineLevel="0" collapsed="false">
      <c r="A3331" s="7" t="s">
        <v>6254</v>
      </c>
      <c r="B3331" s="7" t="s">
        <v>7807</v>
      </c>
      <c r="C3331" s="7" t="s">
        <v>8004</v>
      </c>
    </row>
    <row r="3332" customFormat="false" ht="15" hidden="false" customHeight="true" outlineLevel="0" collapsed="false">
      <c r="A3332" s="7" t="s">
        <v>6254</v>
      </c>
      <c r="B3332" s="7" t="s">
        <v>7806</v>
      </c>
      <c r="C3332" s="7" t="s">
        <v>8004</v>
      </c>
    </row>
    <row r="3333" customFormat="false" ht="15" hidden="false" customHeight="true" outlineLevel="0" collapsed="false">
      <c r="A3333" s="7" t="s">
        <v>6254</v>
      </c>
      <c r="B3333" s="7" t="s">
        <v>7810</v>
      </c>
      <c r="C3333" s="7" t="s">
        <v>8004</v>
      </c>
    </row>
    <row r="3334" customFormat="false" ht="15" hidden="false" customHeight="true" outlineLevel="0" collapsed="false">
      <c r="A3334" s="7" t="s">
        <v>6254</v>
      </c>
      <c r="B3334" s="7" t="s">
        <v>7808</v>
      </c>
      <c r="C3334" s="7" t="s">
        <v>8004</v>
      </c>
    </row>
    <row r="3335" customFormat="false" ht="15" hidden="false" customHeight="true" outlineLevel="0" collapsed="false">
      <c r="A3335" s="7" t="s">
        <v>6254</v>
      </c>
      <c r="B3335" s="7" t="s">
        <v>9656</v>
      </c>
      <c r="C3335" s="7"/>
    </row>
    <row r="3336" customFormat="false" ht="15" hidden="false" customHeight="true" outlineLevel="0" collapsed="false">
      <c r="A3336" s="7" t="s">
        <v>6265</v>
      </c>
      <c r="B3336" s="7" t="s">
        <v>6265</v>
      </c>
      <c r="C3336" s="7" t="s">
        <v>8004</v>
      </c>
    </row>
    <row r="3337" customFormat="false" ht="15" hidden="false" customHeight="true" outlineLevel="0" collapsed="false">
      <c r="A3337" s="7" t="s">
        <v>6265</v>
      </c>
      <c r="B3337" s="7" t="s">
        <v>6269</v>
      </c>
      <c r="C3337" s="7" t="s">
        <v>8004</v>
      </c>
    </row>
    <row r="3338" customFormat="false" ht="15" hidden="false" customHeight="true" outlineLevel="0" collapsed="false">
      <c r="A3338" s="7" t="s">
        <v>6265</v>
      </c>
      <c r="B3338" s="7" t="s">
        <v>7814</v>
      </c>
      <c r="C3338" s="7" t="s">
        <v>8004</v>
      </c>
    </row>
    <row r="3339" customFormat="false" ht="15" hidden="false" customHeight="true" outlineLevel="0" collapsed="false">
      <c r="A3339" s="7" t="s">
        <v>6265</v>
      </c>
      <c r="B3339" s="7" t="s">
        <v>9657</v>
      </c>
      <c r="C3339" s="7"/>
    </row>
    <row r="3340" customFormat="false" ht="15" hidden="false" customHeight="true" outlineLevel="0" collapsed="false">
      <c r="A3340" s="7" t="s">
        <v>6265</v>
      </c>
      <c r="B3340" s="7" t="s">
        <v>9658</v>
      </c>
      <c r="C3340" s="7"/>
    </row>
    <row r="3341" customFormat="false" ht="15" hidden="false" customHeight="true" outlineLevel="0" collapsed="false">
      <c r="A3341" s="7" t="s">
        <v>6265</v>
      </c>
      <c r="B3341" s="7" t="s">
        <v>7812</v>
      </c>
      <c r="C3341" s="7" t="s">
        <v>8004</v>
      </c>
    </row>
    <row r="3342" customFormat="false" ht="15" hidden="false" customHeight="true" outlineLevel="0" collapsed="false">
      <c r="A3342" s="7" t="s">
        <v>6265</v>
      </c>
      <c r="B3342" s="7" t="s">
        <v>7813</v>
      </c>
      <c r="C3342" s="7" t="s">
        <v>8004</v>
      </c>
    </row>
    <row r="3343" customFormat="false" ht="15" hidden="false" customHeight="true" outlineLevel="0" collapsed="false">
      <c r="A3343" s="7" t="s">
        <v>6265</v>
      </c>
      <c r="B3343" s="7" t="s">
        <v>6268</v>
      </c>
      <c r="C3343" s="7" t="s">
        <v>8004</v>
      </c>
    </row>
    <row r="3344" customFormat="false" ht="15" hidden="false" customHeight="true" outlineLevel="0" collapsed="false">
      <c r="A3344" s="7" t="s">
        <v>6265</v>
      </c>
      <c r="B3344" s="7" t="s">
        <v>7811</v>
      </c>
      <c r="C3344" s="7" t="s">
        <v>8004</v>
      </c>
    </row>
    <row r="3345" customFormat="false" ht="15" hidden="false" customHeight="true" outlineLevel="0" collapsed="false">
      <c r="A3345" s="7" t="s">
        <v>6265</v>
      </c>
      <c r="B3345" s="7" t="s">
        <v>9659</v>
      </c>
      <c r="C3345" s="7"/>
    </row>
    <row r="3346" customFormat="false" ht="15" hidden="false" customHeight="true" outlineLevel="0" collapsed="false">
      <c r="A3346" s="7" t="s">
        <v>6277</v>
      </c>
      <c r="B3346" s="7" t="s">
        <v>9660</v>
      </c>
      <c r="C3346" s="7"/>
    </row>
    <row r="3347" customFormat="false" ht="15" hidden="false" customHeight="true" outlineLevel="0" collapsed="false">
      <c r="A3347" s="7" t="s">
        <v>6277</v>
      </c>
      <c r="B3347" s="7" t="s">
        <v>6236</v>
      </c>
      <c r="C3347" s="7" t="s">
        <v>8004</v>
      </c>
    </row>
    <row r="3348" customFormat="false" ht="15" hidden="false" customHeight="true" outlineLevel="0" collapsed="false">
      <c r="A3348" s="7" t="s">
        <v>6277</v>
      </c>
      <c r="B3348" s="7" t="s">
        <v>9661</v>
      </c>
      <c r="C3348" s="7"/>
    </row>
    <row r="3349" customFormat="false" ht="15" hidden="false" customHeight="true" outlineLevel="0" collapsed="false">
      <c r="A3349" s="7" t="s">
        <v>6288</v>
      </c>
      <c r="B3349" s="7" t="s">
        <v>6288</v>
      </c>
      <c r="C3349" s="7" t="s">
        <v>8004</v>
      </c>
    </row>
    <row r="3350" customFormat="false" ht="15" hidden="false" customHeight="true" outlineLevel="0" collapsed="false">
      <c r="A3350" s="7" t="s">
        <v>6288</v>
      </c>
      <c r="B3350" s="7" t="s">
        <v>7818</v>
      </c>
      <c r="C3350" s="7" t="s">
        <v>8004</v>
      </c>
    </row>
    <row r="3351" customFormat="false" ht="15" hidden="false" customHeight="true" outlineLevel="0" collapsed="false">
      <c r="A3351" s="7" t="s">
        <v>6288</v>
      </c>
      <c r="B3351" s="7" t="s">
        <v>6292</v>
      </c>
      <c r="C3351" s="7" t="s">
        <v>8004</v>
      </c>
    </row>
    <row r="3352" customFormat="false" ht="15" hidden="false" customHeight="true" outlineLevel="0" collapsed="false">
      <c r="A3352" s="7" t="s">
        <v>6288</v>
      </c>
      <c r="B3352" s="7" t="s">
        <v>9662</v>
      </c>
      <c r="C3352" s="7"/>
    </row>
    <row r="3353" customFormat="false" ht="15" hidden="false" customHeight="true" outlineLevel="0" collapsed="false">
      <c r="A3353" s="7" t="s">
        <v>6288</v>
      </c>
      <c r="B3353" s="7" t="s">
        <v>6291</v>
      </c>
      <c r="C3353" s="7" t="s">
        <v>8004</v>
      </c>
    </row>
    <row r="3354" customFormat="false" ht="15" hidden="false" customHeight="true" outlineLevel="0" collapsed="false">
      <c r="A3354" s="7" t="s">
        <v>6288</v>
      </c>
      <c r="B3354" s="7" t="s">
        <v>7816</v>
      </c>
      <c r="C3354" s="7" t="s">
        <v>8004</v>
      </c>
    </row>
    <row r="3355" customFormat="false" ht="15" hidden="false" customHeight="true" outlineLevel="0" collapsed="false">
      <c r="A3355" s="7" t="s">
        <v>6288</v>
      </c>
      <c r="B3355" s="7" t="s">
        <v>7817</v>
      </c>
      <c r="C3355" s="7" t="s">
        <v>8004</v>
      </c>
    </row>
    <row r="3356" customFormat="false" ht="15" hidden="false" customHeight="true" outlineLevel="0" collapsed="false">
      <c r="A3356" s="7" t="s">
        <v>6288</v>
      </c>
      <c r="B3356" s="7" t="s">
        <v>7815</v>
      </c>
      <c r="C3356" s="7" t="s">
        <v>8004</v>
      </c>
    </row>
    <row r="3357" customFormat="false" ht="15" hidden="false" customHeight="true" outlineLevel="0" collapsed="false">
      <c r="A3357" s="7" t="s">
        <v>6288</v>
      </c>
      <c r="B3357" s="7" t="s">
        <v>9663</v>
      </c>
      <c r="C3357" s="7"/>
    </row>
    <row r="3358" customFormat="false" ht="15" hidden="false" customHeight="true" outlineLevel="0" collapsed="false">
      <c r="A3358" s="7" t="s">
        <v>6288</v>
      </c>
      <c r="B3358" s="7" t="s">
        <v>9664</v>
      </c>
      <c r="C3358" s="7"/>
    </row>
    <row r="3359" customFormat="false" ht="15" hidden="false" customHeight="true" outlineLevel="0" collapsed="false">
      <c r="A3359" s="7" t="s">
        <v>6328</v>
      </c>
      <c r="B3359" s="7" t="s">
        <v>6328</v>
      </c>
      <c r="C3359" s="7" t="s">
        <v>8004</v>
      </c>
    </row>
    <row r="3360" customFormat="false" ht="15" hidden="false" customHeight="true" outlineLevel="0" collapsed="false">
      <c r="A3360" s="7" t="s">
        <v>6328</v>
      </c>
      <c r="B3360" s="7" t="s">
        <v>9665</v>
      </c>
      <c r="C3360" s="7"/>
    </row>
    <row r="3361" customFormat="false" ht="15" hidden="false" customHeight="true" outlineLevel="0" collapsed="false">
      <c r="A3361" s="7" t="s">
        <v>6328</v>
      </c>
      <c r="B3361" s="7" t="s">
        <v>9666</v>
      </c>
      <c r="C3361" s="7"/>
    </row>
    <row r="3362" customFormat="false" ht="15" hidden="false" customHeight="true" outlineLevel="0" collapsed="false">
      <c r="A3362" s="7" t="s">
        <v>6328</v>
      </c>
      <c r="B3362" s="7" t="s">
        <v>6332</v>
      </c>
      <c r="C3362" s="7" t="s">
        <v>8004</v>
      </c>
    </row>
    <row r="3363" customFormat="false" ht="15" hidden="false" customHeight="true" outlineLevel="0" collapsed="false">
      <c r="A3363" s="7" t="s">
        <v>6328</v>
      </c>
      <c r="B3363" s="7" t="s">
        <v>9667</v>
      </c>
      <c r="C3363" s="7"/>
    </row>
    <row r="3364" customFormat="false" ht="15" hidden="false" customHeight="true" outlineLevel="0" collapsed="false">
      <c r="A3364" s="7" t="s">
        <v>6328</v>
      </c>
      <c r="B3364" s="7" t="s">
        <v>9668</v>
      </c>
      <c r="C3364" s="7"/>
    </row>
    <row r="3365" customFormat="false" ht="15" hidden="false" customHeight="true" outlineLevel="0" collapsed="false">
      <c r="A3365" s="7" t="s">
        <v>6328</v>
      </c>
      <c r="B3365" s="7" t="s">
        <v>6331</v>
      </c>
      <c r="C3365" s="7" t="s">
        <v>8004</v>
      </c>
    </row>
    <row r="3366" customFormat="false" ht="15" hidden="false" customHeight="true" outlineLevel="0" collapsed="false">
      <c r="A3366" s="7" t="s">
        <v>6328</v>
      </c>
      <c r="B3366" s="7" t="s">
        <v>9669</v>
      </c>
      <c r="C3366" s="7"/>
    </row>
    <row r="3367" customFormat="false" ht="15" hidden="false" customHeight="true" outlineLevel="0" collapsed="false">
      <c r="A3367" s="7" t="s">
        <v>6328</v>
      </c>
      <c r="B3367" s="7" t="s">
        <v>9670</v>
      </c>
      <c r="C3367" s="7"/>
    </row>
    <row r="3368" customFormat="false" ht="15" hidden="false" customHeight="true" outlineLevel="0" collapsed="false">
      <c r="A3368" s="7" t="s">
        <v>6328</v>
      </c>
      <c r="B3368" s="7" t="s">
        <v>9671</v>
      </c>
      <c r="C3368" s="7"/>
    </row>
    <row r="3369" customFormat="false" ht="15" hidden="false" customHeight="true" outlineLevel="0" collapsed="false">
      <c r="A3369" s="7" t="s">
        <v>6320</v>
      </c>
      <c r="B3369" s="7" t="s">
        <v>6320</v>
      </c>
      <c r="C3369" s="7" t="s">
        <v>8004</v>
      </c>
    </row>
    <row r="3370" customFormat="false" ht="15" hidden="false" customHeight="true" outlineLevel="0" collapsed="false">
      <c r="A3370" s="7" t="s">
        <v>6320</v>
      </c>
      <c r="B3370" s="7" t="s">
        <v>9672</v>
      </c>
      <c r="C3370" s="7"/>
    </row>
    <row r="3371" customFormat="false" ht="15" hidden="false" customHeight="true" outlineLevel="0" collapsed="false">
      <c r="A3371" s="7" t="s">
        <v>6320</v>
      </c>
      <c r="B3371" s="7" t="s">
        <v>9673</v>
      </c>
      <c r="C3371" s="7"/>
    </row>
    <row r="3372" customFormat="false" ht="15" hidden="false" customHeight="true" outlineLevel="0" collapsed="false">
      <c r="A3372" s="7" t="s">
        <v>6320</v>
      </c>
      <c r="B3372" s="7" t="s">
        <v>9674</v>
      </c>
      <c r="C3372" s="7"/>
    </row>
    <row r="3373" customFormat="false" ht="15" hidden="false" customHeight="true" outlineLevel="0" collapsed="false">
      <c r="A3373" s="7" t="s">
        <v>6320</v>
      </c>
      <c r="B3373" s="7" t="s">
        <v>9675</v>
      </c>
      <c r="C3373" s="7"/>
    </row>
    <row r="3374" customFormat="false" ht="15" hidden="false" customHeight="true" outlineLevel="0" collapsed="false">
      <c r="A3374" s="7" t="s">
        <v>6320</v>
      </c>
      <c r="B3374" s="7" t="s">
        <v>9676</v>
      </c>
      <c r="C3374" s="7"/>
    </row>
    <row r="3375" customFormat="false" ht="15" hidden="false" customHeight="true" outlineLevel="0" collapsed="false">
      <c r="A3375" s="7" t="s">
        <v>6320</v>
      </c>
      <c r="B3375" s="7" t="s">
        <v>9677</v>
      </c>
      <c r="C3375" s="7"/>
    </row>
    <row r="3376" customFormat="false" ht="15" hidden="false" customHeight="true" outlineLevel="0" collapsed="false">
      <c r="A3376" s="7" t="s">
        <v>6320</v>
      </c>
      <c r="B3376" s="7" t="s">
        <v>9678</v>
      </c>
      <c r="C3376" s="7"/>
    </row>
    <row r="3377" customFormat="false" ht="15" hidden="false" customHeight="true" outlineLevel="0" collapsed="false">
      <c r="A3377" s="7" t="s">
        <v>6320</v>
      </c>
      <c r="B3377" s="7" t="s">
        <v>9679</v>
      </c>
      <c r="C3377" s="7"/>
    </row>
    <row r="3378" customFormat="false" ht="15" hidden="false" customHeight="true" outlineLevel="0" collapsed="false">
      <c r="A3378" s="7" t="s">
        <v>6320</v>
      </c>
      <c r="B3378" s="7" t="s">
        <v>9680</v>
      </c>
      <c r="C3378" s="7"/>
    </row>
    <row r="3379" customFormat="false" ht="15" hidden="false" customHeight="true" outlineLevel="0" collapsed="false">
      <c r="A3379" s="7" t="s">
        <v>6299</v>
      </c>
      <c r="B3379" s="7" t="s">
        <v>6299</v>
      </c>
      <c r="C3379" s="7" t="s">
        <v>8004</v>
      </c>
    </row>
    <row r="3380" customFormat="false" ht="15" hidden="false" customHeight="true" outlineLevel="0" collapsed="false">
      <c r="A3380" s="7" t="s">
        <v>6299</v>
      </c>
      <c r="B3380" s="7" t="s">
        <v>9681</v>
      </c>
      <c r="C3380" s="7"/>
    </row>
    <row r="3381" customFormat="false" ht="15" hidden="false" customHeight="true" outlineLevel="0" collapsed="false">
      <c r="A3381" s="7" t="s">
        <v>6299</v>
      </c>
      <c r="B3381" s="7" t="s">
        <v>9682</v>
      </c>
      <c r="C3381" s="7"/>
    </row>
    <row r="3382" customFormat="false" ht="15" hidden="false" customHeight="true" outlineLevel="0" collapsed="false">
      <c r="A3382" s="7" t="s">
        <v>6299</v>
      </c>
      <c r="B3382" s="7" t="s">
        <v>9683</v>
      </c>
      <c r="C3382" s="7"/>
    </row>
    <row r="3383" customFormat="false" ht="15" hidden="false" customHeight="true" outlineLevel="0" collapsed="false">
      <c r="A3383" s="7" t="s">
        <v>6299</v>
      </c>
      <c r="B3383" s="7" t="s">
        <v>9684</v>
      </c>
      <c r="C3383" s="7"/>
    </row>
    <row r="3384" customFormat="false" ht="15" hidden="false" customHeight="true" outlineLevel="0" collapsed="false">
      <c r="A3384" s="7" t="s">
        <v>6299</v>
      </c>
      <c r="B3384" s="7" t="s">
        <v>6303</v>
      </c>
      <c r="C3384" s="7" t="s">
        <v>8004</v>
      </c>
    </row>
    <row r="3385" customFormat="false" ht="15" hidden="false" customHeight="true" outlineLevel="0" collapsed="false">
      <c r="A3385" s="7" t="s">
        <v>6299</v>
      </c>
      <c r="B3385" s="7" t="s">
        <v>9685</v>
      </c>
      <c r="C3385" s="7"/>
    </row>
    <row r="3386" customFormat="false" ht="15" hidden="false" customHeight="true" outlineLevel="0" collapsed="false">
      <c r="A3386" s="7" t="s">
        <v>6299</v>
      </c>
      <c r="B3386" s="7" t="s">
        <v>9686</v>
      </c>
      <c r="C3386" s="7"/>
    </row>
    <row r="3387" customFormat="false" ht="15" hidden="false" customHeight="true" outlineLevel="0" collapsed="false">
      <c r="A3387" s="7" t="s">
        <v>6299</v>
      </c>
      <c r="B3387" s="7" t="s">
        <v>9687</v>
      </c>
      <c r="C3387" s="7"/>
    </row>
    <row r="3388" customFormat="false" ht="15" hidden="false" customHeight="true" outlineLevel="0" collapsed="false">
      <c r="A3388" s="7" t="s">
        <v>6299</v>
      </c>
      <c r="B3388" s="7" t="s">
        <v>6302</v>
      </c>
      <c r="C3388" s="7" t="s">
        <v>8004</v>
      </c>
    </row>
    <row r="3389" customFormat="false" ht="15" hidden="false" customHeight="true" outlineLevel="0" collapsed="false">
      <c r="A3389" s="7" t="s">
        <v>6336</v>
      </c>
      <c r="B3389" s="7" t="s">
        <v>6336</v>
      </c>
      <c r="C3389" s="7" t="s">
        <v>8004</v>
      </c>
    </row>
    <row r="3390" customFormat="false" ht="15" hidden="false" customHeight="true" outlineLevel="0" collapsed="false">
      <c r="A3390" s="7" t="s">
        <v>6336</v>
      </c>
      <c r="B3390" s="7" t="s">
        <v>6340</v>
      </c>
      <c r="C3390" s="7" t="s">
        <v>8004</v>
      </c>
    </row>
    <row r="3391" customFormat="false" ht="15" hidden="false" customHeight="true" outlineLevel="0" collapsed="false">
      <c r="A3391" s="7" t="s">
        <v>6336</v>
      </c>
      <c r="B3391" s="7" t="s">
        <v>9688</v>
      </c>
      <c r="C3391" s="7"/>
    </row>
    <row r="3392" customFormat="false" ht="15" hidden="false" customHeight="true" outlineLevel="0" collapsed="false">
      <c r="A3392" s="7" t="s">
        <v>6336</v>
      </c>
      <c r="B3392" s="7" t="s">
        <v>9689</v>
      </c>
      <c r="C3392" s="7"/>
    </row>
    <row r="3393" customFormat="false" ht="15" hidden="false" customHeight="true" outlineLevel="0" collapsed="false">
      <c r="A3393" s="7" t="s">
        <v>6336</v>
      </c>
      <c r="B3393" s="7" t="s">
        <v>9690</v>
      </c>
      <c r="C3393" s="7"/>
    </row>
    <row r="3394" customFormat="false" ht="15" hidden="false" customHeight="true" outlineLevel="0" collapsed="false">
      <c r="A3394" s="7" t="s">
        <v>6336</v>
      </c>
      <c r="B3394" s="7" t="s">
        <v>9691</v>
      </c>
      <c r="C3394" s="7"/>
    </row>
    <row r="3395" customFormat="false" ht="15" hidden="false" customHeight="true" outlineLevel="0" collapsed="false">
      <c r="A3395" s="7" t="s">
        <v>6336</v>
      </c>
      <c r="B3395" s="7" t="s">
        <v>9692</v>
      </c>
      <c r="C3395" s="7"/>
    </row>
    <row r="3396" customFormat="false" ht="15" hidden="false" customHeight="true" outlineLevel="0" collapsed="false">
      <c r="A3396" s="7" t="s">
        <v>6336</v>
      </c>
      <c r="B3396" s="7" t="s">
        <v>9693</v>
      </c>
      <c r="C3396" s="7"/>
    </row>
    <row r="3397" customFormat="false" ht="15" hidden="false" customHeight="true" outlineLevel="0" collapsed="false">
      <c r="A3397" s="7" t="s">
        <v>6336</v>
      </c>
      <c r="B3397" s="7" t="s">
        <v>6339</v>
      </c>
      <c r="C3397" s="7" t="s">
        <v>8004</v>
      </c>
    </row>
    <row r="3398" customFormat="false" ht="15" hidden="false" customHeight="true" outlineLevel="0" collapsed="false">
      <c r="A3398" s="7" t="s">
        <v>6336</v>
      </c>
      <c r="B3398" s="7" t="s">
        <v>9694</v>
      </c>
      <c r="C3398" s="7"/>
    </row>
    <row r="3399" customFormat="false" ht="15" hidden="false" customHeight="true" outlineLevel="0" collapsed="false">
      <c r="A3399" s="7" t="s">
        <v>6308</v>
      </c>
      <c r="B3399" s="7" t="s">
        <v>6308</v>
      </c>
      <c r="C3399" s="7" t="s">
        <v>8004</v>
      </c>
    </row>
    <row r="3400" customFormat="false" ht="15" hidden="false" customHeight="true" outlineLevel="0" collapsed="false">
      <c r="A3400" s="7" t="s">
        <v>6308</v>
      </c>
      <c r="B3400" s="7" t="s">
        <v>9695</v>
      </c>
      <c r="C3400" s="7"/>
    </row>
    <row r="3401" customFormat="false" ht="15" hidden="false" customHeight="true" outlineLevel="0" collapsed="false">
      <c r="A3401" s="7" t="s">
        <v>6308</v>
      </c>
      <c r="B3401" s="7" t="s">
        <v>6311</v>
      </c>
      <c r="C3401" s="7" t="s">
        <v>8004</v>
      </c>
    </row>
    <row r="3402" customFormat="false" ht="15" hidden="false" customHeight="true" outlineLevel="0" collapsed="false">
      <c r="A3402" s="7" t="s">
        <v>6308</v>
      </c>
      <c r="B3402" s="7" t="s">
        <v>9696</v>
      </c>
      <c r="C3402" s="7"/>
    </row>
    <row r="3403" customFormat="false" ht="15" hidden="false" customHeight="true" outlineLevel="0" collapsed="false">
      <c r="A3403" s="7" t="s">
        <v>6308</v>
      </c>
      <c r="B3403" s="7" t="s">
        <v>9697</v>
      </c>
      <c r="C3403" s="7"/>
    </row>
    <row r="3404" customFormat="false" ht="15" hidden="false" customHeight="true" outlineLevel="0" collapsed="false">
      <c r="A3404" s="7" t="s">
        <v>6308</v>
      </c>
      <c r="B3404" s="7" t="s">
        <v>6312</v>
      </c>
      <c r="C3404" s="7" t="s">
        <v>8004</v>
      </c>
    </row>
    <row r="3405" customFormat="false" ht="15" hidden="false" customHeight="true" outlineLevel="0" collapsed="false">
      <c r="A3405" s="7" t="s">
        <v>6308</v>
      </c>
      <c r="B3405" s="7" t="s">
        <v>9698</v>
      </c>
      <c r="C3405" s="7"/>
    </row>
    <row r="3406" customFormat="false" ht="15" hidden="false" customHeight="true" outlineLevel="0" collapsed="false">
      <c r="A3406" s="7" t="s">
        <v>6308</v>
      </c>
      <c r="B3406" s="7" t="s">
        <v>9699</v>
      </c>
      <c r="C3406" s="7"/>
    </row>
    <row r="3407" customFormat="false" ht="15" hidden="false" customHeight="true" outlineLevel="0" collapsed="false">
      <c r="A3407" s="7" t="s">
        <v>6308</v>
      </c>
      <c r="B3407" s="7" t="s">
        <v>9700</v>
      </c>
      <c r="C3407" s="7"/>
    </row>
    <row r="3408" customFormat="false" ht="15" hidden="false" customHeight="true" outlineLevel="0" collapsed="false">
      <c r="A3408" s="7" t="s">
        <v>6308</v>
      </c>
      <c r="B3408" s="7" t="s">
        <v>9701</v>
      </c>
      <c r="C3408" s="7"/>
    </row>
    <row r="3409" customFormat="false" ht="15" hidden="false" customHeight="true" outlineLevel="0" collapsed="false">
      <c r="A3409" s="7" t="s">
        <v>259</v>
      </c>
      <c r="B3409" s="7" t="s">
        <v>259</v>
      </c>
      <c r="C3409" s="7" t="s">
        <v>8004</v>
      </c>
    </row>
    <row r="3410" customFormat="false" ht="15" hidden="false" customHeight="true" outlineLevel="0" collapsed="false">
      <c r="A3410" s="7" t="s">
        <v>259</v>
      </c>
      <c r="B3410" s="7" t="s">
        <v>286</v>
      </c>
      <c r="C3410" s="7" t="s">
        <v>8004</v>
      </c>
    </row>
    <row r="3411" customFormat="false" ht="15" hidden="false" customHeight="true" outlineLevel="0" collapsed="false">
      <c r="A3411" s="7" t="s">
        <v>259</v>
      </c>
      <c r="B3411" s="7" t="s">
        <v>9702</v>
      </c>
      <c r="C3411" s="7"/>
    </row>
    <row r="3412" customFormat="false" ht="15" hidden="false" customHeight="true" outlineLevel="0" collapsed="false">
      <c r="A3412" s="7" t="s">
        <v>259</v>
      </c>
      <c r="B3412" s="7" t="s">
        <v>9703</v>
      </c>
      <c r="C3412" s="7"/>
    </row>
    <row r="3413" customFormat="false" ht="15" hidden="false" customHeight="true" outlineLevel="0" collapsed="false">
      <c r="A3413" s="7" t="s">
        <v>259</v>
      </c>
      <c r="B3413" s="7" t="s">
        <v>9704</v>
      </c>
      <c r="C3413" s="7"/>
    </row>
    <row r="3414" customFormat="false" ht="15" hidden="false" customHeight="true" outlineLevel="0" collapsed="false">
      <c r="A3414" s="7" t="s">
        <v>259</v>
      </c>
      <c r="B3414" s="7" t="s">
        <v>9705</v>
      </c>
      <c r="C3414" s="7"/>
    </row>
    <row r="3415" customFormat="false" ht="15" hidden="false" customHeight="true" outlineLevel="0" collapsed="false">
      <c r="A3415" s="7" t="s">
        <v>259</v>
      </c>
      <c r="B3415" s="7" t="s">
        <v>9706</v>
      </c>
      <c r="C3415" s="7"/>
    </row>
    <row r="3416" customFormat="false" ht="15" hidden="false" customHeight="true" outlineLevel="0" collapsed="false">
      <c r="A3416" s="7" t="s">
        <v>259</v>
      </c>
      <c r="B3416" s="7" t="s">
        <v>9707</v>
      </c>
      <c r="C3416" s="7"/>
    </row>
    <row r="3417" customFormat="false" ht="15" hidden="false" customHeight="true" outlineLevel="0" collapsed="false">
      <c r="A3417" s="7" t="s">
        <v>259</v>
      </c>
      <c r="B3417" s="7" t="s">
        <v>9708</v>
      </c>
      <c r="C3417" s="7"/>
    </row>
    <row r="3418" customFormat="false" ht="15" hidden="false" customHeight="true" outlineLevel="0" collapsed="false">
      <c r="A3418" s="7" t="s">
        <v>259</v>
      </c>
      <c r="B3418" s="7" t="s">
        <v>9709</v>
      </c>
      <c r="C3418" s="7"/>
    </row>
    <row r="3419" customFormat="false" ht="15" hidden="false" customHeight="true" outlineLevel="0" collapsed="false">
      <c r="A3419" s="7" t="s">
        <v>6382</v>
      </c>
      <c r="B3419" s="7" t="s">
        <v>6382</v>
      </c>
      <c r="C3419" s="7" t="s">
        <v>8004</v>
      </c>
    </row>
    <row r="3420" customFormat="false" ht="15" hidden="false" customHeight="true" outlineLevel="0" collapsed="false">
      <c r="A3420" s="7" t="s">
        <v>6382</v>
      </c>
      <c r="B3420" s="7" t="s">
        <v>7822</v>
      </c>
      <c r="C3420" s="7" t="s">
        <v>8004</v>
      </c>
    </row>
    <row r="3421" customFormat="false" ht="15" hidden="false" customHeight="true" outlineLevel="0" collapsed="false">
      <c r="A3421" s="7" t="s">
        <v>6382</v>
      </c>
      <c r="B3421" s="7" t="s">
        <v>6385</v>
      </c>
      <c r="C3421" s="7" t="s">
        <v>8004</v>
      </c>
    </row>
    <row r="3422" customFormat="false" ht="15" hidden="false" customHeight="true" outlineLevel="0" collapsed="false">
      <c r="A3422" s="7" t="s">
        <v>6382</v>
      </c>
      <c r="B3422" s="7" t="s">
        <v>7823</v>
      </c>
      <c r="C3422" s="7" t="s">
        <v>8004</v>
      </c>
    </row>
    <row r="3423" customFormat="false" ht="15" hidden="false" customHeight="true" outlineLevel="0" collapsed="false">
      <c r="A3423" s="7" t="s">
        <v>6382</v>
      </c>
      <c r="B3423" s="7" t="s">
        <v>6386</v>
      </c>
      <c r="C3423" s="7" t="s">
        <v>8004</v>
      </c>
    </row>
    <row r="3424" customFormat="false" ht="15" hidden="false" customHeight="true" outlineLevel="0" collapsed="false">
      <c r="A3424" s="7" t="s">
        <v>6382</v>
      </c>
      <c r="B3424" s="7" t="s">
        <v>9710</v>
      </c>
      <c r="C3424" s="7"/>
    </row>
    <row r="3425" customFormat="false" ht="15" hidden="false" customHeight="true" outlineLevel="0" collapsed="false">
      <c r="A3425" s="7" t="s">
        <v>6382</v>
      </c>
      <c r="B3425" s="7" t="s">
        <v>7820</v>
      </c>
      <c r="C3425" s="7" t="s">
        <v>8004</v>
      </c>
    </row>
    <row r="3426" customFormat="false" ht="15" hidden="false" customHeight="true" outlineLevel="0" collapsed="false">
      <c r="A3426" s="7" t="s">
        <v>6382</v>
      </c>
      <c r="B3426" s="7" t="s">
        <v>7821</v>
      </c>
      <c r="C3426" s="7" t="s">
        <v>8004</v>
      </c>
    </row>
    <row r="3427" customFormat="false" ht="15" hidden="false" customHeight="true" outlineLevel="0" collapsed="false">
      <c r="A3427" s="7" t="s">
        <v>6382</v>
      </c>
      <c r="B3427" s="7" t="s">
        <v>7819</v>
      </c>
      <c r="C3427" s="7" t="s">
        <v>8004</v>
      </c>
    </row>
    <row r="3428" customFormat="false" ht="15" hidden="false" customHeight="true" outlineLevel="0" collapsed="false">
      <c r="A3428" s="7" t="s">
        <v>6382</v>
      </c>
      <c r="B3428" s="7" t="s">
        <v>9711</v>
      </c>
      <c r="C3428" s="7"/>
    </row>
    <row r="3429" customFormat="false" ht="15" hidden="false" customHeight="true" outlineLevel="0" collapsed="false">
      <c r="A3429" s="7" t="s">
        <v>6634</v>
      </c>
      <c r="B3429" s="7" t="s">
        <v>6634</v>
      </c>
      <c r="C3429" s="7" t="s">
        <v>8004</v>
      </c>
    </row>
    <row r="3430" customFormat="false" ht="15" hidden="false" customHeight="true" outlineLevel="0" collapsed="false">
      <c r="A3430" s="7" t="s">
        <v>6634</v>
      </c>
      <c r="B3430" s="7" t="s">
        <v>9712</v>
      </c>
      <c r="C3430" s="7"/>
    </row>
    <row r="3431" customFormat="false" ht="15" hidden="false" customHeight="true" outlineLevel="0" collapsed="false">
      <c r="A3431" s="7" t="s">
        <v>6634</v>
      </c>
      <c r="B3431" s="7" t="s">
        <v>9713</v>
      </c>
      <c r="C3431" s="7"/>
    </row>
    <row r="3432" customFormat="false" ht="15" hidden="false" customHeight="true" outlineLevel="0" collapsed="false">
      <c r="A3432" s="7" t="s">
        <v>6634</v>
      </c>
      <c r="B3432" s="7" t="s">
        <v>9714</v>
      </c>
      <c r="C3432" s="7"/>
    </row>
    <row r="3433" customFormat="false" ht="15" hidden="false" customHeight="true" outlineLevel="0" collapsed="false">
      <c r="A3433" s="7" t="s">
        <v>6634</v>
      </c>
      <c r="B3433" s="7" t="s">
        <v>9715</v>
      </c>
      <c r="C3433" s="7"/>
    </row>
    <row r="3434" customFormat="false" ht="15" hidden="false" customHeight="true" outlineLevel="0" collapsed="false">
      <c r="A3434" s="7" t="s">
        <v>6634</v>
      </c>
      <c r="B3434" s="7" t="s">
        <v>9716</v>
      </c>
      <c r="C3434" s="7"/>
    </row>
    <row r="3435" customFormat="false" ht="15" hidden="false" customHeight="true" outlineLevel="0" collapsed="false">
      <c r="A3435" s="7" t="s">
        <v>6634</v>
      </c>
      <c r="B3435" s="7" t="s">
        <v>9717</v>
      </c>
      <c r="C3435" s="7"/>
    </row>
    <row r="3436" customFormat="false" ht="15" hidden="false" customHeight="true" outlineLevel="0" collapsed="false">
      <c r="A3436" s="7" t="s">
        <v>6634</v>
      </c>
      <c r="B3436" s="7" t="s">
        <v>9718</v>
      </c>
      <c r="C3436" s="7"/>
    </row>
    <row r="3437" customFormat="false" ht="15" hidden="false" customHeight="true" outlineLevel="0" collapsed="false">
      <c r="A3437" s="7" t="s">
        <v>6634</v>
      </c>
      <c r="B3437" s="7" t="s">
        <v>9719</v>
      </c>
      <c r="C3437" s="7"/>
    </row>
    <row r="3438" customFormat="false" ht="15" hidden="false" customHeight="true" outlineLevel="0" collapsed="false">
      <c r="A3438" s="7" t="s">
        <v>6634</v>
      </c>
      <c r="B3438" s="7" t="s">
        <v>9720</v>
      </c>
      <c r="C3438" s="7"/>
    </row>
    <row r="3439" customFormat="false" ht="15" hidden="false" customHeight="true" outlineLevel="0" collapsed="false">
      <c r="A3439" s="7" t="s">
        <v>6360</v>
      </c>
      <c r="B3439" s="7" t="s">
        <v>6360</v>
      </c>
      <c r="C3439" s="7" t="s">
        <v>8004</v>
      </c>
    </row>
    <row r="3440" customFormat="false" ht="15" hidden="false" customHeight="true" outlineLevel="0" collapsed="false">
      <c r="A3440" s="7" t="s">
        <v>6360</v>
      </c>
      <c r="B3440" s="7" t="s">
        <v>6364</v>
      </c>
      <c r="C3440" s="7" t="s">
        <v>8004</v>
      </c>
    </row>
    <row r="3441" customFormat="false" ht="15" hidden="false" customHeight="true" outlineLevel="0" collapsed="false">
      <c r="A3441" s="7" t="s">
        <v>6360</v>
      </c>
      <c r="B3441" s="7" t="s">
        <v>7826</v>
      </c>
      <c r="C3441" s="7" t="s">
        <v>8004</v>
      </c>
    </row>
    <row r="3442" customFormat="false" ht="15" hidden="false" customHeight="true" outlineLevel="0" collapsed="false">
      <c r="A3442" s="7" t="s">
        <v>6360</v>
      </c>
      <c r="B3442" s="7" t="s">
        <v>6363</v>
      </c>
      <c r="C3442" s="7" t="s">
        <v>8004</v>
      </c>
    </row>
    <row r="3443" customFormat="false" ht="15" hidden="false" customHeight="true" outlineLevel="0" collapsed="false">
      <c r="A3443" s="7" t="s">
        <v>6360</v>
      </c>
      <c r="B3443" s="7" t="s">
        <v>7824</v>
      </c>
      <c r="C3443" s="7" t="s">
        <v>8004</v>
      </c>
    </row>
    <row r="3444" customFormat="false" ht="15" hidden="false" customHeight="true" outlineLevel="0" collapsed="false">
      <c r="A3444" s="7" t="s">
        <v>6360</v>
      </c>
      <c r="B3444" s="7" t="s">
        <v>7825</v>
      </c>
      <c r="C3444" s="7" t="s">
        <v>8004</v>
      </c>
    </row>
    <row r="3445" customFormat="false" ht="15" hidden="false" customHeight="true" outlineLevel="0" collapsed="false">
      <c r="A3445" s="7" t="s">
        <v>6360</v>
      </c>
      <c r="B3445" s="7" t="s">
        <v>7827</v>
      </c>
      <c r="C3445" s="7" t="s">
        <v>8004</v>
      </c>
    </row>
    <row r="3446" customFormat="false" ht="15" hidden="false" customHeight="true" outlineLevel="0" collapsed="false">
      <c r="A3446" s="7" t="s">
        <v>6360</v>
      </c>
      <c r="B3446" s="7" t="s">
        <v>9721</v>
      </c>
      <c r="C3446" s="7"/>
    </row>
    <row r="3447" customFormat="false" ht="15" hidden="false" customHeight="true" outlineLevel="0" collapsed="false">
      <c r="A3447" s="7" t="s">
        <v>6360</v>
      </c>
      <c r="B3447" s="7" t="s">
        <v>9722</v>
      </c>
      <c r="C3447" s="7"/>
    </row>
    <row r="3448" customFormat="false" ht="15" hidden="false" customHeight="true" outlineLevel="0" collapsed="false">
      <c r="A3448" s="7" t="s">
        <v>6360</v>
      </c>
      <c r="B3448" s="7" t="s">
        <v>9723</v>
      </c>
      <c r="C3448" s="7"/>
    </row>
    <row r="3449" customFormat="false" ht="15" hidden="false" customHeight="true" outlineLevel="0" collapsed="false">
      <c r="A3449" s="7" t="s">
        <v>6403</v>
      </c>
      <c r="B3449" s="7" t="s">
        <v>6408</v>
      </c>
      <c r="C3449" s="7" t="s">
        <v>8004</v>
      </c>
    </row>
    <row r="3450" customFormat="false" ht="15" hidden="false" customHeight="true" outlineLevel="0" collapsed="false">
      <c r="A3450" s="7" t="s">
        <v>6403</v>
      </c>
      <c r="B3450" s="7" t="s">
        <v>9724</v>
      </c>
      <c r="C3450" s="7"/>
    </row>
    <row r="3451" customFormat="false" ht="15" hidden="false" customHeight="true" outlineLevel="0" collapsed="false">
      <c r="A3451" s="7" t="s">
        <v>6403</v>
      </c>
      <c r="B3451" s="7" t="s">
        <v>9725</v>
      </c>
      <c r="C3451" s="7"/>
    </row>
    <row r="3452" customFormat="false" ht="15" hidden="false" customHeight="true" outlineLevel="0" collapsed="false">
      <c r="A3452" s="7" t="s">
        <v>6403</v>
      </c>
      <c r="B3452" s="7" t="s">
        <v>9726</v>
      </c>
      <c r="C3452" s="7"/>
    </row>
    <row r="3453" customFormat="false" ht="15" hidden="false" customHeight="true" outlineLevel="0" collapsed="false">
      <c r="A3453" s="7" t="s">
        <v>6403</v>
      </c>
      <c r="B3453" s="7" t="s">
        <v>9727</v>
      </c>
      <c r="C3453" s="7"/>
    </row>
    <row r="3454" customFormat="false" ht="15" hidden="false" customHeight="true" outlineLevel="0" collapsed="false">
      <c r="A3454" s="7" t="s">
        <v>6639</v>
      </c>
      <c r="B3454" s="7" t="s">
        <v>6639</v>
      </c>
      <c r="C3454" s="7" t="s">
        <v>8004</v>
      </c>
    </row>
    <row r="3455" customFormat="false" ht="15" hidden="false" customHeight="true" outlineLevel="0" collapsed="false">
      <c r="A3455" s="7" t="s">
        <v>6639</v>
      </c>
      <c r="B3455" s="7" t="s">
        <v>9728</v>
      </c>
      <c r="C3455" s="7"/>
    </row>
    <row r="3456" customFormat="false" ht="15" hidden="false" customHeight="true" outlineLevel="0" collapsed="false">
      <c r="A3456" s="7" t="s">
        <v>6639</v>
      </c>
      <c r="B3456" s="7" t="s">
        <v>9729</v>
      </c>
      <c r="C3456" s="7"/>
    </row>
    <row r="3457" customFormat="false" ht="15" hidden="false" customHeight="true" outlineLevel="0" collapsed="false">
      <c r="A3457" s="7" t="s">
        <v>6639</v>
      </c>
      <c r="B3457" s="7" t="s">
        <v>9730</v>
      </c>
      <c r="C3457" s="7"/>
    </row>
    <row r="3458" customFormat="false" ht="15" hidden="false" customHeight="true" outlineLevel="0" collapsed="false">
      <c r="A3458" s="7" t="s">
        <v>6639</v>
      </c>
      <c r="B3458" s="7" t="s">
        <v>9731</v>
      </c>
      <c r="C3458" s="7"/>
    </row>
    <row r="3459" customFormat="false" ht="15" hidden="false" customHeight="true" outlineLevel="0" collapsed="false">
      <c r="A3459" s="7" t="s">
        <v>6639</v>
      </c>
      <c r="B3459" s="7" t="s">
        <v>9732</v>
      </c>
      <c r="C3459" s="7"/>
    </row>
    <row r="3460" customFormat="false" ht="15" hidden="false" customHeight="true" outlineLevel="0" collapsed="false">
      <c r="A3460" s="7" t="s">
        <v>6639</v>
      </c>
      <c r="B3460" s="7" t="s">
        <v>9733</v>
      </c>
      <c r="C3460" s="7"/>
    </row>
    <row r="3461" customFormat="false" ht="15" hidden="false" customHeight="true" outlineLevel="0" collapsed="false">
      <c r="A3461" s="7" t="s">
        <v>6639</v>
      </c>
      <c r="B3461" s="7" t="s">
        <v>9734</v>
      </c>
      <c r="C3461" s="7"/>
    </row>
    <row r="3462" customFormat="false" ht="15" hidden="false" customHeight="true" outlineLevel="0" collapsed="false">
      <c r="A3462" s="7" t="s">
        <v>6639</v>
      </c>
      <c r="B3462" s="7" t="s">
        <v>9735</v>
      </c>
      <c r="C3462" s="7"/>
    </row>
    <row r="3463" customFormat="false" ht="15" hidden="false" customHeight="true" outlineLevel="0" collapsed="false">
      <c r="A3463" s="7" t="s">
        <v>6639</v>
      </c>
      <c r="B3463" s="7" t="s">
        <v>9736</v>
      </c>
      <c r="C3463" s="7"/>
    </row>
    <row r="3464" customFormat="false" ht="15" hidden="false" customHeight="true" outlineLevel="0" collapsed="false">
      <c r="A3464" s="7" t="s">
        <v>235</v>
      </c>
      <c r="B3464" s="7" t="s">
        <v>235</v>
      </c>
      <c r="C3464" s="7" t="s">
        <v>8004</v>
      </c>
    </row>
    <row r="3465" customFormat="false" ht="15" hidden="false" customHeight="true" outlineLevel="0" collapsed="false">
      <c r="A3465" s="7" t="s">
        <v>235</v>
      </c>
      <c r="B3465" s="7" t="s">
        <v>238</v>
      </c>
      <c r="C3465" s="7" t="s">
        <v>8004</v>
      </c>
    </row>
    <row r="3466" customFormat="false" ht="15" hidden="false" customHeight="true" outlineLevel="0" collapsed="false">
      <c r="A3466" s="7" t="s">
        <v>235</v>
      </c>
      <c r="B3466" s="7" t="s">
        <v>242</v>
      </c>
      <c r="C3466" s="7" t="s">
        <v>8004</v>
      </c>
    </row>
    <row r="3467" customFormat="false" ht="15" hidden="false" customHeight="true" outlineLevel="0" collapsed="false">
      <c r="A3467" s="7" t="s">
        <v>235</v>
      </c>
      <c r="B3467" s="7" t="s">
        <v>251</v>
      </c>
      <c r="C3467" s="7" t="s">
        <v>8004</v>
      </c>
    </row>
    <row r="3468" customFormat="false" ht="15" hidden="false" customHeight="true" outlineLevel="0" collapsed="false">
      <c r="A3468" s="7" t="s">
        <v>235</v>
      </c>
      <c r="B3468" s="7" t="s">
        <v>248</v>
      </c>
      <c r="C3468" s="7" t="s">
        <v>8004</v>
      </c>
    </row>
    <row r="3469" customFormat="false" ht="15" hidden="false" customHeight="true" outlineLevel="0" collapsed="false">
      <c r="A3469" s="7" t="s">
        <v>235</v>
      </c>
      <c r="B3469" s="7" t="s">
        <v>6780</v>
      </c>
      <c r="C3469" s="7" t="s">
        <v>8004</v>
      </c>
    </row>
    <row r="3470" customFormat="false" ht="15" hidden="false" customHeight="true" outlineLevel="0" collapsed="false">
      <c r="A3470" s="7" t="s">
        <v>235</v>
      </c>
      <c r="B3470" s="7" t="s">
        <v>6757</v>
      </c>
      <c r="C3470" s="7" t="s">
        <v>8004</v>
      </c>
    </row>
    <row r="3471" customFormat="false" ht="15" hidden="false" customHeight="true" outlineLevel="0" collapsed="false">
      <c r="A3471" s="7" t="s">
        <v>235</v>
      </c>
      <c r="B3471" s="7" t="s">
        <v>1418</v>
      </c>
      <c r="C3471" s="7" t="s">
        <v>8004</v>
      </c>
    </row>
    <row r="3472" customFormat="false" ht="15" hidden="false" customHeight="true" outlineLevel="0" collapsed="false">
      <c r="A3472" s="7" t="s">
        <v>235</v>
      </c>
      <c r="B3472" s="7" t="s">
        <v>6749</v>
      </c>
      <c r="C3472" s="7" t="s">
        <v>8004</v>
      </c>
    </row>
    <row r="3473" customFormat="false" ht="15" hidden="false" customHeight="true" outlineLevel="0" collapsed="false">
      <c r="A3473" s="7" t="s">
        <v>235</v>
      </c>
      <c r="B3473" s="7" t="s">
        <v>1467</v>
      </c>
      <c r="C3473" s="7" t="s">
        <v>8004</v>
      </c>
    </row>
    <row r="3474" customFormat="false" ht="15" hidden="false" customHeight="true" outlineLevel="0" collapsed="false">
      <c r="A3474" s="7" t="s">
        <v>1514</v>
      </c>
      <c r="B3474" s="7" t="s">
        <v>1514</v>
      </c>
      <c r="C3474" s="7" t="s">
        <v>8004</v>
      </c>
    </row>
    <row r="3475" customFormat="false" ht="15" hidden="false" customHeight="true" outlineLevel="0" collapsed="false">
      <c r="A3475" s="7" t="s">
        <v>1514</v>
      </c>
      <c r="B3475" s="7" t="s">
        <v>9737</v>
      </c>
      <c r="C3475" s="7"/>
    </row>
    <row r="3476" customFormat="false" ht="15" hidden="false" customHeight="true" outlineLevel="0" collapsed="false">
      <c r="A3476" s="7" t="s">
        <v>1514</v>
      </c>
      <c r="B3476" s="7" t="s">
        <v>7832</v>
      </c>
      <c r="C3476" s="7" t="s">
        <v>8004</v>
      </c>
    </row>
    <row r="3477" customFormat="false" ht="15" hidden="false" customHeight="true" outlineLevel="0" collapsed="false">
      <c r="A3477" s="7" t="s">
        <v>1514</v>
      </c>
      <c r="B3477" s="7" t="s">
        <v>7831</v>
      </c>
      <c r="C3477" s="7" t="s">
        <v>8004</v>
      </c>
    </row>
    <row r="3478" customFormat="false" ht="15" hidden="false" customHeight="true" outlineLevel="0" collapsed="false">
      <c r="A3478" s="7" t="s">
        <v>1514</v>
      </c>
      <c r="B3478" s="7" t="s">
        <v>7828</v>
      </c>
      <c r="C3478" s="7" t="s">
        <v>8004</v>
      </c>
    </row>
    <row r="3479" customFormat="false" ht="15" hidden="false" customHeight="true" outlineLevel="0" collapsed="false">
      <c r="A3479" s="7" t="s">
        <v>1514</v>
      </c>
      <c r="B3479" s="7" t="s">
        <v>1517</v>
      </c>
      <c r="C3479" s="7" t="s">
        <v>8004</v>
      </c>
    </row>
    <row r="3480" customFormat="false" ht="15" hidden="false" customHeight="true" outlineLevel="0" collapsed="false">
      <c r="A3480" s="7" t="s">
        <v>1514</v>
      </c>
      <c r="B3480" s="7" t="s">
        <v>9738</v>
      </c>
      <c r="C3480" s="7"/>
    </row>
    <row r="3481" customFormat="false" ht="15" hidden="false" customHeight="true" outlineLevel="0" collapsed="false">
      <c r="A3481" s="7" t="s">
        <v>1514</v>
      </c>
      <c r="B3481" s="7" t="s">
        <v>7829</v>
      </c>
      <c r="C3481" s="7" t="s">
        <v>8004</v>
      </c>
    </row>
    <row r="3482" customFormat="false" ht="15" hidden="false" customHeight="true" outlineLevel="0" collapsed="false">
      <c r="A3482" s="7" t="s">
        <v>1514</v>
      </c>
      <c r="B3482" s="7" t="s">
        <v>9739</v>
      </c>
      <c r="C3482" s="7"/>
    </row>
    <row r="3483" customFormat="false" ht="15" hidden="false" customHeight="true" outlineLevel="0" collapsed="false">
      <c r="A3483" s="7" t="s">
        <v>1514</v>
      </c>
      <c r="B3483" s="7" t="s">
        <v>7830</v>
      </c>
      <c r="C3483" s="7" t="s">
        <v>8004</v>
      </c>
    </row>
    <row r="3484" customFormat="false" ht="15" hidden="false" customHeight="true" outlineLevel="0" collapsed="false">
      <c r="A3484" s="7" t="s">
        <v>1521</v>
      </c>
      <c r="B3484" s="7" t="s">
        <v>1521</v>
      </c>
      <c r="C3484" s="7" t="s">
        <v>8004</v>
      </c>
    </row>
    <row r="3485" customFormat="false" ht="15" hidden="false" customHeight="true" outlineLevel="0" collapsed="false">
      <c r="A3485" s="7" t="s">
        <v>1521</v>
      </c>
      <c r="B3485" s="7" t="s">
        <v>7833</v>
      </c>
      <c r="C3485" s="7" t="s">
        <v>8004</v>
      </c>
    </row>
    <row r="3486" customFormat="false" ht="15" hidden="false" customHeight="true" outlineLevel="0" collapsed="false">
      <c r="A3486" s="7" t="s">
        <v>1521</v>
      </c>
      <c r="B3486" s="7" t="s">
        <v>9740</v>
      </c>
      <c r="C3486" s="7"/>
    </row>
    <row r="3487" customFormat="false" ht="15" hidden="false" customHeight="true" outlineLevel="0" collapsed="false">
      <c r="A3487" s="7" t="s">
        <v>1521</v>
      </c>
      <c r="B3487" s="7" t="s">
        <v>7834</v>
      </c>
      <c r="C3487" s="7" t="s">
        <v>8004</v>
      </c>
    </row>
    <row r="3488" customFormat="false" ht="15" hidden="false" customHeight="true" outlineLevel="0" collapsed="false">
      <c r="A3488" s="7" t="s">
        <v>1521</v>
      </c>
      <c r="B3488" s="7" t="s">
        <v>9741</v>
      </c>
      <c r="C3488" s="7"/>
    </row>
    <row r="3489" customFormat="false" ht="15" hidden="false" customHeight="true" outlineLevel="0" collapsed="false">
      <c r="A3489" s="7" t="s">
        <v>1521</v>
      </c>
      <c r="B3489" s="7" t="s">
        <v>9742</v>
      </c>
      <c r="C3489" s="7"/>
    </row>
    <row r="3490" customFormat="false" ht="15" hidden="false" customHeight="true" outlineLevel="0" collapsed="false">
      <c r="A3490" s="7" t="s">
        <v>1529</v>
      </c>
      <c r="B3490" s="7" t="s">
        <v>1529</v>
      </c>
      <c r="C3490" s="7" t="s">
        <v>8004</v>
      </c>
    </row>
    <row r="3491" customFormat="false" ht="15" hidden="false" customHeight="true" outlineLevel="0" collapsed="false">
      <c r="A3491" s="7" t="s">
        <v>1529</v>
      </c>
      <c r="B3491" s="7" t="s">
        <v>7836</v>
      </c>
      <c r="C3491" s="7" t="s">
        <v>8004</v>
      </c>
    </row>
    <row r="3492" customFormat="false" ht="15" hidden="false" customHeight="true" outlineLevel="0" collapsed="false">
      <c r="A3492" s="7" t="s">
        <v>1529</v>
      </c>
      <c r="B3492" s="7" t="s">
        <v>9743</v>
      </c>
      <c r="C3492" s="7"/>
    </row>
    <row r="3493" customFormat="false" ht="15" hidden="false" customHeight="true" outlineLevel="0" collapsed="false">
      <c r="A3493" s="7" t="s">
        <v>1529</v>
      </c>
      <c r="B3493" s="7" t="s">
        <v>7835</v>
      </c>
      <c r="C3493" s="7" t="s">
        <v>8004</v>
      </c>
    </row>
    <row r="3494" customFormat="false" ht="15" hidden="false" customHeight="true" outlineLevel="0" collapsed="false">
      <c r="A3494" s="7" t="s">
        <v>1529</v>
      </c>
      <c r="B3494" s="7" t="s">
        <v>9744</v>
      </c>
      <c r="C3494" s="7"/>
    </row>
    <row r="3495" customFormat="false" ht="15" hidden="false" customHeight="true" outlineLevel="0" collapsed="false">
      <c r="A3495" s="7" t="s">
        <v>1529</v>
      </c>
      <c r="B3495" s="7" t="s">
        <v>7546</v>
      </c>
      <c r="C3495" s="7" t="s">
        <v>8004</v>
      </c>
    </row>
    <row r="3496" customFormat="false" ht="15" hidden="false" customHeight="true" outlineLevel="0" collapsed="false">
      <c r="A3496" s="7" t="s">
        <v>1529</v>
      </c>
      <c r="B3496" s="7" t="s">
        <v>9745</v>
      </c>
      <c r="C3496" s="7"/>
    </row>
    <row r="3497" customFormat="false" ht="15" hidden="false" customHeight="true" outlineLevel="0" collapsed="false">
      <c r="A3497" s="7" t="s">
        <v>1529</v>
      </c>
      <c r="B3497" s="7" t="s">
        <v>9746</v>
      </c>
      <c r="C3497" s="7"/>
    </row>
    <row r="3498" customFormat="false" ht="15" hidden="false" customHeight="true" outlineLevel="0" collapsed="false">
      <c r="A3498" s="7" t="s">
        <v>1529</v>
      </c>
      <c r="B3498" s="7" t="s">
        <v>9747</v>
      </c>
      <c r="C3498" s="7"/>
    </row>
    <row r="3499" customFormat="false" ht="15" hidden="false" customHeight="true" outlineLevel="0" collapsed="false">
      <c r="A3499" s="7" t="s">
        <v>1529</v>
      </c>
      <c r="B3499" s="7" t="s">
        <v>9748</v>
      </c>
      <c r="C3499" s="7"/>
    </row>
    <row r="3500" customFormat="false" ht="15" hidden="false" customHeight="true" outlineLevel="0" collapsed="false">
      <c r="A3500" s="7" t="s">
        <v>1537</v>
      </c>
      <c r="B3500" s="7" t="s">
        <v>1537</v>
      </c>
      <c r="C3500" s="7" t="s">
        <v>8004</v>
      </c>
    </row>
    <row r="3501" customFormat="false" ht="15" hidden="false" customHeight="true" outlineLevel="0" collapsed="false">
      <c r="A3501" s="7" t="s">
        <v>1537</v>
      </c>
      <c r="B3501" s="7" t="s">
        <v>508</v>
      </c>
      <c r="C3501" s="7" t="s">
        <v>8004</v>
      </c>
    </row>
    <row r="3502" customFormat="false" ht="15" hidden="false" customHeight="true" outlineLevel="0" collapsed="false">
      <c r="A3502" s="7" t="s">
        <v>1537</v>
      </c>
      <c r="B3502" s="7" t="s">
        <v>9749</v>
      </c>
      <c r="C3502" s="7"/>
    </row>
    <row r="3503" customFormat="false" ht="15" hidden="false" customHeight="true" outlineLevel="0" collapsed="false">
      <c r="A3503" s="7" t="s">
        <v>1537</v>
      </c>
      <c r="B3503" s="7" t="s">
        <v>9750</v>
      </c>
      <c r="C3503" s="7"/>
    </row>
    <row r="3504" customFormat="false" ht="15" hidden="false" customHeight="true" outlineLevel="0" collapsed="false">
      <c r="A3504" s="7" t="s">
        <v>1537</v>
      </c>
      <c r="B3504" s="7" t="s">
        <v>9751</v>
      </c>
      <c r="C3504" s="7"/>
    </row>
    <row r="3505" customFormat="false" ht="15" hidden="false" customHeight="true" outlineLevel="0" collapsed="false">
      <c r="A3505" s="7" t="s">
        <v>1537</v>
      </c>
      <c r="B3505" s="7" t="s">
        <v>9752</v>
      </c>
      <c r="C3505" s="7"/>
    </row>
    <row r="3506" customFormat="false" ht="15" hidden="false" customHeight="true" outlineLevel="0" collapsed="false">
      <c r="A3506" s="7" t="s">
        <v>1537</v>
      </c>
      <c r="B3506" s="7" t="s">
        <v>9753</v>
      </c>
      <c r="C3506" s="7"/>
    </row>
    <row r="3507" customFormat="false" ht="15" hidden="false" customHeight="true" outlineLevel="0" collapsed="false">
      <c r="A3507" s="7" t="s">
        <v>1537</v>
      </c>
      <c r="B3507" s="7" t="s">
        <v>9754</v>
      </c>
      <c r="C3507" s="7"/>
    </row>
    <row r="3508" customFormat="false" ht="15" hidden="false" customHeight="true" outlineLevel="0" collapsed="false">
      <c r="A3508" s="7" t="s">
        <v>1537</v>
      </c>
      <c r="B3508" s="7" t="s">
        <v>9755</v>
      </c>
      <c r="C3508" s="7"/>
    </row>
    <row r="3509" customFormat="false" ht="15" hidden="false" customHeight="true" outlineLevel="0" collapsed="false">
      <c r="A3509" s="7" t="s">
        <v>1537</v>
      </c>
      <c r="B3509" s="7" t="s">
        <v>9756</v>
      </c>
      <c r="C3509" s="7"/>
    </row>
    <row r="3510" customFormat="false" ht="15" hidden="false" customHeight="true" outlineLevel="0" collapsed="false">
      <c r="A3510" s="7" t="s">
        <v>1544</v>
      </c>
      <c r="B3510" s="7" t="s">
        <v>9757</v>
      </c>
      <c r="C3510" s="7"/>
    </row>
    <row r="3511" customFormat="false" ht="15" hidden="false" customHeight="true" outlineLevel="0" collapsed="false">
      <c r="A3511" s="7" t="s">
        <v>1544</v>
      </c>
      <c r="B3511" s="7" t="s">
        <v>9758</v>
      </c>
      <c r="C3511" s="7"/>
    </row>
    <row r="3512" customFormat="false" ht="15" hidden="false" customHeight="true" outlineLevel="0" collapsed="false">
      <c r="A3512" s="7" t="s">
        <v>1544</v>
      </c>
      <c r="B3512" s="7" t="s">
        <v>9759</v>
      </c>
      <c r="C3512" s="7"/>
    </row>
    <row r="3513" customFormat="false" ht="15" hidden="false" customHeight="true" outlineLevel="0" collapsed="false">
      <c r="A3513" s="7" t="s">
        <v>1453</v>
      </c>
      <c r="B3513" s="7" t="s">
        <v>9760</v>
      </c>
      <c r="C3513" s="7"/>
    </row>
    <row r="3514" customFormat="false" ht="15" hidden="false" customHeight="true" outlineLevel="0" collapsed="false">
      <c r="A3514" s="7" t="s">
        <v>1453</v>
      </c>
      <c r="B3514" s="7" t="s">
        <v>7852</v>
      </c>
      <c r="C3514" s="7" t="s">
        <v>8004</v>
      </c>
    </row>
    <row r="3515" customFormat="false" ht="15" hidden="false" customHeight="true" outlineLevel="0" collapsed="false">
      <c r="A3515" s="7" t="s">
        <v>1453</v>
      </c>
      <c r="B3515" s="7" t="s">
        <v>9761</v>
      </c>
      <c r="C3515" s="7"/>
    </row>
    <row r="3516" customFormat="false" ht="15" hidden="false" customHeight="true" outlineLevel="0" collapsed="false">
      <c r="A3516" s="7" t="s">
        <v>1394</v>
      </c>
      <c r="B3516" s="7" t="s">
        <v>9762</v>
      </c>
      <c r="C3516" s="7"/>
    </row>
    <row r="3517" customFormat="false" ht="15" hidden="false" customHeight="true" outlineLevel="0" collapsed="false">
      <c r="A3517" s="7" t="s">
        <v>1394</v>
      </c>
      <c r="B3517" s="7" t="s">
        <v>7852</v>
      </c>
      <c r="C3517" s="7" t="s">
        <v>8004</v>
      </c>
    </row>
    <row r="3518" customFormat="false" ht="15" hidden="false" customHeight="true" outlineLevel="0" collapsed="false">
      <c r="A3518" s="7" t="s">
        <v>1557</v>
      </c>
      <c r="B3518" s="7" t="s">
        <v>1557</v>
      </c>
      <c r="C3518" s="7" t="s">
        <v>8004</v>
      </c>
    </row>
    <row r="3519" customFormat="false" ht="15" hidden="false" customHeight="true" outlineLevel="0" collapsed="false">
      <c r="A3519" s="7" t="s">
        <v>1670</v>
      </c>
      <c r="B3519" s="7" t="s">
        <v>1670</v>
      </c>
      <c r="C3519" s="7" t="s">
        <v>8004</v>
      </c>
    </row>
    <row r="3520" customFormat="false" ht="15" hidden="false" customHeight="true" outlineLevel="0" collapsed="false">
      <c r="A3520" s="7" t="s">
        <v>1670</v>
      </c>
      <c r="B3520" s="7" t="s">
        <v>7838</v>
      </c>
      <c r="C3520" s="7" t="s">
        <v>8004</v>
      </c>
    </row>
    <row r="3521" customFormat="false" ht="15" hidden="false" customHeight="true" outlineLevel="0" collapsed="false">
      <c r="A3521" s="7" t="s">
        <v>1670</v>
      </c>
      <c r="B3521" s="7" t="s">
        <v>7866</v>
      </c>
      <c r="C3521" s="7" t="s">
        <v>8004</v>
      </c>
    </row>
    <row r="3522" customFormat="false" ht="15" hidden="false" customHeight="true" outlineLevel="0" collapsed="false">
      <c r="A3522" s="7" t="s">
        <v>1670</v>
      </c>
      <c r="B3522" s="7" t="s">
        <v>7868</v>
      </c>
      <c r="C3522" s="7" t="s">
        <v>8004</v>
      </c>
    </row>
    <row r="3523" customFormat="false" ht="15" hidden="false" customHeight="true" outlineLevel="0" collapsed="false">
      <c r="A3523" s="7" t="s">
        <v>1460</v>
      </c>
      <c r="B3523" s="7" t="s">
        <v>1460</v>
      </c>
      <c r="C3523" s="7" t="s">
        <v>8004</v>
      </c>
    </row>
    <row r="3524" customFormat="false" ht="15" hidden="false" customHeight="true" outlineLevel="0" collapsed="false">
      <c r="A3524" s="7" t="s">
        <v>1460</v>
      </c>
      <c r="B3524" s="7" t="s">
        <v>7840</v>
      </c>
      <c r="C3524" s="7" t="s">
        <v>8004</v>
      </c>
    </row>
    <row r="3525" customFormat="false" ht="15" hidden="false" customHeight="true" outlineLevel="0" collapsed="false">
      <c r="A3525" s="7" t="s">
        <v>1460</v>
      </c>
      <c r="B3525" s="7" t="s">
        <v>7839</v>
      </c>
      <c r="C3525" s="7" t="s">
        <v>8004</v>
      </c>
    </row>
    <row r="3526" customFormat="false" ht="15" hidden="false" customHeight="true" outlineLevel="0" collapsed="false">
      <c r="A3526" s="7" t="s">
        <v>1460</v>
      </c>
      <c r="B3526" s="7" t="s">
        <v>9763</v>
      </c>
      <c r="C3526" s="7"/>
    </row>
    <row r="3527" customFormat="false" ht="15" hidden="false" customHeight="true" outlineLevel="0" collapsed="false">
      <c r="A3527" s="7" t="s">
        <v>1460</v>
      </c>
      <c r="B3527" s="7" t="s">
        <v>7547</v>
      </c>
      <c r="C3527" s="7" t="s">
        <v>8004</v>
      </c>
    </row>
    <row r="3528" customFormat="false" ht="15" hidden="false" customHeight="true" outlineLevel="0" collapsed="false">
      <c r="A3528" s="7" t="s">
        <v>1460</v>
      </c>
      <c r="B3528" s="7" t="s">
        <v>9764</v>
      </c>
      <c r="C3528" s="7"/>
    </row>
    <row r="3529" customFormat="false" ht="15" hidden="false" customHeight="true" outlineLevel="0" collapsed="false">
      <c r="A3529" s="7" t="s">
        <v>1460</v>
      </c>
      <c r="B3529" s="7" t="s">
        <v>7837</v>
      </c>
      <c r="C3529" s="7" t="s">
        <v>8004</v>
      </c>
    </row>
    <row r="3530" customFormat="false" ht="15" hidden="false" customHeight="true" outlineLevel="0" collapsed="false">
      <c r="A3530" s="7" t="s">
        <v>1460</v>
      </c>
      <c r="B3530" s="7" t="s">
        <v>7549</v>
      </c>
      <c r="C3530" s="7" t="s">
        <v>8004</v>
      </c>
    </row>
    <row r="3531" customFormat="false" ht="15" hidden="false" customHeight="true" outlineLevel="0" collapsed="false">
      <c r="A3531" s="7" t="s">
        <v>1460</v>
      </c>
      <c r="B3531" s="7" t="s">
        <v>9765</v>
      </c>
      <c r="C3531" s="7"/>
    </row>
    <row r="3532" customFormat="false" ht="15" hidden="false" customHeight="true" outlineLevel="0" collapsed="false">
      <c r="A3532" s="7" t="s">
        <v>1460</v>
      </c>
      <c r="B3532" s="7" t="s">
        <v>9766</v>
      </c>
      <c r="C3532" s="7"/>
    </row>
    <row r="3533" customFormat="false" ht="15" hidden="false" customHeight="true" outlineLevel="0" collapsed="false">
      <c r="A3533" s="7" t="s">
        <v>1780</v>
      </c>
      <c r="B3533" s="7" t="s">
        <v>1780</v>
      </c>
      <c r="C3533" s="7" t="s">
        <v>8004</v>
      </c>
    </row>
    <row r="3534" customFormat="false" ht="15" hidden="false" customHeight="true" outlineLevel="0" collapsed="false">
      <c r="A3534" s="7" t="s">
        <v>1780</v>
      </c>
      <c r="B3534" s="7" t="s">
        <v>9767</v>
      </c>
      <c r="C3534" s="7"/>
    </row>
    <row r="3535" customFormat="false" ht="15" hidden="false" customHeight="true" outlineLevel="0" collapsed="false">
      <c r="A3535" s="7" t="s">
        <v>1780</v>
      </c>
      <c r="B3535" s="7" t="s">
        <v>9768</v>
      </c>
      <c r="C3535" s="7"/>
    </row>
    <row r="3536" customFormat="false" ht="15" hidden="false" customHeight="true" outlineLevel="0" collapsed="false">
      <c r="A3536" s="7" t="s">
        <v>1780</v>
      </c>
      <c r="B3536" s="7" t="s">
        <v>9769</v>
      </c>
      <c r="C3536" s="7"/>
    </row>
    <row r="3537" customFormat="false" ht="15" hidden="false" customHeight="true" outlineLevel="0" collapsed="false">
      <c r="A3537" s="7" t="s">
        <v>1657</v>
      </c>
      <c r="B3537" s="7" t="s">
        <v>9770</v>
      </c>
      <c r="C3537" s="7"/>
    </row>
    <row r="3538" customFormat="false" ht="15" hidden="false" customHeight="true" outlineLevel="0" collapsed="false">
      <c r="A3538" s="7" t="s">
        <v>1657</v>
      </c>
      <c r="B3538" s="7" t="s">
        <v>7868</v>
      </c>
      <c r="C3538" s="7" t="s">
        <v>8004</v>
      </c>
    </row>
    <row r="3539" customFormat="false" ht="15" hidden="false" customHeight="true" outlineLevel="0" collapsed="false">
      <c r="A3539" s="7" t="s">
        <v>1657</v>
      </c>
      <c r="B3539" s="7" t="s">
        <v>7866</v>
      </c>
      <c r="C3539" s="7" t="s">
        <v>8004</v>
      </c>
    </row>
    <row r="3540" customFormat="false" ht="15" hidden="false" customHeight="true" outlineLevel="0" collapsed="false">
      <c r="A3540" s="7" t="s">
        <v>1657</v>
      </c>
      <c r="B3540" s="7" t="s">
        <v>7863</v>
      </c>
      <c r="C3540" s="7" t="s">
        <v>8004</v>
      </c>
    </row>
    <row r="3541" customFormat="false" ht="15" hidden="false" customHeight="true" outlineLevel="0" collapsed="false">
      <c r="A3541" s="7" t="s">
        <v>1657</v>
      </c>
      <c r="B3541" s="7" t="s">
        <v>7856</v>
      </c>
      <c r="C3541" s="7" t="s">
        <v>8004</v>
      </c>
    </row>
    <row r="3542" customFormat="false" ht="15" hidden="false" customHeight="true" outlineLevel="0" collapsed="false">
      <c r="A3542" s="7" t="s">
        <v>1581</v>
      </c>
      <c r="B3542" s="7" t="s">
        <v>1581</v>
      </c>
      <c r="C3542" s="7" t="s">
        <v>8004</v>
      </c>
    </row>
    <row r="3543" customFormat="false" ht="15" hidden="false" customHeight="true" outlineLevel="0" collapsed="false">
      <c r="A3543" s="7" t="s">
        <v>1581</v>
      </c>
      <c r="B3543" s="7" t="s">
        <v>7842</v>
      </c>
      <c r="C3543" s="7" t="s">
        <v>8004</v>
      </c>
    </row>
    <row r="3544" customFormat="false" ht="15" hidden="false" customHeight="true" outlineLevel="0" collapsed="false">
      <c r="A3544" s="7" t="s">
        <v>1581</v>
      </c>
      <c r="B3544" s="7" t="s">
        <v>9771</v>
      </c>
      <c r="C3544" s="7"/>
    </row>
    <row r="3545" customFormat="false" ht="15" hidden="false" customHeight="true" outlineLevel="0" collapsed="false">
      <c r="A3545" s="7" t="s">
        <v>1581</v>
      </c>
      <c r="B3545" s="7" t="s">
        <v>1584</v>
      </c>
      <c r="C3545" s="7" t="s">
        <v>8004</v>
      </c>
    </row>
    <row r="3546" customFormat="false" ht="15" hidden="false" customHeight="true" outlineLevel="0" collapsed="false">
      <c r="A3546" s="7" t="s">
        <v>1581</v>
      </c>
      <c r="B3546" s="7" t="s">
        <v>9772</v>
      </c>
      <c r="C3546" s="7"/>
    </row>
    <row r="3547" customFormat="false" ht="15" hidden="false" customHeight="true" outlineLevel="0" collapsed="false">
      <c r="A3547" s="7" t="s">
        <v>1581</v>
      </c>
      <c r="B3547" s="7" t="s">
        <v>7841</v>
      </c>
      <c r="C3547" s="7" t="s">
        <v>8004</v>
      </c>
    </row>
    <row r="3548" customFormat="false" ht="15" hidden="false" customHeight="true" outlineLevel="0" collapsed="false">
      <c r="A3548" s="7" t="s">
        <v>1581</v>
      </c>
      <c r="B3548" s="7" t="s">
        <v>9773</v>
      </c>
      <c r="C3548" s="7"/>
    </row>
    <row r="3549" customFormat="false" ht="15" hidden="false" customHeight="true" outlineLevel="0" collapsed="false">
      <c r="A3549" s="7" t="s">
        <v>1581</v>
      </c>
      <c r="B3549" s="7" t="s">
        <v>9774</v>
      </c>
      <c r="C3549" s="7"/>
    </row>
    <row r="3550" customFormat="false" ht="15" hidden="false" customHeight="true" outlineLevel="0" collapsed="false">
      <c r="A3550" s="7" t="s">
        <v>1581</v>
      </c>
      <c r="B3550" s="7" t="s">
        <v>9775</v>
      </c>
      <c r="C3550" s="7"/>
    </row>
    <row r="3551" customFormat="false" ht="15" hidden="false" customHeight="true" outlineLevel="0" collapsed="false">
      <c r="A3551" s="7" t="s">
        <v>1581</v>
      </c>
      <c r="B3551" s="7" t="s">
        <v>9776</v>
      </c>
      <c r="C3551" s="7"/>
    </row>
    <row r="3552" customFormat="false" ht="15" hidden="false" customHeight="true" outlineLevel="0" collapsed="false">
      <c r="A3552" s="7" t="s">
        <v>1439</v>
      </c>
      <c r="B3552" s="7" t="s">
        <v>1439</v>
      </c>
      <c r="C3552" s="7" t="s">
        <v>8004</v>
      </c>
    </row>
    <row r="3553" customFormat="false" ht="15" hidden="false" customHeight="true" outlineLevel="0" collapsed="false">
      <c r="A3553" s="7" t="s">
        <v>1439</v>
      </c>
      <c r="B3553" s="7" t="s">
        <v>7846</v>
      </c>
      <c r="C3553" s="7" t="s">
        <v>8004</v>
      </c>
    </row>
    <row r="3554" customFormat="false" ht="15" hidden="false" customHeight="true" outlineLevel="0" collapsed="false">
      <c r="A3554" s="7" t="s">
        <v>1439</v>
      </c>
      <c r="B3554" s="7" t="s">
        <v>7845</v>
      </c>
      <c r="C3554" s="7" t="s">
        <v>8004</v>
      </c>
    </row>
    <row r="3555" customFormat="false" ht="15" hidden="false" customHeight="true" outlineLevel="0" collapsed="false">
      <c r="A3555" s="7" t="s">
        <v>1439</v>
      </c>
      <c r="B3555" s="7" t="s">
        <v>7844</v>
      </c>
      <c r="C3555" s="7" t="s">
        <v>8004</v>
      </c>
    </row>
    <row r="3556" customFormat="false" ht="15" hidden="false" customHeight="true" outlineLevel="0" collapsed="false">
      <c r="A3556" s="7" t="s">
        <v>1439</v>
      </c>
      <c r="B3556" s="7" t="s">
        <v>7843</v>
      </c>
      <c r="C3556" s="7" t="s">
        <v>8004</v>
      </c>
    </row>
    <row r="3557" customFormat="false" ht="15" hidden="false" customHeight="true" outlineLevel="0" collapsed="false">
      <c r="A3557" s="7" t="s">
        <v>1439</v>
      </c>
      <c r="B3557" s="7" t="s">
        <v>7850</v>
      </c>
      <c r="C3557" s="7" t="s">
        <v>8004</v>
      </c>
    </row>
    <row r="3558" customFormat="false" ht="15" hidden="false" customHeight="true" outlineLevel="0" collapsed="false">
      <c r="A3558" s="7" t="s">
        <v>1439</v>
      </c>
      <c r="B3558" s="7" t="s">
        <v>7852</v>
      </c>
      <c r="C3558" s="7" t="s">
        <v>8004</v>
      </c>
    </row>
    <row r="3559" customFormat="false" ht="15" hidden="false" customHeight="true" outlineLevel="0" collapsed="false">
      <c r="A3559" s="7" t="s">
        <v>1439</v>
      </c>
      <c r="B3559" s="7" t="s">
        <v>9777</v>
      </c>
      <c r="C3559" s="7"/>
    </row>
    <row r="3560" customFormat="false" ht="15" hidden="false" customHeight="true" outlineLevel="0" collapsed="false">
      <c r="A3560" s="7" t="s">
        <v>1439</v>
      </c>
      <c r="B3560" s="7" t="s">
        <v>9778</v>
      </c>
      <c r="C3560" s="7"/>
    </row>
    <row r="3561" customFormat="false" ht="15" hidden="false" customHeight="true" outlineLevel="0" collapsed="false">
      <c r="A3561" s="7" t="s">
        <v>1588</v>
      </c>
      <c r="B3561" s="7" t="s">
        <v>1588</v>
      </c>
      <c r="C3561" s="7" t="s">
        <v>8004</v>
      </c>
    </row>
    <row r="3562" customFormat="false" ht="15" hidden="false" customHeight="true" outlineLevel="0" collapsed="false">
      <c r="A3562" s="7" t="s">
        <v>1588</v>
      </c>
      <c r="B3562" s="7" t="s">
        <v>7848</v>
      </c>
      <c r="C3562" s="7" t="s">
        <v>8004</v>
      </c>
    </row>
    <row r="3563" customFormat="false" ht="15" hidden="false" customHeight="true" outlineLevel="0" collapsed="false">
      <c r="A3563" s="7" t="s">
        <v>1588</v>
      </c>
      <c r="B3563" s="7" t="s">
        <v>7847</v>
      </c>
      <c r="C3563" s="7" t="s">
        <v>8004</v>
      </c>
    </row>
    <row r="3564" customFormat="false" ht="15" hidden="false" customHeight="true" outlineLevel="0" collapsed="false">
      <c r="A3564" s="7" t="s">
        <v>1588</v>
      </c>
      <c r="B3564" s="7" t="s">
        <v>7548</v>
      </c>
      <c r="C3564" s="7" t="s">
        <v>8004</v>
      </c>
    </row>
    <row r="3565" customFormat="false" ht="15" hidden="false" customHeight="true" outlineLevel="0" collapsed="false">
      <c r="A3565" s="7" t="s">
        <v>1588</v>
      </c>
      <c r="B3565" s="7" t="s">
        <v>9779</v>
      </c>
      <c r="C3565" s="7"/>
    </row>
    <row r="3566" customFormat="false" ht="15" hidden="false" customHeight="true" outlineLevel="0" collapsed="false">
      <c r="A3566" s="7" t="s">
        <v>1588</v>
      </c>
      <c r="B3566" s="7" t="s">
        <v>7850</v>
      </c>
      <c r="C3566" s="7" t="s">
        <v>8004</v>
      </c>
    </row>
    <row r="3567" customFormat="false" ht="15" hidden="false" customHeight="true" outlineLevel="0" collapsed="false">
      <c r="A3567" s="7" t="s">
        <v>1588</v>
      </c>
      <c r="B3567" s="7" t="s">
        <v>7549</v>
      </c>
      <c r="C3567" s="7" t="s">
        <v>8004</v>
      </c>
    </row>
    <row r="3568" customFormat="false" ht="15" hidden="false" customHeight="true" outlineLevel="0" collapsed="false">
      <c r="A3568" s="7" t="s">
        <v>1588</v>
      </c>
      <c r="B3568" s="7" t="s">
        <v>7851</v>
      </c>
      <c r="C3568" s="7" t="s">
        <v>8004</v>
      </c>
    </row>
    <row r="3569" customFormat="false" ht="15" hidden="false" customHeight="true" outlineLevel="0" collapsed="false">
      <c r="A3569" s="7" t="s">
        <v>1467</v>
      </c>
      <c r="B3569" s="7" t="s">
        <v>1467</v>
      </c>
      <c r="C3569" s="7" t="s">
        <v>8004</v>
      </c>
    </row>
    <row r="3570" customFormat="false" ht="15" hidden="false" customHeight="true" outlineLevel="0" collapsed="false">
      <c r="A3570" s="7" t="s">
        <v>1467</v>
      </c>
      <c r="B3570" s="7" t="s">
        <v>7851</v>
      </c>
      <c r="C3570" s="7" t="s">
        <v>8004</v>
      </c>
    </row>
    <row r="3571" customFormat="false" ht="15" hidden="false" customHeight="true" outlineLevel="0" collapsed="false">
      <c r="A3571" s="7" t="s">
        <v>1467</v>
      </c>
      <c r="B3571" s="7" t="s">
        <v>9780</v>
      </c>
      <c r="C3571" s="7"/>
    </row>
    <row r="3572" customFormat="false" ht="15" hidden="false" customHeight="true" outlineLevel="0" collapsed="false">
      <c r="A3572" s="7" t="s">
        <v>1467</v>
      </c>
      <c r="B3572" s="7" t="s">
        <v>1470</v>
      </c>
      <c r="C3572" s="7" t="s">
        <v>8004</v>
      </c>
    </row>
    <row r="3573" customFormat="false" ht="15" hidden="false" customHeight="true" outlineLevel="0" collapsed="false">
      <c r="A3573" s="7" t="s">
        <v>1467</v>
      </c>
      <c r="B3573" s="7" t="s">
        <v>7849</v>
      </c>
      <c r="C3573" s="7" t="s">
        <v>8004</v>
      </c>
    </row>
    <row r="3574" customFormat="false" ht="15" hidden="false" customHeight="true" outlineLevel="0" collapsed="false">
      <c r="A3574" s="7" t="s">
        <v>1467</v>
      </c>
      <c r="B3574" s="7" t="s">
        <v>7850</v>
      </c>
      <c r="C3574" s="7" t="s">
        <v>8004</v>
      </c>
    </row>
    <row r="3575" customFormat="false" ht="15" hidden="false" customHeight="true" outlineLevel="0" collapsed="false">
      <c r="A3575" s="7" t="s">
        <v>1467</v>
      </c>
      <c r="B3575" s="7" t="s">
        <v>9781</v>
      </c>
      <c r="C3575" s="7"/>
    </row>
    <row r="3576" customFormat="false" ht="15" hidden="false" customHeight="true" outlineLevel="0" collapsed="false">
      <c r="A3576" s="7" t="s">
        <v>1467</v>
      </c>
      <c r="B3576" s="7" t="s">
        <v>9782</v>
      </c>
      <c r="C3576" s="7"/>
    </row>
    <row r="3577" customFormat="false" ht="15" hidden="false" customHeight="true" outlineLevel="0" collapsed="false">
      <c r="A3577" s="7" t="s">
        <v>1467</v>
      </c>
      <c r="B3577" s="7" t="s">
        <v>9783</v>
      </c>
      <c r="C3577" s="7"/>
    </row>
    <row r="3578" customFormat="false" ht="15" hidden="false" customHeight="true" outlineLevel="0" collapsed="false">
      <c r="A3578" s="7" t="s">
        <v>1467</v>
      </c>
      <c r="B3578" s="7" t="s">
        <v>9784</v>
      </c>
      <c r="C3578" s="7"/>
    </row>
    <row r="3579" customFormat="false" ht="15" hidden="false" customHeight="true" outlineLevel="0" collapsed="false">
      <c r="A3579" s="7" t="s">
        <v>1385</v>
      </c>
      <c r="B3579" s="7" t="s">
        <v>1385</v>
      </c>
      <c r="C3579" s="7" t="s">
        <v>8004</v>
      </c>
    </row>
    <row r="3580" customFormat="false" ht="15" hidden="false" customHeight="true" outlineLevel="0" collapsed="false">
      <c r="A3580" s="7" t="s">
        <v>1385</v>
      </c>
      <c r="B3580" s="7" t="s">
        <v>7861</v>
      </c>
      <c r="C3580" s="7" t="s">
        <v>8004</v>
      </c>
    </row>
    <row r="3581" customFormat="false" ht="15" hidden="false" customHeight="true" outlineLevel="0" collapsed="false">
      <c r="A3581" s="7" t="s">
        <v>1385</v>
      </c>
      <c r="B3581" s="7" t="s">
        <v>7859</v>
      </c>
      <c r="C3581" s="7" t="s">
        <v>8004</v>
      </c>
    </row>
    <row r="3582" customFormat="false" ht="15" hidden="false" customHeight="true" outlineLevel="0" collapsed="false">
      <c r="A3582" s="7" t="s">
        <v>1385</v>
      </c>
      <c r="B3582" s="7" t="s">
        <v>7858</v>
      </c>
      <c r="C3582" s="7" t="s">
        <v>8004</v>
      </c>
    </row>
    <row r="3583" customFormat="false" ht="15" hidden="false" customHeight="true" outlineLevel="0" collapsed="false">
      <c r="A3583" s="7" t="s">
        <v>1385</v>
      </c>
      <c r="B3583" s="7" t="s">
        <v>7860</v>
      </c>
      <c r="C3583" s="7" t="s">
        <v>8004</v>
      </c>
    </row>
    <row r="3584" customFormat="false" ht="15" hidden="false" customHeight="true" outlineLevel="0" collapsed="false">
      <c r="A3584" s="7" t="s">
        <v>1385</v>
      </c>
      <c r="B3584" s="7" t="s">
        <v>9785</v>
      </c>
      <c r="C3584" s="7"/>
    </row>
    <row r="3585" customFormat="false" ht="15" hidden="false" customHeight="true" outlineLevel="0" collapsed="false">
      <c r="A3585" s="7" t="s">
        <v>1385</v>
      </c>
      <c r="B3585" s="7" t="s">
        <v>9786</v>
      </c>
      <c r="C3585" s="7"/>
    </row>
    <row r="3586" customFormat="false" ht="15" hidden="false" customHeight="true" outlineLevel="0" collapsed="false">
      <c r="A3586" s="7" t="s">
        <v>1385</v>
      </c>
      <c r="B3586" s="7" t="s">
        <v>7862</v>
      </c>
      <c r="C3586" s="7" t="s">
        <v>8004</v>
      </c>
    </row>
    <row r="3587" customFormat="false" ht="15" hidden="false" customHeight="true" outlineLevel="0" collapsed="false">
      <c r="A3587" s="7" t="s">
        <v>1385</v>
      </c>
      <c r="B3587" s="7" t="s">
        <v>7857</v>
      </c>
      <c r="C3587" s="7" t="s">
        <v>8004</v>
      </c>
    </row>
    <row r="3588" customFormat="false" ht="15" hidden="false" customHeight="true" outlineLevel="0" collapsed="false">
      <c r="A3588" s="7" t="s">
        <v>1385</v>
      </c>
      <c r="B3588" s="7" t="s">
        <v>1388</v>
      </c>
      <c r="C3588" s="7" t="s">
        <v>8004</v>
      </c>
    </row>
    <row r="3589" customFormat="false" ht="15" hidden="false" customHeight="true" outlineLevel="0" collapsed="false">
      <c r="A3589" s="7" t="s">
        <v>1858</v>
      </c>
      <c r="B3589" s="7" t="s">
        <v>9787</v>
      </c>
      <c r="C3589" s="7"/>
    </row>
    <row r="3590" customFormat="false" ht="15" hidden="false" customHeight="true" outlineLevel="0" collapsed="false">
      <c r="A3590" s="7" t="s">
        <v>1858</v>
      </c>
      <c r="B3590" s="7" t="s">
        <v>7549</v>
      </c>
      <c r="C3590" s="7" t="s">
        <v>8004</v>
      </c>
    </row>
    <row r="3591" customFormat="false" ht="15" hidden="false" customHeight="true" outlineLevel="0" collapsed="false">
      <c r="A3591" s="7" t="s">
        <v>1858</v>
      </c>
      <c r="B3591" s="7" t="s">
        <v>9775</v>
      </c>
      <c r="C3591" s="7"/>
    </row>
    <row r="3592" customFormat="false" ht="15" hidden="false" customHeight="true" outlineLevel="0" collapsed="false">
      <c r="A3592" s="7" t="s">
        <v>1597</v>
      </c>
      <c r="B3592" s="7" t="s">
        <v>576</v>
      </c>
      <c r="C3592" s="7" t="s">
        <v>8004</v>
      </c>
    </row>
    <row r="3593" customFormat="false" ht="15" hidden="false" customHeight="true" outlineLevel="0" collapsed="false">
      <c r="A3593" s="7" t="s">
        <v>1597</v>
      </c>
      <c r="B3593" s="7" t="s">
        <v>9788</v>
      </c>
      <c r="C3593" s="7"/>
    </row>
    <row r="3594" customFormat="false" ht="15" hidden="false" customHeight="true" outlineLevel="0" collapsed="false">
      <c r="A3594" s="7" t="s">
        <v>1597</v>
      </c>
      <c r="B3594" s="7" t="s">
        <v>9789</v>
      </c>
      <c r="C3594" s="7"/>
    </row>
    <row r="3595" customFormat="false" ht="15" hidden="false" customHeight="true" outlineLevel="0" collapsed="false">
      <c r="A3595" s="7" t="s">
        <v>1474</v>
      </c>
      <c r="B3595" s="7" t="s">
        <v>1474</v>
      </c>
      <c r="C3595" s="7" t="s">
        <v>8004</v>
      </c>
    </row>
    <row r="3596" customFormat="false" ht="15" hidden="false" customHeight="true" outlineLevel="0" collapsed="false">
      <c r="A3596" s="7" t="s">
        <v>1474</v>
      </c>
      <c r="B3596" s="7" t="s">
        <v>435</v>
      </c>
      <c r="C3596" s="7" t="s">
        <v>8004</v>
      </c>
    </row>
    <row r="3597" customFormat="false" ht="15" hidden="false" customHeight="true" outlineLevel="0" collapsed="false">
      <c r="A3597" s="7" t="s">
        <v>1474</v>
      </c>
      <c r="B3597" s="7" t="s">
        <v>9790</v>
      </c>
      <c r="C3597" s="7"/>
    </row>
    <row r="3598" customFormat="false" ht="15" hidden="false" customHeight="true" outlineLevel="0" collapsed="false">
      <c r="A3598" s="7" t="s">
        <v>1474</v>
      </c>
      <c r="B3598" s="7" t="s">
        <v>9791</v>
      </c>
      <c r="C3598" s="7"/>
    </row>
    <row r="3599" customFormat="false" ht="15" hidden="false" customHeight="true" outlineLevel="0" collapsed="false">
      <c r="A3599" s="7" t="s">
        <v>1603</v>
      </c>
      <c r="B3599" s="7" t="s">
        <v>7864</v>
      </c>
      <c r="C3599" s="7" t="s">
        <v>8004</v>
      </c>
    </row>
    <row r="3600" customFormat="false" ht="15" hidden="false" customHeight="true" outlineLevel="0" collapsed="false">
      <c r="A3600" s="7" t="s">
        <v>1603</v>
      </c>
      <c r="B3600" s="7" t="s">
        <v>7856</v>
      </c>
      <c r="C3600" s="7" t="s">
        <v>8004</v>
      </c>
    </row>
    <row r="3601" customFormat="false" ht="15" hidden="false" customHeight="true" outlineLevel="0" collapsed="false">
      <c r="A3601" s="7" t="s">
        <v>1603</v>
      </c>
      <c r="B3601" s="7" t="s">
        <v>7853</v>
      </c>
      <c r="C3601" s="7" t="s">
        <v>8004</v>
      </c>
    </row>
    <row r="3602" customFormat="false" ht="15" hidden="false" customHeight="true" outlineLevel="0" collapsed="false">
      <c r="A3602" s="7" t="s">
        <v>1603</v>
      </c>
      <c r="B3602" s="7" t="s">
        <v>7855</v>
      </c>
      <c r="C3602" s="7" t="s">
        <v>8004</v>
      </c>
    </row>
    <row r="3603" customFormat="false" ht="15" hidden="false" customHeight="true" outlineLevel="0" collapsed="false">
      <c r="A3603" s="7" t="s">
        <v>1603</v>
      </c>
      <c r="B3603" s="7" t="s">
        <v>7854</v>
      </c>
      <c r="C3603" s="7" t="s">
        <v>8004</v>
      </c>
    </row>
    <row r="3604" customFormat="false" ht="15" hidden="false" customHeight="true" outlineLevel="0" collapsed="false">
      <c r="A3604" s="7" t="s">
        <v>1603</v>
      </c>
      <c r="B3604" s="7" t="s">
        <v>9792</v>
      </c>
      <c r="C3604" s="7"/>
    </row>
    <row r="3605" customFormat="false" ht="15" hidden="false" customHeight="true" outlineLevel="0" collapsed="false">
      <c r="A3605" s="7" t="s">
        <v>1603</v>
      </c>
      <c r="B3605" s="7" t="s">
        <v>7868</v>
      </c>
      <c r="C3605" s="7" t="s">
        <v>8004</v>
      </c>
    </row>
    <row r="3606" customFormat="false" ht="15" hidden="false" customHeight="true" outlineLevel="0" collapsed="false">
      <c r="A3606" s="7" t="s">
        <v>1603</v>
      </c>
      <c r="B3606" s="7" t="s">
        <v>9793</v>
      </c>
      <c r="C3606" s="7"/>
    </row>
    <row r="3607" customFormat="false" ht="15" hidden="false" customHeight="true" outlineLevel="0" collapsed="false">
      <c r="A3607" s="7" t="s">
        <v>1603</v>
      </c>
      <c r="B3607" s="7" t="s">
        <v>7863</v>
      </c>
      <c r="C3607" s="7" t="s">
        <v>8004</v>
      </c>
    </row>
    <row r="3608" customFormat="false" ht="15" hidden="false" customHeight="true" outlineLevel="0" collapsed="false">
      <c r="A3608" s="7" t="s">
        <v>1480</v>
      </c>
      <c r="B3608" s="7" t="s">
        <v>7865</v>
      </c>
      <c r="C3608" s="7" t="s">
        <v>8004</v>
      </c>
    </row>
    <row r="3609" customFormat="false" ht="15" hidden="false" customHeight="true" outlineLevel="0" collapsed="false">
      <c r="A3609" s="7" t="s">
        <v>1480</v>
      </c>
      <c r="B3609" s="7" t="s">
        <v>7863</v>
      </c>
      <c r="C3609" s="7" t="s">
        <v>8004</v>
      </c>
    </row>
    <row r="3610" customFormat="false" ht="15" hidden="false" customHeight="true" outlineLevel="0" collapsed="false">
      <c r="A3610" s="7" t="s">
        <v>1480</v>
      </c>
      <c r="B3610" s="7" t="s">
        <v>7868</v>
      </c>
      <c r="C3610" s="7" t="s">
        <v>8004</v>
      </c>
    </row>
    <row r="3611" customFormat="false" ht="15" hidden="false" customHeight="true" outlineLevel="0" collapsed="false">
      <c r="A3611" s="7" t="s">
        <v>1480</v>
      </c>
      <c r="B3611" s="7" t="s">
        <v>7866</v>
      </c>
      <c r="C3611" s="7" t="s">
        <v>8004</v>
      </c>
    </row>
    <row r="3612" customFormat="false" ht="15" hidden="false" customHeight="true" outlineLevel="0" collapsed="false">
      <c r="A3612" s="7" t="s">
        <v>1480</v>
      </c>
      <c r="B3612" s="7" t="s">
        <v>7856</v>
      </c>
      <c r="C3612" s="7" t="s">
        <v>8004</v>
      </c>
    </row>
    <row r="3613" customFormat="false" ht="15" hidden="false" customHeight="true" outlineLevel="0" collapsed="false">
      <c r="A3613" s="7" t="s">
        <v>1609</v>
      </c>
      <c r="B3613" s="7" t="s">
        <v>1609</v>
      </c>
      <c r="C3613" s="7" t="s">
        <v>8004</v>
      </c>
    </row>
    <row r="3614" customFormat="false" ht="15" hidden="false" customHeight="true" outlineLevel="0" collapsed="false">
      <c r="A3614" s="7" t="s">
        <v>1609</v>
      </c>
      <c r="B3614" s="7" t="s">
        <v>7871</v>
      </c>
      <c r="C3614" s="7" t="s">
        <v>8004</v>
      </c>
    </row>
    <row r="3615" customFormat="false" ht="15" hidden="false" customHeight="true" outlineLevel="0" collapsed="false">
      <c r="A3615" s="7" t="s">
        <v>1609</v>
      </c>
      <c r="B3615" s="7" t="s">
        <v>7873</v>
      </c>
      <c r="C3615" s="7" t="s">
        <v>8004</v>
      </c>
    </row>
    <row r="3616" customFormat="false" ht="15" hidden="false" customHeight="true" outlineLevel="0" collapsed="false">
      <c r="A3616" s="7" t="s">
        <v>1609</v>
      </c>
      <c r="B3616" s="7" t="s">
        <v>7872</v>
      </c>
      <c r="C3616" s="7" t="s">
        <v>8004</v>
      </c>
    </row>
    <row r="3617" customFormat="false" ht="15" hidden="false" customHeight="true" outlineLevel="0" collapsed="false">
      <c r="A3617" s="7" t="s">
        <v>1609</v>
      </c>
      <c r="B3617" s="7" t="s">
        <v>9794</v>
      </c>
      <c r="C3617" s="7"/>
    </row>
    <row r="3618" customFormat="false" ht="15" hidden="false" customHeight="true" outlineLevel="0" collapsed="false">
      <c r="A3618" s="7" t="s">
        <v>1609</v>
      </c>
      <c r="B3618" s="7" t="s">
        <v>9795</v>
      </c>
      <c r="C3618" s="7"/>
    </row>
    <row r="3619" customFormat="false" ht="15" hidden="false" customHeight="true" outlineLevel="0" collapsed="false">
      <c r="A3619" s="7" t="s">
        <v>1609</v>
      </c>
      <c r="B3619" s="7" t="s">
        <v>9796</v>
      </c>
      <c r="C3619" s="7"/>
    </row>
    <row r="3620" customFormat="false" ht="15" hidden="false" customHeight="true" outlineLevel="0" collapsed="false">
      <c r="A3620" s="7" t="s">
        <v>1609</v>
      </c>
      <c r="B3620" s="7" t="s">
        <v>7870</v>
      </c>
      <c r="C3620" s="7" t="s">
        <v>8004</v>
      </c>
    </row>
    <row r="3621" customFormat="false" ht="15" hidden="false" customHeight="true" outlineLevel="0" collapsed="false">
      <c r="A3621" s="7" t="s">
        <v>1609</v>
      </c>
      <c r="B3621" s="7" t="s">
        <v>7866</v>
      </c>
      <c r="C3621" s="7" t="s">
        <v>8004</v>
      </c>
    </row>
    <row r="3622" customFormat="false" ht="15" hidden="false" customHeight="true" outlineLevel="0" collapsed="false">
      <c r="A3622" s="7" t="s">
        <v>1609</v>
      </c>
      <c r="B3622" s="7" t="s">
        <v>7868</v>
      </c>
      <c r="C3622" s="7" t="s">
        <v>8004</v>
      </c>
    </row>
    <row r="3623" customFormat="false" ht="15" hidden="false" customHeight="true" outlineLevel="0" collapsed="false">
      <c r="A3623" s="7" t="s">
        <v>1664</v>
      </c>
      <c r="B3623" s="7" t="s">
        <v>9797</v>
      </c>
      <c r="C3623" s="7"/>
    </row>
    <row r="3624" customFormat="false" ht="15" hidden="false" customHeight="true" outlineLevel="0" collapsed="false">
      <c r="A3624" s="7" t="s">
        <v>1664</v>
      </c>
      <c r="B3624" s="7" t="s">
        <v>7868</v>
      </c>
      <c r="C3624" s="7" t="s">
        <v>8004</v>
      </c>
    </row>
    <row r="3625" customFormat="false" ht="15" hidden="false" customHeight="true" outlineLevel="0" collapsed="false">
      <c r="A3625" s="7" t="s">
        <v>1664</v>
      </c>
      <c r="B3625" s="7" t="s">
        <v>7866</v>
      </c>
      <c r="C3625" s="7" t="s">
        <v>8004</v>
      </c>
    </row>
    <row r="3626" customFormat="false" ht="15" hidden="false" customHeight="true" outlineLevel="0" collapsed="false">
      <c r="A3626" s="7" t="s">
        <v>1664</v>
      </c>
      <c r="B3626" s="7" t="s">
        <v>7863</v>
      </c>
      <c r="C3626" s="7" t="s">
        <v>8004</v>
      </c>
    </row>
    <row r="3627" customFormat="false" ht="15" hidden="false" customHeight="true" outlineLevel="0" collapsed="false">
      <c r="A3627" s="7" t="s">
        <v>1664</v>
      </c>
      <c r="B3627" s="7" t="s">
        <v>9798</v>
      </c>
      <c r="C3627" s="7"/>
    </row>
    <row r="3628" customFormat="false" ht="15" hidden="false" customHeight="true" outlineLevel="0" collapsed="false">
      <c r="A3628" s="7" t="s">
        <v>1664</v>
      </c>
      <c r="B3628" s="7" t="s">
        <v>7856</v>
      </c>
      <c r="C3628" s="7" t="s">
        <v>8004</v>
      </c>
    </row>
    <row r="3629" customFormat="false" ht="15" hidden="false" customHeight="true" outlineLevel="0" collapsed="false">
      <c r="A3629" s="7" t="s">
        <v>1486</v>
      </c>
      <c r="B3629" s="7" t="s">
        <v>1486</v>
      </c>
      <c r="C3629" s="7" t="s">
        <v>8004</v>
      </c>
    </row>
    <row r="3630" customFormat="false" ht="15" hidden="false" customHeight="true" outlineLevel="0" collapsed="false">
      <c r="A3630" s="7" t="s">
        <v>1486</v>
      </c>
      <c r="B3630" s="7" t="s">
        <v>7874</v>
      </c>
      <c r="C3630" s="7" t="s">
        <v>8004</v>
      </c>
    </row>
    <row r="3631" customFormat="false" ht="15" hidden="false" customHeight="true" outlineLevel="0" collapsed="false">
      <c r="A3631" s="7" t="s">
        <v>1486</v>
      </c>
      <c r="B3631" s="7" t="s">
        <v>1489</v>
      </c>
      <c r="C3631" s="7" t="s">
        <v>8004</v>
      </c>
    </row>
    <row r="3632" customFormat="false" ht="15" hidden="false" customHeight="true" outlineLevel="0" collapsed="false">
      <c r="A3632" s="7" t="s">
        <v>1486</v>
      </c>
      <c r="B3632" s="7" t="s">
        <v>9799</v>
      </c>
      <c r="C3632" s="7"/>
    </row>
    <row r="3633" customFormat="false" ht="15" hidden="false" customHeight="true" outlineLevel="0" collapsed="false">
      <c r="A3633" s="7" t="s">
        <v>1486</v>
      </c>
      <c r="B3633" s="7" t="s">
        <v>9800</v>
      </c>
      <c r="C3633" s="7"/>
    </row>
    <row r="3634" customFormat="false" ht="15" hidden="false" customHeight="true" outlineLevel="0" collapsed="false">
      <c r="A3634" s="7" t="s">
        <v>1486</v>
      </c>
      <c r="B3634" s="7" t="s">
        <v>9801</v>
      </c>
      <c r="C3634" s="7"/>
    </row>
    <row r="3635" customFormat="false" ht="15" hidden="false" customHeight="true" outlineLevel="0" collapsed="false">
      <c r="A3635" s="7" t="s">
        <v>1486</v>
      </c>
      <c r="B3635" s="7" t="s">
        <v>9802</v>
      </c>
      <c r="C3635" s="7"/>
    </row>
    <row r="3636" customFormat="false" ht="15" hidden="false" customHeight="true" outlineLevel="0" collapsed="false">
      <c r="A3636" s="7" t="s">
        <v>1486</v>
      </c>
      <c r="B3636" s="7" t="s">
        <v>7850</v>
      </c>
      <c r="C3636" s="7" t="s">
        <v>8004</v>
      </c>
    </row>
    <row r="3637" customFormat="false" ht="15" hidden="false" customHeight="true" outlineLevel="0" collapsed="false">
      <c r="A3637" s="7" t="s">
        <v>1486</v>
      </c>
      <c r="B3637" s="7" t="s">
        <v>7852</v>
      </c>
      <c r="C3637" s="7" t="s">
        <v>8004</v>
      </c>
    </row>
    <row r="3638" customFormat="false" ht="15" hidden="false" customHeight="true" outlineLevel="0" collapsed="false">
      <c r="A3638" s="7" t="s">
        <v>1486</v>
      </c>
      <c r="B3638" s="7" t="s">
        <v>9803</v>
      </c>
      <c r="C3638" s="7"/>
    </row>
    <row r="3639" customFormat="false" ht="15" hidden="false" customHeight="true" outlineLevel="0" collapsed="false">
      <c r="A3639" s="7" t="s">
        <v>1624</v>
      </c>
      <c r="B3639" s="7" t="s">
        <v>1624</v>
      </c>
      <c r="C3639" s="7" t="s">
        <v>8004</v>
      </c>
    </row>
    <row r="3640" customFormat="false" ht="15" hidden="false" customHeight="true" outlineLevel="0" collapsed="false">
      <c r="A3640" s="7" t="s">
        <v>1624</v>
      </c>
      <c r="B3640" s="7" t="s">
        <v>7878</v>
      </c>
      <c r="C3640" s="7" t="s">
        <v>8004</v>
      </c>
    </row>
    <row r="3641" customFormat="false" ht="15" hidden="false" customHeight="true" outlineLevel="0" collapsed="false">
      <c r="A3641" s="7" t="s">
        <v>1624</v>
      </c>
      <c r="B3641" s="7" t="s">
        <v>9804</v>
      </c>
      <c r="C3641" s="7"/>
    </row>
    <row r="3642" customFormat="false" ht="15" hidden="false" customHeight="true" outlineLevel="0" collapsed="false">
      <c r="A3642" s="7" t="s">
        <v>1624</v>
      </c>
      <c r="B3642" s="7" t="s">
        <v>7876</v>
      </c>
      <c r="C3642" s="7" t="s">
        <v>8004</v>
      </c>
    </row>
    <row r="3643" customFormat="false" ht="15" hidden="false" customHeight="true" outlineLevel="0" collapsed="false">
      <c r="A3643" s="7" t="s">
        <v>1624</v>
      </c>
      <c r="B3643" s="7" t="s">
        <v>9805</v>
      </c>
      <c r="C3643" s="7"/>
    </row>
    <row r="3644" customFormat="false" ht="15" hidden="false" customHeight="true" outlineLevel="0" collapsed="false">
      <c r="A3644" s="7" t="s">
        <v>1624</v>
      </c>
      <c r="B3644" s="7" t="s">
        <v>9806</v>
      </c>
      <c r="C3644" s="7"/>
    </row>
    <row r="3645" customFormat="false" ht="15" hidden="false" customHeight="true" outlineLevel="0" collapsed="false">
      <c r="A3645" s="7" t="s">
        <v>1624</v>
      </c>
      <c r="B3645" s="7" t="s">
        <v>7877</v>
      </c>
      <c r="C3645" s="7" t="s">
        <v>8004</v>
      </c>
    </row>
    <row r="3646" customFormat="false" ht="15" hidden="false" customHeight="true" outlineLevel="0" collapsed="false">
      <c r="A3646" s="7" t="s">
        <v>1624</v>
      </c>
      <c r="B3646" s="7" t="s">
        <v>7875</v>
      </c>
      <c r="C3646" s="7" t="s">
        <v>8004</v>
      </c>
    </row>
    <row r="3647" customFormat="false" ht="15" hidden="false" customHeight="true" outlineLevel="0" collapsed="false">
      <c r="A3647" s="7" t="s">
        <v>1624</v>
      </c>
      <c r="B3647" s="7" t="s">
        <v>9807</v>
      </c>
      <c r="C3647" s="7"/>
    </row>
    <row r="3648" customFormat="false" ht="15" hidden="false" customHeight="true" outlineLevel="0" collapsed="false">
      <c r="A3648" s="7" t="s">
        <v>1624</v>
      </c>
      <c r="B3648" s="7" t="s">
        <v>9808</v>
      </c>
      <c r="C3648" s="7"/>
    </row>
    <row r="3649" customFormat="false" ht="15" hidden="false" customHeight="true" outlineLevel="0" collapsed="false">
      <c r="A3649" s="7" t="s">
        <v>1690</v>
      </c>
      <c r="B3649" s="7" t="s">
        <v>9809</v>
      </c>
      <c r="C3649" s="7"/>
    </row>
    <row r="3650" customFormat="false" ht="15" hidden="false" customHeight="true" outlineLevel="0" collapsed="false">
      <c r="A3650" s="7" t="s">
        <v>1690</v>
      </c>
      <c r="B3650" s="7" t="s">
        <v>9810</v>
      </c>
      <c r="C3650" s="7"/>
    </row>
    <row r="3651" customFormat="false" ht="15" hidden="false" customHeight="true" outlineLevel="0" collapsed="false">
      <c r="A3651" s="7" t="s">
        <v>1690</v>
      </c>
      <c r="B3651" s="7" t="s">
        <v>9811</v>
      </c>
      <c r="C3651" s="7"/>
    </row>
    <row r="3652" customFormat="false" ht="15" hidden="false" customHeight="true" outlineLevel="0" collapsed="false">
      <c r="A3652" s="7" t="s">
        <v>1690</v>
      </c>
      <c r="B3652" s="7" t="s">
        <v>9812</v>
      </c>
      <c r="C3652" s="7"/>
    </row>
    <row r="3653" customFormat="false" ht="15" hidden="false" customHeight="true" outlineLevel="0" collapsed="false">
      <c r="A3653" s="7" t="s">
        <v>1493</v>
      </c>
      <c r="B3653" s="7" t="s">
        <v>1493</v>
      </c>
      <c r="C3653" s="7" t="s">
        <v>8004</v>
      </c>
    </row>
    <row r="3654" customFormat="false" ht="15" hidden="false" customHeight="true" outlineLevel="0" collapsed="false">
      <c r="A3654" s="7" t="s">
        <v>1493</v>
      </c>
      <c r="B3654" s="7" t="s">
        <v>7879</v>
      </c>
      <c r="C3654" s="7" t="s">
        <v>8004</v>
      </c>
    </row>
    <row r="3655" customFormat="false" ht="15" hidden="false" customHeight="true" outlineLevel="0" collapsed="false">
      <c r="A3655" s="7" t="s">
        <v>1493</v>
      </c>
      <c r="B3655" s="7" t="s">
        <v>9813</v>
      </c>
      <c r="C3655" s="7"/>
    </row>
    <row r="3656" customFormat="false" ht="15" hidden="false" customHeight="true" outlineLevel="0" collapsed="false">
      <c r="A3656" s="7" t="s">
        <v>1493</v>
      </c>
      <c r="B3656" s="7" t="s">
        <v>9814</v>
      </c>
      <c r="C3656" s="7"/>
    </row>
    <row r="3657" customFormat="false" ht="15" hidden="false" customHeight="true" outlineLevel="0" collapsed="false">
      <c r="A3657" s="7" t="s">
        <v>1493</v>
      </c>
      <c r="B3657" s="7" t="s">
        <v>7892</v>
      </c>
      <c r="C3657" s="7" t="s">
        <v>8004</v>
      </c>
    </row>
    <row r="3658" customFormat="false" ht="15" hidden="false" customHeight="true" outlineLevel="0" collapsed="false">
      <c r="A3658" s="7" t="s">
        <v>1500</v>
      </c>
      <c r="B3658" s="7" t="s">
        <v>1500</v>
      </c>
      <c r="C3658" s="7" t="s">
        <v>8004</v>
      </c>
    </row>
    <row r="3659" customFormat="false" ht="15" hidden="false" customHeight="true" outlineLevel="0" collapsed="false">
      <c r="A3659" s="7" t="s">
        <v>1500</v>
      </c>
      <c r="B3659" s="7" t="s">
        <v>7884</v>
      </c>
      <c r="C3659" s="7" t="s">
        <v>8004</v>
      </c>
    </row>
    <row r="3660" customFormat="false" ht="15" hidden="false" customHeight="true" outlineLevel="0" collapsed="false">
      <c r="A3660" s="7" t="s">
        <v>1500</v>
      </c>
      <c r="B3660" s="7" t="s">
        <v>7881</v>
      </c>
      <c r="C3660" s="7" t="s">
        <v>8004</v>
      </c>
    </row>
    <row r="3661" customFormat="false" ht="15" hidden="false" customHeight="true" outlineLevel="0" collapsed="false">
      <c r="A3661" s="7" t="s">
        <v>1500</v>
      </c>
      <c r="B3661" s="7" t="s">
        <v>7883</v>
      </c>
      <c r="C3661" s="7" t="s">
        <v>8004</v>
      </c>
    </row>
    <row r="3662" customFormat="false" ht="15" hidden="false" customHeight="true" outlineLevel="0" collapsed="false">
      <c r="A3662" s="7" t="s">
        <v>1500</v>
      </c>
      <c r="B3662" s="7" t="s">
        <v>7882</v>
      </c>
      <c r="C3662" s="7" t="s">
        <v>8004</v>
      </c>
    </row>
    <row r="3663" customFormat="false" ht="15" hidden="false" customHeight="true" outlineLevel="0" collapsed="false">
      <c r="A3663" s="7" t="s">
        <v>1500</v>
      </c>
      <c r="B3663" s="7" t="s">
        <v>7880</v>
      </c>
      <c r="C3663" s="7" t="s">
        <v>8004</v>
      </c>
    </row>
    <row r="3664" customFormat="false" ht="15" hidden="false" customHeight="true" outlineLevel="0" collapsed="false">
      <c r="A3664" s="7" t="s">
        <v>1500</v>
      </c>
      <c r="B3664" s="7" t="s">
        <v>1503</v>
      </c>
      <c r="C3664" s="7" t="s">
        <v>8004</v>
      </c>
    </row>
    <row r="3665" customFormat="false" ht="15" hidden="false" customHeight="true" outlineLevel="0" collapsed="false">
      <c r="A3665" s="7" t="s">
        <v>1500</v>
      </c>
      <c r="B3665" s="7" t="s">
        <v>9815</v>
      </c>
      <c r="C3665" s="7"/>
    </row>
    <row r="3666" customFormat="false" ht="15" hidden="false" customHeight="true" outlineLevel="0" collapsed="false">
      <c r="A3666" s="7" t="s">
        <v>1500</v>
      </c>
      <c r="B3666" s="7" t="s">
        <v>9816</v>
      </c>
      <c r="C3666" s="7"/>
    </row>
    <row r="3667" customFormat="false" ht="15" hidden="false" customHeight="true" outlineLevel="0" collapsed="false">
      <c r="A3667" s="7" t="s">
        <v>1500</v>
      </c>
      <c r="B3667" s="7" t="s">
        <v>9817</v>
      </c>
      <c r="C3667" s="7"/>
    </row>
    <row r="3668" customFormat="false" ht="15" hidden="false" customHeight="true" outlineLevel="0" collapsed="false">
      <c r="A3668" s="7" t="s">
        <v>1418</v>
      </c>
      <c r="B3668" s="7" t="s">
        <v>1418</v>
      </c>
      <c r="C3668" s="7" t="s">
        <v>8004</v>
      </c>
    </row>
    <row r="3669" customFormat="false" ht="15" hidden="false" customHeight="true" outlineLevel="0" collapsed="false">
      <c r="A3669" s="7" t="s">
        <v>1418</v>
      </c>
      <c r="B3669" s="7" t="s">
        <v>7889</v>
      </c>
      <c r="C3669" s="7" t="s">
        <v>8004</v>
      </c>
    </row>
    <row r="3670" customFormat="false" ht="15" hidden="false" customHeight="true" outlineLevel="0" collapsed="false">
      <c r="A3670" s="7" t="s">
        <v>1418</v>
      </c>
      <c r="B3670" s="7" t="s">
        <v>7887</v>
      </c>
      <c r="C3670" s="7" t="s">
        <v>8004</v>
      </c>
    </row>
    <row r="3671" customFormat="false" ht="15" hidden="false" customHeight="true" outlineLevel="0" collapsed="false">
      <c r="A3671" s="7" t="s">
        <v>1418</v>
      </c>
      <c r="B3671" s="7" t="s">
        <v>1421</v>
      </c>
      <c r="C3671" s="7" t="s">
        <v>8004</v>
      </c>
    </row>
    <row r="3672" customFormat="false" ht="15" hidden="false" customHeight="true" outlineLevel="0" collapsed="false">
      <c r="A3672" s="7" t="s">
        <v>1418</v>
      </c>
      <c r="B3672" s="7" t="s">
        <v>7888</v>
      </c>
      <c r="C3672" s="7" t="s">
        <v>8004</v>
      </c>
    </row>
    <row r="3673" customFormat="false" ht="15" hidden="false" customHeight="true" outlineLevel="0" collapsed="false">
      <c r="A3673" s="7" t="s">
        <v>1418</v>
      </c>
      <c r="B3673" s="7" t="s">
        <v>7886</v>
      </c>
      <c r="C3673" s="7" t="s">
        <v>8004</v>
      </c>
    </row>
    <row r="3674" customFormat="false" ht="15" hidden="false" customHeight="true" outlineLevel="0" collapsed="false">
      <c r="A3674" s="7" t="s">
        <v>1418</v>
      </c>
      <c r="B3674" s="7" t="s">
        <v>9818</v>
      </c>
      <c r="C3674" s="7"/>
    </row>
    <row r="3675" customFormat="false" ht="15" hidden="false" customHeight="true" outlineLevel="0" collapsed="false">
      <c r="A3675" s="7" t="s">
        <v>1418</v>
      </c>
      <c r="B3675" s="7" t="s">
        <v>9819</v>
      </c>
      <c r="C3675" s="7"/>
    </row>
    <row r="3676" customFormat="false" ht="15" hidden="false" customHeight="true" outlineLevel="0" collapsed="false">
      <c r="A3676" s="7" t="s">
        <v>1418</v>
      </c>
      <c r="B3676" s="7" t="s">
        <v>9820</v>
      </c>
      <c r="C3676" s="7"/>
    </row>
    <row r="3677" customFormat="false" ht="15" hidden="false" customHeight="true" outlineLevel="0" collapsed="false">
      <c r="A3677" s="7" t="s">
        <v>1418</v>
      </c>
      <c r="B3677" s="7" t="s">
        <v>7885</v>
      </c>
      <c r="C3677" s="7" t="s">
        <v>8004</v>
      </c>
    </row>
    <row r="3678" customFormat="false" ht="15" hidden="false" customHeight="true" outlineLevel="0" collapsed="false">
      <c r="A3678" s="7" t="s">
        <v>1446</v>
      </c>
      <c r="B3678" s="7" t="s">
        <v>1446</v>
      </c>
      <c r="C3678" s="7" t="s">
        <v>8004</v>
      </c>
    </row>
    <row r="3679" customFormat="false" ht="15" hidden="false" customHeight="true" outlineLevel="0" collapsed="false">
      <c r="A3679" s="7" t="s">
        <v>1446</v>
      </c>
      <c r="B3679" s="7" t="s">
        <v>7891</v>
      </c>
      <c r="C3679" s="7" t="s">
        <v>8004</v>
      </c>
    </row>
    <row r="3680" customFormat="false" ht="15" hidden="false" customHeight="true" outlineLevel="0" collapsed="false">
      <c r="A3680" s="7" t="s">
        <v>1446</v>
      </c>
      <c r="B3680" s="7" t="s">
        <v>7890</v>
      </c>
      <c r="C3680" s="7" t="s">
        <v>8004</v>
      </c>
    </row>
    <row r="3681" customFormat="false" ht="15" hidden="false" customHeight="true" outlineLevel="0" collapsed="false">
      <c r="A3681" s="7" t="s">
        <v>1446</v>
      </c>
      <c r="B3681" s="7" t="s">
        <v>1449</v>
      </c>
      <c r="C3681" s="7" t="s">
        <v>8004</v>
      </c>
    </row>
    <row r="3682" customFormat="false" ht="15" hidden="false" customHeight="true" outlineLevel="0" collapsed="false">
      <c r="A3682" s="7" t="s">
        <v>1446</v>
      </c>
      <c r="B3682" s="7" t="s">
        <v>9821</v>
      </c>
      <c r="C3682" s="7"/>
    </row>
    <row r="3683" customFormat="false" ht="15" hidden="false" customHeight="true" outlineLevel="0" collapsed="false">
      <c r="A3683" s="7" t="s">
        <v>1446</v>
      </c>
      <c r="B3683" s="7" t="s">
        <v>7868</v>
      </c>
      <c r="C3683" s="7" t="s">
        <v>8004</v>
      </c>
    </row>
    <row r="3684" customFormat="false" ht="15" hidden="false" customHeight="true" outlineLevel="0" collapsed="false">
      <c r="A3684" s="7" t="s">
        <v>1446</v>
      </c>
      <c r="B3684" s="7" t="s">
        <v>7866</v>
      </c>
      <c r="C3684" s="7" t="s">
        <v>8004</v>
      </c>
    </row>
    <row r="3685" customFormat="false" ht="15" hidden="false" customHeight="true" outlineLevel="0" collapsed="false">
      <c r="A3685" s="7" t="s">
        <v>1446</v>
      </c>
      <c r="B3685" s="7" t="s">
        <v>9822</v>
      </c>
      <c r="C3685" s="7"/>
    </row>
    <row r="3686" customFormat="false" ht="15" hidden="false" customHeight="true" outlineLevel="0" collapsed="false">
      <c r="A3686" s="7" t="s">
        <v>1446</v>
      </c>
      <c r="B3686" s="7" t="s">
        <v>7863</v>
      </c>
      <c r="C3686" s="7" t="s">
        <v>8004</v>
      </c>
    </row>
    <row r="3687" customFormat="false" ht="15" hidden="false" customHeight="true" outlineLevel="0" collapsed="false">
      <c r="A3687" s="7" t="s">
        <v>1376</v>
      </c>
      <c r="B3687" s="7" t="s">
        <v>9823</v>
      </c>
      <c r="C3687" s="7"/>
    </row>
    <row r="3688" customFormat="false" ht="15" hidden="false" customHeight="true" outlineLevel="0" collapsed="false">
      <c r="A3688" s="7" t="s">
        <v>1376</v>
      </c>
      <c r="B3688" s="7" t="s">
        <v>9824</v>
      </c>
      <c r="C3688" s="7"/>
    </row>
    <row r="3689" customFormat="false" ht="15" hidden="false" customHeight="true" outlineLevel="0" collapsed="false">
      <c r="A3689" s="7" t="s">
        <v>1376</v>
      </c>
      <c r="B3689" s="7" t="s">
        <v>9825</v>
      </c>
      <c r="C3689" s="7"/>
    </row>
    <row r="3690" customFormat="false" ht="15" hidden="false" customHeight="true" outlineLevel="0" collapsed="false">
      <c r="A3690" s="7" t="s">
        <v>1726</v>
      </c>
      <c r="B3690" s="7" t="s">
        <v>1726</v>
      </c>
      <c r="C3690" s="7" t="s">
        <v>8004</v>
      </c>
    </row>
    <row r="3691" customFormat="false" ht="15" hidden="false" customHeight="true" outlineLevel="0" collapsed="false">
      <c r="A3691" s="7" t="s">
        <v>1726</v>
      </c>
      <c r="B3691" s="7" t="s">
        <v>9826</v>
      </c>
      <c r="C3691" s="7"/>
    </row>
    <row r="3692" customFormat="false" ht="15" hidden="false" customHeight="true" outlineLevel="0" collapsed="false">
      <c r="A3692" s="7" t="s">
        <v>1726</v>
      </c>
      <c r="B3692" s="7" t="s">
        <v>9827</v>
      </c>
      <c r="C3692" s="7"/>
    </row>
    <row r="3693" customFormat="false" ht="15" hidden="false" customHeight="true" outlineLevel="0" collapsed="false">
      <c r="A3693" s="7" t="s">
        <v>1410</v>
      </c>
      <c r="B3693" s="7" t="s">
        <v>9828</v>
      </c>
      <c r="C3693" s="7"/>
    </row>
    <row r="3694" customFormat="false" ht="15" hidden="false" customHeight="true" outlineLevel="0" collapsed="false">
      <c r="A3694" s="7" t="s">
        <v>1410</v>
      </c>
      <c r="B3694" s="7" t="s">
        <v>1410</v>
      </c>
      <c r="C3694" s="7" t="s">
        <v>8004</v>
      </c>
    </row>
    <row r="3695" customFormat="false" ht="15" hidden="false" customHeight="true" outlineLevel="0" collapsed="false">
      <c r="A3695" s="7" t="s">
        <v>1410</v>
      </c>
      <c r="B3695" s="7" t="s">
        <v>9829</v>
      </c>
      <c r="C3695" s="7"/>
    </row>
    <row r="3696" customFormat="false" ht="15" hidden="false" customHeight="true" outlineLevel="0" collapsed="false">
      <c r="A3696" s="7" t="s">
        <v>1410</v>
      </c>
      <c r="B3696" s="7" t="s">
        <v>9830</v>
      </c>
      <c r="C3696" s="7"/>
    </row>
    <row r="3697" customFormat="false" ht="15" hidden="false" customHeight="true" outlineLevel="0" collapsed="false">
      <c r="A3697" s="7" t="s">
        <v>1410</v>
      </c>
      <c r="B3697" s="7" t="s">
        <v>9831</v>
      </c>
      <c r="C3697" s="7"/>
    </row>
    <row r="3698" customFormat="false" ht="15" hidden="false" customHeight="true" outlineLevel="0" collapsed="false">
      <c r="A3698" s="7" t="s">
        <v>1410</v>
      </c>
      <c r="B3698" s="7" t="s">
        <v>9832</v>
      </c>
      <c r="C3698" s="7"/>
    </row>
    <row r="3699" customFormat="false" ht="15" hidden="false" customHeight="true" outlineLevel="0" collapsed="false">
      <c r="A3699" s="7" t="s">
        <v>244</v>
      </c>
      <c r="B3699" s="7" t="s">
        <v>244</v>
      </c>
      <c r="C3699" s="7" t="s">
        <v>8004</v>
      </c>
    </row>
    <row r="3700" customFormat="false" ht="15" hidden="false" customHeight="true" outlineLevel="0" collapsed="false">
      <c r="A3700" s="7" t="s">
        <v>244</v>
      </c>
      <c r="B3700" s="7" t="s">
        <v>6447</v>
      </c>
      <c r="C3700" s="7" t="s">
        <v>8004</v>
      </c>
    </row>
    <row r="3701" customFormat="false" ht="15" hidden="false" customHeight="true" outlineLevel="0" collapsed="false">
      <c r="A3701" s="7" t="s">
        <v>244</v>
      </c>
      <c r="B3701" s="7" t="s">
        <v>6783</v>
      </c>
      <c r="C3701" s="7" t="s">
        <v>8004</v>
      </c>
    </row>
    <row r="3702" customFormat="false" ht="15" hidden="false" customHeight="true" outlineLevel="0" collapsed="false">
      <c r="A3702" s="7" t="s">
        <v>244</v>
      </c>
      <c r="B3702" s="7" t="s">
        <v>6779</v>
      </c>
      <c r="C3702" s="7" t="s">
        <v>8004</v>
      </c>
    </row>
    <row r="3703" customFormat="false" ht="15" hidden="false" customHeight="true" outlineLevel="0" collapsed="false">
      <c r="A3703" s="7" t="s">
        <v>244</v>
      </c>
      <c r="B3703" s="7" t="s">
        <v>9775</v>
      </c>
      <c r="C3703" s="7"/>
    </row>
    <row r="3704" customFormat="false" ht="15" hidden="false" customHeight="true" outlineLevel="0" collapsed="false">
      <c r="A3704" s="7" t="s">
        <v>244</v>
      </c>
      <c r="B3704" s="7" t="s">
        <v>6778</v>
      </c>
      <c r="C3704" s="7" t="s">
        <v>8004</v>
      </c>
    </row>
    <row r="3705" customFormat="false" ht="15" hidden="false" customHeight="true" outlineLevel="0" collapsed="false">
      <c r="A3705" s="7" t="s">
        <v>244</v>
      </c>
      <c r="B3705" s="7" t="s">
        <v>6781</v>
      </c>
      <c r="C3705" s="7" t="s">
        <v>8004</v>
      </c>
    </row>
    <row r="3706" customFormat="false" ht="15" hidden="false" customHeight="true" outlineLevel="0" collapsed="false">
      <c r="A3706" s="7" t="s">
        <v>244</v>
      </c>
      <c r="B3706" s="7" t="s">
        <v>6782</v>
      </c>
      <c r="C3706" s="7" t="s">
        <v>8004</v>
      </c>
    </row>
    <row r="3707" customFormat="false" ht="15" hidden="false" customHeight="true" outlineLevel="0" collapsed="false">
      <c r="A3707" s="7" t="s">
        <v>244</v>
      </c>
      <c r="B3707" s="7" t="s">
        <v>9833</v>
      </c>
      <c r="C3707" s="7"/>
    </row>
    <row r="3708" customFormat="false" ht="15" hidden="false" customHeight="true" outlineLevel="0" collapsed="false">
      <c r="A3708" s="7" t="s">
        <v>1425</v>
      </c>
      <c r="B3708" s="7" t="s">
        <v>1425</v>
      </c>
      <c r="C3708" s="7" t="s">
        <v>8004</v>
      </c>
    </row>
    <row r="3709" customFormat="false" ht="15" hidden="false" customHeight="true" outlineLevel="0" collapsed="false">
      <c r="A3709" s="7" t="s">
        <v>1425</v>
      </c>
      <c r="B3709" s="7" t="s">
        <v>9834</v>
      </c>
      <c r="C3709" s="7"/>
    </row>
    <row r="3710" customFormat="false" ht="15" hidden="false" customHeight="true" outlineLevel="0" collapsed="false">
      <c r="A3710" s="7" t="s">
        <v>1425</v>
      </c>
      <c r="B3710" s="7" t="s">
        <v>9835</v>
      </c>
      <c r="C3710" s="7"/>
    </row>
    <row r="3711" customFormat="false" ht="15" hidden="false" customHeight="true" outlineLevel="0" collapsed="false">
      <c r="A3711" s="7" t="s">
        <v>1425</v>
      </c>
      <c r="B3711" s="7" t="s">
        <v>9836</v>
      </c>
      <c r="C3711" s="7"/>
    </row>
    <row r="3712" customFormat="false" ht="15" hidden="false" customHeight="true" outlineLevel="0" collapsed="false">
      <c r="A3712" s="7" t="s">
        <v>1425</v>
      </c>
      <c r="B3712" s="7" t="s">
        <v>9837</v>
      </c>
      <c r="C3712" s="7"/>
    </row>
    <row r="3713" customFormat="false" ht="15" hidden="false" customHeight="true" outlineLevel="0" collapsed="false">
      <c r="A3713" s="7" t="s">
        <v>1651</v>
      </c>
      <c r="B3713" s="7" t="s">
        <v>7893</v>
      </c>
      <c r="C3713" s="7" t="s">
        <v>8004</v>
      </c>
    </row>
    <row r="3714" customFormat="false" ht="15" hidden="false" customHeight="true" outlineLevel="0" collapsed="false">
      <c r="A3714" s="7" t="s">
        <v>1651</v>
      </c>
      <c r="B3714" s="7" t="s">
        <v>7550</v>
      </c>
      <c r="C3714" s="7" t="s">
        <v>8004</v>
      </c>
    </row>
    <row r="3715" customFormat="false" ht="15" hidden="false" customHeight="true" outlineLevel="0" collapsed="false">
      <c r="A3715" s="7" t="s">
        <v>1651</v>
      </c>
      <c r="B3715" s="7" t="s">
        <v>9838</v>
      </c>
      <c r="C3715" s="7"/>
    </row>
    <row r="3716" customFormat="false" ht="15" hidden="false" customHeight="true" outlineLevel="0" collapsed="false">
      <c r="A3716" s="7" t="s">
        <v>1651</v>
      </c>
      <c r="B3716" s="7" t="s">
        <v>9839</v>
      </c>
      <c r="C3716" s="7"/>
    </row>
    <row r="3717" customFormat="false" ht="15" hidden="false" customHeight="true" outlineLevel="0" collapsed="false">
      <c r="A3717" s="7" t="s">
        <v>1508</v>
      </c>
      <c r="B3717" s="7" t="s">
        <v>9840</v>
      </c>
      <c r="C3717" s="7"/>
    </row>
    <row r="3718" customFormat="false" ht="15" hidden="false" customHeight="true" outlineLevel="0" collapsed="false">
      <c r="A3718" s="7" t="s">
        <v>1508</v>
      </c>
      <c r="B3718" s="7" t="s">
        <v>9841</v>
      </c>
      <c r="C3718" s="7"/>
    </row>
    <row r="3719" customFormat="false" ht="15" hidden="false" customHeight="true" outlineLevel="0" collapsed="false">
      <c r="A3719" s="7" t="s">
        <v>1508</v>
      </c>
      <c r="B3719" s="7" t="s">
        <v>9767</v>
      </c>
      <c r="C3719" s="7"/>
    </row>
    <row r="3720" customFormat="false" ht="15" hidden="false" customHeight="true" outlineLevel="0" collapsed="false">
      <c r="A3720" s="7" t="s">
        <v>258</v>
      </c>
      <c r="B3720" s="7" t="s">
        <v>258</v>
      </c>
      <c r="C3720" s="7" t="s">
        <v>8004</v>
      </c>
    </row>
    <row r="3721" customFormat="false" ht="15" hidden="false" customHeight="true" outlineLevel="0" collapsed="false">
      <c r="A3721" s="7" t="s">
        <v>258</v>
      </c>
      <c r="B3721" s="7" t="s">
        <v>9842</v>
      </c>
      <c r="C3721" s="7"/>
    </row>
    <row r="3722" customFormat="false" ht="15" hidden="false" customHeight="true" outlineLevel="0" collapsed="false">
      <c r="A3722" s="7" t="s">
        <v>258</v>
      </c>
      <c r="B3722" s="7" t="s">
        <v>9843</v>
      </c>
      <c r="C3722" s="7"/>
    </row>
    <row r="3723" customFormat="false" ht="15" hidden="false" customHeight="true" outlineLevel="0" collapsed="false">
      <c r="A3723" s="7" t="s">
        <v>258</v>
      </c>
      <c r="B3723" s="7" t="s">
        <v>9844</v>
      </c>
      <c r="C3723" s="7"/>
    </row>
    <row r="3724" customFormat="false" ht="15" hidden="false" customHeight="true" outlineLevel="0" collapsed="false">
      <c r="A3724" s="7" t="s">
        <v>258</v>
      </c>
      <c r="B3724" s="7" t="s">
        <v>9845</v>
      </c>
      <c r="C3724" s="7"/>
    </row>
    <row r="3725" customFormat="false" ht="15" hidden="false" customHeight="true" outlineLevel="0" collapsed="false">
      <c r="A3725" s="7" t="s">
        <v>258</v>
      </c>
      <c r="B3725" s="7" t="s">
        <v>9846</v>
      </c>
      <c r="C3725" s="7"/>
    </row>
    <row r="3726" customFormat="false" ht="15" hidden="false" customHeight="true" outlineLevel="0" collapsed="false">
      <c r="A3726" s="7" t="s">
        <v>258</v>
      </c>
      <c r="B3726" s="7" t="s">
        <v>9847</v>
      </c>
      <c r="C3726" s="7"/>
    </row>
    <row r="3727" customFormat="false" ht="15" hidden="false" customHeight="true" outlineLevel="0" collapsed="false">
      <c r="A3727" s="7" t="s">
        <v>258</v>
      </c>
      <c r="B3727" s="7" t="s">
        <v>9848</v>
      </c>
      <c r="C3727" s="7"/>
    </row>
    <row r="3728" customFormat="false" ht="15" hidden="false" customHeight="true" outlineLevel="0" collapsed="false">
      <c r="A3728" s="7" t="s">
        <v>258</v>
      </c>
      <c r="B3728" s="7" t="s">
        <v>9849</v>
      </c>
      <c r="C3728" s="7"/>
    </row>
    <row r="3729" customFormat="false" ht="15" hidden="false" customHeight="true" outlineLevel="0" collapsed="false">
      <c r="A3729" s="7" t="s">
        <v>258</v>
      </c>
      <c r="B3729" s="7" t="s">
        <v>9850</v>
      </c>
      <c r="C3729" s="7"/>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2026-10-18T14:02:28Z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